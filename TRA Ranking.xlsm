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FD5FC710-3EDB-0942-8AD7-9E587A4DCF0C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Senior-M" sheetId="4" r:id="rId2"/>
    <sheet name="Senior-W" sheetId="38" r:id="rId3"/>
    <sheet name="Development-M" sheetId="42" r:id="rId4"/>
    <sheet name="Development-W" sheetId="43" r:id="rId5"/>
    <sheet name="Junior-M" sheetId="45" r:id="rId6"/>
    <sheet name="Junior-W" sheetId="46" r:id="rId7"/>
    <sheet name="TRS-M" sheetId="39" r:id="rId8"/>
    <sheet name="TRS-W" sheetId="40" r:id="rId9"/>
    <sheet name="TRS-X" sheetId="41" r:id="rId10"/>
  </sheets>
  <definedNames>
    <definedName name="_xlnm._FilterDatabase" localSheetId="3" hidden="1">'Development-M'!$A$1:$WJ$1</definedName>
    <definedName name="_xlnm._FilterDatabase" localSheetId="4" hidden="1">'Development-W'!$A$1:$WJ$1</definedName>
    <definedName name="_xlnm._FilterDatabase" localSheetId="5" hidden="1">'Junior-M'!$A$1:$VL$1</definedName>
    <definedName name="_xlnm._FilterDatabase" localSheetId="6" hidden="1">'Junior-W'!$A$1:$VL$1</definedName>
    <definedName name="_xlnm._FilterDatabase" localSheetId="1" hidden="1">'Senior-M'!$A$1:$WM$1</definedName>
    <definedName name="_xlnm._FilterDatabase" localSheetId="2" hidden="1">'Senior-W'!$A$1:$WM$1</definedName>
    <definedName name="_xlnm._FilterDatabase" localSheetId="7" hidden="1">'TRS-M'!$A$1:$WJ$1</definedName>
    <definedName name="_xlnm._FilterDatabase" localSheetId="8" hidden="1">'TRS-W'!$A$1:$WJ$1</definedName>
    <definedName name="_xlnm._FilterDatabase" localSheetId="9" hidden="1">'TRS-X'!$A$1:$WJ$1</definedName>
    <definedName name="_xleta.MAX" hidden="1" xlm="1">#NAME?</definedName>
    <definedName name="_xleta.MIN" hidden="1" xlm="1">#NAME?</definedName>
    <definedName name="_xleta.N" hidden="1" xlm="1">#NAME?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1" i="40" l="1"/>
  <c r="AH11" i="40"/>
  <c r="AI11" i="40"/>
  <c r="AJ11" i="40"/>
  <c r="AK11" i="40"/>
  <c r="AL11" i="40"/>
  <c r="AN11" i="40"/>
  <c r="AO11" i="40"/>
  <c r="AP11" i="40"/>
  <c r="BH11" i="40"/>
  <c r="BI11" i="40"/>
  <c r="BJ11" i="40"/>
  <c r="BN11" i="40" s="1"/>
  <c r="BR11" i="40" s="1"/>
  <c r="BK11" i="40"/>
  <c r="BL11" i="40"/>
  <c r="BM11" i="40"/>
  <c r="BO11" i="40"/>
  <c r="BP11" i="40"/>
  <c r="BQ11" i="40"/>
  <c r="CI11" i="40"/>
  <c r="CJ11" i="40"/>
  <c r="CK11" i="40"/>
  <c r="CL11" i="40"/>
  <c r="CM11" i="40"/>
  <c r="CN11" i="40"/>
  <c r="CP11" i="40"/>
  <c r="CQ11" i="40"/>
  <c r="CR11" i="40"/>
  <c r="DO11" i="40"/>
  <c r="DP11" i="40"/>
  <c r="DQ11" i="40"/>
  <c r="DR11" i="40"/>
  <c r="DS11" i="40"/>
  <c r="DT11" i="40"/>
  <c r="DV11" i="40"/>
  <c r="DW11" i="40"/>
  <c r="DX11" i="40"/>
  <c r="DY11" i="40"/>
  <c r="DZ11" i="40"/>
  <c r="EA11" i="40"/>
  <c r="EW11" i="40"/>
  <c r="EX11" i="40"/>
  <c r="EY11" i="40"/>
  <c r="EZ11" i="40"/>
  <c r="FA11" i="40"/>
  <c r="FB11" i="40"/>
  <c r="FD11" i="40"/>
  <c r="FE11" i="40"/>
  <c r="FF11" i="40"/>
  <c r="FG11" i="40"/>
  <c r="FH11" i="40"/>
  <c r="FI11" i="40"/>
  <c r="GE11" i="40"/>
  <c r="GF11" i="40"/>
  <c r="GG11" i="40"/>
  <c r="GK11" i="40" s="1"/>
  <c r="GR11" i="40" s="1"/>
  <c r="GH11" i="40"/>
  <c r="GI11" i="40"/>
  <c r="GJ11" i="40"/>
  <c r="GL11" i="40"/>
  <c r="GM11" i="40"/>
  <c r="GN11" i="40"/>
  <c r="GO11" i="40"/>
  <c r="GP11" i="40"/>
  <c r="GQ11" i="40"/>
  <c r="HM11" i="40"/>
  <c r="HN11" i="40"/>
  <c r="HO11" i="40"/>
  <c r="HP11" i="40"/>
  <c r="HQ11" i="40"/>
  <c r="HR11" i="40"/>
  <c r="HT11" i="40"/>
  <c r="HU11" i="40"/>
  <c r="HV11" i="40"/>
  <c r="HW11" i="40"/>
  <c r="HX11" i="40"/>
  <c r="HY11" i="40"/>
  <c r="IU11" i="40"/>
  <c r="IV11" i="40"/>
  <c r="IW11" i="40"/>
  <c r="IX11" i="40"/>
  <c r="IY11" i="40"/>
  <c r="IZ11" i="40"/>
  <c r="JA11" i="40" s="1"/>
  <c r="JB11" i="40"/>
  <c r="JC11" i="40"/>
  <c r="JD11" i="40"/>
  <c r="JE11" i="40"/>
  <c r="JF11" i="40"/>
  <c r="JG11" i="40"/>
  <c r="KC11" i="40"/>
  <c r="KD11" i="40"/>
  <c r="KE11" i="40"/>
  <c r="KI11" i="40" s="1"/>
  <c r="KP11" i="40" s="1"/>
  <c r="KF11" i="40"/>
  <c r="KG11" i="40"/>
  <c r="KH11" i="40"/>
  <c r="KJ11" i="40"/>
  <c r="KK11" i="40"/>
  <c r="KL11" i="40"/>
  <c r="KM11" i="40"/>
  <c r="KN11" i="40"/>
  <c r="KO11" i="40"/>
  <c r="LK11" i="40"/>
  <c r="LL11" i="40"/>
  <c r="LM11" i="40"/>
  <c r="LN11" i="40"/>
  <c r="LO11" i="40"/>
  <c r="LP11" i="40"/>
  <c r="LR11" i="40"/>
  <c r="LS11" i="40"/>
  <c r="LT11" i="40"/>
  <c r="LU11" i="40"/>
  <c r="LV11" i="40"/>
  <c r="LW11" i="40"/>
  <c r="MS11" i="40"/>
  <c r="MT11" i="40"/>
  <c r="MU11" i="40"/>
  <c r="MV11" i="40"/>
  <c r="MW11" i="40"/>
  <c r="MX11" i="40"/>
  <c r="MZ11" i="40"/>
  <c r="NA11" i="40"/>
  <c r="NB11" i="40"/>
  <c r="NC11" i="40"/>
  <c r="ND11" i="40"/>
  <c r="NE11" i="40"/>
  <c r="OA11" i="40"/>
  <c r="OB11" i="40"/>
  <c r="OC11" i="40"/>
  <c r="OD11" i="40"/>
  <c r="OE11" i="40"/>
  <c r="OF11" i="40"/>
  <c r="OH11" i="40"/>
  <c r="OI11" i="40"/>
  <c r="OJ11" i="40"/>
  <c r="OK11" i="40"/>
  <c r="OL11" i="40"/>
  <c r="OM11" i="40"/>
  <c r="PI11" i="40"/>
  <c r="PJ11" i="40"/>
  <c r="PK11" i="40"/>
  <c r="PO11" i="40" s="1"/>
  <c r="PL11" i="40"/>
  <c r="PM11" i="40"/>
  <c r="PN11" i="40"/>
  <c r="PP11" i="40"/>
  <c r="PQ11" i="40"/>
  <c r="PR11" i="40"/>
  <c r="PS11" i="40"/>
  <c r="PT11" i="40"/>
  <c r="PU11" i="40"/>
  <c r="QQ11" i="40"/>
  <c r="QR11" i="40"/>
  <c r="QS11" i="40"/>
  <c r="QT11" i="40"/>
  <c r="QU11" i="40"/>
  <c r="QV11" i="40"/>
  <c r="QX11" i="40"/>
  <c r="QY11" i="40"/>
  <c r="QZ11" i="40"/>
  <c r="RA11" i="40"/>
  <c r="RB11" i="40"/>
  <c r="RC11" i="40"/>
  <c r="RY11" i="40"/>
  <c r="RZ11" i="40"/>
  <c r="SA11" i="40"/>
  <c r="SB11" i="40"/>
  <c r="SC11" i="40"/>
  <c r="SD11" i="40"/>
  <c r="SF11" i="40"/>
  <c r="SG11" i="40"/>
  <c r="SH11" i="40"/>
  <c r="SI11" i="40"/>
  <c r="SJ11" i="40"/>
  <c r="SK11" i="40"/>
  <c r="TG11" i="40"/>
  <c r="TH11" i="40"/>
  <c r="TI11" i="40"/>
  <c r="TJ11" i="40"/>
  <c r="TK11" i="40"/>
  <c r="TL11" i="40"/>
  <c r="TN11" i="40"/>
  <c r="TO11" i="40"/>
  <c r="TP11" i="40"/>
  <c r="TQ11" i="40"/>
  <c r="TR11" i="40"/>
  <c r="TS11" i="40"/>
  <c r="UO11" i="40"/>
  <c r="UP11" i="40"/>
  <c r="UQ11" i="40"/>
  <c r="UR11" i="40"/>
  <c r="US11" i="40"/>
  <c r="UT11" i="40"/>
  <c r="UV11" i="40"/>
  <c r="UW11" i="40"/>
  <c r="UX11" i="40"/>
  <c r="UY11" i="40"/>
  <c r="UZ11" i="40"/>
  <c r="VA11" i="40"/>
  <c r="VW11" i="40"/>
  <c r="VX11" i="40"/>
  <c r="VY11" i="40"/>
  <c r="VZ11" i="40"/>
  <c r="WA11" i="40"/>
  <c r="WB11" i="40"/>
  <c r="WD11" i="40"/>
  <c r="WE11" i="40"/>
  <c r="WF11" i="40"/>
  <c r="WG11" i="40"/>
  <c r="WH11" i="40"/>
  <c r="WI11" i="40"/>
  <c r="AG16" i="39"/>
  <c r="AH16" i="39"/>
  <c r="AI16" i="39"/>
  <c r="AJ16" i="39"/>
  <c r="AK16" i="39"/>
  <c r="AL16" i="39"/>
  <c r="AM16" i="39"/>
  <c r="AQ16" i="39" s="1"/>
  <c r="AN16" i="39"/>
  <c r="AO16" i="39"/>
  <c r="AP16" i="39"/>
  <c r="BH16" i="39"/>
  <c r="BI16" i="39"/>
  <c r="BJ16" i="39"/>
  <c r="BN16" i="39" s="1"/>
  <c r="BK16" i="39"/>
  <c r="BL16" i="39"/>
  <c r="BM16" i="39"/>
  <c r="BO16" i="39"/>
  <c r="BP16" i="39"/>
  <c r="BQ16" i="39"/>
  <c r="CI16" i="39"/>
  <c r="CJ16" i="39"/>
  <c r="CK16" i="39"/>
  <c r="CL16" i="39"/>
  <c r="CM16" i="39"/>
  <c r="CN16" i="39"/>
  <c r="CP16" i="39"/>
  <c r="CQ16" i="39"/>
  <c r="CR16" i="39"/>
  <c r="DO16" i="39"/>
  <c r="DP16" i="39"/>
  <c r="DQ16" i="39"/>
  <c r="DR16" i="39"/>
  <c r="DS16" i="39"/>
  <c r="DT16" i="39"/>
  <c r="DU16" i="39" s="1"/>
  <c r="DV16" i="39"/>
  <c r="DW16" i="39"/>
  <c r="DX16" i="39"/>
  <c r="DY16" i="39"/>
  <c r="DZ16" i="39"/>
  <c r="EA16" i="39"/>
  <c r="EW16" i="39"/>
  <c r="EX16" i="39"/>
  <c r="EY16" i="39"/>
  <c r="FC16" i="39" s="1"/>
  <c r="EZ16" i="39"/>
  <c r="FA16" i="39"/>
  <c r="FB16" i="39"/>
  <c r="FD16" i="39"/>
  <c r="FE16" i="39"/>
  <c r="FF16" i="39"/>
  <c r="FG16" i="39"/>
  <c r="FH16" i="39"/>
  <c r="FI16" i="39"/>
  <c r="GE16" i="39"/>
  <c r="GF16" i="39"/>
  <c r="GG16" i="39"/>
  <c r="GH16" i="39"/>
  <c r="GI16" i="39"/>
  <c r="GJ16" i="39"/>
  <c r="GK16" i="39" s="1"/>
  <c r="GL16" i="39"/>
  <c r="GM16" i="39"/>
  <c r="GN16" i="39"/>
  <c r="GO16" i="39"/>
  <c r="GP16" i="39"/>
  <c r="GQ16" i="39"/>
  <c r="HM16" i="39"/>
  <c r="HN16" i="39"/>
  <c r="HO16" i="39"/>
  <c r="HS16" i="39" s="1"/>
  <c r="HZ16" i="39" s="1"/>
  <c r="HP16" i="39"/>
  <c r="HQ16" i="39"/>
  <c r="HR16" i="39"/>
  <c r="HT16" i="39"/>
  <c r="HU16" i="39"/>
  <c r="HV16" i="39"/>
  <c r="HW16" i="39"/>
  <c r="HX16" i="39"/>
  <c r="HY16" i="39"/>
  <c r="IU16" i="39"/>
  <c r="IV16" i="39"/>
  <c r="IW16" i="39"/>
  <c r="IX16" i="39"/>
  <c r="IY16" i="39"/>
  <c r="IZ16" i="39"/>
  <c r="JA16" i="39"/>
  <c r="JB16" i="39"/>
  <c r="JC16" i="39"/>
  <c r="JD16" i="39"/>
  <c r="JE16" i="39"/>
  <c r="JF16" i="39"/>
  <c r="JG16" i="39"/>
  <c r="KC16" i="39"/>
  <c r="KD16" i="39"/>
  <c r="KE16" i="39"/>
  <c r="KF16" i="39"/>
  <c r="KG16" i="39"/>
  <c r="KH16" i="39"/>
  <c r="KJ16" i="39"/>
  <c r="KK16" i="39"/>
  <c r="KL16" i="39"/>
  <c r="KM16" i="39"/>
  <c r="KN16" i="39"/>
  <c r="KO16" i="39"/>
  <c r="LK16" i="39"/>
  <c r="LL16" i="39"/>
  <c r="LM16" i="39"/>
  <c r="LN16" i="39"/>
  <c r="LO16" i="39"/>
  <c r="LP16" i="39"/>
  <c r="LR16" i="39"/>
  <c r="LS16" i="39"/>
  <c r="LT16" i="39"/>
  <c r="LU16" i="39"/>
  <c r="LV16" i="39"/>
  <c r="LW16" i="39"/>
  <c r="MS16" i="39"/>
  <c r="MT16" i="39"/>
  <c r="MU16" i="39"/>
  <c r="MV16" i="39"/>
  <c r="MW16" i="39"/>
  <c r="MX16" i="39"/>
  <c r="MY16" i="39" s="1"/>
  <c r="NF16" i="39" s="1"/>
  <c r="MZ16" i="39"/>
  <c r="NA16" i="39"/>
  <c r="NB16" i="39"/>
  <c r="NC16" i="39"/>
  <c r="ND16" i="39"/>
  <c r="NE16" i="39"/>
  <c r="OA16" i="39"/>
  <c r="OB16" i="39"/>
  <c r="OC16" i="39"/>
  <c r="OG16" i="39" s="1"/>
  <c r="OD16" i="39"/>
  <c r="OE16" i="39"/>
  <c r="OF16" i="39"/>
  <c r="OH16" i="39"/>
  <c r="OI16" i="39"/>
  <c r="OJ16" i="39"/>
  <c r="OK16" i="39"/>
  <c r="OL16" i="39"/>
  <c r="OM16" i="39"/>
  <c r="PI16" i="39"/>
  <c r="PJ16" i="39"/>
  <c r="PK16" i="39"/>
  <c r="PL16" i="39"/>
  <c r="PM16" i="39"/>
  <c r="PN16" i="39"/>
  <c r="PP16" i="39"/>
  <c r="PQ16" i="39"/>
  <c r="PR16" i="39"/>
  <c r="PS16" i="39"/>
  <c r="PT16" i="39"/>
  <c r="PU16" i="39"/>
  <c r="QQ16" i="39"/>
  <c r="QR16" i="39"/>
  <c r="QS16" i="39"/>
  <c r="QT16" i="39"/>
  <c r="QU16" i="39"/>
  <c r="QV16" i="39"/>
  <c r="QX16" i="39"/>
  <c r="QY16" i="39"/>
  <c r="QZ16" i="39"/>
  <c r="RA16" i="39"/>
  <c r="RB16" i="39"/>
  <c r="RC16" i="39"/>
  <c r="RY16" i="39"/>
  <c r="RZ16" i="39"/>
  <c r="SA16" i="39"/>
  <c r="SE16" i="39" s="1"/>
  <c r="SB16" i="39"/>
  <c r="SC16" i="39"/>
  <c r="SD16" i="39"/>
  <c r="SF16" i="39"/>
  <c r="SG16" i="39"/>
  <c r="SH16" i="39"/>
  <c r="SI16" i="39"/>
  <c r="SJ16" i="39"/>
  <c r="SK16" i="39"/>
  <c r="TG16" i="39"/>
  <c r="TH16" i="39"/>
  <c r="TI16" i="39"/>
  <c r="TJ16" i="39"/>
  <c r="TK16" i="39"/>
  <c r="TL16" i="39"/>
  <c r="TN16" i="39"/>
  <c r="TO16" i="39"/>
  <c r="TP16" i="39"/>
  <c r="TQ16" i="39"/>
  <c r="TR16" i="39"/>
  <c r="TS16" i="39"/>
  <c r="UO16" i="39"/>
  <c r="UP16" i="39"/>
  <c r="UQ16" i="39"/>
  <c r="UU16" i="39" s="1"/>
  <c r="UR16" i="39"/>
  <c r="US16" i="39"/>
  <c r="UT16" i="39"/>
  <c r="UV16" i="39"/>
  <c r="UW16" i="39"/>
  <c r="UX16" i="39"/>
  <c r="UY16" i="39"/>
  <c r="UZ16" i="39"/>
  <c r="VA16" i="39"/>
  <c r="VW16" i="39"/>
  <c r="VX16" i="39"/>
  <c r="VY16" i="39"/>
  <c r="VZ16" i="39"/>
  <c r="WA16" i="39"/>
  <c r="WB16" i="39"/>
  <c r="WD16" i="39"/>
  <c r="WE16" i="39"/>
  <c r="WF16" i="39"/>
  <c r="WG16" i="39"/>
  <c r="WH16" i="39"/>
  <c r="WI16" i="39"/>
  <c r="SE11" i="40" l="1"/>
  <c r="SL11" i="40" s="1"/>
  <c r="HS11" i="40"/>
  <c r="HZ11" i="40" s="1"/>
  <c r="TM11" i="40"/>
  <c r="TT11" i="40" s="1"/>
  <c r="WC11" i="40"/>
  <c r="WJ11" i="40" s="1"/>
  <c r="DU11" i="40"/>
  <c r="UU11" i="40"/>
  <c r="VB11" i="40" s="1"/>
  <c r="MY11" i="40"/>
  <c r="NF11" i="40" s="1"/>
  <c r="LQ11" i="40"/>
  <c r="LX11" i="40" s="1"/>
  <c r="OG11" i="40"/>
  <c r="ON11" i="40" s="1"/>
  <c r="QW11" i="40"/>
  <c r="RD11" i="40" s="1"/>
  <c r="FC11" i="40"/>
  <c r="FJ11" i="40" s="1"/>
  <c r="PO16" i="39"/>
  <c r="ON16" i="39"/>
  <c r="TM16" i="39"/>
  <c r="CO16" i="39"/>
  <c r="QW16" i="39"/>
  <c r="RD16" i="39" s="1"/>
  <c r="JH16" i="39"/>
  <c r="WC16" i="39"/>
  <c r="WJ16" i="39" s="1"/>
  <c r="BR16" i="39"/>
  <c r="KI16" i="39"/>
  <c r="KP16" i="39" s="1"/>
  <c r="LQ16" i="39"/>
  <c r="LX16" i="39" s="1"/>
  <c r="CO11" i="40"/>
  <c r="CS16" i="39"/>
  <c r="PV11" i="40"/>
  <c r="JH11" i="40"/>
  <c r="CS11" i="40"/>
  <c r="L11" i="40"/>
  <c r="M11" i="40" s="1"/>
  <c r="F11" i="40"/>
  <c r="J11" i="40"/>
  <c r="AM11" i="40"/>
  <c r="AQ11" i="40" s="1"/>
  <c r="I11" i="40"/>
  <c r="EB11" i="40"/>
  <c r="G11" i="40"/>
  <c r="VB16" i="39"/>
  <c r="TT16" i="39"/>
  <c r="SL16" i="39"/>
  <c r="PV16" i="39"/>
  <c r="GR16" i="39"/>
  <c r="FJ16" i="39"/>
  <c r="I16" i="39"/>
  <c r="F16" i="39"/>
  <c r="L16" i="39"/>
  <c r="M16" i="39" s="1"/>
  <c r="J16" i="39"/>
  <c r="EB16" i="39"/>
  <c r="G16" i="39"/>
  <c r="CT11" i="40" l="1"/>
  <c r="N11" i="40" s="1"/>
  <c r="E11" i="40" s="1"/>
  <c r="H11" i="40"/>
  <c r="K11" i="40"/>
  <c r="H16" i="39"/>
  <c r="A16" i="39" s="1" a="1"/>
  <c r="A16" i="39" s="1"/>
  <c r="K16" i="39"/>
  <c r="CT16" i="39"/>
  <c r="N16" i="39" s="1"/>
  <c r="P11" i="40" l="1"/>
  <c r="A11" i="40" a="1"/>
  <c r="A11" i="40" s="1"/>
  <c r="O11" i="40"/>
  <c r="O16" i="39"/>
  <c r="P16" i="39"/>
  <c r="E16" i="39"/>
  <c r="BQ11" i="41" l="1"/>
  <c r="BP11" i="41"/>
  <c r="BO11" i="41"/>
  <c r="BM11" i="41"/>
  <c r="BL11" i="41"/>
  <c r="BK11" i="41"/>
  <c r="BJ11" i="41"/>
  <c r="BN11" i="41" s="1"/>
  <c r="BR11" i="41" s="1"/>
  <c r="BI11" i="41"/>
  <c r="BH11" i="41"/>
  <c r="BQ9" i="41"/>
  <c r="BP9" i="41"/>
  <c r="BO9" i="41"/>
  <c r="BM9" i="41"/>
  <c r="BL9" i="41"/>
  <c r="BK9" i="41"/>
  <c r="BJ9" i="41"/>
  <c r="BN9" i="41" s="1"/>
  <c r="BI9" i="41"/>
  <c r="BH9" i="41"/>
  <c r="BQ8" i="41"/>
  <c r="BP8" i="41"/>
  <c r="BO8" i="41"/>
  <c r="BM8" i="41"/>
  <c r="BL8" i="41"/>
  <c r="BK8" i="41"/>
  <c r="BJ8" i="41"/>
  <c r="BN8" i="41" s="1"/>
  <c r="BR8" i="41" s="1"/>
  <c r="BI8" i="41"/>
  <c r="BH8" i="41"/>
  <c r="BQ7" i="41"/>
  <c r="BP7" i="41"/>
  <c r="BO7" i="41"/>
  <c r="BM7" i="41"/>
  <c r="BL7" i="41"/>
  <c r="BK7" i="41"/>
  <c r="BJ7" i="41"/>
  <c r="BN7" i="41" s="1"/>
  <c r="BI7" i="41"/>
  <c r="BH7" i="41"/>
  <c r="BQ10" i="41"/>
  <c r="BP10" i="41"/>
  <c r="BO10" i="41"/>
  <c r="BM10" i="41"/>
  <c r="BL10" i="41"/>
  <c r="BK10" i="41"/>
  <c r="BJ10" i="41"/>
  <c r="BN10" i="41" s="1"/>
  <c r="BI10" i="41"/>
  <c r="BH10" i="41"/>
  <c r="BQ5" i="41"/>
  <c r="BP5" i="41"/>
  <c r="BO5" i="41"/>
  <c r="BM5" i="41"/>
  <c r="BL5" i="41"/>
  <c r="BK5" i="41"/>
  <c r="BJ5" i="41"/>
  <c r="BN5" i="41" s="1"/>
  <c r="BR5" i="41" s="1"/>
  <c r="BI5" i="41"/>
  <c r="BH5" i="41"/>
  <c r="BQ6" i="41"/>
  <c r="BP6" i="41"/>
  <c r="BO6" i="41"/>
  <c r="BM6" i="41"/>
  <c r="BL6" i="41"/>
  <c r="BK6" i="41"/>
  <c r="BJ6" i="41"/>
  <c r="BN6" i="41" s="1"/>
  <c r="BI6" i="41"/>
  <c r="BH6" i="41"/>
  <c r="BQ4" i="41"/>
  <c r="BP4" i="41"/>
  <c r="BO4" i="41"/>
  <c r="BN4" i="41"/>
  <c r="BR4" i="41" s="1"/>
  <c r="BM4" i="41"/>
  <c r="BL4" i="41"/>
  <c r="BK4" i="41"/>
  <c r="BJ4" i="41"/>
  <c r="BI4" i="41"/>
  <c r="BH4" i="41"/>
  <c r="AP11" i="41"/>
  <c r="AO11" i="41"/>
  <c r="AN11" i="41"/>
  <c r="AL11" i="41"/>
  <c r="AK11" i="41"/>
  <c r="AJ11" i="41"/>
  <c r="AI11" i="41"/>
  <c r="AM11" i="41" s="1"/>
  <c r="AQ11" i="41" s="1"/>
  <c r="AH11" i="41"/>
  <c r="AG11" i="41"/>
  <c r="AP9" i="41"/>
  <c r="AO9" i="41"/>
  <c r="AN9" i="41"/>
  <c r="AL9" i="41"/>
  <c r="AK9" i="41"/>
  <c r="AJ9" i="41"/>
  <c r="AI9" i="41"/>
  <c r="AM9" i="41" s="1"/>
  <c r="AH9" i="41"/>
  <c r="AG9" i="41"/>
  <c r="AP8" i="41"/>
  <c r="AO8" i="41"/>
  <c r="AN8" i="41"/>
  <c r="AL8" i="41"/>
  <c r="AK8" i="41"/>
  <c r="AJ8" i="41"/>
  <c r="AI8" i="41"/>
  <c r="AM8" i="41" s="1"/>
  <c r="AQ8" i="41" s="1"/>
  <c r="AH8" i="41"/>
  <c r="AG8" i="41"/>
  <c r="AP7" i="41"/>
  <c r="AO7" i="41"/>
  <c r="AN7" i="41"/>
  <c r="AL7" i="41"/>
  <c r="AK7" i="41"/>
  <c r="AJ7" i="41"/>
  <c r="AI7" i="41"/>
  <c r="AM7" i="41" s="1"/>
  <c r="AQ7" i="41" s="1"/>
  <c r="AH7" i="41"/>
  <c r="AG7" i="41"/>
  <c r="AP10" i="41"/>
  <c r="AO10" i="41"/>
  <c r="AN10" i="41"/>
  <c r="AL10" i="41"/>
  <c r="AK10" i="41"/>
  <c r="AJ10" i="41"/>
  <c r="AI10" i="41"/>
  <c r="AM10" i="41" s="1"/>
  <c r="AH10" i="41"/>
  <c r="AG10" i="41"/>
  <c r="AP5" i="41"/>
  <c r="AO5" i="41"/>
  <c r="AN5" i="41"/>
  <c r="AL5" i="41"/>
  <c r="AK5" i="41"/>
  <c r="AJ5" i="41"/>
  <c r="AI5" i="41"/>
  <c r="AM5" i="41" s="1"/>
  <c r="AH5" i="41"/>
  <c r="AG5" i="41"/>
  <c r="AP6" i="41"/>
  <c r="AO6" i="41"/>
  <c r="AN6" i="41"/>
  <c r="AL6" i="41"/>
  <c r="AK6" i="41"/>
  <c r="AJ6" i="41"/>
  <c r="AI6" i="41"/>
  <c r="AH6" i="41"/>
  <c r="AG6" i="41"/>
  <c r="AP4" i="41"/>
  <c r="AO4" i="41"/>
  <c r="AN4" i="41"/>
  <c r="AL4" i="41"/>
  <c r="AK4" i="41"/>
  <c r="AJ4" i="41"/>
  <c r="AI4" i="41"/>
  <c r="AH4" i="41"/>
  <c r="AG4" i="41"/>
  <c r="BQ14" i="40"/>
  <c r="BP14" i="40"/>
  <c r="BO14" i="40"/>
  <c r="BM14" i="40"/>
  <c r="BL14" i="40"/>
  <c r="BK14" i="40"/>
  <c r="BJ14" i="40"/>
  <c r="BN14" i="40" s="1"/>
  <c r="BI14" i="40"/>
  <c r="BH14" i="40"/>
  <c r="BQ13" i="40"/>
  <c r="BP13" i="40"/>
  <c r="BO13" i="40"/>
  <c r="BM13" i="40"/>
  <c r="BL13" i="40"/>
  <c r="BK13" i="40"/>
  <c r="BJ13" i="40"/>
  <c r="BN13" i="40" s="1"/>
  <c r="BI13" i="40"/>
  <c r="BH13" i="40"/>
  <c r="BQ15" i="40"/>
  <c r="BP15" i="40"/>
  <c r="BO15" i="40"/>
  <c r="BM15" i="40"/>
  <c r="BL15" i="40"/>
  <c r="BK15" i="40"/>
  <c r="BJ15" i="40"/>
  <c r="BN15" i="40" s="1"/>
  <c r="BI15" i="40"/>
  <c r="BH15" i="40"/>
  <c r="BQ12" i="40"/>
  <c r="BP12" i="40"/>
  <c r="BO12" i="40"/>
  <c r="BM12" i="40"/>
  <c r="BL12" i="40"/>
  <c r="BK12" i="40"/>
  <c r="BJ12" i="40"/>
  <c r="BN12" i="40" s="1"/>
  <c r="BI12" i="40"/>
  <c r="BH12" i="40"/>
  <c r="BQ10" i="40"/>
  <c r="BP10" i="40"/>
  <c r="BO10" i="40"/>
  <c r="BM10" i="40"/>
  <c r="BL10" i="40"/>
  <c r="BK10" i="40"/>
  <c r="BJ10" i="40"/>
  <c r="BN10" i="40" s="1"/>
  <c r="BI10" i="40"/>
  <c r="BH10" i="40"/>
  <c r="BQ9" i="40"/>
  <c r="BP9" i="40"/>
  <c r="BO9" i="40"/>
  <c r="BM9" i="40"/>
  <c r="BL9" i="40"/>
  <c r="BK9" i="40"/>
  <c r="BJ9" i="40"/>
  <c r="BN9" i="40" s="1"/>
  <c r="BI9" i="40"/>
  <c r="BH9" i="40"/>
  <c r="BQ8" i="40"/>
  <c r="BP8" i="40"/>
  <c r="BO8" i="40"/>
  <c r="BM8" i="40"/>
  <c r="BL8" i="40"/>
  <c r="BK8" i="40"/>
  <c r="BJ8" i="40"/>
  <c r="BN8" i="40" s="1"/>
  <c r="BI8" i="40"/>
  <c r="BH8" i="40"/>
  <c r="BQ7" i="40"/>
  <c r="BP7" i="40"/>
  <c r="BO7" i="40"/>
  <c r="BM7" i="40"/>
  <c r="BL7" i="40"/>
  <c r="BK7" i="40"/>
  <c r="BJ7" i="40"/>
  <c r="BN7" i="40" s="1"/>
  <c r="BI7" i="40"/>
  <c r="BH7" i="40"/>
  <c r="BQ5" i="40"/>
  <c r="BP5" i="40"/>
  <c r="BO5" i="40"/>
  <c r="BM5" i="40"/>
  <c r="BL5" i="40"/>
  <c r="BK5" i="40"/>
  <c r="BJ5" i="40"/>
  <c r="BN5" i="40" s="1"/>
  <c r="BR5" i="40" s="1"/>
  <c r="BI5" i="40"/>
  <c r="BH5" i="40"/>
  <c r="BQ6" i="40"/>
  <c r="BP6" i="40"/>
  <c r="BO6" i="40"/>
  <c r="BM6" i="40"/>
  <c r="BL6" i="40"/>
  <c r="BK6" i="40"/>
  <c r="BJ6" i="40"/>
  <c r="BN6" i="40" s="1"/>
  <c r="BI6" i="40"/>
  <c r="BH6" i="40"/>
  <c r="BQ4" i="40"/>
  <c r="BP4" i="40"/>
  <c r="BO4" i="40"/>
  <c r="BM4" i="40"/>
  <c r="BL4" i="40"/>
  <c r="BK4" i="40"/>
  <c r="BJ4" i="40"/>
  <c r="BN4" i="40" s="1"/>
  <c r="BI4" i="40"/>
  <c r="BH4" i="40"/>
  <c r="AP14" i="40"/>
  <c r="AO14" i="40"/>
  <c r="AN14" i="40"/>
  <c r="AL14" i="40"/>
  <c r="AK14" i="40"/>
  <c r="AJ14" i="40"/>
  <c r="AI14" i="40"/>
  <c r="AM14" i="40" s="1"/>
  <c r="AH14" i="40"/>
  <c r="AG14" i="40"/>
  <c r="AP13" i="40"/>
  <c r="AO13" i="40"/>
  <c r="AN13" i="40"/>
  <c r="AL13" i="40"/>
  <c r="AK13" i="40"/>
  <c r="AJ13" i="40"/>
  <c r="AI13" i="40"/>
  <c r="AM13" i="40" s="1"/>
  <c r="AH13" i="40"/>
  <c r="AG13" i="40"/>
  <c r="AP15" i="40"/>
  <c r="AO15" i="40"/>
  <c r="AN15" i="40"/>
  <c r="AL15" i="40"/>
  <c r="AK15" i="40"/>
  <c r="AJ15" i="40"/>
  <c r="AI15" i="40"/>
  <c r="AH15" i="40"/>
  <c r="AG15" i="40"/>
  <c r="AP12" i="40"/>
  <c r="AO12" i="40"/>
  <c r="AN12" i="40"/>
  <c r="AL12" i="40"/>
  <c r="AK12" i="40"/>
  <c r="AJ12" i="40"/>
  <c r="AI12" i="40"/>
  <c r="AH12" i="40"/>
  <c r="AG12" i="40"/>
  <c r="AP10" i="40"/>
  <c r="AO10" i="40"/>
  <c r="AN10" i="40"/>
  <c r="AL10" i="40"/>
  <c r="AK10" i="40"/>
  <c r="AJ10" i="40"/>
  <c r="AI10" i="40"/>
  <c r="AM10" i="40" s="1"/>
  <c r="AH10" i="40"/>
  <c r="AG10" i="40"/>
  <c r="AP9" i="40"/>
  <c r="AO9" i="40"/>
  <c r="AN9" i="40"/>
  <c r="AL9" i="40"/>
  <c r="AK9" i="40"/>
  <c r="AJ9" i="40"/>
  <c r="AI9" i="40"/>
  <c r="AM9" i="40" s="1"/>
  <c r="AH9" i="40"/>
  <c r="AG9" i="40"/>
  <c r="AP8" i="40"/>
  <c r="AO8" i="40"/>
  <c r="AN8" i="40"/>
  <c r="AL8" i="40"/>
  <c r="AK8" i="40"/>
  <c r="AJ8" i="40"/>
  <c r="AI8" i="40"/>
  <c r="AM8" i="40" s="1"/>
  <c r="AH8" i="40"/>
  <c r="AG8" i="40"/>
  <c r="AP7" i="40"/>
  <c r="AO7" i="40"/>
  <c r="AN7" i="40"/>
  <c r="AL7" i="40"/>
  <c r="AK7" i="40"/>
  <c r="AJ7" i="40"/>
  <c r="AI7" i="40"/>
  <c r="AH7" i="40"/>
  <c r="AG7" i="40"/>
  <c r="AP5" i="40"/>
  <c r="AO5" i="40"/>
  <c r="AN5" i="40"/>
  <c r="AL5" i="40"/>
  <c r="AK5" i="40"/>
  <c r="AJ5" i="40"/>
  <c r="AI5" i="40"/>
  <c r="AH5" i="40"/>
  <c r="AG5" i="40"/>
  <c r="AP6" i="40"/>
  <c r="AO6" i="40"/>
  <c r="AN6" i="40"/>
  <c r="AL6" i="40"/>
  <c r="AK6" i="40"/>
  <c r="AJ6" i="40"/>
  <c r="AI6" i="40"/>
  <c r="AH6" i="40"/>
  <c r="AG6" i="40"/>
  <c r="AP4" i="40"/>
  <c r="AO4" i="40"/>
  <c r="AN4" i="40"/>
  <c r="AL4" i="40"/>
  <c r="AK4" i="40"/>
  <c r="AJ4" i="40"/>
  <c r="AI4" i="40"/>
  <c r="AM4" i="40" s="1"/>
  <c r="AH4" i="40"/>
  <c r="AG4" i="40"/>
  <c r="BQ20" i="39"/>
  <c r="BP20" i="39"/>
  <c r="BO20" i="39"/>
  <c r="BM20" i="39"/>
  <c r="BL20" i="39"/>
  <c r="BK20" i="39"/>
  <c r="BJ20" i="39"/>
  <c r="BN20" i="39" s="1"/>
  <c r="BI20" i="39"/>
  <c r="BH20" i="39"/>
  <c r="BQ18" i="39"/>
  <c r="BP18" i="39"/>
  <c r="BO18" i="39"/>
  <c r="BM18" i="39"/>
  <c r="BL18" i="39"/>
  <c r="BK18" i="39"/>
  <c r="BJ18" i="39"/>
  <c r="BN18" i="39" s="1"/>
  <c r="BI18" i="39"/>
  <c r="BH18" i="39"/>
  <c r="BQ17" i="39"/>
  <c r="BP17" i="39"/>
  <c r="BO17" i="39"/>
  <c r="BM17" i="39"/>
  <c r="BL17" i="39"/>
  <c r="BK17" i="39"/>
  <c r="BJ17" i="39"/>
  <c r="BN17" i="39" s="1"/>
  <c r="BR17" i="39" s="1"/>
  <c r="BI17" i="39"/>
  <c r="BH17" i="39"/>
  <c r="BQ10" i="39"/>
  <c r="BP10" i="39"/>
  <c r="BO10" i="39"/>
  <c r="BM10" i="39"/>
  <c r="BL10" i="39"/>
  <c r="BK10" i="39"/>
  <c r="BJ10" i="39"/>
  <c r="BN10" i="39" s="1"/>
  <c r="BI10" i="39"/>
  <c r="BH10" i="39"/>
  <c r="BQ15" i="39"/>
  <c r="BP15" i="39"/>
  <c r="BO15" i="39"/>
  <c r="BM15" i="39"/>
  <c r="BL15" i="39"/>
  <c r="BK15" i="39"/>
  <c r="BJ15" i="39"/>
  <c r="BN15" i="39" s="1"/>
  <c r="BI15" i="39"/>
  <c r="BH15" i="39"/>
  <c r="BQ14" i="39"/>
  <c r="BP14" i="39"/>
  <c r="BO14" i="39"/>
  <c r="BM14" i="39"/>
  <c r="BL14" i="39"/>
  <c r="BK14" i="39"/>
  <c r="BJ14" i="39"/>
  <c r="BN14" i="39" s="1"/>
  <c r="BI14" i="39"/>
  <c r="BH14" i="39"/>
  <c r="BQ13" i="39"/>
  <c r="BP13" i="39"/>
  <c r="BO13" i="39"/>
  <c r="BM13" i="39"/>
  <c r="BL13" i="39"/>
  <c r="BK13" i="39"/>
  <c r="BJ13" i="39"/>
  <c r="BN13" i="39" s="1"/>
  <c r="BI13" i="39"/>
  <c r="BH13" i="39"/>
  <c r="BQ12" i="39"/>
  <c r="BP12" i="39"/>
  <c r="BO12" i="39"/>
  <c r="BM12" i="39"/>
  <c r="BL12" i="39"/>
  <c r="BK12" i="39"/>
  <c r="BJ12" i="39"/>
  <c r="BN12" i="39" s="1"/>
  <c r="BI12" i="39"/>
  <c r="BH12" i="39"/>
  <c r="BQ11" i="39"/>
  <c r="BP11" i="39"/>
  <c r="BO11" i="39"/>
  <c r="BM11" i="39"/>
  <c r="BL11" i="39"/>
  <c r="BK11" i="39"/>
  <c r="BJ11" i="39"/>
  <c r="BN11" i="39" s="1"/>
  <c r="BI11" i="39"/>
  <c r="BH11" i="39"/>
  <c r="BQ8" i="39"/>
  <c r="BP8" i="39"/>
  <c r="BO8" i="39"/>
  <c r="BM8" i="39"/>
  <c r="BL8" i="39"/>
  <c r="BK8" i="39"/>
  <c r="BJ8" i="39"/>
  <c r="BN8" i="39" s="1"/>
  <c r="BI8" i="39"/>
  <c r="BH8" i="39"/>
  <c r="BQ6" i="39"/>
  <c r="BP6" i="39"/>
  <c r="BO6" i="39"/>
  <c r="BM6" i="39"/>
  <c r="BL6" i="39"/>
  <c r="BK6" i="39"/>
  <c r="BJ6" i="39"/>
  <c r="BN6" i="39" s="1"/>
  <c r="BR6" i="39" s="1"/>
  <c r="BI6" i="39"/>
  <c r="BH6" i="39"/>
  <c r="BQ9" i="39"/>
  <c r="BP9" i="39"/>
  <c r="BO9" i="39"/>
  <c r="BM9" i="39"/>
  <c r="BL9" i="39"/>
  <c r="BK9" i="39"/>
  <c r="BJ9" i="39"/>
  <c r="BN9" i="39" s="1"/>
  <c r="BI9" i="39"/>
  <c r="BH9" i="39"/>
  <c r="BQ7" i="39"/>
  <c r="BP7" i="39"/>
  <c r="BO7" i="39"/>
  <c r="BM7" i="39"/>
  <c r="BL7" i="39"/>
  <c r="BK7" i="39"/>
  <c r="BJ7" i="39"/>
  <c r="BN7" i="39" s="1"/>
  <c r="BI7" i="39"/>
  <c r="BH7" i="39"/>
  <c r="BQ19" i="39"/>
  <c r="BP19" i="39"/>
  <c r="BO19" i="39"/>
  <c r="BM19" i="39"/>
  <c r="BL19" i="39"/>
  <c r="BK19" i="39"/>
  <c r="BJ19" i="39"/>
  <c r="BN19" i="39" s="1"/>
  <c r="BR19" i="39" s="1"/>
  <c r="BI19" i="39"/>
  <c r="BH19" i="39"/>
  <c r="BQ5" i="39"/>
  <c r="BP5" i="39"/>
  <c r="BO5" i="39"/>
  <c r="BM5" i="39"/>
  <c r="BL5" i="39"/>
  <c r="BK5" i="39"/>
  <c r="BJ5" i="39"/>
  <c r="BN5" i="39" s="1"/>
  <c r="BI5" i="39"/>
  <c r="BH5" i="39"/>
  <c r="BQ4" i="39"/>
  <c r="BP4" i="39"/>
  <c r="BO4" i="39"/>
  <c r="BM4" i="39"/>
  <c r="BL4" i="39"/>
  <c r="BK4" i="39"/>
  <c r="BJ4" i="39"/>
  <c r="BN4" i="39" s="1"/>
  <c r="BI4" i="39"/>
  <c r="BH4" i="39"/>
  <c r="AP20" i="39"/>
  <c r="AO20" i="39"/>
  <c r="AN20" i="39"/>
  <c r="AL20" i="39"/>
  <c r="AK20" i="39"/>
  <c r="AJ20" i="39"/>
  <c r="AI20" i="39"/>
  <c r="AM20" i="39" s="1"/>
  <c r="AH20" i="39"/>
  <c r="AG20" i="39"/>
  <c r="AP18" i="39"/>
  <c r="AO18" i="39"/>
  <c r="AN18" i="39"/>
  <c r="AL18" i="39"/>
  <c r="AK18" i="39"/>
  <c r="AJ18" i="39"/>
  <c r="AI18" i="39"/>
  <c r="AM18" i="39" s="1"/>
  <c r="AH18" i="39"/>
  <c r="AG18" i="39"/>
  <c r="AP17" i="39"/>
  <c r="AO17" i="39"/>
  <c r="AN17" i="39"/>
  <c r="AM17" i="39"/>
  <c r="AQ17" i="39" s="1"/>
  <c r="AL17" i="39"/>
  <c r="AK17" i="39"/>
  <c r="AJ17" i="39"/>
  <c r="AI17" i="39"/>
  <c r="AH17" i="39"/>
  <c r="AG17" i="39"/>
  <c r="AP10" i="39"/>
  <c r="AO10" i="39"/>
  <c r="AN10" i="39"/>
  <c r="AL10" i="39"/>
  <c r="AK10" i="39"/>
  <c r="AJ10" i="39"/>
  <c r="AI10" i="39"/>
  <c r="AM10" i="39" s="1"/>
  <c r="AQ10" i="39" s="1"/>
  <c r="AH10" i="39"/>
  <c r="AG10" i="39"/>
  <c r="AP15" i="39"/>
  <c r="AO15" i="39"/>
  <c r="AN15" i="39"/>
  <c r="AL15" i="39"/>
  <c r="AK15" i="39"/>
  <c r="AJ15" i="39"/>
  <c r="AI15" i="39"/>
  <c r="AM15" i="39" s="1"/>
  <c r="AH15" i="39"/>
  <c r="AG15" i="39"/>
  <c r="AP14" i="39"/>
  <c r="AO14" i="39"/>
  <c r="AN14" i="39"/>
  <c r="AL14" i="39"/>
  <c r="AK14" i="39"/>
  <c r="AJ14" i="39"/>
  <c r="AI14" i="39"/>
  <c r="AM14" i="39" s="1"/>
  <c r="AH14" i="39"/>
  <c r="AG14" i="39"/>
  <c r="AP13" i="39"/>
  <c r="AO13" i="39"/>
  <c r="AN13" i="39"/>
  <c r="AL13" i="39"/>
  <c r="AK13" i="39"/>
  <c r="AJ13" i="39"/>
  <c r="AI13" i="39"/>
  <c r="AM13" i="39" s="1"/>
  <c r="AH13" i="39"/>
  <c r="AG13" i="39"/>
  <c r="AP12" i="39"/>
  <c r="AO12" i="39"/>
  <c r="AN12" i="39"/>
  <c r="AL12" i="39"/>
  <c r="AK12" i="39"/>
  <c r="AJ12" i="39"/>
  <c r="AI12" i="39"/>
  <c r="AM12" i="39" s="1"/>
  <c r="AH12" i="39"/>
  <c r="AG12" i="39"/>
  <c r="AP11" i="39"/>
  <c r="AO11" i="39"/>
  <c r="AN11" i="39"/>
  <c r="AL11" i="39"/>
  <c r="AK11" i="39"/>
  <c r="AJ11" i="39"/>
  <c r="AI11" i="39"/>
  <c r="AM11" i="39" s="1"/>
  <c r="AQ11" i="39" s="1"/>
  <c r="AH11" i="39"/>
  <c r="AG11" i="39"/>
  <c r="AP8" i="39"/>
  <c r="AO8" i="39"/>
  <c r="AN8" i="39"/>
  <c r="AL8" i="39"/>
  <c r="AK8" i="39"/>
  <c r="AJ8" i="39"/>
  <c r="AI8" i="39"/>
  <c r="AM8" i="39" s="1"/>
  <c r="AQ8" i="39" s="1"/>
  <c r="AH8" i="39"/>
  <c r="AG8" i="39"/>
  <c r="AP6" i="39"/>
  <c r="AO6" i="39"/>
  <c r="AN6" i="39"/>
  <c r="AL6" i="39"/>
  <c r="AK6" i="39"/>
  <c r="AJ6" i="39"/>
  <c r="AI6" i="39"/>
  <c r="AH6" i="39"/>
  <c r="AG6" i="39"/>
  <c r="AP9" i="39"/>
  <c r="AO9" i="39"/>
  <c r="AN9" i="39"/>
  <c r="AL9" i="39"/>
  <c r="AK9" i="39"/>
  <c r="AJ9" i="39"/>
  <c r="AI9" i="39"/>
  <c r="AH9" i="39"/>
  <c r="AG9" i="39"/>
  <c r="AP7" i="39"/>
  <c r="AO7" i="39"/>
  <c r="AN7" i="39"/>
  <c r="AL7" i="39"/>
  <c r="AK7" i="39"/>
  <c r="AJ7" i="39"/>
  <c r="AI7" i="39"/>
  <c r="AM7" i="39" s="1"/>
  <c r="AQ7" i="39" s="1"/>
  <c r="AH7" i="39"/>
  <c r="AG7" i="39"/>
  <c r="AP19" i="39"/>
  <c r="AO19" i="39"/>
  <c r="AN19" i="39"/>
  <c r="AL19" i="39"/>
  <c r="AK19" i="39"/>
  <c r="AJ19" i="39"/>
  <c r="AI19" i="39"/>
  <c r="AM19" i="39" s="1"/>
  <c r="AH19" i="39"/>
  <c r="AG19" i="39"/>
  <c r="AP5" i="39"/>
  <c r="AO5" i="39"/>
  <c r="AN5" i="39"/>
  <c r="AL5" i="39"/>
  <c r="AK5" i="39"/>
  <c r="AJ5" i="39"/>
  <c r="AI5" i="39"/>
  <c r="AM5" i="39" s="1"/>
  <c r="AH5" i="39"/>
  <c r="AG5" i="39"/>
  <c r="AP4" i="39"/>
  <c r="AO4" i="39"/>
  <c r="AN4" i="39"/>
  <c r="AL4" i="39"/>
  <c r="AK4" i="39"/>
  <c r="AJ4" i="39"/>
  <c r="AI4" i="39"/>
  <c r="AH4" i="39"/>
  <c r="AG4" i="39"/>
  <c r="AR6" i="46"/>
  <c r="AQ6" i="46"/>
  <c r="AP6" i="46"/>
  <c r="AN6" i="46"/>
  <c r="AM6" i="46"/>
  <c r="AL6" i="46"/>
  <c r="AK6" i="46"/>
  <c r="AO6" i="46" s="1"/>
  <c r="AJ6" i="46"/>
  <c r="AI6" i="46"/>
  <c r="AR5" i="46"/>
  <c r="AQ5" i="46"/>
  <c r="AP5" i="46"/>
  <c r="AN5" i="46"/>
  <c r="AM5" i="46"/>
  <c r="AL5" i="46"/>
  <c r="AK5" i="46"/>
  <c r="AO5" i="46" s="1"/>
  <c r="AJ5" i="46"/>
  <c r="AI5" i="46"/>
  <c r="AR4" i="46"/>
  <c r="AQ4" i="46"/>
  <c r="AP4" i="46"/>
  <c r="AN4" i="46"/>
  <c r="AM4" i="46"/>
  <c r="AL4" i="46"/>
  <c r="AK4" i="46"/>
  <c r="AJ4" i="46"/>
  <c r="AI4" i="46"/>
  <c r="AR8" i="45"/>
  <c r="AQ8" i="45"/>
  <c r="AP8" i="45"/>
  <c r="AN8" i="45"/>
  <c r="AM8" i="45"/>
  <c r="AL8" i="45"/>
  <c r="AK8" i="45"/>
  <c r="AO8" i="45" s="1"/>
  <c r="AJ8" i="45"/>
  <c r="AI8" i="45"/>
  <c r="AR9" i="45"/>
  <c r="AQ9" i="45"/>
  <c r="AP9" i="45"/>
  <c r="AN9" i="45"/>
  <c r="AM9" i="45"/>
  <c r="AL9" i="45"/>
  <c r="AK9" i="45"/>
  <c r="AO9" i="45" s="1"/>
  <c r="AS9" i="45" s="1"/>
  <c r="AJ9" i="45"/>
  <c r="AI9" i="45"/>
  <c r="AR12" i="45"/>
  <c r="AQ12" i="45"/>
  <c r="AP12" i="45"/>
  <c r="AN12" i="45"/>
  <c r="AM12" i="45"/>
  <c r="AL12" i="45"/>
  <c r="AK12" i="45"/>
  <c r="AO12" i="45" s="1"/>
  <c r="AJ12" i="45"/>
  <c r="AI12" i="45"/>
  <c r="AR11" i="45"/>
  <c r="AQ11" i="45"/>
  <c r="AP11" i="45"/>
  <c r="AN11" i="45"/>
  <c r="AM11" i="45"/>
  <c r="AL11" i="45"/>
  <c r="AK11" i="45"/>
  <c r="AO11" i="45" s="1"/>
  <c r="AJ11" i="45"/>
  <c r="AI11" i="45"/>
  <c r="AR13" i="45"/>
  <c r="AQ13" i="45"/>
  <c r="AP13" i="45"/>
  <c r="AN13" i="45"/>
  <c r="AM13" i="45"/>
  <c r="AL13" i="45"/>
  <c r="AK13" i="45"/>
  <c r="AO13" i="45" s="1"/>
  <c r="AS13" i="45" s="1"/>
  <c r="AJ13" i="45"/>
  <c r="AI13" i="45"/>
  <c r="AR10" i="45"/>
  <c r="AQ10" i="45"/>
  <c r="AP10" i="45"/>
  <c r="AN10" i="45"/>
  <c r="AM10" i="45"/>
  <c r="AL10" i="45"/>
  <c r="AK10" i="45"/>
  <c r="AO10" i="45" s="1"/>
  <c r="AJ10" i="45"/>
  <c r="AI10" i="45"/>
  <c r="AR7" i="45"/>
  <c r="AQ7" i="45"/>
  <c r="AP7" i="45"/>
  <c r="AN7" i="45"/>
  <c r="AM7" i="45"/>
  <c r="AL7" i="45"/>
  <c r="AK7" i="45"/>
  <c r="AJ7" i="45"/>
  <c r="AI7" i="45"/>
  <c r="AR5" i="45"/>
  <c r="AQ5" i="45"/>
  <c r="AP5" i="45"/>
  <c r="AN5" i="45"/>
  <c r="AM5" i="45"/>
  <c r="AL5" i="45"/>
  <c r="AK5" i="45"/>
  <c r="AO5" i="45" s="1"/>
  <c r="AS5" i="45" s="1"/>
  <c r="AJ5" i="45"/>
  <c r="AI5" i="45"/>
  <c r="AR6" i="45"/>
  <c r="AQ6" i="45"/>
  <c r="AP6" i="45"/>
  <c r="AN6" i="45"/>
  <c r="AM6" i="45"/>
  <c r="AL6" i="45"/>
  <c r="AK6" i="45"/>
  <c r="AO6" i="45" s="1"/>
  <c r="AJ6" i="45"/>
  <c r="AI6" i="45"/>
  <c r="AR4" i="45"/>
  <c r="AQ4" i="45"/>
  <c r="AP4" i="45"/>
  <c r="AN4" i="45"/>
  <c r="AM4" i="45"/>
  <c r="AL4" i="45"/>
  <c r="AK4" i="45"/>
  <c r="AO4" i="45" s="1"/>
  <c r="AS4" i="45" s="1"/>
  <c r="AJ4" i="45"/>
  <c r="AI4" i="45"/>
  <c r="BQ13" i="43"/>
  <c r="BP13" i="43"/>
  <c r="BO13" i="43"/>
  <c r="BM13" i="43"/>
  <c r="BL13" i="43"/>
  <c r="BK13" i="43"/>
  <c r="BJ13" i="43"/>
  <c r="BN13" i="43" s="1"/>
  <c r="BR13" i="43" s="1"/>
  <c r="BI13" i="43"/>
  <c r="BH13" i="43"/>
  <c r="BQ10" i="43"/>
  <c r="BP10" i="43"/>
  <c r="BO10" i="43"/>
  <c r="BM10" i="43"/>
  <c r="BL10" i="43"/>
  <c r="BK10" i="43"/>
  <c r="BJ10" i="43"/>
  <c r="BN10" i="43" s="1"/>
  <c r="BR10" i="43" s="1"/>
  <c r="BI10" i="43"/>
  <c r="BH10" i="43"/>
  <c r="BQ12" i="43"/>
  <c r="BP12" i="43"/>
  <c r="BO12" i="43"/>
  <c r="BN12" i="43"/>
  <c r="BR12" i="43" s="1"/>
  <c r="BM12" i="43"/>
  <c r="BL12" i="43"/>
  <c r="BK12" i="43"/>
  <c r="BJ12" i="43"/>
  <c r="BI12" i="43"/>
  <c r="BH12" i="43"/>
  <c r="BQ11" i="43"/>
  <c r="BP11" i="43"/>
  <c r="BO11" i="43"/>
  <c r="BM11" i="43"/>
  <c r="BL11" i="43"/>
  <c r="BK11" i="43"/>
  <c r="BJ11" i="43"/>
  <c r="BN11" i="43" s="1"/>
  <c r="BR11" i="43" s="1"/>
  <c r="BI11" i="43"/>
  <c r="BH11" i="43"/>
  <c r="BQ9" i="43"/>
  <c r="BP9" i="43"/>
  <c r="BO9" i="43"/>
  <c r="BM9" i="43"/>
  <c r="BL9" i="43"/>
  <c r="BK9" i="43"/>
  <c r="BJ9" i="43"/>
  <c r="BN9" i="43" s="1"/>
  <c r="BR9" i="43" s="1"/>
  <c r="BI9" i="43"/>
  <c r="BH9" i="43"/>
  <c r="BQ8" i="43"/>
  <c r="BP8" i="43"/>
  <c r="BO8" i="43"/>
  <c r="BM8" i="43"/>
  <c r="BL8" i="43"/>
  <c r="BK8" i="43"/>
  <c r="BJ8" i="43"/>
  <c r="BI8" i="43"/>
  <c r="BH8" i="43"/>
  <c r="BQ7" i="43"/>
  <c r="BP7" i="43"/>
  <c r="BO7" i="43"/>
  <c r="BM7" i="43"/>
  <c r="BL7" i="43"/>
  <c r="BK7" i="43"/>
  <c r="BJ7" i="43"/>
  <c r="BN7" i="43" s="1"/>
  <c r="BR7" i="43" s="1"/>
  <c r="BI7" i="43"/>
  <c r="BH7" i="43"/>
  <c r="BQ6" i="43"/>
  <c r="BP6" i="43"/>
  <c r="BO6" i="43"/>
  <c r="BM6" i="43"/>
  <c r="BL6" i="43"/>
  <c r="BK6" i="43"/>
  <c r="BJ6" i="43"/>
  <c r="BI6" i="43"/>
  <c r="BH6" i="43"/>
  <c r="BQ5" i="43"/>
  <c r="BP5" i="43"/>
  <c r="BO5" i="43"/>
  <c r="BM5" i="43"/>
  <c r="BN5" i="43" s="1"/>
  <c r="BR5" i="43" s="1"/>
  <c r="BL5" i="43"/>
  <c r="BK5" i="43"/>
  <c r="BJ5" i="43"/>
  <c r="BI5" i="43"/>
  <c r="BH5" i="43"/>
  <c r="BQ4" i="43"/>
  <c r="BP4" i="43"/>
  <c r="BO4" i="43"/>
  <c r="BM4" i="43"/>
  <c r="BL4" i="43"/>
  <c r="BK4" i="43"/>
  <c r="BJ4" i="43"/>
  <c r="BN4" i="43" s="1"/>
  <c r="BR4" i="43" s="1"/>
  <c r="BI4" i="43"/>
  <c r="BH4" i="43"/>
  <c r="AP13" i="43"/>
  <c r="AO13" i="43"/>
  <c r="AN13" i="43"/>
  <c r="AL13" i="43"/>
  <c r="AK13" i="43"/>
  <c r="AJ13" i="43"/>
  <c r="AI13" i="43"/>
  <c r="AM13" i="43" s="1"/>
  <c r="AH13" i="43"/>
  <c r="AG13" i="43"/>
  <c r="AP10" i="43"/>
  <c r="AO10" i="43"/>
  <c r="AN10" i="43"/>
  <c r="AL10" i="43"/>
  <c r="AK10" i="43"/>
  <c r="AJ10" i="43"/>
  <c r="AI10" i="43"/>
  <c r="AH10" i="43"/>
  <c r="AG10" i="43"/>
  <c r="AP12" i="43"/>
  <c r="AO12" i="43"/>
  <c r="AN12" i="43"/>
  <c r="AL12" i="43"/>
  <c r="AK12" i="43"/>
  <c r="AJ12" i="43"/>
  <c r="AI12" i="43"/>
  <c r="AH12" i="43"/>
  <c r="AG12" i="43"/>
  <c r="AP11" i="43"/>
  <c r="AO11" i="43"/>
  <c r="AN11" i="43"/>
  <c r="AL11" i="43"/>
  <c r="AK11" i="43"/>
  <c r="AJ11" i="43"/>
  <c r="AI11" i="43"/>
  <c r="AM11" i="43" s="1"/>
  <c r="AH11" i="43"/>
  <c r="AG11" i="43"/>
  <c r="AP9" i="43"/>
  <c r="AO9" i="43"/>
  <c r="AN9" i="43"/>
  <c r="AL9" i="43"/>
  <c r="AK9" i="43"/>
  <c r="AJ9" i="43"/>
  <c r="AI9" i="43"/>
  <c r="AH9" i="43"/>
  <c r="AG9" i="43"/>
  <c r="AP8" i="43"/>
  <c r="AO8" i="43"/>
  <c r="AN8" i="43"/>
  <c r="AL8" i="43"/>
  <c r="AK8" i="43"/>
  <c r="AJ8" i="43"/>
  <c r="AI8" i="43"/>
  <c r="AM8" i="43" s="1"/>
  <c r="AQ8" i="43" s="1"/>
  <c r="AH8" i="43"/>
  <c r="AG8" i="43"/>
  <c r="AP7" i="43"/>
  <c r="AO7" i="43"/>
  <c r="AN7" i="43"/>
  <c r="AL7" i="43"/>
  <c r="AK7" i="43"/>
  <c r="AJ7" i="43"/>
  <c r="AI7" i="43"/>
  <c r="AH7" i="43"/>
  <c r="AG7" i="43"/>
  <c r="AP6" i="43"/>
  <c r="AO6" i="43"/>
  <c r="AN6" i="43"/>
  <c r="AL6" i="43"/>
  <c r="AK6" i="43"/>
  <c r="AJ6" i="43"/>
  <c r="AI6" i="43"/>
  <c r="AH6" i="43"/>
  <c r="AG6" i="43"/>
  <c r="AP5" i="43"/>
  <c r="AO5" i="43"/>
  <c r="AN5" i="43"/>
  <c r="AL5" i="43"/>
  <c r="AK5" i="43"/>
  <c r="AJ5" i="43"/>
  <c r="AI5" i="43"/>
  <c r="AH5" i="43"/>
  <c r="AG5" i="43"/>
  <c r="AP4" i="43"/>
  <c r="AO4" i="43"/>
  <c r="AN4" i="43"/>
  <c r="AL4" i="43"/>
  <c r="AK4" i="43"/>
  <c r="AJ4" i="43"/>
  <c r="AI4" i="43"/>
  <c r="AH4" i="43"/>
  <c r="AG4" i="43"/>
  <c r="BQ25" i="42"/>
  <c r="BP25" i="42"/>
  <c r="BO25" i="42"/>
  <c r="BM25" i="42"/>
  <c r="BL25" i="42"/>
  <c r="BK25" i="42"/>
  <c r="BJ25" i="42"/>
  <c r="BN25" i="42" s="1"/>
  <c r="BR25" i="42" s="1"/>
  <c r="BI25" i="42"/>
  <c r="BH25" i="42"/>
  <c r="BQ23" i="42"/>
  <c r="BP23" i="42"/>
  <c r="BO23" i="42"/>
  <c r="BM23" i="42"/>
  <c r="BL23" i="42"/>
  <c r="BK23" i="42"/>
  <c r="BJ23" i="42"/>
  <c r="BN23" i="42" s="1"/>
  <c r="BI23" i="42"/>
  <c r="BH23" i="42"/>
  <c r="BQ27" i="42"/>
  <c r="BP27" i="42"/>
  <c r="BO27" i="42"/>
  <c r="BM27" i="42"/>
  <c r="BL27" i="42"/>
  <c r="BK27" i="42"/>
  <c r="BJ27" i="42"/>
  <c r="BN27" i="42" s="1"/>
  <c r="BR27" i="42" s="1"/>
  <c r="BI27" i="42"/>
  <c r="BH27" i="42"/>
  <c r="BQ26" i="42"/>
  <c r="BP26" i="42"/>
  <c r="BO26" i="42"/>
  <c r="BM26" i="42"/>
  <c r="BL26" i="42"/>
  <c r="BK26" i="42"/>
  <c r="BJ26" i="42"/>
  <c r="BN26" i="42" s="1"/>
  <c r="BR26" i="42" s="1"/>
  <c r="BI26" i="42"/>
  <c r="BH26" i="42"/>
  <c r="BQ24" i="42"/>
  <c r="BP24" i="42"/>
  <c r="BO24" i="42"/>
  <c r="BM24" i="42"/>
  <c r="BL24" i="42"/>
  <c r="BK24" i="42"/>
  <c r="BJ24" i="42"/>
  <c r="BI24" i="42"/>
  <c r="BH24" i="42"/>
  <c r="BQ20" i="42"/>
  <c r="BP20" i="42"/>
  <c r="BO20" i="42"/>
  <c r="BM20" i="42"/>
  <c r="BL20" i="42"/>
  <c r="BK20" i="42"/>
  <c r="BJ20" i="42"/>
  <c r="BN20" i="42" s="1"/>
  <c r="BI20" i="42"/>
  <c r="BH20" i="42"/>
  <c r="BQ22" i="42"/>
  <c r="BP22" i="42"/>
  <c r="BO22" i="42"/>
  <c r="BM22" i="42"/>
  <c r="BL22" i="42"/>
  <c r="BK22" i="42"/>
  <c r="BJ22" i="42"/>
  <c r="BN22" i="42" s="1"/>
  <c r="BI22" i="42"/>
  <c r="BH22" i="42"/>
  <c r="BQ21" i="42"/>
  <c r="BP21" i="42"/>
  <c r="BO21" i="42"/>
  <c r="BM21" i="42"/>
  <c r="BL21" i="42"/>
  <c r="BK21" i="42"/>
  <c r="BJ21" i="42"/>
  <c r="BI21" i="42"/>
  <c r="BH21" i="42"/>
  <c r="BQ19" i="42"/>
  <c r="BP19" i="42"/>
  <c r="BO19" i="42"/>
  <c r="BM19" i="42"/>
  <c r="BL19" i="42"/>
  <c r="BK19" i="42"/>
  <c r="BJ19" i="42"/>
  <c r="BI19" i="42"/>
  <c r="BH19" i="42"/>
  <c r="BQ18" i="42"/>
  <c r="BP18" i="42"/>
  <c r="BO18" i="42"/>
  <c r="BM18" i="42"/>
  <c r="BL18" i="42"/>
  <c r="BK18" i="42"/>
  <c r="BJ18" i="42"/>
  <c r="BN18" i="42" s="1"/>
  <c r="BI18" i="42"/>
  <c r="BH18" i="42"/>
  <c r="BQ15" i="42"/>
  <c r="BP15" i="42"/>
  <c r="BO15" i="42"/>
  <c r="BM15" i="42"/>
  <c r="BL15" i="42"/>
  <c r="BK15" i="42"/>
  <c r="BJ15" i="42"/>
  <c r="BI15" i="42"/>
  <c r="BH15" i="42"/>
  <c r="BQ16" i="42"/>
  <c r="BP16" i="42"/>
  <c r="BO16" i="42"/>
  <c r="BM16" i="42"/>
  <c r="BL16" i="42"/>
  <c r="BK16" i="42"/>
  <c r="BJ16" i="42"/>
  <c r="BI16" i="42"/>
  <c r="BH16" i="42"/>
  <c r="BQ14" i="42"/>
  <c r="BP14" i="42"/>
  <c r="BO14" i="42"/>
  <c r="BM14" i="42"/>
  <c r="BL14" i="42"/>
  <c r="BK14" i="42"/>
  <c r="BJ14" i="42"/>
  <c r="BN14" i="42" s="1"/>
  <c r="BR14" i="42" s="1"/>
  <c r="BI14" i="42"/>
  <c r="BH14" i="42"/>
  <c r="BQ17" i="42"/>
  <c r="BP17" i="42"/>
  <c r="BO17" i="42"/>
  <c r="BM17" i="42"/>
  <c r="BL17" i="42"/>
  <c r="BK17" i="42"/>
  <c r="BJ17" i="42"/>
  <c r="BN17" i="42" s="1"/>
  <c r="BI17" i="42"/>
  <c r="BH17" i="42"/>
  <c r="BQ7" i="42"/>
  <c r="BP7" i="42"/>
  <c r="BO7" i="42"/>
  <c r="BM7" i="42"/>
  <c r="BL7" i="42"/>
  <c r="BK7" i="42"/>
  <c r="BJ7" i="42"/>
  <c r="BI7" i="42"/>
  <c r="BH7" i="42"/>
  <c r="BQ10" i="42"/>
  <c r="BP10" i="42"/>
  <c r="BO10" i="42"/>
  <c r="BM10" i="42"/>
  <c r="BL10" i="42"/>
  <c r="BK10" i="42"/>
  <c r="BJ10" i="42"/>
  <c r="BI10" i="42"/>
  <c r="BH10" i="42"/>
  <c r="BQ12" i="42"/>
  <c r="BP12" i="42"/>
  <c r="BO12" i="42"/>
  <c r="BM12" i="42"/>
  <c r="BL12" i="42"/>
  <c r="BK12" i="42"/>
  <c r="BJ12" i="42"/>
  <c r="BN12" i="42" s="1"/>
  <c r="BI12" i="42"/>
  <c r="BH12" i="42"/>
  <c r="BQ9" i="42"/>
  <c r="BP9" i="42"/>
  <c r="BO9" i="42"/>
  <c r="BM9" i="42"/>
  <c r="BL9" i="42"/>
  <c r="BK9" i="42"/>
  <c r="BJ9" i="42"/>
  <c r="BI9" i="42"/>
  <c r="BH9" i="42"/>
  <c r="BQ11" i="42"/>
  <c r="BP11" i="42"/>
  <c r="BO11" i="42"/>
  <c r="BM11" i="42"/>
  <c r="BL11" i="42"/>
  <c r="BK11" i="42"/>
  <c r="BJ11" i="42"/>
  <c r="BI11" i="42"/>
  <c r="BH11" i="42"/>
  <c r="BQ13" i="42"/>
  <c r="BP13" i="42"/>
  <c r="BO13" i="42"/>
  <c r="BM13" i="42"/>
  <c r="BL13" i="42"/>
  <c r="BK13" i="42"/>
  <c r="BJ13" i="42"/>
  <c r="BI13" i="42"/>
  <c r="BH13" i="42"/>
  <c r="BQ8" i="42"/>
  <c r="BP8" i="42"/>
  <c r="BO8" i="42"/>
  <c r="BM8" i="42"/>
  <c r="BL8" i="42"/>
  <c r="BK8" i="42"/>
  <c r="BJ8" i="42"/>
  <c r="BN8" i="42" s="1"/>
  <c r="BI8" i="42"/>
  <c r="BH8" i="42"/>
  <c r="BQ6" i="42"/>
  <c r="BP6" i="42"/>
  <c r="BO6" i="42"/>
  <c r="BM6" i="42"/>
  <c r="BL6" i="42"/>
  <c r="BK6" i="42"/>
  <c r="BJ6" i="42"/>
  <c r="BI6" i="42"/>
  <c r="BH6" i="42"/>
  <c r="BQ4" i="42"/>
  <c r="BP4" i="42"/>
  <c r="BO4" i="42"/>
  <c r="BM4" i="42"/>
  <c r="BL4" i="42"/>
  <c r="BK4" i="42"/>
  <c r="BJ4" i="42"/>
  <c r="BN4" i="42" s="1"/>
  <c r="BR4" i="42" s="1"/>
  <c r="BI4" i="42"/>
  <c r="BH4" i="42"/>
  <c r="BQ5" i="42"/>
  <c r="BP5" i="42"/>
  <c r="BO5" i="42"/>
  <c r="BM5" i="42"/>
  <c r="BL5" i="42"/>
  <c r="BK5" i="42"/>
  <c r="BJ5" i="42"/>
  <c r="BN5" i="42" s="1"/>
  <c r="BR5" i="42" s="1"/>
  <c r="BI5" i="42"/>
  <c r="BH5" i="42"/>
  <c r="AP25" i="42"/>
  <c r="AO25" i="42"/>
  <c r="AN25" i="42"/>
  <c r="AL25" i="42"/>
  <c r="AK25" i="42"/>
  <c r="AJ25" i="42"/>
  <c r="AI25" i="42"/>
  <c r="AM25" i="42" s="1"/>
  <c r="AH25" i="42"/>
  <c r="AG25" i="42"/>
  <c r="AP23" i="42"/>
  <c r="AO23" i="42"/>
  <c r="AN23" i="42"/>
  <c r="AL23" i="42"/>
  <c r="AK23" i="42"/>
  <c r="AJ23" i="42"/>
  <c r="AI23" i="42"/>
  <c r="AM23" i="42" s="1"/>
  <c r="AH23" i="42"/>
  <c r="AG23" i="42"/>
  <c r="AP27" i="42"/>
  <c r="AO27" i="42"/>
  <c r="AN27" i="42"/>
  <c r="AL27" i="42"/>
  <c r="AK27" i="42"/>
  <c r="AJ27" i="42"/>
  <c r="AI27" i="42"/>
  <c r="AH27" i="42"/>
  <c r="AG27" i="42"/>
  <c r="AP26" i="42"/>
  <c r="AO26" i="42"/>
  <c r="AN26" i="42"/>
  <c r="AL26" i="42"/>
  <c r="AK26" i="42"/>
  <c r="AJ26" i="42"/>
  <c r="AI26" i="42"/>
  <c r="AH26" i="42"/>
  <c r="AG26" i="42"/>
  <c r="AP24" i="42"/>
  <c r="AO24" i="42"/>
  <c r="AN24" i="42"/>
  <c r="AL24" i="42"/>
  <c r="AK24" i="42"/>
  <c r="AJ24" i="42"/>
  <c r="AI24" i="42"/>
  <c r="AM24" i="42" s="1"/>
  <c r="AQ24" i="42" s="1"/>
  <c r="AH24" i="42"/>
  <c r="AG24" i="42"/>
  <c r="AP20" i="42"/>
  <c r="AO20" i="42"/>
  <c r="AN20" i="42"/>
  <c r="AL20" i="42"/>
  <c r="AK20" i="42"/>
  <c r="AJ20" i="42"/>
  <c r="AI20" i="42"/>
  <c r="AM20" i="42" s="1"/>
  <c r="AH20" i="42"/>
  <c r="AG20" i="42"/>
  <c r="AP22" i="42"/>
  <c r="AO22" i="42"/>
  <c r="AN22" i="42"/>
  <c r="AL22" i="42"/>
  <c r="AK22" i="42"/>
  <c r="AJ22" i="42"/>
  <c r="AI22" i="42"/>
  <c r="AH22" i="42"/>
  <c r="AG22" i="42"/>
  <c r="AP21" i="42"/>
  <c r="AO21" i="42"/>
  <c r="AN21" i="42"/>
  <c r="AL21" i="42"/>
  <c r="AK21" i="42"/>
  <c r="AJ21" i="42"/>
  <c r="AI21" i="42"/>
  <c r="AH21" i="42"/>
  <c r="AG21" i="42"/>
  <c r="AP19" i="42"/>
  <c r="AO19" i="42"/>
  <c r="AN19" i="42"/>
  <c r="AL19" i="42"/>
  <c r="AK19" i="42"/>
  <c r="AJ19" i="42"/>
  <c r="AI19" i="42"/>
  <c r="AH19" i="42"/>
  <c r="AG19" i="42"/>
  <c r="AP18" i="42"/>
  <c r="AO18" i="42"/>
  <c r="AN18" i="42"/>
  <c r="AL18" i="42"/>
  <c r="AK18" i="42"/>
  <c r="AJ18" i="42"/>
  <c r="AI18" i="42"/>
  <c r="AM18" i="42" s="1"/>
  <c r="AH18" i="42"/>
  <c r="AG18" i="42"/>
  <c r="AP15" i="42"/>
  <c r="AO15" i="42"/>
  <c r="AN15" i="42"/>
  <c r="AL15" i="42"/>
  <c r="AK15" i="42"/>
  <c r="AJ15" i="42"/>
  <c r="AI15" i="42"/>
  <c r="AM15" i="42" s="1"/>
  <c r="AQ15" i="42" s="1"/>
  <c r="AH15" i="42"/>
  <c r="AG15" i="42"/>
  <c r="AP16" i="42"/>
  <c r="AO16" i="42"/>
  <c r="AN16" i="42"/>
  <c r="AL16" i="42"/>
  <c r="AK16" i="42"/>
  <c r="AJ16" i="42"/>
  <c r="AI16" i="42"/>
  <c r="AH16" i="42"/>
  <c r="AG16" i="42"/>
  <c r="AP14" i="42"/>
  <c r="AO14" i="42"/>
  <c r="AN14" i="42"/>
  <c r="AL14" i="42"/>
  <c r="AK14" i="42"/>
  <c r="AJ14" i="42"/>
  <c r="AI14" i="42"/>
  <c r="AH14" i="42"/>
  <c r="AG14" i="42"/>
  <c r="AP17" i="42"/>
  <c r="AO17" i="42"/>
  <c r="AN17" i="42"/>
  <c r="AL17" i="42"/>
  <c r="AK17" i="42"/>
  <c r="AJ17" i="42"/>
  <c r="AI17" i="42"/>
  <c r="AH17" i="42"/>
  <c r="AG17" i="42"/>
  <c r="AP7" i="42"/>
  <c r="AO7" i="42"/>
  <c r="AN7" i="42"/>
  <c r="AL7" i="42"/>
  <c r="AK7" i="42"/>
  <c r="AJ7" i="42"/>
  <c r="AI7" i="42"/>
  <c r="AH7" i="42"/>
  <c r="AG7" i="42"/>
  <c r="AP10" i="42"/>
  <c r="AO10" i="42"/>
  <c r="AN10" i="42"/>
  <c r="AL10" i="42"/>
  <c r="AK10" i="42"/>
  <c r="AJ10" i="42"/>
  <c r="AI10" i="42"/>
  <c r="AH10" i="42"/>
  <c r="AG10" i="42"/>
  <c r="AP12" i="42"/>
  <c r="AO12" i="42"/>
  <c r="AN12" i="42"/>
  <c r="AL12" i="42"/>
  <c r="AK12" i="42"/>
  <c r="AJ12" i="42"/>
  <c r="AI12" i="42"/>
  <c r="AH12" i="42"/>
  <c r="AG12" i="42"/>
  <c r="AP9" i="42"/>
  <c r="AO9" i="42"/>
  <c r="AN9" i="42"/>
  <c r="AL9" i="42"/>
  <c r="AK9" i="42"/>
  <c r="AJ9" i="42"/>
  <c r="AI9" i="42"/>
  <c r="AH9" i="42"/>
  <c r="AG9" i="42"/>
  <c r="AP11" i="42"/>
  <c r="AO11" i="42"/>
  <c r="AN11" i="42"/>
  <c r="AL11" i="42"/>
  <c r="AK11" i="42"/>
  <c r="AJ11" i="42"/>
  <c r="AI11" i="42"/>
  <c r="AH11" i="42"/>
  <c r="AG11" i="42"/>
  <c r="AP13" i="42"/>
  <c r="AO13" i="42"/>
  <c r="AN13" i="42"/>
  <c r="AL13" i="42"/>
  <c r="AK13" i="42"/>
  <c r="AJ13" i="42"/>
  <c r="AI13" i="42"/>
  <c r="AH13" i="42"/>
  <c r="AG13" i="42"/>
  <c r="AP8" i="42"/>
  <c r="AO8" i="42"/>
  <c r="AN8" i="42"/>
  <c r="AL8" i="42"/>
  <c r="AK8" i="42"/>
  <c r="AJ8" i="42"/>
  <c r="AI8" i="42"/>
  <c r="AH8" i="42"/>
  <c r="AG8" i="42"/>
  <c r="AP6" i="42"/>
  <c r="AO6" i="42"/>
  <c r="AN6" i="42"/>
  <c r="AL6" i="42"/>
  <c r="AK6" i="42"/>
  <c r="AJ6" i="42"/>
  <c r="AI6" i="42"/>
  <c r="AH6" i="42"/>
  <c r="AG6" i="42"/>
  <c r="AP4" i="42"/>
  <c r="AO4" i="42"/>
  <c r="AN4" i="42"/>
  <c r="AL4" i="42"/>
  <c r="AK4" i="42"/>
  <c r="AJ4" i="42"/>
  <c r="AI4" i="42"/>
  <c r="AH4" i="42"/>
  <c r="AG4" i="42"/>
  <c r="AP5" i="42"/>
  <c r="AO5" i="42"/>
  <c r="AN5" i="42"/>
  <c r="AL5" i="42"/>
  <c r="AK5" i="42"/>
  <c r="AJ5" i="42"/>
  <c r="AI5" i="42"/>
  <c r="AH5" i="42"/>
  <c r="AG5" i="42"/>
  <c r="BS13" i="38"/>
  <c r="BR13" i="38"/>
  <c r="BQ13" i="38"/>
  <c r="BO13" i="38"/>
  <c r="BN13" i="38"/>
  <c r="BM13" i="38"/>
  <c r="BL13" i="38"/>
  <c r="BK13" i="38"/>
  <c r="BJ13" i="38"/>
  <c r="BS14" i="38"/>
  <c r="BR14" i="38"/>
  <c r="BQ14" i="38"/>
  <c r="BO14" i="38"/>
  <c r="BN14" i="38"/>
  <c r="BM14" i="38"/>
  <c r="BL14" i="38"/>
  <c r="BK14" i="38"/>
  <c r="BJ14" i="38"/>
  <c r="BS11" i="38"/>
  <c r="BR11" i="38"/>
  <c r="BQ11" i="38"/>
  <c r="BO11" i="38"/>
  <c r="BN11" i="38"/>
  <c r="BM11" i="38"/>
  <c r="BL11" i="38"/>
  <c r="BK11" i="38"/>
  <c r="BJ11" i="38"/>
  <c r="BS10" i="38"/>
  <c r="BR10" i="38"/>
  <c r="BQ10" i="38"/>
  <c r="BO10" i="38"/>
  <c r="BN10" i="38"/>
  <c r="BM10" i="38"/>
  <c r="BL10" i="38"/>
  <c r="BK10" i="38"/>
  <c r="BJ10" i="38"/>
  <c r="BS9" i="38"/>
  <c r="BR9" i="38"/>
  <c r="BQ9" i="38"/>
  <c r="BO9" i="38"/>
  <c r="BN9" i="38"/>
  <c r="BM9" i="38"/>
  <c r="BL9" i="38"/>
  <c r="BK9" i="38"/>
  <c r="BJ9" i="38"/>
  <c r="BS8" i="38"/>
  <c r="BR8" i="38"/>
  <c r="BQ8" i="38"/>
  <c r="BO8" i="38"/>
  <c r="BN8" i="38"/>
  <c r="BM8" i="38"/>
  <c r="BL8" i="38"/>
  <c r="BK8" i="38"/>
  <c r="BJ8" i="38"/>
  <c r="BS7" i="38"/>
  <c r="BR7" i="38"/>
  <c r="BQ7" i="38"/>
  <c r="BO7" i="38"/>
  <c r="BN7" i="38"/>
  <c r="BM7" i="38"/>
  <c r="BL7" i="38"/>
  <c r="BK7" i="38"/>
  <c r="BJ7" i="38"/>
  <c r="BS6" i="38"/>
  <c r="BR6" i="38"/>
  <c r="BQ6" i="38"/>
  <c r="BO6" i="38"/>
  <c r="BN6" i="38"/>
  <c r="BM6" i="38"/>
  <c r="BL6" i="38"/>
  <c r="BP6" i="38" s="1"/>
  <c r="BK6" i="38"/>
  <c r="BJ6" i="38"/>
  <c r="BS12" i="38"/>
  <c r="BR12" i="38"/>
  <c r="BQ12" i="38"/>
  <c r="BO12" i="38"/>
  <c r="BN12" i="38"/>
  <c r="BM12" i="38"/>
  <c r="BL12" i="38"/>
  <c r="BK12" i="38"/>
  <c r="BJ12" i="38"/>
  <c r="BS5" i="38"/>
  <c r="BR5" i="38"/>
  <c r="BQ5" i="38"/>
  <c r="BO5" i="38"/>
  <c r="BN5" i="38"/>
  <c r="BM5" i="38"/>
  <c r="BL5" i="38"/>
  <c r="BK5" i="38"/>
  <c r="BJ5" i="38"/>
  <c r="BS4" i="38"/>
  <c r="BR4" i="38"/>
  <c r="BQ4" i="38"/>
  <c r="BO4" i="38"/>
  <c r="BN4" i="38"/>
  <c r="BM4" i="38"/>
  <c r="BL4" i="38"/>
  <c r="BK4" i="38"/>
  <c r="BJ4" i="38"/>
  <c r="AR13" i="38"/>
  <c r="AQ13" i="38"/>
  <c r="AP13" i="38"/>
  <c r="AN13" i="38"/>
  <c r="AM13" i="38"/>
  <c r="AL13" i="38"/>
  <c r="AK13" i="38"/>
  <c r="AJ13" i="38"/>
  <c r="AI13" i="38"/>
  <c r="AR14" i="38"/>
  <c r="AQ14" i="38"/>
  <c r="AP14" i="38"/>
  <c r="AN14" i="38"/>
  <c r="AM14" i="38"/>
  <c r="AL14" i="38"/>
  <c r="AK14" i="38"/>
  <c r="AJ14" i="38"/>
  <c r="AI14" i="38"/>
  <c r="AR11" i="38"/>
  <c r="AQ11" i="38"/>
  <c r="AP11" i="38"/>
  <c r="AN11" i="38"/>
  <c r="AM11" i="38"/>
  <c r="AL11" i="38"/>
  <c r="AK11" i="38"/>
  <c r="AJ11" i="38"/>
  <c r="AI11" i="38"/>
  <c r="AR10" i="38"/>
  <c r="AQ10" i="38"/>
  <c r="AP10" i="38"/>
  <c r="AN10" i="38"/>
  <c r="AM10" i="38"/>
  <c r="AL10" i="38"/>
  <c r="AK10" i="38"/>
  <c r="AJ10" i="38"/>
  <c r="AI10" i="38"/>
  <c r="AR9" i="38"/>
  <c r="AQ9" i="38"/>
  <c r="AP9" i="38"/>
  <c r="AN9" i="38"/>
  <c r="AM9" i="38"/>
  <c r="AL9" i="38"/>
  <c r="AK9" i="38"/>
  <c r="AJ9" i="38"/>
  <c r="AI9" i="38"/>
  <c r="AR8" i="38"/>
  <c r="AQ8" i="38"/>
  <c r="AP8" i="38"/>
  <c r="AN8" i="38"/>
  <c r="AM8" i="38"/>
  <c r="AL8" i="38"/>
  <c r="AK8" i="38"/>
  <c r="AJ8" i="38"/>
  <c r="AI8" i="38"/>
  <c r="AR7" i="38"/>
  <c r="AQ7" i="38"/>
  <c r="AP7" i="38"/>
  <c r="AN7" i="38"/>
  <c r="AM7" i="38"/>
  <c r="AL7" i="38"/>
  <c r="AK7" i="38"/>
  <c r="AJ7" i="38"/>
  <c r="AI7" i="38"/>
  <c r="AR6" i="38"/>
  <c r="AQ6" i="38"/>
  <c r="AP6" i="38"/>
  <c r="AN6" i="38"/>
  <c r="AM6" i="38"/>
  <c r="AL6" i="38"/>
  <c r="AK6" i="38"/>
  <c r="AO6" i="38" s="1"/>
  <c r="AJ6" i="38"/>
  <c r="AI6" i="38"/>
  <c r="AR12" i="38"/>
  <c r="AQ12" i="38"/>
  <c r="AP12" i="38"/>
  <c r="AN12" i="38"/>
  <c r="AM12" i="38"/>
  <c r="AL12" i="38"/>
  <c r="AK12" i="38"/>
  <c r="AJ12" i="38"/>
  <c r="AI12" i="38"/>
  <c r="AR5" i="38"/>
  <c r="AQ5" i="38"/>
  <c r="AP5" i="38"/>
  <c r="AN5" i="38"/>
  <c r="AM5" i="38"/>
  <c r="AL5" i="38"/>
  <c r="AK5" i="38"/>
  <c r="AJ5" i="38"/>
  <c r="AI5" i="38"/>
  <c r="AR4" i="38"/>
  <c r="AQ4" i="38"/>
  <c r="AP4" i="38"/>
  <c r="AN4" i="38"/>
  <c r="AM4" i="38"/>
  <c r="AL4" i="38"/>
  <c r="AK4" i="38"/>
  <c r="AJ4" i="38"/>
  <c r="AI4" i="38"/>
  <c r="BS24" i="4"/>
  <c r="BR24" i="4"/>
  <c r="BQ24" i="4"/>
  <c r="BO24" i="4"/>
  <c r="BN24" i="4"/>
  <c r="BM24" i="4"/>
  <c r="BL24" i="4"/>
  <c r="BK24" i="4"/>
  <c r="BJ24" i="4"/>
  <c r="BS21" i="4"/>
  <c r="BR21" i="4"/>
  <c r="BQ21" i="4"/>
  <c r="BO21" i="4"/>
  <c r="BN21" i="4"/>
  <c r="BM21" i="4"/>
  <c r="BL21" i="4"/>
  <c r="BP21" i="4" s="1"/>
  <c r="BK21" i="4"/>
  <c r="BJ21" i="4"/>
  <c r="BS20" i="4"/>
  <c r="BR20" i="4"/>
  <c r="BQ20" i="4"/>
  <c r="BO20" i="4"/>
  <c r="BN20" i="4"/>
  <c r="BM20" i="4"/>
  <c r="BL20" i="4"/>
  <c r="BP20" i="4" s="1"/>
  <c r="BT20" i="4" s="1"/>
  <c r="BK20" i="4"/>
  <c r="BJ20" i="4"/>
  <c r="BS16" i="4"/>
  <c r="BR16" i="4"/>
  <c r="BQ16" i="4"/>
  <c r="BO16" i="4"/>
  <c r="BN16" i="4"/>
  <c r="BM16" i="4"/>
  <c r="BL16" i="4"/>
  <c r="BK16" i="4"/>
  <c r="BJ16" i="4"/>
  <c r="BS23" i="4"/>
  <c r="BR23" i="4"/>
  <c r="BQ23" i="4"/>
  <c r="BO23" i="4"/>
  <c r="BN23" i="4"/>
  <c r="BM23" i="4"/>
  <c r="BL23" i="4"/>
  <c r="BP23" i="4" s="1"/>
  <c r="BK23" i="4"/>
  <c r="BJ23" i="4"/>
  <c r="BS10" i="4"/>
  <c r="BR10" i="4"/>
  <c r="BQ10" i="4"/>
  <c r="BO10" i="4"/>
  <c r="BN10" i="4"/>
  <c r="BM10" i="4"/>
  <c r="BL10" i="4"/>
  <c r="BK10" i="4"/>
  <c r="BJ10" i="4"/>
  <c r="BS19" i="4"/>
  <c r="BR19" i="4"/>
  <c r="BQ19" i="4"/>
  <c r="BO19" i="4"/>
  <c r="BN19" i="4"/>
  <c r="BM19" i="4"/>
  <c r="BL19" i="4"/>
  <c r="BP19" i="4" s="1"/>
  <c r="BK19" i="4"/>
  <c r="BJ19" i="4"/>
  <c r="BS12" i="4"/>
  <c r="BR12" i="4"/>
  <c r="BQ12" i="4"/>
  <c r="BO12" i="4"/>
  <c r="BN12" i="4"/>
  <c r="BM12" i="4"/>
  <c r="BL12" i="4"/>
  <c r="BK12" i="4"/>
  <c r="BJ12" i="4"/>
  <c r="BS22" i="4"/>
  <c r="BR22" i="4"/>
  <c r="BQ22" i="4"/>
  <c r="BO22" i="4"/>
  <c r="BN22" i="4"/>
  <c r="BM22" i="4"/>
  <c r="BL22" i="4"/>
  <c r="BK22" i="4"/>
  <c r="BJ22" i="4"/>
  <c r="BS17" i="4"/>
  <c r="BR17" i="4"/>
  <c r="BQ17" i="4"/>
  <c r="BO17" i="4"/>
  <c r="BN17" i="4"/>
  <c r="BM17" i="4"/>
  <c r="BL17" i="4"/>
  <c r="BK17" i="4"/>
  <c r="BJ17" i="4"/>
  <c r="BS11" i="4"/>
  <c r="BR11" i="4"/>
  <c r="BQ11" i="4"/>
  <c r="BO11" i="4"/>
  <c r="BN11" i="4"/>
  <c r="BM11" i="4"/>
  <c r="BL11" i="4"/>
  <c r="BK11" i="4"/>
  <c r="BJ11" i="4"/>
  <c r="BS18" i="4"/>
  <c r="BR18" i="4"/>
  <c r="BQ18" i="4"/>
  <c r="BO18" i="4"/>
  <c r="BN18" i="4"/>
  <c r="BM18" i="4"/>
  <c r="BL18" i="4"/>
  <c r="BK18" i="4"/>
  <c r="BJ18" i="4"/>
  <c r="BS13" i="4"/>
  <c r="BR13" i="4"/>
  <c r="BQ13" i="4"/>
  <c r="BO13" i="4"/>
  <c r="BN13" i="4"/>
  <c r="BM13" i="4"/>
  <c r="BL13" i="4"/>
  <c r="BK13" i="4"/>
  <c r="BJ13" i="4"/>
  <c r="BS15" i="4"/>
  <c r="BR15" i="4"/>
  <c r="BQ15" i="4"/>
  <c r="BO15" i="4"/>
  <c r="BN15" i="4"/>
  <c r="BM15" i="4"/>
  <c r="BL15" i="4"/>
  <c r="BK15" i="4"/>
  <c r="BJ15" i="4"/>
  <c r="BS9" i="4"/>
  <c r="BR9" i="4"/>
  <c r="BQ9" i="4"/>
  <c r="BO9" i="4"/>
  <c r="BN9" i="4"/>
  <c r="BM9" i="4"/>
  <c r="BL9" i="4"/>
  <c r="BK9" i="4"/>
  <c r="BJ9" i="4"/>
  <c r="BS14" i="4"/>
  <c r="BR14" i="4"/>
  <c r="BQ14" i="4"/>
  <c r="BO14" i="4"/>
  <c r="BN14" i="4"/>
  <c r="BM14" i="4"/>
  <c r="BL14" i="4"/>
  <c r="BK14" i="4"/>
  <c r="BJ14" i="4"/>
  <c r="BS8" i="4"/>
  <c r="BR8" i="4"/>
  <c r="BQ8" i="4"/>
  <c r="BO8" i="4"/>
  <c r="BN8" i="4"/>
  <c r="BM8" i="4"/>
  <c r="BL8" i="4"/>
  <c r="BK8" i="4"/>
  <c r="BJ8" i="4"/>
  <c r="BS7" i="4"/>
  <c r="BR7" i="4"/>
  <c r="BQ7" i="4"/>
  <c r="BO7" i="4"/>
  <c r="BN7" i="4"/>
  <c r="BM7" i="4"/>
  <c r="BL7" i="4"/>
  <c r="BK7" i="4"/>
  <c r="BJ7" i="4"/>
  <c r="BS6" i="4"/>
  <c r="BR6" i="4"/>
  <c r="BQ6" i="4"/>
  <c r="BO6" i="4"/>
  <c r="BN6" i="4"/>
  <c r="BM6" i="4"/>
  <c r="BL6" i="4"/>
  <c r="BK6" i="4"/>
  <c r="BJ6" i="4"/>
  <c r="BS5" i="4"/>
  <c r="BR5" i="4"/>
  <c r="BQ5" i="4"/>
  <c r="BO5" i="4"/>
  <c r="BN5" i="4"/>
  <c r="BM5" i="4"/>
  <c r="BL5" i="4"/>
  <c r="BK5" i="4"/>
  <c r="BJ5" i="4"/>
  <c r="BS4" i="4"/>
  <c r="BR4" i="4"/>
  <c r="BQ4" i="4"/>
  <c r="BO4" i="4"/>
  <c r="BN4" i="4"/>
  <c r="BM4" i="4"/>
  <c r="BL4" i="4"/>
  <c r="BK4" i="4"/>
  <c r="BJ4" i="4"/>
  <c r="AR24" i="4"/>
  <c r="AQ24" i="4"/>
  <c r="AP24" i="4"/>
  <c r="AN24" i="4"/>
  <c r="AM24" i="4"/>
  <c r="AL24" i="4"/>
  <c r="AK24" i="4"/>
  <c r="AO24" i="4" s="1"/>
  <c r="AJ24" i="4"/>
  <c r="AI24" i="4"/>
  <c r="AR21" i="4"/>
  <c r="AQ21" i="4"/>
  <c r="AP21" i="4"/>
  <c r="AN21" i="4"/>
  <c r="AM21" i="4"/>
  <c r="AL21" i="4"/>
  <c r="AK21" i="4"/>
  <c r="AJ21" i="4"/>
  <c r="AI21" i="4"/>
  <c r="AR20" i="4"/>
  <c r="AQ20" i="4"/>
  <c r="AP20" i="4"/>
  <c r="AN20" i="4"/>
  <c r="AM20" i="4"/>
  <c r="AL20" i="4"/>
  <c r="AK20" i="4"/>
  <c r="AJ20" i="4"/>
  <c r="AI20" i="4"/>
  <c r="AR16" i="4"/>
  <c r="AQ16" i="4"/>
  <c r="AP16" i="4"/>
  <c r="AN16" i="4"/>
  <c r="AM16" i="4"/>
  <c r="AL16" i="4"/>
  <c r="AK16" i="4"/>
  <c r="AJ16" i="4"/>
  <c r="AI16" i="4"/>
  <c r="AR23" i="4"/>
  <c r="AQ23" i="4"/>
  <c r="AP23" i="4"/>
  <c r="AN23" i="4"/>
  <c r="AM23" i="4"/>
  <c r="AL23" i="4"/>
  <c r="AK23" i="4"/>
  <c r="AO23" i="4" s="1"/>
  <c r="AJ23" i="4"/>
  <c r="AI23" i="4"/>
  <c r="AR10" i="4"/>
  <c r="AQ10" i="4"/>
  <c r="AP10" i="4"/>
  <c r="AN10" i="4"/>
  <c r="AM10" i="4"/>
  <c r="AL10" i="4"/>
  <c r="AK10" i="4"/>
  <c r="AO10" i="4" s="1"/>
  <c r="AJ10" i="4"/>
  <c r="AI10" i="4"/>
  <c r="AR19" i="4"/>
  <c r="AQ19" i="4"/>
  <c r="AP19" i="4"/>
  <c r="AN19" i="4"/>
  <c r="AM19" i="4"/>
  <c r="AL19" i="4"/>
  <c r="AK19" i="4"/>
  <c r="AJ19" i="4"/>
  <c r="AI19" i="4"/>
  <c r="AR12" i="4"/>
  <c r="AQ12" i="4"/>
  <c r="AP12" i="4"/>
  <c r="AN12" i="4"/>
  <c r="AM12" i="4"/>
  <c r="AL12" i="4"/>
  <c r="AK12" i="4"/>
  <c r="AJ12" i="4"/>
  <c r="AI12" i="4"/>
  <c r="AR22" i="4"/>
  <c r="AQ22" i="4"/>
  <c r="AP22" i="4"/>
  <c r="AN22" i="4"/>
  <c r="AM22" i="4"/>
  <c r="AL22" i="4"/>
  <c r="AK22" i="4"/>
  <c r="AJ22" i="4"/>
  <c r="AI22" i="4"/>
  <c r="AR17" i="4"/>
  <c r="AQ17" i="4"/>
  <c r="AP17" i="4"/>
  <c r="AN17" i="4"/>
  <c r="AM17" i="4"/>
  <c r="AL17" i="4"/>
  <c r="AK17" i="4"/>
  <c r="AO17" i="4" s="1"/>
  <c r="AJ17" i="4"/>
  <c r="AI17" i="4"/>
  <c r="AR11" i="4"/>
  <c r="AQ11" i="4"/>
  <c r="AP11" i="4"/>
  <c r="AN11" i="4"/>
  <c r="AM11" i="4"/>
  <c r="AL11" i="4"/>
  <c r="AK11" i="4"/>
  <c r="AJ11" i="4"/>
  <c r="AI11" i="4"/>
  <c r="AR18" i="4"/>
  <c r="AQ18" i="4"/>
  <c r="AP18" i="4"/>
  <c r="AN18" i="4"/>
  <c r="AM18" i="4"/>
  <c r="AL18" i="4"/>
  <c r="AK18" i="4"/>
  <c r="AJ18" i="4"/>
  <c r="AI18" i="4"/>
  <c r="AR13" i="4"/>
  <c r="AQ13" i="4"/>
  <c r="AP13" i="4"/>
  <c r="AN13" i="4"/>
  <c r="AM13" i="4"/>
  <c r="AL13" i="4"/>
  <c r="AK13" i="4"/>
  <c r="AJ13" i="4"/>
  <c r="AI13" i="4"/>
  <c r="AR15" i="4"/>
  <c r="AQ15" i="4"/>
  <c r="AP15" i="4"/>
  <c r="AN15" i="4"/>
  <c r="AM15" i="4"/>
  <c r="AL15" i="4"/>
  <c r="AK15" i="4"/>
  <c r="AJ15" i="4"/>
  <c r="AI15" i="4"/>
  <c r="AR9" i="4"/>
  <c r="AQ9" i="4"/>
  <c r="AP9" i="4"/>
  <c r="AN9" i="4"/>
  <c r="AM9" i="4"/>
  <c r="AL9" i="4"/>
  <c r="AK9" i="4"/>
  <c r="AJ9" i="4"/>
  <c r="AI9" i="4"/>
  <c r="AR14" i="4"/>
  <c r="AQ14" i="4"/>
  <c r="AP14" i="4"/>
  <c r="AN14" i="4"/>
  <c r="AM14" i="4"/>
  <c r="AL14" i="4"/>
  <c r="AK14" i="4"/>
  <c r="AJ14" i="4"/>
  <c r="AI14" i="4"/>
  <c r="AR8" i="4"/>
  <c r="AQ8" i="4"/>
  <c r="AP8" i="4"/>
  <c r="AN8" i="4"/>
  <c r="AM8" i="4"/>
  <c r="AL8" i="4"/>
  <c r="AK8" i="4"/>
  <c r="AO8" i="4" s="1"/>
  <c r="AJ8" i="4"/>
  <c r="AI8" i="4"/>
  <c r="AR7" i="4"/>
  <c r="AQ7" i="4"/>
  <c r="AP7" i="4"/>
  <c r="AN7" i="4"/>
  <c r="AM7" i="4"/>
  <c r="AL7" i="4"/>
  <c r="AK7" i="4"/>
  <c r="AJ7" i="4"/>
  <c r="AI7" i="4"/>
  <c r="AR6" i="4"/>
  <c r="AQ6" i="4"/>
  <c r="AP6" i="4"/>
  <c r="AN6" i="4"/>
  <c r="AM6" i="4"/>
  <c r="AL6" i="4"/>
  <c r="AK6" i="4"/>
  <c r="AJ6" i="4"/>
  <c r="AI6" i="4"/>
  <c r="AR5" i="4"/>
  <c r="AQ5" i="4"/>
  <c r="AP5" i="4"/>
  <c r="AN5" i="4"/>
  <c r="AM5" i="4"/>
  <c r="AL5" i="4"/>
  <c r="AK5" i="4"/>
  <c r="AJ5" i="4"/>
  <c r="AI5" i="4"/>
  <c r="AR4" i="4"/>
  <c r="AQ4" i="4"/>
  <c r="AP4" i="4"/>
  <c r="AN4" i="4"/>
  <c r="AM4" i="4"/>
  <c r="AL4" i="4"/>
  <c r="AK4" i="4"/>
  <c r="AJ4" i="4"/>
  <c r="AI4" i="4"/>
  <c r="BJ8" i="45"/>
  <c r="BK8" i="45"/>
  <c r="BL8" i="45"/>
  <c r="BM8" i="45"/>
  <c r="BN8" i="45"/>
  <c r="BO8" i="45"/>
  <c r="BQ8" i="45"/>
  <c r="BR8" i="45"/>
  <c r="BS8" i="45"/>
  <c r="CQ8" i="45"/>
  <c r="CR8" i="45"/>
  <c r="CS8" i="45"/>
  <c r="CT8" i="45"/>
  <c r="CU8" i="45"/>
  <c r="CV8" i="45"/>
  <c r="CX8" i="45"/>
  <c r="CY8" i="45"/>
  <c r="CZ8" i="45"/>
  <c r="DA8" i="45"/>
  <c r="DB8" i="45"/>
  <c r="DC8" i="45"/>
  <c r="DY8" i="45"/>
  <c r="DZ8" i="45"/>
  <c r="EA8" i="45"/>
  <c r="EB8" i="45"/>
  <c r="EC8" i="45"/>
  <c r="ED8" i="45"/>
  <c r="EF8" i="45"/>
  <c r="EG8" i="45"/>
  <c r="EH8" i="45"/>
  <c r="EI8" i="45"/>
  <c r="EJ8" i="45"/>
  <c r="EK8" i="45"/>
  <c r="FG8" i="45"/>
  <c r="FH8" i="45"/>
  <c r="FI8" i="45"/>
  <c r="FJ8" i="45"/>
  <c r="FK8" i="45"/>
  <c r="FL8" i="45"/>
  <c r="FN8" i="45"/>
  <c r="FO8" i="45"/>
  <c r="FP8" i="45"/>
  <c r="FQ8" i="45"/>
  <c r="FR8" i="45"/>
  <c r="FS8" i="45"/>
  <c r="GO8" i="45"/>
  <c r="GP8" i="45"/>
  <c r="GQ8" i="45"/>
  <c r="GR8" i="45"/>
  <c r="GS8" i="45"/>
  <c r="GT8" i="45"/>
  <c r="GV8" i="45"/>
  <c r="GW8" i="45"/>
  <c r="GX8" i="45"/>
  <c r="GY8" i="45"/>
  <c r="GZ8" i="45"/>
  <c r="HA8" i="45"/>
  <c r="HW8" i="45"/>
  <c r="HX8" i="45"/>
  <c r="HY8" i="45"/>
  <c r="HZ8" i="45"/>
  <c r="IA8" i="45"/>
  <c r="IB8" i="45"/>
  <c r="ID8" i="45"/>
  <c r="IE8" i="45"/>
  <c r="IF8" i="45"/>
  <c r="IG8" i="45"/>
  <c r="IH8" i="45"/>
  <c r="II8" i="45"/>
  <c r="JE8" i="45"/>
  <c r="JF8" i="45"/>
  <c r="JG8" i="45"/>
  <c r="JH8" i="45"/>
  <c r="JI8" i="45"/>
  <c r="JJ8" i="45"/>
  <c r="JL8" i="45"/>
  <c r="JM8" i="45"/>
  <c r="JN8" i="45"/>
  <c r="JO8" i="45"/>
  <c r="JP8" i="45"/>
  <c r="JQ8" i="45"/>
  <c r="KM8" i="45"/>
  <c r="KN8" i="45"/>
  <c r="KO8" i="45"/>
  <c r="KP8" i="45"/>
  <c r="KQ8" i="45"/>
  <c r="KR8" i="45"/>
  <c r="KT8" i="45"/>
  <c r="KU8" i="45"/>
  <c r="KV8" i="45"/>
  <c r="KW8" i="45"/>
  <c r="KX8" i="45"/>
  <c r="KY8" i="45"/>
  <c r="LU8" i="45"/>
  <c r="LV8" i="45"/>
  <c r="LW8" i="45"/>
  <c r="LX8" i="45"/>
  <c r="LY8" i="45"/>
  <c r="LZ8" i="45"/>
  <c r="MB8" i="45"/>
  <c r="MC8" i="45"/>
  <c r="MD8" i="45"/>
  <c r="ME8" i="45"/>
  <c r="MF8" i="45"/>
  <c r="MG8" i="45"/>
  <c r="NC8" i="45"/>
  <c r="ND8" i="45"/>
  <c r="NE8" i="45"/>
  <c r="NF8" i="45"/>
  <c r="NG8" i="45"/>
  <c r="NH8" i="45"/>
  <c r="NJ8" i="45"/>
  <c r="NK8" i="45"/>
  <c r="NL8" i="45"/>
  <c r="NM8" i="45"/>
  <c r="NN8" i="45"/>
  <c r="NO8" i="45"/>
  <c r="OK8" i="45"/>
  <c r="OL8" i="45"/>
  <c r="OM8" i="45"/>
  <c r="ON8" i="45"/>
  <c r="OO8" i="45"/>
  <c r="OP8" i="45"/>
  <c r="OR8" i="45"/>
  <c r="OS8" i="45"/>
  <c r="OT8" i="45"/>
  <c r="OU8" i="45"/>
  <c r="OV8" i="45"/>
  <c r="OW8" i="45"/>
  <c r="PS8" i="45"/>
  <c r="PT8" i="45"/>
  <c r="PU8" i="45"/>
  <c r="PV8" i="45"/>
  <c r="PW8" i="45"/>
  <c r="PX8" i="45"/>
  <c r="PZ8" i="45"/>
  <c r="QA8" i="45"/>
  <c r="QB8" i="45"/>
  <c r="QC8" i="45"/>
  <c r="QD8" i="45"/>
  <c r="QE8" i="45"/>
  <c r="RA8" i="45"/>
  <c r="RB8" i="45"/>
  <c r="RC8" i="45"/>
  <c r="RD8" i="45"/>
  <c r="RE8" i="45"/>
  <c r="RF8" i="45"/>
  <c r="RH8" i="45"/>
  <c r="RI8" i="45"/>
  <c r="RJ8" i="45"/>
  <c r="RK8" i="45"/>
  <c r="RL8" i="45"/>
  <c r="RM8" i="45"/>
  <c r="SI8" i="45"/>
  <c r="SJ8" i="45"/>
  <c r="SK8" i="45"/>
  <c r="SL8" i="45"/>
  <c r="SM8" i="45"/>
  <c r="SN8" i="45"/>
  <c r="SP8" i="45"/>
  <c r="SQ8" i="45"/>
  <c r="SR8" i="45"/>
  <c r="SS8" i="45"/>
  <c r="ST8" i="45"/>
  <c r="SU8" i="45"/>
  <c r="TQ8" i="45"/>
  <c r="TR8" i="45"/>
  <c r="TS8" i="45"/>
  <c r="TT8" i="45"/>
  <c r="TU8" i="45"/>
  <c r="TV8" i="45"/>
  <c r="TX8" i="45"/>
  <c r="TY8" i="45"/>
  <c r="TZ8" i="45"/>
  <c r="UA8" i="45"/>
  <c r="UB8" i="45"/>
  <c r="UC8" i="45"/>
  <c r="UY8" i="45"/>
  <c r="UZ8" i="45"/>
  <c r="VA8" i="45"/>
  <c r="VB8" i="45"/>
  <c r="VC8" i="45"/>
  <c r="VD8" i="45"/>
  <c r="VF8" i="45"/>
  <c r="VG8" i="45"/>
  <c r="VH8" i="45"/>
  <c r="VI8" i="45"/>
  <c r="VJ8" i="45"/>
  <c r="VK8" i="45"/>
  <c r="BJ9" i="45"/>
  <c r="BK9" i="45"/>
  <c r="BL9" i="45"/>
  <c r="BM9" i="45"/>
  <c r="BN9" i="45"/>
  <c r="BO9" i="45"/>
  <c r="BQ9" i="45"/>
  <c r="BR9" i="45"/>
  <c r="BS9" i="45"/>
  <c r="CQ9" i="45"/>
  <c r="CR9" i="45"/>
  <c r="CS9" i="45"/>
  <c r="CT9" i="45"/>
  <c r="CU9" i="45"/>
  <c r="CV9" i="45"/>
  <c r="CX9" i="45"/>
  <c r="CY9" i="45"/>
  <c r="CZ9" i="45"/>
  <c r="DA9" i="45"/>
  <c r="DB9" i="45"/>
  <c r="DC9" i="45"/>
  <c r="DY9" i="45"/>
  <c r="DZ9" i="45"/>
  <c r="EA9" i="45"/>
  <c r="EB9" i="45"/>
  <c r="EC9" i="45"/>
  <c r="ED9" i="45"/>
  <c r="EF9" i="45"/>
  <c r="EG9" i="45"/>
  <c r="EH9" i="45"/>
  <c r="EI9" i="45"/>
  <c r="EJ9" i="45"/>
  <c r="EK9" i="45"/>
  <c r="FG9" i="45"/>
  <c r="FH9" i="45"/>
  <c r="FI9" i="45"/>
  <c r="FJ9" i="45"/>
  <c r="FK9" i="45"/>
  <c r="FL9" i="45"/>
  <c r="FN9" i="45"/>
  <c r="FO9" i="45"/>
  <c r="FP9" i="45"/>
  <c r="FQ9" i="45"/>
  <c r="FR9" i="45"/>
  <c r="FS9" i="45"/>
  <c r="GO9" i="45"/>
  <c r="GP9" i="45"/>
  <c r="GQ9" i="45"/>
  <c r="GR9" i="45"/>
  <c r="GS9" i="45"/>
  <c r="GT9" i="45"/>
  <c r="GV9" i="45"/>
  <c r="GW9" i="45"/>
  <c r="GX9" i="45"/>
  <c r="GY9" i="45"/>
  <c r="GZ9" i="45"/>
  <c r="HA9" i="45"/>
  <c r="HW9" i="45"/>
  <c r="HX9" i="45"/>
  <c r="HY9" i="45"/>
  <c r="HZ9" i="45"/>
  <c r="IA9" i="45"/>
  <c r="IB9" i="45"/>
  <c r="ID9" i="45"/>
  <c r="IE9" i="45"/>
  <c r="IF9" i="45"/>
  <c r="IG9" i="45"/>
  <c r="IH9" i="45"/>
  <c r="II9" i="45"/>
  <c r="JE9" i="45"/>
  <c r="JF9" i="45"/>
  <c r="JG9" i="45"/>
  <c r="JH9" i="45"/>
  <c r="JI9" i="45"/>
  <c r="JJ9" i="45"/>
  <c r="JL9" i="45"/>
  <c r="JM9" i="45"/>
  <c r="JN9" i="45"/>
  <c r="JO9" i="45"/>
  <c r="JP9" i="45"/>
  <c r="JQ9" i="45"/>
  <c r="KM9" i="45"/>
  <c r="KN9" i="45"/>
  <c r="KO9" i="45"/>
  <c r="KP9" i="45"/>
  <c r="KQ9" i="45"/>
  <c r="KR9" i="45"/>
  <c r="KT9" i="45"/>
  <c r="KU9" i="45"/>
  <c r="KV9" i="45"/>
  <c r="KW9" i="45"/>
  <c r="KX9" i="45"/>
  <c r="KY9" i="45"/>
  <c r="LU9" i="45"/>
  <c r="LV9" i="45"/>
  <c r="LW9" i="45"/>
  <c r="LX9" i="45"/>
  <c r="LY9" i="45"/>
  <c r="LZ9" i="45"/>
  <c r="MB9" i="45"/>
  <c r="MC9" i="45"/>
  <c r="MD9" i="45"/>
  <c r="ME9" i="45"/>
  <c r="MF9" i="45"/>
  <c r="MG9" i="45"/>
  <c r="NC9" i="45"/>
  <c r="ND9" i="45"/>
  <c r="NE9" i="45"/>
  <c r="NF9" i="45"/>
  <c r="NG9" i="45"/>
  <c r="NH9" i="45"/>
  <c r="NJ9" i="45"/>
  <c r="NK9" i="45"/>
  <c r="NL9" i="45"/>
  <c r="NM9" i="45"/>
  <c r="NN9" i="45"/>
  <c r="NO9" i="45"/>
  <c r="OK9" i="45"/>
  <c r="OL9" i="45"/>
  <c r="OM9" i="45"/>
  <c r="ON9" i="45"/>
  <c r="OO9" i="45"/>
  <c r="OP9" i="45"/>
  <c r="OR9" i="45"/>
  <c r="OS9" i="45"/>
  <c r="OT9" i="45"/>
  <c r="OU9" i="45"/>
  <c r="OV9" i="45"/>
  <c r="OW9" i="45"/>
  <c r="PS9" i="45"/>
  <c r="PT9" i="45"/>
  <c r="PU9" i="45"/>
  <c r="PV9" i="45"/>
  <c r="PW9" i="45"/>
  <c r="PX9" i="45"/>
  <c r="PZ9" i="45"/>
  <c r="QA9" i="45"/>
  <c r="QB9" i="45"/>
  <c r="QC9" i="45"/>
  <c r="QD9" i="45"/>
  <c r="QE9" i="45"/>
  <c r="RA9" i="45"/>
  <c r="RB9" i="45"/>
  <c r="RC9" i="45"/>
  <c r="RD9" i="45"/>
  <c r="RE9" i="45"/>
  <c r="RF9" i="45"/>
  <c r="RH9" i="45"/>
  <c r="RI9" i="45"/>
  <c r="RJ9" i="45"/>
  <c r="RK9" i="45"/>
  <c r="RL9" i="45"/>
  <c r="RM9" i="45"/>
  <c r="SI9" i="45"/>
  <c r="SJ9" i="45"/>
  <c r="SK9" i="45"/>
  <c r="SL9" i="45"/>
  <c r="SM9" i="45"/>
  <c r="SN9" i="45"/>
  <c r="SP9" i="45"/>
  <c r="SQ9" i="45"/>
  <c r="SR9" i="45"/>
  <c r="SS9" i="45"/>
  <c r="ST9" i="45"/>
  <c r="SU9" i="45"/>
  <c r="TQ9" i="45"/>
  <c r="TR9" i="45"/>
  <c r="TS9" i="45"/>
  <c r="TT9" i="45"/>
  <c r="TU9" i="45"/>
  <c r="TV9" i="45"/>
  <c r="TX9" i="45"/>
  <c r="TY9" i="45"/>
  <c r="TZ9" i="45"/>
  <c r="UA9" i="45"/>
  <c r="UB9" i="45"/>
  <c r="UC9" i="45"/>
  <c r="UY9" i="45"/>
  <c r="UZ9" i="45"/>
  <c r="VA9" i="45"/>
  <c r="VB9" i="45"/>
  <c r="VC9" i="45"/>
  <c r="VD9" i="45"/>
  <c r="VF9" i="45"/>
  <c r="VG9" i="45"/>
  <c r="VH9" i="45"/>
  <c r="VI9" i="45"/>
  <c r="VJ9" i="45"/>
  <c r="VK9" i="45"/>
  <c r="BJ12" i="45"/>
  <c r="BK12" i="45"/>
  <c r="BL12" i="45"/>
  <c r="BM12" i="45"/>
  <c r="BN12" i="45"/>
  <c r="BO12" i="45"/>
  <c r="BQ12" i="45"/>
  <c r="BR12" i="45"/>
  <c r="BS12" i="45"/>
  <c r="CQ12" i="45"/>
  <c r="CR12" i="45"/>
  <c r="CS12" i="45"/>
  <c r="CT12" i="45"/>
  <c r="CU12" i="45"/>
  <c r="CV12" i="45"/>
  <c r="CX12" i="45"/>
  <c r="CY12" i="45"/>
  <c r="CZ12" i="45"/>
  <c r="DA12" i="45"/>
  <c r="DB12" i="45"/>
  <c r="DC12" i="45"/>
  <c r="DY12" i="45"/>
  <c r="DZ12" i="45"/>
  <c r="EA12" i="45"/>
  <c r="EB12" i="45"/>
  <c r="EC12" i="45"/>
  <c r="ED12" i="45"/>
  <c r="EF12" i="45"/>
  <c r="EG12" i="45"/>
  <c r="EH12" i="45"/>
  <c r="EI12" i="45"/>
  <c r="EJ12" i="45"/>
  <c r="EK12" i="45"/>
  <c r="FG12" i="45"/>
  <c r="FH12" i="45"/>
  <c r="FI12" i="45"/>
  <c r="FJ12" i="45"/>
  <c r="FK12" i="45"/>
  <c r="FL12" i="45"/>
  <c r="FN12" i="45"/>
  <c r="FO12" i="45"/>
  <c r="FP12" i="45"/>
  <c r="FQ12" i="45"/>
  <c r="FR12" i="45"/>
  <c r="FS12" i="45"/>
  <c r="GO12" i="45"/>
  <c r="GP12" i="45"/>
  <c r="GQ12" i="45"/>
  <c r="GR12" i="45"/>
  <c r="GS12" i="45"/>
  <c r="GT12" i="45"/>
  <c r="GV12" i="45"/>
  <c r="GW12" i="45"/>
  <c r="GX12" i="45"/>
  <c r="GY12" i="45"/>
  <c r="GZ12" i="45"/>
  <c r="HA12" i="45"/>
  <c r="HW12" i="45"/>
  <c r="HX12" i="45"/>
  <c r="HY12" i="45"/>
  <c r="HZ12" i="45"/>
  <c r="IA12" i="45"/>
  <c r="IB12" i="45"/>
  <c r="ID12" i="45"/>
  <c r="IE12" i="45"/>
  <c r="IF12" i="45"/>
  <c r="IG12" i="45"/>
  <c r="IH12" i="45"/>
  <c r="II12" i="45"/>
  <c r="JE12" i="45"/>
  <c r="JF12" i="45"/>
  <c r="JG12" i="45"/>
  <c r="JH12" i="45"/>
  <c r="JI12" i="45"/>
  <c r="JJ12" i="45"/>
  <c r="JL12" i="45"/>
  <c r="JM12" i="45"/>
  <c r="JN12" i="45"/>
  <c r="JO12" i="45"/>
  <c r="JP12" i="45"/>
  <c r="JQ12" i="45"/>
  <c r="KM12" i="45"/>
  <c r="KN12" i="45"/>
  <c r="KO12" i="45"/>
  <c r="KP12" i="45"/>
  <c r="KQ12" i="45"/>
  <c r="KR12" i="45"/>
  <c r="KT12" i="45"/>
  <c r="KU12" i="45"/>
  <c r="KV12" i="45"/>
  <c r="KW12" i="45"/>
  <c r="KX12" i="45"/>
  <c r="KY12" i="45"/>
  <c r="LU12" i="45"/>
  <c r="LV12" i="45"/>
  <c r="LW12" i="45"/>
  <c r="LX12" i="45"/>
  <c r="LY12" i="45"/>
  <c r="LZ12" i="45"/>
  <c r="MB12" i="45"/>
  <c r="MC12" i="45"/>
  <c r="MD12" i="45"/>
  <c r="ME12" i="45"/>
  <c r="MF12" i="45"/>
  <c r="MG12" i="45"/>
  <c r="NC12" i="45"/>
  <c r="ND12" i="45"/>
  <c r="NE12" i="45"/>
  <c r="NF12" i="45"/>
  <c r="NG12" i="45"/>
  <c r="NH12" i="45"/>
  <c r="NJ12" i="45"/>
  <c r="NK12" i="45"/>
  <c r="NL12" i="45"/>
  <c r="NM12" i="45"/>
  <c r="NN12" i="45"/>
  <c r="NO12" i="45"/>
  <c r="OK12" i="45"/>
  <c r="OL12" i="45"/>
  <c r="OM12" i="45"/>
  <c r="ON12" i="45"/>
  <c r="OO12" i="45"/>
  <c r="OP12" i="45"/>
  <c r="OR12" i="45"/>
  <c r="OS12" i="45"/>
  <c r="OT12" i="45"/>
  <c r="OU12" i="45"/>
  <c r="OV12" i="45"/>
  <c r="OW12" i="45"/>
  <c r="PS12" i="45"/>
  <c r="PT12" i="45"/>
  <c r="PU12" i="45"/>
  <c r="PV12" i="45"/>
  <c r="PW12" i="45"/>
  <c r="PX12" i="45"/>
  <c r="PZ12" i="45"/>
  <c r="QA12" i="45"/>
  <c r="QB12" i="45"/>
  <c r="QC12" i="45"/>
  <c r="QD12" i="45"/>
  <c r="QE12" i="45"/>
  <c r="RA12" i="45"/>
  <c r="RB12" i="45"/>
  <c r="RC12" i="45"/>
  <c r="RD12" i="45"/>
  <c r="RE12" i="45"/>
  <c r="RF12" i="45"/>
  <c r="RH12" i="45"/>
  <c r="RI12" i="45"/>
  <c r="RJ12" i="45"/>
  <c r="RK12" i="45"/>
  <c r="RL12" i="45"/>
  <c r="RM12" i="45"/>
  <c r="SI12" i="45"/>
  <c r="SJ12" i="45"/>
  <c r="SK12" i="45"/>
  <c r="SL12" i="45"/>
  <c r="SM12" i="45"/>
  <c r="SN12" i="45"/>
  <c r="SP12" i="45"/>
  <c r="SQ12" i="45"/>
  <c r="SR12" i="45"/>
  <c r="SS12" i="45"/>
  <c r="ST12" i="45"/>
  <c r="SU12" i="45"/>
  <c r="TQ12" i="45"/>
  <c r="TR12" i="45"/>
  <c r="TS12" i="45"/>
  <c r="TT12" i="45"/>
  <c r="TU12" i="45"/>
  <c r="TV12" i="45"/>
  <c r="TX12" i="45"/>
  <c r="TY12" i="45"/>
  <c r="TZ12" i="45"/>
  <c r="UA12" i="45"/>
  <c r="UB12" i="45"/>
  <c r="UC12" i="45"/>
  <c r="UY12" i="45"/>
  <c r="UZ12" i="45"/>
  <c r="VA12" i="45"/>
  <c r="VB12" i="45"/>
  <c r="VC12" i="45"/>
  <c r="VD12" i="45"/>
  <c r="VF12" i="45"/>
  <c r="VG12" i="45"/>
  <c r="VH12" i="45"/>
  <c r="VI12" i="45"/>
  <c r="VJ12" i="45"/>
  <c r="VK12" i="45"/>
  <c r="BJ11" i="45"/>
  <c r="BK11" i="45"/>
  <c r="BL11" i="45"/>
  <c r="BP11" i="45" s="1"/>
  <c r="BM11" i="45"/>
  <c r="BN11" i="45"/>
  <c r="BO11" i="45"/>
  <c r="BQ11" i="45"/>
  <c r="BR11" i="45"/>
  <c r="BS11" i="45"/>
  <c r="CQ11" i="45"/>
  <c r="CR11" i="45"/>
  <c r="CS11" i="45"/>
  <c r="CT11" i="45"/>
  <c r="CU11" i="45"/>
  <c r="CV11" i="45"/>
  <c r="CX11" i="45"/>
  <c r="CY11" i="45"/>
  <c r="CZ11" i="45"/>
  <c r="DA11" i="45"/>
  <c r="DB11" i="45"/>
  <c r="DC11" i="45"/>
  <c r="DY11" i="45"/>
  <c r="DZ11" i="45"/>
  <c r="EA11" i="45"/>
  <c r="EB11" i="45"/>
  <c r="EC11" i="45"/>
  <c r="ED11" i="45"/>
  <c r="EF11" i="45"/>
  <c r="EG11" i="45"/>
  <c r="EH11" i="45"/>
  <c r="EI11" i="45"/>
  <c r="EJ11" i="45"/>
  <c r="EK11" i="45"/>
  <c r="FG11" i="45"/>
  <c r="FH11" i="45"/>
  <c r="FI11" i="45"/>
  <c r="FJ11" i="45"/>
  <c r="FK11" i="45"/>
  <c r="FL11" i="45"/>
  <c r="FN11" i="45"/>
  <c r="FO11" i="45"/>
  <c r="FP11" i="45"/>
  <c r="FQ11" i="45"/>
  <c r="FR11" i="45"/>
  <c r="FS11" i="45"/>
  <c r="GO11" i="45"/>
  <c r="GP11" i="45"/>
  <c r="GQ11" i="45"/>
  <c r="GR11" i="45"/>
  <c r="GS11" i="45"/>
  <c r="GT11" i="45"/>
  <c r="GV11" i="45"/>
  <c r="GW11" i="45"/>
  <c r="GX11" i="45"/>
  <c r="GY11" i="45"/>
  <c r="GZ11" i="45"/>
  <c r="HA11" i="45"/>
  <c r="HW11" i="45"/>
  <c r="HX11" i="45"/>
  <c r="HY11" i="45"/>
  <c r="HZ11" i="45"/>
  <c r="IA11" i="45"/>
  <c r="IB11" i="45"/>
  <c r="ID11" i="45"/>
  <c r="IE11" i="45"/>
  <c r="IF11" i="45"/>
  <c r="IG11" i="45"/>
  <c r="IH11" i="45"/>
  <c r="II11" i="45"/>
  <c r="JE11" i="45"/>
  <c r="JF11" i="45"/>
  <c r="JG11" i="45"/>
  <c r="JH11" i="45"/>
  <c r="JI11" i="45"/>
  <c r="JJ11" i="45"/>
  <c r="JL11" i="45"/>
  <c r="JM11" i="45"/>
  <c r="JN11" i="45"/>
  <c r="JO11" i="45"/>
  <c r="JP11" i="45"/>
  <c r="JQ11" i="45"/>
  <c r="KM11" i="45"/>
  <c r="KN11" i="45"/>
  <c r="KO11" i="45"/>
  <c r="KP11" i="45"/>
  <c r="KQ11" i="45"/>
  <c r="KR11" i="45"/>
  <c r="KT11" i="45"/>
  <c r="KU11" i="45"/>
  <c r="KV11" i="45"/>
  <c r="KW11" i="45"/>
  <c r="KX11" i="45"/>
  <c r="KY11" i="45"/>
  <c r="LU11" i="45"/>
  <c r="LV11" i="45"/>
  <c r="LW11" i="45"/>
  <c r="LX11" i="45"/>
  <c r="LY11" i="45"/>
  <c r="LZ11" i="45"/>
  <c r="MB11" i="45"/>
  <c r="MC11" i="45"/>
  <c r="MD11" i="45"/>
  <c r="ME11" i="45"/>
  <c r="MF11" i="45"/>
  <c r="MG11" i="45"/>
  <c r="NC11" i="45"/>
  <c r="ND11" i="45"/>
  <c r="NE11" i="45"/>
  <c r="NF11" i="45"/>
  <c r="NG11" i="45"/>
  <c r="NH11" i="45"/>
  <c r="NJ11" i="45"/>
  <c r="NK11" i="45"/>
  <c r="NL11" i="45"/>
  <c r="NM11" i="45"/>
  <c r="NN11" i="45"/>
  <c r="NO11" i="45"/>
  <c r="OK11" i="45"/>
  <c r="OL11" i="45"/>
  <c r="OM11" i="45"/>
  <c r="ON11" i="45"/>
  <c r="OO11" i="45"/>
  <c r="OP11" i="45"/>
  <c r="OR11" i="45"/>
  <c r="OS11" i="45"/>
  <c r="OT11" i="45"/>
  <c r="OU11" i="45"/>
  <c r="OV11" i="45"/>
  <c r="OW11" i="45"/>
  <c r="PS11" i="45"/>
  <c r="PT11" i="45"/>
  <c r="PU11" i="45"/>
  <c r="PV11" i="45"/>
  <c r="PW11" i="45"/>
  <c r="PX11" i="45"/>
  <c r="PZ11" i="45"/>
  <c r="QA11" i="45"/>
  <c r="QB11" i="45"/>
  <c r="QC11" i="45"/>
  <c r="QD11" i="45"/>
  <c r="QE11" i="45"/>
  <c r="RA11" i="45"/>
  <c r="RB11" i="45"/>
  <c r="RC11" i="45"/>
  <c r="RD11" i="45"/>
  <c r="RE11" i="45"/>
  <c r="RF11" i="45"/>
  <c r="RH11" i="45"/>
  <c r="RI11" i="45"/>
  <c r="RJ11" i="45"/>
  <c r="RK11" i="45"/>
  <c r="RL11" i="45"/>
  <c r="RM11" i="45"/>
  <c r="SI11" i="45"/>
  <c r="SJ11" i="45"/>
  <c r="SK11" i="45"/>
  <c r="SL11" i="45"/>
  <c r="SM11" i="45"/>
  <c r="SN11" i="45"/>
  <c r="SP11" i="45"/>
  <c r="SQ11" i="45"/>
  <c r="SR11" i="45"/>
  <c r="SS11" i="45"/>
  <c r="ST11" i="45"/>
  <c r="SU11" i="45"/>
  <c r="TQ11" i="45"/>
  <c r="TR11" i="45"/>
  <c r="TS11" i="45"/>
  <c r="TT11" i="45"/>
  <c r="TU11" i="45"/>
  <c r="TV11" i="45"/>
  <c r="TX11" i="45"/>
  <c r="TY11" i="45"/>
  <c r="TZ11" i="45"/>
  <c r="UA11" i="45"/>
  <c r="UB11" i="45"/>
  <c r="UC11" i="45"/>
  <c r="UY11" i="45"/>
  <c r="UZ11" i="45"/>
  <c r="VA11" i="45"/>
  <c r="VB11" i="45"/>
  <c r="VC11" i="45"/>
  <c r="VD11" i="45"/>
  <c r="VF11" i="45"/>
  <c r="VG11" i="45"/>
  <c r="VH11" i="45"/>
  <c r="VI11" i="45"/>
  <c r="VJ11" i="45"/>
  <c r="VK11" i="45"/>
  <c r="I25" i="42"/>
  <c r="CI25" i="42"/>
  <c r="CJ25" i="42"/>
  <c r="CK25" i="42"/>
  <c r="CL25" i="42"/>
  <c r="CM25" i="42"/>
  <c r="CN25" i="42"/>
  <c r="CP25" i="42"/>
  <c r="CQ25" i="42"/>
  <c r="CR25" i="42"/>
  <c r="DO25" i="42"/>
  <c r="DP25" i="42"/>
  <c r="DQ25" i="42"/>
  <c r="DR25" i="42"/>
  <c r="DS25" i="42"/>
  <c r="DT25" i="42"/>
  <c r="DV25" i="42"/>
  <c r="DW25" i="42"/>
  <c r="DX25" i="42"/>
  <c r="DY25" i="42"/>
  <c r="DZ25" i="42"/>
  <c r="EA25" i="42"/>
  <c r="EW25" i="42"/>
  <c r="EX25" i="42"/>
  <c r="EY25" i="42"/>
  <c r="EZ25" i="42"/>
  <c r="FA25" i="42"/>
  <c r="FB25" i="42"/>
  <c r="FD25" i="42"/>
  <c r="FE25" i="42"/>
  <c r="FF25" i="42"/>
  <c r="FG25" i="42"/>
  <c r="FH25" i="42"/>
  <c r="FI25" i="42"/>
  <c r="GE25" i="42"/>
  <c r="GF25" i="42"/>
  <c r="GG25" i="42"/>
  <c r="GK25" i="42" s="1"/>
  <c r="GH25" i="42"/>
  <c r="GI25" i="42"/>
  <c r="GJ25" i="42"/>
  <c r="GL25" i="42"/>
  <c r="GM25" i="42"/>
  <c r="GN25" i="42"/>
  <c r="GO25" i="42"/>
  <c r="GP25" i="42"/>
  <c r="GQ25" i="42"/>
  <c r="HM25" i="42"/>
  <c r="HN25" i="42"/>
  <c r="HO25" i="42"/>
  <c r="HP25" i="42"/>
  <c r="HQ25" i="42"/>
  <c r="HR25" i="42"/>
  <c r="HT25" i="42"/>
  <c r="HU25" i="42"/>
  <c r="HV25" i="42"/>
  <c r="HW25" i="42"/>
  <c r="HX25" i="42"/>
  <c r="HY25" i="42"/>
  <c r="IU25" i="42"/>
  <c r="IV25" i="42"/>
  <c r="IW25" i="42"/>
  <c r="IX25" i="42"/>
  <c r="IY25" i="42"/>
  <c r="IZ25" i="42"/>
  <c r="JB25" i="42"/>
  <c r="JC25" i="42"/>
  <c r="JD25" i="42"/>
  <c r="JE25" i="42"/>
  <c r="JF25" i="42"/>
  <c r="JG25" i="42"/>
  <c r="KC25" i="42"/>
  <c r="KD25" i="42"/>
  <c r="KE25" i="42"/>
  <c r="KF25" i="42"/>
  <c r="KG25" i="42"/>
  <c r="KH25" i="42"/>
  <c r="KJ25" i="42"/>
  <c r="KK25" i="42"/>
  <c r="KL25" i="42"/>
  <c r="KM25" i="42"/>
  <c r="KN25" i="42"/>
  <c r="KO25" i="42"/>
  <c r="LK25" i="42"/>
  <c r="LL25" i="42"/>
  <c r="LM25" i="42"/>
  <c r="LN25" i="42"/>
  <c r="LO25" i="42"/>
  <c r="LP25" i="42"/>
  <c r="LR25" i="42"/>
  <c r="LS25" i="42"/>
  <c r="LT25" i="42"/>
  <c r="LU25" i="42"/>
  <c r="LV25" i="42"/>
  <c r="LW25" i="42"/>
  <c r="MS25" i="42"/>
  <c r="MT25" i="42"/>
  <c r="MU25" i="42"/>
  <c r="MV25" i="42"/>
  <c r="MW25" i="42"/>
  <c r="MX25" i="42"/>
  <c r="MZ25" i="42"/>
  <c r="NA25" i="42"/>
  <c r="NB25" i="42"/>
  <c r="NC25" i="42"/>
  <c r="ND25" i="42"/>
  <c r="NE25" i="42"/>
  <c r="OA25" i="42"/>
  <c r="OB25" i="42"/>
  <c r="OC25" i="42"/>
  <c r="OD25" i="42"/>
  <c r="OE25" i="42"/>
  <c r="OF25" i="42"/>
  <c r="OH25" i="42"/>
  <c r="OI25" i="42"/>
  <c r="OJ25" i="42"/>
  <c r="OK25" i="42"/>
  <c r="OL25" i="42"/>
  <c r="OM25" i="42"/>
  <c r="PI25" i="42"/>
  <c r="PJ25" i="42"/>
  <c r="PK25" i="42"/>
  <c r="PO25" i="42" s="1"/>
  <c r="PL25" i="42"/>
  <c r="PM25" i="42"/>
  <c r="PN25" i="42"/>
  <c r="PP25" i="42"/>
  <c r="PQ25" i="42"/>
  <c r="PR25" i="42"/>
  <c r="PS25" i="42"/>
  <c r="PT25" i="42"/>
  <c r="PU25" i="42"/>
  <c r="QQ25" i="42"/>
  <c r="QR25" i="42"/>
  <c r="QS25" i="42"/>
  <c r="QT25" i="42"/>
  <c r="QU25" i="42"/>
  <c r="QV25" i="42"/>
  <c r="QX25" i="42"/>
  <c r="QY25" i="42"/>
  <c r="QZ25" i="42"/>
  <c r="RA25" i="42"/>
  <c r="RB25" i="42"/>
  <c r="RC25" i="42"/>
  <c r="RY25" i="42"/>
  <c r="RZ25" i="42"/>
  <c r="SA25" i="42"/>
  <c r="SB25" i="42"/>
  <c r="SC25" i="42"/>
  <c r="SD25" i="42"/>
  <c r="SF25" i="42"/>
  <c r="SG25" i="42"/>
  <c r="SH25" i="42"/>
  <c r="SI25" i="42"/>
  <c r="SJ25" i="42"/>
  <c r="SK25" i="42"/>
  <c r="TG25" i="42"/>
  <c r="TH25" i="42"/>
  <c r="TI25" i="42"/>
  <c r="TJ25" i="42"/>
  <c r="TK25" i="42"/>
  <c r="TL25" i="42"/>
  <c r="TN25" i="42"/>
  <c r="TO25" i="42"/>
  <c r="TP25" i="42"/>
  <c r="TQ25" i="42"/>
  <c r="TR25" i="42"/>
  <c r="TS25" i="42"/>
  <c r="UO25" i="42"/>
  <c r="UP25" i="42"/>
  <c r="UQ25" i="42"/>
  <c r="UR25" i="42"/>
  <c r="US25" i="42"/>
  <c r="UT25" i="42"/>
  <c r="UV25" i="42"/>
  <c r="UW25" i="42"/>
  <c r="UX25" i="42"/>
  <c r="UY25" i="42"/>
  <c r="UZ25" i="42"/>
  <c r="VA25" i="42"/>
  <c r="VW25" i="42"/>
  <c r="VX25" i="42"/>
  <c r="VY25" i="42"/>
  <c r="VZ25" i="42"/>
  <c r="WA25" i="42"/>
  <c r="WB25" i="42"/>
  <c r="WD25" i="42"/>
  <c r="WE25" i="42"/>
  <c r="WF25" i="42"/>
  <c r="WG25" i="42"/>
  <c r="WH25" i="42"/>
  <c r="WI25" i="42"/>
  <c r="I23" i="42"/>
  <c r="CI23" i="42"/>
  <c r="CJ23" i="42"/>
  <c r="CK23" i="42"/>
  <c r="CL23" i="42"/>
  <c r="CM23" i="42"/>
  <c r="CN23" i="42"/>
  <c r="CP23" i="42"/>
  <c r="CQ23" i="42"/>
  <c r="CR23" i="42"/>
  <c r="DO23" i="42"/>
  <c r="DP23" i="42"/>
  <c r="DQ23" i="42"/>
  <c r="DR23" i="42"/>
  <c r="DS23" i="42"/>
  <c r="DT23" i="42"/>
  <c r="DV23" i="42"/>
  <c r="DW23" i="42"/>
  <c r="DX23" i="42"/>
  <c r="DY23" i="42"/>
  <c r="DZ23" i="42"/>
  <c r="EA23" i="42"/>
  <c r="EW23" i="42"/>
  <c r="EX23" i="42"/>
  <c r="EY23" i="42"/>
  <c r="EZ23" i="42"/>
  <c r="FA23" i="42"/>
  <c r="FB23" i="42"/>
  <c r="FD23" i="42"/>
  <c r="FE23" i="42"/>
  <c r="FF23" i="42"/>
  <c r="FG23" i="42"/>
  <c r="FH23" i="42"/>
  <c r="FI23" i="42"/>
  <c r="GE23" i="42"/>
  <c r="GF23" i="42"/>
  <c r="GG23" i="42"/>
  <c r="GH23" i="42"/>
  <c r="GI23" i="42"/>
  <c r="GJ23" i="42"/>
  <c r="GL23" i="42"/>
  <c r="GM23" i="42"/>
  <c r="GN23" i="42"/>
  <c r="GO23" i="42"/>
  <c r="GP23" i="42"/>
  <c r="GQ23" i="42"/>
  <c r="HM23" i="42"/>
  <c r="HN23" i="42"/>
  <c r="HO23" i="42"/>
  <c r="HS23" i="42" s="1"/>
  <c r="HP23" i="42"/>
  <c r="HQ23" i="42"/>
  <c r="HR23" i="42"/>
  <c r="HT23" i="42"/>
  <c r="HU23" i="42"/>
  <c r="HV23" i="42"/>
  <c r="HW23" i="42"/>
  <c r="HX23" i="42"/>
  <c r="HY23" i="42"/>
  <c r="IU23" i="42"/>
  <c r="IV23" i="42"/>
  <c r="IW23" i="42"/>
  <c r="IX23" i="42"/>
  <c r="IY23" i="42"/>
  <c r="IZ23" i="42"/>
  <c r="JB23" i="42"/>
  <c r="JC23" i="42"/>
  <c r="JD23" i="42"/>
  <c r="JE23" i="42"/>
  <c r="JF23" i="42"/>
  <c r="JG23" i="42"/>
  <c r="KC23" i="42"/>
  <c r="KD23" i="42"/>
  <c r="KE23" i="42"/>
  <c r="KF23" i="42"/>
  <c r="KG23" i="42"/>
  <c r="KH23" i="42"/>
  <c r="KJ23" i="42"/>
  <c r="KK23" i="42"/>
  <c r="KL23" i="42"/>
  <c r="KM23" i="42"/>
  <c r="KN23" i="42"/>
  <c r="KO23" i="42"/>
  <c r="LK23" i="42"/>
  <c r="LL23" i="42"/>
  <c r="LM23" i="42"/>
  <c r="LN23" i="42"/>
  <c r="LO23" i="42"/>
  <c r="LP23" i="42"/>
  <c r="LR23" i="42"/>
  <c r="LS23" i="42"/>
  <c r="LT23" i="42"/>
  <c r="LU23" i="42"/>
  <c r="LV23" i="42"/>
  <c r="LW23" i="42"/>
  <c r="MS23" i="42"/>
  <c r="MT23" i="42"/>
  <c r="MU23" i="42"/>
  <c r="MV23" i="42"/>
  <c r="MW23" i="42"/>
  <c r="MX23" i="42"/>
  <c r="MZ23" i="42"/>
  <c r="NA23" i="42"/>
  <c r="NB23" i="42"/>
  <c r="NC23" i="42"/>
  <c r="ND23" i="42"/>
  <c r="NE23" i="42"/>
  <c r="OA23" i="42"/>
  <c r="OB23" i="42"/>
  <c r="OC23" i="42"/>
  <c r="OD23" i="42"/>
  <c r="OE23" i="42"/>
  <c r="OF23" i="42"/>
  <c r="OH23" i="42"/>
  <c r="OI23" i="42"/>
  <c r="OJ23" i="42"/>
  <c r="OK23" i="42"/>
  <c r="OL23" i="42"/>
  <c r="OM23" i="42"/>
  <c r="PI23" i="42"/>
  <c r="PJ23" i="42"/>
  <c r="PK23" i="42"/>
  <c r="PL23" i="42"/>
  <c r="PM23" i="42"/>
  <c r="PN23" i="42"/>
  <c r="PP23" i="42"/>
  <c r="PQ23" i="42"/>
  <c r="PR23" i="42"/>
  <c r="PS23" i="42"/>
  <c r="PT23" i="42"/>
  <c r="PU23" i="42"/>
  <c r="QQ23" i="42"/>
  <c r="QR23" i="42"/>
  <c r="QS23" i="42"/>
  <c r="QT23" i="42"/>
  <c r="QU23" i="42"/>
  <c r="QV23" i="42"/>
  <c r="QX23" i="42"/>
  <c r="QY23" i="42"/>
  <c r="QZ23" i="42"/>
  <c r="RA23" i="42"/>
  <c r="RB23" i="42"/>
  <c r="RC23" i="42"/>
  <c r="RY23" i="42"/>
  <c r="RZ23" i="42"/>
  <c r="SA23" i="42"/>
  <c r="SB23" i="42"/>
  <c r="SC23" i="42"/>
  <c r="SD23" i="42"/>
  <c r="SF23" i="42"/>
  <c r="SG23" i="42"/>
  <c r="SH23" i="42"/>
  <c r="SI23" i="42"/>
  <c r="SJ23" i="42"/>
  <c r="SK23" i="42"/>
  <c r="TG23" i="42"/>
  <c r="TH23" i="42"/>
  <c r="TI23" i="42"/>
  <c r="TJ23" i="42"/>
  <c r="TK23" i="42"/>
  <c r="TL23" i="42"/>
  <c r="TN23" i="42"/>
  <c r="TO23" i="42"/>
  <c r="TP23" i="42"/>
  <c r="TQ23" i="42"/>
  <c r="TR23" i="42"/>
  <c r="TS23" i="42"/>
  <c r="UO23" i="42"/>
  <c r="UP23" i="42"/>
  <c r="UQ23" i="42"/>
  <c r="UR23" i="42"/>
  <c r="US23" i="42"/>
  <c r="UT23" i="42"/>
  <c r="UV23" i="42"/>
  <c r="UW23" i="42"/>
  <c r="UX23" i="42"/>
  <c r="UY23" i="42"/>
  <c r="UZ23" i="42"/>
  <c r="VA23" i="42"/>
  <c r="VW23" i="42"/>
  <c r="VX23" i="42"/>
  <c r="VY23" i="42"/>
  <c r="VZ23" i="42"/>
  <c r="WA23" i="42"/>
  <c r="WB23" i="42"/>
  <c r="WD23" i="42"/>
  <c r="WE23" i="42"/>
  <c r="WF23" i="42"/>
  <c r="WG23" i="42"/>
  <c r="WH23" i="42"/>
  <c r="WI23" i="42"/>
  <c r="BJ6" i="46"/>
  <c r="BK6" i="46"/>
  <c r="BL6" i="46"/>
  <c r="BP6" i="46" s="1"/>
  <c r="BM6" i="46"/>
  <c r="BN6" i="46"/>
  <c r="BO6" i="46"/>
  <c r="L6" i="46" s="1"/>
  <c r="BQ6" i="46"/>
  <c r="BR6" i="46"/>
  <c r="BS6" i="46"/>
  <c r="CQ6" i="46"/>
  <c r="CR6" i="46"/>
  <c r="CS6" i="46"/>
  <c r="CT6" i="46"/>
  <c r="CU6" i="46"/>
  <c r="CV6" i="46"/>
  <c r="CX6" i="46"/>
  <c r="CY6" i="46"/>
  <c r="CZ6" i="46"/>
  <c r="DA6" i="46"/>
  <c r="DB6" i="46"/>
  <c r="DC6" i="46"/>
  <c r="DY6" i="46"/>
  <c r="DZ6" i="46"/>
  <c r="EA6" i="46"/>
  <c r="EB6" i="46"/>
  <c r="EC6" i="46"/>
  <c r="ED6" i="46"/>
  <c r="EF6" i="46"/>
  <c r="EG6" i="46"/>
  <c r="EH6" i="46"/>
  <c r="EI6" i="46"/>
  <c r="EJ6" i="46"/>
  <c r="EK6" i="46"/>
  <c r="FG6" i="46"/>
  <c r="FH6" i="46"/>
  <c r="FI6" i="46"/>
  <c r="FJ6" i="46"/>
  <c r="FK6" i="46"/>
  <c r="FL6" i="46"/>
  <c r="FN6" i="46"/>
  <c r="FO6" i="46"/>
  <c r="FP6" i="46"/>
  <c r="FQ6" i="46"/>
  <c r="FR6" i="46"/>
  <c r="FS6" i="46"/>
  <c r="GO6" i="46"/>
  <c r="GP6" i="46"/>
  <c r="GQ6" i="46"/>
  <c r="GR6" i="46"/>
  <c r="GS6" i="46"/>
  <c r="GT6" i="46"/>
  <c r="GV6" i="46"/>
  <c r="GW6" i="46"/>
  <c r="GX6" i="46"/>
  <c r="GY6" i="46"/>
  <c r="GZ6" i="46"/>
  <c r="HA6" i="46"/>
  <c r="HW6" i="46"/>
  <c r="HX6" i="46"/>
  <c r="HY6" i="46"/>
  <c r="HZ6" i="46"/>
  <c r="IA6" i="46"/>
  <c r="IB6" i="46"/>
  <c r="ID6" i="46"/>
  <c r="IE6" i="46"/>
  <c r="IF6" i="46"/>
  <c r="IG6" i="46"/>
  <c r="IH6" i="46"/>
  <c r="II6" i="46"/>
  <c r="JE6" i="46"/>
  <c r="JF6" i="46"/>
  <c r="JG6" i="46"/>
  <c r="JH6" i="46"/>
  <c r="JI6" i="46"/>
  <c r="JJ6" i="46"/>
  <c r="JL6" i="46"/>
  <c r="JM6" i="46"/>
  <c r="JN6" i="46"/>
  <c r="JO6" i="46"/>
  <c r="JP6" i="46"/>
  <c r="JQ6" i="46"/>
  <c r="KM6" i="46"/>
  <c r="KN6" i="46"/>
  <c r="KO6" i="46"/>
  <c r="KP6" i="46"/>
  <c r="KQ6" i="46"/>
  <c r="KR6" i="46"/>
  <c r="KT6" i="46"/>
  <c r="KU6" i="46"/>
  <c r="KV6" i="46"/>
  <c r="KW6" i="46"/>
  <c r="KX6" i="46"/>
  <c r="KY6" i="46"/>
  <c r="LU6" i="46"/>
  <c r="LV6" i="46"/>
  <c r="LW6" i="46"/>
  <c r="LX6" i="46"/>
  <c r="LY6" i="46"/>
  <c r="LZ6" i="46"/>
  <c r="MB6" i="46"/>
  <c r="MC6" i="46"/>
  <c r="MD6" i="46"/>
  <c r="ME6" i="46"/>
  <c r="MF6" i="46"/>
  <c r="MG6" i="46"/>
  <c r="NC6" i="46"/>
  <c r="ND6" i="46"/>
  <c r="NE6" i="46"/>
  <c r="NF6" i="46"/>
  <c r="NG6" i="46"/>
  <c r="NH6" i="46"/>
  <c r="NJ6" i="46"/>
  <c r="NK6" i="46"/>
  <c r="NL6" i="46"/>
  <c r="NM6" i="46"/>
  <c r="NN6" i="46"/>
  <c r="NO6" i="46"/>
  <c r="OK6" i="46"/>
  <c r="OL6" i="46"/>
  <c r="OM6" i="46"/>
  <c r="ON6" i="46"/>
  <c r="OO6" i="46"/>
  <c r="OP6" i="46"/>
  <c r="OR6" i="46"/>
  <c r="OS6" i="46"/>
  <c r="OT6" i="46"/>
  <c r="OU6" i="46"/>
  <c r="OV6" i="46"/>
  <c r="OW6" i="46"/>
  <c r="PS6" i="46"/>
  <c r="PT6" i="46"/>
  <c r="PU6" i="46"/>
  <c r="PV6" i="46"/>
  <c r="PW6" i="46"/>
  <c r="PX6" i="46"/>
  <c r="PZ6" i="46"/>
  <c r="QA6" i="46"/>
  <c r="QB6" i="46"/>
  <c r="QC6" i="46"/>
  <c r="QD6" i="46"/>
  <c r="QE6" i="46"/>
  <c r="RA6" i="46"/>
  <c r="RB6" i="46"/>
  <c r="RC6" i="46"/>
  <c r="RD6" i="46"/>
  <c r="RE6" i="46"/>
  <c r="RF6" i="46"/>
  <c r="RH6" i="46"/>
  <c r="RI6" i="46"/>
  <c r="RJ6" i="46"/>
  <c r="RK6" i="46"/>
  <c r="RL6" i="46"/>
  <c r="RM6" i="46"/>
  <c r="SI6" i="46"/>
  <c r="SJ6" i="46"/>
  <c r="SK6" i="46"/>
  <c r="SL6" i="46"/>
  <c r="SM6" i="46"/>
  <c r="SN6" i="46"/>
  <c r="SP6" i="46"/>
  <c r="SQ6" i="46"/>
  <c r="SR6" i="46"/>
  <c r="SS6" i="46"/>
  <c r="ST6" i="46"/>
  <c r="SU6" i="46"/>
  <c r="TQ6" i="46"/>
  <c r="TR6" i="46"/>
  <c r="TS6" i="46"/>
  <c r="TT6" i="46"/>
  <c r="TU6" i="46"/>
  <c r="TV6" i="46"/>
  <c r="TX6" i="46"/>
  <c r="TY6" i="46"/>
  <c r="TZ6" i="46"/>
  <c r="UA6" i="46"/>
  <c r="UB6" i="46"/>
  <c r="UC6" i="46"/>
  <c r="UY6" i="46"/>
  <c r="UZ6" i="46"/>
  <c r="VA6" i="46"/>
  <c r="VB6" i="46"/>
  <c r="VC6" i="46"/>
  <c r="VD6" i="46"/>
  <c r="VF6" i="46"/>
  <c r="VG6" i="46"/>
  <c r="VH6" i="46"/>
  <c r="VI6" i="46"/>
  <c r="VJ6" i="46"/>
  <c r="VK6" i="46"/>
  <c r="BJ5" i="46"/>
  <c r="BK5" i="46"/>
  <c r="BL5" i="46"/>
  <c r="BM5" i="46"/>
  <c r="BN5" i="46"/>
  <c r="BO5" i="46"/>
  <c r="BQ5" i="46"/>
  <c r="BR5" i="46"/>
  <c r="BS5" i="46"/>
  <c r="CQ5" i="46"/>
  <c r="CR5" i="46"/>
  <c r="CS5" i="46"/>
  <c r="CT5" i="46"/>
  <c r="CU5" i="46"/>
  <c r="CV5" i="46"/>
  <c r="CX5" i="46"/>
  <c r="CY5" i="46"/>
  <c r="CZ5" i="46"/>
  <c r="DA5" i="46"/>
  <c r="DB5" i="46"/>
  <c r="DC5" i="46"/>
  <c r="DY5" i="46"/>
  <c r="DZ5" i="46"/>
  <c r="EA5" i="46"/>
  <c r="EB5" i="46"/>
  <c r="EC5" i="46"/>
  <c r="ED5" i="46"/>
  <c r="EF5" i="46"/>
  <c r="EG5" i="46"/>
  <c r="EH5" i="46"/>
  <c r="EI5" i="46"/>
  <c r="EJ5" i="46"/>
  <c r="EK5" i="46"/>
  <c r="FG5" i="46"/>
  <c r="FH5" i="46"/>
  <c r="FI5" i="46"/>
  <c r="FJ5" i="46"/>
  <c r="FK5" i="46"/>
  <c r="FL5" i="46"/>
  <c r="FN5" i="46"/>
  <c r="FO5" i="46"/>
  <c r="FP5" i="46"/>
  <c r="FQ5" i="46"/>
  <c r="FR5" i="46"/>
  <c r="FS5" i="46"/>
  <c r="GO5" i="46"/>
  <c r="GP5" i="46"/>
  <c r="GQ5" i="46"/>
  <c r="GR5" i="46"/>
  <c r="GS5" i="46"/>
  <c r="GT5" i="46"/>
  <c r="GV5" i="46"/>
  <c r="GW5" i="46"/>
  <c r="GX5" i="46"/>
  <c r="GY5" i="46"/>
  <c r="GZ5" i="46"/>
  <c r="HA5" i="46"/>
  <c r="HW5" i="46"/>
  <c r="HX5" i="46"/>
  <c r="HY5" i="46"/>
  <c r="HZ5" i="46"/>
  <c r="IA5" i="46"/>
  <c r="IB5" i="46"/>
  <c r="ID5" i="46"/>
  <c r="IE5" i="46"/>
  <c r="IF5" i="46"/>
  <c r="IG5" i="46"/>
  <c r="IH5" i="46"/>
  <c r="II5" i="46"/>
  <c r="JE5" i="46"/>
  <c r="JF5" i="46"/>
  <c r="JG5" i="46"/>
  <c r="JH5" i="46"/>
  <c r="JI5" i="46"/>
  <c r="JJ5" i="46"/>
  <c r="JL5" i="46"/>
  <c r="JM5" i="46"/>
  <c r="JN5" i="46"/>
  <c r="JO5" i="46"/>
  <c r="JP5" i="46"/>
  <c r="JQ5" i="46"/>
  <c r="KM5" i="46"/>
  <c r="KN5" i="46"/>
  <c r="KO5" i="46"/>
  <c r="KP5" i="46"/>
  <c r="KQ5" i="46"/>
  <c r="KR5" i="46"/>
  <c r="KT5" i="46"/>
  <c r="KU5" i="46"/>
  <c r="KV5" i="46"/>
  <c r="KW5" i="46"/>
  <c r="KX5" i="46"/>
  <c r="KY5" i="46"/>
  <c r="LU5" i="46"/>
  <c r="LV5" i="46"/>
  <c r="LW5" i="46"/>
  <c r="LX5" i="46"/>
  <c r="LY5" i="46"/>
  <c r="LZ5" i="46"/>
  <c r="MB5" i="46"/>
  <c r="MC5" i="46"/>
  <c r="MD5" i="46"/>
  <c r="ME5" i="46"/>
  <c r="MF5" i="46"/>
  <c r="MG5" i="46"/>
  <c r="NC5" i="46"/>
  <c r="ND5" i="46"/>
  <c r="NE5" i="46"/>
  <c r="NF5" i="46"/>
  <c r="NG5" i="46"/>
  <c r="NH5" i="46"/>
  <c r="NJ5" i="46"/>
  <c r="NK5" i="46"/>
  <c r="NL5" i="46"/>
  <c r="NM5" i="46"/>
  <c r="NN5" i="46"/>
  <c r="NO5" i="46"/>
  <c r="OK5" i="46"/>
  <c r="OL5" i="46"/>
  <c r="OM5" i="46"/>
  <c r="ON5" i="46"/>
  <c r="OO5" i="46"/>
  <c r="OP5" i="46"/>
  <c r="OR5" i="46"/>
  <c r="OS5" i="46"/>
  <c r="OT5" i="46"/>
  <c r="OU5" i="46"/>
  <c r="OV5" i="46"/>
  <c r="OW5" i="46"/>
  <c r="PS5" i="46"/>
  <c r="PT5" i="46"/>
  <c r="PU5" i="46"/>
  <c r="PV5" i="46"/>
  <c r="PW5" i="46"/>
  <c r="PX5" i="46"/>
  <c r="PZ5" i="46"/>
  <c r="QA5" i="46"/>
  <c r="QB5" i="46"/>
  <c r="QC5" i="46"/>
  <c r="QD5" i="46"/>
  <c r="QE5" i="46"/>
  <c r="RA5" i="46"/>
  <c r="RB5" i="46"/>
  <c r="RC5" i="46"/>
  <c r="RD5" i="46"/>
  <c r="RE5" i="46"/>
  <c r="RF5" i="46"/>
  <c r="RH5" i="46"/>
  <c r="RI5" i="46"/>
  <c r="RJ5" i="46"/>
  <c r="RK5" i="46"/>
  <c r="RL5" i="46"/>
  <c r="RM5" i="46"/>
  <c r="SI5" i="46"/>
  <c r="SJ5" i="46"/>
  <c r="SK5" i="46"/>
  <c r="SL5" i="46"/>
  <c r="SM5" i="46"/>
  <c r="SN5" i="46"/>
  <c r="SP5" i="46"/>
  <c r="SQ5" i="46"/>
  <c r="SR5" i="46"/>
  <c r="SS5" i="46"/>
  <c r="ST5" i="46"/>
  <c r="SU5" i="46"/>
  <c r="TQ5" i="46"/>
  <c r="TR5" i="46"/>
  <c r="TS5" i="46"/>
  <c r="TT5" i="46"/>
  <c r="TU5" i="46"/>
  <c r="TV5" i="46"/>
  <c r="TX5" i="46"/>
  <c r="TY5" i="46"/>
  <c r="TZ5" i="46"/>
  <c r="UA5" i="46"/>
  <c r="UB5" i="46"/>
  <c r="UC5" i="46"/>
  <c r="UY5" i="46"/>
  <c r="UZ5" i="46"/>
  <c r="VA5" i="46"/>
  <c r="VB5" i="46"/>
  <c r="VC5" i="46"/>
  <c r="VD5" i="46"/>
  <c r="VF5" i="46"/>
  <c r="VG5" i="46"/>
  <c r="VH5" i="46"/>
  <c r="VI5" i="46"/>
  <c r="VJ5" i="46"/>
  <c r="VK5" i="46"/>
  <c r="CK13" i="38"/>
  <c r="CL13" i="38"/>
  <c r="CM13" i="38"/>
  <c r="CN13" i="38"/>
  <c r="CO13" i="38"/>
  <c r="CP13" i="38"/>
  <c r="CR13" i="38"/>
  <c r="CS13" i="38"/>
  <c r="CT13" i="38"/>
  <c r="DR13" i="38"/>
  <c r="DS13" i="38"/>
  <c r="DT13" i="38"/>
  <c r="DU13" i="38"/>
  <c r="DV13" i="38"/>
  <c r="DW13" i="38"/>
  <c r="DY13" i="38"/>
  <c r="DZ13" i="38"/>
  <c r="EA13" i="38"/>
  <c r="EB13" i="38"/>
  <c r="EC13" i="38"/>
  <c r="ED13" i="38"/>
  <c r="EZ13" i="38"/>
  <c r="FA13" i="38"/>
  <c r="FB13" i="38"/>
  <c r="FC13" i="38"/>
  <c r="FD13" i="38"/>
  <c r="FE13" i="38"/>
  <c r="FG13" i="38"/>
  <c r="FH13" i="38"/>
  <c r="FI13" i="38"/>
  <c r="FJ13" i="38"/>
  <c r="FK13" i="38"/>
  <c r="FL13" i="38"/>
  <c r="GH13" i="38"/>
  <c r="GI13" i="38"/>
  <c r="GJ13" i="38"/>
  <c r="GK13" i="38"/>
  <c r="GL13" i="38"/>
  <c r="GM13" i="38"/>
  <c r="GO13" i="38"/>
  <c r="GP13" i="38"/>
  <c r="GQ13" i="38"/>
  <c r="GR13" i="38"/>
  <c r="GS13" i="38"/>
  <c r="GT13" i="38"/>
  <c r="HP13" i="38"/>
  <c r="HQ13" i="38"/>
  <c r="HR13" i="38"/>
  <c r="HS13" i="38"/>
  <c r="HT13" i="38"/>
  <c r="HU13" i="38"/>
  <c r="HW13" i="38"/>
  <c r="HX13" i="38"/>
  <c r="HY13" i="38"/>
  <c r="HZ13" i="38"/>
  <c r="IA13" i="38"/>
  <c r="IB13" i="38"/>
  <c r="IX13" i="38"/>
  <c r="IY13" i="38"/>
  <c r="IZ13" i="38"/>
  <c r="JA13" i="38"/>
  <c r="JB13" i="38"/>
  <c r="JC13" i="38"/>
  <c r="JE13" i="38"/>
  <c r="JF13" i="38"/>
  <c r="JG13" i="38"/>
  <c r="JH13" i="38"/>
  <c r="JI13" i="38"/>
  <c r="JJ13" i="38"/>
  <c r="KF13" i="38"/>
  <c r="KG13" i="38"/>
  <c r="KH13" i="38"/>
  <c r="KI13" i="38"/>
  <c r="KJ13" i="38"/>
  <c r="KK13" i="38"/>
  <c r="KM13" i="38"/>
  <c r="KN13" i="38"/>
  <c r="KO13" i="38"/>
  <c r="KP13" i="38"/>
  <c r="KQ13" i="38"/>
  <c r="KR13" i="38"/>
  <c r="LN13" i="38"/>
  <c r="LO13" i="38"/>
  <c r="LP13" i="38"/>
  <c r="LQ13" i="38"/>
  <c r="LR13" i="38"/>
  <c r="LS13" i="38"/>
  <c r="LU13" i="38"/>
  <c r="LV13" i="38"/>
  <c r="LW13" i="38"/>
  <c r="LX13" i="38"/>
  <c r="LY13" i="38"/>
  <c r="LZ13" i="38"/>
  <c r="MV13" i="38"/>
  <c r="MW13" i="38"/>
  <c r="MX13" i="38"/>
  <c r="MY13" i="38"/>
  <c r="MZ13" i="38"/>
  <c r="NA13" i="38"/>
  <c r="NC13" i="38"/>
  <c r="ND13" i="38"/>
  <c r="NE13" i="38"/>
  <c r="NF13" i="38"/>
  <c r="NG13" i="38"/>
  <c r="NH13" i="38"/>
  <c r="OD13" i="38"/>
  <c r="OE13" i="38"/>
  <c r="OF13" i="38"/>
  <c r="OG13" i="38"/>
  <c r="OH13" i="38"/>
  <c r="OI13" i="38"/>
  <c r="OK13" i="38"/>
  <c r="OL13" i="38"/>
  <c r="OM13" i="38"/>
  <c r="ON13" i="38"/>
  <c r="OO13" i="38"/>
  <c r="OP13" i="38"/>
  <c r="PL13" i="38"/>
  <c r="PM13" i="38"/>
  <c r="PN13" i="38"/>
  <c r="PO13" i="38"/>
  <c r="PP13" i="38"/>
  <c r="PQ13" i="38"/>
  <c r="PS13" i="38"/>
  <c r="PT13" i="38"/>
  <c r="PU13" i="38"/>
  <c r="PV13" i="38"/>
  <c r="PW13" i="38"/>
  <c r="PX13" i="38"/>
  <c r="QT13" i="38"/>
  <c r="QU13" i="38"/>
  <c r="QV13" i="38"/>
  <c r="QW13" i="38"/>
  <c r="QX13" i="38"/>
  <c r="QY13" i="38"/>
  <c r="RA13" i="38"/>
  <c r="RB13" i="38"/>
  <c r="RC13" i="38"/>
  <c r="RD13" i="38"/>
  <c r="RE13" i="38"/>
  <c r="RF13" i="38"/>
  <c r="SB13" i="38"/>
  <c r="SC13" i="38"/>
  <c r="SD13" i="38"/>
  <c r="SE13" i="38"/>
  <c r="SF13" i="38"/>
  <c r="SG13" i="38"/>
  <c r="SI13" i="38"/>
  <c r="SJ13" i="38"/>
  <c r="SK13" i="38"/>
  <c r="SL13" i="38"/>
  <c r="SM13" i="38"/>
  <c r="SN13" i="38"/>
  <c r="TJ13" i="38"/>
  <c r="TK13" i="38"/>
  <c r="TL13" i="38"/>
  <c r="TM13" i="38"/>
  <c r="TN13" i="38"/>
  <c r="TO13" i="38"/>
  <c r="TQ13" i="38"/>
  <c r="TR13" i="38"/>
  <c r="TS13" i="38"/>
  <c r="TT13" i="38"/>
  <c r="TU13" i="38"/>
  <c r="TV13" i="38"/>
  <c r="UR13" i="38"/>
  <c r="US13" i="38"/>
  <c r="UT13" i="38"/>
  <c r="UU13" i="38"/>
  <c r="UV13" i="38"/>
  <c r="UW13" i="38"/>
  <c r="UY13" i="38"/>
  <c r="UZ13" i="38"/>
  <c r="VA13" i="38"/>
  <c r="VB13" i="38"/>
  <c r="VC13" i="38"/>
  <c r="VD13" i="38"/>
  <c r="VZ13" i="38"/>
  <c r="WA13" i="38"/>
  <c r="WB13" i="38"/>
  <c r="WC13" i="38"/>
  <c r="WD13" i="38"/>
  <c r="WE13" i="38"/>
  <c r="WG13" i="38"/>
  <c r="WH13" i="38"/>
  <c r="WI13" i="38"/>
  <c r="WJ13" i="38"/>
  <c r="WK13" i="38"/>
  <c r="WL13" i="38"/>
  <c r="I7" i="43"/>
  <c r="I8" i="43"/>
  <c r="I9" i="43"/>
  <c r="I11" i="43"/>
  <c r="I12" i="43"/>
  <c r="I10" i="43"/>
  <c r="I13" i="43"/>
  <c r="I11" i="42"/>
  <c r="I10" i="42"/>
  <c r="I14" i="42"/>
  <c r="I16" i="42"/>
  <c r="I18" i="42"/>
  <c r="I19" i="42"/>
  <c r="I21" i="42"/>
  <c r="I22" i="42"/>
  <c r="I20" i="42"/>
  <c r="I24" i="42"/>
  <c r="I26" i="42"/>
  <c r="I27" i="42"/>
  <c r="VK4" i="46"/>
  <c r="VJ4" i="46"/>
  <c r="VI4" i="46"/>
  <c r="VH4" i="46"/>
  <c r="VG4" i="46"/>
  <c r="VF4" i="46"/>
  <c r="VD4" i="46"/>
  <c r="VC4" i="46"/>
  <c r="VB4" i="46"/>
  <c r="VA4" i="46"/>
  <c r="UZ4" i="46"/>
  <c r="UY4" i="46"/>
  <c r="UC4" i="46"/>
  <c r="UB4" i="46"/>
  <c r="UA4" i="46"/>
  <c r="TZ4" i="46"/>
  <c r="TY4" i="46"/>
  <c r="TX4" i="46"/>
  <c r="TV4" i="46"/>
  <c r="TU4" i="46"/>
  <c r="TT4" i="46"/>
  <c r="TS4" i="46"/>
  <c r="TR4" i="46"/>
  <c r="TQ4" i="46"/>
  <c r="SU4" i="46"/>
  <c r="ST4" i="46"/>
  <c r="SS4" i="46"/>
  <c r="SR4" i="46"/>
  <c r="SQ4" i="46"/>
  <c r="SP4" i="46"/>
  <c r="SN4" i="46"/>
  <c r="SM4" i="46"/>
  <c r="SL4" i="46"/>
  <c r="SK4" i="46"/>
  <c r="SJ4" i="46"/>
  <c r="SI4" i="46"/>
  <c r="RM4" i="46"/>
  <c r="RL4" i="46"/>
  <c r="RK4" i="46"/>
  <c r="RJ4" i="46"/>
  <c r="RI4" i="46"/>
  <c r="RH4" i="46"/>
  <c r="RF4" i="46"/>
  <c r="RE4" i="46"/>
  <c r="RD4" i="46"/>
  <c r="RC4" i="46"/>
  <c r="RB4" i="46"/>
  <c r="RA4" i="46"/>
  <c r="QE4" i="46"/>
  <c r="QD4" i="46"/>
  <c r="QC4" i="46"/>
  <c r="QB4" i="46"/>
  <c r="QA4" i="46"/>
  <c r="PZ4" i="46"/>
  <c r="PX4" i="46"/>
  <c r="PW4" i="46"/>
  <c r="PV4" i="46"/>
  <c r="PU4" i="46"/>
  <c r="PT4" i="46"/>
  <c r="PS4" i="46"/>
  <c r="OW4" i="46"/>
  <c r="OV4" i="46"/>
  <c r="OU4" i="46"/>
  <c r="OT4" i="46"/>
  <c r="OS4" i="46"/>
  <c r="OR4" i="46"/>
  <c r="OP4" i="46"/>
  <c r="OO4" i="46"/>
  <c r="ON4" i="46"/>
  <c r="OM4" i="46"/>
  <c r="OL4" i="46"/>
  <c r="OK4" i="46"/>
  <c r="NO4" i="46"/>
  <c r="NN4" i="46"/>
  <c r="NM4" i="46"/>
  <c r="NL4" i="46"/>
  <c r="NK4" i="46"/>
  <c r="NJ4" i="46"/>
  <c r="NH4" i="46"/>
  <c r="NG4" i="46"/>
  <c r="NF4" i="46"/>
  <c r="NE4" i="46"/>
  <c r="ND4" i="46"/>
  <c r="NC4" i="46"/>
  <c r="MG4" i="46"/>
  <c r="MF4" i="46"/>
  <c r="ME4" i="46"/>
  <c r="MD4" i="46"/>
  <c r="MC4" i="46"/>
  <c r="MB4" i="46"/>
  <c r="LZ4" i="46"/>
  <c r="LY4" i="46"/>
  <c r="LX4" i="46"/>
  <c r="LW4" i="46"/>
  <c r="LV4" i="46"/>
  <c r="LU4" i="46"/>
  <c r="KY4" i="46"/>
  <c r="KX4" i="46"/>
  <c r="KW4" i="46"/>
  <c r="KV4" i="46"/>
  <c r="KU4" i="46"/>
  <c r="KT4" i="46"/>
  <c r="KR4" i="46"/>
  <c r="KQ4" i="46"/>
  <c r="KP4" i="46"/>
  <c r="KO4" i="46"/>
  <c r="KN4" i="46"/>
  <c r="KM4" i="46"/>
  <c r="JQ4" i="46"/>
  <c r="JP4" i="46"/>
  <c r="JO4" i="46"/>
  <c r="JN4" i="46"/>
  <c r="JM4" i="46"/>
  <c r="JL4" i="46"/>
  <c r="JJ4" i="46"/>
  <c r="JI4" i="46"/>
  <c r="JH4" i="46"/>
  <c r="JG4" i="46"/>
  <c r="JF4" i="46"/>
  <c r="JE4" i="46"/>
  <c r="II4" i="46"/>
  <c r="IH4" i="46"/>
  <c r="IG4" i="46"/>
  <c r="IF4" i="46"/>
  <c r="IE4" i="46"/>
  <c r="ID4" i="46"/>
  <c r="IB4" i="46"/>
  <c r="IA4" i="46"/>
  <c r="HZ4" i="46"/>
  <c r="HY4" i="46"/>
  <c r="HX4" i="46"/>
  <c r="HW4" i="46"/>
  <c r="HA4" i="46"/>
  <c r="GZ4" i="46"/>
  <c r="GY4" i="46"/>
  <c r="GX4" i="46"/>
  <c r="GW4" i="46"/>
  <c r="GV4" i="46"/>
  <c r="GT4" i="46"/>
  <c r="GS4" i="46"/>
  <c r="GR4" i="46"/>
  <c r="GQ4" i="46"/>
  <c r="GP4" i="46"/>
  <c r="GO4" i="46"/>
  <c r="FS4" i="46"/>
  <c r="FR4" i="46"/>
  <c r="FQ4" i="46"/>
  <c r="FP4" i="46"/>
  <c r="FO4" i="46"/>
  <c r="FN4" i="46"/>
  <c r="FL4" i="46"/>
  <c r="FK4" i="46"/>
  <c r="FJ4" i="46"/>
  <c r="FI4" i="46"/>
  <c r="FH4" i="46"/>
  <c r="FG4" i="46"/>
  <c r="EK4" i="46"/>
  <c r="EJ4" i="46"/>
  <c r="EI4" i="46"/>
  <c r="EH4" i="46"/>
  <c r="EG4" i="46"/>
  <c r="EF4" i="46"/>
  <c r="ED4" i="46"/>
  <c r="EC4" i="46"/>
  <c r="EB4" i="46"/>
  <c r="EA4" i="46"/>
  <c r="DZ4" i="46"/>
  <c r="DY4" i="46"/>
  <c r="DC4" i="46"/>
  <c r="DB4" i="46"/>
  <c r="DA4" i="46"/>
  <c r="CZ4" i="46"/>
  <c r="CY4" i="46"/>
  <c r="CX4" i="46"/>
  <c r="CV4" i="46"/>
  <c r="CU4" i="46"/>
  <c r="CT4" i="46"/>
  <c r="CS4" i="46"/>
  <c r="CR4" i="46"/>
  <c r="CQ4" i="46"/>
  <c r="BS4" i="46"/>
  <c r="BR4" i="46"/>
  <c r="BQ4" i="46"/>
  <c r="BO4" i="46"/>
  <c r="BN4" i="46"/>
  <c r="BM4" i="46"/>
  <c r="BL4" i="46"/>
  <c r="BK4" i="46"/>
  <c r="BJ4" i="46"/>
  <c r="GU4" i="46" l="1"/>
  <c r="PY4" i="46"/>
  <c r="OQ6" i="46"/>
  <c r="FM6" i="46"/>
  <c r="BN7" i="42"/>
  <c r="BR22" i="42"/>
  <c r="DU23" i="42"/>
  <c r="AM27" i="42"/>
  <c r="AQ27" i="42" s="1"/>
  <c r="AM7" i="42"/>
  <c r="BN15" i="42"/>
  <c r="BR15" i="42" s="1"/>
  <c r="BR7" i="42"/>
  <c r="FC23" i="42"/>
  <c r="AM8" i="42"/>
  <c r="AQ8" i="42" s="1"/>
  <c r="AM10" i="42"/>
  <c r="AQ10" i="42" s="1"/>
  <c r="PO23" i="42"/>
  <c r="PV23" i="42" s="1"/>
  <c r="AO14" i="38"/>
  <c r="CQ13" i="38"/>
  <c r="CU13" i="38" s="1"/>
  <c r="BP5" i="38"/>
  <c r="BT5" i="38" s="1"/>
  <c r="BT21" i="4"/>
  <c r="BP17" i="4"/>
  <c r="BT23" i="4"/>
  <c r="AS24" i="4"/>
  <c r="BP12" i="4"/>
  <c r="AO15" i="4"/>
  <c r="AS15" i="4" s="1"/>
  <c r="BT17" i="4"/>
  <c r="BT12" i="4"/>
  <c r="AO5" i="4"/>
  <c r="AO11" i="4"/>
  <c r="BP11" i="4"/>
  <c r="BT11" i="4" s="1"/>
  <c r="BP8" i="4"/>
  <c r="BT8" i="4" s="1"/>
  <c r="AO9" i="4"/>
  <c r="AS9" i="4" s="1"/>
  <c r="AS17" i="4"/>
  <c r="AO21" i="4"/>
  <c r="AS21" i="4" s="1"/>
  <c r="BP9" i="4"/>
  <c r="BP24" i="4"/>
  <c r="BR7" i="41"/>
  <c r="AQ9" i="41"/>
  <c r="BR6" i="41"/>
  <c r="AQ10" i="41"/>
  <c r="AM6" i="41"/>
  <c r="AQ6" i="41" s="1"/>
  <c r="AM4" i="41"/>
  <c r="AQ4" i="41" s="1"/>
  <c r="AQ5" i="41"/>
  <c r="BR10" i="41"/>
  <c r="BR9" i="41"/>
  <c r="BR13" i="40"/>
  <c r="AQ4" i="40"/>
  <c r="BR7" i="40"/>
  <c r="BR4" i="40"/>
  <c r="AM7" i="40"/>
  <c r="AQ7" i="40" s="1"/>
  <c r="AQ9" i="40"/>
  <c r="BR15" i="40"/>
  <c r="BR10" i="40"/>
  <c r="AM5" i="40"/>
  <c r="AQ5" i="40" s="1"/>
  <c r="AM12" i="40"/>
  <c r="AQ12" i="40" s="1"/>
  <c r="AQ8" i="40"/>
  <c r="AM6" i="40"/>
  <c r="AQ6" i="40" s="1"/>
  <c r="AM9" i="39"/>
  <c r="AQ9" i="39" s="1"/>
  <c r="AM4" i="39"/>
  <c r="AQ12" i="39"/>
  <c r="BR13" i="39"/>
  <c r="BR8" i="39"/>
  <c r="AQ19" i="39"/>
  <c r="BR7" i="39"/>
  <c r="AQ14" i="39"/>
  <c r="AQ4" i="39"/>
  <c r="BR10" i="39"/>
  <c r="BR20" i="39"/>
  <c r="BR4" i="39"/>
  <c r="BR15" i="39"/>
  <c r="BR18" i="39"/>
  <c r="AS5" i="46"/>
  <c r="VE6" i="46"/>
  <c r="IC4" i="46"/>
  <c r="RG4" i="46"/>
  <c r="SO5" i="46"/>
  <c r="SV5" i="46" s="1"/>
  <c r="JK5" i="46"/>
  <c r="JR5" i="46" s="1"/>
  <c r="AS6" i="46"/>
  <c r="KS6" i="46"/>
  <c r="KZ6" i="46" s="1"/>
  <c r="MA5" i="46"/>
  <c r="MH5" i="46" s="1"/>
  <c r="RG6" i="46"/>
  <c r="RN6" i="46" s="1"/>
  <c r="IC6" i="46"/>
  <c r="IJ6" i="46" s="1"/>
  <c r="AO7" i="45"/>
  <c r="AS7" i="45" s="1"/>
  <c r="AS12" i="45"/>
  <c r="AS6" i="45"/>
  <c r="OQ8" i="45"/>
  <c r="L8" i="45"/>
  <c r="N8" i="45" s="1"/>
  <c r="BV8" i="45" s="1"/>
  <c r="JK9" i="45"/>
  <c r="JR9" i="45" s="1"/>
  <c r="RG12" i="45"/>
  <c r="RG8" i="45"/>
  <c r="RN8" i="45" s="1"/>
  <c r="IC8" i="45"/>
  <c r="IJ8" i="45" s="1"/>
  <c r="AS10" i="45"/>
  <c r="SO8" i="45"/>
  <c r="SV8" i="45" s="1"/>
  <c r="JK8" i="45"/>
  <c r="JR8" i="45" s="1"/>
  <c r="AS11" i="45"/>
  <c r="AS8" i="45"/>
  <c r="AM9" i="43"/>
  <c r="AQ9" i="43" s="1"/>
  <c r="AM6" i="43"/>
  <c r="AQ6" i="43" s="1"/>
  <c r="AM5" i="43"/>
  <c r="AQ5" i="43" s="1"/>
  <c r="AM12" i="43"/>
  <c r="AQ12" i="43" s="1"/>
  <c r="AQ13" i="43"/>
  <c r="AQ11" i="43"/>
  <c r="AM7" i="43"/>
  <c r="AQ7" i="43" s="1"/>
  <c r="AM4" i="43"/>
  <c r="AQ4" i="43" s="1"/>
  <c r="BN6" i="43"/>
  <c r="BR6" i="43" s="1"/>
  <c r="BN8" i="43"/>
  <c r="BR8" i="43" s="1"/>
  <c r="AM10" i="43"/>
  <c r="AQ10" i="43" s="1"/>
  <c r="OG23" i="42"/>
  <c r="ON23" i="42" s="1"/>
  <c r="BN19" i="42"/>
  <c r="BR19" i="42" s="1"/>
  <c r="SE23" i="42"/>
  <c r="SL23" i="42" s="1"/>
  <c r="CO25" i="42"/>
  <c r="CS25" i="42" s="1"/>
  <c r="QW23" i="42"/>
  <c r="RD23" i="42" s="1"/>
  <c r="AQ18" i="42"/>
  <c r="BR18" i="42"/>
  <c r="DU25" i="42"/>
  <c r="AM4" i="42"/>
  <c r="AQ4" i="42" s="1"/>
  <c r="AM13" i="42"/>
  <c r="AQ13" i="42" s="1"/>
  <c r="AQ7" i="42"/>
  <c r="BR8" i="42"/>
  <c r="AM9" i="42"/>
  <c r="AQ9" i="42" s="1"/>
  <c r="UU23" i="42"/>
  <c r="VB23" i="42" s="1"/>
  <c r="OG25" i="42"/>
  <c r="ON25" i="42" s="1"/>
  <c r="AM5" i="42"/>
  <c r="AQ5" i="42" s="1"/>
  <c r="AQ20" i="42"/>
  <c r="BR20" i="42"/>
  <c r="KI23" i="42"/>
  <c r="KP23" i="42" s="1"/>
  <c r="CO23" i="42"/>
  <c r="CS23" i="42" s="1"/>
  <c r="AM16" i="42"/>
  <c r="AQ16" i="42" s="1"/>
  <c r="AQ23" i="42"/>
  <c r="BR12" i="42"/>
  <c r="BR17" i="42"/>
  <c r="LQ23" i="42"/>
  <c r="LX23" i="42" s="1"/>
  <c r="PV25" i="42"/>
  <c r="GR25" i="42"/>
  <c r="MY23" i="42"/>
  <c r="NF23" i="42" s="1"/>
  <c r="BN13" i="42"/>
  <c r="BR13" i="42" s="1"/>
  <c r="QW25" i="42"/>
  <c r="RD25" i="42" s="1"/>
  <c r="HS25" i="42"/>
  <c r="HZ25" i="42" s="1"/>
  <c r="AM14" i="42"/>
  <c r="AQ14" i="42" s="1"/>
  <c r="AM21" i="42"/>
  <c r="AQ21" i="42" s="1"/>
  <c r="BN9" i="42"/>
  <c r="BR9" i="42" s="1"/>
  <c r="BN16" i="42"/>
  <c r="BR16" i="42" s="1"/>
  <c r="BN24" i="42"/>
  <c r="BR24" i="42" s="1"/>
  <c r="BR23" i="42"/>
  <c r="AM6" i="42"/>
  <c r="AQ6" i="42" s="1"/>
  <c r="AM11" i="42"/>
  <c r="AQ11" i="42" s="1"/>
  <c r="AQ25" i="42"/>
  <c r="BN10" i="42"/>
  <c r="BR10" i="42" s="1"/>
  <c r="BN21" i="42"/>
  <c r="BR21" i="42" s="1"/>
  <c r="AM17" i="42"/>
  <c r="AQ17" i="42" s="1"/>
  <c r="AM26" i="42"/>
  <c r="AQ26" i="42" s="1"/>
  <c r="BN11" i="42"/>
  <c r="BR11" i="42" s="1"/>
  <c r="AM12" i="42"/>
  <c r="AQ12" i="42" s="1"/>
  <c r="AM19" i="42"/>
  <c r="AQ19" i="42" s="1"/>
  <c r="AM22" i="42"/>
  <c r="AQ22" i="42" s="1"/>
  <c r="BN6" i="42"/>
  <c r="BR6" i="42" s="1"/>
  <c r="BP7" i="38"/>
  <c r="BT7" i="38" s="1"/>
  <c r="AO5" i="38"/>
  <c r="AS5" i="38" s="1"/>
  <c r="BT6" i="38"/>
  <c r="BP4" i="38"/>
  <c r="BT4" i="38" s="1"/>
  <c r="AO9" i="38"/>
  <c r="AS9" i="38" s="1"/>
  <c r="AS6" i="38"/>
  <c r="AO4" i="38"/>
  <c r="AS4" i="38" s="1"/>
  <c r="AS14" i="38"/>
  <c r="KL13" i="38"/>
  <c r="BP10" i="38"/>
  <c r="BT10" i="38" s="1"/>
  <c r="AS10" i="4"/>
  <c r="BT9" i="4"/>
  <c r="BT24" i="4"/>
  <c r="BP6" i="4"/>
  <c r="BT6" i="4" s="1"/>
  <c r="BP15" i="4"/>
  <c r="BT15" i="4" s="1"/>
  <c r="AO6" i="4"/>
  <c r="AS6" i="4" s="1"/>
  <c r="AS8" i="4"/>
  <c r="AS5" i="4"/>
  <c r="AO20" i="4"/>
  <c r="AS20" i="4" s="1"/>
  <c r="BP10" i="4"/>
  <c r="BT10" i="4" s="1"/>
  <c r="BP7" i="4"/>
  <c r="BT7" i="4" s="1"/>
  <c r="AO14" i="4"/>
  <c r="AS14" i="4" s="1"/>
  <c r="AO19" i="4"/>
  <c r="AS19" i="4" s="1"/>
  <c r="AO13" i="4"/>
  <c r="AS13" i="4" s="1"/>
  <c r="AO16" i="4"/>
  <c r="AS16" i="4" s="1"/>
  <c r="BP5" i="4"/>
  <c r="BT5" i="4" s="1"/>
  <c r="AS23" i="4"/>
  <c r="BP18" i="4"/>
  <c r="BT18" i="4" s="1"/>
  <c r="BP4" i="4"/>
  <c r="BT4" i="4" s="1"/>
  <c r="BP22" i="4"/>
  <c r="BT22" i="4" s="1"/>
  <c r="AO12" i="4"/>
  <c r="AS12" i="4" s="1"/>
  <c r="BP13" i="4"/>
  <c r="BT13" i="4" s="1"/>
  <c r="BT19" i="4"/>
  <c r="AS11" i="4"/>
  <c r="BP14" i="4"/>
  <c r="BT14" i="4" s="1"/>
  <c r="BP16" i="4"/>
  <c r="BT16" i="4" s="1"/>
  <c r="AO4" i="4"/>
  <c r="AS4" i="4" s="1"/>
  <c r="AO7" i="4"/>
  <c r="AS7" i="4" s="1"/>
  <c r="AO18" i="4"/>
  <c r="AS18" i="4" s="1"/>
  <c r="AO22" i="4"/>
  <c r="AS22" i="4" s="1"/>
  <c r="AM15" i="40"/>
  <c r="AQ15" i="40" s="1"/>
  <c r="AQ14" i="40"/>
  <c r="BR9" i="40"/>
  <c r="BR6" i="40"/>
  <c r="BR12" i="40"/>
  <c r="AQ13" i="40"/>
  <c r="BR8" i="40"/>
  <c r="BR14" i="40"/>
  <c r="AQ10" i="40"/>
  <c r="BR9" i="39"/>
  <c r="BR11" i="39"/>
  <c r="AQ13" i="39"/>
  <c r="AQ20" i="39"/>
  <c r="AM6" i="39"/>
  <c r="AQ6" i="39" s="1"/>
  <c r="AQ15" i="39"/>
  <c r="BR5" i="39"/>
  <c r="AQ18" i="39"/>
  <c r="BR14" i="39"/>
  <c r="AQ5" i="39"/>
  <c r="BR12" i="39"/>
  <c r="AO4" i="46"/>
  <c r="AS4" i="46" s="1"/>
  <c r="BP5" i="46"/>
  <c r="BT5" i="46" s="1"/>
  <c r="BP9" i="45"/>
  <c r="BT9" i="45" s="1"/>
  <c r="BP12" i="45"/>
  <c r="BP8" i="45"/>
  <c r="AO10" i="38"/>
  <c r="AS10" i="38" s="1"/>
  <c r="OJ13" i="38"/>
  <c r="OQ13" i="38" s="1"/>
  <c r="FF13" i="38"/>
  <c r="FM13" i="38" s="1"/>
  <c r="PR13" i="38"/>
  <c r="PY13" i="38" s="1"/>
  <c r="GN13" i="38"/>
  <c r="GU13" i="38" s="1"/>
  <c r="AO7" i="38"/>
  <c r="AS7" i="38" s="1"/>
  <c r="BP9" i="38"/>
  <c r="BT9" i="38" s="1"/>
  <c r="HV13" i="38"/>
  <c r="IC13" i="38" s="1"/>
  <c r="BP14" i="38"/>
  <c r="BT14" i="38" s="1"/>
  <c r="BP11" i="38"/>
  <c r="BT11" i="38" s="1"/>
  <c r="AO11" i="38"/>
  <c r="AS11" i="38" s="1"/>
  <c r="BP8" i="38"/>
  <c r="BT8" i="38" s="1"/>
  <c r="AO13" i="38"/>
  <c r="AS13" i="38" s="1"/>
  <c r="BP12" i="38"/>
  <c r="BT12" i="38" s="1"/>
  <c r="KS13" i="38"/>
  <c r="AO12" i="38"/>
  <c r="AS12" i="38" s="1"/>
  <c r="AO8" i="38"/>
  <c r="AS8" i="38" s="1"/>
  <c r="BP13" i="38"/>
  <c r="BT13" i="38" s="1"/>
  <c r="L12" i="45"/>
  <c r="M12" i="45" s="1"/>
  <c r="BT8" i="45"/>
  <c r="VE8" i="45"/>
  <c r="VL8" i="45" s="1"/>
  <c r="TW8" i="45"/>
  <c r="UD8" i="45" s="1"/>
  <c r="PY8" i="45"/>
  <c r="QF8" i="45" s="1"/>
  <c r="OX8" i="45"/>
  <c r="NI8" i="45"/>
  <c r="NP8" i="45" s="1"/>
  <c r="MA8" i="45"/>
  <c r="MH8" i="45" s="1"/>
  <c r="KS8" i="45"/>
  <c r="KZ8" i="45" s="1"/>
  <c r="GU8" i="45"/>
  <c r="HB8" i="45" s="1"/>
  <c r="FM8" i="45"/>
  <c r="FT8" i="45" s="1"/>
  <c r="EE8" i="45"/>
  <c r="EL8" i="45" s="1"/>
  <c r="CW8" i="45"/>
  <c r="DD8" i="45" s="1"/>
  <c r="J8" i="45"/>
  <c r="K8" i="45" s="1"/>
  <c r="M8" i="45"/>
  <c r="BT11" i="45"/>
  <c r="IC12" i="45"/>
  <c r="BT12" i="45"/>
  <c r="PY9" i="45"/>
  <c r="VE9" i="45"/>
  <c r="VL9" i="45" s="1"/>
  <c r="TW9" i="45"/>
  <c r="UD9" i="45" s="1"/>
  <c r="SO9" i="45"/>
  <c r="SV9" i="45" s="1"/>
  <c r="RG9" i="45"/>
  <c r="RN9" i="45" s="1"/>
  <c r="QF9" i="45"/>
  <c r="OQ9" i="45"/>
  <c r="OX9" i="45" s="1"/>
  <c r="NI9" i="45"/>
  <c r="NP9" i="45" s="1"/>
  <c r="MA9" i="45"/>
  <c r="MH9" i="45" s="1"/>
  <c r="KS9" i="45"/>
  <c r="KZ9" i="45" s="1"/>
  <c r="IC9" i="45"/>
  <c r="IJ9" i="45" s="1"/>
  <c r="GU9" i="45"/>
  <c r="HB9" i="45" s="1"/>
  <c r="FM9" i="45"/>
  <c r="FT9" i="45" s="1"/>
  <c r="EE9" i="45"/>
  <c r="EL9" i="45" s="1"/>
  <c r="CW9" i="45"/>
  <c r="DD9" i="45" s="1"/>
  <c r="L9" i="45"/>
  <c r="N9" i="45" s="1"/>
  <c r="J9" i="45"/>
  <c r="K9" i="45" s="1"/>
  <c r="M9" i="45"/>
  <c r="RN12" i="45"/>
  <c r="IJ12" i="45"/>
  <c r="SO12" i="45"/>
  <c r="SV12" i="45" s="1"/>
  <c r="JK12" i="45"/>
  <c r="JR12" i="45" s="1"/>
  <c r="CW12" i="45"/>
  <c r="DD12" i="45" s="1"/>
  <c r="OQ12" i="45"/>
  <c r="OX12" i="45" s="1"/>
  <c r="FM12" i="45"/>
  <c r="FT12" i="45" s="1"/>
  <c r="RG11" i="45"/>
  <c r="RN11" i="45" s="1"/>
  <c r="IC11" i="45"/>
  <c r="IJ11" i="45" s="1"/>
  <c r="VE12" i="45"/>
  <c r="VL12" i="45" s="1"/>
  <c r="TW12" i="45"/>
  <c r="UD12" i="45" s="1"/>
  <c r="PY12" i="45"/>
  <c r="QF12" i="45" s="1"/>
  <c r="NI12" i="45"/>
  <c r="NP12" i="45" s="1"/>
  <c r="MA12" i="45"/>
  <c r="MH12" i="45" s="1"/>
  <c r="KS12" i="45"/>
  <c r="KZ12" i="45" s="1"/>
  <c r="GU12" i="45"/>
  <c r="HB12" i="45" s="1"/>
  <c r="EE12" i="45"/>
  <c r="EL12" i="45" s="1"/>
  <c r="J12" i="45"/>
  <c r="K12" i="45" s="1"/>
  <c r="BU12" i="45"/>
  <c r="NI11" i="45"/>
  <c r="NP11" i="45" s="1"/>
  <c r="TW11" i="45"/>
  <c r="UD11" i="45" s="1"/>
  <c r="KS11" i="45"/>
  <c r="KZ11" i="45" s="1"/>
  <c r="FM11" i="45"/>
  <c r="FT11" i="45" s="1"/>
  <c r="MA11" i="45"/>
  <c r="MH11" i="45" s="1"/>
  <c r="VE11" i="45"/>
  <c r="VL11" i="45" s="1"/>
  <c r="SO11" i="45"/>
  <c r="SV11" i="45" s="1"/>
  <c r="PY11" i="45"/>
  <c r="QF11" i="45" s="1"/>
  <c r="OQ11" i="45"/>
  <c r="OX11" i="45" s="1"/>
  <c r="JK11" i="45"/>
  <c r="JR11" i="45" s="1"/>
  <c r="GU11" i="45"/>
  <c r="HB11" i="45" s="1"/>
  <c r="EE11" i="45"/>
  <c r="EL11" i="45" s="1"/>
  <c r="CW11" i="45"/>
  <c r="DD11" i="45" s="1"/>
  <c r="J11" i="45"/>
  <c r="K11" i="45" s="1"/>
  <c r="L11" i="45"/>
  <c r="M11" i="45" s="1"/>
  <c r="WC25" i="42"/>
  <c r="WJ25" i="42" s="1"/>
  <c r="UU25" i="42"/>
  <c r="VB25" i="42" s="1"/>
  <c r="TM25" i="42"/>
  <c r="TT25" i="42" s="1"/>
  <c r="SE25" i="42"/>
  <c r="SL25" i="42" s="1"/>
  <c r="MY25" i="42"/>
  <c r="NF25" i="42" s="1"/>
  <c r="LQ25" i="42"/>
  <c r="LX25" i="42" s="1"/>
  <c r="KI25" i="42"/>
  <c r="KP25" i="42" s="1"/>
  <c r="JA25" i="42"/>
  <c r="JH25" i="42" s="1"/>
  <c r="FC25" i="42"/>
  <c r="FJ25" i="42" s="1"/>
  <c r="J25" i="42"/>
  <c r="K25" i="42" s="1"/>
  <c r="F25" i="42"/>
  <c r="G25" i="42"/>
  <c r="EB25" i="42"/>
  <c r="L25" i="42"/>
  <c r="M25" i="42" s="1"/>
  <c r="HZ23" i="42"/>
  <c r="JA23" i="42"/>
  <c r="JH23" i="42" s="1"/>
  <c r="FJ23" i="42"/>
  <c r="TM23" i="42"/>
  <c r="TT23" i="42" s="1"/>
  <c r="GK23" i="42"/>
  <c r="GR23" i="42" s="1"/>
  <c r="WC23" i="42"/>
  <c r="WJ23" i="42" s="1"/>
  <c r="F23" i="42"/>
  <c r="L23" i="42"/>
  <c r="M23" i="42" s="1"/>
  <c r="J23" i="42"/>
  <c r="EB23" i="42"/>
  <c r="G23" i="42"/>
  <c r="VL6" i="46"/>
  <c r="TW6" i="46"/>
  <c r="UD6" i="46" s="1"/>
  <c r="SO6" i="46"/>
  <c r="SV6" i="46" s="1"/>
  <c r="PY6" i="46"/>
  <c r="QF6" i="46" s="1"/>
  <c r="OX6" i="46"/>
  <c r="NI6" i="46"/>
  <c r="NP6" i="46" s="1"/>
  <c r="MA6" i="46"/>
  <c r="MH6" i="46" s="1"/>
  <c r="JK6" i="46"/>
  <c r="JR6" i="46" s="1"/>
  <c r="GU6" i="46"/>
  <c r="HB6" i="46" s="1"/>
  <c r="FT6" i="46"/>
  <c r="EE6" i="46"/>
  <c r="EL6" i="46" s="1"/>
  <c r="CW6" i="46"/>
  <c r="DD6" i="46" s="1"/>
  <c r="BT6" i="46"/>
  <c r="J6" i="46"/>
  <c r="BU6" i="46" s="1"/>
  <c r="N6" i="46"/>
  <c r="BV6" i="46"/>
  <c r="M6" i="46"/>
  <c r="O6" i="46"/>
  <c r="EE5" i="46"/>
  <c r="EL5" i="46" s="1"/>
  <c r="FM5" i="46"/>
  <c r="FT5" i="46" s="1"/>
  <c r="VE5" i="46"/>
  <c r="VL5" i="46" s="1"/>
  <c r="TW5" i="46"/>
  <c r="UD5" i="46" s="1"/>
  <c r="RG5" i="46"/>
  <c r="RN5" i="46" s="1"/>
  <c r="PY5" i="46"/>
  <c r="QF5" i="46" s="1"/>
  <c r="OQ5" i="46"/>
  <c r="OX5" i="46" s="1"/>
  <c r="NI5" i="46"/>
  <c r="NP5" i="46" s="1"/>
  <c r="KS5" i="46"/>
  <c r="KZ5" i="46" s="1"/>
  <c r="IC5" i="46"/>
  <c r="IJ5" i="46" s="1"/>
  <c r="GU5" i="46"/>
  <c r="HB5" i="46" s="1"/>
  <c r="CW5" i="46"/>
  <c r="DD5" i="46" s="1"/>
  <c r="L5" i="46"/>
  <c r="N5" i="46" s="1"/>
  <c r="BV5" i="46" s="1"/>
  <c r="J5" i="46"/>
  <c r="BU5" i="46" s="1"/>
  <c r="O5" i="46"/>
  <c r="NI4" i="46"/>
  <c r="NP4" i="46" s="1"/>
  <c r="CW4" i="46"/>
  <c r="DD4" i="46" s="1"/>
  <c r="MA4" i="46"/>
  <c r="MH4" i="46" s="1"/>
  <c r="VE4" i="46"/>
  <c r="VL4" i="46" s="1"/>
  <c r="WF13" i="38"/>
  <c r="WM13" i="38" s="1"/>
  <c r="UX13" i="38"/>
  <c r="VE13" i="38" s="1"/>
  <c r="TP13" i="38"/>
  <c r="TW13" i="38" s="1"/>
  <c r="SH13" i="38"/>
  <c r="SO13" i="38" s="1"/>
  <c r="QZ13" i="38"/>
  <c r="RG13" i="38" s="1"/>
  <c r="NB13" i="38"/>
  <c r="NI13" i="38" s="1"/>
  <c r="LT13" i="38"/>
  <c r="MA13" i="38" s="1"/>
  <c r="JD13" i="38"/>
  <c r="JK13" i="38" s="1"/>
  <c r="DX13" i="38"/>
  <c r="EE13" i="38" s="1"/>
  <c r="J13" i="38"/>
  <c r="N13" i="38" s="1"/>
  <c r="G13" i="38"/>
  <c r="F13" i="38"/>
  <c r="I13" i="38"/>
  <c r="EE4" i="46"/>
  <c r="EL4" i="46" s="1"/>
  <c r="KS4" i="46"/>
  <c r="KZ4" i="46" s="1"/>
  <c r="TW4" i="46"/>
  <c r="UD4" i="46" s="1"/>
  <c r="RN4" i="46"/>
  <c r="QF4" i="46"/>
  <c r="IJ4" i="46"/>
  <c r="HB4" i="46"/>
  <c r="BP4" i="46"/>
  <c r="BT4" i="46" s="1"/>
  <c r="FM4" i="46"/>
  <c r="FT4" i="46" s="1"/>
  <c r="OQ4" i="46"/>
  <c r="OX4" i="46" s="1"/>
  <c r="JK4" i="46"/>
  <c r="JR4" i="46" s="1"/>
  <c r="SO4" i="46"/>
  <c r="SV4" i="46" s="1"/>
  <c r="L4" i="46"/>
  <c r="M4" i="46" s="1"/>
  <c r="J4" i="46"/>
  <c r="F6" i="46" l="1"/>
  <c r="O8" i="45"/>
  <c r="G8" i="45"/>
  <c r="BU8" i="45"/>
  <c r="P8" i="45" s="1"/>
  <c r="E8" i="45" s="1"/>
  <c r="F8" i="45"/>
  <c r="M5" i="46"/>
  <c r="N12" i="45"/>
  <c r="BV12" i="45" s="1"/>
  <c r="O12" i="45"/>
  <c r="K6" i="46"/>
  <c r="K5" i="46"/>
  <c r="O11" i="45"/>
  <c r="BV9" i="45"/>
  <c r="O9" i="45"/>
  <c r="BU9" i="45"/>
  <c r="L13" i="38"/>
  <c r="O13" i="38" s="1"/>
  <c r="K13" i="38"/>
  <c r="CV13" i="38"/>
  <c r="G9" i="45"/>
  <c r="F9" i="45"/>
  <c r="G12" i="45"/>
  <c r="BU11" i="45"/>
  <c r="F12" i="45"/>
  <c r="P12" i="45"/>
  <c r="R12" i="45" s="1"/>
  <c r="F11" i="45"/>
  <c r="G11" i="45"/>
  <c r="N11" i="45"/>
  <c r="BV11" i="45" s="1"/>
  <c r="H25" i="42"/>
  <c r="A25" i="42" s="1" a="1"/>
  <c r="A25" i="42" s="1"/>
  <c r="CT25" i="42"/>
  <c r="N25" i="42" s="1"/>
  <c r="E25" i="42" s="1"/>
  <c r="CT23" i="42"/>
  <c r="N23" i="42" s="1"/>
  <c r="P23" i="42" s="1"/>
  <c r="H23" i="42"/>
  <c r="A23" i="42" s="1" a="1"/>
  <c r="A23" i="42" s="1"/>
  <c r="K23" i="42"/>
  <c r="G6" i="46"/>
  <c r="H6" i="46" s="1"/>
  <c r="P6" i="46"/>
  <c r="R6" i="46" s="1"/>
  <c r="G5" i="46"/>
  <c r="F5" i="46"/>
  <c r="P5" i="46"/>
  <c r="R5" i="46" s="1"/>
  <c r="G4" i="46"/>
  <c r="CW13" i="38"/>
  <c r="H13" i="38"/>
  <c r="A13" i="38" s="1" a="1"/>
  <c r="A13" i="38" s="1"/>
  <c r="I6" i="43" s="1"/>
  <c r="F4" i="46"/>
  <c r="H4" i="46" s="1"/>
  <c r="O4" i="46"/>
  <c r="N4" i="46"/>
  <c r="BV4" i="46" s="1"/>
  <c r="BU4" i="46"/>
  <c r="K4" i="46"/>
  <c r="H8" i="45" l="1"/>
  <c r="A8" i="45" s="1" a="1"/>
  <c r="A8" i="45" s="1"/>
  <c r="Q5" i="46"/>
  <c r="E5" i="46"/>
  <c r="H5" i="46"/>
  <c r="A5" i="46" s="1" a="1"/>
  <c r="A5" i="46" s="1"/>
  <c r="M13" i="38"/>
  <c r="P9" i="45"/>
  <c r="Q9" i="45" s="1"/>
  <c r="H12" i="45"/>
  <c r="A12" i="45" s="1" a="1"/>
  <c r="A12" i="45" s="1"/>
  <c r="P11" i="45"/>
  <c r="Q11" i="45" s="1"/>
  <c r="P13" i="38"/>
  <c r="E13" i="38" s="1"/>
  <c r="Q8" i="45"/>
  <c r="R8" i="45"/>
  <c r="H9" i="45"/>
  <c r="A9" i="45" s="1" a="1"/>
  <c r="A9" i="45" s="1"/>
  <c r="R9" i="45"/>
  <c r="E9" i="45"/>
  <c r="H11" i="45"/>
  <c r="A11" i="45" s="1" a="1"/>
  <c r="A11" i="45" s="1"/>
  <c r="E12" i="45"/>
  <c r="Q12" i="45"/>
  <c r="O25" i="42"/>
  <c r="P25" i="42"/>
  <c r="E23" i="42"/>
  <c r="O23" i="42"/>
  <c r="E6" i="46"/>
  <c r="A6" i="46" s="1" a="1"/>
  <c r="A6" i="46" s="1"/>
  <c r="Q6" i="46"/>
  <c r="P4" i="46"/>
  <c r="E4" i="46" s="1"/>
  <c r="R11" i="45" l="1"/>
  <c r="A4" i="46" a="1"/>
  <c r="A4" i="46" s="1"/>
  <c r="C31" i="11" s="1"/>
  <c r="Q4" i="46"/>
  <c r="E11" i="45"/>
  <c r="R13" i="38"/>
  <c r="Q13" i="38"/>
  <c r="R4" i="46"/>
  <c r="D33" i="11"/>
  <c r="C32" i="11"/>
  <c r="D32" i="11"/>
  <c r="D31" i="11"/>
  <c r="D30" i="11" l="1"/>
  <c r="C30" i="11"/>
  <c r="C33" i="11"/>
  <c r="VK5" i="45"/>
  <c r="VJ5" i="45"/>
  <c r="VI5" i="45"/>
  <c r="VH5" i="45"/>
  <c r="VG5" i="45"/>
  <c r="VF5" i="45"/>
  <c r="VD5" i="45"/>
  <c r="VC5" i="45"/>
  <c r="VB5" i="45"/>
  <c r="VA5" i="45"/>
  <c r="UZ5" i="45"/>
  <c r="UY5" i="45"/>
  <c r="UC5" i="45"/>
  <c r="UB5" i="45"/>
  <c r="UA5" i="45"/>
  <c r="TZ5" i="45"/>
  <c r="TY5" i="45"/>
  <c r="TX5" i="45"/>
  <c r="TV5" i="45"/>
  <c r="TU5" i="45"/>
  <c r="TT5" i="45"/>
  <c r="TS5" i="45"/>
  <c r="TR5" i="45"/>
  <c r="TQ5" i="45"/>
  <c r="SU5" i="45"/>
  <c r="ST5" i="45"/>
  <c r="SS5" i="45"/>
  <c r="SR5" i="45"/>
  <c r="SQ5" i="45"/>
  <c r="SP5" i="45"/>
  <c r="SN5" i="45"/>
  <c r="SM5" i="45"/>
  <c r="SL5" i="45"/>
  <c r="SK5" i="45"/>
  <c r="SJ5" i="45"/>
  <c r="SI5" i="45"/>
  <c r="RM5" i="45"/>
  <c r="RL5" i="45"/>
  <c r="RK5" i="45"/>
  <c r="RJ5" i="45"/>
  <c r="RI5" i="45"/>
  <c r="RH5" i="45"/>
  <c r="RF5" i="45"/>
  <c r="RE5" i="45"/>
  <c r="RD5" i="45"/>
  <c r="RC5" i="45"/>
  <c r="RB5" i="45"/>
  <c r="RA5" i="45"/>
  <c r="QE5" i="45"/>
  <c r="QD5" i="45"/>
  <c r="QC5" i="45"/>
  <c r="QB5" i="45"/>
  <c r="QA5" i="45"/>
  <c r="PZ5" i="45"/>
  <c r="PX5" i="45"/>
  <c r="PW5" i="45"/>
  <c r="PV5" i="45"/>
  <c r="PU5" i="45"/>
  <c r="PT5" i="45"/>
  <c r="PS5" i="45"/>
  <c r="OW5" i="45"/>
  <c r="OV5" i="45"/>
  <c r="OU5" i="45"/>
  <c r="OT5" i="45"/>
  <c r="OS5" i="45"/>
  <c r="OR5" i="45"/>
  <c r="OP5" i="45"/>
  <c r="OO5" i="45"/>
  <c r="ON5" i="45"/>
  <c r="OM5" i="45"/>
  <c r="OL5" i="45"/>
  <c r="OK5" i="45"/>
  <c r="NO5" i="45"/>
  <c r="NN5" i="45"/>
  <c r="NM5" i="45"/>
  <c r="NL5" i="45"/>
  <c r="NK5" i="45"/>
  <c r="NJ5" i="45"/>
  <c r="NH5" i="45"/>
  <c r="NG5" i="45"/>
  <c r="NF5" i="45"/>
  <c r="NE5" i="45"/>
  <c r="ND5" i="45"/>
  <c r="NC5" i="45"/>
  <c r="MG5" i="45"/>
  <c r="MF5" i="45"/>
  <c r="ME5" i="45"/>
  <c r="MD5" i="45"/>
  <c r="MC5" i="45"/>
  <c r="MB5" i="45"/>
  <c r="LZ5" i="45"/>
  <c r="LY5" i="45"/>
  <c r="LX5" i="45"/>
  <c r="LW5" i="45"/>
  <c r="LV5" i="45"/>
  <c r="LU5" i="45"/>
  <c r="KY5" i="45"/>
  <c r="KX5" i="45"/>
  <c r="KW5" i="45"/>
  <c r="KV5" i="45"/>
  <c r="KU5" i="45"/>
  <c r="KT5" i="45"/>
  <c r="KR5" i="45"/>
  <c r="KQ5" i="45"/>
  <c r="KP5" i="45"/>
  <c r="KO5" i="45"/>
  <c r="KN5" i="45"/>
  <c r="KM5" i="45"/>
  <c r="JQ5" i="45"/>
  <c r="JP5" i="45"/>
  <c r="JO5" i="45"/>
  <c r="JN5" i="45"/>
  <c r="JM5" i="45"/>
  <c r="JL5" i="45"/>
  <c r="JJ5" i="45"/>
  <c r="JI5" i="45"/>
  <c r="JH5" i="45"/>
  <c r="JG5" i="45"/>
  <c r="JF5" i="45"/>
  <c r="JE5" i="45"/>
  <c r="II5" i="45"/>
  <c r="IH5" i="45"/>
  <c r="IG5" i="45"/>
  <c r="IF5" i="45"/>
  <c r="IE5" i="45"/>
  <c r="ID5" i="45"/>
  <c r="IB5" i="45"/>
  <c r="IA5" i="45"/>
  <c r="HZ5" i="45"/>
  <c r="HY5" i="45"/>
  <c r="HX5" i="45"/>
  <c r="HW5" i="45"/>
  <c r="HA5" i="45"/>
  <c r="GZ5" i="45"/>
  <c r="GY5" i="45"/>
  <c r="GX5" i="45"/>
  <c r="GW5" i="45"/>
  <c r="GV5" i="45"/>
  <c r="GT5" i="45"/>
  <c r="GS5" i="45"/>
  <c r="GR5" i="45"/>
  <c r="GQ5" i="45"/>
  <c r="GP5" i="45"/>
  <c r="GO5" i="45"/>
  <c r="FS5" i="45"/>
  <c r="FR5" i="45"/>
  <c r="FQ5" i="45"/>
  <c r="FP5" i="45"/>
  <c r="FO5" i="45"/>
  <c r="FN5" i="45"/>
  <c r="FL5" i="45"/>
  <c r="FK5" i="45"/>
  <c r="FJ5" i="45"/>
  <c r="FI5" i="45"/>
  <c r="FH5" i="45"/>
  <c r="FG5" i="45"/>
  <c r="EK5" i="45"/>
  <c r="EJ5" i="45"/>
  <c r="EI5" i="45"/>
  <c r="EH5" i="45"/>
  <c r="EG5" i="45"/>
  <c r="EF5" i="45"/>
  <c r="ED5" i="45"/>
  <c r="EC5" i="45"/>
  <c r="EB5" i="45"/>
  <c r="EA5" i="45"/>
  <c r="DZ5" i="45"/>
  <c r="DY5" i="45"/>
  <c r="DC5" i="45"/>
  <c r="DB5" i="45"/>
  <c r="DA5" i="45"/>
  <c r="CZ5" i="45"/>
  <c r="CY5" i="45"/>
  <c r="CX5" i="45"/>
  <c r="CV5" i="45"/>
  <c r="CU5" i="45"/>
  <c r="CT5" i="45"/>
  <c r="CS5" i="45"/>
  <c r="CR5" i="45"/>
  <c r="CQ5" i="45"/>
  <c r="BS5" i="45"/>
  <c r="BR5" i="45"/>
  <c r="BQ5" i="45"/>
  <c r="BO5" i="45"/>
  <c r="BN5" i="45"/>
  <c r="BM5" i="45"/>
  <c r="BL5" i="45"/>
  <c r="BP5" i="45" s="1"/>
  <c r="BK5" i="45"/>
  <c r="BJ5" i="45"/>
  <c r="VK13" i="45"/>
  <c r="VJ13" i="45"/>
  <c r="VI13" i="45"/>
  <c r="VH13" i="45"/>
  <c r="VG13" i="45"/>
  <c r="VF13" i="45"/>
  <c r="VD13" i="45"/>
  <c r="VC13" i="45"/>
  <c r="VB13" i="45"/>
  <c r="VA13" i="45"/>
  <c r="UZ13" i="45"/>
  <c r="UY13" i="45"/>
  <c r="UC13" i="45"/>
  <c r="UB13" i="45"/>
  <c r="UA13" i="45"/>
  <c r="TZ13" i="45"/>
  <c r="TY13" i="45"/>
  <c r="TX13" i="45"/>
  <c r="TV13" i="45"/>
  <c r="TU13" i="45"/>
  <c r="TT13" i="45"/>
  <c r="TS13" i="45"/>
  <c r="TR13" i="45"/>
  <c r="TQ13" i="45"/>
  <c r="SU13" i="45"/>
  <c r="ST13" i="45"/>
  <c r="SS13" i="45"/>
  <c r="SR13" i="45"/>
  <c r="SQ13" i="45"/>
  <c r="SP13" i="45"/>
  <c r="SN13" i="45"/>
  <c r="SM13" i="45"/>
  <c r="SL13" i="45"/>
  <c r="SK13" i="45"/>
  <c r="SJ13" i="45"/>
  <c r="SI13" i="45"/>
  <c r="RM13" i="45"/>
  <c r="RL13" i="45"/>
  <c r="RK13" i="45"/>
  <c r="RJ13" i="45"/>
  <c r="RI13" i="45"/>
  <c r="RH13" i="45"/>
  <c r="RF13" i="45"/>
  <c r="RE13" i="45"/>
  <c r="RD13" i="45"/>
  <c r="RC13" i="45"/>
  <c r="RB13" i="45"/>
  <c r="RA13" i="45"/>
  <c r="QE13" i="45"/>
  <c r="QD13" i="45"/>
  <c r="QC13" i="45"/>
  <c r="QB13" i="45"/>
  <c r="QA13" i="45"/>
  <c r="PZ13" i="45"/>
  <c r="PX13" i="45"/>
  <c r="PW13" i="45"/>
  <c r="PV13" i="45"/>
  <c r="PU13" i="45"/>
  <c r="PT13" i="45"/>
  <c r="PS13" i="45"/>
  <c r="OW13" i="45"/>
  <c r="OV13" i="45"/>
  <c r="OU13" i="45"/>
  <c r="OT13" i="45"/>
  <c r="OS13" i="45"/>
  <c r="OR13" i="45"/>
  <c r="OP13" i="45"/>
  <c r="OO13" i="45"/>
  <c r="ON13" i="45"/>
  <c r="OM13" i="45"/>
  <c r="OL13" i="45"/>
  <c r="OK13" i="45"/>
  <c r="NO13" i="45"/>
  <c r="NN13" i="45"/>
  <c r="NM13" i="45"/>
  <c r="NL13" i="45"/>
  <c r="NK13" i="45"/>
  <c r="NJ13" i="45"/>
  <c r="NH13" i="45"/>
  <c r="NG13" i="45"/>
  <c r="NF13" i="45"/>
  <c r="NE13" i="45"/>
  <c r="ND13" i="45"/>
  <c r="NC13" i="45"/>
  <c r="MG13" i="45"/>
  <c r="MF13" i="45"/>
  <c r="ME13" i="45"/>
  <c r="MD13" i="45"/>
  <c r="MC13" i="45"/>
  <c r="MB13" i="45"/>
  <c r="LZ13" i="45"/>
  <c r="LY13" i="45"/>
  <c r="LX13" i="45"/>
  <c r="LW13" i="45"/>
  <c r="LV13" i="45"/>
  <c r="LU13" i="45"/>
  <c r="KY13" i="45"/>
  <c r="KX13" i="45"/>
  <c r="KW13" i="45"/>
  <c r="KV13" i="45"/>
  <c r="KU13" i="45"/>
  <c r="KT13" i="45"/>
  <c r="KR13" i="45"/>
  <c r="KQ13" i="45"/>
  <c r="KP13" i="45"/>
  <c r="KO13" i="45"/>
  <c r="KN13" i="45"/>
  <c r="KM13" i="45"/>
  <c r="JQ13" i="45"/>
  <c r="JP13" i="45"/>
  <c r="JO13" i="45"/>
  <c r="JN13" i="45"/>
  <c r="JM13" i="45"/>
  <c r="JL13" i="45"/>
  <c r="JJ13" i="45"/>
  <c r="JI13" i="45"/>
  <c r="JH13" i="45"/>
  <c r="JG13" i="45"/>
  <c r="JF13" i="45"/>
  <c r="JE13" i="45"/>
  <c r="II13" i="45"/>
  <c r="IH13" i="45"/>
  <c r="IG13" i="45"/>
  <c r="IF13" i="45"/>
  <c r="IE13" i="45"/>
  <c r="ID13" i="45"/>
  <c r="IB13" i="45"/>
  <c r="IA13" i="45"/>
  <c r="HZ13" i="45"/>
  <c r="HY13" i="45"/>
  <c r="HX13" i="45"/>
  <c r="HW13" i="45"/>
  <c r="HA13" i="45"/>
  <c r="GZ13" i="45"/>
  <c r="GY13" i="45"/>
  <c r="GX13" i="45"/>
  <c r="GW13" i="45"/>
  <c r="GV13" i="45"/>
  <c r="GT13" i="45"/>
  <c r="GS13" i="45"/>
  <c r="GR13" i="45"/>
  <c r="GQ13" i="45"/>
  <c r="GP13" i="45"/>
  <c r="GO13" i="45"/>
  <c r="FS13" i="45"/>
  <c r="FR13" i="45"/>
  <c r="FQ13" i="45"/>
  <c r="FP13" i="45"/>
  <c r="FO13" i="45"/>
  <c r="FN13" i="45"/>
  <c r="FL13" i="45"/>
  <c r="FK13" i="45"/>
  <c r="FJ13" i="45"/>
  <c r="FI13" i="45"/>
  <c r="FH13" i="45"/>
  <c r="FG13" i="45"/>
  <c r="EK13" i="45"/>
  <c r="EJ13" i="45"/>
  <c r="EI13" i="45"/>
  <c r="EH13" i="45"/>
  <c r="EG13" i="45"/>
  <c r="EF13" i="45"/>
  <c r="ED13" i="45"/>
  <c r="EC13" i="45"/>
  <c r="EB13" i="45"/>
  <c r="EA13" i="45"/>
  <c r="DZ13" i="45"/>
  <c r="DY13" i="45"/>
  <c r="DC13" i="45"/>
  <c r="DB13" i="45"/>
  <c r="DA13" i="45"/>
  <c r="CZ13" i="45"/>
  <c r="CY13" i="45"/>
  <c r="CX13" i="45"/>
  <c r="CV13" i="45"/>
  <c r="CU13" i="45"/>
  <c r="CT13" i="45"/>
  <c r="CS13" i="45"/>
  <c r="CR13" i="45"/>
  <c r="CQ13" i="45"/>
  <c r="BS13" i="45"/>
  <c r="BR13" i="45"/>
  <c r="BQ13" i="45"/>
  <c r="BO13" i="45"/>
  <c r="BN13" i="45"/>
  <c r="BM13" i="45"/>
  <c r="BL13" i="45"/>
  <c r="BK13" i="45"/>
  <c r="BJ13" i="45"/>
  <c r="VK10" i="45"/>
  <c r="VJ10" i="45"/>
  <c r="VI10" i="45"/>
  <c r="VH10" i="45"/>
  <c r="VG10" i="45"/>
  <c r="VF10" i="45"/>
  <c r="VD10" i="45"/>
  <c r="VC10" i="45"/>
  <c r="VB10" i="45"/>
  <c r="VA10" i="45"/>
  <c r="UZ10" i="45"/>
  <c r="UY10" i="45"/>
  <c r="UC10" i="45"/>
  <c r="UB10" i="45"/>
  <c r="UA10" i="45"/>
  <c r="TZ10" i="45"/>
  <c r="TY10" i="45"/>
  <c r="TX10" i="45"/>
  <c r="TV10" i="45"/>
  <c r="TU10" i="45"/>
  <c r="TT10" i="45"/>
  <c r="TS10" i="45"/>
  <c r="TR10" i="45"/>
  <c r="TQ10" i="45"/>
  <c r="SU10" i="45"/>
  <c r="ST10" i="45"/>
  <c r="SS10" i="45"/>
  <c r="SR10" i="45"/>
  <c r="SQ10" i="45"/>
  <c r="SP10" i="45"/>
  <c r="SN10" i="45"/>
  <c r="SM10" i="45"/>
  <c r="SL10" i="45"/>
  <c r="SK10" i="45"/>
  <c r="SJ10" i="45"/>
  <c r="SI10" i="45"/>
  <c r="RM10" i="45"/>
  <c r="RL10" i="45"/>
  <c r="RK10" i="45"/>
  <c r="RJ10" i="45"/>
  <c r="RI10" i="45"/>
  <c r="RH10" i="45"/>
  <c r="RF10" i="45"/>
  <c r="RE10" i="45"/>
  <c r="RD10" i="45"/>
  <c r="RC10" i="45"/>
  <c r="RB10" i="45"/>
  <c r="RA10" i="45"/>
  <c r="QE10" i="45"/>
  <c r="QD10" i="45"/>
  <c r="QC10" i="45"/>
  <c r="QB10" i="45"/>
  <c r="QA10" i="45"/>
  <c r="PZ10" i="45"/>
  <c r="PX10" i="45"/>
  <c r="PW10" i="45"/>
  <c r="PV10" i="45"/>
  <c r="PU10" i="45"/>
  <c r="PT10" i="45"/>
  <c r="PS10" i="45"/>
  <c r="OW10" i="45"/>
  <c r="OV10" i="45"/>
  <c r="OU10" i="45"/>
  <c r="OT10" i="45"/>
  <c r="OS10" i="45"/>
  <c r="OR10" i="45"/>
  <c r="OP10" i="45"/>
  <c r="OO10" i="45"/>
  <c r="ON10" i="45"/>
  <c r="OM10" i="45"/>
  <c r="OL10" i="45"/>
  <c r="OK10" i="45"/>
  <c r="NO10" i="45"/>
  <c r="NN10" i="45"/>
  <c r="NM10" i="45"/>
  <c r="NL10" i="45"/>
  <c r="NK10" i="45"/>
  <c r="NJ10" i="45"/>
  <c r="NH10" i="45"/>
  <c r="NG10" i="45"/>
  <c r="NF10" i="45"/>
  <c r="NE10" i="45"/>
  <c r="ND10" i="45"/>
  <c r="NC10" i="45"/>
  <c r="MG10" i="45"/>
  <c r="MF10" i="45"/>
  <c r="ME10" i="45"/>
  <c r="MD10" i="45"/>
  <c r="MC10" i="45"/>
  <c r="MB10" i="45"/>
  <c r="LZ10" i="45"/>
  <c r="LY10" i="45"/>
  <c r="LX10" i="45"/>
  <c r="LW10" i="45"/>
  <c r="LV10" i="45"/>
  <c r="LU10" i="45"/>
  <c r="KY10" i="45"/>
  <c r="KX10" i="45"/>
  <c r="KW10" i="45"/>
  <c r="KV10" i="45"/>
  <c r="KU10" i="45"/>
  <c r="KT10" i="45"/>
  <c r="KR10" i="45"/>
  <c r="KQ10" i="45"/>
  <c r="KP10" i="45"/>
  <c r="KO10" i="45"/>
  <c r="KN10" i="45"/>
  <c r="KM10" i="45"/>
  <c r="JQ10" i="45"/>
  <c r="JP10" i="45"/>
  <c r="JO10" i="45"/>
  <c r="JN10" i="45"/>
  <c r="JM10" i="45"/>
  <c r="JL10" i="45"/>
  <c r="JJ10" i="45"/>
  <c r="JI10" i="45"/>
  <c r="JH10" i="45"/>
  <c r="JG10" i="45"/>
  <c r="JF10" i="45"/>
  <c r="JE10" i="45"/>
  <c r="II10" i="45"/>
  <c r="IH10" i="45"/>
  <c r="IG10" i="45"/>
  <c r="IF10" i="45"/>
  <c r="IE10" i="45"/>
  <c r="ID10" i="45"/>
  <c r="IB10" i="45"/>
  <c r="IA10" i="45"/>
  <c r="HZ10" i="45"/>
  <c r="HY10" i="45"/>
  <c r="HX10" i="45"/>
  <c r="HW10" i="45"/>
  <c r="HA10" i="45"/>
  <c r="GZ10" i="45"/>
  <c r="GY10" i="45"/>
  <c r="GX10" i="45"/>
  <c r="GW10" i="45"/>
  <c r="GV10" i="45"/>
  <c r="GT10" i="45"/>
  <c r="GS10" i="45"/>
  <c r="GR10" i="45"/>
  <c r="GQ10" i="45"/>
  <c r="GP10" i="45"/>
  <c r="GO10" i="45"/>
  <c r="FS10" i="45"/>
  <c r="FR10" i="45"/>
  <c r="FQ10" i="45"/>
  <c r="FP10" i="45"/>
  <c r="FO10" i="45"/>
  <c r="FN10" i="45"/>
  <c r="FL10" i="45"/>
  <c r="FK10" i="45"/>
  <c r="FJ10" i="45"/>
  <c r="FI10" i="45"/>
  <c r="FH10" i="45"/>
  <c r="FG10" i="45"/>
  <c r="EK10" i="45"/>
  <c r="EJ10" i="45"/>
  <c r="EI10" i="45"/>
  <c r="EH10" i="45"/>
  <c r="EG10" i="45"/>
  <c r="EF10" i="45"/>
  <c r="ED10" i="45"/>
  <c r="EC10" i="45"/>
  <c r="EB10" i="45"/>
  <c r="EA10" i="45"/>
  <c r="DZ10" i="45"/>
  <c r="DY10" i="45"/>
  <c r="DC10" i="45"/>
  <c r="DB10" i="45"/>
  <c r="DA10" i="45"/>
  <c r="CZ10" i="45"/>
  <c r="CY10" i="45"/>
  <c r="CX10" i="45"/>
  <c r="CV10" i="45"/>
  <c r="CU10" i="45"/>
  <c r="CT10" i="45"/>
  <c r="CS10" i="45"/>
  <c r="CR10" i="45"/>
  <c r="CQ10" i="45"/>
  <c r="BS10" i="45"/>
  <c r="BR10" i="45"/>
  <c r="BQ10" i="45"/>
  <c r="BO10" i="45"/>
  <c r="BN10" i="45"/>
  <c r="BM10" i="45"/>
  <c r="BL10" i="45"/>
  <c r="BK10" i="45"/>
  <c r="BJ10" i="45"/>
  <c r="VK7" i="45"/>
  <c r="VJ7" i="45"/>
  <c r="VI7" i="45"/>
  <c r="VH7" i="45"/>
  <c r="VG7" i="45"/>
  <c r="VF7" i="45"/>
  <c r="VD7" i="45"/>
  <c r="VC7" i="45"/>
  <c r="VB7" i="45"/>
  <c r="VA7" i="45"/>
  <c r="UZ7" i="45"/>
  <c r="UY7" i="45"/>
  <c r="UC7" i="45"/>
  <c r="UB7" i="45"/>
  <c r="UA7" i="45"/>
  <c r="TZ7" i="45"/>
  <c r="TY7" i="45"/>
  <c r="TX7" i="45"/>
  <c r="TV7" i="45"/>
  <c r="TU7" i="45"/>
  <c r="TT7" i="45"/>
  <c r="TS7" i="45"/>
  <c r="TR7" i="45"/>
  <c r="TQ7" i="45"/>
  <c r="SU7" i="45"/>
  <c r="ST7" i="45"/>
  <c r="SS7" i="45"/>
  <c r="SR7" i="45"/>
  <c r="SQ7" i="45"/>
  <c r="SP7" i="45"/>
  <c r="SN7" i="45"/>
  <c r="SM7" i="45"/>
  <c r="SL7" i="45"/>
  <c r="SK7" i="45"/>
  <c r="SJ7" i="45"/>
  <c r="SI7" i="45"/>
  <c r="RM7" i="45"/>
  <c r="RL7" i="45"/>
  <c r="RK7" i="45"/>
  <c r="RJ7" i="45"/>
  <c r="RI7" i="45"/>
  <c r="RH7" i="45"/>
  <c r="RF7" i="45"/>
  <c r="RE7" i="45"/>
  <c r="RD7" i="45"/>
  <c r="RC7" i="45"/>
  <c r="RB7" i="45"/>
  <c r="RA7" i="45"/>
  <c r="QE7" i="45"/>
  <c r="QD7" i="45"/>
  <c r="QC7" i="45"/>
  <c r="QB7" i="45"/>
  <c r="QA7" i="45"/>
  <c r="PZ7" i="45"/>
  <c r="PX7" i="45"/>
  <c r="PW7" i="45"/>
  <c r="PV7" i="45"/>
  <c r="PU7" i="45"/>
  <c r="PT7" i="45"/>
  <c r="PS7" i="45"/>
  <c r="OW7" i="45"/>
  <c r="OV7" i="45"/>
  <c r="OU7" i="45"/>
  <c r="OT7" i="45"/>
  <c r="OS7" i="45"/>
  <c r="OR7" i="45"/>
  <c r="OP7" i="45"/>
  <c r="OO7" i="45"/>
  <c r="ON7" i="45"/>
  <c r="OM7" i="45"/>
  <c r="OL7" i="45"/>
  <c r="OK7" i="45"/>
  <c r="NO7" i="45"/>
  <c r="NN7" i="45"/>
  <c r="NM7" i="45"/>
  <c r="NL7" i="45"/>
  <c r="NK7" i="45"/>
  <c r="NJ7" i="45"/>
  <c r="NH7" i="45"/>
  <c r="NG7" i="45"/>
  <c r="NF7" i="45"/>
  <c r="NE7" i="45"/>
  <c r="ND7" i="45"/>
  <c r="NC7" i="45"/>
  <c r="MG7" i="45"/>
  <c r="MF7" i="45"/>
  <c r="ME7" i="45"/>
  <c r="MD7" i="45"/>
  <c r="MC7" i="45"/>
  <c r="MB7" i="45"/>
  <c r="LZ7" i="45"/>
  <c r="LY7" i="45"/>
  <c r="LX7" i="45"/>
  <c r="LW7" i="45"/>
  <c r="LV7" i="45"/>
  <c r="LU7" i="45"/>
  <c r="KY7" i="45"/>
  <c r="KX7" i="45"/>
  <c r="KW7" i="45"/>
  <c r="KV7" i="45"/>
  <c r="KU7" i="45"/>
  <c r="KT7" i="45"/>
  <c r="KR7" i="45"/>
  <c r="KQ7" i="45"/>
  <c r="KP7" i="45"/>
  <c r="KO7" i="45"/>
  <c r="KN7" i="45"/>
  <c r="KM7" i="45"/>
  <c r="JQ7" i="45"/>
  <c r="JP7" i="45"/>
  <c r="JO7" i="45"/>
  <c r="JN7" i="45"/>
  <c r="JM7" i="45"/>
  <c r="JL7" i="45"/>
  <c r="JJ7" i="45"/>
  <c r="JI7" i="45"/>
  <c r="JH7" i="45"/>
  <c r="JG7" i="45"/>
  <c r="JF7" i="45"/>
  <c r="JE7" i="45"/>
  <c r="II7" i="45"/>
  <c r="IH7" i="45"/>
  <c r="IG7" i="45"/>
  <c r="IF7" i="45"/>
  <c r="IE7" i="45"/>
  <c r="ID7" i="45"/>
  <c r="IB7" i="45"/>
  <c r="IA7" i="45"/>
  <c r="HZ7" i="45"/>
  <c r="HY7" i="45"/>
  <c r="HX7" i="45"/>
  <c r="HW7" i="45"/>
  <c r="HA7" i="45"/>
  <c r="GZ7" i="45"/>
  <c r="GY7" i="45"/>
  <c r="GX7" i="45"/>
  <c r="GW7" i="45"/>
  <c r="GV7" i="45"/>
  <c r="GT7" i="45"/>
  <c r="GS7" i="45"/>
  <c r="GR7" i="45"/>
  <c r="GQ7" i="45"/>
  <c r="GP7" i="45"/>
  <c r="GO7" i="45"/>
  <c r="FS7" i="45"/>
  <c r="FR7" i="45"/>
  <c r="FQ7" i="45"/>
  <c r="FP7" i="45"/>
  <c r="FO7" i="45"/>
  <c r="FN7" i="45"/>
  <c r="FL7" i="45"/>
  <c r="FK7" i="45"/>
  <c r="FJ7" i="45"/>
  <c r="FI7" i="45"/>
  <c r="FH7" i="45"/>
  <c r="FG7" i="45"/>
  <c r="EK7" i="45"/>
  <c r="EJ7" i="45"/>
  <c r="EI7" i="45"/>
  <c r="EH7" i="45"/>
  <c r="EG7" i="45"/>
  <c r="EF7" i="45"/>
  <c r="ED7" i="45"/>
  <c r="EC7" i="45"/>
  <c r="EB7" i="45"/>
  <c r="EA7" i="45"/>
  <c r="DZ7" i="45"/>
  <c r="DY7" i="45"/>
  <c r="DC7" i="45"/>
  <c r="DB7" i="45"/>
  <c r="DA7" i="45"/>
  <c r="CZ7" i="45"/>
  <c r="CY7" i="45"/>
  <c r="CX7" i="45"/>
  <c r="CV7" i="45"/>
  <c r="CU7" i="45"/>
  <c r="CT7" i="45"/>
  <c r="CS7" i="45"/>
  <c r="CR7" i="45"/>
  <c r="CQ7" i="45"/>
  <c r="BS7" i="45"/>
  <c r="BR7" i="45"/>
  <c r="BQ7" i="45"/>
  <c r="BO7" i="45"/>
  <c r="BN7" i="45"/>
  <c r="BM7" i="45"/>
  <c r="BL7" i="45"/>
  <c r="BK7" i="45"/>
  <c r="BJ7" i="45"/>
  <c r="VK6" i="45"/>
  <c r="VJ6" i="45"/>
  <c r="VI6" i="45"/>
  <c r="VH6" i="45"/>
  <c r="VG6" i="45"/>
  <c r="VF6" i="45"/>
  <c r="VD6" i="45"/>
  <c r="VC6" i="45"/>
  <c r="VB6" i="45"/>
  <c r="VA6" i="45"/>
  <c r="UZ6" i="45"/>
  <c r="UY6" i="45"/>
  <c r="UC6" i="45"/>
  <c r="UB6" i="45"/>
  <c r="UA6" i="45"/>
  <c r="TZ6" i="45"/>
  <c r="TY6" i="45"/>
  <c r="TX6" i="45"/>
  <c r="TV6" i="45"/>
  <c r="TU6" i="45"/>
  <c r="TT6" i="45"/>
  <c r="TS6" i="45"/>
  <c r="TR6" i="45"/>
  <c r="TQ6" i="45"/>
  <c r="SU6" i="45"/>
  <c r="ST6" i="45"/>
  <c r="SS6" i="45"/>
  <c r="SR6" i="45"/>
  <c r="SQ6" i="45"/>
  <c r="SP6" i="45"/>
  <c r="SN6" i="45"/>
  <c r="SM6" i="45"/>
  <c r="SL6" i="45"/>
  <c r="SK6" i="45"/>
  <c r="SJ6" i="45"/>
  <c r="SI6" i="45"/>
  <c r="RM6" i="45"/>
  <c r="RL6" i="45"/>
  <c r="RK6" i="45"/>
  <c r="RJ6" i="45"/>
  <c r="RI6" i="45"/>
  <c r="RH6" i="45"/>
  <c r="RF6" i="45"/>
  <c r="RE6" i="45"/>
  <c r="RD6" i="45"/>
  <c r="RC6" i="45"/>
  <c r="RB6" i="45"/>
  <c r="RA6" i="45"/>
  <c r="QE6" i="45"/>
  <c r="QD6" i="45"/>
  <c r="QC6" i="45"/>
  <c r="QB6" i="45"/>
  <c r="QA6" i="45"/>
  <c r="PZ6" i="45"/>
  <c r="PX6" i="45"/>
  <c r="PW6" i="45"/>
  <c r="PV6" i="45"/>
  <c r="PU6" i="45"/>
  <c r="PT6" i="45"/>
  <c r="PS6" i="45"/>
  <c r="OW6" i="45"/>
  <c r="OV6" i="45"/>
  <c r="OU6" i="45"/>
  <c r="OT6" i="45"/>
  <c r="OS6" i="45"/>
  <c r="OR6" i="45"/>
  <c r="OP6" i="45"/>
  <c r="OO6" i="45"/>
  <c r="ON6" i="45"/>
  <c r="OM6" i="45"/>
  <c r="OL6" i="45"/>
  <c r="OK6" i="45"/>
  <c r="NO6" i="45"/>
  <c r="NN6" i="45"/>
  <c r="NM6" i="45"/>
  <c r="NL6" i="45"/>
  <c r="NK6" i="45"/>
  <c r="NJ6" i="45"/>
  <c r="NH6" i="45"/>
  <c r="NG6" i="45"/>
  <c r="NF6" i="45"/>
  <c r="NE6" i="45"/>
  <c r="ND6" i="45"/>
  <c r="NC6" i="45"/>
  <c r="MG6" i="45"/>
  <c r="MF6" i="45"/>
  <c r="ME6" i="45"/>
  <c r="MD6" i="45"/>
  <c r="MC6" i="45"/>
  <c r="MB6" i="45"/>
  <c r="LZ6" i="45"/>
  <c r="LY6" i="45"/>
  <c r="LX6" i="45"/>
  <c r="LW6" i="45"/>
  <c r="LV6" i="45"/>
  <c r="LU6" i="45"/>
  <c r="KY6" i="45"/>
  <c r="KX6" i="45"/>
  <c r="KW6" i="45"/>
  <c r="KV6" i="45"/>
  <c r="KU6" i="45"/>
  <c r="KT6" i="45"/>
  <c r="KR6" i="45"/>
  <c r="KQ6" i="45"/>
  <c r="KP6" i="45"/>
  <c r="KO6" i="45"/>
  <c r="KN6" i="45"/>
  <c r="KM6" i="45"/>
  <c r="JQ6" i="45"/>
  <c r="JP6" i="45"/>
  <c r="JO6" i="45"/>
  <c r="JN6" i="45"/>
  <c r="JM6" i="45"/>
  <c r="JL6" i="45"/>
  <c r="JJ6" i="45"/>
  <c r="JI6" i="45"/>
  <c r="JH6" i="45"/>
  <c r="JG6" i="45"/>
  <c r="JF6" i="45"/>
  <c r="JE6" i="45"/>
  <c r="II6" i="45"/>
  <c r="IH6" i="45"/>
  <c r="IG6" i="45"/>
  <c r="IF6" i="45"/>
  <c r="IE6" i="45"/>
  <c r="ID6" i="45"/>
  <c r="IB6" i="45"/>
  <c r="IA6" i="45"/>
  <c r="HZ6" i="45"/>
  <c r="HY6" i="45"/>
  <c r="HX6" i="45"/>
  <c r="HW6" i="45"/>
  <c r="HA6" i="45"/>
  <c r="GZ6" i="45"/>
  <c r="GY6" i="45"/>
  <c r="GX6" i="45"/>
  <c r="GW6" i="45"/>
  <c r="GV6" i="45"/>
  <c r="GT6" i="45"/>
  <c r="GS6" i="45"/>
  <c r="GR6" i="45"/>
  <c r="GQ6" i="45"/>
  <c r="GP6" i="45"/>
  <c r="GO6" i="45"/>
  <c r="FS6" i="45"/>
  <c r="FR6" i="45"/>
  <c r="FQ6" i="45"/>
  <c r="FP6" i="45"/>
  <c r="FO6" i="45"/>
  <c r="FN6" i="45"/>
  <c r="FL6" i="45"/>
  <c r="FK6" i="45"/>
  <c r="FJ6" i="45"/>
  <c r="FI6" i="45"/>
  <c r="FH6" i="45"/>
  <c r="FG6" i="45"/>
  <c r="EK6" i="45"/>
  <c r="EJ6" i="45"/>
  <c r="EI6" i="45"/>
  <c r="EH6" i="45"/>
  <c r="EG6" i="45"/>
  <c r="EF6" i="45"/>
  <c r="ED6" i="45"/>
  <c r="EC6" i="45"/>
  <c r="EB6" i="45"/>
  <c r="EA6" i="45"/>
  <c r="DZ6" i="45"/>
  <c r="DY6" i="45"/>
  <c r="DC6" i="45"/>
  <c r="DB6" i="45"/>
  <c r="DA6" i="45"/>
  <c r="CZ6" i="45"/>
  <c r="CY6" i="45"/>
  <c r="CX6" i="45"/>
  <c r="CV6" i="45"/>
  <c r="CU6" i="45"/>
  <c r="CT6" i="45"/>
  <c r="CS6" i="45"/>
  <c r="CR6" i="45"/>
  <c r="CQ6" i="45"/>
  <c r="BS6" i="45"/>
  <c r="BR6" i="45"/>
  <c r="BQ6" i="45"/>
  <c r="BO6" i="45"/>
  <c r="BN6" i="45"/>
  <c r="BM6" i="45"/>
  <c r="BL6" i="45"/>
  <c r="BP6" i="45" s="1"/>
  <c r="BK6" i="45"/>
  <c r="BJ6" i="45"/>
  <c r="VK4" i="45"/>
  <c r="VJ4" i="45"/>
  <c r="VI4" i="45"/>
  <c r="VH4" i="45"/>
  <c r="VG4" i="45"/>
  <c r="VF4" i="45"/>
  <c r="VD4" i="45"/>
  <c r="VC4" i="45"/>
  <c r="VB4" i="45"/>
  <c r="VA4" i="45"/>
  <c r="UZ4" i="45"/>
  <c r="UY4" i="45"/>
  <c r="UC4" i="45"/>
  <c r="UB4" i="45"/>
  <c r="UA4" i="45"/>
  <c r="TZ4" i="45"/>
  <c r="TY4" i="45"/>
  <c r="TX4" i="45"/>
  <c r="TV4" i="45"/>
  <c r="TU4" i="45"/>
  <c r="TT4" i="45"/>
  <c r="TS4" i="45"/>
  <c r="TR4" i="45"/>
  <c r="TQ4" i="45"/>
  <c r="SU4" i="45"/>
  <c r="ST4" i="45"/>
  <c r="SS4" i="45"/>
  <c r="SR4" i="45"/>
  <c r="SQ4" i="45"/>
  <c r="SP4" i="45"/>
  <c r="SN4" i="45"/>
  <c r="SM4" i="45"/>
  <c r="SL4" i="45"/>
  <c r="SK4" i="45"/>
  <c r="SJ4" i="45"/>
  <c r="SI4" i="45"/>
  <c r="RM4" i="45"/>
  <c r="RL4" i="45"/>
  <c r="RK4" i="45"/>
  <c r="RJ4" i="45"/>
  <c r="RI4" i="45"/>
  <c r="RH4" i="45"/>
  <c r="RF4" i="45"/>
  <c r="RE4" i="45"/>
  <c r="RD4" i="45"/>
  <c r="RC4" i="45"/>
  <c r="RB4" i="45"/>
  <c r="RA4" i="45"/>
  <c r="QE4" i="45"/>
  <c r="QD4" i="45"/>
  <c r="QC4" i="45"/>
  <c r="QB4" i="45"/>
  <c r="QA4" i="45"/>
  <c r="PZ4" i="45"/>
  <c r="PX4" i="45"/>
  <c r="PW4" i="45"/>
  <c r="PV4" i="45"/>
  <c r="PU4" i="45"/>
  <c r="PT4" i="45"/>
  <c r="PS4" i="45"/>
  <c r="OW4" i="45"/>
  <c r="OV4" i="45"/>
  <c r="OU4" i="45"/>
  <c r="OT4" i="45"/>
  <c r="OS4" i="45"/>
  <c r="OR4" i="45"/>
  <c r="OP4" i="45"/>
  <c r="OO4" i="45"/>
  <c r="ON4" i="45"/>
  <c r="OM4" i="45"/>
  <c r="OL4" i="45"/>
  <c r="OK4" i="45"/>
  <c r="NO4" i="45"/>
  <c r="NN4" i="45"/>
  <c r="NM4" i="45"/>
  <c r="NL4" i="45"/>
  <c r="NK4" i="45"/>
  <c r="NJ4" i="45"/>
  <c r="NH4" i="45"/>
  <c r="NG4" i="45"/>
  <c r="NF4" i="45"/>
  <c r="NE4" i="45"/>
  <c r="ND4" i="45"/>
  <c r="NC4" i="45"/>
  <c r="MG4" i="45"/>
  <c r="MF4" i="45"/>
  <c r="ME4" i="45"/>
  <c r="MD4" i="45"/>
  <c r="MC4" i="45"/>
  <c r="MB4" i="45"/>
  <c r="LZ4" i="45"/>
  <c r="LY4" i="45"/>
  <c r="LX4" i="45"/>
  <c r="LW4" i="45"/>
  <c r="LV4" i="45"/>
  <c r="LU4" i="45"/>
  <c r="KY4" i="45"/>
  <c r="KX4" i="45"/>
  <c r="KW4" i="45"/>
  <c r="KV4" i="45"/>
  <c r="KU4" i="45"/>
  <c r="KT4" i="45"/>
  <c r="KR4" i="45"/>
  <c r="KQ4" i="45"/>
  <c r="KP4" i="45"/>
  <c r="KO4" i="45"/>
  <c r="KN4" i="45"/>
  <c r="KM4" i="45"/>
  <c r="JQ4" i="45"/>
  <c r="JP4" i="45"/>
  <c r="JO4" i="45"/>
  <c r="JN4" i="45"/>
  <c r="JM4" i="45"/>
  <c r="JL4" i="45"/>
  <c r="JJ4" i="45"/>
  <c r="JI4" i="45"/>
  <c r="JH4" i="45"/>
  <c r="JG4" i="45"/>
  <c r="JF4" i="45"/>
  <c r="JE4" i="45"/>
  <c r="II4" i="45"/>
  <c r="IH4" i="45"/>
  <c r="IG4" i="45"/>
  <c r="IF4" i="45"/>
  <c r="IE4" i="45"/>
  <c r="ID4" i="45"/>
  <c r="IB4" i="45"/>
  <c r="IA4" i="45"/>
  <c r="HZ4" i="45"/>
  <c r="HY4" i="45"/>
  <c r="HX4" i="45"/>
  <c r="HW4" i="45"/>
  <c r="HA4" i="45"/>
  <c r="GZ4" i="45"/>
  <c r="GY4" i="45"/>
  <c r="GX4" i="45"/>
  <c r="GW4" i="45"/>
  <c r="GV4" i="45"/>
  <c r="GT4" i="45"/>
  <c r="GS4" i="45"/>
  <c r="GR4" i="45"/>
  <c r="GQ4" i="45"/>
  <c r="GP4" i="45"/>
  <c r="GO4" i="45"/>
  <c r="FS4" i="45"/>
  <c r="FR4" i="45"/>
  <c r="FQ4" i="45"/>
  <c r="FP4" i="45"/>
  <c r="FO4" i="45"/>
  <c r="FN4" i="45"/>
  <c r="FL4" i="45"/>
  <c r="FK4" i="45"/>
  <c r="FJ4" i="45"/>
  <c r="FI4" i="45"/>
  <c r="FH4" i="45"/>
  <c r="FG4" i="45"/>
  <c r="EK4" i="45"/>
  <c r="EJ4" i="45"/>
  <c r="EI4" i="45"/>
  <c r="EH4" i="45"/>
  <c r="EG4" i="45"/>
  <c r="EF4" i="45"/>
  <c r="ED4" i="45"/>
  <c r="EC4" i="45"/>
  <c r="EB4" i="45"/>
  <c r="EA4" i="45"/>
  <c r="DZ4" i="45"/>
  <c r="DY4" i="45"/>
  <c r="DC4" i="45"/>
  <c r="DB4" i="45"/>
  <c r="DA4" i="45"/>
  <c r="CZ4" i="45"/>
  <c r="CY4" i="45"/>
  <c r="CX4" i="45"/>
  <c r="CV4" i="45"/>
  <c r="CU4" i="45"/>
  <c r="CT4" i="45"/>
  <c r="CS4" i="45"/>
  <c r="CR4" i="45"/>
  <c r="CQ4" i="45"/>
  <c r="BS4" i="45"/>
  <c r="BR4" i="45"/>
  <c r="BQ4" i="45"/>
  <c r="BO4" i="45"/>
  <c r="BN4" i="45"/>
  <c r="BM4" i="45"/>
  <c r="BL4" i="45"/>
  <c r="BK4" i="45"/>
  <c r="BJ4" i="45"/>
  <c r="WI10" i="43"/>
  <c r="WH10" i="43"/>
  <c r="WG10" i="43"/>
  <c r="WF10" i="43"/>
  <c r="WE10" i="43"/>
  <c r="WD10" i="43"/>
  <c r="WB10" i="43"/>
  <c r="WA10" i="43"/>
  <c r="VZ10" i="43"/>
  <c r="VY10" i="43"/>
  <c r="VX10" i="43"/>
  <c r="VW10" i="43"/>
  <c r="VA10" i="43"/>
  <c r="UZ10" i="43"/>
  <c r="UY10" i="43"/>
  <c r="UX10" i="43"/>
  <c r="UW10" i="43"/>
  <c r="UV10" i="43"/>
  <c r="UT10" i="43"/>
  <c r="US10" i="43"/>
  <c r="UR10" i="43"/>
  <c r="UQ10" i="43"/>
  <c r="UU10" i="43" s="1"/>
  <c r="UP10" i="43"/>
  <c r="UO10" i="43"/>
  <c r="TS10" i="43"/>
  <c r="TR10" i="43"/>
  <c r="TQ10" i="43"/>
  <c r="TP10" i="43"/>
  <c r="TO10" i="43"/>
  <c r="TN10" i="43"/>
  <c r="TL10" i="43"/>
  <c r="TK10" i="43"/>
  <c r="TJ10" i="43"/>
  <c r="TI10" i="43"/>
  <c r="TM10" i="43" s="1"/>
  <c r="TH10" i="43"/>
  <c r="TG10" i="43"/>
  <c r="SK10" i="43"/>
  <c r="SJ10" i="43"/>
  <c r="SI10" i="43"/>
  <c r="SH10" i="43"/>
  <c r="SG10" i="43"/>
  <c r="SF10" i="43"/>
  <c r="SD10" i="43"/>
  <c r="SC10" i="43"/>
  <c r="SB10" i="43"/>
  <c r="SA10" i="43"/>
  <c r="RZ10" i="43"/>
  <c r="RY10" i="43"/>
  <c r="RC10" i="43"/>
  <c r="RB10" i="43"/>
  <c r="RA10" i="43"/>
  <c r="QZ10" i="43"/>
  <c r="QY10" i="43"/>
  <c r="QX10" i="43"/>
  <c r="QV10" i="43"/>
  <c r="QU10" i="43"/>
  <c r="QT10" i="43"/>
  <c r="QS10" i="43"/>
  <c r="QR10" i="43"/>
  <c r="QQ10" i="43"/>
  <c r="PU10" i="43"/>
  <c r="PT10" i="43"/>
  <c r="PS10" i="43"/>
  <c r="PR10" i="43"/>
  <c r="PQ10" i="43"/>
  <c r="PP10" i="43"/>
  <c r="PN10" i="43"/>
  <c r="PM10" i="43"/>
  <c r="PL10" i="43"/>
  <c r="PK10" i="43"/>
  <c r="PJ10" i="43"/>
  <c r="PI10" i="43"/>
  <c r="OM10" i="43"/>
  <c r="OL10" i="43"/>
  <c r="OK10" i="43"/>
  <c r="OJ10" i="43"/>
  <c r="OI10" i="43"/>
  <c r="OH10" i="43"/>
  <c r="OF10" i="43"/>
  <c r="OE10" i="43"/>
  <c r="OD10" i="43"/>
  <c r="OC10" i="43"/>
  <c r="OB10" i="43"/>
  <c r="OA10" i="43"/>
  <c r="NE10" i="43"/>
  <c r="ND10" i="43"/>
  <c r="NC10" i="43"/>
  <c r="NB10" i="43"/>
  <c r="NA10" i="43"/>
  <c r="MZ10" i="43"/>
  <c r="MX10" i="43"/>
  <c r="MW10" i="43"/>
  <c r="MV10" i="43"/>
  <c r="MU10" i="43"/>
  <c r="MT10" i="43"/>
  <c r="MS10" i="43"/>
  <c r="LW10" i="43"/>
  <c r="LV10" i="43"/>
  <c r="LU10" i="43"/>
  <c r="LT10" i="43"/>
  <c r="LS10" i="43"/>
  <c r="LR10" i="43"/>
  <c r="LP10" i="43"/>
  <c r="LO10" i="43"/>
  <c r="LN10" i="43"/>
  <c r="LM10" i="43"/>
  <c r="LQ10" i="43" s="1"/>
  <c r="LL10" i="43"/>
  <c r="LK10" i="43"/>
  <c r="KO10" i="43"/>
  <c r="KN10" i="43"/>
  <c r="KM10" i="43"/>
  <c r="KL10" i="43"/>
  <c r="KK10" i="43"/>
  <c r="KJ10" i="43"/>
  <c r="KH10" i="43"/>
  <c r="KG10" i="43"/>
  <c r="KF10" i="43"/>
  <c r="KE10" i="43"/>
  <c r="KI10" i="43" s="1"/>
  <c r="KD10" i="43"/>
  <c r="KC10" i="43"/>
  <c r="JG10" i="43"/>
  <c r="JF10" i="43"/>
  <c r="JE10" i="43"/>
  <c r="JD10" i="43"/>
  <c r="JC10" i="43"/>
  <c r="JB10" i="43"/>
  <c r="IZ10" i="43"/>
  <c r="IY10" i="43"/>
  <c r="IX10" i="43"/>
  <c r="IW10" i="43"/>
  <c r="IV10" i="43"/>
  <c r="IU10" i="43"/>
  <c r="HY10" i="43"/>
  <c r="HX10" i="43"/>
  <c r="HW10" i="43"/>
  <c r="HV10" i="43"/>
  <c r="HU10" i="43"/>
  <c r="HT10" i="43"/>
  <c r="HR10" i="43"/>
  <c r="HQ10" i="43"/>
  <c r="HP10" i="43"/>
  <c r="HO10" i="43"/>
  <c r="HN10" i="43"/>
  <c r="HM10" i="43"/>
  <c r="GQ10" i="43"/>
  <c r="GP10" i="43"/>
  <c r="GO10" i="43"/>
  <c r="GN10" i="43"/>
  <c r="GM10" i="43"/>
  <c r="GL10" i="43"/>
  <c r="GJ10" i="43"/>
  <c r="GI10" i="43"/>
  <c r="GH10" i="43"/>
  <c r="GG10" i="43"/>
  <c r="GF10" i="43"/>
  <c r="GE10" i="43"/>
  <c r="FI10" i="43"/>
  <c r="FH10" i="43"/>
  <c r="FG10" i="43"/>
  <c r="FF10" i="43"/>
  <c r="FE10" i="43"/>
  <c r="FD10" i="43"/>
  <c r="FB10" i="43"/>
  <c r="FA10" i="43"/>
  <c r="EZ10" i="43"/>
  <c r="EY10" i="43"/>
  <c r="EX10" i="43"/>
  <c r="EW10" i="43"/>
  <c r="EA10" i="43"/>
  <c r="DZ10" i="43"/>
  <c r="DY10" i="43"/>
  <c r="DX10" i="43"/>
  <c r="DW10" i="43"/>
  <c r="DV10" i="43"/>
  <c r="DT10" i="43"/>
  <c r="DS10" i="43"/>
  <c r="DR10" i="43"/>
  <c r="DQ10" i="43"/>
  <c r="DP10" i="43"/>
  <c r="DO10" i="43"/>
  <c r="CR10" i="43"/>
  <c r="CQ10" i="43"/>
  <c r="CP10" i="43"/>
  <c r="CN10" i="43"/>
  <c r="CM10" i="43"/>
  <c r="CL10" i="43"/>
  <c r="CK10" i="43"/>
  <c r="CO10" i="43" s="1"/>
  <c r="CJ10" i="43"/>
  <c r="CI10" i="43"/>
  <c r="WI13" i="43"/>
  <c r="WH13" i="43"/>
  <c r="WG13" i="43"/>
  <c r="WF13" i="43"/>
  <c r="WE13" i="43"/>
  <c r="WD13" i="43"/>
  <c r="WB13" i="43"/>
  <c r="WA13" i="43"/>
  <c r="VZ13" i="43"/>
  <c r="VY13" i="43"/>
  <c r="WC13" i="43" s="1"/>
  <c r="VX13" i="43"/>
  <c r="VW13" i="43"/>
  <c r="VA13" i="43"/>
  <c r="UZ13" i="43"/>
  <c r="UY13" i="43"/>
  <c r="UX13" i="43"/>
  <c r="UW13" i="43"/>
  <c r="UV13" i="43"/>
  <c r="UT13" i="43"/>
  <c r="US13" i="43"/>
  <c r="UR13" i="43"/>
  <c r="UQ13" i="43"/>
  <c r="UU13" i="43" s="1"/>
  <c r="UP13" i="43"/>
  <c r="UO13" i="43"/>
  <c r="TS13" i="43"/>
  <c r="TR13" i="43"/>
  <c r="TQ13" i="43"/>
  <c r="TP13" i="43"/>
  <c r="TO13" i="43"/>
  <c r="TN13" i="43"/>
  <c r="TL13" i="43"/>
  <c r="TM13" i="43" s="1"/>
  <c r="TT13" i="43" s="1"/>
  <c r="TK13" i="43"/>
  <c r="TJ13" i="43"/>
  <c r="TI13" i="43"/>
  <c r="TH13" i="43"/>
  <c r="TG13" i="43"/>
  <c r="SK13" i="43"/>
  <c r="SJ13" i="43"/>
  <c r="SI13" i="43"/>
  <c r="SH13" i="43"/>
  <c r="SG13" i="43"/>
  <c r="SF13" i="43"/>
  <c r="SD13" i="43"/>
  <c r="SC13" i="43"/>
  <c r="SB13" i="43"/>
  <c r="SA13" i="43"/>
  <c r="RZ13" i="43"/>
  <c r="RY13" i="43"/>
  <c r="RC13" i="43"/>
  <c r="RB13" i="43"/>
  <c r="RA13" i="43"/>
  <c r="QZ13" i="43"/>
  <c r="QY13" i="43"/>
  <c r="QX13" i="43"/>
  <c r="QV13" i="43"/>
  <c r="QU13" i="43"/>
  <c r="QT13" i="43"/>
  <c r="QS13" i="43"/>
  <c r="QR13" i="43"/>
  <c r="QQ13" i="43"/>
  <c r="PU13" i="43"/>
  <c r="PT13" i="43"/>
  <c r="PS13" i="43"/>
  <c r="PR13" i="43"/>
  <c r="PQ13" i="43"/>
  <c r="PP13" i="43"/>
  <c r="PN13" i="43"/>
  <c r="PM13" i="43"/>
  <c r="PL13" i="43"/>
  <c r="PK13" i="43"/>
  <c r="PJ13" i="43"/>
  <c r="PI13" i="43"/>
  <c r="OM13" i="43"/>
  <c r="OL13" i="43"/>
  <c r="OK13" i="43"/>
  <c r="OJ13" i="43"/>
  <c r="OI13" i="43"/>
  <c r="OH13" i="43"/>
  <c r="OF13" i="43"/>
  <c r="OE13" i="43"/>
  <c r="OD13" i="43"/>
  <c r="OC13" i="43"/>
  <c r="OG13" i="43" s="1"/>
  <c r="OB13" i="43"/>
  <c r="OA13" i="43"/>
  <c r="NE13" i="43"/>
  <c r="ND13" i="43"/>
  <c r="NC13" i="43"/>
  <c r="NB13" i="43"/>
  <c r="NA13" i="43"/>
  <c r="MZ13" i="43"/>
  <c r="MX13" i="43"/>
  <c r="MW13" i="43"/>
  <c r="MV13" i="43"/>
  <c r="MU13" i="43"/>
  <c r="MY13" i="43" s="1"/>
  <c r="MT13" i="43"/>
  <c r="MS13" i="43"/>
  <c r="LW13" i="43"/>
  <c r="LV13" i="43"/>
  <c r="LU13" i="43"/>
  <c r="LT13" i="43"/>
  <c r="LS13" i="43"/>
  <c r="LR13" i="43"/>
  <c r="LP13" i="43"/>
  <c r="LO13" i="43"/>
  <c r="LN13" i="43"/>
  <c r="LM13" i="43"/>
  <c r="LQ13" i="43" s="1"/>
  <c r="LL13" i="43"/>
  <c r="LK13" i="43"/>
  <c r="KO13" i="43"/>
  <c r="KN13" i="43"/>
  <c r="KM13" i="43"/>
  <c r="KL13" i="43"/>
  <c r="KK13" i="43"/>
  <c r="KJ13" i="43"/>
  <c r="KH13" i="43"/>
  <c r="KG13" i="43"/>
  <c r="KF13" i="43"/>
  <c r="KE13" i="43"/>
  <c r="KD13" i="43"/>
  <c r="KC13" i="43"/>
  <c r="JG13" i="43"/>
  <c r="JF13" i="43"/>
  <c r="JE13" i="43"/>
  <c r="JD13" i="43"/>
  <c r="JC13" i="43"/>
  <c r="JB13" i="43"/>
  <c r="IZ13" i="43"/>
  <c r="IY13" i="43"/>
  <c r="IX13" i="43"/>
  <c r="IW13" i="43"/>
  <c r="IV13" i="43"/>
  <c r="IU13" i="43"/>
  <c r="HY13" i="43"/>
  <c r="HX13" i="43"/>
  <c r="HW13" i="43"/>
  <c r="HV13" i="43"/>
  <c r="HU13" i="43"/>
  <c r="HT13" i="43"/>
  <c r="HR13" i="43"/>
  <c r="HQ13" i="43"/>
  <c r="HP13" i="43"/>
  <c r="HO13" i="43"/>
  <c r="HN13" i="43"/>
  <c r="HM13" i="43"/>
  <c r="GQ13" i="43"/>
  <c r="GP13" i="43"/>
  <c r="GO13" i="43"/>
  <c r="GN13" i="43"/>
  <c r="GM13" i="43"/>
  <c r="GL13" i="43"/>
  <c r="GJ13" i="43"/>
  <c r="GI13" i="43"/>
  <c r="GH13" i="43"/>
  <c r="GG13" i="43"/>
  <c r="GK13" i="43" s="1"/>
  <c r="GF13" i="43"/>
  <c r="GE13" i="43"/>
  <c r="FI13" i="43"/>
  <c r="FH13" i="43"/>
  <c r="FG13" i="43"/>
  <c r="FF13" i="43"/>
  <c r="FE13" i="43"/>
  <c r="FD13" i="43"/>
  <c r="FB13" i="43"/>
  <c r="FA13" i="43"/>
  <c r="EZ13" i="43"/>
  <c r="EY13" i="43"/>
  <c r="FC13" i="43" s="1"/>
  <c r="EX13" i="43"/>
  <c r="EW13" i="43"/>
  <c r="EA13" i="43"/>
  <c r="DZ13" i="43"/>
  <c r="DY13" i="43"/>
  <c r="DX13" i="43"/>
  <c r="DW13" i="43"/>
  <c r="DV13" i="43"/>
  <c r="DT13" i="43"/>
  <c r="DS13" i="43"/>
  <c r="DR13" i="43"/>
  <c r="DQ13" i="43"/>
  <c r="DU13" i="43" s="1"/>
  <c r="DP13" i="43"/>
  <c r="DO13" i="43"/>
  <c r="CR13" i="43"/>
  <c r="CQ13" i="43"/>
  <c r="CP13" i="43"/>
  <c r="CN13" i="43"/>
  <c r="CM13" i="43"/>
  <c r="CL13" i="43"/>
  <c r="CK13" i="43"/>
  <c r="CJ13" i="43"/>
  <c r="CI13" i="43"/>
  <c r="WI12" i="43"/>
  <c r="WH12" i="43"/>
  <c r="WG12" i="43"/>
  <c r="WF12" i="43"/>
  <c r="WE12" i="43"/>
  <c r="WD12" i="43"/>
  <c r="WB12" i="43"/>
  <c r="WA12" i="43"/>
  <c r="VZ12" i="43"/>
  <c r="VY12" i="43"/>
  <c r="VX12" i="43"/>
  <c r="VW12" i="43"/>
  <c r="VA12" i="43"/>
  <c r="UZ12" i="43"/>
  <c r="UY12" i="43"/>
  <c r="UX12" i="43"/>
  <c r="UW12" i="43"/>
  <c r="UV12" i="43"/>
  <c r="UT12" i="43"/>
  <c r="US12" i="43"/>
  <c r="UR12" i="43"/>
  <c r="UQ12" i="43"/>
  <c r="UP12" i="43"/>
  <c r="UO12" i="43"/>
  <c r="TS12" i="43"/>
  <c r="TR12" i="43"/>
  <c r="TQ12" i="43"/>
  <c r="TP12" i="43"/>
  <c r="TO12" i="43"/>
  <c r="TN12" i="43"/>
  <c r="TL12" i="43"/>
  <c r="TK12" i="43"/>
  <c r="TJ12" i="43"/>
  <c r="TI12" i="43"/>
  <c r="TH12" i="43"/>
  <c r="TG12" i="43"/>
  <c r="SK12" i="43"/>
  <c r="SJ12" i="43"/>
  <c r="SI12" i="43"/>
  <c r="SH12" i="43"/>
  <c r="SG12" i="43"/>
  <c r="SF12" i="43"/>
  <c r="SD12" i="43"/>
  <c r="SC12" i="43"/>
  <c r="SB12" i="43"/>
  <c r="SA12" i="43"/>
  <c r="SE12" i="43" s="1"/>
  <c r="RZ12" i="43"/>
  <c r="RY12" i="43"/>
  <c r="RC12" i="43"/>
  <c r="RB12" i="43"/>
  <c r="RA12" i="43"/>
  <c r="QZ12" i="43"/>
  <c r="QY12" i="43"/>
  <c r="QX12" i="43"/>
  <c r="QV12" i="43"/>
  <c r="QU12" i="43"/>
  <c r="QT12" i="43"/>
  <c r="QS12" i="43"/>
  <c r="QW12" i="43" s="1"/>
  <c r="QR12" i="43"/>
  <c r="QQ12" i="43"/>
  <c r="PU12" i="43"/>
  <c r="PT12" i="43"/>
  <c r="PS12" i="43"/>
  <c r="PR12" i="43"/>
  <c r="PQ12" i="43"/>
  <c r="PP12" i="43"/>
  <c r="PN12" i="43"/>
  <c r="PM12" i="43"/>
  <c r="PL12" i="43"/>
  <c r="PK12" i="43"/>
  <c r="PJ12" i="43"/>
  <c r="PI12" i="43"/>
  <c r="OM12" i="43"/>
  <c r="OL12" i="43"/>
  <c r="OK12" i="43"/>
  <c r="OJ12" i="43"/>
  <c r="OI12" i="43"/>
  <c r="OH12" i="43"/>
  <c r="OF12" i="43"/>
  <c r="OE12" i="43"/>
  <c r="OD12" i="43"/>
  <c r="OC12" i="43"/>
  <c r="OB12" i="43"/>
  <c r="OA12" i="43"/>
  <c r="NE12" i="43"/>
  <c r="ND12" i="43"/>
  <c r="NC12" i="43"/>
  <c r="NB12" i="43"/>
  <c r="NA12" i="43"/>
  <c r="MZ12" i="43"/>
  <c r="MX12" i="43"/>
  <c r="MW12" i="43"/>
  <c r="MV12" i="43"/>
  <c r="MU12" i="43"/>
  <c r="MT12" i="43"/>
  <c r="MS12" i="43"/>
  <c r="LW12" i="43"/>
  <c r="LV12" i="43"/>
  <c r="LU12" i="43"/>
  <c r="LT12" i="43"/>
  <c r="LS12" i="43"/>
  <c r="LR12" i="43"/>
  <c r="LP12" i="43"/>
  <c r="LO12" i="43"/>
  <c r="LN12" i="43"/>
  <c r="LM12" i="43"/>
  <c r="LL12" i="43"/>
  <c r="LK12" i="43"/>
  <c r="KO12" i="43"/>
  <c r="KN12" i="43"/>
  <c r="KM12" i="43"/>
  <c r="KL12" i="43"/>
  <c r="KK12" i="43"/>
  <c r="KJ12" i="43"/>
  <c r="KH12" i="43"/>
  <c r="KG12" i="43"/>
  <c r="KF12" i="43"/>
  <c r="KE12" i="43"/>
  <c r="KD12" i="43"/>
  <c r="KC12" i="43"/>
  <c r="JG12" i="43"/>
  <c r="JF12" i="43"/>
  <c r="JE12" i="43"/>
  <c r="JD12" i="43"/>
  <c r="JC12" i="43"/>
  <c r="JB12" i="43"/>
  <c r="IZ12" i="43"/>
  <c r="IY12" i="43"/>
  <c r="IX12" i="43"/>
  <c r="IW12" i="43"/>
  <c r="JA12" i="43" s="1"/>
  <c r="IV12" i="43"/>
  <c r="IU12" i="43"/>
  <c r="HY12" i="43"/>
  <c r="HX12" i="43"/>
  <c r="HW12" i="43"/>
  <c r="HV12" i="43"/>
  <c r="HU12" i="43"/>
  <c r="HT12" i="43"/>
  <c r="HR12" i="43"/>
  <c r="HQ12" i="43"/>
  <c r="HP12" i="43"/>
  <c r="HO12" i="43"/>
  <c r="HS12" i="43" s="1"/>
  <c r="HN12" i="43"/>
  <c r="HM12" i="43"/>
  <c r="GQ12" i="43"/>
  <c r="GP12" i="43"/>
  <c r="GO12" i="43"/>
  <c r="GN12" i="43"/>
  <c r="GM12" i="43"/>
  <c r="GL12" i="43"/>
  <c r="GJ12" i="43"/>
  <c r="GI12" i="43"/>
  <c r="GH12" i="43"/>
  <c r="GG12" i="43"/>
  <c r="GF12" i="43"/>
  <c r="GE12" i="43"/>
  <c r="FI12" i="43"/>
  <c r="FH12" i="43"/>
  <c r="FG12" i="43"/>
  <c r="FF12" i="43"/>
  <c r="FE12" i="43"/>
  <c r="FD12" i="43"/>
  <c r="FB12" i="43"/>
  <c r="FA12" i="43"/>
  <c r="EZ12" i="43"/>
  <c r="EY12" i="43"/>
  <c r="EX12" i="43"/>
  <c r="EW12" i="43"/>
  <c r="EA12" i="43"/>
  <c r="DZ12" i="43"/>
  <c r="DY12" i="43"/>
  <c r="DX12" i="43"/>
  <c r="DW12" i="43"/>
  <c r="DV12" i="43"/>
  <c r="DT12" i="43"/>
  <c r="DS12" i="43"/>
  <c r="DR12" i="43"/>
  <c r="DQ12" i="43"/>
  <c r="DP12" i="43"/>
  <c r="DO12" i="43"/>
  <c r="CR12" i="43"/>
  <c r="CQ12" i="43"/>
  <c r="CP12" i="43"/>
  <c r="CN12" i="43"/>
  <c r="CM12" i="43"/>
  <c r="CL12" i="43"/>
  <c r="CK12" i="43"/>
  <c r="CJ12" i="43"/>
  <c r="CI12" i="43"/>
  <c r="WI9" i="43"/>
  <c r="WH9" i="43"/>
  <c r="WG9" i="43"/>
  <c r="WF9" i="43"/>
  <c r="WE9" i="43"/>
  <c r="WD9" i="43"/>
  <c r="WB9" i="43"/>
  <c r="WA9" i="43"/>
  <c r="VZ9" i="43"/>
  <c r="VY9" i="43"/>
  <c r="VX9" i="43"/>
  <c r="VW9" i="43"/>
  <c r="VA9" i="43"/>
  <c r="UZ9" i="43"/>
  <c r="UY9" i="43"/>
  <c r="UX9" i="43"/>
  <c r="UW9" i="43"/>
  <c r="UV9" i="43"/>
  <c r="UT9" i="43"/>
  <c r="US9" i="43"/>
  <c r="UR9" i="43"/>
  <c r="UQ9" i="43"/>
  <c r="UP9" i="43"/>
  <c r="UO9" i="43"/>
  <c r="TS9" i="43"/>
  <c r="TR9" i="43"/>
  <c r="TQ9" i="43"/>
  <c r="TP9" i="43"/>
  <c r="TO9" i="43"/>
  <c r="TN9" i="43"/>
  <c r="TL9" i="43"/>
  <c r="TK9" i="43"/>
  <c r="TJ9" i="43"/>
  <c r="TI9" i="43"/>
  <c r="TH9" i="43"/>
  <c r="TG9" i="43"/>
  <c r="SK9" i="43"/>
  <c r="SJ9" i="43"/>
  <c r="SI9" i="43"/>
  <c r="SH9" i="43"/>
  <c r="SG9" i="43"/>
  <c r="SF9" i="43"/>
  <c r="SD9" i="43"/>
  <c r="SC9" i="43"/>
  <c r="SB9" i="43"/>
  <c r="SA9" i="43"/>
  <c r="RZ9" i="43"/>
  <c r="RY9" i="43"/>
  <c r="RC9" i="43"/>
  <c r="RB9" i="43"/>
  <c r="RA9" i="43"/>
  <c r="QZ9" i="43"/>
  <c r="QY9" i="43"/>
  <c r="QX9" i="43"/>
  <c r="QV9" i="43"/>
  <c r="QU9" i="43"/>
  <c r="QT9" i="43"/>
  <c r="QS9" i="43"/>
  <c r="QR9" i="43"/>
  <c r="QQ9" i="43"/>
  <c r="PU9" i="43"/>
  <c r="PT9" i="43"/>
  <c r="PS9" i="43"/>
  <c r="PR9" i="43"/>
  <c r="PQ9" i="43"/>
  <c r="PP9" i="43"/>
  <c r="PN9" i="43"/>
  <c r="PM9" i="43"/>
  <c r="PL9" i="43"/>
  <c r="PK9" i="43"/>
  <c r="PO9" i="43" s="1"/>
  <c r="PJ9" i="43"/>
  <c r="PI9" i="43"/>
  <c r="OM9" i="43"/>
  <c r="OL9" i="43"/>
  <c r="OK9" i="43"/>
  <c r="OJ9" i="43"/>
  <c r="OI9" i="43"/>
  <c r="OH9" i="43"/>
  <c r="OF9" i="43"/>
  <c r="OE9" i="43"/>
  <c r="OD9" i="43"/>
  <c r="OC9" i="43"/>
  <c r="OB9" i="43"/>
  <c r="OA9" i="43"/>
  <c r="NE9" i="43"/>
  <c r="ND9" i="43"/>
  <c r="NC9" i="43"/>
  <c r="NB9" i="43"/>
  <c r="NA9" i="43"/>
  <c r="MZ9" i="43"/>
  <c r="MX9" i="43"/>
  <c r="MW9" i="43"/>
  <c r="MV9" i="43"/>
  <c r="MU9" i="43"/>
  <c r="MT9" i="43"/>
  <c r="MS9" i="43"/>
  <c r="LW9" i="43"/>
  <c r="LV9" i="43"/>
  <c r="LU9" i="43"/>
  <c r="LT9" i="43"/>
  <c r="LS9" i="43"/>
  <c r="LR9" i="43"/>
  <c r="LP9" i="43"/>
  <c r="LO9" i="43"/>
  <c r="LN9" i="43"/>
  <c r="LM9" i="43"/>
  <c r="LL9" i="43"/>
  <c r="LK9" i="43"/>
  <c r="KO9" i="43"/>
  <c r="KN9" i="43"/>
  <c r="KM9" i="43"/>
  <c r="KL9" i="43"/>
  <c r="KK9" i="43"/>
  <c r="KJ9" i="43"/>
  <c r="KH9" i="43"/>
  <c r="KG9" i="43"/>
  <c r="KF9" i="43"/>
  <c r="KE9" i="43"/>
  <c r="KD9" i="43"/>
  <c r="KC9" i="43"/>
  <c r="JG9" i="43"/>
  <c r="JF9" i="43"/>
  <c r="JE9" i="43"/>
  <c r="JD9" i="43"/>
  <c r="JC9" i="43"/>
  <c r="JB9" i="43"/>
  <c r="IZ9" i="43"/>
  <c r="IY9" i="43"/>
  <c r="IX9" i="43"/>
  <c r="IW9" i="43"/>
  <c r="IV9" i="43"/>
  <c r="IU9" i="43"/>
  <c r="HY9" i="43"/>
  <c r="HX9" i="43"/>
  <c r="HW9" i="43"/>
  <c r="HV9" i="43"/>
  <c r="HU9" i="43"/>
  <c r="HT9" i="43"/>
  <c r="HR9" i="43"/>
  <c r="HQ9" i="43"/>
  <c r="HP9" i="43"/>
  <c r="HO9" i="43"/>
  <c r="HN9" i="43"/>
  <c r="HM9" i="43"/>
  <c r="GQ9" i="43"/>
  <c r="GP9" i="43"/>
  <c r="GO9" i="43"/>
  <c r="GN9" i="43"/>
  <c r="GM9" i="43"/>
  <c r="GL9" i="43"/>
  <c r="GJ9" i="43"/>
  <c r="GI9" i="43"/>
  <c r="GH9" i="43"/>
  <c r="GG9" i="43"/>
  <c r="GF9" i="43"/>
  <c r="GE9" i="43"/>
  <c r="FI9" i="43"/>
  <c r="FH9" i="43"/>
  <c r="FG9" i="43"/>
  <c r="FF9" i="43"/>
  <c r="FE9" i="43"/>
  <c r="FD9" i="43"/>
  <c r="FB9" i="43"/>
  <c r="FA9" i="43"/>
  <c r="EZ9" i="43"/>
  <c r="EY9" i="43"/>
  <c r="EX9" i="43"/>
  <c r="EW9" i="43"/>
  <c r="EA9" i="43"/>
  <c r="DZ9" i="43"/>
  <c r="DY9" i="43"/>
  <c r="DX9" i="43"/>
  <c r="DW9" i="43"/>
  <c r="DV9" i="43"/>
  <c r="DT9" i="43"/>
  <c r="DS9" i="43"/>
  <c r="DR9" i="43"/>
  <c r="DQ9" i="43"/>
  <c r="DP9" i="43"/>
  <c r="DO9" i="43"/>
  <c r="CR9" i="43"/>
  <c r="CQ9" i="43"/>
  <c r="CP9" i="43"/>
  <c r="CN9" i="43"/>
  <c r="CM9" i="43"/>
  <c r="CL9" i="43"/>
  <c r="CK9" i="43"/>
  <c r="CJ9" i="43"/>
  <c r="CI9" i="43"/>
  <c r="WI11" i="43"/>
  <c r="WH11" i="43"/>
  <c r="WG11" i="43"/>
  <c r="WF11" i="43"/>
  <c r="WE11" i="43"/>
  <c r="WD11" i="43"/>
  <c r="WB11" i="43"/>
  <c r="WA11" i="43"/>
  <c r="VZ11" i="43"/>
  <c r="VY11" i="43"/>
  <c r="VX11" i="43"/>
  <c r="VW11" i="43"/>
  <c r="VA11" i="43"/>
  <c r="UZ11" i="43"/>
  <c r="UY11" i="43"/>
  <c r="UX11" i="43"/>
  <c r="UW11" i="43"/>
  <c r="UV11" i="43"/>
  <c r="UT11" i="43"/>
  <c r="US11" i="43"/>
  <c r="UR11" i="43"/>
  <c r="UQ11" i="43"/>
  <c r="UU11" i="43" s="1"/>
  <c r="VB11" i="43" s="1"/>
  <c r="UP11" i="43"/>
  <c r="UO11" i="43"/>
  <c r="TS11" i="43"/>
  <c r="TR11" i="43"/>
  <c r="TQ11" i="43"/>
  <c r="TP11" i="43"/>
  <c r="TO11" i="43"/>
  <c r="TN11" i="43"/>
  <c r="TL11" i="43"/>
  <c r="TK11" i="43"/>
  <c r="TJ11" i="43"/>
  <c r="TI11" i="43"/>
  <c r="TM11" i="43" s="1"/>
  <c r="TH11" i="43"/>
  <c r="TG11" i="43"/>
  <c r="SK11" i="43"/>
  <c r="SJ11" i="43"/>
  <c r="SI11" i="43"/>
  <c r="SH11" i="43"/>
  <c r="SG11" i="43"/>
  <c r="SF11" i="43"/>
  <c r="SD11" i="43"/>
  <c r="SC11" i="43"/>
  <c r="SB11" i="43"/>
  <c r="SA11" i="43"/>
  <c r="SE11" i="43" s="1"/>
  <c r="RZ11" i="43"/>
  <c r="RY11" i="43"/>
  <c r="RC11" i="43"/>
  <c r="RB11" i="43"/>
  <c r="RA11" i="43"/>
  <c r="QZ11" i="43"/>
  <c r="QY11" i="43"/>
  <c r="QX11" i="43"/>
  <c r="QV11" i="43"/>
  <c r="QU11" i="43"/>
  <c r="QT11" i="43"/>
  <c r="QS11" i="43"/>
  <c r="QW11" i="43" s="1"/>
  <c r="QR11" i="43"/>
  <c r="QQ11" i="43"/>
  <c r="PU11" i="43"/>
  <c r="PT11" i="43"/>
  <c r="PS11" i="43"/>
  <c r="PR11" i="43"/>
  <c r="PQ11" i="43"/>
  <c r="PP11" i="43"/>
  <c r="PN11" i="43"/>
  <c r="PM11" i="43"/>
  <c r="PL11" i="43"/>
  <c r="PK11" i="43"/>
  <c r="PJ11" i="43"/>
  <c r="PI11" i="43"/>
  <c r="OM11" i="43"/>
  <c r="OL11" i="43"/>
  <c r="OK11" i="43"/>
  <c r="OJ11" i="43"/>
  <c r="OI11" i="43"/>
  <c r="OH11" i="43"/>
  <c r="OF11" i="43"/>
  <c r="OE11" i="43"/>
  <c r="OD11" i="43"/>
  <c r="OC11" i="43"/>
  <c r="OB11" i="43"/>
  <c r="OA11" i="43"/>
  <c r="NE11" i="43"/>
  <c r="ND11" i="43"/>
  <c r="NC11" i="43"/>
  <c r="NB11" i="43"/>
  <c r="NA11" i="43"/>
  <c r="MZ11" i="43"/>
  <c r="MX11" i="43"/>
  <c r="MW11" i="43"/>
  <c r="MV11" i="43"/>
  <c r="MU11" i="43"/>
  <c r="MT11" i="43"/>
  <c r="MS11" i="43"/>
  <c r="LW11" i="43"/>
  <c r="LV11" i="43"/>
  <c r="LU11" i="43"/>
  <c r="LT11" i="43"/>
  <c r="LS11" i="43"/>
  <c r="LR11" i="43"/>
  <c r="LP11" i="43"/>
  <c r="LO11" i="43"/>
  <c r="LN11" i="43"/>
  <c r="LM11" i="43"/>
  <c r="LQ11" i="43" s="1"/>
  <c r="LX11" i="43" s="1"/>
  <c r="LL11" i="43"/>
  <c r="LK11" i="43"/>
  <c r="KO11" i="43"/>
  <c r="KN11" i="43"/>
  <c r="KM11" i="43"/>
  <c r="KL11" i="43"/>
  <c r="KK11" i="43"/>
  <c r="KJ11" i="43"/>
  <c r="KH11" i="43"/>
  <c r="KG11" i="43"/>
  <c r="KF11" i="43"/>
  <c r="KE11" i="43"/>
  <c r="KI11" i="43" s="1"/>
  <c r="KD11" i="43"/>
  <c r="KC11" i="43"/>
  <c r="JG11" i="43"/>
  <c r="JF11" i="43"/>
  <c r="JE11" i="43"/>
  <c r="JD11" i="43"/>
  <c r="JC11" i="43"/>
  <c r="JB11" i="43"/>
  <c r="IZ11" i="43"/>
  <c r="IY11" i="43"/>
  <c r="IX11" i="43"/>
  <c r="IW11" i="43"/>
  <c r="JA11" i="43" s="1"/>
  <c r="IV11" i="43"/>
  <c r="IU11" i="43"/>
  <c r="HY11" i="43"/>
  <c r="HX11" i="43"/>
  <c r="HW11" i="43"/>
  <c r="HV11" i="43"/>
  <c r="HU11" i="43"/>
  <c r="HT11" i="43"/>
  <c r="HR11" i="43"/>
  <c r="HQ11" i="43"/>
  <c r="HP11" i="43"/>
  <c r="HO11" i="43"/>
  <c r="HN11" i="43"/>
  <c r="HM11" i="43"/>
  <c r="GQ11" i="43"/>
  <c r="GP11" i="43"/>
  <c r="GO11" i="43"/>
  <c r="GN11" i="43"/>
  <c r="GM11" i="43"/>
  <c r="GL11" i="43"/>
  <c r="GJ11" i="43"/>
  <c r="GI11" i="43"/>
  <c r="GH11" i="43"/>
  <c r="GG11" i="43"/>
  <c r="GF11" i="43"/>
  <c r="GE11" i="43"/>
  <c r="FI11" i="43"/>
  <c r="FH11" i="43"/>
  <c r="FG11" i="43"/>
  <c r="FF11" i="43"/>
  <c r="FE11" i="43"/>
  <c r="FD11" i="43"/>
  <c r="FB11" i="43"/>
  <c r="FA11" i="43"/>
  <c r="EZ11" i="43"/>
  <c r="EY11" i="43"/>
  <c r="EX11" i="43"/>
  <c r="EW11" i="43"/>
  <c r="EA11" i="43"/>
  <c r="DZ11" i="43"/>
  <c r="DY11" i="43"/>
  <c r="DX11" i="43"/>
  <c r="DW11" i="43"/>
  <c r="DV11" i="43"/>
  <c r="DT11" i="43"/>
  <c r="DS11" i="43"/>
  <c r="DR11" i="43"/>
  <c r="DQ11" i="43"/>
  <c r="DP11" i="43"/>
  <c r="DO11" i="43"/>
  <c r="CR11" i="43"/>
  <c r="CQ11" i="43"/>
  <c r="CP11" i="43"/>
  <c r="CN11" i="43"/>
  <c r="CM11" i="43"/>
  <c r="CL11" i="43"/>
  <c r="CK11" i="43"/>
  <c r="CO11" i="43" s="1"/>
  <c r="CJ11" i="43"/>
  <c r="CI11" i="43"/>
  <c r="WI8" i="43"/>
  <c r="WH8" i="43"/>
  <c r="WG8" i="43"/>
  <c r="WF8" i="43"/>
  <c r="WE8" i="43"/>
  <c r="WD8" i="43"/>
  <c r="WB8" i="43"/>
  <c r="WA8" i="43"/>
  <c r="VZ8" i="43"/>
  <c r="VY8" i="43"/>
  <c r="VX8" i="43"/>
  <c r="VW8" i="43"/>
  <c r="VA8" i="43"/>
  <c r="UZ8" i="43"/>
  <c r="UY8" i="43"/>
  <c r="UX8" i="43"/>
  <c r="UW8" i="43"/>
  <c r="UV8" i="43"/>
  <c r="UT8" i="43"/>
  <c r="US8" i="43"/>
  <c r="UR8" i="43"/>
  <c r="UQ8" i="43"/>
  <c r="UP8" i="43"/>
  <c r="UO8" i="43"/>
  <c r="TS8" i="43"/>
  <c r="TR8" i="43"/>
  <c r="TQ8" i="43"/>
  <c r="TP8" i="43"/>
  <c r="TO8" i="43"/>
  <c r="TN8" i="43"/>
  <c r="TL8" i="43"/>
  <c r="TK8" i="43"/>
  <c r="TJ8" i="43"/>
  <c r="TI8" i="43"/>
  <c r="TH8" i="43"/>
  <c r="TG8" i="43"/>
  <c r="SK8" i="43"/>
  <c r="SJ8" i="43"/>
  <c r="SI8" i="43"/>
  <c r="SH8" i="43"/>
  <c r="SG8" i="43"/>
  <c r="SF8" i="43"/>
  <c r="SD8" i="43"/>
  <c r="SC8" i="43"/>
  <c r="SB8" i="43"/>
  <c r="SA8" i="43"/>
  <c r="RZ8" i="43"/>
  <c r="RY8" i="43"/>
  <c r="RC8" i="43"/>
  <c r="RB8" i="43"/>
  <c r="RA8" i="43"/>
  <c r="QZ8" i="43"/>
  <c r="QY8" i="43"/>
  <c r="QX8" i="43"/>
  <c r="QV8" i="43"/>
  <c r="QU8" i="43"/>
  <c r="QT8" i="43"/>
  <c r="QS8" i="43"/>
  <c r="QR8" i="43"/>
  <c r="QQ8" i="43"/>
  <c r="PU8" i="43"/>
  <c r="PT8" i="43"/>
  <c r="PS8" i="43"/>
  <c r="PR8" i="43"/>
  <c r="PQ8" i="43"/>
  <c r="PP8" i="43"/>
  <c r="PN8" i="43"/>
  <c r="PM8" i="43"/>
  <c r="PL8" i="43"/>
  <c r="PK8" i="43"/>
  <c r="PJ8" i="43"/>
  <c r="PI8" i="43"/>
  <c r="OM8" i="43"/>
  <c r="OL8" i="43"/>
  <c r="OK8" i="43"/>
  <c r="OJ8" i="43"/>
  <c r="OI8" i="43"/>
  <c r="OH8" i="43"/>
  <c r="OF8" i="43"/>
  <c r="OE8" i="43"/>
  <c r="OD8" i="43"/>
  <c r="OC8" i="43"/>
  <c r="OB8" i="43"/>
  <c r="OA8" i="43"/>
  <c r="NE8" i="43"/>
  <c r="ND8" i="43"/>
  <c r="NC8" i="43"/>
  <c r="NB8" i="43"/>
  <c r="NA8" i="43"/>
  <c r="MZ8" i="43"/>
  <c r="MX8" i="43"/>
  <c r="MW8" i="43"/>
  <c r="MV8" i="43"/>
  <c r="MU8" i="43"/>
  <c r="MT8" i="43"/>
  <c r="MS8" i="43"/>
  <c r="LW8" i="43"/>
  <c r="LV8" i="43"/>
  <c r="LU8" i="43"/>
  <c r="LT8" i="43"/>
  <c r="LS8" i="43"/>
  <c r="LR8" i="43"/>
  <c r="LP8" i="43"/>
  <c r="LO8" i="43"/>
  <c r="LN8" i="43"/>
  <c r="LM8" i="43"/>
  <c r="LL8" i="43"/>
  <c r="LK8" i="43"/>
  <c r="KO8" i="43"/>
  <c r="KN8" i="43"/>
  <c r="KM8" i="43"/>
  <c r="KL8" i="43"/>
  <c r="KK8" i="43"/>
  <c r="KJ8" i="43"/>
  <c r="KH8" i="43"/>
  <c r="KG8" i="43"/>
  <c r="KF8" i="43"/>
  <c r="KE8" i="43"/>
  <c r="KD8" i="43"/>
  <c r="KC8" i="43"/>
  <c r="JG8" i="43"/>
  <c r="JF8" i="43"/>
  <c r="JE8" i="43"/>
  <c r="JD8" i="43"/>
  <c r="JC8" i="43"/>
  <c r="JB8" i="43"/>
  <c r="IZ8" i="43"/>
  <c r="IY8" i="43"/>
  <c r="IX8" i="43"/>
  <c r="IW8" i="43"/>
  <c r="IV8" i="43"/>
  <c r="IU8" i="43"/>
  <c r="HY8" i="43"/>
  <c r="HX8" i="43"/>
  <c r="HW8" i="43"/>
  <c r="HV8" i="43"/>
  <c r="HU8" i="43"/>
  <c r="HT8" i="43"/>
  <c r="HR8" i="43"/>
  <c r="HQ8" i="43"/>
  <c r="HP8" i="43"/>
  <c r="HO8" i="43"/>
  <c r="HN8" i="43"/>
  <c r="HM8" i="43"/>
  <c r="GQ8" i="43"/>
  <c r="GP8" i="43"/>
  <c r="GO8" i="43"/>
  <c r="GN8" i="43"/>
  <c r="GM8" i="43"/>
  <c r="GL8" i="43"/>
  <c r="GJ8" i="43"/>
  <c r="GI8" i="43"/>
  <c r="GH8" i="43"/>
  <c r="GG8" i="43"/>
  <c r="GF8" i="43"/>
  <c r="GE8" i="43"/>
  <c r="FI8" i="43"/>
  <c r="FH8" i="43"/>
  <c r="FG8" i="43"/>
  <c r="FF8" i="43"/>
  <c r="FE8" i="43"/>
  <c r="FD8" i="43"/>
  <c r="FB8" i="43"/>
  <c r="FA8" i="43"/>
  <c r="EZ8" i="43"/>
  <c r="EY8" i="43"/>
  <c r="EX8" i="43"/>
  <c r="EW8" i="43"/>
  <c r="EA8" i="43"/>
  <c r="DZ8" i="43"/>
  <c r="DY8" i="43"/>
  <c r="DX8" i="43"/>
  <c r="DW8" i="43"/>
  <c r="DV8" i="43"/>
  <c r="DT8" i="43"/>
  <c r="DS8" i="43"/>
  <c r="DR8" i="43"/>
  <c r="DQ8" i="43"/>
  <c r="DU8" i="43" s="1"/>
  <c r="DP8" i="43"/>
  <c r="DO8" i="43"/>
  <c r="CR8" i="43"/>
  <c r="CQ8" i="43"/>
  <c r="CP8" i="43"/>
  <c r="CN8" i="43"/>
  <c r="CM8" i="43"/>
  <c r="CL8" i="43"/>
  <c r="CK8" i="43"/>
  <c r="CJ8" i="43"/>
  <c r="CI8" i="43"/>
  <c r="WI6" i="43"/>
  <c r="WH6" i="43"/>
  <c r="WG6" i="43"/>
  <c r="WF6" i="43"/>
  <c r="WE6" i="43"/>
  <c r="WD6" i="43"/>
  <c r="WB6" i="43"/>
  <c r="WA6" i="43"/>
  <c r="VZ6" i="43"/>
  <c r="VY6" i="43"/>
  <c r="VX6" i="43"/>
  <c r="VW6" i="43"/>
  <c r="VA6" i="43"/>
  <c r="UZ6" i="43"/>
  <c r="UY6" i="43"/>
  <c r="UX6" i="43"/>
  <c r="UW6" i="43"/>
  <c r="UV6" i="43"/>
  <c r="UT6" i="43"/>
  <c r="US6" i="43"/>
  <c r="UR6" i="43"/>
  <c r="UQ6" i="43"/>
  <c r="UU6" i="43" s="1"/>
  <c r="UP6" i="43"/>
  <c r="UO6" i="43"/>
  <c r="TS6" i="43"/>
  <c r="TR6" i="43"/>
  <c r="TQ6" i="43"/>
  <c r="TP6" i="43"/>
  <c r="TO6" i="43"/>
  <c r="TN6" i="43"/>
  <c r="TL6" i="43"/>
  <c r="TK6" i="43"/>
  <c r="TJ6" i="43"/>
  <c r="TI6" i="43"/>
  <c r="TH6" i="43"/>
  <c r="TG6" i="43"/>
  <c r="SK6" i="43"/>
  <c r="SJ6" i="43"/>
  <c r="SI6" i="43"/>
  <c r="SH6" i="43"/>
  <c r="SG6" i="43"/>
  <c r="SF6" i="43"/>
  <c r="SD6" i="43"/>
  <c r="SC6" i="43"/>
  <c r="SB6" i="43"/>
  <c r="SA6" i="43"/>
  <c r="RZ6" i="43"/>
  <c r="RY6" i="43"/>
  <c r="RC6" i="43"/>
  <c r="RB6" i="43"/>
  <c r="RA6" i="43"/>
  <c r="QZ6" i="43"/>
  <c r="QY6" i="43"/>
  <c r="QX6" i="43"/>
  <c r="QV6" i="43"/>
  <c r="QU6" i="43"/>
  <c r="QT6" i="43"/>
  <c r="QS6" i="43"/>
  <c r="QR6" i="43"/>
  <c r="QQ6" i="43"/>
  <c r="PU6" i="43"/>
  <c r="PT6" i="43"/>
  <c r="PS6" i="43"/>
  <c r="PR6" i="43"/>
  <c r="PQ6" i="43"/>
  <c r="PP6" i="43"/>
  <c r="PN6" i="43"/>
  <c r="PM6" i="43"/>
  <c r="PL6" i="43"/>
  <c r="PK6" i="43"/>
  <c r="PJ6" i="43"/>
  <c r="PI6" i="43"/>
  <c r="OM6" i="43"/>
  <c r="OL6" i="43"/>
  <c r="OK6" i="43"/>
  <c r="OJ6" i="43"/>
  <c r="OI6" i="43"/>
  <c r="OH6" i="43"/>
  <c r="OF6" i="43"/>
  <c r="OE6" i="43"/>
  <c r="OD6" i="43"/>
  <c r="OC6" i="43"/>
  <c r="OB6" i="43"/>
  <c r="OA6" i="43"/>
  <c r="NE6" i="43"/>
  <c r="ND6" i="43"/>
  <c r="NC6" i="43"/>
  <c r="NB6" i="43"/>
  <c r="NA6" i="43"/>
  <c r="MZ6" i="43"/>
  <c r="MX6" i="43"/>
  <c r="MW6" i="43"/>
  <c r="MV6" i="43"/>
  <c r="MU6" i="43"/>
  <c r="MT6" i="43"/>
  <c r="MS6" i="43"/>
  <c r="LW6" i="43"/>
  <c r="LV6" i="43"/>
  <c r="LU6" i="43"/>
  <c r="LT6" i="43"/>
  <c r="LS6" i="43"/>
  <c r="LR6" i="43"/>
  <c r="LP6" i="43"/>
  <c r="LO6" i="43"/>
  <c r="LN6" i="43"/>
  <c r="LM6" i="43"/>
  <c r="LQ6" i="43" s="1"/>
  <c r="LL6" i="43"/>
  <c r="LK6" i="43"/>
  <c r="KO6" i="43"/>
  <c r="KN6" i="43"/>
  <c r="KM6" i="43"/>
  <c r="KL6" i="43"/>
  <c r="KK6" i="43"/>
  <c r="KJ6" i="43"/>
  <c r="KH6" i="43"/>
  <c r="KG6" i="43"/>
  <c r="KF6" i="43"/>
  <c r="KE6" i="43"/>
  <c r="KD6" i="43"/>
  <c r="KC6" i="43"/>
  <c r="JG6" i="43"/>
  <c r="JF6" i="43"/>
  <c r="JE6" i="43"/>
  <c r="JD6" i="43"/>
  <c r="JC6" i="43"/>
  <c r="JB6" i="43"/>
  <c r="IZ6" i="43"/>
  <c r="IY6" i="43"/>
  <c r="IX6" i="43"/>
  <c r="IW6" i="43"/>
  <c r="IV6" i="43"/>
  <c r="IU6" i="43"/>
  <c r="HY6" i="43"/>
  <c r="HX6" i="43"/>
  <c r="HW6" i="43"/>
  <c r="HV6" i="43"/>
  <c r="HU6" i="43"/>
  <c r="HT6" i="43"/>
  <c r="HR6" i="43"/>
  <c r="HQ6" i="43"/>
  <c r="HP6" i="43"/>
  <c r="HO6" i="43"/>
  <c r="HN6" i="43"/>
  <c r="HM6" i="43"/>
  <c r="GQ6" i="43"/>
  <c r="GP6" i="43"/>
  <c r="GO6" i="43"/>
  <c r="GN6" i="43"/>
  <c r="GM6" i="43"/>
  <c r="GL6" i="43"/>
  <c r="GJ6" i="43"/>
  <c r="GI6" i="43"/>
  <c r="GH6" i="43"/>
  <c r="GG6" i="43"/>
  <c r="GF6" i="43"/>
  <c r="GE6" i="43"/>
  <c r="FI6" i="43"/>
  <c r="FH6" i="43"/>
  <c r="FG6" i="43"/>
  <c r="FF6" i="43"/>
  <c r="FE6" i="43"/>
  <c r="FD6" i="43"/>
  <c r="FB6" i="43"/>
  <c r="FA6" i="43"/>
  <c r="EZ6" i="43"/>
  <c r="EY6" i="43"/>
  <c r="EX6" i="43"/>
  <c r="EW6" i="43"/>
  <c r="EA6" i="43"/>
  <c r="DZ6" i="43"/>
  <c r="DY6" i="43"/>
  <c r="DX6" i="43"/>
  <c r="DW6" i="43"/>
  <c r="DV6" i="43"/>
  <c r="DT6" i="43"/>
  <c r="DS6" i="43"/>
  <c r="DR6" i="43"/>
  <c r="DQ6" i="43"/>
  <c r="DP6" i="43"/>
  <c r="DO6" i="43"/>
  <c r="CR6" i="43"/>
  <c r="CQ6" i="43"/>
  <c r="CP6" i="43"/>
  <c r="CN6" i="43"/>
  <c r="CM6" i="43"/>
  <c r="CL6" i="43"/>
  <c r="CK6" i="43"/>
  <c r="CJ6" i="43"/>
  <c r="CI6" i="43"/>
  <c r="WI7" i="43"/>
  <c r="WH7" i="43"/>
  <c r="WG7" i="43"/>
  <c r="WF7" i="43"/>
  <c r="WE7" i="43"/>
  <c r="WD7" i="43"/>
  <c r="WB7" i="43"/>
  <c r="WA7" i="43"/>
  <c r="VZ7" i="43"/>
  <c r="VY7" i="43"/>
  <c r="VX7" i="43"/>
  <c r="VW7" i="43"/>
  <c r="VA7" i="43"/>
  <c r="UZ7" i="43"/>
  <c r="UY7" i="43"/>
  <c r="UX7" i="43"/>
  <c r="UW7" i="43"/>
  <c r="UV7" i="43"/>
  <c r="UT7" i="43"/>
  <c r="US7" i="43"/>
  <c r="UR7" i="43"/>
  <c r="UQ7" i="43"/>
  <c r="UP7" i="43"/>
  <c r="UO7" i="43"/>
  <c r="TS7" i="43"/>
  <c r="TR7" i="43"/>
  <c r="TQ7" i="43"/>
  <c r="TP7" i="43"/>
  <c r="TO7" i="43"/>
  <c r="TN7" i="43"/>
  <c r="TL7" i="43"/>
  <c r="TK7" i="43"/>
  <c r="TJ7" i="43"/>
  <c r="TI7" i="43"/>
  <c r="TH7" i="43"/>
  <c r="TG7" i="43"/>
  <c r="SK7" i="43"/>
  <c r="SJ7" i="43"/>
  <c r="SI7" i="43"/>
  <c r="SH7" i="43"/>
  <c r="SG7" i="43"/>
  <c r="SF7" i="43"/>
  <c r="SD7" i="43"/>
  <c r="SC7" i="43"/>
  <c r="SB7" i="43"/>
  <c r="SA7" i="43"/>
  <c r="RZ7" i="43"/>
  <c r="RY7" i="43"/>
  <c r="RC7" i="43"/>
  <c r="RB7" i="43"/>
  <c r="RA7" i="43"/>
  <c r="QZ7" i="43"/>
  <c r="QY7" i="43"/>
  <c r="QX7" i="43"/>
  <c r="QV7" i="43"/>
  <c r="QU7" i="43"/>
  <c r="QT7" i="43"/>
  <c r="QS7" i="43"/>
  <c r="QR7" i="43"/>
  <c r="QQ7" i="43"/>
  <c r="PU7" i="43"/>
  <c r="PT7" i="43"/>
  <c r="PS7" i="43"/>
  <c r="PR7" i="43"/>
  <c r="PQ7" i="43"/>
  <c r="PP7" i="43"/>
  <c r="PN7" i="43"/>
  <c r="PM7" i="43"/>
  <c r="PL7" i="43"/>
  <c r="PK7" i="43"/>
  <c r="PJ7" i="43"/>
  <c r="PI7" i="43"/>
  <c r="OM7" i="43"/>
  <c r="OL7" i="43"/>
  <c r="OK7" i="43"/>
  <c r="OJ7" i="43"/>
  <c r="OI7" i="43"/>
  <c r="OH7" i="43"/>
  <c r="OF7" i="43"/>
  <c r="OE7" i="43"/>
  <c r="OD7" i="43"/>
  <c r="OC7" i="43"/>
  <c r="OG7" i="43" s="1"/>
  <c r="OB7" i="43"/>
  <c r="OA7" i="43"/>
  <c r="NE7" i="43"/>
  <c r="ND7" i="43"/>
  <c r="NC7" i="43"/>
  <c r="NB7" i="43"/>
  <c r="NA7" i="43"/>
  <c r="MZ7" i="43"/>
  <c r="MX7" i="43"/>
  <c r="MW7" i="43"/>
  <c r="MV7" i="43"/>
  <c r="MU7" i="43"/>
  <c r="MT7" i="43"/>
  <c r="MS7" i="43"/>
  <c r="LW7" i="43"/>
  <c r="LV7" i="43"/>
  <c r="LU7" i="43"/>
  <c r="LT7" i="43"/>
  <c r="LS7" i="43"/>
  <c r="LR7" i="43"/>
  <c r="LP7" i="43"/>
  <c r="LO7" i="43"/>
  <c r="LN7" i="43"/>
  <c r="LM7" i="43"/>
  <c r="LL7" i="43"/>
  <c r="LK7" i="43"/>
  <c r="KO7" i="43"/>
  <c r="KN7" i="43"/>
  <c r="KM7" i="43"/>
  <c r="KL7" i="43"/>
  <c r="KK7" i="43"/>
  <c r="KJ7" i="43"/>
  <c r="KH7" i="43"/>
  <c r="KG7" i="43"/>
  <c r="KF7" i="43"/>
  <c r="KE7" i="43"/>
  <c r="KD7" i="43"/>
  <c r="KC7" i="43"/>
  <c r="JG7" i="43"/>
  <c r="JF7" i="43"/>
  <c r="JE7" i="43"/>
  <c r="JD7" i="43"/>
  <c r="JC7" i="43"/>
  <c r="JB7" i="43"/>
  <c r="IZ7" i="43"/>
  <c r="IY7" i="43"/>
  <c r="IX7" i="43"/>
  <c r="IW7" i="43"/>
  <c r="IV7" i="43"/>
  <c r="IU7" i="43"/>
  <c r="HY7" i="43"/>
  <c r="HX7" i="43"/>
  <c r="HW7" i="43"/>
  <c r="HV7" i="43"/>
  <c r="HU7" i="43"/>
  <c r="HT7" i="43"/>
  <c r="HR7" i="43"/>
  <c r="HQ7" i="43"/>
  <c r="HP7" i="43"/>
  <c r="HO7" i="43"/>
  <c r="HN7" i="43"/>
  <c r="HM7" i="43"/>
  <c r="GQ7" i="43"/>
  <c r="GP7" i="43"/>
  <c r="GO7" i="43"/>
  <c r="GN7" i="43"/>
  <c r="GM7" i="43"/>
  <c r="GL7" i="43"/>
  <c r="GJ7" i="43"/>
  <c r="GI7" i="43"/>
  <c r="GH7" i="43"/>
  <c r="GG7" i="43"/>
  <c r="GF7" i="43"/>
  <c r="GE7" i="43"/>
  <c r="FI7" i="43"/>
  <c r="FH7" i="43"/>
  <c r="FG7" i="43"/>
  <c r="FF7" i="43"/>
  <c r="FE7" i="43"/>
  <c r="FD7" i="43"/>
  <c r="FB7" i="43"/>
  <c r="FA7" i="43"/>
  <c r="EZ7" i="43"/>
  <c r="EY7" i="43"/>
  <c r="EX7" i="43"/>
  <c r="EW7" i="43"/>
  <c r="EA7" i="43"/>
  <c r="DZ7" i="43"/>
  <c r="DY7" i="43"/>
  <c r="DX7" i="43"/>
  <c r="DW7" i="43"/>
  <c r="DV7" i="43"/>
  <c r="DT7" i="43"/>
  <c r="DS7" i="43"/>
  <c r="DR7" i="43"/>
  <c r="DQ7" i="43"/>
  <c r="DP7" i="43"/>
  <c r="DO7" i="43"/>
  <c r="CR7" i="43"/>
  <c r="CQ7" i="43"/>
  <c r="CP7" i="43"/>
  <c r="CN7" i="43"/>
  <c r="CM7" i="43"/>
  <c r="CL7" i="43"/>
  <c r="CK7" i="43"/>
  <c r="CJ7" i="43"/>
  <c r="CI7" i="43"/>
  <c r="WI5" i="43"/>
  <c r="WH5" i="43"/>
  <c r="WG5" i="43"/>
  <c r="WF5" i="43"/>
  <c r="WE5" i="43"/>
  <c r="WD5" i="43"/>
  <c r="WB5" i="43"/>
  <c r="WA5" i="43"/>
  <c r="VZ5" i="43"/>
  <c r="VY5" i="43"/>
  <c r="VX5" i="43"/>
  <c r="VW5" i="43"/>
  <c r="VA5" i="43"/>
  <c r="UZ5" i="43"/>
  <c r="UY5" i="43"/>
  <c r="UX5" i="43"/>
  <c r="UW5" i="43"/>
  <c r="UV5" i="43"/>
  <c r="UT5" i="43"/>
  <c r="US5" i="43"/>
  <c r="UR5" i="43"/>
  <c r="UQ5" i="43"/>
  <c r="UU5" i="43" s="1"/>
  <c r="UP5" i="43"/>
  <c r="UO5" i="43"/>
  <c r="TS5" i="43"/>
  <c r="TR5" i="43"/>
  <c r="TQ5" i="43"/>
  <c r="TP5" i="43"/>
  <c r="TO5" i="43"/>
  <c r="TN5" i="43"/>
  <c r="TL5" i="43"/>
  <c r="TK5" i="43"/>
  <c r="TJ5" i="43"/>
  <c r="TI5" i="43"/>
  <c r="TM5" i="43" s="1"/>
  <c r="TH5" i="43"/>
  <c r="TG5" i="43"/>
  <c r="SK5" i="43"/>
  <c r="SJ5" i="43"/>
  <c r="SI5" i="43"/>
  <c r="SH5" i="43"/>
  <c r="SG5" i="43"/>
  <c r="SF5" i="43"/>
  <c r="SD5" i="43"/>
  <c r="SC5" i="43"/>
  <c r="SB5" i="43"/>
  <c r="SA5" i="43"/>
  <c r="RZ5" i="43"/>
  <c r="RY5" i="43"/>
  <c r="RC5" i="43"/>
  <c r="RB5" i="43"/>
  <c r="RA5" i="43"/>
  <c r="QZ5" i="43"/>
  <c r="QY5" i="43"/>
  <c r="QX5" i="43"/>
  <c r="QV5" i="43"/>
  <c r="QU5" i="43"/>
  <c r="QT5" i="43"/>
  <c r="QS5" i="43"/>
  <c r="QR5" i="43"/>
  <c r="QQ5" i="43"/>
  <c r="PU5" i="43"/>
  <c r="PT5" i="43"/>
  <c r="PS5" i="43"/>
  <c r="PR5" i="43"/>
  <c r="PQ5" i="43"/>
  <c r="PP5" i="43"/>
  <c r="PN5" i="43"/>
  <c r="PM5" i="43"/>
  <c r="PL5" i="43"/>
  <c r="PK5" i="43"/>
  <c r="PJ5" i="43"/>
  <c r="PI5" i="43"/>
  <c r="OM5" i="43"/>
  <c r="OL5" i="43"/>
  <c r="OK5" i="43"/>
  <c r="OJ5" i="43"/>
  <c r="OI5" i="43"/>
  <c r="OH5" i="43"/>
  <c r="OF5" i="43"/>
  <c r="OE5" i="43"/>
  <c r="OD5" i="43"/>
  <c r="OC5" i="43"/>
  <c r="OB5" i="43"/>
  <c r="OA5" i="43"/>
  <c r="NE5" i="43"/>
  <c r="ND5" i="43"/>
  <c r="NC5" i="43"/>
  <c r="NB5" i="43"/>
  <c r="NA5" i="43"/>
  <c r="MZ5" i="43"/>
  <c r="MX5" i="43"/>
  <c r="MW5" i="43"/>
  <c r="MV5" i="43"/>
  <c r="MU5" i="43"/>
  <c r="MT5" i="43"/>
  <c r="MS5" i="43"/>
  <c r="LW5" i="43"/>
  <c r="LV5" i="43"/>
  <c r="LU5" i="43"/>
  <c r="LT5" i="43"/>
  <c r="LS5" i="43"/>
  <c r="LR5" i="43"/>
  <c r="LP5" i="43"/>
  <c r="LO5" i="43"/>
  <c r="LN5" i="43"/>
  <c r="LM5" i="43"/>
  <c r="LL5" i="43"/>
  <c r="LK5" i="43"/>
  <c r="KO5" i="43"/>
  <c r="KN5" i="43"/>
  <c r="KM5" i="43"/>
  <c r="KL5" i="43"/>
  <c r="KK5" i="43"/>
  <c r="KJ5" i="43"/>
  <c r="KH5" i="43"/>
  <c r="KG5" i="43"/>
  <c r="KF5" i="43"/>
  <c r="KE5" i="43"/>
  <c r="KI5" i="43" s="1"/>
  <c r="KD5" i="43"/>
  <c r="KC5" i="43"/>
  <c r="JG5" i="43"/>
  <c r="JF5" i="43"/>
  <c r="JE5" i="43"/>
  <c r="JD5" i="43"/>
  <c r="JC5" i="43"/>
  <c r="JB5" i="43"/>
  <c r="IZ5" i="43"/>
  <c r="IY5" i="43"/>
  <c r="IX5" i="43"/>
  <c r="IW5" i="43"/>
  <c r="IV5" i="43"/>
  <c r="IU5" i="43"/>
  <c r="HY5" i="43"/>
  <c r="HX5" i="43"/>
  <c r="HW5" i="43"/>
  <c r="HV5" i="43"/>
  <c r="HU5" i="43"/>
  <c r="HT5" i="43"/>
  <c r="HR5" i="43"/>
  <c r="HQ5" i="43"/>
  <c r="HP5" i="43"/>
  <c r="HO5" i="43"/>
  <c r="HN5" i="43"/>
  <c r="HM5" i="43"/>
  <c r="GQ5" i="43"/>
  <c r="GP5" i="43"/>
  <c r="GO5" i="43"/>
  <c r="GN5" i="43"/>
  <c r="GM5" i="43"/>
  <c r="GL5" i="43"/>
  <c r="GJ5" i="43"/>
  <c r="GI5" i="43"/>
  <c r="GH5" i="43"/>
  <c r="GG5" i="43"/>
  <c r="GF5" i="43"/>
  <c r="GE5" i="43"/>
  <c r="FI5" i="43"/>
  <c r="FH5" i="43"/>
  <c r="FG5" i="43"/>
  <c r="FF5" i="43"/>
  <c r="FE5" i="43"/>
  <c r="FD5" i="43"/>
  <c r="FB5" i="43"/>
  <c r="FA5" i="43"/>
  <c r="EZ5" i="43"/>
  <c r="EY5" i="43"/>
  <c r="EX5" i="43"/>
  <c r="EW5" i="43"/>
  <c r="EA5" i="43"/>
  <c r="DZ5" i="43"/>
  <c r="DY5" i="43"/>
  <c r="DX5" i="43"/>
  <c r="DW5" i="43"/>
  <c r="DV5" i="43"/>
  <c r="DT5" i="43"/>
  <c r="DS5" i="43"/>
  <c r="DR5" i="43"/>
  <c r="DQ5" i="43"/>
  <c r="DP5" i="43"/>
  <c r="DO5" i="43"/>
  <c r="CR5" i="43"/>
  <c r="CQ5" i="43"/>
  <c r="CP5" i="43"/>
  <c r="CN5" i="43"/>
  <c r="CM5" i="43"/>
  <c r="CL5" i="43"/>
  <c r="CK5" i="43"/>
  <c r="CJ5" i="43"/>
  <c r="CI5" i="43"/>
  <c r="WI4" i="43"/>
  <c r="WH4" i="43"/>
  <c r="WG4" i="43"/>
  <c r="WF4" i="43"/>
  <c r="WE4" i="43"/>
  <c r="WD4" i="43"/>
  <c r="WB4" i="43"/>
  <c r="WA4" i="43"/>
  <c r="VZ4" i="43"/>
  <c r="VY4" i="43"/>
  <c r="VX4" i="43"/>
  <c r="VW4" i="43"/>
  <c r="VA4" i="43"/>
  <c r="UZ4" i="43"/>
  <c r="UY4" i="43"/>
  <c r="UX4" i="43"/>
  <c r="UW4" i="43"/>
  <c r="UV4" i="43"/>
  <c r="UT4" i="43"/>
  <c r="US4" i="43"/>
  <c r="UR4" i="43"/>
  <c r="UQ4" i="43"/>
  <c r="UP4" i="43"/>
  <c r="UO4" i="43"/>
  <c r="TS4" i="43"/>
  <c r="TR4" i="43"/>
  <c r="TQ4" i="43"/>
  <c r="TP4" i="43"/>
  <c r="TO4" i="43"/>
  <c r="TN4" i="43"/>
  <c r="TL4" i="43"/>
  <c r="TK4" i="43"/>
  <c r="TJ4" i="43"/>
  <c r="TI4" i="43"/>
  <c r="TH4" i="43"/>
  <c r="TG4" i="43"/>
  <c r="SK4" i="43"/>
  <c r="SJ4" i="43"/>
  <c r="SI4" i="43"/>
  <c r="SH4" i="43"/>
  <c r="SG4" i="43"/>
  <c r="SF4" i="43"/>
  <c r="SD4" i="43"/>
  <c r="SC4" i="43"/>
  <c r="SB4" i="43"/>
  <c r="SA4" i="43"/>
  <c r="RZ4" i="43"/>
  <c r="RY4" i="43"/>
  <c r="RC4" i="43"/>
  <c r="RB4" i="43"/>
  <c r="RA4" i="43"/>
  <c r="QZ4" i="43"/>
  <c r="QY4" i="43"/>
  <c r="QX4" i="43"/>
  <c r="QV4" i="43"/>
  <c r="QU4" i="43"/>
  <c r="QT4" i="43"/>
  <c r="QS4" i="43"/>
  <c r="QR4" i="43"/>
  <c r="QQ4" i="43"/>
  <c r="PU4" i="43"/>
  <c r="PT4" i="43"/>
  <c r="PS4" i="43"/>
  <c r="PR4" i="43"/>
  <c r="PQ4" i="43"/>
  <c r="PP4" i="43"/>
  <c r="PN4" i="43"/>
  <c r="PM4" i="43"/>
  <c r="PL4" i="43"/>
  <c r="PK4" i="43"/>
  <c r="PJ4" i="43"/>
  <c r="PI4" i="43"/>
  <c r="OM4" i="43"/>
  <c r="OL4" i="43"/>
  <c r="OK4" i="43"/>
  <c r="OJ4" i="43"/>
  <c r="OI4" i="43"/>
  <c r="OH4" i="43"/>
  <c r="OF4" i="43"/>
  <c r="OE4" i="43"/>
  <c r="OD4" i="43"/>
  <c r="OC4" i="43"/>
  <c r="OB4" i="43"/>
  <c r="OA4" i="43"/>
  <c r="NE4" i="43"/>
  <c r="ND4" i="43"/>
  <c r="NC4" i="43"/>
  <c r="NB4" i="43"/>
  <c r="NA4" i="43"/>
  <c r="MZ4" i="43"/>
  <c r="MX4" i="43"/>
  <c r="MW4" i="43"/>
  <c r="MV4" i="43"/>
  <c r="MU4" i="43"/>
  <c r="MT4" i="43"/>
  <c r="MS4" i="43"/>
  <c r="LW4" i="43"/>
  <c r="LV4" i="43"/>
  <c r="LU4" i="43"/>
  <c r="LT4" i="43"/>
  <c r="LS4" i="43"/>
  <c r="LR4" i="43"/>
  <c r="LP4" i="43"/>
  <c r="LO4" i="43"/>
  <c r="LN4" i="43"/>
  <c r="LM4" i="43"/>
  <c r="LL4" i="43"/>
  <c r="LK4" i="43"/>
  <c r="KO4" i="43"/>
  <c r="KN4" i="43"/>
  <c r="KM4" i="43"/>
  <c r="KL4" i="43"/>
  <c r="KK4" i="43"/>
  <c r="KJ4" i="43"/>
  <c r="KH4" i="43"/>
  <c r="KG4" i="43"/>
  <c r="KF4" i="43"/>
  <c r="KE4" i="43"/>
  <c r="KD4" i="43"/>
  <c r="KC4" i="43"/>
  <c r="JG4" i="43"/>
  <c r="JF4" i="43"/>
  <c r="JE4" i="43"/>
  <c r="JD4" i="43"/>
  <c r="JC4" i="43"/>
  <c r="JB4" i="43"/>
  <c r="IZ4" i="43"/>
  <c r="IY4" i="43"/>
  <c r="IX4" i="43"/>
  <c r="IW4" i="43"/>
  <c r="IV4" i="43"/>
  <c r="IU4" i="43"/>
  <c r="HY4" i="43"/>
  <c r="HX4" i="43"/>
  <c r="HW4" i="43"/>
  <c r="HV4" i="43"/>
  <c r="HU4" i="43"/>
  <c r="HT4" i="43"/>
  <c r="HR4" i="43"/>
  <c r="HQ4" i="43"/>
  <c r="HP4" i="43"/>
  <c r="HO4" i="43"/>
  <c r="HN4" i="43"/>
  <c r="HM4" i="43"/>
  <c r="GQ4" i="43"/>
  <c r="GP4" i="43"/>
  <c r="GO4" i="43"/>
  <c r="GN4" i="43"/>
  <c r="GM4" i="43"/>
  <c r="GL4" i="43"/>
  <c r="GJ4" i="43"/>
  <c r="GI4" i="43"/>
  <c r="GH4" i="43"/>
  <c r="GG4" i="43"/>
  <c r="GF4" i="43"/>
  <c r="GE4" i="43"/>
  <c r="FI4" i="43"/>
  <c r="FH4" i="43"/>
  <c r="FG4" i="43"/>
  <c r="FF4" i="43"/>
  <c r="FE4" i="43"/>
  <c r="FD4" i="43"/>
  <c r="FB4" i="43"/>
  <c r="FA4" i="43"/>
  <c r="EZ4" i="43"/>
  <c r="EY4" i="43"/>
  <c r="EX4" i="43"/>
  <c r="EW4" i="43"/>
  <c r="EA4" i="43"/>
  <c r="DZ4" i="43"/>
  <c r="DY4" i="43"/>
  <c r="DX4" i="43"/>
  <c r="DW4" i="43"/>
  <c r="DV4" i="43"/>
  <c r="DT4" i="43"/>
  <c r="DS4" i="43"/>
  <c r="DR4" i="43"/>
  <c r="DQ4" i="43"/>
  <c r="DP4" i="43"/>
  <c r="DO4" i="43"/>
  <c r="CR4" i="43"/>
  <c r="CQ4" i="43"/>
  <c r="CP4" i="43"/>
  <c r="CN4" i="43"/>
  <c r="CM4" i="43"/>
  <c r="CL4" i="43"/>
  <c r="CK4" i="43"/>
  <c r="CJ4" i="43"/>
  <c r="CI4" i="43"/>
  <c r="CI22" i="42"/>
  <c r="CJ22" i="42"/>
  <c r="CK22" i="42"/>
  <c r="CL22" i="42"/>
  <c r="CM22" i="42"/>
  <c r="CN22" i="42"/>
  <c r="CP22" i="42"/>
  <c r="CQ22" i="42"/>
  <c r="CR22" i="42"/>
  <c r="DO22" i="42"/>
  <c r="DP22" i="42"/>
  <c r="DQ22" i="42"/>
  <c r="DR22" i="42"/>
  <c r="DS22" i="42"/>
  <c r="DT22" i="42"/>
  <c r="DV22" i="42"/>
  <c r="DW22" i="42"/>
  <c r="DX22" i="42"/>
  <c r="DY22" i="42"/>
  <c r="DZ22" i="42"/>
  <c r="EA22" i="42"/>
  <c r="EW22" i="42"/>
  <c r="EX22" i="42"/>
  <c r="EY22" i="42"/>
  <c r="EZ22" i="42"/>
  <c r="FA22" i="42"/>
  <c r="FB22" i="42"/>
  <c r="FD22" i="42"/>
  <c r="FE22" i="42"/>
  <c r="FF22" i="42"/>
  <c r="FG22" i="42"/>
  <c r="FH22" i="42"/>
  <c r="FI22" i="42"/>
  <c r="GE22" i="42"/>
  <c r="GF22" i="42"/>
  <c r="GG22" i="42"/>
  <c r="GH22" i="42"/>
  <c r="GI22" i="42"/>
  <c r="GJ22" i="42"/>
  <c r="GL22" i="42"/>
  <c r="GM22" i="42"/>
  <c r="GN22" i="42"/>
  <c r="GO22" i="42"/>
  <c r="GP22" i="42"/>
  <c r="GQ22" i="42"/>
  <c r="HM22" i="42"/>
  <c r="HN22" i="42"/>
  <c r="HO22" i="42"/>
  <c r="HP22" i="42"/>
  <c r="HQ22" i="42"/>
  <c r="HR22" i="42"/>
  <c r="HT22" i="42"/>
  <c r="HU22" i="42"/>
  <c r="HV22" i="42"/>
  <c r="HW22" i="42"/>
  <c r="HX22" i="42"/>
  <c r="HY22" i="42"/>
  <c r="IU22" i="42"/>
  <c r="IV22" i="42"/>
  <c r="IW22" i="42"/>
  <c r="IX22" i="42"/>
  <c r="IY22" i="42"/>
  <c r="IZ22" i="42"/>
  <c r="JB22" i="42"/>
  <c r="JC22" i="42"/>
  <c r="JD22" i="42"/>
  <c r="JE22" i="42"/>
  <c r="JF22" i="42"/>
  <c r="JG22" i="42"/>
  <c r="KC22" i="42"/>
  <c r="KD22" i="42"/>
  <c r="KE22" i="42"/>
  <c r="KF22" i="42"/>
  <c r="KG22" i="42"/>
  <c r="KH22" i="42"/>
  <c r="KJ22" i="42"/>
  <c r="KK22" i="42"/>
  <c r="KL22" i="42"/>
  <c r="KM22" i="42"/>
  <c r="KN22" i="42"/>
  <c r="KO22" i="42"/>
  <c r="LK22" i="42"/>
  <c r="LL22" i="42"/>
  <c r="LM22" i="42"/>
  <c r="LN22" i="42"/>
  <c r="LO22" i="42"/>
  <c r="LP22" i="42"/>
  <c r="LR22" i="42"/>
  <c r="LS22" i="42"/>
  <c r="LT22" i="42"/>
  <c r="LU22" i="42"/>
  <c r="LV22" i="42"/>
  <c r="LW22" i="42"/>
  <c r="MS22" i="42"/>
  <c r="MT22" i="42"/>
  <c r="MU22" i="42"/>
  <c r="MV22" i="42"/>
  <c r="MW22" i="42"/>
  <c r="MX22" i="42"/>
  <c r="MZ22" i="42"/>
  <c r="NA22" i="42"/>
  <c r="NB22" i="42"/>
  <c r="NC22" i="42"/>
  <c r="ND22" i="42"/>
  <c r="NE22" i="42"/>
  <c r="OA22" i="42"/>
  <c r="OB22" i="42"/>
  <c r="OC22" i="42"/>
  <c r="OD22" i="42"/>
  <c r="OE22" i="42"/>
  <c r="OF22" i="42"/>
  <c r="OH22" i="42"/>
  <c r="OI22" i="42"/>
  <c r="OJ22" i="42"/>
  <c r="OK22" i="42"/>
  <c r="OL22" i="42"/>
  <c r="OM22" i="42"/>
  <c r="PI22" i="42"/>
  <c r="PJ22" i="42"/>
  <c r="PK22" i="42"/>
  <c r="PL22" i="42"/>
  <c r="PM22" i="42"/>
  <c r="PN22" i="42"/>
  <c r="PP22" i="42"/>
  <c r="PQ22" i="42"/>
  <c r="PR22" i="42"/>
  <c r="PS22" i="42"/>
  <c r="PT22" i="42"/>
  <c r="PU22" i="42"/>
  <c r="QQ22" i="42"/>
  <c r="QR22" i="42"/>
  <c r="QS22" i="42"/>
  <c r="QT22" i="42"/>
  <c r="QU22" i="42"/>
  <c r="QV22" i="42"/>
  <c r="QX22" i="42"/>
  <c r="QY22" i="42"/>
  <c r="QZ22" i="42"/>
  <c r="RA22" i="42"/>
  <c r="RB22" i="42"/>
  <c r="RC22" i="42"/>
  <c r="RY22" i="42"/>
  <c r="RZ22" i="42"/>
  <c r="SA22" i="42"/>
  <c r="SB22" i="42"/>
  <c r="SC22" i="42"/>
  <c r="SD22" i="42"/>
  <c r="SF22" i="42"/>
  <c r="SG22" i="42"/>
  <c r="SH22" i="42"/>
  <c r="SI22" i="42"/>
  <c r="SJ22" i="42"/>
  <c r="SK22" i="42"/>
  <c r="TG22" i="42"/>
  <c r="TH22" i="42"/>
  <c r="TI22" i="42"/>
  <c r="TJ22" i="42"/>
  <c r="TK22" i="42"/>
  <c r="TL22" i="42"/>
  <c r="TN22" i="42"/>
  <c r="TO22" i="42"/>
  <c r="TP22" i="42"/>
  <c r="TQ22" i="42"/>
  <c r="TR22" i="42"/>
  <c r="TS22" i="42"/>
  <c r="UO22" i="42"/>
  <c r="UP22" i="42"/>
  <c r="UQ22" i="42"/>
  <c r="UR22" i="42"/>
  <c r="US22" i="42"/>
  <c r="UT22" i="42"/>
  <c r="UV22" i="42"/>
  <c r="UW22" i="42"/>
  <c r="UX22" i="42"/>
  <c r="UY22" i="42"/>
  <c r="UZ22" i="42"/>
  <c r="VA22" i="42"/>
  <c r="VW22" i="42"/>
  <c r="VX22" i="42"/>
  <c r="VY22" i="42"/>
  <c r="VZ22" i="42"/>
  <c r="WA22" i="42"/>
  <c r="WB22" i="42"/>
  <c r="WD22" i="42"/>
  <c r="WE22" i="42"/>
  <c r="WF22" i="42"/>
  <c r="WG22" i="42"/>
  <c r="WH22" i="42"/>
  <c r="WI22" i="42"/>
  <c r="JA8" i="43" l="1"/>
  <c r="SE8" i="43"/>
  <c r="SE13" i="43"/>
  <c r="SL13" i="43" s="1"/>
  <c r="QW8" i="43"/>
  <c r="RD8" i="43" s="1"/>
  <c r="LQ9" i="43"/>
  <c r="UU9" i="43"/>
  <c r="PO5" i="43"/>
  <c r="GK6" i="43"/>
  <c r="PO6" i="43"/>
  <c r="GK12" i="43"/>
  <c r="PO12" i="43"/>
  <c r="PV12" i="43" s="1"/>
  <c r="WC6" i="43"/>
  <c r="WJ6" i="43" s="1"/>
  <c r="WC12" i="43"/>
  <c r="WJ12" i="43" s="1"/>
  <c r="DU6" i="43"/>
  <c r="EB6" i="43" s="1"/>
  <c r="DU12" i="43"/>
  <c r="HS9" i="43"/>
  <c r="QW9" i="43"/>
  <c r="HS13" i="43"/>
  <c r="HZ13" i="43" s="1"/>
  <c r="MY10" i="43"/>
  <c r="NF10" i="43" s="1"/>
  <c r="WC10" i="43"/>
  <c r="WJ10" i="43" s="1"/>
  <c r="CO5" i="43"/>
  <c r="CS5" i="43" s="1"/>
  <c r="ON13" i="43"/>
  <c r="JH12" i="43"/>
  <c r="SL12" i="43"/>
  <c r="RD12" i="43"/>
  <c r="PV6" i="43"/>
  <c r="KI7" i="43"/>
  <c r="KP7" i="43" s="1"/>
  <c r="KI9" i="43"/>
  <c r="KP9" i="43" s="1"/>
  <c r="TM9" i="43"/>
  <c r="FC6" i="43"/>
  <c r="OG6" i="43"/>
  <c r="CO9" i="43"/>
  <c r="CS9" i="43" s="1"/>
  <c r="OG12" i="43"/>
  <c r="ON12" i="43" s="1"/>
  <c r="JA7" i="43"/>
  <c r="JA9" i="43"/>
  <c r="SE9" i="43"/>
  <c r="IC6" i="45"/>
  <c r="IJ6" i="45" s="1"/>
  <c r="RG6" i="45"/>
  <c r="RN6" i="45" s="1"/>
  <c r="CW13" i="45"/>
  <c r="DD13" i="45" s="1"/>
  <c r="MA13" i="45"/>
  <c r="MH13" i="45" s="1"/>
  <c r="VE13" i="45"/>
  <c r="VL13" i="45" s="1"/>
  <c r="EE5" i="45"/>
  <c r="EL5" i="45" s="1"/>
  <c r="NI5" i="45"/>
  <c r="NP5" i="45" s="1"/>
  <c r="J22" i="42"/>
  <c r="K22" i="42" s="1"/>
  <c r="KS4" i="45"/>
  <c r="KZ4" i="45" s="1"/>
  <c r="TW4" i="45"/>
  <c r="UD4" i="45" s="1"/>
  <c r="CW6" i="45"/>
  <c r="DD6" i="45" s="1"/>
  <c r="MA6" i="45"/>
  <c r="MH6" i="45" s="1"/>
  <c r="VE6" i="45"/>
  <c r="VL6" i="45" s="1"/>
  <c r="GU13" i="45"/>
  <c r="HB13" i="45" s="1"/>
  <c r="IC5" i="45"/>
  <c r="IJ5" i="45" s="1"/>
  <c r="RG5" i="45"/>
  <c r="RN5" i="45" s="1"/>
  <c r="DU7" i="43"/>
  <c r="EB7" i="43" s="1"/>
  <c r="WC7" i="43"/>
  <c r="WJ7" i="43" s="1"/>
  <c r="FC9" i="43"/>
  <c r="FJ9" i="43" s="1"/>
  <c r="OG9" i="43"/>
  <c r="ON9" i="43" s="1"/>
  <c r="KI13" i="43"/>
  <c r="JA10" i="43"/>
  <c r="SE10" i="43"/>
  <c r="PO8" i="43"/>
  <c r="PV8" i="43" s="1"/>
  <c r="LX13" i="43"/>
  <c r="KP10" i="43"/>
  <c r="ON6" i="43"/>
  <c r="OG8" i="43"/>
  <c r="ON8" i="43" s="1"/>
  <c r="EB13" i="43"/>
  <c r="WC8" i="43"/>
  <c r="WJ8" i="43" s="1"/>
  <c r="WJ13" i="43"/>
  <c r="DU10" i="43"/>
  <c r="EB10" i="43" s="1"/>
  <c r="ON7" i="43"/>
  <c r="TM4" i="43"/>
  <c r="TT4" i="43" s="1"/>
  <c r="LQ8" i="43"/>
  <c r="LX8" i="43" s="1"/>
  <c r="UU8" i="43"/>
  <c r="VB8" i="43" s="1"/>
  <c r="KP13" i="43"/>
  <c r="GK8" i="43"/>
  <c r="GR8" i="43" s="1"/>
  <c r="QW13" i="43"/>
  <c r="RD13" i="43" s="1"/>
  <c r="KP11" i="43"/>
  <c r="TT11" i="43"/>
  <c r="PV5" i="43"/>
  <c r="JA4" i="43"/>
  <c r="JH4" i="43" s="1"/>
  <c r="SE4" i="43"/>
  <c r="SL4" i="43" s="1"/>
  <c r="FC5" i="43"/>
  <c r="FJ5" i="43" s="1"/>
  <c r="OG5" i="43"/>
  <c r="ON5" i="43" s="1"/>
  <c r="L6" i="43"/>
  <c r="M6" i="43" s="1"/>
  <c r="KI6" i="43"/>
  <c r="KP6" i="43" s="1"/>
  <c r="TM6" i="43"/>
  <c r="TT6" i="43" s="1"/>
  <c r="KI8" i="43"/>
  <c r="KP8" i="43" s="1"/>
  <c r="TM8" i="43"/>
  <c r="TT8" i="43" s="1"/>
  <c r="GK11" i="43"/>
  <c r="GR11" i="43" s="1"/>
  <c r="PO11" i="43"/>
  <c r="PV11" i="43" s="1"/>
  <c r="OG10" i="43"/>
  <c r="ON10" i="43" s="1"/>
  <c r="LQ7" i="43"/>
  <c r="LX7" i="43" s="1"/>
  <c r="UU7" i="43"/>
  <c r="VB7" i="43" s="1"/>
  <c r="CO6" i="43"/>
  <c r="CS6" i="43" s="1"/>
  <c r="JA13" i="43"/>
  <c r="JH13" i="43" s="1"/>
  <c r="HS10" i="43"/>
  <c r="HZ10" i="43" s="1"/>
  <c r="QW10" i="43"/>
  <c r="RD10" i="43" s="1"/>
  <c r="PO13" i="43"/>
  <c r="PV13" i="43" s="1"/>
  <c r="FC10" i="43"/>
  <c r="FJ10" i="43" s="1"/>
  <c r="NF13" i="43"/>
  <c r="VB10" i="43"/>
  <c r="VB13" i="43"/>
  <c r="DU5" i="43"/>
  <c r="EB5" i="43" s="1"/>
  <c r="WC5" i="43"/>
  <c r="WJ5" i="43" s="1"/>
  <c r="JA6" i="43"/>
  <c r="JH6" i="43" s="1"/>
  <c r="SE6" i="43"/>
  <c r="SL6" i="43" s="1"/>
  <c r="JH8" i="43"/>
  <c r="SL8" i="43"/>
  <c r="KI12" i="43"/>
  <c r="KP12" i="43" s="1"/>
  <c r="TM12" i="43"/>
  <c r="TT12" i="43" s="1"/>
  <c r="L22" i="42"/>
  <c r="M22" i="42" s="1"/>
  <c r="GU7" i="45"/>
  <c r="HB7" i="45" s="1"/>
  <c r="PY7" i="45"/>
  <c r="QF7" i="45" s="1"/>
  <c r="IC10" i="45"/>
  <c r="IJ10" i="45" s="1"/>
  <c r="RG10" i="45"/>
  <c r="RN10" i="45" s="1"/>
  <c r="EE6" i="45"/>
  <c r="EL6" i="45" s="1"/>
  <c r="NI6" i="45"/>
  <c r="NP6" i="45" s="1"/>
  <c r="FM7" i="45"/>
  <c r="FT7" i="45" s="1"/>
  <c r="OQ7" i="45"/>
  <c r="OX7" i="45" s="1"/>
  <c r="JK5" i="45"/>
  <c r="JR5" i="45" s="1"/>
  <c r="SO5" i="45"/>
  <c r="SV5" i="45" s="1"/>
  <c r="KS7" i="45"/>
  <c r="KZ7" i="45" s="1"/>
  <c r="TW7" i="45"/>
  <c r="UD7" i="45" s="1"/>
  <c r="CW10" i="45"/>
  <c r="DD10" i="45" s="1"/>
  <c r="FM5" i="45"/>
  <c r="FT5" i="45" s="1"/>
  <c r="OQ5" i="45"/>
  <c r="OX5" i="45" s="1"/>
  <c r="BP7" i="45"/>
  <c r="BT7" i="45" s="1"/>
  <c r="FM4" i="45"/>
  <c r="FT4" i="45" s="1"/>
  <c r="OQ4" i="45"/>
  <c r="OX4" i="45" s="1"/>
  <c r="JK10" i="45"/>
  <c r="JR10" i="45" s="1"/>
  <c r="SO10" i="45"/>
  <c r="SV10" i="45" s="1"/>
  <c r="KS13" i="45"/>
  <c r="KZ13" i="45" s="1"/>
  <c r="TW13" i="45"/>
  <c r="UD13" i="45" s="1"/>
  <c r="PY13" i="45"/>
  <c r="QF13" i="45" s="1"/>
  <c r="L7" i="45"/>
  <c r="M7" i="45" s="1"/>
  <c r="J6" i="45"/>
  <c r="JK4" i="45"/>
  <c r="JR4" i="45" s="1"/>
  <c r="SO4" i="45"/>
  <c r="SV4" i="45" s="1"/>
  <c r="EE10" i="45"/>
  <c r="EL10" i="45" s="1"/>
  <c r="NI10" i="45"/>
  <c r="NP10" i="45" s="1"/>
  <c r="BP4" i="45"/>
  <c r="BT4" i="45" s="1"/>
  <c r="L10" i="45"/>
  <c r="N10" i="45" s="1"/>
  <c r="J5" i="45"/>
  <c r="J4" i="45"/>
  <c r="K4" i="45" s="1"/>
  <c r="L4" i="45"/>
  <c r="J10" i="45"/>
  <c r="L13" i="45"/>
  <c r="L6" i="45"/>
  <c r="J7" i="45"/>
  <c r="J13" i="45"/>
  <c r="L5" i="45"/>
  <c r="GU6" i="45"/>
  <c r="HB6" i="45" s="1"/>
  <c r="PY6" i="45"/>
  <c r="QF6" i="45" s="1"/>
  <c r="MA10" i="45"/>
  <c r="MH10" i="45" s="1"/>
  <c r="VE10" i="45"/>
  <c r="VL10" i="45" s="1"/>
  <c r="EE4" i="45"/>
  <c r="EL4" i="45" s="1"/>
  <c r="NI4" i="45"/>
  <c r="NP4" i="45" s="1"/>
  <c r="JK7" i="45"/>
  <c r="JR7" i="45" s="1"/>
  <c r="SO7" i="45"/>
  <c r="SV7" i="45" s="1"/>
  <c r="BP13" i="45"/>
  <c r="BT13" i="45" s="1"/>
  <c r="FM13" i="45"/>
  <c r="FT13" i="45" s="1"/>
  <c r="OQ13" i="45"/>
  <c r="OX13" i="45" s="1"/>
  <c r="KS6" i="45"/>
  <c r="KZ6" i="45" s="1"/>
  <c r="TW6" i="45"/>
  <c r="UD6" i="45" s="1"/>
  <c r="GU10" i="45"/>
  <c r="HB10" i="45" s="1"/>
  <c r="PY10" i="45"/>
  <c r="QF10" i="45" s="1"/>
  <c r="CW5" i="45"/>
  <c r="DD5" i="45" s="1"/>
  <c r="MA5" i="45"/>
  <c r="MH5" i="45" s="1"/>
  <c r="VE5" i="45"/>
  <c r="VL5" i="45" s="1"/>
  <c r="CW4" i="45"/>
  <c r="DD4" i="45" s="1"/>
  <c r="MA4" i="45"/>
  <c r="MH4" i="45" s="1"/>
  <c r="VE4" i="45"/>
  <c r="VL4" i="45" s="1"/>
  <c r="IC7" i="45"/>
  <c r="IJ7" i="45" s="1"/>
  <c r="RG7" i="45"/>
  <c r="RN7" i="45" s="1"/>
  <c r="EE13" i="45"/>
  <c r="EL13" i="45" s="1"/>
  <c r="NI13" i="45"/>
  <c r="NP13" i="45" s="1"/>
  <c r="JK6" i="45"/>
  <c r="JR6" i="45" s="1"/>
  <c r="SO6" i="45"/>
  <c r="SV6" i="45" s="1"/>
  <c r="BP10" i="45"/>
  <c r="BT10" i="45" s="1"/>
  <c r="FM10" i="45"/>
  <c r="FT10" i="45" s="1"/>
  <c r="OQ10" i="45"/>
  <c r="OX10" i="45" s="1"/>
  <c r="KS5" i="45"/>
  <c r="KZ5" i="45" s="1"/>
  <c r="TW5" i="45"/>
  <c r="UD5" i="45" s="1"/>
  <c r="IC4" i="45"/>
  <c r="IJ4" i="45" s="1"/>
  <c r="RG4" i="45"/>
  <c r="RN4" i="45" s="1"/>
  <c r="EE7" i="45"/>
  <c r="EL7" i="45" s="1"/>
  <c r="NI7" i="45"/>
  <c r="NP7" i="45" s="1"/>
  <c r="JK13" i="45"/>
  <c r="JR13" i="45" s="1"/>
  <c r="SO13" i="45"/>
  <c r="SV13" i="45" s="1"/>
  <c r="FM6" i="45"/>
  <c r="FT6" i="45" s="1"/>
  <c r="OQ6" i="45"/>
  <c r="OX6" i="45" s="1"/>
  <c r="KS10" i="45"/>
  <c r="KZ10" i="45" s="1"/>
  <c r="TW10" i="45"/>
  <c r="UD10" i="45" s="1"/>
  <c r="GU5" i="45"/>
  <c r="HB5" i="45" s="1"/>
  <c r="PY5" i="45"/>
  <c r="QF5" i="45" s="1"/>
  <c r="GU4" i="45"/>
  <c r="HB4" i="45" s="1"/>
  <c r="PY4" i="45"/>
  <c r="QF4" i="45" s="1"/>
  <c r="CW7" i="45"/>
  <c r="DD7" i="45" s="1"/>
  <c r="MA7" i="45"/>
  <c r="MH7" i="45" s="1"/>
  <c r="VE7" i="45"/>
  <c r="VL7" i="45" s="1"/>
  <c r="IC13" i="45"/>
  <c r="IJ13" i="45" s="1"/>
  <c r="RG13" i="45"/>
  <c r="RN13" i="45" s="1"/>
  <c r="BT5" i="45"/>
  <c r="BT6" i="45"/>
  <c r="MY5" i="43"/>
  <c r="NF5" i="43" s="1"/>
  <c r="MY6" i="43"/>
  <c r="NF6" i="43" s="1"/>
  <c r="MY8" i="43"/>
  <c r="NF8" i="43" s="1"/>
  <c r="MY12" i="43"/>
  <c r="NF12" i="43" s="1"/>
  <c r="LQ5" i="43"/>
  <c r="KI4" i="43"/>
  <c r="KP4" i="43" s="1"/>
  <c r="HS8" i="43"/>
  <c r="HZ8" i="43" s="1"/>
  <c r="HZ12" i="43"/>
  <c r="HS11" i="43"/>
  <c r="HZ11" i="43" s="1"/>
  <c r="GK10" i="43"/>
  <c r="GR10" i="43" s="1"/>
  <c r="GR13" i="43"/>
  <c r="GR6" i="43"/>
  <c r="GK9" i="43"/>
  <c r="GR9" i="43" s="1"/>
  <c r="GK5" i="43"/>
  <c r="GR5" i="43" s="1"/>
  <c r="FC8" i="43"/>
  <c r="FJ8" i="43" s="1"/>
  <c r="FJ13" i="43"/>
  <c r="FC12" i="43"/>
  <c r="FJ12" i="43" s="1"/>
  <c r="FJ6" i="43"/>
  <c r="FC7" i="43"/>
  <c r="FJ7" i="43" s="1"/>
  <c r="CS10" i="43"/>
  <c r="G12" i="43"/>
  <c r="CO7" i="43"/>
  <c r="CS7" i="43" s="1"/>
  <c r="CS11" i="43"/>
  <c r="CO4" i="43"/>
  <c r="CS4" i="43" s="1"/>
  <c r="L10" i="43"/>
  <c r="M10" i="43" s="1"/>
  <c r="F4" i="43"/>
  <c r="HS4" i="43"/>
  <c r="HZ4" i="43" s="1"/>
  <c r="QW4" i="43"/>
  <c r="RD4" i="43" s="1"/>
  <c r="F5" i="43"/>
  <c r="CO12" i="43"/>
  <c r="CS12" i="43" s="1"/>
  <c r="J10" i="43"/>
  <c r="K10" i="43" s="1"/>
  <c r="JH10" i="43"/>
  <c r="TT10" i="43"/>
  <c r="SL11" i="43"/>
  <c r="RD11" i="43"/>
  <c r="L11" i="43"/>
  <c r="M11" i="43" s="1"/>
  <c r="GK4" i="43"/>
  <c r="GR4" i="43" s="1"/>
  <c r="J5" i="43"/>
  <c r="K5" i="43" s="1"/>
  <c r="LX5" i="43"/>
  <c r="F9" i="43"/>
  <c r="JH7" i="43"/>
  <c r="MY4" i="43"/>
  <c r="NF4" i="43" s="1"/>
  <c r="CO8" i="43"/>
  <c r="CS8" i="43" s="1"/>
  <c r="JA5" i="43"/>
  <c r="JH5" i="43" s="1"/>
  <c r="SE5" i="43"/>
  <c r="SL5" i="43" s="1"/>
  <c r="HS7" i="43"/>
  <c r="HZ7" i="43" s="1"/>
  <c r="QW7" i="43"/>
  <c r="RD7" i="43" s="1"/>
  <c r="FC11" i="43"/>
  <c r="FJ11" i="43" s="1"/>
  <c r="OG11" i="43"/>
  <c r="ON11" i="43" s="1"/>
  <c r="F6" i="43"/>
  <c r="DU4" i="43"/>
  <c r="TM7" i="43"/>
  <c r="TT7" i="43" s="1"/>
  <c r="LQ4" i="43"/>
  <c r="LX4" i="43" s="1"/>
  <c r="UU4" i="43"/>
  <c r="VB4" i="43" s="1"/>
  <c r="HS6" i="43"/>
  <c r="HZ6" i="43" s="1"/>
  <c r="QW6" i="43"/>
  <c r="RD6" i="43" s="1"/>
  <c r="DU9" i="43"/>
  <c r="EB9" i="43" s="1"/>
  <c r="MY9" i="43"/>
  <c r="NF9" i="43" s="1"/>
  <c r="WC9" i="43"/>
  <c r="WJ9" i="43" s="1"/>
  <c r="LQ12" i="43"/>
  <c r="LX12" i="43" s="1"/>
  <c r="UU12" i="43"/>
  <c r="VB12" i="43" s="1"/>
  <c r="J13" i="43"/>
  <c r="K13" i="43" s="1"/>
  <c r="PO10" i="43"/>
  <c r="PV10" i="43" s="1"/>
  <c r="L4" i="43"/>
  <c r="M4" i="43" s="1"/>
  <c r="JH11" i="43"/>
  <c r="PO4" i="43"/>
  <c r="PV4" i="43" s="1"/>
  <c r="MY7" i="43"/>
  <c r="NF7" i="43" s="1"/>
  <c r="LX6" i="43"/>
  <c r="VB6" i="43"/>
  <c r="HZ9" i="43"/>
  <c r="RD9" i="43"/>
  <c r="GR12" i="43"/>
  <c r="VB5" i="43"/>
  <c r="FC4" i="43"/>
  <c r="FJ4" i="43" s="1"/>
  <c r="OG4" i="43"/>
  <c r="ON4" i="43" s="1"/>
  <c r="PV9" i="43"/>
  <c r="SL10" i="43"/>
  <c r="KP5" i="43"/>
  <c r="TT5" i="43"/>
  <c r="WC4" i="43"/>
  <c r="WJ4" i="43" s="1"/>
  <c r="HS5" i="43"/>
  <c r="HZ5" i="43" s="1"/>
  <c r="QW5" i="43"/>
  <c r="RD5" i="43" s="1"/>
  <c r="GK7" i="43"/>
  <c r="GR7" i="43" s="1"/>
  <c r="PO7" i="43"/>
  <c r="PV7" i="43" s="1"/>
  <c r="G6" i="43"/>
  <c r="DU11" i="43"/>
  <c r="EB11" i="43" s="1"/>
  <c r="MY11" i="43"/>
  <c r="NF11" i="43" s="1"/>
  <c r="WC11" i="43"/>
  <c r="WJ11" i="43" s="1"/>
  <c r="CO13" i="43"/>
  <c r="CS13" i="43" s="1"/>
  <c r="EB12" i="43"/>
  <c r="EB8" i="43"/>
  <c r="F7" i="43"/>
  <c r="L9" i="43"/>
  <c r="M9" i="43" s="1"/>
  <c r="G9" i="43"/>
  <c r="J7" i="43"/>
  <c r="J8" i="43"/>
  <c r="F10" i="43"/>
  <c r="F11" i="43"/>
  <c r="L7" i="43"/>
  <c r="M7" i="43" s="1"/>
  <c r="G10" i="43"/>
  <c r="G7" i="43"/>
  <c r="G4" i="43"/>
  <c r="F8" i="43"/>
  <c r="G11" i="43"/>
  <c r="L5" i="43"/>
  <c r="M5" i="43" s="1"/>
  <c r="G8" i="43"/>
  <c r="LX9" i="43"/>
  <c r="VB9" i="43"/>
  <c r="J11" i="43"/>
  <c r="J9" i="43"/>
  <c r="TT9" i="43"/>
  <c r="F12" i="43"/>
  <c r="J6" i="43"/>
  <c r="L8" i="43"/>
  <c r="M8" i="43" s="1"/>
  <c r="L13" i="43"/>
  <c r="M13" i="43" s="1"/>
  <c r="G13" i="43"/>
  <c r="J4" i="43"/>
  <c r="G5" i="43"/>
  <c r="SE7" i="43"/>
  <c r="SL7" i="43" s="1"/>
  <c r="JH9" i="43"/>
  <c r="SL9" i="43"/>
  <c r="LX10" i="43"/>
  <c r="L12" i="43"/>
  <c r="M12" i="43" s="1"/>
  <c r="F13" i="43"/>
  <c r="J12" i="43"/>
  <c r="WC22" i="42"/>
  <c r="WJ22" i="42" s="1"/>
  <c r="UU22" i="42"/>
  <c r="VB22" i="42" s="1"/>
  <c r="SE22" i="42"/>
  <c r="SL22" i="42" s="1"/>
  <c r="JA22" i="42"/>
  <c r="JH22" i="42" s="1"/>
  <c r="PO22" i="42"/>
  <c r="PV22" i="42" s="1"/>
  <c r="GK22" i="42"/>
  <c r="GR22" i="42" s="1"/>
  <c r="OG22" i="42"/>
  <c r="ON22" i="42" s="1"/>
  <c r="QW22" i="42"/>
  <c r="RD22" i="42" s="1"/>
  <c r="HS22" i="42"/>
  <c r="HZ22" i="42" s="1"/>
  <c r="FC22" i="42"/>
  <c r="FJ22" i="42" s="1"/>
  <c r="TM22" i="42"/>
  <c r="TT22" i="42" s="1"/>
  <c r="KI22" i="42"/>
  <c r="KP22" i="42" s="1"/>
  <c r="LQ22" i="42"/>
  <c r="LX22" i="42" s="1"/>
  <c r="MY22" i="42"/>
  <c r="NF22" i="42" s="1"/>
  <c r="CO22" i="42"/>
  <c r="CS22" i="42" s="1"/>
  <c r="DU22" i="42"/>
  <c r="EB22" i="42" s="1"/>
  <c r="G22" i="42"/>
  <c r="F22" i="42"/>
  <c r="BV10" i="45" l="1"/>
  <c r="CT22" i="42"/>
  <c r="N22" i="42" s="1"/>
  <c r="P22" i="42" s="1"/>
  <c r="H22" i="42"/>
  <c r="A22" i="42" s="1" a="1"/>
  <c r="A22" i="42" s="1"/>
  <c r="G7" i="45"/>
  <c r="F7" i="45"/>
  <c r="F6" i="45"/>
  <c r="G6" i="45"/>
  <c r="F4" i="45"/>
  <c r="G4" i="45"/>
  <c r="G10" i="45"/>
  <c r="F10" i="45"/>
  <c r="G13" i="45"/>
  <c r="F13" i="45"/>
  <c r="F5" i="45"/>
  <c r="G5" i="45"/>
  <c r="N7" i="45"/>
  <c r="BV7" i="45" s="1"/>
  <c r="BU4" i="45"/>
  <c r="K13" i="45"/>
  <c r="BU13" i="45"/>
  <c r="O7" i="45"/>
  <c r="K7" i="45"/>
  <c r="BU7" i="45"/>
  <c r="K10" i="45"/>
  <c r="BU10" i="45"/>
  <c r="K5" i="45"/>
  <c r="BU5" i="45"/>
  <c r="O10" i="45"/>
  <c r="M10" i="45"/>
  <c r="K6" i="45"/>
  <c r="BU6" i="45"/>
  <c r="M13" i="45"/>
  <c r="O13" i="45"/>
  <c r="N13" i="45"/>
  <c r="BV13" i="45" s="1"/>
  <c r="O4" i="45"/>
  <c r="M4" i="45"/>
  <c r="N4" i="45"/>
  <c r="BV4" i="45" s="1"/>
  <c r="M5" i="45"/>
  <c r="O5" i="45"/>
  <c r="N5" i="45"/>
  <c r="BV5" i="45" s="1"/>
  <c r="O6" i="45"/>
  <c r="N6" i="45"/>
  <c r="BV6" i="45" s="1"/>
  <c r="M6" i="45"/>
  <c r="H12" i="43"/>
  <c r="A12" i="43" s="1" a="1"/>
  <c r="A12" i="43" s="1"/>
  <c r="CT6" i="43"/>
  <c r="N6" i="43" s="1"/>
  <c r="E6" i="43" s="1"/>
  <c r="H6" i="43"/>
  <c r="CT4" i="43"/>
  <c r="N4" i="43" s="1"/>
  <c r="E4" i="43" s="1"/>
  <c r="EB4" i="43"/>
  <c r="H9" i="43"/>
  <c r="A9" i="43" s="1" a="1"/>
  <c r="A9" i="43" s="1"/>
  <c r="CT10" i="43"/>
  <c r="N10" i="43" s="1"/>
  <c r="E10" i="43" s="1"/>
  <c r="CT9" i="43"/>
  <c r="N9" i="43" s="1"/>
  <c r="E9" i="43" s="1"/>
  <c r="CT11" i="43"/>
  <c r="N11" i="43" s="1"/>
  <c r="P11" i="43" s="1"/>
  <c r="H11" i="43"/>
  <c r="A11" i="43" s="1" a="1"/>
  <c r="A11" i="43" s="1"/>
  <c r="CT7" i="43"/>
  <c r="N7" i="43" s="1"/>
  <c r="E7" i="43" s="1"/>
  <c r="K12" i="43"/>
  <c r="K8" i="43"/>
  <c r="K7" i="43"/>
  <c r="K4" i="43"/>
  <c r="CT8" i="43"/>
  <c r="N8" i="43" s="1"/>
  <c r="K9" i="43"/>
  <c r="K11" i="43"/>
  <c r="H7" i="43"/>
  <c r="CT5" i="43"/>
  <c r="N5" i="43" s="1"/>
  <c r="E5" i="43" s="1"/>
  <c r="H8" i="43"/>
  <c r="P10" i="43"/>
  <c r="K6" i="43"/>
  <c r="CT13" i="43"/>
  <c r="N13" i="43" s="1"/>
  <c r="E13" i="43" s="1"/>
  <c r="H13" i="43"/>
  <c r="A13" i="43" s="1" a="1"/>
  <c r="A13" i="43" s="1"/>
  <c r="H10" i="43"/>
  <c r="CT12" i="43"/>
  <c r="N12" i="43" s="1"/>
  <c r="E12" i="43" s="1"/>
  <c r="O10" i="43" l="1"/>
  <c r="E22" i="42"/>
  <c r="H6" i="45"/>
  <c r="O6" i="43"/>
  <c r="P6" i="43"/>
  <c r="H4" i="45"/>
  <c r="H5" i="45"/>
  <c r="H10" i="45"/>
  <c r="P6" i="45"/>
  <c r="R6" i="45" s="1"/>
  <c r="H7" i="45"/>
  <c r="H13" i="45"/>
  <c r="P13" i="45"/>
  <c r="P5" i="45"/>
  <c r="Q6" i="45"/>
  <c r="P7" i="45"/>
  <c r="R7" i="45" s="1"/>
  <c r="P4" i="45"/>
  <c r="P10" i="45"/>
  <c r="R10" i="45" s="1"/>
  <c r="O11" i="43"/>
  <c r="O4" i="43"/>
  <c r="P4" i="43"/>
  <c r="P9" i="43"/>
  <c r="O9" i="43"/>
  <c r="E11" i="43"/>
  <c r="P8" i="43"/>
  <c r="O8" i="43"/>
  <c r="A8" i="43" a="1"/>
  <c r="A8" i="43" s="1"/>
  <c r="P13" i="43"/>
  <c r="O13" i="43"/>
  <c r="P12" i="43"/>
  <c r="O12" i="43"/>
  <c r="P5" i="43"/>
  <c r="O5" i="43"/>
  <c r="P7" i="43"/>
  <c r="O7" i="43"/>
  <c r="E8" i="43"/>
  <c r="A10" i="43" s="1" a="1"/>
  <c r="A10" i="43" s="1"/>
  <c r="O22" i="42"/>
  <c r="E6" i="45" l="1"/>
  <c r="E13" i="45"/>
  <c r="R13" i="45"/>
  <c r="E5" i="45"/>
  <c r="R5" i="45"/>
  <c r="R4" i="45"/>
  <c r="Q4" i="45"/>
  <c r="Q13" i="45"/>
  <c r="Q5" i="45"/>
  <c r="Q10" i="45"/>
  <c r="E10" i="45"/>
  <c r="Q7" i="45"/>
  <c r="E7" i="45"/>
  <c r="A7" i="45" s="1" a="1"/>
  <c r="A7" i="45" s="1"/>
  <c r="E4" i="45"/>
  <c r="WI27" i="42"/>
  <c r="WH27" i="42"/>
  <c r="WG27" i="42"/>
  <c r="WF27" i="42"/>
  <c r="WE27" i="42"/>
  <c r="WD27" i="42"/>
  <c r="WB27" i="42"/>
  <c r="WA27" i="42"/>
  <c r="VZ27" i="42"/>
  <c r="VY27" i="42"/>
  <c r="WC27" i="42" s="1"/>
  <c r="VX27" i="42"/>
  <c r="VW27" i="42"/>
  <c r="VA27" i="42"/>
  <c r="UZ27" i="42"/>
  <c r="UY27" i="42"/>
  <c r="UX27" i="42"/>
  <c r="UW27" i="42"/>
  <c r="UV27" i="42"/>
  <c r="UT27" i="42"/>
  <c r="US27" i="42"/>
  <c r="UR27" i="42"/>
  <c r="UQ27" i="42"/>
  <c r="UP27" i="42"/>
  <c r="UO27" i="42"/>
  <c r="TS27" i="42"/>
  <c r="TR27" i="42"/>
  <c r="TQ27" i="42"/>
  <c r="TP27" i="42"/>
  <c r="TO27" i="42"/>
  <c r="TN27" i="42"/>
  <c r="TL27" i="42"/>
  <c r="TK27" i="42"/>
  <c r="TJ27" i="42"/>
  <c r="TI27" i="42"/>
  <c r="TH27" i="42"/>
  <c r="TG27" i="42"/>
  <c r="SK27" i="42"/>
  <c r="SJ27" i="42"/>
  <c r="SI27" i="42"/>
  <c r="SH27" i="42"/>
  <c r="SG27" i="42"/>
  <c r="SF27" i="42"/>
  <c r="SD27" i="42"/>
  <c r="SC27" i="42"/>
  <c r="SB27" i="42"/>
  <c r="SA27" i="42"/>
  <c r="RZ27" i="42"/>
  <c r="RY27" i="42"/>
  <c r="RC27" i="42"/>
  <c r="RB27" i="42"/>
  <c r="RA27" i="42"/>
  <c r="QZ27" i="42"/>
  <c r="QY27" i="42"/>
  <c r="QX27" i="42"/>
  <c r="QV27" i="42"/>
  <c r="QU27" i="42"/>
  <c r="QT27" i="42"/>
  <c r="QS27" i="42"/>
  <c r="QR27" i="42"/>
  <c r="QQ27" i="42"/>
  <c r="PU27" i="42"/>
  <c r="PT27" i="42"/>
  <c r="PS27" i="42"/>
  <c r="PR27" i="42"/>
  <c r="PQ27" i="42"/>
  <c r="PP27" i="42"/>
  <c r="PN27" i="42"/>
  <c r="PM27" i="42"/>
  <c r="PL27" i="42"/>
  <c r="PK27" i="42"/>
  <c r="PJ27" i="42"/>
  <c r="PI27" i="42"/>
  <c r="OM27" i="42"/>
  <c r="OL27" i="42"/>
  <c r="OK27" i="42"/>
  <c r="OJ27" i="42"/>
  <c r="OI27" i="42"/>
  <c r="OH27" i="42"/>
  <c r="OF27" i="42"/>
  <c r="OE27" i="42"/>
  <c r="OD27" i="42"/>
  <c r="OC27" i="42"/>
  <c r="OB27" i="42"/>
  <c r="OA27" i="42"/>
  <c r="NE27" i="42"/>
  <c r="ND27" i="42"/>
  <c r="NC27" i="42"/>
  <c r="NB27" i="42"/>
  <c r="NA27" i="42"/>
  <c r="MZ27" i="42"/>
  <c r="MX27" i="42"/>
  <c r="MW27" i="42"/>
  <c r="MV27" i="42"/>
  <c r="MU27" i="42"/>
  <c r="MY27" i="42" s="1"/>
  <c r="MT27" i="42"/>
  <c r="MS27" i="42"/>
  <c r="LW27" i="42"/>
  <c r="LV27" i="42"/>
  <c r="LU27" i="42"/>
  <c r="LT27" i="42"/>
  <c r="LS27" i="42"/>
  <c r="LR27" i="42"/>
  <c r="LP27" i="42"/>
  <c r="LO27" i="42"/>
  <c r="LN27" i="42"/>
  <c r="LM27" i="42"/>
  <c r="LL27" i="42"/>
  <c r="LK27" i="42"/>
  <c r="KO27" i="42"/>
  <c r="KN27" i="42"/>
  <c r="KM27" i="42"/>
  <c r="KL27" i="42"/>
  <c r="KK27" i="42"/>
  <c r="KJ27" i="42"/>
  <c r="KH27" i="42"/>
  <c r="KG27" i="42"/>
  <c r="KF27" i="42"/>
  <c r="KE27" i="42"/>
  <c r="KD27" i="42"/>
  <c r="KC27" i="42"/>
  <c r="JG27" i="42"/>
  <c r="JF27" i="42"/>
  <c r="JE27" i="42"/>
  <c r="JD27" i="42"/>
  <c r="JC27" i="42"/>
  <c r="JB27" i="42"/>
  <c r="IZ27" i="42"/>
  <c r="IY27" i="42"/>
  <c r="IX27" i="42"/>
  <c r="IW27" i="42"/>
  <c r="IV27" i="42"/>
  <c r="IU27" i="42"/>
  <c r="HY27" i="42"/>
  <c r="HX27" i="42"/>
  <c r="HW27" i="42"/>
  <c r="HV27" i="42"/>
  <c r="HU27" i="42"/>
  <c r="HT27" i="42"/>
  <c r="HR27" i="42"/>
  <c r="HQ27" i="42"/>
  <c r="HP27" i="42"/>
  <c r="HO27" i="42"/>
  <c r="HN27" i="42"/>
  <c r="HM27" i="42"/>
  <c r="GQ27" i="42"/>
  <c r="GP27" i="42"/>
  <c r="GO27" i="42"/>
  <c r="GN27" i="42"/>
  <c r="GM27" i="42"/>
  <c r="GL27" i="42"/>
  <c r="GJ27" i="42"/>
  <c r="GI27" i="42"/>
  <c r="GH27" i="42"/>
  <c r="GG27" i="42"/>
  <c r="GF27" i="42"/>
  <c r="GE27" i="42"/>
  <c r="FI27" i="42"/>
  <c r="FH27" i="42"/>
  <c r="FG27" i="42"/>
  <c r="FF27" i="42"/>
  <c r="FE27" i="42"/>
  <c r="FD27" i="42"/>
  <c r="FB27" i="42"/>
  <c r="FA27" i="42"/>
  <c r="EZ27" i="42"/>
  <c r="EY27" i="42"/>
  <c r="EX27" i="42"/>
  <c r="EW27" i="42"/>
  <c r="EA27" i="42"/>
  <c r="DZ27" i="42"/>
  <c r="DY27" i="42"/>
  <c r="DX27" i="42"/>
  <c r="DW27" i="42"/>
  <c r="DV27" i="42"/>
  <c r="DT27" i="42"/>
  <c r="DS27" i="42"/>
  <c r="DR27" i="42"/>
  <c r="DQ27" i="42"/>
  <c r="DU27" i="42" s="1"/>
  <c r="DP27" i="42"/>
  <c r="DO27" i="42"/>
  <c r="CR27" i="42"/>
  <c r="CQ27" i="42"/>
  <c r="CP27" i="42"/>
  <c r="CN27" i="42"/>
  <c r="CM27" i="42"/>
  <c r="CL27" i="42"/>
  <c r="CK27" i="42"/>
  <c r="CO27" i="42" s="1"/>
  <c r="CJ27" i="42"/>
  <c r="CI27" i="42"/>
  <c r="WI20" i="42"/>
  <c r="WH20" i="42"/>
  <c r="WG20" i="42"/>
  <c r="WF20" i="42"/>
  <c r="WE20" i="42"/>
  <c r="WD20" i="42"/>
  <c r="WB20" i="42"/>
  <c r="WA20" i="42"/>
  <c r="VZ20" i="42"/>
  <c r="VY20" i="42"/>
  <c r="VX20" i="42"/>
  <c r="VW20" i="42"/>
  <c r="VA20" i="42"/>
  <c r="UZ20" i="42"/>
  <c r="UY20" i="42"/>
  <c r="UX20" i="42"/>
  <c r="UW20" i="42"/>
  <c r="UV20" i="42"/>
  <c r="UT20" i="42"/>
  <c r="US20" i="42"/>
  <c r="UR20" i="42"/>
  <c r="UQ20" i="42"/>
  <c r="UP20" i="42"/>
  <c r="UO20" i="42"/>
  <c r="TS20" i="42"/>
  <c r="TR20" i="42"/>
  <c r="TQ20" i="42"/>
  <c r="TP20" i="42"/>
  <c r="TO20" i="42"/>
  <c r="TN20" i="42"/>
  <c r="TL20" i="42"/>
  <c r="TK20" i="42"/>
  <c r="TJ20" i="42"/>
  <c r="TI20" i="42"/>
  <c r="TH20" i="42"/>
  <c r="TG20" i="42"/>
  <c r="SK20" i="42"/>
  <c r="SJ20" i="42"/>
  <c r="SI20" i="42"/>
  <c r="SH20" i="42"/>
  <c r="SG20" i="42"/>
  <c r="SF20" i="42"/>
  <c r="SD20" i="42"/>
  <c r="SC20" i="42"/>
  <c r="SB20" i="42"/>
  <c r="SA20" i="42"/>
  <c r="RZ20" i="42"/>
  <c r="RY20" i="42"/>
  <c r="RC20" i="42"/>
  <c r="RB20" i="42"/>
  <c r="RA20" i="42"/>
  <c r="QZ20" i="42"/>
  <c r="QY20" i="42"/>
  <c r="QX20" i="42"/>
  <c r="QV20" i="42"/>
  <c r="QU20" i="42"/>
  <c r="QT20" i="42"/>
  <c r="QS20" i="42"/>
  <c r="QR20" i="42"/>
  <c r="QQ20" i="42"/>
  <c r="PU20" i="42"/>
  <c r="PT20" i="42"/>
  <c r="PS20" i="42"/>
  <c r="PR20" i="42"/>
  <c r="PQ20" i="42"/>
  <c r="PP20" i="42"/>
  <c r="PN20" i="42"/>
  <c r="PM20" i="42"/>
  <c r="PL20" i="42"/>
  <c r="PK20" i="42"/>
  <c r="PJ20" i="42"/>
  <c r="PI20" i="42"/>
  <c r="OM20" i="42"/>
  <c r="OL20" i="42"/>
  <c r="OK20" i="42"/>
  <c r="OJ20" i="42"/>
  <c r="OI20" i="42"/>
  <c r="OH20" i="42"/>
  <c r="OF20" i="42"/>
  <c r="OE20" i="42"/>
  <c r="OD20" i="42"/>
  <c r="OC20" i="42"/>
  <c r="OG20" i="42" s="1"/>
  <c r="OB20" i="42"/>
  <c r="OA20" i="42"/>
  <c r="NE20" i="42"/>
  <c r="ND20" i="42"/>
  <c r="NC20" i="42"/>
  <c r="NB20" i="42"/>
  <c r="NA20" i="42"/>
  <c r="MZ20" i="42"/>
  <c r="MX20" i="42"/>
  <c r="MW20" i="42"/>
  <c r="MV20" i="42"/>
  <c r="MU20" i="42"/>
  <c r="MT20" i="42"/>
  <c r="MS20" i="42"/>
  <c r="LW20" i="42"/>
  <c r="LV20" i="42"/>
  <c r="LU20" i="42"/>
  <c r="LT20" i="42"/>
  <c r="LS20" i="42"/>
  <c r="LR20" i="42"/>
  <c r="LP20" i="42"/>
  <c r="LO20" i="42"/>
  <c r="LN20" i="42"/>
  <c r="LM20" i="42"/>
  <c r="LL20" i="42"/>
  <c r="LK20" i="42"/>
  <c r="KO20" i="42"/>
  <c r="KN20" i="42"/>
  <c r="KM20" i="42"/>
  <c r="KL20" i="42"/>
  <c r="KK20" i="42"/>
  <c r="KJ20" i="42"/>
  <c r="KH20" i="42"/>
  <c r="KG20" i="42"/>
  <c r="KF20" i="42"/>
  <c r="KE20" i="42"/>
  <c r="KD20" i="42"/>
  <c r="KC20" i="42"/>
  <c r="JG20" i="42"/>
  <c r="JF20" i="42"/>
  <c r="JE20" i="42"/>
  <c r="JD20" i="42"/>
  <c r="JC20" i="42"/>
  <c r="JB20" i="42"/>
  <c r="IZ20" i="42"/>
  <c r="IY20" i="42"/>
  <c r="IX20" i="42"/>
  <c r="IW20" i="42"/>
  <c r="IV20" i="42"/>
  <c r="IU20" i="42"/>
  <c r="HY20" i="42"/>
  <c r="HX20" i="42"/>
  <c r="HW20" i="42"/>
  <c r="HV20" i="42"/>
  <c r="HU20" i="42"/>
  <c r="HT20" i="42"/>
  <c r="HR20" i="42"/>
  <c r="HQ20" i="42"/>
  <c r="HP20" i="42"/>
  <c r="HO20" i="42"/>
  <c r="HN20" i="42"/>
  <c r="HM20" i="42"/>
  <c r="GQ20" i="42"/>
  <c r="GP20" i="42"/>
  <c r="GO20" i="42"/>
  <c r="GN20" i="42"/>
  <c r="GM20" i="42"/>
  <c r="GL20" i="42"/>
  <c r="GJ20" i="42"/>
  <c r="GI20" i="42"/>
  <c r="GH20" i="42"/>
  <c r="GG20" i="42"/>
  <c r="GK20" i="42" s="1"/>
  <c r="GF20" i="42"/>
  <c r="GE20" i="42"/>
  <c r="FI20" i="42"/>
  <c r="FH20" i="42"/>
  <c r="FG20" i="42"/>
  <c r="FF20" i="42"/>
  <c r="FE20" i="42"/>
  <c r="FD20" i="42"/>
  <c r="FB20" i="42"/>
  <c r="FA20" i="42"/>
  <c r="EZ20" i="42"/>
  <c r="EY20" i="42"/>
  <c r="EX20" i="42"/>
  <c r="EW20" i="42"/>
  <c r="EA20" i="42"/>
  <c r="DZ20" i="42"/>
  <c r="DY20" i="42"/>
  <c r="DX20" i="42"/>
  <c r="DW20" i="42"/>
  <c r="DV20" i="42"/>
  <c r="DT20" i="42"/>
  <c r="DS20" i="42"/>
  <c r="DR20" i="42"/>
  <c r="DQ20" i="42"/>
  <c r="DP20" i="42"/>
  <c r="DO20" i="42"/>
  <c r="CR20" i="42"/>
  <c r="CQ20" i="42"/>
  <c r="CP20" i="42"/>
  <c r="CN20" i="42"/>
  <c r="CM20" i="42"/>
  <c r="CL20" i="42"/>
  <c r="CK20" i="42"/>
  <c r="CO20" i="42" s="1"/>
  <c r="CJ20" i="42"/>
  <c r="CI20" i="42"/>
  <c r="WI26" i="42"/>
  <c r="WH26" i="42"/>
  <c r="WG26" i="42"/>
  <c r="WF26" i="42"/>
  <c r="WE26" i="42"/>
  <c r="WD26" i="42"/>
  <c r="WB26" i="42"/>
  <c r="WA26" i="42"/>
  <c r="VZ26" i="42"/>
  <c r="VY26" i="42"/>
  <c r="VX26" i="42"/>
  <c r="VW26" i="42"/>
  <c r="VA26" i="42"/>
  <c r="UZ26" i="42"/>
  <c r="UY26" i="42"/>
  <c r="UX26" i="42"/>
  <c r="UW26" i="42"/>
  <c r="UV26" i="42"/>
  <c r="UT26" i="42"/>
  <c r="US26" i="42"/>
  <c r="UR26" i="42"/>
  <c r="UQ26" i="42"/>
  <c r="UP26" i="42"/>
  <c r="UO26" i="42"/>
  <c r="TS26" i="42"/>
  <c r="TR26" i="42"/>
  <c r="TQ26" i="42"/>
  <c r="TP26" i="42"/>
  <c r="TO26" i="42"/>
  <c r="TN26" i="42"/>
  <c r="TL26" i="42"/>
  <c r="TK26" i="42"/>
  <c r="TJ26" i="42"/>
  <c r="TI26" i="42"/>
  <c r="TH26" i="42"/>
  <c r="TG26" i="42"/>
  <c r="SK26" i="42"/>
  <c r="SJ26" i="42"/>
  <c r="SI26" i="42"/>
  <c r="SH26" i="42"/>
  <c r="SG26" i="42"/>
  <c r="SF26" i="42"/>
  <c r="SD26" i="42"/>
  <c r="SC26" i="42"/>
  <c r="SB26" i="42"/>
  <c r="SA26" i="42"/>
  <c r="RZ26" i="42"/>
  <c r="RY26" i="42"/>
  <c r="RC26" i="42"/>
  <c r="RB26" i="42"/>
  <c r="RA26" i="42"/>
  <c r="QZ26" i="42"/>
  <c r="QY26" i="42"/>
  <c r="QX26" i="42"/>
  <c r="QV26" i="42"/>
  <c r="QU26" i="42"/>
  <c r="QT26" i="42"/>
  <c r="QS26" i="42"/>
  <c r="QR26" i="42"/>
  <c r="QQ26" i="42"/>
  <c r="PU26" i="42"/>
  <c r="PT26" i="42"/>
  <c r="PS26" i="42"/>
  <c r="PR26" i="42"/>
  <c r="PQ26" i="42"/>
  <c r="PP26" i="42"/>
  <c r="PN26" i="42"/>
  <c r="PM26" i="42"/>
  <c r="PL26" i="42"/>
  <c r="PK26" i="42"/>
  <c r="PJ26" i="42"/>
  <c r="PI26" i="42"/>
  <c r="OM26" i="42"/>
  <c r="OL26" i="42"/>
  <c r="OK26" i="42"/>
  <c r="OJ26" i="42"/>
  <c r="OI26" i="42"/>
  <c r="OH26" i="42"/>
  <c r="OF26" i="42"/>
  <c r="OE26" i="42"/>
  <c r="OD26" i="42"/>
  <c r="OC26" i="42"/>
  <c r="OB26" i="42"/>
  <c r="OA26" i="42"/>
  <c r="NE26" i="42"/>
  <c r="ND26" i="42"/>
  <c r="NC26" i="42"/>
  <c r="NB26" i="42"/>
  <c r="NA26" i="42"/>
  <c r="MZ26" i="42"/>
  <c r="MX26" i="42"/>
  <c r="MW26" i="42"/>
  <c r="MV26" i="42"/>
  <c r="MU26" i="42"/>
  <c r="MT26" i="42"/>
  <c r="MS26" i="42"/>
  <c r="LW26" i="42"/>
  <c r="LV26" i="42"/>
  <c r="LU26" i="42"/>
  <c r="LT26" i="42"/>
  <c r="LS26" i="42"/>
  <c r="LR26" i="42"/>
  <c r="LP26" i="42"/>
  <c r="LO26" i="42"/>
  <c r="LN26" i="42"/>
  <c r="LM26" i="42"/>
  <c r="LL26" i="42"/>
  <c r="LK26" i="42"/>
  <c r="KO26" i="42"/>
  <c r="KN26" i="42"/>
  <c r="KM26" i="42"/>
  <c r="KL26" i="42"/>
  <c r="KK26" i="42"/>
  <c r="KJ26" i="42"/>
  <c r="KH26" i="42"/>
  <c r="KG26" i="42"/>
  <c r="KF26" i="42"/>
  <c r="KE26" i="42"/>
  <c r="KD26" i="42"/>
  <c r="KC26" i="42"/>
  <c r="JG26" i="42"/>
  <c r="JF26" i="42"/>
  <c r="JE26" i="42"/>
  <c r="JD26" i="42"/>
  <c r="JC26" i="42"/>
  <c r="JB26" i="42"/>
  <c r="IZ26" i="42"/>
  <c r="IY26" i="42"/>
  <c r="IX26" i="42"/>
  <c r="IW26" i="42"/>
  <c r="IV26" i="42"/>
  <c r="IU26" i="42"/>
  <c r="HY26" i="42"/>
  <c r="HX26" i="42"/>
  <c r="HW26" i="42"/>
  <c r="HV26" i="42"/>
  <c r="HU26" i="42"/>
  <c r="HT26" i="42"/>
  <c r="HR26" i="42"/>
  <c r="HQ26" i="42"/>
  <c r="HP26" i="42"/>
  <c r="HO26" i="42"/>
  <c r="HN26" i="42"/>
  <c r="HM26" i="42"/>
  <c r="GQ26" i="42"/>
  <c r="GP26" i="42"/>
  <c r="GO26" i="42"/>
  <c r="GN26" i="42"/>
  <c r="GM26" i="42"/>
  <c r="GL26" i="42"/>
  <c r="GJ26" i="42"/>
  <c r="GI26" i="42"/>
  <c r="GH26" i="42"/>
  <c r="GG26" i="42"/>
  <c r="GF26" i="42"/>
  <c r="GE26" i="42"/>
  <c r="FI26" i="42"/>
  <c r="FH26" i="42"/>
  <c r="FG26" i="42"/>
  <c r="FF26" i="42"/>
  <c r="FE26" i="42"/>
  <c r="FD26" i="42"/>
  <c r="FB26" i="42"/>
  <c r="FA26" i="42"/>
  <c r="EZ26" i="42"/>
  <c r="EY26" i="42"/>
  <c r="EX26" i="42"/>
  <c r="EW26" i="42"/>
  <c r="EA26" i="42"/>
  <c r="DZ26" i="42"/>
  <c r="DY26" i="42"/>
  <c r="DX26" i="42"/>
  <c r="DW26" i="42"/>
  <c r="DV26" i="42"/>
  <c r="DT26" i="42"/>
  <c r="DS26" i="42"/>
  <c r="DR26" i="42"/>
  <c r="DQ26" i="42"/>
  <c r="DP26" i="42"/>
  <c r="DO26" i="42"/>
  <c r="CR26" i="42"/>
  <c r="CQ26" i="42"/>
  <c r="CP26" i="42"/>
  <c r="CN26" i="42"/>
  <c r="CM26" i="42"/>
  <c r="CL26" i="42"/>
  <c r="CK26" i="42"/>
  <c r="CO26" i="42" s="1"/>
  <c r="CJ26" i="42"/>
  <c r="CI26" i="42"/>
  <c r="WI24" i="42"/>
  <c r="WH24" i="42"/>
  <c r="WG24" i="42"/>
  <c r="WF24" i="42"/>
  <c r="WE24" i="42"/>
  <c r="WD24" i="42"/>
  <c r="WB24" i="42"/>
  <c r="WA24" i="42"/>
  <c r="VZ24" i="42"/>
  <c r="VY24" i="42"/>
  <c r="VX24" i="42"/>
  <c r="VW24" i="42"/>
  <c r="VA24" i="42"/>
  <c r="UZ24" i="42"/>
  <c r="UY24" i="42"/>
  <c r="UX24" i="42"/>
  <c r="UW24" i="42"/>
  <c r="UV24" i="42"/>
  <c r="UT24" i="42"/>
  <c r="US24" i="42"/>
  <c r="UR24" i="42"/>
  <c r="UQ24" i="42"/>
  <c r="UP24" i="42"/>
  <c r="UO24" i="42"/>
  <c r="TS24" i="42"/>
  <c r="TR24" i="42"/>
  <c r="TQ24" i="42"/>
  <c r="TP24" i="42"/>
  <c r="TO24" i="42"/>
  <c r="TN24" i="42"/>
  <c r="TL24" i="42"/>
  <c r="TK24" i="42"/>
  <c r="TJ24" i="42"/>
  <c r="TI24" i="42"/>
  <c r="TH24" i="42"/>
  <c r="TG24" i="42"/>
  <c r="SK24" i="42"/>
  <c r="SJ24" i="42"/>
  <c r="SI24" i="42"/>
  <c r="SH24" i="42"/>
  <c r="SG24" i="42"/>
  <c r="SF24" i="42"/>
  <c r="SD24" i="42"/>
  <c r="SC24" i="42"/>
  <c r="SB24" i="42"/>
  <c r="SA24" i="42"/>
  <c r="SE24" i="42" s="1"/>
  <c r="RZ24" i="42"/>
  <c r="RY24" i="42"/>
  <c r="RC24" i="42"/>
  <c r="RB24" i="42"/>
  <c r="RA24" i="42"/>
  <c r="QZ24" i="42"/>
  <c r="QY24" i="42"/>
  <c r="QX24" i="42"/>
  <c r="QV24" i="42"/>
  <c r="QU24" i="42"/>
  <c r="QT24" i="42"/>
  <c r="QS24" i="42"/>
  <c r="QR24" i="42"/>
  <c r="QQ24" i="42"/>
  <c r="PU24" i="42"/>
  <c r="PT24" i="42"/>
  <c r="PS24" i="42"/>
  <c r="PR24" i="42"/>
  <c r="PQ24" i="42"/>
  <c r="PP24" i="42"/>
  <c r="PN24" i="42"/>
  <c r="PM24" i="42"/>
  <c r="PL24" i="42"/>
  <c r="PK24" i="42"/>
  <c r="PJ24" i="42"/>
  <c r="PI24" i="42"/>
  <c r="OM24" i="42"/>
  <c r="OL24" i="42"/>
  <c r="OK24" i="42"/>
  <c r="OJ24" i="42"/>
  <c r="OI24" i="42"/>
  <c r="OH24" i="42"/>
  <c r="OF24" i="42"/>
  <c r="OE24" i="42"/>
  <c r="OD24" i="42"/>
  <c r="OC24" i="42"/>
  <c r="OB24" i="42"/>
  <c r="OA24" i="42"/>
  <c r="NE24" i="42"/>
  <c r="ND24" i="42"/>
  <c r="NC24" i="42"/>
  <c r="NB24" i="42"/>
  <c r="NA24" i="42"/>
  <c r="MZ24" i="42"/>
  <c r="MX24" i="42"/>
  <c r="MW24" i="42"/>
  <c r="MV24" i="42"/>
  <c r="MU24" i="42"/>
  <c r="MT24" i="42"/>
  <c r="MS24" i="42"/>
  <c r="LW24" i="42"/>
  <c r="LV24" i="42"/>
  <c r="LU24" i="42"/>
  <c r="LT24" i="42"/>
  <c r="LS24" i="42"/>
  <c r="LR24" i="42"/>
  <c r="LP24" i="42"/>
  <c r="LO24" i="42"/>
  <c r="LN24" i="42"/>
  <c r="LM24" i="42"/>
  <c r="LL24" i="42"/>
  <c r="LK24" i="42"/>
  <c r="KO24" i="42"/>
  <c r="KN24" i="42"/>
  <c r="KM24" i="42"/>
  <c r="KL24" i="42"/>
  <c r="KK24" i="42"/>
  <c r="KJ24" i="42"/>
  <c r="KH24" i="42"/>
  <c r="KG24" i="42"/>
  <c r="KF24" i="42"/>
  <c r="KE24" i="42"/>
  <c r="KD24" i="42"/>
  <c r="KC24" i="42"/>
  <c r="JG24" i="42"/>
  <c r="JF24" i="42"/>
  <c r="JE24" i="42"/>
  <c r="JD24" i="42"/>
  <c r="JC24" i="42"/>
  <c r="JB24" i="42"/>
  <c r="IZ24" i="42"/>
  <c r="IY24" i="42"/>
  <c r="IX24" i="42"/>
  <c r="IW24" i="42"/>
  <c r="JA24" i="42" s="1"/>
  <c r="IV24" i="42"/>
  <c r="IU24" i="42"/>
  <c r="HY24" i="42"/>
  <c r="HX24" i="42"/>
  <c r="HW24" i="42"/>
  <c r="HV24" i="42"/>
  <c r="HU24" i="42"/>
  <c r="HT24" i="42"/>
  <c r="HR24" i="42"/>
  <c r="HQ24" i="42"/>
  <c r="HP24" i="42"/>
  <c r="HO24" i="42"/>
  <c r="HN24" i="42"/>
  <c r="HM24" i="42"/>
  <c r="GQ24" i="42"/>
  <c r="GP24" i="42"/>
  <c r="GO24" i="42"/>
  <c r="GN24" i="42"/>
  <c r="GM24" i="42"/>
  <c r="GL24" i="42"/>
  <c r="GJ24" i="42"/>
  <c r="GI24" i="42"/>
  <c r="GH24" i="42"/>
  <c r="GG24" i="42"/>
  <c r="GF24" i="42"/>
  <c r="GE24" i="42"/>
  <c r="FI24" i="42"/>
  <c r="FH24" i="42"/>
  <c r="FG24" i="42"/>
  <c r="FF24" i="42"/>
  <c r="FE24" i="42"/>
  <c r="FD24" i="42"/>
  <c r="FB24" i="42"/>
  <c r="FA24" i="42"/>
  <c r="EZ24" i="42"/>
  <c r="EY24" i="42"/>
  <c r="EX24" i="42"/>
  <c r="EW24" i="42"/>
  <c r="EA24" i="42"/>
  <c r="DZ24" i="42"/>
  <c r="DY24" i="42"/>
  <c r="DX24" i="42"/>
  <c r="DW24" i="42"/>
  <c r="DV24" i="42"/>
  <c r="DT24" i="42"/>
  <c r="DS24" i="42"/>
  <c r="DR24" i="42"/>
  <c r="DQ24" i="42"/>
  <c r="DP24" i="42"/>
  <c r="DO24" i="42"/>
  <c r="CR24" i="42"/>
  <c r="CQ24" i="42"/>
  <c r="CP24" i="42"/>
  <c r="CN24" i="42"/>
  <c r="CM24" i="42"/>
  <c r="CL24" i="42"/>
  <c r="CK24" i="42"/>
  <c r="CJ24" i="42"/>
  <c r="CI24" i="42"/>
  <c r="WI21" i="42"/>
  <c r="WH21" i="42"/>
  <c r="WG21" i="42"/>
  <c r="WF21" i="42"/>
  <c r="WE21" i="42"/>
  <c r="WD21" i="42"/>
  <c r="WB21" i="42"/>
  <c r="WA21" i="42"/>
  <c r="VZ21" i="42"/>
  <c r="VY21" i="42"/>
  <c r="VX21" i="42"/>
  <c r="VW21" i="42"/>
  <c r="VA21" i="42"/>
  <c r="UZ21" i="42"/>
  <c r="UY21" i="42"/>
  <c r="UX21" i="42"/>
  <c r="UW21" i="42"/>
  <c r="UV21" i="42"/>
  <c r="UT21" i="42"/>
  <c r="US21" i="42"/>
  <c r="UR21" i="42"/>
  <c r="UQ21" i="42"/>
  <c r="UP21" i="42"/>
  <c r="UO21" i="42"/>
  <c r="TS21" i="42"/>
  <c r="TR21" i="42"/>
  <c r="TQ21" i="42"/>
  <c r="TP21" i="42"/>
  <c r="TO21" i="42"/>
  <c r="TN21" i="42"/>
  <c r="TL21" i="42"/>
  <c r="TK21" i="42"/>
  <c r="TJ21" i="42"/>
  <c r="TI21" i="42"/>
  <c r="TH21" i="42"/>
  <c r="TG21" i="42"/>
  <c r="SK21" i="42"/>
  <c r="SJ21" i="42"/>
  <c r="SI21" i="42"/>
  <c r="SH21" i="42"/>
  <c r="SG21" i="42"/>
  <c r="SF21" i="42"/>
  <c r="SD21" i="42"/>
  <c r="SC21" i="42"/>
  <c r="SB21" i="42"/>
  <c r="SA21" i="42"/>
  <c r="RZ21" i="42"/>
  <c r="RY21" i="42"/>
  <c r="RC21" i="42"/>
  <c r="RB21" i="42"/>
  <c r="RA21" i="42"/>
  <c r="QZ21" i="42"/>
  <c r="QY21" i="42"/>
  <c r="QX21" i="42"/>
  <c r="QV21" i="42"/>
  <c r="QU21" i="42"/>
  <c r="QT21" i="42"/>
  <c r="QS21" i="42"/>
  <c r="QR21" i="42"/>
  <c r="QQ21" i="42"/>
  <c r="PU21" i="42"/>
  <c r="PT21" i="42"/>
  <c r="PS21" i="42"/>
  <c r="PR21" i="42"/>
  <c r="PQ21" i="42"/>
  <c r="PP21" i="42"/>
  <c r="PN21" i="42"/>
  <c r="PM21" i="42"/>
  <c r="PL21" i="42"/>
  <c r="PK21" i="42"/>
  <c r="PJ21" i="42"/>
  <c r="PI21" i="42"/>
  <c r="OM21" i="42"/>
  <c r="OL21" i="42"/>
  <c r="OK21" i="42"/>
  <c r="OJ21" i="42"/>
  <c r="OI21" i="42"/>
  <c r="OH21" i="42"/>
  <c r="OF21" i="42"/>
  <c r="OE21" i="42"/>
  <c r="OD21" i="42"/>
  <c r="OC21" i="42"/>
  <c r="OB21" i="42"/>
  <c r="OA21" i="42"/>
  <c r="NE21" i="42"/>
  <c r="ND21" i="42"/>
  <c r="NC21" i="42"/>
  <c r="NB21" i="42"/>
  <c r="NA21" i="42"/>
  <c r="MZ21" i="42"/>
  <c r="MX21" i="42"/>
  <c r="MW21" i="42"/>
  <c r="MV21" i="42"/>
  <c r="MU21" i="42"/>
  <c r="MT21" i="42"/>
  <c r="MS21" i="42"/>
  <c r="LW21" i="42"/>
  <c r="LV21" i="42"/>
  <c r="LU21" i="42"/>
  <c r="LT21" i="42"/>
  <c r="LS21" i="42"/>
  <c r="LR21" i="42"/>
  <c r="LP21" i="42"/>
  <c r="LO21" i="42"/>
  <c r="LN21" i="42"/>
  <c r="LM21" i="42"/>
  <c r="LL21" i="42"/>
  <c r="LK21" i="42"/>
  <c r="KO21" i="42"/>
  <c r="KN21" i="42"/>
  <c r="KM21" i="42"/>
  <c r="KL21" i="42"/>
  <c r="KK21" i="42"/>
  <c r="KJ21" i="42"/>
  <c r="KH21" i="42"/>
  <c r="KG21" i="42"/>
  <c r="KF21" i="42"/>
  <c r="KE21" i="42"/>
  <c r="KD21" i="42"/>
  <c r="KC21" i="42"/>
  <c r="JG21" i="42"/>
  <c r="JF21" i="42"/>
  <c r="JE21" i="42"/>
  <c r="JD21" i="42"/>
  <c r="JC21" i="42"/>
  <c r="JB21" i="42"/>
  <c r="IZ21" i="42"/>
  <c r="IY21" i="42"/>
  <c r="IX21" i="42"/>
  <c r="IW21" i="42"/>
  <c r="IV21" i="42"/>
  <c r="IU21" i="42"/>
  <c r="HY21" i="42"/>
  <c r="HX21" i="42"/>
  <c r="HW21" i="42"/>
  <c r="HV21" i="42"/>
  <c r="HU21" i="42"/>
  <c r="HT21" i="42"/>
  <c r="HR21" i="42"/>
  <c r="HQ21" i="42"/>
  <c r="HP21" i="42"/>
  <c r="HO21" i="42"/>
  <c r="HN21" i="42"/>
  <c r="HM21" i="42"/>
  <c r="GQ21" i="42"/>
  <c r="GP21" i="42"/>
  <c r="GO21" i="42"/>
  <c r="GN21" i="42"/>
  <c r="GM21" i="42"/>
  <c r="GL21" i="42"/>
  <c r="GJ21" i="42"/>
  <c r="GI21" i="42"/>
  <c r="GH21" i="42"/>
  <c r="GG21" i="42"/>
  <c r="GF21" i="42"/>
  <c r="GE21" i="42"/>
  <c r="FI21" i="42"/>
  <c r="FH21" i="42"/>
  <c r="FG21" i="42"/>
  <c r="FF21" i="42"/>
  <c r="FE21" i="42"/>
  <c r="FD21" i="42"/>
  <c r="FB21" i="42"/>
  <c r="FA21" i="42"/>
  <c r="EZ21" i="42"/>
  <c r="EY21" i="42"/>
  <c r="EX21" i="42"/>
  <c r="EW21" i="42"/>
  <c r="EA21" i="42"/>
  <c r="DZ21" i="42"/>
  <c r="DY21" i="42"/>
  <c r="DX21" i="42"/>
  <c r="DW21" i="42"/>
  <c r="DV21" i="42"/>
  <c r="DT21" i="42"/>
  <c r="DS21" i="42"/>
  <c r="DR21" i="42"/>
  <c r="DQ21" i="42"/>
  <c r="DP21" i="42"/>
  <c r="DO21" i="42"/>
  <c r="CR21" i="42"/>
  <c r="CQ21" i="42"/>
  <c r="CP21" i="42"/>
  <c r="CN21" i="42"/>
  <c r="CM21" i="42"/>
  <c r="CL21" i="42"/>
  <c r="CK21" i="42"/>
  <c r="CJ21" i="42"/>
  <c r="CI21" i="42"/>
  <c r="WI12" i="42"/>
  <c r="WH12" i="42"/>
  <c r="WG12" i="42"/>
  <c r="WF12" i="42"/>
  <c r="WE12" i="42"/>
  <c r="WD12" i="42"/>
  <c r="WB12" i="42"/>
  <c r="WA12" i="42"/>
  <c r="VZ12" i="42"/>
  <c r="VY12" i="42"/>
  <c r="VX12" i="42"/>
  <c r="VW12" i="42"/>
  <c r="VA12" i="42"/>
  <c r="UZ12" i="42"/>
  <c r="UY12" i="42"/>
  <c r="UX12" i="42"/>
  <c r="UW12" i="42"/>
  <c r="UV12" i="42"/>
  <c r="UT12" i="42"/>
  <c r="US12" i="42"/>
  <c r="UR12" i="42"/>
  <c r="UQ12" i="42"/>
  <c r="UP12" i="42"/>
  <c r="UO12" i="42"/>
  <c r="TS12" i="42"/>
  <c r="TR12" i="42"/>
  <c r="TQ12" i="42"/>
  <c r="TP12" i="42"/>
  <c r="TO12" i="42"/>
  <c r="TN12" i="42"/>
  <c r="TL12" i="42"/>
  <c r="TK12" i="42"/>
  <c r="TJ12" i="42"/>
  <c r="TI12" i="42"/>
  <c r="TH12" i="42"/>
  <c r="TG12" i="42"/>
  <c r="SK12" i="42"/>
  <c r="SJ12" i="42"/>
  <c r="SI12" i="42"/>
  <c r="SH12" i="42"/>
  <c r="SG12" i="42"/>
  <c r="SF12" i="42"/>
  <c r="SD12" i="42"/>
  <c r="SC12" i="42"/>
  <c r="SB12" i="42"/>
  <c r="SA12" i="42"/>
  <c r="RZ12" i="42"/>
  <c r="RY12" i="42"/>
  <c r="RC12" i="42"/>
  <c r="RB12" i="42"/>
  <c r="RA12" i="42"/>
  <c r="QZ12" i="42"/>
  <c r="QY12" i="42"/>
  <c r="QX12" i="42"/>
  <c r="QV12" i="42"/>
  <c r="QU12" i="42"/>
  <c r="QT12" i="42"/>
  <c r="QS12" i="42"/>
  <c r="QR12" i="42"/>
  <c r="QQ12" i="42"/>
  <c r="PU12" i="42"/>
  <c r="PT12" i="42"/>
  <c r="PS12" i="42"/>
  <c r="PR12" i="42"/>
  <c r="PQ12" i="42"/>
  <c r="PP12" i="42"/>
  <c r="PN12" i="42"/>
  <c r="PM12" i="42"/>
  <c r="PL12" i="42"/>
  <c r="PK12" i="42"/>
  <c r="PJ12" i="42"/>
  <c r="PI12" i="42"/>
  <c r="OM12" i="42"/>
  <c r="OL12" i="42"/>
  <c r="OK12" i="42"/>
  <c r="OJ12" i="42"/>
  <c r="OI12" i="42"/>
  <c r="OH12" i="42"/>
  <c r="OF12" i="42"/>
  <c r="OE12" i="42"/>
  <c r="OD12" i="42"/>
  <c r="OC12" i="42"/>
  <c r="OB12" i="42"/>
  <c r="OA12" i="42"/>
  <c r="NE12" i="42"/>
  <c r="ND12" i="42"/>
  <c r="NC12" i="42"/>
  <c r="NB12" i="42"/>
  <c r="NA12" i="42"/>
  <c r="MZ12" i="42"/>
  <c r="MX12" i="42"/>
  <c r="MW12" i="42"/>
  <c r="MV12" i="42"/>
  <c r="MU12" i="42"/>
  <c r="MT12" i="42"/>
  <c r="MS12" i="42"/>
  <c r="LW12" i="42"/>
  <c r="LV12" i="42"/>
  <c r="LU12" i="42"/>
  <c r="LT12" i="42"/>
  <c r="LS12" i="42"/>
  <c r="LR12" i="42"/>
  <c r="LP12" i="42"/>
  <c r="LO12" i="42"/>
  <c r="LN12" i="42"/>
  <c r="LM12" i="42"/>
  <c r="LL12" i="42"/>
  <c r="LK12" i="42"/>
  <c r="KO12" i="42"/>
  <c r="KN12" i="42"/>
  <c r="KM12" i="42"/>
  <c r="KL12" i="42"/>
  <c r="KK12" i="42"/>
  <c r="KJ12" i="42"/>
  <c r="KH12" i="42"/>
  <c r="KG12" i="42"/>
  <c r="KF12" i="42"/>
  <c r="KE12" i="42"/>
  <c r="KD12" i="42"/>
  <c r="KC12" i="42"/>
  <c r="JG12" i="42"/>
  <c r="JF12" i="42"/>
  <c r="JE12" i="42"/>
  <c r="JD12" i="42"/>
  <c r="JC12" i="42"/>
  <c r="JB12" i="42"/>
  <c r="IZ12" i="42"/>
  <c r="IY12" i="42"/>
  <c r="IX12" i="42"/>
  <c r="IW12" i="42"/>
  <c r="IV12" i="42"/>
  <c r="IU12" i="42"/>
  <c r="HY12" i="42"/>
  <c r="HX12" i="42"/>
  <c r="HW12" i="42"/>
  <c r="HV12" i="42"/>
  <c r="HU12" i="42"/>
  <c r="HT12" i="42"/>
  <c r="HR12" i="42"/>
  <c r="HQ12" i="42"/>
  <c r="HP12" i="42"/>
  <c r="HO12" i="42"/>
  <c r="HN12" i="42"/>
  <c r="HM12" i="42"/>
  <c r="GQ12" i="42"/>
  <c r="GP12" i="42"/>
  <c r="GO12" i="42"/>
  <c r="GN12" i="42"/>
  <c r="GM12" i="42"/>
  <c r="GL12" i="42"/>
  <c r="GJ12" i="42"/>
  <c r="GI12" i="42"/>
  <c r="GH12" i="42"/>
  <c r="GG12" i="42"/>
  <c r="GF12" i="42"/>
  <c r="GE12" i="42"/>
  <c r="FI12" i="42"/>
  <c r="FH12" i="42"/>
  <c r="FG12" i="42"/>
  <c r="FF12" i="42"/>
  <c r="FE12" i="42"/>
  <c r="FD12" i="42"/>
  <c r="FB12" i="42"/>
  <c r="FA12" i="42"/>
  <c r="EZ12" i="42"/>
  <c r="EY12" i="42"/>
  <c r="EX12" i="42"/>
  <c r="EW12" i="42"/>
  <c r="EA12" i="42"/>
  <c r="DZ12" i="42"/>
  <c r="DY12" i="42"/>
  <c r="DX12" i="42"/>
  <c r="DW12" i="42"/>
  <c r="DV12" i="42"/>
  <c r="DT12" i="42"/>
  <c r="DS12" i="42"/>
  <c r="DR12" i="42"/>
  <c r="DQ12" i="42"/>
  <c r="DP12" i="42"/>
  <c r="DO12" i="42"/>
  <c r="CR12" i="42"/>
  <c r="CQ12" i="42"/>
  <c r="CP12" i="42"/>
  <c r="CN12" i="42"/>
  <c r="CM12" i="42"/>
  <c r="CL12" i="42"/>
  <c r="CK12" i="42"/>
  <c r="CO12" i="42" s="1"/>
  <c r="CJ12" i="42"/>
  <c r="CI12" i="42"/>
  <c r="WI18" i="42"/>
  <c r="WH18" i="42"/>
  <c r="WG18" i="42"/>
  <c r="WF18" i="42"/>
  <c r="WE18" i="42"/>
  <c r="WD18" i="42"/>
  <c r="WB18" i="42"/>
  <c r="WA18" i="42"/>
  <c r="VZ18" i="42"/>
  <c r="VY18" i="42"/>
  <c r="VX18" i="42"/>
  <c r="VW18" i="42"/>
  <c r="VA18" i="42"/>
  <c r="UZ18" i="42"/>
  <c r="UY18" i="42"/>
  <c r="UX18" i="42"/>
  <c r="UW18" i="42"/>
  <c r="UV18" i="42"/>
  <c r="UT18" i="42"/>
  <c r="US18" i="42"/>
  <c r="UR18" i="42"/>
  <c r="UQ18" i="42"/>
  <c r="UP18" i="42"/>
  <c r="UO18" i="42"/>
  <c r="TS18" i="42"/>
  <c r="TR18" i="42"/>
  <c r="TQ18" i="42"/>
  <c r="TP18" i="42"/>
  <c r="TO18" i="42"/>
  <c r="TN18" i="42"/>
  <c r="TL18" i="42"/>
  <c r="TK18" i="42"/>
  <c r="TJ18" i="42"/>
  <c r="TI18" i="42"/>
  <c r="TH18" i="42"/>
  <c r="TG18" i="42"/>
  <c r="SK18" i="42"/>
  <c r="SJ18" i="42"/>
  <c r="SI18" i="42"/>
  <c r="SH18" i="42"/>
  <c r="SG18" i="42"/>
  <c r="SF18" i="42"/>
  <c r="SD18" i="42"/>
  <c r="SC18" i="42"/>
  <c r="SB18" i="42"/>
  <c r="SA18" i="42"/>
  <c r="RZ18" i="42"/>
  <c r="RY18" i="42"/>
  <c r="RC18" i="42"/>
  <c r="RB18" i="42"/>
  <c r="RA18" i="42"/>
  <c r="QZ18" i="42"/>
  <c r="QY18" i="42"/>
  <c r="QX18" i="42"/>
  <c r="QV18" i="42"/>
  <c r="QU18" i="42"/>
  <c r="QT18" i="42"/>
  <c r="QS18" i="42"/>
  <c r="QR18" i="42"/>
  <c r="QQ18" i="42"/>
  <c r="PU18" i="42"/>
  <c r="PT18" i="42"/>
  <c r="PS18" i="42"/>
  <c r="PR18" i="42"/>
  <c r="PQ18" i="42"/>
  <c r="PP18" i="42"/>
  <c r="PN18" i="42"/>
  <c r="PM18" i="42"/>
  <c r="PL18" i="42"/>
  <c r="PK18" i="42"/>
  <c r="PJ18" i="42"/>
  <c r="PI18" i="42"/>
  <c r="OM18" i="42"/>
  <c r="OL18" i="42"/>
  <c r="OK18" i="42"/>
  <c r="OJ18" i="42"/>
  <c r="OI18" i="42"/>
  <c r="OH18" i="42"/>
  <c r="OF18" i="42"/>
  <c r="OE18" i="42"/>
  <c r="OD18" i="42"/>
  <c r="OC18" i="42"/>
  <c r="OB18" i="42"/>
  <c r="OA18" i="42"/>
  <c r="NE18" i="42"/>
  <c r="ND18" i="42"/>
  <c r="NC18" i="42"/>
  <c r="NB18" i="42"/>
  <c r="NA18" i="42"/>
  <c r="MZ18" i="42"/>
  <c r="MX18" i="42"/>
  <c r="MW18" i="42"/>
  <c r="MV18" i="42"/>
  <c r="MU18" i="42"/>
  <c r="MT18" i="42"/>
  <c r="MS18" i="42"/>
  <c r="LW18" i="42"/>
  <c r="LV18" i="42"/>
  <c r="LU18" i="42"/>
  <c r="LT18" i="42"/>
  <c r="LS18" i="42"/>
  <c r="LR18" i="42"/>
  <c r="LP18" i="42"/>
  <c r="LO18" i="42"/>
  <c r="LN18" i="42"/>
  <c r="LM18" i="42"/>
  <c r="LL18" i="42"/>
  <c r="LK18" i="42"/>
  <c r="KO18" i="42"/>
  <c r="KN18" i="42"/>
  <c r="KM18" i="42"/>
  <c r="KL18" i="42"/>
  <c r="KK18" i="42"/>
  <c r="KJ18" i="42"/>
  <c r="KH18" i="42"/>
  <c r="KG18" i="42"/>
  <c r="KF18" i="42"/>
  <c r="KE18" i="42"/>
  <c r="KD18" i="42"/>
  <c r="KC18" i="42"/>
  <c r="JG18" i="42"/>
  <c r="JF18" i="42"/>
  <c r="JE18" i="42"/>
  <c r="JD18" i="42"/>
  <c r="JC18" i="42"/>
  <c r="JB18" i="42"/>
  <c r="IZ18" i="42"/>
  <c r="IY18" i="42"/>
  <c r="IX18" i="42"/>
  <c r="IW18" i="42"/>
  <c r="IV18" i="42"/>
  <c r="IU18" i="42"/>
  <c r="HY18" i="42"/>
  <c r="HX18" i="42"/>
  <c r="HW18" i="42"/>
  <c r="HV18" i="42"/>
  <c r="HU18" i="42"/>
  <c r="HT18" i="42"/>
  <c r="HR18" i="42"/>
  <c r="HQ18" i="42"/>
  <c r="HP18" i="42"/>
  <c r="HO18" i="42"/>
  <c r="HN18" i="42"/>
  <c r="HM18" i="42"/>
  <c r="GQ18" i="42"/>
  <c r="GP18" i="42"/>
  <c r="GO18" i="42"/>
  <c r="GN18" i="42"/>
  <c r="GM18" i="42"/>
  <c r="GL18" i="42"/>
  <c r="GJ18" i="42"/>
  <c r="GI18" i="42"/>
  <c r="GH18" i="42"/>
  <c r="GG18" i="42"/>
  <c r="GF18" i="42"/>
  <c r="GE18" i="42"/>
  <c r="FI18" i="42"/>
  <c r="FH18" i="42"/>
  <c r="FG18" i="42"/>
  <c r="FF18" i="42"/>
  <c r="FE18" i="42"/>
  <c r="FD18" i="42"/>
  <c r="FB18" i="42"/>
  <c r="FA18" i="42"/>
  <c r="EZ18" i="42"/>
  <c r="EY18" i="42"/>
  <c r="EX18" i="42"/>
  <c r="EW18" i="42"/>
  <c r="EA18" i="42"/>
  <c r="DZ18" i="42"/>
  <c r="DY18" i="42"/>
  <c r="DX18" i="42"/>
  <c r="DW18" i="42"/>
  <c r="DV18" i="42"/>
  <c r="DT18" i="42"/>
  <c r="DS18" i="42"/>
  <c r="DR18" i="42"/>
  <c r="DQ18" i="42"/>
  <c r="DP18" i="42"/>
  <c r="DO18" i="42"/>
  <c r="CR18" i="42"/>
  <c r="CQ18" i="42"/>
  <c r="CP18" i="42"/>
  <c r="CN18" i="42"/>
  <c r="CM18" i="42"/>
  <c r="CL18" i="42"/>
  <c r="CK18" i="42"/>
  <c r="CJ18" i="42"/>
  <c r="CI18" i="42"/>
  <c r="WI10" i="42"/>
  <c r="WH10" i="42"/>
  <c r="WG10" i="42"/>
  <c r="WF10" i="42"/>
  <c r="WE10" i="42"/>
  <c r="WD10" i="42"/>
  <c r="WB10" i="42"/>
  <c r="WA10" i="42"/>
  <c r="VZ10" i="42"/>
  <c r="VY10" i="42"/>
  <c r="VX10" i="42"/>
  <c r="VW10" i="42"/>
  <c r="VA10" i="42"/>
  <c r="UZ10" i="42"/>
  <c r="UY10" i="42"/>
  <c r="UX10" i="42"/>
  <c r="UW10" i="42"/>
  <c r="UV10" i="42"/>
  <c r="UT10" i="42"/>
  <c r="US10" i="42"/>
  <c r="UR10" i="42"/>
  <c r="UQ10" i="42"/>
  <c r="UP10" i="42"/>
  <c r="UO10" i="42"/>
  <c r="TS10" i="42"/>
  <c r="TR10" i="42"/>
  <c r="TQ10" i="42"/>
  <c r="TP10" i="42"/>
  <c r="TO10" i="42"/>
  <c r="TN10" i="42"/>
  <c r="TL10" i="42"/>
  <c r="TK10" i="42"/>
  <c r="TJ10" i="42"/>
  <c r="TI10" i="42"/>
  <c r="TH10" i="42"/>
  <c r="TG10" i="42"/>
  <c r="SK10" i="42"/>
  <c r="SJ10" i="42"/>
  <c r="SI10" i="42"/>
  <c r="SH10" i="42"/>
  <c r="SG10" i="42"/>
  <c r="SF10" i="42"/>
  <c r="SD10" i="42"/>
  <c r="SC10" i="42"/>
  <c r="SB10" i="42"/>
  <c r="SA10" i="42"/>
  <c r="RZ10" i="42"/>
  <c r="RY10" i="42"/>
  <c r="RC10" i="42"/>
  <c r="RB10" i="42"/>
  <c r="RA10" i="42"/>
  <c r="QZ10" i="42"/>
  <c r="QY10" i="42"/>
  <c r="QX10" i="42"/>
  <c r="QV10" i="42"/>
  <c r="QU10" i="42"/>
  <c r="QT10" i="42"/>
  <c r="QS10" i="42"/>
  <c r="QR10" i="42"/>
  <c r="QQ10" i="42"/>
  <c r="PU10" i="42"/>
  <c r="PT10" i="42"/>
  <c r="PS10" i="42"/>
  <c r="PR10" i="42"/>
  <c r="PQ10" i="42"/>
  <c r="PP10" i="42"/>
  <c r="PN10" i="42"/>
  <c r="PM10" i="42"/>
  <c r="PL10" i="42"/>
  <c r="PK10" i="42"/>
  <c r="PJ10" i="42"/>
  <c r="PI10" i="42"/>
  <c r="OM10" i="42"/>
  <c r="OL10" i="42"/>
  <c r="OK10" i="42"/>
  <c r="OJ10" i="42"/>
  <c r="OI10" i="42"/>
  <c r="OH10" i="42"/>
  <c r="OF10" i="42"/>
  <c r="OE10" i="42"/>
  <c r="OD10" i="42"/>
  <c r="OC10" i="42"/>
  <c r="OB10" i="42"/>
  <c r="OA10" i="42"/>
  <c r="NE10" i="42"/>
  <c r="ND10" i="42"/>
  <c r="NC10" i="42"/>
  <c r="NB10" i="42"/>
  <c r="NA10" i="42"/>
  <c r="MZ10" i="42"/>
  <c r="MX10" i="42"/>
  <c r="MW10" i="42"/>
  <c r="MV10" i="42"/>
  <c r="MU10" i="42"/>
  <c r="MT10" i="42"/>
  <c r="MS10" i="42"/>
  <c r="LW10" i="42"/>
  <c r="LV10" i="42"/>
  <c r="LU10" i="42"/>
  <c r="LT10" i="42"/>
  <c r="LS10" i="42"/>
  <c r="LR10" i="42"/>
  <c r="LP10" i="42"/>
  <c r="LO10" i="42"/>
  <c r="LN10" i="42"/>
  <c r="LM10" i="42"/>
  <c r="LL10" i="42"/>
  <c r="LK10" i="42"/>
  <c r="KO10" i="42"/>
  <c r="KN10" i="42"/>
  <c r="KM10" i="42"/>
  <c r="KL10" i="42"/>
  <c r="KK10" i="42"/>
  <c r="KJ10" i="42"/>
  <c r="KH10" i="42"/>
  <c r="KG10" i="42"/>
  <c r="KF10" i="42"/>
  <c r="KE10" i="42"/>
  <c r="KD10" i="42"/>
  <c r="KC10" i="42"/>
  <c r="JG10" i="42"/>
  <c r="JF10" i="42"/>
  <c r="JE10" i="42"/>
  <c r="JD10" i="42"/>
  <c r="JC10" i="42"/>
  <c r="JB10" i="42"/>
  <c r="IZ10" i="42"/>
  <c r="IY10" i="42"/>
  <c r="IX10" i="42"/>
  <c r="IW10" i="42"/>
  <c r="IV10" i="42"/>
  <c r="IU10" i="42"/>
  <c r="HY10" i="42"/>
  <c r="HX10" i="42"/>
  <c r="HW10" i="42"/>
  <c r="HV10" i="42"/>
  <c r="HU10" i="42"/>
  <c r="HT10" i="42"/>
  <c r="HR10" i="42"/>
  <c r="HQ10" i="42"/>
  <c r="HP10" i="42"/>
  <c r="HO10" i="42"/>
  <c r="HN10" i="42"/>
  <c r="HM10" i="42"/>
  <c r="GQ10" i="42"/>
  <c r="GP10" i="42"/>
  <c r="GO10" i="42"/>
  <c r="GN10" i="42"/>
  <c r="GM10" i="42"/>
  <c r="GL10" i="42"/>
  <c r="GJ10" i="42"/>
  <c r="GI10" i="42"/>
  <c r="GH10" i="42"/>
  <c r="GG10" i="42"/>
  <c r="GF10" i="42"/>
  <c r="GE10" i="42"/>
  <c r="FI10" i="42"/>
  <c r="FH10" i="42"/>
  <c r="FG10" i="42"/>
  <c r="FF10" i="42"/>
  <c r="FE10" i="42"/>
  <c r="FD10" i="42"/>
  <c r="FB10" i="42"/>
  <c r="FA10" i="42"/>
  <c r="EZ10" i="42"/>
  <c r="EY10" i="42"/>
  <c r="EX10" i="42"/>
  <c r="EW10" i="42"/>
  <c r="EA10" i="42"/>
  <c r="DZ10" i="42"/>
  <c r="DY10" i="42"/>
  <c r="DX10" i="42"/>
  <c r="DW10" i="42"/>
  <c r="DV10" i="42"/>
  <c r="DT10" i="42"/>
  <c r="DS10" i="42"/>
  <c r="DR10" i="42"/>
  <c r="DQ10" i="42"/>
  <c r="DP10" i="42"/>
  <c r="DO10" i="42"/>
  <c r="CR10" i="42"/>
  <c r="CQ10" i="42"/>
  <c r="CP10" i="42"/>
  <c r="CN10" i="42"/>
  <c r="CM10" i="42"/>
  <c r="CL10" i="42"/>
  <c r="CK10" i="42"/>
  <c r="CJ10" i="42"/>
  <c r="CI10" i="42"/>
  <c r="WI7" i="42"/>
  <c r="WH7" i="42"/>
  <c r="WG7" i="42"/>
  <c r="WF7" i="42"/>
  <c r="WE7" i="42"/>
  <c r="WD7" i="42"/>
  <c r="WB7" i="42"/>
  <c r="WA7" i="42"/>
  <c r="VZ7" i="42"/>
  <c r="VY7" i="42"/>
  <c r="VX7" i="42"/>
  <c r="VW7" i="42"/>
  <c r="VA7" i="42"/>
  <c r="UZ7" i="42"/>
  <c r="UY7" i="42"/>
  <c r="UX7" i="42"/>
  <c r="UW7" i="42"/>
  <c r="UV7" i="42"/>
  <c r="UT7" i="42"/>
  <c r="US7" i="42"/>
  <c r="UR7" i="42"/>
  <c r="UQ7" i="42"/>
  <c r="UP7" i="42"/>
  <c r="UO7" i="42"/>
  <c r="TS7" i="42"/>
  <c r="TR7" i="42"/>
  <c r="TQ7" i="42"/>
  <c r="TP7" i="42"/>
  <c r="TO7" i="42"/>
  <c r="TN7" i="42"/>
  <c r="TL7" i="42"/>
  <c r="TK7" i="42"/>
  <c r="TJ7" i="42"/>
  <c r="TI7" i="42"/>
  <c r="TH7" i="42"/>
  <c r="TG7" i="42"/>
  <c r="SK7" i="42"/>
  <c r="SJ7" i="42"/>
  <c r="SI7" i="42"/>
  <c r="SH7" i="42"/>
  <c r="SG7" i="42"/>
  <c r="SF7" i="42"/>
  <c r="SD7" i="42"/>
  <c r="SC7" i="42"/>
  <c r="SB7" i="42"/>
  <c r="SA7" i="42"/>
  <c r="RZ7" i="42"/>
  <c r="RY7" i="42"/>
  <c r="RC7" i="42"/>
  <c r="RB7" i="42"/>
  <c r="RA7" i="42"/>
  <c r="QZ7" i="42"/>
  <c r="QY7" i="42"/>
  <c r="QX7" i="42"/>
  <c r="QV7" i="42"/>
  <c r="QU7" i="42"/>
  <c r="QT7" i="42"/>
  <c r="QS7" i="42"/>
  <c r="QR7" i="42"/>
  <c r="QQ7" i="42"/>
  <c r="PU7" i="42"/>
  <c r="PT7" i="42"/>
  <c r="PS7" i="42"/>
  <c r="PR7" i="42"/>
  <c r="PQ7" i="42"/>
  <c r="PP7" i="42"/>
  <c r="PN7" i="42"/>
  <c r="PM7" i="42"/>
  <c r="PL7" i="42"/>
  <c r="PK7" i="42"/>
  <c r="PJ7" i="42"/>
  <c r="PI7" i="42"/>
  <c r="OM7" i="42"/>
  <c r="OL7" i="42"/>
  <c r="OK7" i="42"/>
  <c r="OJ7" i="42"/>
  <c r="OI7" i="42"/>
  <c r="OH7" i="42"/>
  <c r="OF7" i="42"/>
  <c r="OE7" i="42"/>
  <c r="OD7" i="42"/>
  <c r="OC7" i="42"/>
  <c r="OB7" i="42"/>
  <c r="OA7" i="42"/>
  <c r="NE7" i="42"/>
  <c r="ND7" i="42"/>
  <c r="NC7" i="42"/>
  <c r="NB7" i="42"/>
  <c r="NA7" i="42"/>
  <c r="MZ7" i="42"/>
  <c r="MX7" i="42"/>
  <c r="MW7" i="42"/>
  <c r="MV7" i="42"/>
  <c r="MU7" i="42"/>
  <c r="MT7" i="42"/>
  <c r="MS7" i="42"/>
  <c r="LW7" i="42"/>
  <c r="LV7" i="42"/>
  <c r="LU7" i="42"/>
  <c r="LT7" i="42"/>
  <c r="LS7" i="42"/>
  <c r="LR7" i="42"/>
  <c r="LP7" i="42"/>
  <c r="LO7" i="42"/>
  <c r="LN7" i="42"/>
  <c r="LM7" i="42"/>
  <c r="LL7" i="42"/>
  <c r="LK7" i="42"/>
  <c r="KO7" i="42"/>
  <c r="KN7" i="42"/>
  <c r="KM7" i="42"/>
  <c r="KL7" i="42"/>
  <c r="KK7" i="42"/>
  <c r="KJ7" i="42"/>
  <c r="KH7" i="42"/>
  <c r="KG7" i="42"/>
  <c r="KF7" i="42"/>
  <c r="KE7" i="42"/>
  <c r="KD7" i="42"/>
  <c r="KC7" i="42"/>
  <c r="JG7" i="42"/>
  <c r="JF7" i="42"/>
  <c r="JE7" i="42"/>
  <c r="JD7" i="42"/>
  <c r="JC7" i="42"/>
  <c r="JB7" i="42"/>
  <c r="IZ7" i="42"/>
  <c r="IY7" i="42"/>
  <c r="IX7" i="42"/>
  <c r="IW7" i="42"/>
  <c r="IV7" i="42"/>
  <c r="IU7" i="42"/>
  <c r="HY7" i="42"/>
  <c r="HX7" i="42"/>
  <c r="HW7" i="42"/>
  <c r="HV7" i="42"/>
  <c r="HU7" i="42"/>
  <c r="HT7" i="42"/>
  <c r="HR7" i="42"/>
  <c r="HQ7" i="42"/>
  <c r="HP7" i="42"/>
  <c r="HO7" i="42"/>
  <c r="HN7" i="42"/>
  <c r="HM7" i="42"/>
  <c r="GQ7" i="42"/>
  <c r="GP7" i="42"/>
  <c r="GO7" i="42"/>
  <c r="GN7" i="42"/>
  <c r="GM7" i="42"/>
  <c r="GL7" i="42"/>
  <c r="GJ7" i="42"/>
  <c r="GI7" i="42"/>
  <c r="GH7" i="42"/>
  <c r="GG7" i="42"/>
  <c r="GF7" i="42"/>
  <c r="GE7" i="42"/>
  <c r="FI7" i="42"/>
  <c r="FH7" i="42"/>
  <c r="FG7" i="42"/>
  <c r="FF7" i="42"/>
  <c r="FE7" i="42"/>
  <c r="FD7" i="42"/>
  <c r="FB7" i="42"/>
  <c r="FA7" i="42"/>
  <c r="EZ7" i="42"/>
  <c r="EY7" i="42"/>
  <c r="EX7" i="42"/>
  <c r="EW7" i="42"/>
  <c r="EA7" i="42"/>
  <c r="DZ7" i="42"/>
  <c r="DY7" i="42"/>
  <c r="DX7" i="42"/>
  <c r="DW7" i="42"/>
  <c r="DV7" i="42"/>
  <c r="DT7" i="42"/>
  <c r="DS7" i="42"/>
  <c r="DR7" i="42"/>
  <c r="DQ7" i="42"/>
  <c r="DP7" i="42"/>
  <c r="DO7" i="42"/>
  <c r="CR7" i="42"/>
  <c r="CQ7" i="42"/>
  <c r="CP7" i="42"/>
  <c r="CN7" i="42"/>
  <c r="CM7" i="42"/>
  <c r="CL7" i="42"/>
  <c r="CK7" i="42"/>
  <c r="CJ7" i="42"/>
  <c r="CI7" i="42"/>
  <c r="WI17" i="42"/>
  <c r="WH17" i="42"/>
  <c r="WG17" i="42"/>
  <c r="WF17" i="42"/>
  <c r="WE17" i="42"/>
  <c r="WD17" i="42"/>
  <c r="WB17" i="42"/>
  <c r="WA17" i="42"/>
  <c r="VZ17" i="42"/>
  <c r="VY17" i="42"/>
  <c r="VX17" i="42"/>
  <c r="VW17" i="42"/>
  <c r="VA17" i="42"/>
  <c r="UZ17" i="42"/>
  <c r="UY17" i="42"/>
  <c r="UX17" i="42"/>
  <c r="UW17" i="42"/>
  <c r="UV17" i="42"/>
  <c r="UT17" i="42"/>
  <c r="US17" i="42"/>
  <c r="UR17" i="42"/>
  <c r="UQ17" i="42"/>
  <c r="UP17" i="42"/>
  <c r="UO17" i="42"/>
  <c r="TS17" i="42"/>
  <c r="TR17" i="42"/>
  <c r="TQ17" i="42"/>
  <c r="TP17" i="42"/>
  <c r="TO17" i="42"/>
  <c r="TN17" i="42"/>
  <c r="TL17" i="42"/>
  <c r="TK17" i="42"/>
  <c r="TJ17" i="42"/>
  <c r="TI17" i="42"/>
  <c r="TH17" i="42"/>
  <c r="TG17" i="42"/>
  <c r="SK17" i="42"/>
  <c r="SJ17" i="42"/>
  <c r="SI17" i="42"/>
  <c r="SH17" i="42"/>
  <c r="SG17" i="42"/>
  <c r="SF17" i="42"/>
  <c r="SD17" i="42"/>
  <c r="SC17" i="42"/>
  <c r="SB17" i="42"/>
  <c r="SA17" i="42"/>
  <c r="RZ17" i="42"/>
  <c r="RY17" i="42"/>
  <c r="RC17" i="42"/>
  <c r="RB17" i="42"/>
  <c r="RA17" i="42"/>
  <c r="QZ17" i="42"/>
  <c r="QY17" i="42"/>
  <c r="QX17" i="42"/>
  <c r="QV17" i="42"/>
  <c r="QU17" i="42"/>
  <c r="QT17" i="42"/>
  <c r="QS17" i="42"/>
  <c r="QR17" i="42"/>
  <c r="QQ17" i="42"/>
  <c r="PU17" i="42"/>
  <c r="PT17" i="42"/>
  <c r="PS17" i="42"/>
  <c r="PR17" i="42"/>
  <c r="PQ17" i="42"/>
  <c r="PP17" i="42"/>
  <c r="PN17" i="42"/>
  <c r="PM17" i="42"/>
  <c r="PL17" i="42"/>
  <c r="PK17" i="42"/>
  <c r="PJ17" i="42"/>
  <c r="PI17" i="42"/>
  <c r="OM17" i="42"/>
  <c r="OL17" i="42"/>
  <c r="OK17" i="42"/>
  <c r="OJ17" i="42"/>
  <c r="OI17" i="42"/>
  <c r="OH17" i="42"/>
  <c r="OF17" i="42"/>
  <c r="OE17" i="42"/>
  <c r="OD17" i="42"/>
  <c r="OC17" i="42"/>
  <c r="OB17" i="42"/>
  <c r="OA17" i="42"/>
  <c r="NE17" i="42"/>
  <c r="ND17" i="42"/>
  <c r="NC17" i="42"/>
  <c r="NB17" i="42"/>
  <c r="NA17" i="42"/>
  <c r="MZ17" i="42"/>
  <c r="MX17" i="42"/>
  <c r="MW17" i="42"/>
  <c r="MV17" i="42"/>
  <c r="MU17" i="42"/>
  <c r="MT17" i="42"/>
  <c r="MS17" i="42"/>
  <c r="LW17" i="42"/>
  <c r="LV17" i="42"/>
  <c r="LU17" i="42"/>
  <c r="LT17" i="42"/>
  <c r="LS17" i="42"/>
  <c r="LR17" i="42"/>
  <c r="LP17" i="42"/>
  <c r="LO17" i="42"/>
  <c r="LN17" i="42"/>
  <c r="LM17" i="42"/>
  <c r="LL17" i="42"/>
  <c r="LK17" i="42"/>
  <c r="KO17" i="42"/>
  <c r="KN17" i="42"/>
  <c r="KM17" i="42"/>
  <c r="KL17" i="42"/>
  <c r="KK17" i="42"/>
  <c r="KJ17" i="42"/>
  <c r="KH17" i="42"/>
  <c r="KG17" i="42"/>
  <c r="KF17" i="42"/>
  <c r="KE17" i="42"/>
  <c r="KD17" i="42"/>
  <c r="KC17" i="42"/>
  <c r="JG17" i="42"/>
  <c r="JF17" i="42"/>
  <c r="JE17" i="42"/>
  <c r="JD17" i="42"/>
  <c r="JC17" i="42"/>
  <c r="JB17" i="42"/>
  <c r="IZ17" i="42"/>
  <c r="IY17" i="42"/>
  <c r="IX17" i="42"/>
  <c r="IW17" i="42"/>
  <c r="IV17" i="42"/>
  <c r="IU17" i="42"/>
  <c r="HY17" i="42"/>
  <c r="HX17" i="42"/>
  <c r="HW17" i="42"/>
  <c r="HV17" i="42"/>
  <c r="HU17" i="42"/>
  <c r="HT17" i="42"/>
  <c r="HR17" i="42"/>
  <c r="HQ17" i="42"/>
  <c r="HP17" i="42"/>
  <c r="HO17" i="42"/>
  <c r="HN17" i="42"/>
  <c r="HM17" i="42"/>
  <c r="GQ17" i="42"/>
  <c r="GP17" i="42"/>
  <c r="GO17" i="42"/>
  <c r="GN17" i="42"/>
  <c r="GM17" i="42"/>
  <c r="GL17" i="42"/>
  <c r="GJ17" i="42"/>
  <c r="GI17" i="42"/>
  <c r="GH17" i="42"/>
  <c r="GG17" i="42"/>
  <c r="GF17" i="42"/>
  <c r="GE17" i="42"/>
  <c r="FI17" i="42"/>
  <c r="FH17" i="42"/>
  <c r="FG17" i="42"/>
  <c r="FF17" i="42"/>
  <c r="FE17" i="42"/>
  <c r="FD17" i="42"/>
  <c r="FB17" i="42"/>
  <c r="FA17" i="42"/>
  <c r="EZ17" i="42"/>
  <c r="EY17" i="42"/>
  <c r="EX17" i="42"/>
  <c r="EW17" i="42"/>
  <c r="EA17" i="42"/>
  <c r="DZ17" i="42"/>
  <c r="DY17" i="42"/>
  <c r="DX17" i="42"/>
  <c r="DW17" i="42"/>
  <c r="DV17" i="42"/>
  <c r="DT17" i="42"/>
  <c r="DS17" i="42"/>
  <c r="DR17" i="42"/>
  <c r="DQ17" i="42"/>
  <c r="DP17" i="42"/>
  <c r="DO17" i="42"/>
  <c r="CR17" i="42"/>
  <c r="CQ17" i="42"/>
  <c r="CP17" i="42"/>
  <c r="CN17" i="42"/>
  <c r="CM17" i="42"/>
  <c r="CL17" i="42"/>
  <c r="CK17" i="42"/>
  <c r="CJ17" i="42"/>
  <c r="CI17" i="42"/>
  <c r="WI19" i="42"/>
  <c r="WH19" i="42"/>
  <c r="WG19" i="42"/>
  <c r="WF19" i="42"/>
  <c r="WE19" i="42"/>
  <c r="WD19" i="42"/>
  <c r="WB19" i="42"/>
  <c r="WA19" i="42"/>
  <c r="VZ19" i="42"/>
  <c r="VY19" i="42"/>
  <c r="VX19" i="42"/>
  <c r="VW19" i="42"/>
  <c r="VA19" i="42"/>
  <c r="UZ19" i="42"/>
  <c r="UY19" i="42"/>
  <c r="UX19" i="42"/>
  <c r="UW19" i="42"/>
  <c r="UV19" i="42"/>
  <c r="UT19" i="42"/>
  <c r="US19" i="42"/>
  <c r="UR19" i="42"/>
  <c r="UQ19" i="42"/>
  <c r="UP19" i="42"/>
  <c r="UO19" i="42"/>
  <c r="TS19" i="42"/>
  <c r="TR19" i="42"/>
  <c r="TQ19" i="42"/>
  <c r="TP19" i="42"/>
  <c r="TO19" i="42"/>
  <c r="TN19" i="42"/>
  <c r="TL19" i="42"/>
  <c r="TK19" i="42"/>
  <c r="TJ19" i="42"/>
  <c r="TI19" i="42"/>
  <c r="TH19" i="42"/>
  <c r="TG19" i="42"/>
  <c r="SK19" i="42"/>
  <c r="SJ19" i="42"/>
  <c r="SI19" i="42"/>
  <c r="SH19" i="42"/>
  <c r="SG19" i="42"/>
  <c r="SF19" i="42"/>
  <c r="SD19" i="42"/>
  <c r="SC19" i="42"/>
  <c r="SB19" i="42"/>
  <c r="SA19" i="42"/>
  <c r="RZ19" i="42"/>
  <c r="RY19" i="42"/>
  <c r="RC19" i="42"/>
  <c r="RB19" i="42"/>
  <c r="RA19" i="42"/>
  <c r="QZ19" i="42"/>
  <c r="QY19" i="42"/>
  <c r="QX19" i="42"/>
  <c r="QV19" i="42"/>
  <c r="QU19" i="42"/>
  <c r="QT19" i="42"/>
  <c r="QS19" i="42"/>
  <c r="QR19" i="42"/>
  <c r="QQ19" i="42"/>
  <c r="PU19" i="42"/>
  <c r="PT19" i="42"/>
  <c r="PS19" i="42"/>
  <c r="PR19" i="42"/>
  <c r="PQ19" i="42"/>
  <c r="PP19" i="42"/>
  <c r="PN19" i="42"/>
  <c r="PM19" i="42"/>
  <c r="PL19" i="42"/>
  <c r="PK19" i="42"/>
  <c r="PJ19" i="42"/>
  <c r="PI19" i="42"/>
  <c r="OM19" i="42"/>
  <c r="OL19" i="42"/>
  <c r="OK19" i="42"/>
  <c r="OJ19" i="42"/>
  <c r="OI19" i="42"/>
  <c r="OH19" i="42"/>
  <c r="OF19" i="42"/>
  <c r="OE19" i="42"/>
  <c r="OD19" i="42"/>
  <c r="OC19" i="42"/>
  <c r="OB19" i="42"/>
  <c r="OA19" i="42"/>
  <c r="NE19" i="42"/>
  <c r="ND19" i="42"/>
  <c r="NC19" i="42"/>
  <c r="NB19" i="42"/>
  <c r="NA19" i="42"/>
  <c r="MZ19" i="42"/>
  <c r="MX19" i="42"/>
  <c r="MW19" i="42"/>
  <c r="MV19" i="42"/>
  <c r="MU19" i="42"/>
  <c r="MT19" i="42"/>
  <c r="MS19" i="42"/>
  <c r="LW19" i="42"/>
  <c r="LV19" i="42"/>
  <c r="LU19" i="42"/>
  <c r="LT19" i="42"/>
  <c r="LS19" i="42"/>
  <c r="LR19" i="42"/>
  <c r="LP19" i="42"/>
  <c r="LO19" i="42"/>
  <c r="LN19" i="42"/>
  <c r="LM19" i="42"/>
  <c r="LL19" i="42"/>
  <c r="LK19" i="42"/>
  <c r="KO19" i="42"/>
  <c r="KN19" i="42"/>
  <c r="KM19" i="42"/>
  <c r="KL19" i="42"/>
  <c r="KK19" i="42"/>
  <c r="KJ19" i="42"/>
  <c r="KH19" i="42"/>
  <c r="KG19" i="42"/>
  <c r="KF19" i="42"/>
  <c r="KE19" i="42"/>
  <c r="KD19" i="42"/>
  <c r="KC19" i="42"/>
  <c r="JG19" i="42"/>
  <c r="JF19" i="42"/>
  <c r="JE19" i="42"/>
  <c r="JD19" i="42"/>
  <c r="JC19" i="42"/>
  <c r="JB19" i="42"/>
  <c r="IZ19" i="42"/>
  <c r="IY19" i="42"/>
  <c r="IX19" i="42"/>
  <c r="IW19" i="42"/>
  <c r="IV19" i="42"/>
  <c r="IU19" i="42"/>
  <c r="HY19" i="42"/>
  <c r="HX19" i="42"/>
  <c r="HW19" i="42"/>
  <c r="HV19" i="42"/>
  <c r="HU19" i="42"/>
  <c r="HT19" i="42"/>
  <c r="HR19" i="42"/>
  <c r="HQ19" i="42"/>
  <c r="HP19" i="42"/>
  <c r="HO19" i="42"/>
  <c r="HN19" i="42"/>
  <c r="HM19" i="42"/>
  <c r="GQ19" i="42"/>
  <c r="GP19" i="42"/>
  <c r="GO19" i="42"/>
  <c r="GN19" i="42"/>
  <c r="GM19" i="42"/>
  <c r="GL19" i="42"/>
  <c r="GJ19" i="42"/>
  <c r="GI19" i="42"/>
  <c r="GH19" i="42"/>
  <c r="GG19" i="42"/>
  <c r="GF19" i="42"/>
  <c r="GE19" i="42"/>
  <c r="FI19" i="42"/>
  <c r="FH19" i="42"/>
  <c r="FG19" i="42"/>
  <c r="FF19" i="42"/>
  <c r="FE19" i="42"/>
  <c r="FD19" i="42"/>
  <c r="FB19" i="42"/>
  <c r="FA19" i="42"/>
  <c r="EZ19" i="42"/>
  <c r="EY19" i="42"/>
  <c r="EX19" i="42"/>
  <c r="EW19" i="42"/>
  <c r="EA19" i="42"/>
  <c r="DZ19" i="42"/>
  <c r="DY19" i="42"/>
  <c r="DX19" i="42"/>
  <c r="DW19" i="42"/>
  <c r="DV19" i="42"/>
  <c r="DT19" i="42"/>
  <c r="DS19" i="42"/>
  <c r="DR19" i="42"/>
  <c r="DQ19" i="42"/>
  <c r="DP19" i="42"/>
  <c r="DO19" i="42"/>
  <c r="CR19" i="42"/>
  <c r="CQ19" i="42"/>
  <c r="CP19" i="42"/>
  <c r="CN19" i="42"/>
  <c r="CM19" i="42"/>
  <c r="CL19" i="42"/>
  <c r="CK19" i="42"/>
  <c r="CJ19" i="42"/>
  <c r="CI19" i="42"/>
  <c r="WI11" i="42"/>
  <c r="WH11" i="42"/>
  <c r="WG11" i="42"/>
  <c r="WF11" i="42"/>
  <c r="WE11" i="42"/>
  <c r="WD11" i="42"/>
  <c r="WB11" i="42"/>
  <c r="WA11" i="42"/>
  <c r="VZ11" i="42"/>
  <c r="VY11" i="42"/>
  <c r="VX11" i="42"/>
  <c r="VW11" i="42"/>
  <c r="VA11" i="42"/>
  <c r="UZ11" i="42"/>
  <c r="UY11" i="42"/>
  <c r="UX11" i="42"/>
  <c r="UW11" i="42"/>
  <c r="UV11" i="42"/>
  <c r="UT11" i="42"/>
  <c r="US11" i="42"/>
  <c r="UR11" i="42"/>
  <c r="UQ11" i="42"/>
  <c r="UP11" i="42"/>
  <c r="UO11" i="42"/>
  <c r="TS11" i="42"/>
  <c r="TR11" i="42"/>
  <c r="TQ11" i="42"/>
  <c r="TP11" i="42"/>
  <c r="TO11" i="42"/>
  <c r="TN11" i="42"/>
  <c r="TL11" i="42"/>
  <c r="TK11" i="42"/>
  <c r="TJ11" i="42"/>
  <c r="TI11" i="42"/>
  <c r="TH11" i="42"/>
  <c r="TG11" i="42"/>
  <c r="SK11" i="42"/>
  <c r="SJ11" i="42"/>
  <c r="SI11" i="42"/>
  <c r="SH11" i="42"/>
  <c r="SG11" i="42"/>
  <c r="SF11" i="42"/>
  <c r="SD11" i="42"/>
  <c r="SC11" i="42"/>
  <c r="SB11" i="42"/>
  <c r="SA11" i="42"/>
  <c r="RZ11" i="42"/>
  <c r="RY11" i="42"/>
  <c r="RC11" i="42"/>
  <c r="RB11" i="42"/>
  <c r="RA11" i="42"/>
  <c r="QZ11" i="42"/>
  <c r="QY11" i="42"/>
  <c r="QX11" i="42"/>
  <c r="QV11" i="42"/>
  <c r="QU11" i="42"/>
  <c r="QT11" i="42"/>
  <c r="QS11" i="42"/>
  <c r="QR11" i="42"/>
  <c r="QQ11" i="42"/>
  <c r="PU11" i="42"/>
  <c r="PT11" i="42"/>
  <c r="PS11" i="42"/>
  <c r="PR11" i="42"/>
  <c r="PQ11" i="42"/>
  <c r="PP11" i="42"/>
  <c r="PN11" i="42"/>
  <c r="PM11" i="42"/>
  <c r="PL11" i="42"/>
  <c r="PK11" i="42"/>
  <c r="PJ11" i="42"/>
  <c r="PI11" i="42"/>
  <c r="OM11" i="42"/>
  <c r="OL11" i="42"/>
  <c r="OK11" i="42"/>
  <c r="OJ11" i="42"/>
  <c r="OI11" i="42"/>
  <c r="OH11" i="42"/>
  <c r="OF11" i="42"/>
  <c r="OE11" i="42"/>
  <c r="OD11" i="42"/>
  <c r="OC11" i="42"/>
  <c r="OB11" i="42"/>
  <c r="OA11" i="42"/>
  <c r="NE11" i="42"/>
  <c r="ND11" i="42"/>
  <c r="NC11" i="42"/>
  <c r="NB11" i="42"/>
  <c r="NA11" i="42"/>
  <c r="MZ11" i="42"/>
  <c r="MX11" i="42"/>
  <c r="MW11" i="42"/>
  <c r="MV11" i="42"/>
  <c r="MU11" i="42"/>
  <c r="MT11" i="42"/>
  <c r="MS11" i="42"/>
  <c r="LW11" i="42"/>
  <c r="LV11" i="42"/>
  <c r="LU11" i="42"/>
  <c r="LT11" i="42"/>
  <c r="LS11" i="42"/>
  <c r="LR11" i="42"/>
  <c r="LP11" i="42"/>
  <c r="LO11" i="42"/>
  <c r="LN11" i="42"/>
  <c r="LM11" i="42"/>
  <c r="LL11" i="42"/>
  <c r="LK11" i="42"/>
  <c r="KO11" i="42"/>
  <c r="KN11" i="42"/>
  <c r="KM11" i="42"/>
  <c r="KL11" i="42"/>
  <c r="KK11" i="42"/>
  <c r="KJ11" i="42"/>
  <c r="KH11" i="42"/>
  <c r="KG11" i="42"/>
  <c r="KF11" i="42"/>
  <c r="KE11" i="42"/>
  <c r="KD11" i="42"/>
  <c r="KC11" i="42"/>
  <c r="JG11" i="42"/>
  <c r="JF11" i="42"/>
  <c r="JE11" i="42"/>
  <c r="JD11" i="42"/>
  <c r="JC11" i="42"/>
  <c r="JB11" i="42"/>
  <c r="IZ11" i="42"/>
  <c r="IY11" i="42"/>
  <c r="IX11" i="42"/>
  <c r="IW11" i="42"/>
  <c r="IV11" i="42"/>
  <c r="IU11" i="42"/>
  <c r="HY11" i="42"/>
  <c r="HX11" i="42"/>
  <c r="HW11" i="42"/>
  <c r="HV11" i="42"/>
  <c r="HU11" i="42"/>
  <c r="HT11" i="42"/>
  <c r="HR11" i="42"/>
  <c r="HQ11" i="42"/>
  <c r="HP11" i="42"/>
  <c r="HO11" i="42"/>
  <c r="HN11" i="42"/>
  <c r="HM11" i="42"/>
  <c r="GQ11" i="42"/>
  <c r="GP11" i="42"/>
  <c r="GO11" i="42"/>
  <c r="GN11" i="42"/>
  <c r="GM11" i="42"/>
  <c r="GL11" i="42"/>
  <c r="GJ11" i="42"/>
  <c r="GI11" i="42"/>
  <c r="GH11" i="42"/>
  <c r="GG11" i="42"/>
  <c r="GF11" i="42"/>
  <c r="GE11" i="42"/>
  <c r="FI11" i="42"/>
  <c r="FH11" i="42"/>
  <c r="FG11" i="42"/>
  <c r="FF11" i="42"/>
  <c r="FE11" i="42"/>
  <c r="FD11" i="42"/>
  <c r="FB11" i="42"/>
  <c r="FA11" i="42"/>
  <c r="EZ11" i="42"/>
  <c r="EY11" i="42"/>
  <c r="EX11" i="42"/>
  <c r="EW11" i="42"/>
  <c r="EA11" i="42"/>
  <c r="DZ11" i="42"/>
  <c r="DY11" i="42"/>
  <c r="DX11" i="42"/>
  <c r="DW11" i="42"/>
  <c r="DV11" i="42"/>
  <c r="DT11" i="42"/>
  <c r="DS11" i="42"/>
  <c r="DR11" i="42"/>
  <c r="DQ11" i="42"/>
  <c r="DP11" i="42"/>
  <c r="DO11" i="42"/>
  <c r="CR11" i="42"/>
  <c r="CQ11" i="42"/>
  <c r="CP11" i="42"/>
  <c r="CN11" i="42"/>
  <c r="CM11" i="42"/>
  <c r="CL11" i="42"/>
  <c r="CK11" i="42"/>
  <c r="CJ11" i="42"/>
  <c r="CI11" i="42"/>
  <c r="WI15" i="42"/>
  <c r="WH15" i="42"/>
  <c r="WG15" i="42"/>
  <c r="WF15" i="42"/>
  <c r="WE15" i="42"/>
  <c r="WD15" i="42"/>
  <c r="WB15" i="42"/>
  <c r="WA15" i="42"/>
  <c r="VZ15" i="42"/>
  <c r="VY15" i="42"/>
  <c r="VX15" i="42"/>
  <c r="VW15" i="42"/>
  <c r="VA15" i="42"/>
  <c r="UZ15" i="42"/>
  <c r="UY15" i="42"/>
  <c r="UX15" i="42"/>
  <c r="UW15" i="42"/>
  <c r="UV15" i="42"/>
  <c r="UT15" i="42"/>
  <c r="US15" i="42"/>
  <c r="UR15" i="42"/>
  <c r="UQ15" i="42"/>
  <c r="UP15" i="42"/>
  <c r="UO15" i="42"/>
  <c r="TS15" i="42"/>
  <c r="TR15" i="42"/>
  <c r="TQ15" i="42"/>
  <c r="TP15" i="42"/>
  <c r="TO15" i="42"/>
  <c r="TN15" i="42"/>
  <c r="TL15" i="42"/>
  <c r="TK15" i="42"/>
  <c r="TJ15" i="42"/>
  <c r="TI15" i="42"/>
  <c r="TH15" i="42"/>
  <c r="TG15" i="42"/>
  <c r="SK15" i="42"/>
  <c r="SJ15" i="42"/>
  <c r="SI15" i="42"/>
  <c r="SH15" i="42"/>
  <c r="SG15" i="42"/>
  <c r="SF15" i="42"/>
  <c r="SD15" i="42"/>
  <c r="SC15" i="42"/>
  <c r="SB15" i="42"/>
  <c r="SA15" i="42"/>
  <c r="RZ15" i="42"/>
  <c r="RY15" i="42"/>
  <c r="RC15" i="42"/>
  <c r="RB15" i="42"/>
  <c r="RA15" i="42"/>
  <c r="QZ15" i="42"/>
  <c r="QY15" i="42"/>
  <c r="QX15" i="42"/>
  <c r="QV15" i="42"/>
  <c r="QU15" i="42"/>
  <c r="QT15" i="42"/>
  <c r="QS15" i="42"/>
  <c r="QR15" i="42"/>
  <c r="QQ15" i="42"/>
  <c r="PU15" i="42"/>
  <c r="PT15" i="42"/>
  <c r="PS15" i="42"/>
  <c r="PR15" i="42"/>
  <c r="PQ15" i="42"/>
  <c r="PP15" i="42"/>
  <c r="PN15" i="42"/>
  <c r="PM15" i="42"/>
  <c r="PL15" i="42"/>
  <c r="PK15" i="42"/>
  <c r="PJ15" i="42"/>
  <c r="PI15" i="42"/>
  <c r="OM15" i="42"/>
  <c r="OL15" i="42"/>
  <c r="OK15" i="42"/>
  <c r="OJ15" i="42"/>
  <c r="OI15" i="42"/>
  <c r="OH15" i="42"/>
  <c r="OF15" i="42"/>
  <c r="OE15" i="42"/>
  <c r="OD15" i="42"/>
  <c r="OC15" i="42"/>
  <c r="OB15" i="42"/>
  <c r="OA15" i="42"/>
  <c r="NE15" i="42"/>
  <c r="ND15" i="42"/>
  <c r="NC15" i="42"/>
  <c r="NB15" i="42"/>
  <c r="NA15" i="42"/>
  <c r="MZ15" i="42"/>
  <c r="MX15" i="42"/>
  <c r="MW15" i="42"/>
  <c r="MV15" i="42"/>
  <c r="MU15" i="42"/>
  <c r="MT15" i="42"/>
  <c r="MS15" i="42"/>
  <c r="LW15" i="42"/>
  <c r="LV15" i="42"/>
  <c r="LU15" i="42"/>
  <c r="LT15" i="42"/>
  <c r="LS15" i="42"/>
  <c r="LR15" i="42"/>
  <c r="LP15" i="42"/>
  <c r="LO15" i="42"/>
  <c r="LN15" i="42"/>
  <c r="LM15" i="42"/>
  <c r="LL15" i="42"/>
  <c r="LK15" i="42"/>
  <c r="KO15" i="42"/>
  <c r="KN15" i="42"/>
  <c r="KM15" i="42"/>
  <c r="KL15" i="42"/>
  <c r="KK15" i="42"/>
  <c r="KJ15" i="42"/>
  <c r="KH15" i="42"/>
  <c r="KG15" i="42"/>
  <c r="KF15" i="42"/>
  <c r="KE15" i="42"/>
  <c r="KD15" i="42"/>
  <c r="KC15" i="42"/>
  <c r="JG15" i="42"/>
  <c r="JF15" i="42"/>
  <c r="JE15" i="42"/>
  <c r="JD15" i="42"/>
  <c r="JC15" i="42"/>
  <c r="JB15" i="42"/>
  <c r="IZ15" i="42"/>
  <c r="IY15" i="42"/>
  <c r="IX15" i="42"/>
  <c r="IW15" i="42"/>
  <c r="IV15" i="42"/>
  <c r="IU15" i="42"/>
  <c r="HY15" i="42"/>
  <c r="HX15" i="42"/>
  <c r="HW15" i="42"/>
  <c r="HV15" i="42"/>
  <c r="HU15" i="42"/>
  <c r="HT15" i="42"/>
  <c r="HR15" i="42"/>
  <c r="HQ15" i="42"/>
  <c r="HP15" i="42"/>
  <c r="HO15" i="42"/>
  <c r="HN15" i="42"/>
  <c r="HM15" i="42"/>
  <c r="GQ15" i="42"/>
  <c r="GP15" i="42"/>
  <c r="GO15" i="42"/>
  <c r="GN15" i="42"/>
  <c r="GM15" i="42"/>
  <c r="GL15" i="42"/>
  <c r="GJ15" i="42"/>
  <c r="GI15" i="42"/>
  <c r="GH15" i="42"/>
  <c r="GG15" i="42"/>
  <c r="GF15" i="42"/>
  <c r="GE15" i="42"/>
  <c r="FI15" i="42"/>
  <c r="FH15" i="42"/>
  <c r="FG15" i="42"/>
  <c r="FF15" i="42"/>
  <c r="FE15" i="42"/>
  <c r="FD15" i="42"/>
  <c r="FB15" i="42"/>
  <c r="FA15" i="42"/>
  <c r="EZ15" i="42"/>
  <c r="EY15" i="42"/>
  <c r="EX15" i="42"/>
  <c r="EW15" i="42"/>
  <c r="EA15" i="42"/>
  <c r="DZ15" i="42"/>
  <c r="DY15" i="42"/>
  <c r="DX15" i="42"/>
  <c r="DW15" i="42"/>
  <c r="DV15" i="42"/>
  <c r="DT15" i="42"/>
  <c r="DS15" i="42"/>
  <c r="DR15" i="42"/>
  <c r="DQ15" i="42"/>
  <c r="DP15" i="42"/>
  <c r="DO15" i="42"/>
  <c r="CR15" i="42"/>
  <c r="CQ15" i="42"/>
  <c r="CP15" i="42"/>
  <c r="CN15" i="42"/>
  <c r="CM15" i="42"/>
  <c r="CL15" i="42"/>
  <c r="CK15" i="42"/>
  <c r="CJ15" i="42"/>
  <c r="CI15" i="42"/>
  <c r="WI16" i="42"/>
  <c r="WH16" i="42"/>
  <c r="WG16" i="42"/>
  <c r="WF16" i="42"/>
  <c r="WE16" i="42"/>
  <c r="WD16" i="42"/>
  <c r="WB16" i="42"/>
  <c r="WA16" i="42"/>
  <c r="VZ16" i="42"/>
  <c r="VY16" i="42"/>
  <c r="VX16" i="42"/>
  <c r="VW16" i="42"/>
  <c r="VA16" i="42"/>
  <c r="UZ16" i="42"/>
  <c r="UY16" i="42"/>
  <c r="UX16" i="42"/>
  <c r="UW16" i="42"/>
  <c r="UV16" i="42"/>
  <c r="UT16" i="42"/>
  <c r="US16" i="42"/>
  <c r="UR16" i="42"/>
  <c r="UQ16" i="42"/>
  <c r="UP16" i="42"/>
  <c r="UO16" i="42"/>
  <c r="TS16" i="42"/>
  <c r="TR16" i="42"/>
  <c r="TQ16" i="42"/>
  <c r="TP16" i="42"/>
  <c r="TO16" i="42"/>
  <c r="TN16" i="42"/>
  <c r="TL16" i="42"/>
  <c r="TK16" i="42"/>
  <c r="TJ16" i="42"/>
  <c r="TI16" i="42"/>
  <c r="TH16" i="42"/>
  <c r="TG16" i="42"/>
  <c r="SK16" i="42"/>
  <c r="SJ16" i="42"/>
  <c r="SI16" i="42"/>
  <c r="SH16" i="42"/>
  <c r="SG16" i="42"/>
  <c r="SF16" i="42"/>
  <c r="SD16" i="42"/>
  <c r="SC16" i="42"/>
  <c r="SB16" i="42"/>
  <c r="SA16" i="42"/>
  <c r="RZ16" i="42"/>
  <c r="RY16" i="42"/>
  <c r="RC16" i="42"/>
  <c r="RB16" i="42"/>
  <c r="RA16" i="42"/>
  <c r="QZ16" i="42"/>
  <c r="QY16" i="42"/>
  <c r="QX16" i="42"/>
  <c r="QV16" i="42"/>
  <c r="QU16" i="42"/>
  <c r="QT16" i="42"/>
  <c r="QS16" i="42"/>
  <c r="QR16" i="42"/>
  <c r="QQ16" i="42"/>
  <c r="PU16" i="42"/>
  <c r="PT16" i="42"/>
  <c r="PS16" i="42"/>
  <c r="PR16" i="42"/>
  <c r="PQ16" i="42"/>
  <c r="PP16" i="42"/>
  <c r="PN16" i="42"/>
  <c r="PM16" i="42"/>
  <c r="PL16" i="42"/>
  <c r="PK16" i="42"/>
  <c r="PJ16" i="42"/>
  <c r="PI16" i="42"/>
  <c r="OM16" i="42"/>
  <c r="OL16" i="42"/>
  <c r="OK16" i="42"/>
  <c r="OJ16" i="42"/>
  <c r="OI16" i="42"/>
  <c r="OH16" i="42"/>
  <c r="OF16" i="42"/>
  <c r="OE16" i="42"/>
  <c r="OD16" i="42"/>
  <c r="OC16" i="42"/>
  <c r="OB16" i="42"/>
  <c r="OA16" i="42"/>
  <c r="NE16" i="42"/>
  <c r="ND16" i="42"/>
  <c r="NC16" i="42"/>
  <c r="NB16" i="42"/>
  <c r="NA16" i="42"/>
  <c r="MZ16" i="42"/>
  <c r="MX16" i="42"/>
  <c r="MW16" i="42"/>
  <c r="MV16" i="42"/>
  <c r="MU16" i="42"/>
  <c r="MT16" i="42"/>
  <c r="MS16" i="42"/>
  <c r="LW16" i="42"/>
  <c r="LV16" i="42"/>
  <c r="LU16" i="42"/>
  <c r="LT16" i="42"/>
  <c r="LS16" i="42"/>
  <c r="LR16" i="42"/>
  <c r="LP16" i="42"/>
  <c r="LO16" i="42"/>
  <c r="LN16" i="42"/>
  <c r="LM16" i="42"/>
  <c r="LL16" i="42"/>
  <c r="LK16" i="42"/>
  <c r="KO16" i="42"/>
  <c r="KN16" i="42"/>
  <c r="KM16" i="42"/>
  <c r="KL16" i="42"/>
  <c r="KK16" i="42"/>
  <c r="KJ16" i="42"/>
  <c r="KH16" i="42"/>
  <c r="KG16" i="42"/>
  <c r="KF16" i="42"/>
  <c r="KE16" i="42"/>
  <c r="KD16" i="42"/>
  <c r="KC16" i="42"/>
  <c r="JG16" i="42"/>
  <c r="JF16" i="42"/>
  <c r="JE16" i="42"/>
  <c r="JD16" i="42"/>
  <c r="JC16" i="42"/>
  <c r="JB16" i="42"/>
  <c r="IZ16" i="42"/>
  <c r="IY16" i="42"/>
  <c r="IX16" i="42"/>
  <c r="IW16" i="42"/>
  <c r="IV16" i="42"/>
  <c r="IU16" i="42"/>
  <c r="HY16" i="42"/>
  <c r="HX16" i="42"/>
  <c r="HW16" i="42"/>
  <c r="HV16" i="42"/>
  <c r="HU16" i="42"/>
  <c r="HT16" i="42"/>
  <c r="HR16" i="42"/>
  <c r="HQ16" i="42"/>
  <c r="HP16" i="42"/>
  <c r="HO16" i="42"/>
  <c r="HN16" i="42"/>
  <c r="HM16" i="42"/>
  <c r="GQ16" i="42"/>
  <c r="GP16" i="42"/>
  <c r="GO16" i="42"/>
  <c r="GN16" i="42"/>
  <c r="GM16" i="42"/>
  <c r="GL16" i="42"/>
  <c r="GJ16" i="42"/>
  <c r="GI16" i="42"/>
  <c r="GH16" i="42"/>
  <c r="GG16" i="42"/>
  <c r="GF16" i="42"/>
  <c r="GE16" i="42"/>
  <c r="FI16" i="42"/>
  <c r="FH16" i="42"/>
  <c r="FG16" i="42"/>
  <c r="FF16" i="42"/>
  <c r="FE16" i="42"/>
  <c r="FD16" i="42"/>
  <c r="FB16" i="42"/>
  <c r="FA16" i="42"/>
  <c r="EZ16" i="42"/>
  <c r="EY16" i="42"/>
  <c r="EX16" i="42"/>
  <c r="EW16" i="42"/>
  <c r="EA16" i="42"/>
  <c r="DZ16" i="42"/>
  <c r="DY16" i="42"/>
  <c r="DX16" i="42"/>
  <c r="DW16" i="42"/>
  <c r="DV16" i="42"/>
  <c r="DT16" i="42"/>
  <c r="DS16" i="42"/>
  <c r="DR16" i="42"/>
  <c r="DQ16" i="42"/>
  <c r="DP16" i="42"/>
  <c r="DO16" i="42"/>
  <c r="CR16" i="42"/>
  <c r="CQ16" i="42"/>
  <c r="CP16" i="42"/>
  <c r="CN16" i="42"/>
  <c r="CM16" i="42"/>
  <c r="CL16" i="42"/>
  <c r="CK16" i="42"/>
  <c r="CJ16" i="42"/>
  <c r="CI16" i="42"/>
  <c r="WI14" i="42"/>
  <c r="WH14" i="42"/>
  <c r="WG14" i="42"/>
  <c r="WF14" i="42"/>
  <c r="WE14" i="42"/>
  <c r="WD14" i="42"/>
  <c r="WB14" i="42"/>
  <c r="WA14" i="42"/>
  <c r="VZ14" i="42"/>
  <c r="VY14" i="42"/>
  <c r="VX14" i="42"/>
  <c r="VW14" i="42"/>
  <c r="VA14" i="42"/>
  <c r="UZ14" i="42"/>
  <c r="UY14" i="42"/>
  <c r="UX14" i="42"/>
  <c r="UW14" i="42"/>
  <c r="UV14" i="42"/>
  <c r="UT14" i="42"/>
  <c r="US14" i="42"/>
  <c r="UR14" i="42"/>
  <c r="UQ14" i="42"/>
  <c r="UP14" i="42"/>
  <c r="UO14" i="42"/>
  <c r="TS14" i="42"/>
  <c r="TR14" i="42"/>
  <c r="TQ14" i="42"/>
  <c r="TP14" i="42"/>
  <c r="TO14" i="42"/>
  <c r="TN14" i="42"/>
  <c r="TL14" i="42"/>
  <c r="TK14" i="42"/>
  <c r="TJ14" i="42"/>
  <c r="TI14" i="42"/>
  <c r="TH14" i="42"/>
  <c r="TG14" i="42"/>
  <c r="SK14" i="42"/>
  <c r="SJ14" i="42"/>
  <c r="SI14" i="42"/>
  <c r="SH14" i="42"/>
  <c r="SG14" i="42"/>
  <c r="SF14" i="42"/>
  <c r="SD14" i="42"/>
  <c r="SC14" i="42"/>
  <c r="SB14" i="42"/>
  <c r="SA14" i="42"/>
  <c r="RZ14" i="42"/>
  <c r="RY14" i="42"/>
  <c r="RC14" i="42"/>
  <c r="RB14" i="42"/>
  <c r="RA14" i="42"/>
  <c r="QZ14" i="42"/>
  <c r="QY14" i="42"/>
  <c r="QX14" i="42"/>
  <c r="QV14" i="42"/>
  <c r="QU14" i="42"/>
  <c r="QT14" i="42"/>
  <c r="QS14" i="42"/>
  <c r="QR14" i="42"/>
  <c r="QQ14" i="42"/>
  <c r="PU14" i="42"/>
  <c r="PT14" i="42"/>
  <c r="PS14" i="42"/>
  <c r="PR14" i="42"/>
  <c r="PQ14" i="42"/>
  <c r="PP14" i="42"/>
  <c r="PN14" i="42"/>
  <c r="PM14" i="42"/>
  <c r="PL14" i="42"/>
  <c r="PK14" i="42"/>
  <c r="PJ14" i="42"/>
  <c r="PI14" i="42"/>
  <c r="OM14" i="42"/>
  <c r="OL14" i="42"/>
  <c r="OK14" i="42"/>
  <c r="OJ14" i="42"/>
  <c r="OI14" i="42"/>
  <c r="OH14" i="42"/>
  <c r="OF14" i="42"/>
  <c r="OE14" i="42"/>
  <c r="OD14" i="42"/>
  <c r="OC14" i="42"/>
  <c r="OB14" i="42"/>
  <c r="OA14" i="42"/>
  <c r="NE14" i="42"/>
  <c r="ND14" i="42"/>
  <c r="NC14" i="42"/>
  <c r="NB14" i="42"/>
  <c r="NA14" i="42"/>
  <c r="MZ14" i="42"/>
  <c r="MX14" i="42"/>
  <c r="MW14" i="42"/>
  <c r="MV14" i="42"/>
  <c r="MU14" i="42"/>
  <c r="MT14" i="42"/>
  <c r="MS14" i="42"/>
  <c r="LW14" i="42"/>
  <c r="LV14" i="42"/>
  <c r="LU14" i="42"/>
  <c r="LT14" i="42"/>
  <c r="LS14" i="42"/>
  <c r="LR14" i="42"/>
  <c r="LP14" i="42"/>
  <c r="LO14" i="42"/>
  <c r="LN14" i="42"/>
  <c r="LM14" i="42"/>
  <c r="LL14" i="42"/>
  <c r="LK14" i="42"/>
  <c r="KO14" i="42"/>
  <c r="KN14" i="42"/>
  <c r="KM14" i="42"/>
  <c r="KL14" i="42"/>
  <c r="KK14" i="42"/>
  <c r="KJ14" i="42"/>
  <c r="KH14" i="42"/>
  <c r="KG14" i="42"/>
  <c r="KF14" i="42"/>
  <c r="KE14" i="42"/>
  <c r="KD14" i="42"/>
  <c r="KC14" i="42"/>
  <c r="JG14" i="42"/>
  <c r="JF14" i="42"/>
  <c r="JE14" i="42"/>
  <c r="JD14" i="42"/>
  <c r="JC14" i="42"/>
  <c r="JB14" i="42"/>
  <c r="IZ14" i="42"/>
  <c r="IY14" i="42"/>
  <c r="IX14" i="42"/>
  <c r="IW14" i="42"/>
  <c r="IV14" i="42"/>
  <c r="IU14" i="42"/>
  <c r="HY14" i="42"/>
  <c r="HX14" i="42"/>
  <c r="HW14" i="42"/>
  <c r="HV14" i="42"/>
  <c r="HU14" i="42"/>
  <c r="HT14" i="42"/>
  <c r="HR14" i="42"/>
  <c r="HQ14" i="42"/>
  <c r="HP14" i="42"/>
  <c r="HO14" i="42"/>
  <c r="HN14" i="42"/>
  <c r="HM14" i="42"/>
  <c r="GQ14" i="42"/>
  <c r="GP14" i="42"/>
  <c r="GO14" i="42"/>
  <c r="GN14" i="42"/>
  <c r="GM14" i="42"/>
  <c r="GL14" i="42"/>
  <c r="GJ14" i="42"/>
  <c r="GI14" i="42"/>
  <c r="GH14" i="42"/>
  <c r="GG14" i="42"/>
  <c r="GF14" i="42"/>
  <c r="GE14" i="42"/>
  <c r="FI14" i="42"/>
  <c r="FH14" i="42"/>
  <c r="FG14" i="42"/>
  <c r="FF14" i="42"/>
  <c r="FE14" i="42"/>
  <c r="FD14" i="42"/>
  <c r="FB14" i="42"/>
  <c r="FA14" i="42"/>
  <c r="EZ14" i="42"/>
  <c r="EY14" i="42"/>
  <c r="EX14" i="42"/>
  <c r="EW14" i="42"/>
  <c r="EA14" i="42"/>
  <c r="DZ14" i="42"/>
  <c r="DY14" i="42"/>
  <c r="DX14" i="42"/>
  <c r="DW14" i="42"/>
  <c r="DV14" i="42"/>
  <c r="DT14" i="42"/>
  <c r="DS14" i="42"/>
  <c r="DR14" i="42"/>
  <c r="DQ14" i="42"/>
  <c r="DP14" i="42"/>
  <c r="DO14" i="42"/>
  <c r="CR14" i="42"/>
  <c r="CQ14" i="42"/>
  <c r="CP14" i="42"/>
  <c r="CN14" i="42"/>
  <c r="CM14" i="42"/>
  <c r="CL14" i="42"/>
  <c r="CK14" i="42"/>
  <c r="CO14" i="42" s="1"/>
  <c r="CJ14" i="42"/>
  <c r="CI14" i="42"/>
  <c r="WI9" i="42"/>
  <c r="WH9" i="42"/>
  <c r="WG9" i="42"/>
  <c r="WF9" i="42"/>
  <c r="WE9" i="42"/>
  <c r="WD9" i="42"/>
  <c r="WB9" i="42"/>
  <c r="WA9" i="42"/>
  <c r="VZ9" i="42"/>
  <c r="VY9" i="42"/>
  <c r="VX9" i="42"/>
  <c r="VW9" i="42"/>
  <c r="VA9" i="42"/>
  <c r="UZ9" i="42"/>
  <c r="UY9" i="42"/>
  <c r="UX9" i="42"/>
  <c r="UW9" i="42"/>
  <c r="UV9" i="42"/>
  <c r="UT9" i="42"/>
  <c r="US9" i="42"/>
  <c r="UR9" i="42"/>
  <c r="UQ9" i="42"/>
  <c r="UP9" i="42"/>
  <c r="UO9" i="42"/>
  <c r="TS9" i="42"/>
  <c r="TR9" i="42"/>
  <c r="TQ9" i="42"/>
  <c r="TP9" i="42"/>
  <c r="TO9" i="42"/>
  <c r="TN9" i="42"/>
  <c r="TL9" i="42"/>
  <c r="TK9" i="42"/>
  <c r="TJ9" i="42"/>
  <c r="TI9" i="42"/>
  <c r="TH9" i="42"/>
  <c r="TG9" i="42"/>
  <c r="SK9" i="42"/>
  <c r="SJ9" i="42"/>
  <c r="SI9" i="42"/>
  <c r="SH9" i="42"/>
  <c r="SG9" i="42"/>
  <c r="SF9" i="42"/>
  <c r="SD9" i="42"/>
  <c r="SC9" i="42"/>
  <c r="SB9" i="42"/>
  <c r="SA9" i="42"/>
  <c r="RZ9" i="42"/>
  <c r="RY9" i="42"/>
  <c r="RC9" i="42"/>
  <c r="RB9" i="42"/>
  <c r="RA9" i="42"/>
  <c r="QZ9" i="42"/>
  <c r="QY9" i="42"/>
  <c r="QX9" i="42"/>
  <c r="QV9" i="42"/>
  <c r="QU9" i="42"/>
  <c r="QT9" i="42"/>
  <c r="QS9" i="42"/>
  <c r="QR9" i="42"/>
  <c r="QQ9" i="42"/>
  <c r="PU9" i="42"/>
  <c r="PT9" i="42"/>
  <c r="PS9" i="42"/>
  <c r="PR9" i="42"/>
  <c r="PQ9" i="42"/>
  <c r="PP9" i="42"/>
  <c r="PN9" i="42"/>
  <c r="PM9" i="42"/>
  <c r="PL9" i="42"/>
  <c r="PK9" i="42"/>
  <c r="PJ9" i="42"/>
  <c r="PI9" i="42"/>
  <c r="OM9" i="42"/>
  <c r="OL9" i="42"/>
  <c r="OK9" i="42"/>
  <c r="OJ9" i="42"/>
  <c r="OI9" i="42"/>
  <c r="OH9" i="42"/>
  <c r="OF9" i="42"/>
  <c r="OE9" i="42"/>
  <c r="OD9" i="42"/>
  <c r="OC9" i="42"/>
  <c r="OB9" i="42"/>
  <c r="OA9" i="42"/>
  <c r="NE9" i="42"/>
  <c r="ND9" i="42"/>
  <c r="NC9" i="42"/>
  <c r="NB9" i="42"/>
  <c r="NA9" i="42"/>
  <c r="MZ9" i="42"/>
  <c r="MX9" i="42"/>
  <c r="MW9" i="42"/>
  <c r="MV9" i="42"/>
  <c r="MU9" i="42"/>
  <c r="MT9" i="42"/>
  <c r="MS9" i="42"/>
  <c r="LW9" i="42"/>
  <c r="LV9" i="42"/>
  <c r="LU9" i="42"/>
  <c r="LT9" i="42"/>
  <c r="LS9" i="42"/>
  <c r="LR9" i="42"/>
  <c r="LP9" i="42"/>
  <c r="LO9" i="42"/>
  <c r="LN9" i="42"/>
  <c r="LM9" i="42"/>
  <c r="LL9" i="42"/>
  <c r="LK9" i="42"/>
  <c r="KO9" i="42"/>
  <c r="KN9" i="42"/>
  <c r="KM9" i="42"/>
  <c r="KL9" i="42"/>
  <c r="KK9" i="42"/>
  <c r="KJ9" i="42"/>
  <c r="KH9" i="42"/>
  <c r="KG9" i="42"/>
  <c r="KF9" i="42"/>
  <c r="KE9" i="42"/>
  <c r="KD9" i="42"/>
  <c r="KC9" i="42"/>
  <c r="JG9" i="42"/>
  <c r="JF9" i="42"/>
  <c r="JE9" i="42"/>
  <c r="JD9" i="42"/>
  <c r="JC9" i="42"/>
  <c r="JB9" i="42"/>
  <c r="IZ9" i="42"/>
  <c r="IY9" i="42"/>
  <c r="IX9" i="42"/>
  <c r="IW9" i="42"/>
  <c r="IV9" i="42"/>
  <c r="IU9" i="42"/>
  <c r="HY9" i="42"/>
  <c r="HX9" i="42"/>
  <c r="HW9" i="42"/>
  <c r="HV9" i="42"/>
  <c r="HU9" i="42"/>
  <c r="HT9" i="42"/>
  <c r="HR9" i="42"/>
  <c r="HQ9" i="42"/>
  <c r="HP9" i="42"/>
  <c r="HO9" i="42"/>
  <c r="HN9" i="42"/>
  <c r="HM9" i="42"/>
  <c r="GQ9" i="42"/>
  <c r="GP9" i="42"/>
  <c r="GO9" i="42"/>
  <c r="GN9" i="42"/>
  <c r="GM9" i="42"/>
  <c r="GL9" i="42"/>
  <c r="GJ9" i="42"/>
  <c r="GI9" i="42"/>
  <c r="GH9" i="42"/>
  <c r="GG9" i="42"/>
  <c r="GF9" i="42"/>
  <c r="GE9" i="42"/>
  <c r="FI9" i="42"/>
  <c r="FH9" i="42"/>
  <c r="FG9" i="42"/>
  <c r="FF9" i="42"/>
  <c r="FE9" i="42"/>
  <c r="FD9" i="42"/>
  <c r="FB9" i="42"/>
  <c r="FA9" i="42"/>
  <c r="EZ9" i="42"/>
  <c r="EY9" i="42"/>
  <c r="EX9" i="42"/>
  <c r="EW9" i="42"/>
  <c r="EA9" i="42"/>
  <c r="DZ9" i="42"/>
  <c r="DY9" i="42"/>
  <c r="DX9" i="42"/>
  <c r="DW9" i="42"/>
  <c r="DV9" i="42"/>
  <c r="DT9" i="42"/>
  <c r="DS9" i="42"/>
  <c r="DR9" i="42"/>
  <c r="DQ9" i="42"/>
  <c r="DP9" i="42"/>
  <c r="DO9" i="42"/>
  <c r="CR9" i="42"/>
  <c r="CQ9" i="42"/>
  <c r="CP9" i="42"/>
  <c r="CN9" i="42"/>
  <c r="CM9" i="42"/>
  <c r="CL9" i="42"/>
  <c r="CK9" i="42"/>
  <c r="CJ9" i="42"/>
  <c r="CI9" i="42"/>
  <c r="WI13" i="42"/>
  <c r="WH13" i="42"/>
  <c r="WG13" i="42"/>
  <c r="WF13" i="42"/>
  <c r="WE13" i="42"/>
  <c r="WD13" i="42"/>
  <c r="WB13" i="42"/>
  <c r="WA13" i="42"/>
  <c r="VZ13" i="42"/>
  <c r="VY13" i="42"/>
  <c r="VX13" i="42"/>
  <c r="VW13" i="42"/>
  <c r="VA13" i="42"/>
  <c r="UZ13" i="42"/>
  <c r="UY13" i="42"/>
  <c r="UX13" i="42"/>
  <c r="UW13" i="42"/>
  <c r="UV13" i="42"/>
  <c r="UT13" i="42"/>
  <c r="US13" i="42"/>
  <c r="UR13" i="42"/>
  <c r="UQ13" i="42"/>
  <c r="UP13" i="42"/>
  <c r="UO13" i="42"/>
  <c r="TS13" i="42"/>
  <c r="TR13" i="42"/>
  <c r="TQ13" i="42"/>
  <c r="TP13" i="42"/>
  <c r="TO13" i="42"/>
  <c r="TN13" i="42"/>
  <c r="TL13" i="42"/>
  <c r="TK13" i="42"/>
  <c r="TJ13" i="42"/>
  <c r="TI13" i="42"/>
  <c r="TH13" i="42"/>
  <c r="TG13" i="42"/>
  <c r="SK13" i="42"/>
  <c r="SJ13" i="42"/>
  <c r="SI13" i="42"/>
  <c r="SH13" i="42"/>
  <c r="SG13" i="42"/>
  <c r="SF13" i="42"/>
  <c r="SD13" i="42"/>
  <c r="SC13" i="42"/>
  <c r="SB13" i="42"/>
  <c r="SA13" i="42"/>
  <c r="RZ13" i="42"/>
  <c r="RY13" i="42"/>
  <c r="RC13" i="42"/>
  <c r="RB13" i="42"/>
  <c r="RA13" i="42"/>
  <c r="QZ13" i="42"/>
  <c r="QY13" i="42"/>
  <c r="QX13" i="42"/>
  <c r="QV13" i="42"/>
  <c r="QU13" i="42"/>
  <c r="QT13" i="42"/>
  <c r="QS13" i="42"/>
  <c r="QR13" i="42"/>
  <c r="QQ13" i="42"/>
  <c r="PU13" i="42"/>
  <c r="PT13" i="42"/>
  <c r="PS13" i="42"/>
  <c r="PR13" i="42"/>
  <c r="PQ13" i="42"/>
  <c r="PP13" i="42"/>
  <c r="PN13" i="42"/>
  <c r="PM13" i="42"/>
  <c r="PL13" i="42"/>
  <c r="PK13" i="42"/>
  <c r="PJ13" i="42"/>
  <c r="PI13" i="42"/>
  <c r="OM13" i="42"/>
  <c r="OL13" i="42"/>
  <c r="OK13" i="42"/>
  <c r="OJ13" i="42"/>
  <c r="OI13" i="42"/>
  <c r="OH13" i="42"/>
  <c r="OF13" i="42"/>
  <c r="OE13" i="42"/>
  <c r="OD13" i="42"/>
  <c r="OC13" i="42"/>
  <c r="OB13" i="42"/>
  <c r="OA13" i="42"/>
  <c r="NE13" i="42"/>
  <c r="ND13" i="42"/>
  <c r="NC13" i="42"/>
  <c r="NB13" i="42"/>
  <c r="NA13" i="42"/>
  <c r="MZ13" i="42"/>
  <c r="MX13" i="42"/>
  <c r="MW13" i="42"/>
  <c r="MV13" i="42"/>
  <c r="MU13" i="42"/>
  <c r="MT13" i="42"/>
  <c r="MS13" i="42"/>
  <c r="LW13" i="42"/>
  <c r="LV13" i="42"/>
  <c r="LU13" i="42"/>
  <c r="LT13" i="42"/>
  <c r="LS13" i="42"/>
  <c r="LR13" i="42"/>
  <c r="LP13" i="42"/>
  <c r="LO13" i="42"/>
  <c r="LN13" i="42"/>
  <c r="LM13" i="42"/>
  <c r="LL13" i="42"/>
  <c r="LK13" i="42"/>
  <c r="KO13" i="42"/>
  <c r="KN13" i="42"/>
  <c r="KM13" i="42"/>
  <c r="KL13" i="42"/>
  <c r="KK13" i="42"/>
  <c r="KJ13" i="42"/>
  <c r="KH13" i="42"/>
  <c r="KG13" i="42"/>
  <c r="KF13" i="42"/>
  <c r="KE13" i="42"/>
  <c r="KD13" i="42"/>
  <c r="KC13" i="42"/>
  <c r="JG13" i="42"/>
  <c r="JF13" i="42"/>
  <c r="JE13" i="42"/>
  <c r="JD13" i="42"/>
  <c r="JC13" i="42"/>
  <c r="JB13" i="42"/>
  <c r="IZ13" i="42"/>
  <c r="IY13" i="42"/>
  <c r="IX13" i="42"/>
  <c r="IW13" i="42"/>
  <c r="IV13" i="42"/>
  <c r="IU13" i="42"/>
  <c r="HY13" i="42"/>
  <c r="HX13" i="42"/>
  <c r="HW13" i="42"/>
  <c r="HV13" i="42"/>
  <c r="HU13" i="42"/>
  <c r="HT13" i="42"/>
  <c r="HR13" i="42"/>
  <c r="HQ13" i="42"/>
  <c r="HP13" i="42"/>
  <c r="HO13" i="42"/>
  <c r="HN13" i="42"/>
  <c r="HM13" i="42"/>
  <c r="GQ13" i="42"/>
  <c r="GP13" i="42"/>
  <c r="GO13" i="42"/>
  <c r="GN13" i="42"/>
  <c r="GM13" i="42"/>
  <c r="GL13" i="42"/>
  <c r="GJ13" i="42"/>
  <c r="GI13" i="42"/>
  <c r="GH13" i="42"/>
  <c r="GG13" i="42"/>
  <c r="GF13" i="42"/>
  <c r="GE13" i="42"/>
  <c r="FI13" i="42"/>
  <c r="FH13" i="42"/>
  <c r="FG13" i="42"/>
  <c r="FF13" i="42"/>
  <c r="FE13" i="42"/>
  <c r="FD13" i="42"/>
  <c r="FB13" i="42"/>
  <c r="FA13" i="42"/>
  <c r="EZ13" i="42"/>
  <c r="EY13" i="42"/>
  <c r="EX13" i="42"/>
  <c r="EW13" i="42"/>
  <c r="EA13" i="42"/>
  <c r="DZ13" i="42"/>
  <c r="DY13" i="42"/>
  <c r="DX13" i="42"/>
  <c r="DW13" i="42"/>
  <c r="DV13" i="42"/>
  <c r="DT13" i="42"/>
  <c r="DS13" i="42"/>
  <c r="DR13" i="42"/>
  <c r="DQ13" i="42"/>
  <c r="DP13" i="42"/>
  <c r="DO13" i="42"/>
  <c r="CR13" i="42"/>
  <c r="CQ13" i="42"/>
  <c r="CP13" i="42"/>
  <c r="CN13" i="42"/>
  <c r="CM13" i="42"/>
  <c r="CL13" i="42"/>
  <c r="CK13" i="42"/>
  <c r="CJ13" i="42"/>
  <c r="CI13" i="42"/>
  <c r="WI8" i="42"/>
  <c r="WH8" i="42"/>
  <c r="WG8" i="42"/>
  <c r="WF8" i="42"/>
  <c r="WE8" i="42"/>
  <c r="WD8" i="42"/>
  <c r="WB8" i="42"/>
  <c r="WA8" i="42"/>
  <c r="VZ8" i="42"/>
  <c r="VY8" i="42"/>
  <c r="VX8" i="42"/>
  <c r="VW8" i="42"/>
  <c r="VA8" i="42"/>
  <c r="UZ8" i="42"/>
  <c r="UY8" i="42"/>
  <c r="UX8" i="42"/>
  <c r="UW8" i="42"/>
  <c r="UV8" i="42"/>
  <c r="UT8" i="42"/>
  <c r="US8" i="42"/>
  <c r="UR8" i="42"/>
  <c r="UQ8" i="42"/>
  <c r="UP8" i="42"/>
  <c r="UO8" i="42"/>
  <c r="TS8" i="42"/>
  <c r="TR8" i="42"/>
  <c r="TQ8" i="42"/>
  <c r="TP8" i="42"/>
  <c r="TO8" i="42"/>
  <c r="TN8" i="42"/>
  <c r="TL8" i="42"/>
  <c r="TK8" i="42"/>
  <c r="TJ8" i="42"/>
  <c r="TI8" i="42"/>
  <c r="TH8" i="42"/>
  <c r="TG8" i="42"/>
  <c r="SK8" i="42"/>
  <c r="SJ8" i="42"/>
  <c r="SI8" i="42"/>
  <c r="SH8" i="42"/>
  <c r="SG8" i="42"/>
  <c r="SF8" i="42"/>
  <c r="SD8" i="42"/>
  <c r="SC8" i="42"/>
  <c r="SB8" i="42"/>
  <c r="SA8" i="42"/>
  <c r="RZ8" i="42"/>
  <c r="RY8" i="42"/>
  <c r="RC8" i="42"/>
  <c r="RB8" i="42"/>
  <c r="RA8" i="42"/>
  <c r="QZ8" i="42"/>
  <c r="QY8" i="42"/>
  <c r="QX8" i="42"/>
  <c r="QV8" i="42"/>
  <c r="QU8" i="42"/>
  <c r="QT8" i="42"/>
  <c r="QS8" i="42"/>
  <c r="QR8" i="42"/>
  <c r="QQ8" i="42"/>
  <c r="PU8" i="42"/>
  <c r="PT8" i="42"/>
  <c r="PS8" i="42"/>
  <c r="PR8" i="42"/>
  <c r="PQ8" i="42"/>
  <c r="PP8" i="42"/>
  <c r="PN8" i="42"/>
  <c r="PM8" i="42"/>
  <c r="PL8" i="42"/>
  <c r="PK8" i="42"/>
  <c r="PJ8" i="42"/>
  <c r="PI8" i="42"/>
  <c r="OM8" i="42"/>
  <c r="OL8" i="42"/>
  <c r="OK8" i="42"/>
  <c r="OJ8" i="42"/>
  <c r="OI8" i="42"/>
  <c r="OH8" i="42"/>
  <c r="OF8" i="42"/>
  <c r="OE8" i="42"/>
  <c r="OD8" i="42"/>
  <c r="OC8" i="42"/>
  <c r="OB8" i="42"/>
  <c r="OA8" i="42"/>
  <c r="NE8" i="42"/>
  <c r="ND8" i="42"/>
  <c r="NC8" i="42"/>
  <c r="NB8" i="42"/>
  <c r="NA8" i="42"/>
  <c r="MZ8" i="42"/>
  <c r="MX8" i="42"/>
  <c r="MW8" i="42"/>
  <c r="MV8" i="42"/>
  <c r="MU8" i="42"/>
  <c r="MT8" i="42"/>
  <c r="MS8" i="42"/>
  <c r="LW8" i="42"/>
  <c r="LV8" i="42"/>
  <c r="LU8" i="42"/>
  <c r="LT8" i="42"/>
  <c r="LS8" i="42"/>
  <c r="LR8" i="42"/>
  <c r="LP8" i="42"/>
  <c r="LO8" i="42"/>
  <c r="LN8" i="42"/>
  <c r="LM8" i="42"/>
  <c r="LL8" i="42"/>
  <c r="LK8" i="42"/>
  <c r="KO8" i="42"/>
  <c r="KN8" i="42"/>
  <c r="KM8" i="42"/>
  <c r="KL8" i="42"/>
  <c r="KK8" i="42"/>
  <c r="KJ8" i="42"/>
  <c r="KH8" i="42"/>
  <c r="KG8" i="42"/>
  <c r="KF8" i="42"/>
  <c r="KE8" i="42"/>
  <c r="KD8" i="42"/>
  <c r="KC8" i="42"/>
  <c r="JG8" i="42"/>
  <c r="JF8" i="42"/>
  <c r="JE8" i="42"/>
  <c r="JD8" i="42"/>
  <c r="JC8" i="42"/>
  <c r="JB8" i="42"/>
  <c r="IZ8" i="42"/>
  <c r="IY8" i="42"/>
  <c r="IX8" i="42"/>
  <c r="IW8" i="42"/>
  <c r="IV8" i="42"/>
  <c r="IU8" i="42"/>
  <c r="HY8" i="42"/>
  <c r="HX8" i="42"/>
  <c r="HW8" i="42"/>
  <c r="HV8" i="42"/>
  <c r="HU8" i="42"/>
  <c r="HT8" i="42"/>
  <c r="HR8" i="42"/>
  <c r="HQ8" i="42"/>
  <c r="HP8" i="42"/>
  <c r="HO8" i="42"/>
  <c r="HN8" i="42"/>
  <c r="HM8" i="42"/>
  <c r="GQ8" i="42"/>
  <c r="GP8" i="42"/>
  <c r="GO8" i="42"/>
  <c r="GN8" i="42"/>
  <c r="GM8" i="42"/>
  <c r="GL8" i="42"/>
  <c r="GJ8" i="42"/>
  <c r="GI8" i="42"/>
  <c r="GH8" i="42"/>
  <c r="GG8" i="42"/>
  <c r="GF8" i="42"/>
  <c r="GE8" i="42"/>
  <c r="FI8" i="42"/>
  <c r="FH8" i="42"/>
  <c r="FG8" i="42"/>
  <c r="FF8" i="42"/>
  <c r="FE8" i="42"/>
  <c r="FD8" i="42"/>
  <c r="FB8" i="42"/>
  <c r="FA8" i="42"/>
  <c r="EZ8" i="42"/>
  <c r="EY8" i="42"/>
  <c r="EX8" i="42"/>
  <c r="EW8" i="42"/>
  <c r="EA8" i="42"/>
  <c r="DZ8" i="42"/>
  <c r="DY8" i="42"/>
  <c r="DX8" i="42"/>
  <c r="DW8" i="42"/>
  <c r="DV8" i="42"/>
  <c r="DT8" i="42"/>
  <c r="DS8" i="42"/>
  <c r="DR8" i="42"/>
  <c r="DQ8" i="42"/>
  <c r="DP8" i="42"/>
  <c r="DO8" i="42"/>
  <c r="CR8" i="42"/>
  <c r="CQ8" i="42"/>
  <c r="CP8" i="42"/>
  <c r="CN8" i="42"/>
  <c r="CM8" i="42"/>
  <c r="CL8" i="42"/>
  <c r="CK8" i="42"/>
  <c r="CJ8" i="42"/>
  <c r="CI8" i="42"/>
  <c r="WI6" i="42"/>
  <c r="WH6" i="42"/>
  <c r="WG6" i="42"/>
  <c r="WF6" i="42"/>
  <c r="WE6" i="42"/>
  <c r="WD6" i="42"/>
  <c r="WB6" i="42"/>
  <c r="WA6" i="42"/>
  <c r="VZ6" i="42"/>
  <c r="VY6" i="42"/>
  <c r="VX6" i="42"/>
  <c r="VW6" i="42"/>
  <c r="VA6" i="42"/>
  <c r="UZ6" i="42"/>
  <c r="UY6" i="42"/>
  <c r="UX6" i="42"/>
  <c r="UW6" i="42"/>
  <c r="UV6" i="42"/>
  <c r="UT6" i="42"/>
  <c r="US6" i="42"/>
  <c r="UR6" i="42"/>
  <c r="UQ6" i="42"/>
  <c r="UP6" i="42"/>
  <c r="UO6" i="42"/>
  <c r="TS6" i="42"/>
  <c r="TR6" i="42"/>
  <c r="TQ6" i="42"/>
  <c r="TP6" i="42"/>
  <c r="TO6" i="42"/>
  <c r="TN6" i="42"/>
  <c r="TL6" i="42"/>
  <c r="TK6" i="42"/>
  <c r="TJ6" i="42"/>
  <c r="TI6" i="42"/>
  <c r="TH6" i="42"/>
  <c r="TG6" i="42"/>
  <c r="SK6" i="42"/>
  <c r="SJ6" i="42"/>
  <c r="SI6" i="42"/>
  <c r="SH6" i="42"/>
  <c r="SG6" i="42"/>
  <c r="SF6" i="42"/>
  <c r="SD6" i="42"/>
  <c r="SC6" i="42"/>
  <c r="SB6" i="42"/>
  <c r="SA6" i="42"/>
  <c r="RZ6" i="42"/>
  <c r="RY6" i="42"/>
  <c r="RC6" i="42"/>
  <c r="RB6" i="42"/>
  <c r="RA6" i="42"/>
  <c r="QZ6" i="42"/>
  <c r="QY6" i="42"/>
  <c r="QX6" i="42"/>
  <c r="QV6" i="42"/>
  <c r="QU6" i="42"/>
  <c r="QT6" i="42"/>
  <c r="QS6" i="42"/>
  <c r="QR6" i="42"/>
  <c r="QQ6" i="42"/>
  <c r="PU6" i="42"/>
  <c r="PT6" i="42"/>
  <c r="PS6" i="42"/>
  <c r="PR6" i="42"/>
  <c r="PQ6" i="42"/>
  <c r="PP6" i="42"/>
  <c r="PN6" i="42"/>
  <c r="PM6" i="42"/>
  <c r="PL6" i="42"/>
  <c r="PK6" i="42"/>
  <c r="PJ6" i="42"/>
  <c r="PI6" i="42"/>
  <c r="OM6" i="42"/>
  <c r="OL6" i="42"/>
  <c r="OK6" i="42"/>
  <c r="OJ6" i="42"/>
  <c r="OI6" i="42"/>
  <c r="OH6" i="42"/>
  <c r="OF6" i="42"/>
  <c r="OE6" i="42"/>
  <c r="OD6" i="42"/>
  <c r="OC6" i="42"/>
  <c r="OB6" i="42"/>
  <c r="OA6" i="42"/>
  <c r="NE6" i="42"/>
  <c r="ND6" i="42"/>
  <c r="NC6" i="42"/>
  <c r="NB6" i="42"/>
  <c r="NA6" i="42"/>
  <c r="MZ6" i="42"/>
  <c r="MX6" i="42"/>
  <c r="MW6" i="42"/>
  <c r="MV6" i="42"/>
  <c r="MU6" i="42"/>
  <c r="MT6" i="42"/>
  <c r="MS6" i="42"/>
  <c r="LW6" i="42"/>
  <c r="LV6" i="42"/>
  <c r="LU6" i="42"/>
  <c r="LT6" i="42"/>
  <c r="LS6" i="42"/>
  <c r="LR6" i="42"/>
  <c r="LP6" i="42"/>
  <c r="LO6" i="42"/>
  <c r="LN6" i="42"/>
  <c r="LM6" i="42"/>
  <c r="LL6" i="42"/>
  <c r="LK6" i="42"/>
  <c r="KO6" i="42"/>
  <c r="KN6" i="42"/>
  <c r="KM6" i="42"/>
  <c r="KL6" i="42"/>
  <c r="KK6" i="42"/>
  <c r="KJ6" i="42"/>
  <c r="KH6" i="42"/>
  <c r="KG6" i="42"/>
  <c r="KF6" i="42"/>
  <c r="KE6" i="42"/>
  <c r="KD6" i="42"/>
  <c r="KC6" i="42"/>
  <c r="JG6" i="42"/>
  <c r="JF6" i="42"/>
  <c r="JE6" i="42"/>
  <c r="JD6" i="42"/>
  <c r="JC6" i="42"/>
  <c r="JB6" i="42"/>
  <c r="IZ6" i="42"/>
  <c r="IY6" i="42"/>
  <c r="IX6" i="42"/>
  <c r="IW6" i="42"/>
  <c r="IV6" i="42"/>
  <c r="IU6" i="42"/>
  <c r="HY6" i="42"/>
  <c r="HX6" i="42"/>
  <c r="HW6" i="42"/>
  <c r="HV6" i="42"/>
  <c r="HU6" i="42"/>
  <c r="HT6" i="42"/>
  <c r="HR6" i="42"/>
  <c r="HQ6" i="42"/>
  <c r="HP6" i="42"/>
  <c r="HO6" i="42"/>
  <c r="HN6" i="42"/>
  <c r="HM6" i="42"/>
  <c r="GQ6" i="42"/>
  <c r="GP6" i="42"/>
  <c r="GO6" i="42"/>
  <c r="GN6" i="42"/>
  <c r="GM6" i="42"/>
  <c r="GL6" i="42"/>
  <c r="GJ6" i="42"/>
  <c r="GI6" i="42"/>
  <c r="GH6" i="42"/>
  <c r="GG6" i="42"/>
  <c r="GF6" i="42"/>
  <c r="GE6" i="42"/>
  <c r="FI6" i="42"/>
  <c r="FH6" i="42"/>
  <c r="FG6" i="42"/>
  <c r="FF6" i="42"/>
  <c r="FE6" i="42"/>
  <c r="FD6" i="42"/>
  <c r="FB6" i="42"/>
  <c r="FA6" i="42"/>
  <c r="EZ6" i="42"/>
  <c r="EY6" i="42"/>
  <c r="EX6" i="42"/>
  <c r="EW6" i="42"/>
  <c r="EA6" i="42"/>
  <c r="DZ6" i="42"/>
  <c r="DY6" i="42"/>
  <c r="DX6" i="42"/>
  <c r="DW6" i="42"/>
  <c r="DV6" i="42"/>
  <c r="DT6" i="42"/>
  <c r="DS6" i="42"/>
  <c r="DR6" i="42"/>
  <c r="DQ6" i="42"/>
  <c r="DP6" i="42"/>
  <c r="DO6" i="42"/>
  <c r="CR6" i="42"/>
  <c r="CQ6" i="42"/>
  <c r="CP6" i="42"/>
  <c r="CN6" i="42"/>
  <c r="CM6" i="42"/>
  <c r="CL6" i="42"/>
  <c r="CK6" i="42"/>
  <c r="CJ6" i="42"/>
  <c r="CI6" i="42"/>
  <c r="WI4" i="42"/>
  <c r="WH4" i="42"/>
  <c r="WG4" i="42"/>
  <c r="WF4" i="42"/>
  <c r="WE4" i="42"/>
  <c r="WD4" i="42"/>
  <c r="WB4" i="42"/>
  <c r="WA4" i="42"/>
  <c r="VZ4" i="42"/>
  <c r="VY4" i="42"/>
  <c r="VX4" i="42"/>
  <c r="VW4" i="42"/>
  <c r="VA4" i="42"/>
  <c r="UZ4" i="42"/>
  <c r="UY4" i="42"/>
  <c r="UX4" i="42"/>
  <c r="UW4" i="42"/>
  <c r="UV4" i="42"/>
  <c r="UT4" i="42"/>
  <c r="US4" i="42"/>
  <c r="UR4" i="42"/>
  <c r="UQ4" i="42"/>
  <c r="UP4" i="42"/>
  <c r="UO4" i="42"/>
  <c r="TS4" i="42"/>
  <c r="TR4" i="42"/>
  <c r="TQ4" i="42"/>
  <c r="TP4" i="42"/>
  <c r="TO4" i="42"/>
  <c r="TN4" i="42"/>
  <c r="TL4" i="42"/>
  <c r="TK4" i="42"/>
  <c r="TJ4" i="42"/>
  <c r="TI4" i="42"/>
  <c r="TH4" i="42"/>
  <c r="TG4" i="42"/>
  <c r="SK4" i="42"/>
  <c r="SJ4" i="42"/>
  <c r="SI4" i="42"/>
  <c r="SH4" i="42"/>
  <c r="SG4" i="42"/>
  <c r="SF4" i="42"/>
  <c r="SD4" i="42"/>
  <c r="SC4" i="42"/>
  <c r="SB4" i="42"/>
  <c r="SA4" i="42"/>
  <c r="RZ4" i="42"/>
  <c r="RY4" i="42"/>
  <c r="RC4" i="42"/>
  <c r="RB4" i="42"/>
  <c r="RA4" i="42"/>
  <c r="QZ4" i="42"/>
  <c r="QY4" i="42"/>
  <c r="QX4" i="42"/>
  <c r="QV4" i="42"/>
  <c r="QU4" i="42"/>
  <c r="QT4" i="42"/>
  <c r="QS4" i="42"/>
  <c r="QR4" i="42"/>
  <c r="QQ4" i="42"/>
  <c r="PU4" i="42"/>
  <c r="PT4" i="42"/>
  <c r="PS4" i="42"/>
  <c r="PR4" i="42"/>
  <c r="PQ4" i="42"/>
  <c r="PP4" i="42"/>
  <c r="PN4" i="42"/>
  <c r="PM4" i="42"/>
  <c r="PL4" i="42"/>
  <c r="PK4" i="42"/>
  <c r="PJ4" i="42"/>
  <c r="PI4" i="42"/>
  <c r="OM4" i="42"/>
  <c r="OL4" i="42"/>
  <c r="OK4" i="42"/>
  <c r="OJ4" i="42"/>
  <c r="OI4" i="42"/>
  <c r="OH4" i="42"/>
  <c r="OF4" i="42"/>
  <c r="OE4" i="42"/>
  <c r="OD4" i="42"/>
  <c r="OC4" i="42"/>
  <c r="OB4" i="42"/>
  <c r="OA4" i="42"/>
  <c r="NE4" i="42"/>
  <c r="ND4" i="42"/>
  <c r="NC4" i="42"/>
  <c r="NB4" i="42"/>
  <c r="NA4" i="42"/>
  <c r="MZ4" i="42"/>
  <c r="MX4" i="42"/>
  <c r="MW4" i="42"/>
  <c r="MV4" i="42"/>
  <c r="MU4" i="42"/>
  <c r="MT4" i="42"/>
  <c r="MS4" i="42"/>
  <c r="LW4" i="42"/>
  <c r="LV4" i="42"/>
  <c r="LU4" i="42"/>
  <c r="LT4" i="42"/>
  <c r="LS4" i="42"/>
  <c r="LR4" i="42"/>
  <c r="LP4" i="42"/>
  <c r="LO4" i="42"/>
  <c r="LN4" i="42"/>
  <c r="LM4" i="42"/>
  <c r="LL4" i="42"/>
  <c r="LK4" i="42"/>
  <c r="KO4" i="42"/>
  <c r="KN4" i="42"/>
  <c r="KM4" i="42"/>
  <c r="KL4" i="42"/>
  <c r="KK4" i="42"/>
  <c r="KJ4" i="42"/>
  <c r="KH4" i="42"/>
  <c r="KG4" i="42"/>
  <c r="KF4" i="42"/>
  <c r="KE4" i="42"/>
  <c r="KD4" i="42"/>
  <c r="KC4" i="42"/>
  <c r="JG4" i="42"/>
  <c r="JF4" i="42"/>
  <c r="JE4" i="42"/>
  <c r="JD4" i="42"/>
  <c r="JC4" i="42"/>
  <c r="JB4" i="42"/>
  <c r="IZ4" i="42"/>
  <c r="IY4" i="42"/>
  <c r="IX4" i="42"/>
  <c r="IW4" i="42"/>
  <c r="IV4" i="42"/>
  <c r="IU4" i="42"/>
  <c r="HY4" i="42"/>
  <c r="HX4" i="42"/>
  <c r="HW4" i="42"/>
  <c r="HV4" i="42"/>
  <c r="HU4" i="42"/>
  <c r="HT4" i="42"/>
  <c r="HR4" i="42"/>
  <c r="HQ4" i="42"/>
  <c r="HP4" i="42"/>
  <c r="HO4" i="42"/>
  <c r="HN4" i="42"/>
  <c r="HM4" i="42"/>
  <c r="GQ4" i="42"/>
  <c r="GP4" i="42"/>
  <c r="GO4" i="42"/>
  <c r="GN4" i="42"/>
  <c r="GM4" i="42"/>
  <c r="GL4" i="42"/>
  <c r="GJ4" i="42"/>
  <c r="GI4" i="42"/>
  <c r="GH4" i="42"/>
  <c r="GG4" i="42"/>
  <c r="GF4" i="42"/>
  <c r="GE4" i="42"/>
  <c r="FI4" i="42"/>
  <c r="FH4" i="42"/>
  <c r="FG4" i="42"/>
  <c r="FF4" i="42"/>
  <c r="FE4" i="42"/>
  <c r="FD4" i="42"/>
  <c r="FB4" i="42"/>
  <c r="FA4" i="42"/>
  <c r="EZ4" i="42"/>
  <c r="EY4" i="42"/>
  <c r="EX4" i="42"/>
  <c r="EW4" i="42"/>
  <c r="EA4" i="42"/>
  <c r="DZ4" i="42"/>
  <c r="DY4" i="42"/>
  <c r="DX4" i="42"/>
  <c r="DW4" i="42"/>
  <c r="DV4" i="42"/>
  <c r="DT4" i="42"/>
  <c r="DS4" i="42"/>
  <c r="DR4" i="42"/>
  <c r="DQ4" i="42"/>
  <c r="DP4" i="42"/>
  <c r="DO4" i="42"/>
  <c r="CR4" i="42"/>
  <c r="CQ4" i="42"/>
  <c r="CP4" i="42"/>
  <c r="CN4" i="42"/>
  <c r="CM4" i="42"/>
  <c r="CL4" i="42"/>
  <c r="CK4" i="42"/>
  <c r="CJ4" i="42"/>
  <c r="CI4" i="42"/>
  <c r="WI5" i="42"/>
  <c r="WH5" i="42"/>
  <c r="WG5" i="42"/>
  <c r="WF5" i="42"/>
  <c r="WE5" i="42"/>
  <c r="WD5" i="42"/>
  <c r="WB5" i="42"/>
  <c r="WA5" i="42"/>
  <c r="VZ5" i="42"/>
  <c r="VY5" i="42"/>
  <c r="VX5" i="42"/>
  <c r="VW5" i="42"/>
  <c r="VA5" i="42"/>
  <c r="UZ5" i="42"/>
  <c r="UY5" i="42"/>
  <c r="UX5" i="42"/>
  <c r="UW5" i="42"/>
  <c r="UV5" i="42"/>
  <c r="UT5" i="42"/>
  <c r="US5" i="42"/>
  <c r="UR5" i="42"/>
  <c r="UQ5" i="42"/>
  <c r="UP5" i="42"/>
  <c r="UO5" i="42"/>
  <c r="TS5" i="42"/>
  <c r="TR5" i="42"/>
  <c r="TQ5" i="42"/>
  <c r="TP5" i="42"/>
  <c r="TO5" i="42"/>
  <c r="TN5" i="42"/>
  <c r="TL5" i="42"/>
  <c r="TK5" i="42"/>
  <c r="TJ5" i="42"/>
  <c r="TI5" i="42"/>
  <c r="TH5" i="42"/>
  <c r="TG5" i="42"/>
  <c r="SK5" i="42"/>
  <c r="SJ5" i="42"/>
  <c r="SI5" i="42"/>
  <c r="SH5" i="42"/>
  <c r="SG5" i="42"/>
  <c r="SF5" i="42"/>
  <c r="SD5" i="42"/>
  <c r="SC5" i="42"/>
  <c r="SB5" i="42"/>
  <c r="SA5" i="42"/>
  <c r="RZ5" i="42"/>
  <c r="RY5" i="42"/>
  <c r="RC5" i="42"/>
  <c r="RB5" i="42"/>
  <c r="RA5" i="42"/>
  <c r="QZ5" i="42"/>
  <c r="QY5" i="42"/>
  <c r="QX5" i="42"/>
  <c r="QV5" i="42"/>
  <c r="QU5" i="42"/>
  <c r="QT5" i="42"/>
  <c r="QS5" i="42"/>
  <c r="QR5" i="42"/>
  <c r="QQ5" i="42"/>
  <c r="PU5" i="42"/>
  <c r="PT5" i="42"/>
  <c r="PS5" i="42"/>
  <c r="PR5" i="42"/>
  <c r="PQ5" i="42"/>
  <c r="PP5" i="42"/>
  <c r="PN5" i="42"/>
  <c r="PM5" i="42"/>
  <c r="PL5" i="42"/>
  <c r="PK5" i="42"/>
  <c r="PJ5" i="42"/>
  <c r="PI5" i="42"/>
  <c r="OM5" i="42"/>
  <c r="OL5" i="42"/>
  <c r="OK5" i="42"/>
  <c r="OJ5" i="42"/>
  <c r="OI5" i="42"/>
  <c r="OH5" i="42"/>
  <c r="OF5" i="42"/>
  <c r="OE5" i="42"/>
  <c r="OD5" i="42"/>
  <c r="OC5" i="42"/>
  <c r="OB5" i="42"/>
  <c r="OA5" i="42"/>
  <c r="NE5" i="42"/>
  <c r="ND5" i="42"/>
  <c r="NC5" i="42"/>
  <c r="NB5" i="42"/>
  <c r="NA5" i="42"/>
  <c r="MZ5" i="42"/>
  <c r="MX5" i="42"/>
  <c r="MW5" i="42"/>
  <c r="MV5" i="42"/>
  <c r="MU5" i="42"/>
  <c r="MT5" i="42"/>
  <c r="MS5" i="42"/>
  <c r="LW5" i="42"/>
  <c r="LV5" i="42"/>
  <c r="LU5" i="42"/>
  <c r="LT5" i="42"/>
  <c r="LS5" i="42"/>
  <c r="LR5" i="42"/>
  <c r="LP5" i="42"/>
  <c r="LO5" i="42"/>
  <c r="LN5" i="42"/>
  <c r="LM5" i="42"/>
  <c r="LL5" i="42"/>
  <c r="LK5" i="42"/>
  <c r="KO5" i="42"/>
  <c r="KN5" i="42"/>
  <c r="KM5" i="42"/>
  <c r="KL5" i="42"/>
  <c r="KK5" i="42"/>
  <c r="KJ5" i="42"/>
  <c r="KH5" i="42"/>
  <c r="KG5" i="42"/>
  <c r="KF5" i="42"/>
  <c r="KE5" i="42"/>
  <c r="KD5" i="42"/>
  <c r="KC5" i="42"/>
  <c r="JG5" i="42"/>
  <c r="JF5" i="42"/>
  <c r="JE5" i="42"/>
  <c r="JD5" i="42"/>
  <c r="JC5" i="42"/>
  <c r="JB5" i="42"/>
  <c r="IZ5" i="42"/>
  <c r="IY5" i="42"/>
  <c r="IX5" i="42"/>
  <c r="IW5" i="42"/>
  <c r="IV5" i="42"/>
  <c r="IU5" i="42"/>
  <c r="HY5" i="42"/>
  <c r="HX5" i="42"/>
  <c r="HW5" i="42"/>
  <c r="HV5" i="42"/>
  <c r="HU5" i="42"/>
  <c r="HT5" i="42"/>
  <c r="HR5" i="42"/>
  <c r="HQ5" i="42"/>
  <c r="HP5" i="42"/>
  <c r="HO5" i="42"/>
  <c r="HN5" i="42"/>
  <c r="HM5" i="42"/>
  <c r="GQ5" i="42"/>
  <c r="GP5" i="42"/>
  <c r="GO5" i="42"/>
  <c r="GN5" i="42"/>
  <c r="GM5" i="42"/>
  <c r="GL5" i="42"/>
  <c r="GJ5" i="42"/>
  <c r="GI5" i="42"/>
  <c r="GH5" i="42"/>
  <c r="GG5" i="42"/>
  <c r="GF5" i="42"/>
  <c r="GE5" i="42"/>
  <c r="FI5" i="42"/>
  <c r="FH5" i="42"/>
  <c r="FG5" i="42"/>
  <c r="FF5" i="42"/>
  <c r="FE5" i="42"/>
  <c r="FD5" i="42"/>
  <c r="FB5" i="42"/>
  <c r="FA5" i="42"/>
  <c r="EZ5" i="42"/>
  <c r="EY5" i="42"/>
  <c r="EX5" i="42"/>
  <c r="EW5" i="42"/>
  <c r="EA5" i="42"/>
  <c r="DZ5" i="42"/>
  <c r="DY5" i="42"/>
  <c r="DX5" i="42"/>
  <c r="DW5" i="42"/>
  <c r="DV5" i="42"/>
  <c r="DT5" i="42"/>
  <c r="DS5" i="42"/>
  <c r="DR5" i="42"/>
  <c r="DQ5" i="42"/>
  <c r="DP5" i="42"/>
  <c r="DO5" i="42"/>
  <c r="CR5" i="42"/>
  <c r="CQ5" i="42"/>
  <c r="CP5" i="42"/>
  <c r="CN5" i="42"/>
  <c r="CM5" i="42"/>
  <c r="CL5" i="42"/>
  <c r="CK5" i="42"/>
  <c r="CJ5" i="42"/>
  <c r="CI5" i="42"/>
  <c r="WI11" i="41"/>
  <c r="WH11" i="41"/>
  <c r="WG11" i="41"/>
  <c r="WF11" i="41"/>
  <c r="WE11" i="41"/>
  <c r="WD11" i="41"/>
  <c r="WB11" i="41"/>
  <c r="WA11" i="41"/>
  <c r="VZ11" i="41"/>
  <c r="VY11" i="41"/>
  <c r="VX11" i="41"/>
  <c r="VW11" i="41"/>
  <c r="VA11" i="41"/>
  <c r="UZ11" i="41"/>
  <c r="UY11" i="41"/>
  <c r="UX11" i="41"/>
  <c r="UW11" i="41"/>
  <c r="UV11" i="41"/>
  <c r="UT11" i="41"/>
  <c r="US11" i="41"/>
  <c r="UR11" i="41"/>
  <c r="UQ11" i="41"/>
  <c r="UP11" i="41"/>
  <c r="UO11" i="41"/>
  <c r="TS11" i="41"/>
  <c r="TR11" i="41"/>
  <c r="TQ11" i="41"/>
  <c r="TP11" i="41"/>
  <c r="TO11" i="41"/>
  <c r="TN11" i="41"/>
  <c r="TL11" i="41"/>
  <c r="TK11" i="41"/>
  <c r="TJ11" i="41"/>
  <c r="TI11" i="41"/>
  <c r="TH11" i="41"/>
  <c r="TG11" i="41"/>
  <c r="SK11" i="41"/>
  <c r="SJ11" i="41"/>
  <c r="SI11" i="41"/>
  <c r="SH11" i="41"/>
  <c r="SG11" i="41"/>
  <c r="SF11" i="41"/>
  <c r="SD11" i="41"/>
  <c r="SC11" i="41"/>
  <c r="SB11" i="41"/>
  <c r="SA11" i="41"/>
  <c r="SE11" i="41" s="1"/>
  <c r="RZ11" i="41"/>
  <c r="RY11" i="41"/>
  <c r="RC11" i="41"/>
  <c r="RB11" i="41"/>
  <c r="RA11" i="41"/>
  <c r="QZ11" i="41"/>
  <c r="QY11" i="41"/>
  <c r="QX11" i="41"/>
  <c r="QV11" i="41"/>
  <c r="QU11" i="41"/>
  <c r="QT11" i="41"/>
  <c r="QS11" i="41"/>
  <c r="QR11" i="41"/>
  <c r="QQ11" i="41"/>
  <c r="PU11" i="41"/>
  <c r="PT11" i="41"/>
  <c r="PS11" i="41"/>
  <c r="PR11" i="41"/>
  <c r="PQ11" i="41"/>
  <c r="PP11" i="41"/>
  <c r="PN11" i="41"/>
  <c r="PM11" i="41"/>
  <c r="PL11" i="41"/>
  <c r="PK11" i="41"/>
  <c r="PJ11" i="41"/>
  <c r="PI11" i="41"/>
  <c r="OM11" i="41"/>
  <c r="OL11" i="41"/>
  <c r="OK11" i="41"/>
  <c r="OJ11" i="41"/>
  <c r="OI11" i="41"/>
  <c r="OH11" i="41"/>
  <c r="OF11" i="41"/>
  <c r="OE11" i="41"/>
  <c r="OD11" i="41"/>
  <c r="OC11" i="41"/>
  <c r="OB11" i="41"/>
  <c r="OA11" i="41"/>
  <c r="NE11" i="41"/>
  <c r="ND11" i="41"/>
  <c r="NC11" i="41"/>
  <c r="NB11" i="41"/>
  <c r="NA11" i="41"/>
  <c r="MZ11" i="41"/>
  <c r="MX11" i="41"/>
  <c r="MW11" i="41"/>
  <c r="MV11" i="41"/>
  <c r="MU11" i="41"/>
  <c r="MT11" i="41"/>
  <c r="MS11" i="41"/>
  <c r="LW11" i="41"/>
  <c r="LV11" i="41"/>
  <c r="LU11" i="41"/>
  <c r="LT11" i="41"/>
  <c r="LS11" i="41"/>
  <c r="LR11" i="41"/>
  <c r="LP11" i="41"/>
  <c r="LO11" i="41"/>
  <c r="LN11" i="41"/>
  <c r="LM11" i="41"/>
  <c r="LL11" i="41"/>
  <c r="LK11" i="41"/>
  <c r="KO11" i="41"/>
  <c r="KN11" i="41"/>
  <c r="KM11" i="41"/>
  <c r="KL11" i="41"/>
  <c r="KK11" i="41"/>
  <c r="KJ11" i="41"/>
  <c r="KH11" i="41"/>
  <c r="KG11" i="41"/>
  <c r="KF11" i="41"/>
  <c r="KE11" i="41"/>
  <c r="KD11" i="41"/>
  <c r="KC11" i="41"/>
  <c r="JG11" i="41"/>
  <c r="JF11" i="41"/>
  <c r="JE11" i="41"/>
  <c r="JD11" i="41"/>
  <c r="JC11" i="41"/>
  <c r="JB11" i="41"/>
  <c r="IZ11" i="41"/>
  <c r="IY11" i="41"/>
  <c r="IX11" i="41"/>
  <c r="IW11" i="41"/>
  <c r="JA11" i="41" s="1"/>
  <c r="IV11" i="41"/>
  <c r="IU11" i="41"/>
  <c r="HY11" i="41"/>
  <c r="HX11" i="41"/>
  <c r="HW11" i="41"/>
  <c r="HV11" i="41"/>
  <c r="HU11" i="41"/>
  <c r="HT11" i="41"/>
  <c r="HR11" i="41"/>
  <c r="HQ11" i="41"/>
  <c r="HP11" i="41"/>
  <c r="HO11" i="41"/>
  <c r="HN11" i="41"/>
  <c r="HM11" i="41"/>
  <c r="GQ11" i="41"/>
  <c r="GP11" i="41"/>
  <c r="GO11" i="41"/>
  <c r="GN11" i="41"/>
  <c r="GM11" i="41"/>
  <c r="GL11" i="41"/>
  <c r="GJ11" i="41"/>
  <c r="GI11" i="41"/>
  <c r="GH11" i="41"/>
  <c r="GG11" i="41"/>
  <c r="GF11" i="41"/>
  <c r="GE11" i="41"/>
  <c r="FI11" i="41"/>
  <c r="FH11" i="41"/>
  <c r="FG11" i="41"/>
  <c r="FF11" i="41"/>
  <c r="FE11" i="41"/>
  <c r="FD11" i="41"/>
  <c r="FB11" i="41"/>
  <c r="FA11" i="41"/>
  <c r="EZ11" i="41"/>
  <c r="EY11" i="41"/>
  <c r="EX11" i="41"/>
  <c r="EW11" i="41"/>
  <c r="EA11" i="41"/>
  <c r="DZ11" i="41"/>
  <c r="DY11" i="41"/>
  <c r="DX11" i="41"/>
  <c r="DW11" i="41"/>
  <c r="DV11" i="41"/>
  <c r="DT11" i="41"/>
  <c r="DS11" i="41"/>
  <c r="DR11" i="41"/>
  <c r="DQ11" i="41"/>
  <c r="DP11" i="41"/>
  <c r="DO11" i="41"/>
  <c r="CR11" i="41"/>
  <c r="CQ11" i="41"/>
  <c r="CP11" i="41"/>
  <c r="CN11" i="41"/>
  <c r="CM11" i="41"/>
  <c r="CL11" i="41"/>
  <c r="CK11" i="41"/>
  <c r="CO11" i="41" s="1"/>
  <c r="CJ11" i="41"/>
  <c r="CI11" i="41"/>
  <c r="WI9" i="41"/>
  <c r="WH9" i="41"/>
  <c r="WG9" i="41"/>
  <c r="WF9" i="41"/>
  <c r="WE9" i="41"/>
  <c r="WD9" i="41"/>
  <c r="WB9" i="41"/>
  <c r="WA9" i="41"/>
  <c r="VZ9" i="41"/>
  <c r="VY9" i="41"/>
  <c r="VX9" i="41"/>
  <c r="VW9" i="41"/>
  <c r="VA9" i="41"/>
  <c r="UZ9" i="41"/>
  <c r="UY9" i="41"/>
  <c r="UX9" i="41"/>
  <c r="UW9" i="41"/>
  <c r="UV9" i="41"/>
  <c r="UT9" i="41"/>
  <c r="US9" i="41"/>
  <c r="UR9" i="41"/>
  <c r="UQ9" i="41"/>
  <c r="UP9" i="41"/>
  <c r="UO9" i="41"/>
  <c r="TS9" i="41"/>
  <c r="TR9" i="41"/>
  <c r="TQ9" i="41"/>
  <c r="TP9" i="41"/>
  <c r="TO9" i="41"/>
  <c r="TN9" i="41"/>
  <c r="TL9" i="41"/>
  <c r="TK9" i="41"/>
  <c r="TJ9" i="41"/>
  <c r="TI9" i="41"/>
  <c r="TH9" i="41"/>
  <c r="TG9" i="41"/>
  <c r="SK9" i="41"/>
  <c r="SJ9" i="41"/>
  <c r="SI9" i="41"/>
  <c r="SH9" i="41"/>
  <c r="SG9" i="41"/>
  <c r="SF9" i="41"/>
  <c r="SD9" i="41"/>
  <c r="SC9" i="41"/>
  <c r="SB9" i="41"/>
  <c r="SA9" i="41"/>
  <c r="RZ9" i="41"/>
  <c r="RY9" i="41"/>
  <c r="RC9" i="41"/>
  <c r="RB9" i="41"/>
  <c r="RA9" i="41"/>
  <c r="QZ9" i="41"/>
  <c r="QY9" i="41"/>
  <c r="QX9" i="41"/>
  <c r="QV9" i="41"/>
  <c r="QU9" i="41"/>
  <c r="QT9" i="41"/>
  <c r="QS9" i="41"/>
  <c r="QR9" i="41"/>
  <c r="QQ9" i="41"/>
  <c r="PU9" i="41"/>
  <c r="PT9" i="41"/>
  <c r="PS9" i="41"/>
  <c r="PR9" i="41"/>
  <c r="PQ9" i="41"/>
  <c r="PP9" i="41"/>
  <c r="PN9" i="41"/>
  <c r="PM9" i="41"/>
  <c r="PL9" i="41"/>
  <c r="PK9" i="41"/>
  <c r="PJ9" i="41"/>
  <c r="PI9" i="41"/>
  <c r="OM9" i="41"/>
  <c r="OL9" i="41"/>
  <c r="OK9" i="41"/>
  <c r="OJ9" i="41"/>
  <c r="OI9" i="41"/>
  <c r="OH9" i="41"/>
  <c r="OF9" i="41"/>
  <c r="OE9" i="41"/>
  <c r="OD9" i="41"/>
  <c r="OC9" i="41"/>
  <c r="OB9" i="41"/>
  <c r="OA9" i="41"/>
  <c r="NE9" i="41"/>
  <c r="ND9" i="41"/>
  <c r="NC9" i="41"/>
  <c r="NB9" i="41"/>
  <c r="NA9" i="41"/>
  <c r="MZ9" i="41"/>
  <c r="MX9" i="41"/>
  <c r="MW9" i="41"/>
  <c r="MV9" i="41"/>
  <c r="MU9" i="41"/>
  <c r="MT9" i="41"/>
  <c r="MS9" i="41"/>
  <c r="LW9" i="41"/>
  <c r="LV9" i="41"/>
  <c r="LU9" i="41"/>
  <c r="LT9" i="41"/>
  <c r="LS9" i="41"/>
  <c r="LR9" i="41"/>
  <c r="LP9" i="41"/>
  <c r="LO9" i="41"/>
  <c r="LN9" i="41"/>
  <c r="LM9" i="41"/>
  <c r="LL9" i="41"/>
  <c r="LK9" i="41"/>
  <c r="KO9" i="41"/>
  <c r="KN9" i="41"/>
  <c r="KM9" i="41"/>
  <c r="KL9" i="41"/>
  <c r="KK9" i="41"/>
  <c r="KJ9" i="41"/>
  <c r="KH9" i="41"/>
  <c r="KG9" i="41"/>
  <c r="KF9" i="41"/>
  <c r="KE9" i="41"/>
  <c r="KD9" i="41"/>
  <c r="KC9" i="41"/>
  <c r="JG9" i="41"/>
  <c r="JF9" i="41"/>
  <c r="JE9" i="41"/>
  <c r="JD9" i="41"/>
  <c r="JC9" i="41"/>
  <c r="JB9" i="41"/>
  <c r="IZ9" i="41"/>
  <c r="IY9" i="41"/>
  <c r="IX9" i="41"/>
  <c r="IW9" i="41"/>
  <c r="IV9" i="41"/>
  <c r="IU9" i="41"/>
  <c r="HY9" i="41"/>
  <c r="HX9" i="41"/>
  <c r="HW9" i="41"/>
  <c r="HV9" i="41"/>
  <c r="HU9" i="41"/>
  <c r="HT9" i="41"/>
  <c r="HR9" i="41"/>
  <c r="HQ9" i="41"/>
  <c r="HP9" i="41"/>
  <c r="HO9" i="41"/>
  <c r="HN9" i="41"/>
  <c r="HM9" i="41"/>
  <c r="GQ9" i="41"/>
  <c r="GP9" i="41"/>
  <c r="GO9" i="41"/>
  <c r="GN9" i="41"/>
  <c r="GM9" i="41"/>
  <c r="GL9" i="41"/>
  <c r="GJ9" i="41"/>
  <c r="GI9" i="41"/>
  <c r="GH9" i="41"/>
  <c r="GG9" i="41"/>
  <c r="GK9" i="41" s="1"/>
  <c r="GF9" i="41"/>
  <c r="GE9" i="41"/>
  <c r="FI9" i="41"/>
  <c r="FH9" i="41"/>
  <c r="FG9" i="41"/>
  <c r="FF9" i="41"/>
  <c r="FE9" i="41"/>
  <c r="FD9" i="41"/>
  <c r="FB9" i="41"/>
  <c r="FA9" i="41"/>
  <c r="EZ9" i="41"/>
  <c r="EY9" i="41"/>
  <c r="EX9" i="41"/>
  <c r="EW9" i="41"/>
  <c r="EA9" i="41"/>
  <c r="DZ9" i="41"/>
  <c r="DY9" i="41"/>
  <c r="DX9" i="41"/>
  <c r="DW9" i="41"/>
  <c r="DV9" i="41"/>
  <c r="DT9" i="41"/>
  <c r="DS9" i="41"/>
  <c r="DR9" i="41"/>
  <c r="DQ9" i="41"/>
  <c r="DP9" i="41"/>
  <c r="DO9" i="41"/>
  <c r="CR9" i="41"/>
  <c r="CQ9" i="41"/>
  <c r="CP9" i="41"/>
  <c r="CN9" i="41"/>
  <c r="CM9" i="41"/>
  <c r="CL9" i="41"/>
  <c r="CK9" i="41"/>
  <c r="CO9" i="41" s="1"/>
  <c r="CJ9" i="41"/>
  <c r="CI9" i="41"/>
  <c r="WI8" i="41"/>
  <c r="WH8" i="41"/>
  <c r="WG8" i="41"/>
  <c r="WF8" i="41"/>
  <c r="WE8" i="41"/>
  <c r="WD8" i="41"/>
  <c r="WB8" i="41"/>
  <c r="WA8" i="41"/>
  <c r="VZ8" i="41"/>
  <c r="VY8" i="41"/>
  <c r="VX8" i="41"/>
  <c r="VW8" i="41"/>
  <c r="VA8" i="41"/>
  <c r="UZ8" i="41"/>
  <c r="UY8" i="41"/>
  <c r="UX8" i="41"/>
  <c r="UW8" i="41"/>
  <c r="UV8" i="41"/>
  <c r="UT8" i="41"/>
  <c r="US8" i="41"/>
  <c r="UR8" i="41"/>
  <c r="UQ8" i="41"/>
  <c r="UP8" i="41"/>
  <c r="UO8" i="41"/>
  <c r="TS8" i="41"/>
  <c r="TR8" i="41"/>
  <c r="TQ8" i="41"/>
  <c r="TP8" i="41"/>
  <c r="TO8" i="41"/>
  <c r="TN8" i="41"/>
  <c r="TL8" i="41"/>
  <c r="TK8" i="41"/>
  <c r="TJ8" i="41"/>
  <c r="TI8" i="41"/>
  <c r="TH8" i="41"/>
  <c r="TG8" i="41"/>
  <c r="SK8" i="41"/>
  <c r="SJ8" i="41"/>
  <c r="SI8" i="41"/>
  <c r="SH8" i="41"/>
  <c r="SG8" i="41"/>
  <c r="SF8" i="41"/>
  <c r="SD8" i="41"/>
  <c r="SC8" i="41"/>
  <c r="SB8" i="41"/>
  <c r="SA8" i="41"/>
  <c r="RZ8" i="41"/>
  <c r="RY8" i="41"/>
  <c r="RC8" i="41"/>
  <c r="RB8" i="41"/>
  <c r="RA8" i="41"/>
  <c r="QZ8" i="41"/>
  <c r="QY8" i="41"/>
  <c r="QX8" i="41"/>
  <c r="QV8" i="41"/>
  <c r="QU8" i="41"/>
  <c r="QT8" i="41"/>
  <c r="QS8" i="41"/>
  <c r="QR8" i="41"/>
  <c r="QQ8" i="41"/>
  <c r="PU8" i="41"/>
  <c r="PT8" i="41"/>
  <c r="PS8" i="41"/>
  <c r="PR8" i="41"/>
  <c r="PQ8" i="41"/>
  <c r="PP8" i="41"/>
  <c r="PN8" i="41"/>
  <c r="PM8" i="41"/>
  <c r="PL8" i="41"/>
  <c r="PK8" i="41"/>
  <c r="PJ8" i="41"/>
  <c r="PI8" i="41"/>
  <c r="OM8" i="41"/>
  <c r="OL8" i="41"/>
  <c r="OK8" i="41"/>
  <c r="OJ8" i="41"/>
  <c r="OI8" i="41"/>
  <c r="OH8" i="41"/>
  <c r="OF8" i="41"/>
  <c r="OE8" i="41"/>
  <c r="OD8" i="41"/>
  <c r="OC8" i="41"/>
  <c r="OB8" i="41"/>
  <c r="OA8" i="41"/>
  <c r="NE8" i="41"/>
  <c r="ND8" i="41"/>
  <c r="NC8" i="41"/>
  <c r="NB8" i="41"/>
  <c r="NA8" i="41"/>
  <c r="MZ8" i="41"/>
  <c r="MX8" i="41"/>
  <c r="MW8" i="41"/>
  <c r="MV8" i="41"/>
  <c r="MU8" i="41"/>
  <c r="MT8" i="41"/>
  <c r="MS8" i="41"/>
  <c r="LW8" i="41"/>
  <c r="LV8" i="41"/>
  <c r="LU8" i="41"/>
  <c r="LT8" i="41"/>
  <c r="LS8" i="41"/>
  <c r="LR8" i="41"/>
  <c r="LP8" i="41"/>
  <c r="LO8" i="41"/>
  <c r="LN8" i="41"/>
  <c r="LM8" i="41"/>
  <c r="LL8" i="41"/>
  <c r="LK8" i="41"/>
  <c r="KO8" i="41"/>
  <c r="KN8" i="41"/>
  <c r="KM8" i="41"/>
  <c r="KL8" i="41"/>
  <c r="KK8" i="41"/>
  <c r="KJ8" i="41"/>
  <c r="KH8" i="41"/>
  <c r="KG8" i="41"/>
  <c r="KF8" i="41"/>
  <c r="KE8" i="41"/>
  <c r="KD8" i="41"/>
  <c r="KC8" i="41"/>
  <c r="JG8" i="41"/>
  <c r="JF8" i="41"/>
  <c r="JE8" i="41"/>
  <c r="JD8" i="41"/>
  <c r="JC8" i="41"/>
  <c r="JB8" i="41"/>
  <c r="IZ8" i="41"/>
  <c r="IY8" i="41"/>
  <c r="IX8" i="41"/>
  <c r="IW8" i="41"/>
  <c r="IV8" i="41"/>
  <c r="IU8" i="41"/>
  <c r="HY8" i="41"/>
  <c r="HX8" i="41"/>
  <c r="HW8" i="41"/>
  <c r="HV8" i="41"/>
  <c r="HU8" i="41"/>
  <c r="HT8" i="41"/>
  <c r="HR8" i="41"/>
  <c r="HQ8" i="41"/>
  <c r="HP8" i="41"/>
  <c r="HO8" i="41"/>
  <c r="HN8" i="41"/>
  <c r="HM8" i="41"/>
  <c r="GQ8" i="41"/>
  <c r="GP8" i="41"/>
  <c r="GO8" i="41"/>
  <c r="GN8" i="41"/>
  <c r="GM8" i="41"/>
  <c r="GL8" i="41"/>
  <c r="GJ8" i="41"/>
  <c r="GI8" i="41"/>
  <c r="GH8" i="41"/>
  <c r="GG8" i="41"/>
  <c r="GF8" i="41"/>
  <c r="GE8" i="41"/>
  <c r="FI8" i="41"/>
  <c r="FH8" i="41"/>
  <c r="FG8" i="41"/>
  <c r="FF8" i="41"/>
  <c r="FE8" i="41"/>
  <c r="FD8" i="41"/>
  <c r="FB8" i="41"/>
  <c r="FA8" i="41"/>
  <c r="EZ8" i="41"/>
  <c r="EY8" i="41"/>
  <c r="EX8" i="41"/>
  <c r="EW8" i="41"/>
  <c r="EA8" i="41"/>
  <c r="DZ8" i="41"/>
  <c r="DY8" i="41"/>
  <c r="DX8" i="41"/>
  <c r="DW8" i="41"/>
  <c r="DV8" i="41"/>
  <c r="DT8" i="41"/>
  <c r="DS8" i="41"/>
  <c r="DR8" i="41"/>
  <c r="DQ8" i="41"/>
  <c r="DP8" i="41"/>
  <c r="DO8" i="41"/>
  <c r="CR8" i="41"/>
  <c r="CQ8" i="41"/>
  <c r="CP8" i="41"/>
  <c r="CN8" i="41"/>
  <c r="CM8" i="41"/>
  <c r="CL8" i="41"/>
  <c r="CK8" i="41"/>
  <c r="CO8" i="41" s="1"/>
  <c r="CS8" i="41" s="1"/>
  <c r="CJ8" i="41"/>
  <c r="CI8" i="41"/>
  <c r="WI7" i="41"/>
  <c r="WH7" i="41"/>
  <c r="WG7" i="41"/>
  <c r="WF7" i="41"/>
  <c r="WE7" i="41"/>
  <c r="WD7" i="41"/>
  <c r="WB7" i="41"/>
  <c r="WA7" i="41"/>
  <c r="VZ7" i="41"/>
  <c r="VY7" i="41"/>
  <c r="VX7" i="41"/>
  <c r="VW7" i="41"/>
  <c r="VA7" i="41"/>
  <c r="UZ7" i="41"/>
  <c r="UY7" i="41"/>
  <c r="UX7" i="41"/>
  <c r="UW7" i="41"/>
  <c r="UV7" i="41"/>
  <c r="UT7" i="41"/>
  <c r="US7" i="41"/>
  <c r="UR7" i="41"/>
  <c r="UQ7" i="41"/>
  <c r="UP7" i="41"/>
  <c r="UO7" i="41"/>
  <c r="TS7" i="41"/>
  <c r="TR7" i="41"/>
  <c r="TQ7" i="41"/>
  <c r="TP7" i="41"/>
  <c r="TO7" i="41"/>
  <c r="TN7" i="41"/>
  <c r="TL7" i="41"/>
  <c r="TK7" i="41"/>
  <c r="TJ7" i="41"/>
  <c r="TI7" i="41"/>
  <c r="TH7" i="41"/>
  <c r="TG7" i="41"/>
  <c r="SK7" i="41"/>
  <c r="SJ7" i="41"/>
  <c r="SI7" i="41"/>
  <c r="SH7" i="41"/>
  <c r="SG7" i="41"/>
  <c r="SF7" i="41"/>
  <c r="SD7" i="41"/>
  <c r="SC7" i="41"/>
  <c r="SB7" i="41"/>
  <c r="SA7" i="41"/>
  <c r="RZ7" i="41"/>
  <c r="RY7" i="41"/>
  <c r="RC7" i="41"/>
  <c r="RB7" i="41"/>
  <c r="RA7" i="41"/>
  <c r="QZ7" i="41"/>
  <c r="QY7" i="41"/>
  <c r="QX7" i="41"/>
  <c r="QV7" i="41"/>
  <c r="QU7" i="41"/>
  <c r="QT7" i="41"/>
  <c r="QS7" i="41"/>
  <c r="QR7" i="41"/>
  <c r="QQ7" i="41"/>
  <c r="PU7" i="41"/>
  <c r="PT7" i="41"/>
  <c r="PS7" i="41"/>
  <c r="PR7" i="41"/>
  <c r="PQ7" i="41"/>
  <c r="PP7" i="41"/>
  <c r="PN7" i="41"/>
  <c r="PM7" i="41"/>
  <c r="PL7" i="41"/>
  <c r="PK7" i="41"/>
  <c r="PJ7" i="41"/>
  <c r="PI7" i="41"/>
  <c r="OM7" i="41"/>
  <c r="OL7" i="41"/>
  <c r="OK7" i="41"/>
  <c r="OJ7" i="41"/>
  <c r="OI7" i="41"/>
  <c r="OH7" i="41"/>
  <c r="OF7" i="41"/>
  <c r="OE7" i="41"/>
  <c r="OD7" i="41"/>
  <c r="OC7" i="41"/>
  <c r="OB7" i="41"/>
  <c r="OA7" i="41"/>
  <c r="NE7" i="41"/>
  <c r="ND7" i="41"/>
  <c r="NC7" i="41"/>
  <c r="NB7" i="41"/>
  <c r="NA7" i="41"/>
  <c r="MZ7" i="41"/>
  <c r="MX7" i="41"/>
  <c r="MW7" i="41"/>
  <c r="MV7" i="41"/>
  <c r="MU7" i="41"/>
  <c r="MT7" i="41"/>
  <c r="MS7" i="41"/>
  <c r="LW7" i="41"/>
  <c r="LV7" i="41"/>
  <c r="LU7" i="41"/>
  <c r="LT7" i="41"/>
  <c r="LS7" i="41"/>
  <c r="LR7" i="41"/>
  <c r="LP7" i="41"/>
  <c r="LO7" i="41"/>
  <c r="LN7" i="41"/>
  <c r="LM7" i="41"/>
  <c r="LL7" i="41"/>
  <c r="LK7" i="41"/>
  <c r="KO7" i="41"/>
  <c r="KN7" i="41"/>
  <c r="KM7" i="41"/>
  <c r="KL7" i="41"/>
  <c r="KK7" i="41"/>
  <c r="KJ7" i="41"/>
  <c r="KH7" i="41"/>
  <c r="KG7" i="41"/>
  <c r="KF7" i="41"/>
  <c r="KE7" i="41"/>
  <c r="KD7" i="41"/>
  <c r="KC7" i="41"/>
  <c r="JG7" i="41"/>
  <c r="JF7" i="41"/>
  <c r="JE7" i="41"/>
  <c r="JD7" i="41"/>
  <c r="JC7" i="41"/>
  <c r="JB7" i="41"/>
  <c r="IZ7" i="41"/>
  <c r="IY7" i="41"/>
  <c r="IX7" i="41"/>
  <c r="IW7" i="41"/>
  <c r="IV7" i="41"/>
  <c r="IU7" i="41"/>
  <c r="HY7" i="41"/>
  <c r="HX7" i="41"/>
  <c r="HW7" i="41"/>
  <c r="HV7" i="41"/>
  <c r="HU7" i="41"/>
  <c r="HT7" i="41"/>
  <c r="HR7" i="41"/>
  <c r="HQ7" i="41"/>
  <c r="HP7" i="41"/>
  <c r="HO7" i="41"/>
  <c r="HN7" i="41"/>
  <c r="HM7" i="41"/>
  <c r="GQ7" i="41"/>
  <c r="GP7" i="41"/>
  <c r="GO7" i="41"/>
  <c r="GN7" i="41"/>
  <c r="GM7" i="41"/>
  <c r="GL7" i="41"/>
  <c r="GJ7" i="41"/>
  <c r="GI7" i="41"/>
  <c r="GH7" i="41"/>
  <c r="GG7" i="41"/>
  <c r="GF7" i="41"/>
  <c r="GE7" i="41"/>
  <c r="FI7" i="41"/>
  <c r="FH7" i="41"/>
  <c r="FG7" i="41"/>
  <c r="FF7" i="41"/>
  <c r="FE7" i="41"/>
  <c r="FD7" i="41"/>
  <c r="FB7" i="41"/>
  <c r="FA7" i="41"/>
  <c r="EZ7" i="41"/>
  <c r="EY7" i="41"/>
  <c r="EX7" i="41"/>
  <c r="EW7" i="41"/>
  <c r="EA7" i="41"/>
  <c r="DZ7" i="41"/>
  <c r="DY7" i="41"/>
  <c r="DX7" i="41"/>
  <c r="DW7" i="41"/>
  <c r="DV7" i="41"/>
  <c r="DT7" i="41"/>
  <c r="DS7" i="41"/>
  <c r="DR7" i="41"/>
  <c r="DQ7" i="41"/>
  <c r="DP7" i="41"/>
  <c r="DO7" i="41"/>
  <c r="CR7" i="41"/>
  <c r="CQ7" i="41"/>
  <c r="CP7" i="41"/>
  <c r="CN7" i="41"/>
  <c r="CM7" i="41"/>
  <c r="CL7" i="41"/>
  <c r="CK7" i="41"/>
  <c r="CO7" i="41" s="1"/>
  <c r="CJ7" i="41"/>
  <c r="CI7" i="41"/>
  <c r="WI10" i="41"/>
  <c r="WH10" i="41"/>
  <c r="WG10" i="41"/>
  <c r="WF10" i="41"/>
  <c r="WE10" i="41"/>
  <c r="WD10" i="41"/>
  <c r="WB10" i="41"/>
  <c r="WA10" i="41"/>
  <c r="VZ10" i="41"/>
  <c r="VY10" i="41"/>
  <c r="VX10" i="41"/>
  <c r="VW10" i="41"/>
  <c r="VA10" i="41"/>
  <c r="UZ10" i="41"/>
  <c r="UY10" i="41"/>
  <c r="UX10" i="41"/>
  <c r="UW10" i="41"/>
  <c r="UV10" i="41"/>
  <c r="UT10" i="41"/>
  <c r="US10" i="41"/>
  <c r="UR10" i="41"/>
  <c r="UQ10" i="41"/>
  <c r="UP10" i="41"/>
  <c r="UO10" i="41"/>
  <c r="TS10" i="41"/>
  <c r="TR10" i="41"/>
  <c r="TQ10" i="41"/>
  <c r="TP10" i="41"/>
  <c r="TO10" i="41"/>
  <c r="TN10" i="41"/>
  <c r="TL10" i="41"/>
  <c r="TK10" i="41"/>
  <c r="TJ10" i="41"/>
  <c r="TI10" i="41"/>
  <c r="TH10" i="41"/>
  <c r="TG10" i="41"/>
  <c r="SK10" i="41"/>
  <c r="SJ10" i="41"/>
  <c r="SI10" i="41"/>
  <c r="SH10" i="41"/>
  <c r="SG10" i="41"/>
  <c r="SF10" i="41"/>
  <c r="SD10" i="41"/>
  <c r="SC10" i="41"/>
  <c r="SB10" i="41"/>
  <c r="SA10" i="41"/>
  <c r="RZ10" i="41"/>
  <c r="RY10" i="41"/>
  <c r="RC10" i="41"/>
  <c r="RB10" i="41"/>
  <c r="RA10" i="41"/>
  <c r="QZ10" i="41"/>
  <c r="QY10" i="41"/>
  <c r="QX10" i="41"/>
  <c r="QV10" i="41"/>
  <c r="QU10" i="41"/>
  <c r="QT10" i="41"/>
  <c r="QS10" i="41"/>
  <c r="QR10" i="41"/>
  <c r="QQ10" i="41"/>
  <c r="PU10" i="41"/>
  <c r="PT10" i="41"/>
  <c r="PS10" i="41"/>
  <c r="PR10" i="41"/>
  <c r="PQ10" i="41"/>
  <c r="PP10" i="41"/>
  <c r="PN10" i="41"/>
  <c r="PM10" i="41"/>
  <c r="PL10" i="41"/>
  <c r="PK10" i="41"/>
  <c r="PJ10" i="41"/>
  <c r="PI10" i="41"/>
  <c r="OM10" i="41"/>
  <c r="OL10" i="41"/>
  <c r="OK10" i="41"/>
  <c r="OJ10" i="41"/>
  <c r="OI10" i="41"/>
  <c r="OH10" i="41"/>
  <c r="OF10" i="41"/>
  <c r="OE10" i="41"/>
  <c r="OD10" i="41"/>
  <c r="OC10" i="41"/>
  <c r="OB10" i="41"/>
  <c r="OA10" i="41"/>
  <c r="NE10" i="41"/>
  <c r="ND10" i="41"/>
  <c r="NC10" i="41"/>
  <c r="NB10" i="41"/>
  <c r="NA10" i="41"/>
  <c r="MZ10" i="41"/>
  <c r="MX10" i="41"/>
  <c r="MW10" i="41"/>
  <c r="MV10" i="41"/>
  <c r="MU10" i="41"/>
  <c r="MT10" i="41"/>
  <c r="MS10" i="41"/>
  <c r="LW10" i="41"/>
  <c r="LV10" i="41"/>
  <c r="LU10" i="41"/>
  <c r="LT10" i="41"/>
  <c r="LS10" i="41"/>
  <c r="LR10" i="41"/>
  <c r="LP10" i="41"/>
  <c r="LO10" i="41"/>
  <c r="LN10" i="41"/>
  <c r="LM10" i="41"/>
  <c r="LL10" i="41"/>
  <c r="LK10" i="41"/>
  <c r="KO10" i="41"/>
  <c r="KN10" i="41"/>
  <c r="KM10" i="41"/>
  <c r="KL10" i="41"/>
  <c r="KK10" i="41"/>
  <c r="KJ10" i="41"/>
  <c r="KH10" i="41"/>
  <c r="KG10" i="41"/>
  <c r="KF10" i="41"/>
  <c r="KE10" i="41"/>
  <c r="KD10" i="41"/>
  <c r="KC10" i="41"/>
  <c r="JG10" i="41"/>
  <c r="JF10" i="41"/>
  <c r="JE10" i="41"/>
  <c r="JD10" i="41"/>
  <c r="JC10" i="41"/>
  <c r="JB10" i="41"/>
  <c r="IZ10" i="41"/>
  <c r="IY10" i="41"/>
  <c r="IX10" i="41"/>
  <c r="IW10" i="41"/>
  <c r="IV10" i="41"/>
  <c r="IU10" i="41"/>
  <c r="HY10" i="41"/>
  <c r="HX10" i="41"/>
  <c r="HW10" i="41"/>
  <c r="HV10" i="41"/>
  <c r="HU10" i="41"/>
  <c r="HT10" i="41"/>
  <c r="HR10" i="41"/>
  <c r="HQ10" i="41"/>
  <c r="HP10" i="41"/>
  <c r="HO10" i="41"/>
  <c r="HN10" i="41"/>
  <c r="HM10" i="41"/>
  <c r="GQ10" i="41"/>
  <c r="GP10" i="41"/>
  <c r="GO10" i="41"/>
  <c r="GN10" i="41"/>
  <c r="GM10" i="41"/>
  <c r="GL10" i="41"/>
  <c r="GJ10" i="41"/>
  <c r="GI10" i="41"/>
  <c r="GH10" i="41"/>
  <c r="GG10" i="41"/>
  <c r="GF10" i="41"/>
  <c r="GE10" i="41"/>
  <c r="FI10" i="41"/>
  <c r="FH10" i="41"/>
  <c r="FG10" i="41"/>
  <c r="FF10" i="41"/>
  <c r="FE10" i="41"/>
  <c r="FD10" i="41"/>
  <c r="FB10" i="41"/>
  <c r="FA10" i="41"/>
  <c r="EZ10" i="41"/>
  <c r="EY10" i="41"/>
  <c r="EX10" i="41"/>
  <c r="EW10" i="41"/>
  <c r="EA10" i="41"/>
  <c r="DZ10" i="41"/>
  <c r="DY10" i="41"/>
  <c r="DX10" i="41"/>
  <c r="DW10" i="41"/>
  <c r="DV10" i="41"/>
  <c r="DT10" i="41"/>
  <c r="DS10" i="41"/>
  <c r="DR10" i="41"/>
  <c r="DQ10" i="41"/>
  <c r="DP10" i="41"/>
  <c r="DO10" i="41"/>
  <c r="CR10" i="41"/>
  <c r="CQ10" i="41"/>
  <c r="CP10" i="41"/>
  <c r="CN10" i="41"/>
  <c r="CM10" i="41"/>
  <c r="CL10" i="41"/>
  <c r="CK10" i="41"/>
  <c r="CO10" i="41" s="1"/>
  <c r="CJ10" i="41"/>
  <c r="CI10" i="41"/>
  <c r="WI5" i="41"/>
  <c r="WH5" i="41"/>
  <c r="WG5" i="41"/>
  <c r="WF5" i="41"/>
  <c r="WE5" i="41"/>
  <c r="WD5" i="41"/>
  <c r="WB5" i="41"/>
  <c r="WA5" i="41"/>
  <c r="VZ5" i="41"/>
  <c r="VY5" i="41"/>
  <c r="VX5" i="41"/>
  <c r="VW5" i="41"/>
  <c r="VA5" i="41"/>
  <c r="UZ5" i="41"/>
  <c r="UY5" i="41"/>
  <c r="UX5" i="41"/>
  <c r="UW5" i="41"/>
  <c r="UV5" i="41"/>
  <c r="UT5" i="41"/>
  <c r="US5" i="41"/>
  <c r="UR5" i="41"/>
  <c r="UQ5" i="41"/>
  <c r="UP5" i="41"/>
  <c r="UO5" i="41"/>
  <c r="TS5" i="41"/>
  <c r="TR5" i="41"/>
  <c r="TQ5" i="41"/>
  <c r="TP5" i="41"/>
  <c r="TO5" i="41"/>
  <c r="TN5" i="41"/>
  <c r="TL5" i="41"/>
  <c r="TK5" i="41"/>
  <c r="TJ5" i="41"/>
  <c r="TI5" i="41"/>
  <c r="TH5" i="41"/>
  <c r="TG5" i="41"/>
  <c r="SK5" i="41"/>
  <c r="SJ5" i="41"/>
  <c r="SI5" i="41"/>
  <c r="SH5" i="41"/>
  <c r="SG5" i="41"/>
  <c r="SF5" i="41"/>
  <c r="SD5" i="41"/>
  <c r="SC5" i="41"/>
  <c r="SB5" i="41"/>
  <c r="SA5" i="41"/>
  <c r="RZ5" i="41"/>
  <c r="RY5" i="41"/>
  <c r="RC5" i="41"/>
  <c r="RB5" i="41"/>
  <c r="RA5" i="41"/>
  <c r="QZ5" i="41"/>
  <c r="QY5" i="41"/>
  <c r="QX5" i="41"/>
  <c r="QV5" i="41"/>
  <c r="QU5" i="41"/>
  <c r="QT5" i="41"/>
  <c r="QS5" i="41"/>
  <c r="QR5" i="41"/>
  <c r="QQ5" i="41"/>
  <c r="PU5" i="41"/>
  <c r="PT5" i="41"/>
  <c r="PS5" i="41"/>
  <c r="PR5" i="41"/>
  <c r="PQ5" i="41"/>
  <c r="PP5" i="41"/>
  <c r="PN5" i="41"/>
  <c r="PM5" i="41"/>
  <c r="PL5" i="41"/>
  <c r="PK5" i="41"/>
  <c r="PJ5" i="41"/>
  <c r="PI5" i="41"/>
  <c r="OM5" i="41"/>
  <c r="OL5" i="41"/>
  <c r="OK5" i="41"/>
  <c r="OJ5" i="41"/>
  <c r="OI5" i="41"/>
  <c r="OH5" i="41"/>
  <c r="OF5" i="41"/>
  <c r="OE5" i="41"/>
  <c r="OD5" i="41"/>
  <c r="OC5" i="41"/>
  <c r="OB5" i="41"/>
  <c r="OA5" i="41"/>
  <c r="NE5" i="41"/>
  <c r="ND5" i="41"/>
  <c r="NC5" i="41"/>
  <c r="NB5" i="41"/>
  <c r="NA5" i="41"/>
  <c r="MZ5" i="41"/>
  <c r="MX5" i="41"/>
  <c r="MW5" i="41"/>
  <c r="MV5" i="41"/>
  <c r="MU5" i="41"/>
  <c r="MT5" i="41"/>
  <c r="MS5" i="41"/>
  <c r="LW5" i="41"/>
  <c r="LV5" i="41"/>
  <c r="LU5" i="41"/>
  <c r="LT5" i="41"/>
  <c r="LS5" i="41"/>
  <c r="LR5" i="41"/>
  <c r="LP5" i="41"/>
  <c r="LO5" i="41"/>
  <c r="LN5" i="41"/>
  <c r="LM5" i="41"/>
  <c r="LL5" i="41"/>
  <c r="LK5" i="41"/>
  <c r="KO5" i="41"/>
  <c r="KN5" i="41"/>
  <c r="KM5" i="41"/>
  <c r="KL5" i="41"/>
  <c r="KK5" i="41"/>
  <c r="KJ5" i="41"/>
  <c r="KH5" i="41"/>
  <c r="KG5" i="41"/>
  <c r="KF5" i="41"/>
  <c r="KE5" i="41"/>
  <c r="KD5" i="41"/>
  <c r="KC5" i="41"/>
  <c r="JG5" i="41"/>
  <c r="JF5" i="41"/>
  <c r="JE5" i="41"/>
  <c r="JD5" i="41"/>
  <c r="JC5" i="41"/>
  <c r="JB5" i="41"/>
  <c r="IZ5" i="41"/>
  <c r="IY5" i="41"/>
  <c r="IX5" i="41"/>
  <c r="IW5" i="41"/>
  <c r="IV5" i="41"/>
  <c r="IU5" i="41"/>
  <c r="HY5" i="41"/>
  <c r="HX5" i="41"/>
  <c r="HW5" i="41"/>
  <c r="HV5" i="41"/>
  <c r="HU5" i="41"/>
  <c r="HT5" i="41"/>
  <c r="HR5" i="41"/>
  <c r="HQ5" i="41"/>
  <c r="HP5" i="41"/>
  <c r="HO5" i="41"/>
  <c r="HN5" i="41"/>
  <c r="HM5" i="41"/>
  <c r="GQ5" i="41"/>
  <c r="GP5" i="41"/>
  <c r="GO5" i="41"/>
  <c r="GN5" i="41"/>
  <c r="GM5" i="41"/>
  <c r="GL5" i="41"/>
  <c r="GJ5" i="41"/>
  <c r="GI5" i="41"/>
  <c r="GH5" i="41"/>
  <c r="GG5" i="41"/>
  <c r="GF5" i="41"/>
  <c r="GE5" i="41"/>
  <c r="FI5" i="41"/>
  <c r="FH5" i="41"/>
  <c r="FG5" i="41"/>
  <c r="FF5" i="41"/>
  <c r="FE5" i="41"/>
  <c r="FD5" i="41"/>
  <c r="FB5" i="41"/>
  <c r="FA5" i="41"/>
  <c r="EZ5" i="41"/>
  <c r="EY5" i="41"/>
  <c r="EX5" i="41"/>
  <c r="EW5" i="41"/>
  <c r="EA5" i="41"/>
  <c r="DZ5" i="41"/>
  <c r="DY5" i="41"/>
  <c r="DX5" i="41"/>
  <c r="DW5" i="41"/>
  <c r="DV5" i="41"/>
  <c r="DT5" i="41"/>
  <c r="DS5" i="41"/>
  <c r="DR5" i="41"/>
  <c r="DQ5" i="41"/>
  <c r="DU5" i="41" s="1"/>
  <c r="DP5" i="41"/>
  <c r="DO5" i="41"/>
  <c r="CR5" i="41"/>
  <c r="CQ5" i="41"/>
  <c r="CP5" i="41"/>
  <c r="CN5" i="41"/>
  <c r="CM5" i="41"/>
  <c r="CL5" i="41"/>
  <c r="CK5" i="41"/>
  <c r="CO5" i="41" s="1"/>
  <c r="CJ5" i="41"/>
  <c r="CI5" i="41"/>
  <c r="WI6" i="41"/>
  <c r="WH6" i="41"/>
  <c r="WG6" i="41"/>
  <c r="WF6" i="41"/>
  <c r="WE6" i="41"/>
  <c r="WD6" i="41"/>
  <c r="WB6" i="41"/>
  <c r="WA6" i="41"/>
  <c r="VZ6" i="41"/>
  <c r="VY6" i="41"/>
  <c r="VX6" i="41"/>
  <c r="VW6" i="41"/>
  <c r="VA6" i="41"/>
  <c r="UZ6" i="41"/>
  <c r="UY6" i="41"/>
  <c r="UX6" i="41"/>
  <c r="UW6" i="41"/>
  <c r="UV6" i="41"/>
  <c r="UT6" i="41"/>
  <c r="US6" i="41"/>
  <c r="UR6" i="41"/>
  <c r="UQ6" i="41"/>
  <c r="UP6" i="41"/>
  <c r="UO6" i="41"/>
  <c r="TS6" i="41"/>
  <c r="TR6" i="41"/>
  <c r="TQ6" i="41"/>
  <c r="TP6" i="41"/>
  <c r="TO6" i="41"/>
  <c r="TN6" i="41"/>
  <c r="TL6" i="41"/>
  <c r="TK6" i="41"/>
  <c r="TJ6" i="41"/>
  <c r="TI6" i="41"/>
  <c r="TH6" i="41"/>
  <c r="TG6" i="41"/>
  <c r="SK6" i="41"/>
  <c r="SJ6" i="41"/>
  <c r="SI6" i="41"/>
  <c r="SH6" i="41"/>
  <c r="SG6" i="41"/>
  <c r="SF6" i="41"/>
  <c r="SD6" i="41"/>
  <c r="SC6" i="41"/>
  <c r="SB6" i="41"/>
  <c r="SA6" i="41"/>
  <c r="RZ6" i="41"/>
  <c r="RY6" i="41"/>
  <c r="RC6" i="41"/>
  <c r="RB6" i="41"/>
  <c r="RA6" i="41"/>
  <c r="QZ6" i="41"/>
  <c r="QY6" i="41"/>
  <c r="QX6" i="41"/>
  <c r="QV6" i="41"/>
  <c r="QU6" i="41"/>
  <c r="QT6" i="41"/>
  <c r="QS6" i="41"/>
  <c r="QR6" i="41"/>
  <c r="QQ6" i="41"/>
  <c r="PU6" i="41"/>
  <c r="PT6" i="41"/>
  <c r="PS6" i="41"/>
  <c r="PR6" i="41"/>
  <c r="PQ6" i="41"/>
  <c r="PP6" i="41"/>
  <c r="PN6" i="41"/>
  <c r="PM6" i="41"/>
  <c r="PL6" i="41"/>
  <c r="PK6" i="41"/>
  <c r="PJ6" i="41"/>
  <c r="PI6" i="41"/>
  <c r="OM6" i="41"/>
  <c r="OL6" i="41"/>
  <c r="OK6" i="41"/>
  <c r="OJ6" i="41"/>
  <c r="OI6" i="41"/>
  <c r="OH6" i="41"/>
  <c r="OF6" i="41"/>
  <c r="OE6" i="41"/>
  <c r="OD6" i="41"/>
  <c r="OC6" i="41"/>
  <c r="OB6" i="41"/>
  <c r="OA6" i="41"/>
  <c r="NE6" i="41"/>
  <c r="ND6" i="41"/>
  <c r="NC6" i="41"/>
  <c r="NB6" i="41"/>
  <c r="NA6" i="41"/>
  <c r="MZ6" i="41"/>
  <c r="MX6" i="41"/>
  <c r="MW6" i="41"/>
  <c r="MV6" i="41"/>
  <c r="MU6" i="41"/>
  <c r="MT6" i="41"/>
  <c r="MS6" i="41"/>
  <c r="LW6" i="41"/>
  <c r="LV6" i="41"/>
  <c r="LU6" i="41"/>
  <c r="LT6" i="41"/>
  <c r="LS6" i="41"/>
  <c r="LR6" i="41"/>
  <c r="LP6" i="41"/>
  <c r="LO6" i="41"/>
  <c r="LN6" i="41"/>
  <c r="LM6" i="41"/>
  <c r="LL6" i="41"/>
  <c r="LK6" i="41"/>
  <c r="KO6" i="41"/>
  <c r="KN6" i="41"/>
  <c r="KM6" i="41"/>
  <c r="KL6" i="41"/>
  <c r="KK6" i="41"/>
  <c r="KJ6" i="41"/>
  <c r="KH6" i="41"/>
  <c r="KG6" i="41"/>
  <c r="KF6" i="41"/>
  <c r="KE6" i="41"/>
  <c r="KD6" i="41"/>
  <c r="KC6" i="41"/>
  <c r="JG6" i="41"/>
  <c r="JF6" i="41"/>
  <c r="JE6" i="41"/>
  <c r="JD6" i="41"/>
  <c r="JC6" i="41"/>
  <c r="JB6" i="41"/>
  <c r="IZ6" i="41"/>
  <c r="IY6" i="41"/>
  <c r="IX6" i="41"/>
  <c r="IW6" i="41"/>
  <c r="IV6" i="41"/>
  <c r="IU6" i="41"/>
  <c r="HY6" i="41"/>
  <c r="HX6" i="41"/>
  <c r="HW6" i="41"/>
  <c r="HV6" i="41"/>
  <c r="HU6" i="41"/>
  <c r="HT6" i="41"/>
  <c r="HR6" i="41"/>
  <c r="HQ6" i="41"/>
  <c r="HP6" i="41"/>
  <c r="HO6" i="41"/>
  <c r="HN6" i="41"/>
  <c r="HM6" i="41"/>
  <c r="GQ6" i="41"/>
  <c r="GP6" i="41"/>
  <c r="GO6" i="41"/>
  <c r="GN6" i="41"/>
  <c r="GM6" i="41"/>
  <c r="GL6" i="41"/>
  <c r="GJ6" i="41"/>
  <c r="GI6" i="41"/>
  <c r="GH6" i="41"/>
  <c r="GG6" i="41"/>
  <c r="GF6" i="41"/>
  <c r="GE6" i="41"/>
  <c r="FI6" i="41"/>
  <c r="FH6" i="41"/>
  <c r="FG6" i="41"/>
  <c r="FF6" i="41"/>
  <c r="FE6" i="41"/>
  <c r="FD6" i="41"/>
  <c r="FB6" i="41"/>
  <c r="FA6" i="41"/>
  <c r="EZ6" i="41"/>
  <c r="EY6" i="41"/>
  <c r="EX6" i="41"/>
  <c r="EW6" i="41"/>
  <c r="EA6" i="41"/>
  <c r="DZ6" i="41"/>
  <c r="DY6" i="41"/>
  <c r="DX6" i="41"/>
  <c r="DW6" i="41"/>
  <c r="DV6" i="41"/>
  <c r="DT6" i="41"/>
  <c r="DS6" i="41"/>
  <c r="DR6" i="41"/>
  <c r="DQ6" i="41"/>
  <c r="DP6" i="41"/>
  <c r="DO6" i="41"/>
  <c r="CR6" i="41"/>
  <c r="CQ6" i="41"/>
  <c r="CP6" i="41"/>
  <c r="CN6" i="41"/>
  <c r="CM6" i="41"/>
  <c r="CL6" i="41"/>
  <c r="CK6" i="41"/>
  <c r="CO6" i="41" s="1"/>
  <c r="CJ6" i="41"/>
  <c r="CI6" i="41"/>
  <c r="WI4" i="41"/>
  <c r="WH4" i="41"/>
  <c r="WG4" i="41"/>
  <c r="WF4" i="41"/>
  <c r="WE4" i="41"/>
  <c r="WD4" i="41"/>
  <c r="WB4" i="41"/>
  <c r="WA4" i="41"/>
  <c r="VZ4" i="41"/>
  <c r="VY4" i="41"/>
  <c r="VX4" i="41"/>
  <c r="VW4" i="41"/>
  <c r="VA4" i="41"/>
  <c r="UZ4" i="41"/>
  <c r="UY4" i="41"/>
  <c r="UX4" i="41"/>
  <c r="UW4" i="41"/>
  <c r="UV4" i="41"/>
  <c r="UT4" i="41"/>
  <c r="US4" i="41"/>
  <c r="UR4" i="41"/>
  <c r="UQ4" i="41"/>
  <c r="UP4" i="41"/>
  <c r="UO4" i="41"/>
  <c r="TS4" i="41"/>
  <c r="TR4" i="41"/>
  <c r="TQ4" i="41"/>
  <c r="TP4" i="41"/>
  <c r="TO4" i="41"/>
  <c r="TN4" i="41"/>
  <c r="TL4" i="41"/>
  <c r="TK4" i="41"/>
  <c r="TJ4" i="41"/>
  <c r="TI4" i="41"/>
  <c r="TH4" i="41"/>
  <c r="TG4" i="41"/>
  <c r="SK4" i="41"/>
  <c r="SJ4" i="41"/>
  <c r="SI4" i="41"/>
  <c r="SH4" i="41"/>
  <c r="SG4" i="41"/>
  <c r="SF4" i="41"/>
  <c r="SD4" i="41"/>
  <c r="SC4" i="41"/>
  <c r="SB4" i="41"/>
  <c r="SA4" i="41"/>
  <c r="RZ4" i="41"/>
  <c r="RY4" i="41"/>
  <c r="RC4" i="41"/>
  <c r="RB4" i="41"/>
  <c r="RA4" i="41"/>
  <c r="QZ4" i="41"/>
  <c r="QY4" i="41"/>
  <c r="QX4" i="41"/>
  <c r="QV4" i="41"/>
  <c r="QU4" i="41"/>
  <c r="QT4" i="41"/>
  <c r="QS4" i="41"/>
  <c r="QR4" i="41"/>
  <c r="QQ4" i="41"/>
  <c r="PU4" i="41"/>
  <c r="PT4" i="41"/>
  <c r="PS4" i="41"/>
  <c r="PR4" i="41"/>
  <c r="PQ4" i="41"/>
  <c r="PP4" i="41"/>
  <c r="PN4" i="41"/>
  <c r="PM4" i="41"/>
  <c r="PL4" i="41"/>
  <c r="PK4" i="41"/>
  <c r="PJ4" i="41"/>
  <c r="PI4" i="41"/>
  <c r="OM4" i="41"/>
  <c r="OL4" i="41"/>
  <c r="OK4" i="41"/>
  <c r="OJ4" i="41"/>
  <c r="OI4" i="41"/>
  <c r="OH4" i="41"/>
  <c r="OF4" i="41"/>
  <c r="OE4" i="41"/>
  <c r="OD4" i="41"/>
  <c r="OC4" i="41"/>
  <c r="OB4" i="41"/>
  <c r="OA4" i="41"/>
  <c r="NE4" i="41"/>
  <c r="ND4" i="41"/>
  <c r="NC4" i="41"/>
  <c r="NB4" i="41"/>
  <c r="NA4" i="41"/>
  <c r="MZ4" i="41"/>
  <c r="MX4" i="41"/>
  <c r="MW4" i="41"/>
  <c r="MV4" i="41"/>
  <c r="MU4" i="41"/>
  <c r="MT4" i="41"/>
  <c r="MS4" i="41"/>
  <c r="LW4" i="41"/>
  <c r="LV4" i="41"/>
  <c r="LU4" i="41"/>
  <c r="LT4" i="41"/>
  <c r="LS4" i="41"/>
  <c r="LR4" i="41"/>
  <c r="LP4" i="41"/>
  <c r="LO4" i="41"/>
  <c r="LN4" i="41"/>
  <c r="LM4" i="41"/>
  <c r="LL4" i="41"/>
  <c r="LK4" i="41"/>
  <c r="KO4" i="41"/>
  <c r="KN4" i="41"/>
  <c r="KM4" i="41"/>
  <c r="KL4" i="41"/>
  <c r="KK4" i="41"/>
  <c r="KJ4" i="41"/>
  <c r="KH4" i="41"/>
  <c r="KG4" i="41"/>
  <c r="KF4" i="41"/>
  <c r="KE4" i="41"/>
  <c r="KI4" i="41" s="1"/>
  <c r="KD4" i="41"/>
  <c r="KC4" i="41"/>
  <c r="JG4" i="41"/>
  <c r="JF4" i="41"/>
  <c r="JE4" i="41"/>
  <c r="JD4" i="41"/>
  <c r="JC4" i="41"/>
  <c r="JB4" i="41"/>
  <c r="IZ4" i="41"/>
  <c r="IY4" i="41"/>
  <c r="IX4" i="41"/>
  <c r="IW4" i="41"/>
  <c r="IV4" i="41"/>
  <c r="IU4" i="41"/>
  <c r="HY4" i="41"/>
  <c r="HX4" i="41"/>
  <c r="HW4" i="41"/>
  <c r="HV4" i="41"/>
  <c r="HU4" i="41"/>
  <c r="HT4" i="41"/>
  <c r="HR4" i="41"/>
  <c r="HQ4" i="41"/>
  <c r="HP4" i="41"/>
  <c r="HO4" i="41"/>
  <c r="HN4" i="41"/>
  <c r="HM4" i="41"/>
  <c r="GQ4" i="41"/>
  <c r="GP4" i="41"/>
  <c r="GO4" i="41"/>
  <c r="GN4" i="41"/>
  <c r="GM4" i="41"/>
  <c r="GL4" i="41"/>
  <c r="GJ4" i="41"/>
  <c r="GI4" i="41"/>
  <c r="GH4" i="41"/>
  <c r="GG4" i="41"/>
  <c r="GF4" i="41"/>
  <c r="GE4" i="41"/>
  <c r="FI4" i="41"/>
  <c r="FH4" i="41"/>
  <c r="FG4" i="41"/>
  <c r="FF4" i="41"/>
  <c r="FE4" i="41"/>
  <c r="FD4" i="41"/>
  <c r="FB4" i="41"/>
  <c r="FA4" i="41"/>
  <c r="EZ4" i="41"/>
  <c r="EY4" i="41"/>
  <c r="EX4" i="41"/>
  <c r="EW4" i="41"/>
  <c r="EA4" i="41"/>
  <c r="DZ4" i="41"/>
  <c r="DY4" i="41"/>
  <c r="DX4" i="41"/>
  <c r="DW4" i="41"/>
  <c r="DV4" i="41"/>
  <c r="DT4" i="41"/>
  <c r="DS4" i="41"/>
  <c r="DR4" i="41"/>
  <c r="DQ4" i="41"/>
  <c r="DP4" i="41"/>
  <c r="DO4" i="41"/>
  <c r="CR4" i="41"/>
  <c r="CQ4" i="41"/>
  <c r="CP4" i="41"/>
  <c r="CN4" i="41"/>
  <c r="CM4" i="41"/>
  <c r="CL4" i="41"/>
  <c r="CK4" i="41"/>
  <c r="CJ4" i="41"/>
  <c r="CI4" i="41"/>
  <c r="WI14" i="40"/>
  <c r="WH14" i="40"/>
  <c r="WG14" i="40"/>
  <c r="WF14" i="40"/>
  <c r="WE14" i="40"/>
  <c r="WD14" i="40"/>
  <c r="WB14" i="40"/>
  <c r="WA14" i="40"/>
  <c r="VZ14" i="40"/>
  <c r="VY14" i="40"/>
  <c r="VX14" i="40"/>
  <c r="VW14" i="40"/>
  <c r="VA14" i="40"/>
  <c r="UZ14" i="40"/>
  <c r="UY14" i="40"/>
  <c r="UX14" i="40"/>
  <c r="UW14" i="40"/>
  <c r="UV14" i="40"/>
  <c r="UT14" i="40"/>
  <c r="US14" i="40"/>
  <c r="UR14" i="40"/>
  <c r="UQ14" i="40"/>
  <c r="UP14" i="40"/>
  <c r="UO14" i="40"/>
  <c r="TS14" i="40"/>
  <c r="TR14" i="40"/>
  <c r="TQ14" i="40"/>
  <c r="TP14" i="40"/>
  <c r="TO14" i="40"/>
  <c r="TN14" i="40"/>
  <c r="TL14" i="40"/>
  <c r="TK14" i="40"/>
  <c r="TJ14" i="40"/>
  <c r="TI14" i="40"/>
  <c r="TH14" i="40"/>
  <c r="TG14" i="40"/>
  <c r="SK14" i="40"/>
  <c r="SJ14" i="40"/>
  <c r="SI14" i="40"/>
  <c r="SH14" i="40"/>
  <c r="SG14" i="40"/>
  <c r="SF14" i="40"/>
  <c r="SD14" i="40"/>
  <c r="SC14" i="40"/>
  <c r="SB14" i="40"/>
  <c r="SA14" i="40"/>
  <c r="RZ14" i="40"/>
  <c r="RY14" i="40"/>
  <c r="RC14" i="40"/>
  <c r="RB14" i="40"/>
  <c r="RA14" i="40"/>
  <c r="QZ14" i="40"/>
  <c r="QY14" i="40"/>
  <c r="QX14" i="40"/>
  <c r="QV14" i="40"/>
  <c r="QU14" i="40"/>
  <c r="QT14" i="40"/>
  <c r="QS14" i="40"/>
  <c r="QR14" i="40"/>
  <c r="QQ14" i="40"/>
  <c r="PU14" i="40"/>
  <c r="PT14" i="40"/>
  <c r="PS14" i="40"/>
  <c r="PR14" i="40"/>
  <c r="PQ14" i="40"/>
  <c r="PP14" i="40"/>
  <c r="PN14" i="40"/>
  <c r="PM14" i="40"/>
  <c r="PL14" i="40"/>
  <c r="PK14" i="40"/>
  <c r="PJ14" i="40"/>
  <c r="PI14" i="40"/>
  <c r="OM14" i="40"/>
  <c r="OL14" i="40"/>
  <c r="OK14" i="40"/>
  <c r="OJ14" i="40"/>
  <c r="OI14" i="40"/>
  <c r="OH14" i="40"/>
  <c r="OF14" i="40"/>
  <c r="OE14" i="40"/>
  <c r="OD14" i="40"/>
  <c r="OC14" i="40"/>
  <c r="OB14" i="40"/>
  <c r="OA14" i="40"/>
  <c r="NE14" i="40"/>
  <c r="ND14" i="40"/>
  <c r="NC14" i="40"/>
  <c r="NB14" i="40"/>
  <c r="NA14" i="40"/>
  <c r="MZ14" i="40"/>
  <c r="MX14" i="40"/>
  <c r="MW14" i="40"/>
  <c r="MV14" i="40"/>
  <c r="MU14" i="40"/>
  <c r="MT14" i="40"/>
  <c r="MS14" i="40"/>
  <c r="LW14" i="40"/>
  <c r="LV14" i="40"/>
  <c r="LU14" i="40"/>
  <c r="LT14" i="40"/>
  <c r="LS14" i="40"/>
  <c r="LR14" i="40"/>
  <c r="LP14" i="40"/>
  <c r="LO14" i="40"/>
  <c r="LN14" i="40"/>
  <c r="LM14" i="40"/>
  <c r="LL14" i="40"/>
  <c r="LK14" i="40"/>
  <c r="KO14" i="40"/>
  <c r="KN14" i="40"/>
  <c r="KM14" i="40"/>
  <c r="KL14" i="40"/>
  <c r="KK14" i="40"/>
  <c r="KJ14" i="40"/>
  <c r="KH14" i="40"/>
  <c r="KG14" i="40"/>
  <c r="KF14" i="40"/>
  <c r="KE14" i="40"/>
  <c r="KD14" i="40"/>
  <c r="KC14" i="40"/>
  <c r="JG14" i="40"/>
  <c r="JF14" i="40"/>
  <c r="JE14" i="40"/>
  <c r="JD14" i="40"/>
  <c r="JC14" i="40"/>
  <c r="JB14" i="40"/>
  <c r="IZ14" i="40"/>
  <c r="IY14" i="40"/>
  <c r="IX14" i="40"/>
  <c r="IW14" i="40"/>
  <c r="JA14" i="40" s="1"/>
  <c r="IV14" i="40"/>
  <c r="IU14" i="40"/>
  <c r="HY14" i="40"/>
  <c r="HX14" i="40"/>
  <c r="HW14" i="40"/>
  <c r="HV14" i="40"/>
  <c r="HU14" i="40"/>
  <c r="HT14" i="40"/>
  <c r="HR14" i="40"/>
  <c r="HQ14" i="40"/>
  <c r="HP14" i="40"/>
  <c r="HO14" i="40"/>
  <c r="HN14" i="40"/>
  <c r="HM14" i="40"/>
  <c r="GQ14" i="40"/>
  <c r="GP14" i="40"/>
  <c r="GO14" i="40"/>
  <c r="GN14" i="40"/>
  <c r="GM14" i="40"/>
  <c r="GL14" i="40"/>
  <c r="GJ14" i="40"/>
  <c r="GI14" i="40"/>
  <c r="GH14" i="40"/>
  <c r="GG14" i="40"/>
  <c r="GF14" i="40"/>
  <c r="GE14" i="40"/>
  <c r="FI14" i="40"/>
  <c r="FH14" i="40"/>
  <c r="FG14" i="40"/>
  <c r="FF14" i="40"/>
  <c r="FE14" i="40"/>
  <c r="FD14" i="40"/>
  <c r="FB14" i="40"/>
  <c r="FA14" i="40"/>
  <c r="EZ14" i="40"/>
  <c r="EY14" i="40"/>
  <c r="EX14" i="40"/>
  <c r="EW14" i="40"/>
  <c r="EA14" i="40"/>
  <c r="DZ14" i="40"/>
  <c r="DY14" i="40"/>
  <c r="DX14" i="40"/>
  <c r="DW14" i="40"/>
  <c r="DV14" i="40"/>
  <c r="DT14" i="40"/>
  <c r="DS14" i="40"/>
  <c r="DR14" i="40"/>
  <c r="DQ14" i="40"/>
  <c r="DP14" i="40"/>
  <c r="DO14" i="40"/>
  <c r="CR14" i="40"/>
  <c r="CQ14" i="40"/>
  <c r="CP14" i="40"/>
  <c r="CN14" i="40"/>
  <c r="CM14" i="40"/>
  <c r="CL14" i="40"/>
  <c r="CK14" i="40"/>
  <c r="CO14" i="40" s="1"/>
  <c r="CJ14" i="40"/>
  <c r="CI14" i="40"/>
  <c r="WI13" i="40"/>
  <c r="WH13" i="40"/>
  <c r="WG13" i="40"/>
  <c r="WF13" i="40"/>
  <c r="WE13" i="40"/>
  <c r="WD13" i="40"/>
  <c r="WB13" i="40"/>
  <c r="WA13" i="40"/>
  <c r="VZ13" i="40"/>
  <c r="VY13" i="40"/>
  <c r="VX13" i="40"/>
  <c r="VW13" i="40"/>
  <c r="VA13" i="40"/>
  <c r="UZ13" i="40"/>
  <c r="UY13" i="40"/>
  <c r="UX13" i="40"/>
  <c r="UW13" i="40"/>
  <c r="UV13" i="40"/>
  <c r="UT13" i="40"/>
  <c r="US13" i="40"/>
  <c r="UR13" i="40"/>
  <c r="UQ13" i="40"/>
  <c r="UP13" i="40"/>
  <c r="UO13" i="40"/>
  <c r="TS13" i="40"/>
  <c r="TR13" i="40"/>
  <c r="TQ13" i="40"/>
  <c r="TP13" i="40"/>
  <c r="TO13" i="40"/>
  <c r="TN13" i="40"/>
  <c r="TL13" i="40"/>
  <c r="TK13" i="40"/>
  <c r="TJ13" i="40"/>
  <c r="TI13" i="40"/>
  <c r="TH13" i="40"/>
  <c r="TG13" i="40"/>
  <c r="SK13" i="40"/>
  <c r="SJ13" i="40"/>
  <c r="SI13" i="40"/>
  <c r="SH13" i="40"/>
  <c r="SG13" i="40"/>
  <c r="SF13" i="40"/>
  <c r="SD13" i="40"/>
  <c r="SC13" i="40"/>
  <c r="SB13" i="40"/>
  <c r="SA13" i="40"/>
  <c r="RZ13" i="40"/>
  <c r="RY13" i="40"/>
  <c r="RC13" i="40"/>
  <c r="RB13" i="40"/>
  <c r="RA13" i="40"/>
  <c r="QZ13" i="40"/>
  <c r="QY13" i="40"/>
  <c r="QX13" i="40"/>
  <c r="QV13" i="40"/>
  <c r="QU13" i="40"/>
  <c r="QT13" i="40"/>
  <c r="QS13" i="40"/>
  <c r="QR13" i="40"/>
  <c r="QQ13" i="40"/>
  <c r="PU13" i="40"/>
  <c r="PT13" i="40"/>
  <c r="PS13" i="40"/>
  <c r="PR13" i="40"/>
  <c r="PQ13" i="40"/>
  <c r="PP13" i="40"/>
  <c r="PN13" i="40"/>
  <c r="PM13" i="40"/>
  <c r="PL13" i="40"/>
  <c r="PK13" i="40"/>
  <c r="PJ13" i="40"/>
  <c r="PI13" i="40"/>
  <c r="OM13" i="40"/>
  <c r="OL13" i="40"/>
  <c r="OK13" i="40"/>
  <c r="OJ13" i="40"/>
  <c r="OI13" i="40"/>
  <c r="OH13" i="40"/>
  <c r="OF13" i="40"/>
  <c r="OE13" i="40"/>
  <c r="OD13" i="40"/>
  <c r="OC13" i="40"/>
  <c r="OB13" i="40"/>
  <c r="OA13" i="40"/>
  <c r="NE13" i="40"/>
  <c r="ND13" i="40"/>
  <c r="NC13" i="40"/>
  <c r="NB13" i="40"/>
  <c r="NA13" i="40"/>
  <c r="MZ13" i="40"/>
  <c r="MX13" i="40"/>
  <c r="MW13" i="40"/>
  <c r="MV13" i="40"/>
  <c r="MU13" i="40"/>
  <c r="MT13" i="40"/>
  <c r="MS13" i="40"/>
  <c r="LW13" i="40"/>
  <c r="LV13" i="40"/>
  <c r="LU13" i="40"/>
  <c r="LT13" i="40"/>
  <c r="LS13" i="40"/>
  <c r="LR13" i="40"/>
  <c r="LP13" i="40"/>
  <c r="LO13" i="40"/>
  <c r="LN13" i="40"/>
  <c r="LM13" i="40"/>
  <c r="LL13" i="40"/>
  <c r="LK13" i="40"/>
  <c r="KO13" i="40"/>
  <c r="KN13" i="40"/>
  <c r="KM13" i="40"/>
  <c r="KL13" i="40"/>
  <c r="KK13" i="40"/>
  <c r="KJ13" i="40"/>
  <c r="KH13" i="40"/>
  <c r="KG13" i="40"/>
  <c r="KF13" i="40"/>
  <c r="KE13" i="40"/>
  <c r="KD13" i="40"/>
  <c r="KC13" i="40"/>
  <c r="JG13" i="40"/>
  <c r="JF13" i="40"/>
  <c r="JE13" i="40"/>
  <c r="JD13" i="40"/>
  <c r="JC13" i="40"/>
  <c r="JB13" i="40"/>
  <c r="IZ13" i="40"/>
  <c r="IY13" i="40"/>
  <c r="IX13" i="40"/>
  <c r="IW13" i="40"/>
  <c r="IV13" i="40"/>
  <c r="IU13" i="40"/>
  <c r="HY13" i="40"/>
  <c r="HX13" i="40"/>
  <c r="HW13" i="40"/>
  <c r="HV13" i="40"/>
  <c r="HU13" i="40"/>
  <c r="HT13" i="40"/>
  <c r="HR13" i="40"/>
  <c r="HQ13" i="40"/>
  <c r="HP13" i="40"/>
  <c r="HO13" i="40"/>
  <c r="HN13" i="40"/>
  <c r="HM13" i="40"/>
  <c r="GQ13" i="40"/>
  <c r="GP13" i="40"/>
  <c r="GO13" i="40"/>
  <c r="GN13" i="40"/>
  <c r="GM13" i="40"/>
  <c r="GL13" i="40"/>
  <c r="GJ13" i="40"/>
  <c r="GI13" i="40"/>
  <c r="GH13" i="40"/>
  <c r="GG13" i="40"/>
  <c r="GF13" i="40"/>
  <c r="GE13" i="40"/>
  <c r="FI13" i="40"/>
  <c r="FH13" i="40"/>
  <c r="FG13" i="40"/>
  <c r="FF13" i="40"/>
  <c r="FE13" i="40"/>
  <c r="FD13" i="40"/>
  <c r="FB13" i="40"/>
  <c r="FA13" i="40"/>
  <c r="EZ13" i="40"/>
  <c r="EY13" i="40"/>
  <c r="EX13" i="40"/>
  <c r="EW13" i="40"/>
  <c r="EA13" i="40"/>
  <c r="DZ13" i="40"/>
  <c r="DY13" i="40"/>
  <c r="DX13" i="40"/>
  <c r="DW13" i="40"/>
  <c r="DV13" i="40"/>
  <c r="DT13" i="40"/>
  <c r="DS13" i="40"/>
  <c r="DR13" i="40"/>
  <c r="DQ13" i="40"/>
  <c r="DP13" i="40"/>
  <c r="DO13" i="40"/>
  <c r="CR13" i="40"/>
  <c r="CQ13" i="40"/>
  <c r="CP13" i="40"/>
  <c r="CN13" i="40"/>
  <c r="CM13" i="40"/>
  <c r="CL13" i="40"/>
  <c r="CK13" i="40"/>
  <c r="CO13" i="40" s="1"/>
  <c r="CJ13" i="40"/>
  <c r="CI13" i="40"/>
  <c r="WI15" i="40"/>
  <c r="WH15" i="40"/>
  <c r="WG15" i="40"/>
  <c r="WF15" i="40"/>
  <c r="WE15" i="40"/>
  <c r="WD15" i="40"/>
  <c r="WB15" i="40"/>
  <c r="WA15" i="40"/>
  <c r="VZ15" i="40"/>
  <c r="VY15" i="40"/>
  <c r="VX15" i="40"/>
  <c r="VW15" i="40"/>
  <c r="VA15" i="40"/>
  <c r="UZ15" i="40"/>
  <c r="UY15" i="40"/>
  <c r="UX15" i="40"/>
  <c r="UW15" i="40"/>
  <c r="UV15" i="40"/>
  <c r="UT15" i="40"/>
  <c r="US15" i="40"/>
  <c r="UR15" i="40"/>
  <c r="UQ15" i="40"/>
  <c r="UP15" i="40"/>
  <c r="UO15" i="40"/>
  <c r="TS15" i="40"/>
  <c r="TR15" i="40"/>
  <c r="TQ15" i="40"/>
  <c r="TP15" i="40"/>
  <c r="TO15" i="40"/>
  <c r="TN15" i="40"/>
  <c r="TL15" i="40"/>
  <c r="TK15" i="40"/>
  <c r="TJ15" i="40"/>
  <c r="TI15" i="40"/>
  <c r="TH15" i="40"/>
  <c r="TG15" i="40"/>
  <c r="SK15" i="40"/>
  <c r="SJ15" i="40"/>
  <c r="SI15" i="40"/>
  <c r="SH15" i="40"/>
  <c r="SG15" i="40"/>
  <c r="SF15" i="40"/>
  <c r="SD15" i="40"/>
  <c r="SC15" i="40"/>
  <c r="SB15" i="40"/>
  <c r="SA15" i="40"/>
  <c r="RZ15" i="40"/>
  <c r="RY15" i="40"/>
  <c r="RC15" i="40"/>
  <c r="RB15" i="40"/>
  <c r="RA15" i="40"/>
  <c r="QZ15" i="40"/>
  <c r="QY15" i="40"/>
  <c r="QX15" i="40"/>
  <c r="QV15" i="40"/>
  <c r="QU15" i="40"/>
  <c r="QT15" i="40"/>
  <c r="QS15" i="40"/>
  <c r="QR15" i="40"/>
  <c r="QQ15" i="40"/>
  <c r="PU15" i="40"/>
  <c r="PT15" i="40"/>
  <c r="PS15" i="40"/>
  <c r="PR15" i="40"/>
  <c r="PQ15" i="40"/>
  <c r="PP15" i="40"/>
  <c r="PN15" i="40"/>
  <c r="PM15" i="40"/>
  <c r="PL15" i="40"/>
  <c r="PK15" i="40"/>
  <c r="PJ15" i="40"/>
  <c r="PI15" i="40"/>
  <c r="OM15" i="40"/>
  <c r="OL15" i="40"/>
  <c r="OK15" i="40"/>
  <c r="OJ15" i="40"/>
  <c r="OI15" i="40"/>
  <c r="OH15" i="40"/>
  <c r="OF15" i="40"/>
  <c r="OE15" i="40"/>
  <c r="OD15" i="40"/>
  <c r="OC15" i="40"/>
  <c r="OB15" i="40"/>
  <c r="OA15" i="40"/>
  <c r="NE15" i="40"/>
  <c r="ND15" i="40"/>
  <c r="NC15" i="40"/>
  <c r="NB15" i="40"/>
  <c r="NA15" i="40"/>
  <c r="MZ15" i="40"/>
  <c r="MX15" i="40"/>
  <c r="MW15" i="40"/>
  <c r="MV15" i="40"/>
  <c r="MU15" i="40"/>
  <c r="MT15" i="40"/>
  <c r="MS15" i="40"/>
  <c r="LW15" i="40"/>
  <c r="LV15" i="40"/>
  <c r="LU15" i="40"/>
  <c r="LT15" i="40"/>
  <c r="LS15" i="40"/>
  <c r="LR15" i="40"/>
  <c r="LP15" i="40"/>
  <c r="LO15" i="40"/>
  <c r="LN15" i="40"/>
  <c r="LM15" i="40"/>
  <c r="LL15" i="40"/>
  <c r="LK15" i="40"/>
  <c r="KO15" i="40"/>
  <c r="KN15" i="40"/>
  <c r="KM15" i="40"/>
  <c r="KL15" i="40"/>
  <c r="KK15" i="40"/>
  <c r="KJ15" i="40"/>
  <c r="KH15" i="40"/>
  <c r="KG15" i="40"/>
  <c r="KF15" i="40"/>
  <c r="KE15" i="40"/>
  <c r="KD15" i="40"/>
  <c r="KC15" i="40"/>
  <c r="JG15" i="40"/>
  <c r="JF15" i="40"/>
  <c r="JE15" i="40"/>
  <c r="JD15" i="40"/>
  <c r="JC15" i="40"/>
  <c r="JB15" i="40"/>
  <c r="IZ15" i="40"/>
  <c r="IY15" i="40"/>
  <c r="IX15" i="40"/>
  <c r="IW15" i="40"/>
  <c r="IV15" i="40"/>
  <c r="IU15" i="40"/>
  <c r="HY15" i="40"/>
  <c r="HX15" i="40"/>
  <c r="HW15" i="40"/>
  <c r="HV15" i="40"/>
  <c r="HU15" i="40"/>
  <c r="HT15" i="40"/>
  <c r="HR15" i="40"/>
  <c r="HQ15" i="40"/>
  <c r="HP15" i="40"/>
  <c r="HO15" i="40"/>
  <c r="HN15" i="40"/>
  <c r="HM15" i="40"/>
  <c r="GQ15" i="40"/>
  <c r="GP15" i="40"/>
  <c r="GO15" i="40"/>
  <c r="GN15" i="40"/>
  <c r="GM15" i="40"/>
  <c r="GL15" i="40"/>
  <c r="GJ15" i="40"/>
  <c r="GI15" i="40"/>
  <c r="GH15" i="40"/>
  <c r="GG15" i="40"/>
  <c r="GF15" i="40"/>
  <c r="GE15" i="40"/>
  <c r="FI15" i="40"/>
  <c r="FH15" i="40"/>
  <c r="FG15" i="40"/>
  <c r="FF15" i="40"/>
  <c r="FE15" i="40"/>
  <c r="FD15" i="40"/>
  <c r="FB15" i="40"/>
  <c r="FA15" i="40"/>
  <c r="EZ15" i="40"/>
  <c r="EY15" i="40"/>
  <c r="EX15" i="40"/>
  <c r="EW15" i="40"/>
  <c r="EA15" i="40"/>
  <c r="DZ15" i="40"/>
  <c r="DY15" i="40"/>
  <c r="DX15" i="40"/>
  <c r="DW15" i="40"/>
  <c r="DV15" i="40"/>
  <c r="DT15" i="40"/>
  <c r="DS15" i="40"/>
  <c r="DR15" i="40"/>
  <c r="DQ15" i="40"/>
  <c r="DP15" i="40"/>
  <c r="DO15" i="40"/>
  <c r="CR15" i="40"/>
  <c r="CQ15" i="40"/>
  <c r="CP15" i="40"/>
  <c r="CN15" i="40"/>
  <c r="CM15" i="40"/>
  <c r="CL15" i="40"/>
  <c r="CK15" i="40"/>
  <c r="CO15" i="40" s="1"/>
  <c r="CJ15" i="40"/>
  <c r="CI15" i="40"/>
  <c r="WI12" i="40"/>
  <c r="WH12" i="40"/>
  <c r="WG12" i="40"/>
  <c r="WF12" i="40"/>
  <c r="WE12" i="40"/>
  <c r="WD12" i="40"/>
  <c r="WB12" i="40"/>
  <c r="WA12" i="40"/>
  <c r="VZ12" i="40"/>
  <c r="VY12" i="40"/>
  <c r="VX12" i="40"/>
  <c r="VW12" i="40"/>
  <c r="VA12" i="40"/>
  <c r="UZ12" i="40"/>
  <c r="UY12" i="40"/>
  <c r="UX12" i="40"/>
  <c r="UW12" i="40"/>
  <c r="UV12" i="40"/>
  <c r="UT12" i="40"/>
  <c r="US12" i="40"/>
  <c r="UR12" i="40"/>
  <c r="UQ12" i="40"/>
  <c r="UP12" i="40"/>
  <c r="UO12" i="40"/>
  <c r="TS12" i="40"/>
  <c r="TR12" i="40"/>
  <c r="TQ12" i="40"/>
  <c r="TP12" i="40"/>
  <c r="TO12" i="40"/>
  <c r="TN12" i="40"/>
  <c r="TL12" i="40"/>
  <c r="TK12" i="40"/>
  <c r="TJ12" i="40"/>
  <c r="TI12" i="40"/>
  <c r="TH12" i="40"/>
  <c r="TG12" i="40"/>
  <c r="SK12" i="40"/>
  <c r="SJ12" i="40"/>
  <c r="SI12" i="40"/>
  <c r="SH12" i="40"/>
  <c r="SG12" i="40"/>
  <c r="SF12" i="40"/>
  <c r="SD12" i="40"/>
  <c r="SC12" i="40"/>
  <c r="SB12" i="40"/>
  <c r="SA12" i="40"/>
  <c r="RZ12" i="40"/>
  <c r="RY12" i="40"/>
  <c r="RC12" i="40"/>
  <c r="RB12" i="40"/>
  <c r="RA12" i="40"/>
  <c r="QZ12" i="40"/>
  <c r="QY12" i="40"/>
  <c r="QX12" i="40"/>
  <c r="QV12" i="40"/>
  <c r="QU12" i="40"/>
  <c r="QT12" i="40"/>
  <c r="QS12" i="40"/>
  <c r="QR12" i="40"/>
  <c r="QQ12" i="40"/>
  <c r="PU12" i="40"/>
  <c r="PT12" i="40"/>
  <c r="PS12" i="40"/>
  <c r="PR12" i="40"/>
  <c r="PQ12" i="40"/>
  <c r="PP12" i="40"/>
  <c r="PN12" i="40"/>
  <c r="PM12" i="40"/>
  <c r="PL12" i="40"/>
  <c r="PK12" i="40"/>
  <c r="PJ12" i="40"/>
  <c r="PI12" i="40"/>
  <c r="OM12" i="40"/>
  <c r="OL12" i="40"/>
  <c r="OK12" i="40"/>
  <c r="OJ12" i="40"/>
  <c r="OI12" i="40"/>
  <c r="OH12" i="40"/>
  <c r="OF12" i="40"/>
  <c r="OE12" i="40"/>
  <c r="OD12" i="40"/>
  <c r="OC12" i="40"/>
  <c r="OG12" i="40" s="1"/>
  <c r="OB12" i="40"/>
  <c r="OA12" i="40"/>
  <c r="NE12" i="40"/>
  <c r="ND12" i="40"/>
  <c r="NC12" i="40"/>
  <c r="NB12" i="40"/>
  <c r="NA12" i="40"/>
  <c r="MZ12" i="40"/>
  <c r="MX12" i="40"/>
  <c r="MW12" i="40"/>
  <c r="MV12" i="40"/>
  <c r="MU12" i="40"/>
  <c r="MT12" i="40"/>
  <c r="MS12" i="40"/>
  <c r="LW12" i="40"/>
  <c r="LV12" i="40"/>
  <c r="LU12" i="40"/>
  <c r="LT12" i="40"/>
  <c r="LS12" i="40"/>
  <c r="LR12" i="40"/>
  <c r="LP12" i="40"/>
  <c r="LO12" i="40"/>
  <c r="LN12" i="40"/>
  <c r="LM12" i="40"/>
  <c r="LL12" i="40"/>
  <c r="LK12" i="40"/>
  <c r="KO12" i="40"/>
  <c r="KN12" i="40"/>
  <c r="KM12" i="40"/>
  <c r="KL12" i="40"/>
  <c r="KK12" i="40"/>
  <c r="KJ12" i="40"/>
  <c r="KH12" i="40"/>
  <c r="KG12" i="40"/>
  <c r="KF12" i="40"/>
  <c r="KE12" i="40"/>
  <c r="KD12" i="40"/>
  <c r="KC12" i="40"/>
  <c r="JG12" i="40"/>
  <c r="JF12" i="40"/>
  <c r="JE12" i="40"/>
  <c r="JD12" i="40"/>
  <c r="JC12" i="40"/>
  <c r="JB12" i="40"/>
  <c r="IZ12" i="40"/>
  <c r="IY12" i="40"/>
  <c r="IX12" i="40"/>
  <c r="IW12" i="40"/>
  <c r="IV12" i="40"/>
  <c r="IU12" i="40"/>
  <c r="HY12" i="40"/>
  <c r="HX12" i="40"/>
  <c r="HW12" i="40"/>
  <c r="HV12" i="40"/>
  <c r="HU12" i="40"/>
  <c r="HT12" i="40"/>
  <c r="HR12" i="40"/>
  <c r="HQ12" i="40"/>
  <c r="HP12" i="40"/>
  <c r="HO12" i="40"/>
  <c r="HN12" i="40"/>
  <c r="HM12" i="40"/>
  <c r="GQ12" i="40"/>
  <c r="GP12" i="40"/>
  <c r="GO12" i="40"/>
  <c r="GN12" i="40"/>
  <c r="GM12" i="40"/>
  <c r="GL12" i="40"/>
  <c r="GJ12" i="40"/>
  <c r="GI12" i="40"/>
  <c r="GH12" i="40"/>
  <c r="GG12" i="40"/>
  <c r="GF12" i="40"/>
  <c r="GE12" i="40"/>
  <c r="FI12" i="40"/>
  <c r="FH12" i="40"/>
  <c r="FG12" i="40"/>
  <c r="FF12" i="40"/>
  <c r="FE12" i="40"/>
  <c r="FD12" i="40"/>
  <c r="FB12" i="40"/>
  <c r="FA12" i="40"/>
  <c r="EZ12" i="40"/>
  <c r="EY12" i="40"/>
  <c r="EX12" i="40"/>
  <c r="EW12" i="40"/>
  <c r="EA12" i="40"/>
  <c r="DZ12" i="40"/>
  <c r="DY12" i="40"/>
  <c r="DX12" i="40"/>
  <c r="DW12" i="40"/>
  <c r="DV12" i="40"/>
  <c r="DT12" i="40"/>
  <c r="DS12" i="40"/>
  <c r="DR12" i="40"/>
  <c r="DQ12" i="40"/>
  <c r="DP12" i="40"/>
  <c r="DO12" i="40"/>
  <c r="CR12" i="40"/>
  <c r="CQ12" i="40"/>
  <c r="CP12" i="40"/>
  <c r="CN12" i="40"/>
  <c r="CM12" i="40"/>
  <c r="CL12" i="40"/>
  <c r="CK12" i="40"/>
  <c r="CO12" i="40" s="1"/>
  <c r="CJ12" i="40"/>
  <c r="CI12" i="40"/>
  <c r="WI10" i="40"/>
  <c r="WH10" i="40"/>
  <c r="WG10" i="40"/>
  <c r="WF10" i="40"/>
  <c r="WE10" i="40"/>
  <c r="WD10" i="40"/>
  <c r="WB10" i="40"/>
  <c r="WA10" i="40"/>
  <c r="VZ10" i="40"/>
  <c r="VY10" i="40"/>
  <c r="VX10" i="40"/>
  <c r="VW10" i="40"/>
  <c r="VA10" i="40"/>
  <c r="UZ10" i="40"/>
  <c r="UY10" i="40"/>
  <c r="UX10" i="40"/>
  <c r="UW10" i="40"/>
  <c r="UV10" i="40"/>
  <c r="UT10" i="40"/>
  <c r="US10" i="40"/>
  <c r="UR10" i="40"/>
  <c r="UQ10" i="40"/>
  <c r="UP10" i="40"/>
  <c r="UO10" i="40"/>
  <c r="TS10" i="40"/>
  <c r="TR10" i="40"/>
  <c r="TQ10" i="40"/>
  <c r="TP10" i="40"/>
  <c r="TO10" i="40"/>
  <c r="TN10" i="40"/>
  <c r="TL10" i="40"/>
  <c r="TK10" i="40"/>
  <c r="TJ10" i="40"/>
  <c r="TI10" i="40"/>
  <c r="TH10" i="40"/>
  <c r="TG10" i="40"/>
  <c r="SK10" i="40"/>
  <c r="SJ10" i="40"/>
  <c r="SI10" i="40"/>
  <c r="SH10" i="40"/>
  <c r="SG10" i="40"/>
  <c r="SF10" i="40"/>
  <c r="SD10" i="40"/>
  <c r="SC10" i="40"/>
  <c r="SB10" i="40"/>
  <c r="SA10" i="40"/>
  <c r="RZ10" i="40"/>
  <c r="RY10" i="40"/>
  <c r="RC10" i="40"/>
  <c r="RB10" i="40"/>
  <c r="RA10" i="40"/>
  <c r="QZ10" i="40"/>
  <c r="QY10" i="40"/>
  <c r="QX10" i="40"/>
  <c r="QV10" i="40"/>
  <c r="QU10" i="40"/>
  <c r="QT10" i="40"/>
  <c r="QS10" i="40"/>
  <c r="QR10" i="40"/>
  <c r="QQ10" i="40"/>
  <c r="PU10" i="40"/>
  <c r="PT10" i="40"/>
  <c r="PS10" i="40"/>
  <c r="PR10" i="40"/>
  <c r="PQ10" i="40"/>
  <c r="PP10" i="40"/>
  <c r="PN10" i="40"/>
  <c r="PM10" i="40"/>
  <c r="PL10" i="40"/>
  <c r="PK10" i="40"/>
  <c r="PJ10" i="40"/>
  <c r="PI10" i="40"/>
  <c r="OM10" i="40"/>
  <c r="OL10" i="40"/>
  <c r="OK10" i="40"/>
  <c r="OJ10" i="40"/>
  <c r="OI10" i="40"/>
  <c r="OH10" i="40"/>
  <c r="OF10" i="40"/>
  <c r="OE10" i="40"/>
  <c r="OD10" i="40"/>
  <c r="OC10" i="40"/>
  <c r="OB10" i="40"/>
  <c r="OA10" i="40"/>
  <c r="NE10" i="40"/>
  <c r="ND10" i="40"/>
  <c r="NC10" i="40"/>
  <c r="NB10" i="40"/>
  <c r="NA10" i="40"/>
  <c r="MZ10" i="40"/>
  <c r="MX10" i="40"/>
  <c r="MW10" i="40"/>
  <c r="MV10" i="40"/>
  <c r="MU10" i="40"/>
  <c r="MT10" i="40"/>
  <c r="MS10" i="40"/>
  <c r="LW10" i="40"/>
  <c r="LV10" i="40"/>
  <c r="LU10" i="40"/>
  <c r="LT10" i="40"/>
  <c r="LS10" i="40"/>
  <c r="LR10" i="40"/>
  <c r="LP10" i="40"/>
  <c r="LO10" i="40"/>
  <c r="LN10" i="40"/>
  <c r="LM10" i="40"/>
  <c r="LL10" i="40"/>
  <c r="LK10" i="40"/>
  <c r="KO10" i="40"/>
  <c r="KN10" i="40"/>
  <c r="KM10" i="40"/>
  <c r="KL10" i="40"/>
  <c r="KK10" i="40"/>
  <c r="KJ10" i="40"/>
  <c r="KH10" i="40"/>
  <c r="KG10" i="40"/>
  <c r="KF10" i="40"/>
  <c r="KE10" i="40"/>
  <c r="KD10" i="40"/>
  <c r="KC10" i="40"/>
  <c r="JG10" i="40"/>
  <c r="JF10" i="40"/>
  <c r="JE10" i="40"/>
  <c r="JD10" i="40"/>
  <c r="JC10" i="40"/>
  <c r="JB10" i="40"/>
  <c r="IZ10" i="40"/>
  <c r="IY10" i="40"/>
  <c r="IX10" i="40"/>
  <c r="IW10" i="40"/>
  <c r="IV10" i="40"/>
  <c r="IU10" i="40"/>
  <c r="HY10" i="40"/>
  <c r="HX10" i="40"/>
  <c r="HW10" i="40"/>
  <c r="HV10" i="40"/>
  <c r="HU10" i="40"/>
  <c r="HT10" i="40"/>
  <c r="HR10" i="40"/>
  <c r="HQ10" i="40"/>
  <c r="HP10" i="40"/>
  <c r="HO10" i="40"/>
  <c r="HN10" i="40"/>
  <c r="HM10" i="40"/>
  <c r="GQ10" i="40"/>
  <c r="GP10" i="40"/>
  <c r="GO10" i="40"/>
  <c r="GN10" i="40"/>
  <c r="GM10" i="40"/>
  <c r="GL10" i="40"/>
  <c r="GJ10" i="40"/>
  <c r="GI10" i="40"/>
  <c r="GH10" i="40"/>
  <c r="GG10" i="40"/>
  <c r="GF10" i="40"/>
  <c r="GE10" i="40"/>
  <c r="FI10" i="40"/>
  <c r="FH10" i="40"/>
  <c r="FG10" i="40"/>
  <c r="FF10" i="40"/>
  <c r="FE10" i="40"/>
  <c r="FD10" i="40"/>
  <c r="FB10" i="40"/>
  <c r="FA10" i="40"/>
  <c r="EZ10" i="40"/>
  <c r="EY10" i="40"/>
  <c r="EX10" i="40"/>
  <c r="EW10" i="40"/>
  <c r="EA10" i="40"/>
  <c r="DZ10" i="40"/>
  <c r="DY10" i="40"/>
  <c r="DX10" i="40"/>
  <c r="DW10" i="40"/>
  <c r="DV10" i="40"/>
  <c r="DT10" i="40"/>
  <c r="DS10" i="40"/>
  <c r="DR10" i="40"/>
  <c r="DQ10" i="40"/>
  <c r="DP10" i="40"/>
  <c r="DO10" i="40"/>
  <c r="CR10" i="40"/>
  <c r="CQ10" i="40"/>
  <c r="CP10" i="40"/>
  <c r="CN10" i="40"/>
  <c r="CM10" i="40"/>
  <c r="CL10" i="40"/>
  <c r="CK10" i="40"/>
  <c r="CO10" i="40" s="1"/>
  <c r="CJ10" i="40"/>
  <c r="CI10" i="40"/>
  <c r="WI9" i="40"/>
  <c r="WH9" i="40"/>
  <c r="WG9" i="40"/>
  <c r="WF9" i="40"/>
  <c r="WE9" i="40"/>
  <c r="WD9" i="40"/>
  <c r="WB9" i="40"/>
  <c r="WA9" i="40"/>
  <c r="VZ9" i="40"/>
  <c r="VY9" i="40"/>
  <c r="VX9" i="40"/>
  <c r="VW9" i="40"/>
  <c r="VA9" i="40"/>
  <c r="UZ9" i="40"/>
  <c r="UY9" i="40"/>
  <c r="UX9" i="40"/>
  <c r="UW9" i="40"/>
  <c r="UV9" i="40"/>
  <c r="UT9" i="40"/>
  <c r="US9" i="40"/>
  <c r="UR9" i="40"/>
  <c r="UQ9" i="40"/>
  <c r="UP9" i="40"/>
  <c r="UO9" i="40"/>
  <c r="TS9" i="40"/>
  <c r="TR9" i="40"/>
  <c r="TQ9" i="40"/>
  <c r="TP9" i="40"/>
  <c r="TO9" i="40"/>
  <c r="TN9" i="40"/>
  <c r="TL9" i="40"/>
  <c r="TK9" i="40"/>
  <c r="TJ9" i="40"/>
  <c r="TI9" i="40"/>
  <c r="TH9" i="40"/>
  <c r="TG9" i="40"/>
  <c r="SK9" i="40"/>
  <c r="SJ9" i="40"/>
  <c r="SI9" i="40"/>
  <c r="SH9" i="40"/>
  <c r="SG9" i="40"/>
  <c r="SF9" i="40"/>
  <c r="SD9" i="40"/>
  <c r="SC9" i="40"/>
  <c r="SB9" i="40"/>
  <c r="SA9" i="40"/>
  <c r="RZ9" i="40"/>
  <c r="RY9" i="40"/>
  <c r="RC9" i="40"/>
  <c r="RB9" i="40"/>
  <c r="RA9" i="40"/>
  <c r="QZ9" i="40"/>
  <c r="QY9" i="40"/>
  <c r="QX9" i="40"/>
  <c r="QV9" i="40"/>
  <c r="QU9" i="40"/>
  <c r="QT9" i="40"/>
  <c r="QS9" i="40"/>
  <c r="QR9" i="40"/>
  <c r="QQ9" i="40"/>
  <c r="PU9" i="40"/>
  <c r="PT9" i="40"/>
  <c r="PS9" i="40"/>
  <c r="PR9" i="40"/>
  <c r="PQ9" i="40"/>
  <c r="PP9" i="40"/>
  <c r="PN9" i="40"/>
  <c r="PM9" i="40"/>
  <c r="PL9" i="40"/>
  <c r="PK9" i="40"/>
  <c r="PJ9" i="40"/>
  <c r="PI9" i="40"/>
  <c r="OM9" i="40"/>
  <c r="OL9" i="40"/>
  <c r="OK9" i="40"/>
  <c r="OJ9" i="40"/>
  <c r="OI9" i="40"/>
  <c r="OH9" i="40"/>
  <c r="OF9" i="40"/>
  <c r="OE9" i="40"/>
  <c r="OD9" i="40"/>
  <c r="OC9" i="40"/>
  <c r="OB9" i="40"/>
  <c r="OA9" i="40"/>
  <c r="NE9" i="40"/>
  <c r="ND9" i="40"/>
  <c r="NC9" i="40"/>
  <c r="NB9" i="40"/>
  <c r="NA9" i="40"/>
  <c r="MZ9" i="40"/>
  <c r="MX9" i="40"/>
  <c r="MW9" i="40"/>
  <c r="MV9" i="40"/>
  <c r="MU9" i="40"/>
  <c r="MT9" i="40"/>
  <c r="MS9" i="40"/>
  <c r="LW9" i="40"/>
  <c r="LV9" i="40"/>
  <c r="LU9" i="40"/>
  <c r="LT9" i="40"/>
  <c r="LS9" i="40"/>
  <c r="LR9" i="40"/>
  <c r="LP9" i="40"/>
  <c r="LO9" i="40"/>
  <c r="LN9" i="40"/>
  <c r="LM9" i="40"/>
  <c r="LL9" i="40"/>
  <c r="LK9" i="40"/>
  <c r="KO9" i="40"/>
  <c r="KN9" i="40"/>
  <c r="KM9" i="40"/>
  <c r="KL9" i="40"/>
  <c r="KK9" i="40"/>
  <c r="KJ9" i="40"/>
  <c r="KH9" i="40"/>
  <c r="KG9" i="40"/>
  <c r="KF9" i="40"/>
  <c r="KE9" i="40"/>
  <c r="KD9" i="40"/>
  <c r="KC9" i="40"/>
  <c r="JG9" i="40"/>
  <c r="JF9" i="40"/>
  <c r="JE9" i="40"/>
  <c r="JD9" i="40"/>
  <c r="JC9" i="40"/>
  <c r="JB9" i="40"/>
  <c r="IZ9" i="40"/>
  <c r="IY9" i="40"/>
  <c r="IX9" i="40"/>
  <c r="IW9" i="40"/>
  <c r="IV9" i="40"/>
  <c r="IU9" i="40"/>
  <c r="HY9" i="40"/>
  <c r="HX9" i="40"/>
  <c r="HW9" i="40"/>
  <c r="HV9" i="40"/>
  <c r="HU9" i="40"/>
  <c r="HT9" i="40"/>
  <c r="HR9" i="40"/>
  <c r="HQ9" i="40"/>
  <c r="HP9" i="40"/>
  <c r="HO9" i="40"/>
  <c r="HN9" i="40"/>
  <c r="HM9" i="40"/>
  <c r="GQ9" i="40"/>
  <c r="GP9" i="40"/>
  <c r="GO9" i="40"/>
  <c r="GN9" i="40"/>
  <c r="GM9" i="40"/>
  <c r="GL9" i="40"/>
  <c r="GJ9" i="40"/>
  <c r="GI9" i="40"/>
  <c r="GH9" i="40"/>
  <c r="GG9" i="40"/>
  <c r="GF9" i="40"/>
  <c r="GE9" i="40"/>
  <c r="FI9" i="40"/>
  <c r="FH9" i="40"/>
  <c r="FG9" i="40"/>
  <c r="FF9" i="40"/>
  <c r="FE9" i="40"/>
  <c r="FD9" i="40"/>
  <c r="FB9" i="40"/>
  <c r="FA9" i="40"/>
  <c r="EZ9" i="40"/>
  <c r="EY9" i="40"/>
  <c r="EX9" i="40"/>
  <c r="EW9" i="40"/>
  <c r="EA9" i="40"/>
  <c r="DZ9" i="40"/>
  <c r="DY9" i="40"/>
  <c r="DX9" i="40"/>
  <c r="DW9" i="40"/>
  <c r="DV9" i="40"/>
  <c r="DT9" i="40"/>
  <c r="DS9" i="40"/>
  <c r="DR9" i="40"/>
  <c r="DQ9" i="40"/>
  <c r="DP9" i="40"/>
  <c r="DO9" i="40"/>
  <c r="CR9" i="40"/>
  <c r="CQ9" i="40"/>
  <c r="CP9" i="40"/>
  <c r="CN9" i="40"/>
  <c r="CM9" i="40"/>
  <c r="CL9" i="40"/>
  <c r="CK9" i="40"/>
  <c r="CO9" i="40" s="1"/>
  <c r="CJ9" i="40"/>
  <c r="CI9" i="40"/>
  <c r="WI8" i="40"/>
  <c r="WH8" i="40"/>
  <c r="WG8" i="40"/>
  <c r="WF8" i="40"/>
  <c r="WE8" i="40"/>
  <c r="WD8" i="40"/>
  <c r="WB8" i="40"/>
  <c r="WA8" i="40"/>
  <c r="VZ8" i="40"/>
  <c r="VY8" i="40"/>
  <c r="VX8" i="40"/>
  <c r="VW8" i="40"/>
  <c r="VA8" i="40"/>
  <c r="UZ8" i="40"/>
  <c r="UY8" i="40"/>
  <c r="UX8" i="40"/>
  <c r="UW8" i="40"/>
  <c r="UV8" i="40"/>
  <c r="UT8" i="40"/>
  <c r="US8" i="40"/>
  <c r="UR8" i="40"/>
  <c r="UQ8" i="40"/>
  <c r="UP8" i="40"/>
  <c r="UO8" i="40"/>
  <c r="TS8" i="40"/>
  <c r="TR8" i="40"/>
  <c r="TQ8" i="40"/>
  <c r="TP8" i="40"/>
  <c r="TO8" i="40"/>
  <c r="TN8" i="40"/>
  <c r="TL8" i="40"/>
  <c r="TK8" i="40"/>
  <c r="TJ8" i="40"/>
  <c r="TI8" i="40"/>
  <c r="TH8" i="40"/>
  <c r="TG8" i="40"/>
  <c r="SK8" i="40"/>
  <c r="SJ8" i="40"/>
  <c r="SI8" i="40"/>
  <c r="SH8" i="40"/>
  <c r="SG8" i="40"/>
  <c r="SF8" i="40"/>
  <c r="SD8" i="40"/>
  <c r="SC8" i="40"/>
  <c r="SB8" i="40"/>
  <c r="SA8" i="40"/>
  <c r="RZ8" i="40"/>
  <c r="RY8" i="40"/>
  <c r="RC8" i="40"/>
  <c r="RB8" i="40"/>
  <c r="RA8" i="40"/>
  <c r="QZ8" i="40"/>
  <c r="QY8" i="40"/>
  <c r="QX8" i="40"/>
  <c r="QV8" i="40"/>
  <c r="QU8" i="40"/>
  <c r="QT8" i="40"/>
  <c r="QS8" i="40"/>
  <c r="QR8" i="40"/>
  <c r="QQ8" i="40"/>
  <c r="PU8" i="40"/>
  <c r="PT8" i="40"/>
  <c r="PS8" i="40"/>
  <c r="PR8" i="40"/>
  <c r="PQ8" i="40"/>
  <c r="PP8" i="40"/>
  <c r="PN8" i="40"/>
  <c r="PM8" i="40"/>
  <c r="PL8" i="40"/>
  <c r="PK8" i="40"/>
  <c r="PJ8" i="40"/>
  <c r="PI8" i="40"/>
  <c r="OM8" i="40"/>
  <c r="OL8" i="40"/>
  <c r="OK8" i="40"/>
  <c r="OJ8" i="40"/>
  <c r="OI8" i="40"/>
  <c r="OH8" i="40"/>
  <c r="OF8" i="40"/>
  <c r="OE8" i="40"/>
  <c r="OD8" i="40"/>
  <c r="OC8" i="40"/>
  <c r="OB8" i="40"/>
  <c r="OA8" i="40"/>
  <c r="NE8" i="40"/>
  <c r="ND8" i="40"/>
  <c r="NC8" i="40"/>
  <c r="NB8" i="40"/>
  <c r="NA8" i="40"/>
  <c r="MZ8" i="40"/>
  <c r="MX8" i="40"/>
  <c r="MW8" i="40"/>
  <c r="MV8" i="40"/>
  <c r="MU8" i="40"/>
  <c r="MT8" i="40"/>
  <c r="MS8" i="40"/>
  <c r="LW8" i="40"/>
  <c r="LV8" i="40"/>
  <c r="LU8" i="40"/>
  <c r="LT8" i="40"/>
  <c r="LS8" i="40"/>
  <c r="LR8" i="40"/>
  <c r="LP8" i="40"/>
  <c r="LO8" i="40"/>
  <c r="LN8" i="40"/>
  <c r="LM8" i="40"/>
  <c r="LL8" i="40"/>
  <c r="LK8" i="40"/>
  <c r="KO8" i="40"/>
  <c r="KN8" i="40"/>
  <c r="KM8" i="40"/>
  <c r="KL8" i="40"/>
  <c r="KK8" i="40"/>
  <c r="KJ8" i="40"/>
  <c r="KH8" i="40"/>
  <c r="KG8" i="40"/>
  <c r="KF8" i="40"/>
  <c r="KE8" i="40"/>
  <c r="KD8" i="40"/>
  <c r="KC8" i="40"/>
  <c r="JG8" i="40"/>
  <c r="JF8" i="40"/>
  <c r="JE8" i="40"/>
  <c r="JD8" i="40"/>
  <c r="JC8" i="40"/>
  <c r="JB8" i="40"/>
  <c r="IZ8" i="40"/>
  <c r="IY8" i="40"/>
  <c r="IX8" i="40"/>
  <c r="IW8" i="40"/>
  <c r="JA8" i="40" s="1"/>
  <c r="IV8" i="40"/>
  <c r="IU8" i="40"/>
  <c r="HY8" i="40"/>
  <c r="HX8" i="40"/>
  <c r="HW8" i="40"/>
  <c r="HV8" i="40"/>
  <c r="HU8" i="40"/>
  <c r="HT8" i="40"/>
  <c r="HR8" i="40"/>
  <c r="HQ8" i="40"/>
  <c r="HP8" i="40"/>
  <c r="HO8" i="40"/>
  <c r="HN8" i="40"/>
  <c r="HM8" i="40"/>
  <c r="GQ8" i="40"/>
  <c r="GP8" i="40"/>
  <c r="GO8" i="40"/>
  <c r="GN8" i="40"/>
  <c r="GM8" i="40"/>
  <c r="GL8" i="40"/>
  <c r="GJ8" i="40"/>
  <c r="GI8" i="40"/>
  <c r="GH8" i="40"/>
  <c r="GG8" i="40"/>
  <c r="GF8" i="40"/>
  <c r="GE8" i="40"/>
  <c r="FI8" i="40"/>
  <c r="FH8" i="40"/>
  <c r="FG8" i="40"/>
  <c r="FF8" i="40"/>
  <c r="FE8" i="40"/>
  <c r="FD8" i="40"/>
  <c r="FB8" i="40"/>
  <c r="FA8" i="40"/>
  <c r="EZ8" i="40"/>
  <c r="EY8" i="40"/>
  <c r="EX8" i="40"/>
  <c r="EW8" i="40"/>
  <c r="EA8" i="40"/>
  <c r="DZ8" i="40"/>
  <c r="DY8" i="40"/>
  <c r="DX8" i="40"/>
  <c r="DW8" i="40"/>
  <c r="DV8" i="40"/>
  <c r="DT8" i="40"/>
  <c r="DS8" i="40"/>
  <c r="DR8" i="40"/>
  <c r="DQ8" i="40"/>
  <c r="DP8" i="40"/>
  <c r="DO8" i="40"/>
  <c r="CR8" i="40"/>
  <c r="CQ8" i="40"/>
  <c r="CP8" i="40"/>
  <c r="CN8" i="40"/>
  <c r="CM8" i="40"/>
  <c r="CL8" i="40"/>
  <c r="CK8" i="40"/>
  <c r="CO8" i="40" s="1"/>
  <c r="CJ8" i="40"/>
  <c r="CI8" i="40"/>
  <c r="WI7" i="40"/>
  <c r="WH7" i="40"/>
  <c r="WG7" i="40"/>
  <c r="WF7" i="40"/>
  <c r="WE7" i="40"/>
  <c r="WD7" i="40"/>
  <c r="WB7" i="40"/>
  <c r="WA7" i="40"/>
  <c r="VZ7" i="40"/>
  <c r="VY7" i="40"/>
  <c r="VX7" i="40"/>
  <c r="VW7" i="40"/>
  <c r="VA7" i="40"/>
  <c r="UZ7" i="40"/>
  <c r="UY7" i="40"/>
  <c r="UX7" i="40"/>
  <c r="UW7" i="40"/>
  <c r="UV7" i="40"/>
  <c r="UT7" i="40"/>
  <c r="US7" i="40"/>
  <c r="UR7" i="40"/>
  <c r="UQ7" i="40"/>
  <c r="UP7" i="40"/>
  <c r="UO7" i="40"/>
  <c r="TS7" i="40"/>
  <c r="TR7" i="40"/>
  <c r="TQ7" i="40"/>
  <c r="TP7" i="40"/>
  <c r="TO7" i="40"/>
  <c r="TN7" i="40"/>
  <c r="TL7" i="40"/>
  <c r="TK7" i="40"/>
  <c r="TJ7" i="40"/>
  <c r="TI7" i="40"/>
  <c r="TH7" i="40"/>
  <c r="TG7" i="40"/>
  <c r="SK7" i="40"/>
  <c r="SJ7" i="40"/>
  <c r="SI7" i="40"/>
  <c r="SH7" i="40"/>
  <c r="SG7" i="40"/>
  <c r="SF7" i="40"/>
  <c r="SD7" i="40"/>
  <c r="SC7" i="40"/>
  <c r="SB7" i="40"/>
  <c r="SA7" i="40"/>
  <c r="RZ7" i="40"/>
  <c r="RY7" i="40"/>
  <c r="RC7" i="40"/>
  <c r="RB7" i="40"/>
  <c r="RA7" i="40"/>
  <c r="QZ7" i="40"/>
  <c r="QY7" i="40"/>
  <c r="QX7" i="40"/>
  <c r="QV7" i="40"/>
  <c r="QU7" i="40"/>
  <c r="QT7" i="40"/>
  <c r="QS7" i="40"/>
  <c r="QR7" i="40"/>
  <c r="QQ7" i="40"/>
  <c r="PU7" i="40"/>
  <c r="PT7" i="40"/>
  <c r="PS7" i="40"/>
  <c r="PR7" i="40"/>
  <c r="PQ7" i="40"/>
  <c r="PP7" i="40"/>
  <c r="PN7" i="40"/>
  <c r="PM7" i="40"/>
  <c r="PL7" i="40"/>
  <c r="PK7" i="40"/>
  <c r="PJ7" i="40"/>
  <c r="PI7" i="40"/>
  <c r="OM7" i="40"/>
  <c r="OL7" i="40"/>
  <c r="OK7" i="40"/>
  <c r="OJ7" i="40"/>
  <c r="OI7" i="40"/>
  <c r="OH7" i="40"/>
  <c r="OF7" i="40"/>
  <c r="OE7" i="40"/>
  <c r="OD7" i="40"/>
  <c r="OC7" i="40"/>
  <c r="OB7" i="40"/>
  <c r="OA7" i="40"/>
  <c r="NE7" i="40"/>
  <c r="ND7" i="40"/>
  <c r="NC7" i="40"/>
  <c r="NB7" i="40"/>
  <c r="NA7" i="40"/>
  <c r="MZ7" i="40"/>
  <c r="MX7" i="40"/>
  <c r="MW7" i="40"/>
  <c r="MV7" i="40"/>
  <c r="MU7" i="40"/>
  <c r="MT7" i="40"/>
  <c r="MS7" i="40"/>
  <c r="LW7" i="40"/>
  <c r="LV7" i="40"/>
  <c r="LU7" i="40"/>
  <c r="LT7" i="40"/>
  <c r="LS7" i="40"/>
  <c r="LR7" i="40"/>
  <c r="LP7" i="40"/>
  <c r="LO7" i="40"/>
  <c r="LN7" i="40"/>
  <c r="LM7" i="40"/>
  <c r="LL7" i="40"/>
  <c r="LK7" i="40"/>
  <c r="KO7" i="40"/>
  <c r="KN7" i="40"/>
  <c r="KM7" i="40"/>
  <c r="KL7" i="40"/>
  <c r="KK7" i="40"/>
  <c r="KJ7" i="40"/>
  <c r="KH7" i="40"/>
  <c r="KG7" i="40"/>
  <c r="KF7" i="40"/>
  <c r="KE7" i="40"/>
  <c r="KD7" i="40"/>
  <c r="KC7" i="40"/>
  <c r="JG7" i="40"/>
  <c r="JF7" i="40"/>
  <c r="JE7" i="40"/>
  <c r="JD7" i="40"/>
  <c r="JC7" i="40"/>
  <c r="JB7" i="40"/>
  <c r="IZ7" i="40"/>
  <c r="IY7" i="40"/>
  <c r="IX7" i="40"/>
  <c r="IW7" i="40"/>
  <c r="IV7" i="40"/>
  <c r="IU7" i="40"/>
  <c r="HY7" i="40"/>
  <c r="HX7" i="40"/>
  <c r="HW7" i="40"/>
  <c r="HV7" i="40"/>
  <c r="HU7" i="40"/>
  <c r="HT7" i="40"/>
  <c r="HR7" i="40"/>
  <c r="HQ7" i="40"/>
  <c r="HP7" i="40"/>
  <c r="HO7" i="40"/>
  <c r="HN7" i="40"/>
  <c r="HM7" i="40"/>
  <c r="GQ7" i="40"/>
  <c r="GP7" i="40"/>
  <c r="GO7" i="40"/>
  <c r="GN7" i="40"/>
  <c r="GM7" i="40"/>
  <c r="GL7" i="40"/>
  <c r="GJ7" i="40"/>
  <c r="GI7" i="40"/>
  <c r="GH7" i="40"/>
  <c r="GG7" i="40"/>
  <c r="GF7" i="40"/>
  <c r="GE7" i="40"/>
  <c r="FI7" i="40"/>
  <c r="FH7" i="40"/>
  <c r="FG7" i="40"/>
  <c r="FF7" i="40"/>
  <c r="FE7" i="40"/>
  <c r="FD7" i="40"/>
  <c r="FB7" i="40"/>
  <c r="FA7" i="40"/>
  <c r="EZ7" i="40"/>
  <c r="EY7" i="40"/>
  <c r="EX7" i="40"/>
  <c r="EW7" i="40"/>
  <c r="EA7" i="40"/>
  <c r="DZ7" i="40"/>
  <c r="DY7" i="40"/>
  <c r="DX7" i="40"/>
  <c r="DW7" i="40"/>
  <c r="DV7" i="40"/>
  <c r="DT7" i="40"/>
  <c r="DS7" i="40"/>
  <c r="DR7" i="40"/>
  <c r="DQ7" i="40"/>
  <c r="DP7" i="40"/>
  <c r="DO7" i="40"/>
  <c r="CR7" i="40"/>
  <c r="CQ7" i="40"/>
  <c r="CP7" i="40"/>
  <c r="CN7" i="40"/>
  <c r="CM7" i="40"/>
  <c r="CL7" i="40"/>
  <c r="CK7" i="40"/>
  <c r="CO7" i="40" s="1"/>
  <c r="CJ7" i="40"/>
  <c r="CI7" i="40"/>
  <c r="WI5" i="40"/>
  <c r="WH5" i="40"/>
  <c r="WG5" i="40"/>
  <c r="WF5" i="40"/>
  <c r="WE5" i="40"/>
  <c r="WD5" i="40"/>
  <c r="WB5" i="40"/>
  <c r="WA5" i="40"/>
  <c r="VZ5" i="40"/>
  <c r="VY5" i="40"/>
  <c r="VX5" i="40"/>
  <c r="VW5" i="40"/>
  <c r="VA5" i="40"/>
  <c r="UZ5" i="40"/>
  <c r="UY5" i="40"/>
  <c r="UX5" i="40"/>
  <c r="UW5" i="40"/>
  <c r="UV5" i="40"/>
  <c r="UT5" i="40"/>
  <c r="US5" i="40"/>
  <c r="UR5" i="40"/>
  <c r="UQ5" i="40"/>
  <c r="UP5" i="40"/>
  <c r="UO5" i="40"/>
  <c r="TS5" i="40"/>
  <c r="TR5" i="40"/>
  <c r="TQ5" i="40"/>
  <c r="TP5" i="40"/>
  <c r="TO5" i="40"/>
  <c r="TN5" i="40"/>
  <c r="TL5" i="40"/>
  <c r="TK5" i="40"/>
  <c r="TJ5" i="40"/>
  <c r="TI5" i="40"/>
  <c r="TH5" i="40"/>
  <c r="TG5" i="40"/>
  <c r="SK5" i="40"/>
  <c r="SJ5" i="40"/>
  <c r="SI5" i="40"/>
  <c r="SH5" i="40"/>
  <c r="SG5" i="40"/>
  <c r="SF5" i="40"/>
  <c r="SD5" i="40"/>
  <c r="SC5" i="40"/>
  <c r="SB5" i="40"/>
  <c r="SA5" i="40"/>
  <c r="RZ5" i="40"/>
  <c r="RY5" i="40"/>
  <c r="RC5" i="40"/>
  <c r="RB5" i="40"/>
  <c r="RA5" i="40"/>
  <c r="QZ5" i="40"/>
  <c r="QY5" i="40"/>
  <c r="QX5" i="40"/>
  <c r="QV5" i="40"/>
  <c r="QU5" i="40"/>
  <c r="QT5" i="40"/>
  <c r="QS5" i="40"/>
  <c r="QR5" i="40"/>
  <c r="QQ5" i="40"/>
  <c r="PU5" i="40"/>
  <c r="PT5" i="40"/>
  <c r="PS5" i="40"/>
  <c r="PR5" i="40"/>
  <c r="PQ5" i="40"/>
  <c r="PP5" i="40"/>
  <c r="PN5" i="40"/>
  <c r="PM5" i="40"/>
  <c r="PL5" i="40"/>
  <c r="PK5" i="40"/>
  <c r="PJ5" i="40"/>
  <c r="PI5" i="40"/>
  <c r="OM5" i="40"/>
  <c r="OL5" i="40"/>
  <c r="OK5" i="40"/>
  <c r="OJ5" i="40"/>
  <c r="OI5" i="40"/>
  <c r="OH5" i="40"/>
  <c r="OF5" i="40"/>
  <c r="OE5" i="40"/>
  <c r="OD5" i="40"/>
  <c r="OC5" i="40"/>
  <c r="OB5" i="40"/>
  <c r="OA5" i="40"/>
  <c r="NE5" i="40"/>
  <c r="ND5" i="40"/>
  <c r="NC5" i="40"/>
  <c r="NB5" i="40"/>
  <c r="NA5" i="40"/>
  <c r="MZ5" i="40"/>
  <c r="MX5" i="40"/>
  <c r="MW5" i="40"/>
  <c r="MV5" i="40"/>
  <c r="MU5" i="40"/>
  <c r="MT5" i="40"/>
  <c r="MS5" i="40"/>
  <c r="LW5" i="40"/>
  <c r="LV5" i="40"/>
  <c r="LU5" i="40"/>
  <c r="LT5" i="40"/>
  <c r="LS5" i="40"/>
  <c r="LR5" i="40"/>
  <c r="LP5" i="40"/>
  <c r="LO5" i="40"/>
  <c r="LN5" i="40"/>
  <c r="LM5" i="40"/>
  <c r="LL5" i="40"/>
  <c r="LK5" i="40"/>
  <c r="KO5" i="40"/>
  <c r="KN5" i="40"/>
  <c r="KM5" i="40"/>
  <c r="KL5" i="40"/>
  <c r="KK5" i="40"/>
  <c r="KJ5" i="40"/>
  <c r="KH5" i="40"/>
  <c r="KG5" i="40"/>
  <c r="KF5" i="40"/>
  <c r="KE5" i="40"/>
  <c r="KD5" i="40"/>
  <c r="KC5" i="40"/>
  <c r="JG5" i="40"/>
  <c r="JF5" i="40"/>
  <c r="JE5" i="40"/>
  <c r="JD5" i="40"/>
  <c r="JC5" i="40"/>
  <c r="JB5" i="40"/>
  <c r="IZ5" i="40"/>
  <c r="IY5" i="40"/>
  <c r="IX5" i="40"/>
  <c r="IW5" i="40"/>
  <c r="IV5" i="40"/>
  <c r="IU5" i="40"/>
  <c r="HY5" i="40"/>
  <c r="HX5" i="40"/>
  <c r="HW5" i="40"/>
  <c r="HV5" i="40"/>
  <c r="HU5" i="40"/>
  <c r="HT5" i="40"/>
  <c r="HR5" i="40"/>
  <c r="HQ5" i="40"/>
  <c r="HP5" i="40"/>
  <c r="HO5" i="40"/>
  <c r="HN5" i="40"/>
  <c r="HM5" i="40"/>
  <c r="GQ5" i="40"/>
  <c r="GP5" i="40"/>
  <c r="GO5" i="40"/>
  <c r="GN5" i="40"/>
  <c r="GM5" i="40"/>
  <c r="GL5" i="40"/>
  <c r="GJ5" i="40"/>
  <c r="GI5" i="40"/>
  <c r="GH5" i="40"/>
  <c r="GG5" i="40"/>
  <c r="GF5" i="40"/>
  <c r="GE5" i="40"/>
  <c r="FI5" i="40"/>
  <c r="FH5" i="40"/>
  <c r="FG5" i="40"/>
  <c r="FF5" i="40"/>
  <c r="FE5" i="40"/>
  <c r="FD5" i="40"/>
  <c r="FB5" i="40"/>
  <c r="FA5" i="40"/>
  <c r="EZ5" i="40"/>
  <c r="EY5" i="40"/>
  <c r="EX5" i="40"/>
  <c r="EW5" i="40"/>
  <c r="EA5" i="40"/>
  <c r="DZ5" i="40"/>
  <c r="DY5" i="40"/>
  <c r="DX5" i="40"/>
  <c r="DW5" i="40"/>
  <c r="DV5" i="40"/>
  <c r="DT5" i="40"/>
  <c r="DS5" i="40"/>
  <c r="DR5" i="40"/>
  <c r="DQ5" i="40"/>
  <c r="DP5" i="40"/>
  <c r="DO5" i="40"/>
  <c r="CR5" i="40"/>
  <c r="CQ5" i="40"/>
  <c r="CP5" i="40"/>
  <c r="CN5" i="40"/>
  <c r="CM5" i="40"/>
  <c r="CL5" i="40"/>
  <c r="CK5" i="40"/>
  <c r="CO5" i="40" s="1"/>
  <c r="CJ5" i="40"/>
  <c r="CI5" i="40"/>
  <c r="WI6" i="40"/>
  <c r="WH6" i="40"/>
  <c r="WG6" i="40"/>
  <c r="WF6" i="40"/>
  <c r="WE6" i="40"/>
  <c r="WD6" i="40"/>
  <c r="WB6" i="40"/>
  <c r="WA6" i="40"/>
  <c r="VZ6" i="40"/>
  <c r="VY6" i="40"/>
  <c r="VX6" i="40"/>
  <c r="VW6" i="40"/>
  <c r="VA6" i="40"/>
  <c r="UZ6" i="40"/>
  <c r="UY6" i="40"/>
  <c r="UX6" i="40"/>
  <c r="UW6" i="40"/>
  <c r="UV6" i="40"/>
  <c r="UT6" i="40"/>
  <c r="US6" i="40"/>
  <c r="UR6" i="40"/>
  <c r="UQ6" i="40"/>
  <c r="UP6" i="40"/>
  <c r="UO6" i="40"/>
  <c r="TS6" i="40"/>
  <c r="TR6" i="40"/>
  <c r="TQ6" i="40"/>
  <c r="TP6" i="40"/>
  <c r="TO6" i="40"/>
  <c r="TN6" i="40"/>
  <c r="TL6" i="40"/>
  <c r="TK6" i="40"/>
  <c r="TJ6" i="40"/>
  <c r="TI6" i="40"/>
  <c r="TH6" i="40"/>
  <c r="TG6" i="40"/>
  <c r="SK6" i="40"/>
  <c r="SJ6" i="40"/>
  <c r="SI6" i="40"/>
  <c r="SH6" i="40"/>
  <c r="SG6" i="40"/>
  <c r="SF6" i="40"/>
  <c r="SD6" i="40"/>
  <c r="SC6" i="40"/>
  <c r="SB6" i="40"/>
  <c r="SA6" i="40"/>
  <c r="RZ6" i="40"/>
  <c r="RY6" i="40"/>
  <c r="RC6" i="40"/>
  <c r="RB6" i="40"/>
  <c r="RA6" i="40"/>
  <c r="QZ6" i="40"/>
  <c r="QY6" i="40"/>
  <c r="QX6" i="40"/>
  <c r="QV6" i="40"/>
  <c r="QU6" i="40"/>
  <c r="QT6" i="40"/>
  <c r="QS6" i="40"/>
  <c r="QR6" i="40"/>
  <c r="QQ6" i="40"/>
  <c r="PU6" i="40"/>
  <c r="PT6" i="40"/>
  <c r="PS6" i="40"/>
  <c r="PR6" i="40"/>
  <c r="PQ6" i="40"/>
  <c r="PP6" i="40"/>
  <c r="PN6" i="40"/>
  <c r="PM6" i="40"/>
  <c r="PL6" i="40"/>
  <c r="PK6" i="40"/>
  <c r="PO6" i="40" s="1"/>
  <c r="PJ6" i="40"/>
  <c r="PI6" i="40"/>
  <c r="OM6" i="40"/>
  <c r="OL6" i="40"/>
  <c r="OK6" i="40"/>
  <c r="OJ6" i="40"/>
  <c r="OI6" i="40"/>
  <c r="OH6" i="40"/>
  <c r="OF6" i="40"/>
  <c r="OE6" i="40"/>
  <c r="OD6" i="40"/>
  <c r="OC6" i="40"/>
  <c r="OG6" i="40" s="1"/>
  <c r="OB6" i="40"/>
  <c r="OA6" i="40"/>
  <c r="NE6" i="40"/>
  <c r="ND6" i="40"/>
  <c r="NC6" i="40"/>
  <c r="NB6" i="40"/>
  <c r="NA6" i="40"/>
  <c r="MZ6" i="40"/>
  <c r="MX6" i="40"/>
  <c r="MW6" i="40"/>
  <c r="MV6" i="40"/>
  <c r="MU6" i="40"/>
  <c r="MT6" i="40"/>
  <c r="MS6" i="40"/>
  <c r="LW6" i="40"/>
  <c r="LV6" i="40"/>
  <c r="LU6" i="40"/>
  <c r="LT6" i="40"/>
  <c r="LS6" i="40"/>
  <c r="LR6" i="40"/>
  <c r="LP6" i="40"/>
  <c r="LO6" i="40"/>
  <c r="LN6" i="40"/>
  <c r="LM6" i="40"/>
  <c r="LL6" i="40"/>
  <c r="LK6" i="40"/>
  <c r="KO6" i="40"/>
  <c r="KN6" i="40"/>
  <c r="KM6" i="40"/>
  <c r="KL6" i="40"/>
  <c r="KK6" i="40"/>
  <c r="KJ6" i="40"/>
  <c r="KH6" i="40"/>
  <c r="KG6" i="40"/>
  <c r="KF6" i="40"/>
  <c r="KE6" i="40"/>
  <c r="KD6" i="40"/>
  <c r="KC6" i="40"/>
  <c r="JG6" i="40"/>
  <c r="JF6" i="40"/>
  <c r="JE6" i="40"/>
  <c r="JD6" i="40"/>
  <c r="JC6" i="40"/>
  <c r="JB6" i="40"/>
  <c r="IZ6" i="40"/>
  <c r="IY6" i="40"/>
  <c r="IX6" i="40"/>
  <c r="IW6" i="40"/>
  <c r="IV6" i="40"/>
  <c r="IU6" i="40"/>
  <c r="HY6" i="40"/>
  <c r="HX6" i="40"/>
  <c r="HW6" i="40"/>
  <c r="HV6" i="40"/>
  <c r="HU6" i="40"/>
  <c r="HT6" i="40"/>
  <c r="HR6" i="40"/>
  <c r="HQ6" i="40"/>
  <c r="HP6" i="40"/>
  <c r="HO6" i="40"/>
  <c r="HN6" i="40"/>
  <c r="HM6" i="40"/>
  <c r="GQ6" i="40"/>
  <c r="GP6" i="40"/>
  <c r="GO6" i="40"/>
  <c r="GN6" i="40"/>
  <c r="GM6" i="40"/>
  <c r="GL6" i="40"/>
  <c r="GJ6" i="40"/>
  <c r="GI6" i="40"/>
  <c r="GH6" i="40"/>
  <c r="GG6" i="40"/>
  <c r="GK6" i="40" s="1"/>
  <c r="GF6" i="40"/>
  <c r="GE6" i="40"/>
  <c r="FI6" i="40"/>
  <c r="FH6" i="40"/>
  <c r="FG6" i="40"/>
  <c r="FF6" i="40"/>
  <c r="FE6" i="40"/>
  <c r="FD6" i="40"/>
  <c r="FB6" i="40"/>
  <c r="FA6" i="40"/>
  <c r="EZ6" i="40"/>
  <c r="EY6" i="40"/>
  <c r="FC6" i="40" s="1"/>
  <c r="EX6" i="40"/>
  <c r="EW6" i="40"/>
  <c r="EA6" i="40"/>
  <c r="DZ6" i="40"/>
  <c r="DY6" i="40"/>
  <c r="DX6" i="40"/>
  <c r="DW6" i="40"/>
  <c r="DV6" i="40"/>
  <c r="DT6" i="40"/>
  <c r="DS6" i="40"/>
  <c r="DR6" i="40"/>
  <c r="DQ6" i="40"/>
  <c r="DP6" i="40"/>
  <c r="DO6" i="40"/>
  <c r="CR6" i="40"/>
  <c r="CQ6" i="40"/>
  <c r="CP6" i="40"/>
  <c r="CN6" i="40"/>
  <c r="CM6" i="40"/>
  <c r="CL6" i="40"/>
  <c r="CK6" i="40"/>
  <c r="CO6" i="40" s="1"/>
  <c r="CJ6" i="40"/>
  <c r="CI6" i="40"/>
  <c r="WI4" i="40"/>
  <c r="WH4" i="40"/>
  <c r="WG4" i="40"/>
  <c r="WF4" i="40"/>
  <c r="WE4" i="40"/>
  <c r="WD4" i="40"/>
  <c r="WB4" i="40"/>
  <c r="WA4" i="40"/>
  <c r="VZ4" i="40"/>
  <c r="VY4" i="40"/>
  <c r="VX4" i="40"/>
  <c r="VW4" i="40"/>
  <c r="VA4" i="40"/>
  <c r="UZ4" i="40"/>
  <c r="UY4" i="40"/>
  <c r="UX4" i="40"/>
  <c r="UW4" i="40"/>
  <c r="UV4" i="40"/>
  <c r="UT4" i="40"/>
  <c r="US4" i="40"/>
  <c r="UR4" i="40"/>
  <c r="UQ4" i="40"/>
  <c r="UP4" i="40"/>
  <c r="UO4" i="40"/>
  <c r="TS4" i="40"/>
  <c r="TR4" i="40"/>
  <c r="TQ4" i="40"/>
  <c r="TP4" i="40"/>
  <c r="TO4" i="40"/>
  <c r="TN4" i="40"/>
  <c r="TL4" i="40"/>
  <c r="TK4" i="40"/>
  <c r="TJ4" i="40"/>
  <c r="TI4" i="40"/>
  <c r="TH4" i="40"/>
  <c r="TG4" i="40"/>
  <c r="SK4" i="40"/>
  <c r="SJ4" i="40"/>
  <c r="SI4" i="40"/>
  <c r="SH4" i="40"/>
  <c r="SG4" i="40"/>
  <c r="SF4" i="40"/>
  <c r="SD4" i="40"/>
  <c r="SC4" i="40"/>
  <c r="SB4" i="40"/>
  <c r="SA4" i="40"/>
  <c r="RZ4" i="40"/>
  <c r="RY4" i="40"/>
  <c r="RC4" i="40"/>
  <c r="RB4" i="40"/>
  <c r="RA4" i="40"/>
  <c r="QZ4" i="40"/>
  <c r="QY4" i="40"/>
  <c r="QX4" i="40"/>
  <c r="QV4" i="40"/>
  <c r="QU4" i="40"/>
  <c r="QT4" i="40"/>
  <c r="QS4" i="40"/>
  <c r="QR4" i="40"/>
  <c r="QQ4" i="40"/>
  <c r="PU4" i="40"/>
  <c r="PT4" i="40"/>
  <c r="PS4" i="40"/>
  <c r="PR4" i="40"/>
  <c r="PQ4" i="40"/>
  <c r="PP4" i="40"/>
  <c r="PN4" i="40"/>
  <c r="PM4" i="40"/>
  <c r="PL4" i="40"/>
  <c r="PK4" i="40"/>
  <c r="PJ4" i="40"/>
  <c r="PI4" i="40"/>
  <c r="OM4" i="40"/>
  <c r="OL4" i="40"/>
  <c r="OK4" i="40"/>
  <c r="OJ4" i="40"/>
  <c r="OI4" i="40"/>
  <c r="OH4" i="40"/>
  <c r="OF4" i="40"/>
  <c r="OE4" i="40"/>
  <c r="OD4" i="40"/>
  <c r="OC4" i="40"/>
  <c r="OB4" i="40"/>
  <c r="OA4" i="40"/>
  <c r="NE4" i="40"/>
  <c r="ND4" i="40"/>
  <c r="NC4" i="40"/>
  <c r="NB4" i="40"/>
  <c r="NA4" i="40"/>
  <c r="MZ4" i="40"/>
  <c r="MX4" i="40"/>
  <c r="MW4" i="40"/>
  <c r="MV4" i="40"/>
  <c r="MU4" i="40"/>
  <c r="MT4" i="40"/>
  <c r="MS4" i="40"/>
  <c r="LW4" i="40"/>
  <c r="LV4" i="40"/>
  <c r="LU4" i="40"/>
  <c r="LT4" i="40"/>
  <c r="LS4" i="40"/>
  <c r="LR4" i="40"/>
  <c r="LP4" i="40"/>
  <c r="LO4" i="40"/>
  <c r="LN4" i="40"/>
  <c r="LM4" i="40"/>
  <c r="LL4" i="40"/>
  <c r="LK4" i="40"/>
  <c r="KO4" i="40"/>
  <c r="KN4" i="40"/>
  <c r="KM4" i="40"/>
  <c r="KL4" i="40"/>
  <c r="KK4" i="40"/>
  <c r="KJ4" i="40"/>
  <c r="KH4" i="40"/>
  <c r="KG4" i="40"/>
  <c r="KF4" i="40"/>
  <c r="KE4" i="40"/>
  <c r="KD4" i="40"/>
  <c r="KC4" i="40"/>
  <c r="JG4" i="40"/>
  <c r="JF4" i="40"/>
  <c r="JE4" i="40"/>
  <c r="JD4" i="40"/>
  <c r="JC4" i="40"/>
  <c r="JB4" i="40"/>
  <c r="IZ4" i="40"/>
  <c r="IY4" i="40"/>
  <c r="IX4" i="40"/>
  <c r="IW4" i="40"/>
  <c r="IV4" i="40"/>
  <c r="IU4" i="40"/>
  <c r="HY4" i="40"/>
  <c r="HX4" i="40"/>
  <c r="HW4" i="40"/>
  <c r="HV4" i="40"/>
  <c r="HU4" i="40"/>
  <c r="HT4" i="40"/>
  <c r="HR4" i="40"/>
  <c r="HQ4" i="40"/>
  <c r="HP4" i="40"/>
  <c r="HO4" i="40"/>
  <c r="HN4" i="40"/>
  <c r="HM4" i="40"/>
  <c r="GQ4" i="40"/>
  <c r="GP4" i="40"/>
  <c r="GO4" i="40"/>
  <c r="GN4" i="40"/>
  <c r="GM4" i="40"/>
  <c r="GL4" i="40"/>
  <c r="GJ4" i="40"/>
  <c r="GI4" i="40"/>
  <c r="GH4" i="40"/>
  <c r="GG4" i="40"/>
  <c r="GF4" i="40"/>
  <c r="GE4" i="40"/>
  <c r="FI4" i="40"/>
  <c r="FH4" i="40"/>
  <c r="FG4" i="40"/>
  <c r="FF4" i="40"/>
  <c r="FE4" i="40"/>
  <c r="FD4" i="40"/>
  <c r="FB4" i="40"/>
  <c r="FA4" i="40"/>
  <c r="EZ4" i="40"/>
  <c r="EY4" i="40"/>
  <c r="EX4" i="40"/>
  <c r="EW4" i="40"/>
  <c r="EA4" i="40"/>
  <c r="DZ4" i="40"/>
  <c r="DY4" i="40"/>
  <c r="DX4" i="40"/>
  <c r="DW4" i="40"/>
  <c r="DV4" i="40"/>
  <c r="DT4" i="40"/>
  <c r="DS4" i="40"/>
  <c r="DR4" i="40"/>
  <c r="DQ4" i="40"/>
  <c r="DP4" i="40"/>
  <c r="DO4" i="40"/>
  <c r="CR4" i="40"/>
  <c r="CQ4" i="40"/>
  <c r="CP4" i="40"/>
  <c r="CN4" i="40"/>
  <c r="CM4" i="40"/>
  <c r="CL4" i="40"/>
  <c r="CK4" i="40"/>
  <c r="CO4" i="40" s="1"/>
  <c r="CJ4" i="40"/>
  <c r="CI4" i="40"/>
  <c r="CI6" i="39"/>
  <c r="CJ6" i="39"/>
  <c r="CK6" i="39"/>
  <c r="CL6" i="39"/>
  <c r="CM6" i="39"/>
  <c r="CN6" i="39"/>
  <c r="CP6" i="39"/>
  <c r="CQ6" i="39"/>
  <c r="CR6" i="39"/>
  <c r="DO6" i="39"/>
  <c r="DP6" i="39"/>
  <c r="DQ6" i="39"/>
  <c r="DR6" i="39"/>
  <c r="DS6" i="39"/>
  <c r="DT6" i="39"/>
  <c r="DV6" i="39"/>
  <c r="DW6" i="39"/>
  <c r="DX6" i="39"/>
  <c r="DY6" i="39"/>
  <c r="DZ6" i="39"/>
  <c r="EA6" i="39"/>
  <c r="EW6" i="39"/>
  <c r="EX6" i="39"/>
  <c r="EY6" i="39"/>
  <c r="EZ6" i="39"/>
  <c r="FA6" i="39"/>
  <c r="FB6" i="39"/>
  <c r="FD6" i="39"/>
  <c r="FE6" i="39"/>
  <c r="FF6" i="39"/>
  <c r="FG6" i="39"/>
  <c r="FH6" i="39"/>
  <c r="FI6" i="39"/>
  <c r="GE6" i="39"/>
  <c r="GF6" i="39"/>
  <c r="GG6" i="39"/>
  <c r="GH6" i="39"/>
  <c r="GI6" i="39"/>
  <c r="GJ6" i="39"/>
  <c r="GL6" i="39"/>
  <c r="GM6" i="39"/>
  <c r="GN6" i="39"/>
  <c r="GO6" i="39"/>
  <c r="GP6" i="39"/>
  <c r="GQ6" i="39"/>
  <c r="HM6" i="39"/>
  <c r="HN6" i="39"/>
  <c r="HO6" i="39"/>
  <c r="HP6" i="39"/>
  <c r="HQ6" i="39"/>
  <c r="HR6" i="39"/>
  <c r="HT6" i="39"/>
  <c r="HU6" i="39"/>
  <c r="HV6" i="39"/>
  <c r="HW6" i="39"/>
  <c r="HX6" i="39"/>
  <c r="HY6" i="39"/>
  <c r="IU6" i="39"/>
  <c r="IV6" i="39"/>
  <c r="IW6" i="39"/>
  <c r="IX6" i="39"/>
  <c r="IY6" i="39"/>
  <c r="IZ6" i="39"/>
  <c r="JB6" i="39"/>
  <c r="JC6" i="39"/>
  <c r="JD6" i="39"/>
  <c r="JE6" i="39"/>
  <c r="JF6" i="39"/>
  <c r="JG6" i="39"/>
  <c r="KC6" i="39"/>
  <c r="KD6" i="39"/>
  <c r="KE6" i="39"/>
  <c r="KF6" i="39"/>
  <c r="KG6" i="39"/>
  <c r="KH6" i="39"/>
  <c r="KJ6" i="39"/>
  <c r="KK6" i="39"/>
  <c r="KL6" i="39"/>
  <c r="KM6" i="39"/>
  <c r="KN6" i="39"/>
  <c r="KO6" i="39"/>
  <c r="LK6" i="39"/>
  <c r="LL6" i="39"/>
  <c r="LM6" i="39"/>
  <c r="LN6" i="39"/>
  <c r="LO6" i="39"/>
  <c r="LP6" i="39"/>
  <c r="LR6" i="39"/>
  <c r="LS6" i="39"/>
  <c r="LT6" i="39"/>
  <c r="LU6" i="39"/>
  <c r="LV6" i="39"/>
  <c r="LW6" i="39"/>
  <c r="MS6" i="39"/>
  <c r="MT6" i="39"/>
  <c r="MU6" i="39"/>
  <c r="MV6" i="39"/>
  <c r="MW6" i="39"/>
  <c r="MX6" i="39"/>
  <c r="MZ6" i="39"/>
  <c r="NA6" i="39"/>
  <c r="NB6" i="39"/>
  <c r="NC6" i="39"/>
  <c r="ND6" i="39"/>
  <c r="NE6" i="39"/>
  <c r="OA6" i="39"/>
  <c r="OB6" i="39"/>
  <c r="OC6" i="39"/>
  <c r="OD6" i="39"/>
  <c r="OE6" i="39"/>
  <c r="OF6" i="39"/>
  <c r="OH6" i="39"/>
  <c r="OI6" i="39"/>
  <c r="OJ6" i="39"/>
  <c r="OK6" i="39"/>
  <c r="OL6" i="39"/>
  <c r="OM6" i="39"/>
  <c r="PI6" i="39"/>
  <c r="PJ6" i="39"/>
  <c r="PK6" i="39"/>
  <c r="PL6" i="39"/>
  <c r="PM6" i="39"/>
  <c r="PN6" i="39"/>
  <c r="PP6" i="39"/>
  <c r="PQ6" i="39"/>
  <c r="PR6" i="39"/>
  <c r="PS6" i="39"/>
  <c r="PT6" i="39"/>
  <c r="PU6" i="39"/>
  <c r="QQ6" i="39"/>
  <c r="QR6" i="39"/>
  <c r="QS6" i="39"/>
  <c r="QT6" i="39"/>
  <c r="QU6" i="39"/>
  <c r="QV6" i="39"/>
  <c r="QX6" i="39"/>
  <c r="QY6" i="39"/>
  <c r="QZ6" i="39"/>
  <c r="RA6" i="39"/>
  <c r="RB6" i="39"/>
  <c r="RC6" i="39"/>
  <c r="RY6" i="39"/>
  <c r="RZ6" i="39"/>
  <c r="SA6" i="39"/>
  <c r="SB6" i="39"/>
  <c r="SC6" i="39"/>
  <c r="SD6" i="39"/>
  <c r="SF6" i="39"/>
  <c r="SG6" i="39"/>
  <c r="SH6" i="39"/>
  <c r="SI6" i="39"/>
  <c r="SJ6" i="39"/>
  <c r="SK6" i="39"/>
  <c r="TG6" i="39"/>
  <c r="TH6" i="39"/>
  <c r="TI6" i="39"/>
  <c r="TJ6" i="39"/>
  <c r="TK6" i="39"/>
  <c r="TL6" i="39"/>
  <c r="TN6" i="39"/>
  <c r="TO6" i="39"/>
  <c r="TP6" i="39"/>
  <c r="TQ6" i="39"/>
  <c r="TR6" i="39"/>
  <c r="TS6" i="39"/>
  <c r="UO6" i="39"/>
  <c r="UP6" i="39"/>
  <c r="UQ6" i="39"/>
  <c r="UR6" i="39"/>
  <c r="US6" i="39"/>
  <c r="UT6" i="39"/>
  <c r="UV6" i="39"/>
  <c r="UW6" i="39"/>
  <c r="UX6" i="39"/>
  <c r="UY6" i="39"/>
  <c r="UZ6" i="39"/>
  <c r="VA6" i="39"/>
  <c r="VW6" i="39"/>
  <c r="VX6" i="39"/>
  <c r="VY6" i="39"/>
  <c r="VZ6" i="39"/>
  <c r="WA6" i="39"/>
  <c r="WB6" i="39"/>
  <c r="WD6" i="39"/>
  <c r="WE6" i="39"/>
  <c r="WF6" i="39"/>
  <c r="WG6" i="39"/>
  <c r="WH6" i="39"/>
  <c r="WI6" i="39"/>
  <c r="CI8" i="39"/>
  <c r="CJ8" i="39"/>
  <c r="CK8" i="39"/>
  <c r="CO8" i="39" s="1"/>
  <c r="CL8" i="39"/>
  <c r="CM8" i="39"/>
  <c r="CN8" i="39"/>
  <c r="CP8" i="39"/>
  <c r="CQ8" i="39"/>
  <c r="CR8" i="39"/>
  <c r="DO8" i="39"/>
  <c r="DP8" i="39"/>
  <c r="DQ8" i="39"/>
  <c r="DR8" i="39"/>
  <c r="DS8" i="39"/>
  <c r="DT8" i="39"/>
  <c r="DV8" i="39"/>
  <c r="DW8" i="39"/>
  <c r="DX8" i="39"/>
  <c r="DY8" i="39"/>
  <c r="DZ8" i="39"/>
  <c r="EA8" i="39"/>
  <c r="EW8" i="39"/>
  <c r="EX8" i="39"/>
  <c r="EY8" i="39"/>
  <c r="EZ8" i="39"/>
  <c r="FA8" i="39"/>
  <c r="FB8" i="39"/>
  <c r="FD8" i="39"/>
  <c r="FE8" i="39"/>
  <c r="FF8" i="39"/>
  <c r="FG8" i="39"/>
  <c r="FH8" i="39"/>
  <c r="FI8" i="39"/>
  <c r="GE8" i="39"/>
  <c r="GF8" i="39"/>
  <c r="GG8" i="39"/>
  <c r="GH8" i="39"/>
  <c r="GI8" i="39"/>
  <c r="GJ8" i="39"/>
  <c r="GL8" i="39"/>
  <c r="GM8" i="39"/>
  <c r="GN8" i="39"/>
  <c r="GO8" i="39"/>
  <c r="GP8" i="39"/>
  <c r="GQ8" i="39"/>
  <c r="HM8" i="39"/>
  <c r="HN8" i="39"/>
  <c r="HO8" i="39"/>
  <c r="HP8" i="39"/>
  <c r="HQ8" i="39"/>
  <c r="HR8" i="39"/>
  <c r="HT8" i="39"/>
  <c r="HU8" i="39"/>
  <c r="HV8" i="39"/>
  <c r="HW8" i="39"/>
  <c r="HX8" i="39"/>
  <c r="HY8" i="39"/>
  <c r="IU8" i="39"/>
  <c r="IV8" i="39"/>
  <c r="IW8" i="39"/>
  <c r="IX8" i="39"/>
  <c r="IY8" i="39"/>
  <c r="IZ8" i="39"/>
  <c r="JB8" i="39"/>
  <c r="JC8" i="39"/>
  <c r="JD8" i="39"/>
  <c r="JE8" i="39"/>
  <c r="JF8" i="39"/>
  <c r="JG8" i="39"/>
  <c r="KC8" i="39"/>
  <c r="KD8" i="39"/>
  <c r="KE8" i="39"/>
  <c r="KF8" i="39"/>
  <c r="KG8" i="39"/>
  <c r="KH8" i="39"/>
  <c r="KJ8" i="39"/>
  <c r="KK8" i="39"/>
  <c r="KL8" i="39"/>
  <c r="KM8" i="39"/>
  <c r="KN8" i="39"/>
  <c r="KO8" i="39"/>
  <c r="LK8" i="39"/>
  <c r="LL8" i="39"/>
  <c r="LM8" i="39"/>
  <c r="LN8" i="39"/>
  <c r="LO8" i="39"/>
  <c r="LP8" i="39"/>
  <c r="LR8" i="39"/>
  <c r="LS8" i="39"/>
  <c r="LT8" i="39"/>
  <c r="LU8" i="39"/>
  <c r="LV8" i="39"/>
  <c r="LW8" i="39"/>
  <c r="MS8" i="39"/>
  <c r="MT8" i="39"/>
  <c r="MU8" i="39"/>
  <c r="MV8" i="39"/>
  <c r="MW8" i="39"/>
  <c r="MX8" i="39"/>
  <c r="MZ8" i="39"/>
  <c r="NA8" i="39"/>
  <c r="NB8" i="39"/>
  <c r="NC8" i="39"/>
  <c r="ND8" i="39"/>
  <c r="NE8" i="39"/>
  <c r="OA8" i="39"/>
  <c r="OB8" i="39"/>
  <c r="OC8" i="39"/>
  <c r="OD8" i="39"/>
  <c r="OE8" i="39"/>
  <c r="OF8" i="39"/>
  <c r="OH8" i="39"/>
  <c r="OI8" i="39"/>
  <c r="OJ8" i="39"/>
  <c r="OK8" i="39"/>
  <c r="OL8" i="39"/>
  <c r="OM8" i="39"/>
  <c r="PI8" i="39"/>
  <c r="PJ8" i="39"/>
  <c r="PK8" i="39"/>
  <c r="PL8" i="39"/>
  <c r="PM8" i="39"/>
  <c r="PN8" i="39"/>
  <c r="PP8" i="39"/>
  <c r="PQ8" i="39"/>
  <c r="PR8" i="39"/>
  <c r="PS8" i="39"/>
  <c r="PT8" i="39"/>
  <c r="PU8" i="39"/>
  <c r="QQ8" i="39"/>
  <c r="QR8" i="39"/>
  <c r="QS8" i="39"/>
  <c r="QT8" i="39"/>
  <c r="QU8" i="39"/>
  <c r="QV8" i="39"/>
  <c r="QX8" i="39"/>
  <c r="QY8" i="39"/>
  <c r="QZ8" i="39"/>
  <c r="RA8" i="39"/>
  <c r="RB8" i="39"/>
  <c r="RC8" i="39"/>
  <c r="RY8" i="39"/>
  <c r="RZ8" i="39"/>
  <c r="SA8" i="39"/>
  <c r="SB8" i="39"/>
  <c r="SC8" i="39"/>
  <c r="SD8" i="39"/>
  <c r="SF8" i="39"/>
  <c r="SG8" i="39"/>
  <c r="SH8" i="39"/>
  <c r="SI8" i="39"/>
  <c r="SJ8" i="39"/>
  <c r="SK8" i="39"/>
  <c r="TG8" i="39"/>
  <c r="TH8" i="39"/>
  <c r="TI8" i="39"/>
  <c r="TJ8" i="39"/>
  <c r="TK8" i="39"/>
  <c r="TL8" i="39"/>
  <c r="TN8" i="39"/>
  <c r="TO8" i="39"/>
  <c r="TP8" i="39"/>
  <c r="TQ8" i="39"/>
  <c r="TR8" i="39"/>
  <c r="TS8" i="39"/>
  <c r="UO8" i="39"/>
  <c r="UP8" i="39"/>
  <c r="UQ8" i="39"/>
  <c r="UR8" i="39"/>
  <c r="US8" i="39"/>
  <c r="UT8" i="39"/>
  <c r="UV8" i="39"/>
  <c r="UW8" i="39"/>
  <c r="UX8" i="39"/>
  <c r="UY8" i="39"/>
  <c r="UZ8" i="39"/>
  <c r="VA8" i="39"/>
  <c r="VW8" i="39"/>
  <c r="VX8" i="39"/>
  <c r="VY8" i="39"/>
  <c r="VZ8" i="39"/>
  <c r="WA8" i="39"/>
  <c r="WB8" i="39"/>
  <c r="WD8" i="39"/>
  <c r="WE8" i="39"/>
  <c r="WF8" i="39"/>
  <c r="WG8" i="39"/>
  <c r="WH8" i="39"/>
  <c r="WI8" i="39"/>
  <c r="CI11" i="39"/>
  <c r="CJ11" i="39"/>
  <c r="CK11" i="39"/>
  <c r="CL11" i="39"/>
  <c r="CM11" i="39"/>
  <c r="CN11" i="39"/>
  <c r="CP11" i="39"/>
  <c r="CQ11" i="39"/>
  <c r="CR11" i="39"/>
  <c r="DO11" i="39"/>
  <c r="DP11" i="39"/>
  <c r="DQ11" i="39"/>
  <c r="DR11" i="39"/>
  <c r="DS11" i="39"/>
  <c r="DT11" i="39"/>
  <c r="DV11" i="39"/>
  <c r="DW11" i="39"/>
  <c r="DX11" i="39"/>
  <c r="DY11" i="39"/>
  <c r="DZ11" i="39"/>
  <c r="EA11" i="39"/>
  <c r="EW11" i="39"/>
  <c r="EX11" i="39"/>
  <c r="EY11" i="39"/>
  <c r="EZ11" i="39"/>
  <c r="FA11" i="39"/>
  <c r="FB11" i="39"/>
  <c r="FD11" i="39"/>
  <c r="FE11" i="39"/>
  <c r="FF11" i="39"/>
  <c r="FG11" i="39"/>
  <c r="FH11" i="39"/>
  <c r="FI11" i="39"/>
  <c r="GE11" i="39"/>
  <c r="GF11" i="39"/>
  <c r="GG11" i="39"/>
  <c r="GH11" i="39"/>
  <c r="GI11" i="39"/>
  <c r="GJ11" i="39"/>
  <c r="GL11" i="39"/>
  <c r="GM11" i="39"/>
  <c r="GN11" i="39"/>
  <c r="GO11" i="39"/>
  <c r="GP11" i="39"/>
  <c r="GQ11" i="39"/>
  <c r="HM11" i="39"/>
  <c r="HN11" i="39"/>
  <c r="HO11" i="39"/>
  <c r="HP11" i="39"/>
  <c r="HQ11" i="39"/>
  <c r="HR11" i="39"/>
  <c r="HT11" i="39"/>
  <c r="HU11" i="39"/>
  <c r="HV11" i="39"/>
  <c r="HW11" i="39"/>
  <c r="HX11" i="39"/>
  <c r="HY11" i="39"/>
  <c r="IU11" i="39"/>
  <c r="IV11" i="39"/>
  <c r="IW11" i="39"/>
  <c r="IX11" i="39"/>
  <c r="IY11" i="39"/>
  <c r="IZ11" i="39"/>
  <c r="JB11" i="39"/>
  <c r="JC11" i="39"/>
  <c r="JD11" i="39"/>
  <c r="JE11" i="39"/>
  <c r="JF11" i="39"/>
  <c r="JG11" i="39"/>
  <c r="KC11" i="39"/>
  <c r="KD11" i="39"/>
  <c r="KE11" i="39"/>
  <c r="KF11" i="39"/>
  <c r="KG11" i="39"/>
  <c r="KH11" i="39"/>
  <c r="KJ11" i="39"/>
  <c r="KK11" i="39"/>
  <c r="KL11" i="39"/>
  <c r="KM11" i="39"/>
  <c r="KN11" i="39"/>
  <c r="KO11" i="39"/>
  <c r="LK11" i="39"/>
  <c r="LL11" i="39"/>
  <c r="LM11" i="39"/>
  <c r="LN11" i="39"/>
  <c r="LO11" i="39"/>
  <c r="LP11" i="39"/>
  <c r="LR11" i="39"/>
  <c r="LS11" i="39"/>
  <c r="LT11" i="39"/>
  <c r="LU11" i="39"/>
  <c r="LV11" i="39"/>
  <c r="LW11" i="39"/>
  <c r="MS11" i="39"/>
  <c r="MT11" i="39"/>
  <c r="MU11" i="39"/>
  <c r="MV11" i="39"/>
  <c r="MW11" i="39"/>
  <c r="MX11" i="39"/>
  <c r="MZ11" i="39"/>
  <c r="NA11" i="39"/>
  <c r="NB11" i="39"/>
  <c r="NC11" i="39"/>
  <c r="ND11" i="39"/>
  <c r="NE11" i="39"/>
  <c r="OA11" i="39"/>
  <c r="OB11" i="39"/>
  <c r="OC11" i="39"/>
  <c r="OD11" i="39"/>
  <c r="OE11" i="39"/>
  <c r="OF11" i="39"/>
  <c r="OH11" i="39"/>
  <c r="OI11" i="39"/>
  <c r="OJ11" i="39"/>
  <c r="OK11" i="39"/>
  <c r="OL11" i="39"/>
  <c r="OM11" i="39"/>
  <c r="PI11" i="39"/>
  <c r="PJ11" i="39"/>
  <c r="PK11" i="39"/>
  <c r="PL11" i="39"/>
  <c r="PM11" i="39"/>
  <c r="PN11" i="39"/>
  <c r="PP11" i="39"/>
  <c r="PQ11" i="39"/>
  <c r="PR11" i="39"/>
  <c r="PS11" i="39"/>
  <c r="PT11" i="39"/>
  <c r="PU11" i="39"/>
  <c r="QQ11" i="39"/>
  <c r="QR11" i="39"/>
  <c r="QS11" i="39"/>
  <c r="QT11" i="39"/>
  <c r="QU11" i="39"/>
  <c r="QV11" i="39"/>
  <c r="QX11" i="39"/>
  <c r="QY11" i="39"/>
  <c r="QZ11" i="39"/>
  <c r="RA11" i="39"/>
  <c r="RB11" i="39"/>
  <c r="RC11" i="39"/>
  <c r="RY11" i="39"/>
  <c r="RZ11" i="39"/>
  <c r="SA11" i="39"/>
  <c r="SB11" i="39"/>
  <c r="SC11" i="39"/>
  <c r="SD11" i="39"/>
  <c r="SF11" i="39"/>
  <c r="SG11" i="39"/>
  <c r="SH11" i="39"/>
  <c r="SI11" i="39"/>
  <c r="SJ11" i="39"/>
  <c r="SK11" i="39"/>
  <c r="TG11" i="39"/>
  <c r="TH11" i="39"/>
  <c r="TI11" i="39"/>
  <c r="TJ11" i="39"/>
  <c r="TK11" i="39"/>
  <c r="TL11" i="39"/>
  <c r="TN11" i="39"/>
  <c r="TO11" i="39"/>
  <c r="TP11" i="39"/>
  <c r="TQ11" i="39"/>
  <c r="TR11" i="39"/>
  <c r="TS11" i="39"/>
  <c r="UO11" i="39"/>
  <c r="UP11" i="39"/>
  <c r="UQ11" i="39"/>
  <c r="UR11" i="39"/>
  <c r="US11" i="39"/>
  <c r="UT11" i="39"/>
  <c r="UV11" i="39"/>
  <c r="UW11" i="39"/>
  <c r="UX11" i="39"/>
  <c r="UY11" i="39"/>
  <c r="UZ11" i="39"/>
  <c r="VA11" i="39"/>
  <c r="VW11" i="39"/>
  <c r="VX11" i="39"/>
  <c r="VY11" i="39"/>
  <c r="VZ11" i="39"/>
  <c r="WA11" i="39"/>
  <c r="WB11" i="39"/>
  <c r="WD11" i="39"/>
  <c r="WE11" i="39"/>
  <c r="WF11" i="39"/>
  <c r="WG11" i="39"/>
  <c r="WH11" i="39"/>
  <c r="WI11" i="39"/>
  <c r="CI12" i="39"/>
  <c r="CJ12" i="39"/>
  <c r="CK12" i="39"/>
  <c r="CO12" i="39" s="1"/>
  <c r="CL12" i="39"/>
  <c r="CM12" i="39"/>
  <c r="CN12" i="39"/>
  <c r="CP12" i="39"/>
  <c r="CQ12" i="39"/>
  <c r="CR12" i="39"/>
  <c r="DO12" i="39"/>
  <c r="DP12" i="39"/>
  <c r="DQ12" i="39"/>
  <c r="DR12" i="39"/>
  <c r="DS12" i="39"/>
  <c r="DT12" i="39"/>
  <c r="DV12" i="39"/>
  <c r="DW12" i="39"/>
  <c r="DX12" i="39"/>
  <c r="DY12" i="39"/>
  <c r="DZ12" i="39"/>
  <c r="EA12" i="39"/>
  <c r="EW12" i="39"/>
  <c r="EX12" i="39"/>
  <c r="EY12" i="39"/>
  <c r="EZ12" i="39"/>
  <c r="FA12" i="39"/>
  <c r="FB12" i="39"/>
  <c r="FD12" i="39"/>
  <c r="FE12" i="39"/>
  <c r="FF12" i="39"/>
  <c r="FG12" i="39"/>
  <c r="FH12" i="39"/>
  <c r="FI12" i="39"/>
  <c r="GE12" i="39"/>
  <c r="GF12" i="39"/>
  <c r="GG12" i="39"/>
  <c r="GH12" i="39"/>
  <c r="GI12" i="39"/>
  <c r="GJ12" i="39"/>
  <c r="GL12" i="39"/>
  <c r="GM12" i="39"/>
  <c r="GN12" i="39"/>
  <c r="GO12" i="39"/>
  <c r="GP12" i="39"/>
  <c r="GQ12" i="39"/>
  <c r="HM12" i="39"/>
  <c r="HN12" i="39"/>
  <c r="HO12" i="39"/>
  <c r="HP12" i="39"/>
  <c r="HQ12" i="39"/>
  <c r="HR12" i="39"/>
  <c r="HT12" i="39"/>
  <c r="HU12" i="39"/>
  <c r="HV12" i="39"/>
  <c r="HW12" i="39"/>
  <c r="HX12" i="39"/>
  <c r="HY12" i="39"/>
  <c r="IU12" i="39"/>
  <c r="IV12" i="39"/>
  <c r="IW12" i="39"/>
  <c r="IX12" i="39"/>
  <c r="IY12" i="39"/>
  <c r="IZ12" i="39"/>
  <c r="JB12" i="39"/>
  <c r="JC12" i="39"/>
  <c r="JD12" i="39"/>
  <c r="JE12" i="39"/>
  <c r="JF12" i="39"/>
  <c r="JG12" i="39"/>
  <c r="KC12" i="39"/>
  <c r="KD12" i="39"/>
  <c r="KE12" i="39"/>
  <c r="KF12" i="39"/>
  <c r="KG12" i="39"/>
  <c r="KH12" i="39"/>
  <c r="KJ12" i="39"/>
  <c r="KK12" i="39"/>
  <c r="KL12" i="39"/>
  <c r="KM12" i="39"/>
  <c r="KN12" i="39"/>
  <c r="KO12" i="39"/>
  <c r="LK12" i="39"/>
  <c r="LL12" i="39"/>
  <c r="LM12" i="39"/>
  <c r="LN12" i="39"/>
  <c r="LO12" i="39"/>
  <c r="LP12" i="39"/>
  <c r="LR12" i="39"/>
  <c r="LS12" i="39"/>
  <c r="LT12" i="39"/>
  <c r="LU12" i="39"/>
  <c r="LV12" i="39"/>
  <c r="LW12" i="39"/>
  <c r="MS12" i="39"/>
  <c r="MT12" i="39"/>
  <c r="MU12" i="39"/>
  <c r="MV12" i="39"/>
  <c r="MW12" i="39"/>
  <c r="MX12" i="39"/>
  <c r="MZ12" i="39"/>
  <c r="NA12" i="39"/>
  <c r="NB12" i="39"/>
  <c r="NC12" i="39"/>
  <c r="ND12" i="39"/>
  <c r="NE12" i="39"/>
  <c r="OA12" i="39"/>
  <c r="OB12" i="39"/>
  <c r="OC12" i="39"/>
  <c r="OD12" i="39"/>
  <c r="OE12" i="39"/>
  <c r="OF12" i="39"/>
  <c r="OH12" i="39"/>
  <c r="OI12" i="39"/>
  <c r="OJ12" i="39"/>
  <c r="OK12" i="39"/>
  <c r="OL12" i="39"/>
  <c r="OM12" i="39"/>
  <c r="PI12" i="39"/>
  <c r="PJ12" i="39"/>
  <c r="PK12" i="39"/>
  <c r="PL12" i="39"/>
  <c r="PM12" i="39"/>
  <c r="PN12" i="39"/>
  <c r="PP12" i="39"/>
  <c r="PQ12" i="39"/>
  <c r="PR12" i="39"/>
  <c r="PS12" i="39"/>
  <c r="PT12" i="39"/>
  <c r="PU12" i="39"/>
  <c r="QQ12" i="39"/>
  <c r="QR12" i="39"/>
  <c r="QS12" i="39"/>
  <c r="QT12" i="39"/>
  <c r="QU12" i="39"/>
  <c r="QV12" i="39"/>
  <c r="QX12" i="39"/>
  <c r="QY12" i="39"/>
  <c r="QZ12" i="39"/>
  <c r="RA12" i="39"/>
  <c r="RB12" i="39"/>
  <c r="RC12" i="39"/>
  <c r="RY12" i="39"/>
  <c r="RZ12" i="39"/>
  <c r="SA12" i="39"/>
  <c r="SB12" i="39"/>
  <c r="SC12" i="39"/>
  <c r="SD12" i="39"/>
  <c r="SF12" i="39"/>
  <c r="SG12" i="39"/>
  <c r="SH12" i="39"/>
  <c r="SI12" i="39"/>
  <c r="SJ12" i="39"/>
  <c r="SK12" i="39"/>
  <c r="TG12" i="39"/>
  <c r="TH12" i="39"/>
  <c r="TI12" i="39"/>
  <c r="TJ12" i="39"/>
  <c r="TK12" i="39"/>
  <c r="TL12" i="39"/>
  <c r="TN12" i="39"/>
  <c r="TO12" i="39"/>
  <c r="TP12" i="39"/>
  <c r="TQ12" i="39"/>
  <c r="TR12" i="39"/>
  <c r="TS12" i="39"/>
  <c r="UO12" i="39"/>
  <c r="UP12" i="39"/>
  <c r="UQ12" i="39"/>
  <c r="UR12" i="39"/>
  <c r="US12" i="39"/>
  <c r="UT12" i="39"/>
  <c r="UV12" i="39"/>
  <c r="UW12" i="39"/>
  <c r="UX12" i="39"/>
  <c r="UY12" i="39"/>
  <c r="UZ12" i="39"/>
  <c r="VA12" i="39"/>
  <c r="VW12" i="39"/>
  <c r="VX12" i="39"/>
  <c r="VY12" i="39"/>
  <c r="VZ12" i="39"/>
  <c r="WA12" i="39"/>
  <c r="WB12" i="39"/>
  <c r="WD12" i="39"/>
  <c r="WE12" i="39"/>
  <c r="WF12" i="39"/>
  <c r="WG12" i="39"/>
  <c r="WH12" i="39"/>
  <c r="WI12" i="39"/>
  <c r="CI13" i="39"/>
  <c r="CJ13" i="39"/>
  <c r="CK13" i="39"/>
  <c r="CO13" i="39" s="1"/>
  <c r="CL13" i="39"/>
  <c r="CM13" i="39"/>
  <c r="CN13" i="39"/>
  <c r="CP13" i="39"/>
  <c r="CQ13" i="39"/>
  <c r="CR13" i="39"/>
  <c r="DO13" i="39"/>
  <c r="DP13" i="39"/>
  <c r="DQ13" i="39"/>
  <c r="DR13" i="39"/>
  <c r="DS13" i="39"/>
  <c r="DT13" i="39"/>
  <c r="DV13" i="39"/>
  <c r="DW13" i="39"/>
  <c r="DX13" i="39"/>
  <c r="DY13" i="39"/>
  <c r="DZ13" i="39"/>
  <c r="EA13" i="39"/>
  <c r="EW13" i="39"/>
  <c r="EX13" i="39"/>
  <c r="EY13" i="39"/>
  <c r="EZ13" i="39"/>
  <c r="FA13" i="39"/>
  <c r="FB13" i="39"/>
  <c r="FD13" i="39"/>
  <c r="FE13" i="39"/>
  <c r="FF13" i="39"/>
  <c r="FG13" i="39"/>
  <c r="FH13" i="39"/>
  <c r="FI13" i="39"/>
  <c r="GE13" i="39"/>
  <c r="GF13" i="39"/>
  <c r="GG13" i="39"/>
  <c r="GH13" i="39"/>
  <c r="GI13" i="39"/>
  <c r="GJ13" i="39"/>
  <c r="GL13" i="39"/>
  <c r="GM13" i="39"/>
  <c r="GN13" i="39"/>
  <c r="GO13" i="39"/>
  <c r="GP13" i="39"/>
  <c r="GQ13" i="39"/>
  <c r="HM13" i="39"/>
  <c r="HN13" i="39"/>
  <c r="HO13" i="39"/>
  <c r="HP13" i="39"/>
  <c r="HQ13" i="39"/>
  <c r="HR13" i="39"/>
  <c r="HT13" i="39"/>
  <c r="HU13" i="39"/>
  <c r="HV13" i="39"/>
  <c r="HW13" i="39"/>
  <c r="HX13" i="39"/>
  <c r="HY13" i="39"/>
  <c r="IU13" i="39"/>
  <c r="IV13" i="39"/>
  <c r="IW13" i="39"/>
  <c r="IX13" i="39"/>
  <c r="IY13" i="39"/>
  <c r="IZ13" i="39"/>
  <c r="JB13" i="39"/>
  <c r="JC13" i="39"/>
  <c r="JD13" i="39"/>
  <c r="JE13" i="39"/>
  <c r="JF13" i="39"/>
  <c r="JG13" i="39"/>
  <c r="KC13" i="39"/>
  <c r="KD13" i="39"/>
  <c r="KE13" i="39"/>
  <c r="KF13" i="39"/>
  <c r="KG13" i="39"/>
  <c r="KH13" i="39"/>
  <c r="KJ13" i="39"/>
  <c r="KK13" i="39"/>
  <c r="KL13" i="39"/>
  <c r="KM13" i="39"/>
  <c r="KN13" i="39"/>
  <c r="KO13" i="39"/>
  <c r="LK13" i="39"/>
  <c r="LL13" i="39"/>
  <c r="LM13" i="39"/>
  <c r="LN13" i="39"/>
  <c r="LO13" i="39"/>
  <c r="LP13" i="39"/>
  <c r="LR13" i="39"/>
  <c r="LS13" i="39"/>
  <c r="LT13" i="39"/>
  <c r="LU13" i="39"/>
  <c r="LV13" i="39"/>
  <c r="LW13" i="39"/>
  <c r="MS13" i="39"/>
  <c r="MT13" i="39"/>
  <c r="MU13" i="39"/>
  <c r="MV13" i="39"/>
  <c r="MW13" i="39"/>
  <c r="MX13" i="39"/>
  <c r="MZ13" i="39"/>
  <c r="NA13" i="39"/>
  <c r="NB13" i="39"/>
  <c r="NC13" i="39"/>
  <c r="ND13" i="39"/>
  <c r="NE13" i="39"/>
  <c r="OA13" i="39"/>
  <c r="OB13" i="39"/>
  <c r="OC13" i="39"/>
  <c r="OD13" i="39"/>
  <c r="OE13" i="39"/>
  <c r="OF13" i="39"/>
  <c r="OG13" i="39"/>
  <c r="OH13" i="39"/>
  <c r="OI13" i="39"/>
  <c r="OJ13" i="39"/>
  <c r="OK13" i="39"/>
  <c r="OL13" i="39"/>
  <c r="OM13" i="39"/>
  <c r="PI13" i="39"/>
  <c r="PJ13" i="39"/>
  <c r="PK13" i="39"/>
  <c r="PL13" i="39"/>
  <c r="PM13" i="39"/>
  <c r="PN13" i="39"/>
  <c r="PP13" i="39"/>
  <c r="PQ13" i="39"/>
  <c r="PR13" i="39"/>
  <c r="PS13" i="39"/>
  <c r="PT13" i="39"/>
  <c r="PU13" i="39"/>
  <c r="QQ13" i="39"/>
  <c r="QR13" i="39"/>
  <c r="QS13" i="39"/>
  <c r="QT13" i="39"/>
  <c r="QU13" i="39"/>
  <c r="QV13" i="39"/>
  <c r="QX13" i="39"/>
  <c r="QY13" i="39"/>
  <c r="QZ13" i="39"/>
  <c r="RA13" i="39"/>
  <c r="RB13" i="39"/>
  <c r="RC13" i="39"/>
  <c r="RY13" i="39"/>
  <c r="RZ13" i="39"/>
  <c r="SA13" i="39"/>
  <c r="SB13" i="39"/>
  <c r="SC13" i="39"/>
  <c r="SD13" i="39"/>
  <c r="SF13" i="39"/>
  <c r="SG13" i="39"/>
  <c r="SH13" i="39"/>
  <c r="SI13" i="39"/>
  <c r="SJ13" i="39"/>
  <c r="SK13" i="39"/>
  <c r="TG13" i="39"/>
  <c r="TH13" i="39"/>
  <c r="TI13" i="39"/>
  <c r="TJ13" i="39"/>
  <c r="TK13" i="39"/>
  <c r="TL13" i="39"/>
  <c r="TN13" i="39"/>
  <c r="TO13" i="39"/>
  <c r="TP13" i="39"/>
  <c r="TQ13" i="39"/>
  <c r="TR13" i="39"/>
  <c r="TS13" i="39"/>
  <c r="UO13" i="39"/>
  <c r="UP13" i="39"/>
  <c r="UQ13" i="39"/>
  <c r="UR13" i="39"/>
  <c r="US13" i="39"/>
  <c r="UT13" i="39"/>
  <c r="UV13" i="39"/>
  <c r="UW13" i="39"/>
  <c r="UX13" i="39"/>
  <c r="UY13" i="39"/>
  <c r="UZ13" i="39"/>
  <c r="VA13" i="39"/>
  <c r="VW13" i="39"/>
  <c r="VX13" i="39"/>
  <c r="VY13" i="39"/>
  <c r="VZ13" i="39"/>
  <c r="WA13" i="39"/>
  <c r="WB13" i="39"/>
  <c r="WD13" i="39"/>
  <c r="WE13" i="39"/>
  <c r="WF13" i="39"/>
  <c r="WG13" i="39"/>
  <c r="WH13" i="39"/>
  <c r="WI13" i="39"/>
  <c r="WI20" i="39"/>
  <c r="WH20" i="39"/>
  <c r="WG20" i="39"/>
  <c r="WF20" i="39"/>
  <c r="WE20" i="39"/>
  <c r="WD20" i="39"/>
  <c r="WB20" i="39"/>
  <c r="WA20" i="39"/>
  <c r="VZ20" i="39"/>
  <c r="VY20" i="39"/>
  <c r="VX20" i="39"/>
  <c r="VW20" i="39"/>
  <c r="VA20" i="39"/>
  <c r="UZ20" i="39"/>
  <c r="UY20" i="39"/>
  <c r="UX20" i="39"/>
  <c r="UW20" i="39"/>
  <c r="UV20" i="39"/>
  <c r="UT20" i="39"/>
  <c r="US20" i="39"/>
  <c r="UR20" i="39"/>
  <c r="UQ20" i="39"/>
  <c r="UP20" i="39"/>
  <c r="UO20" i="39"/>
  <c r="TS20" i="39"/>
  <c r="TR20" i="39"/>
  <c r="TQ20" i="39"/>
  <c r="TP20" i="39"/>
  <c r="TO20" i="39"/>
  <c r="TN20" i="39"/>
  <c r="TL20" i="39"/>
  <c r="TK20" i="39"/>
  <c r="TJ20" i="39"/>
  <c r="TI20" i="39"/>
  <c r="TH20" i="39"/>
  <c r="TG20" i="39"/>
  <c r="SK20" i="39"/>
  <c r="SJ20" i="39"/>
  <c r="SI20" i="39"/>
  <c r="SH20" i="39"/>
  <c r="SG20" i="39"/>
  <c r="SF20" i="39"/>
  <c r="SD20" i="39"/>
  <c r="SC20" i="39"/>
  <c r="SB20" i="39"/>
  <c r="SA20" i="39"/>
  <c r="SE20" i="39" s="1"/>
  <c r="RZ20" i="39"/>
  <c r="RY20" i="39"/>
  <c r="RC20" i="39"/>
  <c r="RB20" i="39"/>
  <c r="RA20" i="39"/>
  <c r="QZ20" i="39"/>
  <c r="QY20" i="39"/>
  <c r="QX20" i="39"/>
  <c r="QV20" i="39"/>
  <c r="QU20" i="39"/>
  <c r="QT20" i="39"/>
  <c r="QS20" i="39"/>
  <c r="QR20" i="39"/>
  <c r="QQ20" i="39"/>
  <c r="PU20" i="39"/>
  <c r="PT20" i="39"/>
  <c r="PS20" i="39"/>
  <c r="PR20" i="39"/>
  <c r="PQ20" i="39"/>
  <c r="PP20" i="39"/>
  <c r="PN20" i="39"/>
  <c r="PM20" i="39"/>
  <c r="PL20" i="39"/>
  <c r="PK20" i="39"/>
  <c r="PJ20" i="39"/>
  <c r="PI20" i="39"/>
  <c r="OM20" i="39"/>
  <c r="OL20" i="39"/>
  <c r="OK20" i="39"/>
  <c r="OJ20" i="39"/>
  <c r="OI20" i="39"/>
  <c r="OH20" i="39"/>
  <c r="OF20" i="39"/>
  <c r="OE20" i="39"/>
  <c r="OD20" i="39"/>
  <c r="OC20" i="39"/>
  <c r="OB20" i="39"/>
  <c r="OA20" i="39"/>
  <c r="NE20" i="39"/>
  <c r="ND20" i="39"/>
  <c r="NC20" i="39"/>
  <c r="NB20" i="39"/>
  <c r="NA20" i="39"/>
  <c r="MZ20" i="39"/>
  <c r="MX20" i="39"/>
  <c r="MW20" i="39"/>
  <c r="MV20" i="39"/>
  <c r="MU20" i="39"/>
  <c r="MT20" i="39"/>
  <c r="MS20" i="39"/>
  <c r="LW20" i="39"/>
  <c r="LV20" i="39"/>
  <c r="LU20" i="39"/>
  <c r="LT20" i="39"/>
  <c r="LS20" i="39"/>
  <c r="LR20" i="39"/>
  <c r="LP20" i="39"/>
  <c r="LO20" i="39"/>
  <c r="LN20" i="39"/>
  <c r="LM20" i="39"/>
  <c r="LL20" i="39"/>
  <c r="LK20" i="39"/>
  <c r="KO20" i="39"/>
  <c r="KN20" i="39"/>
  <c r="KM20" i="39"/>
  <c r="KL20" i="39"/>
  <c r="KK20" i="39"/>
  <c r="KJ20" i="39"/>
  <c r="KH20" i="39"/>
  <c r="KG20" i="39"/>
  <c r="KF20" i="39"/>
  <c r="KE20" i="39"/>
  <c r="KD20" i="39"/>
  <c r="KC20" i="39"/>
  <c r="JG20" i="39"/>
  <c r="JF20" i="39"/>
  <c r="JE20" i="39"/>
  <c r="JD20" i="39"/>
  <c r="JC20" i="39"/>
  <c r="JB20" i="39"/>
  <c r="IZ20" i="39"/>
  <c r="IY20" i="39"/>
  <c r="IX20" i="39"/>
  <c r="IW20" i="39"/>
  <c r="IV20" i="39"/>
  <c r="IU20" i="39"/>
  <c r="HY20" i="39"/>
  <c r="HX20" i="39"/>
  <c r="HW20" i="39"/>
  <c r="HV20" i="39"/>
  <c r="HU20" i="39"/>
  <c r="HT20" i="39"/>
  <c r="HR20" i="39"/>
  <c r="HQ20" i="39"/>
  <c r="HP20" i="39"/>
  <c r="HO20" i="39"/>
  <c r="HN20" i="39"/>
  <c r="HM20" i="39"/>
  <c r="GQ20" i="39"/>
  <c r="GP20" i="39"/>
  <c r="GO20" i="39"/>
  <c r="GN20" i="39"/>
  <c r="GM20" i="39"/>
  <c r="GL20" i="39"/>
  <c r="GJ20" i="39"/>
  <c r="GI20" i="39"/>
  <c r="GH20" i="39"/>
  <c r="GG20" i="39"/>
  <c r="GF20" i="39"/>
  <c r="GE20" i="39"/>
  <c r="FI20" i="39"/>
  <c r="FH20" i="39"/>
  <c r="FG20" i="39"/>
  <c r="FF20" i="39"/>
  <c r="FE20" i="39"/>
  <c r="FD20" i="39"/>
  <c r="FB20" i="39"/>
  <c r="FA20" i="39"/>
  <c r="EZ20" i="39"/>
  <c r="EY20" i="39"/>
  <c r="EX20" i="39"/>
  <c r="EW20" i="39"/>
  <c r="EA20" i="39"/>
  <c r="DZ20" i="39"/>
  <c r="DY20" i="39"/>
  <c r="DX20" i="39"/>
  <c r="DW20" i="39"/>
  <c r="DV20" i="39"/>
  <c r="DT20" i="39"/>
  <c r="DS20" i="39"/>
  <c r="DR20" i="39"/>
  <c r="DQ20" i="39"/>
  <c r="DP20" i="39"/>
  <c r="DO20" i="39"/>
  <c r="CR20" i="39"/>
  <c r="CQ20" i="39"/>
  <c r="CP20" i="39"/>
  <c r="CN20" i="39"/>
  <c r="CM20" i="39"/>
  <c r="CL20" i="39"/>
  <c r="CK20" i="39"/>
  <c r="CO20" i="39" s="1"/>
  <c r="CJ20" i="39"/>
  <c r="CI20" i="39"/>
  <c r="WI18" i="39"/>
  <c r="WH18" i="39"/>
  <c r="WG18" i="39"/>
  <c r="WF18" i="39"/>
  <c r="WE18" i="39"/>
  <c r="WD18" i="39"/>
  <c r="WB18" i="39"/>
  <c r="WA18" i="39"/>
  <c r="VZ18" i="39"/>
  <c r="VY18" i="39"/>
  <c r="VX18" i="39"/>
  <c r="VW18" i="39"/>
  <c r="VA18" i="39"/>
  <c r="UZ18" i="39"/>
  <c r="UY18" i="39"/>
  <c r="UX18" i="39"/>
  <c r="UW18" i="39"/>
  <c r="UV18" i="39"/>
  <c r="UT18" i="39"/>
  <c r="US18" i="39"/>
  <c r="UR18" i="39"/>
  <c r="UQ18" i="39"/>
  <c r="UP18" i="39"/>
  <c r="UO18" i="39"/>
  <c r="TS18" i="39"/>
  <c r="TR18" i="39"/>
  <c r="TQ18" i="39"/>
  <c r="TP18" i="39"/>
  <c r="TO18" i="39"/>
  <c r="TN18" i="39"/>
  <c r="TL18" i="39"/>
  <c r="TK18" i="39"/>
  <c r="TJ18" i="39"/>
  <c r="TI18" i="39"/>
  <c r="TH18" i="39"/>
  <c r="TG18" i="39"/>
  <c r="SK18" i="39"/>
  <c r="SJ18" i="39"/>
  <c r="SI18" i="39"/>
  <c r="SH18" i="39"/>
  <c r="SG18" i="39"/>
  <c r="SF18" i="39"/>
  <c r="SD18" i="39"/>
  <c r="SC18" i="39"/>
  <c r="SB18" i="39"/>
  <c r="SA18" i="39"/>
  <c r="RZ18" i="39"/>
  <c r="RY18" i="39"/>
  <c r="RC18" i="39"/>
  <c r="RB18" i="39"/>
  <c r="RA18" i="39"/>
  <c r="QZ18" i="39"/>
  <c r="QY18" i="39"/>
  <c r="QX18" i="39"/>
  <c r="QV18" i="39"/>
  <c r="QU18" i="39"/>
  <c r="QT18" i="39"/>
  <c r="QS18" i="39"/>
  <c r="QR18" i="39"/>
  <c r="QQ18" i="39"/>
  <c r="PU18" i="39"/>
  <c r="PT18" i="39"/>
  <c r="PS18" i="39"/>
  <c r="PR18" i="39"/>
  <c r="PQ18" i="39"/>
  <c r="PP18" i="39"/>
  <c r="PN18" i="39"/>
  <c r="PM18" i="39"/>
  <c r="PL18" i="39"/>
  <c r="PK18" i="39"/>
  <c r="PJ18" i="39"/>
  <c r="PI18" i="39"/>
  <c r="OM18" i="39"/>
  <c r="OL18" i="39"/>
  <c r="OK18" i="39"/>
  <c r="OJ18" i="39"/>
  <c r="OI18" i="39"/>
  <c r="OH18" i="39"/>
  <c r="OF18" i="39"/>
  <c r="OE18" i="39"/>
  <c r="OD18" i="39"/>
  <c r="OC18" i="39"/>
  <c r="OB18" i="39"/>
  <c r="OA18" i="39"/>
  <c r="NE18" i="39"/>
  <c r="ND18" i="39"/>
  <c r="NC18" i="39"/>
  <c r="NB18" i="39"/>
  <c r="NA18" i="39"/>
  <c r="MZ18" i="39"/>
  <c r="MX18" i="39"/>
  <c r="MW18" i="39"/>
  <c r="MV18" i="39"/>
  <c r="MU18" i="39"/>
  <c r="MT18" i="39"/>
  <c r="MS18" i="39"/>
  <c r="LW18" i="39"/>
  <c r="LV18" i="39"/>
  <c r="LU18" i="39"/>
  <c r="LT18" i="39"/>
  <c r="LS18" i="39"/>
  <c r="LR18" i="39"/>
  <c r="LP18" i="39"/>
  <c r="LO18" i="39"/>
  <c r="LN18" i="39"/>
  <c r="LM18" i="39"/>
  <c r="LL18" i="39"/>
  <c r="LK18" i="39"/>
  <c r="KO18" i="39"/>
  <c r="KN18" i="39"/>
  <c r="KM18" i="39"/>
  <c r="KL18" i="39"/>
  <c r="KK18" i="39"/>
  <c r="KJ18" i="39"/>
  <c r="KH18" i="39"/>
  <c r="KG18" i="39"/>
  <c r="KF18" i="39"/>
  <c r="KE18" i="39"/>
  <c r="KD18" i="39"/>
  <c r="KC18" i="39"/>
  <c r="JG18" i="39"/>
  <c r="JF18" i="39"/>
  <c r="JE18" i="39"/>
  <c r="JD18" i="39"/>
  <c r="JC18" i="39"/>
  <c r="JB18" i="39"/>
  <c r="IZ18" i="39"/>
  <c r="IY18" i="39"/>
  <c r="IX18" i="39"/>
  <c r="IW18" i="39"/>
  <c r="IV18" i="39"/>
  <c r="IU18" i="39"/>
  <c r="HY18" i="39"/>
  <c r="HX18" i="39"/>
  <c r="HW18" i="39"/>
  <c r="HV18" i="39"/>
  <c r="HU18" i="39"/>
  <c r="HT18" i="39"/>
  <c r="HR18" i="39"/>
  <c r="HQ18" i="39"/>
  <c r="HP18" i="39"/>
  <c r="HO18" i="39"/>
  <c r="HN18" i="39"/>
  <c r="HM18" i="39"/>
  <c r="GQ18" i="39"/>
  <c r="GP18" i="39"/>
  <c r="GO18" i="39"/>
  <c r="GN18" i="39"/>
  <c r="GM18" i="39"/>
  <c r="GL18" i="39"/>
  <c r="GJ18" i="39"/>
  <c r="GI18" i="39"/>
  <c r="GH18" i="39"/>
  <c r="GG18" i="39"/>
  <c r="GF18" i="39"/>
  <c r="GE18" i="39"/>
  <c r="FI18" i="39"/>
  <c r="FH18" i="39"/>
  <c r="FG18" i="39"/>
  <c r="FF18" i="39"/>
  <c r="FE18" i="39"/>
  <c r="FD18" i="39"/>
  <c r="FB18" i="39"/>
  <c r="FA18" i="39"/>
  <c r="EZ18" i="39"/>
  <c r="EY18" i="39"/>
  <c r="EX18" i="39"/>
  <c r="EW18" i="39"/>
  <c r="EA18" i="39"/>
  <c r="DZ18" i="39"/>
  <c r="DY18" i="39"/>
  <c r="DX18" i="39"/>
  <c r="DW18" i="39"/>
  <c r="DV18" i="39"/>
  <c r="DT18" i="39"/>
  <c r="DS18" i="39"/>
  <c r="DR18" i="39"/>
  <c r="DQ18" i="39"/>
  <c r="DP18" i="39"/>
  <c r="DO18" i="39"/>
  <c r="CR18" i="39"/>
  <c r="CQ18" i="39"/>
  <c r="CP18" i="39"/>
  <c r="CN18" i="39"/>
  <c r="CM18" i="39"/>
  <c r="CL18" i="39"/>
  <c r="CK18" i="39"/>
  <c r="CO18" i="39" s="1"/>
  <c r="CJ18" i="39"/>
  <c r="CI18" i="39"/>
  <c r="WI17" i="39"/>
  <c r="WH17" i="39"/>
  <c r="WG17" i="39"/>
  <c r="WF17" i="39"/>
  <c r="WE17" i="39"/>
  <c r="WD17" i="39"/>
  <c r="WB17" i="39"/>
  <c r="WA17" i="39"/>
  <c r="VZ17" i="39"/>
  <c r="VY17" i="39"/>
  <c r="VX17" i="39"/>
  <c r="VW17" i="39"/>
  <c r="VA17" i="39"/>
  <c r="UZ17" i="39"/>
  <c r="UY17" i="39"/>
  <c r="UX17" i="39"/>
  <c r="UW17" i="39"/>
  <c r="UV17" i="39"/>
  <c r="UT17" i="39"/>
  <c r="US17" i="39"/>
  <c r="UR17" i="39"/>
  <c r="UQ17" i="39"/>
  <c r="UP17" i="39"/>
  <c r="UO17" i="39"/>
  <c r="TS17" i="39"/>
  <c r="TR17" i="39"/>
  <c r="TQ17" i="39"/>
  <c r="TP17" i="39"/>
  <c r="TO17" i="39"/>
  <c r="TN17" i="39"/>
  <c r="TL17" i="39"/>
  <c r="TK17" i="39"/>
  <c r="TJ17" i="39"/>
  <c r="TI17" i="39"/>
  <c r="TH17" i="39"/>
  <c r="TG17" i="39"/>
  <c r="SK17" i="39"/>
  <c r="SJ17" i="39"/>
  <c r="SI17" i="39"/>
  <c r="SH17" i="39"/>
  <c r="SG17" i="39"/>
  <c r="SF17" i="39"/>
  <c r="SD17" i="39"/>
  <c r="SC17" i="39"/>
  <c r="SB17" i="39"/>
  <c r="SA17" i="39"/>
  <c r="RZ17" i="39"/>
  <c r="RY17" i="39"/>
  <c r="RC17" i="39"/>
  <c r="RB17" i="39"/>
  <c r="RA17" i="39"/>
  <c r="QZ17" i="39"/>
  <c r="QY17" i="39"/>
  <c r="QX17" i="39"/>
  <c r="QV17" i="39"/>
  <c r="QU17" i="39"/>
  <c r="QT17" i="39"/>
  <c r="QS17" i="39"/>
  <c r="QR17" i="39"/>
  <c r="QQ17" i="39"/>
  <c r="PU17" i="39"/>
  <c r="PT17" i="39"/>
  <c r="PS17" i="39"/>
  <c r="PR17" i="39"/>
  <c r="PQ17" i="39"/>
  <c r="PP17" i="39"/>
  <c r="PN17" i="39"/>
  <c r="PM17" i="39"/>
  <c r="PL17" i="39"/>
  <c r="PK17" i="39"/>
  <c r="PJ17" i="39"/>
  <c r="PI17" i="39"/>
  <c r="OM17" i="39"/>
  <c r="OL17" i="39"/>
  <c r="OK17" i="39"/>
  <c r="OJ17" i="39"/>
  <c r="OI17" i="39"/>
  <c r="OH17" i="39"/>
  <c r="OF17" i="39"/>
  <c r="OE17" i="39"/>
  <c r="OD17" i="39"/>
  <c r="OC17" i="39"/>
  <c r="OB17" i="39"/>
  <c r="OA17" i="39"/>
  <c r="NE17" i="39"/>
  <c r="ND17" i="39"/>
  <c r="NC17" i="39"/>
  <c r="NB17" i="39"/>
  <c r="NA17" i="39"/>
  <c r="MZ17" i="39"/>
  <c r="MX17" i="39"/>
  <c r="MW17" i="39"/>
  <c r="MV17" i="39"/>
  <c r="MU17" i="39"/>
  <c r="MT17" i="39"/>
  <c r="MS17" i="39"/>
  <c r="LW17" i="39"/>
  <c r="LV17" i="39"/>
  <c r="LU17" i="39"/>
  <c r="LT17" i="39"/>
  <c r="LS17" i="39"/>
  <c r="LR17" i="39"/>
  <c r="LP17" i="39"/>
  <c r="LO17" i="39"/>
  <c r="LN17" i="39"/>
  <c r="LM17" i="39"/>
  <c r="LL17" i="39"/>
  <c r="LK17" i="39"/>
  <c r="KO17" i="39"/>
  <c r="KN17" i="39"/>
  <c r="KM17" i="39"/>
  <c r="KL17" i="39"/>
  <c r="KK17" i="39"/>
  <c r="KJ17" i="39"/>
  <c r="KH17" i="39"/>
  <c r="KG17" i="39"/>
  <c r="KF17" i="39"/>
  <c r="KE17" i="39"/>
  <c r="KD17" i="39"/>
  <c r="KC17" i="39"/>
  <c r="JG17" i="39"/>
  <c r="JF17" i="39"/>
  <c r="JE17" i="39"/>
  <c r="JD17" i="39"/>
  <c r="JC17" i="39"/>
  <c r="JB17" i="39"/>
  <c r="IZ17" i="39"/>
  <c r="IY17" i="39"/>
  <c r="IX17" i="39"/>
  <c r="IW17" i="39"/>
  <c r="IV17" i="39"/>
  <c r="IU17" i="39"/>
  <c r="HY17" i="39"/>
  <c r="HX17" i="39"/>
  <c r="HW17" i="39"/>
  <c r="HV17" i="39"/>
  <c r="HU17" i="39"/>
  <c r="HT17" i="39"/>
  <c r="HR17" i="39"/>
  <c r="HQ17" i="39"/>
  <c r="HP17" i="39"/>
  <c r="HO17" i="39"/>
  <c r="HN17" i="39"/>
  <c r="HM17" i="39"/>
  <c r="GQ17" i="39"/>
  <c r="GP17" i="39"/>
  <c r="GO17" i="39"/>
  <c r="GN17" i="39"/>
  <c r="GM17" i="39"/>
  <c r="GL17" i="39"/>
  <c r="GJ17" i="39"/>
  <c r="GI17" i="39"/>
  <c r="GH17" i="39"/>
  <c r="GG17" i="39"/>
  <c r="GF17" i="39"/>
  <c r="GE17" i="39"/>
  <c r="FI17" i="39"/>
  <c r="FH17" i="39"/>
  <c r="FG17" i="39"/>
  <c r="FF17" i="39"/>
  <c r="FE17" i="39"/>
  <c r="FD17" i="39"/>
  <c r="FB17" i="39"/>
  <c r="FA17" i="39"/>
  <c r="EZ17" i="39"/>
  <c r="EY17" i="39"/>
  <c r="EX17" i="39"/>
  <c r="EW17" i="39"/>
  <c r="EA17" i="39"/>
  <c r="DZ17" i="39"/>
  <c r="DY17" i="39"/>
  <c r="DX17" i="39"/>
  <c r="DW17" i="39"/>
  <c r="DV17" i="39"/>
  <c r="DT17" i="39"/>
  <c r="DS17" i="39"/>
  <c r="DR17" i="39"/>
  <c r="DQ17" i="39"/>
  <c r="DP17" i="39"/>
  <c r="DO17" i="39"/>
  <c r="CR17" i="39"/>
  <c r="CQ17" i="39"/>
  <c r="CP17" i="39"/>
  <c r="CN17" i="39"/>
  <c r="CM17" i="39"/>
  <c r="CL17" i="39"/>
  <c r="CK17" i="39"/>
  <c r="CJ17" i="39"/>
  <c r="CI17" i="39"/>
  <c r="WI10" i="39"/>
  <c r="WH10" i="39"/>
  <c r="WG10" i="39"/>
  <c r="WF10" i="39"/>
  <c r="WE10" i="39"/>
  <c r="WD10" i="39"/>
  <c r="WB10" i="39"/>
  <c r="WA10" i="39"/>
  <c r="VZ10" i="39"/>
  <c r="VY10" i="39"/>
  <c r="VX10" i="39"/>
  <c r="VW10" i="39"/>
  <c r="VA10" i="39"/>
  <c r="UZ10" i="39"/>
  <c r="UY10" i="39"/>
  <c r="UX10" i="39"/>
  <c r="UW10" i="39"/>
  <c r="UV10" i="39"/>
  <c r="UT10" i="39"/>
  <c r="US10" i="39"/>
  <c r="UR10" i="39"/>
  <c r="UQ10" i="39"/>
  <c r="UP10" i="39"/>
  <c r="UO10" i="39"/>
  <c r="TS10" i="39"/>
  <c r="TR10" i="39"/>
  <c r="TQ10" i="39"/>
  <c r="TP10" i="39"/>
  <c r="TO10" i="39"/>
  <c r="TN10" i="39"/>
  <c r="TL10" i="39"/>
  <c r="TK10" i="39"/>
  <c r="TJ10" i="39"/>
  <c r="TI10" i="39"/>
  <c r="TH10" i="39"/>
  <c r="TG10" i="39"/>
  <c r="SK10" i="39"/>
  <c r="SJ10" i="39"/>
  <c r="SI10" i="39"/>
  <c r="SH10" i="39"/>
  <c r="SG10" i="39"/>
  <c r="SF10" i="39"/>
  <c r="SD10" i="39"/>
  <c r="SC10" i="39"/>
  <c r="SB10" i="39"/>
  <c r="SA10" i="39"/>
  <c r="RZ10" i="39"/>
  <c r="RY10" i="39"/>
  <c r="RC10" i="39"/>
  <c r="RB10" i="39"/>
  <c r="RA10" i="39"/>
  <c r="QZ10" i="39"/>
  <c r="QY10" i="39"/>
  <c r="QX10" i="39"/>
  <c r="QV10" i="39"/>
  <c r="QU10" i="39"/>
  <c r="QT10" i="39"/>
  <c r="QS10" i="39"/>
  <c r="QR10" i="39"/>
  <c r="QQ10" i="39"/>
  <c r="PU10" i="39"/>
  <c r="PT10" i="39"/>
  <c r="PS10" i="39"/>
  <c r="PR10" i="39"/>
  <c r="PQ10" i="39"/>
  <c r="PP10" i="39"/>
  <c r="PN10" i="39"/>
  <c r="PM10" i="39"/>
  <c r="PL10" i="39"/>
  <c r="PK10" i="39"/>
  <c r="PJ10" i="39"/>
  <c r="PI10" i="39"/>
  <c r="OM10" i="39"/>
  <c r="OL10" i="39"/>
  <c r="OK10" i="39"/>
  <c r="OJ10" i="39"/>
  <c r="OI10" i="39"/>
  <c r="OH10" i="39"/>
  <c r="OF10" i="39"/>
  <c r="OE10" i="39"/>
  <c r="OD10" i="39"/>
  <c r="OC10" i="39"/>
  <c r="OB10" i="39"/>
  <c r="OA10" i="39"/>
  <c r="NE10" i="39"/>
  <c r="ND10" i="39"/>
  <c r="NC10" i="39"/>
  <c r="NB10" i="39"/>
  <c r="NA10" i="39"/>
  <c r="MZ10" i="39"/>
  <c r="MX10" i="39"/>
  <c r="MW10" i="39"/>
  <c r="MV10" i="39"/>
  <c r="MU10" i="39"/>
  <c r="MT10" i="39"/>
  <c r="MS10" i="39"/>
  <c r="LW10" i="39"/>
  <c r="LV10" i="39"/>
  <c r="LU10" i="39"/>
  <c r="LT10" i="39"/>
  <c r="LS10" i="39"/>
  <c r="LR10" i="39"/>
  <c r="LP10" i="39"/>
  <c r="LO10" i="39"/>
  <c r="LN10" i="39"/>
  <c r="LM10" i="39"/>
  <c r="LL10" i="39"/>
  <c r="LK10" i="39"/>
  <c r="KO10" i="39"/>
  <c r="KN10" i="39"/>
  <c r="KM10" i="39"/>
  <c r="KL10" i="39"/>
  <c r="KK10" i="39"/>
  <c r="KJ10" i="39"/>
  <c r="KH10" i="39"/>
  <c r="KG10" i="39"/>
  <c r="KF10" i="39"/>
  <c r="KE10" i="39"/>
  <c r="KD10" i="39"/>
  <c r="KC10" i="39"/>
  <c r="JG10" i="39"/>
  <c r="JF10" i="39"/>
  <c r="JE10" i="39"/>
  <c r="JD10" i="39"/>
  <c r="JC10" i="39"/>
  <c r="JB10" i="39"/>
  <c r="IZ10" i="39"/>
  <c r="IY10" i="39"/>
  <c r="IX10" i="39"/>
  <c r="IW10" i="39"/>
  <c r="IV10" i="39"/>
  <c r="IU10" i="39"/>
  <c r="HY10" i="39"/>
  <c r="HX10" i="39"/>
  <c r="HW10" i="39"/>
  <c r="HV10" i="39"/>
  <c r="HU10" i="39"/>
  <c r="HT10" i="39"/>
  <c r="HR10" i="39"/>
  <c r="HQ10" i="39"/>
  <c r="HP10" i="39"/>
  <c r="HO10" i="39"/>
  <c r="HN10" i="39"/>
  <c r="HM10" i="39"/>
  <c r="GQ10" i="39"/>
  <c r="GP10" i="39"/>
  <c r="GO10" i="39"/>
  <c r="GN10" i="39"/>
  <c r="GM10" i="39"/>
  <c r="GL10" i="39"/>
  <c r="GJ10" i="39"/>
  <c r="GI10" i="39"/>
  <c r="GH10" i="39"/>
  <c r="GG10" i="39"/>
  <c r="GF10" i="39"/>
  <c r="GE10" i="39"/>
  <c r="FI10" i="39"/>
  <c r="FH10" i="39"/>
  <c r="FG10" i="39"/>
  <c r="FF10" i="39"/>
  <c r="FE10" i="39"/>
  <c r="FD10" i="39"/>
  <c r="FB10" i="39"/>
  <c r="FA10" i="39"/>
  <c r="EZ10" i="39"/>
  <c r="EY10" i="39"/>
  <c r="EX10" i="39"/>
  <c r="EW10" i="39"/>
  <c r="EA10" i="39"/>
  <c r="DZ10" i="39"/>
  <c r="DY10" i="39"/>
  <c r="DX10" i="39"/>
  <c r="DW10" i="39"/>
  <c r="DV10" i="39"/>
  <c r="DT10" i="39"/>
  <c r="DS10" i="39"/>
  <c r="DR10" i="39"/>
  <c r="DQ10" i="39"/>
  <c r="DP10" i="39"/>
  <c r="DO10" i="39"/>
  <c r="CR10" i="39"/>
  <c r="CQ10" i="39"/>
  <c r="CP10" i="39"/>
  <c r="CN10" i="39"/>
  <c r="CM10" i="39"/>
  <c r="CL10" i="39"/>
  <c r="CK10" i="39"/>
  <c r="CJ10" i="39"/>
  <c r="CI10" i="39"/>
  <c r="WI15" i="39"/>
  <c r="WH15" i="39"/>
  <c r="WG15" i="39"/>
  <c r="WF15" i="39"/>
  <c r="WE15" i="39"/>
  <c r="WD15" i="39"/>
  <c r="WB15" i="39"/>
  <c r="WA15" i="39"/>
  <c r="VZ15" i="39"/>
  <c r="VY15" i="39"/>
  <c r="VX15" i="39"/>
  <c r="VW15" i="39"/>
  <c r="VA15" i="39"/>
  <c r="UZ15" i="39"/>
  <c r="UY15" i="39"/>
  <c r="UX15" i="39"/>
  <c r="UW15" i="39"/>
  <c r="UV15" i="39"/>
  <c r="UT15" i="39"/>
  <c r="US15" i="39"/>
  <c r="UR15" i="39"/>
  <c r="UQ15" i="39"/>
  <c r="UP15" i="39"/>
  <c r="UO15" i="39"/>
  <c r="TS15" i="39"/>
  <c r="TR15" i="39"/>
  <c r="TQ15" i="39"/>
  <c r="TP15" i="39"/>
  <c r="TO15" i="39"/>
  <c r="TN15" i="39"/>
  <c r="TL15" i="39"/>
  <c r="TK15" i="39"/>
  <c r="TJ15" i="39"/>
  <c r="TI15" i="39"/>
  <c r="TH15" i="39"/>
  <c r="TG15" i="39"/>
  <c r="SK15" i="39"/>
  <c r="SJ15" i="39"/>
  <c r="SI15" i="39"/>
  <c r="SH15" i="39"/>
  <c r="SG15" i="39"/>
  <c r="SF15" i="39"/>
  <c r="SD15" i="39"/>
  <c r="SC15" i="39"/>
  <c r="SB15" i="39"/>
  <c r="SA15" i="39"/>
  <c r="RZ15" i="39"/>
  <c r="RY15" i="39"/>
  <c r="RC15" i="39"/>
  <c r="RB15" i="39"/>
  <c r="RA15" i="39"/>
  <c r="QZ15" i="39"/>
  <c r="QY15" i="39"/>
  <c r="QX15" i="39"/>
  <c r="QV15" i="39"/>
  <c r="QU15" i="39"/>
  <c r="QT15" i="39"/>
  <c r="QS15" i="39"/>
  <c r="QR15" i="39"/>
  <c r="QQ15" i="39"/>
  <c r="PU15" i="39"/>
  <c r="PT15" i="39"/>
  <c r="PS15" i="39"/>
  <c r="PR15" i="39"/>
  <c r="PQ15" i="39"/>
  <c r="PP15" i="39"/>
  <c r="PN15" i="39"/>
  <c r="PM15" i="39"/>
  <c r="PL15" i="39"/>
  <c r="PK15" i="39"/>
  <c r="PJ15" i="39"/>
  <c r="PI15" i="39"/>
  <c r="OM15" i="39"/>
  <c r="OL15" i="39"/>
  <c r="OK15" i="39"/>
  <c r="OJ15" i="39"/>
  <c r="OI15" i="39"/>
  <c r="OH15" i="39"/>
  <c r="OF15" i="39"/>
  <c r="OE15" i="39"/>
  <c r="OD15" i="39"/>
  <c r="OC15" i="39"/>
  <c r="OB15" i="39"/>
  <c r="OA15" i="39"/>
  <c r="NE15" i="39"/>
  <c r="ND15" i="39"/>
  <c r="NC15" i="39"/>
  <c r="NB15" i="39"/>
  <c r="NA15" i="39"/>
  <c r="MZ15" i="39"/>
  <c r="MX15" i="39"/>
  <c r="MW15" i="39"/>
  <c r="MV15" i="39"/>
  <c r="MU15" i="39"/>
  <c r="MT15" i="39"/>
  <c r="MS15" i="39"/>
  <c r="LW15" i="39"/>
  <c r="LV15" i="39"/>
  <c r="LU15" i="39"/>
  <c r="LT15" i="39"/>
  <c r="LS15" i="39"/>
  <c r="LR15" i="39"/>
  <c r="LP15" i="39"/>
  <c r="LO15" i="39"/>
  <c r="LN15" i="39"/>
  <c r="LM15" i="39"/>
  <c r="LL15" i="39"/>
  <c r="LK15" i="39"/>
  <c r="KO15" i="39"/>
  <c r="KN15" i="39"/>
  <c r="KM15" i="39"/>
  <c r="KL15" i="39"/>
  <c r="KK15" i="39"/>
  <c r="KJ15" i="39"/>
  <c r="KH15" i="39"/>
  <c r="KG15" i="39"/>
  <c r="KF15" i="39"/>
  <c r="KE15" i="39"/>
  <c r="KD15" i="39"/>
  <c r="KC15" i="39"/>
  <c r="JG15" i="39"/>
  <c r="JF15" i="39"/>
  <c r="JE15" i="39"/>
  <c r="JD15" i="39"/>
  <c r="JC15" i="39"/>
  <c r="JB15" i="39"/>
  <c r="IZ15" i="39"/>
  <c r="IY15" i="39"/>
  <c r="IX15" i="39"/>
  <c r="IW15" i="39"/>
  <c r="IV15" i="39"/>
  <c r="IU15" i="39"/>
  <c r="HY15" i="39"/>
  <c r="HX15" i="39"/>
  <c r="HW15" i="39"/>
  <c r="HV15" i="39"/>
  <c r="HU15" i="39"/>
  <c r="HT15" i="39"/>
  <c r="HR15" i="39"/>
  <c r="HQ15" i="39"/>
  <c r="HP15" i="39"/>
  <c r="HO15" i="39"/>
  <c r="HN15" i="39"/>
  <c r="HM15" i="39"/>
  <c r="GQ15" i="39"/>
  <c r="GP15" i="39"/>
  <c r="GO15" i="39"/>
  <c r="GN15" i="39"/>
  <c r="GM15" i="39"/>
  <c r="GL15" i="39"/>
  <c r="GJ15" i="39"/>
  <c r="GI15" i="39"/>
  <c r="GH15" i="39"/>
  <c r="GG15" i="39"/>
  <c r="GF15" i="39"/>
  <c r="GE15" i="39"/>
  <c r="FI15" i="39"/>
  <c r="FH15" i="39"/>
  <c r="FG15" i="39"/>
  <c r="FF15" i="39"/>
  <c r="FE15" i="39"/>
  <c r="FD15" i="39"/>
  <c r="FB15" i="39"/>
  <c r="FA15" i="39"/>
  <c r="EZ15" i="39"/>
  <c r="EY15" i="39"/>
  <c r="EX15" i="39"/>
  <c r="EW15" i="39"/>
  <c r="EA15" i="39"/>
  <c r="DZ15" i="39"/>
  <c r="DY15" i="39"/>
  <c r="DX15" i="39"/>
  <c r="DW15" i="39"/>
  <c r="DV15" i="39"/>
  <c r="DT15" i="39"/>
  <c r="DS15" i="39"/>
  <c r="DR15" i="39"/>
  <c r="DQ15" i="39"/>
  <c r="DP15" i="39"/>
  <c r="DO15" i="39"/>
  <c r="CR15" i="39"/>
  <c r="CQ15" i="39"/>
  <c r="CP15" i="39"/>
  <c r="CN15" i="39"/>
  <c r="CM15" i="39"/>
  <c r="CL15" i="39"/>
  <c r="CK15" i="39"/>
  <c r="CO15" i="39" s="1"/>
  <c r="CJ15" i="39"/>
  <c r="CI15" i="39"/>
  <c r="WI14" i="39"/>
  <c r="WH14" i="39"/>
  <c r="WG14" i="39"/>
  <c r="WF14" i="39"/>
  <c r="WE14" i="39"/>
  <c r="WD14" i="39"/>
  <c r="WB14" i="39"/>
  <c r="WA14" i="39"/>
  <c r="VZ14" i="39"/>
  <c r="VY14" i="39"/>
  <c r="VX14" i="39"/>
  <c r="VW14" i="39"/>
  <c r="VA14" i="39"/>
  <c r="UZ14" i="39"/>
  <c r="UY14" i="39"/>
  <c r="UX14" i="39"/>
  <c r="UW14" i="39"/>
  <c r="UV14" i="39"/>
  <c r="UT14" i="39"/>
  <c r="US14" i="39"/>
  <c r="UR14" i="39"/>
  <c r="UQ14" i="39"/>
  <c r="UP14" i="39"/>
  <c r="UO14" i="39"/>
  <c r="TS14" i="39"/>
  <c r="TR14" i="39"/>
  <c r="TQ14" i="39"/>
  <c r="TP14" i="39"/>
  <c r="TO14" i="39"/>
  <c r="TN14" i="39"/>
  <c r="TL14" i="39"/>
  <c r="TK14" i="39"/>
  <c r="TJ14" i="39"/>
  <c r="TI14" i="39"/>
  <c r="TH14" i="39"/>
  <c r="TG14" i="39"/>
  <c r="SK14" i="39"/>
  <c r="SJ14" i="39"/>
  <c r="SI14" i="39"/>
  <c r="SH14" i="39"/>
  <c r="SG14" i="39"/>
  <c r="SF14" i="39"/>
  <c r="SD14" i="39"/>
  <c r="SC14" i="39"/>
  <c r="SB14" i="39"/>
  <c r="SA14" i="39"/>
  <c r="RZ14" i="39"/>
  <c r="RY14" i="39"/>
  <c r="RC14" i="39"/>
  <c r="RB14" i="39"/>
  <c r="RA14" i="39"/>
  <c r="QZ14" i="39"/>
  <c r="QY14" i="39"/>
  <c r="QX14" i="39"/>
  <c r="QV14" i="39"/>
  <c r="QU14" i="39"/>
  <c r="QT14" i="39"/>
  <c r="QS14" i="39"/>
  <c r="QR14" i="39"/>
  <c r="QQ14" i="39"/>
  <c r="PU14" i="39"/>
  <c r="PT14" i="39"/>
  <c r="PS14" i="39"/>
  <c r="PR14" i="39"/>
  <c r="PQ14" i="39"/>
  <c r="PP14" i="39"/>
  <c r="PN14" i="39"/>
  <c r="PM14" i="39"/>
  <c r="PL14" i="39"/>
  <c r="PK14" i="39"/>
  <c r="PJ14" i="39"/>
  <c r="PI14" i="39"/>
  <c r="OM14" i="39"/>
  <c r="OL14" i="39"/>
  <c r="OK14" i="39"/>
  <c r="OJ14" i="39"/>
  <c r="OI14" i="39"/>
  <c r="OH14" i="39"/>
  <c r="OF14" i="39"/>
  <c r="OE14" i="39"/>
  <c r="OD14" i="39"/>
  <c r="OC14" i="39"/>
  <c r="OB14" i="39"/>
  <c r="OA14" i="39"/>
  <c r="NE14" i="39"/>
  <c r="ND14" i="39"/>
  <c r="NC14" i="39"/>
  <c r="NB14" i="39"/>
  <c r="NA14" i="39"/>
  <c r="MZ14" i="39"/>
  <c r="MX14" i="39"/>
  <c r="MW14" i="39"/>
  <c r="MV14" i="39"/>
  <c r="MU14" i="39"/>
  <c r="MT14" i="39"/>
  <c r="MS14" i="39"/>
  <c r="LW14" i="39"/>
  <c r="LV14" i="39"/>
  <c r="LU14" i="39"/>
  <c r="LT14" i="39"/>
  <c r="LS14" i="39"/>
  <c r="LR14" i="39"/>
  <c r="LP14" i="39"/>
  <c r="LO14" i="39"/>
  <c r="LN14" i="39"/>
  <c r="LM14" i="39"/>
  <c r="LL14" i="39"/>
  <c r="LK14" i="39"/>
  <c r="KO14" i="39"/>
  <c r="KN14" i="39"/>
  <c r="KM14" i="39"/>
  <c r="KL14" i="39"/>
  <c r="KK14" i="39"/>
  <c r="KJ14" i="39"/>
  <c r="KH14" i="39"/>
  <c r="KG14" i="39"/>
  <c r="KF14" i="39"/>
  <c r="KE14" i="39"/>
  <c r="KD14" i="39"/>
  <c r="KC14" i="39"/>
  <c r="JG14" i="39"/>
  <c r="JF14" i="39"/>
  <c r="JE14" i="39"/>
  <c r="JD14" i="39"/>
  <c r="JC14" i="39"/>
  <c r="JB14" i="39"/>
  <c r="IZ14" i="39"/>
  <c r="IY14" i="39"/>
  <c r="IX14" i="39"/>
  <c r="IW14" i="39"/>
  <c r="IV14" i="39"/>
  <c r="IU14" i="39"/>
  <c r="HY14" i="39"/>
  <c r="HX14" i="39"/>
  <c r="HW14" i="39"/>
  <c r="HV14" i="39"/>
  <c r="HU14" i="39"/>
  <c r="HT14" i="39"/>
  <c r="HR14" i="39"/>
  <c r="HQ14" i="39"/>
  <c r="HP14" i="39"/>
  <c r="HO14" i="39"/>
  <c r="HN14" i="39"/>
  <c r="HM14" i="39"/>
  <c r="GQ14" i="39"/>
  <c r="GP14" i="39"/>
  <c r="GO14" i="39"/>
  <c r="GN14" i="39"/>
  <c r="GM14" i="39"/>
  <c r="GL14" i="39"/>
  <c r="GJ14" i="39"/>
  <c r="GI14" i="39"/>
  <c r="GH14" i="39"/>
  <c r="GG14" i="39"/>
  <c r="GF14" i="39"/>
  <c r="GE14" i="39"/>
  <c r="FI14" i="39"/>
  <c r="FH14" i="39"/>
  <c r="FG14" i="39"/>
  <c r="FF14" i="39"/>
  <c r="FE14" i="39"/>
  <c r="FD14" i="39"/>
  <c r="FB14" i="39"/>
  <c r="FA14" i="39"/>
  <c r="EZ14" i="39"/>
  <c r="EY14" i="39"/>
  <c r="EX14" i="39"/>
  <c r="EW14" i="39"/>
  <c r="EA14" i="39"/>
  <c r="DZ14" i="39"/>
  <c r="DY14" i="39"/>
  <c r="DX14" i="39"/>
  <c r="DW14" i="39"/>
  <c r="DV14" i="39"/>
  <c r="DT14" i="39"/>
  <c r="DS14" i="39"/>
  <c r="DR14" i="39"/>
  <c r="DQ14" i="39"/>
  <c r="DP14" i="39"/>
  <c r="DO14" i="39"/>
  <c r="CR14" i="39"/>
  <c r="CQ14" i="39"/>
  <c r="CP14" i="39"/>
  <c r="CN14" i="39"/>
  <c r="CM14" i="39"/>
  <c r="CL14" i="39"/>
  <c r="CK14" i="39"/>
  <c r="CO14" i="39" s="1"/>
  <c r="CJ14" i="39"/>
  <c r="CI14" i="39"/>
  <c r="WI9" i="39"/>
  <c r="WH9" i="39"/>
  <c r="WG9" i="39"/>
  <c r="WF9" i="39"/>
  <c r="WE9" i="39"/>
  <c r="WD9" i="39"/>
  <c r="WB9" i="39"/>
  <c r="WA9" i="39"/>
  <c r="VZ9" i="39"/>
  <c r="VY9" i="39"/>
  <c r="VX9" i="39"/>
  <c r="VW9" i="39"/>
  <c r="VA9" i="39"/>
  <c r="UZ9" i="39"/>
  <c r="UY9" i="39"/>
  <c r="UX9" i="39"/>
  <c r="UW9" i="39"/>
  <c r="UV9" i="39"/>
  <c r="UT9" i="39"/>
  <c r="US9" i="39"/>
  <c r="UR9" i="39"/>
  <c r="UQ9" i="39"/>
  <c r="UP9" i="39"/>
  <c r="UO9" i="39"/>
  <c r="TS9" i="39"/>
  <c r="TR9" i="39"/>
  <c r="TQ9" i="39"/>
  <c r="TP9" i="39"/>
  <c r="TO9" i="39"/>
  <c r="TN9" i="39"/>
  <c r="TL9" i="39"/>
  <c r="TK9" i="39"/>
  <c r="TJ9" i="39"/>
  <c r="TI9" i="39"/>
  <c r="TH9" i="39"/>
  <c r="TG9" i="39"/>
  <c r="SK9" i="39"/>
  <c r="SJ9" i="39"/>
  <c r="SI9" i="39"/>
  <c r="SH9" i="39"/>
  <c r="SG9" i="39"/>
  <c r="SF9" i="39"/>
  <c r="SD9" i="39"/>
  <c r="SC9" i="39"/>
  <c r="SB9" i="39"/>
  <c r="SA9" i="39"/>
  <c r="RZ9" i="39"/>
  <c r="RY9" i="39"/>
  <c r="RC9" i="39"/>
  <c r="RB9" i="39"/>
  <c r="RA9" i="39"/>
  <c r="QZ9" i="39"/>
  <c r="QY9" i="39"/>
  <c r="QX9" i="39"/>
  <c r="QV9" i="39"/>
  <c r="QU9" i="39"/>
  <c r="QT9" i="39"/>
  <c r="QS9" i="39"/>
  <c r="QR9" i="39"/>
  <c r="QQ9" i="39"/>
  <c r="PU9" i="39"/>
  <c r="PT9" i="39"/>
  <c r="PS9" i="39"/>
  <c r="PR9" i="39"/>
  <c r="PQ9" i="39"/>
  <c r="PP9" i="39"/>
  <c r="PN9" i="39"/>
  <c r="PM9" i="39"/>
  <c r="PL9" i="39"/>
  <c r="PK9" i="39"/>
  <c r="PJ9" i="39"/>
  <c r="PI9" i="39"/>
  <c r="OM9" i="39"/>
  <c r="OL9" i="39"/>
  <c r="OK9" i="39"/>
  <c r="OJ9" i="39"/>
  <c r="OI9" i="39"/>
  <c r="OH9" i="39"/>
  <c r="OF9" i="39"/>
  <c r="OE9" i="39"/>
  <c r="OD9" i="39"/>
  <c r="OC9" i="39"/>
  <c r="OB9" i="39"/>
  <c r="OA9" i="39"/>
  <c r="NE9" i="39"/>
  <c r="ND9" i="39"/>
  <c r="NC9" i="39"/>
  <c r="NB9" i="39"/>
  <c r="NA9" i="39"/>
  <c r="MZ9" i="39"/>
  <c r="MX9" i="39"/>
  <c r="MW9" i="39"/>
  <c r="MV9" i="39"/>
  <c r="MU9" i="39"/>
  <c r="MT9" i="39"/>
  <c r="MS9" i="39"/>
  <c r="LW9" i="39"/>
  <c r="LV9" i="39"/>
  <c r="LU9" i="39"/>
  <c r="LT9" i="39"/>
  <c r="LS9" i="39"/>
  <c r="LR9" i="39"/>
  <c r="LP9" i="39"/>
  <c r="LO9" i="39"/>
  <c r="LN9" i="39"/>
  <c r="LM9" i="39"/>
  <c r="LL9" i="39"/>
  <c r="LK9" i="39"/>
  <c r="KO9" i="39"/>
  <c r="KN9" i="39"/>
  <c r="KM9" i="39"/>
  <c r="KL9" i="39"/>
  <c r="KK9" i="39"/>
  <c r="KJ9" i="39"/>
  <c r="KH9" i="39"/>
  <c r="KG9" i="39"/>
  <c r="KF9" i="39"/>
  <c r="KE9" i="39"/>
  <c r="KD9" i="39"/>
  <c r="KC9" i="39"/>
  <c r="JG9" i="39"/>
  <c r="JF9" i="39"/>
  <c r="JE9" i="39"/>
  <c r="JD9" i="39"/>
  <c r="JC9" i="39"/>
  <c r="JB9" i="39"/>
  <c r="IZ9" i="39"/>
  <c r="IY9" i="39"/>
  <c r="IX9" i="39"/>
  <c r="IW9" i="39"/>
  <c r="IV9" i="39"/>
  <c r="IU9" i="39"/>
  <c r="HY9" i="39"/>
  <c r="HX9" i="39"/>
  <c r="HW9" i="39"/>
  <c r="HV9" i="39"/>
  <c r="HU9" i="39"/>
  <c r="HT9" i="39"/>
  <c r="HR9" i="39"/>
  <c r="HQ9" i="39"/>
  <c r="HP9" i="39"/>
  <c r="HO9" i="39"/>
  <c r="HN9" i="39"/>
  <c r="HM9" i="39"/>
  <c r="GQ9" i="39"/>
  <c r="GP9" i="39"/>
  <c r="GO9" i="39"/>
  <c r="GN9" i="39"/>
  <c r="GM9" i="39"/>
  <c r="GL9" i="39"/>
  <c r="GJ9" i="39"/>
  <c r="GI9" i="39"/>
  <c r="GH9" i="39"/>
  <c r="GG9" i="39"/>
  <c r="GF9" i="39"/>
  <c r="GE9" i="39"/>
  <c r="FI9" i="39"/>
  <c r="FH9" i="39"/>
  <c r="FG9" i="39"/>
  <c r="FF9" i="39"/>
  <c r="FE9" i="39"/>
  <c r="FD9" i="39"/>
  <c r="FB9" i="39"/>
  <c r="FA9" i="39"/>
  <c r="EZ9" i="39"/>
  <c r="EY9" i="39"/>
  <c r="EX9" i="39"/>
  <c r="EW9" i="39"/>
  <c r="EA9" i="39"/>
  <c r="DZ9" i="39"/>
  <c r="DY9" i="39"/>
  <c r="DX9" i="39"/>
  <c r="DW9" i="39"/>
  <c r="DV9" i="39"/>
  <c r="DT9" i="39"/>
  <c r="DS9" i="39"/>
  <c r="DR9" i="39"/>
  <c r="DQ9" i="39"/>
  <c r="DP9" i="39"/>
  <c r="DO9" i="39"/>
  <c r="CR9" i="39"/>
  <c r="CQ9" i="39"/>
  <c r="CP9" i="39"/>
  <c r="CN9" i="39"/>
  <c r="CM9" i="39"/>
  <c r="CL9" i="39"/>
  <c r="CK9" i="39"/>
  <c r="CO9" i="39" s="1"/>
  <c r="CJ9" i="39"/>
  <c r="CI9" i="39"/>
  <c r="WI7" i="39"/>
  <c r="WH7" i="39"/>
  <c r="WG7" i="39"/>
  <c r="WF7" i="39"/>
  <c r="WE7" i="39"/>
  <c r="WD7" i="39"/>
  <c r="WB7" i="39"/>
  <c r="WA7" i="39"/>
  <c r="VZ7" i="39"/>
  <c r="VY7" i="39"/>
  <c r="VX7" i="39"/>
  <c r="VW7" i="39"/>
  <c r="VA7" i="39"/>
  <c r="UZ7" i="39"/>
  <c r="UY7" i="39"/>
  <c r="UX7" i="39"/>
  <c r="UW7" i="39"/>
  <c r="UV7" i="39"/>
  <c r="UT7" i="39"/>
  <c r="US7" i="39"/>
  <c r="UR7" i="39"/>
  <c r="UQ7" i="39"/>
  <c r="UP7" i="39"/>
  <c r="UO7" i="39"/>
  <c r="TS7" i="39"/>
  <c r="TR7" i="39"/>
  <c r="TQ7" i="39"/>
  <c r="TP7" i="39"/>
  <c r="TO7" i="39"/>
  <c r="TN7" i="39"/>
  <c r="TL7" i="39"/>
  <c r="TK7" i="39"/>
  <c r="TJ7" i="39"/>
  <c r="TI7" i="39"/>
  <c r="TH7" i="39"/>
  <c r="TG7" i="39"/>
  <c r="SK7" i="39"/>
  <c r="SJ7" i="39"/>
  <c r="SI7" i="39"/>
  <c r="SH7" i="39"/>
  <c r="SG7" i="39"/>
  <c r="SF7" i="39"/>
  <c r="SD7" i="39"/>
  <c r="SC7" i="39"/>
  <c r="SB7" i="39"/>
  <c r="SA7" i="39"/>
  <c r="RZ7" i="39"/>
  <c r="RY7" i="39"/>
  <c r="RC7" i="39"/>
  <c r="RB7" i="39"/>
  <c r="RA7" i="39"/>
  <c r="QZ7" i="39"/>
  <c r="QY7" i="39"/>
  <c r="QX7" i="39"/>
  <c r="QV7" i="39"/>
  <c r="QU7" i="39"/>
  <c r="QT7" i="39"/>
  <c r="QS7" i="39"/>
  <c r="QR7" i="39"/>
  <c r="QQ7" i="39"/>
  <c r="PU7" i="39"/>
  <c r="PT7" i="39"/>
  <c r="PS7" i="39"/>
  <c r="PR7" i="39"/>
  <c r="PQ7" i="39"/>
  <c r="PP7" i="39"/>
  <c r="PN7" i="39"/>
  <c r="PM7" i="39"/>
  <c r="PL7" i="39"/>
  <c r="PK7" i="39"/>
  <c r="PJ7" i="39"/>
  <c r="PI7" i="39"/>
  <c r="OM7" i="39"/>
  <c r="OL7" i="39"/>
  <c r="OK7" i="39"/>
  <c r="OJ7" i="39"/>
  <c r="OI7" i="39"/>
  <c r="OH7" i="39"/>
  <c r="OF7" i="39"/>
  <c r="OE7" i="39"/>
  <c r="OD7" i="39"/>
  <c r="OC7" i="39"/>
  <c r="OB7" i="39"/>
  <c r="OA7" i="39"/>
  <c r="NE7" i="39"/>
  <c r="ND7" i="39"/>
  <c r="NC7" i="39"/>
  <c r="NB7" i="39"/>
  <c r="NA7" i="39"/>
  <c r="MZ7" i="39"/>
  <c r="MX7" i="39"/>
  <c r="MW7" i="39"/>
  <c r="MV7" i="39"/>
  <c r="MU7" i="39"/>
  <c r="MT7" i="39"/>
  <c r="MS7" i="39"/>
  <c r="LW7" i="39"/>
  <c r="LV7" i="39"/>
  <c r="LU7" i="39"/>
  <c r="LT7" i="39"/>
  <c r="LS7" i="39"/>
  <c r="LR7" i="39"/>
  <c r="LP7" i="39"/>
  <c r="LO7" i="39"/>
  <c r="LN7" i="39"/>
  <c r="LM7" i="39"/>
  <c r="LL7" i="39"/>
  <c r="LK7" i="39"/>
  <c r="KO7" i="39"/>
  <c r="KN7" i="39"/>
  <c r="KM7" i="39"/>
  <c r="KL7" i="39"/>
  <c r="KK7" i="39"/>
  <c r="KJ7" i="39"/>
  <c r="KH7" i="39"/>
  <c r="KG7" i="39"/>
  <c r="KF7" i="39"/>
  <c r="KE7" i="39"/>
  <c r="KD7" i="39"/>
  <c r="KC7" i="39"/>
  <c r="JG7" i="39"/>
  <c r="JF7" i="39"/>
  <c r="JE7" i="39"/>
  <c r="JD7" i="39"/>
  <c r="JC7" i="39"/>
  <c r="JB7" i="39"/>
  <c r="IZ7" i="39"/>
  <c r="IY7" i="39"/>
  <c r="IX7" i="39"/>
  <c r="IW7" i="39"/>
  <c r="IV7" i="39"/>
  <c r="IU7" i="39"/>
  <c r="HY7" i="39"/>
  <c r="HX7" i="39"/>
  <c r="HW7" i="39"/>
  <c r="HV7" i="39"/>
  <c r="HU7" i="39"/>
  <c r="HT7" i="39"/>
  <c r="HR7" i="39"/>
  <c r="HQ7" i="39"/>
  <c r="HP7" i="39"/>
  <c r="HO7" i="39"/>
  <c r="HN7" i="39"/>
  <c r="HM7" i="39"/>
  <c r="GQ7" i="39"/>
  <c r="GP7" i="39"/>
  <c r="GO7" i="39"/>
  <c r="GN7" i="39"/>
  <c r="GM7" i="39"/>
  <c r="GL7" i="39"/>
  <c r="GJ7" i="39"/>
  <c r="GI7" i="39"/>
  <c r="GH7" i="39"/>
  <c r="GG7" i="39"/>
  <c r="GF7" i="39"/>
  <c r="GE7" i="39"/>
  <c r="FI7" i="39"/>
  <c r="FH7" i="39"/>
  <c r="FG7" i="39"/>
  <c r="FF7" i="39"/>
  <c r="FE7" i="39"/>
  <c r="FD7" i="39"/>
  <c r="FB7" i="39"/>
  <c r="FA7" i="39"/>
  <c r="EZ7" i="39"/>
  <c r="EY7" i="39"/>
  <c r="EX7" i="39"/>
  <c r="EW7" i="39"/>
  <c r="EA7" i="39"/>
  <c r="DZ7" i="39"/>
  <c r="DY7" i="39"/>
  <c r="DX7" i="39"/>
  <c r="DW7" i="39"/>
  <c r="DV7" i="39"/>
  <c r="DT7" i="39"/>
  <c r="DS7" i="39"/>
  <c r="DR7" i="39"/>
  <c r="DQ7" i="39"/>
  <c r="DP7" i="39"/>
  <c r="DO7" i="39"/>
  <c r="CR7" i="39"/>
  <c r="CQ7" i="39"/>
  <c r="CP7" i="39"/>
  <c r="CN7" i="39"/>
  <c r="CM7" i="39"/>
  <c r="CL7" i="39"/>
  <c r="CK7" i="39"/>
  <c r="CO7" i="39" s="1"/>
  <c r="CJ7" i="39"/>
  <c r="CI7" i="39"/>
  <c r="WI19" i="39"/>
  <c r="WH19" i="39"/>
  <c r="WG19" i="39"/>
  <c r="WF19" i="39"/>
  <c r="WE19" i="39"/>
  <c r="WD19" i="39"/>
  <c r="WB19" i="39"/>
  <c r="WA19" i="39"/>
  <c r="VZ19" i="39"/>
  <c r="VY19" i="39"/>
  <c r="VX19" i="39"/>
  <c r="VW19" i="39"/>
  <c r="VA19" i="39"/>
  <c r="UZ19" i="39"/>
  <c r="UY19" i="39"/>
  <c r="UX19" i="39"/>
  <c r="UW19" i="39"/>
  <c r="UV19" i="39"/>
  <c r="UT19" i="39"/>
  <c r="US19" i="39"/>
  <c r="UR19" i="39"/>
  <c r="UQ19" i="39"/>
  <c r="UP19" i="39"/>
  <c r="UO19" i="39"/>
  <c r="TS19" i="39"/>
  <c r="TR19" i="39"/>
  <c r="TQ19" i="39"/>
  <c r="TP19" i="39"/>
  <c r="TO19" i="39"/>
  <c r="TN19" i="39"/>
  <c r="TL19" i="39"/>
  <c r="TK19" i="39"/>
  <c r="TJ19" i="39"/>
  <c r="TI19" i="39"/>
  <c r="TH19" i="39"/>
  <c r="TG19" i="39"/>
  <c r="SK19" i="39"/>
  <c r="SJ19" i="39"/>
  <c r="SI19" i="39"/>
  <c r="SH19" i="39"/>
  <c r="SG19" i="39"/>
  <c r="SF19" i="39"/>
  <c r="SD19" i="39"/>
  <c r="SC19" i="39"/>
  <c r="SB19" i="39"/>
  <c r="SA19" i="39"/>
  <c r="RZ19" i="39"/>
  <c r="RY19" i="39"/>
  <c r="RC19" i="39"/>
  <c r="RB19" i="39"/>
  <c r="RA19" i="39"/>
  <c r="QZ19" i="39"/>
  <c r="QY19" i="39"/>
  <c r="QX19" i="39"/>
  <c r="QV19" i="39"/>
  <c r="QU19" i="39"/>
  <c r="QT19" i="39"/>
  <c r="QS19" i="39"/>
  <c r="QR19" i="39"/>
  <c r="QQ19" i="39"/>
  <c r="PU19" i="39"/>
  <c r="PT19" i="39"/>
  <c r="PS19" i="39"/>
  <c r="PR19" i="39"/>
  <c r="PQ19" i="39"/>
  <c r="PP19" i="39"/>
  <c r="PN19" i="39"/>
  <c r="PM19" i="39"/>
  <c r="PL19" i="39"/>
  <c r="PK19" i="39"/>
  <c r="PJ19" i="39"/>
  <c r="PI19" i="39"/>
  <c r="OM19" i="39"/>
  <c r="OL19" i="39"/>
  <c r="OK19" i="39"/>
  <c r="OJ19" i="39"/>
  <c r="OI19" i="39"/>
  <c r="OH19" i="39"/>
  <c r="OF19" i="39"/>
  <c r="OE19" i="39"/>
  <c r="OD19" i="39"/>
  <c r="OC19" i="39"/>
  <c r="OB19" i="39"/>
  <c r="OA19" i="39"/>
  <c r="NE19" i="39"/>
  <c r="ND19" i="39"/>
  <c r="NC19" i="39"/>
  <c r="NB19" i="39"/>
  <c r="NA19" i="39"/>
  <c r="MZ19" i="39"/>
  <c r="MX19" i="39"/>
  <c r="MW19" i="39"/>
  <c r="MV19" i="39"/>
  <c r="MU19" i="39"/>
  <c r="MT19" i="39"/>
  <c r="MS19" i="39"/>
  <c r="LW19" i="39"/>
  <c r="LV19" i="39"/>
  <c r="LU19" i="39"/>
  <c r="LT19" i="39"/>
  <c r="LS19" i="39"/>
  <c r="LR19" i="39"/>
  <c r="LP19" i="39"/>
  <c r="LO19" i="39"/>
  <c r="LN19" i="39"/>
  <c r="LM19" i="39"/>
  <c r="LL19" i="39"/>
  <c r="LK19" i="39"/>
  <c r="KO19" i="39"/>
  <c r="KN19" i="39"/>
  <c r="KM19" i="39"/>
  <c r="KL19" i="39"/>
  <c r="KK19" i="39"/>
  <c r="KJ19" i="39"/>
  <c r="KH19" i="39"/>
  <c r="KG19" i="39"/>
  <c r="KF19" i="39"/>
  <c r="KE19" i="39"/>
  <c r="KD19" i="39"/>
  <c r="KC19" i="39"/>
  <c r="JG19" i="39"/>
  <c r="JF19" i="39"/>
  <c r="JE19" i="39"/>
  <c r="JD19" i="39"/>
  <c r="JC19" i="39"/>
  <c r="JB19" i="39"/>
  <c r="IZ19" i="39"/>
  <c r="IY19" i="39"/>
  <c r="IX19" i="39"/>
  <c r="IW19" i="39"/>
  <c r="IV19" i="39"/>
  <c r="IU19" i="39"/>
  <c r="HY19" i="39"/>
  <c r="HX19" i="39"/>
  <c r="HW19" i="39"/>
  <c r="HV19" i="39"/>
  <c r="HU19" i="39"/>
  <c r="HT19" i="39"/>
  <c r="HR19" i="39"/>
  <c r="HQ19" i="39"/>
  <c r="HP19" i="39"/>
  <c r="HO19" i="39"/>
  <c r="HN19" i="39"/>
  <c r="HM19" i="39"/>
  <c r="GQ19" i="39"/>
  <c r="GP19" i="39"/>
  <c r="GO19" i="39"/>
  <c r="GN19" i="39"/>
  <c r="GM19" i="39"/>
  <c r="GL19" i="39"/>
  <c r="GJ19" i="39"/>
  <c r="GI19" i="39"/>
  <c r="GH19" i="39"/>
  <c r="GG19" i="39"/>
  <c r="GF19" i="39"/>
  <c r="GE19" i="39"/>
  <c r="FI19" i="39"/>
  <c r="FH19" i="39"/>
  <c r="FG19" i="39"/>
  <c r="FF19" i="39"/>
  <c r="FE19" i="39"/>
  <c r="FD19" i="39"/>
  <c r="FB19" i="39"/>
  <c r="FA19" i="39"/>
  <c r="EZ19" i="39"/>
  <c r="EY19" i="39"/>
  <c r="EX19" i="39"/>
  <c r="EW19" i="39"/>
  <c r="EA19" i="39"/>
  <c r="DZ19" i="39"/>
  <c r="DY19" i="39"/>
  <c r="DX19" i="39"/>
  <c r="DW19" i="39"/>
  <c r="DV19" i="39"/>
  <c r="DT19" i="39"/>
  <c r="DS19" i="39"/>
  <c r="DR19" i="39"/>
  <c r="DQ19" i="39"/>
  <c r="DP19" i="39"/>
  <c r="DO19" i="39"/>
  <c r="CR19" i="39"/>
  <c r="CQ19" i="39"/>
  <c r="CP19" i="39"/>
  <c r="CN19" i="39"/>
  <c r="CM19" i="39"/>
  <c r="CL19" i="39"/>
  <c r="CK19" i="39"/>
  <c r="CJ19" i="39"/>
  <c r="CI19" i="39"/>
  <c r="WI5" i="39"/>
  <c r="WH5" i="39"/>
  <c r="WG5" i="39"/>
  <c r="WF5" i="39"/>
  <c r="WE5" i="39"/>
  <c r="WD5" i="39"/>
  <c r="WB5" i="39"/>
  <c r="WA5" i="39"/>
  <c r="VZ5" i="39"/>
  <c r="VY5" i="39"/>
  <c r="VX5" i="39"/>
  <c r="VW5" i="39"/>
  <c r="VA5" i="39"/>
  <c r="UZ5" i="39"/>
  <c r="UY5" i="39"/>
  <c r="UX5" i="39"/>
  <c r="UW5" i="39"/>
  <c r="UV5" i="39"/>
  <c r="UT5" i="39"/>
  <c r="US5" i="39"/>
  <c r="UR5" i="39"/>
  <c r="UQ5" i="39"/>
  <c r="UP5" i="39"/>
  <c r="UO5" i="39"/>
  <c r="TS5" i="39"/>
  <c r="TR5" i="39"/>
  <c r="TQ5" i="39"/>
  <c r="TP5" i="39"/>
  <c r="TO5" i="39"/>
  <c r="TN5" i="39"/>
  <c r="TL5" i="39"/>
  <c r="TK5" i="39"/>
  <c r="TJ5" i="39"/>
  <c r="TI5" i="39"/>
  <c r="TH5" i="39"/>
  <c r="TG5" i="39"/>
  <c r="SK5" i="39"/>
  <c r="SJ5" i="39"/>
  <c r="SI5" i="39"/>
  <c r="SH5" i="39"/>
  <c r="SG5" i="39"/>
  <c r="SF5" i="39"/>
  <c r="SD5" i="39"/>
  <c r="SC5" i="39"/>
  <c r="SB5" i="39"/>
  <c r="SA5" i="39"/>
  <c r="RZ5" i="39"/>
  <c r="RY5" i="39"/>
  <c r="RC5" i="39"/>
  <c r="RB5" i="39"/>
  <c r="RA5" i="39"/>
  <c r="QZ5" i="39"/>
  <c r="QY5" i="39"/>
  <c r="QX5" i="39"/>
  <c r="QV5" i="39"/>
  <c r="QU5" i="39"/>
  <c r="QT5" i="39"/>
  <c r="QS5" i="39"/>
  <c r="QR5" i="39"/>
  <c r="QQ5" i="39"/>
  <c r="PU5" i="39"/>
  <c r="PT5" i="39"/>
  <c r="PS5" i="39"/>
  <c r="PR5" i="39"/>
  <c r="PQ5" i="39"/>
  <c r="PP5" i="39"/>
  <c r="PN5" i="39"/>
  <c r="PM5" i="39"/>
  <c r="PL5" i="39"/>
  <c r="PK5" i="39"/>
  <c r="PJ5" i="39"/>
  <c r="PI5" i="39"/>
  <c r="OM5" i="39"/>
  <c r="OL5" i="39"/>
  <c r="OK5" i="39"/>
  <c r="OJ5" i="39"/>
  <c r="OI5" i="39"/>
  <c r="OH5" i="39"/>
  <c r="OF5" i="39"/>
  <c r="OE5" i="39"/>
  <c r="OD5" i="39"/>
  <c r="OC5" i="39"/>
  <c r="OB5" i="39"/>
  <c r="OA5" i="39"/>
  <c r="NE5" i="39"/>
  <c r="ND5" i="39"/>
  <c r="NC5" i="39"/>
  <c r="NB5" i="39"/>
  <c r="NA5" i="39"/>
  <c r="MZ5" i="39"/>
  <c r="MX5" i="39"/>
  <c r="MW5" i="39"/>
  <c r="MV5" i="39"/>
  <c r="MU5" i="39"/>
  <c r="MT5" i="39"/>
  <c r="MS5" i="39"/>
  <c r="LW5" i="39"/>
  <c r="LV5" i="39"/>
  <c r="LU5" i="39"/>
  <c r="LT5" i="39"/>
  <c r="LS5" i="39"/>
  <c r="LR5" i="39"/>
  <c r="LP5" i="39"/>
  <c r="LO5" i="39"/>
  <c r="LN5" i="39"/>
  <c r="LM5" i="39"/>
  <c r="LL5" i="39"/>
  <c r="LK5" i="39"/>
  <c r="KO5" i="39"/>
  <c r="KN5" i="39"/>
  <c r="KM5" i="39"/>
  <c r="KL5" i="39"/>
  <c r="KK5" i="39"/>
  <c r="KJ5" i="39"/>
  <c r="KH5" i="39"/>
  <c r="KG5" i="39"/>
  <c r="KF5" i="39"/>
  <c r="KE5" i="39"/>
  <c r="KD5" i="39"/>
  <c r="KC5" i="39"/>
  <c r="JG5" i="39"/>
  <c r="JF5" i="39"/>
  <c r="JE5" i="39"/>
  <c r="JD5" i="39"/>
  <c r="JC5" i="39"/>
  <c r="JB5" i="39"/>
  <c r="IZ5" i="39"/>
  <c r="IY5" i="39"/>
  <c r="IX5" i="39"/>
  <c r="IW5" i="39"/>
  <c r="IV5" i="39"/>
  <c r="IU5" i="39"/>
  <c r="HY5" i="39"/>
  <c r="HX5" i="39"/>
  <c r="HW5" i="39"/>
  <c r="HV5" i="39"/>
  <c r="HU5" i="39"/>
  <c r="HT5" i="39"/>
  <c r="HR5" i="39"/>
  <c r="HQ5" i="39"/>
  <c r="HP5" i="39"/>
  <c r="HO5" i="39"/>
  <c r="HN5" i="39"/>
  <c r="HM5" i="39"/>
  <c r="GQ5" i="39"/>
  <c r="GP5" i="39"/>
  <c r="GO5" i="39"/>
  <c r="GN5" i="39"/>
  <c r="GM5" i="39"/>
  <c r="GL5" i="39"/>
  <c r="GJ5" i="39"/>
  <c r="GI5" i="39"/>
  <c r="GH5" i="39"/>
  <c r="GG5" i="39"/>
  <c r="GF5" i="39"/>
  <c r="GE5" i="39"/>
  <c r="FI5" i="39"/>
  <c r="FH5" i="39"/>
  <c r="FG5" i="39"/>
  <c r="FF5" i="39"/>
  <c r="FE5" i="39"/>
  <c r="FD5" i="39"/>
  <c r="FB5" i="39"/>
  <c r="FA5" i="39"/>
  <c r="EZ5" i="39"/>
  <c r="EY5" i="39"/>
  <c r="EX5" i="39"/>
  <c r="EW5" i="39"/>
  <c r="EA5" i="39"/>
  <c r="DZ5" i="39"/>
  <c r="DY5" i="39"/>
  <c r="DX5" i="39"/>
  <c r="DW5" i="39"/>
  <c r="DV5" i="39"/>
  <c r="DT5" i="39"/>
  <c r="DS5" i="39"/>
  <c r="DR5" i="39"/>
  <c r="DQ5" i="39"/>
  <c r="DP5" i="39"/>
  <c r="DO5" i="39"/>
  <c r="CR5" i="39"/>
  <c r="CQ5" i="39"/>
  <c r="CP5" i="39"/>
  <c r="CN5" i="39"/>
  <c r="CM5" i="39"/>
  <c r="CL5" i="39"/>
  <c r="CK5" i="39"/>
  <c r="CO5" i="39" s="1"/>
  <c r="CJ5" i="39"/>
  <c r="CI5" i="39"/>
  <c r="WI4" i="39"/>
  <c r="WH4" i="39"/>
  <c r="WG4" i="39"/>
  <c r="WF4" i="39"/>
  <c r="WE4" i="39"/>
  <c r="WD4" i="39"/>
  <c r="WB4" i="39"/>
  <c r="WA4" i="39"/>
  <c r="VZ4" i="39"/>
  <c r="VY4" i="39"/>
  <c r="VX4" i="39"/>
  <c r="VW4" i="39"/>
  <c r="VA4" i="39"/>
  <c r="UZ4" i="39"/>
  <c r="UY4" i="39"/>
  <c r="UX4" i="39"/>
  <c r="UW4" i="39"/>
  <c r="UV4" i="39"/>
  <c r="UT4" i="39"/>
  <c r="US4" i="39"/>
  <c r="UR4" i="39"/>
  <c r="UQ4" i="39"/>
  <c r="UP4" i="39"/>
  <c r="UO4" i="39"/>
  <c r="TS4" i="39"/>
  <c r="TR4" i="39"/>
  <c r="TQ4" i="39"/>
  <c r="TP4" i="39"/>
  <c r="TO4" i="39"/>
  <c r="TN4" i="39"/>
  <c r="TL4" i="39"/>
  <c r="TK4" i="39"/>
  <c r="TJ4" i="39"/>
  <c r="TI4" i="39"/>
  <c r="TH4" i="39"/>
  <c r="TG4" i="39"/>
  <c r="SK4" i="39"/>
  <c r="SJ4" i="39"/>
  <c r="SI4" i="39"/>
  <c r="SH4" i="39"/>
  <c r="SG4" i="39"/>
  <c r="SF4" i="39"/>
  <c r="SD4" i="39"/>
  <c r="SC4" i="39"/>
  <c r="SB4" i="39"/>
  <c r="SA4" i="39"/>
  <c r="RZ4" i="39"/>
  <c r="RY4" i="39"/>
  <c r="RC4" i="39"/>
  <c r="RB4" i="39"/>
  <c r="RA4" i="39"/>
  <c r="QZ4" i="39"/>
  <c r="QY4" i="39"/>
  <c r="QX4" i="39"/>
  <c r="QV4" i="39"/>
  <c r="QU4" i="39"/>
  <c r="QT4" i="39"/>
  <c r="QS4" i="39"/>
  <c r="QR4" i="39"/>
  <c r="QQ4" i="39"/>
  <c r="PU4" i="39"/>
  <c r="PT4" i="39"/>
  <c r="PS4" i="39"/>
  <c r="PR4" i="39"/>
  <c r="PQ4" i="39"/>
  <c r="PP4" i="39"/>
  <c r="PN4" i="39"/>
  <c r="PM4" i="39"/>
  <c r="PL4" i="39"/>
  <c r="PK4" i="39"/>
  <c r="PJ4" i="39"/>
  <c r="PI4" i="39"/>
  <c r="OM4" i="39"/>
  <c r="OL4" i="39"/>
  <c r="OK4" i="39"/>
  <c r="OJ4" i="39"/>
  <c r="OI4" i="39"/>
  <c r="OH4" i="39"/>
  <c r="OF4" i="39"/>
  <c r="OE4" i="39"/>
  <c r="OD4" i="39"/>
  <c r="OC4" i="39"/>
  <c r="OB4" i="39"/>
  <c r="OA4" i="39"/>
  <c r="NE4" i="39"/>
  <c r="ND4" i="39"/>
  <c r="NC4" i="39"/>
  <c r="NB4" i="39"/>
  <c r="NA4" i="39"/>
  <c r="MZ4" i="39"/>
  <c r="MX4" i="39"/>
  <c r="MW4" i="39"/>
  <c r="MV4" i="39"/>
  <c r="MU4" i="39"/>
  <c r="MT4" i="39"/>
  <c r="MS4" i="39"/>
  <c r="LW4" i="39"/>
  <c r="LV4" i="39"/>
  <c r="LU4" i="39"/>
  <c r="LT4" i="39"/>
  <c r="LS4" i="39"/>
  <c r="LR4" i="39"/>
  <c r="LP4" i="39"/>
  <c r="LO4" i="39"/>
  <c r="LN4" i="39"/>
  <c r="LM4" i="39"/>
  <c r="LL4" i="39"/>
  <c r="LK4" i="39"/>
  <c r="KO4" i="39"/>
  <c r="KN4" i="39"/>
  <c r="KM4" i="39"/>
  <c r="KL4" i="39"/>
  <c r="KK4" i="39"/>
  <c r="KJ4" i="39"/>
  <c r="KH4" i="39"/>
  <c r="KG4" i="39"/>
  <c r="KF4" i="39"/>
  <c r="KE4" i="39"/>
  <c r="KD4" i="39"/>
  <c r="KC4" i="39"/>
  <c r="JG4" i="39"/>
  <c r="JF4" i="39"/>
  <c r="JE4" i="39"/>
  <c r="JD4" i="39"/>
  <c r="JC4" i="39"/>
  <c r="JB4" i="39"/>
  <c r="IZ4" i="39"/>
  <c r="IY4" i="39"/>
  <c r="IX4" i="39"/>
  <c r="IW4" i="39"/>
  <c r="IV4" i="39"/>
  <c r="IU4" i="39"/>
  <c r="HY4" i="39"/>
  <c r="HX4" i="39"/>
  <c r="HW4" i="39"/>
  <c r="HV4" i="39"/>
  <c r="HU4" i="39"/>
  <c r="HT4" i="39"/>
  <c r="HR4" i="39"/>
  <c r="HQ4" i="39"/>
  <c r="HP4" i="39"/>
  <c r="HO4" i="39"/>
  <c r="HN4" i="39"/>
  <c r="HM4" i="39"/>
  <c r="GQ4" i="39"/>
  <c r="GP4" i="39"/>
  <c r="GO4" i="39"/>
  <c r="GN4" i="39"/>
  <c r="GM4" i="39"/>
  <c r="GL4" i="39"/>
  <c r="GJ4" i="39"/>
  <c r="GI4" i="39"/>
  <c r="GH4" i="39"/>
  <c r="GG4" i="39"/>
  <c r="GF4" i="39"/>
  <c r="GE4" i="39"/>
  <c r="FI4" i="39"/>
  <c r="FH4" i="39"/>
  <c r="FG4" i="39"/>
  <c r="FF4" i="39"/>
  <c r="FE4" i="39"/>
  <c r="FD4" i="39"/>
  <c r="FB4" i="39"/>
  <c r="FA4" i="39"/>
  <c r="EZ4" i="39"/>
  <c r="EY4" i="39"/>
  <c r="EX4" i="39"/>
  <c r="EW4" i="39"/>
  <c r="EA4" i="39"/>
  <c r="DZ4" i="39"/>
  <c r="DY4" i="39"/>
  <c r="DX4" i="39"/>
  <c r="DW4" i="39"/>
  <c r="DV4" i="39"/>
  <c r="DT4" i="39"/>
  <c r="DS4" i="39"/>
  <c r="DR4" i="39"/>
  <c r="DQ4" i="39"/>
  <c r="DP4" i="39"/>
  <c r="DO4" i="39"/>
  <c r="CR4" i="39"/>
  <c r="CQ4" i="39"/>
  <c r="CP4" i="39"/>
  <c r="CN4" i="39"/>
  <c r="CM4" i="39"/>
  <c r="CL4" i="39"/>
  <c r="CK4" i="39"/>
  <c r="CJ4" i="39"/>
  <c r="CI4" i="39"/>
  <c r="WL14" i="38"/>
  <c r="WK14" i="38"/>
  <c r="WJ14" i="38"/>
  <c r="WI14" i="38"/>
  <c r="WH14" i="38"/>
  <c r="WG14" i="38"/>
  <c r="WE14" i="38"/>
  <c r="WD14" i="38"/>
  <c r="WC14" i="38"/>
  <c r="WB14" i="38"/>
  <c r="WA14" i="38"/>
  <c r="VZ14" i="38"/>
  <c r="VD14" i="38"/>
  <c r="VC14" i="38"/>
  <c r="VB14" i="38"/>
  <c r="VA14" i="38"/>
  <c r="UZ14" i="38"/>
  <c r="UY14" i="38"/>
  <c r="UW14" i="38"/>
  <c r="UV14" i="38"/>
  <c r="UU14" i="38"/>
  <c r="UT14" i="38"/>
  <c r="US14" i="38"/>
  <c r="UR14" i="38"/>
  <c r="TV14" i="38"/>
  <c r="TU14" i="38"/>
  <c r="TT14" i="38"/>
  <c r="TS14" i="38"/>
  <c r="TR14" i="38"/>
  <c r="TQ14" i="38"/>
  <c r="TO14" i="38"/>
  <c r="TN14" i="38"/>
  <c r="TM14" i="38"/>
  <c r="TL14" i="38"/>
  <c r="TK14" i="38"/>
  <c r="TJ14" i="38"/>
  <c r="SN14" i="38"/>
  <c r="SM14" i="38"/>
  <c r="SL14" i="38"/>
  <c r="SK14" i="38"/>
  <c r="SJ14" i="38"/>
  <c r="SI14" i="38"/>
  <c r="SG14" i="38"/>
  <c r="SF14" i="38"/>
  <c r="SE14" i="38"/>
  <c r="SD14" i="38"/>
  <c r="SC14" i="38"/>
  <c r="SB14" i="38"/>
  <c r="RF14" i="38"/>
  <c r="RE14" i="38"/>
  <c r="RD14" i="38"/>
  <c r="RC14" i="38"/>
  <c r="RB14" i="38"/>
  <c r="RA14" i="38"/>
  <c r="QY14" i="38"/>
  <c r="QX14" i="38"/>
  <c r="QW14" i="38"/>
  <c r="QV14" i="38"/>
  <c r="QU14" i="38"/>
  <c r="QT14" i="38"/>
  <c r="PX14" i="38"/>
  <c r="PW14" i="38"/>
  <c r="PV14" i="38"/>
  <c r="PU14" i="38"/>
  <c r="PT14" i="38"/>
  <c r="PS14" i="38"/>
  <c r="PQ14" i="38"/>
  <c r="PP14" i="38"/>
  <c r="PO14" i="38"/>
  <c r="PN14" i="38"/>
  <c r="PM14" i="38"/>
  <c r="PL14" i="38"/>
  <c r="OP14" i="38"/>
  <c r="OO14" i="38"/>
  <c r="ON14" i="38"/>
  <c r="OM14" i="38"/>
  <c r="OL14" i="38"/>
  <c r="OK14" i="38"/>
  <c r="OI14" i="38"/>
  <c r="OH14" i="38"/>
  <c r="OG14" i="38"/>
  <c r="OF14" i="38"/>
  <c r="OE14" i="38"/>
  <c r="OD14" i="38"/>
  <c r="NH14" i="38"/>
  <c r="NG14" i="38"/>
  <c r="NF14" i="38"/>
  <c r="NE14" i="38"/>
  <c r="ND14" i="38"/>
  <c r="NC14" i="38"/>
  <c r="NA14" i="38"/>
  <c r="MZ14" i="38"/>
  <c r="MY14" i="38"/>
  <c r="MX14" i="38"/>
  <c r="MW14" i="38"/>
  <c r="MV14" i="38"/>
  <c r="LZ14" i="38"/>
  <c r="LY14" i="38"/>
  <c r="LX14" i="38"/>
  <c r="LW14" i="38"/>
  <c r="LV14" i="38"/>
  <c r="LU14" i="38"/>
  <c r="LS14" i="38"/>
  <c r="LR14" i="38"/>
  <c r="LQ14" i="38"/>
  <c r="LP14" i="38"/>
  <c r="LO14" i="38"/>
  <c r="LN14" i="38"/>
  <c r="KR14" i="38"/>
  <c r="KQ14" i="38"/>
  <c r="KP14" i="38"/>
  <c r="KO14" i="38"/>
  <c r="KN14" i="38"/>
  <c r="KM14" i="38"/>
  <c r="KK14" i="38"/>
  <c r="KJ14" i="38"/>
  <c r="KI14" i="38"/>
  <c r="KH14" i="38"/>
  <c r="KG14" i="38"/>
  <c r="KF14" i="38"/>
  <c r="JJ14" i="38"/>
  <c r="JI14" i="38"/>
  <c r="JH14" i="38"/>
  <c r="JG14" i="38"/>
  <c r="JF14" i="38"/>
  <c r="JE14" i="38"/>
  <c r="JC14" i="38"/>
  <c r="JB14" i="38"/>
  <c r="JA14" i="38"/>
  <c r="IZ14" i="38"/>
  <c r="IY14" i="38"/>
  <c r="IX14" i="38"/>
  <c r="IB14" i="38"/>
  <c r="IA14" i="38"/>
  <c r="HZ14" i="38"/>
  <c r="HY14" i="38"/>
  <c r="HX14" i="38"/>
  <c r="HW14" i="38"/>
  <c r="HU14" i="38"/>
  <c r="HT14" i="38"/>
  <c r="HS14" i="38"/>
  <c r="HR14" i="38"/>
  <c r="HQ14" i="38"/>
  <c r="HP14" i="38"/>
  <c r="GT14" i="38"/>
  <c r="GS14" i="38"/>
  <c r="GR14" i="38"/>
  <c r="GQ14" i="38"/>
  <c r="GP14" i="38"/>
  <c r="GO14" i="38"/>
  <c r="GM14" i="38"/>
  <c r="GL14" i="38"/>
  <c r="GK14" i="38"/>
  <c r="GJ14" i="38"/>
  <c r="GI14" i="38"/>
  <c r="GH14" i="38"/>
  <c r="FL14" i="38"/>
  <c r="FK14" i="38"/>
  <c r="FJ14" i="38"/>
  <c r="FI14" i="38"/>
  <c r="FH14" i="38"/>
  <c r="FG14" i="38"/>
  <c r="FE14" i="38"/>
  <c r="FD14" i="38"/>
  <c r="FC14" i="38"/>
  <c r="FB14" i="38"/>
  <c r="FA14" i="38"/>
  <c r="EZ14" i="38"/>
  <c r="ED14" i="38"/>
  <c r="EC14" i="38"/>
  <c r="EB14" i="38"/>
  <c r="EA14" i="38"/>
  <c r="DZ14" i="38"/>
  <c r="DY14" i="38"/>
  <c r="DW14" i="38"/>
  <c r="DV14" i="38"/>
  <c r="DU14" i="38"/>
  <c r="DT14" i="38"/>
  <c r="DS14" i="38"/>
  <c r="DR14" i="38"/>
  <c r="CT14" i="38"/>
  <c r="CS14" i="38"/>
  <c r="CR14" i="38"/>
  <c r="CP14" i="38"/>
  <c r="CO14" i="38"/>
  <c r="CN14" i="38"/>
  <c r="CM14" i="38"/>
  <c r="CL14" i="38"/>
  <c r="CK14" i="38"/>
  <c r="WL11" i="38"/>
  <c r="WK11" i="38"/>
  <c r="WJ11" i="38"/>
  <c r="WI11" i="38"/>
  <c r="WH11" i="38"/>
  <c r="WG11" i="38"/>
  <c r="WE11" i="38"/>
  <c r="WD11" i="38"/>
  <c r="WC11" i="38"/>
  <c r="WB11" i="38"/>
  <c r="WF11" i="38" s="1"/>
  <c r="WA11" i="38"/>
  <c r="VZ11" i="38"/>
  <c r="VD11" i="38"/>
  <c r="VC11" i="38"/>
  <c r="VB11" i="38"/>
  <c r="VA11" i="38"/>
  <c r="UZ11" i="38"/>
  <c r="UY11" i="38"/>
  <c r="UW11" i="38"/>
  <c r="UV11" i="38"/>
  <c r="UU11" i="38"/>
  <c r="UT11" i="38"/>
  <c r="US11" i="38"/>
  <c r="UR11" i="38"/>
  <c r="TV11" i="38"/>
  <c r="TU11" i="38"/>
  <c r="TT11" i="38"/>
  <c r="TS11" i="38"/>
  <c r="TR11" i="38"/>
  <c r="TQ11" i="38"/>
  <c r="TO11" i="38"/>
  <c r="TN11" i="38"/>
  <c r="TM11" i="38"/>
  <c r="TL11" i="38"/>
  <c r="TK11" i="38"/>
  <c r="TJ11" i="38"/>
  <c r="SN11" i="38"/>
  <c r="SM11" i="38"/>
  <c r="SL11" i="38"/>
  <c r="SK11" i="38"/>
  <c r="SJ11" i="38"/>
  <c r="SI11" i="38"/>
  <c r="SG11" i="38"/>
  <c r="SF11" i="38"/>
  <c r="SE11" i="38"/>
  <c r="SD11" i="38"/>
  <c r="SC11" i="38"/>
  <c r="SB11" i="38"/>
  <c r="RF11" i="38"/>
  <c r="RE11" i="38"/>
  <c r="RD11" i="38"/>
  <c r="RC11" i="38"/>
  <c r="RB11" i="38"/>
  <c r="RA11" i="38"/>
  <c r="QY11" i="38"/>
  <c r="QX11" i="38"/>
  <c r="QW11" i="38"/>
  <c r="QV11" i="38"/>
  <c r="QU11" i="38"/>
  <c r="QT11" i="38"/>
  <c r="PX11" i="38"/>
  <c r="PW11" i="38"/>
  <c r="PV11" i="38"/>
  <c r="PU11" i="38"/>
  <c r="PT11" i="38"/>
  <c r="PS11" i="38"/>
  <c r="PQ11" i="38"/>
  <c r="PP11" i="38"/>
  <c r="PO11" i="38"/>
  <c r="PN11" i="38"/>
  <c r="PM11" i="38"/>
  <c r="PL11" i="38"/>
  <c r="OP11" i="38"/>
  <c r="OO11" i="38"/>
  <c r="ON11" i="38"/>
  <c r="OM11" i="38"/>
  <c r="OL11" i="38"/>
  <c r="OK11" i="38"/>
  <c r="OI11" i="38"/>
  <c r="OH11" i="38"/>
  <c r="OG11" i="38"/>
  <c r="OF11" i="38"/>
  <c r="OE11" i="38"/>
  <c r="OD11" i="38"/>
  <c r="NH11" i="38"/>
  <c r="NG11" i="38"/>
  <c r="NF11" i="38"/>
  <c r="NE11" i="38"/>
  <c r="ND11" i="38"/>
  <c r="NC11" i="38"/>
  <c r="NA11" i="38"/>
  <c r="MZ11" i="38"/>
  <c r="MY11" i="38"/>
  <c r="MX11" i="38"/>
  <c r="MW11" i="38"/>
  <c r="MV11" i="38"/>
  <c r="LZ11" i="38"/>
  <c r="LY11" i="38"/>
  <c r="LX11" i="38"/>
  <c r="LW11" i="38"/>
  <c r="LV11" i="38"/>
  <c r="LU11" i="38"/>
  <c r="LS11" i="38"/>
  <c r="LR11" i="38"/>
  <c r="LQ11" i="38"/>
  <c r="LP11" i="38"/>
  <c r="LO11" i="38"/>
  <c r="LN11" i="38"/>
  <c r="KR11" i="38"/>
  <c r="KQ11" i="38"/>
  <c r="KP11" i="38"/>
  <c r="KO11" i="38"/>
  <c r="KN11" i="38"/>
  <c r="KM11" i="38"/>
  <c r="KK11" i="38"/>
  <c r="KJ11" i="38"/>
  <c r="KI11" i="38"/>
  <c r="KH11" i="38"/>
  <c r="KG11" i="38"/>
  <c r="KF11" i="38"/>
  <c r="JJ11" i="38"/>
  <c r="JI11" i="38"/>
  <c r="JH11" i="38"/>
  <c r="JG11" i="38"/>
  <c r="JF11" i="38"/>
  <c r="JE11" i="38"/>
  <c r="JC11" i="38"/>
  <c r="JB11" i="38"/>
  <c r="JA11" i="38"/>
  <c r="IZ11" i="38"/>
  <c r="IY11" i="38"/>
  <c r="IX11" i="38"/>
  <c r="IB11" i="38"/>
  <c r="IA11" i="38"/>
  <c r="HZ11" i="38"/>
  <c r="HY11" i="38"/>
  <c r="HX11" i="38"/>
  <c r="HW11" i="38"/>
  <c r="HU11" i="38"/>
  <c r="HT11" i="38"/>
  <c r="HS11" i="38"/>
  <c r="HR11" i="38"/>
  <c r="HQ11" i="38"/>
  <c r="HP11" i="38"/>
  <c r="GT11" i="38"/>
  <c r="GS11" i="38"/>
  <c r="GR11" i="38"/>
  <c r="GQ11" i="38"/>
  <c r="GP11" i="38"/>
  <c r="GO11" i="38"/>
  <c r="GM11" i="38"/>
  <c r="GL11" i="38"/>
  <c r="GK11" i="38"/>
  <c r="GJ11" i="38"/>
  <c r="GI11" i="38"/>
  <c r="GH11" i="38"/>
  <c r="FL11" i="38"/>
  <c r="FK11" i="38"/>
  <c r="FJ11" i="38"/>
  <c r="FI11" i="38"/>
  <c r="FH11" i="38"/>
  <c r="FG11" i="38"/>
  <c r="FE11" i="38"/>
  <c r="FD11" i="38"/>
  <c r="FC11" i="38"/>
  <c r="FB11" i="38"/>
  <c r="FA11" i="38"/>
  <c r="EZ11" i="38"/>
  <c r="ED11" i="38"/>
  <c r="EC11" i="38"/>
  <c r="EB11" i="38"/>
  <c r="EA11" i="38"/>
  <c r="DZ11" i="38"/>
  <c r="DY11" i="38"/>
  <c r="DW11" i="38"/>
  <c r="DV11" i="38"/>
  <c r="DU11" i="38"/>
  <c r="DT11" i="38"/>
  <c r="DX11" i="38" s="1"/>
  <c r="DS11" i="38"/>
  <c r="DR11" i="38"/>
  <c r="CT11" i="38"/>
  <c r="CS11" i="38"/>
  <c r="CR11" i="38"/>
  <c r="CP11" i="38"/>
  <c r="CO11" i="38"/>
  <c r="CN11" i="38"/>
  <c r="CM11" i="38"/>
  <c r="CL11" i="38"/>
  <c r="CK11" i="38"/>
  <c r="WL10" i="38"/>
  <c r="WK10" i="38"/>
  <c r="WJ10" i="38"/>
  <c r="WI10" i="38"/>
  <c r="WH10" i="38"/>
  <c r="WG10" i="38"/>
  <c r="WE10" i="38"/>
  <c r="WD10" i="38"/>
  <c r="WC10" i="38"/>
  <c r="WB10" i="38"/>
  <c r="WA10" i="38"/>
  <c r="VZ10" i="38"/>
  <c r="VD10" i="38"/>
  <c r="VC10" i="38"/>
  <c r="VB10" i="38"/>
  <c r="VA10" i="38"/>
  <c r="UZ10" i="38"/>
  <c r="UY10" i="38"/>
  <c r="UW10" i="38"/>
  <c r="UV10" i="38"/>
  <c r="UU10" i="38"/>
  <c r="UT10" i="38"/>
  <c r="US10" i="38"/>
  <c r="UR10" i="38"/>
  <c r="TV10" i="38"/>
  <c r="TU10" i="38"/>
  <c r="TT10" i="38"/>
  <c r="TS10" i="38"/>
  <c r="TR10" i="38"/>
  <c r="TQ10" i="38"/>
  <c r="TO10" i="38"/>
  <c r="TN10" i="38"/>
  <c r="TM10" i="38"/>
  <c r="TL10" i="38"/>
  <c r="TK10" i="38"/>
  <c r="TJ10" i="38"/>
  <c r="SN10" i="38"/>
  <c r="SM10" i="38"/>
  <c r="SL10" i="38"/>
  <c r="SK10" i="38"/>
  <c r="SJ10" i="38"/>
  <c r="SI10" i="38"/>
  <c r="SG10" i="38"/>
  <c r="SF10" i="38"/>
  <c r="SE10" i="38"/>
  <c r="SD10" i="38"/>
  <c r="SC10" i="38"/>
  <c r="SB10" i="38"/>
  <c r="RF10" i="38"/>
  <c r="RE10" i="38"/>
  <c r="RD10" i="38"/>
  <c r="RC10" i="38"/>
  <c r="RB10" i="38"/>
  <c r="RA10" i="38"/>
  <c r="QY10" i="38"/>
  <c r="QX10" i="38"/>
  <c r="QW10" i="38"/>
  <c r="QV10" i="38"/>
  <c r="QU10" i="38"/>
  <c r="QT10" i="38"/>
  <c r="PX10" i="38"/>
  <c r="PW10" i="38"/>
  <c r="PV10" i="38"/>
  <c r="PU10" i="38"/>
  <c r="PT10" i="38"/>
  <c r="PS10" i="38"/>
  <c r="PQ10" i="38"/>
  <c r="PP10" i="38"/>
  <c r="PO10" i="38"/>
  <c r="PN10" i="38"/>
  <c r="PM10" i="38"/>
  <c r="PL10" i="38"/>
  <c r="OP10" i="38"/>
  <c r="OO10" i="38"/>
  <c r="ON10" i="38"/>
  <c r="OM10" i="38"/>
  <c r="OL10" i="38"/>
  <c r="OK10" i="38"/>
  <c r="OI10" i="38"/>
  <c r="OH10" i="38"/>
  <c r="OG10" i="38"/>
  <c r="OF10" i="38"/>
  <c r="OE10" i="38"/>
  <c r="OD10" i="38"/>
  <c r="NH10" i="38"/>
  <c r="NG10" i="38"/>
  <c r="NF10" i="38"/>
  <c r="NE10" i="38"/>
  <c r="ND10" i="38"/>
  <c r="NC10" i="38"/>
  <c r="NA10" i="38"/>
  <c r="MZ10" i="38"/>
  <c r="MY10" i="38"/>
  <c r="MX10" i="38"/>
  <c r="MW10" i="38"/>
  <c r="MV10" i="38"/>
  <c r="LZ10" i="38"/>
  <c r="LY10" i="38"/>
  <c r="LX10" i="38"/>
  <c r="LW10" i="38"/>
  <c r="LV10" i="38"/>
  <c r="LU10" i="38"/>
  <c r="LS10" i="38"/>
  <c r="LR10" i="38"/>
  <c r="LQ10" i="38"/>
  <c r="LP10" i="38"/>
  <c r="LO10" i="38"/>
  <c r="LN10" i="38"/>
  <c r="KR10" i="38"/>
  <c r="KQ10" i="38"/>
  <c r="KP10" i="38"/>
  <c r="KO10" i="38"/>
  <c r="KN10" i="38"/>
  <c r="KM10" i="38"/>
  <c r="KK10" i="38"/>
  <c r="KJ10" i="38"/>
  <c r="KI10" i="38"/>
  <c r="KH10" i="38"/>
  <c r="KG10" i="38"/>
  <c r="KF10" i="38"/>
  <c r="JJ10" i="38"/>
  <c r="JI10" i="38"/>
  <c r="JH10" i="38"/>
  <c r="JG10" i="38"/>
  <c r="JF10" i="38"/>
  <c r="JE10" i="38"/>
  <c r="JC10" i="38"/>
  <c r="JB10" i="38"/>
  <c r="JA10" i="38"/>
  <c r="IZ10" i="38"/>
  <c r="IY10" i="38"/>
  <c r="IX10" i="38"/>
  <c r="IB10" i="38"/>
  <c r="IA10" i="38"/>
  <c r="HZ10" i="38"/>
  <c r="HY10" i="38"/>
  <c r="HX10" i="38"/>
  <c r="HW10" i="38"/>
  <c r="HU10" i="38"/>
  <c r="HT10" i="38"/>
  <c r="HS10" i="38"/>
  <c r="HR10" i="38"/>
  <c r="HQ10" i="38"/>
  <c r="HP10" i="38"/>
  <c r="GT10" i="38"/>
  <c r="GS10" i="38"/>
  <c r="GR10" i="38"/>
  <c r="GQ10" i="38"/>
  <c r="GP10" i="38"/>
  <c r="GO10" i="38"/>
  <c r="GM10" i="38"/>
  <c r="GL10" i="38"/>
  <c r="GK10" i="38"/>
  <c r="GJ10" i="38"/>
  <c r="GI10" i="38"/>
  <c r="GH10" i="38"/>
  <c r="FL10" i="38"/>
  <c r="FK10" i="38"/>
  <c r="FJ10" i="38"/>
  <c r="FI10" i="38"/>
  <c r="FH10" i="38"/>
  <c r="FG10" i="38"/>
  <c r="FE10" i="38"/>
  <c r="FD10" i="38"/>
  <c r="FC10" i="38"/>
  <c r="FB10" i="38"/>
  <c r="FA10" i="38"/>
  <c r="EZ10" i="38"/>
  <c r="ED10" i="38"/>
  <c r="EC10" i="38"/>
  <c r="EB10" i="38"/>
  <c r="EA10" i="38"/>
  <c r="DZ10" i="38"/>
  <c r="DY10" i="38"/>
  <c r="DW10" i="38"/>
  <c r="DV10" i="38"/>
  <c r="DU10" i="38"/>
  <c r="DT10" i="38"/>
  <c r="DS10" i="38"/>
  <c r="DR10" i="38"/>
  <c r="CT10" i="38"/>
  <c r="CS10" i="38"/>
  <c r="CR10" i="38"/>
  <c r="CP10" i="38"/>
  <c r="CO10" i="38"/>
  <c r="CN10" i="38"/>
  <c r="CM10" i="38"/>
  <c r="CL10" i="38"/>
  <c r="CK10" i="38"/>
  <c r="WL9" i="38"/>
  <c r="WK9" i="38"/>
  <c r="WJ9" i="38"/>
  <c r="WI9" i="38"/>
  <c r="WH9" i="38"/>
  <c r="WG9" i="38"/>
  <c r="WE9" i="38"/>
  <c r="WD9" i="38"/>
  <c r="WC9" i="38"/>
  <c r="WB9" i="38"/>
  <c r="WA9" i="38"/>
  <c r="VZ9" i="38"/>
  <c r="VD9" i="38"/>
  <c r="VC9" i="38"/>
  <c r="VB9" i="38"/>
  <c r="VA9" i="38"/>
  <c r="UZ9" i="38"/>
  <c r="UY9" i="38"/>
  <c r="UW9" i="38"/>
  <c r="UV9" i="38"/>
  <c r="UU9" i="38"/>
  <c r="UT9" i="38"/>
  <c r="US9" i="38"/>
  <c r="UR9" i="38"/>
  <c r="TV9" i="38"/>
  <c r="TU9" i="38"/>
  <c r="TT9" i="38"/>
  <c r="TS9" i="38"/>
  <c r="TR9" i="38"/>
  <c r="TQ9" i="38"/>
  <c r="TO9" i="38"/>
  <c r="TN9" i="38"/>
  <c r="TM9" i="38"/>
  <c r="TL9" i="38"/>
  <c r="TK9" i="38"/>
  <c r="TJ9" i="38"/>
  <c r="SN9" i="38"/>
  <c r="SM9" i="38"/>
  <c r="SL9" i="38"/>
  <c r="SK9" i="38"/>
  <c r="SJ9" i="38"/>
  <c r="SI9" i="38"/>
  <c r="SG9" i="38"/>
  <c r="SF9" i="38"/>
  <c r="SE9" i="38"/>
  <c r="SD9" i="38"/>
  <c r="SC9" i="38"/>
  <c r="SB9" i="38"/>
  <c r="RF9" i="38"/>
  <c r="RE9" i="38"/>
  <c r="RD9" i="38"/>
  <c r="RC9" i="38"/>
  <c r="RB9" i="38"/>
  <c r="RA9" i="38"/>
  <c r="QY9" i="38"/>
  <c r="QX9" i="38"/>
  <c r="QW9" i="38"/>
  <c r="QV9" i="38"/>
  <c r="QU9" i="38"/>
  <c r="QT9" i="38"/>
  <c r="PX9" i="38"/>
  <c r="PW9" i="38"/>
  <c r="PV9" i="38"/>
  <c r="PU9" i="38"/>
  <c r="PT9" i="38"/>
  <c r="PS9" i="38"/>
  <c r="PQ9" i="38"/>
  <c r="PP9" i="38"/>
  <c r="PO9" i="38"/>
  <c r="PN9" i="38"/>
  <c r="PM9" i="38"/>
  <c r="PL9" i="38"/>
  <c r="OP9" i="38"/>
  <c r="OO9" i="38"/>
  <c r="ON9" i="38"/>
  <c r="OM9" i="38"/>
  <c r="OL9" i="38"/>
  <c r="OK9" i="38"/>
  <c r="OI9" i="38"/>
  <c r="OH9" i="38"/>
  <c r="OG9" i="38"/>
  <c r="OF9" i="38"/>
  <c r="OE9" i="38"/>
  <c r="OD9" i="38"/>
  <c r="NH9" i="38"/>
  <c r="NG9" i="38"/>
  <c r="NF9" i="38"/>
  <c r="NE9" i="38"/>
  <c r="ND9" i="38"/>
  <c r="NC9" i="38"/>
  <c r="NA9" i="38"/>
  <c r="MZ9" i="38"/>
  <c r="MY9" i="38"/>
  <c r="MX9" i="38"/>
  <c r="MW9" i="38"/>
  <c r="MV9" i="38"/>
  <c r="LZ9" i="38"/>
  <c r="LY9" i="38"/>
  <c r="LX9" i="38"/>
  <c r="LW9" i="38"/>
  <c r="LV9" i="38"/>
  <c r="LU9" i="38"/>
  <c r="LS9" i="38"/>
  <c r="LR9" i="38"/>
  <c r="LQ9" i="38"/>
  <c r="LP9" i="38"/>
  <c r="LO9" i="38"/>
  <c r="LN9" i="38"/>
  <c r="KR9" i="38"/>
  <c r="KQ9" i="38"/>
  <c r="KP9" i="38"/>
  <c r="KO9" i="38"/>
  <c r="KN9" i="38"/>
  <c r="KM9" i="38"/>
  <c r="KK9" i="38"/>
  <c r="KJ9" i="38"/>
  <c r="KI9" i="38"/>
  <c r="KH9" i="38"/>
  <c r="KG9" i="38"/>
  <c r="KF9" i="38"/>
  <c r="JJ9" i="38"/>
  <c r="JI9" i="38"/>
  <c r="JH9" i="38"/>
  <c r="JG9" i="38"/>
  <c r="JF9" i="38"/>
  <c r="JE9" i="38"/>
  <c r="JC9" i="38"/>
  <c r="JB9" i="38"/>
  <c r="JA9" i="38"/>
  <c r="IZ9" i="38"/>
  <c r="IY9" i="38"/>
  <c r="IX9" i="38"/>
  <c r="IB9" i="38"/>
  <c r="IA9" i="38"/>
  <c r="HZ9" i="38"/>
  <c r="HY9" i="38"/>
  <c r="HX9" i="38"/>
  <c r="HW9" i="38"/>
  <c r="HU9" i="38"/>
  <c r="HT9" i="38"/>
  <c r="HS9" i="38"/>
  <c r="HR9" i="38"/>
  <c r="HQ9" i="38"/>
  <c r="HP9" i="38"/>
  <c r="GT9" i="38"/>
  <c r="GS9" i="38"/>
  <c r="GR9" i="38"/>
  <c r="GQ9" i="38"/>
  <c r="GP9" i="38"/>
  <c r="GO9" i="38"/>
  <c r="GM9" i="38"/>
  <c r="GL9" i="38"/>
  <c r="GK9" i="38"/>
  <c r="GJ9" i="38"/>
  <c r="GI9" i="38"/>
  <c r="GH9" i="38"/>
  <c r="FL9" i="38"/>
  <c r="FK9" i="38"/>
  <c r="FJ9" i="38"/>
  <c r="FI9" i="38"/>
  <c r="FH9" i="38"/>
  <c r="FG9" i="38"/>
  <c r="FE9" i="38"/>
  <c r="FD9" i="38"/>
  <c r="FC9" i="38"/>
  <c r="FB9" i="38"/>
  <c r="FA9" i="38"/>
  <c r="EZ9" i="38"/>
  <c r="ED9" i="38"/>
  <c r="EC9" i="38"/>
  <c r="EB9" i="38"/>
  <c r="EA9" i="38"/>
  <c r="DZ9" i="38"/>
  <c r="DY9" i="38"/>
  <c r="DW9" i="38"/>
  <c r="DV9" i="38"/>
  <c r="DU9" i="38"/>
  <c r="DT9" i="38"/>
  <c r="DS9" i="38"/>
  <c r="DR9" i="38"/>
  <c r="CT9" i="38"/>
  <c r="CS9" i="38"/>
  <c r="CR9" i="38"/>
  <c r="CP9" i="38"/>
  <c r="CO9" i="38"/>
  <c r="CN9" i="38"/>
  <c r="CM9" i="38"/>
  <c r="CL9" i="38"/>
  <c r="CK9" i="38"/>
  <c r="WL8" i="38"/>
  <c r="WK8" i="38"/>
  <c r="WJ8" i="38"/>
  <c r="WI8" i="38"/>
  <c r="WH8" i="38"/>
  <c r="WG8" i="38"/>
  <c r="WE8" i="38"/>
  <c r="WD8" i="38"/>
  <c r="WC8" i="38"/>
  <c r="WB8" i="38"/>
  <c r="WA8" i="38"/>
  <c r="VZ8" i="38"/>
  <c r="VD8" i="38"/>
  <c r="VC8" i="38"/>
  <c r="VB8" i="38"/>
  <c r="VA8" i="38"/>
  <c r="UZ8" i="38"/>
  <c r="UY8" i="38"/>
  <c r="UW8" i="38"/>
  <c r="UV8" i="38"/>
  <c r="UU8" i="38"/>
  <c r="UT8" i="38"/>
  <c r="US8" i="38"/>
  <c r="UR8" i="38"/>
  <c r="TV8" i="38"/>
  <c r="TU8" i="38"/>
  <c r="TT8" i="38"/>
  <c r="TS8" i="38"/>
  <c r="TR8" i="38"/>
  <c r="TQ8" i="38"/>
  <c r="TO8" i="38"/>
  <c r="TN8" i="38"/>
  <c r="TM8" i="38"/>
  <c r="TL8" i="38"/>
  <c r="TK8" i="38"/>
  <c r="TJ8" i="38"/>
  <c r="SN8" i="38"/>
  <c r="SM8" i="38"/>
  <c r="SL8" i="38"/>
  <c r="SK8" i="38"/>
  <c r="SJ8" i="38"/>
  <c r="SI8" i="38"/>
  <c r="SG8" i="38"/>
  <c r="SF8" i="38"/>
  <c r="SE8" i="38"/>
  <c r="SD8" i="38"/>
  <c r="SC8" i="38"/>
  <c r="SB8" i="38"/>
  <c r="RF8" i="38"/>
  <c r="RE8" i="38"/>
  <c r="RD8" i="38"/>
  <c r="RC8" i="38"/>
  <c r="RB8" i="38"/>
  <c r="RA8" i="38"/>
  <c r="QY8" i="38"/>
  <c r="QX8" i="38"/>
  <c r="QW8" i="38"/>
  <c r="QV8" i="38"/>
  <c r="QU8" i="38"/>
  <c r="QT8" i="38"/>
  <c r="PX8" i="38"/>
  <c r="PW8" i="38"/>
  <c r="PV8" i="38"/>
  <c r="PU8" i="38"/>
  <c r="PT8" i="38"/>
  <c r="PS8" i="38"/>
  <c r="PQ8" i="38"/>
  <c r="PP8" i="38"/>
  <c r="PO8" i="38"/>
  <c r="PN8" i="38"/>
  <c r="PM8" i="38"/>
  <c r="PL8" i="38"/>
  <c r="OP8" i="38"/>
  <c r="OO8" i="38"/>
  <c r="ON8" i="38"/>
  <c r="OM8" i="38"/>
  <c r="OL8" i="38"/>
  <c r="OK8" i="38"/>
  <c r="OI8" i="38"/>
  <c r="OH8" i="38"/>
  <c r="OG8" i="38"/>
  <c r="OF8" i="38"/>
  <c r="OE8" i="38"/>
  <c r="OD8" i="38"/>
  <c r="NH8" i="38"/>
  <c r="NG8" i="38"/>
  <c r="NF8" i="38"/>
  <c r="NE8" i="38"/>
  <c r="ND8" i="38"/>
  <c r="NC8" i="38"/>
  <c r="NA8" i="38"/>
  <c r="MZ8" i="38"/>
  <c r="MY8" i="38"/>
  <c r="MX8" i="38"/>
  <c r="MW8" i="38"/>
  <c r="MV8" i="38"/>
  <c r="LZ8" i="38"/>
  <c r="LY8" i="38"/>
  <c r="LX8" i="38"/>
  <c r="LW8" i="38"/>
  <c r="LV8" i="38"/>
  <c r="LU8" i="38"/>
  <c r="LS8" i="38"/>
  <c r="LR8" i="38"/>
  <c r="LQ8" i="38"/>
  <c r="LP8" i="38"/>
  <c r="LO8" i="38"/>
  <c r="LN8" i="38"/>
  <c r="KR8" i="38"/>
  <c r="KQ8" i="38"/>
  <c r="KP8" i="38"/>
  <c r="KO8" i="38"/>
  <c r="KN8" i="38"/>
  <c r="KM8" i="38"/>
  <c r="KK8" i="38"/>
  <c r="KJ8" i="38"/>
  <c r="KI8" i="38"/>
  <c r="KH8" i="38"/>
  <c r="KG8" i="38"/>
  <c r="KF8" i="38"/>
  <c r="JJ8" i="38"/>
  <c r="JI8" i="38"/>
  <c r="JH8" i="38"/>
  <c r="JG8" i="38"/>
  <c r="JF8" i="38"/>
  <c r="JE8" i="38"/>
  <c r="JC8" i="38"/>
  <c r="JB8" i="38"/>
  <c r="JA8" i="38"/>
  <c r="IZ8" i="38"/>
  <c r="IY8" i="38"/>
  <c r="IX8" i="38"/>
  <c r="IB8" i="38"/>
  <c r="IA8" i="38"/>
  <c r="HZ8" i="38"/>
  <c r="HY8" i="38"/>
  <c r="HX8" i="38"/>
  <c r="HW8" i="38"/>
  <c r="HU8" i="38"/>
  <c r="HT8" i="38"/>
  <c r="HS8" i="38"/>
  <c r="HR8" i="38"/>
  <c r="HQ8" i="38"/>
  <c r="HP8" i="38"/>
  <c r="GT8" i="38"/>
  <c r="GS8" i="38"/>
  <c r="GR8" i="38"/>
  <c r="GQ8" i="38"/>
  <c r="GP8" i="38"/>
  <c r="GO8" i="38"/>
  <c r="GM8" i="38"/>
  <c r="GL8" i="38"/>
  <c r="GK8" i="38"/>
  <c r="GJ8" i="38"/>
  <c r="GI8" i="38"/>
  <c r="GH8" i="38"/>
  <c r="FL8" i="38"/>
  <c r="FK8" i="38"/>
  <c r="FJ8" i="38"/>
  <c r="FI8" i="38"/>
  <c r="FH8" i="38"/>
  <c r="FG8" i="38"/>
  <c r="FE8" i="38"/>
  <c r="FD8" i="38"/>
  <c r="FC8" i="38"/>
  <c r="FB8" i="38"/>
  <c r="FA8" i="38"/>
  <c r="EZ8" i="38"/>
  <c r="ED8" i="38"/>
  <c r="EC8" i="38"/>
  <c r="EB8" i="38"/>
  <c r="EA8" i="38"/>
  <c r="DZ8" i="38"/>
  <c r="DY8" i="38"/>
  <c r="DW8" i="38"/>
  <c r="DV8" i="38"/>
  <c r="DU8" i="38"/>
  <c r="DT8" i="38"/>
  <c r="DS8" i="38"/>
  <c r="DR8" i="38"/>
  <c r="CT8" i="38"/>
  <c r="CS8" i="38"/>
  <c r="CR8" i="38"/>
  <c r="CP8" i="38"/>
  <c r="CO8" i="38"/>
  <c r="CN8" i="38"/>
  <c r="CM8" i="38"/>
  <c r="CL8" i="38"/>
  <c r="CK8" i="38"/>
  <c r="WL7" i="38"/>
  <c r="WK7" i="38"/>
  <c r="WJ7" i="38"/>
  <c r="WI7" i="38"/>
  <c r="WH7" i="38"/>
  <c r="WG7" i="38"/>
  <c r="WE7" i="38"/>
  <c r="WD7" i="38"/>
  <c r="WC7" i="38"/>
  <c r="WB7" i="38"/>
  <c r="WA7" i="38"/>
  <c r="VZ7" i="38"/>
  <c r="VD7" i="38"/>
  <c r="VC7" i="38"/>
  <c r="VB7" i="38"/>
  <c r="VA7" i="38"/>
  <c r="UZ7" i="38"/>
  <c r="UY7" i="38"/>
  <c r="UW7" i="38"/>
  <c r="UV7" i="38"/>
  <c r="UU7" i="38"/>
  <c r="UT7" i="38"/>
  <c r="US7" i="38"/>
  <c r="UR7" i="38"/>
  <c r="TV7" i="38"/>
  <c r="TU7" i="38"/>
  <c r="TT7" i="38"/>
  <c r="TS7" i="38"/>
  <c r="TR7" i="38"/>
  <c r="TQ7" i="38"/>
  <c r="TO7" i="38"/>
  <c r="TN7" i="38"/>
  <c r="TM7" i="38"/>
  <c r="TL7" i="38"/>
  <c r="TK7" i="38"/>
  <c r="TJ7" i="38"/>
  <c r="SN7" i="38"/>
  <c r="SM7" i="38"/>
  <c r="SL7" i="38"/>
  <c r="SK7" i="38"/>
  <c r="SJ7" i="38"/>
  <c r="SI7" i="38"/>
  <c r="SG7" i="38"/>
  <c r="SF7" i="38"/>
  <c r="SE7" i="38"/>
  <c r="SD7" i="38"/>
  <c r="SC7" i="38"/>
  <c r="SB7" i="38"/>
  <c r="RF7" i="38"/>
  <c r="RE7" i="38"/>
  <c r="RD7" i="38"/>
  <c r="RC7" i="38"/>
  <c r="RB7" i="38"/>
  <c r="RA7" i="38"/>
  <c r="QY7" i="38"/>
  <c r="QX7" i="38"/>
  <c r="QW7" i="38"/>
  <c r="QV7" i="38"/>
  <c r="QU7" i="38"/>
  <c r="QT7" i="38"/>
  <c r="PX7" i="38"/>
  <c r="PW7" i="38"/>
  <c r="PV7" i="38"/>
  <c r="PU7" i="38"/>
  <c r="PT7" i="38"/>
  <c r="PS7" i="38"/>
  <c r="PQ7" i="38"/>
  <c r="PP7" i="38"/>
  <c r="PO7" i="38"/>
  <c r="PN7" i="38"/>
  <c r="PM7" i="38"/>
  <c r="PL7" i="38"/>
  <c r="OP7" i="38"/>
  <c r="OO7" i="38"/>
  <c r="ON7" i="38"/>
  <c r="OM7" i="38"/>
  <c r="OL7" i="38"/>
  <c r="OK7" i="38"/>
  <c r="OI7" i="38"/>
  <c r="OH7" i="38"/>
  <c r="OG7" i="38"/>
  <c r="OF7" i="38"/>
  <c r="OE7" i="38"/>
  <c r="OD7" i="38"/>
  <c r="NH7" i="38"/>
  <c r="NG7" i="38"/>
  <c r="NF7" i="38"/>
  <c r="NE7" i="38"/>
  <c r="ND7" i="38"/>
  <c r="NC7" i="38"/>
  <c r="NA7" i="38"/>
  <c r="MZ7" i="38"/>
  <c r="MY7" i="38"/>
  <c r="MX7" i="38"/>
  <c r="MW7" i="38"/>
  <c r="MV7" i="38"/>
  <c r="LZ7" i="38"/>
  <c r="LY7" i="38"/>
  <c r="LX7" i="38"/>
  <c r="LW7" i="38"/>
  <c r="LV7" i="38"/>
  <c r="LU7" i="38"/>
  <c r="LS7" i="38"/>
  <c r="LR7" i="38"/>
  <c r="LQ7" i="38"/>
  <c r="LP7" i="38"/>
  <c r="LO7" i="38"/>
  <c r="LN7" i="38"/>
  <c r="KR7" i="38"/>
  <c r="KQ7" i="38"/>
  <c r="KP7" i="38"/>
  <c r="KO7" i="38"/>
  <c r="KN7" i="38"/>
  <c r="KM7" i="38"/>
  <c r="KK7" i="38"/>
  <c r="KJ7" i="38"/>
  <c r="KI7" i="38"/>
  <c r="KH7" i="38"/>
  <c r="KG7" i="38"/>
  <c r="KF7" i="38"/>
  <c r="JJ7" i="38"/>
  <c r="JI7" i="38"/>
  <c r="JH7" i="38"/>
  <c r="JG7" i="38"/>
  <c r="JF7" i="38"/>
  <c r="JE7" i="38"/>
  <c r="JC7" i="38"/>
  <c r="JB7" i="38"/>
  <c r="JA7" i="38"/>
  <c r="IZ7" i="38"/>
  <c r="IY7" i="38"/>
  <c r="IX7" i="38"/>
  <c r="IB7" i="38"/>
  <c r="IA7" i="38"/>
  <c r="HZ7" i="38"/>
  <c r="HY7" i="38"/>
  <c r="HX7" i="38"/>
  <c r="HW7" i="38"/>
  <c r="HU7" i="38"/>
  <c r="HT7" i="38"/>
  <c r="HS7" i="38"/>
  <c r="HR7" i="38"/>
  <c r="HQ7" i="38"/>
  <c r="HP7" i="38"/>
  <c r="GT7" i="38"/>
  <c r="GS7" i="38"/>
  <c r="GR7" i="38"/>
  <c r="GQ7" i="38"/>
  <c r="GP7" i="38"/>
  <c r="GO7" i="38"/>
  <c r="GM7" i="38"/>
  <c r="GL7" i="38"/>
  <c r="GK7" i="38"/>
  <c r="GJ7" i="38"/>
  <c r="GI7" i="38"/>
  <c r="GH7" i="38"/>
  <c r="FL7" i="38"/>
  <c r="FK7" i="38"/>
  <c r="FJ7" i="38"/>
  <c r="FI7" i="38"/>
  <c r="FH7" i="38"/>
  <c r="FG7" i="38"/>
  <c r="FE7" i="38"/>
  <c r="FD7" i="38"/>
  <c r="FC7" i="38"/>
  <c r="FB7" i="38"/>
  <c r="FA7" i="38"/>
  <c r="EZ7" i="38"/>
  <c r="ED7" i="38"/>
  <c r="EC7" i="38"/>
  <c r="EB7" i="38"/>
  <c r="EA7" i="38"/>
  <c r="DZ7" i="38"/>
  <c r="DY7" i="38"/>
  <c r="DW7" i="38"/>
  <c r="DV7" i="38"/>
  <c r="DU7" i="38"/>
  <c r="DT7" i="38"/>
  <c r="DS7" i="38"/>
  <c r="DR7" i="38"/>
  <c r="CT7" i="38"/>
  <c r="CS7" i="38"/>
  <c r="CR7" i="38"/>
  <c r="CP7" i="38"/>
  <c r="CO7" i="38"/>
  <c r="CN7" i="38"/>
  <c r="CM7" i="38"/>
  <c r="CL7" i="38"/>
  <c r="CK7" i="38"/>
  <c r="WL6" i="38"/>
  <c r="WK6" i="38"/>
  <c r="WJ6" i="38"/>
  <c r="WI6" i="38"/>
  <c r="WH6" i="38"/>
  <c r="WG6" i="38"/>
  <c r="WE6" i="38"/>
  <c r="WD6" i="38"/>
  <c r="WC6" i="38"/>
  <c r="WB6" i="38"/>
  <c r="WA6" i="38"/>
  <c r="VZ6" i="38"/>
  <c r="VD6" i="38"/>
  <c r="VC6" i="38"/>
  <c r="VB6" i="38"/>
  <c r="VA6" i="38"/>
  <c r="UZ6" i="38"/>
  <c r="UY6" i="38"/>
  <c r="UW6" i="38"/>
  <c r="UV6" i="38"/>
  <c r="UU6" i="38"/>
  <c r="UT6" i="38"/>
  <c r="US6" i="38"/>
  <c r="UR6" i="38"/>
  <c r="TV6" i="38"/>
  <c r="TU6" i="38"/>
  <c r="TT6" i="38"/>
  <c r="TS6" i="38"/>
  <c r="TR6" i="38"/>
  <c r="TQ6" i="38"/>
  <c r="TO6" i="38"/>
  <c r="TN6" i="38"/>
  <c r="TM6" i="38"/>
  <c r="TL6" i="38"/>
  <c r="TK6" i="38"/>
  <c r="TJ6" i="38"/>
  <c r="SN6" i="38"/>
  <c r="SM6" i="38"/>
  <c r="SL6" i="38"/>
  <c r="SK6" i="38"/>
  <c r="SJ6" i="38"/>
  <c r="SI6" i="38"/>
  <c r="SG6" i="38"/>
  <c r="SF6" i="38"/>
  <c r="SE6" i="38"/>
  <c r="SD6" i="38"/>
  <c r="SC6" i="38"/>
  <c r="SB6" i="38"/>
  <c r="RF6" i="38"/>
  <c r="RE6" i="38"/>
  <c r="RD6" i="38"/>
  <c r="RC6" i="38"/>
  <c r="RB6" i="38"/>
  <c r="RA6" i="38"/>
  <c r="QY6" i="38"/>
  <c r="QX6" i="38"/>
  <c r="QW6" i="38"/>
  <c r="QV6" i="38"/>
  <c r="QU6" i="38"/>
  <c r="QT6" i="38"/>
  <c r="PX6" i="38"/>
  <c r="PW6" i="38"/>
  <c r="PV6" i="38"/>
  <c r="PU6" i="38"/>
  <c r="PT6" i="38"/>
  <c r="PS6" i="38"/>
  <c r="PQ6" i="38"/>
  <c r="PP6" i="38"/>
  <c r="PO6" i="38"/>
  <c r="PN6" i="38"/>
  <c r="PM6" i="38"/>
  <c r="PL6" i="38"/>
  <c r="OP6" i="38"/>
  <c r="OO6" i="38"/>
  <c r="ON6" i="38"/>
  <c r="OM6" i="38"/>
  <c r="OL6" i="38"/>
  <c r="OK6" i="38"/>
  <c r="OI6" i="38"/>
  <c r="OH6" i="38"/>
  <c r="OG6" i="38"/>
  <c r="OF6" i="38"/>
  <c r="OE6" i="38"/>
  <c r="OD6" i="38"/>
  <c r="NH6" i="38"/>
  <c r="NG6" i="38"/>
  <c r="NF6" i="38"/>
  <c r="NE6" i="38"/>
  <c r="ND6" i="38"/>
  <c r="NC6" i="38"/>
  <c r="NA6" i="38"/>
  <c r="MZ6" i="38"/>
  <c r="MY6" i="38"/>
  <c r="MX6" i="38"/>
  <c r="MW6" i="38"/>
  <c r="MV6" i="38"/>
  <c r="LZ6" i="38"/>
  <c r="LY6" i="38"/>
  <c r="LX6" i="38"/>
  <c r="LW6" i="38"/>
  <c r="LV6" i="38"/>
  <c r="LU6" i="38"/>
  <c r="LS6" i="38"/>
  <c r="LR6" i="38"/>
  <c r="LQ6" i="38"/>
  <c r="LP6" i="38"/>
  <c r="LO6" i="38"/>
  <c r="LN6" i="38"/>
  <c r="KR6" i="38"/>
  <c r="KQ6" i="38"/>
  <c r="KP6" i="38"/>
  <c r="KO6" i="38"/>
  <c r="KN6" i="38"/>
  <c r="KM6" i="38"/>
  <c r="KK6" i="38"/>
  <c r="KJ6" i="38"/>
  <c r="KI6" i="38"/>
  <c r="KH6" i="38"/>
  <c r="KG6" i="38"/>
  <c r="KF6" i="38"/>
  <c r="JJ6" i="38"/>
  <c r="JI6" i="38"/>
  <c r="JH6" i="38"/>
  <c r="JG6" i="38"/>
  <c r="JF6" i="38"/>
  <c r="JE6" i="38"/>
  <c r="JC6" i="38"/>
  <c r="JB6" i="38"/>
  <c r="JA6" i="38"/>
  <c r="IZ6" i="38"/>
  <c r="IY6" i="38"/>
  <c r="IX6" i="38"/>
  <c r="IB6" i="38"/>
  <c r="IA6" i="38"/>
  <c r="HZ6" i="38"/>
  <c r="HY6" i="38"/>
  <c r="HX6" i="38"/>
  <c r="HW6" i="38"/>
  <c r="HU6" i="38"/>
  <c r="HT6" i="38"/>
  <c r="HS6" i="38"/>
  <c r="HR6" i="38"/>
  <c r="HQ6" i="38"/>
  <c r="HP6" i="38"/>
  <c r="GT6" i="38"/>
  <c r="GS6" i="38"/>
  <c r="GR6" i="38"/>
  <c r="GQ6" i="38"/>
  <c r="GP6" i="38"/>
  <c r="GO6" i="38"/>
  <c r="GM6" i="38"/>
  <c r="GL6" i="38"/>
  <c r="GK6" i="38"/>
  <c r="GJ6" i="38"/>
  <c r="GI6" i="38"/>
  <c r="GH6" i="38"/>
  <c r="FL6" i="38"/>
  <c r="FK6" i="38"/>
  <c r="FJ6" i="38"/>
  <c r="FI6" i="38"/>
  <c r="FH6" i="38"/>
  <c r="FG6" i="38"/>
  <c r="FE6" i="38"/>
  <c r="FD6" i="38"/>
  <c r="FC6" i="38"/>
  <c r="FB6" i="38"/>
  <c r="FA6" i="38"/>
  <c r="EZ6" i="38"/>
  <c r="ED6" i="38"/>
  <c r="EC6" i="38"/>
  <c r="EB6" i="38"/>
  <c r="EA6" i="38"/>
  <c r="DZ6" i="38"/>
  <c r="DY6" i="38"/>
  <c r="DW6" i="38"/>
  <c r="DV6" i="38"/>
  <c r="DU6" i="38"/>
  <c r="DT6" i="38"/>
  <c r="DS6" i="38"/>
  <c r="DR6" i="38"/>
  <c r="CT6" i="38"/>
  <c r="CS6" i="38"/>
  <c r="CR6" i="38"/>
  <c r="CP6" i="38"/>
  <c r="CO6" i="38"/>
  <c r="CN6" i="38"/>
  <c r="CM6" i="38"/>
  <c r="CL6" i="38"/>
  <c r="CK6" i="38"/>
  <c r="WL12" i="38"/>
  <c r="WK12" i="38"/>
  <c r="WJ12" i="38"/>
  <c r="WI12" i="38"/>
  <c r="WH12" i="38"/>
  <c r="WG12" i="38"/>
  <c r="WE12" i="38"/>
  <c r="WD12" i="38"/>
  <c r="WC12" i="38"/>
  <c r="WB12" i="38"/>
  <c r="WA12" i="38"/>
  <c r="VZ12" i="38"/>
  <c r="VD12" i="38"/>
  <c r="VC12" i="38"/>
  <c r="VB12" i="38"/>
  <c r="VA12" i="38"/>
  <c r="UZ12" i="38"/>
  <c r="UY12" i="38"/>
  <c r="UW12" i="38"/>
  <c r="UV12" i="38"/>
  <c r="UU12" i="38"/>
  <c r="UT12" i="38"/>
  <c r="US12" i="38"/>
  <c r="UR12" i="38"/>
  <c r="TV12" i="38"/>
  <c r="TU12" i="38"/>
  <c r="TT12" i="38"/>
  <c r="TS12" i="38"/>
  <c r="TR12" i="38"/>
  <c r="TQ12" i="38"/>
  <c r="TO12" i="38"/>
  <c r="TN12" i="38"/>
  <c r="TM12" i="38"/>
  <c r="TL12" i="38"/>
  <c r="TK12" i="38"/>
  <c r="TJ12" i="38"/>
  <c r="SN12" i="38"/>
  <c r="SM12" i="38"/>
  <c r="SL12" i="38"/>
  <c r="SK12" i="38"/>
  <c r="SJ12" i="38"/>
  <c r="SI12" i="38"/>
  <c r="SG12" i="38"/>
  <c r="SF12" i="38"/>
  <c r="SE12" i="38"/>
  <c r="SD12" i="38"/>
  <c r="SC12" i="38"/>
  <c r="SB12" i="38"/>
  <c r="RF12" i="38"/>
  <c r="RE12" i="38"/>
  <c r="RD12" i="38"/>
  <c r="RC12" i="38"/>
  <c r="RB12" i="38"/>
  <c r="RA12" i="38"/>
  <c r="QY12" i="38"/>
  <c r="QX12" i="38"/>
  <c r="QW12" i="38"/>
  <c r="QV12" i="38"/>
  <c r="QU12" i="38"/>
  <c r="QT12" i="38"/>
  <c r="PX12" i="38"/>
  <c r="PW12" i="38"/>
  <c r="PV12" i="38"/>
  <c r="PU12" i="38"/>
  <c r="PT12" i="38"/>
  <c r="PS12" i="38"/>
  <c r="PQ12" i="38"/>
  <c r="PP12" i="38"/>
  <c r="PO12" i="38"/>
  <c r="PN12" i="38"/>
  <c r="PM12" i="38"/>
  <c r="PL12" i="38"/>
  <c r="OP12" i="38"/>
  <c r="OO12" i="38"/>
  <c r="ON12" i="38"/>
  <c r="OM12" i="38"/>
  <c r="OL12" i="38"/>
  <c r="OK12" i="38"/>
  <c r="OI12" i="38"/>
  <c r="OH12" i="38"/>
  <c r="OG12" i="38"/>
  <c r="OF12" i="38"/>
  <c r="OE12" i="38"/>
  <c r="OD12" i="38"/>
  <c r="NH12" i="38"/>
  <c r="NG12" i="38"/>
  <c r="NF12" i="38"/>
  <c r="NE12" i="38"/>
  <c r="ND12" i="38"/>
  <c r="NC12" i="38"/>
  <c r="NA12" i="38"/>
  <c r="MZ12" i="38"/>
  <c r="MY12" i="38"/>
  <c r="MX12" i="38"/>
  <c r="MW12" i="38"/>
  <c r="MV12" i="38"/>
  <c r="LZ12" i="38"/>
  <c r="LY12" i="38"/>
  <c r="LX12" i="38"/>
  <c r="LW12" i="38"/>
  <c r="LV12" i="38"/>
  <c r="LU12" i="38"/>
  <c r="LS12" i="38"/>
  <c r="LR12" i="38"/>
  <c r="LQ12" i="38"/>
  <c r="LP12" i="38"/>
  <c r="LO12" i="38"/>
  <c r="LN12" i="38"/>
  <c r="KR12" i="38"/>
  <c r="KQ12" i="38"/>
  <c r="KP12" i="38"/>
  <c r="KO12" i="38"/>
  <c r="KN12" i="38"/>
  <c r="KM12" i="38"/>
  <c r="KK12" i="38"/>
  <c r="KJ12" i="38"/>
  <c r="KI12" i="38"/>
  <c r="KH12" i="38"/>
  <c r="KG12" i="38"/>
  <c r="KF12" i="38"/>
  <c r="JJ12" i="38"/>
  <c r="JI12" i="38"/>
  <c r="JH12" i="38"/>
  <c r="JG12" i="38"/>
  <c r="JF12" i="38"/>
  <c r="JE12" i="38"/>
  <c r="JC12" i="38"/>
  <c r="JB12" i="38"/>
  <c r="JA12" i="38"/>
  <c r="IZ12" i="38"/>
  <c r="IY12" i="38"/>
  <c r="IX12" i="38"/>
  <c r="IB12" i="38"/>
  <c r="IA12" i="38"/>
  <c r="HZ12" i="38"/>
  <c r="HY12" i="38"/>
  <c r="HX12" i="38"/>
  <c r="HW12" i="38"/>
  <c r="HU12" i="38"/>
  <c r="HT12" i="38"/>
  <c r="HS12" i="38"/>
  <c r="HR12" i="38"/>
  <c r="HQ12" i="38"/>
  <c r="HP12" i="38"/>
  <c r="GT12" i="38"/>
  <c r="GS12" i="38"/>
  <c r="GR12" i="38"/>
  <c r="GQ12" i="38"/>
  <c r="GP12" i="38"/>
  <c r="GO12" i="38"/>
  <c r="GM12" i="38"/>
  <c r="GL12" i="38"/>
  <c r="GK12" i="38"/>
  <c r="GJ12" i="38"/>
  <c r="GI12" i="38"/>
  <c r="GH12" i="38"/>
  <c r="FL12" i="38"/>
  <c r="FK12" i="38"/>
  <c r="FJ12" i="38"/>
  <c r="FI12" i="38"/>
  <c r="FH12" i="38"/>
  <c r="FG12" i="38"/>
  <c r="FE12" i="38"/>
  <c r="FD12" i="38"/>
  <c r="FC12" i="38"/>
  <c r="FB12" i="38"/>
  <c r="FA12" i="38"/>
  <c r="EZ12" i="38"/>
  <c r="ED12" i="38"/>
  <c r="EC12" i="38"/>
  <c r="EB12" i="38"/>
  <c r="EA12" i="38"/>
  <c r="DZ12" i="38"/>
  <c r="DY12" i="38"/>
  <c r="DW12" i="38"/>
  <c r="DV12" i="38"/>
  <c r="DU12" i="38"/>
  <c r="DT12" i="38"/>
  <c r="DS12" i="38"/>
  <c r="DR12" i="38"/>
  <c r="CT12" i="38"/>
  <c r="CS12" i="38"/>
  <c r="CR12" i="38"/>
  <c r="CP12" i="38"/>
  <c r="CO12" i="38"/>
  <c r="CN12" i="38"/>
  <c r="CM12" i="38"/>
  <c r="CL12" i="38"/>
  <c r="CK12" i="38"/>
  <c r="WL5" i="38"/>
  <c r="WK5" i="38"/>
  <c r="WJ5" i="38"/>
  <c r="WI5" i="38"/>
  <c r="WH5" i="38"/>
  <c r="WG5" i="38"/>
  <c r="WE5" i="38"/>
  <c r="WD5" i="38"/>
  <c r="WC5" i="38"/>
  <c r="WB5" i="38"/>
  <c r="WA5" i="38"/>
  <c r="VZ5" i="38"/>
  <c r="VD5" i="38"/>
  <c r="VC5" i="38"/>
  <c r="VB5" i="38"/>
  <c r="VA5" i="38"/>
  <c r="UZ5" i="38"/>
  <c r="UY5" i="38"/>
  <c r="UW5" i="38"/>
  <c r="UV5" i="38"/>
  <c r="UU5" i="38"/>
  <c r="UT5" i="38"/>
  <c r="US5" i="38"/>
  <c r="UR5" i="38"/>
  <c r="TV5" i="38"/>
  <c r="TU5" i="38"/>
  <c r="TT5" i="38"/>
  <c r="TS5" i="38"/>
  <c r="TR5" i="38"/>
  <c r="TQ5" i="38"/>
  <c r="TO5" i="38"/>
  <c r="TN5" i="38"/>
  <c r="TM5" i="38"/>
  <c r="TL5" i="38"/>
  <c r="TK5" i="38"/>
  <c r="TJ5" i="38"/>
  <c r="SN5" i="38"/>
  <c r="SM5" i="38"/>
  <c r="SL5" i="38"/>
  <c r="SK5" i="38"/>
  <c r="SJ5" i="38"/>
  <c r="SI5" i="38"/>
  <c r="SG5" i="38"/>
  <c r="SF5" i="38"/>
  <c r="SE5" i="38"/>
  <c r="SD5" i="38"/>
  <c r="SC5" i="38"/>
  <c r="SB5" i="38"/>
  <c r="RF5" i="38"/>
  <c r="RE5" i="38"/>
  <c r="RD5" i="38"/>
  <c r="RC5" i="38"/>
  <c r="RB5" i="38"/>
  <c r="RA5" i="38"/>
  <c r="QY5" i="38"/>
  <c r="QX5" i="38"/>
  <c r="QW5" i="38"/>
  <c r="QV5" i="38"/>
  <c r="QU5" i="38"/>
  <c r="QT5" i="38"/>
  <c r="PX5" i="38"/>
  <c r="PW5" i="38"/>
  <c r="PV5" i="38"/>
  <c r="PU5" i="38"/>
  <c r="PT5" i="38"/>
  <c r="PS5" i="38"/>
  <c r="PQ5" i="38"/>
  <c r="PP5" i="38"/>
  <c r="PO5" i="38"/>
  <c r="PN5" i="38"/>
  <c r="PM5" i="38"/>
  <c r="PL5" i="38"/>
  <c r="OP5" i="38"/>
  <c r="OO5" i="38"/>
  <c r="ON5" i="38"/>
  <c r="OM5" i="38"/>
  <c r="OL5" i="38"/>
  <c r="OK5" i="38"/>
  <c r="OI5" i="38"/>
  <c r="OH5" i="38"/>
  <c r="OG5" i="38"/>
  <c r="OF5" i="38"/>
  <c r="OE5" i="38"/>
  <c r="OD5" i="38"/>
  <c r="NH5" i="38"/>
  <c r="NG5" i="38"/>
  <c r="NF5" i="38"/>
  <c r="NE5" i="38"/>
  <c r="ND5" i="38"/>
  <c r="NC5" i="38"/>
  <c r="NA5" i="38"/>
  <c r="MZ5" i="38"/>
  <c r="MY5" i="38"/>
  <c r="MX5" i="38"/>
  <c r="MW5" i="38"/>
  <c r="MV5" i="38"/>
  <c r="LZ5" i="38"/>
  <c r="LY5" i="38"/>
  <c r="LX5" i="38"/>
  <c r="LW5" i="38"/>
  <c r="LV5" i="38"/>
  <c r="LU5" i="38"/>
  <c r="LS5" i="38"/>
  <c r="LR5" i="38"/>
  <c r="LQ5" i="38"/>
  <c r="LP5" i="38"/>
  <c r="LO5" i="38"/>
  <c r="LN5" i="38"/>
  <c r="KR5" i="38"/>
  <c r="KQ5" i="38"/>
  <c r="KP5" i="38"/>
  <c r="KO5" i="38"/>
  <c r="KN5" i="38"/>
  <c r="KM5" i="38"/>
  <c r="KK5" i="38"/>
  <c r="KJ5" i="38"/>
  <c r="KI5" i="38"/>
  <c r="KH5" i="38"/>
  <c r="KG5" i="38"/>
  <c r="KF5" i="38"/>
  <c r="JJ5" i="38"/>
  <c r="JI5" i="38"/>
  <c r="JH5" i="38"/>
  <c r="JG5" i="38"/>
  <c r="JF5" i="38"/>
  <c r="JE5" i="38"/>
  <c r="JC5" i="38"/>
  <c r="JB5" i="38"/>
  <c r="JA5" i="38"/>
  <c r="IZ5" i="38"/>
  <c r="IY5" i="38"/>
  <c r="IX5" i="38"/>
  <c r="IB5" i="38"/>
  <c r="IA5" i="38"/>
  <c r="HZ5" i="38"/>
  <c r="HY5" i="38"/>
  <c r="HX5" i="38"/>
  <c r="HW5" i="38"/>
  <c r="HU5" i="38"/>
  <c r="HT5" i="38"/>
  <c r="HS5" i="38"/>
  <c r="HR5" i="38"/>
  <c r="HQ5" i="38"/>
  <c r="HP5" i="38"/>
  <c r="GT5" i="38"/>
  <c r="GS5" i="38"/>
  <c r="GR5" i="38"/>
  <c r="GQ5" i="38"/>
  <c r="GP5" i="38"/>
  <c r="GO5" i="38"/>
  <c r="GM5" i="38"/>
  <c r="GL5" i="38"/>
  <c r="GK5" i="38"/>
  <c r="GJ5" i="38"/>
  <c r="GI5" i="38"/>
  <c r="GH5" i="38"/>
  <c r="FL5" i="38"/>
  <c r="FK5" i="38"/>
  <c r="FJ5" i="38"/>
  <c r="FI5" i="38"/>
  <c r="FH5" i="38"/>
  <c r="FG5" i="38"/>
  <c r="FE5" i="38"/>
  <c r="FD5" i="38"/>
  <c r="FC5" i="38"/>
  <c r="FB5" i="38"/>
  <c r="FA5" i="38"/>
  <c r="EZ5" i="38"/>
  <c r="ED5" i="38"/>
  <c r="EC5" i="38"/>
  <c r="EB5" i="38"/>
  <c r="EA5" i="38"/>
  <c r="DZ5" i="38"/>
  <c r="DY5" i="38"/>
  <c r="DW5" i="38"/>
  <c r="DV5" i="38"/>
  <c r="DU5" i="38"/>
  <c r="DT5" i="38"/>
  <c r="DS5" i="38"/>
  <c r="DR5" i="38"/>
  <c r="CT5" i="38"/>
  <c r="CS5" i="38"/>
  <c r="CR5" i="38"/>
  <c r="CP5" i="38"/>
  <c r="CO5" i="38"/>
  <c r="CN5" i="38"/>
  <c r="CM5" i="38"/>
  <c r="CL5" i="38"/>
  <c r="CK5" i="38"/>
  <c r="WL4" i="38"/>
  <c r="WK4" i="38"/>
  <c r="WJ4" i="38"/>
  <c r="WI4" i="38"/>
  <c r="WH4" i="38"/>
  <c r="WG4" i="38"/>
  <c r="WE4" i="38"/>
  <c r="WD4" i="38"/>
  <c r="WC4" i="38"/>
  <c r="WB4" i="38"/>
  <c r="WA4" i="38"/>
  <c r="VZ4" i="38"/>
  <c r="VD4" i="38"/>
  <c r="VC4" i="38"/>
  <c r="VB4" i="38"/>
  <c r="VA4" i="38"/>
  <c r="UZ4" i="38"/>
  <c r="UY4" i="38"/>
  <c r="UW4" i="38"/>
  <c r="UV4" i="38"/>
  <c r="UU4" i="38"/>
  <c r="UT4" i="38"/>
  <c r="US4" i="38"/>
  <c r="UR4" i="38"/>
  <c r="TV4" i="38"/>
  <c r="TU4" i="38"/>
  <c r="TT4" i="38"/>
  <c r="TS4" i="38"/>
  <c r="TR4" i="38"/>
  <c r="TQ4" i="38"/>
  <c r="TO4" i="38"/>
  <c r="TN4" i="38"/>
  <c r="TM4" i="38"/>
  <c r="TL4" i="38"/>
  <c r="TK4" i="38"/>
  <c r="TJ4" i="38"/>
  <c r="SN4" i="38"/>
  <c r="SM4" i="38"/>
  <c r="SL4" i="38"/>
  <c r="SK4" i="38"/>
  <c r="SJ4" i="38"/>
  <c r="SI4" i="38"/>
  <c r="SG4" i="38"/>
  <c r="SF4" i="38"/>
  <c r="SE4" i="38"/>
  <c r="SD4" i="38"/>
  <c r="SC4" i="38"/>
  <c r="SB4" i="38"/>
  <c r="RF4" i="38"/>
  <c r="RE4" i="38"/>
  <c r="RD4" i="38"/>
  <c r="RC4" i="38"/>
  <c r="RB4" i="38"/>
  <c r="RA4" i="38"/>
  <c r="QY4" i="38"/>
  <c r="QX4" i="38"/>
  <c r="QW4" i="38"/>
  <c r="QV4" i="38"/>
  <c r="QU4" i="38"/>
  <c r="QT4" i="38"/>
  <c r="PX4" i="38"/>
  <c r="PW4" i="38"/>
  <c r="PV4" i="38"/>
  <c r="PU4" i="38"/>
  <c r="PT4" i="38"/>
  <c r="PS4" i="38"/>
  <c r="PQ4" i="38"/>
  <c r="PP4" i="38"/>
  <c r="PO4" i="38"/>
  <c r="PN4" i="38"/>
  <c r="PM4" i="38"/>
  <c r="PL4" i="38"/>
  <c r="OP4" i="38"/>
  <c r="OO4" i="38"/>
  <c r="ON4" i="38"/>
  <c r="OM4" i="38"/>
  <c r="OL4" i="38"/>
  <c r="OK4" i="38"/>
  <c r="OI4" i="38"/>
  <c r="OH4" i="38"/>
  <c r="OG4" i="38"/>
  <c r="OF4" i="38"/>
  <c r="OE4" i="38"/>
  <c r="OD4" i="38"/>
  <c r="NH4" i="38"/>
  <c r="NG4" i="38"/>
  <c r="NF4" i="38"/>
  <c r="NE4" i="38"/>
  <c r="ND4" i="38"/>
  <c r="NC4" i="38"/>
  <c r="NA4" i="38"/>
  <c r="MZ4" i="38"/>
  <c r="MY4" i="38"/>
  <c r="MX4" i="38"/>
  <c r="MW4" i="38"/>
  <c r="MV4" i="38"/>
  <c r="LZ4" i="38"/>
  <c r="LY4" i="38"/>
  <c r="LX4" i="38"/>
  <c r="LW4" i="38"/>
  <c r="LV4" i="38"/>
  <c r="LU4" i="38"/>
  <c r="LS4" i="38"/>
  <c r="LR4" i="38"/>
  <c r="LQ4" i="38"/>
  <c r="LP4" i="38"/>
  <c r="LO4" i="38"/>
  <c r="LN4" i="38"/>
  <c r="KR4" i="38"/>
  <c r="KQ4" i="38"/>
  <c r="KP4" i="38"/>
  <c r="KO4" i="38"/>
  <c r="KN4" i="38"/>
  <c r="KM4" i="38"/>
  <c r="KK4" i="38"/>
  <c r="KJ4" i="38"/>
  <c r="KI4" i="38"/>
  <c r="KH4" i="38"/>
  <c r="KG4" i="38"/>
  <c r="KF4" i="38"/>
  <c r="JJ4" i="38"/>
  <c r="JI4" i="38"/>
  <c r="JH4" i="38"/>
  <c r="JG4" i="38"/>
  <c r="JF4" i="38"/>
  <c r="JE4" i="38"/>
  <c r="JC4" i="38"/>
  <c r="JB4" i="38"/>
  <c r="JA4" i="38"/>
  <c r="IZ4" i="38"/>
  <c r="IY4" i="38"/>
  <c r="IX4" i="38"/>
  <c r="IB4" i="38"/>
  <c r="IA4" i="38"/>
  <c r="HZ4" i="38"/>
  <c r="HY4" i="38"/>
  <c r="HX4" i="38"/>
  <c r="HW4" i="38"/>
  <c r="HU4" i="38"/>
  <c r="HT4" i="38"/>
  <c r="HS4" i="38"/>
  <c r="HR4" i="38"/>
  <c r="HQ4" i="38"/>
  <c r="HP4" i="38"/>
  <c r="GT4" i="38"/>
  <c r="GS4" i="38"/>
  <c r="GR4" i="38"/>
  <c r="GQ4" i="38"/>
  <c r="GP4" i="38"/>
  <c r="GO4" i="38"/>
  <c r="GM4" i="38"/>
  <c r="GL4" i="38"/>
  <c r="GK4" i="38"/>
  <c r="GJ4" i="38"/>
  <c r="GI4" i="38"/>
  <c r="GH4" i="38"/>
  <c r="FL4" i="38"/>
  <c r="FK4" i="38"/>
  <c r="FJ4" i="38"/>
  <c r="FI4" i="38"/>
  <c r="FH4" i="38"/>
  <c r="FG4" i="38"/>
  <c r="FE4" i="38"/>
  <c r="FD4" i="38"/>
  <c r="FC4" i="38"/>
  <c r="FB4" i="38"/>
  <c r="FA4" i="38"/>
  <c r="EZ4" i="38"/>
  <c r="ED4" i="38"/>
  <c r="EC4" i="38"/>
  <c r="EB4" i="38"/>
  <c r="EA4" i="38"/>
  <c r="DZ4" i="38"/>
  <c r="DY4" i="38"/>
  <c r="DW4" i="38"/>
  <c r="DV4" i="38"/>
  <c r="DU4" i="38"/>
  <c r="DT4" i="38"/>
  <c r="DS4" i="38"/>
  <c r="DR4" i="38"/>
  <c r="CT4" i="38"/>
  <c r="CS4" i="38"/>
  <c r="CR4" i="38"/>
  <c r="CP4" i="38"/>
  <c r="CO4" i="38"/>
  <c r="CN4" i="38"/>
  <c r="CM4" i="38"/>
  <c r="CL4" i="38"/>
  <c r="CK4" i="38"/>
  <c r="CK13" i="4"/>
  <c r="CL13" i="4"/>
  <c r="CM13" i="4"/>
  <c r="CN13" i="4"/>
  <c r="CO13" i="4"/>
  <c r="CP13" i="4"/>
  <c r="CR13" i="4"/>
  <c r="CS13" i="4"/>
  <c r="CT13" i="4"/>
  <c r="DR13" i="4"/>
  <c r="DS13" i="4"/>
  <c r="DT13" i="4"/>
  <c r="DU13" i="4"/>
  <c r="DV13" i="4"/>
  <c r="DW13" i="4"/>
  <c r="DY13" i="4"/>
  <c r="DZ13" i="4"/>
  <c r="EA13" i="4"/>
  <c r="EB13" i="4"/>
  <c r="EC13" i="4"/>
  <c r="ED13" i="4"/>
  <c r="EZ13" i="4"/>
  <c r="FA13" i="4"/>
  <c r="FB13" i="4"/>
  <c r="FC13" i="4"/>
  <c r="FD13" i="4"/>
  <c r="FE13" i="4"/>
  <c r="FG13" i="4"/>
  <c r="FH13" i="4"/>
  <c r="FI13" i="4"/>
  <c r="FJ13" i="4"/>
  <c r="FK13" i="4"/>
  <c r="FL13" i="4"/>
  <c r="GH13" i="4"/>
  <c r="GI13" i="4"/>
  <c r="GJ13" i="4"/>
  <c r="GK13" i="4"/>
  <c r="GL13" i="4"/>
  <c r="GM13" i="4"/>
  <c r="GO13" i="4"/>
  <c r="GP13" i="4"/>
  <c r="GQ13" i="4"/>
  <c r="GR13" i="4"/>
  <c r="GS13" i="4"/>
  <c r="GT13" i="4"/>
  <c r="HP13" i="4"/>
  <c r="HQ13" i="4"/>
  <c r="HR13" i="4"/>
  <c r="HS13" i="4"/>
  <c r="HT13" i="4"/>
  <c r="HU13" i="4"/>
  <c r="HW13" i="4"/>
  <c r="HX13" i="4"/>
  <c r="HY13" i="4"/>
  <c r="HZ13" i="4"/>
  <c r="IA13" i="4"/>
  <c r="IB13" i="4"/>
  <c r="IX13" i="4"/>
  <c r="IY13" i="4"/>
  <c r="IZ13" i="4"/>
  <c r="JA13" i="4"/>
  <c r="JB13" i="4"/>
  <c r="JC13" i="4"/>
  <c r="JE13" i="4"/>
  <c r="JF13" i="4"/>
  <c r="JG13" i="4"/>
  <c r="JH13" i="4"/>
  <c r="JI13" i="4"/>
  <c r="JJ13" i="4"/>
  <c r="KF13" i="4"/>
  <c r="KG13" i="4"/>
  <c r="KH13" i="4"/>
  <c r="KI13" i="4"/>
  <c r="KJ13" i="4"/>
  <c r="KK13" i="4"/>
  <c r="KM13" i="4"/>
  <c r="KN13" i="4"/>
  <c r="KO13" i="4"/>
  <c r="KP13" i="4"/>
  <c r="KQ13" i="4"/>
  <c r="KR13" i="4"/>
  <c r="LN13" i="4"/>
  <c r="LO13" i="4"/>
  <c r="LP13" i="4"/>
  <c r="LQ13" i="4"/>
  <c r="LR13" i="4"/>
  <c r="LS13" i="4"/>
  <c r="LU13" i="4"/>
  <c r="LV13" i="4"/>
  <c r="LW13" i="4"/>
  <c r="LX13" i="4"/>
  <c r="LY13" i="4"/>
  <c r="LZ13" i="4"/>
  <c r="MV13" i="4"/>
  <c r="MW13" i="4"/>
  <c r="MX13" i="4"/>
  <c r="MY13" i="4"/>
  <c r="MZ13" i="4"/>
  <c r="NA13" i="4"/>
  <c r="NC13" i="4"/>
  <c r="ND13" i="4"/>
  <c r="NE13" i="4"/>
  <c r="NF13" i="4"/>
  <c r="NG13" i="4"/>
  <c r="NH13" i="4"/>
  <c r="OD13" i="4"/>
  <c r="OE13" i="4"/>
  <c r="OF13" i="4"/>
  <c r="OG13" i="4"/>
  <c r="OH13" i="4"/>
  <c r="OI13" i="4"/>
  <c r="OK13" i="4"/>
  <c r="OL13" i="4"/>
  <c r="OM13" i="4"/>
  <c r="ON13" i="4"/>
  <c r="OO13" i="4"/>
  <c r="OP13" i="4"/>
  <c r="PL13" i="4"/>
  <c r="PM13" i="4"/>
  <c r="PN13" i="4"/>
  <c r="PO13" i="4"/>
  <c r="PP13" i="4"/>
  <c r="PQ13" i="4"/>
  <c r="PS13" i="4"/>
  <c r="PT13" i="4"/>
  <c r="PU13" i="4"/>
  <c r="PV13" i="4"/>
  <c r="PW13" i="4"/>
  <c r="PX13" i="4"/>
  <c r="QT13" i="4"/>
  <c r="QU13" i="4"/>
  <c r="QV13" i="4"/>
  <c r="QW13" i="4"/>
  <c r="QX13" i="4"/>
  <c r="QY13" i="4"/>
  <c r="RA13" i="4"/>
  <c r="RB13" i="4"/>
  <c r="RC13" i="4"/>
  <c r="RD13" i="4"/>
  <c r="RE13" i="4"/>
  <c r="RF13" i="4"/>
  <c r="SB13" i="4"/>
  <c r="SC13" i="4"/>
  <c r="SD13" i="4"/>
  <c r="SE13" i="4"/>
  <c r="SF13" i="4"/>
  <c r="SG13" i="4"/>
  <c r="SI13" i="4"/>
  <c r="SJ13" i="4"/>
  <c r="SK13" i="4"/>
  <c r="SL13" i="4"/>
  <c r="SM13" i="4"/>
  <c r="SN13" i="4"/>
  <c r="TJ13" i="4"/>
  <c r="TK13" i="4"/>
  <c r="TL13" i="4"/>
  <c r="TM13" i="4"/>
  <c r="TN13" i="4"/>
  <c r="TO13" i="4"/>
  <c r="TQ13" i="4"/>
  <c r="TR13" i="4"/>
  <c r="TS13" i="4"/>
  <c r="TT13" i="4"/>
  <c r="TU13" i="4"/>
  <c r="TV13" i="4"/>
  <c r="UR13" i="4"/>
  <c r="US13" i="4"/>
  <c r="UT13" i="4"/>
  <c r="UU13" i="4"/>
  <c r="UV13" i="4"/>
  <c r="UW13" i="4"/>
  <c r="UY13" i="4"/>
  <c r="UZ13" i="4"/>
  <c r="VA13" i="4"/>
  <c r="VB13" i="4"/>
  <c r="VC13" i="4"/>
  <c r="VD13" i="4"/>
  <c r="VZ13" i="4"/>
  <c r="WA13" i="4"/>
  <c r="WB13" i="4"/>
  <c r="WC13" i="4"/>
  <c r="WD13" i="4"/>
  <c r="WE13" i="4"/>
  <c r="WG13" i="4"/>
  <c r="WH13" i="4"/>
  <c r="WI13" i="4"/>
  <c r="WJ13" i="4"/>
  <c r="WK13" i="4"/>
  <c r="WL13" i="4"/>
  <c r="CK10" i="4"/>
  <c r="CL10" i="4"/>
  <c r="CM10" i="4"/>
  <c r="CN10" i="4"/>
  <c r="CO10" i="4"/>
  <c r="CP10" i="4"/>
  <c r="CR10" i="4"/>
  <c r="CS10" i="4"/>
  <c r="CT10" i="4"/>
  <c r="DR10" i="4"/>
  <c r="DS10" i="4"/>
  <c r="DT10" i="4"/>
  <c r="DU10" i="4"/>
  <c r="DV10" i="4"/>
  <c r="DW10" i="4"/>
  <c r="DY10" i="4"/>
  <c r="DZ10" i="4"/>
  <c r="EA10" i="4"/>
  <c r="EB10" i="4"/>
  <c r="EC10" i="4"/>
  <c r="ED10" i="4"/>
  <c r="EZ10" i="4"/>
  <c r="FA10" i="4"/>
  <c r="FB10" i="4"/>
  <c r="FC10" i="4"/>
  <c r="FD10" i="4"/>
  <c r="FE10" i="4"/>
  <c r="FG10" i="4"/>
  <c r="FH10" i="4"/>
  <c r="FI10" i="4"/>
  <c r="FJ10" i="4"/>
  <c r="FK10" i="4"/>
  <c r="FL10" i="4"/>
  <c r="GH10" i="4"/>
  <c r="GI10" i="4"/>
  <c r="GJ10" i="4"/>
  <c r="GK10" i="4"/>
  <c r="GL10" i="4"/>
  <c r="GM10" i="4"/>
  <c r="GO10" i="4"/>
  <c r="GP10" i="4"/>
  <c r="GQ10" i="4"/>
  <c r="GR10" i="4"/>
  <c r="GS10" i="4"/>
  <c r="GT10" i="4"/>
  <c r="HP10" i="4"/>
  <c r="HQ10" i="4"/>
  <c r="HR10" i="4"/>
  <c r="HS10" i="4"/>
  <c r="HT10" i="4"/>
  <c r="HU10" i="4"/>
  <c r="HW10" i="4"/>
  <c r="HX10" i="4"/>
  <c r="HY10" i="4"/>
  <c r="HZ10" i="4"/>
  <c r="IA10" i="4"/>
  <c r="IB10" i="4"/>
  <c r="IX10" i="4"/>
  <c r="IY10" i="4"/>
  <c r="IZ10" i="4"/>
  <c r="JA10" i="4"/>
  <c r="JB10" i="4"/>
  <c r="JC10" i="4"/>
  <c r="JE10" i="4"/>
  <c r="JF10" i="4"/>
  <c r="JG10" i="4"/>
  <c r="JH10" i="4"/>
  <c r="JI10" i="4"/>
  <c r="JJ10" i="4"/>
  <c r="KF10" i="4"/>
  <c r="KG10" i="4"/>
  <c r="KH10" i="4"/>
  <c r="KI10" i="4"/>
  <c r="KJ10" i="4"/>
  <c r="KK10" i="4"/>
  <c r="KM10" i="4"/>
  <c r="KN10" i="4"/>
  <c r="KO10" i="4"/>
  <c r="KP10" i="4"/>
  <c r="KQ10" i="4"/>
  <c r="KR10" i="4"/>
  <c r="LN10" i="4"/>
  <c r="LO10" i="4"/>
  <c r="LP10" i="4"/>
  <c r="LQ10" i="4"/>
  <c r="LR10" i="4"/>
  <c r="LS10" i="4"/>
  <c r="LU10" i="4"/>
  <c r="LV10" i="4"/>
  <c r="LW10" i="4"/>
  <c r="LX10" i="4"/>
  <c r="LY10" i="4"/>
  <c r="LZ10" i="4"/>
  <c r="MV10" i="4"/>
  <c r="MW10" i="4"/>
  <c r="MX10" i="4"/>
  <c r="MY10" i="4"/>
  <c r="MZ10" i="4"/>
  <c r="NA10" i="4"/>
  <c r="NC10" i="4"/>
  <c r="ND10" i="4"/>
  <c r="NE10" i="4"/>
  <c r="NF10" i="4"/>
  <c r="NG10" i="4"/>
  <c r="NH10" i="4"/>
  <c r="OD10" i="4"/>
  <c r="OE10" i="4"/>
  <c r="OF10" i="4"/>
  <c r="OG10" i="4"/>
  <c r="OH10" i="4"/>
  <c r="OI10" i="4"/>
  <c r="OK10" i="4"/>
  <c r="OL10" i="4"/>
  <c r="OM10" i="4"/>
  <c r="ON10" i="4"/>
  <c r="OO10" i="4"/>
  <c r="OP10" i="4"/>
  <c r="PL10" i="4"/>
  <c r="PM10" i="4"/>
  <c r="PN10" i="4"/>
  <c r="PO10" i="4"/>
  <c r="PP10" i="4"/>
  <c r="PQ10" i="4"/>
  <c r="PS10" i="4"/>
  <c r="PT10" i="4"/>
  <c r="PU10" i="4"/>
  <c r="PV10" i="4"/>
  <c r="PW10" i="4"/>
  <c r="PX10" i="4"/>
  <c r="QT10" i="4"/>
  <c r="QU10" i="4"/>
  <c r="QV10" i="4"/>
  <c r="QW10" i="4"/>
  <c r="QX10" i="4"/>
  <c r="QY10" i="4"/>
  <c r="RA10" i="4"/>
  <c r="RB10" i="4"/>
  <c r="RC10" i="4"/>
  <c r="RD10" i="4"/>
  <c r="RE10" i="4"/>
  <c r="RF10" i="4"/>
  <c r="SB10" i="4"/>
  <c r="SC10" i="4"/>
  <c r="SD10" i="4"/>
  <c r="SE10" i="4"/>
  <c r="SF10" i="4"/>
  <c r="SG10" i="4"/>
  <c r="SI10" i="4"/>
  <c r="SJ10" i="4"/>
  <c r="SK10" i="4"/>
  <c r="SL10" i="4"/>
  <c r="SM10" i="4"/>
  <c r="SN10" i="4"/>
  <c r="TJ10" i="4"/>
  <c r="TK10" i="4"/>
  <c r="TL10" i="4"/>
  <c r="TM10" i="4"/>
  <c r="TN10" i="4"/>
  <c r="TO10" i="4"/>
  <c r="TQ10" i="4"/>
  <c r="TR10" i="4"/>
  <c r="TS10" i="4"/>
  <c r="TT10" i="4"/>
  <c r="TU10" i="4"/>
  <c r="TV10" i="4"/>
  <c r="UR10" i="4"/>
  <c r="US10" i="4"/>
  <c r="UT10" i="4"/>
  <c r="UU10" i="4"/>
  <c r="UV10" i="4"/>
  <c r="UW10" i="4"/>
  <c r="UY10" i="4"/>
  <c r="UZ10" i="4"/>
  <c r="VA10" i="4"/>
  <c r="VB10" i="4"/>
  <c r="VC10" i="4"/>
  <c r="VD10" i="4"/>
  <c r="VZ10" i="4"/>
  <c r="WA10" i="4"/>
  <c r="WB10" i="4"/>
  <c r="WC10" i="4"/>
  <c r="WD10" i="4"/>
  <c r="WE10" i="4"/>
  <c r="WG10" i="4"/>
  <c r="WH10" i="4"/>
  <c r="WI10" i="4"/>
  <c r="WJ10" i="4"/>
  <c r="WK10" i="4"/>
  <c r="WL10" i="4"/>
  <c r="VD23" i="4"/>
  <c r="VC23" i="4"/>
  <c r="VB23" i="4"/>
  <c r="VA23" i="4"/>
  <c r="UZ23" i="4"/>
  <c r="UY23" i="4"/>
  <c r="UW23" i="4"/>
  <c r="UV23" i="4"/>
  <c r="UU23" i="4"/>
  <c r="UT23" i="4"/>
  <c r="US23" i="4"/>
  <c r="UR23" i="4"/>
  <c r="VD17" i="4"/>
  <c r="VC17" i="4"/>
  <c r="VB17" i="4"/>
  <c r="VA17" i="4"/>
  <c r="UZ17" i="4"/>
  <c r="UY17" i="4"/>
  <c r="UW17" i="4"/>
  <c r="UV17" i="4"/>
  <c r="UU17" i="4"/>
  <c r="UT17" i="4"/>
  <c r="US17" i="4"/>
  <c r="UR17" i="4"/>
  <c r="VD19" i="4"/>
  <c r="VC19" i="4"/>
  <c r="VB19" i="4"/>
  <c r="VA19" i="4"/>
  <c r="UZ19" i="4"/>
  <c r="UY19" i="4"/>
  <c r="UW19" i="4"/>
  <c r="UV19" i="4"/>
  <c r="UU19" i="4"/>
  <c r="UT19" i="4"/>
  <c r="US19" i="4"/>
  <c r="UR19" i="4"/>
  <c r="VD22" i="4"/>
  <c r="VC22" i="4"/>
  <c r="VB22" i="4"/>
  <c r="VA22" i="4"/>
  <c r="UZ22" i="4"/>
  <c r="UY22" i="4"/>
  <c r="UW22" i="4"/>
  <c r="UV22" i="4"/>
  <c r="UU22" i="4"/>
  <c r="UT22" i="4"/>
  <c r="US22" i="4"/>
  <c r="UR22" i="4"/>
  <c r="VD24" i="4"/>
  <c r="VC24" i="4"/>
  <c r="VB24" i="4"/>
  <c r="VA24" i="4"/>
  <c r="UZ24" i="4"/>
  <c r="UY24" i="4"/>
  <c r="UW24" i="4"/>
  <c r="UV24" i="4"/>
  <c r="UU24" i="4"/>
  <c r="UT24" i="4"/>
  <c r="US24" i="4"/>
  <c r="UR24" i="4"/>
  <c r="VD16" i="4"/>
  <c r="VC16" i="4"/>
  <c r="VB16" i="4"/>
  <c r="VA16" i="4"/>
  <c r="UZ16" i="4"/>
  <c r="UY16" i="4"/>
  <c r="UW16" i="4"/>
  <c r="UV16" i="4"/>
  <c r="UU16" i="4"/>
  <c r="UT16" i="4"/>
  <c r="US16" i="4"/>
  <c r="UR16" i="4"/>
  <c r="VD18" i="4"/>
  <c r="VC18" i="4"/>
  <c r="VB18" i="4"/>
  <c r="VA18" i="4"/>
  <c r="UZ18" i="4"/>
  <c r="UY18" i="4"/>
  <c r="UW18" i="4"/>
  <c r="UV18" i="4"/>
  <c r="UU18" i="4"/>
  <c r="UT18" i="4"/>
  <c r="US18" i="4"/>
  <c r="UR18" i="4"/>
  <c r="VD11" i="4"/>
  <c r="VC11" i="4"/>
  <c r="VB11" i="4"/>
  <c r="VA11" i="4"/>
  <c r="UZ11" i="4"/>
  <c r="UY11" i="4"/>
  <c r="UW11" i="4"/>
  <c r="UV11" i="4"/>
  <c r="UU11" i="4"/>
  <c r="UT11" i="4"/>
  <c r="US11" i="4"/>
  <c r="UR11" i="4"/>
  <c r="VD9" i="4"/>
  <c r="VC9" i="4"/>
  <c r="VB9" i="4"/>
  <c r="VA9" i="4"/>
  <c r="UZ9" i="4"/>
  <c r="UY9" i="4"/>
  <c r="UW9" i="4"/>
  <c r="UV9" i="4"/>
  <c r="UU9" i="4"/>
  <c r="UT9" i="4"/>
  <c r="US9" i="4"/>
  <c r="UR9" i="4"/>
  <c r="VD15" i="4"/>
  <c r="VC15" i="4"/>
  <c r="VB15" i="4"/>
  <c r="VA15" i="4"/>
  <c r="UZ15" i="4"/>
  <c r="UY15" i="4"/>
  <c r="UW15" i="4"/>
  <c r="UV15" i="4"/>
  <c r="UU15" i="4"/>
  <c r="UT15" i="4"/>
  <c r="US15" i="4"/>
  <c r="UR15" i="4"/>
  <c r="VD21" i="4"/>
  <c r="VC21" i="4"/>
  <c r="VB21" i="4"/>
  <c r="VA21" i="4"/>
  <c r="UZ21" i="4"/>
  <c r="UY21" i="4"/>
  <c r="UW21" i="4"/>
  <c r="UV21" i="4"/>
  <c r="UU21" i="4"/>
  <c r="UT21" i="4"/>
  <c r="US21" i="4"/>
  <c r="UR21" i="4"/>
  <c r="VD12" i="4"/>
  <c r="VC12" i="4"/>
  <c r="VB12" i="4"/>
  <c r="VA12" i="4"/>
  <c r="UZ12" i="4"/>
  <c r="UY12" i="4"/>
  <c r="UW12" i="4"/>
  <c r="UV12" i="4"/>
  <c r="UU12" i="4"/>
  <c r="UT12" i="4"/>
  <c r="US12" i="4"/>
  <c r="UR12" i="4"/>
  <c r="VD8" i="4"/>
  <c r="VC8" i="4"/>
  <c r="VB8" i="4"/>
  <c r="VA8" i="4"/>
  <c r="UZ8" i="4"/>
  <c r="UY8" i="4"/>
  <c r="UW8" i="4"/>
  <c r="UV8" i="4"/>
  <c r="UU8" i="4"/>
  <c r="UT8" i="4"/>
  <c r="US8" i="4"/>
  <c r="UR8" i="4"/>
  <c r="VD14" i="4"/>
  <c r="VC14" i="4"/>
  <c r="VB14" i="4"/>
  <c r="VA14" i="4"/>
  <c r="UZ14" i="4"/>
  <c r="UY14" i="4"/>
  <c r="UW14" i="4"/>
  <c r="UV14" i="4"/>
  <c r="UU14" i="4"/>
  <c r="UT14" i="4"/>
  <c r="US14" i="4"/>
  <c r="UR14" i="4"/>
  <c r="VD20" i="4"/>
  <c r="VC20" i="4"/>
  <c r="VB20" i="4"/>
  <c r="VA20" i="4"/>
  <c r="UZ20" i="4"/>
  <c r="UY20" i="4"/>
  <c r="UW20" i="4"/>
  <c r="UV20" i="4"/>
  <c r="UU20" i="4"/>
  <c r="UT20" i="4"/>
  <c r="US20" i="4"/>
  <c r="UR20" i="4"/>
  <c r="VD7" i="4"/>
  <c r="VC7" i="4"/>
  <c r="VB7" i="4"/>
  <c r="VA7" i="4"/>
  <c r="UZ7" i="4"/>
  <c r="UY7" i="4"/>
  <c r="UW7" i="4"/>
  <c r="UV7" i="4"/>
  <c r="UU7" i="4"/>
  <c r="UT7" i="4"/>
  <c r="US7" i="4"/>
  <c r="UR7" i="4"/>
  <c r="VD6" i="4"/>
  <c r="VC6" i="4"/>
  <c r="VB6" i="4"/>
  <c r="VA6" i="4"/>
  <c r="UZ6" i="4"/>
  <c r="UY6" i="4"/>
  <c r="UW6" i="4"/>
  <c r="UV6" i="4"/>
  <c r="UU6" i="4"/>
  <c r="UT6" i="4"/>
  <c r="US6" i="4"/>
  <c r="UR6" i="4"/>
  <c r="VD4" i="4"/>
  <c r="VC4" i="4"/>
  <c r="VB4" i="4"/>
  <c r="VA4" i="4"/>
  <c r="UZ4" i="4"/>
  <c r="UY4" i="4"/>
  <c r="UW4" i="4"/>
  <c r="UV4" i="4"/>
  <c r="UU4" i="4"/>
  <c r="UT4" i="4"/>
  <c r="US4" i="4"/>
  <c r="UR4" i="4"/>
  <c r="VD5" i="4"/>
  <c r="VC5" i="4"/>
  <c r="VB5" i="4"/>
  <c r="VA5" i="4"/>
  <c r="UZ5" i="4"/>
  <c r="UY5" i="4"/>
  <c r="UW5" i="4"/>
  <c r="UV5" i="4"/>
  <c r="UU5" i="4"/>
  <c r="UT5" i="4"/>
  <c r="US5" i="4"/>
  <c r="UR5" i="4"/>
  <c r="TV23" i="4"/>
  <c r="TU23" i="4"/>
  <c r="TT23" i="4"/>
  <c r="TS23" i="4"/>
  <c r="TR23" i="4"/>
  <c r="TQ23" i="4"/>
  <c r="TO23" i="4"/>
  <c r="TN23" i="4"/>
  <c r="TM23" i="4"/>
  <c r="TL23" i="4"/>
  <c r="TK23" i="4"/>
  <c r="TJ23" i="4"/>
  <c r="TV17" i="4"/>
  <c r="TU17" i="4"/>
  <c r="TT17" i="4"/>
  <c r="TS17" i="4"/>
  <c r="TR17" i="4"/>
  <c r="TQ17" i="4"/>
  <c r="TO17" i="4"/>
  <c r="TN17" i="4"/>
  <c r="TM17" i="4"/>
  <c r="TL17" i="4"/>
  <c r="TK17" i="4"/>
  <c r="TJ17" i="4"/>
  <c r="TV19" i="4"/>
  <c r="TU19" i="4"/>
  <c r="TT19" i="4"/>
  <c r="TS19" i="4"/>
  <c r="TR19" i="4"/>
  <c r="TQ19" i="4"/>
  <c r="TO19" i="4"/>
  <c r="TN19" i="4"/>
  <c r="TM19" i="4"/>
  <c r="TL19" i="4"/>
  <c r="TK19" i="4"/>
  <c r="TJ19" i="4"/>
  <c r="TV22" i="4"/>
  <c r="TU22" i="4"/>
  <c r="TT22" i="4"/>
  <c r="TS22" i="4"/>
  <c r="TR22" i="4"/>
  <c r="TQ22" i="4"/>
  <c r="TO22" i="4"/>
  <c r="TN22" i="4"/>
  <c r="TM22" i="4"/>
  <c r="TL22" i="4"/>
  <c r="TK22" i="4"/>
  <c r="TJ22" i="4"/>
  <c r="TV24" i="4"/>
  <c r="TU24" i="4"/>
  <c r="TT24" i="4"/>
  <c r="TS24" i="4"/>
  <c r="TR24" i="4"/>
  <c r="TQ24" i="4"/>
  <c r="TO24" i="4"/>
  <c r="TN24" i="4"/>
  <c r="TM24" i="4"/>
  <c r="TL24" i="4"/>
  <c r="TK24" i="4"/>
  <c r="TJ24" i="4"/>
  <c r="TV16" i="4"/>
  <c r="TU16" i="4"/>
  <c r="TT16" i="4"/>
  <c r="TS16" i="4"/>
  <c r="TR16" i="4"/>
  <c r="TQ16" i="4"/>
  <c r="TO16" i="4"/>
  <c r="TN16" i="4"/>
  <c r="TM16" i="4"/>
  <c r="TL16" i="4"/>
  <c r="TK16" i="4"/>
  <c r="TJ16" i="4"/>
  <c r="TV18" i="4"/>
  <c r="TU18" i="4"/>
  <c r="TT18" i="4"/>
  <c r="TS18" i="4"/>
  <c r="TR18" i="4"/>
  <c r="TQ18" i="4"/>
  <c r="TO18" i="4"/>
  <c r="TN18" i="4"/>
  <c r="TM18" i="4"/>
  <c r="TL18" i="4"/>
  <c r="TK18" i="4"/>
  <c r="TJ18" i="4"/>
  <c r="TV11" i="4"/>
  <c r="TU11" i="4"/>
  <c r="TT11" i="4"/>
  <c r="TS11" i="4"/>
  <c r="TR11" i="4"/>
  <c r="TQ11" i="4"/>
  <c r="TO11" i="4"/>
  <c r="TN11" i="4"/>
  <c r="TM11" i="4"/>
  <c r="TL11" i="4"/>
  <c r="TK11" i="4"/>
  <c r="TJ11" i="4"/>
  <c r="TV9" i="4"/>
  <c r="TU9" i="4"/>
  <c r="TT9" i="4"/>
  <c r="TS9" i="4"/>
  <c r="TR9" i="4"/>
  <c r="TQ9" i="4"/>
  <c r="TO9" i="4"/>
  <c r="TN9" i="4"/>
  <c r="TM9" i="4"/>
  <c r="TL9" i="4"/>
  <c r="TK9" i="4"/>
  <c r="TJ9" i="4"/>
  <c r="TV15" i="4"/>
  <c r="TU15" i="4"/>
  <c r="TT15" i="4"/>
  <c r="TS15" i="4"/>
  <c r="TR15" i="4"/>
  <c r="TQ15" i="4"/>
  <c r="TO15" i="4"/>
  <c r="TN15" i="4"/>
  <c r="TM15" i="4"/>
  <c r="TL15" i="4"/>
  <c r="TK15" i="4"/>
  <c r="TJ15" i="4"/>
  <c r="TV21" i="4"/>
  <c r="TU21" i="4"/>
  <c r="TT21" i="4"/>
  <c r="TS21" i="4"/>
  <c r="TR21" i="4"/>
  <c r="TQ21" i="4"/>
  <c r="TO21" i="4"/>
  <c r="TN21" i="4"/>
  <c r="TM21" i="4"/>
  <c r="TL21" i="4"/>
  <c r="TK21" i="4"/>
  <c r="TJ21" i="4"/>
  <c r="TV12" i="4"/>
  <c r="TU12" i="4"/>
  <c r="TT12" i="4"/>
  <c r="TS12" i="4"/>
  <c r="TR12" i="4"/>
  <c r="TQ12" i="4"/>
  <c r="TO12" i="4"/>
  <c r="TN12" i="4"/>
  <c r="TM12" i="4"/>
  <c r="TL12" i="4"/>
  <c r="TK12" i="4"/>
  <c r="TJ12" i="4"/>
  <c r="TV8" i="4"/>
  <c r="TU8" i="4"/>
  <c r="TT8" i="4"/>
  <c r="TS8" i="4"/>
  <c r="TR8" i="4"/>
  <c r="TQ8" i="4"/>
  <c r="TO8" i="4"/>
  <c r="TN8" i="4"/>
  <c r="TM8" i="4"/>
  <c r="TL8" i="4"/>
  <c r="TK8" i="4"/>
  <c r="TJ8" i="4"/>
  <c r="TV14" i="4"/>
  <c r="TU14" i="4"/>
  <c r="TT14" i="4"/>
  <c r="TS14" i="4"/>
  <c r="TR14" i="4"/>
  <c r="TQ14" i="4"/>
  <c r="TO14" i="4"/>
  <c r="TN14" i="4"/>
  <c r="TM14" i="4"/>
  <c r="TL14" i="4"/>
  <c r="TK14" i="4"/>
  <c r="TJ14" i="4"/>
  <c r="TV20" i="4"/>
  <c r="TU20" i="4"/>
  <c r="TT20" i="4"/>
  <c r="TS20" i="4"/>
  <c r="TR20" i="4"/>
  <c r="TQ20" i="4"/>
  <c r="TO20" i="4"/>
  <c r="TN20" i="4"/>
  <c r="TM20" i="4"/>
  <c r="TL20" i="4"/>
  <c r="TK20" i="4"/>
  <c r="TJ20" i="4"/>
  <c r="TV7" i="4"/>
  <c r="TU7" i="4"/>
  <c r="TT7" i="4"/>
  <c r="TS7" i="4"/>
  <c r="TR7" i="4"/>
  <c r="TQ7" i="4"/>
  <c r="TO7" i="4"/>
  <c r="TN7" i="4"/>
  <c r="TM7" i="4"/>
  <c r="TL7" i="4"/>
  <c r="TK7" i="4"/>
  <c r="TJ7" i="4"/>
  <c r="TV6" i="4"/>
  <c r="TU6" i="4"/>
  <c r="TT6" i="4"/>
  <c r="TS6" i="4"/>
  <c r="TR6" i="4"/>
  <c r="TQ6" i="4"/>
  <c r="TO6" i="4"/>
  <c r="TN6" i="4"/>
  <c r="TM6" i="4"/>
  <c r="TL6" i="4"/>
  <c r="TK6" i="4"/>
  <c r="TJ6" i="4"/>
  <c r="TV4" i="4"/>
  <c r="TU4" i="4"/>
  <c r="TT4" i="4"/>
  <c r="TS4" i="4"/>
  <c r="TR4" i="4"/>
  <c r="TQ4" i="4"/>
  <c r="TO4" i="4"/>
  <c r="TN4" i="4"/>
  <c r="TM4" i="4"/>
  <c r="TL4" i="4"/>
  <c r="TK4" i="4"/>
  <c r="TJ4" i="4"/>
  <c r="TV5" i="4"/>
  <c r="TU5" i="4"/>
  <c r="TT5" i="4"/>
  <c r="TS5" i="4"/>
  <c r="TR5" i="4"/>
  <c r="TQ5" i="4"/>
  <c r="TO5" i="4"/>
  <c r="TN5" i="4"/>
  <c r="TM5" i="4"/>
  <c r="TL5" i="4"/>
  <c r="TK5" i="4"/>
  <c r="TJ5" i="4"/>
  <c r="SN23" i="4"/>
  <c r="SM23" i="4"/>
  <c r="SL23" i="4"/>
  <c r="SK23" i="4"/>
  <c r="SJ23" i="4"/>
  <c r="SI23" i="4"/>
  <c r="SG23" i="4"/>
  <c r="SF23" i="4"/>
  <c r="SE23" i="4"/>
  <c r="SD23" i="4"/>
  <c r="SC23" i="4"/>
  <c r="SB23" i="4"/>
  <c r="SN17" i="4"/>
  <c r="SM17" i="4"/>
  <c r="SL17" i="4"/>
  <c r="SK17" i="4"/>
  <c r="SJ17" i="4"/>
  <c r="SI17" i="4"/>
  <c r="SG17" i="4"/>
  <c r="SF17" i="4"/>
  <c r="SE17" i="4"/>
  <c r="SD17" i="4"/>
  <c r="SC17" i="4"/>
  <c r="SB17" i="4"/>
  <c r="SN19" i="4"/>
  <c r="SM19" i="4"/>
  <c r="SL19" i="4"/>
  <c r="SK19" i="4"/>
  <c r="SJ19" i="4"/>
  <c r="SI19" i="4"/>
  <c r="SG19" i="4"/>
  <c r="SF19" i="4"/>
  <c r="SE19" i="4"/>
  <c r="SD19" i="4"/>
  <c r="SC19" i="4"/>
  <c r="SB19" i="4"/>
  <c r="SN22" i="4"/>
  <c r="SM22" i="4"/>
  <c r="SL22" i="4"/>
  <c r="SK22" i="4"/>
  <c r="SJ22" i="4"/>
  <c r="SI22" i="4"/>
  <c r="SG22" i="4"/>
  <c r="SF22" i="4"/>
  <c r="SE22" i="4"/>
  <c r="SD22" i="4"/>
  <c r="SC22" i="4"/>
  <c r="SB22" i="4"/>
  <c r="SN24" i="4"/>
  <c r="SM24" i="4"/>
  <c r="SL24" i="4"/>
  <c r="SK24" i="4"/>
  <c r="SJ24" i="4"/>
  <c r="SI24" i="4"/>
  <c r="SG24" i="4"/>
  <c r="SF24" i="4"/>
  <c r="SE24" i="4"/>
  <c r="SD24" i="4"/>
  <c r="SC24" i="4"/>
  <c r="SB24" i="4"/>
  <c r="SN16" i="4"/>
  <c r="SM16" i="4"/>
  <c r="SL16" i="4"/>
  <c r="SK16" i="4"/>
  <c r="SJ16" i="4"/>
  <c r="SI16" i="4"/>
  <c r="SG16" i="4"/>
  <c r="SF16" i="4"/>
  <c r="SE16" i="4"/>
  <c r="SD16" i="4"/>
  <c r="SC16" i="4"/>
  <c r="SB16" i="4"/>
  <c r="SN18" i="4"/>
  <c r="SM18" i="4"/>
  <c r="SL18" i="4"/>
  <c r="SK18" i="4"/>
  <c r="SJ18" i="4"/>
  <c r="SI18" i="4"/>
  <c r="SG18" i="4"/>
  <c r="SF18" i="4"/>
  <c r="SE18" i="4"/>
  <c r="SD18" i="4"/>
  <c r="SC18" i="4"/>
  <c r="SB18" i="4"/>
  <c r="SN11" i="4"/>
  <c r="SM11" i="4"/>
  <c r="SL11" i="4"/>
  <c r="SK11" i="4"/>
  <c r="SJ11" i="4"/>
  <c r="SI11" i="4"/>
  <c r="SG11" i="4"/>
  <c r="SF11" i="4"/>
  <c r="SE11" i="4"/>
  <c r="SD11" i="4"/>
  <c r="SC11" i="4"/>
  <c r="SB11" i="4"/>
  <c r="SN9" i="4"/>
  <c r="SM9" i="4"/>
  <c r="SL9" i="4"/>
  <c r="SK9" i="4"/>
  <c r="SJ9" i="4"/>
  <c r="SI9" i="4"/>
  <c r="SG9" i="4"/>
  <c r="SF9" i="4"/>
  <c r="SE9" i="4"/>
  <c r="SD9" i="4"/>
  <c r="SC9" i="4"/>
  <c r="SB9" i="4"/>
  <c r="SN15" i="4"/>
  <c r="SM15" i="4"/>
  <c r="SL15" i="4"/>
  <c r="SK15" i="4"/>
  <c r="SJ15" i="4"/>
  <c r="SI15" i="4"/>
  <c r="SG15" i="4"/>
  <c r="SF15" i="4"/>
  <c r="SE15" i="4"/>
  <c r="SD15" i="4"/>
  <c r="SC15" i="4"/>
  <c r="SB15" i="4"/>
  <c r="SN21" i="4"/>
  <c r="SM21" i="4"/>
  <c r="SL21" i="4"/>
  <c r="SK21" i="4"/>
  <c r="SJ21" i="4"/>
  <c r="SI21" i="4"/>
  <c r="SG21" i="4"/>
  <c r="SF21" i="4"/>
  <c r="SE21" i="4"/>
  <c r="SD21" i="4"/>
  <c r="SC21" i="4"/>
  <c r="SB21" i="4"/>
  <c r="SN12" i="4"/>
  <c r="SM12" i="4"/>
  <c r="SL12" i="4"/>
  <c r="SK12" i="4"/>
  <c r="SJ12" i="4"/>
  <c r="SI12" i="4"/>
  <c r="SG12" i="4"/>
  <c r="SF12" i="4"/>
  <c r="SE12" i="4"/>
  <c r="SD12" i="4"/>
  <c r="SC12" i="4"/>
  <c r="SB12" i="4"/>
  <c r="SN8" i="4"/>
  <c r="SM8" i="4"/>
  <c r="SL8" i="4"/>
  <c r="SK8" i="4"/>
  <c r="SJ8" i="4"/>
  <c r="SI8" i="4"/>
  <c r="SG8" i="4"/>
  <c r="SF8" i="4"/>
  <c r="SE8" i="4"/>
  <c r="SD8" i="4"/>
  <c r="SC8" i="4"/>
  <c r="SB8" i="4"/>
  <c r="SN14" i="4"/>
  <c r="SM14" i="4"/>
  <c r="SL14" i="4"/>
  <c r="SK14" i="4"/>
  <c r="SJ14" i="4"/>
  <c r="SI14" i="4"/>
  <c r="SG14" i="4"/>
  <c r="SF14" i="4"/>
  <c r="SE14" i="4"/>
  <c r="SD14" i="4"/>
  <c r="SC14" i="4"/>
  <c r="SB14" i="4"/>
  <c r="SN20" i="4"/>
  <c r="SM20" i="4"/>
  <c r="SL20" i="4"/>
  <c r="SK20" i="4"/>
  <c r="SJ20" i="4"/>
  <c r="SI20" i="4"/>
  <c r="SG20" i="4"/>
  <c r="SF20" i="4"/>
  <c r="SE20" i="4"/>
  <c r="SD20" i="4"/>
  <c r="SC20" i="4"/>
  <c r="SB20" i="4"/>
  <c r="SN7" i="4"/>
  <c r="SM7" i="4"/>
  <c r="SL7" i="4"/>
  <c r="SK7" i="4"/>
  <c r="SJ7" i="4"/>
  <c r="SI7" i="4"/>
  <c r="SG7" i="4"/>
  <c r="SF7" i="4"/>
  <c r="SE7" i="4"/>
  <c r="SD7" i="4"/>
  <c r="SC7" i="4"/>
  <c r="SB7" i="4"/>
  <c r="SN6" i="4"/>
  <c r="SM6" i="4"/>
  <c r="SL6" i="4"/>
  <c r="SK6" i="4"/>
  <c r="SJ6" i="4"/>
  <c r="SI6" i="4"/>
  <c r="SG6" i="4"/>
  <c r="SF6" i="4"/>
  <c r="SE6" i="4"/>
  <c r="SD6" i="4"/>
  <c r="SC6" i="4"/>
  <c r="SB6" i="4"/>
  <c r="SN4" i="4"/>
  <c r="SM4" i="4"/>
  <c r="SL4" i="4"/>
  <c r="SK4" i="4"/>
  <c r="SJ4" i="4"/>
  <c r="SI4" i="4"/>
  <c r="SG4" i="4"/>
  <c r="SF4" i="4"/>
  <c r="SE4" i="4"/>
  <c r="SD4" i="4"/>
  <c r="SC4" i="4"/>
  <c r="SB4" i="4"/>
  <c r="SN5" i="4"/>
  <c r="SM5" i="4"/>
  <c r="SL5" i="4"/>
  <c r="SK5" i="4"/>
  <c r="SJ5" i="4"/>
  <c r="SI5" i="4"/>
  <c r="SG5" i="4"/>
  <c r="SF5" i="4"/>
  <c r="SE5" i="4"/>
  <c r="SD5" i="4"/>
  <c r="SC5" i="4"/>
  <c r="SB5" i="4"/>
  <c r="RF23" i="4"/>
  <c r="RE23" i="4"/>
  <c r="RD23" i="4"/>
  <c r="RC23" i="4"/>
  <c r="RB23" i="4"/>
  <c r="RA23" i="4"/>
  <c r="QY23" i="4"/>
  <c r="QX23" i="4"/>
  <c r="QW23" i="4"/>
  <c r="QV23" i="4"/>
  <c r="QU23" i="4"/>
  <c r="QT23" i="4"/>
  <c r="RF17" i="4"/>
  <c r="RE17" i="4"/>
  <c r="RD17" i="4"/>
  <c r="RC17" i="4"/>
  <c r="RB17" i="4"/>
  <c r="RA17" i="4"/>
  <c r="QY17" i="4"/>
  <c r="QX17" i="4"/>
  <c r="QW17" i="4"/>
  <c r="QV17" i="4"/>
  <c r="QU17" i="4"/>
  <c r="QT17" i="4"/>
  <c r="RF19" i="4"/>
  <c r="RE19" i="4"/>
  <c r="RD19" i="4"/>
  <c r="RC19" i="4"/>
  <c r="RB19" i="4"/>
  <c r="RA19" i="4"/>
  <c r="QY19" i="4"/>
  <c r="QX19" i="4"/>
  <c r="QW19" i="4"/>
  <c r="QV19" i="4"/>
  <c r="QU19" i="4"/>
  <c r="QT19" i="4"/>
  <c r="RF22" i="4"/>
  <c r="RE22" i="4"/>
  <c r="RD22" i="4"/>
  <c r="RC22" i="4"/>
  <c r="RB22" i="4"/>
  <c r="RA22" i="4"/>
  <c r="QY22" i="4"/>
  <c r="QX22" i="4"/>
  <c r="QW22" i="4"/>
  <c r="QV22" i="4"/>
  <c r="QU22" i="4"/>
  <c r="QT22" i="4"/>
  <c r="RF24" i="4"/>
  <c r="RE24" i="4"/>
  <c r="RD24" i="4"/>
  <c r="RC24" i="4"/>
  <c r="RB24" i="4"/>
  <c r="RA24" i="4"/>
  <c r="QY24" i="4"/>
  <c r="QX24" i="4"/>
  <c r="QW24" i="4"/>
  <c r="QV24" i="4"/>
  <c r="QU24" i="4"/>
  <c r="QT24" i="4"/>
  <c r="RF16" i="4"/>
  <c r="RE16" i="4"/>
  <c r="RD16" i="4"/>
  <c r="RC16" i="4"/>
  <c r="RB16" i="4"/>
  <c r="RA16" i="4"/>
  <c r="QY16" i="4"/>
  <c r="QX16" i="4"/>
  <c r="QW16" i="4"/>
  <c r="QV16" i="4"/>
  <c r="QU16" i="4"/>
  <c r="QT16" i="4"/>
  <c r="RF18" i="4"/>
  <c r="RE18" i="4"/>
  <c r="RD18" i="4"/>
  <c r="RC18" i="4"/>
  <c r="RB18" i="4"/>
  <c r="RA18" i="4"/>
  <c r="QY18" i="4"/>
  <c r="QX18" i="4"/>
  <c r="QW18" i="4"/>
  <c r="QV18" i="4"/>
  <c r="QU18" i="4"/>
  <c r="QT18" i="4"/>
  <c r="RF11" i="4"/>
  <c r="RE11" i="4"/>
  <c r="RD11" i="4"/>
  <c r="RC11" i="4"/>
  <c r="RB11" i="4"/>
  <c r="RA11" i="4"/>
  <c r="QY11" i="4"/>
  <c r="QX11" i="4"/>
  <c r="QW11" i="4"/>
  <c r="QV11" i="4"/>
  <c r="QU11" i="4"/>
  <c r="QT11" i="4"/>
  <c r="RF9" i="4"/>
  <c r="RE9" i="4"/>
  <c r="RD9" i="4"/>
  <c r="RC9" i="4"/>
  <c r="RB9" i="4"/>
  <c r="RA9" i="4"/>
  <c r="QY9" i="4"/>
  <c r="QX9" i="4"/>
  <c r="QW9" i="4"/>
  <c r="QV9" i="4"/>
  <c r="QU9" i="4"/>
  <c r="QT9" i="4"/>
  <c r="RF15" i="4"/>
  <c r="RE15" i="4"/>
  <c r="RD15" i="4"/>
  <c r="RC15" i="4"/>
  <c r="RB15" i="4"/>
  <c r="RA15" i="4"/>
  <c r="QY15" i="4"/>
  <c r="QX15" i="4"/>
  <c r="QW15" i="4"/>
  <c r="QV15" i="4"/>
  <c r="QU15" i="4"/>
  <c r="QT15" i="4"/>
  <c r="RF21" i="4"/>
  <c r="RE21" i="4"/>
  <c r="RD21" i="4"/>
  <c r="RC21" i="4"/>
  <c r="RB21" i="4"/>
  <c r="RA21" i="4"/>
  <c r="QY21" i="4"/>
  <c r="QX21" i="4"/>
  <c r="QW21" i="4"/>
  <c r="QV21" i="4"/>
  <c r="QU21" i="4"/>
  <c r="QT21" i="4"/>
  <c r="RF12" i="4"/>
  <c r="RE12" i="4"/>
  <c r="RD12" i="4"/>
  <c r="RC12" i="4"/>
  <c r="RB12" i="4"/>
  <c r="RA12" i="4"/>
  <c r="QY12" i="4"/>
  <c r="QX12" i="4"/>
  <c r="QW12" i="4"/>
  <c r="QV12" i="4"/>
  <c r="QU12" i="4"/>
  <c r="QT12" i="4"/>
  <c r="RF8" i="4"/>
  <c r="RE8" i="4"/>
  <c r="RD8" i="4"/>
  <c r="RC8" i="4"/>
  <c r="RB8" i="4"/>
  <c r="RA8" i="4"/>
  <c r="QY8" i="4"/>
  <c r="QX8" i="4"/>
  <c r="QW8" i="4"/>
  <c r="QV8" i="4"/>
  <c r="QU8" i="4"/>
  <c r="QT8" i="4"/>
  <c r="RF14" i="4"/>
  <c r="RE14" i="4"/>
  <c r="RD14" i="4"/>
  <c r="RC14" i="4"/>
  <c r="RB14" i="4"/>
  <c r="RA14" i="4"/>
  <c r="QY14" i="4"/>
  <c r="QX14" i="4"/>
  <c r="QW14" i="4"/>
  <c r="QV14" i="4"/>
  <c r="QU14" i="4"/>
  <c r="QT14" i="4"/>
  <c r="RF20" i="4"/>
  <c r="RE20" i="4"/>
  <c r="RD20" i="4"/>
  <c r="RC20" i="4"/>
  <c r="RB20" i="4"/>
  <c r="RA20" i="4"/>
  <c r="QY20" i="4"/>
  <c r="QX20" i="4"/>
  <c r="QW20" i="4"/>
  <c r="QV20" i="4"/>
  <c r="QU20" i="4"/>
  <c r="QT20" i="4"/>
  <c r="RF7" i="4"/>
  <c r="RE7" i="4"/>
  <c r="RD7" i="4"/>
  <c r="RC7" i="4"/>
  <c r="RB7" i="4"/>
  <c r="RA7" i="4"/>
  <c r="QY7" i="4"/>
  <c r="QX7" i="4"/>
  <c r="QW7" i="4"/>
  <c r="QV7" i="4"/>
  <c r="QU7" i="4"/>
  <c r="QT7" i="4"/>
  <c r="RF6" i="4"/>
  <c r="RE6" i="4"/>
  <c r="RD6" i="4"/>
  <c r="RC6" i="4"/>
  <c r="RB6" i="4"/>
  <c r="RA6" i="4"/>
  <c r="QY6" i="4"/>
  <c r="QX6" i="4"/>
  <c r="QW6" i="4"/>
  <c r="QV6" i="4"/>
  <c r="QU6" i="4"/>
  <c r="QT6" i="4"/>
  <c r="RF4" i="4"/>
  <c r="RE4" i="4"/>
  <c r="RD4" i="4"/>
  <c r="RC4" i="4"/>
  <c r="RB4" i="4"/>
  <c r="RA4" i="4"/>
  <c r="QY4" i="4"/>
  <c r="QX4" i="4"/>
  <c r="QW4" i="4"/>
  <c r="QV4" i="4"/>
  <c r="QU4" i="4"/>
  <c r="QT4" i="4"/>
  <c r="RF5" i="4"/>
  <c r="RE5" i="4"/>
  <c r="RD5" i="4"/>
  <c r="RC5" i="4"/>
  <c r="RB5" i="4"/>
  <c r="RA5" i="4"/>
  <c r="QY5" i="4"/>
  <c r="QX5" i="4"/>
  <c r="QW5" i="4"/>
  <c r="QV5" i="4"/>
  <c r="QU5" i="4"/>
  <c r="QT5" i="4"/>
  <c r="PX23" i="4"/>
  <c r="PW23" i="4"/>
  <c r="PV23" i="4"/>
  <c r="PU23" i="4"/>
  <c r="PT23" i="4"/>
  <c r="PS23" i="4"/>
  <c r="PQ23" i="4"/>
  <c r="PP23" i="4"/>
  <c r="PO23" i="4"/>
  <c r="PN23" i="4"/>
  <c r="PM23" i="4"/>
  <c r="PL23" i="4"/>
  <c r="PX17" i="4"/>
  <c r="PW17" i="4"/>
  <c r="PV17" i="4"/>
  <c r="PU17" i="4"/>
  <c r="PT17" i="4"/>
  <c r="PS17" i="4"/>
  <c r="PQ17" i="4"/>
  <c r="PP17" i="4"/>
  <c r="PO17" i="4"/>
  <c r="PN17" i="4"/>
  <c r="PM17" i="4"/>
  <c r="PL17" i="4"/>
  <c r="PX19" i="4"/>
  <c r="PW19" i="4"/>
  <c r="PV19" i="4"/>
  <c r="PU19" i="4"/>
  <c r="PT19" i="4"/>
  <c r="PS19" i="4"/>
  <c r="PQ19" i="4"/>
  <c r="PP19" i="4"/>
  <c r="PO19" i="4"/>
  <c r="PN19" i="4"/>
  <c r="PM19" i="4"/>
  <c r="PL19" i="4"/>
  <c r="PX22" i="4"/>
  <c r="PW22" i="4"/>
  <c r="PV22" i="4"/>
  <c r="PU22" i="4"/>
  <c r="PT22" i="4"/>
  <c r="PS22" i="4"/>
  <c r="PQ22" i="4"/>
  <c r="PP22" i="4"/>
  <c r="PO22" i="4"/>
  <c r="PN22" i="4"/>
  <c r="PM22" i="4"/>
  <c r="PL22" i="4"/>
  <c r="PX24" i="4"/>
  <c r="PW24" i="4"/>
  <c r="PV24" i="4"/>
  <c r="PU24" i="4"/>
  <c r="PT24" i="4"/>
  <c r="PS24" i="4"/>
  <c r="PQ24" i="4"/>
  <c r="PP24" i="4"/>
  <c r="PO24" i="4"/>
  <c r="PN24" i="4"/>
  <c r="PM24" i="4"/>
  <c r="PL24" i="4"/>
  <c r="PX16" i="4"/>
  <c r="PW16" i="4"/>
  <c r="PV16" i="4"/>
  <c r="PU16" i="4"/>
  <c r="PT16" i="4"/>
  <c r="PS16" i="4"/>
  <c r="PQ16" i="4"/>
  <c r="PP16" i="4"/>
  <c r="PO16" i="4"/>
  <c r="PN16" i="4"/>
  <c r="PM16" i="4"/>
  <c r="PL16" i="4"/>
  <c r="PX18" i="4"/>
  <c r="PW18" i="4"/>
  <c r="PV18" i="4"/>
  <c r="PU18" i="4"/>
  <c r="PT18" i="4"/>
  <c r="PS18" i="4"/>
  <c r="PQ18" i="4"/>
  <c r="PP18" i="4"/>
  <c r="PO18" i="4"/>
  <c r="PN18" i="4"/>
  <c r="PM18" i="4"/>
  <c r="PL18" i="4"/>
  <c r="PX11" i="4"/>
  <c r="PW11" i="4"/>
  <c r="PV11" i="4"/>
  <c r="PU11" i="4"/>
  <c r="PT11" i="4"/>
  <c r="PS11" i="4"/>
  <c r="PQ11" i="4"/>
  <c r="PP11" i="4"/>
  <c r="PO11" i="4"/>
  <c r="PN11" i="4"/>
  <c r="PM11" i="4"/>
  <c r="PL11" i="4"/>
  <c r="PX9" i="4"/>
  <c r="PW9" i="4"/>
  <c r="PV9" i="4"/>
  <c r="PU9" i="4"/>
  <c r="PT9" i="4"/>
  <c r="PS9" i="4"/>
  <c r="PQ9" i="4"/>
  <c r="PP9" i="4"/>
  <c r="PO9" i="4"/>
  <c r="PN9" i="4"/>
  <c r="PM9" i="4"/>
  <c r="PL9" i="4"/>
  <c r="PX15" i="4"/>
  <c r="PW15" i="4"/>
  <c r="PV15" i="4"/>
  <c r="PU15" i="4"/>
  <c r="PT15" i="4"/>
  <c r="PS15" i="4"/>
  <c r="PQ15" i="4"/>
  <c r="PP15" i="4"/>
  <c r="PO15" i="4"/>
  <c r="PN15" i="4"/>
  <c r="PM15" i="4"/>
  <c r="PL15" i="4"/>
  <c r="PX21" i="4"/>
  <c r="PW21" i="4"/>
  <c r="PV21" i="4"/>
  <c r="PU21" i="4"/>
  <c r="PT21" i="4"/>
  <c r="PS21" i="4"/>
  <c r="PQ21" i="4"/>
  <c r="PP21" i="4"/>
  <c r="PO21" i="4"/>
  <c r="PN21" i="4"/>
  <c r="PM21" i="4"/>
  <c r="PL21" i="4"/>
  <c r="PX12" i="4"/>
  <c r="PW12" i="4"/>
  <c r="PV12" i="4"/>
  <c r="PU12" i="4"/>
  <c r="PT12" i="4"/>
  <c r="PS12" i="4"/>
  <c r="PQ12" i="4"/>
  <c r="PP12" i="4"/>
  <c r="PO12" i="4"/>
  <c r="PN12" i="4"/>
  <c r="PM12" i="4"/>
  <c r="PL12" i="4"/>
  <c r="PX8" i="4"/>
  <c r="PW8" i="4"/>
  <c r="PV8" i="4"/>
  <c r="PU8" i="4"/>
  <c r="PT8" i="4"/>
  <c r="PS8" i="4"/>
  <c r="PQ8" i="4"/>
  <c r="PP8" i="4"/>
  <c r="PO8" i="4"/>
  <c r="PN8" i="4"/>
  <c r="PM8" i="4"/>
  <c r="PL8" i="4"/>
  <c r="PX14" i="4"/>
  <c r="PW14" i="4"/>
  <c r="PV14" i="4"/>
  <c r="PU14" i="4"/>
  <c r="PT14" i="4"/>
  <c r="PS14" i="4"/>
  <c r="PQ14" i="4"/>
  <c r="PP14" i="4"/>
  <c r="PO14" i="4"/>
  <c r="PN14" i="4"/>
  <c r="PM14" i="4"/>
  <c r="PL14" i="4"/>
  <c r="PX20" i="4"/>
  <c r="PW20" i="4"/>
  <c r="PV20" i="4"/>
  <c r="PU20" i="4"/>
  <c r="PT20" i="4"/>
  <c r="PS20" i="4"/>
  <c r="PQ20" i="4"/>
  <c r="PP20" i="4"/>
  <c r="PO20" i="4"/>
  <c r="PN20" i="4"/>
  <c r="PM20" i="4"/>
  <c r="PL20" i="4"/>
  <c r="PX7" i="4"/>
  <c r="PW7" i="4"/>
  <c r="PV7" i="4"/>
  <c r="PU7" i="4"/>
  <c r="PT7" i="4"/>
  <c r="PS7" i="4"/>
  <c r="PQ7" i="4"/>
  <c r="PP7" i="4"/>
  <c r="PO7" i="4"/>
  <c r="PN7" i="4"/>
  <c r="PM7" i="4"/>
  <c r="PL7" i="4"/>
  <c r="PX6" i="4"/>
  <c r="PW6" i="4"/>
  <c r="PV6" i="4"/>
  <c r="PU6" i="4"/>
  <c r="PT6" i="4"/>
  <c r="PS6" i="4"/>
  <c r="PQ6" i="4"/>
  <c r="PP6" i="4"/>
  <c r="PO6" i="4"/>
  <c r="PN6" i="4"/>
  <c r="PM6" i="4"/>
  <c r="PL6" i="4"/>
  <c r="PX4" i="4"/>
  <c r="PW4" i="4"/>
  <c r="PV4" i="4"/>
  <c r="PU4" i="4"/>
  <c r="PT4" i="4"/>
  <c r="PS4" i="4"/>
  <c r="PQ4" i="4"/>
  <c r="PP4" i="4"/>
  <c r="PO4" i="4"/>
  <c r="PN4" i="4"/>
  <c r="PM4" i="4"/>
  <c r="PL4" i="4"/>
  <c r="PX5" i="4"/>
  <c r="PW5" i="4"/>
  <c r="PV5" i="4"/>
  <c r="PU5" i="4"/>
  <c r="PT5" i="4"/>
  <c r="PS5" i="4"/>
  <c r="PQ5" i="4"/>
  <c r="PP5" i="4"/>
  <c r="PO5" i="4"/>
  <c r="PN5" i="4"/>
  <c r="PM5" i="4"/>
  <c r="PL5" i="4"/>
  <c r="OP23" i="4"/>
  <c r="OO23" i="4"/>
  <c r="ON23" i="4"/>
  <c r="OM23" i="4"/>
  <c r="OL23" i="4"/>
  <c r="OK23" i="4"/>
  <c r="OI23" i="4"/>
  <c r="OH23" i="4"/>
  <c r="OG23" i="4"/>
  <c r="OF23" i="4"/>
  <c r="OE23" i="4"/>
  <c r="OD23" i="4"/>
  <c r="OP17" i="4"/>
  <c r="OO17" i="4"/>
  <c r="ON17" i="4"/>
  <c r="OM17" i="4"/>
  <c r="OL17" i="4"/>
  <c r="OK17" i="4"/>
  <c r="OI17" i="4"/>
  <c r="OH17" i="4"/>
  <c r="OG17" i="4"/>
  <c r="OF17" i="4"/>
  <c r="OE17" i="4"/>
  <c r="OD17" i="4"/>
  <c r="OP19" i="4"/>
  <c r="OO19" i="4"/>
  <c r="ON19" i="4"/>
  <c r="OM19" i="4"/>
  <c r="OL19" i="4"/>
  <c r="OK19" i="4"/>
  <c r="OI19" i="4"/>
  <c r="OH19" i="4"/>
  <c r="OG19" i="4"/>
  <c r="OF19" i="4"/>
  <c r="OE19" i="4"/>
  <c r="OD19" i="4"/>
  <c r="OP22" i="4"/>
  <c r="OO22" i="4"/>
  <c r="ON22" i="4"/>
  <c r="OM22" i="4"/>
  <c r="OL22" i="4"/>
  <c r="OK22" i="4"/>
  <c r="OI22" i="4"/>
  <c r="OH22" i="4"/>
  <c r="OG22" i="4"/>
  <c r="OF22" i="4"/>
  <c r="OE22" i="4"/>
  <c r="OD22" i="4"/>
  <c r="OP24" i="4"/>
  <c r="OO24" i="4"/>
  <c r="ON24" i="4"/>
  <c r="OM24" i="4"/>
  <c r="OL24" i="4"/>
  <c r="OK24" i="4"/>
  <c r="OI24" i="4"/>
  <c r="OH24" i="4"/>
  <c r="OG24" i="4"/>
  <c r="OF24" i="4"/>
  <c r="OE24" i="4"/>
  <c r="OD24" i="4"/>
  <c r="OP16" i="4"/>
  <c r="OO16" i="4"/>
  <c r="ON16" i="4"/>
  <c r="OM16" i="4"/>
  <c r="OL16" i="4"/>
  <c r="OK16" i="4"/>
  <c r="OI16" i="4"/>
  <c r="OH16" i="4"/>
  <c r="OG16" i="4"/>
  <c r="OF16" i="4"/>
  <c r="OE16" i="4"/>
  <c r="OD16" i="4"/>
  <c r="OP18" i="4"/>
  <c r="OO18" i="4"/>
  <c r="ON18" i="4"/>
  <c r="OM18" i="4"/>
  <c r="OL18" i="4"/>
  <c r="OK18" i="4"/>
  <c r="OI18" i="4"/>
  <c r="OH18" i="4"/>
  <c r="OG18" i="4"/>
  <c r="OF18" i="4"/>
  <c r="OE18" i="4"/>
  <c r="OD18" i="4"/>
  <c r="OP11" i="4"/>
  <c r="OO11" i="4"/>
  <c r="ON11" i="4"/>
  <c r="OM11" i="4"/>
  <c r="OL11" i="4"/>
  <c r="OK11" i="4"/>
  <c r="OI11" i="4"/>
  <c r="OH11" i="4"/>
  <c r="OG11" i="4"/>
  <c r="OF11" i="4"/>
  <c r="OE11" i="4"/>
  <c r="OD11" i="4"/>
  <c r="OP9" i="4"/>
  <c r="OO9" i="4"/>
  <c r="ON9" i="4"/>
  <c r="OM9" i="4"/>
  <c r="OL9" i="4"/>
  <c r="OK9" i="4"/>
  <c r="OI9" i="4"/>
  <c r="OH9" i="4"/>
  <c r="OG9" i="4"/>
  <c r="OF9" i="4"/>
  <c r="OE9" i="4"/>
  <c r="OD9" i="4"/>
  <c r="OP15" i="4"/>
  <c r="OO15" i="4"/>
  <c r="ON15" i="4"/>
  <c r="OM15" i="4"/>
  <c r="OL15" i="4"/>
  <c r="OK15" i="4"/>
  <c r="OI15" i="4"/>
  <c r="OH15" i="4"/>
  <c r="OG15" i="4"/>
  <c r="OF15" i="4"/>
  <c r="OE15" i="4"/>
  <c r="OD15" i="4"/>
  <c r="OP21" i="4"/>
  <c r="OO21" i="4"/>
  <c r="ON21" i="4"/>
  <c r="OM21" i="4"/>
  <c r="OL21" i="4"/>
  <c r="OK21" i="4"/>
  <c r="OI21" i="4"/>
  <c r="OH21" i="4"/>
  <c r="OG21" i="4"/>
  <c r="OF21" i="4"/>
  <c r="OE21" i="4"/>
  <c r="OD21" i="4"/>
  <c r="OP12" i="4"/>
  <c r="OO12" i="4"/>
  <c r="ON12" i="4"/>
  <c r="OM12" i="4"/>
  <c r="OL12" i="4"/>
  <c r="OK12" i="4"/>
  <c r="OI12" i="4"/>
  <c r="OH12" i="4"/>
  <c r="OG12" i="4"/>
  <c r="OF12" i="4"/>
  <c r="OE12" i="4"/>
  <c r="OD12" i="4"/>
  <c r="OP8" i="4"/>
  <c r="OO8" i="4"/>
  <c r="ON8" i="4"/>
  <c r="OM8" i="4"/>
  <c r="OL8" i="4"/>
  <c r="OK8" i="4"/>
  <c r="OI8" i="4"/>
  <c r="OH8" i="4"/>
  <c r="OG8" i="4"/>
  <c r="OF8" i="4"/>
  <c r="OE8" i="4"/>
  <c r="OD8" i="4"/>
  <c r="OP14" i="4"/>
  <c r="OO14" i="4"/>
  <c r="ON14" i="4"/>
  <c r="OM14" i="4"/>
  <c r="OL14" i="4"/>
  <c r="OK14" i="4"/>
  <c r="OI14" i="4"/>
  <c r="OH14" i="4"/>
  <c r="OG14" i="4"/>
  <c r="OF14" i="4"/>
  <c r="OE14" i="4"/>
  <c r="OD14" i="4"/>
  <c r="OP20" i="4"/>
  <c r="OO20" i="4"/>
  <c r="ON20" i="4"/>
  <c r="OM20" i="4"/>
  <c r="OL20" i="4"/>
  <c r="OK20" i="4"/>
  <c r="OI20" i="4"/>
  <c r="OH20" i="4"/>
  <c r="OG20" i="4"/>
  <c r="OF20" i="4"/>
  <c r="OE20" i="4"/>
  <c r="OD20" i="4"/>
  <c r="OP7" i="4"/>
  <c r="OO7" i="4"/>
  <c r="ON7" i="4"/>
  <c r="OM7" i="4"/>
  <c r="OL7" i="4"/>
  <c r="OK7" i="4"/>
  <c r="OI7" i="4"/>
  <c r="OH7" i="4"/>
  <c r="OG7" i="4"/>
  <c r="OF7" i="4"/>
  <c r="OE7" i="4"/>
  <c r="OD7" i="4"/>
  <c r="OP6" i="4"/>
  <c r="OO6" i="4"/>
  <c r="ON6" i="4"/>
  <c r="OM6" i="4"/>
  <c r="OL6" i="4"/>
  <c r="OK6" i="4"/>
  <c r="OI6" i="4"/>
  <c r="OH6" i="4"/>
  <c r="OG6" i="4"/>
  <c r="OF6" i="4"/>
  <c r="OE6" i="4"/>
  <c r="OD6" i="4"/>
  <c r="OP4" i="4"/>
  <c r="OO4" i="4"/>
  <c r="ON4" i="4"/>
  <c r="OM4" i="4"/>
  <c r="OL4" i="4"/>
  <c r="OK4" i="4"/>
  <c r="OI4" i="4"/>
  <c r="OH4" i="4"/>
  <c r="OG4" i="4"/>
  <c r="OF4" i="4"/>
  <c r="OE4" i="4"/>
  <c r="OD4" i="4"/>
  <c r="OP5" i="4"/>
  <c r="OO5" i="4"/>
  <c r="ON5" i="4"/>
  <c r="OM5" i="4"/>
  <c r="OL5" i="4"/>
  <c r="OK5" i="4"/>
  <c r="OI5" i="4"/>
  <c r="OH5" i="4"/>
  <c r="OG5" i="4"/>
  <c r="OF5" i="4"/>
  <c r="OE5" i="4"/>
  <c r="OD5" i="4"/>
  <c r="NH23" i="4"/>
  <c r="NG23" i="4"/>
  <c r="NF23" i="4"/>
  <c r="NE23" i="4"/>
  <c r="ND23" i="4"/>
  <c r="NC23" i="4"/>
  <c r="NA23" i="4"/>
  <c r="MZ23" i="4"/>
  <c r="MY23" i="4"/>
  <c r="MX23" i="4"/>
  <c r="MW23" i="4"/>
  <c r="MV23" i="4"/>
  <c r="NH17" i="4"/>
  <c r="NG17" i="4"/>
  <c r="NF17" i="4"/>
  <c r="NE17" i="4"/>
  <c r="ND17" i="4"/>
  <c r="NC17" i="4"/>
  <c r="NA17" i="4"/>
  <c r="MZ17" i="4"/>
  <c r="MY17" i="4"/>
  <c r="MX17" i="4"/>
  <c r="MW17" i="4"/>
  <c r="MV17" i="4"/>
  <c r="NH19" i="4"/>
  <c r="NG19" i="4"/>
  <c r="NF19" i="4"/>
  <c r="NE19" i="4"/>
  <c r="ND19" i="4"/>
  <c r="NC19" i="4"/>
  <c r="NA19" i="4"/>
  <c r="MZ19" i="4"/>
  <c r="MY19" i="4"/>
  <c r="MX19" i="4"/>
  <c r="MW19" i="4"/>
  <c r="MV19" i="4"/>
  <c r="NH22" i="4"/>
  <c r="NG22" i="4"/>
  <c r="NF22" i="4"/>
  <c r="NE22" i="4"/>
  <c r="ND22" i="4"/>
  <c r="NC22" i="4"/>
  <c r="NA22" i="4"/>
  <c r="MZ22" i="4"/>
  <c r="MY22" i="4"/>
  <c r="MX22" i="4"/>
  <c r="MW22" i="4"/>
  <c r="MV22" i="4"/>
  <c r="NH24" i="4"/>
  <c r="NG24" i="4"/>
  <c r="NF24" i="4"/>
  <c r="NE24" i="4"/>
  <c r="ND24" i="4"/>
  <c r="NC24" i="4"/>
  <c r="NA24" i="4"/>
  <c r="MZ24" i="4"/>
  <c r="MY24" i="4"/>
  <c r="MX24" i="4"/>
  <c r="MW24" i="4"/>
  <c r="MV24" i="4"/>
  <c r="NH16" i="4"/>
  <c r="NG16" i="4"/>
  <c r="NF16" i="4"/>
  <c r="NE16" i="4"/>
  <c r="ND16" i="4"/>
  <c r="NC16" i="4"/>
  <c r="NA16" i="4"/>
  <c r="MZ16" i="4"/>
  <c r="MY16" i="4"/>
  <c r="MX16" i="4"/>
  <c r="MW16" i="4"/>
  <c r="MV16" i="4"/>
  <c r="NH18" i="4"/>
  <c r="NG18" i="4"/>
  <c r="NF18" i="4"/>
  <c r="NE18" i="4"/>
  <c r="ND18" i="4"/>
  <c r="NC18" i="4"/>
  <c r="NA18" i="4"/>
  <c r="MZ18" i="4"/>
  <c r="MY18" i="4"/>
  <c r="MX18" i="4"/>
  <c r="MW18" i="4"/>
  <c r="MV18" i="4"/>
  <c r="NH11" i="4"/>
  <c r="NG11" i="4"/>
  <c r="NF11" i="4"/>
  <c r="NE11" i="4"/>
  <c r="ND11" i="4"/>
  <c r="NC11" i="4"/>
  <c r="NA11" i="4"/>
  <c r="MZ11" i="4"/>
  <c r="MY11" i="4"/>
  <c r="MX11" i="4"/>
  <c r="MW11" i="4"/>
  <c r="MV11" i="4"/>
  <c r="NH9" i="4"/>
  <c r="NG9" i="4"/>
  <c r="NF9" i="4"/>
  <c r="NE9" i="4"/>
  <c r="ND9" i="4"/>
  <c r="NC9" i="4"/>
  <c r="NA9" i="4"/>
  <c r="MZ9" i="4"/>
  <c r="MY9" i="4"/>
  <c r="MX9" i="4"/>
  <c r="MW9" i="4"/>
  <c r="MV9" i="4"/>
  <c r="NH15" i="4"/>
  <c r="NG15" i="4"/>
  <c r="NF15" i="4"/>
  <c r="NE15" i="4"/>
  <c r="ND15" i="4"/>
  <c r="NC15" i="4"/>
  <c r="NA15" i="4"/>
  <c r="MZ15" i="4"/>
  <c r="MY15" i="4"/>
  <c r="MX15" i="4"/>
  <c r="MW15" i="4"/>
  <c r="MV15" i="4"/>
  <c r="NH21" i="4"/>
  <c r="NG21" i="4"/>
  <c r="NF21" i="4"/>
  <c r="NE21" i="4"/>
  <c r="ND21" i="4"/>
  <c r="NC21" i="4"/>
  <c r="NA21" i="4"/>
  <c r="MZ21" i="4"/>
  <c r="MY21" i="4"/>
  <c r="MX21" i="4"/>
  <c r="MW21" i="4"/>
  <c r="MV21" i="4"/>
  <c r="NH12" i="4"/>
  <c r="NG12" i="4"/>
  <c r="NF12" i="4"/>
  <c r="NE12" i="4"/>
  <c r="ND12" i="4"/>
  <c r="NC12" i="4"/>
  <c r="NA12" i="4"/>
  <c r="MZ12" i="4"/>
  <c r="MY12" i="4"/>
  <c r="MX12" i="4"/>
  <c r="MW12" i="4"/>
  <c r="MV12" i="4"/>
  <c r="NH8" i="4"/>
  <c r="NG8" i="4"/>
  <c r="NF8" i="4"/>
  <c r="NE8" i="4"/>
  <c r="ND8" i="4"/>
  <c r="NC8" i="4"/>
  <c r="NA8" i="4"/>
  <c r="MZ8" i="4"/>
  <c r="MY8" i="4"/>
  <c r="MX8" i="4"/>
  <c r="MW8" i="4"/>
  <c r="MV8" i="4"/>
  <c r="NH14" i="4"/>
  <c r="NG14" i="4"/>
  <c r="NF14" i="4"/>
  <c r="NE14" i="4"/>
  <c r="ND14" i="4"/>
  <c r="NC14" i="4"/>
  <c r="NA14" i="4"/>
  <c r="MZ14" i="4"/>
  <c r="MY14" i="4"/>
  <c r="MX14" i="4"/>
  <c r="MW14" i="4"/>
  <c r="MV14" i="4"/>
  <c r="NH20" i="4"/>
  <c r="NG20" i="4"/>
  <c r="NF20" i="4"/>
  <c r="NE20" i="4"/>
  <c r="ND20" i="4"/>
  <c r="NC20" i="4"/>
  <c r="NA20" i="4"/>
  <c r="MZ20" i="4"/>
  <c r="MY20" i="4"/>
  <c r="MX20" i="4"/>
  <c r="MW20" i="4"/>
  <c r="MV20" i="4"/>
  <c r="NH7" i="4"/>
  <c r="NG7" i="4"/>
  <c r="NF7" i="4"/>
  <c r="NE7" i="4"/>
  <c r="ND7" i="4"/>
  <c r="NC7" i="4"/>
  <c r="NA7" i="4"/>
  <c r="MZ7" i="4"/>
  <c r="MY7" i="4"/>
  <c r="MX7" i="4"/>
  <c r="MW7" i="4"/>
  <c r="MV7" i="4"/>
  <c r="NH6" i="4"/>
  <c r="NG6" i="4"/>
  <c r="NF6" i="4"/>
  <c r="NE6" i="4"/>
  <c r="ND6" i="4"/>
  <c r="NC6" i="4"/>
  <c r="NA6" i="4"/>
  <c r="MZ6" i="4"/>
  <c r="MY6" i="4"/>
  <c r="MX6" i="4"/>
  <c r="MW6" i="4"/>
  <c r="MV6" i="4"/>
  <c r="NH4" i="4"/>
  <c r="NG4" i="4"/>
  <c r="NF4" i="4"/>
  <c r="NE4" i="4"/>
  <c r="ND4" i="4"/>
  <c r="NC4" i="4"/>
  <c r="NA4" i="4"/>
  <c r="MZ4" i="4"/>
  <c r="MY4" i="4"/>
  <c r="MX4" i="4"/>
  <c r="MW4" i="4"/>
  <c r="MV4" i="4"/>
  <c r="NH5" i="4"/>
  <c r="NG5" i="4"/>
  <c r="NF5" i="4"/>
  <c r="NE5" i="4"/>
  <c r="ND5" i="4"/>
  <c r="NC5" i="4"/>
  <c r="NA5" i="4"/>
  <c r="MZ5" i="4"/>
  <c r="MY5" i="4"/>
  <c r="MX5" i="4"/>
  <c r="MW5" i="4"/>
  <c r="MV5" i="4"/>
  <c r="LZ23" i="4"/>
  <c r="LY23" i="4"/>
  <c r="LX23" i="4"/>
  <c r="LW23" i="4"/>
  <c r="LV23" i="4"/>
  <c r="LU23" i="4"/>
  <c r="LS23" i="4"/>
  <c r="LR23" i="4"/>
  <c r="LQ23" i="4"/>
  <c r="LP23" i="4"/>
  <c r="LO23" i="4"/>
  <c r="LN23" i="4"/>
  <c r="LZ17" i="4"/>
  <c r="LY17" i="4"/>
  <c r="LX17" i="4"/>
  <c r="LW17" i="4"/>
  <c r="LV17" i="4"/>
  <c r="LU17" i="4"/>
  <c r="LS17" i="4"/>
  <c r="LR17" i="4"/>
  <c r="LQ17" i="4"/>
  <c r="LP17" i="4"/>
  <c r="LO17" i="4"/>
  <c r="LN17" i="4"/>
  <c r="LZ19" i="4"/>
  <c r="LY19" i="4"/>
  <c r="LX19" i="4"/>
  <c r="LW19" i="4"/>
  <c r="LV19" i="4"/>
  <c r="LU19" i="4"/>
  <c r="LS19" i="4"/>
  <c r="LR19" i="4"/>
  <c r="LQ19" i="4"/>
  <c r="LP19" i="4"/>
  <c r="LO19" i="4"/>
  <c r="LN19" i="4"/>
  <c r="LZ22" i="4"/>
  <c r="LY22" i="4"/>
  <c r="LX22" i="4"/>
  <c r="LW22" i="4"/>
  <c r="LV22" i="4"/>
  <c r="LU22" i="4"/>
  <c r="LS22" i="4"/>
  <c r="LR22" i="4"/>
  <c r="LQ22" i="4"/>
  <c r="LP22" i="4"/>
  <c r="LO22" i="4"/>
  <c r="LN22" i="4"/>
  <c r="LZ24" i="4"/>
  <c r="LY24" i="4"/>
  <c r="LX24" i="4"/>
  <c r="LW24" i="4"/>
  <c r="LV24" i="4"/>
  <c r="LU24" i="4"/>
  <c r="LS24" i="4"/>
  <c r="LR24" i="4"/>
  <c r="LQ24" i="4"/>
  <c r="LP24" i="4"/>
  <c r="LO24" i="4"/>
  <c r="LN24" i="4"/>
  <c r="LZ16" i="4"/>
  <c r="LY16" i="4"/>
  <c r="LX16" i="4"/>
  <c r="LW16" i="4"/>
  <c r="LV16" i="4"/>
  <c r="LU16" i="4"/>
  <c r="LS16" i="4"/>
  <c r="LR16" i="4"/>
  <c r="LQ16" i="4"/>
  <c r="LP16" i="4"/>
  <c r="LO16" i="4"/>
  <c r="LN16" i="4"/>
  <c r="LZ18" i="4"/>
  <c r="LY18" i="4"/>
  <c r="LX18" i="4"/>
  <c r="LW18" i="4"/>
  <c r="LV18" i="4"/>
  <c r="LU18" i="4"/>
  <c r="LS18" i="4"/>
  <c r="LR18" i="4"/>
  <c r="LQ18" i="4"/>
  <c r="LP18" i="4"/>
  <c r="LO18" i="4"/>
  <c r="LN18" i="4"/>
  <c r="LZ11" i="4"/>
  <c r="LY11" i="4"/>
  <c r="LX11" i="4"/>
  <c r="LW11" i="4"/>
  <c r="LV11" i="4"/>
  <c r="LU11" i="4"/>
  <c r="LS11" i="4"/>
  <c r="LR11" i="4"/>
  <c r="LQ11" i="4"/>
  <c r="LP11" i="4"/>
  <c r="LO11" i="4"/>
  <c r="LN11" i="4"/>
  <c r="LZ9" i="4"/>
  <c r="LY9" i="4"/>
  <c r="LX9" i="4"/>
  <c r="LW9" i="4"/>
  <c r="LV9" i="4"/>
  <c r="LU9" i="4"/>
  <c r="LS9" i="4"/>
  <c r="LR9" i="4"/>
  <c r="LQ9" i="4"/>
  <c r="LP9" i="4"/>
  <c r="LO9" i="4"/>
  <c r="LN9" i="4"/>
  <c r="LZ15" i="4"/>
  <c r="LY15" i="4"/>
  <c r="LX15" i="4"/>
  <c r="LW15" i="4"/>
  <c r="LV15" i="4"/>
  <c r="LU15" i="4"/>
  <c r="LS15" i="4"/>
  <c r="LR15" i="4"/>
  <c r="LQ15" i="4"/>
  <c r="LP15" i="4"/>
  <c r="LO15" i="4"/>
  <c r="LN15" i="4"/>
  <c r="LZ21" i="4"/>
  <c r="LY21" i="4"/>
  <c r="LX21" i="4"/>
  <c r="LW21" i="4"/>
  <c r="LV21" i="4"/>
  <c r="LU21" i="4"/>
  <c r="LS21" i="4"/>
  <c r="LR21" i="4"/>
  <c r="LQ21" i="4"/>
  <c r="LP21" i="4"/>
  <c r="LO21" i="4"/>
  <c r="LN21" i="4"/>
  <c r="LZ12" i="4"/>
  <c r="LY12" i="4"/>
  <c r="LX12" i="4"/>
  <c r="LW12" i="4"/>
  <c r="LV12" i="4"/>
  <c r="LU12" i="4"/>
  <c r="LS12" i="4"/>
  <c r="LR12" i="4"/>
  <c r="LQ12" i="4"/>
  <c r="LP12" i="4"/>
  <c r="LO12" i="4"/>
  <c r="LN12" i="4"/>
  <c r="LZ8" i="4"/>
  <c r="LY8" i="4"/>
  <c r="LX8" i="4"/>
  <c r="LW8" i="4"/>
  <c r="LV8" i="4"/>
  <c r="LU8" i="4"/>
  <c r="LS8" i="4"/>
  <c r="LR8" i="4"/>
  <c r="LQ8" i="4"/>
  <c r="LP8" i="4"/>
  <c r="LO8" i="4"/>
  <c r="LN8" i="4"/>
  <c r="LZ14" i="4"/>
  <c r="LY14" i="4"/>
  <c r="LX14" i="4"/>
  <c r="LW14" i="4"/>
  <c r="LV14" i="4"/>
  <c r="LU14" i="4"/>
  <c r="LS14" i="4"/>
  <c r="LR14" i="4"/>
  <c r="LQ14" i="4"/>
  <c r="LP14" i="4"/>
  <c r="LO14" i="4"/>
  <c r="LN14" i="4"/>
  <c r="LZ20" i="4"/>
  <c r="LY20" i="4"/>
  <c r="LX20" i="4"/>
  <c r="LW20" i="4"/>
  <c r="LV20" i="4"/>
  <c r="LU20" i="4"/>
  <c r="LS20" i="4"/>
  <c r="LR20" i="4"/>
  <c r="LQ20" i="4"/>
  <c r="LP20" i="4"/>
  <c r="LO20" i="4"/>
  <c r="LN20" i="4"/>
  <c r="LZ7" i="4"/>
  <c r="LY7" i="4"/>
  <c r="LX7" i="4"/>
  <c r="LW7" i="4"/>
  <c r="LV7" i="4"/>
  <c r="LU7" i="4"/>
  <c r="LS7" i="4"/>
  <c r="LR7" i="4"/>
  <c r="LQ7" i="4"/>
  <c r="LP7" i="4"/>
  <c r="LO7" i="4"/>
  <c r="LN7" i="4"/>
  <c r="LZ6" i="4"/>
  <c r="LY6" i="4"/>
  <c r="LX6" i="4"/>
  <c r="LW6" i="4"/>
  <c r="LV6" i="4"/>
  <c r="LU6" i="4"/>
  <c r="LS6" i="4"/>
  <c r="LR6" i="4"/>
  <c r="LQ6" i="4"/>
  <c r="LP6" i="4"/>
  <c r="LO6" i="4"/>
  <c r="LN6" i="4"/>
  <c r="LZ4" i="4"/>
  <c r="LY4" i="4"/>
  <c r="LX4" i="4"/>
  <c r="LW4" i="4"/>
  <c r="LV4" i="4"/>
  <c r="LU4" i="4"/>
  <c r="LS4" i="4"/>
  <c r="LR4" i="4"/>
  <c r="LQ4" i="4"/>
  <c r="LP4" i="4"/>
  <c r="LO4" i="4"/>
  <c r="LN4" i="4"/>
  <c r="LZ5" i="4"/>
  <c r="LY5" i="4"/>
  <c r="LX5" i="4"/>
  <c r="LW5" i="4"/>
  <c r="LV5" i="4"/>
  <c r="LU5" i="4"/>
  <c r="LS5" i="4"/>
  <c r="LR5" i="4"/>
  <c r="LQ5" i="4"/>
  <c r="LP5" i="4"/>
  <c r="LO5" i="4"/>
  <c r="LN5" i="4"/>
  <c r="KR23" i="4"/>
  <c r="KQ23" i="4"/>
  <c r="KP23" i="4"/>
  <c r="KO23" i="4"/>
  <c r="KN23" i="4"/>
  <c r="KM23" i="4"/>
  <c r="KK23" i="4"/>
  <c r="KJ23" i="4"/>
  <c r="KI23" i="4"/>
  <c r="KH23" i="4"/>
  <c r="KG23" i="4"/>
  <c r="KF23" i="4"/>
  <c r="KR17" i="4"/>
  <c r="KQ17" i="4"/>
  <c r="KP17" i="4"/>
  <c r="KO17" i="4"/>
  <c r="KN17" i="4"/>
  <c r="KM17" i="4"/>
  <c r="KK17" i="4"/>
  <c r="KJ17" i="4"/>
  <c r="KI17" i="4"/>
  <c r="KH17" i="4"/>
  <c r="KG17" i="4"/>
  <c r="KF17" i="4"/>
  <c r="KR19" i="4"/>
  <c r="KQ19" i="4"/>
  <c r="KP19" i="4"/>
  <c r="KO19" i="4"/>
  <c r="KN19" i="4"/>
  <c r="KM19" i="4"/>
  <c r="KK19" i="4"/>
  <c r="KJ19" i="4"/>
  <c r="KI19" i="4"/>
  <c r="KH19" i="4"/>
  <c r="KG19" i="4"/>
  <c r="KF19" i="4"/>
  <c r="KR22" i="4"/>
  <c r="KQ22" i="4"/>
  <c r="KP22" i="4"/>
  <c r="KO22" i="4"/>
  <c r="KN22" i="4"/>
  <c r="KM22" i="4"/>
  <c r="KK22" i="4"/>
  <c r="KJ22" i="4"/>
  <c r="KI22" i="4"/>
  <c r="KH22" i="4"/>
  <c r="KG22" i="4"/>
  <c r="KF22" i="4"/>
  <c r="KR24" i="4"/>
  <c r="KQ24" i="4"/>
  <c r="KP24" i="4"/>
  <c r="KO24" i="4"/>
  <c r="KN24" i="4"/>
  <c r="KM24" i="4"/>
  <c r="KK24" i="4"/>
  <c r="KJ24" i="4"/>
  <c r="KI24" i="4"/>
  <c r="KH24" i="4"/>
  <c r="KG24" i="4"/>
  <c r="KF24" i="4"/>
  <c r="KR16" i="4"/>
  <c r="KQ16" i="4"/>
  <c r="KP16" i="4"/>
  <c r="KO16" i="4"/>
  <c r="KN16" i="4"/>
  <c r="KM16" i="4"/>
  <c r="KK16" i="4"/>
  <c r="KJ16" i="4"/>
  <c r="KI16" i="4"/>
  <c r="KH16" i="4"/>
  <c r="KG16" i="4"/>
  <c r="KF16" i="4"/>
  <c r="KR18" i="4"/>
  <c r="KQ18" i="4"/>
  <c r="KP18" i="4"/>
  <c r="KO18" i="4"/>
  <c r="KN18" i="4"/>
  <c r="KM18" i="4"/>
  <c r="KK18" i="4"/>
  <c r="KJ18" i="4"/>
  <c r="KI18" i="4"/>
  <c r="KH18" i="4"/>
  <c r="KG18" i="4"/>
  <c r="KF18" i="4"/>
  <c r="KR11" i="4"/>
  <c r="KQ11" i="4"/>
  <c r="KP11" i="4"/>
  <c r="KO11" i="4"/>
  <c r="KN11" i="4"/>
  <c r="KM11" i="4"/>
  <c r="KK11" i="4"/>
  <c r="KJ11" i="4"/>
  <c r="KI11" i="4"/>
  <c r="KH11" i="4"/>
  <c r="KG11" i="4"/>
  <c r="KF11" i="4"/>
  <c r="KR9" i="4"/>
  <c r="KQ9" i="4"/>
  <c r="KP9" i="4"/>
  <c r="KO9" i="4"/>
  <c r="KN9" i="4"/>
  <c r="KM9" i="4"/>
  <c r="KK9" i="4"/>
  <c r="KJ9" i="4"/>
  <c r="KI9" i="4"/>
  <c r="KH9" i="4"/>
  <c r="KG9" i="4"/>
  <c r="KF9" i="4"/>
  <c r="KR15" i="4"/>
  <c r="KQ15" i="4"/>
  <c r="KP15" i="4"/>
  <c r="KO15" i="4"/>
  <c r="KN15" i="4"/>
  <c r="KM15" i="4"/>
  <c r="KK15" i="4"/>
  <c r="KJ15" i="4"/>
  <c r="KI15" i="4"/>
  <c r="KH15" i="4"/>
  <c r="KG15" i="4"/>
  <c r="KF15" i="4"/>
  <c r="KR21" i="4"/>
  <c r="KQ21" i="4"/>
  <c r="KP21" i="4"/>
  <c r="KO21" i="4"/>
  <c r="KN21" i="4"/>
  <c r="KM21" i="4"/>
  <c r="KK21" i="4"/>
  <c r="KJ21" i="4"/>
  <c r="KI21" i="4"/>
  <c r="KH21" i="4"/>
  <c r="KG21" i="4"/>
  <c r="KF21" i="4"/>
  <c r="KR12" i="4"/>
  <c r="KQ12" i="4"/>
  <c r="KP12" i="4"/>
  <c r="KO12" i="4"/>
  <c r="KN12" i="4"/>
  <c r="KM12" i="4"/>
  <c r="KK12" i="4"/>
  <c r="KJ12" i="4"/>
  <c r="KI12" i="4"/>
  <c r="KH12" i="4"/>
  <c r="KG12" i="4"/>
  <c r="KF12" i="4"/>
  <c r="KR8" i="4"/>
  <c r="KQ8" i="4"/>
  <c r="KP8" i="4"/>
  <c r="KO8" i="4"/>
  <c r="KN8" i="4"/>
  <c r="KM8" i="4"/>
  <c r="KK8" i="4"/>
  <c r="KJ8" i="4"/>
  <c r="KI8" i="4"/>
  <c r="KH8" i="4"/>
  <c r="KG8" i="4"/>
  <c r="KF8" i="4"/>
  <c r="KR14" i="4"/>
  <c r="KQ14" i="4"/>
  <c r="KP14" i="4"/>
  <c r="KO14" i="4"/>
  <c r="KN14" i="4"/>
  <c r="KM14" i="4"/>
  <c r="KK14" i="4"/>
  <c r="KJ14" i="4"/>
  <c r="KI14" i="4"/>
  <c r="KH14" i="4"/>
  <c r="KG14" i="4"/>
  <c r="KF14" i="4"/>
  <c r="KR20" i="4"/>
  <c r="KQ20" i="4"/>
  <c r="KP20" i="4"/>
  <c r="KO20" i="4"/>
  <c r="KN20" i="4"/>
  <c r="KM20" i="4"/>
  <c r="KK20" i="4"/>
  <c r="KJ20" i="4"/>
  <c r="KI20" i="4"/>
  <c r="KH20" i="4"/>
  <c r="KG20" i="4"/>
  <c r="KF20" i="4"/>
  <c r="KR7" i="4"/>
  <c r="KQ7" i="4"/>
  <c r="KP7" i="4"/>
  <c r="KO7" i="4"/>
  <c r="KN7" i="4"/>
  <c r="KM7" i="4"/>
  <c r="KK7" i="4"/>
  <c r="KJ7" i="4"/>
  <c r="KI7" i="4"/>
  <c r="KH7" i="4"/>
  <c r="KG7" i="4"/>
  <c r="KF7" i="4"/>
  <c r="KR6" i="4"/>
  <c r="KQ6" i="4"/>
  <c r="KP6" i="4"/>
  <c r="KO6" i="4"/>
  <c r="KN6" i="4"/>
  <c r="KM6" i="4"/>
  <c r="KK6" i="4"/>
  <c r="KJ6" i="4"/>
  <c r="KI6" i="4"/>
  <c r="KH6" i="4"/>
  <c r="KG6" i="4"/>
  <c r="KF6" i="4"/>
  <c r="KR4" i="4"/>
  <c r="KQ4" i="4"/>
  <c r="KP4" i="4"/>
  <c r="KO4" i="4"/>
  <c r="KN4" i="4"/>
  <c r="KM4" i="4"/>
  <c r="KK4" i="4"/>
  <c r="KJ4" i="4"/>
  <c r="KI4" i="4"/>
  <c r="KH4" i="4"/>
  <c r="KG4" i="4"/>
  <c r="KF4" i="4"/>
  <c r="KR5" i="4"/>
  <c r="KQ5" i="4"/>
  <c r="KP5" i="4"/>
  <c r="KO5" i="4"/>
  <c r="KN5" i="4"/>
  <c r="KM5" i="4"/>
  <c r="KK5" i="4"/>
  <c r="KJ5" i="4"/>
  <c r="KI5" i="4"/>
  <c r="KH5" i="4"/>
  <c r="KG5" i="4"/>
  <c r="KF5" i="4"/>
  <c r="JJ23" i="4"/>
  <c r="JI23" i="4"/>
  <c r="JH23" i="4"/>
  <c r="JG23" i="4"/>
  <c r="JF23" i="4"/>
  <c r="JE23" i="4"/>
  <c r="JC23" i="4"/>
  <c r="JB23" i="4"/>
  <c r="JA23" i="4"/>
  <c r="IZ23" i="4"/>
  <c r="IY23" i="4"/>
  <c r="IX23" i="4"/>
  <c r="JJ17" i="4"/>
  <c r="JI17" i="4"/>
  <c r="JH17" i="4"/>
  <c r="JG17" i="4"/>
  <c r="JF17" i="4"/>
  <c r="JE17" i="4"/>
  <c r="JC17" i="4"/>
  <c r="JB17" i="4"/>
  <c r="JA17" i="4"/>
  <c r="IZ17" i="4"/>
  <c r="IY17" i="4"/>
  <c r="IX17" i="4"/>
  <c r="JJ19" i="4"/>
  <c r="JI19" i="4"/>
  <c r="JH19" i="4"/>
  <c r="JG19" i="4"/>
  <c r="JF19" i="4"/>
  <c r="JE19" i="4"/>
  <c r="JC19" i="4"/>
  <c r="JB19" i="4"/>
  <c r="JA19" i="4"/>
  <c r="IZ19" i="4"/>
  <c r="IY19" i="4"/>
  <c r="IX19" i="4"/>
  <c r="JJ22" i="4"/>
  <c r="JI22" i="4"/>
  <c r="JH22" i="4"/>
  <c r="JG22" i="4"/>
  <c r="JF22" i="4"/>
  <c r="JE22" i="4"/>
  <c r="JC22" i="4"/>
  <c r="JB22" i="4"/>
  <c r="JA22" i="4"/>
  <c r="IZ22" i="4"/>
  <c r="IY22" i="4"/>
  <c r="IX22" i="4"/>
  <c r="JJ24" i="4"/>
  <c r="JI24" i="4"/>
  <c r="JH24" i="4"/>
  <c r="JG24" i="4"/>
  <c r="JF24" i="4"/>
  <c r="JE24" i="4"/>
  <c r="JC24" i="4"/>
  <c r="JB24" i="4"/>
  <c r="JA24" i="4"/>
  <c r="IZ24" i="4"/>
  <c r="IY24" i="4"/>
  <c r="IX24" i="4"/>
  <c r="JJ16" i="4"/>
  <c r="JI16" i="4"/>
  <c r="JH16" i="4"/>
  <c r="JG16" i="4"/>
  <c r="JF16" i="4"/>
  <c r="JE16" i="4"/>
  <c r="JC16" i="4"/>
  <c r="JB16" i="4"/>
  <c r="JA16" i="4"/>
  <c r="IZ16" i="4"/>
  <c r="IY16" i="4"/>
  <c r="IX16" i="4"/>
  <c r="JJ18" i="4"/>
  <c r="JI18" i="4"/>
  <c r="JH18" i="4"/>
  <c r="JG18" i="4"/>
  <c r="JF18" i="4"/>
  <c r="JE18" i="4"/>
  <c r="JC18" i="4"/>
  <c r="JB18" i="4"/>
  <c r="JA18" i="4"/>
  <c r="IZ18" i="4"/>
  <c r="IY18" i="4"/>
  <c r="IX18" i="4"/>
  <c r="JJ11" i="4"/>
  <c r="JI11" i="4"/>
  <c r="JH11" i="4"/>
  <c r="JG11" i="4"/>
  <c r="JF11" i="4"/>
  <c r="JE11" i="4"/>
  <c r="JC11" i="4"/>
  <c r="JB11" i="4"/>
  <c r="JA11" i="4"/>
  <c r="IZ11" i="4"/>
  <c r="IY11" i="4"/>
  <c r="IX11" i="4"/>
  <c r="JJ9" i="4"/>
  <c r="JI9" i="4"/>
  <c r="JH9" i="4"/>
  <c r="JG9" i="4"/>
  <c r="JF9" i="4"/>
  <c r="JE9" i="4"/>
  <c r="JC9" i="4"/>
  <c r="JB9" i="4"/>
  <c r="JA9" i="4"/>
  <c r="IZ9" i="4"/>
  <c r="IY9" i="4"/>
  <c r="IX9" i="4"/>
  <c r="JJ15" i="4"/>
  <c r="JI15" i="4"/>
  <c r="JH15" i="4"/>
  <c r="JG15" i="4"/>
  <c r="JF15" i="4"/>
  <c r="JE15" i="4"/>
  <c r="JC15" i="4"/>
  <c r="JB15" i="4"/>
  <c r="JA15" i="4"/>
  <c r="IZ15" i="4"/>
  <c r="IY15" i="4"/>
  <c r="IX15" i="4"/>
  <c r="JJ21" i="4"/>
  <c r="JI21" i="4"/>
  <c r="JH21" i="4"/>
  <c r="JG21" i="4"/>
  <c r="JF21" i="4"/>
  <c r="JE21" i="4"/>
  <c r="JC21" i="4"/>
  <c r="JB21" i="4"/>
  <c r="JA21" i="4"/>
  <c r="IZ21" i="4"/>
  <c r="IY21" i="4"/>
  <c r="IX21" i="4"/>
  <c r="JJ12" i="4"/>
  <c r="JI12" i="4"/>
  <c r="JH12" i="4"/>
  <c r="JG12" i="4"/>
  <c r="JF12" i="4"/>
  <c r="JE12" i="4"/>
  <c r="JC12" i="4"/>
  <c r="JB12" i="4"/>
  <c r="JA12" i="4"/>
  <c r="IZ12" i="4"/>
  <c r="IY12" i="4"/>
  <c r="IX12" i="4"/>
  <c r="JJ8" i="4"/>
  <c r="JI8" i="4"/>
  <c r="JH8" i="4"/>
  <c r="JG8" i="4"/>
  <c r="JF8" i="4"/>
  <c r="JE8" i="4"/>
  <c r="JC8" i="4"/>
  <c r="JB8" i="4"/>
  <c r="JA8" i="4"/>
  <c r="IZ8" i="4"/>
  <c r="IY8" i="4"/>
  <c r="IX8" i="4"/>
  <c r="JJ14" i="4"/>
  <c r="JI14" i="4"/>
  <c r="JH14" i="4"/>
  <c r="JG14" i="4"/>
  <c r="JF14" i="4"/>
  <c r="JE14" i="4"/>
  <c r="JC14" i="4"/>
  <c r="JB14" i="4"/>
  <c r="JA14" i="4"/>
  <c r="IZ14" i="4"/>
  <c r="IY14" i="4"/>
  <c r="IX14" i="4"/>
  <c r="JJ20" i="4"/>
  <c r="JI20" i="4"/>
  <c r="JH20" i="4"/>
  <c r="JG20" i="4"/>
  <c r="JF20" i="4"/>
  <c r="JE20" i="4"/>
  <c r="JC20" i="4"/>
  <c r="JB20" i="4"/>
  <c r="JA20" i="4"/>
  <c r="IZ20" i="4"/>
  <c r="IY20" i="4"/>
  <c r="IX20" i="4"/>
  <c r="JJ7" i="4"/>
  <c r="JI7" i="4"/>
  <c r="JH7" i="4"/>
  <c r="JG7" i="4"/>
  <c r="JF7" i="4"/>
  <c r="JE7" i="4"/>
  <c r="JC7" i="4"/>
  <c r="JB7" i="4"/>
  <c r="JA7" i="4"/>
  <c r="IZ7" i="4"/>
  <c r="IY7" i="4"/>
  <c r="IX7" i="4"/>
  <c r="JJ6" i="4"/>
  <c r="JI6" i="4"/>
  <c r="JH6" i="4"/>
  <c r="JG6" i="4"/>
  <c r="JF6" i="4"/>
  <c r="JE6" i="4"/>
  <c r="JC6" i="4"/>
  <c r="JB6" i="4"/>
  <c r="JA6" i="4"/>
  <c r="IZ6" i="4"/>
  <c r="IY6" i="4"/>
  <c r="IX6" i="4"/>
  <c r="JJ4" i="4"/>
  <c r="JI4" i="4"/>
  <c r="JH4" i="4"/>
  <c r="JG4" i="4"/>
  <c r="JF4" i="4"/>
  <c r="JE4" i="4"/>
  <c r="JC4" i="4"/>
  <c r="JB4" i="4"/>
  <c r="JA4" i="4"/>
  <c r="IZ4" i="4"/>
  <c r="IY4" i="4"/>
  <c r="IX4" i="4"/>
  <c r="JJ5" i="4"/>
  <c r="JI5" i="4"/>
  <c r="JH5" i="4"/>
  <c r="JG5" i="4"/>
  <c r="JF5" i="4"/>
  <c r="JE5" i="4"/>
  <c r="JC5" i="4"/>
  <c r="JB5" i="4"/>
  <c r="JA5" i="4"/>
  <c r="IZ5" i="4"/>
  <c r="IY5" i="4"/>
  <c r="IX5" i="4"/>
  <c r="IB23" i="4"/>
  <c r="IA23" i="4"/>
  <c r="HZ23" i="4"/>
  <c r="HY23" i="4"/>
  <c r="HX23" i="4"/>
  <c r="HW23" i="4"/>
  <c r="HU23" i="4"/>
  <c r="HT23" i="4"/>
  <c r="HS23" i="4"/>
  <c r="HR23" i="4"/>
  <c r="HQ23" i="4"/>
  <c r="HP23" i="4"/>
  <c r="IB17" i="4"/>
  <c r="IA17" i="4"/>
  <c r="HZ17" i="4"/>
  <c r="HY17" i="4"/>
  <c r="HX17" i="4"/>
  <c r="HW17" i="4"/>
  <c r="HU17" i="4"/>
  <c r="HT17" i="4"/>
  <c r="HS17" i="4"/>
  <c r="HR17" i="4"/>
  <c r="HQ17" i="4"/>
  <c r="HP17" i="4"/>
  <c r="IB19" i="4"/>
  <c r="IA19" i="4"/>
  <c r="HZ19" i="4"/>
  <c r="HY19" i="4"/>
  <c r="HX19" i="4"/>
  <c r="HW19" i="4"/>
  <c r="HU19" i="4"/>
  <c r="HT19" i="4"/>
  <c r="HS19" i="4"/>
  <c r="HR19" i="4"/>
  <c r="HQ19" i="4"/>
  <c r="HP19" i="4"/>
  <c r="IB22" i="4"/>
  <c r="IA22" i="4"/>
  <c r="HZ22" i="4"/>
  <c r="HY22" i="4"/>
  <c r="HX22" i="4"/>
  <c r="HW22" i="4"/>
  <c r="HU22" i="4"/>
  <c r="HT22" i="4"/>
  <c r="HS22" i="4"/>
  <c r="HR22" i="4"/>
  <c r="HQ22" i="4"/>
  <c r="HP22" i="4"/>
  <c r="IB24" i="4"/>
  <c r="IA24" i="4"/>
  <c r="HZ24" i="4"/>
  <c r="HY24" i="4"/>
  <c r="HX24" i="4"/>
  <c r="HW24" i="4"/>
  <c r="HU24" i="4"/>
  <c r="HT24" i="4"/>
  <c r="HS24" i="4"/>
  <c r="HR24" i="4"/>
  <c r="HQ24" i="4"/>
  <c r="HP24" i="4"/>
  <c r="IB16" i="4"/>
  <c r="IA16" i="4"/>
  <c r="HZ16" i="4"/>
  <c r="HY16" i="4"/>
  <c r="HX16" i="4"/>
  <c r="HW16" i="4"/>
  <c r="HU16" i="4"/>
  <c r="HT16" i="4"/>
  <c r="HS16" i="4"/>
  <c r="HR16" i="4"/>
  <c r="HQ16" i="4"/>
  <c r="HP16" i="4"/>
  <c r="IB18" i="4"/>
  <c r="IA18" i="4"/>
  <c r="HZ18" i="4"/>
  <c r="HY18" i="4"/>
  <c r="HX18" i="4"/>
  <c r="HW18" i="4"/>
  <c r="HU18" i="4"/>
  <c r="HT18" i="4"/>
  <c r="HS18" i="4"/>
  <c r="HR18" i="4"/>
  <c r="HQ18" i="4"/>
  <c r="HP18" i="4"/>
  <c r="IB11" i="4"/>
  <c r="IA11" i="4"/>
  <c r="HZ11" i="4"/>
  <c r="HY11" i="4"/>
  <c r="HX11" i="4"/>
  <c r="HW11" i="4"/>
  <c r="HU11" i="4"/>
  <c r="HT11" i="4"/>
  <c r="HS11" i="4"/>
  <c r="HR11" i="4"/>
  <c r="HQ11" i="4"/>
  <c r="HP11" i="4"/>
  <c r="IB9" i="4"/>
  <c r="IA9" i="4"/>
  <c r="HZ9" i="4"/>
  <c r="HY9" i="4"/>
  <c r="HX9" i="4"/>
  <c r="HW9" i="4"/>
  <c r="HU9" i="4"/>
  <c r="HT9" i="4"/>
  <c r="HS9" i="4"/>
  <c r="HR9" i="4"/>
  <c r="HQ9" i="4"/>
  <c r="HP9" i="4"/>
  <c r="IB15" i="4"/>
  <c r="IA15" i="4"/>
  <c r="HZ15" i="4"/>
  <c r="HY15" i="4"/>
  <c r="HX15" i="4"/>
  <c r="HW15" i="4"/>
  <c r="HU15" i="4"/>
  <c r="HT15" i="4"/>
  <c r="HS15" i="4"/>
  <c r="HR15" i="4"/>
  <c r="HQ15" i="4"/>
  <c r="HP15" i="4"/>
  <c r="IB21" i="4"/>
  <c r="IA21" i="4"/>
  <c r="HZ21" i="4"/>
  <c r="HY21" i="4"/>
  <c r="HX21" i="4"/>
  <c r="HW21" i="4"/>
  <c r="HU21" i="4"/>
  <c r="HT21" i="4"/>
  <c r="HS21" i="4"/>
  <c r="HR21" i="4"/>
  <c r="HQ21" i="4"/>
  <c r="HP21" i="4"/>
  <c r="IB12" i="4"/>
  <c r="IA12" i="4"/>
  <c r="HZ12" i="4"/>
  <c r="HY12" i="4"/>
  <c r="HX12" i="4"/>
  <c r="HW12" i="4"/>
  <c r="HU12" i="4"/>
  <c r="HT12" i="4"/>
  <c r="HS12" i="4"/>
  <c r="HR12" i="4"/>
  <c r="HQ12" i="4"/>
  <c r="HP12" i="4"/>
  <c r="IB8" i="4"/>
  <c r="IA8" i="4"/>
  <c r="HZ8" i="4"/>
  <c r="HY8" i="4"/>
  <c r="HX8" i="4"/>
  <c r="HW8" i="4"/>
  <c r="HU8" i="4"/>
  <c r="HT8" i="4"/>
  <c r="HS8" i="4"/>
  <c r="HR8" i="4"/>
  <c r="HQ8" i="4"/>
  <c r="HP8" i="4"/>
  <c r="IB14" i="4"/>
  <c r="IA14" i="4"/>
  <c r="HZ14" i="4"/>
  <c r="HY14" i="4"/>
  <c r="HX14" i="4"/>
  <c r="HW14" i="4"/>
  <c r="HU14" i="4"/>
  <c r="HT14" i="4"/>
  <c r="HS14" i="4"/>
  <c r="HR14" i="4"/>
  <c r="HQ14" i="4"/>
  <c r="HP14" i="4"/>
  <c r="IB20" i="4"/>
  <c r="IA20" i="4"/>
  <c r="HZ20" i="4"/>
  <c r="HY20" i="4"/>
  <c r="HX20" i="4"/>
  <c r="HW20" i="4"/>
  <c r="HU20" i="4"/>
  <c r="HT20" i="4"/>
  <c r="HS20" i="4"/>
  <c r="HR20" i="4"/>
  <c r="HQ20" i="4"/>
  <c r="HP20" i="4"/>
  <c r="IB7" i="4"/>
  <c r="IA7" i="4"/>
  <c r="HZ7" i="4"/>
  <c r="HY7" i="4"/>
  <c r="HX7" i="4"/>
  <c r="HW7" i="4"/>
  <c r="HU7" i="4"/>
  <c r="HT7" i="4"/>
  <c r="HS7" i="4"/>
  <c r="HR7" i="4"/>
  <c r="HQ7" i="4"/>
  <c r="HP7" i="4"/>
  <c r="IB6" i="4"/>
  <c r="IA6" i="4"/>
  <c r="HZ6" i="4"/>
  <c r="HY6" i="4"/>
  <c r="HX6" i="4"/>
  <c r="HW6" i="4"/>
  <c r="HU6" i="4"/>
  <c r="HT6" i="4"/>
  <c r="HS6" i="4"/>
  <c r="HR6" i="4"/>
  <c r="HQ6" i="4"/>
  <c r="HP6" i="4"/>
  <c r="IB4" i="4"/>
  <c r="IA4" i="4"/>
  <c r="HZ4" i="4"/>
  <c r="HY4" i="4"/>
  <c r="HX4" i="4"/>
  <c r="HW4" i="4"/>
  <c r="HU4" i="4"/>
  <c r="HT4" i="4"/>
  <c r="HS4" i="4"/>
  <c r="HR4" i="4"/>
  <c r="HQ4" i="4"/>
  <c r="HP4" i="4"/>
  <c r="IB5" i="4"/>
  <c r="IA5" i="4"/>
  <c r="HZ5" i="4"/>
  <c r="HY5" i="4"/>
  <c r="HX5" i="4"/>
  <c r="HW5" i="4"/>
  <c r="HU5" i="4"/>
  <c r="HT5" i="4"/>
  <c r="HS5" i="4"/>
  <c r="HR5" i="4"/>
  <c r="HQ5" i="4"/>
  <c r="HP5" i="4"/>
  <c r="GT23" i="4"/>
  <c r="GS23" i="4"/>
  <c r="GR23" i="4"/>
  <c r="GQ23" i="4"/>
  <c r="GP23" i="4"/>
  <c r="GO23" i="4"/>
  <c r="GM23" i="4"/>
  <c r="GL23" i="4"/>
  <c r="GK23" i="4"/>
  <c r="GJ23" i="4"/>
  <c r="GI23" i="4"/>
  <c r="GH23" i="4"/>
  <c r="GT17" i="4"/>
  <c r="GS17" i="4"/>
  <c r="GR17" i="4"/>
  <c r="GQ17" i="4"/>
  <c r="GP17" i="4"/>
  <c r="GO17" i="4"/>
  <c r="GM17" i="4"/>
  <c r="GL17" i="4"/>
  <c r="GK17" i="4"/>
  <c r="GJ17" i="4"/>
  <c r="GI17" i="4"/>
  <c r="GH17" i="4"/>
  <c r="GT19" i="4"/>
  <c r="GS19" i="4"/>
  <c r="GR19" i="4"/>
  <c r="GQ19" i="4"/>
  <c r="GP19" i="4"/>
  <c r="GO19" i="4"/>
  <c r="GM19" i="4"/>
  <c r="GL19" i="4"/>
  <c r="GK19" i="4"/>
  <c r="GJ19" i="4"/>
  <c r="GI19" i="4"/>
  <c r="GH19" i="4"/>
  <c r="GT22" i="4"/>
  <c r="GS22" i="4"/>
  <c r="GR22" i="4"/>
  <c r="GQ22" i="4"/>
  <c r="GP22" i="4"/>
  <c r="GO22" i="4"/>
  <c r="GM22" i="4"/>
  <c r="GL22" i="4"/>
  <c r="GK22" i="4"/>
  <c r="GJ22" i="4"/>
  <c r="GI22" i="4"/>
  <c r="GH22" i="4"/>
  <c r="GT24" i="4"/>
  <c r="GS24" i="4"/>
  <c r="GR24" i="4"/>
  <c r="GQ24" i="4"/>
  <c r="GP24" i="4"/>
  <c r="GO24" i="4"/>
  <c r="GM24" i="4"/>
  <c r="GL24" i="4"/>
  <c r="GK24" i="4"/>
  <c r="GJ24" i="4"/>
  <c r="GI24" i="4"/>
  <c r="GH24" i="4"/>
  <c r="GT16" i="4"/>
  <c r="GS16" i="4"/>
  <c r="GR16" i="4"/>
  <c r="GQ16" i="4"/>
  <c r="GP16" i="4"/>
  <c r="GO16" i="4"/>
  <c r="GM16" i="4"/>
  <c r="GL16" i="4"/>
  <c r="GK16" i="4"/>
  <c r="GJ16" i="4"/>
  <c r="GI16" i="4"/>
  <c r="GH16" i="4"/>
  <c r="GT18" i="4"/>
  <c r="GS18" i="4"/>
  <c r="GR18" i="4"/>
  <c r="GQ18" i="4"/>
  <c r="GP18" i="4"/>
  <c r="GO18" i="4"/>
  <c r="GM18" i="4"/>
  <c r="GL18" i="4"/>
  <c r="GK18" i="4"/>
  <c r="GJ18" i="4"/>
  <c r="GI18" i="4"/>
  <c r="GH18" i="4"/>
  <c r="GT11" i="4"/>
  <c r="GS11" i="4"/>
  <c r="GR11" i="4"/>
  <c r="GQ11" i="4"/>
  <c r="GP11" i="4"/>
  <c r="GO11" i="4"/>
  <c r="GM11" i="4"/>
  <c r="GL11" i="4"/>
  <c r="GK11" i="4"/>
  <c r="GJ11" i="4"/>
  <c r="GI11" i="4"/>
  <c r="GH11" i="4"/>
  <c r="GT9" i="4"/>
  <c r="GS9" i="4"/>
  <c r="GR9" i="4"/>
  <c r="GQ9" i="4"/>
  <c r="GP9" i="4"/>
  <c r="GO9" i="4"/>
  <c r="GM9" i="4"/>
  <c r="GL9" i="4"/>
  <c r="GK9" i="4"/>
  <c r="GJ9" i="4"/>
  <c r="GI9" i="4"/>
  <c r="GH9" i="4"/>
  <c r="GT15" i="4"/>
  <c r="GS15" i="4"/>
  <c r="GR15" i="4"/>
  <c r="GQ15" i="4"/>
  <c r="GP15" i="4"/>
  <c r="GO15" i="4"/>
  <c r="GM15" i="4"/>
  <c r="GL15" i="4"/>
  <c r="GK15" i="4"/>
  <c r="GJ15" i="4"/>
  <c r="GI15" i="4"/>
  <c r="GH15" i="4"/>
  <c r="GT21" i="4"/>
  <c r="GS21" i="4"/>
  <c r="GR21" i="4"/>
  <c r="GQ21" i="4"/>
  <c r="GP21" i="4"/>
  <c r="GO21" i="4"/>
  <c r="GM21" i="4"/>
  <c r="GL21" i="4"/>
  <c r="GK21" i="4"/>
  <c r="GJ21" i="4"/>
  <c r="GI21" i="4"/>
  <c r="GH21" i="4"/>
  <c r="GT12" i="4"/>
  <c r="GS12" i="4"/>
  <c r="GR12" i="4"/>
  <c r="GQ12" i="4"/>
  <c r="GP12" i="4"/>
  <c r="GO12" i="4"/>
  <c r="GM12" i="4"/>
  <c r="GL12" i="4"/>
  <c r="GK12" i="4"/>
  <c r="GJ12" i="4"/>
  <c r="GI12" i="4"/>
  <c r="GH12" i="4"/>
  <c r="GT8" i="4"/>
  <c r="GS8" i="4"/>
  <c r="GR8" i="4"/>
  <c r="GQ8" i="4"/>
  <c r="GP8" i="4"/>
  <c r="GO8" i="4"/>
  <c r="GM8" i="4"/>
  <c r="GL8" i="4"/>
  <c r="GK8" i="4"/>
  <c r="GJ8" i="4"/>
  <c r="GI8" i="4"/>
  <c r="GH8" i="4"/>
  <c r="GT14" i="4"/>
  <c r="GS14" i="4"/>
  <c r="GR14" i="4"/>
  <c r="GQ14" i="4"/>
  <c r="GP14" i="4"/>
  <c r="GO14" i="4"/>
  <c r="GM14" i="4"/>
  <c r="GL14" i="4"/>
  <c r="GK14" i="4"/>
  <c r="GJ14" i="4"/>
  <c r="GI14" i="4"/>
  <c r="GH14" i="4"/>
  <c r="GT20" i="4"/>
  <c r="GS20" i="4"/>
  <c r="GR20" i="4"/>
  <c r="GQ20" i="4"/>
  <c r="GP20" i="4"/>
  <c r="GO20" i="4"/>
  <c r="GM20" i="4"/>
  <c r="GL20" i="4"/>
  <c r="GK20" i="4"/>
  <c r="GJ20" i="4"/>
  <c r="GI20" i="4"/>
  <c r="GH20" i="4"/>
  <c r="GT7" i="4"/>
  <c r="GS7" i="4"/>
  <c r="GR7" i="4"/>
  <c r="GQ7" i="4"/>
  <c r="GP7" i="4"/>
  <c r="GO7" i="4"/>
  <c r="GM7" i="4"/>
  <c r="GL7" i="4"/>
  <c r="GK7" i="4"/>
  <c r="GJ7" i="4"/>
  <c r="GI7" i="4"/>
  <c r="GH7" i="4"/>
  <c r="GT6" i="4"/>
  <c r="GS6" i="4"/>
  <c r="GR6" i="4"/>
  <c r="GQ6" i="4"/>
  <c r="GP6" i="4"/>
  <c r="GO6" i="4"/>
  <c r="GM6" i="4"/>
  <c r="GL6" i="4"/>
  <c r="GK6" i="4"/>
  <c r="GJ6" i="4"/>
  <c r="GI6" i="4"/>
  <c r="GH6" i="4"/>
  <c r="GT4" i="4"/>
  <c r="GS4" i="4"/>
  <c r="GR4" i="4"/>
  <c r="GQ4" i="4"/>
  <c r="GP4" i="4"/>
  <c r="GO4" i="4"/>
  <c r="GM4" i="4"/>
  <c r="GL4" i="4"/>
  <c r="GK4" i="4"/>
  <c r="GJ4" i="4"/>
  <c r="GI4" i="4"/>
  <c r="GH4" i="4"/>
  <c r="GT5" i="4"/>
  <c r="GS5" i="4"/>
  <c r="GR5" i="4"/>
  <c r="GQ5" i="4"/>
  <c r="GP5" i="4"/>
  <c r="GO5" i="4"/>
  <c r="GM5" i="4"/>
  <c r="GL5" i="4"/>
  <c r="GK5" i="4"/>
  <c r="GJ5" i="4"/>
  <c r="GI5" i="4"/>
  <c r="GH5" i="4"/>
  <c r="FL23" i="4"/>
  <c r="FK23" i="4"/>
  <c r="FJ23" i="4"/>
  <c r="FI23" i="4"/>
  <c r="FH23" i="4"/>
  <c r="FG23" i="4"/>
  <c r="FE23" i="4"/>
  <c r="FD23" i="4"/>
  <c r="FC23" i="4"/>
  <c r="FB23" i="4"/>
  <c r="FA23" i="4"/>
  <c r="EZ23" i="4"/>
  <c r="FL17" i="4"/>
  <c r="FK17" i="4"/>
  <c r="FJ17" i="4"/>
  <c r="FI17" i="4"/>
  <c r="FH17" i="4"/>
  <c r="FG17" i="4"/>
  <c r="FE17" i="4"/>
  <c r="FD17" i="4"/>
  <c r="FC17" i="4"/>
  <c r="FB17" i="4"/>
  <c r="FA17" i="4"/>
  <c r="EZ17" i="4"/>
  <c r="FL19" i="4"/>
  <c r="FK19" i="4"/>
  <c r="FJ19" i="4"/>
  <c r="FI19" i="4"/>
  <c r="FH19" i="4"/>
  <c r="FG19" i="4"/>
  <c r="FE19" i="4"/>
  <c r="FD19" i="4"/>
  <c r="FC19" i="4"/>
  <c r="FB19" i="4"/>
  <c r="FA19" i="4"/>
  <c r="EZ19" i="4"/>
  <c r="FL22" i="4"/>
  <c r="FK22" i="4"/>
  <c r="FJ22" i="4"/>
  <c r="FI22" i="4"/>
  <c r="FH22" i="4"/>
  <c r="FG22" i="4"/>
  <c r="FE22" i="4"/>
  <c r="FD22" i="4"/>
  <c r="FC22" i="4"/>
  <c r="FB22" i="4"/>
  <c r="FA22" i="4"/>
  <c r="EZ22" i="4"/>
  <c r="FL24" i="4"/>
  <c r="FK24" i="4"/>
  <c r="FJ24" i="4"/>
  <c r="FI24" i="4"/>
  <c r="FH24" i="4"/>
  <c r="FG24" i="4"/>
  <c r="FE24" i="4"/>
  <c r="FD24" i="4"/>
  <c r="FC24" i="4"/>
  <c r="FB24" i="4"/>
  <c r="FA24" i="4"/>
  <c r="EZ24" i="4"/>
  <c r="FL16" i="4"/>
  <c r="FK16" i="4"/>
  <c r="FJ16" i="4"/>
  <c r="FI16" i="4"/>
  <c r="FH16" i="4"/>
  <c r="FG16" i="4"/>
  <c r="FE16" i="4"/>
  <c r="FD16" i="4"/>
  <c r="FC16" i="4"/>
  <c r="FB16" i="4"/>
  <c r="FA16" i="4"/>
  <c r="EZ16" i="4"/>
  <c r="FL18" i="4"/>
  <c r="FK18" i="4"/>
  <c r="FJ18" i="4"/>
  <c r="FI18" i="4"/>
  <c r="FH18" i="4"/>
  <c r="FG18" i="4"/>
  <c r="FE18" i="4"/>
  <c r="FD18" i="4"/>
  <c r="FC18" i="4"/>
  <c r="FB18" i="4"/>
  <c r="FA18" i="4"/>
  <c r="EZ18" i="4"/>
  <c r="FL11" i="4"/>
  <c r="FK11" i="4"/>
  <c r="FJ11" i="4"/>
  <c r="FI11" i="4"/>
  <c r="FH11" i="4"/>
  <c r="FG11" i="4"/>
  <c r="FE11" i="4"/>
  <c r="FD11" i="4"/>
  <c r="FC11" i="4"/>
  <c r="FB11" i="4"/>
  <c r="FA11" i="4"/>
  <c r="EZ11" i="4"/>
  <c r="FL9" i="4"/>
  <c r="FK9" i="4"/>
  <c r="FJ9" i="4"/>
  <c r="FI9" i="4"/>
  <c r="FH9" i="4"/>
  <c r="FG9" i="4"/>
  <c r="FE9" i="4"/>
  <c r="FD9" i="4"/>
  <c r="FC9" i="4"/>
  <c r="FB9" i="4"/>
  <c r="FA9" i="4"/>
  <c r="EZ9" i="4"/>
  <c r="FL15" i="4"/>
  <c r="FK15" i="4"/>
  <c r="FJ15" i="4"/>
  <c r="FI15" i="4"/>
  <c r="FH15" i="4"/>
  <c r="FG15" i="4"/>
  <c r="FE15" i="4"/>
  <c r="FD15" i="4"/>
  <c r="FC15" i="4"/>
  <c r="FB15" i="4"/>
  <c r="FA15" i="4"/>
  <c r="EZ15" i="4"/>
  <c r="FL21" i="4"/>
  <c r="FK21" i="4"/>
  <c r="FJ21" i="4"/>
  <c r="FI21" i="4"/>
  <c r="FH21" i="4"/>
  <c r="FG21" i="4"/>
  <c r="FE21" i="4"/>
  <c r="FD21" i="4"/>
  <c r="FC21" i="4"/>
  <c r="FB21" i="4"/>
  <c r="FA21" i="4"/>
  <c r="EZ21" i="4"/>
  <c r="FL12" i="4"/>
  <c r="FK12" i="4"/>
  <c r="FJ12" i="4"/>
  <c r="FI12" i="4"/>
  <c r="FH12" i="4"/>
  <c r="FG12" i="4"/>
  <c r="FE12" i="4"/>
  <c r="FD12" i="4"/>
  <c r="FC12" i="4"/>
  <c r="FB12" i="4"/>
  <c r="FA12" i="4"/>
  <c r="EZ12" i="4"/>
  <c r="FL8" i="4"/>
  <c r="FK8" i="4"/>
  <c r="FJ8" i="4"/>
  <c r="FI8" i="4"/>
  <c r="FH8" i="4"/>
  <c r="FG8" i="4"/>
  <c r="FE8" i="4"/>
  <c r="FD8" i="4"/>
  <c r="FC8" i="4"/>
  <c r="FB8" i="4"/>
  <c r="FA8" i="4"/>
  <c r="EZ8" i="4"/>
  <c r="FL14" i="4"/>
  <c r="FK14" i="4"/>
  <c r="FJ14" i="4"/>
  <c r="FI14" i="4"/>
  <c r="FH14" i="4"/>
  <c r="FG14" i="4"/>
  <c r="FE14" i="4"/>
  <c r="FD14" i="4"/>
  <c r="FC14" i="4"/>
  <c r="FB14" i="4"/>
  <c r="FA14" i="4"/>
  <c r="EZ14" i="4"/>
  <c r="FL20" i="4"/>
  <c r="FK20" i="4"/>
  <c r="FJ20" i="4"/>
  <c r="FI20" i="4"/>
  <c r="FH20" i="4"/>
  <c r="FG20" i="4"/>
  <c r="FE20" i="4"/>
  <c r="FD20" i="4"/>
  <c r="FC20" i="4"/>
  <c r="FB20" i="4"/>
  <c r="FA20" i="4"/>
  <c r="EZ20" i="4"/>
  <c r="FL7" i="4"/>
  <c r="FK7" i="4"/>
  <c r="FJ7" i="4"/>
  <c r="FI7" i="4"/>
  <c r="FH7" i="4"/>
  <c r="FG7" i="4"/>
  <c r="FE7" i="4"/>
  <c r="FD7" i="4"/>
  <c r="FC7" i="4"/>
  <c r="FB7" i="4"/>
  <c r="FA7" i="4"/>
  <c r="EZ7" i="4"/>
  <c r="FL6" i="4"/>
  <c r="FK6" i="4"/>
  <c r="FJ6" i="4"/>
  <c r="FI6" i="4"/>
  <c r="FH6" i="4"/>
  <c r="FG6" i="4"/>
  <c r="FE6" i="4"/>
  <c r="FD6" i="4"/>
  <c r="FC6" i="4"/>
  <c r="FB6" i="4"/>
  <c r="FA6" i="4"/>
  <c r="EZ6" i="4"/>
  <c r="FL4" i="4"/>
  <c r="FK4" i="4"/>
  <c r="FJ4" i="4"/>
  <c r="FI4" i="4"/>
  <c r="FH4" i="4"/>
  <c r="FG4" i="4"/>
  <c r="FE4" i="4"/>
  <c r="FD4" i="4"/>
  <c r="FC4" i="4"/>
  <c r="FB4" i="4"/>
  <c r="FA4" i="4"/>
  <c r="EZ4" i="4"/>
  <c r="FL5" i="4"/>
  <c r="FK5" i="4"/>
  <c r="FJ5" i="4"/>
  <c r="FI5" i="4"/>
  <c r="FH5" i="4"/>
  <c r="FG5" i="4"/>
  <c r="FE5" i="4"/>
  <c r="FD5" i="4"/>
  <c r="FC5" i="4"/>
  <c r="FB5" i="4"/>
  <c r="FA5" i="4"/>
  <c r="EZ5" i="4"/>
  <c r="ED23" i="4"/>
  <c r="EC23" i="4"/>
  <c r="EB23" i="4"/>
  <c r="EA23" i="4"/>
  <c r="DZ23" i="4"/>
  <c r="DY23" i="4"/>
  <c r="DW23" i="4"/>
  <c r="DV23" i="4"/>
  <c r="DU23" i="4"/>
  <c r="DT23" i="4"/>
  <c r="DS23" i="4"/>
  <c r="DR23" i="4"/>
  <c r="ED17" i="4"/>
  <c r="EC17" i="4"/>
  <c r="EB17" i="4"/>
  <c r="EA17" i="4"/>
  <c r="DZ17" i="4"/>
  <c r="DY17" i="4"/>
  <c r="DW17" i="4"/>
  <c r="DV17" i="4"/>
  <c r="DU17" i="4"/>
  <c r="DT17" i="4"/>
  <c r="DS17" i="4"/>
  <c r="DR17" i="4"/>
  <c r="ED19" i="4"/>
  <c r="EC19" i="4"/>
  <c r="EB19" i="4"/>
  <c r="EA19" i="4"/>
  <c r="DZ19" i="4"/>
  <c r="DY19" i="4"/>
  <c r="DW19" i="4"/>
  <c r="DV19" i="4"/>
  <c r="DU19" i="4"/>
  <c r="DT19" i="4"/>
  <c r="DS19" i="4"/>
  <c r="DR19" i="4"/>
  <c r="ED22" i="4"/>
  <c r="EC22" i="4"/>
  <c r="EB22" i="4"/>
  <c r="EA22" i="4"/>
  <c r="DZ22" i="4"/>
  <c r="DY22" i="4"/>
  <c r="DW22" i="4"/>
  <c r="DV22" i="4"/>
  <c r="DU22" i="4"/>
  <c r="DT22" i="4"/>
  <c r="DS22" i="4"/>
  <c r="DR22" i="4"/>
  <c r="ED24" i="4"/>
  <c r="EC24" i="4"/>
  <c r="EB24" i="4"/>
  <c r="EA24" i="4"/>
  <c r="DZ24" i="4"/>
  <c r="DY24" i="4"/>
  <c r="DW24" i="4"/>
  <c r="DV24" i="4"/>
  <c r="DU24" i="4"/>
  <c r="DT24" i="4"/>
  <c r="DS24" i="4"/>
  <c r="DR24" i="4"/>
  <c r="ED16" i="4"/>
  <c r="EC16" i="4"/>
  <c r="EB16" i="4"/>
  <c r="EA16" i="4"/>
  <c r="DZ16" i="4"/>
  <c r="DY16" i="4"/>
  <c r="DW16" i="4"/>
  <c r="DV16" i="4"/>
  <c r="DU16" i="4"/>
  <c r="DT16" i="4"/>
  <c r="DS16" i="4"/>
  <c r="DR16" i="4"/>
  <c r="ED18" i="4"/>
  <c r="EC18" i="4"/>
  <c r="EB18" i="4"/>
  <c r="EA18" i="4"/>
  <c r="DZ18" i="4"/>
  <c r="DY18" i="4"/>
  <c r="DW18" i="4"/>
  <c r="DV18" i="4"/>
  <c r="DU18" i="4"/>
  <c r="DT18" i="4"/>
  <c r="DS18" i="4"/>
  <c r="DR18" i="4"/>
  <c r="ED11" i="4"/>
  <c r="EC11" i="4"/>
  <c r="EB11" i="4"/>
  <c r="EA11" i="4"/>
  <c r="DZ11" i="4"/>
  <c r="DY11" i="4"/>
  <c r="DW11" i="4"/>
  <c r="DV11" i="4"/>
  <c r="DU11" i="4"/>
  <c r="DT11" i="4"/>
  <c r="DS11" i="4"/>
  <c r="DR11" i="4"/>
  <c r="ED9" i="4"/>
  <c r="EC9" i="4"/>
  <c r="EB9" i="4"/>
  <c r="EA9" i="4"/>
  <c r="DZ9" i="4"/>
  <c r="DY9" i="4"/>
  <c r="DW9" i="4"/>
  <c r="DV9" i="4"/>
  <c r="DU9" i="4"/>
  <c r="DT9" i="4"/>
  <c r="DS9" i="4"/>
  <c r="DR9" i="4"/>
  <c r="ED15" i="4"/>
  <c r="EC15" i="4"/>
  <c r="EB15" i="4"/>
  <c r="EA15" i="4"/>
  <c r="DZ15" i="4"/>
  <c r="DY15" i="4"/>
  <c r="DW15" i="4"/>
  <c r="DV15" i="4"/>
  <c r="DU15" i="4"/>
  <c r="DT15" i="4"/>
  <c r="DS15" i="4"/>
  <c r="DR15" i="4"/>
  <c r="ED21" i="4"/>
  <c r="EC21" i="4"/>
  <c r="EB21" i="4"/>
  <c r="EA21" i="4"/>
  <c r="DZ21" i="4"/>
  <c r="DY21" i="4"/>
  <c r="DW21" i="4"/>
  <c r="DV21" i="4"/>
  <c r="DU21" i="4"/>
  <c r="DT21" i="4"/>
  <c r="DS21" i="4"/>
  <c r="DR21" i="4"/>
  <c r="ED12" i="4"/>
  <c r="EC12" i="4"/>
  <c r="EB12" i="4"/>
  <c r="EA12" i="4"/>
  <c r="DZ12" i="4"/>
  <c r="DY12" i="4"/>
  <c r="DW12" i="4"/>
  <c r="DV12" i="4"/>
  <c r="DU12" i="4"/>
  <c r="DT12" i="4"/>
  <c r="DS12" i="4"/>
  <c r="DR12" i="4"/>
  <c r="ED8" i="4"/>
  <c r="EC8" i="4"/>
  <c r="EB8" i="4"/>
  <c r="EA8" i="4"/>
  <c r="DZ8" i="4"/>
  <c r="DY8" i="4"/>
  <c r="DW8" i="4"/>
  <c r="DV8" i="4"/>
  <c r="DU8" i="4"/>
  <c r="DT8" i="4"/>
  <c r="DS8" i="4"/>
  <c r="DR8" i="4"/>
  <c r="ED14" i="4"/>
  <c r="EC14" i="4"/>
  <c r="EB14" i="4"/>
  <c r="EA14" i="4"/>
  <c r="DZ14" i="4"/>
  <c r="DY14" i="4"/>
  <c r="DW14" i="4"/>
  <c r="DV14" i="4"/>
  <c r="DU14" i="4"/>
  <c r="DT14" i="4"/>
  <c r="DS14" i="4"/>
  <c r="DR14" i="4"/>
  <c r="ED20" i="4"/>
  <c r="EC20" i="4"/>
  <c r="EB20" i="4"/>
  <c r="EA20" i="4"/>
  <c r="DZ20" i="4"/>
  <c r="DY20" i="4"/>
  <c r="DW20" i="4"/>
  <c r="DV20" i="4"/>
  <c r="DU20" i="4"/>
  <c r="DT20" i="4"/>
  <c r="DS20" i="4"/>
  <c r="DR20" i="4"/>
  <c r="ED7" i="4"/>
  <c r="EC7" i="4"/>
  <c r="EB7" i="4"/>
  <c r="EA7" i="4"/>
  <c r="DZ7" i="4"/>
  <c r="DY7" i="4"/>
  <c r="DW7" i="4"/>
  <c r="DV7" i="4"/>
  <c r="DU7" i="4"/>
  <c r="DT7" i="4"/>
  <c r="DS7" i="4"/>
  <c r="DR7" i="4"/>
  <c r="ED6" i="4"/>
  <c r="EC6" i="4"/>
  <c r="EB6" i="4"/>
  <c r="EA6" i="4"/>
  <c r="DZ6" i="4"/>
  <c r="DY6" i="4"/>
  <c r="DW6" i="4"/>
  <c r="DV6" i="4"/>
  <c r="DU6" i="4"/>
  <c r="DT6" i="4"/>
  <c r="DS6" i="4"/>
  <c r="DR6" i="4"/>
  <c r="ED4" i="4"/>
  <c r="EC4" i="4"/>
  <c r="EB4" i="4"/>
  <c r="EA4" i="4"/>
  <c r="DZ4" i="4"/>
  <c r="DY4" i="4"/>
  <c r="DW4" i="4"/>
  <c r="DV4" i="4"/>
  <c r="DU4" i="4"/>
  <c r="DT4" i="4"/>
  <c r="DS4" i="4"/>
  <c r="DR4" i="4"/>
  <c r="ED5" i="4"/>
  <c r="EC5" i="4"/>
  <c r="EB5" i="4"/>
  <c r="EA5" i="4"/>
  <c r="DZ5" i="4"/>
  <c r="DY5" i="4"/>
  <c r="DW5" i="4"/>
  <c r="DV5" i="4"/>
  <c r="DU5" i="4"/>
  <c r="DT5" i="4"/>
  <c r="DS5" i="4"/>
  <c r="DR5" i="4"/>
  <c r="CK17" i="4"/>
  <c r="CL17" i="4"/>
  <c r="CM17" i="4"/>
  <c r="CN17" i="4"/>
  <c r="CO17" i="4"/>
  <c r="CP17" i="4"/>
  <c r="CR17" i="4"/>
  <c r="CS17" i="4"/>
  <c r="CT17" i="4"/>
  <c r="VZ17" i="4"/>
  <c r="WA17" i="4"/>
  <c r="WB17" i="4"/>
  <c r="WC17" i="4"/>
  <c r="WD17" i="4"/>
  <c r="WE17" i="4"/>
  <c r="WG17" i="4"/>
  <c r="WH17" i="4"/>
  <c r="WI17" i="4"/>
  <c r="WJ17" i="4"/>
  <c r="WK17" i="4"/>
  <c r="WL17" i="4"/>
  <c r="WM11" i="38" l="1"/>
  <c r="PO9" i="41"/>
  <c r="TM8" i="41"/>
  <c r="GK6" i="41"/>
  <c r="LQ4" i="41"/>
  <c r="UU4" i="41"/>
  <c r="FC11" i="41"/>
  <c r="OG11" i="41"/>
  <c r="HS10" i="41"/>
  <c r="LQ7" i="41"/>
  <c r="UU7" i="41"/>
  <c r="PO6" i="41"/>
  <c r="PV6" i="41" s="1"/>
  <c r="TM4" i="41"/>
  <c r="TT4" i="41" s="1"/>
  <c r="LX4" i="41"/>
  <c r="VB4" i="41"/>
  <c r="MY10" i="41"/>
  <c r="DU11" i="41"/>
  <c r="MY11" i="41"/>
  <c r="NF11" i="41" s="1"/>
  <c r="WC11" i="41"/>
  <c r="HS4" i="41"/>
  <c r="HZ4" i="41" s="1"/>
  <c r="QW4" i="41"/>
  <c r="RD4" i="41" s="1"/>
  <c r="HS9" i="41"/>
  <c r="HZ9" i="41" s="1"/>
  <c r="QW9" i="41"/>
  <c r="RD9" i="41" s="1"/>
  <c r="LQ10" i="41"/>
  <c r="LX10" i="41" s="1"/>
  <c r="UU10" i="41"/>
  <c r="KI7" i="40"/>
  <c r="TM8" i="40"/>
  <c r="TT8" i="40" s="1"/>
  <c r="KI14" i="40"/>
  <c r="KP14" i="40" s="1"/>
  <c r="TM14" i="40"/>
  <c r="TT14" i="40" s="1"/>
  <c r="SE14" i="40"/>
  <c r="LQ13" i="40"/>
  <c r="LX13" i="40" s="1"/>
  <c r="UU13" i="40"/>
  <c r="JA6" i="40"/>
  <c r="SE6" i="40"/>
  <c r="SE11" i="39"/>
  <c r="JA11" i="39"/>
  <c r="QW11" i="39"/>
  <c r="DU20" i="39"/>
  <c r="WC20" i="39"/>
  <c r="WC21" i="42"/>
  <c r="WJ21" i="42" s="1"/>
  <c r="LT11" i="38"/>
  <c r="PR9" i="38"/>
  <c r="CO4" i="41"/>
  <c r="CS4" i="41" s="1"/>
  <c r="CO17" i="39"/>
  <c r="CS17" i="39" s="1"/>
  <c r="CO10" i="39"/>
  <c r="CO6" i="39"/>
  <c r="GK9" i="40"/>
  <c r="GR9" i="40" s="1"/>
  <c r="PO9" i="40"/>
  <c r="PV9" i="40" s="1"/>
  <c r="PO12" i="40"/>
  <c r="PV12" i="40" s="1"/>
  <c r="DU12" i="40"/>
  <c r="VB13" i="40"/>
  <c r="TM7" i="40"/>
  <c r="KI13" i="40"/>
  <c r="KP13" i="40" s="1"/>
  <c r="TM13" i="40"/>
  <c r="TT13" i="40" s="1"/>
  <c r="FC5" i="40"/>
  <c r="FJ5" i="40" s="1"/>
  <c r="OG5" i="40"/>
  <c r="CS13" i="40"/>
  <c r="DU5" i="40"/>
  <c r="EB5" i="40" s="1"/>
  <c r="MY5" i="40"/>
  <c r="NF5" i="40" s="1"/>
  <c r="WC5" i="40"/>
  <c r="WJ5" i="40" s="1"/>
  <c r="WC8" i="40"/>
  <c r="SE8" i="39"/>
  <c r="SL8" i="39" s="1"/>
  <c r="GK9" i="39"/>
  <c r="GR9" i="39" s="1"/>
  <c r="LQ9" i="39"/>
  <c r="UU9" i="39"/>
  <c r="NB11" i="38"/>
  <c r="NI11" i="38" s="1"/>
  <c r="LT7" i="38"/>
  <c r="MA7" i="38" s="1"/>
  <c r="UX7" i="38"/>
  <c r="UX11" i="38"/>
  <c r="JD4" i="38"/>
  <c r="SH4" i="38"/>
  <c r="CS14" i="40"/>
  <c r="L19" i="39"/>
  <c r="MY15" i="42"/>
  <c r="NF15" i="42" s="1"/>
  <c r="WC15" i="42"/>
  <c r="WJ15" i="42" s="1"/>
  <c r="JA19" i="42"/>
  <c r="JH19" i="42" s="1"/>
  <c r="SE19" i="42"/>
  <c r="KI18" i="42"/>
  <c r="KP18" i="42" s="1"/>
  <c r="CS27" i="42"/>
  <c r="GK16" i="42"/>
  <c r="PO16" i="42"/>
  <c r="WC8" i="42"/>
  <c r="WJ8" i="42" s="1"/>
  <c r="JA9" i="42"/>
  <c r="JH9" i="42" s="1"/>
  <c r="UU10" i="42"/>
  <c r="VB10" i="42" s="1"/>
  <c r="GK5" i="42"/>
  <c r="PO5" i="42"/>
  <c r="PV5" i="42" s="1"/>
  <c r="JA27" i="42"/>
  <c r="SE27" i="42"/>
  <c r="KI16" i="42"/>
  <c r="LQ17" i="42"/>
  <c r="LX17" i="42" s="1"/>
  <c r="UU17" i="42"/>
  <c r="VB17" i="42" s="1"/>
  <c r="CO7" i="42"/>
  <c r="CS7" i="42" s="1"/>
  <c r="QW10" i="42"/>
  <c r="RD10" i="42" s="1"/>
  <c r="FC24" i="42"/>
  <c r="FJ24" i="42" s="1"/>
  <c r="OG24" i="42"/>
  <c r="ON24" i="42" s="1"/>
  <c r="TM20" i="42"/>
  <c r="TT20" i="42" s="1"/>
  <c r="HS27" i="42"/>
  <c r="QW27" i="42"/>
  <c r="QZ5" i="38"/>
  <c r="JD8" i="38"/>
  <c r="JK8" i="38" s="1"/>
  <c r="FF10" i="38"/>
  <c r="OJ10" i="38"/>
  <c r="OQ10" i="38" s="1"/>
  <c r="TP14" i="38"/>
  <c r="TW14" i="38" s="1"/>
  <c r="PR6" i="38"/>
  <c r="CQ14" i="38"/>
  <c r="CU14" i="38" s="1"/>
  <c r="QZ7" i="38"/>
  <c r="RG7" i="38" s="1"/>
  <c r="DX9" i="38"/>
  <c r="NB9" i="38"/>
  <c r="NI9" i="38" s="1"/>
  <c r="SH11" i="38"/>
  <c r="SO11" i="38" s="1"/>
  <c r="JA6" i="41"/>
  <c r="JH6" i="41" s="1"/>
  <c r="SE6" i="41"/>
  <c r="FC10" i="41"/>
  <c r="FJ10" i="41" s="1"/>
  <c r="OG10" i="41"/>
  <c r="TT8" i="41"/>
  <c r="GR9" i="41"/>
  <c r="MY5" i="41"/>
  <c r="WC5" i="41"/>
  <c r="JA8" i="41"/>
  <c r="JH8" i="41" s="1"/>
  <c r="OG9" i="41"/>
  <c r="ON9" i="41" s="1"/>
  <c r="FC6" i="41"/>
  <c r="FJ6" i="41" s="1"/>
  <c r="OG6" i="41"/>
  <c r="ON6" i="41" s="1"/>
  <c r="HZ10" i="41"/>
  <c r="JH11" i="41"/>
  <c r="SL11" i="41"/>
  <c r="MY4" i="41"/>
  <c r="JA5" i="41"/>
  <c r="JH5" i="41" s="1"/>
  <c r="SE5" i="41"/>
  <c r="JA10" i="41"/>
  <c r="JH10" i="41" s="1"/>
  <c r="SE10" i="41"/>
  <c r="SL10" i="41" s="1"/>
  <c r="OG7" i="41"/>
  <c r="TM9" i="41"/>
  <c r="TT9" i="41" s="1"/>
  <c r="HS5" i="41"/>
  <c r="HZ5" i="41" s="1"/>
  <c r="QW5" i="41"/>
  <c r="RD5" i="41" s="1"/>
  <c r="WC7" i="41"/>
  <c r="WJ7" i="41" s="1"/>
  <c r="KP4" i="41"/>
  <c r="WC4" i="41"/>
  <c r="SL6" i="41"/>
  <c r="KI8" i="41"/>
  <c r="KP8" i="41" s="1"/>
  <c r="JA4" i="41"/>
  <c r="JH4" i="41" s="1"/>
  <c r="HS6" i="41"/>
  <c r="QW6" i="41"/>
  <c r="RD6" i="41" s="1"/>
  <c r="DU10" i="41"/>
  <c r="WC10" i="41"/>
  <c r="WJ10" i="41" s="1"/>
  <c r="SE4" i="41"/>
  <c r="SL4" i="41" s="1"/>
  <c r="FC5" i="41"/>
  <c r="FJ5" i="41" s="1"/>
  <c r="OG5" i="41"/>
  <c r="ON5" i="41" s="1"/>
  <c r="KI7" i="41"/>
  <c r="KP7" i="41" s="1"/>
  <c r="VB10" i="41"/>
  <c r="SE8" i="41"/>
  <c r="SL8" i="41" s="1"/>
  <c r="PO4" i="41"/>
  <c r="PV4" i="41" s="1"/>
  <c r="QW7" i="41"/>
  <c r="RD7" i="41" s="1"/>
  <c r="HS8" i="41"/>
  <c r="HZ8" i="41" s="1"/>
  <c r="DU9" i="41"/>
  <c r="MY9" i="41"/>
  <c r="NF9" i="41" s="1"/>
  <c r="WC9" i="41"/>
  <c r="WJ9" i="41" s="1"/>
  <c r="KI11" i="41"/>
  <c r="KP11" i="41" s="1"/>
  <c r="TM11" i="41"/>
  <c r="TT11" i="41" s="1"/>
  <c r="OG4" i="41"/>
  <c r="ON4" i="41" s="1"/>
  <c r="KI5" i="41"/>
  <c r="TM5" i="41"/>
  <c r="TM10" i="41"/>
  <c r="TT10" i="41" s="1"/>
  <c r="GK7" i="41"/>
  <c r="PO7" i="41"/>
  <c r="CS11" i="41"/>
  <c r="LX7" i="41"/>
  <c r="TM6" i="41"/>
  <c r="TT6" i="41" s="1"/>
  <c r="PO10" i="41"/>
  <c r="PV10" i="41" s="1"/>
  <c r="UU8" i="41"/>
  <c r="VB8" i="41" s="1"/>
  <c r="PV9" i="41"/>
  <c r="HS11" i="41"/>
  <c r="HZ11" i="41" s="1"/>
  <c r="QW11" i="41"/>
  <c r="RD11" i="41" s="1"/>
  <c r="CS6" i="41"/>
  <c r="MY8" i="41"/>
  <c r="JA9" i="41"/>
  <c r="JH9" i="41" s="1"/>
  <c r="SE9" i="41"/>
  <c r="SL9" i="41" s="1"/>
  <c r="KI4" i="40"/>
  <c r="KP4" i="40" s="1"/>
  <c r="HS10" i="40"/>
  <c r="QW10" i="40"/>
  <c r="RD10" i="40" s="1"/>
  <c r="MY4" i="40"/>
  <c r="NF4" i="40" s="1"/>
  <c r="SL14" i="40"/>
  <c r="GR6" i="40"/>
  <c r="PV6" i="40"/>
  <c r="GK4" i="40"/>
  <c r="GR4" i="40" s="1"/>
  <c r="PO4" i="40"/>
  <c r="PV4" i="40" s="1"/>
  <c r="FC14" i="40"/>
  <c r="FJ14" i="40" s="1"/>
  <c r="OG14" i="40"/>
  <c r="GK13" i="40"/>
  <c r="GR13" i="40" s="1"/>
  <c r="PO13" i="40"/>
  <c r="PV13" i="40" s="1"/>
  <c r="L8" i="39"/>
  <c r="L15" i="39"/>
  <c r="L20" i="39"/>
  <c r="L14" i="39"/>
  <c r="J15" i="39"/>
  <c r="L10" i="39"/>
  <c r="J13" i="39"/>
  <c r="L12" i="39"/>
  <c r="J18" i="39"/>
  <c r="L9" i="39"/>
  <c r="HS5" i="39"/>
  <c r="HZ5" i="39" s="1"/>
  <c r="QW5" i="39"/>
  <c r="RD5" i="39" s="1"/>
  <c r="DU7" i="39"/>
  <c r="EB7" i="39" s="1"/>
  <c r="MY7" i="39"/>
  <c r="NF7" i="39" s="1"/>
  <c r="WC7" i="39"/>
  <c r="WJ7" i="39" s="1"/>
  <c r="SE14" i="39"/>
  <c r="SL14" i="39" s="1"/>
  <c r="FC10" i="39"/>
  <c r="FJ10" i="39" s="1"/>
  <c r="J17" i="39"/>
  <c r="KI18" i="39"/>
  <c r="KP18" i="39" s="1"/>
  <c r="TM18" i="39"/>
  <c r="TT18" i="39" s="1"/>
  <c r="L7" i="39"/>
  <c r="L5" i="39"/>
  <c r="L18" i="39"/>
  <c r="J10" i="39"/>
  <c r="L17" i="39"/>
  <c r="J4" i="39"/>
  <c r="K4" i="39" s="1"/>
  <c r="L4" i="39"/>
  <c r="M4" i="39" s="1"/>
  <c r="J14" i="39"/>
  <c r="QW8" i="39"/>
  <c r="RD8" i="39" s="1"/>
  <c r="J12" i="39"/>
  <c r="L13" i="39"/>
  <c r="J11" i="39"/>
  <c r="J8" i="39"/>
  <c r="L11" i="39"/>
  <c r="J6" i="39"/>
  <c r="J9" i="39"/>
  <c r="L6" i="39"/>
  <c r="J7" i="39"/>
  <c r="J19" i="39"/>
  <c r="J20" i="39"/>
  <c r="J5" i="39"/>
  <c r="DU5" i="39"/>
  <c r="MY5" i="39"/>
  <c r="NF5" i="39" s="1"/>
  <c r="WC5" i="39"/>
  <c r="WJ5" i="39" s="1"/>
  <c r="FC14" i="39"/>
  <c r="FJ14" i="39" s="1"/>
  <c r="OG14" i="39"/>
  <c r="ON14" i="39" s="1"/>
  <c r="KI10" i="39"/>
  <c r="KP10" i="39" s="1"/>
  <c r="GK18" i="39"/>
  <c r="GR18" i="39" s="1"/>
  <c r="FC4" i="42"/>
  <c r="FJ4" i="42" s="1"/>
  <c r="OG4" i="42"/>
  <c r="ON4" i="42" s="1"/>
  <c r="J6" i="42"/>
  <c r="K6" i="42" s="1"/>
  <c r="L6" i="42"/>
  <c r="M6" i="42" s="1"/>
  <c r="LQ16" i="42"/>
  <c r="UU16" i="42"/>
  <c r="JA10" i="42"/>
  <c r="PO24" i="42"/>
  <c r="PV24" i="42" s="1"/>
  <c r="LQ20" i="42"/>
  <c r="LX20" i="42" s="1"/>
  <c r="FC19" i="42"/>
  <c r="FJ19" i="42" s="1"/>
  <c r="L17" i="42"/>
  <c r="M17" i="42" s="1"/>
  <c r="J17" i="42"/>
  <c r="K17" i="42" s="1"/>
  <c r="KI7" i="42"/>
  <c r="KP7" i="42" s="1"/>
  <c r="PO18" i="42"/>
  <c r="PV18" i="42" s="1"/>
  <c r="CO21" i="42"/>
  <c r="CS21" i="42" s="1"/>
  <c r="J14" i="42"/>
  <c r="K14" i="42" s="1"/>
  <c r="L14" i="42"/>
  <c r="M14" i="42" s="1"/>
  <c r="L26" i="42"/>
  <c r="J26" i="42"/>
  <c r="K26" i="42" s="1"/>
  <c r="L4" i="42"/>
  <c r="M4" i="42" s="1"/>
  <c r="J4" i="42"/>
  <c r="K4" i="42" s="1"/>
  <c r="J12" i="42"/>
  <c r="K12" i="42" s="1"/>
  <c r="L12" i="42"/>
  <c r="M12" i="42" s="1"/>
  <c r="L19" i="42"/>
  <c r="J19" i="42"/>
  <c r="K19" i="42" s="1"/>
  <c r="J9" i="42"/>
  <c r="K9" i="42" s="1"/>
  <c r="L9" i="42"/>
  <c r="M9" i="42" s="1"/>
  <c r="J24" i="42"/>
  <c r="K24" i="42" s="1"/>
  <c r="L24" i="42"/>
  <c r="M24" i="42" s="1"/>
  <c r="J5" i="42"/>
  <c r="K5" i="42" s="1"/>
  <c r="L5" i="42"/>
  <c r="M5" i="42" s="1"/>
  <c r="J18" i="42"/>
  <c r="K18" i="42" s="1"/>
  <c r="L18" i="42"/>
  <c r="J11" i="42"/>
  <c r="K11" i="42" s="1"/>
  <c r="L11" i="42"/>
  <c r="M11" i="42" s="1"/>
  <c r="J13" i="42"/>
  <c r="K13" i="42" s="1"/>
  <c r="L13" i="42"/>
  <c r="M13" i="42" s="1"/>
  <c r="J10" i="42"/>
  <c r="K10" i="42" s="1"/>
  <c r="L10" i="42"/>
  <c r="M10" i="42" s="1"/>
  <c r="PO21" i="42"/>
  <c r="PV21" i="42" s="1"/>
  <c r="NF27" i="42"/>
  <c r="WJ27" i="42"/>
  <c r="J15" i="42"/>
  <c r="K15" i="42" s="1"/>
  <c r="L15" i="42"/>
  <c r="M15" i="42" s="1"/>
  <c r="JH24" i="42"/>
  <c r="J27" i="42"/>
  <c r="K27" i="42" s="1"/>
  <c r="L27" i="42"/>
  <c r="M27" i="42" s="1"/>
  <c r="J8" i="42"/>
  <c r="K8" i="42" s="1"/>
  <c r="L8" i="42"/>
  <c r="KI13" i="42"/>
  <c r="KP13" i="42" s="1"/>
  <c r="TM13" i="42"/>
  <c r="JA18" i="42"/>
  <c r="JH18" i="42" s="1"/>
  <c r="L21" i="42"/>
  <c r="M21" i="42" s="1"/>
  <c r="J21" i="42"/>
  <c r="K21" i="42" s="1"/>
  <c r="LQ27" i="42"/>
  <c r="LX27" i="42" s="1"/>
  <c r="LQ8" i="42"/>
  <c r="LX8" i="42" s="1"/>
  <c r="UU8" i="42"/>
  <c r="VB8" i="42" s="1"/>
  <c r="CO13" i="42"/>
  <c r="CS13" i="42" s="1"/>
  <c r="QW9" i="42"/>
  <c r="RD9" i="42" s="1"/>
  <c r="L7" i="42"/>
  <c r="M7" i="42" s="1"/>
  <c r="J7" i="42"/>
  <c r="K7" i="42" s="1"/>
  <c r="KI10" i="42"/>
  <c r="KP10" i="42" s="1"/>
  <c r="TM10" i="42"/>
  <c r="TT10" i="42" s="1"/>
  <c r="J16" i="42"/>
  <c r="K16" i="42" s="1"/>
  <c r="L16" i="42"/>
  <c r="J20" i="42"/>
  <c r="K20" i="42" s="1"/>
  <c r="L20" i="42"/>
  <c r="M20" i="42" s="1"/>
  <c r="TM27" i="42"/>
  <c r="SH5" i="38"/>
  <c r="KL8" i="38"/>
  <c r="J9" i="38"/>
  <c r="L9" i="38" s="1"/>
  <c r="LT14" i="38"/>
  <c r="MA14" i="38" s="1"/>
  <c r="UX14" i="38"/>
  <c r="VE14" i="38" s="1"/>
  <c r="HV4" i="38"/>
  <c r="IC4" i="38" s="1"/>
  <c r="QZ4" i="38"/>
  <c r="JD7" i="38"/>
  <c r="SH7" i="38"/>
  <c r="SO7" i="38" s="1"/>
  <c r="FF9" i="38"/>
  <c r="FM9" i="38" s="1"/>
  <c r="KL11" i="38"/>
  <c r="KS11" i="38" s="1"/>
  <c r="TP11" i="38"/>
  <c r="TW11" i="38" s="1"/>
  <c r="FF5" i="38"/>
  <c r="FM5" i="38" s="1"/>
  <c r="QZ14" i="38"/>
  <c r="QZ8" i="38"/>
  <c r="RG8" i="38" s="1"/>
  <c r="FF8" i="38"/>
  <c r="FM8" i="38" s="1"/>
  <c r="KL5" i="38"/>
  <c r="KS5" i="38" s="1"/>
  <c r="J12" i="38"/>
  <c r="N12" i="38" s="1"/>
  <c r="LT4" i="38"/>
  <c r="MA4" i="38" s="1"/>
  <c r="UX4" i="38"/>
  <c r="VE4" i="38" s="1"/>
  <c r="DX7" i="38"/>
  <c r="EE7" i="38" s="1"/>
  <c r="NB7" i="38"/>
  <c r="NI7" i="38" s="1"/>
  <c r="WF7" i="38"/>
  <c r="WM7" i="38" s="1"/>
  <c r="JD9" i="38"/>
  <c r="JK9" i="38" s="1"/>
  <c r="SH9" i="38"/>
  <c r="SO9" i="38" s="1"/>
  <c r="FF7" i="38"/>
  <c r="FM7" i="38" s="1"/>
  <c r="KL9" i="38"/>
  <c r="TP9" i="38"/>
  <c r="PR11" i="38"/>
  <c r="PY11" i="38" s="1"/>
  <c r="DX14" i="38"/>
  <c r="EE14" i="38" s="1"/>
  <c r="NB14" i="38"/>
  <c r="NI14" i="38" s="1"/>
  <c r="WF14" i="38"/>
  <c r="WM14" i="38" s="1"/>
  <c r="QZ12" i="38"/>
  <c r="RG12" i="38" s="1"/>
  <c r="SH8" i="38"/>
  <c r="SO8" i="38" s="1"/>
  <c r="JD5" i="38"/>
  <c r="KL7" i="38"/>
  <c r="KS7" i="38" s="1"/>
  <c r="DX10" i="38"/>
  <c r="EE10" i="38" s="1"/>
  <c r="WF10" i="38"/>
  <c r="WM10" i="38" s="1"/>
  <c r="UX6" i="38"/>
  <c r="VE6" i="38" s="1"/>
  <c r="JD14" i="38"/>
  <c r="JK14" i="38" s="1"/>
  <c r="SH14" i="38"/>
  <c r="SO14" i="38" s="1"/>
  <c r="NB5" i="38"/>
  <c r="NI5" i="38" s="1"/>
  <c r="DX12" i="38"/>
  <c r="EE12" i="38" s="1"/>
  <c r="NB12" i="38"/>
  <c r="NI12" i="38" s="1"/>
  <c r="WF12" i="38"/>
  <c r="WM12" i="38" s="1"/>
  <c r="GN14" i="38"/>
  <c r="GU14" i="38" s="1"/>
  <c r="PR14" i="38"/>
  <c r="PY14" i="38" s="1"/>
  <c r="KL6" i="38"/>
  <c r="KS6" i="38" s="1"/>
  <c r="TP6" i="38"/>
  <c r="TW6" i="38" s="1"/>
  <c r="GN8" i="38"/>
  <c r="GU8" i="38" s="1"/>
  <c r="PR8" i="38"/>
  <c r="PY8" i="38" s="1"/>
  <c r="CQ11" i="38"/>
  <c r="CU11" i="38" s="1"/>
  <c r="HV11" i="38"/>
  <c r="IC11" i="38" s="1"/>
  <c r="QZ11" i="38"/>
  <c r="HV14" i="38"/>
  <c r="DX4" i="38"/>
  <c r="EE4" i="38" s="1"/>
  <c r="WF4" i="38"/>
  <c r="WM4" i="38" s="1"/>
  <c r="LT5" i="38"/>
  <c r="MA5" i="38" s="1"/>
  <c r="CQ12" i="38"/>
  <c r="CU12" i="38" s="1"/>
  <c r="LT12" i="38"/>
  <c r="MA12" i="38" s="1"/>
  <c r="UX12" i="38"/>
  <c r="VE12" i="38" s="1"/>
  <c r="JD10" i="38"/>
  <c r="JK10" i="38" s="1"/>
  <c r="FF14" i="38"/>
  <c r="OJ14" i="38"/>
  <c r="OQ14" i="38" s="1"/>
  <c r="I17" i="4"/>
  <c r="I13" i="4"/>
  <c r="I10" i="4"/>
  <c r="A10" i="45" a="1"/>
  <c r="A10" i="45" s="1"/>
  <c r="A4" i="45" a="1"/>
  <c r="A4" i="45" s="1"/>
  <c r="A5" i="45" a="1"/>
  <c r="A5" i="45" s="1"/>
  <c r="A6" i="45" a="1"/>
  <c r="A6" i="45" s="1"/>
  <c r="A13" i="45" a="1"/>
  <c r="A13" i="45" s="1"/>
  <c r="QW18" i="42"/>
  <c r="RD18" i="42" s="1"/>
  <c r="JA13" i="42"/>
  <c r="JH13" i="42" s="1"/>
  <c r="SE13" i="42"/>
  <c r="SL13" i="42" s="1"/>
  <c r="KI15" i="42"/>
  <c r="KP15" i="42" s="1"/>
  <c r="UU7" i="42"/>
  <c r="VB7" i="42" s="1"/>
  <c r="FC18" i="42"/>
  <c r="FJ18" i="42" s="1"/>
  <c r="KI27" i="42"/>
  <c r="KP27" i="42" s="1"/>
  <c r="DU7" i="42"/>
  <c r="MY7" i="42"/>
  <c r="NF7" i="42" s="1"/>
  <c r="WC7" i="42"/>
  <c r="WJ7" i="42" s="1"/>
  <c r="GK9" i="42"/>
  <c r="GR9" i="42" s="1"/>
  <c r="GK10" i="42"/>
  <c r="GR10" i="42" s="1"/>
  <c r="LQ12" i="42"/>
  <c r="LX12" i="42" s="1"/>
  <c r="UU12" i="42"/>
  <c r="VB12" i="42" s="1"/>
  <c r="OG13" i="42"/>
  <c r="ON13" i="42" s="1"/>
  <c r="LQ14" i="42"/>
  <c r="LX14" i="42" s="1"/>
  <c r="MY10" i="42"/>
  <c r="NF10" i="42" s="1"/>
  <c r="OG21" i="42"/>
  <c r="ON21" i="42" s="1"/>
  <c r="OG7" i="42"/>
  <c r="ON7" i="42" s="1"/>
  <c r="SE9" i="42"/>
  <c r="SL9" i="42" s="1"/>
  <c r="TM11" i="42"/>
  <c r="TT11" i="42" s="1"/>
  <c r="GK14" i="42"/>
  <c r="GR14" i="42" s="1"/>
  <c r="JH10" i="42"/>
  <c r="SE11" i="42"/>
  <c r="SL11" i="42" s="1"/>
  <c r="GK26" i="42"/>
  <c r="GR26" i="42" s="1"/>
  <c r="PO26" i="42"/>
  <c r="PV26" i="42" s="1"/>
  <c r="UU21" i="42"/>
  <c r="VB21" i="42" s="1"/>
  <c r="WC5" i="42"/>
  <c r="WJ5" i="42" s="1"/>
  <c r="MY9" i="42"/>
  <c r="NF9" i="42" s="1"/>
  <c r="FC26" i="42"/>
  <c r="FJ26" i="42" s="1"/>
  <c r="OG26" i="42"/>
  <c r="ON26" i="42" s="1"/>
  <c r="HS7" i="42"/>
  <c r="HZ7" i="42" s="1"/>
  <c r="QW7" i="42"/>
  <c r="RD7" i="42" s="1"/>
  <c r="HS10" i="42"/>
  <c r="HZ10" i="42" s="1"/>
  <c r="JA4" i="42"/>
  <c r="JH4" i="42" s="1"/>
  <c r="SE4" i="42"/>
  <c r="SL4" i="42" s="1"/>
  <c r="UU9" i="42"/>
  <c r="VB9" i="42" s="1"/>
  <c r="CS14" i="42"/>
  <c r="QW16" i="42"/>
  <c r="RD16" i="42" s="1"/>
  <c r="WC11" i="42"/>
  <c r="WJ11" i="42" s="1"/>
  <c r="FC10" i="42"/>
  <c r="FJ10" i="42" s="1"/>
  <c r="KI9" i="42"/>
  <c r="KP9" i="42" s="1"/>
  <c r="PO7" i="42"/>
  <c r="PV7" i="42" s="1"/>
  <c r="TM15" i="42"/>
  <c r="TT15" i="42" s="1"/>
  <c r="LQ10" i="42"/>
  <c r="LX10" i="42" s="1"/>
  <c r="JA12" i="42"/>
  <c r="JH12" i="42" s="1"/>
  <c r="SE12" i="42"/>
  <c r="SL12" i="42" s="1"/>
  <c r="FC27" i="42"/>
  <c r="FJ27" i="42" s="1"/>
  <c r="OG27" i="42"/>
  <c r="ON27" i="42" s="1"/>
  <c r="FC14" i="42"/>
  <c r="FJ14" i="42" s="1"/>
  <c r="TM5" i="42"/>
  <c r="TT5" i="42" s="1"/>
  <c r="CO16" i="42"/>
  <c r="HS15" i="42"/>
  <c r="HZ15" i="42" s="1"/>
  <c r="QW15" i="42"/>
  <c r="RD15" i="42" s="1"/>
  <c r="HS11" i="42"/>
  <c r="HZ11" i="42" s="1"/>
  <c r="QW11" i="42"/>
  <c r="RD11" i="42" s="1"/>
  <c r="LQ7" i="42"/>
  <c r="LX7" i="42" s="1"/>
  <c r="TM7" i="42"/>
  <c r="TT7" i="42" s="1"/>
  <c r="GK12" i="42"/>
  <c r="GR12" i="42" s="1"/>
  <c r="PO12" i="42"/>
  <c r="PV12" i="42" s="1"/>
  <c r="QW4" i="42"/>
  <c r="RD4" i="42" s="1"/>
  <c r="QW6" i="42"/>
  <c r="RD6" i="42" s="1"/>
  <c r="PO8" i="42"/>
  <c r="PV8" i="42" s="1"/>
  <c r="WC9" i="42"/>
  <c r="WJ9" i="42" s="1"/>
  <c r="JA7" i="42"/>
  <c r="JH7" i="42" s="1"/>
  <c r="SE10" i="42"/>
  <c r="SL10" i="42" s="1"/>
  <c r="QW24" i="42"/>
  <c r="RD24" i="42" s="1"/>
  <c r="DU20" i="42"/>
  <c r="MY20" i="42"/>
  <c r="NF20" i="42" s="1"/>
  <c r="JA5" i="42"/>
  <c r="JH5" i="42" s="1"/>
  <c r="SE5" i="42"/>
  <c r="SL5" i="42" s="1"/>
  <c r="FC6" i="42"/>
  <c r="FJ6" i="42" s="1"/>
  <c r="MY8" i="42"/>
  <c r="NF8" i="42" s="1"/>
  <c r="LQ13" i="42"/>
  <c r="LX13" i="42" s="1"/>
  <c r="UU13" i="42"/>
  <c r="VB13" i="42" s="1"/>
  <c r="PO15" i="42"/>
  <c r="PV15" i="42" s="1"/>
  <c r="SE7" i="42"/>
  <c r="SL7" i="42" s="1"/>
  <c r="SE18" i="42"/>
  <c r="SL18" i="42" s="1"/>
  <c r="OG12" i="42"/>
  <c r="ON12" i="42" s="1"/>
  <c r="QW8" i="42"/>
  <c r="RD8" i="42" s="1"/>
  <c r="TM21" i="42"/>
  <c r="TT21" i="42" s="1"/>
  <c r="WC4" i="42"/>
  <c r="WJ4" i="42" s="1"/>
  <c r="WC6" i="42"/>
  <c r="WJ6" i="42" s="1"/>
  <c r="TM9" i="42"/>
  <c r="TT9" i="42" s="1"/>
  <c r="SE14" i="42"/>
  <c r="SL14" i="42" s="1"/>
  <c r="FC16" i="42"/>
  <c r="FJ16" i="42" s="1"/>
  <c r="KI11" i="42"/>
  <c r="KP11" i="42" s="1"/>
  <c r="PO10" i="42"/>
  <c r="PV10" i="42" s="1"/>
  <c r="WC18" i="42"/>
  <c r="WJ18" i="42" s="1"/>
  <c r="JA21" i="42"/>
  <c r="JH21" i="42" s="1"/>
  <c r="DU24" i="42"/>
  <c r="MY24" i="42"/>
  <c r="NF24" i="42" s="1"/>
  <c r="WC24" i="42"/>
  <c r="WJ24" i="42" s="1"/>
  <c r="JA20" i="42"/>
  <c r="JH20" i="42" s="1"/>
  <c r="SE20" i="42"/>
  <c r="SL20" i="42" s="1"/>
  <c r="OG5" i="42"/>
  <c r="ON5" i="42" s="1"/>
  <c r="TM6" i="42"/>
  <c r="TT6" i="42" s="1"/>
  <c r="LQ15" i="42"/>
  <c r="LX15" i="42" s="1"/>
  <c r="UU15" i="42"/>
  <c r="VB15" i="42" s="1"/>
  <c r="KI12" i="42"/>
  <c r="KP12" i="42" s="1"/>
  <c r="TM12" i="42"/>
  <c r="TT12" i="42" s="1"/>
  <c r="GK21" i="42"/>
  <c r="GR21" i="42" s="1"/>
  <c r="SE21" i="42"/>
  <c r="SL21" i="42" s="1"/>
  <c r="UU4" i="42"/>
  <c r="VB4" i="42" s="1"/>
  <c r="UU6" i="42"/>
  <c r="VB6" i="42" s="1"/>
  <c r="PO9" i="42"/>
  <c r="PV9" i="42" s="1"/>
  <c r="QW14" i="42"/>
  <c r="RD14" i="42" s="1"/>
  <c r="WC16" i="42"/>
  <c r="WJ16" i="42" s="1"/>
  <c r="OG10" i="42"/>
  <c r="ON10" i="42" s="1"/>
  <c r="WC10" i="42"/>
  <c r="WJ10" i="42" s="1"/>
  <c r="LQ18" i="42"/>
  <c r="LX18" i="42" s="1"/>
  <c r="UU18" i="42"/>
  <c r="VB18" i="42" s="1"/>
  <c r="HS21" i="42"/>
  <c r="HZ21" i="42" s="1"/>
  <c r="UU24" i="42"/>
  <c r="VB24" i="42" s="1"/>
  <c r="LQ26" i="42"/>
  <c r="LX26" i="42" s="1"/>
  <c r="UU26" i="42"/>
  <c r="VB26" i="42" s="1"/>
  <c r="HS20" i="42"/>
  <c r="HZ20" i="42" s="1"/>
  <c r="QW20" i="42"/>
  <c r="RD20" i="42" s="1"/>
  <c r="MY14" i="42"/>
  <c r="NF14" i="42" s="1"/>
  <c r="MY11" i="42"/>
  <c r="NF11" i="42" s="1"/>
  <c r="MY4" i="42"/>
  <c r="NF4" i="42" s="1"/>
  <c r="MY16" i="42"/>
  <c r="NF16" i="42" s="1"/>
  <c r="HS4" i="42"/>
  <c r="HZ4" i="42" s="1"/>
  <c r="GK15" i="42"/>
  <c r="GR15" i="42" s="1"/>
  <c r="GK18" i="42"/>
  <c r="GR18" i="42" s="1"/>
  <c r="GK7" i="42"/>
  <c r="GR7" i="42" s="1"/>
  <c r="FC5" i="42"/>
  <c r="FJ5" i="42" s="1"/>
  <c r="DU4" i="42"/>
  <c r="DU10" i="42"/>
  <c r="CO4" i="42"/>
  <c r="CS4" i="42" s="1"/>
  <c r="OG11" i="42"/>
  <c r="ON11" i="42" s="1"/>
  <c r="OG17" i="42"/>
  <c r="ON17" i="42" s="1"/>
  <c r="OG9" i="42"/>
  <c r="ON9" i="42" s="1"/>
  <c r="MY5" i="42"/>
  <c r="NF5" i="42" s="1"/>
  <c r="LQ9" i="42"/>
  <c r="LX9" i="42" s="1"/>
  <c r="LQ4" i="42"/>
  <c r="LX4" i="42" s="1"/>
  <c r="LQ6" i="42"/>
  <c r="LX6" i="42" s="1"/>
  <c r="KI5" i="42"/>
  <c r="KP5" i="42" s="1"/>
  <c r="KI8" i="42"/>
  <c r="KP8" i="42" s="1"/>
  <c r="KI6" i="42"/>
  <c r="KP6" i="42" s="1"/>
  <c r="JA14" i="42"/>
  <c r="JH14" i="42" s="1"/>
  <c r="JA6" i="42"/>
  <c r="JH6" i="42" s="1"/>
  <c r="HS9" i="42"/>
  <c r="HZ9" i="42" s="1"/>
  <c r="GK6" i="42"/>
  <c r="GR6" i="42" s="1"/>
  <c r="FC13" i="42"/>
  <c r="FJ13" i="42" s="1"/>
  <c r="FC8" i="42"/>
  <c r="FJ8" i="42" s="1"/>
  <c r="FC12" i="42"/>
  <c r="FJ12" i="42" s="1"/>
  <c r="FC9" i="42"/>
  <c r="FJ9" i="42" s="1"/>
  <c r="FC7" i="42"/>
  <c r="FJ7" i="42" s="1"/>
  <c r="DU21" i="42"/>
  <c r="DU6" i="42"/>
  <c r="DU8" i="42"/>
  <c r="EB8" i="42" s="1"/>
  <c r="DU11" i="42"/>
  <c r="DU5" i="42"/>
  <c r="EB5" i="42" s="1"/>
  <c r="DU9" i="42"/>
  <c r="CO8" i="42"/>
  <c r="CS8" i="42" s="1"/>
  <c r="CS12" i="42"/>
  <c r="CS26" i="42"/>
  <c r="ON20" i="42"/>
  <c r="G14" i="42"/>
  <c r="OG8" i="42"/>
  <c r="ON8" i="42" s="1"/>
  <c r="DU13" i="42"/>
  <c r="MY13" i="42"/>
  <c r="NF13" i="42" s="1"/>
  <c r="WC13" i="42"/>
  <c r="WJ13" i="42" s="1"/>
  <c r="PO14" i="42"/>
  <c r="PV14" i="42" s="1"/>
  <c r="GK11" i="42"/>
  <c r="GR11" i="42" s="1"/>
  <c r="HS19" i="42"/>
  <c r="HZ19" i="42" s="1"/>
  <c r="QW19" i="42"/>
  <c r="RD19" i="42" s="1"/>
  <c r="GK17" i="42"/>
  <c r="GR17" i="42" s="1"/>
  <c r="PO17" i="42"/>
  <c r="PV17" i="42" s="1"/>
  <c r="OG18" i="42"/>
  <c r="ON18" i="42" s="1"/>
  <c r="HS24" i="42"/>
  <c r="HZ24" i="42" s="1"/>
  <c r="TM24" i="42"/>
  <c r="TT24" i="42" s="1"/>
  <c r="WC20" i="42"/>
  <c r="WJ20" i="42" s="1"/>
  <c r="CO5" i="42"/>
  <c r="CS5" i="42" s="1"/>
  <c r="HS5" i="42"/>
  <c r="HZ5" i="42" s="1"/>
  <c r="QW5" i="42"/>
  <c r="RD5" i="42" s="1"/>
  <c r="F4" i="42"/>
  <c r="GK4" i="42"/>
  <c r="GR4" i="42" s="1"/>
  <c r="PO4" i="42"/>
  <c r="PV4" i="42" s="1"/>
  <c r="DU14" i="42"/>
  <c r="DU16" i="42"/>
  <c r="EB16" i="42" s="1"/>
  <c r="OG16" i="42"/>
  <c r="ON16" i="42" s="1"/>
  <c r="FC15" i="42"/>
  <c r="FJ15" i="42" s="1"/>
  <c r="OG15" i="42"/>
  <c r="ON15" i="42" s="1"/>
  <c r="PO11" i="42"/>
  <c r="PV11" i="42" s="1"/>
  <c r="DU18" i="42"/>
  <c r="EB18" i="42" s="1"/>
  <c r="DU12" i="42"/>
  <c r="MY12" i="42"/>
  <c r="NF12" i="42" s="1"/>
  <c r="WC12" i="42"/>
  <c r="WJ12" i="42" s="1"/>
  <c r="QW21" i="42"/>
  <c r="RD21" i="42" s="1"/>
  <c r="GK24" i="42"/>
  <c r="GR24" i="42" s="1"/>
  <c r="DU26" i="42"/>
  <c r="EB26" i="42" s="1"/>
  <c r="MY26" i="42"/>
  <c r="NF26" i="42" s="1"/>
  <c r="WC26" i="42"/>
  <c r="WJ26" i="42" s="1"/>
  <c r="KI20" i="42"/>
  <c r="KP20" i="42" s="1"/>
  <c r="UU27" i="42"/>
  <c r="VB27" i="42" s="1"/>
  <c r="HS6" i="42"/>
  <c r="HZ6" i="42" s="1"/>
  <c r="SE6" i="42"/>
  <c r="SL6" i="42" s="1"/>
  <c r="OG14" i="42"/>
  <c r="ON14" i="42" s="1"/>
  <c r="FC11" i="42"/>
  <c r="FJ11" i="42" s="1"/>
  <c r="GK19" i="42"/>
  <c r="GR19" i="42" s="1"/>
  <c r="PO19" i="42"/>
  <c r="PV19" i="42" s="1"/>
  <c r="FC17" i="42"/>
  <c r="FJ17" i="42" s="1"/>
  <c r="MY18" i="42"/>
  <c r="NF18" i="42" s="1"/>
  <c r="FC21" i="42"/>
  <c r="FJ21" i="42" s="1"/>
  <c r="SL24" i="42"/>
  <c r="UU20" i="42"/>
  <c r="VB20" i="42" s="1"/>
  <c r="GR5" i="42"/>
  <c r="JA8" i="42"/>
  <c r="JH8" i="42" s="1"/>
  <c r="LX16" i="42"/>
  <c r="MY21" i="42"/>
  <c r="NF21" i="42" s="1"/>
  <c r="KI26" i="42"/>
  <c r="KP26" i="42" s="1"/>
  <c r="TM26" i="42"/>
  <c r="TT26" i="42" s="1"/>
  <c r="PO6" i="42"/>
  <c r="PV6" i="42" s="1"/>
  <c r="CO9" i="42"/>
  <c r="CS9" i="42" s="1"/>
  <c r="KI14" i="42"/>
  <c r="KP14" i="42" s="1"/>
  <c r="WC14" i="42"/>
  <c r="WJ14" i="42" s="1"/>
  <c r="GR16" i="42"/>
  <c r="HS8" i="42"/>
  <c r="HZ8" i="42" s="1"/>
  <c r="TM8" i="42"/>
  <c r="TT8" i="42" s="1"/>
  <c r="KP16" i="42"/>
  <c r="LQ11" i="42"/>
  <c r="LX11" i="42" s="1"/>
  <c r="SL19" i="42"/>
  <c r="LQ21" i="42"/>
  <c r="LX21" i="42" s="1"/>
  <c r="JA26" i="42"/>
  <c r="JH26" i="42" s="1"/>
  <c r="SE26" i="42"/>
  <c r="SL26" i="42" s="1"/>
  <c r="OG6" i="42"/>
  <c r="ON6" i="42" s="1"/>
  <c r="HS13" i="42"/>
  <c r="HZ13" i="42" s="1"/>
  <c r="QW13" i="42"/>
  <c r="RD13" i="42" s="1"/>
  <c r="UU14" i="42"/>
  <c r="VB14" i="42" s="1"/>
  <c r="JA16" i="42"/>
  <c r="JH16" i="42" s="1"/>
  <c r="PV16" i="42"/>
  <c r="TM16" i="42"/>
  <c r="TT16" i="42" s="1"/>
  <c r="CO15" i="42"/>
  <c r="CS15" i="42" s="1"/>
  <c r="KI17" i="42"/>
  <c r="KP17" i="42" s="1"/>
  <c r="TM17" i="42"/>
  <c r="TT17" i="42" s="1"/>
  <c r="CO10" i="42"/>
  <c r="CS10" i="42" s="1"/>
  <c r="CO24" i="42"/>
  <c r="CS24" i="42" s="1"/>
  <c r="LQ24" i="42"/>
  <c r="LX24" i="42" s="1"/>
  <c r="CS20" i="42"/>
  <c r="G13" i="42"/>
  <c r="LQ5" i="42"/>
  <c r="LX5" i="42" s="1"/>
  <c r="UU5" i="42"/>
  <c r="VB5" i="42" s="1"/>
  <c r="KI4" i="42"/>
  <c r="KP4" i="42" s="1"/>
  <c r="TM4" i="42"/>
  <c r="TT4" i="42" s="1"/>
  <c r="GK8" i="42"/>
  <c r="GR8" i="42" s="1"/>
  <c r="SE8" i="42"/>
  <c r="SL8" i="42" s="1"/>
  <c r="F13" i="42"/>
  <c r="HS14" i="42"/>
  <c r="HZ14" i="42" s="1"/>
  <c r="HS16" i="42"/>
  <c r="HZ16" i="42" s="1"/>
  <c r="JA15" i="42"/>
  <c r="JH15" i="42" s="1"/>
  <c r="SE15" i="42"/>
  <c r="SL15" i="42" s="1"/>
  <c r="CO11" i="42"/>
  <c r="CS11" i="42" s="1"/>
  <c r="CO19" i="42"/>
  <c r="CS19" i="42" s="1"/>
  <c r="CO17" i="42"/>
  <c r="CS17" i="42" s="1"/>
  <c r="HS18" i="42"/>
  <c r="HZ18" i="42" s="1"/>
  <c r="TM18" i="42"/>
  <c r="TT18" i="42" s="1"/>
  <c r="HS12" i="42"/>
  <c r="HZ12" i="42" s="1"/>
  <c r="QW12" i="42"/>
  <c r="RD12" i="42" s="1"/>
  <c r="KI21" i="42"/>
  <c r="KP21" i="42" s="1"/>
  <c r="HS26" i="42"/>
  <c r="HZ26" i="42" s="1"/>
  <c r="QW26" i="42"/>
  <c r="RD26" i="42" s="1"/>
  <c r="FC20" i="42"/>
  <c r="FJ20" i="42" s="1"/>
  <c r="PO20" i="42"/>
  <c r="PV20" i="42" s="1"/>
  <c r="GK27" i="42"/>
  <c r="GR27" i="42" s="1"/>
  <c r="PO27" i="42"/>
  <c r="PV27" i="42" s="1"/>
  <c r="MY6" i="42"/>
  <c r="NF6" i="42" s="1"/>
  <c r="GK13" i="42"/>
  <c r="GR13" i="42" s="1"/>
  <c r="PO13" i="42"/>
  <c r="PV13" i="42" s="1"/>
  <c r="TM14" i="42"/>
  <c r="TT14" i="42" s="1"/>
  <c r="SE16" i="42"/>
  <c r="SL16" i="42" s="1"/>
  <c r="JA11" i="42"/>
  <c r="JH11" i="42" s="1"/>
  <c r="UU11" i="42"/>
  <c r="VB11" i="42" s="1"/>
  <c r="KI19" i="42"/>
  <c r="KP19" i="42" s="1"/>
  <c r="TM19" i="42"/>
  <c r="TT19" i="42" s="1"/>
  <c r="JA17" i="42"/>
  <c r="JH17" i="42" s="1"/>
  <c r="SE17" i="42"/>
  <c r="SL17" i="42" s="1"/>
  <c r="KI24" i="42"/>
  <c r="KP24" i="42" s="1"/>
  <c r="G20" i="42"/>
  <c r="G16" i="42"/>
  <c r="G19" i="42"/>
  <c r="G11" i="42"/>
  <c r="F7" i="42"/>
  <c r="G18" i="42"/>
  <c r="F27" i="42"/>
  <c r="G27" i="42"/>
  <c r="G4" i="42"/>
  <c r="G6" i="42"/>
  <c r="G8" i="42"/>
  <c r="G7" i="42"/>
  <c r="DU15" i="42"/>
  <c r="G15" i="42"/>
  <c r="F21" i="42"/>
  <c r="F26" i="42"/>
  <c r="G5" i="42"/>
  <c r="F9" i="42"/>
  <c r="VB16" i="42"/>
  <c r="F8" i="42"/>
  <c r="G12" i="42"/>
  <c r="F12" i="42"/>
  <c r="F24" i="42"/>
  <c r="GR20" i="42"/>
  <c r="F16" i="42"/>
  <c r="G17" i="42"/>
  <c r="CO6" i="42"/>
  <c r="CS6" i="42" s="1"/>
  <c r="TT13" i="42"/>
  <c r="CS16" i="42"/>
  <c r="F19" i="42"/>
  <c r="EB27" i="42"/>
  <c r="DU19" i="42"/>
  <c r="WC19" i="42"/>
  <c r="WJ19" i="42" s="1"/>
  <c r="F20" i="42"/>
  <c r="F6" i="42"/>
  <c r="UU19" i="42"/>
  <c r="VB19" i="42" s="1"/>
  <c r="HS17" i="42"/>
  <c r="HZ17" i="42" s="1"/>
  <c r="QW17" i="42"/>
  <c r="RD17" i="42" s="1"/>
  <c r="F18" i="42"/>
  <c r="G21" i="42"/>
  <c r="EB7" i="42"/>
  <c r="F10" i="42"/>
  <c r="TT27" i="42"/>
  <c r="G9" i="42"/>
  <c r="F5" i="42"/>
  <c r="G26" i="42"/>
  <c r="G24" i="42"/>
  <c r="JH27" i="42"/>
  <c r="SL27" i="42"/>
  <c r="F14" i="42"/>
  <c r="OG19" i="42"/>
  <c r="ON19" i="42" s="1"/>
  <c r="MY19" i="42"/>
  <c r="NF19" i="42" s="1"/>
  <c r="DU17" i="42"/>
  <c r="MY17" i="42"/>
  <c r="NF17" i="42" s="1"/>
  <c r="WC17" i="42"/>
  <c r="WJ17" i="42" s="1"/>
  <c r="HZ27" i="42"/>
  <c r="RD27" i="42"/>
  <c r="F11" i="42"/>
  <c r="LQ19" i="42"/>
  <c r="LX19" i="42" s="1"/>
  <c r="G10" i="42"/>
  <c r="CO18" i="42"/>
  <c r="CS18" i="42" s="1"/>
  <c r="F17" i="42"/>
  <c r="F15" i="42"/>
  <c r="GK4" i="41"/>
  <c r="GR7" i="41"/>
  <c r="GK10" i="41"/>
  <c r="GR10" i="41" s="1"/>
  <c r="KI6" i="41"/>
  <c r="KP6" i="41" s="1"/>
  <c r="FC9" i="41"/>
  <c r="FJ9" i="41" s="1"/>
  <c r="FC4" i="41"/>
  <c r="FJ4" i="41" s="1"/>
  <c r="FC7" i="41"/>
  <c r="FJ7" i="41" s="1"/>
  <c r="DU4" i="41"/>
  <c r="EB4" i="41" s="1"/>
  <c r="DU7" i="41"/>
  <c r="EB7" i="41" s="1"/>
  <c r="L10" i="41"/>
  <c r="M10" i="41" s="1"/>
  <c r="ON5" i="40"/>
  <c r="LQ4" i="40"/>
  <c r="LX4" i="40" s="1"/>
  <c r="KI8" i="40"/>
  <c r="KP8" i="40" s="1"/>
  <c r="JH14" i="40"/>
  <c r="HS12" i="40"/>
  <c r="HZ12" i="40" s="1"/>
  <c r="J7" i="40"/>
  <c r="K7" i="40" s="1"/>
  <c r="HS4" i="40"/>
  <c r="HZ4" i="40" s="1"/>
  <c r="QW4" i="40"/>
  <c r="RD4" i="40" s="1"/>
  <c r="LQ7" i="40"/>
  <c r="LX7" i="40" s="1"/>
  <c r="UU7" i="40"/>
  <c r="VB7" i="40" s="1"/>
  <c r="TM9" i="40"/>
  <c r="GK10" i="40"/>
  <c r="GR10" i="40" s="1"/>
  <c r="GK12" i="40"/>
  <c r="GR12" i="40" s="1"/>
  <c r="JA9" i="40"/>
  <c r="JH9" i="40" s="1"/>
  <c r="KP7" i="40"/>
  <c r="TT7" i="40"/>
  <c r="CS7" i="40"/>
  <c r="CS15" i="40"/>
  <c r="WC4" i="40"/>
  <c r="CS5" i="40"/>
  <c r="QW15" i="40"/>
  <c r="WC14" i="40"/>
  <c r="WJ14" i="40" s="1"/>
  <c r="OG4" i="40"/>
  <c r="ON4" i="40" s="1"/>
  <c r="OG9" i="40"/>
  <c r="ON9" i="40" s="1"/>
  <c r="JA12" i="40"/>
  <c r="JH12" i="40" s="1"/>
  <c r="SE12" i="40"/>
  <c r="SL12" i="40" s="1"/>
  <c r="UU4" i="40"/>
  <c r="VB4" i="40" s="1"/>
  <c r="GK7" i="40"/>
  <c r="GR7" i="40" s="1"/>
  <c r="PO7" i="40"/>
  <c r="PV7" i="40" s="1"/>
  <c r="LQ9" i="40"/>
  <c r="LX9" i="40" s="1"/>
  <c r="KI10" i="40"/>
  <c r="KP10" i="40" s="1"/>
  <c r="FJ6" i="40"/>
  <c r="ON6" i="40"/>
  <c r="JH8" i="40"/>
  <c r="ON12" i="40"/>
  <c r="DU6" i="40"/>
  <c r="EB6" i="40" s="1"/>
  <c r="MY6" i="40"/>
  <c r="NF6" i="40" s="1"/>
  <c r="WC6" i="40"/>
  <c r="WJ6" i="40" s="1"/>
  <c r="QW8" i="40"/>
  <c r="RD8" i="40" s="1"/>
  <c r="MY12" i="40"/>
  <c r="NF12" i="40" s="1"/>
  <c r="WC12" i="40"/>
  <c r="WJ12" i="40" s="1"/>
  <c r="LQ15" i="40"/>
  <c r="LX15" i="40" s="1"/>
  <c r="UU15" i="40"/>
  <c r="VB15" i="40" s="1"/>
  <c r="JA13" i="40"/>
  <c r="JH13" i="40" s="1"/>
  <c r="SE13" i="40"/>
  <c r="SL13" i="40" s="1"/>
  <c r="QW14" i="40"/>
  <c r="RD14" i="40" s="1"/>
  <c r="DU4" i="40"/>
  <c r="EB4" i="40" s="1"/>
  <c r="KI5" i="40"/>
  <c r="KP5" i="40" s="1"/>
  <c r="TM5" i="40"/>
  <c r="TT5" i="40" s="1"/>
  <c r="GK8" i="40"/>
  <c r="GR8" i="40" s="1"/>
  <c r="PO8" i="40"/>
  <c r="PV8" i="40" s="1"/>
  <c r="MY10" i="40"/>
  <c r="NF10" i="40" s="1"/>
  <c r="WC10" i="40"/>
  <c r="WJ10" i="40" s="1"/>
  <c r="LQ12" i="40"/>
  <c r="LX12" i="40" s="1"/>
  <c r="UU12" i="40"/>
  <c r="VB12" i="40" s="1"/>
  <c r="KI15" i="40"/>
  <c r="KP15" i="40" s="1"/>
  <c r="TM15" i="40"/>
  <c r="TT15" i="40" s="1"/>
  <c r="KI6" i="40"/>
  <c r="KP6" i="40" s="1"/>
  <c r="TM6" i="40"/>
  <c r="TT6" i="40" s="1"/>
  <c r="JA5" i="40"/>
  <c r="JH5" i="40" s="1"/>
  <c r="SE5" i="40"/>
  <c r="SL5" i="40" s="1"/>
  <c r="FC8" i="40"/>
  <c r="FJ8" i="40" s="1"/>
  <c r="OG8" i="40"/>
  <c r="ON8" i="40" s="1"/>
  <c r="LQ10" i="40"/>
  <c r="LX10" i="40" s="1"/>
  <c r="UU10" i="40"/>
  <c r="VB10" i="40" s="1"/>
  <c r="CS12" i="40"/>
  <c r="KI12" i="40"/>
  <c r="KP12" i="40" s="1"/>
  <c r="TM12" i="40"/>
  <c r="SL10" i="40"/>
  <c r="TM4" i="40"/>
  <c r="TT4" i="40" s="1"/>
  <c r="CS10" i="40"/>
  <c r="OG13" i="40"/>
  <c r="ON13" i="40" s="1"/>
  <c r="MY14" i="40"/>
  <c r="NF14" i="40" s="1"/>
  <c r="JA4" i="40"/>
  <c r="JH4" i="40" s="1"/>
  <c r="LQ8" i="40"/>
  <c r="LX8" i="40" s="1"/>
  <c r="UU8" i="40"/>
  <c r="VB8" i="40" s="1"/>
  <c r="CS9" i="40"/>
  <c r="SE10" i="40"/>
  <c r="QW12" i="40"/>
  <c r="RD12" i="40" s="1"/>
  <c r="PO15" i="40"/>
  <c r="PV15" i="40" s="1"/>
  <c r="CS4" i="40"/>
  <c r="SE4" i="40"/>
  <c r="SL4" i="40" s="1"/>
  <c r="MY7" i="40"/>
  <c r="NF7" i="40" s="1"/>
  <c r="WC7" i="40"/>
  <c r="WJ7" i="40" s="1"/>
  <c r="F5" i="40"/>
  <c r="HS15" i="40"/>
  <c r="HZ15" i="40" s="1"/>
  <c r="HS14" i="40"/>
  <c r="HZ14" i="40" s="1"/>
  <c r="GK15" i="40"/>
  <c r="GR15" i="40" s="1"/>
  <c r="FC4" i="40"/>
  <c r="FC12" i="40"/>
  <c r="FJ12" i="40" s="1"/>
  <c r="FC9" i="40"/>
  <c r="FJ9" i="40" s="1"/>
  <c r="FC13" i="40"/>
  <c r="FJ13" i="40" s="1"/>
  <c r="DU9" i="40"/>
  <c r="DU14" i="40"/>
  <c r="EB14" i="40" s="1"/>
  <c r="DU7" i="40"/>
  <c r="EB7" i="40" s="1"/>
  <c r="G5" i="41"/>
  <c r="QW10" i="41"/>
  <c r="RD10" i="41" s="1"/>
  <c r="GK8" i="41"/>
  <c r="GR8" i="41" s="1"/>
  <c r="HZ6" i="41"/>
  <c r="F5" i="41"/>
  <c r="ON10" i="41"/>
  <c r="PO8" i="41"/>
  <c r="PV8" i="41" s="1"/>
  <c r="GK5" i="41"/>
  <c r="GR5" i="41" s="1"/>
  <c r="PO5" i="41"/>
  <c r="PV5" i="41" s="1"/>
  <c r="MY7" i="41"/>
  <c r="NF7" i="41" s="1"/>
  <c r="FC8" i="41"/>
  <c r="FJ8" i="41" s="1"/>
  <c r="L11" i="41"/>
  <c r="M11" i="41" s="1"/>
  <c r="GK11" i="41"/>
  <c r="GR11" i="41" s="1"/>
  <c r="PO11" i="41"/>
  <c r="PV11" i="41" s="1"/>
  <c r="GR6" i="41"/>
  <c r="CS5" i="41"/>
  <c r="NF10" i="41"/>
  <c r="I7" i="41"/>
  <c r="OG8" i="41"/>
  <c r="ON8" i="41" s="1"/>
  <c r="DU8" i="41"/>
  <c r="EB8" i="41" s="1"/>
  <c r="FJ11" i="41"/>
  <c r="ON11" i="41"/>
  <c r="J11" i="41"/>
  <c r="K11" i="41" s="1"/>
  <c r="QW8" i="41"/>
  <c r="RD8" i="41" s="1"/>
  <c r="CS7" i="41"/>
  <c r="TM7" i="41"/>
  <c r="TT7" i="41" s="1"/>
  <c r="WJ11" i="41"/>
  <c r="NF4" i="41"/>
  <c r="G7" i="41"/>
  <c r="VB7" i="41"/>
  <c r="NF8" i="41"/>
  <c r="L9" i="41"/>
  <c r="M9" i="41" s="1"/>
  <c r="DU6" i="41"/>
  <c r="EB6" i="41" s="1"/>
  <c r="MY6" i="41"/>
  <c r="NF6" i="41" s="1"/>
  <c r="WC6" i="41"/>
  <c r="WJ6" i="41" s="1"/>
  <c r="KI10" i="41"/>
  <c r="KP10" i="41" s="1"/>
  <c r="JA7" i="41"/>
  <c r="JH7" i="41" s="1"/>
  <c r="PV7" i="41"/>
  <c r="LQ8" i="41"/>
  <c r="LX8" i="41" s="1"/>
  <c r="WC8" i="41"/>
  <c r="WJ8" i="41" s="1"/>
  <c r="LQ9" i="41"/>
  <c r="LX9" i="41" s="1"/>
  <c r="I11" i="41"/>
  <c r="LQ5" i="41"/>
  <c r="LX5" i="41" s="1"/>
  <c r="UU5" i="41"/>
  <c r="CS10" i="41"/>
  <c r="SE7" i="41"/>
  <c r="SL7" i="41" s="1"/>
  <c r="CS9" i="41"/>
  <c r="UU9" i="41"/>
  <c r="VB9" i="41" s="1"/>
  <c r="LQ11" i="41"/>
  <c r="LX11" i="41" s="1"/>
  <c r="UU11" i="41"/>
  <c r="VB11" i="41" s="1"/>
  <c r="I6" i="41"/>
  <c r="LQ6" i="41"/>
  <c r="LX6" i="41" s="1"/>
  <c r="UU6" i="41"/>
  <c r="VB6" i="41" s="1"/>
  <c r="HS7" i="41"/>
  <c r="HZ7" i="41" s="1"/>
  <c r="ON7" i="41"/>
  <c r="KI9" i="41"/>
  <c r="KP9" i="41" s="1"/>
  <c r="G8" i="40"/>
  <c r="WC9" i="40"/>
  <c r="WJ9" i="40" s="1"/>
  <c r="I15" i="40"/>
  <c r="LQ5" i="40"/>
  <c r="LX5" i="40" s="1"/>
  <c r="UU5" i="40"/>
  <c r="VB5" i="40" s="1"/>
  <c r="HS8" i="40"/>
  <c r="HZ8" i="40" s="1"/>
  <c r="SE8" i="40"/>
  <c r="SL8" i="40" s="1"/>
  <c r="JA10" i="40"/>
  <c r="JH10" i="40" s="1"/>
  <c r="TM10" i="40"/>
  <c r="TT10" i="40" s="1"/>
  <c r="JA15" i="40"/>
  <c r="JH15" i="40" s="1"/>
  <c r="SE15" i="40"/>
  <c r="SL15" i="40" s="1"/>
  <c r="L6" i="40"/>
  <c r="M6" i="40" s="1"/>
  <c r="LQ6" i="40"/>
  <c r="LX6" i="40" s="1"/>
  <c r="UU6" i="40"/>
  <c r="VB6" i="40" s="1"/>
  <c r="JA7" i="40"/>
  <c r="JH7" i="40" s="1"/>
  <c r="SE7" i="40"/>
  <c r="SL7" i="40" s="1"/>
  <c r="KI9" i="40"/>
  <c r="KP9" i="40" s="1"/>
  <c r="UU9" i="40"/>
  <c r="VB9" i="40" s="1"/>
  <c r="L15" i="40"/>
  <c r="M15" i="40" s="1"/>
  <c r="HS13" i="40"/>
  <c r="HZ13" i="40" s="1"/>
  <c r="QW13" i="40"/>
  <c r="RD13" i="40" s="1"/>
  <c r="GK14" i="40"/>
  <c r="GR14" i="40" s="1"/>
  <c r="PO14" i="40"/>
  <c r="PV14" i="40" s="1"/>
  <c r="L7" i="40"/>
  <c r="M7" i="40" s="1"/>
  <c r="HZ10" i="40"/>
  <c r="RD15" i="40"/>
  <c r="I6" i="40"/>
  <c r="CS6" i="40"/>
  <c r="WJ8" i="40"/>
  <c r="I14" i="40"/>
  <c r="F13" i="40"/>
  <c r="CS8" i="40"/>
  <c r="TT9" i="40"/>
  <c r="ON14" i="40"/>
  <c r="JH6" i="40"/>
  <c r="SL6" i="40"/>
  <c r="HS9" i="40"/>
  <c r="HZ9" i="40" s="1"/>
  <c r="SE9" i="40"/>
  <c r="SL9" i="40" s="1"/>
  <c r="HS5" i="40"/>
  <c r="HZ5" i="40" s="1"/>
  <c r="QW5" i="40"/>
  <c r="RD5" i="40" s="1"/>
  <c r="DU8" i="40"/>
  <c r="EB8" i="40" s="1"/>
  <c r="FC10" i="40"/>
  <c r="FJ10" i="40" s="1"/>
  <c r="PO10" i="40"/>
  <c r="PV10" i="40" s="1"/>
  <c r="FC15" i="40"/>
  <c r="FJ15" i="40" s="1"/>
  <c r="OG15" i="40"/>
  <c r="ON15" i="40" s="1"/>
  <c r="F8" i="40"/>
  <c r="HS6" i="40"/>
  <c r="HZ6" i="40" s="1"/>
  <c r="QW6" i="40"/>
  <c r="RD6" i="40" s="1"/>
  <c r="FC7" i="40"/>
  <c r="FJ7" i="40" s="1"/>
  <c r="OG7" i="40"/>
  <c r="ON7" i="40" s="1"/>
  <c r="MY8" i="40"/>
  <c r="NF8" i="40" s="1"/>
  <c r="QW9" i="40"/>
  <c r="RD9" i="40" s="1"/>
  <c r="DU13" i="40"/>
  <c r="MY13" i="40"/>
  <c r="NF13" i="40" s="1"/>
  <c r="WC13" i="40"/>
  <c r="WJ13" i="40" s="1"/>
  <c r="L14" i="40"/>
  <c r="M14" i="40" s="1"/>
  <c r="LQ14" i="40"/>
  <c r="LX14" i="40" s="1"/>
  <c r="UU14" i="40"/>
  <c r="VB14" i="40" s="1"/>
  <c r="MY9" i="40"/>
  <c r="NF9" i="40" s="1"/>
  <c r="GK5" i="40"/>
  <c r="GR5" i="40" s="1"/>
  <c r="PO5" i="40"/>
  <c r="PV5" i="40" s="1"/>
  <c r="DU10" i="40"/>
  <c r="EB10" i="40" s="1"/>
  <c r="OG10" i="40"/>
  <c r="ON10" i="40" s="1"/>
  <c r="DU15" i="40"/>
  <c r="EB15" i="40" s="1"/>
  <c r="MY15" i="40"/>
  <c r="NF15" i="40" s="1"/>
  <c r="WC15" i="40"/>
  <c r="WJ15" i="40" s="1"/>
  <c r="EB10" i="41"/>
  <c r="G11" i="41"/>
  <c r="L5" i="41"/>
  <c r="M5" i="41" s="1"/>
  <c r="J5" i="41"/>
  <c r="I8" i="41"/>
  <c r="F8" i="41"/>
  <c r="G9" i="41"/>
  <c r="EB11" i="41"/>
  <c r="G6" i="41"/>
  <c r="EB5" i="41"/>
  <c r="NF5" i="41"/>
  <c r="WJ5" i="41"/>
  <c r="J8" i="41"/>
  <c r="I9" i="41"/>
  <c r="I4" i="41"/>
  <c r="F4" i="41"/>
  <c r="J6" i="41"/>
  <c r="F7" i="41"/>
  <c r="J9" i="41"/>
  <c r="VB5" i="41"/>
  <c r="L4" i="41"/>
  <c r="M4" i="41" s="1"/>
  <c r="J4" i="41"/>
  <c r="G4" i="41"/>
  <c r="L6" i="41"/>
  <c r="M6" i="41" s="1"/>
  <c r="J10" i="41"/>
  <c r="L8" i="41"/>
  <c r="M8" i="41" s="1"/>
  <c r="F11" i="41"/>
  <c r="G8" i="41"/>
  <c r="KP5" i="41"/>
  <c r="TT5" i="41"/>
  <c r="EB9" i="41"/>
  <c r="GR4" i="41"/>
  <c r="F6" i="41"/>
  <c r="F9" i="41"/>
  <c r="I5" i="41"/>
  <c r="SL5" i="41"/>
  <c r="WJ4" i="41"/>
  <c r="L7" i="41"/>
  <c r="M7" i="41" s="1"/>
  <c r="J7" i="41"/>
  <c r="F10" i="41"/>
  <c r="G10" i="41"/>
  <c r="I10" i="41"/>
  <c r="EB9" i="40"/>
  <c r="L10" i="40"/>
  <c r="G14" i="40"/>
  <c r="I12" i="40"/>
  <c r="F12" i="40"/>
  <c r="J15" i="40"/>
  <c r="I8" i="40"/>
  <c r="L8" i="40"/>
  <c r="M8" i="40" s="1"/>
  <c r="J8" i="40"/>
  <c r="L12" i="40"/>
  <c r="M12" i="40" s="1"/>
  <c r="I4" i="40"/>
  <c r="F4" i="40"/>
  <c r="J6" i="40"/>
  <c r="F15" i="40"/>
  <c r="G10" i="40"/>
  <c r="L4" i="40"/>
  <c r="M4" i="40" s="1"/>
  <c r="I9" i="40"/>
  <c r="G15" i="40"/>
  <c r="F6" i="40"/>
  <c r="I10" i="40"/>
  <c r="EB12" i="40"/>
  <c r="I13" i="40"/>
  <c r="G5" i="40"/>
  <c r="L5" i="40"/>
  <c r="M5" i="40" s="1"/>
  <c r="J5" i="40"/>
  <c r="L9" i="40"/>
  <c r="M9" i="40" s="1"/>
  <c r="J10" i="40"/>
  <c r="F14" i="40"/>
  <c r="I7" i="40"/>
  <c r="FJ4" i="40"/>
  <c r="G6" i="40"/>
  <c r="HS7" i="40"/>
  <c r="HZ7" i="40" s="1"/>
  <c r="QW7" i="40"/>
  <c r="RD7" i="40" s="1"/>
  <c r="F10" i="40"/>
  <c r="TT12" i="40"/>
  <c r="G13" i="40"/>
  <c r="L13" i="40"/>
  <c r="M13" i="40" s="1"/>
  <c r="J13" i="40"/>
  <c r="WJ4" i="40"/>
  <c r="I5" i="40"/>
  <c r="EB13" i="40"/>
  <c r="J14" i="40"/>
  <c r="G4" i="40"/>
  <c r="G12" i="40"/>
  <c r="F9" i="40"/>
  <c r="G9" i="40"/>
  <c r="J4" i="40"/>
  <c r="F7" i="40"/>
  <c r="J12" i="40"/>
  <c r="G7" i="40"/>
  <c r="J9" i="40"/>
  <c r="LQ18" i="39"/>
  <c r="LX18" i="39" s="1"/>
  <c r="UU18" i="39"/>
  <c r="VB18" i="39" s="1"/>
  <c r="WC13" i="39"/>
  <c r="WJ13" i="39" s="1"/>
  <c r="PO8" i="39"/>
  <c r="PV8" i="39" s="1"/>
  <c r="TM5" i="39"/>
  <c r="TT5" i="39" s="1"/>
  <c r="LQ14" i="39"/>
  <c r="LX14" i="39" s="1"/>
  <c r="UU14" i="39"/>
  <c r="VB14" i="39" s="1"/>
  <c r="PO11" i="39"/>
  <c r="PV11" i="39" s="1"/>
  <c r="LQ8" i="39"/>
  <c r="LX8" i="39" s="1"/>
  <c r="GK4" i="39"/>
  <c r="GR4" i="39" s="1"/>
  <c r="PO4" i="39"/>
  <c r="PV4" i="39" s="1"/>
  <c r="LQ19" i="39"/>
  <c r="LX19" i="39" s="1"/>
  <c r="UU19" i="39"/>
  <c r="VB19" i="39" s="1"/>
  <c r="HS9" i="39"/>
  <c r="QW9" i="39"/>
  <c r="RD9" i="39" s="1"/>
  <c r="FC20" i="39"/>
  <c r="FJ20" i="39" s="1"/>
  <c r="OG20" i="39"/>
  <c r="ON20" i="39" s="1"/>
  <c r="TM13" i="39"/>
  <c r="TT13" i="39" s="1"/>
  <c r="HS11" i="39"/>
  <c r="HZ11" i="39" s="1"/>
  <c r="FC5" i="39"/>
  <c r="FJ5" i="39" s="1"/>
  <c r="OG5" i="39"/>
  <c r="SE13" i="39"/>
  <c r="SL13" i="39" s="1"/>
  <c r="WC11" i="39"/>
  <c r="WJ11" i="39" s="1"/>
  <c r="WC8" i="39"/>
  <c r="WJ8" i="39" s="1"/>
  <c r="LQ11" i="39"/>
  <c r="LX11" i="39" s="1"/>
  <c r="OG8" i="39"/>
  <c r="ON8" i="39" s="1"/>
  <c r="KI13" i="39"/>
  <c r="KP13" i="39" s="1"/>
  <c r="MY13" i="39"/>
  <c r="NF13" i="39" s="1"/>
  <c r="MY11" i="39"/>
  <c r="NF11" i="39" s="1"/>
  <c r="DU11" i="39"/>
  <c r="EB11" i="39" s="1"/>
  <c r="SL11" i="39"/>
  <c r="OG11" i="39"/>
  <c r="ON11" i="39" s="1"/>
  <c r="MY8" i="39"/>
  <c r="NF8" i="39" s="1"/>
  <c r="GK11" i="39"/>
  <c r="GR11" i="39" s="1"/>
  <c r="PO13" i="39"/>
  <c r="PV13" i="39" s="1"/>
  <c r="FC13" i="39"/>
  <c r="FJ13" i="39" s="1"/>
  <c r="CS7" i="39"/>
  <c r="GK13" i="39"/>
  <c r="GR13" i="39" s="1"/>
  <c r="TM11" i="39"/>
  <c r="TT11" i="39" s="1"/>
  <c r="UU11" i="39"/>
  <c r="VB11" i="39" s="1"/>
  <c r="HS8" i="39"/>
  <c r="HZ8" i="39" s="1"/>
  <c r="SE6" i="39"/>
  <c r="SL6" i="39" s="1"/>
  <c r="RD11" i="39"/>
  <c r="LQ13" i="39"/>
  <c r="LX13" i="39" s="1"/>
  <c r="CS6" i="39"/>
  <c r="UU5" i="39"/>
  <c r="VB5" i="39" s="1"/>
  <c r="HS7" i="39"/>
  <c r="HZ7" i="39" s="1"/>
  <c r="QW7" i="39"/>
  <c r="RD7" i="39" s="1"/>
  <c r="SE10" i="39"/>
  <c r="HS13" i="39"/>
  <c r="HZ13" i="39" s="1"/>
  <c r="JA8" i="39"/>
  <c r="JH8" i="39" s="1"/>
  <c r="QW12" i="39"/>
  <c r="RD12" i="39" s="1"/>
  <c r="DU4" i="39"/>
  <c r="WC4" i="39"/>
  <c r="WJ4" i="39" s="1"/>
  <c r="OG4" i="39"/>
  <c r="ON4" i="39" s="1"/>
  <c r="UU13" i="39"/>
  <c r="VB13" i="39" s="1"/>
  <c r="JA13" i="39"/>
  <c r="JH13" i="39" s="1"/>
  <c r="KI8" i="39"/>
  <c r="KP8" i="39" s="1"/>
  <c r="CS20" i="39"/>
  <c r="JH11" i="39"/>
  <c r="LX9" i="39"/>
  <c r="VB9" i="39"/>
  <c r="CS14" i="39"/>
  <c r="SL20" i="39"/>
  <c r="UU4" i="39"/>
  <c r="VB4" i="39" s="1"/>
  <c r="OG17" i="39"/>
  <c r="ON17" i="39" s="1"/>
  <c r="OG6" i="39"/>
  <c r="ON6" i="39" s="1"/>
  <c r="JA4" i="39"/>
  <c r="JH4" i="39" s="1"/>
  <c r="SE4" i="39"/>
  <c r="SL4" i="39" s="1"/>
  <c r="KI9" i="39"/>
  <c r="KP9" i="39" s="1"/>
  <c r="TM9" i="39"/>
  <c r="TT9" i="39" s="1"/>
  <c r="GK15" i="39"/>
  <c r="GR15" i="39" s="1"/>
  <c r="PO15" i="39"/>
  <c r="PV15" i="39" s="1"/>
  <c r="CS18" i="39"/>
  <c r="WC12" i="39"/>
  <c r="WJ12" i="39" s="1"/>
  <c r="DU12" i="39"/>
  <c r="EB12" i="39" s="1"/>
  <c r="CO11" i="39"/>
  <c r="CS11" i="39" s="1"/>
  <c r="TM8" i="39"/>
  <c r="TT8" i="39" s="1"/>
  <c r="GK5" i="39"/>
  <c r="GR5" i="39" s="1"/>
  <c r="PO5" i="39"/>
  <c r="PV5" i="39" s="1"/>
  <c r="LQ7" i="39"/>
  <c r="LX7" i="39" s="1"/>
  <c r="UU7" i="39"/>
  <c r="VB7" i="39" s="1"/>
  <c r="CS9" i="39"/>
  <c r="QW14" i="39"/>
  <c r="RD14" i="39" s="1"/>
  <c r="DU10" i="39"/>
  <c r="WC10" i="39"/>
  <c r="WJ10" i="39" s="1"/>
  <c r="HS4" i="39"/>
  <c r="HZ4" i="39" s="1"/>
  <c r="QW4" i="39"/>
  <c r="RD4" i="39" s="1"/>
  <c r="DU19" i="39"/>
  <c r="MY19" i="39"/>
  <c r="NF19" i="39" s="1"/>
  <c r="WC19" i="39"/>
  <c r="WJ19" i="39" s="1"/>
  <c r="FC15" i="39"/>
  <c r="FJ15" i="39" s="1"/>
  <c r="OG15" i="39"/>
  <c r="ON15" i="39" s="1"/>
  <c r="PO20" i="39"/>
  <c r="QW13" i="39"/>
  <c r="RD13" i="39" s="1"/>
  <c r="UU8" i="39"/>
  <c r="VB8" i="39" s="1"/>
  <c r="ON13" i="39"/>
  <c r="TM12" i="39"/>
  <c r="TT12" i="39" s="1"/>
  <c r="UU6" i="39"/>
  <c r="VB6" i="39" s="1"/>
  <c r="PO14" i="39"/>
  <c r="PV14" i="39" s="1"/>
  <c r="LQ10" i="39"/>
  <c r="LX10" i="39" s="1"/>
  <c r="UU10" i="39"/>
  <c r="VB10" i="39" s="1"/>
  <c r="KI11" i="39"/>
  <c r="KP11" i="39" s="1"/>
  <c r="DU8" i="39"/>
  <c r="EB8" i="39" s="1"/>
  <c r="UU12" i="39"/>
  <c r="VB12" i="39" s="1"/>
  <c r="WC6" i="39"/>
  <c r="WJ6" i="39" s="1"/>
  <c r="TM6" i="39"/>
  <c r="TT6" i="39" s="1"/>
  <c r="TM17" i="39"/>
  <c r="TT17" i="39" s="1"/>
  <c r="SE17" i="39"/>
  <c r="SL17" i="39" s="1"/>
  <c r="SE19" i="39"/>
  <c r="KI15" i="39"/>
  <c r="KP15" i="39" s="1"/>
  <c r="TM15" i="39"/>
  <c r="TT15" i="39" s="1"/>
  <c r="DU13" i="39"/>
  <c r="EB13" i="39" s="1"/>
  <c r="OG12" i="39"/>
  <c r="ON12" i="39" s="1"/>
  <c r="FC8" i="39"/>
  <c r="FJ8" i="39" s="1"/>
  <c r="PO6" i="39"/>
  <c r="PV6" i="39" s="1"/>
  <c r="GK6" i="39"/>
  <c r="GR6" i="39" s="1"/>
  <c r="TM14" i="39"/>
  <c r="TT14" i="39" s="1"/>
  <c r="JA12" i="39"/>
  <c r="JH12" i="39" s="1"/>
  <c r="QW10" i="39"/>
  <c r="RD10" i="39" s="1"/>
  <c r="SE12" i="39"/>
  <c r="SL12" i="39" s="1"/>
  <c r="TM4" i="39"/>
  <c r="TT4" i="39" s="1"/>
  <c r="SE5" i="39"/>
  <c r="SL5" i="39" s="1"/>
  <c r="HS19" i="39"/>
  <c r="HZ19" i="39" s="1"/>
  <c r="QW19" i="39"/>
  <c r="RD19" i="39" s="1"/>
  <c r="WC14" i="39"/>
  <c r="WJ14" i="39" s="1"/>
  <c r="JA15" i="39"/>
  <c r="JH15" i="39" s="1"/>
  <c r="SE15" i="39"/>
  <c r="SL15" i="39" s="1"/>
  <c r="TM20" i="39"/>
  <c r="TT20" i="39" s="1"/>
  <c r="PO12" i="39"/>
  <c r="PV12" i="39" s="1"/>
  <c r="GK12" i="39"/>
  <c r="GR12" i="39" s="1"/>
  <c r="FC11" i="39"/>
  <c r="FJ11" i="39" s="1"/>
  <c r="GK8" i="39"/>
  <c r="GR8" i="39" s="1"/>
  <c r="QW6" i="39"/>
  <c r="RD6" i="39" s="1"/>
  <c r="HS6" i="39"/>
  <c r="HZ6" i="39" s="1"/>
  <c r="PO17" i="39"/>
  <c r="PO18" i="39"/>
  <c r="PV18" i="39" s="1"/>
  <c r="PO9" i="39"/>
  <c r="PV9" i="39" s="1"/>
  <c r="ON5" i="39"/>
  <c r="MY6" i="39"/>
  <c r="NF6" i="39" s="1"/>
  <c r="MY20" i="39"/>
  <c r="NF20" i="39" s="1"/>
  <c r="MY4" i="39"/>
  <c r="NF4" i="39" s="1"/>
  <c r="MY14" i="39"/>
  <c r="NF14" i="39" s="1"/>
  <c r="MY12" i="39"/>
  <c r="NF12" i="39" s="1"/>
  <c r="LQ6" i="39"/>
  <c r="LX6" i="39" s="1"/>
  <c r="LQ12" i="39"/>
  <c r="LX12" i="39" s="1"/>
  <c r="LQ5" i="39"/>
  <c r="LX5" i="39" s="1"/>
  <c r="LQ4" i="39"/>
  <c r="LX4" i="39" s="1"/>
  <c r="KI12" i="39"/>
  <c r="KP12" i="39" s="1"/>
  <c r="KI6" i="39"/>
  <c r="KP6" i="39" s="1"/>
  <c r="KI17" i="39"/>
  <c r="KP17" i="39" s="1"/>
  <c r="KI5" i="39"/>
  <c r="KP5" i="39" s="1"/>
  <c r="KI4" i="39"/>
  <c r="KP4" i="39" s="1"/>
  <c r="KI14" i="39"/>
  <c r="KP14" i="39" s="1"/>
  <c r="KI20" i="39"/>
  <c r="KP20" i="39" s="1"/>
  <c r="JA19" i="39"/>
  <c r="JH19" i="39" s="1"/>
  <c r="JA10" i="39"/>
  <c r="JH10" i="39" s="1"/>
  <c r="JA17" i="39"/>
  <c r="JA6" i="39"/>
  <c r="JH6" i="39" s="1"/>
  <c r="JA5" i="39"/>
  <c r="JH5" i="39" s="1"/>
  <c r="JA14" i="39"/>
  <c r="JH14" i="39" s="1"/>
  <c r="JA20" i="39"/>
  <c r="JH20" i="39" s="1"/>
  <c r="HS14" i="39"/>
  <c r="HZ14" i="39" s="1"/>
  <c r="HS12" i="39"/>
  <c r="HZ12" i="39" s="1"/>
  <c r="GK17" i="39"/>
  <c r="GR17" i="39" s="1"/>
  <c r="GK14" i="39"/>
  <c r="GR14" i="39" s="1"/>
  <c r="GK20" i="39"/>
  <c r="GR20" i="39" s="1"/>
  <c r="FC17" i="39"/>
  <c r="FJ17" i="39" s="1"/>
  <c r="FC12" i="39"/>
  <c r="FJ12" i="39" s="1"/>
  <c r="FC4" i="39"/>
  <c r="FJ4" i="39" s="1"/>
  <c r="FC6" i="39"/>
  <c r="FJ6" i="39" s="1"/>
  <c r="EB5" i="39"/>
  <c r="DU6" i="39"/>
  <c r="EB6" i="39" s="1"/>
  <c r="DU14" i="39"/>
  <c r="EB14" i="39" s="1"/>
  <c r="CS8" i="39"/>
  <c r="CS13" i="39"/>
  <c r="CS12" i="39"/>
  <c r="CS10" i="39"/>
  <c r="CS15" i="39"/>
  <c r="G15" i="39"/>
  <c r="I12" i="39"/>
  <c r="I6" i="39"/>
  <c r="I11" i="39"/>
  <c r="G12" i="39"/>
  <c r="F8" i="39"/>
  <c r="F12" i="39"/>
  <c r="G11" i="39"/>
  <c r="F6" i="39"/>
  <c r="I13" i="39"/>
  <c r="I8" i="39"/>
  <c r="F11" i="39"/>
  <c r="G8" i="39"/>
  <c r="G6" i="39"/>
  <c r="G13" i="39"/>
  <c r="F13" i="39"/>
  <c r="I5" i="39"/>
  <c r="DU17" i="39"/>
  <c r="EB17" i="39" s="1"/>
  <c r="MY17" i="39"/>
  <c r="NF17" i="39" s="1"/>
  <c r="WC17" i="39"/>
  <c r="WJ17" i="39" s="1"/>
  <c r="KI7" i="39"/>
  <c r="KP7" i="39" s="1"/>
  <c r="TM7" i="39"/>
  <c r="TT7" i="39" s="1"/>
  <c r="HS10" i="39"/>
  <c r="HZ10" i="39" s="1"/>
  <c r="JA18" i="39"/>
  <c r="JH18" i="39" s="1"/>
  <c r="SE18" i="39"/>
  <c r="SL18" i="39" s="1"/>
  <c r="HS20" i="39"/>
  <c r="HZ20" i="39" s="1"/>
  <c r="QW20" i="39"/>
  <c r="RD20" i="39" s="1"/>
  <c r="KI19" i="39"/>
  <c r="KP19" i="39" s="1"/>
  <c r="TM19" i="39"/>
  <c r="TT19" i="39" s="1"/>
  <c r="JA9" i="39"/>
  <c r="JH9" i="39" s="1"/>
  <c r="SE9" i="39"/>
  <c r="SL9" i="39" s="1"/>
  <c r="HS15" i="39"/>
  <c r="HZ15" i="39" s="1"/>
  <c r="QW15" i="39"/>
  <c r="RD15" i="39" s="1"/>
  <c r="GK10" i="39"/>
  <c r="GR10" i="39" s="1"/>
  <c r="TM10" i="39"/>
  <c r="TT10" i="39" s="1"/>
  <c r="LQ17" i="39"/>
  <c r="LX17" i="39" s="1"/>
  <c r="UU17" i="39"/>
  <c r="VB17" i="39" s="1"/>
  <c r="CO19" i="39"/>
  <c r="CS19" i="39" s="1"/>
  <c r="JA7" i="39"/>
  <c r="JH7" i="39" s="1"/>
  <c r="SE7" i="39"/>
  <c r="SL7" i="39" s="1"/>
  <c r="I15" i="39"/>
  <c r="HS18" i="39"/>
  <c r="HZ18" i="39" s="1"/>
  <c r="QW18" i="39"/>
  <c r="RD18" i="39" s="1"/>
  <c r="PV20" i="39"/>
  <c r="G5" i="39"/>
  <c r="SL10" i="39"/>
  <c r="CS5" i="39"/>
  <c r="JH17" i="39"/>
  <c r="GK7" i="39"/>
  <c r="GR7" i="39" s="1"/>
  <c r="PO7" i="39"/>
  <c r="PV7" i="39" s="1"/>
  <c r="FC18" i="39"/>
  <c r="FJ18" i="39" s="1"/>
  <c r="OG18" i="39"/>
  <c r="ON18" i="39" s="1"/>
  <c r="WJ20" i="39"/>
  <c r="GK19" i="39"/>
  <c r="GR19" i="39" s="1"/>
  <c r="PO19" i="39"/>
  <c r="PV19" i="39" s="1"/>
  <c r="FC9" i="39"/>
  <c r="FJ9" i="39" s="1"/>
  <c r="OG9" i="39"/>
  <c r="ON9" i="39" s="1"/>
  <c r="DU15" i="39"/>
  <c r="EB15" i="39" s="1"/>
  <c r="MY15" i="39"/>
  <c r="NF15" i="39" s="1"/>
  <c r="WC15" i="39"/>
  <c r="WJ15" i="39" s="1"/>
  <c r="PO10" i="39"/>
  <c r="PV10" i="39" s="1"/>
  <c r="F17" i="39"/>
  <c r="HS17" i="39"/>
  <c r="HZ17" i="39" s="1"/>
  <c r="QW17" i="39"/>
  <c r="RD17" i="39" s="1"/>
  <c r="F18" i="39"/>
  <c r="G14" i="39"/>
  <c r="SL19" i="39"/>
  <c r="I20" i="39"/>
  <c r="CO4" i="39"/>
  <c r="CS4" i="39" s="1"/>
  <c r="FC7" i="39"/>
  <c r="FJ7" i="39" s="1"/>
  <c r="OG7" i="39"/>
  <c r="ON7" i="39" s="1"/>
  <c r="OG10" i="39"/>
  <c r="ON10" i="39" s="1"/>
  <c r="DU18" i="39"/>
  <c r="EB18" i="39" s="1"/>
  <c r="MY18" i="39"/>
  <c r="NF18" i="39" s="1"/>
  <c r="WC18" i="39"/>
  <c r="WJ18" i="39" s="1"/>
  <c r="LQ20" i="39"/>
  <c r="LX20" i="39" s="1"/>
  <c r="UU20" i="39"/>
  <c r="VB20" i="39" s="1"/>
  <c r="FC19" i="39"/>
  <c r="FJ19" i="39" s="1"/>
  <c r="OG19" i="39"/>
  <c r="ON19" i="39" s="1"/>
  <c r="DU9" i="39"/>
  <c r="EB9" i="39" s="1"/>
  <c r="MY9" i="39"/>
  <c r="NF9" i="39" s="1"/>
  <c r="WC9" i="39"/>
  <c r="WJ9" i="39" s="1"/>
  <c r="LQ15" i="39"/>
  <c r="LX15" i="39" s="1"/>
  <c r="UU15" i="39"/>
  <c r="VB15" i="39" s="1"/>
  <c r="MY10" i="39"/>
  <c r="NF10" i="39" s="1"/>
  <c r="PV17" i="39"/>
  <c r="EB19" i="39"/>
  <c r="EB20" i="39"/>
  <c r="F10" i="39"/>
  <c r="I19" i="39"/>
  <c r="G19" i="39"/>
  <c r="F19" i="39"/>
  <c r="HZ9" i="39"/>
  <c r="EB4" i="39"/>
  <c r="G4" i="39"/>
  <c r="I7" i="39"/>
  <c r="F7" i="39"/>
  <c r="I9" i="39"/>
  <c r="F15" i="39"/>
  <c r="EB10" i="39"/>
  <c r="I14" i="39"/>
  <c r="I10" i="39"/>
  <c r="G9" i="39"/>
  <c r="I4" i="39"/>
  <c r="F5" i="39"/>
  <c r="F4" i="39"/>
  <c r="G7" i="39"/>
  <c r="I18" i="39"/>
  <c r="F14" i="39"/>
  <c r="G17" i="39"/>
  <c r="I17" i="39"/>
  <c r="F20" i="39"/>
  <c r="G20" i="39"/>
  <c r="F9" i="39"/>
  <c r="G10" i="39"/>
  <c r="G18" i="39"/>
  <c r="PY9" i="38"/>
  <c r="PR5" i="38"/>
  <c r="PY5" i="38" s="1"/>
  <c r="OJ9" i="38"/>
  <c r="OQ9" i="38" s="1"/>
  <c r="NB4" i="38"/>
  <c r="NI4" i="38" s="1"/>
  <c r="NB10" i="38"/>
  <c r="NI10" i="38" s="1"/>
  <c r="LT8" i="38"/>
  <c r="MA8" i="38" s="1"/>
  <c r="MA11" i="38"/>
  <c r="LT6" i="38"/>
  <c r="MA6" i="38" s="1"/>
  <c r="KS9" i="38"/>
  <c r="KL14" i="38"/>
  <c r="KS14" i="38" s="1"/>
  <c r="JK5" i="38"/>
  <c r="JK7" i="38"/>
  <c r="JD11" i="38"/>
  <c r="JK11" i="38" s="1"/>
  <c r="HV9" i="38"/>
  <c r="IC9" i="38" s="1"/>
  <c r="HV12" i="38"/>
  <c r="IC12" i="38" s="1"/>
  <c r="HV7" i="38"/>
  <c r="IC7" i="38" s="1"/>
  <c r="GN7" i="38"/>
  <c r="GU7" i="38" s="1"/>
  <c r="GN6" i="38"/>
  <c r="GU6" i="38" s="1"/>
  <c r="J14" i="38"/>
  <c r="CV14" i="38" s="1"/>
  <c r="CQ10" i="38"/>
  <c r="CU10" i="38" s="1"/>
  <c r="J4" i="38"/>
  <c r="K4" i="38" s="1"/>
  <c r="J6" i="38"/>
  <c r="K6" i="38" s="1"/>
  <c r="J10" i="38"/>
  <c r="K10" i="38" s="1"/>
  <c r="I5" i="38"/>
  <c r="CQ6" i="38"/>
  <c r="CU6" i="38" s="1"/>
  <c r="DX8" i="38"/>
  <c r="EE8" i="38" s="1"/>
  <c r="TW9" i="38"/>
  <c r="KL12" i="38"/>
  <c r="KS12" i="38" s="1"/>
  <c r="TP12" i="38"/>
  <c r="TW12" i="38" s="1"/>
  <c r="JD6" i="38"/>
  <c r="JK6" i="38" s="1"/>
  <c r="SH6" i="38"/>
  <c r="SO6" i="38" s="1"/>
  <c r="OJ8" i="38"/>
  <c r="OQ8" i="38" s="1"/>
  <c r="KL4" i="38"/>
  <c r="KS4" i="38" s="1"/>
  <c r="TP4" i="38"/>
  <c r="TW4" i="38" s="1"/>
  <c r="J5" i="38"/>
  <c r="CV5" i="38" s="1"/>
  <c r="TP7" i="38"/>
  <c r="TW7" i="38" s="1"/>
  <c r="CQ8" i="38"/>
  <c r="CU8" i="38" s="1"/>
  <c r="LT9" i="38"/>
  <c r="MA9" i="38" s="1"/>
  <c r="LT10" i="38"/>
  <c r="MA10" i="38" s="1"/>
  <c r="I4" i="38"/>
  <c r="SO5" i="38"/>
  <c r="JD12" i="38"/>
  <c r="JK12" i="38" s="1"/>
  <c r="SH12" i="38"/>
  <c r="SO12" i="38" s="1"/>
  <c r="HV6" i="38"/>
  <c r="IC6" i="38" s="1"/>
  <c r="QZ6" i="38"/>
  <c r="RG6" i="38" s="1"/>
  <c r="NB8" i="38"/>
  <c r="NI8" i="38" s="1"/>
  <c r="G9" i="38"/>
  <c r="JK4" i="38"/>
  <c r="SO4" i="38"/>
  <c r="WF8" i="38"/>
  <c r="WM8" i="38" s="1"/>
  <c r="WF9" i="38"/>
  <c r="WM9" i="38" s="1"/>
  <c r="FM10" i="38"/>
  <c r="RG5" i="38"/>
  <c r="F6" i="38"/>
  <c r="PY6" i="38"/>
  <c r="I7" i="38"/>
  <c r="FM14" i="38"/>
  <c r="RG4" i="38"/>
  <c r="J7" i="38"/>
  <c r="UX8" i="38"/>
  <c r="VE8" i="38" s="1"/>
  <c r="UX9" i="38"/>
  <c r="VE9" i="38" s="1"/>
  <c r="HV5" i="38"/>
  <c r="IC5" i="38" s="1"/>
  <c r="GN12" i="38"/>
  <c r="GU12" i="38" s="1"/>
  <c r="PR12" i="38"/>
  <c r="PY12" i="38" s="1"/>
  <c r="FF6" i="38"/>
  <c r="FM6" i="38" s="1"/>
  <c r="OJ6" i="38"/>
  <c r="OQ6" i="38" s="1"/>
  <c r="CQ9" i="38"/>
  <c r="CU9" i="38" s="1"/>
  <c r="GN11" i="38"/>
  <c r="GU11" i="38" s="1"/>
  <c r="I10" i="38"/>
  <c r="GN4" i="38"/>
  <c r="GU4" i="38" s="1"/>
  <c r="PR4" i="38"/>
  <c r="PY4" i="38" s="1"/>
  <c r="PR7" i="38"/>
  <c r="PY7" i="38" s="1"/>
  <c r="TP8" i="38"/>
  <c r="TW8" i="38" s="1"/>
  <c r="DX5" i="38"/>
  <c r="EE5" i="38" s="1"/>
  <c r="GN5" i="38"/>
  <c r="GU5" i="38" s="1"/>
  <c r="OJ5" i="38"/>
  <c r="OQ5" i="38" s="1"/>
  <c r="FF12" i="38"/>
  <c r="FM12" i="38" s="1"/>
  <c r="OJ12" i="38"/>
  <c r="OQ12" i="38" s="1"/>
  <c r="I6" i="38"/>
  <c r="NB6" i="38"/>
  <c r="NI6" i="38" s="1"/>
  <c r="WF6" i="38"/>
  <c r="WM6" i="38" s="1"/>
  <c r="CQ7" i="38"/>
  <c r="CU7" i="38" s="1"/>
  <c r="OJ7" i="38"/>
  <c r="OQ7" i="38" s="1"/>
  <c r="HV8" i="38"/>
  <c r="IC8" i="38" s="1"/>
  <c r="GN9" i="38"/>
  <c r="GU9" i="38" s="1"/>
  <c r="QZ9" i="38"/>
  <c r="RG9" i="38" s="1"/>
  <c r="FF11" i="38"/>
  <c r="FM11" i="38" s="1"/>
  <c r="OJ11" i="38"/>
  <c r="OQ11" i="38" s="1"/>
  <c r="FF4" i="38"/>
  <c r="FM4" i="38" s="1"/>
  <c r="OJ4" i="38"/>
  <c r="OQ4" i="38" s="1"/>
  <c r="VE7" i="38"/>
  <c r="GN10" i="38"/>
  <c r="GU10" i="38" s="1"/>
  <c r="PR10" i="38"/>
  <c r="PY10" i="38" s="1"/>
  <c r="RG14" i="38"/>
  <c r="G5" i="38"/>
  <c r="DX6" i="38"/>
  <c r="CQ4" i="38"/>
  <c r="CU4" i="38" s="1"/>
  <c r="TP5" i="38"/>
  <c r="TW5" i="38" s="1"/>
  <c r="RG11" i="38"/>
  <c r="IC14" i="38"/>
  <c r="EE11" i="38"/>
  <c r="G8" i="38"/>
  <c r="F7" i="38"/>
  <c r="EE9" i="38"/>
  <c r="CQ5" i="38"/>
  <c r="CU5" i="38" s="1"/>
  <c r="G6" i="38"/>
  <c r="F9" i="38"/>
  <c r="I14" i="38"/>
  <c r="F14" i="38"/>
  <c r="F4" i="38"/>
  <c r="G10" i="38"/>
  <c r="F5" i="38"/>
  <c r="G7" i="38"/>
  <c r="VE11" i="38"/>
  <c r="G14" i="38"/>
  <c r="I8" i="38"/>
  <c r="F8" i="38"/>
  <c r="K14" i="38"/>
  <c r="G12" i="38"/>
  <c r="I11" i="38"/>
  <c r="F11" i="38"/>
  <c r="F10" i="38"/>
  <c r="KL10" i="38"/>
  <c r="KS10" i="38" s="1"/>
  <c r="G4" i="38"/>
  <c r="KS8" i="38"/>
  <c r="I9" i="38"/>
  <c r="G11" i="38"/>
  <c r="HV10" i="38"/>
  <c r="IC10" i="38" s="1"/>
  <c r="I12" i="38"/>
  <c r="UX10" i="38"/>
  <c r="VE10" i="38" s="1"/>
  <c r="TP10" i="38"/>
  <c r="TW10" i="38" s="1"/>
  <c r="J11" i="38"/>
  <c r="WF5" i="38"/>
  <c r="WM5" i="38" s="1"/>
  <c r="F12" i="38"/>
  <c r="SH10" i="38"/>
  <c r="SO10" i="38" s="1"/>
  <c r="UX5" i="38"/>
  <c r="VE5" i="38" s="1"/>
  <c r="J8" i="38"/>
  <c r="QZ10" i="38"/>
  <c r="RG10" i="38" s="1"/>
  <c r="J17" i="4"/>
  <c r="J10" i="4"/>
  <c r="J13" i="4"/>
  <c r="WF10" i="4"/>
  <c r="WM10" i="4" s="1"/>
  <c r="NB10" i="4"/>
  <c r="NI10" i="4" s="1"/>
  <c r="DX10" i="4"/>
  <c r="CQ13" i="4"/>
  <c r="CU13" i="4" s="1"/>
  <c r="SH13" i="4"/>
  <c r="SO13" i="4" s="1"/>
  <c r="JD13" i="4"/>
  <c r="JK13" i="4" s="1"/>
  <c r="DX13" i="4"/>
  <c r="FF13" i="4"/>
  <c r="FM13" i="4" s="1"/>
  <c r="DX7" i="4"/>
  <c r="DX9" i="4"/>
  <c r="DX17" i="4"/>
  <c r="FF7" i="4"/>
  <c r="FM7" i="4" s="1"/>
  <c r="FF9" i="4"/>
  <c r="FM9" i="4" s="1"/>
  <c r="FF17" i="4"/>
  <c r="FM17" i="4" s="1"/>
  <c r="GN9" i="4"/>
  <c r="GU9" i="4" s="1"/>
  <c r="GN17" i="4"/>
  <c r="GU17" i="4" s="1"/>
  <c r="HV7" i="4"/>
  <c r="IC7" i="4" s="1"/>
  <c r="HV17" i="4"/>
  <c r="IC17" i="4" s="1"/>
  <c r="JD9" i="4"/>
  <c r="JK9" i="4" s="1"/>
  <c r="JD17" i="4"/>
  <c r="JK17" i="4" s="1"/>
  <c r="KL9" i="4"/>
  <c r="KS9" i="4" s="1"/>
  <c r="KL17" i="4"/>
  <c r="KS17" i="4" s="1"/>
  <c r="LT7" i="4"/>
  <c r="MA7" i="4" s="1"/>
  <c r="LT9" i="4"/>
  <c r="MA9" i="4" s="1"/>
  <c r="LT17" i="4"/>
  <c r="MA17" i="4" s="1"/>
  <c r="NB7" i="4"/>
  <c r="NI7" i="4" s="1"/>
  <c r="NB9" i="4"/>
  <c r="NI9" i="4" s="1"/>
  <c r="NB17" i="4"/>
  <c r="NI17" i="4" s="1"/>
  <c r="OJ7" i="4"/>
  <c r="OQ7" i="4" s="1"/>
  <c r="OJ9" i="4"/>
  <c r="OQ9" i="4" s="1"/>
  <c r="OJ17" i="4"/>
  <c r="OQ17" i="4" s="1"/>
  <c r="PR7" i="4"/>
  <c r="PY7" i="4" s="1"/>
  <c r="PR9" i="4"/>
  <c r="PY9" i="4" s="1"/>
  <c r="PR17" i="4"/>
  <c r="PY17" i="4" s="1"/>
  <c r="QZ7" i="4"/>
  <c r="RG7" i="4" s="1"/>
  <c r="QZ9" i="4"/>
  <c r="RG9" i="4" s="1"/>
  <c r="QZ17" i="4"/>
  <c r="RG17" i="4" s="1"/>
  <c r="SH7" i="4"/>
  <c r="SO7" i="4" s="1"/>
  <c r="SH9" i="4"/>
  <c r="SO9" i="4" s="1"/>
  <c r="SH17" i="4"/>
  <c r="SO17" i="4" s="1"/>
  <c r="TP7" i="4"/>
  <c r="TW7" i="4" s="1"/>
  <c r="TP9" i="4"/>
  <c r="TW9" i="4" s="1"/>
  <c r="TP17" i="4"/>
  <c r="TW17" i="4" s="1"/>
  <c r="UX7" i="4"/>
  <c r="VE7" i="4" s="1"/>
  <c r="UX9" i="4"/>
  <c r="VE9" i="4" s="1"/>
  <c r="UX17" i="4"/>
  <c r="VE17" i="4" s="1"/>
  <c r="LT13" i="4"/>
  <c r="MA13" i="4" s="1"/>
  <c r="SH10" i="4"/>
  <c r="SO10" i="4" s="1"/>
  <c r="JD10" i="4"/>
  <c r="JK10" i="4" s="1"/>
  <c r="QZ13" i="4"/>
  <c r="RG13" i="4" s="1"/>
  <c r="TP10" i="4"/>
  <c r="TW10" i="4" s="1"/>
  <c r="OJ13" i="4"/>
  <c r="OQ13" i="4" s="1"/>
  <c r="QZ10" i="4"/>
  <c r="RG10" i="4" s="1"/>
  <c r="HV10" i="4"/>
  <c r="IC10" i="4" s="1"/>
  <c r="NB13" i="4"/>
  <c r="NI13" i="4" s="1"/>
  <c r="KL13" i="4"/>
  <c r="KS13" i="4" s="1"/>
  <c r="WF13" i="4"/>
  <c r="WM13" i="4" s="1"/>
  <c r="KL7" i="4"/>
  <c r="KS7" i="4" s="1"/>
  <c r="HV13" i="4"/>
  <c r="IC13" i="4" s="1"/>
  <c r="UX13" i="4"/>
  <c r="VE13" i="4" s="1"/>
  <c r="OJ10" i="4"/>
  <c r="OQ10" i="4" s="1"/>
  <c r="FF10" i="4"/>
  <c r="FM10" i="4" s="1"/>
  <c r="CQ10" i="4"/>
  <c r="CU10" i="4" s="1"/>
  <c r="TP13" i="4"/>
  <c r="TW13" i="4" s="1"/>
  <c r="GN13" i="4"/>
  <c r="GU13" i="4" s="1"/>
  <c r="PR13" i="4"/>
  <c r="PY13" i="4" s="1"/>
  <c r="G13" i="4"/>
  <c r="F13" i="4"/>
  <c r="DX20" i="4"/>
  <c r="DX11" i="4"/>
  <c r="FF20" i="4"/>
  <c r="FM20" i="4" s="1"/>
  <c r="FF11" i="4"/>
  <c r="FM11" i="4" s="1"/>
  <c r="GN20" i="4"/>
  <c r="GU20" i="4" s="1"/>
  <c r="GN11" i="4"/>
  <c r="GU11" i="4" s="1"/>
  <c r="HV20" i="4"/>
  <c r="IC20" i="4" s="1"/>
  <c r="HV11" i="4"/>
  <c r="IC11" i="4" s="1"/>
  <c r="JD20" i="4"/>
  <c r="JK20" i="4" s="1"/>
  <c r="JD11" i="4"/>
  <c r="JK11" i="4" s="1"/>
  <c r="KL20" i="4"/>
  <c r="KS20" i="4" s="1"/>
  <c r="KL11" i="4"/>
  <c r="KS11" i="4" s="1"/>
  <c r="LT20" i="4"/>
  <c r="MA20" i="4" s="1"/>
  <c r="LT11" i="4"/>
  <c r="MA11" i="4" s="1"/>
  <c r="NB20" i="4"/>
  <c r="NI20" i="4" s="1"/>
  <c r="NB11" i="4"/>
  <c r="NI11" i="4" s="1"/>
  <c r="OJ20" i="4"/>
  <c r="OQ20" i="4" s="1"/>
  <c r="OJ11" i="4"/>
  <c r="OQ11" i="4" s="1"/>
  <c r="PR20" i="4"/>
  <c r="PY20" i="4" s="1"/>
  <c r="PR11" i="4"/>
  <c r="PY11" i="4" s="1"/>
  <c r="QZ20" i="4"/>
  <c r="RG20" i="4" s="1"/>
  <c r="QZ11" i="4"/>
  <c r="RG11" i="4" s="1"/>
  <c r="SH20" i="4"/>
  <c r="SO20" i="4" s="1"/>
  <c r="SH11" i="4"/>
  <c r="SO11" i="4" s="1"/>
  <c r="TP20" i="4"/>
  <c r="TW20" i="4" s="1"/>
  <c r="TP11" i="4"/>
  <c r="TW11" i="4" s="1"/>
  <c r="UX20" i="4"/>
  <c r="VE20" i="4" s="1"/>
  <c r="UX11" i="4"/>
  <c r="VE11" i="4" s="1"/>
  <c r="UX10" i="4"/>
  <c r="VE10" i="4" s="1"/>
  <c r="PR10" i="4"/>
  <c r="PY10" i="4" s="1"/>
  <c r="LT10" i="4"/>
  <c r="MA10" i="4" s="1"/>
  <c r="KL10" i="4"/>
  <c r="KS10" i="4" s="1"/>
  <c r="GN10" i="4"/>
  <c r="GU10" i="4" s="1"/>
  <c r="G10" i="4"/>
  <c r="F10" i="4"/>
  <c r="DX8" i="4"/>
  <c r="DX16" i="4"/>
  <c r="DX23" i="4"/>
  <c r="FF8" i="4"/>
  <c r="FM8" i="4" s="1"/>
  <c r="FF23" i="4"/>
  <c r="FM23" i="4" s="1"/>
  <c r="GN8" i="4"/>
  <c r="GU8" i="4" s="1"/>
  <c r="GN23" i="4"/>
  <c r="GU23" i="4" s="1"/>
  <c r="HV8" i="4"/>
  <c r="IC8" i="4" s="1"/>
  <c r="HV16" i="4"/>
  <c r="IC16" i="4" s="1"/>
  <c r="HV23" i="4"/>
  <c r="IC23" i="4" s="1"/>
  <c r="JD8" i="4"/>
  <c r="JK8" i="4" s="1"/>
  <c r="JD16" i="4"/>
  <c r="JK16" i="4" s="1"/>
  <c r="JD23" i="4"/>
  <c r="JK23" i="4" s="1"/>
  <c r="KL8" i="4"/>
  <c r="KS8" i="4" s="1"/>
  <c r="LT16" i="4"/>
  <c r="MA16" i="4" s="1"/>
  <c r="LT23" i="4"/>
  <c r="MA23" i="4" s="1"/>
  <c r="NB16" i="4"/>
  <c r="NI16" i="4" s="1"/>
  <c r="SH16" i="4"/>
  <c r="SO16" i="4" s="1"/>
  <c r="SH23" i="4"/>
  <c r="SO23" i="4" s="1"/>
  <c r="TP8" i="4"/>
  <c r="TW8" i="4" s="1"/>
  <c r="TP16" i="4"/>
  <c r="TW16" i="4" s="1"/>
  <c r="TP23" i="4"/>
  <c r="TW23" i="4" s="1"/>
  <c r="UX8" i="4"/>
  <c r="VE8" i="4" s="1"/>
  <c r="UX16" i="4"/>
  <c r="VE16" i="4" s="1"/>
  <c r="FF16" i="4"/>
  <c r="FM16" i="4" s="1"/>
  <c r="KL16" i="4"/>
  <c r="KS16" i="4" s="1"/>
  <c r="KL23" i="4"/>
  <c r="KS23" i="4" s="1"/>
  <c r="LT8" i="4"/>
  <c r="MA8" i="4" s="1"/>
  <c r="NB8" i="4"/>
  <c r="NI8" i="4" s="1"/>
  <c r="NB23" i="4"/>
  <c r="NI23" i="4" s="1"/>
  <c r="OJ8" i="4"/>
  <c r="OQ8" i="4" s="1"/>
  <c r="OJ16" i="4"/>
  <c r="OQ16" i="4" s="1"/>
  <c r="OJ23" i="4"/>
  <c r="OQ23" i="4" s="1"/>
  <c r="PR8" i="4"/>
  <c r="PY8" i="4" s="1"/>
  <c r="PR16" i="4"/>
  <c r="PY16" i="4" s="1"/>
  <c r="PR23" i="4"/>
  <c r="PY23" i="4" s="1"/>
  <c r="QZ8" i="4"/>
  <c r="RG8" i="4" s="1"/>
  <c r="QZ16" i="4"/>
  <c r="RG16" i="4" s="1"/>
  <c r="QZ23" i="4"/>
  <c r="RG23" i="4" s="1"/>
  <c r="SH8" i="4"/>
  <c r="SO8" i="4" s="1"/>
  <c r="GN16" i="4"/>
  <c r="GU16" i="4" s="1"/>
  <c r="JD7" i="4"/>
  <c r="JK7" i="4" s="1"/>
  <c r="UX23" i="4"/>
  <c r="VE23" i="4" s="1"/>
  <c r="CQ17" i="4"/>
  <c r="CU17" i="4" s="1"/>
  <c r="DX6" i="4"/>
  <c r="DX15" i="4"/>
  <c r="DX19" i="4"/>
  <c r="FF6" i="4"/>
  <c r="FM6" i="4" s="1"/>
  <c r="FF15" i="4"/>
  <c r="FM15" i="4" s="1"/>
  <c r="FF19" i="4"/>
  <c r="FM19" i="4" s="1"/>
  <c r="GN6" i="4"/>
  <c r="GU6" i="4" s="1"/>
  <c r="GN15" i="4"/>
  <c r="GU15" i="4" s="1"/>
  <c r="GN19" i="4"/>
  <c r="GU19" i="4" s="1"/>
  <c r="HV6" i="4"/>
  <c r="IC6" i="4" s="1"/>
  <c r="HV19" i="4"/>
  <c r="IC19" i="4" s="1"/>
  <c r="JD6" i="4"/>
  <c r="JK6" i="4" s="1"/>
  <c r="JD15" i="4"/>
  <c r="JK15" i="4" s="1"/>
  <c r="JD19" i="4"/>
  <c r="JK19" i="4" s="1"/>
  <c r="KL6" i="4"/>
  <c r="KS6" i="4" s="1"/>
  <c r="KL15" i="4"/>
  <c r="KS15" i="4" s="1"/>
  <c r="KL19" i="4"/>
  <c r="KS19" i="4" s="1"/>
  <c r="LT6" i="4"/>
  <c r="MA6" i="4" s="1"/>
  <c r="LT15" i="4"/>
  <c r="MA15" i="4" s="1"/>
  <c r="LT19" i="4"/>
  <c r="MA19" i="4" s="1"/>
  <c r="NB6" i="4"/>
  <c r="NI6" i="4" s="1"/>
  <c r="NB15" i="4"/>
  <c r="NI15" i="4" s="1"/>
  <c r="NB19" i="4"/>
  <c r="NI19" i="4" s="1"/>
  <c r="OJ6" i="4"/>
  <c r="OQ6" i="4" s="1"/>
  <c r="OJ15" i="4"/>
  <c r="OQ15" i="4" s="1"/>
  <c r="OJ19" i="4"/>
  <c r="OQ19" i="4" s="1"/>
  <c r="PR6" i="4"/>
  <c r="PY6" i="4" s="1"/>
  <c r="PR15" i="4"/>
  <c r="PY15" i="4" s="1"/>
  <c r="PR19" i="4"/>
  <c r="PY19" i="4" s="1"/>
  <c r="QZ6" i="4"/>
  <c r="RG6" i="4" s="1"/>
  <c r="QZ15" i="4"/>
  <c r="RG15" i="4" s="1"/>
  <c r="QZ19" i="4"/>
  <c r="RG19" i="4" s="1"/>
  <c r="SH6" i="4"/>
  <c r="SO6" i="4" s="1"/>
  <c r="SH15" i="4"/>
  <c r="SO15" i="4" s="1"/>
  <c r="SH19" i="4"/>
  <c r="SO19" i="4" s="1"/>
  <c r="TP6" i="4"/>
  <c r="TW6" i="4" s="1"/>
  <c r="TP15" i="4"/>
  <c r="TW15" i="4" s="1"/>
  <c r="TP19" i="4"/>
  <c r="TW19" i="4" s="1"/>
  <c r="UX6" i="4"/>
  <c r="VE6" i="4" s="1"/>
  <c r="UX15" i="4"/>
  <c r="VE15" i="4" s="1"/>
  <c r="UX19" i="4"/>
  <c r="VE19" i="4" s="1"/>
  <c r="DX4" i="4"/>
  <c r="DX21" i="4"/>
  <c r="DX22" i="4"/>
  <c r="FF4" i="4"/>
  <c r="FM4" i="4" s="1"/>
  <c r="FF21" i="4"/>
  <c r="FM21" i="4" s="1"/>
  <c r="FF22" i="4"/>
  <c r="FM22" i="4" s="1"/>
  <c r="GN21" i="4"/>
  <c r="GU21" i="4" s="1"/>
  <c r="GN22" i="4"/>
  <c r="GU22" i="4" s="1"/>
  <c r="HV4" i="4"/>
  <c r="IC4" i="4" s="1"/>
  <c r="HV21" i="4"/>
  <c r="IC21" i="4" s="1"/>
  <c r="HV22" i="4"/>
  <c r="IC22" i="4" s="1"/>
  <c r="JD4" i="4"/>
  <c r="JK4" i="4" s="1"/>
  <c r="JD21" i="4"/>
  <c r="JK21" i="4" s="1"/>
  <c r="JD22" i="4"/>
  <c r="JK22" i="4" s="1"/>
  <c r="KL4" i="4"/>
  <c r="KS4" i="4" s="1"/>
  <c r="KL21" i="4"/>
  <c r="KS21" i="4" s="1"/>
  <c r="KL22" i="4"/>
  <c r="KS22" i="4" s="1"/>
  <c r="LT4" i="4"/>
  <c r="MA4" i="4" s="1"/>
  <c r="LT21" i="4"/>
  <c r="MA21" i="4" s="1"/>
  <c r="LT22" i="4"/>
  <c r="MA22" i="4" s="1"/>
  <c r="NB4" i="4"/>
  <c r="NI4" i="4" s="1"/>
  <c r="NB21" i="4"/>
  <c r="NI21" i="4" s="1"/>
  <c r="NB22" i="4"/>
  <c r="NI22" i="4" s="1"/>
  <c r="OJ4" i="4"/>
  <c r="OQ4" i="4" s="1"/>
  <c r="OJ21" i="4"/>
  <c r="OQ21" i="4" s="1"/>
  <c r="OJ22" i="4"/>
  <c r="OQ22" i="4" s="1"/>
  <c r="PR4" i="4"/>
  <c r="PY4" i="4" s="1"/>
  <c r="PR21" i="4"/>
  <c r="PY21" i="4" s="1"/>
  <c r="PR22" i="4"/>
  <c r="PY22" i="4" s="1"/>
  <c r="QZ4" i="4"/>
  <c r="RG4" i="4" s="1"/>
  <c r="QZ21" i="4"/>
  <c r="RG21" i="4" s="1"/>
  <c r="QZ22" i="4"/>
  <c r="RG22" i="4" s="1"/>
  <c r="SH4" i="4"/>
  <c r="SO4" i="4" s="1"/>
  <c r="SH21" i="4"/>
  <c r="SO21" i="4" s="1"/>
  <c r="SH22" i="4"/>
  <c r="SO22" i="4" s="1"/>
  <c r="TP4" i="4"/>
  <c r="TW4" i="4" s="1"/>
  <c r="TP21" i="4"/>
  <c r="TW21" i="4" s="1"/>
  <c r="TP22" i="4"/>
  <c r="TW22" i="4" s="1"/>
  <c r="UX4" i="4"/>
  <c r="VE4" i="4" s="1"/>
  <c r="UX21" i="4"/>
  <c r="VE21" i="4" s="1"/>
  <c r="UX22" i="4"/>
  <c r="VE22" i="4" s="1"/>
  <c r="DX5" i="4"/>
  <c r="DX12" i="4"/>
  <c r="DX24" i="4"/>
  <c r="FF5" i="4"/>
  <c r="FM5" i="4" s="1"/>
  <c r="FF12" i="4"/>
  <c r="FM12" i="4" s="1"/>
  <c r="FF24" i="4"/>
  <c r="FM24" i="4" s="1"/>
  <c r="GN5" i="4"/>
  <c r="GU5" i="4" s="1"/>
  <c r="GN12" i="4"/>
  <c r="GU12" i="4" s="1"/>
  <c r="GN24" i="4"/>
  <c r="GU24" i="4" s="1"/>
  <c r="HV5" i="4"/>
  <c r="IC5" i="4" s="1"/>
  <c r="HV12" i="4"/>
  <c r="IC12" i="4" s="1"/>
  <c r="HV24" i="4"/>
  <c r="IC24" i="4" s="1"/>
  <c r="JD5" i="4"/>
  <c r="JK5" i="4" s="1"/>
  <c r="JD12" i="4"/>
  <c r="JK12" i="4" s="1"/>
  <c r="JD24" i="4"/>
  <c r="JK24" i="4" s="1"/>
  <c r="KL5" i="4"/>
  <c r="KS5" i="4" s="1"/>
  <c r="KL12" i="4"/>
  <c r="KS12" i="4" s="1"/>
  <c r="KL24" i="4"/>
  <c r="KS24" i="4" s="1"/>
  <c r="LT5" i="4"/>
  <c r="MA5" i="4" s="1"/>
  <c r="LT12" i="4"/>
  <c r="MA12" i="4" s="1"/>
  <c r="LT24" i="4"/>
  <c r="MA24" i="4" s="1"/>
  <c r="NB5" i="4"/>
  <c r="NI5" i="4" s="1"/>
  <c r="NB12" i="4"/>
  <c r="NI12" i="4" s="1"/>
  <c r="NB24" i="4"/>
  <c r="NI24" i="4" s="1"/>
  <c r="OJ5" i="4"/>
  <c r="OQ5" i="4" s="1"/>
  <c r="OJ12" i="4"/>
  <c r="OQ12" i="4" s="1"/>
  <c r="OJ24" i="4"/>
  <c r="OQ24" i="4" s="1"/>
  <c r="PR5" i="4"/>
  <c r="PY5" i="4" s="1"/>
  <c r="PR12" i="4"/>
  <c r="PY12" i="4" s="1"/>
  <c r="PR24" i="4"/>
  <c r="PY24" i="4" s="1"/>
  <c r="QZ5" i="4"/>
  <c r="RG5" i="4" s="1"/>
  <c r="QZ12" i="4"/>
  <c r="RG12" i="4" s="1"/>
  <c r="QZ24" i="4"/>
  <c r="RG24" i="4" s="1"/>
  <c r="SH5" i="4"/>
  <c r="SO5" i="4" s="1"/>
  <c r="SH12" i="4"/>
  <c r="SO12" i="4" s="1"/>
  <c r="SH24" i="4"/>
  <c r="SO24" i="4" s="1"/>
  <c r="TP5" i="4"/>
  <c r="TW5" i="4" s="1"/>
  <c r="TP12" i="4"/>
  <c r="TW12" i="4" s="1"/>
  <c r="TP24" i="4"/>
  <c r="TW24" i="4" s="1"/>
  <c r="UX5" i="4"/>
  <c r="VE5" i="4" s="1"/>
  <c r="UX12" i="4"/>
  <c r="VE12" i="4" s="1"/>
  <c r="UX24" i="4"/>
  <c r="VE24" i="4" s="1"/>
  <c r="DX14" i="4"/>
  <c r="DX18" i="4"/>
  <c r="FF14" i="4"/>
  <c r="FM14" i="4" s="1"/>
  <c r="FF18" i="4"/>
  <c r="FM18" i="4" s="1"/>
  <c r="GN14" i="4"/>
  <c r="GU14" i="4" s="1"/>
  <c r="GN18" i="4"/>
  <c r="GU18" i="4" s="1"/>
  <c r="HV14" i="4"/>
  <c r="IC14" i="4" s="1"/>
  <c r="JD14" i="4"/>
  <c r="JK14" i="4" s="1"/>
  <c r="JD18" i="4"/>
  <c r="JK18" i="4" s="1"/>
  <c r="KL14" i="4"/>
  <c r="KS14" i="4" s="1"/>
  <c r="KL18" i="4"/>
  <c r="KS18" i="4" s="1"/>
  <c r="LT14" i="4"/>
  <c r="MA14" i="4" s="1"/>
  <c r="LT18" i="4"/>
  <c r="MA18" i="4" s="1"/>
  <c r="NB14" i="4"/>
  <c r="NI14" i="4" s="1"/>
  <c r="NB18" i="4"/>
  <c r="NI18" i="4" s="1"/>
  <c r="OJ14" i="4"/>
  <c r="OQ14" i="4" s="1"/>
  <c r="OJ18" i="4"/>
  <c r="OQ18" i="4" s="1"/>
  <c r="PR14" i="4"/>
  <c r="PY14" i="4" s="1"/>
  <c r="PR18" i="4"/>
  <c r="PY18" i="4" s="1"/>
  <c r="QZ14" i="4"/>
  <c r="RG14" i="4" s="1"/>
  <c r="QZ18" i="4"/>
  <c r="RG18" i="4" s="1"/>
  <c r="SH14" i="4"/>
  <c r="SO14" i="4" s="1"/>
  <c r="SH18" i="4"/>
  <c r="SO18" i="4" s="1"/>
  <c r="TP14" i="4"/>
  <c r="TW14" i="4" s="1"/>
  <c r="TP18" i="4"/>
  <c r="TW18" i="4" s="1"/>
  <c r="UX14" i="4"/>
  <c r="VE14" i="4" s="1"/>
  <c r="UX18" i="4"/>
  <c r="VE18" i="4" s="1"/>
  <c r="HV18" i="4"/>
  <c r="IC18" i="4" s="1"/>
  <c r="HV9" i="4"/>
  <c r="IC9" i="4" s="1"/>
  <c r="HV15" i="4"/>
  <c r="IC15" i="4" s="1"/>
  <c r="GN7" i="4"/>
  <c r="GU7" i="4" s="1"/>
  <c r="GN4" i="4"/>
  <c r="GU4" i="4" s="1"/>
  <c r="WF17" i="4"/>
  <c r="WM17" i="4" s="1"/>
  <c r="G17" i="4"/>
  <c r="F17" i="4"/>
  <c r="CK16" i="4"/>
  <c r="CL16" i="4"/>
  <c r="CM16" i="4"/>
  <c r="CN16" i="4"/>
  <c r="CO16" i="4"/>
  <c r="CP16" i="4"/>
  <c r="CR16" i="4"/>
  <c r="CS16" i="4"/>
  <c r="CT16" i="4"/>
  <c r="J16" i="4" s="1"/>
  <c r="VZ16" i="4"/>
  <c r="WA16" i="4"/>
  <c r="WB16" i="4"/>
  <c r="WC16" i="4"/>
  <c r="WD16" i="4"/>
  <c r="WE16" i="4"/>
  <c r="WG16" i="4"/>
  <c r="WH16" i="4"/>
  <c r="WI16" i="4"/>
  <c r="WJ16" i="4"/>
  <c r="WK16" i="4"/>
  <c r="WL16" i="4"/>
  <c r="CK18" i="4"/>
  <c r="CL18" i="4"/>
  <c r="CM18" i="4"/>
  <c r="CN18" i="4"/>
  <c r="CO18" i="4"/>
  <c r="CP18" i="4"/>
  <c r="CR18" i="4"/>
  <c r="CS18" i="4"/>
  <c r="CT18" i="4"/>
  <c r="J18" i="4" s="1"/>
  <c r="VZ18" i="4"/>
  <c r="WA18" i="4"/>
  <c r="WB18" i="4"/>
  <c r="WC18" i="4"/>
  <c r="WD18" i="4"/>
  <c r="WE18" i="4"/>
  <c r="WG18" i="4"/>
  <c r="WH18" i="4"/>
  <c r="WI18" i="4"/>
  <c r="WJ18" i="4"/>
  <c r="WK18" i="4"/>
  <c r="WL18" i="4"/>
  <c r="CK11" i="4"/>
  <c r="CL11" i="4"/>
  <c r="CM11" i="4"/>
  <c r="CN11" i="4"/>
  <c r="CO11" i="4"/>
  <c r="CP11" i="4"/>
  <c r="CR11" i="4"/>
  <c r="CS11" i="4"/>
  <c r="CT11" i="4"/>
  <c r="VZ11" i="4"/>
  <c r="WA11" i="4"/>
  <c r="WB11" i="4"/>
  <c r="WC11" i="4"/>
  <c r="WD11" i="4"/>
  <c r="WE11" i="4"/>
  <c r="WG11" i="4"/>
  <c r="WH11" i="4"/>
  <c r="WI11" i="4"/>
  <c r="WJ11" i="4"/>
  <c r="WK11" i="4"/>
  <c r="WL11" i="4"/>
  <c r="K9" i="38" l="1"/>
  <c r="CV12" i="38"/>
  <c r="K12" i="38"/>
  <c r="CV9" i="38"/>
  <c r="H10" i="42"/>
  <c r="H24" i="42"/>
  <c r="A24" i="42" s="1" a="1"/>
  <c r="A24" i="42" s="1"/>
  <c r="L12" i="38"/>
  <c r="O12" i="38" s="1"/>
  <c r="K5" i="38"/>
  <c r="CT4" i="41"/>
  <c r="N4" i="41" s="1"/>
  <c r="P4" i="41" s="1"/>
  <c r="CT4" i="39"/>
  <c r="N4" i="39" s="1"/>
  <c r="P4" i="39" s="1"/>
  <c r="C27" i="11"/>
  <c r="D29" i="11"/>
  <c r="D26" i="11"/>
  <c r="D27" i="11"/>
  <c r="C26" i="11"/>
  <c r="C28" i="11"/>
  <c r="D28" i="11"/>
  <c r="C29" i="11"/>
  <c r="H26" i="42"/>
  <c r="A26" i="42" s="1" a="1"/>
  <c r="A26" i="42" s="1"/>
  <c r="H27" i="42"/>
  <c r="A27" i="42" s="1" a="1"/>
  <c r="A27" i="42" s="1"/>
  <c r="CT17" i="42"/>
  <c r="N17" i="42" s="1"/>
  <c r="P17" i="42" s="1"/>
  <c r="H14" i="42"/>
  <c r="A14" i="42" s="1" a="1"/>
  <c r="A14" i="42" s="1"/>
  <c r="H16" i="42"/>
  <c r="A16" i="42" s="1" a="1"/>
  <c r="A16" i="42" s="1"/>
  <c r="H20" i="42"/>
  <c r="A20" i="42" s="1" a="1"/>
  <c r="A20" i="42" s="1"/>
  <c r="H21" i="42"/>
  <c r="A21" i="42" s="1" a="1"/>
  <c r="A21" i="42" s="1"/>
  <c r="H19" i="42"/>
  <c r="A19" i="42" s="1" a="1"/>
  <c r="A19" i="42" s="1"/>
  <c r="EB24" i="42"/>
  <c r="CT24" i="42"/>
  <c r="N24" i="42" s="1"/>
  <c r="P24" i="42" s="1"/>
  <c r="CT18" i="42"/>
  <c r="N18" i="42" s="1"/>
  <c r="P18" i="42" s="1"/>
  <c r="M18" i="42"/>
  <c r="CT16" i="42"/>
  <c r="N16" i="42" s="1"/>
  <c r="P16" i="42" s="1"/>
  <c r="M16" i="42"/>
  <c r="CT27" i="42"/>
  <c r="N27" i="42" s="1"/>
  <c r="P27" i="42" s="1"/>
  <c r="CT26" i="42"/>
  <c r="N26" i="42" s="1"/>
  <c r="P26" i="42" s="1"/>
  <c r="M26" i="42"/>
  <c r="EB14" i="42"/>
  <c r="CT14" i="42"/>
  <c r="N14" i="42" s="1"/>
  <c r="P14" i="42" s="1"/>
  <c r="CT7" i="42"/>
  <c r="N7" i="42" s="1"/>
  <c r="P7" i="42" s="1"/>
  <c r="EB20" i="42"/>
  <c r="CT20" i="42"/>
  <c r="N20" i="42" s="1"/>
  <c r="P20" i="42" s="1"/>
  <c r="CT8" i="42"/>
  <c r="N8" i="42" s="1"/>
  <c r="P8" i="42" s="1"/>
  <c r="M8" i="42"/>
  <c r="EB9" i="42"/>
  <c r="CT9" i="42"/>
  <c r="N9" i="42" s="1"/>
  <c r="P9" i="42" s="1"/>
  <c r="EB11" i="42"/>
  <c r="CT11" i="42"/>
  <c r="N11" i="42" s="1"/>
  <c r="P11" i="42" s="1"/>
  <c r="H18" i="42"/>
  <c r="A18" i="42" s="1" a="1"/>
  <c r="A18" i="42" s="1"/>
  <c r="EB6" i="42"/>
  <c r="CT6" i="42"/>
  <c r="N6" i="42" s="1"/>
  <c r="P6" i="42" s="1"/>
  <c r="CT19" i="42"/>
  <c r="N19" i="42" s="1"/>
  <c r="P19" i="42" s="1"/>
  <c r="M19" i="42"/>
  <c r="EB12" i="42"/>
  <c r="CT12" i="42"/>
  <c r="N12" i="42" s="1"/>
  <c r="P12" i="42" s="1"/>
  <c r="EB21" i="42"/>
  <c r="CT21" i="42"/>
  <c r="N21" i="42" s="1"/>
  <c r="P21" i="42" s="1"/>
  <c r="H11" i="42"/>
  <c r="EB10" i="42"/>
  <c r="CT10" i="42"/>
  <c r="N10" i="42" s="1"/>
  <c r="P10" i="42" s="1"/>
  <c r="CT15" i="42"/>
  <c r="N15" i="42" s="1"/>
  <c r="P15" i="42" s="1"/>
  <c r="EB13" i="42"/>
  <c r="CT13" i="42"/>
  <c r="N13" i="42" s="1"/>
  <c r="P13" i="42" s="1"/>
  <c r="EB4" i="42"/>
  <c r="CT4" i="42"/>
  <c r="N4" i="42" s="1"/>
  <c r="P4" i="42" s="1"/>
  <c r="N9" i="38"/>
  <c r="O9" i="38" s="1"/>
  <c r="L14" i="38"/>
  <c r="N14" i="38"/>
  <c r="CW14" i="38" s="1"/>
  <c r="P14" i="38" s="1"/>
  <c r="N5" i="38"/>
  <c r="CW5" i="38" s="1"/>
  <c r="P5" i="38" s="1"/>
  <c r="L5" i="38"/>
  <c r="L11" i="38"/>
  <c r="N11" i="38"/>
  <c r="CW11" i="38" s="1"/>
  <c r="CV10" i="38"/>
  <c r="L10" i="38"/>
  <c r="M10" i="38" s="1"/>
  <c r="N10" i="38"/>
  <c r="CW10" i="38" s="1"/>
  <c r="P10" i="38" s="1"/>
  <c r="E10" i="38" s="1"/>
  <c r="L7" i="38"/>
  <c r="N7" i="38"/>
  <c r="CW7" i="38" s="1"/>
  <c r="CV6" i="38"/>
  <c r="L6" i="38"/>
  <c r="M6" i="38" s="1"/>
  <c r="N6" i="38"/>
  <c r="CW6" i="38" s="1"/>
  <c r="P6" i="38" s="1"/>
  <c r="L8" i="38"/>
  <c r="N8" i="38"/>
  <c r="CW8" i="38" s="1"/>
  <c r="CV4" i="38"/>
  <c r="N4" i="38"/>
  <c r="CW4" i="38" s="1"/>
  <c r="L4" i="38"/>
  <c r="I11" i="4"/>
  <c r="CV13" i="4"/>
  <c r="L13" i="4"/>
  <c r="M13" i="4" s="1"/>
  <c r="N13" i="4"/>
  <c r="CW13" i="4" s="1"/>
  <c r="I16" i="4"/>
  <c r="CV10" i="4"/>
  <c r="N10" i="4"/>
  <c r="CW10" i="4" s="1"/>
  <c r="L10" i="4"/>
  <c r="CV17" i="4"/>
  <c r="L17" i="4"/>
  <c r="M17" i="4" s="1"/>
  <c r="N17" i="4"/>
  <c r="CW17" i="4" s="1"/>
  <c r="N16" i="4"/>
  <c r="L16" i="4"/>
  <c r="M16" i="4" s="1"/>
  <c r="L18" i="4"/>
  <c r="N18" i="4"/>
  <c r="I18" i="4"/>
  <c r="EB19" i="42"/>
  <c r="CT5" i="42"/>
  <c r="N5" i="42" s="1"/>
  <c r="P5" i="42" s="1"/>
  <c r="EB15" i="42"/>
  <c r="EB17" i="42"/>
  <c r="H5" i="41"/>
  <c r="H8" i="41"/>
  <c r="H4" i="41"/>
  <c r="CT4" i="40"/>
  <c r="N4" i="40" s="1"/>
  <c r="E4" i="40" s="1"/>
  <c r="H12" i="40"/>
  <c r="CT14" i="40"/>
  <c r="N14" i="40" s="1"/>
  <c r="P14" i="40" s="1"/>
  <c r="CT12" i="40"/>
  <c r="N12" i="40" s="1"/>
  <c r="P12" i="40" s="1"/>
  <c r="CT5" i="40"/>
  <c r="N5" i="40" s="1"/>
  <c r="E5" i="40" s="1"/>
  <c r="H6" i="40"/>
  <c r="H4" i="40"/>
  <c r="H8" i="40"/>
  <c r="CT5" i="41"/>
  <c r="N5" i="41" s="1"/>
  <c r="P5" i="41" s="1"/>
  <c r="CT6" i="41"/>
  <c r="N6" i="41" s="1"/>
  <c r="E6" i="41" s="1"/>
  <c r="H6" i="41"/>
  <c r="CT11" i="41"/>
  <c r="N11" i="41" s="1"/>
  <c r="E11" i="41" s="1"/>
  <c r="H7" i="41"/>
  <c r="CT10" i="41"/>
  <c r="N10" i="41" s="1"/>
  <c r="E10" i="41" s="1"/>
  <c r="CT9" i="41"/>
  <c r="N9" i="41" s="1"/>
  <c r="E9" i="41" s="1"/>
  <c r="CT15" i="40"/>
  <c r="N15" i="40" s="1"/>
  <c r="E15" i="40" s="1"/>
  <c r="H13" i="40"/>
  <c r="H7" i="40"/>
  <c r="CT6" i="40"/>
  <c r="N6" i="40" s="1"/>
  <c r="P6" i="40" s="1"/>
  <c r="H9" i="40"/>
  <c r="H15" i="40"/>
  <c r="CT8" i="41"/>
  <c r="N8" i="41" s="1"/>
  <c r="K10" i="41"/>
  <c r="K6" i="41"/>
  <c r="H9" i="41"/>
  <c r="K9" i="41"/>
  <c r="K4" i="41"/>
  <c r="CT7" i="41"/>
  <c r="N7" i="41" s="1"/>
  <c r="E7" i="41" s="1"/>
  <c r="K8" i="41"/>
  <c r="K5" i="41"/>
  <c r="H10" i="41"/>
  <c r="K7" i="41"/>
  <c r="H11" i="41"/>
  <c r="A11" i="41" s="1" a="1"/>
  <c r="A11" i="41" s="1"/>
  <c r="K13" i="40"/>
  <c r="H5" i="40"/>
  <c r="K6" i="40"/>
  <c r="M10" i="40"/>
  <c r="CT10" i="40"/>
  <c r="N10" i="40" s="1"/>
  <c r="E10" i="40" s="1"/>
  <c r="K15" i="40"/>
  <c r="CT7" i="40"/>
  <c r="N7" i="40" s="1"/>
  <c r="K4" i="40"/>
  <c r="K10" i="40"/>
  <c r="K8" i="40"/>
  <c r="K14" i="40"/>
  <c r="K12" i="40"/>
  <c r="CT8" i="40"/>
  <c r="N8" i="40" s="1"/>
  <c r="H10" i="40"/>
  <c r="H14" i="40"/>
  <c r="K9" i="40"/>
  <c r="CT13" i="40"/>
  <c r="N13" i="40" s="1"/>
  <c r="K5" i="40"/>
  <c r="CT9" i="40"/>
  <c r="N9" i="40" s="1"/>
  <c r="E9" i="40" s="1"/>
  <c r="K6" i="39"/>
  <c r="K13" i="39"/>
  <c r="CT9" i="39"/>
  <c r="N9" i="39" s="1"/>
  <c r="M12" i="39"/>
  <c r="CT5" i="39"/>
  <c r="N5" i="39" s="1"/>
  <c r="CT13" i="39"/>
  <c r="N13" i="39" s="1"/>
  <c r="H15" i="39"/>
  <c r="H5" i="39"/>
  <c r="H18" i="39"/>
  <c r="A18" i="39" s="1" a="1"/>
  <c r="A18" i="39" s="1"/>
  <c r="H6" i="39"/>
  <c r="H10" i="39"/>
  <c r="H8" i="39"/>
  <c r="H11" i="39"/>
  <c r="H12" i="39"/>
  <c r="H14" i="39"/>
  <c r="H13" i="39"/>
  <c r="M13" i="39"/>
  <c r="H7" i="39"/>
  <c r="H20" i="39"/>
  <c r="A20" i="39" s="1" a="1"/>
  <c r="A20" i="39" s="1"/>
  <c r="H19" i="39"/>
  <c r="H4" i="39"/>
  <c r="M14" i="39"/>
  <c r="H17" i="39"/>
  <c r="H9" i="39"/>
  <c r="K17" i="4"/>
  <c r="K7" i="38"/>
  <c r="H9" i="38"/>
  <c r="CV7" i="38"/>
  <c r="H7" i="38"/>
  <c r="H12" i="38"/>
  <c r="CW12" i="38"/>
  <c r="P12" i="38" s="1"/>
  <c r="E12" i="38" s="1"/>
  <c r="H11" i="38"/>
  <c r="H6" i="38"/>
  <c r="M9" i="38"/>
  <c r="H8" i="38"/>
  <c r="H4" i="38"/>
  <c r="EE6" i="38"/>
  <c r="CV8" i="38"/>
  <c r="K8" i="38"/>
  <c r="H14" i="38"/>
  <c r="A14" i="38" s="1" a="1"/>
  <c r="A14" i="38" s="1"/>
  <c r="H5" i="38"/>
  <c r="H10" i="38"/>
  <c r="K11" i="38"/>
  <c r="CV11" i="38"/>
  <c r="M14" i="38"/>
  <c r="CV16" i="4"/>
  <c r="EE22" i="4"/>
  <c r="EE15" i="4"/>
  <c r="EE11" i="4"/>
  <c r="EE21" i="4"/>
  <c r="EE6" i="4"/>
  <c r="EE20" i="4"/>
  <c r="EE24" i="4"/>
  <c r="EE12" i="4"/>
  <c r="EE23" i="4"/>
  <c r="EE17" i="4"/>
  <c r="EE18" i="4"/>
  <c r="EE5" i="4"/>
  <c r="EE16" i="4"/>
  <c r="EE9" i="4"/>
  <c r="EE8" i="4"/>
  <c r="EE7" i="4"/>
  <c r="EE13" i="4"/>
  <c r="EE10" i="4"/>
  <c r="EE4" i="4"/>
  <c r="EE14" i="4"/>
  <c r="K13" i="4"/>
  <c r="CV18" i="4"/>
  <c r="EE19" i="4"/>
  <c r="K10" i="4"/>
  <c r="J11" i="4"/>
  <c r="K11" i="4" s="1"/>
  <c r="K18" i="4"/>
  <c r="K16" i="4"/>
  <c r="H13" i="4"/>
  <c r="H10" i="4"/>
  <c r="H17" i="4"/>
  <c r="A17" i="4" s="1" a="1"/>
  <c r="A17" i="4" s="1"/>
  <c r="CQ16" i="4"/>
  <c r="CU16" i="4" s="1"/>
  <c r="CQ18" i="4"/>
  <c r="CU18" i="4" s="1"/>
  <c r="WF16" i="4"/>
  <c r="WM16" i="4" s="1"/>
  <c r="CQ11" i="4"/>
  <c r="CU11" i="4" s="1"/>
  <c r="WF18" i="4"/>
  <c r="WM18" i="4" s="1"/>
  <c r="G16" i="4"/>
  <c r="F16" i="4"/>
  <c r="WF11" i="4"/>
  <c r="WM11" i="4" s="1"/>
  <c r="F18" i="4"/>
  <c r="G18" i="4"/>
  <c r="G11" i="4"/>
  <c r="F11" i="4"/>
  <c r="O5" i="40" l="1"/>
  <c r="O4" i="41"/>
  <c r="E4" i="41"/>
  <c r="P5" i="40"/>
  <c r="O12" i="40"/>
  <c r="M12" i="38"/>
  <c r="O14" i="38"/>
  <c r="O6" i="38"/>
  <c r="E14" i="38"/>
  <c r="CW9" i="38"/>
  <c r="P9" i="38" s="1"/>
  <c r="R9" i="38" s="1"/>
  <c r="P4" i="38"/>
  <c r="E4" i="38" s="1"/>
  <c r="O5" i="38"/>
  <c r="E5" i="38"/>
  <c r="O7" i="38"/>
  <c r="O10" i="4"/>
  <c r="E11" i="42"/>
  <c r="E26" i="42"/>
  <c r="E27" i="42"/>
  <c r="O4" i="38"/>
  <c r="M5" i="38"/>
  <c r="O4" i="40"/>
  <c r="P4" i="40"/>
  <c r="E14" i="40"/>
  <c r="E12" i="40"/>
  <c r="O14" i="40"/>
  <c r="E8" i="42"/>
  <c r="O21" i="42"/>
  <c r="M4" i="38"/>
  <c r="O10" i="38"/>
  <c r="P7" i="38"/>
  <c r="R7" i="38" s="1"/>
  <c r="M7" i="38"/>
  <c r="CV11" i="4"/>
  <c r="L11" i="4"/>
  <c r="N11" i="4"/>
  <c r="CW11" i="4" s="1"/>
  <c r="P11" i="4" s="1"/>
  <c r="R11" i="4" s="1"/>
  <c r="E21" i="42"/>
  <c r="E12" i="42"/>
  <c r="E10" i="42"/>
  <c r="E20" i="42"/>
  <c r="E14" i="42"/>
  <c r="E15" i="42"/>
  <c r="E13" i="42"/>
  <c r="E19" i="42"/>
  <c r="E16" i="42"/>
  <c r="O15" i="42"/>
  <c r="E6" i="42"/>
  <c r="E7" i="42"/>
  <c r="O8" i="42"/>
  <c r="O14" i="42"/>
  <c r="E9" i="42"/>
  <c r="O26" i="42"/>
  <c r="E17" i="42"/>
  <c r="E24" i="42"/>
  <c r="O11" i="42"/>
  <c r="O19" i="42"/>
  <c r="O12" i="42"/>
  <c r="O27" i="42"/>
  <c r="E18" i="42"/>
  <c r="E5" i="42"/>
  <c r="O10" i="42"/>
  <c r="P6" i="41"/>
  <c r="O6" i="41"/>
  <c r="O11" i="41"/>
  <c r="P11" i="41"/>
  <c r="O10" i="41"/>
  <c r="P10" i="41"/>
  <c r="E5" i="41"/>
  <c r="O5" i="41"/>
  <c r="O15" i="40"/>
  <c r="P15" i="40"/>
  <c r="O6" i="40"/>
  <c r="E6" i="40"/>
  <c r="P9" i="41"/>
  <c r="O9" i="41"/>
  <c r="O8" i="41"/>
  <c r="P8" i="41"/>
  <c r="P7" i="41"/>
  <c r="O7" i="41"/>
  <c r="E8" i="41"/>
  <c r="P13" i="40"/>
  <c r="O13" i="40"/>
  <c r="P8" i="40"/>
  <c r="O8" i="40"/>
  <c r="P10" i="40"/>
  <c r="O10" i="40"/>
  <c r="O7" i="40"/>
  <c r="P7" i="40"/>
  <c r="E7" i="40"/>
  <c r="P9" i="40"/>
  <c r="O9" i="40"/>
  <c r="E13" i="40"/>
  <c r="E8" i="40"/>
  <c r="O13" i="39"/>
  <c r="P13" i="39"/>
  <c r="P5" i="39"/>
  <c r="O5" i="39"/>
  <c r="P9" i="39"/>
  <c r="O9" i="39"/>
  <c r="O4" i="39"/>
  <c r="M9" i="39"/>
  <c r="K17" i="39"/>
  <c r="K8" i="39"/>
  <c r="K20" i="39"/>
  <c r="K10" i="39"/>
  <c r="CT20" i="39"/>
  <c r="N20" i="39" s="1"/>
  <c r="K18" i="39"/>
  <c r="K9" i="39"/>
  <c r="K14" i="39"/>
  <c r="K12" i="39"/>
  <c r="CT8" i="39"/>
  <c r="N8" i="39" s="1"/>
  <c r="CT12" i="39"/>
  <c r="N12" i="39" s="1"/>
  <c r="K5" i="39"/>
  <c r="K19" i="39"/>
  <c r="K15" i="39"/>
  <c r="K7" i="39"/>
  <c r="K11" i="39"/>
  <c r="CT6" i="39"/>
  <c r="N6" i="39" s="1"/>
  <c r="M6" i="39"/>
  <c r="CT11" i="39"/>
  <c r="N11" i="39" s="1"/>
  <c r="CT19" i="39"/>
  <c r="N19" i="39" s="1"/>
  <c r="CT7" i="39"/>
  <c r="N7" i="39" s="1"/>
  <c r="CT14" i="39"/>
  <c r="N14" i="39" s="1"/>
  <c r="CT15" i="39"/>
  <c r="N15" i="39" s="1"/>
  <c r="CT18" i="39"/>
  <c r="N18" i="39" s="1"/>
  <c r="M15" i="39"/>
  <c r="CT10" i="39"/>
  <c r="N10" i="39" s="1"/>
  <c r="CT17" i="39"/>
  <c r="N17" i="39" s="1"/>
  <c r="M18" i="39"/>
  <c r="M7" i="39"/>
  <c r="M17" i="39"/>
  <c r="M5" i="39"/>
  <c r="M20" i="39"/>
  <c r="M11" i="39"/>
  <c r="E9" i="39"/>
  <c r="M8" i="39"/>
  <c r="M10" i="39"/>
  <c r="A13" i="39" a="1"/>
  <c r="A13" i="39" s="1"/>
  <c r="M19" i="39"/>
  <c r="CW18" i="4"/>
  <c r="P18" i="4" s="1"/>
  <c r="R18" i="4" s="1"/>
  <c r="O13" i="4"/>
  <c r="P17" i="4"/>
  <c r="R17" i="4" s="1"/>
  <c r="CW16" i="4"/>
  <c r="P16" i="4" s="1"/>
  <c r="R16" i="4" s="1"/>
  <c r="O17" i="4"/>
  <c r="P8" i="38"/>
  <c r="R6" i="38"/>
  <c r="Q6" i="38"/>
  <c r="E6" i="38"/>
  <c r="M8" i="38"/>
  <c r="O8" i="38"/>
  <c r="P11" i="38"/>
  <c r="E11" i="38" s="1"/>
  <c r="R5" i="38"/>
  <c r="Q5" i="38"/>
  <c r="R14" i="38"/>
  <c r="Q14" i="38"/>
  <c r="R10" i="38"/>
  <c r="Q10" i="38"/>
  <c r="Q12" i="38"/>
  <c r="R12" i="38"/>
  <c r="M11" i="38"/>
  <c r="O11" i="38"/>
  <c r="P10" i="4"/>
  <c r="R10" i="4" s="1"/>
  <c r="P13" i="4"/>
  <c r="R13" i="4" s="1"/>
  <c r="M10" i="4"/>
  <c r="E13" i="4"/>
  <c r="O16" i="4"/>
  <c r="M18" i="4"/>
  <c r="O18" i="4"/>
  <c r="H16" i="4"/>
  <c r="A16" i="4" s="1" a="1"/>
  <c r="A16" i="4" s="1"/>
  <c r="H18" i="4"/>
  <c r="H11" i="4"/>
  <c r="Q4" i="38" l="1"/>
  <c r="A7" i="41" a="1"/>
  <c r="A7" i="41" s="1"/>
  <c r="E9" i="38"/>
  <c r="Q9" i="38"/>
  <c r="R4" i="38"/>
  <c r="Q17" i="4"/>
  <c r="A8" i="41" a="1"/>
  <c r="A8" i="41" s="1"/>
  <c r="O11" i="4"/>
  <c r="I15" i="42"/>
  <c r="H15" i="42" s="1"/>
  <c r="A15" i="42" s="1" a="1"/>
  <c r="A15" i="42" s="1"/>
  <c r="M11" i="4"/>
  <c r="E7" i="38"/>
  <c r="Q7" i="38"/>
  <c r="A10" i="41" a="1"/>
  <c r="A10" i="41" s="1"/>
  <c r="A6" i="41" a="1"/>
  <c r="A6" i="41" s="1"/>
  <c r="A5" i="41" a="1"/>
  <c r="A5" i="41" s="1"/>
  <c r="A9" i="41" a="1"/>
  <c r="A9" i="41" s="1"/>
  <c r="A13" i="40" a="1"/>
  <c r="A13" i="40" s="1"/>
  <c r="A8" i="40" a="1"/>
  <c r="A8" i="40" s="1"/>
  <c r="O20" i="42"/>
  <c r="O13" i="42"/>
  <c r="O6" i="42"/>
  <c r="O16" i="42"/>
  <c r="O4" i="42"/>
  <c r="E4" i="42"/>
  <c r="O5" i="42"/>
  <c r="O7" i="42"/>
  <c r="O24" i="42"/>
  <c r="O17" i="42"/>
  <c r="O18" i="42"/>
  <c r="O9" i="42"/>
  <c r="A5" i="40" a="1"/>
  <c r="A5" i="40" s="1"/>
  <c r="A7" i="40" a="1"/>
  <c r="A7" i="40" s="1"/>
  <c r="A9" i="40" a="1"/>
  <c r="A9" i="40" s="1"/>
  <c r="A14" i="40" a="1"/>
  <c r="A14" i="40" s="1"/>
  <c r="A15" i="40" a="1"/>
  <c r="A15" i="40" s="1"/>
  <c r="A10" i="40" a="1"/>
  <c r="A10" i="40" s="1"/>
  <c r="A6" i="40" a="1"/>
  <c r="A6" i="40" s="1"/>
  <c r="A12" i="40" a="1"/>
  <c r="A12" i="40" s="1"/>
  <c r="A4" i="40" a="1"/>
  <c r="A4" i="40" s="1"/>
  <c r="A4" i="41" a="1"/>
  <c r="A4" i="41" s="1"/>
  <c r="P6" i="39"/>
  <c r="O6" i="39"/>
  <c r="O12" i="39"/>
  <c r="P12" i="39"/>
  <c r="P8" i="39"/>
  <c r="O8" i="39"/>
  <c r="P18" i="39"/>
  <c r="O18" i="39"/>
  <c r="P14" i="39"/>
  <c r="O14" i="39"/>
  <c r="P7" i="39"/>
  <c r="O7" i="39"/>
  <c r="P17" i="39"/>
  <c r="O17" i="39"/>
  <c r="O19" i="39"/>
  <c r="P19" i="39"/>
  <c r="P11" i="39"/>
  <c r="O11" i="39"/>
  <c r="P10" i="39"/>
  <c r="O10" i="39"/>
  <c r="P15" i="39"/>
  <c r="O15" i="39"/>
  <c r="P20" i="39"/>
  <c r="O20" i="39"/>
  <c r="E6" i="39"/>
  <c r="E8" i="39"/>
  <c r="E12" i="39"/>
  <c r="E10" i="39"/>
  <c r="E19" i="39"/>
  <c r="E11" i="39"/>
  <c r="E7" i="39"/>
  <c r="E13" i="39"/>
  <c r="E15" i="39"/>
  <c r="E4" i="39"/>
  <c r="E14" i="39"/>
  <c r="E5" i="39"/>
  <c r="E17" i="39"/>
  <c r="E18" i="39"/>
  <c r="E20" i="39"/>
  <c r="A6" i="39" a="1"/>
  <c r="A6" i="39" s="1"/>
  <c r="A12" i="39" a="1"/>
  <c r="A12" i="39" s="1"/>
  <c r="A8" i="39" a="1"/>
  <c r="A8" i="39" s="1"/>
  <c r="A19" i="39" a="1"/>
  <c r="A19" i="39" s="1"/>
  <c r="A9" i="39" a="1"/>
  <c r="A9" i="39" s="1"/>
  <c r="A7" i="39" a="1"/>
  <c r="A7" i="39" s="1"/>
  <c r="A10" i="39" a="1"/>
  <c r="A10" i="39" s="1"/>
  <c r="A17" i="39" a="1"/>
  <c r="A17" i="39" s="1"/>
  <c r="A14" i="39" a="1"/>
  <c r="A14" i="39" s="1"/>
  <c r="A15" i="39" a="1"/>
  <c r="A15" i="39" s="1"/>
  <c r="E17" i="4"/>
  <c r="R8" i="38"/>
  <c r="Q8" i="38"/>
  <c r="E8" i="38"/>
  <c r="A12" i="38" s="1" a="1"/>
  <c r="A12" i="38" s="1"/>
  <c r="Q11" i="38"/>
  <c r="R11" i="38"/>
  <c r="Q11" i="4"/>
  <c r="E11" i="4"/>
  <c r="Q16" i="4"/>
  <c r="Q18" i="4"/>
  <c r="Q13" i="4"/>
  <c r="Q10" i="4"/>
  <c r="E10" i="4"/>
  <c r="E18" i="4"/>
  <c r="E16" i="4"/>
  <c r="A9" i="38" l="1" a="1"/>
  <c r="A9" i="38" s="1"/>
  <c r="C39" i="11"/>
  <c r="D39" i="11"/>
  <c r="D38" i="11"/>
  <c r="C38" i="11"/>
  <c r="D36" i="11"/>
  <c r="C36" i="11"/>
  <c r="C37" i="11"/>
  <c r="D37" i="11"/>
  <c r="A4" i="39" a="1"/>
  <c r="A4" i="39" s="1"/>
  <c r="A11" i="39" a="1"/>
  <c r="A11" i="39" s="1"/>
  <c r="A5" i="39" a="1"/>
  <c r="A5" i="39" s="1"/>
  <c r="A10" i="38" a="1"/>
  <c r="A10" i="38" s="1"/>
  <c r="A11" i="38" a="1"/>
  <c r="A11" i="38" s="1"/>
  <c r="A5" i="38" a="1"/>
  <c r="A5" i="38" s="1"/>
  <c r="A8" i="38" a="1"/>
  <c r="A8" i="38" s="1"/>
  <c r="A4" i="38" a="1"/>
  <c r="A4" i="38" s="1"/>
  <c r="A7" i="38" a="1"/>
  <c r="A7" i="38" s="1"/>
  <c r="A6" i="38" a="1"/>
  <c r="A6" i="38" s="1"/>
  <c r="C35" i="11" l="1"/>
  <c r="I5" i="43"/>
  <c r="H5" i="43" s="1"/>
  <c r="I4" i="43"/>
  <c r="H4" i="43" s="1"/>
  <c r="D10" i="11"/>
  <c r="C10" i="11"/>
  <c r="D34" i="11"/>
  <c r="D35" i="11"/>
  <c r="C34" i="11"/>
  <c r="C13" i="11"/>
  <c r="D11" i="11"/>
  <c r="D12" i="11"/>
  <c r="D13" i="11"/>
  <c r="C11" i="11"/>
  <c r="D15" i="11"/>
  <c r="D14" i="11"/>
  <c r="C12" i="11"/>
  <c r="D16" i="11"/>
  <c r="C14" i="11"/>
  <c r="C15" i="11"/>
  <c r="D17" i="11"/>
  <c r="C16" i="11"/>
  <c r="C17" i="11"/>
  <c r="A6" i="43" l="1" a="1"/>
  <c r="A6" i="43" s="1"/>
  <c r="A4" i="43" a="1"/>
  <c r="A4" i="43" s="1"/>
  <c r="A7" i="43" a="1"/>
  <c r="A7" i="43" s="1"/>
  <c r="A5" i="43" a="1"/>
  <c r="A5" i="43" s="1"/>
  <c r="CK8" i="4"/>
  <c r="CL8" i="4"/>
  <c r="CM8" i="4"/>
  <c r="CN8" i="4"/>
  <c r="CO8" i="4"/>
  <c r="CP8" i="4"/>
  <c r="CR8" i="4"/>
  <c r="CS8" i="4"/>
  <c r="CT8" i="4"/>
  <c r="VZ8" i="4"/>
  <c r="WA8" i="4"/>
  <c r="WB8" i="4"/>
  <c r="WC8" i="4"/>
  <c r="WD8" i="4"/>
  <c r="WE8" i="4"/>
  <c r="WG8" i="4"/>
  <c r="WH8" i="4"/>
  <c r="WI8" i="4"/>
  <c r="WJ8" i="4"/>
  <c r="WK8" i="4"/>
  <c r="WL8" i="4"/>
  <c r="C23" i="11" l="1"/>
  <c r="D22" i="11"/>
  <c r="C22" i="11"/>
  <c r="D25" i="11"/>
  <c r="C25" i="11"/>
  <c r="D24" i="11"/>
  <c r="C24" i="11"/>
  <c r="D23" i="11"/>
  <c r="I8" i="4"/>
  <c r="J8" i="4"/>
  <c r="CQ8" i="4"/>
  <c r="CU8" i="4" s="1"/>
  <c r="WF8" i="4"/>
  <c r="G8" i="4"/>
  <c r="F8" i="4"/>
  <c r="N8" i="4" l="1"/>
  <c r="CW8" i="4" s="1"/>
  <c r="L8" i="4"/>
  <c r="M8" i="4" s="1"/>
  <c r="WM8" i="4"/>
  <c r="K8" i="4"/>
  <c r="CV8" i="4"/>
  <c r="H8" i="4"/>
  <c r="P8" i="4" l="1"/>
  <c r="R8" i="4" s="1"/>
  <c r="O8" i="4"/>
  <c r="Q8" i="4"/>
  <c r="E8" i="4"/>
  <c r="WL12" i="4" l="1"/>
  <c r="WK12" i="4"/>
  <c r="WJ12" i="4"/>
  <c r="WI12" i="4"/>
  <c r="WH12" i="4"/>
  <c r="WG12" i="4"/>
  <c r="WE12" i="4"/>
  <c r="WD12" i="4"/>
  <c r="WC12" i="4"/>
  <c r="WB12" i="4"/>
  <c r="WA12" i="4"/>
  <c r="VZ12" i="4"/>
  <c r="WL19" i="4"/>
  <c r="WK19" i="4"/>
  <c r="WJ19" i="4"/>
  <c r="WI19" i="4"/>
  <c r="WH19" i="4"/>
  <c r="WG19" i="4"/>
  <c r="WE19" i="4"/>
  <c r="WD19" i="4"/>
  <c r="WC19" i="4"/>
  <c r="WB19" i="4"/>
  <c r="WA19" i="4"/>
  <c r="VZ19" i="4"/>
  <c r="WL24" i="4"/>
  <c r="WK24" i="4"/>
  <c r="WJ24" i="4"/>
  <c r="WI24" i="4"/>
  <c r="WH24" i="4"/>
  <c r="WG24" i="4"/>
  <c r="WE24" i="4"/>
  <c r="WD24" i="4"/>
  <c r="WC24" i="4"/>
  <c r="WB24" i="4"/>
  <c r="WA24" i="4"/>
  <c r="VZ24" i="4"/>
  <c r="WL22" i="4"/>
  <c r="WK22" i="4"/>
  <c r="WJ22" i="4"/>
  <c r="WI22" i="4"/>
  <c r="WH22" i="4"/>
  <c r="WG22" i="4"/>
  <c r="WE22" i="4"/>
  <c r="WD22" i="4"/>
  <c r="WC22" i="4"/>
  <c r="WB22" i="4"/>
  <c r="WA22" i="4"/>
  <c r="VZ22" i="4"/>
  <c r="WL23" i="4"/>
  <c r="WK23" i="4"/>
  <c r="WJ23" i="4"/>
  <c r="WI23" i="4"/>
  <c r="WH23" i="4"/>
  <c r="WG23" i="4"/>
  <c r="WE23" i="4"/>
  <c r="WD23" i="4"/>
  <c r="WC23" i="4"/>
  <c r="WB23" i="4"/>
  <c r="WA23" i="4"/>
  <c r="VZ23" i="4"/>
  <c r="WL9" i="4"/>
  <c r="WK9" i="4"/>
  <c r="WJ9" i="4"/>
  <c r="WI9" i="4"/>
  <c r="WH9" i="4"/>
  <c r="WG9" i="4"/>
  <c r="WE9" i="4"/>
  <c r="WD9" i="4"/>
  <c r="WC9" i="4"/>
  <c r="WB9" i="4"/>
  <c r="WA9" i="4"/>
  <c r="VZ9" i="4"/>
  <c r="WL6" i="4"/>
  <c r="WK6" i="4"/>
  <c r="WJ6" i="4"/>
  <c r="WI6" i="4"/>
  <c r="WH6" i="4"/>
  <c r="WG6" i="4"/>
  <c r="WE6" i="4"/>
  <c r="WD6" i="4"/>
  <c r="WC6" i="4"/>
  <c r="WB6" i="4"/>
  <c r="WA6" i="4"/>
  <c r="VZ6" i="4"/>
  <c r="WL15" i="4"/>
  <c r="WK15" i="4"/>
  <c r="WJ15" i="4"/>
  <c r="WI15" i="4"/>
  <c r="WH15" i="4"/>
  <c r="WG15" i="4"/>
  <c r="WE15" i="4"/>
  <c r="WD15" i="4"/>
  <c r="WC15" i="4"/>
  <c r="WB15" i="4"/>
  <c r="WA15" i="4"/>
  <c r="VZ15" i="4"/>
  <c r="WL21" i="4"/>
  <c r="WK21" i="4"/>
  <c r="WJ21" i="4"/>
  <c r="WI21" i="4"/>
  <c r="WH21" i="4"/>
  <c r="WG21" i="4"/>
  <c r="WE21" i="4"/>
  <c r="WD21" i="4"/>
  <c r="WC21" i="4"/>
  <c r="WB21" i="4"/>
  <c r="WA21" i="4"/>
  <c r="VZ21" i="4"/>
  <c r="WL7" i="4"/>
  <c r="WK7" i="4"/>
  <c r="WJ7" i="4"/>
  <c r="WI7" i="4"/>
  <c r="WH7" i="4"/>
  <c r="WG7" i="4"/>
  <c r="WE7" i="4"/>
  <c r="WD7" i="4"/>
  <c r="WC7" i="4"/>
  <c r="WB7" i="4"/>
  <c r="WA7" i="4"/>
  <c r="VZ7" i="4"/>
  <c r="WL20" i="4"/>
  <c r="WK20" i="4"/>
  <c r="WJ20" i="4"/>
  <c r="WI20" i="4"/>
  <c r="WH20" i="4"/>
  <c r="WG20" i="4"/>
  <c r="WE20" i="4"/>
  <c r="WD20" i="4"/>
  <c r="WC20" i="4"/>
  <c r="WB20" i="4"/>
  <c r="WA20" i="4"/>
  <c r="VZ20" i="4"/>
  <c r="WL4" i="4"/>
  <c r="WK4" i="4"/>
  <c r="WJ4" i="4"/>
  <c r="WI4" i="4"/>
  <c r="WH4" i="4"/>
  <c r="WG4" i="4"/>
  <c r="WE4" i="4"/>
  <c r="WD4" i="4"/>
  <c r="WC4" i="4"/>
  <c r="WB4" i="4"/>
  <c r="WA4" i="4"/>
  <c r="VZ4" i="4"/>
  <c r="WL5" i="4"/>
  <c r="WK5" i="4"/>
  <c r="WJ5" i="4"/>
  <c r="WI5" i="4"/>
  <c r="WH5" i="4"/>
  <c r="WG5" i="4"/>
  <c r="WE5" i="4"/>
  <c r="WD5" i="4"/>
  <c r="WC5" i="4"/>
  <c r="WB5" i="4"/>
  <c r="WA5" i="4"/>
  <c r="VZ5" i="4"/>
  <c r="WL14" i="4"/>
  <c r="WK14" i="4"/>
  <c r="WJ14" i="4"/>
  <c r="WI14" i="4"/>
  <c r="WH14" i="4"/>
  <c r="WG14" i="4"/>
  <c r="WE14" i="4"/>
  <c r="WD14" i="4"/>
  <c r="WC14" i="4"/>
  <c r="WB14" i="4"/>
  <c r="WA14" i="4"/>
  <c r="VZ14" i="4"/>
  <c r="WF14" i="4" l="1"/>
  <c r="WF7" i="4"/>
  <c r="WF6" i="4"/>
  <c r="WF22" i="4"/>
  <c r="WF5" i="4"/>
  <c r="WF20" i="4"/>
  <c r="WF21" i="4"/>
  <c r="WF15" i="4"/>
  <c r="WF9" i="4"/>
  <c r="WF24" i="4"/>
  <c r="WF12" i="4"/>
  <c r="WF19" i="4"/>
  <c r="WF4" i="4"/>
  <c r="WF23" i="4"/>
  <c r="WM19" i="4" l="1"/>
  <c r="WM24" i="4"/>
  <c r="WM22" i="4"/>
  <c r="WM23" i="4"/>
  <c r="WM15" i="4"/>
  <c r="WM21" i="4"/>
  <c r="WM6" i="4"/>
  <c r="WM9" i="4"/>
  <c r="WM20" i="4"/>
  <c r="WM5" i="4"/>
  <c r="WM4" i="4"/>
  <c r="WM7" i="4"/>
  <c r="WM12" i="4"/>
  <c r="WM14" i="4"/>
  <c r="CK24" i="4" l="1"/>
  <c r="CL24" i="4"/>
  <c r="CM24" i="4"/>
  <c r="CN24" i="4"/>
  <c r="CO24" i="4"/>
  <c r="CP24" i="4"/>
  <c r="CR24" i="4"/>
  <c r="CS24" i="4"/>
  <c r="CT24" i="4"/>
  <c r="CK22" i="4"/>
  <c r="CL22" i="4"/>
  <c r="CM22" i="4"/>
  <c r="CN22" i="4"/>
  <c r="CO22" i="4"/>
  <c r="CP22" i="4"/>
  <c r="CR22" i="4"/>
  <c r="CS22" i="4"/>
  <c r="CT22" i="4"/>
  <c r="I22" i="4" l="1"/>
  <c r="I24" i="4"/>
  <c r="J24" i="4"/>
  <c r="K24" i="4" s="1"/>
  <c r="J22" i="4"/>
  <c r="K22" i="4" s="1"/>
  <c r="F24" i="4"/>
  <c r="G24" i="4"/>
  <c r="G22" i="4"/>
  <c r="F22" i="4"/>
  <c r="CQ22" i="4"/>
  <c r="CU22" i="4" s="1"/>
  <c r="CQ24" i="4"/>
  <c r="CU24" i="4" s="1"/>
  <c r="N22" i="4" l="1"/>
  <c r="CW22" i="4" s="1"/>
  <c r="L22" i="4"/>
  <c r="N24" i="4"/>
  <c r="CW24" i="4" s="1"/>
  <c r="L24" i="4"/>
  <c r="M24" i="4" s="1"/>
  <c r="CV22" i="4"/>
  <c r="CV24" i="4"/>
  <c r="M22" i="4"/>
  <c r="O22" i="4"/>
  <c r="H24" i="4"/>
  <c r="A24" i="4" s="1" a="1"/>
  <c r="A24" i="4" s="1"/>
  <c r="H22" i="4"/>
  <c r="A22" i="4" s="1" a="1"/>
  <c r="A22" i="4" s="1"/>
  <c r="O24" i="4" l="1"/>
  <c r="P24" i="4"/>
  <c r="R24" i="4" s="1"/>
  <c r="P22" i="4"/>
  <c r="R22" i="4" s="1"/>
  <c r="E24" i="4" l="1"/>
  <c r="E22" i="4"/>
  <c r="Q22" i="4"/>
  <c r="Q24" i="4"/>
  <c r="CK9" i="4" l="1"/>
  <c r="CL9" i="4"/>
  <c r="CM9" i="4"/>
  <c r="CN9" i="4"/>
  <c r="CO9" i="4"/>
  <c r="CP9" i="4"/>
  <c r="CR9" i="4"/>
  <c r="CS9" i="4"/>
  <c r="CT9" i="4"/>
  <c r="I9" i="4" l="1"/>
  <c r="J9" i="4"/>
  <c r="G9" i="4"/>
  <c r="F9" i="4"/>
  <c r="CQ9" i="4"/>
  <c r="CU9" i="4" s="1"/>
  <c r="N9" i="4" l="1"/>
  <c r="CW9" i="4" s="1"/>
  <c r="L9" i="4"/>
  <c r="M9" i="4" s="1"/>
  <c r="K9" i="4"/>
  <c r="CV9" i="4"/>
  <c r="H9" i="4"/>
  <c r="O9" i="4" l="1"/>
  <c r="P9" i="4"/>
  <c r="E9" i="4" l="1"/>
  <c r="R9" i="4"/>
  <c r="Q9" i="4"/>
  <c r="CK19" i="4" l="1"/>
  <c r="CL19" i="4"/>
  <c r="CM19" i="4"/>
  <c r="CN19" i="4"/>
  <c r="CO19" i="4"/>
  <c r="CP19" i="4"/>
  <c r="CR19" i="4"/>
  <c r="CS19" i="4"/>
  <c r="CT19" i="4"/>
  <c r="I19" i="4" l="1"/>
  <c r="J19" i="4"/>
  <c r="F19" i="4"/>
  <c r="G19" i="4"/>
  <c r="CQ19" i="4"/>
  <c r="CU19" i="4" s="1"/>
  <c r="N19" i="4" l="1"/>
  <c r="L19" i="4"/>
  <c r="K19" i="4"/>
  <c r="CV19" i="4"/>
  <c r="CW19" i="4"/>
  <c r="M19" i="4"/>
  <c r="H19" i="4"/>
  <c r="P19" i="4" l="1"/>
  <c r="R19" i="4" s="1"/>
  <c r="O19" i="4"/>
  <c r="E19" i="4"/>
  <c r="Q19" i="4" l="1"/>
  <c r="CK20" i="4" l="1"/>
  <c r="CL20" i="4"/>
  <c r="CM20" i="4"/>
  <c r="CN20" i="4"/>
  <c r="CO20" i="4"/>
  <c r="CP20" i="4"/>
  <c r="CR20" i="4"/>
  <c r="CS20" i="4"/>
  <c r="CT20" i="4"/>
  <c r="I20" i="4" l="1"/>
  <c r="J20" i="4"/>
  <c r="G20" i="4"/>
  <c r="F20" i="4"/>
  <c r="CQ20" i="4"/>
  <c r="CU20" i="4" s="1"/>
  <c r="N20" i="4" l="1"/>
  <c r="CW20" i="4" s="1"/>
  <c r="L20" i="4"/>
  <c r="M20" i="4" s="1"/>
  <c r="K20" i="4"/>
  <c r="CV20" i="4"/>
  <c r="H20" i="4"/>
  <c r="O20" i="4" l="1"/>
  <c r="P20" i="4"/>
  <c r="R20" i="4" s="1"/>
  <c r="E20" i="4" l="1"/>
  <c r="Q20" i="4"/>
  <c r="CK4" i="4" l="1"/>
  <c r="CL4" i="4"/>
  <c r="CM4" i="4"/>
  <c r="CN4" i="4"/>
  <c r="CO4" i="4"/>
  <c r="CP4" i="4"/>
  <c r="CR4" i="4"/>
  <c r="CS4" i="4"/>
  <c r="CT4" i="4"/>
  <c r="I4" i="4" l="1"/>
  <c r="J4" i="4"/>
  <c r="G4" i="4"/>
  <c r="F4" i="4"/>
  <c r="CQ4" i="4"/>
  <c r="CU4" i="4" s="1"/>
  <c r="N4" i="4" l="1"/>
  <c r="L4" i="4"/>
  <c r="H4" i="4"/>
  <c r="CV4" i="4"/>
  <c r="K4" i="4"/>
  <c r="CW4" i="4"/>
  <c r="M4" i="4"/>
  <c r="P4" i="4" l="1"/>
  <c r="R4" i="4" s="1"/>
  <c r="O4" i="4"/>
  <c r="E4" i="4" l="1"/>
  <c r="Q4" i="4"/>
  <c r="CK7" i="4" l="1"/>
  <c r="CL7" i="4"/>
  <c r="CM7" i="4"/>
  <c r="CN7" i="4"/>
  <c r="CO7" i="4"/>
  <c r="CP7" i="4"/>
  <c r="CR7" i="4"/>
  <c r="CS7" i="4"/>
  <c r="CT7" i="4"/>
  <c r="I7" i="4" l="1"/>
  <c r="J7" i="4"/>
  <c r="G7" i="4"/>
  <c r="F7" i="4"/>
  <c r="H7" i="4" s="1"/>
  <c r="CQ7" i="4"/>
  <c r="CU7" i="4" s="1"/>
  <c r="N7" i="4" l="1"/>
  <c r="L7" i="4"/>
  <c r="CW7" i="4"/>
  <c r="K7" i="4"/>
  <c r="CV7" i="4"/>
  <c r="M7" i="4"/>
  <c r="O7" i="4" l="1"/>
  <c r="P7" i="4"/>
  <c r="R7" i="4" s="1"/>
  <c r="CS21" i="4"/>
  <c r="CS5" i="4"/>
  <c r="CS15" i="4"/>
  <c r="CS12" i="4"/>
  <c r="CS23" i="4"/>
  <c r="CS6" i="4"/>
  <c r="CS14" i="4"/>
  <c r="CR14" i="4"/>
  <c r="CO14" i="4"/>
  <c r="CO5" i="4"/>
  <c r="CO15" i="4"/>
  <c r="CO12" i="4"/>
  <c r="CO23" i="4"/>
  <c r="CO6" i="4"/>
  <c r="CO21" i="4"/>
  <c r="CN21" i="4"/>
  <c r="CL14" i="4"/>
  <c r="CL5" i="4"/>
  <c r="CL15" i="4"/>
  <c r="CL12" i="4"/>
  <c r="CL23" i="4"/>
  <c r="CL6" i="4"/>
  <c r="CL21" i="4"/>
  <c r="CK21" i="4"/>
  <c r="CK14" i="4"/>
  <c r="CK5" i="4"/>
  <c r="CK15" i="4"/>
  <c r="CK12" i="4"/>
  <c r="CK23" i="4"/>
  <c r="CK6" i="4"/>
  <c r="E7" i="4" l="1"/>
  <c r="Q7" i="4"/>
  <c r="CM6" i="4"/>
  <c r="CN6" i="4"/>
  <c r="CP6" i="4"/>
  <c r="CR6" i="4"/>
  <c r="CT6" i="4"/>
  <c r="I6" i="4" l="1"/>
  <c r="J6" i="4"/>
  <c r="G6" i="4"/>
  <c r="F6" i="4"/>
  <c r="CQ6" i="4"/>
  <c r="CU6" i="4" s="1"/>
  <c r="CM23" i="4"/>
  <c r="CN23" i="4"/>
  <c r="CP23" i="4"/>
  <c r="CR23" i="4"/>
  <c r="CT23" i="4"/>
  <c r="I23" i="4" l="1"/>
  <c r="K6" i="4"/>
  <c r="N6" i="4"/>
  <c r="L6" i="4"/>
  <c r="M6" i="4" s="1"/>
  <c r="CW6" i="4"/>
  <c r="CV6" i="4"/>
  <c r="O6" i="4"/>
  <c r="J23" i="4"/>
  <c r="G23" i="4"/>
  <c r="F23" i="4"/>
  <c r="H6" i="4"/>
  <c r="CQ23" i="4"/>
  <c r="CU23" i="4" s="1"/>
  <c r="N23" i="4" l="1"/>
  <c r="L23" i="4"/>
  <c r="P6" i="4"/>
  <c r="R6" i="4" s="1"/>
  <c r="CW23" i="4"/>
  <c r="CV23" i="4"/>
  <c r="M23" i="4"/>
  <c r="K23" i="4"/>
  <c r="H23" i="4"/>
  <c r="A23" i="4" s="1" a="1"/>
  <c r="A23" i="4" s="1"/>
  <c r="O23" i="4" l="1"/>
  <c r="P23" i="4"/>
  <c r="R23" i="4" s="1"/>
  <c r="Q6" i="4"/>
  <c r="E6" i="4"/>
  <c r="Q23" i="4" l="1"/>
  <c r="E23" i="4"/>
  <c r="CM5" i="4"/>
  <c r="CN5" i="4"/>
  <c r="CP5" i="4"/>
  <c r="CR5" i="4"/>
  <c r="CT5" i="4"/>
  <c r="CM15" i="4"/>
  <c r="CN15" i="4"/>
  <c r="CP15" i="4"/>
  <c r="CR15" i="4"/>
  <c r="CT15" i="4"/>
  <c r="CM14" i="4"/>
  <c r="CN14" i="4"/>
  <c r="CP14" i="4"/>
  <c r="CT14" i="4"/>
  <c r="CM12" i="4"/>
  <c r="CN12" i="4"/>
  <c r="CP12" i="4"/>
  <c r="CR12" i="4"/>
  <c r="CT12" i="4"/>
  <c r="CP21" i="4"/>
  <c r="CM21" i="4"/>
  <c r="I14" i="4" l="1"/>
  <c r="I5" i="4"/>
  <c r="I12" i="4"/>
  <c r="I15" i="4"/>
  <c r="J12" i="4"/>
  <c r="J15" i="4"/>
  <c r="J5" i="4"/>
  <c r="J14" i="4"/>
  <c r="G15" i="4"/>
  <c r="F15" i="4"/>
  <c r="G14" i="4"/>
  <c r="F14" i="4"/>
  <c r="G12" i="4"/>
  <c r="F12" i="4"/>
  <c r="G5" i="4"/>
  <c r="F5" i="4"/>
  <c r="CQ15" i="4"/>
  <c r="CU15" i="4" s="1"/>
  <c r="CQ5" i="4"/>
  <c r="CU5" i="4" s="1"/>
  <c r="CQ21" i="4"/>
  <c r="CQ14" i="4"/>
  <c r="CU14" i="4" s="1"/>
  <c r="CQ12" i="4"/>
  <c r="CU12" i="4" s="1"/>
  <c r="L14" i="4" l="1"/>
  <c r="N14" i="4"/>
  <c r="N5" i="4"/>
  <c r="CW5" i="4" s="1"/>
  <c r="L5" i="4"/>
  <c r="M5" i="4" s="1"/>
  <c r="N15" i="4"/>
  <c r="CW15" i="4" s="1"/>
  <c r="L15" i="4"/>
  <c r="M15" i="4" s="1"/>
  <c r="L12" i="4"/>
  <c r="M12" i="4" s="1"/>
  <c r="N12" i="4"/>
  <c r="CW12" i="4" s="1"/>
  <c r="CV15" i="4"/>
  <c r="K12" i="4"/>
  <c r="CV12" i="4"/>
  <c r="CW14" i="4"/>
  <c r="CV14" i="4"/>
  <c r="K5" i="4"/>
  <c r="CV5" i="4"/>
  <c r="K15" i="4"/>
  <c r="K14" i="4"/>
  <c r="M14" i="4"/>
  <c r="H5" i="4"/>
  <c r="H12" i="4"/>
  <c r="H14" i="4"/>
  <c r="H15" i="4"/>
  <c r="CT21" i="4"/>
  <c r="CR21" i="4"/>
  <c r="O15" i="4" l="1"/>
  <c r="P15" i="4"/>
  <c r="R15" i="4" s="1"/>
  <c r="O12" i="4"/>
  <c r="I21" i="4"/>
  <c r="O5" i="4"/>
  <c r="P5" i="4"/>
  <c r="R5" i="4" s="1"/>
  <c r="Q15" i="4"/>
  <c r="P14" i="4"/>
  <c r="R14" i="4" s="1"/>
  <c r="P12" i="4"/>
  <c r="R12" i="4" s="1"/>
  <c r="E15" i="4"/>
  <c r="O14" i="4"/>
  <c r="J21" i="4"/>
  <c r="G21" i="4"/>
  <c r="F21" i="4"/>
  <c r="CU21" i="4"/>
  <c r="E14" i="4" l="1"/>
  <c r="H21" i="4"/>
  <c r="N21" i="4"/>
  <c r="CW21" i="4" s="1"/>
  <c r="L21" i="4"/>
  <c r="M21" i="4" s="1"/>
  <c r="E12" i="4"/>
  <c r="Q12" i="4"/>
  <c r="Q14" i="4"/>
  <c r="Q5" i="4"/>
  <c r="CV21" i="4"/>
  <c r="E5" i="4"/>
  <c r="K21" i="4"/>
  <c r="O21" i="4"/>
  <c r="A13" i="4" l="1" a="1"/>
  <c r="A13" i="4" s="1"/>
  <c r="I9" i="42" s="1"/>
  <c r="H9" i="42" s="1"/>
  <c r="P21" i="4"/>
  <c r="R21" i="4" s="1"/>
  <c r="E21" i="4" l="1"/>
  <c r="A4" i="4" s="1" a="1"/>
  <c r="A4" i="4" s="1"/>
  <c r="Q21" i="4"/>
  <c r="A8" i="4" a="1"/>
  <c r="A8" i="4" s="1"/>
  <c r="A10" i="4" a="1"/>
  <c r="A10" i="4" s="1"/>
  <c r="A18" i="4" a="1"/>
  <c r="A18" i="4" s="1"/>
  <c r="A11" i="4" a="1"/>
  <c r="A11" i="4" s="1"/>
  <c r="A7" i="4" a="1"/>
  <c r="A7" i="4" s="1"/>
  <c r="A6" i="4" a="1"/>
  <c r="A6" i="4" s="1"/>
  <c r="A12" i="4" a="1"/>
  <c r="A12" i="4" s="1"/>
  <c r="A9" i="4" a="1"/>
  <c r="A9" i="4" s="1"/>
  <c r="A19" i="4" a="1"/>
  <c r="A19" i="4" s="1"/>
  <c r="A21" i="4" a="1"/>
  <c r="A21" i="4" s="1"/>
  <c r="A20" i="4" a="1"/>
  <c r="A20" i="4" s="1"/>
  <c r="A15" i="4" a="1"/>
  <c r="A15" i="4" s="1"/>
  <c r="A14" i="4" a="1"/>
  <c r="A14" i="4" s="1"/>
  <c r="A5" i="4" a="1"/>
  <c r="A5" i="4" s="1"/>
  <c r="I8" i="42" l="1"/>
  <c r="H8" i="42" s="1"/>
  <c r="I12" i="42"/>
  <c r="H12" i="42" s="1"/>
  <c r="A12" i="42" s="1" a="1"/>
  <c r="A12" i="42" s="1"/>
  <c r="I7" i="42"/>
  <c r="H7" i="42" s="1"/>
  <c r="I5" i="42"/>
  <c r="H5" i="42" s="1"/>
  <c r="I13" i="42"/>
  <c r="H13" i="42" s="1"/>
  <c r="I17" i="42"/>
  <c r="H17" i="42" s="1"/>
  <c r="A17" i="42" s="1" a="1"/>
  <c r="A17" i="42" s="1"/>
  <c r="I4" i="42"/>
  <c r="H4" i="42" s="1"/>
  <c r="I6" i="42"/>
  <c r="H6" i="42" s="1"/>
  <c r="C2" i="11"/>
  <c r="D9" i="11"/>
  <c r="C9" i="11"/>
  <c r="C5" i="11"/>
  <c r="C6" i="11"/>
  <c r="D7" i="11"/>
  <c r="C8" i="11"/>
  <c r="D2" i="11"/>
  <c r="D3" i="11"/>
  <c r="C3" i="11"/>
  <c r="D5" i="11"/>
  <c r="D8" i="11"/>
  <c r="C4" i="11"/>
  <c r="D6" i="11"/>
  <c r="C7" i="11"/>
  <c r="D4" i="11"/>
  <c r="A7" i="42" l="1" a="1"/>
  <c r="A7" i="42" s="1"/>
  <c r="A10" i="42" a="1"/>
  <c r="A10" i="42" s="1"/>
  <c r="A9" i="42" a="1"/>
  <c r="A9" i="42" s="1"/>
  <c r="A6" i="42" a="1"/>
  <c r="A6" i="42" s="1"/>
  <c r="A13" i="42" a="1"/>
  <c r="A13" i="42" s="1"/>
  <c r="A11" i="42" a="1"/>
  <c r="A11" i="42" s="1"/>
  <c r="A4" i="42" a="1"/>
  <c r="A4" i="42" s="1"/>
  <c r="A8" i="42" a="1"/>
  <c r="A8" i="42" s="1"/>
  <c r="A5" i="42" a="1"/>
  <c r="A5" i="42" s="1"/>
  <c r="D19" i="11" l="1"/>
  <c r="C18" i="11"/>
  <c r="C21" i="11"/>
  <c r="C20" i="11"/>
  <c r="C19" i="11"/>
  <c r="D20" i="11"/>
  <c r="D18" i="11"/>
  <c r="D21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<sst xmlns="http://schemas.openxmlformats.org/spreadsheetml/2006/main" count="6514" uniqueCount="243">
  <si>
    <t>Province</t>
  </si>
  <si>
    <t>Rank</t>
  </si>
  <si>
    <t>Total Points</t>
  </si>
  <si>
    <t>ON</t>
  </si>
  <si>
    <t>SOEHN, Keegan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</si>
  <si>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</si>
  <si>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</si>
  <si>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</si>
  <si>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</si>
  <si>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</si>
  <si>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</si>
  <si>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</si>
  <si>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</si>
  <si>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</si>
  <si>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</si>
  <si>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</si>
  <si>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</si>
  <si>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</si>
  <si>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</si>
  <si>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</si>
  <si>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</si>
  <si>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</si>
  <si>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</si>
  <si>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</si>
  <si>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</si>
  <si>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</si>
  <si>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</si>
  <si>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</si>
  <si>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</si>
  <si>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</si>
  <si>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</si>
  <si>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</si>
  <si>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</si>
  <si>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</si>
  <si>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</si>
  <si>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Member</t>
  </si>
  <si>
    <t>Last Updated: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</si>
  <si>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</si>
  <si>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</si>
  <si>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</si>
  <si>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</si>
  <si>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</si>
  <si>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</si>
  <si>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</si>
  <si>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</si>
  <si>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</si>
  <si>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</si>
  <si>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</si>
  <si>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</si>
  <si>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Excellence Score</t>
  </si>
  <si>
    <t>Excellence DD</t>
  </si>
  <si>
    <t>Remove athlete:</t>
  </si>
  <si>
    <t>Delete oldest international competitions</t>
  </si>
  <si>
    <t>AUBIN, Rémi</t>
  </si>
  <si>
    <t>FLYNN, Gabby</t>
  </si>
  <si>
    <t>NB</t>
  </si>
  <si>
    <t>RICHARD, Dexter</t>
  </si>
  <si>
    <t>Merit DD</t>
  </si>
  <si>
    <t>Vol 2 DD</t>
  </si>
  <si>
    <t>BONHAM, Maja</t>
  </si>
  <si>
    <t>ZUREK, Nolan</t>
  </si>
  <si>
    <t>Worlds Eligible</t>
  </si>
  <si>
    <t>DODD, Gavin</t>
  </si>
  <si>
    <t>DON, Alexander</t>
  </si>
  <si>
    <t>SOEHN, Kalena</t>
  </si>
  <si>
    <t>MÉTHOT &amp; MILETTE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</si>
  <si>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</si>
  <si>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</si>
  <si>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</si>
  <si>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</si>
  <si>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</si>
  <si>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</si>
  <si>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</si>
  <si>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</si>
  <si>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</si>
  <si>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NOGA-BARD, Kasha</t>
  </si>
  <si>
    <t>CLOUTIER, Étienne</t>
  </si>
  <si>
    <t>ON/AB</t>
  </si>
  <si>
    <t>MEYER, Jeremy</t>
  </si>
  <si>
    <t>2002/2001</t>
  </si>
  <si>
    <t>BONHAM &amp; FLYNN</t>
  </si>
  <si>
    <t>BONNE, Rielle</t>
  </si>
  <si>
    <t>2004/1999</t>
  </si>
  <si>
    <t>NOSSACK &amp; SOEHN</t>
  </si>
  <si>
    <t>2nd Best Routine</t>
  </si>
  <si>
    <t>JAMES, Roshni</t>
  </si>
  <si>
    <t>THOMPSON, Derek</t>
  </si>
  <si>
    <t>VIAU, Nathan</t>
  </si>
  <si>
    <t>MALLAIS, Rylan</t>
  </si>
  <si>
    <t>2004/2006</t>
  </si>
  <si>
    <t>ADJEMIAN, Alexan</t>
  </si>
  <si>
    <t>2001/1998</t>
  </si>
  <si>
    <t>COLLINSON, Brody</t>
  </si>
  <si>
    <t>2006/2005</t>
  </si>
  <si>
    <t>ADJEMIAN &amp; CLOUTIER</t>
  </si>
  <si>
    <t>CYMAN, Cody</t>
  </si>
  <si>
    <t>KOOMAN, Spencer</t>
  </si>
  <si>
    <t>SMITH, Haiden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</si>
  <si>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</si>
  <si>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</si>
  <si>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</si>
  <si>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</si>
  <si>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</si>
  <si>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</si>
  <si>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</si>
  <si>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KUZNAK &amp; SCHMIDT</t>
  </si>
  <si>
    <t>2007/2008</t>
  </si>
  <si>
    <t>CORRIVEAU, Mélina</t>
  </si>
  <si>
    <t>BONNE &amp; SOEHN</t>
  </si>
  <si>
    <t>ON/NB</t>
  </si>
  <si>
    <t>NOGA-BARD &amp; TAM</t>
  </si>
  <si>
    <t>2004/2007</t>
  </si>
  <si>
    <t>BONNE &amp; CORRIVEAU</t>
  </si>
  <si>
    <t>BEAULIEU, Alex</t>
  </si>
  <si>
    <t>1998/1997</t>
  </si>
  <si>
    <t>COOK, Mason</t>
  </si>
  <si>
    <t>D'HONDT, Luke</t>
  </si>
  <si>
    <t>BEAULIEU &amp; BOURGAULT-FOURNIER</t>
  </si>
  <si>
    <t>2008/2005</t>
  </si>
  <si>
    <t>BONNE &amp; COLLINSON</t>
  </si>
  <si>
    <t>CLOUTIER &amp; TAM</t>
  </si>
  <si>
    <t>QC/ON</t>
  </si>
  <si>
    <t>2004/2005</t>
  </si>
  <si>
    <t>2005/1998</t>
  </si>
  <si>
    <t>2003/2001</t>
  </si>
  <si>
    <t>DODD &amp; FLYNN</t>
  </si>
  <si>
    <t>2025 World Cup ITA (April 6)</t>
  </si>
  <si>
    <t>2025 World Cup ITA (April 5)</t>
  </si>
  <si>
    <t>BONNE &amp; ADJEMIAN</t>
  </si>
  <si>
    <t>2025 Pan Am Championships (May 18)</t>
  </si>
  <si>
    <t>DON &amp; RICHARD</t>
  </si>
  <si>
    <t>FLYNN &amp; SOEHN</t>
  </si>
  <si>
    <t>BC/AB</t>
  </si>
  <si>
    <t>2001/1999</t>
  </si>
  <si>
    <t>2025 Nationals</t>
  </si>
  <si>
    <t>2007/2005</t>
  </si>
  <si>
    <t>COOK &amp; THOMPSON</t>
  </si>
  <si>
    <t>2006/2001</t>
  </si>
  <si>
    <t>DAVIS &amp; RICHARD</t>
  </si>
  <si>
    <t>2008/1992</t>
  </si>
  <si>
    <t>BLOOM &amp; SOEHN</t>
  </si>
  <si>
    <t>2025 World Cup POR (July 6)</t>
  </si>
  <si>
    <t>DODD &amp; SOEHN</t>
  </si>
  <si>
    <t>2003/1992</t>
  </si>
  <si>
    <t>2025 Coimbra Gym Fest (July 6)</t>
  </si>
  <si>
    <t>2025 Junior Pan Am Games (Aug 12)</t>
  </si>
  <si>
    <t>2025 World Games (Aug 10)</t>
  </si>
  <si>
    <t>2005/2007</t>
  </si>
  <si>
    <t>QC/AB</t>
  </si>
  <si>
    <t>CLOUTIER &amp; CYMAN</t>
  </si>
  <si>
    <t>2025 3rd Domestic Trial</t>
  </si>
  <si>
    <t>NL</t>
  </si>
  <si>
    <t>EVSTIGNEEV, Gleb</t>
  </si>
  <si>
    <t>2025 World Cup GER (Sept 21)</t>
  </si>
  <si>
    <t>2003/2002</t>
  </si>
  <si>
    <t>BC/ON</t>
  </si>
  <si>
    <t>DODD &amp; DON</t>
  </si>
  <si>
    <t>FLYNN &amp; NOGA-BARD</t>
  </si>
  <si>
    <t>2005/2001</t>
  </si>
  <si>
    <t>CLOUTIER &amp; NOGA-BARD</t>
  </si>
  <si>
    <t>ON/BC</t>
  </si>
  <si>
    <t>DON &amp; FLYNN</t>
  </si>
  <si>
    <t>2025 World Cup FRA (Oct 5)</t>
  </si>
  <si>
    <t>2005/2002</t>
  </si>
  <si>
    <t>CLOUTIER &amp; DON</t>
  </si>
  <si>
    <t>2025 Worlds (Nov 9)</t>
  </si>
  <si>
    <t>2025 Worlds Team Finals (Nov 9)</t>
  </si>
  <si>
    <t>BONNE &amp; NOGA-BARD</t>
  </si>
  <si>
    <t>2004/2001</t>
  </si>
  <si>
    <t>CORRIVEAU &amp; JAMES</t>
  </si>
  <si>
    <t>2007/2006</t>
  </si>
  <si>
    <t>2025 WAGC (Nov 16)</t>
  </si>
  <si>
    <t>AB/QC</t>
  </si>
  <si>
    <t>CYMAN &amp; VIAU</t>
  </si>
  <si>
    <t>Best Other Routine</t>
  </si>
  <si>
    <t>2nd Best
Other Routine</t>
  </si>
  <si>
    <t>Any</t>
  </si>
  <si>
    <t>DD and Score</t>
  </si>
  <si>
    <t>Senior-M</t>
  </si>
  <si>
    <t>Senior-W</t>
  </si>
  <si>
    <t>TRS-M</t>
  </si>
  <si>
    <t>TRS-W</t>
  </si>
  <si>
    <t>TRS-X</t>
  </si>
  <si>
    <t>BERKENBOSCH, Bence</t>
  </si>
  <si>
    <t>BLOOM, Tristan</t>
  </si>
  <si>
    <t>BOURGAULT-FOURNIER, Alexis</t>
  </si>
  <si>
    <t>OUGHTRED, Max</t>
  </si>
  <si>
    <t>BURELLE-DUBOIS, Josué</t>
  </si>
  <si>
    <t>HIGHSTEAD, Declan</t>
  </si>
  <si>
    <t>NELSON, Cooper</t>
  </si>
  <si>
    <t>DAVIS, Eric</t>
  </si>
  <si>
    <t>MORRISON, Xavier</t>
  </si>
  <si>
    <t>LANQUETIN, Yannick</t>
  </si>
  <si>
    <t>COUTURE, Joey</t>
  </si>
  <si>
    <t>SCOTT, Ethan</t>
  </si>
  <si>
    <t>On Senior Team</t>
  </si>
  <si>
    <t>Development-M</t>
  </si>
  <si>
    <t>Development-W</t>
  </si>
  <si>
    <t>KUZNAK, Sienna</t>
  </si>
  <si>
    <t>LEPORÉ, Amylia</t>
  </si>
  <si>
    <t>SCHMIDT, Jordyn</t>
  </si>
  <si>
    <t>LEE-MCMEEKEN, Brooklyn</t>
  </si>
  <si>
    <t>GOOD, Hayden</t>
  </si>
  <si>
    <t>LAURIN, Abby</t>
  </si>
  <si>
    <t>ALDOUS, Addison</t>
  </si>
  <si>
    <t>KURTZ, Lily</t>
  </si>
  <si>
    <t>Junior-M</t>
  </si>
  <si>
    <t>Junior-W</t>
  </si>
  <si>
    <t>Best Compulsory</t>
  </si>
  <si>
    <t>FORTINO, Louis</t>
  </si>
  <si>
    <t>RENOU, Brayden</t>
  </si>
  <si>
    <t>MORNEAU, Benjamin</t>
  </si>
  <si>
    <t>CAHILL, Benjamin</t>
  </si>
  <si>
    <t>JENKINSON, Bentley</t>
  </si>
  <si>
    <t>NS</t>
  </si>
  <si>
    <t>PATEL, Blaine</t>
  </si>
  <si>
    <t>Compulsory</t>
  </si>
  <si>
    <t>Voluntary</t>
  </si>
  <si>
    <t>Comp TOF</t>
  </si>
  <si>
    <t>Comp DD</t>
  </si>
  <si>
    <t>Vol DD</t>
  </si>
  <si>
    <t>Vol TOF</t>
  </si>
  <si>
    <t>Best Prelim Voluntary</t>
  </si>
  <si>
    <t>SLUGA, Arianna</t>
  </si>
  <si>
    <t>SANDERSON, Aurora</t>
  </si>
  <si>
    <t>BROSSARD, Maëla</t>
  </si>
  <si>
    <t>VAN ESSEN, Oliver</t>
  </si>
  <si>
    <t>MIGNEAULT, Loïc</t>
  </si>
  <si>
    <t>THIVIERGE, Emerick</t>
  </si>
  <si>
    <t>ROY, Alexi</t>
  </si>
  <si>
    <t>COREY, Kade</t>
  </si>
  <si>
    <t>2026 Elite Canada</t>
  </si>
  <si>
    <t>Elite Canada</t>
  </si>
  <si>
    <t>NL/NB</t>
  </si>
  <si>
    <t>EVSTIGNEEV &amp; RICHARD</t>
  </si>
  <si>
    <t>BLOOM &amp; D'HONDT</t>
  </si>
  <si>
    <t>2008/2007</t>
  </si>
  <si>
    <t>BERKENBOSCH &amp; MALLAIS</t>
  </si>
  <si>
    <t>BC/QC</t>
  </si>
  <si>
    <t>GOOD &amp; LEPORÉ</t>
  </si>
  <si>
    <t>BEAULIEU &amp; LEPORÉ</t>
  </si>
  <si>
    <t>2008/2009</t>
  </si>
  <si>
    <t>BONNE &amp; MEYER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</si>
</sst>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1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62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0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5" fillId="0" borderId="0" xfId="0" applyNumberFormat="1" applyFont="1"/>
    <xf numFmtId="164" fontId="5" fillId="2" borderId="1" xfId="0" applyNumberFormat="1" applyFont="1" applyFill="1" applyBorder="1" applyProtection="1">
      <protection locked="0"/>
    </xf>
    <xf numFmtId="0" fontId="14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5" fillId="2" borderId="1" xfId="0" applyNumberFormat="1" applyFont="1" applyFill="1" applyBorder="1" applyAlignment="1" applyProtection="1">
      <alignment horizontal="center"/>
      <protection locked="0"/>
    </xf>
    <xf numFmtId="164" fontId="15" fillId="3" borderId="1" xfId="0" applyNumberFormat="1" applyFont="1" applyFill="1" applyBorder="1" applyAlignment="1" applyProtection="1">
      <alignment horizontal="center"/>
      <protection locked="0"/>
    </xf>
    <xf numFmtId="0" fontId="13" fillId="0" borderId="0" xfId="0" applyFont="1"/>
    <xf numFmtId="0" fontId="16" fillId="9" borderId="0" xfId="0" applyFont="1" applyFill="1"/>
    <xf numFmtId="0" fontId="1" fillId="10" borderId="0" xfId="0" applyFont="1" applyFill="1"/>
    <xf numFmtId="164" fontId="0" fillId="0" borderId="0" xfId="0" applyNumberFormat="1" applyAlignment="1">
      <alignment horizontal="center"/>
    </xf>
    <xf numFmtId="0" fontId="17" fillId="12" borderId="0" xfId="0" applyFont="1" applyFill="1"/>
    <xf numFmtId="0" fontId="19" fillId="4" borderId="0" xfId="0" applyFont="1" applyFill="1"/>
    <xf numFmtId="0" fontId="18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4" fillId="5" borderId="0" xfId="0" applyNumberFormat="1" applyFont="1" applyFill="1" applyAlignment="1" applyProtection="1">
      <alignment horizontal="center"/>
      <protection locked="0"/>
    </xf>
    <xf numFmtId="164" fontId="16" fillId="11" borderId="0" xfId="0" applyNumberFormat="1" applyFont="1" applyFill="1" applyAlignment="1" applyProtection="1">
      <alignment horizontal="center"/>
      <protection locked="0"/>
    </xf>
    <xf numFmtId="164" fontId="1" fillId="10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19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2" fillId="8" borderId="0" xfId="0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8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966"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theme="9"/>
      </font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E6C6FB"/>
      <color rgb="FFB4C6E7"/>
      <color rgb="FFFFF3CC"/>
      <color rgb="FFFFD1AD"/>
      <color rgb="FFFF03FD"/>
      <color rgb="FFFFBFFE"/>
      <color rgb="FFFFB5B7"/>
      <color rgb="FFFF7000"/>
      <color rgb="FF9C0006"/>
      <color rgb="FFFFA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40</xdr:row>
          <xdr:rowOff>25400</xdr:rowOff>
        </xdr:from>
        <xdr:to>
          <xdr:col>0</xdr:col>
          <xdr:colOff>965200</xdr:colOff>
          <xdr:row>40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41</xdr:row>
          <xdr:rowOff>25400</xdr:rowOff>
        </xdr:from>
        <xdr:to>
          <xdr:col>0</xdr:col>
          <xdr:colOff>965200</xdr:colOff>
          <xdr:row>41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42</xdr:row>
          <xdr:rowOff>38100</xdr:rowOff>
        </xdr:from>
        <xdr:to>
          <xdr:col>0</xdr:col>
          <xdr:colOff>965200</xdr:colOff>
          <xdr:row>42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43</xdr:row>
          <xdr:rowOff>25400</xdr:rowOff>
        </xdr:from>
        <xdr:to>
          <xdr:col>0</xdr:col>
          <xdr:colOff>977900</xdr:colOff>
          <xdr:row>43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45</xdr:row>
          <xdr:rowOff>25400</xdr:rowOff>
        </xdr:from>
        <xdr:to>
          <xdr:col>0</xdr:col>
          <xdr:colOff>977900</xdr:colOff>
          <xdr:row>45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46</xdr:row>
          <xdr:rowOff>25400</xdr:rowOff>
        </xdr:from>
        <xdr:to>
          <xdr:col>0</xdr:col>
          <xdr:colOff>965200</xdr:colOff>
          <xdr:row>46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44</xdr:row>
          <xdr:rowOff>25400</xdr:rowOff>
        </xdr:from>
        <xdr:to>
          <xdr:col>0</xdr:col>
          <xdr:colOff>977900</xdr:colOff>
          <xdr:row>44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45</xdr:row>
          <xdr:rowOff>12700</xdr:rowOff>
        </xdr:from>
        <xdr:to>
          <xdr:col>4</xdr:col>
          <xdr:colOff>495300</xdr:colOff>
          <xdr:row>45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4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34</v>
      </c>
      <c r="B1" t="s">
        <v>1</v>
      </c>
      <c r="C1" t="s">
        <v>35</v>
      </c>
      <c r="D1" s="32" t="s">
        <v>10</v>
      </c>
    </row>
    <row r="2" spans="1:6" x14ac:dyDescent="0.2">
      <c r="A2" s="6" t="s">
        <v>178</v>
      </c>
      <c r="B2" s="6">
        <v>1</v>
      </c>
      <c r="C2" s="6" t="str">
        <f>IF(B2&gt;MAX('Senior-M'!A:A),"",INDEX('Senior-M'!B:B,MATCH(B2,'Senior-M'!A:A,0)))</f>
        <v>DODD, Gavin</v>
      </c>
      <c r="D2" s="14" t="str">
        <f>IF(B2&gt;MAX('Senior-M'!A:A),"",INDEX('Senior-M'!H:H,MATCH(B2,'Senior-M'!A:A,0)))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IF(B3&gt;MAX('Senior-M'!A:A),"",INDEX('Senior-M'!B:B,MATCH(B3,'Senior-M'!A:A,0)))</f>
        <v>SOEHN, Keegan</v>
      </c>
      <c r="D3" s="14" t="str">
        <f>IF(B3&gt;MAX('Senior-M'!A:A),"",INDEX('Senior-M'!H:H,MATCH(B3,'Senior-M'!A:A,0)))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IF(B4&gt;MAX('Senior-M'!A:A),"",INDEX('Senior-M'!B:B,MATCH(B4,'Senior-M'!A:A,0)))</f>
        <v>DON, Alexander</v>
      </c>
      <c r="D4" s="14" t="str">
        <f>IF(B4&gt;MAX('Senior-M'!A:A),"",INDEX('Senior-M'!H:H,MATCH(B4,'Senior-M'!A:A,0)))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IF(B5&gt;MAX('Senior-M'!A:A),"",INDEX('Senior-M'!B:B,MATCH(B5,'Senior-M'!A:A,0)))</f>
        <v>CLOUTIER, Étienne</v>
      </c>
      <c r="D5" s="14" t="str">
        <f>IF(B5&gt;MAX('Senior-M'!A:A),"",INDEX('Senior-M'!H:H,MATCH(B5,'Senior-M'!A:A,0)))</f>
        <v>National Team</v>
      </c>
    </row>
    <row r="6" spans="1:6" x14ac:dyDescent="0.2">
      <c r="A6" s="6"/>
      <c r="B6" s="6">
        <v>5</v>
      </c>
      <c r="C6" s="6" t="str">
        <f>IF(B6&gt;MAX('Senior-M'!A:A),"",INDEX('Senior-M'!B:B,MATCH(B6,'Senior-M'!A:A,0)))</f>
        <v>BEAULIEU, Alex</v>
      </c>
      <c r="D6" s="14" t="str">
        <f>IF(B6&gt;MAX('Senior-M'!A:A),"",INDEX('Senior-M'!H:H,MATCH(B6,'Senior-M'!A:A,0)))</f>
        <v>National Team</v>
      </c>
    </row>
    <row r="7" spans="1:6" x14ac:dyDescent="0.2">
      <c r="A7" s="6"/>
      <c r="B7" s="6">
        <v>6</v>
      </c>
      <c r="C7" s="6" t="str">
        <f>IF(B7&gt;MAX('Senior-M'!A:A),"",INDEX('Senior-M'!B:B,MATCH(B7,'Senior-M'!A:A,0)))</f>
        <v>CYMAN, Cody</v>
      </c>
      <c r="D7" s="14" t="str">
        <f>IF(B7&gt;MAX('Senior-M'!A:A),"",INDEX('Senior-M'!H:H,MATCH(B7,'Senior-M'!A:A,0)))</f>
        <v>No DD</v>
      </c>
    </row>
    <row r="8" spans="1:6" x14ac:dyDescent="0.2">
      <c r="A8" s="6"/>
      <c r="B8" s="6">
        <v>7</v>
      </c>
      <c r="C8" s="6" t="str">
        <f>IF(B8&gt;MAX('Senior-M'!A:A),"",INDEX('Senior-M'!B:B,MATCH(B8,'Senior-M'!A:A,0)))</f>
        <v>EVSTIGNEEV, Gleb</v>
      </c>
      <c r="D8" s="14" t="str">
        <f>IF(B8&gt;MAX('Senior-M'!A:A),"",INDEX('Senior-M'!H:H,MATCH(B8,'Senior-M'!A:A,0)))</f>
        <v>No DD</v>
      </c>
    </row>
    <row r="9" spans="1:6" x14ac:dyDescent="0.2">
      <c r="A9" s="6"/>
      <c r="B9" s="6">
        <v>8</v>
      </c>
      <c r="C9" s="6" t="str">
        <f>IF(B9&gt;MAX('Senior-M'!A:A),"",INDEX('Senior-M'!B:B,MATCH(B9,'Senior-M'!A:A,0)))</f>
        <v>VIAU, Nathan</v>
      </c>
      <c r="D9" s="14" t="str">
        <f>IF(B9&gt;MAX('Senior-M'!A:A),"",INDEX('Senior-M'!H:H,MATCH(B9,'Senior-M'!A:A,0)))</f>
        <v>No DD</v>
      </c>
    </row>
    <row r="10" spans="1:6" x14ac:dyDescent="0.2">
      <c r="A10" s="7" t="s">
        <v>179</v>
      </c>
      <c r="B10" s="7">
        <v>1</v>
      </c>
      <c r="C10" s="7" t="str">
        <f>IF(B2&gt;MAX('Senior-W'!A:A),"",INDEX('Senior-W'!B:B,MATCH(B2,'Senior-W'!A:A,0)))</f>
        <v>MÉTHOT, Sophiane</v>
      </c>
      <c r="D10" s="13" t="str">
        <f>IF(B2&gt;MAX('Senior-W'!A:A),"",INDEX('Senior-W'!H:H,MATCH(B2,'Senior-W'!A:A,0)))</f>
        <v>National Team</v>
      </c>
    </row>
    <row r="11" spans="1:6" x14ac:dyDescent="0.2">
      <c r="A11" s="7"/>
      <c r="B11" s="7">
        <v>2</v>
      </c>
      <c r="C11" s="7" t="str">
        <f>IF(B3&gt;MAX('Senior-W'!A:A),"",INDEX('Senior-W'!B:B,MATCH(B3,'Senior-W'!A:A,0)))</f>
        <v>NOGA-BARD, Kasha</v>
      </c>
      <c r="D11" s="13" t="str">
        <f>IF(B3&gt;MAX('Senior-W'!A:A),"",INDEX('Senior-W'!H:H,MATCH(B3,'Senior-W'!A:A,0)))</f>
        <v>National Team</v>
      </c>
    </row>
    <row r="12" spans="1:6" x14ac:dyDescent="0.2">
      <c r="A12" s="7"/>
      <c r="B12" s="7">
        <v>3</v>
      </c>
      <c r="C12" s="7" t="str">
        <f>IF(B4&gt;MAX('Senior-W'!A:A),"",INDEX('Senior-W'!B:B,MATCH(B4,'Senior-W'!A:A,0)))</f>
        <v>TAM, Rachel</v>
      </c>
      <c r="D12" s="13" t="str">
        <f>IF(B4&gt;MAX('Senior-W'!A:A),"",INDEX('Senior-W'!H:H,MATCH(B4,'Senior-W'!A:A,0)))</f>
        <v>National Team</v>
      </c>
    </row>
    <row r="13" spans="1:6" x14ac:dyDescent="0.2">
      <c r="A13" s="7"/>
      <c r="B13" s="7">
        <v>4</v>
      </c>
      <c r="C13" s="7" t="str">
        <f>IF(B5&gt;MAX('Senior-W'!A:A),"",INDEX('Senior-W'!B:B,MATCH(B5,'Senior-W'!A:A,0)))</f>
        <v>BONNE, Rielle</v>
      </c>
      <c r="D13" s="13" t="str">
        <f>IF(B5&gt;MAX('Senior-W'!A:A),"",INDEX('Senior-W'!H:H,MATCH(B5,'Senior-W'!A:A,0)))</f>
        <v>National Team</v>
      </c>
    </row>
    <row r="14" spans="1:6" x14ac:dyDescent="0.2">
      <c r="A14" s="7"/>
      <c r="B14" s="7">
        <v>5</v>
      </c>
      <c r="C14" s="7" t="str">
        <f>IF(B6&gt;MAX('Senior-W'!A:A),"",INDEX('Senior-W'!B:B,MATCH(B6,'Senior-W'!A:A,0)))</f>
        <v>FLYNN, Gabby</v>
      </c>
      <c r="D14" s="13" t="str">
        <f>IF(B6&gt;MAX('Senior-W'!A:A),"",INDEX('Senior-W'!H:H,MATCH(B6,'Senior-W'!A:A,0)))</f>
        <v>National Team</v>
      </c>
    </row>
    <row r="15" spans="1:6" x14ac:dyDescent="0.2">
      <c r="A15" s="7"/>
      <c r="B15" s="7">
        <v>6</v>
      </c>
      <c r="C15" s="7" t="str">
        <f>IF(B7&gt;MAX('Senior-W'!A:A),"",INDEX('Senior-W'!B:B,MATCH(B7,'Senior-W'!A:A,0)))</f>
        <v>CORRIVEAU, Mélina</v>
      </c>
      <c r="D15" s="13" t="str">
        <f>IF(B7&gt;MAX('Senior-W'!A:A),"",INDEX('Senior-W'!H:H,MATCH(B7,'Senior-W'!A:A,0)))</f>
        <v>National Team</v>
      </c>
    </row>
    <row r="16" spans="1:6" x14ac:dyDescent="0.2">
      <c r="A16" s="7"/>
      <c r="B16" s="7">
        <v>7</v>
      </c>
      <c r="C16" s="7" t="str">
        <f>IF(B8&gt;MAX('Senior-W'!A:A),"",INDEX('Senior-W'!B:B,MATCH(B8,'Senior-W'!A:A,0)))</f>
        <v>SOEHN, Kalena</v>
      </c>
      <c r="D16" s="13" t="str">
        <f>IF(B8&gt;MAX('Senior-W'!A:A),"",INDEX('Senior-W'!H:H,MATCH(B8,'Senior-W'!A:A,0)))</f>
        <v>National Team</v>
      </c>
    </row>
    <row r="17" spans="1:4" x14ac:dyDescent="0.2">
      <c r="A17" s="7"/>
      <c r="B17" s="7">
        <v>8</v>
      </c>
      <c r="C17" s="7" t="str">
        <f>IF(B9&gt;MAX('Senior-W'!A:A),"",INDEX('Senior-W'!B:B,MATCH(B9,'Senior-W'!A:A,0)))</f>
        <v>JAMES, Roshni</v>
      </c>
      <c r="D17" s="13" t="str">
        <f>IF(B9&gt;MAX('Senior-W'!A:A),"",INDEX('Senior-W'!H:H,MATCH(B9,'Senior-W'!A:A,0)))</f>
        <v>National Team</v>
      </c>
    </row>
    <row r="18" spans="1:4" x14ac:dyDescent="0.2">
      <c r="A18" s="6" t="s">
        <v>196</v>
      </c>
      <c r="B18" s="6">
        <v>1</v>
      </c>
      <c r="C18" s="6" t="str">
        <f>IF(B2&gt;MAX('Development-M'!A:A),"",INDEX('Development-M'!B:B,MATCH(B2,'Development-M'!A:A,0)))</f>
        <v>CYMAN, Cody</v>
      </c>
      <c r="D18" s="14" t="str">
        <f>IF(B2&gt;MAX('Development-M'!A:A),"",INDEX('Development-M'!H:H,MATCH(B2,'Development-M'!A:A,0)))</f>
        <v>National Team</v>
      </c>
    </row>
    <row r="19" spans="1:4" x14ac:dyDescent="0.2">
      <c r="A19" s="6"/>
      <c r="B19" s="6">
        <v>2</v>
      </c>
      <c r="C19" s="6" t="str">
        <f>IF(B3&gt;MAX('Development-M'!A:A),"",INDEX('Development-M'!B:B,MATCH(B3,'Development-M'!A:A,0)))</f>
        <v>THOMPSON, Derek</v>
      </c>
      <c r="D19" s="14" t="str">
        <f>IF(B3&gt;MAX('Development-M'!A:A),"",INDEX('Development-M'!H:H,MATCH(B3,'Development-M'!A:A,0)))</f>
        <v>National Team</v>
      </c>
    </row>
    <row r="20" spans="1:4" x14ac:dyDescent="0.2">
      <c r="A20" s="6"/>
      <c r="B20" s="6">
        <v>3</v>
      </c>
      <c r="C20" s="6" t="str">
        <f>IF(B4&gt;MAX('Development-M'!A:A),"",INDEX('Development-M'!B:B,MATCH(B4,'Development-M'!A:A,0)))</f>
        <v>VIAU, Nathan</v>
      </c>
      <c r="D20" s="14" t="str">
        <f>IF(B4&gt;MAX('Development-M'!A:A),"",INDEX('Development-M'!H:H,MATCH(B4,'Development-M'!A:A,0)))</f>
        <v>National Team</v>
      </c>
    </row>
    <row r="21" spans="1:4" x14ac:dyDescent="0.2">
      <c r="A21" s="6"/>
      <c r="B21" s="6">
        <v>4</v>
      </c>
      <c r="C21" s="6" t="str">
        <f>IF(B5&gt;MAX('Development-M'!A:A),"",INDEX('Development-M'!B:B,MATCH(B5,'Development-M'!A:A,0)))</f>
        <v>MALLAIS, Rylan</v>
      </c>
      <c r="D21" s="14" t="str">
        <f>IF(B5&gt;MAX('Development-M'!A:A),"",INDEX('Development-M'!H:H,MATCH(B5,'Development-M'!A:A,0)))</f>
        <v>National Team</v>
      </c>
    </row>
    <row r="22" spans="1:4" x14ac:dyDescent="0.2">
      <c r="A22" s="7" t="s">
        <v>197</v>
      </c>
      <c r="B22" s="7">
        <v>1</v>
      </c>
      <c r="C22" s="7" t="str">
        <f>IF(B2&gt;MAX('Development-W'!A:A),"",INDEX('Development-W'!B:B,MATCH(B2,'Development-W'!A:A,0)))</f>
        <v>LEPORÉ, Amylia</v>
      </c>
      <c r="D22" s="13" t="str">
        <f>IF(B2&gt;MAX('Development-W'!A:A),"",INDEX('Development-W'!H:H,MATCH(B2,'Development-W'!A:A,0)))</f>
        <v>National Team</v>
      </c>
    </row>
    <row r="23" spans="1:4" x14ac:dyDescent="0.2">
      <c r="A23" s="7"/>
      <c r="B23" s="7">
        <v>2</v>
      </c>
      <c r="C23" s="7" t="str">
        <f>IF(B3&gt;MAX('Development-W'!A:A),"",INDEX('Development-W'!B:B,MATCH(B3,'Development-W'!A:A,0)))</f>
        <v>KUZNAK, Sienna</v>
      </c>
      <c r="D23" s="13" t="str">
        <f>IF(B3&gt;MAX('Development-W'!A:A),"",INDEX('Development-W'!H:H,MATCH(B3,'Development-W'!A:A,0)))</f>
        <v>National Team</v>
      </c>
    </row>
    <row r="24" spans="1:4" hidden="1" x14ac:dyDescent="0.2">
      <c r="A24" s="7"/>
      <c r="B24" s="7">
        <v>3</v>
      </c>
      <c r="C24" s="7" t="str">
        <f>IF(B4&gt;MAX('Development-W'!A:A),"",INDEX('Development-W'!B:B,MATCH(B4,'Development-W'!A:A,0)))</f>
        <v/>
      </c>
      <c r="D24" s="13" t="str">
        <f>IF(B4&gt;MAX('Development-W'!A:A),"",INDEX('Development-W'!H:H,MATCH(B4,'Development-W'!A:A,0)))</f>
        <v/>
      </c>
    </row>
    <row r="25" spans="1:4" hidden="1" x14ac:dyDescent="0.2">
      <c r="A25" s="7"/>
      <c r="B25" s="7">
        <v>4</v>
      </c>
      <c r="C25" s="7" t="str">
        <f>IF(B5&gt;MAX('Development-W'!A:A),"",INDEX('Development-W'!B:B,MATCH(B5,'Development-W'!A:A,0)))</f>
        <v/>
      </c>
      <c r="D25" s="13" t="str">
        <f>IF(B5&gt;MAX('Development-W'!A:A),"",INDEX('Development-W'!H:H,MATCH(B5,'Development-W'!A:A,0)))</f>
        <v/>
      </c>
    </row>
    <row r="26" spans="1:4" x14ac:dyDescent="0.2">
      <c r="A26" s="6" t="s">
        <v>206</v>
      </c>
      <c r="B26" s="6">
        <v>1</v>
      </c>
      <c r="C26" s="6" t="str">
        <f>IF(B2&gt;MAX('Junior-M'!A:A),"",INDEX('Junior-M'!B:B,MATCH(B2,'Junior-M'!A:A,0)))</f>
        <v>RENOU, Brayden</v>
      </c>
      <c r="D26" s="14" t="str">
        <f>IF(B2&gt;MAX('Junior-M'!A:A),"",INDEX('Junior-M'!H:H,MATCH(B2,'Junior-M'!A:A,0)))</f>
        <v>No DD</v>
      </c>
    </row>
    <row r="27" spans="1:4" x14ac:dyDescent="0.2">
      <c r="A27" s="6"/>
      <c r="B27" s="6">
        <v>2</v>
      </c>
      <c r="C27" s="6" t="str">
        <f>IF(B3&gt;MAX('Junior-M'!A:A),"",INDEX('Junior-M'!B:B,MATCH(B3,'Junior-M'!A:A,0)))</f>
        <v>MORNEAU, Benjamin</v>
      </c>
      <c r="D27" s="14" t="str">
        <f>IF(B3&gt;MAX('Junior-M'!A:A),"",INDEX('Junior-M'!H:H,MATCH(B3,'Junior-M'!A:A,0)))</f>
        <v>No DD</v>
      </c>
    </row>
    <row r="28" spans="1:4" hidden="1" x14ac:dyDescent="0.2">
      <c r="A28" s="6"/>
      <c r="B28" s="6">
        <v>3</v>
      </c>
      <c r="C28" s="6" t="str">
        <f>IF(B4&gt;MAX('Junior-M'!A:A),"",INDEX('Junior-M'!B:B,MATCH(B4,'Junior-M'!A:A,0)))</f>
        <v/>
      </c>
      <c r="D28" s="14" t="str">
        <f>IF(B4&gt;MAX('Junior-M'!A:A),"",INDEX('Junior-M'!H:H,MATCH(B4,'Junior-M'!A:A,0)))</f>
        <v/>
      </c>
    </row>
    <row r="29" spans="1:4" hidden="1" x14ac:dyDescent="0.2">
      <c r="A29" s="6"/>
      <c r="B29" s="6">
        <v>4</v>
      </c>
      <c r="C29" s="6" t="str">
        <f>IF(B5&gt;MAX('Junior-M'!A:A),"",INDEX('Junior-M'!B:B,MATCH(B5,'Junior-M'!A:A,0)))</f>
        <v/>
      </c>
      <c r="D29" s="14" t="str">
        <f>IF(B5&gt;MAX('Junior-M'!A:A),"",INDEX('Junior-M'!H:H,MATCH(B5,'Junior-M'!A:A,0)))</f>
        <v/>
      </c>
    </row>
    <row r="30" spans="1:4" hidden="1" x14ac:dyDescent="0.2">
      <c r="A30" s="7" t="s">
        <v>207</v>
      </c>
      <c r="B30" s="7">
        <v>1</v>
      </c>
      <c r="C30" s="7" t="str">
        <f>IF(B2&gt;MAX('Junior-W'!A:A),"",INDEX('Junior-W'!B:B,MATCH(B2,'Junior-W'!A:A,0)))</f>
        <v/>
      </c>
      <c r="D30" s="13" t="str">
        <f>IF(B2&gt;MAX('Junior-W'!A:A),"",INDEX('Junior-W'!H:H,MATCH(B2,'Junior-W'!A:A,0)))</f>
        <v/>
      </c>
    </row>
    <row r="31" spans="1:4" hidden="1" x14ac:dyDescent="0.2">
      <c r="A31" s="7"/>
      <c r="B31" s="7">
        <v>2</v>
      </c>
      <c r="C31" s="7" t="str">
        <f>IF(B3&gt;MAX('Junior-W'!A:A),"",INDEX('Junior-W'!B:B,MATCH(B3,'Junior-W'!A:A,0)))</f>
        <v/>
      </c>
      <c r="D31" s="13" t="str">
        <f>IF(B3&gt;MAX('Junior-W'!A:A),"",INDEX('Junior-W'!H:H,MATCH(B3,'Junior-W'!A:A,0)))</f>
        <v/>
      </c>
    </row>
    <row r="32" spans="1:4" hidden="1" x14ac:dyDescent="0.2">
      <c r="A32" s="7"/>
      <c r="B32" s="7">
        <v>3</v>
      </c>
      <c r="C32" s="7" t="str">
        <f>IF(B4&gt;MAX('Junior-W'!A:A),"",INDEX('Junior-W'!B:B,MATCH(B4,'Junior-W'!A:A,0)))</f>
        <v/>
      </c>
      <c r="D32" s="13" t="str">
        <f>IF(B4&gt;MAX('Junior-W'!A:A),"",INDEX('Junior-W'!H:H,MATCH(B4,'Junior-W'!A:A,0)))</f>
        <v/>
      </c>
    </row>
    <row r="33" spans="1:5" hidden="1" x14ac:dyDescent="0.2">
      <c r="A33" s="7"/>
      <c r="B33" s="7">
        <v>4</v>
      </c>
      <c r="C33" s="7" t="str">
        <f>IF(B5&gt;MAX('Junior-W'!A:A),"",INDEX('Junior-W'!B:B,MATCH(B5,'Junior-W'!A:A,0)))</f>
        <v/>
      </c>
      <c r="D33" s="13" t="str">
        <f>IF(B5&gt;MAX('Junior-W'!A:A),"",INDEX('Junior-W'!H:H,MATCH(B5,'Junior-W'!A:A,0)))</f>
        <v/>
      </c>
    </row>
    <row r="34" spans="1:5" x14ac:dyDescent="0.2">
      <c r="A34" s="6" t="s">
        <v>180</v>
      </c>
      <c r="B34" s="6">
        <v>1</v>
      </c>
      <c r="C34" s="6" t="str">
        <f>IF(B2&gt;MAX('TRS-M'!A:A),"",INDEX('TRS-M'!B:B,MATCH(B2,'TRS-M'!A:A,0)))</f>
        <v>CLOUTIER &amp; VIAU</v>
      </c>
      <c r="D34" s="14" t="str">
        <f>IF(B2&gt;MAX('TRS-M'!A:A),"",INDEX('TRS-M'!H:H,MATCH(B2,'TRS-M'!A:A,0)))</f>
        <v>National Team</v>
      </c>
    </row>
    <row r="35" spans="1:5" x14ac:dyDescent="0.2">
      <c r="A35" s="6"/>
      <c r="B35" s="6">
        <v>2</v>
      </c>
      <c r="C35" s="6" t="str">
        <f>IF(B3&gt;MAX('TRS-M'!A:A),"",INDEX('TRS-M'!B:B,MATCH(B3,'TRS-M'!A:A,0)))</f>
        <v>CLOUTIER &amp; DON</v>
      </c>
      <c r="D35" s="14" t="str">
        <f>IF(B3&gt;MAX('TRS-M'!A:A),"",INDEX('TRS-M'!H:H,MATCH(B3,'TRS-M'!A:A,0)))</f>
        <v>National Team</v>
      </c>
    </row>
    <row r="36" spans="1:5" x14ac:dyDescent="0.2">
      <c r="A36" s="7" t="s">
        <v>181</v>
      </c>
      <c r="B36" s="7">
        <v>1</v>
      </c>
      <c r="C36" s="7" t="str">
        <f>IF(B2&gt;MAX('TRS-W'!A:A),"",INDEX('TRS-W'!B:B,MATCH(B2,'TRS-W'!A:A,0)))</f>
        <v>MÉTHOT &amp; MILETTE</v>
      </c>
      <c r="D36" s="13" t="str">
        <f>IF(B2&gt;MAX('TRS-W'!A:A),"",INDEX('TRS-W'!H:H,MATCH(B2,'TRS-W'!A:A,0)))</f>
        <v>National Team</v>
      </c>
    </row>
    <row r="37" spans="1:5" x14ac:dyDescent="0.2">
      <c r="A37" s="7"/>
      <c r="B37" s="7">
        <v>2</v>
      </c>
      <c r="C37" s="7" t="str">
        <f>IF(B3&gt;MAX('TRS-W'!A:A),"",INDEX('TRS-W'!B:B,MATCH(B3,'TRS-W'!A:A,0)))</f>
        <v>BONHAM &amp; FLYNN</v>
      </c>
      <c r="D37" s="13" t="str">
        <f>IF(B3&gt;MAX('TRS-W'!A:A),"",INDEX('TRS-W'!H:H,MATCH(B3,'TRS-W'!A:A,0)))</f>
        <v>National Team</v>
      </c>
    </row>
    <row r="38" spans="1:5" x14ac:dyDescent="0.2">
      <c r="A38" s="48" t="s">
        <v>182</v>
      </c>
      <c r="B38" s="48">
        <v>1</v>
      </c>
      <c r="C38" s="48" t="str">
        <f>IF(B2&gt;MAX('TRS-X'!A:A),"",INDEX('TRS-X'!B:B,MATCH(B2,'TRS-X'!A:A,0)))</f>
        <v>DODD &amp; FLYNN</v>
      </c>
      <c r="D38" s="49" t="str">
        <f>IF(B2&gt;MAX('TRS-X'!A:A),"",INDEX('TRS-X'!H:H,MATCH(B2,'TRS-X'!A:A,0)))</f>
        <v>National Team</v>
      </c>
    </row>
    <row r="39" spans="1:5" x14ac:dyDescent="0.2">
      <c r="A39" s="48"/>
      <c r="B39" s="48">
        <v>2</v>
      </c>
      <c r="C39" s="48" t="str">
        <f>IF(B3&gt;MAX('TRS-X'!A:A),"",INDEX('TRS-X'!B:B,MATCH(B3,'TRS-X'!A:A,0)))</f>
        <v>BONNE &amp; COLLINSON</v>
      </c>
      <c r="D39" s="49" t="str">
        <f>IF(B3&gt;MAX('TRS-X'!A:A),"",INDEX('TRS-X'!H:H,MATCH(B3,'TRS-X'!A:A,0)))</f>
        <v>National Team</v>
      </c>
    </row>
    <row r="40" spans="1:5" x14ac:dyDescent="0.2">
      <c r="D40" s="32"/>
    </row>
    <row r="41" spans="1:5" x14ac:dyDescent="0.2">
      <c r="B41" t="s">
        <v>33</v>
      </c>
    </row>
    <row r="42" spans="1:5" x14ac:dyDescent="0.2">
      <c r="B42" t="s">
        <v>31</v>
      </c>
    </row>
    <row r="43" spans="1:5" x14ac:dyDescent="0.2">
      <c r="B43" t="s">
        <v>32</v>
      </c>
    </row>
    <row r="44" spans="1:5" x14ac:dyDescent="0.2">
      <c r="B44" s="12" t="s">
        <v>47</v>
      </c>
      <c r="D44" t="s">
        <v>45</v>
      </c>
    </row>
    <row r="45" spans="1:5" x14ac:dyDescent="0.2">
      <c r="B45" s="12" t="s">
        <v>51</v>
      </c>
      <c r="D45" t="s">
        <v>45</v>
      </c>
      <c r="E45" t="s">
        <v>45</v>
      </c>
    </row>
    <row r="46" spans="1:5" x14ac:dyDescent="0.2">
      <c r="B46" t="s">
        <v>46</v>
      </c>
    </row>
    <row r="47" spans="1:5" x14ac:dyDescent="0.2">
      <c r="B47" t="s">
        <v>52</v>
      </c>
    </row>
    <row r="48" spans="1:5" x14ac:dyDescent="0.2">
      <c r="A48" t="s">
        <v>36</v>
      </c>
      <c r="B48" s="51">
        <v>46098</v>
      </c>
      <c r="C48" s="51"/>
    </row>
    <row r="49" spans="2:2" x14ac:dyDescent="0.2">
      <c r="B49" t="s">
        <v>232</v>
      </c>
    </row>
  </sheetData>
  <sheetProtection formatCells="0" formatColumns="0" formatRows="0"/>
  <mergeCells count="1">
    <mergeCell ref="B48:C48"/>
  </mergeCells>
  <conditionalFormatting sqref="D2:D39">
    <cfRule type="containsText" dxfId="965" priority="1" operator="containsText" text="No DD">
      <formula>NOT(ISERROR(SEARCH("No DD",D2)))</formula>
    </cfRule>
    <cfRule type="containsText" dxfId="964" priority="4" operator="containsText" text="Merit">
      <formula>NOT(ISERROR(SEARCH("Merit",D2)))</formula>
    </cfRule>
    <cfRule type="containsText" dxfId="963" priority="5" operator="containsText" text="Excellence">
      <formula>NOT(ISERROR(SEARCH("Excellence",D2)))</formula>
    </cfRule>
    <cfRule type="containsText" dxfId="962" priority="6" operator="containsText" text="Worlds Team">
      <formula>NOT(ISERROR(SEARCH("Worlds Team",D2)))</formula>
    </cfRule>
    <cfRule type="containsText" dxfId="961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44:D45" xr:uid="{D08F591B-E1ED-7A40-99FD-CEC4A428C792}">
      <formula1>"Select,Senior-M, Senior-W,Development-M,Development-W,Junior-M,Junior-W,TRS-M,TRS-W,TRS-X"</formula1>
    </dataValidation>
    <dataValidation type="list" allowBlank="1" showInputMessage="1" showErrorMessage="1" sqref="E45" xr:uid="{34EE6C87-AAA8-A345-8399-C87931D9699B}">
      <formula1>IF($D$45="Select",D45,INDIRECT("'"&amp;$D$45&amp;"'!"&amp;"B4:B"&amp;MATCH(TRUE,INDEX(INDIRECT("'"&amp;$D$45&amp;"'!"&amp;"B4:B100")="",0),0)+2))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40</xdr:row>
                    <xdr:rowOff>25400</xdr:rowOff>
                  </from>
                  <to>
                    <xdr:col>0</xdr:col>
                    <xdr:colOff>965200</xdr:colOff>
                    <xdr:row>40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41</xdr:row>
                    <xdr:rowOff>25400</xdr:rowOff>
                  </from>
                  <to>
                    <xdr:col>0</xdr:col>
                    <xdr:colOff>965200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42</xdr:row>
                    <xdr:rowOff>38100</xdr:rowOff>
                  </from>
                  <to>
                    <xdr:col>0</xdr:col>
                    <xdr:colOff>965200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43</xdr:row>
                    <xdr:rowOff>25400</xdr:rowOff>
                  </from>
                  <to>
                    <xdr:col>0</xdr:col>
                    <xdr:colOff>977900</xdr:colOff>
                    <xdr:row>43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45</xdr:row>
                    <xdr:rowOff>25400</xdr:rowOff>
                  </from>
                  <to>
                    <xdr:col>0</xdr:col>
                    <xdr:colOff>977900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46</xdr:row>
                    <xdr:rowOff>25400</xdr:rowOff>
                  </from>
                  <to>
                    <xdr:col>0</xdr:col>
                    <xdr:colOff>965200</xdr:colOff>
                    <xdr:row>46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44</xdr:row>
                    <xdr:rowOff>25400</xdr:rowOff>
                  </from>
                  <to>
                    <xdr:col>0</xdr:col>
                    <xdr:colOff>977900</xdr:colOff>
                    <xdr:row>44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45</xdr:row>
                    <xdr:rowOff>12700</xdr:rowOff>
                  </from>
                  <to>
                    <xdr:col>4</xdr:col>
                    <xdr:colOff>495300</xdr:colOff>
                    <xdr:row>45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M5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hidden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6" max="16" width="24.6640625" customWidth="1"/>
    <col min="17" max="17" width="13" customWidth="1"/>
    <col min="18" max="18" width="47" customWidth="1"/>
    <col min="19" max="34" width="10.83203125" hidden="1" customWidth="1"/>
    <col min="35" max="45" width="10.83203125" style="32" customWidth="1"/>
    <col min="46" max="61" width="10.83203125" hidden="1" customWidth="1"/>
    <col min="62" max="72" width="10.83203125" style="32" customWidth="1"/>
    <col min="73" max="88" width="10.83203125" hidden="1" customWidth="1"/>
    <col min="89" max="99" width="10.83203125" style="32" customWidth="1"/>
    <col min="100" max="101" width="12.83203125" style="32" customWidth="1"/>
    <col min="102" max="121" width="10.83203125" hidden="1" customWidth="1"/>
    <col min="122" max="134" width="10.83203125" customWidth="1"/>
    <col min="135" max="135" width="10.83203125" style="32" customWidth="1"/>
    <col min="136" max="155" width="10.83203125" hidden="1" customWidth="1"/>
    <col min="156" max="168" width="10.83203125" customWidth="1"/>
    <col min="169" max="169" width="10.83203125" style="32" customWidth="1"/>
    <col min="170" max="189" width="10.83203125" hidden="1" customWidth="1"/>
    <col min="190" max="202" width="10.83203125" customWidth="1"/>
    <col min="203" max="203" width="10.83203125" style="32" customWidth="1"/>
    <col min="204" max="223" width="10.83203125" hidden="1" customWidth="1"/>
    <col min="224" max="236" width="10.83203125" customWidth="1"/>
    <col min="237" max="237" width="10.83203125" style="32" customWidth="1"/>
    <col min="238" max="257" width="10.83203125" hidden="1" customWidth="1"/>
    <col min="258" max="270" width="10.83203125" customWidth="1"/>
    <col min="271" max="271" width="10.83203125" style="32" customWidth="1"/>
    <col min="272" max="291" width="10.83203125" hidden="1" customWidth="1"/>
    <col min="292" max="305" width="10.83203125" customWidth="1"/>
    <col min="306" max="325" width="10.83203125" hidden="1" customWidth="1"/>
    <col min="326" max="339" width="10.83203125" customWidth="1"/>
    <col min="340" max="359" width="10.83203125" hidden="1" customWidth="1"/>
    <col min="360" max="373" width="10.83203125" customWidth="1"/>
    <col min="374" max="393" width="10.83203125" hidden="1" customWidth="1"/>
    <col min="394" max="407" width="10.83203125" customWidth="1"/>
    <col min="408" max="536" width="10.83203125" hidden="1" customWidth="1"/>
    <col min="537" max="537" width="11.83203125" hidden="1" customWidth="1"/>
    <col min="538" max="538" width="12.83203125" hidden="1" customWidth="1"/>
    <col min="539" max="570" width="10.83203125" hidden="1" customWidth="1"/>
    <col min="571" max="571" width="11.83203125" hidden="1" customWidth="1"/>
    <col min="572" max="572" width="12.83203125" hidden="1" customWidth="1"/>
    <col min="573" max="604" width="10.83203125" hidden="1" customWidth="1"/>
    <col min="605" max="605" width="11.83203125" hidden="1" customWidth="1"/>
    <col min="606" max="606" width="12.83203125" hidden="1" customWidth="1"/>
    <col min="607" max="611" width="10.83203125" hidden="1" customWidth="1"/>
  </cols>
  <sheetData>
    <row r="1" spans="1:611" x14ac:dyDescent="0.2">
      <c r="A1" s="57" t="s">
        <v>1</v>
      </c>
      <c r="B1" s="57" t="s">
        <v>26</v>
      </c>
      <c r="C1" s="57" t="s">
        <v>0</v>
      </c>
      <c r="D1" s="57" t="s">
        <v>44</v>
      </c>
      <c r="E1" s="57" t="s">
        <v>2</v>
      </c>
      <c r="F1" s="58" t="s">
        <v>177</v>
      </c>
      <c r="G1" s="57" t="s">
        <v>9</v>
      </c>
      <c r="H1" s="57" t="s">
        <v>10</v>
      </c>
      <c r="I1" s="57" t="s">
        <v>61</v>
      </c>
      <c r="J1" s="53" t="s">
        <v>11</v>
      </c>
      <c r="K1" s="52" t="s">
        <v>28</v>
      </c>
      <c r="L1" s="53" t="s">
        <v>174</v>
      </c>
      <c r="M1" s="52" t="s">
        <v>28</v>
      </c>
      <c r="N1" s="53" t="s">
        <v>175</v>
      </c>
      <c r="O1" s="52" t="s">
        <v>28</v>
      </c>
      <c r="P1" s="59" t="s">
        <v>12</v>
      </c>
      <c r="Q1" s="52" t="s">
        <v>29</v>
      </c>
      <c r="R1" s="52" t="s">
        <v>28</v>
      </c>
      <c r="S1" s="56" t="s">
        <v>134</v>
      </c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61" t="s">
        <v>150</v>
      </c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56" t="s">
        <v>231</v>
      </c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4" t="s">
        <v>12</v>
      </c>
      <c r="CW1" s="54"/>
      <c r="CX1" s="56" t="s">
        <v>127</v>
      </c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  <c r="DU1" s="56"/>
      <c r="DV1" s="56"/>
      <c r="DW1" s="56"/>
      <c r="DX1" s="56"/>
      <c r="DY1" s="56"/>
      <c r="DZ1" s="56"/>
      <c r="EA1" s="56"/>
      <c r="EB1" s="56"/>
      <c r="EC1" s="56"/>
      <c r="ED1" s="56"/>
      <c r="EE1" s="56"/>
      <c r="EF1" s="61" t="s">
        <v>129</v>
      </c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  <c r="FL1" s="61"/>
      <c r="FM1" s="61"/>
      <c r="FN1" s="56" t="s">
        <v>141</v>
      </c>
      <c r="FO1" s="56"/>
      <c r="FP1" s="56"/>
      <c r="FQ1" s="56"/>
      <c r="FR1" s="56"/>
      <c r="FS1" s="56"/>
      <c r="FT1" s="56"/>
      <c r="FU1" s="56"/>
      <c r="FV1" s="56"/>
      <c r="FW1" s="56"/>
      <c r="FX1" s="56"/>
      <c r="FY1" s="56"/>
      <c r="FZ1" s="56"/>
      <c r="GA1" s="56"/>
      <c r="GB1" s="56"/>
      <c r="GC1" s="56"/>
      <c r="GD1" s="56"/>
      <c r="GE1" s="56"/>
      <c r="GF1" s="56"/>
      <c r="GG1" s="56"/>
      <c r="GH1" s="56"/>
      <c r="GI1" s="56"/>
      <c r="GJ1" s="56"/>
      <c r="GK1" s="56"/>
      <c r="GL1" s="56"/>
      <c r="GM1" s="56"/>
      <c r="GN1" s="56"/>
      <c r="GO1" s="56"/>
      <c r="GP1" s="56"/>
      <c r="GQ1" s="56"/>
      <c r="GR1" s="56"/>
      <c r="GS1" s="56"/>
      <c r="GT1" s="56"/>
      <c r="GU1" s="56"/>
      <c r="GV1" s="61" t="s">
        <v>144</v>
      </c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61"/>
      <c r="HN1" s="61"/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61"/>
      <c r="IB1" s="61"/>
      <c r="IC1" s="61"/>
      <c r="ID1" s="56" t="s">
        <v>145</v>
      </c>
      <c r="IE1" s="56"/>
      <c r="IF1" s="56"/>
      <c r="IG1" s="56"/>
      <c r="IH1" s="56"/>
      <c r="II1" s="56"/>
      <c r="IJ1" s="56"/>
      <c r="IK1" s="56"/>
      <c r="IL1" s="56"/>
      <c r="IM1" s="56"/>
      <c r="IN1" s="56"/>
      <c r="IO1" s="56"/>
      <c r="IP1" s="56"/>
      <c r="IQ1" s="56"/>
      <c r="IR1" s="56"/>
      <c r="IS1" s="56"/>
      <c r="IT1" s="56"/>
      <c r="IU1" s="56"/>
      <c r="IV1" s="56"/>
      <c r="IW1" s="56"/>
      <c r="IX1" s="56"/>
      <c r="IY1" s="56"/>
      <c r="IZ1" s="56"/>
      <c r="JA1" s="56"/>
      <c r="JB1" s="56"/>
      <c r="JC1" s="56"/>
      <c r="JD1" s="56"/>
      <c r="JE1" s="56"/>
      <c r="JF1" s="56"/>
      <c r="JG1" s="56"/>
      <c r="JH1" s="56"/>
      <c r="JI1" s="56"/>
      <c r="JJ1" s="56"/>
      <c r="JK1" s="56"/>
      <c r="JL1" s="61" t="s">
        <v>153</v>
      </c>
      <c r="JM1" s="61"/>
      <c r="JN1" s="61"/>
      <c r="JO1" s="61"/>
      <c r="JP1" s="61"/>
      <c r="JQ1" s="61"/>
      <c r="JR1" s="61"/>
      <c r="JS1" s="61"/>
      <c r="JT1" s="61"/>
      <c r="JU1" s="61"/>
      <c r="JV1" s="61"/>
      <c r="JW1" s="61"/>
      <c r="JX1" s="61"/>
      <c r="JY1" s="61"/>
      <c r="JZ1" s="61"/>
      <c r="KA1" s="61"/>
      <c r="KB1" s="61"/>
      <c r="KC1" s="61"/>
      <c r="KD1" s="61"/>
      <c r="KE1" s="61"/>
      <c r="KF1" s="61"/>
      <c r="KG1" s="61"/>
      <c r="KH1" s="61"/>
      <c r="KI1" s="61"/>
      <c r="KJ1" s="61"/>
      <c r="KK1" s="61"/>
      <c r="KL1" s="61"/>
      <c r="KM1" s="61"/>
      <c r="KN1" s="61"/>
      <c r="KO1" s="61"/>
      <c r="KP1" s="61"/>
      <c r="KQ1" s="61"/>
      <c r="KR1" s="61"/>
      <c r="KS1" s="61"/>
      <c r="KT1" s="56" t="s">
        <v>162</v>
      </c>
      <c r="KU1" s="56"/>
      <c r="KV1" s="56"/>
      <c r="KW1" s="56"/>
      <c r="KX1" s="56"/>
      <c r="KY1" s="56"/>
      <c r="KZ1" s="56"/>
      <c r="LA1" s="56"/>
      <c r="LB1" s="56"/>
      <c r="LC1" s="56"/>
      <c r="LD1" s="56"/>
      <c r="LE1" s="56"/>
      <c r="LF1" s="56"/>
      <c r="LG1" s="56"/>
      <c r="LH1" s="56"/>
      <c r="LI1" s="56"/>
      <c r="LJ1" s="56"/>
      <c r="LK1" s="56"/>
      <c r="LL1" s="56"/>
      <c r="LM1" s="56"/>
      <c r="LN1" s="56"/>
      <c r="LO1" s="56"/>
      <c r="LP1" s="56"/>
      <c r="LQ1" s="56"/>
      <c r="LR1" s="56"/>
      <c r="LS1" s="56"/>
      <c r="LT1" s="56"/>
      <c r="LU1" s="56"/>
      <c r="LV1" s="56"/>
      <c r="LW1" s="56"/>
      <c r="LX1" s="56"/>
      <c r="LY1" s="56"/>
      <c r="LZ1" s="56"/>
      <c r="MA1" s="56"/>
      <c r="MB1" s="61" t="s">
        <v>165</v>
      </c>
      <c r="MC1" s="61"/>
      <c r="MD1" s="61"/>
      <c r="ME1" s="61"/>
      <c r="MF1" s="61"/>
      <c r="MG1" s="61"/>
      <c r="MH1" s="61"/>
      <c r="MI1" s="61"/>
      <c r="MJ1" s="61"/>
      <c r="MK1" s="61"/>
      <c r="ML1" s="61"/>
      <c r="MM1" s="61"/>
      <c r="MN1" s="61"/>
      <c r="MO1" s="61"/>
      <c r="MP1" s="61"/>
      <c r="MQ1" s="61"/>
      <c r="MR1" s="61"/>
      <c r="MS1" s="61"/>
      <c r="MT1" s="61"/>
      <c r="MU1" s="61"/>
      <c r="MV1" s="61"/>
      <c r="MW1" s="61"/>
      <c r="MX1" s="61"/>
      <c r="MY1" s="61"/>
      <c r="MZ1" s="61"/>
      <c r="NA1" s="61"/>
      <c r="NB1" s="61"/>
      <c r="NC1" s="61"/>
      <c r="ND1" s="61"/>
      <c r="NE1" s="61"/>
      <c r="NF1" s="61"/>
      <c r="NG1" s="61"/>
      <c r="NH1" s="61"/>
      <c r="NI1" s="61"/>
      <c r="NJ1" s="56" t="s">
        <v>171</v>
      </c>
      <c r="NK1" s="56"/>
      <c r="NL1" s="56"/>
      <c r="NM1" s="56"/>
      <c r="NN1" s="56"/>
      <c r="NO1" s="56"/>
      <c r="NP1" s="56"/>
      <c r="NQ1" s="56"/>
      <c r="NR1" s="56"/>
      <c r="NS1" s="56"/>
      <c r="NT1" s="56"/>
      <c r="NU1" s="56"/>
      <c r="NV1" s="56"/>
      <c r="NW1" s="56"/>
      <c r="NX1" s="56"/>
      <c r="NY1" s="56"/>
      <c r="NZ1" s="56"/>
      <c r="OA1" s="56"/>
      <c r="OB1" s="56"/>
      <c r="OC1" s="56"/>
      <c r="OD1" s="56"/>
      <c r="OE1" s="56"/>
      <c r="OF1" s="56"/>
      <c r="OG1" s="56"/>
      <c r="OH1" s="56"/>
      <c r="OI1" s="56"/>
      <c r="OJ1" s="56"/>
      <c r="OK1" s="56"/>
      <c r="OL1" s="56"/>
      <c r="OM1" s="56"/>
      <c r="ON1" s="56"/>
      <c r="OO1" s="56"/>
      <c r="OP1" s="56"/>
      <c r="OQ1" s="56"/>
      <c r="OR1" s="61"/>
      <c r="OS1" s="61"/>
      <c r="OT1" s="61"/>
      <c r="OU1" s="61"/>
      <c r="OV1" s="61"/>
      <c r="OW1" s="61"/>
      <c r="OX1" s="61"/>
      <c r="OY1" s="61"/>
      <c r="OZ1" s="61"/>
      <c r="PA1" s="61"/>
      <c r="PB1" s="61"/>
      <c r="PC1" s="61"/>
      <c r="PD1" s="61"/>
      <c r="PE1" s="61"/>
      <c r="PF1" s="61"/>
      <c r="PG1" s="61"/>
      <c r="PH1" s="61"/>
      <c r="PI1" s="61"/>
      <c r="PJ1" s="61"/>
      <c r="PK1" s="61"/>
      <c r="PL1" s="61"/>
      <c r="PM1" s="61"/>
      <c r="PN1" s="61"/>
      <c r="PO1" s="61"/>
      <c r="PP1" s="61"/>
      <c r="PQ1" s="61"/>
      <c r="PR1" s="61"/>
      <c r="PS1" s="61"/>
      <c r="PT1" s="61"/>
      <c r="PU1" s="61"/>
      <c r="PV1" s="61"/>
      <c r="PW1" s="61"/>
      <c r="PX1" s="61"/>
      <c r="PY1" s="61"/>
      <c r="PZ1" s="56"/>
      <c r="QA1" s="56"/>
      <c r="QB1" s="56"/>
      <c r="QC1" s="56"/>
      <c r="QD1" s="56"/>
      <c r="QE1" s="56"/>
      <c r="QF1" s="56"/>
      <c r="QG1" s="56"/>
      <c r="QH1" s="56"/>
      <c r="QI1" s="56"/>
      <c r="QJ1" s="56"/>
      <c r="QK1" s="56"/>
      <c r="QL1" s="56"/>
      <c r="QM1" s="56"/>
      <c r="QN1" s="56"/>
      <c r="QO1" s="56"/>
      <c r="QP1" s="56"/>
      <c r="QQ1" s="56"/>
      <c r="QR1" s="56"/>
      <c r="QS1" s="56"/>
      <c r="QT1" s="56"/>
      <c r="QU1" s="56"/>
      <c r="QV1" s="56"/>
      <c r="QW1" s="56"/>
      <c r="QX1" s="56"/>
      <c r="QY1" s="56"/>
      <c r="QZ1" s="56"/>
      <c r="RA1" s="56"/>
      <c r="RB1" s="56"/>
      <c r="RC1" s="56"/>
      <c r="RD1" s="56"/>
      <c r="RE1" s="56"/>
      <c r="RF1" s="56"/>
      <c r="RG1" s="56"/>
      <c r="RH1" s="61"/>
      <c r="RI1" s="61"/>
      <c r="RJ1" s="61"/>
      <c r="RK1" s="61"/>
      <c r="RL1" s="61"/>
      <c r="RM1" s="61"/>
      <c r="RN1" s="61"/>
      <c r="RO1" s="61"/>
      <c r="RP1" s="61"/>
      <c r="RQ1" s="61"/>
      <c r="RR1" s="61"/>
      <c r="RS1" s="61"/>
      <c r="RT1" s="61"/>
      <c r="RU1" s="61"/>
      <c r="RV1" s="61"/>
      <c r="RW1" s="61"/>
      <c r="RX1" s="61"/>
      <c r="RY1" s="61"/>
      <c r="RZ1" s="61"/>
      <c r="SA1" s="61"/>
      <c r="SB1" s="61"/>
      <c r="SC1" s="61"/>
      <c r="SD1" s="61"/>
      <c r="SE1" s="61"/>
      <c r="SF1" s="61"/>
      <c r="SG1" s="61"/>
      <c r="SH1" s="61"/>
      <c r="SI1" s="61"/>
      <c r="SJ1" s="61"/>
      <c r="SK1" s="61"/>
      <c r="SL1" s="61"/>
      <c r="SM1" s="61"/>
      <c r="SN1" s="61"/>
      <c r="SO1" s="61"/>
      <c r="SP1" s="56"/>
      <c r="SQ1" s="56"/>
      <c r="SR1" s="56"/>
      <c r="SS1" s="56"/>
      <c r="ST1" s="56"/>
      <c r="SU1" s="56"/>
      <c r="SV1" s="56"/>
      <c r="SW1" s="56"/>
      <c r="SX1" s="56"/>
      <c r="SY1" s="56"/>
      <c r="SZ1" s="56"/>
      <c r="TA1" s="56"/>
      <c r="TB1" s="56"/>
      <c r="TC1" s="56"/>
      <c r="TD1" s="56"/>
      <c r="TE1" s="56"/>
      <c r="TF1" s="56"/>
      <c r="TG1" s="56"/>
      <c r="TH1" s="56"/>
      <c r="TI1" s="56"/>
      <c r="TJ1" s="56"/>
      <c r="TK1" s="56"/>
      <c r="TL1" s="56"/>
      <c r="TM1" s="56"/>
      <c r="TN1" s="56"/>
      <c r="TO1" s="56"/>
      <c r="TP1" s="56"/>
      <c r="TQ1" s="56"/>
      <c r="TR1" s="56"/>
      <c r="TS1" s="56"/>
      <c r="TT1" s="56"/>
      <c r="TU1" s="56"/>
      <c r="TV1" s="56"/>
      <c r="TW1" s="56"/>
      <c r="TX1" s="61"/>
      <c r="TY1" s="61"/>
      <c r="TZ1" s="61"/>
      <c r="UA1" s="61"/>
      <c r="UB1" s="61"/>
      <c r="UC1" s="61"/>
      <c r="UD1" s="61"/>
      <c r="UE1" s="61"/>
      <c r="UF1" s="61"/>
      <c r="UG1" s="61"/>
      <c r="UH1" s="61"/>
      <c r="UI1" s="61"/>
      <c r="UJ1" s="61"/>
      <c r="UK1" s="61"/>
      <c r="UL1" s="61"/>
      <c r="UM1" s="61"/>
      <c r="UN1" s="61"/>
      <c r="UO1" s="61"/>
      <c r="UP1" s="61"/>
      <c r="UQ1" s="61"/>
      <c r="UR1" s="61"/>
      <c r="US1" s="61"/>
      <c r="UT1" s="61"/>
      <c r="UU1" s="61"/>
      <c r="UV1" s="61"/>
      <c r="UW1" s="61"/>
      <c r="UX1" s="61"/>
      <c r="UY1" s="61"/>
      <c r="UZ1" s="61"/>
      <c r="VA1" s="61"/>
      <c r="VB1" s="61"/>
      <c r="VC1" s="61"/>
      <c r="VD1" s="61"/>
      <c r="VE1" s="61"/>
      <c r="VF1" s="56"/>
      <c r="VG1" s="56"/>
      <c r="VH1" s="56"/>
      <c r="VI1" s="56"/>
      <c r="VJ1" s="56"/>
      <c r="VK1" s="56"/>
      <c r="VL1" s="56"/>
      <c r="VM1" s="56"/>
      <c r="VN1" s="56"/>
      <c r="VO1" s="56"/>
      <c r="VP1" s="56"/>
      <c r="VQ1" s="56"/>
      <c r="VR1" s="56"/>
      <c r="VS1" s="56"/>
      <c r="VT1" s="56"/>
      <c r="VU1" s="56"/>
      <c r="VV1" s="56"/>
      <c r="VW1" s="56"/>
      <c r="VX1" s="56"/>
      <c r="VY1" s="56"/>
      <c r="VZ1" s="56"/>
      <c r="WA1" s="56"/>
      <c r="WB1" s="56"/>
      <c r="WC1" s="56"/>
      <c r="WD1" s="56"/>
      <c r="WE1" s="56"/>
      <c r="WF1" s="56"/>
      <c r="WG1" s="56"/>
      <c r="WH1" s="56"/>
      <c r="WI1" s="56"/>
      <c r="WJ1" s="56"/>
      <c r="WK1" s="56"/>
      <c r="WL1" s="56"/>
      <c r="WM1" s="56"/>
    </row>
    <row r="2" spans="1:611" x14ac:dyDescent="0.2">
      <c r="A2" s="57"/>
      <c r="B2" s="57"/>
      <c r="C2" s="57"/>
      <c r="D2" s="57"/>
      <c r="E2" s="57"/>
      <c r="F2" s="58"/>
      <c r="G2" s="57"/>
      <c r="H2" s="57"/>
      <c r="I2" s="57"/>
      <c r="J2" s="53"/>
      <c r="K2" s="52"/>
      <c r="L2" s="53"/>
      <c r="M2" s="52"/>
      <c r="N2" s="53"/>
      <c r="O2" s="52"/>
      <c r="P2" s="59"/>
      <c r="Q2" s="52"/>
      <c r="R2" s="52"/>
      <c r="S2" s="55" t="s">
        <v>17</v>
      </c>
      <c r="T2" s="55"/>
      <c r="U2" s="55"/>
      <c r="V2" s="55"/>
      <c r="W2" s="55"/>
      <c r="X2" s="55" t="s">
        <v>18</v>
      </c>
      <c r="Y2" s="55"/>
      <c r="Z2" s="55"/>
      <c r="AA2" s="55"/>
      <c r="AB2" s="55"/>
      <c r="AC2" s="55" t="s">
        <v>21</v>
      </c>
      <c r="AD2" s="55"/>
      <c r="AE2" s="55"/>
      <c r="AF2" s="55"/>
      <c r="AG2" s="55"/>
      <c r="AH2" s="14"/>
      <c r="AI2" s="14" t="s">
        <v>66</v>
      </c>
      <c r="AJ2" s="14" t="s">
        <v>67</v>
      </c>
      <c r="AK2" s="14" t="s">
        <v>19</v>
      </c>
      <c r="AL2" s="14" t="s">
        <v>58</v>
      </c>
      <c r="AM2" s="14" t="s">
        <v>68</v>
      </c>
      <c r="AN2" s="14" t="s">
        <v>20</v>
      </c>
      <c r="AO2" s="14" t="s">
        <v>22</v>
      </c>
      <c r="AP2" s="14" t="s">
        <v>69</v>
      </c>
      <c r="AQ2" s="14" t="s">
        <v>70</v>
      </c>
      <c r="AR2" s="14" t="s">
        <v>21</v>
      </c>
      <c r="AS2" s="14" t="s">
        <v>16</v>
      </c>
      <c r="AT2" s="60" t="s">
        <v>17</v>
      </c>
      <c r="AU2" s="60"/>
      <c r="AV2" s="60"/>
      <c r="AW2" s="60"/>
      <c r="AX2" s="60"/>
      <c r="AY2" s="60" t="s">
        <v>18</v>
      </c>
      <c r="AZ2" s="60"/>
      <c r="BA2" s="60"/>
      <c r="BB2" s="60"/>
      <c r="BC2" s="60"/>
      <c r="BD2" s="60" t="s">
        <v>21</v>
      </c>
      <c r="BE2" s="60"/>
      <c r="BF2" s="60"/>
      <c r="BG2" s="60"/>
      <c r="BH2" s="60"/>
      <c r="BI2" s="13"/>
      <c r="BJ2" s="13" t="s">
        <v>66</v>
      </c>
      <c r="BK2" s="13" t="s">
        <v>67</v>
      </c>
      <c r="BL2" s="13" t="s">
        <v>19</v>
      </c>
      <c r="BM2" s="13" t="s">
        <v>58</v>
      </c>
      <c r="BN2" s="13" t="s">
        <v>68</v>
      </c>
      <c r="BO2" s="13" t="s">
        <v>20</v>
      </c>
      <c r="BP2" s="13" t="s">
        <v>22</v>
      </c>
      <c r="BQ2" s="13" t="s">
        <v>69</v>
      </c>
      <c r="BR2" s="13" t="s">
        <v>70</v>
      </c>
      <c r="BS2" s="13" t="s">
        <v>21</v>
      </c>
      <c r="BT2" s="13" t="s">
        <v>16</v>
      </c>
      <c r="BU2" s="55" t="s">
        <v>17</v>
      </c>
      <c r="BV2" s="55"/>
      <c r="BW2" s="55"/>
      <c r="BX2" s="55"/>
      <c r="BY2" s="55"/>
      <c r="BZ2" s="55" t="s">
        <v>18</v>
      </c>
      <c r="CA2" s="55"/>
      <c r="CB2" s="55"/>
      <c r="CC2" s="55"/>
      <c r="CD2" s="55"/>
      <c r="CE2" s="55" t="s">
        <v>21</v>
      </c>
      <c r="CF2" s="55"/>
      <c r="CG2" s="55"/>
      <c r="CH2" s="55"/>
      <c r="CI2" s="55"/>
      <c r="CJ2" s="14"/>
      <c r="CK2" s="14" t="s">
        <v>66</v>
      </c>
      <c r="CL2" s="14" t="s">
        <v>67</v>
      </c>
      <c r="CM2" s="14" t="s">
        <v>19</v>
      </c>
      <c r="CN2" s="14" t="s">
        <v>58</v>
      </c>
      <c r="CO2" s="14" t="s">
        <v>68</v>
      </c>
      <c r="CP2" s="14" t="s">
        <v>20</v>
      </c>
      <c r="CQ2" s="14" t="s">
        <v>22</v>
      </c>
      <c r="CR2" s="14" t="s">
        <v>69</v>
      </c>
      <c r="CS2" s="14" t="s">
        <v>70</v>
      </c>
      <c r="CT2" s="14" t="s">
        <v>21</v>
      </c>
      <c r="CU2" s="14" t="s">
        <v>16</v>
      </c>
      <c r="CV2" s="46" t="s">
        <v>21</v>
      </c>
      <c r="CW2" s="46" t="s">
        <v>176</v>
      </c>
      <c r="CX2" s="55" t="s">
        <v>17</v>
      </c>
      <c r="CY2" s="55"/>
      <c r="CZ2" s="55"/>
      <c r="DA2" s="55"/>
      <c r="DB2" s="55"/>
      <c r="DC2" s="55" t="s">
        <v>18</v>
      </c>
      <c r="DD2" s="55"/>
      <c r="DE2" s="55"/>
      <c r="DF2" s="55"/>
      <c r="DG2" s="55"/>
      <c r="DH2" s="55" t="s">
        <v>71</v>
      </c>
      <c r="DI2" s="55"/>
      <c r="DJ2" s="55"/>
      <c r="DK2" s="55"/>
      <c r="DL2" s="55"/>
      <c r="DM2" s="55" t="s">
        <v>21</v>
      </c>
      <c r="DN2" s="55"/>
      <c r="DO2" s="55"/>
      <c r="DP2" s="55"/>
      <c r="DQ2" s="55"/>
      <c r="DR2" s="14" t="s">
        <v>66</v>
      </c>
      <c r="DS2" s="14" t="s">
        <v>67</v>
      </c>
      <c r="DT2" s="14" t="s">
        <v>19</v>
      </c>
      <c r="DU2" s="14" t="s">
        <v>58</v>
      </c>
      <c r="DV2" s="14" t="s">
        <v>68</v>
      </c>
      <c r="DW2" s="14" t="s">
        <v>20</v>
      </c>
      <c r="DX2" s="14" t="s">
        <v>22</v>
      </c>
      <c r="DY2" s="14" t="s">
        <v>72</v>
      </c>
      <c r="DZ2" s="14" t="s">
        <v>73</v>
      </c>
      <c r="EA2" s="14" t="s">
        <v>71</v>
      </c>
      <c r="EB2" s="14" t="s">
        <v>69</v>
      </c>
      <c r="EC2" s="14" t="s">
        <v>70</v>
      </c>
      <c r="ED2" s="14" t="s">
        <v>21</v>
      </c>
      <c r="EE2" s="14" t="s">
        <v>16</v>
      </c>
      <c r="EF2" s="60" t="s">
        <v>17</v>
      </c>
      <c r="EG2" s="60"/>
      <c r="EH2" s="60"/>
      <c r="EI2" s="60"/>
      <c r="EJ2" s="60"/>
      <c r="EK2" s="60" t="s">
        <v>18</v>
      </c>
      <c r="EL2" s="60"/>
      <c r="EM2" s="60"/>
      <c r="EN2" s="60"/>
      <c r="EO2" s="60"/>
      <c r="EP2" s="60" t="s">
        <v>71</v>
      </c>
      <c r="EQ2" s="60"/>
      <c r="ER2" s="60"/>
      <c r="ES2" s="60"/>
      <c r="ET2" s="60"/>
      <c r="EU2" s="60" t="s">
        <v>21</v>
      </c>
      <c r="EV2" s="60"/>
      <c r="EW2" s="60"/>
      <c r="EX2" s="60"/>
      <c r="EY2" s="60"/>
      <c r="EZ2" s="13" t="s">
        <v>66</v>
      </c>
      <c r="FA2" s="13" t="s">
        <v>67</v>
      </c>
      <c r="FB2" s="13" t="s">
        <v>19</v>
      </c>
      <c r="FC2" s="13" t="s">
        <v>58</v>
      </c>
      <c r="FD2" s="13" t="s">
        <v>68</v>
      </c>
      <c r="FE2" s="13" t="s">
        <v>20</v>
      </c>
      <c r="FF2" s="13" t="s">
        <v>22</v>
      </c>
      <c r="FG2" s="13" t="s">
        <v>72</v>
      </c>
      <c r="FH2" s="13" t="s">
        <v>73</v>
      </c>
      <c r="FI2" s="13" t="s">
        <v>71</v>
      </c>
      <c r="FJ2" s="13" t="s">
        <v>69</v>
      </c>
      <c r="FK2" s="13" t="s">
        <v>70</v>
      </c>
      <c r="FL2" s="13" t="s">
        <v>21</v>
      </c>
      <c r="FM2" s="13" t="s">
        <v>16</v>
      </c>
      <c r="FN2" s="55" t="s">
        <v>17</v>
      </c>
      <c r="FO2" s="55"/>
      <c r="FP2" s="55"/>
      <c r="FQ2" s="55"/>
      <c r="FR2" s="55"/>
      <c r="FS2" s="55" t="s">
        <v>18</v>
      </c>
      <c r="FT2" s="55"/>
      <c r="FU2" s="55"/>
      <c r="FV2" s="55"/>
      <c r="FW2" s="55"/>
      <c r="FX2" s="55" t="s">
        <v>71</v>
      </c>
      <c r="FY2" s="55"/>
      <c r="FZ2" s="55"/>
      <c r="GA2" s="55"/>
      <c r="GB2" s="55"/>
      <c r="GC2" s="55" t="s">
        <v>21</v>
      </c>
      <c r="GD2" s="55"/>
      <c r="GE2" s="55"/>
      <c r="GF2" s="55"/>
      <c r="GG2" s="55"/>
      <c r="GH2" s="14" t="s">
        <v>66</v>
      </c>
      <c r="GI2" s="14" t="s">
        <v>67</v>
      </c>
      <c r="GJ2" s="14" t="s">
        <v>19</v>
      </c>
      <c r="GK2" s="14" t="s">
        <v>58</v>
      </c>
      <c r="GL2" s="14" t="s">
        <v>68</v>
      </c>
      <c r="GM2" s="14" t="s">
        <v>20</v>
      </c>
      <c r="GN2" s="14" t="s">
        <v>22</v>
      </c>
      <c r="GO2" s="14" t="s">
        <v>72</v>
      </c>
      <c r="GP2" s="14" t="s">
        <v>73</v>
      </c>
      <c r="GQ2" s="14" t="s">
        <v>71</v>
      </c>
      <c r="GR2" s="14" t="s">
        <v>69</v>
      </c>
      <c r="GS2" s="14" t="s">
        <v>70</v>
      </c>
      <c r="GT2" s="14" t="s">
        <v>21</v>
      </c>
      <c r="GU2" s="14" t="s">
        <v>16</v>
      </c>
      <c r="GV2" s="60" t="s">
        <v>17</v>
      </c>
      <c r="GW2" s="60"/>
      <c r="GX2" s="60"/>
      <c r="GY2" s="60"/>
      <c r="GZ2" s="60"/>
      <c r="HA2" s="60" t="s">
        <v>18</v>
      </c>
      <c r="HB2" s="60"/>
      <c r="HC2" s="60"/>
      <c r="HD2" s="60"/>
      <c r="HE2" s="60"/>
      <c r="HF2" s="60" t="s">
        <v>71</v>
      </c>
      <c r="HG2" s="60"/>
      <c r="HH2" s="60"/>
      <c r="HI2" s="60"/>
      <c r="HJ2" s="60"/>
      <c r="HK2" s="60" t="s">
        <v>21</v>
      </c>
      <c r="HL2" s="60"/>
      <c r="HM2" s="60"/>
      <c r="HN2" s="60"/>
      <c r="HO2" s="60"/>
      <c r="HP2" s="13" t="s">
        <v>66</v>
      </c>
      <c r="HQ2" s="13" t="s">
        <v>67</v>
      </c>
      <c r="HR2" s="13" t="s">
        <v>19</v>
      </c>
      <c r="HS2" s="13" t="s">
        <v>58</v>
      </c>
      <c r="HT2" s="13" t="s">
        <v>68</v>
      </c>
      <c r="HU2" s="13" t="s">
        <v>20</v>
      </c>
      <c r="HV2" s="13" t="s">
        <v>22</v>
      </c>
      <c r="HW2" s="13" t="s">
        <v>72</v>
      </c>
      <c r="HX2" s="13" t="s">
        <v>73</v>
      </c>
      <c r="HY2" s="13" t="s">
        <v>71</v>
      </c>
      <c r="HZ2" s="13" t="s">
        <v>69</v>
      </c>
      <c r="IA2" s="13" t="s">
        <v>70</v>
      </c>
      <c r="IB2" s="13" t="s">
        <v>21</v>
      </c>
      <c r="IC2" s="13" t="s">
        <v>16</v>
      </c>
      <c r="ID2" s="55" t="s">
        <v>17</v>
      </c>
      <c r="IE2" s="55"/>
      <c r="IF2" s="55"/>
      <c r="IG2" s="55"/>
      <c r="IH2" s="55"/>
      <c r="II2" s="55" t="s">
        <v>18</v>
      </c>
      <c r="IJ2" s="55"/>
      <c r="IK2" s="55"/>
      <c r="IL2" s="55"/>
      <c r="IM2" s="55"/>
      <c r="IN2" s="55" t="s">
        <v>71</v>
      </c>
      <c r="IO2" s="55"/>
      <c r="IP2" s="55"/>
      <c r="IQ2" s="55"/>
      <c r="IR2" s="55"/>
      <c r="IS2" s="55" t="s">
        <v>21</v>
      </c>
      <c r="IT2" s="55"/>
      <c r="IU2" s="55"/>
      <c r="IV2" s="55"/>
      <c r="IW2" s="55"/>
      <c r="IX2" s="14" t="s">
        <v>66</v>
      </c>
      <c r="IY2" s="14" t="s">
        <v>67</v>
      </c>
      <c r="IZ2" s="14" t="s">
        <v>19</v>
      </c>
      <c r="JA2" s="14" t="s">
        <v>58</v>
      </c>
      <c r="JB2" s="14" t="s">
        <v>68</v>
      </c>
      <c r="JC2" s="14" t="s">
        <v>20</v>
      </c>
      <c r="JD2" s="14" t="s">
        <v>22</v>
      </c>
      <c r="JE2" s="14" t="s">
        <v>72</v>
      </c>
      <c r="JF2" s="14" t="s">
        <v>73</v>
      </c>
      <c r="JG2" s="14" t="s">
        <v>71</v>
      </c>
      <c r="JH2" s="14" t="s">
        <v>69</v>
      </c>
      <c r="JI2" s="14" t="s">
        <v>70</v>
      </c>
      <c r="JJ2" s="14" t="s">
        <v>21</v>
      </c>
      <c r="JK2" s="14" t="s">
        <v>16</v>
      </c>
      <c r="JL2" s="60" t="s">
        <v>17</v>
      </c>
      <c r="JM2" s="60"/>
      <c r="JN2" s="60"/>
      <c r="JO2" s="60"/>
      <c r="JP2" s="60"/>
      <c r="JQ2" s="60" t="s">
        <v>18</v>
      </c>
      <c r="JR2" s="60"/>
      <c r="JS2" s="60"/>
      <c r="JT2" s="60"/>
      <c r="JU2" s="60"/>
      <c r="JV2" s="60" t="s">
        <v>71</v>
      </c>
      <c r="JW2" s="60"/>
      <c r="JX2" s="60"/>
      <c r="JY2" s="60"/>
      <c r="JZ2" s="60"/>
      <c r="KA2" s="60" t="s">
        <v>21</v>
      </c>
      <c r="KB2" s="60"/>
      <c r="KC2" s="60"/>
      <c r="KD2" s="60"/>
      <c r="KE2" s="60"/>
      <c r="KF2" s="13" t="s">
        <v>66</v>
      </c>
      <c r="KG2" s="13" t="s">
        <v>67</v>
      </c>
      <c r="KH2" s="13" t="s">
        <v>19</v>
      </c>
      <c r="KI2" s="13" t="s">
        <v>58</v>
      </c>
      <c r="KJ2" s="13" t="s">
        <v>68</v>
      </c>
      <c r="KK2" s="13" t="s">
        <v>20</v>
      </c>
      <c r="KL2" s="13" t="s">
        <v>22</v>
      </c>
      <c r="KM2" s="13" t="s">
        <v>72</v>
      </c>
      <c r="KN2" s="13" t="s">
        <v>73</v>
      </c>
      <c r="KO2" s="13" t="s">
        <v>71</v>
      </c>
      <c r="KP2" s="13" t="s">
        <v>69</v>
      </c>
      <c r="KQ2" s="13" t="s">
        <v>70</v>
      </c>
      <c r="KR2" s="13" t="s">
        <v>21</v>
      </c>
      <c r="KS2" s="13" t="s">
        <v>16</v>
      </c>
      <c r="KT2" s="55" t="s">
        <v>17</v>
      </c>
      <c r="KU2" s="55"/>
      <c r="KV2" s="55"/>
      <c r="KW2" s="55"/>
      <c r="KX2" s="55"/>
      <c r="KY2" s="55" t="s">
        <v>18</v>
      </c>
      <c r="KZ2" s="55"/>
      <c r="LA2" s="55"/>
      <c r="LB2" s="55"/>
      <c r="LC2" s="55"/>
      <c r="LD2" s="55" t="s">
        <v>71</v>
      </c>
      <c r="LE2" s="55"/>
      <c r="LF2" s="55"/>
      <c r="LG2" s="55"/>
      <c r="LH2" s="55"/>
      <c r="LI2" s="55" t="s">
        <v>21</v>
      </c>
      <c r="LJ2" s="55"/>
      <c r="LK2" s="55"/>
      <c r="LL2" s="55"/>
      <c r="LM2" s="55"/>
      <c r="LN2" s="14" t="s">
        <v>66</v>
      </c>
      <c r="LO2" s="14" t="s">
        <v>67</v>
      </c>
      <c r="LP2" s="14" t="s">
        <v>19</v>
      </c>
      <c r="LQ2" s="14" t="s">
        <v>58</v>
      </c>
      <c r="LR2" s="14" t="s">
        <v>68</v>
      </c>
      <c r="LS2" s="14" t="s">
        <v>20</v>
      </c>
      <c r="LT2" s="14" t="s">
        <v>22</v>
      </c>
      <c r="LU2" s="14" t="s">
        <v>72</v>
      </c>
      <c r="LV2" s="14" t="s">
        <v>73</v>
      </c>
      <c r="LW2" s="14" t="s">
        <v>71</v>
      </c>
      <c r="LX2" s="14" t="s">
        <v>69</v>
      </c>
      <c r="LY2" s="14" t="s">
        <v>70</v>
      </c>
      <c r="LZ2" s="14" t="s">
        <v>21</v>
      </c>
      <c r="MA2" s="14" t="s">
        <v>16</v>
      </c>
      <c r="MB2" s="60" t="s">
        <v>17</v>
      </c>
      <c r="MC2" s="60"/>
      <c r="MD2" s="60"/>
      <c r="ME2" s="60"/>
      <c r="MF2" s="60"/>
      <c r="MG2" s="60" t="s">
        <v>18</v>
      </c>
      <c r="MH2" s="60"/>
      <c r="MI2" s="60"/>
      <c r="MJ2" s="60"/>
      <c r="MK2" s="60"/>
      <c r="ML2" s="60" t="s">
        <v>71</v>
      </c>
      <c r="MM2" s="60"/>
      <c r="MN2" s="60"/>
      <c r="MO2" s="60"/>
      <c r="MP2" s="60"/>
      <c r="MQ2" s="60" t="s">
        <v>21</v>
      </c>
      <c r="MR2" s="60"/>
      <c r="MS2" s="60"/>
      <c r="MT2" s="60"/>
      <c r="MU2" s="60"/>
      <c r="MV2" s="13" t="s">
        <v>66</v>
      </c>
      <c r="MW2" s="13" t="s">
        <v>67</v>
      </c>
      <c r="MX2" s="13" t="s">
        <v>19</v>
      </c>
      <c r="MY2" s="13" t="s">
        <v>58</v>
      </c>
      <c r="MZ2" s="13" t="s">
        <v>68</v>
      </c>
      <c r="NA2" s="13" t="s">
        <v>20</v>
      </c>
      <c r="NB2" s="13" t="s">
        <v>22</v>
      </c>
      <c r="NC2" s="13" t="s">
        <v>72</v>
      </c>
      <c r="ND2" s="13" t="s">
        <v>73</v>
      </c>
      <c r="NE2" s="13" t="s">
        <v>71</v>
      </c>
      <c r="NF2" s="13" t="s">
        <v>69</v>
      </c>
      <c r="NG2" s="13" t="s">
        <v>70</v>
      </c>
      <c r="NH2" s="13" t="s">
        <v>21</v>
      </c>
      <c r="NI2" s="13" t="s">
        <v>16</v>
      </c>
      <c r="NJ2" s="55" t="s">
        <v>17</v>
      </c>
      <c r="NK2" s="55"/>
      <c r="NL2" s="55"/>
      <c r="NM2" s="55"/>
      <c r="NN2" s="55"/>
      <c r="NO2" s="55" t="s">
        <v>18</v>
      </c>
      <c r="NP2" s="55"/>
      <c r="NQ2" s="55"/>
      <c r="NR2" s="55"/>
      <c r="NS2" s="55"/>
      <c r="NT2" s="55" t="s">
        <v>71</v>
      </c>
      <c r="NU2" s="55"/>
      <c r="NV2" s="55"/>
      <c r="NW2" s="55"/>
      <c r="NX2" s="55"/>
      <c r="NY2" s="55" t="s">
        <v>21</v>
      </c>
      <c r="NZ2" s="55"/>
      <c r="OA2" s="55"/>
      <c r="OB2" s="55"/>
      <c r="OC2" s="55"/>
      <c r="OD2" s="14" t="s">
        <v>66</v>
      </c>
      <c r="OE2" s="14" t="s">
        <v>67</v>
      </c>
      <c r="OF2" s="14" t="s">
        <v>19</v>
      </c>
      <c r="OG2" s="14" t="s">
        <v>58</v>
      </c>
      <c r="OH2" s="14" t="s">
        <v>68</v>
      </c>
      <c r="OI2" s="14" t="s">
        <v>20</v>
      </c>
      <c r="OJ2" s="14" t="s">
        <v>22</v>
      </c>
      <c r="OK2" s="14" t="s">
        <v>72</v>
      </c>
      <c r="OL2" s="14" t="s">
        <v>73</v>
      </c>
      <c r="OM2" s="14" t="s">
        <v>71</v>
      </c>
      <c r="ON2" s="14" t="s">
        <v>69</v>
      </c>
      <c r="OO2" s="14" t="s">
        <v>70</v>
      </c>
      <c r="OP2" s="14" t="s">
        <v>21</v>
      </c>
      <c r="OQ2" s="14" t="s">
        <v>16</v>
      </c>
      <c r="OR2" s="60" t="s">
        <v>17</v>
      </c>
      <c r="OS2" s="60"/>
      <c r="OT2" s="60"/>
      <c r="OU2" s="60"/>
      <c r="OV2" s="60"/>
      <c r="OW2" s="60" t="s">
        <v>18</v>
      </c>
      <c r="OX2" s="60"/>
      <c r="OY2" s="60"/>
      <c r="OZ2" s="60"/>
      <c r="PA2" s="60"/>
      <c r="PB2" s="60" t="s">
        <v>71</v>
      </c>
      <c r="PC2" s="60"/>
      <c r="PD2" s="60"/>
      <c r="PE2" s="60"/>
      <c r="PF2" s="60"/>
      <c r="PG2" s="60" t="s">
        <v>21</v>
      </c>
      <c r="PH2" s="60"/>
      <c r="PI2" s="60"/>
      <c r="PJ2" s="60"/>
      <c r="PK2" s="60"/>
      <c r="PL2" s="13" t="s">
        <v>66</v>
      </c>
      <c r="PM2" s="13" t="s">
        <v>67</v>
      </c>
      <c r="PN2" s="13" t="s">
        <v>19</v>
      </c>
      <c r="PO2" s="13" t="s">
        <v>58</v>
      </c>
      <c r="PP2" s="13" t="s">
        <v>68</v>
      </c>
      <c r="PQ2" s="13" t="s">
        <v>20</v>
      </c>
      <c r="PR2" s="13" t="s">
        <v>22</v>
      </c>
      <c r="PS2" s="13" t="s">
        <v>72</v>
      </c>
      <c r="PT2" s="13" t="s">
        <v>73</v>
      </c>
      <c r="PU2" s="13" t="s">
        <v>71</v>
      </c>
      <c r="PV2" s="13" t="s">
        <v>69</v>
      </c>
      <c r="PW2" s="13" t="s">
        <v>70</v>
      </c>
      <c r="PX2" s="13" t="s">
        <v>21</v>
      </c>
      <c r="PY2" s="13" t="s">
        <v>16</v>
      </c>
      <c r="PZ2" s="55" t="s">
        <v>17</v>
      </c>
      <c r="QA2" s="55"/>
      <c r="QB2" s="55"/>
      <c r="QC2" s="55"/>
      <c r="QD2" s="55"/>
      <c r="QE2" s="55" t="s">
        <v>18</v>
      </c>
      <c r="QF2" s="55"/>
      <c r="QG2" s="55"/>
      <c r="QH2" s="55"/>
      <c r="QI2" s="55"/>
      <c r="QJ2" s="55" t="s">
        <v>71</v>
      </c>
      <c r="QK2" s="55"/>
      <c r="QL2" s="55"/>
      <c r="QM2" s="55"/>
      <c r="QN2" s="55"/>
      <c r="QO2" s="55" t="s">
        <v>21</v>
      </c>
      <c r="QP2" s="55"/>
      <c r="QQ2" s="55"/>
      <c r="QR2" s="55"/>
      <c r="QS2" s="55"/>
      <c r="QT2" s="14" t="s">
        <v>66</v>
      </c>
      <c r="QU2" s="14" t="s">
        <v>67</v>
      </c>
      <c r="QV2" s="14" t="s">
        <v>19</v>
      </c>
      <c r="QW2" s="14" t="s">
        <v>58</v>
      </c>
      <c r="QX2" s="14" t="s">
        <v>68</v>
      </c>
      <c r="QY2" s="14" t="s">
        <v>20</v>
      </c>
      <c r="QZ2" s="14" t="s">
        <v>22</v>
      </c>
      <c r="RA2" s="14" t="s">
        <v>72</v>
      </c>
      <c r="RB2" s="14" t="s">
        <v>73</v>
      </c>
      <c r="RC2" s="14" t="s">
        <v>71</v>
      </c>
      <c r="RD2" s="14" t="s">
        <v>69</v>
      </c>
      <c r="RE2" s="14" t="s">
        <v>70</v>
      </c>
      <c r="RF2" s="14" t="s">
        <v>21</v>
      </c>
      <c r="RG2" s="14" t="s">
        <v>16</v>
      </c>
      <c r="RH2" s="60" t="s">
        <v>17</v>
      </c>
      <c r="RI2" s="60"/>
      <c r="RJ2" s="60"/>
      <c r="RK2" s="60"/>
      <c r="RL2" s="60"/>
      <c r="RM2" s="60" t="s">
        <v>18</v>
      </c>
      <c r="RN2" s="60"/>
      <c r="RO2" s="60"/>
      <c r="RP2" s="60"/>
      <c r="RQ2" s="60"/>
      <c r="RR2" s="60" t="s">
        <v>71</v>
      </c>
      <c r="RS2" s="60"/>
      <c r="RT2" s="60"/>
      <c r="RU2" s="60"/>
      <c r="RV2" s="60"/>
      <c r="RW2" s="60" t="s">
        <v>21</v>
      </c>
      <c r="RX2" s="60"/>
      <c r="RY2" s="60"/>
      <c r="RZ2" s="60"/>
      <c r="SA2" s="60"/>
      <c r="SB2" s="13" t="s">
        <v>66</v>
      </c>
      <c r="SC2" s="13" t="s">
        <v>67</v>
      </c>
      <c r="SD2" s="13" t="s">
        <v>19</v>
      </c>
      <c r="SE2" s="13" t="s">
        <v>58</v>
      </c>
      <c r="SF2" s="13" t="s">
        <v>68</v>
      </c>
      <c r="SG2" s="13" t="s">
        <v>20</v>
      </c>
      <c r="SH2" s="13" t="s">
        <v>22</v>
      </c>
      <c r="SI2" s="13" t="s">
        <v>72</v>
      </c>
      <c r="SJ2" s="13" t="s">
        <v>73</v>
      </c>
      <c r="SK2" s="13" t="s">
        <v>71</v>
      </c>
      <c r="SL2" s="13" t="s">
        <v>69</v>
      </c>
      <c r="SM2" s="13" t="s">
        <v>70</v>
      </c>
      <c r="SN2" s="13" t="s">
        <v>21</v>
      </c>
      <c r="SO2" s="13" t="s">
        <v>16</v>
      </c>
      <c r="SP2" s="55" t="s">
        <v>17</v>
      </c>
      <c r="SQ2" s="55"/>
      <c r="SR2" s="55"/>
      <c r="SS2" s="55"/>
      <c r="ST2" s="55"/>
      <c r="SU2" s="55" t="s">
        <v>18</v>
      </c>
      <c r="SV2" s="55"/>
      <c r="SW2" s="55"/>
      <c r="SX2" s="55"/>
      <c r="SY2" s="55"/>
      <c r="SZ2" s="55" t="s">
        <v>71</v>
      </c>
      <c r="TA2" s="55"/>
      <c r="TB2" s="55"/>
      <c r="TC2" s="55"/>
      <c r="TD2" s="55"/>
      <c r="TE2" s="55" t="s">
        <v>21</v>
      </c>
      <c r="TF2" s="55"/>
      <c r="TG2" s="55"/>
      <c r="TH2" s="55"/>
      <c r="TI2" s="55"/>
      <c r="TJ2" s="14" t="s">
        <v>66</v>
      </c>
      <c r="TK2" s="14" t="s">
        <v>67</v>
      </c>
      <c r="TL2" s="14" t="s">
        <v>19</v>
      </c>
      <c r="TM2" s="14" t="s">
        <v>58</v>
      </c>
      <c r="TN2" s="14" t="s">
        <v>68</v>
      </c>
      <c r="TO2" s="14" t="s">
        <v>20</v>
      </c>
      <c r="TP2" s="14" t="s">
        <v>22</v>
      </c>
      <c r="TQ2" s="14" t="s">
        <v>72</v>
      </c>
      <c r="TR2" s="14" t="s">
        <v>73</v>
      </c>
      <c r="TS2" s="14" t="s">
        <v>71</v>
      </c>
      <c r="TT2" s="14" t="s">
        <v>69</v>
      </c>
      <c r="TU2" s="14" t="s">
        <v>70</v>
      </c>
      <c r="TV2" s="14" t="s">
        <v>21</v>
      </c>
      <c r="TW2" s="14" t="s">
        <v>16</v>
      </c>
      <c r="TX2" s="60" t="s">
        <v>17</v>
      </c>
      <c r="TY2" s="60"/>
      <c r="TZ2" s="60"/>
      <c r="UA2" s="60"/>
      <c r="UB2" s="60"/>
      <c r="UC2" s="60" t="s">
        <v>18</v>
      </c>
      <c r="UD2" s="60"/>
      <c r="UE2" s="60"/>
      <c r="UF2" s="60"/>
      <c r="UG2" s="60"/>
      <c r="UH2" s="60" t="s">
        <v>71</v>
      </c>
      <c r="UI2" s="60"/>
      <c r="UJ2" s="60"/>
      <c r="UK2" s="60"/>
      <c r="UL2" s="60"/>
      <c r="UM2" s="60" t="s">
        <v>21</v>
      </c>
      <c r="UN2" s="60"/>
      <c r="UO2" s="60"/>
      <c r="UP2" s="60"/>
      <c r="UQ2" s="60"/>
      <c r="UR2" s="13" t="s">
        <v>66</v>
      </c>
      <c r="US2" s="13" t="s">
        <v>67</v>
      </c>
      <c r="UT2" s="13" t="s">
        <v>19</v>
      </c>
      <c r="UU2" s="13" t="s">
        <v>58</v>
      </c>
      <c r="UV2" s="13" t="s">
        <v>68</v>
      </c>
      <c r="UW2" s="13" t="s">
        <v>20</v>
      </c>
      <c r="UX2" s="13" t="s">
        <v>22</v>
      </c>
      <c r="UY2" s="13" t="s">
        <v>72</v>
      </c>
      <c r="UZ2" s="13" t="s">
        <v>73</v>
      </c>
      <c r="VA2" s="13" t="s">
        <v>71</v>
      </c>
      <c r="VB2" s="13" t="s">
        <v>69</v>
      </c>
      <c r="VC2" s="13" t="s">
        <v>70</v>
      </c>
      <c r="VD2" s="13" t="s">
        <v>21</v>
      </c>
      <c r="VE2" s="13" t="s">
        <v>16</v>
      </c>
      <c r="VF2" s="55" t="s">
        <v>17</v>
      </c>
      <c r="VG2" s="55"/>
      <c r="VH2" s="55"/>
      <c r="VI2" s="55"/>
      <c r="VJ2" s="55"/>
      <c r="VK2" s="55" t="s">
        <v>18</v>
      </c>
      <c r="VL2" s="55"/>
      <c r="VM2" s="55"/>
      <c r="VN2" s="55"/>
      <c r="VO2" s="55"/>
      <c r="VP2" s="55" t="s">
        <v>71</v>
      </c>
      <c r="VQ2" s="55"/>
      <c r="VR2" s="55"/>
      <c r="VS2" s="55"/>
      <c r="VT2" s="55"/>
      <c r="VU2" s="55" t="s">
        <v>21</v>
      </c>
      <c r="VV2" s="55"/>
      <c r="VW2" s="55"/>
      <c r="VX2" s="55"/>
      <c r="VY2" s="55"/>
      <c r="VZ2" s="14" t="s">
        <v>66</v>
      </c>
      <c r="WA2" s="14" t="s">
        <v>67</v>
      </c>
      <c r="WB2" s="14" t="s">
        <v>19</v>
      </c>
      <c r="WC2" s="14" t="s">
        <v>58</v>
      </c>
      <c r="WD2" s="14" t="s">
        <v>68</v>
      </c>
      <c r="WE2" s="14" t="s">
        <v>20</v>
      </c>
      <c r="WF2" s="14" t="s">
        <v>22</v>
      </c>
      <c r="WG2" s="14" t="s">
        <v>72</v>
      </c>
      <c r="WH2" s="14" t="s">
        <v>73</v>
      </c>
      <c r="WI2" s="14" t="s">
        <v>71</v>
      </c>
      <c r="WJ2" s="14" t="s">
        <v>69</v>
      </c>
      <c r="WK2" s="14" t="s">
        <v>70</v>
      </c>
      <c r="WL2" s="14" t="s">
        <v>21</v>
      </c>
      <c r="WM2" s="14" t="s">
        <v>16</v>
      </c>
    </row>
    <row r="3" spans="1:611" x14ac:dyDescent="0.2">
      <c r="A3" s="57"/>
      <c r="B3" s="57"/>
      <c r="C3" s="57"/>
      <c r="D3" s="57"/>
      <c r="E3" s="57"/>
      <c r="F3" s="58"/>
      <c r="G3" s="57"/>
      <c r="H3" s="57"/>
      <c r="I3" s="57"/>
      <c r="J3" s="53"/>
      <c r="K3" s="52"/>
      <c r="L3" s="53"/>
      <c r="M3" s="52"/>
      <c r="N3" s="53"/>
      <c r="O3" s="52"/>
      <c r="P3" s="59"/>
      <c r="Q3" s="52"/>
      <c r="R3" s="52"/>
      <c r="S3" s="14" t="s">
        <v>13</v>
      </c>
      <c r="T3" s="14" t="s">
        <v>14</v>
      </c>
      <c r="U3" s="14" t="s">
        <v>8</v>
      </c>
      <c r="V3" s="14" t="s">
        <v>15</v>
      </c>
      <c r="W3" s="14" t="s">
        <v>27</v>
      </c>
      <c r="X3" s="14" t="s">
        <v>13</v>
      </c>
      <c r="Y3" s="14" t="s">
        <v>14</v>
      </c>
      <c r="Z3" s="14" t="s">
        <v>8</v>
      </c>
      <c r="AA3" s="14" t="s">
        <v>15</v>
      </c>
      <c r="AB3" s="14" t="s">
        <v>27</v>
      </c>
      <c r="AC3" s="14" t="s">
        <v>13</v>
      </c>
      <c r="AD3" s="14" t="s">
        <v>14</v>
      </c>
      <c r="AE3" s="14" t="s">
        <v>8</v>
      </c>
      <c r="AF3" s="14" t="s">
        <v>15</v>
      </c>
      <c r="AG3" s="14" t="s">
        <v>27</v>
      </c>
      <c r="AH3" s="14" t="s">
        <v>41</v>
      </c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3" t="s">
        <v>13</v>
      </c>
      <c r="AU3" s="13" t="s">
        <v>14</v>
      </c>
      <c r="AV3" s="13" t="s">
        <v>8</v>
      </c>
      <c r="AW3" s="13" t="s">
        <v>15</v>
      </c>
      <c r="AX3" s="13" t="s">
        <v>27</v>
      </c>
      <c r="AY3" s="13" t="s">
        <v>13</v>
      </c>
      <c r="AZ3" s="13" t="s">
        <v>14</v>
      </c>
      <c r="BA3" s="13" t="s">
        <v>8</v>
      </c>
      <c r="BB3" s="13" t="s">
        <v>15</v>
      </c>
      <c r="BC3" s="13" t="s">
        <v>27</v>
      </c>
      <c r="BD3" s="13" t="s">
        <v>13</v>
      </c>
      <c r="BE3" s="13" t="s">
        <v>14</v>
      </c>
      <c r="BF3" s="13" t="s">
        <v>8</v>
      </c>
      <c r="BG3" s="13" t="s">
        <v>15</v>
      </c>
      <c r="BH3" s="13" t="s">
        <v>27</v>
      </c>
      <c r="BI3" s="13" t="s">
        <v>41</v>
      </c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4" t="s">
        <v>13</v>
      </c>
      <c r="BV3" s="14" t="s">
        <v>14</v>
      </c>
      <c r="BW3" s="14" t="s">
        <v>8</v>
      </c>
      <c r="BX3" s="14" t="s">
        <v>15</v>
      </c>
      <c r="BY3" s="14" t="s">
        <v>27</v>
      </c>
      <c r="BZ3" s="14" t="s">
        <v>13</v>
      </c>
      <c r="CA3" s="14" t="s">
        <v>14</v>
      </c>
      <c r="CB3" s="14" t="s">
        <v>8</v>
      </c>
      <c r="CC3" s="14" t="s">
        <v>15</v>
      </c>
      <c r="CD3" s="14" t="s">
        <v>27</v>
      </c>
      <c r="CE3" s="14" t="s">
        <v>13</v>
      </c>
      <c r="CF3" s="14" t="s">
        <v>14</v>
      </c>
      <c r="CG3" s="14" t="s">
        <v>8</v>
      </c>
      <c r="CH3" s="14" t="s">
        <v>15</v>
      </c>
      <c r="CI3" s="14" t="s">
        <v>27</v>
      </c>
      <c r="CJ3" s="14" t="s">
        <v>41</v>
      </c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46"/>
      <c r="CW3" s="46"/>
      <c r="CX3" s="14" t="s">
        <v>13</v>
      </c>
      <c r="CY3" s="14" t="s">
        <v>14</v>
      </c>
      <c r="CZ3" s="14" t="s">
        <v>8</v>
      </c>
      <c r="DA3" s="14" t="s">
        <v>15</v>
      </c>
      <c r="DB3" s="14" t="s">
        <v>27</v>
      </c>
      <c r="DC3" s="14" t="s">
        <v>13</v>
      </c>
      <c r="DD3" s="14" t="s">
        <v>14</v>
      </c>
      <c r="DE3" s="14" t="s">
        <v>8</v>
      </c>
      <c r="DF3" s="14" t="s">
        <v>15</v>
      </c>
      <c r="DG3" s="14" t="s">
        <v>27</v>
      </c>
      <c r="DH3" s="14" t="s">
        <v>13</v>
      </c>
      <c r="DI3" s="14" t="s">
        <v>14</v>
      </c>
      <c r="DJ3" s="14" t="s">
        <v>8</v>
      </c>
      <c r="DK3" s="14" t="s">
        <v>15</v>
      </c>
      <c r="DL3" s="14" t="s">
        <v>27</v>
      </c>
      <c r="DM3" s="14" t="s">
        <v>13</v>
      </c>
      <c r="DN3" s="14" t="s">
        <v>14</v>
      </c>
      <c r="DO3" s="14" t="s">
        <v>8</v>
      </c>
      <c r="DP3" s="14" t="s">
        <v>15</v>
      </c>
      <c r="DQ3" s="14" t="s">
        <v>27</v>
      </c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14"/>
      <c r="EF3" s="13" t="s">
        <v>13</v>
      </c>
      <c r="EG3" s="13" t="s">
        <v>14</v>
      </c>
      <c r="EH3" s="13" t="s">
        <v>8</v>
      </c>
      <c r="EI3" s="13" t="s">
        <v>15</v>
      </c>
      <c r="EJ3" s="13" t="s">
        <v>27</v>
      </c>
      <c r="EK3" s="13" t="s">
        <v>13</v>
      </c>
      <c r="EL3" s="13" t="s">
        <v>14</v>
      </c>
      <c r="EM3" s="13" t="s">
        <v>8</v>
      </c>
      <c r="EN3" s="13" t="s">
        <v>15</v>
      </c>
      <c r="EO3" s="13" t="s">
        <v>27</v>
      </c>
      <c r="EP3" s="13" t="s">
        <v>13</v>
      </c>
      <c r="EQ3" s="13" t="s">
        <v>14</v>
      </c>
      <c r="ER3" s="13" t="s">
        <v>8</v>
      </c>
      <c r="ES3" s="13" t="s">
        <v>15</v>
      </c>
      <c r="ET3" s="13" t="s">
        <v>27</v>
      </c>
      <c r="EU3" s="13" t="s">
        <v>13</v>
      </c>
      <c r="EV3" s="13" t="s">
        <v>14</v>
      </c>
      <c r="EW3" s="13" t="s">
        <v>8</v>
      </c>
      <c r="EX3" s="13" t="s">
        <v>15</v>
      </c>
      <c r="EY3" s="13" t="s">
        <v>27</v>
      </c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13"/>
      <c r="FN3" s="14" t="s">
        <v>13</v>
      </c>
      <c r="FO3" s="14" t="s">
        <v>14</v>
      </c>
      <c r="FP3" s="14" t="s">
        <v>8</v>
      </c>
      <c r="FQ3" s="14" t="s">
        <v>15</v>
      </c>
      <c r="FR3" s="14" t="s">
        <v>27</v>
      </c>
      <c r="FS3" s="14" t="s">
        <v>13</v>
      </c>
      <c r="FT3" s="14" t="s">
        <v>14</v>
      </c>
      <c r="FU3" s="14" t="s">
        <v>8</v>
      </c>
      <c r="FV3" s="14" t="s">
        <v>15</v>
      </c>
      <c r="FW3" s="14" t="s">
        <v>27</v>
      </c>
      <c r="FX3" s="14" t="s">
        <v>13</v>
      </c>
      <c r="FY3" s="14" t="s">
        <v>14</v>
      </c>
      <c r="FZ3" s="14" t="s">
        <v>8</v>
      </c>
      <c r="GA3" s="14" t="s">
        <v>15</v>
      </c>
      <c r="GB3" s="14" t="s">
        <v>27</v>
      </c>
      <c r="GC3" s="14" t="s">
        <v>13</v>
      </c>
      <c r="GD3" s="14" t="s">
        <v>14</v>
      </c>
      <c r="GE3" s="14" t="s">
        <v>8</v>
      </c>
      <c r="GF3" s="14" t="s">
        <v>15</v>
      </c>
      <c r="GG3" s="14" t="s">
        <v>27</v>
      </c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14"/>
      <c r="GV3" s="13" t="s">
        <v>13</v>
      </c>
      <c r="GW3" s="13" t="s">
        <v>14</v>
      </c>
      <c r="GX3" s="13" t="s">
        <v>8</v>
      </c>
      <c r="GY3" s="13" t="s">
        <v>15</v>
      </c>
      <c r="GZ3" s="13" t="s">
        <v>27</v>
      </c>
      <c r="HA3" s="13" t="s">
        <v>13</v>
      </c>
      <c r="HB3" s="13" t="s">
        <v>14</v>
      </c>
      <c r="HC3" s="13" t="s">
        <v>8</v>
      </c>
      <c r="HD3" s="13" t="s">
        <v>15</v>
      </c>
      <c r="HE3" s="13" t="s">
        <v>27</v>
      </c>
      <c r="HF3" s="13" t="s">
        <v>13</v>
      </c>
      <c r="HG3" s="13" t="s">
        <v>14</v>
      </c>
      <c r="HH3" s="13" t="s">
        <v>8</v>
      </c>
      <c r="HI3" s="13" t="s">
        <v>15</v>
      </c>
      <c r="HJ3" s="13" t="s">
        <v>27</v>
      </c>
      <c r="HK3" s="13" t="s">
        <v>13</v>
      </c>
      <c r="HL3" s="13" t="s">
        <v>14</v>
      </c>
      <c r="HM3" s="13" t="s">
        <v>8</v>
      </c>
      <c r="HN3" s="13" t="s">
        <v>15</v>
      </c>
      <c r="HO3" s="13" t="s">
        <v>27</v>
      </c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13"/>
      <c r="ID3" s="14" t="s">
        <v>13</v>
      </c>
      <c r="IE3" s="14" t="s">
        <v>14</v>
      </c>
      <c r="IF3" s="14" t="s">
        <v>8</v>
      </c>
      <c r="IG3" s="14" t="s">
        <v>15</v>
      </c>
      <c r="IH3" s="14" t="s">
        <v>27</v>
      </c>
      <c r="II3" s="14" t="s">
        <v>13</v>
      </c>
      <c r="IJ3" s="14" t="s">
        <v>14</v>
      </c>
      <c r="IK3" s="14" t="s">
        <v>8</v>
      </c>
      <c r="IL3" s="14" t="s">
        <v>15</v>
      </c>
      <c r="IM3" s="14" t="s">
        <v>27</v>
      </c>
      <c r="IN3" s="14" t="s">
        <v>13</v>
      </c>
      <c r="IO3" s="14" t="s">
        <v>14</v>
      </c>
      <c r="IP3" s="14" t="s">
        <v>8</v>
      </c>
      <c r="IQ3" s="14" t="s">
        <v>15</v>
      </c>
      <c r="IR3" s="14" t="s">
        <v>27</v>
      </c>
      <c r="IS3" s="14" t="s">
        <v>13</v>
      </c>
      <c r="IT3" s="14" t="s">
        <v>14</v>
      </c>
      <c r="IU3" s="14" t="s">
        <v>8</v>
      </c>
      <c r="IV3" s="14" t="s">
        <v>15</v>
      </c>
      <c r="IW3" s="14" t="s">
        <v>27</v>
      </c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14"/>
      <c r="JL3" s="13" t="s">
        <v>13</v>
      </c>
      <c r="JM3" s="13" t="s">
        <v>14</v>
      </c>
      <c r="JN3" s="13" t="s">
        <v>8</v>
      </c>
      <c r="JO3" s="13" t="s">
        <v>15</v>
      </c>
      <c r="JP3" s="13" t="s">
        <v>27</v>
      </c>
      <c r="JQ3" s="13" t="s">
        <v>13</v>
      </c>
      <c r="JR3" s="13" t="s">
        <v>14</v>
      </c>
      <c r="JS3" s="13" t="s">
        <v>8</v>
      </c>
      <c r="JT3" s="13" t="s">
        <v>15</v>
      </c>
      <c r="JU3" s="13" t="s">
        <v>27</v>
      </c>
      <c r="JV3" s="13" t="s">
        <v>13</v>
      </c>
      <c r="JW3" s="13" t="s">
        <v>14</v>
      </c>
      <c r="JX3" s="13" t="s">
        <v>8</v>
      </c>
      <c r="JY3" s="13" t="s">
        <v>15</v>
      </c>
      <c r="JZ3" s="13" t="s">
        <v>27</v>
      </c>
      <c r="KA3" s="13" t="s">
        <v>13</v>
      </c>
      <c r="KB3" s="13" t="s">
        <v>14</v>
      </c>
      <c r="KC3" s="13" t="s">
        <v>8</v>
      </c>
      <c r="KD3" s="13" t="s">
        <v>15</v>
      </c>
      <c r="KE3" s="13" t="s">
        <v>27</v>
      </c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14" t="s">
        <v>13</v>
      </c>
      <c r="KU3" s="14" t="s">
        <v>14</v>
      </c>
      <c r="KV3" s="14" t="s">
        <v>8</v>
      </c>
      <c r="KW3" s="14" t="s">
        <v>15</v>
      </c>
      <c r="KX3" s="14" t="s">
        <v>27</v>
      </c>
      <c r="KY3" s="14" t="s">
        <v>13</v>
      </c>
      <c r="KZ3" s="14" t="s">
        <v>14</v>
      </c>
      <c r="LA3" s="14" t="s">
        <v>8</v>
      </c>
      <c r="LB3" s="14" t="s">
        <v>15</v>
      </c>
      <c r="LC3" s="14" t="s">
        <v>27</v>
      </c>
      <c r="LD3" s="14" t="s">
        <v>13</v>
      </c>
      <c r="LE3" s="14" t="s">
        <v>14</v>
      </c>
      <c r="LF3" s="14" t="s">
        <v>8</v>
      </c>
      <c r="LG3" s="14" t="s">
        <v>15</v>
      </c>
      <c r="LH3" s="14" t="s">
        <v>27</v>
      </c>
      <c r="LI3" s="14" t="s">
        <v>13</v>
      </c>
      <c r="LJ3" s="14" t="s">
        <v>14</v>
      </c>
      <c r="LK3" s="14" t="s">
        <v>8</v>
      </c>
      <c r="LL3" s="14" t="s">
        <v>15</v>
      </c>
      <c r="LM3" s="14" t="s">
        <v>27</v>
      </c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13" t="s">
        <v>13</v>
      </c>
      <c r="MC3" s="13" t="s">
        <v>14</v>
      </c>
      <c r="MD3" s="13" t="s">
        <v>8</v>
      </c>
      <c r="ME3" s="13" t="s">
        <v>15</v>
      </c>
      <c r="MF3" s="13" t="s">
        <v>27</v>
      </c>
      <c r="MG3" s="13" t="s">
        <v>13</v>
      </c>
      <c r="MH3" s="13" t="s">
        <v>14</v>
      </c>
      <c r="MI3" s="13" t="s">
        <v>8</v>
      </c>
      <c r="MJ3" s="13" t="s">
        <v>15</v>
      </c>
      <c r="MK3" s="13" t="s">
        <v>27</v>
      </c>
      <c r="ML3" s="13" t="s">
        <v>13</v>
      </c>
      <c r="MM3" s="13" t="s">
        <v>14</v>
      </c>
      <c r="MN3" s="13" t="s">
        <v>8</v>
      </c>
      <c r="MO3" s="13" t="s">
        <v>15</v>
      </c>
      <c r="MP3" s="13" t="s">
        <v>27</v>
      </c>
      <c r="MQ3" s="13" t="s">
        <v>13</v>
      </c>
      <c r="MR3" s="13" t="s">
        <v>14</v>
      </c>
      <c r="MS3" s="13" t="s">
        <v>8</v>
      </c>
      <c r="MT3" s="13" t="s">
        <v>15</v>
      </c>
      <c r="MU3" s="13" t="s">
        <v>27</v>
      </c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14" t="s">
        <v>13</v>
      </c>
      <c r="NK3" s="14" t="s">
        <v>14</v>
      </c>
      <c r="NL3" s="14" t="s">
        <v>8</v>
      </c>
      <c r="NM3" s="14" t="s">
        <v>15</v>
      </c>
      <c r="NN3" s="14" t="s">
        <v>27</v>
      </c>
      <c r="NO3" s="14" t="s">
        <v>13</v>
      </c>
      <c r="NP3" s="14" t="s">
        <v>14</v>
      </c>
      <c r="NQ3" s="14" t="s">
        <v>8</v>
      </c>
      <c r="NR3" s="14" t="s">
        <v>15</v>
      </c>
      <c r="NS3" s="14" t="s">
        <v>27</v>
      </c>
      <c r="NT3" s="14" t="s">
        <v>13</v>
      </c>
      <c r="NU3" s="14" t="s">
        <v>14</v>
      </c>
      <c r="NV3" s="14" t="s">
        <v>8</v>
      </c>
      <c r="NW3" s="14" t="s">
        <v>15</v>
      </c>
      <c r="NX3" s="14" t="s">
        <v>27</v>
      </c>
      <c r="NY3" s="14" t="s">
        <v>13</v>
      </c>
      <c r="NZ3" s="14" t="s">
        <v>14</v>
      </c>
      <c r="OA3" s="14" t="s">
        <v>8</v>
      </c>
      <c r="OB3" s="14" t="s">
        <v>15</v>
      </c>
      <c r="OC3" s="14" t="s">
        <v>27</v>
      </c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6"/>
      <c r="OQ3" s="6"/>
      <c r="OR3" s="13" t="s">
        <v>13</v>
      </c>
      <c r="OS3" s="13" t="s">
        <v>14</v>
      </c>
      <c r="OT3" s="13" t="s">
        <v>8</v>
      </c>
      <c r="OU3" s="13" t="s">
        <v>15</v>
      </c>
      <c r="OV3" s="13" t="s">
        <v>27</v>
      </c>
      <c r="OW3" s="13" t="s">
        <v>13</v>
      </c>
      <c r="OX3" s="13" t="s">
        <v>14</v>
      </c>
      <c r="OY3" s="13" t="s">
        <v>8</v>
      </c>
      <c r="OZ3" s="13" t="s">
        <v>15</v>
      </c>
      <c r="PA3" s="13" t="s">
        <v>27</v>
      </c>
      <c r="PB3" s="13" t="s">
        <v>13</v>
      </c>
      <c r="PC3" s="13" t="s">
        <v>14</v>
      </c>
      <c r="PD3" s="13" t="s">
        <v>8</v>
      </c>
      <c r="PE3" s="13" t="s">
        <v>15</v>
      </c>
      <c r="PF3" s="13" t="s">
        <v>27</v>
      </c>
      <c r="PG3" s="13" t="s">
        <v>13</v>
      </c>
      <c r="PH3" s="13" t="s">
        <v>14</v>
      </c>
      <c r="PI3" s="13" t="s">
        <v>8</v>
      </c>
      <c r="PJ3" s="13" t="s">
        <v>15</v>
      </c>
      <c r="PK3" s="13" t="s">
        <v>27</v>
      </c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14" t="s">
        <v>13</v>
      </c>
      <c r="QA3" s="14" t="s">
        <v>14</v>
      </c>
      <c r="QB3" s="14" t="s">
        <v>8</v>
      </c>
      <c r="QC3" s="14" t="s">
        <v>15</v>
      </c>
      <c r="QD3" s="14" t="s">
        <v>27</v>
      </c>
      <c r="QE3" s="14" t="s">
        <v>13</v>
      </c>
      <c r="QF3" s="14" t="s">
        <v>14</v>
      </c>
      <c r="QG3" s="14" t="s">
        <v>8</v>
      </c>
      <c r="QH3" s="14" t="s">
        <v>15</v>
      </c>
      <c r="QI3" s="14" t="s">
        <v>27</v>
      </c>
      <c r="QJ3" s="14" t="s">
        <v>13</v>
      </c>
      <c r="QK3" s="14" t="s">
        <v>14</v>
      </c>
      <c r="QL3" s="14" t="s">
        <v>8</v>
      </c>
      <c r="QM3" s="14" t="s">
        <v>15</v>
      </c>
      <c r="QN3" s="14" t="s">
        <v>27</v>
      </c>
      <c r="QO3" s="14" t="s">
        <v>13</v>
      </c>
      <c r="QP3" s="14" t="s">
        <v>14</v>
      </c>
      <c r="QQ3" s="14" t="s">
        <v>8</v>
      </c>
      <c r="QR3" s="14" t="s">
        <v>15</v>
      </c>
      <c r="QS3" s="14" t="s">
        <v>27</v>
      </c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6"/>
      <c r="RG3" s="6"/>
      <c r="RH3" s="13" t="s">
        <v>13</v>
      </c>
      <c r="RI3" s="13" t="s">
        <v>14</v>
      </c>
      <c r="RJ3" s="13" t="s">
        <v>8</v>
      </c>
      <c r="RK3" s="13" t="s">
        <v>15</v>
      </c>
      <c r="RL3" s="13" t="s">
        <v>27</v>
      </c>
      <c r="RM3" s="13" t="s">
        <v>13</v>
      </c>
      <c r="RN3" s="13" t="s">
        <v>14</v>
      </c>
      <c r="RO3" s="13" t="s">
        <v>8</v>
      </c>
      <c r="RP3" s="13" t="s">
        <v>15</v>
      </c>
      <c r="RQ3" s="13" t="s">
        <v>27</v>
      </c>
      <c r="RR3" s="13" t="s">
        <v>13</v>
      </c>
      <c r="RS3" s="13" t="s">
        <v>14</v>
      </c>
      <c r="RT3" s="13" t="s">
        <v>8</v>
      </c>
      <c r="RU3" s="13" t="s">
        <v>15</v>
      </c>
      <c r="RV3" s="13" t="s">
        <v>27</v>
      </c>
      <c r="RW3" s="13" t="s">
        <v>13</v>
      </c>
      <c r="RX3" s="13" t="s">
        <v>14</v>
      </c>
      <c r="RY3" s="13" t="s">
        <v>8</v>
      </c>
      <c r="RZ3" s="13" t="s">
        <v>15</v>
      </c>
      <c r="SA3" s="13" t="s">
        <v>27</v>
      </c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14" t="s">
        <v>13</v>
      </c>
      <c r="SQ3" s="14" t="s">
        <v>14</v>
      </c>
      <c r="SR3" s="14" t="s">
        <v>8</v>
      </c>
      <c r="SS3" s="14" t="s">
        <v>15</v>
      </c>
      <c r="ST3" s="14" t="s">
        <v>27</v>
      </c>
      <c r="SU3" s="14" t="s">
        <v>13</v>
      </c>
      <c r="SV3" s="14" t="s">
        <v>14</v>
      </c>
      <c r="SW3" s="14" t="s">
        <v>8</v>
      </c>
      <c r="SX3" s="14" t="s">
        <v>15</v>
      </c>
      <c r="SY3" s="14" t="s">
        <v>27</v>
      </c>
      <c r="SZ3" s="14" t="s">
        <v>13</v>
      </c>
      <c r="TA3" s="14" t="s">
        <v>14</v>
      </c>
      <c r="TB3" s="14" t="s">
        <v>8</v>
      </c>
      <c r="TC3" s="14" t="s">
        <v>15</v>
      </c>
      <c r="TD3" s="14" t="s">
        <v>27</v>
      </c>
      <c r="TE3" s="14" t="s">
        <v>13</v>
      </c>
      <c r="TF3" s="14" t="s">
        <v>14</v>
      </c>
      <c r="TG3" s="14" t="s">
        <v>8</v>
      </c>
      <c r="TH3" s="14" t="s">
        <v>15</v>
      </c>
      <c r="TI3" s="14" t="s">
        <v>27</v>
      </c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6"/>
      <c r="TW3" s="6"/>
      <c r="TX3" s="13" t="s">
        <v>13</v>
      </c>
      <c r="TY3" s="13" t="s">
        <v>14</v>
      </c>
      <c r="TZ3" s="13" t="s">
        <v>8</v>
      </c>
      <c r="UA3" s="13" t="s">
        <v>15</v>
      </c>
      <c r="UB3" s="13" t="s">
        <v>27</v>
      </c>
      <c r="UC3" s="13" t="s">
        <v>13</v>
      </c>
      <c r="UD3" s="13" t="s">
        <v>14</v>
      </c>
      <c r="UE3" s="13" t="s">
        <v>8</v>
      </c>
      <c r="UF3" s="13" t="s">
        <v>15</v>
      </c>
      <c r="UG3" s="13" t="s">
        <v>27</v>
      </c>
      <c r="UH3" s="13" t="s">
        <v>13</v>
      </c>
      <c r="UI3" s="13" t="s">
        <v>14</v>
      </c>
      <c r="UJ3" s="13" t="s">
        <v>8</v>
      </c>
      <c r="UK3" s="13" t="s">
        <v>15</v>
      </c>
      <c r="UL3" s="13" t="s">
        <v>27</v>
      </c>
      <c r="UM3" s="13" t="s">
        <v>13</v>
      </c>
      <c r="UN3" s="13" t="s">
        <v>14</v>
      </c>
      <c r="UO3" s="13" t="s">
        <v>8</v>
      </c>
      <c r="UP3" s="13" t="s">
        <v>15</v>
      </c>
      <c r="UQ3" s="13" t="s">
        <v>27</v>
      </c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14" t="s">
        <v>13</v>
      </c>
      <c r="VG3" s="14" t="s">
        <v>14</v>
      </c>
      <c r="VH3" s="14" t="s">
        <v>8</v>
      </c>
      <c r="VI3" s="14" t="s">
        <v>15</v>
      </c>
      <c r="VJ3" s="14" t="s">
        <v>27</v>
      </c>
      <c r="VK3" s="14" t="s">
        <v>13</v>
      </c>
      <c r="VL3" s="14" t="s">
        <v>14</v>
      </c>
      <c r="VM3" s="14" t="s">
        <v>8</v>
      </c>
      <c r="VN3" s="14" t="s">
        <v>15</v>
      </c>
      <c r="VO3" s="14" t="s">
        <v>27</v>
      </c>
      <c r="VP3" s="14" t="s">
        <v>13</v>
      </c>
      <c r="VQ3" s="14" t="s">
        <v>14</v>
      </c>
      <c r="VR3" s="14" t="s">
        <v>8</v>
      </c>
      <c r="VS3" s="14" t="s">
        <v>15</v>
      </c>
      <c r="VT3" s="14" t="s">
        <v>27</v>
      </c>
      <c r="VU3" s="14" t="s">
        <v>13</v>
      </c>
      <c r="VV3" s="14" t="s">
        <v>14</v>
      </c>
      <c r="VW3" s="14" t="s">
        <v>8</v>
      </c>
      <c r="VX3" s="14" t="s">
        <v>15</v>
      </c>
      <c r="VY3" s="14" t="s">
        <v>27</v>
      </c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6"/>
      <c r="WM3" s="6"/>
    </row>
    <row r="4" spans="1:611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62</v>
      </c>
      <c r="C4" s="4" t="s">
        <v>6</v>
      </c>
      <c r="D4" s="4">
        <v>2003</v>
      </c>
      <c r="E4" s="9">
        <f t="shared" ref="E4:E24" si="0">J4+L4+N4+P4+(J4+L4+N4)*0.0000001+MAX(J4,L4)*0.0000000000001</f>
        <v>174.92001710600579</v>
      </c>
      <c r="F4" s="3" t="str">
        <f>IF(OR(AND(AI4&gt;=AS$27,AI4&lt;&gt;"",AK4&gt;=AS$31,AK4&lt;&gt;"",AH4=""),AND(AL4&gt;=AS$27,AL4&lt;&gt;"",AN4&gt;=AS$31,AN4&lt;&gt;"",AH4=""),AND(AP4&gt;=AS$27,AP4&lt;&gt;"",AR4&gt;=AS$31,AR4&lt;&gt;"",AH4=""),AND(BJ4&gt;=BT$27,BJ4&lt;&gt;"",BL4&gt;=BT$31,BL4&lt;&gt;"",BI4=""),AND(BM4&gt;=BT$27,BM4&lt;&gt;"",BO4&gt;=BT$31,BO4&lt;&gt;"",BI4=""),AND(BQ4&gt;=BT$27,BQ4&lt;&gt;"",BS4&gt;=BT$31,BS4&lt;&gt;"",BI4=""),AND(CK4&gt;=CU$27,CK4&lt;&gt;"",CM4&gt;=CU$31,CM4&lt;&gt;"",CJ4=""),AND(CN4&gt;=CU$27,CN4&lt;&gt;"",CP4&gt;=CU$31,CP4&lt;&gt;"",CJ4=""),AND(CR4&gt;=CU$27,CR4&lt;&gt;"",CT4&gt;=CU$31,CT4&lt;&gt;"",CJ4=""),AND(DR4&gt;=EE$27,DR4&lt;&gt;"",DT4&gt;=EE$31,DT4&lt;&gt;""),AND(DU4&gt;=EE$27,DU4&lt;&gt;"",DW4&gt;=EE$31,DW4&lt;&gt;""),AND(DY4&gt;=EE$27,DY4&lt;&gt;"",EA4&gt;=EE$31,EA4&lt;&gt;""),AND(EB4&gt;=EE$27,EB4&lt;&gt;"",ED4&gt;=EE$31,ED4&lt;&gt;""),AND(EZ4&gt;=FM$27,EZ4&lt;&gt;"",FB4&gt;=FM$31,FB4&lt;&gt;""),AND(FC4&gt;=FM$27,FC4&lt;&gt;"",FE4&gt;=FM$31,FE4&lt;&gt;""),AND(FG4&gt;=FM$27,FG4&lt;&gt;"",FI4&gt;=FM$31,FI4&lt;&gt;""),AND(FJ4&gt;=FM$27,FJ4&lt;&gt;"",FL4&gt;=FM$31,FL4&lt;&gt;""),AND(GH4&gt;=GU$27,GH4&lt;&gt;"",GJ4&gt;=GU$31,GJ4&lt;&gt;""),AND(GK4&gt;=GU$27,GK4&lt;&gt;"",GM4&gt;=GU$31,GM4&lt;&gt;""),AND(GO4&gt;=GU$27,GO4&lt;&gt;"",GQ4&gt;=GU$31,GQ4&lt;&gt;""),AND(GR4&gt;=GU$27,GR4&lt;&gt;"",GT4&gt;=GU$31,GT4&lt;&gt;""),AND(HP4&gt;=IC$27,HP4&lt;&gt;"",HR4&gt;=IC$31,HR4&lt;&gt;""),AND(HS4&gt;=IC$27,HS4&lt;&gt;"",HU4&gt;=IC$31,HU4&lt;&gt;""),AND(HW4&gt;=IC$27,HW4&lt;&gt;"",HY4&gt;=IC$31,HY4&lt;&gt;""),AND(HZ4&gt;=IC$27,HZ4&lt;&gt;"",IB4&gt;=IC$31,IB4&lt;&gt;""),AND(IX4&gt;=JK$27,IX4&lt;&gt;"",IZ4&gt;=JK$31,IZ4&lt;&gt;""),AND(JA4&gt;=JK$27,JA4&lt;&gt;"",JC4&gt;=JK$31,JC4&lt;&gt;""),AND(JE4&gt;=JK$27,JE4&lt;&gt;"",JG4&gt;=JK$31,JG4&lt;&gt;""),AND(JH4&gt;=JK$27,JH4&lt;&gt;"",JJ4&gt;=JK$31,JJ4&lt;&gt;""),AND(KF4&gt;=KS$27,KF4&lt;&gt;"",KH4&gt;=KS$31,KH4&lt;&gt;""),AND(KI4&gt;=KS$27,KI4&lt;&gt;"",KK4&gt;=KS$31,KK4&lt;&gt;""),AND(KM4&gt;=KS$27,KM4&lt;&gt;"",KO4&gt;=KS$31,KO4&lt;&gt;""),AND(KP4&gt;=KS$27,KP4&lt;&gt;"",KR4&gt;=KS$31,KR4&lt;&gt;""),AND(LN4&gt;=MA$27,LN4&lt;&gt;"",LP4&gt;=MA$31,LP4&lt;&gt;""),AND(LQ4&gt;=MA$27,LQ4&lt;&gt;"",LS4&gt;=MA$31,LS4&lt;&gt;""),AND(LU4&gt;=MA$27,LU4&lt;&gt;"",LW4&gt;=MA$31,LW4&lt;&gt;""),AND(LX4&gt;=MA$27,LX4&lt;&gt;"",LZ4&gt;=MA$31,LZ4&lt;&gt;""),AND(MV4&gt;=NI$27,MV4&lt;&gt;"",MX4&gt;=NI$31,MX4&lt;&gt;""),AND(MY4&gt;=NI$27,MY4&lt;&gt;"",NA4&gt;=NI$31,NA4&lt;&gt;""),AND(NC4&gt;=NI$27,NC4&lt;&gt;"",NE4&gt;=NI$31,NE4&lt;&gt;""),AND(NF4&gt;=NI$27,NF4&lt;&gt;"",NH4&gt;=NI$31,NH4&lt;&gt;""),AND(OD4&gt;=OQ$27,OD4&lt;&gt;"",OF4&gt;=OQ$31,OF4&lt;&gt;""),AND(OG4&gt;=OQ$27,OG4&lt;&gt;"",OI4&gt;=OQ$31,OI4&lt;&gt;""),AND(OK4&gt;=OQ$27,OK4&lt;&gt;"",OM4&gt;=OQ$31,OM4&lt;&gt;""),AND(ON4&gt;=OQ$27,ON4&lt;&gt;"",OP4&gt;=OQ$31,OP4&lt;&gt;""),AND(PL4&gt;=PY$27,PL4&lt;&gt;"",PN4&gt;=PY$31,PN4&lt;&gt;""),AND(PO4&gt;=PY$27,PO4&lt;&gt;"",PQ4&gt;=PY$31,PQ4&lt;&gt;""),AND(PS4&gt;=PY$27,PS4&lt;&gt;"",PU4&gt;=PY$31,PU4&lt;&gt;""),AND(PV4&gt;=PY$27,PV4&lt;&gt;"",PX4&gt;=PY$31,PX4&lt;&gt;""),AND(QT4&gt;=RG$27,QT4&lt;&gt;"",QV4&gt;=RG$31,QV4&lt;&gt;""),AND(QW4&gt;=RG$27,QW4&lt;&gt;"",QY4&gt;=RG$31,QY4&lt;&gt;""),AND(RA4&gt;=RG$27,RA4&lt;&gt;"",RC4&gt;=RG$31,RC4&lt;&gt;""),AND(RD4&gt;=RG$27,RD4&lt;&gt;"",RF4&gt;=RG$31,RF4&lt;&gt;""),AND(SB4&gt;=SO$27,SB4&lt;&gt;"",SD4&gt;=SO$31,SD4&lt;&gt;""),AND(SE4&gt;=SO$27,SE4&lt;&gt;"",SG4&gt;=SO$31,SG4&lt;&gt;""),AND(SI4&gt;=SO$27,SI4&lt;&gt;"",SK4&gt;=SO$31,SK4&lt;&gt;""),AND(SL4&gt;=SO$27,SL4&lt;&gt;"",SN4&gt;=SO$31,SN4&lt;&gt;""),AND(TJ4&gt;=TW$27,TJ4&lt;&gt;"",TL4&gt;=TW$31,TL4&lt;&gt;""),AND(TM4&gt;=TW$27,TM4&lt;&gt;"",TO4&gt;=TW$31,TO4&lt;&gt;""),AND(TQ4&gt;=TW$27,TQ4&lt;&gt;"",TS4&gt;=TW$31,TXQ4&lt;&gt;""),AND(TT4&gt;=TW$27,TT4&lt;&gt;"",TV4&gt;=TW$31,TV4&lt;&gt;""),AND(UR4&gt;=VE$27,UR4&lt;&gt;"",UT4&gt;=VE$31,UT4&lt;&gt;""),AND(UU4&gt;=VE$27,UU4&lt;&gt;"",UW4&gt;=VE$31,UW4&lt;&gt;""),AND(UY4&gt;=VE$27,UY4&lt;&gt;"",VA4&gt;=VE$31,VA4&lt;&gt;""),AND(VB4&gt;=VE$27,VB4&lt;&gt;"",VD4&gt;=VE$31,VD4&lt;&gt;""),AND(VZ4&gt;=WM$27,VZ4&lt;&gt;"",WB4&gt;=WM$31,WB4&lt;&gt;""),AND(WC4&gt;=WM$27,WC4&lt;&gt;"",WE4&gt;=WM$31,WE4&lt;&gt;""),AND(WG4&gt;=WM$27,WG4&lt;&gt;"",WI4&gt;=WM$31,WI4&lt;&gt;""),AND(WJ4&gt;=WM$27,WJ4&lt;&gt;"",WL4&gt;=WM$31,WL4&lt;&gt;"")),"P","")</f>
        <v>P</v>
      </c>
      <c r="G4" s="3" t="str">
        <f>IF(OR(AND(AK4&gt;=AS$31,AK4&lt;&gt;"",AH4=""),AND(AN4&gt;=AS$31,AN4&lt;&gt;"",AH4=""),AND(AR4&gt;=AS$31,AR4&lt;&gt;"",AH4=""),AND(BL4&gt;=BT$31,BL4&lt;&gt;"",BI4=""),AND(BO4&gt;=BT$31,BO4&lt;&gt;"",BI4=""),AND(BS4&gt;=BT$31,BS4&lt;&gt;"",BI4=""),AND(CM4&gt;=CU$31,CM4&lt;&gt;"",CJ4=""),AND(CP4&gt;=CU$31,CP4&lt;&gt;"",CJ4=""),AND(CT4&gt;=CU$31,CT4&lt;&gt;"",CJ4=""),AND(DT4&gt;=EE$31,DT4&lt;&gt;""),AND(DW4&gt;=EE$31,DW4&lt;&gt;""),AND(EA4&gt;=EE$31,EA4&lt;&gt;""),AND(ED4&gt;=EE$31,ED4&lt;&gt;""),AND(FB4&gt;=FM$31,FB4&lt;&gt;""),AND(FE4&gt;=FM$31,FE4&lt;&gt;""),AND(FI4&gt;=FM$31,FI4&lt;&gt;""),AND(FL4&gt;=FM$31,FL4&lt;&gt;""),AND(GJ4&gt;=GU$31,GJ4&lt;&gt;""),AND(GM4&gt;=GU$31,GM4&lt;&gt;""),AND(GQ4&gt;=GU$31,GQ4&lt;&gt;""),AND(GT4&gt;=GU$31,GT4&lt;&gt;""),AND(HR4&gt;=IC$31,HR4&lt;&gt;""),AND(HU4&gt;=IC$31,HU4&lt;&gt;""),AND(HY4&gt;=IC$31,HY4&lt;&gt;""),AND(IB4&gt;=IC$31,IB4&lt;&gt;""),AND(IZ4&gt;=JK$31,IZ4&lt;&gt;""),AND(JC4&gt;=JK$31,JC4&lt;&gt;""),AND(JG4&gt;=JK$31,JG4&lt;&gt;""),AND(JJ4&gt;=JK$31,JJ4&lt;&gt;""),AND(KH4&gt;=KS$31,KH4&lt;&gt;""),AND(KK4&gt;=KS$31,KK4&lt;&gt;""),AND(KO4&gt;=KS$31,KO4&lt;&gt;""),AND(KR4&gt;=KS$31,KR4&lt;&gt;""),AND(LP4&gt;=MA$31,LP4&lt;&gt;""),AND(LS4&gt;=MA$31,LS4&lt;&gt;""),AND(LW4&gt;=MA$31,LW4&lt;&gt;""),AND(LZ4&gt;=MA$31,LZ4&lt;&gt;""),AND(MX4&gt;=NI$31,MX4&lt;&gt;""),AND(NA4&gt;=NI$31,NA4&lt;&gt;""),AND(NE4&gt;=NI$31,NE4&lt;&gt;""),AND(NH4&gt;=NI$31,NH4&lt;&gt;""),AND(OF4&gt;=OQ$31,OF4&lt;&gt;""),AND(OI4&gt;=OQ$31,OI4&lt;&gt;""),AND(OM4&gt;=OQ$31,OM4&lt;&gt;""),AND(OP4&gt;=OQ$31,OP4&lt;&gt;""),AND(PN4&gt;=PY$31,PN4&lt;&gt;""),AND(PQ4&gt;=PY$31,PQ4&lt;&gt;""),AND(PU4&gt;=PY$31,PU4&lt;&gt;""),AND(PX4&gt;=PY$31,PX4&lt;&gt;""),AND(QV4&gt;=RG$31,QV4&lt;&gt;""),AND(QY4&gt;=RG$31,QY4&lt;&gt;""),AND(RC4&gt;=RG$31,RC4&lt;&gt;""),AND(RF4&gt;=RG$31,RF4&lt;&gt;""),AND(SD4&gt;=SO$31,SD4&lt;&gt;""),AND(SG4&gt;=SO$31,SG4&lt;&gt;""),AND(SK4&gt;=SO$31,SK4&lt;&gt;""),AND(SN4&gt;=SO$31,SN4&lt;&gt;""),AND(TL4&gt;=TW$31,TL4&lt;&gt;""),AND(TO4&gt;=TW$31,TO4&lt;&gt;""),AND(TS4&gt;=TW$31,TXQ4&lt;&gt;""),AND(TV4&gt;=TW$31,TV4&lt;&gt;""),AND(UT4&gt;=VE$31,UT4&lt;&gt;""),AND(UW4&gt;=VE$31,UW4&lt;&gt;""),AND(VA4&gt;=VE$31,VA4&lt;&gt;""),AND(VD4&gt;=VE$31,VD4&lt;&gt;""),AND(WB4&gt;=WM$31,WB4&lt;&gt;""),AND(WE4&gt;=WM$31,WE4&lt;&gt;""),AND(WI4&gt;=WM$31,WI4&lt;&gt;""),AND(WL4&gt;=WM$31,WL4&lt;&gt;"")),"P","")</f>
        <v>P</v>
      </c>
      <c r="H4" s="32" t="str">
        <f>IF(AND(G4="P",F4=""),"No DD",IF(OR(AND(AI4&gt;=AS$30,AI4&lt;&gt;"",AK4&gt;=AS$34,AK4&lt;&gt;"",AH4=""),AND(AL4&gt;=AS$30,AL4&lt;&gt;"",AN4&gt;=AS$34,AN4&lt;&gt;"",AH4=""),AND(AP4&gt;=AS$30,AP4&lt;&gt;"",AR4&gt;=AS$34,AR4&lt;&gt;"",AH4=""),AND(BJ4&gt;=BT$30,BJ4&lt;&gt;"",BL4&gt;=BT$34,BL4&lt;&gt;"",BI4=""),AND(BM4&gt;=BT$30,BM4&lt;&gt;"",BO4&gt;=BT$34,BO4&lt;&gt;"",BI4=""),AND(BQ4&gt;=BT$30,BQ4&lt;&gt;"",BS4&gt;=BT$34,BS4&lt;&gt;"",BI4=""),AND(CK4&gt;=CU$30,CK4&lt;&gt;"",CM4&gt;=CU$34,CM4&lt;&gt;"",CJ4=""),AND(CN4&gt;=CU$30,CN4&lt;&gt;"",CP4&gt;=CU$34,CP4&lt;&gt;"",CJ4=""),AND(CR4&gt;=CU$30,CR4&lt;&gt;"",CT4&gt;=CU$34,CT4&lt;&gt;"",CJ4=""),AND(DR4&gt;=EE$30,DR4&lt;&gt;"",DT4&gt;=EE$34,DT4&lt;&gt;""),AND(DU4&gt;=EE$30,DU4&lt;&gt;"",DW4&gt;=EE$34,DW4&lt;&gt;""),AND(DY4&gt;=EE$30,DY4&lt;&gt;"",EA4&gt;=EE$34,EA4&lt;&gt;""),AND(EB4&gt;=EE$30,EB4&lt;&gt;"",ED4&gt;=EE$34,ED4&lt;&gt;""),AND(EZ4&gt;=FM$30,EZ4&lt;&gt;"",FB4&gt;=FM$34,FB4&lt;&gt;""),AND(FC4&gt;=FM$30,FC4&lt;&gt;"",FE4&gt;=FM$34,FE4&lt;&gt;""),AND(FG4&gt;=FM$30,FG4&lt;&gt;"",FI4&gt;=FM$34,FI4&lt;&gt;""),AND(FJ4&gt;=FM$30,FJ4&lt;&gt;"",FL4&gt;=FM$34,FL4&lt;&gt;""),AND(GH4&gt;=GU$30,GH4&lt;&gt;"",GJ4&gt;=GU$34,GJ4&lt;&gt;""),AND(GK4&gt;=GU$30,GK4&lt;&gt;"",GM4&gt;=GU$34,GM4&lt;&gt;""),AND(GO4&gt;=GU$30,GO4&lt;&gt;"",GQ4&gt;=GU$34,GQ4&lt;&gt;""),AND(GR4&gt;=GU$30,GR4&lt;&gt;"",GT4&gt;=GU$34,GT4&lt;&gt;""),AND(HP4&gt;=IC$30,HP4&lt;&gt;"",HR4&gt;=IC$34,HR4&lt;&gt;""),AND(HS4&gt;=IC$30,HS4&lt;&gt;"",HU4&gt;=IC$34,HU4&lt;&gt;""),AND(HW4&gt;=IC$30,HW4&lt;&gt;"",HY4&gt;=IC$34,HY4&lt;&gt;""),AND(HZ4&gt;=IC$30,HZ4&lt;&gt;"",IB4&gt;=IC$34,IB4&lt;&gt;""),AND(IX4&gt;=JK$30,IX4&lt;&gt;"",IZ4&gt;=JK$34,IZ4&lt;&gt;""),AND(JA4&gt;=JK$30,JA4&lt;&gt;"",JC4&gt;=JK$34,JC4&lt;&gt;""),AND(JE4&gt;=JK$30,JE4&lt;&gt;"",JG4&gt;=JK$34,JG4&lt;&gt;""),AND(JH4&gt;=JK$30,JH4&lt;&gt;"",JJ4&gt;=JK$34,JJ4&lt;&gt;""),AND(KF4&gt;=KS$30,KF4&lt;&gt;"",KH4&gt;=KS$34,KH4&lt;&gt;""),AND(KI4&gt;=KS$30,KI4&lt;&gt;"",KK4&gt;=KS$34,KK4&lt;&gt;""),AND(KM4&gt;=KS$30,KM4&lt;&gt;"",KO4&gt;=KS$34,KO4&lt;&gt;""),AND(KP4&gt;=KS$30,KP4&lt;&gt;"",KR4&gt;=KS$34,KR4&lt;&gt;""),AND(LN4&gt;=MA$30,LN4&lt;&gt;"",LP4&gt;=MA$34,LP4&lt;&gt;""),AND(LQ4&gt;=MA$30,LQ4&lt;&gt;"",LS4&gt;=MA$34,LS4&lt;&gt;""),AND(LU4&gt;=MA$30,LU4&lt;&gt;"",LW4&gt;=MA$34,LW4&lt;&gt;""),AND(LX4&gt;=MA$30,LX4&lt;&gt;"",LZ4&gt;=MA$34,LZ4&lt;&gt;""),AND(MV4&gt;=NI$30,MV4&lt;&gt;"",MX4&gt;=NI$34,MX4&lt;&gt;""),AND(MY4&gt;=NI$30,MY4&lt;&gt;"",NA4&gt;=NI$34,NA4&lt;&gt;""),AND(NC4&gt;=NI$30,NC4&lt;&gt;"",NE4&gt;=NI$34,NE4&lt;&gt;""),AND(NF4&gt;=NI$30,NF4&lt;&gt;"",NH4&gt;=NI$34,NH4&lt;&gt;""),AND(OD4&gt;=OQ$30,OD4&lt;&gt;"",OF4&gt;=OQ$34,OF4&lt;&gt;""),AND(OG4&gt;=OQ$30,OG4&lt;&gt;"",OI4&gt;=OQ$34,OI4&lt;&gt;""),AND(OK4&gt;=OQ$30,OK4&lt;&gt;"",OM4&gt;=OQ$34,OM4&lt;&gt;""),AND(ON4&gt;=OQ$30,ON4&lt;&gt;"",OP4&gt;=OQ$34,OP4&lt;&gt;""),AND(PL4&gt;=PY$30,PL4&lt;&gt;"",PN4&gt;=PY$34,PN4&lt;&gt;""),AND(PO4&gt;=PY$30,PO4&lt;&gt;"",PQ4&gt;=PY$34,PQ4&lt;&gt;""),AND(PS4&gt;=PY$30,PS4&lt;&gt;"",PU4&gt;=PY$34,PU4&lt;&gt;""),AND(PV4&gt;=PY$30,PV4&lt;&gt;"",PX4&gt;=PY$34,PX4&lt;&gt;""),AND(QT4&gt;=RG$30,QT4&lt;&gt;"",QV4&gt;=RG$34,QV4&lt;&gt;""),AND(QW4&gt;=RG$30,QW4&lt;&gt;"",QY4&gt;=RG$34,QY4&lt;&gt;""),AND(RA4&gt;=RG$30,RA4&lt;&gt;"",RC4&gt;=RG$34,RC4&lt;&gt;""),AND(RD4&gt;=RG$30,RD4&lt;&gt;"",RF4&gt;=RG$34,RF4&lt;&gt;""),AND(SB4&gt;=SO$30,SB4&lt;&gt;"",SD4&gt;=SO$34,SD4&lt;&gt;""),AND(SE4&gt;=SO$30,SE4&lt;&gt;"",SG4&gt;=SO$34,SG4&lt;&gt;""),AND(SI4&gt;=SO$30,SI4&lt;&gt;"",SK4&gt;=SO$34,SK4&lt;&gt;""),AND(SL4&gt;=SO$30,SL4&lt;&gt;"",SN4&gt;=SO$34,SN4&lt;&gt;""),AND(TJ4&gt;=TW$30,TJ4&lt;&gt;"",TL4&gt;=TW$34,TL4&lt;&gt;""),AND(TM4&gt;=TW$30,TM4&lt;&gt;"",TO4&gt;=TW$34,TO4&lt;&gt;""),AND(TQ4&gt;=TW$30,TQ4&lt;&gt;"",TS4&gt;=TW$354,TXQ4&lt;&gt;""),AND(TT4&gt;=TW$30,TT4&lt;&gt;"",TV4&gt;=TW$34,TV4&lt;&gt;""),AND(UR4&gt;=VE$30,UR4&lt;&gt;"",UT4&gt;=VE$34,UT4&lt;&gt;""),AND(UU4&gt;=VE$30,UU4&lt;&gt;"",UW4&gt;=VE$34,UW4&lt;&gt;""),AND(UY4&gt;=VE$30,UY4&lt;&gt;"",VA4&gt;=VE$34,VA4&lt;&gt;""),AND(VB4&gt;=VE$30,VB4&lt;&gt;"",VD4&gt;=VE$34,VD4&lt;&gt;""),AND(VZ4&gt;=WM$30,VZ4&lt;&gt;"",WB4&gt;=WM$34,WB4&lt;&gt;""),AND(WC4&gt;=WM$30,WC4&lt;&gt;"",WE4&gt;=WM$34,WE4&lt;&gt;""),AND(WG4&gt;=WM$30,WG4&lt;&gt;"",WI4&gt;=WM$34,WI4&lt;&gt;""),AND(WJ4&gt;=WM$30,WJ4&lt;&gt;"",WL4&gt;=WM$34,WL4&lt;&gt;"")),"Merit",IF(OR(AND(AI4&gt;=AS$29,AI4&lt;&gt;"",AK4&gt;=AS$33,AK4&lt;&gt;"",AH4=""),AND(AL4&gt;=AS$29,AL4&lt;&gt;"",AN4&gt;=AS$33,AN4&lt;&gt;"",AH4=""),AND(AP4&gt;=AS$29,AP4&lt;&gt;"",AR4&gt;=AS$33,AR4&lt;&gt;"",AH4=""),AND(BJ4&gt;=BT$29,BJ4&lt;&gt;"",BL4&gt;=BT$33,BL4&lt;&gt;"",BI4=""),AND(BM4&gt;=BT$29,BM4&lt;&gt;"",BO4&gt;=BT$33,BO4&lt;&gt;"",BI4=""),AND(BQ4&gt;=BT$29,BQ4&lt;&gt;"",BS4&gt;=BT$33,BS4&lt;&gt;"",BI4=""),AND(CK4&gt;=CU$29,CK4&lt;&gt;"",CM4&gt;=CU$33,CM4&lt;&gt;"",CJ4=""),AND(CN4&gt;=CU$29,CN4&lt;&gt;"",CP4&gt;=CU$33,CP4&lt;&gt;"",CJ4=""),AND(CR4&gt;=CU$29,CR4&lt;&gt;"",CT4&gt;=CU$33,CT4&lt;&gt;"",CJ4=""),AND(DR4&gt;=EE$29,DR4&lt;&gt;"",DT4&gt;=EE$33,DT4&lt;&gt;""),AND(DU4&gt;=EE$29,DU4&lt;&gt;"",DW4&gt;=EE$33,DW4&lt;&gt;""),AND(DY4&gt;=EE$29,DY4&lt;&gt;"",EA4&gt;=EE$33,EA4&lt;&gt;""),AND(EB4&gt;=EE$29,EB4&lt;&gt;"",ED4&gt;=EE$33,ED4&lt;&gt;""),AND(EZ4&gt;=FM$29,EZ4&lt;&gt;"",FB4&gt;=FM$33,FB4&lt;&gt;""),AND(FC4&gt;=FM$29,FC4&lt;&gt;"",FE4&gt;=FM$33,FE4&lt;&gt;""),AND(FG4&gt;=FM$29,FG4&lt;&gt;"",FI4&gt;=FM$33,FI4&lt;&gt;""),AND(FJ4&gt;=FM$29,FJ4&lt;&gt;"",FL4&gt;=FM$33,FL4&lt;&gt;""),AND(GH4&gt;=GU$29,GH4&lt;&gt;"",GJ4&gt;=GU$33,GJ4&lt;&gt;""),AND(GK4&gt;=GU$29,GK4&lt;&gt;"",GM4&gt;=GU$33,GM4&lt;&gt;""),AND(GO4&gt;=GU$29,GO4&lt;&gt;"",GQ4&gt;=GU$33,GQ4&lt;&gt;""),AND(GR4&gt;=GU$29,GR4&lt;&gt;"",GT4&gt;=GU$33,GT4&lt;&gt;""),AND(HP4&gt;=IC$29,HP4&lt;&gt;"",HR4&gt;=IC$33,HR4&lt;&gt;""),AND(HS4&gt;=IC$29,HS4&lt;&gt;"",HU4&gt;=IC$33,HU4&lt;&gt;""),AND(HW4&gt;=IC$29,HW4&lt;&gt;"",HY4&gt;=IC$33,HY4&lt;&gt;""),AND(HZ4&gt;=IC$29,HZ4&lt;&gt;"",IB4&gt;=IC$33,IB4&lt;&gt;""),AND(IX4&gt;=JK$29,IX4&lt;&gt;"",IZ4&gt;=JK$33,IZ4&lt;&gt;""),AND(JA4&gt;=JK$29,JA4&lt;&gt;"",JC4&gt;=JK$33,JC4&lt;&gt;""),AND(JE4&gt;=JK$29,JE4&lt;&gt;"",JG4&gt;=JK$33,JG4&lt;&gt;""),AND(JH4&gt;=JK$29,JH4&lt;&gt;"",JJ4&gt;=JK$33,JJ4&lt;&gt;""),AND(KF4&gt;=KS$29,KF4&lt;&gt;"",KH4&gt;=KS$33,KH4&lt;&gt;""),AND(KI4&gt;=KS$29,KI4&lt;&gt;"",KK4&gt;=KS$33,KK4&lt;&gt;""),AND(KM4&gt;=KS$29,KM4&lt;&gt;"",KO4&gt;=KS$33,KO4&lt;&gt;""),AND(KP4&gt;=KS$29,KP4&lt;&gt;"",KR4&gt;=KS$33,KR4&lt;&gt;""),AND(LN4&gt;=MA$29,LN4&lt;&gt;"",LP4&gt;=MA$33,LP4&lt;&gt;""),AND(LQ4&gt;=MA$29,LQ4&lt;&gt;"",LS4&gt;=MA$33,LS4&lt;&gt;""),AND(LU4&gt;=MA$29,LU4&lt;&gt;"",LW4&gt;=MA$33,LW4&lt;&gt;""),AND(LX4&gt;=MA$29,LX4&lt;&gt;"",LZ4&gt;=MA$33,LZ4&lt;&gt;""),AND(MV4&gt;=NI$29,MV4&lt;&gt;"",MX4&gt;=NI$33,MX4&lt;&gt;""),AND(MY4&gt;=NI$29,MY4&lt;&gt;"",NA4&gt;=NI$33,NA4&lt;&gt;""),AND(NC4&gt;=NI$29,NC4&lt;&gt;"",NE4&gt;=NI$33,NE4&lt;&gt;""),AND(NF4&gt;=NI$29,NF4&lt;&gt;"",NH4&gt;=NI$33,NH4&lt;&gt;""),AND(OD4&gt;=OQ$29,OD4&lt;&gt;"",OF4&gt;=OQ$33,OF4&lt;&gt;""),AND(OG4&gt;=OQ$29,OG4&lt;&gt;"",OI4&gt;=OQ$33,OI4&lt;&gt;""),AND(OK4&gt;=OQ$29,OK4&lt;&gt;"",OM4&gt;=OQ$33,OM4&lt;&gt;""),AND(ON4&gt;=OQ$29,ON4&lt;&gt;"",OP4&gt;=OQ$33,OP4&lt;&gt;""),AND(PL4&gt;=PY$29,PL4&lt;&gt;"",PN4&gt;=PY$33,PN4&lt;&gt;""),AND(PO4&gt;=PY$29,PO4&lt;&gt;"",PQ4&gt;=PY$33,PQ4&lt;&gt;""),AND(PS4&gt;=PY$29,PS4&lt;&gt;"",PU4&gt;=PY$33,PU4&lt;&gt;""),AND(PV4&gt;=PY$29,PV4&lt;&gt;"",PX4&gt;=PY$33,PX4&lt;&gt;""),AND(QT4&gt;=RG$29,QT4&lt;&gt;"",QV4&gt;=RG$33,QV4&lt;&gt;""),AND(QW4&gt;=RG$29,QW4&lt;&gt;"",QY4&gt;=RG$33,QY4&lt;&gt;""),AND(RA4&gt;=RG$29,RA4&lt;&gt;"",RC4&gt;=RG$33,RC4&lt;&gt;""),AND(RD4&gt;=RG$29,RD4&lt;&gt;"",RF4&gt;=RG$33,RF4&lt;&gt;""),AND(SB4&gt;=SO$29,SB4&lt;&gt;"",SD4&gt;=SO$33,SD4&lt;&gt;""),AND(SE4&gt;=SO$29,SE4&lt;&gt;"",SG4&gt;=SO$33,SG4&lt;&gt;""),AND(SI4&gt;=SO$29,SI4&lt;&gt;"",SK4&gt;=SO$33,SK4&lt;&gt;""),AND(SL4&gt;=SO$29,SL4&lt;&gt;"",SN4&gt;=SO$33,SN4&lt;&gt;""),AND(TJ4&gt;=TW$29,TJ4&lt;&gt;"",TL4&gt;=TW$33,TL4&lt;&gt;""),AND(TM4&gt;=TW$29,TM4&lt;&gt;"",TO4&gt;=TW$33,TO4&lt;&gt;""),AND(TQ4&gt;=TW$29,TQ4&lt;&gt;"",TS4&gt;=TW$33,TXQ4&lt;&gt;""),AND(TT4&gt;=TW$29,TT4&lt;&gt;"",TV4&gt;=TW$33,TV4&lt;&gt;""),AND(UR4&gt;=VE$29,UR4&lt;&gt;"",UT4&gt;=VE$33,UT4&lt;&gt;""),AND(UU4&gt;=VE$29,UU4&lt;&gt;"",UW4&gt;=VE$33,UW4&lt;&gt;""),AND(UY4&gt;=VE$29,UY4&lt;&gt;"",VA4&gt;=VE$33,VA4&lt;&gt;""),AND(VB4&gt;=VE$29,VB4&lt;&gt;"",VD4&gt;=VE$33,VD4&lt;&gt;""),AND(VZ4&gt;=WM$29,VZ4&lt;&gt;"",WB4&gt;=WM$33,WB4&lt;&gt;""),AND(WC4&gt;=WM$29,WC4&lt;&gt;"",WE4&gt;=WM$33,WE4&lt;&gt;""),AND(WG4&gt;=WM$29,WG4&lt;&gt;"",WI4&gt;=WM$33,WI4&lt;&gt;""),AND(WJ4&gt;=WM$29,WJ4&lt;&gt;"",WL4&gt;=WM$33,WL4&lt;&gt;"")),"Excellence",IF(I4="P","Worlds Team",IF(F4="P","National Team","")))))</f>
        <v>National Team</v>
      </c>
      <c r="I4" s="3" t="str">
        <f>IF(OR(AND(AI4&gt;=AS$28,AI4&lt;&gt;"",AK4&gt;=AS$32,AK4&lt;&gt;"",AH4=""),AND(AL4&gt;=AS$28,AL4&lt;&gt;"",AN4&gt;=AS$32,AN4&lt;&gt;"",AH4=""),AND(AP4&gt;=AS$28,AP4&lt;&gt;"",AR4&gt;=AS$32,AR4&lt;&gt;"",AH4=""),AND(BJ4&gt;=BT$28,BJ4&lt;&gt;"",BL4&gt;=BT$32,BL4&lt;&gt;"",BI4=""),AND(BM4&gt;=BT$28,BM4&lt;&gt;"",BO4&gt;=BT$32,BO4&lt;&gt;"",BI4=""),AND(BQ4&gt;=BT$28,BQ4&lt;&gt;"",BS4&gt;=BT$32,BS4&lt;&gt;"",BI4=""),AND(CK4&gt;=CU$28,CK4&lt;&gt;"",CM4&gt;=CU$32,CM4&lt;&gt;"",CJ4=""),AND(CN4&gt;=CU$28,CN4&lt;&gt;"",CP4&gt;=CU$32,CP4&lt;&gt;"",CJ4=""),AND(CR4&gt;=CU$28,CR4&lt;&gt;"",CT4&gt;=CU$32,CT4&lt;&gt;"",CJ4=""),AND(DR4&gt;=EE$28,DR4&lt;&gt;"",DT4&gt;=EE$32,DT4&lt;&gt;""),AND(DU4&gt;=EE$28,DU4&lt;&gt;"",DW4&gt;=EE$32,DW4&lt;&gt;""),AND(DY4&gt;=EE$28,DY4&lt;&gt;"",EA4&gt;=EE$32,EA4&lt;&gt;""),AND(EB4&gt;=EE$28,EB4&lt;&gt;"",ED4&gt;=EE$32,ED4&lt;&gt;""),AND(EZ4&gt;=FM$28,EZ4&lt;&gt;"",FB4&gt;=FM$32,FB4&lt;&gt;""),AND(FC4&gt;=FM$28,FC4&lt;&gt;"",FE4&gt;=FM$32,FE4&lt;&gt;""),AND(FG4&gt;=FM$28,FG4&lt;&gt;"",FI4&gt;=FM$32,FI4&lt;&gt;""),AND(FJ4&gt;=FM$28,FJ4&lt;&gt;"",FL4&gt;=FM$32,FL4&lt;&gt;""),AND(GH4&gt;=GU$28,GH4&lt;&gt;"",GJ4&gt;=GU$32,GJ4&lt;&gt;""),AND(GK4&gt;=GU$28,GK4&lt;&gt;"",GM4&gt;=GU$32,GM4&lt;&gt;""),AND(GO4&gt;=GU$28,GO4&lt;&gt;"",GQ4&gt;=GU$32,GQ4&lt;&gt;""),AND(GR4&gt;=GU$28,GR4&lt;&gt;"",GT4&gt;=GU$32,GT4&lt;&gt;""),AND(HP4&gt;=IC$28,HP4&lt;&gt;"",HR4&gt;=IC$32,HR4&lt;&gt;""),AND(HS4&gt;=IC$28,HS4&lt;&gt;"",HU4&gt;=IC$32,HU4&lt;&gt;""),AND(HW4&gt;=IC$28,HW4&lt;&gt;"",HY4&gt;=IC$32,HY4&lt;&gt;""),AND(HZ4&gt;=IC$28,HZ4&lt;&gt;"",IB4&gt;=IC$32,IB4&lt;&gt;""),AND(IX4&gt;=JK$28,IX4&lt;&gt;"",IZ4&gt;=JK$32,IZ4&lt;&gt;""),AND(JA4&gt;=JK$28,JA4&lt;&gt;"",JC4&gt;=JK$32,JC4&lt;&gt;""),AND(JE4&gt;=JK$28,JE4&lt;&gt;"",JG4&gt;=JK$32,JG4&lt;&gt;""),AND(JH4&gt;=JK$28,JH4&lt;&gt;"",JJ4&gt;=JK$32,JJ4&lt;&gt;""),AND(KF4&gt;=KS$28,KF4&lt;&gt;"",KH4&gt;=KS$32,KH4&lt;&gt;""),AND(KI4&gt;=KS$28,KI4&lt;&gt;"",KK4&gt;=KS$32,KK4&lt;&gt;""),AND(KM4&gt;=KS$28,KM4&lt;&gt;"",KO4&gt;=KS$32,KO4&lt;&gt;""),AND(KP4&gt;=KS$28,KP4&lt;&gt;"",KR4&gt;=KS$32,KR4&lt;&gt;""),AND(LN4&gt;=MA$28,LN4&lt;&gt;"",LP4&gt;=MA$32,LP4&lt;&gt;""),AND(LQ4&gt;=MA$28,LQ4&lt;&gt;"",LS4&gt;=MA$32,LS4&lt;&gt;""),AND(LU4&gt;=MA$28,LU4&lt;&gt;"",LW4&gt;=MA$32,LW4&lt;&gt;""),AND(LX4&gt;=MA$28,LX4&lt;&gt;"",LZ4&gt;=MA$32,LZ4&lt;&gt;""),AND(MV4&gt;=NI$28,MV4&lt;&gt;"",MX4&gt;=NI$32,MX4&lt;&gt;""),AND(MY4&gt;=NI$28,MY4&lt;&gt;"",NA4&gt;=NI$32,NA4&lt;&gt;""),AND(NC4&gt;=NI$28,NC4&lt;&gt;"",NE4&gt;=NI$32,NE4&lt;&gt;""),AND(NF4&gt;=NI$28,NF4&lt;&gt;"",NH4&gt;=NI$32,NH4&lt;&gt;""),AND(OD4&gt;=OQ$28,OD4&lt;&gt;"",OF4&gt;=OQ$32,OF4&lt;&gt;""),AND(OG4&gt;=OQ$28,OG4&lt;&gt;"",OI4&gt;=OQ$32,OI4&lt;&gt;""),AND(OK4&gt;=OQ$28,OK4&lt;&gt;"",OM4&gt;=OQ$32,OM4&lt;&gt;""),AND(ON4&gt;=OQ$28,ON4&lt;&gt;"",OP4&gt;=OQ$32,OP4&lt;&gt;""),AND(PL4&gt;=PY$28,PL4&lt;&gt;"",PN4&gt;=PY$32,PN4&lt;&gt;""),AND(PO4&gt;=PY$28,PO4&lt;&gt;"",PQ4&gt;=PY$32,PQ4&lt;&gt;""),AND(PS4&gt;=PY$28,PS4&lt;&gt;"",PU4&gt;=PY$32,PU4&lt;&gt;""),AND(PV4&gt;=PY$28,PV4&lt;&gt;"",PX4&gt;=PY$32,PX4&lt;&gt;""),AND(QT4&gt;=RG$28,QT4&lt;&gt;"",QV4&gt;=RG$32,QV4&lt;&gt;""),AND(QW4&gt;=RG$28,QW4&lt;&gt;"",QY4&gt;=RG$32,QY4&lt;&gt;""),AND(RA4&gt;=RG$28,RA4&lt;&gt;"",RC4&gt;=RG$32,RC4&lt;&gt;""),AND(RD4&gt;=RG$28,RD4&lt;&gt;"",RF4&gt;=RG$32,RF4&lt;&gt;""),AND(SB4&gt;=SO$28,SB4&lt;&gt;"",SD4&gt;=SO$32,SD4&lt;&gt;""),AND(SE4&gt;=SO$28,SE4&lt;&gt;"",SG4&gt;=SO$32,SG4&lt;&gt;""),AND(SI4&gt;=SO$28,SI4&lt;&gt;"",SK4&gt;=SO$32,SK4&lt;&gt;""),AND(SL4&gt;=SO$28,SL4&lt;&gt;"",SN4&gt;=SO$32,SN4&lt;&gt;""),AND(TJ4&gt;=TW$28,TJ4&lt;&gt;"",TL4&gt;=TW$32,TL4&lt;&gt;""),AND(TM4&gt;=TW$28,TM4&lt;&gt;"",TO4&gt;=TW$32,TO4&lt;&gt;""),AND(TQ4&gt;=TW$28,TQ4&lt;&gt;"",TS4&gt;=TW$32,TXQ4&lt;&gt;""),AND(TT4&gt;=TW$28,TT4&lt;&gt;"",TV4&gt;=TW$32,TV4&lt;&gt;""),AND(UR4&gt;=VE$28,UR4&lt;&gt;"",UT4&gt;=VE$32,UT4&lt;&gt;""),AND(UU4&gt;=VE$28,UU4&lt;&gt;"",UW4&gt;=VE$32,UW4&lt;&gt;""),AND(UY4&gt;=VE$28,UY4&lt;&gt;"",VA4&gt;=VE$32,VA4&lt;&gt;""),AND(VB4&gt;=VE$28,VB4&lt;&gt;"",VD4&gt;=VE$32,VD4&lt;&gt;""),AND(VZ4&gt;=WM$28,VZ4&lt;&gt;"",WB4&gt;=WM$32,WB4&lt;&gt;""),AND(WC4&gt;=WM$28,WC4&lt;&gt;"",WE4&gt;=WM$32,WE4&lt;&gt;""),AND(WG4&gt;=WM$28,WG4&lt;&gt;"",WI4&gt;=WM$32,WI4&lt;&gt;""),AND(WJ4&gt;=WM$28,WJ4&lt;&gt;"",WL4&gt;=WM$32,WL4&lt;&gt;"")),"P","")</f>
        <v/>
      </c>
      <c r="J4" s="8">
        <f t="shared" ref="J4:J24" si="1">IF(MAX(AR4,BS4,CT4)&gt;0,MAX(AR4,BS4,CT4),0)</f>
        <v>55.260000000000005</v>
      </c>
      <c r="K4" s="8" t="str">
        <f t="shared" ref="K4:K24" si="2">IF(J4="","",IF(J4=CT4,$BU$1,IF(J4=BS4,$AT$1,IF(J4=AR4,$S$1,""))))</f>
        <v>2026 Elite Canada</v>
      </c>
      <c r="L4" s="8">
        <f>IFERROR(IF(J4=AR4,LARGE((AK4,AN4,BL4,BO4,BS4,CM4,CP4,CT4),1),IF(J4=BS4,LARGE((AK4,AN4,AR4,BL4,BO4,CM4,CP4,CT4),1),LARGE((AK4,AN4,AR4,BL4,BO4,BS4,CM4,CP4),1))),0)</f>
        <v>58.01</v>
      </c>
      <c r="M4" s="8" t="str">
        <f t="shared" ref="M4:M24" si="3">IF(L4="","",IF(OR(L4=CM4,L4=CP4,L4=CT4),$BU$1,IF(OR(L4=BL4,L4=BO4,L4=BS4),$AT$1,IF(OR(L4=AK4,L4=AN4,L4=AR4),$S$1,""))))</f>
        <v>2025 Nationals</v>
      </c>
      <c r="N4" s="8">
        <f>IFERROR(IF(J4=AR4,LARGE((AK4,AN4,BL4,BO4,BS4,CM4,CP4,CT4),2),IF(J4=BS4,LARGE((AK4,AN4,AR4,BL4,BO4,CM4,CP4,CT4),2),LARGE((AK4,AN4,AR4,BL4,BO4,BS4,CM4,CP4),2))),0)</f>
        <v>57.79</v>
      </c>
      <c r="O4" s="8" t="str">
        <f t="shared" ref="O4:O24" si="4">IF(L4="","",IF(OR(N4=CM4,N4=CP4,N4=CT4),$BU$1,IF(OR(N4=BL4,N4=BO4,N4=BS4),$AT$1,IF(OR(N4=AK4,N4=AN4,N4=AR4),$S$1,""))))</f>
        <v>2025 3rd Domestic Trial</v>
      </c>
      <c r="P4" s="8">
        <f t="shared" ref="P4:P24" si="5">IF(MAX(CV4,CW4)&gt;0,MAX(CV4,CW4),0)</f>
        <v>3.8599999999999923</v>
      </c>
      <c r="Q4" s="11" t="str">
        <f t="shared" ref="Q4:Q24" si="6">IF(P4=0,"",IF(P4=CV4,"("&amp;CV$2&amp;")",IF(P4=CW4,"("&amp;CW$2&amp;")")))</f>
        <v>(Final)</v>
      </c>
      <c r="R4" s="8" t="str">
        <f t="shared" ref="R4:R24" si="7">IF(P4=0,"",IF(P4=CV4,IF(P4+IF(J4="",0,J4)=MAX(WI4,WL4),$VF$1,IF(P4+IF(J4="",0,J4)=MAX(VA4,VD4),$TX$1,IF(P4+IF(J4="",0,J4)=MAX(TS4,TV4),$SP$1,IF(P4+IF(J4="",0,J4)=MAX(SK4,SN4),$RH$1,IF(P4+IF(J4="",0,J4)=MAX(RC4,RF4),$PZ$1,IF(P4+IF(J4="",0,J4)=MAX(PU4,PX4),$OR$1,IF(P4+IF(J4="",0,J4)=MAX(OM4,OP4),$NJ$1,IF(P4+IF(J4="",0,J4)=MAX(NE4,NH4),$MB$1,IF(P4+IF(J4="",0,J4)=MAX(LW4,LZ4),$KT$1,IF(P4+IF(J4="",0,J4)=MAX(KO4,KR4),$JL$1,IF(P4+IF(J4="",0,J4)=MAX(JG4,JJ4),$ID$1,IF(P4+IF(J4="",0,J4)=MAX(HY4,IB4),$GV$1,IF(P4+IF(J4="",0,J4)=MAX(GQ4,GT4),$FN$1,IF(P4+IF(J4="",0,J4)=MAX(FI4,FL4),$EF$1,IF(P4+IF(J4="",0,J4)=MAX(EA4,ED4),$CX$1))))))))))))))),IF(P4+MAX(N4,0)=MAX(WF4,WI4,WL4),$VF$1,IF(P4+MAX(N4,0)=MAX(UX4,VA4,VD4),$TX$1,IF(P4+MAX(N4,0)=MAX(TP4,TS4,TV4),$SP$1,IF(P4+MAX(N4,0)=MAX(SH4,SK4,SN4),$RH$1,IF(P4+MAX(N4,0)=MAX(QZ4,RC4,RF4),$PZ$1,IF(P4+MAX(N4,0)=MAX(PR4,PU4,PX4),$OR$1,IF(P4+MAX(N4,0)=MAX(OJ4,OM4,OP4),$NJ$1,IF(P4+MAX(N4,0)=MAX(NB4,NE4,NH4),$MB$1,IF(P4+MAX(N4,0)=MAX(LT4,LW4,LZ4),$KT$1,IF(P4+MAX(N4,0)=MAX(KL4,KO4,KR4),$JL$1,IF(P4+MAX(N4,0)=MAX(JD4,JG4,JJ4),$ID$1,IF(P4+MAX(N4,0)=MAX(HV4,HY4,IB4),$GV$1,IF(P4+MAX(N4,0)=MAX(GN4,GQ4,GT4),$FN$1,IF(P4+MAX(N4,0)=MAX(FF4,FI4,FL4),$EF$1,IF(P4+MAX(N4,0)=MAX(DX4,EA4,ED4),$CX$1)))))))))))))))))</f>
        <v>2025 World Cup GER (Sept 21)</v>
      </c>
      <c r="S4" s="18">
        <v>15.2</v>
      </c>
      <c r="T4" s="18">
        <v>9.1</v>
      </c>
      <c r="U4" s="18">
        <v>17</v>
      </c>
      <c r="V4" s="18">
        <v>16.71</v>
      </c>
      <c r="W4" s="18">
        <v>0</v>
      </c>
      <c r="X4" s="18">
        <v>7.2</v>
      </c>
      <c r="Y4" s="18">
        <v>4.4000000000000004</v>
      </c>
      <c r="Z4" s="18">
        <v>9.4</v>
      </c>
      <c r="AA4" s="18">
        <v>8.41</v>
      </c>
      <c r="AB4" s="18">
        <v>0</v>
      </c>
      <c r="AC4" s="18">
        <v>0</v>
      </c>
      <c r="AD4" s="18">
        <v>0</v>
      </c>
      <c r="AE4" s="18">
        <v>0</v>
      </c>
      <c r="AF4" s="18">
        <v>0</v>
      </c>
      <c r="AG4" s="18">
        <v>0</v>
      </c>
      <c r="AH4" s="23"/>
      <c r="AI4" s="34">
        <f t="shared" ref="AI4:AI24" si="8">IF(U4&gt;0,U4,"")</f>
        <v>17</v>
      </c>
      <c r="AJ4" s="34">
        <f t="shared" ref="AJ4:AJ24" si="9">IF(V4&gt;0,V4,"")</f>
        <v>16.71</v>
      </c>
      <c r="AK4" s="36">
        <f t="shared" ref="AK4:AK24" si="10">IF(SUM(S4:V4)-W4&gt;0,SUM(S4:V4)-W4,"")</f>
        <v>58.01</v>
      </c>
      <c r="AL4" s="36">
        <f t="shared" ref="AL4:AL24" si="11">IF(Z4&gt;0,Z4,"")</f>
        <v>9.4</v>
      </c>
      <c r="AM4" s="36">
        <f t="shared" ref="AM4:AM24" si="12">IF(AA4&gt;0,AA4,"")</f>
        <v>8.41</v>
      </c>
      <c r="AN4" s="36">
        <f t="shared" ref="AN4:AN24" si="13">IF(SUM(X4:AA4)-AB4&gt;0,SUM(X4:AA4)-AB4,"")</f>
        <v>29.41</v>
      </c>
      <c r="AO4" s="36">
        <f t="shared" ref="AO4:AO24" si="14">IF(AK4="","",MAX(AK4,AN4))</f>
        <v>58.01</v>
      </c>
      <c r="AP4" s="36" t="str">
        <f t="shared" ref="AP4:AP24" si="15">IF(AE4&gt;0,AE4,"")</f>
        <v/>
      </c>
      <c r="AQ4" s="36" t="str">
        <f t="shared" ref="AQ4:AQ24" si="16">IF(AF4&gt;0,AF4,"")</f>
        <v/>
      </c>
      <c r="AR4" s="36" t="str">
        <f t="shared" ref="AR4:AR24" si="17">IF(SUM(AC4:AF4)-AG4&gt;0,SUM(AC4:AF4)-AG4,"")</f>
        <v/>
      </c>
      <c r="AS4" s="36">
        <f t="shared" ref="AS4:AS24" si="18">IF(SUM(AO4,AR4)&gt;0,SUM(AO4,AR4),"")</f>
        <v>58.01</v>
      </c>
      <c r="AT4" s="22">
        <v>15.3</v>
      </c>
      <c r="AU4" s="22">
        <v>9.1</v>
      </c>
      <c r="AV4" s="22">
        <v>17</v>
      </c>
      <c r="AW4" s="22">
        <v>16.39</v>
      </c>
      <c r="AX4" s="22">
        <v>0</v>
      </c>
      <c r="AY4" s="22">
        <v>1.7</v>
      </c>
      <c r="AZ4" s="22">
        <v>0.9</v>
      </c>
      <c r="BA4" s="22">
        <v>2</v>
      </c>
      <c r="BB4" s="22">
        <v>1.8</v>
      </c>
      <c r="BC4" s="22">
        <v>0</v>
      </c>
      <c r="BD4" s="22">
        <v>6.1</v>
      </c>
      <c r="BE4" s="22">
        <v>3.8</v>
      </c>
      <c r="BF4" s="22">
        <v>7.4</v>
      </c>
      <c r="BG4" s="22">
        <v>6.77</v>
      </c>
      <c r="BH4" s="22">
        <v>0</v>
      </c>
      <c r="BI4" s="24"/>
      <c r="BJ4" s="35">
        <f t="shared" ref="BJ4:BJ24" si="19">IF(AV4&gt;0,AV4,"")</f>
        <v>17</v>
      </c>
      <c r="BK4" s="35">
        <f t="shared" ref="BK4:BK24" si="20">IF(AW4&gt;0,AW4,"")</f>
        <v>16.39</v>
      </c>
      <c r="BL4" s="11">
        <f t="shared" ref="BL4:BL24" si="21">IF(SUM(AT4:AW4)-AX4&gt;0,SUM(AT4:AW4)-AX4,"")</f>
        <v>57.79</v>
      </c>
      <c r="BM4" s="11">
        <f t="shared" ref="BM4:BM24" si="22">IF(BA4&gt;0,BA4,"")</f>
        <v>2</v>
      </c>
      <c r="BN4" s="11">
        <f t="shared" ref="BN4:BN24" si="23">IF(BB4&gt;0,BB4,"")</f>
        <v>1.8</v>
      </c>
      <c r="BO4" s="11">
        <f t="shared" ref="BO4:BO24" si="24">IF(SUM(AY4:BB4)-BC4&gt;0,SUM(AY4:BB4)-BC4,"")</f>
        <v>6.3999999999999995</v>
      </c>
      <c r="BP4" s="11">
        <f t="shared" ref="BP4:BP24" si="25">IF(BL4="","",MAX(BL4,BO4))</f>
        <v>57.79</v>
      </c>
      <c r="BQ4" s="11">
        <f t="shared" ref="BQ4:BQ24" si="26">IF(BF4&gt;0,BF4,"")</f>
        <v>7.4</v>
      </c>
      <c r="BR4" s="11">
        <f t="shared" ref="BR4:BR24" si="27">IF(BG4&gt;0,BG4,"")</f>
        <v>6.77</v>
      </c>
      <c r="BS4" s="11">
        <f t="shared" ref="BS4:BS24" si="28">IF(SUM(BD4:BG4)-BH4&gt;0,SUM(BD4:BG4)-BH4,"")</f>
        <v>24.069999999999997</v>
      </c>
      <c r="BT4" s="11">
        <f t="shared" ref="BT4:BT24" si="29">IF(SUM(BP4,BS4)&gt;0,SUM(BP4,BS4),"")</f>
        <v>81.86</v>
      </c>
      <c r="BU4" s="18">
        <v>4.5</v>
      </c>
      <c r="BV4" s="18">
        <v>2.7</v>
      </c>
      <c r="BW4" s="18">
        <v>5.7</v>
      </c>
      <c r="BX4" s="18">
        <v>5.19</v>
      </c>
      <c r="BY4" s="18">
        <v>0</v>
      </c>
      <c r="BZ4" s="18">
        <v>14.2</v>
      </c>
      <c r="CA4" s="18">
        <v>9.1999999999999993</v>
      </c>
      <c r="CB4" s="18">
        <v>17</v>
      </c>
      <c r="CC4" s="18">
        <v>16.43</v>
      </c>
      <c r="CD4" s="18">
        <v>0</v>
      </c>
      <c r="CE4" s="18">
        <v>14</v>
      </c>
      <c r="CF4" s="18">
        <v>8.3000000000000007</v>
      </c>
      <c r="CG4" s="18">
        <v>16.399999999999999</v>
      </c>
      <c r="CH4" s="18">
        <v>16.559999999999999</v>
      </c>
      <c r="CI4" s="18">
        <v>0</v>
      </c>
      <c r="CJ4" s="23"/>
      <c r="CK4" s="34">
        <f t="shared" ref="CK4:CK24" si="30">IF(BW4&gt;0,BW4,"")</f>
        <v>5.7</v>
      </c>
      <c r="CL4" s="34">
        <f t="shared" ref="CL4:CL24" si="31">IF(BX4&gt;0,BX4,"")</f>
        <v>5.19</v>
      </c>
      <c r="CM4" s="36">
        <f t="shared" ref="CM4:CM24" si="32">IF(SUM(BU4:BX4)-BY4&gt;0,SUM(BU4:BX4)-BY4,"")</f>
        <v>18.09</v>
      </c>
      <c r="CN4" s="36">
        <f t="shared" ref="CN4:CN24" si="33">IF(CB4&gt;0,CB4,"")</f>
        <v>17</v>
      </c>
      <c r="CO4" s="36">
        <f t="shared" ref="CO4:CO24" si="34">IF(CC4&gt;0,CC4,"")</f>
        <v>16.43</v>
      </c>
      <c r="CP4" s="36">
        <f t="shared" ref="CP4:CP24" si="35">IF(SUM(BZ4:CC4)-CD4&gt;0,SUM(BZ4:CC4)-CD4,"")</f>
        <v>56.83</v>
      </c>
      <c r="CQ4" s="36">
        <f t="shared" ref="CQ4:CQ24" si="36">IF(CM4="","",MAX(CM4,CP4))</f>
        <v>56.83</v>
      </c>
      <c r="CR4" s="36">
        <f t="shared" ref="CR4:CR24" si="37">IF(CG4&gt;0,CG4,"")</f>
        <v>16.399999999999999</v>
      </c>
      <c r="CS4" s="36">
        <f t="shared" ref="CS4:CS24" si="38">IF(CH4&gt;0,CH4,"")</f>
        <v>16.559999999999999</v>
      </c>
      <c r="CT4" s="36">
        <f t="shared" ref="CT4:CT24" si="39">IF(SUM(CE4:CH4)-CI4&gt;0,SUM(CE4:CH4)-CI4,"")</f>
        <v>55.260000000000005</v>
      </c>
      <c r="CU4" s="36">
        <f t="shared" ref="CU4:CU24" si="40">IF(SUM(CQ4,CT4)&gt;0,SUM(CQ4,CT4),"")</f>
        <v>112.09</v>
      </c>
      <c r="CV4" s="47">
        <f t="shared" ref="CV4:CV24" si="41">IF(MAX(EA4,ED4,FI4,FL4,GQ4,GT4,HY4,IB4,JG4,JJ4,KO4,KR4,LW4,LZ4,NE4,NH4,OM4,OP4,PU4,PX4,RC4,RF4,SK4,SN4,TS4,TV4,VA4,VD4,WI4,WL4)-IF(J4="",0,J4)&gt;0.001,MAX(EA4,ED4,FI4,FL4,GQ4,GT4,HY4,IB4,JG4,JJ4,KO4,KR4,LW4,LZ4,NE4,NH4,OM4,OP4,PU4,PX4,RC4,RF4,SK4,SN4,TS4,TV4,VA4,VD4,WI4,WL4)-IF(J4="",0,J4),"")</f>
        <v>3.8599999999999923</v>
      </c>
      <c r="CW4" s="47">
        <f t="shared" ref="CW4:CW24" si="42">IF(MAX(DX4,EA4,ED4,FF4,FI4,FL4,GN4,GQ4,GT4,HV4,HY4,IB4,JD4,JG4,JJ4,KL4,KO4,KR4,LT4,LW4,LZ4,NB4,NE4,NH4,OJ4,OM4,OP4,PR4,PU4,PX4,QZ4,RC4,RF4,SH4,SK4,SN4,TP4,TS4,TV4,UX4,VA4,VD4,WF4,WI4,WL4)-MAX(N4,0)&gt;0.001,MAX(DX4,EA4,ED4,FF4,FI4,FL4,GN4,GQ4,GT4,HV4,HY4,IB4,JD4,JG4,JJ4,KL4,KO4,KR4,LT4,LW4,LZ4,NB4,NE4,NH4,OJ4,OM4,OP4,PR4,PU4,PX4,QZ4,RC4,RF4,SH4,SK4,SN4,TP4,TS4,TV4,UX4,VA4,VD4,WF4,WI4,WL4)-MAX(N4,0),"")</f>
        <v>1.3299999999999983</v>
      </c>
      <c r="CX4" s="15">
        <v>13.8</v>
      </c>
      <c r="CY4" s="15">
        <v>8.9</v>
      </c>
      <c r="CZ4" s="15">
        <v>6.8</v>
      </c>
      <c r="DA4" s="15">
        <v>16.62</v>
      </c>
      <c r="DB4" s="15">
        <v>0</v>
      </c>
      <c r="DC4" s="15">
        <v>14.6</v>
      </c>
      <c r="DD4" s="15">
        <v>8.9</v>
      </c>
      <c r="DE4" s="15">
        <v>16.600000000000001</v>
      </c>
      <c r="DF4" s="15">
        <v>16.84</v>
      </c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36">
        <f t="shared" ref="DR4:DR24" si="43">IF(CZ4&gt;0,CZ4,"")</f>
        <v>6.8</v>
      </c>
      <c r="DS4" s="36">
        <f t="shared" ref="DS4:DS24" si="44">IF(DA4&gt;0,DA4,"")</f>
        <v>16.62</v>
      </c>
      <c r="DT4" s="36">
        <f t="shared" ref="DT4:DT24" si="45">IF(SUM(CX4:DA4)-DB4&gt;0,SUM(CX4:DA4)-DB4,"")</f>
        <v>46.120000000000005</v>
      </c>
      <c r="DU4" s="36">
        <f t="shared" ref="DU4:DU24" si="46">IF(DE4&gt;0,DE4,"")</f>
        <v>16.600000000000001</v>
      </c>
      <c r="DV4" s="36">
        <f t="shared" ref="DV4:DV24" si="47">IF(DF4&gt;0,DF4,"")</f>
        <v>16.84</v>
      </c>
      <c r="DW4" s="36">
        <f t="shared" ref="DW4:DW24" si="48">IF(SUM(DC4:DF4)-DG4&gt;0,SUM(DC4:DF4)-DG4,"")</f>
        <v>56.94</v>
      </c>
      <c r="DX4" s="36">
        <f t="shared" ref="DX4:DX24" si="49">IF(MAX(DT4,DW4)&gt;0,MAX(DT4,DW4),"")</f>
        <v>56.94</v>
      </c>
      <c r="DY4" s="36" t="str">
        <f t="shared" ref="DY4:DY24" si="50">IF(DJ4&gt;0,DJ4,"")</f>
        <v/>
      </c>
      <c r="DZ4" s="36" t="str">
        <f t="shared" ref="DZ4:DZ24" si="51">IF(DK4&gt;0,DK4,"")</f>
        <v/>
      </c>
      <c r="EA4" s="36" t="str">
        <f t="shared" ref="EA4:EA24" si="52">IF(SUM(DH4:DK4)-DL4&gt;0,SUM(DH4:DK4)-DL4,"")</f>
        <v/>
      </c>
      <c r="EB4" s="36" t="str">
        <f t="shared" ref="EB4:EB24" si="53">IF(DO4&gt;0,DO4,"")</f>
        <v/>
      </c>
      <c r="EC4" s="36" t="str">
        <f t="shared" ref="EC4:EC24" si="54">IF(DP4&gt;0,DP4,"")</f>
        <v/>
      </c>
      <c r="ED4" s="36" t="str">
        <f t="shared" ref="ED4:ED24" si="55">IF(SUM(DM4:DP4)-DQ4&gt;0,SUM(DM4:DP4)-DQ4,"")</f>
        <v/>
      </c>
      <c r="EE4" s="36">
        <f t="shared" ref="EE4:EE24" si="56">IF(SUM(DX4,EA4,ED4)&gt;0,SUM(DX4,EA4,ED4),"")</f>
        <v>56.94</v>
      </c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1" t="str">
        <f t="shared" ref="EZ4:EZ24" si="57">IF(EH4&gt;0,EH4,"")</f>
        <v/>
      </c>
      <c r="FA4" s="11" t="str">
        <f t="shared" ref="FA4:FA24" si="58">IF(EI4&gt;0,EI4,"")</f>
        <v/>
      </c>
      <c r="FB4" s="11" t="str">
        <f t="shared" ref="FB4:FB24" si="59">IF(SUM(EF4:EI4)-EJ4&gt;0,SUM(EF4:EI4)-EJ4,"")</f>
        <v/>
      </c>
      <c r="FC4" s="11" t="str">
        <f t="shared" ref="FC4:FC24" si="60">IF(EM4&gt;0,EM4,"")</f>
        <v/>
      </c>
      <c r="FD4" s="11" t="str">
        <f t="shared" ref="FD4:FD24" si="61">IF(EN4&gt;0,EN4,"")</f>
        <v/>
      </c>
      <c r="FE4" s="11" t="str">
        <f t="shared" ref="FE4:FE24" si="62">IF(SUM(EK4:EN4)-EO4&gt;0,SUM(EK4:EN4)-EO4,"")</f>
        <v/>
      </c>
      <c r="FF4" s="11" t="str">
        <f t="shared" ref="FF4:FF24" si="63">IF(MAX(FB4,FE4)&gt;0,MAX(FB4,FE4),"")</f>
        <v/>
      </c>
      <c r="FG4" s="11" t="str">
        <f t="shared" ref="FG4:FG24" si="64">IF(ER4&gt;0,ER4,"")</f>
        <v/>
      </c>
      <c r="FH4" s="11" t="str">
        <f t="shared" ref="FH4:FH24" si="65">IF(ES4&gt;0,ES4,"")</f>
        <v/>
      </c>
      <c r="FI4" s="11" t="str">
        <f t="shared" ref="FI4:FI24" si="66">IF(SUM(EP4:ES4)-ET4&gt;0,SUM(EP4:ES4)-ET4,"")</f>
        <v/>
      </c>
      <c r="FJ4" s="11" t="str">
        <f t="shared" ref="FJ4:FJ24" si="67">IF(EW4&gt;0,EW4,"")</f>
        <v/>
      </c>
      <c r="FK4" s="11" t="str">
        <f t="shared" ref="FK4:FK24" si="68">IF(EX4&gt;0,EX4,"")</f>
        <v/>
      </c>
      <c r="FL4" s="11" t="str">
        <f t="shared" ref="FL4:FL24" si="69">IF(SUM(EU4:EX4)-EY4&gt;0,SUM(EU4:EX4)-EY4,"")</f>
        <v/>
      </c>
      <c r="FM4" s="11" t="str">
        <f t="shared" ref="FM4:FM24" si="70">IF(SUM(FF4,FI4,FL4)&gt;0,SUM(FF4,FI4,FL4),"")</f>
        <v/>
      </c>
      <c r="FN4" s="15">
        <v>14.9</v>
      </c>
      <c r="FO4" s="15">
        <v>9.3000000000000007</v>
      </c>
      <c r="FP4" s="15">
        <v>17</v>
      </c>
      <c r="FQ4" s="15">
        <v>16.89</v>
      </c>
      <c r="FR4" s="15">
        <v>0</v>
      </c>
      <c r="FS4" s="15">
        <v>10.8</v>
      </c>
      <c r="FT4" s="15">
        <v>6.7</v>
      </c>
      <c r="FU4" s="15">
        <v>11.7</v>
      </c>
      <c r="FV4" s="15">
        <v>12.48</v>
      </c>
      <c r="FW4" s="15">
        <v>0</v>
      </c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36">
        <f t="shared" ref="GH4:GH24" si="71">IF(FP4&gt;0,FP4,"")</f>
        <v>17</v>
      </c>
      <c r="GI4" s="36">
        <f t="shared" ref="GI4:GI24" si="72">IF(FQ4&gt;0,FQ4,"")</f>
        <v>16.89</v>
      </c>
      <c r="GJ4" s="36">
        <f t="shared" ref="GJ4:GJ24" si="73">IF(SUM(FN4:FQ4)-FR4&gt;0,SUM(FN4:FQ4)-FR4,"")</f>
        <v>58.09</v>
      </c>
      <c r="GK4" s="36">
        <f t="shared" ref="GK4:GK24" si="74">IF(FU4&gt;0,FU4,"")</f>
        <v>11.7</v>
      </c>
      <c r="GL4" s="36">
        <f t="shared" ref="GL4:GL24" si="75">IF(FV4&gt;0,FV4,"")</f>
        <v>12.48</v>
      </c>
      <c r="GM4" s="36">
        <f t="shared" ref="GM4:GM24" si="76">IF(SUM(FS4:FV4)-FW4&gt;0,SUM(FS4:FV4)-FW4,"")</f>
        <v>41.68</v>
      </c>
      <c r="GN4" s="36">
        <f t="shared" ref="GN4:GN24" si="77">IF(MAX(GJ4,GM4)&gt;0,MAX(GJ4,GM4),"")</f>
        <v>58.09</v>
      </c>
      <c r="GO4" s="36" t="str">
        <f t="shared" ref="GO4:GO24" si="78">IF(FZ4&gt;0,FZ4,"")</f>
        <v/>
      </c>
      <c r="GP4" s="36" t="str">
        <f t="shared" ref="GP4:GP24" si="79">IF(GA4&gt;0,GA4,"")</f>
        <v/>
      </c>
      <c r="GQ4" s="36" t="str">
        <f t="shared" ref="GQ4:GQ24" si="80">IF(SUM(FX4:GA4)-GB4&gt;0,SUM(FX4:GA4)-GB4,"")</f>
        <v/>
      </c>
      <c r="GR4" s="36" t="str">
        <f t="shared" ref="GR4:GR24" si="81">IF(GE4&gt;0,GE4,"")</f>
        <v/>
      </c>
      <c r="GS4" s="36" t="str">
        <f t="shared" ref="GS4:GS24" si="82">IF(GF4&gt;0,GF4,"")</f>
        <v/>
      </c>
      <c r="GT4" s="36" t="str">
        <f t="shared" ref="GT4:GT24" si="83">IF(SUM(GC4:GF4)-GG4&gt;0,SUM(GC4:GF4)-GG4,"")</f>
        <v/>
      </c>
      <c r="GU4" s="36">
        <f t="shared" ref="GU4:GU24" si="84">IF(SUM(GN4,GQ4,GT4)&gt;0,SUM(GN4,GQ4,GT4),"")</f>
        <v>58.09</v>
      </c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1" t="str">
        <f t="shared" ref="HP4:HP24" si="85">IF(GX4&gt;0,GX4,"")</f>
        <v/>
      </c>
      <c r="HQ4" s="11" t="str">
        <f t="shared" ref="HQ4:HQ24" si="86">IF(GY4&gt;0,GY4,"")</f>
        <v/>
      </c>
      <c r="HR4" s="11" t="str">
        <f t="shared" ref="HR4:HR24" si="87">IF(SUM(GV4:GY4)-GZ4&gt;0,SUM(GV4:GY4)-GZ4,"")</f>
        <v/>
      </c>
      <c r="HS4" s="11" t="str">
        <f t="shared" ref="HS4:HS24" si="88">IF(HC4&gt;0,HC4,"")</f>
        <v/>
      </c>
      <c r="HT4" s="11" t="str">
        <f t="shared" ref="HT4:HT24" si="89">IF(HD4&gt;0,HD4,"")</f>
        <v/>
      </c>
      <c r="HU4" s="11" t="str">
        <f t="shared" ref="HU4:HU24" si="90">IF(SUM(HA4:HD4)-HE4&gt;0,SUM(HA4:HD4)-HE4,"")</f>
        <v/>
      </c>
      <c r="HV4" s="11" t="str">
        <f t="shared" ref="HV4:HV24" si="91">IF(MAX(HR4,HU4)&gt;0,MAX(HR4,HU4),"")</f>
        <v/>
      </c>
      <c r="HW4" s="11" t="str">
        <f t="shared" ref="HW4:HW24" si="92">IF(HH4&gt;0,HH4,"")</f>
        <v/>
      </c>
      <c r="HX4" s="11" t="str">
        <f t="shared" ref="HX4:HX24" si="93">IF(HI4&gt;0,HI4,"")</f>
        <v/>
      </c>
      <c r="HY4" s="11" t="str">
        <f t="shared" ref="HY4:HY24" si="94">IF(SUM(HF4:HI4)-HJ4&gt;0,SUM(HF4:HI4)-HJ4,"")</f>
        <v/>
      </c>
      <c r="HZ4" s="11" t="str">
        <f t="shared" ref="HZ4:HZ24" si="95">IF(HM4&gt;0,HM4,"")</f>
        <v/>
      </c>
      <c r="IA4" s="11" t="str">
        <f t="shared" ref="IA4:IA24" si="96">IF(HN4&gt;0,HN4,"")</f>
        <v/>
      </c>
      <c r="IB4" s="11" t="str">
        <f t="shared" ref="IB4:IB24" si="97">IF(SUM(HK4:HN4)-HO4&gt;0,SUM(HK4:HN4)-HO4,"")</f>
        <v/>
      </c>
      <c r="IC4" s="11" t="str">
        <f t="shared" ref="IC4:IC24" si="98">IF(SUM(HV4,HY4,IB4)&gt;0,SUM(HV4,HY4,IB4),"")</f>
        <v/>
      </c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36" t="str">
        <f t="shared" ref="IX4:IX24" si="99">IF(IF4&gt;0,IF4,"")</f>
        <v/>
      </c>
      <c r="IY4" s="36" t="str">
        <f t="shared" ref="IY4:IY24" si="100">IF(IG4&gt;0,IG4,"")</f>
        <v/>
      </c>
      <c r="IZ4" s="36" t="str">
        <f t="shared" ref="IZ4:IZ24" si="101">IF(SUM(ID4:IG4)-IH4&gt;0,SUM(ID4:IG4)-IH4,"")</f>
        <v/>
      </c>
      <c r="JA4" s="36" t="str">
        <f t="shared" ref="JA4:JA24" si="102">IF(IK4&gt;0,IK4,"")</f>
        <v/>
      </c>
      <c r="JB4" s="36" t="str">
        <f t="shared" ref="JB4:JB24" si="103">IF(IL4&gt;0,IL4,"")</f>
        <v/>
      </c>
      <c r="JC4" s="36" t="str">
        <f t="shared" ref="JC4:JC24" si="104">IF(SUM(II4:IL4)-IM4&gt;0,SUM(II4:IL4)-IM4,"")</f>
        <v/>
      </c>
      <c r="JD4" s="36" t="str">
        <f t="shared" ref="JD4:JD24" si="105">IF(MAX(IZ4,JC4)&gt;0,MAX(IZ4,JC4),"")</f>
        <v/>
      </c>
      <c r="JE4" s="36" t="str">
        <f t="shared" ref="JE4:JE24" si="106">IF(IP4&gt;0,IP4,"")</f>
        <v/>
      </c>
      <c r="JF4" s="36" t="str">
        <f t="shared" ref="JF4:JF24" si="107">IF(IQ4&gt;0,IQ4,"")</f>
        <v/>
      </c>
      <c r="JG4" s="36" t="str">
        <f t="shared" ref="JG4:JG24" si="108">IF(SUM(IN4:IQ4)-IR4&gt;0,SUM(IN4:IQ4)-IR4,"")</f>
        <v/>
      </c>
      <c r="JH4" s="36" t="str">
        <f t="shared" ref="JH4:JH24" si="109">IF(IU4&gt;0,IU4,"")</f>
        <v/>
      </c>
      <c r="JI4" s="36" t="str">
        <f t="shared" ref="JI4:JI24" si="110">IF(IV4&gt;0,IV4,"")</f>
        <v/>
      </c>
      <c r="JJ4" s="36" t="str">
        <f t="shared" ref="JJ4:JJ24" si="111">IF(SUM(IS4:IV4)-IW4&gt;0,SUM(IS4:IV4)-IW4,"")</f>
        <v/>
      </c>
      <c r="JK4" s="36" t="str">
        <f t="shared" ref="JK4:JK24" si="112">IF(SUM(JD4,JG4,JJ4)&gt;0,SUM(JD4,JG4,JJ4),"")</f>
        <v/>
      </c>
      <c r="JL4" s="16">
        <v>14.9</v>
      </c>
      <c r="JM4" s="16">
        <v>9.3000000000000007</v>
      </c>
      <c r="JN4" s="16">
        <v>17</v>
      </c>
      <c r="JO4" s="16">
        <v>16.600000000000001</v>
      </c>
      <c r="JP4" s="16">
        <v>0</v>
      </c>
      <c r="JQ4" s="16">
        <v>6</v>
      </c>
      <c r="JR4" s="16">
        <v>3.3</v>
      </c>
      <c r="JS4" s="16">
        <v>7.2</v>
      </c>
      <c r="JT4" s="16">
        <v>7.04</v>
      </c>
      <c r="JU4" s="16">
        <v>0</v>
      </c>
      <c r="JV4" s="16">
        <v>15.2</v>
      </c>
      <c r="JW4" s="16">
        <v>9.1999999999999993</v>
      </c>
      <c r="JX4" s="16">
        <v>17.399999999999999</v>
      </c>
      <c r="JY4" s="16">
        <v>17.32</v>
      </c>
      <c r="JZ4" s="16">
        <v>0</v>
      </c>
      <c r="KA4" s="16">
        <v>1.6</v>
      </c>
      <c r="KB4" s="16">
        <v>0.8</v>
      </c>
      <c r="KC4" s="16">
        <v>2</v>
      </c>
      <c r="KD4" s="16">
        <v>1.87</v>
      </c>
      <c r="KE4" s="16">
        <v>0</v>
      </c>
      <c r="KF4" s="11">
        <f t="shared" ref="KF4:KF24" si="113">IF(JN4&gt;0,JN4,"")</f>
        <v>17</v>
      </c>
      <c r="KG4" s="11">
        <f t="shared" ref="KG4:KG24" si="114">IF(JO4&gt;0,JO4,"")</f>
        <v>16.600000000000001</v>
      </c>
      <c r="KH4" s="11">
        <f t="shared" ref="KH4:KH24" si="115">IF(SUM(JL4:JO4)-JP4&gt;0,SUM(JL4:JO4)-JP4,"")</f>
        <v>57.800000000000004</v>
      </c>
      <c r="KI4" s="11">
        <f t="shared" ref="KI4:KI24" si="116">IF(JS4&gt;0,JS4,"")</f>
        <v>7.2</v>
      </c>
      <c r="KJ4" s="11">
        <f t="shared" ref="KJ4:KJ24" si="117">IF(JT4&gt;0,JT4,"")</f>
        <v>7.04</v>
      </c>
      <c r="KK4" s="11">
        <f t="shared" ref="KK4:KK24" si="118">IF(SUM(JQ4:JT4)-JU4&gt;0,SUM(JQ4:JT4)-JU4,"")</f>
        <v>23.54</v>
      </c>
      <c r="KL4" s="11">
        <f t="shared" ref="KL4:KL24" si="119">IF(MAX(KH4,KK4)&gt;0,MAX(KH4,KK4),"")</f>
        <v>57.800000000000004</v>
      </c>
      <c r="KM4" s="11">
        <f t="shared" ref="KM4:KM24" si="120">IF(JX4&gt;0,JX4,"")</f>
        <v>17.399999999999999</v>
      </c>
      <c r="KN4" s="11">
        <f t="shared" ref="KN4:KN24" si="121">IF(JY4&gt;0,JY4,"")</f>
        <v>17.32</v>
      </c>
      <c r="KO4" s="11">
        <f t="shared" ref="KO4:KO24" si="122">IF(SUM(JV4:JY4)-JZ4&gt;0,SUM(JV4:JY4)-JZ4,"")</f>
        <v>59.12</v>
      </c>
      <c r="KP4" s="11">
        <f t="shared" ref="KP4:KP24" si="123">IF(KC4&gt;0,KC4,"")</f>
        <v>2</v>
      </c>
      <c r="KQ4" s="11">
        <f t="shared" ref="KQ4:KQ24" si="124">IF(KD4&gt;0,KD4,"")</f>
        <v>1.87</v>
      </c>
      <c r="KR4" s="11">
        <f t="shared" ref="KR4:KR24" si="125">IF(SUM(KA4:KD4)-KE4&gt;0,SUM(KA4:KD4)-KE4,"")</f>
        <v>6.2700000000000005</v>
      </c>
      <c r="KS4" s="11">
        <f t="shared" ref="KS4:KS24" si="126">IF(SUM(KL4,KO4,KR4)&gt;0,SUM(KL4,KO4,KR4),"")</f>
        <v>123.19</v>
      </c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36" t="str">
        <f t="shared" ref="LN4:LN24" si="127">IF(KV4&gt;0,KV4,"")</f>
        <v/>
      </c>
      <c r="LO4" s="36" t="str">
        <f t="shared" ref="LO4:LO24" si="128">IF(KW4&gt;0,KW4,"")</f>
        <v/>
      </c>
      <c r="LP4" s="36" t="str">
        <f t="shared" ref="LP4:LP24" si="129">IF(SUM(KT4:KW4)-KX4&gt;0,SUM(KT4:KW4)-KX4,"")</f>
        <v/>
      </c>
      <c r="LQ4" s="36" t="str">
        <f t="shared" ref="LQ4:LQ24" si="130">IF(LA4&gt;0,LA4,"")</f>
        <v/>
      </c>
      <c r="LR4" s="36" t="str">
        <f t="shared" ref="LR4:LR24" si="131">IF(LB4&gt;0,LB4,"")</f>
        <v/>
      </c>
      <c r="LS4" s="36" t="str">
        <f t="shared" ref="LS4:LS24" si="132">IF(SUM(KY4:LB4)-LC4&gt;0,SUM(KY4:LB4)-LC4,"")</f>
        <v/>
      </c>
      <c r="LT4" s="36" t="str">
        <f t="shared" ref="LT4:LT24" si="133">IF(MAX(LP4,LS4)&gt;0,MAX(LP4,LS4),"")</f>
        <v/>
      </c>
      <c r="LU4" s="36" t="str">
        <f t="shared" ref="LU4:LU24" si="134">IF(LF4&gt;0,LF4,"")</f>
        <v/>
      </c>
      <c r="LV4" s="36" t="str">
        <f t="shared" ref="LV4:LV24" si="135">IF(LG4&gt;0,LG4,"")</f>
        <v/>
      </c>
      <c r="LW4" s="36" t="str">
        <f t="shared" ref="LW4:LW24" si="136">IF(SUM(LD4:LG4)-LH4&gt;0,SUM(LD4:LG4)-LH4,"")</f>
        <v/>
      </c>
      <c r="LX4" s="36" t="str">
        <f t="shared" ref="LX4:LX24" si="137">IF(LK4&gt;0,LK4,"")</f>
        <v/>
      </c>
      <c r="LY4" s="36" t="str">
        <f t="shared" ref="LY4:LY24" si="138">IF(LL4&gt;0,LL4,"")</f>
        <v/>
      </c>
      <c r="LZ4" s="36" t="str">
        <f t="shared" ref="LZ4:LZ24" si="139">IF(SUM(LI4:LL4)-LM4&gt;0,SUM(LI4:LL4)-LM4,"")</f>
        <v/>
      </c>
      <c r="MA4" s="36" t="str">
        <f t="shared" ref="MA4:MA24" si="140">IF(SUM(LT4,LW4,LZ4)&gt;0,SUM(LT4,LW4,LZ4),"")</f>
        <v/>
      </c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6"/>
      <c r="MT4" s="16"/>
      <c r="MU4" s="16"/>
      <c r="MV4" s="11" t="str">
        <f t="shared" ref="MV4:MV24" si="141">IF(MD4&gt;0,MD4,"")</f>
        <v/>
      </c>
      <c r="MW4" s="11" t="str">
        <f t="shared" ref="MW4:MW24" si="142">IF(ME4&gt;0,ME4,"")</f>
        <v/>
      </c>
      <c r="MX4" s="11" t="str">
        <f t="shared" ref="MX4:MX24" si="143">IF(SUM(MB4:ME4)-MF4&gt;0,SUM(MB4:ME4)-MF4,"")</f>
        <v/>
      </c>
      <c r="MY4" s="11" t="str">
        <f t="shared" ref="MY4:MY24" si="144">IF(MI4&gt;0,MI4,"")</f>
        <v/>
      </c>
      <c r="MZ4" s="11" t="str">
        <f t="shared" ref="MZ4:MZ24" si="145">IF(MJ4&gt;0,MJ4,"")</f>
        <v/>
      </c>
      <c r="NA4" s="11" t="str">
        <f t="shared" ref="NA4:NA24" si="146">IF(SUM(MG4:MJ4)-MK4&gt;0,SUM(MG4:MJ4)-MK4,"")</f>
        <v/>
      </c>
      <c r="NB4" s="11" t="str">
        <f t="shared" ref="NB4:NB24" si="147">IF(MAX(MX4,NA4)&gt;0,MAX(MX4,NA4),"")</f>
        <v/>
      </c>
      <c r="NC4" s="11" t="str">
        <f t="shared" ref="NC4:NC24" si="148">IF(MN4&gt;0,MN4,"")</f>
        <v/>
      </c>
      <c r="ND4" s="11" t="str">
        <f t="shared" ref="ND4:ND24" si="149">IF(MO4&gt;0,MO4,"")</f>
        <v/>
      </c>
      <c r="NE4" s="11" t="str">
        <f t="shared" ref="NE4:NE24" si="150">IF(SUM(ML4:MO4)-MP4&gt;0,SUM(ML4:MO4)-MP4,"")</f>
        <v/>
      </c>
      <c r="NF4" s="11" t="str">
        <f t="shared" ref="NF4:NF24" si="151">IF(MS4&gt;0,MS4,"")</f>
        <v/>
      </c>
      <c r="NG4" s="11" t="str">
        <f t="shared" ref="NG4:NG24" si="152">IF(MT4&gt;0,MT4,"")</f>
        <v/>
      </c>
      <c r="NH4" s="11" t="str">
        <f t="shared" ref="NH4:NH24" si="153">IF(SUM(MQ4:MT4)-MU4&gt;0,SUM(MQ4:MT4)-MU4,"")</f>
        <v/>
      </c>
      <c r="NI4" s="11" t="str">
        <f t="shared" ref="NI4:NI24" si="154">IF(SUM(NB4,NE4,NH4)&gt;0,SUM(NB4,NE4,NH4),"")</f>
        <v/>
      </c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15"/>
      <c r="OB4" s="15"/>
      <c r="OC4" s="15"/>
      <c r="OD4" s="36" t="str">
        <f t="shared" ref="OD4:OD24" si="155">IF(NL4&gt;0,NL4,"")</f>
        <v/>
      </c>
      <c r="OE4" s="36" t="str">
        <f t="shared" ref="OE4:OE24" si="156">IF(NM4&gt;0,NM4,"")</f>
        <v/>
      </c>
      <c r="OF4" s="36" t="str">
        <f t="shared" ref="OF4:OF24" si="157">IF(SUM(NJ4:NM4)-NN4&gt;0,SUM(NJ4:NM4)-NN4,"")</f>
        <v/>
      </c>
      <c r="OG4" s="36" t="str">
        <f t="shared" ref="OG4:OG24" si="158">IF(NQ4&gt;0,NQ4,"")</f>
        <v/>
      </c>
      <c r="OH4" s="36" t="str">
        <f t="shared" ref="OH4:OH24" si="159">IF(NR4&gt;0,NR4,"")</f>
        <v/>
      </c>
      <c r="OI4" s="36" t="str">
        <f t="shared" ref="OI4:OI24" si="160">IF(SUM(NO4:NR4)-NS4&gt;0,SUM(NO4:NR4)-NS4,"")</f>
        <v/>
      </c>
      <c r="OJ4" s="36" t="str">
        <f t="shared" ref="OJ4:OJ24" si="161">IF(MAX(OF4,OI4)&gt;0,MAX(OF4,OI4),"")</f>
        <v/>
      </c>
      <c r="OK4" s="36" t="str">
        <f t="shared" ref="OK4:OK24" si="162">IF(NV4&gt;0,NV4,"")</f>
        <v/>
      </c>
      <c r="OL4" s="36" t="str">
        <f t="shared" ref="OL4:OL24" si="163">IF(NW4&gt;0,NW4,"")</f>
        <v/>
      </c>
      <c r="OM4" s="36" t="str">
        <f t="shared" ref="OM4:OM24" si="164">IF(SUM(NT4:NW4)-NX4&gt;0,SUM(NT4:NW4)-NX4,"")</f>
        <v/>
      </c>
      <c r="ON4" s="36" t="str">
        <f t="shared" ref="ON4:ON24" si="165">IF(OA4&gt;0,OA4,"")</f>
        <v/>
      </c>
      <c r="OO4" s="36" t="str">
        <f t="shared" ref="OO4:OO24" si="166">IF(OB4&gt;0,OB4,"")</f>
        <v/>
      </c>
      <c r="OP4" s="36" t="str">
        <f t="shared" ref="OP4:OP24" si="167">IF(SUM(NY4:OB4)-OC4&gt;0,SUM(NY4:OB4)-OC4,"")</f>
        <v/>
      </c>
      <c r="OQ4" s="36" t="str">
        <f t="shared" ref="OQ4:OQ24" si="168">IF(SUM(OJ4,OM4,OP4)&gt;0,SUM(OJ4,OM4,OP4),"")</f>
        <v/>
      </c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6"/>
      <c r="PJ4" s="16"/>
      <c r="PK4" s="16"/>
      <c r="PL4" s="11" t="str">
        <f t="shared" ref="PL4:PL24" si="169">IF(OT4&gt;0,OT4,"")</f>
        <v/>
      </c>
      <c r="PM4" s="11" t="str">
        <f t="shared" ref="PM4:PM24" si="170">IF(OU4&gt;0,OU4,"")</f>
        <v/>
      </c>
      <c r="PN4" s="11" t="str">
        <f t="shared" ref="PN4:PN24" si="171">IF(SUM(OR4:OU4)-OV4&gt;0,SUM(OR4:OU4)-OV4,"")</f>
        <v/>
      </c>
      <c r="PO4" s="11" t="str">
        <f t="shared" ref="PO4:PO24" si="172">IF(OY4&gt;0,OY4,"")</f>
        <v/>
      </c>
      <c r="PP4" s="11" t="str">
        <f t="shared" ref="PP4:PP24" si="173">IF(OZ4&gt;0,OZ4,"")</f>
        <v/>
      </c>
      <c r="PQ4" s="11" t="str">
        <f t="shared" ref="PQ4:PQ24" si="174">IF(SUM(OW4:OZ4)-PA4&gt;0,SUM(OW4:OZ4)-PA4,"")</f>
        <v/>
      </c>
      <c r="PR4" s="11" t="str">
        <f t="shared" ref="PR4:PR24" si="175">IF(MAX(PN4,PQ4)&gt;0,MAX(PN4,PQ4),"")</f>
        <v/>
      </c>
      <c r="PS4" s="11" t="str">
        <f t="shared" ref="PS4:PS24" si="176">IF(PD4&gt;0,PD4,"")</f>
        <v/>
      </c>
      <c r="PT4" s="11" t="str">
        <f t="shared" ref="PT4:PT24" si="177">IF(PE4&gt;0,PE4,"")</f>
        <v/>
      </c>
      <c r="PU4" s="11" t="str">
        <f t="shared" ref="PU4:PU24" si="178">IF(SUM(PB4:PE4)-PF4&gt;0,SUM(PB4:PE4)-PF4,"")</f>
        <v/>
      </c>
      <c r="PV4" s="11" t="str">
        <f t="shared" ref="PV4:PV24" si="179">IF(PI4&gt;0,PI4,"")</f>
        <v/>
      </c>
      <c r="PW4" s="11" t="str">
        <f t="shared" ref="PW4:PW24" si="180">IF(PJ4&gt;0,PJ4,"")</f>
        <v/>
      </c>
      <c r="PX4" s="11" t="str">
        <f t="shared" ref="PX4:PX24" si="181">IF(SUM(PG4:PJ4)-PK4&gt;0,SUM(PG4:PJ4)-PK4,"")</f>
        <v/>
      </c>
      <c r="PY4" s="11" t="str">
        <f t="shared" ref="PY4:PY24" si="182">IF(SUM(PR4,PU4,PX4)&gt;0,SUM(PR4,PU4,PX4),"")</f>
        <v/>
      </c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15"/>
      <c r="QR4" s="15"/>
      <c r="QS4" s="15"/>
      <c r="QT4" s="36" t="str">
        <f t="shared" ref="QT4:QT24" si="183">IF(QB4&gt;0,QB4,"")</f>
        <v/>
      </c>
      <c r="QU4" s="36" t="str">
        <f t="shared" ref="QU4:QU24" si="184">IF(QC4&gt;0,QC4,"")</f>
        <v/>
      </c>
      <c r="QV4" s="36" t="str">
        <f t="shared" ref="QV4:QV24" si="185">IF(SUM(PZ4:QC4)-QD4&gt;0,SUM(PZ4:QC4)-QD4,"")</f>
        <v/>
      </c>
      <c r="QW4" s="36" t="str">
        <f t="shared" ref="QW4:QW24" si="186">IF(QG4&gt;0,QG4,"")</f>
        <v/>
      </c>
      <c r="QX4" s="36" t="str">
        <f t="shared" ref="QX4:QX24" si="187">IF(QH4&gt;0,QH4,"")</f>
        <v/>
      </c>
      <c r="QY4" s="36" t="str">
        <f t="shared" ref="QY4:QY24" si="188">IF(SUM(QE4:QH4)-QI4&gt;0,SUM(QE4:QH4)-QI4,"")</f>
        <v/>
      </c>
      <c r="QZ4" s="36" t="str">
        <f t="shared" ref="QZ4:QZ24" si="189">IF(MAX(QV4,QY4)&gt;0,MAX(QV4,QY4),"")</f>
        <v/>
      </c>
      <c r="RA4" s="36" t="str">
        <f t="shared" ref="RA4:RA24" si="190">IF(QL4&gt;0,QL4,"")</f>
        <v/>
      </c>
      <c r="RB4" s="36" t="str">
        <f t="shared" ref="RB4:RB24" si="191">IF(QM4&gt;0,QM4,"")</f>
        <v/>
      </c>
      <c r="RC4" s="36" t="str">
        <f t="shared" ref="RC4:RC24" si="192">IF(SUM(QJ4:QM4)-QN4&gt;0,SUM(QJ4:QM4)-QN4,"")</f>
        <v/>
      </c>
      <c r="RD4" s="36" t="str">
        <f t="shared" ref="RD4:RD24" si="193">IF(QQ4&gt;0,QQ4,"")</f>
        <v/>
      </c>
      <c r="RE4" s="36" t="str">
        <f t="shared" ref="RE4:RE24" si="194">IF(QR4&gt;0,QR4,"")</f>
        <v/>
      </c>
      <c r="RF4" s="36" t="str">
        <f t="shared" ref="RF4:RF24" si="195">IF(SUM(QO4:QR4)-QS4&gt;0,SUM(QO4:QR4)-QS4,"")</f>
        <v/>
      </c>
      <c r="RG4" s="36" t="str">
        <f t="shared" ref="RG4:RG24" si="196">IF(SUM(QZ4,RC4,RF4)&gt;0,SUM(QZ4,RC4,RF4),"")</f>
        <v/>
      </c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6"/>
      <c r="RZ4" s="16"/>
      <c r="SA4" s="16"/>
      <c r="SB4" s="11" t="str">
        <f t="shared" ref="SB4:SB24" si="197">IF(RJ4&gt;0,RJ4,"")</f>
        <v/>
      </c>
      <c r="SC4" s="11" t="str">
        <f t="shared" ref="SC4:SC24" si="198">IF(RK4&gt;0,RK4,"")</f>
        <v/>
      </c>
      <c r="SD4" s="11" t="str">
        <f t="shared" ref="SD4:SD24" si="199">IF(SUM(RH4:RK4)-RL4&gt;0,SUM(RH4:RK4)-RL4,"")</f>
        <v/>
      </c>
      <c r="SE4" s="11" t="str">
        <f t="shared" ref="SE4:SE24" si="200">IF(RO4&gt;0,RO4,"")</f>
        <v/>
      </c>
      <c r="SF4" s="11" t="str">
        <f t="shared" ref="SF4:SF24" si="201">IF(RP4&gt;0,RP4,"")</f>
        <v/>
      </c>
      <c r="SG4" s="11" t="str">
        <f t="shared" ref="SG4:SG24" si="202">IF(SUM(RM4:RP4)-RQ4&gt;0,SUM(RM4:RP4)-RQ4,"")</f>
        <v/>
      </c>
      <c r="SH4" s="11" t="str">
        <f t="shared" ref="SH4:SH24" si="203">IF(MAX(SD4,SG4)&gt;0,MAX(SD4,SG4),"")</f>
        <v/>
      </c>
      <c r="SI4" s="11" t="str">
        <f t="shared" ref="SI4:SI24" si="204">IF(RT4&gt;0,RT4,"")</f>
        <v/>
      </c>
      <c r="SJ4" s="11" t="str">
        <f t="shared" ref="SJ4:SJ24" si="205">IF(RU4&gt;0,RU4,"")</f>
        <v/>
      </c>
      <c r="SK4" s="11" t="str">
        <f t="shared" ref="SK4:SK24" si="206">IF(SUM(RR4:RU4)-RV4&gt;0,SUM(RR4:RU4)-RV4,"")</f>
        <v/>
      </c>
      <c r="SL4" s="11" t="str">
        <f t="shared" ref="SL4:SL24" si="207">IF(RY4&gt;0,RY4,"")</f>
        <v/>
      </c>
      <c r="SM4" s="11" t="str">
        <f t="shared" ref="SM4:SM24" si="208">IF(RZ4&gt;0,RZ4,"")</f>
        <v/>
      </c>
      <c r="SN4" s="11" t="str">
        <f t="shared" ref="SN4:SN24" si="209">IF(SUM(RW4:RZ4)-SA4&gt;0,SUM(RW4:RZ4)-SA4,"")</f>
        <v/>
      </c>
      <c r="SO4" s="11" t="str">
        <f t="shared" ref="SO4:SO24" si="210">IF(SUM(SH4,SK4,SN4)&gt;0,SUM(SH4,SK4,SN4),"")</f>
        <v/>
      </c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15"/>
      <c r="TH4" s="15"/>
      <c r="TI4" s="15"/>
      <c r="TJ4" s="36" t="str">
        <f t="shared" ref="TJ4:TJ24" si="211">IF(SR4&gt;0,SR4,"")</f>
        <v/>
      </c>
      <c r="TK4" s="36" t="str">
        <f t="shared" ref="TK4:TK24" si="212">IF(SS4&gt;0,SS4,"")</f>
        <v/>
      </c>
      <c r="TL4" s="36" t="str">
        <f t="shared" ref="TL4:TL24" si="213">IF(SUM(SP4:SS4)-ST4&gt;0,SUM(SP4:SS4)-ST4,"")</f>
        <v/>
      </c>
      <c r="TM4" s="36" t="str">
        <f t="shared" ref="TM4:TM24" si="214">IF(SW4&gt;0,SW4,"")</f>
        <v/>
      </c>
      <c r="TN4" s="36" t="str">
        <f t="shared" ref="TN4:TN24" si="215">IF(SX4&gt;0,SX4,"")</f>
        <v/>
      </c>
      <c r="TO4" s="36" t="str">
        <f t="shared" ref="TO4:TO24" si="216">IF(SUM(SU4:SX4)-SY4&gt;0,SUM(SU4:SX4)-SY4,"")</f>
        <v/>
      </c>
      <c r="TP4" s="36" t="str">
        <f t="shared" ref="TP4:TP24" si="217">IF(MAX(TL4,TO4)&gt;0,MAX(TL4,TO4),"")</f>
        <v/>
      </c>
      <c r="TQ4" s="36" t="str">
        <f t="shared" ref="TQ4:TQ24" si="218">IF(TB4&gt;0,TB4,"")</f>
        <v/>
      </c>
      <c r="TR4" s="36" t="str">
        <f t="shared" ref="TR4:TR24" si="219">IF(TC4&gt;0,TC4,"")</f>
        <v/>
      </c>
      <c r="TS4" s="36" t="str">
        <f t="shared" ref="TS4:TS24" si="220">IF(SUM(SZ4:TC4)-TD4&gt;0,SUM(SZ4:TC4)-TD4,"")</f>
        <v/>
      </c>
      <c r="TT4" s="36" t="str">
        <f t="shared" ref="TT4:TT24" si="221">IF(TG4&gt;0,TG4,"")</f>
        <v/>
      </c>
      <c r="TU4" s="36" t="str">
        <f t="shared" ref="TU4:TU24" si="222">IF(TH4&gt;0,TH4,"")</f>
        <v/>
      </c>
      <c r="TV4" s="36" t="str">
        <f t="shared" ref="TV4:TV24" si="223">IF(SUM(TE4:TH4)-TI4&gt;0,SUM(TE4:TH4)-TI4,"")</f>
        <v/>
      </c>
      <c r="TW4" s="36" t="str">
        <f t="shared" ref="TW4:TW24" si="224">IF(SUM(TP4,TS4,TV4)&gt;0,SUM(TP4,TS4,TV4),"")</f>
        <v/>
      </c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6"/>
      <c r="UP4" s="16"/>
      <c r="UQ4" s="16"/>
      <c r="UR4" s="11" t="str">
        <f t="shared" ref="UR4:UR24" si="225">IF(TZ4&gt;0,TZ4,"")</f>
        <v/>
      </c>
      <c r="US4" s="11" t="str">
        <f t="shared" ref="US4:US24" si="226">IF(UA4&gt;0,UA4,"")</f>
        <v/>
      </c>
      <c r="UT4" s="11" t="str">
        <f t="shared" ref="UT4:UT24" si="227">IF(SUM(TX4:UA4)-UB4&gt;0,SUM(TX4:UA4)-UB4,"")</f>
        <v/>
      </c>
      <c r="UU4" s="11" t="str">
        <f t="shared" ref="UU4:UU24" si="228">IF(UE4&gt;0,UE4,"")</f>
        <v/>
      </c>
      <c r="UV4" s="11" t="str">
        <f t="shared" ref="UV4:UV24" si="229">IF(UF4&gt;0,UF4,"")</f>
        <v/>
      </c>
      <c r="UW4" s="11" t="str">
        <f t="shared" ref="UW4:UW24" si="230">IF(SUM(UC4:UF4)-UG4&gt;0,SUM(UC4:UF4)-UG4,"")</f>
        <v/>
      </c>
      <c r="UX4" s="11" t="str">
        <f t="shared" ref="UX4:UX24" si="231">IF(MAX(UT4,UW4)&gt;0,MAX(UT4,UW4),"")</f>
        <v/>
      </c>
      <c r="UY4" s="11" t="str">
        <f t="shared" ref="UY4:UY24" si="232">IF(UJ4&gt;0,UJ4,"")</f>
        <v/>
      </c>
      <c r="UZ4" s="11" t="str">
        <f t="shared" ref="UZ4:UZ24" si="233">IF(UK4&gt;0,UK4,"")</f>
        <v/>
      </c>
      <c r="VA4" s="11" t="str">
        <f t="shared" ref="VA4:VA24" si="234">IF(SUM(UH4:UK4)-UL4&gt;0,SUM(UH4:UK4)-UL4,"")</f>
        <v/>
      </c>
      <c r="VB4" s="11" t="str">
        <f t="shared" ref="VB4:VB24" si="235">IF(UO4&gt;0,UO4,"")</f>
        <v/>
      </c>
      <c r="VC4" s="11" t="str">
        <f t="shared" ref="VC4:VC24" si="236">IF(UP4&gt;0,UP4,"")</f>
        <v/>
      </c>
      <c r="VD4" s="11" t="str">
        <f t="shared" ref="VD4:VD24" si="237">IF(SUM(UM4:UP4)-UQ4&gt;0,SUM(UM4:UP4)-UQ4,"")</f>
        <v/>
      </c>
      <c r="VE4" s="11" t="str">
        <f t="shared" ref="VE4:VE24" si="238">IF(SUM(UX4,VA4,VD4)&gt;0,SUM(UX4,VA4,VD4),"")</f>
        <v/>
      </c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15"/>
      <c r="VX4" s="15"/>
      <c r="VY4" s="15"/>
      <c r="VZ4" s="36" t="str">
        <f t="shared" ref="VZ4:VZ24" si="239">IF(VH4&gt;0,VH4,"")</f>
        <v/>
      </c>
      <c r="WA4" s="36" t="str">
        <f t="shared" ref="WA4:WA24" si="240">IF(VI4&gt;0,VI4,"")</f>
        <v/>
      </c>
      <c r="WB4" s="36" t="str">
        <f t="shared" ref="WB4:WB24" si="241">IF(SUM(VF4:VI4)-VJ4&gt;0,SUM(VF4:VI4)-VJ4,"")</f>
        <v/>
      </c>
      <c r="WC4" s="36" t="str">
        <f t="shared" ref="WC4:WC24" si="242">IF(VM4&gt;0,VM4,"")</f>
        <v/>
      </c>
      <c r="WD4" s="36" t="str">
        <f t="shared" ref="WD4:WD24" si="243">IF(VN4&gt;0,VN4,"")</f>
        <v/>
      </c>
      <c r="WE4" s="36" t="str">
        <f t="shared" ref="WE4:WE24" si="244">IF(SUM(VK4:VN4)-VO4&gt;0,SUM(VK4:VN4)-VO4,"")</f>
        <v/>
      </c>
      <c r="WF4" s="36" t="str">
        <f t="shared" ref="WF4:WF24" si="245">IF(MAX(WB4,WE4)&gt;0,MAX(WB4,WE4),"")</f>
        <v/>
      </c>
      <c r="WG4" s="36" t="str">
        <f t="shared" ref="WG4:WG24" si="246">IF(VR4&gt;0,VR4,"")</f>
        <v/>
      </c>
      <c r="WH4" s="36" t="str">
        <f t="shared" ref="WH4:WH24" si="247">IF(VS4&gt;0,VS4,"")</f>
        <v/>
      </c>
      <c r="WI4" s="36" t="str">
        <f t="shared" ref="WI4:WI24" si="248">IF(SUM(VP4:VS4)-VT4&gt;0,SUM(VP4:VS4)-VT4,"")</f>
        <v/>
      </c>
      <c r="WJ4" s="36" t="str">
        <f t="shared" ref="WJ4:WJ24" si="249">IF(VW4&gt;0,VW4,"")</f>
        <v/>
      </c>
      <c r="WK4" s="36" t="str">
        <f t="shared" ref="WK4:WK24" si="250">IF(VX4&gt;0,VX4,"")</f>
        <v/>
      </c>
      <c r="WL4" s="36" t="str">
        <f t="shared" ref="WL4:WL24" si="251">IF(SUM(VU4:VX4)-VY4&gt;0,SUM(VU4:VX4)-VY4,"")</f>
        <v/>
      </c>
      <c r="WM4" s="36" t="str">
        <f t="shared" ref="WM4:WM24" si="252">IF(SUM(WF4,WI4,WL4)&gt;0,SUM(WF4,WI4,WL4),"")</f>
        <v/>
      </c>
    </row>
    <row r="5" spans="1:611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4</v>
      </c>
      <c r="C5" s="4" t="s">
        <v>5</v>
      </c>
      <c r="D5" s="4">
        <v>1992</v>
      </c>
      <c r="E5" s="9">
        <f t="shared" si="0"/>
        <v>171.25001695500572</v>
      </c>
      <c r="F5" s="3" t="str">
        <f>IF(OR(AND(AI5&gt;=AS$27,AI5&lt;&gt;"",AK5&gt;=AS$31,AK5&lt;&gt;"",AH5=""),AND(AL5&gt;=AS$27,AL5&lt;&gt;"",AN5&gt;=AS$31,AN5&lt;&gt;"",AH5=""),AND(AP5&gt;=AS$27,AP5&lt;&gt;"",AR5&gt;=AS$31,AR5&lt;&gt;"",AH5=""),AND(BJ5&gt;=BT$27,BJ5&lt;&gt;"",BL5&gt;=BT$31,BL5&lt;&gt;"",BI5=""),AND(BM5&gt;=BT$27,BM5&lt;&gt;"",BO5&gt;=BT$31,BO5&lt;&gt;"",BI5=""),AND(BQ5&gt;=BT$27,BQ5&lt;&gt;"",BS5&gt;=BT$31,BS5&lt;&gt;"",BI5=""),AND(CK5&gt;=CU$27,CK5&lt;&gt;"",CM5&gt;=CU$31,CM5&lt;&gt;"",CJ5=""),AND(CN5&gt;=CU$27,CN5&lt;&gt;"",CP5&gt;=CU$31,CP5&lt;&gt;"",CJ5=""),AND(CR5&gt;=CU$27,CR5&lt;&gt;"",CT5&gt;=CU$31,CT5&lt;&gt;"",CJ5=""),AND(DR5&gt;=EE$27,DR5&lt;&gt;"",DT5&gt;=EE$31,DT5&lt;&gt;""),AND(DU5&gt;=EE$27,DU5&lt;&gt;"",DW5&gt;=EE$31,DW5&lt;&gt;""),AND(DY5&gt;=EE$27,DY5&lt;&gt;"",EA5&gt;=EE$31,EA5&lt;&gt;""),AND(EB5&gt;=EE$27,EB5&lt;&gt;"",ED5&gt;=EE$31,ED5&lt;&gt;""),AND(EZ5&gt;=FM$27,EZ5&lt;&gt;"",FB5&gt;=FM$31,FB5&lt;&gt;""),AND(FC5&gt;=FM$27,FC5&lt;&gt;"",FE5&gt;=FM$31,FE5&lt;&gt;""),AND(FG5&gt;=FM$27,FG5&lt;&gt;"",FI5&gt;=FM$31,FI5&lt;&gt;""),AND(FJ5&gt;=FM$27,FJ5&lt;&gt;"",FL5&gt;=FM$31,FL5&lt;&gt;""),AND(GH5&gt;=GU$27,GH5&lt;&gt;"",GJ5&gt;=GU$31,GJ5&lt;&gt;""),AND(GK5&gt;=GU$27,GK5&lt;&gt;"",GM5&gt;=GU$31,GM5&lt;&gt;""),AND(GO5&gt;=GU$27,GO5&lt;&gt;"",GQ5&gt;=GU$31,GQ5&lt;&gt;""),AND(GR5&gt;=GU$27,GR5&lt;&gt;"",GT5&gt;=GU$31,GT5&lt;&gt;""),AND(HP5&gt;=IC$27,HP5&lt;&gt;"",HR5&gt;=IC$31,HR5&lt;&gt;""),AND(HS5&gt;=IC$27,HS5&lt;&gt;"",HU5&gt;=IC$31,HU5&lt;&gt;""),AND(HW5&gt;=IC$27,HW5&lt;&gt;"",HY5&gt;=IC$31,HY5&lt;&gt;""),AND(HZ5&gt;=IC$27,HZ5&lt;&gt;"",IB5&gt;=IC$31,IB5&lt;&gt;""),AND(IX5&gt;=JK$27,IX5&lt;&gt;"",IZ5&gt;=JK$31,IZ5&lt;&gt;""),AND(JA5&gt;=JK$27,JA5&lt;&gt;"",JC5&gt;=JK$31,JC5&lt;&gt;""),AND(JE5&gt;=JK$27,JE5&lt;&gt;"",JG5&gt;=JK$31,JG5&lt;&gt;""),AND(JH5&gt;=JK$27,JH5&lt;&gt;"",JJ5&gt;=JK$31,JJ5&lt;&gt;""),AND(KF5&gt;=KS$27,KF5&lt;&gt;"",KH5&gt;=KS$31,KH5&lt;&gt;""),AND(KI5&gt;=KS$27,KI5&lt;&gt;"",KK5&gt;=KS$31,KK5&lt;&gt;""),AND(KM5&gt;=KS$27,KM5&lt;&gt;"",KO5&gt;=KS$31,KO5&lt;&gt;""),AND(KP5&gt;=KS$27,KP5&lt;&gt;"",KR5&gt;=KS$31,KR5&lt;&gt;""),AND(LN5&gt;=MA$27,LN5&lt;&gt;"",LP5&gt;=MA$31,LP5&lt;&gt;""),AND(LQ5&gt;=MA$27,LQ5&lt;&gt;"",LS5&gt;=MA$31,LS5&lt;&gt;""),AND(LU5&gt;=MA$27,LU5&lt;&gt;"",LW5&gt;=MA$31,LW5&lt;&gt;""),AND(LX5&gt;=MA$27,LX5&lt;&gt;"",LZ5&gt;=MA$31,LZ5&lt;&gt;""),AND(MV5&gt;=NI$27,MV5&lt;&gt;"",MX5&gt;=NI$31,MX5&lt;&gt;""),AND(MY5&gt;=NI$27,MY5&lt;&gt;"",NA5&gt;=NI$31,NA5&lt;&gt;""),AND(NC5&gt;=NI$27,NC5&lt;&gt;"",NE5&gt;=NI$31,NE5&lt;&gt;""),AND(NF5&gt;=NI$27,NF5&lt;&gt;"",NH5&gt;=NI$31,NH5&lt;&gt;""),AND(OD5&gt;=OQ$27,OD5&lt;&gt;"",OF5&gt;=OQ$31,OF5&lt;&gt;""),AND(OG5&gt;=OQ$27,OG5&lt;&gt;"",OI5&gt;=OQ$31,OI5&lt;&gt;""),AND(OK5&gt;=OQ$27,OK5&lt;&gt;"",OM5&gt;=OQ$31,OM5&lt;&gt;""),AND(ON5&gt;=OQ$27,ON5&lt;&gt;"",OP5&gt;=OQ$31,OP5&lt;&gt;""),AND(PL5&gt;=PY$27,PL5&lt;&gt;"",PN5&gt;=PY$31,PN5&lt;&gt;""),AND(PO5&gt;=PY$27,PO5&lt;&gt;"",PQ5&gt;=PY$31,PQ5&lt;&gt;""),AND(PS5&gt;=PY$27,PS5&lt;&gt;"",PU5&gt;=PY$31,PU5&lt;&gt;""),AND(PV5&gt;=PY$27,PV5&lt;&gt;"",PX5&gt;=PY$31,PX5&lt;&gt;""),AND(QT5&gt;=RG$27,QT5&lt;&gt;"",QV5&gt;=RG$31,QV5&lt;&gt;""),AND(QW5&gt;=RG$27,QW5&lt;&gt;"",QY5&gt;=RG$31,QY5&lt;&gt;""),AND(RA5&gt;=RG$27,RA5&lt;&gt;"",RC5&gt;=RG$31,RC5&lt;&gt;""),AND(RD5&gt;=RG$27,RD5&lt;&gt;"",RF5&gt;=RG$31,RF5&lt;&gt;""),AND(SB5&gt;=SO$27,SB5&lt;&gt;"",SD5&gt;=SO$31,SD5&lt;&gt;""),AND(SE5&gt;=SO$27,SE5&lt;&gt;"",SG5&gt;=SO$31,SG5&lt;&gt;""),AND(SI5&gt;=SO$27,SI5&lt;&gt;"",SK5&gt;=SO$31,SK5&lt;&gt;""),AND(SL5&gt;=SO$27,SL5&lt;&gt;"",SN5&gt;=SO$31,SN5&lt;&gt;""),AND(TJ5&gt;=TW$27,TJ5&lt;&gt;"",TL5&gt;=TW$31,TL5&lt;&gt;""),AND(TM5&gt;=TW$27,TM5&lt;&gt;"",TO5&gt;=TW$31,TO5&lt;&gt;""),AND(TQ5&gt;=TW$27,TQ5&lt;&gt;"",TS5&gt;=TW$31,TXQ5&lt;&gt;""),AND(TT5&gt;=TW$27,TT5&lt;&gt;"",TV5&gt;=TW$31,TV5&lt;&gt;""),AND(UR5&gt;=VE$27,UR5&lt;&gt;"",UT5&gt;=VE$31,UT5&lt;&gt;""),AND(UU5&gt;=VE$27,UU5&lt;&gt;"",UW5&gt;=VE$31,UW5&lt;&gt;""),AND(UY5&gt;=VE$27,UY5&lt;&gt;"",VA5&gt;=VE$31,VA5&lt;&gt;""),AND(VB5&gt;=VE$27,VB5&lt;&gt;"",VD5&gt;=VE$31,VD5&lt;&gt;""),AND(VZ5&gt;=WM$27,VZ5&lt;&gt;"",WB5&gt;=WM$31,WB5&lt;&gt;""),AND(WC5&gt;=WM$27,WC5&lt;&gt;"",WE5&gt;=WM$31,WE5&lt;&gt;""),AND(WG5&gt;=WM$27,WG5&lt;&gt;"",WI5&gt;=WM$31,WI5&lt;&gt;""),AND(WJ5&gt;=WM$27,WJ5&lt;&gt;"",WL5&gt;=WM$31,WL5&lt;&gt;"")),"P","")</f>
        <v>P</v>
      </c>
      <c r="G5" s="3" t="str">
        <f>IF(OR(AND(AK5&gt;=AS$31,AK5&lt;&gt;"",AH5=""),AND(AN5&gt;=AS$31,AN5&lt;&gt;"",AH5=""),AND(AR5&gt;=AS$31,AR5&lt;&gt;"",AH5=""),AND(BL5&gt;=BT$31,BL5&lt;&gt;"",BI5=""),AND(BO5&gt;=BT$31,BO5&lt;&gt;"",BI5=""),AND(BS5&gt;=BT$31,BS5&lt;&gt;"",BI5=""),AND(CM5&gt;=CU$31,CM5&lt;&gt;"",CJ5=""),AND(CP5&gt;=CU$31,CP5&lt;&gt;"",CJ5=""),AND(CT5&gt;=CU$31,CT5&lt;&gt;"",CJ5=""),AND(DT5&gt;=EE$31,DT5&lt;&gt;""),AND(DW5&gt;=EE$31,DW5&lt;&gt;""),AND(EA5&gt;=EE$31,EA5&lt;&gt;""),AND(ED5&gt;=EE$31,ED5&lt;&gt;""),AND(FB5&gt;=FM$31,FB5&lt;&gt;""),AND(FE5&gt;=FM$31,FE5&lt;&gt;""),AND(FI5&gt;=FM$31,FI5&lt;&gt;""),AND(FL5&gt;=FM$31,FL5&lt;&gt;""),AND(GJ5&gt;=GU$31,GJ5&lt;&gt;""),AND(GM5&gt;=GU$31,GM5&lt;&gt;""),AND(GQ5&gt;=GU$31,GQ5&lt;&gt;""),AND(GT5&gt;=GU$31,GT5&lt;&gt;""),AND(HR5&gt;=IC$31,HR5&lt;&gt;""),AND(HU5&gt;=IC$31,HU5&lt;&gt;""),AND(HY5&gt;=IC$31,HY5&lt;&gt;""),AND(IB5&gt;=IC$31,IB5&lt;&gt;""),AND(IZ5&gt;=JK$31,IZ5&lt;&gt;""),AND(JC5&gt;=JK$31,JC5&lt;&gt;""),AND(JG5&gt;=JK$31,JG5&lt;&gt;""),AND(JJ5&gt;=JK$31,JJ5&lt;&gt;""),AND(KH5&gt;=KS$31,KH5&lt;&gt;""),AND(KK5&gt;=KS$31,KK5&lt;&gt;""),AND(KO5&gt;=KS$31,KO5&lt;&gt;""),AND(KR5&gt;=KS$31,KR5&lt;&gt;""),AND(LP5&gt;=MA$31,LP5&lt;&gt;""),AND(LS5&gt;=MA$31,LS5&lt;&gt;""),AND(LW5&gt;=MA$31,LW5&lt;&gt;""),AND(LZ5&gt;=MA$31,LZ5&lt;&gt;""),AND(MX5&gt;=NI$31,MX5&lt;&gt;""),AND(NA5&gt;=NI$31,NA5&lt;&gt;""),AND(NE5&gt;=NI$31,NE5&lt;&gt;""),AND(NH5&gt;=NI$31,NH5&lt;&gt;""),AND(OF5&gt;=OQ$31,OF5&lt;&gt;""),AND(OI5&gt;=OQ$31,OI5&lt;&gt;""),AND(OM5&gt;=OQ$31,OM5&lt;&gt;""),AND(OP5&gt;=OQ$31,OP5&lt;&gt;""),AND(PN5&gt;=PY$31,PN5&lt;&gt;""),AND(PQ5&gt;=PY$31,PQ5&lt;&gt;""),AND(PU5&gt;=PY$31,PU5&lt;&gt;""),AND(PX5&gt;=PY$31,PX5&lt;&gt;""),AND(QV5&gt;=RG$31,QV5&lt;&gt;""),AND(QY5&gt;=RG$31,QY5&lt;&gt;""),AND(RC5&gt;=RG$31,RC5&lt;&gt;""),AND(RF5&gt;=RG$31,RF5&lt;&gt;""),AND(SD5&gt;=SO$31,SD5&lt;&gt;""),AND(SG5&gt;=SO$31,SG5&lt;&gt;""),AND(SK5&gt;=SO$31,SK5&lt;&gt;""),AND(SN5&gt;=SO$31,SN5&lt;&gt;""),AND(TL5&gt;=TW$31,TL5&lt;&gt;""),AND(TO5&gt;=TW$31,TO5&lt;&gt;""),AND(TS5&gt;=TW$31,TXQ5&lt;&gt;""),AND(TV5&gt;=TW$31,TV5&lt;&gt;""),AND(UT5&gt;=VE$31,UT5&lt;&gt;""),AND(UW5&gt;=VE$31,UW5&lt;&gt;""),AND(VA5&gt;=VE$31,VA5&lt;&gt;""),AND(VD5&gt;=VE$31,VD5&lt;&gt;""),AND(WB5&gt;=WM$31,WB5&lt;&gt;""),AND(WE5&gt;=WM$31,WE5&lt;&gt;""),AND(WI5&gt;=WM$31,WI5&lt;&gt;""),AND(WL5&gt;=WM$31,WL5&lt;&gt;"")),"P","")</f>
        <v>P</v>
      </c>
      <c r="H5" s="32" t="str">
        <f>IF(AND(G5="P",F5=""),"No DD",IF(OR(AND(AI5&gt;=AS$30,AI5&lt;&gt;"",AK5&gt;=AS$34,AK5&lt;&gt;"",AH5=""),AND(AL5&gt;=AS$30,AL5&lt;&gt;"",AN5&gt;=AS$34,AN5&lt;&gt;"",AH5=""),AND(AP5&gt;=AS$30,AP5&lt;&gt;"",AR5&gt;=AS$34,AR5&lt;&gt;"",AH5=""),AND(BJ5&gt;=BT$30,BJ5&lt;&gt;"",BL5&gt;=BT$34,BL5&lt;&gt;"",BI5=""),AND(BM5&gt;=BT$30,BM5&lt;&gt;"",BO5&gt;=BT$34,BO5&lt;&gt;"",BI5=""),AND(BQ5&gt;=BT$30,BQ5&lt;&gt;"",BS5&gt;=BT$34,BS5&lt;&gt;"",BI5=""),AND(CK5&gt;=CU$30,CK5&lt;&gt;"",CM5&gt;=CU$34,CM5&lt;&gt;"",CJ5=""),AND(CN5&gt;=CU$30,CN5&lt;&gt;"",CP5&gt;=CU$34,CP5&lt;&gt;"",CJ5=""),AND(CR5&gt;=CU$30,CR5&lt;&gt;"",CT5&gt;=CU$34,CT5&lt;&gt;"",CJ5=""),AND(DR5&gt;=EE$30,DR5&lt;&gt;"",DT5&gt;=EE$34,DT5&lt;&gt;""),AND(DU5&gt;=EE$30,DU5&lt;&gt;"",DW5&gt;=EE$34,DW5&lt;&gt;""),AND(DY5&gt;=EE$30,DY5&lt;&gt;"",EA5&gt;=EE$34,EA5&lt;&gt;""),AND(EB5&gt;=EE$30,EB5&lt;&gt;"",ED5&gt;=EE$34,ED5&lt;&gt;""),AND(EZ5&gt;=FM$30,EZ5&lt;&gt;"",FB5&gt;=FM$34,FB5&lt;&gt;""),AND(FC5&gt;=FM$30,FC5&lt;&gt;"",FE5&gt;=FM$34,FE5&lt;&gt;""),AND(FG5&gt;=FM$30,FG5&lt;&gt;"",FI5&gt;=FM$34,FI5&lt;&gt;""),AND(FJ5&gt;=FM$30,FJ5&lt;&gt;"",FL5&gt;=FM$34,FL5&lt;&gt;""),AND(GH5&gt;=GU$30,GH5&lt;&gt;"",GJ5&gt;=GU$34,GJ5&lt;&gt;""),AND(GK5&gt;=GU$30,GK5&lt;&gt;"",GM5&gt;=GU$34,GM5&lt;&gt;""),AND(GO5&gt;=GU$30,GO5&lt;&gt;"",GQ5&gt;=GU$34,GQ5&lt;&gt;""),AND(GR5&gt;=GU$30,GR5&lt;&gt;"",GT5&gt;=GU$34,GT5&lt;&gt;""),AND(HP5&gt;=IC$30,HP5&lt;&gt;"",HR5&gt;=IC$34,HR5&lt;&gt;""),AND(HS5&gt;=IC$30,HS5&lt;&gt;"",HU5&gt;=IC$34,HU5&lt;&gt;""),AND(HW5&gt;=IC$30,HW5&lt;&gt;"",HY5&gt;=IC$34,HY5&lt;&gt;""),AND(HZ5&gt;=IC$30,HZ5&lt;&gt;"",IB5&gt;=IC$34,IB5&lt;&gt;""),AND(IX5&gt;=JK$30,IX5&lt;&gt;"",IZ5&gt;=JK$34,IZ5&lt;&gt;""),AND(JA5&gt;=JK$30,JA5&lt;&gt;"",JC5&gt;=JK$34,JC5&lt;&gt;""),AND(JE5&gt;=JK$30,JE5&lt;&gt;"",JG5&gt;=JK$34,JG5&lt;&gt;""),AND(JH5&gt;=JK$30,JH5&lt;&gt;"",JJ5&gt;=JK$34,JJ5&lt;&gt;""),AND(KF5&gt;=KS$30,KF5&lt;&gt;"",KH5&gt;=KS$34,KH5&lt;&gt;""),AND(KI5&gt;=KS$30,KI5&lt;&gt;"",KK5&gt;=KS$34,KK5&lt;&gt;""),AND(KM5&gt;=KS$30,KM5&lt;&gt;"",KO5&gt;=KS$34,KO5&lt;&gt;""),AND(KP5&gt;=KS$30,KP5&lt;&gt;"",KR5&gt;=KS$34,KR5&lt;&gt;""),AND(LN5&gt;=MA$30,LN5&lt;&gt;"",LP5&gt;=MA$34,LP5&lt;&gt;""),AND(LQ5&gt;=MA$30,LQ5&lt;&gt;"",LS5&gt;=MA$34,LS5&lt;&gt;""),AND(LU5&gt;=MA$30,LU5&lt;&gt;"",LW5&gt;=MA$34,LW5&lt;&gt;""),AND(LX5&gt;=MA$30,LX5&lt;&gt;"",LZ5&gt;=MA$34,LZ5&lt;&gt;""),AND(MV5&gt;=NI$30,MV5&lt;&gt;"",MX5&gt;=NI$34,MX5&lt;&gt;""),AND(MY5&gt;=NI$30,MY5&lt;&gt;"",NA5&gt;=NI$34,NA5&lt;&gt;""),AND(NC5&gt;=NI$30,NC5&lt;&gt;"",NE5&gt;=NI$34,NE5&lt;&gt;""),AND(NF5&gt;=NI$30,NF5&lt;&gt;"",NH5&gt;=NI$34,NH5&lt;&gt;""),AND(OD5&gt;=OQ$30,OD5&lt;&gt;"",OF5&gt;=OQ$34,OF5&lt;&gt;""),AND(OG5&gt;=OQ$30,OG5&lt;&gt;"",OI5&gt;=OQ$34,OI5&lt;&gt;""),AND(OK5&gt;=OQ$30,OK5&lt;&gt;"",OM5&gt;=OQ$34,OM5&lt;&gt;""),AND(ON5&gt;=OQ$30,ON5&lt;&gt;"",OP5&gt;=OQ$34,OP5&lt;&gt;""),AND(PL5&gt;=PY$30,PL5&lt;&gt;"",PN5&gt;=PY$34,PN5&lt;&gt;""),AND(PO5&gt;=PY$30,PO5&lt;&gt;"",PQ5&gt;=PY$34,PQ5&lt;&gt;""),AND(PS5&gt;=PY$30,PS5&lt;&gt;"",PU5&gt;=PY$34,PU5&lt;&gt;""),AND(PV5&gt;=PY$30,PV5&lt;&gt;"",PX5&gt;=PY$34,PX5&lt;&gt;""),AND(QT5&gt;=RG$30,QT5&lt;&gt;"",QV5&gt;=RG$34,QV5&lt;&gt;""),AND(QW5&gt;=RG$30,QW5&lt;&gt;"",QY5&gt;=RG$34,QY5&lt;&gt;""),AND(RA5&gt;=RG$30,RA5&lt;&gt;"",RC5&gt;=RG$34,RC5&lt;&gt;""),AND(RD5&gt;=RG$30,RD5&lt;&gt;"",RF5&gt;=RG$34,RF5&lt;&gt;""),AND(SB5&gt;=SO$30,SB5&lt;&gt;"",SD5&gt;=SO$34,SD5&lt;&gt;""),AND(SE5&gt;=SO$30,SE5&lt;&gt;"",SG5&gt;=SO$34,SG5&lt;&gt;""),AND(SI5&gt;=SO$30,SI5&lt;&gt;"",SK5&gt;=SO$34,SK5&lt;&gt;""),AND(SL5&gt;=SO$30,SL5&lt;&gt;"",SN5&gt;=SO$34,SN5&lt;&gt;""),AND(TJ5&gt;=TW$30,TJ5&lt;&gt;"",TL5&gt;=TW$34,TL5&lt;&gt;""),AND(TM5&gt;=TW$30,TM5&lt;&gt;"",TO5&gt;=TW$34,TO5&lt;&gt;""),AND(TQ5&gt;=TW$30,TQ5&lt;&gt;"",TS5&gt;=TW$354,TXQ5&lt;&gt;""),AND(TT5&gt;=TW$30,TT5&lt;&gt;"",TV5&gt;=TW$34,TV5&lt;&gt;""),AND(UR5&gt;=VE$30,UR5&lt;&gt;"",UT5&gt;=VE$34,UT5&lt;&gt;""),AND(UU5&gt;=VE$30,UU5&lt;&gt;"",UW5&gt;=VE$34,UW5&lt;&gt;""),AND(UY5&gt;=VE$30,UY5&lt;&gt;"",VA5&gt;=VE$34,VA5&lt;&gt;""),AND(VB5&gt;=VE$30,VB5&lt;&gt;"",VD5&gt;=VE$34,VD5&lt;&gt;""),AND(VZ5&gt;=WM$30,VZ5&lt;&gt;"",WB5&gt;=WM$34,WB5&lt;&gt;""),AND(WC5&gt;=WM$30,WC5&lt;&gt;"",WE5&gt;=WM$34,WE5&lt;&gt;""),AND(WG5&gt;=WM$30,WG5&lt;&gt;"",WI5&gt;=WM$34,WI5&lt;&gt;""),AND(WJ5&gt;=WM$30,WJ5&lt;&gt;"",WL5&gt;=WM$34,WL5&lt;&gt;"")),"Merit",IF(OR(AND(AI5&gt;=AS$29,AI5&lt;&gt;"",AK5&gt;=AS$33,AK5&lt;&gt;"",AH5=""),AND(AL5&gt;=AS$29,AL5&lt;&gt;"",AN5&gt;=AS$33,AN5&lt;&gt;"",AH5=""),AND(AP5&gt;=AS$29,AP5&lt;&gt;"",AR5&gt;=AS$33,AR5&lt;&gt;"",AH5=""),AND(BJ5&gt;=BT$29,BJ5&lt;&gt;"",BL5&gt;=BT$33,BL5&lt;&gt;"",BI5=""),AND(BM5&gt;=BT$29,BM5&lt;&gt;"",BO5&gt;=BT$33,BO5&lt;&gt;"",BI5=""),AND(BQ5&gt;=BT$29,BQ5&lt;&gt;"",BS5&gt;=BT$33,BS5&lt;&gt;"",BI5=""),AND(CK5&gt;=CU$29,CK5&lt;&gt;"",CM5&gt;=CU$33,CM5&lt;&gt;"",CJ5=""),AND(CN5&gt;=CU$29,CN5&lt;&gt;"",CP5&gt;=CU$33,CP5&lt;&gt;"",CJ5=""),AND(CR5&gt;=CU$29,CR5&lt;&gt;"",CT5&gt;=CU$33,CT5&lt;&gt;"",CJ5=""),AND(DR5&gt;=EE$29,DR5&lt;&gt;"",DT5&gt;=EE$33,DT5&lt;&gt;""),AND(DU5&gt;=EE$29,DU5&lt;&gt;"",DW5&gt;=EE$33,DW5&lt;&gt;""),AND(DY5&gt;=EE$29,DY5&lt;&gt;"",EA5&gt;=EE$33,EA5&lt;&gt;""),AND(EB5&gt;=EE$29,EB5&lt;&gt;"",ED5&gt;=EE$33,ED5&lt;&gt;""),AND(EZ5&gt;=FM$29,EZ5&lt;&gt;"",FB5&gt;=FM$33,FB5&lt;&gt;""),AND(FC5&gt;=FM$29,FC5&lt;&gt;"",FE5&gt;=FM$33,FE5&lt;&gt;""),AND(FG5&gt;=FM$29,FG5&lt;&gt;"",FI5&gt;=FM$33,FI5&lt;&gt;""),AND(FJ5&gt;=FM$29,FJ5&lt;&gt;"",FL5&gt;=FM$33,FL5&lt;&gt;""),AND(GH5&gt;=GU$29,GH5&lt;&gt;"",GJ5&gt;=GU$33,GJ5&lt;&gt;""),AND(GK5&gt;=GU$29,GK5&lt;&gt;"",GM5&gt;=GU$33,GM5&lt;&gt;""),AND(GO5&gt;=GU$29,GO5&lt;&gt;"",GQ5&gt;=GU$33,GQ5&lt;&gt;""),AND(GR5&gt;=GU$29,GR5&lt;&gt;"",GT5&gt;=GU$33,GT5&lt;&gt;""),AND(HP5&gt;=IC$29,HP5&lt;&gt;"",HR5&gt;=IC$33,HR5&lt;&gt;""),AND(HS5&gt;=IC$29,HS5&lt;&gt;"",HU5&gt;=IC$33,HU5&lt;&gt;""),AND(HW5&gt;=IC$29,HW5&lt;&gt;"",HY5&gt;=IC$33,HY5&lt;&gt;""),AND(HZ5&gt;=IC$29,HZ5&lt;&gt;"",IB5&gt;=IC$33,IB5&lt;&gt;""),AND(IX5&gt;=JK$29,IX5&lt;&gt;"",IZ5&gt;=JK$33,IZ5&lt;&gt;""),AND(JA5&gt;=JK$29,JA5&lt;&gt;"",JC5&gt;=JK$33,JC5&lt;&gt;""),AND(JE5&gt;=JK$29,JE5&lt;&gt;"",JG5&gt;=JK$33,JG5&lt;&gt;""),AND(JH5&gt;=JK$29,JH5&lt;&gt;"",JJ5&gt;=JK$33,JJ5&lt;&gt;""),AND(KF5&gt;=KS$29,KF5&lt;&gt;"",KH5&gt;=KS$33,KH5&lt;&gt;""),AND(KI5&gt;=KS$29,KI5&lt;&gt;"",KK5&gt;=KS$33,KK5&lt;&gt;""),AND(KM5&gt;=KS$29,KM5&lt;&gt;"",KO5&gt;=KS$33,KO5&lt;&gt;""),AND(KP5&gt;=KS$29,KP5&lt;&gt;"",KR5&gt;=KS$33,KR5&lt;&gt;""),AND(LN5&gt;=MA$29,LN5&lt;&gt;"",LP5&gt;=MA$33,LP5&lt;&gt;""),AND(LQ5&gt;=MA$29,LQ5&lt;&gt;"",LS5&gt;=MA$33,LS5&lt;&gt;""),AND(LU5&gt;=MA$29,LU5&lt;&gt;"",LW5&gt;=MA$33,LW5&lt;&gt;""),AND(LX5&gt;=MA$29,LX5&lt;&gt;"",LZ5&gt;=MA$33,LZ5&lt;&gt;""),AND(MV5&gt;=NI$29,MV5&lt;&gt;"",MX5&gt;=NI$33,MX5&lt;&gt;""),AND(MY5&gt;=NI$29,MY5&lt;&gt;"",NA5&gt;=NI$33,NA5&lt;&gt;""),AND(NC5&gt;=NI$29,NC5&lt;&gt;"",NE5&gt;=NI$33,NE5&lt;&gt;""),AND(NF5&gt;=NI$29,NF5&lt;&gt;"",NH5&gt;=NI$33,NH5&lt;&gt;""),AND(OD5&gt;=OQ$29,OD5&lt;&gt;"",OF5&gt;=OQ$33,OF5&lt;&gt;""),AND(OG5&gt;=OQ$29,OG5&lt;&gt;"",OI5&gt;=OQ$33,OI5&lt;&gt;""),AND(OK5&gt;=OQ$29,OK5&lt;&gt;"",OM5&gt;=OQ$33,OM5&lt;&gt;""),AND(ON5&gt;=OQ$29,ON5&lt;&gt;"",OP5&gt;=OQ$33,OP5&lt;&gt;""),AND(PL5&gt;=PY$29,PL5&lt;&gt;"",PN5&gt;=PY$33,PN5&lt;&gt;""),AND(PO5&gt;=PY$29,PO5&lt;&gt;"",PQ5&gt;=PY$33,PQ5&lt;&gt;""),AND(PS5&gt;=PY$29,PS5&lt;&gt;"",PU5&gt;=PY$33,PU5&lt;&gt;""),AND(PV5&gt;=PY$29,PV5&lt;&gt;"",PX5&gt;=PY$33,PX5&lt;&gt;""),AND(QT5&gt;=RG$29,QT5&lt;&gt;"",QV5&gt;=RG$33,QV5&lt;&gt;""),AND(QW5&gt;=RG$29,QW5&lt;&gt;"",QY5&gt;=RG$33,QY5&lt;&gt;""),AND(RA5&gt;=RG$29,RA5&lt;&gt;"",RC5&gt;=RG$33,RC5&lt;&gt;""),AND(RD5&gt;=RG$29,RD5&lt;&gt;"",RF5&gt;=RG$33,RF5&lt;&gt;""),AND(SB5&gt;=SO$29,SB5&lt;&gt;"",SD5&gt;=SO$33,SD5&lt;&gt;""),AND(SE5&gt;=SO$29,SE5&lt;&gt;"",SG5&gt;=SO$33,SG5&lt;&gt;""),AND(SI5&gt;=SO$29,SI5&lt;&gt;"",SK5&gt;=SO$33,SK5&lt;&gt;""),AND(SL5&gt;=SO$29,SL5&lt;&gt;"",SN5&gt;=SO$33,SN5&lt;&gt;""),AND(TJ5&gt;=TW$29,TJ5&lt;&gt;"",TL5&gt;=TW$33,TL5&lt;&gt;""),AND(TM5&gt;=TW$29,TM5&lt;&gt;"",TO5&gt;=TW$33,TO5&lt;&gt;""),AND(TQ5&gt;=TW$29,TQ5&lt;&gt;"",TS5&gt;=TW$33,TXQ5&lt;&gt;""),AND(TT5&gt;=TW$29,TT5&lt;&gt;"",TV5&gt;=TW$33,TV5&lt;&gt;""),AND(UR5&gt;=VE$29,UR5&lt;&gt;"",UT5&gt;=VE$33,UT5&lt;&gt;""),AND(UU5&gt;=VE$29,UU5&lt;&gt;"",UW5&gt;=VE$33,UW5&lt;&gt;""),AND(UY5&gt;=VE$29,UY5&lt;&gt;"",VA5&gt;=VE$33,VA5&lt;&gt;""),AND(VB5&gt;=VE$29,VB5&lt;&gt;"",VD5&gt;=VE$33,VD5&lt;&gt;""),AND(VZ5&gt;=WM$29,VZ5&lt;&gt;"",WB5&gt;=WM$33,WB5&lt;&gt;""),AND(WC5&gt;=WM$29,WC5&lt;&gt;"",WE5&gt;=WM$33,WE5&lt;&gt;""),AND(WG5&gt;=WM$29,WG5&lt;&gt;"",WI5&gt;=WM$33,WI5&lt;&gt;""),AND(WJ5&gt;=WM$29,WJ5&lt;&gt;"",WL5&gt;=WM$33,WL5&lt;&gt;"")),"Excellence",IF(I5="P","Worlds Team",IF(F5="P","National Team","")))))</f>
        <v>National Team</v>
      </c>
      <c r="I5" s="3" t="str">
        <f>IF(OR(AND(AI5&gt;=AS$28,AI5&lt;&gt;"",AK5&gt;=AS$32,AK5&lt;&gt;"",AH5=""),AND(AL5&gt;=AS$28,AL5&lt;&gt;"",AN5&gt;=AS$32,AN5&lt;&gt;"",AH5=""),AND(AP5&gt;=AS$28,AP5&lt;&gt;"",AR5&gt;=AS$32,AR5&lt;&gt;"",AH5=""),AND(BJ5&gt;=BT$28,BJ5&lt;&gt;"",BL5&gt;=BT$32,BL5&lt;&gt;"",BI5=""),AND(BM5&gt;=BT$28,BM5&lt;&gt;"",BO5&gt;=BT$32,BO5&lt;&gt;"",BI5=""),AND(BQ5&gt;=BT$28,BQ5&lt;&gt;"",BS5&gt;=BT$32,BS5&lt;&gt;"",BI5=""),AND(CK5&gt;=CU$28,CK5&lt;&gt;"",CM5&gt;=CU$32,CM5&lt;&gt;"",CJ5=""),AND(CN5&gt;=CU$28,CN5&lt;&gt;"",CP5&gt;=CU$32,CP5&lt;&gt;"",CJ5=""),AND(CR5&gt;=CU$28,CR5&lt;&gt;"",CT5&gt;=CU$32,CT5&lt;&gt;"",CJ5=""),AND(DR5&gt;=EE$28,DR5&lt;&gt;"",DT5&gt;=EE$32,DT5&lt;&gt;""),AND(DU5&gt;=EE$28,DU5&lt;&gt;"",DW5&gt;=EE$32,DW5&lt;&gt;""),AND(DY5&gt;=EE$28,DY5&lt;&gt;"",EA5&gt;=EE$32,EA5&lt;&gt;""),AND(EB5&gt;=EE$28,EB5&lt;&gt;"",ED5&gt;=EE$32,ED5&lt;&gt;""),AND(EZ5&gt;=FM$28,EZ5&lt;&gt;"",FB5&gt;=FM$32,FB5&lt;&gt;""),AND(FC5&gt;=FM$28,FC5&lt;&gt;"",FE5&gt;=FM$32,FE5&lt;&gt;""),AND(FG5&gt;=FM$28,FG5&lt;&gt;"",FI5&gt;=FM$32,FI5&lt;&gt;""),AND(FJ5&gt;=FM$28,FJ5&lt;&gt;"",FL5&gt;=FM$32,FL5&lt;&gt;""),AND(GH5&gt;=GU$28,GH5&lt;&gt;"",GJ5&gt;=GU$32,GJ5&lt;&gt;""),AND(GK5&gt;=GU$28,GK5&lt;&gt;"",GM5&gt;=GU$32,GM5&lt;&gt;""),AND(GO5&gt;=GU$28,GO5&lt;&gt;"",GQ5&gt;=GU$32,GQ5&lt;&gt;""),AND(GR5&gt;=GU$28,GR5&lt;&gt;"",GT5&gt;=GU$32,GT5&lt;&gt;""),AND(HP5&gt;=IC$28,HP5&lt;&gt;"",HR5&gt;=IC$32,HR5&lt;&gt;""),AND(HS5&gt;=IC$28,HS5&lt;&gt;"",HU5&gt;=IC$32,HU5&lt;&gt;""),AND(HW5&gt;=IC$28,HW5&lt;&gt;"",HY5&gt;=IC$32,HY5&lt;&gt;""),AND(HZ5&gt;=IC$28,HZ5&lt;&gt;"",IB5&gt;=IC$32,IB5&lt;&gt;""),AND(IX5&gt;=JK$28,IX5&lt;&gt;"",IZ5&gt;=JK$32,IZ5&lt;&gt;""),AND(JA5&gt;=JK$28,JA5&lt;&gt;"",JC5&gt;=JK$32,JC5&lt;&gt;""),AND(JE5&gt;=JK$28,JE5&lt;&gt;"",JG5&gt;=JK$32,JG5&lt;&gt;""),AND(JH5&gt;=JK$28,JH5&lt;&gt;"",JJ5&gt;=JK$32,JJ5&lt;&gt;""),AND(KF5&gt;=KS$28,KF5&lt;&gt;"",KH5&gt;=KS$32,KH5&lt;&gt;""),AND(KI5&gt;=KS$28,KI5&lt;&gt;"",KK5&gt;=KS$32,KK5&lt;&gt;""),AND(KM5&gt;=KS$28,KM5&lt;&gt;"",KO5&gt;=KS$32,KO5&lt;&gt;""),AND(KP5&gt;=KS$28,KP5&lt;&gt;"",KR5&gt;=KS$32,KR5&lt;&gt;""),AND(LN5&gt;=MA$28,LN5&lt;&gt;"",LP5&gt;=MA$32,LP5&lt;&gt;""),AND(LQ5&gt;=MA$28,LQ5&lt;&gt;"",LS5&gt;=MA$32,LS5&lt;&gt;""),AND(LU5&gt;=MA$28,LU5&lt;&gt;"",LW5&gt;=MA$32,LW5&lt;&gt;""),AND(LX5&gt;=MA$28,LX5&lt;&gt;"",LZ5&gt;=MA$32,LZ5&lt;&gt;""),AND(MV5&gt;=NI$28,MV5&lt;&gt;"",MX5&gt;=NI$32,MX5&lt;&gt;""),AND(MY5&gt;=NI$28,MY5&lt;&gt;"",NA5&gt;=NI$32,NA5&lt;&gt;""),AND(NC5&gt;=NI$28,NC5&lt;&gt;"",NE5&gt;=NI$32,NE5&lt;&gt;""),AND(NF5&gt;=NI$28,NF5&lt;&gt;"",NH5&gt;=NI$32,NH5&lt;&gt;""),AND(OD5&gt;=OQ$28,OD5&lt;&gt;"",OF5&gt;=OQ$32,OF5&lt;&gt;""),AND(OG5&gt;=OQ$28,OG5&lt;&gt;"",OI5&gt;=OQ$32,OI5&lt;&gt;""),AND(OK5&gt;=OQ$28,OK5&lt;&gt;"",OM5&gt;=OQ$32,OM5&lt;&gt;""),AND(ON5&gt;=OQ$28,ON5&lt;&gt;"",OP5&gt;=OQ$32,OP5&lt;&gt;""),AND(PL5&gt;=PY$28,PL5&lt;&gt;"",PN5&gt;=PY$32,PN5&lt;&gt;""),AND(PO5&gt;=PY$28,PO5&lt;&gt;"",PQ5&gt;=PY$32,PQ5&lt;&gt;""),AND(PS5&gt;=PY$28,PS5&lt;&gt;"",PU5&gt;=PY$32,PU5&lt;&gt;""),AND(PV5&gt;=PY$28,PV5&lt;&gt;"",PX5&gt;=PY$32,PX5&lt;&gt;""),AND(QT5&gt;=RG$28,QT5&lt;&gt;"",QV5&gt;=RG$32,QV5&lt;&gt;""),AND(QW5&gt;=RG$28,QW5&lt;&gt;"",QY5&gt;=RG$32,QY5&lt;&gt;""),AND(RA5&gt;=RG$28,RA5&lt;&gt;"",RC5&gt;=RG$32,RC5&lt;&gt;""),AND(RD5&gt;=RG$28,RD5&lt;&gt;"",RF5&gt;=RG$32,RF5&lt;&gt;""),AND(SB5&gt;=SO$28,SB5&lt;&gt;"",SD5&gt;=SO$32,SD5&lt;&gt;""),AND(SE5&gt;=SO$28,SE5&lt;&gt;"",SG5&gt;=SO$32,SG5&lt;&gt;""),AND(SI5&gt;=SO$28,SI5&lt;&gt;"",SK5&gt;=SO$32,SK5&lt;&gt;""),AND(SL5&gt;=SO$28,SL5&lt;&gt;"",SN5&gt;=SO$32,SN5&lt;&gt;""),AND(TJ5&gt;=TW$28,TJ5&lt;&gt;"",TL5&gt;=TW$32,TL5&lt;&gt;""),AND(TM5&gt;=TW$28,TM5&lt;&gt;"",TO5&gt;=TW$32,TO5&lt;&gt;""),AND(TQ5&gt;=TW$28,TQ5&lt;&gt;"",TS5&gt;=TW$32,TXQ5&lt;&gt;""),AND(TT5&gt;=TW$28,TT5&lt;&gt;"",TV5&gt;=TW$32,TV5&lt;&gt;""),AND(UR5&gt;=VE$28,UR5&lt;&gt;"",UT5&gt;=VE$32,UT5&lt;&gt;""),AND(UU5&gt;=VE$28,UU5&lt;&gt;"",UW5&gt;=VE$32,UW5&lt;&gt;""),AND(UY5&gt;=VE$28,UY5&lt;&gt;"",VA5&gt;=VE$32,VA5&lt;&gt;""),AND(VB5&gt;=VE$28,VB5&lt;&gt;"",VD5&gt;=VE$32,VD5&lt;&gt;""),AND(VZ5&gt;=WM$28,VZ5&lt;&gt;"",WB5&gt;=WM$32,WB5&lt;&gt;""),AND(WC5&gt;=WM$28,WC5&lt;&gt;"",WE5&gt;=WM$32,WE5&lt;&gt;""),AND(WG5&gt;=WM$28,WG5&lt;&gt;"",WI5&gt;=WM$32,WI5&lt;&gt;""),AND(WJ5&gt;=WM$28,WJ5&lt;&gt;"",WL5&gt;=WM$32,WL5&lt;&gt;"")),"P","")</f>
        <v/>
      </c>
      <c r="J5" s="8">
        <f t="shared" si="1"/>
        <v>56.769999999999996</v>
      </c>
      <c r="K5" s="8" t="str">
        <f t="shared" si="2"/>
        <v>2025 3rd Domestic Trial</v>
      </c>
      <c r="L5" s="8">
        <f>IFERROR(IF(J5=AR5,LARGE((AK5,AN5,BL5,BO5,BS5,CM5,CP5,CT5),1),IF(J5=BS5,LARGE((AK5,AN5,AR5,BL5,BO5,CM5,CP5,CT5),1),LARGE((AK5,AN5,AR5,BL5,BO5,BS5,CM5,CP5),1))),0)</f>
        <v>57.120000000000005</v>
      </c>
      <c r="M5" s="8" t="str">
        <f t="shared" si="3"/>
        <v>2025 3rd Domestic Trial</v>
      </c>
      <c r="N5" s="8">
        <f>IFERROR(IF(J5=AR5,LARGE((AK5,AN5,BL5,BO5,BS5,CM5,CP5,CT5),2),IF(J5=BS5,LARGE((AK5,AN5,AR5,BL5,BO5,CM5,CP5,CT5),2),LARGE((AK5,AN5,AR5,BL5,BO5,BS5,CM5,CP5),2))),0)</f>
        <v>55.660000000000004</v>
      </c>
      <c r="O5" s="8" t="str">
        <f t="shared" si="4"/>
        <v>2025 Nationals</v>
      </c>
      <c r="P5" s="8">
        <f t="shared" si="5"/>
        <v>1.6999999999999957</v>
      </c>
      <c r="Q5" s="11" t="str">
        <f t="shared" si="6"/>
        <v>(Any)</v>
      </c>
      <c r="R5" s="8" t="str">
        <f t="shared" si="7"/>
        <v>2025 World Cup POR (July 6)</v>
      </c>
      <c r="S5" s="18">
        <v>16.100000000000001</v>
      </c>
      <c r="T5" s="18">
        <v>8.8000000000000007</v>
      </c>
      <c r="U5" s="18">
        <v>14.9</v>
      </c>
      <c r="V5" s="18">
        <v>15.86</v>
      </c>
      <c r="W5" s="18">
        <v>0</v>
      </c>
      <c r="X5" s="18">
        <v>5.8</v>
      </c>
      <c r="Y5" s="18">
        <v>3.4</v>
      </c>
      <c r="Z5" s="18">
        <v>6.7</v>
      </c>
      <c r="AA5" s="18">
        <v>6.41</v>
      </c>
      <c r="AB5" s="18">
        <v>0</v>
      </c>
      <c r="AC5" s="18">
        <v>15.6</v>
      </c>
      <c r="AD5" s="18">
        <v>9</v>
      </c>
      <c r="AE5" s="18">
        <v>15.7</v>
      </c>
      <c r="AF5" s="18">
        <v>15.35</v>
      </c>
      <c r="AG5" s="18">
        <v>0</v>
      </c>
      <c r="AH5" s="23"/>
      <c r="AI5" s="34">
        <f t="shared" si="8"/>
        <v>14.9</v>
      </c>
      <c r="AJ5" s="34">
        <f t="shared" si="9"/>
        <v>15.86</v>
      </c>
      <c r="AK5" s="36">
        <f t="shared" si="10"/>
        <v>55.660000000000004</v>
      </c>
      <c r="AL5" s="36">
        <f t="shared" si="11"/>
        <v>6.7</v>
      </c>
      <c r="AM5" s="36">
        <f t="shared" si="12"/>
        <v>6.41</v>
      </c>
      <c r="AN5" s="36">
        <f t="shared" si="13"/>
        <v>22.31</v>
      </c>
      <c r="AO5" s="36">
        <f t="shared" si="14"/>
        <v>55.660000000000004</v>
      </c>
      <c r="AP5" s="36">
        <f t="shared" si="15"/>
        <v>15.7</v>
      </c>
      <c r="AQ5" s="36">
        <f t="shared" si="16"/>
        <v>15.35</v>
      </c>
      <c r="AR5" s="36">
        <f t="shared" si="17"/>
        <v>55.65</v>
      </c>
      <c r="AS5" s="36">
        <f t="shared" si="18"/>
        <v>111.31</v>
      </c>
      <c r="AT5" s="22">
        <v>16.450000000000003</v>
      </c>
      <c r="AU5" s="22">
        <v>9.0500000000000007</v>
      </c>
      <c r="AV5" s="22">
        <v>15.7</v>
      </c>
      <c r="AW5" s="22">
        <v>15.92</v>
      </c>
      <c r="AX5" s="22">
        <v>0</v>
      </c>
      <c r="AY5" s="22">
        <v>3.8</v>
      </c>
      <c r="AZ5" s="22">
        <v>2.1</v>
      </c>
      <c r="BA5" s="22">
        <v>4.3499999999999996</v>
      </c>
      <c r="BB5" s="22">
        <v>4.08</v>
      </c>
      <c r="BC5" s="22">
        <v>0</v>
      </c>
      <c r="BD5" s="22">
        <v>16.2</v>
      </c>
      <c r="BE5" s="22">
        <v>8.9</v>
      </c>
      <c r="BF5" s="22">
        <v>15.9</v>
      </c>
      <c r="BG5" s="22">
        <v>15.77</v>
      </c>
      <c r="BH5" s="22">
        <v>0</v>
      </c>
      <c r="BI5" s="24" t="s">
        <v>42</v>
      </c>
      <c r="BJ5" s="35">
        <f t="shared" si="19"/>
        <v>15.7</v>
      </c>
      <c r="BK5" s="35">
        <f t="shared" si="20"/>
        <v>15.92</v>
      </c>
      <c r="BL5" s="11">
        <f t="shared" si="21"/>
        <v>57.120000000000005</v>
      </c>
      <c r="BM5" s="11">
        <f t="shared" si="22"/>
        <v>4.3499999999999996</v>
      </c>
      <c r="BN5" s="11">
        <f t="shared" si="23"/>
        <v>4.08</v>
      </c>
      <c r="BO5" s="11">
        <f t="shared" si="24"/>
        <v>14.33</v>
      </c>
      <c r="BP5" s="11">
        <f t="shared" si="25"/>
        <v>57.120000000000005</v>
      </c>
      <c r="BQ5" s="11">
        <f t="shared" si="26"/>
        <v>15.9</v>
      </c>
      <c r="BR5" s="11">
        <f t="shared" si="27"/>
        <v>15.77</v>
      </c>
      <c r="BS5" s="11">
        <f t="shared" si="28"/>
        <v>56.769999999999996</v>
      </c>
      <c r="BT5" s="11">
        <f t="shared" si="29"/>
        <v>113.89</v>
      </c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23"/>
      <c r="CK5" s="34" t="str">
        <f t="shared" si="30"/>
        <v/>
      </c>
      <c r="CL5" s="34" t="str">
        <f t="shared" si="31"/>
        <v/>
      </c>
      <c r="CM5" s="36" t="str">
        <f t="shared" si="32"/>
        <v/>
      </c>
      <c r="CN5" s="36" t="str">
        <f t="shared" si="33"/>
        <v/>
      </c>
      <c r="CO5" s="36" t="str">
        <f t="shared" si="34"/>
        <v/>
      </c>
      <c r="CP5" s="36" t="str">
        <f t="shared" si="35"/>
        <v/>
      </c>
      <c r="CQ5" s="36" t="str">
        <f t="shared" si="36"/>
        <v/>
      </c>
      <c r="CR5" s="36" t="str">
        <f t="shared" si="37"/>
        <v/>
      </c>
      <c r="CS5" s="36" t="str">
        <f t="shared" si="38"/>
        <v/>
      </c>
      <c r="CT5" s="36" t="str">
        <f t="shared" si="39"/>
        <v/>
      </c>
      <c r="CU5" s="36" t="str">
        <f t="shared" si="40"/>
        <v/>
      </c>
      <c r="CV5" s="47" t="str">
        <f t="shared" si="41"/>
        <v/>
      </c>
      <c r="CW5" s="47">
        <f t="shared" si="42"/>
        <v>1.6999999999999957</v>
      </c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36" t="str">
        <f t="shared" si="43"/>
        <v/>
      </c>
      <c r="DS5" s="36" t="str">
        <f t="shared" si="44"/>
        <v/>
      </c>
      <c r="DT5" s="36" t="str">
        <f t="shared" si="45"/>
        <v/>
      </c>
      <c r="DU5" s="36" t="str">
        <f t="shared" si="46"/>
        <v/>
      </c>
      <c r="DV5" s="36" t="str">
        <f t="shared" si="47"/>
        <v/>
      </c>
      <c r="DW5" s="36" t="str">
        <f t="shared" si="48"/>
        <v/>
      </c>
      <c r="DX5" s="36" t="str">
        <f t="shared" si="49"/>
        <v/>
      </c>
      <c r="DY5" s="36" t="str">
        <f t="shared" si="50"/>
        <v/>
      </c>
      <c r="DZ5" s="36" t="str">
        <f t="shared" si="51"/>
        <v/>
      </c>
      <c r="EA5" s="36" t="str">
        <f t="shared" si="52"/>
        <v/>
      </c>
      <c r="EB5" s="36" t="str">
        <f t="shared" si="53"/>
        <v/>
      </c>
      <c r="EC5" s="36" t="str">
        <f t="shared" si="54"/>
        <v/>
      </c>
      <c r="ED5" s="36" t="str">
        <f t="shared" si="55"/>
        <v/>
      </c>
      <c r="EE5" s="36" t="str">
        <f t="shared" si="56"/>
        <v/>
      </c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1" t="str">
        <f t="shared" si="57"/>
        <v/>
      </c>
      <c r="FA5" s="11" t="str">
        <f t="shared" si="58"/>
        <v/>
      </c>
      <c r="FB5" s="11" t="str">
        <f t="shared" si="59"/>
        <v/>
      </c>
      <c r="FC5" s="11" t="str">
        <f t="shared" si="60"/>
        <v/>
      </c>
      <c r="FD5" s="11" t="str">
        <f t="shared" si="61"/>
        <v/>
      </c>
      <c r="FE5" s="11" t="str">
        <f t="shared" si="62"/>
        <v/>
      </c>
      <c r="FF5" s="11" t="str">
        <f t="shared" si="63"/>
        <v/>
      </c>
      <c r="FG5" s="11" t="str">
        <f t="shared" si="64"/>
        <v/>
      </c>
      <c r="FH5" s="11" t="str">
        <f t="shared" si="65"/>
        <v/>
      </c>
      <c r="FI5" s="11" t="str">
        <f t="shared" si="66"/>
        <v/>
      </c>
      <c r="FJ5" s="11" t="str">
        <f t="shared" si="67"/>
        <v/>
      </c>
      <c r="FK5" s="11" t="str">
        <f t="shared" si="68"/>
        <v/>
      </c>
      <c r="FL5" s="11" t="str">
        <f t="shared" si="69"/>
        <v/>
      </c>
      <c r="FM5" s="11" t="str">
        <f t="shared" si="70"/>
        <v/>
      </c>
      <c r="FN5" s="15">
        <v>15.3</v>
      </c>
      <c r="FO5" s="15">
        <v>9.1999999999999993</v>
      </c>
      <c r="FP5" s="15">
        <v>17</v>
      </c>
      <c r="FQ5" s="15">
        <v>15.79</v>
      </c>
      <c r="FR5" s="15">
        <v>0</v>
      </c>
      <c r="FS5" s="15">
        <v>15.2</v>
      </c>
      <c r="FT5" s="15">
        <v>9.3000000000000007</v>
      </c>
      <c r="FU5" s="15">
        <v>17</v>
      </c>
      <c r="FV5" s="15">
        <v>15.86</v>
      </c>
      <c r="FW5" s="15">
        <v>0</v>
      </c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36">
        <f t="shared" si="71"/>
        <v>17</v>
      </c>
      <c r="GI5" s="36">
        <f t="shared" si="72"/>
        <v>15.79</v>
      </c>
      <c r="GJ5" s="36">
        <f t="shared" si="73"/>
        <v>57.29</v>
      </c>
      <c r="GK5" s="36">
        <f t="shared" si="74"/>
        <v>17</v>
      </c>
      <c r="GL5" s="36">
        <f t="shared" si="75"/>
        <v>15.86</v>
      </c>
      <c r="GM5" s="36">
        <f t="shared" si="76"/>
        <v>57.36</v>
      </c>
      <c r="GN5" s="36">
        <f t="shared" si="77"/>
        <v>57.36</v>
      </c>
      <c r="GO5" s="36" t="str">
        <f t="shared" si="78"/>
        <v/>
      </c>
      <c r="GP5" s="36" t="str">
        <f t="shared" si="79"/>
        <v/>
      </c>
      <c r="GQ5" s="36" t="str">
        <f t="shared" si="80"/>
        <v/>
      </c>
      <c r="GR5" s="36" t="str">
        <f t="shared" si="81"/>
        <v/>
      </c>
      <c r="GS5" s="36" t="str">
        <f t="shared" si="82"/>
        <v/>
      </c>
      <c r="GT5" s="36" t="str">
        <f t="shared" si="83"/>
        <v/>
      </c>
      <c r="GU5" s="36">
        <f t="shared" si="84"/>
        <v>57.36</v>
      </c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1" t="str">
        <f t="shared" si="85"/>
        <v/>
      </c>
      <c r="HQ5" s="11" t="str">
        <f t="shared" si="86"/>
        <v/>
      </c>
      <c r="HR5" s="11" t="str">
        <f t="shared" si="87"/>
        <v/>
      </c>
      <c r="HS5" s="11" t="str">
        <f t="shared" si="88"/>
        <v/>
      </c>
      <c r="HT5" s="11" t="str">
        <f t="shared" si="89"/>
        <v/>
      </c>
      <c r="HU5" s="11" t="str">
        <f t="shared" si="90"/>
        <v/>
      </c>
      <c r="HV5" s="11" t="str">
        <f t="shared" si="91"/>
        <v/>
      </c>
      <c r="HW5" s="11" t="str">
        <f t="shared" si="92"/>
        <v/>
      </c>
      <c r="HX5" s="11" t="str">
        <f t="shared" si="93"/>
        <v/>
      </c>
      <c r="HY5" s="11" t="str">
        <f t="shared" si="94"/>
        <v/>
      </c>
      <c r="HZ5" s="11" t="str">
        <f t="shared" si="95"/>
        <v/>
      </c>
      <c r="IA5" s="11" t="str">
        <f t="shared" si="96"/>
        <v/>
      </c>
      <c r="IB5" s="11" t="str">
        <f t="shared" si="97"/>
        <v/>
      </c>
      <c r="IC5" s="11" t="str">
        <f t="shared" si="98"/>
        <v/>
      </c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36" t="str">
        <f t="shared" si="99"/>
        <v/>
      </c>
      <c r="IY5" s="36" t="str">
        <f t="shared" si="100"/>
        <v/>
      </c>
      <c r="IZ5" s="36" t="str">
        <f t="shared" si="101"/>
        <v/>
      </c>
      <c r="JA5" s="36" t="str">
        <f t="shared" si="102"/>
        <v/>
      </c>
      <c r="JB5" s="36" t="str">
        <f t="shared" si="103"/>
        <v/>
      </c>
      <c r="JC5" s="36" t="str">
        <f t="shared" si="104"/>
        <v/>
      </c>
      <c r="JD5" s="36" t="str">
        <f t="shared" si="105"/>
        <v/>
      </c>
      <c r="JE5" s="36" t="str">
        <f t="shared" si="106"/>
        <v/>
      </c>
      <c r="JF5" s="36" t="str">
        <f t="shared" si="107"/>
        <v/>
      </c>
      <c r="JG5" s="36" t="str">
        <f t="shared" si="108"/>
        <v/>
      </c>
      <c r="JH5" s="36" t="str">
        <f t="shared" si="109"/>
        <v/>
      </c>
      <c r="JI5" s="36" t="str">
        <f t="shared" si="110"/>
        <v/>
      </c>
      <c r="JJ5" s="36" t="str">
        <f t="shared" si="111"/>
        <v/>
      </c>
      <c r="JK5" s="36" t="str">
        <f t="shared" si="112"/>
        <v/>
      </c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6"/>
      <c r="KD5" s="16"/>
      <c r="KE5" s="16"/>
      <c r="KF5" s="11" t="str">
        <f t="shared" si="113"/>
        <v/>
      </c>
      <c r="KG5" s="11" t="str">
        <f t="shared" si="114"/>
        <v/>
      </c>
      <c r="KH5" s="11" t="str">
        <f t="shared" si="115"/>
        <v/>
      </c>
      <c r="KI5" s="11" t="str">
        <f t="shared" si="116"/>
        <v/>
      </c>
      <c r="KJ5" s="11" t="str">
        <f t="shared" si="117"/>
        <v/>
      </c>
      <c r="KK5" s="11" t="str">
        <f t="shared" si="118"/>
        <v/>
      </c>
      <c r="KL5" s="11" t="str">
        <f t="shared" si="119"/>
        <v/>
      </c>
      <c r="KM5" s="11" t="str">
        <f t="shared" si="120"/>
        <v/>
      </c>
      <c r="KN5" s="11" t="str">
        <f t="shared" si="121"/>
        <v/>
      </c>
      <c r="KO5" s="11" t="str">
        <f t="shared" si="122"/>
        <v/>
      </c>
      <c r="KP5" s="11" t="str">
        <f t="shared" si="123"/>
        <v/>
      </c>
      <c r="KQ5" s="11" t="str">
        <f t="shared" si="124"/>
        <v/>
      </c>
      <c r="KR5" s="11" t="str">
        <f t="shared" si="125"/>
        <v/>
      </c>
      <c r="KS5" s="11" t="str">
        <f t="shared" si="126"/>
        <v/>
      </c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36" t="str">
        <f t="shared" si="127"/>
        <v/>
      </c>
      <c r="LO5" s="36" t="str">
        <f t="shared" si="128"/>
        <v/>
      </c>
      <c r="LP5" s="36" t="str">
        <f t="shared" si="129"/>
        <v/>
      </c>
      <c r="LQ5" s="36" t="str">
        <f t="shared" si="130"/>
        <v/>
      </c>
      <c r="LR5" s="36" t="str">
        <f t="shared" si="131"/>
        <v/>
      </c>
      <c r="LS5" s="36" t="str">
        <f t="shared" si="132"/>
        <v/>
      </c>
      <c r="LT5" s="36" t="str">
        <f t="shared" si="133"/>
        <v/>
      </c>
      <c r="LU5" s="36" t="str">
        <f t="shared" si="134"/>
        <v/>
      </c>
      <c r="LV5" s="36" t="str">
        <f t="shared" si="135"/>
        <v/>
      </c>
      <c r="LW5" s="36" t="str">
        <f t="shared" si="136"/>
        <v/>
      </c>
      <c r="LX5" s="36" t="str">
        <f t="shared" si="137"/>
        <v/>
      </c>
      <c r="LY5" s="36" t="str">
        <f t="shared" si="138"/>
        <v/>
      </c>
      <c r="LZ5" s="36" t="str">
        <f t="shared" si="139"/>
        <v/>
      </c>
      <c r="MA5" s="36" t="str">
        <f t="shared" si="140"/>
        <v/>
      </c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6"/>
      <c r="MT5" s="16"/>
      <c r="MU5" s="16"/>
      <c r="MV5" s="11" t="str">
        <f t="shared" si="141"/>
        <v/>
      </c>
      <c r="MW5" s="11" t="str">
        <f t="shared" si="142"/>
        <v/>
      </c>
      <c r="MX5" s="11" t="str">
        <f t="shared" si="143"/>
        <v/>
      </c>
      <c r="MY5" s="11" t="str">
        <f t="shared" si="144"/>
        <v/>
      </c>
      <c r="MZ5" s="11" t="str">
        <f t="shared" si="145"/>
        <v/>
      </c>
      <c r="NA5" s="11" t="str">
        <f t="shared" si="146"/>
        <v/>
      </c>
      <c r="NB5" s="11" t="str">
        <f t="shared" si="147"/>
        <v/>
      </c>
      <c r="NC5" s="11" t="str">
        <f t="shared" si="148"/>
        <v/>
      </c>
      <c r="ND5" s="11" t="str">
        <f t="shared" si="149"/>
        <v/>
      </c>
      <c r="NE5" s="11" t="str">
        <f t="shared" si="150"/>
        <v/>
      </c>
      <c r="NF5" s="11" t="str">
        <f t="shared" si="151"/>
        <v/>
      </c>
      <c r="NG5" s="11" t="str">
        <f t="shared" si="152"/>
        <v/>
      </c>
      <c r="NH5" s="11" t="str">
        <f t="shared" si="153"/>
        <v/>
      </c>
      <c r="NI5" s="11" t="str">
        <f t="shared" si="154"/>
        <v/>
      </c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36" t="str">
        <f t="shared" si="155"/>
        <v/>
      </c>
      <c r="OE5" s="36" t="str">
        <f t="shared" si="156"/>
        <v/>
      </c>
      <c r="OF5" s="36" t="str">
        <f t="shared" si="157"/>
        <v/>
      </c>
      <c r="OG5" s="36" t="str">
        <f t="shared" si="158"/>
        <v/>
      </c>
      <c r="OH5" s="36" t="str">
        <f t="shared" si="159"/>
        <v/>
      </c>
      <c r="OI5" s="36" t="str">
        <f t="shared" si="160"/>
        <v/>
      </c>
      <c r="OJ5" s="36" t="str">
        <f t="shared" si="161"/>
        <v/>
      </c>
      <c r="OK5" s="36" t="str">
        <f t="shared" si="162"/>
        <v/>
      </c>
      <c r="OL5" s="36" t="str">
        <f t="shared" si="163"/>
        <v/>
      </c>
      <c r="OM5" s="36" t="str">
        <f t="shared" si="164"/>
        <v/>
      </c>
      <c r="ON5" s="36" t="str">
        <f t="shared" si="165"/>
        <v/>
      </c>
      <c r="OO5" s="36" t="str">
        <f t="shared" si="166"/>
        <v/>
      </c>
      <c r="OP5" s="36" t="str">
        <f t="shared" si="167"/>
        <v/>
      </c>
      <c r="OQ5" s="36" t="str">
        <f t="shared" si="168"/>
        <v/>
      </c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6"/>
      <c r="PJ5" s="16"/>
      <c r="PK5" s="16"/>
      <c r="PL5" s="11" t="str">
        <f t="shared" si="169"/>
        <v/>
      </c>
      <c r="PM5" s="11" t="str">
        <f t="shared" si="170"/>
        <v/>
      </c>
      <c r="PN5" s="11" t="str">
        <f t="shared" si="171"/>
        <v/>
      </c>
      <c r="PO5" s="11" t="str">
        <f t="shared" si="172"/>
        <v/>
      </c>
      <c r="PP5" s="11" t="str">
        <f t="shared" si="173"/>
        <v/>
      </c>
      <c r="PQ5" s="11" t="str">
        <f t="shared" si="174"/>
        <v/>
      </c>
      <c r="PR5" s="11" t="str">
        <f t="shared" si="175"/>
        <v/>
      </c>
      <c r="PS5" s="11" t="str">
        <f t="shared" si="176"/>
        <v/>
      </c>
      <c r="PT5" s="11" t="str">
        <f t="shared" si="177"/>
        <v/>
      </c>
      <c r="PU5" s="11" t="str">
        <f t="shared" si="178"/>
        <v/>
      </c>
      <c r="PV5" s="11" t="str">
        <f t="shared" si="179"/>
        <v/>
      </c>
      <c r="PW5" s="11" t="str">
        <f t="shared" si="180"/>
        <v/>
      </c>
      <c r="PX5" s="11" t="str">
        <f t="shared" si="181"/>
        <v/>
      </c>
      <c r="PY5" s="11" t="str">
        <f t="shared" si="182"/>
        <v/>
      </c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36" t="str">
        <f t="shared" si="183"/>
        <v/>
      </c>
      <c r="QU5" s="36" t="str">
        <f t="shared" si="184"/>
        <v/>
      </c>
      <c r="QV5" s="36" t="str">
        <f t="shared" si="185"/>
        <v/>
      </c>
      <c r="QW5" s="36" t="str">
        <f t="shared" si="186"/>
        <v/>
      </c>
      <c r="QX5" s="36" t="str">
        <f t="shared" si="187"/>
        <v/>
      </c>
      <c r="QY5" s="36" t="str">
        <f t="shared" si="188"/>
        <v/>
      </c>
      <c r="QZ5" s="36" t="str">
        <f t="shared" si="189"/>
        <v/>
      </c>
      <c r="RA5" s="36" t="str">
        <f t="shared" si="190"/>
        <v/>
      </c>
      <c r="RB5" s="36" t="str">
        <f t="shared" si="191"/>
        <v/>
      </c>
      <c r="RC5" s="36" t="str">
        <f t="shared" si="192"/>
        <v/>
      </c>
      <c r="RD5" s="36" t="str">
        <f t="shared" si="193"/>
        <v/>
      </c>
      <c r="RE5" s="36" t="str">
        <f t="shared" si="194"/>
        <v/>
      </c>
      <c r="RF5" s="36" t="str">
        <f t="shared" si="195"/>
        <v/>
      </c>
      <c r="RG5" s="36" t="str">
        <f t="shared" si="196"/>
        <v/>
      </c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6"/>
      <c r="RZ5" s="16"/>
      <c r="SA5" s="16"/>
      <c r="SB5" s="11" t="str">
        <f t="shared" si="197"/>
        <v/>
      </c>
      <c r="SC5" s="11" t="str">
        <f t="shared" si="198"/>
        <v/>
      </c>
      <c r="SD5" s="11" t="str">
        <f t="shared" si="199"/>
        <v/>
      </c>
      <c r="SE5" s="11" t="str">
        <f t="shared" si="200"/>
        <v/>
      </c>
      <c r="SF5" s="11" t="str">
        <f t="shared" si="201"/>
        <v/>
      </c>
      <c r="SG5" s="11" t="str">
        <f t="shared" si="202"/>
        <v/>
      </c>
      <c r="SH5" s="11" t="str">
        <f t="shared" si="203"/>
        <v/>
      </c>
      <c r="SI5" s="11" t="str">
        <f t="shared" si="204"/>
        <v/>
      </c>
      <c r="SJ5" s="11" t="str">
        <f t="shared" si="205"/>
        <v/>
      </c>
      <c r="SK5" s="11" t="str">
        <f t="shared" si="206"/>
        <v/>
      </c>
      <c r="SL5" s="11" t="str">
        <f t="shared" si="207"/>
        <v/>
      </c>
      <c r="SM5" s="11" t="str">
        <f t="shared" si="208"/>
        <v/>
      </c>
      <c r="SN5" s="11" t="str">
        <f t="shared" si="209"/>
        <v/>
      </c>
      <c r="SO5" s="11" t="str">
        <f t="shared" si="210"/>
        <v/>
      </c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36" t="str">
        <f t="shared" si="211"/>
        <v/>
      </c>
      <c r="TK5" s="36" t="str">
        <f t="shared" si="212"/>
        <v/>
      </c>
      <c r="TL5" s="36" t="str">
        <f t="shared" si="213"/>
        <v/>
      </c>
      <c r="TM5" s="36" t="str">
        <f t="shared" si="214"/>
        <v/>
      </c>
      <c r="TN5" s="36" t="str">
        <f t="shared" si="215"/>
        <v/>
      </c>
      <c r="TO5" s="36" t="str">
        <f t="shared" si="216"/>
        <v/>
      </c>
      <c r="TP5" s="36" t="str">
        <f t="shared" si="217"/>
        <v/>
      </c>
      <c r="TQ5" s="36" t="str">
        <f t="shared" si="218"/>
        <v/>
      </c>
      <c r="TR5" s="36" t="str">
        <f t="shared" si="219"/>
        <v/>
      </c>
      <c r="TS5" s="36" t="str">
        <f t="shared" si="220"/>
        <v/>
      </c>
      <c r="TT5" s="36" t="str">
        <f t="shared" si="221"/>
        <v/>
      </c>
      <c r="TU5" s="36" t="str">
        <f t="shared" si="222"/>
        <v/>
      </c>
      <c r="TV5" s="36" t="str">
        <f t="shared" si="223"/>
        <v/>
      </c>
      <c r="TW5" s="36" t="str">
        <f t="shared" si="224"/>
        <v/>
      </c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6"/>
      <c r="UP5" s="16"/>
      <c r="UQ5" s="16"/>
      <c r="UR5" s="11" t="str">
        <f t="shared" si="225"/>
        <v/>
      </c>
      <c r="US5" s="11" t="str">
        <f t="shared" si="226"/>
        <v/>
      </c>
      <c r="UT5" s="11" t="str">
        <f t="shared" si="227"/>
        <v/>
      </c>
      <c r="UU5" s="11" t="str">
        <f t="shared" si="228"/>
        <v/>
      </c>
      <c r="UV5" s="11" t="str">
        <f t="shared" si="229"/>
        <v/>
      </c>
      <c r="UW5" s="11" t="str">
        <f t="shared" si="230"/>
        <v/>
      </c>
      <c r="UX5" s="11" t="str">
        <f t="shared" si="231"/>
        <v/>
      </c>
      <c r="UY5" s="11" t="str">
        <f t="shared" si="232"/>
        <v/>
      </c>
      <c r="UZ5" s="11" t="str">
        <f t="shared" si="233"/>
        <v/>
      </c>
      <c r="VA5" s="11" t="str">
        <f t="shared" si="234"/>
        <v/>
      </c>
      <c r="VB5" s="11" t="str">
        <f t="shared" si="235"/>
        <v/>
      </c>
      <c r="VC5" s="11" t="str">
        <f t="shared" si="236"/>
        <v/>
      </c>
      <c r="VD5" s="11" t="str">
        <f t="shared" si="237"/>
        <v/>
      </c>
      <c r="VE5" s="11" t="str">
        <f t="shared" si="238"/>
        <v/>
      </c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36" t="str">
        <f t="shared" si="239"/>
        <v/>
      </c>
      <c r="WA5" s="36" t="str">
        <f t="shared" si="240"/>
        <v/>
      </c>
      <c r="WB5" s="36" t="str">
        <f t="shared" si="241"/>
        <v/>
      </c>
      <c r="WC5" s="36" t="str">
        <f t="shared" si="242"/>
        <v/>
      </c>
      <c r="WD5" s="36" t="str">
        <f t="shared" si="243"/>
        <v/>
      </c>
      <c r="WE5" s="36" t="str">
        <f t="shared" si="244"/>
        <v/>
      </c>
      <c r="WF5" s="36" t="str">
        <f t="shared" si="245"/>
        <v/>
      </c>
      <c r="WG5" s="36" t="str">
        <f t="shared" si="246"/>
        <v/>
      </c>
      <c r="WH5" s="36" t="str">
        <f t="shared" si="247"/>
        <v/>
      </c>
      <c r="WI5" s="36" t="str">
        <f t="shared" si="248"/>
        <v/>
      </c>
      <c r="WJ5" s="36" t="str">
        <f t="shared" si="249"/>
        <v/>
      </c>
      <c r="WK5" s="36" t="str">
        <f t="shared" si="250"/>
        <v/>
      </c>
      <c r="WL5" s="36" t="str">
        <f t="shared" si="251"/>
        <v/>
      </c>
      <c r="WM5" s="36" t="str">
        <f t="shared" si="252"/>
        <v/>
      </c>
    </row>
    <row r="6" spans="1:611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63</v>
      </c>
      <c r="C6" s="4" t="s">
        <v>3</v>
      </c>
      <c r="D6" s="4">
        <v>2002</v>
      </c>
      <c r="E6" s="9">
        <f t="shared" si="0"/>
        <v>171.01001421600589</v>
      </c>
      <c r="F6" s="3" t="str">
        <f>IF(OR(AND(AI6&gt;=AS$27,AI6&lt;&gt;"",AK6&gt;=AS$31,AK6&lt;&gt;"",AH6=""),AND(AL6&gt;=AS$27,AL6&lt;&gt;"",AN6&gt;=AS$31,AN6&lt;&gt;"",AH6=""),AND(AP6&gt;=AS$27,AP6&lt;&gt;"",AR6&gt;=AS$31,AR6&lt;&gt;"",AH6=""),AND(BJ6&gt;=BT$27,BJ6&lt;&gt;"",BL6&gt;=BT$31,BL6&lt;&gt;"",BI6=""),AND(BM6&gt;=BT$27,BM6&lt;&gt;"",BO6&gt;=BT$31,BO6&lt;&gt;"",BI6=""),AND(BQ6&gt;=BT$27,BQ6&lt;&gt;"",BS6&gt;=BT$31,BS6&lt;&gt;"",BI6=""),AND(CK6&gt;=CU$27,CK6&lt;&gt;"",CM6&gt;=CU$31,CM6&lt;&gt;"",CJ6=""),AND(CN6&gt;=CU$27,CN6&lt;&gt;"",CP6&gt;=CU$31,CP6&lt;&gt;"",CJ6=""),AND(CR6&gt;=CU$27,CR6&lt;&gt;"",CT6&gt;=CU$31,CT6&lt;&gt;"",CJ6=""),AND(DR6&gt;=EE$27,DR6&lt;&gt;"",DT6&gt;=EE$31,DT6&lt;&gt;""),AND(DU6&gt;=EE$27,DU6&lt;&gt;"",DW6&gt;=EE$31,DW6&lt;&gt;""),AND(DY6&gt;=EE$27,DY6&lt;&gt;"",EA6&gt;=EE$31,EA6&lt;&gt;""),AND(EB6&gt;=EE$27,EB6&lt;&gt;"",ED6&gt;=EE$31,ED6&lt;&gt;""),AND(EZ6&gt;=FM$27,EZ6&lt;&gt;"",FB6&gt;=FM$31,FB6&lt;&gt;""),AND(FC6&gt;=FM$27,FC6&lt;&gt;"",FE6&gt;=FM$31,FE6&lt;&gt;""),AND(FG6&gt;=FM$27,FG6&lt;&gt;"",FI6&gt;=FM$31,FI6&lt;&gt;""),AND(FJ6&gt;=FM$27,FJ6&lt;&gt;"",FL6&gt;=FM$31,FL6&lt;&gt;""),AND(GH6&gt;=GU$27,GH6&lt;&gt;"",GJ6&gt;=GU$31,GJ6&lt;&gt;""),AND(GK6&gt;=GU$27,GK6&lt;&gt;"",GM6&gt;=GU$31,GM6&lt;&gt;""),AND(GO6&gt;=GU$27,GO6&lt;&gt;"",GQ6&gt;=GU$31,GQ6&lt;&gt;""),AND(GR6&gt;=GU$27,GR6&lt;&gt;"",GT6&gt;=GU$31,GT6&lt;&gt;""),AND(HP6&gt;=IC$27,HP6&lt;&gt;"",HR6&gt;=IC$31,HR6&lt;&gt;""),AND(HS6&gt;=IC$27,HS6&lt;&gt;"",HU6&gt;=IC$31,HU6&lt;&gt;""),AND(HW6&gt;=IC$27,HW6&lt;&gt;"",HY6&gt;=IC$31,HY6&lt;&gt;""),AND(HZ6&gt;=IC$27,HZ6&lt;&gt;"",IB6&gt;=IC$31,IB6&lt;&gt;""),AND(IX6&gt;=JK$27,IX6&lt;&gt;"",IZ6&gt;=JK$31,IZ6&lt;&gt;""),AND(JA6&gt;=JK$27,JA6&lt;&gt;"",JC6&gt;=JK$31,JC6&lt;&gt;""),AND(JE6&gt;=JK$27,JE6&lt;&gt;"",JG6&gt;=JK$31,JG6&lt;&gt;""),AND(JH6&gt;=JK$27,JH6&lt;&gt;"",JJ6&gt;=JK$31,JJ6&lt;&gt;""),AND(KF6&gt;=KS$27,KF6&lt;&gt;"",KH6&gt;=KS$31,KH6&lt;&gt;""),AND(KI6&gt;=KS$27,KI6&lt;&gt;"",KK6&gt;=KS$31,KK6&lt;&gt;""),AND(KM6&gt;=KS$27,KM6&lt;&gt;"",KO6&gt;=KS$31,KO6&lt;&gt;""),AND(KP6&gt;=KS$27,KP6&lt;&gt;"",KR6&gt;=KS$31,KR6&lt;&gt;""),AND(LN6&gt;=MA$27,LN6&lt;&gt;"",LP6&gt;=MA$31,LP6&lt;&gt;""),AND(LQ6&gt;=MA$27,LQ6&lt;&gt;"",LS6&gt;=MA$31,LS6&lt;&gt;""),AND(LU6&gt;=MA$27,LU6&lt;&gt;"",LW6&gt;=MA$31,LW6&lt;&gt;""),AND(LX6&gt;=MA$27,LX6&lt;&gt;"",LZ6&gt;=MA$31,LZ6&lt;&gt;""),AND(MV6&gt;=NI$27,MV6&lt;&gt;"",MX6&gt;=NI$31,MX6&lt;&gt;""),AND(MY6&gt;=NI$27,MY6&lt;&gt;"",NA6&gt;=NI$31,NA6&lt;&gt;""),AND(NC6&gt;=NI$27,NC6&lt;&gt;"",NE6&gt;=NI$31,NE6&lt;&gt;""),AND(NF6&gt;=NI$27,NF6&lt;&gt;"",NH6&gt;=NI$31,NH6&lt;&gt;""),AND(OD6&gt;=OQ$27,OD6&lt;&gt;"",OF6&gt;=OQ$31,OF6&lt;&gt;""),AND(OG6&gt;=OQ$27,OG6&lt;&gt;"",OI6&gt;=OQ$31,OI6&lt;&gt;""),AND(OK6&gt;=OQ$27,OK6&lt;&gt;"",OM6&gt;=OQ$31,OM6&lt;&gt;""),AND(ON6&gt;=OQ$27,ON6&lt;&gt;"",OP6&gt;=OQ$31,OP6&lt;&gt;""),AND(PL6&gt;=PY$27,PL6&lt;&gt;"",PN6&gt;=PY$31,PN6&lt;&gt;""),AND(PO6&gt;=PY$27,PO6&lt;&gt;"",PQ6&gt;=PY$31,PQ6&lt;&gt;""),AND(PS6&gt;=PY$27,PS6&lt;&gt;"",PU6&gt;=PY$31,PU6&lt;&gt;""),AND(PV6&gt;=PY$27,PV6&lt;&gt;"",PX6&gt;=PY$31,PX6&lt;&gt;""),AND(QT6&gt;=RG$27,QT6&lt;&gt;"",QV6&gt;=RG$31,QV6&lt;&gt;""),AND(QW6&gt;=RG$27,QW6&lt;&gt;"",QY6&gt;=RG$31,QY6&lt;&gt;""),AND(RA6&gt;=RG$27,RA6&lt;&gt;"",RC6&gt;=RG$31,RC6&lt;&gt;""),AND(RD6&gt;=RG$27,RD6&lt;&gt;"",RF6&gt;=RG$31,RF6&lt;&gt;""),AND(SB6&gt;=SO$27,SB6&lt;&gt;"",SD6&gt;=SO$31,SD6&lt;&gt;""),AND(SE6&gt;=SO$27,SE6&lt;&gt;"",SG6&gt;=SO$31,SG6&lt;&gt;""),AND(SI6&gt;=SO$27,SI6&lt;&gt;"",SK6&gt;=SO$31,SK6&lt;&gt;""),AND(SL6&gt;=SO$27,SL6&lt;&gt;"",SN6&gt;=SO$31,SN6&lt;&gt;""),AND(TJ6&gt;=TW$27,TJ6&lt;&gt;"",TL6&gt;=TW$31,TL6&lt;&gt;""),AND(TM6&gt;=TW$27,TM6&lt;&gt;"",TO6&gt;=TW$31,TO6&lt;&gt;""),AND(TQ6&gt;=TW$27,TQ6&lt;&gt;"",TS6&gt;=TW$31,TXQ6&lt;&gt;""),AND(TT6&gt;=TW$27,TT6&lt;&gt;"",TV6&gt;=TW$31,TV6&lt;&gt;""),AND(UR6&gt;=VE$27,UR6&lt;&gt;"",UT6&gt;=VE$31,UT6&lt;&gt;""),AND(UU6&gt;=VE$27,UU6&lt;&gt;"",UW6&gt;=VE$31,UW6&lt;&gt;""),AND(UY6&gt;=VE$27,UY6&lt;&gt;"",VA6&gt;=VE$31,VA6&lt;&gt;""),AND(VB6&gt;=VE$27,VB6&lt;&gt;"",VD6&gt;=VE$31,VD6&lt;&gt;""),AND(VZ6&gt;=WM$27,VZ6&lt;&gt;"",WB6&gt;=WM$31,WB6&lt;&gt;""),AND(WC6&gt;=WM$27,WC6&lt;&gt;"",WE6&gt;=WM$31,WE6&lt;&gt;""),AND(WG6&gt;=WM$27,WG6&lt;&gt;"",WI6&gt;=WM$31,WI6&lt;&gt;""),AND(WJ6&gt;=WM$27,WJ6&lt;&gt;"",WL6&gt;=WM$31,WL6&lt;&gt;"")),"P","")</f>
        <v>P</v>
      </c>
      <c r="G6" s="3" t="str">
        <f>IF(OR(AND(AK6&gt;=AS$31,AK6&lt;&gt;"",AH6=""),AND(AN6&gt;=AS$31,AN6&lt;&gt;"",AH6=""),AND(AR6&gt;=AS$31,AR6&lt;&gt;"",AH6=""),AND(BL6&gt;=BT$31,BL6&lt;&gt;"",BI6=""),AND(BO6&gt;=BT$31,BO6&lt;&gt;"",BI6=""),AND(BS6&gt;=BT$31,BS6&lt;&gt;"",BI6=""),AND(CM6&gt;=CU$31,CM6&lt;&gt;"",CJ6=""),AND(CP6&gt;=CU$31,CP6&lt;&gt;"",CJ6=""),AND(CT6&gt;=CU$31,CT6&lt;&gt;"",CJ6=""),AND(DT6&gt;=EE$31,DT6&lt;&gt;""),AND(DW6&gt;=EE$31,DW6&lt;&gt;""),AND(EA6&gt;=EE$31,EA6&lt;&gt;""),AND(ED6&gt;=EE$31,ED6&lt;&gt;""),AND(FB6&gt;=FM$31,FB6&lt;&gt;""),AND(FE6&gt;=FM$31,FE6&lt;&gt;""),AND(FI6&gt;=FM$31,FI6&lt;&gt;""),AND(FL6&gt;=FM$31,FL6&lt;&gt;""),AND(GJ6&gt;=GU$31,GJ6&lt;&gt;""),AND(GM6&gt;=GU$31,GM6&lt;&gt;""),AND(GQ6&gt;=GU$31,GQ6&lt;&gt;""),AND(GT6&gt;=GU$31,GT6&lt;&gt;""),AND(HR6&gt;=IC$31,HR6&lt;&gt;""),AND(HU6&gt;=IC$31,HU6&lt;&gt;""),AND(HY6&gt;=IC$31,HY6&lt;&gt;""),AND(IB6&gt;=IC$31,IB6&lt;&gt;""),AND(IZ6&gt;=JK$31,IZ6&lt;&gt;""),AND(JC6&gt;=JK$31,JC6&lt;&gt;""),AND(JG6&gt;=JK$31,JG6&lt;&gt;""),AND(JJ6&gt;=JK$31,JJ6&lt;&gt;""),AND(KH6&gt;=KS$31,KH6&lt;&gt;""),AND(KK6&gt;=KS$31,KK6&lt;&gt;""),AND(KO6&gt;=KS$31,KO6&lt;&gt;""),AND(KR6&gt;=KS$31,KR6&lt;&gt;""),AND(LP6&gt;=MA$31,LP6&lt;&gt;""),AND(LS6&gt;=MA$31,LS6&lt;&gt;""),AND(LW6&gt;=MA$31,LW6&lt;&gt;""),AND(LZ6&gt;=MA$31,LZ6&lt;&gt;""),AND(MX6&gt;=NI$31,MX6&lt;&gt;""),AND(NA6&gt;=NI$31,NA6&lt;&gt;""),AND(NE6&gt;=NI$31,NE6&lt;&gt;""),AND(NH6&gt;=NI$31,NH6&lt;&gt;""),AND(OF6&gt;=OQ$31,OF6&lt;&gt;""),AND(OI6&gt;=OQ$31,OI6&lt;&gt;""),AND(OM6&gt;=OQ$31,OM6&lt;&gt;""),AND(OP6&gt;=OQ$31,OP6&lt;&gt;""),AND(PN6&gt;=PY$31,PN6&lt;&gt;""),AND(PQ6&gt;=PY$31,PQ6&lt;&gt;""),AND(PU6&gt;=PY$31,PU6&lt;&gt;""),AND(PX6&gt;=PY$31,PX6&lt;&gt;""),AND(QV6&gt;=RG$31,QV6&lt;&gt;""),AND(QY6&gt;=RG$31,QY6&lt;&gt;""),AND(RC6&gt;=RG$31,RC6&lt;&gt;""),AND(RF6&gt;=RG$31,RF6&lt;&gt;""),AND(SD6&gt;=SO$31,SD6&lt;&gt;""),AND(SG6&gt;=SO$31,SG6&lt;&gt;""),AND(SK6&gt;=SO$31,SK6&lt;&gt;""),AND(SN6&gt;=SO$31,SN6&lt;&gt;""),AND(TL6&gt;=TW$31,TL6&lt;&gt;""),AND(TO6&gt;=TW$31,TO6&lt;&gt;""),AND(TS6&gt;=TW$31,TXQ6&lt;&gt;""),AND(TV6&gt;=TW$31,TV6&lt;&gt;""),AND(UT6&gt;=VE$31,UT6&lt;&gt;""),AND(UW6&gt;=VE$31,UW6&lt;&gt;""),AND(VA6&gt;=VE$31,VA6&lt;&gt;""),AND(VD6&gt;=VE$31,VD6&lt;&gt;""),AND(WB6&gt;=WM$31,WB6&lt;&gt;""),AND(WE6&gt;=WM$31,WE6&lt;&gt;""),AND(WI6&gt;=WM$31,WI6&lt;&gt;""),AND(WL6&gt;=WM$31,WL6&lt;&gt;"")),"P","")</f>
        <v>P</v>
      </c>
      <c r="H6" s="32" t="str">
        <f>IF(AND(G6="P",F6=""),"No DD",IF(OR(AND(AI6&gt;=AS$30,AI6&lt;&gt;"",AK6&gt;=AS$34,AK6&lt;&gt;"",AH6=""),AND(AL6&gt;=AS$30,AL6&lt;&gt;"",AN6&gt;=AS$34,AN6&lt;&gt;"",AH6=""),AND(AP6&gt;=AS$30,AP6&lt;&gt;"",AR6&gt;=AS$34,AR6&lt;&gt;"",AH6=""),AND(BJ6&gt;=BT$30,BJ6&lt;&gt;"",BL6&gt;=BT$34,BL6&lt;&gt;"",BI6=""),AND(BM6&gt;=BT$30,BM6&lt;&gt;"",BO6&gt;=BT$34,BO6&lt;&gt;"",BI6=""),AND(BQ6&gt;=BT$30,BQ6&lt;&gt;"",BS6&gt;=BT$34,BS6&lt;&gt;"",BI6=""),AND(CK6&gt;=CU$30,CK6&lt;&gt;"",CM6&gt;=CU$34,CM6&lt;&gt;"",CJ6=""),AND(CN6&gt;=CU$30,CN6&lt;&gt;"",CP6&gt;=CU$34,CP6&lt;&gt;"",CJ6=""),AND(CR6&gt;=CU$30,CR6&lt;&gt;"",CT6&gt;=CU$34,CT6&lt;&gt;"",CJ6=""),AND(DR6&gt;=EE$30,DR6&lt;&gt;"",DT6&gt;=EE$34,DT6&lt;&gt;""),AND(DU6&gt;=EE$30,DU6&lt;&gt;"",DW6&gt;=EE$34,DW6&lt;&gt;""),AND(DY6&gt;=EE$30,DY6&lt;&gt;"",EA6&gt;=EE$34,EA6&lt;&gt;""),AND(EB6&gt;=EE$30,EB6&lt;&gt;"",ED6&gt;=EE$34,ED6&lt;&gt;""),AND(EZ6&gt;=FM$30,EZ6&lt;&gt;"",FB6&gt;=FM$34,FB6&lt;&gt;""),AND(FC6&gt;=FM$30,FC6&lt;&gt;"",FE6&gt;=FM$34,FE6&lt;&gt;""),AND(FG6&gt;=FM$30,FG6&lt;&gt;"",FI6&gt;=FM$34,FI6&lt;&gt;""),AND(FJ6&gt;=FM$30,FJ6&lt;&gt;"",FL6&gt;=FM$34,FL6&lt;&gt;""),AND(GH6&gt;=GU$30,GH6&lt;&gt;"",GJ6&gt;=GU$34,GJ6&lt;&gt;""),AND(GK6&gt;=GU$30,GK6&lt;&gt;"",GM6&gt;=GU$34,GM6&lt;&gt;""),AND(GO6&gt;=GU$30,GO6&lt;&gt;"",GQ6&gt;=GU$34,GQ6&lt;&gt;""),AND(GR6&gt;=GU$30,GR6&lt;&gt;"",GT6&gt;=GU$34,GT6&lt;&gt;""),AND(HP6&gt;=IC$30,HP6&lt;&gt;"",HR6&gt;=IC$34,HR6&lt;&gt;""),AND(HS6&gt;=IC$30,HS6&lt;&gt;"",HU6&gt;=IC$34,HU6&lt;&gt;""),AND(HW6&gt;=IC$30,HW6&lt;&gt;"",HY6&gt;=IC$34,HY6&lt;&gt;""),AND(HZ6&gt;=IC$30,HZ6&lt;&gt;"",IB6&gt;=IC$34,IB6&lt;&gt;""),AND(IX6&gt;=JK$30,IX6&lt;&gt;"",IZ6&gt;=JK$34,IZ6&lt;&gt;""),AND(JA6&gt;=JK$30,JA6&lt;&gt;"",JC6&gt;=JK$34,JC6&lt;&gt;""),AND(JE6&gt;=JK$30,JE6&lt;&gt;"",JG6&gt;=JK$34,JG6&lt;&gt;""),AND(JH6&gt;=JK$30,JH6&lt;&gt;"",JJ6&gt;=JK$34,JJ6&lt;&gt;""),AND(KF6&gt;=KS$30,KF6&lt;&gt;"",KH6&gt;=KS$34,KH6&lt;&gt;""),AND(KI6&gt;=KS$30,KI6&lt;&gt;"",KK6&gt;=KS$34,KK6&lt;&gt;""),AND(KM6&gt;=KS$30,KM6&lt;&gt;"",KO6&gt;=KS$34,KO6&lt;&gt;""),AND(KP6&gt;=KS$30,KP6&lt;&gt;"",KR6&gt;=KS$34,KR6&lt;&gt;""),AND(LN6&gt;=MA$30,LN6&lt;&gt;"",LP6&gt;=MA$34,LP6&lt;&gt;""),AND(LQ6&gt;=MA$30,LQ6&lt;&gt;"",LS6&gt;=MA$34,LS6&lt;&gt;""),AND(LU6&gt;=MA$30,LU6&lt;&gt;"",LW6&gt;=MA$34,LW6&lt;&gt;""),AND(LX6&gt;=MA$30,LX6&lt;&gt;"",LZ6&gt;=MA$34,LZ6&lt;&gt;""),AND(MV6&gt;=NI$30,MV6&lt;&gt;"",MX6&gt;=NI$34,MX6&lt;&gt;""),AND(MY6&gt;=NI$30,MY6&lt;&gt;"",NA6&gt;=NI$34,NA6&lt;&gt;""),AND(NC6&gt;=NI$30,NC6&lt;&gt;"",NE6&gt;=NI$34,NE6&lt;&gt;""),AND(NF6&gt;=NI$30,NF6&lt;&gt;"",NH6&gt;=NI$34,NH6&lt;&gt;""),AND(OD6&gt;=OQ$30,OD6&lt;&gt;"",OF6&gt;=OQ$34,OF6&lt;&gt;""),AND(OG6&gt;=OQ$30,OG6&lt;&gt;"",OI6&gt;=OQ$34,OI6&lt;&gt;""),AND(OK6&gt;=OQ$30,OK6&lt;&gt;"",OM6&gt;=OQ$34,OM6&lt;&gt;""),AND(ON6&gt;=OQ$30,ON6&lt;&gt;"",OP6&gt;=OQ$34,OP6&lt;&gt;""),AND(PL6&gt;=PY$30,PL6&lt;&gt;"",PN6&gt;=PY$34,PN6&lt;&gt;""),AND(PO6&gt;=PY$30,PO6&lt;&gt;"",PQ6&gt;=PY$34,PQ6&lt;&gt;""),AND(PS6&gt;=PY$30,PS6&lt;&gt;"",PU6&gt;=PY$34,PU6&lt;&gt;""),AND(PV6&gt;=PY$30,PV6&lt;&gt;"",PX6&gt;=PY$34,PX6&lt;&gt;""),AND(QT6&gt;=RG$30,QT6&lt;&gt;"",QV6&gt;=RG$34,QV6&lt;&gt;""),AND(QW6&gt;=RG$30,QW6&lt;&gt;"",QY6&gt;=RG$34,QY6&lt;&gt;""),AND(RA6&gt;=RG$30,RA6&lt;&gt;"",RC6&gt;=RG$34,RC6&lt;&gt;""),AND(RD6&gt;=RG$30,RD6&lt;&gt;"",RF6&gt;=RG$34,RF6&lt;&gt;""),AND(SB6&gt;=SO$30,SB6&lt;&gt;"",SD6&gt;=SO$34,SD6&lt;&gt;""),AND(SE6&gt;=SO$30,SE6&lt;&gt;"",SG6&gt;=SO$34,SG6&lt;&gt;""),AND(SI6&gt;=SO$30,SI6&lt;&gt;"",SK6&gt;=SO$34,SK6&lt;&gt;""),AND(SL6&gt;=SO$30,SL6&lt;&gt;"",SN6&gt;=SO$34,SN6&lt;&gt;""),AND(TJ6&gt;=TW$30,TJ6&lt;&gt;"",TL6&gt;=TW$34,TL6&lt;&gt;""),AND(TM6&gt;=TW$30,TM6&lt;&gt;"",TO6&gt;=TW$34,TO6&lt;&gt;""),AND(TQ6&gt;=TW$30,TQ6&lt;&gt;"",TS6&gt;=TW$354,TXQ6&lt;&gt;""),AND(TT6&gt;=TW$30,TT6&lt;&gt;"",TV6&gt;=TW$34,TV6&lt;&gt;""),AND(UR6&gt;=VE$30,UR6&lt;&gt;"",UT6&gt;=VE$34,UT6&lt;&gt;""),AND(UU6&gt;=VE$30,UU6&lt;&gt;"",UW6&gt;=VE$34,UW6&lt;&gt;""),AND(UY6&gt;=VE$30,UY6&lt;&gt;"",VA6&gt;=VE$34,VA6&lt;&gt;""),AND(VB6&gt;=VE$30,VB6&lt;&gt;"",VD6&gt;=VE$34,VD6&lt;&gt;""),AND(VZ6&gt;=WM$30,VZ6&lt;&gt;"",WB6&gt;=WM$34,WB6&lt;&gt;""),AND(WC6&gt;=WM$30,WC6&lt;&gt;"",WE6&gt;=WM$34,WE6&lt;&gt;""),AND(WG6&gt;=WM$30,WG6&lt;&gt;"",WI6&gt;=WM$34,WI6&lt;&gt;""),AND(WJ6&gt;=WM$30,WJ6&lt;&gt;"",WL6&gt;=WM$34,WL6&lt;&gt;"")),"Merit",IF(OR(AND(AI6&gt;=AS$29,AI6&lt;&gt;"",AK6&gt;=AS$33,AK6&lt;&gt;"",AH6=""),AND(AL6&gt;=AS$29,AL6&lt;&gt;"",AN6&gt;=AS$33,AN6&lt;&gt;"",AH6=""),AND(AP6&gt;=AS$29,AP6&lt;&gt;"",AR6&gt;=AS$33,AR6&lt;&gt;"",AH6=""),AND(BJ6&gt;=BT$29,BJ6&lt;&gt;"",BL6&gt;=BT$33,BL6&lt;&gt;"",BI6=""),AND(BM6&gt;=BT$29,BM6&lt;&gt;"",BO6&gt;=BT$33,BO6&lt;&gt;"",BI6=""),AND(BQ6&gt;=BT$29,BQ6&lt;&gt;"",BS6&gt;=BT$33,BS6&lt;&gt;"",BI6=""),AND(CK6&gt;=CU$29,CK6&lt;&gt;"",CM6&gt;=CU$33,CM6&lt;&gt;"",CJ6=""),AND(CN6&gt;=CU$29,CN6&lt;&gt;"",CP6&gt;=CU$33,CP6&lt;&gt;"",CJ6=""),AND(CR6&gt;=CU$29,CR6&lt;&gt;"",CT6&gt;=CU$33,CT6&lt;&gt;"",CJ6=""),AND(DR6&gt;=EE$29,DR6&lt;&gt;"",DT6&gt;=EE$33,DT6&lt;&gt;""),AND(DU6&gt;=EE$29,DU6&lt;&gt;"",DW6&gt;=EE$33,DW6&lt;&gt;""),AND(DY6&gt;=EE$29,DY6&lt;&gt;"",EA6&gt;=EE$33,EA6&lt;&gt;""),AND(EB6&gt;=EE$29,EB6&lt;&gt;"",ED6&gt;=EE$33,ED6&lt;&gt;""),AND(EZ6&gt;=FM$29,EZ6&lt;&gt;"",FB6&gt;=FM$33,FB6&lt;&gt;""),AND(FC6&gt;=FM$29,FC6&lt;&gt;"",FE6&gt;=FM$33,FE6&lt;&gt;""),AND(FG6&gt;=FM$29,FG6&lt;&gt;"",FI6&gt;=FM$33,FI6&lt;&gt;""),AND(FJ6&gt;=FM$29,FJ6&lt;&gt;"",FL6&gt;=FM$33,FL6&lt;&gt;""),AND(GH6&gt;=GU$29,GH6&lt;&gt;"",GJ6&gt;=GU$33,GJ6&lt;&gt;""),AND(GK6&gt;=GU$29,GK6&lt;&gt;"",GM6&gt;=GU$33,GM6&lt;&gt;""),AND(GO6&gt;=GU$29,GO6&lt;&gt;"",GQ6&gt;=GU$33,GQ6&lt;&gt;""),AND(GR6&gt;=GU$29,GR6&lt;&gt;"",GT6&gt;=GU$33,GT6&lt;&gt;""),AND(HP6&gt;=IC$29,HP6&lt;&gt;"",HR6&gt;=IC$33,HR6&lt;&gt;""),AND(HS6&gt;=IC$29,HS6&lt;&gt;"",HU6&gt;=IC$33,HU6&lt;&gt;""),AND(HW6&gt;=IC$29,HW6&lt;&gt;"",HY6&gt;=IC$33,HY6&lt;&gt;""),AND(HZ6&gt;=IC$29,HZ6&lt;&gt;"",IB6&gt;=IC$33,IB6&lt;&gt;""),AND(IX6&gt;=JK$29,IX6&lt;&gt;"",IZ6&gt;=JK$33,IZ6&lt;&gt;""),AND(JA6&gt;=JK$29,JA6&lt;&gt;"",JC6&gt;=JK$33,JC6&lt;&gt;""),AND(JE6&gt;=JK$29,JE6&lt;&gt;"",JG6&gt;=JK$33,JG6&lt;&gt;""),AND(JH6&gt;=JK$29,JH6&lt;&gt;"",JJ6&gt;=JK$33,JJ6&lt;&gt;""),AND(KF6&gt;=KS$29,KF6&lt;&gt;"",KH6&gt;=KS$33,KH6&lt;&gt;""),AND(KI6&gt;=KS$29,KI6&lt;&gt;"",KK6&gt;=KS$33,KK6&lt;&gt;""),AND(KM6&gt;=KS$29,KM6&lt;&gt;"",KO6&gt;=KS$33,KO6&lt;&gt;""),AND(KP6&gt;=KS$29,KP6&lt;&gt;"",KR6&gt;=KS$33,KR6&lt;&gt;""),AND(LN6&gt;=MA$29,LN6&lt;&gt;"",LP6&gt;=MA$33,LP6&lt;&gt;""),AND(LQ6&gt;=MA$29,LQ6&lt;&gt;"",LS6&gt;=MA$33,LS6&lt;&gt;""),AND(LU6&gt;=MA$29,LU6&lt;&gt;"",LW6&gt;=MA$33,LW6&lt;&gt;""),AND(LX6&gt;=MA$29,LX6&lt;&gt;"",LZ6&gt;=MA$33,LZ6&lt;&gt;""),AND(MV6&gt;=NI$29,MV6&lt;&gt;"",MX6&gt;=NI$33,MX6&lt;&gt;""),AND(MY6&gt;=NI$29,MY6&lt;&gt;"",NA6&gt;=NI$33,NA6&lt;&gt;""),AND(NC6&gt;=NI$29,NC6&lt;&gt;"",NE6&gt;=NI$33,NE6&lt;&gt;""),AND(NF6&gt;=NI$29,NF6&lt;&gt;"",NH6&gt;=NI$33,NH6&lt;&gt;""),AND(OD6&gt;=OQ$29,OD6&lt;&gt;"",OF6&gt;=OQ$33,OF6&lt;&gt;""),AND(OG6&gt;=OQ$29,OG6&lt;&gt;"",OI6&gt;=OQ$33,OI6&lt;&gt;""),AND(OK6&gt;=OQ$29,OK6&lt;&gt;"",OM6&gt;=OQ$33,OM6&lt;&gt;""),AND(ON6&gt;=OQ$29,ON6&lt;&gt;"",OP6&gt;=OQ$33,OP6&lt;&gt;""),AND(PL6&gt;=PY$29,PL6&lt;&gt;"",PN6&gt;=PY$33,PN6&lt;&gt;""),AND(PO6&gt;=PY$29,PO6&lt;&gt;"",PQ6&gt;=PY$33,PQ6&lt;&gt;""),AND(PS6&gt;=PY$29,PS6&lt;&gt;"",PU6&gt;=PY$33,PU6&lt;&gt;""),AND(PV6&gt;=PY$29,PV6&lt;&gt;"",PX6&gt;=PY$33,PX6&lt;&gt;""),AND(QT6&gt;=RG$29,QT6&lt;&gt;"",QV6&gt;=RG$33,QV6&lt;&gt;""),AND(QW6&gt;=RG$29,QW6&lt;&gt;"",QY6&gt;=RG$33,QY6&lt;&gt;""),AND(RA6&gt;=RG$29,RA6&lt;&gt;"",RC6&gt;=RG$33,RC6&lt;&gt;""),AND(RD6&gt;=RG$29,RD6&lt;&gt;"",RF6&gt;=RG$33,RF6&lt;&gt;""),AND(SB6&gt;=SO$29,SB6&lt;&gt;"",SD6&gt;=SO$33,SD6&lt;&gt;""),AND(SE6&gt;=SO$29,SE6&lt;&gt;"",SG6&gt;=SO$33,SG6&lt;&gt;""),AND(SI6&gt;=SO$29,SI6&lt;&gt;"",SK6&gt;=SO$33,SK6&lt;&gt;""),AND(SL6&gt;=SO$29,SL6&lt;&gt;"",SN6&gt;=SO$33,SN6&lt;&gt;""),AND(TJ6&gt;=TW$29,TJ6&lt;&gt;"",TL6&gt;=TW$33,TL6&lt;&gt;""),AND(TM6&gt;=TW$29,TM6&lt;&gt;"",TO6&gt;=TW$33,TO6&lt;&gt;""),AND(TQ6&gt;=TW$29,TQ6&lt;&gt;"",TS6&gt;=TW$33,TXQ6&lt;&gt;""),AND(TT6&gt;=TW$29,TT6&lt;&gt;"",TV6&gt;=TW$33,TV6&lt;&gt;""),AND(UR6&gt;=VE$29,UR6&lt;&gt;"",UT6&gt;=VE$33,UT6&lt;&gt;""),AND(UU6&gt;=VE$29,UU6&lt;&gt;"",UW6&gt;=VE$33,UW6&lt;&gt;""),AND(UY6&gt;=VE$29,UY6&lt;&gt;"",VA6&gt;=VE$33,VA6&lt;&gt;""),AND(VB6&gt;=VE$29,VB6&lt;&gt;"",VD6&gt;=VE$33,VD6&lt;&gt;""),AND(VZ6&gt;=WM$29,VZ6&lt;&gt;"",WB6&gt;=WM$33,WB6&lt;&gt;""),AND(WC6&gt;=WM$29,WC6&lt;&gt;"",WE6&gt;=WM$33,WE6&lt;&gt;""),AND(WG6&gt;=WM$29,WG6&lt;&gt;"",WI6&gt;=WM$33,WI6&lt;&gt;""),AND(WJ6&gt;=WM$29,WJ6&lt;&gt;"",WL6&gt;=WM$33,WL6&lt;&gt;"")),"Excellence",IF(I6="P","Worlds Team",IF(F6="P","National Team","")))))</f>
        <v>National Team</v>
      </c>
      <c r="I6" s="3" t="str">
        <f>IF(OR(AND(AI6&gt;=AS$28,AI6&lt;&gt;"",AK6&gt;=AS$32,AK6&lt;&gt;"",AH6=""),AND(AL6&gt;=AS$28,AL6&lt;&gt;"",AN6&gt;=AS$32,AN6&lt;&gt;"",AH6=""),AND(AP6&gt;=AS$28,AP6&lt;&gt;"",AR6&gt;=AS$32,AR6&lt;&gt;"",AH6=""),AND(BJ6&gt;=BT$28,BJ6&lt;&gt;"",BL6&gt;=BT$32,BL6&lt;&gt;"",BI6=""),AND(BM6&gt;=BT$28,BM6&lt;&gt;"",BO6&gt;=BT$32,BO6&lt;&gt;"",BI6=""),AND(BQ6&gt;=BT$28,BQ6&lt;&gt;"",BS6&gt;=BT$32,BS6&lt;&gt;"",BI6=""),AND(CK6&gt;=CU$28,CK6&lt;&gt;"",CM6&gt;=CU$32,CM6&lt;&gt;"",CJ6=""),AND(CN6&gt;=CU$28,CN6&lt;&gt;"",CP6&gt;=CU$32,CP6&lt;&gt;"",CJ6=""),AND(CR6&gt;=CU$28,CR6&lt;&gt;"",CT6&gt;=CU$32,CT6&lt;&gt;"",CJ6=""),AND(DR6&gt;=EE$28,DR6&lt;&gt;"",DT6&gt;=EE$32,DT6&lt;&gt;""),AND(DU6&gt;=EE$28,DU6&lt;&gt;"",DW6&gt;=EE$32,DW6&lt;&gt;""),AND(DY6&gt;=EE$28,DY6&lt;&gt;"",EA6&gt;=EE$32,EA6&lt;&gt;""),AND(EB6&gt;=EE$28,EB6&lt;&gt;"",ED6&gt;=EE$32,ED6&lt;&gt;""),AND(EZ6&gt;=FM$28,EZ6&lt;&gt;"",FB6&gt;=FM$32,FB6&lt;&gt;""),AND(FC6&gt;=FM$28,FC6&lt;&gt;"",FE6&gt;=FM$32,FE6&lt;&gt;""),AND(FG6&gt;=FM$28,FG6&lt;&gt;"",FI6&gt;=FM$32,FI6&lt;&gt;""),AND(FJ6&gt;=FM$28,FJ6&lt;&gt;"",FL6&gt;=FM$32,FL6&lt;&gt;""),AND(GH6&gt;=GU$28,GH6&lt;&gt;"",GJ6&gt;=GU$32,GJ6&lt;&gt;""),AND(GK6&gt;=GU$28,GK6&lt;&gt;"",GM6&gt;=GU$32,GM6&lt;&gt;""),AND(GO6&gt;=GU$28,GO6&lt;&gt;"",GQ6&gt;=GU$32,GQ6&lt;&gt;""),AND(GR6&gt;=GU$28,GR6&lt;&gt;"",GT6&gt;=GU$32,GT6&lt;&gt;""),AND(HP6&gt;=IC$28,HP6&lt;&gt;"",HR6&gt;=IC$32,HR6&lt;&gt;""),AND(HS6&gt;=IC$28,HS6&lt;&gt;"",HU6&gt;=IC$32,HU6&lt;&gt;""),AND(HW6&gt;=IC$28,HW6&lt;&gt;"",HY6&gt;=IC$32,HY6&lt;&gt;""),AND(HZ6&gt;=IC$28,HZ6&lt;&gt;"",IB6&gt;=IC$32,IB6&lt;&gt;""),AND(IX6&gt;=JK$28,IX6&lt;&gt;"",IZ6&gt;=JK$32,IZ6&lt;&gt;""),AND(JA6&gt;=JK$28,JA6&lt;&gt;"",JC6&gt;=JK$32,JC6&lt;&gt;""),AND(JE6&gt;=JK$28,JE6&lt;&gt;"",JG6&gt;=JK$32,JG6&lt;&gt;""),AND(JH6&gt;=JK$28,JH6&lt;&gt;"",JJ6&gt;=JK$32,JJ6&lt;&gt;""),AND(KF6&gt;=KS$28,KF6&lt;&gt;"",KH6&gt;=KS$32,KH6&lt;&gt;""),AND(KI6&gt;=KS$28,KI6&lt;&gt;"",KK6&gt;=KS$32,KK6&lt;&gt;""),AND(KM6&gt;=KS$28,KM6&lt;&gt;"",KO6&gt;=KS$32,KO6&lt;&gt;""),AND(KP6&gt;=KS$28,KP6&lt;&gt;"",KR6&gt;=KS$32,KR6&lt;&gt;""),AND(LN6&gt;=MA$28,LN6&lt;&gt;"",LP6&gt;=MA$32,LP6&lt;&gt;""),AND(LQ6&gt;=MA$28,LQ6&lt;&gt;"",LS6&gt;=MA$32,LS6&lt;&gt;""),AND(LU6&gt;=MA$28,LU6&lt;&gt;"",LW6&gt;=MA$32,LW6&lt;&gt;""),AND(LX6&gt;=MA$28,LX6&lt;&gt;"",LZ6&gt;=MA$32,LZ6&lt;&gt;""),AND(MV6&gt;=NI$28,MV6&lt;&gt;"",MX6&gt;=NI$32,MX6&lt;&gt;""),AND(MY6&gt;=NI$28,MY6&lt;&gt;"",NA6&gt;=NI$32,NA6&lt;&gt;""),AND(NC6&gt;=NI$28,NC6&lt;&gt;"",NE6&gt;=NI$32,NE6&lt;&gt;""),AND(NF6&gt;=NI$28,NF6&lt;&gt;"",NH6&gt;=NI$32,NH6&lt;&gt;""),AND(OD6&gt;=OQ$28,OD6&lt;&gt;"",OF6&gt;=OQ$32,OF6&lt;&gt;""),AND(OG6&gt;=OQ$28,OG6&lt;&gt;"",OI6&gt;=OQ$32,OI6&lt;&gt;""),AND(OK6&gt;=OQ$28,OK6&lt;&gt;"",OM6&gt;=OQ$32,OM6&lt;&gt;""),AND(ON6&gt;=OQ$28,ON6&lt;&gt;"",OP6&gt;=OQ$32,OP6&lt;&gt;""),AND(PL6&gt;=PY$28,PL6&lt;&gt;"",PN6&gt;=PY$32,PN6&lt;&gt;""),AND(PO6&gt;=PY$28,PO6&lt;&gt;"",PQ6&gt;=PY$32,PQ6&lt;&gt;""),AND(PS6&gt;=PY$28,PS6&lt;&gt;"",PU6&gt;=PY$32,PU6&lt;&gt;""),AND(PV6&gt;=PY$28,PV6&lt;&gt;"",PX6&gt;=PY$32,PX6&lt;&gt;""),AND(QT6&gt;=RG$28,QT6&lt;&gt;"",QV6&gt;=RG$32,QV6&lt;&gt;""),AND(QW6&gt;=RG$28,QW6&lt;&gt;"",QY6&gt;=RG$32,QY6&lt;&gt;""),AND(RA6&gt;=RG$28,RA6&lt;&gt;"",RC6&gt;=RG$32,RC6&lt;&gt;""),AND(RD6&gt;=RG$28,RD6&lt;&gt;"",RF6&gt;=RG$32,RF6&lt;&gt;""),AND(SB6&gt;=SO$28,SB6&lt;&gt;"",SD6&gt;=SO$32,SD6&lt;&gt;""),AND(SE6&gt;=SO$28,SE6&lt;&gt;"",SG6&gt;=SO$32,SG6&lt;&gt;""),AND(SI6&gt;=SO$28,SI6&lt;&gt;"",SK6&gt;=SO$32,SK6&lt;&gt;""),AND(SL6&gt;=SO$28,SL6&lt;&gt;"",SN6&gt;=SO$32,SN6&lt;&gt;""),AND(TJ6&gt;=TW$28,TJ6&lt;&gt;"",TL6&gt;=TW$32,TL6&lt;&gt;""),AND(TM6&gt;=TW$28,TM6&lt;&gt;"",TO6&gt;=TW$32,TO6&lt;&gt;""),AND(TQ6&gt;=TW$28,TQ6&lt;&gt;"",TS6&gt;=TW$32,TXQ6&lt;&gt;""),AND(TT6&gt;=TW$28,TT6&lt;&gt;"",TV6&gt;=TW$32,TV6&lt;&gt;""),AND(UR6&gt;=VE$28,UR6&lt;&gt;"",UT6&gt;=VE$32,UT6&lt;&gt;""),AND(UU6&gt;=VE$28,UU6&lt;&gt;"",UW6&gt;=VE$32,UW6&lt;&gt;""),AND(UY6&gt;=VE$28,UY6&lt;&gt;"",VA6&gt;=VE$32,VA6&lt;&gt;""),AND(VB6&gt;=VE$28,VB6&lt;&gt;"",VD6&gt;=VE$32,VD6&lt;&gt;""),AND(VZ6&gt;=WM$28,VZ6&lt;&gt;"",WB6&gt;=WM$32,WB6&lt;&gt;""),AND(WC6&gt;=WM$28,WC6&lt;&gt;"",WE6&gt;=WM$32,WE6&lt;&gt;""),AND(WG6&gt;=WM$28,WG6&lt;&gt;"",WI6&gt;=WM$32,WI6&lt;&gt;""),AND(WJ6&gt;=WM$28,WJ6&lt;&gt;"",WL6&gt;=WM$32,WL6&lt;&gt;"")),"P","")</f>
        <v/>
      </c>
      <c r="J6" s="8">
        <f t="shared" si="1"/>
        <v>26.999999999999996</v>
      </c>
      <c r="K6" s="8" t="str">
        <f t="shared" si="2"/>
        <v>2025 Nationals</v>
      </c>
      <c r="L6" s="8">
        <f>IFERROR(IF(J6=AR6,LARGE((AK6,AN6,BL6,BO6,BS6,CM6,CP6,CT6),1),IF(J6=BS6,LARGE((AK6,AN6,AR6,BL6,BO6,CM6,CP6,CT6),1),LARGE((AK6,AN6,AR6,BL6,BO6,BS6,CM6,CP6),1))),0)</f>
        <v>58.769999999999996</v>
      </c>
      <c r="M6" s="8" t="str">
        <f t="shared" si="3"/>
        <v>2025 Nationals</v>
      </c>
      <c r="N6" s="8">
        <f>IFERROR(IF(J6=AR6,LARGE((AK6,AN6,BL6,BO6,BS6,CM6,CP6,CT6),2),IF(J6=BS6,LARGE((AK6,AN6,AR6,BL6,BO6,CM6,CP6,CT6),2),LARGE((AK6,AN6,AR6,BL6,BO6,BS6,CM6,CP6),2))),0)</f>
        <v>56.39</v>
      </c>
      <c r="O6" s="8" t="str">
        <f t="shared" si="4"/>
        <v>2025 Nationals</v>
      </c>
      <c r="P6" s="8">
        <f t="shared" si="5"/>
        <v>28.850000000000005</v>
      </c>
      <c r="Q6" s="11" t="str">
        <f t="shared" si="6"/>
        <v>(Final)</v>
      </c>
      <c r="R6" s="8" t="str">
        <f t="shared" si="7"/>
        <v>2025 Pan Am Championships (May 18)</v>
      </c>
      <c r="S6" s="18">
        <v>15.8</v>
      </c>
      <c r="T6" s="18">
        <v>9.4</v>
      </c>
      <c r="U6" s="18">
        <v>16</v>
      </c>
      <c r="V6" s="18">
        <v>15.19</v>
      </c>
      <c r="W6" s="18">
        <v>0</v>
      </c>
      <c r="X6" s="18">
        <v>16.399999999999999</v>
      </c>
      <c r="Y6" s="18">
        <v>9.6999999999999993</v>
      </c>
      <c r="Z6" s="18">
        <v>16.8</v>
      </c>
      <c r="AA6" s="18">
        <v>15.87</v>
      </c>
      <c r="AB6" s="18">
        <v>0</v>
      </c>
      <c r="AC6" s="18">
        <v>7.9</v>
      </c>
      <c r="AD6" s="18">
        <v>4.3</v>
      </c>
      <c r="AE6" s="18">
        <v>7.1</v>
      </c>
      <c r="AF6" s="18">
        <v>7.7</v>
      </c>
      <c r="AG6" s="18">
        <v>0</v>
      </c>
      <c r="AH6" s="23"/>
      <c r="AI6" s="34">
        <f t="shared" si="8"/>
        <v>16</v>
      </c>
      <c r="AJ6" s="34">
        <f t="shared" si="9"/>
        <v>15.19</v>
      </c>
      <c r="AK6" s="36">
        <f t="shared" si="10"/>
        <v>56.39</v>
      </c>
      <c r="AL6" s="36">
        <f t="shared" si="11"/>
        <v>16.8</v>
      </c>
      <c r="AM6" s="36">
        <f t="shared" si="12"/>
        <v>15.87</v>
      </c>
      <c r="AN6" s="36">
        <f t="shared" si="13"/>
        <v>58.769999999999996</v>
      </c>
      <c r="AO6" s="36">
        <f t="shared" si="14"/>
        <v>58.769999999999996</v>
      </c>
      <c r="AP6" s="36">
        <f t="shared" si="15"/>
        <v>7.1</v>
      </c>
      <c r="AQ6" s="36">
        <f t="shared" si="16"/>
        <v>7.7</v>
      </c>
      <c r="AR6" s="36">
        <f t="shared" si="17"/>
        <v>26.999999999999996</v>
      </c>
      <c r="AS6" s="36">
        <f t="shared" si="18"/>
        <v>85.77</v>
      </c>
      <c r="AT6" s="22">
        <v>15</v>
      </c>
      <c r="AU6" s="22">
        <v>8.3000000000000007</v>
      </c>
      <c r="AV6" s="22">
        <v>16</v>
      </c>
      <c r="AW6" s="22">
        <v>15.96</v>
      </c>
      <c r="AX6" s="22">
        <v>0</v>
      </c>
      <c r="AY6" s="22">
        <v>3.3</v>
      </c>
      <c r="AZ6" s="22">
        <v>1.8</v>
      </c>
      <c r="BA6" s="22">
        <v>4</v>
      </c>
      <c r="BB6" s="22">
        <v>3.62</v>
      </c>
      <c r="BC6" s="22">
        <v>0</v>
      </c>
      <c r="BD6" s="22">
        <v>6.3</v>
      </c>
      <c r="BE6" s="22">
        <v>3.4</v>
      </c>
      <c r="BF6" s="22">
        <v>7.4</v>
      </c>
      <c r="BG6" s="22">
        <v>6.97</v>
      </c>
      <c r="BH6" s="22">
        <v>0</v>
      </c>
      <c r="BI6" s="24"/>
      <c r="BJ6" s="35">
        <f t="shared" si="19"/>
        <v>16</v>
      </c>
      <c r="BK6" s="35">
        <f t="shared" si="20"/>
        <v>15.96</v>
      </c>
      <c r="BL6" s="11">
        <f t="shared" si="21"/>
        <v>55.26</v>
      </c>
      <c r="BM6" s="11">
        <f t="shared" si="22"/>
        <v>4</v>
      </c>
      <c r="BN6" s="11">
        <f t="shared" si="23"/>
        <v>3.62</v>
      </c>
      <c r="BO6" s="11">
        <f t="shared" si="24"/>
        <v>12.719999999999999</v>
      </c>
      <c r="BP6" s="11">
        <f t="shared" si="25"/>
        <v>55.26</v>
      </c>
      <c r="BQ6" s="11">
        <f t="shared" si="26"/>
        <v>7.4</v>
      </c>
      <c r="BR6" s="11">
        <f t="shared" si="27"/>
        <v>6.97</v>
      </c>
      <c r="BS6" s="11">
        <f t="shared" si="28"/>
        <v>24.07</v>
      </c>
      <c r="BT6" s="11">
        <f t="shared" si="29"/>
        <v>79.33</v>
      </c>
      <c r="BU6" s="18">
        <v>1.6</v>
      </c>
      <c r="BV6" s="18">
        <v>1</v>
      </c>
      <c r="BW6" s="18">
        <v>2</v>
      </c>
      <c r="BX6" s="18">
        <v>1.71</v>
      </c>
      <c r="BY6" s="18">
        <v>0</v>
      </c>
      <c r="BZ6" s="18">
        <v>14.3</v>
      </c>
      <c r="CA6" s="18">
        <v>8.6999999999999993</v>
      </c>
      <c r="CB6" s="18">
        <v>17</v>
      </c>
      <c r="CC6" s="18">
        <v>15.75</v>
      </c>
      <c r="CD6" s="18">
        <v>0</v>
      </c>
      <c r="CE6" s="18">
        <v>4.9000000000000004</v>
      </c>
      <c r="CF6" s="18">
        <v>2.8</v>
      </c>
      <c r="CG6" s="18">
        <v>5.2</v>
      </c>
      <c r="CH6" s="18">
        <v>5.0999999999999996</v>
      </c>
      <c r="CI6" s="18">
        <v>0</v>
      </c>
      <c r="CJ6" s="23"/>
      <c r="CK6" s="34">
        <f t="shared" si="30"/>
        <v>2</v>
      </c>
      <c r="CL6" s="34">
        <f t="shared" si="31"/>
        <v>1.71</v>
      </c>
      <c r="CM6" s="36">
        <f t="shared" si="32"/>
        <v>6.31</v>
      </c>
      <c r="CN6" s="36">
        <f t="shared" si="33"/>
        <v>17</v>
      </c>
      <c r="CO6" s="36">
        <f t="shared" si="34"/>
        <v>15.75</v>
      </c>
      <c r="CP6" s="36">
        <f t="shared" si="35"/>
        <v>55.75</v>
      </c>
      <c r="CQ6" s="36">
        <f t="shared" si="36"/>
        <v>55.75</v>
      </c>
      <c r="CR6" s="36">
        <f t="shared" si="37"/>
        <v>5.2</v>
      </c>
      <c r="CS6" s="36">
        <f t="shared" si="38"/>
        <v>5.0999999999999996</v>
      </c>
      <c r="CT6" s="36">
        <f t="shared" si="39"/>
        <v>18</v>
      </c>
      <c r="CU6" s="36">
        <f t="shared" si="40"/>
        <v>73.75</v>
      </c>
      <c r="CV6" s="47">
        <f t="shared" si="41"/>
        <v>28.850000000000005</v>
      </c>
      <c r="CW6" s="47" t="str">
        <f t="shared" si="42"/>
        <v/>
      </c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36" t="str">
        <f t="shared" si="43"/>
        <v/>
      </c>
      <c r="DS6" s="36" t="str">
        <f t="shared" si="44"/>
        <v/>
      </c>
      <c r="DT6" s="36" t="str">
        <f t="shared" si="45"/>
        <v/>
      </c>
      <c r="DU6" s="36" t="str">
        <f t="shared" si="46"/>
        <v/>
      </c>
      <c r="DV6" s="36" t="str">
        <f t="shared" si="47"/>
        <v/>
      </c>
      <c r="DW6" s="36" t="str">
        <f t="shared" si="48"/>
        <v/>
      </c>
      <c r="DX6" s="36" t="str">
        <f t="shared" si="49"/>
        <v/>
      </c>
      <c r="DY6" s="36" t="str">
        <f t="shared" si="50"/>
        <v/>
      </c>
      <c r="DZ6" s="36" t="str">
        <f t="shared" si="51"/>
        <v/>
      </c>
      <c r="EA6" s="36" t="str">
        <f t="shared" si="52"/>
        <v/>
      </c>
      <c r="EB6" s="36" t="str">
        <f t="shared" si="53"/>
        <v/>
      </c>
      <c r="EC6" s="36" t="str">
        <f t="shared" si="54"/>
        <v/>
      </c>
      <c r="ED6" s="36" t="str">
        <f t="shared" si="55"/>
        <v/>
      </c>
      <c r="EE6" s="36" t="str">
        <f t="shared" si="56"/>
        <v/>
      </c>
      <c r="EF6" s="16">
        <v>14.9</v>
      </c>
      <c r="EG6" s="16">
        <v>16.399999999999999</v>
      </c>
      <c r="EH6" s="16">
        <v>8.6999999999999993</v>
      </c>
      <c r="EI6" s="16">
        <v>15.39</v>
      </c>
      <c r="EJ6" s="16">
        <v>0</v>
      </c>
      <c r="EK6" s="16">
        <v>14.5</v>
      </c>
      <c r="EL6" s="16">
        <v>9.1999999999999993</v>
      </c>
      <c r="EM6" s="16">
        <v>17</v>
      </c>
      <c r="EN6" s="16">
        <v>15.545</v>
      </c>
      <c r="EO6" s="16">
        <v>0</v>
      </c>
      <c r="EP6" s="16"/>
      <c r="EQ6" s="16"/>
      <c r="ER6" s="16"/>
      <c r="ES6" s="16"/>
      <c r="ET6" s="16"/>
      <c r="EU6" s="16">
        <v>14.6</v>
      </c>
      <c r="EV6" s="16">
        <v>9</v>
      </c>
      <c r="EW6" s="16">
        <v>17</v>
      </c>
      <c r="EX6" s="16">
        <v>15.25</v>
      </c>
      <c r="EY6" s="16">
        <v>0</v>
      </c>
      <c r="EZ6" s="11">
        <f t="shared" si="57"/>
        <v>8.6999999999999993</v>
      </c>
      <c r="FA6" s="11">
        <f t="shared" si="58"/>
        <v>15.39</v>
      </c>
      <c r="FB6" s="11">
        <f t="shared" si="59"/>
        <v>55.39</v>
      </c>
      <c r="FC6" s="11">
        <f t="shared" si="60"/>
        <v>17</v>
      </c>
      <c r="FD6" s="11">
        <f t="shared" si="61"/>
        <v>15.545</v>
      </c>
      <c r="FE6" s="11">
        <f t="shared" si="62"/>
        <v>56.245000000000005</v>
      </c>
      <c r="FF6" s="11">
        <f t="shared" si="63"/>
        <v>56.245000000000005</v>
      </c>
      <c r="FG6" s="11" t="str">
        <f t="shared" si="64"/>
        <v/>
      </c>
      <c r="FH6" s="11" t="str">
        <f t="shared" si="65"/>
        <v/>
      </c>
      <c r="FI6" s="11" t="str">
        <f t="shared" si="66"/>
        <v/>
      </c>
      <c r="FJ6" s="11">
        <f t="shared" si="67"/>
        <v>17</v>
      </c>
      <c r="FK6" s="11">
        <f t="shared" si="68"/>
        <v>15.25</v>
      </c>
      <c r="FL6" s="11">
        <f t="shared" si="69"/>
        <v>55.85</v>
      </c>
      <c r="FM6" s="11">
        <f t="shared" si="70"/>
        <v>112.095</v>
      </c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36" t="str">
        <f t="shared" si="71"/>
        <v/>
      </c>
      <c r="GI6" s="36" t="str">
        <f t="shared" si="72"/>
        <v/>
      </c>
      <c r="GJ6" s="36" t="str">
        <f t="shared" si="73"/>
        <v/>
      </c>
      <c r="GK6" s="36" t="str">
        <f t="shared" si="74"/>
        <v/>
      </c>
      <c r="GL6" s="36" t="str">
        <f t="shared" si="75"/>
        <v/>
      </c>
      <c r="GM6" s="36" t="str">
        <f t="shared" si="76"/>
        <v/>
      </c>
      <c r="GN6" s="36" t="str">
        <f t="shared" si="77"/>
        <v/>
      </c>
      <c r="GO6" s="36" t="str">
        <f t="shared" si="78"/>
        <v/>
      </c>
      <c r="GP6" s="36" t="str">
        <f t="shared" si="79"/>
        <v/>
      </c>
      <c r="GQ6" s="36" t="str">
        <f t="shared" si="80"/>
        <v/>
      </c>
      <c r="GR6" s="36" t="str">
        <f t="shared" si="81"/>
        <v/>
      </c>
      <c r="GS6" s="36" t="str">
        <f t="shared" si="82"/>
        <v/>
      </c>
      <c r="GT6" s="36" t="str">
        <f t="shared" si="83"/>
        <v/>
      </c>
      <c r="GU6" s="36" t="str">
        <f t="shared" si="84"/>
        <v/>
      </c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1" t="str">
        <f t="shared" si="85"/>
        <v/>
      </c>
      <c r="HQ6" s="11" t="str">
        <f t="shared" si="86"/>
        <v/>
      </c>
      <c r="HR6" s="11" t="str">
        <f t="shared" si="87"/>
        <v/>
      </c>
      <c r="HS6" s="11" t="str">
        <f t="shared" si="88"/>
        <v/>
      </c>
      <c r="HT6" s="11" t="str">
        <f t="shared" si="89"/>
        <v/>
      </c>
      <c r="HU6" s="11" t="str">
        <f t="shared" si="90"/>
        <v/>
      </c>
      <c r="HV6" s="11" t="str">
        <f t="shared" si="91"/>
        <v/>
      </c>
      <c r="HW6" s="11" t="str">
        <f t="shared" si="92"/>
        <v/>
      </c>
      <c r="HX6" s="11" t="str">
        <f t="shared" si="93"/>
        <v/>
      </c>
      <c r="HY6" s="11" t="str">
        <f t="shared" si="94"/>
        <v/>
      </c>
      <c r="HZ6" s="11" t="str">
        <f t="shared" si="95"/>
        <v/>
      </c>
      <c r="IA6" s="11" t="str">
        <f t="shared" si="96"/>
        <v/>
      </c>
      <c r="IB6" s="11" t="str">
        <f t="shared" si="97"/>
        <v/>
      </c>
      <c r="IC6" s="11" t="str">
        <f t="shared" si="98"/>
        <v/>
      </c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36" t="str">
        <f t="shared" si="99"/>
        <v/>
      </c>
      <c r="IY6" s="36" t="str">
        <f t="shared" si="100"/>
        <v/>
      </c>
      <c r="IZ6" s="36" t="str">
        <f t="shared" si="101"/>
        <v/>
      </c>
      <c r="JA6" s="36" t="str">
        <f t="shared" si="102"/>
        <v/>
      </c>
      <c r="JB6" s="36" t="str">
        <f t="shared" si="103"/>
        <v/>
      </c>
      <c r="JC6" s="36" t="str">
        <f t="shared" si="104"/>
        <v/>
      </c>
      <c r="JD6" s="36" t="str">
        <f t="shared" si="105"/>
        <v/>
      </c>
      <c r="JE6" s="36" t="str">
        <f t="shared" si="106"/>
        <v/>
      </c>
      <c r="JF6" s="36" t="str">
        <f t="shared" si="107"/>
        <v/>
      </c>
      <c r="JG6" s="36" t="str">
        <f t="shared" si="108"/>
        <v/>
      </c>
      <c r="JH6" s="36" t="str">
        <f t="shared" si="109"/>
        <v/>
      </c>
      <c r="JI6" s="36" t="str">
        <f t="shared" si="110"/>
        <v/>
      </c>
      <c r="JJ6" s="36" t="str">
        <f t="shared" si="111"/>
        <v/>
      </c>
      <c r="JK6" s="36" t="str">
        <f t="shared" si="112"/>
        <v/>
      </c>
      <c r="JL6" s="16">
        <v>0</v>
      </c>
      <c r="JM6" s="16">
        <v>0</v>
      </c>
      <c r="JN6" s="16">
        <v>0</v>
      </c>
      <c r="JO6" s="16">
        <v>0</v>
      </c>
      <c r="JP6" s="16">
        <v>0</v>
      </c>
      <c r="JQ6" s="16">
        <v>3</v>
      </c>
      <c r="JR6" s="16">
        <v>1.8</v>
      </c>
      <c r="JS6" s="16">
        <v>4</v>
      </c>
      <c r="JT6" s="16">
        <v>3.4</v>
      </c>
      <c r="JU6" s="16">
        <v>0</v>
      </c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1" t="str">
        <f t="shared" si="113"/>
        <v/>
      </c>
      <c r="KG6" s="11" t="str">
        <f t="shared" si="114"/>
        <v/>
      </c>
      <c r="KH6" s="11" t="str">
        <f t="shared" si="115"/>
        <v/>
      </c>
      <c r="KI6" s="11">
        <f t="shared" si="116"/>
        <v>4</v>
      </c>
      <c r="KJ6" s="11">
        <f t="shared" si="117"/>
        <v>3.4</v>
      </c>
      <c r="KK6" s="11">
        <f t="shared" si="118"/>
        <v>12.200000000000001</v>
      </c>
      <c r="KL6" s="11">
        <f t="shared" si="119"/>
        <v>12.200000000000001</v>
      </c>
      <c r="KM6" s="11" t="str">
        <f t="shared" si="120"/>
        <v/>
      </c>
      <c r="KN6" s="11" t="str">
        <f t="shared" si="121"/>
        <v/>
      </c>
      <c r="KO6" s="11" t="str">
        <f t="shared" si="122"/>
        <v/>
      </c>
      <c r="KP6" s="11" t="str">
        <f t="shared" si="123"/>
        <v/>
      </c>
      <c r="KQ6" s="11" t="str">
        <f t="shared" si="124"/>
        <v/>
      </c>
      <c r="KR6" s="11" t="str">
        <f t="shared" si="125"/>
        <v/>
      </c>
      <c r="KS6" s="11">
        <f t="shared" si="126"/>
        <v>12.200000000000001</v>
      </c>
      <c r="KT6" s="15">
        <v>4.4000000000000004</v>
      </c>
      <c r="KU6" s="15">
        <v>2.7</v>
      </c>
      <c r="KV6" s="15">
        <v>5.7</v>
      </c>
      <c r="KW6" s="15">
        <v>4.95</v>
      </c>
      <c r="KX6" s="15">
        <v>0</v>
      </c>
      <c r="KY6" s="15">
        <v>14.1</v>
      </c>
      <c r="KZ6" s="15">
        <v>8.9</v>
      </c>
      <c r="LA6" s="15">
        <v>17</v>
      </c>
      <c r="LB6" s="15">
        <v>15.49</v>
      </c>
      <c r="LC6" s="15">
        <v>0</v>
      </c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36">
        <f t="shared" si="127"/>
        <v>5.7</v>
      </c>
      <c r="LO6" s="36">
        <f t="shared" si="128"/>
        <v>4.95</v>
      </c>
      <c r="LP6" s="36">
        <f t="shared" si="129"/>
        <v>17.75</v>
      </c>
      <c r="LQ6" s="36">
        <f t="shared" si="130"/>
        <v>17</v>
      </c>
      <c r="LR6" s="36">
        <f t="shared" si="131"/>
        <v>15.49</v>
      </c>
      <c r="LS6" s="36">
        <f t="shared" si="132"/>
        <v>55.49</v>
      </c>
      <c r="LT6" s="36">
        <f t="shared" si="133"/>
        <v>55.49</v>
      </c>
      <c r="LU6" s="36" t="str">
        <f t="shared" si="134"/>
        <v/>
      </c>
      <c r="LV6" s="36" t="str">
        <f t="shared" si="135"/>
        <v/>
      </c>
      <c r="LW6" s="36" t="str">
        <f t="shared" si="136"/>
        <v/>
      </c>
      <c r="LX6" s="36" t="str">
        <f t="shared" si="137"/>
        <v/>
      </c>
      <c r="LY6" s="36" t="str">
        <f t="shared" si="138"/>
        <v/>
      </c>
      <c r="LZ6" s="36" t="str">
        <f t="shared" si="139"/>
        <v/>
      </c>
      <c r="MA6" s="36">
        <f t="shared" si="140"/>
        <v>55.49</v>
      </c>
      <c r="MB6" s="16">
        <v>14.9</v>
      </c>
      <c r="MC6" s="16">
        <v>9.1999999999999993</v>
      </c>
      <c r="MD6" s="16">
        <v>16.600000000000001</v>
      </c>
      <c r="ME6" s="16">
        <v>15.64</v>
      </c>
      <c r="MF6" s="16">
        <v>0</v>
      </c>
      <c r="MG6" s="16">
        <v>5.9</v>
      </c>
      <c r="MH6" s="16">
        <v>3.8</v>
      </c>
      <c r="MI6" s="16">
        <v>7.4</v>
      </c>
      <c r="MJ6" s="16">
        <v>7.04</v>
      </c>
      <c r="MK6" s="16">
        <v>0</v>
      </c>
      <c r="ML6" s="16"/>
      <c r="MM6" s="16"/>
      <c r="MN6" s="16"/>
      <c r="MO6" s="16"/>
      <c r="MP6" s="16"/>
      <c r="MQ6" s="16"/>
      <c r="MR6" s="16"/>
      <c r="MS6" s="16"/>
      <c r="MT6" s="16"/>
      <c r="MU6" s="16"/>
      <c r="MV6" s="11">
        <f t="shared" si="141"/>
        <v>16.600000000000001</v>
      </c>
      <c r="MW6" s="11">
        <f t="shared" si="142"/>
        <v>15.64</v>
      </c>
      <c r="MX6" s="11">
        <f t="shared" si="143"/>
        <v>56.34</v>
      </c>
      <c r="MY6" s="11">
        <f t="shared" si="144"/>
        <v>7.4</v>
      </c>
      <c r="MZ6" s="11">
        <f t="shared" si="145"/>
        <v>7.04</v>
      </c>
      <c r="NA6" s="11">
        <f t="shared" si="146"/>
        <v>24.14</v>
      </c>
      <c r="NB6" s="11">
        <f t="shared" si="147"/>
        <v>56.34</v>
      </c>
      <c r="NC6" s="11" t="str">
        <f t="shared" si="148"/>
        <v/>
      </c>
      <c r="ND6" s="11" t="str">
        <f t="shared" si="149"/>
        <v/>
      </c>
      <c r="NE6" s="11" t="str">
        <f t="shared" si="150"/>
        <v/>
      </c>
      <c r="NF6" s="11" t="str">
        <f t="shared" si="151"/>
        <v/>
      </c>
      <c r="NG6" s="11" t="str">
        <f t="shared" si="152"/>
        <v/>
      </c>
      <c r="NH6" s="11" t="str">
        <f t="shared" si="153"/>
        <v/>
      </c>
      <c r="NI6" s="11">
        <f t="shared" si="154"/>
        <v>56.34</v>
      </c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36" t="str">
        <f t="shared" si="155"/>
        <v/>
      </c>
      <c r="OE6" s="36" t="str">
        <f t="shared" si="156"/>
        <v/>
      </c>
      <c r="OF6" s="36" t="str">
        <f t="shared" si="157"/>
        <v/>
      </c>
      <c r="OG6" s="36" t="str">
        <f t="shared" si="158"/>
        <v/>
      </c>
      <c r="OH6" s="36" t="str">
        <f t="shared" si="159"/>
        <v/>
      </c>
      <c r="OI6" s="36" t="str">
        <f t="shared" si="160"/>
        <v/>
      </c>
      <c r="OJ6" s="36" t="str">
        <f t="shared" si="161"/>
        <v/>
      </c>
      <c r="OK6" s="36" t="str">
        <f t="shared" si="162"/>
        <v/>
      </c>
      <c r="OL6" s="36" t="str">
        <f t="shared" si="163"/>
        <v/>
      </c>
      <c r="OM6" s="36" t="str">
        <f t="shared" si="164"/>
        <v/>
      </c>
      <c r="ON6" s="36" t="str">
        <f t="shared" si="165"/>
        <v/>
      </c>
      <c r="OO6" s="36" t="str">
        <f t="shared" si="166"/>
        <v/>
      </c>
      <c r="OP6" s="36" t="str">
        <f t="shared" si="167"/>
        <v/>
      </c>
      <c r="OQ6" s="36" t="str">
        <f t="shared" si="168"/>
        <v/>
      </c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6"/>
      <c r="PJ6" s="16"/>
      <c r="PK6" s="16"/>
      <c r="PL6" s="11" t="str">
        <f t="shared" si="169"/>
        <v/>
      </c>
      <c r="PM6" s="11" t="str">
        <f t="shared" si="170"/>
        <v/>
      </c>
      <c r="PN6" s="11" t="str">
        <f t="shared" si="171"/>
        <v/>
      </c>
      <c r="PO6" s="11" t="str">
        <f t="shared" si="172"/>
        <v/>
      </c>
      <c r="PP6" s="11" t="str">
        <f t="shared" si="173"/>
        <v/>
      </c>
      <c r="PQ6" s="11" t="str">
        <f t="shared" si="174"/>
        <v/>
      </c>
      <c r="PR6" s="11" t="str">
        <f t="shared" si="175"/>
        <v/>
      </c>
      <c r="PS6" s="11" t="str">
        <f t="shared" si="176"/>
        <v/>
      </c>
      <c r="PT6" s="11" t="str">
        <f t="shared" si="177"/>
        <v/>
      </c>
      <c r="PU6" s="11" t="str">
        <f t="shared" si="178"/>
        <v/>
      </c>
      <c r="PV6" s="11" t="str">
        <f t="shared" si="179"/>
        <v/>
      </c>
      <c r="PW6" s="11" t="str">
        <f t="shared" si="180"/>
        <v/>
      </c>
      <c r="PX6" s="11" t="str">
        <f t="shared" si="181"/>
        <v/>
      </c>
      <c r="PY6" s="11" t="str">
        <f t="shared" si="182"/>
        <v/>
      </c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36" t="str">
        <f t="shared" si="183"/>
        <v/>
      </c>
      <c r="QU6" s="36" t="str">
        <f t="shared" si="184"/>
        <v/>
      </c>
      <c r="QV6" s="36" t="str">
        <f t="shared" si="185"/>
        <v/>
      </c>
      <c r="QW6" s="36" t="str">
        <f t="shared" si="186"/>
        <v/>
      </c>
      <c r="QX6" s="36" t="str">
        <f t="shared" si="187"/>
        <v/>
      </c>
      <c r="QY6" s="36" t="str">
        <f t="shared" si="188"/>
        <v/>
      </c>
      <c r="QZ6" s="36" t="str">
        <f t="shared" si="189"/>
        <v/>
      </c>
      <c r="RA6" s="36" t="str">
        <f t="shared" si="190"/>
        <v/>
      </c>
      <c r="RB6" s="36" t="str">
        <f t="shared" si="191"/>
        <v/>
      </c>
      <c r="RC6" s="36" t="str">
        <f t="shared" si="192"/>
        <v/>
      </c>
      <c r="RD6" s="36" t="str">
        <f t="shared" si="193"/>
        <v/>
      </c>
      <c r="RE6" s="36" t="str">
        <f t="shared" si="194"/>
        <v/>
      </c>
      <c r="RF6" s="36" t="str">
        <f t="shared" si="195"/>
        <v/>
      </c>
      <c r="RG6" s="36" t="str">
        <f t="shared" si="196"/>
        <v/>
      </c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6"/>
      <c r="RZ6" s="16"/>
      <c r="SA6" s="16"/>
      <c r="SB6" s="11" t="str">
        <f t="shared" si="197"/>
        <v/>
      </c>
      <c r="SC6" s="11" t="str">
        <f t="shared" si="198"/>
        <v/>
      </c>
      <c r="SD6" s="11" t="str">
        <f t="shared" si="199"/>
        <v/>
      </c>
      <c r="SE6" s="11" t="str">
        <f t="shared" si="200"/>
        <v/>
      </c>
      <c r="SF6" s="11" t="str">
        <f t="shared" si="201"/>
        <v/>
      </c>
      <c r="SG6" s="11" t="str">
        <f t="shared" si="202"/>
        <v/>
      </c>
      <c r="SH6" s="11" t="str">
        <f t="shared" si="203"/>
        <v/>
      </c>
      <c r="SI6" s="11" t="str">
        <f t="shared" si="204"/>
        <v/>
      </c>
      <c r="SJ6" s="11" t="str">
        <f t="shared" si="205"/>
        <v/>
      </c>
      <c r="SK6" s="11" t="str">
        <f t="shared" si="206"/>
        <v/>
      </c>
      <c r="SL6" s="11" t="str">
        <f t="shared" si="207"/>
        <v/>
      </c>
      <c r="SM6" s="11" t="str">
        <f t="shared" si="208"/>
        <v/>
      </c>
      <c r="SN6" s="11" t="str">
        <f t="shared" si="209"/>
        <v/>
      </c>
      <c r="SO6" s="11" t="str">
        <f t="shared" si="210"/>
        <v/>
      </c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36" t="str">
        <f t="shared" si="211"/>
        <v/>
      </c>
      <c r="TK6" s="36" t="str">
        <f t="shared" si="212"/>
        <v/>
      </c>
      <c r="TL6" s="36" t="str">
        <f t="shared" si="213"/>
        <v/>
      </c>
      <c r="TM6" s="36" t="str">
        <f t="shared" si="214"/>
        <v/>
      </c>
      <c r="TN6" s="36" t="str">
        <f t="shared" si="215"/>
        <v/>
      </c>
      <c r="TO6" s="36" t="str">
        <f t="shared" si="216"/>
        <v/>
      </c>
      <c r="TP6" s="36" t="str">
        <f t="shared" si="217"/>
        <v/>
      </c>
      <c r="TQ6" s="36" t="str">
        <f t="shared" si="218"/>
        <v/>
      </c>
      <c r="TR6" s="36" t="str">
        <f t="shared" si="219"/>
        <v/>
      </c>
      <c r="TS6" s="36" t="str">
        <f t="shared" si="220"/>
        <v/>
      </c>
      <c r="TT6" s="36" t="str">
        <f t="shared" si="221"/>
        <v/>
      </c>
      <c r="TU6" s="36" t="str">
        <f t="shared" si="222"/>
        <v/>
      </c>
      <c r="TV6" s="36" t="str">
        <f t="shared" si="223"/>
        <v/>
      </c>
      <c r="TW6" s="36" t="str">
        <f t="shared" si="224"/>
        <v/>
      </c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6"/>
      <c r="UP6" s="16"/>
      <c r="UQ6" s="16"/>
      <c r="UR6" s="11" t="str">
        <f t="shared" si="225"/>
        <v/>
      </c>
      <c r="US6" s="11" t="str">
        <f t="shared" si="226"/>
        <v/>
      </c>
      <c r="UT6" s="11" t="str">
        <f t="shared" si="227"/>
        <v/>
      </c>
      <c r="UU6" s="11" t="str">
        <f t="shared" si="228"/>
        <v/>
      </c>
      <c r="UV6" s="11" t="str">
        <f t="shared" si="229"/>
        <v/>
      </c>
      <c r="UW6" s="11" t="str">
        <f t="shared" si="230"/>
        <v/>
      </c>
      <c r="UX6" s="11" t="str">
        <f t="shared" si="231"/>
        <v/>
      </c>
      <c r="UY6" s="11" t="str">
        <f t="shared" si="232"/>
        <v/>
      </c>
      <c r="UZ6" s="11" t="str">
        <f t="shared" si="233"/>
        <v/>
      </c>
      <c r="VA6" s="11" t="str">
        <f t="shared" si="234"/>
        <v/>
      </c>
      <c r="VB6" s="11" t="str">
        <f t="shared" si="235"/>
        <v/>
      </c>
      <c r="VC6" s="11" t="str">
        <f t="shared" si="236"/>
        <v/>
      </c>
      <c r="VD6" s="11" t="str">
        <f t="shared" si="237"/>
        <v/>
      </c>
      <c r="VE6" s="11" t="str">
        <f t="shared" si="238"/>
        <v/>
      </c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36" t="str">
        <f t="shared" si="239"/>
        <v/>
      </c>
      <c r="WA6" s="36" t="str">
        <f t="shared" si="240"/>
        <v/>
      </c>
      <c r="WB6" s="36" t="str">
        <f t="shared" si="241"/>
        <v/>
      </c>
      <c r="WC6" s="36" t="str">
        <f t="shared" si="242"/>
        <v/>
      </c>
      <c r="WD6" s="36" t="str">
        <f t="shared" si="243"/>
        <v/>
      </c>
      <c r="WE6" s="36" t="str">
        <f t="shared" si="244"/>
        <v/>
      </c>
      <c r="WF6" s="36" t="str">
        <f t="shared" si="245"/>
        <v/>
      </c>
      <c r="WG6" s="36" t="str">
        <f t="shared" si="246"/>
        <v/>
      </c>
      <c r="WH6" s="36" t="str">
        <f t="shared" si="247"/>
        <v/>
      </c>
      <c r="WI6" s="36" t="str">
        <f t="shared" si="248"/>
        <v/>
      </c>
      <c r="WJ6" s="36" t="str">
        <f t="shared" si="249"/>
        <v/>
      </c>
      <c r="WK6" s="36" t="str">
        <f t="shared" si="250"/>
        <v/>
      </c>
      <c r="WL6" s="36" t="str">
        <f t="shared" si="251"/>
        <v/>
      </c>
      <c r="WM6" s="36" t="str">
        <f t="shared" si="252"/>
        <v/>
      </c>
    </row>
    <row r="7" spans="1:611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76</v>
      </c>
      <c r="C7" s="4" t="s">
        <v>7</v>
      </c>
      <c r="D7" s="4">
        <v>2005</v>
      </c>
      <c r="E7" s="9">
        <f t="shared" si="0"/>
        <v>170.54001702900575</v>
      </c>
      <c r="F7" s="3" t="str">
        <f>IF(OR(AND(AI7&gt;=AS$27,AI7&lt;&gt;"",AK7&gt;=AS$31,AK7&lt;&gt;"",AH7=""),AND(AL7&gt;=AS$27,AL7&lt;&gt;"",AN7&gt;=AS$31,AN7&lt;&gt;"",AH7=""),AND(AP7&gt;=AS$27,AP7&lt;&gt;"",AR7&gt;=AS$31,AR7&lt;&gt;"",AH7=""),AND(BJ7&gt;=BT$27,BJ7&lt;&gt;"",BL7&gt;=BT$31,BL7&lt;&gt;"",BI7=""),AND(BM7&gt;=BT$27,BM7&lt;&gt;"",BO7&gt;=BT$31,BO7&lt;&gt;"",BI7=""),AND(BQ7&gt;=BT$27,BQ7&lt;&gt;"",BS7&gt;=BT$31,BS7&lt;&gt;"",BI7=""),AND(CK7&gt;=CU$27,CK7&lt;&gt;"",CM7&gt;=CU$31,CM7&lt;&gt;"",CJ7=""),AND(CN7&gt;=CU$27,CN7&lt;&gt;"",CP7&gt;=CU$31,CP7&lt;&gt;"",CJ7=""),AND(CR7&gt;=CU$27,CR7&lt;&gt;"",CT7&gt;=CU$31,CT7&lt;&gt;"",CJ7=""),AND(DR7&gt;=EE$27,DR7&lt;&gt;"",DT7&gt;=EE$31,DT7&lt;&gt;""),AND(DU7&gt;=EE$27,DU7&lt;&gt;"",DW7&gt;=EE$31,DW7&lt;&gt;""),AND(DY7&gt;=EE$27,DY7&lt;&gt;"",EA7&gt;=EE$31,EA7&lt;&gt;""),AND(EB7&gt;=EE$27,EB7&lt;&gt;"",ED7&gt;=EE$31,ED7&lt;&gt;""),AND(EZ7&gt;=FM$27,EZ7&lt;&gt;"",FB7&gt;=FM$31,FB7&lt;&gt;""),AND(FC7&gt;=FM$27,FC7&lt;&gt;"",FE7&gt;=FM$31,FE7&lt;&gt;""),AND(FG7&gt;=FM$27,FG7&lt;&gt;"",FI7&gt;=FM$31,FI7&lt;&gt;""),AND(FJ7&gt;=FM$27,FJ7&lt;&gt;"",FL7&gt;=FM$31,FL7&lt;&gt;""),AND(GH7&gt;=GU$27,GH7&lt;&gt;"",GJ7&gt;=GU$31,GJ7&lt;&gt;""),AND(GK7&gt;=GU$27,GK7&lt;&gt;"",GM7&gt;=GU$31,GM7&lt;&gt;""),AND(GO7&gt;=GU$27,GO7&lt;&gt;"",GQ7&gt;=GU$31,GQ7&lt;&gt;""),AND(GR7&gt;=GU$27,GR7&lt;&gt;"",GT7&gt;=GU$31,GT7&lt;&gt;""),AND(HP7&gt;=IC$27,HP7&lt;&gt;"",HR7&gt;=IC$31,HR7&lt;&gt;""),AND(HS7&gt;=IC$27,HS7&lt;&gt;"",HU7&gt;=IC$31,HU7&lt;&gt;""),AND(HW7&gt;=IC$27,HW7&lt;&gt;"",HY7&gt;=IC$31,HY7&lt;&gt;""),AND(HZ7&gt;=IC$27,HZ7&lt;&gt;"",IB7&gt;=IC$31,IB7&lt;&gt;""),AND(IX7&gt;=JK$27,IX7&lt;&gt;"",IZ7&gt;=JK$31,IZ7&lt;&gt;""),AND(JA7&gt;=JK$27,JA7&lt;&gt;"",JC7&gt;=JK$31,JC7&lt;&gt;""),AND(JE7&gt;=JK$27,JE7&lt;&gt;"",JG7&gt;=JK$31,JG7&lt;&gt;""),AND(JH7&gt;=JK$27,JH7&lt;&gt;"",JJ7&gt;=JK$31,JJ7&lt;&gt;""),AND(KF7&gt;=KS$27,KF7&lt;&gt;"",KH7&gt;=KS$31,KH7&lt;&gt;""),AND(KI7&gt;=KS$27,KI7&lt;&gt;"",KK7&gt;=KS$31,KK7&lt;&gt;""),AND(KM7&gt;=KS$27,KM7&lt;&gt;"",KO7&gt;=KS$31,KO7&lt;&gt;""),AND(KP7&gt;=KS$27,KP7&lt;&gt;"",KR7&gt;=KS$31,KR7&lt;&gt;""),AND(LN7&gt;=MA$27,LN7&lt;&gt;"",LP7&gt;=MA$31,LP7&lt;&gt;""),AND(LQ7&gt;=MA$27,LQ7&lt;&gt;"",LS7&gt;=MA$31,LS7&lt;&gt;""),AND(LU7&gt;=MA$27,LU7&lt;&gt;"",LW7&gt;=MA$31,LW7&lt;&gt;""),AND(LX7&gt;=MA$27,LX7&lt;&gt;"",LZ7&gt;=MA$31,LZ7&lt;&gt;""),AND(MV7&gt;=NI$27,MV7&lt;&gt;"",MX7&gt;=NI$31,MX7&lt;&gt;""),AND(MY7&gt;=NI$27,MY7&lt;&gt;"",NA7&gt;=NI$31,NA7&lt;&gt;""),AND(NC7&gt;=NI$27,NC7&lt;&gt;"",NE7&gt;=NI$31,NE7&lt;&gt;""),AND(NF7&gt;=NI$27,NF7&lt;&gt;"",NH7&gt;=NI$31,NH7&lt;&gt;""),AND(OD7&gt;=OQ$27,OD7&lt;&gt;"",OF7&gt;=OQ$31,OF7&lt;&gt;""),AND(OG7&gt;=OQ$27,OG7&lt;&gt;"",OI7&gt;=OQ$31,OI7&lt;&gt;""),AND(OK7&gt;=OQ$27,OK7&lt;&gt;"",OM7&gt;=OQ$31,OM7&lt;&gt;""),AND(ON7&gt;=OQ$27,ON7&lt;&gt;"",OP7&gt;=OQ$31,OP7&lt;&gt;""),AND(PL7&gt;=PY$27,PL7&lt;&gt;"",PN7&gt;=PY$31,PN7&lt;&gt;""),AND(PO7&gt;=PY$27,PO7&lt;&gt;"",PQ7&gt;=PY$31,PQ7&lt;&gt;""),AND(PS7&gt;=PY$27,PS7&lt;&gt;"",PU7&gt;=PY$31,PU7&lt;&gt;""),AND(PV7&gt;=PY$27,PV7&lt;&gt;"",PX7&gt;=PY$31,PX7&lt;&gt;""),AND(QT7&gt;=RG$27,QT7&lt;&gt;"",QV7&gt;=RG$31,QV7&lt;&gt;""),AND(QW7&gt;=RG$27,QW7&lt;&gt;"",QY7&gt;=RG$31,QY7&lt;&gt;""),AND(RA7&gt;=RG$27,RA7&lt;&gt;"",RC7&gt;=RG$31,RC7&lt;&gt;""),AND(RD7&gt;=RG$27,RD7&lt;&gt;"",RF7&gt;=RG$31,RF7&lt;&gt;""),AND(SB7&gt;=SO$27,SB7&lt;&gt;"",SD7&gt;=SO$31,SD7&lt;&gt;""),AND(SE7&gt;=SO$27,SE7&lt;&gt;"",SG7&gt;=SO$31,SG7&lt;&gt;""),AND(SI7&gt;=SO$27,SI7&lt;&gt;"",SK7&gt;=SO$31,SK7&lt;&gt;""),AND(SL7&gt;=SO$27,SL7&lt;&gt;"",SN7&gt;=SO$31,SN7&lt;&gt;""),AND(TJ7&gt;=TW$27,TJ7&lt;&gt;"",TL7&gt;=TW$31,TL7&lt;&gt;""),AND(TM7&gt;=TW$27,TM7&lt;&gt;"",TO7&gt;=TW$31,TO7&lt;&gt;""),AND(TQ7&gt;=TW$27,TQ7&lt;&gt;"",TS7&gt;=TW$31,TXQ7&lt;&gt;""),AND(TT7&gt;=TW$27,TT7&lt;&gt;"",TV7&gt;=TW$31,TV7&lt;&gt;""),AND(UR7&gt;=VE$27,UR7&lt;&gt;"",UT7&gt;=VE$31,UT7&lt;&gt;""),AND(UU7&gt;=VE$27,UU7&lt;&gt;"",UW7&gt;=VE$31,UW7&lt;&gt;""),AND(UY7&gt;=VE$27,UY7&lt;&gt;"",VA7&gt;=VE$31,VA7&lt;&gt;""),AND(VB7&gt;=VE$27,VB7&lt;&gt;"",VD7&gt;=VE$31,VD7&lt;&gt;""),AND(VZ7&gt;=WM$27,VZ7&lt;&gt;"",WB7&gt;=WM$31,WB7&lt;&gt;""),AND(WC7&gt;=WM$27,WC7&lt;&gt;"",WE7&gt;=WM$31,WE7&lt;&gt;""),AND(WG7&gt;=WM$27,WG7&lt;&gt;"",WI7&gt;=WM$31,WI7&lt;&gt;""),AND(WJ7&gt;=WM$27,WJ7&lt;&gt;"",WL7&gt;=WM$31,WL7&lt;&gt;"")),"P","")</f>
        <v>P</v>
      </c>
      <c r="G7" s="3" t="str">
        <f>IF(OR(AND(AK7&gt;=AS$31,AK7&lt;&gt;"",AH7=""),AND(AN7&gt;=AS$31,AN7&lt;&gt;"",AH7=""),AND(AR7&gt;=AS$31,AR7&lt;&gt;"",AH7=""),AND(BL7&gt;=BT$31,BL7&lt;&gt;"",BI7=""),AND(BO7&gt;=BT$31,BO7&lt;&gt;"",BI7=""),AND(BS7&gt;=BT$31,BS7&lt;&gt;"",BI7=""),AND(CM7&gt;=CU$31,CM7&lt;&gt;"",CJ7=""),AND(CP7&gt;=CU$31,CP7&lt;&gt;"",CJ7=""),AND(CT7&gt;=CU$31,CT7&lt;&gt;"",CJ7=""),AND(DT7&gt;=EE$31,DT7&lt;&gt;""),AND(DW7&gt;=EE$31,DW7&lt;&gt;""),AND(EA7&gt;=EE$31,EA7&lt;&gt;""),AND(ED7&gt;=EE$31,ED7&lt;&gt;""),AND(FB7&gt;=FM$31,FB7&lt;&gt;""),AND(FE7&gt;=FM$31,FE7&lt;&gt;""),AND(FI7&gt;=FM$31,FI7&lt;&gt;""),AND(FL7&gt;=FM$31,FL7&lt;&gt;""),AND(GJ7&gt;=GU$31,GJ7&lt;&gt;""),AND(GM7&gt;=GU$31,GM7&lt;&gt;""),AND(GQ7&gt;=GU$31,GQ7&lt;&gt;""),AND(GT7&gt;=GU$31,GT7&lt;&gt;""),AND(HR7&gt;=IC$31,HR7&lt;&gt;""),AND(HU7&gt;=IC$31,HU7&lt;&gt;""),AND(HY7&gt;=IC$31,HY7&lt;&gt;""),AND(IB7&gt;=IC$31,IB7&lt;&gt;""),AND(IZ7&gt;=JK$31,IZ7&lt;&gt;""),AND(JC7&gt;=JK$31,JC7&lt;&gt;""),AND(JG7&gt;=JK$31,JG7&lt;&gt;""),AND(JJ7&gt;=JK$31,JJ7&lt;&gt;""),AND(KH7&gt;=KS$31,KH7&lt;&gt;""),AND(KK7&gt;=KS$31,KK7&lt;&gt;""),AND(KO7&gt;=KS$31,KO7&lt;&gt;""),AND(KR7&gt;=KS$31,KR7&lt;&gt;""),AND(LP7&gt;=MA$31,LP7&lt;&gt;""),AND(LS7&gt;=MA$31,LS7&lt;&gt;""),AND(LW7&gt;=MA$31,LW7&lt;&gt;""),AND(LZ7&gt;=MA$31,LZ7&lt;&gt;""),AND(MX7&gt;=NI$31,MX7&lt;&gt;""),AND(NA7&gt;=NI$31,NA7&lt;&gt;""),AND(NE7&gt;=NI$31,NE7&lt;&gt;""),AND(NH7&gt;=NI$31,NH7&lt;&gt;""),AND(OF7&gt;=OQ$31,OF7&lt;&gt;""),AND(OI7&gt;=OQ$31,OI7&lt;&gt;""),AND(OM7&gt;=OQ$31,OM7&lt;&gt;""),AND(OP7&gt;=OQ$31,OP7&lt;&gt;""),AND(PN7&gt;=PY$31,PN7&lt;&gt;""),AND(PQ7&gt;=PY$31,PQ7&lt;&gt;""),AND(PU7&gt;=PY$31,PU7&lt;&gt;""),AND(PX7&gt;=PY$31,PX7&lt;&gt;""),AND(QV7&gt;=RG$31,QV7&lt;&gt;""),AND(QY7&gt;=RG$31,QY7&lt;&gt;""),AND(RC7&gt;=RG$31,RC7&lt;&gt;""),AND(RF7&gt;=RG$31,RF7&lt;&gt;""),AND(SD7&gt;=SO$31,SD7&lt;&gt;""),AND(SG7&gt;=SO$31,SG7&lt;&gt;""),AND(SK7&gt;=SO$31,SK7&lt;&gt;""),AND(SN7&gt;=SO$31,SN7&lt;&gt;""),AND(TL7&gt;=TW$31,TL7&lt;&gt;""),AND(TO7&gt;=TW$31,TO7&lt;&gt;""),AND(TS7&gt;=TW$31,TXQ7&lt;&gt;""),AND(TV7&gt;=TW$31,TV7&lt;&gt;""),AND(UT7&gt;=VE$31,UT7&lt;&gt;""),AND(UW7&gt;=VE$31,UW7&lt;&gt;""),AND(VA7&gt;=VE$31,VA7&lt;&gt;""),AND(VD7&gt;=VE$31,VD7&lt;&gt;""),AND(WB7&gt;=WM$31,WB7&lt;&gt;""),AND(WE7&gt;=WM$31,WE7&lt;&gt;""),AND(WI7&gt;=WM$31,WI7&lt;&gt;""),AND(WL7&gt;=WM$31,WL7&lt;&gt;"")),"P","")</f>
        <v>P</v>
      </c>
      <c r="H7" s="32" t="str">
        <f>IF(AND(G7="P",F7=""),"No DD",IF(OR(AND(AI7&gt;=AS$30,AI7&lt;&gt;"",AK7&gt;=AS$34,AK7&lt;&gt;"",AH7=""),AND(AL7&gt;=AS$30,AL7&lt;&gt;"",AN7&gt;=AS$34,AN7&lt;&gt;"",AH7=""),AND(AP7&gt;=AS$30,AP7&lt;&gt;"",AR7&gt;=AS$34,AR7&lt;&gt;"",AH7=""),AND(BJ7&gt;=BT$30,BJ7&lt;&gt;"",BL7&gt;=BT$34,BL7&lt;&gt;"",BI7=""),AND(BM7&gt;=BT$30,BM7&lt;&gt;"",BO7&gt;=BT$34,BO7&lt;&gt;"",BI7=""),AND(BQ7&gt;=BT$30,BQ7&lt;&gt;"",BS7&gt;=BT$34,BS7&lt;&gt;"",BI7=""),AND(CK7&gt;=CU$30,CK7&lt;&gt;"",CM7&gt;=CU$34,CM7&lt;&gt;"",CJ7=""),AND(CN7&gt;=CU$30,CN7&lt;&gt;"",CP7&gt;=CU$34,CP7&lt;&gt;"",CJ7=""),AND(CR7&gt;=CU$30,CR7&lt;&gt;"",CT7&gt;=CU$34,CT7&lt;&gt;"",CJ7=""),AND(DR7&gt;=EE$30,DR7&lt;&gt;"",DT7&gt;=EE$34,DT7&lt;&gt;""),AND(DU7&gt;=EE$30,DU7&lt;&gt;"",DW7&gt;=EE$34,DW7&lt;&gt;""),AND(DY7&gt;=EE$30,DY7&lt;&gt;"",EA7&gt;=EE$34,EA7&lt;&gt;""),AND(EB7&gt;=EE$30,EB7&lt;&gt;"",ED7&gt;=EE$34,ED7&lt;&gt;""),AND(EZ7&gt;=FM$30,EZ7&lt;&gt;"",FB7&gt;=FM$34,FB7&lt;&gt;""),AND(FC7&gt;=FM$30,FC7&lt;&gt;"",FE7&gt;=FM$34,FE7&lt;&gt;""),AND(FG7&gt;=FM$30,FG7&lt;&gt;"",FI7&gt;=FM$34,FI7&lt;&gt;""),AND(FJ7&gt;=FM$30,FJ7&lt;&gt;"",FL7&gt;=FM$34,FL7&lt;&gt;""),AND(GH7&gt;=GU$30,GH7&lt;&gt;"",GJ7&gt;=GU$34,GJ7&lt;&gt;""),AND(GK7&gt;=GU$30,GK7&lt;&gt;"",GM7&gt;=GU$34,GM7&lt;&gt;""),AND(GO7&gt;=GU$30,GO7&lt;&gt;"",GQ7&gt;=GU$34,GQ7&lt;&gt;""),AND(GR7&gt;=GU$30,GR7&lt;&gt;"",GT7&gt;=GU$34,GT7&lt;&gt;""),AND(HP7&gt;=IC$30,HP7&lt;&gt;"",HR7&gt;=IC$34,HR7&lt;&gt;""),AND(HS7&gt;=IC$30,HS7&lt;&gt;"",HU7&gt;=IC$34,HU7&lt;&gt;""),AND(HW7&gt;=IC$30,HW7&lt;&gt;"",HY7&gt;=IC$34,HY7&lt;&gt;""),AND(HZ7&gt;=IC$30,HZ7&lt;&gt;"",IB7&gt;=IC$34,IB7&lt;&gt;""),AND(IX7&gt;=JK$30,IX7&lt;&gt;"",IZ7&gt;=JK$34,IZ7&lt;&gt;""),AND(JA7&gt;=JK$30,JA7&lt;&gt;"",JC7&gt;=JK$34,JC7&lt;&gt;""),AND(JE7&gt;=JK$30,JE7&lt;&gt;"",JG7&gt;=JK$34,JG7&lt;&gt;""),AND(JH7&gt;=JK$30,JH7&lt;&gt;"",JJ7&gt;=JK$34,JJ7&lt;&gt;""),AND(KF7&gt;=KS$30,KF7&lt;&gt;"",KH7&gt;=KS$34,KH7&lt;&gt;""),AND(KI7&gt;=KS$30,KI7&lt;&gt;"",KK7&gt;=KS$34,KK7&lt;&gt;""),AND(KM7&gt;=KS$30,KM7&lt;&gt;"",KO7&gt;=KS$34,KO7&lt;&gt;""),AND(KP7&gt;=KS$30,KP7&lt;&gt;"",KR7&gt;=KS$34,KR7&lt;&gt;""),AND(LN7&gt;=MA$30,LN7&lt;&gt;"",LP7&gt;=MA$34,LP7&lt;&gt;""),AND(LQ7&gt;=MA$30,LQ7&lt;&gt;"",LS7&gt;=MA$34,LS7&lt;&gt;""),AND(LU7&gt;=MA$30,LU7&lt;&gt;"",LW7&gt;=MA$34,LW7&lt;&gt;""),AND(LX7&gt;=MA$30,LX7&lt;&gt;"",LZ7&gt;=MA$34,LZ7&lt;&gt;""),AND(MV7&gt;=NI$30,MV7&lt;&gt;"",MX7&gt;=NI$34,MX7&lt;&gt;""),AND(MY7&gt;=NI$30,MY7&lt;&gt;"",NA7&gt;=NI$34,NA7&lt;&gt;""),AND(NC7&gt;=NI$30,NC7&lt;&gt;"",NE7&gt;=NI$34,NE7&lt;&gt;""),AND(NF7&gt;=NI$30,NF7&lt;&gt;"",NH7&gt;=NI$34,NH7&lt;&gt;""),AND(OD7&gt;=OQ$30,OD7&lt;&gt;"",OF7&gt;=OQ$34,OF7&lt;&gt;""),AND(OG7&gt;=OQ$30,OG7&lt;&gt;"",OI7&gt;=OQ$34,OI7&lt;&gt;""),AND(OK7&gt;=OQ$30,OK7&lt;&gt;"",OM7&gt;=OQ$34,OM7&lt;&gt;""),AND(ON7&gt;=OQ$30,ON7&lt;&gt;"",OP7&gt;=OQ$34,OP7&lt;&gt;""),AND(PL7&gt;=PY$30,PL7&lt;&gt;"",PN7&gt;=PY$34,PN7&lt;&gt;""),AND(PO7&gt;=PY$30,PO7&lt;&gt;"",PQ7&gt;=PY$34,PQ7&lt;&gt;""),AND(PS7&gt;=PY$30,PS7&lt;&gt;"",PU7&gt;=PY$34,PU7&lt;&gt;""),AND(PV7&gt;=PY$30,PV7&lt;&gt;"",PX7&gt;=PY$34,PX7&lt;&gt;""),AND(QT7&gt;=RG$30,QT7&lt;&gt;"",QV7&gt;=RG$34,QV7&lt;&gt;""),AND(QW7&gt;=RG$30,QW7&lt;&gt;"",QY7&gt;=RG$34,QY7&lt;&gt;""),AND(RA7&gt;=RG$30,RA7&lt;&gt;"",RC7&gt;=RG$34,RC7&lt;&gt;""),AND(RD7&gt;=RG$30,RD7&lt;&gt;"",RF7&gt;=RG$34,RF7&lt;&gt;""),AND(SB7&gt;=SO$30,SB7&lt;&gt;"",SD7&gt;=SO$34,SD7&lt;&gt;""),AND(SE7&gt;=SO$30,SE7&lt;&gt;"",SG7&gt;=SO$34,SG7&lt;&gt;""),AND(SI7&gt;=SO$30,SI7&lt;&gt;"",SK7&gt;=SO$34,SK7&lt;&gt;""),AND(SL7&gt;=SO$30,SL7&lt;&gt;"",SN7&gt;=SO$34,SN7&lt;&gt;""),AND(TJ7&gt;=TW$30,TJ7&lt;&gt;"",TL7&gt;=TW$34,TL7&lt;&gt;""),AND(TM7&gt;=TW$30,TM7&lt;&gt;"",TO7&gt;=TW$34,TO7&lt;&gt;""),AND(TQ7&gt;=TW$30,TQ7&lt;&gt;"",TS7&gt;=TW$354,TXQ7&lt;&gt;""),AND(TT7&gt;=TW$30,TT7&lt;&gt;"",TV7&gt;=TW$34,TV7&lt;&gt;""),AND(UR7&gt;=VE$30,UR7&lt;&gt;"",UT7&gt;=VE$34,UT7&lt;&gt;""),AND(UU7&gt;=VE$30,UU7&lt;&gt;"",UW7&gt;=VE$34,UW7&lt;&gt;""),AND(UY7&gt;=VE$30,UY7&lt;&gt;"",VA7&gt;=VE$34,VA7&lt;&gt;""),AND(VB7&gt;=VE$30,VB7&lt;&gt;"",VD7&gt;=VE$34,VD7&lt;&gt;""),AND(VZ7&gt;=WM$30,VZ7&lt;&gt;"",WB7&gt;=WM$34,WB7&lt;&gt;""),AND(WC7&gt;=WM$30,WC7&lt;&gt;"",WE7&gt;=WM$34,WE7&lt;&gt;""),AND(WG7&gt;=WM$30,WG7&lt;&gt;"",WI7&gt;=WM$34,WI7&lt;&gt;""),AND(WJ7&gt;=WM$30,WJ7&lt;&gt;"",WL7&gt;=WM$34,WL7&lt;&gt;"")),"Merit",IF(OR(AND(AI7&gt;=AS$29,AI7&lt;&gt;"",AK7&gt;=AS$33,AK7&lt;&gt;"",AH7=""),AND(AL7&gt;=AS$29,AL7&lt;&gt;"",AN7&gt;=AS$33,AN7&lt;&gt;"",AH7=""),AND(AP7&gt;=AS$29,AP7&lt;&gt;"",AR7&gt;=AS$33,AR7&lt;&gt;"",AH7=""),AND(BJ7&gt;=BT$29,BJ7&lt;&gt;"",BL7&gt;=BT$33,BL7&lt;&gt;"",BI7=""),AND(BM7&gt;=BT$29,BM7&lt;&gt;"",BO7&gt;=BT$33,BO7&lt;&gt;"",BI7=""),AND(BQ7&gt;=BT$29,BQ7&lt;&gt;"",BS7&gt;=BT$33,BS7&lt;&gt;"",BI7=""),AND(CK7&gt;=CU$29,CK7&lt;&gt;"",CM7&gt;=CU$33,CM7&lt;&gt;"",CJ7=""),AND(CN7&gt;=CU$29,CN7&lt;&gt;"",CP7&gt;=CU$33,CP7&lt;&gt;"",CJ7=""),AND(CR7&gt;=CU$29,CR7&lt;&gt;"",CT7&gt;=CU$33,CT7&lt;&gt;"",CJ7=""),AND(DR7&gt;=EE$29,DR7&lt;&gt;"",DT7&gt;=EE$33,DT7&lt;&gt;""),AND(DU7&gt;=EE$29,DU7&lt;&gt;"",DW7&gt;=EE$33,DW7&lt;&gt;""),AND(DY7&gt;=EE$29,DY7&lt;&gt;"",EA7&gt;=EE$33,EA7&lt;&gt;""),AND(EB7&gt;=EE$29,EB7&lt;&gt;"",ED7&gt;=EE$33,ED7&lt;&gt;""),AND(EZ7&gt;=FM$29,EZ7&lt;&gt;"",FB7&gt;=FM$33,FB7&lt;&gt;""),AND(FC7&gt;=FM$29,FC7&lt;&gt;"",FE7&gt;=FM$33,FE7&lt;&gt;""),AND(FG7&gt;=FM$29,FG7&lt;&gt;"",FI7&gt;=FM$33,FI7&lt;&gt;""),AND(FJ7&gt;=FM$29,FJ7&lt;&gt;"",FL7&gt;=FM$33,FL7&lt;&gt;""),AND(GH7&gt;=GU$29,GH7&lt;&gt;"",GJ7&gt;=GU$33,GJ7&lt;&gt;""),AND(GK7&gt;=GU$29,GK7&lt;&gt;"",GM7&gt;=GU$33,GM7&lt;&gt;""),AND(GO7&gt;=GU$29,GO7&lt;&gt;"",GQ7&gt;=GU$33,GQ7&lt;&gt;""),AND(GR7&gt;=GU$29,GR7&lt;&gt;"",GT7&gt;=GU$33,GT7&lt;&gt;""),AND(HP7&gt;=IC$29,HP7&lt;&gt;"",HR7&gt;=IC$33,HR7&lt;&gt;""),AND(HS7&gt;=IC$29,HS7&lt;&gt;"",HU7&gt;=IC$33,HU7&lt;&gt;""),AND(HW7&gt;=IC$29,HW7&lt;&gt;"",HY7&gt;=IC$33,HY7&lt;&gt;""),AND(HZ7&gt;=IC$29,HZ7&lt;&gt;"",IB7&gt;=IC$33,IB7&lt;&gt;""),AND(IX7&gt;=JK$29,IX7&lt;&gt;"",IZ7&gt;=JK$33,IZ7&lt;&gt;""),AND(JA7&gt;=JK$29,JA7&lt;&gt;"",JC7&gt;=JK$33,JC7&lt;&gt;""),AND(JE7&gt;=JK$29,JE7&lt;&gt;"",JG7&gt;=JK$33,JG7&lt;&gt;""),AND(JH7&gt;=JK$29,JH7&lt;&gt;"",JJ7&gt;=JK$33,JJ7&lt;&gt;""),AND(KF7&gt;=KS$29,KF7&lt;&gt;"",KH7&gt;=KS$33,KH7&lt;&gt;""),AND(KI7&gt;=KS$29,KI7&lt;&gt;"",KK7&gt;=KS$33,KK7&lt;&gt;""),AND(KM7&gt;=KS$29,KM7&lt;&gt;"",KO7&gt;=KS$33,KO7&lt;&gt;""),AND(KP7&gt;=KS$29,KP7&lt;&gt;"",KR7&gt;=KS$33,KR7&lt;&gt;""),AND(LN7&gt;=MA$29,LN7&lt;&gt;"",LP7&gt;=MA$33,LP7&lt;&gt;""),AND(LQ7&gt;=MA$29,LQ7&lt;&gt;"",LS7&gt;=MA$33,LS7&lt;&gt;""),AND(LU7&gt;=MA$29,LU7&lt;&gt;"",LW7&gt;=MA$33,LW7&lt;&gt;""),AND(LX7&gt;=MA$29,LX7&lt;&gt;"",LZ7&gt;=MA$33,LZ7&lt;&gt;""),AND(MV7&gt;=NI$29,MV7&lt;&gt;"",MX7&gt;=NI$33,MX7&lt;&gt;""),AND(MY7&gt;=NI$29,MY7&lt;&gt;"",NA7&gt;=NI$33,NA7&lt;&gt;""),AND(NC7&gt;=NI$29,NC7&lt;&gt;"",NE7&gt;=NI$33,NE7&lt;&gt;""),AND(NF7&gt;=NI$29,NF7&lt;&gt;"",NH7&gt;=NI$33,NH7&lt;&gt;""),AND(OD7&gt;=OQ$29,OD7&lt;&gt;"",OF7&gt;=OQ$33,OF7&lt;&gt;""),AND(OG7&gt;=OQ$29,OG7&lt;&gt;"",OI7&gt;=OQ$33,OI7&lt;&gt;""),AND(OK7&gt;=OQ$29,OK7&lt;&gt;"",OM7&gt;=OQ$33,OM7&lt;&gt;""),AND(ON7&gt;=OQ$29,ON7&lt;&gt;"",OP7&gt;=OQ$33,OP7&lt;&gt;""),AND(PL7&gt;=PY$29,PL7&lt;&gt;"",PN7&gt;=PY$33,PN7&lt;&gt;""),AND(PO7&gt;=PY$29,PO7&lt;&gt;"",PQ7&gt;=PY$33,PQ7&lt;&gt;""),AND(PS7&gt;=PY$29,PS7&lt;&gt;"",PU7&gt;=PY$33,PU7&lt;&gt;""),AND(PV7&gt;=PY$29,PV7&lt;&gt;"",PX7&gt;=PY$33,PX7&lt;&gt;""),AND(QT7&gt;=RG$29,QT7&lt;&gt;"",QV7&gt;=RG$33,QV7&lt;&gt;""),AND(QW7&gt;=RG$29,QW7&lt;&gt;"",QY7&gt;=RG$33,QY7&lt;&gt;""),AND(RA7&gt;=RG$29,RA7&lt;&gt;"",RC7&gt;=RG$33,RC7&lt;&gt;""),AND(RD7&gt;=RG$29,RD7&lt;&gt;"",RF7&gt;=RG$33,RF7&lt;&gt;""),AND(SB7&gt;=SO$29,SB7&lt;&gt;"",SD7&gt;=SO$33,SD7&lt;&gt;""),AND(SE7&gt;=SO$29,SE7&lt;&gt;"",SG7&gt;=SO$33,SG7&lt;&gt;""),AND(SI7&gt;=SO$29,SI7&lt;&gt;"",SK7&gt;=SO$33,SK7&lt;&gt;""),AND(SL7&gt;=SO$29,SL7&lt;&gt;"",SN7&gt;=SO$33,SN7&lt;&gt;""),AND(TJ7&gt;=TW$29,TJ7&lt;&gt;"",TL7&gt;=TW$33,TL7&lt;&gt;""),AND(TM7&gt;=TW$29,TM7&lt;&gt;"",TO7&gt;=TW$33,TO7&lt;&gt;""),AND(TQ7&gt;=TW$29,TQ7&lt;&gt;"",TS7&gt;=TW$33,TXQ7&lt;&gt;""),AND(TT7&gt;=TW$29,TT7&lt;&gt;"",TV7&gt;=TW$33,TV7&lt;&gt;""),AND(UR7&gt;=VE$29,UR7&lt;&gt;"",UT7&gt;=VE$33,UT7&lt;&gt;""),AND(UU7&gt;=VE$29,UU7&lt;&gt;"",UW7&gt;=VE$33,UW7&lt;&gt;""),AND(UY7&gt;=VE$29,UY7&lt;&gt;"",VA7&gt;=VE$33,VA7&lt;&gt;""),AND(VB7&gt;=VE$29,VB7&lt;&gt;"",VD7&gt;=VE$33,VD7&lt;&gt;""),AND(VZ7&gt;=WM$29,VZ7&lt;&gt;"",WB7&gt;=WM$33,WB7&lt;&gt;""),AND(WC7&gt;=WM$29,WC7&lt;&gt;"",WE7&gt;=WM$33,WE7&lt;&gt;""),AND(WG7&gt;=WM$29,WG7&lt;&gt;"",WI7&gt;=WM$33,WI7&lt;&gt;""),AND(WJ7&gt;=WM$29,WJ7&lt;&gt;"",WL7&gt;=WM$33,WL7&lt;&gt;"")),"Excellence",IF(I7="P","Worlds Team",IF(F7="P","National Team","")))))</f>
        <v>National Team</v>
      </c>
      <c r="I7" s="3" t="str">
        <f>IF(OR(AND(AI7&gt;=AS$28,AI7&lt;&gt;"",AK7&gt;=AS$32,AK7&lt;&gt;"",AH7=""),AND(AL7&gt;=AS$28,AL7&lt;&gt;"",AN7&gt;=AS$32,AN7&lt;&gt;"",AH7=""),AND(AP7&gt;=AS$28,AP7&lt;&gt;"",AR7&gt;=AS$32,AR7&lt;&gt;"",AH7=""),AND(BJ7&gt;=BT$28,BJ7&lt;&gt;"",BL7&gt;=BT$32,BL7&lt;&gt;"",BI7=""),AND(BM7&gt;=BT$28,BM7&lt;&gt;"",BO7&gt;=BT$32,BO7&lt;&gt;"",BI7=""),AND(BQ7&gt;=BT$28,BQ7&lt;&gt;"",BS7&gt;=BT$32,BS7&lt;&gt;"",BI7=""),AND(CK7&gt;=CU$28,CK7&lt;&gt;"",CM7&gt;=CU$32,CM7&lt;&gt;"",CJ7=""),AND(CN7&gt;=CU$28,CN7&lt;&gt;"",CP7&gt;=CU$32,CP7&lt;&gt;"",CJ7=""),AND(CR7&gt;=CU$28,CR7&lt;&gt;"",CT7&gt;=CU$32,CT7&lt;&gt;"",CJ7=""),AND(DR7&gt;=EE$28,DR7&lt;&gt;"",DT7&gt;=EE$32,DT7&lt;&gt;""),AND(DU7&gt;=EE$28,DU7&lt;&gt;"",DW7&gt;=EE$32,DW7&lt;&gt;""),AND(DY7&gt;=EE$28,DY7&lt;&gt;"",EA7&gt;=EE$32,EA7&lt;&gt;""),AND(EB7&gt;=EE$28,EB7&lt;&gt;"",ED7&gt;=EE$32,ED7&lt;&gt;""),AND(EZ7&gt;=FM$28,EZ7&lt;&gt;"",FB7&gt;=FM$32,FB7&lt;&gt;""),AND(FC7&gt;=FM$28,FC7&lt;&gt;"",FE7&gt;=FM$32,FE7&lt;&gt;""),AND(FG7&gt;=FM$28,FG7&lt;&gt;"",FI7&gt;=FM$32,FI7&lt;&gt;""),AND(FJ7&gt;=FM$28,FJ7&lt;&gt;"",FL7&gt;=FM$32,FL7&lt;&gt;""),AND(GH7&gt;=GU$28,GH7&lt;&gt;"",GJ7&gt;=GU$32,GJ7&lt;&gt;""),AND(GK7&gt;=GU$28,GK7&lt;&gt;"",GM7&gt;=GU$32,GM7&lt;&gt;""),AND(GO7&gt;=GU$28,GO7&lt;&gt;"",GQ7&gt;=GU$32,GQ7&lt;&gt;""),AND(GR7&gt;=GU$28,GR7&lt;&gt;"",GT7&gt;=GU$32,GT7&lt;&gt;""),AND(HP7&gt;=IC$28,HP7&lt;&gt;"",HR7&gt;=IC$32,HR7&lt;&gt;""),AND(HS7&gt;=IC$28,HS7&lt;&gt;"",HU7&gt;=IC$32,HU7&lt;&gt;""),AND(HW7&gt;=IC$28,HW7&lt;&gt;"",HY7&gt;=IC$32,HY7&lt;&gt;""),AND(HZ7&gt;=IC$28,HZ7&lt;&gt;"",IB7&gt;=IC$32,IB7&lt;&gt;""),AND(IX7&gt;=JK$28,IX7&lt;&gt;"",IZ7&gt;=JK$32,IZ7&lt;&gt;""),AND(JA7&gt;=JK$28,JA7&lt;&gt;"",JC7&gt;=JK$32,JC7&lt;&gt;""),AND(JE7&gt;=JK$28,JE7&lt;&gt;"",JG7&gt;=JK$32,JG7&lt;&gt;""),AND(JH7&gt;=JK$28,JH7&lt;&gt;"",JJ7&gt;=JK$32,JJ7&lt;&gt;""),AND(KF7&gt;=KS$28,KF7&lt;&gt;"",KH7&gt;=KS$32,KH7&lt;&gt;""),AND(KI7&gt;=KS$28,KI7&lt;&gt;"",KK7&gt;=KS$32,KK7&lt;&gt;""),AND(KM7&gt;=KS$28,KM7&lt;&gt;"",KO7&gt;=KS$32,KO7&lt;&gt;""),AND(KP7&gt;=KS$28,KP7&lt;&gt;"",KR7&gt;=KS$32,KR7&lt;&gt;""),AND(LN7&gt;=MA$28,LN7&lt;&gt;"",LP7&gt;=MA$32,LP7&lt;&gt;""),AND(LQ7&gt;=MA$28,LQ7&lt;&gt;"",LS7&gt;=MA$32,LS7&lt;&gt;""),AND(LU7&gt;=MA$28,LU7&lt;&gt;"",LW7&gt;=MA$32,LW7&lt;&gt;""),AND(LX7&gt;=MA$28,LX7&lt;&gt;"",LZ7&gt;=MA$32,LZ7&lt;&gt;""),AND(MV7&gt;=NI$28,MV7&lt;&gt;"",MX7&gt;=NI$32,MX7&lt;&gt;""),AND(MY7&gt;=NI$28,MY7&lt;&gt;"",NA7&gt;=NI$32,NA7&lt;&gt;""),AND(NC7&gt;=NI$28,NC7&lt;&gt;"",NE7&gt;=NI$32,NE7&lt;&gt;""),AND(NF7&gt;=NI$28,NF7&lt;&gt;"",NH7&gt;=NI$32,NH7&lt;&gt;""),AND(OD7&gt;=OQ$28,OD7&lt;&gt;"",OF7&gt;=OQ$32,OF7&lt;&gt;""),AND(OG7&gt;=OQ$28,OG7&lt;&gt;"",OI7&gt;=OQ$32,OI7&lt;&gt;""),AND(OK7&gt;=OQ$28,OK7&lt;&gt;"",OM7&gt;=OQ$32,OM7&lt;&gt;""),AND(ON7&gt;=OQ$28,ON7&lt;&gt;"",OP7&gt;=OQ$32,OP7&lt;&gt;""),AND(PL7&gt;=PY$28,PL7&lt;&gt;"",PN7&gt;=PY$32,PN7&lt;&gt;""),AND(PO7&gt;=PY$28,PO7&lt;&gt;"",PQ7&gt;=PY$32,PQ7&lt;&gt;""),AND(PS7&gt;=PY$28,PS7&lt;&gt;"",PU7&gt;=PY$32,PU7&lt;&gt;""),AND(PV7&gt;=PY$28,PV7&lt;&gt;"",PX7&gt;=PY$32,PX7&lt;&gt;""),AND(QT7&gt;=RG$28,QT7&lt;&gt;"",QV7&gt;=RG$32,QV7&lt;&gt;""),AND(QW7&gt;=RG$28,QW7&lt;&gt;"",QY7&gt;=RG$32,QY7&lt;&gt;""),AND(RA7&gt;=RG$28,RA7&lt;&gt;"",RC7&gt;=RG$32,RC7&lt;&gt;""),AND(RD7&gt;=RG$28,RD7&lt;&gt;"",RF7&gt;=RG$32,RF7&lt;&gt;""),AND(SB7&gt;=SO$28,SB7&lt;&gt;"",SD7&gt;=SO$32,SD7&lt;&gt;""),AND(SE7&gt;=SO$28,SE7&lt;&gt;"",SG7&gt;=SO$32,SG7&lt;&gt;""),AND(SI7&gt;=SO$28,SI7&lt;&gt;"",SK7&gt;=SO$32,SK7&lt;&gt;""),AND(SL7&gt;=SO$28,SL7&lt;&gt;"",SN7&gt;=SO$32,SN7&lt;&gt;""),AND(TJ7&gt;=TW$28,TJ7&lt;&gt;"",TL7&gt;=TW$32,TL7&lt;&gt;""),AND(TM7&gt;=TW$28,TM7&lt;&gt;"",TO7&gt;=TW$32,TO7&lt;&gt;""),AND(TQ7&gt;=TW$28,TQ7&lt;&gt;"",TS7&gt;=TW$32,TXQ7&lt;&gt;""),AND(TT7&gt;=TW$28,TT7&lt;&gt;"",TV7&gt;=TW$32,TV7&lt;&gt;""),AND(UR7&gt;=VE$28,UR7&lt;&gt;"",UT7&gt;=VE$32,UT7&lt;&gt;""),AND(UU7&gt;=VE$28,UU7&lt;&gt;"",UW7&gt;=VE$32,UW7&lt;&gt;""),AND(UY7&gt;=VE$28,UY7&lt;&gt;"",VA7&gt;=VE$32,VA7&lt;&gt;""),AND(VB7&gt;=VE$28,VB7&lt;&gt;"",VD7&gt;=VE$32,VD7&lt;&gt;""),AND(VZ7&gt;=WM$28,VZ7&lt;&gt;"",WB7&gt;=WM$32,WB7&lt;&gt;""),AND(WC7&gt;=WM$28,WC7&lt;&gt;"",WE7&gt;=WM$32,WE7&lt;&gt;""),AND(WG7&gt;=WM$28,WG7&lt;&gt;"",WI7&gt;=WM$32,WI7&lt;&gt;""),AND(WJ7&gt;=WM$28,WJ7&lt;&gt;"",WL7&gt;=WM$32,WL7&lt;&gt;"")),"P","")</f>
        <v/>
      </c>
      <c r="J7" s="8">
        <f t="shared" si="1"/>
        <v>57.680000000000007</v>
      </c>
      <c r="K7" s="8" t="str">
        <f t="shared" si="2"/>
        <v>2025 3rd Domestic Trial</v>
      </c>
      <c r="L7" s="8">
        <f>IFERROR(IF(J7=AR7,LARGE((AK7,AN7,BL7,BO7,BS7,CM7,CP7,CT7),1),IF(J7=BS7,LARGE((AK7,AN7,AR7,BL7,BO7,CM7,CP7,CT7),1),LARGE((AK7,AN7,AR7,BL7,BO7,BS7,CM7,CP7),1))),0)</f>
        <v>56.35</v>
      </c>
      <c r="M7" s="8" t="str">
        <f t="shared" si="3"/>
        <v>2025 3rd Domestic Trial</v>
      </c>
      <c r="N7" s="8">
        <f>IFERROR(IF(J7=AR7,LARGE((AK7,AN7,BL7,BO7,BS7,CM7,CP7,CT7),2),IF(J7=BS7,LARGE((AK7,AN7,AR7,BL7,BO7,CM7,CP7,CT7),2),LARGE((AK7,AN7,AR7,BL7,BO7,BS7,CM7,CP7),2))),0)</f>
        <v>56.26</v>
      </c>
      <c r="O7" s="8" t="str">
        <f t="shared" si="4"/>
        <v>2025 3rd Domestic Trial</v>
      </c>
      <c r="P7" s="8">
        <f t="shared" si="5"/>
        <v>0.25000000000000711</v>
      </c>
      <c r="Q7" s="11" t="str">
        <f t="shared" si="6"/>
        <v>(Any)</v>
      </c>
      <c r="R7" s="8" t="str">
        <f t="shared" si="7"/>
        <v>2025 World Cup POR (July 6)</v>
      </c>
      <c r="S7" s="18">
        <v>15.8</v>
      </c>
      <c r="T7" s="18">
        <v>9</v>
      </c>
      <c r="U7" s="18">
        <v>15.9</v>
      </c>
      <c r="V7" s="18">
        <v>15.33</v>
      </c>
      <c r="W7" s="18">
        <v>0</v>
      </c>
      <c r="X7" s="18">
        <v>6.8</v>
      </c>
      <c r="Y7" s="18">
        <v>3.6</v>
      </c>
      <c r="Z7" s="18">
        <v>6.9</v>
      </c>
      <c r="AA7" s="18">
        <v>6.43</v>
      </c>
      <c r="AB7" s="18">
        <v>0</v>
      </c>
      <c r="AC7" s="18">
        <v>15.5</v>
      </c>
      <c r="AD7" s="18">
        <v>9.5</v>
      </c>
      <c r="AE7" s="18">
        <v>13.9</v>
      </c>
      <c r="AF7" s="18">
        <v>15.04</v>
      </c>
      <c r="AG7" s="18">
        <v>0.6</v>
      </c>
      <c r="AH7" s="23"/>
      <c r="AI7" s="34">
        <f t="shared" si="8"/>
        <v>15.9</v>
      </c>
      <c r="AJ7" s="34">
        <f t="shared" si="9"/>
        <v>15.33</v>
      </c>
      <c r="AK7" s="36">
        <f t="shared" si="10"/>
        <v>56.03</v>
      </c>
      <c r="AL7" s="36">
        <f t="shared" si="11"/>
        <v>6.9</v>
      </c>
      <c r="AM7" s="36">
        <f t="shared" si="12"/>
        <v>6.43</v>
      </c>
      <c r="AN7" s="36">
        <f t="shared" si="13"/>
        <v>23.73</v>
      </c>
      <c r="AO7" s="36">
        <f t="shared" si="14"/>
        <v>56.03</v>
      </c>
      <c r="AP7" s="36">
        <f t="shared" si="15"/>
        <v>13.9</v>
      </c>
      <c r="AQ7" s="36">
        <f t="shared" si="16"/>
        <v>15.04</v>
      </c>
      <c r="AR7" s="36">
        <f t="shared" si="17"/>
        <v>53.339999999999996</v>
      </c>
      <c r="AS7" s="36">
        <f t="shared" si="18"/>
        <v>109.37</v>
      </c>
      <c r="AT7" s="22">
        <v>15.9</v>
      </c>
      <c r="AU7" s="22">
        <v>9.1</v>
      </c>
      <c r="AV7" s="22">
        <v>15.3</v>
      </c>
      <c r="AW7" s="22">
        <v>15.96</v>
      </c>
      <c r="AX7" s="22">
        <v>0</v>
      </c>
      <c r="AY7" s="22">
        <v>16.100000000000001</v>
      </c>
      <c r="AZ7" s="22">
        <v>8.8000000000000007</v>
      </c>
      <c r="BA7" s="22">
        <v>15.3</v>
      </c>
      <c r="BB7" s="22">
        <v>16.149999999999999</v>
      </c>
      <c r="BC7" s="22">
        <v>0</v>
      </c>
      <c r="BD7" s="22">
        <v>17</v>
      </c>
      <c r="BE7" s="22">
        <v>9.1</v>
      </c>
      <c r="BF7" s="22">
        <v>15.3</v>
      </c>
      <c r="BG7" s="22">
        <v>16.28</v>
      </c>
      <c r="BH7" s="22">
        <v>0</v>
      </c>
      <c r="BI7" s="24"/>
      <c r="BJ7" s="35">
        <f t="shared" si="19"/>
        <v>15.3</v>
      </c>
      <c r="BK7" s="35">
        <f t="shared" si="20"/>
        <v>15.96</v>
      </c>
      <c r="BL7" s="11">
        <f t="shared" si="21"/>
        <v>56.26</v>
      </c>
      <c r="BM7" s="11">
        <f t="shared" si="22"/>
        <v>15.3</v>
      </c>
      <c r="BN7" s="11">
        <f t="shared" si="23"/>
        <v>16.149999999999999</v>
      </c>
      <c r="BO7" s="11">
        <f t="shared" si="24"/>
        <v>56.35</v>
      </c>
      <c r="BP7" s="11">
        <f t="shared" si="25"/>
        <v>56.35</v>
      </c>
      <c r="BQ7" s="11">
        <f t="shared" si="26"/>
        <v>15.3</v>
      </c>
      <c r="BR7" s="11">
        <f t="shared" si="27"/>
        <v>16.28</v>
      </c>
      <c r="BS7" s="11">
        <f t="shared" si="28"/>
        <v>57.680000000000007</v>
      </c>
      <c r="BT7" s="11">
        <f t="shared" si="29"/>
        <v>114.03</v>
      </c>
      <c r="BU7" s="18">
        <v>15.8</v>
      </c>
      <c r="BV7" s="18">
        <v>9.3000000000000007</v>
      </c>
      <c r="BW7" s="18">
        <v>15.3</v>
      </c>
      <c r="BX7" s="18">
        <v>15.45</v>
      </c>
      <c r="BY7" s="18">
        <v>0.2</v>
      </c>
      <c r="BZ7" s="18">
        <v>16.2</v>
      </c>
      <c r="CA7" s="18">
        <v>8.8000000000000007</v>
      </c>
      <c r="CB7" s="18">
        <v>15.3</v>
      </c>
      <c r="CC7" s="18">
        <v>15.58</v>
      </c>
      <c r="CD7" s="18">
        <v>0</v>
      </c>
      <c r="CE7" s="18">
        <v>3</v>
      </c>
      <c r="CF7" s="18">
        <v>1.8</v>
      </c>
      <c r="CG7" s="18">
        <v>3.5</v>
      </c>
      <c r="CH7" s="18">
        <v>3.21</v>
      </c>
      <c r="CI7" s="18">
        <v>0.2</v>
      </c>
      <c r="CJ7" s="23"/>
      <c r="CK7" s="34">
        <f t="shared" si="30"/>
        <v>15.3</v>
      </c>
      <c r="CL7" s="34">
        <f t="shared" si="31"/>
        <v>15.45</v>
      </c>
      <c r="CM7" s="36">
        <f t="shared" si="32"/>
        <v>55.650000000000006</v>
      </c>
      <c r="CN7" s="36">
        <f t="shared" si="33"/>
        <v>15.3</v>
      </c>
      <c r="CO7" s="36">
        <f t="shared" si="34"/>
        <v>15.58</v>
      </c>
      <c r="CP7" s="36">
        <f t="shared" si="35"/>
        <v>55.879999999999995</v>
      </c>
      <c r="CQ7" s="36">
        <f t="shared" si="36"/>
        <v>55.879999999999995</v>
      </c>
      <c r="CR7" s="36">
        <f t="shared" si="37"/>
        <v>3.5</v>
      </c>
      <c r="CS7" s="36">
        <f t="shared" si="38"/>
        <v>3.21</v>
      </c>
      <c r="CT7" s="36">
        <f t="shared" si="39"/>
        <v>11.310000000000002</v>
      </c>
      <c r="CU7" s="36">
        <f t="shared" si="40"/>
        <v>67.19</v>
      </c>
      <c r="CV7" s="47" t="str">
        <f t="shared" si="41"/>
        <v/>
      </c>
      <c r="CW7" s="47">
        <f t="shared" si="42"/>
        <v>0.25000000000000711</v>
      </c>
      <c r="CX7" s="15">
        <v>13.9</v>
      </c>
      <c r="CY7" s="15">
        <v>8.6</v>
      </c>
      <c r="CZ7" s="15">
        <v>15.5</v>
      </c>
      <c r="DA7" s="15">
        <v>15.27</v>
      </c>
      <c r="DB7" s="15">
        <v>0</v>
      </c>
      <c r="DC7" s="15">
        <v>2.9</v>
      </c>
      <c r="DD7" s="15">
        <v>1.7</v>
      </c>
      <c r="DE7" s="15">
        <v>3.5</v>
      </c>
      <c r="DF7" s="15">
        <v>3.22</v>
      </c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36">
        <f t="shared" si="43"/>
        <v>15.5</v>
      </c>
      <c r="DS7" s="36">
        <f t="shared" si="44"/>
        <v>15.27</v>
      </c>
      <c r="DT7" s="36">
        <f t="shared" si="45"/>
        <v>53.269999999999996</v>
      </c>
      <c r="DU7" s="36">
        <f t="shared" si="46"/>
        <v>3.5</v>
      </c>
      <c r="DV7" s="36">
        <f t="shared" si="47"/>
        <v>3.22</v>
      </c>
      <c r="DW7" s="36">
        <f t="shared" si="48"/>
        <v>11.32</v>
      </c>
      <c r="DX7" s="36">
        <f t="shared" si="49"/>
        <v>53.269999999999996</v>
      </c>
      <c r="DY7" s="36" t="str">
        <f t="shared" si="50"/>
        <v/>
      </c>
      <c r="DZ7" s="36" t="str">
        <f t="shared" si="51"/>
        <v/>
      </c>
      <c r="EA7" s="36" t="str">
        <f t="shared" si="52"/>
        <v/>
      </c>
      <c r="EB7" s="36" t="str">
        <f t="shared" si="53"/>
        <v/>
      </c>
      <c r="EC7" s="36" t="str">
        <f t="shared" si="54"/>
        <v/>
      </c>
      <c r="ED7" s="36" t="str">
        <f t="shared" si="55"/>
        <v/>
      </c>
      <c r="EE7" s="36">
        <f t="shared" si="56"/>
        <v>53.269999999999996</v>
      </c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1" t="str">
        <f t="shared" si="57"/>
        <v/>
      </c>
      <c r="FA7" s="11" t="str">
        <f t="shared" si="58"/>
        <v/>
      </c>
      <c r="FB7" s="11" t="str">
        <f t="shared" si="59"/>
        <v/>
      </c>
      <c r="FC7" s="11" t="str">
        <f t="shared" si="60"/>
        <v/>
      </c>
      <c r="FD7" s="11" t="str">
        <f t="shared" si="61"/>
        <v/>
      </c>
      <c r="FE7" s="11" t="str">
        <f t="shared" si="62"/>
        <v/>
      </c>
      <c r="FF7" s="11" t="str">
        <f t="shared" si="63"/>
        <v/>
      </c>
      <c r="FG7" s="11" t="str">
        <f t="shared" si="64"/>
        <v/>
      </c>
      <c r="FH7" s="11" t="str">
        <f t="shared" si="65"/>
        <v/>
      </c>
      <c r="FI7" s="11" t="str">
        <f t="shared" si="66"/>
        <v/>
      </c>
      <c r="FJ7" s="11" t="str">
        <f t="shared" si="67"/>
        <v/>
      </c>
      <c r="FK7" s="11" t="str">
        <f t="shared" si="68"/>
        <v/>
      </c>
      <c r="FL7" s="11" t="str">
        <f t="shared" si="69"/>
        <v/>
      </c>
      <c r="FM7" s="11" t="str">
        <f t="shared" si="70"/>
        <v/>
      </c>
      <c r="FN7" s="15">
        <v>15.6</v>
      </c>
      <c r="FO7" s="15">
        <v>8.9</v>
      </c>
      <c r="FP7" s="15">
        <v>14.9</v>
      </c>
      <c r="FQ7" s="15">
        <v>15.44</v>
      </c>
      <c r="FR7" s="15">
        <v>0</v>
      </c>
      <c r="FS7" s="15">
        <v>15.9</v>
      </c>
      <c r="FT7" s="15">
        <v>9.5</v>
      </c>
      <c r="FU7" s="15">
        <v>15.3</v>
      </c>
      <c r="FV7" s="15">
        <v>15.81</v>
      </c>
      <c r="FW7" s="15">
        <v>0</v>
      </c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36">
        <f t="shared" si="71"/>
        <v>14.9</v>
      </c>
      <c r="GI7" s="36">
        <f t="shared" si="72"/>
        <v>15.44</v>
      </c>
      <c r="GJ7" s="36">
        <f t="shared" si="73"/>
        <v>54.839999999999996</v>
      </c>
      <c r="GK7" s="36">
        <f t="shared" si="74"/>
        <v>15.3</v>
      </c>
      <c r="GL7" s="36">
        <f t="shared" si="75"/>
        <v>15.81</v>
      </c>
      <c r="GM7" s="36">
        <f t="shared" si="76"/>
        <v>56.510000000000005</v>
      </c>
      <c r="GN7" s="36">
        <f t="shared" si="77"/>
        <v>56.510000000000005</v>
      </c>
      <c r="GO7" s="36" t="str">
        <f t="shared" si="78"/>
        <v/>
      </c>
      <c r="GP7" s="36" t="str">
        <f t="shared" si="79"/>
        <v/>
      </c>
      <c r="GQ7" s="36" t="str">
        <f t="shared" si="80"/>
        <v/>
      </c>
      <c r="GR7" s="36" t="str">
        <f t="shared" si="81"/>
        <v/>
      </c>
      <c r="GS7" s="36" t="str">
        <f t="shared" si="82"/>
        <v/>
      </c>
      <c r="GT7" s="36" t="str">
        <f t="shared" si="83"/>
        <v/>
      </c>
      <c r="GU7" s="36">
        <f t="shared" si="84"/>
        <v>56.510000000000005</v>
      </c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1" t="str">
        <f t="shared" si="85"/>
        <v/>
      </c>
      <c r="HQ7" s="11" t="str">
        <f t="shared" si="86"/>
        <v/>
      </c>
      <c r="HR7" s="11" t="str">
        <f t="shared" si="87"/>
        <v/>
      </c>
      <c r="HS7" s="11" t="str">
        <f t="shared" si="88"/>
        <v/>
      </c>
      <c r="HT7" s="11" t="str">
        <f t="shared" si="89"/>
        <v/>
      </c>
      <c r="HU7" s="11" t="str">
        <f t="shared" si="90"/>
        <v/>
      </c>
      <c r="HV7" s="11" t="str">
        <f t="shared" si="91"/>
        <v/>
      </c>
      <c r="HW7" s="11" t="str">
        <f t="shared" si="92"/>
        <v/>
      </c>
      <c r="HX7" s="11" t="str">
        <f t="shared" si="93"/>
        <v/>
      </c>
      <c r="HY7" s="11" t="str">
        <f t="shared" si="94"/>
        <v/>
      </c>
      <c r="HZ7" s="11" t="str">
        <f t="shared" si="95"/>
        <v/>
      </c>
      <c r="IA7" s="11" t="str">
        <f t="shared" si="96"/>
        <v/>
      </c>
      <c r="IB7" s="11" t="str">
        <f t="shared" si="97"/>
        <v/>
      </c>
      <c r="IC7" s="11" t="str">
        <f t="shared" si="98"/>
        <v/>
      </c>
      <c r="ID7" s="15"/>
      <c r="IE7" s="15"/>
      <c r="IF7" s="15"/>
      <c r="IG7" s="15"/>
      <c r="IH7" s="15"/>
      <c r="II7" s="15">
        <v>16.399999999999999</v>
      </c>
      <c r="IJ7" s="15">
        <v>9.4</v>
      </c>
      <c r="IK7" s="15">
        <v>14.9</v>
      </c>
      <c r="IL7" s="15">
        <v>15.56</v>
      </c>
      <c r="IM7" s="15">
        <v>0</v>
      </c>
      <c r="IN7" s="15"/>
      <c r="IO7" s="15"/>
      <c r="IP7" s="15"/>
      <c r="IQ7" s="15"/>
      <c r="IR7" s="15"/>
      <c r="IS7" s="15">
        <v>16.2</v>
      </c>
      <c r="IT7" s="15">
        <v>8.6</v>
      </c>
      <c r="IU7" s="15">
        <v>14.9</v>
      </c>
      <c r="IV7" s="15">
        <v>15.23</v>
      </c>
      <c r="IW7" s="15">
        <v>0</v>
      </c>
      <c r="IX7" s="36" t="str">
        <f t="shared" si="99"/>
        <v/>
      </c>
      <c r="IY7" s="36" t="str">
        <f t="shared" si="100"/>
        <v/>
      </c>
      <c r="IZ7" s="36" t="str">
        <f t="shared" si="101"/>
        <v/>
      </c>
      <c r="JA7" s="36">
        <f t="shared" si="102"/>
        <v>14.9</v>
      </c>
      <c r="JB7" s="36">
        <f t="shared" si="103"/>
        <v>15.56</v>
      </c>
      <c r="JC7" s="36">
        <f t="shared" si="104"/>
        <v>56.26</v>
      </c>
      <c r="JD7" s="36">
        <f t="shared" si="105"/>
        <v>56.26</v>
      </c>
      <c r="JE7" s="36" t="str">
        <f t="shared" si="106"/>
        <v/>
      </c>
      <c r="JF7" s="36" t="str">
        <f t="shared" si="107"/>
        <v/>
      </c>
      <c r="JG7" s="36" t="str">
        <f t="shared" si="108"/>
        <v/>
      </c>
      <c r="JH7" s="36">
        <f t="shared" si="109"/>
        <v>14.9</v>
      </c>
      <c r="JI7" s="36">
        <f t="shared" si="110"/>
        <v>15.23</v>
      </c>
      <c r="JJ7" s="36">
        <f t="shared" si="111"/>
        <v>54.929999999999993</v>
      </c>
      <c r="JK7" s="36">
        <f t="shared" si="112"/>
        <v>111.19</v>
      </c>
      <c r="JL7" s="16">
        <v>15.6</v>
      </c>
      <c r="JM7" s="16">
        <v>8.6</v>
      </c>
      <c r="JN7" s="16">
        <v>13.7</v>
      </c>
      <c r="JO7" s="16">
        <v>15.29</v>
      </c>
      <c r="JP7" s="16">
        <v>0</v>
      </c>
      <c r="JQ7" s="16">
        <v>14.1</v>
      </c>
      <c r="JR7" s="16">
        <v>7.6</v>
      </c>
      <c r="JS7" s="16">
        <v>13.2</v>
      </c>
      <c r="JT7" s="16">
        <v>14.29</v>
      </c>
      <c r="JU7" s="16">
        <v>0</v>
      </c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1">
        <f t="shared" si="113"/>
        <v>13.7</v>
      </c>
      <c r="KG7" s="11">
        <f t="shared" si="114"/>
        <v>15.29</v>
      </c>
      <c r="KH7" s="11">
        <f t="shared" si="115"/>
        <v>53.19</v>
      </c>
      <c r="KI7" s="11">
        <f t="shared" si="116"/>
        <v>13.2</v>
      </c>
      <c r="KJ7" s="11">
        <f t="shared" si="117"/>
        <v>14.29</v>
      </c>
      <c r="KK7" s="11">
        <f t="shared" si="118"/>
        <v>49.19</v>
      </c>
      <c r="KL7" s="11">
        <f t="shared" si="119"/>
        <v>53.19</v>
      </c>
      <c r="KM7" s="11" t="str">
        <f t="shared" si="120"/>
        <v/>
      </c>
      <c r="KN7" s="11" t="str">
        <f t="shared" si="121"/>
        <v/>
      </c>
      <c r="KO7" s="11" t="str">
        <f t="shared" si="122"/>
        <v/>
      </c>
      <c r="KP7" s="11" t="str">
        <f t="shared" si="123"/>
        <v/>
      </c>
      <c r="KQ7" s="11" t="str">
        <f t="shared" si="124"/>
        <v/>
      </c>
      <c r="KR7" s="11" t="str">
        <f t="shared" si="125"/>
        <v/>
      </c>
      <c r="KS7" s="11">
        <f t="shared" si="126"/>
        <v>53.19</v>
      </c>
      <c r="KT7" s="15">
        <v>15</v>
      </c>
      <c r="KU7" s="15">
        <v>9.3000000000000007</v>
      </c>
      <c r="KV7" s="15">
        <v>16.2</v>
      </c>
      <c r="KW7" s="15">
        <v>15.85</v>
      </c>
      <c r="KX7" s="15">
        <v>0</v>
      </c>
      <c r="KY7" s="15">
        <v>13.6</v>
      </c>
      <c r="KZ7" s="15">
        <v>8.1</v>
      </c>
      <c r="LA7" s="15">
        <v>13.2</v>
      </c>
      <c r="LB7" s="15">
        <v>14.13</v>
      </c>
      <c r="LC7" s="15">
        <v>0</v>
      </c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36">
        <f t="shared" si="127"/>
        <v>16.2</v>
      </c>
      <c r="LO7" s="36">
        <f t="shared" si="128"/>
        <v>15.85</v>
      </c>
      <c r="LP7" s="36">
        <f t="shared" si="129"/>
        <v>56.35</v>
      </c>
      <c r="LQ7" s="36">
        <f t="shared" si="130"/>
        <v>13.2</v>
      </c>
      <c r="LR7" s="36">
        <f t="shared" si="131"/>
        <v>14.13</v>
      </c>
      <c r="LS7" s="36">
        <f t="shared" si="132"/>
        <v>49.03</v>
      </c>
      <c r="LT7" s="36">
        <f t="shared" si="133"/>
        <v>56.35</v>
      </c>
      <c r="LU7" s="36" t="str">
        <f t="shared" si="134"/>
        <v/>
      </c>
      <c r="LV7" s="36" t="str">
        <f t="shared" si="135"/>
        <v/>
      </c>
      <c r="LW7" s="36" t="str">
        <f t="shared" si="136"/>
        <v/>
      </c>
      <c r="LX7" s="36" t="str">
        <f t="shared" si="137"/>
        <v/>
      </c>
      <c r="LY7" s="36" t="str">
        <f t="shared" si="138"/>
        <v/>
      </c>
      <c r="LZ7" s="36" t="str">
        <f t="shared" si="139"/>
        <v/>
      </c>
      <c r="MA7" s="36">
        <f t="shared" si="140"/>
        <v>56.35</v>
      </c>
      <c r="MB7" s="16">
        <v>13</v>
      </c>
      <c r="MC7" s="16">
        <v>9.1</v>
      </c>
      <c r="MD7" s="16">
        <v>16.8</v>
      </c>
      <c r="ME7" s="16">
        <v>15.41</v>
      </c>
      <c r="MF7" s="16">
        <v>0</v>
      </c>
      <c r="MG7" s="16">
        <v>14.1</v>
      </c>
      <c r="MH7" s="16">
        <v>9.5</v>
      </c>
      <c r="MI7" s="16">
        <v>17</v>
      </c>
      <c r="MJ7" s="16">
        <v>15.64</v>
      </c>
      <c r="MK7" s="16">
        <v>0</v>
      </c>
      <c r="ML7" s="16"/>
      <c r="MM7" s="16"/>
      <c r="MN7" s="16"/>
      <c r="MO7" s="16"/>
      <c r="MP7" s="16"/>
      <c r="MQ7" s="16"/>
      <c r="MR7" s="16"/>
      <c r="MS7" s="16"/>
      <c r="MT7" s="16"/>
      <c r="MU7" s="16"/>
      <c r="MV7" s="11">
        <f t="shared" si="141"/>
        <v>16.8</v>
      </c>
      <c r="MW7" s="11">
        <f t="shared" si="142"/>
        <v>15.41</v>
      </c>
      <c r="MX7" s="11">
        <f t="shared" si="143"/>
        <v>54.31</v>
      </c>
      <c r="MY7" s="11">
        <f t="shared" si="144"/>
        <v>17</v>
      </c>
      <c r="MZ7" s="11">
        <f t="shared" si="145"/>
        <v>15.64</v>
      </c>
      <c r="NA7" s="11">
        <f t="shared" si="146"/>
        <v>56.24</v>
      </c>
      <c r="NB7" s="11">
        <f t="shared" si="147"/>
        <v>56.24</v>
      </c>
      <c r="NC7" s="11" t="str">
        <f t="shared" si="148"/>
        <v/>
      </c>
      <c r="ND7" s="11" t="str">
        <f t="shared" si="149"/>
        <v/>
      </c>
      <c r="NE7" s="11" t="str">
        <f t="shared" si="150"/>
        <v/>
      </c>
      <c r="NF7" s="11" t="str">
        <f t="shared" si="151"/>
        <v/>
      </c>
      <c r="NG7" s="11" t="str">
        <f t="shared" si="152"/>
        <v/>
      </c>
      <c r="NH7" s="11" t="str">
        <f t="shared" si="153"/>
        <v/>
      </c>
      <c r="NI7" s="11">
        <f t="shared" si="154"/>
        <v>56.24</v>
      </c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36" t="str">
        <f t="shared" si="155"/>
        <v/>
      </c>
      <c r="OE7" s="36" t="str">
        <f t="shared" si="156"/>
        <v/>
      </c>
      <c r="OF7" s="36" t="str">
        <f t="shared" si="157"/>
        <v/>
      </c>
      <c r="OG7" s="36" t="str">
        <f t="shared" si="158"/>
        <v/>
      </c>
      <c r="OH7" s="36" t="str">
        <f t="shared" si="159"/>
        <v/>
      </c>
      <c r="OI7" s="36" t="str">
        <f t="shared" si="160"/>
        <v/>
      </c>
      <c r="OJ7" s="36" t="str">
        <f t="shared" si="161"/>
        <v/>
      </c>
      <c r="OK7" s="36" t="str">
        <f t="shared" si="162"/>
        <v/>
      </c>
      <c r="OL7" s="36" t="str">
        <f t="shared" si="163"/>
        <v/>
      </c>
      <c r="OM7" s="36" t="str">
        <f t="shared" si="164"/>
        <v/>
      </c>
      <c r="ON7" s="36" t="str">
        <f t="shared" si="165"/>
        <v/>
      </c>
      <c r="OO7" s="36" t="str">
        <f t="shared" si="166"/>
        <v/>
      </c>
      <c r="OP7" s="36" t="str">
        <f t="shared" si="167"/>
        <v/>
      </c>
      <c r="OQ7" s="36" t="str">
        <f t="shared" si="168"/>
        <v/>
      </c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  <c r="PH7" s="16"/>
      <c r="PI7" s="16"/>
      <c r="PJ7" s="16"/>
      <c r="PK7" s="16"/>
      <c r="PL7" s="11" t="str">
        <f t="shared" si="169"/>
        <v/>
      </c>
      <c r="PM7" s="11" t="str">
        <f t="shared" si="170"/>
        <v/>
      </c>
      <c r="PN7" s="11" t="str">
        <f t="shared" si="171"/>
        <v/>
      </c>
      <c r="PO7" s="11" t="str">
        <f t="shared" si="172"/>
        <v/>
      </c>
      <c r="PP7" s="11" t="str">
        <f t="shared" si="173"/>
        <v/>
      </c>
      <c r="PQ7" s="11" t="str">
        <f t="shared" si="174"/>
        <v/>
      </c>
      <c r="PR7" s="11" t="str">
        <f t="shared" si="175"/>
        <v/>
      </c>
      <c r="PS7" s="11" t="str">
        <f t="shared" si="176"/>
        <v/>
      </c>
      <c r="PT7" s="11" t="str">
        <f t="shared" si="177"/>
        <v/>
      </c>
      <c r="PU7" s="11" t="str">
        <f t="shared" si="178"/>
        <v/>
      </c>
      <c r="PV7" s="11" t="str">
        <f t="shared" si="179"/>
        <v/>
      </c>
      <c r="PW7" s="11" t="str">
        <f t="shared" si="180"/>
        <v/>
      </c>
      <c r="PX7" s="11" t="str">
        <f t="shared" si="181"/>
        <v/>
      </c>
      <c r="PY7" s="11" t="str">
        <f t="shared" si="182"/>
        <v/>
      </c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36" t="str">
        <f t="shared" si="183"/>
        <v/>
      </c>
      <c r="QU7" s="36" t="str">
        <f t="shared" si="184"/>
        <v/>
      </c>
      <c r="QV7" s="36" t="str">
        <f t="shared" si="185"/>
        <v/>
      </c>
      <c r="QW7" s="36" t="str">
        <f t="shared" si="186"/>
        <v/>
      </c>
      <c r="QX7" s="36" t="str">
        <f t="shared" si="187"/>
        <v/>
      </c>
      <c r="QY7" s="36" t="str">
        <f t="shared" si="188"/>
        <v/>
      </c>
      <c r="QZ7" s="36" t="str">
        <f t="shared" si="189"/>
        <v/>
      </c>
      <c r="RA7" s="36" t="str">
        <f t="shared" si="190"/>
        <v/>
      </c>
      <c r="RB7" s="36" t="str">
        <f t="shared" si="191"/>
        <v/>
      </c>
      <c r="RC7" s="36" t="str">
        <f t="shared" si="192"/>
        <v/>
      </c>
      <c r="RD7" s="36" t="str">
        <f t="shared" si="193"/>
        <v/>
      </c>
      <c r="RE7" s="36" t="str">
        <f t="shared" si="194"/>
        <v/>
      </c>
      <c r="RF7" s="36" t="str">
        <f t="shared" si="195"/>
        <v/>
      </c>
      <c r="RG7" s="36" t="str">
        <f t="shared" si="196"/>
        <v/>
      </c>
      <c r="RH7" s="16"/>
      <c r="RI7" s="16"/>
      <c r="RJ7" s="16"/>
      <c r="RK7" s="16"/>
      <c r="RL7" s="16"/>
      <c r="RM7" s="16"/>
      <c r="RN7" s="16"/>
      <c r="RO7" s="16"/>
      <c r="RP7" s="16"/>
      <c r="RQ7" s="16"/>
      <c r="RR7" s="16"/>
      <c r="RS7" s="16"/>
      <c r="RT7" s="16"/>
      <c r="RU7" s="16"/>
      <c r="RV7" s="16"/>
      <c r="RW7" s="16"/>
      <c r="RX7" s="16"/>
      <c r="RY7" s="16"/>
      <c r="RZ7" s="16"/>
      <c r="SA7" s="16"/>
      <c r="SB7" s="11" t="str">
        <f t="shared" si="197"/>
        <v/>
      </c>
      <c r="SC7" s="11" t="str">
        <f t="shared" si="198"/>
        <v/>
      </c>
      <c r="SD7" s="11" t="str">
        <f t="shared" si="199"/>
        <v/>
      </c>
      <c r="SE7" s="11" t="str">
        <f t="shared" si="200"/>
        <v/>
      </c>
      <c r="SF7" s="11" t="str">
        <f t="shared" si="201"/>
        <v/>
      </c>
      <c r="SG7" s="11" t="str">
        <f t="shared" si="202"/>
        <v/>
      </c>
      <c r="SH7" s="11" t="str">
        <f t="shared" si="203"/>
        <v/>
      </c>
      <c r="SI7" s="11" t="str">
        <f t="shared" si="204"/>
        <v/>
      </c>
      <c r="SJ7" s="11" t="str">
        <f t="shared" si="205"/>
        <v/>
      </c>
      <c r="SK7" s="11" t="str">
        <f t="shared" si="206"/>
        <v/>
      </c>
      <c r="SL7" s="11" t="str">
        <f t="shared" si="207"/>
        <v/>
      </c>
      <c r="SM7" s="11" t="str">
        <f t="shared" si="208"/>
        <v/>
      </c>
      <c r="SN7" s="11" t="str">
        <f t="shared" si="209"/>
        <v/>
      </c>
      <c r="SO7" s="11" t="str">
        <f t="shared" si="210"/>
        <v/>
      </c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36" t="str">
        <f t="shared" si="211"/>
        <v/>
      </c>
      <c r="TK7" s="36" t="str">
        <f t="shared" si="212"/>
        <v/>
      </c>
      <c r="TL7" s="36" t="str">
        <f t="shared" si="213"/>
        <v/>
      </c>
      <c r="TM7" s="36" t="str">
        <f t="shared" si="214"/>
        <v/>
      </c>
      <c r="TN7" s="36" t="str">
        <f t="shared" si="215"/>
        <v/>
      </c>
      <c r="TO7" s="36" t="str">
        <f t="shared" si="216"/>
        <v/>
      </c>
      <c r="TP7" s="36" t="str">
        <f t="shared" si="217"/>
        <v/>
      </c>
      <c r="TQ7" s="36" t="str">
        <f t="shared" si="218"/>
        <v/>
      </c>
      <c r="TR7" s="36" t="str">
        <f t="shared" si="219"/>
        <v/>
      </c>
      <c r="TS7" s="36" t="str">
        <f t="shared" si="220"/>
        <v/>
      </c>
      <c r="TT7" s="36" t="str">
        <f t="shared" si="221"/>
        <v/>
      </c>
      <c r="TU7" s="36" t="str">
        <f t="shared" si="222"/>
        <v/>
      </c>
      <c r="TV7" s="36" t="str">
        <f t="shared" si="223"/>
        <v/>
      </c>
      <c r="TW7" s="36" t="str">
        <f t="shared" si="224"/>
        <v/>
      </c>
      <c r="TX7" s="16"/>
      <c r="TY7" s="16"/>
      <c r="TZ7" s="16"/>
      <c r="UA7" s="16"/>
      <c r="UB7" s="16"/>
      <c r="UC7" s="16"/>
      <c r="UD7" s="16"/>
      <c r="UE7" s="16"/>
      <c r="UF7" s="16"/>
      <c r="UG7" s="16"/>
      <c r="UH7" s="16"/>
      <c r="UI7" s="16"/>
      <c r="UJ7" s="16"/>
      <c r="UK7" s="16"/>
      <c r="UL7" s="16"/>
      <c r="UM7" s="16"/>
      <c r="UN7" s="16"/>
      <c r="UO7" s="16"/>
      <c r="UP7" s="16"/>
      <c r="UQ7" s="16"/>
      <c r="UR7" s="11" t="str">
        <f t="shared" si="225"/>
        <v/>
      </c>
      <c r="US7" s="11" t="str">
        <f t="shared" si="226"/>
        <v/>
      </c>
      <c r="UT7" s="11" t="str">
        <f t="shared" si="227"/>
        <v/>
      </c>
      <c r="UU7" s="11" t="str">
        <f t="shared" si="228"/>
        <v/>
      </c>
      <c r="UV7" s="11" t="str">
        <f t="shared" si="229"/>
        <v/>
      </c>
      <c r="UW7" s="11" t="str">
        <f t="shared" si="230"/>
        <v/>
      </c>
      <c r="UX7" s="11" t="str">
        <f t="shared" si="231"/>
        <v/>
      </c>
      <c r="UY7" s="11" t="str">
        <f t="shared" si="232"/>
        <v/>
      </c>
      <c r="UZ7" s="11" t="str">
        <f t="shared" si="233"/>
        <v/>
      </c>
      <c r="VA7" s="11" t="str">
        <f t="shared" si="234"/>
        <v/>
      </c>
      <c r="VB7" s="11" t="str">
        <f t="shared" si="235"/>
        <v/>
      </c>
      <c r="VC7" s="11" t="str">
        <f t="shared" si="236"/>
        <v/>
      </c>
      <c r="VD7" s="11" t="str">
        <f t="shared" si="237"/>
        <v/>
      </c>
      <c r="VE7" s="11" t="str">
        <f t="shared" si="238"/>
        <v/>
      </c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36" t="str">
        <f t="shared" si="239"/>
        <v/>
      </c>
      <c r="WA7" s="36" t="str">
        <f t="shared" si="240"/>
        <v/>
      </c>
      <c r="WB7" s="36" t="str">
        <f t="shared" si="241"/>
        <v/>
      </c>
      <c r="WC7" s="36" t="str">
        <f t="shared" si="242"/>
        <v/>
      </c>
      <c r="WD7" s="36" t="str">
        <f t="shared" si="243"/>
        <v/>
      </c>
      <c r="WE7" s="36" t="str">
        <f t="shared" si="244"/>
        <v/>
      </c>
      <c r="WF7" s="36" t="str">
        <f t="shared" si="245"/>
        <v/>
      </c>
      <c r="WG7" s="36" t="str">
        <f t="shared" si="246"/>
        <v/>
      </c>
      <c r="WH7" s="36" t="str">
        <f t="shared" si="247"/>
        <v/>
      </c>
      <c r="WI7" s="36" t="str">
        <f t="shared" si="248"/>
        <v/>
      </c>
      <c r="WJ7" s="36" t="str">
        <f t="shared" si="249"/>
        <v/>
      </c>
      <c r="WK7" s="36" t="str">
        <f t="shared" si="250"/>
        <v/>
      </c>
      <c r="WL7" s="36" t="str">
        <f t="shared" si="251"/>
        <v/>
      </c>
      <c r="WM7" s="36" t="str">
        <f t="shared" si="252"/>
        <v/>
      </c>
    </row>
    <row r="8" spans="1:611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113</v>
      </c>
      <c r="C8" s="4" t="s">
        <v>7</v>
      </c>
      <c r="D8" s="4">
        <v>2008</v>
      </c>
      <c r="E8" s="9">
        <f t="shared" si="0"/>
        <v>167.04001670400561</v>
      </c>
      <c r="F8" s="3" t="str">
        <f>IF(OR(AND(AI8&gt;=AS$27,AI8&lt;&gt;"",AK8&gt;=AS$31,AK8&lt;&gt;"",AH8=""),AND(AL8&gt;=AS$27,AL8&lt;&gt;"",AN8&gt;=AS$31,AN8&lt;&gt;"",AH8=""),AND(AP8&gt;=AS$27,AP8&lt;&gt;"",AR8&gt;=AS$31,AR8&lt;&gt;"",AH8=""),AND(BJ8&gt;=BT$27,BJ8&lt;&gt;"",BL8&gt;=BT$31,BL8&lt;&gt;"",BI8=""),AND(BM8&gt;=BT$27,BM8&lt;&gt;"",BO8&gt;=BT$31,BO8&lt;&gt;"",BI8=""),AND(BQ8&gt;=BT$27,BQ8&lt;&gt;"",BS8&gt;=BT$31,BS8&lt;&gt;"",BI8=""),AND(CK8&gt;=CU$27,CK8&lt;&gt;"",CM8&gt;=CU$31,CM8&lt;&gt;"",CJ8=""),AND(CN8&gt;=CU$27,CN8&lt;&gt;"",CP8&gt;=CU$31,CP8&lt;&gt;"",CJ8=""),AND(CR8&gt;=CU$27,CR8&lt;&gt;"",CT8&gt;=CU$31,CT8&lt;&gt;"",CJ8=""),AND(DR8&gt;=EE$27,DR8&lt;&gt;"",DT8&gt;=EE$31,DT8&lt;&gt;""),AND(DU8&gt;=EE$27,DU8&lt;&gt;"",DW8&gt;=EE$31,DW8&lt;&gt;""),AND(DY8&gt;=EE$27,DY8&lt;&gt;"",EA8&gt;=EE$31,EA8&lt;&gt;""),AND(EB8&gt;=EE$27,EB8&lt;&gt;"",ED8&gt;=EE$31,ED8&lt;&gt;""),AND(EZ8&gt;=FM$27,EZ8&lt;&gt;"",FB8&gt;=FM$31,FB8&lt;&gt;""),AND(FC8&gt;=FM$27,FC8&lt;&gt;"",FE8&gt;=FM$31,FE8&lt;&gt;""),AND(FG8&gt;=FM$27,FG8&lt;&gt;"",FI8&gt;=FM$31,FI8&lt;&gt;""),AND(FJ8&gt;=FM$27,FJ8&lt;&gt;"",FL8&gt;=FM$31,FL8&lt;&gt;""),AND(GH8&gt;=GU$27,GH8&lt;&gt;"",GJ8&gt;=GU$31,GJ8&lt;&gt;""),AND(GK8&gt;=GU$27,GK8&lt;&gt;"",GM8&gt;=GU$31,GM8&lt;&gt;""),AND(GO8&gt;=GU$27,GO8&lt;&gt;"",GQ8&gt;=GU$31,GQ8&lt;&gt;""),AND(GR8&gt;=GU$27,GR8&lt;&gt;"",GT8&gt;=GU$31,GT8&lt;&gt;""),AND(HP8&gt;=IC$27,HP8&lt;&gt;"",HR8&gt;=IC$31,HR8&lt;&gt;""),AND(HS8&gt;=IC$27,HS8&lt;&gt;"",HU8&gt;=IC$31,HU8&lt;&gt;""),AND(HW8&gt;=IC$27,HW8&lt;&gt;"",HY8&gt;=IC$31,HY8&lt;&gt;""),AND(HZ8&gt;=IC$27,HZ8&lt;&gt;"",IB8&gt;=IC$31,IB8&lt;&gt;""),AND(IX8&gt;=JK$27,IX8&lt;&gt;"",IZ8&gt;=JK$31,IZ8&lt;&gt;""),AND(JA8&gt;=JK$27,JA8&lt;&gt;"",JC8&gt;=JK$31,JC8&lt;&gt;""),AND(JE8&gt;=JK$27,JE8&lt;&gt;"",JG8&gt;=JK$31,JG8&lt;&gt;""),AND(JH8&gt;=JK$27,JH8&lt;&gt;"",JJ8&gt;=JK$31,JJ8&lt;&gt;""),AND(KF8&gt;=KS$27,KF8&lt;&gt;"",KH8&gt;=KS$31,KH8&lt;&gt;""),AND(KI8&gt;=KS$27,KI8&lt;&gt;"",KK8&gt;=KS$31,KK8&lt;&gt;""),AND(KM8&gt;=KS$27,KM8&lt;&gt;"",KO8&gt;=KS$31,KO8&lt;&gt;""),AND(KP8&gt;=KS$27,KP8&lt;&gt;"",KR8&gt;=KS$31,KR8&lt;&gt;""),AND(LN8&gt;=MA$27,LN8&lt;&gt;"",LP8&gt;=MA$31,LP8&lt;&gt;""),AND(LQ8&gt;=MA$27,LQ8&lt;&gt;"",LS8&gt;=MA$31,LS8&lt;&gt;""),AND(LU8&gt;=MA$27,LU8&lt;&gt;"",LW8&gt;=MA$31,LW8&lt;&gt;""),AND(LX8&gt;=MA$27,LX8&lt;&gt;"",LZ8&gt;=MA$31,LZ8&lt;&gt;""),AND(MV8&gt;=NI$27,MV8&lt;&gt;"",MX8&gt;=NI$31,MX8&lt;&gt;""),AND(MY8&gt;=NI$27,MY8&lt;&gt;"",NA8&gt;=NI$31,NA8&lt;&gt;""),AND(NC8&gt;=NI$27,NC8&lt;&gt;"",NE8&gt;=NI$31,NE8&lt;&gt;""),AND(NF8&gt;=NI$27,NF8&lt;&gt;"",NH8&gt;=NI$31,NH8&lt;&gt;""),AND(OD8&gt;=OQ$27,OD8&lt;&gt;"",OF8&gt;=OQ$31,OF8&lt;&gt;""),AND(OG8&gt;=OQ$27,OG8&lt;&gt;"",OI8&gt;=OQ$31,OI8&lt;&gt;""),AND(OK8&gt;=OQ$27,OK8&lt;&gt;"",OM8&gt;=OQ$31,OM8&lt;&gt;""),AND(ON8&gt;=OQ$27,ON8&lt;&gt;"",OP8&gt;=OQ$31,OP8&lt;&gt;""),AND(PL8&gt;=PY$27,PL8&lt;&gt;"",PN8&gt;=PY$31,PN8&lt;&gt;""),AND(PO8&gt;=PY$27,PO8&lt;&gt;"",PQ8&gt;=PY$31,PQ8&lt;&gt;""),AND(PS8&gt;=PY$27,PS8&lt;&gt;"",PU8&gt;=PY$31,PU8&lt;&gt;""),AND(PV8&gt;=PY$27,PV8&lt;&gt;"",PX8&gt;=PY$31,PX8&lt;&gt;""),AND(QT8&gt;=RG$27,QT8&lt;&gt;"",QV8&gt;=RG$31,QV8&lt;&gt;""),AND(QW8&gt;=RG$27,QW8&lt;&gt;"",QY8&gt;=RG$31,QY8&lt;&gt;""),AND(RA8&gt;=RG$27,RA8&lt;&gt;"",RC8&gt;=RG$31,RC8&lt;&gt;""),AND(RD8&gt;=RG$27,RD8&lt;&gt;"",RF8&gt;=RG$31,RF8&lt;&gt;""),AND(SB8&gt;=SO$27,SB8&lt;&gt;"",SD8&gt;=SO$31,SD8&lt;&gt;""),AND(SE8&gt;=SO$27,SE8&lt;&gt;"",SG8&gt;=SO$31,SG8&lt;&gt;""),AND(SI8&gt;=SO$27,SI8&lt;&gt;"",SK8&gt;=SO$31,SK8&lt;&gt;""),AND(SL8&gt;=SO$27,SL8&lt;&gt;"",SN8&gt;=SO$31,SN8&lt;&gt;""),AND(TJ8&gt;=TW$27,TJ8&lt;&gt;"",TL8&gt;=TW$31,TL8&lt;&gt;""),AND(TM8&gt;=TW$27,TM8&lt;&gt;"",TO8&gt;=TW$31,TO8&lt;&gt;""),AND(TQ8&gt;=TW$27,TQ8&lt;&gt;"",TS8&gt;=TW$31,TXQ8&lt;&gt;""),AND(TT8&gt;=TW$27,TT8&lt;&gt;"",TV8&gt;=TW$31,TV8&lt;&gt;""),AND(UR8&gt;=VE$27,UR8&lt;&gt;"",UT8&gt;=VE$31,UT8&lt;&gt;""),AND(UU8&gt;=VE$27,UU8&lt;&gt;"",UW8&gt;=VE$31,UW8&lt;&gt;""),AND(UY8&gt;=VE$27,UY8&lt;&gt;"",VA8&gt;=VE$31,VA8&lt;&gt;""),AND(VB8&gt;=VE$27,VB8&lt;&gt;"",VD8&gt;=VE$31,VD8&lt;&gt;""),AND(VZ8&gt;=WM$27,VZ8&lt;&gt;"",WB8&gt;=WM$31,WB8&lt;&gt;""),AND(WC8&gt;=WM$27,WC8&lt;&gt;"",WE8&gt;=WM$31,WE8&lt;&gt;""),AND(WG8&gt;=WM$27,WG8&lt;&gt;"",WI8&gt;=WM$31,WI8&lt;&gt;""),AND(WJ8&gt;=WM$27,WJ8&lt;&gt;"",WL8&gt;=WM$31,WL8&lt;&gt;"")),"P","")</f>
        <v>P</v>
      </c>
      <c r="G8" s="3" t="str">
        <f>IF(OR(AND(AK8&gt;=AS$31,AK8&lt;&gt;"",AH8=""),AND(AN8&gt;=AS$31,AN8&lt;&gt;"",AH8=""),AND(AR8&gt;=AS$31,AR8&lt;&gt;"",AH8=""),AND(BL8&gt;=BT$31,BL8&lt;&gt;"",BI8=""),AND(BO8&gt;=BT$31,BO8&lt;&gt;"",BI8=""),AND(BS8&gt;=BT$31,BS8&lt;&gt;"",BI8=""),AND(CM8&gt;=CU$31,CM8&lt;&gt;"",CJ8=""),AND(CP8&gt;=CU$31,CP8&lt;&gt;"",CJ8=""),AND(CT8&gt;=CU$31,CT8&lt;&gt;"",CJ8=""),AND(DT8&gt;=EE$31,DT8&lt;&gt;""),AND(DW8&gt;=EE$31,DW8&lt;&gt;""),AND(EA8&gt;=EE$31,EA8&lt;&gt;""),AND(ED8&gt;=EE$31,ED8&lt;&gt;""),AND(FB8&gt;=FM$31,FB8&lt;&gt;""),AND(FE8&gt;=FM$31,FE8&lt;&gt;""),AND(FI8&gt;=FM$31,FI8&lt;&gt;""),AND(FL8&gt;=FM$31,FL8&lt;&gt;""),AND(GJ8&gt;=GU$31,GJ8&lt;&gt;""),AND(GM8&gt;=GU$31,GM8&lt;&gt;""),AND(GQ8&gt;=GU$31,GQ8&lt;&gt;""),AND(GT8&gt;=GU$31,GT8&lt;&gt;""),AND(HR8&gt;=IC$31,HR8&lt;&gt;""),AND(HU8&gt;=IC$31,HU8&lt;&gt;""),AND(HY8&gt;=IC$31,HY8&lt;&gt;""),AND(IB8&gt;=IC$31,IB8&lt;&gt;""),AND(IZ8&gt;=JK$31,IZ8&lt;&gt;""),AND(JC8&gt;=JK$31,JC8&lt;&gt;""),AND(JG8&gt;=JK$31,JG8&lt;&gt;""),AND(JJ8&gt;=JK$31,JJ8&lt;&gt;""),AND(KH8&gt;=KS$31,KH8&lt;&gt;""),AND(KK8&gt;=KS$31,KK8&lt;&gt;""),AND(KO8&gt;=KS$31,KO8&lt;&gt;""),AND(KR8&gt;=KS$31,KR8&lt;&gt;""),AND(LP8&gt;=MA$31,LP8&lt;&gt;""),AND(LS8&gt;=MA$31,LS8&lt;&gt;""),AND(LW8&gt;=MA$31,LW8&lt;&gt;""),AND(LZ8&gt;=MA$31,LZ8&lt;&gt;""),AND(MX8&gt;=NI$31,MX8&lt;&gt;""),AND(NA8&gt;=NI$31,NA8&lt;&gt;""),AND(NE8&gt;=NI$31,NE8&lt;&gt;""),AND(NH8&gt;=NI$31,NH8&lt;&gt;""),AND(OF8&gt;=OQ$31,OF8&lt;&gt;""),AND(OI8&gt;=OQ$31,OI8&lt;&gt;""),AND(OM8&gt;=OQ$31,OM8&lt;&gt;""),AND(OP8&gt;=OQ$31,OP8&lt;&gt;""),AND(PN8&gt;=PY$31,PN8&lt;&gt;""),AND(PQ8&gt;=PY$31,PQ8&lt;&gt;""),AND(PU8&gt;=PY$31,PU8&lt;&gt;""),AND(PX8&gt;=PY$31,PX8&lt;&gt;""),AND(QV8&gt;=RG$31,QV8&lt;&gt;""),AND(QY8&gt;=RG$31,QY8&lt;&gt;""),AND(RC8&gt;=RG$31,RC8&lt;&gt;""),AND(RF8&gt;=RG$31,RF8&lt;&gt;""),AND(SD8&gt;=SO$31,SD8&lt;&gt;""),AND(SG8&gt;=SO$31,SG8&lt;&gt;""),AND(SK8&gt;=SO$31,SK8&lt;&gt;""),AND(SN8&gt;=SO$31,SN8&lt;&gt;""),AND(TL8&gt;=TW$31,TL8&lt;&gt;""),AND(TO8&gt;=TW$31,TO8&lt;&gt;""),AND(TS8&gt;=TW$31,TXQ8&lt;&gt;""),AND(TV8&gt;=TW$31,TV8&lt;&gt;""),AND(UT8&gt;=VE$31,UT8&lt;&gt;""),AND(UW8&gt;=VE$31,UW8&lt;&gt;""),AND(VA8&gt;=VE$31,VA8&lt;&gt;""),AND(VD8&gt;=VE$31,VD8&lt;&gt;""),AND(WB8&gt;=WM$31,WB8&lt;&gt;""),AND(WE8&gt;=WM$31,WE8&lt;&gt;""),AND(WI8&gt;=WM$31,WI8&lt;&gt;""),AND(WL8&gt;=WM$31,WL8&lt;&gt;"")),"P","")</f>
        <v>P</v>
      </c>
      <c r="H8" s="32" t="str">
        <f>IF(AND(G8="P",F8=""),"No DD",IF(OR(AND(AI8&gt;=AS$30,AI8&lt;&gt;"",AK8&gt;=AS$34,AK8&lt;&gt;"",AH8=""),AND(AL8&gt;=AS$30,AL8&lt;&gt;"",AN8&gt;=AS$34,AN8&lt;&gt;"",AH8=""),AND(AP8&gt;=AS$30,AP8&lt;&gt;"",AR8&gt;=AS$34,AR8&lt;&gt;"",AH8=""),AND(BJ8&gt;=BT$30,BJ8&lt;&gt;"",BL8&gt;=BT$34,BL8&lt;&gt;"",BI8=""),AND(BM8&gt;=BT$30,BM8&lt;&gt;"",BO8&gt;=BT$34,BO8&lt;&gt;"",BI8=""),AND(BQ8&gt;=BT$30,BQ8&lt;&gt;"",BS8&gt;=BT$34,BS8&lt;&gt;"",BI8=""),AND(CK8&gt;=CU$30,CK8&lt;&gt;"",CM8&gt;=CU$34,CM8&lt;&gt;"",CJ8=""),AND(CN8&gt;=CU$30,CN8&lt;&gt;"",CP8&gt;=CU$34,CP8&lt;&gt;"",CJ8=""),AND(CR8&gt;=CU$30,CR8&lt;&gt;"",CT8&gt;=CU$34,CT8&lt;&gt;"",CJ8=""),AND(DR8&gt;=EE$30,DR8&lt;&gt;"",DT8&gt;=EE$34,DT8&lt;&gt;""),AND(DU8&gt;=EE$30,DU8&lt;&gt;"",DW8&gt;=EE$34,DW8&lt;&gt;""),AND(DY8&gt;=EE$30,DY8&lt;&gt;"",EA8&gt;=EE$34,EA8&lt;&gt;""),AND(EB8&gt;=EE$30,EB8&lt;&gt;"",ED8&gt;=EE$34,ED8&lt;&gt;""),AND(EZ8&gt;=FM$30,EZ8&lt;&gt;"",FB8&gt;=FM$34,FB8&lt;&gt;""),AND(FC8&gt;=FM$30,FC8&lt;&gt;"",FE8&gt;=FM$34,FE8&lt;&gt;""),AND(FG8&gt;=FM$30,FG8&lt;&gt;"",FI8&gt;=FM$34,FI8&lt;&gt;""),AND(FJ8&gt;=FM$30,FJ8&lt;&gt;"",FL8&gt;=FM$34,FL8&lt;&gt;""),AND(GH8&gt;=GU$30,GH8&lt;&gt;"",GJ8&gt;=GU$34,GJ8&lt;&gt;""),AND(GK8&gt;=GU$30,GK8&lt;&gt;"",GM8&gt;=GU$34,GM8&lt;&gt;""),AND(GO8&gt;=GU$30,GO8&lt;&gt;"",GQ8&gt;=GU$34,GQ8&lt;&gt;""),AND(GR8&gt;=GU$30,GR8&lt;&gt;"",GT8&gt;=GU$34,GT8&lt;&gt;""),AND(HP8&gt;=IC$30,HP8&lt;&gt;"",HR8&gt;=IC$34,HR8&lt;&gt;""),AND(HS8&gt;=IC$30,HS8&lt;&gt;"",HU8&gt;=IC$34,HU8&lt;&gt;""),AND(HW8&gt;=IC$30,HW8&lt;&gt;"",HY8&gt;=IC$34,HY8&lt;&gt;""),AND(HZ8&gt;=IC$30,HZ8&lt;&gt;"",IB8&gt;=IC$34,IB8&lt;&gt;""),AND(IX8&gt;=JK$30,IX8&lt;&gt;"",IZ8&gt;=JK$34,IZ8&lt;&gt;""),AND(JA8&gt;=JK$30,JA8&lt;&gt;"",JC8&gt;=JK$34,JC8&lt;&gt;""),AND(JE8&gt;=JK$30,JE8&lt;&gt;"",JG8&gt;=JK$34,JG8&lt;&gt;""),AND(JH8&gt;=JK$30,JH8&lt;&gt;"",JJ8&gt;=JK$34,JJ8&lt;&gt;""),AND(KF8&gt;=KS$30,KF8&lt;&gt;"",KH8&gt;=KS$34,KH8&lt;&gt;""),AND(KI8&gt;=KS$30,KI8&lt;&gt;"",KK8&gt;=KS$34,KK8&lt;&gt;""),AND(KM8&gt;=KS$30,KM8&lt;&gt;"",KO8&gt;=KS$34,KO8&lt;&gt;""),AND(KP8&gt;=KS$30,KP8&lt;&gt;"",KR8&gt;=KS$34,KR8&lt;&gt;""),AND(LN8&gt;=MA$30,LN8&lt;&gt;"",LP8&gt;=MA$34,LP8&lt;&gt;""),AND(LQ8&gt;=MA$30,LQ8&lt;&gt;"",LS8&gt;=MA$34,LS8&lt;&gt;""),AND(LU8&gt;=MA$30,LU8&lt;&gt;"",LW8&gt;=MA$34,LW8&lt;&gt;""),AND(LX8&gt;=MA$30,LX8&lt;&gt;"",LZ8&gt;=MA$34,LZ8&lt;&gt;""),AND(MV8&gt;=NI$30,MV8&lt;&gt;"",MX8&gt;=NI$34,MX8&lt;&gt;""),AND(MY8&gt;=NI$30,MY8&lt;&gt;"",NA8&gt;=NI$34,NA8&lt;&gt;""),AND(NC8&gt;=NI$30,NC8&lt;&gt;"",NE8&gt;=NI$34,NE8&lt;&gt;""),AND(NF8&gt;=NI$30,NF8&lt;&gt;"",NH8&gt;=NI$34,NH8&lt;&gt;""),AND(OD8&gt;=OQ$30,OD8&lt;&gt;"",OF8&gt;=OQ$34,OF8&lt;&gt;""),AND(OG8&gt;=OQ$30,OG8&lt;&gt;"",OI8&gt;=OQ$34,OI8&lt;&gt;""),AND(OK8&gt;=OQ$30,OK8&lt;&gt;"",OM8&gt;=OQ$34,OM8&lt;&gt;""),AND(ON8&gt;=OQ$30,ON8&lt;&gt;"",OP8&gt;=OQ$34,OP8&lt;&gt;""),AND(PL8&gt;=PY$30,PL8&lt;&gt;"",PN8&gt;=PY$34,PN8&lt;&gt;""),AND(PO8&gt;=PY$30,PO8&lt;&gt;"",PQ8&gt;=PY$34,PQ8&lt;&gt;""),AND(PS8&gt;=PY$30,PS8&lt;&gt;"",PU8&gt;=PY$34,PU8&lt;&gt;""),AND(PV8&gt;=PY$30,PV8&lt;&gt;"",PX8&gt;=PY$34,PX8&lt;&gt;""),AND(QT8&gt;=RG$30,QT8&lt;&gt;"",QV8&gt;=RG$34,QV8&lt;&gt;""),AND(QW8&gt;=RG$30,QW8&lt;&gt;"",QY8&gt;=RG$34,QY8&lt;&gt;""),AND(RA8&gt;=RG$30,RA8&lt;&gt;"",RC8&gt;=RG$34,RC8&lt;&gt;""),AND(RD8&gt;=RG$30,RD8&lt;&gt;"",RF8&gt;=RG$34,RF8&lt;&gt;""),AND(SB8&gt;=SO$30,SB8&lt;&gt;"",SD8&gt;=SO$34,SD8&lt;&gt;""),AND(SE8&gt;=SO$30,SE8&lt;&gt;"",SG8&gt;=SO$34,SG8&lt;&gt;""),AND(SI8&gt;=SO$30,SI8&lt;&gt;"",SK8&gt;=SO$34,SK8&lt;&gt;""),AND(SL8&gt;=SO$30,SL8&lt;&gt;"",SN8&gt;=SO$34,SN8&lt;&gt;""),AND(TJ8&gt;=TW$30,TJ8&lt;&gt;"",TL8&gt;=TW$34,TL8&lt;&gt;""),AND(TM8&gt;=TW$30,TM8&lt;&gt;"",TO8&gt;=TW$34,TO8&lt;&gt;""),AND(TQ8&gt;=TW$30,TQ8&lt;&gt;"",TS8&gt;=TW$354,TXQ8&lt;&gt;""),AND(TT8&gt;=TW$30,TT8&lt;&gt;"",TV8&gt;=TW$34,TV8&lt;&gt;""),AND(UR8&gt;=VE$30,UR8&lt;&gt;"",UT8&gt;=VE$34,UT8&lt;&gt;""),AND(UU8&gt;=VE$30,UU8&lt;&gt;"",UW8&gt;=VE$34,UW8&lt;&gt;""),AND(UY8&gt;=VE$30,UY8&lt;&gt;"",VA8&gt;=VE$34,VA8&lt;&gt;""),AND(VB8&gt;=VE$30,VB8&lt;&gt;"",VD8&gt;=VE$34,VD8&lt;&gt;""),AND(VZ8&gt;=WM$30,VZ8&lt;&gt;"",WB8&gt;=WM$34,WB8&lt;&gt;""),AND(WC8&gt;=WM$30,WC8&lt;&gt;"",WE8&gt;=WM$34,WE8&lt;&gt;""),AND(WG8&gt;=WM$30,WG8&lt;&gt;"",WI8&gt;=WM$34,WI8&lt;&gt;""),AND(WJ8&gt;=WM$30,WJ8&lt;&gt;"",WL8&gt;=WM$34,WL8&lt;&gt;"")),"Merit",IF(OR(AND(AI8&gt;=AS$29,AI8&lt;&gt;"",AK8&gt;=AS$33,AK8&lt;&gt;"",AH8=""),AND(AL8&gt;=AS$29,AL8&lt;&gt;"",AN8&gt;=AS$33,AN8&lt;&gt;"",AH8=""),AND(AP8&gt;=AS$29,AP8&lt;&gt;"",AR8&gt;=AS$33,AR8&lt;&gt;"",AH8=""),AND(BJ8&gt;=BT$29,BJ8&lt;&gt;"",BL8&gt;=BT$33,BL8&lt;&gt;"",BI8=""),AND(BM8&gt;=BT$29,BM8&lt;&gt;"",BO8&gt;=BT$33,BO8&lt;&gt;"",BI8=""),AND(BQ8&gt;=BT$29,BQ8&lt;&gt;"",BS8&gt;=BT$33,BS8&lt;&gt;"",BI8=""),AND(CK8&gt;=CU$29,CK8&lt;&gt;"",CM8&gt;=CU$33,CM8&lt;&gt;"",CJ8=""),AND(CN8&gt;=CU$29,CN8&lt;&gt;"",CP8&gt;=CU$33,CP8&lt;&gt;"",CJ8=""),AND(CR8&gt;=CU$29,CR8&lt;&gt;"",CT8&gt;=CU$33,CT8&lt;&gt;"",CJ8=""),AND(DR8&gt;=EE$29,DR8&lt;&gt;"",DT8&gt;=EE$33,DT8&lt;&gt;""),AND(DU8&gt;=EE$29,DU8&lt;&gt;"",DW8&gt;=EE$33,DW8&lt;&gt;""),AND(DY8&gt;=EE$29,DY8&lt;&gt;"",EA8&gt;=EE$33,EA8&lt;&gt;""),AND(EB8&gt;=EE$29,EB8&lt;&gt;"",ED8&gt;=EE$33,ED8&lt;&gt;""),AND(EZ8&gt;=FM$29,EZ8&lt;&gt;"",FB8&gt;=FM$33,FB8&lt;&gt;""),AND(FC8&gt;=FM$29,FC8&lt;&gt;"",FE8&gt;=FM$33,FE8&lt;&gt;""),AND(FG8&gt;=FM$29,FG8&lt;&gt;"",FI8&gt;=FM$33,FI8&lt;&gt;""),AND(FJ8&gt;=FM$29,FJ8&lt;&gt;"",FL8&gt;=FM$33,FL8&lt;&gt;""),AND(GH8&gt;=GU$29,GH8&lt;&gt;"",GJ8&gt;=GU$33,GJ8&lt;&gt;""),AND(GK8&gt;=GU$29,GK8&lt;&gt;"",GM8&gt;=GU$33,GM8&lt;&gt;""),AND(GO8&gt;=GU$29,GO8&lt;&gt;"",GQ8&gt;=GU$33,GQ8&lt;&gt;""),AND(GR8&gt;=GU$29,GR8&lt;&gt;"",GT8&gt;=GU$33,GT8&lt;&gt;""),AND(HP8&gt;=IC$29,HP8&lt;&gt;"",HR8&gt;=IC$33,HR8&lt;&gt;""),AND(HS8&gt;=IC$29,HS8&lt;&gt;"",HU8&gt;=IC$33,HU8&lt;&gt;""),AND(HW8&gt;=IC$29,HW8&lt;&gt;"",HY8&gt;=IC$33,HY8&lt;&gt;""),AND(HZ8&gt;=IC$29,HZ8&lt;&gt;"",IB8&gt;=IC$33,IB8&lt;&gt;""),AND(IX8&gt;=JK$29,IX8&lt;&gt;"",IZ8&gt;=JK$33,IZ8&lt;&gt;""),AND(JA8&gt;=JK$29,JA8&lt;&gt;"",JC8&gt;=JK$33,JC8&lt;&gt;""),AND(JE8&gt;=JK$29,JE8&lt;&gt;"",JG8&gt;=JK$33,JG8&lt;&gt;""),AND(JH8&gt;=JK$29,JH8&lt;&gt;"",JJ8&gt;=JK$33,JJ8&lt;&gt;""),AND(KF8&gt;=KS$29,KF8&lt;&gt;"",KH8&gt;=KS$33,KH8&lt;&gt;""),AND(KI8&gt;=KS$29,KI8&lt;&gt;"",KK8&gt;=KS$33,KK8&lt;&gt;""),AND(KM8&gt;=KS$29,KM8&lt;&gt;"",KO8&gt;=KS$33,KO8&lt;&gt;""),AND(KP8&gt;=KS$29,KP8&lt;&gt;"",KR8&gt;=KS$33,KR8&lt;&gt;""),AND(LN8&gt;=MA$29,LN8&lt;&gt;"",LP8&gt;=MA$33,LP8&lt;&gt;""),AND(LQ8&gt;=MA$29,LQ8&lt;&gt;"",LS8&gt;=MA$33,LS8&lt;&gt;""),AND(LU8&gt;=MA$29,LU8&lt;&gt;"",LW8&gt;=MA$33,LW8&lt;&gt;""),AND(LX8&gt;=MA$29,LX8&lt;&gt;"",LZ8&gt;=MA$33,LZ8&lt;&gt;""),AND(MV8&gt;=NI$29,MV8&lt;&gt;"",MX8&gt;=NI$33,MX8&lt;&gt;""),AND(MY8&gt;=NI$29,MY8&lt;&gt;"",NA8&gt;=NI$33,NA8&lt;&gt;""),AND(NC8&gt;=NI$29,NC8&lt;&gt;"",NE8&gt;=NI$33,NE8&lt;&gt;""),AND(NF8&gt;=NI$29,NF8&lt;&gt;"",NH8&gt;=NI$33,NH8&lt;&gt;""),AND(OD8&gt;=OQ$29,OD8&lt;&gt;"",OF8&gt;=OQ$33,OF8&lt;&gt;""),AND(OG8&gt;=OQ$29,OG8&lt;&gt;"",OI8&gt;=OQ$33,OI8&lt;&gt;""),AND(OK8&gt;=OQ$29,OK8&lt;&gt;"",OM8&gt;=OQ$33,OM8&lt;&gt;""),AND(ON8&gt;=OQ$29,ON8&lt;&gt;"",OP8&gt;=OQ$33,OP8&lt;&gt;""),AND(PL8&gt;=PY$29,PL8&lt;&gt;"",PN8&gt;=PY$33,PN8&lt;&gt;""),AND(PO8&gt;=PY$29,PO8&lt;&gt;"",PQ8&gt;=PY$33,PQ8&lt;&gt;""),AND(PS8&gt;=PY$29,PS8&lt;&gt;"",PU8&gt;=PY$33,PU8&lt;&gt;""),AND(PV8&gt;=PY$29,PV8&lt;&gt;"",PX8&gt;=PY$33,PX8&lt;&gt;""),AND(QT8&gt;=RG$29,QT8&lt;&gt;"",QV8&gt;=RG$33,QV8&lt;&gt;""),AND(QW8&gt;=RG$29,QW8&lt;&gt;"",QY8&gt;=RG$33,QY8&lt;&gt;""),AND(RA8&gt;=RG$29,RA8&lt;&gt;"",RC8&gt;=RG$33,RC8&lt;&gt;""),AND(RD8&gt;=RG$29,RD8&lt;&gt;"",RF8&gt;=RG$33,RF8&lt;&gt;""),AND(SB8&gt;=SO$29,SB8&lt;&gt;"",SD8&gt;=SO$33,SD8&lt;&gt;""),AND(SE8&gt;=SO$29,SE8&lt;&gt;"",SG8&gt;=SO$33,SG8&lt;&gt;""),AND(SI8&gt;=SO$29,SI8&lt;&gt;"",SK8&gt;=SO$33,SK8&lt;&gt;""),AND(SL8&gt;=SO$29,SL8&lt;&gt;"",SN8&gt;=SO$33,SN8&lt;&gt;""),AND(TJ8&gt;=TW$29,TJ8&lt;&gt;"",TL8&gt;=TW$33,TL8&lt;&gt;""),AND(TM8&gt;=TW$29,TM8&lt;&gt;"",TO8&gt;=TW$33,TO8&lt;&gt;""),AND(TQ8&gt;=TW$29,TQ8&lt;&gt;"",TS8&gt;=TW$33,TXQ8&lt;&gt;""),AND(TT8&gt;=TW$29,TT8&lt;&gt;"",TV8&gt;=TW$33,TV8&lt;&gt;""),AND(UR8&gt;=VE$29,UR8&lt;&gt;"",UT8&gt;=VE$33,UT8&lt;&gt;""),AND(UU8&gt;=VE$29,UU8&lt;&gt;"",UW8&gt;=VE$33,UW8&lt;&gt;""),AND(UY8&gt;=VE$29,UY8&lt;&gt;"",VA8&gt;=VE$33,VA8&lt;&gt;""),AND(VB8&gt;=VE$29,VB8&lt;&gt;"",VD8&gt;=VE$33,VD8&lt;&gt;""),AND(VZ8&gt;=WM$29,VZ8&lt;&gt;"",WB8&gt;=WM$33,WB8&lt;&gt;""),AND(WC8&gt;=WM$29,WC8&lt;&gt;"",WE8&gt;=WM$33,WE8&lt;&gt;""),AND(WG8&gt;=WM$29,WG8&lt;&gt;"",WI8&gt;=WM$33,WI8&lt;&gt;""),AND(WJ8&gt;=WM$29,WJ8&lt;&gt;"",WL8&gt;=WM$33,WL8&lt;&gt;"")),"Excellence",IF(I8="P","Worlds Team",IF(F8="P","National Team","")))))</f>
        <v>National Team</v>
      </c>
      <c r="I8" s="3" t="str">
        <f>IF(OR(AND(AI8&gt;=AS$28,AI8&lt;&gt;"",AK8&gt;=AS$32,AK8&lt;&gt;"",AH8=""),AND(AL8&gt;=AS$28,AL8&lt;&gt;"",AN8&gt;=AS$32,AN8&lt;&gt;"",AH8=""),AND(AP8&gt;=AS$28,AP8&lt;&gt;"",AR8&gt;=AS$32,AR8&lt;&gt;"",AH8=""),AND(BJ8&gt;=BT$28,BJ8&lt;&gt;"",BL8&gt;=BT$32,BL8&lt;&gt;"",BI8=""),AND(BM8&gt;=BT$28,BM8&lt;&gt;"",BO8&gt;=BT$32,BO8&lt;&gt;"",BI8=""),AND(BQ8&gt;=BT$28,BQ8&lt;&gt;"",BS8&gt;=BT$32,BS8&lt;&gt;"",BI8=""),AND(CK8&gt;=CU$28,CK8&lt;&gt;"",CM8&gt;=CU$32,CM8&lt;&gt;"",CJ8=""),AND(CN8&gt;=CU$28,CN8&lt;&gt;"",CP8&gt;=CU$32,CP8&lt;&gt;"",CJ8=""),AND(CR8&gt;=CU$28,CR8&lt;&gt;"",CT8&gt;=CU$32,CT8&lt;&gt;"",CJ8=""),AND(DR8&gt;=EE$28,DR8&lt;&gt;"",DT8&gt;=EE$32,DT8&lt;&gt;""),AND(DU8&gt;=EE$28,DU8&lt;&gt;"",DW8&gt;=EE$32,DW8&lt;&gt;""),AND(DY8&gt;=EE$28,DY8&lt;&gt;"",EA8&gt;=EE$32,EA8&lt;&gt;""),AND(EB8&gt;=EE$28,EB8&lt;&gt;"",ED8&gt;=EE$32,ED8&lt;&gt;""),AND(EZ8&gt;=FM$28,EZ8&lt;&gt;"",FB8&gt;=FM$32,FB8&lt;&gt;""),AND(FC8&gt;=FM$28,FC8&lt;&gt;"",FE8&gt;=FM$32,FE8&lt;&gt;""),AND(FG8&gt;=FM$28,FG8&lt;&gt;"",FI8&gt;=FM$32,FI8&lt;&gt;""),AND(FJ8&gt;=FM$28,FJ8&lt;&gt;"",FL8&gt;=FM$32,FL8&lt;&gt;""),AND(GH8&gt;=GU$28,GH8&lt;&gt;"",GJ8&gt;=GU$32,GJ8&lt;&gt;""),AND(GK8&gt;=GU$28,GK8&lt;&gt;"",GM8&gt;=GU$32,GM8&lt;&gt;""),AND(GO8&gt;=GU$28,GO8&lt;&gt;"",GQ8&gt;=GU$32,GQ8&lt;&gt;""),AND(GR8&gt;=GU$28,GR8&lt;&gt;"",GT8&gt;=GU$32,GT8&lt;&gt;""),AND(HP8&gt;=IC$28,HP8&lt;&gt;"",HR8&gt;=IC$32,HR8&lt;&gt;""),AND(HS8&gt;=IC$28,HS8&lt;&gt;"",HU8&gt;=IC$32,HU8&lt;&gt;""),AND(HW8&gt;=IC$28,HW8&lt;&gt;"",HY8&gt;=IC$32,HY8&lt;&gt;""),AND(HZ8&gt;=IC$28,HZ8&lt;&gt;"",IB8&gt;=IC$32,IB8&lt;&gt;""),AND(IX8&gt;=JK$28,IX8&lt;&gt;"",IZ8&gt;=JK$32,IZ8&lt;&gt;""),AND(JA8&gt;=JK$28,JA8&lt;&gt;"",JC8&gt;=JK$32,JC8&lt;&gt;""),AND(JE8&gt;=JK$28,JE8&lt;&gt;"",JG8&gt;=JK$32,JG8&lt;&gt;""),AND(JH8&gt;=JK$28,JH8&lt;&gt;"",JJ8&gt;=JK$32,JJ8&lt;&gt;""),AND(KF8&gt;=KS$28,KF8&lt;&gt;"",KH8&gt;=KS$32,KH8&lt;&gt;""),AND(KI8&gt;=KS$28,KI8&lt;&gt;"",KK8&gt;=KS$32,KK8&lt;&gt;""),AND(KM8&gt;=KS$28,KM8&lt;&gt;"",KO8&gt;=KS$32,KO8&lt;&gt;""),AND(KP8&gt;=KS$28,KP8&lt;&gt;"",KR8&gt;=KS$32,KR8&lt;&gt;""),AND(LN8&gt;=MA$28,LN8&lt;&gt;"",LP8&gt;=MA$32,LP8&lt;&gt;""),AND(LQ8&gt;=MA$28,LQ8&lt;&gt;"",LS8&gt;=MA$32,LS8&lt;&gt;""),AND(LU8&gt;=MA$28,LU8&lt;&gt;"",LW8&gt;=MA$32,LW8&lt;&gt;""),AND(LX8&gt;=MA$28,LX8&lt;&gt;"",LZ8&gt;=MA$32,LZ8&lt;&gt;""),AND(MV8&gt;=NI$28,MV8&lt;&gt;"",MX8&gt;=NI$32,MX8&lt;&gt;""),AND(MY8&gt;=NI$28,MY8&lt;&gt;"",NA8&gt;=NI$32,NA8&lt;&gt;""),AND(NC8&gt;=NI$28,NC8&lt;&gt;"",NE8&gt;=NI$32,NE8&lt;&gt;""),AND(NF8&gt;=NI$28,NF8&lt;&gt;"",NH8&gt;=NI$32,NH8&lt;&gt;""),AND(OD8&gt;=OQ$28,OD8&lt;&gt;"",OF8&gt;=OQ$32,OF8&lt;&gt;""),AND(OG8&gt;=OQ$28,OG8&lt;&gt;"",OI8&gt;=OQ$32,OI8&lt;&gt;""),AND(OK8&gt;=OQ$28,OK8&lt;&gt;"",OM8&gt;=OQ$32,OM8&lt;&gt;""),AND(ON8&gt;=OQ$28,ON8&lt;&gt;"",OP8&gt;=OQ$32,OP8&lt;&gt;""),AND(PL8&gt;=PY$28,PL8&lt;&gt;"",PN8&gt;=PY$32,PN8&lt;&gt;""),AND(PO8&gt;=PY$28,PO8&lt;&gt;"",PQ8&gt;=PY$32,PQ8&lt;&gt;""),AND(PS8&gt;=PY$28,PS8&lt;&gt;"",PU8&gt;=PY$32,PU8&lt;&gt;""),AND(PV8&gt;=PY$28,PV8&lt;&gt;"",PX8&gt;=PY$32,PX8&lt;&gt;""),AND(QT8&gt;=RG$28,QT8&lt;&gt;"",QV8&gt;=RG$32,QV8&lt;&gt;""),AND(QW8&gt;=RG$28,QW8&lt;&gt;"",QY8&gt;=RG$32,QY8&lt;&gt;""),AND(RA8&gt;=RG$28,RA8&lt;&gt;"",RC8&gt;=RG$32,RC8&lt;&gt;""),AND(RD8&gt;=RG$28,RD8&lt;&gt;"",RF8&gt;=RG$32,RF8&lt;&gt;""),AND(SB8&gt;=SO$28,SB8&lt;&gt;"",SD8&gt;=SO$32,SD8&lt;&gt;""),AND(SE8&gt;=SO$28,SE8&lt;&gt;"",SG8&gt;=SO$32,SG8&lt;&gt;""),AND(SI8&gt;=SO$28,SI8&lt;&gt;"",SK8&gt;=SO$32,SK8&lt;&gt;""),AND(SL8&gt;=SO$28,SL8&lt;&gt;"",SN8&gt;=SO$32,SN8&lt;&gt;""),AND(TJ8&gt;=TW$28,TJ8&lt;&gt;"",TL8&gt;=TW$32,TL8&lt;&gt;""),AND(TM8&gt;=TW$28,TM8&lt;&gt;"",TO8&gt;=TW$32,TO8&lt;&gt;""),AND(TQ8&gt;=TW$28,TQ8&lt;&gt;"",TS8&gt;=TW$32,TXQ8&lt;&gt;""),AND(TT8&gt;=TW$28,TT8&lt;&gt;"",TV8&gt;=TW$32,TV8&lt;&gt;""),AND(UR8&gt;=VE$28,UR8&lt;&gt;"",UT8&gt;=VE$32,UT8&lt;&gt;""),AND(UU8&gt;=VE$28,UU8&lt;&gt;"",UW8&gt;=VE$32,UW8&lt;&gt;""),AND(UY8&gt;=VE$28,UY8&lt;&gt;"",VA8&gt;=VE$32,VA8&lt;&gt;""),AND(VB8&gt;=VE$28,VB8&lt;&gt;"",VD8&gt;=VE$32,VD8&lt;&gt;""),AND(VZ8&gt;=WM$28,VZ8&lt;&gt;"",WB8&gt;=WM$32,WB8&lt;&gt;""),AND(WC8&gt;=WM$28,WC8&lt;&gt;"",WE8&gt;=WM$32,WE8&lt;&gt;""),AND(WG8&gt;=WM$28,WG8&lt;&gt;"",WI8&gt;=WM$32,WI8&lt;&gt;""),AND(WJ8&gt;=WM$28,WJ8&lt;&gt;"",WL8&gt;=WM$32,WL8&lt;&gt;"")),"P","")</f>
        <v/>
      </c>
      <c r="J8" s="8">
        <f t="shared" si="1"/>
        <v>55.52</v>
      </c>
      <c r="K8" s="8" t="str">
        <f t="shared" si="2"/>
        <v>2025 3rd Domestic Trial</v>
      </c>
      <c r="L8" s="8">
        <f>IFERROR(IF(J8=AR8,LARGE((AK8,AN8,BL8,BO8,BS8,CM8,CP8,CT8),1),IF(J8=BS8,LARGE((AK8,AN8,AR8,BL8,BO8,CM8,CP8,CT8),1),LARGE((AK8,AN8,AR8,BL8,BO8,BS8,CM8,CP8),1))),0)</f>
        <v>55.94</v>
      </c>
      <c r="M8" s="8" t="str">
        <f t="shared" si="3"/>
        <v>2025 3rd Domestic Trial</v>
      </c>
      <c r="N8" s="8">
        <f>IFERROR(IF(J8=AR8,LARGE((AK8,AN8,BL8,BO8,BS8,CM8,CP8,CT8),2),IF(J8=BS8,LARGE((AK8,AN8,AR8,BL8,BO8,CM8,CP8,CT8),2),LARGE((AK8,AN8,AR8,BL8,BO8,BS8,CM8,CP8),2))),0)</f>
        <v>55.58</v>
      </c>
      <c r="O8" s="8" t="str">
        <f t="shared" si="4"/>
        <v>2025 Nationals</v>
      </c>
      <c r="P8" s="8">
        <f t="shared" si="5"/>
        <v>0</v>
      </c>
      <c r="Q8" s="11" t="str">
        <f t="shared" si="6"/>
        <v/>
      </c>
      <c r="R8" s="8" t="str">
        <f t="shared" si="7"/>
        <v/>
      </c>
      <c r="S8" s="18">
        <v>5.7</v>
      </c>
      <c r="T8" s="18">
        <v>3.7</v>
      </c>
      <c r="U8" s="18">
        <v>6.9</v>
      </c>
      <c r="V8" s="18">
        <v>6.48</v>
      </c>
      <c r="W8" s="18">
        <v>0</v>
      </c>
      <c r="X8" s="18">
        <v>14.7</v>
      </c>
      <c r="Y8" s="18">
        <v>9.3000000000000007</v>
      </c>
      <c r="Z8" s="18">
        <v>15.9</v>
      </c>
      <c r="AA8" s="18">
        <v>15.68</v>
      </c>
      <c r="AB8" s="18">
        <v>0</v>
      </c>
      <c r="AC8" s="18">
        <v>15.3</v>
      </c>
      <c r="AD8" s="18">
        <v>9.1999999999999993</v>
      </c>
      <c r="AE8" s="18">
        <v>14.9</v>
      </c>
      <c r="AF8" s="18">
        <v>15.17</v>
      </c>
      <c r="AG8" s="18">
        <v>0</v>
      </c>
      <c r="AH8" s="23"/>
      <c r="AI8" s="34">
        <f t="shared" si="8"/>
        <v>6.9</v>
      </c>
      <c r="AJ8" s="34">
        <f t="shared" si="9"/>
        <v>6.48</v>
      </c>
      <c r="AK8" s="36">
        <f t="shared" si="10"/>
        <v>22.78</v>
      </c>
      <c r="AL8" s="36">
        <f t="shared" si="11"/>
        <v>15.9</v>
      </c>
      <c r="AM8" s="36">
        <f t="shared" si="12"/>
        <v>15.68</v>
      </c>
      <c r="AN8" s="36">
        <f t="shared" si="13"/>
        <v>55.58</v>
      </c>
      <c r="AO8" s="36">
        <f t="shared" si="14"/>
        <v>55.58</v>
      </c>
      <c r="AP8" s="36">
        <f t="shared" si="15"/>
        <v>14.9</v>
      </c>
      <c r="AQ8" s="36">
        <f t="shared" si="16"/>
        <v>15.17</v>
      </c>
      <c r="AR8" s="36">
        <f t="shared" si="17"/>
        <v>54.57</v>
      </c>
      <c r="AS8" s="36">
        <f t="shared" si="18"/>
        <v>110.15</v>
      </c>
      <c r="AT8" s="22">
        <v>1.7</v>
      </c>
      <c r="AU8" s="22">
        <v>0.8</v>
      </c>
      <c r="AV8" s="22">
        <v>2</v>
      </c>
      <c r="AW8" s="22">
        <v>1.75</v>
      </c>
      <c r="AX8" s="22">
        <v>0.2</v>
      </c>
      <c r="AY8" s="22">
        <v>15.1</v>
      </c>
      <c r="AZ8" s="22">
        <v>9.4</v>
      </c>
      <c r="BA8" s="22">
        <v>15.3</v>
      </c>
      <c r="BB8" s="22">
        <v>16.14</v>
      </c>
      <c r="BC8" s="22">
        <v>0</v>
      </c>
      <c r="BD8" s="22">
        <v>15.2</v>
      </c>
      <c r="BE8" s="22">
        <v>8.6999999999999993</v>
      </c>
      <c r="BF8" s="22">
        <v>15.3</v>
      </c>
      <c r="BG8" s="22">
        <v>16.32</v>
      </c>
      <c r="BH8" s="22">
        <v>0</v>
      </c>
      <c r="BI8" s="24"/>
      <c r="BJ8" s="35">
        <f t="shared" si="19"/>
        <v>2</v>
      </c>
      <c r="BK8" s="35">
        <f t="shared" si="20"/>
        <v>1.75</v>
      </c>
      <c r="BL8" s="11">
        <f t="shared" si="21"/>
        <v>6.05</v>
      </c>
      <c r="BM8" s="11">
        <f t="shared" si="22"/>
        <v>15.3</v>
      </c>
      <c r="BN8" s="11">
        <f t="shared" si="23"/>
        <v>16.14</v>
      </c>
      <c r="BO8" s="11">
        <f t="shared" si="24"/>
        <v>55.94</v>
      </c>
      <c r="BP8" s="11">
        <f t="shared" si="25"/>
        <v>55.94</v>
      </c>
      <c r="BQ8" s="11">
        <f t="shared" si="26"/>
        <v>15.3</v>
      </c>
      <c r="BR8" s="11">
        <f t="shared" si="27"/>
        <v>16.32</v>
      </c>
      <c r="BS8" s="11">
        <f t="shared" si="28"/>
        <v>55.52</v>
      </c>
      <c r="BT8" s="11">
        <f t="shared" si="29"/>
        <v>111.46000000000001</v>
      </c>
      <c r="BU8" s="18">
        <v>6.3</v>
      </c>
      <c r="BV8" s="18">
        <v>3.6</v>
      </c>
      <c r="BW8" s="18">
        <v>6.9</v>
      </c>
      <c r="BX8" s="18">
        <v>6.74</v>
      </c>
      <c r="BY8" s="18">
        <v>0</v>
      </c>
      <c r="BZ8" s="18">
        <v>8.9</v>
      </c>
      <c r="CA8" s="18">
        <v>5.6</v>
      </c>
      <c r="CB8" s="18">
        <v>9.1</v>
      </c>
      <c r="CC8" s="18">
        <v>9.5299999999999994</v>
      </c>
      <c r="CD8" s="18">
        <v>0</v>
      </c>
      <c r="CE8" s="18"/>
      <c r="CF8" s="18"/>
      <c r="CG8" s="18"/>
      <c r="CH8" s="18"/>
      <c r="CI8" s="18"/>
      <c r="CJ8" s="23"/>
      <c r="CK8" s="34">
        <f t="shared" si="30"/>
        <v>6.9</v>
      </c>
      <c r="CL8" s="34">
        <f t="shared" si="31"/>
        <v>6.74</v>
      </c>
      <c r="CM8" s="36">
        <f t="shared" si="32"/>
        <v>23.54</v>
      </c>
      <c r="CN8" s="36">
        <f t="shared" si="33"/>
        <v>9.1</v>
      </c>
      <c r="CO8" s="36">
        <f t="shared" si="34"/>
        <v>9.5299999999999994</v>
      </c>
      <c r="CP8" s="36">
        <f t="shared" si="35"/>
        <v>33.130000000000003</v>
      </c>
      <c r="CQ8" s="36">
        <f t="shared" si="36"/>
        <v>33.130000000000003</v>
      </c>
      <c r="CR8" s="36" t="str">
        <f t="shared" si="37"/>
        <v/>
      </c>
      <c r="CS8" s="36" t="str">
        <f t="shared" si="38"/>
        <v/>
      </c>
      <c r="CT8" s="36" t="str">
        <f t="shared" si="39"/>
        <v/>
      </c>
      <c r="CU8" s="36">
        <f t="shared" si="40"/>
        <v>33.130000000000003</v>
      </c>
      <c r="CV8" s="47" t="str">
        <f t="shared" si="41"/>
        <v/>
      </c>
      <c r="CW8" s="47" t="str">
        <f t="shared" si="42"/>
        <v/>
      </c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36" t="str">
        <f t="shared" si="43"/>
        <v/>
      </c>
      <c r="DS8" s="36" t="str">
        <f t="shared" si="44"/>
        <v/>
      </c>
      <c r="DT8" s="36" t="str">
        <f t="shared" si="45"/>
        <v/>
      </c>
      <c r="DU8" s="36" t="str">
        <f t="shared" si="46"/>
        <v/>
      </c>
      <c r="DV8" s="36" t="str">
        <f t="shared" si="47"/>
        <v/>
      </c>
      <c r="DW8" s="36" t="str">
        <f t="shared" si="48"/>
        <v/>
      </c>
      <c r="DX8" s="36" t="str">
        <f t="shared" si="49"/>
        <v/>
      </c>
      <c r="DY8" s="36" t="str">
        <f t="shared" si="50"/>
        <v/>
      </c>
      <c r="DZ8" s="36" t="str">
        <f t="shared" si="51"/>
        <v/>
      </c>
      <c r="EA8" s="36" t="str">
        <f t="shared" si="52"/>
        <v/>
      </c>
      <c r="EB8" s="36" t="str">
        <f t="shared" si="53"/>
        <v/>
      </c>
      <c r="EC8" s="36" t="str">
        <f t="shared" si="54"/>
        <v/>
      </c>
      <c r="ED8" s="36" t="str">
        <f t="shared" si="55"/>
        <v/>
      </c>
      <c r="EE8" s="36" t="str">
        <f t="shared" si="56"/>
        <v/>
      </c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1" t="str">
        <f t="shared" si="57"/>
        <v/>
      </c>
      <c r="FA8" s="11" t="str">
        <f t="shared" si="58"/>
        <v/>
      </c>
      <c r="FB8" s="11" t="str">
        <f t="shared" si="59"/>
        <v/>
      </c>
      <c r="FC8" s="11" t="str">
        <f t="shared" si="60"/>
        <v/>
      </c>
      <c r="FD8" s="11" t="str">
        <f t="shared" si="61"/>
        <v/>
      </c>
      <c r="FE8" s="11" t="str">
        <f t="shared" si="62"/>
        <v/>
      </c>
      <c r="FF8" s="11" t="str">
        <f t="shared" si="63"/>
        <v/>
      </c>
      <c r="FG8" s="11" t="str">
        <f t="shared" si="64"/>
        <v/>
      </c>
      <c r="FH8" s="11" t="str">
        <f t="shared" si="65"/>
        <v/>
      </c>
      <c r="FI8" s="11" t="str">
        <f t="shared" si="66"/>
        <v/>
      </c>
      <c r="FJ8" s="11" t="str">
        <f t="shared" si="67"/>
        <v/>
      </c>
      <c r="FK8" s="11" t="str">
        <f t="shared" si="68"/>
        <v/>
      </c>
      <c r="FL8" s="11" t="str">
        <f t="shared" si="69"/>
        <v/>
      </c>
      <c r="FM8" s="11" t="str">
        <f t="shared" si="70"/>
        <v/>
      </c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36" t="str">
        <f t="shared" si="71"/>
        <v/>
      </c>
      <c r="GI8" s="36" t="str">
        <f t="shared" si="72"/>
        <v/>
      </c>
      <c r="GJ8" s="36" t="str">
        <f t="shared" si="73"/>
        <v/>
      </c>
      <c r="GK8" s="36" t="str">
        <f t="shared" si="74"/>
        <v/>
      </c>
      <c r="GL8" s="36" t="str">
        <f t="shared" si="75"/>
        <v/>
      </c>
      <c r="GM8" s="36" t="str">
        <f t="shared" si="76"/>
        <v/>
      </c>
      <c r="GN8" s="36" t="str">
        <f t="shared" si="77"/>
        <v/>
      </c>
      <c r="GO8" s="36" t="str">
        <f t="shared" si="78"/>
        <v/>
      </c>
      <c r="GP8" s="36" t="str">
        <f t="shared" si="79"/>
        <v/>
      </c>
      <c r="GQ8" s="36" t="str">
        <f t="shared" si="80"/>
        <v/>
      </c>
      <c r="GR8" s="36" t="str">
        <f t="shared" si="81"/>
        <v/>
      </c>
      <c r="GS8" s="36" t="str">
        <f t="shared" si="82"/>
        <v/>
      </c>
      <c r="GT8" s="36" t="str">
        <f t="shared" si="83"/>
        <v/>
      </c>
      <c r="GU8" s="36" t="str">
        <f t="shared" si="84"/>
        <v/>
      </c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1" t="str">
        <f t="shared" si="85"/>
        <v/>
      </c>
      <c r="HQ8" s="11" t="str">
        <f t="shared" si="86"/>
        <v/>
      </c>
      <c r="HR8" s="11" t="str">
        <f t="shared" si="87"/>
        <v/>
      </c>
      <c r="HS8" s="11" t="str">
        <f t="shared" si="88"/>
        <v/>
      </c>
      <c r="HT8" s="11" t="str">
        <f t="shared" si="89"/>
        <v/>
      </c>
      <c r="HU8" s="11" t="str">
        <f t="shared" si="90"/>
        <v/>
      </c>
      <c r="HV8" s="11" t="str">
        <f t="shared" si="91"/>
        <v/>
      </c>
      <c r="HW8" s="11" t="str">
        <f t="shared" si="92"/>
        <v/>
      </c>
      <c r="HX8" s="11" t="str">
        <f t="shared" si="93"/>
        <v/>
      </c>
      <c r="HY8" s="11" t="str">
        <f t="shared" si="94"/>
        <v/>
      </c>
      <c r="HZ8" s="11" t="str">
        <f t="shared" si="95"/>
        <v/>
      </c>
      <c r="IA8" s="11" t="str">
        <f t="shared" si="96"/>
        <v/>
      </c>
      <c r="IB8" s="11" t="str">
        <f t="shared" si="97"/>
        <v/>
      </c>
      <c r="IC8" s="11" t="str">
        <f t="shared" si="98"/>
        <v/>
      </c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36" t="str">
        <f t="shared" si="99"/>
        <v/>
      </c>
      <c r="IY8" s="36" t="str">
        <f t="shared" si="100"/>
        <v/>
      </c>
      <c r="IZ8" s="36" t="str">
        <f t="shared" si="101"/>
        <v/>
      </c>
      <c r="JA8" s="36" t="str">
        <f t="shared" si="102"/>
        <v/>
      </c>
      <c r="JB8" s="36" t="str">
        <f t="shared" si="103"/>
        <v/>
      </c>
      <c r="JC8" s="36" t="str">
        <f t="shared" si="104"/>
        <v/>
      </c>
      <c r="JD8" s="36" t="str">
        <f t="shared" si="105"/>
        <v/>
      </c>
      <c r="JE8" s="36" t="str">
        <f t="shared" si="106"/>
        <v/>
      </c>
      <c r="JF8" s="36" t="str">
        <f t="shared" si="107"/>
        <v/>
      </c>
      <c r="JG8" s="36" t="str">
        <f t="shared" si="108"/>
        <v/>
      </c>
      <c r="JH8" s="36" t="str">
        <f t="shared" si="109"/>
        <v/>
      </c>
      <c r="JI8" s="36" t="str">
        <f t="shared" si="110"/>
        <v/>
      </c>
      <c r="JJ8" s="36" t="str">
        <f t="shared" si="111"/>
        <v/>
      </c>
      <c r="JK8" s="36" t="str">
        <f t="shared" si="112"/>
        <v/>
      </c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1" t="str">
        <f t="shared" si="113"/>
        <v/>
      </c>
      <c r="KG8" s="11" t="str">
        <f t="shared" si="114"/>
        <v/>
      </c>
      <c r="KH8" s="11" t="str">
        <f t="shared" si="115"/>
        <v/>
      </c>
      <c r="KI8" s="11" t="str">
        <f t="shared" si="116"/>
        <v/>
      </c>
      <c r="KJ8" s="11" t="str">
        <f t="shared" si="117"/>
        <v/>
      </c>
      <c r="KK8" s="11" t="str">
        <f t="shared" si="118"/>
        <v/>
      </c>
      <c r="KL8" s="11" t="str">
        <f t="shared" si="119"/>
        <v/>
      </c>
      <c r="KM8" s="11" t="str">
        <f t="shared" si="120"/>
        <v/>
      </c>
      <c r="KN8" s="11" t="str">
        <f t="shared" si="121"/>
        <v/>
      </c>
      <c r="KO8" s="11" t="str">
        <f t="shared" si="122"/>
        <v/>
      </c>
      <c r="KP8" s="11" t="str">
        <f t="shared" si="123"/>
        <v/>
      </c>
      <c r="KQ8" s="11" t="str">
        <f t="shared" si="124"/>
        <v/>
      </c>
      <c r="KR8" s="11" t="str">
        <f t="shared" si="125"/>
        <v/>
      </c>
      <c r="KS8" s="11" t="str">
        <f t="shared" si="126"/>
        <v/>
      </c>
      <c r="KT8" s="15">
        <v>14.7</v>
      </c>
      <c r="KU8" s="15">
        <v>8.9</v>
      </c>
      <c r="KV8" s="15">
        <v>15.3</v>
      </c>
      <c r="KW8" s="15">
        <v>15.96</v>
      </c>
      <c r="KX8" s="15">
        <v>0</v>
      </c>
      <c r="KY8" s="15">
        <v>9.3000000000000007</v>
      </c>
      <c r="KZ8" s="15">
        <v>6.5</v>
      </c>
      <c r="LA8" s="15">
        <v>9.8000000000000007</v>
      </c>
      <c r="LB8" s="15">
        <v>11.14</v>
      </c>
      <c r="LC8" s="15">
        <v>0</v>
      </c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36">
        <f t="shared" si="127"/>
        <v>15.3</v>
      </c>
      <c r="LO8" s="36">
        <f t="shared" si="128"/>
        <v>15.96</v>
      </c>
      <c r="LP8" s="36">
        <f t="shared" si="129"/>
        <v>54.860000000000007</v>
      </c>
      <c r="LQ8" s="36">
        <f t="shared" si="130"/>
        <v>9.8000000000000007</v>
      </c>
      <c r="LR8" s="36">
        <f t="shared" si="131"/>
        <v>11.14</v>
      </c>
      <c r="LS8" s="36">
        <f t="shared" si="132"/>
        <v>36.74</v>
      </c>
      <c r="LT8" s="36">
        <f t="shared" si="133"/>
        <v>54.860000000000007</v>
      </c>
      <c r="LU8" s="36" t="str">
        <f t="shared" si="134"/>
        <v/>
      </c>
      <c r="LV8" s="36" t="str">
        <f t="shared" si="135"/>
        <v/>
      </c>
      <c r="LW8" s="36" t="str">
        <f t="shared" si="136"/>
        <v/>
      </c>
      <c r="LX8" s="36" t="str">
        <f t="shared" si="137"/>
        <v/>
      </c>
      <c r="LY8" s="36" t="str">
        <f t="shared" si="138"/>
        <v/>
      </c>
      <c r="LZ8" s="36" t="str">
        <f t="shared" si="139"/>
        <v/>
      </c>
      <c r="MA8" s="36">
        <f t="shared" si="140"/>
        <v>54.860000000000007</v>
      </c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16"/>
      <c r="MP8" s="16"/>
      <c r="MQ8" s="16"/>
      <c r="MR8" s="16"/>
      <c r="MS8" s="16"/>
      <c r="MT8" s="16"/>
      <c r="MU8" s="16"/>
      <c r="MV8" s="11" t="str">
        <f t="shared" si="141"/>
        <v/>
      </c>
      <c r="MW8" s="11" t="str">
        <f t="shared" si="142"/>
        <v/>
      </c>
      <c r="MX8" s="11" t="str">
        <f t="shared" si="143"/>
        <v/>
      </c>
      <c r="MY8" s="11" t="str">
        <f t="shared" si="144"/>
        <v/>
      </c>
      <c r="MZ8" s="11" t="str">
        <f t="shared" si="145"/>
        <v/>
      </c>
      <c r="NA8" s="11" t="str">
        <f t="shared" si="146"/>
        <v/>
      </c>
      <c r="NB8" s="11" t="str">
        <f t="shared" si="147"/>
        <v/>
      </c>
      <c r="NC8" s="11" t="str">
        <f t="shared" si="148"/>
        <v/>
      </c>
      <c r="ND8" s="11" t="str">
        <f t="shared" si="149"/>
        <v/>
      </c>
      <c r="NE8" s="11" t="str">
        <f t="shared" si="150"/>
        <v/>
      </c>
      <c r="NF8" s="11" t="str">
        <f t="shared" si="151"/>
        <v/>
      </c>
      <c r="NG8" s="11" t="str">
        <f t="shared" si="152"/>
        <v/>
      </c>
      <c r="NH8" s="11" t="str">
        <f t="shared" si="153"/>
        <v/>
      </c>
      <c r="NI8" s="11" t="str">
        <f t="shared" si="154"/>
        <v/>
      </c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36" t="str">
        <f t="shared" si="155"/>
        <v/>
      </c>
      <c r="OE8" s="36" t="str">
        <f t="shared" si="156"/>
        <v/>
      </c>
      <c r="OF8" s="36" t="str">
        <f t="shared" si="157"/>
        <v/>
      </c>
      <c r="OG8" s="36" t="str">
        <f t="shared" si="158"/>
        <v/>
      </c>
      <c r="OH8" s="36" t="str">
        <f t="shared" si="159"/>
        <v/>
      </c>
      <c r="OI8" s="36" t="str">
        <f t="shared" si="160"/>
        <v/>
      </c>
      <c r="OJ8" s="36" t="str">
        <f t="shared" si="161"/>
        <v/>
      </c>
      <c r="OK8" s="36" t="str">
        <f t="shared" si="162"/>
        <v/>
      </c>
      <c r="OL8" s="36" t="str">
        <f t="shared" si="163"/>
        <v/>
      </c>
      <c r="OM8" s="36" t="str">
        <f t="shared" si="164"/>
        <v/>
      </c>
      <c r="ON8" s="36" t="str">
        <f t="shared" si="165"/>
        <v/>
      </c>
      <c r="OO8" s="36" t="str">
        <f t="shared" si="166"/>
        <v/>
      </c>
      <c r="OP8" s="36" t="str">
        <f t="shared" si="167"/>
        <v/>
      </c>
      <c r="OQ8" s="36" t="str">
        <f t="shared" si="168"/>
        <v/>
      </c>
      <c r="OR8" s="16"/>
      <c r="OS8" s="16"/>
      <c r="OT8" s="16"/>
      <c r="OU8" s="16"/>
      <c r="OV8" s="16"/>
      <c r="OW8" s="16"/>
      <c r="OX8" s="16"/>
      <c r="OY8" s="16"/>
      <c r="OZ8" s="16"/>
      <c r="PA8" s="16"/>
      <c r="PB8" s="16"/>
      <c r="PC8" s="16"/>
      <c r="PD8" s="16"/>
      <c r="PE8" s="16"/>
      <c r="PF8" s="16"/>
      <c r="PG8" s="16"/>
      <c r="PH8" s="16"/>
      <c r="PI8" s="16"/>
      <c r="PJ8" s="16"/>
      <c r="PK8" s="16"/>
      <c r="PL8" s="11" t="str">
        <f t="shared" si="169"/>
        <v/>
      </c>
      <c r="PM8" s="11" t="str">
        <f t="shared" si="170"/>
        <v/>
      </c>
      <c r="PN8" s="11" t="str">
        <f t="shared" si="171"/>
        <v/>
      </c>
      <c r="PO8" s="11" t="str">
        <f t="shared" si="172"/>
        <v/>
      </c>
      <c r="PP8" s="11" t="str">
        <f t="shared" si="173"/>
        <v/>
      </c>
      <c r="PQ8" s="11" t="str">
        <f t="shared" si="174"/>
        <v/>
      </c>
      <c r="PR8" s="11" t="str">
        <f t="shared" si="175"/>
        <v/>
      </c>
      <c r="PS8" s="11" t="str">
        <f t="shared" si="176"/>
        <v/>
      </c>
      <c r="PT8" s="11" t="str">
        <f t="shared" si="177"/>
        <v/>
      </c>
      <c r="PU8" s="11" t="str">
        <f t="shared" si="178"/>
        <v/>
      </c>
      <c r="PV8" s="11" t="str">
        <f t="shared" si="179"/>
        <v/>
      </c>
      <c r="PW8" s="11" t="str">
        <f t="shared" si="180"/>
        <v/>
      </c>
      <c r="PX8" s="11" t="str">
        <f t="shared" si="181"/>
        <v/>
      </c>
      <c r="PY8" s="11" t="str">
        <f t="shared" si="182"/>
        <v/>
      </c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36" t="str">
        <f t="shared" si="183"/>
        <v/>
      </c>
      <c r="QU8" s="36" t="str">
        <f t="shared" si="184"/>
        <v/>
      </c>
      <c r="QV8" s="36" t="str">
        <f t="shared" si="185"/>
        <v/>
      </c>
      <c r="QW8" s="36" t="str">
        <f t="shared" si="186"/>
        <v/>
      </c>
      <c r="QX8" s="36" t="str">
        <f t="shared" si="187"/>
        <v/>
      </c>
      <c r="QY8" s="36" t="str">
        <f t="shared" si="188"/>
        <v/>
      </c>
      <c r="QZ8" s="36" t="str">
        <f t="shared" si="189"/>
        <v/>
      </c>
      <c r="RA8" s="36" t="str">
        <f t="shared" si="190"/>
        <v/>
      </c>
      <c r="RB8" s="36" t="str">
        <f t="shared" si="191"/>
        <v/>
      </c>
      <c r="RC8" s="36" t="str">
        <f t="shared" si="192"/>
        <v/>
      </c>
      <c r="RD8" s="36" t="str">
        <f t="shared" si="193"/>
        <v/>
      </c>
      <c r="RE8" s="36" t="str">
        <f t="shared" si="194"/>
        <v/>
      </c>
      <c r="RF8" s="36" t="str">
        <f t="shared" si="195"/>
        <v/>
      </c>
      <c r="RG8" s="36" t="str">
        <f t="shared" si="196"/>
        <v/>
      </c>
      <c r="RH8" s="16"/>
      <c r="RI8" s="16"/>
      <c r="RJ8" s="16"/>
      <c r="RK8" s="16"/>
      <c r="RL8" s="16"/>
      <c r="RM8" s="16"/>
      <c r="RN8" s="16"/>
      <c r="RO8" s="16"/>
      <c r="RP8" s="16"/>
      <c r="RQ8" s="16"/>
      <c r="RR8" s="16"/>
      <c r="RS8" s="16"/>
      <c r="RT8" s="16"/>
      <c r="RU8" s="16"/>
      <c r="RV8" s="16"/>
      <c r="RW8" s="16"/>
      <c r="RX8" s="16"/>
      <c r="RY8" s="16"/>
      <c r="RZ8" s="16"/>
      <c r="SA8" s="16"/>
      <c r="SB8" s="11" t="str">
        <f t="shared" si="197"/>
        <v/>
      </c>
      <c r="SC8" s="11" t="str">
        <f t="shared" si="198"/>
        <v/>
      </c>
      <c r="SD8" s="11" t="str">
        <f t="shared" si="199"/>
        <v/>
      </c>
      <c r="SE8" s="11" t="str">
        <f t="shared" si="200"/>
        <v/>
      </c>
      <c r="SF8" s="11" t="str">
        <f t="shared" si="201"/>
        <v/>
      </c>
      <c r="SG8" s="11" t="str">
        <f t="shared" si="202"/>
        <v/>
      </c>
      <c r="SH8" s="11" t="str">
        <f t="shared" si="203"/>
        <v/>
      </c>
      <c r="SI8" s="11" t="str">
        <f t="shared" si="204"/>
        <v/>
      </c>
      <c r="SJ8" s="11" t="str">
        <f t="shared" si="205"/>
        <v/>
      </c>
      <c r="SK8" s="11" t="str">
        <f t="shared" si="206"/>
        <v/>
      </c>
      <c r="SL8" s="11" t="str">
        <f t="shared" si="207"/>
        <v/>
      </c>
      <c r="SM8" s="11" t="str">
        <f t="shared" si="208"/>
        <v/>
      </c>
      <c r="SN8" s="11" t="str">
        <f t="shared" si="209"/>
        <v/>
      </c>
      <c r="SO8" s="11" t="str">
        <f t="shared" si="210"/>
        <v/>
      </c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36" t="str">
        <f t="shared" si="211"/>
        <v/>
      </c>
      <c r="TK8" s="36" t="str">
        <f t="shared" si="212"/>
        <v/>
      </c>
      <c r="TL8" s="36" t="str">
        <f t="shared" si="213"/>
        <v/>
      </c>
      <c r="TM8" s="36" t="str">
        <f t="shared" si="214"/>
        <v/>
      </c>
      <c r="TN8" s="36" t="str">
        <f t="shared" si="215"/>
        <v/>
      </c>
      <c r="TO8" s="36" t="str">
        <f t="shared" si="216"/>
        <v/>
      </c>
      <c r="TP8" s="36" t="str">
        <f t="shared" si="217"/>
        <v/>
      </c>
      <c r="TQ8" s="36" t="str">
        <f t="shared" si="218"/>
        <v/>
      </c>
      <c r="TR8" s="36" t="str">
        <f t="shared" si="219"/>
        <v/>
      </c>
      <c r="TS8" s="36" t="str">
        <f t="shared" si="220"/>
        <v/>
      </c>
      <c r="TT8" s="36" t="str">
        <f t="shared" si="221"/>
        <v/>
      </c>
      <c r="TU8" s="36" t="str">
        <f t="shared" si="222"/>
        <v/>
      </c>
      <c r="TV8" s="36" t="str">
        <f t="shared" si="223"/>
        <v/>
      </c>
      <c r="TW8" s="36" t="str">
        <f t="shared" si="224"/>
        <v/>
      </c>
      <c r="TX8" s="16"/>
      <c r="TY8" s="16"/>
      <c r="TZ8" s="16"/>
      <c r="UA8" s="16"/>
      <c r="UB8" s="16"/>
      <c r="UC8" s="16"/>
      <c r="UD8" s="16"/>
      <c r="UE8" s="16"/>
      <c r="UF8" s="16"/>
      <c r="UG8" s="16"/>
      <c r="UH8" s="16"/>
      <c r="UI8" s="16"/>
      <c r="UJ8" s="16"/>
      <c r="UK8" s="16"/>
      <c r="UL8" s="16"/>
      <c r="UM8" s="16"/>
      <c r="UN8" s="16"/>
      <c r="UO8" s="16"/>
      <c r="UP8" s="16"/>
      <c r="UQ8" s="16"/>
      <c r="UR8" s="11" t="str">
        <f t="shared" si="225"/>
        <v/>
      </c>
      <c r="US8" s="11" t="str">
        <f t="shared" si="226"/>
        <v/>
      </c>
      <c r="UT8" s="11" t="str">
        <f t="shared" si="227"/>
        <v/>
      </c>
      <c r="UU8" s="11" t="str">
        <f t="shared" si="228"/>
        <v/>
      </c>
      <c r="UV8" s="11" t="str">
        <f t="shared" si="229"/>
        <v/>
      </c>
      <c r="UW8" s="11" t="str">
        <f t="shared" si="230"/>
        <v/>
      </c>
      <c r="UX8" s="11" t="str">
        <f t="shared" si="231"/>
        <v/>
      </c>
      <c r="UY8" s="11" t="str">
        <f t="shared" si="232"/>
        <v/>
      </c>
      <c r="UZ8" s="11" t="str">
        <f t="shared" si="233"/>
        <v/>
      </c>
      <c r="VA8" s="11" t="str">
        <f t="shared" si="234"/>
        <v/>
      </c>
      <c r="VB8" s="11" t="str">
        <f t="shared" si="235"/>
        <v/>
      </c>
      <c r="VC8" s="11" t="str">
        <f t="shared" si="236"/>
        <v/>
      </c>
      <c r="VD8" s="11" t="str">
        <f t="shared" si="237"/>
        <v/>
      </c>
      <c r="VE8" s="11" t="str">
        <f t="shared" si="238"/>
        <v/>
      </c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36" t="str">
        <f t="shared" si="239"/>
        <v/>
      </c>
      <c r="WA8" s="36" t="str">
        <f t="shared" si="240"/>
        <v/>
      </c>
      <c r="WB8" s="36" t="str">
        <f t="shared" si="241"/>
        <v/>
      </c>
      <c r="WC8" s="36" t="str">
        <f t="shared" si="242"/>
        <v/>
      </c>
      <c r="WD8" s="36" t="str">
        <f t="shared" si="243"/>
        <v/>
      </c>
      <c r="WE8" s="36" t="str">
        <f t="shared" si="244"/>
        <v/>
      </c>
      <c r="WF8" s="36" t="str">
        <f t="shared" si="245"/>
        <v/>
      </c>
      <c r="WG8" s="36" t="str">
        <f t="shared" si="246"/>
        <v/>
      </c>
      <c r="WH8" s="36" t="str">
        <f t="shared" si="247"/>
        <v/>
      </c>
      <c r="WI8" s="36" t="str">
        <f t="shared" si="248"/>
        <v/>
      </c>
      <c r="WJ8" s="36" t="str">
        <f t="shared" si="249"/>
        <v/>
      </c>
      <c r="WK8" s="36" t="str">
        <f t="shared" si="250"/>
        <v/>
      </c>
      <c r="WL8" s="36" t="str">
        <f t="shared" si="251"/>
        <v/>
      </c>
      <c r="WM8" s="36" t="str">
        <f t="shared" si="252"/>
        <v/>
      </c>
    </row>
    <row r="9" spans="1:611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95</v>
      </c>
      <c r="C9" s="4" t="s">
        <v>5</v>
      </c>
      <c r="D9" s="4">
        <v>2007</v>
      </c>
      <c r="E9" s="9">
        <f t="shared" si="0"/>
        <v>172.41001724100587</v>
      </c>
      <c r="F9" s="3" t="str">
        <f>IF(OR(AND(AI9&gt;=AS$27,AI9&lt;&gt;"",AK9&gt;=AS$31,AK9&lt;&gt;"",AH9=""),AND(AL9&gt;=AS$27,AL9&lt;&gt;"",AN9&gt;=AS$31,AN9&lt;&gt;"",AH9=""),AND(AP9&gt;=AS$27,AP9&lt;&gt;"",AR9&gt;=AS$31,AR9&lt;&gt;"",AH9=""),AND(BJ9&gt;=BT$27,BJ9&lt;&gt;"",BL9&gt;=BT$31,BL9&lt;&gt;"",BI9=""),AND(BM9&gt;=BT$27,BM9&lt;&gt;"",BO9&gt;=BT$31,BO9&lt;&gt;"",BI9=""),AND(BQ9&gt;=BT$27,BQ9&lt;&gt;"",BS9&gt;=BT$31,BS9&lt;&gt;"",BI9=""),AND(CK9&gt;=CU$27,CK9&lt;&gt;"",CM9&gt;=CU$31,CM9&lt;&gt;"",CJ9=""),AND(CN9&gt;=CU$27,CN9&lt;&gt;"",CP9&gt;=CU$31,CP9&lt;&gt;"",CJ9=""),AND(CR9&gt;=CU$27,CR9&lt;&gt;"",CT9&gt;=CU$31,CT9&lt;&gt;"",CJ9=""),AND(DR9&gt;=EE$27,DR9&lt;&gt;"",DT9&gt;=EE$31,DT9&lt;&gt;""),AND(DU9&gt;=EE$27,DU9&lt;&gt;"",DW9&gt;=EE$31,DW9&lt;&gt;""),AND(DY9&gt;=EE$27,DY9&lt;&gt;"",EA9&gt;=EE$31,EA9&lt;&gt;""),AND(EB9&gt;=EE$27,EB9&lt;&gt;"",ED9&gt;=EE$31,ED9&lt;&gt;""),AND(EZ9&gt;=FM$27,EZ9&lt;&gt;"",FB9&gt;=FM$31,FB9&lt;&gt;""),AND(FC9&gt;=FM$27,FC9&lt;&gt;"",FE9&gt;=FM$31,FE9&lt;&gt;""),AND(FG9&gt;=FM$27,FG9&lt;&gt;"",FI9&gt;=FM$31,FI9&lt;&gt;""),AND(FJ9&gt;=FM$27,FJ9&lt;&gt;"",FL9&gt;=FM$31,FL9&lt;&gt;""),AND(GH9&gt;=GU$27,GH9&lt;&gt;"",GJ9&gt;=GU$31,GJ9&lt;&gt;""),AND(GK9&gt;=GU$27,GK9&lt;&gt;"",GM9&gt;=GU$31,GM9&lt;&gt;""),AND(GO9&gt;=GU$27,GO9&lt;&gt;"",GQ9&gt;=GU$31,GQ9&lt;&gt;""),AND(GR9&gt;=GU$27,GR9&lt;&gt;"",GT9&gt;=GU$31,GT9&lt;&gt;""),AND(HP9&gt;=IC$27,HP9&lt;&gt;"",HR9&gt;=IC$31,HR9&lt;&gt;""),AND(HS9&gt;=IC$27,HS9&lt;&gt;"",HU9&gt;=IC$31,HU9&lt;&gt;""),AND(HW9&gt;=IC$27,HW9&lt;&gt;"",HY9&gt;=IC$31,HY9&lt;&gt;""),AND(HZ9&gt;=IC$27,HZ9&lt;&gt;"",IB9&gt;=IC$31,IB9&lt;&gt;""),AND(IX9&gt;=JK$27,IX9&lt;&gt;"",IZ9&gt;=JK$31,IZ9&lt;&gt;""),AND(JA9&gt;=JK$27,JA9&lt;&gt;"",JC9&gt;=JK$31,JC9&lt;&gt;""),AND(JE9&gt;=JK$27,JE9&lt;&gt;"",JG9&gt;=JK$31,JG9&lt;&gt;""),AND(JH9&gt;=JK$27,JH9&lt;&gt;"",JJ9&gt;=JK$31,JJ9&lt;&gt;""),AND(KF9&gt;=KS$27,KF9&lt;&gt;"",KH9&gt;=KS$31,KH9&lt;&gt;""),AND(KI9&gt;=KS$27,KI9&lt;&gt;"",KK9&gt;=KS$31,KK9&lt;&gt;""),AND(KM9&gt;=KS$27,KM9&lt;&gt;"",KO9&gt;=KS$31,KO9&lt;&gt;""),AND(KP9&gt;=KS$27,KP9&lt;&gt;"",KR9&gt;=KS$31,KR9&lt;&gt;""),AND(LN9&gt;=MA$27,LN9&lt;&gt;"",LP9&gt;=MA$31,LP9&lt;&gt;""),AND(LQ9&gt;=MA$27,LQ9&lt;&gt;"",LS9&gt;=MA$31,LS9&lt;&gt;""),AND(LU9&gt;=MA$27,LU9&lt;&gt;"",LW9&gt;=MA$31,LW9&lt;&gt;""),AND(LX9&gt;=MA$27,LX9&lt;&gt;"",LZ9&gt;=MA$31,LZ9&lt;&gt;""),AND(MV9&gt;=NI$27,MV9&lt;&gt;"",MX9&gt;=NI$31,MX9&lt;&gt;""),AND(MY9&gt;=NI$27,MY9&lt;&gt;"",NA9&gt;=NI$31,NA9&lt;&gt;""),AND(NC9&gt;=NI$27,NC9&lt;&gt;"",NE9&gt;=NI$31,NE9&lt;&gt;""),AND(NF9&gt;=NI$27,NF9&lt;&gt;"",NH9&gt;=NI$31,NH9&lt;&gt;""),AND(OD9&gt;=OQ$27,OD9&lt;&gt;"",OF9&gt;=OQ$31,OF9&lt;&gt;""),AND(OG9&gt;=OQ$27,OG9&lt;&gt;"",OI9&gt;=OQ$31,OI9&lt;&gt;""),AND(OK9&gt;=OQ$27,OK9&lt;&gt;"",OM9&gt;=OQ$31,OM9&lt;&gt;""),AND(ON9&gt;=OQ$27,ON9&lt;&gt;"",OP9&gt;=OQ$31,OP9&lt;&gt;""),AND(PL9&gt;=PY$27,PL9&lt;&gt;"",PN9&gt;=PY$31,PN9&lt;&gt;""),AND(PO9&gt;=PY$27,PO9&lt;&gt;"",PQ9&gt;=PY$31,PQ9&lt;&gt;""),AND(PS9&gt;=PY$27,PS9&lt;&gt;"",PU9&gt;=PY$31,PU9&lt;&gt;""),AND(PV9&gt;=PY$27,PV9&lt;&gt;"",PX9&gt;=PY$31,PX9&lt;&gt;""),AND(QT9&gt;=RG$27,QT9&lt;&gt;"",QV9&gt;=RG$31,QV9&lt;&gt;""),AND(QW9&gt;=RG$27,QW9&lt;&gt;"",QY9&gt;=RG$31,QY9&lt;&gt;""),AND(RA9&gt;=RG$27,RA9&lt;&gt;"",RC9&gt;=RG$31,RC9&lt;&gt;""),AND(RD9&gt;=RG$27,RD9&lt;&gt;"",RF9&gt;=RG$31,RF9&lt;&gt;""),AND(SB9&gt;=SO$27,SB9&lt;&gt;"",SD9&gt;=SO$31,SD9&lt;&gt;""),AND(SE9&gt;=SO$27,SE9&lt;&gt;"",SG9&gt;=SO$31,SG9&lt;&gt;""),AND(SI9&gt;=SO$27,SI9&lt;&gt;"",SK9&gt;=SO$31,SK9&lt;&gt;""),AND(SL9&gt;=SO$27,SL9&lt;&gt;"",SN9&gt;=SO$31,SN9&lt;&gt;""),AND(TJ9&gt;=TW$27,TJ9&lt;&gt;"",TL9&gt;=TW$31,TL9&lt;&gt;""),AND(TM9&gt;=TW$27,TM9&lt;&gt;"",TO9&gt;=TW$31,TO9&lt;&gt;""),AND(TQ9&gt;=TW$27,TQ9&lt;&gt;"",TS9&gt;=TW$31,TXQ9&lt;&gt;""),AND(TT9&gt;=TW$27,TT9&lt;&gt;"",TV9&gt;=TW$31,TV9&lt;&gt;""),AND(UR9&gt;=VE$27,UR9&lt;&gt;"",UT9&gt;=VE$31,UT9&lt;&gt;""),AND(UU9&gt;=VE$27,UU9&lt;&gt;"",UW9&gt;=VE$31,UW9&lt;&gt;""),AND(UY9&gt;=VE$27,UY9&lt;&gt;"",VA9&gt;=VE$31,VA9&lt;&gt;""),AND(VB9&gt;=VE$27,VB9&lt;&gt;"",VD9&gt;=VE$31,VD9&lt;&gt;""),AND(VZ9&gt;=WM$27,VZ9&lt;&gt;"",WB9&gt;=WM$31,WB9&lt;&gt;""),AND(WC9&gt;=WM$27,WC9&lt;&gt;"",WE9&gt;=WM$31,WE9&lt;&gt;""),AND(WG9&gt;=WM$27,WG9&lt;&gt;"",WI9&gt;=WM$31,WI9&lt;&gt;""),AND(WJ9&gt;=WM$27,WJ9&lt;&gt;"",WL9&gt;=WM$31,WL9&lt;&gt;"")),"P","")</f>
        <v/>
      </c>
      <c r="G9" s="3" t="str">
        <f>IF(OR(AND(AK9&gt;=AS$31,AK9&lt;&gt;"",AH9=""),AND(AN9&gt;=AS$31,AN9&lt;&gt;"",AH9=""),AND(AR9&gt;=AS$31,AR9&lt;&gt;"",AH9=""),AND(BL9&gt;=BT$31,BL9&lt;&gt;"",BI9=""),AND(BO9&gt;=BT$31,BO9&lt;&gt;"",BI9=""),AND(BS9&gt;=BT$31,BS9&lt;&gt;"",BI9=""),AND(CM9&gt;=CU$31,CM9&lt;&gt;"",CJ9=""),AND(CP9&gt;=CU$31,CP9&lt;&gt;"",CJ9=""),AND(CT9&gt;=CU$31,CT9&lt;&gt;"",CJ9=""),AND(DT9&gt;=EE$31,DT9&lt;&gt;""),AND(DW9&gt;=EE$31,DW9&lt;&gt;""),AND(EA9&gt;=EE$31,EA9&lt;&gt;""),AND(ED9&gt;=EE$31,ED9&lt;&gt;""),AND(FB9&gt;=FM$31,FB9&lt;&gt;""),AND(FE9&gt;=FM$31,FE9&lt;&gt;""),AND(FI9&gt;=FM$31,FI9&lt;&gt;""),AND(FL9&gt;=FM$31,FL9&lt;&gt;""),AND(GJ9&gt;=GU$31,GJ9&lt;&gt;""),AND(GM9&gt;=GU$31,GM9&lt;&gt;""),AND(GQ9&gt;=GU$31,GQ9&lt;&gt;""),AND(GT9&gt;=GU$31,GT9&lt;&gt;""),AND(HR9&gt;=IC$31,HR9&lt;&gt;""),AND(HU9&gt;=IC$31,HU9&lt;&gt;""),AND(HY9&gt;=IC$31,HY9&lt;&gt;""),AND(IB9&gt;=IC$31,IB9&lt;&gt;""),AND(IZ9&gt;=JK$31,IZ9&lt;&gt;""),AND(JC9&gt;=JK$31,JC9&lt;&gt;""),AND(JG9&gt;=JK$31,JG9&lt;&gt;""),AND(JJ9&gt;=JK$31,JJ9&lt;&gt;""),AND(KH9&gt;=KS$31,KH9&lt;&gt;""),AND(KK9&gt;=KS$31,KK9&lt;&gt;""),AND(KO9&gt;=KS$31,KO9&lt;&gt;""),AND(KR9&gt;=KS$31,KR9&lt;&gt;""),AND(LP9&gt;=MA$31,LP9&lt;&gt;""),AND(LS9&gt;=MA$31,LS9&lt;&gt;""),AND(LW9&gt;=MA$31,LW9&lt;&gt;""),AND(LZ9&gt;=MA$31,LZ9&lt;&gt;""),AND(MX9&gt;=NI$31,MX9&lt;&gt;""),AND(NA9&gt;=NI$31,NA9&lt;&gt;""),AND(NE9&gt;=NI$31,NE9&lt;&gt;""),AND(NH9&gt;=NI$31,NH9&lt;&gt;""),AND(OF9&gt;=OQ$31,OF9&lt;&gt;""),AND(OI9&gt;=OQ$31,OI9&lt;&gt;""),AND(OM9&gt;=OQ$31,OM9&lt;&gt;""),AND(OP9&gt;=OQ$31,OP9&lt;&gt;""),AND(PN9&gt;=PY$31,PN9&lt;&gt;""),AND(PQ9&gt;=PY$31,PQ9&lt;&gt;""),AND(PU9&gt;=PY$31,PU9&lt;&gt;""),AND(PX9&gt;=PY$31,PX9&lt;&gt;""),AND(QV9&gt;=RG$31,QV9&lt;&gt;""),AND(QY9&gt;=RG$31,QY9&lt;&gt;""),AND(RC9&gt;=RG$31,RC9&lt;&gt;""),AND(RF9&gt;=RG$31,RF9&lt;&gt;""),AND(SD9&gt;=SO$31,SD9&lt;&gt;""),AND(SG9&gt;=SO$31,SG9&lt;&gt;""),AND(SK9&gt;=SO$31,SK9&lt;&gt;""),AND(SN9&gt;=SO$31,SN9&lt;&gt;""),AND(TL9&gt;=TW$31,TL9&lt;&gt;""),AND(TO9&gt;=TW$31,TO9&lt;&gt;""),AND(TS9&gt;=TW$31,TXQ9&lt;&gt;""),AND(TV9&gt;=TW$31,TV9&lt;&gt;""),AND(UT9&gt;=VE$31,UT9&lt;&gt;""),AND(UW9&gt;=VE$31,UW9&lt;&gt;""),AND(VA9&gt;=VE$31,VA9&lt;&gt;""),AND(VD9&gt;=VE$31,VD9&lt;&gt;""),AND(WB9&gt;=WM$31,WB9&lt;&gt;""),AND(WE9&gt;=WM$31,WE9&lt;&gt;""),AND(WI9&gt;=WM$31,WI9&lt;&gt;""),AND(WL9&gt;=WM$31,WL9&lt;&gt;"")),"P","")</f>
        <v>P</v>
      </c>
      <c r="H9" s="32" t="str">
        <f>IF(AND(G9="P",F9=""),"No DD",IF(OR(AND(AI9&gt;=AS$30,AI9&lt;&gt;"",AK9&gt;=AS$34,AK9&lt;&gt;"",AH9=""),AND(AL9&gt;=AS$30,AL9&lt;&gt;"",AN9&gt;=AS$34,AN9&lt;&gt;"",AH9=""),AND(AP9&gt;=AS$30,AP9&lt;&gt;"",AR9&gt;=AS$34,AR9&lt;&gt;"",AH9=""),AND(BJ9&gt;=BT$30,BJ9&lt;&gt;"",BL9&gt;=BT$34,BL9&lt;&gt;"",BI9=""),AND(BM9&gt;=BT$30,BM9&lt;&gt;"",BO9&gt;=BT$34,BO9&lt;&gt;"",BI9=""),AND(BQ9&gt;=BT$30,BQ9&lt;&gt;"",BS9&gt;=BT$34,BS9&lt;&gt;"",BI9=""),AND(CK9&gt;=CU$30,CK9&lt;&gt;"",CM9&gt;=CU$34,CM9&lt;&gt;"",CJ9=""),AND(CN9&gt;=CU$30,CN9&lt;&gt;"",CP9&gt;=CU$34,CP9&lt;&gt;"",CJ9=""),AND(CR9&gt;=CU$30,CR9&lt;&gt;"",CT9&gt;=CU$34,CT9&lt;&gt;"",CJ9=""),AND(DR9&gt;=EE$30,DR9&lt;&gt;"",DT9&gt;=EE$34,DT9&lt;&gt;""),AND(DU9&gt;=EE$30,DU9&lt;&gt;"",DW9&gt;=EE$34,DW9&lt;&gt;""),AND(DY9&gt;=EE$30,DY9&lt;&gt;"",EA9&gt;=EE$34,EA9&lt;&gt;""),AND(EB9&gt;=EE$30,EB9&lt;&gt;"",ED9&gt;=EE$34,ED9&lt;&gt;""),AND(EZ9&gt;=FM$30,EZ9&lt;&gt;"",FB9&gt;=FM$34,FB9&lt;&gt;""),AND(FC9&gt;=FM$30,FC9&lt;&gt;"",FE9&gt;=FM$34,FE9&lt;&gt;""),AND(FG9&gt;=FM$30,FG9&lt;&gt;"",FI9&gt;=FM$34,FI9&lt;&gt;""),AND(FJ9&gt;=FM$30,FJ9&lt;&gt;"",FL9&gt;=FM$34,FL9&lt;&gt;""),AND(GH9&gt;=GU$30,GH9&lt;&gt;"",GJ9&gt;=GU$34,GJ9&lt;&gt;""),AND(GK9&gt;=GU$30,GK9&lt;&gt;"",GM9&gt;=GU$34,GM9&lt;&gt;""),AND(GO9&gt;=GU$30,GO9&lt;&gt;"",GQ9&gt;=GU$34,GQ9&lt;&gt;""),AND(GR9&gt;=GU$30,GR9&lt;&gt;"",GT9&gt;=GU$34,GT9&lt;&gt;""),AND(HP9&gt;=IC$30,HP9&lt;&gt;"",HR9&gt;=IC$34,HR9&lt;&gt;""),AND(HS9&gt;=IC$30,HS9&lt;&gt;"",HU9&gt;=IC$34,HU9&lt;&gt;""),AND(HW9&gt;=IC$30,HW9&lt;&gt;"",HY9&gt;=IC$34,HY9&lt;&gt;""),AND(HZ9&gt;=IC$30,HZ9&lt;&gt;"",IB9&gt;=IC$34,IB9&lt;&gt;""),AND(IX9&gt;=JK$30,IX9&lt;&gt;"",IZ9&gt;=JK$34,IZ9&lt;&gt;""),AND(JA9&gt;=JK$30,JA9&lt;&gt;"",JC9&gt;=JK$34,JC9&lt;&gt;""),AND(JE9&gt;=JK$30,JE9&lt;&gt;"",JG9&gt;=JK$34,JG9&lt;&gt;""),AND(JH9&gt;=JK$30,JH9&lt;&gt;"",JJ9&gt;=JK$34,JJ9&lt;&gt;""),AND(KF9&gt;=KS$30,KF9&lt;&gt;"",KH9&gt;=KS$34,KH9&lt;&gt;""),AND(KI9&gt;=KS$30,KI9&lt;&gt;"",KK9&gt;=KS$34,KK9&lt;&gt;""),AND(KM9&gt;=KS$30,KM9&lt;&gt;"",KO9&gt;=KS$34,KO9&lt;&gt;""),AND(KP9&gt;=KS$30,KP9&lt;&gt;"",KR9&gt;=KS$34,KR9&lt;&gt;""),AND(LN9&gt;=MA$30,LN9&lt;&gt;"",LP9&gt;=MA$34,LP9&lt;&gt;""),AND(LQ9&gt;=MA$30,LQ9&lt;&gt;"",LS9&gt;=MA$34,LS9&lt;&gt;""),AND(LU9&gt;=MA$30,LU9&lt;&gt;"",LW9&gt;=MA$34,LW9&lt;&gt;""),AND(LX9&gt;=MA$30,LX9&lt;&gt;"",LZ9&gt;=MA$34,LZ9&lt;&gt;""),AND(MV9&gt;=NI$30,MV9&lt;&gt;"",MX9&gt;=NI$34,MX9&lt;&gt;""),AND(MY9&gt;=NI$30,MY9&lt;&gt;"",NA9&gt;=NI$34,NA9&lt;&gt;""),AND(NC9&gt;=NI$30,NC9&lt;&gt;"",NE9&gt;=NI$34,NE9&lt;&gt;""),AND(NF9&gt;=NI$30,NF9&lt;&gt;"",NH9&gt;=NI$34,NH9&lt;&gt;""),AND(OD9&gt;=OQ$30,OD9&lt;&gt;"",OF9&gt;=OQ$34,OF9&lt;&gt;""),AND(OG9&gt;=OQ$30,OG9&lt;&gt;"",OI9&gt;=OQ$34,OI9&lt;&gt;""),AND(OK9&gt;=OQ$30,OK9&lt;&gt;"",OM9&gt;=OQ$34,OM9&lt;&gt;""),AND(ON9&gt;=OQ$30,ON9&lt;&gt;"",OP9&gt;=OQ$34,OP9&lt;&gt;""),AND(PL9&gt;=PY$30,PL9&lt;&gt;"",PN9&gt;=PY$34,PN9&lt;&gt;""),AND(PO9&gt;=PY$30,PO9&lt;&gt;"",PQ9&gt;=PY$34,PQ9&lt;&gt;""),AND(PS9&gt;=PY$30,PS9&lt;&gt;"",PU9&gt;=PY$34,PU9&lt;&gt;""),AND(PV9&gt;=PY$30,PV9&lt;&gt;"",PX9&gt;=PY$34,PX9&lt;&gt;""),AND(QT9&gt;=RG$30,QT9&lt;&gt;"",QV9&gt;=RG$34,QV9&lt;&gt;""),AND(QW9&gt;=RG$30,QW9&lt;&gt;"",QY9&gt;=RG$34,QY9&lt;&gt;""),AND(RA9&gt;=RG$30,RA9&lt;&gt;"",RC9&gt;=RG$34,RC9&lt;&gt;""),AND(RD9&gt;=RG$30,RD9&lt;&gt;"",RF9&gt;=RG$34,RF9&lt;&gt;""),AND(SB9&gt;=SO$30,SB9&lt;&gt;"",SD9&gt;=SO$34,SD9&lt;&gt;""),AND(SE9&gt;=SO$30,SE9&lt;&gt;"",SG9&gt;=SO$34,SG9&lt;&gt;""),AND(SI9&gt;=SO$30,SI9&lt;&gt;"",SK9&gt;=SO$34,SK9&lt;&gt;""),AND(SL9&gt;=SO$30,SL9&lt;&gt;"",SN9&gt;=SO$34,SN9&lt;&gt;""),AND(TJ9&gt;=TW$30,TJ9&lt;&gt;"",TL9&gt;=TW$34,TL9&lt;&gt;""),AND(TM9&gt;=TW$30,TM9&lt;&gt;"",TO9&gt;=TW$34,TO9&lt;&gt;""),AND(TQ9&gt;=TW$30,TQ9&lt;&gt;"",TS9&gt;=TW$354,TXQ9&lt;&gt;""),AND(TT9&gt;=TW$30,TT9&lt;&gt;"",TV9&gt;=TW$34,TV9&lt;&gt;""),AND(UR9&gt;=VE$30,UR9&lt;&gt;"",UT9&gt;=VE$34,UT9&lt;&gt;""),AND(UU9&gt;=VE$30,UU9&lt;&gt;"",UW9&gt;=VE$34,UW9&lt;&gt;""),AND(UY9&gt;=VE$30,UY9&lt;&gt;"",VA9&gt;=VE$34,VA9&lt;&gt;""),AND(VB9&gt;=VE$30,VB9&lt;&gt;"",VD9&gt;=VE$34,VD9&lt;&gt;""),AND(VZ9&gt;=WM$30,VZ9&lt;&gt;"",WB9&gt;=WM$34,WB9&lt;&gt;""),AND(WC9&gt;=WM$30,WC9&lt;&gt;"",WE9&gt;=WM$34,WE9&lt;&gt;""),AND(WG9&gt;=WM$30,WG9&lt;&gt;"",WI9&gt;=WM$34,WI9&lt;&gt;""),AND(WJ9&gt;=WM$30,WJ9&lt;&gt;"",WL9&gt;=WM$34,WL9&lt;&gt;"")),"Merit",IF(OR(AND(AI9&gt;=AS$29,AI9&lt;&gt;"",AK9&gt;=AS$33,AK9&lt;&gt;"",AH9=""),AND(AL9&gt;=AS$29,AL9&lt;&gt;"",AN9&gt;=AS$33,AN9&lt;&gt;"",AH9=""),AND(AP9&gt;=AS$29,AP9&lt;&gt;"",AR9&gt;=AS$33,AR9&lt;&gt;"",AH9=""),AND(BJ9&gt;=BT$29,BJ9&lt;&gt;"",BL9&gt;=BT$33,BL9&lt;&gt;"",BI9=""),AND(BM9&gt;=BT$29,BM9&lt;&gt;"",BO9&gt;=BT$33,BO9&lt;&gt;"",BI9=""),AND(BQ9&gt;=BT$29,BQ9&lt;&gt;"",BS9&gt;=BT$33,BS9&lt;&gt;"",BI9=""),AND(CK9&gt;=CU$29,CK9&lt;&gt;"",CM9&gt;=CU$33,CM9&lt;&gt;"",CJ9=""),AND(CN9&gt;=CU$29,CN9&lt;&gt;"",CP9&gt;=CU$33,CP9&lt;&gt;"",CJ9=""),AND(CR9&gt;=CU$29,CR9&lt;&gt;"",CT9&gt;=CU$33,CT9&lt;&gt;"",CJ9=""),AND(DR9&gt;=EE$29,DR9&lt;&gt;"",DT9&gt;=EE$33,DT9&lt;&gt;""),AND(DU9&gt;=EE$29,DU9&lt;&gt;"",DW9&gt;=EE$33,DW9&lt;&gt;""),AND(DY9&gt;=EE$29,DY9&lt;&gt;"",EA9&gt;=EE$33,EA9&lt;&gt;""),AND(EB9&gt;=EE$29,EB9&lt;&gt;"",ED9&gt;=EE$33,ED9&lt;&gt;""),AND(EZ9&gt;=FM$29,EZ9&lt;&gt;"",FB9&gt;=FM$33,FB9&lt;&gt;""),AND(FC9&gt;=FM$29,FC9&lt;&gt;"",FE9&gt;=FM$33,FE9&lt;&gt;""),AND(FG9&gt;=FM$29,FG9&lt;&gt;"",FI9&gt;=FM$33,FI9&lt;&gt;""),AND(FJ9&gt;=FM$29,FJ9&lt;&gt;"",FL9&gt;=FM$33,FL9&lt;&gt;""),AND(GH9&gt;=GU$29,GH9&lt;&gt;"",GJ9&gt;=GU$33,GJ9&lt;&gt;""),AND(GK9&gt;=GU$29,GK9&lt;&gt;"",GM9&gt;=GU$33,GM9&lt;&gt;""),AND(GO9&gt;=GU$29,GO9&lt;&gt;"",GQ9&gt;=GU$33,GQ9&lt;&gt;""),AND(GR9&gt;=GU$29,GR9&lt;&gt;"",GT9&gt;=GU$33,GT9&lt;&gt;""),AND(HP9&gt;=IC$29,HP9&lt;&gt;"",HR9&gt;=IC$33,HR9&lt;&gt;""),AND(HS9&gt;=IC$29,HS9&lt;&gt;"",HU9&gt;=IC$33,HU9&lt;&gt;""),AND(HW9&gt;=IC$29,HW9&lt;&gt;"",HY9&gt;=IC$33,HY9&lt;&gt;""),AND(HZ9&gt;=IC$29,HZ9&lt;&gt;"",IB9&gt;=IC$33,IB9&lt;&gt;""),AND(IX9&gt;=JK$29,IX9&lt;&gt;"",IZ9&gt;=JK$33,IZ9&lt;&gt;""),AND(JA9&gt;=JK$29,JA9&lt;&gt;"",JC9&gt;=JK$33,JC9&lt;&gt;""),AND(JE9&gt;=JK$29,JE9&lt;&gt;"",JG9&gt;=JK$33,JG9&lt;&gt;""),AND(JH9&gt;=JK$29,JH9&lt;&gt;"",JJ9&gt;=JK$33,JJ9&lt;&gt;""),AND(KF9&gt;=KS$29,KF9&lt;&gt;"",KH9&gt;=KS$33,KH9&lt;&gt;""),AND(KI9&gt;=KS$29,KI9&lt;&gt;"",KK9&gt;=KS$33,KK9&lt;&gt;""),AND(KM9&gt;=KS$29,KM9&lt;&gt;"",KO9&gt;=KS$33,KO9&lt;&gt;""),AND(KP9&gt;=KS$29,KP9&lt;&gt;"",KR9&gt;=KS$33,KR9&lt;&gt;""),AND(LN9&gt;=MA$29,LN9&lt;&gt;"",LP9&gt;=MA$33,LP9&lt;&gt;""),AND(LQ9&gt;=MA$29,LQ9&lt;&gt;"",LS9&gt;=MA$33,LS9&lt;&gt;""),AND(LU9&gt;=MA$29,LU9&lt;&gt;"",LW9&gt;=MA$33,LW9&lt;&gt;""),AND(LX9&gt;=MA$29,LX9&lt;&gt;"",LZ9&gt;=MA$33,LZ9&lt;&gt;""),AND(MV9&gt;=NI$29,MV9&lt;&gt;"",MX9&gt;=NI$33,MX9&lt;&gt;""),AND(MY9&gt;=NI$29,MY9&lt;&gt;"",NA9&gt;=NI$33,NA9&lt;&gt;""),AND(NC9&gt;=NI$29,NC9&lt;&gt;"",NE9&gt;=NI$33,NE9&lt;&gt;""),AND(NF9&gt;=NI$29,NF9&lt;&gt;"",NH9&gt;=NI$33,NH9&lt;&gt;""),AND(OD9&gt;=OQ$29,OD9&lt;&gt;"",OF9&gt;=OQ$33,OF9&lt;&gt;""),AND(OG9&gt;=OQ$29,OG9&lt;&gt;"",OI9&gt;=OQ$33,OI9&lt;&gt;""),AND(OK9&gt;=OQ$29,OK9&lt;&gt;"",OM9&gt;=OQ$33,OM9&lt;&gt;""),AND(ON9&gt;=OQ$29,ON9&lt;&gt;"",OP9&gt;=OQ$33,OP9&lt;&gt;""),AND(PL9&gt;=PY$29,PL9&lt;&gt;"",PN9&gt;=PY$33,PN9&lt;&gt;""),AND(PO9&gt;=PY$29,PO9&lt;&gt;"",PQ9&gt;=PY$33,PQ9&lt;&gt;""),AND(PS9&gt;=PY$29,PS9&lt;&gt;"",PU9&gt;=PY$33,PU9&lt;&gt;""),AND(PV9&gt;=PY$29,PV9&lt;&gt;"",PX9&gt;=PY$33,PX9&lt;&gt;""),AND(QT9&gt;=RG$29,QT9&lt;&gt;"",QV9&gt;=RG$33,QV9&lt;&gt;""),AND(QW9&gt;=RG$29,QW9&lt;&gt;"",QY9&gt;=RG$33,QY9&lt;&gt;""),AND(RA9&gt;=RG$29,RA9&lt;&gt;"",RC9&gt;=RG$33,RC9&lt;&gt;""),AND(RD9&gt;=RG$29,RD9&lt;&gt;"",RF9&gt;=RG$33,RF9&lt;&gt;""),AND(SB9&gt;=SO$29,SB9&lt;&gt;"",SD9&gt;=SO$33,SD9&lt;&gt;""),AND(SE9&gt;=SO$29,SE9&lt;&gt;"",SG9&gt;=SO$33,SG9&lt;&gt;""),AND(SI9&gt;=SO$29,SI9&lt;&gt;"",SK9&gt;=SO$33,SK9&lt;&gt;""),AND(SL9&gt;=SO$29,SL9&lt;&gt;"",SN9&gt;=SO$33,SN9&lt;&gt;""),AND(TJ9&gt;=TW$29,TJ9&lt;&gt;"",TL9&gt;=TW$33,TL9&lt;&gt;""),AND(TM9&gt;=TW$29,TM9&lt;&gt;"",TO9&gt;=TW$33,TO9&lt;&gt;""),AND(TQ9&gt;=TW$29,TQ9&lt;&gt;"",TS9&gt;=TW$33,TXQ9&lt;&gt;""),AND(TT9&gt;=TW$29,TT9&lt;&gt;"",TV9&gt;=TW$33,TV9&lt;&gt;""),AND(UR9&gt;=VE$29,UR9&lt;&gt;"",UT9&gt;=VE$33,UT9&lt;&gt;""),AND(UU9&gt;=VE$29,UU9&lt;&gt;"",UW9&gt;=VE$33,UW9&lt;&gt;""),AND(UY9&gt;=VE$29,UY9&lt;&gt;"",VA9&gt;=VE$33,VA9&lt;&gt;""),AND(VB9&gt;=VE$29,VB9&lt;&gt;"",VD9&gt;=VE$33,VD9&lt;&gt;""),AND(VZ9&gt;=WM$29,VZ9&lt;&gt;"",WB9&gt;=WM$33,WB9&lt;&gt;""),AND(WC9&gt;=WM$29,WC9&lt;&gt;"",WE9&gt;=WM$33,WE9&lt;&gt;""),AND(WG9&gt;=WM$29,WG9&lt;&gt;"",WI9&gt;=WM$33,WI9&lt;&gt;""),AND(WJ9&gt;=WM$29,WJ9&lt;&gt;"",WL9&gt;=WM$33,WL9&lt;&gt;"")),"Excellence",IF(I9="P","Worlds Team",IF(F9="P","National Team","")))))</f>
        <v>No DD</v>
      </c>
      <c r="I9" s="3" t="str">
        <f>IF(OR(AND(AI9&gt;=AS$28,AI9&lt;&gt;"",AK9&gt;=AS$32,AK9&lt;&gt;"",AH9=""),AND(AL9&gt;=AS$28,AL9&lt;&gt;"",AN9&gt;=AS$32,AN9&lt;&gt;"",AH9=""),AND(AP9&gt;=AS$28,AP9&lt;&gt;"",AR9&gt;=AS$32,AR9&lt;&gt;"",AH9=""),AND(BJ9&gt;=BT$28,BJ9&lt;&gt;"",BL9&gt;=BT$32,BL9&lt;&gt;"",BI9=""),AND(BM9&gt;=BT$28,BM9&lt;&gt;"",BO9&gt;=BT$32,BO9&lt;&gt;"",BI9=""),AND(BQ9&gt;=BT$28,BQ9&lt;&gt;"",BS9&gt;=BT$32,BS9&lt;&gt;"",BI9=""),AND(CK9&gt;=CU$28,CK9&lt;&gt;"",CM9&gt;=CU$32,CM9&lt;&gt;"",CJ9=""),AND(CN9&gt;=CU$28,CN9&lt;&gt;"",CP9&gt;=CU$32,CP9&lt;&gt;"",CJ9=""),AND(CR9&gt;=CU$28,CR9&lt;&gt;"",CT9&gt;=CU$32,CT9&lt;&gt;"",CJ9=""),AND(DR9&gt;=EE$28,DR9&lt;&gt;"",DT9&gt;=EE$32,DT9&lt;&gt;""),AND(DU9&gt;=EE$28,DU9&lt;&gt;"",DW9&gt;=EE$32,DW9&lt;&gt;""),AND(DY9&gt;=EE$28,DY9&lt;&gt;"",EA9&gt;=EE$32,EA9&lt;&gt;""),AND(EB9&gt;=EE$28,EB9&lt;&gt;"",ED9&gt;=EE$32,ED9&lt;&gt;""),AND(EZ9&gt;=FM$28,EZ9&lt;&gt;"",FB9&gt;=FM$32,FB9&lt;&gt;""),AND(FC9&gt;=FM$28,FC9&lt;&gt;"",FE9&gt;=FM$32,FE9&lt;&gt;""),AND(FG9&gt;=FM$28,FG9&lt;&gt;"",FI9&gt;=FM$32,FI9&lt;&gt;""),AND(FJ9&gt;=FM$28,FJ9&lt;&gt;"",FL9&gt;=FM$32,FL9&lt;&gt;""),AND(GH9&gt;=GU$28,GH9&lt;&gt;"",GJ9&gt;=GU$32,GJ9&lt;&gt;""),AND(GK9&gt;=GU$28,GK9&lt;&gt;"",GM9&gt;=GU$32,GM9&lt;&gt;""),AND(GO9&gt;=GU$28,GO9&lt;&gt;"",GQ9&gt;=GU$32,GQ9&lt;&gt;""),AND(GR9&gt;=GU$28,GR9&lt;&gt;"",GT9&gt;=GU$32,GT9&lt;&gt;""),AND(HP9&gt;=IC$28,HP9&lt;&gt;"",HR9&gt;=IC$32,HR9&lt;&gt;""),AND(HS9&gt;=IC$28,HS9&lt;&gt;"",HU9&gt;=IC$32,HU9&lt;&gt;""),AND(HW9&gt;=IC$28,HW9&lt;&gt;"",HY9&gt;=IC$32,HY9&lt;&gt;""),AND(HZ9&gt;=IC$28,HZ9&lt;&gt;"",IB9&gt;=IC$32,IB9&lt;&gt;""),AND(IX9&gt;=JK$28,IX9&lt;&gt;"",IZ9&gt;=JK$32,IZ9&lt;&gt;""),AND(JA9&gt;=JK$28,JA9&lt;&gt;"",JC9&gt;=JK$32,JC9&lt;&gt;""),AND(JE9&gt;=JK$28,JE9&lt;&gt;"",JG9&gt;=JK$32,JG9&lt;&gt;""),AND(JH9&gt;=JK$28,JH9&lt;&gt;"",JJ9&gt;=JK$32,JJ9&lt;&gt;""),AND(KF9&gt;=KS$28,KF9&lt;&gt;"",KH9&gt;=KS$32,KH9&lt;&gt;""),AND(KI9&gt;=KS$28,KI9&lt;&gt;"",KK9&gt;=KS$32,KK9&lt;&gt;""),AND(KM9&gt;=KS$28,KM9&lt;&gt;"",KO9&gt;=KS$32,KO9&lt;&gt;""),AND(KP9&gt;=KS$28,KP9&lt;&gt;"",KR9&gt;=KS$32,KR9&lt;&gt;""),AND(LN9&gt;=MA$28,LN9&lt;&gt;"",LP9&gt;=MA$32,LP9&lt;&gt;""),AND(LQ9&gt;=MA$28,LQ9&lt;&gt;"",LS9&gt;=MA$32,LS9&lt;&gt;""),AND(LU9&gt;=MA$28,LU9&lt;&gt;"",LW9&gt;=MA$32,LW9&lt;&gt;""),AND(LX9&gt;=MA$28,LX9&lt;&gt;"",LZ9&gt;=MA$32,LZ9&lt;&gt;""),AND(MV9&gt;=NI$28,MV9&lt;&gt;"",MX9&gt;=NI$32,MX9&lt;&gt;""),AND(MY9&gt;=NI$28,MY9&lt;&gt;"",NA9&gt;=NI$32,NA9&lt;&gt;""),AND(NC9&gt;=NI$28,NC9&lt;&gt;"",NE9&gt;=NI$32,NE9&lt;&gt;""),AND(NF9&gt;=NI$28,NF9&lt;&gt;"",NH9&gt;=NI$32,NH9&lt;&gt;""),AND(OD9&gt;=OQ$28,OD9&lt;&gt;"",OF9&gt;=OQ$32,OF9&lt;&gt;""),AND(OG9&gt;=OQ$28,OG9&lt;&gt;"",OI9&gt;=OQ$32,OI9&lt;&gt;""),AND(OK9&gt;=OQ$28,OK9&lt;&gt;"",OM9&gt;=OQ$32,OM9&lt;&gt;""),AND(ON9&gt;=OQ$28,ON9&lt;&gt;"",OP9&gt;=OQ$32,OP9&lt;&gt;""),AND(PL9&gt;=PY$28,PL9&lt;&gt;"",PN9&gt;=PY$32,PN9&lt;&gt;""),AND(PO9&gt;=PY$28,PO9&lt;&gt;"",PQ9&gt;=PY$32,PQ9&lt;&gt;""),AND(PS9&gt;=PY$28,PS9&lt;&gt;"",PU9&gt;=PY$32,PU9&lt;&gt;""),AND(PV9&gt;=PY$28,PV9&lt;&gt;"",PX9&gt;=PY$32,PX9&lt;&gt;""),AND(QT9&gt;=RG$28,QT9&lt;&gt;"",QV9&gt;=RG$32,QV9&lt;&gt;""),AND(QW9&gt;=RG$28,QW9&lt;&gt;"",QY9&gt;=RG$32,QY9&lt;&gt;""),AND(RA9&gt;=RG$28,RA9&lt;&gt;"",RC9&gt;=RG$32,RC9&lt;&gt;""),AND(RD9&gt;=RG$28,RD9&lt;&gt;"",RF9&gt;=RG$32,RF9&lt;&gt;""),AND(SB9&gt;=SO$28,SB9&lt;&gt;"",SD9&gt;=SO$32,SD9&lt;&gt;""),AND(SE9&gt;=SO$28,SE9&lt;&gt;"",SG9&gt;=SO$32,SG9&lt;&gt;""),AND(SI9&gt;=SO$28,SI9&lt;&gt;"",SK9&gt;=SO$32,SK9&lt;&gt;""),AND(SL9&gt;=SO$28,SL9&lt;&gt;"",SN9&gt;=SO$32,SN9&lt;&gt;""),AND(TJ9&gt;=TW$28,TJ9&lt;&gt;"",TL9&gt;=TW$32,TL9&lt;&gt;""),AND(TM9&gt;=TW$28,TM9&lt;&gt;"",TO9&gt;=TW$32,TO9&lt;&gt;""),AND(TQ9&gt;=TW$28,TQ9&lt;&gt;"",TS9&gt;=TW$32,TXQ9&lt;&gt;""),AND(TT9&gt;=TW$28,TT9&lt;&gt;"",TV9&gt;=TW$32,TV9&lt;&gt;""),AND(UR9&gt;=VE$28,UR9&lt;&gt;"",UT9&gt;=VE$32,UT9&lt;&gt;""),AND(UU9&gt;=VE$28,UU9&lt;&gt;"",UW9&gt;=VE$32,UW9&lt;&gt;""),AND(UY9&gt;=VE$28,UY9&lt;&gt;"",VA9&gt;=VE$32,VA9&lt;&gt;""),AND(VB9&gt;=VE$28,VB9&lt;&gt;"",VD9&gt;=VE$32,VD9&lt;&gt;""),AND(VZ9&gt;=WM$28,VZ9&lt;&gt;"",WB9&gt;=WM$32,WB9&lt;&gt;""),AND(WC9&gt;=WM$28,WC9&lt;&gt;"",WE9&gt;=WM$32,WE9&lt;&gt;""),AND(WG9&gt;=WM$28,WG9&lt;&gt;"",WI9&gt;=WM$32,WI9&lt;&gt;""),AND(WJ9&gt;=WM$28,WJ9&lt;&gt;"",WL9&gt;=WM$32,WL9&lt;&gt;"")),"P","")</f>
        <v/>
      </c>
      <c r="J9" s="8">
        <f t="shared" si="1"/>
        <v>58.6</v>
      </c>
      <c r="K9" s="8" t="str">
        <f t="shared" si="2"/>
        <v>2026 Elite Canada</v>
      </c>
      <c r="L9" s="8">
        <f>IFERROR(IF(J9=AR9,LARGE((AK9,AN9,BL9,BO9,BS9,CM9,CP9,CT9),1),IF(J9=BS9,LARGE((AK9,AN9,AR9,BL9,BO9,CM9,CP9,CT9),1),LARGE((AK9,AN9,AR9,BL9,BO9,BS9,CM9,CP9),1))),0)</f>
        <v>57.05</v>
      </c>
      <c r="M9" s="8" t="str">
        <f t="shared" si="3"/>
        <v>2026 Elite Canada</v>
      </c>
      <c r="N9" s="8">
        <f>IFERROR(IF(J9=AR9,LARGE((AK9,AN9,BL9,BO9,BS9,CM9,CP9,CT9),2),IF(J9=BS9,LARGE((AK9,AN9,AR9,BL9,BO9,CM9,CP9,CT9),2),LARGE((AK9,AN9,AR9,BL9,BO9,BS9,CM9,CP9),2))),0)</f>
        <v>56.760000000000005</v>
      </c>
      <c r="O9" s="8" t="str">
        <f t="shared" si="4"/>
        <v>2026 Elite Canada</v>
      </c>
      <c r="P9" s="8">
        <f t="shared" si="5"/>
        <v>0</v>
      </c>
      <c r="Q9" s="11" t="str">
        <f t="shared" si="6"/>
        <v/>
      </c>
      <c r="R9" s="8" t="str">
        <f t="shared" si="7"/>
        <v/>
      </c>
      <c r="S9" s="18">
        <v>12.1</v>
      </c>
      <c r="T9" s="18">
        <v>7.2</v>
      </c>
      <c r="U9" s="18">
        <v>12.3</v>
      </c>
      <c r="V9" s="18">
        <v>13.37</v>
      </c>
      <c r="W9" s="18">
        <v>0</v>
      </c>
      <c r="X9" s="18">
        <v>14.9</v>
      </c>
      <c r="Y9" s="18">
        <v>9.1</v>
      </c>
      <c r="Z9" s="18">
        <v>15.5</v>
      </c>
      <c r="AA9" s="18">
        <v>16.52</v>
      </c>
      <c r="AB9" s="18">
        <v>0</v>
      </c>
      <c r="AC9" s="18">
        <v>3.5</v>
      </c>
      <c r="AD9" s="18">
        <v>1.8</v>
      </c>
      <c r="AE9" s="18">
        <v>3.5</v>
      </c>
      <c r="AF9" s="18">
        <v>3.55</v>
      </c>
      <c r="AG9" s="18">
        <v>0</v>
      </c>
      <c r="AH9" s="23"/>
      <c r="AI9" s="34">
        <f t="shared" si="8"/>
        <v>12.3</v>
      </c>
      <c r="AJ9" s="34">
        <f t="shared" si="9"/>
        <v>13.37</v>
      </c>
      <c r="AK9" s="36">
        <f t="shared" si="10"/>
        <v>44.97</v>
      </c>
      <c r="AL9" s="36">
        <f t="shared" si="11"/>
        <v>15.5</v>
      </c>
      <c r="AM9" s="36">
        <f t="shared" si="12"/>
        <v>16.52</v>
      </c>
      <c r="AN9" s="36">
        <f t="shared" si="13"/>
        <v>56.019999999999996</v>
      </c>
      <c r="AO9" s="36">
        <f t="shared" si="14"/>
        <v>56.019999999999996</v>
      </c>
      <c r="AP9" s="36">
        <f t="shared" si="15"/>
        <v>3.5</v>
      </c>
      <c r="AQ9" s="36">
        <f t="shared" si="16"/>
        <v>3.55</v>
      </c>
      <c r="AR9" s="36">
        <f t="shared" si="17"/>
        <v>12.350000000000001</v>
      </c>
      <c r="AS9" s="36">
        <f t="shared" si="18"/>
        <v>68.37</v>
      </c>
      <c r="AT9" s="22">
        <v>7.2</v>
      </c>
      <c r="AU9" s="22">
        <v>4</v>
      </c>
      <c r="AV9" s="22">
        <v>8</v>
      </c>
      <c r="AW9" s="22">
        <v>8.42</v>
      </c>
      <c r="AX9" s="22">
        <v>0</v>
      </c>
      <c r="AY9" s="22">
        <v>8.1999999999999993</v>
      </c>
      <c r="AZ9" s="22">
        <v>4.5999999999999996</v>
      </c>
      <c r="BA9" s="22">
        <v>8.4</v>
      </c>
      <c r="BB9" s="22">
        <v>8.77</v>
      </c>
      <c r="BC9" s="22">
        <v>0</v>
      </c>
      <c r="BD9" s="22"/>
      <c r="BE9" s="22"/>
      <c r="BF9" s="22"/>
      <c r="BG9" s="22"/>
      <c r="BH9" s="22"/>
      <c r="BI9" s="24"/>
      <c r="BJ9" s="35">
        <f t="shared" si="19"/>
        <v>8</v>
      </c>
      <c r="BK9" s="35">
        <f t="shared" si="20"/>
        <v>8.42</v>
      </c>
      <c r="BL9" s="11">
        <f t="shared" si="21"/>
        <v>27.619999999999997</v>
      </c>
      <c r="BM9" s="11">
        <f t="shared" si="22"/>
        <v>8.4</v>
      </c>
      <c r="BN9" s="11">
        <f t="shared" si="23"/>
        <v>8.77</v>
      </c>
      <c r="BO9" s="11">
        <f t="shared" si="24"/>
        <v>29.97</v>
      </c>
      <c r="BP9" s="11">
        <f t="shared" si="25"/>
        <v>29.97</v>
      </c>
      <c r="BQ9" s="11" t="str">
        <f t="shared" si="26"/>
        <v/>
      </c>
      <c r="BR9" s="11" t="str">
        <f t="shared" si="27"/>
        <v/>
      </c>
      <c r="BS9" s="11" t="str">
        <f t="shared" si="28"/>
        <v/>
      </c>
      <c r="BT9" s="11">
        <f t="shared" si="29"/>
        <v>29.97</v>
      </c>
      <c r="BU9" s="18">
        <v>15.8</v>
      </c>
      <c r="BV9" s="18">
        <v>8.9</v>
      </c>
      <c r="BW9" s="18">
        <v>15.7</v>
      </c>
      <c r="BX9" s="18">
        <v>16.36</v>
      </c>
      <c r="BY9" s="18">
        <v>0</v>
      </c>
      <c r="BZ9" s="18">
        <v>15.6</v>
      </c>
      <c r="CA9" s="18">
        <v>8.9</v>
      </c>
      <c r="CB9" s="18">
        <v>16.100000000000001</v>
      </c>
      <c r="CC9" s="18">
        <v>16.45</v>
      </c>
      <c r="CD9" s="18">
        <v>0</v>
      </c>
      <c r="CE9" s="18">
        <v>16.600000000000001</v>
      </c>
      <c r="CF9" s="18">
        <v>9.4</v>
      </c>
      <c r="CG9" s="18">
        <v>16.100000000000001</v>
      </c>
      <c r="CH9" s="18">
        <v>16.5</v>
      </c>
      <c r="CI9" s="18">
        <v>0</v>
      </c>
      <c r="CJ9" s="23"/>
      <c r="CK9" s="34">
        <f t="shared" si="30"/>
        <v>15.7</v>
      </c>
      <c r="CL9" s="34">
        <f t="shared" si="31"/>
        <v>16.36</v>
      </c>
      <c r="CM9" s="36">
        <f t="shared" si="32"/>
        <v>56.760000000000005</v>
      </c>
      <c r="CN9" s="36">
        <f t="shared" si="33"/>
        <v>16.100000000000001</v>
      </c>
      <c r="CO9" s="36">
        <f t="shared" si="34"/>
        <v>16.45</v>
      </c>
      <c r="CP9" s="36">
        <f t="shared" si="35"/>
        <v>57.05</v>
      </c>
      <c r="CQ9" s="36">
        <f t="shared" si="36"/>
        <v>57.05</v>
      </c>
      <c r="CR9" s="36">
        <f t="shared" si="37"/>
        <v>16.100000000000001</v>
      </c>
      <c r="CS9" s="36">
        <f t="shared" si="38"/>
        <v>16.5</v>
      </c>
      <c r="CT9" s="36">
        <f t="shared" si="39"/>
        <v>58.6</v>
      </c>
      <c r="CU9" s="36">
        <f t="shared" si="40"/>
        <v>115.65</v>
      </c>
      <c r="CV9" s="47" t="str">
        <f t="shared" si="41"/>
        <v/>
      </c>
      <c r="CW9" s="47" t="str">
        <f t="shared" si="42"/>
        <v/>
      </c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36" t="str">
        <f t="shared" si="43"/>
        <v/>
      </c>
      <c r="DS9" s="36" t="str">
        <f t="shared" si="44"/>
        <v/>
      </c>
      <c r="DT9" s="36" t="str">
        <f t="shared" si="45"/>
        <v/>
      </c>
      <c r="DU9" s="36" t="str">
        <f t="shared" si="46"/>
        <v/>
      </c>
      <c r="DV9" s="36" t="str">
        <f t="shared" si="47"/>
        <v/>
      </c>
      <c r="DW9" s="36" t="str">
        <f t="shared" si="48"/>
        <v/>
      </c>
      <c r="DX9" s="36" t="str">
        <f t="shared" si="49"/>
        <v/>
      </c>
      <c r="DY9" s="36" t="str">
        <f t="shared" si="50"/>
        <v/>
      </c>
      <c r="DZ9" s="36" t="str">
        <f t="shared" si="51"/>
        <v/>
      </c>
      <c r="EA9" s="36" t="str">
        <f t="shared" si="52"/>
        <v/>
      </c>
      <c r="EB9" s="36" t="str">
        <f t="shared" si="53"/>
        <v/>
      </c>
      <c r="EC9" s="36" t="str">
        <f t="shared" si="54"/>
        <v/>
      </c>
      <c r="ED9" s="36" t="str">
        <f t="shared" si="55"/>
        <v/>
      </c>
      <c r="EE9" s="36" t="str">
        <f t="shared" si="56"/>
        <v/>
      </c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1" t="str">
        <f t="shared" si="57"/>
        <v/>
      </c>
      <c r="FA9" s="11" t="str">
        <f t="shared" si="58"/>
        <v/>
      </c>
      <c r="FB9" s="11" t="str">
        <f t="shared" si="59"/>
        <v/>
      </c>
      <c r="FC9" s="11" t="str">
        <f t="shared" si="60"/>
        <v/>
      </c>
      <c r="FD9" s="11" t="str">
        <f t="shared" si="61"/>
        <v/>
      </c>
      <c r="FE9" s="11" t="str">
        <f t="shared" si="62"/>
        <v/>
      </c>
      <c r="FF9" s="11" t="str">
        <f t="shared" si="63"/>
        <v/>
      </c>
      <c r="FG9" s="11" t="str">
        <f t="shared" si="64"/>
        <v/>
      </c>
      <c r="FH9" s="11" t="str">
        <f t="shared" si="65"/>
        <v/>
      </c>
      <c r="FI9" s="11" t="str">
        <f t="shared" si="66"/>
        <v/>
      </c>
      <c r="FJ9" s="11" t="str">
        <f t="shared" si="67"/>
        <v/>
      </c>
      <c r="FK9" s="11" t="str">
        <f t="shared" si="68"/>
        <v/>
      </c>
      <c r="FL9" s="11" t="str">
        <f t="shared" si="69"/>
        <v/>
      </c>
      <c r="FM9" s="11" t="str">
        <f t="shared" si="70"/>
        <v/>
      </c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36" t="str">
        <f t="shared" si="71"/>
        <v/>
      </c>
      <c r="GI9" s="36" t="str">
        <f t="shared" si="72"/>
        <v/>
      </c>
      <c r="GJ9" s="36" t="str">
        <f t="shared" si="73"/>
        <v/>
      </c>
      <c r="GK9" s="36" t="str">
        <f t="shared" si="74"/>
        <v/>
      </c>
      <c r="GL9" s="36" t="str">
        <f t="shared" si="75"/>
        <v/>
      </c>
      <c r="GM9" s="36" t="str">
        <f t="shared" si="76"/>
        <v/>
      </c>
      <c r="GN9" s="36" t="str">
        <f t="shared" si="77"/>
        <v/>
      </c>
      <c r="GO9" s="36" t="str">
        <f t="shared" si="78"/>
        <v/>
      </c>
      <c r="GP9" s="36" t="str">
        <f t="shared" si="79"/>
        <v/>
      </c>
      <c r="GQ9" s="36" t="str">
        <f t="shared" si="80"/>
        <v/>
      </c>
      <c r="GR9" s="36" t="str">
        <f t="shared" si="81"/>
        <v/>
      </c>
      <c r="GS9" s="36" t="str">
        <f t="shared" si="82"/>
        <v/>
      </c>
      <c r="GT9" s="36" t="str">
        <f t="shared" si="83"/>
        <v/>
      </c>
      <c r="GU9" s="36" t="str">
        <f t="shared" si="84"/>
        <v/>
      </c>
      <c r="GV9" s="16">
        <v>14.8</v>
      </c>
      <c r="GW9" s="16">
        <v>9.3000000000000007</v>
      </c>
      <c r="GX9" s="16">
        <v>15.3</v>
      </c>
      <c r="GY9" s="16">
        <v>16.68</v>
      </c>
      <c r="GZ9" s="16">
        <v>0</v>
      </c>
      <c r="HA9" s="16">
        <v>13.6</v>
      </c>
      <c r="HB9" s="16">
        <v>9.3000000000000007</v>
      </c>
      <c r="HC9" s="16">
        <v>14.5</v>
      </c>
      <c r="HD9" s="16">
        <v>16.47</v>
      </c>
      <c r="HE9" s="16">
        <v>0</v>
      </c>
      <c r="HF9" s="16">
        <v>2.8</v>
      </c>
      <c r="HG9" s="16">
        <v>1.8</v>
      </c>
      <c r="HH9" s="16">
        <v>3.5</v>
      </c>
      <c r="HI9" s="16">
        <v>3.52</v>
      </c>
      <c r="HJ9" s="16">
        <v>0</v>
      </c>
      <c r="HK9" s="16"/>
      <c r="HL9" s="16"/>
      <c r="HM9" s="16"/>
      <c r="HN9" s="16"/>
      <c r="HO9" s="16"/>
      <c r="HP9" s="11">
        <f t="shared" si="85"/>
        <v>15.3</v>
      </c>
      <c r="HQ9" s="11">
        <f t="shared" si="86"/>
        <v>16.68</v>
      </c>
      <c r="HR9" s="11">
        <f t="shared" si="87"/>
        <v>56.080000000000005</v>
      </c>
      <c r="HS9" s="11">
        <f t="shared" si="88"/>
        <v>14.5</v>
      </c>
      <c r="HT9" s="11">
        <f t="shared" si="89"/>
        <v>16.47</v>
      </c>
      <c r="HU9" s="11">
        <f t="shared" si="90"/>
        <v>53.87</v>
      </c>
      <c r="HV9" s="11">
        <f t="shared" si="91"/>
        <v>56.080000000000005</v>
      </c>
      <c r="HW9" s="11">
        <f t="shared" si="92"/>
        <v>3.5</v>
      </c>
      <c r="HX9" s="11">
        <f t="shared" si="93"/>
        <v>3.52</v>
      </c>
      <c r="HY9" s="11">
        <f t="shared" si="94"/>
        <v>11.62</v>
      </c>
      <c r="HZ9" s="11" t="str">
        <f t="shared" si="95"/>
        <v/>
      </c>
      <c r="IA9" s="11" t="str">
        <f t="shared" si="96"/>
        <v/>
      </c>
      <c r="IB9" s="11" t="str">
        <f t="shared" si="97"/>
        <v/>
      </c>
      <c r="IC9" s="11">
        <f t="shared" si="98"/>
        <v>67.7</v>
      </c>
      <c r="ID9" s="15"/>
      <c r="IE9" s="15"/>
      <c r="IF9" s="15"/>
      <c r="IG9" s="15"/>
      <c r="IH9" s="15"/>
      <c r="II9" s="15">
        <v>14.3</v>
      </c>
      <c r="IJ9" s="15">
        <v>9.1</v>
      </c>
      <c r="IK9" s="15">
        <v>15.3</v>
      </c>
      <c r="IL9" s="15">
        <v>16.239999999999998</v>
      </c>
      <c r="IM9" s="15">
        <v>0</v>
      </c>
      <c r="IN9" s="15"/>
      <c r="IO9" s="15"/>
      <c r="IP9" s="15"/>
      <c r="IQ9" s="15"/>
      <c r="IR9" s="15"/>
      <c r="IS9" s="15">
        <v>15.4</v>
      </c>
      <c r="IT9" s="15">
        <v>9.1999999999999993</v>
      </c>
      <c r="IU9" s="15">
        <v>14.4</v>
      </c>
      <c r="IV9" s="15">
        <v>16.309999999999999</v>
      </c>
      <c r="IW9" s="15">
        <v>0</v>
      </c>
      <c r="IX9" s="36" t="str">
        <f t="shared" si="99"/>
        <v/>
      </c>
      <c r="IY9" s="36" t="str">
        <f t="shared" si="100"/>
        <v/>
      </c>
      <c r="IZ9" s="36" t="str">
        <f t="shared" si="101"/>
        <v/>
      </c>
      <c r="JA9" s="36">
        <f t="shared" si="102"/>
        <v>15.3</v>
      </c>
      <c r="JB9" s="36">
        <f t="shared" si="103"/>
        <v>16.239999999999998</v>
      </c>
      <c r="JC9" s="36">
        <f t="shared" si="104"/>
        <v>54.94</v>
      </c>
      <c r="JD9" s="36">
        <f t="shared" si="105"/>
        <v>54.94</v>
      </c>
      <c r="JE9" s="36" t="str">
        <f t="shared" si="106"/>
        <v/>
      </c>
      <c r="JF9" s="36" t="str">
        <f t="shared" si="107"/>
        <v/>
      </c>
      <c r="JG9" s="36" t="str">
        <f t="shared" si="108"/>
        <v/>
      </c>
      <c r="JH9" s="36">
        <f t="shared" si="109"/>
        <v>14.4</v>
      </c>
      <c r="JI9" s="36">
        <f t="shared" si="110"/>
        <v>16.309999999999999</v>
      </c>
      <c r="JJ9" s="36">
        <f t="shared" si="111"/>
        <v>55.31</v>
      </c>
      <c r="JK9" s="36">
        <f t="shared" si="112"/>
        <v>110.25</v>
      </c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1" t="str">
        <f t="shared" si="113"/>
        <v/>
      </c>
      <c r="KG9" s="11" t="str">
        <f t="shared" si="114"/>
        <v/>
      </c>
      <c r="KH9" s="11" t="str">
        <f t="shared" si="115"/>
        <v/>
      </c>
      <c r="KI9" s="11" t="str">
        <f t="shared" si="116"/>
        <v/>
      </c>
      <c r="KJ9" s="11" t="str">
        <f t="shared" si="117"/>
        <v/>
      </c>
      <c r="KK9" s="11" t="str">
        <f t="shared" si="118"/>
        <v/>
      </c>
      <c r="KL9" s="11" t="str">
        <f t="shared" si="119"/>
        <v/>
      </c>
      <c r="KM9" s="11" t="str">
        <f t="shared" si="120"/>
        <v/>
      </c>
      <c r="KN9" s="11" t="str">
        <f t="shared" si="121"/>
        <v/>
      </c>
      <c r="KO9" s="11" t="str">
        <f t="shared" si="122"/>
        <v/>
      </c>
      <c r="KP9" s="11" t="str">
        <f t="shared" si="123"/>
        <v/>
      </c>
      <c r="KQ9" s="11" t="str">
        <f t="shared" si="124"/>
        <v/>
      </c>
      <c r="KR9" s="11" t="str">
        <f t="shared" si="125"/>
        <v/>
      </c>
      <c r="KS9" s="11" t="str">
        <f t="shared" si="126"/>
        <v/>
      </c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36" t="str">
        <f t="shared" si="127"/>
        <v/>
      </c>
      <c r="LO9" s="36" t="str">
        <f t="shared" si="128"/>
        <v/>
      </c>
      <c r="LP9" s="36" t="str">
        <f t="shared" si="129"/>
        <v/>
      </c>
      <c r="LQ9" s="36" t="str">
        <f t="shared" si="130"/>
        <v/>
      </c>
      <c r="LR9" s="36" t="str">
        <f t="shared" si="131"/>
        <v/>
      </c>
      <c r="LS9" s="36" t="str">
        <f t="shared" si="132"/>
        <v/>
      </c>
      <c r="LT9" s="36" t="str">
        <f t="shared" si="133"/>
        <v/>
      </c>
      <c r="LU9" s="36" t="str">
        <f t="shared" si="134"/>
        <v/>
      </c>
      <c r="LV9" s="36" t="str">
        <f t="shared" si="135"/>
        <v/>
      </c>
      <c r="LW9" s="36" t="str">
        <f t="shared" si="136"/>
        <v/>
      </c>
      <c r="LX9" s="36" t="str">
        <f t="shared" si="137"/>
        <v/>
      </c>
      <c r="LY9" s="36" t="str">
        <f t="shared" si="138"/>
        <v/>
      </c>
      <c r="LZ9" s="36" t="str">
        <f t="shared" si="139"/>
        <v/>
      </c>
      <c r="MA9" s="36" t="str">
        <f t="shared" si="140"/>
        <v/>
      </c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16"/>
      <c r="MP9" s="16"/>
      <c r="MQ9" s="16"/>
      <c r="MR9" s="16"/>
      <c r="MS9" s="16"/>
      <c r="MT9" s="16"/>
      <c r="MU9" s="16"/>
      <c r="MV9" s="11" t="str">
        <f t="shared" si="141"/>
        <v/>
      </c>
      <c r="MW9" s="11" t="str">
        <f t="shared" si="142"/>
        <v/>
      </c>
      <c r="MX9" s="11" t="str">
        <f t="shared" si="143"/>
        <v/>
      </c>
      <c r="MY9" s="11" t="str">
        <f t="shared" si="144"/>
        <v/>
      </c>
      <c r="MZ9" s="11" t="str">
        <f t="shared" si="145"/>
        <v/>
      </c>
      <c r="NA9" s="11" t="str">
        <f t="shared" si="146"/>
        <v/>
      </c>
      <c r="NB9" s="11" t="str">
        <f t="shared" si="147"/>
        <v/>
      </c>
      <c r="NC9" s="11" t="str">
        <f t="shared" si="148"/>
        <v/>
      </c>
      <c r="ND9" s="11" t="str">
        <f t="shared" si="149"/>
        <v/>
      </c>
      <c r="NE9" s="11" t="str">
        <f t="shared" si="150"/>
        <v/>
      </c>
      <c r="NF9" s="11" t="str">
        <f t="shared" si="151"/>
        <v/>
      </c>
      <c r="NG9" s="11" t="str">
        <f t="shared" si="152"/>
        <v/>
      </c>
      <c r="NH9" s="11" t="str">
        <f t="shared" si="153"/>
        <v/>
      </c>
      <c r="NI9" s="11" t="str">
        <f t="shared" si="154"/>
        <v/>
      </c>
      <c r="NJ9" s="15">
        <v>15.1</v>
      </c>
      <c r="NK9" s="15">
        <v>9.3000000000000007</v>
      </c>
      <c r="NL9" s="15">
        <v>2.8</v>
      </c>
      <c r="NM9" s="15">
        <v>17.149999999999999</v>
      </c>
      <c r="NN9" s="15">
        <v>0</v>
      </c>
      <c r="NO9" s="15">
        <v>5.9</v>
      </c>
      <c r="NP9" s="15">
        <v>3.6</v>
      </c>
      <c r="NQ9" s="15">
        <v>6.5</v>
      </c>
      <c r="NR9" s="15">
        <v>6.82</v>
      </c>
      <c r="NS9" s="15">
        <v>0</v>
      </c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36">
        <f t="shared" si="155"/>
        <v>2.8</v>
      </c>
      <c r="OE9" s="36">
        <f t="shared" si="156"/>
        <v>17.149999999999999</v>
      </c>
      <c r="OF9" s="36">
        <f t="shared" si="157"/>
        <v>44.349999999999994</v>
      </c>
      <c r="OG9" s="36">
        <f t="shared" si="158"/>
        <v>6.5</v>
      </c>
      <c r="OH9" s="36">
        <f t="shared" si="159"/>
        <v>6.82</v>
      </c>
      <c r="OI9" s="36">
        <f t="shared" si="160"/>
        <v>22.82</v>
      </c>
      <c r="OJ9" s="36">
        <f t="shared" si="161"/>
        <v>44.349999999999994</v>
      </c>
      <c r="OK9" s="36" t="str">
        <f t="shared" si="162"/>
        <v/>
      </c>
      <c r="OL9" s="36" t="str">
        <f t="shared" si="163"/>
        <v/>
      </c>
      <c r="OM9" s="36" t="str">
        <f t="shared" si="164"/>
        <v/>
      </c>
      <c r="ON9" s="36" t="str">
        <f t="shared" si="165"/>
        <v/>
      </c>
      <c r="OO9" s="36" t="str">
        <f t="shared" si="166"/>
        <v/>
      </c>
      <c r="OP9" s="36" t="str">
        <f t="shared" si="167"/>
        <v/>
      </c>
      <c r="OQ9" s="36">
        <f t="shared" si="168"/>
        <v>44.349999999999994</v>
      </c>
      <c r="OR9" s="16"/>
      <c r="OS9" s="16"/>
      <c r="OT9" s="16"/>
      <c r="OU9" s="16"/>
      <c r="OV9" s="16"/>
      <c r="OW9" s="16"/>
      <c r="OX9" s="16"/>
      <c r="OY9" s="16"/>
      <c r="OZ9" s="16"/>
      <c r="PA9" s="16"/>
      <c r="PB9" s="16"/>
      <c r="PC9" s="16"/>
      <c r="PD9" s="16"/>
      <c r="PE9" s="16"/>
      <c r="PF9" s="16"/>
      <c r="PG9" s="16"/>
      <c r="PH9" s="16"/>
      <c r="PI9" s="16"/>
      <c r="PJ9" s="16"/>
      <c r="PK9" s="16"/>
      <c r="PL9" s="11" t="str">
        <f t="shared" si="169"/>
        <v/>
      </c>
      <c r="PM9" s="11" t="str">
        <f t="shared" si="170"/>
        <v/>
      </c>
      <c r="PN9" s="11" t="str">
        <f t="shared" si="171"/>
        <v/>
      </c>
      <c r="PO9" s="11" t="str">
        <f t="shared" si="172"/>
        <v/>
      </c>
      <c r="PP9" s="11" t="str">
        <f t="shared" si="173"/>
        <v/>
      </c>
      <c r="PQ9" s="11" t="str">
        <f t="shared" si="174"/>
        <v/>
      </c>
      <c r="PR9" s="11" t="str">
        <f t="shared" si="175"/>
        <v/>
      </c>
      <c r="PS9" s="11" t="str">
        <f t="shared" si="176"/>
        <v/>
      </c>
      <c r="PT9" s="11" t="str">
        <f t="shared" si="177"/>
        <v/>
      </c>
      <c r="PU9" s="11" t="str">
        <f t="shared" si="178"/>
        <v/>
      </c>
      <c r="PV9" s="11" t="str">
        <f t="shared" si="179"/>
        <v/>
      </c>
      <c r="PW9" s="11" t="str">
        <f t="shared" si="180"/>
        <v/>
      </c>
      <c r="PX9" s="11" t="str">
        <f t="shared" si="181"/>
        <v/>
      </c>
      <c r="PY9" s="11" t="str">
        <f t="shared" si="182"/>
        <v/>
      </c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36" t="str">
        <f t="shared" si="183"/>
        <v/>
      </c>
      <c r="QU9" s="36" t="str">
        <f t="shared" si="184"/>
        <v/>
      </c>
      <c r="QV9" s="36" t="str">
        <f t="shared" si="185"/>
        <v/>
      </c>
      <c r="QW9" s="36" t="str">
        <f t="shared" si="186"/>
        <v/>
      </c>
      <c r="QX9" s="36" t="str">
        <f t="shared" si="187"/>
        <v/>
      </c>
      <c r="QY9" s="36" t="str">
        <f t="shared" si="188"/>
        <v/>
      </c>
      <c r="QZ9" s="36" t="str">
        <f t="shared" si="189"/>
        <v/>
      </c>
      <c r="RA9" s="36" t="str">
        <f t="shared" si="190"/>
        <v/>
      </c>
      <c r="RB9" s="36" t="str">
        <f t="shared" si="191"/>
        <v/>
      </c>
      <c r="RC9" s="36" t="str">
        <f t="shared" si="192"/>
        <v/>
      </c>
      <c r="RD9" s="36" t="str">
        <f t="shared" si="193"/>
        <v/>
      </c>
      <c r="RE9" s="36" t="str">
        <f t="shared" si="194"/>
        <v/>
      </c>
      <c r="RF9" s="36" t="str">
        <f t="shared" si="195"/>
        <v/>
      </c>
      <c r="RG9" s="36" t="str">
        <f t="shared" si="196"/>
        <v/>
      </c>
      <c r="RH9" s="16"/>
      <c r="RI9" s="16"/>
      <c r="RJ9" s="16"/>
      <c r="RK9" s="16"/>
      <c r="RL9" s="16"/>
      <c r="RM9" s="16"/>
      <c r="RN9" s="16"/>
      <c r="RO9" s="16"/>
      <c r="RP9" s="16"/>
      <c r="RQ9" s="16"/>
      <c r="RR9" s="16"/>
      <c r="RS9" s="16"/>
      <c r="RT9" s="16"/>
      <c r="RU9" s="16"/>
      <c r="RV9" s="16"/>
      <c r="RW9" s="16"/>
      <c r="RX9" s="16"/>
      <c r="RY9" s="16"/>
      <c r="RZ9" s="16"/>
      <c r="SA9" s="16"/>
      <c r="SB9" s="11" t="str">
        <f t="shared" si="197"/>
        <v/>
      </c>
      <c r="SC9" s="11" t="str">
        <f t="shared" si="198"/>
        <v/>
      </c>
      <c r="SD9" s="11" t="str">
        <f t="shared" si="199"/>
        <v/>
      </c>
      <c r="SE9" s="11" t="str">
        <f t="shared" si="200"/>
        <v/>
      </c>
      <c r="SF9" s="11" t="str">
        <f t="shared" si="201"/>
        <v/>
      </c>
      <c r="SG9" s="11" t="str">
        <f t="shared" si="202"/>
        <v/>
      </c>
      <c r="SH9" s="11" t="str">
        <f t="shared" si="203"/>
        <v/>
      </c>
      <c r="SI9" s="11" t="str">
        <f t="shared" si="204"/>
        <v/>
      </c>
      <c r="SJ9" s="11" t="str">
        <f t="shared" si="205"/>
        <v/>
      </c>
      <c r="SK9" s="11" t="str">
        <f t="shared" si="206"/>
        <v/>
      </c>
      <c r="SL9" s="11" t="str">
        <f t="shared" si="207"/>
        <v/>
      </c>
      <c r="SM9" s="11" t="str">
        <f t="shared" si="208"/>
        <v/>
      </c>
      <c r="SN9" s="11" t="str">
        <f t="shared" si="209"/>
        <v/>
      </c>
      <c r="SO9" s="11" t="str">
        <f t="shared" si="210"/>
        <v/>
      </c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36" t="str">
        <f t="shared" si="211"/>
        <v/>
      </c>
      <c r="TK9" s="36" t="str">
        <f t="shared" si="212"/>
        <v/>
      </c>
      <c r="TL9" s="36" t="str">
        <f t="shared" si="213"/>
        <v/>
      </c>
      <c r="TM9" s="36" t="str">
        <f t="shared" si="214"/>
        <v/>
      </c>
      <c r="TN9" s="36" t="str">
        <f t="shared" si="215"/>
        <v/>
      </c>
      <c r="TO9" s="36" t="str">
        <f t="shared" si="216"/>
        <v/>
      </c>
      <c r="TP9" s="36" t="str">
        <f t="shared" si="217"/>
        <v/>
      </c>
      <c r="TQ9" s="36" t="str">
        <f t="shared" si="218"/>
        <v/>
      </c>
      <c r="TR9" s="36" t="str">
        <f t="shared" si="219"/>
        <v/>
      </c>
      <c r="TS9" s="36" t="str">
        <f t="shared" si="220"/>
        <v/>
      </c>
      <c r="TT9" s="36" t="str">
        <f t="shared" si="221"/>
        <v/>
      </c>
      <c r="TU9" s="36" t="str">
        <f t="shared" si="222"/>
        <v/>
      </c>
      <c r="TV9" s="36" t="str">
        <f t="shared" si="223"/>
        <v/>
      </c>
      <c r="TW9" s="36" t="str">
        <f t="shared" si="224"/>
        <v/>
      </c>
      <c r="TX9" s="16"/>
      <c r="TY9" s="16"/>
      <c r="TZ9" s="16"/>
      <c r="UA9" s="16"/>
      <c r="UB9" s="16"/>
      <c r="UC9" s="16"/>
      <c r="UD9" s="16"/>
      <c r="UE9" s="16"/>
      <c r="UF9" s="16"/>
      <c r="UG9" s="16"/>
      <c r="UH9" s="16"/>
      <c r="UI9" s="16"/>
      <c r="UJ9" s="16"/>
      <c r="UK9" s="16"/>
      <c r="UL9" s="16"/>
      <c r="UM9" s="16"/>
      <c r="UN9" s="16"/>
      <c r="UO9" s="16"/>
      <c r="UP9" s="16"/>
      <c r="UQ9" s="16"/>
      <c r="UR9" s="11" t="str">
        <f t="shared" si="225"/>
        <v/>
      </c>
      <c r="US9" s="11" t="str">
        <f t="shared" si="226"/>
        <v/>
      </c>
      <c r="UT9" s="11" t="str">
        <f t="shared" si="227"/>
        <v/>
      </c>
      <c r="UU9" s="11" t="str">
        <f t="shared" si="228"/>
        <v/>
      </c>
      <c r="UV9" s="11" t="str">
        <f t="shared" si="229"/>
        <v/>
      </c>
      <c r="UW9" s="11" t="str">
        <f t="shared" si="230"/>
        <v/>
      </c>
      <c r="UX9" s="11" t="str">
        <f t="shared" si="231"/>
        <v/>
      </c>
      <c r="UY9" s="11" t="str">
        <f t="shared" si="232"/>
        <v/>
      </c>
      <c r="UZ9" s="11" t="str">
        <f t="shared" si="233"/>
        <v/>
      </c>
      <c r="VA9" s="11" t="str">
        <f t="shared" si="234"/>
        <v/>
      </c>
      <c r="VB9" s="11" t="str">
        <f t="shared" si="235"/>
        <v/>
      </c>
      <c r="VC9" s="11" t="str">
        <f t="shared" si="236"/>
        <v/>
      </c>
      <c r="VD9" s="11" t="str">
        <f t="shared" si="237"/>
        <v/>
      </c>
      <c r="VE9" s="11" t="str">
        <f t="shared" si="238"/>
        <v/>
      </c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36" t="str">
        <f t="shared" si="239"/>
        <v/>
      </c>
      <c r="WA9" s="36" t="str">
        <f t="shared" si="240"/>
        <v/>
      </c>
      <c r="WB9" s="36" t="str">
        <f t="shared" si="241"/>
        <v/>
      </c>
      <c r="WC9" s="36" t="str">
        <f t="shared" si="242"/>
        <v/>
      </c>
      <c r="WD9" s="36" t="str">
        <f t="shared" si="243"/>
        <v/>
      </c>
      <c r="WE9" s="36" t="str">
        <f t="shared" si="244"/>
        <v/>
      </c>
      <c r="WF9" s="36" t="str">
        <f t="shared" si="245"/>
        <v/>
      </c>
      <c r="WG9" s="36" t="str">
        <f t="shared" si="246"/>
        <v/>
      </c>
      <c r="WH9" s="36" t="str">
        <f t="shared" si="247"/>
        <v/>
      </c>
      <c r="WI9" s="36" t="str">
        <f t="shared" si="248"/>
        <v/>
      </c>
      <c r="WJ9" s="36" t="str">
        <f t="shared" si="249"/>
        <v/>
      </c>
      <c r="WK9" s="36" t="str">
        <f t="shared" si="250"/>
        <v/>
      </c>
      <c r="WL9" s="36" t="str">
        <f t="shared" si="251"/>
        <v/>
      </c>
      <c r="WM9" s="36" t="str">
        <f t="shared" si="252"/>
        <v/>
      </c>
    </row>
    <row r="10" spans="1:611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152</v>
      </c>
      <c r="C10" s="4" t="s">
        <v>151</v>
      </c>
      <c r="D10" s="4">
        <v>2004</v>
      </c>
      <c r="E10" s="9">
        <f t="shared" si="0"/>
        <v>169.28001692800567</v>
      </c>
      <c r="F10" s="3" t="str">
        <f>IF(OR(AND(AI10&gt;=AS$27,AI10&lt;&gt;"",AK10&gt;=AS$31,AK10&lt;&gt;"",AH10=""),AND(AL10&gt;=AS$27,AL10&lt;&gt;"",AN10&gt;=AS$31,AN10&lt;&gt;"",AH10=""),AND(AP10&gt;=AS$27,AP10&lt;&gt;"",AR10&gt;=AS$31,AR10&lt;&gt;"",AH10=""),AND(BJ10&gt;=BT$27,BJ10&lt;&gt;"",BL10&gt;=BT$31,BL10&lt;&gt;"",BI10=""),AND(BM10&gt;=BT$27,BM10&lt;&gt;"",BO10&gt;=BT$31,BO10&lt;&gt;"",BI10=""),AND(BQ10&gt;=BT$27,BQ10&lt;&gt;"",BS10&gt;=BT$31,BS10&lt;&gt;"",BI10=""),AND(CK10&gt;=CU$27,CK10&lt;&gt;"",CM10&gt;=CU$31,CM10&lt;&gt;"",CJ10=""),AND(CN10&gt;=CU$27,CN10&lt;&gt;"",CP10&gt;=CU$31,CP10&lt;&gt;"",CJ10=""),AND(CR10&gt;=CU$27,CR10&lt;&gt;"",CT10&gt;=CU$31,CT10&lt;&gt;"",CJ10=""),AND(DR10&gt;=EE$27,DR10&lt;&gt;"",DT10&gt;=EE$31,DT10&lt;&gt;""),AND(DU10&gt;=EE$27,DU10&lt;&gt;"",DW10&gt;=EE$31,DW10&lt;&gt;""),AND(DY10&gt;=EE$27,DY10&lt;&gt;"",EA10&gt;=EE$31,EA10&lt;&gt;""),AND(EB10&gt;=EE$27,EB10&lt;&gt;"",ED10&gt;=EE$31,ED10&lt;&gt;""),AND(EZ10&gt;=FM$27,EZ10&lt;&gt;"",FB10&gt;=FM$31,FB10&lt;&gt;""),AND(FC10&gt;=FM$27,FC10&lt;&gt;"",FE10&gt;=FM$31,FE10&lt;&gt;""),AND(FG10&gt;=FM$27,FG10&lt;&gt;"",FI10&gt;=FM$31,FI10&lt;&gt;""),AND(FJ10&gt;=FM$27,FJ10&lt;&gt;"",FL10&gt;=FM$31,FL10&lt;&gt;""),AND(GH10&gt;=GU$27,GH10&lt;&gt;"",GJ10&gt;=GU$31,GJ10&lt;&gt;""),AND(GK10&gt;=GU$27,GK10&lt;&gt;"",GM10&gt;=GU$31,GM10&lt;&gt;""),AND(GO10&gt;=GU$27,GO10&lt;&gt;"",GQ10&gt;=GU$31,GQ10&lt;&gt;""),AND(GR10&gt;=GU$27,GR10&lt;&gt;"",GT10&gt;=GU$31,GT10&lt;&gt;""),AND(HP10&gt;=IC$27,HP10&lt;&gt;"",HR10&gt;=IC$31,HR10&lt;&gt;""),AND(HS10&gt;=IC$27,HS10&lt;&gt;"",HU10&gt;=IC$31,HU10&lt;&gt;""),AND(HW10&gt;=IC$27,HW10&lt;&gt;"",HY10&gt;=IC$31,HY10&lt;&gt;""),AND(HZ10&gt;=IC$27,HZ10&lt;&gt;"",IB10&gt;=IC$31,IB10&lt;&gt;""),AND(IX10&gt;=JK$27,IX10&lt;&gt;"",IZ10&gt;=JK$31,IZ10&lt;&gt;""),AND(JA10&gt;=JK$27,JA10&lt;&gt;"",JC10&gt;=JK$31,JC10&lt;&gt;""),AND(JE10&gt;=JK$27,JE10&lt;&gt;"",JG10&gt;=JK$31,JG10&lt;&gt;""),AND(JH10&gt;=JK$27,JH10&lt;&gt;"",JJ10&gt;=JK$31,JJ10&lt;&gt;""),AND(KF10&gt;=KS$27,KF10&lt;&gt;"",KH10&gt;=KS$31,KH10&lt;&gt;""),AND(KI10&gt;=KS$27,KI10&lt;&gt;"",KK10&gt;=KS$31,KK10&lt;&gt;""),AND(KM10&gt;=KS$27,KM10&lt;&gt;"",KO10&gt;=KS$31,KO10&lt;&gt;""),AND(KP10&gt;=KS$27,KP10&lt;&gt;"",KR10&gt;=KS$31,KR10&lt;&gt;""),AND(LN10&gt;=MA$27,LN10&lt;&gt;"",LP10&gt;=MA$31,LP10&lt;&gt;""),AND(LQ10&gt;=MA$27,LQ10&lt;&gt;"",LS10&gt;=MA$31,LS10&lt;&gt;""),AND(LU10&gt;=MA$27,LU10&lt;&gt;"",LW10&gt;=MA$31,LW10&lt;&gt;""),AND(LX10&gt;=MA$27,LX10&lt;&gt;"",LZ10&gt;=MA$31,LZ10&lt;&gt;""),AND(MV10&gt;=NI$27,MV10&lt;&gt;"",MX10&gt;=NI$31,MX10&lt;&gt;""),AND(MY10&gt;=NI$27,MY10&lt;&gt;"",NA10&gt;=NI$31,NA10&lt;&gt;""),AND(NC10&gt;=NI$27,NC10&lt;&gt;"",NE10&gt;=NI$31,NE10&lt;&gt;""),AND(NF10&gt;=NI$27,NF10&lt;&gt;"",NH10&gt;=NI$31,NH10&lt;&gt;""),AND(OD10&gt;=OQ$27,OD10&lt;&gt;"",OF10&gt;=OQ$31,OF10&lt;&gt;""),AND(OG10&gt;=OQ$27,OG10&lt;&gt;"",OI10&gt;=OQ$31,OI10&lt;&gt;""),AND(OK10&gt;=OQ$27,OK10&lt;&gt;"",OM10&gt;=OQ$31,OM10&lt;&gt;""),AND(ON10&gt;=OQ$27,ON10&lt;&gt;"",OP10&gt;=OQ$31,OP10&lt;&gt;""),AND(PL10&gt;=PY$27,PL10&lt;&gt;"",PN10&gt;=PY$31,PN10&lt;&gt;""),AND(PO10&gt;=PY$27,PO10&lt;&gt;"",PQ10&gt;=PY$31,PQ10&lt;&gt;""),AND(PS10&gt;=PY$27,PS10&lt;&gt;"",PU10&gt;=PY$31,PU10&lt;&gt;""),AND(PV10&gt;=PY$27,PV10&lt;&gt;"",PX10&gt;=PY$31,PX10&lt;&gt;""),AND(QT10&gt;=RG$27,QT10&lt;&gt;"",QV10&gt;=RG$31,QV10&lt;&gt;""),AND(QW10&gt;=RG$27,QW10&lt;&gt;"",QY10&gt;=RG$31,QY10&lt;&gt;""),AND(RA10&gt;=RG$27,RA10&lt;&gt;"",RC10&gt;=RG$31,RC10&lt;&gt;""),AND(RD10&gt;=RG$27,RD10&lt;&gt;"",RF10&gt;=RG$31,RF10&lt;&gt;""),AND(SB10&gt;=SO$27,SB10&lt;&gt;"",SD10&gt;=SO$31,SD10&lt;&gt;""),AND(SE10&gt;=SO$27,SE10&lt;&gt;"",SG10&gt;=SO$31,SG10&lt;&gt;""),AND(SI10&gt;=SO$27,SI10&lt;&gt;"",SK10&gt;=SO$31,SK10&lt;&gt;""),AND(SL10&gt;=SO$27,SL10&lt;&gt;"",SN10&gt;=SO$31,SN10&lt;&gt;""),AND(TJ10&gt;=TW$27,TJ10&lt;&gt;"",TL10&gt;=TW$31,TL10&lt;&gt;""),AND(TM10&gt;=TW$27,TM10&lt;&gt;"",TO10&gt;=TW$31,TO10&lt;&gt;""),AND(TQ10&gt;=TW$27,TQ10&lt;&gt;"",TS10&gt;=TW$31,TXQ10&lt;&gt;""),AND(TT10&gt;=TW$27,TT10&lt;&gt;"",TV10&gt;=TW$31,TV10&lt;&gt;""),AND(UR10&gt;=VE$27,UR10&lt;&gt;"",UT10&gt;=VE$31,UT10&lt;&gt;""),AND(UU10&gt;=VE$27,UU10&lt;&gt;"",UW10&gt;=VE$31,UW10&lt;&gt;""),AND(UY10&gt;=VE$27,UY10&lt;&gt;"",VA10&gt;=VE$31,VA10&lt;&gt;""),AND(VB10&gt;=VE$27,VB10&lt;&gt;"",VD10&gt;=VE$31,VD10&lt;&gt;""),AND(VZ10&gt;=WM$27,VZ10&lt;&gt;"",WB10&gt;=WM$31,WB10&lt;&gt;""),AND(WC10&gt;=WM$27,WC10&lt;&gt;"",WE10&gt;=WM$31,WE10&lt;&gt;""),AND(WG10&gt;=WM$27,WG10&lt;&gt;"",WI10&gt;=WM$31,WI10&lt;&gt;""),AND(WJ10&gt;=WM$27,WJ10&lt;&gt;"",WL10&gt;=WM$31,WL10&lt;&gt;"")),"P","")</f>
        <v/>
      </c>
      <c r="G10" s="3" t="str">
        <f>IF(OR(AND(AK10&gt;=AS$31,AK10&lt;&gt;"",AH10=""),AND(AN10&gt;=AS$31,AN10&lt;&gt;"",AH10=""),AND(AR10&gt;=AS$31,AR10&lt;&gt;"",AH10=""),AND(BL10&gt;=BT$31,BL10&lt;&gt;"",BI10=""),AND(BO10&gt;=BT$31,BO10&lt;&gt;"",BI10=""),AND(BS10&gt;=BT$31,BS10&lt;&gt;"",BI10=""),AND(CM10&gt;=CU$31,CM10&lt;&gt;"",CJ10=""),AND(CP10&gt;=CU$31,CP10&lt;&gt;"",CJ10=""),AND(CT10&gt;=CU$31,CT10&lt;&gt;"",CJ10=""),AND(DT10&gt;=EE$31,DT10&lt;&gt;""),AND(DW10&gt;=EE$31,DW10&lt;&gt;""),AND(EA10&gt;=EE$31,EA10&lt;&gt;""),AND(ED10&gt;=EE$31,ED10&lt;&gt;""),AND(FB10&gt;=FM$31,FB10&lt;&gt;""),AND(FE10&gt;=FM$31,FE10&lt;&gt;""),AND(FI10&gt;=FM$31,FI10&lt;&gt;""),AND(FL10&gt;=FM$31,FL10&lt;&gt;""),AND(GJ10&gt;=GU$31,GJ10&lt;&gt;""),AND(GM10&gt;=GU$31,GM10&lt;&gt;""),AND(GQ10&gt;=GU$31,GQ10&lt;&gt;""),AND(GT10&gt;=GU$31,GT10&lt;&gt;""),AND(HR10&gt;=IC$31,HR10&lt;&gt;""),AND(HU10&gt;=IC$31,HU10&lt;&gt;""),AND(HY10&gt;=IC$31,HY10&lt;&gt;""),AND(IB10&gt;=IC$31,IB10&lt;&gt;""),AND(IZ10&gt;=JK$31,IZ10&lt;&gt;""),AND(JC10&gt;=JK$31,JC10&lt;&gt;""),AND(JG10&gt;=JK$31,JG10&lt;&gt;""),AND(JJ10&gt;=JK$31,JJ10&lt;&gt;""),AND(KH10&gt;=KS$31,KH10&lt;&gt;""),AND(KK10&gt;=KS$31,KK10&lt;&gt;""),AND(KO10&gt;=KS$31,KO10&lt;&gt;""),AND(KR10&gt;=KS$31,KR10&lt;&gt;""),AND(LP10&gt;=MA$31,LP10&lt;&gt;""),AND(LS10&gt;=MA$31,LS10&lt;&gt;""),AND(LW10&gt;=MA$31,LW10&lt;&gt;""),AND(LZ10&gt;=MA$31,LZ10&lt;&gt;""),AND(MX10&gt;=NI$31,MX10&lt;&gt;""),AND(NA10&gt;=NI$31,NA10&lt;&gt;""),AND(NE10&gt;=NI$31,NE10&lt;&gt;""),AND(NH10&gt;=NI$31,NH10&lt;&gt;""),AND(OF10&gt;=OQ$31,OF10&lt;&gt;""),AND(OI10&gt;=OQ$31,OI10&lt;&gt;""),AND(OM10&gt;=OQ$31,OM10&lt;&gt;""),AND(OP10&gt;=OQ$31,OP10&lt;&gt;""),AND(PN10&gt;=PY$31,PN10&lt;&gt;""),AND(PQ10&gt;=PY$31,PQ10&lt;&gt;""),AND(PU10&gt;=PY$31,PU10&lt;&gt;""),AND(PX10&gt;=PY$31,PX10&lt;&gt;""),AND(QV10&gt;=RG$31,QV10&lt;&gt;""),AND(QY10&gt;=RG$31,QY10&lt;&gt;""),AND(RC10&gt;=RG$31,RC10&lt;&gt;""),AND(RF10&gt;=RG$31,RF10&lt;&gt;""),AND(SD10&gt;=SO$31,SD10&lt;&gt;""),AND(SG10&gt;=SO$31,SG10&lt;&gt;""),AND(SK10&gt;=SO$31,SK10&lt;&gt;""),AND(SN10&gt;=SO$31,SN10&lt;&gt;""),AND(TL10&gt;=TW$31,TL10&lt;&gt;""),AND(TO10&gt;=TW$31,TO10&lt;&gt;""),AND(TS10&gt;=TW$31,TXQ10&lt;&gt;""),AND(TV10&gt;=TW$31,TV10&lt;&gt;""),AND(UT10&gt;=VE$31,UT10&lt;&gt;""),AND(UW10&gt;=VE$31,UW10&lt;&gt;""),AND(VA10&gt;=VE$31,VA10&lt;&gt;""),AND(VD10&gt;=VE$31,VD10&lt;&gt;""),AND(WB10&gt;=WM$31,WB10&lt;&gt;""),AND(WE10&gt;=WM$31,WE10&lt;&gt;""),AND(WI10&gt;=WM$31,WI10&lt;&gt;""),AND(WL10&gt;=WM$31,WL10&lt;&gt;"")),"P","")</f>
        <v>P</v>
      </c>
      <c r="H10" s="32" t="str">
        <f>IF(AND(G10="P",F10=""),"No DD",IF(OR(AND(AI10&gt;=AS$30,AI10&lt;&gt;"",AK10&gt;=AS$34,AK10&lt;&gt;"",AH10=""),AND(AL10&gt;=AS$30,AL10&lt;&gt;"",AN10&gt;=AS$34,AN10&lt;&gt;"",AH10=""),AND(AP10&gt;=AS$30,AP10&lt;&gt;"",AR10&gt;=AS$34,AR10&lt;&gt;"",AH10=""),AND(BJ10&gt;=BT$30,BJ10&lt;&gt;"",BL10&gt;=BT$34,BL10&lt;&gt;"",BI10=""),AND(BM10&gt;=BT$30,BM10&lt;&gt;"",BO10&gt;=BT$34,BO10&lt;&gt;"",BI10=""),AND(BQ10&gt;=BT$30,BQ10&lt;&gt;"",BS10&gt;=BT$34,BS10&lt;&gt;"",BI10=""),AND(CK10&gt;=CU$30,CK10&lt;&gt;"",CM10&gt;=CU$34,CM10&lt;&gt;"",CJ10=""),AND(CN10&gt;=CU$30,CN10&lt;&gt;"",CP10&gt;=CU$34,CP10&lt;&gt;"",CJ10=""),AND(CR10&gt;=CU$30,CR10&lt;&gt;"",CT10&gt;=CU$34,CT10&lt;&gt;"",CJ10=""),AND(DR10&gt;=EE$30,DR10&lt;&gt;"",DT10&gt;=EE$34,DT10&lt;&gt;""),AND(DU10&gt;=EE$30,DU10&lt;&gt;"",DW10&gt;=EE$34,DW10&lt;&gt;""),AND(DY10&gt;=EE$30,DY10&lt;&gt;"",EA10&gt;=EE$34,EA10&lt;&gt;""),AND(EB10&gt;=EE$30,EB10&lt;&gt;"",ED10&gt;=EE$34,ED10&lt;&gt;""),AND(EZ10&gt;=FM$30,EZ10&lt;&gt;"",FB10&gt;=FM$34,FB10&lt;&gt;""),AND(FC10&gt;=FM$30,FC10&lt;&gt;"",FE10&gt;=FM$34,FE10&lt;&gt;""),AND(FG10&gt;=FM$30,FG10&lt;&gt;"",FI10&gt;=FM$34,FI10&lt;&gt;""),AND(FJ10&gt;=FM$30,FJ10&lt;&gt;"",FL10&gt;=FM$34,FL10&lt;&gt;""),AND(GH10&gt;=GU$30,GH10&lt;&gt;"",GJ10&gt;=GU$34,GJ10&lt;&gt;""),AND(GK10&gt;=GU$30,GK10&lt;&gt;"",GM10&gt;=GU$34,GM10&lt;&gt;""),AND(GO10&gt;=GU$30,GO10&lt;&gt;"",GQ10&gt;=GU$34,GQ10&lt;&gt;""),AND(GR10&gt;=GU$30,GR10&lt;&gt;"",GT10&gt;=GU$34,GT10&lt;&gt;""),AND(HP10&gt;=IC$30,HP10&lt;&gt;"",HR10&gt;=IC$34,HR10&lt;&gt;""),AND(HS10&gt;=IC$30,HS10&lt;&gt;"",HU10&gt;=IC$34,HU10&lt;&gt;""),AND(HW10&gt;=IC$30,HW10&lt;&gt;"",HY10&gt;=IC$34,HY10&lt;&gt;""),AND(HZ10&gt;=IC$30,HZ10&lt;&gt;"",IB10&gt;=IC$34,IB10&lt;&gt;""),AND(IX10&gt;=JK$30,IX10&lt;&gt;"",IZ10&gt;=JK$34,IZ10&lt;&gt;""),AND(JA10&gt;=JK$30,JA10&lt;&gt;"",JC10&gt;=JK$34,JC10&lt;&gt;""),AND(JE10&gt;=JK$30,JE10&lt;&gt;"",JG10&gt;=JK$34,JG10&lt;&gt;""),AND(JH10&gt;=JK$30,JH10&lt;&gt;"",JJ10&gt;=JK$34,JJ10&lt;&gt;""),AND(KF10&gt;=KS$30,KF10&lt;&gt;"",KH10&gt;=KS$34,KH10&lt;&gt;""),AND(KI10&gt;=KS$30,KI10&lt;&gt;"",KK10&gt;=KS$34,KK10&lt;&gt;""),AND(KM10&gt;=KS$30,KM10&lt;&gt;"",KO10&gt;=KS$34,KO10&lt;&gt;""),AND(KP10&gt;=KS$30,KP10&lt;&gt;"",KR10&gt;=KS$34,KR10&lt;&gt;""),AND(LN10&gt;=MA$30,LN10&lt;&gt;"",LP10&gt;=MA$34,LP10&lt;&gt;""),AND(LQ10&gt;=MA$30,LQ10&lt;&gt;"",LS10&gt;=MA$34,LS10&lt;&gt;""),AND(LU10&gt;=MA$30,LU10&lt;&gt;"",LW10&gt;=MA$34,LW10&lt;&gt;""),AND(LX10&gt;=MA$30,LX10&lt;&gt;"",LZ10&gt;=MA$34,LZ10&lt;&gt;""),AND(MV10&gt;=NI$30,MV10&lt;&gt;"",MX10&gt;=NI$34,MX10&lt;&gt;""),AND(MY10&gt;=NI$30,MY10&lt;&gt;"",NA10&gt;=NI$34,NA10&lt;&gt;""),AND(NC10&gt;=NI$30,NC10&lt;&gt;"",NE10&gt;=NI$34,NE10&lt;&gt;""),AND(NF10&gt;=NI$30,NF10&lt;&gt;"",NH10&gt;=NI$34,NH10&lt;&gt;""),AND(OD10&gt;=OQ$30,OD10&lt;&gt;"",OF10&gt;=OQ$34,OF10&lt;&gt;""),AND(OG10&gt;=OQ$30,OG10&lt;&gt;"",OI10&gt;=OQ$34,OI10&lt;&gt;""),AND(OK10&gt;=OQ$30,OK10&lt;&gt;"",OM10&gt;=OQ$34,OM10&lt;&gt;""),AND(ON10&gt;=OQ$30,ON10&lt;&gt;"",OP10&gt;=OQ$34,OP10&lt;&gt;""),AND(PL10&gt;=PY$30,PL10&lt;&gt;"",PN10&gt;=PY$34,PN10&lt;&gt;""),AND(PO10&gt;=PY$30,PO10&lt;&gt;"",PQ10&gt;=PY$34,PQ10&lt;&gt;""),AND(PS10&gt;=PY$30,PS10&lt;&gt;"",PU10&gt;=PY$34,PU10&lt;&gt;""),AND(PV10&gt;=PY$30,PV10&lt;&gt;"",PX10&gt;=PY$34,PX10&lt;&gt;""),AND(QT10&gt;=RG$30,QT10&lt;&gt;"",QV10&gt;=RG$34,QV10&lt;&gt;""),AND(QW10&gt;=RG$30,QW10&lt;&gt;"",QY10&gt;=RG$34,QY10&lt;&gt;""),AND(RA10&gt;=RG$30,RA10&lt;&gt;"",RC10&gt;=RG$34,RC10&lt;&gt;""),AND(RD10&gt;=RG$30,RD10&lt;&gt;"",RF10&gt;=RG$34,RF10&lt;&gt;""),AND(SB10&gt;=SO$30,SB10&lt;&gt;"",SD10&gt;=SO$34,SD10&lt;&gt;""),AND(SE10&gt;=SO$30,SE10&lt;&gt;"",SG10&gt;=SO$34,SG10&lt;&gt;""),AND(SI10&gt;=SO$30,SI10&lt;&gt;"",SK10&gt;=SO$34,SK10&lt;&gt;""),AND(SL10&gt;=SO$30,SL10&lt;&gt;"",SN10&gt;=SO$34,SN10&lt;&gt;""),AND(TJ10&gt;=TW$30,TJ10&lt;&gt;"",TL10&gt;=TW$34,TL10&lt;&gt;""),AND(TM10&gt;=TW$30,TM10&lt;&gt;"",TO10&gt;=TW$34,TO10&lt;&gt;""),AND(TQ10&gt;=TW$30,TQ10&lt;&gt;"",TS10&gt;=TW$354,TXQ10&lt;&gt;""),AND(TT10&gt;=TW$30,TT10&lt;&gt;"",TV10&gt;=TW$34,TV10&lt;&gt;""),AND(UR10&gt;=VE$30,UR10&lt;&gt;"",UT10&gt;=VE$34,UT10&lt;&gt;""),AND(UU10&gt;=VE$30,UU10&lt;&gt;"",UW10&gt;=VE$34,UW10&lt;&gt;""),AND(UY10&gt;=VE$30,UY10&lt;&gt;"",VA10&gt;=VE$34,VA10&lt;&gt;""),AND(VB10&gt;=VE$30,VB10&lt;&gt;"",VD10&gt;=VE$34,VD10&lt;&gt;""),AND(VZ10&gt;=WM$30,VZ10&lt;&gt;"",WB10&gt;=WM$34,WB10&lt;&gt;""),AND(WC10&gt;=WM$30,WC10&lt;&gt;"",WE10&gt;=WM$34,WE10&lt;&gt;""),AND(WG10&gt;=WM$30,WG10&lt;&gt;"",WI10&gt;=WM$34,WI10&lt;&gt;""),AND(WJ10&gt;=WM$30,WJ10&lt;&gt;"",WL10&gt;=WM$34,WL10&lt;&gt;"")),"Merit",IF(OR(AND(AI10&gt;=AS$29,AI10&lt;&gt;"",AK10&gt;=AS$33,AK10&lt;&gt;"",AH10=""),AND(AL10&gt;=AS$29,AL10&lt;&gt;"",AN10&gt;=AS$33,AN10&lt;&gt;"",AH10=""),AND(AP10&gt;=AS$29,AP10&lt;&gt;"",AR10&gt;=AS$33,AR10&lt;&gt;"",AH10=""),AND(BJ10&gt;=BT$29,BJ10&lt;&gt;"",BL10&gt;=BT$33,BL10&lt;&gt;"",BI10=""),AND(BM10&gt;=BT$29,BM10&lt;&gt;"",BO10&gt;=BT$33,BO10&lt;&gt;"",BI10=""),AND(BQ10&gt;=BT$29,BQ10&lt;&gt;"",BS10&gt;=BT$33,BS10&lt;&gt;"",BI10=""),AND(CK10&gt;=CU$29,CK10&lt;&gt;"",CM10&gt;=CU$33,CM10&lt;&gt;"",CJ10=""),AND(CN10&gt;=CU$29,CN10&lt;&gt;"",CP10&gt;=CU$33,CP10&lt;&gt;"",CJ10=""),AND(CR10&gt;=CU$29,CR10&lt;&gt;"",CT10&gt;=CU$33,CT10&lt;&gt;"",CJ10=""),AND(DR10&gt;=EE$29,DR10&lt;&gt;"",DT10&gt;=EE$33,DT10&lt;&gt;""),AND(DU10&gt;=EE$29,DU10&lt;&gt;"",DW10&gt;=EE$33,DW10&lt;&gt;""),AND(DY10&gt;=EE$29,DY10&lt;&gt;"",EA10&gt;=EE$33,EA10&lt;&gt;""),AND(EB10&gt;=EE$29,EB10&lt;&gt;"",ED10&gt;=EE$33,ED10&lt;&gt;""),AND(EZ10&gt;=FM$29,EZ10&lt;&gt;"",FB10&gt;=FM$33,FB10&lt;&gt;""),AND(FC10&gt;=FM$29,FC10&lt;&gt;"",FE10&gt;=FM$33,FE10&lt;&gt;""),AND(FG10&gt;=FM$29,FG10&lt;&gt;"",FI10&gt;=FM$33,FI10&lt;&gt;""),AND(FJ10&gt;=FM$29,FJ10&lt;&gt;"",FL10&gt;=FM$33,FL10&lt;&gt;""),AND(GH10&gt;=GU$29,GH10&lt;&gt;"",GJ10&gt;=GU$33,GJ10&lt;&gt;""),AND(GK10&gt;=GU$29,GK10&lt;&gt;"",GM10&gt;=GU$33,GM10&lt;&gt;""),AND(GO10&gt;=GU$29,GO10&lt;&gt;"",GQ10&gt;=GU$33,GQ10&lt;&gt;""),AND(GR10&gt;=GU$29,GR10&lt;&gt;"",GT10&gt;=GU$33,GT10&lt;&gt;""),AND(HP10&gt;=IC$29,HP10&lt;&gt;"",HR10&gt;=IC$33,HR10&lt;&gt;""),AND(HS10&gt;=IC$29,HS10&lt;&gt;"",HU10&gt;=IC$33,HU10&lt;&gt;""),AND(HW10&gt;=IC$29,HW10&lt;&gt;"",HY10&gt;=IC$33,HY10&lt;&gt;""),AND(HZ10&gt;=IC$29,HZ10&lt;&gt;"",IB10&gt;=IC$33,IB10&lt;&gt;""),AND(IX10&gt;=JK$29,IX10&lt;&gt;"",IZ10&gt;=JK$33,IZ10&lt;&gt;""),AND(JA10&gt;=JK$29,JA10&lt;&gt;"",JC10&gt;=JK$33,JC10&lt;&gt;""),AND(JE10&gt;=JK$29,JE10&lt;&gt;"",JG10&gt;=JK$33,JG10&lt;&gt;""),AND(JH10&gt;=JK$29,JH10&lt;&gt;"",JJ10&gt;=JK$33,JJ10&lt;&gt;""),AND(KF10&gt;=KS$29,KF10&lt;&gt;"",KH10&gt;=KS$33,KH10&lt;&gt;""),AND(KI10&gt;=KS$29,KI10&lt;&gt;"",KK10&gt;=KS$33,KK10&lt;&gt;""),AND(KM10&gt;=KS$29,KM10&lt;&gt;"",KO10&gt;=KS$33,KO10&lt;&gt;""),AND(KP10&gt;=KS$29,KP10&lt;&gt;"",KR10&gt;=KS$33,KR10&lt;&gt;""),AND(LN10&gt;=MA$29,LN10&lt;&gt;"",LP10&gt;=MA$33,LP10&lt;&gt;""),AND(LQ10&gt;=MA$29,LQ10&lt;&gt;"",LS10&gt;=MA$33,LS10&lt;&gt;""),AND(LU10&gt;=MA$29,LU10&lt;&gt;"",LW10&gt;=MA$33,LW10&lt;&gt;""),AND(LX10&gt;=MA$29,LX10&lt;&gt;"",LZ10&gt;=MA$33,LZ10&lt;&gt;""),AND(MV10&gt;=NI$29,MV10&lt;&gt;"",MX10&gt;=NI$33,MX10&lt;&gt;""),AND(MY10&gt;=NI$29,MY10&lt;&gt;"",NA10&gt;=NI$33,NA10&lt;&gt;""),AND(NC10&gt;=NI$29,NC10&lt;&gt;"",NE10&gt;=NI$33,NE10&lt;&gt;""),AND(NF10&gt;=NI$29,NF10&lt;&gt;"",NH10&gt;=NI$33,NH10&lt;&gt;""),AND(OD10&gt;=OQ$29,OD10&lt;&gt;"",OF10&gt;=OQ$33,OF10&lt;&gt;""),AND(OG10&gt;=OQ$29,OG10&lt;&gt;"",OI10&gt;=OQ$33,OI10&lt;&gt;""),AND(OK10&gt;=OQ$29,OK10&lt;&gt;"",OM10&gt;=OQ$33,OM10&lt;&gt;""),AND(ON10&gt;=OQ$29,ON10&lt;&gt;"",OP10&gt;=OQ$33,OP10&lt;&gt;""),AND(PL10&gt;=PY$29,PL10&lt;&gt;"",PN10&gt;=PY$33,PN10&lt;&gt;""),AND(PO10&gt;=PY$29,PO10&lt;&gt;"",PQ10&gt;=PY$33,PQ10&lt;&gt;""),AND(PS10&gt;=PY$29,PS10&lt;&gt;"",PU10&gt;=PY$33,PU10&lt;&gt;""),AND(PV10&gt;=PY$29,PV10&lt;&gt;"",PX10&gt;=PY$33,PX10&lt;&gt;""),AND(QT10&gt;=RG$29,QT10&lt;&gt;"",QV10&gt;=RG$33,QV10&lt;&gt;""),AND(QW10&gt;=RG$29,QW10&lt;&gt;"",QY10&gt;=RG$33,QY10&lt;&gt;""),AND(RA10&gt;=RG$29,RA10&lt;&gt;"",RC10&gt;=RG$33,RC10&lt;&gt;""),AND(RD10&gt;=RG$29,RD10&lt;&gt;"",RF10&gt;=RG$33,RF10&lt;&gt;""),AND(SB10&gt;=SO$29,SB10&lt;&gt;"",SD10&gt;=SO$33,SD10&lt;&gt;""),AND(SE10&gt;=SO$29,SE10&lt;&gt;"",SG10&gt;=SO$33,SG10&lt;&gt;""),AND(SI10&gt;=SO$29,SI10&lt;&gt;"",SK10&gt;=SO$33,SK10&lt;&gt;""),AND(SL10&gt;=SO$29,SL10&lt;&gt;"",SN10&gt;=SO$33,SN10&lt;&gt;""),AND(TJ10&gt;=TW$29,TJ10&lt;&gt;"",TL10&gt;=TW$33,TL10&lt;&gt;""),AND(TM10&gt;=TW$29,TM10&lt;&gt;"",TO10&gt;=TW$33,TO10&lt;&gt;""),AND(TQ10&gt;=TW$29,TQ10&lt;&gt;"",TS10&gt;=TW$33,TXQ10&lt;&gt;""),AND(TT10&gt;=TW$29,TT10&lt;&gt;"",TV10&gt;=TW$33,TV10&lt;&gt;""),AND(UR10&gt;=VE$29,UR10&lt;&gt;"",UT10&gt;=VE$33,UT10&lt;&gt;""),AND(UU10&gt;=VE$29,UU10&lt;&gt;"",UW10&gt;=VE$33,UW10&lt;&gt;""),AND(UY10&gt;=VE$29,UY10&lt;&gt;"",VA10&gt;=VE$33,VA10&lt;&gt;""),AND(VB10&gt;=VE$29,VB10&lt;&gt;"",VD10&gt;=VE$33,VD10&lt;&gt;""),AND(VZ10&gt;=WM$29,VZ10&lt;&gt;"",WB10&gt;=WM$33,WB10&lt;&gt;""),AND(WC10&gt;=WM$29,WC10&lt;&gt;"",WE10&gt;=WM$33,WE10&lt;&gt;""),AND(WG10&gt;=WM$29,WG10&lt;&gt;"",WI10&gt;=WM$33,WI10&lt;&gt;""),AND(WJ10&gt;=WM$29,WJ10&lt;&gt;"",WL10&gt;=WM$33,WL10&lt;&gt;"")),"Excellence",IF(I10="P","Worlds Team",IF(F10="P","National Team","")))))</f>
        <v>No DD</v>
      </c>
      <c r="I10" s="3" t="str">
        <f>IF(OR(AND(AI10&gt;=AS$28,AI10&lt;&gt;"",AK10&gt;=AS$32,AK10&lt;&gt;"",AH10=""),AND(AL10&gt;=AS$28,AL10&lt;&gt;"",AN10&gt;=AS$32,AN10&lt;&gt;"",AH10=""),AND(AP10&gt;=AS$28,AP10&lt;&gt;"",AR10&gt;=AS$32,AR10&lt;&gt;"",AH10=""),AND(BJ10&gt;=BT$28,BJ10&lt;&gt;"",BL10&gt;=BT$32,BL10&lt;&gt;"",BI10=""),AND(BM10&gt;=BT$28,BM10&lt;&gt;"",BO10&gt;=BT$32,BO10&lt;&gt;"",BI10=""),AND(BQ10&gt;=BT$28,BQ10&lt;&gt;"",BS10&gt;=BT$32,BS10&lt;&gt;"",BI10=""),AND(CK10&gt;=CU$28,CK10&lt;&gt;"",CM10&gt;=CU$32,CM10&lt;&gt;"",CJ10=""),AND(CN10&gt;=CU$28,CN10&lt;&gt;"",CP10&gt;=CU$32,CP10&lt;&gt;"",CJ10=""),AND(CR10&gt;=CU$28,CR10&lt;&gt;"",CT10&gt;=CU$32,CT10&lt;&gt;"",CJ10=""),AND(DR10&gt;=EE$28,DR10&lt;&gt;"",DT10&gt;=EE$32,DT10&lt;&gt;""),AND(DU10&gt;=EE$28,DU10&lt;&gt;"",DW10&gt;=EE$32,DW10&lt;&gt;""),AND(DY10&gt;=EE$28,DY10&lt;&gt;"",EA10&gt;=EE$32,EA10&lt;&gt;""),AND(EB10&gt;=EE$28,EB10&lt;&gt;"",ED10&gt;=EE$32,ED10&lt;&gt;""),AND(EZ10&gt;=FM$28,EZ10&lt;&gt;"",FB10&gt;=FM$32,FB10&lt;&gt;""),AND(FC10&gt;=FM$28,FC10&lt;&gt;"",FE10&gt;=FM$32,FE10&lt;&gt;""),AND(FG10&gt;=FM$28,FG10&lt;&gt;"",FI10&gt;=FM$32,FI10&lt;&gt;""),AND(FJ10&gt;=FM$28,FJ10&lt;&gt;"",FL10&gt;=FM$32,FL10&lt;&gt;""),AND(GH10&gt;=GU$28,GH10&lt;&gt;"",GJ10&gt;=GU$32,GJ10&lt;&gt;""),AND(GK10&gt;=GU$28,GK10&lt;&gt;"",GM10&gt;=GU$32,GM10&lt;&gt;""),AND(GO10&gt;=GU$28,GO10&lt;&gt;"",GQ10&gt;=GU$32,GQ10&lt;&gt;""),AND(GR10&gt;=GU$28,GR10&lt;&gt;"",GT10&gt;=GU$32,GT10&lt;&gt;""),AND(HP10&gt;=IC$28,HP10&lt;&gt;"",HR10&gt;=IC$32,HR10&lt;&gt;""),AND(HS10&gt;=IC$28,HS10&lt;&gt;"",HU10&gt;=IC$32,HU10&lt;&gt;""),AND(HW10&gt;=IC$28,HW10&lt;&gt;"",HY10&gt;=IC$32,HY10&lt;&gt;""),AND(HZ10&gt;=IC$28,HZ10&lt;&gt;"",IB10&gt;=IC$32,IB10&lt;&gt;""),AND(IX10&gt;=JK$28,IX10&lt;&gt;"",IZ10&gt;=JK$32,IZ10&lt;&gt;""),AND(JA10&gt;=JK$28,JA10&lt;&gt;"",JC10&gt;=JK$32,JC10&lt;&gt;""),AND(JE10&gt;=JK$28,JE10&lt;&gt;"",JG10&gt;=JK$32,JG10&lt;&gt;""),AND(JH10&gt;=JK$28,JH10&lt;&gt;"",JJ10&gt;=JK$32,JJ10&lt;&gt;""),AND(KF10&gt;=KS$28,KF10&lt;&gt;"",KH10&gt;=KS$32,KH10&lt;&gt;""),AND(KI10&gt;=KS$28,KI10&lt;&gt;"",KK10&gt;=KS$32,KK10&lt;&gt;""),AND(KM10&gt;=KS$28,KM10&lt;&gt;"",KO10&gt;=KS$32,KO10&lt;&gt;""),AND(KP10&gt;=KS$28,KP10&lt;&gt;"",KR10&gt;=KS$32,KR10&lt;&gt;""),AND(LN10&gt;=MA$28,LN10&lt;&gt;"",LP10&gt;=MA$32,LP10&lt;&gt;""),AND(LQ10&gt;=MA$28,LQ10&lt;&gt;"",LS10&gt;=MA$32,LS10&lt;&gt;""),AND(LU10&gt;=MA$28,LU10&lt;&gt;"",LW10&gt;=MA$32,LW10&lt;&gt;""),AND(LX10&gt;=MA$28,LX10&lt;&gt;"",LZ10&gt;=MA$32,LZ10&lt;&gt;""),AND(MV10&gt;=NI$28,MV10&lt;&gt;"",MX10&gt;=NI$32,MX10&lt;&gt;""),AND(MY10&gt;=NI$28,MY10&lt;&gt;"",NA10&gt;=NI$32,NA10&lt;&gt;""),AND(NC10&gt;=NI$28,NC10&lt;&gt;"",NE10&gt;=NI$32,NE10&lt;&gt;""),AND(NF10&gt;=NI$28,NF10&lt;&gt;"",NH10&gt;=NI$32,NH10&lt;&gt;""),AND(OD10&gt;=OQ$28,OD10&lt;&gt;"",OF10&gt;=OQ$32,OF10&lt;&gt;""),AND(OG10&gt;=OQ$28,OG10&lt;&gt;"",OI10&gt;=OQ$32,OI10&lt;&gt;""),AND(OK10&gt;=OQ$28,OK10&lt;&gt;"",OM10&gt;=OQ$32,OM10&lt;&gt;""),AND(ON10&gt;=OQ$28,ON10&lt;&gt;"",OP10&gt;=OQ$32,OP10&lt;&gt;""),AND(PL10&gt;=PY$28,PL10&lt;&gt;"",PN10&gt;=PY$32,PN10&lt;&gt;""),AND(PO10&gt;=PY$28,PO10&lt;&gt;"",PQ10&gt;=PY$32,PQ10&lt;&gt;""),AND(PS10&gt;=PY$28,PS10&lt;&gt;"",PU10&gt;=PY$32,PU10&lt;&gt;""),AND(PV10&gt;=PY$28,PV10&lt;&gt;"",PX10&gt;=PY$32,PX10&lt;&gt;""),AND(QT10&gt;=RG$28,QT10&lt;&gt;"",QV10&gt;=RG$32,QV10&lt;&gt;""),AND(QW10&gt;=RG$28,QW10&lt;&gt;"",QY10&gt;=RG$32,QY10&lt;&gt;""),AND(RA10&gt;=RG$28,RA10&lt;&gt;"",RC10&gt;=RG$32,RC10&lt;&gt;""),AND(RD10&gt;=RG$28,RD10&lt;&gt;"",RF10&gt;=RG$32,RF10&lt;&gt;""),AND(SB10&gt;=SO$28,SB10&lt;&gt;"",SD10&gt;=SO$32,SD10&lt;&gt;""),AND(SE10&gt;=SO$28,SE10&lt;&gt;"",SG10&gt;=SO$32,SG10&lt;&gt;""),AND(SI10&gt;=SO$28,SI10&lt;&gt;"",SK10&gt;=SO$32,SK10&lt;&gt;""),AND(SL10&gt;=SO$28,SL10&lt;&gt;"",SN10&gt;=SO$32,SN10&lt;&gt;""),AND(TJ10&gt;=TW$28,TJ10&lt;&gt;"",TL10&gt;=TW$32,TL10&lt;&gt;""),AND(TM10&gt;=TW$28,TM10&lt;&gt;"",TO10&gt;=TW$32,TO10&lt;&gt;""),AND(TQ10&gt;=TW$28,TQ10&lt;&gt;"",TS10&gt;=TW$32,TXQ10&lt;&gt;""),AND(TT10&gt;=TW$28,TT10&lt;&gt;"",TV10&gt;=TW$32,TV10&lt;&gt;""),AND(UR10&gt;=VE$28,UR10&lt;&gt;"",UT10&gt;=VE$32,UT10&lt;&gt;""),AND(UU10&gt;=VE$28,UU10&lt;&gt;"",UW10&gt;=VE$32,UW10&lt;&gt;""),AND(UY10&gt;=VE$28,UY10&lt;&gt;"",VA10&gt;=VE$32,VA10&lt;&gt;""),AND(VB10&gt;=VE$28,VB10&lt;&gt;"",VD10&gt;=VE$32,VD10&lt;&gt;""),AND(VZ10&gt;=WM$28,VZ10&lt;&gt;"",WB10&gt;=WM$32,WB10&lt;&gt;""),AND(WC10&gt;=WM$28,WC10&lt;&gt;"",WE10&gt;=WM$32,WE10&lt;&gt;""),AND(WG10&gt;=WM$28,WG10&lt;&gt;"",WI10&gt;=WM$32,WI10&lt;&gt;""),AND(WJ10&gt;=WM$28,WJ10&lt;&gt;"",WL10&gt;=WM$32,WL10&lt;&gt;"")),"P","")</f>
        <v/>
      </c>
      <c r="J10" s="8">
        <f t="shared" si="1"/>
        <v>56.5</v>
      </c>
      <c r="K10" s="8" t="str">
        <f t="shared" si="2"/>
        <v>2026 Elite Canada</v>
      </c>
      <c r="L10" s="8">
        <f>IFERROR(IF(J10=AR10,LARGE((AK10,AN10,BL10,BO10,BS10,CM10,CP10,CT10),1),IF(J10=BS10,LARGE((AK10,AN10,AR10,BL10,BO10,CM10,CP10,CT10),1),LARGE((AK10,AN10,AR10,BL10,BO10,BS10,CM10,CP10),1))),0)</f>
        <v>56.7</v>
      </c>
      <c r="M10" s="8" t="str">
        <f t="shared" si="3"/>
        <v>2026 Elite Canada</v>
      </c>
      <c r="N10" s="8">
        <f>IFERROR(IF(J10=AR10,LARGE((AK10,AN10,BL10,BO10,BS10,CM10,CP10,CT10),2),IF(J10=BS10,LARGE((AK10,AN10,AR10,BL10,BO10,CM10,CP10,CT10),2),LARGE((AK10,AN10,AR10,BL10,BO10,BS10,CM10,CP10),2))),0)</f>
        <v>56.08</v>
      </c>
      <c r="O10" s="8" t="str">
        <f t="shared" si="4"/>
        <v>2025 3rd Domestic Trial</v>
      </c>
      <c r="P10" s="8">
        <f t="shared" si="5"/>
        <v>0</v>
      </c>
      <c r="Q10" s="11" t="str">
        <f t="shared" si="6"/>
        <v/>
      </c>
      <c r="R10" s="8" t="str">
        <f t="shared" si="7"/>
        <v/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23"/>
      <c r="AI10" s="34" t="str">
        <f t="shared" si="8"/>
        <v/>
      </c>
      <c r="AJ10" s="34" t="str">
        <f t="shared" si="9"/>
        <v/>
      </c>
      <c r="AK10" s="36" t="str">
        <f t="shared" si="10"/>
        <v/>
      </c>
      <c r="AL10" s="36" t="str">
        <f t="shared" si="11"/>
        <v/>
      </c>
      <c r="AM10" s="36" t="str">
        <f t="shared" si="12"/>
        <v/>
      </c>
      <c r="AN10" s="36" t="str">
        <f t="shared" si="13"/>
        <v/>
      </c>
      <c r="AO10" s="36" t="str">
        <f t="shared" si="14"/>
        <v/>
      </c>
      <c r="AP10" s="36" t="str">
        <f t="shared" si="15"/>
        <v/>
      </c>
      <c r="AQ10" s="36" t="str">
        <f t="shared" si="16"/>
        <v/>
      </c>
      <c r="AR10" s="36" t="str">
        <f t="shared" si="17"/>
        <v/>
      </c>
      <c r="AS10" s="36" t="str">
        <f t="shared" si="18"/>
        <v/>
      </c>
      <c r="AT10" s="22">
        <v>15.6</v>
      </c>
      <c r="AU10" s="22">
        <v>9.3000000000000007</v>
      </c>
      <c r="AV10" s="22">
        <v>14.9</v>
      </c>
      <c r="AW10" s="22">
        <v>16.28</v>
      </c>
      <c r="AX10" s="22">
        <v>0</v>
      </c>
      <c r="AY10" s="22">
        <v>3.2</v>
      </c>
      <c r="AZ10" s="22">
        <v>1.7</v>
      </c>
      <c r="BA10" s="22">
        <v>3.5</v>
      </c>
      <c r="BB10" s="22">
        <v>3.56</v>
      </c>
      <c r="BC10" s="22">
        <v>0</v>
      </c>
      <c r="BD10" s="22">
        <v>15</v>
      </c>
      <c r="BE10" s="22">
        <v>8.6999999999999993</v>
      </c>
      <c r="BF10" s="22">
        <v>11.2</v>
      </c>
      <c r="BG10" s="22">
        <v>15.66</v>
      </c>
      <c r="BH10" s="22">
        <v>3.3</v>
      </c>
      <c r="BI10" s="24"/>
      <c r="BJ10" s="35">
        <f t="shared" si="19"/>
        <v>14.9</v>
      </c>
      <c r="BK10" s="35">
        <f t="shared" si="20"/>
        <v>16.28</v>
      </c>
      <c r="BL10" s="11">
        <f t="shared" si="21"/>
        <v>56.08</v>
      </c>
      <c r="BM10" s="11">
        <f t="shared" si="22"/>
        <v>3.5</v>
      </c>
      <c r="BN10" s="11">
        <f t="shared" si="23"/>
        <v>3.56</v>
      </c>
      <c r="BO10" s="11">
        <f t="shared" si="24"/>
        <v>11.96</v>
      </c>
      <c r="BP10" s="11">
        <f t="shared" si="25"/>
        <v>56.08</v>
      </c>
      <c r="BQ10" s="11">
        <f t="shared" si="26"/>
        <v>11.2</v>
      </c>
      <c r="BR10" s="11">
        <f t="shared" si="27"/>
        <v>15.66</v>
      </c>
      <c r="BS10" s="11">
        <f t="shared" si="28"/>
        <v>47.260000000000005</v>
      </c>
      <c r="BT10" s="11">
        <f t="shared" si="29"/>
        <v>103.34</v>
      </c>
      <c r="BU10" s="18">
        <v>15.4</v>
      </c>
      <c r="BV10" s="18">
        <v>9.5</v>
      </c>
      <c r="BW10" s="18">
        <v>15.3</v>
      </c>
      <c r="BX10" s="18">
        <v>16.5</v>
      </c>
      <c r="BY10" s="18">
        <v>0</v>
      </c>
      <c r="BZ10" s="18">
        <v>4.4000000000000004</v>
      </c>
      <c r="CA10" s="18">
        <v>2.6</v>
      </c>
      <c r="CB10" s="18">
        <v>4.8</v>
      </c>
      <c r="CC10" s="18">
        <v>5.29</v>
      </c>
      <c r="CD10" s="18">
        <v>0</v>
      </c>
      <c r="CE10" s="18">
        <v>15.6</v>
      </c>
      <c r="CF10" s="18">
        <v>9.6</v>
      </c>
      <c r="CG10" s="18">
        <v>14.9</v>
      </c>
      <c r="CH10" s="18">
        <v>16.399999999999999</v>
      </c>
      <c r="CI10" s="18">
        <v>0</v>
      </c>
      <c r="CJ10" s="23"/>
      <c r="CK10" s="34">
        <f t="shared" si="30"/>
        <v>15.3</v>
      </c>
      <c r="CL10" s="34">
        <f t="shared" si="31"/>
        <v>16.5</v>
      </c>
      <c r="CM10" s="36">
        <f t="shared" si="32"/>
        <v>56.7</v>
      </c>
      <c r="CN10" s="36">
        <f t="shared" si="33"/>
        <v>4.8</v>
      </c>
      <c r="CO10" s="36">
        <f t="shared" si="34"/>
        <v>5.29</v>
      </c>
      <c r="CP10" s="36">
        <f t="shared" si="35"/>
        <v>17.09</v>
      </c>
      <c r="CQ10" s="36">
        <f t="shared" si="36"/>
        <v>56.7</v>
      </c>
      <c r="CR10" s="36">
        <f t="shared" si="37"/>
        <v>14.9</v>
      </c>
      <c r="CS10" s="36">
        <f t="shared" si="38"/>
        <v>16.399999999999999</v>
      </c>
      <c r="CT10" s="36">
        <f t="shared" si="39"/>
        <v>56.5</v>
      </c>
      <c r="CU10" s="36">
        <f t="shared" si="40"/>
        <v>113.2</v>
      </c>
      <c r="CV10" s="47" t="str">
        <f t="shared" si="41"/>
        <v/>
      </c>
      <c r="CW10" s="47" t="str">
        <f t="shared" si="42"/>
        <v/>
      </c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36" t="str">
        <f t="shared" si="43"/>
        <v/>
      </c>
      <c r="DS10" s="36" t="str">
        <f t="shared" si="44"/>
        <v/>
      </c>
      <c r="DT10" s="36" t="str">
        <f t="shared" si="45"/>
        <v/>
      </c>
      <c r="DU10" s="36" t="str">
        <f t="shared" si="46"/>
        <v/>
      </c>
      <c r="DV10" s="36" t="str">
        <f t="shared" si="47"/>
        <v/>
      </c>
      <c r="DW10" s="36" t="str">
        <f t="shared" si="48"/>
        <v/>
      </c>
      <c r="DX10" s="36" t="str">
        <f t="shared" si="49"/>
        <v/>
      </c>
      <c r="DY10" s="36" t="str">
        <f t="shared" si="50"/>
        <v/>
      </c>
      <c r="DZ10" s="36" t="str">
        <f t="shared" si="51"/>
        <v/>
      </c>
      <c r="EA10" s="36" t="str">
        <f t="shared" si="52"/>
        <v/>
      </c>
      <c r="EB10" s="36" t="str">
        <f t="shared" si="53"/>
        <v/>
      </c>
      <c r="EC10" s="36" t="str">
        <f t="shared" si="54"/>
        <v/>
      </c>
      <c r="ED10" s="36" t="str">
        <f t="shared" si="55"/>
        <v/>
      </c>
      <c r="EE10" s="36" t="str">
        <f t="shared" si="56"/>
        <v/>
      </c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1" t="str">
        <f t="shared" si="57"/>
        <v/>
      </c>
      <c r="FA10" s="11" t="str">
        <f t="shared" si="58"/>
        <v/>
      </c>
      <c r="FB10" s="11" t="str">
        <f t="shared" si="59"/>
        <v/>
      </c>
      <c r="FC10" s="11" t="str">
        <f t="shared" si="60"/>
        <v/>
      </c>
      <c r="FD10" s="11" t="str">
        <f t="shared" si="61"/>
        <v/>
      </c>
      <c r="FE10" s="11" t="str">
        <f t="shared" si="62"/>
        <v/>
      </c>
      <c r="FF10" s="11" t="str">
        <f t="shared" si="63"/>
        <v/>
      </c>
      <c r="FG10" s="11" t="str">
        <f t="shared" si="64"/>
        <v/>
      </c>
      <c r="FH10" s="11" t="str">
        <f t="shared" si="65"/>
        <v/>
      </c>
      <c r="FI10" s="11" t="str">
        <f t="shared" si="66"/>
        <v/>
      </c>
      <c r="FJ10" s="11" t="str">
        <f t="shared" si="67"/>
        <v/>
      </c>
      <c r="FK10" s="11" t="str">
        <f t="shared" si="68"/>
        <v/>
      </c>
      <c r="FL10" s="11" t="str">
        <f t="shared" si="69"/>
        <v/>
      </c>
      <c r="FM10" s="11" t="str">
        <f t="shared" si="70"/>
        <v/>
      </c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36" t="str">
        <f t="shared" si="71"/>
        <v/>
      </c>
      <c r="GI10" s="36" t="str">
        <f t="shared" si="72"/>
        <v/>
      </c>
      <c r="GJ10" s="36" t="str">
        <f t="shared" si="73"/>
        <v/>
      </c>
      <c r="GK10" s="36" t="str">
        <f t="shared" si="74"/>
        <v/>
      </c>
      <c r="GL10" s="36" t="str">
        <f t="shared" si="75"/>
        <v/>
      </c>
      <c r="GM10" s="36" t="str">
        <f t="shared" si="76"/>
        <v/>
      </c>
      <c r="GN10" s="36" t="str">
        <f t="shared" si="77"/>
        <v/>
      </c>
      <c r="GO10" s="36" t="str">
        <f t="shared" si="78"/>
        <v/>
      </c>
      <c r="GP10" s="36" t="str">
        <f t="shared" si="79"/>
        <v/>
      </c>
      <c r="GQ10" s="36" t="str">
        <f t="shared" si="80"/>
        <v/>
      </c>
      <c r="GR10" s="36" t="str">
        <f t="shared" si="81"/>
        <v/>
      </c>
      <c r="GS10" s="36" t="str">
        <f t="shared" si="82"/>
        <v/>
      </c>
      <c r="GT10" s="36" t="str">
        <f t="shared" si="83"/>
        <v/>
      </c>
      <c r="GU10" s="36" t="str">
        <f t="shared" si="84"/>
        <v/>
      </c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1" t="str">
        <f t="shared" si="85"/>
        <v/>
      </c>
      <c r="HQ10" s="11" t="str">
        <f t="shared" si="86"/>
        <v/>
      </c>
      <c r="HR10" s="11" t="str">
        <f t="shared" si="87"/>
        <v/>
      </c>
      <c r="HS10" s="11" t="str">
        <f t="shared" si="88"/>
        <v/>
      </c>
      <c r="HT10" s="11" t="str">
        <f t="shared" si="89"/>
        <v/>
      </c>
      <c r="HU10" s="11" t="str">
        <f t="shared" si="90"/>
        <v/>
      </c>
      <c r="HV10" s="11" t="str">
        <f t="shared" si="91"/>
        <v/>
      </c>
      <c r="HW10" s="11" t="str">
        <f t="shared" si="92"/>
        <v/>
      </c>
      <c r="HX10" s="11" t="str">
        <f t="shared" si="93"/>
        <v/>
      </c>
      <c r="HY10" s="11" t="str">
        <f t="shared" si="94"/>
        <v/>
      </c>
      <c r="HZ10" s="11" t="str">
        <f t="shared" si="95"/>
        <v/>
      </c>
      <c r="IA10" s="11" t="str">
        <f t="shared" si="96"/>
        <v/>
      </c>
      <c r="IB10" s="11" t="str">
        <f t="shared" si="97"/>
        <v/>
      </c>
      <c r="IC10" s="11" t="str">
        <f t="shared" si="98"/>
        <v/>
      </c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36" t="str">
        <f t="shared" si="99"/>
        <v/>
      </c>
      <c r="IY10" s="36" t="str">
        <f t="shared" si="100"/>
        <v/>
      </c>
      <c r="IZ10" s="36" t="str">
        <f t="shared" si="101"/>
        <v/>
      </c>
      <c r="JA10" s="36" t="str">
        <f t="shared" si="102"/>
        <v/>
      </c>
      <c r="JB10" s="36" t="str">
        <f t="shared" si="103"/>
        <v/>
      </c>
      <c r="JC10" s="36" t="str">
        <f t="shared" si="104"/>
        <v/>
      </c>
      <c r="JD10" s="36" t="str">
        <f t="shared" si="105"/>
        <v/>
      </c>
      <c r="JE10" s="36" t="str">
        <f t="shared" si="106"/>
        <v/>
      </c>
      <c r="JF10" s="36" t="str">
        <f t="shared" si="107"/>
        <v/>
      </c>
      <c r="JG10" s="36" t="str">
        <f t="shared" si="108"/>
        <v/>
      </c>
      <c r="JH10" s="36" t="str">
        <f t="shared" si="109"/>
        <v/>
      </c>
      <c r="JI10" s="36" t="str">
        <f t="shared" si="110"/>
        <v/>
      </c>
      <c r="JJ10" s="36" t="str">
        <f t="shared" si="111"/>
        <v/>
      </c>
      <c r="JK10" s="36" t="str">
        <f t="shared" si="112"/>
        <v/>
      </c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1" t="str">
        <f t="shared" si="113"/>
        <v/>
      </c>
      <c r="KG10" s="11" t="str">
        <f t="shared" si="114"/>
        <v/>
      </c>
      <c r="KH10" s="11" t="str">
        <f t="shared" si="115"/>
        <v/>
      </c>
      <c r="KI10" s="11" t="str">
        <f t="shared" si="116"/>
        <v/>
      </c>
      <c r="KJ10" s="11" t="str">
        <f t="shared" si="117"/>
        <v/>
      </c>
      <c r="KK10" s="11" t="str">
        <f t="shared" si="118"/>
        <v/>
      </c>
      <c r="KL10" s="11" t="str">
        <f t="shared" si="119"/>
        <v/>
      </c>
      <c r="KM10" s="11" t="str">
        <f t="shared" si="120"/>
        <v/>
      </c>
      <c r="KN10" s="11" t="str">
        <f t="shared" si="121"/>
        <v/>
      </c>
      <c r="KO10" s="11" t="str">
        <f t="shared" si="122"/>
        <v/>
      </c>
      <c r="KP10" s="11" t="str">
        <f t="shared" si="123"/>
        <v/>
      </c>
      <c r="KQ10" s="11" t="str">
        <f t="shared" si="124"/>
        <v/>
      </c>
      <c r="KR10" s="11" t="str">
        <f t="shared" si="125"/>
        <v/>
      </c>
      <c r="KS10" s="11" t="str">
        <f t="shared" si="126"/>
        <v/>
      </c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36" t="str">
        <f t="shared" si="127"/>
        <v/>
      </c>
      <c r="LO10" s="36" t="str">
        <f t="shared" si="128"/>
        <v/>
      </c>
      <c r="LP10" s="36" t="str">
        <f t="shared" si="129"/>
        <v/>
      </c>
      <c r="LQ10" s="36" t="str">
        <f t="shared" si="130"/>
        <v/>
      </c>
      <c r="LR10" s="36" t="str">
        <f t="shared" si="131"/>
        <v/>
      </c>
      <c r="LS10" s="36" t="str">
        <f t="shared" si="132"/>
        <v/>
      </c>
      <c r="LT10" s="36" t="str">
        <f t="shared" si="133"/>
        <v/>
      </c>
      <c r="LU10" s="36" t="str">
        <f t="shared" si="134"/>
        <v/>
      </c>
      <c r="LV10" s="36" t="str">
        <f t="shared" si="135"/>
        <v/>
      </c>
      <c r="LW10" s="36" t="str">
        <f t="shared" si="136"/>
        <v/>
      </c>
      <c r="LX10" s="36" t="str">
        <f t="shared" si="137"/>
        <v/>
      </c>
      <c r="LY10" s="36" t="str">
        <f t="shared" si="138"/>
        <v/>
      </c>
      <c r="LZ10" s="36" t="str">
        <f t="shared" si="139"/>
        <v/>
      </c>
      <c r="MA10" s="36" t="str">
        <f t="shared" si="140"/>
        <v/>
      </c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1" t="str">
        <f t="shared" si="141"/>
        <v/>
      </c>
      <c r="MW10" s="11" t="str">
        <f t="shared" si="142"/>
        <v/>
      </c>
      <c r="MX10" s="11" t="str">
        <f t="shared" si="143"/>
        <v/>
      </c>
      <c r="MY10" s="11" t="str">
        <f t="shared" si="144"/>
        <v/>
      </c>
      <c r="MZ10" s="11" t="str">
        <f t="shared" si="145"/>
        <v/>
      </c>
      <c r="NA10" s="11" t="str">
        <f t="shared" si="146"/>
        <v/>
      </c>
      <c r="NB10" s="11" t="str">
        <f t="shared" si="147"/>
        <v/>
      </c>
      <c r="NC10" s="11" t="str">
        <f t="shared" si="148"/>
        <v/>
      </c>
      <c r="ND10" s="11" t="str">
        <f t="shared" si="149"/>
        <v/>
      </c>
      <c r="NE10" s="11" t="str">
        <f t="shared" si="150"/>
        <v/>
      </c>
      <c r="NF10" s="11" t="str">
        <f t="shared" si="151"/>
        <v/>
      </c>
      <c r="NG10" s="11" t="str">
        <f t="shared" si="152"/>
        <v/>
      </c>
      <c r="NH10" s="11" t="str">
        <f t="shared" si="153"/>
        <v/>
      </c>
      <c r="NI10" s="11" t="str">
        <f t="shared" si="154"/>
        <v/>
      </c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36" t="str">
        <f t="shared" si="155"/>
        <v/>
      </c>
      <c r="OE10" s="36" t="str">
        <f t="shared" si="156"/>
        <v/>
      </c>
      <c r="OF10" s="36" t="str">
        <f t="shared" si="157"/>
        <v/>
      </c>
      <c r="OG10" s="36" t="str">
        <f t="shared" si="158"/>
        <v/>
      </c>
      <c r="OH10" s="36" t="str">
        <f t="shared" si="159"/>
        <v/>
      </c>
      <c r="OI10" s="36" t="str">
        <f t="shared" si="160"/>
        <v/>
      </c>
      <c r="OJ10" s="36" t="str">
        <f t="shared" si="161"/>
        <v/>
      </c>
      <c r="OK10" s="36" t="str">
        <f t="shared" si="162"/>
        <v/>
      </c>
      <c r="OL10" s="36" t="str">
        <f t="shared" si="163"/>
        <v/>
      </c>
      <c r="OM10" s="36" t="str">
        <f t="shared" si="164"/>
        <v/>
      </c>
      <c r="ON10" s="36" t="str">
        <f t="shared" si="165"/>
        <v/>
      </c>
      <c r="OO10" s="36" t="str">
        <f t="shared" si="166"/>
        <v/>
      </c>
      <c r="OP10" s="36" t="str">
        <f t="shared" si="167"/>
        <v/>
      </c>
      <c r="OQ10" s="36" t="str">
        <f t="shared" si="168"/>
        <v/>
      </c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1" t="str">
        <f t="shared" si="169"/>
        <v/>
      </c>
      <c r="PM10" s="11" t="str">
        <f t="shared" si="170"/>
        <v/>
      </c>
      <c r="PN10" s="11" t="str">
        <f t="shared" si="171"/>
        <v/>
      </c>
      <c r="PO10" s="11" t="str">
        <f t="shared" si="172"/>
        <v/>
      </c>
      <c r="PP10" s="11" t="str">
        <f t="shared" si="173"/>
        <v/>
      </c>
      <c r="PQ10" s="11" t="str">
        <f t="shared" si="174"/>
        <v/>
      </c>
      <c r="PR10" s="11" t="str">
        <f t="shared" si="175"/>
        <v/>
      </c>
      <c r="PS10" s="11" t="str">
        <f t="shared" si="176"/>
        <v/>
      </c>
      <c r="PT10" s="11" t="str">
        <f t="shared" si="177"/>
        <v/>
      </c>
      <c r="PU10" s="11" t="str">
        <f t="shared" si="178"/>
        <v/>
      </c>
      <c r="PV10" s="11" t="str">
        <f t="shared" si="179"/>
        <v/>
      </c>
      <c r="PW10" s="11" t="str">
        <f t="shared" si="180"/>
        <v/>
      </c>
      <c r="PX10" s="11" t="str">
        <f t="shared" si="181"/>
        <v/>
      </c>
      <c r="PY10" s="11" t="str">
        <f t="shared" si="182"/>
        <v/>
      </c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36" t="str">
        <f t="shared" si="183"/>
        <v/>
      </c>
      <c r="QU10" s="36" t="str">
        <f t="shared" si="184"/>
        <v/>
      </c>
      <c r="QV10" s="36" t="str">
        <f t="shared" si="185"/>
        <v/>
      </c>
      <c r="QW10" s="36" t="str">
        <f t="shared" si="186"/>
        <v/>
      </c>
      <c r="QX10" s="36" t="str">
        <f t="shared" si="187"/>
        <v/>
      </c>
      <c r="QY10" s="36" t="str">
        <f t="shared" si="188"/>
        <v/>
      </c>
      <c r="QZ10" s="36" t="str">
        <f t="shared" si="189"/>
        <v/>
      </c>
      <c r="RA10" s="36" t="str">
        <f t="shared" si="190"/>
        <v/>
      </c>
      <c r="RB10" s="36" t="str">
        <f t="shared" si="191"/>
        <v/>
      </c>
      <c r="RC10" s="36" t="str">
        <f t="shared" si="192"/>
        <v/>
      </c>
      <c r="RD10" s="36" t="str">
        <f t="shared" si="193"/>
        <v/>
      </c>
      <c r="RE10" s="36" t="str">
        <f t="shared" si="194"/>
        <v/>
      </c>
      <c r="RF10" s="36" t="str">
        <f t="shared" si="195"/>
        <v/>
      </c>
      <c r="RG10" s="36" t="str">
        <f t="shared" si="196"/>
        <v/>
      </c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1" t="str">
        <f t="shared" si="197"/>
        <v/>
      </c>
      <c r="SC10" s="11" t="str">
        <f t="shared" si="198"/>
        <v/>
      </c>
      <c r="SD10" s="11" t="str">
        <f t="shared" si="199"/>
        <v/>
      </c>
      <c r="SE10" s="11" t="str">
        <f t="shared" si="200"/>
        <v/>
      </c>
      <c r="SF10" s="11" t="str">
        <f t="shared" si="201"/>
        <v/>
      </c>
      <c r="SG10" s="11" t="str">
        <f t="shared" si="202"/>
        <v/>
      </c>
      <c r="SH10" s="11" t="str">
        <f t="shared" si="203"/>
        <v/>
      </c>
      <c r="SI10" s="11" t="str">
        <f t="shared" si="204"/>
        <v/>
      </c>
      <c r="SJ10" s="11" t="str">
        <f t="shared" si="205"/>
        <v/>
      </c>
      <c r="SK10" s="11" t="str">
        <f t="shared" si="206"/>
        <v/>
      </c>
      <c r="SL10" s="11" t="str">
        <f t="shared" si="207"/>
        <v/>
      </c>
      <c r="SM10" s="11" t="str">
        <f t="shared" si="208"/>
        <v/>
      </c>
      <c r="SN10" s="11" t="str">
        <f t="shared" si="209"/>
        <v/>
      </c>
      <c r="SO10" s="11" t="str">
        <f t="shared" si="210"/>
        <v/>
      </c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36" t="str">
        <f t="shared" si="211"/>
        <v/>
      </c>
      <c r="TK10" s="36" t="str">
        <f t="shared" si="212"/>
        <v/>
      </c>
      <c r="TL10" s="36" t="str">
        <f t="shared" si="213"/>
        <v/>
      </c>
      <c r="TM10" s="36" t="str">
        <f t="shared" si="214"/>
        <v/>
      </c>
      <c r="TN10" s="36" t="str">
        <f t="shared" si="215"/>
        <v/>
      </c>
      <c r="TO10" s="36" t="str">
        <f t="shared" si="216"/>
        <v/>
      </c>
      <c r="TP10" s="36" t="str">
        <f t="shared" si="217"/>
        <v/>
      </c>
      <c r="TQ10" s="36" t="str">
        <f t="shared" si="218"/>
        <v/>
      </c>
      <c r="TR10" s="36" t="str">
        <f t="shared" si="219"/>
        <v/>
      </c>
      <c r="TS10" s="36" t="str">
        <f t="shared" si="220"/>
        <v/>
      </c>
      <c r="TT10" s="36" t="str">
        <f t="shared" si="221"/>
        <v/>
      </c>
      <c r="TU10" s="36" t="str">
        <f t="shared" si="222"/>
        <v/>
      </c>
      <c r="TV10" s="36" t="str">
        <f t="shared" si="223"/>
        <v/>
      </c>
      <c r="TW10" s="36" t="str">
        <f t="shared" si="224"/>
        <v/>
      </c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1" t="str">
        <f t="shared" si="225"/>
        <v/>
      </c>
      <c r="US10" s="11" t="str">
        <f t="shared" si="226"/>
        <v/>
      </c>
      <c r="UT10" s="11" t="str">
        <f t="shared" si="227"/>
        <v/>
      </c>
      <c r="UU10" s="11" t="str">
        <f t="shared" si="228"/>
        <v/>
      </c>
      <c r="UV10" s="11" t="str">
        <f t="shared" si="229"/>
        <v/>
      </c>
      <c r="UW10" s="11" t="str">
        <f t="shared" si="230"/>
        <v/>
      </c>
      <c r="UX10" s="11" t="str">
        <f t="shared" si="231"/>
        <v/>
      </c>
      <c r="UY10" s="11" t="str">
        <f t="shared" si="232"/>
        <v/>
      </c>
      <c r="UZ10" s="11" t="str">
        <f t="shared" si="233"/>
        <v/>
      </c>
      <c r="VA10" s="11" t="str">
        <f t="shared" si="234"/>
        <v/>
      </c>
      <c r="VB10" s="11" t="str">
        <f t="shared" si="235"/>
        <v/>
      </c>
      <c r="VC10" s="11" t="str">
        <f t="shared" si="236"/>
        <v/>
      </c>
      <c r="VD10" s="11" t="str">
        <f t="shared" si="237"/>
        <v/>
      </c>
      <c r="VE10" s="11" t="str">
        <f t="shared" si="238"/>
        <v/>
      </c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36" t="str">
        <f t="shared" si="239"/>
        <v/>
      </c>
      <c r="WA10" s="36" t="str">
        <f t="shared" si="240"/>
        <v/>
      </c>
      <c r="WB10" s="36" t="str">
        <f t="shared" si="241"/>
        <v/>
      </c>
      <c r="WC10" s="36" t="str">
        <f t="shared" si="242"/>
        <v/>
      </c>
      <c r="WD10" s="36" t="str">
        <f t="shared" si="243"/>
        <v/>
      </c>
      <c r="WE10" s="36" t="str">
        <f t="shared" si="244"/>
        <v/>
      </c>
      <c r="WF10" s="36" t="str">
        <f t="shared" si="245"/>
        <v/>
      </c>
      <c r="WG10" s="36" t="str">
        <f t="shared" si="246"/>
        <v/>
      </c>
      <c r="WH10" s="36" t="str">
        <f t="shared" si="247"/>
        <v/>
      </c>
      <c r="WI10" s="36" t="str">
        <f t="shared" si="248"/>
        <v/>
      </c>
      <c r="WJ10" s="36" t="str">
        <f t="shared" si="249"/>
        <v/>
      </c>
      <c r="WK10" s="36" t="str">
        <f t="shared" si="250"/>
        <v/>
      </c>
      <c r="WL10" s="36" t="str">
        <f t="shared" si="251"/>
        <v/>
      </c>
      <c r="WM10" s="36" t="str">
        <f t="shared" si="252"/>
        <v/>
      </c>
    </row>
    <row r="11" spans="1:611" x14ac:dyDescent="0.2">
      <c r="A11" s="4" t="str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/>
      </c>
      <c r="B11" s="5" t="s">
        <v>86</v>
      </c>
      <c r="C11" s="4" t="s">
        <v>3</v>
      </c>
      <c r="D11" s="4">
        <v>2005</v>
      </c>
      <c r="E11" s="9">
        <f t="shared" si="0"/>
        <v>165.53001655300554</v>
      </c>
      <c r="F11" s="3" t="str">
        <f>IF(OR(AND(AI11&gt;=AS$27,AI11&lt;&gt;"",AK11&gt;=AS$31,AK11&lt;&gt;"",AH11=""),AND(AL11&gt;=AS$27,AL11&lt;&gt;"",AN11&gt;=AS$31,AN11&lt;&gt;"",AH11=""),AND(AP11&gt;=AS$27,AP11&lt;&gt;"",AR11&gt;=AS$31,AR11&lt;&gt;"",AH11=""),AND(BJ11&gt;=BT$27,BJ11&lt;&gt;"",BL11&gt;=BT$31,BL11&lt;&gt;"",BI11=""),AND(BM11&gt;=BT$27,BM11&lt;&gt;"",BO11&gt;=BT$31,BO11&lt;&gt;"",BI11=""),AND(BQ11&gt;=BT$27,BQ11&lt;&gt;"",BS11&gt;=BT$31,BS11&lt;&gt;"",BI11=""),AND(CK11&gt;=CU$27,CK11&lt;&gt;"",CM11&gt;=CU$31,CM11&lt;&gt;"",CJ11=""),AND(CN11&gt;=CU$27,CN11&lt;&gt;"",CP11&gt;=CU$31,CP11&lt;&gt;"",CJ11=""),AND(CR11&gt;=CU$27,CR11&lt;&gt;"",CT11&gt;=CU$31,CT11&lt;&gt;"",CJ11=""),AND(DR11&gt;=EE$27,DR11&lt;&gt;"",DT11&gt;=EE$31,DT11&lt;&gt;""),AND(DU11&gt;=EE$27,DU11&lt;&gt;"",DW11&gt;=EE$31,DW11&lt;&gt;""),AND(DY11&gt;=EE$27,DY11&lt;&gt;"",EA11&gt;=EE$31,EA11&lt;&gt;""),AND(EB11&gt;=EE$27,EB11&lt;&gt;"",ED11&gt;=EE$31,ED11&lt;&gt;""),AND(EZ11&gt;=FM$27,EZ11&lt;&gt;"",FB11&gt;=FM$31,FB11&lt;&gt;""),AND(FC11&gt;=FM$27,FC11&lt;&gt;"",FE11&gt;=FM$31,FE11&lt;&gt;""),AND(FG11&gt;=FM$27,FG11&lt;&gt;"",FI11&gt;=FM$31,FI11&lt;&gt;""),AND(FJ11&gt;=FM$27,FJ11&lt;&gt;"",FL11&gt;=FM$31,FL11&lt;&gt;""),AND(GH11&gt;=GU$27,GH11&lt;&gt;"",GJ11&gt;=GU$31,GJ11&lt;&gt;""),AND(GK11&gt;=GU$27,GK11&lt;&gt;"",GM11&gt;=GU$31,GM11&lt;&gt;""),AND(GO11&gt;=GU$27,GO11&lt;&gt;"",GQ11&gt;=GU$31,GQ11&lt;&gt;""),AND(GR11&gt;=GU$27,GR11&lt;&gt;"",GT11&gt;=GU$31,GT11&lt;&gt;""),AND(HP11&gt;=IC$27,HP11&lt;&gt;"",HR11&gt;=IC$31,HR11&lt;&gt;""),AND(HS11&gt;=IC$27,HS11&lt;&gt;"",HU11&gt;=IC$31,HU11&lt;&gt;""),AND(HW11&gt;=IC$27,HW11&lt;&gt;"",HY11&gt;=IC$31,HY11&lt;&gt;""),AND(HZ11&gt;=IC$27,HZ11&lt;&gt;"",IB11&gt;=IC$31,IB11&lt;&gt;""),AND(IX11&gt;=JK$27,IX11&lt;&gt;"",IZ11&gt;=JK$31,IZ11&lt;&gt;""),AND(JA11&gt;=JK$27,JA11&lt;&gt;"",JC11&gt;=JK$31,JC11&lt;&gt;""),AND(JE11&gt;=JK$27,JE11&lt;&gt;"",JG11&gt;=JK$31,JG11&lt;&gt;""),AND(JH11&gt;=JK$27,JH11&lt;&gt;"",JJ11&gt;=JK$31,JJ11&lt;&gt;""),AND(KF11&gt;=KS$27,KF11&lt;&gt;"",KH11&gt;=KS$31,KH11&lt;&gt;""),AND(KI11&gt;=KS$27,KI11&lt;&gt;"",KK11&gt;=KS$31,KK11&lt;&gt;""),AND(KM11&gt;=KS$27,KM11&lt;&gt;"",KO11&gt;=KS$31,KO11&lt;&gt;""),AND(KP11&gt;=KS$27,KP11&lt;&gt;"",KR11&gt;=KS$31,KR11&lt;&gt;""),AND(LN11&gt;=MA$27,LN11&lt;&gt;"",LP11&gt;=MA$31,LP11&lt;&gt;""),AND(LQ11&gt;=MA$27,LQ11&lt;&gt;"",LS11&gt;=MA$31,LS11&lt;&gt;""),AND(LU11&gt;=MA$27,LU11&lt;&gt;"",LW11&gt;=MA$31,LW11&lt;&gt;""),AND(LX11&gt;=MA$27,LX11&lt;&gt;"",LZ11&gt;=MA$31,LZ11&lt;&gt;""),AND(MV11&gt;=NI$27,MV11&lt;&gt;"",MX11&gt;=NI$31,MX11&lt;&gt;""),AND(MY11&gt;=NI$27,MY11&lt;&gt;"",NA11&gt;=NI$31,NA11&lt;&gt;""),AND(NC11&gt;=NI$27,NC11&lt;&gt;"",NE11&gt;=NI$31,NE11&lt;&gt;""),AND(NF11&gt;=NI$27,NF11&lt;&gt;"",NH11&gt;=NI$31,NH11&lt;&gt;""),AND(OD11&gt;=OQ$27,OD11&lt;&gt;"",OF11&gt;=OQ$31,OF11&lt;&gt;""),AND(OG11&gt;=OQ$27,OG11&lt;&gt;"",OI11&gt;=OQ$31,OI11&lt;&gt;""),AND(OK11&gt;=OQ$27,OK11&lt;&gt;"",OM11&gt;=OQ$31,OM11&lt;&gt;""),AND(ON11&gt;=OQ$27,ON11&lt;&gt;"",OP11&gt;=OQ$31,OP11&lt;&gt;""),AND(PL11&gt;=PY$27,PL11&lt;&gt;"",PN11&gt;=PY$31,PN11&lt;&gt;""),AND(PO11&gt;=PY$27,PO11&lt;&gt;"",PQ11&gt;=PY$31,PQ11&lt;&gt;""),AND(PS11&gt;=PY$27,PS11&lt;&gt;"",PU11&gt;=PY$31,PU11&lt;&gt;""),AND(PV11&gt;=PY$27,PV11&lt;&gt;"",PX11&gt;=PY$31,PX11&lt;&gt;""),AND(QT11&gt;=RG$27,QT11&lt;&gt;"",QV11&gt;=RG$31,QV11&lt;&gt;""),AND(QW11&gt;=RG$27,QW11&lt;&gt;"",QY11&gt;=RG$31,QY11&lt;&gt;""),AND(RA11&gt;=RG$27,RA11&lt;&gt;"",RC11&gt;=RG$31,RC11&lt;&gt;""),AND(RD11&gt;=RG$27,RD11&lt;&gt;"",RF11&gt;=RG$31,RF11&lt;&gt;""),AND(SB11&gt;=SO$27,SB11&lt;&gt;"",SD11&gt;=SO$31,SD11&lt;&gt;""),AND(SE11&gt;=SO$27,SE11&lt;&gt;"",SG11&gt;=SO$31,SG11&lt;&gt;""),AND(SI11&gt;=SO$27,SI11&lt;&gt;"",SK11&gt;=SO$31,SK11&lt;&gt;""),AND(SL11&gt;=SO$27,SL11&lt;&gt;"",SN11&gt;=SO$31,SN11&lt;&gt;""),AND(TJ11&gt;=TW$27,TJ11&lt;&gt;"",TL11&gt;=TW$31,TL11&lt;&gt;""),AND(TM11&gt;=TW$27,TM11&lt;&gt;"",TO11&gt;=TW$31,TO11&lt;&gt;""),AND(TQ11&gt;=TW$27,TQ11&lt;&gt;"",TS11&gt;=TW$31,TXQ11&lt;&gt;""),AND(TT11&gt;=TW$27,TT11&lt;&gt;"",TV11&gt;=TW$31,TV11&lt;&gt;""),AND(UR11&gt;=VE$27,UR11&lt;&gt;"",UT11&gt;=VE$31,UT11&lt;&gt;""),AND(UU11&gt;=VE$27,UU11&lt;&gt;"",UW11&gt;=VE$31,UW11&lt;&gt;""),AND(UY11&gt;=VE$27,UY11&lt;&gt;"",VA11&gt;=VE$31,VA11&lt;&gt;""),AND(VB11&gt;=VE$27,VB11&lt;&gt;"",VD11&gt;=VE$31,VD11&lt;&gt;""),AND(VZ11&gt;=WM$27,VZ11&lt;&gt;"",WB11&gt;=WM$31,WB11&lt;&gt;""),AND(WC11&gt;=WM$27,WC11&lt;&gt;"",WE11&gt;=WM$31,WE11&lt;&gt;""),AND(WG11&gt;=WM$27,WG11&lt;&gt;"",WI11&gt;=WM$31,WI11&lt;&gt;""),AND(WJ11&gt;=WM$27,WJ11&lt;&gt;"",WL11&gt;=WM$31,WL11&lt;&gt;"")),"P","")</f>
        <v/>
      </c>
      <c r="G11" s="3" t="str">
        <f>IF(OR(AND(AK11&gt;=AS$31,AK11&lt;&gt;"",AH11=""),AND(AN11&gt;=AS$31,AN11&lt;&gt;"",AH11=""),AND(AR11&gt;=AS$31,AR11&lt;&gt;"",AH11=""),AND(BL11&gt;=BT$31,BL11&lt;&gt;"",BI11=""),AND(BO11&gt;=BT$31,BO11&lt;&gt;"",BI11=""),AND(BS11&gt;=BT$31,BS11&lt;&gt;"",BI11=""),AND(CM11&gt;=CU$31,CM11&lt;&gt;"",CJ11=""),AND(CP11&gt;=CU$31,CP11&lt;&gt;"",CJ11=""),AND(CT11&gt;=CU$31,CT11&lt;&gt;"",CJ11=""),AND(DT11&gt;=EE$31,DT11&lt;&gt;""),AND(DW11&gt;=EE$31,DW11&lt;&gt;""),AND(EA11&gt;=EE$31,EA11&lt;&gt;""),AND(ED11&gt;=EE$31,ED11&lt;&gt;""),AND(FB11&gt;=FM$31,FB11&lt;&gt;""),AND(FE11&gt;=FM$31,FE11&lt;&gt;""),AND(FI11&gt;=FM$31,FI11&lt;&gt;""),AND(FL11&gt;=FM$31,FL11&lt;&gt;""),AND(GJ11&gt;=GU$31,GJ11&lt;&gt;""),AND(GM11&gt;=GU$31,GM11&lt;&gt;""),AND(GQ11&gt;=GU$31,GQ11&lt;&gt;""),AND(GT11&gt;=GU$31,GT11&lt;&gt;""),AND(HR11&gt;=IC$31,HR11&lt;&gt;""),AND(HU11&gt;=IC$31,HU11&lt;&gt;""),AND(HY11&gt;=IC$31,HY11&lt;&gt;""),AND(IB11&gt;=IC$31,IB11&lt;&gt;""),AND(IZ11&gt;=JK$31,IZ11&lt;&gt;""),AND(JC11&gt;=JK$31,JC11&lt;&gt;""),AND(JG11&gt;=JK$31,JG11&lt;&gt;""),AND(JJ11&gt;=JK$31,JJ11&lt;&gt;""),AND(KH11&gt;=KS$31,KH11&lt;&gt;""),AND(KK11&gt;=KS$31,KK11&lt;&gt;""),AND(KO11&gt;=KS$31,KO11&lt;&gt;""),AND(KR11&gt;=KS$31,KR11&lt;&gt;""),AND(LP11&gt;=MA$31,LP11&lt;&gt;""),AND(LS11&gt;=MA$31,LS11&lt;&gt;""),AND(LW11&gt;=MA$31,LW11&lt;&gt;""),AND(LZ11&gt;=MA$31,LZ11&lt;&gt;""),AND(MX11&gt;=NI$31,MX11&lt;&gt;""),AND(NA11&gt;=NI$31,NA11&lt;&gt;""),AND(NE11&gt;=NI$31,NE11&lt;&gt;""),AND(NH11&gt;=NI$31,NH11&lt;&gt;""),AND(OF11&gt;=OQ$31,OF11&lt;&gt;""),AND(OI11&gt;=OQ$31,OI11&lt;&gt;""),AND(OM11&gt;=OQ$31,OM11&lt;&gt;""),AND(OP11&gt;=OQ$31,OP11&lt;&gt;""),AND(PN11&gt;=PY$31,PN11&lt;&gt;""),AND(PQ11&gt;=PY$31,PQ11&lt;&gt;""),AND(PU11&gt;=PY$31,PU11&lt;&gt;""),AND(PX11&gt;=PY$31,PX11&lt;&gt;""),AND(QV11&gt;=RG$31,QV11&lt;&gt;""),AND(QY11&gt;=RG$31,QY11&lt;&gt;""),AND(RC11&gt;=RG$31,RC11&lt;&gt;""),AND(RF11&gt;=RG$31,RF11&lt;&gt;""),AND(SD11&gt;=SO$31,SD11&lt;&gt;""),AND(SG11&gt;=SO$31,SG11&lt;&gt;""),AND(SK11&gt;=SO$31,SK11&lt;&gt;""),AND(SN11&gt;=SO$31,SN11&lt;&gt;""),AND(TL11&gt;=TW$31,TL11&lt;&gt;""),AND(TO11&gt;=TW$31,TO11&lt;&gt;""),AND(TS11&gt;=TW$31,TXQ11&lt;&gt;""),AND(TV11&gt;=TW$31,TV11&lt;&gt;""),AND(UT11&gt;=VE$31,UT11&lt;&gt;""),AND(UW11&gt;=VE$31,UW11&lt;&gt;""),AND(VA11&gt;=VE$31,VA11&lt;&gt;""),AND(VD11&gt;=VE$31,VD11&lt;&gt;""),AND(WB11&gt;=WM$31,WB11&lt;&gt;""),AND(WE11&gt;=WM$31,WE11&lt;&gt;""),AND(WI11&gt;=WM$31,WI11&lt;&gt;""),AND(WL11&gt;=WM$31,WL11&lt;&gt;"")),"P","")</f>
        <v/>
      </c>
      <c r="H11" s="32" t="str">
        <f>IF(AND(G11="P",F11=""),"No DD",IF(OR(AND(AI11&gt;=AS$30,AI11&lt;&gt;"",AK11&gt;=AS$34,AK11&lt;&gt;"",AH11=""),AND(AL11&gt;=AS$30,AL11&lt;&gt;"",AN11&gt;=AS$34,AN11&lt;&gt;"",AH11=""),AND(AP11&gt;=AS$30,AP11&lt;&gt;"",AR11&gt;=AS$34,AR11&lt;&gt;"",AH11=""),AND(BJ11&gt;=BT$30,BJ11&lt;&gt;"",BL11&gt;=BT$34,BL11&lt;&gt;"",BI11=""),AND(BM11&gt;=BT$30,BM11&lt;&gt;"",BO11&gt;=BT$34,BO11&lt;&gt;"",BI11=""),AND(BQ11&gt;=BT$30,BQ11&lt;&gt;"",BS11&gt;=BT$34,BS11&lt;&gt;"",BI11=""),AND(CK11&gt;=CU$30,CK11&lt;&gt;"",CM11&gt;=CU$34,CM11&lt;&gt;"",CJ11=""),AND(CN11&gt;=CU$30,CN11&lt;&gt;"",CP11&gt;=CU$34,CP11&lt;&gt;"",CJ11=""),AND(CR11&gt;=CU$30,CR11&lt;&gt;"",CT11&gt;=CU$34,CT11&lt;&gt;"",CJ11=""),AND(DR11&gt;=EE$30,DR11&lt;&gt;"",DT11&gt;=EE$34,DT11&lt;&gt;""),AND(DU11&gt;=EE$30,DU11&lt;&gt;"",DW11&gt;=EE$34,DW11&lt;&gt;""),AND(DY11&gt;=EE$30,DY11&lt;&gt;"",EA11&gt;=EE$34,EA11&lt;&gt;""),AND(EB11&gt;=EE$30,EB11&lt;&gt;"",ED11&gt;=EE$34,ED11&lt;&gt;""),AND(EZ11&gt;=FM$30,EZ11&lt;&gt;"",FB11&gt;=FM$34,FB11&lt;&gt;""),AND(FC11&gt;=FM$30,FC11&lt;&gt;"",FE11&gt;=FM$34,FE11&lt;&gt;""),AND(FG11&gt;=FM$30,FG11&lt;&gt;"",FI11&gt;=FM$34,FI11&lt;&gt;""),AND(FJ11&gt;=FM$30,FJ11&lt;&gt;"",FL11&gt;=FM$34,FL11&lt;&gt;""),AND(GH11&gt;=GU$30,GH11&lt;&gt;"",GJ11&gt;=GU$34,GJ11&lt;&gt;""),AND(GK11&gt;=GU$30,GK11&lt;&gt;"",GM11&gt;=GU$34,GM11&lt;&gt;""),AND(GO11&gt;=GU$30,GO11&lt;&gt;"",GQ11&gt;=GU$34,GQ11&lt;&gt;""),AND(GR11&gt;=GU$30,GR11&lt;&gt;"",GT11&gt;=GU$34,GT11&lt;&gt;""),AND(HP11&gt;=IC$30,HP11&lt;&gt;"",HR11&gt;=IC$34,HR11&lt;&gt;""),AND(HS11&gt;=IC$30,HS11&lt;&gt;"",HU11&gt;=IC$34,HU11&lt;&gt;""),AND(HW11&gt;=IC$30,HW11&lt;&gt;"",HY11&gt;=IC$34,HY11&lt;&gt;""),AND(HZ11&gt;=IC$30,HZ11&lt;&gt;"",IB11&gt;=IC$34,IB11&lt;&gt;""),AND(IX11&gt;=JK$30,IX11&lt;&gt;"",IZ11&gt;=JK$34,IZ11&lt;&gt;""),AND(JA11&gt;=JK$30,JA11&lt;&gt;"",JC11&gt;=JK$34,JC11&lt;&gt;""),AND(JE11&gt;=JK$30,JE11&lt;&gt;"",JG11&gt;=JK$34,JG11&lt;&gt;""),AND(JH11&gt;=JK$30,JH11&lt;&gt;"",JJ11&gt;=JK$34,JJ11&lt;&gt;""),AND(KF11&gt;=KS$30,KF11&lt;&gt;"",KH11&gt;=KS$34,KH11&lt;&gt;""),AND(KI11&gt;=KS$30,KI11&lt;&gt;"",KK11&gt;=KS$34,KK11&lt;&gt;""),AND(KM11&gt;=KS$30,KM11&lt;&gt;"",KO11&gt;=KS$34,KO11&lt;&gt;""),AND(KP11&gt;=KS$30,KP11&lt;&gt;"",KR11&gt;=KS$34,KR11&lt;&gt;""),AND(LN11&gt;=MA$30,LN11&lt;&gt;"",LP11&gt;=MA$34,LP11&lt;&gt;""),AND(LQ11&gt;=MA$30,LQ11&lt;&gt;"",LS11&gt;=MA$34,LS11&lt;&gt;""),AND(LU11&gt;=MA$30,LU11&lt;&gt;"",LW11&gt;=MA$34,LW11&lt;&gt;""),AND(LX11&gt;=MA$30,LX11&lt;&gt;"",LZ11&gt;=MA$34,LZ11&lt;&gt;""),AND(MV11&gt;=NI$30,MV11&lt;&gt;"",MX11&gt;=NI$34,MX11&lt;&gt;""),AND(MY11&gt;=NI$30,MY11&lt;&gt;"",NA11&gt;=NI$34,NA11&lt;&gt;""),AND(NC11&gt;=NI$30,NC11&lt;&gt;"",NE11&gt;=NI$34,NE11&lt;&gt;""),AND(NF11&gt;=NI$30,NF11&lt;&gt;"",NH11&gt;=NI$34,NH11&lt;&gt;""),AND(OD11&gt;=OQ$30,OD11&lt;&gt;"",OF11&gt;=OQ$34,OF11&lt;&gt;""),AND(OG11&gt;=OQ$30,OG11&lt;&gt;"",OI11&gt;=OQ$34,OI11&lt;&gt;""),AND(OK11&gt;=OQ$30,OK11&lt;&gt;"",OM11&gt;=OQ$34,OM11&lt;&gt;""),AND(ON11&gt;=OQ$30,ON11&lt;&gt;"",OP11&gt;=OQ$34,OP11&lt;&gt;""),AND(PL11&gt;=PY$30,PL11&lt;&gt;"",PN11&gt;=PY$34,PN11&lt;&gt;""),AND(PO11&gt;=PY$30,PO11&lt;&gt;"",PQ11&gt;=PY$34,PQ11&lt;&gt;""),AND(PS11&gt;=PY$30,PS11&lt;&gt;"",PU11&gt;=PY$34,PU11&lt;&gt;""),AND(PV11&gt;=PY$30,PV11&lt;&gt;"",PX11&gt;=PY$34,PX11&lt;&gt;""),AND(QT11&gt;=RG$30,QT11&lt;&gt;"",QV11&gt;=RG$34,QV11&lt;&gt;""),AND(QW11&gt;=RG$30,QW11&lt;&gt;"",QY11&gt;=RG$34,QY11&lt;&gt;""),AND(RA11&gt;=RG$30,RA11&lt;&gt;"",RC11&gt;=RG$34,RC11&lt;&gt;""),AND(RD11&gt;=RG$30,RD11&lt;&gt;"",RF11&gt;=RG$34,RF11&lt;&gt;""),AND(SB11&gt;=SO$30,SB11&lt;&gt;"",SD11&gt;=SO$34,SD11&lt;&gt;""),AND(SE11&gt;=SO$30,SE11&lt;&gt;"",SG11&gt;=SO$34,SG11&lt;&gt;""),AND(SI11&gt;=SO$30,SI11&lt;&gt;"",SK11&gt;=SO$34,SK11&lt;&gt;""),AND(SL11&gt;=SO$30,SL11&lt;&gt;"",SN11&gt;=SO$34,SN11&lt;&gt;""),AND(TJ11&gt;=TW$30,TJ11&lt;&gt;"",TL11&gt;=TW$34,TL11&lt;&gt;""),AND(TM11&gt;=TW$30,TM11&lt;&gt;"",TO11&gt;=TW$34,TO11&lt;&gt;""),AND(TQ11&gt;=TW$30,TQ11&lt;&gt;"",TS11&gt;=TW$354,TXQ11&lt;&gt;""),AND(TT11&gt;=TW$30,TT11&lt;&gt;"",TV11&gt;=TW$34,TV11&lt;&gt;""),AND(UR11&gt;=VE$30,UR11&lt;&gt;"",UT11&gt;=VE$34,UT11&lt;&gt;""),AND(UU11&gt;=VE$30,UU11&lt;&gt;"",UW11&gt;=VE$34,UW11&lt;&gt;""),AND(UY11&gt;=VE$30,UY11&lt;&gt;"",VA11&gt;=VE$34,VA11&lt;&gt;""),AND(VB11&gt;=VE$30,VB11&lt;&gt;"",VD11&gt;=VE$34,VD11&lt;&gt;""),AND(VZ11&gt;=WM$30,VZ11&lt;&gt;"",WB11&gt;=WM$34,WB11&lt;&gt;""),AND(WC11&gt;=WM$30,WC11&lt;&gt;"",WE11&gt;=WM$34,WE11&lt;&gt;""),AND(WG11&gt;=WM$30,WG11&lt;&gt;"",WI11&gt;=WM$34,WI11&lt;&gt;""),AND(WJ11&gt;=WM$30,WJ11&lt;&gt;"",WL11&gt;=WM$34,WL11&lt;&gt;"")),"Merit",IF(OR(AND(AI11&gt;=AS$29,AI11&lt;&gt;"",AK11&gt;=AS$33,AK11&lt;&gt;"",AH11=""),AND(AL11&gt;=AS$29,AL11&lt;&gt;"",AN11&gt;=AS$33,AN11&lt;&gt;"",AH11=""),AND(AP11&gt;=AS$29,AP11&lt;&gt;"",AR11&gt;=AS$33,AR11&lt;&gt;"",AH11=""),AND(BJ11&gt;=BT$29,BJ11&lt;&gt;"",BL11&gt;=BT$33,BL11&lt;&gt;"",BI11=""),AND(BM11&gt;=BT$29,BM11&lt;&gt;"",BO11&gt;=BT$33,BO11&lt;&gt;"",BI11=""),AND(BQ11&gt;=BT$29,BQ11&lt;&gt;"",BS11&gt;=BT$33,BS11&lt;&gt;"",BI11=""),AND(CK11&gt;=CU$29,CK11&lt;&gt;"",CM11&gt;=CU$33,CM11&lt;&gt;"",CJ11=""),AND(CN11&gt;=CU$29,CN11&lt;&gt;"",CP11&gt;=CU$33,CP11&lt;&gt;"",CJ11=""),AND(CR11&gt;=CU$29,CR11&lt;&gt;"",CT11&gt;=CU$33,CT11&lt;&gt;"",CJ11=""),AND(DR11&gt;=EE$29,DR11&lt;&gt;"",DT11&gt;=EE$33,DT11&lt;&gt;""),AND(DU11&gt;=EE$29,DU11&lt;&gt;"",DW11&gt;=EE$33,DW11&lt;&gt;""),AND(DY11&gt;=EE$29,DY11&lt;&gt;"",EA11&gt;=EE$33,EA11&lt;&gt;""),AND(EB11&gt;=EE$29,EB11&lt;&gt;"",ED11&gt;=EE$33,ED11&lt;&gt;""),AND(EZ11&gt;=FM$29,EZ11&lt;&gt;"",FB11&gt;=FM$33,FB11&lt;&gt;""),AND(FC11&gt;=FM$29,FC11&lt;&gt;"",FE11&gt;=FM$33,FE11&lt;&gt;""),AND(FG11&gt;=FM$29,FG11&lt;&gt;"",FI11&gt;=FM$33,FI11&lt;&gt;""),AND(FJ11&gt;=FM$29,FJ11&lt;&gt;"",FL11&gt;=FM$33,FL11&lt;&gt;""),AND(GH11&gt;=GU$29,GH11&lt;&gt;"",GJ11&gt;=GU$33,GJ11&lt;&gt;""),AND(GK11&gt;=GU$29,GK11&lt;&gt;"",GM11&gt;=GU$33,GM11&lt;&gt;""),AND(GO11&gt;=GU$29,GO11&lt;&gt;"",GQ11&gt;=GU$33,GQ11&lt;&gt;""),AND(GR11&gt;=GU$29,GR11&lt;&gt;"",GT11&gt;=GU$33,GT11&lt;&gt;""),AND(HP11&gt;=IC$29,HP11&lt;&gt;"",HR11&gt;=IC$33,HR11&lt;&gt;""),AND(HS11&gt;=IC$29,HS11&lt;&gt;"",HU11&gt;=IC$33,HU11&lt;&gt;""),AND(HW11&gt;=IC$29,HW11&lt;&gt;"",HY11&gt;=IC$33,HY11&lt;&gt;""),AND(HZ11&gt;=IC$29,HZ11&lt;&gt;"",IB11&gt;=IC$33,IB11&lt;&gt;""),AND(IX11&gt;=JK$29,IX11&lt;&gt;"",IZ11&gt;=JK$33,IZ11&lt;&gt;""),AND(JA11&gt;=JK$29,JA11&lt;&gt;"",JC11&gt;=JK$33,JC11&lt;&gt;""),AND(JE11&gt;=JK$29,JE11&lt;&gt;"",JG11&gt;=JK$33,JG11&lt;&gt;""),AND(JH11&gt;=JK$29,JH11&lt;&gt;"",JJ11&gt;=JK$33,JJ11&lt;&gt;""),AND(KF11&gt;=KS$29,KF11&lt;&gt;"",KH11&gt;=KS$33,KH11&lt;&gt;""),AND(KI11&gt;=KS$29,KI11&lt;&gt;"",KK11&gt;=KS$33,KK11&lt;&gt;""),AND(KM11&gt;=KS$29,KM11&lt;&gt;"",KO11&gt;=KS$33,KO11&lt;&gt;""),AND(KP11&gt;=KS$29,KP11&lt;&gt;"",KR11&gt;=KS$33,KR11&lt;&gt;""),AND(LN11&gt;=MA$29,LN11&lt;&gt;"",LP11&gt;=MA$33,LP11&lt;&gt;""),AND(LQ11&gt;=MA$29,LQ11&lt;&gt;"",LS11&gt;=MA$33,LS11&lt;&gt;""),AND(LU11&gt;=MA$29,LU11&lt;&gt;"",LW11&gt;=MA$33,LW11&lt;&gt;""),AND(LX11&gt;=MA$29,LX11&lt;&gt;"",LZ11&gt;=MA$33,LZ11&lt;&gt;""),AND(MV11&gt;=NI$29,MV11&lt;&gt;"",MX11&gt;=NI$33,MX11&lt;&gt;""),AND(MY11&gt;=NI$29,MY11&lt;&gt;"",NA11&gt;=NI$33,NA11&lt;&gt;""),AND(NC11&gt;=NI$29,NC11&lt;&gt;"",NE11&gt;=NI$33,NE11&lt;&gt;""),AND(NF11&gt;=NI$29,NF11&lt;&gt;"",NH11&gt;=NI$33,NH11&lt;&gt;""),AND(OD11&gt;=OQ$29,OD11&lt;&gt;"",OF11&gt;=OQ$33,OF11&lt;&gt;""),AND(OG11&gt;=OQ$29,OG11&lt;&gt;"",OI11&gt;=OQ$33,OI11&lt;&gt;""),AND(OK11&gt;=OQ$29,OK11&lt;&gt;"",OM11&gt;=OQ$33,OM11&lt;&gt;""),AND(ON11&gt;=OQ$29,ON11&lt;&gt;"",OP11&gt;=OQ$33,OP11&lt;&gt;""),AND(PL11&gt;=PY$29,PL11&lt;&gt;"",PN11&gt;=PY$33,PN11&lt;&gt;""),AND(PO11&gt;=PY$29,PO11&lt;&gt;"",PQ11&gt;=PY$33,PQ11&lt;&gt;""),AND(PS11&gt;=PY$29,PS11&lt;&gt;"",PU11&gt;=PY$33,PU11&lt;&gt;""),AND(PV11&gt;=PY$29,PV11&lt;&gt;"",PX11&gt;=PY$33,PX11&lt;&gt;""),AND(QT11&gt;=RG$29,QT11&lt;&gt;"",QV11&gt;=RG$33,QV11&lt;&gt;""),AND(QW11&gt;=RG$29,QW11&lt;&gt;"",QY11&gt;=RG$33,QY11&lt;&gt;""),AND(RA11&gt;=RG$29,RA11&lt;&gt;"",RC11&gt;=RG$33,RC11&lt;&gt;""),AND(RD11&gt;=RG$29,RD11&lt;&gt;"",RF11&gt;=RG$33,RF11&lt;&gt;""),AND(SB11&gt;=SO$29,SB11&lt;&gt;"",SD11&gt;=SO$33,SD11&lt;&gt;""),AND(SE11&gt;=SO$29,SE11&lt;&gt;"",SG11&gt;=SO$33,SG11&lt;&gt;""),AND(SI11&gt;=SO$29,SI11&lt;&gt;"",SK11&gt;=SO$33,SK11&lt;&gt;""),AND(SL11&gt;=SO$29,SL11&lt;&gt;"",SN11&gt;=SO$33,SN11&lt;&gt;""),AND(TJ11&gt;=TW$29,TJ11&lt;&gt;"",TL11&gt;=TW$33,TL11&lt;&gt;""),AND(TM11&gt;=TW$29,TM11&lt;&gt;"",TO11&gt;=TW$33,TO11&lt;&gt;""),AND(TQ11&gt;=TW$29,TQ11&lt;&gt;"",TS11&gt;=TW$33,TXQ11&lt;&gt;""),AND(TT11&gt;=TW$29,TT11&lt;&gt;"",TV11&gt;=TW$33,TV11&lt;&gt;""),AND(UR11&gt;=VE$29,UR11&lt;&gt;"",UT11&gt;=VE$33,UT11&lt;&gt;""),AND(UU11&gt;=VE$29,UU11&lt;&gt;"",UW11&gt;=VE$33,UW11&lt;&gt;""),AND(UY11&gt;=VE$29,UY11&lt;&gt;"",VA11&gt;=VE$33,VA11&lt;&gt;""),AND(VB11&gt;=VE$29,VB11&lt;&gt;"",VD11&gt;=VE$33,VD11&lt;&gt;""),AND(VZ11&gt;=WM$29,VZ11&lt;&gt;"",WB11&gt;=WM$33,WB11&lt;&gt;""),AND(WC11&gt;=WM$29,WC11&lt;&gt;"",WE11&gt;=WM$33,WE11&lt;&gt;""),AND(WG11&gt;=WM$29,WG11&lt;&gt;"",WI11&gt;=WM$33,WI11&lt;&gt;""),AND(WJ11&gt;=WM$29,WJ11&lt;&gt;"",WL11&gt;=WM$33,WL11&lt;&gt;"")),"Excellence",IF(I11="P","Worlds Team",IF(F11="P","National Team","")))))</f>
        <v/>
      </c>
      <c r="I11" s="3" t="str">
        <f>IF(OR(AND(AI11&gt;=AS$28,AI11&lt;&gt;"",AK11&gt;=AS$32,AK11&lt;&gt;"",AH11=""),AND(AL11&gt;=AS$28,AL11&lt;&gt;"",AN11&gt;=AS$32,AN11&lt;&gt;"",AH11=""),AND(AP11&gt;=AS$28,AP11&lt;&gt;"",AR11&gt;=AS$32,AR11&lt;&gt;"",AH11=""),AND(BJ11&gt;=BT$28,BJ11&lt;&gt;"",BL11&gt;=BT$32,BL11&lt;&gt;"",BI11=""),AND(BM11&gt;=BT$28,BM11&lt;&gt;"",BO11&gt;=BT$32,BO11&lt;&gt;"",BI11=""),AND(BQ11&gt;=BT$28,BQ11&lt;&gt;"",BS11&gt;=BT$32,BS11&lt;&gt;"",BI11=""),AND(CK11&gt;=CU$28,CK11&lt;&gt;"",CM11&gt;=CU$32,CM11&lt;&gt;"",CJ11=""),AND(CN11&gt;=CU$28,CN11&lt;&gt;"",CP11&gt;=CU$32,CP11&lt;&gt;"",CJ11=""),AND(CR11&gt;=CU$28,CR11&lt;&gt;"",CT11&gt;=CU$32,CT11&lt;&gt;"",CJ11=""),AND(DR11&gt;=EE$28,DR11&lt;&gt;"",DT11&gt;=EE$32,DT11&lt;&gt;""),AND(DU11&gt;=EE$28,DU11&lt;&gt;"",DW11&gt;=EE$32,DW11&lt;&gt;""),AND(DY11&gt;=EE$28,DY11&lt;&gt;"",EA11&gt;=EE$32,EA11&lt;&gt;""),AND(EB11&gt;=EE$28,EB11&lt;&gt;"",ED11&gt;=EE$32,ED11&lt;&gt;""),AND(EZ11&gt;=FM$28,EZ11&lt;&gt;"",FB11&gt;=FM$32,FB11&lt;&gt;""),AND(FC11&gt;=FM$28,FC11&lt;&gt;"",FE11&gt;=FM$32,FE11&lt;&gt;""),AND(FG11&gt;=FM$28,FG11&lt;&gt;"",FI11&gt;=FM$32,FI11&lt;&gt;""),AND(FJ11&gt;=FM$28,FJ11&lt;&gt;"",FL11&gt;=FM$32,FL11&lt;&gt;""),AND(GH11&gt;=GU$28,GH11&lt;&gt;"",GJ11&gt;=GU$32,GJ11&lt;&gt;""),AND(GK11&gt;=GU$28,GK11&lt;&gt;"",GM11&gt;=GU$32,GM11&lt;&gt;""),AND(GO11&gt;=GU$28,GO11&lt;&gt;"",GQ11&gt;=GU$32,GQ11&lt;&gt;""),AND(GR11&gt;=GU$28,GR11&lt;&gt;"",GT11&gt;=GU$32,GT11&lt;&gt;""),AND(HP11&gt;=IC$28,HP11&lt;&gt;"",HR11&gt;=IC$32,HR11&lt;&gt;""),AND(HS11&gt;=IC$28,HS11&lt;&gt;"",HU11&gt;=IC$32,HU11&lt;&gt;""),AND(HW11&gt;=IC$28,HW11&lt;&gt;"",HY11&gt;=IC$32,HY11&lt;&gt;""),AND(HZ11&gt;=IC$28,HZ11&lt;&gt;"",IB11&gt;=IC$32,IB11&lt;&gt;""),AND(IX11&gt;=JK$28,IX11&lt;&gt;"",IZ11&gt;=JK$32,IZ11&lt;&gt;""),AND(JA11&gt;=JK$28,JA11&lt;&gt;"",JC11&gt;=JK$32,JC11&lt;&gt;""),AND(JE11&gt;=JK$28,JE11&lt;&gt;"",JG11&gt;=JK$32,JG11&lt;&gt;""),AND(JH11&gt;=JK$28,JH11&lt;&gt;"",JJ11&gt;=JK$32,JJ11&lt;&gt;""),AND(KF11&gt;=KS$28,KF11&lt;&gt;"",KH11&gt;=KS$32,KH11&lt;&gt;""),AND(KI11&gt;=KS$28,KI11&lt;&gt;"",KK11&gt;=KS$32,KK11&lt;&gt;""),AND(KM11&gt;=KS$28,KM11&lt;&gt;"",KO11&gt;=KS$32,KO11&lt;&gt;""),AND(KP11&gt;=KS$28,KP11&lt;&gt;"",KR11&gt;=KS$32,KR11&lt;&gt;""),AND(LN11&gt;=MA$28,LN11&lt;&gt;"",LP11&gt;=MA$32,LP11&lt;&gt;""),AND(LQ11&gt;=MA$28,LQ11&lt;&gt;"",LS11&gt;=MA$32,LS11&lt;&gt;""),AND(LU11&gt;=MA$28,LU11&lt;&gt;"",LW11&gt;=MA$32,LW11&lt;&gt;""),AND(LX11&gt;=MA$28,LX11&lt;&gt;"",LZ11&gt;=MA$32,LZ11&lt;&gt;""),AND(MV11&gt;=NI$28,MV11&lt;&gt;"",MX11&gt;=NI$32,MX11&lt;&gt;""),AND(MY11&gt;=NI$28,MY11&lt;&gt;"",NA11&gt;=NI$32,NA11&lt;&gt;""),AND(NC11&gt;=NI$28,NC11&lt;&gt;"",NE11&gt;=NI$32,NE11&lt;&gt;""),AND(NF11&gt;=NI$28,NF11&lt;&gt;"",NH11&gt;=NI$32,NH11&lt;&gt;""),AND(OD11&gt;=OQ$28,OD11&lt;&gt;"",OF11&gt;=OQ$32,OF11&lt;&gt;""),AND(OG11&gt;=OQ$28,OG11&lt;&gt;"",OI11&gt;=OQ$32,OI11&lt;&gt;""),AND(OK11&gt;=OQ$28,OK11&lt;&gt;"",OM11&gt;=OQ$32,OM11&lt;&gt;""),AND(ON11&gt;=OQ$28,ON11&lt;&gt;"",OP11&gt;=OQ$32,OP11&lt;&gt;""),AND(PL11&gt;=PY$28,PL11&lt;&gt;"",PN11&gt;=PY$32,PN11&lt;&gt;""),AND(PO11&gt;=PY$28,PO11&lt;&gt;"",PQ11&gt;=PY$32,PQ11&lt;&gt;""),AND(PS11&gt;=PY$28,PS11&lt;&gt;"",PU11&gt;=PY$32,PU11&lt;&gt;""),AND(PV11&gt;=PY$28,PV11&lt;&gt;"",PX11&gt;=PY$32,PX11&lt;&gt;""),AND(QT11&gt;=RG$28,QT11&lt;&gt;"",QV11&gt;=RG$32,QV11&lt;&gt;""),AND(QW11&gt;=RG$28,QW11&lt;&gt;"",QY11&gt;=RG$32,QY11&lt;&gt;""),AND(RA11&gt;=RG$28,RA11&lt;&gt;"",RC11&gt;=RG$32,RC11&lt;&gt;""),AND(RD11&gt;=RG$28,RD11&lt;&gt;"",RF11&gt;=RG$32,RF11&lt;&gt;""),AND(SB11&gt;=SO$28,SB11&lt;&gt;"",SD11&gt;=SO$32,SD11&lt;&gt;""),AND(SE11&gt;=SO$28,SE11&lt;&gt;"",SG11&gt;=SO$32,SG11&lt;&gt;""),AND(SI11&gt;=SO$28,SI11&lt;&gt;"",SK11&gt;=SO$32,SK11&lt;&gt;""),AND(SL11&gt;=SO$28,SL11&lt;&gt;"",SN11&gt;=SO$32,SN11&lt;&gt;""),AND(TJ11&gt;=TW$28,TJ11&lt;&gt;"",TL11&gt;=TW$32,TL11&lt;&gt;""),AND(TM11&gt;=TW$28,TM11&lt;&gt;"",TO11&gt;=TW$32,TO11&lt;&gt;""),AND(TQ11&gt;=TW$28,TQ11&lt;&gt;"",TS11&gt;=TW$32,TXQ11&lt;&gt;""),AND(TT11&gt;=TW$28,TT11&lt;&gt;"",TV11&gt;=TW$32,TV11&lt;&gt;""),AND(UR11&gt;=VE$28,UR11&lt;&gt;"",UT11&gt;=VE$32,UT11&lt;&gt;""),AND(UU11&gt;=VE$28,UU11&lt;&gt;"",UW11&gt;=VE$32,UW11&lt;&gt;""),AND(UY11&gt;=VE$28,UY11&lt;&gt;"",VA11&gt;=VE$32,VA11&lt;&gt;""),AND(VB11&gt;=VE$28,VB11&lt;&gt;"",VD11&gt;=VE$32,VD11&lt;&gt;""),AND(VZ11&gt;=WM$28,VZ11&lt;&gt;"",WB11&gt;=WM$32,WB11&lt;&gt;""),AND(WC11&gt;=WM$28,WC11&lt;&gt;"",WE11&gt;=WM$32,WE11&lt;&gt;""),AND(WG11&gt;=WM$28,WG11&lt;&gt;"",WI11&gt;=WM$32,WI11&lt;&gt;""),AND(WJ11&gt;=WM$28,WJ11&lt;&gt;"",WL11&gt;=WM$32,WL11&lt;&gt;"")),"P","")</f>
        <v/>
      </c>
      <c r="J11" s="8">
        <f t="shared" si="1"/>
        <v>55.319999999999993</v>
      </c>
      <c r="K11" s="8" t="str">
        <f t="shared" si="2"/>
        <v>2026 Elite Canada</v>
      </c>
      <c r="L11" s="8">
        <f>IFERROR(IF(J11=AR11,LARGE((AK11,AN11,BL11,BO11,BS11,CM11,CP11,CT11),1),IF(J11=BS11,LARGE((AK11,AN11,AR11,BL11,BO11,CM11,CP11,CT11),1),LARGE((AK11,AN11,AR11,BL11,BO11,BS11,CM11,CP11),1))),0)</f>
        <v>55.76</v>
      </c>
      <c r="M11" s="8" t="str">
        <f t="shared" si="3"/>
        <v>2026 Elite Canada</v>
      </c>
      <c r="N11" s="8">
        <f>IFERROR(IF(J11=AR11,LARGE((AK11,AN11,BL11,BO11,BS11,CM11,CP11,CT11),2),IF(J11=BS11,LARGE((AK11,AN11,AR11,BL11,BO11,CM11,CP11,CT11),2),LARGE((AK11,AN11,AR11,BL11,BO11,BS11,CM11,CP11),2))),0)</f>
        <v>54.45</v>
      </c>
      <c r="O11" s="8" t="str">
        <f t="shared" si="4"/>
        <v>2026 Elite Canada</v>
      </c>
      <c r="P11" s="8">
        <f t="shared" si="5"/>
        <v>0</v>
      </c>
      <c r="Q11" s="11" t="str">
        <f t="shared" si="6"/>
        <v/>
      </c>
      <c r="R11" s="8" t="str">
        <f t="shared" si="7"/>
        <v/>
      </c>
      <c r="S11" s="18">
        <v>12.8</v>
      </c>
      <c r="T11" s="18">
        <v>9.1</v>
      </c>
      <c r="U11" s="18">
        <v>14.1</v>
      </c>
      <c r="V11" s="18">
        <v>15.41</v>
      </c>
      <c r="W11" s="18">
        <v>0.4</v>
      </c>
      <c r="X11" s="18">
        <v>12.3</v>
      </c>
      <c r="Y11" s="18">
        <v>9.5</v>
      </c>
      <c r="Z11" s="18">
        <v>11.1</v>
      </c>
      <c r="AA11" s="18">
        <v>15.73</v>
      </c>
      <c r="AB11" s="18">
        <v>3.4</v>
      </c>
      <c r="AC11" s="18">
        <v>14.3</v>
      </c>
      <c r="AD11" s="18">
        <v>9</v>
      </c>
      <c r="AE11" s="18">
        <v>13.1</v>
      </c>
      <c r="AF11" s="18">
        <v>15.58</v>
      </c>
      <c r="AG11" s="18">
        <v>1.4</v>
      </c>
      <c r="AH11" s="23"/>
      <c r="AI11" s="34">
        <f t="shared" si="8"/>
        <v>14.1</v>
      </c>
      <c r="AJ11" s="34">
        <f t="shared" si="9"/>
        <v>15.41</v>
      </c>
      <c r="AK11" s="36">
        <f t="shared" si="10"/>
        <v>51.01</v>
      </c>
      <c r="AL11" s="36">
        <f t="shared" si="11"/>
        <v>11.1</v>
      </c>
      <c r="AM11" s="36">
        <f t="shared" si="12"/>
        <v>15.73</v>
      </c>
      <c r="AN11" s="36">
        <f t="shared" si="13"/>
        <v>45.23</v>
      </c>
      <c r="AO11" s="36">
        <f t="shared" si="14"/>
        <v>51.01</v>
      </c>
      <c r="AP11" s="36">
        <f t="shared" si="15"/>
        <v>13.1</v>
      </c>
      <c r="AQ11" s="36">
        <f t="shared" si="16"/>
        <v>15.58</v>
      </c>
      <c r="AR11" s="36">
        <f t="shared" si="17"/>
        <v>50.58</v>
      </c>
      <c r="AS11" s="36">
        <f t="shared" si="18"/>
        <v>101.59</v>
      </c>
      <c r="AT11" s="22">
        <v>12</v>
      </c>
      <c r="AU11" s="22">
        <v>9.4</v>
      </c>
      <c r="AV11" s="22">
        <v>11.7</v>
      </c>
      <c r="AW11" s="22">
        <v>16.170000000000002</v>
      </c>
      <c r="AX11" s="22">
        <v>4</v>
      </c>
      <c r="AY11" s="22">
        <v>5.6</v>
      </c>
      <c r="AZ11" s="22">
        <v>3.8</v>
      </c>
      <c r="BA11" s="22">
        <v>6.3</v>
      </c>
      <c r="BB11" s="22">
        <v>6.78</v>
      </c>
      <c r="BC11" s="22">
        <v>0</v>
      </c>
      <c r="BD11" s="22"/>
      <c r="BE11" s="22"/>
      <c r="BF11" s="22"/>
      <c r="BG11" s="22"/>
      <c r="BH11" s="22"/>
      <c r="BI11" s="24"/>
      <c r="BJ11" s="35">
        <f t="shared" si="19"/>
        <v>11.7</v>
      </c>
      <c r="BK11" s="35">
        <f t="shared" si="20"/>
        <v>16.170000000000002</v>
      </c>
      <c r="BL11" s="11">
        <f t="shared" si="21"/>
        <v>45.269999999999996</v>
      </c>
      <c r="BM11" s="11">
        <f t="shared" si="22"/>
        <v>6.3</v>
      </c>
      <c r="BN11" s="11">
        <f t="shared" si="23"/>
        <v>6.78</v>
      </c>
      <c r="BO11" s="11">
        <f t="shared" si="24"/>
        <v>22.48</v>
      </c>
      <c r="BP11" s="11">
        <f t="shared" si="25"/>
        <v>45.269999999999996</v>
      </c>
      <c r="BQ11" s="11" t="str">
        <f t="shared" si="26"/>
        <v/>
      </c>
      <c r="BR11" s="11" t="str">
        <f t="shared" si="27"/>
        <v/>
      </c>
      <c r="BS11" s="11" t="str">
        <f t="shared" si="28"/>
        <v/>
      </c>
      <c r="BT11" s="11">
        <f t="shared" si="29"/>
        <v>45.269999999999996</v>
      </c>
      <c r="BU11" s="18">
        <v>15.1</v>
      </c>
      <c r="BV11" s="18">
        <v>9.4</v>
      </c>
      <c r="BW11" s="18">
        <v>15.3</v>
      </c>
      <c r="BX11" s="18">
        <v>15.96</v>
      </c>
      <c r="BY11" s="18">
        <v>0</v>
      </c>
      <c r="BZ11" s="18">
        <v>13.3</v>
      </c>
      <c r="CA11" s="18">
        <v>9.4</v>
      </c>
      <c r="CB11" s="18">
        <v>15.8</v>
      </c>
      <c r="CC11" s="18">
        <v>15.95</v>
      </c>
      <c r="CD11" s="18">
        <v>0</v>
      </c>
      <c r="CE11" s="18">
        <v>14.7</v>
      </c>
      <c r="CF11" s="18">
        <v>9.6</v>
      </c>
      <c r="CG11" s="18">
        <v>15.3</v>
      </c>
      <c r="CH11" s="18">
        <v>15.72</v>
      </c>
      <c r="CI11" s="18">
        <v>0</v>
      </c>
      <c r="CJ11" s="23"/>
      <c r="CK11" s="34">
        <f t="shared" si="30"/>
        <v>15.3</v>
      </c>
      <c r="CL11" s="34">
        <f t="shared" si="31"/>
        <v>15.96</v>
      </c>
      <c r="CM11" s="36">
        <f t="shared" si="32"/>
        <v>55.76</v>
      </c>
      <c r="CN11" s="36">
        <f t="shared" si="33"/>
        <v>15.8</v>
      </c>
      <c r="CO11" s="36">
        <f t="shared" si="34"/>
        <v>15.95</v>
      </c>
      <c r="CP11" s="36">
        <f t="shared" si="35"/>
        <v>54.45</v>
      </c>
      <c r="CQ11" s="36">
        <f t="shared" si="36"/>
        <v>55.76</v>
      </c>
      <c r="CR11" s="36">
        <f t="shared" si="37"/>
        <v>15.3</v>
      </c>
      <c r="CS11" s="36">
        <f t="shared" si="38"/>
        <v>15.72</v>
      </c>
      <c r="CT11" s="36">
        <f t="shared" si="39"/>
        <v>55.319999999999993</v>
      </c>
      <c r="CU11" s="36">
        <f t="shared" si="40"/>
        <v>111.07999999999998</v>
      </c>
      <c r="CV11" s="47" t="str">
        <f t="shared" si="41"/>
        <v/>
      </c>
      <c r="CW11" s="47" t="str">
        <f t="shared" si="42"/>
        <v/>
      </c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36" t="str">
        <f t="shared" si="43"/>
        <v/>
      </c>
      <c r="DS11" s="36" t="str">
        <f t="shared" si="44"/>
        <v/>
      </c>
      <c r="DT11" s="36" t="str">
        <f t="shared" si="45"/>
        <v/>
      </c>
      <c r="DU11" s="36" t="str">
        <f t="shared" si="46"/>
        <v/>
      </c>
      <c r="DV11" s="36" t="str">
        <f t="shared" si="47"/>
        <v/>
      </c>
      <c r="DW11" s="36" t="str">
        <f t="shared" si="48"/>
        <v/>
      </c>
      <c r="DX11" s="36" t="str">
        <f t="shared" si="49"/>
        <v/>
      </c>
      <c r="DY11" s="36" t="str">
        <f t="shared" si="50"/>
        <v/>
      </c>
      <c r="DZ11" s="36" t="str">
        <f t="shared" si="51"/>
        <v/>
      </c>
      <c r="EA11" s="36" t="str">
        <f t="shared" si="52"/>
        <v/>
      </c>
      <c r="EB11" s="36" t="str">
        <f t="shared" si="53"/>
        <v/>
      </c>
      <c r="EC11" s="36" t="str">
        <f t="shared" si="54"/>
        <v/>
      </c>
      <c r="ED11" s="36" t="str">
        <f t="shared" si="55"/>
        <v/>
      </c>
      <c r="EE11" s="36" t="str">
        <f t="shared" si="56"/>
        <v/>
      </c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1" t="str">
        <f t="shared" si="57"/>
        <v/>
      </c>
      <c r="FA11" s="11" t="str">
        <f t="shared" si="58"/>
        <v/>
      </c>
      <c r="FB11" s="11" t="str">
        <f t="shared" si="59"/>
        <v/>
      </c>
      <c r="FC11" s="11" t="str">
        <f t="shared" si="60"/>
        <v/>
      </c>
      <c r="FD11" s="11" t="str">
        <f t="shared" si="61"/>
        <v/>
      </c>
      <c r="FE11" s="11" t="str">
        <f t="shared" si="62"/>
        <v/>
      </c>
      <c r="FF11" s="11" t="str">
        <f t="shared" si="63"/>
        <v/>
      </c>
      <c r="FG11" s="11" t="str">
        <f t="shared" si="64"/>
        <v/>
      </c>
      <c r="FH11" s="11" t="str">
        <f t="shared" si="65"/>
        <v/>
      </c>
      <c r="FI11" s="11" t="str">
        <f t="shared" si="66"/>
        <v/>
      </c>
      <c r="FJ11" s="11" t="str">
        <f t="shared" si="67"/>
        <v/>
      </c>
      <c r="FK11" s="11" t="str">
        <f t="shared" si="68"/>
        <v/>
      </c>
      <c r="FL11" s="11" t="str">
        <f t="shared" si="69"/>
        <v/>
      </c>
      <c r="FM11" s="11" t="str">
        <f t="shared" si="70"/>
        <v/>
      </c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36" t="str">
        <f t="shared" si="71"/>
        <v/>
      </c>
      <c r="GI11" s="36" t="str">
        <f t="shared" si="72"/>
        <v/>
      </c>
      <c r="GJ11" s="36" t="str">
        <f t="shared" si="73"/>
        <v/>
      </c>
      <c r="GK11" s="36" t="str">
        <f t="shared" si="74"/>
        <v/>
      </c>
      <c r="GL11" s="36" t="str">
        <f t="shared" si="75"/>
        <v/>
      </c>
      <c r="GM11" s="36" t="str">
        <f t="shared" si="76"/>
        <v/>
      </c>
      <c r="GN11" s="36" t="str">
        <f t="shared" si="77"/>
        <v/>
      </c>
      <c r="GO11" s="36" t="str">
        <f t="shared" si="78"/>
        <v/>
      </c>
      <c r="GP11" s="36" t="str">
        <f t="shared" si="79"/>
        <v/>
      </c>
      <c r="GQ11" s="36" t="str">
        <f t="shared" si="80"/>
        <v/>
      </c>
      <c r="GR11" s="36" t="str">
        <f t="shared" si="81"/>
        <v/>
      </c>
      <c r="GS11" s="36" t="str">
        <f t="shared" si="82"/>
        <v/>
      </c>
      <c r="GT11" s="36" t="str">
        <f t="shared" si="83"/>
        <v/>
      </c>
      <c r="GU11" s="36" t="str">
        <f t="shared" si="84"/>
        <v/>
      </c>
      <c r="GV11" s="16">
        <v>14</v>
      </c>
      <c r="GW11" s="16">
        <v>9.5</v>
      </c>
      <c r="GX11" s="16">
        <v>12.9</v>
      </c>
      <c r="GY11" s="16">
        <v>15.91</v>
      </c>
      <c r="GZ11" s="16">
        <v>0</v>
      </c>
      <c r="HA11" s="16">
        <v>12.7</v>
      </c>
      <c r="HB11" s="16">
        <v>9.4</v>
      </c>
      <c r="HC11" s="16">
        <v>12.9</v>
      </c>
      <c r="HD11" s="16">
        <v>15.75</v>
      </c>
      <c r="HE11" s="16">
        <v>0</v>
      </c>
      <c r="HF11" s="16">
        <v>13.6</v>
      </c>
      <c r="HG11" s="16">
        <v>9.6999999999999993</v>
      </c>
      <c r="HH11" s="16">
        <v>12.9</v>
      </c>
      <c r="HI11" s="16">
        <v>16.010000000000002</v>
      </c>
      <c r="HJ11" s="16">
        <v>0</v>
      </c>
      <c r="HK11" s="16"/>
      <c r="HL11" s="16"/>
      <c r="HM11" s="16"/>
      <c r="HN11" s="16"/>
      <c r="HO11" s="16"/>
      <c r="HP11" s="11">
        <f t="shared" si="85"/>
        <v>12.9</v>
      </c>
      <c r="HQ11" s="11">
        <f t="shared" si="86"/>
        <v>15.91</v>
      </c>
      <c r="HR11" s="11">
        <f t="shared" si="87"/>
        <v>52.31</v>
      </c>
      <c r="HS11" s="11">
        <f t="shared" si="88"/>
        <v>12.9</v>
      </c>
      <c r="HT11" s="11">
        <f t="shared" si="89"/>
        <v>15.75</v>
      </c>
      <c r="HU11" s="11">
        <f t="shared" si="90"/>
        <v>50.75</v>
      </c>
      <c r="HV11" s="11">
        <f t="shared" si="91"/>
        <v>52.31</v>
      </c>
      <c r="HW11" s="11">
        <f t="shared" si="92"/>
        <v>12.9</v>
      </c>
      <c r="HX11" s="11">
        <f t="shared" si="93"/>
        <v>16.010000000000002</v>
      </c>
      <c r="HY11" s="11">
        <f t="shared" si="94"/>
        <v>52.209999999999994</v>
      </c>
      <c r="HZ11" s="11" t="str">
        <f t="shared" si="95"/>
        <v/>
      </c>
      <c r="IA11" s="11" t="str">
        <f t="shared" si="96"/>
        <v/>
      </c>
      <c r="IB11" s="11" t="str">
        <f t="shared" si="97"/>
        <v/>
      </c>
      <c r="IC11" s="11">
        <f t="shared" si="98"/>
        <v>104.52</v>
      </c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36" t="str">
        <f t="shared" si="99"/>
        <v/>
      </c>
      <c r="IY11" s="36" t="str">
        <f t="shared" si="100"/>
        <v/>
      </c>
      <c r="IZ11" s="36" t="str">
        <f t="shared" si="101"/>
        <v/>
      </c>
      <c r="JA11" s="36" t="str">
        <f t="shared" si="102"/>
        <v/>
      </c>
      <c r="JB11" s="36" t="str">
        <f t="shared" si="103"/>
        <v/>
      </c>
      <c r="JC11" s="36" t="str">
        <f t="shared" si="104"/>
        <v/>
      </c>
      <c r="JD11" s="36" t="str">
        <f t="shared" si="105"/>
        <v/>
      </c>
      <c r="JE11" s="36" t="str">
        <f t="shared" si="106"/>
        <v/>
      </c>
      <c r="JF11" s="36" t="str">
        <f t="shared" si="107"/>
        <v/>
      </c>
      <c r="JG11" s="36" t="str">
        <f t="shared" si="108"/>
        <v/>
      </c>
      <c r="JH11" s="36" t="str">
        <f t="shared" si="109"/>
        <v/>
      </c>
      <c r="JI11" s="36" t="str">
        <f t="shared" si="110"/>
        <v/>
      </c>
      <c r="JJ11" s="36" t="str">
        <f t="shared" si="111"/>
        <v/>
      </c>
      <c r="JK11" s="36" t="str">
        <f t="shared" si="112"/>
        <v/>
      </c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1" t="str">
        <f t="shared" si="113"/>
        <v/>
      </c>
      <c r="KG11" s="11" t="str">
        <f t="shared" si="114"/>
        <v/>
      </c>
      <c r="KH11" s="11" t="str">
        <f t="shared" si="115"/>
        <v/>
      </c>
      <c r="KI11" s="11" t="str">
        <f t="shared" si="116"/>
        <v/>
      </c>
      <c r="KJ11" s="11" t="str">
        <f t="shared" si="117"/>
        <v/>
      </c>
      <c r="KK11" s="11" t="str">
        <f t="shared" si="118"/>
        <v/>
      </c>
      <c r="KL11" s="11" t="str">
        <f t="shared" si="119"/>
        <v/>
      </c>
      <c r="KM11" s="11" t="str">
        <f t="shared" si="120"/>
        <v/>
      </c>
      <c r="KN11" s="11" t="str">
        <f t="shared" si="121"/>
        <v/>
      </c>
      <c r="KO11" s="11" t="str">
        <f t="shared" si="122"/>
        <v/>
      </c>
      <c r="KP11" s="11" t="str">
        <f t="shared" si="123"/>
        <v/>
      </c>
      <c r="KQ11" s="11" t="str">
        <f t="shared" si="124"/>
        <v/>
      </c>
      <c r="KR11" s="11" t="str">
        <f t="shared" si="125"/>
        <v/>
      </c>
      <c r="KS11" s="11" t="str">
        <f t="shared" si="126"/>
        <v/>
      </c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36" t="str">
        <f t="shared" si="127"/>
        <v/>
      </c>
      <c r="LO11" s="36" t="str">
        <f t="shared" si="128"/>
        <v/>
      </c>
      <c r="LP11" s="36" t="str">
        <f t="shared" si="129"/>
        <v/>
      </c>
      <c r="LQ11" s="36" t="str">
        <f t="shared" si="130"/>
        <v/>
      </c>
      <c r="LR11" s="36" t="str">
        <f t="shared" si="131"/>
        <v/>
      </c>
      <c r="LS11" s="36" t="str">
        <f t="shared" si="132"/>
        <v/>
      </c>
      <c r="LT11" s="36" t="str">
        <f t="shared" si="133"/>
        <v/>
      </c>
      <c r="LU11" s="36" t="str">
        <f t="shared" si="134"/>
        <v/>
      </c>
      <c r="LV11" s="36" t="str">
        <f t="shared" si="135"/>
        <v/>
      </c>
      <c r="LW11" s="36" t="str">
        <f t="shared" si="136"/>
        <v/>
      </c>
      <c r="LX11" s="36" t="str">
        <f t="shared" si="137"/>
        <v/>
      </c>
      <c r="LY11" s="36" t="str">
        <f t="shared" si="138"/>
        <v/>
      </c>
      <c r="LZ11" s="36" t="str">
        <f t="shared" si="139"/>
        <v/>
      </c>
      <c r="MA11" s="36" t="str">
        <f t="shared" si="140"/>
        <v/>
      </c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6"/>
      <c r="MT11" s="16"/>
      <c r="MU11" s="16"/>
      <c r="MV11" s="11" t="str">
        <f t="shared" si="141"/>
        <v/>
      </c>
      <c r="MW11" s="11" t="str">
        <f t="shared" si="142"/>
        <v/>
      </c>
      <c r="MX11" s="11" t="str">
        <f t="shared" si="143"/>
        <v/>
      </c>
      <c r="MY11" s="11" t="str">
        <f t="shared" si="144"/>
        <v/>
      </c>
      <c r="MZ11" s="11" t="str">
        <f t="shared" si="145"/>
        <v/>
      </c>
      <c r="NA11" s="11" t="str">
        <f t="shared" si="146"/>
        <v/>
      </c>
      <c r="NB11" s="11" t="str">
        <f t="shared" si="147"/>
        <v/>
      </c>
      <c r="NC11" s="11" t="str">
        <f t="shared" si="148"/>
        <v/>
      </c>
      <c r="ND11" s="11" t="str">
        <f t="shared" si="149"/>
        <v/>
      </c>
      <c r="NE11" s="11" t="str">
        <f t="shared" si="150"/>
        <v/>
      </c>
      <c r="NF11" s="11" t="str">
        <f t="shared" si="151"/>
        <v/>
      </c>
      <c r="NG11" s="11" t="str">
        <f t="shared" si="152"/>
        <v/>
      </c>
      <c r="NH11" s="11" t="str">
        <f t="shared" si="153"/>
        <v/>
      </c>
      <c r="NI11" s="11" t="str">
        <f t="shared" si="154"/>
        <v/>
      </c>
      <c r="NJ11" s="15">
        <v>15.1</v>
      </c>
      <c r="NK11" s="15">
        <v>9.4</v>
      </c>
      <c r="NL11" s="15">
        <v>3.3</v>
      </c>
      <c r="NM11" s="15">
        <v>16.18</v>
      </c>
      <c r="NN11" s="15">
        <v>0</v>
      </c>
      <c r="NO11" s="15">
        <v>2.8</v>
      </c>
      <c r="NP11" s="15">
        <v>1.8</v>
      </c>
      <c r="NQ11" s="15">
        <v>3.3</v>
      </c>
      <c r="NR11" s="15">
        <v>3.38</v>
      </c>
      <c r="NS11" s="15">
        <v>0</v>
      </c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36">
        <f t="shared" si="155"/>
        <v>3.3</v>
      </c>
      <c r="OE11" s="36">
        <f t="shared" si="156"/>
        <v>16.18</v>
      </c>
      <c r="OF11" s="36">
        <f t="shared" si="157"/>
        <v>43.980000000000004</v>
      </c>
      <c r="OG11" s="36">
        <f t="shared" si="158"/>
        <v>3.3</v>
      </c>
      <c r="OH11" s="36">
        <f t="shared" si="159"/>
        <v>3.38</v>
      </c>
      <c r="OI11" s="36">
        <f t="shared" si="160"/>
        <v>11.28</v>
      </c>
      <c r="OJ11" s="36">
        <f t="shared" si="161"/>
        <v>43.980000000000004</v>
      </c>
      <c r="OK11" s="36" t="str">
        <f t="shared" si="162"/>
        <v/>
      </c>
      <c r="OL11" s="36" t="str">
        <f t="shared" si="163"/>
        <v/>
      </c>
      <c r="OM11" s="36" t="str">
        <f t="shared" si="164"/>
        <v/>
      </c>
      <c r="ON11" s="36" t="str">
        <f t="shared" si="165"/>
        <v/>
      </c>
      <c r="OO11" s="36" t="str">
        <f t="shared" si="166"/>
        <v/>
      </c>
      <c r="OP11" s="36" t="str">
        <f t="shared" si="167"/>
        <v/>
      </c>
      <c r="OQ11" s="36">
        <f t="shared" si="168"/>
        <v>43.980000000000004</v>
      </c>
      <c r="OR11" s="16"/>
      <c r="OS11" s="16"/>
      <c r="OT11" s="16"/>
      <c r="OU11" s="16"/>
      <c r="OV11" s="16"/>
      <c r="OW11" s="16"/>
      <c r="OX11" s="16"/>
      <c r="OY11" s="16"/>
      <c r="OZ11" s="16"/>
      <c r="PA11" s="16"/>
      <c r="PB11" s="16"/>
      <c r="PC11" s="16"/>
      <c r="PD11" s="16"/>
      <c r="PE11" s="16"/>
      <c r="PF11" s="16"/>
      <c r="PG11" s="16"/>
      <c r="PH11" s="16"/>
      <c r="PI11" s="16"/>
      <c r="PJ11" s="16"/>
      <c r="PK11" s="16"/>
      <c r="PL11" s="11" t="str">
        <f t="shared" si="169"/>
        <v/>
      </c>
      <c r="PM11" s="11" t="str">
        <f t="shared" si="170"/>
        <v/>
      </c>
      <c r="PN11" s="11" t="str">
        <f t="shared" si="171"/>
        <v/>
      </c>
      <c r="PO11" s="11" t="str">
        <f t="shared" si="172"/>
        <v/>
      </c>
      <c r="PP11" s="11" t="str">
        <f t="shared" si="173"/>
        <v/>
      </c>
      <c r="PQ11" s="11" t="str">
        <f t="shared" si="174"/>
        <v/>
      </c>
      <c r="PR11" s="11" t="str">
        <f t="shared" si="175"/>
        <v/>
      </c>
      <c r="PS11" s="11" t="str">
        <f t="shared" si="176"/>
        <v/>
      </c>
      <c r="PT11" s="11" t="str">
        <f t="shared" si="177"/>
        <v/>
      </c>
      <c r="PU11" s="11" t="str">
        <f t="shared" si="178"/>
        <v/>
      </c>
      <c r="PV11" s="11" t="str">
        <f t="shared" si="179"/>
        <v/>
      </c>
      <c r="PW11" s="11" t="str">
        <f t="shared" si="180"/>
        <v/>
      </c>
      <c r="PX11" s="11" t="str">
        <f t="shared" si="181"/>
        <v/>
      </c>
      <c r="PY11" s="11" t="str">
        <f t="shared" si="182"/>
        <v/>
      </c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36" t="str">
        <f t="shared" si="183"/>
        <v/>
      </c>
      <c r="QU11" s="36" t="str">
        <f t="shared" si="184"/>
        <v/>
      </c>
      <c r="QV11" s="36" t="str">
        <f t="shared" si="185"/>
        <v/>
      </c>
      <c r="QW11" s="36" t="str">
        <f t="shared" si="186"/>
        <v/>
      </c>
      <c r="QX11" s="36" t="str">
        <f t="shared" si="187"/>
        <v/>
      </c>
      <c r="QY11" s="36" t="str">
        <f t="shared" si="188"/>
        <v/>
      </c>
      <c r="QZ11" s="36" t="str">
        <f t="shared" si="189"/>
        <v/>
      </c>
      <c r="RA11" s="36" t="str">
        <f t="shared" si="190"/>
        <v/>
      </c>
      <c r="RB11" s="36" t="str">
        <f t="shared" si="191"/>
        <v/>
      </c>
      <c r="RC11" s="36" t="str">
        <f t="shared" si="192"/>
        <v/>
      </c>
      <c r="RD11" s="36" t="str">
        <f t="shared" si="193"/>
        <v/>
      </c>
      <c r="RE11" s="36" t="str">
        <f t="shared" si="194"/>
        <v/>
      </c>
      <c r="RF11" s="36" t="str">
        <f t="shared" si="195"/>
        <v/>
      </c>
      <c r="RG11" s="36" t="str">
        <f t="shared" si="196"/>
        <v/>
      </c>
      <c r="RH11" s="16"/>
      <c r="RI11" s="16"/>
      <c r="RJ11" s="16"/>
      <c r="RK11" s="16"/>
      <c r="RL11" s="16"/>
      <c r="RM11" s="16"/>
      <c r="RN11" s="16"/>
      <c r="RO11" s="16"/>
      <c r="RP11" s="16"/>
      <c r="RQ11" s="16"/>
      <c r="RR11" s="16"/>
      <c r="RS11" s="16"/>
      <c r="RT11" s="16"/>
      <c r="RU11" s="16"/>
      <c r="RV11" s="16"/>
      <c r="RW11" s="16"/>
      <c r="RX11" s="16"/>
      <c r="RY11" s="16"/>
      <c r="RZ11" s="16"/>
      <c r="SA11" s="16"/>
      <c r="SB11" s="11" t="str">
        <f t="shared" si="197"/>
        <v/>
      </c>
      <c r="SC11" s="11" t="str">
        <f t="shared" si="198"/>
        <v/>
      </c>
      <c r="SD11" s="11" t="str">
        <f t="shared" si="199"/>
        <v/>
      </c>
      <c r="SE11" s="11" t="str">
        <f t="shared" si="200"/>
        <v/>
      </c>
      <c r="SF11" s="11" t="str">
        <f t="shared" si="201"/>
        <v/>
      </c>
      <c r="SG11" s="11" t="str">
        <f t="shared" si="202"/>
        <v/>
      </c>
      <c r="SH11" s="11" t="str">
        <f t="shared" si="203"/>
        <v/>
      </c>
      <c r="SI11" s="11" t="str">
        <f t="shared" si="204"/>
        <v/>
      </c>
      <c r="SJ11" s="11" t="str">
        <f t="shared" si="205"/>
        <v/>
      </c>
      <c r="SK11" s="11" t="str">
        <f t="shared" si="206"/>
        <v/>
      </c>
      <c r="SL11" s="11" t="str">
        <f t="shared" si="207"/>
        <v/>
      </c>
      <c r="SM11" s="11" t="str">
        <f t="shared" si="208"/>
        <v/>
      </c>
      <c r="SN11" s="11" t="str">
        <f t="shared" si="209"/>
        <v/>
      </c>
      <c r="SO11" s="11" t="str">
        <f t="shared" si="210"/>
        <v/>
      </c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36" t="str">
        <f t="shared" si="211"/>
        <v/>
      </c>
      <c r="TK11" s="36" t="str">
        <f t="shared" si="212"/>
        <v/>
      </c>
      <c r="TL11" s="36" t="str">
        <f t="shared" si="213"/>
        <v/>
      </c>
      <c r="TM11" s="36" t="str">
        <f t="shared" si="214"/>
        <v/>
      </c>
      <c r="TN11" s="36" t="str">
        <f t="shared" si="215"/>
        <v/>
      </c>
      <c r="TO11" s="36" t="str">
        <f t="shared" si="216"/>
        <v/>
      </c>
      <c r="TP11" s="36" t="str">
        <f t="shared" si="217"/>
        <v/>
      </c>
      <c r="TQ11" s="36" t="str">
        <f t="shared" si="218"/>
        <v/>
      </c>
      <c r="TR11" s="36" t="str">
        <f t="shared" si="219"/>
        <v/>
      </c>
      <c r="TS11" s="36" t="str">
        <f t="shared" si="220"/>
        <v/>
      </c>
      <c r="TT11" s="36" t="str">
        <f t="shared" si="221"/>
        <v/>
      </c>
      <c r="TU11" s="36" t="str">
        <f t="shared" si="222"/>
        <v/>
      </c>
      <c r="TV11" s="36" t="str">
        <f t="shared" si="223"/>
        <v/>
      </c>
      <c r="TW11" s="36" t="str">
        <f t="shared" si="224"/>
        <v/>
      </c>
      <c r="TX11" s="16"/>
      <c r="TY11" s="16"/>
      <c r="TZ11" s="16"/>
      <c r="UA11" s="16"/>
      <c r="UB11" s="16"/>
      <c r="UC11" s="16"/>
      <c r="UD11" s="16"/>
      <c r="UE11" s="16"/>
      <c r="UF11" s="16"/>
      <c r="UG11" s="16"/>
      <c r="UH11" s="16"/>
      <c r="UI11" s="16"/>
      <c r="UJ11" s="16"/>
      <c r="UK11" s="16"/>
      <c r="UL11" s="16"/>
      <c r="UM11" s="16"/>
      <c r="UN11" s="16"/>
      <c r="UO11" s="16"/>
      <c r="UP11" s="16"/>
      <c r="UQ11" s="16"/>
      <c r="UR11" s="11" t="str">
        <f t="shared" si="225"/>
        <v/>
      </c>
      <c r="US11" s="11" t="str">
        <f t="shared" si="226"/>
        <v/>
      </c>
      <c r="UT11" s="11" t="str">
        <f t="shared" si="227"/>
        <v/>
      </c>
      <c r="UU11" s="11" t="str">
        <f t="shared" si="228"/>
        <v/>
      </c>
      <c r="UV11" s="11" t="str">
        <f t="shared" si="229"/>
        <v/>
      </c>
      <c r="UW11" s="11" t="str">
        <f t="shared" si="230"/>
        <v/>
      </c>
      <c r="UX11" s="11" t="str">
        <f t="shared" si="231"/>
        <v/>
      </c>
      <c r="UY11" s="11" t="str">
        <f t="shared" si="232"/>
        <v/>
      </c>
      <c r="UZ11" s="11" t="str">
        <f t="shared" si="233"/>
        <v/>
      </c>
      <c r="VA11" s="11" t="str">
        <f t="shared" si="234"/>
        <v/>
      </c>
      <c r="VB11" s="11" t="str">
        <f t="shared" si="235"/>
        <v/>
      </c>
      <c r="VC11" s="11" t="str">
        <f t="shared" si="236"/>
        <v/>
      </c>
      <c r="VD11" s="11" t="str">
        <f t="shared" si="237"/>
        <v/>
      </c>
      <c r="VE11" s="11" t="str">
        <f t="shared" si="238"/>
        <v/>
      </c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36" t="str">
        <f t="shared" si="239"/>
        <v/>
      </c>
      <c r="WA11" s="36" t="str">
        <f t="shared" si="240"/>
        <v/>
      </c>
      <c r="WB11" s="36" t="str">
        <f t="shared" si="241"/>
        <v/>
      </c>
      <c r="WC11" s="36" t="str">
        <f t="shared" si="242"/>
        <v/>
      </c>
      <c r="WD11" s="36" t="str">
        <f t="shared" si="243"/>
        <v/>
      </c>
      <c r="WE11" s="36" t="str">
        <f t="shared" si="244"/>
        <v/>
      </c>
      <c r="WF11" s="36" t="str">
        <f t="shared" si="245"/>
        <v/>
      </c>
      <c r="WG11" s="36" t="str">
        <f t="shared" si="246"/>
        <v/>
      </c>
      <c r="WH11" s="36" t="str">
        <f t="shared" si="247"/>
        <v/>
      </c>
      <c r="WI11" s="36" t="str">
        <f t="shared" si="248"/>
        <v/>
      </c>
      <c r="WJ11" s="36" t="str">
        <f t="shared" si="249"/>
        <v/>
      </c>
      <c r="WK11" s="36" t="str">
        <f t="shared" si="250"/>
        <v/>
      </c>
      <c r="WL11" s="36" t="str">
        <f t="shared" si="251"/>
        <v/>
      </c>
      <c r="WM11" s="36" t="str">
        <f t="shared" si="252"/>
        <v/>
      </c>
    </row>
    <row r="12" spans="1:611" x14ac:dyDescent="0.2">
      <c r="A12" s="4" t="str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/>
      </c>
      <c r="B12" s="5" t="s">
        <v>56</v>
      </c>
      <c r="C12" s="4" t="s">
        <v>55</v>
      </c>
      <c r="D12" s="4">
        <v>2001</v>
      </c>
      <c r="E12" s="9">
        <f t="shared" si="0"/>
        <v>163.04001630400552</v>
      </c>
      <c r="F12" s="3" t="str">
        <f>IF(OR(AND(AI12&gt;=AS$27,AI12&lt;&gt;"",AK12&gt;=AS$31,AK12&lt;&gt;"",AH12=""),AND(AL12&gt;=AS$27,AL12&lt;&gt;"",AN12&gt;=AS$31,AN12&lt;&gt;"",AH12=""),AND(AP12&gt;=AS$27,AP12&lt;&gt;"",AR12&gt;=AS$31,AR12&lt;&gt;"",AH12=""),AND(BJ12&gt;=BT$27,BJ12&lt;&gt;"",BL12&gt;=BT$31,BL12&lt;&gt;"",BI12=""),AND(BM12&gt;=BT$27,BM12&lt;&gt;"",BO12&gt;=BT$31,BO12&lt;&gt;"",BI12=""),AND(BQ12&gt;=BT$27,BQ12&lt;&gt;"",BS12&gt;=BT$31,BS12&lt;&gt;"",BI12=""),AND(CK12&gt;=CU$27,CK12&lt;&gt;"",CM12&gt;=CU$31,CM12&lt;&gt;"",CJ12=""),AND(CN12&gt;=CU$27,CN12&lt;&gt;"",CP12&gt;=CU$31,CP12&lt;&gt;"",CJ12=""),AND(CR12&gt;=CU$27,CR12&lt;&gt;"",CT12&gt;=CU$31,CT12&lt;&gt;"",CJ12=""),AND(DR12&gt;=EE$27,DR12&lt;&gt;"",DT12&gt;=EE$31,DT12&lt;&gt;""),AND(DU12&gt;=EE$27,DU12&lt;&gt;"",DW12&gt;=EE$31,DW12&lt;&gt;""),AND(DY12&gt;=EE$27,DY12&lt;&gt;"",EA12&gt;=EE$31,EA12&lt;&gt;""),AND(EB12&gt;=EE$27,EB12&lt;&gt;"",ED12&gt;=EE$31,ED12&lt;&gt;""),AND(EZ12&gt;=FM$27,EZ12&lt;&gt;"",FB12&gt;=FM$31,FB12&lt;&gt;""),AND(FC12&gt;=FM$27,FC12&lt;&gt;"",FE12&gt;=FM$31,FE12&lt;&gt;""),AND(FG12&gt;=FM$27,FG12&lt;&gt;"",FI12&gt;=FM$31,FI12&lt;&gt;""),AND(FJ12&gt;=FM$27,FJ12&lt;&gt;"",FL12&gt;=FM$31,FL12&lt;&gt;""),AND(GH12&gt;=GU$27,GH12&lt;&gt;"",GJ12&gt;=GU$31,GJ12&lt;&gt;""),AND(GK12&gt;=GU$27,GK12&lt;&gt;"",GM12&gt;=GU$31,GM12&lt;&gt;""),AND(GO12&gt;=GU$27,GO12&lt;&gt;"",GQ12&gt;=GU$31,GQ12&lt;&gt;""),AND(GR12&gt;=GU$27,GR12&lt;&gt;"",GT12&gt;=GU$31,GT12&lt;&gt;""),AND(HP12&gt;=IC$27,HP12&lt;&gt;"",HR12&gt;=IC$31,HR12&lt;&gt;""),AND(HS12&gt;=IC$27,HS12&lt;&gt;"",HU12&gt;=IC$31,HU12&lt;&gt;""),AND(HW12&gt;=IC$27,HW12&lt;&gt;"",HY12&gt;=IC$31,HY12&lt;&gt;""),AND(HZ12&gt;=IC$27,HZ12&lt;&gt;"",IB12&gt;=IC$31,IB12&lt;&gt;""),AND(IX12&gt;=JK$27,IX12&lt;&gt;"",IZ12&gt;=JK$31,IZ12&lt;&gt;""),AND(JA12&gt;=JK$27,JA12&lt;&gt;"",JC12&gt;=JK$31,JC12&lt;&gt;""),AND(JE12&gt;=JK$27,JE12&lt;&gt;"",JG12&gt;=JK$31,JG12&lt;&gt;""),AND(JH12&gt;=JK$27,JH12&lt;&gt;"",JJ12&gt;=JK$31,JJ12&lt;&gt;""),AND(KF12&gt;=KS$27,KF12&lt;&gt;"",KH12&gt;=KS$31,KH12&lt;&gt;""),AND(KI12&gt;=KS$27,KI12&lt;&gt;"",KK12&gt;=KS$31,KK12&lt;&gt;""),AND(KM12&gt;=KS$27,KM12&lt;&gt;"",KO12&gt;=KS$31,KO12&lt;&gt;""),AND(KP12&gt;=KS$27,KP12&lt;&gt;"",KR12&gt;=KS$31,KR12&lt;&gt;""),AND(LN12&gt;=MA$27,LN12&lt;&gt;"",LP12&gt;=MA$31,LP12&lt;&gt;""),AND(LQ12&gt;=MA$27,LQ12&lt;&gt;"",LS12&gt;=MA$31,LS12&lt;&gt;""),AND(LU12&gt;=MA$27,LU12&lt;&gt;"",LW12&gt;=MA$31,LW12&lt;&gt;""),AND(LX12&gt;=MA$27,LX12&lt;&gt;"",LZ12&gt;=MA$31,LZ12&lt;&gt;""),AND(MV12&gt;=NI$27,MV12&lt;&gt;"",MX12&gt;=NI$31,MX12&lt;&gt;""),AND(MY12&gt;=NI$27,MY12&lt;&gt;"",NA12&gt;=NI$31,NA12&lt;&gt;""),AND(NC12&gt;=NI$27,NC12&lt;&gt;"",NE12&gt;=NI$31,NE12&lt;&gt;""),AND(NF12&gt;=NI$27,NF12&lt;&gt;"",NH12&gt;=NI$31,NH12&lt;&gt;""),AND(OD12&gt;=OQ$27,OD12&lt;&gt;"",OF12&gt;=OQ$31,OF12&lt;&gt;""),AND(OG12&gt;=OQ$27,OG12&lt;&gt;"",OI12&gt;=OQ$31,OI12&lt;&gt;""),AND(OK12&gt;=OQ$27,OK12&lt;&gt;"",OM12&gt;=OQ$31,OM12&lt;&gt;""),AND(ON12&gt;=OQ$27,ON12&lt;&gt;"",OP12&gt;=OQ$31,OP12&lt;&gt;""),AND(PL12&gt;=PY$27,PL12&lt;&gt;"",PN12&gt;=PY$31,PN12&lt;&gt;""),AND(PO12&gt;=PY$27,PO12&lt;&gt;"",PQ12&gt;=PY$31,PQ12&lt;&gt;""),AND(PS12&gt;=PY$27,PS12&lt;&gt;"",PU12&gt;=PY$31,PU12&lt;&gt;""),AND(PV12&gt;=PY$27,PV12&lt;&gt;"",PX12&gt;=PY$31,PX12&lt;&gt;""),AND(QT12&gt;=RG$27,QT12&lt;&gt;"",QV12&gt;=RG$31,QV12&lt;&gt;""),AND(QW12&gt;=RG$27,QW12&lt;&gt;"",QY12&gt;=RG$31,QY12&lt;&gt;""),AND(RA12&gt;=RG$27,RA12&lt;&gt;"",RC12&gt;=RG$31,RC12&lt;&gt;""),AND(RD12&gt;=RG$27,RD12&lt;&gt;"",RF12&gt;=RG$31,RF12&lt;&gt;""),AND(SB12&gt;=SO$27,SB12&lt;&gt;"",SD12&gt;=SO$31,SD12&lt;&gt;""),AND(SE12&gt;=SO$27,SE12&lt;&gt;"",SG12&gt;=SO$31,SG12&lt;&gt;""),AND(SI12&gt;=SO$27,SI12&lt;&gt;"",SK12&gt;=SO$31,SK12&lt;&gt;""),AND(SL12&gt;=SO$27,SL12&lt;&gt;"",SN12&gt;=SO$31,SN12&lt;&gt;""),AND(TJ12&gt;=TW$27,TJ12&lt;&gt;"",TL12&gt;=TW$31,TL12&lt;&gt;""),AND(TM12&gt;=TW$27,TM12&lt;&gt;"",TO12&gt;=TW$31,TO12&lt;&gt;""),AND(TQ12&gt;=TW$27,TQ12&lt;&gt;"",TS12&gt;=TW$31,TXQ12&lt;&gt;""),AND(TT12&gt;=TW$27,TT12&lt;&gt;"",TV12&gt;=TW$31,TV12&lt;&gt;""),AND(UR12&gt;=VE$27,UR12&lt;&gt;"",UT12&gt;=VE$31,UT12&lt;&gt;""),AND(UU12&gt;=VE$27,UU12&lt;&gt;"",UW12&gt;=VE$31,UW12&lt;&gt;""),AND(UY12&gt;=VE$27,UY12&lt;&gt;"",VA12&gt;=VE$31,VA12&lt;&gt;""),AND(VB12&gt;=VE$27,VB12&lt;&gt;"",VD12&gt;=VE$31,VD12&lt;&gt;""),AND(VZ12&gt;=WM$27,VZ12&lt;&gt;"",WB12&gt;=WM$31,WB12&lt;&gt;""),AND(WC12&gt;=WM$27,WC12&lt;&gt;"",WE12&gt;=WM$31,WE12&lt;&gt;""),AND(WG12&gt;=WM$27,WG12&lt;&gt;"",WI12&gt;=WM$31,WI12&lt;&gt;""),AND(WJ12&gt;=WM$27,WJ12&lt;&gt;"",WL12&gt;=WM$31,WL12&lt;&gt;"")),"P","")</f>
        <v/>
      </c>
      <c r="G12" s="3" t="str">
        <f>IF(OR(AND(AK12&gt;=AS$31,AK12&lt;&gt;"",AH12=""),AND(AN12&gt;=AS$31,AN12&lt;&gt;"",AH12=""),AND(AR12&gt;=AS$31,AR12&lt;&gt;"",AH12=""),AND(BL12&gt;=BT$31,BL12&lt;&gt;"",BI12=""),AND(BO12&gt;=BT$31,BO12&lt;&gt;"",BI12=""),AND(BS12&gt;=BT$31,BS12&lt;&gt;"",BI12=""),AND(CM12&gt;=CU$31,CM12&lt;&gt;"",CJ12=""),AND(CP12&gt;=CU$31,CP12&lt;&gt;"",CJ12=""),AND(CT12&gt;=CU$31,CT12&lt;&gt;"",CJ12=""),AND(DT12&gt;=EE$31,DT12&lt;&gt;""),AND(DW12&gt;=EE$31,DW12&lt;&gt;""),AND(EA12&gt;=EE$31,EA12&lt;&gt;""),AND(ED12&gt;=EE$31,ED12&lt;&gt;""),AND(FB12&gt;=FM$31,FB12&lt;&gt;""),AND(FE12&gt;=FM$31,FE12&lt;&gt;""),AND(FI12&gt;=FM$31,FI12&lt;&gt;""),AND(FL12&gt;=FM$31,FL12&lt;&gt;""),AND(GJ12&gt;=GU$31,GJ12&lt;&gt;""),AND(GM12&gt;=GU$31,GM12&lt;&gt;""),AND(GQ12&gt;=GU$31,GQ12&lt;&gt;""),AND(GT12&gt;=GU$31,GT12&lt;&gt;""),AND(HR12&gt;=IC$31,HR12&lt;&gt;""),AND(HU12&gt;=IC$31,HU12&lt;&gt;""),AND(HY12&gt;=IC$31,HY12&lt;&gt;""),AND(IB12&gt;=IC$31,IB12&lt;&gt;""),AND(IZ12&gt;=JK$31,IZ12&lt;&gt;""),AND(JC12&gt;=JK$31,JC12&lt;&gt;""),AND(JG12&gt;=JK$31,JG12&lt;&gt;""),AND(JJ12&gt;=JK$31,JJ12&lt;&gt;""),AND(KH12&gt;=KS$31,KH12&lt;&gt;""),AND(KK12&gt;=KS$31,KK12&lt;&gt;""),AND(KO12&gt;=KS$31,KO12&lt;&gt;""),AND(KR12&gt;=KS$31,KR12&lt;&gt;""),AND(LP12&gt;=MA$31,LP12&lt;&gt;""),AND(LS12&gt;=MA$31,LS12&lt;&gt;""),AND(LW12&gt;=MA$31,LW12&lt;&gt;""),AND(LZ12&gt;=MA$31,LZ12&lt;&gt;""),AND(MX12&gt;=NI$31,MX12&lt;&gt;""),AND(NA12&gt;=NI$31,NA12&lt;&gt;""),AND(NE12&gt;=NI$31,NE12&lt;&gt;""),AND(NH12&gt;=NI$31,NH12&lt;&gt;""),AND(OF12&gt;=OQ$31,OF12&lt;&gt;""),AND(OI12&gt;=OQ$31,OI12&lt;&gt;""),AND(OM12&gt;=OQ$31,OM12&lt;&gt;""),AND(OP12&gt;=OQ$31,OP12&lt;&gt;""),AND(PN12&gt;=PY$31,PN12&lt;&gt;""),AND(PQ12&gt;=PY$31,PQ12&lt;&gt;""),AND(PU12&gt;=PY$31,PU12&lt;&gt;""),AND(PX12&gt;=PY$31,PX12&lt;&gt;""),AND(QV12&gt;=RG$31,QV12&lt;&gt;""),AND(QY12&gt;=RG$31,QY12&lt;&gt;""),AND(RC12&gt;=RG$31,RC12&lt;&gt;""),AND(RF12&gt;=RG$31,RF12&lt;&gt;""),AND(SD12&gt;=SO$31,SD12&lt;&gt;""),AND(SG12&gt;=SO$31,SG12&lt;&gt;""),AND(SK12&gt;=SO$31,SK12&lt;&gt;""),AND(SN12&gt;=SO$31,SN12&lt;&gt;""),AND(TL12&gt;=TW$31,TL12&lt;&gt;""),AND(TO12&gt;=TW$31,TO12&lt;&gt;""),AND(TS12&gt;=TW$31,TXQ12&lt;&gt;""),AND(TV12&gt;=TW$31,TV12&lt;&gt;""),AND(UT12&gt;=VE$31,UT12&lt;&gt;""),AND(UW12&gt;=VE$31,UW12&lt;&gt;""),AND(VA12&gt;=VE$31,VA12&lt;&gt;""),AND(VD12&gt;=VE$31,VD12&lt;&gt;""),AND(WB12&gt;=WM$31,WB12&lt;&gt;""),AND(WE12&gt;=WM$31,WE12&lt;&gt;""),AND(WI12&gt;=WM$31,WI12&lt;&gt;""),AND(WL12&gt;=WM$31,WL12&lt;&gt;"")),"P","")</f>
        <v/>
      </c>
      <c r="H12" s="32" t="str">
        <f>IF(AND(G12="P",F12=""),"No DD",IF(OR(AND(AI12&gt;=AS$30,AI12&lt;&gt;"",AK12&gt;=AS$34,AK12&lt;&gt;"",AH12=""),AND(AL12&gt;=AS$30,AL12&lt;&gt;"",AN12&gt;=AS$34,AN12&lt;&gt;"",AH12=""),AND(AP12&gt;=AS$30,AP12&lt;&gt;"",AR12&gt;=AS$34,AR12&lt;&gt;"",AH12=""),AND(BJ12&gt;=BT$30,BJ12&lt;&gt;"",BL12&gt;=BT$34,BL12&lt;&gt;"",BI12=""),AND(BM12&gt;=BT$30,BM12&lt;&gt;"",BO12&gt;=BT$34,BO12&lt;&gt;"",BI12=""),AND(BQ12&gt;=BT$30,BQ12&lt;&gt;"",BS12&gt;=BT$34,BS12&lt;&gt;"",BI12=""),AND(CK12&gt;=CU$30,CK12&lt;&gt;"",CM12&gt;=CU$34,CM12&lt;&gt;"",CJ12=""),AND(CN12&gt;=CU$30,CN12&lt;&gt;"",CP12&gt;=CU$34,CP12&lt;&gt;"",CJ12=""),AND(CR12&gt;=CU$30,CR12&lt;&gt;"",CT12&gt;=CU$34,CT12&lt;&gt;"",CJ12=""),AND(DR12&gt;=EE$30,DR12&lt;&gt;"",DT12&gt;=EE$34,DT12&lt;&gt;""),AND(DU12&gt;=EE$30,DU12&lt;&gt;"",DW12&gt;=EE$34,DW12&lt;&gt;""),AND(DY12&gt;=EE$30,DY12&lt;&gt;"",EA12&gt;=EE$34,EA12&lt;&gt;""),AND(EB12&gt;=EE$30,EB12&lt;&gt;"",ED12&gt;=EE$34,ED12&lt;&gt;""),AND(EZ12&gt;=FM$30,EZ12&lt;&gt;"",FB12&gt;=FM$34,FB12&lt;&gt;""),AND(FC12&gt;=FM$30,FC12&lt;&gt;"",FE12&gt;=FM$34,FE12&lt;&gt;""),AND(FG12&gt;=FM$30,FG12&lt;&gt;"",FI12&gt;=FM$34,FI12&lt;&gt;""),AND(FJ12&gt;=FM$30,FJ12&lt;&gt;"",FL12&gt;=FM$34,FL12&lt;&gt;""),AND(GH12&gt;=GU$30,GH12&lt;&gt;"",GJ12&gt;=GU$34,GJ12&lt;&gt;""),AND(GK12&gt;=GU$30,GK12&lt;&gt;"",GM12&gt;=GU$34,GM12&lt;&gt;""),AND(GO12&gt;=GU$30,GO12&lt;&gt;"",GQ12&gt;=GU$34,GQ12&lt;&gt;""),AND(GR12&gt;=GU$30,GR12&lt;&gt;"",GT12&gt;=GU$34,GT12&lt;&gt;""),AND(HP12&gt;=IC$30,HP12&lt;&gt;"",HR12&gt;=IC$34,HR12&lt;&gt;""),AND(HS12&gt;=IC$30,HS12&lt;&gt;"",HU12&gt;=IC$34,HU12&lt;&gt;""),AND(HW12&gt;=IC$30,HW12&lt;&gt;"",HY12&gt;=IC$34,HY12&lt;&gt;""),AND(HZ12&gt;=IC$30,HZ12&lt;&gt;"",IB12&gt;=IC$34,IB12&lt;&gt;""),AND(IX12&gt;=JK$30,IX12&lt;&gt;"",IZ12&gt;=JK$34,IZ12&lt;&gt;""),AND(JA12&gt;=JK$30,JA12&lt;&gt;"",JC12&gt;=JK$34,JC12&lt;&gt;""),AND(JE12&gt;=JK$30,JE12&lt;&gt;"",JG12&gt;=JK$34,JG12&lt;&gt;""),AND(JH12&gt;=JK$30,JH12&lt;&gt;"",JJ12&gt;=JK$34,JJ12&lt;&gt;""),AND(KF12&gt;=KS$30,KF12&lt;&gt;"",KH12&gt;=KS$34,KH12&lt;&gt;""),AND(KI12&gt;=KS$30,KI12&lt;&gt;"",KK12&gt;=KS$34,KK12&lt;&gt;""),AND(KM12&gt;=KS$30,KM12&lt;&gt;"",KO12&gt;=KS$34,KO12&lt;&gt;""),AND(KP12&gt;=KS$30,KP12&lt;&gt;"",KR12&gt;=KS$34,KR12&lt;&gt;""),AND(LN12&gt;=MA$30,LN12&lt;&gt;"",LP12&gt;=MA$34,LP12&lt;&gt;""),AND(LQ12&gt;=MA$30,LQ12&lt;&gt;"",LS12&gt;=MA$34,LS12&lt;&gt;""),AND(LU12&gt;=MA$30,LU12&lt;&gt;"",LW12&gt;=MA$34,LW12&lt;&gt;""),AND(LX12&gt;=MA$30,LX12&lt;&gt;"",LZ12&gt;=MA$34,LZ12&lt;&gt;""),AND(MV12&gt;=NI$30,MV12&lt;&gt;"",MX12&gt;=NI$34,MX12&lt;&gt;""),AND(MY12&gt;=NI$30,MY12&lt;&gt;"",NA12&gt;=NI$34,NA12&lt;&gt;""),AND(NC12&gt;=NI$30,NC12&lt;&gt;"",NE12&gt;=NI$34,NE12&lt;&gt;""),AND(NF12&gt;=NI$30,NF12&lt;&gt;"",NH12&gt;=NI$34,NH12&lt;&gt;""),AND(OD12&gt;=OQ$30,OD12&lt;&gt;"",OF12&gt;=OQ$34,OF12&lt;&gt;""),AND(OG12&gt;=OQ$30,OG12&lt;&gt;"",OI12&gt;=OQ$34,OI12&lt;&gt;""),AND(OK12&gt;=OQ$30,OK12&lt;&gt;"",OM12&gt;=OQ$34,OM12&lt;&gt;""),AND(ON12&gt;=OQ$30,ON12&lt;&gt;"",OP12&gt;=OQ$34,OP12&lt;&gt;""),AND(PL12&gt;=PY$30,PL12&lt;&gt;"",PN12&gt;=PY$34,PN12&lt;&gt;""),AND(PO12&gt;=PY$30,PO12&lt;&gt;"",PQ12&gt;=PY$34,PQ12&lt;&gt;""),AND(PS12&gt;=PY$30,PS12&lt;&gt;"",PU12&gt;=PY$34,PU12&lt;&gt;""),AND(PV12&gt;=PY$30,PV12&lt;&gt;"",PX12&gt;=PY$34,PX12&lt;&gt;""),AND(QT12&gt;=RG$30,QT12&lt;&gt;"",QV12&gt;=RG$34,QV12&lt;&gt;""),AND(QW12&gt;=RG$30,QW12&lt;&gt;"",QY12&gt;=RG$34,QY12&lt;&gt;""),AND(RA12&gt;=RG$30,RA12&lt;&gt;"",RC12&gt;=RG$34,RC12&lt;&gt;""),AND(RD12&gt;=RG$30,RD12&lt;&gt;"",RF12&gt;=RG$34,RF12&lt;&gt;""),AND(SB12&gt;=SO$30,SB12&lt;&gt;"",SD12&gt;=SO$34,SD12&lt;&gt;""),AND(SE12&gt;=SO$30,SE12&lt;&gt;"",SG12&gt;=SO$34,SG12&lt;&gt;""),AND(SI12&gt;=SO$30,SI12&lt;&gt;"",SK12&gt;=SO$34,SK12&lt;&gt;""),AND(SL12&gt;=SO$30,SL12&lt;&gt;"",SN12&gt;=SO$34,SN12&lt;&gt;""),AND(TJ12&gt;=TW$30,TJ12&lt;&gt;"",TL12&gt;=TW$34,TL12&lt;&gt;""),AND(TM12&gt;=TW$30,TM12&lt;&gt;"",TO12&gt;=TW$34,TO12&lt;&gt;""),AND(TQ12&gt;=TW$30,TQ12&lt;&gt;"",TS12&gt;=TW$354,TXQ12&lt;&gt;""),AND(TT12&gt;=TW$30,TT12&lt;&gt;"",TV12&gt;=TW$34,TV12&lt;&gt;""),AND(UR12&gt;=VE$30,UR12&lt;&gt;"",UT12&gt;=VE$34,UT12&lt;&gt;""),AND(UU12&gt;=VE$30,UU12&lt;&gt;"",UW12&gt;=VE$34,UW12&lt;&gt;""),AND(UY12&gt;=VE$30,UY12&lt;&gt;"",VA12&gt;=VE$34,VA12&lt;&gt;""),AND(VB12&gt;=VE$30,VB12&lt;&gt;"",VD12&gt;=VE$34,VD12&lt;&gt;""),AND(VZ12&gt;=WM$30,VZ12&lt;&gt;"",WB12&gt;=WM$34,WB12&lt;&gt;""),AND(WC12&gt;=WM$30,WC12&lt;&gt;"",WE12&gt;=WM$34,WE12&lt;&gt;""),AND(WG12&gt;=WM$30,WG12&lt;&gt;"",WI12&gt;=WM$34,WI12&lt;&gt;""),AND(WJ12&gt;=WM$30,WJ12&lt;&gt;"",WL12&gt;=WM$34,WL12&lt;&gt;"")),"Merit",IF(OR(AND(AI12&gt;=AS$29,AI12&lt;&gt;"",AK12&gt;=AS$33,AK12&lt;&gt;"",AH12=""),AND(AL12&gt;=AS$29,AL12&lt;&gt;"",AN12&gt;=AS$33,AN12&lt;&gt;"",AH12=""),AND(AP12&gt;=AS$29,AP12&lt;&gt;"",AR12&gt;=AS$33,AR12&lt;&gt;"",AH12=""),AND(BJ12&gt;=BT$29,BJ12&lt;&gt;"",BL12&gt;=BT$33,BL12&lt;&gt;"",BI12=""),AND(BM12&gt;=BT$29,BM12&lt;&gt;"",BO12&gt;=BT$33,BO12&lt;&gt;"",BI12=""),AND(BQ12&gt;=BT$29,BQ12&lt;&gt;"",BS12&gt;=BT$33,BS12&lt;&gt;"",BI12=""),AND(CK12&gt;=CU$29,CK12&lt;&gt;"",CM12&gt;=CU$33,CM12&lt;&gt;"",CJ12=""),AND(CN12&gt;=CU$29,CN12&lt;&gt;"",CP12&gt;=CU$33,CP12&lt;&gt;"",CJ12=""),AND(CR12&gt;=CU$29,CR12&lt;&gt;"",CT12&gt;=CU$33,CT12&lt;&gt;"",CJ12=""),AND(DR12&gt;=EE$29,DR12&lt;&gt;"",DT12&gt;=EE$33,DT12&lt;&gt;""),AND(DU12&gt;=EE$29,DU12&lt;&gt;"",DW12&gt;=EE$33,DW12&lt;&gt;""),AND(DY12&gt;=EE$29,DY12&lt;&gt;"",EA12&gt;=EE$33,EA12&lt;&gt;""),AND(EB12&gt;=EE$29,EB12&lt;&gt;"",ED12&gt;=EE$33,ED12&lt;&gt;""),AND(EZ12&gt;=FM$29,EZ12&lt;&gt;"",FB12&gt;=FM$33,FB12&lt;&gt;""),AND(FC12&gt;=FM$29,FC12&lt;&gt;"",FE12&gt;=FM$33,FE12&lt;&gt;""),AND(FG12&gt;=FM$29,FG12&lt;&gt;"",FI12&gt;=FM$33,FI12&lt;&gt;""),AND(FJ12&gt;=FM$29,FJ12&lt;&gt;"",FL12&gt;=FM$33,FL12&lt;&gt;""),AND(GH12&gt;=GU$29,GH12&lt;&gt;"",GJ12&gt;=GU$33,GJ12&lt;&gt;""),AND(GK12&gt;=GU$29,GK12&lt;&gt;"",GM12&gt;=GU$33,GM12&lt;&gt;""),AND(GO12&gt;=GU$29,GO12&lt;&gt;"",GQ12&gt;=GU$33,GQ12&lt;&gt;""),AND(GR12&gt;=GU$29,GR12&lt;&gt;"",GT12&gt;=GU$33,GT12&lt;&gt;""),AND(HP12&gt;=IC$29,HP12&lt;&gt;"",HR12&gt;=IC$33,HR12&lt;&gt;""),AND(HS12&gt;=IC$29,HS12&lt;&gt;"",HU12&gt;=IC$33,HU12&lt;&gt;""),AND(HW12&gt;=IC$29,HW12&lt;&gt;"",HY12&gt;=IC$33,HY12&lt;&gt;""),AND(HZ12&gt;=IC$29,HZ12&lt;&gt;"",IB12&gt;=IC$33,IB12&lt;&gt;""),AND(IX12&gt;=JK$29,IX12&lt;&gt;"",IZ12&gt;=JK$33,IZ12&lt;&gt;""),AND(JA12&gt;=JK$29,JA12&lt;&gt;"",JC12&gt;=JK$33,JC12&lt;&gt;""),AND(JE12&gt;=JK$29,JE12&lt;&gt;"",JG12&gt;=JK$33,JG12&lt;&gt;""),AND(JH12&gt;=JK$29,JH12&lt;&gt;"",JJ12&gt;=JK$33,JJ12&lt;&gt;""),AND(KF12&gt;=KS$29,KF12&lt;&gt;"",KH12&gt;=KS$33,KH12&lt;&gt;""),AND(KI12&gt;=KS$29,KI12&lt;&gt;"",KK12&gt;=KS$33,KK12&lt;&gt;""),AND(KM12&gt;=KS$29,KM12&lt;&gt;"",KO12&gt;=KS$33,KO12&lt;&gt;""),AND(KP12&gt;=KS$29,KP12&lt;&gt;"",KR12&gt;=KS$33,KR12&lt;&gt;""),AND(LN12&gt;=MA$29,LN12&lt;&gt;"",LP12&gt;=MA$33,LP12&lt;&gt;""),AND(LQ12&gt;=MA$29,LQ12&lt;&gt;"",LS12&gt;=MA$33,LS12&lt;&gt;""),AND(LU12&gt;=MA$29,LU12&lt;&gt;"",LW12&gt;=MA$33,LW12&lt;&gt;""),AND(LX12&gt;=MA$29,LX12&lt;&gt;"",LZ12&gt;=MA$33,LZ12&lt;&gt;""),AND(MV12&gt;=NI$29,MV12&lt;&gt;"",MX12&gt;=NI$33,MX12&lt;&gt;""),AND(MY12&gt;=NI$29,MY12&lt;&gt;"",NA12&gt;=NI$33,NA12&lt;&gt;""),AND(NC12&gt;=NI$29,NC12&lt;&gt;"",NE12&gt;=NI$33,NE12&lt;&gt;""),AND(NF12&gt;=NI$29,NF12&lt;&gt;"",NH12&gt;=NI$33,NH12&lt;&gt;""),AND(OD12&gt;=OQ$29,OD12&lt;&gt;"",OF12&gt;=OQ$33,OF12&lt;&gt;""),AND(OG12&gt;=OQ$29,OG12&lt;&gt;"",OI12&gt;=OQ$33,OI12&lt;&gt;""),AND(OK12&gt;=OQ$29,OK12&lt;&gt;"",OM12&gt;=OQ$33,OM12&lt;&gt;""),AND(ON12&gt;=OQ$29,ON12&lt;&gt;"",OP12&gt;=OQ$33,OP12&lt;&gt;""),AND(PL12&gt;=PY$29,PL12&lt;&gt;"",PN12&gt;=PY$33,PN12&lt;&gt;""),AND(PO12&gt;=PY$29,PO12&lt;&gt;"",PQ12&gt;=PY$33,PQ12&lt;&gt;""),AND(PS12&gt;=PY$29,PS12&lt;&gt;"",PU12&gt;=PY$33,PU12&lt;&gt;""),AND(PV12&gt;=PY$29,PV12&lt;&gt;"",PX12&gt;=PY$33,PX12&lt;&gt;""),AND(QT12&gt;=RG$29,QT12&lt;&gt;"",QV12&gt;=RG$33,QV12&lt;&gt;""),AND(QW12&gt;=RG$29,QW12&lt;&gt;"",QY12&gt;=RG$33,QY12&lt;&gt;""),AND(RA12&gt;=RG$29,RA12&lt;&gt;"",RC12&gt;=RG$33,RC12&lt;&gt;""),AND(RD12&gt;=RG$29,RD12&lt;&gt;"",RF12&gt;=RG$33,RF12&lt;&gt;""),AND(SB12&gt;=SO$29,SB12&lt;&gt;"",SD12&gt;=SO$33,SD12&lt;&gt;""),AND(SE12&gt;=SO$29,SE12&lt;&gt;"",SG12&gt;=SO$33,SG12&lt;&gt;""),AND(SI12&gt;=SO$29,SI12&lt;&gt;"",SK12&gt;=SO$33,SK12&lt;&gt;""),AND(SL12&gt;=SO$29,SL12&lt;&gt;"",SN12&gt;=SO$33,SN12&lt;&gt;""),AND(TJ12&gt;=TW$29,TJ12&lt;&gt;"",TL12&gt;=TW$33,TL12&lt;&gt;""),AND(TM12&gt;=TW$29,TM12&lt;&gt;"",TO12&gt;=TW$33,TO12&lt;&gt;""),AND(TQ12&gt;=TW$29,TQ12&lt;&gt;"",TS12&gt;=TW$33,TXQ12&lt;&gt;""),AND(TT12&gt;=TW$29,TT12&lt;&gt;"",TV12&gt;=TW$33,TV12&lt;&gt;""),AND(UR12&gt;=VE$29,UR12&lt;&gt;"",UT12&gt;=VE$33,UT12&lt;&gt;""),AND(UU12&gt;=VE$29,UU12&lt;&gt;"",UW12&gt;=VE$33,UW12&lt;&gt;""),AND(UY12&gt;=VE$29,UY12&lt;&gt;"",VA12&gt;=VE$33,VA12&lt;&gt;""),AND(VB12&gt;=VE$29,VB12&lt;&gt;"",VD12&gt;=VE$33,VD12&lt;&gt;""),AND(VZ12&gt;=WM$29,VZ12&lt;&gt;"",WB12&gt;=WM$33,WB12&lt;&gt;""),AND(WC12&gt;=WM$29,WC12&lt;&gt;"",WE12&gt;=WM$33,WE12&lt;&gt;""),AND(WG12&gt;=WM$29,WG12&lt;&gt;"",WI12&gt;=WM$33,WI12&lt;&gt;""),AND(WJ12&gt;=WM$29,WJ12&lt;&gt;"",WL12&gt;=WM$33,WL12&lt;&gt;"")),"Excellence",IF(I12="P","Worlds Team",IF(F12="P","National Team","")))))</f>
        <v/>
      </c>
      <c r="I12" s="3" t="str">
        <f>IF(OR(AND(AI12&gt;=AS$28,AI12&lt;&gt;"",AK12&gt;=AS$32,AK12&lt;&gt;"",AH12=""),AND(AL12&gt;=AS$28,AL12&lt;&gt;"",AN12&gt;=AS$32,AN12&lt;&gt;"",AH12=""),AND(AP12&gt;=AS$28,AP12&lt;&gt;"",AR12&gt;=AS$32,AR12&lt;&gt;"",AH12=""),AND(BJ12&gt;=BT$28,BJ12&lt;&gt;"",BL12&gt;=BT$32,BL12&lt;&gt;"",BI12=""),AND(BM12&gt;=BT$28,BM12&lt;&gt;"",BO12&gt;=BT$32,BO12&lt;&gt;"",BI12=""),AND(BQ12&gt;=BT$28,BQ12&lt;&gt;"",BS12&gt;=BT$32,BS12&lt;&gt;"",BI12=""),AND(CK12&gt;=CU$28,CK12&lt;&gt;"",CM12&gt;=CU$32,CM12&lt;&gt;"",CJ12=""),AND(CN12&gt;=CU$28,CN12&lt;&gt;"",CP12&gt;=CU$32,CP12&lt;&gt;"",CJ12=""),AND(CR12&gt;=CU$28,CR12&lt;&gt;"",CT12&gt;=CU$32,CT12&lt;&gt;"",CJ12=""),AND(DR12&gt;=EE$28,DR12&lt;&gt;"",DT12&gt;=EE$32,DT12&lt;&gt;""),AND(DU12&gt;=EE$28,DU12&lt;&gt;"",DW12&gt;=EE$32,DW12&lt;&gt;""),AND(DY12&gt;=EE$28,DY12&lt;&gt;"",EA12&gt;=EE$32,EA12&lt;&gt;""),AND(EB12&gt;=EE$28,EB12&lt;&gt;"",ED12&gt;=EE$32,ED12&lt;&gt;""),AND(EZ12&gt;=FM$28,EZ12&lt;&gt;"",FB12&gt;=FM$32,FB12&lt;&gt;""),AND(FC12&gt;=FM$28,FC12&lt;&gt;"",FE12&gt;=FM$32,FE12&lt;&gt;""),AND(FG12&gt;=FM$28,FG12&lt;&gt;"",FI12&gt;=FM$32,FI12&lt;&gt;""),AND(FJ12&gt;=FM$28,FJ12&lt;&gt;"",FL12&gt;=FM$32,FL12&lt;&gt;""),AND(GH12&gt;=GU$28,GH12&lt;&gt;"",GJ12&gt;=GU$32,GJ12&lt;&gt;""),AND(GK12&gt;=GU$28,GK12&lt;&gt;"",GM12&gt;=GU$32,GM12&lt;&gt;""),AND(GO12&gt;=GU$28,GO12&lt;&gt;"",GQ12&gt;=GU$32,GQ12&lt;&gt;""),AND(GR12&gt;=GU$28,GR12&lt;&gt;"",GT12&gt;=GU$32,GT12&lt;&gt;""),AND(HP12&gt;=IC$28,HP12&lt;&gt;"",HR12&gt;=IC$32,HR12&lt;&gt;""),AND(HS12&gt;=IC$28,HS12&lt;&gt;"",HU12&gt;=IC$32,HU12&lt;&gt;""),AND(HW12&gt;=IC$28,HW12&lt;&gt;"",HY12&gt;=IC$32,HY12&lt;&gt;""),AND(HZ12&gt;=IC$28,HZ12&lt;&gt;"",IB12&gt;=IC$32,IB12&lt;&gt;""),AND(IX12&gt;=JK$28,IX12&lt;&gt;"",IZ12&gt;=JK$32,IZ12&lt;&gt;""),AND(JA12&gt;=JK$28,JA12&lt;&gt;"",JC12&gt;=JK$32,JC12&lt;&gt;""),AND(JE12&gt;=JK$28,JE12&lt;&gt;"",JG12&gt;=JK$32,JG12&lt;&gt;""),AND(JH12&gt;=JK$28,JH12&lt;&gt;"",JJ12&gt;=JK$32,JJ12&lt;&gt;""),AND(KF12&gt;=KS$28,KF12&lt;&gt;"",KH12&gt;=KS$32,KH12&lt;&gt;""),AND(KI12&gt;=KS$28,KI12&lt;&gt;"",KK12&gt;=KS$32,KK12&lt;&gt;""),AND(KM12&gt;=KS$28,KM12&lt;&gt;"",KO12&gt;=KS$32,KO12&lt;&gt;""),AND(KP12&gt;=KS$28,KP12&lt;&gt;"",KR12&gt;=KS$32,KR12&lt;&gt;""),AND(LN12&gt;=MA$28,LN12&lt;&gt;"",LP12&gt;=MA$32,LP12&lt;&gt;""),AND(LQ12&gt;=MA$28,LQ12&lt;&gt;"",LS12&gt;=MA$32,LS12&lt;&gt;""),AND(LU12&gt;=MA$28,LU12&lt;&gt;"",LW12&gt;=MA$32,LW12&lt;&gt;""),AND(LX12&gt;=MA$28,LX12&lt;&gt;"",LZ12&gt;=MA$32,LZ12&lt;&gt;""),AND(MV12&gt;=NI$28,MV12&lt;&gt;"",MX12&gt;=NI$32,MX12&lt;&gt;""),AND(MY12&gt;=NI$28,MY12&lt;&gt;"",NA12&gt;=NI$32,NA12&lt;&gt;""),AND(NC12&gt;=NI$28,NC12&lt;&gt;"",NE12&gt;=NI$32,NE12&lt;&gt;""),AND(NF12&gt;=NI$28,NF12&lt;&gt;"",NH12&gt;=NI$32,NH12&lt;&gt;""),AND(OD12&gt;=OQ$28,OD12&lt;&gt;"",OF12&gt;=OQ$32,OF12&lt;&gt;""),AND(OG12&gt;=OQ$28,OG12&lt;&gt;"",OI12&gt;=OQ$32,OI12&lt;&gt;""),AND(OK12&gt;=OQ$28,OK12&lt;&gt;"",OM12&gt;=OQ$32,OM12&lt;&gt;""),AND(ON12&gt;=OQ$28,ON12&lt;&gt;"",OP12&gt;=OQ$32,OP12&lt;&gt;""),AND(PL12&gt;=PY$28,PL12&lt;&gt;"",PN12&gt;=PY$32,PN12&lt;&gt;""),AND(PO12&gt;=PY$28,PO12&lt;&gt;"",PQ12&gt;=PY$32,PQ12&lt;&gt;""),AND(PS12&gt;=PY$28,PS12&lt;&gt;"",PU12&gt;=PY$32,PU12&lt;&gt;""),AND(PV12&gt;=PY$28,PV12&lt;&gt;"",PX12&gt;=PY$32,PX12&lt;&gt;""),AND(QT12&gt;=RG$28,QT12&lt;&gt;"",QV12&gt;=RG$32,QV12&lt;&gt;""),AND(QW12&gt;=RG$28,QW12&lt;&gt;"",QY12&gt;=RG$32,QY12&lt;&gt;""),AND(RA12&gt;=RG$28,RA12&lt;&gt;"",RC12&gt;=RG$32,RC12&lt;&gt;""),AND(RD12&gt;=RG$28,RD12&lt;&gt;"",RF12&gt;=RG$32,RF12&lt;&gt;""),AND(SB12&gt;=SO$28,SB12&lt;&gt;"",SD12&gt;=SO$32,SD12&lt;&gt;""),AND(SE12&gt;=SO$28,SE12&lt;&gt;"",SG12&gt;=SO$32,SG12&lt;&gt;""),AND(SI12&gt;=SO$28,SI12&lt;&gt;"",SK12&gt;=SO$32,SK12&lt;&gt;""),AND(SL12&gt;=SO$28,SL12&lt;&gt;"",SN12&gt;=SO$32,SN12&lt;&gt;""),AND(TJ12&gt;=TW$28,TJ12&lt;&gt;"",TL12&gt;=TW$32,TL12&lt;&gt;""),AND(TM12&gt;=TW$28,TM12&lt;&gt;"",TO12&gt;=TW$32,TO12&lt;&gt;""),AND(TQ12&gt;=TW$28,TQ12&lt;&gt;"",TS12&gt;=TW$32,TXQ12&lt;&gt;""),AND(TT12&gt;=TW$28,TT12&lt;&gt;"",TV12&gt;=TW$32,TV12&lt;&gt;""),AND(UR12&gt;=VE$28,UR12&lt;&gt;"",UT12&gt;=VE$32,UT12&lt;&gt;""),AND(UU12&gt;=VE$28,UU12&lt;&gt;"",UW12&gt;=VE$32,UW12&lt;&gt;""),AND(UY12&gt;=VE$28,UY12&lt;&gt;"",VA12&gt;=VE$32,VA12&lt;&gt;""),AND(VB12&gt;=VE$28,VB12&lt;&gt;"",VD12&gt;=VE$32,VD12&lt;&gt;""),AND(VZ12&gt;=WM$28,VZ12&lt;&gt;"",WB12&gt;=WM$32,WB12&lt;&gt;""),AND(WC12&gt;=WM$28,WC12&lt;&gt;"",WE12&gt;=WM$32,WE12&lt;&gt;""),AND(WG12&gt;=WM$28,WG12&lt;&gt;"",WI12&gt;=WM$32,WI12&lt;&gt;""),AND(WJ12&gt;=WM$28,WJ12&lt;&gt;"",WL12&gt;=WM$32,WL12&lt;&gt;"")),"P","")</f>
        <v/>
      </c>
      <c r="J12" s="8">
        <f t="shared" si="1"/>
        <v>55.01</v>
      </c>
      <c r="K12" s="8" t="str">
        <f t="shared" si="2"/>
        <v>2026 Elite Canada</v>
      </c>
      <c r="L12" s="8">
        <f>IFERROR(IF(J12=AR12,LARGE((AK12,AN12,BL12,BO12,BS12,CM12,CP12,CT12),1),IF(J12=BS12,LARGE((AK12,AN12,AR12,BL12,BO12,CM12,CP12,CT12),1),LARGE((AK12,AN12,AR12,BL12,BO12,BS12,CM12,CP12),1))),0)</f>
        <v>54.72</v>
      </c>
      <c r="M12" s="8" t="str">
        <f t="shared" si="3"/>
        <v>2025 3rd Domestic Trial</v>
      </c>
      <c r="N12" s="8">
        <f>IFERROR(IF(J12=AR12,LARGE((AK12,AN12,BL12,BO12,BS12,CM12,CP12,CT12),2),IF(J12=BS12,LARGE((AK12,AN12,AR12,BL12,BO12,CM12,CP12,CT12),2),LARGE((AK12,AN12,AR12,BL12,BO12,BS12,CM12,CP12),2))),0)</f>
        <v>53.31</v>
      </c>
      <c r="O12" s="8" t="str">
        <f t="shared" si="4"/>
        <v>2026 Elite Canada</v>
      </c>
      <c r="P12" s="8">
        <f t="shared" si="5"/>
        <v>0</v>
      </c>
      <c r="Q12" s="11" t="str">
        <f t="shared" si="6"/>
        <v/>
      </c>
      <c r="R12" s="8" t="str">
        <f t="shared" si="7"/>
        <v/>
      </c>
      <c r="S12" s="18">
        <v>1.8</v>
      </c>
      <c r="T12" s="18">
        <v>1</v>
      </c>
      <c r="U12" s="18">
        <v>2</v>
      </c>
      <c r="V12" s="18">
        <v>1.66</v>
      </c>
      <c r="W12" s="18">
        <v>0</v>
      </c>
      <c r="X12" s="18">
        <v>10.9</v>
      </c>
      <c r="Y12" s="18">
        <v>8.9</v>
      </c>
      <c r="Z12" s="18">
        <v>15.6</v>
      </c>
      <c r="AA12" s="18">
        <v>15.47</v>
      </c>
      <c r="AB12" s="18">
        <v>0</v>
      </c>
      <c r="AC12" s="18">
        <v>3.2</v>
      </c>
      <c r="AD12" s="18">
        <v>2</v>
      </c>
      <c r="AE12" s="18">
        <v>4</v>
      </c>
      <c r="AF12" s="18">
        <v>3.29</v>
      </c>
      <c r="AG12" s="18">
        <v>0</v>
      </c>
      <c r="AH12" s="23"/>
      <c r="AI12" s="34">
        <f t="shared" si="8"/>
        <v>2</v>
      </c>
      <c r="AJ12" s="34">
        <f t="shared" si="9"/>
        <v>1.66</v>
      </c>
      <c r="AK12" s="36">
        <f t="shared" si="10"/>
        <v>6.46</v>
      </c>
      <c r="AL12" s="36">
        <f t="shared" si="11"/>
        <v>15.6</v>
      </c>
      <c r="AM12" s="36">
        <f t="shared" si="12"/>
        <v>15.47</v>
      </c>
      <c r="AN12" s="36">
        <f t="shared" si="13"/>
        <v>50.87</v>
      </c>
      <c r="AO12" s="36">
        <f t="shared" si="14"/>
        <v>50.87</v>
      </c>
      <c r="AP12" s="36">
        <f t="shared" si="15"/>
        <v>4</v>
      </c>
      <c r="AQ12" s="36">
        <f t="shared" si="16"/>
        <v>3.29</v>
      </c>
      <c r="AR12" s="36">
        <f t="shared" si="17"/>
        <v>12.489999999999998</v>
      </c>
      <c r="AS12" s="36">
        <f t="shared" si="18"/>
        <v>63.36</v>
      </c>
      <c r="AT12" s="22">
        <v>15.2</v>
      </c>
      <c r="AU12" s="22">
        <v>8.6</v>
      </c>
      <c r="AV12" s="22">
        <v>16</v>
      </c>
      <c r="AW12" s="22">
        <v>14.92</v>
      </c>
      <c r="AX12" s="22">
        <v>0</v>
      </c>
      <c r="AY12" s="22">
        <v>8.1</v>
      </c>
      <c r="AZ12" s="22">
        <v>5.5</v>
      </c>
      <c r="BA12" s="22">
        <v>9.6</v>
      </c>
      <c r="BB12" s="22">
        <v>9.18</v>
      </c>
      <c r="BC12" s="22">
        <v>0</v>
      </c>
      <c r="BD12" s="22">
        <v>7.4</v>
      </c>
      <c r="BE12" s="22">
        <v>4.8</v>
      </c>
      <c r="BF12" s="22">
        <v>8.6999999999999993</v>
      </c>
      <c r="BG12" s="22">
        <v>7.84</v>
      </c>
      <c r="BH12" s="22">
        <v>0</v>
      </c>
      <c r="BI12" s="24"/>
      <c r="BJ12" s="35">
        <f t="shared" si="19"/>
        <v>16</v>
      </c>
      <c r="BK12" s="35">
        <f t="shared" si="20"/>
        <v>14.92</v>
      </c>
      <c r="BL12" s="11">
        <f t="shared" si="21"/>
        <v>54.72</v>
      </c>
      <c r="BM12" s="11">
        <f t="shared" si="22"/>
        <v>9.6</v>
      </c>
      <c r="BN12" s="11">
        <f t="shared" si="23"/>
        <v>9.18</v>
      </c>
      <c r="BO12" s="11">
        <f t="shared" si="24"/>
        <v>32.379999999999995</v>
      </c>
      <c r="BP12" s="11">
        <f t="shared" si="25"/>
        <v>54.72</v>
      </c>
      <c r="BQ12" s="11">
        <f t="shared" si="26"/>
        <v>8.6999999999999993</v>
      </c>
      <c r="BR12" s="11">
        <f t="shared" si="27"/>
        <v>7.84</v>
      </c>
      <c r="BS12" s="11">
        <f t="shared" si="28"/>
        <v>28.74</v>
      </c>
      <c r="BT12" s="11">
        <f t="shared" si="29"/>
        <v>83.46</v>
      </c>
      <c r="BU12" s="18">
        <v>6.3</v>
      </c>
      <c r="BV12" s="18">
        <v>4.2</v>
      </c>
      <c r="BW12" s="18">
        <v>8.5</v>
      </c>
      <c r="BX12" s="18">
        <v>7.85</v>
      </c>
      <c r="BY12" s="18">
        <v>0</v>
      </c>
      <c r="BZ12" s="18">
        <v>13.5</v>
      </c>
      <c r="CA12" s="18">
        <v>9.4</v>
      </c>
      <c r="CB12" s="18">
        <v>15.1</v>
      </c>
      <c r="CC12" s="18">
        <v>15.31</v>
      </c>
      <c r="CD12" s="18">
        <v>0</v>
      </c>
      <c r="CE12" s="18">
        <v>15.1</v>
      </c>
      <c r="CF12" s="18">
        <v>9.1</v>
      </c>
      <c r="CG12" s="18">
        <v>15.3</v>
      </c>
      <c r="CH12" s="18">
        <v>15.51</v>
      </c>
      <c r="CI12" s="18">
        <v>0</v>
      </c>
      <c r="CJ12" s="23"/>
      <c r="CK12" s="34">
        <f t="shared" si="30"/>
        <v>8.5</v>
      </c>
      <c r="CL12" s="34">
        <f t="shared" si="31"/>
        <v>7.85</v>
      </c>
      <c r="CM12" s="36">
        <f t="shared" si="32"/>
        <v>26.85</v>
      </c>
      <c r="CN12" s="36">
        <f t="shared" si="33"/>
        <v>15.1</v>
      </c>
      <c r="CO12" s="36">
        <f t="shared" si="34"/>
        <v>15.31</v>
      </c>
      <c r="CP12" s="36">
        <f t="shared" si="35"/>
        <v>53.31</v>
      </c>
      <c r="CQ12" s="36">
        <f t="shared" si="36"/>
        <v>53.31</v>
      </c>
      <c r="CR12" s="36">
        <f t="shared" si="37"/>
        <v>15.3</v>
      </c>
      <c r="CS12" s="36">
        <f t="shared" si="38"/>
        <v>15.51</v>
      </c>
      <c r="CT12" s="36">
        <f t="shared" si="39"/>
        <v>55.01</v>
      </c>
      <c r="CU12" s="36">
        <f t="shared" si="40"/>
        <v>108.32</v>
      </c>
      <c r="CV12" s="47" t="str">
        <f t="shared" si="41"/>
        <v/>
      </c>
      <c r="CW12" s="47" t="str">
        <f t="shared" si="42"/>
        <v/>
      </c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36" t="str">
        <f t="shared" si="43"/>
        <v/>
      </c>
      <c r="DS12" s="36" t="str">
        <f t="shared" si="44"/>
        <v/>
      </c>
      <c r="DT12" s="36" t="str">
        <f t="shared" si="45"/>
        <v/>
      </c>
      <c r="DU12" s="36" t="str">
        <f t="shared" si="46"/>
        <v/>
      </c>
      <c r="DV12" s="36" t="str">
        <f t="shared" si="47"/>
        <v/>
      </c>
      <c r="DW12" s="36" t="str">
        <f t="shared" si="48"/>
        <v/>
      </c>
      <c r="DX12" s="36" t="str">
        <f t="shared" si="49"/>
        <v/>
      </c>
      <c r="DY12" s="36" t="str">
        <f t="shared" si="50"/>
        <v/>
      </c>
      <c r="DZ12" s="36" t="str">
        <f t="shared" si="51"/>
        <v/>
      </c>
      <c r="EA12" s="36" t="str">
        <f t="shared" si="52"/>
        <v/>
      </c>
      <c r="EB12" s="36" t="str">
        <f t="shared" si="53"/>
        <v/>
      </c>
      <c r="EC12" s="36" t="str">
        <f t="shared" si="54"/>
        <v/>
      </c>
      <c r="ED12" s="36" t="str">
        <f t="shared" si="55"/>
        <v/>
      </c>
      <c r="EE12" s="36" t="str">
        <f t="shared" si="56"/>
        <v/>
      </c>
      <c r="EF12" s="16">
        <v>1.4</v>
      </c>
      <c r="EG12" s="16">
        <v>0.8</v>
      </c>
      <c r="EH12" s="16">
        <v>2</v>
      </c>
      <c r="EI12" s="16">
        <v>1.69</v>
      </c>
      <c r="EJ12" s="16">
        <v>0</v>
      </c>
      <c r="EK12" s="16">
        <v>12.7</v>
      </c>
      <c r="EL12" s="16">
        <v>8</v>
      </c>
      <c r="EM12" s="16">
        <v>12.8</v>
      </c>
      <c r="EN12" s="16">
        <v>13.275</v>
      </c>
      <c r="EO12" s="16">
        <v>0</v>
      </c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1">
        <f t="shared" si="57"/>
        <v>2</v>
      </c>
      <c r="FA12" s="11">
        <f t="shared" si="58"/>
        <v>1.69</v>
      </c>
      <c r="FB12" s="11">
        <f t="shared" si="59"/>
        <v>5.8900000000000006</v>
      </c>
      <c r="FC12" s="11">
        <f t="shared" si="60"/>
        <v>12.8</v>
      </c>
      <c r="FD12" s="11">
        <f t="shared" si="61"/>
        <v>13.275</v>
      </c>
      <c r="FE12" s="11">
        <f t="shared" si="62"/>
        <v>46.774999999999999</v>
      </c>
      <c r="FF12" s="11">
        <f t="shared" si="63"/>
        <v>46.774999999999999</v>
      </c>
      <c r="FG12" s="11" t="str">
        <f t="shared" si="64"/>
        <v/>
      </c>
      <c r="FH12" s="11" t="str">
        <f t="shared" si="65"/>
        <v/>
      </c>
      <c r="FI12" s="11" t="str">
        <f t="shared" si="66"/>
        <v/>
      </c>
      <c r="FJ12" s="11" t="str">
        <f t="shared" si="67"/>
        <v/>
      </c>
      <c r="FK12" s="11" t="str">
        <f t="shared" si="68"/>
        <v/>
      </c>
      <c r="FL12" s="11" t="str">
        <f t="shared" si="69"/>
        <v/>
      </c>
      <c r="FM12" s="11">
        <f t="shared" si="70"/>
        <v>46.774999999999999</v>
      </c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36" t="str">
        <f t="shared" si="71"/>
        <v/>
      </c>
      <c r="GI12" s="36" t="str">
        <f t="shared" si="72"/>
        <v/>
      </c>
      <c r="GJ12" s="36" t="str">
        <f t="shared" si="73"/>
        <v/>
      </c>
      <c r="GK12" s="36" t="str">
        <f t="shared" si="74"/>
        <v/>
      </c>
      <c r="GL12" s="36" t="str">
        <f t="shared" si="75"/>
        <v/>
      </c>
      <c r="GM12" s="36" t="str">
        <f t="shared" si="76"/>
        <v/>
      </c>
      <c r="GN12" s="36" t="str">
        <f t="shared" si="77"/>
        <v/>
      </c>
      <c r="GO12" s="36" t="str">
        <f t="shared" si="78"/>
        <v/>
      </c>
      <c r="GP12" s="36" t="str">
        <f t="shared" si="79"/>
        <v/>
      </c>
      <c r="GQ12" s="36" t="str">
        <f t="shared" si="80"/>
        <v/>
      </c>
      <c r="GR12" s="36" t="str">
        <f t="shared" si="81"/>
        <v/>
      </c>
      <c r="GS12" s="36" t="str">
        <f t="shared" si="82"/>
        <v/>
      </c>
      <c r="GT12" s="36" t="str">
        <f t="shared" si="83"/>
        <v/>
      </c>
      <c r="GU12" s="36" t="str">
        <f t="shared" si="84"/>
        <v/>
      </c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1" t="str">
        <f t="shared" si="85"/>
        <v/>
      </c>
      <c r="HQ12" s="11" t="str">
        <f t="shared" si="86"/>
        <v/>
      </c>
      <c r="HR12" s="11" t="str">
        <f t="shared" si="87"/>
        <v/>
      </c>
      <c r="HS12" s="11" t="str">
        <f t="shared" si="88"/>
        <v/>
      </c>
      <c r="HT12" s="11" t="str">
        <f t="shared" si="89"/>
        <v/>
      </c>
      <c r="HU12" s="11" t="str">
        <f t="shared" si="90"/>
        <v/>
      </c>
      <c r="HV12" s="11" t="str">
        <f t="shared" si="91"/>
        <v/>
      </c>
      <c r="HW12" s="11" t="str">
        <f t="shared" si="92"/>
        <v/>
      </c>
      <c r="HX12" s="11" t="str">
        <f t="shared" si="93"/>
        <v/>
      </c>
      <c r="HY12" s="11" t="str">
        <f t="shared" si="94"/>
        <v/>
      </c>
      <c r="HZ12" s="11" t="str">
        <f t="shared" si="95"/>
        <v/>
      </c>
      <c r="IA12" s="11" t="str">
        <f t="shared" si="96"/>
        <v/>
      </c>
      <c r="IB12" s="11" t="str">
        <f t="shared" si="97"/>
        <v/>
      </c>
      <c r="IC12" s="11" t="str">
        <f t="shared" si="98"/>
        <v/>
      </c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36" t="str">
        <f t="shared" si="99"/>
        <v/>
      </c>
      <c r="IY12" s="36" t="str">
        <f t="shared" si="100"/>
        <v/>
      </c>
      <c r="IZ12" s="36" t="str">
        <f t="shared" si="101"/>
        <v/>
      </c>
      <c r="JA12" s="36" t="str">
        <f t="shared" si="102"/>
        <v/>
      </c>
      <c r="JB12" s="36" t="str">
        <f t="shared" si="103"/>
        <v/>
      </c>
      <c r="JC12" s="36" t="str">
        <f t="shared" si="104"/>
        <v/>
      </c>
      <c r="JD12" s="36" t="str">
        <f t="shared" si="105"/>
        <v/>
      </c>
      <c r="JE12" s="36" t="str">
        <f t="shared" si="106"/>
        <v/>
      </c>
      <c r="JF12" s="36" t="str">
        <f t="shared" si="107"/>
        <v/>
      </c>
      <c r="JG12" s="36" t="str">
        <f t="shared" si="108"/>
        <v/>
      </c>
      <c r="JH12" s="36" t="str">
        <f t="shared" si="109"/>
        <v/>
      </c>
      <c r="JI12" s="36" t="str">
        <f t="shared" si="110"/>
        <v/>
      </c>
      <c r="JJ12" s="36" t="str">
        <f t="shared" si="111"/>
        <v/>
      </c>
      <c r="JK12" s="36" t="str">
        <f t="shared" si="112"/>
        <v/>
      </c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1" t="str">
        <f t="shared" si="113"/>
        <v/>
      </c>
      <c r="KG12" s="11" t="str">
        <f t="shared" si="114"/>
        <v/>
      </c>
      <c r="KH12" s="11" t="str">
        <f t="shared" si="115"/>
        <v/>
      </c>
      <c r="KI12" s="11" t="str">
        <f t="shared" si="116"/>
        <v/>
      </c>
      <c r="KJ12" s="11" t="str">
        <f t="shared" si="117"/>
        <v/>
      </c>
      <c r="KK12" s="11" t="str">
        <f t="shared" si="118"/>
        <v/>
      </c>
      <c r="KL12" s="11" t="str">
        <f t="shared" si="119"/>
        <v/>
      </c>
      <c r="KM12" s="11" t="str">
        <f t="shared" si="120"/>
        <v/>
      </c>
      <c r="KN12" s="11" t="str">
        <f t="shared" si="121"/>
        <v/>
      </c>
      <c r="KO12" s="11" t="str">
        <f t="shared" si="122"/>
        <v/>
      </c>
      <c r="KP12" s="11" t="str">
        <f t="shared" si="123"/>
        <v/>
      </c>
      <c r="KQ12" s="11" t="str">
        <f t="shared" si="124"/>
        <v/>
      </c>
      <c r="KR12" s="11" t="str">
        <f t="shared" si="125"/>
        <v/>
      </c>
      <c r="KS12" s="11" t="str">
        <f t="shared" si="126"/>
        <v/>
      </c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36" t="str">
        <f t="shared" si="127"/>
        <v/>
      </c>
      <c r="LO12" s="36" t="str">
        <f t="shared" si="128"/>
        <v/>
      </c>
      <c r="LP12" s="36" t="str">
        <f t="shared" si="129"/>
        <v/>
      </c>
      <c r="LQ12" s="36" t="str">
        <f t="shared" si="130"/>
        <v/>
      </c>
      <c r="LR12" s="36" t="str">
        <f t="shared" si="131"/>
        <v/>
      </c>
      <c r="LS12" s="36" t="str">
        <f t="shared" si="132"/>
        <v/>
      </c>
      <c r="LT12" s="36" t="str">
        <f t="shared" si="133"/>
        <v/>
      </c>
      <c r="LU12" s="36" t="str">
        <f t="shared" si="134"/>
        <v/>
      </c>
      <c r="LV12" s="36" t="str">
        <f t="shared" si="135"/>
        <v/>
      </c>
      <c r="LW12" s="36" t="str">
        <f t="shared" si="136"/>
        <v/>
      </c>
      <c r="LX12" s="36" t="str">
        <f t="shared" si="137"/>
        <v/>
      </c>
      <c r="LY12" s="36" t="str">
        <f t="shared" si="138"/>
        <v/>
      </c>
      <c r="LZ12" s="36" t="str">
        <f t="shared" si="139"/>
        <v/>
      </c>
      <c r="MA12" s="36" t="str">
        <f t="shared" si="140"/>
        <v/>
      </c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1" t="str">
        <f t="shared" si="141"/>
        <v/>
      </c>
      <c r="MW12" s="11" t="str">
        <f t="shared" si="142"/>
        <v/>
      </c>
      <c r="MX12" s="11" t="str">
        <f t="shared" si="143"/>
        <v/>
      </c>
      <c r="MY12" s="11" t="str">
        <f t="shared" si="144"/>
        <v/>
      </c>
      <c r="MZ12" s="11" t="str">
        <f t="shared" si="145"/>
        <v/>
      </c>
      <c r="NA12" s="11" t="str">
        <f t="shared" si="146"/>
        <v/>
      </c>
      <c r="NB12" s="11" t="str">
        <f t="shared" si="147"/>
        <v/>
      </c>
      <c r="NC12" s="11" t="str">
        <f t="shared" si="148"/>
        <v/>
      </c>
      <c r="ND12" s="11" t="str">
        <f t="shared" si="149"/>
        <v/>
      </c>
      <c r="NE12" s="11" t="str">
        <f t="shared" si="150"/>
        <v/>
      </c>
      <c r="NF12" s="11" t="str">
        <f t="shared" si="151"/>
        <v/>
      </c>
      <c r="NG12" s="11" t="str">
        <f t="shared" si="152"/>
        <v/>
      </c>
      <c r="NH12" s="11" t="str">
        <f t="shared" si="153"/>
        <v/>
      </c>
      <c r="NI12" s="11" t="str">
        <f t="shared" si="154"/>
        <v/>
      </c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36" t="str">
        <f t="shared" si="155"/>
        <v/>
      </c>
      <c r="OE12" s="36" t="str">
        <f t="shared" si="156"/>
        <v/>
      </c>
      <c r="OF12" s="36" t="str">
        <f t="shared" si="157"/>
        <v/>
      </c>
      <c r="OG12" s="36" t="str">
        <f t="shared" si="158"/>
        <v/>
      </c>
      <c r="OH12" s="36" t="str">
        <f t="shared" si="159"/>
        <v/>
      </c>
      <c r="OI12" s="36" t="str">
        <f t="shared" si="160"/>
        <v/>
      </c>
      <c r="OJ12" s="36" t="str">
        <f t="shared" si="161"/>
        <v/>
      </c>
      <c r="OK12" s="36" t="str">
        <f t="shared" si="162"/>
        <v/>
      </c>
      <c r="OL12" s="36" t="str">
        <f t="shared" si="163"/>
        <v/>
      </c>
      <c r="OM12" s="36" t="str">
        <f t="shared" si="164"/>
        <v/>
      </c>
      <c r="ON12" s="36" t="str">
        <f t="shared" si="165"/>
        <v/>
      </c>
      <c r="OO12" s="36" t="str">
        <f t="shared" si="166"/>
        <v/>
      </c>
      <c r="OP12" s="36" t="str">
        <f t="shared" si="167"/>
        <v/>
      </c>
      <c r="OQ12" s="36" t="str">
        <f t="shared" si="168"/>
        <v/>
      </c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1" t="str">
        <f t="shared" si="169"/>
        <v/>
      </c>
      <c r="PM12" s="11" t="str">
        <f t="shared" si="170"/>
        <v/>
      </c>
      <c r="PN12" s="11" t="str">
        <f t="shared" si="171"/>
        <v/>
      </c>
      <c r="PO12" s="11" t="str">
        <f t="shared" si="172"/>
        <v/>
      </c>
      <c r="PP12" s="11" t="str">
        <f t="shared" si="173"/>
        <v/>
      </c>
      <c r="PQ12" s="11" t="str">
        <f t="shared" si="174"/>
        <v/>
      </c>
      <c r="PR12" s="11" t="str">
        <f t="shared" si="175"/>
        <v/>
      </c>
      <c r="PS12" s="11" t="str">
        <f t="shared" si="176"/>
        <v/>
      </c>
      <c r="PT12" s="11" t="str">
        <f t="shared" si="177"/>
        <v/>
      </c>
      <c r="PU12" s="11" t="str">
        <f t="shared" si="178"/>
        <v/>
      </c>
      <c r="PV12" s="11" t="str">
        <f t="shared" si="179"/>
        <v/>
      </c>
      <c r="PW12" s="11" t="str">
        <f t="shared" si="180"/>
        <v/>
      </c>
      <c r="PX12" s="11" t="str">
        <f t="shared" si="181"/>
        <v/>
      </c>
      <c r="PY12" s="11" t="str">
        <f t="shared" si="182"/>
        <v/>
      </c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36" t="str">
        <f t="shared" si="183"/>
        <v/>
      </c>
      <c r="QU12" s="36" t="str">
        <f t="shared" si="184"/>
        <v/>
      </c>
      <c r="QV12" s="36" t="str">
        <f t="shared" si="185"/>
        <v/>
      </c>
      <c r="QW12" s="36" t="str">
        <f t="shared" si="186"/>
        <v/>
      </c>
      <c r="QX12" s="36" t="str">
        <f t="shared" si="187"/>
        <v/>
      </c>
      <c r="QY12" s="36" t="str">
        <f t="shared" si="188"/>
        <v/>
      </c>
      <c r="QZ12" s="36" t="str">
        <f t="shared" si="189"/>
        <v/>
      </c>
      <c r="RA12" s="36" t="str">
        <f t="shared" si="190"/>
        <v/>
      </c>
      <c r="RB12" s="36" t="str">
        <f t="shared" si="191"/>
        <v/>
      </c>
      <c r="RC12" s="36" t="str">
        <f t="shared" si="192"/>
        <v/>
      </c>
      <c r="RD12" s="36" t="str">
        <f t="shared" si="193"/>
        <v/>
      </c>
      <c r="RE12" s="36" t="str">
        <f t="shared" si="194"/>
        <v/>
      </c>
      <c r="RF12" s="36" t="str">
        <f t="shared" si="195"/>
        <v/>
      </c>
      <c r="RG12" s="36" t="str">
        <f t="shared" si="196"/>
        <v/>
      </c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1" t="str">
        <f t="shared" si="197"/>
        <v/>
      </c>
      <c r="SC12" s="11" t="str">
        <f t="shared" si="198"/>
        <v/>
      </c>
      <c r="SD12" s="11" t="str">
        <f t="shared" si="199"/>
        <v/>
      </c>
      <c r="SE12" s="11" t="str">
        <f t="shared" si="200"/>
        <v/>
      </c>
      <c r="SF12" s="11" t="str">
        <f t="shared" si="201"/>
        <v/>
      </c>
      <c r="SG12" s="11" t="str">
        <f t="shared" si="202"/>
        <v/>
      </c>
      <c r="SH12" s="11" t="str">
        <f t="shared" si="203"/>
        <v/>
      </c>
      <c r="SI12" s="11" t="str">
        <f t="shared" si="204"/>
        <v/>
      </c>
      <c r="SJ12" s="11" t="str">
        <f t="shared" si="205"/>
        <v/>
      </c>
      <c r="SK12" s="11" t="str">
        <f t="shared" si="206"/>
        <v/>
      </c>
      <c r="SL12" s="11" t="str">
        <f t="shared" si="207"/>
        <v/>
      </c>
      <c r="SM12" s="11" t="str">
        <f t="shared" si="208"/>
        <v/>
      </c>
      <c r="SN12" s="11" t="str">
        <f t="shared" si="209"/>
        <v/>
      </c>
      <c r="SO12" s="11" t="str">
        <f t="shared" si="210"/>
        <v/>
      </c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36" t="str">
        <f t="shared" si="211"/>
        <v/>
      </c>
      <c r="TK12" s="36" t="str">
        <f t="shared" si="212"/>
        <v/>
      </c>
      <c r="TL12" s="36" t="str">
        <f t="shared" si="213"/>
        <v/>
      </c>
      <c r="TM12" s="36" t="str">
        <f t="shared" si="214"/>
        <v/>
      </c>
      <c r="TN12" s="36" t="str">
        <f t="shared" si="215"/>
        <v/>
      </c>
      <c r="TO12" s="36" t="str">
        <f t="shared" si="216"/>
        <v/>
      </c>
      <c r="TP12" s="36" t="str">
        <f t="shared" si="217"/>
        <v/>
      </c>
      <c r="TQ12" s="36" t="str">
        <f t="shared" si="218"/>
        <v/>
      </c>
      <c r="TR12" s="36" t="str">
        <f t="shared" si="219"/>
        <v/>
      </c>
      <c r="TS12" s="36" t="str">
        <f t="shared" si="220"/>
        <v/>
      </c>
      <c r="TT12" s="36" t="str">
        <f t="shared" si="221"/>
        <v/>
      </c>
      <c r="TU12" s="36" t="str">
        <f t="shared" si="222"/>
        <v/>
      </c>
      <c r="TV12" s="36" t="str">
        <f t="shared" si="223"/>
        <v/>
      </c>
      <c r="TW12" s="36" t="str">
        <f t="shared" si="224"/>
        <v/>
      </c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1" t="str">
        <f t="shared" si="225"/>
        <v/>
      </c>
      <c r="US12" s="11" t="str">
        <f t="shared" si="226"/>
        <v/>
      </c>
      <c r="UT12" s="11" t="str">
        <f t="shared" si="227"/>
        <v/>
      </c>
      <c r="UU12" s="11" t="str">
        <f t="shared" si="228"/>
        <v/>
      </c>
      <c r="UV12" s="11" t="str">
        <f t="shared" si="229"/>
        <v/>
      </c>
      <c r="UW12" s="11" t="str">
        <f t="shared" si="230"/>
        <v/>
      </c>
      <c r="UX12" s="11" t="str">
        <f t="shared" si="231"/>
        <v/>
      </c>
      <c r="UY12" s="11" t="str">
        <f t="shared" si="232"/>
        <v/>
      </c>
      <c r="UZ12" s="11" t="str">
        <f t="shared" si="233"/>
        <v/>
      </c>
      <c r="VA12" s="11" t="str">
        <f t="shared" si="234"/>
        <v/>
      </c>
      <c r="VB12" s="11" t="str">
        <f t="shared" si="235"/>
        <v/>
      </c>
      <c r="VC12" s="11" t="str">
        <f t="shared" si="236"/>
        <v/>
      </c>
      <c r="VD12" s="11" t="str">
        <f t="shared" si="237"/>
        <v/>
      </c>
      <c r="VE12" s="11" t="str">
        <f t="shared" si="238"/>
        <v/>
      </c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36" t="str">
        <f t="shared" si="239"/>
        <v/>
      </c>
      <c r="WA12" s="36" t="str">
        <f t="shared" si="240"/>
        <v/>
      </c>
      <c r="WB12" s="36" t="str">
        <f t="shared" si="241"/>
        <v/>
      </c>
      <c r="WC12" s="36" t="str">
        <f t="shared" si="242"/>
        <v/>
      </c>
      <c r="WD12" s="36" t="str">
        <f t="shared" si="243"/>
        <v/>
      </c>
      <c r="WE12" s="36" t="str">
        <f t="shared" si="244"/>
        <v/>
      </c>
      <c r="WF12" s="36" t="str">
        <f t="shared" si="245"/>
        <v/>
      </c>
      <c r="WG12" s="36" t="str">
        <f t="shared" si="246"/>
        <v/>
      </c>
      <c r="WH12" s="36" t="str">
        <f t="shared" si="247"/>
        <v/>
      </c>
      <c r="WI12" s="36" t="str">
        <f t="shared" si="248"/>
        <v/>
      </c>
      <c r="WJ12" s="36" t="str">
        <f t="shared" si="249"/>
        <v/>
      </c>
      <c r="WK12" s="36" t="str">
        <f t="shared" si="250"/>
        <v/>
      </c>
      <c r="WL12" s="36" t="str">
        <f t="shared" si="251"/>
        <v/>
      </c>
      <c r="WM12" s="36" t="str">
        <f t="shared" si="252"/>
        <v/>
      </c>
    </row>
    <row r="13" spans="1:611" x14ac:dyDescent="0.2">
      <c r="A13" s="4" t="str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/>
      </c>
      <c r="B13" s="5" t="s">
        <v>88</v>
      </c>
      <c r="C13" s="4" t="s">
        <v>6</v>
      </c>
      <c r="D13" s="4">
        <v>2005</v>
      </c>
      <c r="E13" s="9">
        <f t="shared" si="0"/>
        <v>161.52001615200555</v>
      </c>
      <c r="F13" s="3" t="str">
        <f>IF(OR(AND(AI13&gt;=AS$27,AI13&lt;&gt;"",AK13&gt;=AS$31,AK13&lt;&gt;"",AH13=""),AND(AL13&gt;=AS$27,AL13&lt;&gt;"",AN13&gt;=AS$31,AN13&lt;&gt;"",AH13=""),AND(AP13&gt;=AS$27,AP13&lt;&gt;"",AR13&gt;=AS$31,AR13&lt;&gt;"",AH13=""),AND(BJ13&gt;=BT$27,BJ13&lt;&gt;"",BL13&gt;=BT$31,BL13&lt;&gt;"",BI13=""),AND(BM13&gt;=BT$27,BM13&lt;&gt;"",BO13&gt;=BT$31,BO13&lt;&gt;"",BI13=""),AND(BQ13&gt;=BT$27,BQ13&lt;&gt;"",BS13&gt;=BT$31,BS13&lt;&gt;"",BI13=""),AND(CK13&gt;=CU$27,CK13&lt;&gt;"",CM13&gt;=CU$31,CM13&lt;&gt;"",CJ13=""),AND(CN13&gt;=CU$27,CN13&lt;&gt;"",CP13&gt;=CU$31,CP13&lt;&gt;"",CJ13=""),AND(CR13&gt;=CU$27,CR13&lt;&gt;"",CT13&gt;=CU$31,CT13&lt;&gt;"",CJ13=""),AND(DR13&gt;=EE$27,DR13&lt;&gt;"",DT13&gt;=EE$31,DT13&lt;&gt;""),AND(DU13&gt;=EE$27,DU13&lt;&gt;"",DW13&gt;=EE$31,DW13&lt;&gt;""),AND(DY13&gt;=EE$27,DY13&lt;&gt;"",EA13&gt;=EE$31,EA13&lt;&gt;""),AND(EB13&gt;=EE$27,EB13&lt;&gt;"",ED13&gt;=EE$31,ED13&lt;&gt;""),AND(EZ13&gt;=FM$27,EZ13&lt;&gt;"",FB13&gt;=FM$31,FB13&lt;&gt;""),AND(FC13&gt;=FM$27,FC13&lt;&gt;"",FE13&gt;=FM$31,FE13&lt;&gt;""),AND(FG13&gt;=FM$27,FG13&lt;&gt;"",FI13&gt;=FM$31,FI13&lt;&gt;""),AND(FJ13&gt;=FM$27,FJ13&lt;&gt;"",FL13&gt;=FM$31,FL13&lt;&gt;""),AND(GH13&gt;=GU$27,GH13&lt;&gt;"",GJ13&gt;=GU$31,GJ13&lt;&gt;""),AND(GK13&gt;=GU$27,GK13&lt;&gt;"",GM13&gt;=GU$31,GM13&lt;&gt;""),AND(GO13&gt;=GU$27,GO13&lt;&gt;"",GQ13&gt;=GU$31,GQ13&lt;&gt;""),AND(GR13&gt;=GU$27,GR13&lt;&gt;"",GT13&gt;=GU$31,GT13&lt;&gt;""),AND(HP13&gt;=IC$27,HP13&lt;&gt;"",HR13&gt;=IC$31,HR13&lt;&gt;""),AND(HS13&gt;=IC$27,HS13&lt;&gt;"",HU13&gt;=IC$31,HU13&lt;&gt;""),AND(HW13&gt;=IC$27,HW13&lt;&gt;"",HY13&gt;=IC$31,HY13&lt;&gt;""),AND(HZ13&gt;=IC$27,HZ13&lt;&gt;"",IB13&gt;=IC$31,IB13&lt;&gt;""),AND(IX13&gt;=JK$27,IX13&lt;&gt;"",IZ13&gt;=JK$31,IZ13&lt;&gt;""),AND(JA13&gt;=JK$27,JA13&lt;&gt;"",JC13&gt;=JK$31,JC13&lt;&gt;""),AND(JE13&gt;=JK$27,JE13&lt;&gt;"",JG13&gt;=JK$31,JG13&lt;&gt;""),AND(JH13&gt;=JK$27,JH13&lt;&gt;"",JJ13&gt;=JK$31,JJ13&lt;&gt;""),AND(KF13&gt;=KS$27,KF13&lt;&gt;"",KH13&gt;=KS$31,KH13&lt;&gt;""),AND(KI13&gt;=KS$27,KI13&lt;&gt;"",KK13&gt;=KS$31,KK13&lt;&gt;""),AND(KM13&gt;=KS$27,KM13&lt;&gt;"",KO13&gt;=KS$31,KO13&lt;&gt;""),AND(KP13&gt;=KS$27,KP13&lt;&gt;"",KR13&gt;=KS$31,KR13&lt;&gt;""),AND(LN13&gt;=MA$27,LN13&lt;&gt;"",LP13&gt;=MA$31,LP13&lt;&gt;""),AND(LQ13&gt;=MA$27,LQ13&lt;&gt;"",LS13&gt;=MA$31,LS13&lt;&gt;""),AND(LU13&gt;=MA$27,LU13&lt;&gt;"",LW13&gt;=MA$31,LW13&lt;&gt;""),AND(LX13&gt;=MA$27,LX13&lt;&gt;"",LZ13&gt;=MA$31,LZ13&lt;&gt;""),AND(MV13&gt;=NI$27,MV13&lt;&gt;"",MX13&gt;=NI$31,MX13&lt;&gt;""),AND(MY13&gt;=NI$27,MY13&lt;&gt;"",NA13&gt;=NI$31,NA13&lt;&gt;""),AND(NC13&gt;=NI$27,NC13&lt;&gt;"",NE13&gt;=NI$31,NE13&lt;&gt;""),AND(NF13&gt;=NI$27,NF13&lt;&gt;"",NH13&gt;=NI$31,NH13&lt;&gt;""),AND(OD13&gt;=OQ$27,OD13&lt;&gt;"",OF13&gt;=OQ$31,OF13&lt;&gt;""),AND(OG13&gt;=OQ$27,OG13&lt;&gt;"",OI13&gt;=OQ$31,OI13&lt;&gt;""),AND(OK13&gt;=OQ$27,OK13&lt;&gt;"",OM13&gt;=OQ$31,OM13&lt;&gt;""),AND(ON13&gt;=OQ$27,ON13&lt;&gt;"",OP13&gt;=OQ$31,OP13&lt;&gt;""),AND(PL13&gt;=PY$27,PL13&lt;&gt;"",PN13&gt;=PY$31,PN13&lt;&gt;""),AND(PO13&gt;=PY$27,PO13&lt;&gt;"",PQ13&gt;=PY$31,PQ13&lt;&gt;""),AND(PS13&gt;=PY$27,PS13&lt;&gt;"",PU13&gt;=PY$31,PU13&lt;&gt;""),AND(PV13&gt;=PY$27,PV13&lt;&gt;"",PX13&gt;=PY$31,PX13&lt;&gt;""),AND(QT13&gt;=RG$27,QT13&lt;&gt;"",QV13&gt;=RG$31,QV13&lt;&gt;""),AND(QW13&gt;=RG$27,QW13&lt;&gt;"",QY13&gt;=RG$31,QY13&lt;&gt;""),AND(RA13&gt;=RG$27,RA13&lt;&gt;"",RC13&gt;=RG$31,RC13&lt;&gt;""),AND(RD13&gt;=RG$27,RD13&lt;&gt;"",RF13&gt;=RG$31,RF13&lt;&gt;""),AND(SB13&gt;=SO$27,SB13&lt;&gt;"",SD13&gt;=SO$31,SD13&lt;&gt;""),AND(SE13&gt;=SO$27,SE13&lt;&gt;"",SG13&gt;=SO$31,SG13&lt;&gt;""),AND(SI13&gt;=SO$27,SI13&lt;&gt;"",SK13&gt;=SO$31,SK13&lt;&gt;""),AND(SL13&gt;=SO$27,SL13&lt;&gt;"",SN13&gt;=SO$31,SN13&lt;&gt;""),AND(TJ13&gt;=TW$27,TJ13&lt;&gt;"",TL13&gt;=TW$31,TL13&lt;&gt;""),AND(TM13&gt;=TW$27,TM13&lt;&gt;"",TO13&gt;=TW$31,TO13&lt;&gt;""),AND(TQ13&gt;=TW$27,TQ13&lt;&gt;"",TS13&gt;=TW$31,TXQ13&lt;&gt;""),AND(TT13&gt;=TW$27,TT13&lt;&gt;"",TV13&gt;=TW$31,TV13&lt;&gt;""),AND(UR13&gt;=VE$27,UR13&lt;&gt;"",UT13&gt;=VE$31,UT13&lt;&gt;""),AND(UU13&gt;=VE$27,UU13&lt;&gt;"",UW13&gt;=VE$31,UW13&lt;&gt;""),AND(UY13&gt;=VE$27,UY13&lt;&gt;"",VA13&gt;=VE$31,VA13&lt;&gt;""),AND(VB13&gt;=VE$27,VB13&lt;&gt;"",VD13&gt;=VE$31,VD13&lt;&gt;""),AND(VZ13&gt;=WM$27,VZ13&lt;&gt;"",WB13&gt;=WM$31,WB13&lt;&gt;""),AND(WC13&gt;=WM$27,WC13&lt;&gt;"",WE13&gt;=WM$31,WE13&lt;&gt;""),AND(WG13&gt;=WM$27,WG13&lt;&gt;"",WI13&gt;=WM$31,WI13&lt;&gt;""),AND(WJ13&gt;=WM$27,WJ13&lt;&gt;"",WL13&gt;=WM$31,WL13&lt;&gt;"")),"P","")</f>
        <v/>
      </c>
      <c r="G13" s="3" t="str">
        <f>IF(OR(AND(AK13&gt;=AS$31,AK13&lt;&gt;"",AH13=""),AND(AN13&gt;=AS$31,AN13&lt;&gt;"",AH13=""),AND(AR13&gt;=AS$31,AR13&lt;&gt;"",AH13=""),AND(BL13&gt;=BT$31,BL13&lt;&gt;"",BI13=""),AND(BO13&gt;=BT$31,BO13&lt;&gt;"",BI13=""),AND(BS13&gt;=BT$31,BS13&lt;&gt;"",BI13=""),AND(CM13&gt;=CU$31,CM13&lt;&gt;"",CJ13=""),AND(CP13&gt;=CU$31,CP13&lt;&gt;"",CJ13=""),AND(CT13&gt;=CU$31,CT13&lt;&gt;"",CJ13=""),AND(DT13&gt;=EE$31,DT13&lt;&gt;""),AND(DW13&gt;=EE$31,DW13&lt;&gt;""),AND(EA13&gt;=EE$31,EA13&lt;&gt;""),AND(ED13&gt;=EE$31,ED13&lt;&gt;""),AND(FB13&gt;=FM$31,FB13&lt;&gt;""),AND(FE13&gt;=FM$31,FE13&lt;&gt;""),AND(FI13&gt;=FM$31,FI13&lt;&gt;""),AND(FL13&gt;=FM$31,FL13&lt;&gt;""),AND(GJ13&gt;=GU$31,GJ13&lt;&gt;""),AND(GM13&gt;=GU$31,GM13&lt;&gt;""),AND(GQ13&gt;=GU$31,GQ13&lt;&gt;""),AND(GT13&gt;=GU$31,GT13&lt;&gt;""),AND(HR13&gt;=IC$31,HR13&lt;&gt;""),AND(HU13&gt;=IC$31,HU13&lt;&gt;""),AND(HY13&gt;=IC$31,HY13&lt;&gt;""),AND(IB13&gt;=IC$31,IB13&lt;&gt;""),AND(IZ13&gt;=JK$31,IZ13&lt;&gt;""),AND(JC13&gt;=JK$31,JC13&lt;&gt;""),AND(JG13&gt;=JK$31,JG13&lt;&gt;""),AND(JJ13&gt;=JK$31,JJ13&lt;&gt;""),AND(KH13&gt;=KS$31,KH13&lt;&gt;""),AND(KK13&gt;=KS$31,KK13&lt;&gt;""),AND(KO13&gt;=KS$31,KO13&lt;&gt;""),AND(KR13&gt;=KS$31,KR13&lt;&gt;""),AND(LP13&gt;=MA$31,LP13&lt;&gt;""),AND(LS13&gt;=MA$31,LS13&lt;&gt;""),AND(LW13&gt;=MA$31,LW13&lt;&gt;""),AND(LZ13&gt;=MA$31,LZ13&lt;&gt;""),AND(MX13&gt;=NI$31,MX13&lt;&gt;""),AND(NA13&gt;=NI$31,NA13&lt;&gt;""),AND(NE13&gt;=NI$31,NE13&lt;&gt;""),AND(NH13&gt;=NI$31,NH13&lt;&gt;""),AND(OF13&gt;=OQ$31,OF13&lt;&gt;""),AND(OI13&gt;=OQ$31,OI13&lt;&gt;""),AND(OM13&gt;=OQ$31,OM13&lt;&gt;""),AND(OP13&gt;=OQ$31,OP13&lt;&gt;""),AND(PN13&gt;=PY$31,PN13&lt;&gt;""),AND(PQ13&gt;=PY$31,PQ13&lt;&gt;""),AND(PU13&gt;=PY$31,PU13&lt;&gt;""),AND(PX13&gt;=PY$31,PX13&lt;&gt;""),AND(QV13&gt;=RG$31,QV13&lt;&gt;""),AND(QY13&gt;=RG$31,QY13&lt;&gt;""),AND(RC13&gt;=RG$31,RC13&lt;&gt;""),AND(RF13&gt;=RG$31,RF13&lt;&gt;""),AND(SD13&gt;=SO$31,SD13&lt;&gt;""),AND(SG13&gt;=SO$31,SG13&lt;&gt;""),AND(SK13&gt;=SO$31,SK13&lt;&gt;""),AND(SN13&gt;=SO$31,SN13&lt;&gt;""),AND(TL13&gt;=TW$31,TL13&lt;&gt;""),AND(TO13&gt;=TW$31,TO13&lt;&gt;""),AND(TS13&gt;=TW$31,TXQ13&lt;&gt;""),AND(TV13&gt;=TW$31,TV13&lt;&gt;""),AND(UT13&gt;=VE$31,UT13&lt;&gt;""),AND(UW13&gt;=VE$31,UW13&lt;&gt;""),AND(VA13&gt;=VE$31,VA13&lt;&gt;""),AND(VD13&gt;=VE$31,VD13&lt;&gt;""),AND(WB13&gt;=WM$31,WB13&lt;&gt;""),AND(WE13&gt;=WM$31,WE13&lt;&gt;""),AND(WI13&gt;=WM$31,WI13&lt;&gt;""),AND(WL13&gt;=WM$31,WL13&lt;&gt;"")),"P","")</f>
        <v/>
      </c>
      <c r="H13" s="32" t="str">
        <f>IF(AND(G13="P",F13=""),"No DD",IF(OR(AND(AI13&gt;=AS$30,AI13&lt;&gt;"",AK13&gt;=AS$34,AK13&lt;&gt;"",AH13=""),AND(AL13&gt;=AS$30,AL13&lt;&gt;"",AN13&gt;=AS$34,AN13&lt;&gt;"",AH13=""),AND(AP13&gt;=AS$30,AP13&lt;&gt;"",AR13&gt;=AS$34,AR13&lt;&gt;"",AH13=""),AND(BJ13&gt;=BT$30,BJ13&lt;&gt;"",BL13&gt;=BT$34,BL13&lt;&gt;"",BI13=""),AND(BM13&gt;=BT$30,BM13&lt;&gt;"",BO13&gt;=BT$34,BO13&lt;&gt;"",BI13=""),AND(BQ13&gt;=BT$30,BQ13&lt;&gt;"",BS13&gt;=BT$34,BS13&lt;&gt;"",BI13=""),AND(CK13&gt;=CU$30,CK13&lt;&gt;"",CM13&gt;=CU$34,CM13&lt;&gt;"",CJ13=""),AND(CN13&gt;=CU$30,CN13&lt;&gt;"",CP13&gt;=CU$34,CP13&lt;&gt;"",CJ13=""),AND(CR13&gt;=CU$30,CR13&lt;&gt;"",CT13&gt;=CU$34,CT13&lt;&gt;"",CJ13=""),AND(DR13&gt;=EE$30,DR13&lt;&gt;"",DT13&gt;=EE$34,DT13&lt;&gt;""),AND(DU13&gt;=EE$30,DU13&lt;&gt;"",DW13&gt;=EE$34,DW13&lt;&gt;""),AND(DY13&gt;=EE$30,DY13&lt;&gt;"",EA13&gt;=EE$34,EA13&lt;&gt;""),AND(EB13&gt;=EE$30,EB13&lt;&gt;"",ED13&gt;=EE$34,ED13&lt;&gt;""),AND(EZ13&gt;=FM$30,EZ13&lt;&gt;"",FB13&gt;=FM$34,FB13&lt;&gt;""),AND(FC13&gt;=FM$30,FC13&lt;&gt;"",FE13&gt;=FM$34,FE13&lt;&gt;""),AND(FG13&gt;=FM$30,FG13&lt;&gt;"",FI13&gt;=FM$34,FI13&lt;&gt;""),AND(FJ13&gt;=FM$30,FJ13&lt;&gt;"",FL13&gt;=FM$34,FL13&lt;&gt;""),AND(GH13&gt;=GU$30,GH13&lt;&gt;"",GJ13&gt;=GU$34,GJ13&lt;&gt;""),AND(GK13&gt;=GU$30,GK13&lt;&gt;"",GM13&gt;=GU$34,GM13&lt;&gt;""),AND(GO13&gt;=GU$30,GO13&lt;&gt;"",GQ13&gt;=GU$34,GQ13&lt;&gt;""),AND(GR13&gt;=GU$30,GR13&lt;&gt;"",GT13&gt;=GU$34,GT13&lt;&gt;""),AND(HP13&gt;=IC$30,HP13&lt;&gt;"",HR13&gt;=IC$34,HR13&lt;&gt;""),AND(HS13&gt;=IC$30,HS13&lt;&gt;"",HU13&gt;=IC$34,HU13&lt;&gt;""),AND(HW13&gt;=IC$30,HW13&lt;&gt;"",HY13&gt;=IC$34,HY13&lt;&gt;""),AND(HZ13&gt;=IC$30,HZ13&lt;&gt;"",IB13&gt;=IC$34,IB13&lt;&gt;""),AND(IX13&gt;=JK$30,IX13&lt;&gt;"",IZ13&gt;=JK$34,IZ13&lt;&gt;""),AND(JA13&gt;=JK$30,JA13&lt;&gt;"",JC13&gt;=JK$34,JC13&lt;&gt;""),AND(JE13&gt;=JK$30,JE13&lt;&gt;"",JG13&gt;=JK$34,JG13&lt;&gt;""),AND(JH13&gt;=JK$30,JH13&lt;&gt;"",JJ13&gt;=JK$34,JJ13&lt;&gt;""),AND(KF13&gt;=KS$30,KF13&lt;&gt;"",KH13&gt;=KS$34,KH13&lt;&gt;""),AND(KI13&gt;=KS$30,KI13&lt;&gt;"",KK13&gt;=KS$34,KK13&lt;&gt;""),AND(KM13&gt;=KS$30,KM13&lt;&gt;"",KO13&gt;=KS$34,KO13&lt;&gt;""),AND(KP13&gt;=KS$30,KP13&lt;&gt;"",KR13&gt;=KS$34,KR13&lt;&gt;""),AND(LN13&gt;=MA$30,LN13&lt;&gt;"",LP13&gt;=MA$34,LP13&lt;&gt;""),AND(LQ13&gt;=MA$30,LQ13&lt;&gt;"",LS13&gt;=MA$34,LS13&lt;&gt;""),AND(LU13&gt;=MA$30,LU13&lt;&gt;"",LW13&gt;=MA$34,LW13&lt;&gt;""),AND(LX13&gt;=MA$30,LX13&lt;&gt;"",LZ13&gt;=MA$34,LZ13&lt;&gt;""),AND(MV13&gt;=NI$30,MV13&lt;&gt;"",MX13&gt;=NI$34,MX13&lt;&gt;""),AND(MY13&gt;=NI$30,MY13&lt;&gt;"",NA13&gt;=NI$34,NA13&lt;&gt;""),AND(NC13&gt;=NI$30,NC13&lt;&gt;"",NE13&gt;=NI$34,NE13&lt;&gt;""),AND(NF13&gt;=NI$30,NF13&lt;&gt;"",NH13&gt;=NI$34,NH13&lt;&gt;""),AND(OD13&gt;=OQ$30,OD13&lt;&gt;"",OF13&gt;=OQ$34,OF13&lt;&gt;""),AND(OG13&gt;=OQ$30,OG13&lt;&gt;"",OI13&gt;=OQ$34,OI13&lt;&gt;""),AND(OK13&gt;=OQ$30,OK13&lt;&gt;"",OM13&gt;=OQ$34,OM13&lt;&gt;""),AND(ON13&gt;=OQ$30,ON13&lt;&gt;"",OP13&gt;=OQ$34,OP13&lt;&gt;""),AND(PL13&gt;=PY$30,PL13&lt;&gt;"",PN13&gt;=PY$34,PN13&lt;&gt;""),AND(PO13&gt;=PY$30,PO13&lt;&gt;"",PQ13&gt;=PY$34,PQ13&lt;&gt;""),AND(PS13&gt;=PY$30,PS13&lt;&gt;"",PU13&gt;=PY$34,PU13&lt;&gt;""),AND(PV13&gt;=PY$30,PV13&lt;&gt;"",PX13&gt;=PY$34,PX13&lt;&gt;""),AND(QT13&gt;=RG$30,QT13&lt;&gt;"",QV13&gt;=RG$34,QV13&lt;&gt;""),AND(QW13&gt;=RG$30,QW13&lt;&gt;"",QY13&gt;=RG$34,QY13&lt;&gt;""),AND(RA13&gt;=RG$30,RA13&lt;&gt;"",RC13&gt;=RG$34,RC13&lt;&gt;""),AND(RD13&gt;=RG$30,RD13&lt;&gt;"",RF13&gt;=RG$34,RF13&lt;&gt;""),AND(SB13&gt;=SO$30,SB13&lt;&gt;"",SD13&gt;=SO$34,SD13&lt;&gt;""),AND(SE13&gt;=SO$30,SE13&lt;&gt;"",SG13&gt;=SO$34,SG13&lt;&gt;""),AND(SI13&gt;=SO$30,SI13&lt;&gt;"",SK13&gt;=SO$34,SK13&lt;&gt;""),AND(SL13&gt;=SO$30,SL13&lt;&gt;"",SN13&gt;=SO$34,SN13&lt;&gt;""),AND(TJ13&gt;=TW$30,TJ13&lt;&gt;"",TL13&gt;=TW$34,TL13&lt;&gt;""),AND(TM13&gt;=TW$30,TM13&lt;&gt;"",TO13&gt;=TW$34,TO13&lt;&gt;""),AND(TQ13&gt;=TW$30,TQ13&lt;&gt;"",TS13&gt;=TW$354,TXQ13&lt;&gt;""),AND(TT13&gt;=TW$30,TT13&lt;&gt;"",TV13&gt;=TW$34,TV13&lt;&gt;""),AND(UR13&gt;=VE$30,UR13&lt;&gt;"",UT13&gt;=VE$34,UT13&lt;&gt;""),AND(UU13&gt;=VE$30,UU13&lt;&gt;"",UW13&gt;=VE$34,UW13&lt;&gt;""),AND(UY13&gt;=VE$30,UY13&lt;&gt;"",VA13&gt;=VE$34,VA13&lt;&gt;""),AND(VB13&gt;=VE$30,VB13&lt;&gt;"",VD13&gt;=VE$34,VD13&lt;&gt;""),AND(VZ13&gt;=WM$30,VZ13&lt;&gt;"",WB13&gt;=WM$34,WB13&lt;&gt;""),AND(WC13&gt;=WM$30,WC13&lt;&gt;"",WE13&gt;=WM$34,WE13&lt;&gt;""),AND(WG13&gt;=WM$30,WG13&lt;&gt;"",WI13&gt;=WM$34,WI13&lt;&gt;""),AND(WJ13&gt;=WM$30,WJ13&lt;&gt;"",WL13&gt;=WM$34,WL13&lt;&gt;"")),"Merit",IF(OR(AND(AI13&gt;=AS$29,AI13&lt;&gt;"",AK13&gt;=AS$33,AK13&lt;&gt;"",AH13=""),AND(AL13&gt;=AS$29,AL13&lt;&gt;"",AN13&gt;=AS$33,AN13&lt;&gt;"",AH13=""),AND(AP13&gt;=AS$29,AP13&lt;&gt;"",AR13&gt;=AS$33,AR13&lt;&gt;"",AH13=""),AND(BJ13&gt;=BT$29,BJ13&lt;&gt;"",BL13&gt;=BT$33,BL13&lt;&gt;"",BI13=""),AND(BM13&gt;=BT$29,BM13&lt;&gt;"",BO13&gt;=BT$33,BO13&lt;&gt;"",BI13=""),AND(BQ13&gt;=BT$29,BQ13&lt;&gt;"",BS13&gt;=BT$33,BS13&lt;&gt;"",BI13=""),AND(CK13&gt;=CU$29,CK13&lt;&gt;"",CM13&gt;=CU$33,CM13&lt;&gt;"",CJ13=""),AND(CN13&gt;=CU$29,CN13&lt;&gt;"",CP13&gt;=CU$33,CP13&lt;&gt;"",CJ13=""),AND(CR13&gt;=CU$29,CR13&lt;&gt;"",CT13&gt;=CU$33,CT13&lt;&gt;"",CJ13=""),AND(DR13&gt;=EE$29,DR13&lt;&gt;"",DT13&gt;=EE$33,DT13&lt;&gt;""),AND(DU13&gt;=EE$29,DU13&lt;&gt;"",DW13&gt;=EE$33,DW13&lt;&gt;""),AND(DY13&gt;=EE$29,DY13&lt;&gt;"",EA13&gt;=EE$33,EA13&lt;&gt;""),AND(EB13&gt;=EE$29,EB13&lt;&gt;"",ED13&gt;=EE$33,ED13&lt;&gt;""),AND(EZ13&gt;=FM$29,EZ13&lt;&gt;"",FB13&gt;=FM$33,FB13&lt;&gt;""),AND(FC13&gt;=FM$29,FC13&lt;&gt;"",FE13&gt;=FM$33,FE13&lt;&gt;""),AND(FG13&gt;=FM$29,FG13&lt;&gt;"",FI13&gt;=FM$33,FI13&lt;&gt;""),AND(FJ13&gt;=FM$29,FJ13&lt;&gt;"",FL13&gt;=FM$33,FL13&lt;&gt;""),AND(GH13&gt;=GU$29,GH13&lt;&gt;"",GJ13&gt;=GU$33,GJ13&lt;&gt;""),AND(GK13&gt;=GU$29,GK13&lt;&gt;"",GM13&gt;=GU$33,GM13&lt;&gt;""),AND(GO13&gt;=GU$29,GO13&lt;&gt;"",GQ13&gt;=GU$33,GQ13&lt;&gt;""),AND(GR13&gt;=GU$29,GR13&lt;&gt;"",GT13&gt;=GU$33,GT13&lt;&gt;""),AND(HP13&gt;=IC$29,HP13&lt;&gt;"",HR13&gt;=IC$33,HR13&lt;&gt;""),AND(HS13&gt;=IC$29,HS13&lt;&gt;"",HU13&gt;=IC$33,HU13&lt;&gt;""),AND(HW13&gt;=IC$29,HW13&lt;&gt;"",HY13&gt;=IC$33,HY13&lt;&gt;""),AND(HZ13&gt;=IC$29,HZ13&lt;&gt;"",IB13&gt;=IC$33,IB13&lt;&gt;""),AND(IX13&gt;=JK$29,IX13&lt;&gt;"",IZ13&gt;=JK$33,IZ13&lt;&gt;""),AND(JA13&gt;=JK$29,JA13&lt;&gt;"",JC13&gt;=JK$33,JC13&lt;&gt;""),AND(JE13&gt;=JK$29,JE13&lt;&gt;"",JG13&gt;=JK$33,JG13&lt;&gt;""),AND(JH13&gt;=JK$29,JH13&lt;&gt;"",JJ13&gt;=JK$33,JJ13&lt;&gt;""),AND(KF13&gt;=KS$29,KF13&lt;&gt;"",KH13&gt;=KS$33,KH13&lt;&gt;""),AND(KI13&gt;=KS$29,KI13&lt;&gt;"",KK13&gt;=KS$33,KK13&lt;&gt;""),AND(KM13&gt;=KS$29,KM13&lt;&gt;"",KO13&gt;=KS$33,KO13&lt;&gt;""),AND(KP13&gt;=KS$29,KP13&lt;&gt;"",KR13&gt;=KS$33,KR13&lt;&gt;""),AND(LN13&gt;=MA$29,LN13&lt;&gt;"",LP13&gt;=MA$33,LP13&lt;&gt;""),AND(LQ13&gt;=MA$29,LQ13&lt;&gt;"",LS13&gt;=MA$33,LS13&lt;&gt;""),AND(LU13&gt;=MA$29,LU13&lt;&gt;"",LW13&gt;=MA$33,LW13&lt;&gt;""),AND(LX13&gt;=MA$29,LX13&lt;&gt;"",LZ13&gt;=MA$33,LZ13&lt;&gt;""),AND(MV13&gt;=NI$29,MV13&lt;&gt;"",MX13&gt;=NI$33,MX13&lt;&gt;""),AND(MY13&gt;=NI$29,MY13&lt;&gt;"",NA13&gt;=NI$33,NA13&lt;&gt;""),AND(NC13&gt;=NI$29,NC13&lt;&gt;"",NE13&gt;=NI$33,NE13&lt;&gt;""),AND(NF13&gt;=NI$29,NF13&lt;&gt;"",NH13&gt;=NI$33,NH13&lt;&gt;""),AND(OD13&gt;=OQ$29,OD13&lt;&gt;"",OF13&gt;=OQ$33,OF13&lt;&gt;""),AND(OG13&gt;=OQ$29,OG13&lt;&gt;"",OI13&gt;=OQ$33,OI13&lt;&gt;""),AND(OK13&gt;=OQ$29,OK13&lt;&gt;"",OM13&gt;=OQ$33,OM13&lt;&gt;""),AND(ON13&gt;=OQ$29,ON13&lt;&gt;"",OP13&gt;=OQ$33,OP13&lt;&gt;""),AND(PL13&gt;=PY$29,PL13&lt;&gt;"",PN13&gt;=PY$33,PN13&lt;&gt;""),AND(PO13&gt;=PY$29,PO13&lt;&gt;"",PQ13&gt;=PY$33,PQ13&lt;&gt;""),AND(PS13&gt;=PY$29,PS13&lt;&gt;"",PU13&gt;=PY$33,PU13&lt;&gt;""),AND(PV13&gt;=PY$29,PV13&lt;&gt;"",PX13&gt;=PY$33,PX13&lt;&gt;""),AND(QT13&gt;=RG$29,QT13&lt;&gt;"",QV13&gt;=RG$33,QV13&lt;&gt;""),AND(QW13&gt;=RG$29,QW13&lt;&gt;"",QY13&gt;=RG$33,QY13&lt;&gt;""),AND(RA13&gt;=RG$29,RA13&lt;&gt;"",RC13&gt;=RG$33,RC13&lt;&gt;""),AND(RD13&gt;=RG$29,RD13&lt;&gt;"",RF13&gt;=RG$33,RF13&lt;&gt;""),AND(SB13&gt;=SO$29,SB13&lt;&gt;"",SD13&gt;=SO$33,SD13&lt;&gt;""),AND(SE13&gt;=SO$29,SE13&lt;&gt;"",SG13&gt;=SO$33,SG13&lt;&gt;""),AND(SI13&gt;=SO$29,SI13&lt;&gt;"",SK13&gt;=SO$33,SK13&lt;&gt;""),AND(SL13&gt;=SO$29,SL13&lt;&gt;"",SN13&gt;=SO$33,SN13&lt;&gt;""),AND(TJ13&gt;=TW$29,TJ13&lt;&gt;"",TL13&gt;=TW$33,TL13&lt;&gt;""),AND(TM13&gt;=TW$29,TM13&lt;&gt;"",TO13&gt;=TW$33,TO13&lt;&gt;""),AND(TQ13&gt;=TW$29,TQ13&lt;&gt;"",TS13&gt;=TW$33,TXQ13&lt;&gt;""),AND(TT13&gt;=TW$29,TT13&lt;&gt;"",TV13&gt;=TW$33,TV13&lt;&gt;""),AND(UR13&gt;=VE$29,UR13&lt;&gt;"",UT13&gt;=VE$33,UT13&lt;&gt;""),AND(UU13&gt;=VE$29,UU13&lt;&gt;"",UW13&gt;=VE$33,UW13&lt;&gt;""),AND(UY13&gt;=VE$29,UY13&lt;&gt;"",VA13&gt;=VE$33,VA13&lt;&gt;""),AND(VB13&gt;=VE$29,VB13&lt;&gt;"",VD13&gt;=VE$33,VD13&lt;&gt;""),AND(VZ13&gt;=WM$29,VZ13&lt;&gt;"",WB13&gt;=WM$33,WB13&lt;&gt;""),AND(WC13&gt;=WM$29,WC13&lt;&gt;"",WE13&gt;=WM$33,WE13&lt;&gt;""),AND(WG13&gt;=WM$29,WG13&lt;&gt;"",WI13&gt;=WM$33,WI13&lt;&gt;""),AND(WJ13&gt;=WM$29,WJ13&lt;&gt;"",WL13&gt;=WM$33,WL13&lt;&gt;"")),"Excellence",IF(I13="P","Worlds Team",IF(F13="P","National Team","")))))</f>
        <v/>
      </c>
      <c r="I13" s="3" t="str">
        <f>IF(OR(AND(AI13&gt;=AS$28,AI13&lt;&gt;"",AK13&gt;=AS$32,AK13&lt;&gt;"",AH13=""),AND(AL13&gt;=AS$28,AL13&lt;&gt;"",AN13&gt;=AS$32,AN13&lt;&gt;"",AH13=""),AND(AP13&gt;=AS$28,AP13&lt;&gt;"",AR13&gt;=AS$32,AR13&lt;&gt;"",AH13=""),AND(BJ13&gt;=BT$28,BJ13&lt;&gt;"",BL13&gt;=BT$32,BL13&lt;&gt;"",BI13=""),AND(BM13&gt;=BT$28,BM13&lt;&gt;"",BO13&gt;=BT$32,BO13&lt;&gt;"",BI13=""),AND(BQ13&gt;=BT$28,BQ13&lt;&gt;"",BS13&gt;=BT$32,BS13&lt;&gt;"",BI13=""),AND(CK13&gt;=CU$28,CK13&lt;&gt;"",CM13&gt;=CU$32,CM13&lt;&gt;"",CJ13=""),AND(CN13&gt;=CU$28,CN13&lt;&gt;"",CP13&gt;=CU$32,CP13&lt;&gt;"",CJ13=""),AND(CR13&gt;=CU$28,CR13&lt;&gt;"",CT13&gt;=CU$32,CT13&lt;&gt;"",CJ13=""),AND(DR13&gt;=EE$28,DR13&lt;&gt;"",DT13&gt;=EE$32,DT13&lt;&gt;""),AND(DU13&gt;=EE$28,DU13&lt;&gt;"",DW13&gt;=EE$32,DW13&lt;&gt;""),AND(DY13&gt;=EE$28,DY13&lt;&gt;"",EA13&gt;=EE$32,EA13&lt;&gt;""),AND(EB13&gt;=EE$28,EB13&lt;&gt;"",ED13&gt;=EE$32,ED13&lt;&gt;""),AND(EZ13&gt;=FM$28,EZ13&lt;&gt;"",FB13&gt;=FM$32,FB13&lt;&gt;""),AND(FC13&gt;=FM$28,FC13&lt;&gt;"",FE13&gt;=FM$32,FE13&lt;&gt;""),AND(FG13&gt;=FM$28,FG13&lt;&gt;"",FI13&gt;=FM$32,FI13&lt;&gt;""),AND(FJ13&gt;=FM$28,FJ13&lt;&gt;"",FL13&gt;=FM$32,FL13&lt;&gt;""),AND(GH13&gt;=GU$28,GH13&lt;&gt;"",GJ13&gt;=GU$32,GJ13&lt;&gt;""),AND(GK13&gt;=GU$28,GK13&lt;&gt;"",GM13&gt;=GU$32,GM13&lt;&gt;""),AND(GO13&gt;=GU$28,GO13&lt;&gt;"",GQ13&gt;=GU$32,GQ13&lt;&gt;""),AND(GR13&gt;=GU$28,GR13&lt;&gt;"",GT13&gt;=GU$32,GT13&lt;&gt;""),AND(HP13&gt;=IC$28,HP13&lt;&gt;"",HR13&gt;=IC$32,HR13&lt;&gt;""),AND(HS13&gt;=IC$28,HS13&lt;&gt;"",HU13&gt;=IC$32,HU13&lt;&gt;""),AND(HW13&gt;=IC$28,HW13&lt;&gt;"",HY13&gt;=IC$32,HY13&lt;&gt;""),AND(HZ13&gt;=IC$28,HZ13&lt;&gt;"",IB13&gt;=IC$32,IB13&lt;&gt;""),AND(IX13&gt;=JK$28,IX13&lt;&gt;"",IZ13&gt;=JK$32,IZ13&lt;&gt;""),AND(JA13&gt;=JK$28,JA13&lt;&gt;"",JC13&gt;=JK$32,JC13&lt;&gt;""),AND(JE13&gt;=JK$28,JE13&lt;&gt;"",JG13&gt;=JK$32,JG13&lt;&gt;""),AND(JH13&gt;=JK$28,JH13&lt;&gt;"",JJ13&gt;=JK$32,JJ13&lt;&gt;""),AND(KF13&gt;=KS$28,KF13&lt;&gt;"",KH13&gt;=KS$32,KH13&lt;&gt;""),AND(KI13&gt;=KS$28,KI13&lt;&gt;"",KK13&gt;=KS$32,KK13&lt;&gt;""),AND(KM13&gt;=KS$28,KM13&lt;&gt;"",KO13&gt;=KS$32,KO13&lt;&gt;""),AND(KP13&gt;=KS$28,KP13&lt;&gt;"",KR13&gt;=KS$32,KR13&lt;&gt;""),AND(LN13&gt;=MA$28,LN13&lt;&gt;"",LP13&gt;=MA$32,LP13&lt;&gt;""),AND(LQ13&gt;=MA$28,LQ13&lt;&gt;"",LS13&gt;=MA$32,LS13&lt;&gt;""),AND(LU13&gt;=MA$28,LU13&lt;&gt;"",LW13&gt;=MA$32,LW13&lt;&gt;""),AND(LX13&gt;=MA$28,LX13&lt;&gt;"",LZ13&gt;=MA$32,LZ13&lt;&gt;""),AND(MV13&gt;=NI$28,MV13&lt;&gt;"",MX13&gt;=NI$32,MX13&lt;&gt;""),AND(MY13&gt;=NI$28,MY13&lt;&gt;"",NA13&gt;=NI$32,NA13&lt;&gt;""),AND(NC13&gt;=NI$28,NC13&lt;&gt;"",NE13&gt;=NI$32,NE13&lt;&gt;""),AND(NF13&gt;=NI$28,NF13&lt;&gt;"",NH13&gt;=NI$32,NH13&lt;&gt;""),AND(OD13&gt;=OQ$28,OD13&lt;&gt;"",OF13&gt;=OQ$32,OF13&lt;&gt;""),AND(OG13&gt;=OQ$28,OG13&lt;&gt;"",OI13&gt;=OQ$32,OI13&lt;&gt;""),AND(OK13&gt;=OQ$28,OK13&lt;&gt;"",OM13&gt;=OQ$32,OM13&lt;&gt;""),AND(ON13&gt;=OQ$28,ON13&lt;&gt;"",OP13&gt;=OQ$32,OP13&lt;&gt;""),AND(PL13&gt;=PY$28,PL13&lt;&gt;"",PN13&gt;=PY$32,PN13&lt;&gt;""),AND(PO13&gt;=PY$28,PO13&lt;&gt;"",PQ13&gt;=PY$32,PQ13&lt;&gt;""),AND(PS13&gt;=PY$28,PS13&lt;&gt;"",PU13&gt;=PY$32,PU13&lt;&gt;""),AND(PV13&gt;=PY$28,PV13&lt;&gt;"",PX13&gt;=PY$32,PX13&lt;&gt;""),AND(QT13&gt;=RG$28,QT13&lt;&gt;"",QV13&gt;=RG$32,QV13&lt;&gt;""),AND(QW13&gt;=RG$28,QW13&lt;&gt;"",QY13&gt;=RG$32,QY13&lt;&gt;""),AND(RA13&gt;=RG$28,RA13&lt;&gt;"",RC13&gt;=RG$32,RC13&lt;&gt;""),AND(RD13&gt;=RG$28,RD13&lt;&gt;"",RF13&gt;=RG$32,RF13&lt;&gt;""),AND(SB13&gt;=SO$28,SB13&lt;&gt;"",SD13&gt;=SO$32,SD13&lt;&gt;""),AND(SE13&gt;=SO$28,SE13&lt;&gt;"",SG13&gt;=SO$32,SG13&lt;&gt;""),AND(SI13&gt;=SO$28,SI13&lt;&gt;"",SK13&gt;=SO$32,SK13&lt;&gt;""),AND(SL13&gt;=SO$28,SL13&lt;&gt;"",SN13&gt;=SO$32,SN13&lt;&gt;""),AND(TJ13&gt;=TW$28,TJ13&lt;&gt;"",TL13&gt;=TW$32,TL13&lt;&gt;""),AND(TM13&gt;=TW$28,TM13&lt;&gt;"",TO13&gt;=TW$32,TO13&lt;&gt;""),AND(TQ13&gt;=TW$28,TQ13&lt;&gt;"",TS13&gt;=TW$32,TXQ13&lt;&gt;""),AND(TT13&gt;=TW$28,TT13&lt;&gt;"",TV13&gt;=TW$32,TV13&lt;&gt;""),AND(UR13&gt;=VE$28,UR13&lt;&gt;"",UT13&gt;=VE$32,UT13&lt;&gt;""),AND(UU13&gt;=VE$28,UU13&lt;&gt;"",UW13&gt;=VE$32,UW13&lt;&gt;""),AND(UY13&gt;=VE$28,UY13&lt;&gt;"",VA13&gt;=VE$32,VA13&lt;&gt;""),AND(VB13&gt;=VE$28,VB13&lt;&gt;"",VD13&gt;=VE$32,VD13&lt;&gt;""),AND(VZ13&gt;=WM$28,VZ13&lt;&gt;"",WB13&gt;=WM$32,WB13&lt;&gt;""),AND(WC13&gt;=WM$28,WC13&lt;&gt;"",WE13&gt;=WM$32,WE13&lt;&gt;""),AND(WG13&gt;=WM$28,WG13&lt;&gt;"",WI13&gt;=WM$32,WI13&lt;&gt;""),AND(WJ13&gt;=WM$28,WJ13&lt;&gt;"",WL13&gt;=WM$32,WL13&lt;&gt;"")),"P","")</f>
        <v/>
      </c>
      <c r="J13" s="8">
        <f t="shared" si="1"/>
        <v>55.36</v>
      </c>
      <c r="K13" s="8" t="str">
        <f t="shared" si="2"/>
        <v>2026 Elite Canada</v>
      </c>
      <c r="L13" s="8">
        <f>IFERROR(IF(J13=AR13,LARGE((AK13,AN13,BL13,BO13,BS13,CM13,CP13,CT13),1),IF(J13=BS13,LARGE((AK13,AN13,AR13,BL13,BO13,CM13,CP13,CT13),1),LARGE((AK13,AN13,AR13,BL13,BO13,BS13,CM13,CP13),1))),0)</f>
        <v>53.38000000000001</v>
      </c>
      <c r="M13" s="8" t="str">
        <f t="shared" si="3"/>
        <v>2025 Nationals</v>
      </c>
      <c r="N13" s="8">
        <f>IFERROR(IF(J13=AR13,LARGE((AK13,AN13,BL13,BO13,BS13,CM13,CP13,CT13),2),IF(J13=BS13,LARGE((AK13,AN13,AR13,BL13,BO13,CM13,CP13,CT13),2),LARGE((AK13,AN13,AR13,BL13,BO13,BS13,CM13,CP13),2))),0)</f>
        <v>52.78</v>
      </c>
      <c r="O13" s="8" t="str">
        <f t="shared" si="4"/>
        <v>2026 Elite Canada</v>
      </c>
      <c r="P13" s="8">
        <f t="shared" si="5"/>
        <v>0</v>
      </c>
      <c r="Q13" s="11" t="str">
        <f t="shared" si="6"/>
        <v/>
      </c>
      <c r="R13" s="8" t="str">
        <f t="shared" si="7"/>
        <v/>
      </c>
      <c r="S13" s="18">
        <v>10.1</v>
      </c>
      <c r="T13" s="18">
        <v>7.7</v>
      </c>
      <c r="U13" s="18">
        <v>12.6</v>
      </c>
      <c r="V13" s="18">
        <v>13.81</v>
      </c>
      <c r="W13" s="18">
        <v>0</v>
      </c>
      <c r="X13" s="18">
        <v>13.1</v>
      </c>
      <c r="Y13" s="18">
        <v>9</v>
      </c>
      <c r="Z13" s="18">
        <v>14.7</v>
      </c>
      <c r="AA13" s="18">
        <v>15.69</v>
      </c>
      <c r="AB13" s="18">
        <v>0</v>
      </c>
      <c r="AC13" s="18">
        <v>14.4</v>
      </c>
      <c r="AD13" s="18">
        <v>8.8000000000000007</v>
      </c>
      <c r="AE13" s="18">
        <v>14.7</v>
      </c>
      <c r="AF13" s="18">
        <v>15.48</v>
      </c>
      <c r="AG13" s="18">
        <v>0</v>
      </c>
      <c r="AH13" s="23"/>
      <c r="AI13" s="34">
        <f t="shared" si="8"/>
        <v>12.6</v>
      </c>
      <c r="AJ13" s="34">
        <f t="shared" si="9"/>
        <v>13.81</v>
      </c>
      <c r="AK13" s="36">
        <f t="shared" si="10"/>
        <v>44.21</v>
      </c>
      <c r="AL13" s="36">
        <f t="shared" si="11"/>
        <v>14.7</v>
      </c>
      <c r="AM13" s="36">
        <f t="shared" si="12"/>
        <v>15.69</v>
      </c>
      <c r="AN13" s="36">
        <f t="shared" si="13"/>
        <v>52.489999999999995</v>
      </c>
      <c r="AO13" s="36">
        <f t="shared" si="14"/>
        <v>52.489999999999995</v>
      </c>
      <c r="AP13" s="36">
        <f t="shared" si="15"/>
        <v>14.7</v>
      </c>
      <c r="AQ13" s="36">
        <f t="shared" si="16"/>
        <v>15.48</v>
      </c>
      <c r="AR13" s="36">
        <f t="shared" si="17"/>
        <v>53.38000000000001</v>
      </c>
      <c r="AS13" s="36">
        <f t="shared" si="18"/>
        <v>105.87</v>
      </c>
      <c r="AT13" s="22">
        <v>11.3</v>
      </c>
      <c r="AU13" s="22">
        <v>9.4</v>
      </c>
      <c r="AV13" s="22">
        <v>14.4</v>
      </c>
      <c r="AW13" s="22">
        <v>15.17</v>
      </c>
      <c r="AX13" s="22">
        <v>0.1</v>
      </c>
      <c r="AY13" s="22">
        <v>1.4</v>
      </c>
      <c r="AZ13" s="22">
        <v>1</v>
      </c>
      <c r="BA13" s="22">
        <v>2</v>
      </c>
      <c r="BB13" s="22">
        <v>1.67</v>
      </c>
      <c r="BC13" s="22">
        <v>0</v>
      </c>
      <c r="BD13" s="22">
        <v>13</v>
      </c>
      <c r="BE13" s="22">
        <v>9</v>
      </c>
      <c r="BF13" s="22">
        <v>14.3</v>
      </c>
      <c r="BG13" s="22">
        <v>14.86</v>
      </c>
      <c r="BH13" s="22">
        <v>0.2</v>
      </c>
      <c r="BI13" s="24"/>
      <c r="BJ13" s="35">
        <f t="shared" si="19"/>
        <v>14.4</v>
      </c>
      <c r="BK13" s="35">
        <f t="shared" si="20"/>
        <v>15.17</v>
      </c>
      <c r="BL13" s="11">
        <f t="shared" si="21"/>
        <v>50.17</v>
      </c>
      <c r="BM13" s="11">
        <f t="shared" si="22"/>
        <v>2</v>
      </c>
      <c r="BN13" s="11">
        <f t="shared" si="23"/>
        <v>1.67</v>
      </c>
      <c r="BO13" s="11">
        <f t="shared" si="24"/>
        <v>6.07</v>
      </c>
      <c r="BP13" s="11">
        <f t="shared" si="25"/>
        <v>50.17</v>
      </c>
      <c r="BQ13" s="11">
        <f t="shared" si="26"/>
        <v>14.3</v>
      </c>
      <c r="BR13" s="11">
        <f t="shared" si="27"/>
        <v>14.86</v>
      </c>
      <c r="BS13" s="11">
        <f t="shared" si="28"/>
        <v>50.959999999999994</v>
      </c>
      <c r="BT13" s="11">
        <f t="shared" si="29"/>
        <v>101.13</v>
      </c>
      <c r="BU13" s="18">
        <v>11.1</v>
      </c>
      <c r="BV13" s="18">
        <v>8</v>
      </c>
      <c r="BW13" s="18">
        <v>12.6</v>
      </c>
      <c r="BX13" s="18">
        <v>14.25</v>
      </c>
      <c r="BY13" s="18">
        <v>0</v>
      </c>
      <c r="BZ13" s="18">
        <v>13</v>
      </c>
      <c r="CA13" s="18">
        <v>9.6</v>
      </c>
      <c r="CB13" s="18">
        <v>14.7</v>
      </c>
      <c r="CC13" s="18">
        <v>15.48</v>
      </c>
      <c r="CD13" s="18">
        <v>0</v>
      </c>
      <c r="CE13" s="18">
        <v>14.6</v>
      </c>
      <c r="CF13" s="18">
        <v>9.6</v>
      </c>
      <c r="CG13" s="18">
        <v>15.3</v>
      </c>
      <c r="CH13" s="18">
        <v>15.86</v>
      </c>
      <c r="CI13" s="18">
        <v>0</v>
      </c>
      <c r="CJ13" s="23"/>
      <c r="CK13" s="34">
        <f t="shared" si="30"/>
        <v>12.6</v>
      </c>
      <c r="CL13" s="34">
        <f t="shared" si="31"/>
        <v>14.25</v>
      </c>
      <c r="CM13" s="36">
        <f t="shared" si="32"/>
        <v>45.95</v>
      </c>
      <c r="CN13" s="36">
        <f t="shared" si="33"/>
        <v>14.7</v>
      </c>
      <c r="CO13" s="36">
        <f t="shared" si="34"/>
        <v>15.48</v>
      </c>
      <c r="CP13" s="36">
        <f t="shared" si="35"/>
        <v>52.78</v>
      </c>
      <c r="CQ13" s="36">
        <f t="shared" si="36"/>
        <v>52.78</v>
      </c>
      <c r="CR13" s="36">
        <f t="shared" si="37"/>
        <v>15.3</v>
      </c>
      <c r="CS13" s="36">
        <f t="shared" si="38"/>
        <v>15.86</v>
      </c>
      <c r="CT13" s="36">
        <f t="shared" si="39"/>
        <v>55.36</v>
      </c>
      <c r="CU13" s="36">
        <f t="shared" si="40"/>
        <v>108.14</v>
      </c>
      <c r="CV13" s="47" t="str">
        <f t="shared" si="41"/>
        <v/>
      </c>
      <c r="CW13" s="47" t="str">
        <f t="shared" si="42"/>
        <v/>
      </c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36" t="str">
        <f t="shared" si="43"/>
        <v/>
      </c>
      <c r="DS13" s="36" t="str">
        <f t="shared" si="44"/>
        <v/>
      </c>
      <c r="DT13" s="36" t="str">
        <f t="shared" si="45"/>
        <v/>
      </c>
      <c r="DU13" s="36" t="str">
        <f t="shared" si="46"/>
        <v/>
      </c>
      <c r="DV13" s="36" t="str">
        <f t="shared" si="47"/>
        <v/>
      </c>
      <c r="DW13" s="36" t="str">
        <f t="shared" si="48"/>
        <v/>
      </c>
      <c r="DX13" s="36" t="str">
        <f t="shared" si="49"/>
        <v/>
      </c>
      <c r="DY13" s="36" t="str">
        <f t="shared" si="50"/>
        <v/>
      </c>
      <c r="DZ13" s="36" t="str">
        <f t="shared" si="51"/>
        <v/>
      </c>
      <c r="EA13" s="36" t="str">
        <f t="shared" si="52"/>
        <v/>
      </c>
      <c r="EB13" s="36" t="str">
        <f t="shared" si="53"/>
        <v/>
      </c>
      <c r="EC13" s="36" t="str">
        <f t="shared" si="54"/>
        <v/>
      </c>
      <c r="ED13" s="36" t="str">
        <f t="shared" si="55"/>
        <v/>
      </c>
      <c r="EE13" s="36" t="str">
        <f t="shared" si="56"/>
        <v/>
      </c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1" t="str">
        <f t="shared" si="57"/>
        <v/>
      </c>
      <c r="FA13" s="11" t="str">
        <f t="shared" si="58"/>
        <v/>
      </c>
      <c r="FB13" s="11" t="str">
        <f t="shared" si="59"/>
        <v/>
      </c>
      <c r="FC13" s="11" t="str">
        <f t="shared" si="60"/>
        <v/>
      </c>
      <c r="FD13" s="11" t="str">
        <f t="shared" si="61"/>
        <v/>
      </c>
      <c r="FE13" s="11" t="str">
        <f t="shared" si="62"/>
        <v/>
      </c>
      <c r="FF13" s="11" t="str">
        <f t="shared" si="63"/>
        <v/>
      </c>
      <c r="FG13" s="11" t="str">
        <f t="shared" si="64"/>
        <v/>
      </c>
      <c r="FH13" s="11" t="str">
        <f t="shared" si="65"/>
        <v/>
      </c>
      <c r="FI13" s="11" t="str">
        <f t="shared" si="66"/>
        <v/>
      </c>
      <c r="FJ13" s="11" t="str">
        <f t="shared" si="67"/>
        <v/>
      </c>
      <c r="FK13" s="11" t="str">
        <f t="shared" si="68"/>
        <v/>
      </c>
      <c r="FL13" s="11" t="str">
        <f t="shared" si="69"/>
        <v/>
      </c>
      <c r="FM13" s="11" t="str">
        <f t="shared" si="70"/>
        <v/>
      </c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36" t="str">
        <f t="shared" si="71"/>
        <v/>
      </c>
      <c r="GI13" s="36" t="str">
        <f t="shared" si="72"/>
        <v/>
      </c>
      <c r="GJ13" s="36" t="str">
        <f t="shared" si="73"/>
        <v/>
      </c>
      <c r="GK13" s="36" t="str">
        <f t="shared" si="74"/>
        <v/>
      </c>
      <c r="GL13" s="36" t="str">
        <f t="shared" si="75"/>
        <v/>
      </c>
      <c r="GM13" s="36" t="str">
        <f t="shared" si="76"/>
        <v/>
      </c>
      <c r="GN13" s="36" t="str">
        <f t="shared" si="77"/>
        <v/>
      </c>
      <c r="GO13" s="36" t="str">
        <f t="shared" si="78"/>
        <v/>
      </c>
      <c r="GP13" s="36" t="str">
        <f t="shared" si="79"/>
        <v/>
      </c>
      <c r="GQ13" s="36" t="str">
        <f t="shared" si="80"/>
        <v/>
      </c>
      <c r="GR13" s="36" t="str">
        <f t="shared" si="81"/>
        <v/>
      </c>
      <c r="GS13" s="36" t="str">
        <f t="shared" si="82"/>
        <v/>
      </c>
      <c r="GT13" s="36" t="str">
        <f t="shared" si="83"/>
        <v/>
      </c>
      <c r="GU13" s="36" t="str">
        <f t="shared" si="84"/>
        <v/>
      </c>
      <c r="GV13" s="16">
        <v>11.3</v>
      </c>
      <c r="GW13" s="16">
        <v>8.8000000000000007</v>
      </c>
      <c r="GX13" s="16">
        <v>14.7</v>
      </c>
      <c r="GY13" s="16">
        <v>15.45</v>
      </c>
      <c r="GZ13" s="16">
        <v>0</v>
      </c>
      <c r="HA13" s="16">
        <v>11.9</v>
      </c>
      <c r="HB13" s="16">
        <v>9.1999999999999993</v>
      </c>
      <c r="HC13" s="16">
        <v>15.3</v>
      </c>
      <c r="HD13" s="16">
        <v>15.51</v>
      </c>
      <c r="HE13" s="16">
        <v>0</v>
      </c>
      <c r="HF13" s="16">
        <v>6.4</v>
      </c>
      <c r="HG13" s="16">
        <v>4.4000000000000004</v>
      </c>
      <c r="HH13" s="16">
        <v>8</v>
      </c>
      <c r="HI13" s="16">
        <v>8.09</v>
      </c>
      <c r="HJ13" s="16">
        <v>0.2</v>
      </c>
      <c r="HK13" s="16"/>
      <c r="HL13" s="16"/>
      <c r="HM13" s="16"/>
      <c r="HN13" s="16"/>
      <c r="HO13" s="16"/>
      <c r="HP13" s="11">
        <f t="shared" si="85"/>
        <v>14.7</v>
      </c>
      <c r="HQ13" s="11">
        <f t="shared" si="86"/>
        <v>15.45</v>
      </c>
      <c r="HR13" s="11">
        <f t="shared" si="87"/>
        <v>50.25</v>
      </c>
      <c r="HS13" s="11">
        <f t="shared" si="88"/>
        <v>15.3</v>
      </c>
      <c r="HT13" s="11">
        <f t="shared" si="89"/>
        <v>15.51</v>
      </c>
      <c r="HU13" s="11">
        <f t="shared" si="90"/>
        <v>51.910000000000004</v>
      </c>
      <c r="HV13" s="11">
        <f t="shared" si="91"/>
        <v>51.910000000000004</v>
      </c>
      <c r="HW13" s="11">
        <f t="shared" si="92"/>
        <v>8</v>
      </c>
      <c r="HX13" s="11">
        <f t="shared" si="93"/>
        <v>8.09</v>
      </c>
      <c r="HY13" s="11">
        <f t="shared" si="94"/>
        <v>26.69</v>
      </c>
      <c r="HZ13" s="11" t="str">
        <f t="shared" si="95"/>
        <v/>
      </c>
      <c r="IA13" s="11" t="str">
        <f t="shared" si="96"/>
        <v/>
      </c>
      <c r="IB13" s="11" t="str">
        <f t="shared" si="97"/>
        <v/>
      </c>
      <c r="IC13" s="11">
        <f t="shared" si="98"/>
        <v>78.600000000000009</v>
      </c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36" t="str">
        <f t="shared" si="99"/>
        <v/>
      </c>
      <c r="IY13" s="36" t="str">
        <f t="shared" si="100"/>
        <v/>
      </c>
      <c r="IZ13" s="36" t="str">
        <f t="shared" si="101"/>
        <v/>
      </c>
      <c r="JA13" s="36" t="str">
        <f t="shared" si="102"/>
        <v/>
      </c>
      <c r="JB13" s="36" t="str">
        <f t="shared" si="103"/>
        <v/>
      </c>
      <c r="JC13" s="36" t="str">
        <f t="shared" si="104"/>
        <v/>
      </c>
      <c r="JD13" s="36" t="str">
        <f t="shared" si="105"/>
        <v/>
      </c>
      <c r="JE13" s="36" t="str">
        <f t="shared" si="106"/>
        <v/>
      </c>
      <c r="JF13" s="36" t="str">
        <f t="shared" si="107"/>
        <v/>
      </c>
      <c r="JG13" s="36" t="str">
        <f t="shared" si="108"/>
        <v/>
      </c>
      <c r="JH13" s="36" t="str">
        <f t="shared" si="109"/>
        <v/>
      </c>
      <c r="JI13" s="36" t="str">
        <f t="shared" si="110"/>
        <v/>
      </c>
      <c r="JJ13" s="36" t="str">
        <f t="shared" si="111"/>
        <v/>
      </c>
      <c r="JK13" s="36" t="str">
        <f t="shared" si="112"/>
        <v/>
      </c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6"/>
      <c r="KD13" s="16"/>
      <c r="KE13" s="16"/>
      <c r="KF13" s="11" t="str">
        <f t="shared" si="113"/>
        <v/>
      </c>
      <c r="KG13" s="11" t="str">
        <f t="shared" si="114"/>
        <v/>
      </c>
      <c r="KH13" s="11" t="str">
        <f t="shared" si="115"/>
        <v/>
      </c>
      <c r="KI13" s="11" t="str">
        <f t="shared" si="116"/>
        <v/>
      </c>
      <c r="KJ13" s="11" t="str">
        <f t="shared" si="117"/>
        <v/>
      </c>
      <c r="KK13" s="11" t="str">
        <f t="shared" si="118"/>
        <v/>
      </c>
      <c r="KL13" s="11" t="str">
        <f t="shared" si="119"/>
        <v/>
      </c>
      <c r="KM13" s="11" t="str">
        <f t="shared" si="120"/>
        <v/>
      </c>
      <c r="KN13" s="11" t="str">
        <f t="shared" si="121"/>
        <v/>
      </c>
      <c r="KO13" s="11" t="str">
        <f t="shared" si="122"/>
        <v/>
      </c>
      <c r="KP13" s="11" t="str">
        <f t="shared" si="123"/>
        <v/>
      </c>
      <c r="KQ13" s="11" t="str">
        <f t="shared" si="124"/>
        <v/>
      </c>
      <c r="KR13" s="11" t="str">
        <f t="shared" si="125"/>
        <v/>
      </c>
      <c r="KS13" s="11" t="str">
        <f t="shared" si="126"/>
        <v/>
      </c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36" t="str">
        <f t="shared" si="127"/>
        <v/>
      </c>
      <c r="LO13" s="36" t="str">
        <f t="shared" si="128"/>
        <v/>
      </c>
      <c r="LP13" s="36" t="str">
        <f t="shared" si="129"/>
        <v/>
      </c>
      <c r="LQ13" s="36" t="str">
        <f t="shared" si="130"/>
        <v/>
      </c>
      <c r="LR13" s="36" t="str">
        <f t="shared" si="131"/>
        <v/>
      </c>
      <c r="LS13" s="36" t="str">
        <f t="shared" si="132"/>
        <v/>
      </c>
      <c r="LT13" s="36" t="str">
        <f t="shared" si="133"/>
        <v/>
      </c>
      <c r="LU13" s="36" t="str">
        <f t="shared" si="134"/>
        <v/>
      </c>
      <c r="LV13" s="36" t="str">
        <f t="shared" si="135"/>
        <v/>
      </c>
      <c r="LW13" s="36" t="str">
        <f t="shared" si="136"/>
        <v/>
      </c>
      <c r="LX13" s="36" t="str">
        <f t="shared" si="137"/>
        <v/>
      </c>
      <c r="LY13" s="36" t="str">
        <f t="shared" si="138"/>
        <v/>
      </c>
      <c r="LZ13" s="36" t="str">
        <f t="shared" si="139"/>
        <v/>
      </c>
      <c r="MA13" s="36" t="str">
        <f t="shared" si="140"/>
        <v/>
      </c>
      <c r="MB13" s="16"/>
      <c r="MC13" s="16"/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6"/>
      <c r="MT13" s="16"/>
      <c r="MU13" s="16"/>
      <c r="MV13" s="11" t="str">
        <f t="shared" si="141"/>
        <v/>
      </c>
      <c r="MW13" s="11" t="str">
        <f t="shared" si="142"/>
        <v/>
      </c>
      <c r="MX13" s="11" t="str">
        <f t="shared" si="143"/>
        <v/>
      </c>
      <c r="MY13" s="11" t="str">
        <f t="shared" si="144"/>
        <v/>
      </c>
      <c r="MZ13" s="11" t="str">
        <f t="shared" si="145"/>
        <v/>
      </c>
      <c r="NA13" s="11" t="str">
        <f t="shared" si="146"/>
        <v/>
      </c>
      <c r="NB13" s="11" t="str">
        <f t="shared" si="147"/>
        <v/>
      </c>
      <c r="NC13" s="11" t="str">
        <f t="shared" si="148"/>
        <v/>
      </c>
      <c r="ND13" s="11" t="str">
        <f t="shared" si="149"/>
        <v/>
      </c>
      <c r="NE13" s="11" t="str">
        <f t="shared" si="150"/>
        <v/>
      </c>
      <c r="NF13" s="11" t="str">
        <f t="shared" si="151"/>
        <v/>
      </c>
      <c r="NG13" s="11" t="str">
        <f t="shared" si="152"/>
        <v/>
      </c>
      <c r="NH13" s="11" t="str">
        <f t="shared" si="153"/>
        <v/>
      </c>
      <c r="NI13" s="11" t="str">
        <f t="shared" si="154"/>
        <v/>
      </c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36" t="str">
        <f t="shared" si="155"/>
        <v/>
      </c>
      <c r="OE13" s="36" t="str">
        <f t="shared" si="156"/>
        <v/>
      </c>
      <c r="OF13" s="36" t="str">
        <f t="shared" si="157"/>
        <v/>
      </c>
      <c r="OG13" s="36" t="str">
        <f t="shared" si="158"/>
        <v/>
      </c>
      <c r="OH13" s="36" t="str">
        <f t="shared" si="159"/>
        <v/>
      </c>
      <c r="OI13" s="36" t="str">
        <f t="shared" si="160"/>
        <v/>
      </c>
      <c r="OJ13" s="36" t="str">
        <f t="shared" si="161"/>
        <v/>
      </c>
      <c r="OK13" s="36" t="str">
        <f t="shared" si="162"/>
        <v/>
      </c>
      <c r="OL13" s="36" t="str">
        <f t="shared" si="163"/>
        <v/>
      </c>
      <c r="OM13" s="36" t="str">
        <f t="shared" si="164"/>
        <v/>
      </c>
      <c r="ON13" s="36" t="str">
        <f t="shared" si="165"/>
        <v/>
      </c>
      <c r="OO13" s="36" t="str">
        <f t="shared" si="166"/>
        <v/>
      </c>
      <c r="OP13" s="36" t="str">
        <f t="shared" si="167"/>
        <v/>
      </c>
      <c r="OQ13" s="36" t="str">
        <f t="shared" si="168"/>
        <v/>
      </c>
      <c r="OR13" s="16"/>
      <c r="OS13" s="16"/>
      <c r="OT13" s="16"/>
      <c r="OU13" s="16"/>
      <c r="OV13" s="16"/>
      <c r="OW13" s="16"/>
      <c r="OX13" s="16"/>
      <c r="OY13" s="16"/>
      <c r="OZ13" s="16"/>
      <c r="PA13" s="16"/>
      <c r="PB13" s="16"/>
      <c r="PC13" s="16"/>
      <c r="PD13" s="16"/>
      <c r="PE13" s="16"/>
      <c r="PF13" s="16"/>
      <c r="PG13" s="16"/>
      <c r="PH13" s="16"/>
      <c r="PI13" s="16"/>
      <c r="PJ13" s="16"/>
      <c r="PK13" s="16"/>
      <c r="PL13" s="11" t="str">
        <f t="shared" si="169"/>
        <v/>
      </c>
      <c r="PM13" s="11" t="str">
        <f t="shared" si="170"/>
        <v/>
      </c>
      <c r="PN13" s="11" t="str">
        <f t="shared" si="171"/>
        <v/>
      </c>
      <c r="PO13" s="11" t="str">
        <f t="shared" si="172"/>
        <v/>
      </c>
      <c r="PP13" s="11" t="str">
        <f t="shared" si="173"/>
        <v/>
      </c>
      <c r="PQ13" s="11" t="str">
        <f t="shared" si="174"/>
        <v/>
      </c>
      <c r="PR13" s="11" t="str">
        <f t="shared" si="175"/>
        <v/>
      </c>
      <c r="PS13" s="11" t="str">
        <f t="shared" si="176"/>
        <v/>
      </c>
      <c r="PT13" s="11" t="str">
        <f t="shared" si="177"/>
        <v/>
      </c>
      <c r="PU13" s="11" t="str">
        <f t="shared" si="178"/>
        <v/>
      </c>
      <c r="PV13" s="11" t="str">
        <f t="shared" si="179"/>
        <v/>
      </c>
      <c r="PW13" s="11" t="str">
        <f t="shared" si="180"/>
        <v/>
      </c>
      <c r="PX13" s="11" t="str">
        <f t="shared" si="181"/>
        <v/>
      </c>
      <c r="PY13" s="11" t="str">
        <f t="shared" si="182"/>
        <v/>
      </c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36" t="str">
        <f t="shared" si="183"/>
        <v/>
      </c>
      <c r="QU13" s="36" t="str">
        <f t="shared" si="184"/>
        <v/>
      </c>
      <c r="QV13" s="36" t="str">
        <f t="shared" si="185"/>
        <v/>
      </c>
      <c r="QW13" s="36" t="str">
        <f t="shared" si="186"/>
        <v/>
      </c>
      <c r="QX13" s="36" t="str">
        <f t="shared" si="187"/>
        <v/>
      </c>
      <c r="QY13" s="36" t="str">
        <f t="shared" si="188"/>
        <v/>
      </c>
      <c r="QZ13" s="36" t="str">
        <f t="shared" si="189"/>
        <v/>
      </c>
      <c r="RA13" s="36" t="str">
        <f t="shared" si="190"/>
        <v/>
      </c>
      <c r="RB13" s="36" t="str">
        <f t="shared" si="191"/>
        <v/>
      </c>
      <c r="RC13" s="36" t="str">
        <f t="shared" si="192"/>
        <v/>
      </c>
      <c r="RD13" s="36" t="str">
        <f t="shared" si="193"/>
        <v/>
      </c>
      <c r="RE13" s="36" t="str">
        <f t="shared" si="194"/>
        <v/>
      </c>
      <c r="RF13" s="36" t="str">
        <f t="shared" si="195"/>
        <v/>
      </c>
      <c r="RG13" s="36" t="str">
        <f t="shared" si="196"/>
        <v/>
      </c>
      <c r="RH13" s="16"/>
      <c r="RI13" s="16"/>
      <c r="RJ13" s="16"/>
      <c r="RK13" s="16"/>
      <c r="RL13" s="16"/>
      <c r="RM13" s="16"/>
      <c r="RN13" s="16"/>
      <c r="RO13" s="16"/>
      <c r="RP13" s="16"/>
      <c r="RQ13" s="16"/>
      <c r="RR13" s="16"/>
      <c r="RS13" s="16"/>
      <c r="RT13" s="16"/>
      <c r="RU13" s="16"/>
      <c r="RV13" s="16"/>
      <c r="RW13" s="16"/>
      <c r="RX13" s="16"/>
      <c r="RY13" s="16"/>
      <c r="RZ13" s="16"/>
      <c r="SA13" s="16"/>
      <c r="SB13" s="11" t="str">
        <f t="shared" si="197"/>
        <v/>
      </c>
      <c r="SC13" s="11" t="str">
        <f t="shared" si="198"/>
        <v/>
      </c>
      <c r="SD13" s="11" t="str">
        <f t="shared" si="199"/>
        <v/>
      </c>
      <c r="SE13" s="11" t="str">
        <f t="shared" si="200"/>
        <v/>
      </c>
      <c r="SF13" s="11" t="str">
        <f t="shared" si="201"/>
        <v/>
      </c>
      <c r="SG13" s="11" t="str">
        <f t="shared" si="202"/>
        <v/>
      </c>
      <c r="SH13" s="11" t="str">
        <f t="shared" si="203"/>
        <v/>
      </c>
      <c r="SI13" s="11" t="str">
        <f t="shared" si="204"/>
        <v/>
      </c>
      <c r="SJ13" s="11" t="str">
        <f t="shared" si="205"/>
        <v/>
      </c>
      <c r="SK13" s="11" t="str">
        <f t="shared" si="206"/>
        <v/>
      </c>
      <c r="SL13" s="11" t="str">
        <f t="shared" si="207"/>
        <v/>
      </c>
      <c r="SM13" s="11" t="str">
        <f t="shared" si="208"/>
        <v/>
      </c>
      <c r="SN13" s="11" t="str">
        <f t="shared" si="209"/>
        <v/>
      </c>
      <c r="SO13" s="11" t="str">
        <f t="shared" si="210"/>
        <v/>
      </c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36" t="str">
        <f t="shared" si="211"/>
        <v/>
      </c>
      <c r="TK13" s="36" t="str">
        <f t="shared" si="212"/>
        <v/>
      </c>
      <c r="TL13" s="36" t="str">
        <f t="shared" si="213"/>
        <v/>
      </c>
      <c r="TM13" s="36" t="str">
        <f t="shared" si="214"/>
        <v/>
      </c>
      <c r="TN13" s="36" t="str">
        <f t="shared" si="215"/>
        <v/>
      </c>
      <c r="TO13" s="36" t="str">
        <f t="shared" si="216"/>
        <v/>
      </c>
      <c r="TP13" s="36" t="str">
        <f t="shared" si="217"/>
        <v/>
      </c>
      <c r="TQ13" s="36" t="str">
        <f t="shared" si="218"/>
        <v/>
      </c>
      <c r="TR13" s="36" t="str">
        <f t="shared" si="219"/>
        <v/>
      </c>
      <c r="TS13" s="36" t="str">
        <f t="shared" si="220"/>
        <v/>
      </c>
      <c r="TT13" s="36" t="str">
        <f t="shared" si="221"/>
        <v/>
      </c>
      <c r="TU13" s="36" t="str">
        <f t="shared" si="222"/>
        <v/>
      </c>
      <c r="TV13" s="36" t="str">
        <f t="shared" si="223"/>
        <v/>
      </c>
      <c r="TW13" s="36" t="str">
        <f t="shared" si="224"/>
        <v/>
      </c>
      <c r="TX13" s="16"/>
      <c r="TY13" s="16"/>
      <c r="TZ13" s="16"/>
      <c r="UA13" s="16"/>
      <c r="UB13" s="16"/>
      <c r="UC13" s="16"/>
      <c r="UD13" s="16"/>
      <c r="UE13" s="16"/>
      <c r="UF13" s="16"/>
      <c r="UG13" s="16"/>
      <c r="UH13" s="16"/>
      <c r="UI13" s="16"/>
      <c r="UJ13" s="16"/>
      <c r="UK13" s="16"/>
      <c r="UL13" s="16"/>
      <c r="UM13" s="16"/>
      <c r="UN13" s="16"/>
      <c r="UO13" s="16"/>
      <c r="UP13" s="16"/>
      <c r="UQ13" s="16"/>
      <c r="UR13" s="11" t="str">
        <f t="shared" si="225"/>
        <v/>
      </c>
      <c r="US13" s="11" t="str">
        <f t="shared" si="226"/>
        <v/>
      </c>
      <c r="UT13" s="11" t="str">
        <f t="shared" si="227"/>
        <v/>
      </c>
      <c r="UU13" s="11" t="str">
        <f t="shared" si="228"/>
        <v/>
      </c>
      <c r="UV13" s="11" t="str">
        <f t="shared" si="229"/>
        <v/>
      </c>
      <c r="UW13" s="11" t="str">
        <f t="shared" si="230"/>
        <v/>
      </c>
      <c r="UX13" s="11" t="str">
        <f t="shared" si="231"/>
        <v/>
      </c>
      <c r="UY13" s="11" t="str">
        <f t="shared" si="232"/>
        <v/>
      </c>
      <c r="UZ13" s="11" t="str">
        <f t="shared" si="233"/>
        <v/>
      </c>
      <c r="VA13" s="11" t="str">
        <f t="shared" si="234"/>
        <v/>
      </c>
      <c r="VB13" s="11" t="str">
        <f t="shared" si="235"/>
        <v/>
      </c>
      <c r="VC13" s="11" t="str">
        <f t="shared" si="236"/>
        <v/>
      </c>
      <c r="VD13" s="11" t="str">
        <f t="shared" si="237"/>
        <v/>
      </c>
      <c r="VE13" s="11" t="str">
        <f t="shared" si="238"/>
        <v/>
      </c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36" t="str">
        <f t="shared" si="239"/>
        <v/>
      </c>
      <c r="WA13" s="36" t="str">
        <f t="shared" si="240"/>
        <v/>
      </c>
      <c r="WB13" s="36" t="str">
        <f t="shared" si="241"/>
        <v/>
      </c>
      <c r="WC13" s="36" t="str">
        <f t="shared" si="242"/>
        <v/>
      </c>
      <c r="WD13" s="36" t="str">
        <f t="shared" si="243"/>
        <v/>
      </c>
      <c r="WE13" s="36" t="str">
        <f t="shared" si="244"/>
        <v/>
      </c>
      <c r="WF13" s="36" t="str">
        <f t="shared" si="245"/>
        <v/>
      </c>
      <c r="WG13" s="36" t="str">
        <f t="shared" si="246"/>
        <v/>
      </c>
      <c r="WH13" s="36" t="str">
        <f t="shared" si="247"/>
        <v/>
      </c>
      <c r="WI13" s="36" t="str">
        <f t="shared" si="248"/>
        <v/>
      </c>
      <c r="WJ13" s="36" t="str">
        <f t="shared" si="249"/>
        <v/>
      </c>
      <c r="WK13" s="36" t="str">
        <f t="shared" si="250"/>
        <v/>
      </c>
      <c r="WL13" s="36" t="str">
        <f t="shared" si="251"/>
        <v/>
      </c>
      <c r="WM13" s="36" t="str">
        <f t="shared" si="252"/>
        <v/>
      </c>
    </row>
    <row r="14" spans="1:611" x14ac:dyDescent="0.2">
      <c r="A14" s="4" t="str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/>
      </c>
      <c r="B14" s="5" t="s">
        <v>53</v>
      </c>
      <c r="C14" s="4" t="s">
        <v>7</v>
      </c>
      <c r="D14" s="4">
        <v>2001</v>
      </c>
      <c r="E14" s="9">
        <f t="shared" si="0"/>
        <v>160.56501605650575</v>
      </c>
      <c r="F14" s="3" t="str">
        <f>IF(OR(AND(AI14&gt;=AS$27,AI14&lt;&gt;"",AK14&gt;=AS$31,AK14&lt;&gt;"",AH14=""),AND(AL14&gt;=AS$27,AL14&lt;&gt;"",AN14&gt;=AS$31,AN14&lt;&gt;"",AH14=""),AND(AP14&gt;=AS$27,AP14&lt;&gt;"",AR14&gt;=AS$31,AR14&lt;&gt;"",AH14=""),AND(BJ14&gt;=BT$27,BJ14&lt;&gt;"",BL14&gt;=BT$31,BL14&lt;&gt;"",BI14=""),AND(BM14&gt;=BT$27,BM14&lt;&gt;"",BO14&gt;=BT$31,BO14&lt;&gt;"",BI14=""),AND(BQ14&gt;=BT$27,BQ14&lt;&gt;"",BS14&gt;=BT$31,BS14&lt;&gt;"",BI14=""),AND(CK14&gt;=CU$27,CK14&lt;&gt;"",CM14&gt;=CU$31,CM14&lt;&gt;"",CJ14=""),AND(CN14&gt;=CU$27,CN14&lt;&gt;"",CP14&gt;=CU$31,CP14&lt;&gt;"",CJ14=""),AND(CR14&gt;=CU$27,CR14&lt;&gt;"",CT14&gt;=CU$31,CT14&lt;&gt;"",CJ14=""),AND(DR14&gt;=EE$27,DR14&lt;&gt;"",DT14&gt;=EE$31,DT14&lt;&gt;""),AND(DU14&gt;=EE$27,DU14&lt;&gt;"",DW14&gt;=EE$31,DW14&lt;&gt;""),AND(DY14&gt;=EE$27,DY14&lt;&gt;"",EA14&gt;=EE$31,EA14&lt;&gt;""),AND(EB14&gt;=EE$27,EB14&lt;&gt;"",ED14&gt;=EE$31,ED14&lt;&gt;""),AND(EZ14&gt;=FM$27,EZ14&lt;&gt;"",FB14&gt;=FM$31,FB14&lt;&gt;""),AND(FC14&gt;=FM$27,FC14&lt;&gt;"",FE14&gt;=FM$31,FE14&lt;&gt;""),AND(FG14&gt;=FM$27,FG14&lt;&gt;"",FI14&gt;=FM$31,FI14&lt;&gt;""),AND(FJ14&gt;=FM$27,FJ14&lt;&gt;"",FL14&gt;=FM$31,FL14&lt;&gt;""),AND(GH14&gt;=GU$27,GH14&lt;&gt;"",GJ14&gt;=GU$31,GJ14&lt;&gt;""),AND(GK14&gt;=GU$27,GK14&lt;&gt;"",GM14&gt;=GU$31,GM14&lt;&gt;""),AND(GO14&gt;=GU$27,GO14&lt;&gt;"",GQ14&gt;=GU$31,GQ14&lt;&gt;""),AND(GR14&gt;=GU$27,GR14&lt;&gt;"",GT14&gt;=GU$31,GT14&lt;&gt;""),AND(HP14&gt;=IC$27,HP14&lt;&gt;"",HR14&gt;=IC$31,HR14&lt;&gt;""),AND(HS14&gt;=IC$27,HS14&lt;&gt;"",HU14&gt;=IC$31,HU14&lt;&gt;""),AND(HW14&gt;=IC$27,HW14&lt;&gt;"",HY14&gt;=IC$31,HY14&lt;&gt;""),AND(HZ14&gt;=IC$27,HZ14&lt;&gt;"",IB14&gt;=IC$31,IB14&lt;&gt;""),AND(IX14&gt;=JK$27,IX14&lt;&gt;"",IZ14&gt;=JK$31,IZ14&lt;&gt;""),AND(JA14&gt;=JK$27,JA14&lt;&gt;"",JC14&gt;=JK$31,JC14&lt;&gt;""),AND(JE14&gt;=JK$27,JE14&lt;&gt;"",JG14&gt;=JK$31,JG14&lt;&gt;""),AND(JH14&gt;=JK$27,JH14&lt;&gt;"",JJ14&gt;=JK$31,JJ14&lt;&gt;""),AND(KF14&gt;=KS$27,KF14&lt;&gt;"",KH14&gt;=KS$31,KH14&lt;&gt;""),AND(KI14&gt;=KS$27,KI14&lt;&gt;"",KK14&gt;=KS$31,KK14&lt;&gt;""),AND(KM14&gt;=KS$27,KM14&lt;&gt;"",KO14&gt;=KS$31,KO14&lt;&gt;""),AND(KP14&gt;=KS$27,KP14&lt;&gt;"",KR14&gt;=KS$31,KR14&lt;&gt;""),AND(LN14&gt;=MA$27,LN14&lt;&gt;"",LP14&gt;=MA$31,LP14&lt;&gt;""),AND(LQ14&gt;=MA$27,LQ14&lt;&gt;"",LS14&gt;=MA$31,LS14&lt;&gt;""),AND(LU14&gt;=MA$27,LU14&lt;&gt;"",LW14&gt;=MA$31,LW14&lt;&gt;""),AND(LX14&gt;=MA$27,LX14&lt;&gt;"",LZ14&gt;=MA$31,LZ14&lt;&gt;""),AND(MV14&gt;=NI$27,MV14&lt;&gt;"",MX14&gt;=NI$31,MX14&lt;&gt;""),AND(MY14&gt;=NI$27,MY14&lt;&gt;"",NA14&gt;=NI$31,NA14&lt;&gt;""),AND(NC14&gt;=NI$27,NC14&lt;&gt;"",NE14&gt;=NI$31,NE14&lt;&gt;""),AND(NF14&gt;=NI$27,NF14&lt;&gt;"",NH14&gt;=NI$31,NH14&lt;&gt;""),AND(OD14&gt;=OQ$27,OD14&lt;&gt;"",OF14&gt;=OQ$31,OF14&lt;&gt;""),AND(OG14&gt;=OQ$27,OG14&lt;&gt;"",OI14&gt;=OQ$31,OI14&lt;&gt;""),AND(OK14&gt;=OQ$27,OK14&lt;&gt;"",OM14&gt;=OQ$31,OM14&lt;&gt;""),AND(ON14&gt;=OQ$27,ON14&lt;&gt;"",OP14&gt;=OQ$31,OP14&lt;&gt;""),AND(PL14&gt;=PY$27,PL14&lt;&gt;"",PN14&gt;=PY$31,PN14&lt;&gt;""),AND(PO14&gt;=PY$27,PO14&lt;&gt;"",PQ14&gt;=PY$31,PQ14&lt;&gt;""),AND(PS14&gt;=PY$27,PS14&lt;&gt;"",PU14&gt;=PY$31,PU14&lt;&gt;""),AND(PV14&gt;=PY$27,PV14&lt;&gt;"",PX14&gt;=PY$31,PX14&lt;&gt;""),AND(QT14&gt;=RG$27,QT14&lt;&gt;"",QV14&gt;=RG$31,QV14&lt;&gt;""),AND(QW14&gt;=RG$27,QW14&lt;&gt;"",QY14&gt;=RG$31,QY14&lt;&gt;""),AND(RA14&gt;=RG$27,RA14&lt;&gt;"",RC14&gt;=RG$31,RC14&lt;&gt;""),AND(RD14&gt;=RG$27,RD14&lt;&gt;"",RF14&gt;=RG$31,RF14&lt;&gt;""),AND(SB14&gt;=SO$27,SB14&lt;&gt;"",SD14&gt;=SO$31,SD14&lt;&gt;""),AND(SE14&gt;=SO$27,SE14&lt;&gt;"",SG14&gt;=SO$31,SG14&lt;&gt;""),AND(SI14&gt;=SO$27,SI14&lt;&gt;"",SK14&gt;=SO$31,SK14&lt;&gt;""),AND(SL14&gt;=SO$27,SL14&lt;&gt;"",SN14&gt;=SO$31,SN14&lt;&gt;""),AND(TJ14&gt;=TW$27,TJ14&lt;&gt;"",TL14&gt;=TW$31,TL14&lt;&gt;""),AND(TM14&gt;=TW$27,TM14&lt;&gt;"",TO14&gt;=TW$31,TO14&lt;&gt;""),AND(TQ14&gt;=TW$27,TQ14&lt;&gt;"",TS14&gt;=TW$31,TXQ14&lt;&gt;""),AND(TT14&gt;=TW$27,TT14&lt;&gt;"",TV14&gt;=TW$31,TV14&lt;&gt;""),AND(UR14&gt;=VE$27,UR14&lt;&gt;"",UT14&gt;=VE$31,UT14&lt;&gt;""),AND(UU14&gt;=VE$27,UU14&lt;&gt;"",UW14&gt;=VE$31,UW14&lt;&gt;""),AND(UY14&gt;=VE$27,UY14&lt;&gt;"",VA14&gt;=VE$31,VA14&lt;&gt;""),AND(VB14&gt;=VE$27,VB14&lt;&gt;"",VD14&gt;=VE$31,VD14&lt;&gt;""),AND(VZ14&gt;=WM$27,VZ14&lt;&gt;"",WB14&gt;=WM$31,WB14&lt;&gt;""),AND(WC14&gt;=WM$27,WC14&lt;&gt;"",WE14&gt;=WM$31,WE14&lt;&gt;""),AND(WG14&gt;=WM$27,WG14&lt;&gt;"",WI14&gt;=WM$31,WI14&lt;&gt;""),AND(WJ14&gt;=WM$27,WJ14&lt;&gt;"",WL14&gt;=WM$31,WL14&lt;&gt;"")),"P","")</f>
        <v/>
      </c>
      <c r="G14" s="3" t="str">
        <f>IF(OR(AND(AK14&gt;=AS$31,AK14&lt;&gt;"",AH14=""),AND(AN14&gt;=AS$31,AN14&lt;&gt;"",AH14=""),AND(AR14&gt;=AS$31,AR14&lt;&gt;"",AH14=""),AND(BL14&gt;=BT$31,BL14&lt;&gt;"",BI14=""),AND(BO14&gt;=BT$31,BO14&lt;&gt;"",BI14=""),AND(BS14&gt;=BT$31,BS14&lt;&gt;"",BI14=""),AND(CM14&gt;=CU$31,CM14&lt;&gt;"",CJ14=""),AND(CP14&gt;=CU$31,CP14&lt;&gt;"",CJ14=""),AND(CT14&gt;=CU$31,CT14&lt;&gt;"",CJ14=""),AND(DT14&gt;=EE$31,DT14&lt;&gt;""),AND(DW14&gt;=EE$31,DW14&lt;&gt;""),AND(EA14&gt;=EE$31,EA14&lt;&gt;""),AND(ED14&gt;=EE$31,ED14&lt;&gt;""),AND(FB14&gt;=FM$31,FB14&lt;&gt;""),AND(FE14&gt;=FM$31,FE14&lt;&gt;""),AND(FI14&gt;=FM$31,FI14&lt;&gt;""),AND(FL14&gt;=FM$31,FL14&lt;&gt;""),AND(GJ14&gt;=GU$31,GJ14&lt;&gt;""),AND(GM14&gt;=GU$31,GM14&lt;&gt;""),AND(GQ14&gt;=GU$31,GQ14&lt;&gt;""),AND(GT14&gt;=GU$31,GT14&lt;&gt;""),AND(HR14&gt;=IC$31,HR14&lt;&gt;""),AND(HU14&gt;=IC$31,HU14&lt;&gt;""),AND(HY14&gt;=IC$31,HY14&lt;&gt;""),AND(IB14&gt;=IC$31,IB14&lt;&gt;""),AND(IZ14&gt;=JK$31,IZ14&lt;&gt;""),AND(JC14&gt;=JK$31,JC14&lt;&gt;""),AND(JG14&gt;=JK$31,JG14&lt;&gt;""),AND(JJ14&gt;=JK$31,JJ14&lt;&gt;""),AND(KH14&gt;=KS$31,KH14&lt;&gt;""),AND(KK14&gt;=KS$31,KK14&lt;&gt;""),AND(KO14&gt;=KS$31,KO14&lt;&gt;""),AND(KR14&gt;=KS$31,KR14&lt;&gt;""),AND(LP14&gt;=MA$31,LP14&lt;&gt;""),AND(LS14&gt;=MA$31,LS14&lt;&gt;""),AND(LW14&gt;=MA$31,LW14&lt;&gt;""),AND(LZ14&gt;=MA$31,LZ14&lt;&gt;""),AND(MX14&gt;=NI$31,MX14&lt;&gt;""),AND(NA14&gt;=NI$31,NA14&lt;&gt;""),AND(NE14&gt;=NI$31,NE14&lt;&gt;""),AND(NH14&gt;=NI$31,NH14&lt;&gt;""),AND(OF14&gt;=OQ$31,OF14&lt;&gt;""),AND(OI14&gt;=OQ$31,OI14&lt;&gt;""),AND(OM14&gt;=OQ$31,OM14&lt;&gt;""),AND(OP14&gt;=OQ$31,OP14&lt;&gt;""),AND(PN14&gt;=PY$31,PN14&lt;&gt;""),AND(PQ14&gt;=PY$31,PQ14&lt;&gt;""),AND(PU14&gt;=PY$31,PU14&lt;&gt;""),AND(PX14&gt;=PY$31,PX14&lt;&gt;""),AND(QV14&gt;=RG$31,QV14&lt;&gt;""),AND(QY14&gt;=RG$31,QY14&lt;&gt;""),AND(RC14&gt;=RG$31,RC14&lt;&gt;""),AND(RF14&gt;=RG$31,RF14&lt;&gt;""),AND(SD14&gt;=SO$31,SD14&lt;&gt;""),AND(SG14&gt;=SO$31,SG14&lt;&gt;""),AND(SK14&gt;=SO$31,SK14&lt;&gt;""),AND(SN14&gt;=SO$31,SN14&lt;&gt;""),AND(TL14&gt;=TW$31,TL14&lt;&gt;""),AND(TO14&gt;=TW$31,TO14&lt;&gt;""),AND(TS14&gt;=TW$31,TXQ14&lt;&gt;""),AND(TV14&gt;=TW$31,TV14&lt;&gt;""),AND(UT14&gt;=VE$31,UT14&lt;&gt;""),AND(UW14&gt;=VE$31,UW14&lt;&gt;""),AND(VA14&gt;=VE$31,VA14&lt;&gt;""),AND(VD14&gt;=VE$31,VD14&lt;&gt;""),AND(WB14&gt;=WM$31,WB14&lt;&gt;""),AND(WE14&gt;=WM$31,WE14&lt;&gt;""),AND(WI14&gt;=WM$31,WI14&lt;&gt;""),AND(WL14&gt;=WM$31,WL14&lt;&gt;"")),"P","")</f>
        <v/>
      </c>
      <c r="H14" s="32" t="str">
        <f>IF(AND(G14="P",F14=""),"No DD",IF(OR(AND(AI14&gt;=AS$30,AI14&lt;&gt;"",AK14&gt;=AS$34,AK14&lt;&gt;"",AH14=""),AND(AL14&gt;=AS$30,AL14&lt;&gt;"",AN14&gt;=AS$34,AN14&lt;&gt;"",AH14=""),AND(AP14&gt;=AS$30,AP14&lt;&gt;"",AR14&gt;=AS$34,AR14&lt;&gt;"",AH14=""),AND(BJ14&gt;=BT$30,BJ14&lt;&gt;"",BL14&gt;=BT$34,BL14&lt;&gt;"",BI14=""),AND(BM14&gt;=BT$30,BM14&lt;&gt;"",BO14&gt;=BT$34,BO14&lt;&gt;"",BI14=""),AND(BQ14&gt;=BT$30,BQ14&lt;&gt;"",BS14&gt;=BT$34,BS14&lt;&gt;"",BI14=""),AND(CK14&gt;=CU$30,CK14&lt;&gt;"",CM14&gt;=CU$34,CM14&lt;&gt;"",CJ14=""),AND(CN14&gt;=CU$30,CN14&lt;&gt;"",CP14&gt;=CU$34,CP14&lt;&gt;"",CJ14=""),AND(CR14&gt;=CU$30,CR14&lt;&gt;"",CT14&gt;=CU$34,CT14&lt;&gt;"",CJ14=""),AND(DR14&gt;=EE$30,DR14&lt;&gt;"",DT14&gt;=EE$34,DT14&lt;&gt;""),AND(DU14&gt;=EE$30,DU14&lt;&gt;"",DW14&gt;=EE$34,DW14&lt;&gt;""),AND(DY14&gt;=EE$30,DY14&lt;&gt;"",EA14&gt;=EE$34,EA14&lt;&gt;""),AND(EB14&gt;=EE$30,EB14&lt;&gt;"",ED14&gt;=EE$34,ED14&lt;&gt;""),AND(EZ14&gt;=FM$30,EZ14&lt;&gt;"",FB14&gt;=FM$34,FB14&lt;&gt;""),AND(FC14&gt;=FM$30,FC14&lt;&gt;"",FE14&gt;=FM$34,FE14&lt;&gt;""),AND(FG14&gt;=FM$30,FG14&lt;&gt;"",FI14&gt;=FM$34,FI14&lt;&gt;""),AND(FJ14&gt;=FM$30,FJ14&lt;&gt;"",FL14&gt;=FM$34,FL14&lt;&gt;""),AND(GH14&gt;=GU$30,GH14&lt;&gt;"",GJ14&gt;=GU$34,GJ14&lt;&gt;""),AND(GK14&gt;=GU$30,GK14&lt;&gt;"",GM14&gt;=GU$34,GM14&lt;&gt;""),AND(GO14&gt;=GU$30,GO14&lt;&gt;"",GQ14&gt;=GU$34,GQ14&lt;&gt;""),AND(GR14&gt;=GU$30,GR14&lt;&gt;"",GT14&gt;=GU$34,GT14&lt;&gt;""),AND(HP14&gt;=IC$30,HP14&lt;&gt;"",HR14&gt;=IC$34,HR14&lt;&gt;""),AND(HS14&gt;=IC$30,HS14&lt;&gt;"",HU14&gt;=IC$34,HU14&lt;&gt;""),AND(HW14&gt;=IC$30,HW14&lt;&gt;"",HY14&gt;=IC$34,HY14&lt;&gt;""),AND(HZ14&gt;=IC$30,HZ14&lt;&gt;"",IB14&gt;=IC$34,IB14&lt;&gt;""),AND(IX14&gt;=JK$30,IX14&lt;&gt;"",IZ14&gt;=JK$34,IZ14&lt;&gt;""),AND(JA14&gt;=JK$30,JA14&lt;&gt;"",JC14&gt;=JK$34,JC14&lt;&gt;""),AND(JE14&gt;=JK$30,JE14&lt;&gt;"",JG14&gt;=JK$34,JG14&lt;&gt;""),AND(JH14&gt;=JK$30,JH14&lt;&gt;"",JJ14&gt;=JK$34,JJ14&lt;&gt;""),AND(KF14&gt;=KS$30,KF14&lt;&gt;"",KH14&gt;=KS$34,KH14&lt;&gt;""),AND(KI14&gt;=KS$30,KI14&lt;&gt;"",KK14&gt;=KS$34,KK14&lt;&gt;""),AND(KM14&gt;=KS$30,KM14&lt;&gt;"",KO14&gt;=KS$34,KO14&lt;&gt;""),AND(KP14&gt;=KS$30,KP14&lt;&gt;"",KR14&gt;=KS$34,KR14&lt;&gt;""),AND(LN14&gt;=MA$30,LN14&lt;&gt;"",LP14&gt;=MA$34,LP14&lt;&gt;""),AND(LQ14&gt;=MA$30,LQ14&lt;&gt;"",LS14&gt;=MA$34,LS14&lt;&gt;""),AND(LU14&gt;=MA$30,LU14&lt;&gt;"",LW14&gt;=MA$34,LW14&lt;&gt;""),AND(LX14&gt;=MA$30,LX14&lt;&gt;"",LZ14&gt;=MA$34,LZ14&lt;&gt;""),AND(MV14&gt;=NI$30,MV14&lt;&gt;"",MX14&gt;=NI$34,MX14&lt;&gt;""),AND(MY14&gt;=NI$30,MY14&lt;&gt;"",NA14&gt;=NI$34,NA14&lt;&gt;""),AND(NC14&gt;=NI$30,NC14&lt;&gt;"",NE14&gt;=NI$34,NE14&lt;&gt;""),AND(NF14&gt;=NI$30,NF14&lt;&gt;"",NH14&gt;=NI$34,NH14&lt;&gt;""),AND(OD14&gt;=OQ$30,OD14&lt;&gt;"",OF14&gt;=OQ$34,OF14&lt;&gt;""),AND(OG14&gt;=OQ$30,OG14&lt;&gt;"",OI14&gt;=OQ$34,OI14&lt;&gt;""),AND(OK14&gt;=OQ$30,OK14&lt;&gt;"",OM14&gt;=OQ$34,OM14&lt;&gt;""),AND(ON14&gt;=OQ$30,ON14&lt;&gt;"",OP14&gt;=OQ$34,OP14&lt;&gt;""),AND(PL14&gt;=PY$30,PL14&lt;&gt;"",PN14&gt;=PY$34,PN14&lt;&gt;""),AND(PO14&gt;=PY$30,PO14&lt;&gt;"",PQ14&gt;=PY$34,PQ14&lt;&gt;""),AND(PS14&gt;=PY$30,PS14&lt;&gt;"",PU14&gt;=PY$34,PU14&lt;&gt;""),AND(PV14&gt;=PY$30,PV14&lt;&gt;"",PX14&gt;=PY$34,PX14&lt;&gt;""),AND(QT14&gt;=RG$30,QT14&lt;&gt;"",QV14&gt;=RG$34,QV14&lt;&gt;""),AND(QW14&gt;=RG$30,QW14&lt;&gt;"",QY14&gt;=RG$34,QY14&lt;&gt;""),AND(RA14&gt;=RG$30,RA14&lt;&gt;"",RC14&gt;=RG$34,RC14&lt;&gt;""),AND(RD14&gt;=RG$30,RD14&lt;&gt;"",RF14&gt;=RG$34,RF14&lt;&gt;""),AND(SB14&gt;=SO$30,SB14&lt;&gt;"",SD14&gt;=SO$34,SD14&lt;&gt;""),AND(SE14&gt;=SO$30,SE14&lt;&gt;"",SG14&gt;=SO$34,SG14&lt;&gt;""),AND(SI14&gt;=SO$30,SI14&lt;&gt;"",SK14&gt;=SO$34,SK14&lt;&gt;""),AND(SL14&gt;=SO$30,SL14&lt;&gt;"",SN14&gt;=SO$34,SN14&lt;&gt;""),AND(TJ14&gt;=TW$30,TJ14&lt;&gt;"",TL14&gt;=TW$34,TL14&lt;&gt;""),AND(TM14&gt;=TW$30,TM14&lt;&gt;"",TO14&gt;=TW$34,TO14&lt;&gt;""),AND(TQ14&gt;=TW$30,TQ14&lt;&gt;"",TS14&gt;=TW$354,TXQ14&lt;&gt;""),AND(TT14&gt;=TW$30,TT14&lt;&gt;"",TV14&gt;=TW$34,TV14&lt;&gt;""),AND(UR14&gt;=VE$30,UR14&lt;&gt;"",UT14&gt;=VE$34,UT14&lt;&gt;""),AND(UU14&gt;=VE$30,UU14&lt;&gt;"",UW14&gt;=VE$34,UW14&lt;&gt;""),AND(UY14&gt;=VE$30,UY14&lt;&gt;"",VA14&gt;=VE$34,VA14&lt;&gt;""),AND(VB14&gt;=VE$30,VB14&lt;&gt;"",VD14&gt;=VE$34,VD14&lt;&gt;""),AND(VZ14&gt;=WM$30,VZ14&lt;&gt;"",WB14&gt;=WM$34,WB14&lt;&gt;""),AND(WC14&gt;=WM$30,WC14&lt;&gt;"",WE14&gt;=WM$34,WE14&lt;&gt;""),AND(WG14&gt;=WM$30,WG14&lt;&gt;"",WI14&gt;=WM$34,WI14&lt;&gt;""),AND(WJ14&gt;=WM$30,WJ14&lt;&gt;"",WL14&gt;=WM$34,WL14&lt;&gt;"")),"Merit",IF(OR(AND(AI14&gt;=AS$29,AI14&lt;&gt;"",AK14&gt;=AS$33,AK14&lt;&gt;"",AH14=""),AND(AL14&gt;=AS$29,AL14&lt;&gt;"",AN14&gt;=AS$33,AN14&lt;&gt;"",AH14=""),AND(AP14&gt;=AS$29,AP14&lt;&gt;"",AR14&gt;=AS$33,AR14&lt;&gt;"",AH14=""),AND(BJ14&gt;=BT$29,BJ14&lt;&gt;"",BL14&gt;=BT$33,BL14&lt;&gt;"",BI14=""),AND(BM14&gt;=BT$29,BM14&lt;&gt;"",BO14&gt;=BT$33,BO14&lt;&gt;"",BI14=""),AND(BQ14&gt;=BT$29,BQ14&lt;&gt;"",BS14&gt;=BT$33,BS14&lt;&gt;"",BI14=""),AND(CK14&gt;=CU$29,CK14&lt;&gt;"",CM14&gt;=CU$33,CM14&lt;&gt;"",CJ14=""),AND(CN14&gt;=CU$29,CN14&lt;&gt;"",CP14&gt;=CU$33,CP14&lt;&gt;"",CJ14=""),AND(CR14&gt;=CU$29,CR14&lt;&gt;"",CT14&gt;=CU$33,CT14&lt;&gt;"",CJ14=""),AND(DR14&gt;=EE$29,DR14&lt;&gt;"",DT14&gt;=EE$33,DT14&lt;&gt;""),AND(DU14&gt;=EE$29,DU14&lt;&gt;"",DW14&gt;=EE$33,DW14&lt;&gt;""),AND(DY14&gt;=EE$29,DY14&lt;&gt;"",EA14&gt;=EE$33,EA14&lt;&gt;""),AND(EB14&gt;=EE$29,EB14&lt;&gt;"",ED14&gt;=EE$33,ED14&lt;&gt;""),AND(EZ14&gt;=FM$29,EZ14&lt;&gt;"",FB14&gt;=FM$33,FB14&lt;&gt;""),AND(FC14&gt;=FM$29,FC14&lt;&gt;"",FE14&gt;=FM$33,FE14&lt;&gt;""),AND(FG14&gt;=FM$29,FG14&lt;&gt;"",FI14&gt;=FM$33,FI14&lt;&gt;""),AND(FJ14&gt;=FM$29,FJ14&lt;&gt;"",FL14&gt;=FM$33,FL14&lt;&gt;""),AND(GH14&gt;=GU$29,GH14&lt;&gt;"",GJ14&gt;=GU$33,GJ14&lt;&gt;""),AND(GK14&gt;=GU$29,GK14&lt;&gt;"",GM14&gt;=GU$33,GM14&lt;&gt;""),AND(GO14&gt;=GU$29,GO14&lt;&gt;"",GQ14&gt;=GU$33,GQ14&lt;&gt;""),AND(GR14&gt;=GU$29,GR14&lt;&gt;"",GT14&gt;=GU$33,GT14&lt;&gt;""),AND(HP14&gt;=IC$29,HP14&lt;&gt;"",HR14&gt;=IC$33,HR14&lt;&gt;""),AND(HS14&gt;=IC$29,HS14&lt;&gt;"",HU14&gt;=IC$33,HU14&lt;&gt;""),AND(HW14&gt;=IC$29,HW14&lt;&gt;"",HY14&gt;=IC$33,HY14&lt;&gt;""),AND(HZ14&gt;=IC$29,HZ14&lt;&gt;"",IB14&gt;=IC$33,IB14&lt;&gt;""),AND(IX14&gt;=JK$29,IX14&lt;&gt;"",IZ14&gt;=JK$33,IZ14&lt;&gt;""),AND(JA14&gt;=JK$29,JA14&lt;&gt;"",JC14&gt;=JK$33,JC14&lt;&gt;""),AND(JE14&gt;=JK$29,JE14&lt;&gt;"",JG14&gt;=JK$33,JG14&lt;&gt;""),AND(JH14&gt;=JK$29,JH14&lt;&gt;"",JJ14&gt;=JK$33,JJ14&lt;&gt;""),AND(KF14&gt;=KS$29,KF14&lt;&gt;"",KH14&gt;=KS$33,KH14&lt;&gt;""),AND(KI14&gt;=KS$29,KI14&lt;&gt;"",KK14&gt;=KS$33,KK14&lt;&gt;""),AND(KM14&gt;=KS$29,KM14&lt;&gt;"",KO14&gt;=KS$33,KO14&lt;&gt;""),AND(KP14&gt;=KS$29,KP14&lt;&gt;"",KR14&gt;=KS$33,KR14&lt;&gt;""),AND(LN14&gt;=MA$29,LN14&lt;&gt;"",LP14&gt;=MA$33,LP14&lt;&gt;""),AND(LQ14&gt;=MA$29,LQ14&lt;&gt;"",LS14&gt;=MA$33,LS14&lt;&gt;""),AND(LU14&gt;=MA$29,LU14&lt;&gt;"",LW14&gt;=MA$33,LW14&lt;&gt;""),AND(LX14&gt;=MA$29,LX14&lt;&gt;"",LZ14&gt;=MA$33,LZ14&lt;&gt;""),AND(MV14&gt;=NI$29,MV14&lt;&gt;"",MX14&gt;=NI$33,MX14&lt;&gt;""),AND(MY14&gt;=NI$29,MY14&lt;&gt;"",NA14&gt;=NI$33,NA14&lt;&gt;""),AND(NC14&gt;=NI$29,NC14&lt;&gt;"",NE14&gt;=NI$33,NE14&lt;&gt;""),AND(NF14&gt;=NI$29,NF14&lt;&gt;"",NH14&gt;=NI$33,NH14&lt;&gt;""),AND(OD14&gt;=OQ$29,OD14&lt;&gt;"",OF14&gt;=OQ$33,OF14&lt;&gt;""),AND(OG14&gt;=OQ$29,OG14&lt;&gt;"",OI14&gt;=OQ$33,OI14&lt;&gt;""),AND(OK14&gt;=OQ$29,OK14&lt;&gt;"",OM14&gt;=OQ$33,OM14&lt;&gt;""),AND(ON14&gt;=OQ$29,ON14&lt;&gt;"",OP14&gt;=OQ$33,OP14&lt;&gt;""),AND(PL14&gt;=PY$29,PL14&lt;&gt;"",PN14&gt;=PY$33,PN14&lt;&gt;""),AND(PO14&gt;=PY$29,PO14&lt;&gt;"",PQ14&gt;=PY$33,PQ14&lt;&gt;""),AND(PS14&gt;=PY$29,PS14&lt;&gt;"",PU14&gt;=PY$33,PU14&lt;&gt;""),AND(PV14&gt;=PY$29,PV14&lt;&gt;"",PX14&gt;=PY$33,PX14&lt;&gt;""),AND(QT14&gt;=RG$29,QT14&lt;&gt;"",QV14&gt;=RG$33,QV14&lt;&gt;""),AND(QW14&gt;=RG$29,QW14&lt;&gt;"",QY14&gt;=RG$33,QY14&lt;&gt;""),AND(RA14&gt;=RG$29,RA14&lt;&gt;"",RC14&gt;=RG$33,RC14&lt;&gt;""),AND(RD14&gt;=RG$29,RD14&lt;&gt;"",RF14&gt;=RG$33,RF14&lt;&gt;""),AND(SB14&gt;=SO$29,SB14&lt;&gt;"",SD14&gt;=SO$33,SD14&lt;&gt;""),AND(SE14&gt;=SO$29,SE14&lt;&gt;"",SG14&gt;=SO$33,SG14&lt;&gt;""),AND(SI14&gt;=SO$29,SI14&lt;&gt;"",SK14&gt;=SO$33,SK14&lt;&gt;""),AND(SL14&gt;=SO$29,SL14&lt;&gt;"",SN14&gt;=SO$33,SN14&lt;&gt;""),AND(TJ14&gt;=TW$29,TJ14&lt;&gt;"",TL14&gt;=TW$33,TL14&lt;&gt;""),AND(TM14&gt;=TW$29,TM14&lt;&gt;"",TO14&gt;=TW$33,TO14&lt;&gt;""),AND(TQ14&gt;=TW$29,TQ14&lt;&gt;"",TS14&gt;=TW$33,TXQ14&lt;&gt;""),AND(TT14&gt;=TW$29,TT14&lt;&gt;"",TV14&gt;=TW$33,TV14&lt;&gt;""),AND(UR14&gt;=VE$29,UR14&lt;&gt;"",UT14&gt;=VE$33,UT14&lt;&gt;""),AND(UU14&gt;=VE$29,UU14&lt;&gt;"",UW14&gt;=VE$33,UW14&lt;&gt;""),AND(UY14&gt;=VE$29,UY14&lt;&gt;"",VA14&gt;=VE$33,VA14&lt;&gt;""),AND(VB14&gt;=VE$29,VB14&lt;&gt;"",VD14&gt;=VE$33,VD14&lt;&gt;""),AND(VZ14&gt;=WM$29,VZ14&lt;&gt;"",WB14&gt;=WM$33,WB14&lt;&gt;""),AND(WC14&gt;=WM$29,WC14&lt;&gt;"",WE14&gt;=WM$33,WE14&lt;&gt;""),AND(WG14&gt;=WM$29,WG14&lt;&gt;"",WI14&gt;=WM$33,WI14&lt;&gt;""),AND(WJ14&gt;=WM$29,WJ14&lt;&gt;"",WL14&gt;=WM$33,WL14&lt;&gt;"")),"Excellence",IF(I14="P","Worlds Team",IF(F14="P","National Team","")))))</f>
        <v/>
      </c>
      <c r="I14" s="3" t="str">
        <f>IF(OR(AND(AI14&gt;=AS$28,AI14&lt;&gt;"",AK14&gt;=AS$32,AK14&lt;&gt;"",AH14=""),AND(AL14&gt;=AS$28,AL14&lt;&gt;"",AN14&gt;=AS$32,AN14&lt;&gt;"",AH14=""),AND(AP14&gt;=AS$28,AP14&lt;&gt;"",AR14&gt;=AS$32,AR14&lt;&gt;"",AH14=""),AND(BJ14&gt;=BT$28,BJ14&lt;&gt;"",BL14&gt;=BT$32,BL14&lt;&gt;"",BI14=""),AND(BM14&gt;=BT$28,BM14&lt;&gt;"",BO14&gt;=BT$32,BO14&lt;&gt;"",BI14=""),AND(BQ14&gt;=BT$28,BQ14&lt;&gt;"",BS14&gt;=BT$32,BS14&lt;&gt;"",BI14=""),AND(CK14&gt;=CU$28,CK14&lt;&gt;"",CM14&gt;=CU$32,CM14&lt;&gt;"",CJ14=""),AND(CN14&gt;=CU$28,CN14&lt;&gt;"",CP14&gt;=CU$32,CP14&lt;&gt;"",CJ14=""),AND(CR14&gt;=CU$28,CR14&lt;&gt;"",CT14&gt;=CU$32,CT14&lt;&gt;"",CJ14=""),AND(DR14&gt;=EE$28,DR14&lt;&gt;"",DT14&gt;=EE$32,DT14&lt;&gt;""),AND(DU14&gt;=EE$28,DU14&lt;&gt;"",DW14&gt;=EE$32,DW14&lt;&gt;""),AND(DY14&gt;=EE$28,DY14&lt;&gt;"",EA14&gt;=EE$32,EA14&lt;&gt;""),AND(EB14&gt;=EE$28,EB14&lt;&gt;"",ED14&gt;=EE$32,ED14&lt;&gt;""),AND(EZ14&gt;=FM$28,EZ14&lt;&gt;"",FB14&gt;=FM$32,FB14&lt;&gt;""),AND(FC14&gt;=FM$28,FC14&lt;&gt;"",FE14&gt;=FM$32,FE14&lt;&gt;""),AND(FG14&gt;=FM$28,FG14&lt;&gt;"",FI14&gt;=FM$32,FI14&lt;&gt;""),AND(FJ14&gt;=FM$28,FJ14&lt;&gt;"",FL14&gt;=FM$32,FL14&lt;&gt;""),AND(GH14&gt;=GU$28,GH14&lt;&gt;"",GJ14&gt;=GU$32,GJ14&lt;&gt;""),AND(GK14&gt;=GU$28,GK14&lt;&gt;"",GM14&gt;=GU$32,GM14&lt;&gt;""),AND(GO14&gt;=GU$28,GO14&lt;&gt;"",GQ14&gt;=GU$32,GQ14&lt;&gt;""),AND(GR14&gt;=GU$28,GR14&lt;&gt;"",GT14&gt;=GU$32,GT14&lt;&gt;""),AND(HP14&gt;=IC$28,HP14&lt;&gt;"",HR14&gt;=IC$32,HR14&lt;&gt;""),AND(HS14&gt;=IC$28,HS14&lt;&gt;"",HU14&gt;=IC$32,HU14&lt;&gt;""),AND(HW14&gt;=IC$28,HW14&lt;&gt;"",HY14&gt;=IC$32,HY14&lt;&gt;""),AND(HZ14&gt;=IC$28,HZ14&lt;&gt;"",IB14&gt;=IC$32,IB14&lt;&gt;""),AND(IX14&gt;=JK$28,IX14&lt;&gt;"",IZ14&gt;=JK$32,IZ14&lt;&gt;""),AND(JA14&gt;=JK$28,JA14&lt;&gt;"",JC14&gt;=JK$32,JC14&lt;&gt;""),AND(JE14&gt;=JK$28,JE14&lt;&gt;"",JG14&gt;=JK$32,JG14&lt;&gt;""),AND(JH14&gt;=JK$28,JH14&lt;&gt;"",JJ14&gt;=JK$32,JJ14&lt;&gt;""),AND(KF14&gt;=KS$28,KF14&lt;&gt;"",KH14&gt;=KS$32,KH14&lt;&gt;""),AND(KI14&gt;=KS$28,KI14&lt;&gt;"",KK14&gt;=KS$32,KK14&lt;&gt;""),AND(KM14&gt;=KS$28,KM14&lt;&gt;"",KO14&gt;=KS$32,KO14&lt;&gt;""),AND(KP14&gt;=KS$28,KP14&lt;&gt;"",KR14&gt;=KS$32,KR14&lt;&gt;""),AND(LN14&gt;=MA$28,LN14&lt;&gt;"",LP14&gt;=MA$32,LP14&lt;&gt;""),AND(LQ14&gt;=MA$28,LQ14&lt;&gt;"",LS14&gt;=MA$32,LS14&lt;&gt;""),AND(LU14&gt;=MA$28,LU14&lt;&gt;"",LW14&gt;=MA$32,LW14&lt;&gt;""),AND(LX14&gt;=MA$28,LX14&lt;&gt;"",LZ14&gt;=MA$32,LZ14&lt;&gt;""),AND(MV14&gt;=NI$28,MV14&lt;&gt;"",MX14&gt;=NI$32,MX14&lt;&gt;""),AND(MY14&gt;=NI$28,MY14&lt;&gt;"",NA14&gt;=NI$32,NA14&lt;&gt;""),AND(NC14&gt;=NI$28,NC14&lt;&gt;"",NE14&gt;=NI$32,NE14&lt;&gt;""),AND(NF14&gt;=NI$28,NF14&lt;&gt;"",NH14&gt;=NI$32,NH14&lt;&gt;""),AND(OD14&gt;=OQ$28,OD14&lt;&gt;"",OF14&gt;=OQ$32,OF14&lt;&gt;""),AND(OG14&gt;=OQ$28,OG14&lt;&gt;"",OI14&gt;=OQ$32,OI14&lt;&gt;""),AND(OK14&gt;=OQ$28,OK14&lt;&gt;"",OM14&gt;=OQ$32,OM14&lt;&gt;""),AND(ON14&gt;=OQ$28,ON14&lt;&gt;"",OP14&gt;=OQ$32,OP14&lt;&gt;""),AND(PL14&gt;=PY$28,PL14&lt;&gt;"",PN14&gt;=PY$32,PN14&lt;&gt;""),AND(PO14&gt;=PY$28,PO14&lt;&gt;"",PQ14&gt;=PY$32,PQ14&lt;&gt;""),AND(PS14&gt;=PY$28,PS14&lt;&gt;"",PU14&gt;=PY$32,PU14&lt;&gt;""),AND(PV14&gt;=PY$28,PV14&lt;&gt;"",PX14&gt;=PY$32,PX14&lt;&gt;""),AND(QT14&gt;=RG$28,QT14&lt;&gt;"",QV14&gt;=RG$32,QV14&lt;&gt;""),AND(QW14&gt;=RG$28,QW14&lt;&gt;"",QY14&gt;=RG$32,QY14&lt;&gt;""),AND(RA14&gt;=RG$28,RA14&lt;&gt;"",RC14&gt;=RG$32,RC14&lt;&gt;""),AND(RD14&gt;=RG$28,RD14&lt;&gt;"",RF14&gt;=RG$32,RF14&lt;&gt;""),AND(SB14&gt;=SO$28,SB14&lt;&gt;"",SD14&gt;=SO$32,SD14&lt;&gt;""),AND(SE14&gt;=SO$28,SE14&lt;&gt;"",SG14&gt;=SO$32,SG14&lt;&gt;""),AND(SI14&gt;=SO$28,SI14&lt;&gt;"",SK14&gt;=SO$32,SK14&lt;&gt;""),AND(SL14&gt;=SO$28,SL14&lt;&gt;"",SN14&gt;=SO$32,SN14&lt;&gt;""),AND(TJ14&gt;=TW$28,TJ14&lt;&gt;"",TL14&gt;=TW$32,TL14&lt;&gt;""),AND(TM14&gt;=TW$28,TM14&lt;&gt;"",TO14&gt;=TW$32,TO14&lt;&gt;""),AND(TQ14&gt;=TW$28,TQ14&lt;&gt;"",TS14&gt;=TW$32,TXQ14&lt;&gt;""),AND(TT14&gt;=TW$28,TT14&lt;&gt;"",TV14&gt;=TW$32,TV14&lt;&gt;""),AND(UR14&gt;=VE$28,UR14&lt;&gt;"",UT14&gt;=VE$32,UT14&lt;&gt;""),AND(UU14&gt;=VE$28,UU14&lt;&gt;"",UW14&gt;=VE$32,UW14&lt;&gt;""),AND(UY14&gt;=VE$28,UY14&lt;&gt;"",VA14&gt;=VE$32,VA14&lt;&gt;""),AND(VB14&gt;=VE$28,VB14&lt;&gt;"",VD14&gt;=VE$32,VD14&lt;&gt;""),AND(VZ14&gt;=WM$28,VZ14&lt;&gt;"",WB14&gt;=WM$32,WB14&lt;&gt;""),AND(WC14&gt;=WM$28,WC14&lt;&gt;"",WE14&gt;=WM$32,WE14&lt;&gt;""),AND(WG14&gt;=WM$28,WG14&lt;&gt;"",WI14&gt;=WM$32,WI14&lt;&gt;""),AND(WJ14&gt;=WM$28,WJ14&lt;&gt;"",WL14&gt;=WM$32,WL14&lt;&gt;"")),"P","")</f>
        <v/>
      </c>
      <c r="J14" s="8">
        <f t="shared" si="1"/>
        <v>57.697499999999998</v>
      </c>
      <c r="K14" s="8" t="str">
        <f t="shared" si="2"/>
        <v>2025 3rd Domestic Trial</v>
      </c>
      <c r="L14" s="8">
        <f>IFERROR(IF(J14=AR14,LARGE((AK14,AN14,BL14,BO14,BS14,CM14,CP14,CT14),1),IF(J14=BS14,LARGE((AK14,AN14,AR14,BL14,BO14,CM14,CP14,CT14),1),LARGE((AK14,AN14,AR14,BL14,BO14,BS14,CM14,CP14),1))),0)</f>
        <v>57.697499999999998</v>
      </c>
      <c r="M14" s="8" t="str">
        <f t="shared" si="3"/>
        <v>2025 3rd Domestic Trial</v>
      </c>
      <c r="N14" s="8">
        <f>IFERROR(IF(J14=AR14,LARGE((AK14,AN14,BL14,BO14,BS14,CM14,CP14,CT14),2),IF(J14=BS14,LARGE((AK14,AN14,AR14,BL14,BO14,CM14,CP14,CT14),2),LARGE((AK14,AN14,AR14,BL14,BO14,BS14,CM14,CP14),2))),0)</f>
        <v>45.17</v>
      </c>
      <c r="O14" s="8" t="str">
        <f t="shared" si="4"/>
        <v>2025 3rd Domestic Trial</v>
      </c>
      <c r="P14" s="8">
        <f t="shared" si="5"/>
        <v>0</v>
      </c>
      <c r="Q14" s="11" t="str">
        <f t="shared" si="6"/>
        <v/>
      </c>
      <c r="R14" s="8" t="str">
        <f t="shared" si="7"/>
        <v/>
      </c>
      <c r="S14" s="18">
        <v>12.475</v>
      </c>
      <c r="T14" s="18">
        <v>7.2</v>
      </c>
      <c r="U14" s="18">
        <v>12.324999999999999</v>
      </c>
      <c r="V14" s="18">
        <v>13.17</v>
      </c>
      <c r="W14" s="18">
        <v>0</v>
      </c>
      <c r="X14" s="18">
        <v>9.2249999999999996</v>
      </c>
      <c r="Y14" s="18">
        <v>5.5750000000000002</v>
      </c>
      <c r="Z14" s="18">
        <v>10.15</v>
      </c>
      <c r="AA14" s="18">
        <v>10.1175</v>
      </c>
      <c r="AB14" s="18">
        <v>0</v>
      </c>
      <c r="AC14" s="18">
        <v>15.85</v>
      </c>
      <c r="AD14" s="18">
        <v>9.2249999999999996</v>
      </c>
      <c r="AE14" s="18">
        <v>15.95</v>
      </c>
      <c r="AF14" s="18">
        <v>16.672499999999999</v>
      </c>
      <c r="AG14" s="18">
        <v>0</v>
      </c>
      <c r="AH14" s="23" t="s">
        <v>42</v>
      </c>
      <c r="AI14" s="34">
        <f t="shared" si="8"/>
        <v>12.324999999999999</v>
      </c>
      <c r="AJ14" s="34">
        <f t="shared" si="9"/>
        <v>13.17</v>
      </c>
      <c r="AK14" s="36">
        <f t="shared" si="10"/>
        <v>45.17</v>
      </c>
      <c r="AL14" s="36">
        <f t="shared" si="11"/>
        <v>10.15</v>
      </c>
      <c r="AM14" s="36">
        <f t="shared" si="12"/>
        <v>10.1175</v>
      </c>
      <c r="AN14" s="36">
        <f t="shared" si="13"/>
        <v>35.067500000000003</v>
      </c>
      <c r="AO14" s="36">
        <f t="shared" si="14"/>
        <v>45.17</v>
      </c>
      <c r="AP14" s="36">
        <f t="shared" si="15"/>
        <v>15.95</v>
      </c>
      <c r="AQ14" s="36">
        <f t="shared" si="16"/>
        <v>16.672499999999999</v>
      </c>
      <c r="AR14" s="36">
        <f t="shared" si="17"/>
        <v>57.697499999999998</v>
      </c>
      <c r="AS14" s="36">
        <f t="shared" si="18"/>
        <v>102.86750000000001</v>
      </c>
      <c r="AT14" s="22">
        <v>12.475</v>
      </c>
      <c r="AU14" s="22">
        <v>7.2</v>
      </c>
      <c r="AV14" s="22">
        <v>12.324999999999999</v>
      </c>
      <c r="AW14" s="22">
        <v>13.17</v>
      </c>
      <c r="AX14" s="22">
        <v>0</v>
      </c>
      <c r="AY14" s="22">
        <v>9.2249999999999996</v>
      </c>
      <c r="AZ14" s="22">
        <v>5.5750000000000002</v>
      </c>
      <c r="BA14" s="22">
        <v>10.15</v>
      </c>
      <c r="BB14" s="22">
        <v>10.1175</v>
      </c>
      <c r="BC14" s="22">
        <v>0</v>
      </c>
      <c r="BD14" s="22">
        <v>15.85</v>
      </c>
      <c r="BE14" s="22">
        <v>9.2249999999999996</v>
      </c>
      <c r="BF14" s="22">
        <v>15.95</v>
      </c>
      <c r="BG14" s="22">
        <v>16.672499999999999</v>
      </c>
      <c r="BH14" s="22">
        <v>0</v>
      </c>
      <c r="BI14" s="24" t="s">
        <v>42</v>
      </c>
      <c r="BJ14" s="35">
        <f t="shared" si="19"/>
        <v>12.324999999999999</v>
      </c>
      <c r="BK14" s="35">
        <f t="shared" si="20"/>
        <v>13.17</v>
      </c>
      <c r="BL14" s="11">
        <f t="shared" si="21"/>
        <v>45.17</v>
      </c>
      <c r="BM14" s="11">
        <f t="shared" si="22"/>
        <v>10.15</v>
      </c>
      <c r="BN14" s="11">
        <f t="shared" si="23"/>
        <v>10.1175</v>
      </c>
      <c r="BO14" s="11">
        <f t="shared" si="24"/>
        <v>35.067500000000003</v>
      </c>
      <c r="BP14" s="11">
        <f t="shared" si="25"/>
        <v>45.17</v>
      </c>
      <c r="BQ14" s="11">
        <f t="shared" si="26"/>
        <v>15.95</v>
      </c>
      <c r="BR14" s="11">
        <f t="shared" si="27"/>
        <v>16.672499999999999</v>
      </c>
      <c r="BS14" s="11">
        <f t="shared" si="28"/>
        <v>57.697499999999998</v>
      </c>
      <c r="BT14" s="11">
        <f t="shared" si="29"/>
        <v>102.86750000000001</v>
      </c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23"/>
      <c r="CK14" s="34" t="str">
        <f t="shared" si="30"/>
        <v/>
      </c>
      <c r="CL14" s="34" t="str">
        <f t="shared" si="31"/>
        <v/>
      </c>
      <c r="CM14" s="36" t="str">
        <f t="shared" si="32"/>
        <v/>
      </c>
      <c r="CN14" s="36" t="str">
        <f t="shared" si="33"/>
        <v/>
      </c>
      <c r="CO14" s="36" t="str">
        <f t="shared" si="34"/>
        <v/>
      </c>
      <c r="CP14" s="36" t="str">
        <f t="shared" si="35"/>
        <v/>
      </c>
      <c r="CQ14" s="36" t="str">
        <f t="shared" si="36"/>
        <v/>
      </c>
      <c r="CR14" s="36" t="str">
        <f t="shared" si="37"/>
        <v/>
      </c>
      <c r="CS14" s="36" t="str">
        <f t="shared" si="38"/>
        <v/>
      </c>
      <c r="CT14" s="36" t="str">
        <f t="shared" si="39"/>
        <v/>
      </c>
      <c r="CU14" s="36" t="str">
        <f t="shared" si="40"/>
        <v/>
      </c>
      <c r="CV14" s="47" t="str">
        <f t="shared" si="41"/>
        <v/>
      </c>
      <c r="CW14" s="47" t="str">
        <f t="shared" si="42"/>
        <v/>
      </c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36" t="str">
        <f t="shared" si="43"/>
        <v/>
      </c>
      <c r="DS14" s="36" t="str">
        <f t="shared" si="44"/>
        <v/>
      </c>
      <c r="DT14" s="36" t="str">
        <f t="shared" si="45"/>
        <v/>
      </c>
      <c r="DU14" s="36" t="str">
        <f t="shared" si="46"/>
        <v/>
      </c>
      <c r="DV14" s="36" t="str">
        <f t="shared" si="47"/>
        <v/>
      </c>
      <c r="DW14" s="36" t="str">
        <f t="shared" si="48"/>
        <v/>
      </c>
      <c r="DX14" s="36" t="str">
        <f t="shared" si="49"/>
        <v/>
      </c>
      <c r="DY14" s="36" t="str">
        <f t="shared" si="50"/>
        <v/>
      </c>
      <c r="DZ14" s="36" t="str">
        <f t="shared" si="51"/>
        <v/>
      </c>
      <c r="EA14" s="36" t="str">
        <f t="shared" si="52"/>
        <v/>
      </c>
      <c r="EB14" s="36" t="str">
        <f t="shared" si="53"/>
        <v/>
      </c>
      <c r="EC14" s="36" t="str">
        <f t="shared" si="54"/>
        <v/>
      </c>
      <c r="ED14" s="36" t="str">
        <f t="shared" si="55"/>
        <v/>
      </c>
      <c r="EE14" s="36" t="str">
        <f t="shared" si="56"/>
        <v/>
      </c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1" t="str">
        <f t="shared" si="57"/>
        <v/>
      </c>
      <c r="FA14" s="11" t="str">
        <f t="shared" si="58"/>
        <v/>
      </c>
      <c r="FB14" s="11" t="str">
        <f t="shared" si="59"/>
        <v/>
      </c>
      <c r="FC14" s="11" t="str">
        <f t="shared" si="60"/>
        <v/>
      </c>
      <c r="FD14" s="11" t="str">
        <f t="shared" si="61"/>
        <v/>
      </c>
      <c r="FE14" s="11" t="str">
        <f t="shared" si="62"/>
        <v/>
      </c>
      <c r="FF14" s="11" t="str">
        <f t="shared" si="63"/>
        <v/>
      </c>
      <c r="FG14" s="11" t="str">
        <f t="shared" si="64"/>
        <v/>
      </c>
      <c r="FH14" s="11" t="str">
        <f t="shared" si="65"/>
        <v/>
      </c>
      <c r="FI14" s="11" t="str">
        <f t="shared" si="66"/>
        <v/>
      </c>
      <c r="FJ14" s="11" t="str">
        <f t="shared" si="67"/>
        <v/>
      </c>
      <c r="FK14" s="11" t="str">
        <f t="shared" si="68"/>
        <v/>
      </c>
      <c r="FL14" s="11" t="str">
        <f t="shared" si="69"/>
        <v/>
      </c>
      <c r="FM14" s="11" t="str">
        <f t="shared" si="70"/>
        <v/>
      </c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36" t="str">
        <f t="shared" si="71"/>
        <v/>
      </c>
      <c r="GI14" s="36" t="str">
        <f t="shared" si="72"/>
        <v/>
      </c>
      <c r="GJ14" s="36" t="str">
        <f t="shared" si="73"/>
        <v/>
      </c>
      <c r="GK14" s="36" t="str">
        <f t="shared" si="74"/>
        <v/>
      </c>
      <c r="GL14" s="36" t="str">
        <f t="shared" si="75"/>
        <v/>
      </c>
      <c r="GM14" s="36" t="str">
        <f t="shared" si="76"/>
        <v/>
      </c>
      <c r="GN14" s="36" t="str">
        <f t="shared" si="77"/>
        <v/>
      </c>
      <c r="GO14" s="36" t="str">
        <f t="shared" si="78"/>
        <v/>
      </c>
      <c r="GP14" s="36" t="str">
        <f t="shared" si="79"/>
        <v/>
      </c>
      <c r="GQ14" s="36" t="str">
        <f t="shared" si="80"/>
        <v/>
      </c>
      <c r="GR14" s="36" t="str">
        <f t="shared" si="81"/>
        <v/>
      </c>
      <c r="GS14" s="36" t="str">
        <f t="shared" si="82"/>
        <v/>
      </c>
      <c r="GT14" s="36" t="str">
        <f t="shared" si="83"/>
        <v/>
      </c>
      <c r="GU14" s="36" t="str">
        <f t="shared" si="84"/>
        <v/>
      </c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1" t="str">
        <f t="shared" si="85"/>
        <v/>
      </c>
      <c r="HQ14" s="11" t="str">
        <f t="shared" si="86"/>
        <v/>
      </c>
      <c r="HR14" s="11" t="str">
        <f t="shared" si="87"/>
        <v/>
      </c>
      <c r="HS14" s="11" t="str">
        <f t="shared" si="88"/>
        <v/>
      </c>
      <c r="HT14" s="11" t="str">
        <f t="shared" si="89"/>
        <v/>
      </c>
      <c r="HU14" s="11" t="str">
        <f t="shared" si="90"/>
        <v/>
      </c>
      <c r="HV14" s="11" t="str">
        <f t="shared" si="91"/>
        <v/>
      </c>
      <c r="HW14" s="11" t="str">
        <f t="shared" si="92"/>
        <v/>
      </c>
      <c r="HX14" s="11" t="str">
        <f t="shared" si="93"/>
        <v/>
      </c>
      <c r="HY14" s="11" t="str">
        <f t="shared" si="94"/>
        <v/>
      </c>
      <c r="HZ14" s="11" t="str">
        <f t="shared" si="95"/>
        <v/>
      </c>
      <c r="IA14" s="11" t="str">
        <f t="shared" si="96"/>
        <v/>
      </c>
      <c r="IB14" s="11" t="str">
        <f t="shared" si="97"/>
        <v/>
      </c>
      <c r="IC14" s="11" t="str">
        <f t="shared" si="98"/>
        <v/>
      </c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36" t="str">
        <f t="shared" si="99"/>
        <v/>
      </c>
      <c r="IY14" s="36" t="str">
        <f t="shared" si="100"/>
        <v/>
      </c>
      <c r="IZ14" s="36" t="str">
        <f t="shared" si="101"/>
        <v/>
      </c>
      <c r="JA14" s="36" t="str">
        <f t="shared" si="102"/>
        <v/>
      </c>
      <c r="JB14" s="36" t="str">
        <f t="shared" si="103"/>
        <v/>
      </c>
      <c r="JC14" s="36" t="str">
        <f t="shared" si="104"/>
        <v/>
      </c>
      <c r="JD14" s="36" t="str">
        <f t="shared" si="105"/>
        <v/>
      </c>
      <c r="JE14" s="36" t="str">
        <f t="shared" si="106"/>
        <v/>
      </c>
      <c r="JF14" s="36" t="str">
        <f t="shared" si="107"/>
        <v/>
      </c>
      <c r="JG14" s="36" t="str">
        <f t="shared" si="108"/>
        <v/>
      </c>
      <c r="JH14" s="36" t="str">
        <f t="shared" si="109"/>
        <v/>
      </c>
      <c r="JI14" s="36" t="str">
        <f t="shared" si="110"/>
        <v/>
      </c>
      <c r="JJ14" s="36" t="str">
        <f t="shared" si="111"/>
        <v/>
      </c>
      <c r="JK14" s="36" t="str">
        <f t="shared" si="112"/>
        <v/>
      </c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6"/>
      <c r="KD14" s="16"/>
      <c r="KE14" s="16"/>
      <c r="KF14" s="11" t="str">
        <f t="shared" si="113"/>
        <v/>
      </c>
      <c r="KG14" s="11" t="str">
        <f t="shared" si="114"/>
        <v/>
      </c>
      <c r="KH14" s="11" t="str">
        <f t="shared" si="115"/>
        <v/>
      </c>
      <c r="KI14" s="11" t="str">
        <f t="shared" si="116"/>
        <v/>
      </c>
      <c r="KJ14" s="11" t="str">
        <f t="shared" si="117"/>
        <v/>
      </c>
      <c r="KK14" s="11" t="str">
        <f t="shared" si="118"/>
        <v/>
      </c>
      <c r="KL14" s="11" t="str">
        <f t="shared" si="119"/>
        <v/>
      </c>
      <c r="KM14" s="11" t="str">
        <f t="shared" si="120"/>
        <v/>
      </c>
      <c r="KN14" s="11" t="str">
        <f t="shared" si="121"/>
        <v/>
      </c>
      <c r="KO14" s="11" t="str">
        <f t="shared" si="122"/>
        <v/>
      </c>
      <c r="KP14" s="11" t="str">
        <f t="shared" si="123"/>
        <v/>
      </c>
      <c r="KQ14" s="11" t="str">
        <f t="shared" si="124"/>
        <v/>
      </c>
      <c r="KR14" s="11" t="str">
        <f t="shared" si="125"/>
        <v/>
      </c>
      <c r="KS14" s="11" t="str">
        <f t="shared" si="126"/>
        <v/>
      </c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36" t="str">
        <f t="shared" si="127"/>
        <v/>
      </c>
      <c r="LO14" s="36" t="str">
        <f t="shared" si="128"/>
        <v/>
      </c>
      <c r="LP14" s="36" t="str">
        <f t="shared" si="129"/>
        <v/>
      </c>
      <c r="LQ14" s="36" t="str">
        <f t="shared" si="130"/>
        <v/>
      </c>
      <c r="LR14" s="36" t="str">
        <f t="shared" si="131"/>
        <v/>
      </c>
      <c r="LS14" s="36" t="str">
        <f t="shared" si="132"/>
        <v/>
      </c>
      <c r="LT14" s="36" t="str">
        <f t="shared" si="133"/>
        <v/>
      </c>
      <c r="LU14" s="36" t="str">
        <f t="shared" si="134"/>
        <v/>
      </c>
      <c r="LV14" s="36" t="str">
        <f t="shared" si="135"/>
        <v/>
      </c>
      <c r="LW14" s="36" t="str">
        <f t="shared" si="136"/>
        <v/>
      </c>
      <c r="LX14" s="36" t="str">
        <f t="shared" si="137"/>
        <v/>
      </c>
      <c r="LY14" s="36" t="str">
        <f t="shared" si="138"/>
        <v/>
      </c>
      <c r="LZ14" s="36" t="str">
        <f t="shared" si="139"/>
        <v/>
      </c>
      <c r="MA14" s="36" t="str">
        <f t="shared" si="140"/>
        <v/>
      </c>
      <c r="MB14" s="16"/>
      <c r="MC14" s="16"/>
      <c r="MD14" s="16"/>
      <c r="ME14" s="16"/>
      <c r="MF14" s="16"/>
      <c r="MG14" s="16"/>
      <c r="MH14" s="16"/>
      <c r="MI14" s="16"/>
      <c r="MJ14" s="16"/>
      <c r="MK14" s="16"/>
      <c r="ML14" s="16"/>
      <c r="MM14" s="16"/>
      <c r="MN14" s="16"/>
      <c r="MO14" s="16"/>
      <c r="MP14" s="16"/>
      <c r="MQ14" s="16"/>
      <c r="MR14" s="16"/>
      <c r="MS14" s="16"/>
      <c r="MT14" s="16"/>
      <c r="MU14" s="16"/>
      <c r="MV14" s="11" t="str">
        <f t="shared" si="141"/>
        <v/>
      </c>
      <c r="MW14" s="11" t="str">
        <f t="shared" si="142"/>
        <v/>
      </c>
      <c r="MX14" s="11" t="str">
        <f t="shared" si="143"/>
        <v/>
      </c>
      <c r="MY14" s="11" t="str">
        <f t="shared" si="144"/>
        <v/>
      </c>
      <c r="MZ14" s="11" t="str">
        <f t="shared" si="145"/>
        <v/>
      </c>
      <c r="NA14" s="11" t="str">
        <f t="shared" si="146"/>
        <v/>
      </c>
      <c r="NB14" s="11" t="str">
        <f t="shared" si="147"/>
        <v/>
      </c>
      <c r="NC14" s="11" t="str">
        <f t="shared" si="148"/>
        <v/>
      </c>
      <c r="ND14" s="11" t="str">
        <f t="shared" si="149"/>
        <v/>
      </c>
      <c r="NE14" s="11" t="str">
        <f t="shared" si="150"/>
        <v/>
      </c>
      <c r="NF14" s="11" t="str">
        <f t="shared" si="151"/>
        <v/>
      </c>
      <c r="NG14" s="11" t="str">
        <f t="shared" si="152"/>
        <v/>
      </c>
      <c r="NH14" s="11" t="str">
        <f t="shared" si="153"/>
        <v/>
      </c>
      <c r="NI14" s="11" t="str">
        <f t="shared" si="154"/>
        <v/>
      </c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36" t="str">
        <f t="shared" si="155"/>
        <v/>
      </c>
      <c r="OE14" s="36" t="str">
        <f t="shared" si="156"/>
        <v/>
      </c>
      <c r="OF14" s="36" t="str">
        <f t="shared" si="157"/>
        <v/>
      </c>
      <c r="OG14" s="36" t="str">
        <f t="shared" si="158"/>
        <v/>
      </c>
      <c r="OH14" s="36" t="str">
        <f t="shared" si="159"/>
        <v/>
      </c>
      <c r="OI14" s="36" t="str">
        <f t="shared" si="160"/>
        <v/>
      </c>
      <c r="OJ14" s="36" t="str">
        <f t="shared" si="161"/>
        <v/>
      </c>
      <c r="OK14" s="36" t="str">
        <f t="shared" si="162"/>
        <v/>
      </c>
      <c r="OL14" s="36" t="str">
        <f t="shared" si="163"/>
        <v/>
      </c>
      <c r="OM14" s="36" t="str">
        <f t="shared" si="164"/>
        <v/>
      </c>
      <c r="ON14" s="36" t="str">
        <f t="shared" si="165"/>
        <v/>
      </c>
      <c r="OO14" s="36" t="str">
        <f t="shared" si="166"/>
        <v/>
      </c>
      <c r="OP14" s="36" t="str">
        <f t="shared" si="167"/>
        <v/>
      </c>
      <c r="OQ14" s="36" t="str">
        <f t="shared" si="168"/>
        <v/>
      </c>
      <c r="OR14" s="16"/>
      <c r="OS14" s="16"/>
      <c r="OT14" s="16"/>
      <c r="OU14" s="16"/>
      <c r="OV14" s="16"/>
      <c r="OW14" s="16"/>
      <c r="OX14" s="16"/>
      <c r="OY14" s="16"/>
      <c r="OZ14" s="16"/>
      <c r="PA14" s="16"/>
      <c r="PB14" s="16"/>
      <c r="PC14" s="16"/>
      <c r="PD14" s="16"/>
      <c r="PE14" s="16"/>
      <c r="PF14" s="16"/>
      <c r="PG14" s="16"/>
      <c r="PH14" s="16"/>
      <c r="PI14" s="16"/>
      <c r="PJ14" s="16"/>
      <c r="PK14" s="16"/>
      <c r="PL14" s="11" t="str">
        <f t="shared" si="169"/>
        <v/>
      </c>
      <c r="PM14" s="11" t="str">
        <f t="shared" si="170"/>
        <v/>
      </c>
      <c r="PN14" s="11" t="str">
        <f t="shared" si="171"/>
        <v/>
      </c>
      <c r="PO14" s="11" t="str">
        <f t="shared" si="172"/>
        <v/>
      </c>
      <c r="PP14" s="11" t="str">
        <f t="shared" si="173"/>
        <v/>
      </c>
      <c r="PQ14" s="11" t="str">
        <f t="shared" si="174"/>
        <v/>
      </c>
      <c r="PR14" s="11" t="str">
        <f t="shared" si="175"/>
        <v/>
      </c>
      <c r="PS14" s="11" t="str">
        <f t="shared" si="176"/>
        <v/>
      </c>
      <c r="PT14" s="11" t="str">
        <f t="shared" si="177"/>
        <v/>
      </c>
      <c r="PU14" s="11" t="str">
        <f t="shared" si="178"/>
        <v/>
      </c>
      <c r="PV14" s="11" t="str">
        <f t="shared" si="179"/>
        <v/>
      </c>
      <c r="PW14" s="11" t="str">
        <f t="shared" si="180"/>
        <v/>
      </c>
      <c r="PX14" s="11" t="str">
        <f t="shared" si="181"/>
        <v/>
      </c>
      <c r="PY14" s="11" t="str">
        <f t="shared" si="182"/>
        <v/>
      </c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36" t="str">
        <f t="shared" si="183"/>
        <v/>
      </c>
      <c r="QU14" s="36" t="str">
        <f t="shared" si="184"/>
        <v/>
      </c>
      <c r="QV14" s="36" t="str">
        <f t="shared" si="185"/>
        <v/>
      </c>
      <c r="QW14" s="36" t="str">
        <f t="shared" si="186"/>
        <v/>
      </c>
      <c r="QX14" s="36" t="str">
        <f t="shared" si="187"/>
        <v/>
      </c>
      <c r="QY14" s="36" t="str">
        <f t="shared" si="188"/>
        <v/>
      </c>
      <c r="QZ14" s="36" t="str">
        <f t="shared" si="189"/>
        <v/>
      </c>
      <c r="RA14" s="36" t="str">
        <f t="shared" si="190"/>
        <v/>
      </c>
      <c r="RB14" s="36" t="str">
        <f t="shared" si="191"/>
        <v/>
      </c>
      <c r="RC14" s="36" t="str">
        <f t="shared" si="192"/>
        <v/>
      </c>
      <c r="RD14" s="36" t="str">
        <f t="shared" si="193"/>
        <v/>
      </c>
      <c r="RE14" s="36" t="str">
        <f t="shared" si="194"/>
        <v/>
      </c>
      <c r="RF14" s="36" t="str">
        <f t="shared" si="195"/>
        <v/>
      </c>
      <c r="RG14" s="36" t="str">
        <f t="shared" si="196"/>
        <v/>
      </c>
      <c r="RH14" s="16"/>
      <c r="RI14" s="16"/>
      <c r="RJ14" s="16"/>
      <c r="RK14" s="16"/>
      <c r="RL14" s="16"/>
      <c r="RM14" s="16"/>
      <c r="RN14" s="16"/>
      <c r="RO14" s="16"/>
      <c r="RP14" s="16"/>
      <c r="RQ14" s="16"/>
      <c r="RR14" s="16"/>
      <c r="RS14" s="16"/>
      <c r="RT14" s="16"/>
      <c r="RU14" s="16"/>
      <c r="RV14" s="16"/>
      <c r="RW14" s="16"/>
      <c r="RX14" s="16"/>
      <c r="RY14" s="16"/>
      <c r="RZ14" s="16"/>
      <c r="SA14" s="16"/>
      <c r="SB14" s="11" t="str">
        <f t="shared" si="197"/>
        <v/>
      </c>
      <c r="SC14" s="11" t="str">
        <f t="shared" si="198"/>
        <v/>
      </c>
      <c r="SD14" s="11" t="str">
        <f t="shared" si="199"/>
        <v/>
      </c>
      <c r="SE14" s="11" t="str">
        <f t="shared" si="200"/>
        <v/>
      </c>
      <c r="SF14" s="11" t="str">
        <f t="shared" si="201"/>
        <v/>
      </c>
      <c r="SG14" s="11" t="str">
        <f t="shared" si="202"/>
        <v/>
      </c>
      <c r="SH14" s="11" t="str">
        <f t="shared" si="203"/>
        <v/>
      </c>
      <c r="SI14" s="11" t="str">
        <f t="shared" si="204"/>
        <v/>
      </c>
      <c r="SJ14" s="11" t="str">
        <f t="shared" si="205"/>
        <v/>
      </c>
      <c r="SK14" s="11" t="str">
        <f t="shared" si="206"/>
        <v/>
      </c>
      <c r="SL14" s="11" t="str">
        <f t="shared" si="207"/>
        <v/>
      </c>
      <c r="SM14" s="11" t="str">
        <f t="shared" si="208"/>
        <v/>
      </c>
      <c r="SN14" s="11" t="str">
        <f t="shared" si="209"/>
        <v/>
      </c>
      <c r="SO14" s="11" t="str">
        <f t="shared" si="210"/>
        <v/>
      </c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36" t="str">
        <f t="shared" si="211"/>
        <v/>
      </c>
      <c r="TK14" s="36" t="str">
        <f t="shared" si="212"/>
        <v/>
      </c>
      <c r="TL14" s="36" t="str">
        <f t="shared" si="213"/>
        <v/>
      </c>
      <c r="TM14" s="36" t="str">
        <f t="shared" si="214"/>
        <v/>
      </c>
      <c r="TN14" s="36" t="str">
        <f t="shared" si="215"/>
        <v/>
      </c>
      <c r="TO14" s="36" t="str">
        <f t="shared" si="216"/>
        <v/>
      </c>
      <c r="TP14" s="36" t="str">
        <f t="shared" si="217"/>
        <v/>
      </c>
      <c r="TQ14" s="36" t="str">
        <f t="shared" si="218"/>
        <v/>
      </c>
      <c r="TR14" s="36" t="str">
        <f t="shared" si="219"/>
        <v/>
      </c>
      <c r="TS14" s="36" t="str">
        <f t="shared" si="220"/>
        <v/>
      </c>
      <c r="TT14" s="36" t="str">
        <f t="shared" si="221"/>
        <v/>
      </c>
      <c r="TU14" s="36" t="str">
        <f t="shared" si="222"/>
        <v/>
      </c>
      <c r="TV14" s="36" t="str">
        <f t="shared" si="223"/>
        <v/>
      </c>
      <c r="TW14" s="36" t="str">
        <f t="shared" si="224"/>
        <v/>
      </c>
      <c r="TX14" s="16"/>
      <c r="TY14" s="16"/>
      <c r="TZ14" s="16"/>
      <c r="UA14" s="16"/>
      <c r="UB14" s="16"/>
      <c r="UC14" s="16"/>
      <c r="UD14" s="16"/>
      <c r="UE14" s="16"/>
      <c r="UF14" s="16"/>
      <c r="UG14" s="16"/>
      <c r="UH14" s="16"/>
      <c r="UI14" s="16"/>
      <c r="UJ14" s="16"/>
      <c r="UK14" s="16"/>
      <c r="UL14" s="16"/>
      <c r="UM14" s="16"/>
      <c r="UN14" s="16"/>
      <c r="UO14" s="16"/>
      <c r="UP14" s="16"/>
      <c r="UQ14" s="16"/>
      <c r="UR14" s="11" t="str">
        <f t="shared" si="225"/>
        <v/>
      </c>
      <c r="US14" s="11" t="str">
        <f t="shared" si="226"/>
        <v/>
      </c>
      <c r="UT14" s="11" t="str">
        <f t="shared" si="227"/>
        <v/>
      </c>
      <c r="UU14" s="11" t="str">
        <f t="shared" si="228"/>
        <v/>
      </c>
      <c r="UV14" s="11" t="str">
        <f t="shared" si="229"/>
        <v/>
      </c>
      <c r="UW14" s="11" t="str">
        <f t="shared" si="230"/>
        <v/>
      </c>
      <c r="UX14" s="11" t="str">
        <f t="shared" si="231"/>
        <v/>
      </c>
      <c r="UY14" s="11" t="str">
        <f t="shared" si="232"/>
        <v/>
      </c>
      <c r="UZ14" s="11" t="str">
        <f t="shared" si="233"/>
        <v/>
      </c>
      <c r="VA14" s="11" t="str">
        <f t="shared" si="234"/>
        <v/>
      </c>
      <c r="VB14" s="11" t="str">
        <f t="shared" si="235"/>
        <v/>
      </c>
      <c r="VC14" s="11" t="str">
        <f t="shared" si="236"/>
        <v/>
      </c>
      <c r="VD14" s="11" t="str">
        <f t="shared" si="237"/>
        <v/>
      </c>
      <c r="VE14" s="11" t="str">
        <f t="shared" si="238"/>
        <v/>
      </c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36" t="str">
        <f t="shared" si="239"/>
        <v/>
      </c>
      <c r="WA14" s="36" t="str">
        <f t="shared" si="240"/>
        <v/>
      </c>
      <c r="WB14" s="36" t="str">
        <f t="shared" si="241"/>
        <v/>
      </c>
      <c r="WC14" s="36" t="str">
        <f t="shared" si="242"/>
        <v/>
      </c>
      <c r="WD14" s="36" t="str">
        <f t="shared" si="243"/>
        <v/>
      </c>
      <c r="WE14" s="36" t="str">
        <f t="shared" si="244"/>
        <v/>
      </c>
      <c r="WF14" s="36" t="str">
        <f t="shared" si="245"/>
        <v/>
      </c>
      <c r="WG14" s="36" t="str">
        <f t="shared" si="246"/>
        <v/>
      </c>
      <c r="WH14" s="36" t="str">
        <f t="shared" si="247"/>
        <v/>
      </c>
      <c r="WI14" s="36" t="str">
        <f t="shared" si="248"/>
        <v/>
      </c>
      <c r="WJ14" s="36" t="str">
        <f t="shared" si="249"/>
        <v/>
      </c>
      <c r="WK14" s="36" t="str">
        <f t="shared" si="250"/>
        <v/>
      </c>
      <c r="WL14" s="36" t="str">
        <f t="shared" si="251"/>
        <v/>
      </c>
      <c r="WM14" s="36" t="str">
        <f t="shared" si="252"/>
        <v/>
      </c>
    </row>
    <row r="15" spans="1:611" x14ac:dyDescent="0.2">
      <c r="A15" s="4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>8</v>
      </c>
      <c r="B15" s="5" t="s">
        <v>87</v>
      </c>
      <c r="C15" s="4" t="s">
        <v>7</v>
      </c>
      <c r="D15" s="4">
        <v>2006</v>
      </c>
      <c r="E15" s="9">
        <f t="shared" si="0"/>
        <v>150.3500150350055</v>
      </c>
      <c r="F15" s="3" t="str">
        <f>IF(OR(AND(AI15&gt;=AS$27,AI15&lt;&gt;"",AK15&gt;=AS$31,AK15&lt;&gt;"",AH15=""),AND(AL15&gt;=AS$27,AL15&lt;&gt;"",AN15&gt;=AS$31,AN15&lt;&gt;"",AH15=""),AND(AP15&gt;=AS$27,AP15&lt;&gt;"",AR15&gt;=AS$31,AR15&lt;&gt;"",AH15=""),AND(BJ15&gt;=BT$27,BJ15&lt;&gt;"",BL15&gt;=BT$31,BL15&lt;&gt;"",BI15=""),AND(BM15&gt;=BT$27,BM15&lt;&gt;"",BO15&gt;=BT$31,BO15&lt;&gt;"",BI15=""),AND(BQ15&gt;=BT$27,BQ15&lt;&gt;"",BS15&gt;=BT$31,BS15&lt;&gt;"",BI15=""),AND(CK15&gt;=CU$27,CK15&lt;&gt;"",CM15&gt;=CU$31,CM15&lt;&gt;"",CJ15=""),AND(CN15&gt;=CU$27,CN15&lt;&gt;"",CP15&gt;=CU$31,CP15&lt;&gt;"",CJ15=""),AND(CR15&gt;=CU$27,CR15&lt;&gt;"",CT15&gt;=CU$31,CT15&lt;&gt;"",CJ15=""),AND(DR15&gt;=EE$27,DR15&lt;&gt;"",DT15&gt;=EE$31,DT15&lt;&gt;""),AND(DU15&gt;=EE$27,DU15&lt;&gt;"",DW15&gt;=EE$31,DW15&lt;&gt;""),AND(DY15&gt;=EE$27,DY15&lt;&gt;"",EA15&gt;=EE$31,EA15&lt;&gt;""),AND(EB15&gt;=EE$27,EB15&lt;&gt;"",ED15&gt;=EE$31,ED15&lt;&gt;""),AND(EZ15&gt;=FM$27,EZ15&lt;&gt;"",FB15&gt;=FM$31,FB15&lt;&gt;""),AND(FC15&gt;=FM$27,FC15&lt;&gt;"",FE15&gt;=FM$31,FE15&lt;&gt;""),AND(FG15&gt;=FM$27,FG15&lt;&gt;"",FI15&gt;=FM$31,FI15&lt;&gt;""),AND(FJ15&gt;=FM$27,FJ15&lt;&gt;"",FL15&gt;=FM$31,FL15&lt;&gt;""),AND(GH15&gt;=GU$27,GH15&lt;&gt;"",GJ15&gt;=GU$31,GJ15&lt;&gt;""),AND(GK15&gt;=GU$27,GK15&lt;&gt;"",GM15&gt;=GU$31,GM15&lt;&gt;""),AND(GO15&gt;=GU$27,GO15&lt;&gt;"",GQ15&gt;=GU$31,GQ15&lt;&gt;""),AND(GR15&gt;=GU$27,GR15&lt;&gt;"",GT15&gt;=GU$31,GT15&lt;&gt;""),AND(HP15&gt;=IC$27,HP15&lt;&gt;"",HR15&gt;=IC$31,HR15&lt;&gt;""),AND(HS15&gt;=IC$27,HS15&lt;&gt;"",HU15&gt;=IC$31,HU15&lt;&gt;""),AND(HW15&gt;=IC$27,HW15&lt;&gt;"",HY15&gt;=IC$31,HY15&lt;&gt;""),AND(HZ15&gt;=IC$27,HZ15&lt;&gt;"",IB15&gt;=IC$31,IB15&lt;&gt;""),AND(IX15&gt;=JK$27,IX15&lt;&gt;"",IZ15&gt;=JK$31,IZ15&lt;&gt;""),AND(JA15&gt;=JK$27,JA15&lt;&gt;"",JC15&gt;=JK$31,JC15&lt;&gt;""),AND(JE15&gt;=JK$27,JE15&lt;&gt;"",JG15&gt;=JK$31,JG15&lt;&gt;""),AND(JH15&gt;=JK$27,JH15&lt;&gt;"",JJ15&gt;=JK$31,JJ15&lt;&gt;""),AND(KF15&gt;=KS$27,KF15&lt;&gt;"",KH15&gt;=KS$31,KH15&lt;&gt;""),AND(KI15&gt;=KS$27,KI15&lt;&gt;"",KK15&gt;=KS$31,KK15&lt;&gt;""),AND(KM15&gt;=KS$27,KM15&lt;&gt;"",KO15&gt;=KS$31,KO15&lt;&gt;""),AND(KP15&gt;=KS$27,KP15&lt;&gt;"",KR15&gt;=KS$31,KR15&lt;&gt;""),AND(LN15&gt;=MA$27,LN15&lt;&gt;"",LP15&gt;=MA$31,LP15&lt;&gt;""),AND(LQ15&gt;=MA$27,LQ15&lt;&gt;"",LS15&gt;=MA$31,LS15&lt;&gt;""),AND(LU15&gt;=MA$27,LU15&lt;&gt;"",LW15&gt;=MA$31,LW15&lt;&gt;""),AND(LX15&gt;=MA$27,LX15&lt;&gt;"",LZ15&gt;=MA$31,LZ15&lt;&gt;""),AND(MV15&gt;=NI$27,MV15&lt;&gt;"",MX15&gt;=NI$31,MX15&lt;&gt;""),AND(MY15&gt;=NI$27,MY15&lt;&gt;"",NA15&gt;=NI$31,NA15&lt;&gt;""),AND(NC15&gt;=NI$27,NC15&lt;&gt;"",NE15&gt;=NI$31,NE15&lt;&gt;""),AND(NF15&gt;=NI$27,NF15&lt;&gt;"",NH15&gt;=NI$31,NH15&lt;&gt;""),AND(OD15&gt;=OQ$27,OD15&lt;&gt;"",OF15&gt;=OQ$31,OF15&lt;&gt;""),AND(OG15&gt;=OQ$27,OG15&lt;&gt;"",OI15&gt;=OQ$31,OI15&lt;&gt;""),AND(OK15&gt;=OQ$27,OK15&lt;&gt;"",OM15&gt;=OQ$31,OM15&lt;&gt;""),AND(ON15&gt;=OQ$27,ON15&lt;&gt;"",OP15&gt;=OQ$31,OP15&lt;&gt;""),AND(PL15&gt;=PY$27,PL15&lt;&gt;"",PN15&gt;=PY$31,PN15&lt;&gt;""),AND(PO15&gt;=PY$27,PO15&lt;&gt;"",PQ15&gt;=PY$31,PQ15&lt;&gt;""),AND(PS15&gt;=PY$27,PS15&lt;&gt;"",PU15&gt;=PY$31,PU15&lt;&gt;""),AND(PV15&gt;=PY$27,PV15&lt;&gt;"",PX15&gt;=PY$31,PX15&lt;&gt;""),AND(QT15&gt;=RG$27,QT15&lt;&gt;"",QV15&gt;=RG$31,QV15&lt;&gt;""),AND(QW15&gt;=RG$27,QW15&lt;&gt;"",QY15&gt;=RG$31,QY15&lt;&gt;""),AND(RA15&gt;=RG$27,RA15&lt;&gt;"",RC15&gt;=RG$31,RC15&lt;&gt;""),AND(RD15&gt;=RG$27,RD15&lt;&gt;"",RF15&gt;=RG$31,RF15&lt;&gt;""),AND(SB15&gt;=SO$27,SB15&lt;&gt;"",SD15&gt;=SO$31,SD15&lt;&gt;""),AND(SE15&gt;=SO$27,SE15&lt;&gt;"",SG15&gt;=SO$31,SG15&lt;&gt;""),AND(SI15&gt;=SO$27,SI15&lt;&gt;"",SK15&gt;=SO$31,SK15&lt;&gt;""),AND(SL15&gt;=SO$27,SL15&lt;&gt;"",SN15&gt;=SO$31,SN15&lt;&gt;""),AND(TJ15&gt;=TW$27,TJ15&lt;&gt;"",TL15&gt;=TW$31,TL15&lt;&gt;""),AND(TM15&gt;=TW$27,TM15&lt;&gt;"",TO15&gt;=TW$31,TO15&lt;&gt;""),AND(TQ15&gt;=TW$27,TQ15&lt;&gt;"",TS15&gt;=TW$31,TXQ15&lt;&gt;""),AND(TT15&gt;=TW$27,TT15&lt;&gt;"",TV15&gt;=TW$31,TV15&lt;&gt;""),AND(UR15&gt;=VE$27,UR15&lt;&gt;"",UT15&gt;=VE$31,UT15&lt;&gt;""),AND(UU15&gt;=VE$27,UU15&lt;&gt;"",UW15&gt;=VE$31,UW15&lt;&gt;""),AND(UY15&gt;=VE$27,UY15&lt;&gt;"",VA15&gt;=VE$31,VA15&lt;&gt;""),AND(VB15&gt;=VE$27,VB15&lt;&gt;"",VD15&gt;=VE$31,VD15&lt;&gt;""),AND(VZ15&gt;=WM$27,VZ15&lt;&gt;"",WB15&gt;=WM$31,WB15&lt;&gt;""),AND(WC15&gt;=WM$27,WC15&lt;&gt;"",WE15&gt;=WM$31,WE15&lt;&gt;""),AND(WG15&gt;=WM$27,WG15&lt;&gt;"",WI15&gt;=WM$31,WI15&lt;&gt;""),AND(WJ15&gt;=WM$27,WJ15&lt;&gt;"",WL15&gt;=WM$31,WL15&lt;&gt;"")),"P","")</f>
        <v/>
      </c>
      <c r="G15" s="3" t="str">
        <f>IF(OR(AND(AK15&gt;=AS$31,AK15&lt;&gt;"",AH15=""),AND(AN15&gt;=AS$31,AN15&lt;&gt;"",AH15=""),AND(AR15&gt;=AS$31,AR15&lt;&gt;"",AH15=""),AND(BL15&gt;=BT$31,BL15&lt;&gt;"",BI15=""),AND(BO15&gt;=BT$31,BO15&lt;&gt;"",BI15=""),AND(BS15&gt;=BT$31,BS15&lt;&gt;"",BI15=""),AND(CM15&gt;=CU$31,CM15&lt;&gt;"",CJ15=""),AND(CP15&gt;=CU$31,CP15&lt;&gt;"",CJ15=""),AND(CT15&gt;=CU$31,CT15&lt;&gt;"",CJ15=""),AND(DT15&gt;=EE$31,DT15&lt;&gt;""),AND(DW15&gt;=EE$31,DW15&lt;&gt;""),AND(EA15&gt;=EE$31,EA15&lt;&gt;""),AND(ED15&gt;=EE$31,ED15&lt;&gt;""),AND(FB15&gt;=FM$31,FB15&lt;&gt;""),AND(FE15&gt;=FM$31,FE15&lt;&gt;""),AND(FI15&gt;=FM$31,FI15&lt;&gt;""),AND(FL15&gt;=FM$31,FL15&lt;&gt;""),AND(GJ15&gt;=GU$31,GJ15&lt;&gt;""),AND(GM15&gt;=GU$31,GM15&lt;&gt;""),AND(GQ15&gt;=GU$31,GQ15&lt;&gt;""),AND(GT15&gt;=GU$31,GT15&lt;&gt;""),AND(HR15&gt;=IC$31,HR15&lt;&gt;""),AND(HU15&gt;=IC$31,HU15&lt;&gt;""),AND(HY15&gt;=IC$31,HY15&lt;&gt;""),AND(IB15&gt;=IC$31,IB15&lt;&gt;""),AND(IZ15&gt;=JK$31,IZ15&lt;&gt;""),AND(JC15&gt;=JK$31,JC15&lt;&gt;""),AND(JG15&gt;=JK$31,JG15&lt;&gt;""),AND(JJ15&gt;=JK$31,JJ15&lt;&gt;""),AND(KH15&gt;=KS$31,KH15&lt;&gt;""),AND(KK15&gt;=KS$31,KK15&lt;&gt;""),AND(KO15&gt;=KS$31,KO15&lt;&gt;""),AND(KR15&gt;=KS$31,KR15&lt;&gt;""),AND(LP15&gt;=MA$31,LP15&lt;&gt;""),AND(LS15&gt;=MA$31,LS15&lt;&gt;""),AND(LW15&gt;=MA$31,LW15&lt;&gt;""),AND(LZ15&gt;=MA$31,LZ15&lt;&gt;""),AND(MX15&gt;=NI$31,MX15&lt;&gt;""),AND(NA15&gt;=NI$31,NA15&lt;&gt;""),AND(NE15&gt;=NI$31,NE15&lt;&gt;""),AND(NH15&gt;=NI$31,NH15&lt;&gt;""),AND(OF15&gt;=OQ$31,OF15&lt;&gt;""),AND(OI15&gt;=OQ$31,OI15&lt;&gt;""),AND(OM15&gt;=OQ$31,OM15&lt;&gt;""),AND(OP15&gt;=OQ$31,OP15&lt;&gt;""),AND(PN15&gt;=PY$31,PN15&lt;&gt;""),AND(PQ15&gt;=PY$31,PQ15&lt;&gt;""),AND(PU15&gt;=PY$31,PU15&lt;&gt;""),AND(PX15&gt;=PY$31,PX15&lt;&gt;""),AND(QV15&gt;=RG$31,QV15&lt;&gt;""),AND(QY15&gt;=RG$31,QY15&lt;&gt;""),AND(RC15&gt;=RG$31,RC15&lt;&gt;""),AND(RF15&gt;=RG$31,RF15&lt;&gt;""),AND(SD15&gt;=SO$31,SD15&lt;&gt;""),AND(SG15&gt;=SO$31,SG15&lt;&gt;""),AND(SK15&gt;=SO$31,SK15&lt;&gt;""),AND(SN15&gt;=SO$31,SN15&lt;&gt;""),AND(TL15&gt;=TW$31,TL15&lt;&gt;""),AND(TO15&gt;=TW$31,TO15&lt;&gt;""),AND(TS15&gt;=TW$31,TXQ15&lt;&gt;""),AND(TV15&gt;=TW$31,TV15&lt;&gt;""),AND(UT15&gt;=VE$31,UT15&lt;&gt;""),AND(UW15&gt;=VE$31,UW15&lt;&gt;""),AND(VA15&gt;=VE$31,VA15&lt;&gt;""),AND(VD15&gt;=VE$31,VD15&lt;&gt;""),AND(WB15&gt;=WM$31,WB15&lt;&gt;""),AND(WE15&gt;=WM$31,WE15&lt;&gt;""),AND(WI15&gt;=WM$31,WI15&lt;&gt;""),AND(WL15&gt;=WM$31,WL15&lt;&gt;"")),"P","")</f>
        <v>P</v>
      </c>
      <c r="H15" s="32" t="str">
        <f>IF(AND(G15="P",F15=""),"No DD",IF(OR(AND(AI15&gt;=AS$30,AI15&lt;&gt;"",AK15&gt;=AS$34,AK15&lt;&gt;"",AH15=""),AND(AL15&gt;=AS$30,AL15&lt;&gt;"",AN15&gt;=AS$34,AN15&lt;&gt;"",AH15=""),AND(AP15&gt;=AS$30,AP15&lt;&gt;"",AR15&gt;=AS$34,AR15&lt;&gt;"",AH15=""),AND(BJ15&gt;=BT$30,BJ15&lt;&gt;"",BL15&gt;=BT$34,BL15&lt;&gt;"",BI15=""),AND(BM15&gt;=BT$30,BM15&lt;&gt;"",BO15&gt;=BT$34,BO15&lt;&gt;"",BI15=""),AND(BQ15&gt;=BT$30,BQ15&lt;&gt;"",BS15&gt;=BT$34,BS15&lt;&gt;"",BI15=""),AND(CK15&gt;=CU$30,CK15&lt;&gt;"",CM15&gt;=CU$34,CM15&lt;&gt;"",CJ15=""),AND(CN15&gt;=CU$30,CN15&lt;&gt;"",CP15&gt;=CU$34,CP15&lt;&gt;"",CJ15=""),AND(CR15&gt;=CU$30,CR15&lt;&gt;"",CT15&gt;=CU$34,CT15&lt;&gt;"",CJ15=""),AND(DR15&gt;=EE$30,DR15&lt;&gt;"",DT15&gt;=EE$34,DT15&lt;&gt;""),AND(DU15&gt;=EE$30,DU15&lt;&gt;"",DW15&gt;=EE$34,DW15&lt;&gt;""),AND(DY15&gt;=EE$30,DY15&lt;&gt;"",EA15&gt;=EE$34,EA15&lt;&gt;""),AND(EB15&gt;=EE$30,EB15&lt;&gt;"",ED15&gt;=EE$34,ED15&lt;&gt;""),AND(EZ15&gt;=FM$30,EZ15&lt;&gt;"",FB15&gt;=FM$34,FB15&lt;&gt;""),AND(FC15&gt;=FM$30,FC15&lt;&gt;"",FE15&gt;=FM$34,FE15&lt;&gt;""),AND(FG15&gt;=FM$30,FG15&lt;&gt;"",FI15&gt;=FM$34,FI15&lt;&gt;""),AND(FJ15&gt;=FM$30,FJ15&lt;&gt;"",FL15&gt;=FM$34,FL15&lt;&gt;""),AND(GH15&gt;=GU$30,GH15&lt;&gt;"",GJ15&gt;=GU$34,GJ15&lt;&gt;""),AND(GK15&gt;=GU$30,GK15&lt;&gt;"",GM15&gt;=GU$34,GM15&lt;&gt;""),AND(GO15&gt;=GU$30,GO15&lt;&gt;"",GQ15&gt;=GU$34,GQ15&lt;&gt;""),AND(GR15&gt;=GU$30,GR15&lt;&gt;"",GT15&gt;=GU$34,GT15&lt;&gt;""),AND(HP15&gt;=IC$30,HP15&lt;&gt;"",HR15&gt;=IC$34,HR15&lt;&gt;""),AND(HS15&gt;=IC$30,HS15&lt;&gt;"",HU15&gt;=IC$34,HU15&lt;&gt;""),AND(HW15&gt;=IC$30,HW15&lt;&gt;"",HY15&gt;=IC$34,HY15&lt;&gt;""),AND(HZ15&gt;=IC$30,HZ15&lt;&gt;"",IB15&gt;=IC$34,IB15&lt;&gt;""),AND(IX15&gt;=JK$30,IX15&lt;&gt;"",IZ15&gt;=JK$34,IZ15&lt;&gt;""),AND(JA15&gt;=JK$30,JA15&lt;&gt;"",JC15&gt;=JK$34,JC15&lt;&gt;""),AND(JE15&gt;=JK$30,JE15&lt;&gt;"",JG15&gt;=JK$34,JG15&lt;&gt;""),AND(JH15&gt;=JK$30,JH15&lt;&gt;"",JJ15&gt;=JK$34,JJ15&lt;&gt;""),AND(KF15&gt;=KS$30,KF15&lt;&gt;"",KH15&gt;=KS$34,KH15&lt;&gt;""),AND(KI15&gt;=KS$30,KI15&lt;&gt;"",KK15&gt;=KS$34,KK15&lt;&gt;""),AND(KM15&gt;=KS$30,KM15&lt;&gt;"",KO15&gt;=KS$34,KO15&lt;&gt;""),AND(KP15&gt;=KS$30,KP15&lt;&gt;"",KR15&gt;=KS$34,KR15&lt;&gt;""),AND(LN15&gt;=MA$30,LN15&lt;&gt;"",LP15&gt;=MA$34,LP15&lt;&gt;""),AND(LQ15&gt;=MA$30,LQ15&lt;&gt;"",LS15&gt;=MA$34,LS15&lt;&gt;""),AND(LU15&gt;=MA$30,LU15&lt;&gt;"",LW15&gt;=MA$34,LW15&lt;&gt;""),AND(LX15&gt;=MA$30,LX15&lt;&gt;"",LZ15&gt;=MA$34,LZ15&lt;&gt;""),AND(MV15&gt;=NI$30,MV15&lt;&gt;"",MX15&gt;=NI$34,MX15&lt;&gt;""),AND(MY15&gt;=NI$30,MY15&lt;&gt;"",NA15&gt;=NI$34,NA15&lt;&gt;""),AND(NC15&gt;=NI$30,NC15&lt;&gt;"",NE15&gt;=NI$34,NE15&lt;&gt;""),AND(NF15&gt;=NI$30,NF15&lt;&gt;"",NH15&gt;=NI$34,NH15&lt;&gt;""),AND(OD15&gt;=OQ$30,OD15&lt;&gt;"",OF15&gt;=OQ$34,OF15&lt;&gt;""),AND(OG15&gt;=OQ$30,OG15&lt;&gt;"",OI15&gt;=OQ$34,OI15&lt;&gt;""),AND(OK15&gt;=OQ$30,OK15&lt;&gt;"",OM15&gt;=OQ$34,OM15&lt;&gt;""),AND(ON15&gt;=OQ$30,ON15&lt;&gt;"",OP15&gt;=OQ$34,OP15&lt;&gt;""),AND(PL15&gt;=PY$30,PL15&lt;&gt;"",PN15&gt;=PY$34,PN15&lt;&gt;""),AND(PO15&gt;=PY$30,PO15&lt;&gt;"",PQ15&gt;=PY$34,PQ15&lt;&gt;""),AND(PS15&gt;=PY$30,PS15&lt;&gt;"",PU15&gt;=PY$34,PU15&lt;&gt;""),AND(PV15&gt;=PY$30,PV15&lt;&gt;"",PX15&gt;=PY$34,PX15&lt;&gt;""),AND(QT15&gt;=RG$30,QT15&lt;&gt;"",QV15&gt;=RG$34,QV15&lt;&gt;""),AND(QW15&gt;=RG$30,QW15&lt;&gt;"",QY15&gt;=RG$34,QY15&lt;&gt;""),AND(RA15&gt;=RG$30,RA15&lt;&gt;"",RC15&gt;=RG$34,RC15&lt;&gt;""),AND(RD15&gt;=RG$30,RD15&lt;&gt;"",RF15&gt;=RG$34,RF15&lt;&gt;""),AND(SB15&gt;=SO$30,SB15&lt;&gt;"",SD15&gt;=SO$34,SD15&lt;&gt;""),AND(SE15&gt;=SO$30,SE15&lt;&gt;"",SG15&gt;=SO$34,SG15&lt;&gt;""),AND(SI15&gt;=SO$30,SI15&lt;&gt;"",SK15&gt;=SO$34,SK15&lt;&gt;""),AND(SL15&gt;=SO$30,SL15&lt;&gt;"",SN15&gt;=SO$34,SN15&lt;&gt;""),AND(TJ15&gt;=TW$30,TJ15&lt;&gt;"",TL15&gt;=TW$34,TL15&lt;&gt;""),AND(TM15&gt;=TW$30,TM15&lt;&gt;"",TO15&gt;=TW$34,TO15&lt;&gt;""),AND(TQ15&gt;=TW$30,TQ15&lt;&gt;"",TS15&gt;=TW$354,TXQ15&lt;&gt;""),AND(TT15&gt;=TW$30,TT15&lt;&gt;"",TV15&gt;=TW$34,TV15&lt;&gt;""),AND(UR15&gt;=VE$30,UR15&lt;&gt;"",UT15&gt;=VE$34,UT15&lt;&gt;""),AND(UU15&gt;=VE$30,UU15&lt;&gt;"",UW15&gt;=VE$34,UW15&lt;&gt;""),AND(UY15&gt;=VE$30,UY15&lt;&gt;"",VA15&gt;=VE$34,VA15&lt;&gt;""),AND(VB15&gt;=VE$30,VB15&lt;&gt;"",VD15&gt;=VE$34,VD15&lt;&gt;""),AND(VZ15&gt;=WM$30,VZ15&lt;&gt;"",WB15&gt;=WM$34,WB15&lt;&gt;""),AND(WC15&gt;=WM$30,WC15&lt;&gt;"",WE15&gt;=WM$34,WE15&lt;&gt;""),AND(WG15&gt;=WM$30,WG15&lt;&gt;"",WI15&gt;=WM$34,WI15&lt;&gt;""),AND(WJ15&gt;=WM$30,WJ15&lt;&gt;"",WL15&gt;=WM$34,WL15&lt;&gt;"")),"Merit",IF(OR(AND(AI15&gt;=AS$29,AI15&lt;&gt;"",AK15&gt;=AS$33,AK15&lt;&gt;"",AH15=""),AND(AL15&gt;=AS$29,AL15&lt;&gt;"",AN15&gt;=AS$33,AN15&lt;&gt;"",AH15=""),AND(AP15&gt;=AS$29,AP15&lt;&gt;"",AR15&gt;=AS$33,AR15&lt;&gt;"",AH15=""),AND(BJ15&gt;=BT$29,BJ15&lt;&gt;"",BL15&gt;=BT$33,BL15&lt;&gt;"",BI15=""),AND(BM15&gt;=BT$29,BM15&lt;&gt;"",BO15&gt;=BT$33,BO15&lt;&gt;"",BI15=""),AND(BQ15&gt;=BT$29,BQ15&lt;&gt;"",BS15&gt;=BT$33,BS15&lt;&gt;"",BI15=""),AND(CK15&gt;=CU$29,CK15&lt;&gt;"",CM15&gt;=CU$33,CM15&lt;&gt;"",CJ15=""),AND(CN15&gt;=CU$29,CN15&lt;&gt;"",CP15&gt;=CU$33,CP15&lt;&gt;"",CJ15=""),AND(CR15&gt;=CU$29,CR15&lt;&gt;"",CT15&gt;=CU$33,CT15&lt;&gt;"",CJ15=""),AND(DR15&gt;=EE$29,DR15&lt;&gt;"",DT15&gt;=EE$33,DT15&lt;&gt;""),AND(DU15&gt;=EE$29,DU15&lt;&gt;"",DW15&gt;=EE$33,DW15&lt;&gt;""),AND(DY15&gt;=EE$29,DY15&lt;&gt;"",EA15&gt;=EE$33,EA15&lt;&gt;""),AND(EB15&gt;=EE$29,EB15&lt;&gt;"",ED15&gt;=EE$33,ED15&lt;&gt;""),AND(EZ15&gt;=FM$29,EZ15&lt;&gt;"",FB15&gt;=FM$33,FB15&lt;&gt;""),AND(FC15&gt;=FM$29,FC15&lt;&gt;"",FE15&gt;=FM$33,FE15&lt;&gt;""),AND(FG15&gt;=FM$29,FG15&lt;&gt;"",FI15&gt;=FM$33,FI15&lt;&gt;""),AND(FJ15&gt;=FM$29,FJ15&lt;&gt;"",FL15&gt;=FM$33,FL15&lt;&gt;""),AND(GH15&gt;=GU$29,GH15&lt;&gt;"",GJ15&gt;=GU$33,GJ15&lt;&gt;""),AND(GK15&gt;=GU$29,GK15&lt;&gt;"",GM15&gt;=GU$33,GM15&lt;&gt;""),AND(GO15&gt;=GU$29,GO15&lt;&gt;"",GQ15&gt;=GU$33,GQ15&lt;&gt;""),AND(GR15&gt;=GU$29,GR15&lt;&gt;"",GT15&gt;=GU$33,GT15&lt;&gt;""),AND(HP15&gt;=IC$29,HP15&lt;&gt;"",HR15&gt;=IC$33,HR15&lt;&gt;""),AND(HS15&gt;=IC$29,HS15&lt;&gt;"",HU15&gt;=IC$33,HU15&lt;&gt;""),AND(HW15&gt;=IC$29,HW15&lt;&gt;"",HY15&gt;=IC$33,HY15&lt;&gt;""),AND(HZ15&gt;=IC$29,HZ15&lt;&gt;"",IB15&gt;=IC$33,IB15&lt;&gt;""),AND(IX15&gt;=JK$29,IX15&lt;&gt;"",IZ15&gt;=JK$33,IZ15&lt;&gt;""),AND(JA15&gt;=JK$29,JA15&lt;&gt;"",JC15&gt;=JK$33,JC15&lt;&gt;""),AND(JE15&gt;=JK$29,JE15&lt;&gt;"",JG15&gt;=JK$33,JG15&lt;&gt;""),AND(JH15&gt;=JK$29,JH15&lt;&gt;"",JJ15&gt;=JK$33,JJ15&lt;&gt;""),AND(KF15&gt;=KS$29,KF15&lt;&gt;"",KH15&gt;=KS$33,KH15&lt;&gt;""),AND(KI15&gt;=KS$29,KI15&lt;&gt;"",KK15&gt;=KS$33,KK15&lt;&gt;""),AND(KM15&gt;=KS$29,KM15&lt;&gt;"",KO15&gt;=KS$33,KO15&lt;&gt;""),AND(KP15&gt;=KS$29,KP15&lt;&gt;"",KR15&gt;=KS$33,KR15&lt;&gt;""),AND(LN15&gt;=MA$29,LN15&lt;&gt;"",LP15&gt;=MA$33,LP15&lt;&gt;""),AND(LQ15&gt;=MA$29,LQ15&lt;&gt;"",LS15&gt;=MA$33,LS15&lt;&gt;""),AND(LU15&gt;=MA$29,LU15&lt;&gt;"",LW15&gt;=MA$33,LW15&lt;&gt;""),AND(LX15&gt;=MA$29,LX15&lt;&gt;"",LZ15&gt;=MA$33,LZ15&lt;&gt;""),AND(MV15&gt;=NI$29,MV15&lt;&gt;"",MX15&gt;=NI$33,MX15&lt;&gt;""),AND(MY15&gt;=NI$29,MY15&lt;&gt;"",NA15&gt;=NI$33,NA15&lt;&gt;""),AND(NC15&gt;=NI$29,NC15&lt;&gt;"",NE15&gt;=NI$33,NE15&lt;&gt;""),AND(NF15&gt;=NI$29,NF15&lt;&gt;"",NH15&gt;=NI$33,NH15&lt;&gt;""),AND(OD15&gt;=OQ$29,OD15&lt;&gt;"",OF15&gt;=OQ$33,OF15&lt;&gt;""),AND(OG15&gt;=OQ$29,OG15&lt;&gt;"",OI15&gt;=OQ$33,OI15&lt;&gt;""),AND(OK15&gt;=OQ$29,OK15&lt;&gt;"",OM15&gt;=OQ$33,OM15&lt;&gt;""),AND(ON15&gt;=OQ$29,ON15&lt;&gt;"",OP15&gt;=OQ$33,OP15&lt;&gt;""),AND(PL15&gt;=PY$29,PL15&lt;&gt;"",PN15&gt;=PY$33,PN15&lt;&gt;""),AND(PO15&gt;=PY$29,PO15&lt;&gt;"",PQ15&gt;=PY$33,PQ15&lt;&gt;""),AND(PS15&gt;=PY$29,PS15&lt;&gt;"",PU15&gt;=PY$33,PU15&lt;&gt;""),AND(PV15&gt;=PY$29,PV15&lt;&gt;"",PX15&gt;=PY$33,PX15&lt;&gt;""),AND(QT15&gt;=RG$29,QT15&lt;&gt;"",QV15&gt;=RG$33,QV15&lt;&gt;""),AND(QW15&gt;=RG$29,QW15&lt;&gt;"",QY15&gt;=RG$33,QY15&lt;&gt;""),AND(RA15&gt;=RG$29,RA15&lt;&gt;"",RC15&gt;=RG$33,RC15&lt;&gt;""),AND(RD15&gt;=RG$29,RD15&lt;&gt;"",RF15&gt;=RG$33,RF15&lt;&gt;""),AND(SB15&gt;=SO$29,SB15&lt;&gt;"",SD15&gt;=SO$33,SD15&lt;&gt;""),AND(SE15&gt;=SO$29,SE15&lt;&gt;"",SG15&gt;=SO$33,SG15&lt;&gt;""),AND(SI15&gt;=SO$29,SI15&lt;&gt;"",SK15&gt;=SO$33,SK15&lt;&gt;""),AND(SL15&gt;=SO$29,SL15&lt;&gt;"",SN15&gt;=SO$33,SN15&lt;&gt;""),AND(TJ15&gt;=TW$29,TJ15&lt;&gt;"",TL15&gt;=TW$33,TL15&lt;&gt;""),AND(TM15&gt;=TW$29,TM15&lt;&gt;"",TO15&gt;=TW$33,TO15&lt;&gt;""),AND(TQ15&gt;=TW$29,TQ15&lt;&gt;"",TS15&gt;=TW$33,TXQ15&lt;&gt;""),AND(TT15&gt;=TW$29,TT15&lt;&gt;"",TV15&gt;=TW$33,TV15&lt;&gt;""),AND(UR15&gt;=VE$29,UR15&lt;&gt;"",UT15&gt;=VE$33,UT15&lt;&gt;""),AND(UU15&gt;=VE$29,UU15&lt;&gt;"",UW15&gt;=VE$33,UW15&lt;&gt;""),AND(UY15&gt;=VE$29,UY15&lt;&gt;"",VA15&gt;=VE$33,VA15&lt;&gt;""),AND(VB15&gt;=VE$29,VB15&lt;&gt;"",VD15&gt;=VE$33,VD15&lt;&gt;""),AND(VZ15&gt;=WM$29,VZ15&lt;&gt;"",WB15&gt;=WM$33,WB15&lt;&gt;""),AND(WC15&gt;=WM$29,WC15&lt;&gt;"",WE15&gt;=WM$33,WE15&lt;&gt;""),AND(WG15&gt;=WM$29,WG15&lt;&gt;"",WI15&gt;=WM$33,WI15&lt;&gt;""),AND(WJ15&gt;=WM$29,WJ15&lt;&gt;"",WL15&gt;=WM$33,WL15&lt;&gt;"")),"Excellence",IF(I15="P","Worlds Team",IF(F15="P","National Team","")))))</f>
        <v>No DD</v>
      </c>
      <c r="I15" s="3" t="str">
        <f>IF(OR(AND(AI15&gt;=AS$28,AI15&lt;&gt;"",AK15&gt;=AS$32,AK15&lt;&gt;"",AH15=""),AND(AL15&gt;=AS$28,AL15&lt;&gt;"",AN15&gt;=AS$32,AN15&lt;&gt;"",AH15=""),AND(AP15&gt;=AS$28,AP15&lt;&gt;"",AR15&gt;=AS$32,AR15&lt;&gt;"",AH15=""),AND(BJ15&gt;=BT$28,BJ15&lt;&gt;"",BL15&gt;=BT$32,BL15&lt;&gt;"",BI15=""),AND(BM15&gt;=BT$28,BM15&lt;&gt;"",BO15&gt;=BT$32,BO15&lt;&gt;"",BI15=""),AND(BQ15&gt;=BT$28,BQ15&lt;&gt;"",BS15&gt;=BT$32,BS15&lt;&gt;"",BI15=""),AND(CK15&gt;=CU$28,CK15&lt;&gt;"",CM15&gt;=CU$32,CM15&lt;&gt;"",CJ15=""),AND(CN15&gt;=CU$28,CN15&lt;&gt;"",CP15&gt;=CU$32,CP15&lt;&gt;"",CJ15=""),AND(CR15&gt;=CU$28,CR15&lt;&gt;"",CT15&gt;=CU$32,CT15&lt;&gt;"",CJ15=""),AND(DR15&gt;=EE$28,DR15&lt;&gt;"",DT15&gt;=EE$32,DT15&lt;&gt;""),AND(DU15&gt;=EE$28,DU15&lt;&gt;"",DW15&gt;=EE$32,DW15&lt;&gt;""),AND(DY15&gt;=EE$28,DY15&lt;&gt;"",EA15&gt;=EE$32,EA15&lt;&gt;""),AND(EB15&gt;=EE$28,EB15&lt;&gt;"",ED15&gt;=EE$32,ED15&lt;&gt;""),AND(EZ15&gt;=FM$28,EZ15&lt;&gt;"",FB15&gt;=FM$32,FB15&lt;&gt;""),AND(FC15&gt;=FM$28,FC15&lt;&gt;"",FE15&gt;=FM$32,FE15&lt;&gt;""),AND(FG15&gt;=FM$28,FG15&lt;&gt;"",FI15&gt;=FM$32,FI15&lt;&gt;""),AND(FJ15&gt;=FM$28,FJ15&lt;&gt;"",FL15&gt;=FM$32,FL15&lt;&gt;""),AND(GH15&gt;=GU$28,GH15&lt;&gt;"",GJ15&gt;=GU$32,GJ15&lt;&gt;""),AND(GK15&gt;=GU$28,GK15&lt;&gt;"",GM15&gt;=GU$32,GM15&lt;&gt;""),AND(GO15&gt;=GU$28,GO15&lt;&gt;"",GQ15&gt;=GU$32,GQ15&lt;&gt;""),AND(GR15&gt;=GU$28,GR15&lt;&gt;"",GT15&gt;=GU$32,GT15&lt;&gt;""),AND(HP15&gt;=IC$28,HP15&lt;&gt;"",HR15&gt;=IC$32,HR15&lt;&gt;""),AND(HS15&gt;=IC$28,HS15&lt;&gt;"",HU15&gt;=IC$32,HU15&lt;&gt;""),AND(HW15&gt;=IC$28,HW15&lt;&gt;"",HY15&gt;=IC$32,HY15&lt;&gt;""),AND(HZ15&gt;=IC$28,HZ15&lt;&gt;"",IB15&gt;=IC$32,IB15&lt;&gt;""),AND(IX15&gt;=JK$28,IX15&lt;&gt;"",IZ15&gt;=JK$32,IZ15&lt;&gt;""),AND(JA15&gt;=JK$28,JA15&lt;&gt;"",JC15&gt;=JK$32,JC15&lt;&gt;""),AND(JE15&gt;=JK$28,JE15&lt;&gt;"",JG15&gt;=JK$32,JG15&lt;&gt;""),AND(JH15&gt;=JK$28,JH15&lt;&gt;"",JJ15&gt;=JK$32,JJ15&lt;&gt;""),AND(KF15&gt;=KS$28,KF15&lt;&gt;"",KH15&gt;=KS$32,KH15&lt;&gt;""),AND(KI15&gt;=KS$28,KI15&lt;&gt;"",KK15&gt;=KS$32,KK15&lt;&gt;""),AND(KM15&gt;=KS$28,KM15&lt;&gt;"",KO15&gt;=KS$32,KO15&lt;&gt;""),AND(KP15&gt;=KS$28,KP15&lt;&gt;"",KR15&gt;=KS$32,KR15&lt;&gt;""),AND(LN15&gt;=MA$28,LN15&lt;&gt;"",LP15&gt;=MA$32,LP15&lt;&gt;""),AND(LQ15&gt;=MA$28,LQ15&lt;&gt;"",LS15&gt;=MA$32,LS15&lt;&gt;""),AND(LU15&gt;=MA$28,LU15&lt;&gt;"",LW15&gt;=MA$32,LW15&lt;&gt;""),AND(LX15&gt;=MA$28,LX15&lt;&gt;"",LZ15&gt;=MA$32,LZ15&lt;&gt;""),AND(MV15&gt;=NI$28,MV15&lt;&gt;"",MX15&gt;=NI$32,MX15&lt;&gt;""),AND(MY15&gt;=NI$28,MY15&lt;&gt;"",NA15&gt;=NI$32,NA15&lt;&gt;""),AND(NC15&gt;=NI$28,NC15&lt;&gt;"",NE15&gt;=NI$32,NE15&lt;&gt;""),AND(NF15&gt;=NI$28,NF15&lt;&gt;"",NH15&gt;=NI$32,NH15&lt;&gt;""),AND(OD15&gt;=OQ$28,OD15&lt;&gt;"",OF15&gt;=OQ$32,OF15&lt;&gt;""),AND(OG15&gt;=OQ$28,OG15&lt;&gt;"",OI15&gt;=OQ$32,OI15&lt;&gt;""),AND(OK15&gt;=OQ$28,OK15&lt;&gt;"",OM15&gt;=OQ$32,OM15&lt;&gt;""),AND(ON15&gt;=OQ$28,ON15&lt;&gt;"",OP15&gt;=OQ$32,OP15&lt;&gt;""),AND(PL15&gt;=PY$28,PL15&lt;&gt;"",PN15&gt;=PY$32,PN15&lt;&gt;""),AND(PO15&gt;=PY$28,PO15&lt;&gt;"",PQ15&gt;=PY$32,PQ15&lt;&gt;""),AND(PS15&gt;=PY$28,PS15&lt;&gt;"",PU15&gt;=PY$32,PU15&lt;&gt;""),AND(PV15&gt;=PY$28,PV15&lt;&gt;"",PX15&gt;=PY$32,PX15&lt;&gt;""),AND(QT15&gt;=RG$28,QT15&lt;&gt;"",QV15&gt;=RG$32,QV15&lt;&gt;""),AND(QW15&gt;=RG$28,QW15&lt;&gt;"",QY15&gt;=RG$32,QY15&lt;&gt;""),AND(RA15&gt;=RG$28,RA15&lt;&gt;"",RC15&gt;=RG$32,RC15&lt;&gt;""),AND(RD15&gt;=RG$28,RD15&lt;&gt;"",RF15&gt;=RG$32,RF15&lt;&gt;""),AND(SB15&gt;=SO$28,SB15&lt;&gt;"",SD15&gt;=SO$32,SD15&lt;&gt;""),AND(SE15&gt;=SO$28,SE15&lt;&gt;"",SG15&gt;=SO$32,SG15&lt;&gt;""),AND(SI15&gt;=SO$28,SI15&lt;&gt;"",SK15&gt;=SO$32,SK15&lt;&gt;""),AND(SL15&gt;=SO$28,SL15&lt;&gt;"",SN15&gt;=SO$32,SN15&lt;&gt;""),AND(TJ15&gt;=TW$28,TJ15&lt;&gt;"",TL15&gt;=TW$32,TL15&lt;&gt;""),AND(TM15&gt;=TW$28,TM15&lt;&gt;"",TO15&gt;=TW$32,TO15&lt;&gt;""),AND(TQ15&gt;=TW$28,TQ15&lt;&gt;"",TS15&gt;=TW$32,TXQ15&lt;&gt;""),AND(TT15&gt;=TW$28,TT15&lt;&gt;"",TV15&gt;=TW$32,TV15&lt;&gt;""),AND(UR15&gt;=VE$28,UR15&lt;&gt;"",UT15&gt;=VE$32,UT15&lt;&gt;""),AND(UU15&gt;=VE$28,UU15&lt;&gt;"",UW15&gt;=VE$32,UW15&lt;&gt;""),AND(UY15&gt;=VE$28,UY15&lt;&gt;"",VA15&gt;=VE$32,VA15&lt;&gt;""),AND(VB15&gt;=VE$28,VB15&lt;&gt;"",VD15&gt;=VE$32,VD15&lt;&gt;""),AND(VZ15&gt;=WM$28,VZ15&lt;&gt;"",WB15&gt;=WM$32,WB15&lt;&gt;""),AND(WC15&gt;=WM$28,WC15&lt;&gt;"",WE15&gt;=WM$32,WE15&lt;&gt;""),AND(WG15&gt;=WM$28,WG15&lt;&gt;"",WI15&gt;=WM$32,WI15&lt;&gt;""),AND(WJ15&gt;=WM$28,WJ15&lt;&gt;"",WL15&gt;=WM$32,WL15&lt;&gt;"")),"P","")</f>
        <v/>
      </c>
      <c r="J15" s="8">
        <f t="shared" si="1"/>
        <v>40.89</v>
      </c>
      <c r="K15" s="8" t="str">
        <f t="shared" si="2"/>
        <v>2025 3rd Domestic Trial</v>
      </c>
      <c r="L15" s="8">
        <f>IFERROR(IF(J15=AR15,LARGE((AK15,AN15,BL15,BO15,BS15,CM15,CP15,CT15),1),IF(J15=BS15,LARGE((AK15,AN15,AR15,BL15,BO15,CM15,CP15,CT15),1),LARGE((AK15,AN15,AR15,BL15,BO15,BS15,CM15,CP15),1))),0)</f>
        <v>55.05</v>
      </c>
      <c r="M15" s="8" t="str">
        <f t="shared" si="3"/>
        <v>2025 3rd Domestic Trial</v>
      </c>
      <c r="N15" s="8">
        <f>IFERROR(IF(J15=AR15,LARGE((AK15,AN15,BL15,BO15,BS15,CM15,CP15,CT15),2),IF(J15=BS15,LARGE((AK15,AN15,AR15,BL15,BO15,CM15,CP15,CT15),2),LARGE((AK15,AN15,AR15,BL15,BO15,BS15,CM15,CP15),2))),0)</f>
        <v>54.410000000000004</v>
      </c>
      <c r="O15" s="8" t="str">
        <f t="shared" si="4"/>
        <v>2025 3rd Domestic Trial</v>
      </c>
      <c r="P15" s="8">
        <f t="shared" si="5"/>
        <v>0</v>
      </c>
      <c r="Q15" s="11" t="str">
        <f t="shared" si="6"/>
        <v/>
      </c>
      <c r="R15" s="8" t="str">
        <f t="shared" si="7"/>
        <v/>
      </c>
      <c r="S15" s="18">
        <v>2.7</v>
      </c>
      <c r="T15" s="18">
        <v>1.9</v>
      </c>
      <c r="U15" s="18">
        <v>3.5</v>
      </c>
      <c r="V15" s="18">
        <v>3.26</v>
      </c>
      <c r="W15" s="18">
        <v>0</v>
      </c>
      <c r="X15" s="18">
        <v>10.9</v>
      </c>
      <c r="Y15" s="18">
        <v>9.1999999999999993</v>
      </c>
      <c r="Z15" s="18">
        <v>15.1</v>
      </c>
      <c r="AA15" s="18">
        <v>15.1</v>
      </c>
      <c r="AB15" s="18">
        <v>0</v>
      </c>
      <c r="AC15" s="18"/>
      <c r="AD15" s="18"/>
      <c r="AE15" s="18"/>
      <c r="AF15" s="18"/>
      <c r="AG15" s="18"/>
      <c r="AH15" s="23"/>
      <c r="AI15" s="34">
        <f t="shared" si="8"/>
        <v>3.5</v>
      </c>
      <c r="AJ15" s="34">
        <f t="shared" si="9"/>
        <v>3.26</v>
      </c>
      <c r="AK15" s="36">
        <f t="shared" si="10"/>
        <v>11.36</v>
      </c>
      <c r="AL15" s="36">
        <f t="shared" si="11"/>
        <v>15.1</v>
      </c>
      <c r="AM15" s="36">
        <f t="shared" si="12"/>
        <v>15.1</v>
      </c>
      <c r="AN15" s="36">
        <f t="shared" si="13"/>
        <v>50.300000000000004</v>
      </c>
      <c r="AO15" s="36">
        <f t="shared" si="14"/>
        <v>50.300000000000004</v>
      </c>
      <c r="AP15" s="36" t="str">
        <f t="shared" si="15"/>
        <v/>
      </c>
      <c r="AQ15" s="36" t="str">
        <f t="shared" si="16"/>
        <v/>
      </c>
      <c r="AR15" s="36" t="str">
        <f t="shared" si="17"/>
        <v/>
      </c>
      <c r="AS15" s="36">
        <f t="shared" si="18"/>
        <v>50.300000000000004</v>
      </c>
      <c r="AT15" s="22">
        <v>14.4</v>
      </c>
      <c r="AU15" s="22">
        <v>9.3000000000000007</v>
      </c>
      <c r="AV15" s="22">
        <v>15.3</v>
      </c>
      <c r="AW15" s="22">
        <v>16.05</v>
      </c>
      <c r="AX15" s="22">
        <v>0</v>
      </c>
      <c r="AY15" s="22">
        <v>13</v>
      </c>
      <c r="AZ15" s="22">
        <v>9.1999999999999993</v>
      </c>
      <c r="BA15" s="22">
        <v>16</v>
      </c>
      <c r="BB15" s="22">
        <v>16.21</v>
      </c>
      <c r="BC15" s="22">
        <v>0</v>
      </c>
      <c r="BD15" s="22">
        <v>10.199999999999999</v>
      </c>
      <c r="BE15" s="22">
        <v>6.6</v>
      </c>
      <c r="BF15" s="22">
        <v>11.7</v>
      </c>
      <c r="BG15" s="22">
        <v>12.39</v>
      </c>
      <c r="BH15" s="22">
        <v>0</v>
      </c>
      <c r="BI15" s="24"/>
      <c r="BJ15" s="35">
        <f t="shared" si="19"/>
        <v>15.3</v>
      </c>
      <c r="BK15" s="35">
        <f t="shared" si="20"/>
        <v>16.05</v>
      </c>
      <c r="BL15" s="11">
        <f t="shared" si="21"/>
        <v>55.05</v>
      </c>
      <c r="BM15" s="11">
        <f t="shared" si="22"/>
        <v>16</v>
      </c>
      <c r="BN15" s="11">
        <f t="shared" si="23"/>
        <v>16.21</v>
      </c>
      <c r="BO15" s="11">
        <f t="shared" si="24"/>
        <v>54.410000000000004</v>
      </c>
      <c r="BP15" s="11">
        <f t="shared" si="25"/>
        <v>55.05</v>
      </c>
      <c r="BQ15" s="11">
        <f t="shared" si="26"/>
        <v>11.7</v>
      </c>
      <c r="BR15" s="11">
        <f t="shared" si="27"/>
        <v>12.39</v>
      </c>
      <c r="BS15" s="11">
        <f t="shared" si="28"/>
        <v>40.89</v>
      </c>
      <c r="BT15" s="11">
        <f t="shared" si="29"/>
        <v>95.94</v>
      </c>
      <c r="BU15" s="18">
        <v>2.8</v>
      </c>
      <c r="BV15" s="18">
        <v>1.8</v>
      </c>
      <c r="BW15" s="18">
        <v>3.5</v>
      </c>
      <c r="BX15" s="18">
        <v>3.34</v>
      </c>
      <c r="BY15" s="18">
        <v>0</v>
      </c>
      <c r="BZ15" s="18">
        <v>13.6</v>
      </c>
      <c r="CA15" s="18">
        <v>9.3000000000000007</v>
      </c>
      <c r="CB15" s="18">
        <v>14.9</v>
      </c>
      <c r="CC15" s="18">
        <v>15.52</v>
      </c>
      <c r="CD15" s="18">
        <v>0</v>
      </c>
      <c r="CE15" s="18">
        <v>10.9</v>
      </c>
      <c r="CF15" s="18">
        <v>6.5</v>
      </c>
      <c r="CG15" s="18">
        <v>10.6</v>
      </c>
      <c r="CH15" s="18">
        <v>11.24</v>
      </c>
      <c r="CI15" s="18">
        <v>0</v>
      </c>
      <c r="CJ15" s="23"/>
      <c r="CK15" s="34">
        <f t="shared" si="30"/>
        <v>3.5</v>
      </c>
      <c r="CL15" s="34">
        <f t="shared" si="31"/>
        <v>3.34</v>
      </c>
      <c r="CM15" s="36">
        <f t="shared" si="32"/>
        <v>11.44</v>
      </c>
      <c r="CN15" s="36">
        <f t="shared" si="33"/>
        <v>14.9</v>
      </c>
      <c r="CO15" s="36">
        <f t="shared" si="34"/>
        <v>15.52</v>
      </c>
      <c r="CP15" s="36">
        <f t="shared" si="35"/>
        <v>53.319999999999993</v>
      </c>
      <c r="CQ15" s="36">
        <f t="shared" si="36"/>
        <v>53.319999999999993</v>
      </c>
      <c r="CR15" s="36">
        <f t="shared" si="37"/>
        <v>10.6</v>
      </c>
      <c r="CS15" s="36">
        <f t="shared" si="38"/>
        <v>11.24</v>
      </c>
      <c r="CT15" s="36">
        <f t="shared" si="39"/>
        <v>39.24</v>
      </c>
      <c r="CU15" s="36">
        <f t="shared" si="40"/>
        <v>92.56</v>
      </c>
      <c r="CV15" s="47" t="str">
        <f t="shared" si="41"/>
        <v/>
      </c>
      <c r="CW15" s="47" t="str">
        <f t="shared" si="42"/>
        <v/>
      </c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36" t="str">
        <f t="shared" si="43"/>
        <v/>
      </c>
      <c r="DS15" s="36" t="str">
        <f t="shared" si="44"/>
        <v/>
      </c>
      <c r="DT15" s="36" t="str">
        <f t="shared" si="45"/>
        <v/>
      </c>
      <c r="DU15" s="36" t="str">
        <f t="shared" si="46"/>
        <v/>
      </c>
      <c r="DV15" s="36" t="str">
        <f t="shared" si="47"/>
        <v/>
      </c>
      <c r="DW15" s="36" t="str">
        <f t="shared" si="48"/>
        <v/>
      </c>
      <c r="DX15" s="36" t="str">
        <f t="shared" si="49"/>
        <v/>
      </c>
      <c r="DY15" s="36" t="str">
        <f t="shared" si="50"/>
        <v/>
      </c>
      <c r="DZ15" s="36" t="str">
        <f t="shared" si="51"/>
        <v/>
      </c>
      <c r="EA15" s="36" t="str">
        <f t="shared" si="52"/>
        <v/>
      </c>
      <c r="EB15" s="36" t="str">
        <f t="shared" si="53"/>
        <v/>
      </c>
      <c r="EC15" s="36" t="str">
        <f t="shared" si="54"/>
        <v/>
      </c>
      <c r="ED15" s="36" t="str">
        <f t="shared" si="55"/>
        <v/>
      </c>
      <c r="EE15" s="36" t="str">
        <f t="shared" si="56"/>
        <v/>
      </c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1" t="str">
        <f t="shared" si="57"/>
        <v/>
      </c>
      <c r="FA15" s="11" t="str">
        <f t="shared" si="58"/>
        <v/>
      </c>
      <c r="FB15" s="11" t="str">
        <f t="shared" si="59"/>
        <v/>
      </c>
      <c r="FC15" s="11" t="str">
        <f t="shared" si="60"/>
        <v/>
      </c>
      <c r="FD15" s="11" t="str">
        <f t="shared" si="61"/>
        <v/>
      </c>
      <c r="FE15" s="11" t="str">
        <f t="shared" si="62"/>
        <v/>
      </c>
      <c r="FF15" s="11" t="str">
        <f t="shared" si="63"/>
        <v/>
      </c>
      <c r="FG15" s="11" t="str">
        <f t="shared" si="64"/>
        <v/>
      </c>
      <c r="FH15" s="11" t="str">
        <f t="shared" si="65"/>
        <v/>
      </c>
      <c r="FI15" s="11" t="str">
        <f t="shared" si="66"/>
        <v/>
      </c>
      <c r="FJ15" s="11" t="str">
        <f t="shared" si="67"/>
        <v/>
      </c>
      <c r="FK15" s="11" t="str">
        <f t="shared" si="68"/>
        <v/>
      </c>
      <c r="FL15" s="11" t="str">
        <f t="shared" si="69"/>
        <v/>
      </c>
      <c r="FM15" s="11" t="str">
        <f t="shared" si="70"/>
        <v/>
      </c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36" t="str">
        <f t="shared" si="71"/>
        <v/>
      </c>
      <c r="GI15" s="36" t="str">
        <f t="shared" si="72"/>
        <v/>
      </c>
      <c r="GJ15" s="36" t="str">
        <f t="shared" si="73"/>
        <v/>
      </c>
      <c r="GK15" s="36" t="str">
        <f t="shared" si="74"/>
        <v/>
      </c>
      <c r="GL15" s="36" t="str">
        <f t="shared" si="75"/>
        <v/>
      </c>
      <c r="GM15" s="36" t="str">
        <f t="shared" si="76"/>
        <v/>
      </c>
      <c r="GN15" s="36" t="str">
        <f t="shared" si="77"/>
        <v/>
      </c>
      <c r="GO15" s="36" t="str">
        <f t="shared" si="78"/>
        <v/>
      </c>
      <c r="GP15" s="36" t="str">
        <f t="shared" si="79"/>
        <v/>
      </c>
      <c r="GQ15" s="36" t="str">
        <f t="shared" si="80"/>
        <v/>
      </c>
      <c r="GR15" s="36" t="str">
        <f t="shared" si="81"/>
        <v/>
      </c>
      <c r="GS15" s="36" t="str">
        <f t="shared" si="82"/>
        <v/>
      </c>
      <c r="GT15" s="36" t="str">
        <f t="shared" si="83"/>
        <v/>
      </c>
      <c r="GU15" s="36" t="str">
        <f t="shared" si="84"/>
        <v/>
      </c>
      <c r="GV15" s="16">
        <v>11.7</v>
      </c>
      <c r="GW15" s="16">
        <v>9.3000000000000007</v>
      </c>
      <c r="GX15" s="16">
        <v>14.7</v>
      </c>
      <c r="GY15" s="16">
        <v>15.66</v>
      </c>
      <c r="GZ15" s="16">
        <v>0</v>
      </c>
      <c r="HA15" s="16">
        <v>12.2</v>
      </c>
      <c r="HB15" s="16">
        <v>9</v>
      </c>
      <c r="HC15" s="16">
        <v>14.9</v>
      </c>
      <c r="HD15" s="16">
        <v>15.38</v>
      </c>
      <c r="HE15" s="16">
        <v>0</v>
      </c>
      <c r="HF15" s="16">
        <v>1.4</v>
      </c>
      <c r="HG15" s="16">
        <v>0.9</v>
      </c>
      <c r="HH15" s="16">
        <v>2</v>
      </c>
      <c r="HI15" s="16">
        <v>1.75</v>
      </c>
      <c r="HJ15" s="16">
        <v>0</v>
      </c>
      <c r="HK15" s="16"/>
      <c r="HL15" s="16"/>
      <c r="HM15" s="16"/>
      <c r="HN15" s="16"/>
      <c r="HO15" s="16"/>
      <c r="HP15" s="11">
        <f t="shared" si="85"/>
        <v>14.7</v>
      </c>
      <c r="HQ15" s="11">
        <f t="shared" si="86"/>
        <v>15.66</v>
      </c>
      <c r="HR15" s="11">
        <f t="shared" si="87"/>
        <v>51.36</v>
      </c>
      <c r="HS15" s="11">
        <f t="shared" si="88"/>
        <v>14.9</v>
      </c>
      <c r="HT15" s="11">
        <f t="shared" si="89"/>
        <v>15.38</v>
      </c>
      <c r="HU15" s="11">
        <f t="shared" si="90"/>
        <v>51.480000000000004</v>
      </c>
      <c r="HV15" s="11">
        <f t="shared" si="91"/>
        <v>51.480000000000004</v>
      </c>
      <c r="HW15" s="11">
        <f t="shared" si="92"/>
        <v>2</v>
      </c>
      <c r="HX15" s="11">
        <f t="shared" si="93"/>
        <v>1.75</v>
      </c>
      <c r="HY15" s="11">
        <f t="shared" si="94"/>
        <v>6.05</v>
      </c>
      <c r="HZ15" s="11" t="str">
        <f t="shared" si="95"/>
        <v/>
      </c>
      <c r="IA15" s="11" t="str">
        <f t="shared" si="96"/>
        <v/>
      </c>
      <c r="IB15" s="11" t="str">
        <f t="shared" si="97"/>
        <v/>
      </c>
      <c r="IC15" s="11">
        <f t="shared" si="98"/>
        <v>57.53</v>
      </c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36" t="str">
        <f t="shared" si="99"/>
        <v/>
      </c>
      <c r="IY15" s="36" t="str">
        <f t="shared" si="100"/>
        <v/>
      </c>
      <c r="IZ15" s="36" t="str">
        <f t="shared" si="101"/>
        <v/>
      </c>
      <c r="JA15" s="36" t="str">
        <f t="shared" si="102"/>
        <v/>
      </c>
      <c r="JB15" s="36" t="str">
        <f t="shared" si="103"/>
        <v/>
      </c>
      <c r="JC15" s="36" t="str">
        <f t="shared" si="104"/>
        <v/>
      </c>
      <c r="JD15" s="36" t="str">
        <f t="shared" si="105"/>
        <v/>
      </c>
      <c r="JE15" s="36" t="str">
        <f t="shared" si="106"/>
        <v/>
      </c>
      <c r="JF15" s="36" t="str">
        <f t="shared" si="107"/>
        <v/>
      </c>
      <c r="JG15" s="36" t="str">
        <f t="shared" si="108"/>
        <v/>
      </c>
      <c r="JH15" s="36" t="str">
        <f t="shared" si="109"/>
        <v/>
      </c>
      <c r="JI15" s="36" t="str">
        <f t="shared" si="110"/>
        <v/>
      </c>
      <c r="JJ15" s="36" t="str">
        <f t="shared" si="111"/>
        <v/>
      </c>
      <c r="JK15" s="36" t="str">
        <f t="shared" si="112"/>
        <v/>
      </c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16"/>
      <c r="JX15" s="16"/>
      <c r="JY15" s="16"/>
      <c r="JZ15" s="16"/>
      <c r="KA15" s="16"/>
      <c r="KB15" s="16"/>
      <c r="KC15" s="16"/>
      <c r="KD15" s="16"/>
      <c r="KE15" s="16"/>
      <c r="KF15" s="11" t="str">
        <f t="shared" si="113"/>
        <v/>
      </c>
      <c r="KG15" s="11" t="str">
        <f t="shared" si="114"/>
        <v/>
      </c>
      <c r="KH15" s="11" t="str">
        <f t="shared" si="115"/>
        <v/>
      </c>
      <c r="KI15" s="11" t="str">
        <f t="shared" si="116"/>
        <v/>
      </c>
      <c r="KJ15" s="11" t="str">
        <f t="shared" si="117"/>
        <v/>
      </c>
      <c r="KK15" s="11" t="str">
        <f t="shared" si="118"/>
        <v/>
      </c>
      <c r="KL15" s="11" t="str">
        <f t="shared" si="119"/>
        <v/>
      </c>
      <c r="KM15" s="11" t="str">
        <f t="shared" si="120"/>
        <v/>
      </c>
      <c r="KN15" s="11" t="str">
        <f t="shared" si="121"/>
        <v/>
      </c>
      <c r="KO15" s="11" t="str">
        <f t="shared" si="122"/>
        <v/>
      </c>
      <c r="KP15" s="11" t="str">
        <f t="shared" si="123"/>
        <v/>
      </c>
      <c r="KQ15" s="11" t="str">
        <f t="shared" si="124"/>
        <v/>
      </c>
      <c r="KR15" s="11" t="str">
        <f t="shared" si="125"/>
        <v/>
      </c>
      <c r="KS15" s="11" t="str">
        <f t="shared" si="126"/>
        <v/>
      </c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36" t="str">
        <f t="shared" si="127"/>
        <v/>
      </c>
      <c r="LO15" s="36" t="str">
        <f t="shared" si="128"/>
        <v/>
      </c>
      <c r="LP15" s="36" t="str">
        <f t="shared" si="129"/>
        <v/>
      </c>
      <c r="LQ15" s="36" t="str">
        <f t="shared" si="130"/>
        <v/>
      </c>
      <c r="LR15" s="36" t="str">
        <f t="shared" si="131"/>
        <v/>
      </c>
      <c r="LS15" s="36" t="str">
        <f t="shared" si="132"/>
        <v/>
      </c>
      <c r="LT15" s="36" t="str">
        <f t="shared" si="133"/>
        <v/>
      </c>
      <c r="LU15" s="36" t="str">
        <f t="shared" si="134"/>
        <v/>
      </c>
      <c r="LV15" s="36" t="str">
        <f t="shared" si="135"/>
        <v/>
      </c>
      <c r="LW15" s="36" t="str">
        <f t="shared" si="136"/>
        <v/>
      </c>
      <c r="LX15" s="36" t="str">
        <f t="shared" si="137"/>
        <v/>
      </c>
      <c r="LY15" s="36" t="str">
        <f t="shared" si="138"/>
        <v/>
      </c>
      <c r="LZ15" s="36" t="str">
        <f t="shared" si="139"/>
        <v/>
      </c>
      <c r="MA15" s="36" t="str">
        <f t="shared" si="140"/>
        <v/>
      </c>
      <c r="MB15" s="16"/>
      <c r="MC15" s="16"/>
      <c r="MD15" s="16"/>
      <c r="ME15" s="16"/>
      <c r="MF15" s="16"/>
      <c r="MG15" s="16"/>
      <c r="MH15" s="16"/>
      <c r="MI15" s="16"/>
      <c r="MJ15" s="16"/>
      <c r="MK15" s="16"/>
      <c r="ML15" s="16"/>
      <c r="MM15" s="16"/>
      <c r="MN15" s="16"/>
      <c r="MO15" s="16"/>
      <c r="MP15" s="16"/>
      <c r="MQ15" s="16"/>
      <c r="MR15" s="16"/>
      <c r="MS15" s="16"/>
      <c r="MT15" s="16"/>
      <c r="MU15" s="16"/>
      <c r="MV15" s="11" t="str">
        <f t="shared" si="141"/>
        <v/>
      </c>
      <c r="MW15" s="11" t="str">
        <f t="shared" si="142"/>
        <v/>
      </c>
      <c r="MX15" s="11" t="str">
        <f t="shared" si="143"/>
        <v/>
      </c>
      <c r="MY15" s="11" t="str">
        <f t="shared" si="144"/>
        <v/>
      </c>
      <c r="MZ15" s="11" t="str">
        <f t="shared" si="145"/>
        <v/>
      </c>
      <c r="NA15" s="11" t="str">
        <f t="shared" si="146"/>
        <v/>
      </c>
      <c r="NB15" s="11" t="str">
        <f t="shared" si="147"/>
        <v/>
      </c>
      <c r="NC15" s="11" t="str">
        <f t="shared" si="148"/>
        <v/>
      </c>
      <c r="ND15" s="11" t="str">
        <f t="shared" si="149"/>
        <v/>
      </c>
      <c r="NE15" s="11" t="str">
        <f t="shared" si="150"/>
        <v/>
      </c>
      <c r="NF15" s="11" t="str">
        <f t="shared" si="151"/>
        <v/>
      </c>
      <c r="NG15" s="11" t="str">
        <f t="shared" si="152"/>
        <v/>
      </c>
      <c r="NH15" s="11" t="str">
        <f t="shared" si="153"/>
        <v/>
      </c>
      <c r="NI15" s="11" t="str">
        <f t="shared" si="154"/>
        <v/>
      </c>
      <c r="NJ15" s="15">
        <v>15.3</v>
      </c>
      <c r="NK15" s="15">
        <v>9.6</v>
      </c>
      <c r="NL15" s="15">
        <v>3</v>
      </c>
      <c r="NM15" s="15">
        <v>15.83</v>
      </c>
      <c r="NN15" s="15">
        <v>0</v>
      </c>
      <c r="NO15" s="15">
        <v>12.7</v>
      </c>
      <c r="NP15" s="15">
        <v>9.1</v>
      </c>
      <c r="NQ15" s="15">
        <v>12.2</v>
      </c>
      <c r="NR15" s="15">
        <v>15.36</v>
      </c>
      <c r="NS15" s="15">
        <v>0</v>
      </c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36">
        <f t="shared" si="155"/>
        <v>3</v>
      </c>
      <c r="OE15" s="36">
        <f t="shared" si="156"/>
        <v>15.83</v>
      </c>
      <c r="OF15" s="36">
        <f t="shared" si="157"/>
        <v>43.73</v>
      </c>
      <c r="OG15" s="36">
        <f t="shared" si="158"/>
        <v>12.2</v>
      </c>
      <c r="OH15" s="36">
        <f t="shared" si="159"/>
        <v>15.36</v>
      </c>
      <c r="OI15" s="36">
        <f t="shared" si="160"/>
        <v>49.36</v>
      </c>
      <c r="OJ15" s="36">
        <f t="shared" si="161"/>
        <v>49.36</v>
      </c>
      <c r="OK15" s="36" t="str">
        <f t="shared" si="162"/>
        <v/>
      </c>
      <c r="OL15" s="36" t="str">
        <f t="shared" si="163"/>
        <v/>
      </c>
      <c r="OM15" s="36" t="str">
        <f t="shared" si="164"/>
        <v/>
      </c>
      <c r="ON15" s="36" t="str">
        <f t="shared" si="165"/>
        <v/>
      </c>
      <c r="OO15" s="36" t="str">
        <f t="shared" si="166"/>
        <v/>
      </c>
      <c r="OP15" s="36" t="str">
        <f t="shared" si="167"/>
        <v/>
      </c>
      <c r="OQ15" s="36">
        <f t="shared" si="168"/>
        <v>49.36</v>
      </c>
      <c r="OR15" s="16"/>
      <c r="OS15" s="16"/>
      <c r="OT15" s="16"/>
      <c r="OU15" s="16"/>
      <c r="OV15" s="16"/>
      <c r="OW15" s="16"/>
      <c r="OX15" s="16"/>
      <c r="OY15" s="16"/>
      <c r="OZ15" s="16"/>
      <c r="PA15" s="16"/>
      <c r="PB15" s="16"/>
      <c r="PC15" s="16"/>
      <c r="PD15" s="16"/>
      <c r="PE15" s="16"/>
      <c r="PF15" s="16"/>
      <c r="PG15" s="16"/>
      <c r="PH15" s="16"/>
      <c r="PI15" s="16"/>
      <c r="PJ15" s="16"/>
      <c r="PK15" s="16"/>
      <c r="PL15" s="11" t="str">
        <f t="shared" si="169"/>
        <v/>
      </c>
      <c r="PM15" s="11" t="str">
        <f t="shared" si="170"/>
        <v/>
      </c>
      <c r="PN15" s="11" t="str">
        <f t="shared" si="171"/>
        <v/>
      </c>
      <c r="PO15" s="11" t="str">
        <f t="shared" si="172"/>
        <v/>
      </c>
      <c r="PP15" s="11" t="str">
        <f t="shared" si="173"/>
        <v/>
      </c>
      <c r="PQ15" s="11" t="str">
        <f t="shared" si="174"/>
        <v/>
      </c>
      <c r="PR15" s="11" t="str">
        <f t="shared" si="175"/>
        <v/>
      </c>
      <c r="PS15" s="11" t="str">
        <f t="shared" si="176"/>
        <v/>
      </c>
      <c r="PT15" s="11" t="str">
        <f t="shared" si="177"/>
        <v/>
      </c>
      <c r="PU15" s="11" t="str">
        <f t="shared" si="178"/>
        <v/>
      </c>
      <c r="PV15" s="11" t="str">
        <f t="shared" si="179"/>
        <v/>
      </c>
      <c r="PW15" s="11" t="str">
        <f t="shared" si="180"/>
        <v/>
      </c>
      <c r="PX15" s="11" t="str">
        <f t="shared" si="181"/>
        <v/>
      </c>
      <c r="PY15" s="11" t="str">
        <f t="shared" si="182"/>
        <v/>
      </c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36" t="str">
        <f t="shared" si="183"/>
        <v/>
      </c>
      <c r="QU15" s="36" t="str">
        <f t="shared" si="184"/>
        <v/>
      </c>
      <c r="QV15" s="36" t="str">
        <f t="shared" si="185"/>
        <v/>
      </c>
      <c r="QW15" s="36" t="str">
        <f t="shared" si="186"/>
        <v/>
      </c>
      <c r="QX15" s="36" t="str">
        <f t="shared" si="187"/>
        <v/>
      </c>
      <c r="QY15" s="36" t="str">
        <f t="shared" si="188"/>
        <v/>
      </c>
      <c r="QZ15" s="36" t="str">
        <f t="shared" si="189"/>
        <v/>
      </c>
      <c r="RA15" s="36" t="str">
        <f t="shared" si="190"/>
        <v/>
      </c>
      <c r="RB15" s="36" t="str">
        <f t="shared" si="191"/>
        <v/>
      </c>
      <c r="RC15" s="36" t="str">
        <f t="shared" si="192"/>
        <v/>
      </c>
      <c r="RD15" s="36" t="str">
        <f t="shared" si="193"/>
        <v/>
      </c>
      <c r="RE15" s="36" t="str">
        <f t="shared" si="194"/>
        <v/>
      </c>
      <c r="RF15" s="36" t="str">
        <f t="shared" si="195"/>
        <v/>
      </c>
      <c r="RG15" s="36" t="str">
        <f t="shared" si="196"/>
        <v/>
      </c>
      <c r="RH15" s="16"/>
      <c r="RI15" s="16"/>
      <c r="RJ15" s="16"/>
      <c r="RK15" s="16"/>
      <c r="RL15" s="16"/>
      <c r="RM15" s="16"/>
      <c r="RN15" s="16"/>
      <c r="RO15" s="16"/>
      <c r="RP15" s="16"/>
      <c r="RQ15" s="16"/>
      <c r="RR15" s="16"/>
      <c r="RS15" s="16"/>
      <c r="RT15" s="16"/>
      <c r="RU15" s="16"/>
      <c r="RV15" s="16"/>
      <c r="RW15" s="16"/>
      <c r="RX15" s="16"/>
      <c r="RY15" s="16"/>
      <c r="RZ15" s="16"/>
      <c r="SA15" s="16"/>
      <c r="SB15" s="11" t="str">
        <f t="shared" si="197"/>
        <v/>
      </c>
      <c r="SC15" s="11" t="str">
        <f t="shared" si="198"/>
        <v/>
      </c>
      <c r="SD15" s="11" t="str">
        <f t="shared" si="199"/>
        <v/>
      </c>
      <c r="SE15" s="11" t="str">
        <f t="shared" si="200"/>
        <v/>
      </c>
      <c r="SF15" s="11" t="str">
        <f t="shared" si="201"/>
        <v/>
      </c>
      <c r="SG15" s="11" t="str">
        <f t="shared" si="202"/>
        <v/>
      </c>
      <c r="SH15" s="11" t="str">
        <f t="shared" si="203"/>
        <v/>
      </c>
      <c r="SI15" s="11" t="str">
        <f t="shared" si="204"/>
        <v/>
      </c>
      <c r="SJ15" s="11" t="str">
        <f t="shared" si="205"/>
        <v/>
      </c>
      <c r="SK15" s="11" t="str">
        <f t="shared" si="206"/>
        <v/>
      </c>
      <c r="SL15" s="11" t="str">
        <f t="shared" si="207"/>
        <v/>
      </c>
      <c r="SM15" s="11" t="str">
        <f t="shared" si="208"/>
        <v/>
      </c>
      <c r="SN15" s="11" t="str">
        <f t="shared" si="209"/>
        <v/>
      </c>
      <c r="SO15" s="11" t="str">
        <f t="shared" si="210"/>
        <v/>
      </c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36" t="str">
        <f t="shared" si="211"/>
        <v/>
      </c>
      <c r="TK15" s="36" t="str">
        <f t="shared" si="212"/>
        <v/>
      </c>
      <c r="TL15" s="36" t="str">
        <f t="shared" si="213"/>
        <v/>
      </c>
      <c r="TM15" s="36" t="str">
        <f t="shared" si="214"/>
        <v/>
      </c>
      <c r="TN15" s="36" t="str">
        <f t="shared" si="215"/>
        <v/>
      </c>
      <c r="TO15" s="36" t="str">
        <f t="shared" si="216"/>
        <v/>
      </c>
      <c r="TP15" s="36" t="str">
        <f t="shared" si="217"/>
        <v/>
      </c>
      <c r="TQ15" s="36" t="str">
        <f t="shared" si="218"/>
        <v/>
      </c>
      <c r="TR15" s="36" t="str">
        <f t="shared" si="219"/>
        <v/>
      </c>
      <c r="TS15" s="36" t="str">
        <f t="shared" si="220"/>
        <v/>
      </c>
      <c r="TT15" s="36" t="str">
        <f t="shared" si="221"/>
        <v/>
      </c>
      <c r="TU15" s="36" t="str">
        <f t="shared" si="222"/>
        <v/>
      </c>
      <c r="TV15" s="36" t="str">
        <f t="shared" si="223"/>
        <v/>
      </c>
      <c r="TW15" s="36" t="str">
        <f t="shared" si="224"/>
        <v/>
      </c>
      <c r="TX15" s="16"/>
      <c r="TY15" s="16"/>
      <c r="TZ15" s="16"/>
      <c r="UA15" s="16"/>
      <c r="UB15" s="16"/>
      <c r="UC15" s="16"/>
      <c r="UD15" s="16"/>
      <c r="UE15" s="16"/>
      <c r="UF15" s="16"/>
      <c r="UG15" s="16"/>
      <c r="UH15" s="16"/>
      <c r="UI15" s="16"/>
      <c r="UJ15" s="16"/>
      <c r="UK15" s="16"/>
      <c r="UL15" s="16"/>
      <c r="UM15" s="16"/>
      <c r="UN15" s="16"/>
      <c r="UO15" s="16"/>
      <c r="UP15" s="16"/>
      <c r="UQ15" s="16"/>
      <c r="UR15" s="11" t="str">
        <f t="shared" si="225"/>
        <v/>
      </c>
      <c r="US15" s="11" t="str">
        <f t="shared" si="226"/>
        <v/>
      </c>
      <c r="UT15" s="11" t="str">
        <f t="shared" si="227"/>
        <v/>
      </c>
      <c r="UU15" s="11" t="str">
        <f t="shared" si="228"/>
        <v/>
      </c>
      <c r="UV15" s="11" t="str">
        <f t="shared" si="229"/>
        <v/>
      </c>
      <c r="UW15" s="11" t="str">
        <f t="shared" si="230"/>
        <v/>
      </c>
      <c r="UX15" s="11" t="str">
        <f t="shared" si="231"/>
        <v/>
      </c>
      <c r="UY15" s="11" t="str">
        <f t="shared" si="232"/>
        <v/>
      </c>
      <c r="UZ15" s="11" t="str">
        <f t="shared" si="233"/>
        <v/>
      </c>
      <c r="VA15" s="11" t="str">
        <f t="shared" si="234"/>
        <v/>
      </c>
      <c r="VB15" s="11" t="str">
        <f t="shared" si="235"/>
        <v/>
      </c>
      <c r="VC15" s="11" t="str">
        <f t="shared" si="236"/>
        <v/>
      </c>
      <c r="VD15" s="11" t="str">
        <f t="shared" si="237"/>
        <v/>
      </c>
      <c r="VE15" s="11" t="str">
        <f t="shared" si="238"/>
        <v/>
      </c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36" t="str">
        <f t="shared" si="239"/>
        <v/>
      </c>
      <c r="WA15" s="36" t="str">
        <f t="shared" si="240"/>
        <v/>
      </c>
      <c r="WB15" s="36" t="str">
        <f t="shared" si="241"/>
        <v/>
      </c>
      <c r="WC15" s="36" t="str">
        <f t="shared" si="242"/>
        <v/>
      </c>
      <c r="WD15" s="36" t="str">
        <f t="shared" si="243"/>
        <v/>
      </c>
      <c r="WE15" s="36" t="str">
        <f t="shared" si="244"/>
        <v/>
      </c>
      <c r="WF15" s="36" t="str">
        <f t="shared" si="245"/>
        <v/>
      </c>
      <c r="WG15" s="36" t="str">
        <f t="shared" si="246"/>
        <v/>
      </c>
      <c r="WH15" s="36" t="str">
        <f t="shared" si="247"/>
        <v/>
      </c>
      <c r="WI15" s="36" t="str">
        <f t="shared" si="248"/>
        <v/>
      </c>
      <c r="WJ15" s="36" t="str">
        <f t="shared" si="249"/>
        <v/>
      </c>
      <c r="WK15" s="36" t="str">
        <f t="shared" si="250"/>
        <v/>
      </c>
      <c r="WL15" s="36" t="str">
        <f t="shared" si="251"/>
        <v/>
      </c>
      <c r="WM15" s="36" t="str">
        <f t="shared" si="252"/>
        <v/>
      </c>
    </row>
    <row r="16" spans="1:611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116</v>
      </c>
      <c r="C16" s="4" t="s">
        <v>5</v>
      </c>
      <c r="D16" s="4">
        <v>2007</v>
      </c>
      <c r="E16" s="9">
        <f t="shared" si="0"/>
        <v>141.70001417000523</v>
      </c>
      <c r="F16" s="3" t="str">
        <f>IF(OR(AND(AI16&gt;=AS$27,AI16&lt;&gt;"",AK16&gt;=AS$31,AK16&lt;&gt;"",AH16=""),AND(AL16&gt;=AS$27,AL16&lt;&gt;"",AN16&gt;=AS$31,AN16&lt;&gt;"",AH16=""),AND(AP16&gt;=AS$27,AP16&lt;&gt;"",AR16&gt;=AS$31,AR16&lt;&gt;"",AH16=""),AND(BJ16&gt;=BT$27,BJ16&lt;&gt;"",BL16&gt;=BT$31,BL16&lt;&gt;"",BI16=""),AND(BM16&gt;=BT$27,BM16&lt;&gt;"",BO16&gt;=BT$31,BO16&lt;&gt;"",BI16=""),AND(BQ16&gt;=BT$27,BQ16&lt;&gt;"",BS16&gt;=BT$31,BS16&lt;&gt;"",BI16=""),AND(CK16&gt;=CU$27,CK16&lt;&gt;"",CM16&gt;=CU$31,CM16&lt;&gt;"",CJ16=""),AND(CN16&gt;=CU$27,CN16&lt;&gt;"",CP16&gt;=CU$31,CP16&lt;&gt;"",CJ16=""),AND(CR16&gt;=CU$27,CR16&lt;&gt;"",CT16&gt;=CU$31,CT16&lt;&gt;"",CJ16=""),AND(DR16&gt;=EE$27,DR16&lt;&gt;"",DT16&gt;=EE$31,DT16&lt;&gt;""),AND(DU16&gt;=EE$27,DU16&lt;&gt;"",DW16&gt;=EE$31,DW16&lt;&gt;""),AND(DY16&gt;=EE$27,DY16&lt;&gt;"",EA16&gt;=EE$31,EA16&lt;&gt;""),AND(EB16&gt;=EE$27,EB16&lt;&gt;"",ED16&gt;=EE$31,ED16&lt;&gt;""),AND(EZ16&gt;=FM$27,EZ16&lt;&gt;"",FB16&gt;=FM$31,FB16&lt;&gt;""),AND(FC16&gt;=FM$27,FC16&lt;&gt;"",FE16&gt;=FM$31,FE16&lt;&gt;""),AND(FG16&gt;=FM$27,FG16&lt;&gt;"",FI16&gt;=FM$31,FI16&lt;&gt;""),AND(FJ16&gt;=FM$27,FJ16&lt;&gt;"",FL16&gt;=FM$31,FL16&lt;&gt;""),AND(GH16&gt;=GU$27,GH16&lt;&gt;"",GJ16&gt;=GU$31,GJ16&lt;&gt;""),AND(GK16&gt;=GU$27,GK16&lt;&gt;"",GM16&gt;=GU$31,GM16&lt;&gt;""),AND(GO16&gt;=GU$27,GO16&lt;&gt;"",GQ16&gt;=GU$31,GQ16&lt;&gt;""),AND(GR16&gt;=GU$27,GR16&lt;&gt;"",GT16&gt;=GU$31,GT16&lt;&gt;""),AND(HP16&gt;=IC$27,HP16&lt;&gt;"",HR16&gt;=IC$31,HR16&lt;&gt;""),AND(HS16&gt;=IC$27,HS16&lt;&gt;"",HU16&gt;=IC$31,HU16&lt;&gt;""),AND(HW16&gt;=IC$27,HW16&lt;&gt;"",HY16&gt;=IC$31,HY16&lt;&gt;""),AND(HZ16&gt;=IC$27,HZ16&lt;&gt;"",IB16&gt;=IC$31,IB16&lt;&gt;""),AND(IX16&gt;=JK$27,IX16&lt;&gt;"",IZ16&gt;=JK$31,IZ16&lt;&gt;""),AND(JA16&gt;=JK$27,JA16&lt;&gt;"",JC16&gt;=JK$31,JC16&lt;&gt;""),AND(JE16&gt;=JK$27,JE16&lt;&gt;"",JG16&gt;=JK$31,JG16&lt;&gt;""),AND(JH16&gt;=JK$27,JH16&lt;&gt;"",JJ16&gt;=JK$31,JJ16&lt;&gt;""),AND(KF16&gt;=KS$27,KF16&lt;&gt;"",KH16&gt;=KS$31,KH16&lt;&gt;""),AND(KI16&gt;=KS$27,KI16&lt;&gt;"",KK16&gt;=KS$31,KK16&lt;&gt;""),AND(KM16&gt;=KS$27,KM16&lt;&gt;"",KO16&gt;=KS$31,KO16&lt;&gt;""),AND(KP16&gt;=KS$27,KP16&lt;&gt;"",KR16&gt;=KS$31,KR16&lt;&gt;""),AND(LN16&gt;=MA$27,LN16&lt;&gt;"",LP16&gt;=MA$31,LP16&lt;&gt;""),AND(LQ16&gt;=MA$27,LQ16&lt;&gt;"",LS16&gt;=MA$31,LS16&lt;&gt;""),AND(LU16&gt;=MA$27,LU16&lt;&gt;"",LW16&gt;=MA$31,LW16&lt;&gt;""),AND(LX16&gt;=MA$27,LX16&lt;&gt;"",LZ16&gt;=MA$31,LZ16&lt;&gt;""),AND(MV16&gt;=NI$27,MV16&lt;&gt;"",MX16&gt;=NI$31,MX16&lt;&gt;""),AND(MY16&gt;=NI$27,MY16&lt;&gt;"",NA16&gt;=NI$31,NA16&lt;&gt;""),AND(NC16&gt;=NI$27,NC16&lt;&gt;"",NE16&gt;=NI$31,NE16&lt;&gt;""),AND(NF16&gt;=NI$27,NF16&lt;&gt;"",NH16&gt;=NI$31,NH16&lt;&gt;""),AND(OD16&gt;=OQ$27,OD16&lt;&gt;"",OF16&gt;=OQ$31,OF16&lt;&gt;""),AND(OG16&gt;=OQ$27,OG16&lt;&gt;"",OI16&gt;=OQ$31,OI16&lt;&gt;""),AND(OK16&gt;=OQ$27,OK16&lt;&gt;"",OM16&gt;=OQ$31,OM16&lt;&gt;""),AND(ON16&gt;=OQ$27,ON16&lt;&gt;"",OP16&gt;=OQ$31,OP16&lt;&gt;""),AND(PL16&gt;=PY$27,PL16&lt;&gt;"",PN16&gt;=PY$31,PN16&lt;&gt;""),AND(PO16&gt;=PY$27,PO16&lt;&gt;"",PQ16&gt;=PY$31,PQ16&lt;&gt;""),AND(PS16&gt;=PY$27,PS16&lt;&gt;"",PU16&gt;=PY$31,PU16&lt;&gt;""),AND(PV16&gt;=PY$27,PV16&lt;&gt;"",PX16&gt;=PY$31,PX16&lt;&gt;""),AND(QT16&gt;=RG$27,QT16&lt;&gt;"",QV16&gt;=RG$31,QV16&lt;&gt;""),AND(QW16&gt;=RG$27,QW16&lt;&gt;"",QY16&gt;=RG$31,QY16&lt;&gt;""),AND(RA16&gt;=RG$27,RA16&lt;&gt;"",RC16&gt;=RG$31,RC16&lt;&gt;""),AND(RD16&gt;=RG$27,RD16&lt;&gt;"",RF16&gt;=RG$31,RF16&lt;&gt;""),AND(SB16&gt;=SO$27,SB16&lt;&gt;"",SD16&gt;=SO$31,SD16&lt;&gt;""),AND(SE16&gt;=SO$27,SE16&lt;&gt;"",SG16&gt;=SO$31,SG16&lt;&gt;""),AND(SI16&gt;=SO$27,SI16&lt;&gt;"",SK16&gt;=SO$31,SK16&lt;&gt;""),AND(SL16&gt;=SO$27,SL16&lt;&gt;"",SN16&gt;=SO$31,SN16&lt;&gt;""),AND(TJ16&gt;=TW$27,TJ16&lt;&gt;"",TL16&gt;=TW$31,TL16&lt;&gt;""),AND(TM16&gt;=TW$27,TM16&lt;&gt;"",TO16&gt;=TW$31,TO16&lt;&gt;""),AND(TQ16&gt;=TW$27,TQ16&lt;&gt;"",TS16&gt;=TW$31,TXQ16&lt;&gt;""),AND(TT16&gt;=TW$27,TT16&lt;&gt;"",TV16&gt;=TW$31,TV16&lt;&gt;""),AND(UR16&gt;=VE$27,UR16&lt;&gt;"",UT16&gt;=VE$31,UT16&lt;&gt;""),AND(UU16&gt;=VE$27,UU16&lt;&gt;"",UW16&gt;=VE$31,UW16&lt;&gt;""),AND(UY16&gt;=VE$27,UY16&lt;&gt;"",VA16&gt;=VE$31,VA16&lt;&gt;""),AND(VB16&gt;=VE$27,VB16&lt;&gt;"",VD16&gt;=VE$31,VD16&lt;&gt;""),AND(VZ16&gt;=WM$27,VZ16&lt;&gt;"",WB16&gt;=WM$31,WB16&lt;&gt;""),AND(WC16&gt;=WM$27,WC16&lt;&gt;"",WE16&gt;=WM$31,WE16&lt;&gt;""),AND(WG16&gt;=WM$27,WG16&lt;&gt;"",WI16&gt;=WM$31,WI16&lt;&gt;""),AND(WJ16&gt;=WM$27,WJ16&lt;&gt;"",WL16&gt;=WM$31,WL16&lt;&gt;"")),"P","")</f>
        <v/>
      </c>
      <c r="G16" s="3" t="str">
        <f>IF(OR(AND(AK16&gt;=AS$31,AK16&lt;&gt;"",AH16=""),AND(AN16&gt;=AS$31,AN16&lt;&gt;"",AH16=""),AND(AR16&gt;=AS$31,AR16&lt;&gt;"",AH16=""),AND(BL16&gt;=BT$31,BL16&lt;&gt;"",BI16=""),AND(BO16&gt;=BT$31,BO16&lt;&gt;"",BI16=""),AND(BS16&gt;=BT$31,BS16&lt;&gt;"",BI16=""),AND(CM16&gt;=CU$31,CM16&lt;&gt;"",CJ16=""),AND(CP16&gt;=CU$31,CP16&lt;&gt;"",CJ16=""),AND(CT16&gt;=CU$31,CT16&lt;&gt;"",CJ16=""),AND(DT16&gt;=EE$31,DT16&lt;&gt;""),AND(DW16&gt;=EE$31,DW16&lt;&gt;""),AND(EA16&gt;=EE$31,EA16&lt;&gt;""),AND(ED16&gt;=EE$31,ED16&lt;&gt;""),AND(FB16&gt;=FM$31,FB16&lt;&gt;""),AND(FE16&gt;=FM$31,FE16&lt;&gt;""),AND(FI16&gt;=FM$31,FI16&lt;&gt;""),AND(FL16&gt;=FM$31,FL16&lt;&gt;""),AND(GJ16&gt;=GU$31,GJ16&lt;&gt;""),AND(GM16&gt;=GU$31,GM16&lt;&gt;""),AND(GQ16&gt;=GU$31,GQ16&lt;&gt;""),AND(GT16&gt;=GU$31,GT16&lt;&gt;""),AND(HR16&gt;=IC$31,HR16&lt;&gt;""),AND(HU16&gt;=IC$31,HU16&lt;&gt;""),AND(HY16&gt;=IC$31,HY16&lt;&gt;""),AND(IB16&gt;=IC$31,IB16&lt;&gt;""),AND(IZ16&gt;=JK$31,IZ16&lt;&gt;""),AND(JC16&gt;=JK$31,JC16&lt;&gt;""),AND(JG16&gt;=JK$31,JG16&lt;&gt;""),AND(JJ16&gt;=JK$31,JJ16&lt;&gt;""),AND(KH16&gt;=KS$31,KH16&lt;&gt;""),AND(KK16&gt;=KS$31,KK16&lt;&gt;""),AND(KO16&gt;=KS$31,KO16&lt;&gt;""),AND(KR16&gt;=KS$31,KR16&lt;&gt;""),AND(LP16&gt;=MA$31,LP16&lt;&gt;""),AND(LS16&gt;=MA$31,LS16&lt;&gt;""),AND(LW16&gt;=MA$31,LW16&lt;&gt;""),AND(LZ16&gt;=MA$31,LZ16&lt;&gt;""),AND(MX16&gt;=NI$31,MX16&lt;&gt;""),AND(NA16&gt;=NI$31,NA16&lt;&gt;""),AND(NE16&gt;=NI$31,NE16&lt;&gt;""),AND(NH16&gt;=NI$31,NH16&lt;&gt;""),AND(OF16&gt;=OQ$31,OF16&lt;&gt;""),AND(OI16&gt;=OQ$31,OI16&lt;&gt;""),AND(OM16&gt;=OQ$31,OM16&lt;&gt;""),AND(OP16&gt;=OQ$31,OP16&lt;&gt;""),AND(PN16&gt;=PY$31,PN16&lt;&gt;""),AND(PQ16&gt;=PY$31,PQ16&lt;&gt;""),AND(PU16&gt;=PY$31,PU16&lt;&gt;""),AND(PX16&gt;=PY$31,PX16&lt;&gt;""),AND(QV16&gt;=RG$31,QV16&lt;&gt;""),AND(QY16&gt;=RG$31,QY16&lt;&gt;""),AND(RC16&gt;=RG$31,RC16&lt;&gt;""),AND(RF16&gt;=RG$31,RF16&lt;&gt;""),AND(SD16&gt;=SO$31,SD16&lt;&gt;""),AND(SG16&gt;=SO$31,SG16&lt;&gt;""),AND(SK16&gt;=SO$31,SK16&lt;&gt;""),AND(SN16&gt;=SO$31,SN16&lt;&gt;""),AND(TL16&gt;=TW$31,TL16&lt;&gt;""),AND(TO16&gt;=TW$31,TO16&lt;&gt;""),AND(TS16&gt;=TW$31,TXQ16&lt;&gt;""),AND(TV16&gt;=TW$31,TV16&lt;&gt;""),AND(UT16&gt;=VE$31,UT16&lt;&gt;""),AND(UW16&gt;=VE$31,UW16&lt;&gt;""),AND(VA16&gt;=VE$31,VA16&lt;&gt;""),AND(VD16&gt;=VE$31,VD16&lt;&gt;""),AND(WB16&gt;=WM$31,WB16&lt;&gt;""),AND(WE16&gt;=WM$31,WE16&lt;&gt;""),AND(WI16&gt;=WM$31,WI16&lt;&gt;""),AND(WL16&gt;=WM$31,WL16&lt;&gt;"")),"P","")</f>
        <v/>
      </c>
      <c r="H16" s="32" t="str">
        <f>IF(AND(G16="P",F16=""),"No DD",IF(OR(AND(AI16&gt;=AS$30,AI16&lt;&gt;"",AK16&gt;=AS$34,AK16&lt;&gt;"",AH16=""),AND(AL16&gt;=AS$30,AL16&lt;&gt;"",AN16&gt;=AS$34,AN16&lt;&gt;"",AH16=""),AND(AP16&gt;=AS$30,AP16&lt;&gt;"",AR16&gt;=AS$34,AR16&lt;&gt;"",AH16=""),AND(BJ16&gt;=BT$30,BJ16&lt;&gt;"",BL16&gt;=BT$34,BL16&lt;&gt;"",BI16=""),AND(BM16&gt;=BT$30,BM16&lt;&gt;"",BO16&gt;=BT$34,BO16&lt;&gt;"",BI16=""),AND(BQ16&gt;=BT$30,BQ16&lt;&gt;"",BS16&gt;=BT$34,BS16&lt;&gt;"",BI16=""),AND(CK16&gt;=CU$30,CK16&lt;&gt;"",CM16&gt;=CU$34,CM16&lt;&gt;"",CJ16=""),AND(CN16&gt;=CU$30,CN16&lt;&gt;"",CP16&gt;=CU$34,CP16&lt;&gt;"",CJ16=""),AND(CR16&gt;=CU$30,CR16&lt;&gt;"",CT16&gt;=CU$34,CT16&lt;&gt;"",CJ16=""),AND(DR16&gt;=EE$30,DR16&lt;&gt;"",DT16&gt;=EE$34,DT16&lt;&gt;""),AND(DU16&gt;=EE$30,DU16&lt;&gt;"",DW16&gt;=EE$34,DW16&lt;&gt;""),AND(DY16&gt;=EE$30,DY16&lt;&gt;"",EA16&gt;=EE$34,EA16&lt;&gt;""),AND(EB16&gt;=EE$30,EB16&lt;&gt;"",ED16&gt;=EE$34,ED16&lt;&gt;""),AND(EZ16&gt;=FM$30,EZ16&lt;&gt;"",FB16&gt;=FM$34,FB16&lt;&gt;""),AND(FC16&gt;=FM$30,FC16&lt;&gt;"",FE16&gt;=FM$34,FE16&lt;&gt;""),AND(FG16&gt;=FM$30,FG16&lt;&gt;"",FI16&gt;=FM$34,FI16&lt;&gt;""),AND(FJ16&gt;=FM$30,FJ16&lt;&gt;"",FL16&gt;=FM$34,FL16&lt;&gt;""),AND(GH16&gt;=GU$30,GH16&lt;&gt;"",GJ16&gt;=GU$34,GJ16&lt;&gt;""),AND(GK16&gt;=GU$30,GK16&lt;&gt;"",GM16&gt;=GU$34,GM16&lt;&gt;""),AND(GO16&gt;=GU$30,GO16&lt;&gt;"",GQ16&gt;=GU$34,GQ16&lt;&gt;""),AND(GR16&gt;=GU$30,GR16&lt;&gt;"",GT16&gt;=GU$34,GT16&lt;&gt;""),AND(HP16&gt;=IC$30,HP16&lt;&gt;"",HR16&gt;=IC$34,HR16&lt;&gt;""),AND(HS16&gt;=IC$30,HS16&lt;&gt;"",HU16&gt;=IC$34,HU16&lt;&gt;""),AND(HW16&gt;=IC$30,HW16&lt;&gt;"",HY16&gt;=IC$34,HY16&lt;&gt;""),AND(HZ16&gt;=IC$30,HZ16&lt;&gt;"",IB16&gt;=IC$34,IB16&lt;&gt;""),AND(IX16&gt;=JK$30,IX16&lt;&gt;"",IZ16&gt;=JK$34,IZ16&lt;&gt;""),AND(JA16&gt;=JK$30,JA16&lt;&gt;"",JC16&gt;=JK$34,JC16&lt;&gt;""),AND(JE16&gt;=JK$30,JE16&lt;&gt;"",JG16&gt;=JK$34,JG16&lt;&gt;""),AND(JH16&gt;=JK$30,JH16&lt;&gt;"",JJ16&gt;=JK$34,JJ16&lt;&gt;""),AND(KF16&gt;=KS$30,KF16&lt;&gt;"",KH16&gt;=KS$34,KH16&lt;&gt;""),AND(KI16&gt;=KS$30,KI16&lt;&gt;"",KK16&gt;=KS$34,KK16&lt;&gt;""),AND(KM16&gt;=KS$30,KM16&lt;&gt;"",KO16&gt;=KS$34,KO16&lt;&gt;""),AND(KP16&gt;=KS$30,KP16&lt;&gt;"",KR16&gt;=KS$34,KR16&lt;&gt;""),AND(LN16&gt;=MA$30,LN16&lt;&gt;"",LP16&gt;=MA$34,LP16&lt;&gt;""),AND(LQ16&gt;=MA$30,LQ16&lt;&gt;"",LS16&gt;=MA$34,LS16&lt;&gt;""),AND(LU16&gt;=MA$30,LU16&lt;&gt;"",LW16&gt;=MA$34,LW16&lt;&gt;""),AND(LX16&gt;=MA$30,LX16&lt;&gt;"",LZ16&gt;=MA$34,LZ16&lt;&gt;""),AND(MV16&gt;=NI$30,MV16&lt;&gt;"",MX16&gt;=NI$34,MX16&lt;&gt;""),AND(MY16&gt;=NI$30,MY16&lt;&gt;"",NA16&gt;=NI$34,NA16&lt;&gt;""),AND(NC16&gt;=NI$30,NC16&lt;&gt;"",NE16&gt;=NI$34,NE16&lt;&gt;""),AND(NF16&gt;=NI$30,NF16&lt;&gt;"",NH16&gt;=NI$34,NH16&lt;&gt;""),AND(OD16&gt;=OQ$30,OD16&lt;&gt;"",OF16&gt;=OQ$34,OF16&lt;&gt;""),AND(OG16&gt;=OQ$30,OG16&lt;&gt;"",OI16&gt;=OQ$34,OI16&lt;&gt;""),AND(OK16&gt;=OQ$30,OK16&lt;&gt;"",OM16&gt;=OQ$34,OM16&lt;&gt;""),AND(ON16&gt;=OQ$30,ON16&lt;&gt;"",OP16&gt;=OQ$34,OP16&lt;&gt;""),AND(PL16&gt;=PY$30,PL16&lt;&gt;"",PN16&gt;=PY$34,PN16&lt;&gt;""),AND(PO16&gt;=PY$30,PO16&lt;&gt;"",PQ16&gt;=PY$34,PQ16&lt;&gt;""),AND(PS16&gt;=PY$30,PS16&lt;&gt;"",PU16&gt;=PY$34,PU16&lt;&gt;""),AND(PV16&gt;=PY$30,PV16&lt;&gt;"",PX16&gt;=PY$34,PX16&lt;&gt;""),AND(QT16&gt;=RG$30,QT16&lt;&gt;"",QV16&gt;=RG$34,QV16&lt;&gt;""),AND(QW16&gt;=RG$30,QW16&lt;&gt;"",QY16&gt;=RG$34,QY16&lt;&gt;""),AND(RA16&gt;=RG$30,RA16&lt;&gt;"",RC16&gt;=RG$34,RC16&lt;&gt;""),AND(RD16&gt;=RG$30,RD16&lt;&gt;"",RF16&gt;=RG$34,RF16&lt;&gt;""),AND(SB16&gt;=SO$30,SB16&lt;&gt;"",SD16&gt;=SO$34,SD16&lt;&gt;""),AND(SE16&gt;=SO$30,SE16&lt;&gt;"",SG16&gt;=SO$34,SG16&lt;&gt;""),AND(SI16&gt;=SO$30,SI16&lt;&gt;"",SK16&gt;=SO$34,SK16&lt;&gt;""),AND(SL16&gt;=SO$30,SL16&lt;&gt;"",SN16&gt;=SO$34,SN16&lt;&gt;""),AND(TJ16&gt;=TW$30,TJ16&lt;&gt;"",TL16&gt;=TW$34,TL16&lt;&gt;""),AND(TM16&gt;=TW$30,TM16&lt;&gt;"",TO16&gt;=TW$34,TO16&lt;&gt;""),AND(TQ16&gt;=TW$30,TQ16&lt;&gt;"",TS16&gt;=TW$354,TXQ16&lt;&gt;""),AND(TT16&gt;=TW$30,TT16&lt;&gt;"",TV16&gt;=TW$34,TV16&lt;&gt;""),AND(UR16&gt;=VE$30,UR16&lt;&gt;"",UT16&gt;=VE$34,UT16&lt;&gt;""),AND(UU16&gt;=VE$30,UU16&lt;&gt;"",UW16&gt;=VE$34,UW16&lt;&gt;""),AND(UY16&gt;=VE$30,UY16&lt;&gt;"",VA16&gt;=VE$34,VA16&lt;&gt;""),AND(VB16&gt;=VE$30,VB16&lt;&gt;"",VD16&gt;=VE$34,VD16&lt;&gt;""),AND(VZ16&gt;=WM$30,VZ16&lt;&gt;"",WB16&gt;=WM$34,WB16&lt;&gt;""),AND(WC16&gt;=WM$30,WC16&lt;&gt;"",WE16&gt;=WM$34,WE16&lt;&gt;""),AND(WG16&gt;=WM$30,WG16&lt;&gt;"",WI16&gt;=WM$34,WI16&lt;&gt;""),AND(WJ16&gt;=WM$30,WJ16&lt;&gt;"",WL16&gt;=WM$34,WL16&lt;&gt;"")),"Merit",IF(OR(AND(AI16&gt;=AS$29,AI16&lt;&gt;"",AK16&gt;=AS$33,AK16&lt;&gt;"",AH16=""),AND(AL16&gt;=AS$29,AL16&lt;&gt;"",AN16&gt;=AS$33,AN16&lt;&gt;"",AH16=""),AND(AP16&gt;=AS$29,AP16&lt;&gt;"",AR16&gt;=AS$33,AR16&lt;&gt;"",AH16=""),AND(BJ16&gt;=BT$29,BJ16&lt;&gt;"",BL16&gt;=BT$33,BL16&lt;&gt;"",BI16=""),AND(BM16&gt;=BT$29,BM16&lt;&gt;"",BO16&gt;=BT$33,BO16&lt;&gt;"",BI16=""),AND(BQ16&gt;=BT$29,BQ16&lt;&gt;"",BS16&gt;=BT$33,BS16&lt;&gt;"",BI16=""),AND(CK16&gt;=CU$29,CK16&lt;&gt;"",CM16&gt;=CU$33,CM16&lt;&gt;"",CJ16=""),AND(CN16&gt;=CU$29,CN16&lt;&gt;"",CP16&gt;=CU$33,CP16&lt;&gt;"",CJ16=""),AND(CR16&gt;=CU$29,CR16&lt;&gt;"",CT16&gt;=CU$33,CT16&lt;&gt;"",CJ16=""),AND(DR16&gt;=EE$29,DR16&lt;&gt;"",DT16&gt;=EE$33,DT16&lt;&gt;""),AND(DU16&gt;=EE$29,DU16&lt;&gt;"",DW16&gt;=EE$33,DW16&lt;&gt;""),AND(DY16&gt;=EE$29,DY16&lt;&gt;"",EA16&gt;=EE$33,EA16&lt;&gt;""),AND(EB16&gt;=EE$29,EB16&lt;&gt;"",ED16&gt;=EE$33,ED16&lt;&gt;""),AND(EZ16&gt;=FM$29,EZ16&lt;&gt;"",FB16&gt;=FM$33,FB16&lt;&gt;""),AND(FC16&gt;=FM$29,FC16&lt;&gt;"",FE16&gt;=FM$33,FE16&lt;&gt;""),AND(FG16&gt;=FM$29,FG16&lt;&gt;"",FI16&gt;=FM$33,FI16&lt;&gt;""),AND(FJ16&gt;=FM$29,FJ16&lt;&gt;"",FL16&gt;=FM$33,FL16&lt;&gt;""),AND(GH16&gt;=GU$29,GH16&lt;&gt;"",GJ16&gt;=GU$33,GJ16&lt;&gt;""),AND(GK16&gt;=GU$29,GK16&lt;&gt;"",GM16&gt;=GU$33,GM16&lt;&gt;""),AND(GO16&gt;=GU$29,GO16&lt;&gt;"",GQ16&gt;=GU$33,GQ16&lt;&gt;""),AND(GR16&gt;=GU$29,GR16&lt;&gt;"",GT16&gt;=GU$33,GT16&lt;&gt;""),AND(HP16&gt;=IC$29,HP16&lt;&gt;"",HR16&gt;=IC$33,HR16&lt;&gt;""),AND(HS16&gt;=IC$29,HS16&lt;&gt;"",HU16&gt;=IC$33,HU16&lt;&gt;""),AND(HW16&gt;=IC$29,HW16&lt;&gt;"",HY16&gt;=IC$33,HY16&lt;&gt;""),AND(HZ16&gt;=IC$29,HZ16&lt;&gt;"",IB16&gt;=IC$33,IB16&lt;&gt;""),AND(IX16&gt;=JK$29,IX16&lt;&gt;"",IZ16&gt;=JK$33,IZ16&lt;&gt;""),AND(JA16&gt;=JK$29,JA16&lt;&gt;"",JC16&gt;=JK$33,JC16&lt;&gt;""),AND(JE16&gt;=JK$29,JE16&lt;&gt;"",JG16&gt;=JK$33,JG16&lt;&gt;""),AND(JH16&gt;=JK$29,JH16&lt;&gt;"",JJ16&gt;=JK$33,JJ16&lt;&gt;""),AND(KF16&gt;=KS$29,KF16&lt;&gt;"",KH16&gt;=KS$33,KH16&lt;&gt;""),AND(KI16&gt;=KS$29,KI16&lt;&gt;"",KK16&gt;=KS$33,KK16&lt;&gt;""),AND(KM16&gt;=KS$29,KM16&lt;&gt;"",KO16&gt;=KS$33,KO16&lt;&gt;""),AND(KP16&gt;=KS$29,KP16&lt;&gt;"",KR16&gt;=KS$33,KR16&lt;&gt;""),AND(LN16&gt;=MA$29,LN16&lt;&gt;"",LP16&gt;=MA$33,LP16&lt;&gt;""),AND(LQ16&gt;=MA$29,LQ16&lt;&gt;"",LS16&gt;=MA$33,LS16&lt;&gt;""),AND(LU16&gt;=MA$29,LU16&lt;&gt;"",LW16&gt;=MA$33,LW16&lt;&gt;""),AND(LX16&gt;=MA$29,LX16&lt;&gt;"",LZ16&gt;=MA$33,LZ16&lt;&gt;""),AND(MV16&gt;=NI$29,MV16&lt;&gt;"",MX16&gt;=NI$33,MX16&lt;&gt;""),AND(MY16&gt;=NI$29,MY16&lt;&gt;"",NA16&gt;=NI$33,NA16&lt;&gt;""),AND(NC16&gt;=NI$29,NC16&lt;&gt;"",NE16&gt;=NI$33,NE16&lt;&gt;""),AND(NF16&gt;=NI$29,NF16&lt;&gt;"",NH16&gt;=NI$33,NH16&lt;&gt;""),AND(OD16&gt;=OQ$29,OD16&lt;&gt;"",OF16&gt;=OQ$33,OF16&lt;&gt;""),AND(OG16&gt;=OQ$29,OG16&lt;&gt;"",OI16&gt;=OQ$33,OI16&lt;&gt;""),AND(OK16&gt;=OQ$29,OK16&lt;&gt;"",OM16&gt;=OQ$33,OM16&lt;&gt;""),AND(ON16&gt;=OQ$29,ON16&lt;&gt;"",OP16&gt;=OQ$33,OP16&lt;&gt;""),AND(PL16&gt;=PY$29,PL16&lt;&gt;"",PN16&gt;=PY$33,PN16&lt;&gt;""),AND(PO16&gt;=PY$29,PO16&lt;&gt;"",PQ16&gt;=PY$33,PQ16&lt;&gt;""),AND(PS16&gt;=PY$29,PS16&lt;&gt;"",PU16&gt;=PY$33,PU16&lt;&gt;""),AND(PV16&gt;=PY$29,PV16&lt;&gt;"",PX16&gt;=PY$33,PX16&lt;&gt;""),AND(QT16&gt;=RG$29,QT16&lt;&gt;"",QV16&gt;=RG$33,QV16&lt;&gt;""),AND(QW16&gt;=RG$29,QW16&lt;&gt;"",QY16&gt;=RG$33,QY16&lt;&gt;""),AND(RA16&gt;=RG$29,RA16&lt;&gt;"",RC16&gt;=RG$33,RC16&lt;&gt;""),AND(RD16&gt;=RG$29,RD16&lt;&gt;"",RF16&gt;=RG$33,RF16&lt;&gt;""),AND(SB16&gt;=SO$29,SB16&lt;&gt;"",SD16&gt;=SO$33,SD16&lt;&gt;""),AND(SE16&gt;=SO$29,SE16&lt;&gt;"",SG16&gt;=SO$33,SG16&lt;&gt;""),AND(SI16&gt;=SO$29,SI16&lt;&gt;"",SK16&gt;=SO$33,SK16&lt;&gt;""),AND(SL16&gt;=SO$29,SL16&lt;&gt;"",SN16&gt;=SO$33,SN16&lt;&gt;""),AND(TJ16&gt;=TW$29,TJ16&lt;&gt;"",TL16&gt;=TW$33,TL16&lt;&gt;""),AND(TM16&gt;=TW$29,TM16&lt;&gt;"",TO16&gt;=TW$33,TO16&lt;&gt;""),AND(TQ16&gt;=TW$29,TQ16&lt;&gt;"",TS16&gt;=TW$33,TXQ16&lt;&gt;""),AND(TT16&gt;=TW$29,TT16&lt;&gt;"",TV16&gt;=TW$33,TV16&lt;&gt;""),AND(UR16&gt;=VE$29,UR16&lt;&gt;"",UT16&gt;=VE$33,UT16&lt;&gt;""),AND(UU16&gt;=VE$29,UU16&lt;&gt;"",UW16&gt;=VE$33,UW16&lt;&gt;""),AND(UY16&gt;=VE$29,UY16&lt;&gt;"",VA16&gt;=VE$33,VA16&lt;&gt;""),AND(VB16&gt;=VE$29,VB16&lt;&gt;"",VD16&gt;=VE$33,VD16&lt;&gt;""),AND(VZ16&gt;=WM$29,VZ16&lt;&gt;"",WB16&gt;=WM$33,WB16&lt;&gt;""),AND(WC16&gt;=WM$29,WC16&lt;&gt;"",WE16&gt;=WM$33,WE16&lt;&gt;""),AND(WG16&gt;=WM$29,WG16&lt;&gt;"",WI16&gt;=WM$33,WI16&lt;&gt;""),AND(WJ16&gt;=WM$29,WJ16&lt;&gt;"",WL16&gt;=WM$33,WL16&lt;&gt;"")),"Excellence",IF(I16="P","Worlds Team",IF(F16="P","National Team","")))))</f>
        <v/>
      </c>
      <c r="I16" s="3" t="str">
        <f>IF(OR(AND(AI16&gt;=AS$28,AI16&lt;&gt;"",AK16&gt;=AS$32,AK16&lt;&gt;"",AH16=""),AND(AL16&gt;=AS$28,AL16&lt;&gt;"",AN16&gt;=AS$32,AN16&lt;&gt;"",AH16=""),AND(AP16&gt;=AS$28,AP16&lt;&gt;"",AR16&gt;=AS$32,AR16&lt;&gt;"",AH16=""),AND(BJ16&gt;=BT$28,BJ16&lt;&gt;"",BL16&gt;=BT$32,BL16&lt;&gt;"",BI16=""),AND(BM16&gt;=BT$28,BM16&lt;&gt;"",BO16&gt;=BT$32,BO16&lt;&gt;"",BI16=""),AND(BQ16&gt;=BT$28,BQ16&lt;&gt;"",BS16&gt;=BT$32,BS16&lt;&gt;"",BI16=""),AND(CK16&gt;=CU$28,CK16&lt;&gt;"",CM16&gt;=CU$32,CM16&lt;&gt;"",CJ16=""),AND(CN16&gt;=CU$28,CN16&lt;&gt;"",CP16&gt;=CU$32,CP16&lt;&gt;"",CJ16=""),AND(CR16&gt;=CU$28,CR16&lt;&gt;"",CT16&gt;=CU$32,CT16&lt;&gt;"",CJ16=""),AND(DR16&gt;=EE$28,DR16&lt;&gt;"",DT16&gt;=EE$32,DT16&lt;&gt;""),AND(DU16&gt;=EE$28,DU16&lt;&gt;"",DW16&gt;=EE$32,DW16&lt;&gt;""),AND(DY16&gt;=EE$28,DY16&lt;&gt;"",EA16&gt;=EE$32,EA16&lt;&gt;""),AND(EB16&gt;=EE$28,EB16&lt;&gt;"",ED16&gt;=EE$32,ED16&lt;&gt;""),AND(EZ16&gt;=FM$28,EZ16&lt;&gt;"",FB16&gt;=FM$32,FB16&lt;&gt;""),AND(FC16&gt;=FM$28,FC16&lt;&gt;"",FE16&gt;=FM$32,FE16&lt;&gt;""),AND(FG16&gt;=FM$28,FG16&lt;&gt;"",FI16&gt;=FM$32,FI16&lt;&gt;""),AND(FJ16&gt;=FM$28,FJ16&lt;&gt;"",FL16&gt;=FM$32,FL16&lt;&gt;""),AND(GH16&gt;=GU$28,GH16&lt;&gt;"",GJ16&gt;=GU$32,GJ16&lt;&gt;""),AND(GK16&gt;=GU$28,GK16&lt;&gt;"",GM16&gt;=GU$32,GM16&lt;&gt;""),AND(GO16&gt;=GU$28,GO16&lt;&gt;"",GQ16&gt;=GU$32,GQ16&lt;&gt;""),AND(GR16&gt;=GU$28,GR16&lt;&gt;"",GT16&gt;=GU$32,GT16&lt;&gt;""),AND(HP16&gt;=IC$28,HP16&lt;&gt;"",HR16&gt;=IC$32,HR16&lt;&gt;""),AND(HS16&gt;=IC$28,HS16&lt;&gt;"",HU16&gt;=IC$32,HU16&lt;&gt;""),AND(HW16&gt;=IC$28,HW16&lt;&gt;"",HY16&gt;=IC$32,HY16&lt;&gt;""),AND(HZ16&gt;=IC$28,HZ16&lt;&gt;"",IB16&gt;=IC$32,IB16&lt;&gt;""),AND(IX16&gt;=JK$28,IX16&lt;&gt;"",IZ16&gt;=JK$32,IZ16&lt;&gt;""),AND(JA16&gt;=JK$28,JA16&lt;&gt;"",JC16&gt;=JK$32,JC16&lt;&gt;""),AND(JE16&gt;=JK$28,JE16&lt;&gt;"",JG16&gt;=JK$32,JG16&lt;&gt;""),AND(JH16&gt;=JK$28,JH16&lt;&gt;"",JJ16&gt;=JK$32,JJ16&lt;&gt;""),AND(KF16&gt;=KS$28,KF16&lt;&gt;"",KH16&gt;=KS$32,KH16&lt;&gt;""),AND(KI16&gt;=KS$28,KI16&lt;&gt;"",KK16&gt;=KS$32,KK16&lt;&gt;""),AND(KM16&gt;=KS$28,KM16&lt;&gt;"",KO16&gt;=KS$32,KO16&lt;&gt;""),AND(KP16&gt;=KS$28,KP16&lt;&gt;"",KR16&gt;=KS$32,KR16&lt;&gt;""),AND(LN16&gt;=MA$28,LN16&lt;&gt;"",LP16&gt;=MA$32,LP16&lt;&gt;""),AND(LQ16&gt;=MA$28,LQ16&lt;&gt;"",LS16&gt;=MA$32,LS16&lt;&gt;""),AND(LU16&gt;=MA$28,LU16&lt;&gt;"",LW16&gt;=MA$32,LW16&lt;&gt;""),AND(LX16&gt;=MA$28,LX16&lt;&gt;"",LZ16&gt;=MA$32,LZ16&lt;&gt;""),AND(MV16&gt;=NI$28,MV16&lt;&gt;"",MX16&gt;=NI$32,MX16&lt;&gt;""),AND(MY16&gt;=NI$28,MY16&lt;&gt;"",NA16&gt;=NI$32,NA16&lt;&gt;""),AND(NC16&gt;=NI$28,NC16&lt;&gt;"",NE16&gt;=NI$32,NE16&lt;&gt;""),AND(NF16&gt;=NI$28,NF16&lt;&gt;"",NH16&gt;=NI$32,NH16&lt;&gt;""),AND(OD16&gt;=OQ$28,OD16&lt;&gt;"",OF16&gt;=OQ$32,OF16&lt;&gt;""),AND(OG16&gt;=OQ$28,OG16&lt;&gt;"",OI16&gt;=OQ$32,OI16&lt;&gt;""),AND(OK16&gt;=OQ$28,OK16&lt;&gt;"",OM16&gt;=OQ$32,OM16&lt;&gt;""),AND(ON16&gt;=OQ$28,ON16&lt;&gt;"",OP16&gt;=OQ$32,OP16&lt;&gt;""),AND(PL16&gt;=PY$28,PL16&lt;&gt;"",PN16&gt;=PY$32,PN16&lt;&gt;""),AND(PO16&gt;=PY$28,PO16&lt;&gt;"",PQ16&gt;=PY$32,PQ16&lt;&gt;""),AND(PS16&gt;=PY$28,PS16&lt;&gt;"",PU16&gt;=PY$32,PU16&lt;&gt;""),AND(PV16&gt;=PY$28,PV16&lt;&gt;"",PX16&gt;=PY$32,PX16&lt;&gt;""),AND(QT16&gt;=RG$28,QT16&lt;&gt;"",QV16&gt;=RG$32,QV16&lt;&gt;""),AND(QW16&gt;=RG$28,QW16&lt;&gt;"",QY16&gt;=RG$32,QY16&lt;&gt;""),AND(RA16&gt;=RG$28,RA16&lt;&gt;"",RC16&gt;=RG$32,RC16&lt;&gt;""),AND(RD16&gt;=RG$28,RD16&lt;&gt;"",RF16&gt;=RG$32,RF16&lt;&gt;""),AND(SB16&gt;=SO$28,SB16&lt;&gt;"",SD16&gt;=SO$32,SD16&lt;&gt;""),AND(SE16&gt;=SO$28,SE16&lt;&gt;"",SG16&gt;=SO$32,SG16&lt;&gt;""),AND(SI16&gt;=SO$28,SI16&lt;&gt;"",SK16&gt;=SO$32,SK16&lt;&gt;""),AND(SL16&gt;=SO$28,SL16&lt;&gt;"",SN16&gt;=SO$32,SN16&lt;&gt;""),AND(TJ16&gt;=TW$28,TJ16&lt;&gt;"",TL16&gt;=TW$32,TL16&lt;&gt;""),AND(TM16&gt;=TW$28,TM16&lt;&gt;"",TO16&gt;=TW$32,TO16&lt;&gt;""),AND(TQ16&gt;=TW$28,TQ16&lt;&gt;"",TS16&gt;=TW$32,TXQ16&lt;&gt;""),AND(TT16&gt;=TW$28,TT16&lt;&gt;"",TV16&gt;=TW$32,TV16&lt;&gt;""),AND(UR16&gt;=VE$28,UR16&lt;&gt;"",UT16&gt;=VE$32,UT16&lt;&gt;""),AND(UU16&gt;=VE$28,UU16&lt;&gt;"",UW16&gt;=VE$32,UW16&lt;&gt;""),AND(UY16&gt;=VE$28,UY16&lt;&gt;"",VA16&gt;=VE$32,VA16&lt;&gt;""),AND(VB16&gt;=VE$28,VB16&lt;&gt;"",VD16&gt;=VE$32,VD16&lt;&gt;""),AND(VZ16&gt;=WM$28,VZ16&lt;&gt;"",WB16&gt;=WM$32,WB16&lt;&gt;""),AND(WC16&gt;=WM$28,WC16&lt;&gt;"",WE16&gt;=WM$32,WE16&lt;&gt;""),AND(WG16&gt;=WM$28,WG16&lt;&gt;"",WI16&gt;=WM$32,WI16&lt;&gt;""),AND(WJ16&gt;=WM$28,WJ16&lt;&gt;"",WL16&gt;=WM$32,WL16&lt;&gt;"")),"P","")</f>
        <v/>
      </c>
      <c r="J16" s="8">
        <f t="shared" si="1"/>
        <v>37.33</v>
      </c>
      <c r="K16" s="8" t="str">
        <f t="shared" si="2"/>
        <v>2026 Elite Canada</v>
      </c>
      <c r="L16" s="8">
        <f>IFERROR(IF(J16=AR16,LARGE((AK16,AN16,BL16,BO16,BS16,CM16,CP16,CT16),1),IF(J16=BS16,LARGE((AK16,AN16,AR16,BL16,BO16,CM16,CP16,CT16),1),LARGE((AK16,AN16,AR16,BL16,BO16,BS16,CM16,CP16),1))),0)</f>
        <v>52.7</v>
      </c>
      <c r="M16" s="8" t="str">
        <f t="shared" si="3"/>
        <v>2026 Elite Canada</v>
      </c>
      <c r="N16" s="8">
        <f>IFERROR(IF(J16=AR16,LARGE((AK16,AN16,BL16,BO16,BS16,CM16,CP16,CT16),2),IF(J16=BS16,LARGE((AK16,AN16,AR16,BL16,BO16,CM16,CP16,CT16),2),LARGE((AK16,AN16,AR16,BL16,BO16,BS16,CM16,CP16),2))),0)</f>
        <v>51.67</v>
      </c>
      <c r="O16" s="8" t="str">
        <f t="shared" si="4"/>
        <v>2025 Nationals</v>
      </c>
      <c r="P16" s="8">
        <f t="shared" si="5"/>
        <v>0</v>
      </c>
      <c r="Q16" s="11" t="str">
        <f t="shared" si="6"/>
        <v/>
      </c>
      <c r="R16" s="8" t="str">
        <f t="shared" si="7"/>
        <v/>
      </c>
      <c r="S16" s="18">
        <v>12.1</v>
      </c>
      <c r="T16" s="18">
        <v>9.1</v>
      </c>
      <c r="U16" s="18">
        <v>14.9</v>
      </c>
      <c r="V16" s="18">
        <v>15.57</v>
      </c>
      <c r="W16" s="18">
        <v>0</v>
      </c>
      <c r="X16" s="18">
        <v>12.1</v>
      </c>
      <c r="Y16" s="18">
        <v>8.6999999999999993</v>
      </c>
      <c r="Z16" s="18">
        <v>14</v>
      </c>
      <c r="AA16" s="18">
        <v>15.56</v>
      </c>
      <c r="AB16" s="18">
        <v>0.5</v>
      </c>
      <c r="AC16" s="18">
        <v>1.2</v>
      </c>
      <c r="AD16" s="18">
        <v>1</v>
      </c>
      <c r="AE16" s="18">
        <v>2</v>
      </c>
      <c r="AF16" s="18">
        <v>1.68</v>
      </c>
      <c r="AG16" s="18">
        <v>0.2</v>
      </c>
      <c r="AH16" s="23"/>
      <c r="AI16" s="34">
        <f t="shared" si="8"/>
        <v>14.9</v>
      </c>
      <c r="AJ16" s="34">
        <f t="shared" si="9"/>
        <v>15.57</v>
      </c>
      <c r="AK16" s="36">
        <f t="shared" si="10"/>
        <v>51.67</v>
      </c>
      <c r="AL16" s="36">
        <f t="shared" si="11"/>
        <v>14</v>
      </c>
      <c r="AM16" s="36">
        <f t="shared" si="12"/>
        <v>15.56</v>
      </c>
      <c r="AN16" s="36">
        <f t="shared" si="13"/>
        <v>49.86</v>
      </c>
      <c r="AO16" s="36">
        <f t="shared" si="14"/>
        <v>51.67</v>
      </c>
      <c r="AP16" s="36">
        <f t="shared" si="15"/>
        <v>2</v>
      </c>
      <c r="AQ16" s="36">
        <f t="shared" si="16"/>
        <v>1.68</v>
      </c>
      <c r="AR16" s="36">
        <f t="shared" si="17"/>
        <v>5.68</v>
      </c>
      <c r="AS16" s="36">
        <f t="shared" si="18"/>
        <v>57.35</v>
      </c>
      <c r="AT16" s="22">
        <v>4.5999999999999996</v>
      </c>
      <c r="AU16" s="22">
        <v>2.9</v>
      </c>
      <c r="AV16" s="22">
        <v>5.2</v>
      </c>
      <c r="AW16" s="22">
        <v>5.0599999999999996</v>
      </c>
      <c r="AX16" s="22">
        <v>0</v>
      </c>
      <c r="AY16" s="22">
        <v>9.6999999999999993</v>
      </c>
      <c r="AZ16" s="22">
        <v>6.4</v>
      </c>
      <c r="BA16" s="22">
        <v>10.6</v>
      </c>
      <c r="BB16" s="22">
        <v>11.69</v>
      </c>
      <c r="BC16" s="22">
        <v>0</v>
      </c>
      <c r="BD16" s="22"/>
      <c r="BE16" s="22"/>
      <c r="BF16" s="22"/>
      <c r="BG16" s="22"/>
      <c r="BH16" s="22"/>
      <c r="BI16" s="24"/>
      <c r="BJ16" s="35">
        <f t="shared" si="19"/>
        <v>5.2</v>
      </c>
      <c r="BK16" s="35">
        <f t="shared" si="20"/>
        <v>5.0599999999999996</v>
      </c>
      <c r="BL16" s="11">
        <f t="shared" si="21"/>
        <v>17.759999999999998</v>
      </c>
      <c r="BM16" s="11">
        <f t="shared" si="22"/>
        <v>10.6</v>
      </c>
      <c r="BN16" s="11">
        <f t="shared" si="23"/>
        <v>11.69</v>
      </c>
      <c r="BO16" s="11">
        <f t="shared" si="24"/>
        <v>38.39</v>
      </c>
      <c r="BP16" s="11">
        <f t="shared" si="25"/>
        <v>38.39</v>
      </c>
      <c r="BQ16" s="11" t="str">
        <f t="shared" si="26"/>
        <v/>
      </c>
      <c r="BR16" s="11" t="str">
        <f t="shared" si="27"/>
        <v/>
      </c>
      <c r="BS16" s="11" t="str">
        <f t="shared" si="28"/>
        <v/>
      </c>
      <c r="BT16" s="11">
        <f t="shared" si="29"/>
        <v>38.39</v>
      </c>
      <c r="BU16" s="18">
        <v>12.1</v>
      </c>
      <c r="BV16" s="18">
        <v>9.1999999999999993</v>
      </c>
      <c r="BW16" s="18">
        <v>12.3</v>
      </c>
      <c r="BX16" s="18">
        <v>15.16</v>
      </c>
      <c r="BY16" s="18">
        <v>2.2000000000000002</v>
      </c>
      <c r="BZ16" s="18">
        <v>12.5</v>
      </c>
      <c r="CA16" s="18">
        <v>9.6</v>
      </c>
      <c r="CB16" s="18">
        <v>15.3</v>
      </c>
      <c r="CC16" s="18">
        <v>15.3</v>
      </c>
      <c r="CD16" s="18">
        <v>0</v>
      </c>
      <c r="CE16" s="18">
        <v>9.4</v>
      </c>
      <c r="CF16" s="18">
        <v>6.5</v>
      </c>
      <c r="CG16" s="18">
        <v>10.6</v>
      </c>
      <c r="CH16" s="18">
        <v>10.83</v>
      </c>
      <c r="CI16" s="18">
        <v>0</v>
      </c>
      <c r="CJ16" s="23"/>
      <c r="CK16" s="34">
        <f t="shared" si="30"/>
        <v>12.3</v>
      </c>
      <c r="CL16" s="34">
        <f t="shared" si="31"/>
        <v>15.16</v>
      </c>
      <c r="CM16" s="36">
        <f t="shared" si="32"/>
        <v>46.559999999999988</v>
      </c>
      <c r="CN16" s="36">
        <f t="shared" si="33"/>
        <v>15.3</v>
      </c>
      <c r="CO16" s="36">
        <f t="shared" si="34"/>
        <v>15.3</v>
      </c>
      <c r="CP16" s="36">
        <f t="shared" si="35"/>
        <v>52.7</v>
      </c>
      <c r="CQ16" s="36">
        <f t="shared" si="36"/>
        <v>52.7</v>
      </c>
      <c r="CR16" s="36">
        <f t="shared" si="37"/>
        <v>10.6</v>
      </c>
      <c r="CS16" s="36">
        <f t="shared" si="38"/>
        <v>10.83</v>
      </c>
      <c r="CT16" s="36">
        <f t="shared" si="39"/>
        <v>37.33</v>
      </c>
      <c r="CU16" s="36">
        <f t="shared" si="40"/>
        <v>90.03</v>
      </c>
      <c r="CV16" s="47" t="str">
        <f t="shared" si="41"/>
        <v/>
      </c>
      <c r="CW16" s="47" t="str">
        <f t="shared" si="42"/>
        <v/>
      </c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36" t="str">
        <f t="shared" si="43"/>
        <v/>
      </c>
      <c r="DS16" s="36" t="str">
        <f t="shared" si="44"/>
        <v/>
      </c>
      <c r="DT16" s="36" t="str">
        <f t="shared" si="45"/>
        <v/>
      </c>
      <c r="DU16" s="36" t="str">
        <f t="shared" si="46"/>
        <v/>
      </c>
      <c r="DV16" s="36" t="str">
        <f t="shared" si="47"/>
        <v/>
      </c>
      <c r="DW16" s="36" t="str">
        <f t="shared" si="48"/>
        <v/>
      </c>
      <c r="DX16" s="36" t="str">
        <f t="shared" si="49"/>
        <v/>
      </c>
      <c r="DY16" s="36" t="str">
        <f t="shared" si="50"/>
        <v/>
      </c>
      <c r="DZ16" s="36" t="str">
        <f t="shared" si="51"/>
        <v/>
      </c>
      <c r="EA16" s="36" t="str">
        <f t="shared" si="52"/>
        <v/>
      </c>
      <c r="EB16" s="36" t="str">
        <f t="shared" si="53"/>
        <v/>
      </c>
      <c r="EC16" s="36" t="str">
        <f t="shared" si="54"/>
        <v/>
      </c>
      <c r="ED16" s="36" t="str">
        <f t="shared" si="55"/>
        <v/>
      </c>
      <c r="EE16" s="36" t="str">
        <f t="shared" si="56"/>
        <v/>
      </c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1" t="str">
        <f t="shared" si="57"/>
        <v/>
      </c>
      <c r="FA16" s="11" t="str">
        <f t="shared" si="58"/>
        <v/>
      </c>
      <c r="FB16" s="11" t="str">
        <f t="shared" si="59"/>
        <v/>
      </c>
      <c r="FC16" s="11" t="str">
        <f t="shared" si="60"/>
        <v/>
      </c>
      <c r="FD16" s="11" t="str">
        <f t="shared" si="61"/>
        <v/>
      </c>
      <c r="FE16" s="11" t="str">
        <f t="shared" si="62"/>
        <v/>
      </c>
      <c r="FF16" s="11" t="str">
        <f t="shared" si="63"/>
        <v/>
      </c>
      <c r="FG16" s="11" t="str">
        <f t="shared" si="64"/>
        <v/>
      </c>
      <c r="FH16" s="11" t="str">
        <f t="shared" si="65"/>
        <v/>
      </c>
      <c r="FI16" s="11" t="str">
        <f t="shared" si="66"/>
        <v/>
      </c>
      <c r="FJ16" s="11" t="str">
        <f t="shared" si="67"/>
        <v/>
      </c>
      <c r="FK16" s="11" t="str">
        <f t="shared" si="68"/>
        <v/>
      </c>
      <c r="FL16" s="11" t="str">
        <f t="shared" si="69"/>
        <v/>
      </c>
      <c r="FM16" s="11" t="str">
        <f t="shared" si="70"/>
        <v/>
      </c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36" t="str">
        <f t="shared" si="71"/>
        <v/>
      </c>
      <c r="GI16" s="36" t="str">
        <f t="shared" si="72"/>
        <v/>
      </c>
      <c r="GJ16" s="36" t="str">
        <f t="shared" si="73"/>
        <v/>
      </c>
      <c r="GK16" s="36" t="str">
        <f t="shared" si="74"/>
        <v/>
      </c>
      <c r="GL16" s="36" t="str">
        <f t="shared" si="75"/>
        <v/>
      </c>
      <c r="GM16" s="36" t="str">
        <f t="shared" si="76"/>
        <v/>
      </c>
      <c r="GN16" s="36" t="str">
        <f t="shared" si="77"/>
        <v/>
      </c>
      <c r="GO16" s="36" t="str">
        <f t="shared" si="78"/>
        <v/>
      </c>
      <c r="GP16" s="36" t="str">
        <f t="shared" si="79"/>
        <v/>
      </c>
      <c r="GQ16" s="36" t="str">
        <f t="shared" si="80"/>
        <v/>
      </c>
      <c r="GR16" s="36" t="str">
        <f t="shared" si="81"/>
        <v/>
      </c>
      <c r="GS16" s="36" t="str">
        <f t="shared" si="82"/>
        <v/>
      </c>
      <c r="GT16" s="36" t="str">
        <f t="shared" si="83"/>
        <v/>
      </c>
      <c r="GU16" s="36" t="str">
        <f t="shared" si="84"/>
        <v/>
      </c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1" t="str">
        <f t="shared" si="85"/>
        <v/>
      </c>
      <c r="HQ16" s="11" t="str">
        <f t="shared" si="86"/>
        <v/>
      </c>
      <c r="HR16" s="11" t="str">
        <f t="shared" si="87"/>
        <v/>
      </c>
      <c r="HS16" s="11" t="str">
        <f t="shared" si="88"/>
        <v/>
      </c>
      <c r="HT16" s="11" t="str">
        <f t="shared" si="89"/>
        <v/>
      </c>
      <c r="HU16" s="11" t="str">
        <f t="shared" si="90"/>
        <v/>
      </c>
      <c r="HV16" s="11" t="str">
        <f t="shared" si="91"/>
        <v/>
      </c>
      <c r="HW16" s="11" t="str">
        <f t="shared" si="92"/>
        <v/>
      </c>
      <c r="HX16" s="11" t="str">
        <f t="shared" si="93"/>
        <v/>
      </c>
      <c r="HY16" s="11" t="str">
        <f t="shared" si="94"/>
        <v/>
      </c>
      <c r="HZ16" s="11" t="str">
        <f t="shared" si="95"/>
        <v/>
      </c>
      <c r="IA16" s="11" t="str">
        <f t="shared" si="96"/>
        <v/>
      </c>
      <c r="IB16" s="11" t="str">
        <f t="shared" si="97"/>
        <v/>
      </c>
      <c r="IC16" s="11" t="str">
        <f t="shared" si="98"/>
        <v/>
      </c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36" t="str">
        <f t="shared" si="99"/>
        <v/>
      </c>
      <c r="IY16" s="36" t="str">
        <f t="shared" si="100"/>
        <v/>
      </c>
      <c r="IZ16" s="36" t="str">
        <f t="shared" si="101"/>
        <v/>
      </c>
      <c r="JA16" s="36" t="str">
        <f t="shared" si="102"/>
        <v/>
      </c>
      <c r="JB16" s="36" t="str">
        <f t="shared" si="103"/>
        <v/>
      </c>
      <c r="JC16" s="36" t="str">
        <f t="shared" si="104"/>
        <v/>
      </c>
      <c r="JD16" s="36" t="str">
        <f t="shared" si="105"/>
        <v/>
      </c>
      <c r="JE16" s="36" t="str">
        <f t="shared" si="106"/>
        <v/>
      </c>
      <c r="JF16" s="36" t="str">
        <f t="shared" si="107"/>
        <v/>
      </c>
      <c r="JG16" s="36" t="str">
        <f t="shared" si="108"/>
        <v/>
      </c>
      <c r="JH16" s="36" t="str">
        <f t="shared" si="109"/>
        <v/>
      </c>
      <c r="JI16" s="36" t="str">
        <f t="shared" si="110"/>
        <v/>
      </c>
      <c r="JJ16" s="36" t="str">
        <f t="shared" si="111"/>
        <v/>
      </c>
      <c r="JK16" s="36" t="str">
        <f t="shared" si="112"/>
        <v/>
      </c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16"/>
      <c r="JX16" s="16"/>
      <c r="JY16" s="16"/>
      <c r="JZ16" s="16"/>
      <c r="KA16" s="16"/>
      <c r="KB16" s="16"/>
      <c r="KC16" s="16"/>
      <c r="KD16" s="16"/>
      <c r="KE16" s="16"/>
      <c r="KF16" s="11" t="str">
        <f t="shared" si="113"/>
        <v/>
      </c>
      <c r="KG16" s="11" t="str">
        <f t="shared" si="114"/>
        <v/>
      </c>
      <c r="KH16" s="11" t="str">
        <f t="shared" si="115"/>
        <v/>
      </c>
      <c r="KI16" s="11" t="str">
        <f t="shared" si="116"/>
        <v/>
      </c>
      <c r="KJ16" s="11" t="str">
        <f t="shared" si="117"/>
        <v/>
      </c>
      <c r="KK16" s="11" t="str">
        <f t="shared" si="118"/>
        <v/>
      </c>
      <c r="KL16" s="11" t="str">
        <f t="shared" si="119"/>
        <v/>
      </c>
      <c r="KM16" s="11" t="str">
        <f t="shared" si="120"/>
        <v/>
      </c>
      <c r="KN16" s="11" t="str">
        <f t="shared" si="121"/>
        <v/>
      </c>
      <c r="KO16" s="11" t="str">
        <f t="shared" si="122"/>
        <v/>
      </c>
      <c r="KP16" s="11" t="str">
        <f t="shared" si="123"/>
        <v/>
      </c>
      <c r="KQ16" s="11" t="str">
        <f t="shared" si="124"/>
        <v/>
      </c>
      <c r="KR16" s="11" t="str">
        <f t="shared" si="125"/>
        <v/>
      </c>
      <c r="KS16" s="11" t="str">
        <f t="shared" si="126"/>
        <v/>
      </c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36" t="str">
        <f t="shared" si="127"/>
        <v/>
      </c>
      <c r="LO16" s="36" t="str">
        <f t="shared" si="128"/>
        <v/>
      </c>
      <c r="LP16" s="36" t="str">
        <f t="shared" si="129"/>
        <v/>
      </c>
      <c r="LQ16" s="36" t="str">
        <f t="shared" si="130"/>
        <v/>
      </c>
      <c r="LR16" s="36" t="str">
        <f t="shared" si="131"/>
        <v/>
      </c>
      <c r="LS16" s="36" t="str">
        <f t="shared" si="132"/>
        <v/>
      </c>
      <c r="LT16" s="36" t="str">
        <f t="shared" si="133"/>
        <v/>
      </c>
      <c r="LU16" s="36" t="str">
        <f t="shared" si="134"/>
        <v/>
      </c>
      <c r="LV16" s="36" t="str">
        <f t="shared" si="135"/>
        <v/>
      </c>
      <c r="LW16" s="36" t="str">
        <f t="shared" si="136"/>
        <v/>
      </c>
      <c r="LX16" s="36" t="str">
        <f t="shared" si="137"/>
        <v/>
      </c>
      <c r="LY16" s="36" t="str">
        <f t="shared" si="138"/>
        <v/>
      </c>
      <c r="LZ16" s="36" t="str">
        <f t="shared" si="139"/>
        <v/>
      </c>
      <c r="MA16" s="36" t="str">
        <f t="shared" si="140"/>
        <v/>
      </c>
      <c r="MB16" s="16"/>
      <c r="MC16" s="16"/>
      <c r="MD16" s="16"/>
      <c r="ME16" s="16"/>
      <c r="MF16" s="16"/>
      <c r="MG16" s="16"/>
      <c r="MH16" s="16"/>
      <c r="MI16" s="16"/>
      <c r="MJ16" s="16"/>
      <c r="MK16" s="16"/>
      <c r="ML16" s="16"/>
      <c r="MM16" s="16"/>
      <c r="MN16" s="16"/>
      <c r="MO16" s="16"/>
      <c r="MP16" s="16"/>
      <c r="MQ16" s="16"/>
      <c r="MR16" s="16"/>
      <c r="MS16" s="16"/>
      <c r="MT16" s="16"/>
      <c r="MU16" s="16"/>
      <c r="MV16" s="11" t="str">
        <f t="shared" si="141"/>
        <v/>
      </c>
      <c r="MW16" s="11" t="str">
        <f t="shared" si="142"/>
        <v/>
      </c>
      <c r="MX16" s="11" t="str">
        <f t="shared" si="143"/>
        <v/>
      </c>
      <c r="MY16" s="11" t="str">
        <f t="shared" si="144"/>
        <v/>
      </c>
      <c r="MZ16" s="11" t="str">
        <f t="shared" si="145"/>
        <v/>
      </c>
      <c r="NA16" s="11" t="str">
        <f t="shared" si="146"/>
        <v/>
      </c>
      <c r="NB16" s="11" t="str">
        <f t="shared" si="147"/>
        <v/>
      </c>
      <c r="NC16" s="11" t="str">
        <f t="shared" si="148"/>
        <v/>
      </c>
      <c r="ND16" s="11" t="str">
        <f t="shared" si="149"/>
        <v/>
      </c>
      <c r="NE16" s="11" t="str">
        <f t="shared" si="150"/>
        <v/>
      </c>
      <c r="NF16" s="11" t="str">
        <f t="shared" si="151"/>
        <v/>
      </c>
      <c r="NG16" s="11" t="str">
        <f t="shared" si="152"/>
        <v/>
      </c>
      <c r="NH16" s="11" t="str">
        <f t="shared" si="153"/>
        <v/>
      </c>
      <c r="NI16" s="11" t="str">
        <f t="shared" si="154"/>
        <v/>
      </c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36" t="str">
        <f t="shared" si="155"/>
        <v/>
      </c>
      <c r="OE16" s="36" t="str">
        <f t="shared" si="156"/>
        <v/>
      </c>
      <c r="OF16" s="36" t="str">
        <f t="shared" si="157"/>
        <v/>
      </c>
      <c r="OG16" s="36" t="str">
        <f t="shared" si="158"/>
        <v/>
      </c>
      <c r="OH16" s="36" t="str">
        <f t="shared" si="159"/>
        <v/>
      </c>
      <c r="OI16" s="36" t="str">
        <f t="shared" si="160"/>
        <v/>
      </c>
      <c r="OJ16" s="36" t="str">
        <f t="shared" si="161"/>
        <v/>
      </c>
      <c r="OK16" s="36" t="str">
        <f t="shared" si="162"/>
        <v/>
      </c>
      <c r="OL16" s="36" t="str">
        <f t="shared" si="163"/>
        <v/>
      </c>
      <c r="OM16" s="36" t="str">
        <f t="shared" si="164"/>
        <v/>
      </c>
      <c r="ON16" s="36" t="str">
        <f t="shared" si="165"/>
        <v/>
      </c>
      <c r="OO16" s="36" t="str">
        <f t="shared" si="166"/>
        <v/>
      </c>
      <c r="OP16" s="36" t="str">
        <f t="shared" si="167"/>
        <v/>
      </c>
      <c r="OQ16" s="36" t="str">
        <f t="shared" si="168"/>
        <v/>
      </c>
      <c r="OR16" s="16"/>
      <c r="OS16" s="16"/>
      <c r="OT16" s="16"/>
      <c r="OU16" s="16"/>
      <c r="OV16" s="16"/>
      <c r="OW16" s="16"/>
      <c r="OX16" s="16"/>
      <c r="OY16" s="16"/>
      <c r="OZ16" s="16"/>
      <c r="PA16" s="16"/>
      <c r="PB16" s="16"/>
      <c r="PC16" s="16"/>
      <c r="PD16" s="16"/>
      <c r="PE16" s="16"/>
      <c r="PF16" s="16"/>
      <c r="PG16" s="16"/>
      <c r="PH16" s="16"/>
      <c r="PI16" s="16"/>
      <c r="PJ16" s="16"/>
      <c r="PK16" s="16"/>
      <c r="PL16" s="11" t="str">
        <f t="shared" si="169"/>
        <v/>
      </c>
      <c r="PM16" s="11" t="str">
        <f t="shared" si="170"/>
        <v/>
      </c>
      <c r="PN16" s="11" t="str">
        <f t="shared" si="171"/>
        <v/>
      </c>
      <c r="PO16" s="11" t="str">
        <f t="shared" si="172"/>
        <v/>
      </c>
      <c r="PP16" s="11" t="str">
        <f t="shared" si="173"/>
        <v/>
      </c>
      <c r="PQ16" s="11" t="str">
        <f t="shared" si="174"/>
        <v/>
      </c>
      <c r="PR16" s="11" t="str">
        <f t="shared" si="175"/>
        <v/>
      </c>
      <c r="PS16" s="11" t="str">
        <f t="shared" si="176"/>
        <v/>
      </c>
      <c r="PT16" s="11" t="str">
        <f t="shared" si="177"/>
        <v/>
      </c>
      <c r="PU16" s="11" t="str">
        <f t="shared" si="178"/>
        <v/>
      </c>
      <c r="PV16" s="11" t="str">
        <f t="shared" si="179"/>
        <v/>
      </c>
      <c r="PW16" s="11" t="str">
        <f t="shared" si="180"/>
        <v/>
      </c>
      <c r="PX16" s="11" t="str">
        <f t="shared" si="181"/>
        <v/>
      </c>
      <c r="PY16" s="11" t="str">
        <f t="shared" si="182"/>
        <v/>
      </c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36" t="str">
        <f t="shared" si="183"/>
        <v/>
      </c>
      <c r="QU16" s="36" t="str">
        <f t="shared" si="184"/>
        <v/>
      </c>
      <c r="QV16" s="36" t="str">
        <f t="shared" si="185"/>
        <v/>
      </c>
      <c r="QW16" s="36" t="str">
        <f t="shared" si="186"/>
        <v/>
      </c>
      <c r="QX16" s="36" t="str">
        <f t="shared" si="187"/>
        <v/>
      </c>
      <c r="QY16" s="36" t="str">
        <f t="shared" si="188"/>
        <v/>
      </c>
      <c r="QZ16" s="36" t="str">
        <f t="shared" si="189"/>
        <v/>
      </c>
      <c r="RA16" s="36" t="str">
        <f t="shared" si="190"/>
        <v/>
      </c>
      <c r="RB16" s="36" t="str">
        <f t="shared" si="191"/>
        <v/>
      </c>
      <c r="RC16" s="36" t="str">
        <f t="shared" si="192"/>
        <v/>
      </c>
      <c r="RD16" s="36" t="str">
        <f t="shared" si="193"/>
        <v/>
      </c>
      <c r="RE16" s="36" t="str">
        <f t="shared" si="194"/>
        <v/>
      </c>
      <c r="RF16" s="36" t="str">
        <f t="shared" si="195"/>
        <v/>
      </c>
      <c r="RG16" s="36" t="str">
        <f t="shared" si="196"/>
        <v/>
      </c>
      <c r="RH16" s="16"/>
      <c r="RI16" s="16"/>
      <c r="RJ16" s="16"/>
      <c r="RK16" s="16"/>
      <c r="RL16" s="16"/>
      <c r="RM16" s="16"/>
      <c r="RN16" s="16"/>
      <c r="RO16" s="16"/>
      <c r="RP16" s="16"/>
      <c r="RQ16" s="16"/>
      <c r="RR16" s="16"/>
      <c r="RS16" s="16"/>
      <c r="RT16" s="16"/>
      <c r="RU16" s="16"/>
      <c r="RV16" s="16"/>
      <c r="RW16" s="16"/>
      <c r="RX16" s="16"/>
      <c r="RY16" s="16"/>
      <c r="RZ16" s="16"/>
      <c r="SA16" s="16"/>
      <c r="SB16" s="11" t="str">
        <f t="shared" si="197"/>
        <v/>
      </c>
      <c r="SC16" s="11" t="str">
        <f t="shared" si="198"/>
        <v/>
      </c>
      <c r="SD16" s="11" t="str">
        <f t="shared" si="199"/>
        <v/>
      </c>
      <c r="SE16" s="11" t="str">
        <f t="shared" si="200"/>
        <v/>
      </c>
      <c r="SF16" s="11" t="str">
        <f t="shared" si="201"/>
        <v/>
      </c>
      <c r="SG16" s="11" t="str">
        <f t="shared" si="202"/>
        <v/>
      </c>
      <c r="SH16" s="11" t="str">
        <f t="shared" si="203"/>
        <v/>
      </c>
      <c r="SI16" s="11" t="str">
        <f t="shared" si="204"/>
        <v/>
      </c>
      <c r="SJ16" s="11" t="str">
        <f t="shared" si="205"/>
        <v/>
      </c>
      <c r="SK16" s="11" t="str">
        <f t="shared" si="206"/>
        <v/>
      </c>
      <c r="SL16" s="11" t="str">
        <f t="shared" si="207"/>
        <v/>
      </c>
      <c r="SM16" s="11" t="str">
        <f t="shared" si="208"/>
        <v/>
      </c>
      <c r="SN16" s="11" t="str">
        <f t="shared" si="209"/>
        <v/>
      </c>
      <c r="SO16" s="11" t="str">
        <f t="shared" si="210"/>
        <v/>
      </c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36" t="str">
        <f t="shared" si="211"/>
        <v/>
      </c>
      <c r="TK16" s="36" t="str">
        <f t="shared" si="212"/>
        <v/>
      </c>
      <c r="TL16" s="36" t="str">
        <f t="shared" si="213"/>
        <v/>
      </c>
      <c r="TM16" s="36" t="str">
        <f t="shared" si="214"/>
        <v/>
      </c>
      <c r="TN16" s="36" t="str">
        <f t="shared" si="215"/>
        <v/>
      </c>
      <c r="TO16" s="36" t="str">
        <f t="shared" si="216"/>
        <v/>
      </c>
      <c r="TP16" s="36" t="str">
        <f t="shared" si="217"/>
        <v/>
      </c>
      <c r="TQ16" s="36" t="str">
        <f t="shared" si="218"/>
        <v/>
      </c>
      <c r="TR16" s="36" t="str">
        <f t="shared" si="219"/>
        <v/>
      </c>
      <c r="TS16" s="36" t="str">
        <f t="shared" si="220"/>
        <v/>
      </c>
      <c r="TT16" s="36" t="str">
        <f t="shared" si="221"/>
        <v/>
      </c>
      <c r="TU16" s="36" t="str">
        <f t="shared" si="222"/>
        <v/>
      </c>
      <c r="TV16" s="36" t="str">
        <f t="shared" si="223"/>
        <v/>
      </c>
      <c r="TW16" s="36" t="str">
        <f t="shared" si="224"/>
        <v/>
      </c>
      <c r="TX16" s="16"/>
      <c r="TY16" s="16"/>
      <c r="TZ16" s="16"/>
      <c r="UA16" s="16"/>
      <c r="UB16" s="16"/>
      <c r="UC16" s="16"/>
      <c r="UD16" s="16"/>
      <c r="UE16" s="16"/>
      <c r="UF16" s="16"/>
      <c r="UG16" s="16"/>
      <c r="UH16" s="16"/>
      <c r="UI16" s="16"/>
      <c r="UJ16" s="16"/>
      <c r="UK16" s="16"/>
      <c r="UL16" s="16"/>
      <c r="UM16" s="16"/>
      <c r="UN16" s="16"/>
      <c r="UO16" s="16"/>
      <c r="UP16" s="16"/>
      <c r="UQ16" s="16"/>
      <c r="UR16" s="11" t="str">
        <f t="shared" si="225"/>
        <v/>
      </c>
      <c r="US16" s="11" t="str">
        <f t="shared" si="226"/>
        <v/>
      </c>
      <c r="UT16" s="11" t="str">
        <f t="shared" si="227"/>
        <v/>
      </c>
      <c r="UU16" s="11" t="str">
        <f t="shared" si="228"/>
        <v/>
      </c>
      <c r="UV16" s="11" t="str">
        <f t="shared" si="229"/>
        <v/>
      </c>
      <c r="UW16" s="11" t="str">
        <f t="shared" si="230"/>
        <v/>
      </c>
      <c r="UX16" s="11" t="str">
        <f t="shared" si="231"/>
        <v/>
      </c>
      <c r="UY16" s="11" t="str">
        <f t="shared" si="232"/>
        <v/>
      </c>
      <c r="UZ16" s="11" t="str">
        <f t="shared" si="233"/>
        <v/>
      </c>
      <c r="VA16" s="11" t="str">
        <f t="shared" si="234"/>
        <v/>
      </c>
      <c r="VB16" s="11" t="str">
        <f t="shared" si="235"/>
        <v/>
      </c>
      <c r="VC16" s="11" t="str">
        <f t="shared" si="236"/>
        <v/>
      </c>
      <c r="VD16" s="11" t="str">
        <f t="shared" si="237"/>
        <v/>
      </c>
      <c r="VE16" s="11" t="str">
        <f t="shared" si="238"/>
        <v/>
      </c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36" t="str">
        <f t="shared" si="239"/>
        <v/>
      </c>
      <c r="WA16" s="36" t="str">
        <f t="shared" si="240"/>
        <v/>
      </c>
      <c r="WB16" s="36" t="str">
        <f t="shared" si="241"/>
        <v/>
      </c>
      <c r="WC16" s="36" t="str">
        <f t="shared" si="242"/>
        <v/>
      </c>
      <c r="WD16" s="36" t="str">
        <f t="shared" si="243"/>
        <v/>
      </c>
      <c r="WE16" s="36" t="str">
        <f t="shared" si="244"/>
        <v/>
      </c>
      <c r="WF16" s="36" t="str">
        <f t="shared" si="245"/>
        <v/>
      </c>
      <c r="WG16" s="36" t="str">
        <f t="shared" si="246"/>
        <v/>
      </c>
      <c r="WH16" s="36" t="str">
        <f t="shared" si="247"/>
        <v/>
      </c>
      <c r="WI16" s="36" t="str">
        <f t="shared" si="248"/>
        <v/>
      </c>
      <c r="WJ16" s="36" t="str">
        <f t="shared" si="249"/>
        <v/>
      </c>
      <c r="WK16" s="36" t="str">
        <f t="shared" si="250"/>
        <v/>
      </c>
      <c r="WL16" s="36" t="str">
        <f t="shared" si="251"/>
        <v/>
      </c>
      <c r="WM16" s="36" t="str">
        <f t="shared" si="252"/>
        <v/>
      </c>
    </row>
    <row r="17" spans="1:611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78</v>
      </c>
      <c r="C17" s="4" t="s">
        <v>5</v>
      </c>
      <c r="D17" s="4">
        <v>2004</v>
      </c>
      <c r="E17" s="9">
        <f t="shared" si="0"/>
        <v>129.85001298500489</v>
      </c>
      <c r="F17" s="3" t="str">
        <f>IF(OR(AND(AI17&gt;=AS$27,AI17&lt;&gt;"",AK17&gt;=AS$31,AK17&lt;&gt;"",AH17=""),AND(AL17&gt;=AS$27,AL17&lt;&gt;"",AN17&gt;=AS$31,AN17&lt;&gt;"",AH17=""),AND(AP17&gt;=AS$27,AP17&lt;&gt;"",AR17&gt;=AS$31,AR17&lt;&gt;"",AH17=""),AND(BJ17&gt;=BT$27,BJ17&lt;&gt;"",BL17&gt;=BT$31,BL17&lt;&gt;"",BI17=""),AND(BM17&gt;=BT$27,BM17&lt;&gt;"",BO17&gt;=BT$31,BO17&lt;&gt;"",BI17=""),AND(BQ17&gt;=BT$27,BQ17&lt;&gt;"",BS17&gt;=BT$31,BS17&lt;&gt;"",BI17=""),AND(CK17&gt;=CU$27,CK17&lt;&gt;"",CM17&gt;=CU$31,CM17&lt;&gt;"",CJ17=""),AND(CN17&gt;=CU$27,CN17&lt;&gt;"",CP17&gt;=CU$31,CP17&lt;&gt;"",CJ17=""),AND(CR17&gt;=CU$27,CR17&lt;&gt;"",CT17&gt;=CU$31,CT17&lt;&gt;"",CJ17=""),AND(DR17&gt;=EE$27,DR17&lt;&gt;"",DT17&gt;=EE$31,DT17&lt;&gt;""),AND(DU17&gt;=EE$27,DU17&lt;&gt;"",DW17&gt;=EE$31,DW17&lt;&gt;""),AND(DY17&gt;=EE$27,DY17&lt;&gt;"",EA17&gt;=EE$31,EA17&lt;&gt;""),AND(EB17&gt;=EE$27,EB17&lt;&gt;"",ED17&gt;=EE$31,ED17&lt;&gt;""),AND(EZ17&gt;=FM$27,EZ17&lt;&gt;"",FB17&gt;=FM$31,FB17&lt;&gt;""),AND(FC17&gt;=FM$27,FC17&lt;&gt;"",FE17&gt;=FM$31,FE17&lt;&gt;""),AND(FG17&gt;=FM$27,FG17&lt;&gt;"",FI17&gt;=FM$31,FI17&lt;&gt;""),AND(FJ17&gt;=FM$27,FJ17&lt;&gt;"",FL17&gt;=FM$31,FL17&lt;&gt;""),AND(GH17&gt;=GU$27,GH17&lt;&gt;"",GJ17&gt;=GU$31,GJ17&lt;&gt;""),AND(GK17&gt;=GU$27,GK17&lt;&gt;"",GM17&gt;=GU$31,GM17&lt;&gt;""),AND(GO17&gt;=GU$27,GO17&lt;&gt;"",GQ17&gt;=GU$31,GQ17&lt;&gt;""),AND(GR17&gt;=GU$27,GR17&lt;&gt;"",GT17&gt;=GU$31,GT17&lt;&gt;""),AND(HP17&gt;=IC$27,HP17&lt;&gt;"",HR17&gt;=IC$31,HR17&lt;&gt;""),AND(HS17&gt;=IC$27,HS17&lt;&gt;"",HU17&gt;=IC$31,HU17&lt;&gt;""),AND(HW17&gt;=IC$27,HW17&lt;&gt;"",HY17&gt;=IC$31,HY17&lt;&gt;""),AND(HZ17&gt;=IC$27,HZ17&lt;&gt;"",IB17&gt;=IC$31,IB17&lt;&gt;""),AND(IX17&gt;=JK$27,IX17&lt;&gt;"",IZ17&gt;=JK$31,IZ17&lt;&gt;""),AND(JA17&gt;=JK$27,JA17&lt;&gt;"",JC17&gt;=JK$31,JC17&lt;&gt;""),AND(JE17&gt;=JK$27,JE17&lt;&gt;"",JG17&gt;=JK$31,JG17&lt;&gt;""),AND(JH17&gt;=JK$27,JH17&lt;&gt;"",JJ17&gt;=JK$31,JJ17&lt;&gt;""),AND(KF17&gt;=KS$27,KF17&lt;&gt;"",KH17&gt;=KS$31,KH17&lt;&gt;""),AND(KI17&gt;=KS$27,KI17&lt;&gt;"",KK17&gt;=KS$31,KK17&lt;&gt;""),AND(KM17&gt;=KS$27,KM17&lt;&gt;"",KO17&gt;=KS$31,KO17&lt;&gt;""),AND(KP17&gt;=KS$27,KP17&lt;&gt;"",KR17&gt;=KS$31,KR17&lt;&gt;""),AND(LN17&gt;=MA$27,LN17&lt;&gt;"",LP17&gt;=MA$31,LP17&lt;&gt;""),AND(LQ17&gt;=MA$27,LQ17&lt;&gt;"",LS17&gt;=MA$31,LS17&lt;&gt;""),AND(LU17&gt;=MA$27,LU17&lt;&gt;"",LW17&gt;=MA$31,LW17&lt;&gt;""),AND(LX17&gt;=MA$27,LX17&lt;&gt;"",LZ17&gt;=MA$31,LZ17&lt;&gt;""),AND(MV17&gt;=NI$27,MV17&lt;&gt;"",MX17&gt;=NI$31,MX17&lt;&gt;""),AND(MY17&gt;=NI$27,MY17&lt;&gt;"",NA17&gt;=NI$31,NA17&lt;&gt;""),AND(NC17&gt;=NI$27,NC17&lt;&gt;"",NE17&gt;=NI$31,NE17&lt;&gt;""),AND(NF17&gt;=NI$27,NF17&lt;&gt;"",NH17&gt;=NI$31,NH17&lt;&gt;""),AND(OD17&gt;=OQ$27,OD17&lt;&gt;"",OF17&gt;=OQ$31,OF17&lt;&gt;""),AND(OG17&gt;=OQ$27,OG17&lt;&gt;"",OI17&gt;=OQ$31,OI17&lt;&gt;""),AND(OK17&gt;=OQ$27,OK17&lt;&gt;"",OM17&gt;=OQ$31,OM17&lt;&gt;""),AND(ON17&gt;=OQ$27,ON17&lt;&gt;"",OP17&gt;=OQ$31,OP17&lt;&gt;""),AND(PL17&gt;=PY$27,PL17&lt;&gt;"",PN17&gt;=PY$31,PN17&lt;&gt;""),AND(PO17&gt;=PY$27,PO17&lt;&gt;"",PQ17&gt;=PY$31,PQ17&lt;&gt;""),AND(PS17&gt;=PY$27,PS17&lt;&gt;"",PU17&gt;=PY$31,PU17&lt;&gt;""),AND(PV17&gt;=PY$27,PV17&lt;&gt;"",PX17&gt;=PY$31,PX17&lt;&gt;""),AND(QT17&gt;=RG$27,QT17&lt;&gt;"",QV17&gt;=RG$31,QV17&lt;&gt;""),AND(QW17&gt;=RG$27,QW17&lt;&gt;"",QY17&gt;=RG$31,QY17&lt;&gt;""),AND(RA17&gt;=RG$27,RA17&lt;&gt;"",RC17&gt;=RG$31,RC17&lt;&gt;""),AND(RD17&gt;=RG$27,RD17&lt;&gt;"",RF17&gt;=RG$31,RF17&lt;&gt;""),AND(SB17&gt;=SO$27,SB17&lt;&gt;"",SD17&gt;=SO$31,SD17&lt;&gt;""),AND(SE17&gt;=SO$27,SE17&lt;&gt;"",SG17&gt;=SO$31,SG17&lt;&gt;""),AND(SI17&gt;=SO$27,SI17&lt;&gt;"",SK17&gt;=SO$31,SK17&lt;&gt;""),AND(SL17&gt;=SO$27,SL17&lt;&gt;"",SN17&gt;=SO$31,SN17&lt;&gt;""),AND(TJ17&gt;=TW$27,TJ17&lt;&gt;"",TL17&gt;=TW$31,TL17&lt;&gt;""),AND(TM17&gt;=TW$27,TM17&lt;&gt;"",TO17&gt;=TW$31,TO17&lt;&gt;""),AND(TQ17&gt;=TW$27,TQ17&lt;&gt;"",TS17&gt;=TW$31,TXQ17&lt;&gt;""),AND(TT17&gt;=TW$27,TT17&lt;&gt;"",TV17&gt;=TW$31,TV17&lt;&gt;""),AND(UR17&gt;=VE$27,UR17&lt;&gt;"",UT17&gt;=VE$31,UT17&lt;&gt;""),AND(UU17&gt;=VE$27,UU17&lt;&gt;"",UW17&gt;=VE$31,UW17&lt;&gt;""),AND(UY17&gt;=VE$27,UY17&lt;&gt;"",VA17&gt;=VE$31,VA17&lt;&gt;""),AND(VB17&gt;=VE$27,VB17&lt;&gt;"",VD17&gt;=VE$31,VD17&lt;&gt;""),AND(VZ17&gt;=WM$27,VZ17&lt;&gt;"",WB17&gt;=WM$31,WB17&lt;&gt;""),AND(WC17&gt;=WM$27,WC17&lt;&gt;"",WE17&gt;=WM$31,WE17&lt;&gt;""),AND(WG17&gt;=WM$27,WG17&lt;&gt;"",WI17&gt;=WM$31,WI17&lt;&gt;""),AND(WJ17&gt;=WM$27,WJ17&lt;&gt;"",WL17&gt;=WM$31,WL17&lt;&gt;"")),"P","")</f>
        <v/>
      </c>
      <c r="G17" s="3" t="str">
        <f>IF(OR(AND(AK17&gt;=AS$31,AK17&lt;&gt;"",AH17=""),AND(AN17&gt;=AS$31,AN17&lt;&gt;"",AH17=""),AND(AR17&gt;=AS$31,AR17&lt;&gt;"",AH17=""),AND(BL17&gt;=BT$31,BL17&lt;&gt;"",BI17=""),AND(BO17&gt;=BT$31,BO17&lt;&gt;"",BI17=""),AND(BS17&gt;=BT$31,BS17&lt;&gt;"",BI17=""),AND(CM17&gt;=CU$31,CM17&lt;&gt;"",CJ17=""),AND(CP17&gt;=CU$31,CP17&lt;&gt;"",CJ17=""),AND(CT17&gt;=CU$31,CT17&lt;&gt;"",CJ17=""),AND(DT17&gt;=EE$31,DT17&lt;&gt;""),AND(DW17&gt;=EE$31,DW17&lt;&gt;""),AND(EA17&gt;=EE$31,EA17&lt;&gt;""),AND(ED17&gt;=EE$31,ED17&lt;&gt;""),AND(FB17&gt;=FM$31,FB17&lt;&gt;""),AND(FE17&gt;=FM$31,FE17&lt;&gt;""),AND(FI17&gt;=FM$31,FI17&lt;&gt;""),AND(FL17&gt;=FM$31,FL17&lt;&gt;""),AND(GJ17&gt;=GU$31,GJ17&lt;&gt;""),AND(GM17&gt;=GU$31,GM17&lt;&gt;""),AND(GQ17&gt;=GU$31,GQ17&lt;&gt;""),AND(GT17&gt;=GU$31,GT17&lt;&gt;""),AND(HR17&gt;=IC$31,HR17&lt;&gt;""),AND(HU17&gt;=IC$31,HU17&lt;&gt;""),AND(HY17&gt;=IC$31,HY17&lt;&gt;""),AND(IB17&gt;=IC$31,IB17&lt;&gt;""),AND(IZ17&gt;=JK$31,IZ17&lt;&gt;""),AND(JC17&gt;=JK$31,JC17&lt;&gt;""),AND(JG17&gt;=JK$31,JG17&lt;&gt;""),AND(JJ17&gt;=JK$31,JJ17&lt;&gt;""),AND(KH17&gt;=KS$31,KH17&lt;&gt;""),AND(KK17&gt;=KS$31,KK17&lt;&gt;""),AND(KO17&gt;=KS$31,KO17&lt;&gt;""),AND(KR17&gt;=KS$31,KR17&lt;&gt;""),AND(LP17&gt;=MA$31,LP17&lt;&gt;""),AND(LS17&gt;=MA$31,LS17&lt;&gt;""),AND(LW17&gt;=MA$31,LW17&lt;&gt;""),AND(LZ17&gt;=MA$31,LZ17&lt;&gt;""),AND(MX17&gt;=NI$31,MX17&lt;&gt;""),AND(NA17&gt;=NI$31,NA17&lt;&gt;""),AND(NE17&gt;=NI$31,NE17&lt;&gt;""),AND(NH17&gt;=NI$31,NH17&lt;&gt;""),AND(OF17&gt;=OQ$31,OF17&lt;&gt;""),AND(OI17&gt;=OQ$31,OI17&lt;&gt;""),AND(OM17&gt;=OQ$31,OM17&lt;&gt;""),AND(OP17&gt;=OQ$31,OP17&lt;&gt;""),AND(PN17&gt;=PY$31,PN17&lt;&gt;""),AND(PQ17&gt;=PY$31,PQ17&lt;&gt;""),AND(PU17&gt;=PY$31,PU17&lt;&gt;""),AND(PX17&gt;=PY$31,PX17&lt;&gt;""),AND(QV17&gt;=RG$31,QV17&lt;&gt;""),AND(QY17&gt;=RG$31,QY17&lt;&gt;""),AND(RC17&gt;=RG$31,RC17&lt;&gt;""),AND(RF17&gt;=RG$31,RF17&lt;&gt;""),AND(SD17&gt;=SO$31,SD17&lt;&gt;""),AND(SG17&gt;=SO$31,SG17&lt;&gt;""),AND(SK17&gt;=SO$31,SK17&lt;&gt;""),AND(SN17&gt;=SO$31,SN17&lt;&gt;""),AND(TL17&gt;=TW$31,TL17&lt;&gt;""),AND(TO17&gt;=TW$31,TO17&lt;&gt;""),AND(TS17&gt;=TW$31,TXQ17&lt;&gt;""),AND(TV17&gt;=TW$31,TV17&lt;&gt;""),AND(UT17&gt;=VE$31,UT17&lt;&gt;""),AND(UW17&gt;=VE$31,UW17&lt;&gt;""),AND(VA17&gt;=VE$31,VA17&lt;&gt;""),AND(VD17&gt;=VE$31,VD17&lt;&gt;""),AND(WB17&gt;=WM$31,WB17&lt;&gt;""),AND(WE17&gt;=WM$31,WE17&lt;&gt;""),AND(WI17&gt;=WM$31,WI17&lt;&gt;""),AND(WL17&gt;=WM$31,WL17&lt;&gt;"")),"P","")</f>
        <v/>
      </c>
      <c r="H17" s="32" t="str">
        <f>IF(AND(G17="P",F17=""),"No DD",IF(OR(AND(AI17&gt;=AS$30,AI17&lt;&gt;"",AK17&gt;=AS$34,AK17&lt;&gt;"",AH17=""),AND(AL17&gt;=AS$30,AL17&lt;&gt;"",AN17&gt;=AS$34,AN17&lt;&gt;"",AH17=""),AND(AP17&gt;=AS$30,AP17&lt;&gt;"",AR17&gt;=AS$34,AR17&lt;&gt;"",AH17=""),AND(BJ17&gt;=BT$30,BJ17&lt;&gt;"",BL17&gt;=BT$34,BL17&lt;&gt;"",BI17=""),AND(BM17&gt;=BT$30,BM17&lt;&gt;"",BO17&gt;=BT$34,BO17&lt;&gt;"",BI17=""),AND(BQ17&gt;=BT$30,BQ17&lt;&gt;"",BS17&gt;=BT$34,BS17&lt;&gt;"",BI17=""),AND(CK17&gt;=CU$30,CK17&lt;&gt;"",CM17&gt;=CU$34,CM17&lt;&gt;"",CJ17=""),AND(CN17&gt;=CU$30,CN17&lt;&gt;"",CP17&gt;=CU$34,CP17&lt;&gt;"",CJ17=""),AND(CR17&gt;=CU$30,CR17&lt;&gt;"",CT17&gt;=CU$34,CT17&lt;&gt;"",CJ17=""),AND(DR17&gt;=EE$30,DR17&lt;&gt;"",DT17&gt;=EE$34,DT17&lt;&gt;""),AND(DU17&gt;=EE$30,DU17&lt;&gt;"",DW17&gt;=EE$34,DW17&lt;&gt;""),AND(DY17&gt;=EE$30,DY17&lt;&gt;"",EA17&gt;=EE$34,EA17&lt;&gt;""),AND(EB17&gt;=EE$30,EB17&lt;&gt;"",ED17&gt;=EE$34,ED17&lt;&gt;""),AND(EZ17&gt;=FM$30,EZ17&lt;&gt;"",FB17&gt;=FM$34,FB17&lt;&gt;""),AND(FC17&gt;=FM$30,FC17&lt;&gt;"",FE17&gt;=FM$34,FE17&lt;&gt;""),AND(FG17&gt;=FM$30,FG17&lt;&gt;"",FI17&gt;=FM$34,FI17&lt;&gt;""),AND(FJ17&gt;=FM$30,FJ17&lt;&gt;"",FL17&gt;=FM$34,FL17&lt;&gt;""),AND(GH17&gt;=GU$30,GH17&lt;&gt;"",GJ17&gt;=GU$34,GJ17&lt;&gt;""),AND(GK17&gt;=GU$30,GK17&lt;&gt;"",GM17&gt;=GU$34,GM17&lt;&gt;""),AND(GO17&gt;=GU$30,GO17&lt;&gt;"",GQ17&gt;=GU$34,GQ17&lt;&gt;""),AND(GR17&gt;=GU$30,GR17&lt;&gt;"",GT17&gt;=GU$34,GT17&lt;&gt;""),AND(HP17&gt;=IC$30,HP17&lt;&gt;"",HR17&gt;=IC$34,HR17&lt;&gt;""),AND(HS17&gt;=IC$30,HS17&lt;&gt;"",HU17&gt;=IC$34,HU17&lt;&gt;""),AND(HW17&gt;=IC$30,HW17&lt;&gt;"",HY17&gt;=IC$34,HY17&lt;&gt;""),AND(HZ17&gt;=IC$30,HZ17&lt;&gt;"",IB17&gt;=IC$34,IB17&lt;&gt;""),AND(IX17&gt;=JK$30,IX17&lt;&gt;"",IZ17&gt;=JK$34,IZ17&lt;&gt;""),AND(JA17&gt;=JK$30,JA17&lt;&gt;"",JC17&gt;=JK$34,JC17&lt;&gt;""),AND(JE17&gt;=JK$30,JE17&lt;&gt;"",JG17&gt;=JK$34,JG17&lt;&gt;""),AND(JH17&gt;=JK$30,JH17&lt;&gt;"",JJ17&gt;=JK$34,JJ17&lt;&gt;""),AND(KF17&gt;=KS$30,KF17&lt;&gt;"",KH17&gt;=KS$34,KH17&lt;&gt;""),AND(KI17&gt;=KS$30,KI17&lt;&gt;"",KK17&gt;=KS$34,KK17&lt;&gt;""),AND(KM17&gt;=KS$30,KM17&lt;&gt;"",KO17&gt;=KS$34,KO17&lt;&gt;""),AND(KP17&gt;=KS$30,KP17&lt;&gt;"",KR17&gt;=KS$34,KR17&lt;&gt;""),AND(LN17&gt;=MA$30,LN17&lt;&gt;"",LP17&gt;=MA$34,LP17&lt;&gt;""),AND(LQ17&gt;=MA$30,LQ17&lt;&gt;"",LS17&gt;=MA$34,LS17&lt;&gt;""),AND(LU17&gt;=MA$30,LU17&lt;&gt;"",LW17&gt;=MA$34,LW17&lt;&gt;""),AND(LX17&gt;=MA$30,LX17&lt;&gt;"",LZ17&gt;=MA$34,LZ17&lt;&gt;""),AND(MV17&gt;=NI$30,MV17&lt;&gt;"",MX17&gt;=NI$34,MX17&lt;&gt;""),AND(MY17&gt;=NI$30,MY17&lt;&gt;"",NA17&gt;=NI$34,NA17&lt;&gt;""),AND(NC17&gt;=NI$30,NC17&lt;&gt;"",NE17&gt;=NI$34,NE17&lt;&gt;""),AND(NF17&gt;=NI$30,NF17&lt;&gt;"",NH17&gt;=NI$34,NH17&lt;&gt;""),AND(OD17&gt;=OQ$30,OD17&lt;&gt;"",OF17&gt;=OQ$34,OF17&lt;&gt;""),AND(OG17&gt;=OQ$30,OG17&lt;&gt;"",OI17&gt;=OQ$34,OI17&lt;&gt;""),AND(OK17&gt;=OQ$30,OK17&lt;&gt;"",OM17&gt;=OQ$34,OM17&lt;&gt;""),AND(ON17&gt;=OQ$30,ON17&lt;&gt;"",OP17&gt;=OQ$34,OP17&lt;&gt;""),AND(PL17&gt;=PY$30,PL17&lt;&gt;"",PN17&gt;=PY$34,PN17&lt;&gt;""),AND(PO17&gt;=PY$30,PO17&lt;&gt;"",PQ17&gt;=PY$34,PQ17&lt;&gt;""),AND(PS17&gt;=PY$30,PS17&lt;&gt;"",PU17&gt;=PY$34,PU17&lt;&gt;""),AND(PV17&gt;=PY$30,PV17&lt;&gt;"",PX17&gt;=PY$34,PX17&lt;&gt;""),AND(QT17&gt;=RG$30,QT17&lt;&gt;"",QV17&gt;=RG$34,QV17&lt;&gt;""),AND(QW17&gt;=RG$30,QW17&lt;&gt;"",QY17&gt;=RG$34,QY17&lt;&gt;""),AND(RA17&gt;=RG$30,RA17&lt;&gt;"",RC17&gt;=RG$34,RC17&lt;&gt;""),AND(RD17&gt;=RG$30,RD17&lt;&gt;"",RF17&gt;=RG$34,RF17&lt;&gt;""),AND(SB17&gt;=SO$30,SB17&lt;&gt;"",SD17&gt;=SO$34,SD17&lt;&gt;""),AND(SE17&gt;=SO$30,SE17&lt;&gt;"",SG17&gt;=SO$34,SG17&lt;&gt;""),AND(SI17&gt;=SO$30,SI17&lt;&gt;"",SK17&gt;=SO$34,SK17&lt;&gt;""),AND(SL17&gt;=SO$30,SL17&lt;&gt;"",SN17&gt;=SO$34,SN17&lt;&gt;""),AND(TJ17&gt;=TW$30,TJ17&lt;&gt;"",TL17&gt;=TW$34,TL17&lt;&gt;""),AND(TM17&gt;=TW$30,TM17&lt;&gt;"",TO17&gt;=TW$34,TO17&lt;&gt;""),AND(TQ17&gt;=TW$30,TQ17&lt;&gt;"",TS17&gt;=TW$354,TXQ17&lt;&gt;""),AND(TT17&gt;=TW$30,TT17&lt;&gt;"",TV17&gt;=TW$34,TV17&lt;&gt;""),AND(UR17&gt;=VE$30,UR17&lt;&gt;"",UT17&gt;=VE$34,UT17&lt;&gt;""),AND(UU17&gt;=VE$30,UU17&lt;&gt;"",UW17&gt;=VE$34,UW17&lt;&gt;""),AND(UY17&gt;=VE$30,UY17&lt;&gt;"",VA17&gt;=VE$34,VA17&lt;&gt;""),AND(VB17&gt;=VE$30,VB17&lt;&gt;"",VD17&gt;=VE$34,VD17&lt;&gt;""),AND(VZ17&gt;=WM$30,VZ17&lt;&gt;"",WB17&gt;=WM$34,WB17&lt;&gt;""),AND(WC17&gt;=WM$30,WC17&lt;&gt;"",WE17&gt;=WM$34,WE17&lt;&gt;""),AND(WG17&gt;=WM$30,WG17&lt;&gt;"",WI17&gt;=WM$34,WI17&lt;&gt;""),AND(WJ17&gt;=WM$30,WJ17&lt;&gt;"",WL17&gt;=WM$34,WL17&lt;&gt;"")),"Merit",IF(OR(AND(AI17&gt;=AS$29,AI17&lt;&gt;"",AK17&gt;=AS$33,AK17&lt;&gt;"",AH17=""),AND(AL17&gt;=AS$29,AL17&lt;&gt;"",AN17&gt;=AS$33,AN17&lt;&gt;"",AH17=""),AND(AP17&gt;=AS$29,AP17&lt;&gt;"",AR17&gt;=AS$33,AR17&lt;&gt;"",AH17=""),AND(BJ17&gt;=BT$29,BJ17&lt;&gt;"",BL17&gt;=BT$33,BL17&lt;&gt;"",BI17=""),AND(BM17&gt;=BT$29,BM17&lt;&gt;"",BO17&gt;=BT$33,BO17&lt;&gt;"",BI17=""),AND(BQ17&gt;=BT$29,BQ17&lt;&gt;"",BS17&gt;=BT$33,BS17&lt;&gt;"",BI17=""),AND(CK17&gt;=CU$29,CK17&lt;&gt;"",CM17&gt;=CU$33,CM17&lt;&gt;"",CJ17=""),AND(CN17&gt;=CU$29,CN17&lt;&gt;"",CP17&gt;=CU$33,CP17&lt;&gt;"",CJ17=""),AND(CR17&gt;=CU$29,CR17&lt;&gt;"",CT17&gt;=CU$33,CT17&lt;&gt;"",CJ17=""),AND(DR17&gt;=EE$29,DR17&lt;&gt;"",DT17&gt;=EE$33,DT17&lt;&gt;""),AND(DU17&gt;=EE$29,DU17&lt;&gt;"",DW17&gt;=EE$33,DW17&lt;&gt;""),AND(DY17&gt;=EE$29,DY17&lt;&gt;"",EA17&gt;=EE$33,EA17&lt;&gt;""),AND(EB17&gt;=EE$29,EB17&lt;&gt;"",ED17&gt;=EE$33,ED17&lt;&gt;""),AND(EZ17&gt;=FM$29,EZ17&lt;&gt;"",FB17&gt;=FM$33,FB17&lt;&gt;""),AND(FC17&gt;=FM$29,FC17&lt;&gt;"",FE17&gt;=FM$33,FE17&lt;&gt;""),AND(FG17&gt;=FM$29,FG17&lt;&gt;"",FI17&gt;=FM$33,FI17&lt;&gt;""),AND(FJ17&gt;=FM$29,FJ17&lt;&gt;"",FL17&gt;=FM$33,FL17&lt;&gt;""),AND(GH17&gt;=GU$29,GH17&lt;&gt;"",GJ17&gt;=GU$33,GJ17&lt;&gt;""),AND(GK17&gt;=GU$29,GK17&lt;&gt;"",GM17&gt;=GU$33,GM17&lt;&gt;""),AND(GO17&gt;=GU$29,GO17&lt;&gt;"",GQ17&gt;=GU$33,GQ17&lt;&gt;""),AND(GR17&gt;=GU$29,GR17&lt;&gt;"",GT17&gt;=GU$33,GT17&lt;&gt;""),AND(HP17&gt;=IC$29,HP17&lt;&gt;"",HR17&gt;=IC$33,HR17&lt;&gt;""),AND(HS17&gt;=IC$29,HS17&lt;&gt;"",HU17&gt;=IC$33,HU17&lt;&gt;""),AND(HW17&gt;=IC$29,HW17&lt;&gt;"",HY17&gt;=IC$33,HY17&lt;&gt;""),AND(HZ17&gt;=IC$29,HZ17&lt;&gt;"",IB17&gt;=IC$33,IB17&lt;&gt;""),AND(IX17&gt;=JK$29,IX17&lt;&gt;"",IZ17&gt;=JK$33,IZ17&lt;&gt;""),AND(JA17&gt;=JK$29,JA17&lt;&gt;"",JC17&gt;=JK$33,JC17&lt;&gt;""),AND(JE17&gt;=JK$29,JE17&lt;&gt;"",JG17&gt;=JK$33,JG17&lt;&gt;""),AND(JH17&gt;=JK$29,JH17&lt;&gt;"",JJ17&gt;=JK$33,JJ17&lt;&gt;""),AND(KF17&gt;=KS$29,KF17&lt;&gt;"",KH17&gt;=KS$33,KH17&lt;&gt;""),AND(KI17&gt;=KS$29,KI17&lt;&gt;"",KK17&gt;=KS$33,KK17&lt;&gt;""),AND(KM17&gt;=KS$29,KM17&lt;&gt;"",KO17&gt;=KS$33,KO17&lt;&gt;""),AND(KP17&gt;=KS$29,KP17&lt;&gt;"",KR17&gt;=KS$33,KR17&lt;&gt;""),AND(LN17&gt;=MA$29,LN17&lt;&gt;"",LP17&gt;=MA$33,LP17&lt;&gt;""),AND(LQ17&gt;=MA$29,LQ17&lt;&gt;"",LS17&gt;=MA$33,LS17&lt;&gt;""),AND(LU17&gt;=MA$29,LU17&lt;&gt;"",LW17&gt;=MA$33,LW17&lt;&gt;""),AND(LX17&gt;=MA$29,LX17&lt;&gt;"",LZ17&gt;=MA$33,LZ17&lt;&gt;""),AND(MV17&gt;=NI$29,MV17&lt;&gt;"",MX17&gt;=NI$33,MX17&lt;&gt;""),AND(MY17&gt;=NI$29,MY17&lt;&gt;"",NA17&gt;=NI$33,NA17&lt;&gt;""),AND(NC17&gt;=NI$29,NC17&lt;&gt;"",NE17&gt;=NI$33,NE17&lt;&gt;""),AND(NF17&gt;=NI$29,NF17&lt;&gt;"",NH17&gt;=NI$33,NH17&lt;&gt;""),AND(OD17&gt;=OQ$29,OD17&lt;&gt;"",OF17&gt;=OQ$33,OF17&lt;&gt;""),AND(OG17&gt;=OQ$29,OG17&lt;&gt;"",OI17&gt;=OQ$33,OI17&lt;&gt;""),AND(OK17&gt;=OQ$29,OK17&lt;&gt;"",OM17&gt;=OQ$33,OM17&lt;&gt;""),AND(ON17&gt;=OQ$29,ON17&lt;&gt;"",OP17&gt;=OQ$33,OP17&lt;&gt;""),AND(PL17&gt;=PY$29,PL17&lt;&gt;"",PN17&gt;=PY$33,PN17&lt;&gt;""),AND(PO17&gt;=PY$29,PO17&lt;&gt;"",PQ17&gt;=PY$33,PQ17&lt;&gt;""),AND(PS17&gt;=PY$29,PS17&lt;&gt;"",PU17&gt;=PY$33,PU17&lt;&gt;""),AND(PV17&gt;=PY$29,PV17&lt;&gt;"",PX17&gt;=PY$33,PX17&lt;&gt;""),AND(QT17&gt;=RG$29,QT17&lt;&gt;"",QV17&gt;=RG$33,QV17&lt;&gt;""),AND(QW17&gt;=RG$29,QW17&lt;&gt;"",QY17&gt;=RG$33,QY17&lt;&gt;""),AND(RA17&gt;=RG$29,RA17&lt;&gt;"",RC17&gt;=RG$33,RC17&lt;&gt;""),AND(RD17&gt;=RG$29,RD17&lt;&gt;"",RF17&gt;=RG$33,RF17&lt;&gt;""),AND(SB17&gt;=SO$29,SB17&lt;&gt;"",SD17&gt;=SO$33,SD17&lt;&gt;""),AND(SE17&gt;=SO$29,SE17&lt;&gt;"",SG17&gt;=SO$33,SG17&lt;&gt;""),AND(SI17&gt;=SO$29,SI17&lt;&gt;"",SK17&gt;=SO$33,SK17&lt;&gt;""),AND(SL17&gt;=SO$29,SL17&lt;&gt;"",SN17&gt;=SO$33,SN17&lt;&gt;""),AND(TJ17&gt;=TW$29,TJ17&lt;&gt;"",TL17&gt;=TW$33,TL17&lt;&gt;""),AND(TM17&gt;=TW$29,TM17&lt;&gt;"",TO17&gt;=TW$33,TO17&lt;&gt;""),AND(TQ17&gt;=TW$29,TQ17&lt;&gt;"",TS17&gt;=TW$33,TXQ17&lt;&gt;""),AND(TT17&gt;=TW$29,TT17&lt;&gt;"",TV17&gt;=TW$33,TV17&lt;&gt;""),AND(UR17&gt;=VE$29,UR17&lt;&gt;"",UT17&gt;=VE$33,UT17&lt;&gt;""),AND(UU17&gt;=VE$29,UU17&lt;&gt;"",UW17&gt;=VE$33,UW17&lt;&gt;""),AND(UY17&gt;=VE$29,UY17&lt;&gt;"",VA17&gt;=VE$33,VA17&lt;&gt;""),AND(VB17&gt;=VE$29,VB17&lt;&gt;"",VD17&gt;=VE$33,VD17&lt;&gt;""),AND(VZ17&gt;=WM$29,VZ17&lt;&gt;"",WB17&gt;=WM$33,WB17&lt;&gt;""),AND(WC17&gt;=WM$29,WC17&lt;&gt;"",WE17&gt;=WM$33,WE17&lt;&gt;""),AND(WG17&gt;=WM$29,WG17&lt;&gt;"",WI17&gt;=WM$33,WI17&lt;&gt;""),AND(WJ17&gt;=WM$29,WJ17&lt;&gt;"",WL17&gt;=WM$33,WL17&lt;&gt;"")),"Excellence",IF(I17="P","Worlds Team",IF(F17="P","National Team","")))))</f>
        <v/>
      </c>
      <c r="I17" s="3" t="str">
        <f>IF(OR(AND(AI17&gt;=AS$28,AI17&lt;&gt;"",AK17&gt;=AS$32,AK17&lt;&gt;"",AH17=""),AND(AL17&gt;=AS$28,AL17&lt;&gt;"",AN17&gt;=AS$32,AN17&lt;&gt;"",AH17=""),AND(AP17&gt;=AS$28,AP17&lt;&gt;"",AR17&gt;=AS$32,AR17&lt;&gt;"",AH17=""),AND(BJ17&gt;=BT$28,BJ17&lt;&gt;"",BL17&gt;=BT$32,BL17&lt;&gt;"",BI17=""),AND(BM17&gt;=BT$28,BM17&lt;&gt;"",BO17&gt;=BT$32,BO17&lt;&gt;"",BI17=""),AND(BQ17&gt;=BT$28,BQ17&lt;&gt;"",BS17&gt;=BT$32,BS17&lt;&gt;"",BI17=""),AND(CK17&gt;=CU$28,CK17&lt;&gt;"",CM17&gt;=CU$32,CM17&lt;&gt;"",CJ17=""),AND(CN17&gt;=CU$28,CN17&lt;&gt;"",CP17&gt;=CU$32,CP17&lt;&gt;"",CJ17=""),AND(CR17&gt;=CU$28,CR17&lt;&gt;"",CT17&gt;=CU$32,CT17&lt;&gt;"",CJ17=""),AND(DR17&gt;=EE$28,DR17&lt;&gt;"",DT17&gt;=EE$32,DT17&lt;&gt;""),AND(DU17&gt;=EE$28,DU17&lt;&gt;"",DW17&gt;=EE$32,DW17&lt;&gt;""),AND(DY17&gt;=EE$28,DY17&lt;&gt;"",EA17&gt;=EE$32,EA17&lt;&gt;""),AND(EB17&gt;=EE$28,EB17&lt;&gt;"",ED17&gt;=EE$32,ED17&lt;&gt;""),AND(EZ17&gt;=FM$28,EZ17&lt;&gt;"",FB17&gt;=FM$32,FB17&lt;&gt;""),AND(FC17&gt;=FM$28,FC17&lt;&gt;"",FE17&gt;=FM$32,FE17&lt;&gt;""),AND(FG17&gt;=FM$28,FG17&lt;&gt;"",FI17&gt;=FM$32,FI17&lt;&gt;""),AND(FJ17&gt;=FM$28,FJ17&lt;&gt;"",FL17&gt;=FM$32,FL17&lt;&gt;""),AND(GH17&gt;=GU$28,GH17&lt;&gt;"",GJ17&gt;=GU$32,GJ17&lt;&gt;""),AND(GK17&gt;=GU$28,GK17&lt;&gt;"",GM17&gt;=GU$32,GM17&lt;&gt;""),AND(GO17&gt;=GU$28,GO17&lt;&gt;"",GQ17&gt;=GU$32,GQ17&lt;&gt;""),AND(GR17&gt;=GU$28,GR17&lt;&gt;"",GT17&gt;=GU$32,GT17&lt;&gt;""),AND(HP17&gt;=IC$28,HP17&lt;&gt;"",HR17&gt;=IC$32,HR17&lt;&gt;""),AND(HS17&gt;=IC$28,HS17&lt;&gt;"",HU17&gt;=IC$32,HU17&lt;&gt;""),AND(HW17&gt;=IC$28,HW17&lt;&gt;"",HY17&gt;=IC$32,HY17&lt;&gt;""),AND(HZ17&gt;=IC$28,HZ17&lt;&gt;"",IB17&gt;=IC$32,IB17&lt;&gt;""),AND(IX17&gt;=JK$28,IX17&lt;&gt;"",IZ17&gt;=JK$32,IZ17&lt;&gt;""),AND(JA17&gt;=JK$28,JA17&lt;&gt;"",JC17&gt;=JK$32,JC17&lt;&gt;""),AND(JE17&gt;=JK$28,JE17&lt;&gt;"",JG17&gt;=JK$32,JG17&lt;&gt;""),AND(JH17&gt;=JK$28,JH17&lt;&gt;"",JJ17&gt;=JK$32,JJ17&lt;&gt;""),AND(KF17&gt;=KS$28,KF17&lt;&gt;"",KH17&gt;=KS$32,KH17&lt;&gt;""),AND(KI17&gt;=KS$28,KI17&lt;&gt;"",KK17&gt;=KS$32,KK17&lt;&gt;""),AND(KM17&gt;=KS$28,KM17&lt;&gt;"",KO17&gt;=KS$32,KO17&lt;&gt;""),AND(KP17&gt;=KS$28,KP17&lt;&gt;"",KR17&gt;=KS$32,KR17&lt;&gt;""),AND(LN17&gt;=MA$28,LN17&lt;&gt;"",LP17&gt;=MA$32,LP17&lt;&gt;""),AND(LQ17&gt;=MA$28,LQ17&lt;&gt;"",LS17&gt;=MA$32,LS17&lt;&gt;""),AND(LU17&gt;=MA$28,LU17&lt;&gt;"",LW17&gt;=MA$32,LW17&lt;&gt;""),AND(LX17&gt;=MA$28,LX17&lt;&gt;"",LZ17&gt;=MA$32,LZ17&lt;&gt;""),AND(MV17&gt;=NI$28,MV17&lt;&gt;"",MX17&gt;=NI$32,MX17&lt;&gt;""),AND(MY17&gt;=NI$28,MY17&lt;&gt;"",NA17&gt;=NI$32,NA17&lt;&gt;""),AND(NC17&gt;=NI$28,NC17&lt;&gt;"",NE17&gt;=NI$32,NE17&lt;&gt;""),AND(NF17&gt;=NI$28,NF17&lt;&gt;"",NH17&gt;=NI$32,NH17&lt;&gt;""),AND(OD17&gt;=OQ$28,OD17&lt;&gt;"",OF17&gt;=OQ$32,OF17&lt;&gt;""),AND(OG17&gt;=OQ$28,OG17&lt;&gt;"",OI17&gt;=OQ$32,OI17&lt;&gt;""),AND(OK17&gt;=OQ$28,OK17&lt;&gt;"",OM17&gt;=OQ$32,OM17&lt;&gt;""),AND(ON17&gt;=OQ$28,ON17&lt;&gt;"",OP17&gt;=OQ$32,OP17&lt;&gt;""),AND(PL17&gt;=PY$28,PL17&lt;&gt;"",PN17&gt;=PY$32,PN17&lt;&gt;""),AND(PO17&gt;=PY$28,PO17&lt;&gt;"",PQ17&gt;=PY$32,PQ17&lt;&gt;""),AND(PS17&gt;=PY$28,PS17&lt;&gt;"",PU17&gt;=PY$32,PU17&lt;&gt;""),AND(PV17&gt;=PY$28,PV17&lt;&gt;"",PX17&gt;=PY$32,PX17&lt;&gt;""),AND(QT17&gt;=RG$28,QT17&lt;&gt;"",QV17&gt;=RG$32,QV17&lt;&gt;""),AND(QW17&gt;=RG$28,QW17&lt;&gt;"",QY17&gt;=RG$32,QY17&lt;&gt;""),AND(RA17&gt;=RG$28,RA17&lt;&gt;"",RC17&gt;=RG$32,RC17&lt;&gt;""),AND(RD17&gt;=RG$28,RD17&lt;&gt;"",RF17&gt;=RG$32,RF17&lt;&gt;""),AND(SB17&gt;=SO$28,SB17&lt;&gt;"",SD17&gt;=SO$32,SD17&lt;&gt;""),AND(SE17&gt;=SO$28,SE17&lt;&gt;"",SG17&gt;=SO$32,SG17&lt;&gt;""),AND(SI17&gt;=SO$28,SI17&lt;&gt;"",SK17&gt;=SO$32,SK17&lt;&gt;""),AND(SL17&gt;=SO$28,SL17&lt;&gt;"",SN17&gt;=SO$32,SN17&lt;&gt;""),AND(TJ17&gt;=TW$28,TJ17&lt;&gt;"",TL17&gt;=TW$32,TL17&lt;&gt;""),AND(TM17&gt;=TW$28,TM17&lt;&gt;"",TO17&gt;=TW$32,TO17&lt;&gt;""),AND(TQ17&gt;=TW$28,TQ17&lt;&gt;"",TS17&gt;=TW$32,TXQ17&lt;&gt;""),AND(TT17&gt;=TW$28,TT17&lt;&gt;"",TV17&gt;=TW$32,TV17&lt;&gt;""),AND(UR17&gt;=VE$28,UR17&lt;&gt;"",UT17&gt;=VE$32,UT17&lt;&gt;""),AND(UU17&gt;=VE$28,UU17&lt;&gt;"",UW17&gt;=VE$32,UW17&lt;&gt;""),AND(UY17&gt;=VE$28,UY17&lt;&gt;"",VA17&gt;=VE$32,VA17&lt;&gt;""),AND(VB17&gt;=VE$28,VB17&lt;&gt;"",VD17&gt;=VE$32,VD17&lt;&gt;""),AND(VZ17&gt;=WM$28,VZ17&lt;&gt;"",WB17&gt;=WM$32,WB17&lt;&gt;""),AND(WC17&gt;=WM$28,WC17&lt;&gt;"",WE17&gt;=WM$32,WE17&lt;&gt;""),AND(WG17&gt;=WM$28,WG17&lt;&gt;"",WI17&gt;=WM$32,WI17&lt;&gt;""),AND(WJ17&gt;=WM$28,WJ17&lt;&gt;"",WL17&gt;=WM$32,WL17&lt;&gt;"")),"P","")</f>
        <v/>
      </c>
      <c r="J17" s="8">
        <f t="shared" si="1"/>
        <v>44.730000000000004</v>
      </c>
      <c r="K17" s="8" t="str">
        <f t="shared" si="2"/>
        <v>2025 3rd Domestic Trial</v>
      </c>
      <c r="L17" s="8">
        <f>IFERROR(IF(J17=AR17,LARGE((AK17,AN17,BL17,BO17,BS17,CM17,CP17,CT17),1),IF(J17=BS17,LARGE((AK17,AN17,AR17,BL17,BO17,CM17,CP17,CT17),1),LARGE((AK17,AN17,AR17,BL17,BO17,BS17,CM17,CP17),1))),0)</f>
        <v>48.97</v>
      </c>
      <c r="M17" s="8" t="str">
        <f t="shared" si="3"/>
        <v>2025 3rd Domestic Trial</v>
      </c>
      <c r="N17" s="8">
        <f>IFERROR(IF(J17=AR17,LARGE((AK17,AN17,BL17,BO17,BS17,CM17,CP17,CT17),2),IF(J17=BS17,LARGE((AK17,AN17,AR17,BL17,BO17,CM17,CP17,CT17),2),LARGE((AK17,AN17,AR17,BL17,BO17,BS17,CM17,CP17),2))),0)</f>
        <v>36.15</v>
      </c>
      <c r="O17" s="8" t="str">
        <f t="shared" si="4"/>
        <v>2025 Nationals</v>
      </c>
      <c r="P17" s="8">
        <f t="shared" si="5"/>
        <v>0</v>
      </c>
      <c r="Q17" s="11" t="str">
        <f t="shared" si="6"/>
        <v/>
      </c>
      <c r="R17" s="8" t="str">
        <f t="shared" si="7"/>
        <v/>
      </c>
      <c r="S17" s="18">
        <v>2.6</v>
      </c>
      <c r="T17" s="18">
        <v>1.8</v>
      </c>
      <c r="U17" s="18">
        <v>3.3</v>
      </c>
      <c r="V17" s="18">
        <v>3.4</v>
      </c>
      <c r="W17" s="18">
        <v>0</v>
      </c>
      <c r="X17" s="18">
        <v>7.9</v>
      </c>
      <c r="Y17" s="18">
        <v>6.5</v>
      </c>
      <c r="Z17" s="18">
        <v>10.6</v>
      </c>
      <c r="AA17" s="18">
        <v>11.15</v>
      </c>
      <c r="AB17" s="18">
        <v>0</v>
      </c>
      <c r="AC17" s="18"/>
      <c r="AD17" s="18"/>
      <c r="AE17" s="18"/>
      <c r="AF17" s="18"/>
      <c r="AG17" s="18"/>
      <c r="AH17" s="23"/>
      <c r="AI17" s="34">
        <f t="shared" si="8"/>
        <v>3.3</v>
      </c>
      <c r="AJ17" s="34">
        <f t="shared" si="9"/>
        <v>3.4</v>
      </c>
      <c r="AK17" s="36">
        <f t="shared" si="10"/>
        <v>11.1</v>
      </c>
      <c r="AL17" s="36">
        <f t="shared" si="11"/>
        <v>10.6</v>
      </c>
      <c r="AM17" s="36">
        <f t="shared" si="12"/>
        <v>11.15</v>
      </c>
      <c r="AN17" s="36">
        <f t="shared" si="13"/>
        <v>36.15</v>
      </c>
      <c r="AO17" s="36">
        <f t="shared" si="14"/>
        <v>36.15</v>
      </c>
      <c r="AP17" s="36" t="str">
        <f t="shared" si="15"/>
        <v/>
      </c>
      <c r="AQ17" s="36" t="str">
        <f t="shared" si="16"/>
        <v/>
      </c>
      <c r="AR17" s="36" t="str">
        <f t="shared" si="17"/>
        <v/>
      </c>
      <c r="AS17" s="36">
        <f t="shared" si="18"/>
        <v>36.15</v>
      </c>
      <c r="AT17" s="22">
        <v>11.4</v>
      </c>
      <c r="AU17" s="22">
        <v>8.8000000000000007</v>
      </c>
      <c r="AV17" s="22">
        <v>13.4</v>
      </c>
      <c r="AW17" s="22">
        <v>16.47</v>
      </c>
      <c r="AX17" s="22">
        <v>1.1000000000000001</v>
      </c>
      <c r="AY17" s="22">
        <v>2.2000000000000002</v>
      </c>
      <c r="AZ17" s="22">
        <v>1.7</v>
      </c>
      <c r="BA17" s="22">
        <v>4</v>
      </c>
      <c r="BB17" s="22">
        <v>3.57</v>
      </c>
      <c r="BC17" s="22">
        <v>0.2</v>
      </c>
      <c r="BD17" s="22">
        <v>9.9</v>
      </c>
      <c r="BE17" s="22">
        <v>7.9</v>
      </c>
      <c r="BF17" s="22">
        <v>11.9</v>
      </c>
      <c r="BG17" s="22">
        <v>15.03</v>
      </c>
      <c r="BH17" s="22">
        <v>0</v>
      </c>
      <c r="BI17" s="24"/>
      <c r="BJ17" s="35">
        <f t="shared" si="19"/>
        <v>13.4</v>
      </c>
      <c r="BK17" s="35">
        <f t="shared" si="20"/>
        <v>16.47</v>
      </c>
      <c r="BL17" s="11">
        <f t="shared" si="21"/>
        <v>48.97</v>
      </c>
      <c r="BM17" s="11">
        <f t="shared" si="22"/>
        <v>4</v>
      </c>
      <c r="BN17" s="11">
        <f t="shared" si="23"/>
        <v>3.57</v>
      </c>
      <c r="BO17" s="11">
        <f t="shared" si="24"/>
        <v>11.270000000000001</v>
      </c>
      <c r="BP17" s="11">
        <f t="shared" si="25"/>
        <v>48.97</v>
      </c>
      <c r="BQ17" s="11">
        <f t="shared" si="26"/>
        <v>11.9</v>
      </c>
      <c r="BR17" s="11">
        <f t="shared" si="27"/>
        <v>15.03</v>
      </c>
      <c r="BS17" s="11">
        <f t="shared" si="28"/>
        <v>44.730000000000004</v>
      </c>
      <c r="BT17" s="11">
        <f t="shared" si="29"/>
        <v>93.7</v>
      </c>
      <c r="BU17" s="18">
        <v>3.6</v>
      </c>
      <c r="BV17" s="18">
        <v>2.6</v>
      </c>
      <c r="BW17" s="18">
        <v>5</v>
      </c>
      <c r="BX17" s="18">
        <v>4.96</v>
      </c>
      <c r="BY17" s="18">
        <v>0</v>
      </c>
      <c r="BZ17" s="18">
        <v>3.2</v>
      </c>
      <c r="CA17" s="18">
        <v>2.5</v>
      </c>
      <c r="CB17" s="18">
        <v>5</v>
      </c>
      <c r="CC17" s="18">
        <v>4.7300000000000004</v>
      </c>
      <c r="CD17" s="18">
        <v>0</v>
      </c>
      <c r="CE17" s="18"/>
      <c r="CF17" s="18"/>
      <c r="CG17" s="18"/>
      <c r="CH17" s="18"/>
      <c r="CI17" s="18"/>
      <c r="CJ17" s="23"/>
      <c r="CK17" s="34">
        <f t="shared" si="30"/>
        <v>5</v>
      </c>
      <c r="CL17" s="34">
        <f t="shared" si="31"/>
        <v>4.96</v>
      </c>
      <c r="CM17" s="36">
        <f t="shared" si="32"/>
        <v>16.16</v>
      </c>
      <c r="CN17" s="36">
        <f t="shared" si="33"/>
        <v>5</v>
      </c>
      <c r="CO17" s="36">
        <f t="shared" si="34"/>
        <v>4.7300000000000004</v>
      </c>
      <c r="CP17" s="36">
        <f t="shared" si="35"/>
        <v>15.43</v>
      </c>
      <c r="CQ17" s="36">
        <f t="shared" si="36"/>
        <v>16.16</v>
      </c>
      <c r="CR17" s="36" t="str">
        <f t="shared" si="37"/>
        <v/>
      </c>
      <c r="CS17" s="36" t="str">
        <f t="shared" si="38"/>
        <v/>
      </c>
      <c r="CT17" s="36" t="str">
        <f t="shared" si="39"/>
        <v/>
      </c>
      <c r="CU17" s="36">
        <f t="shared" si="40"/>
        <v>16.16</v>
      </c>
      <c r="CV17" s="47" t="str">
        <f t="shared" si="41"/>
        <v/>
      </c>
      <c r="CW17" s="47" t="str">
        <f t="shared" si="42"/>
        <v/>
      </c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36" t="str">
        <f t="shared" si="43"/>
        <v/>
      </c>
      <c r="DS17" s="36" t="str">
        <f t="shared" si="44"/>
        <v/>
      </c>
      <c r="DT17" s="36" t="str">
        <f t="shared" si="45"/>
        <v/>
      </c>
      <c r="DU17" s="36" t="str">
        <f t="shared" si="46"/>
        <v/>
      </c>
      <c r="DV17" s="36" t="str">
        <f t="shared" si="47"/>
        <v/>
      </c>
      <c r="DW17" s="36" t="str">
        <f t="shared" si="48"/>
        <v/>
      </c>
      <c r="DX17" s="36" t="str">
        <f t="shared" si="49"/>
        <v/>
      </c>
      <c r="DY17" s="36" t="str">
        <f t="shared" si="50"/>
        <v/>
      </c>
      <c r="DZ17" s="36" t="str">
        <f t="shared" si="51"/>
        <v/>
      </c>
      <c r="EA17" s="36" t="str">
        <f t="shared" si="52"/>
        <v/>
      </c>
      <c r="EB17" s="36" t="str">
        <f t="shared" si="53"/>
        <v/>
      </c>
      <c r="EC17" s="36" t="str">
        <f t="shared" si="54"/>
        <v/>
      </c>
      <c r="ED17" s="36" t="str">
        <f t="shared" si="55"/>
        <v/>
      </c>
      <c r="EE17" s="36" t="str">
        <f t="shared" si="56"/>
        <v/>
      </c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1" t="str">
        <f t="shared" si="57"/>
        <v/>
      </c>
      <c r="FA17" s="11" t="str">
        <f t="shared" si="58"/>
        <v/>
      </c>
      <c r="FB17" s="11" t="str">
        <f t="shared" si="59"/>
        <v/>
      </c>
      <c r="FC17" s="11" t="str">
        <f t="shared" si="60"/>
        <v/>
      </c>
      <c r="FD17" s="11" t="str">
        <f t="shared" si="61"/>
        <v/>
      </c>
      <c r="FE17" s="11" t="str">
        <f t="shared" si="62"/>
        <v/>
      </c>
      <c r="FF17" s="11" t="str">
        <f t="shared" si="63"/>
        <v/>
      </c>
      <c r="FG17" s="11" t="str">
        <f t="shared" si="64"/>
        <v/>
      </c>
      <c r="FH17" s="11" t="str">
        <f t="shared" si="65"/>
        <v/>
      </c>
      <c r="FI17" s="11" t="str">
        <f t="shared" si="66"/>
        <v/>
      </c>
      <c r="FJ17" s="11" t="str">
        <f t="shared" si="67"/>
        <v/>
      </c>
      <c r="FK17" s="11" t="str">
        <f t="shared" si="68"/>
        <v/>
      </c>
      <c r="FL17" s="11" t="str">
        <f t="shared" si="69"/>
        <v/>
      </c>
      <c r="FM17" s="11" t="str">
        <f t="shared" si="70"/>
        <v/>
      </c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36" t="str">
        <f t="shared" si="71"/>
        <v/>
      </c>
      <c r="GI17" s="36" t="str">
        <f t="shared" si="72"/>
        <v/>
      </c>
      <c r="GJ17" s="36" t="str">
        <f t="shared" si="73"/>
        <v/>
      </c>
      <c r="GK17" s="36" t="str">
        <f t="shared" si="74"/>
        <v/>
      </c>
      <c r="GL17" s="36" t="str">
        <f t="shared" si="75"/>
        <v/>
      </c>
      <c r="GM17" s="36" t="str">
        <f t="shared" si="76"/>
        <v/>
      </c>
      <c r="GN17" s="36" t="str">
        <f t="shared" si="77"/>
        <v/>
      </c>
      <c r="GO17" s="36" t="str">
        <f t="shared" si="78"/>
        <v/>
      </c>
      <c r="GP17" s="36" t="str">
        <f t="shared" si="79"/>
        <v/>
      </c>
      <c r="GQ17" s="36" t="str">
        <f t="shared" si="80"/>
        <v/>
      </c>
      <c r="GR17" s="36" t="str">
        <f t="shared" si="81"/>
        <v/>
      </c>
      <c r="GS17" s="36" t="str">
        <f t="shared" si="82"/>
        <v/>
      </c>
      <c r="GT17" s="36" t="str">
        <f t="shared" si="83"/>
        <v/>
      </c>
      <c r="GU17" s="36" t="str">
        <f t="shared" si="84"/>
        <v/>
      </c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6"/>
      <c r="HN17" s="16"/>
      <c r="HO17" s="16"/>
      <c r="HP17" s="11" t="str">
        <f t="shared" si="85"/>
        <v/>
      </c>
      <c r="HQ17" s="11" t="str">
        <f t="shared" si="86"/>
        <v/>
      </c>
      <c r="HR17" s="11" t="str">
        <f t="shared" si="87"/>
        <v/>
      </c>
      <c r="HS17" s="11" t="str">
        <f t="shared" si="88"/>
        <v/>
      </c>
      <c r="HT17" s="11" t="str">
        <f t="shared" si="89"/>
        <v/>
      </c>
      <c r="HU17" s="11" t="str">
        <f t="shared" si="90"/>
        <v/>
      </c>
      <c r="HV17" s="11" t="str">
        <f t="shared" si="91"/>
        <v/>
      </c>
      <c r="HW17" s="11" t="str">
        <f t="shared" si="92"/>
        <v/>
      </c>
      <c r="HX17" s="11" t="str">
        <f t="shared" si="93"/>
        <v/>
      </c>
      <c r="HY17" s="11" t="str">
        <f t="shared" si="94"/>
        <v/>
      </c>
      <c r="HZ17" s="11" t="str">
        <f t="shared" si="95"/>
        <v/>
      </c>
      <c r="IA17" s="11" t="str">
        <f t="shared" si="96"/>
        <v/>
      </c>
      <c r="IB17" s="11" t="str">
        <f t="shared" si="97"/>
        <v/>
      </c>
      <c r="IC17" s="11" t="str">
        <f t="shared" si="98"/>
        <v/>
      </c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36" t="str">
        <f t="shared" si="99"/>
        <v/>
      </c>
      <c r="IY17" s="36" t="str">
        <f t="shared" si="100"/>
        <v/>
      </c>
      <c r="IZ17" s="36" t="str">
        <f t="shared" si="101"/>
        <v/>
      </c>
      <c r="JA17" s="36" t="str">
        <f t="shared" si="102"/>
        <v/>
      </c>
      <c r="JB17" s="36" t="str">
        <f t="shared" si="103"/>
        <v/>
      </c>
      <c r="JC17" s="36" t="str">
        <f t="shared" si="104"/>
        <v/>
      </c>
      <c r="JD17" s="36" t="str">
        <f t="shared" si="105"/>
        <v/>
      </c>
      <c r="JE17" s="36" t="str">
        <f t="shared" si="106"/>
        <v/>
      </c>
      <c r="JF17" s="36" t="str">
        <f t="shared" si="107"/>
        <v/>
      </c>
      <c r="JG17" s="36" t="str">
        <f t="shared" si="108"/>
        <v/>
      </c>
      <c r="JH17" s="36" t="str">
        <f t="shared" si="109"/>
        <v/>
      </c>
      <c r="JI17" s="36" t="str">
        <f t="shared" si="110"/>
        <v/>
      </c>
      <c r="JJ17" s="36" t="str">
        <f t="shared" si="111"/>
        <v/>
      </c>
      <c r="JK17" s="36" t="str">
        <f t="shared" si="112"/>
        <v/>
      </c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16"/>
      <c r="JX17" s="16"/>
      <c r="JY17" s="16"/>
      <c r="JZ17" s="16"/>
      <c r="KA17" s="16"/>
      <c r="KB17" s="16"/>
      <c r="KC17" s="16"/>
      <c r="KD17" s="16"/>
      <c r="KE17" s="16"/>
      <c r="KF17" s="11" t="str">
        <f t="shared" si="113"/>
        <v/>
      </c>
      <c r="KG17" s="11" t="str">
        <f t="shared" si="114"/>
        <v/>
      </c>
      <c r="KH17" s="11" t="str">
        <f t="shared" si="115"/>
        <v/>
      </c>
      <c r="KI17" s="11" t="str">
        <f t="shared" si="116"/>
        <v/>
      </c>
      <c r="KJ17" s="11" t="str">
        <f t="shared" si="117"/>
        <v/>
      </c>
      <c r="KK17" s="11" t="str">
        <f t="shared" si="118"/>
        <v/>
      </c>
      <c r="KL17" s="11" t="str">
        <f t="shared" si="119"/>
        <v/>
      </c>
      <c r="KM17" s="11" t="str">
        <f t="shared" si="120"/>
        <v/>
      </c>
      <c r="KN17" s="11" t="str">
        <f t="shared" si="121"/>
        <v/>
      </c>
      <c r="KO17" s="11" t="str">
        <f t="shared" si="122"/>
        <v/>
      </c>
      <c r="KP17" s="11" t="str">
        <f t="shared" si="123"/>
        <v/>
      </c>
      <c r="KQ17" s="11" t="str">
        <f t="shared" si="124"/>
        <v/>
      </c>
      <c r="KR17" s="11" t="str">
        <f t="shared" si="125"/>
        <v/>
      </c>
      <c r="KS17" s="11" t="str">
        <f t="shared" si="126"/>
        <v/>
      </c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36" t="str">
        <f t="shared" si="127"/>
        <v/>
      </c>
      <c r="LO17" s="36" t="str">
        <f t="shared" si="128"/>
        <v/>
      </c>
      <c r="LP17" s="36" t="str">
        <f t="shared" si="129"/>
        <v/>
      </c>
      <c r="LQ17" s="36" t="str">
        <f t="shared" si="130"/>
        <v/>
      </c>
      <c r="LR17" s="36" t="str">
        <f t="shared" si="131"/>
        <v/>
      </c>
      <c r="LS17" s="36" t="str">
        <f t="shared" si="132"/>
        <v/>
      </c>
      <c r="LT17" s="36" t="str">
        <f t="shared" si="133"/>
        <v/>
      </c>
      <c r="LU17" s="36" t="str">
        <f t="shared" si="134"/>
        <v/>
      </c>
      <c r="LV17" s="36" t="str">
        <f t="shared" si="135"/>
        <v/>
      </c>
      <c r="LW17" s="36" t="str">
        <f t="shared" si="136"/>
        <v/>
      </c>
      <c r="LX17" s="36" t="str">
        <f t="shared" si="137"/>
        <v/>
      </c>
      <c r="LY17" s="36" t="str">
        <f t="shared" si="138"/>
        <v/>
      </c>
      <c r="LZ17" s="36" t="str">
        <f t="shared" si="139"/>
        <v/>
      </c>
      <c r="MA17" s="36" t="str">
        <f t="shared" si="140"/>
        <v/>
      </c>
      <c r="MB17" s="16"/>
      <c r="MC17" s="16"/>
      <c r="MD17" s="16"/>
      <c r="ME17" s="16"/>
      <c r="MF17" s="16"/>
      <c r="MG17" s="16"/>
      <c r="MH17" s="16"/>
      <c r="MI17" s="16"/>
      <c r="MJ17" s="16"/>
      <c r="MK17" s="16"/>
      <c r="ML17" s="16"/>
      <c r="MM17" s="16"/>
      <c r="MN17" s="16"/>
      <c r="MO17" s="16"/>
      <c r="MP17" s="16"/>
      <c r="MQ17" s="16"/>
      <c r="MR17" s="16"/>
      <c r="MS17" s="16"/>
      <c r="MT17" s="16"/>
      <c r="MU17" s="16"/>
      <c r="MV17" s="11" t="str">
        <f t="shared" si="141"/>
        <v/>
      </c>
      <c r="MW17" s="11" t="str">
        <f t="shared" si="142"/>
        <v/>
      </c>
      <c r="MX17" s="11" t="str">
        <f t="shared" si="143"/>
        <v/>
      </c>
      <c r="MY17" s="11" t="str">
        <f t="shared" si="144"/>
        <v/>
      </c>
      <c r="MZ17" s="11" t="str">
        <f t="shared" si="145"/>
        <v/>
      </c>
      <c r="NA17" s="11" t="str">
        <f t="shared" si="146"/>
        <v/>
      </c>
      <c r="NB17" s="11" t="str">
        <f t="shared" si="147"/>
        <v/>
      </c>
      <c r="NC17" s="11" t="str">
        <f t="shared" si="148"/>
        <v/>
      </c>
      <c r="ND17" s="11" t="str">
        <f t="shared" si="149"/>
        <v/>
      </c>
      <c r="NE17" s="11" t="str">
        <f t="shared" si="150"/>
        <v/>
      </c>
      <c r="NF17" s="11" t="str">
        <f t="shared" si="151"/>
        <v/>
      </c>
      <c r="NG17" s="11" t="str">
        <f t="shared" si="152"/>
        <v/>
      </c>
      <c r="NH17" s="11" t="str">
        <f t="shared" si="153"/>
        <v/>
      </c>
      <c r="NI17" s="11" t="str">
        <f t="shared" si="154"/>
        <v/>
      </c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36" t="str">
        <f t="shared" si="155"/>
        <v/>
      </c>
      <c r="OE17" s="36" t="str">
        <f t="shared" si="156"/>
        <v/>
      </c>
      <c r="OF17" s="36" t="str">
        <f t="shared" si="157"/>
        <v/>
      </c>
      <c r="OG17" s="36" t="str">
        <f t="shared" si="158"/>
        <v/>
      </c>
      <c r="OH17" s="36" t="str">
        <f t="shared" si="159"/>
        <v/>
      </c>
      <c r="OI17" s="36" t="str">
        <f t="shared" si="160"/>
        <v/>
      </c>
      <c r="OJ17" s="36" t="str">
        <f t="shared" si="161"/>
        <v/>
      </c>
      <c r="OK17" s="36" t="str">
        <f t="shared" si="162"/>
        <v/>
      </c>
      <c r="OL17" s="36" t="str">
        <f t="shared" si="163"/>
        <v/>
      </c>
      <c r="OM17" s="36" t="str">
        <f t="shared" si="164"/>
        <v/>
      </c>
      <c r="ON17" s="36" t="str">
        <f t="shared" si="165"/>
        <v/>
      </c>
      <c r="OO17" s="36" t="str">
        <f t="shared" si="166"/>
        <v/>
      </c>
      <c r="OP17" s="36" t="str">
        <f t="shared" si="167"/>
        <v/>
      </c>
      <c r="OQ17" s="36" t="str">
        <f t="shared" si="168"/>
        <v/>
      </c>
      <c r="OR17" s="16"/>
      <c r="OS17" s="16"/>
      <c r="OT17" s="16"/>
      <c r="OU17" s="16"/>
      <c r="OV17" s="16"/>
      <c r="OW17" s="16"/>
      <c r="OX17" s="16"/>
      <c r="OY17" s="16"/>
      <c r="OZ17" s="16"/>
      <c r="PA17" s="16"/>
      <c r="PB17" s="16"/>
      <c r="PC17" s="16"/>
      <c r="PD17" s="16"/>
      <c r="PE17" s="16"/>
      <c r="PF17" s="16"/>
      <c r="PG17" s="16"/>
      <c r="PH17" s="16"/>
      <c r="PI17" s="16"/>
      <c r="PJ17" s="16"/>
      <c r="PK17" s="16"/>
      <c r="PL17" s="11" t="str">
        <f t="shared" si="169"/>
        <v/>
      </c>
      <c r="PM17" s="11" t="str">
        <f t="shared" si="170"/>
        <v/>
      </c>
      <c r="PN17" s="11" t="str">
        <f t="shared" si="171"/>
        <v/>
      </c>
      <c r="PO17" s="11" t="str">
        <f t="shared" si="172"/>
        <v/>
      </c>
      <c r="PP17" s="11" t="str">
        <f t="shared" si="173"/>
        <v/>
      </c>
      <c r="PQ17" s="11" t="str">
        <f t="shared" si="174"/>
        <v/>
      </c>
      <c r="PR17" s="11" t="str">
        <f t="shared" si="175"/>
        <v/>
      </c>
      <c r="PS17" s="11" t="str">
        <f t="shared" si="176"/>
        <v/>
      </c>
      <c r="PT17" s="11" t="str">
        <f t="shared" si="177"/>
        <v/>
      </c>
      <c r="PU17" s="11" t="str">
        <f t="shared" si="178"/>
        <v/>
      </c>
      <c r="PV17" s="11" t="str">
        <f t="shared" si="179"/>
        <v/>
      </c>
      <c r="PW17" s="11" t="str">
        <f t="shared" si="180"/>
        <v/>
      </c>
      <c r="PX17" s="11" t="str">
        <f t="shared" si="181"/>
        <v/>
      </c>
      <c r="PY17" s="11" t="str">
        <f t="shared" si="182"/>
        <v/>
      </c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36" t="str">
        <f t="shared" si="183"/>
        <v/>
      </c>
      <c r="QU17" s="36" t="str">
        <f t="shared" si="184"/>
        <v/>
      </c>
      <c r="QV17" s="36" t="str">
        <f t="shared" si="185"/>
        <v/>
      </c>
      <c r="QW17" s="36" t="str">
        <f t="shared" si="186"/>
        <v/>
      </c>
      <c r="QX17" s="36" t="str">
        <f t="shared" si="187"/>
        <v/>
      </c>
      <c r="QY17" s="36" t="str">
        <f t="shared" si="188"/>
        <v/>
      </c>
      <c r="QZ17" s="36" t="str">
        <f t="shared" si="189"/>
        <v/>
      </c>
      <c r="RA17" s="36" t="str">
        <f t="shared" si="190"/>
        <v/>
      </c>
      <c r="RB17" s="36" t="str">
        <f t="shared" si="191"/>
        <v/>
      </c>
      <c r="RC17" s="36" t="str">
        <f t="shared" si="192"/>
        <v/>
      </c>
      <c r="RD17" s="36" t="str">
        <f t="shared" si="193"/>
        <v/>
      </c>
      <c r="RE17" s="36" t="str">
        <f t="shared" si="194"/>
        <v/>
      </c>
      <c r="RF17" s="36" t="str">
        <f t="shared" si="195"/>
        <v/>
      </c>
      <c r="RG17" s="36" t="str">
        <f t="shared" si="196"/>
        <v/>
      </c>
      <c r="RH17" s="16"/>
      <c r="RI17" s="16"/>
      <c r="RJ17" s="16"/>
      <c r="RK17" s="16"/>
      <c r="RL17" s="16"/>
      <c r="RM17" s="16"/>
      <c r="RN17" s="16"/>
      <c r="RO17" s="16"/>
      <c r="RP17" s="16"/>
      <c r="RQ17" s="16"/>
      <c r="RR17" s="16"/>
      <c r="RS17" s="16"/>
      <c r="RT17" s="16"/>
      <c r="RU17" s="16"/>
      <c r="RV17" s="16"/>
      <c r="RW17" s="16"/>
      <c r="RX17" s="16"/>
      <c r="RY17" s="16"/>
      <c r="RZ17" s="16"/>
      <c r="SA17" s="16"/>
      <c r="SB17" s="11" t="str">
        <f t="shared" si="197"/>
        <v/>
      </c>
      <c r="SC17" s="11" t="str">
        <f t="shared" si="198"/>
        <v/>
      </c>
      <c r="SD17" s="11" t="str">
        <f t="shared" si="199"/>
        <v/>
      </c>
      <c r="SE17" s="11" t="str">
        <f t="shared" si="200"/>
        <v/>
      </c>
      <c r="SF17" s="11" t="str">
        <f t="shared" si="201"/>
        <v/>
      </c>
      <c r="SG17" s="11" t="str">
        <f t="shared" si="202"/>
        <v/>
      </c>
      <c r="SH17" s="11" t="str">
        <f t="shared" si="203"/>
        <v/>
      </c>
      <c r="SI17" s="11" t="str">
        <f t="shared" si="204"/>
        <v/>
      </c>
      <c r="SJ17" s="11" t="str">
        <f t="shared" si="205"/>
        <v/>
      </c>
      <c r="SK17" s="11" t="str">
        <f t="shared" si="206"/>
        <v/>
      </c>
      <c r="SL17" s="11" t="str">
        <f t="shared" si="207"/>
        <v/>
      </c>
      <c r="SM17" s="11" t="str">
        <f t="shared" si="208"/>
        <v/>
      </c>
      <c r="SN17" s="11" t="str">
        <f t="shared" si="209"/>
        <v/>
      </c>
      <c r="SO17" s="11" t="str">
        <f t="shared" si="210"/>
        <v/>
      </c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36" t="str">
        <f t="shared" si="211"/>
        <v/>
      </c>
      <c r="TK17" s="36" t="str">
        <f t="shared" si="212"/>
        <v/>
      </c>
      <c r="TL17" s="36" t="str">
        <f t="shared" si="213"/>
        <v/>
      </c>
      <c r="TM17" s="36" t="str">
        <f t="shared" si="214"/>
        <v/>
      </c>
      <c r="TN17" s="36" t="str">
        <f t="shared" si="215"/>
        <v/>
      </c>
      <c r="TO17" s="36" t="str">
        <f t="shared" si="216"/>
        <v/>
      </c>
      <c r="TP17" s="36" t="str">
        <f t="shared" si="217"/>
        <v/>
      </c>
      <c r="TQ17" s="36" t="str">
        <f t="shared" si="218"/>
        <v/>
      </c>
      <c r="TR17" s="36" t="str">
        <f t="shared" si="219"/>
        <v/>
      </c>
      <c r="TS17" s="36" t="str">
        <f t="shared" si="220"/>
        <v/>
      </c>
      <c r="TT17" s="36" t="str">
        <f t="shared" si="221"/>
        <v/>
      </c>
      <c r="TU17" s="36" t="str">
        <f t="shared" si="222"/>
        <v/>
      </c>
      <c r="TV17" s="36" t="str">
        <f t="shared" si="223"/>
        <v/>
      </c>
      <c r="TW17" s="36" t="str">
        <f t="shared" si="224"/>
        <v/>
      </c>
      <c r="TX17" s="16"/>
      <c r="TY17" s="16"/>
      <c r="TZ17" s="16"/>
      <c r="UA17" s="16"/>
      <c r="UB17" s="16"/>
      <c r="UC17" s="16"/>
      <c r="UD17" s="16"/>
      <c r="UE17" s="16"/>
      <c r="UF17" s="16"/>
      <c r="UG17" s="16"/>
      <c r="UH17" s="16"/>
      <c r="UI17" s="16"/>
      <c r="UJ17" s="16"/>
      <c r="UK17" s="16"/>
      <c r="UL17" s="16"/>
      <c r="UM17" s="16"/>
      <c r="UN17" s="16"/>
      <c r="UO17" s="16"/>
      <c r="UP17" s="16"/>
      <c r="UQ17" s="16"/>
      <c r="UR17" s="11" t="str">
        <f t="shared" si="225"/>
        <v/>
      </c>
      <c r="US17" s="11" t="str">
        <f t="shared" si="226"/>
        <v/>
      </c>
      <c r="UT17" s="11" t="str">
        <f t="shared" si="227"/>
        <v/>
      </c>
      <c r="UU17" s="11" t="str">
        <f t="shared" si="228"/>
        <v/>
      </c>
      <c r="UV17" s="11" t="str">
        <f t="shared" si="229"/>
        <v/>
      </c>
      <c r="UW17" s="11" t="str">
        <f t="shared" si="230"/>
        <v/>
      </c>
      <c r="UX17" s="11" t="str">
        <f t="shared" si="231"/>
        <v/>
      </c>
      <c r="UY17" s="11" t="str">
        <f t="shared" si="232"/>
        <v/>
      </c>
      <c r="UZ17" s="11" t="str">
        <f t="shared" si="233"/>
        <v/>
      </c>
      <c r="VA17" s="11" t="str">
        <f t="shared" si="234"/>
        <v/>
      </c>
      <c r="VB17" s="11" t="str">
        <f t="shared" si="235"/>
        <v/>
      </c>
      <c r="VC17" s="11" t="str">
        <f t="shared" si="236"/>
        <v/>
      </c>
      <c r="VD17" s="11" t="str">
        <f t="shared" si="237"/>
        <v/>
      </c>
      <c r="VE17" s="11" t="str">
        <f t="shared" si="238"/>
        <v/>
      </c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36" t="str">
        <f t="shared" si="239"/>
        <v/>
      </c>
      <c r="WA17" s="36" t="str">
        <f t="shared" si="240"/>
        <v/>
      </c>
      <c r="WB17" s="36" t="str">
        <f t="shared" si="241"/>
        <v/>
      </c>
      <c r="WC17" s="36" t="str">
        <f t="shared" si="242"/>
        <v/>
      </c>
      <c r="WD17" s="36" t="str">
        <f t="shared" si="243"/>
        <v/>
      </c>
      <c r="WE17" s="36" t="str">
        <f t="shared" si="244"/>
        <v/>
      </c>
      <c r="WF17" s="36" t="str">
        <f t="shared" si="245"/>
        <v/>
      </c>
      <c r="WG17" s="36" t="str">
        <f t="shared" si="246"/>
        <v/>
      </c>
      <c r="WH17" s="36" t="str">
        <f t="shared" si="247"/>
        <v/>
      </c>
      <c r="WI17" s="36" t="str">
        <f t="shared" si="248"/>
        <v/>
      </c>
      <c r="WJ17" s="36" t="str">
        <f t="shared" si="249"/>
        <v/>
      </c>
      <c r="WK17" s="36" t="str">
        <f t="shared" si="250"/>
        <v/>
      </c>
      <c r="WL17" s="36" t="str">
        <f t="shared" si="251"/>
        <v/>
      </c>
      <c r="WM17" s="36" t="str">
        <f t="shared" si="252"/>
        <v/>
      </c>
    </row>
    <row r="18" spans="1:611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115</v>
      </c>
      <c r="C18" s="4" t="s">
        <v>3</v>
      </c>
      <c r="D18" s="4">
        <v>2007</v>
      </c>
      <c r="E18" s="9">
        <f t="shared" si="0"/>
        <v>116.84001168400526</v>
      </c>
      <c r="F18" s="3" t="str">
        <f>IF(OR(AND(AI18&gt;=AS$27,AI18&lt;&gt;"",AK18&gt;=AS$31,AK18&lt;&gt;"",AH18=""),AND(AL18&gt;=AS$27,AL18&lt;&gt;"",AN18&gt;=AS$31,AN18&lt;&gt;"",AH18=""),AND(AP18&gt;=AS$27,AP18&lt;&gt;"",AR18&gt;=AS$31,AR18&lt;&gt;"",AH18=""),AND(BJ18&gt;=BT$27,BJ18&lt;&gt;"",BL18&gt;=BT$31,BL18&lt;&gt;"",BI18=""),AND(BM18&gt;=BT$27,BM18&lt;&gt;"",BO18&gt;=BT$31,BO18&lt;&gt;"",BI18=""),AND(BQ18&gt;=BT$27,BQ18&lt;&gt;"",BS18&gt;=BT$31,BS18&lt;&gt;"",BI18=""),AND(CK18&gt;=CU$27,CK18&lt;&gt;"",CM18&gt;=CU$31,CM18&lt;&gt;"",CJ18=""),AND(CN18&gt;=CU$27,CN18&lt;&gt;"",CP18&gt;=CU$31,CP18&lt;&gt;"",CJ18=""),AND(CR18&gt;=CU$27,CR18&lt;&gt;"",CT18&gt;=CU$31,CT18&lt;&gt;"",CJ18=""),AND(DR18&gt;=EE$27,DR18&lt;&gt;"",DT18&gt;=EE$31,DT18&lt;&gt;""),AND(DU18&gt;=EE$27,DU18&lt;&gt;"",DW18&gt;=EE$31,DW18&lt;&gt;""),AND(DY18&gt;=EE$27,DY18&lt;&gt;"",EA18&gt;=EE$31,EA18&lt;&gt;""),AND(EB18&gt;=EE$27,EB18&lt;&gt;"",ED18&gt;=EE$31,ED18&lt;&gt;""),AND(EZ18&gt;=FM$27,EZ18&lt;&gt;"",FB18&gt;=FM$31,FB18&lt;&gt;""),AND(FC18&gt;=FM$27,FC18&lt;&gt;"",FE18&gt;=FM$31,FE18&lt;&gt;""),AND(FG18&gt;=FM$27,FG18&lt;&gt;"",FI18&gt;=FM$31,FI18&lt;&gt;""),AND(FJ18&gt;=FM$27,FJ18&lt;&gt;"",FL18&gt;=FM$31,FL18&lt;&gt;""),AND(GH18&gt;=GU$27,GH18&lt;&gt;"",GJ18&gt;=GU$31,GJ18&lt;&gt;""),AND(GK18&gt;=GU$27,GK18&lt;&gt;"",GM18&gt;=GU$31,GM18&lt;&gt;""),AND(GO18&gt;=GU$27,GO18&lt;&gt;"",GQ18&gt;=GU$31,GQ18&lt;&gt;""),AND(GR18&gt;=GU$27,GR18&lt;&gt;"",GT18&gt;=GU$31,GT18&lt;&gt;""),AND(HP18&gt;=IC$27,HP18&lt;&gt;"",HR18&gt;=IC$31,HR18&lt;&gt;""),AND(HS18&gt;=IC$27,HS18&lt;&gt;"",HU18&gt;=IC$31,HU18&lt;&gt;""),AND(HW18&gt;=IC$27,HW18&lt;&gt;"",HY18&gt;=IC$31,HY18&lt;&gt;""),AND(HZ18&gt;=IC$27,HZ18&lt;&gt;"",IB18&gt;=IC$31,IB18&lt;&gt;""),AND(IX18&gt;=JK$27,IX18&lt;&gt;"",IZ18&gt;=JK$31,IZ18&lt;&gt;""),AND(JA18&gt;=JK$27,JA18&lt;&gt;"",JC18&gt;=JK$31,JC18&lt;&gt;""),AND(JE18&gt;=JK$27,JE18&lt;&gt;"",JG18&gt;=JK$31,JG18&lt;&gt;""),AND(JH18&gt;=JK$27,JH18&lt;&gt;"",JJ18&gt;=JK$31,JJ18&lt;&gt;""),AND(KF18&gt;=KS$27,KF18&lt;&gt;"",KH18&gt;=KS$31,KH18&lt;&gt;""),AND(KI18&gt;=KS$27,KI18&lt;&gt;"",KK18&gt;=KS$31,KK18&lt;&gt;""),AND(KM18&gt;=KS$27,KM18&lt;&gt;"",KO18&gt;=KS$31,KO18&lt;&gt;""),AND(KP18&gt;=KS$27,KP18&lt;&gt;"",KR18&gt;=KS$31,KR18&lt;&gt;""),AND(LN18&gt;=MA$27,LN18&lt;&gt;"",LP18&gt;=MA$31,LP18&lt;&gt;""),AND(LQ18&gt;=MA$27,LQ18&lt;&gt;"",LS18&gt;=MA$31,LS18&lt;&gt;""),AND(LU18&gt;=MA$27,LU18&lt;&gt;"",LW18&gt;=MA$31,LW18&lt;&gt;""),AND(LX18&gt;=MA$27,LX18&lt;&gt;"",LZ18&gt;=MA$31,LZ18&lt;&gt;""),AND(MV18&gt;=NI$27,MV18&lt;&gt;"",MX18&gt;=NI$31,MX18&lt;&gt;""),AND(MY18&gt;=NI$27,MY18&lt;&gt;"",NA18&gt;=NI$31,NA18&lt;&gt;""),AND(NC18&gt;=NI$27,NC18&lt;&gt;"",NE18&gt;=NI$31,NE18&lt;&gt;""),AND(NF18&gt;=NI$27,NF18&lt;&gt;"",NH18&gt;=NI$31,NH18&lt;&gt;""),AND(OD18&gt;=OQ$27,OD18&lt;&gt;"",OF18&gt;=OQ$31,OF18&lt;&gt;""),AND(OG18&gt;=OQ$27,OG18&lt;&gt;"",OI18&gt;=OQ$31,OI18&lt;&gt;""),AND(OK18&gt;=OQ$27,OK18&lt;&gt;"",OM18&gt;=OQ$31,OM18&lt;&gt;""),AND(ON18&gt;=OQ$27,ON18&lt;&gt;"",OP18&gt;=OQ$31,OP18&lt;&gt;""),AND(PL18&gt;=PY$27,PL18&lt;&gt;"",PN18&gt;=PY$31,PN18&lt;&gt;""),AND(PO18&gt;=PY$27,PO18&lt;&gt;"",PQ18&gt;=PY$31,PQ18&lt;&gt;""),AND(PS18&gt;=PY$27,PS18&lt;&gt;"",PU18&gt;=PY$31,PU18&lt;&gt;""),AND(PV18&gt;=PY$27,PV18&lt;&gt;"",PX18&gt;=PY$31,PX18&lt;&gt;""),AND(QT18&gt;=RG$27,QT18&lt;&gt;"",QV18&gt;=RG$31,QV18&lt;&gt;""),AND(QW18&gt;=RG$27,QW18&lt;&gt;"",QY18&gt;=RG$31,QY18&lt;&gt;""),AND(RA18&gt;=RG$27,RA18&lt;&gt;"",RC18&gt;=RG$31,RC18&lt;&gt;""),AND(RD18&gt;=RG$27,RD18&lt;&gt;"",RF18&gt;=RG$31,RF18&lt;&gt;""),AND(SB18&gt;=SO$27,SB18&lt;&gt;"",SD18&gt;=SO$31,SD18&lt;&gt;""),AND(SE18&gt;=SO$27,SE18&lt;&gt;"",SG18&gt;=SO$31,SG18&lt;&gt;""),AND(SI18&gt;=SO$27,SI18&lt;&gt;"",SK18&gt;=SO$31,SK18&lt;&gt;""),AND(SL18&gt;=SO$27,SL18&lt;&gt;"",SN18&gt;=SO$31,SN18&lt;&gt;""),AND(TJ18&gt;=TW$27,TJ18&lt;&gt;"",TL18&gt;=TW$31,TL18&lt;&gt;""),AND(TM18&gt;=TW$27,TM18&lt;&gt;"",TO18&gt;=TW$31,TO18&lt;&gt;""),AND(TQ18&gt;=TW$27,TQ18&lt;&gt;"",TS18&gt;=TW$31,TXQ18&lt;&gt;""),AND(TT18&gt;=TW$27,TT18&lt;&gt;"",TV18&gt;=TW$31,TV18&lt;&gt;""),AND(UR18&gt;=VE$27,UR18&lt;&gt;"",UT18&gt;=VE$31,UT18&lt;&gt;""),AND(UU18&gt;=VE$27,UU18&lt;&gt;"",UW18&gt;=VE$31,UW18&lt;&gt;""),AND(UY18&gt;=VE$27,UY18&lt;&gt;"",VA18&gt;=VE$31,VA18&lt;&gt;""),AND(VB18&gt;=VE$27,VB18&lt;&gt;"",VD18&gt;=VE$31,VD18&lt;&gt;""),AND(VZ18&gt;=WM$27,VZ18&lt;&gt;"",WB18&gt;=WM$31,WB18&lt;&gt;""),AND(WC18&gt;=WM$27,WC18&lt;&gt;"",WE18&gt;=WM$31,WE18&lt;&gt;""),AND(WG18&gt;=WM$27,WG18&lt;&gt;"",WI18&gt;=WM$31,WI18&lt;&gt;""),AND(WJ18&gt;=WM$27,WJ18&lt;&gt;"",WL18&gt;=WM$31,WL18&lt;&gt;"")),"P","")</f>
        <v/>
      </c>
      <c r="G18" s="3" t="str">
        <f>IF(OR(AND(AK18&gt;=AS$31,AK18&lt;&gt;"",AH18=""),AND(AN18&gt;=AS$31,AN18&lt;&gt;"",AH18=""),AND(AR18&gt;=AS$31,AR18&lt;&gt;"",AH18=""),AND(BL18&gt;=BT$31,BL18&lt;&gt;"",BI18=""),AND(BO18&gt;=BT$31,BO18&lt;&gt;"",BI18=""),AND(BS18&gt;=BT$31,BS18&lt;&gt;"",BI18=""),AND(CM18&gt;=CU$31,CM18&lt;&gt;"",CJ18=""),AND(CP18&gt;=CU$31,CP18&lt;&gt;"",CJ18=""),AND(CT18&gt;=CU$31,CT18&lt;&gt;"",CJ18=""),AND(DT18&gt;=EE$31,DT18&lt;&gt;""),AND(DW18&gt;=EE$31,DW18&lt;&gt;""),AND(EA18&gt;=EE$31,EA18&lt;&gt;""),AND(ED18&gt;=EE$31,ED18&lt;&gt;""),AND(FB18&gt;=FM$31,FB18&lt;&gt;""),AND(FE18&gt;=FM$31,FE18&lt;&gt;""),AND(FI18&gt;=FM$31,FI18&lt;&gt;""),AND(FL18&gt;=FM$31,FL18&lt;&gt;""),AND(GJ18&gt;=GU$31,GJ18&lt;&gt;""),AND(GM18&gt;=GU$31,GM18&lt;&gt;""),AND(GQ18&gt;=GU$31,GQ18&lt;&gt;""),AND(GT18&gt;=GU$31,GT18&lt;&gt;""),AND(HR18&gt;=IC$31,HR18&lt;&gt;""),AND(HU18&gt;=IC$31,HU18&lt;&gt;""),AND(HY18&gt;=IC$31,HY18&lt;&gt;""),AND(IB18&gt;=IC$31,IB18&lt;&gt;""),AND(IZ18&gt;=JK$31,IZ18&lt;&gt;""),AND(JC18&gt;=JK$31,JC18&lt;&gt;""),AND(JG18&gt;=JK$31,JG18&lt;&gt;""),AND(JJ18&gt;=JK$31,JJ18&lt;&gt;""),AND(KH18&gt;=KS$31,KH18&lt;&gt;""),AND(KK18&gt;=KS$31,KK18&lt;&gt;""),AND(KO18&gt;=KS$31,KO18&lt;&gt;""),AND(KR18&gt;=KS$31,KR18&lt;&gt;""),AND(LP18&gt;=MA$31,LP18&lt;&gt;""),AND(LS18&gt;=MA$31,LS18&lt;&gt;""),AND(LW18&gt;=MA$31,LW18&lt;&gt;""),AND(LZ18&gt;=MA$31,LZ18&lt;&gt;""),AND(MX18&gt;=NI$31,MX18&lt;&gt;""),AND(NA18&gt;=NI$31,NA18&lt;&gt;""),AND(NE18&gt;=NI$31,NE18&lt;&gt;""),AND(NH18&gt;=NI$31,NH18&lt;&gt;""),AND(OF18&gt;=OQ$31,OF18&lt;&gt;""),AND(OI18&gt;=OQ$31,OI18&lt;&gt;""),AND(OM18&gt;=OQ$31,OM18&lt;&gt;""),AND(OP18&gt;=OQ$31,OP18&lt;&gt;""),AND(PN18&gt;=PY$31,PN18&lt;&gt;""),AND(PQ18&gt;=PY$31,PQ18&lt;&gt;""),AND(PU18&gt;=PY$31,PU18&lt;&gt;""),AND(PX18&gt;=PY$31,PX18&lt;&gt;""),AND(QV18&gt;=RG$31,QV18&lt;&gt;""),AND(QY18&gt;=RG$31,QY18&lt;&gt;""),AND(RC18&gt;=RG$31,RC18&lt;&gt;""),AND(RF18&gt;=RG$31,RF18&lt;&gt;""),AND(SD18&gt;=SO$31,SD18&lt;&gt;""),AND(SG18&gt;=SO$31,SG18&lt;&gt;""),AND(SK18&gt;=SO$31,SK18&lt;&gt;""),AND(SN18&gt;=SO$31,SN18&lt;&gt;""),AND(TL18&gt;=TW$31,TL18&lt;&gt;""),AND(TO18&gt;=TW$31,TO18&lt;&gt;""),AND(TS18&gt;=TW$31,TXQ18&lt;&gt;""),AND(TV18&gt;=TW$31,TV18&lt;&gt;""),AND(UT18&gt;=VE$31,UT18&lt;&gt;""),AND(UW18&gt;=VE$31,UW18&lt;&gt;""),AND(VA18&gt;=VE$31,VA18&lt;&gt;""),AND(VD18&gt;=VE$31,VD18&lt;&gt;""),AND(WB18&gt;=WM$31,WB18&lt;&gt;""),AND(WE18&gt;=WM$31,WE18&lt;&gt;""),AND(WI18&gt;=WM$31,WI18&lt;&gt;""),AND(WL18&gt;=WM$31,WL18&lt;&gt;"")),"P","")</f>
        <v/>
      </c>
      <c r="H18" s="32" t="str">
        <f>IF(AND(G18="P",F18=""),"No DD",IF(OR(AND(AI18&gt;=AS$30,AI18&lt;&gt;"",AK18&gt;=AS$34,AK18&lt;&gt;"",AH18=""),AND(AL18&gt;=AS$30,AL18&lt;&gt;"",AN18&gt;=AS$34,AN18&lt;&gt;"",AH18=""),AND(AP18&gt;=AS$30,AP18&lt;&gt;"",AR18&gt;=AS$34,AR18&lt;&gt;"",AH18=""),AND(BJ18&gt;=BT$30,BJ18&lt;&gt;"",BL18&gt;=BT$34,BL18&lt;&gt;"",BI18=""),AND(BM18&gt;=BT$30,BM18&lt;&gt;"",BO18&gt;=BT$34,BO18&lt;&gt;"",BI18=""),AND(BQ18&gt;=BT$30,BQ18&lt;&gt;"",BS18&gt;=BT$34,BS18&lt;&gt;"",BI18=""),AND(CK18&gt;=CU$30,CK18&lt;&gt;"",CM18&gt;=CU$34,CM18&lt;&gt;"",CJ18=""),AND(CN18&gt;=CU$30,CN18&lt;&gt;"",CP18&gt;=CU$34,CP18&lt;&gt;"",CJ18=""),AND(CR18&gt;=CU$30,CR18&lt;&gt;"",CT18&gt;=CU$34,CT18&lt;&gt;"",CJ18=""),AND(DR18&gt;=EE$30,DR18&lt;&gt;"",DT18&gt;=EE$34,DT18&lt;&gt;""),AND(DU18&gt;=EE$30,DU18&lt;&gt;"",DW18&gt;=EE$34,DW18&lt;&gt;""),AND(DY18&gt;=EE$30,DY18&lt;&gt;"",EA18&gt;=EE$34,EA18&lt;&gt;""),AND(EB18&gt;=EE$30,EB18&lt;&gt;"",ED18&gt;=EE$34,ED18&lt;&gt;""),AND(EZ18&gt;=FM$30,EZ18&lt;&gt;"",FB18&gt;=FM$34,FB18&lt;&gt;""),AND(FC18&gt;=FM$30,FC18&lt;&gt;"",FE18&gt;=FM$34,FE18&lt;&gt;""),AND(FG18&gt;=FM$30,FG18&lt;&gt;"",FI18&gt;=FM$34,FI18&lt;&gt;""),AND(FJ18&gt;=FM$30,FJ18&lt;&gt;"",FL18&gt;=FM$34,FL18&lt;&gt;""),AND(GH18&gt;=GU$30,GH18&lt;&gt;"",GJ18&gt;=GU$34,GJ18&lt;&gt;""),AND(GK18&gt;=GU$30,GK18&lt;&gt;"",GM18&gt;=GU$34,GM18&lt;&gt;""),AND(GO18&gt;=GU$30,GO18&lt;&gt;"",GQ18&gt;=GU$34,GQ18&lt;&gt;""),AND(GR18&gt;=GU$30,GR18&lt;&gt;"",GT18&gt;=GU$34,GT18&lt;&gt;""),AND(HP18&gt;=IC$30,HP18&lt;&gt;"",HR18&gt;=IC$34,HR18&lt;&gt;""),AND(HS18&gt;=IC$30,HS18&lt;&gt;"",HU18&gt;=IC$34,HU18&lt;&gt;""),AND(HW18&gt;=IC$30,HW18&lt;&gt;"",HY18&gt;=IC$34,HY18&lt;&gt;""),AND(HZ18&gt;=IC$30,HZ18&lt;&gt;"",IB18&gt;=IC$34,IB18&lt;&gt;""),AND(IX18&gt;=JK$30,IX18&lt;&gt;"",IZ18&gt;=JK$34,IZ18&lt;&gt;""),AND(JA18&gt;=JK$30,JA18&lt;&gt;"",JC18&gt;=JK$34,JC18&lt;&gt;""),AND(JE18&gt;=JK$30,JE18&lt;&gt;"",JG18&gt;=JK$34,JG18&lt;&gt;""),AND(JH18&gt;=JK$30,JH18&lt;&gt;"",JJ18&gt;=JK$34,JJ18&lt;&gt;""),AND(KF18&gt;=KS$30,KF18&lt;&gt;"",KH18&gt;=KS$34,KH18&lt;&gt;""),AND(KI18&gt;=KS$30,KI18&lt;&gt;"",KK18&gt;=KS$34,KK18&lt;&gt;""),AND(KM18&gt;=KS$30,KM18&lt;&gt;"",KO18&gt;=KS$34,KO18&lt;&gt;""),AND(KP18&gt;=KS$30,KP18&lt;&gt;"",KR18&gt;=KS$34,KR18&lt;&gt;""),AND(LN18&gt;=MA$30,LN18&lt;&gt;"",LP18&gt;=MA$34,LP18&lt;&gt;""),AND(LQ18&gt;=MA$30,LQ18&lt;&gt;"",LS18&gt;=MA$34,LS18&lt;&gt;""),AND(LU18&gt;=MA$30,LU18&lt;&gt;"",LW18&gt;=MA$34,LW18&lt;&gt;""),AND(LX18&gt;=MA$30,LX18&lt;&gt;"",LZ18&gt;=MA$34,LZ18&lt;&gt;""),AND(MV18&gt;=NI$30,MV18&lt;&gt;"",MX18&gt;=NI$34,MX18&lt;&gt;""),AND(MY18&gt;=NI$30,MY18&lt;&gt;"",NA18&gt;=NI$34,NA18&lt;&gt;""),AND(NC18&gt;=NI$30,NC18&lt;&gt;"",NE18&gt;=NI$34,NE18&lt;&gt;""),AND(NF18&gt;=NI$30,NF18&lt;&gt;"",NH18&gt;=NI$34,NH18&lt;&gt;""),AND(OD18&gt;=OQ$30,OD18&lt;&gt;"",OF18&gt;=OQ$34,OF18&lt;&gt;""),AND(OG18&gt;=OQ$30,OG18&lt;&gt;"",OI18&gt;=OQ$34,OI18&lt;&gt;""),AND(OK18&gt;=OQ$30,OK18&lt;&gt;"",OM18&gt;=OQ$34,OM18&lt;&gt;""),AND(ON18&gt;=OQ$30,ON18&lt;&gt;"",OP18&gt;=OQ$34,OP18&lt;&gt;""),AND(PL18&gt;=PY$30,PL18&lt;&gt;"",PN18&gt;=PY$34,PN18&lt;&gt;""),AND(PO18&gt;=PY$30,PO18&lt;&gt;"",PQ18&gt;=PY$34,PQ18&lt;&gt;""),AND(PS18&gt;=PY$30,PS18&lt;&gt;"",PU18&gt;=PY$34,PU18&lt;&gt;""),AND(PV18&gt;=PY$30,PV18&lt;&gt;"",PX18&gt;=PY$34,PX18&lt;&gt;""),AND(QT18&gt;=RG$30,QT18&lt;&gt;"",QV18&gt;=RG$34,QV18&lt;&gt;""),AND(QW18&gt;=RG$30,QW18&lt;&gt;"",QY18&gt;=RG$34,QY18&lt;&gt;""),AND(RA18&gt;=RG$30,RA18&lt;&gt;"",RC18&gt;=RG$34,RC18&lt;&gt;""),AND(RD18&gt;=RG$30,RD18&lt;&gt;"",RF18&gt;=RG$34,RF18&lt;&gt;""),AND(SB18&gt;=SO$30,SB18&lt;&gt;"",SD18&gt;=SO$34,SD18&lt;&gt;""),AND(SE18&gt;=SO$30,SE18&lt;&gt;"",SG18&gt;=SO$34,SG18&lt;&gt;""),AND(SI18&gt;=SO$30,SI18&lt;&gt;"",SK18&gt;=SO$34,SK18&lt;&gt;""),AND(SL18&gt;=SO$30,SL18&lt;&gt;"",SN18&gt;=SO$34,SN18&lt;&gt;""),AND(TJ18&gt;=TW$30,TJ18&lt;&gt;"",TL18&gt;=TW$34,TL18&lt;&gt;""),AND(TM18&gt;=TW$30,TM18&lt;&gt;"",TO18&gt;=TW$34,TO18&lt;&gt;""),AND(TQ18&gt;=TW$30,TQ18&lt;&gt;"",TS18&gt;=TW$354,TXQ18&lt;&gt;""),AND(TT18&gt;=TW$30,TT18&lt;&gt;"",TV18&gt;=TW$34,TV18&lt;&gt;""),AND(UR18&gt;=VE$30,UR18&lt;&gt;"",UT18&gt;=VE$34,UT18&lt;&gt;""),AND(UU18&gt;=VE$30,UU18&lt;&gt;"",UW18&gt;=VE$34,UW18&lt;&gt;""),AND(UY18&gt;=VE$30,UY18&lt;&gt;"",VA18&gt;=VE$34,VA18&lt;&gt;""),AND(VB18&gt;=VE$30,VB18&lt;&gt;"",VD18&gt;=VE$34,VD18&lt;&gt;""),AND(VZ18&gt;=WM$30,VZ18&lt;&gt;"",WB18&gt;=WM$34,WB18&lt;&gt;""),AND(WC18&gt;=WM$30,WC18&lt;&gt;"",WE18&gt;=WM$34,WE18&lt;&gt;""),AND(WG18&gt;=WM$30,WG18&lt;&gt;"",WI18&gt;=WM$34,WI18&lt;&gt;""),AND(WJ18&gt;=WM$30,WJ18&lt;&gt;"",WL18&gt;=WM$34,WL18&lt;&gt;"")),"Merit",IF(OR(AND(AI18&gt;=AS$29,AI18&lt;&gt;"",AK18&gt;=AS$33,AK18&lt;&gt;"",AH18=""),AND(AL18&gt;=AS$29,AL18&lt;&gt;"",AN18&gt;=AS$33,AN18&lt;&gt;"",AH18=""),AND(AP18&gt;=AS$29,AP18&lt;&gt;"",AR18&gt;=AS$33,AR18&lt;&gt;"",AH18=""),AND(BJ18&gt;=BT$29,BJ18&lt;&gt;"",BL18&gt;=BT$33,BL18&lt;&gt;"",BI18=""),AND(BM18&gt;=BT$29,BM18&lt;&gt;"",BO18&gt;=BT$33,BO18&lt;&gt;"",BI18=""),AND(BQ18&gt;=BT$29,BQ18&lt;&gt;"",BS18&gt;=BT$33,BS18&lt;&gt;"",BI18=""),AND(CK18&gt;=CU$29,CK18&lt;&gt;"",CM18&gt;=CU$33,CM18&lt;&gt;"",CJ18=""),AND(CN18&gt;=CU$29,CN18&lt;&gt;"",CP18&gt;=CU$33,CP18&lt;&gt;"",CJ18=""),AND(CR18&gt;=CU$29,CR18&lt;&gt;"",CT18&gt;=CU$33,CT18&lt;&gt;"",CJ18=""),AND(DR18&gt;=EE$29,DR18&lt;&gt;"",DT18&gt;=EE$33,DT18&lt;&gt;""),AND(DU18&gt;=EE$29,DU18&lt;&gt;"",DW18&gt;=EE$33,DW18&lt;&gt;""),AND(DY18&gt;=EE$29,DY18&lt;&gt;"",EA18&gt;=EE$33,EA18&lt;&gt;""),AND(EB18&gt;=EE$29,EB18&lt;&gt;"",ED18&gt;=EE$33,ED18&lt;&gt;""),AND(EZ18&gt;=FM$29,EZ18&lt;&gt;"",FB18&gt;=FM$33,FB18&lt;&gt;""),AND(FC18&gt;=FM$29,FC18&lt;&gt;"",FE18&gt;=FM$33,FE18&lt;&gt;""),AND(FG18&gt;=FM$29,FG18&lt;&gt;"",FI18&gt;=FM$33,FI18&lt;&gt;""),AND(FJ18&gt;=FM$29,FJ18&lt;&gt;"",FL18&gt;=FM$33,FL18&lt;&gt;""),AND(GH18&gt;=GU$29,GH18&lt;&gt;"",GJ18&gt;=GU$33,GJ18&lt;&gt;""),AND(GK18&gt;=GU$29,GK18&lt;&gt;"",GM18&gt;=GU$33,GM18&lt;&gt;""),AND(GO18&gt;=GU$29,GO18&lt;&gt;"",GQ18&gt;=GU$33,GQ18&lt;&gt;""),AND(GR18&gt;=GU$29,GR18&lt;&gt;"",GT18&gt;=GU$33,GT18&lt;&gt;""),AND(HP18&gt;=IC$29,HP18&lt;&gt;"",HR18&gt;=IC$33,HR18&lt;&gt;""),AND(HS18&gt;=IC$29,HS18&lt;&gt;"",HU18&gt;=IC$33,HU18&lt;&gt;""),AND(HW18&gt;=IC$29,HW18&lt;&gt;"",HY18&gt;=IC$33,HY18&lt;&gt;""),AND(HZ18&gt;=IC$29,HZ18&lt;&gt;"",IB18&gt;=IC$33,IB18&lt;&gt;""),AND(IX18&gt;=JK$29,IX18&lt;&gt;"",IZ18&gt;=JK$33,IZ18&lt;&gt;""),AND(JA18&gt;=JK$29,JA18&lt;&gt;"",JC18&gt;=JK$33,JC18&lt;&gt;""),AND(JE18&gt;=JK$29,JE18&lt;&gt;"",JG18&gt;=JK$33,JG18&lt;&gt;""),AND(JH18&gt;=JK$29,JH18&lt;&gt;"",JJ18&gt;=JK$33,JJ18&lt;&gt;""),AND(KF18&gt;=KS$29,KF18&lt;&gt;"",KH18&gt;=KS$33,KH18&lt;&gt;""),AND(KI18&gt;=KS$29,KI18&lt;&gt;"",KK18&gt;=KS$33,KK18&lt;&gt;""),AND(KM18&gt;=KS$29,KM18&lt;&gt;"",KO18&gt;=KS$33,KO18&lt;&gt;""),AND(KP18&gt;=KS$29,KP18&lt;&gt;"",KR18&gt;=KS$33,KR18&lt;&gt;""),AND(LN18&gt;=MA$29,LN18&lt;&gt;"",LP18&gt;=MA$33,LP18&lt;&gt;""),AND(LQ18&gt;=MA$29,LQ18&lt;&gt;"",LS18&gt;=MA$33,LS18&lt;&gt;""),AND(LU18&gt;=MA$29,LU18&lt;&gt;"",LW18&gt;=MA$33,LW18&lt;&gt;""),AND(LX18&gt;=MA$29,LX18&lt;&gt;"",LZ18&gt;=MA$33,LZ18&lt;&gt;""),AND(MV18&gt;=NI$29,MV18&lt;&gt;"",MX18&gt;=NI$33,MX18&lt;&gt;""),AND(MY18&gt;=NI$29,MY18&lt;&gt;"",NA18&gt;=NI$33,NA18&lt;&gt;""),AND(NC18&gt;=NI$29,NC18&lt;&gt;"",NE18&gt;=NI$33,NE18&lt;&gt;""),AND(NF18&gt;=NI$29,NF18&lt;&gt;"",NH18&gt;=NI$33,NH18&lt;&gt;""),AND(OD18&gt;=OQ$29,OD18&lt;&gt;"",OF18&gt;=OQ$33,OF18&lt;&gt;""),AND(OG18&gt;=OQ$29,OG18&lt;&gt;"",OI18&gt;=OQ$33,OI18&lt;&gt;""),AND(OK18&gt;=OQ$29,OK18&lt;&gt;"",OM18&gt;=OQ$33,OM18&lt;&gt;""),AND(ON18&gt;=OQ$29,ON18&lt;&gt;"",OP18&gt;=OQ$33,OP18&lt;&gt;""),AND(PL18&gt;=PY$29,PL18&lt;&gt;"",PN18&gt;=PY$33,PN18&lt;&gt;""),AND(PO18&gt;=PY$29,PO18&lt;&gt;"",PQ18&gt;=PY$33,PQ18&lt;&gt;""),AND(PS18&gt;=PY$29,PS18&lt;&gt;"",PU18&gt;=PY$33,PU18&lt;&gt;""),AND(PV18&gt;=PY$29,PV18&lt;&gt;"",PX18&gt;=PY$33,PX18&lt;&gt;""),AND(QT18&gt;=RG$29,QT18&lt;&gt;"",QV18&gt;=RG$33,QV18&lt;&gt;""),AND(QW18&gt;=RG$29,QW18&lt;&gt;"",QY18&gt;=RG$33,QY18&lt;&gt;""),AND(RA18&gt;=RG$29,RA18&lt;&gt;"",RC18&gt;=RG$33,RC18&lt;&gt;""),AND(RD18&gt;=RG$29,RD18&lt;&gt;"",RF18&gt;=RG$33,RF18&lt;&gt;""),AND(SB18&gt;=SO$29,SB18&lt;&gt;"",SD18&gt;=SO$33,SD18&lt;&gt;""),AND(SE18&gt;=SO$29,SE18&lt;&gt;"",SG18&gt;=SO$33,SG18&lt;&gt;""),AND(SI18&gt;=SO$29,SI18&lt;&gt;"",SK18&gt;=SO$33,SK18&lt;&gt;""),AND(SL18&gt;=SO$29,SL18&lt;&gt;"",SN18&gt;=SO$33,SN18&lt;&gt;""),AND(TJ18&gt;=TW$29,TJ18&lt;&gt;"",TL18&gt;=TW$33,TL18&lt;&gt;""),AND(TM18&gt;=TW$29,TM18&lt;&gt;"",TO18&gt;=TW$33,TO18&lt;&gt;""),AND(TQ18&gt;=TW$29,TQ18&lt;&gt;"",TS18&gt;=TW$33,TXQ18&lt;&gt;""),AND(TT18&gt;=TW$29,TT18&lt;&gt;"",TV18&gt;=TW$33,TV18&lt;&gt;""),AND(UR18&gt;=VE$29,UR18&lt;&gt;"",UT18&gt;=VE$33,UT18&lt;&gt;""),AND(UU18&gt;=VE$29,UU18&lt;&gt;"",UW18&gt;=VE$33,UW18&lt;&gt;""),AND(UY18&gt;=VE$29,UY18&lt;&gt;"",VA18&gt;=VE$33,VA18&lt;&gt;""),AND(VB18&gt;=VE$29,VB18&lt;&gt;"",VD18&gt;=VE$33,VD18&lt;&gt;""),AND(VZ18&gt;=WM$29,VZ18&lt;&gt;"",WB18&gt;=WM$33,WB18&lt;&gt;""),AND(WC18&gt;=WM$29,WC18&lt;&gt;"",WE18&gt;=WM$33,WE18&lt;&gt;""),AND(WG18&gt;=WM$29,WG18&lt;&gt;"",WI18&gt;=WM$33,WI18&lt;&gt;""),AND(WJ18&gt;=WM$29,WJ18&lt;&gt;"",WL18&gt;=WM$33,WL18&lt;&gt;"")),"Excellence",IF(I18="P","Worlds Team",IF(F18="P","National Team","")))))</f>
        <v/>
      </c>
      <c r="I18" s="3" t="str">
        <f>IF(OR(AND(AI18&gt;=AS$28,AI18&lt;&gt;"",AK18&gt;=AS$32,AK18&lt;&gt;"",AH18=""),AND(AL18&gt;=AS$28,AL18&lt;&gt;"",AN18&gt;=AS$32,AN18&lt;&gt;"",AH18=""),AND(AP18&gt;=AS$28,AP18&lt;&gt;"",AR18&gt;=AS$32,AR18&lt;&gt;"",AH18=""),AND(BJ18&gt;=BT$28,BJ18&lt;&gt;"",BL18&gt;=BT$32,BL18&lt;&gt;"",BI18=""),AND(BM18&gt;=BT$28,BM18&lt;&gt;"",BO18&gt;=BT$32,BO18&lt;&gt;"",BI18=""),AND(BQ18&gt;=BT$28,BQ18&lt;&gt;"",BS18&gt;=BT$32,BS18&lt;&gt;"",BI18=""),AND(CK18&gt;=CU$28,CK18&lt;&gt;"",CM18&gt;=CU$32,CM18&lt;&gt;"",CJ18=""),AND(CN18&gt;=CU$28,CN18&lt;&gt;"",CP18&gt;=CU$32,CP18&lt;&gt;"",CJ18=""),AND(CR18&gt;=CU$28,CR18&lt;&gt;"",CT18&gt;=CU$32,CT18&lt;&gt;"",CJ18=""),AND(DR18&gt;=EE$28,DR18&lt;&gt;"",DT18&gt;=EE$32,DT18&lt;&gt;""),AND(DU18&gt;=EE$28,DU18&lt;&gt;"",DW18&gt;=EE$32,DW18&lt;&gt;""),AND(DY18&gt;=EE$28,DY18&lt;&gt;"",EA18&gt;=EE$32,EA18&lt;&gt;""),AND(EB18&gt;=EE$28,EB18&lt;&gt;"",ED18&gt;=EE$32,ED18&lt;&gt;""),AND(EZ18&gt;=FM$28,EZ18&lt;&gt;"",FB18&gt;=FM$32,FB18&lt;&gt;""),AND(FC18&gt;=FM$28,FC18&lt;&gt;"",FE18&gt;=FM$32,FE18&lt;&gt;""),AND(FG18&gt;=FM$28,FG18&lt;&gt;"",FI18&gt;=FM$32,FI18&lt;&gt;""),AND(FJ18&gt;=FM$28,FJ18&lt;&gt;"",FL18&gt;=FM$32,FL18&lt;&gt;""),AND(GH18&gt;=GU$28,GH18&lt;&gt;"",GJ18&gt;=GU$32,GJ18&lt;&gt;""),AND(GK18&gt;=GU$28,GK18&lt;&gt;"",GM18&gt;=GU$32,GM18&lt;&gt;""),AND(GO18&gt;=GU$28,GO18&lt;&gt;"",GQ18&gt;=GU$32,GQ18&lt;&gt;""),AND(GR18&gt;=GU$28,GR18&lt;&gt;"",GT18&gt;=GU$32,GT18&lt;&gt;""),AND(HP18&gt;=IC$28,HP18&lt;&gt;"",HR18&gt;=IC$32,HR18&lt;&gt;""),AND(HS18&gt;=IC$28,HS18&lt;&gt;"",HU18&gt;=IC$32,HU18&lt;&gt;""),AND(HW18&gt;=IC$28,HW18&lt;&gt;"",HY18&gt;=IC$32,HY18&lt;&gt;""),AND(HZ18&gt;=IC$28,HZ18&lt;&gt;"",IB18&gt;=IC$32,IB18&lt;&gt;""),AND(IX18&gt;=JK$28,IX18&lt;&gt;"",IZ18&gt;=JK$32,IZ18&lt;&gt;""),AND(JA18&gt;=JK$28,JA18&lt;&gt;"",JC18&gt;=JK$32,JC18&lt;&gt;""),AND(JE18&gt;=JK$28,JE18&lt;&gt;"",JG18&gt;=JK$32,JG18&lt;&gt;""),AND(JH18&gt;=JK$28,JH18&lt;&gt;"",JJ18&gt;=JK$32,JJ18&lt;&gt;""),AND(KF18&gt;=KS$28,KF18&lt;&gt;"",KH18&gt;=KS$32,KH18&lt;&gt;""),AND(KI18&gt;=KS$28,KI18&lt;&gt;"",KK18&gt;=KS$32,KK18&lt;&gt;""),AND(KM18&gt;=KS$28,KM18&lt;&gt;"",KO18&gt;=KS$32,KO18&lt;&gt;""),AND(KP18&gt;=KS$28,KP18&lt;&gt;"",KR18&gt;=KS$32,KR18&lt;&gt;""),AND(LN18&gt;=MA$28,LN18&lt;&gt;"",LP18&gt;=MA$32,LP18&lt;&gt;""),AND(LQ18&gt;=MA$28,LQ18&lt;&gt;"",LS18&gt;=MA$32,LS18&lt;&gt;""),AND(LU18&gt;=MA$28,LU18&lt;&gt;"",LW18&gt;=MA$32,LW18&lt;&gt;""),AND(LX18&gt;=MA$28,LX18&lt;&gt;"",LZ18&gt;=MA$32,LZ18&lt;&gt;""),AND(MV18&gt;=NI$28,MV18&lt;&gt;"",MX18&gt;=NI$32,MX18&lt;&gt;""),AND(MY18&gt;=NI$28,MY18&lt;&gt;"",NA18&gt;=NI$32,NA18&lt;&gt;""),AND(NC18&gt;=NI$28,NC18&lt;&gt;"",NE18&gt;=NI$32,NE18&lt;&gt;""),AND(NF18&gt;=NI$28,NF18&lt;&gt;"",NH18&gt;=NI$32,NH18&lt;&gt;""),AND(OD18&gt;=OQ$28,OD18&lt;&gt;"",OF18&gt;=OQ$32,OF18&lt;&gt;""),AND(OG18&gt;=OQ$28,OG18&lt;&gt;"",OI18&gt;=OQ$32,OI18&lt;&gt;""),AND(OK18&gt;=OQ$28,OK18&lt;&gt;"",OM18&gt;=OQ$32,OM18&lt;&gt;""),AND(ON18&gt;=OQ$28,ON18&lt;&gt;"",OP18&gt;=OQ$32,OP18&lt;&gt;""),AND(PL18&gt;=PY$28,PL18&lt;&gt;"",PN18&gt;=PY$32,PN18&lt;&gt;""),AND(PO18&gt;=PY$28,PO18&lt;&gt;"",PQ18&gt;=PY$32,PQ18&lt;&gt;""),AND(PS18&gt;=PY$28,PS18&lt;&gt;"",PU18&gt;=PY$32,PU18&lt;&gt;""),AND(PV18&gt;=PY$28,PV18&lt;&gt;"",PX18&gt;=PY$32,PX18&lt;&gt;""),AND(QT18&gt;=RG$28,QT18&lt;&gt;"",QV18&gt;=RG$32,QV18&lt;&gt;""),AND(QW18&gt;=RG$28,QW18&lt;&gt;"",QY18&gt;=RG$32,QY18&lt;&gt;""),AND(RA18&gt;=RG$28,RA18&lt;&gt;"",RC18&gt;=RG$32,RC18&lt;&gt;""),AND(RD18&gt;=RG$28,RD18&lt;&gt;"",RF18&gt;=RG$32,RF18&lt;&gt;""),AND(SB18&gt;=SO$28,SB18&lt;&gt;"",SD18&gt;=SO$32,SD18&lt;&gt;""),AND(SE18&gt;=SO$28,SE18&lt;&gt;"",SG18&gt;=SO$32,SG18&lt;&gt;""),AND(SI18&gt;=SO$28,SI18&lt;&gt;"",SK18&gt;=SO$32,SK18&lt;&gt;""),AND(SL18&gt;=SO$28,SL18&lt;&gt;"",SN18&gt;=SO$32,SN18&lt;&gt;""),AND(TJ18&gt;=TW$28,TJ18&lt;&gt;"",TL18&gt;=TW$32,TL18&lt;&gt;""),AND(TM18&gt;=TW$28,TM18&lt;&gt;"",TO18&gt;=TW$32,TO18&lt;&gt;""),AND(TQ18&gt;=TW$28,TQ18&lt;&gt;"",TS18&gt;=TW$32,TXQ18&lt;&gt;""),AND(TT18&gt;=TW$28,TT18&lt;&gt;"",TV18&gt;=TW$32,TV18&lt;&gt;""),AND(UR18&gt;=VE$28,UR18&lt;&gt;"",UT18&gt;=VE$32,UT18&lt;&gt;""),AND(UU18&gt;=VE$28,UU18&lt;&gt;"",UW18&gt;=VE$32,UW18&lt;&gt;""),AND(UY18&gt;=VE$28,UY18&lt;&gt;"",VA18&gt;=VE$32,VA18&lt;&gt;""),AND(VB18&gt;=VE$28,VB18&lt;&gt;"",VD18&gt;=VE$32,VD18&lt;&gt;""),AND(VZ18&gt;=WM$28,VZ18&lt;&gt;"",WB18&gt;=WM$32,WB18&lt;&gt;""),AND(WC18&gt;=WM$28,WC18&lt;&gt;"",WE18&gt;=WM$32,WE18&lt;&gt;""),AND(WG18&gt;=WM$28,WG18&lt;&gt;"",WI18&gt;=WM$32,WI18&lt;&gt;""),AND(WJ18&gt;=WM$28,WJ18&lt;&gt;"",WL18&gt;=WM$32,WL18&lt;&gt;"")),"P","")</f>
        <v/>
      </c>
      <c r="J18" s="8">
        <f t="shared" si="1"/>
        <v>11.88</v>
      </c>
      <c r="K18" s="8" t="str">
        <f t="shared" si="2"/>
        <v>2025 3rd Domestic Trial</v>
      </c>
      <c r="L18" s="8">
        <f>IFERROR(IF(J18=AR18,LARGE((AK18,AN18,BL18,BO18,BS18,CM18,CP18,CT18),1),IF(J18=BS18,LARGE((AK18,AN18,AR18,BL18,BO18,CM18,CP18,CT18),1),LARGE((AK18,AN18,AR18,BL18,BO18,BS18,CM18,CP18),1))),0)</f>
        <v>52.65</v>
      </c>
      <c r="M18" s="8" t="str">
        <f t="shared" si="3"/>
        <v>2026 Elite Canada</v>
      </c>
      <c r="N18" s="8">
        <f>IFERROR(IF(J18=AR18,LARGE((AK18,AN18,BL18,BO18,BS18,CM18,CP18,CT18),2),IF(J18=BS18,LARGE((AK18,AN18,AR18,BL18,BO18,CM18,CP18,CT18),2),LARGE((AK18,AN18,AR18,BL18,BO18,BS18,CM18,CP18),2))),0)</f>
        <v>52.31</v>
      </c>
      <c r="O18" s="8" t="str">
        <f t="shared" si="4"/>
        <v>2025 3rd Domestic Trial</v>
      </c>
      <c r="P18" s="8">
        <f t="shared" si="5"/>
        <v>0</v>
      </c>
      <c r="Q18" s="11" t="str">
        <f t="shared" si="6"/>
        <v/>
      </c>
      <c r="R18" s="8" t="str">
        <f t="shared" si="7"/>
        <v/>
      </c>
      <c r="S18" s="18">
        <v>11.8</v>
      </c>
      <c r="T18" s="18">
        <v>8.6999999999999993</v>
      </c>
      <c r="U18" s="18">
        <v>10.5</v>
      </c>
      <c r="V18" s="18">
        <v>15.53</v>
      </c>
      <c r="W18" s="18">
        <v>4</v>
      </c>
      <c r="X18" s="18">
        <v>10.4</v>
      </c>
      <c r="Y18" s="18">
        <v>8.4</v>
      </c>
      <c r="Z18" s="18">
        <v>9.6999999999999993</v>
      </c>
      <c r="AA18" s="18">
        <v>13.32</v>
      </c>
      <c r="AB18" s="18">
        <v>0</v>
      </c>
      <c r="AC18" s="18"/>
      <c r="AD18" s="18"/>
      <c r="AE18" s="18"/>
      <c r="AF18" s="18"/>
      <c r="AG18" s="18"/>
      <c r="AH18" s="23"/>
      <c r="AI18" s="34">
        <f t="shared" si="8"/>
        <v>10.5</v>
      </c>
      <c r="AJ18" s="34">
        <f t="shared" si="9"/>
        <v>15.53</v>
      </c>
      <c r="AK18" s="36">
        <f t="shared" si="10"/>
        <v>42.53</v>
      </c>
      <c r="AL18" s="36">
        <f t="shared" si="11"/>
        <v>9.6999999999999993</v>
      </c>
      <c r="AM18" s="36">
        <f t="shared" si="12"/>
        <v>13.32</v>
      </c>
      <c r="AN18" s="36">
        <f t="shared" si="13"/>
        <v>41.82</v>
      </c>
      <c r="AO18" s="36">
        <f t="shared" si="14"/>
        <v>42.53</v>
      </c>
      <c r="AP18" s="36" t="str">
        <f t="shared" si="15"/>
        <v/>
      </c>
      <c r="AQ18" s="36" t="str">
        <f t="shared" si="16"/>
        <v/>
      </c>
      <c r="AR18" s="36" t="str">
        <f t="shared" si="17"/>
        <v/>
      </c>
      <c r="AS18" s="36">
        <f t="shared" si="18"/>
        <v>42.53</v>
      </c>
      <c r="AT18" s="22">
        <v>15.4</v>
      </c>
      <c r="AU18" s="22">
        <v>9</v>
      </c>
      <c r="AV18" s="22">
        <v>13.1</v>
      </c>
      <c r="AW18" s="22">
        <v>16.21</v>
      </c>
      <c r="AX18" s="22">
        <v>1.4</v>
      </c>
      <c r="AY18" s="22">
        <v>1.5</v>
      </c>
      <c r="AZ18" s="22">
        <v>1</v>
      </c>
      <c r="BA18" s="22">
        <v>1.7</v>
      </c>
      <c r="BB18" s="22">
        <v>0</v>
      </c>
      <c r="BC18" s="22">
        <v>0</v>
      </c>
      <c r="BD18" s="22">
        <v>2.7</v>
      </c>
      <c r="BE18" s="22">
        <v>1.7</v>
      </c>
      <c r="BF18" s="22">
        <v>4</v>
      </c>
      <c r="BG18" s="22">
        <v>3.48</v>
      </c>
      <c r="BH18" s="22">
        <v>0</v>
      </c>
      <c r="BI18" s="24"/>
      <c r="BJ18" s="35">
        <f t="shared" si="19"/>
        <v>13.1</v>
      </c>
      <c r="BK18" s="35">
        <f t="shared" si="20"/>
        <v>16.21</v>
      </c>
      <c r="BL18" s="11">
        <f t="shared" si="21"/>
        <v>52.31</v>
      </c>
      <c r="BM18" s="11">
        <f t="shared" si="22"/>
        <v>1.7</v>
      </c>
      <c r="BN18" s="11" t="str">
        <f t="shared" si="23"/>
        <v/>
      </c>
      <c r="BO18" s="11">
        <f t="shared" si="24"/>
        <v>4.2</v>
      </c>
      <c r="BP18" s="11">
        <f t="shared" si="25"/>
        <v>52.31</v>
      </c>
      <c r="BQ18" s="11">
        <f t="shared" si="26"/>
        <v>4</v>
      </c>
      <c r="BR18" s="11">
        <f t="shared" si="27"/>
        <v>3.48</v>
      </c>
      <c r="BS18" s="11">
        <f t="shared" si="28"/>
        <v>11.88</v>
      </c>
      <c r="BT18" s="11">
        <f t="shared" si="29"/>
        <v>64.19</v>
      </c>
      <c r="BU18" s="18">
        <v>13.5</v>
      </c>
      <c r="BV18" s="18">
        <v>9.1</v>
      </c>
      <c r="BW18" s="18">
        <v>14.7</v>
      </c>
      <c r="BX18" s="18">
        <v>15.35</v>
      </c>
      <c r="BY18" s="18">
        <v>0</v>
      </c>
      <c r="BZ18" s="18">
        <v>2.7</v>
      </c>
      <c r="CA18" s="18">
        <v>1.8</v>
      </c>
      <c r="CB18" s="18">
        <v>4</v>
      </c>
      <c r="CC18" s="18">
        <v>3.28</v>
      </c>
      <c r="CD18" s="18">
        <v>0</v>
      </c>
      <c r="CE18" s="18"/>
      <c r="CF18" s="18"/>
      <c r="CG18" s="18"/>
      <c r="CH18" s="18"/>
      <c r="CI18" s="18"/>
      <c r="CJ18" s="23"/>
      <c r="CK18" s="34">
        <f t="shared" si="30"/>
        <v>14.7</v>
      </c>
      <c r="CL18" s="34">
        <f t="shared" si="31"/>
        <v>15.35</v>
      </c>
      <c r="CM18" s="36">
        <f t="shared" si="32"/>
        <v>52.65</v>
      </c>
      <c r="CN18" s="36">
        <f t="shared" si="33"/>
        <v>4</v>
      </c>
      <c r="CO18" s="36">
        <f t="shared" si="34"/>
        <v>3.28</v>
      </c>
      <c r="CP18" s="36">
        <f t="shared" si="35"/>
        <v>11.78</v>
      </c>
      <c r="CQ18" s="36">
        <f t="shared" si="36"/>
        <v>52.65</v>
      </c>
      <c r="CR18" s="36" t="str">
        <f t="shared" si="37"/>
        <v/>
      </c>
      <c r="CS18" s="36" t="str">
        <f t="shared" si="38"/>
        <v/>
      </c>
      <c r="CT18" s="36" t="str">
        <f t="shared" si="39"/>
        <v/>
      </c>
      <c r="CU18" s="36">
        <f t="shared" si="40"/>
        <v>52.65</v>
      </c>
      <c r="CV18" s="47" t="str">
        <f t="shared" si="41"/>
        <v/>
      </c>
      <c r="CW18" s="47" t="str">
        <f t="shared" si="42"/>
        <v/>
      </c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36" t="str">
        <f t="shared" si="43"/>
        <v/>
      </c>
      <c r="DS18" s="36" t="str">
        <f t="shared" si="44"/>
        <v/>
      </c>
      <c r="DT18" s="36" t="str">
        <f t="shared" si="45"/>
        <v/>
      </c>
      <c r="DU18" s="36" t="str">
        <f t="shared" si="46"/>
        <v/>
      </c>
      <c r="DV18" s="36" t="str">
        <f t="shared" si="47"/>
        <v/>
      </c>
      <c r="DW18" s="36" t="str">
        <f t="shared" si="48"/>
        <v/>
      </c>
      <c r="DX18" s="36" t="str">
        <f t="shared" si="49"/>
        <v/>
      </c>
      <c r="DY18" s="36" t="str">
        <f t="shared" si="50"/>
        <v/>
      </c>
      <c r="DZ18" s="36" t="str">
        <f t="shared" si="51"/>
        <v/>
      </c>
      <c r="EA18" s="36" t="str">
        <f t="shared" si="52"/>
        <v/>
      </c>
      <c r="EB18" s="36" t="str">
        <f t="shared" si="53"/>
        <v/>
      </c>
      <c r="EC18" s="36" t="str">
        <f t="shared" si="54"/>
        <v/>
      </c>
      <c r="ED18" s="36" t="str">
        <f t="shared" si="55"/>
        <v/>
      </c>
      <c r="EE18" s="36" t="str">
        <f t="shared" si="56"/>
        <v/>
      </c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1" t="str">
        <f t="shared" si="57"/>
        <v/>
      </c>
      <c r="FA18" s="11" t="str">
        <f t="shared" si="58"/>
        <v/>
      </c>
      <c r="FB18" s="11" t="str">
        <f t="shared" si="59"/>
        <v/>
      </c>
      <c r="FC18" s="11" t="str">
        <f t="shared" si="60"/>
        <v/>
      </c>
      <c r="FD18" s="11" t="str">
        <f t="shared" si="61"/>
        <v/>
      </c>
      <c r="FE18" s="11" t="str">
        <f t="shared" si="62"/>
        <v/>
      </c>
      <c r="FF18" s="11" t="str">
        <f t="shared" si="63"/>
        <v/>
      </c>
      <c r="FG18" s="11" t="str">
        <f t="shared" si="64"/>
        <v/>
      </c>
      <c r="FH18" s="11" t="str">
        <f t="shared" si="65"/>
        <v/>
      </c>
      <c r="FI18" s="11" t="str">
        <f t="shared" si="66"/>
        <v/>
      </c>
      <c r="FJ18" s="11" t="str">
        <f t="shared" si="67"/>
        <v/>
      </c>
      <c r="FK18" s="11" t="str">
        <f t="shared" si="68"/>
        <v/>
      </c>
      <c r="FL18" s="11" t="str">
        <f t="shared" si="69"/>
        <v/>
      </c>
      <c r="FM18" s="11" t="str">
        <f t="shared" si="70"/>
        <v/>
      </c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36" t="str">
        <f t="shared" si="71"/>
        <v/>
      </c>
      <c r="GI18" s="36" t="str">
        <f t="shared" si="72"/>
        <v/>
      </c>
      <c r="GJ18" s="36" t="str">
        <f t="shared" si="73"/>
        <v/>
      </c>
      <c r="GK18" s="36" t="str">
        <f t="shared" si="74"/>
        <v/>
      </c>
      <c r="GL18" s="36" t="str">
        <f t="shared" si="75"/>
        <v/>
      </c>
      <c r="GM18" s="36" t="str">
        <f t="shared" si="76"/>
        <v/>
      </c>
      <c r="GN18" s="36" t="str">
        <f t="shared" si="77"/>
        <v/>
      </c>
      <c r="GO18" s="36" t="str">
        <f t="shared" si="78"/>
        <v/>
      </c>
      <c r="GP18" s="36" t="str">
        <f t="shared" si="79"/>
        <v/>
      </c>
      <c r="GQ18" s="36" t="str">
        <f t="shared" si="80"/>
        <v/>
      </c>
      <c r="GR18" s="36" t="str">
        <f t="shared" si="81"/>
        <v/>
      </c>
      <c r="GS18" s="36" t="str">
        <f t="shared" si="82"/>
        <v/>
      </c>
      <c r="GT18" s="36" t="str">
        <f t="shared" si="83"/>
        <v/>
      </c>
      <c r="GU18" s="36" t="str">
        <f t="shared" si="84"/>
        <v/>
      </c>
      <c r="GV18" s="16">
        <v>1.5</v>
      </c>
      <c r="GW18" s="16">
        <v>1</v>
      </c>
      <c r="GX18" s="16">
        <v>2</v>
      </c>
      <c r="GY18" s="16">
        <v>1.65</v>
      </c>
      <c r="GZ18" s="16">
        <v>0</v>
      </c>
      <c r="HA18" s="16">
        <v>2.4</v>
      </c>
      <c r="HB18" s="16">
        <v>1.6</v>
      </c>
      <c r="HC18" s="16">
        <v>3.5</v>
      </c>
      <c r="HD18" s="16">
        <v>3.19</v>
      </c>
      <c r="HE18" s="16">
        <v>0</v>
      </c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1">
        <f t="shared" si="85"/>
        <v>2</v>
      </c>
      <c r="HQ18" s="11">
        <f t="shared" si="86"/>
        <v>1.65</v>
      </c>
      <c r="HR18" s="11">
        <f t="shared" si="87"/>
        <v>6.15</v>
      </c>
      <c r="HS18" s="11">
        <f t="shared" si="88"/>
        <v>3.5</v>
      </c>
      <c r="HT18" s="11">
        <f t="shared" si="89"/>
        <v>3.19</v>
      </c>
      <c r="HU18" s="11">
        <f t="shared" si="90"/>
        <v>10.69</v>
      </c>
      <c r="HV18" s="11">
        <f t="shared" si="91"/>
        <v>10.69</v>
      </c>
      <c r="HW18" s="11" t="str">
        <f t="shared" si="92"/>
        <v/>
      </c>
      <c r="HX18" s="11" t="str">
        <f t="shared" si="93"/>
        <v/>
      </c>
      <c r="HY18" s="11" t="str">
        <f t="shared" si="94"/>
        <v/>
      </c>
      <c r="HZ18" s="11" t="str">
        <f t="shared" si="95"/>
        <v/>
      </c>
      <c r="IA18" s="11" t="str">
        <f t="shared" si="96"/>
        <v/>
      </c>
      <c r="IB18" s="11" t="str">
        <f t="shared" si="97"/>
        <v/>
      </c>
      <c r="IC18" s="11">
        <f t="shared" si="98"/>
        <v>10.69</v>
      </c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36" t="str">
        <f t="shared" si="99"/>
        <v/>
      </c>
      <c r="IY18" s="36" t="str">
        <f t="shared" si="100"/>
        <v/>
      </c>
      <c r="IZ18" s="36" t="str">
        <f t="shared" si="101"/>
        <v/>
      </c>
      <c r="JA18" s="36" t="str">
        <f t="shared" si="102"/>
        <v/>
      </c>
      <c r="JB18" s="36" t="str">
        <f t="shared" si="103"/>
        <v/>
      </c>
      <c r="JC18" s="36" t="str">
        <f t="shared" si="104"/>
        <v/>
      </c>
      <c r="JD18" s="36" t="str">
        <f t="shared" si="105"/>
        <v/>
      </c>
      <c r="JE18" s="36" t="str">
        <f t="shared" si="106"/>
        <v/>
      </c>
      <c r="JF18" s="36" t="str">
        <f t="shared" si="107"/>
        <v/>
      </c>
      <c r="JG18" s="36" t="str">
        <f t="shared" si="108"/>
        <v/>
      </c>
      <c r="JH18" s="36" t="str">
        <f t="shared" si="109"/>
        <v/>
      </c>
      <c r="JI18" s="36" t="str">
        <f t="shared" si="110"/>
        <v/>
      </c>
      <c r="JJ18" s="36" t="str">
        <f t="shared" si="111"/>
        <v/>
      </c>
      <c r="JK18" s="36" t="str">
        <f t="shared" si="112"/>
        <v/>
      </c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1" t="str">
        <f t="shared" si="113"/>
        <v/>
      </c>
      <c r="KG18" s="11" t="str">
        <f t="shared" si="114"/>
        <v/>
      </c>
      <c r="KH18" s="11" t="str">
        <f t="shared" si="115"/>
        <v/>
      </c>
      <c r="KI18" s="11" t="str">
        <f t="shared" si="116"/>
        <v/>
      </c>
      <c r="KJ18" s="11" t="str">
        <f t="shared" si="117"/>
        <v/>
      </c>
      <c r="KK18" s="11" t="str">
        <f t="shared" si="118"/>
        <v/>
      </c>
      <c r="KL18" s="11" t="str">
        <f t="shared" si="119"/>
        <v/>
      </c>
      <c r="KM18" s="11" t="str">
        <f t="shared" si="120"/>
        <v/>
      </c>
      <c r="KN18" s="11" t="str">
        <f t="shared" si="121"/>
        <v/>
      </c>
      <c r="KO18" s="11" t="str">
        <f t="shared" si="122"/>
        <v/>
      </c>
      <c r="KP18" s="11" t="str">
        <f t="shared" si="123"/>
        <v/>
      </c>
      <c r="KQ18" s="11" t="str">
        <f t="shared" si="124"/>
        <v/>
      </c>
      <c r="KR18" s="11" t="str">
        <f t="shared" si="125"/>
        <v/>
      </c>
      <c r="KS18" s="11" t="str">
        <f t="shared" si="126"/>
        <v/>
      </c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36" t="str">
        <f t="shared" si="127"/>
        <v/>
      </c>
      <c r="LO18" s="36" t="str">
        <f t="shared" si="128"/>
        <v/>
      </c>
      <c r="LP18" s="36" t="str">
        <f t="shared" si="129"/>
        <v/>
      </c>
      <c r="LQ18" s="36" t="str">
        <f t="shared" si="130"/>
        <v/>
      </c>
      <c r="LR18" s="36" t="str">
        <f t="shared" si="131"/>
        <v/>
      </c>
      <c r="LS18" s="36" t="str">
        <f t="shared" si="132"/>
        <v/>
      </c>
      <c r="LT18" s="36" t="str">
        <f t="shared" si="133"/>
        <v/>
      </c>
      <c r="LU18" s="36" t="str">
        <f t="shared" si="134"/>
        <v/>
      </c>
      <c r="LV18" s="36" t="str">
        <f t="shared" si="135"/>
        <v/>
      </c>
      <c r="LW18" s="36" t="str">
        <f t="shared" si="136"/>
        <v/>
      </c>
      <c r="LX18" s="36" t="str">
        <f t="shared" si="137"/>
        <v/>
      </c>
      <c r="LY18" s="36" t="str">
        <f t="shared" si="138"/>
        <v/>
      </c>
      <c r="LZ18" s="36" t="str">
        <f t="shared" si="139"/>
        <v/>
      </c>
      <c r="MA18" s="36" t="str">
        <f t="shared" si="140"/>
        <v/>
      </c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1" t="str">
        <f t="shared" si="141"/>
        <v/>
      </c>
      <c r="MW18" s="11" t="str">
        <f t="shared" si="142"/>
        <v/>
      </c>
      <c r="MX18" s="11" t="str">
        <f t="shared" si="143"/>
        <v/>
      </c>
      <c r="MY18" s="11" t="str">
        <f t="shared" si="144"/>
        <v/>
      </c>
      <c r="MZ18" s="11" t="str">
        <f t="shared" si="145"/>
        <v/>
      </c>
      <c r="NA18" s="11" t="str">
        <f t="shared" si="146"/>
        <v/>
      </c>
      <c r="NB18" s="11" t="str">
        <f t="shared" si="147"/>
        <v/>
      </c>
      <c r="NC18" s="11" t="str">
        <f t="shared" si="148"/>
        <v/>
      </c>
      <c r="ND18" s="11" t="str">
        <f t="shared" si="149"/>
        <v/>
      </c>
      <c r="NE18" s="11" t="str">
        <f t="shared" si="150"/>
        <v/>
      </c>
      <c r="NF18" s="11" t="str">
        <f t="shared" si="151"/>
        <v/>
      </c>
      <c r="NG18" s="11" t="str">
        <f t="shared" si="152"/>
        <v/>
      </c>
      <c r="NH18" s="11" t="str">
        <f t="shared" si="153"/>
        <v/>
      </c>
      <c r="NI18" s="11" t="str">
        <f t="shared" si="154"/>
        <v/>
      </c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36" t="str">
        <f t="shared" si="155"/>
        <v/>
      </c>
      <c r="OE18" s="36" t="str">
        <f t="shared" si="156"/>
        <v/>
      </c>
      <c r="OF18" s="36" t="str">
        <f t="shared" si="157"/>
        <v/>
      </c>
      <c r="OG18" s="36" t="str">
        <f t="shared" si="158"/>
        <v/>
      </c>
      <c r="OH18" s="36" t="str">
        <f t="shared" si="159"/>
        <v/>
      </c>
      <c r="OI18" s="36" t="str">
        <f t="shared" si="160"/>
        <v/>
      </c>
      <c r="OJ18" s="36" t="str">
        <f t="shared" si="161"/>
        <v/>
      </c>
      <c r="OK18" s="36" t="str">
        <f t="shared" si="162"/>
        <v/>
      </c>
      <c r="OL18" s="36" t="str">
        <f t="shared" si="163"/>
        <v/>
      </c>
      <c r="OM18" s="36" t="str">
        <f t="shared" si="164"/>
        <v/>
      </c>
      <c r="ON18" s="36" t="str">
        <f t="shared" si="165"/>
        <v/>
      </c>
      <c r="OO18" s="36" t="str">
        <f t="shared" si="166"/>
        <v/>
      </c>
      <c r="OP18" s="36" t="str">
        <f t="shared" si="167"/>
        <v/>
      </c>
      <c r="OQ18" s="36" t="str">
        <f t="shared" si="168"/>
        <v/>
      </c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1" t="str">
        <f t="shared" si="169"/>
        <v/>
      </c>
      <c r="PM18" s="11" t="str">
        <f t="shared" si="170"/>
        <v/>
      </c>
      <c r="PN18" s="11" t="str">
        <f t="shared" si="171"/>
        <v/>
      </c>
      <c r="PO18" s="11" t="str">
        <f t="shared" si="172"/>
        <v/>
      </c>
      <c r="PP18" s="11" t="str">
        <f t="shared" si="173"/>
        <v/>
      </c>
      <c r="PQ18" s="11" t="str">
        <f t="shared" si="174"/>
        <v/>
      </c>
      <c r="PR18" s="11" t="str">
        <f t="shared" si="175"/>
        <v/>
      </c>
      <c r="PS18" s="11" t="str">
        <f t="shared" si="176"/>
        <v/>
      </c>
      <c r="PT18" s="11" t="str">
        <f t="shared" si="177"/>
        <v/>
      </c>
      <c r="PU18" s="11" t="str">
        <f t="shared" si="178"/>
        <v/>
      </c>
      <c r="PV18" s="11" t="str">
        <f t="shared" si="179"/>
        <v/>
      </c>
      <c r="PW18" s="11" t="str">
        <f t="shared" si="180"/>
        <v/>
      </c>
      <c r="PX18" s="11" t="str">
        <f t="shared" si="181"/>
        <v/>
      </c>
      <c r="PY18" s="11" t="str">
        <f t="shared" si="182"/>
        <v/>
      </c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36" t="str">
        <f t="shared" si="183"/>
        <v/>
      </c>
      <c r="QU18" s="36" t="str">
        <f t="shared" si="184"/>
        <v/>
      </c>
      <c r="QV18" s="36" t="str">
        <f t="shared" si="185"/>
        <v/>
      </c>
      <c r="QW18" s="36" t="str">
        <f t="shared" si="186"/>
        <v/>
      </c>
      <c r="QX18" s="36" t="str">
        <f t="shared" si="187"/>
        <v/>
      </c>
      <c r="QY18" s="36" t="str">
        <f t="shared" si="188"/>
        <v/>
      </c>
      <c r="QZ18" s="36" t="str">
        <f t="shared" si="189"/>
        <v/>
      </c>
      <c r="RA18" s="36" t="str">
        <f t="shared" si="190"/>
        <v/>
      </c>
      <c r="RB18" s="36" t="str">
        <f t="shared" si="191"/>
        <v/>
      </c>
      <c r="RC18" s="36" t="str">
        <f t="shared" si="192"/>
        <v/>
      </c>
      <c r="RD18" s="36" t="str">
        <f t="shared" si="193"/>
        <v/>
      </c>
      <c r="RE18" s="36" t="str">
        <f t="shared" si="194"/>
        <v/>
      </c>
      <c r="RF18" s="36" t="str">
        <f t="shared" si="195"/>
        <v/>
      </c>
      <c r="RG18" s="36" t="str">
        <f t="shared" si="196"/>
        <v/>
      </c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1" t="str">
        <f t="shared" si="197"/>
        <v/>
      </c>
      <c r="SC18" s="11" t="str">
        <f t="shared" si="198"/>
        <v/>
      </c>
      <c r="SD18" s="11" t="str">
        <f t="shared" si="199"/>
        <v/>
      </c>
      <c r="SE18" s="11" t="str">
        <f t="shared" si="200"/>
        <v/>
      </c>
      <c r="SF18" s="11" t="str">
        <f t="shared" si="201"/>
        <v/>
      </c>
      <c r="SG18" s="11" t="str">
        <f t="shared" si="202"/>
        <v/>
      </c>
      <c r="SH18" s="11" t="str">
        <f t="shared" si="203"/>
        <v/>
      </c>
      <c r="SI18" s="11" t="str">
        <f t="shared" si="204"/>
        <v/>
      </c>
      <c r="SJ18" s="11" t="str">
        <f t="shared" si="205"/>
        <v/>
      </c>
      <c r="SK18" s="11" t="str">
        <f t="shared" si="206"/>
        <v/>
      </c>
      <c r="SL18" s="11" t="str">
        <f t="shared" si="207"/>
        <v/>
      </c>
      <c r="SM18" s="11" t="str">
        <f t="shared" si="208"/>
        <v/>
      </c>
      <c r="SN18" s="11" t="str">
        <f t="shared" si="209"/>
        <v/>
      </c>
      <c r="SO18" s="11" t="str">
        <f t="shared" si="210"/>
        <v/>
      </c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36" t="str">
        <f t="shared" si="211"/>
        <v/>
      </c>
      <c r="TK18" s="36" t="str">
        <f t="shared" si="212"/>
        <v/>
      </c>
      <c r="TL18" s="36" t="str">
        <f t="shared" si="213"/>
        <v/>
      </c>
      <c r="TM18" s="36" t="str">
        <f t="shared" si="214"/>
        <v/>
      </c>
      <c r="TN18" s="36" t="str">
        <f t="shared" si="215"/>
        <v/>
      </c>
      <c r="TO18" s="36" t="str">
        <f t="shared" si="216"/>
        <v/>
      </c>
      <c r="TP18" s="36" t="str">
        <f t="shared" si="217"/>
        <v/>
      </c>
      <c r="TQ18" s="36" t="str">
        <f t="shared" si="218"/>
        <v/>
      </c>
      <c r="TR18" s="36" t="str">
        <f t="shared" si="219"/>
        <v/>
      </c>
      <c r="TS18" s="36" t="str">
        <f t="shared" si="220"/>
        <v/>
      </c>
      <c r="TT18" s="36" t="str">
        <f t="shared" si="221"/>
        <v/>
      </c>
      <c r="TU18" s="36" t="str">
        <f t="shared" si="222"/>
        <v/>
      </c>
      <c r="TV18" s="36" t="str">
        <f t="shared" si="223"/>
        <v/>
      </c>
      <c r="TW18" s="36" t="str">
        <f t="shared" si="224"/>
        <v/>
      </c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1" t="str">
        <f t="shared" si="225"/>
        <v/>
      </c>
      <c r="US18" s="11" t="str">
        <f t="shared" si="226"/>
        <v/>
      </c>
      <c r="UT18" s="11" t="str">
        <f t="shared" si="227"/>
        <v/>
      </c>
      <c r="UU18" s="11" t="str">
        <f t="shared" si="228"/>
        <v/>
      </c>
      <c r="UV18" s="11" t="str">
        <f t="shared" si="229"/>
        <v/>
      </c>
      <c r="UW18" s="11" t="str">
        <f t="shared" si="230"/>
        <v/>
      </c>
      <c r="UX18" s="11" t="str">
        <f t="shared" si="231"/>
        <v/>
      </c>
      <c r="UY18" s="11" t="str">
        <f t="shared" si="232"/>
        <v/>
      </c>
      <c r="UZ18" s="11" t="str">
        <f t="shared" si="233"/>
        <v/>
      </c>
      <c r="VA18" s="11" t="str">
        <f t="shared" si="234"/>
        <v/>
      </c>
      <c r="VB18" s="11" t="str">
        <f t="shared" si="235"/>
        <v/>
      </c>
      <c r="VC18" s="11" t="str">
        <f t="shared" si="236"/>
        <v/>
      </c>
      <c r="VD18" s="11" t="str">
        <f t="shared" si="237"/>
        <v/>
      </c>
      <c r="VE18" s="11" t="str">
        <f t="shared" si="238"/>
        <v/>
      </c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36" t="str">
        <f t="shared" si="239"/>
        <v/>
      </c>
      <c r="WA18" s="36" t="str">
        <f t="shared" si="240"/>
        <v/>
      </c>
      <c r="WB18" s="36" t="str">
        <f t="shared" si="241"/>
        <v/>
      </c>
      <c r="WC18" s="36" t="str">
        <f t="shared" si="242"/>
        <v/>
      </c>
      <c r="WD18" s="36" t="str">
        <f t="shared" si="243"/>
        <v/>
      </c>
      <c r="WE18" s="36" t="str">
        <f t="shared" si="244"/>
        <v/>
      </c>
      <c r="WF18" s="36" t="str">
        <f t="shared" si="245"/>
        <v/>
      </c>
      <c r="WG18" s="36" t="str">
        <f t="shared" si="246"/>
        <v/>
      </c>
      <c r="WH18" s="36" t="str">
        <f t="shared" si="247"/>
        <v/>
      </c>
      <c r="WI18" s="36" t="str">
        <f t="shared" si="248"/>
        <v/>
      </c>
      <c r="WJ18" s="36" t="str">
        <f t="shared" si="249"/>
        <v/>
      </c>
      <c r="WK18" s="36" t="str">
        <f t="shared" si="250"/>
        <v/>
      </c>
      <c r="WL18" s="36" t="str">
        <f t="shared" si="251"/>
        <v/>
      </c>
      <c r="WM18" s="36" t="str">
        <f t="shared" si="252"/>
        <v/>
      </c>
    </row>
    <row r="19" spans="1:611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92</v>
      </c>
      <c r="C19" s="4" t="s">
        <v>3</v>
      </c>
      <c r="D19" s="4">
        <v>2005</v>
      </c>
      <c r="E19" s="9">
        <f t="shared" si="0"/>
        <v>111.3000111300053</v>
      </c>
      <c r="F19" s="3" t="str">
        <f>IF(OR(AND(AI19&gt;=AS$27,AI19&lt;&gt;"",AK19&gt;=AS$31,AK19&lt;&gt;"",AH19=""),AND(AL19&gt;=AS$27,AL19&lt;&gt;"",AN19&gt;=AS$31,AN19&lt;&gt;"",AH19=""),AND(AP19&gt;=AS$27,AP19&lt;&gt;"",AR19&gt;=AS$31,AR19&lt;&gt;"",AH19=""),AND(BJ19&gt;=BT$27,BJ19&lt;&gt;"",BL19&gt;=BT$31,BL19&lt;&gt;"",BI19=""),AND(BM19&gt;=BT$27,BM19&lt;&gt;"",BO19&gt;=BT$31,BO19&lt;&gt;"",BI19=""),AND(BQ19&gt;=BT$27,BQ19&lt;&gt;"",BS19&gt;=BT$31,BS19&lt;&gt;"",BI19=""),AND(CK19&gt;=CU$27,CK19&lt;&gt;"",CM19&gt;=CU$31,CM19&lt;&gt;"",CJ19=""),AND(CN19&gt;=CU$27,CN19&lt;&gt;"",CP19&gt;=CU$31,CP19&lt;&gt;"",CJ19=""),AND(CR19&gt;=CU$27,CR19&lt;&gt;"",CT19&gt;=CU$31,CT19&lt;&gt;"",CJ19=""),AND(DR19&gt;=EE$27,DR19&lt;&gt;"",DT19&gt;=EE$31,DT19&lt;&gt;""),AND(DU19&gt;=EE$27,DU19&lt;&gt;"",DW19&gt;=EE$31,DW19&lt;&gt;""),AND(DY19&gt;=EE$27,DY19&lt;&gt;"",EA19&gt;=EE$31,EA19&lt;&gt;""),AND(EB19&gt;=EE$27,EB19&lt;&gt;"",ED19&gt;=EE$31,ED19&lt;&gt;""),AND(EZ19&gt;=FM$27,EZ19&lt;&gt;"",FB19&gt;=FM$31,FB19&lt;&gt;""),AND(FC19&gt;=FM$27,FC19&lt;&gt;"",FE19&gt;=FM$31,FE19&lt;&gt;""),AND(FG19&gt;=FM$27,FG19&lt;&gt;"",FI19&gt;=FM$31,FI19&lt;&gt;""),AND(FJ19&gt;=FM$27,FJ19&lt;&gt;"",FL19&gt;=FM$31,FL19&lt;&gt;""),AND(GH19&gt;=GU$27,GH19&lt;&gt;"",GJ19&gt;=GU$31,GJ19&lt;&gt;""),AND(GK19&gt;=GU$27,GK19&lt;&gt;"",GM19&gt;=GU$31,GM19&lt;&gt;""),AND(GO19&gt;=GU$27,GO19&lt;&gt;"",GQ19&gt;=GU$31,GQ19&lt;&gt;""),AND(GR19&gt;=GU$27,GR19&lt;&gt;"",GT19&gt;=GU$31,GT19&lt;&gt;""),AND(HP19&gt;=IC$27,HP19&lt;&gt;"",HR19&gt;=IC$31,HR19&lt;&gt;""),AND(HS19&gt;=IC$27,HS19&lt;&gt;"",HU19&gt;=IC$31,HU19&lt;&gt;""),AND(HW19&gt;=IC$27,HW19&lt;&gt;"",HY19&gt;=IC$31,HY19&lt;&gt;""),AND(HZ19&gt;=IC$27,HZ19&lt;&gt;"",IB19&gt;=IC$31,IB19&lt;&gt;""),AND(IX19&gt;=JK$27,IX19&lt;&gt;"",IZ19&gt;=JK$31,IZ19&lt;&gt;""),AND(JA19&gt;=JK$27,JA19&lt;&gt;"",JC19&gt;=JK$31,JC19&lt;&gt;""),AND(JE19&gt;=JK$27,JE19&lt;&gt;"",JG19&gt;=JK$31,JG19&lt;&gt;""),AND(JH19&gt;=JK$27,JH19&lt;&gt;"",JJ19&gt;=JK$31,JJ19&lt;&gt;""),AND(KF19&gt;=KS$27,KF19&lt;&gt;"",KH19&gt;=KS$31,KH19&lt;&gt;""),AND(KI19&gt;=KS$27,KI19&lt;&gt;"",KK19&gt;=KS$31,KK19&lt;&gt;""),AND(KM19&gt;=KS$27,KM19&lt;&gt;"",KO19&gt;=KS$31,KO19&lt;&gt;""),AND(KP19&gt;=KS$27,KP19&lt;&gt;"",KR19&gt;=KS$31,KR19&lt;&gt;""),AND(LN19&gt;=MA$27,LN19&lt;&gt;"",LP19&gt;=MA$31,LP19&lt;&gt;""),AND(LQ19&gt;=MA$27,LQ19&lt;&gt;"",LS19&gt;=MA$31,LS19&lt;&gt;""),AND(LU19&gt;=MA$27,LU19&lt;&gt;"",LW19&gt;=MA$31,LW19&lt;&gt;""),AND(LX19&gt;=MA$27,LX19&lt;&gt;"",LZ19&gt;=MA$31,LZ19&lt;&gt;""),AND(MV19&gt;=NI$27,MV19&lt;&gt;"",MX19&gt;=NI$31,MX19&lt;&gt;""),AND(MY19&gt;=NI$27,MY19&lt;&gt;"",NA19&gt;=NI$31,NA19&lt;&gt;""),AND(NC19&gt;=NI$27,NC19&lt;&gt;"",NE19&gt;=NI$31,NE19&lt;&gt;""),AND(NF19&gt;=NI$27,NF19&lt;&gt;"",NH19&gt;=NI$31,NH19&lt;&gt;""),AND(OD19&gt;=OQ$27,OD19&lt;&gt;"",OF19&gt;=OQ$31,OF19&lt;&gt;""),AND(OG19&gt;=OQ$27,OG19&lt;&gt;"",OI19&gt;=OQ$31,OI19&lt;&gt;""),AND(OK19&gt;=OQ$27,OK19&lt;&gt;"",OM19&gt;=OQ$31,OM19&lt;&gt;""),AND(ON19&gt;=OQ$27,ON19&lt;&gt;"",OP19&gt;=OQ$31,OP19&lt;&gt;""),AND(PL19&gt;=PY$27,PL19&lt;&gt;"",PN19&gt;=PY$31,PN19&lt;&gt;""),AND(PO19&gt;=PY$27,PO19&lt;&gt;"",PQ19&gt;=PY$31,PQ19&lt;&gt;""),AND(PS19&gt;=PY$27,PS19&lt;&gt;"",PU19&gt;=PY$31,PU19&lt;&gt;""),AND(PV19&gt;=PY$27,PV19&lt;&gt;"",PX19&gt;=PY$31,PX19&lt;&gt;""),AND(QT19&gt;=RG$27,QT19&lt;&gt;"",QV19&gt;=RG$31,QV19&lt;&gt;""),AND(QW19&gt;=RG$27,QW19&lt;&gt;"",QY19&gt;=RG$31,QY19&lt;&gt;""),AND(RA19&gt;=RG$27,RA19&lt;&gt;"",RC19&gt;=RG$31,RC19&lt;&gt;""),AND(RD19&gt;=RG$27,RD19&lt;&gt;"",RF19&gt;=RG$31,RF19&lt;&gt;""),AND(SB19&gt;=SO$27,SB19&lt;&gt;"",SD19&gt;=SO$31,SD19&lt;&gt;""),AND(SE19&gt;=SO$27,SE19&lt;&gt;"",SG19&gt;=SO$31,SG19&lt;&gt;""),AND(SI19&gt;=SO$27,SI19&lt;&gt;"",SK19&gt;=SO$31,SK19&lt;&gt;""),AND(SL19&gt;=SO$27,SL19&lt;&gt;"",SN19&gt;=SO$31,SN19&lt;&gt;""),AND(TJ19&gt;=TW$27,TJ19&lt;&gt;"",TL19&gt;=TW$31,TL19&lt;&gt;""),AND(TM19&gt;=TW$27,TM19&lt;&gt;"",TO19&gt;=TW$31,TO19&lt;&gt;""),AND(TQ19&gt;=TW$27,TQ19&lt;&gt;"",TS19&gt;=TW$31,TXQ19&lt;&gt;""),AND(TT19&gt;=TW$27,TT19&lt;&gt;"",TV19&gt;=TW$31,TV19&lt;&gt;""),AND(UR19&gt;=VE$27,UR19&lt;&gt;"",UT19&gt;=VE$31,UT19&lt;&gt;""),AND(UU19&gt;=VE$27,UU19&lt;&gt;"",UW19&gt;=VE$31,UW19&lt;&gt;""),AND(UY19&gt;=VE$27,UY19&lt;&gt;"",VA19&gt;=VE$31,VA19&lt;&gt;""),AND(VB19&gt;=VE$27,VB19&lt;&gt;"",VD19&gt;=VE$31,VD19&lt;&gt;""),AND(VZ19&gt;=WM$27,VZ19&lt;&gt;"",WB19&gt;=WM$31,WB19&lt;&gt;""),AND(WC19&gt;=WM$27,WC19&lt;&gt;"",WE19&gt;=WM$31,WE19&lt;&gt;""),AND(WG19&gt;=WM$27,WG19&lt;&gt;"",WI19&gt;=WM$31,WI19&lt;&gt;""),AND(WJ19&gt;=WM$27,WJ19&lt;&gt;"",WL19&gt;=WM$31,WL19&lt;&gt;"")),"P","")</f>
        <v/>
      </c>
      <c r="G19" s="3" t="str">
        <f>IF(OR(AND(AK19&gt;=AS$31,AK19&lt;&gt;"",AH19=""),AND(AN19&gt;=AS$31,AN19&lt;&gt;"",AH19=""),AND(AR19&gt;=AS$31,AR19&lt;&gt;"",AH19=""),AND(BL19&gt;=BT$31,BL19&lt;&gt;"",BI19=""),AND(BO19&gt;=BT$31,BO19&lt;&gt;"",BI19=""),AND(BS19&gt;=BT$31,BS19&lt;&gt;"",BI19=""),AND(CM19&gt;=CU$31,CM19&lt;&gt;"",CJ19=""),AND(CP19&gt;=CU$31,CP19&lt;&gt;"",CJ19=""),AND(CT19&gt;=CU$31,CT19&lt;&gt;"",CJ19=""),AND(DT19&gt;=EE$31,DT19&lt;&gt;""),AND(DW19&gt;=EE$31,DW19&lt;&gt;""),AND(EA19&gt;=EE$31,EA19&lt;&gt;""),AND(ED19&gt;=EE$31,ED19&lt;&gt;""),AND(FB19&gt;=FM$31,FB19&lt;&gt;""),AND(FE19&gt;=FM$31,FE19&lt;&gt;""),AND(FI19&gt;=FM$31,FI19&lt;&gt;""),AND(FL19&gt;=FM$31,FL19&lt;&gt;""),AND(GJ19&gt;=GU$31,GJ19&lt;&gt;""),AND(GM19&gt;=GU$31,GM19&lt;&gt;""),AND(GQ19&gt;=GU$31,GQ19&lt;&gt;""),AND(GT19&gt;=GU$31,GT19&lt;&gt;""),AND(HR19&gt;=IC$31,HR19&lt;&gt;""),AND(HU19&gt;=IC$31,HU19&lt;&gt;""),AND(HY19&gt;=IC$31,HY19&lt;&gt;""),AND(IB19&gt;=IC$31,IB19&lt;&gt;""),AND(IZ19&gt;=JK$31,IZ19&lt;&gt;""),AND(JC19&gt;=JK$31,JC19&lt;&gt;""),AND(JG19&gt;=JK$31,JG19&lt;&gt;""),AND(JJ19&gt;=JK$31,JJ19&lt;&gt;""),AND(KH19&gt;=KS$31,KH19&lt;&gt;""),AND(KK19&gt;=KS$31,KK19&lt;&gt;""),AND(KO19&gt;=KS$31,KO19&lt;&gt;""),AND(KR19&gt;=KS$31,KR19&lt;&gt;""),AND(LP19&gt;=MA$31,LP19&lt;&gt;""),AND(LS19&gt;=MA$31,LS19&lt;&gt;""),AND(LW19&gt;=MA$31,LW19&lt;&gt;""),AND(LZ19&gt;=MA$31,LZ19&lt;&gt;""),AND(MX19&gt;=NI$31,MX19&lt;&gt;""),AND(NA19&gt;=NI$31,NA19&lt;&gt;""),AND(NE19&gt;=NI$31,NE19&lt;&gt;""),AND(NH19&gt;=NI$31,NH19&lt;&gt;""),AND(OF19&gt;=OQ$31,OF19&lt;&gt;""),AND(OI19&gt;=OQ$31,OI19&lt;&gt;""),AND(OM19&gt;=OQ$31,OM19&lt;&gt;""),AND(OP19&gt;=OQ$31,OP19&lt;&gt;""),AND(PN19&gt;=PY$31,PN19&lt;&gt;""),AND(PQ19&gt;=PY$31,PQ19&lt;&gt;""),AND(PU19&gt;=PY$31,PU19&lt;&gt;""),AND(PX19&gt;=PY$31,PX19&lt;&gt;""),AND(QV19&gt;=RG$31,QV19&lt;&gt;""),AND(QY19&gt;=RG$31,QY19&lt;&gt;""),AND(RC19&gt;=RG$31,RC19&lt;&gt;""),AND(RF19&gt;=RG$31,RF19&lt;&gt;""),AND(SD19&gt;=SO$31,SD19&lt;&gt;""),AND(SG19&gt;=SO$31,SG19&lt;&gt;""),AND(SK19&gt;=SO$31,SK19&lt;&gt;""),AND(SN19&gt;=SO$31,SN19&lt;&gt;""),AND(TL19&gt;=TW$31,TL19&lt;&gt;""),AND(TO19&gt;=TW$31,TO19&lt;&gt;""),AND(TS19&gt;=TW$31,TXQ19&lt;&gt;""),AND(TV19&gt;=TW$31,TV19&lt;&gt;""),AND(UT19&gt;=VE$31,UT19&lt;&gt;""),AND(UW19&gt;=VE$31,UW19&lt;&gt;""),AND(VA19&gt;=VE$31,VA19&lt;&gt;""),AND(VD19&gt;=VE$31,VD19&lt;&gt;""),AND(WB19&gt;=WM$31,WB19&lt;&gt;""),AND(WE19&gt;=WM$31,WE19&lt;&gt;""),AND(WI19&gt;=WM$31,WI19&lt;&gt;""),AND(WL19&gt;=WM$31,WL19&lt;&gt;"")),"P","")</f>
        <v/>
      </c>
      <c r="H19" s="32" t="str">
        <f>IF(AND(G19="P",F19=""),"No DD",IF(OR(AND(AI19&gt;=AS$30,AI19&lt;&gt;"",AK19&gt;=AS$34,AK19&lt;&gt;"",AH19=""),AND(AL19&gt;=AS$30,AL19&lt;&gt;"",AN19&gt;=AS$34,AN19&lt;&gt;"",AH19=""),AND(AP19&gt;=AS$30,AP19&lt;&gt;"",AR19&gt;=AS$34,AR19&lt;&gt;"",AH19=""),AND(BJ19&gt;=BT$30,BJ19&lt;&gt;"",BL19&gt;=BT$34,BL19&lt;&gt;"",BI19=""),AND(BM19&gt;=BT$30,BM19&lt;&gt;"",BO19&gt;=BT$34,BO19&lt;&gt;"",BI19=""),AND(BQ19&gt;=BT$30,BQ19&lt;&gt;"",BS19&gt;=BT$34,BS19&lt;&gt;"",BI19=""),AND(CK19&gt;=CU$30,CK19&lt;&gt;"",CM19&gt;=CU$34,CM19&lt;&gt;"",CJ19=""),AND(CN19&gt;=CU$30,CN19&lt;&gt;"",CP19&gt;=CU$34,CP19&lt;&gt;"",CJ19=""),AND(CR19&gt;=CU$30,CR19&lt;&gt;"",CT19&gt;=CU$34,CT19&lt;&gt;"",CJ19=""),AND(DR19&gt;=EE$30,DR19&lt;&gt;"",DT19&gt;=EE$34,DT19&lt;&gt;""),AND(DU19&gt;=EE$30,DU19&lt;&gt;"",DW19&gt;=EE$34,DW19&lt;&gt;""),AND(DY19&gt;=EE$30,DY19&lt;&gt;"",EA19&gt;=EE$34,EA19&lt;&gt;""),AND(EB19&gt;=EE$30,EB19&lt;&gt;"",ED19&gt;=EE$34,ED19&lt;&gt;""),AND(EZ19&gt;=FM$30,EZ19&lt;&gt;"",FB19&gt;=FM$34,FB19&lt;&gt;""),AND(FC19&gt;=FM$30,FC19&lt;&gt;"",FE19&gt;=FM$34,FE19&lt;&gt;""),AND(FG19&gt;=FM$30,FG19&lt;&gt;"",FI19&gt;=FM$34,FI19&lt;&gt;""),AND(FJ19&gt;=FM$30,FJ19&lt;&gt;"",FL19&gt;=FM$34,FL19&lt;&gt;""),AND(GH19&gt;=GU$30,GH19&lt;&gt;"",GJ19&gt;=GU$34,GJ19&lt;&gt;""),AND(GK19&gt;=GU$30,GK19&lt;&gt;"",GM19&gt;=GU$34,GM19&lt;&gt;""),AND(GO19&gt;=GU$30,GO19&lt;&gt;"",GQ19&gt;=GU$34,GQ19&lt;&gt;""),AND(GR19&gt;=GU$30,GR19&lt;&gt;"",GT19&gt;=GU$34,GT19&lt;&gt;""),AND(HP19&gt;=IC$30,HP19&lt;&gt;"",HR19&gt;=IC$34,HR19&lt;&gt;""),AND(HS19&gt;=IC$30,HS19&lt;&gt;"",HU19&gt;=IC$34,HU19&lt;&gt;""),AND(HW19&gt;=IC$30,HW19&lt;&gt;"",HY19&gt;=IC$34,HY19&lt;&gt;""),AND(HZ19&gt;=IC$30,HZ19&lt;&gt;"",IB19&gt;=IC$34,IB19&lt;&gt;""),AND(IX19&gt;=JK$30,IX19&lt;&gt;"",IZ19&gt;=JK$34,IZ19&lt;&gt;""),AND(JA19&gt;=JK$30,JA19&lt;&gt;"",JC19&gt;=JK$34,JC19&lt;&gt;""),AND(JE19&gt;=JK$30,JE19&lt;&gt;"",JG19&gt;=JK$34,JG19&lt;&gt;""),AND(JH19&gt;=JK$30,JH19&lt;&gt;"",JJ19&gt;=JK$34,JJ19&lt;&gt;""),AND(KF19&gt;=KS$30,KF19&lt;&gt;"",KH19&gt;=KS$34,KH19&lt;&gt;""),AND(KI19&gt;=KS$30,KI19&lt;&gt;"",KK19&gt;=KS$34,KK19&lt;&gt;""),AND(KM19&gt;=KS$30,KM19&lt;&gt;"",KO19&gt;=KS$34,KO19&lt;&gt;""),AND(KP19&gt;=KS$30,KP19&lt;&gt;"",KR19&gt;=KS$34,KR19&lt;&gt;""),AND(LN19&gt;=MA$30,LN19&lt;&gt;"",LP19&gt;=MA$34,LP19&lt;&gt;""),AND(LQ19&gt;=MA$30,LQ19&lt;&gt;"",LS19&gt;=MA$34,LS19&lt;&gt;""),AND(LU19&gt;=MA$30,LU19&lt;&gt;"",LW19&gt;=MA$34,LW19&lt;&gt;""),AND(LX19&gt;=MA$30,LX19&lt;&gt;"",LZ19&gt;=MA$34,LZ19&lt;&gt;""),AND(MV19&gt;=NI$30,MV19&lt;&gt;"",MX19&gt;=NI$34,MX19&lt;&gt;""),AND(MY19&gt;=NI$30,MY19&lt;&gt;"",NA19&gt;=NI$34,NA19&lt;&gt;""),AND(NC19&gt;=NI$30,NC19&lt;&gt;"",NE19&gt;=NI$34,NE19&lt;&gt;""),AND(NF19&gt;=NI$30,NF19&lt;&gt;"",NH19&gt;=NI$34,NH19&lt;&gt;""),AND(OD19&gt;=OQ$30,OD19&lt;&gt;"",OF19&gt;=OQ$34,OF19&lt;&gt;""),AND(OG19&gt;=OQ$30,OG19&lt;&gt;"",OI19&gt;=OQ$34,OI19&lt;&gt;""),AND(OK19&gt;=OQ$30,OK19&lt;&gt;"",OM19&gt;=OQ$34,OM19&lt;&gt;""),AND(ON19&gt;=OQ$30,ON19&lt;&gt;"",OP19&gt;=OQ$34,OP19&lt;&gt;""),AND(PL19&gt;=PY$30,PL19&lt;&gt;"",PN19&gt;=PY$34,PN19&lt;&gt;""),AND(PO19&gt;=PY$30,PO19&lt;&gt;"",PQ19&gt;=PY$34,PQ19&lt;&gt;""),AND(PS19&gt;=PY$30,PS19&lt;&gt;"",PU19&gt;=PY$34,PU19&lt;&gt;""),AND(PV19&gt;=PY$30,PV19&lt;&gt;"",PX19&gt;=PY$34,PX19&lt;&gt;""),AND(QT19&gt;=RG$30,QT19&lt;&gt;"",QV19&gt;=RG$34,QV19&lt;&gt;""),AND(QW19&gt;=RG$30,QW19&lt;&gt;"",QY19&gt;=RG$34,QY19&lt;&gt;""),AND(RA19&gt;=RG$30,RA19&lt;&gt;"",RC19&gt;=RG$34,RC19&lt;&gt;""),AND(RD19&gt;=RG$30,RD19&lt;&gt;"",RF19&gt;=RG$34,RF19&lt;&gt;""),AND(SB19&gt;=SO$30,SB19&lt;&gt;"",SD19&gt;=SO$34,SD19&lt;&gt;""),AND(SE19&gt;=SO$30,SE19&lt;&gt;"",SG19&gt;=SO$34,SG19&lt;&gt;""),AND(SI19&gt;=SO$30,SI19&lt;&gt;"",SK19&gt;=SO$34,SK19&lt;&gt;""),AND(SL19&gt;=SO$30,SL19&lt;&gt;"",SN19&gt;=SO$34,SN19&lt;&gt;""),AND(TJ19&gt;=TW$30,TJ19&lt;&gt;"",TL19&gt;=TW$34,TL19&lt;&gt;""),AND(TM19&gt;=TW$30,TM19&lt;&gt;"",TO19&gt;=TW$34,TO19&lt;&gt;""),AND(TQ19&gt;=TW$30,TQ19&lt;&gt;"",TS19&gt;=TW$354,TXQ19&lt;&gt;""),AND(TT19&gt;=TW$30,TT19&lt;&gt;"",TV19&gt;=TW$34,TV19&lt;&gt;""),AND(UR19&gt;=VE$30,UR19&lt;&gt;"",UT19&gt;=VE$34,UT19&lt;&gt;""),AND(UU19&gt;=VE$30,UU19&lt;&gt;"",UW19&gt;=VE$34,UW19&lt;&gt;""),AND(UY19&gt;=VE$30,UY19&lt;&gt;"",VA19&gt;=VE$34,VA19&lt;&gt;""),AND(VB19&gt;=VE$30,VB19&lt;&gt;"",VD19&gt;=VE$34,VD19&lt;&gt;""),AND(VZ19&gt;=WM$30,VZ19&lt;&gt;"",WB19&gt;=WM$34,WB19&lt;&gt;""),AND(WC19&gt;=WM$30,WC19&lt;&gt;"",WE19&gt;=WM$34,WE19&lt;&gt;""),AND(WG19&gt;=WM$30,WG19&lt;&gt;"",WI19&gt;=WM$34,WI19&lt;&gt;""),AND(WJ19&gt;=WM$30,WJ19&lt;&gt;"",WL19&gt;=WM$34,WL19&lt;&gt;"")),"Merit",IF(OR(AND(AI19&gt;=AS$29,AI19&lt;&gt;"",AK19&gt;=AS$33,AK19&lt;&gt;"",AH19=""),AND(AL19&gt;=AS$29,AL19&lt;&gt;"",AN19&gt;=AS$33,AN19&lt;&gt;"",AH19=""),AND(AP19&gt;=AS$29,AP19&lt;&gt;"",AR19&gt;=AS$33,AR19&lt;&gt;"",AH19=""),AND(BJ19&gt;=BT$29,BJ19&lt;&gt;"",BL19&gt;=BT$33,BL19&lt;&gt;"",BI19=""),AND(BM19&gt;=BT$29,BM19&lt;&gt;"",BO19&gt;=BT$33,BO19&lt;&gt;"",BI19=""),AND(BQ19&gt;=BT$29,BQ19&lt;&gt;"",BS19&gt;=BT$33,BS19&lt;&gt;"",BI19=""),AND(CK19&gt;=CU$29,CK19&lt;&gt;"",CM19&gt;=CU$33,CM19&lt;&gt;"",CJ19=""),AND(CN19&gt;=CU$29,CN19&lt;&gt;"",CP19&gt;=CU$33,CP19&lt;&gt;"",CJ19=""),AND(CR19&gt;=CU$29,CR19&lt;&gt;"",CT19&gt;=CU$33,CT19&lt;&gt;"",CJ19=""),AND(DR19&gt;=EE$29,DR19&lt;&gt;"",DT19&gt;=EE$33,DT19&lt;&gt;""),AND(DU19&gt;=EE$29,DU19&lt;&gt;"",DW19&gt;=EE$33,DW19&lt;&gt;""),AND(DY19&gt;=EE$29,DY19&lt;&gt;"",EA19&gt;=EE$33,EA19&lt;&gt;""),AND(EB19&gt;=EE$29,EB19&lt;&gt;"",ED19&gt;=EE$33,ED19&lt;&gt;""),AND(EZ19&gt;=FM$29,EZ19&lt;&gt;"",FB19&gt;=FM$33,FB19&lt;&gt;""),AND(FC19&gt;=FM$29,FC19&lt;&gt;"",FE19&gt;=FM$33,FE19&lt;&gt;""),AND(FG19&gt;=FM$29,FG19&lt;&gt;"",FI19&gt;=FM$33,FI19&lt;&gt;""),AND(FJ19&gt;=FM$29,FJ19&lt;&gt;"",FL19&gt;=FM$33,FL19&lt;&gt;""),AND(GH19&gt;=GU$29,GH19&lt;&gt;"",GJ19&gt;=GU$33,GJ19&lt;&gt;""),AND(GK19&gt;=GU$29,GK19&lt;&gt;"",GM19&gt;=GU$33,GM19&lt;&gt;""),AND(GO19&gt;=GU$29,GO19&lt;&gt;"",GQ19&gt;=GU$33,GQ19&lt;&gt;""),AND(GR19&gt;=GU$29,GR19&lt;&gt;"",GT19&gt;=GU$33,GT19&lt;&gt;""),AND(HP19&gt;=IC$29,HP19&lt;&gt;"",HR19&gt;=IC$33,HR19&lt;&gt;""),AND(HS19&gt;=IC$29,HS19&lt;&gt;"",HU19&gt;=IC$33,HU19&lt;&gt;""),AND(HW19&gt;=IC$29,HW19&lt;&gt;"",HY19&gt;=IC$33,HY19&lt;&gt;""),AND(HZ19&gt;=IC$29,HZ19&lt;&gt;"",IB19&gt;=IC$33,IB19&lt;&gt;""),AND(IX19&gt;=JK$29,IX19&lt;&gt;"",IZ19&gt;=JK$33,IZ19&lt;&gt;""),AND(JA19&gt;=JK$29,JA19&lt;&gt;"",JC19&gt;=JK$33,JC19&lt;&gt;""),AND(JE19&gt;=JK$29,JE19&lt;&gt;"",JG19&gt;=JK$33,JG19&lt;&gt;""),AND(JH19&gt;=JK$29,JH19&lt;&gt;"",JJ19&gt;=JK$33,JJ19&lt;&gt;""),AND(KF19&gt;=KS$29,KF19&lt;&gt;"",KH19&gt;=KS$33,KH19&lt;&gt;""),AND(KI19&gt;=KS$29,KI19&lt;&gt;"",KK19&gt;=KS$33,KK19&lt;&gt;""),AND(KM19&gt;=KS$29,KM19&lt;&gt;"",KO19&gt;=KS$33,KO19&lt;&gt;""),AND(KP19&gt;=KS$29,KP19&lt;&gt;"",KR19&gt;=KS$33,KR19&lt;&gt;""),AND(LN19&gt;=MA$29,LN19&lt;&gt;"",LP19&gt;=MA$33,LP19&lt;&gt;""),AND(LQ19&gt;=MA$29,LQ19&lt;&gt;"",LS19&gt;=MA$33,LS19&lt;&gt;""),AND(LU19&gt;=MA$29,LU19&lt;&gt;"",LW19&gt;=MA$33,LW19&lt;&gt;""),AND(LX19&gt;=MA$29,LX19&lt;&gt;"",LZ19&gt;=MA$33,LZ19&lt;&gt;""),AND(MV19&gt;=NI$29,MV19&lt;&gt;"",MX19&gt;=NI$33,MX19&lt;&gt;""),AND(MY19&gt;=NI$29,MY19&lt;&gt;"",NA19&gt;=NI$33,NA19&lt;&gt;""),AND(NC19&gt;=NI$29,NC19&lt;&gt;"",NE19&gt;=NI$33,NE19&lt;&gt;""),AND(NF19&gt;=NI$29,NF19&lt;&gt;"",NH19&gt;=NI$33,NH19&lt;&gt;""),AND(OD19&gt;=OQ$29,OD19&lt;&gt;"",OF19&gt;=OQ$33,OF19&lt;&gt;""),AND(OG19&gt;=OQ$29,OG19&lt;&gt;"",OI19&gt;=OQ$33,OI19&lt;&gt;""),AND(OK19&gt;=OQ$29,OK19&lt;&gt;"",OM19&gt;=OQ$33,OM19&lt;&gt;""),AND(ON19&gt;=OQ$29,ON19&lt;&gt;"",OP19&gt;=OQ$33,OP19&lt;&gt;""),AND(PL19&gt;=PY$29,PL19&lt;&gt;"",PN19&gt;=PY$33,PN19&lt;&gt;""),AND(PO19&gt;=PY$29,PO19&lt;&gt;"",PQ19&gt;=PY$33,PQ19&lt;&gt;""),AND(PS19&gt;=PY$29,PS19&lt;&gt;"",PU19&gt;=PY$33,PU19&lt;&gt;""),AND(PV19&gt;=PY$29,PV19&lt;&gt;"",PX19&gt;=PY$33,PX19&lt;&gt;""),AND(QT19&gt;=RG$29,QT19&lt;&gt;"",QV19&gt;=RG$33,QV19&lt;&gt;""),AND(QW19&gt;=RG$29,QW19&lt;&gt;"",QY19&gt;=RG$33,QY19&lt;&gt;""),AND(RA19&gt;=RG$29,RA19&lt;&gt;"",RC19&gt;=RG$33,RC19&lt;&gt;""),AND(RD19&gt;=RG$29,RD19&lt;&gt;"",RF19&gt;=RG$33,RF19&lt;&gt;""),AND(SB19&gt;=SO$29,SB19&lt;&gt;"",SD19&gt;=SO$33,SD19&lt;&gt;""),AND(SE19&gt;=SO$29,SE19&lt;&gt;"",SG19&gt;=SO$33,SG19&lt;&gt;""),AND(SI19&gt;=SO$29,SI19&lt;&gt;"",SK19&gt;=SO$33,SK19&lt;&gt;""),AND(SL19&gt;=SO$29,SL19&lt;&gt;"",SN19&gt;=SO$33,SN19&lt;&gt;""),AND(TJ19&gt;=TW$29,TJ19&lt;&gt;"",TL19&gt;=TW$33,TL19&lt;&gt;""),AND(TM19&gt;=TW$29,TM19&lt;&gt;"",TO19&gt;=TW$33,TO19&lt;&gt;""),AND(TQ19&gt;=TW$29,TQ19&lt;&gt;"",TS19&gt;=TW$33,TXQ19&lt;&gt;""),AND(TT19&gt;=TW$29,TT19&lt;&gt;"",TV19&gt;=TW$33,TV19&lt;&gt;""),AND(UR19&gt;=VE$29,UR19&lt;&gt;"",UT19&gt;=VE$33,UT19&lt;&gt;""),AND(UU19&gt;=VE$29,UU19&lt;&gt;"",UW19&gt;=VE$33,UW19&lt;&gt;""),AND(UY19&gt;=VE$29,UY19&lt;&gt;"",VA19&gt;=VE$33,VA19&lt;&gt;""),AND(VB19&gt;=VE$29,VB19&lt;&gt;"",VD19&gt;=VE$33,VD19&lt;&gt;""),AND(VZ19&gt;=WM$29,VZ19&lt;&gt;"",WB19&gt;=WM$33,WB19&lt;&gt;""),AND(WC19&gt;=WM$29,WC19&lt;&gt;"",WE19&gt;=WM$33,WE19&lt;&gt;""),AND(WG19&gt;=WM$29,WG19&lt;&gt;"",WI19&gt;=WM$33,WI19&lt;&gt;""),AND(WJ19&gt;=WM$29,WJ19&lt;&gt;"",WL19&gt;=WM$33,WL19&lt;&gt;"")),"Excellence",IF(I19="P","Worlds Team",IF(F19="P","National Team","")))))</f>
        <v/>
      </c>
      <c r="I19" s="3" t="str">
        <f>IF(OR(AND(AI19&gt;=AS$28,AI19&lt;&gt;"",AK19&gt;=AS$32,AK19&lt;&gt;"",AH19=""),AND(AL19&gt;=AS$28,AL19&lt;&gt;"",AN19&gt;=AS$32,AN19&lt;&gt;"",AH19=""),AND(AP19&gt;=AS$28,AP19&lt;&gt;"",AR19&gt;=AS$32,AR19&lt;&gt;"",AH19=""),AND(BJ19&gt;=BT$28,BJ19&lt;&gt;"",BL19&gt;=BT$32,BL19&lt;&gt;"",BI19=""),AND(BM19&gt;=BT$28,BM19&lt;&gt;"",BO19&gt;=BT$32,BO19&lt;&gt;"",BI19=""),AND(BQ19&gt;=BT$28,BQ19&lt;&gt;"",BS19&gt;=BT$32,BS19&lt;&gt;"",BI19=""),AND(CK19&gt;=CU$28,CK19&lt;&gt;"",CM19&gt;=CU$32,CM19&lt;&gt;"",CJ19=""),AND(CN19&gt;=CU$28,CN19&lt;&gt;"",CP19&gt;=CU$32,CP19&lt;&gt;"",CJ19=""),AND(CR19&gt;=CU$28,CR19&lt;&gt;"",CT19&gt;=CU$32,CT19&lt;&gt;"",CJ19=""),AND(DR19&gt;=EE$28,DR19&lt;&gt;"",DT19&gt;=EE$32,DT19&lt;&gt;""),AND(DU19&gt;=EE$28,DU19&lt;&gt;"",DW19&gt;=EE$32,DW19&lt;&gt;""),AND(DY19&gt;=EE$28,DY19&lt;&gt;"",EA19&gt;=EE$32,EA19&lt;&gt;""),AND(EB19&gt;=EE$28,EB19&lt;&gt;"",ED19&gt;=EE$32,ED19&lt;&gt;""),AND(EZ19&gt;=FM$28,EZ19&lt;&gt;"",FB19&gt;=FM$32,FB19&lt;&gt;""),AND(FC19&gt;=FM$28,FC19&lt;&gt;"",FE19&gt;=FM$32,FE19&lt;&gt;""),AND(FG19&gt;=FM$28,FG19&lt;&gt;"",FI19&gt;=FM$32,FI19&lt;&gt;""),AND(FJ19&gt;=FM$28,FJ19&lt;&gt;"",FL19&gt;=FM$32,FL19&lt;&gt;""),AND(GH19&gt;=GU$28,GH19&lt;&gt;"",GJ19&gt;=GU$32,GJ19&lt;&gt;""),AND(GK19&gt;=GU$28,GK19&lt;&gt;"",GM19&gt;=GU$32,GM19&lt;&gt;""),AND(GO19&gt;=GU$28,GO19&lt;&gt;"",GQ19&gt;=GU$32,GQ19&lt;&gt;""),AND(GR19&gt;=GU$28,GR19&lt;&gt;"",GT19&gt;=GU$32,GT19&lt;&gt;""),AND(HP19&gt;=IC$28,HP19&lt;&gt;"",HR19&gt;=IC$32,HR19&lt;&gt;""),AND(HS19&gt;=IC$28,HS19&lt;&gt;"",HU19&gt;=IC$32,HU19&lt;&gt;""),AND(HW19&gt;=IC$28,HW19&lt;&gt;"",HY19&gt;=IC$32,HY19&lt;&gt;""),AND(HZ19&gt;=IC$28,HZ19&lt;&gt;"",IB19&gt;=IC$32,IB19&lt;&gt;""),AND(IX19&gt;=JK$28,IX19&lt;&gt;"",IZ19&gt;=JK$32,IZ19&lt;&gt;""),AND(JA19&gt;=JK$28,JA19&lt;&gt;"",JC19&gt;=JK$32,JC19&lt;&gt;""),AND(JE19&gt;=JK$28,JE19&lt;&gt;"",JG19&gt;=JK$32,JG19&lt;&gt;""),AND(JH19&gt;=JK$28,JH19&lt;&gt;"",JJ19&gt;=JK$32,JJ19&lt;&gt;""),AND(KF19&gt;=KS$28,KF19&lt;&gt;"",KH19&gt;=KS$32,KH19&lt;&gt;""),AND(KI19&gt;=KS$28,KI19&lt;&gt;"",KK19&gt;=KS$32,KK19&lt;&gt;""),AND(KM19&gt;=KS$28,KM19&lt;&gt;"",KO19&gt;=KS$32,KO19&lt;&gt;""),AND(KP19&gt;=KS$28,KP19&lt;&gt;"",KR19&gt;=KS$32,KR19&lt;&gt;""),AND(LN19&gt;=MA$28,LN19&lt;&gt;"",LP19&gt;=MA$32,LP19&lt;&gt;""),AND(LQ19&gt;=MA$28,LQ19&lt;&gt;"",LS19&gt;=MA$32,LS19&lt;&gt;""),AND(LU19&gt;=MA$28,LU19&lt;&gt;"",LW19&gt;=MA$32,LW19&lt;&gt;""),AND(LX19&gt;=MA$28,LX19&lt;&gt;"",LZ19&gt;=MA$32,LZ19&lt;&gt;""),AND(MV19&gt;=NI$28,MV19&lt;&gt;"",MX19&gt;=NI$32,MX19&lt;&gt;""),AND(MY19&gt;=NI$28,MY19&lt;&gt;"",NA19&gt;=NI$32,NA19&lt;&gt;""),AND(NC19&gt;=NI$28,NC19&lt;&gt;"",NE19&gt;=NI$32,NE19&lt;&gt;""),AND(NF19&gt;=NI$28,NF19&lt;&gt;"",NH19&gt;=NI$32,NH19&lt;&gt;""),AND(OD19&gt;=OQ$28,OD19&lt;&gt;"",OF19&gt;=OQ$32,OF19&lt;&gt;""),AND(OG19&gt;=OQ$28,OG19&lt;&gt;"",OI19&gt;=OQ$32,OI19&lt;&gt;""),AND(OK19&gt;=OQ$28,OK19&lt;&gt;"",OM19&gt;=OQ$32,OM19&lt;&gt;""),AND(ON19&gt;=OQ$28,ON19&lt;&gt;"",OP19&gt;=OQ$32,OP19&lt;&gt;""),AND(PL19&gt;=PY$28,PL19&lt;&gt;"",PN19&gt;=PY$32,PN19&lt;&gt;""),AND(PO19&gt;=PY$28,PO19&lt;&gt;"",PQ19&gt;=PY$32,PQ19&lt;&gt;""),AND(PS19&gt;=PY$28,PS19&lt;&gt;"",PU19&gt;=PY$32,PU19&lt;&gt;""),AND(PV19&gt;=PY$28,PV19&lt;&gt;"",PX19&gt;=PY$32,PX19&lt;&gt;""),AND(QT19&gt;=RG$28,QT19&lt;&gt;"",QV19&gt;=RG$32,QV19&lt;&gt;""),AND(QW19&gt;=RG$28,QW19&lt;&gt;"",QY19&gt;=RG$32,QY19&lt;&gt;""),AND(RA19&gt;=RG$28,RA19&lt;&gt;"",RC19&gt;=RG$32,RC19&lt;&gt;""),AND(RD19&gt;=RG$28,RD19&lt;&gt;"",RF19&gt;=RG$32,RF19&lt;&gt;""),AND(SB19&gt;=SO$28,SB19&lt;&gt;"",SD19&gt;=SO$32,SD19&lt;&gt;""),AND(SE19&gt;=SO$28,SE19&lt;&gt;"",SG19&gt;=SO$32,SG19&lt;&gt;""),AND(SI19&gt;=SO$28,SI19&lt;&gt;"",SK19&gt;=SO$32,SK19&lt;&gt;""),AND(SL19&gt;=SO$28,SL19&lt;&gt;"",SN19&gt;=SO$32,SN19&lt;&gt;""),AND(TJ19&gt;=TW$28,TJ19&lt;&gt;"",TL19&gt;=TW$32,TL19&lt;&gt;""),AND(TM19&gt;=TW$28,TM19&lt;&gt;"",TO19&gt;=TW$32,TO19&lt;&gt;""),AND(TQ19&gt;=TW$28,TQ19&lt;&gt;"",TS19&gt;=TW$32,TXQ19&lt;&gt;""),AND(TT19&gt;=TW$28,TT19&lt;&gt;"",TV19&gt;=TW$32,TV19&lt;&gt;""),AND(UR19&gt;=VE$28,UR19&lt;&gt;"",UT19&gt;=VE$32,UT19&lt;&gt;""),AND(UU19&gt;=VE$28,UU19&lt;&gt;"",UW19&gt;=VE$32,UW19&lt;&gt;""),AND(UY19&gt;=VE$28,UY19&lt;&gt;"",VA19&gt;=VE$32,VA19&lt;&gt;""),AND(VB19&gt;=VE$28,VB19&lt;&gt;"",VD19&gt;=VE$32,VD19&lt;&gt;""),AND(VZ19&gt;=WM$28,VZ19&lt;&gt;"",WB19&gt;=WM$32,WB19&lt;&gt;""),AND(WC19&gt;=WM$28,WC19&lt;&gt;"",WE19&gt;=WM$32,WE19&lt;&gt;""),AND(WG19&gt;=WM$28,WG19&lt;&gt;"",WI19&gt;=WM$32,WI19&lt;&gt;""),AND(WJ19&gt;=WM$28,WJ19&lt;&gt;"",WL19&gt;=WM$32,WL19&lt;&gt;"")),"P","")</f>
        <v/>
      </c>
      <c r="J19" s="8">
        <f t="shared" si="1"/>
        <v>52.850000000000009</v>
      </c>
      <c r="K19" s="8" t="str">
        <f t="shared" si="2"/>
        <v>2025 Nationals</v>
      </c>
      <c r="L19" s="8">
        <f>IFERROR(IF(J19=AR19,LARGE((AK19,AN19,BL19,BO19,BS19,CM19,CP19,CT19),1),IF(J19=BS19,LARGE((AK19,AN19,AR19,BL19,BO19,CM19,CP19,CT19),1),LARGE((AK19,AN19,AR19,BL19,BO19,BS19,CM19,CP19),1))),0)</f>
        <v>52.61</v>
      </c>
      <c r="M19" s="8" t="str">
        <f t="shared" si="3"/>
        <v>2025 Nationals</v>
      </c>
      <c r="N19" s="8">
        <f>IFERROR(IF(J19=AR19,LARGE((AK19,AN19,BL19,BO19,BS19,CM19,CP19,CT19),2),IF(J19=BS19,LARGE((AK19,AN19,AR19,BL19,BO19,CM19,CP19,CT19),2),LARGE((AK19,AN19,AR19,BL19,BO19,BS19,CM19,CP19),2))),0)</f>
        <v>5.84</v>
      </c>
      <c r="O19" s="8" t="str">
        <f t="shared" si="4"/>
        <v>2025 Nationals</v>
      </c>
      <c r="P19" s="8">
        <f t="shared" si="5"/>
        <v>0</v>
      </c>
      <c r="Q19" s="11" t="str">
        <f t="shared" si="6"/>
        <v/>
      </c>
      <c r="R19" s="8" t="str">
        <f t="shared" si="7"/>
        <v/>
      </c>
      <c r="S19" s="18">
        <v>13.5</v>
      </c>
      <c r="T19" s="18">
        <v>9.5</v>
      </c>
      <c r="U19" s="18">
        <v>14.6</v>
      </c>
      <c r="V19" s="18">
        <v>15.01</v>
      </c>
      <c r="W19" s="18">
        <v>0</v>
      </c>
      <c r="X19" s="18">
        <v>1.3</v>
      </c>
      <c r="Y19" s="18">
        <v>0.9</v>
      </c>
      <c r="Z19" s="18">
        <v>2</v>
      </c>
      <c r="AA19" s="18">
        <v>1.64</v>
      </c>
      <c r="AB19" s="18">
        <v>0</v>
      </c>
      <c r="AC19" s="18">
        <v>13.9</v>
      </c>
      <c r="AD19" s="18">
        <v>9.3000000000000007</v>
      </c>
      <c r="AE19" s="18">
        <v>14.6</v>
      </c>
      <c r="AF19" s="18">
        <v>15.05</v>
      </c>
      <c r="AG19" s="18">
        <v>0</v>
      </c>
      <c r="AH19" s="23"/>
      <c r="AI19" s="34">
        <f t="shared" si="8"/>
        <v>14.6</v>
      </c>
      <c r="AJ19" s="34">
        <f t="shared" si="9"/>
        <v>15.01</v>
      </c>
      <c r="AK19" s="36">
        <f t="shared" si="10"/>
        <v>52.61</v>
      </c>
      <c r="AL19" s="36">
        <f t="shared" si="11"/>
        <v>2</v>
      </c>
      <c r="AM19" s="36">
        <f t="shared" si="12"/>
        <v>1.64</v>
      </c>
      <c r="AN19" s="36">
        <f t="shared" si="13"/>
        <v>5.84</v>
      </c>
      <c r="AO19" s="36">
        <f t="shared" si="14"/>
        <v>52.61</v>
      </c>
      <c r="AP19" s="36">
        <f t="shared" si="15"/>
        <v>14.6</v>
      </c>
      <c r="AQ19" s="36">
        <f t="shared" si="16"/>
        <v>15.05</v>
      </c>
      <c r="AR19" s="36">
        <f t="shared" si="17"/>
        <v>52.850000000000009</v>
      </c>
      <c r="AS19" s="36">
        <f t="shared" si="18"/>
        <v>105.46000000000001</v>
      </c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4"/>
      <c r="BJ19" s="35" t="str">
        <f t="shared" si="19"/>
        <v/>
      </c>
      <c r="BK19" s="35" t="str">
        <f t="shared" si="20"/>
        <v/>
      </c>
      <c r="BL19" s="11" t="str">
        <f t="shared" si="21"/>
        <v/>
      </c>
      <c r="BM19" s="11" t="str">
        <f t="shared" si="22"/>
        <v/>
      </c>
      <c r="BN19" s="11" t="str">
        <f t="shared" si="23"/>
        <v/>
      </c>
      <c r="BO19" s="11" t="str">
        <f t="shared" si="24"/>
        <v/>
      </c>
      <c r="BP19" s="11" t="str">
        <f t="shared" si="25"/>
        <v/>
      </c>
      <c r="BQ19" s="11" t="str">
        <f t="shared" si="26"/>
        <v/>
      </c>
      <c r="BR19" s="11" t="str">
        <f t="shared" si="27"/>
        <v/>
      </c>
      <c r="BS19" s="11" t="str">
        <f t="shared" si="28"/>
        <v/>
      </c>
      <c r="BT19" s="11" t="str">
        <f t="shared" si="29"/>
        <v/>
      </c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23"/>
      <c r="CK19" s="34" t="str">
        <f t="shared" si="30"/>
        <v/>
      </c>
      <c r="CL19" s="34" t="str">
        <f t="shared" si="31"/>
        <v/>
      </c>
      <c r="CM19" s="36" t="str">
        <f t="shared" si="32"/>
        <v/>
      </c>
      <c r="CN19" s="36" t="str">
        <f t="shared" si="33"/>
        <v/>
      </c>
      <c r="CO19" s="36" t="str">
        <f t="shared" si="34"/>
        <v/>
      </c>
      <c r="CP19" s="36" t="str">
        <f t="shared" si="35"/>
        <v/>
      </c>
      <c r="CQ19" s="36" t="str">
        <f t="shared" si="36"/>
        <v/>
      </c>
      <c r="CR19" s="36" t="str">
        <f t="shared" si="37"/>
        <v/>
      </c>
      <c r="CS19" s="36" t="str">
        <f t="shared" si="38"/>
        <v/>
      </c>
      <c r="CT19" s="36" t="str">
        <f t="shared" si="39"/>
        <v/>
      </c>
      <c r="CU19" s="36" t="str">
        <f t="shared" si="40"/>
        <v/>
      </c>
      <c r="CV19" s="47" t="str">
        <f t="shared" si="41"/>
        <v/>
      </c>
      <c r="CW19" s="47" t="str">
        <f t="shared" si="42"/>
        <v/>
      </c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36" t="str">
        <f t="shared" si="43"/>
        <v/>
      </c>
      <c r="DS19" s="36" t="str">
        <f t="shared" si="44"/>
        <v/>
      </c>
      <c r="DT19" s="36" t="str">
        <f t="shared" si="45"/>
        <v/>
      </c>
      <c r="DU19" s="36" t="str">
        <f t="shared" si="46"/>
        <v/>
      </c>
      <c r="DV19" s="36" t="str">
        <f t="shared" si="47"/>
        <v/>
      </c>
      <c r="DW19" s="36" t="str">
        <f t="shared" si="48"/>
        <v/>
      </c>
      <c r="DX19" s="36" t="str">
        <f t="shared" si="49"/>
        <v/>
      </c>
      <c r="DY19" s="36" t="str">
        <f t="shared" si="50"/>
        <v/>
      </c>
      <c r="DZ19" s="36" t="str">
        <f t="shared" si="51"/>
        <v/>
      </c>
      <c r="EA19" s="36" t="str">
        <f t="shared" si="52"/>
        <v/>
      </c>
      <c r="EB19" s="36" t="str">
        <f t="shared" si="53"/>
        <v/>
      </c>
      <c r="EC19" s="36" t="str">
        <f t="shared" si="54"/>
        <v/>
      </c>
      <c r="ED19" s="36" t="str">
        <f t="shared" si="55"/>
        <v/>
      </c>
      <c r="EE19" s="36" t="str">
        <f t="shared" si="56"/>
        <v/>
      </c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1" t="str">
        <f t="shared" si="57"/>
        <v/>
      </c>
      <c r="FA19" s="11" t="str">
        <f t="shared" si="58"/>
        <v/>
      </c>
      <c r="FB19" s="11" t="str">
        <f t="shared" si="59"/>
        <v/>
      </c>
      <c r="FC19" s="11" t="str">
        <f t="shared" si="60"/>
        <v/>
      </c>
      <c r="FD19" s="11" t="str">
        <f t="shared" si="61"/>
        <v/>
      </c>
      <c r="FE19" s="11" t="str">
        <f t="shared" si="62"/>
        <v/>
      </c>
      <c r="FF19" s="11" t="str">
        <f t="shared" si="63"/>
        <v/>
      </c>
      <c r="FG19" s="11" t="str">
        <f t="shared" si="64"/>
        <v/>
      </c>
      <c r="FH19" s="11" t="str">
        <f t="shared" si="65"/>
        <v/>
      </c>
      <c r="FI19" s="11" t="str">
        <f t="shared" si="66"/>
        <v/>
      </c>
      <c r="FJ19" s="11" t="str">
        <f t="shared" si="67"/>
        <v/>
      </c>
      <c r="FK19" s="11" t="str">
        <f t="shared" si="68"/>
        <v/>
      </c>
      <c r="FL19" s="11" t="str">
        <f t="shared" si="69"/>
        <v/>
      </c>
      <c r="FM19" s="11" t="str">
        <f t="shared" si="70"/>
        <v/>
      </c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36" t="str">
        <f t="shared" si="71"/>
        <v/>
      </c>
      <c r="GI19" s="36" t="str">
        <f t="shared" si="72"/>
        <v/>
      </c>
      <c r="GJ19" s="36" t="str">
        <f t="shared" si="73"/>
        <v/>
      </c>
      <c r="GK19" s="36" t="str">
        <f t="shared" si="74"/>
        <v/>
      </c>
      <c r="GL19" s="36" t="str">
        <f t="shared" si="75"/>
        <v/>
      </c>
      <c r="GM19" s="36" t="str">
        <f t="shared" si="76"/>
        <v/>
      </c>
      <c r="GN19" s="36" t="str">
        <f t="shared" si="77"/>
        <v/>
      </c>
      <c r="GO19" s="36" t="str">
        <f t="shared" si="78"/>
        <v/>
      </c>
      <c r="GP19" s="36" t="str">
        <f t="shared" si="79"/>
        <v/>
      </c>
      <c r="GQ19" s="36" t="str">
        <f t="shared" si="80"/>
        <v/>
      </c>
      <c r="GR19" s="36" t="str">
        <f t="shared" si="81"/>
        <v/>
      </c>
      <c r="GS19" s="36" t="str">
        <f t="shared" si="82"/>
        <v/>
      </c>
      <c r="GT19" s="36" t="str">
        <f t="shared" si="83"/>
        <v/>
      </c>
      <c r="GU19" s="36" t="str">
        <f t="shared" si="84"/>
        <v/>
      </c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1" t="str">
        <f t="shared" si="85"/>
        <v/>
      </c>
      <c r="HQ19" s="11" t="str">
        <f t="shared" si="86"/>
        <v/>
      </c>
      <c r="HR19" s="11" t="str">
        <f t="shared" si="87"/>
        <v/>
      </c>
      <c r="HS19" s="11" t="str">
        <f t="shared" si="88"/>
        <v/>
      </c>
      <c r="HT19" s="11" t="str">
        <f t="shared" si="89"/>
        <v/>
      </c>
      <c r="HU19" s="11" t="str">
        <f t="shared" si="90"/>
        <v/>
      </c>
      <c r="HV19" s="11" t="str">
        <f t="shared" si="91"/>
        <v/>
      </c>
      <c r="HW19" s="11" t="str">
        <f t="shared" si="92"/>
        <v/>
      </c>
      <c r="HX19" s="11" t="str">
        <f t="shared" si="93"/>
        <v/>
      </c>
      <c r="HY19" s="11" t="str">
        <f t="shared" si="94"/>
        <v/>
      </c>
      <c r="HZ19" s="11" t="str">
        <f t="shared" si="95"/>
        <v/>
      </c>
      <c r="IA19" s="11" t="str">
        <f t="shared" si="96"/>
        <v/>
      </c>
      <c r="IB19" s="11" t="str">
        <f t="shared" si="97"/>
        <v/>
      </c>
      <c r="IC19" s="11" t="str">
        <f t="shared" si="98"/>
        <v/>
      </c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36" t="str">
        <f t="shared" si="99"/>
        <v/>
      </c>
      <c r="IY19" s="36" t="str">
        <f t="shared" si="100"/>
        <v/>
      </c>
      <c r="IZ19" s="36" t="str">
        <f t="shared" si="101"/>
        <v/>
      </c>
      <c r="JA19" s="36" t="str">
        <f t="shared" si="102"/>
        <v/>
      </c>
      <c r="JB19" s="36" t="str">
        <f t="shared" si="103"/>
        <v/>
      </c>
      <c r="JC19" s="36" t="str">
        <f t="shared" si="104"/>
        <v/>
      </c>
      <c r="JD19" s="36" t="str">
        <f t="shared" si="105"/>
        <v/>
      </c>
      <c r="JE19" s="36" t="str">
        <f t="shared" si="106"/>
        <v/>
      </c>
      <c r="JF19" s="36" t="str">
        <f t="shared" si="107"/>
        <v/>
      </c>
      <c r="JG19" s="36" t="str">
        <f t="shared" si="108"/>
        <v/>
      </c>
      <c r="JH19" s="36" t="str">
        <f t="shared" si="109"/>
        <v/>
      </c>
      <c r="JI19" s="36" t="str">
        <f t="shared" si="110"/>
        <v/>
      </c>
      <c r="JJ19" s="36" t="str">
        <f t="shared" si="111"/>
        <v/>
      </c>
      <c r="JK19" s="36" t="str">
        <f t="shared" si="112"/>
        <v/>
      </c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1" t="str">
        <f t="shared" si="113"/>
        <v/>
      </c>
      <c r="KG19" s="11" t="str">
        <f t="shared" si="114"/>
        <v/>
      </c>
      <c r="KH19" s="11" t="str">
        <f t="shared" si="115"/>
        <v/>
      </c>
      <c r="KI19" s="11" t="str">
        <f t="shared" si="116"/>
        <v/>
      </c>
      <c r="KJ19" s="11" t="str">
        <f t="shared" si="117"/>
        <v/>
      </c>
      <c r="KK19" s="11" t="str">
        <f t="shared" si="118"/>
        <v/>
      </c>
      <c r="KL19" s="11" t="str">
        <f t="shared" si="119"/>
        <v/>
      </c>
      <c r="KM19" s="11" t="str">
        <f t="shared" si="120"/>
        <v/>
      </c>
      <c r="KN19" s="11" t="str">
        <f t="shared" si="121"/>
        <v/>
      </c>
      <c r="KO19" s="11" t="str">
        <f t="shared" si="122"/>
        <v/>
      </c>
      <c r="KP19" s="11" t="str">
        <f t="shared" si="123"/>
        <v/>
      </c>
      <c r="KQ19" s="11" t="str">
        <f t="shared" si="124"/>
        <v/>
      </c>
      <c r="KR19" s="11" t="str">
        <f t="shared" si="125"/>
        <v/>
      </c>
      <c r="KS19" s="11" t="str">
        <f t="shared" si="126"/>
        <v/>
      </c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36" t="str">
        <f t="shared" si="127"/>
        <v/>
      </c>
      <c r="LO19" s="36" t="str">
        <f t="shared" si="128"/>
        <v/>
      </c>
      <c r="LP19" s="36" t="str">
        <f t="shared" si="129"/>
        <v/>
      </c>
      <c r="LQ19" s="36" t="str">
        <f t="shared" si="130"/>
        <v/>
      </c>
      <c r="LR19" s="36" t="str">
        <f t="shared" si="131"/>
        <v/>
      </c>
      <c r="LS19" s="36" t="str">
        <f t="shared" si="132"/>
        <v/>
      </c>
      <c r="LT19" s="36" t="str">
        <f t="shared" si="133"/>
        <v/>
      </c>
      <c r="LU19" s="36" t="str">
        <f t="shared" si="134"/>
        <v/>
      </c>
      <c r="LV19" s="36" t="str">
        <f t="shared" si="135"/>
        <v/>
      </c>
      <c r="LW19" s="36" t="str">
        <f t="shared" si="136"/>
        <v/>
      </c>
      <c r="LX19" s="36" t="str">
        <f t="shared" si="137"/>
        <v/>
      </c>
      <c r="LY19" s="36" t="str">
        <f t="shared" si="138"/>
        <v/>
      </c>
      <c r="LZ19" s="36" t="str">
        <f t="shared" si="139"/>
        <v/>
      </c>
      <c r="MA19" s="36" t="str">
        <f t="shared" si="140"/>
        <v/>
      </c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1" t="str">
        <f t="shared" si="141"/>
        <v/>
      </c>
      <c r="MW19" s="11" t="str">
        <f t="shared" si="142"/>
        <v/>
      </c>
      <c r="MX19" s="11" t="str">
        <f t="shared" si="143"/>
        <v/>
      </c>
      <c r="MY19" s="11" t="str">
        <f t="shared" si="144"/>
        <v/>
      </c>
      <c r="MZ19" s="11" t="str">
        <f t="shared" si="145"/>
        <v/>
      </c>
      <c r="NA19" s="11" t="str">
        <f t="shared" si="146"/>
        <v/>
      </c>
      <c r="NB19" s="11" t="str">
        <f t="shared" si="147"/>
        <v/>
      </c>
      <c r="NC19" s="11" t="str">
        <f t="shared" si="148"/>
        <v/>
      </c>
      <c r="ND19" s="11" t="str">
        <f t="shared" si="149"/>
        <v/>
      </c>
      <c r="NE19" s="11" t="str">
        <f t="shared" si="150"/>
        <v/>
      </c>
      <c r="NF19" s="11" t="str">
        <f t="shared" si="151"/>
        <v/>
      </c>
      <c r="NG19" s="11" t="str">
        <f t="shared" si="152"/>
        <v/>
      </c>
      <c r="NH19" s="11" t="str">
        <f t="shared" si="153"/>
        <v/>
      </c>
      <c r="NI19" s="11" t="str">
        <f t="shared" si="154"/>
        <v/>
      </c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36" t="str">
        <f t="shared" si="155"/>
        <v/>
      </c>
      <c r="OE19" s="36" t="str">
        <f t="shared" si="156"/>
        <v/>
      </c>
      <c r="OF19" s="36" t="str">
        <f t="shared" si="157"/>
        <v/>
      </c>
      <c r="OG19" s="36" t="str">
        <f t="shared" si="158"/>
        <v/>
      </c>
      <c r="OH19" s="36" t="str">
        <f t="shared" si="159"/>
        <v/>
      </c>
      <c r="OI19" s="36" t="str">
        <f t="shared" si="160"/>
        <v/>
      </c>
      <c r="OJ19" s="36" t="str">
        <f t="shared" si="161"/>
        <v/>
      </c>
      <c r="OK19" s="36" t="str">
        <f t="shared" si="162"/>
        <v/>
      </c>
      <c r="OL19" s="36" t="str">
        <f t="shared" si="163"/>
        <v/>
      </c>
      <c r="OM19" s="36" t="str">
        <f t="shared" si="164"/>
        <v/>
      </c>
      <c r="ON19" s="36" t="str">
        <f t="shared" si="165"/>
        <v/>
      </c>
      <c r="OO19" s="36" t="str">
        <f t="shared" si="166"/>
        <v/>
      </c>
      <c r="OP19" s="36" t="str">
        <f t="shared" si="167"/>
        <v/>
      </c>
      <c r="OQ19" s="36" t="str">
        <f t="shared" si="168"/>
        <v/>
      </c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1" t="str">
        <f t="shared" si="169"/>
        <v/>
      </c>
      <c r="PM19" s="11" t="str">
        <f t="shared" si="170"/>
        <v/>
      </c>
      <c r="PN19" s="11" t="str">
        <f t="shared" si="171"/>
        <v/>
      </c>
      <c r="PO19" s="11" t="str">
        <f t="shared" si="172"/>
        <v/>
      </c>
      <c r="PP19" s="11" t="str">
        <f t="shared" si="173"/>
        <v/>
      </c>
      <c r="PQ19" s="11" t="str">
        <f t="shared" si="174"/>
        <v/>
      </c>
      <c r="PR19" s="11" t="str">
        <f t="shared" si="175"/>
        <v/>
      </c>
      <c r="PS19" s="11" t="str">
        <f t="shared" si="176"/>
        <v/>
      </c>
      <c r="PT19" s="11" t="str">
        <f t="shared" si="177"/>
        <v/>
      </c>
      <c r="PU19" s="11" t="str">
        <f t="shared" si="178"/>
        <v/>
      </c>
      <c r="PV19" s="11" t="str">
        <f t="shared" si="179"/>
        <v/>
      </c>
      <c r="PW19" s="11" t="str">
        <f t="shared" si="180"/>
        <v/>
      </c>
      <c r="PX19" s="11" t="str">
        <f t="shared" si="181"/>
        <v/>
      </c>
      <c r="PY19" s="11" t="str">
        <f t="shared" si="182"/>
        <v/>
      </c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36" t="str">
        <f t="shared" si="183"/>
        <v/>
      </c>
      <c r="QU19" s="36" t="str">
        <f t="shared" si="184"/>
        <v/>
      </c>
      <c r="QV19" s="36" t="str">
        <f t="shared" si="185"/>
        <v/>
      </c>
      <c r="QW19" s="36" t="str">
        <f t="shared" si="186"/>
        <v/>
      </c>
      <c r="QX19" s="36" t="str">
        <f t="shared" si="187"/>
        <v/>
      </c>
      <c r="QY19" s="36" t="str">
        <f t="shared" si="188"/>
        <v/>
      </c>
      <c r="QZ19" s="36" t="str">
        <f t="shared" si="189"/>
        <v/>
      </c>
      <c r="RA19" s="36" t="str">
        <f t="shared" si="190"/>
        <v/>
      </c>
      <c r="RB19" s="36" t="str">
        <f t="shared" si="191"/>
        <v/>
      </c>
      <c r="RC19" s="36" t="str">
        <f t="shared" si="192"/>
        <v/>
      </c>
      <c r="RD19" s="36" t="str">
        <f t="shared" si="193"/>
        <v/>
      </c>
      <c r="RE19" s="36" t="str">
        <f t="shared" si="194"/>
        <v/>
      </c>
      <c r="RF19" s="36" t="str">
        <f t="shared" si="195"/>
        <v/>
      </c>
      <c r="RG19" s="36" t="str">
        <f t="shared" si="196"/>
        <v/>
      </c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1" t="str">
        <f t="shared" si="197"/>
        <v/>
      </c>
      <c r="SC19" s="11" t="str">
        <f t="shared" si="198"/>
        <v/>
      </c>
      <c r="SD19" s="11" t="str">
        <f t="shared" si="199"/>
        <v/>
      </c>
      <c r="SE19" s="11" t="str">
        <f t="shared" si="200"/>
        <v/>
      </c>
      <c r="SF19" s="11" t="str">
        <f t="shared" si="201"/>
        <v/>
      </c>
      <c r="SG19" s="11" t="str">
        <f t="shared" si="202"/>
        <v/>
      </c>
      <c r="SH19" s="11" t="str">
        <f t="shared" si="203"/>
        <v/>
      </c>
      <c r="SI19" s="11" t="str">
        <f t="shared" si="204"/>
        <v/>
      </c>
      <c r="SJ19" s="11" t="str">
        <f t="shared" si="205"/>
        <v/>
      </c>
      <c r="SK19" s="11" t="str">
        <f t="shared" si="206"/>
        <v/>
      </c>
      <c r="SL19" s="11" t="str">
        <f t="shared" si="207"/>
        <v/>
      </c>
      <c r="SM19" s="11" t="str">
        <f t="shared" si="208"/>
        <v/>
      </c>
      <c r="SN19" s="11" t="str">
        <f t="shared" si="209"/>
        <v/>
      </c>
      <c r="SO19" s="11" t="str">
        <f t="shared" si="210"/>
        <v/>
      </c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36" t="str">
        <f t="shared" si="211"/>
        <v/>
      </c>
      <c r="TK19" s="36" t="str">
        <f t="shared" si="212"/>
        <v/>
      </c>
      <c r="TL19" s="36" t="str">
        <f t="shared" si="213"/>
        <v/>
      </c>
      <c r="TM19" s="36" t="str">
        <f t="shared" si="214"/>
        <v/>
      </c>
      <c r="TN19" s="36" t="str">
        <f t="shared" si="215"/>
        <v/>
      </c>
      <c r="TO19" s="36" t="str">
        <f t="shared" si="216"/>
        <v/>
      </c>
      <c r="TP19" s="36" t="str">
        <f t="shared" si="217"/>
        <v/>
      </c>
      <c r="TQ19" s="36" t="str">
        <f t="shared" si="218"/>
        <v/>
      </c>
      <c r="TR19" s="36" t="str">
        <f t="shared" si="219"/>
        <v/>
      </c>
      <c r="TS19" s="36" t="str">
        <f t="shared" si="220"/>
        <v/>
      </c>
      <c r="TT19" s="36" t="str">
        <f t="shared" si="221"/>
        <v/>
      </c>
      <c r="TU19" s="36" t="str">
        <f t="shared" si="222"/>
        <v/>
      </c>
      <c r="TV19" s="36" t="str">
        <f t="shared" si="223"/>
        <v/>
      </c>
      <c r="TW19" s="36" t="str">
        <f t="shared" si="224"/>
        <v/>
      </c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1" t="str">
        <f t="shared" si="225"/>
        <v/>
      </c>
      <c r="US19" s="11" t="str">
        <f t="shared" si="226"/>
        <v/>
      </c>
      <c r="UT19" s="11" t="str">
        <f t="shared" si="227"/>
        <v/>
      </c>
      <c r="UU19" s="11" t="str">
        <f t="shared" si="228"/>
        <v/>
      </c>
      <c r="UV19" s="11" t="str">
        <f t="shared" si="229"/>
        <v/>
      </c>
      <c r="UW19" s="11" t="str">
        <f t="shared" si="230"/>
        <v/>
      </c>
      <c r="UX19" s="11" t="str">
        <f t="shared" si="231"/>
        <v/>
      </c>
      <c r="UY19" s="11" t="str">
        <f t="shared" si="232"/>
        <v/>
      </c>
      <c r="UZ19" s="11" t="str">
        <f t="shared" si="233"/>
        <v/>
      </c>
      <c r="VA19" s="11" t="str">
        <f t="shared" si="234"/>
        <v/>
      </c>
      <c r="VB19" s="11" t="str">
        <f t="shared" si="235"/>
        <v/>
      </c>
      <c r="VC19" s="11" t="str">
        <f t="shared" si="236"/>
        <v/>
      </c>
      <c r="VD19" s="11" t="str">
        <f t="shared" si="237"/>
        <v/>
      </c>
      <c r="VE19" s="11" t="str">
        <f t="shared" si="238"/>
        <v/>
      </c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36" t="str">
        <f t="shared" si="239"/>
        <v/>
      </c>
      <c r="WA19" s="36" t="str">
        <f t="shared" si="240"/>
        <v/>
      </c>
      <c r="WB19" s="36" t="str">
        <f t="shared" si="241"/>
        <v/>
      </c>
      <c r="WC19" s="36" t="str">
        <f t="shared" si="242"/>
        <v/>
      </c>
      <c r="WD19" s="36" t="str">
        <f t="shared" si="243"/>
        <v/>
      </c>
      <c r="WE19" s="36" t="str">
        <f t="shared" si="244"/>
        <v/>
      </c>
      <c r="WF19" s="36" t="str">
        <f t="shared" si="245"/>
        <v/>
      </c>
      <c r="WG19" s="36" t="str">
        <f t="shared" si="246"/>
        <v/>
      </c>
      <c r="WH19" s="36" t="str">
        <f t="shared" si="247"/>
        <v/>
      </c>
      <c r="WI19" s="36" t="str">
        <f t="shared" si="248"/>
        <v/>
      </c>
      <c r="WJ19" s="36" t="str">
        <f t="shared" si="249"/>
        <v/>
      </c>
      <c r="WK19" s="36" t="str">
        <f t="shared" si="250"/>
        <v/>
      </c>
      <c r="WL19" s="36" t="str">
        <f t="shared" si="251"/>
        <v/>
      </c>
      <c r="WM19" s="36" t="str">
        <f t="shared" si="252"/>
        <v/>
      </c>
    </row>
    <row r="20" spans="1:611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90</v>
      </c>
      <c r="C20" s="4" t="s">
        <v>7</v>
      </c>
      <c r="D20" s="4">
        <v>2006</v>
      </c>
      <c r="E20" s="9">
        <f t="shared" si="0"/>
        <v>103.17000907300502</v>
      </c>
      <c r="F20" s="3" t="str">
        <f>IF(OR(AND(AI20&gt;=AS$27,AI20&lt;&gt;"",AK20&gt;=AS$31,AK20&lt;&gt;"",AH20=""),AND(AL20&gt;=AS$27,AL20&lt;&gt;"",AN20&gt;=AS$31,AN20&lt;&gt;"",AH20=""),AND(AP20&gt;=AS$27,AP20&lt;&gt;"",AR20&gt;=AS$31,AR20&lt;&gt;"",AH20=""),AND(BJ20&gt;=BT$27,BJ20&lt;&gt;"",BL20&gt;=BT$31,BL20&lt;&gt;"",BI20=""),AND(BM20&gt;=BT$27,BM20&lt;&gt;"",BO20&gt;=BT$31,BO20&lt;&gt;"",BI20=""),AND(BQ20&gt;=BT$27,BQ20&lt;&gt;"",BS20&gt;=BT$31,BS20&lt;&gt;"",BI20=""),AND(CK20&gt;=CU$27,CK20&lt;&gt;"",CM20&gt;=CU$31,CM20&lt;&gt;"",CJ20=""),AND(CN20&gt;=CU$27,CN20&lt;&gt;"",CP20&gt;=CU$31,CP20&lt;&gt;"",CJ20=""),AND(CR20&gt;=CU$27,CR20&lt;&gt;"",CT20&gt;=CU$31,CT20&lt;&gt;"",CJ20=""),AND(DR20&gt;=EE$27,DR20&lt;&gt;"",DT20&gt;=EE$31,DT20&lt;&gt;""),AND(DU20&gt;=EE$27,DU20&lt;&gt;"",DW20&gt;=EE$31,DW20&lt;&gt;""),AND(DY20&gt;=EE$27,DY20&lt;&gt;"",EA20&gt;=EE$31,EA20&lt;&gt;""),AND(EB20&gt;=EE$27,EB20&lt;&gt;"",ED20&gt;=EE$31,ED20&lt;&gt;""),AND(EZ20&gt;=FM$27,EZ20&lt;&gt;"",FB20&gt;=FM$31,FB20&lt;&gt;""),AND(FC20&gt;=FM$27,FC20&lt;&gt;"",FE20&gt;=FM$31,FE20&lt;&gt;""),AND(FG20&gt;=FM$27,FG20&lt;&gt;"",FI20&gt;=FM$31,FI20&lt;&gt;""),AND(FJ20&gt;=FM$27,FJ20&lt;&gt;"",FL20&gt;=FM$31,FL20&lt;&gt;""),AND(GH20&gt;=GU$27,GH20&lt;&gt;"",GJ20&gt;=GU$31,GJ20&lt;&gt;""),AND(GK20&gt;=GU$27,GK20&lt;&gt;"",GM20&gt;=GU$31,GM20&lt;&gt;""),AND(GO20&gt;=GU$27,GO20&lt;&gt;"",GQ20&gt;=GU$31,GQ20&lt;&gt;""),AND(GR20&gt;=GU$27,GR20&lt;&gt;"",GT20&gt;=GU$31,GT20&lt;&gt;""),AND(HP20&gt;=IC$27,HP20&lt;&gt;"",HR20&gt;=IC$31,HR20&lt;&gt;""),AND(HS20&gt;=IC$27,HS20&lt;&gt;"",HU20&gt;=IC$31,HU20&lt;&gt;""),AND(HW20&gt;=IC$27,HW20&lt;&gt;"",HY20&gt;=IC$31,HY20&lt;&gt;""),AND(HZ20&gt;=IC$27,HZ20&lt;&gt;"",IB20&gt;=IC$31,IB20&lt;&gt;""),AND(IX20&gt;=JK$27,IX20&lt;&gt;"",IZ20&gt;=JK$31,IZ20&lt;&gt;""),AND(JA20&gt;=JK$27,JA20&lt;&gt;"",JC20&gt;=JK$31,JC20&lt;&gt;""),AND(JE20&gt;=JK$27,JE20&lt;&gt;"",JG20&gt;=JK$31,JG20&lt;&gt;""),AND(JH20&gt;=JK$27,JH20&lt;&gt;"",JJ20&gt;=JK$31,JJ20&lt;&gt;""),AND(KF20&gt;=KS$27,KF20&lt;&gt;"",KH20&gt;=KS$31,KH20&lt;&gt;""),AND(KI20&gt;=KS$27,KI20&lt;&gt;"",KK20&gt;=KS$31,KK20&lt;&gt;""),AND(KM20&gt;=KS$27,KM20&lt;&gt;"",KO20&gt;=KS$31,KO20&lt;&gt;""),AND(KP20&gt;=KS$27,KP20&lt;&gt;"",KR20&gt;=KS$31,KR20&lt;&gt;""),AND(LN20&gt;=MA$27,LN20&lt;&gt;"",LP20&gt;=MA$31,LP20&lt;&gt;""),AND(LQ20&gt;=MA$27,LQ20&lt;&gt;"",LS20&gt;=MA$31,LS20&lt;&gt;""),AND(LU20&gt;=MA$27,LU20&lt;&gt;"",LW20&gt;=MA$31,LW20&lt;&gt;""),AND(LX20&gt;=MA$27,LX20&lt;&gt;"",LZ20&gt;=MA$31,LZ20&lt;&gt;""),AND(MV20&gt;=NI$27,MV20&lt;&gt;"",MX20&gt;=NI$31,MX20&lt;&gt;""),AND(MY20&gt;=NI$27,MY20&lt;&gt;"",NA20&gt;=NI$31,NA20&lt;&gt;""),AND(NC20&gt;=NI$27,NC20&lt;&gt;"",NE20&gt;=NI$31,NE20&lt;&gt;""),AND(NF20&gt;=NI$27,NF20&lt;&gt;"",NH20&gt;=NI$31,NH20&lt;&gt;""),AND(OD20&gt;=OQ$27,OD20&lt;&gt;"",OF20&gt;=OQ$31,OF20&lt;&gt;""),AND(OG20&gt;=OQ$27,OG20&lt;&gt;"",OI20&gt;=OQ$31,OI20&lt;&gt;""),AND(OK20&gt;=OQ$27,OK20&lt;&gt;"",OM20&gt;=OQ$31,OM20&lt;&gt;""),AND(ON20&gt;=OQ$27,ON20&lt;&gt;"",OP20&gt;=OQ$31,OP20&lt;&gt;""),AND(PL20&gt;=PY$27,PL20&lt;&gt;"",PN20&gt;=PY$31,PN20&lt;&gt;""),AND(PO20&gt;=PY$27,PO20&lt;&gt;"",PQ20&gt;=PY$31,PQ20&lt;&gt;""),AND(PS20&gt;=PY$27,PS20&lt;&gt;"",PU20&gt;=PY$31,PU20&lt;&gt;""),AND(PV20&gt;=PY$27,PV20&lt;&gt;"",PX20&gt;=PY$31,PX20&lt;&gt;""),AND(QT20&gt;=RG$27,QT20&lt;&gt;"",QV20&gt;=RG$31,QV20&lt;&gt;""),AND(QW20&gt;=RG$27,QW20&lt;&gt;"",QY20&gt;=RG$31,QY20&lt;&gt;""),AND(RA20&gt;=RG$27,RA20&lt;&gt;"",RC20&gt;=RG$31,RC20&lt;&gt;""),AND(RD20&gt;=RG$27,RD20&lt;&gt;"",RF20&gt;=RG$31,RF20&lt;&gt;""),AND(SB20&gt;=SO$27,SB20&lt;&gt;"",SD20&gt;=SO$31,SD20&lt;&gt;""),AND(SE20&gt;=SO$27,SE20&lt;&gt;"",SG20&gt;=SO$31,SG20&lt;&gt;""),AND(SI20&gt;=SO$27,SI20&lt;&gt;"",SK20&gt;=SO$31,SK20&lt;&gt;""),AND(SL20&gt;=SO$27,SL20&lt;&gt;"",SN20&gt;=SO$31,SN20&lt;&gt;""),AND(TJ20&gt;=TW$27,TJ20&lt;&gt;"",TL20&gt;=TW$31,TL20&lt;&gt;""),AND(TM20&gt;=TW$27,TM20&lt;&gt;"",TO20&gt;=TW$31,TO20&lt;&gt;""),AND(TQ20&gt;=TW$27,TQ20&lt;&gt;"",TS20&gt;=TW$31,TXQ20&lt;&gt;""),AND(TT20&gt;=TW$27,TT20&lt;&gt;"",TV20&gt;=TW$31,TV20&lt;&gt;""),AND(UR20&gt;=VE$27,UR20&lt;&gt;"",UT20&gt;=VE$31,UT20&lt;&gt;""),AND(UU20&gt;=VE$27,UU20&lt;&gt;"",UW20&gt;=VE$31,UW20&lt;&gt;""),AND(UY20&gt;=VE$27,UY20&lt;&gt;"",VA20&gt;=VE$31,VA20&lt;&gt;""),AND(VB20&gt;=VE$27,VB20&lt;&gt;"",VD20&gt;=VE$31,VD20&lt;&gt;""),AND(VZ20&gt;=WM$27,VZ20&lt;&gt;"",WB20&gt;=WM$31,WB20&lt;&gt;""),AND(WC20&gt;=WM$27,WC20&lt;&gt;"",WE20&gt;=WM$31,WE20&lt;&gt;""),AND(WG20&gt;=WM$27,WG20&lt;&gt;"",WI20&gt;=WM$31,WI20&lt;&gt;""),AND(WJ20&gt;=WM$27,WJ20&lt;&gt;"",WL20&gt;=WM$31,WL20&lt;&gt;"")),"P","")</f>
        <v/>
      </c>
      <c r="G20" s="3" t="str">
        <f>IF(OR(AND(AK20&gt;=AS$31,AK20&lt;&gt;"",AH20=""),AND(AN20&gt;=AS$31,AN20&lt;&gt;"",AH20=""),AND(AR20&gt;=AS$31,AR20&lt;&gt;"",AH20=""),AND(BL20&gt;=BT$31,BL20&lt;&gt;"",BI20=""),AND(BO20&gt;=BT$31,BO20&lt;&gt;"",BI20=""),AND(BS20&gt;=BT$31,BS20&lt;&gt;"",BI20=""),AND(CM20&gt;=CU$31,CM20&lt;&gt;"",CJ20=""),AND(CP20&gt;=CU$31,CP20&lt;&gt;"",CJ20=""),AND(CT20&gt;=CU$31,CT20&lt;&gt;"",CJ20=""),AND(DT20&gt;=EE$31,DT20&lt;&gt;""),AND(DW20&gt;=EE$31,DW20&lt;&gt;""),AND(EA20&gt;=EE$31,EA20&lt;&gt;""),AND(ED20&gt;=EE$31,ED20&lt;&gt;""),AND(FB20&gt;=FM$31,FB20&lt;&gt;""),AND(FE20&gt;=FM$31,FE20&lt;&gt;""),AND(FI20&gt;=FM$31,FI20&lt;&gt;""),AND(FL20&gt;=FM$31,FL20&lt;&gt;""),AND(GJ20&gt;=GU$31,GJ20&lt;&gt;""),AND(GM20&gt;=GU$31,GM20&lt;&gt;""),AND(GQ20&gt;=GU$31,GQ20&lt;&gt;""),AND(GT20&gt;=GU$31,GT20&lt;&gt;""),AND(HR20&gt;=IC$31,HR20&lt;&gt;""),AND(HU20&gt;=IC$31,HU20&lt;&gt;""),AND(HY20&gt;=IC$31,HY20&lt;&gt;""),AND(IB20&gt;=IC$31,IB20&lt;&gt;""),AND(IZ20&gt;=JK$31,IZ20&lt;&gt;""),AND(JC20&gt;=JK$31,JC20&lt;&gt;""),AND(JG20&gt;=JK$31,JG20&lt;&gt;""),AND(JJ20&gt;=JK$31,JJ20&lt;&gt;""),AND(KH20&gt;=KS$31,KH20&lt;&gt;""),AND(KK20&gt;=KS$31,KK20&lt;&gt;""),AND(KO20&gt;=KS$31,KO20&lt;&gt;""),AND(KR20&gt;=KS$31,KR20&lt;&gt;""),AND(LP20&gt;=MA$31,LP20&lt;&gt;""),AND(LS20&gt;=MA$31,LS20&lt;&gt;""),AND(LW20&gt;=MA$31,LW20&lt;&gt;""),AND(LZ20&gt;=MA$31,LZ20&lt;&gt;""),AND(MX20&gt;=NI$31,MX20&lt;&gt;""),AND(NA20&gt;=NI$31,NA20&lt;&gt;""),AND(NE20&gt;=NI$31,NE20&lt;&gt;""),AND(NH20&gt;=NI$31,NH20&lt;&gt;""),AND(OF20&gt;=OQ$31,OF20&lt;&gt;""),AND(OI20&gt;=OQ$31,OI20&lt;&gt;""),AND(OM20&gt;=OQ$31,OM20&lt;&gt;""),AND(OP20&gt;=OQ$31,OP20&lt;&gt;""),AND(PN20&gt;=PY$31,PN20&lt;&gt;""),AND(PQ20&gt;=PY$31,PQ20&lt;&gt;""),AND(PU20&gt;=PY$31,PU20&lt;&gt;""),AND(PX20&gt;=PY$31,PX20&lt;&gt;""),AND(QV20&gt;=RG$31,QV20&lt;&gt;""),AND(QY20&gt;=RG$31,QY20&lt;&gt;""),AND(RC20&gt;=RG$31,RC20&lt;&gt;""),AND(RF20&gt;=RG$31,RF20&lt;&gt;""),AND(SD20&gt;=SO$31,SD20&lt;&gt;""),AND(SG20&gt;=SO$31,SG20&lt;&gt;""),AND(SK20&gt;=SO$31,SK20&lt;&gt;""),AND(SN20&gt;=SO$31,SN20&lt;&gt;""),AND(TL20&gt;=TW$31,TL20&lt;&gt;""),AND(TO20&gt;=TW$31,TO20&lt;&gt;""),AND(TS20&gt;=TW$31,TXQ20&lt;&gt;""),AND(TV20&gt;=TW$31,TV20&lt;&gt;""),AND(UT20&gt;=VE$31,UT20&lt;&gt;""),AND(UW20&gt;=VE$31,UW20&lt;&gt;""),AND(VA20&gt;=VE$31,VA20&lt;&gt;""),AND(VD20&gt;=VE$31,VD20&lt;&gt;""),AND(WB20&gt;=WM$31,WB20&lt;&gt;""),AND(WE20&gt;=WM$31,WE20&lt;&gt;""),AND(WI20&gt;=WM$31,WI20&lt;&gt;""),AND(WL20&gt;=WM$31,WL20&lt;&gt;"")),"P","")</f>
        <v/>
      </c>
      <c r="H20" s="32" t="str">
        <f>IF(AND(G20="P",F20=""),"No DD",IF(OR(AND(AI20&gt;=AS$30,AI20&lt;&gt;"",AK20&gt;=AS$34,AK20&lt;&gt;"",AH20=""),AND(AL20&gt;=AS$30,AL20&lt;&gt;"",AN20&gt;=AS$34,AN20&lt;&gt;"",AH20=""),AND(AP20&gt;=AS$30,AP20&lt;&gt;"",AR20&gt;=AS$34,AR20&lt;&gt;"",AH20=""),AND(BJ20&gt;=BT$30,BJ20&lt;&gt;"",BL20&gt;=BT$34,BL20&lt;&gt;"",BI20=""),AND(BM20&gt;=BT$30,BM20&lt;&gt;"",BO20&gt;=BT$34,BO20&lt;&gt;"",BI20=""),AND(BQ20&gt;=BT$30,BQ20&lt;&gt;"",BS20&gt;=BT$34,BS20&lt;&gt;"",BI20=""),AND(CK20&gt;=CU$30,CK20&lt;&gt;"",CM20&gt;=CU$34,CM20&lt;&gt;"",CJ20=""),AND(CN20&gt;=CU$30,CN20&lt;&gt;"",CP20&gt;=CU$34,CP20&lt;&gt;"",CJ20=""),AND(CR20&gt;=CU$30,CR20&lt;&gt;"",CT20&gt;=CU$34,CT20&lt;&gt;"",CJ20=""),AND(DR20&gt;=EE$30,DR20&lt;&gt;"",DT20&gt;=EE$34,DT20&lt;&gt;""),AND(DU20&gt;=EE$30,DU20&lt;&gt;"",DW20&gt;=EE$34,DW20&lt;&gt;""),AND(DY20&gt;=EE$30,DY20&lt;&gt;"",EA20&gt;=EE$34,EA20&lt;&gt;""),AND(EB20&gt;=EE$30,EB20&lt;&gt;"",ED20&gt;=EE$34,ED20&lt;&gt;""),AND(EZ20&gt;=FM$30,EZ20&lt;&gt;"",FB20&gt;=FM$34,FB20&lt;&gt;""),AND(FC20&gt;=FM$30,FC20&lt;&gt;"",FE20&gt;=FM$34,FE20&lt;&gt;""),AND(FG20&gt;=FM$30,FG20&lt;&gt;"",FI20&gt;=FM$34,FI20&lt;&gt;""),AND(FJ20&gt;=FM$30,FJ20&lt;&gt;"",FL20&gt;=FM$34,FL20&lt;&gt;""),AND(GH20&gt;=GU$30,GH20&lt;&gt;"",GJ20&gt;=GU$34,GJ20&lt;&gt;""),AND(GK20&gt;=GU$30,GK20&lt;&gt;"",GM20&gt;=GU$34,GM20&lt;&gt;""),AND(GO20&gt;=GU$30,GO20&lt;&gt;"",GQ20&gt;=GU$34,GQ20&lt;&gt;""),AND(GR20&gt;=GU$30,GR20&lt;&gt;"",GT20&gt;=GU$34,GT20&lt;&gt;""),AND(HP20&gt;=IC$30,HP20&lt;&gt;"",HR20&gt;=IC$34,HR20&lt;&gt;""),AND(HS20&gt;=IC$30,HS20&lt;&gt;"",HU20&gt;=IC$34,HU20&lt;&gt;""),AND(HW20&gt;=IC$30,HW20&lt;&gt;"",HY20&gt;=IC$34,HY20&lt;&gt;""),AND(HZ20&gt;=IC$30,HZ20&lt;&gt;"",IB20&gt;=IC$34,IB20&lt;&gt;""),AND(IX20&gt;=JK$30,IX20&lt;&gt;"",IZ20&gt;=JK$34,IZ20&lt;&gt;""),AND(JA20&gt;=JK$30,JA20&lt;&gt;"",JC20&gt;=JK$34,JC20&lt;&gt;""),AND(JE20&gt;=JK$30,JE20&lt;&gt;"",JG20&gt;=JK$34,JG20&lt;&gt;""),AND(JH20&gt;=JK$30,JH20&lt;&gt;"",JJ20&gt;=JK$34,JJ20&lt;&gt;""),AND(KF20&gt;=KS$30,KF20&lt;&gt;"",KH20&gt;=KS$34,KH20&lt;&gt;""),AND(KI20&gt;=KS$30,KI20&lt;&gt;"",KK20&gt;=KS$34,KK20&lt;&gt;""),AND(KM20&gt;=KS$30,KM20&lt;&gt;"",KO20&gt;=KS$34,KO20&lt;&gt;""),AND(KP20&gt;=KS$30,KP20&lt;&gt;"",KR20&gt;=KS$34,KR20&lt;&gt;""),AND(LN20&gt;=MA$30,LN20&lt;&gt;"",LP20&gt;=MA$34,LP20&lt;&gt;""),AND(LQ20&gt;=MA$30,LQ20&lt;&gt;"",LS20&gt;=MA$34,LS20&lt;&gt;""),AND(LU20&gt;=MA$30,LU20&lt;&gt;"",LW20&gt;=MA$34,LW20&lt;&gt;""),AND(LX20&gt;=MA$30,LX20&lt;&gt;"",LZ20&gt;=MA$34,LZ20&lt;&gt;""),AND(MV20&gt;=NI$30,MV20&lt;&gt;"",MX20&gt;=NI$34,MX20&lt;&gt;""),AND(MY20&gt;=NI$30,MY20&lt;&gt;"",NA20&gt;=NI$34,NA20&lt;&gt;""),AND(NC20&gt;=NI$30,NC20&lt;&gt;"",NE20&gt;=NI$34,NE20&lt;&gt;""),AND(NF20&gt;=NI$30,NF20&lt;&gt;"",NH20&gt;=NI$34,NH20&lt;&gt;""),AND(OD20&gt;=OQ$30,OD20&lt;&gt;"",OF20&gt;=OQ$34,OF20&lt;&gt;""),AND(OG20&gt;=OQ$30,OG20&lt;&gt;"",OI20&gt;=OQ$34,OI20&lt;&gt;""),AND(OK20&gt;=OQ$30,OK20&lt;&gt;"",OM20&gt;=OQ$34,OM20&lt;&gt;""),AND(ON20&gt;=OQ$30,ON20&lt;&gt;"",OP20&gt;=OQ$34,OP20&lt;&gt;""),AND(PL20&gt;=PY$30,PL20&lt;&gt;"",PN20&gt;=PY$34,PN20&lt;&gt;""),AND(PO20&gt;=PY$30,PO20&lt;&gt;"",PQ20&gt;=PY$34,PQ20&lt;&gt;""),AND(PS20&gt;=PY$30,PS20&lt;&gt;"",PU20&gt;=PY$34,PU20&lt;&gt;""),AND(PV20&gt;=PY$30,PV20&lt;&gt;"",PX20&gt;=PY$34,PX20&lt;&gt;""),AND(QT20&gt;=RG$30,QT20&lt;&gt;"",QV20&gt;=RG$34,QV20&lt;&gt;""),AND(QW20&gt;=RG$30,QW20&lt;&gt;"",QY20&gt;=RG$34,QY20&lt;&gt;""),AND(RA20&gt;=RG$30,RA20&lt;&gt;"",RC20&gt;=RG$34,RC20&lt;&gt;""),AND(RD20&gt;=RG$30,RD20&lt;&gt;"",RF20&gt;=RG$34,RF20&lt;&gt;""),AND(SB20&gt;=SO$30,SB20&lt;&gt;"",SD20&gt;=SO$34,SD20&lt;&gt;""),AND(SE20&gt;=SO$30,SE20&lt;&gt;"",SG20&gt;=SO$34,SG20&lt;&gt;""),AND(SI20&gt;=SO$30,SI20&lt;&gt;"",SK20&gt;=SO$34,SK20&lt;&gt;""),AND(SL20&gt;=SO$30,SL20&lt;&gt;"",SN20&gt;=SO$34,SN20&lt;&gt;""),AND(TJ20&gt;=TW$30,TJ20&lt;&gt;"",TL20&gt;=TW$34,TL20&lt;&gt;""),AND(TM20&gt;=TW$30,TM20&lt;&gt;"",TO20&gt;=TW$34,TO20&lt;&gt;""),AND(TQ20&gt;=TW$30,TQ20&lt;&gt;"",TS20&gt;=TW$354,TXQ20&lt;&gt;""),AND(TT20&gt;=TW$30,TT20&lt;&gt;"",TV20&gt;=TW$34,TV20&lt;&gt;""),AND(UR20&gt;=VE$30,UR20&lt;&gt;"",UT20&gt;=VE$34,UT20&lt;&gt;""),AND(UU20&gt;=VE$30,UU20&lt;&gt;"",UW20&gt;=VE$34,UW20&lt;&gt;""),AND(UY20&gt;=VE$30,UY20&lt;&gt;"",VA20&gt;=VE$34,VA20&lt;&gt;""),AND(VB20&gt;=VE$30,VB20&lt;&gt;"",VD20&gt;=VE$34,VD20&lt;&gt;""),AND(VZ20&gt;=WM$30,VZ20&lt;&gt;"",WB20&gt;=WM$34,WB20&lt;&gt;""),AND(WC20&gt;=WM$30,WC20&lt;&gt;"",WE20&gt;=WM$34,WE20&lt;&gt;""),AND(WG20&gt;=WM$30,WG20&lt;&gt;"",WI20&gt;=WM$34,WI20&lt;&gt;""),AND(WJ20&gt;=WM$30,WJ20&lt;&gt;"",WL20&gt;=WM$34,WL20&lt;&gt;"")),"Merit",IF(OR(AND(AI20&gt;=AS$29,AI20&lt;&gt;"",AK20&gt;=AS$33,AK20&lt;&gt;"",AH20=""),AND(AL20&gt;=AS$29,AL20&lt;&gt;"",AN20&gt;=AS$33,AN20&lt;&gt;"",AH20=""),AND(AP20&gt;=AS$29,AP20&lt;&gt;"",AR20&gt;=AS$33,AR20&lt;&gt;"",AH20=""),AND(BJ20&gt;=BT$29,BJ20&lt;&gt;"",BL20&gt;=BT$33,BL20&lt;&gt;"",BI20=""),AND(BM20&gt;=BT$29,BM20&lt;&gt;"",BO20&gt;=BT$33,BO20&lt;&gt;"",BI20=""),AND(BQ20&gt;=BT$29,BQ20&lt;&gt;"",BS20&gt;=BT$33,BS20&lt;&gt;"",BI20=""),AND(CK20&gt;=CU$29,CK20&lt;&gt;"",CM20&gt;=CU$33,CM20&lt;&gt;"",CJ20=""),AND(CN20&gt;=CU$29,CN20&lt;&gt;"",CP20&gt;=CU$33,CP20&lt;&gt;"",CJ20=""),AND(CR20&gt;=CU$29,CR20&lt;&gt;"",CT20&gt;=CU$33,CT20&lt;&gt;"",CJ20=""),AND(DR20&gt;=EE$29,DR20&lt;&gt;"",DT20&gt;=EE$33,DT20&lt;&gt;""),AND(DU20&gt;=EE$29,DU20&lt;&gt;"",DW20&gt;=EE$33,DW20&lt;&gt;""),AND(DY20&gt;=EE$29,DY20&lt;&gt;"",EA20&gt;=EE$33,EA20&lt;&gt;""),AND(EB20&gt;=EE$29,EB20&lt;&gt;"",ED20&gt;=EE$33,ED20&lt;&gt;""),AND(EZ20&gt;=FM$29,EZ20&lt;&gt;"",FB20&gt;=FM$33,FB20&lt;&gt;""),AND(FC20&gt;=FM$29,FC20&lt;&gt;"",FE20&gt;=FM$33,FE20&lt;&gt;""),AND(FG20&gt;=FM$29,FG20&lt;&gt;"",FI20&gt;=FM$33,FI20&lt;&gt;""),AND(FJ20&gt;=FM$29,FJ20&lt;&gt;"",FL20&gt;=FM$33,FL20&lt;&gt;""),AND(GH20&gt;=GU$29,GH20&lt;&gt;"",GJ20&gt;=GU$33,GJ20&lt;&gt;""),AND(GK20&gt;=GU$29,GK20&lt;&gt;"",GM20&gt;=GU$33,GM20&lt;&gt;""),AND(GO20&gt;=GU$29,GO20&lt;&gt;"",GQ20&gt;=GU$33,GQ20&lt;&gt;""),AND(GR20&gt;=GU$29,GR20&lt;&gt;"",GT20&gt;=GU$33,GT20&lt;&gt;""),AND(HP20&gt;=IC$29,HP20&lt;&gt;"",HR20&gt;=IC$33,HR20&lt;&gt;""),AND(HS20&gt;=IC$29,HS20&lt;&gt;"",HU20&gt;=IC$33,HU20&lt;&gt;""),AND(HW20&gt;=IC$29,HW20&lt;&gt;"",HY20&gt;=IC$33,HY20&lt;&gt;""),AND(HZ20&gt;=IC$29,HZ20&lt;&gt;"",IB20&gt;=IC$33,IB20&lt;&gt;""),AND(IX20&gt;=JK$29,IX20&lt;&gt;"",IZ20&gt;=JK$33,IZ20&lt;&gt;""),AND(JA20&gt;=JK$29,JA20&lt;&gt;"",JC20&gt;=JK$33,JC20&lt;&gt;""),AND(JE20&gt;=JK$29,JE20&lt;&gt;"",JG20&gt;=JK$33,JG20&lt;&gt;""),AND(JH20&gt;=JK$29,JH20&lt;&gt;"",JJ20&gt;=JK$33,JJ20&lt;&gt;""),AND(KF20&gt;=KS$29,KF20&lt;&gt;"",KH20&gt;=KS$33,KH20&lt;&gt;""),AND(KI20&gt;=KS$29,KI20&lt;&gt;"",KK20&gt;=KS$33,KK20&lt;&gt;""),AND(KM20&gt;=KS$29,KM20&lt;&gt;"",KO20&gt;=KS$33,KO20&lt;&gt;""),AND(KP20&gt;=KS$29,KP20&lt;&gt;"",KR20&gt;=KS$33,KR20&lt;&gt;""),AND(LN20&gt;=MA$29,LN20&lt;&gt;"",LP20&gt;=MA$33,LP20&lt;&gt;""),AND(LQ20&gt;=MA$29,LQ20&lt;&gt;"",LS20&gt;=MA$33,LS20&lt;&gt;""),AND(LU20&gt;=MA$29,LU20&lt;&gt;"",LW20&gt;=MA$33,LW20&lt;&gt;""),AND(LX20&gt;=MA$29,LX20&lt;&gt;"",LZ20&gt;=MA$33,LZ20&lt;&gt;""),AND(MV20&gt;=NI$29,MV20&lt;&gt;"",MX20&gt;=NI$33,MX20&lt;&gt;""),AND(MY20&gt;=NI$29,MY20&lt;&gt;"",NA20&gt;=NI$33,NA20&lt;&gt;""),AND(NC20&gt;=NI$29,NC20&lt;&gt;"",NE20&gt;=NI$33,NE20&lt;&gt;""),AND(NF20&gt;=NI$29,NF20&lt;&gt;"",NH20&gt;=NI$33,NH20&lt;&gt;""),AND(OD20&gt;=OQ$29,OD20&lt;&gt;"",OF20&gt;=OQ$33,OF20&lt;&gt;""),AND(OG20&gt;=OQ$29,OG20&lt;&gt;"",OI20&gt;=OQ$33,OI20&lt;&gt;""),AND(OK20&gt;=OQ$29,OK20&lt;&gt;"",OM20&gt;=OQ$33,OM20&lt;&gt;""),AND(ON20&gt;=OQ$29,ON20&lt;&gt;"",OP20&gt;=OQ$33,OP20&lt;&gt;""),AND(PL20&gt;=PY$29,PL20&lt;&gt;"",PN20&gt;=PY$33,PN20&lt;&gt;""),AND(PO20&gt;=PY$29,PO20&lt;&gt;"",PQ20&gt;=PY$33,PQ20&lt;&gt;""),AND(PS20&gt;=PY$29,PS20&lt;&gt;"",PU20&gt;=PY$33,PU20&lt;&gt;""),AND(PV20&gt;=PY$29,PV20&lt;&gt;"",PX20&gt;=PY$33,PX20&lt;&gt;""),AND(QT20&gt;=RG$29,QT20&lt;&gt;"",QV20&gt;=RG$33,QV20&lt;&gt;""),AND(QW20&gt;=RG$29,QW20&lt;&gt;"",QY20&gt;=RG$33,QY20&lt;&gt;""),AND(RA20&gt;=RG$29,RA20&lt;&gt;"",RC20&gt;=RG$33,RC20&lt;&gt;""),AND(RD20&gt;=RG$29,RD20&lt;&gt;"",RF20&gt;=RG$33,RF20&lt;&gt;""),AND(SB20&gt;=SO$29,SB20&lt;&gt;"",SD20&gt;=SO$33,SD20&lt;&gt;""),AND(SE20&gt;=SO$29,SE20&lt;&gt;"",SG20&gt;=SO$33,SG20&lt;&gt;""),AND(SI20&gt;=SO$29,SI20&lt;&gt;"",SK20&gt;=SO$33,SK20&lt;&gt;""),AND(SL20&gt;=SO$29,SL20&lt;&gt;"",SN20&gt;=SO$33,SN20&lt;&gt;""),AND(TJ20&gt;=TW$29,TJ20&lt;&gt;"",TL20&gt;=TW$33,TL20&lt;&gt;""),AND(TM20&gt;=TW$29,TM20&lt;&gt;"",TO20&gt;=TW$33,TO20&lt;&gt;""),AND(TQ20&gt;=TW$29,TQ20&lt;&gt;"",TS20&gt;=TW$33,TXQ20&lt;&gt;""),AND(TT20&gt;=TW$29,TT20&lt;&gt;"",TV20&gt;=TW$33,TV20&lt;&gt;""),AND(UR20&gt;=VE$29,UR20&lt;&gt;"",UT20&gt;=VE$33,UT20&lt;&gt;""),AND(UU20&gt;=VE$29,UU20&lt;&gt;"",UW20&gt;=VE$33,UW20&lt;&gt;""),AND(UY20&gt;=VE$29,UY20&lt;&gt;"",VA20&gt;=VE$33,VA20&lt;&gt;""),AND(VB20&gt;=VE$29,VB20&lt;&gt;"",VD20&gt;=VE$33,VD20&lt;&gt;""),AND(VZ20&gt;=WM$29,VZ20&lt;&gt;"",WB20&gt;=WM$33,WB20&lt;&gt;""),AND(WC20&gt;=WM$29,WC20&lt;&gt;"",WE20&gt;=WM$33,WE20&lt;&gt;""),AND(WG20&gt;=WM$29,WG20&lt;&gt;"",WI20&gt;=WM$33,WI20&lt;&gt;""),AND(WJ20&gt;=WM$29,WJ20&lt;&gt;"",WL20&gt;=WM$33,WL20&lt;&gt;"")),"Excellence",IF(I20="P","Worlds Team",IF(F20="P","National Team","")))))</f>
        <v/>
      </c>
      <c r="I20" s="3" t="str">
        <f>IF(OR(AND(AI20&gt;=AS$28,AI20&lt;&gt;"",AK20&gt;=AS$32,AK20&lt;&gt;"",AH20=""),AND(AL20&gt;=AS$28,AL20&lt;&gt;"",AN20&gt;=AS$32,AN20&lt;&gt;"",AH20=""),AND(AP20&gt;=AS$28,AP20&lt;&gt;"",AR20&gt;=AS$32,AR20&lt;&gt;"",AH20=""),AND(BJ20&gt;=BT$28,BJ20&lt;&gt;"",BL20&gt;=BT$32,BL20&lt;&gt;"",BI20=""),AND(BM20&gt;=BT$28,BM20&lt;&gt;"",BO20&gt;=BT$32,BO20&lt;&gt;"",BI20=""),AND(BQ20&gt;=BT$28,BQ20&lt;&gt;"",BS20&gt;=BT$32,BS20&lt;&gt;"",BI20=""),AND(CK20&gt;=CU$28,CK20&lt;&gt;"",CM20&gt;=CU$32,CM20&lt;&gt;"",CJ20=""),AND(CN20&gt;=CU$28,CN20&lt;&gt;"",CP20&gt;=CU$32,CP20&lt;&gt;"",CJ20=""),AND(CR20&gt;=CU$28,CR20&lt;&gt;"",CT20&gt;=CU$32,CT20&lt;&gt;"",CJ20=""),AND(DR20&gt;=EE$28,DR20&lt;&gt;"",DT20&gt;=EE$32,DT20&lt;&gt;""),AND(DU20&gt;=EE$28,DU20&lt;&gt;"",DW20&gt;=EE$32,DW20&lt;&gt;""),AND(DY20&gt;=EE$28,DY20&lt;&gt;"",EA20&gt;=EE$32,EA20&lt;&gt;""),AND(EB20&gt;=EE$28,EB20&lt;&gt;"",ED20&gt;=EE$32,ED20&lt;&gt;""),AND(EZ20&gt;=FM$28,EZ20&lt;&gt;"",FB20&gt;=FM$32,FB20&lt;&gt;""),AND(FC20&gt;=FM$28,FC20&lt;&gt;"",FE20&gt;=FM$32,FE20&lt;&gt;""),AND(FG20&gt;=FM$28,FG20&lt;&gt;"",FI20&gt;=FM$32,FI20&lt;&gt;""),AND(FJ20&gt;=FM$28,FJ20&lt;&gt;"",FL20&gt;=FM$32,FL20&lt;&gt;""),AND(GH20&gt;=GU$28,GH20&lt;&gt;"",GJ20&gt;=GU$32,GJ20&lt;&gt;""),AND(GK20&gt;=GU$28,GK20&lt;&gt;"",GM20&gt;=GU$32,GM20&lt;&gt;""),AND(GO20&gt;=GU$28,GO20&lt;&gt;"",GQ20&gt;=GU$32,GQ20&lt;&gt;""),AND(GR20&gt;=GU$28,GR20&lt;&gt;"",GT20&gt;=GU$32,GT20&lt;&gt;""),AND(HP20&gt;=IC$28,HP20&lt;&gt;"",HR20&gt;=IC$32,HR20&lt;&gt;""),AND(HS20&gt;=IC$28,HS20&lt;&gt;"",HU20&gt;=IC$32,HU20&lt;&gt;""),AND(HW20&gt;=IC$28,HW20&lt;&gt;"",HY20&gt;=IC$32,HY20&lt;&gt;""),AND(HZ20&gt;=IC$28,HZ20&lt;&gt;"",IB20&gt;=IC$32,IB20&lt;&gt;""),AND(IX20&gt;=JK$28,IX20&lt;&gt;"",IZ20&gt;=JK$32,IZ20&lt;&gt;""),AND(JA20&gt;=JK$28,JA20&lt;&gt;"",JC20&gt;=JK$32,JC20&lt;&gt;""),AND(JE20&gt;=JK$28,JE20&lt;&gt;"",JG20&gt;=JK$32,JG20&lt;&gt;""),AND(JH20&gt;=JK$28,JH20&lt;&gt;"",JJ20&gt;=JK$32,JJ20&lt;&gt;""),AND(KF20&gt;=KS$28,KF20&lt;&gt;"",KH20&gt;=KS$32,KH20&lt;&gt;""),AND(KI20&gt;=KS$28,KI20&lt;&gt;"",KK20&gt;=KS$32,KK20&lt;&gt;""),AND(KM20&gt;=KS$28,KM20&lt;&gt;"",KO20&gt;=KS$32,KO20&lt;&gt;""),AND(KP20&gt;=KS$28,KP20&lt;&gt;"",KR20&gt;=KS$32,KR20&lt;&gt;""),AND(LN20&gt;=MA$28,LN20&lt;&gt;"",LP20&gt;=MA$32,LP20&lt;&gt;""),AND(LQ20&gt;=MA$28,LQ20&lt;&gt;"",LS20&gt;=MA$32,LS20&lt;&gt;""),AND(LU20&gt;=MA$28,LU20&lt;&gt;"",LW20&gt;=MA$32,LW20&lt;&gt;""),AND(LX20&gt;=MA$28,LX20&lt;&gt;"",LZ20&gt;=MA$32,LZ20&lt;&gt;""),AND(MV20&gt;=NI$28,MV20&lt;&gt;"",MX20&gt;=NI$32,MX20&lt;&gt;""),AND(MY20&gt;=NI$28,MY20&lt;&gt;"",NA20&gt;=NI$32,NA20&lt;&gt;""),AND(NC20&gt;=NI$28,NC20&lt;&gt;"",NE20&gt;=NI$32,NE20&lt;&gt;""),AND(NF20&gt;=NI$28,NF20&lt;&gt;"",NH20&gt;=NI$32,NH20&lt;&gt;""),AND(OD20&gt;=OQ$28,OD20&lt;&gt;"",OF20&gt;=OQ$32,OF20&lt;&gt;""),AND(OG20&gt;=OQ$28,OG20&lt;&gt;"",OI20&gt;=OQ$32,OI20&lt;&gt;""),AND(OK20&gt;=OQ$28,OK20&lt;&gt;"",OM20&gt;=OQ$32,OM20&lt;&gt;""),AND(ON20&gt;=OQ$28,ON20&lt;&gt;"",OP20&gt;=OQ$32,OP20&lt;&gt;""),AND(PL20&gt;=PY$28,PL20&lt;&gt;"",PN20&gt;=PY$32,PN20&lt;&gt;""),AND(PO20&gt;=PY$28,PO20&lt;&gt;"",PQ20&gt;=PY$32,PQ20&lt;&gt;""),AND(PS20&gt;=PY$28,PS20&lt;&gt;"",PU20&gt;=PY$32,PU20&lt;&gt;""),AND(PV20&gt;=PY$28,PV20&lt;&gt;"",PX20&gt;=PY$32,PX20&lt;&gt;""),AND(QT20&gt;=RG$28,QT20&lt;&gt;"",QV20&gt;=RG$32,QV20&lt;&gt;""),AND(QW20&gt;=RG$28,QW20&lt;&gt;"",QY20&gt;=RG$32,QY20&lt;&gt;""),AND(RA20&gt;=RG$28,RA20&lt;&gt;"",RC20&gt;=RG$32,RC20&lt;&gt;""),AND(RD20&gt;=RG$28,RD20&lt;&gt;"",RF20&gt;=RG$32,RF20&lt;&gt;""),AND(SB20&gt;=SO$28,SB20&lt;&gt;"",SD20&gt;=SO$32,SD20&lt;&gt;""),AND(SE20&gt;=SO$28,SE20&lt;&gt;"",SG20&gt;=SO$32,SG20&lt;&gt;""),AND(SI20&gt;=SO$28,SI20&lt;&gt;"",SK20&gt;=SO$32,SK20&lt;&gt;""),AND(SL20&gt;=SO$28,SL20&lt;&gt;"",SN20&gt;=SO$32,SN20&lt;&gt;""),AND(TJ20&gt;=TW$28,TJ20&lt;&gt;"",TL20&gt;=TW$32,TL20&lt;&gt;""),AND(TM20&gt;=TW$28,TM20&lt;&gt;"",TO20&gt;=TW$32,TO20&lt;&gt;""),AND(TQ20&gt;=TW$28,TQ20&lt;&gt;"",TS20&gt;=TW$32,TXQ20&lt;&gt;""),AND(TT20&gt;=TW$28,TT20&lt;&gt;"",TV20&gt;=TW$32,TV20&lt;&gt;""),AND(UR20&gt;=VE$28,UR20&lt;&gt;"",UT20&gt;=VE$32,UT20&lt;&gt;""),AND(UU20&gt;=VE$28,UU20&lt;&gt;"",UW20&gt;=VE$32,UW20&lt;&gt;""),AND(UY20&gt;=VE$28,UY20&lt;&gt;"",VA20&gt;=VE$32,VA20&lt;&gt;""),AND(VB20&gt;=VE$28,VB20&lt;&gt;"",VD20&gt;=VE$32,VD20&lt;&gt;""),AND(VZ20&gt;=WM$28,VZ20&lt;&gt;"",WB20&gt;=WM$32,WB20&lt;&gt;""),AND(WC20&gt;=WM$28,WC20&lt;&gt;"",WE20&gt;=WM$32,WE20&lt;&gt;""),AND(WG20&gt;=WM$28,WG20&lt;&gt;"",WI20&gt;=WM$32,WI20&lt;&gt;""),AND(WJ20&gt;=WM$28,WJ20&lt;&gt;"",WL20&gt;=WM$32,WL20&lt;&gt;"")),"P","")</f>
        <v/>
      </c>
      <c r="J20" s="8">
        <f t="shared" si="1"/>
        <v>0</v>
      </c>
      <c r="K20" s="8" t="str">
        <f t="shared" si="2"/>
        <v/>
      </c>
      <c r="L20" s="8">
        <f>IFERROR(IF(J20=AR20,LARGE((AK20,AN20,BL20,BO20,BS20,CM20,CP20,CT20),1),IF(J20=BS20,LARGE((AK20,AN20,AR20,BL20,BO20,CM20,CP20,CT20),1),LARGE((AK20,AN20,AR20,BL20,BO20,BS20,CM20,CP20),1))),0)</f>
        <v>50.3</v>
      </c>
      <c r="M20" s="8" t="str">
        <f t="shared" si="3"/>
        <v>2025 Nationals</v>
      </c>
      <c r="N20" s="8">
        <f>IFERROR(IF(J20=AR20,LARGE((AK20,AN20,BL20,BO20,BS20,CM20,CP20,CT20),2),IF(J20=BS20,LARGE((AK20,AN20,AR20,BL20,BO20,CM20,CP20,CT20),2),LARGE((AK20,AN20,AR20,BL20,BO20,BS20,CM20,CP20),2))),0)</f>
        <v>40.43</v>
      </c>
      <c r="O20" s="8" t="str">
        <f t="shared" si="4"/>
        <v>2025 Nationals</v>
      </c>
      <c r="P20" s="8">
        <f t="shared" si="5"/>
        <v>12.439999999999998</v>
      </c>
      <c r="Q20" s="11" t="str">
        <f t="shared" si="6"/>
        <v>(Any)</v>
      </c>
      <c r="R20" s="8" t="str">
        <f t="shared" si="7"/>
        <v>2025 World Cup ITA (April 5)</v>
      </c>
      <c r="S20" s="18">
        <v>12</v>
      </c>
      <c r="T20" s="18">
        <v>6.3</v>
      </c>
      <c r="U20" s="18">
        <v>11</v>
      </c>
      <c r="V20" s="18">
        <v>11.13</v>
      </c>
      <c r="W20" s="18">
        <v>0</v>
      </c>
      <c r="X20" s="18">
        <v>14.7</v>
      </c>
      <c r="Y20" s="18">
        <v>7.6</v>
      </c>
      <c r="Z20" s="18">
        <v>13.8</v>
      </c>
      <c r="AA20" s="18">
        <v>14.2</v>
      </c>
      <c r="AB20" s="18">
        <v>0</v>
      </c>
      <c r="AC20" s="18"/>
      <c r="AD20" s="18"/>
      <c r="AE20" s="18"/>
      <c r="AF20" s="18"/>
      <c r="AG20" s="18"/>
      <c r="AH20" s="23"/>
      <c r="AI20" s="34">
        <f t="shared" si="8"/>
        <v>11</v>
      </c>
      <c r="AJ20" s="34">
        <f t="shared" si="9"/>
        <v>11.13</v>
      </c>
      <c r="AK20" s="36">
        <f t="shared" si="10"/>
        <v>40.43</v>
      </c>
      <c r="AL20" s="36">
        <f t="shared" si="11"/>
        <v>13.8</v>
      </c>
      <c r="AM20" s="36">
        <f t="shared" si="12"/>
        <v>14.2</v>
      </c>
      <c r="AN20" s="36">
        <f t="shared" si="13"/>
        <v>50.3</v>
      </c>
      <c r="AO20" s="36">
        <f t="shared" si="14"/>
        <v>50.3</v>
      </c>
      <c r="AP20" s="36" t="str">
        <f t="shared" si="15"/>
        <v/>
      </c>
      <c r="AQ20" s="36" t="str">
        <f t="shared" si="16"/>
        <v/>
      </c>
      <c r="AR20" s="36" t="str">
        <f t="shared" si="17"/>
        <v/>
      </c>
      <c r="AS20" s="36">
        <f t="shared" si="18"/>
        <v>50.3</v>
      </c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4"/>
      <c r="BJ20" s="35" t="str">
        <f t="shared" si="19"/>
        <v/>
      </c>
      <c r="BK20" s="35" t="str">
        <f t="shared" si="20"/>
        <v/>
      </c>
      <c r="BL20" s="11" t="str">
        <f t="shared" si="21"/>
        <v/>
      </c>
      <c r="BM20" s="11" t="str">
        <f t="shared" si="22"/>
        <v/>
      </c>
      <c r="BN20" s="11" t="str">
        <f t="shared" si="23"/>
        <v/>
      </c>
      <c r="BO20" s="11" t="str">
        <f t="shared" si="24"/>
        <v/>
      </c>
      <c r="BP20" s="11" t="str">
        <f t="shared" si="25"/>
        <v/>
      </c>
      <c r="BQ20" s="11" t="str">
        <f t="shared" si="26"/>
        <v/>
      </c>
      <c r="BR20" s="11" t="str">
        <f t="shared" si="27"/>
        <v/>
      </c>
      <c r="BS20" s="11" t="str">
        <f t="shared" si="28"/>
        <v/>
      </c>
      <c r="BT20" s="11" t="str">
        <f t="shared" si="29"/>
        <v/>
      </c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23"/>
      <c r="CK20" s="34" t="str">
        <f t="shared" si="30"/>
        <v/>
      </c>
      <c r="CL20" s="34" t="str">
        <f t="shared" si="31"/>
        <v/>
      </c>
      <c r="CM20" s="36" t="str">
        <f t="shared" si="32"/>
        <v/>
      </c>
      <c r="CN20" s="36" t="str">
        <f t="shared" si="33"/>
        <v/>
      </c>
      <c r="CO20" s="36" t="str">
        <f t="shared" si="34"/>
        <v/>
      </c>
      <c r="CP20" s="36" t="str">
        <f t="shared" si="35"/>
        <v/>
      </c>
      <c r="CQ20" s="36" t="str">
        <f t="shared" si="36"/>
        <v/>
      </c>
      <c r="CR20" s="36" t="str">
        <f t="shared" si="37"/>
        <v/>
      </c>
      <c r="CS20" s="36" t="str">
        <f t="shared" si="38"/>
        <v/>
      </c>
      <c r="CT20" s="36" t="str">
        <f t="shared" si="39"/>
        <v/>
      </c>
      <c r="CU20" s="36" t="str">
        <f t="shared" si="40"/>
        <v/>
      </c>
      <c r="CV20" s="47" t="str">
        <f t="shared" si="41"/>
        <v/>
      </c>
      <c r="CW20" s="47">
        <f t="shared" si="42"/>
        <v>12.439999999999998</v>
      </c>
      <c r="CX20" s="15">
        <v>14.3</v>
      </c>
      <c r="CY20" s="15">
        <v>8.6999999999999993</v>
      </c>
      <c r="CZ20" s="15">
        <v>14.8</v>
      </c>
      <c r="DA20" s="15">
        <v>15.07</v>
      </c>
      <c r="DB20" s="15">
        <v>0</v>
      </c>
      <c r="DC20" s="15">
        <v>13.8</v>
      </c>
      <c r="DD20" s="15">
        <v>8.6999999999999993</v>
      </c>
      <c r="DE20" s="15">
        <v>14.4</v>
      </c>
      <c r="DF20" s="15">
        <v>15.35</v>
      </c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36">
        <f t="shared" si="43"/>
        <v>14.8</v>
      </c>
      <c r="DS20" s="36">
        <f t="shared" si="44"/>
        <v>15.07</v>
      </c>
      <c r="DT20" s="36">
        <f t="shared" si="45"/>
        <v>52.87</v>
      </c>
      <c r="DU20" s="36">
        <f t="shared" si="46"/>
        <v>14.4</v>
      </c>
      <c r="DV20" s="36">
        <f t="shared" si="47"/>
        <v>15.35</v>
      </c>
      <c r="DW20" s="36">
        <f t="shared" si="48"/>
        <v>52.25</v>
      </c>
      <c r="DX20" s="36">
        <f t="shared" si="49"/>
        <v>52.87</v>
      </c>
      <c r="DY20" s="36" t="str">
        <f t="shared" si="50"/>
        <v/>
      </c>
      <c r="DZ20" s="36" t="str">
        <f t="shared" si="51"/>
        <v/>
      </c>
      <c r="EA20" s="36" t="str">
        <f t="shared" si="52"/>
        <v/>
      </c>
      <c r="EB20" s="36" t="str">
        <f t="shared" si="53"/>
        <v/>
      </c>
      <c r="EC20" s="36" t="str">
        <f t="shared" si="54"/>
        <v/>
      </c>
      <c r="ED20" s="36" t="str">
        <f t="shared" si="55"/>
        <v/>
      </c>
      <c r="EE20" s="36">
        <f t="shared" si="56"/>
        <v>52.87</v>
      </c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1" t="str">
        <f t="shared" si="57"/>
        <v/>
      </c>
      <c r="FA20" s="11" t="str">
        <f t="shared" si="58"/>
        <v/>
      </c>
      <c r="FB20" s="11" t="str">
        <f t="shared" si="59"/>
        <v/>
      </c>
      <c r="FC20" s="11" t="str">
        <f t="shared" si="60"/>
        <v/>
      </c>
      <c r="FD20" s="11" t="str">
        <f t="shared" si="61"/>
        <v/>
      </c>
      <c r="FE20" s="11" t="str">
        <f t="shared" si="62"/>
        <v/>
      </c>
      <c r="FF20" s="11" t="str">
        <f t="shared" si="63"/>
        <v/>
      </c>
      <c r="FG20" s="11" t="str">
        <f t="shared" si="64"/>
        <v/>
      </c>
      <c r="FH20" s="11" t="str">
        <f t="shared" si="65"/>
        <v/>
      </c>
      <c r="FI20" s="11" t="str">
        <f t="shared" si="66"/>
        <v/>
      </c>
      <c r="FJ20" s="11" t="str">
        <f t="shared" si="67"/>
        <v/>
      </c>
      <c r="FK20" s="11" t="str">
        <f t="shared" si="68"/>
        <v/>
      </c>
      <c r="FL20" s="11" t="str">
        <f t="shared" si="69"/>
        <v/>
      </c>
      <c r="FM20" s="11" t="str">
        <f t="shared" si="70"/>
        <v/>
      </c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36" t="str">
        <f t="shared" si="71"/>
        <v/>
      </c>
      <c r="GI20" s="36" t="str">
        <f t="shared" si="72"/>
        <v/>
      </c>
      <c r="GJ20" s="36" t="str">
        <f t="shared" si="73"/>
        <v/>
      </c>
      <c r="GK20" s="36" t="str">
        <f t="shared" si="74"/>
        <v/>
      </c>
      <c r="GL20" s="36" t="str">
        <f t="shared" si="75"/>
        <v/>
      </c>
      <c r="GM20" s="36" t="str">
        <f t="shared" si="76"/>
        <v/>
      </c>
      <c r="GN20" s="36" t="str">
        <f t="shared" si="77"/>
        <v/>
      </c>
      <c r="GO20" s="36" t="str">
        <f t="shared" si="78"/>
        <v/>
      </c>
      <c r="GP20" s="36" t="str">
        <f t="shared" si="79"/>
        <v/>
      </c>
      <c r="GQ20" s="36" t="str">
        <f t="shared" si="80"/>
        <v/>
      </c>
      <c r="GR20" s="36" t="str">
        <f t="shared" si="81"/>
        <v/>
      </c>
      <c r="GS20" s="36" t="str">
        <f t="shared" si="82"/>
        <v/>
      </c>
      <c r="GT20" s="36" t="str">
        <f t="shared" si="83"/>
        <v/>
      </c>
      <c r="GU20" s="36" t="str">
        <f t="shared" si="84"/>
        <v/>
      </c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1" t="str">
        <f t="shared" si="85"/>
        <v/>
      </c>
      <c r="HQ20" s="11" t="str">
        <f t="shared" si="86"/>
        <v/>
      </c>
      <c r="HR20" s="11" t="str">
        <f t="shared" si="87"/>
        <v/>
      </c>
      <c r="HS20" s="11" t="str">
        <f t="shared" si="88"/>
        <v/>
      </c>
      <c r="HT20" s="11" t="str">
        <f t="shared" si="89"/>
        <v/>
      </c>
      <c r="HU20" s="11" t="str">
        <f t="shared" si="90"/>
        <v/>
      </c>
      <c r="HV20" s="11" t="str">
        <f t="shared" si="91"/>
        <v/>
      </c>
      <c r="HW20" s="11" t="str">
        <f t="shared" si="92"/>
        <v/>
      </c>
      <c r="HX20" s="11" t="str">
        <f t="shared" si="93"/>
        <v/>
      </c>
      <c r="HY20" s="11" t="str">
        <f t="shared" si="94"/>
        <v/>
      </c>
      <c r="HZ20" s="11" t="str">
        <f t="shared" si="95"/>
        <v/>
      </c>
      <c r="IA20" s="11" t="str">
        <f t="shared" si="96"/>
        <v/>
      </c>
      <c r="IB20" s="11" t="str">
        <f t="shared" si="97"/>
        <v/>
      </c>
      <c r="IC20" s="11" t="str">
        <f t="shared" si="98"/>
        <v/>
      </c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36" t="str">
        <f t="shared" si="99"/>
        <v/>
      </c>
      <c r="IY20" s="36" t="str">
        <f t="shared" si="100"/>
        <v/>
      </c>
      <c r="IZ20" s="36" t="str">
        <f t="shared" si="101"/>
        <v/>
      </c>
      <c r="JA20" s="36" t="str">
        <f t="shared" si="102"/>
        <v/>
      </c>
      <c r="JB20" s="36" t="str">
        <f t="shared" si="103"/>
        <v/>
      </c>
      <c r="JC20" s="36" t="str">
        <f t="shared" si="104"/>
        <v/>
      </c>
      <c r="JD20" s="36" t="str">
        <f t="shared" si="105"/>
        <v/>
      </c>
      <c r="JE20" s="36" t="str">
        <f t="shared" si="106"/>
        <v/>
      </c>
      <c r="JF20" s="36" t="str">
        <f t="shared" si="107"/>
        <v/>
      </c>
      <c r="JG20" s="36" t="str">
        <f t="shared" si="108"/>
        <v/>
      </c>
      <c r="JH20" s="36" t="str">
        <f t="shared" si="109"/>
        <v/>
      </c>
      <c r="JI20" s="36" t="str">
        <f t="shared" si="110"/>
        <v/>
      </c>
      <c r="JJ20" s="36" t="str">
        <f t="shared" si="111"/>
        <v/>
      </c>
      <c r="JK20" s="36" t="str">
        <f t="shared" si="112"/>
        <v/>
      </c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1" t="str">
        <f t="shared" si="113"/>
        <v/>
      </c>
      <c r="KG20" s="11" t="str">
        <f t="shared" si="114"/>
        <v/>
      </c>
      <c r="KH20" s="11" t="str">
        <f t="shared" si="115"/>
        <v/>
      </c>
      <c r="KI20" s="11" t="str">
        <f t="shared" si="116"/>
        <v/>
      </c>
      <c r="KJ20" s="11" t="str">
        <f t="shared" si="117"/>
        <v/>
      </c>
      <c r="KK20" s="11" t="str">
        <f t="shared" si="118"/>
        <v/>
      </c>
      <c r="KL20" s="11" t="str">
        <f t="shared" si="119"/>
        <v/>
      </c>
      <c r="KM20" s="11" t="str">
        <f t="shared" si="120"/>
        <v/>
      </c>
      <c r="KN20" s="11" t="str">
        <f t="shared" si="121"/>
        <v/>
      </c>
      <c r="KO20" s="11" t="str">
        <f t="shared" si="122"/>
        <v/>
      </c>
      <c r="KP20" s="11" t="str">
        <f t="shared" si="123"/>
        <v/>
      </c>
      <c r="KQ20" s="11" t="str">
        <f t="shared" si="124"/>
        <v/>
      </c>
      <c r="KR20" s="11" t="str">
        <f t="shared" si="125"/>
        <v/>
      </c>
      <c r="KS20" s="11" t="str">
        <f t="shared" si="126"/>
        <v/>
      </c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36" t="str">
        <f t="shared" si="127"/>
        <v/>
      </c>
      <c r="LO20" s="36" t="str">
        <f t="shared" si="128"/>
        <v/>
      </c>
      <c r="LP20" s="36" t="str">
        <f t="shared" si="129"/>
        <v/>
      </c>
      <c r="LQ20" s="36" t="str">
        <f t="shared" si="130"/>
        <v/>
      </c>
      <c r="LR20" s="36" t="str">
        <f t="shared" si="131"/>
        <v/>
      </c>
      <c r="LS20" s="36" t="str">
        <f t="shared" si="132"/>
        <v/>
      </c>
      <c r="LT20" s="36" t="str">
        <f t="shared" si="133"/>
        <v/>
      </c>
      <c r="LU20" s="36" t="str">
        <f t="shared" si="134"/>
        <v/>
      </c>
      <c r="LV20" s="36" t="str">
        <f t="shared" si="135"/>
        <v/>
      </c>
      <c r="LW20" s="36" t="str">
        <f t="shared" si="136"/>
        <v/>
      </c>
      <c r="LX20" s="36" t="str">
        <f t="shared" si="137"/>
        <v/>
      </c>
      <c r="LY20" s="36" t="str">
        <f t="shared" si="138"/>
        <v/>
      </c>
      <c r="LZ20" s="36" t="str">
        <f t="shared" si="139"/>
        <v/>
      </c>
      <c r="MA20" s="36" t="str">
        <f t="shared" si="140"/>
        <v/>
      </c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1" t="str">
        <f t="shared" si="141"/>
        <v/>
      </c>
      <c r="MW20" s="11" t="str">
        <f t="shared" si="142"/>
        <v/>
      </c>
      <c r="MX20" s="11" t="str">
        <f t="shared" si="143"/>
        <v/>
      </c>
      <c r="MY20" s="11" t="str">
        <f t="shared" si="144"/>
        <v/>
      </c>
      <c r="MZ20" s="11" t="str">
        <f t="shared" si="145"/>
        <v/>
      </c>
      <c r="NA20" s="11" t="str">
        <f t="shared" si="146"/>
        <v/>
      </c>
      <c r="NB20" s="11" t="str">
        <f t="shared" si="147"/>
        <v/>
      </c>
      <c r="NC20" s="11" t="str">
        <f t="shared" si="148"/>
        <v/>
      </c>
      <c r="ND20" s="11" t="str">
        <f t="shared" si="149"/>
        <v/>
      </c>
      <c r="NE20" s="11" t="str">
        <f t="shared" si="150"/>
        <v/>
      </c>
      <c r="NF20" s="11" t="str">
        <f t="shared" si="151"/>
        <v/>
      </c>
      <c r="NG20" s="11" t="str">
        <f t="shared" si="152"/>
        <v/>
      </c>
      <c r="NH20" s="11" t="str">
        <f t="shared" si="153"/>
        <v/>
      </c>
      <c r="NI20" s="11" t="str">
        <f t="shared" si="154"/>
        <v/>
      </c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36" t="str">
        <f t="shared" si="155"/>
        <v/>
      </c>
      <c r="OE20" s="36" t="str">
        <f t="shared" si="156"/>
        <v/>
      </c>
      <c r="OF20" s="36" t="str">
        <f t="shared" si="157"/>
        <v/>
      </c>
      <c r="OG20" s="36" t="str">
        <f t="shared" si="158"/>
        <v/>
      </c>
      <c r="OH20" s="36" t="str">
        <f t="shared" si="159"/>
        <v/>
      </c>
      <c r="OI20" s="36" t="str">
        <f t="shared" si="160"/>
        <v/>
      </c>
      <c r="OJ20" s="36" t="str">
        <f t="shared" si="161"/>
        <v/>
      </c>
      <c r="OK20" s="36" t="str">
        <f t="shared" si="162"/>
        <v/>
      </c>
      <c r="OL20" s="36" t="str">
        <f t="shared" si="163"/>
        <v/>
      </c>
      <c r="OM20" s="36" t="str">
        <f t="shared" si="164"/>
        <v/>
      </c>
      <c r="ON20" s="36" t="str">
        <f t="shared" si="165"/>
        <v/>
      </c>
      <c r="OO20" s="36" t="str">
        <f t="shared" si="166"/>
        <v/>
      </c>
      <c r="OP20" s="36" t="str">
        <f t="shared" si="167"/>
        <v/>
      </c>
      <c r="OQ20" s="36" t="str">
        <f t="shared" si="168"/>
        <v/>
      </c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1" t="str">
        <f t="shared" si="169"/>
        <v/>
      </c>
      <c r="PM20" s="11" t="str">
        <f t="shared" si="170"/>
        <v/>
      </c>
      <c r="PN20" s="11" t="str">
        <f t="shared" si="171"/>
        <v/>
      </c>
      <c r="PO20" s="11" t="str">
        <f t="shared" si="172"/>
        <v/>
      </c>
      <c r="PP20" s="11" t="str">
        <f t="shared" si="173"/>
        <v/>
      </c>
      <c r="PQ20" s="11" t="str">
        <f t="shared" si="174"/>
        <v/>
      </c>
      <c r="PR20" s="11" t="str">
        <f t="shared" si="175"/>
        <v/>
      </c>
      <c r="PS20" s="11" t="str">
        <f t="shared" si="176"/>
        <v/>
      </c>
      <c r="PT20" s="11" t="str">
        <f t="shared" si="177"/>
        <v/>
      </c>
      <c r="PU20" s="11" t="str">
        <f t="shared" si="178"/>
        <v/>
      </c>
      <c r="PV20" s="11" t="str">
        <f t="shared" si="179"/>
        <v/>
      </c>
      <c r="PW20" s="11" t="str">
        <f t="shared" si="180"/>
        <v/>
      </c>
      <c r="PX20" s="11" t="str">
        <f t="shared" si="181"/>
        <v/>
      </c>
      <c r="PY20" s="11" t="str">
        <f t="shared" si="182"/>
        <v/>
      </c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36" t="str">
        <f t="shared" si="183"/>
        <v/>
      </c>
      <c r="QU20" s="36" t="str">
        <f t="shared" si="184"/>
        <v/>
      </c>
      <c r="QV20" s="36" t="str">
        <f t="shared" si="185"/>
        <v/>
      </c>
      <c r="QW20" s="36" t="str">
        <f t="shared" si="186"/>
        <v/>
      </c>
      <c r="QX20" s="36" t="str">
        <f t="shared" si="187"/>
        <v/>
      </c>
      <c r="QY20" s="36" t="str">
        <f t="shared" si="188"/>
        <v/>
      </c>
      <c r="QZ20" s="36" t="str">
        <f t="shared" si="189"/>
        <v/>
      </c>
      <c r="RA20" s="36" t="str">
        <f t="shared" si="190"/>
        <v/>
      </c>
      <c r="RB20" s="36" t="str">
        <f t="shared" si="191"/>
        <v/>
      </c>
      <c r="RC20" s="36" t="str">
        <f t="shared" si="192"/>
        <v/>
      </c>
      <c r="RD20" s="36" t="str">
        <f t="shared" si="193"/>
        <v/>
      </c>
      <c r="RE20" s="36" t="str">
        <f t="shared" si="194"/>
        <v/>
      </c>
      <c r="RF20" s="36" t="str">
        <f t="shared" si="195"/>
        <v/>
      </c>
      <c r="RG20" s="36" t="str">
        <f t="shared" si="196"/>
        <v/>
      </c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1" t="str">
        <f t="shared" si="197"/>
        <v/>
      </c>
      <c r="SC20" s="11" t="str">
        <f t="shared" si="198"/>
        <v/>
      </c>
      <c r="SD20" s="11" t="str">
        <f t="shared" si="199"/>
        <v/>
      </c>
      <c r="SE20" s="11" t="str">
        <f t="shared" si="200"/>
        <v/>
      </c>
      <c r="SF20" s="11" t="str">
        <f t="shared" si="201"/>
        <v/>
      </c>
      <c r="SG20" s="11" t="str">
        <f t="shared" si="202"/>
        <v/>
      </c>
      <c r="SH20" s="11" t="str">
        <f t="shared" si="203"/>
        <v/>
      </c>
      <c r="SI20" s="11" t="str">
        <f t="shared" si="204"/>
        <v/>
      </c>
      <c r="SJ20" s="11" t="str">
        <f t="shared" si="205"/>
        <v/>
      </c>
      <c r="SK20" s="11" t="str">
        <f t="shared" si="206"/>
        <v/>
      </c>
      <c r="SL20" s="11" t="str">
        <f t="shared" si="207"/>
        <v/>
      </c>
      <c r="SM20" s="11" t="str">
        <f t="shared" si="208"/>
        <v/>
      </c>
      <c r="SN20" s="11" t="str">
        <f t="shared" si="209"/>
        <v/>
      </c>
      <c r="SO20" s="11" t="str">
        <f t="shared" si="210"/>
        <v/>
      </c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36" t="str">
        <f t="shared" si="211"/>
        <v/>
      </c>
      <c r="TK20" s="36" t="str">
        <f t="shared" si="212"/>
        <v/>
      </c>
      <c r="TL20" s="36" t="str">
        <f t="shared" si="213"/>
        <v/>
      </c>
      <c r="TM20" s="36" t="str">
        <f t="shared" si="214"/>
        <v/>
      </c>
      <c r="TN20" s="36" t="str">
        <f t="shared" si="215"/>
        <v/>
      </c>
      <c r="TO20" s="36" t="str">
        <f t="shared" si="216"/>
        <v/>
      </c>
      <c r="TP20" s="36" t="str">
        <f t="shared" si="217"/>
        <v/>
      </c>
      <c r="TQ20" s="36" t="str">
        <f t="shared" si="218"/>
        <v/>
      </c>
      <c r="TR20" s="36" t="str">
        <f t="shared" si="219"/>
        <v/>
      </c>
      <c r="TS20" s="36" t="str">
        <f t="shared" si="220"/>
        <v/>
      </c>
      <c r="TT20" s="36" t="str">
        <f t="shared" si="221"/>
        <v/>
      </c>
      <c r="TU20" s="36" t="str">
        <f t="shared" si="222"/>
        <v/>
      </c>
      <c r="TV20" s="36" t="str">
        <f t="shared" si="223"/>
        <v/>
      </c>
      <c r="TW20" s="36" t="str">
        <f t="shared" si="224"/>
        <v/>
      </c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1" t="str">
        <f t="shared" si="225"/>
        <v/>
      </c>
      <c r="US20" s="11" t="str">
        <f t="shared" si="226"/>
        <v/>
      </c>
      <c r="UT20" s="11" t="str">
        <f t="shared" si="227"/>
        <v/>
      </c>
      <c r="UU20" s="11" t="str">
        <f t="shared" si="228"/>
        <v/>
      </c>
      <c r="UV20" s="11" t="str">
        <f t="shared" si="229"/>
        <v/>
      </c>
      <c r="UW20" s="11" t="str">
        <f t="shared" si="230"/>
        <v/>
      </c>
      <c r="UX20" s="11" t="str">
        <f t="shared" si="231"/>
        <v/>
      </c>
      <c r="UY20" s="11" t="str">
        <f t="shared" si="232"/>
        <v/>
      </c>
      <c r="UZ20" s="11" t="str">
        <f t="shared" si="233"/>
        <v/>
      </c>
      <c r="VA20" s="11" t="str">
        <f t="shared" si="234"/>
        <v/>
      </c>
      <c r="VB20" s="11" t="str">
        <f t="shared" si="235"/>
        <v/>
      </c>
      <c r="VC20" s="11" t="str">
        <f t="shared" si="236"/>
        <v/>
      </c>
      <c r="VD20" s="11" t="str">
        <f t="shared" si="237"/>
        <v/>
      </c>
      <c r="VE20" s="11" t="str">
        <f t="shared" si="238"/>
        <v/>
      </c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36" t="str">
        <f t="shared" si="239"/>
        <v/>
      </c>
      <c r="WA20" s="36" t="str">
        <f t="shared" si="240"/>
        <v/>
      </c>
      <c r="WB20" s="36" t="str">
        <f t="shared" si="241"/>
        <v/>
      </c>
      <c r="WC20" s="36" t="str">
        <f t="shared" si="242"/>
        <v/>
      </c>
      <c r="WD20" s="36" t="str">
        <f t="shared" si="243"/>
        <v/>
      </c>
      <c r="WE20" s="36" t="str">
        <f t="shared" si="244"/>
        <v/>
      </c>
      <c r="WF20" s="36" t="str">
        <f t="shared" si="245"/>
        <v/>
      </c>
      <c r="WG20" s="36" t="str">
        <f t="shared" si="246"/>
        <v/>
      </c>
      <c r="WH20" s="36" t="str">
        <f t="shared" si="247"/>
        <v/>
      </c>
      <c r="WI20" s="36" t="str">
        <f t="shared" si="248"/>
        <v/>
      </c>
      <c r="WJ20" s="36" t="str">
        <f t="shared" si="249"/>
        <v/>
      </c>
      <c r="WK20" s="36" t="str">
        <f t="shared" si="250"/>
        <v/>
      </c>
      <c r="WL20" s="36" t="str">
        <f t="shared" si="251"/>
        <v/>
      </c>
      <c r="WM20" s="36" t="str">
        <f t="shared" si="252"/>
        <v/>
      </c>
    </row>
    <row r="21" spans="1:611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48</v>
      </c>
      <c r="C21" s="4" t="s">
        <v>7</v>
      </c>
      <c r="D21" s="4">
        <v>2001</v>
      </c>
      <c r="E21" s="9">
        <f t="shared" si="0"/>
        <v>94.215009421503268</v>
      </c>
      <c r="F21" s="3" t="str">
        <f>IF(OR(AND(AI21&gt;=AS$27,AI21&lt;&gt;"",AK21&gt;=AS$31,AK21&lt;&gt;"",AH21=""),AND(AL21&gt;=AS$27,AL21&lt;&gt;"",AN21&gt;=AS$31,AN21&lt;&gt;"",AH21=""),AND(AP21&gt;=AS$27,AP21&lt;&gt;"",AR21&gt;=AS$31,AR21&lt;&gt;"",AH21=""),AND(BJ21&gt;=BT$27,BJ21&lt;&gt;"",BL21&gt;=BT$31,BL21&lt;&gt;"",BI21=""),AND(BM21&gt;=BT$27,BM21&lt;&gt;"",BO21&gt;=BT$31,BO21&lt;&gt;"",BI21=""),AND(BQ21&gt;=BT$27,BQ21&lt;&gt;"",BS21&gt;=BT$31,BS21&lt;&gt;"",BI21=""),AND(CK21&gt;=CU$27,CK21&lt;&gt;"",CM21&gt;=CU$31,CM21&lt;&gt;"",CJ21=""),AND(CN21&gt;=CU$27,CN21&lt;&gt;"",CP21&gt;=CU$31,CP21&lt;&gt;"",CJ21=""),AND(CR21&gt;=CU$27,CR21&lt;&gt;"",CT21&gt;=CU$31,CT21&lt;&gt;"",CJ21=""),AND(DR21&gt;=EE$27,DR21&lt;&gt;"",DT21&gt;=EE$31,DT21&lt;&gt;""),AND(DU21&gt;=EE$27,DU21&lt;&gt;"",DW21&gt;=EE$31,DW21&lt;&gt;""),AND(DY21&gt;=EE$27,DY21&lt;&gt;"",EA21&gt;=EE$31,EA21&lt;&gt;""),AND(EB21&gt;=EE$27,EB21&lt;&gt;"",ED21&gt;=EE$31,ED21&lt;&gt;""),AND(EZ21&gt;=FM$27,EZ21&lt;&gt;"",FB21&gt;=FM$31,FB21&lt;&gt;""),AND(FC21&gt;=FM$27,FC21&lt;&gt;"",FE21&gt;=FM$31,FE21&lt;&gt;""),AND(FG21&gt;=FM$27,FG21&lt;&gt;"",FI21&gt;=FM$31,FI21&lt;&gt;""),AND(FJ21&gt;=FM$27,FJ21&lt;&gt;"",FL21&gt;=FM$31,FL21&lt;&gt;""),AND(GH21&gt;=GU$27,GH21&lt;&gt;"",GJ21&gt;=GU$31,GJ21&lt;&gt;""),AND(GK21&gt;=GU$27,GK21&lt;&gt;"",GM21&gt;=GU$31,GM21&lt;&gt;""),AND(GO21&gt;=GU$27,GO21&lt;&gt;"",GQ21&gt;=GU$31,GQ21&lt;&gt;""),AND(GR21&gt;=GU$27,GR21&lt;&gt;"",GT21&gt;=GU$31,GT21&lt;&gt;""),AND(HP21&gt;=IC$27,HP21&lt;&gt;"",HR21&gt;=IC$31,HR21&lt;&gt;""),AND(HS21&gt;=IC$27,HS21&lt;&gt;"",HU21&gt;=IC$31,HU21&lt;&gt;""),AND(HW21&gt;=IC$27,HW21&lt;&gt;"",HY21&gt;=IC$31,HY21&lt;&gt;""),AND(HZ21&gt;=IC$27,HZ21&lt;&gt;"",IB21&gt;=IC$31,IB21&lt;&gt;""),AND(IX21&gt;=JK$27,IX21&lt;&gt;"",IZ21&gt;=JK$31,IZ21&lt;&gt;""),AND(JA21&gt;=JK$27,JA21&lt;&gt;"",JC21&gt;=JK$31,JC21&lt;&gt;""),AND(JE21&gt;=JK$27,JE21&lt;&gt;"",JG21&gt;=JK$31,JG21&lt;&gt;""),AND(JH21&gt;=JK$27,JH21&lt;&gt;"",JJ21&gt;=JK$31,JJ21&lt;&gt;""),AND(KF21&gt;=KS$27,KF21&lt;&gt;"",KH21&gt;=KS$31,KH21&lt;&gt;""),AND(KI21&gt;=KS$27,KI21&lt;&gt;"",KK21&gt;=KS$31,KK21&lt;&gt;""),AND(KM21&gt;=KS$27,KM21&lt;&gt;"",KO21&gt;=KS$31,KO21&lt;&gt;""),AND(KP21&gt;=KS$27,KP21&lt;&gt;"",KR21&gt;=KS$31,KR21&lt;&gt;""),AND(LN21&gt;=MA$27,LN21&lt;&gt;"",LP21&gt;=MA$31,LP21&lt;&gt;""),AND(LQ21&gt;=MA$27,LQ21&lt;&gt;"",LS21&gt;=MA$31,LS21&lt;&gt;""),AND(LU21&gt;=MA$27,LU21&lt;&gt;"",LW21&gt;=MA$31,LW21&lt;&gt;""),AND(LX21&gt;=MA$27,LX21&lt;&gt;"",LZ21&gt;=MA$31,LZ21&lt;&gt;""),AND(MV21&gt;=NI$27,MV21&lt;&gt;"",MX21&gt;=NI$31,MX21&lt;&gt;""),AND(MY21&gt;=NI$27,MY21&lt;&gt;"",NA21&gt;=NI$31,NA21&lt;&gt;""),AND(NC21&gt;=NI$27,NC21&lt;&gt;"",NE21&gt;=NI$31,NE21&lt;&gt;""),AND(NF21&gt;=NI$27,NF21&lt;&gt;"",NH21&gt;=NI$31,NH21&lt;&gt;""),AND(OD21&gt;=OQ$27,OD21&lt;&gt;"",OF21&gt;=OQ$31,OF21&lt;&gt;""),AND(OG21&gt;=OQ$27,OG21&lt;&gt;"",OI21&gt;=OQ$31,OI21&lt;&gt;""),AND(OK21&gt;=OQ$27,OK21&lt;&gt;"",OM21&gt;=OQ$31,OM21&lt;&gt;""),AND(ON21&gt;=OQ$27,ON21&lt;&gt;"",OP21&gt;=OQ$31,OP21&lt;&gt;""),AND(PL21&gt;=PY$27,PL21&lt;&gt;"",PN21&gt;=PY$31,PN21&lt;&gt;""),AND(PO21&gt;=PY$27,PO21&lt;&gt;"",PQ21&gt;=PY$31,PQ21&lt;&gt;""),AND(PS21&gt;=PY$27,PS21&lt;&gt;"",PU21&gt;=PY$31,PU21&lt;&gt;""),AND(PV21&gt;=PY$27,PV21&lt;&gt;"",PX21&gt;=PY$31,PX21&lt;&gt;""),AND(QT21&gt;=RG$27,QT21&lt;&gt;"",QV21&gt;=RG$31,QV21&lt;&gt;""),AND(QW21&gt;=RG$27,QW21&lt;&gt;"",QY21&gt;=RG$31,QY21&lt;&gt;""),AND(RA21&gt;=RG$27,RA21&lt;&gt;"",RC21&gt;=RG$31,RC21&lt;&gt;""),AND(RD21&gt;=RG$27,RD21&lt;&gt;"",RF21&gt;=RG$31,RF21&lt;&gt;""),AND(SB21&gt;=SO$27,SB21&lt;&gt;"",SD21&gt;=SO$31,SD21&lt;&gt;""),AND(SE21&gt;=SO$27,SE21&lt;&gt;"",SG21&gt;=SO$31,SG21&lt;&gt;""),AND(SI21&gt;=SO$27,SI21&lt;&gt;"",SK21&gt;=SO$31,SK21&lt;&gt;""),AND(SL21&gt;=SO$27,SL21&lt;&gt;"",SN21&gt;=SO$31,SN21&lt;&gt;""),AND(TJ21&gt;=TW$27,TJ21&lt;&gt;"",TL21&gt;=TW$31,TL21&lt;&gt;""),AND(TM21&gt;=TW$27,TM21&lt;&gt;"",TO21&gt;=TW$31,TO21&lt;&gt;""),AND(TQ21&gt;=TW$27,TQ21&lt;&gt;"",TS21&gt;=TW$31,TXQ21&lt;&gt;""),AND(TT21&gt;=TW$27,TT21&lt;&gt;"",TV21&gt;=TW$31,TV21&lt;&gt;""),AND(UR21&gt;=VE$27,UR21&lt;&gt;"",UT21&gt;=VE$31,UT21&lt;&gt;""),AND(UU21&gt;=VE$27,UU21&lt;&gt;"",UW21&gt;=VE$31,UW21&lt;&gt;""),AND(UY21&gt;=VE$27,UY21&lt;&gt;"",VA21&gt;=VE$31,VA21&lt;&gt;""),AND(VB21&gt;=VE$27,VB21&lt;&gt;"",VD21&gt;=VE$31,VD21&lt;&gt;""),AND(VZ21&gt;=WM$27,VZ21&lt;&gt;"",WB21&gt;=WM$31,WB21&lt;&gt;""),AND(WC21&gt;=WM$27,WC21&lt;&gt;"",WE21&gt;=WM$31,WE21&lt;&gt;""),AND(WG21&gt;=WM$27,WG21&lt;&gt;"",WI21&gt;=WM$31,WI21&lt;&gt;""),AND(WJ21&gt;=WM$27,WJ21&lt;&gt;"",WL21&gt;=WM$31,WL21&lt;&gt;"")),"P","")</f>
        <v/>
      </c>
      <c r="G21" s="3" t="str">
        <f>IF(OR(AND(AK21&gt;=AS$31,AK21&lt;&gt;"",AH21=""),AND(AN21&gt;=AS$31,AN21&lt;&gt;"",AH21=""),AND(AR21&gt;=AS$31,AR21&lt;&gt;"",AH21=""),AND(BL21&gt;=BT$31,BL21&lt;&gt;"",BI21=""),AND(BO21&gt;=BT$31,BO21&lt;&gt;"",BI21=""),AND(BS21&gt;=BT$31,BS21&lt;&gt;"",BI21=""),AND(CM21&gt;=CU$31,CM21&lt;&gt;"",CJ21=""),AND(CP21&gt;=CU$31,CP21&lt;&gt;"",CJ21=""),AND(CT21&gt;=CU$31,CT21&lt;&gt;"",CJ21=""),AND(DT21&gt;=EE$31,DT21&lt;&gt;""),AND(DW21&gt;=EE$31,DW21&lt;&gt;""),AND(EA21&gt;=EE$31,EA21&lt;&gt;""),AND(ED21&gt;=EE$31,ED21&lt;&gt;""),AND(FB21&gt;=FM$31,FB21&lt;&gt;""),AND(FE21&gt;=FM$31,FE21&lt;&gt;""),AND(FI21&gt;=FM$31,FI21&lt;&gt;""),AND(FL21&gt;=FM$31,FL21&lt;&gt;""),AND(GJ21&gt;=GU$31,GJ21&lt;&gt;""),AND(GM21&gt;=GU$31,GM21&lt;&gt;""),AND(GQ21&gt;=GU$31,GQ21&lt;&gt;""),AND(GT21&gt;=GU$31,GT21&lt;&gt;""),AND(HR21&gt;=IC$31,HR21&lt;&gt;""),AND(HU21&gt;=IC$31,HU21&lt;&gt;""),AND(HY21&gt;=IC$31,HY21&lt;&gt;""),AND(IB21&gt;=IC$31,IB21&lt;&gt;""),AND(IZ21&gt;=JK$31,IZ21&lt;&gt;""),AND(JC21&gt;=JK$31,JC21&lt;&gt;""),AND(JG21&gt;=JK$31,JG21&lt;&gt;""),AND(JJ21&gt;=JK$31,JJ21&lt;&gt;""),AND(KH21&gt;=KS$31,KH21&lt;&gt;""),AND(KK21&gt;=KS$31,KK21&lt;&gt;""),AND(KO21&gt;=KS$31,KO21&lt;&gt;""),AND(KR21&gt;=KS$31,KR21&lt;&gt;""),AND(LP21&gt;=MA$31,LP21&lt;&gt;""),AND(LS21&gt;=MA$31,LS21&lt;&gt;""),AND(LW21&gt;=MA$31,LW21&lt;&gt;""),AND(LZ21&gt;=MA$31,LZ21&lt;&gt;""),AND(MX21&gt;=NI$31,MX21&lt;&gt;""),AND(NA21&gt;=NI$31,NA21&lt;&gt;""),AND(NE21&gt;=NI$31,NE21&lt;&gt;""),AND(NH21&gt;=NI$31,NH21&lt;&gt;""),AND(OF21&gt;=OQ$31,OF21&lt;&gt;""),AND(OI21&gt;=OQ$31,OI21&lt;&gt;""),AND(OM21&gt;=OQ$31,OM21&lt;&gt;""),AND(OP21&gt;=OQ$31,OP21&lt;&gt;""),AND(PN21&gt;=PY$31,PN21&lt;&gt;""),AND(PQ21&gt;=PY$31,PQ21&lt;&gt;""),AND(PU21&gt;=PY$31,PU21&lt;&gt;""),AND(PX21&gt;=PY$31,PX21&lt;&gt;""),AND(QV21&gt;=RG$31,QV21&lt;&gt;""),AND(QY21&gt;=RG$31,QY21&lt;&gt;""),AND(RC21&gt;=RG$31,RC21&lt;&gt;""),AND(RF21&gt;=RG$31,RF21&lt;&gt;""),AND(SD21&gt;=SO$31,SD21&lt;&gt;""),AND(SG21&gt;=SO$31,SG21&lt;&gt;""),AND(SK21&gt;=SO$31,SK21&lt;&gt;""),AND(SN21&gt;=SO$31,SN21&lt;&gt;""),AND(TL21&gt;=TW$31,TL21&lt;&gt;""),AND(TO21&gt;=TW$31,TO21&lt;&gt;""),AND(TS21&gt;=TW$31,TXQ21&lt;&gt;""),AND(TV21&gt;=TW$31,TV21&lt;&gt;""),AND(UT21&gt;=VE$31,UT21&lt;&gt;""),AND(UW21&gt;=VE$31,UW21&lt;&gt;""),AND(VA21&gt;=VE$31,VA21&lt;&gt;""),AND(VD21&gt;=VE$31,VD21&lt;&gt;""),AND(WB21&gt;=WM$31,WB21&lt;&gt;""),AND(WE21&gt;=WM$31,WE21&lt;&gt;""),AND(WI21&gt;=WM$31,WI21&lt;&gt;""),AND(WL21&gt;=WM$31,WL21&lt;&gt;"")),"P","")</f>
        <v/>
      </c>
      <c r="H21" s="32" t="str">
        <f>IF(AND(G21="P",F21=""),"No DD",IF(OR(AND(AI21&gt;=AS$30,AI21&lt;&gt;"",AK21&gt;=AS$34,AK21&lt;&gt;"",AH21=""),AND(AL21&gt;=AS$30,AL21&lt;&gt;"",AN21&gt;=AS$34,AN21&lt;&gt;"",AH21=""),AND(AP21&gt;=AS$30,AP21&lt;&gt;"",AR21&gt;=AS$34,AR21&lt;&gt;"",AH21=""),AND(BJ21&gt;=BT$30,BJ21&lt;&gt;"",BL21&gt;=BT$34,BL21&lt;&gt;"",BI21=""),AND(BM21&gt;=BT$30,BM21&lt;&gt;"",BO21&gt;=BT$34,BO21&lt;&gt;"",BI21=""),AND(BQ21&gt;=BT$30,BQ21&lt;&gt;"",BS21&gt;=BT$34,BS21&lt;&gt;"",BI21=""),AND(CK21&gt;=CU$30,CK21&lt;&gt;"",CM21&gt;=CU$34,CM21&lt;&gt;"",CJ21=""),AND(CN21&gt;=CU$30,CN21&lt;&gt;"",CP21&gt;=CU$34,CP21&lt;&gt;"",CJ21=""),AND(CR21&gt;=CU$30,CR21&lt;&gt;"",CT21&gt;=CU$34,CT21&lt;&gt;"",CJ21=""),AND(DR21&gt;=EE$30,DR21&lt;&gt;"",DT21&gt;=EE$34,DT21&lt;&gt;""),AND(DU21&gt;=EE$30,DU21&lt;&gt;"",DW21&gt;=EE$34,DW21&lt;&gt;""),AND(DY21&gt;=EE$30,DY21&lt;&gt;"",EA21&gt;=EE$34,EA21&lt;&gt;""),AND(EB21&gt;=EE$30,EB21&lt;&gt;"",ED21&gt;=EE$34,ED21&lt;&gt;""),AND(EZ21&gt;=FM$30,EZ21&lt;&gt;"",FB21&gt;=FM$34,FB21&lt;&gt;""),AND(FC21&gt;=FM$30,FC21&lt;&gt;"",FE21&gt;=FM$34,FE21&lt;&gt;""),AND(FG21&gt;=FM$30,FG21&lt;&gt;"",FI21&gt;=FM$34,FI21&lt;&gt;""),AND(FJ21&gt;=FM$30,FJ21&lt;&gt;"",FL21&gt;=FM$34,FL21&lt;&gt;""),AND(GH21&gt;=GU$30,GH21&lt;&gt;"",GJ21&gt;=GU$34,GJ21&lt;&gt;""),AND(GK21&gt;=GU$30,GK21&lt;&gt;"",GM21&gt;=GU$34,GM21&lt;&gt;""),AND(GO21&gt;=GU$30,GO21&lt;&gt;"",GQ21&gt;=GU$34,GQ21&lt;&gt;""),AND(GR21&gt;=GU$30,GR21&lt;&gt;"",GT21&gt;=GU$34,GT21&lt;&gt;""),AND(HP21&gt;=IC$30,HP21&lt;&gt;"",HR21&gt;=IC$34,HR21&lt;&gt;""),AND(HS21&gt;=IC$30,HS21&lt;&gt;"",HU21&gt;=IC$34,HU21&lt;&gt;""),AND(HW21&gt;=IC$30,HW21&lt;&gt;"",HY21&gt;=IC$34,HY21&lt;&gt;""),AND(HZ21&gt;=IC$30,HZ21&lt;&gt;"",IB21&gt;=IC$34,IB21&lt;&gt;""),AND(IX21&gt;=JK$30,IX21&lt;&gt;"",IZ21&gt;=JK$34,IZ21&lt;&gt;""),AND(JA21&gt;=JK$30,JA21&lt;&gt;"",JC21&gt;=JK$34,JC21&lt;&gt;""),AND(JE21&gt;=JK$30,JE21&lt;&gt;"",JG21&gt;=JK$34,JG21&lt;&gt;""),AND(JH21&gt;=JK$30,JH21&lt;&gt;"",JJ21&gt;=JK$34,JJ21&lt;&gt;""),AND(KF21&gt;=KS$30,KF21&lt;&gt;"",KH21&gt;=KS$34,KH21&lt;&gt;""),AND(KI21&gt;=KS$30,KI21&lt;&gt;"",KK21&gt;=KS$34,KK21&lt;&gt;""),AND(KM21&gt;=KS$30,KM21&lt;&gt;"",KO21&gt;=KS$34,KO21&lt;&gt;""),AND(KP21&gt;=KS$30,KP21&lt;&gt;"",KR21&gt;=KS$34,KR21&lt;&gt;""),AND(LN21&gt;=MA$30,LN21&lt;&gt;"",LP21&gt;=MA$34,LP21&lt;&gt;""),AND(LQ21&gt;=MA$30,LQ21&lt;&gt;"",LS21&gt;=MA$34,LS21&lt;&gt;""),AND(LU21&gt;=MA$30,LU21&lt;&gt;"",LW21&gt;=MA$34,LW21&lt;&gt;""),AND(LX21&gt;=MA$30,LX21&lt;&gt;"",LZ21&gt;=MA$34,LZ21&lt;&gt;""),AND(MV21&gt;=NI$30,MV21&lt;&gt;"",MX21&gt;=NI$34,MX21&lt;&gt;""),AND(MY21&gt;=NI$30,MY21&lt;&gt;"",NA21&gt;=NI$34,NA21&lt;&gt;""),AND(NC21&gt;=NI$30,NC21&lt;&gt;"",NE21&gt;=NI$34,NE21&lt;&gt;""),AND(NF21&gt;=NI$30,NF21&lt;&gt;"",NH21&gt;=NI$34,NH21&lt;&gt;""),AND(OD21&gt;=OQ$30,OD21&lt;&gt;"",OF21&gt;=OQ$34,OF21&lt;&gt;""),AND(OG21&gt;=OQ$30,OG21&lt;&gt;"",OI21&gt;=OQ$34,OI21&lt;&gt;""),AND(OK21&gt;=OQ$30,OK21&lt;&gt;"",OM21&gt;=OQ$34,OM21&lt;&gt;""),AND(ON21&gt;=OQ$30,ON21&lt;&gt;"",OP21&gt;=OQ$34,OP21&lt;&gt;""),AND(PL21&gt;=PY$30,PL21&lt;&gt;"",PN21&gt;=PY$34,PN21&lt;&gt;""),AND(PO21&gt;=PY$30,PO21&lt;&gt;"",PQ21&gt;=PY$34,PQ21&lt;&gt;""),AND(PS21&gt;=PY$30,PS21&lt;&gt;"",PU21&gt;=PY$34,PU21&lt;&gt;""),AND(PV21&gt;=PY$30,PV21&lt;&gt;"",PX21&gt;=PY$34,PX21&lt;&gt;""),AND(QT21&gt;=RG$30,QT21&lt;&gt;"",QV21&gt;=RG$34,QV21&lt;&gt;""),AND(QW21&gt;=RG$30,QW21&lt;&gt;"",QY21&gt;=RG$34,QY21&lt;&gt;""),AND(RA21&gt;=RG$30,RA21&lt;&gt;"",RC21&gt;=RG$34,RC21&lt;&gt;""),AND(RD21&gt;=RG$30,RD21&lt;&gt;"",RF21&gt;=RG$34,RF21&lt;&gt;""),AND(SB21&gt;=SO$30,SB21&lt;&gt;"",SD21&gt;=SO$34,SD21&lt;&gt;""),AND(SE21&gt;=SO$30,SE21&lt;&gt;"",SG21&gt;=SO$34,SG21&lt;&gt;""),AND(SI21&gt;=SO$30,SI21&lt;&gt;"",SK21&gt;=SO$34,SK21&lt;&gt;""),AND(SL21&gt;=SO$30,SL21&lt;&gt;"",SN21&gt;=SO$34,SN21&lt;&gt;""),AND(TJ21&gt;=TW$30,TJ21&lt;&gt;"",TL21&gt;=TW$34,TL21&lt;&gt;""),AND(TM21&gt;=TW$30,TM21&lt;&gt;"",TO21&gt;=TW$34,TO21&lt;&gt;""),AND(TQ21&gt;=TW$30,TQ21&lt;&gt;"",TS21&gt;=TW$354,TXQ21&lt;&gt;""),AND(TT21&gt;=TW$30,TT21&lt;&gt;"",TV21&gt;=TW$34,TV21&lt;&gt;""),AND(UR21&gt;=VE$30,UR21&lt;&gt;"",UT21&gt;=VE$34,UT21&lt;&gt;""),AND(UU21&gt;=VE$30,UU21&lt;&gt;"",UW21&gt;=VE$34,UW21&lt;&gt;""),AND(UY21&gt;=VE$30,UY21&lt;&gt;"",VA21&gt;=VE$34,VA21&lt;&gt;""),AND(VB21&gt;=VE$30,VB21&lt;&gt;"",VD21&gt;=VE$34,VD21&lt;&gt;""),AND(VZ21&gt;=WM$30,VZ21&lt;&gt;"",WB21&gt;=WM$34,WB21&lt;&gt;""),AND(WC21&gt;=WM$30,WC21&lt;&gt;"",WE21&gt;=WM$34,WE21&lt;&gt;""),AND(WG21&gt;=WM$30,WG21&lt;&gt;"",WI21&gt;=WM$34,WI21&lt;&gt;""),AND(WJ21&gt;=WM$30,WJ21&lt;&gt;"",WL21&gt;=WM$34,WL21&lt;&gt;"")),"Merit",IF(OR(AND(AI21&gt;=AS$29,AI21&lt;&gt;"",AK21&gt;=AS$33,AK21&lt;&gt;"",AH21=""),AND(AL21&gt;=AS$29,AL21&lt;&gt;"",AN21&gt;=AS$33,AN21&lt;&gt;"",AH21=""),AND(AP21&gt;=AS$29,AP21&lt;&gt;"",AR21&gt;=AS$33,AR21&lt;&gt;"",AH21=""),AND(BJ21&gt;=BT$29,BJ21&lt;&gt;"",BL21&gt;=BT$33,BL21&lt;&gt;"",BI21=""),AND(BM21&gt;=BT$29,BM21&lt;&gt;"",BO21&gt;=BT$33,BO21&lt;&gt;"",BI21=""),AND(BQ21&gt;=BT$29,BQ21&lt;&gt;"",BS21&gt;=BT$33,BS21&lt;&gt;"",BI21=""),AND(CK21&gt;=CU$29,CK21&lt;&gt;"",CM21&gt;=CU$33,CM21&lt;&gt;"",CJ21=""),AND(CN21&gt;=CU$29,CN21&lt;&gt;"",CP21&gt;=CU$33,CP21&lt;&gt;"",CJ21=""),AND(CR21&gt;=CU$29,CR21&lt;&gt;"",CT21&gt;=CU$33,CT21&lt;&gt;"",CJ21=""),AND(DR21&gt;=EE$29,DR21&lt;&gt;"",DT21&gt;=EE$33,DT21&lt;&gt;""),AND(DU21&gt;=EE$29,DU21&lt;&gt;"",DW21&gt;=EE$33,DW21&lt;&gt;""),AND(DY21&gt;=EE$29,DY21&lt;&gt;"",EA21&gt;=EE$33,EA21&lt;&gt;""),AND(EB21&gt;=EE$29,EB21&lt;&gt;"",ED21&gt;=EE$33,ED21&lt;&gt;""),AND(EZ21&gt;=FM$29,EZ21&lt;&gt;"",FB21&gt;=FM$33,FB21&lt;&gt;""),AND(FC21&gt;=FM$29,FC21&lt;&gt;"",FE21&gt;=FM$33,FE21&lt;&gt;""),AND(FG21&gt;=FM$29,FG21&lt;&gt;"",FI21&gt;=FM$33,FI21&lt;&gt;""),AND(FJ21&gt;=FM$29,FJ21&lt;&gt;"",FL21&gt;=FM$33,FL21&lt;&gt;""),AND(GH21&gt;=GU$29,GH21&lt;&gt;"",GJ21&gt;=GU$33,GJ21&lt;&gt;""),AND(GK21&gt;=GU$29,GK21&lt;&gt;"",GM21&gt;=GU$33,GM21&lt;&gt;""),AND(GO21&gt;=GU$29,GO21&lt;&gt;"",GQ21&gt;=GU$33,GQ21&lt;&gt;""),AND(GR21&gt;=GU$29,GR21&lt;&gt;"",GT21&gt;=GU$33,GT21&lt;&gt;""),AND(HP21&gt;=IC$29,HP21&lt;&gt;"",HR21&gt;=IC$33,HR21&lt;&gt;""),AND(HS21&gt;=IC$29,HS21&lt;&gt;"",HU21&gt;=IC$33,HU21&lt;&gt;""),AND(HW21&gt;=IC$29,HW21&lt;&gt;"",HY21&gt;=IC$33,HY21&lt;&gt;""),AND(HZ21&gt;=IC$29,HZ21&lt;&gt;"",IB21&gt;=IC$33,IB21&lt;&gt;""),AND(IX21&gt;=JK$29,IX21&lt;&gt;"",IZ21&gt;=JK$33,IZ21&lt;&gt;""),AND(JA21&gt;=JK$29,JA21&lt;&gt;"",JC21&gt;=JK$33,JC21&lt;&gt;""),AND(JE21&gt;=JK$29,JE21&lt;&gt;"",JG21&gt;=JK$33,JG21&lt;&gt;""),AND(JH21&gt;=JK$29,JH21&lt;&gt;"",JJ21&gt;=JK$33,JJ21&lt;&gt;""),AND(KF21&gt;=KS$29,KF21&lt;&gt;"",KH21&gt;=KS$33,KH21&lt;&gt;""),AND(KI21&gt;=KS$29,KI21&lt;&gt;"",KK21&gt;=KS$33,KK21&lt;&gt;""),AND(KM21&gt;=KS$29,KM21&lt;&gt;"",KO21&gt;=KS$33,KO21&lt;&gt;""),AND(KP21&gt;=KS$29,KP21&lt;&gt;"",KR21&gt;=KS$33,KR21&lt;&gt;""),AND(LN21&gt;=MA$29,LN21&lt;&gt;"",LP21&gt;=MA$33,LP21&lt;&gt;""),AND(LQ21&gt;=MA$29,LQ21&lt;&gt;"",LS21&gt;=MA$33,LS21&lt;&gt;""),AND(LU21&gt;=MA$29,LU21&lt;&gt;"",LW21&gt;=MA$33,LW21&lt;&gt;""),AND(LX21&gt;=MA$29,LX21&lt;&gt;"",LZ21&gt;=MA$33,LZ21&lt;&gt;""),AND(MV21&gt;=NI$29,MV21&lt;&gt;"",MX21&gt;=NI$33,MX21&lt;&gt;""),AND(MY21&gt;=NI$29,MY21&lt;&gt;"",NA21&gt;=NI$33,NA21&lt;&gt;""),AND(NC21&gt;=NI$29,NC21&lt;&gt;"",NE21&gt;=NI$33,NE21&lt;&gt;""),AND(NF21&gt;=NI$29,NF21&lt;&gt;"",NH21&gt;=NI$33,NH21&lt;&gt;""),AND(OD21&gt;=OQ$29,OD21&lt;&gt;"",OF21&gt;=OQ$33,OF21&lt;&gt;""),AND(OG21&gt;=OQ$29,OG21&lt;&gt;"",OI21&gt;=OQ$33,OI21&lt;&gt;""),AND(OK21&gt;=OQ$29,OK21&lt;&gt;"",OM21&gt;=OQ$33,OM21&lt;&gt;""),AND(ON21&gt;=OQ$29,ON21&lt;&gt;"",OP21&gt;=OQ$33,OP21&lt;&gt;""),AND(PL21&gt;=PY$29,PL21&lt;&gt;"",PN21&gt;=PY$33,PN21&lt;&gt;""),AND(PO21&gt;=PY$29,PO21&lt;&gt;"",PQ21&gt;=PY$33,PQ21&lt;&gt;""),AND(PS21&gt;=PY$29,PS21&lt;&gt;"",PU21&gt;=PY$33,PU21&lt;&gt;""),AND(PV21&gt;=PY$29,PV21&lt;&gt;"",PX21&gt;=PY$33,PX21&lt;&gt;""),AND(QT21&gt;=RG$29,QT21&lt;&gt;"",QV21&gt;=RG$33,QV21&lt;&gt;""),AND(QW21&gt;=RG$29,QW21&lt;&gt;"",QY21&gt;=RG$33,QY21&lt;&gt;""),AND(RA21&gt;=RG$29,RA21&lt;&gt;"",RC21&gt;=RG$33,RC21&lt;&gt;""),AND(RD21&gt;=RG$29,RD21&lt;&gt;"",RF21&gt;=RG$33,RF21&lt;&gt;""),AND(SB21&gt;=SO$29,SB21&lt;&gt;"",SD21&gt;=SO$33,SD21&lt;&gt;""),AND(SE21&gt;=SO$29,SE21&lt;&gt;"",SG21&gt;=SO$33,SG21&lt;&gt;""),AND(SI21&gt;=SO$29,SI21&lt;&gt;"",SK21&gt;=SO$33,SK21&lt;&gt;""),AND(SL21&gt;=SO$29,SL21&lt;&gt;"",SN21&gt;=SO$33,SN21&lt;&gt;""),AND(TJ21&gt;=TW$29,TJ21&lt;&gt;"",TL21&gt;=TW$33,TL21&lt;&gt;""),AND(TM21&gt;=TW$29,TM21&lt;&gt;"",TO21&gt;=TW$33,TO21&lt;&gt;""),AND(TQ21&gt;=TW$29,TQ21&lt;&gt;"",TS21&gt;=TW$33,TXQ21&lt;&gt;""),AND(TT21&gt;=TW$29,TT21&lt;&gt;"",TV21&gt;=TW$33,TV21&lt;&gt;""),AND(UR21&gt;=VE$29,UR21&lt;&gt;"",UT21&gt;=VE$33,UT21&lt;&gt;""),AND(UU21&gt;=VE$29,UU21&lt;&gt;"",UW21&gt;=VE$33,UW21&lt;&gt;""),AND(UY21&gt;=VE$29,UY21&lt;&gt;"",VA21&gt;=VE$33,VA21&lt;&gt;""),AND(VB21&gt;=VE$29,VB21&lt;&gt;"",VD21&gt;=VE$33,VD21&lt;&gt;""),AND(VZ21&gt;=WM$29,VZ21&lt;&gt;"",WB21&gt;=WM$33,WB21&lt;&gt;""),AND(WC21&gt;=WM$29,WC21&lt;&gt;"",WE21&gt;=WM$33,WE21&lt;&gt;""),AND(WG21&gt;=WM$29,WG21&lt;&gt;"",WI21&gt;=WM$33,WI21&lt;&gt;""),AND(WJ21&gt;=WM$29,WJ21&lt;&gt;"",WL21&gt;=WM$33,WL21&lt;&gt;"")),"Excellence",IF(I21="P","Worlds Team",IF(F21="P","National Team","")))))</f>
        <v/>
      </c>
      <c r="I21" s="3" t="str">
        <f>IF(OR(AND(AI21&gt;=AS$28,AI21&lt;&gt;"",AK21&gt;=AS$32,AK21&lt;&gt;"",AH21=""),AND(AL21&gt;=AS$28,AL21&lt;&gt;"",AN21&gt;=AS$32,AN21&lt;&gt;"",AH21=""),AND(AP21&gt;=AS$28,AP21&lt;&gt;"",AR21&gt;=AS$32,AR21&lt;&gt;"",AH21=""),AND(BJ21&gt;=BT$28,BJ21&lt;&gt;"",BL21&gt;=BT$32,BL21&lt;&gt;"",BI21=""),AND(BM21&gt;=BT$28,BM21&lt;&gt;"",BO21&gt;=BT$32,BO21&lt;&gt;"",BI21=""),AND(BQ21&gt;=BT$28,BQ21&lt;&gt;"",BS21&gt;=BT$32,BS21&lt;&gt;"",BI21=""),AND(CK21&gt;=CU$28,CK21&lt;&gt;"",CM21&gt;=CU$32,CM21&lt;&gt;"",CJ21=""),AND(CN21&gt;=CU$28,CN21&lt;&gt;"",CP21&gt;=CU$32,CP21&lt;&gt;"",CJ21=""),AND(CR21&gt;=CU$28,CR21&lt;&gt;"",CT21&gt;=CU$32,CT21&lt;&gt;"",CJ21=""),AND(DR21&gt;=EE$28,DR21&lt;&gt;"",DT21&gt;=EE$32,DT21&lt;&gt;""),AND(DU21&gt;=EE$28,DU21&lt;&gt;"",DW21&gt;=EE$32,DW21&lt;&gt;""),AND(DY21&gt;=EE$28,DY21&lt;&gt;"",EA21&gt;=EE$32,EA21&lt;&gt;""),AND(EB21&gt;=EE$28,EB21&lt;&gt;"",ED21&gt;=EE$32,ED21&lt;&gt;""),AND(EZ21&gt;=FM$28,EZ21&lt;&gt;"",FB21&gt;=FM$32,FB21&lt;&gt;""),AND(FC21&gt;=FM$28,FC21&lt;&gt;"",FE21&gt;=FM$32,FE21&lt;&gt;""),AND(FG21&gt;=FM$28,FG21&lt;&gt;"",FI21&gt;=FM$32,FI21&lt;&gt;""),AND(FJ21&gt;=FM$28,FJ21&lt;&gt;"",FL21&gt;=FM$32,FL21&lt;&gt;""),AND(GH21&gt;=GU$28,GH21&lt;&gt;"",GJ21&gt;=GU$32,GJ21&lt;&gt;""),AND(GK21&gt;=GU$28,GK21&lt;&gt;"",GM21&gt;=GU$32,GM21&lt;&gt;""),AND(GO21&gt;=GU$28,GO21&lt;&gt;"",GQ21&gt;=GU$32,GQ21&lt;&gt;""),AND(GR21&gt;=GU$28,GR21&lt;&gt;"",GT21&gt;=GU$32,GT21&lt;&gt;""),AND(HP21&gt;=IC$28,HP21&lt;&gt;"",HR21&gt;=IC$32,HR21&lt;&gt;""),AND(HS21&gt;=IC$28,HS21&lt;&gt;"",HU21&gt;=IC$32,HU21&lt;&gt;""),AND(HW21&gt;=IC$28,HW21&lt;&gt;"",HY21&gt;=IC$32,HY21&lt;&gt;""),AND(HZ21&gt;=IC$28,HZ21&lt;&gt;"",IB21&gt;=IC$32,IB21&lt;&gt;""),AND(IX21&gt;=JK$28,IX21&lt;&gt;"",IZ21&gt;=JK$32,IZ21&lt;&gt;""),AND(JA21&gt;=JK$28,JA21&lt;&gt;"",JC21&gt;=JK$32,JC21&lt;&gt;""),AND(JE21&gt;=JK$28,JE21&lt;&gt;"",JG21&gt;=JK$32,JG21&lt;&gt;""),AND(JH21&gt;=JK$28,JH21&lt;&gt;"",JJ21&gt;=JK$32,JJ21&lt;&gt;""),AND(KF21&gt;=KS$28,KF21&lt;&gt;"",KH21&gt;=KS$32,KH21&lt;&gt;""),AND(KI21&gt;=KS$28,KI21&lt;&gt;"",KK21&gt;=KS$32,KK21&lt;&gt;""),AND(KM21&gt;=KS$28,KM21&lt;&gt;"",KO21&gt;=KS$32,KO21&lt;&gt;""),AND(KP21&gt;=KS$28,KP21&lt;&gt;"",KR21&gt;=KS$32,KR21&lt;&gt;""),AND(LN21&gt;=MA$28,LN21&lt;&gt;"",LP21&gt;=MA$32,LP21&lt;&gt;""),AND(LQ21&gt;=MA$28,LQ21&lt;&gt;"",LS21&gt;=MA$32,LS21&lt;&gt;""),AND(LU21&gt;=MA$28,LU21&lt;&gt;"",LW21&gt;=MA$32,LW21&lt;&gt;""),AND(LX21&gt;=MA$28,LX21&lt;&gt;"",LZ21&gt;=MA$32,LZ21&lt;&gt;""),AND(MV21&gt;=NI$28,MV21&lt;&gt;"",MX21&gt;=NI$32,MX21&lt;&gt;""),AND(MY21&gt;=NI$28,MY21&lt;&gt;"",NA21&gt;=NI$32,NA21&lt;&gt;""),AND(NC21&gt;=NI$28,NC21&lt;&gt;"",NE21&gt;=NI$32,NE21&lt;&gt;""),AND(NF21&gt;=NI$28,NF21&lt;&gt;"",NH21&gt;=NI$32,NH21&lt;&gt;""),AND(OD21&gt;=OQ$28,OD21&lt;&gt;"",OF21&gt;=OQ$32,OF21&lt;&gt;""),AND(OG21&gt;=OQ$28,OG21&lt;&gt;"",OI21&gt;=OQ$32,OI21&lt;&gt;""),AND(OK21&gt;=OQ$28,OK21&lt;&gt;"",OM21&gt;=OQ$32,OM21&lt;&gt;""),AND(ON21&gt;=OQ$28,ON21&lt;&gt;"",OP21&gt;=OQ$32,OP21&lt;&gt;""),AND(PL21&gt;=PY$28,PL21&lt;&gt;"",PN21&gt;=PY$32,PN21&lt;&gt;""),AND(PO21&gt;=PY$28,PO21&lt;&gt;"",PQ21&gt;=PY$32,PQ21&lt;&gt;""),AND(PS21&gt;=PY$28,PS21&lt;&gt;"",PU21&gt;=PY$32,PU21&lt;&gt;""),AND(PV21&gt;=PY$28,PV21&lt;&gt;"",PX21&gt;=PY$32,PX21&lt;&gt;""),AND(QT21&gt;=RG$28,QT21&lt;&gt;"",QV21&gt;=RG$32,QV21&lt;&gt;""),AND(QW21&gt;=RG$28,QW21&lt;&gt;"",QY21&gt;=RG$32,QY21&lt;&gt;""),AND(RA21&gt;=RG$28,RA21&lt;&gt;"",RC21&gt;=RG$32,RC21&lt;&gt;""),AND(RD21&gt;=RG$28,RD21&lt;&gt;"",RF21&gt;=RG$32,RF21&lt;&gt;""),AND(SB21&gt;=SO$28,SB21&lt;&gt;"",SD21&gt;=SO$32,SD21&lt;&gt;""),AND(SE21&gt;=SO$28,SE21&lt;&gt;"",SG21&gt;=SO$32,SG21&lt;&gt;""),AND(SI21&gt;=SO$28,SI21&lt;&gt;"",SK21&gt;=SO$32,SK21&lt;&gt;""),AND(SL21&gt;=SO$28,SL21&lt;&gt;"",SN21&gt;=SO$32,SN21&lt;&gt;""),AND(TJ21&gt;=TW$28,TJ21&lt;&gt;"",TL21&gt;=TW$32,TL21&lt;&gt;""),AND(TM21&gt;=TW$28,TM21&lt;&gt;"",TO21&gt;=TW$32,TO21&lt;&gt;""),AND(TQ21&gt;=TW$28,TQ21&lt;&gt;"",TS21&gt;=TW$32,TXQ21&lt;&gt;""),AND(TT21&gt;=TW$28,TT21&lt;&gt;"",TV21&gt;=TW$32,TV21&lt;&gt;""),AND(UR21&gt;=VE$28,UR21&lt;&gt;"",UT21&gt;=VE$32,UT21&lt;&gt;""),AND(UU21&gt;=VE$28,UU21&lt;&gt;"",UW21&gt;=VE$32,UW21&lt;&gt;""),AND(UY21&gt;=VE$28,UY21&lt;&gt;"",VA21&gt;=VE$32,VA21&lt;&gt;""),AND(VB21&gt;=VE$28,VB21&lt;&gt;"",VD21&gt;=VE$32,VD21&lt;&gt;""),AND(VZ21&gt;=WM$28,VZ21&lt;&gt;"",WB21&gt;=WM$32,WB21&lt;&gt;""),AND(WC21&gt;=WM$28,WC21&lt;&gt;"",WE21&gt;=WM$32,WE21&lt;&gt;""),AND(WG21&gt;=WM$28,WG21&lt;&gt;"",WI21&gt;=WM$32,WI21&lt;&gt;""),AND(WJ21&gt;=WM$28,WJ21&lt;&gt;"",WL21&gt;=WM$32,WL21&lt;&gt;"")),"P","")</f>
        <v/>
      </c>
      <c r="J21" s="8">
        <f t="shared" si="1"/>
        <v>28.884999999999998</v>
      </c>
      <c r="K21" s="8" t="str">
        <f t="shared" si="2"/>
        <v>2025 3rd Domestic Trial</v>
      </c>
      <c r="L21" s="8">
        <f>IFERROR(IF(J21=AR21,LARGE((AK21,AN21,BL21,BO21,BS21,CM21,CP21,CT21),1),IF(J21=BS21,LARGE((AK21,AN21,AR21,BL21,BO21,CM21,CP21,CT21),1),LARGE((AK21,AN21,AR21,BL21,BO21,BS21,CM21,CP21),1))),0)</f>
        <v>32.664999999999999</v>
      </c>
      <c r="M21" s="8" t="str">
        <f t="shared" si="3"/>
        <v>2025 3rd Domestic Trial</v>
      </c>
      <c r="N21" s="8">
        <f>IFERROR(IF(J21=AR21,LARGE((AK21,AN21,BL21,BO21,BS21,CM21,CP21,CT21),2),IF(J21=BS21,LARGE((AK21,AN21,AR21,BL21,BO21,CM21,CP21,CT21),2),LARGE((AK21,AN21,AR21,BL21,BO21,BS21,CM21,CP21),2))),0)</f>
        <v>32.664999999999999</v>
      </c>
      <c r="O21" s="8" t="str">
        <f t="shared" si="4"/>
        <v>2025 3rd Domestic Trial</v>
      </c>
      <c r="P21" s="8">
        <f t="shared" si="5"/>
        <v>0</v>
      </c>
      <c r="Q21" s="11" t="str">
        <f t="shared" si="6"/>
        <v/>
      </c>
      <c r="R21" s="8" t="str">
        <f t="shared" si="7"/>
        <v/>
      </c>
      <c r="S21" s="18">
        <v>6.65</v>
      </c>
      <c r="T21" s="18">
        <v>3.35</v>
      </c>
      <c r="U21" s="18">
        <v>6.9</v>
      </c>
      <c r="V21" s="18">
        <v>6.8149999999999995</v>
      </c>
      <c r="W21" s="18">
        <v>0</v>
      </c>
      <c r="X21" s="18">
        <v>9.1</v>
      </c>
      <c r="Y21" s="18">
        <v>5.0999999999999996</v>
      </c>
      <c r="Z21" s="18">
        <v>9.25</v>
      </c>
      <c r="AA21" s="18">
        <v>9.2149999999999999</v>
      </c>
      <c r="AB21" s="18">
        <v>0</v>
      </c>
      <c r="AC21" s="18">
        <v>8.1</v>
      </c>
      <c r="AD21" s="18">
        <v>4.1500000000000004</v>
      </c>
      <c r="AE21" s="18">
        <v>8.25</v>
      </c>
      <c r="AF21" s="18">
        <v>8.3849999999999998</v>
      </c>
      <c r="AG21" s="18">
        <v>0</v>
      </c>
      <c r="AH21" s="23" t="s">
        <v>42</v>
      </c>
      <c r="AI21" s="34">
        <f t="shared" si="8"/>
        <v>6.9</v>
      </c>
      <c r="AJ21" s="34">
        <f t="shared" si="9"/>
        <v>6.8149999999999995</v>
      </c>
      <c r="AK21" s="36">
        <f t="shared" si="10"/>
        <v>23.714999999999996</v>
      </c>
      <c r="AL21" s="36">
        <f t="shared" si="11"/>
        <v>9.25</v>
      </c>
      <c r="AM21" s="36">
        <f t="shared" si="12"/>
        <v>9.2149999999999999</v>
      </c>
      <c r="AN21" s="36">
        <f t="shared" si="13"/>
        <v>32.664999999999999</v>
      </c>
      <c r="AO21" s="36">
        <f t="shared" si="14"/>
        <v>32.664999999999999</v>
      </c>
      <c r="AP21" s="36">
        <f t="shared" si="15"/>
        <v>8.25</v>
      </c>
      <c r="AQ21" s="36">
        <f t="shared" si="16"/>
        <v>8.3849999999999998</v>
      </c>
      <c r="AR21" s="36">
        <f t="shared" si="17"/>
        <v>28.884999999999998</v>
      </c>
      <c r="AS21" s="36">
        <f t="shared" si="18"/>
        <v>61.55</v>
      </c>
      <c r="AT21" s="22">
        <v>6.65</v>
      </c>
      <c r="AU21" s="22">
        <v>3.35</v>
      </c>
      <c r="AV21" s="22">
        <v>6.9</v>
      </c>
      <c r="AW21" s="22">
        <v>6.8149999999999995</v>
      </c>
      <c r="AX21" s="22">
        <v>0</v>
      </c>
      <c r="AY21" s="22">
        <v>9.1</v>
      </c>
      <c r="AZ21" s="22">
        <v>5.0999999999999996</v>
      </c>
      <c r="BA21" s="22">
        <v>9.25</v>
      </c>
      <c r="BB21" s="22">
        <v>9.2149999999999999</v>
      </c>
      <c r="BC21" s="22">
        <v>0</v>
      </c>
      <c r="BD21" s="22">
        <v>8.1</v>
      </c>
      <c r="BE21" s="22">
        <v>4.1500000000000004</v>
      </c>
      <c r="BF21" s="22">
        <v>8.25</v>
      </c>
      <c r="BG21" s="22">
        <v>8.3849999999999998</v>
      </c>
      <c r="BH21" s="22">
        <v>0</v>
      </c>
      <c r="BI21" s="24" t="s">
        <v>42</v>
      </c>
      <c r="BJ21" s="35">
        <f t="shared" si="19"/>
        <v>6.9</v>
      </c>
      <c r="BK21" s="35">
        <f t="shared" si="20"/>
        <v>6.8149999999999995</v>
      </c>
      <c r="BL21" s="11">
        <f t="shared" si="21"/>
        <v>23.714999999999996</v>
      </c>
      <c r="BM21" s="11">
        <f t="shared" si="22"/>
        <v>9.25</v>
      </c>
      <c r="BN21" s="11">
        <f t="shared" si="23"/>
        <v>9.2149999999999999</v>
      </c>
      <c r="BO21" s="11">
        <f t="shared" si="24"/>
        <v>32.664999999999999</v>
      </c>
      <c r="BP21" s="11">
        <f t="shared" si="25"/>
        <v>32.664999999999999</v>
      </c>
      <c r="BQ21" s="11">
        <f t="shared" si="26"/>
        <v>8.25</v>
      </c>
      <c r="BR21" s="11">
        <f t="shared" si="27"/>
        <v>8.3849999999999998</v>
      </c>
      <c r="BS21" s="11">
        <f t="shared" si="28"/>
        <v>28.884999999999998</v>
      </c>
      <c r="BT21" s="11">
        <f t="shared" si="29"/>
        <v>61.55</v>
      </c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23"/>
      <c r="CK21" s="34" t="str">
        <f t="shared" si="30"/>
        <v/>
      </c>
      <c r="CL21" s="34" t="str">
        <f t="shared" si="31"/>
        <v/>
      </c>
      <c r="CM21" s="36" t="str">
        <f t="shared" si="32"/>
        <v/>
      </c>
      <c r="CN21" s="36" t="str">
        <f t="shared" si="33"/>
        <v/>
      </c>
      <c r="CO21" s="36" t="str">
        <f t="shared" si="34"/>
        <v/>
      </c>
      <c r="CP21" s="36" t="str">
        <f t="shared" si="35"/>
        <v/>
      </c>
      <c r="CQ21" s="36" t="str">
        <f t="shared" si="36"/>
        <v/>
      </c>
      <c r="CR21" s="36" t="str">
        <f t="shared" si="37"/>
        <v/>
      </c>
      <c r="CS21" s="36" t="str">
        <f t="shared" si="38"/>
        <v/>
      </c>
      <c r="CT21" s="36" t="str">
        <f t="shared" si="39"/>
        <v/>
      </c>
      <c r="CU21" s="36" t="str">
        <f t="shared" si="40"/>
        <v/>
      </c>
      <c r="CV21" s="47" t="str">
        <f t="shared" si="41"/>
        <v/>
      </c>
      <c r="CW21" s="47" t="str">
        <f t="shared" si="42"/>
        <v/>
      </c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36" t="str">
        <f t="shared" si="43"/>
        <v/>
      </c>
      <c r="DS21" s="36" t="str">
        <f t="shared" si="44"/>
        <v/>
      </c>
      <c r="DT21" s="36" t="str">
        <f t="shared" si="45"/>
        <v/>
      </c>
      <c r="DU21" s="36" t="str">
        <f t="shared" si="46"/>
        <v/>
      </c>
      <c r="DV21" s="36" t="str">
        <f t="shared" si="47"/>
        <v/>
      </c>
      <c r="DW21" s="36" t="str">
        <f t="shared" si="48"/>
        <v/>
      </c>
      <c r="DX21" s="36" t="str">
        <f t="shared" si="49"/>
        <v/>
      </c>
      <c r="DY21" s="36" t="str">
        <f t="shared" si="50"/>
        <v/>
      </c>
      <c r="DZ21" s="36" t="str">
        <f t="shared" si="51"/>
        <v/>
      </c>
      <c r="EA21" s="36" t="str">
        <f t="shared" si="52"/>
        <v/>
      </c>
      <c r="EB21" s="36" t="str">
        <f t="shared" si="53"/>
        <v/>
      </c>
      <c r="EC21" s="36" t="str">
        <f t="shared" si="54"/>
        <v/>
      </c>
      <c r="ED21" s="36" t="str">
        <f t="shared" si="55"/>
        <v/>
      </c>
      <c r="EE21" s="36" t="str">
        <f t="shared" si="56"/>
        <v/>
      </c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1" t="str">
        <f t="shared" si="57"/>
        <v/>
      </c>
      <c r="FA21" s="11" t="str">
        <f t="shared" si="58"/>
        <v/>
      </c>
      <c r="FB21" s="11" t="str">
        <f t="shared" si="59"/>
        <v/>
      </c>
      <c r="FC21" s="11" t="str">
        <f t="shared" si="60"/>
        <v/>
      </c>
      <c r="FD21" s="11" t="str">
        <f t="shared" si="61"/>
        <v/>
      </c>
      <c r="FE21" s="11" t="str">
        <f t="shared" si="62"/>
        <v/>
      </c>
      <c r="FF21" s="11" t="str">
        <f t="shared" si="63"/>
        <v/>
      </c>
      <c r="FG21" s="11" t="str">
        <f t="shared" si="64"/>
        <v/>
      </c>
      <c r="FH21" s="11" t="str">
        <f t="shared" si="65"/>
        <v/>
      </c>
      <c r="FI21" s="11" t="str">
        <f t="shared" si="66"/>
        <v/>
      </c>
      <c r="FJ21" s="11" t="str">
        <f t="shared" si="67"/>
        <v/>
      </c>
      <c r="FK21" s="11" t="str">
        <f t="shared" si="68"/>
        <v/>
      </c>
      <c r="FL21" s="11" t="str">
        <f t="shared" si="69"/>
        <v/>
      </c>
      <c r="FM21" s="11" t="str">
        <f t="shared" si="70"/>
        <v/>
      </c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36" t="str">
        <f t="shared" si="71"/>
        <v/>
      </c>
      <c r="GI21" s="36" t="str">
        <f t="shared" si="72"/>
        <v/>
      </c>
      <c r="GJ21" s="36" t="str">
        <f t="shared" si="73"/>
        <v/>
      </c>
      <c r="GK21" s="36" t="str">
        <f t="shared" si="74"/>
        <v/>
      </c>
      <c r="GL21" s="36" t="str">
        <f t="shared" si="75"/>
        <v/>
      </c>
      <c r="GM21" s="36" t="str">
        <f t="shared" si="76"/>
        <v/>
      </c>
      <c r="GN21" s="36" t="str">
        <f t="shared" si="77"/>
        <v/>
      </c>
      <c r="GO21" s="36" t="str">
        <f t="shared" si="78"/>
        <v/>
      </c>
      <c r="GP21" s="36" t="str">
        <f t="shared" si="79"/>
        <v/>
      </c>
      <c r="GQ21" s="36" t="str">
        <f t="shared" si="80"/>
        <v/>
      </c>
      <c r="GR21" s="36" t="str">
        <f t="shared" si="81"/>
        <v/>
      </c>
      <c r="GS21" s="36" t="str">
        <f t="shared" si="82"/>
        <v/>
      </c>
      <c r="GT21" s="36" t="str">
        <f t="shared" si="83"/>
        <v/>
      </c>
      <c r="GU21" s="36" t="str">
        <f t="shared" si="84"/>
        <v/>
      </c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1" t="str">
        <f t="shared" si="85"/>
        <v/>
      </c>
      <c r="HQ21" s="11" t="str">
        <f t="shared" si="86"/>
        <v/>
      </c>
      <c r="HR21" s="11" t="str">
        <f t="shared" si="87"/>
        <v/>
      </c>
      <c r="HS21" s="11" t="str">
        <f t="shared" si="88"/>
        <v/>
      </c>
      <c r="HT21" s="11" t="str">
        <f t="shared" si="89"/>
        <v/>
      </c>
      <c r="HU21" s="11" t="str">
        <f t="shared" si="90"/>
        <v/>
      </c>
      <c r="HV21" s="11" t="str">
        <f t="shared" si="91"/>
        <v/>
      </c>
      <c r="HW21" s="11" t="str">
        <f t="shared" si="92"/>
        <v/>
      </c>
      <c r="HX21" s="11" t="str">
        <f t="shared" si="93"/>
        <v/>
      </c>
      <c r="HY21" s="11" t="str">
        <f t="shared" si="94"/>
        <v/>
      </c>
      <c r="HZ21" s="11" t="str">
        <f t="shared" si="95"/>
        <v/>
      </c>
      <c r="IA21" s="11" t="str">
        <f t="shared" si="96"/>
        <v/>
      </c>
      <c r="IB21" s="11" t="str">
        <f t="shared" si="97"/>
        <v/>
      </c>
      <c r="IC21" s="11" t="str">
        <f t="shared" si="98"/>
        <v/>
      </c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36" t="str">
        <f t="shared" si="99"/>
        <v/>
      </c>
      <c r="IY21" s="36" t="str">
        <f t="shared" si="100"/>
        <v/>
      </c>
      <c r="IZ21" s="36" t="str">
        <f t="shared" si="101"/>
        <v/>
      </c>
      <c r="JA21" s="36" t="str">
        <f t="shared" si="102"/>
        <v/>
      </c>
      <c r="JB21" s="36" t="str">
        <f t="shared" si="103"/>
        <v/>
      </c>
      <c r="JC21" s="36" t="str">
        <f t="shared" si="104"/>
        <v/>
      </c>
      <c r="JD21" s="36" t="str">
        <f t="shared" si="105"/>
        <v/>
      </c>
      <c r="JE21" s="36" t="str">
        <f t="shared" si="106"/>
        <v/>
      </c>
      <c r="JF21" s="36" t="str">
        <f t="shared" si="107"/>
        <v/>
      </c>
      <c r="JG21" s="36" t="str">
        <f t="shared" si="108"/>
        <v/>
      </c>
      <c r="JH21" s="36" t="str">
        <f t="shared" si="109"/>
        <v/>
      </c>
      <c r="JI21" s="36" t="str">
        <f t="shared" si="110"/>
        <v/>
      </c>
      <c r="JJ21" s="36" t="str">
        <f t="shared" si="111"/>
        <v/>
      </c>
      <c r="JK21" s="36" t="str">
        <f t="shared" si="112"/>
        <v/>
      </c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1" t="str">
        <f t="shared" si="113"/>
        <v/>
      </c>
      <c r="KG21" s="11" t="str">
        <f t="shared" si="114"/>
        <v/>
      </c>
      <c r="KH21" s="11" t="str">
        <f t="shared" si="115"/>
        <v/>
      </c>
      <c r="KI21" s="11" t="str">
        <f t="shared" si="116"/>
        <v/>
      </c>
      <c r="KJ21" s="11" t="str">
        <f t="shared" si="117"/>
        <v/>
      </c>
      <c r="KK21" s="11" t="str">
        <f t="shared" si="118"/>
        <v/>
      </c>
      <c r="KL21" s="11" t="str">
        <f t="shared" si="119"/>
        <v/>
      </c>
      <c r="KM21" s="11" t="str">
        <f t="shared" si="120"/>
        <v/>
      </c>
      <c r="KN21" s="11" t="str">
        <f t="shared" si="121"/>
        <v/>
      </c>
      <c r="KO21" s="11" t="str">
        <f t="shared" si="122"/>
        <v/>
      </c>
      <c r="KP21" s="11" t="str">
        <f t="shared" si="123"/>
        <v/>
      </c>
      <c r="KQ21" s="11" t="str">
        <f t="shared" si="124"/>
        <v/>
      </c>
      <c r="KR21" s="11" t="str">
        <f t="shared" si="125"/>
        <v/>
      </c>
      <c r="KS21" s="11" t="str">
        <f t="shared" si="126"/>
        <v/>
      </c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36" t="str">
        <f t="shared" si="127"/>
        <v/>
      </c>
      <c r="LO21" s="36" t="str">
        <f t="shared" si="128"/>
        <v/>
      </c>
      <c r="LP21" s="36" t="str">
        <f t="shared" si="129"/>
        <v/>
      </c>
      <c r="LQ21" s="36" t="str">
        <f t="shared" si="130"/>
        <v/>
      </c>
      <c r="LR21" s="36" t="str">
        <f t="shared" si="131"/>
        <v/>
      </c>
      <c r="LS21" s="36" t="str">
        <f t="shared" si="132"/>
        <v/>
      </c>
      <c r="LT21" s="36" t="str">
        <f t="shared" si="133"/>
        <v/>
      </c>
      <c r="LU21" s="36" t="str">
        <f t="shared" si="134"/>
        <v/>
      </c>
      <c r="LV21" s="36" t="str">
        <f t="shared" si="135"/>
        <v/>
      </c>
      <c r="LW21" s="36" t="str">
        <f t="shared" si="136"/>
        <v/>
      </c>
      <c r="LX21" s="36" t="str">
        <f t="shared" si="137"/>
        <v/>
      </c>
      <c r="LY21" s="36" t="str">
        <f t="shared" si="138"/>
        <v/>
      </c>
      <c r="LZ21" s="36" t="str">
        <f t="shared" si="139"/>
        <v/>
      </c>
      <c r="MA21" s="36" t="str">
        <f t="shared" si="140"/>
        <v/>
      </c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1" t="str">
        <f t="shared" si="141"/>
        <v/>
      </c>
      <c r="MW21" s="11" t="str">
        <f t="shared" si="142"/>
        <v/>
      </c>
      <c r="MX21" s="11" t="str">
        <f t="shared" si="143"/>
        <v/>
      </c>
      <c r="MY21" s="11" t="str">
        <f t="shared" si="144"/>
        <v/>
      </c>
      <c r="MZ21" s="11" t="str">
        <f t="shared" si="145"/>
        <v/>
      </c>
      <c r="NA21" s="11" t="str">
        <f t="shared" si="146"/>
        <v/>
      </c>
      <c r="NB21" s="11" t="str">
        <f t="shared" si="147"/>
        <v/>
      </c>
      <c r="NC21" s="11" t="str">
        <f t="shared" si="148"/>
        <v/>
      </c>
      <c r="ND21" s="11" t="str">
        <f t="shared" si="149"/>
        <v/>
      </c>
      <c r="NE21" s="11" t="str">
        <f t="shared" si="150"/>
        <v/>
      </c>
      <c r="NF21" s="11" t="str">
        <f t="shared" si="151"/>
        <v/>
      </c>
      <c r="NG21" s="11" t="str">
        <f t="shared" si="152"/>
        <v/>
      </c>
      <c r="NH21" s="11" t="str">
        <f t="shared" si="153"/>
        <v/>
      </c>
      <c r="NI21" s="11" t="str">
        <f t="shared" si="154"/>
        <v/>
      </c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36" t="str">
        <f t="shared" si="155"/>
        <v/>
      </c>
      <c r="OE21" s="36" t="str">
        <f t="shared" si="156"/>
        <v/>
      </c>
      <c r="OF21" s="36" t="str">
        <f t="shared" si="157"/>
        <v/>
      </c>
      <c r="OG21" s="36" t="str">
        <f t="shared" si="158"/>
        <v/>
      </c>
      <c r="OH21" s="36" t="str">
        <f t="shared" si="159"/>
        <v/>
      </c>
      <c r="OI21" s="36" t="str">
        <f t="shared" si="160"/>
        <v/>
      </c>
      <c r="OJ21" s="36" t="str">
        <f t="shared" si="161"/>
        <v/>
      </c>
      <c r="OK21" s="36" t="str">
        <f t="shared" si="162"/>
        <v/>
      </c>
      <c r="OL21" s="36" t="str">
        <f t="shared" si="163"/>
        <v/>
      </c>
      <c r="OM21" s="36" t="str">
        <f t="shared" si="164"/>
        <v/>
      </c>
      <c r="ON21" s="36" t="str">
        <f t="shared" si="165"/>
        <v/>
      </c>
      <c r="OO21" s="36" t="str">
        <f t="shared" si="166"/>
        <v/>
      </c>
      <c r="OP21" s="36" t="str">
        <f t="shared" si="167"/>
        <v/>
      </c>
      <c r="OQ21" s="36" t="str">
        <f t="shared" si="168"/>
        <v/>
      </c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1" t="str">
        <f t="shared" si="169"/>
        <v/>
      </c>
      <c r="PM21" s="11" t="str">
        <f t="shared" si="170"/>
        <v/>
      </c>
      <c r="PN21" s="11" t="str">
        <f t="shared" si="171"/>
        <v/>
      </c>
      <c r="PO21" s="11" t="str">
        <f t="shared" si="172"/>
        <v/>
      </c>
      <c r="PP21" s="11" t="str">
        <f t="shared" si="173"/>
        <v/>
      </c>
      <c r="PQ21" s="11" t="str">
        <f t="shared" si="174"/>
        <v/>
      </c>
      <c r="PR21" s="11" t="str">
        <f t="shared" si="175"/>
        <v/>
      </c>
      <c r="PS21" s="11" t="str">
        <f t="shared" si="176"/>
        <v/>
      </c>
      <c r="PT21" s="11" t="str">
        <f t="shared" si="177"/>
        <v/>
      </c>
      <c r="PU21" s="11" t="str">
        <f t="shared" si="178"/>
        <v/>
      </c>
      <c r="PV21" s="11" t="str">
        <f t="shared" si="179"/>
        <v/>
      </c>
      <c r="PW21" s="11" t="str">
        <f t="shared" si="180"/>
        <v/>
      </c>
      <c r="PX21" s="11" t="str">
        <f t="shared" si="181"/>
        <v/>
      </c>
      <c r="PY21" s="11" t="str">
        <f t="shared" si="182"/>
        <v/>
      </c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36" t="str">
        <f t="shared" si="183"/>
        <v/>
      </c>
      <c r="QU21" s="36" t="str">
        <f t="shared" si="184"/>
        <v/>
      </c>
      <c r="QV21" s="36" t="str">
        <f t="shared" si="185"/>
        <v/>
      </c>
      <c r="QW21" s="36" t="str">
        <f t="shared" si="186"/>
        <v/>
      </c>
      <c r="QX21" s="36" t="str">
        <f t="shared" si="187"/>
        <v/>
      </c>
      <c r="QY21" s="36" t="str">
        <f t="shared" si="188"/>
        <v/>
      </c>
      <c r="QZ21" s="36" t="str">
        <f t="shared" si="189"/>
        <v/>
      </c>
      <c r="RA21" s="36" t="str">
        <f t="shared" si="190"/>
        <v/>
      </c>
      <c r="RB21" s="36" t="str">
        <f t="shared" si="191"/>
        <v/>
      </c>
      <c r="RC21" s="36" t="str">
        <f t="shared" si="192"/>
        <v/>
      </c>
      <c r="RD21" s="36" t="str">
        <f t="shared" si="193"/>
        <v/>
      </c>
      <c r="RE21" s="36" t="str">
        <f t="shared" si="194"/>
        <v/>
      </c>
      <c r="RF21" s="36" t="str">
        <f t="shared" si="195"/>
        <v/>
      </c>
      <c r="RG21" s="36" t="str">
        <f t="shared" si="196"/>
        <v/>
      </c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1" t="str">
        <f t="shared" si="197"/>
        <v/>
      </c>
      <c r="SC21" s="11" t="str">
        <f t="shared" si="198"/>
        <v/>
      </c>
      <c r="SD21" s="11" t="str">
        <f t="shared" si="199"/>
        <v/>
      </c>
      <c r="SE21" s="11" t="str">
        <f t="shared" si="200"/>
        <v/>
      </c>
      <c r="SF21" s="11" t="str">
        <f t="shared" si="201"/>
        <v/>
      </c>
      <c r="SG21" s="11" t="str">
        <f t="shared" si="202"/>
        <v/>
      </c>
      <c r="SH21" s="11" t="str">
        <f t="shared" si="203"/>
        <v/>
      </c>
      <c r="SI21" s="11" t="str">
        <f t="shared" si="204"/>
        <v/>
      </c>
      <c r="SJ21" s="11" t="str">
        <f t="shared" si="205"/>
        <v/>
      </c>
      <c r="SK21" s="11" t="str">
        <f t="shared" si="206"/>
        <v/>
      </c>
      <c r="SL21" s="11" t="str">
        <f t="shared" si="207"/>
        <v/>
      </c>
      <c r="SM21" s="11" t="str">
        <f t="shared" si="208"/>
        <v/>
      </c>
      <c r="SN21" s="11" t="str">
        <f t="shared" si="209"/>
        <v/>
      </c>
      <c r="SO21" s="11" t="str">
        <f t="shared" si="210"/>
        <v/>
      </c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36" t="str">
        <f t="shared" si="211"/>
        <v/>
      </c>
      <c r="TK21" s="36" t="str">
        <f t="shared" si="212"/>
        <v/>
      </c>
      <c r="TL21" s="36" t="str">
        <f t="shared" si="213"/>
        <v/>
      </c>
      <c r="TM21" s="36" t="str">
        <f t="shared" si="214"/>
        <v/>
      </c>
      <c r="TN21" s="36" t="str">
        <f t="shared" si="215"/>
        <v/>
      </c>
      <c r="TO21" s="36" t="str">
        <f t="shared" si="216"/>
        <v/>
      </c>
      <c r="TP21" s="36" t="str">
        <f t="shared" si="217"/>
        <v/>
      </c>
      <c r="TQ21" s="36" t="str">
        <f t="shared" si="218"/>
        <v/>
      </c>
      <c r="TR21" s="36" t="str">
        <f t="shared" si="219"/>
        <v/>
      </c>
      <c r="TS21" s="36" t="str">
        <f t="shared" si="220"/>
        <v/>
      </c>
      <c r="TT21" s="36" t="str">
        <f t="shared" si="221"/>
        <v/>
      </c>
      <c r="TU21" s="36" t="str">
        <f t="shared" si="222"/>
        <v/>
      </c>
      <c r="TV21" s="36" t="str">
        <f t="shared" si="223"/>
        <v/>
      </c>
      <c r="TW21" s="36" t="str">
        <f t="shared" si="224"/>
        <v/>
      </c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1" t="str">
        <f t="shared" si="225"/>
        <v/>
      </c>
      <c r="US21" s="11" t="str">
        <f t="shared" si="226"/>
        <v/>
      </c>
      <c r="UT21" s="11" t="str">
        <f t="shared" si="227"/>
        <v/>
      </c>
      <c r="UU21" s="11" t="str">
        <f t="shared" si="228"/>
        <v/>
      </c>
      <c r="UV21" s="11" t="str">
        <f t="shared" si="229"/>
        <v/>
      </c>
      <c r="UW21" s="11" t="str">
        <f t="shared" si="230"/>
        <v/>
      </c>
      <c r="UX21" s="11" t="str">
        <f t="shared" si="231"/>
        <v/>
      </c>
      <c r="UY21" s="11" t="str">
        <f t="shared" si="232"/>
        <v/>
      </c>
      <c r="UZ21" s="11" t="str">
        <f t="shared" si="233"/>
        <v/>
      </c>
      <c r="VA21" s="11" t="str">
        <f t="shared" si="234"/>
        <v/>
      </c>
      <c r="VB21" s="11" t="str">
        <f t="shared" si="235"/>
        <v/>
      </c>
      <c r="VC21" s="11" t="str">
        <f t="shared" si="236"/>
        <v/>
      </c>
      <c r="VD21" s="11" t="str">
        <f t="shared" si="237"/>
        <v/>
      </c>
      <c r="VE21" s="11" t="str">
        <f t="shared" si="238"/>
        <v/>
      </c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36" t="str">
        <f t="shared" si="239"/>
        <v/>
      </c>
      <c r="WA21" s="36" t="str">
        <f t="shared" si="240"/>
        <v/>
      </c>
      <c r="WB21" s="36" t="str">
        <f t="shared" si="241"/>
        <v/>
      </c>
      <c r="WC21" s="36" t="str">
        <f t="shared" si="242"/>
        <v/>
      </c>
      <c r="WD21" s="36" t="str">
        <f t="shared" si="243"/>
        <v/>
      </c>
      <c r="WE21" s="36" t="str">
        <f t="shared" si="244"/>
        <v/>
      </c>
      <c r="WF21" s="36" t="str">
        <f t="shared" si="245"/>
        <v/>
      </c>
      <c r="WG21" s="36" t="str">
        <f t="shared" si="246"/>
        <v/>
      </c>
      <c r="WH21" s="36" t="str">
        <f t="shared" si="247"/>
        <v/>
      </c>
      <c r="WI21" s="36" t="str">
        <f t="shared" si="248"/>
        <v/>
      </c>
      <c r="WJ21" s="36" t="str">
        <f t="shared" si="249"/>
        <v/>
      </c>
      <c r="WK21" s="36" t="str">
        <f t="shared" si="250"/>
        <v/>
      </c>
      <c r="WL21" s="36" t="str">
        <f t="shared" si="251"/>
        <v/>
      </c>
      <c r="WM21" s="36" t="str">
        <f t="shared" si="252"/>
        <v/>
      </c>
    </row>
    <row r="22" spans="1:611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96</v>
      </c>
      <c r="C22" s="4" t="s">
        <v>5</v>
      </c>
      <c r="D22" s="4">
        <v>2002</v>
      </c>
      <c r="E22" s="9">
        <f t="shared" si="0"/>
        <v>94.160009416004726</v>
      </c>
      <c r="F22" s="3" t="str">
        <f>IF(OR(AND(AI22&gt;=AS$27,AI22&lt;&gt;"",AK22&gt;=AS$31,AK22&lt;&gt;"",AH22=""),AND(AL22&gt;=AS$27,AL22&lt;&gt;"",AN22&gt;=AS$31,AN22&lt;&gt;"",AH22=""),AND(AP22&gt;=AS$27,AP22&lt;&gt;"",AR22&gt;=AS$31,AR22&lt;&gt;"",AH22=""),AND(BJ22&gt;=BT$27,BJ22&lt;&gt;"",BL22&gt;=BT$31,BL22&lt;&gt;"",BI22=""),AND(BM22&gt;=BT$27,BM22&lt;&gt;"",BO22&gt;=BT$31,BO22&lt;&gt;"",BI22=""),AND(BQ22&gt;=BT$27,BQ22&lt;&gt;"",BS22&gt;=BT$31,BS22&lt;&gt;"",BI22=""),AND(CK22&gt;=CU$27,CK22&lt;&gt;"",CM22&gt;=CU$31,CM22&lt;&gt;"",CJ22=""),AND(CN22&gt;=CU$27,CN22&lt;&gt;"",CP22&gt;=CU$31,CP22&lt;&gt;"",CJ22=""),AND(CR22&gt;=CU$27,CR22&lt;&gt;"",CT22&gt;=CU$31,CT22&lt;&gt;"",CJ22=""),AND(DR22&gt;=EE$27,DR22&lt;&gt;"",DT22&gt;=EE$31,DT22&lt;&gt;""),AND(DU22&gt;=EE$27,DU22&lt;&gt;"",DW22&gt;=EE$31,DW22&lt;&gt;""),AND(DY22&gt;=EE$27,DY22&lt;&gt;"",EA22&gt;=EE$31,EA22&lt;&gt;""),AND(EB22&gt;=EE$27,EB22&lt;&gt;"",ED22&gt;=EE$31,ED22&lt;&gt;""),AND(EZ22&gt;=FM$27,EZ22&lt;&gt;"",FB22&gt;=FM$31,FB22&lt;&gt;""),AND(FC22&gt;=FM$27,FC22&lt;&gt;"",FE22&gt;=FM$31,FE22&lt;&gt;""),AND(FG22&gt;=FM$27,FG22&lt;&gt;"",FI22&gt;=FM$31,FI22&lt;&gt;""),AND(FJ22&gt;=FM$27,FJ22&lt;&gt;"",FL22&gt;=FM$31,FL22&lt;&gt;""),AND(GH22&gt;=GU$27,GH22&lt;&gt;"",GJ22&gt;=GU$31,GJ22&lt;&gt;""),AND(GK22&gt;=GU$27,GK22&lt;&gt;"",GM22&gt;=GU$31,GM22&lt;&gt;""),AND(GO22&gt;=GU$27,GO22&lt;&gt;"",GQ22&gt;=GU$31,GQ22&lt;&gt;""),AND(GR22&gt;=GU$27,GR22&lt;&gt;"",GT22&gt;=GU$31,GT22&lt;&gt;""),AND(HP22&gt;=IC$27,HP22&lt;&gt;"",HR22&gt;=IC$31,HR22&lt;&gt;""),AND(HS22&gt;=IC$27,HS22&lt;&gt;"",HU22&gt;=IC$31,HU22&lt;&gt;""),AND(HW22&gt;=IC$27,HW22&lt;&gt;"",HY22&gt;=IC$31,HY22&lt;&gt;""),AND(HZ22&gt;=IC$27,HZ22&lt;&gt;"",IB22&gt;=IC$31,IB22&lt;&gt;""),AND(IX22&gt;=JK$27,IX22&lt;&gt;"",IZ22&gt;=JK$31,IZ22&lt;&gt;""),AND(JA22&gt;=JK$27,JA22&lt;&gt;"",JC22&gt;=JK$31,JC22&lt;&gt;""),AND(JE22&gt;=JK$27,JE22&lt;&gt;"",JG22&gt;=JK$31,JG22&lt;&gt;""),AND(JH22&gt;=JK$27,JH22&lt;&gt;"",JJ22&gt;=JK$31,JJ22&lt;&gt;""),AND(KF22&gt;=KS$27,KF22&lt;&gt;"",KH22&gt;=KS$31,KH22&lt;&gt;""),AND(KI22&gt;=KS$27,KI22&lt;&gt;"",KK22&gt;=KS$31,KK22&lt;&gt;""),AND(KM22&gt;=KS$27,KM22&lt;&gt;"",KO22&gt;=KS$31,KO22&lt;&gt;""),AND(KP22&gt;=KS$27,KP22&lt;&gt;"",KR22&gt;=KS$31,KR22&lt;&gt;""),AND(LN22&gt;=MA$27,LN22&lt;&gt;"",LP22&gt;=MA$31,LP22&lt;&gt;""),AND(LQ22&gt;=MA$27,LQ22&lt;&gt;"",LS22&gt;=MA$31,LS22&lt;&gt;""),AND(LU22&gt;=MA$27,LU22&lt;&gt;"",LW22&gt;=MA$31,LW22&lt;&gt;""),AND(LX22&gt;=MA$27,LX22&lt;&gt;"",LZ22&gt;=MA$31,LZ22&lt;&gt;""),AND(MV22&gt;=NI$27,MV22&lt;&gt;"",MX22&gt;=NI$31,MX22&lt;&gt;""),AND(MY22&gt;=NI$27,MY22&lt;&gt;"",NA22&gt;=NI$31,NA22&lt;&gt;""),AND(NC22&gt;=NI$27,NC22&lt;&gt;"",NE22&gt;=NI$31,NE22&lt;&gt;""),AND(NF22&gt;=NI$27,NF22&lt;&gt;"",NH22&gt;=NI$31,NH22&lt;&gt;""),AND(OD22&gt;=OQ$27,OD22&lt;&gt;"",OF22&gt;=OQ$31,OF22&lt;&gt;""),AND(OG22&gt;=OQ$27,OG22&lt;&gt;"",OI22&gt;=OQ$31,OI22&lt;&gt;""),AND(OK22&gt;=OQ$27,OK22&lt;&gt;"",OM22&gt;=OQ$31,OM22&lt;&gt;""),AND(ON22&gt;=OQ$27,ON22&lt;&gt;"",OP22&gt;=OQ$31,OP22&lt;&gt;""),AND(PL22&gt;=PY$27,PL22&lt;&gt;"",PN22&gt;=PY$31,PN22&lt;&gt;""),AND(PO22&gt;=PY$27,PO22&lt;&gt;"",PQ22&gt;=PY$31,PQ22&lt;&gt;""),AND(PS22&gt;=PY$27,PS22&lt;&gt;"",PU22&gt;=PY$31,PU22&lt;&gt;""),AND(PV22&gt;=PY$27,PV22&lt;&gt;"",PX22&gt;=PY$31,PX22&lt;&gt;""),AND(QT22&gt;=RG$27,QT22&lt;&gt;"",QV22&gt;=RG$31,QV22&lt;&gt;""),AND(QW22&gt;=RG$27,QW22&lt;&gt;"",QY22&gt;=RG$31,QY22&lt;&gt;""),AND(RA22&gt;=RG$27,RA22&lt;&gt;"",RC22&gt;=RG$31,RC22&lt;&gt;""),AND(RD22&gt;=RG$27,RD22&lt;&gt;"",RF22&gt;=RG$31,RF22&lt;&gt;""),AND(SB22&gt;=SO$27,SB22&lt;&gt;"",SD22&gt;=SO$31,SD22&lt;&gt;""),AND(SE22&gt;=SO$27,SE22&lt;&gt;"",SG22&gt;=SO$31,SG22&lt;&gt;""),AND(SI22&gt;=SO$27,SI22&lt;&gt;"",SK22&gt;=SO$31,SK22&lt;&gt;""),AND(SL22&gt;=SO$27,SL22&lt;&gt;"",SN22&gt;=SO$31,SN22&lt;&gt;""),AND(TJ22&gt;=TW$27,TJ22&lt;&gt;"",TL22&gt;=TW$31,TL22&lt;&gt;""),AND(TM22&gt;=TW$27,TM22&lt;&gt;"",TO22&gt;=TW$31,TO22&lt;&gt;""),AND(TQ22&gt;=TW$27,TQ22&lt;&gt;"",TS22&gt;=TW$31,TXQ22&lt;&gt;""),AND(TT22&gt;=TW$27,TT22&lt;&gt;"",TV22&gt;=TW$31,TV22&lt;&gt;""),AND(UR22&gt;=VE$27,UR22&lt;&gt;"",UT22&gt;=VE$31,UT22&lt;&gt;""),AND(UU22&gt;=VE$27,UU22&lt;&gt;"",UW22&gt;=VE$31,UW22&lt;&gt;""),AND(UY22&gt;=VE$27,UY22&lt;&gt;"",VA22&gt;=VE$31,VA22&lt;&gt;""),AND(VB22&gt;=VE$27,VB22&lt;&gt;"",VD22&gt;=VE$31,VD22&lt;&gt;""),AND(VZ22&gt;=WM$27,VZ22&lt;&gt;"",WB22&gt;=WM$31,WB22&lt;&gt;""),AND(WC22&gt;=WM$27,WC22&lt;&gt;"",WE22&gt;=WM$31,WE22&lt;&gt;""),AND(WG22&gt;=WM$27,WG22&lt;&gt;"",WI22&gt;=WM$31,WI22&lt;&gt;""),AND(WJ22&gt;=WM$27,WJ22&lt;&gt;"",WL22&gt;=WM$31,WL22&lt;&gt;"")),"P","")</f>
        <v/>
      </c>
      <c r="G22" s="3" t="str">
        <f>IF(OR(AND(AK22&gt;=AS$31,AK22&lt;&gt;"",AH22=""),AND(AN22&gt;=AS$31,AN22&lt;&gt;"",AH22=""),AND(AR22&gt;=AS$31,AR22&lt;&gt;"",AH22=""),AND(BL22&gt;=BT$31,BL22&lt;&gt;"",BI22=""),AND(BO22&gt;=BT$31,BO22&lt;&gt;"",BI22=""),AND(BS22&gt;=BT$31,BS22&lt;&gt;"",BI22=""),AND(CM22&gt;=CU$31,CM22&lt;&gt;"",CJ22=""),AND(CP22&gt;=CU$31,CP22&lt;&gt;"",CJ22=""),AND(CT22&gt;=CU$31,CT22&lt;&gt;"",CJ22=""),AND(DT22&gt;=EE$31,DT22&lt;&gt;""),AND(DW22&gt;=EE$31,DW22&lt;&gt;""),AND(EA22&gt;=EE$31,EA22&lt;&gt;""),AND(ED22&gt;=EE$31,ED22&lt;&gt;""),AND(FB22&gt;=FM$31,FB22&lt;&gt;""),AND(FE22&gt;=FM$31,FE22&lt;&gt;""),AND(FI22&gt;=FM$31,FI22&lt;&gt;""),AND(FL22&gt;=FM$31,FL22&lt;&gt;""),AND(GJ22&gt;=GU$31,GJ22&lt;&gt;""),AND(GM22&gt;=GU$31,GM22&lt;&gt;""),AND(GQ22&gt;=GU$31,GQ22&lt;&gt;""),AND(GT22&gt;=GU$31,GT22&lt;&gt;""),AND(HR22&gt;=IC$31,HR22&lt;&gt;""),AND(HU22&gt;=IC$31,HU22&lt;&gt;""),AND(HY22&gt;=IC$31,HY22&lt;&gt;""),AND(IB22&gt;=IC$31,IB22&lt;&gt;""),AND(IZ22&gt;=JK$31,IZ22&lt;&gt;""),AND(JC22&gt;=JK$31,JC22&lt;&gt;""),AND(JG22&gt;=JK$31,JG22&lt;&gt;""),AND(JJ22&gt;=JK$31,JJ22&lt;&gt;""),AND(KH22&gt;=KS$31,KH22&lt;&gt;""),AND(KK22&gt;=KS$31,KK22&lt;&gt;""),AND(KO22&gt;=KS$31,KO22&lt;&gt;""),AND(KR22&gt;=KS$31,KR22&lt;&gt;""),AND(LP22&gt;=MA$31,LP22&lt;&gt;""),AND(LS22&gt;=MA$31,LS22&lt;&gt;""),AND(LW22&gt;=MA$31,LW22&lt;&gt;""),AND(LZ22&gt;=MA$31,LZ22&lt;&gt;""),AND(MX22&gt;=NI$31,MX22&lt;&gt;""),AND(NA22&gt;=NI$31,NA22&lt;&gt;""),AND(NE22&gt;=NI$31,NE22&lt;&gt;""),AND(NH22&gt;=NI$31,NH22&lt;&gt;""),AND(OF22&gt;=OQ$31,OF22&lt;&gt;""),AND(OI22&gt;=OQ$31,OI22&lt;&gt;""),AND(OM22&gt;=OQ$31,OM22&lt;&gt;""),AND(OP22&gt;=OQ$31,OP22&lt;&gt;""),AND(PN22&gt;=PY$31,PN22&lt;&gt;""),AND(PQ22&gt;=PY$31,PQ22&lt;&gt;""),AND(PU22&gt;=PY$31,PU22&lt;&gt;""),AND(PX22&gt;=PY$31,PX22&lt;&gt;""),AND(QV22&gt;=RG$31,QV22&lt;&gt;""),AND(QY22&gt;=RG$31,QY22&lt;&gt;""),AND(RC22&gt;=RG$31,RC22&lt;&gt;""),AND(RF22&gt;=RG$31,RF22&lt;&gt;""),AND(SD22&gt;=SO$31,SD22&lt;&gt;""),AND(SG22&gt;=SO$31,SG22&lt;&gt;""),AND(SK22&gt;=SO$31,SK22&lt;&gt;""),AND(SN22&gt;=SO$31,SN22&lt;&gt;""),AND(TL22&gt;=TW$31,TL22&lt;&gt;""),AND(TO22&gt;=TW$31,TO22&lt;&gt;""),AND(TS22&gt;=TW$31,TXQ22&lt;&gt;""),AND(TV22&gt;=TW$31,TV22&lt;&gt;""),AND(UT22&gt;=VE$31,UT22&lt;&gt;""),AND(UW22&gt;=VE$31,UW22&lt;&gt;""),AND(VA22&gt;=VE$31,VA22&lt;&gt;""),AND(VD22&gt;=VE$31,VD22&lt;&gt;""),AND(WB22&gt;=WM$31,WB22&lt;&gt;""),AND(WE22&gt;=WM$31,WE22&lt;&gt;""),AND(WI22&gt;=WM$31,WI22&lt;&gt;""),AND(WL22&gt;=WM$31,WL22&lt;&gt;"")),"P","")</f>
        <v/>
      </c>
      <c r="H22" s="32" t="str">
        <f>IF(AND(G22="P",F22=""),"No DD",IF(OR(AND(AI22&gt;=AS$30,AI22&lt;&gt;"",AK22&gt;=AS$34,AK22&lt;&gt;"",AH22=""),AND(AL22&gt;=AS$30,AL22&lt;&gt;"",AN22&gt;=AS$34,AN22&lt;&gt;"",AH22=""),AND(AP22&gt;=AS$30,AP22&lt;&gt;"",AR22&gt;=AS$34,AR22&lt;&gt;"",AH22=""),AND(BJ22&gt;=BT$30,BJ22&lt;&gt;"",BL22&gt;=BT$34,BL22&lt;&gt;"",BI22=""),AND(BM22&gt;=BT$30,BM22&lt;&gt;"",BO22&gt;=BT$34,BO22&lt;&gt;"",BI22=""),AND(BQ22&gt;=BT$30,BQ22&lt;&gt;"",BS22&gt;=BT$34,BS22&lt;&gt;"",BI22=""),AND(CK22&gt;=CU$30,CK22&lt;&gt;"",CM22&gt;=CU$34,CM22&lt;&gt;"",CJ22=""),AND(CN22&gt;=CU$30,CN22&lt;&gt;"",CP22&gt;=CU$34,CP22&lt;&gt;"",CJ22=""),AND(CR22&gt;=CU$30,CR22&lt;&gt;"",CT22&gt;=CU$34,CT22&lt;&gt;"",CJ22=""),AND(DR22&gt;=EE$30,DR22&lt;&gt;"",DT22&gt;=EE$34,DT22&lt;&gt;""),AND(DU22&gt;=EE$30,DU22&lt;&gt;"",DW22&gt;=EE$34,DW22&lt;&gt;""),AND(DY22&gt;=EE$30,DY22&lt;&gt;"",EA22&gt;=EE$34,EA22&lt;&gt;""),AND(EB22&gt;=EE$30,EB22&lt;&gt;"",ED22&gt;=EE$34,ED22&lt;&gt;""),AND(EZ22&gt;=FM$30,EZ22&lt;&gt;"",FB22&gt;=FM$34,FB22&lt;&gt;""),AND(FC22&gt;=FM$30,FC22&lt;&gt;"",FE22&gt;=FM$34,FE22&lt;&gt;""),AND(FG22&gt;=FM$30,FG22&lt;&gt;"",FI22&gt;=FM$34,FI22&lt;&gt;""),AND(FJ22&gt;=FM$30,FJ22&lt;&gt;"",FL22&gt;=FM$34,FL22&lt;&gt;""),AND(GH22&gt;=GU$30,GH22&lt;&gt;"",GJ22&gt;=GU$34,GJ22&lt;&gt;""),AND(GK22&gt;=GU$30,GK22&lt;&gt;"",GM22&gt;=GU$34,GM22&lt;&gt;""),AND(GO22&gt;=GU$30,GO22&lt;&gt;"",GQ22&gt;=GU$34,GQ22&lt;&gt;""),AND(GR22&gt;=GU$30,GR22&lt;&gt;"",GT22&gt;=GU$34,GT22&lt;&gt;""),AND(HP22&gt;=IC$30,HP22&lt;&gt;"",HR22&gt;=IC$34,HR22&lt;&gt;""),AND(HS22&gt;=IC$30,HS22&lt;&gt;"",HU22&gt;=IC$34,HU22&lt;&gt;""),AND(HW22&gt;=IC$30,HW22&lt;&gt;"",HY22&gt;=IC$34,HY22&lt;&gt;""),AND(HZ22&gt;=IC$30,HZ22&lt;&gt;"",IB22&gt;=IC$34,IB22&lt;&gt;""),AND(IX22&gt;=JK$30,IX22&lt;&gt;"",IZ22&gt;=JK$34,IZ22&lt;&gt;""),AND(JA22&gt;=JK$30,JA22&lt;&gt;"",JC22&gt;=JK$34,JC22&lt;&gt;""),AND(JE22&gt;=JK$30,JE22&lt;&gt;"",JG22&gt;=JK$34,JG22&lt;&gt;""),AND(JH22&gt;=JK$30,JH22&lt;&gt;"",JJ22&gt;=JK$34,JJ22&lt;&gt;""),AND(KF22&gt;=KS$30,KF22&lt;&gt;"",KH22&gt;=KS$34,KH22&lt;&gt;""),AND(KI22&gt;=KS$30,KI22&lt;&gt;"",KK22&gt;=KS$34,KK22&lt;&gt;""),AND(KM22&gt;=KS$30,KM22&lt;&gt;"",KO22&gt;=KS$34,KO22&lt;&gt;""),AND(KP22&gt;=KS$30,KP22&lt;&gt;"",KR22&gt;=KS$34,KR22&lt;&gt;""),AND(LN22&gt;=MA$30,LN22&lt;&gt;"",LP22&gt;=MA$34,LP22&lt;&gt;""),AND(LQ22&gt;=MA$30,LQ22&lt;&gt;"",LS22&gt;=MA$34,LS22&lt;&gt;""),AND(LU22&gt;=MA$30,LU22&lt;&gt;"",LW22&gt;=MA$34,LW22&lt;&gt;""),AND(LX22&gt;=MA$30,LX22&lt;&gt;"",LZ22&gt;=MA$34,LZ22&lt;&gt;""),AND(MV22&gt;=NI$30,MV22&lt;&gt;"",MX22&gt;=NI$34,MX22&lt;&gt;""),AND(MY22&gt;=NI$30,MY22&lt;&gt;"",NA22&gt;=NI$34,NA22&lt;&gt;""),AND(NC22&gt;=NI$30,NC22&lt;&gt;"",NE22&gt;=NI$34,NE22&lt;&gt;""),AND(NF22&gt;=NI$30,NF22&lt;&gt;"",NH22&gt;=NI$34,NH22&lt;&gt;""),AND(OD22&gt;=OQ$30,OD22&lt;&gt;"",OF22&gt;=OQ$34,OF22&lt;&gt;""),AND(OG22&gt;=OQ$30,OG22&lt;&gt;"",OI22&gt;=OQ$34,OI22&lt;&gt;""),AND(OK22&gt;=OQ$30,OK22&lt;&gt;"",OM22&gt;=OQ$34,OM22&lt;&gt;""),AND(ON22&gt;=OQ$30,ON22&lt;&gt;"",OP22&gt;=OQ$34,OP22&lt;&gt;""),AND(PL22&gt;=PY$30,PL22&lt;&gt;"",PN22&gt;=PY$34,PN22&lt;&gt;""),AND(PO22&gt;=PY$30,PO22&lt;&gt;"",PQ22&gt;=PY$34,PQ22&lt;&gt;""),AND(PS22&gt;=PY$30,PS22&lt;&gt;"",PU22&gt;=PY$34,PU22&lt;&gt;""),AND(PV22&gt;=PY$30,PV22&lt;&gt;"",PX22&gt;=PY$34,PX22&lt;&gt;""),AND(QT22&gt;=RG$30,QT22&lt;&gt;"",QV22&gt;=RG$34,QV22&lt;&gt;""),AND(QW22&gt;=RG$30,QW22&lt;&gt;"",QY22&gt;=RG$34,QY22&lt;&gt;""),AND(RA22&gt;=RG$30,RA22&lt;&gt;"",RC22&gt;=RG$34,RC22&lt;&gt;""),AND(RD22&gt;=RG$30,RD22&lt;&gt;"",RF22&gt;=RG$34,RF22&lt;&gt;""),AND(SB22&gt;=SO$30,SB22&lt;&gt;"",SD22&gt;=SO$34,SD22&lt;&gt;""),AND(SE22&gt;=SO$30,SE22&lt;&gt;"",SG22&gt;=SO$34,SG22&lt;&gt;""),AND(SI22&gt;=SO$30,SI22&lt;&gt;"",SK22&gt;=SO$34,SK22&lt;&gt;""),AND(SL22&gt;=SO$30,SL22&lt;&gt;"",SN22&gt;=SO$34,SN22&lt;&gt;""),AND(TJ22&gt;=TW$30,TJ22&lt;&gt;"",TL22&gt;=TW$34,TL22&lt;&gt;""),AND(TM22&gt;=TW$30,TM22&lt;&gt;"",TO22&gt;=TW$34,TO22&lt;&gt;""),AND(TQ22&gt;=TW$30,TQ22&lt;&gt;"",TS22&gt;=TW$354,TXQ22&lt;&gt;""),AND(TT22&gt;=TW$30,TT22&lt;&gt;"",TV22&gt;=TW$34,TV22&lt;&gt;""),AND(UR22&gt;=VE$30,UR22&lt;&gt;"",UT22&gt;=VE$34,UT22&lt;&gt;""),AND(UU22&gt;=VE$30,UU22&lt;&gt;"",UW22&gt;=VE$34,UW22&lt;&gt;""),AND(UY22&gt;=VE$30,UY22&lt;&gt;"",VA22&gt;=VE$34,VA22&lt;&gt;""),AND(VB22&gt;=VE$30,VB22&lt;&gt;"",VD22&gt;=VE$34,VD22&lt;&gt;""),AND(VZ22&gt;=WM$30,VZ22&lt;&gt;"",WB22&gt;=WM$34,WB22&lt;&gt;""),AND(WC22&gt;=WM$30,WC22&lt;&gt;"",WE22&gt;=WM$34,WE22&lt;&gt;""),AND(WG22&gt;=WM$30,WG22&lt;&gt;"",WI22&gt;=WM$34,WI22&lt;&gt;""),AND(WJ22&gt;=WM$30,WJ22&lt;&gt;"",WL22&gt;=WM$34,WL22&lt;&gt;"")),"Merit",IF(OR(AND(AI22&gt;=AS$29,AI22&lt;&gt;"",AK22&gt;=AS$33,AK22&lt;&gt;"",AH22=""),AND(AL22&gt;=AS$29,AL22&lt;&gt;"",AN22&gt;=AS$33,AN22&lt;&gt;"",AH22=""),AND(AP22&gt;=AS$29,AP22&lt;&gt;"",AR22&gt;=AS$33,AR22&lt;&gt;"",AH22=""),AND(BJ22&gt;=BT$29,BJ22&lt;&gt;"",BL22&gt;=BT$33,BL22&lt;&gt;"",BI22=""),AND(BM22&gt;=BT$29,BM22&lt;&gt;"",BO22&gt;=BT$33,BO22&lt;&gt;"",BI22=""),AND(BQ22&gt;=BT$29,BQ22&lt;&gt;"",BS22&gt;=BT$33,BS22&lt;&gt;"",BI22=""),AND(CK22&gt;=CU$29,CK22&lt;&gt;"",CM22&gt;=CU$33,CM22&lt;&gt;"",CJ22=""),AND(CN22&gt;=CU$29,CN22&lt;&gt;"",CP22&gt;=CU$33,CP22&lt;&gt;"",CJ22=""),AND(CR22&gt;=CU$29,CR22&lt;&gt;"",CT22&gt;=CU$33,CT22&lt;&gt;"",CJ22=""),AND(DR22&gt;=EE$29,DR22&lt;&gt;"",DT22&gt;=EE$33,DT22&lt;&gt;""),AND(DU22&gt;=EE$29,DU22&lt;&gt;"",DW22&gt;=EE$33,DW22&lt;&gt;""),AND(DY22&gt;=EE$29,DY22&lt;&gt;"",EA22&gt;=EE$33,EA22&lt;&gt;""),AND(EB22&gt;=EE$29,EB22&lt;&gt;"",ED22&gt;=EE$33,ED22&lt;&gt;""),AND(EZ22&gt;=FM$29,EZ22&lt;&gt;"",FB22&gt;=FM$33,FB22&lt;&gt;""),AND(FC22&gt;=FM$29,FC22&lt;&gt;"",FE22&gt;=FM$33,FE22&lt;&gt;""),AND(FG22&gt;=FM$29,FG22&lt;&gt;"",FI22&gt;=FM$33,FI22&lt;&gt;""),AND(FJ22&gt;=FM$29,FJ22&lt;&gt;"",FL22&gt;=FM$33,FL22&lt;&gt;""),AND(GH22&gt;=GU$29,GH22&lt;&gt;"",GJ22&gt;=GU$33,GJ22&lt;&gt;""),AND(GK22&gt;=GU$29,GK22&lt;&gt;"",GM22&gt;=GU$33,GM22&lt;&gt;""),AND(GO22&gt;=GU$29,GO22&lt;&gt;"",GQ22&gt;=GU$33,GQ22&lt;&gt;""),AND(GR22&gt;=GU$29,GR22&lt;&gt;"",GT22&gt;=GU$33,GT22&lt;&gt;""),AND(HP22&gt;=IC$29,HP22&lt;&gt;"",HR22&gt;=IC$33,HR22&lt;&gt;""),AND(HS22&gt;=IC$29,HS22&lt;&gt;"",HU22&gt;=IC$33,HU22&lt;&gt;""),AND(HW22&gt;=IC$29,HW22&lt;&gt;"",HY22&gt;=IC$33,HY22&lt;&gt;""),AND(HZ22&gt;=IC$29,HZ22&lt;&gt;"",IB22&gt;=IC$33,IB22&lt;&gt;""),AND(IX22&gt;=JK$29,IX22&lt;&gt;"",IZ22&gt;=JK$33,IZ22&lt;&gt;""),AND(JA22&gt;=JK$29,JA22&lt;&gt;"",JC22&gt;=JK$33,JC22&lt;&gt;""),AND(JE22&gt;=JK$29,JE22&lt;&gt;"",JG22&gt;=JK$33,JG22&lt;&gt;""),AND(JH22&gt;=JK$29,JH22&lt;&gt;"",JJ22&gt;=JK$33,JJ22&lt;&gt;""),AND(KF22&gt;=KS$29,KF22&lt;&gt;"",KH22&gt;=KS$33,KH22&lt;&gt;""),AND(KI22&gt;=KS$29,KI22&lt;&gt;"",KK22&gt;=KS$33,KK22&lt;&gt;""),AND(KM22&gt;=KS$29,KM22&lt;&gt;"",KO22&gt;=KS$33,KO22&lt;&gt;""),AND(KP22&gt;=KS$29,KP22&lt;&gt;"",KR22&gt;=KS$33,KR22&lt;&gt;""),AND(LN22&gt;=MA$29,LN22&lt;&gt;"",LP22&gt;=MA$33,LP22&lt;&gt;""),AND(LQ22&gt;=MA$29,LQ22&lt;&gt;"",LS22&gt;=MA$33,LS22&lt;&gt;""),AND(LU22&gt;=MA$29,LU22&lt;&gt;"",LW22&gt;=MA$33,LW22&lt;&gt;""),AND(LX22&gt;=MA$29,LX22&lt;&gt;"",LZ22&gt;=MA$33,LZ22&lt;&gt;""),AND(MV22&gt;=NI$29,MV22&lt;&gt;"",MX22&gt;=NI$33,MX22&lt;&gt;""),AND(MY22&gt;=NI$29,MY22&lt;&gt;"",NA22&gt;=NI$33,NA22&lt;&gt;""),AND(NC22&gt;=NI$29,NC22&lt;&gt;"",NE22&gt;=NI$33,NE22&lt;&gt;""),AND(NF22&gt;=NI$29,NF22&lt;&gt;"",NH22&gt;=NI$33,NH22&lt;&gt;""),AND(OD22&gt;=OQ$29,OD22&lt;&gt;"",OF22&gt;=OQ$33,OF22&lt;&gt;""),AND(OG22&gt;=OQ$29,OG22&lt;&gt;"",OI22&gt;=OQ$33,OI22&lt;&gt;""),AND(OK22&gt;=OQ$29,OK22&lt;&gt;"",OM22&gt;=OQ$33,OM22&lt;&gt;""),AND(ON22&gt;=OQ$29,ON22&lt;&gt;"",OP22&gt;=OQ$33,OP22&lt;&gt;""),AND(PL22&gt;=PY$29,PL22&lt;&gt;"",PN22&gt;=PY$33,PN22&lt;&gt;""),AND(PO22&gt;=PY$29,PO22&lt;&gt;"",PQ22&gt;=PY$33,PQ22&lt;&gt;""),AND(PS22&gt;=PY$29,PS22&lt;&gt;"",PU22&gt;=PY$33,PU22&lt;&gt;""),AND(PV22&gt;=PY$29,PV22&lt;&gt;"",PX22&gt;=PY$33,PX22&lt;&gt;""),AND(QT22&gt;=RG$29,QT22&lt;&gt;"",QV22&gt;=RG$33,QV22&lt;&gt;""),AND(QW22&gt;=RG$29,QW22&lt;&gt;"",QY22&gt;=RG$33,QY22&lt;&gt;""),AND(RA22&gt;=RG$29,RA22&lt;&gt;"",RC22&gt;=RG$33,RC22&lt;&gt;""),AND(RD22&gt;=RG$29,RD22&lt;&gt;"",RF22&gt;=RG$33,RF22&lt;&gt;""),AND(SB22&gt;=SO$29,SB22&lt;&gt;"",SD22&gt;=SO$33,SD22&lt;&gt;""),AND(SE22&gt;=SO$29,SE22&lt;&gt;"",SG22&gt;=SO$33,SG22&lt;&gt;""),AND(SI22&gt;=SO$29,SI22&lt;&gt;"",SK22&gt;=SO$33,SK22&lt;&gt;""),AND(SL22&gt;=SO$29,SL22&lt;&gt;"",SN22&gt;=SO$33,SN22&lt;&gt;""),AND(TJ22&gt;=TW$29,TJ22&lt;&gt;"",TL22&gt;=TW$33,TL22&lt;&gt;""),AND(TM22&gt;=TW$29,TM22&lt;&gt;"",TO22&gt;=TW$33,TO22&lt;&gt;""),AND(TQ22&gt;=TW$29,TQ22&lt;&gt;"",TS22&gt;=TW$33,TXQ22&lt;&gt;""),AND(TT22&gt;=TW$29,TT22&lt;&gt;"",TV22&gt;=TW$33,TV22&lt;&gt;""),AND(UR22&gt;=VE$29,UR22&lt;&gt;"",UT22&gt;=VE$33,UT22&lt;&gt;""),AND(UU22&gt;=VE$29,UU22&lt;&gt;"",UW22&gt;=VE$33,UW22&lt;&gt;""),AND(UY22&gt;=VE$29,UY22&lt;&gt;"",VA22&gt;=VE$33,VA22&lt;&gt;""),AND(VB22&gt;=VE$29,VB22&lt;&gt;"",VD22&gt;=VE$33,VD22&lt;&gt;""),AND(VZ22&gt;=WM$29,VZ22&lt;&gt;"",WB22&gt;=WM$33,WB22&lt;&gt;""),AND(WC22&gt;=WM$29,WC22&lt;&gt;"",WE22&gt;=WM$33,WE22&lt;&gt;""),AND(WG22&gt;=WM$29,WG22&lt;&gt;"",WI22&gt;=WM$33,WI22&lt;&gt;""),AND(WJ22&gt;=WM$29,WJ22&lt;&gt;"",WL22&gt;=WM$33,WL22&lt;&gt;"")),"Excellence",IF(I22="P","Worlds Team",IF(F22="P","National Team","")))))</f>
        <v/>
      </c>
      <c r="I22" s="3" t="str">
        <f>IF(OR(AND(AI22&gt;=AS$28,AI22&lt;&gt;"",AK22&gt;=AS$32,AK22&lt;&gt;"",AH22=""),AND(AL22&gt;=AS$28,AL22&lt;&gt;"",AN22&gt;=AS$32,AN22&lt;&gt;"",AH22=""),AND(AP22&gt;=AS$28,AP22&lt;&gt;"",AR22&gt;=AS$32,AR22&lt;&gt;"",AH22=""),AND(BJ22&gt;=BT$28,BJ22&lt;&gt;"",BL22&gt;=BT$32,BL22&lt;&gt;"",BI22=""),AND(BM22&gt;=BT$28,BM22&lt;&gt;"",BO22&gt;=BT$32,BO22&lt;&gt;"",BI22=""),AND(BQ22&gt;=BT$28,BQ22&lt;&gt;"",BS22&gt;=BT$32,BS22&lt;&gt;"",BI22=""),AND(CK22&gt;=CU$28,CK22&lt;&gt;"",CM22&gt;=CU$32,CM22&lt;&gt;"",CJ22=""),AND(CN22&gt;=CU$28,CN22&lt;&gt;"",CP22&gt;=CU$32,CP22&lt;&gt;"",CJ22=""),AND(CR22&gt;=CU$28,CR22&lt;&gt;"",CT22&gt;=CU$32,CT22&lt;&gt;"",CJ22=""),AND(DR22&gt;=EE$28,DR22&lt;&gt;"",DT22&gt;=EE$32,DT22&lt;&gt;""),AND(DU22&gt;=EE$28,DU22&lt;&gt;"",DW22&gt;=EE$32,DW22&lt;&gt;""),AND(DY22&gt;=EE$28,DY22&lt;&gt;"",EA22&gt;=EE$32,EA22&lt;&gt;""),AND(EB22&gt;=EE$28,EB22&lt;&gt;"",ED22&gt;=EE$32,ED22&lt;&gt;""),AND(EZ22&gt;=FM$28,EZ22&lt;&gt;"",FB22&gt;=FM$32,FB22&lt;&gt;""),AND(FC22&gt;=FM$28,FC22&lt;&gt;"",FE22&gt;=FM$32,FE22&lt;&gt;""),AND(FG22&gt;=FM$28,FG22&lt;&gt;"",FI22&gt;=FM$32,FI22&lt;&gt;""),AND(FJ22&gt;=FM$28,FJ22&lt;&gt;"",FL22&gt;=FM$32,FL22&lt;&gt;""),AND(GH22&gt;=GU$28,GH22&lt;&gt;"",GJ22&gt;=GU$32,GJ22&lt;&gt;""),AND(GK22&gt;=GU$28,GK22&lt;&gt;"",GM22&gt;=GU$32,GM22&lt;&gt;""),AND(GO22&gt;=GU$28,GO22&lt;&gt;"",GQ22&gt;=GU$32,GQ22&lt;&gt;""),AND(GR22&gt;=GU$28,GR22&lt;&gt;"",GT22&gt;=GU$32,GT22&lt;&gt;""),AND(HP22&gt;=IC$28,HP22&lt;&gt;"",HR22&gt;=IC$32,HR22&lt;&gt;""),AND(HS22&gt;=IC$28,HS22&lt;&gt;"",HU22&gt;=IC$32,HU22&lt;&gt;""),AND(HW22&gt;=IC$28,HW22&lt;&gt;"",HY22&gt;=IC$32,HY22&lt;&gt;""),AND(HZ22&gt;=IC$28,HZ22&lt;&gt;"",IB22&gt;=IC$32,IB22&lt;&gt;""),AND(IX22&gt;=JK$28,IX22&lt;&gt;"",IZ22&gt;=JK$32,IZ22&lt;&gt;""),AND(JA22&gt;=JK$28,JA22&lt;&gt;"",JC22&gt;=JK$32,JC22&lt;&gt;""),AND(JE22&gt;=JK$28,JE22&lt;&gt;"",JG22&gt;=JK$32,JG22&lt;&gt;""),AND(JH22&gt;=JK$28,JH22&lt;&gt;"",JJ22&gt;=JK$32,JJ22&lt;&gt;""),AND(KF22&gt;=KS$28,KF22&lt;&gt;"",KH22&gt;=KS$32,KH22&lt;&gt;""),AND(KI22&gt;=KS$28,KI22&lt;&gt;"",KK22&gt;=KS$32,KK22&lt;&gt;""),AND(KM22&gt;=KS$28,KM22&lt;&gt;"",KO22&gt;=KS$32,KO22&lt;&gt;""),AND(KP22&gt;=KS$28,KP22&lt;&gt;"",KR22&gt;=KS$32,KR22&lt;&gt;""),AND(LN22&gt;=MA$28,LN22&lt;&gt;"",LP22&gt;=MA$32,LP22&lt;&gt;""),AND(LQ22&gt;=MA$28,LQ22&lt;&gt;"",LS22&gt;=MA$32,LS22&lt;&gt;""),AND(LU22&gt;=MA$28,LU22&lt;&gt;"",LW22&gt;=MA$32,LW22&lt;&gt;""),AND(LX22&gt;=MA$28,LX22&lt;&gt;"",LZ22&gt;=MA$32,LZ22&lt;&gt;""),AND(MV22&gt;=NI$28,MV22&lt;&gt;"",MX22&gt;=NI$32,MX22&lt;&gt;""),AND(MY22&gt;=NI$28,MY22&lt;&gt;"",NA22&gt;=NI$32,NA22&lt;&gt;""),AND(NC22&gt;=NI$28,NC22&lt;&gt;"",NE22&gt;=NI$32,NE22&lt;&gt;""),AND(NF22&gt;=NI$28,NF22&lt;&gt;"",NH22&gt;=NI$32,NH22&lt;&gt;""),AND(OD22&gt;=OQ$28,OD22&lt;&gt;"",OF22&gt;=OQ$32,OF22&lt;&gt;""),AND(OG22&gt;=OQ$28,OG22&lt;&gt;"",OI22&gt;=OQ$32,OI22&lt;&gt;""),AND(OK22&gt;=OQ$28,OK22&lt;&gt;"",OM22&gt;=OQ$32,OM22&lt;&gt;""),AND(ON22&gt;=OQ$28,ON22&lt;&gt;"",OP22&gt;=OQ$32,OP22&lt;&gt;""),AND(PL22&gt;=PY$28,PL22&lt;&gt;"",PN22&gt;=PY$32,PN22&lt;&gt;""),AND(PO22&gt;=PY$28,PO22&lt;&gt;"",PQ22&gt;=PY$32,PQ22&lt;&gt;""),AND(PS22&gt;=PY$28,PS22&lt;&gt;"",PU22&gt;=PY$32,PU22&lt;&gt;""),AND(PV22&gt;=PY$28,PV22&lt;&gt;"",PX22&gt;=PY$32,PX22&lt;&gt;""),AND(QT22&gt;=RG$28,QT22&lt;&gt;"",QV22&gt;=RG$32,QV22&lt;&gt;""),AND(QW22&gt;=RG$28,QW22&lt;&gt;"",QY22&gt;=RG$32,QY22&lt;&gt;""),AND(RA22&gt;=RG$28,RA22&lt;&gt;"",RC22&gt;=RG$32,RC22&lt;&gt;""),AND(RD22&gt;=RG$28,RD22&lt;&gt;"",RF22&gt;=RG$32,RF22&lt;&gt;""),AND(SB22&gt;=SO$28,SB22&lt;&gt;"",SD22&gt;=SO$32,SD22&lt;&gt;""),AND(SE22&gt;=SO$28,SE22&lt;&gt;"",SG22&gt;=SO$32,SG22&lt;&gt;""),AND(SI22&gt;=SO$28,SI22&lt;&gt;"",SK22&gt;=SO$32,SK22&lt;&gt;""),AND(SL22&gt;=SO$28,SL22&lt;&gt;"",SN22&gt;=SO$32,SN22&lt;&gt;""),AND(TJ22&gt;=TW$28,TJ22&lt;&gt;"",TL22&gt;=TW$32,TL22&lt;&gt;""),AND(TM22&gt;=TW$28,TM22&lt;&gt;"",TO22&gt;=TW$32,TO22&lt;&gt;""),AND(TQ22&gt;=TW$28,TQ22&lt;&gt;"",TS22&gt;=TW$32,TXQ22&lt;&gt;""),AND(TT22&gt;=TW$28,TT22&lt;&gt;"",TV22&gt;=TW$32,TV22&lt;&gt;""),AND(UR22&gt;=VE$28,UR22&lt;&gt;"",UT22&gt;=VE$32,UT22&lt;&gt;""),AND(UU22&gt;=VE$28,UU22&lt;&gt;"",UW22&gt;=VE$32,UW22&lt;&gt;""),AND(UY22&gt;=VE$28,UY22&lt;&gt;"",VA22&gt;=VE$32,VA22&lt;&gt;""),AND(VB22&gt;=VE$28,VB22&lt;&gt;"",VD22&gt;=VE$32,VD22&lt;&gt;""),AND(VZ22&gt;=WM$28,VZ22&lt;&gt;"",WB22&gt;=WM$32,WB22&lt;&gt;""),AND(WC22&gt;=WM$28,WC22&lt;&gt;"",WE22&gt;=WM$32,WE22&lt;&gt;""),AND(WG22&gt;=WM$28,WG22&lt;&gt;"",WI22&gt;=WM$32,WI22&lt;&gt;""),AND(WJ22&gt;=WM$28,WJ22&lt;&gt;"",WL22&gt;=WM$32,WL22&lt;&gt;"")),"P","")</f>
        <v/>
      </c>
      <c r="J22" s="8">
        <f t="shared" si="1"/>
        <v>0</v>
      </c>
      <c r="K22" s="8" t="str">
        <f t="shared" si="2"/>
        <v/>
      </c>
      <c r="L22" s="8">
        <f>IFERROR(IF(J22=AR22,LARGE((AK22,AN22,BL22,BO22,BS22,CM22,CP22,CT22),1),IF(J22=BS22,LARGE((AK22,AN22,AR22,BL22,BO22,CM22,CP22,CT22),1),LARGE((AK22,AN22,AR22,BL22,BO22,BS22,CM22,CP22),1))),0)</f>
        <v>47.339999999999996</v>
      </c>
      <c r="M22" s="8" t="str">
        <f t="shared" si="3"/>
        <v>2025 3rd Domestic Trial</v>
      </c>
      <c r="N22" s="8">
        <f>IFERROR(IF(J22=AR22,LARGE((AK22,AN22,BL22,BO22,BS22,CM22,CP22,CT22),2),IF(J22=BS22,LARGE((AK22,AN22,AR22,BL22,BO22,CM22,CP22,CT22),2),LARGE((AK22,AN22,AR22,BL22,BO22,BS22,CM22,CP22),2))),0)</f>
        <v>46.82</v>
      </c>
      <c r="O22" s="8" t="str">
        <f t="shared" si="4"/>
        <v>2025 Nationals</v>
      </c>
      <c r="P22" s="8">
        <f t="shared" si="5"/>
        <v>0</v>
      </c>
      <c r="Q22" s="11" t="str">
        <f t="shared" si="6"/>
        <v/>
      </c>
      <c r="R22" s="8" t="str">
        <f t="shared" si="7"/>
        <v/>
      </c>
      <c r="S22" s="18">
        <v>10.9</v>
      </c>
      <c r="T22" s="18">
        <v>9.4</v>
      </c>
      <c r="U22" s="18">
        <v>13.2</v>
      </c>
      <c r="V22" s="18">
        <v>14.62</v>
      </c>
      <c r="W22" s="18">
        <v>1.3</v>
      </c>
      <c r="X22" s="18">
        <v>10.1</v>
      </c>
      <c r="Y22" s="18">
        <v>8</v>
      </c>
      <c r="Z22" s="18">
        <v>10.8</v>
      </c>
      <c r="AA22" s="18">
        <v>12.93</v>
      </c>
      <c r="AB22" s="18">
        <v>0</v>
      </c>
      <c r="AC22" s="18"/>
      <c r="AD22" s="18"/>
      <c r="AE22" s="18"/>
      <c r="AF22" s="18"/>
      <c r="AG22" s="18"/>
      <c r="AH22" s="23"/>
      <c r="AI22" s="34">
        <f t="shared" si="8"/>
        <v>13.2</v>
      </c>
      <c r="AJ22" s="34">
        <f t="shared" si="9"/>
        <v>14.62</v>
      </c>
      <c r="AK22" s="36">
        <f t="shared" si="10"/>
        <v>46.82</v>
      </c>
      <c r="AL22" s="36">
        <f t="shared" si="11"/>
        <v>10.8</v>
      </c>
      <c r="AM22" s="36">
        <f t="shared" si="12"/>
        <v>12.93</v>
      </c>
      <c r="AN22" s="36">
        <f t="shared" si="13"/>
        <v>41.83</v>
      </c>
      <c r="AO22" s="36">
        <f t="shared" si="14"/>
        <v>46.82</v>
      </c>
      <c r="AP22" s="36" t="str">
        <f t="shared" si="15"/>
        <v/>
      </c>
      <c r="AQ22" s="36" t="str">
        <f t="shared" si="16"/>
        <v/>
      </c>
      <c r="AR22" s="36" t="str">
        <f t="shared" si="17"/>
        <v/>
      </c>
      <c r="AS22" s="36">
        <f t="shared" si="18"/>
        <v>46.82</v>
      </c>
      <c r="AT22" s="22">
        <v>12.4</v>
      </c>
      <c r="AU22" s="22">
        <v>7.9</v>
      </c>
      <c r="AV22" s="22">
        <v>12.5</v>
      </c>
      <c r="AW22" s="22">
        <v>14.54</v>
      </c>
      <c r="AX22" s="22">
        <v>0</v>
      </c>
      <c r="AY22" s="22">
        <v>8.6</v>
      </c>
      <c r="AZ22" s="22">
        <v>5.7</v>
      </c>
      <c r="BA22" s="22">
        <v>8.6999999999999993</v>
      </c>
      <c r="BB22" s="22">
        <v>11.81</v>
      </c>
      <c r="BC22" s="22">
        <v>0</v>
      </c>
      <c r="BD22" s="22"/>
      <c r="BE22" s="22"/>
      <c r="BF22" s="22"/>
      <c r="BG22" s="22"/>
      <c r="BH22" s="22"/>
      <c r="BI22" s="24"/>
      <c r="BJ22" s="35">
        <f t="shared" si="19"/>
        <v>12.5</v>
      </c>
      <c r="BK22" s="35">
        <f t="shared" si="20"/>
        <v>14.54</v>
      </c>
      <c r="BL22" s="11">
        <f t="shared" si="21"/>
        <v>47.339999999999996</v>
      </c>
      <c r="BM22" s="11">
        <f t="shared" si="22"/>
        <v>8.6999999999999993</v>
      </c>
      <c r="BN22" s="11">
        <f t="shared" si="23"/>
        <v>11.81</v>
      </c>
      <c r="BO22" s="11">
        <f t="shared" si="24"/>
        <v>34.81</v>
      </c>
      <c r="BP22" s="11">
        <f t="shared" si="25"/>
        <v>47.339999999999996</v>
      </c>
      <c r="BQ22" s="11" t="str">
        <f t="shared" si="26"/>
        <v/>
      </c>
      <c r="BR22" s="11" t="str">
        <f t="shared" si="27"/>
        <v/>
      </c>
      <c r="BS22" s="11" t="str">
        <f t="shared" si="28"/>
        <v/>
      </c>
      <c r="BT22" s="11">
        <f t="shared" si="29"/>
        <v>47.339999999999996</v>
      </c>
      <c r="BU22" s="18">
        <v>2.8</v>
      </c>
      <c r="BV22" s="18">
        <v>1.6</v>
      </c>
      <c r="BW22" s="18">
        <v>3.7</v>
      </c>
      <c r="BX22" s="18">
        <v>3.34</v>
      </c>
      <c r="BY22" s="18">
        <v>0</v>
      </c>
      <c r="BZ22" s="18">
        <v>9.1999999999999993</v>
      </c>
      <c r="CA22" s="18">
        <v>7.6</v>
      </c>
      <c r="CB22" s="18">
        <v>10.6</v>
      </c>
      <c r="CC22" s="18">
        <v>11.82</v>
      </c>
      <c r="CD22" s="18">
        <v>0</v>
      </c>
      <c r="CE22" s="18"/>
      <c r="CF22" s="18"/>
      <c r="CG22" s="18"/>
      <c r="CH22" s="18"/>
      <c r="CI22" s="18"/>
      <c r="CJ22" s="23"/>
      <c r="CK22" s="34">
        <f t="shared" si="30"/>
        <v>3.7</v>
      </c>
      <c r="CL22" s="34">
        <f t="shared" si="31"/>
        <v>3.34</v>
      </c>
      <c r="CM22" s="36">
        <f t="shared" si="32"/>
        <v>11.440000000000001</v>
      </c>
      <c r="CN22" s="36">
        <f t="shared" si="33"/>
        <v>10.6</v>
      </c>
      <c r="CO22" s="36">
        <f t="shared" si="34"/>
        <v>11.82</v>
      </c>
      <c r="CP22" s="36">
        <f t="shared" si="35"/>
        <v>39.22</v>
      </c>
      <c r="CQ22" s="36">
        <f t="shared" si="36"/>
        <v>39.22</v>
      </c>
      <c r="CR22" s="36" t="str">
        <f t="shared" si="37"/>
        <v/>
      </c>
      <c r="CS22" s="36" t="str">
        <f t="shared" si="38"/>
        <v/>
      </c>
      <c r="CT22" s="36" t="str">
        <f t="shared" si="39"/>
        <v/>
      </c>
      <c r="CU22" s="36">
        <f t="shared" si="40"/>
        <v>39.22</v>
      </c>
      <c r="CV22" s="47" t="str">
        <f t="shared" si="41"/>
        <v/>
      </c>
      <c r="CW22" s="47" t="str">
        <f t="shared" si="42"/>
        <v/>
      </c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36" t="str">
        <f t="shared" si="43"/>
        <v/>
      </c>
      <c r="DS22" s="36" t="str">
        <f t="shared" si="44"/>
        <v/>
      </c>
      <c r="DT22" s="36" t="str">
        <f t="shared" si="45"/>
        <v/>
      </c>
      <c r="DU22" s="36" t="str">
        <f t="shared" si="46"/>
        <v/>
      </c>
      <c r="DV22" s="36" t="str">
        <f t="shared" si="47"/>
        <v/>
      </c>
      <c r="DW22" s="36" t="str">
        <f t="shared" si="48"/>
        <v/>
      </c>
      <c r="DX22" s="36" t="str">
        <f t="shared" si="49"/>
        <v/>
      </c>
      <c r="DY22" s="36" t="str">
        <f t="shared" si="50"/>
        <v/>
      </c>
      <c r="DZ22" s="36" t="str">
        <f t="shared" si="51"/>
        <v/>
      </c>
      <c r="EA22" s="36" t="str">
        <f t="shared" si="52"/>
        <v/>
      </c>
      <c r="EB22" s="36" t="str">
        <f t="shared" si="53"/>
        <v/>
      </c>
      <c r="EC22" s="36" t="str">
        <f t="shared" si="54"/>
        <v/>
      </c>
      <c r="ED22" s="36" t="str">
        <f t="shared" si="55"/>
        <v/>
      </c>
      <c r="EE22" s="36" t="str">
        <f t="shared" si="56"/>
        <v/>
      </c>
      <c r="EF22" s="16"/>
      <c r="EG22" s="16"/>
      <c r="EH22" s="16"/>
      <c r="EI22" s="16"/>
      <c r="EJ22" s="16"/>
      <c r="EK22" s="16"/>
      <c r="EL22" s="16"/>
      <c r="EM22" s="16"/>
      <c r="EN22" s="16"/>
      <c r="EO22" s="16"/>
      <c r="EP22" s="16"/>
      <c r="EQ22" s="16"/>
      <c r="ER22" s="16"/>
      <c r="ES22" s="16"/>
      <c r="ET22" s="16"/>
      <c r="EU22" s="16"/>
      <c r="EV22" s="16"/>
      <c r="EW22" s="16"/>
      <c r="EX22" s="16"/>
      <c r="EY22" s="16"/>
      <c r="EZ22" s="11" t="str">
        <f t="shared" si="57"/>
        <v/>
      </c>
      <c r="FA22" s="11" t="str">
        <f t="shared" si="58"/>
        <v/>
      </c>
      <c r="FB22" s="11" t="str">
        <f t="shared" si="59"/>
        <v/>
      </c>
      <c r="FC22" s="11" t="str">
        <f t="shared" si="60"/>
        <v/>
      </c>
      <c r="FD22" s="11" t="str">
        <f t="shared" si="61"/>
        <v/>
      </c>
      <c r="FE22" s="11" t="str">
        <f t="shared" si="62"/>
        <v/>
      </c>
      <c r="FF22" s="11" t="str">
        <f t="shared" si="63"/>
        <v/>
      </c>
      <c r="FG22" s="11" t="str">
        <f t="shared" si="64"/>
        <v/>
      </c>
      <c r="FH22" s="11" t="str">
        <f t="shared" si="65"/>
        <v/>
      </c>
      <c r="FI22" s="11" t="str">
        <f t="shared" si="66"/>
        <v/>
      </c>
      <c r="FJ22" s="11" t="str">
        <f t="shared" si="67"/>
        <v/>
      </c>
      <c r="FK22" s="11" t="str">
        <f t="shared" si="68"/>
        <v/>
      </c>
      <c r="FL22" s="11" t="str">
        <f t="shared" si="69"/>
        <v/>
      </c>
      <c r="FM22" s="11" t="str">
        <f t="shared" si="70"/>
        <v/>
      </c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36" t="str">
        <f t="shared" si="71"/>
        <v/>
      </c>
      <c r="GI22" s="36" t="str">
        <f t="shared" si="72"/>
        <v/>
      </c>
      <c r="GJ22" s="36" t="str">
        <f t="shared" si="73"/>
        <v/>
      </c>
      <c r="GK22" s="36" t="str">
        <f t="shared" si="74"/>
        <v/>
      </c>
      <c r="GL22" s="36" t="str">
        <f t="shared" si="75"/>
        <v/>
      </c>
      <c r="GM22" s="36" t="str">
        <f t="shared" si="76"/>
        <v/>
      </c>
      <c r="GN22" s="36" t="str">
        <f t="shared" si="77"/>
        <v/>
      </c>
      <c r="GO22" s="36" t="str">
        <f t="shared" si="78"/>
        <v/>
      </c>
      <c r="GP22" s="36" t="str">
        <f t="shared" si="79"/>
        <v/>
      </c>
      <c r="GQ22" s="36" t="str">
        <f t="shared" si="80"/>
        <v/>
      </c>
      <c r="GR22" s="36" t="str">
        <f t="shared" si="81"/>
        <v/>
      </c>
      <c r="GS22" s="36" t="str">
        <f t="shared" si="82"/>
        <v/>
      </c>
      <c r="GT22" s="36" t="str">
        <f t="shared" si="83"/>
        <v/>
      </c>
      <c r="GU22" s="36" t="str">
        <f t="shared" si="84"/>
        <v/>
      </c>
      <c r="GV22" s="16"/>
      <c r="GW22" s="16"/>
      <c r="GX22" s="16"/>
      <c r="GY22" s="16"/>
      <c r="GZ22" s="16"/>
      <c r="HA22" s="16"/>
      <c r="HB22" s="16"/>
      <c r="HC22" s="16"/>
      <c r="HD22" s="16"/>
      <c r="HE22" s="16"/>
      <c r="HF22" s="16"/>
      <c r="HG22" s="16"/>
      <c r="HH22" s="16"/>
      <c r="HI22" s="16"/>
      <c r="HJ22" s="16"/>
      <c r="HK22" s="16"/>
      <c r="HL22" s="16"/>
      <c r="HM22" s="16"/>
      <c r="HN22" s="16"/>
      <c r="HO22" s="16"/>
      <c r="HP22" s="11" t="str">
        <f t="shared" si="85"/>
        <v/>
      </c>
      <c r="HQ22" s="11" t="str">
        <f t="shared" si="86"/>
        <v/>
      </c>
      <c r="HR22" s="11" t="str">
        <f t="shared" si="87"/>
        <v/>
      </c>
      <c r="HS22" s="11" t="str">
        <f t="shared" si="88"/>
        <v/>
      </c>
      <c r="HT22" s="11" t="str">
        <f t="shared" si="89"/>
        <v/>
      </c>
      <c r="HU22" s="11" t="str">
        <f t="shared" si="90"/>
        <v/>
      </c>
      <c r="HV22" s="11" t="str">
        <f t="shared" si="91"/>
        <v/>
      </c>
      <c r="HW22" s="11" t="str">
        <f t="shared" si="92"/>
        <v/>
      </c>
      <c r="HX22" s="11" t="str">
        <f t="shared" si="93"/>
        <v/>
      </c>
      <c r="HY22" s="11" t="str">
        <f t="shared" si="94"/>
        <v/>
      </c>
      <c r="HZ22" s="11" t="str">
        <f t="shared" si="95"/>
        <v/>
      </c>
      <c r="IA22" s="11" t="str">
        <f t="shared" si="96"/>
        <v/>
      </c>
      <c r="IB22" s="11" t="str">
        <f t="shared" si="97"/>
        <v/>
      </c>
      <c r="IC22" s="11" t="str">
        <f t="shared" si="98"/>
        <v/>
      </c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36" t="str">
        <f t="shared" si="99"/>
        <v/>
      </c>
      <c r="IY22" s="36" t="str">
        <f t="shared" si="100"/>
        <v/>
      </c>
      <c r="IZ22" s="36" t="str">
        <f t="shared" si="101"/>
        <v/>
      </c>
      <c r="JA22" s="36" t="str">
        <f t="shared" si="102"/>
        <v/>
      </c>
      <c r="JB22" s="36" t="str">
        <f t="shared" si="103"/>
        <v/>
      </c>
      <c r="JC22" s="36" t="str">
        <f t="shared" si="104"/>
        <v/>
      </c>
      <c r="JD22" s="36" t="str">
        <f t="shared" si="105"/>
        <v/>
      </c>
      <c r="JE22" s="36" t="str">
        <f t="shared" si="106"/>
        <v/>
      </c>
      <c r="JF22" s="36" t="str">
        <f t="shared" si="107"/>
        <v/>
      </c>
      <c r="JG22" s="36" t="str">
        <f t="shared" si="108"/>
        <v/>
      </c>
      <c r="JH22" s="36" t="str">
        <f t="shared" si="109"/>
        <v/>
      </c>
      <c r="JI22" s="36" t="str">
        <f t="shared" si="110"/>
        <v/>
      </c>
      <c r="JJ22" s="36" t="str">
        <f t="shared" si="111"/>
        <v/>
      </c>
      <c r="JK22" s="36" t="str">
        <f t="shared" si="112"/>
        <v/>
      </c>
      <c r="JL22" s="16"/>
      <c r="JM22" s="16"/>
      <c r="JN22" s="16"/>
      <c r="JO22" s="16"/>
      <c r="JP22" s="16"/>
      <c r="JQ22" s="16"/>
      <c r="JR22" s="16"/>
      <c r="JS22" s="16"/>
      <c r="JT22" s="16"/>
      <c r="JU22" s="16"/>
      <c r="JV22" s="16"/>
      <c r="JW22" s="16"/>
      <c r="JX22" s="16"/>
      <c r="JY22" s="16"/>
      <c r="JZ22" s="16"/>
      <c r="KA22" s="16"/>
      <c r="KB22" s="16"/>
      <c r="KC22" s="16"/>
      <c r="KD22" s="16"/>
      <c r="KE22" s="16"/>
      <c r="KF22" s="11" t="str">
        <f t="shared" si="113"/>
        <v/>
      </c>
      <c r="KG22" s="11" t="str">
        <f t="shared" si="114"/>
        <v/>
      </c>
      <c r="KH22" s="11" t="str">
        <f t="shared" si="115"/>
        <v/>
      </c>
      <c r="KI22" s="11" t="str">
        <f t="shared" si="116"/>
        <v/>
      </c>
      <c r="KJ22" s="11" t="str">
        <f t="shared" si="117"/>
        <v/>
      </c>
      <c r="KK22" s="11" t="str">
        <f t="shared" si="118"/>
        <v/>
      </c>
      <c r="KL22" s="11" t="str">
        <f t="shared" si="119"/>
        <v/>
      </c>
      <c r="KM22" s="11" t="str">
        <f t="shared" si="120"/>
        <v/>
      </c>
      <c r="KN22" s="11" t="str">
        <f t="shared" si="121"/>
        <v/>
      </c>
      <c r="KO22" s="11" t="str">
        <f t="shared" si="122"/>
        <v/>
      </c>
      <c r="KP22" s="11" t="str">
        <f t="shared" si="123"/>
        <v/>
      </c>
      <c r="KQ22" s="11" t="str">
        <f t="shared" si="124"/>
        <v/>
      </c>
      <c r="KR22" s="11" t="str">
        <f t="shared" si="125"/>
        <v/>
      </c>
      <c r="KS22" s="11" t="str">
        <f t="shared" si="126"/>
        <v/>
      </c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36" t="str">
        <f t="shared" si="127"/>
        <v/>
      </c>
      <c r="LO22" s="36" t="str">
        <f t="shared" si="128"/>
        <v/>
      </c>
      <c r="LP22" s="36" t="str">
        <f t="shared" si="129"/>
        <v/>
      </c>
      <c r="LQ22" s="36" t="str">
        <f t="shared" si="130"/>
        <v/>
      </c>
      <c r="LR22" s="36" t="str">
        <f t="shared" si="131"/>
        <v/>
      </c>
      <c r="LS22" s="36" t="str">
        <f t="shared" si="132"/>
        <v/>
      </c>
      <c r="LT22" s="36" t="str">
        <f t="shared" si="133"/>
        <v/>
      </c>
      <c r="LU22" s="36" t="str">
        <f t="shared" si="134"/>
        <v/>
      </c>
      <c r="LV22" s="36" t="str">
        <f t="shared" si="135"/>
        <v/>
      </c>
      <c r="LW22" s="36" t="str">
        <f t="shared" si="136"/>
        <v/>
      </c>
      <c r="LX22" s="36" t="str">
        <f t="shared" si="137"/>
        <v/>
      </c>
      <c r="LY22" s="36" t="str">
        <f t="shared" si="138"/>
        <v/>
      </c>
      <c r="LZ22" s="36" t="str">
        <f t="shared" si="139"/>
        <v/>
      </c>
      <c r="MA22" s="36" t="str">
        <f t="shared" si="140"/>
        <v/>
      </c>
      <c r="MB22" s="16"/>
      <c r="MC22" s="16"/>
      <c r="MD22" s="16"/>
      <c r="ME22" s="16"/>
      <c r="MF22" s="16"/>
      <c r="MG22" s="16"/>
      <c r="MH22" s="16"/>
      <c r="MI22" s="16"/>
      <c r="MJ22" s="16"/>
      <c r="MK22" s="16"/>
      <c r="ML22" s="16"/>
      <c r="MM22" s="16"/>
      <c r="MN22" s="16"/>
      <c r="MO22" s="16"/>
      <c r="MP22" s="16"/>
      <c r="MQ22" s="16"/>
      <c r="MR22" s="16"/>
      <c r="MS22" s="16"/>
      <c r="MT22" s="16"/>
      <c r="MU22" s="16"/>
      <c r="MV22" s="11" t="str">
        <f t="shared" si="141"/>
        <v/>
      </c>
      <c r="MW22" s="11" t="str">
        <f t="shared" si="142"/>
        <v/>
      </c>
      <c r="MX22" s="11" t="str">
        <f t="shared" si="143"/>
        <v/>
      </c>
      <c r="MY22" s="11" t="str">
        <f t="shared" si="144"/>
        <v/>
      </c>
      <c r="MZ22" s="11" t="str">
        <f t="shared" si="145"/>
        <v/>
      </c>
      <c r="NA22" s="11" t="str">
        <f t="shared" si="146"/>
        <v/>
      </c>
      <c r="NB22" s="11" t="str">
        <f t="shared" si="147"/>
        <v/>
      </c>
      <c r="NC22" s="11" t="str">
        <f t="shared" si="148"/>
        <v/>
      </c>
      <c r="ND22" s="11" t="str">
        <f t="shared" si="149"/>
        <v/>
      </c>
      <c r="NE22" s="11" t="str">
        <f t="shared" si="150"/>
        <v/>
      </c>
      <c r="NF22" s="11" t="str">
        <f t="shared" si="151"/>
        <v/>
      </c>
      <c r="NG22" s="11" t="str">
        <f t="shared" si="152"/>
        <v/>
      </c>
      <c r="NH22" s="11" t="str">
        <f t="shared" si="153"/>
        <v/>
      </c>
      <c r="NI22" s="11" t="str">
        <f t="shared" si="154"/>
        <v/>
      </c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36" t="str">
        <f t="shared" si="155"/>
        <v/>
      </c>
      <c r="OE22" s="36" t="str">
        <f t="shared" si="156"/>
        <v/>
      </c>
      <c r="OF22" s="36" t="str">
        <f t="shared" si="157"/>
        <v/>
      </c>
      <c r="OG22" s="36" t="str">
        <f t="shared" si="158"/>
        <v/>
      </c>
      <c r="OH22" s="36" t="str">
        <f t="shared" si="159"/>
        <v/>
      </c>
      <c r="OI22" s="36" t="str">
        <f t="shared" si="160"/>
        <v/>
      </c>
      <c r="OJ22" s="36" t="str">
        <f t="shared" si="161"/>
        <v/>
      </c>
      <c r="OK22" s="36" t="str">
        <f t="shared" si="162"/>
        <v/>
      </c>
      <c r="OL22" s="36" t="str">
        <f t="shared" si="163"/>
        <v/>
      </c>
      <c r="OM22" s="36" t="str">
        <f t="shared" si="164"/>
        <v/>
      </c>
      <c r="ON22" s="36" t="str">
        <f t="shared" si="165"/>
        <v/>
      </c>
      <c r="OO22" s="36" t="str">
        <f t="shared" si="166"/>
        <v/>
      </c>
      <c r="OP22" s="36" t="str">
        <f t="shared" si="167"/>
        <v/>
      </c>
      <c r="OQ22" s="36" t="str">
        <f t="shared" si="168"/>
        <v/>
      </c>
      <c r="OR22" s="16"/>
      <c r="OS22" s="16"/>
      <c r="OT22" s="16"/>
      <c r="OU22" s="16"/>
      <c r="OV22" s="16"/>
      <c r="OW22" s="16"/>
      <c r="OX22" s="16"/>
      <c r="OY22" s="16"/>
      <c r="OZ22" s="16"/>
      <c r="PA22" s="16"/>
      <c r="PB22" s="16"/>
      <c r="PC22" s="16"/>
      <c r="PD22" s="16"/>
      <c r="PE22" s="16"/>
      <c r="PF22" s="16"/>
      <c r="PG22" s="16"/>
      <c r="PH22" s="16"/>
      <c r="PI22" s="16"/>
      <c r="PJ22" s="16"/>
      <c r="PK22" s="16"/>
      <c r="PL22" s="11" t="str">
        <f t="shared" si="169"/>
        <v/>
      </c>
      <c r="PM22" s="11" t="str">
        <f t="shared" si="170"/>
        <v/>
      </c>
      <c r="PN22" s="11" t="str">
        <f t="shared" si="171"/>
        <v/>
      </c>
      <c r="PO22" s="11" t="str">
        <f t="shared" si="172"/>
        <v/>
      </c>
      <c r="PP22" s="11" t="str">
        <f t="shared" si="173"/>
        <v/>
      </c>
      <c r="PQ22" s="11" t="str">
        <f t="shared" si="174"/>
        <v/>
      </c>
      <c r="PR22" s="11" t="str">
        <f t="shared" si="175"/>
        <v/>
      </c>
      <c r="PS22" s="11" t="str">
        <f t="shared" si="176"/>
        <v/>
      </c>
      <c r="PT22" s="11" t="str">
        <f t="shared" si="177"/>
        <v/>
      </c>
      <c r="PU22" s="11" t="str">
        <f t="shared" si="178"/>
        <v/>
      </c>
      <c r="PV22" s="11" t="str">
        <f t="shared" si="179"/>
        <v/>
      </c>
      <c r="PW22" s="11" t="str">
        <f t="shared" si="180"/>
        <v/>
      </c>
      <c r="PX22" s="11" t="str">
        <f t="shared" si="181"/>
        <v/>
      </c>
      <c r="PY22" s="11" t="str">
        <f t="shared" si="182"/>
        <v/>
      </c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36" t="str">
        <f t="shared" si="183"/>
        <v/>
      </c>
      <c r="QU22" s="36" t="str">
        <f t="shared" si="184"/>
        <v/>
      </c>
      <c r="QV22" s="36" t="str">
        <f t="shared" si="185"/>
        <v/>
      </c>
      <c r="QW22" s="36" t="str">
        <f t="shared" si="186"/>
        <v/>
      </c>
      <c r="QX22" s="36" t="str">
        <f t="shared" si="187"/>
        <v/>
      </c>
      <c r="QY22" s="36" t="str">
        <f t="shared" si="188"/>
        <v/>
      </c>
      <c r="QZ22" s="36" t="str">
        <f t="shared" si="189"/>
        <v/>
      </c>
      <c r="RA22" s="36" t="str">
        <f t="shared" si="190"/>
        <v/>
      </c>
      <c r="RB22" s="36" t="str">
        <f t="shared" si="191"/>
        <v/>
      </c>
      <c r="RC22" s="36" t="str">
        <f t="shared" si="192"/>
        <v/>
      </c>
      <c r="RD22" s="36" t="str">
        <f t="shared" si="193"/>
        <v/>
      </c>
      <c r="RE22" s="36" t="str">
        <f t="shared" si="194"/>
        <v/>
      </c>
      <c r="RF22" s="36" t="str">
        <f t="shared" si="195"/>
        <v/>
      </c>
      <c r="RG22" s="36" t="str">
        <f t="shared" si="196"/>
        <v/>
      </c>
      <c r="RH22" s="16"/>
      <c r="RI22" s="16"/>
      <c r="RJ22" s="16"/>
      <c r="RK22" s="16"/>
      <c r="RL22" s="16"/>
      <c r="RM22" s="16"/>
      <c r="RN22" s="16"/>
      <c r="RO22" s="16"/>
      <c r="RP22" s="16"/>
      <c r="RQ22" s="16"/>
      <c r="RR22" s="16"/>
      <c r="RS22" s="16"/>
      <c r="RT22" s="16"/>
      <c r="RU22" s="16"/>
      <c r="RV22" s="16"/>
      <c r="RW22" s="16"/>
      <c r="RX22" s="16"/>
      <c r="RY22" s="16"/>
      <c r="RZ22" s="16"/>
      <c r="SA22" s="16"/>
      <c r="SB22" s="11" t="str">
        <f t="shared" si="197"/>
        <v/>
      </c>
      <c r="SC22" s="11" t="str">
        <f t="shared" si="198"/>
        <v/>
      </c>
      <c r="SD22" s="11" t="str">
        <f t="shared" si="199"/>
        <v/>
      </c>
      <c r="SE22" s="11" t="str">
        <f t="shared" si="200"/>
        <v/>
      </c>
      <c r="SF22" s="11" t="str">
        <f t="shared" si="201"/>
        <v/>
      </c>
      <c r="SG22" s="11" t="str">
        <f t="shared" si="202"/>
        <v/>
      </c>
      <c r="SH22" s="11" t="str">
        <f t="shared" si="203"/>
        <v/>
      </c>
      <c r="SI22" s="11" t="str">
        <f t="shared" si="204"/>
        <v/>
      </c>
      <c r="SJ22" s="11" t="str">
        <f t="shared" si="205"/>
        <v/>
      </c>
      <c r="SK22" s="11" t="str">
        <f t="shared" si="206"/>
        <v/>
      </c>
      <c r="SL22" s="11" t="str">
        <f t="shared" si="207"/>
        <v/>
      </c>
      <c r="SM22" s="11" t="str">
        <f t="shared" si="208"/>
        <v/>
      </c>
      <c r="SN22" s="11" t="str">
        <f t="shared" si="209"/>
        <v/>
      </c>
      <c r="SO22" s="11" t="str">
        <f t="shared" si="210"/>
        <v/>
      </c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36" t="str">
        <f t="shared" si="211"/>
        <v/>
      </c>
      <c r="TK22" s="36" t="str">
        <f t="shared" si="212"/>
        <v/>
      </c>
      <c r="TL22" s="36" t="str">
        <f t="shared" si="213"/>
        <v/>
      </c>
      <c r="TM22" s="36" t="str">
        <f t="shared" si="214"/>
        <v/>
      </c>
      <c r="TN22" s="36" t="str">
        <f t="shared" si="215"/>
        <v/>
      </c>
      <c r="TO22" s="36" t="str">
        <f t="shared" si="216"/>
        <v/>
      </c>
      <c r="TP22" s="36" t="str">
        <f t="shared" si="217"/>
        <v/>
      </c>
      <c r="TQ22" s="36" t="str">
        <f t="shared" si="218"/>
        <v/>
      </c>
      <c r="TR22" s="36" t="str">
        <f t="shared" si="219"/>
        <v/>
      </c>
      <c r="TS22" s="36" t="str">
        <f t="shared" si="220"/>
        <v/>
      </c>
      <c r="TT22" s="36" t="str">
        <f t="shared" si="221"/>
        <v/>
      </c>
      <c r="TU22" s="36" t="str">
        <f t="shared" si="222"/>
        <v/>
      </c>
      <c r="TV22" s="36" t="str">
        <f t="shared" si="223"/>
        <v/>
      </c>
      <c r="TW22" s="36" t="str">
        <f t="shared" si="224"/>
        <v/>
      </c>
      <c r="TX22" s="16"/>
      <c r="TY22" s="16"/>
      <c r="TZ22" s="16"/>
      <c r="UA22" s="16"/>
      <c r="UB22" s="16"/>
      <c r="UC22" s="16"/>
      <c r="UD22" s="16"/>
      <c r="UE22" s="16"/>
      <c r="UF22" s="16"/>
      <c r="UG22" s="16"/>
      <c r="UH22" s="16"/>
      <c r="UI22" s="16"/>
      <c r="UJ22" s="16"/>
      <c r="UK22" s="16"/>
      <c r="UL22" s="16"/>
      <c r="UM22" s="16"/>
      <c r="UN22" s="16"/>
      <c r="UO22" s="16"/>
      <c r="UP22" s="16"/>
      <c r="UQ22" s="16"/>
      <c r="UR22" s="11" t="str">
        <f t="shared" si="225"/>
        <v/>
      </c>
      <c r="US22" s="11" t="str">
        <f t="shared" si="226"/>
        <v/>
      </c>
      <c r="UT22" s="11" t="str">
        <f t="shared" si="227"/>
        <v/>
      </c>
      <c r="UU22" s="11" t="str">
        <f t="shared" si="228"/>
        <v/>
      </c>
      <c r="UV22" s="11" t="str">
        <f t="shared" si="229"/>
        <v/>
      </c>
      <c r="UW22" s="11" t="str">
        <f t="shared" si="230"/>
        <v/>
      </c>
      <c r="UX22" s="11" t="str">
        <f t="shared" si="231"/>
        <v/>
      </c>
      <c r="UY22" s="11" t="str">
        <f t="shared" si="232"/>
        <v/>
      </c>
      <c r="UZ22" s="11" t="str">
        <f t="shared" si="233"/>
        <v/>
      </c>
      <c r="VA22" s="11" t="str">
        <f t="shared" si="234"/>
        <v/>
      </c>
      <c r="VB22" s="11" t="str">
        <f t="shared" si="235"/>
        <v/>
      </c>
      <c r="VC22" s="11" t="str">
        <f t="shared" si="236"/>
        <v/>
      </c>
      <c r="VD22" s="11" t="str">
        <f t="shared" si="237"/>
        <v/>
      </c>
      <c r="VE22" s="11" t="str">
        <f t="shared" si="238"/>
        <v/>
      </c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36" t="str">
        <f t="shared" si="239"/>
        <v/>
      </c>
      <c r="WA22" s="36" t="str">
        <f t="shared" si="240"/>
        <v/>
      </c>
      <c r="WB22" s="36" t="str">
        <f t="shared" si="241"/>
        <v/>
      </c>
      <c r="WC22" s="36" t="str">
        <f t="shared" si="242"/>
        <v/>
      </c>
      <c r="WD22" s="36" t="str">
        <f t="shared" si="243"/>
        <v/>
      </c>
      <c r="WE22" s="36" t="str">
        <f t="shared" si="244"/>
        <v/>
      </c>
      <c r="WF22" s="36" t="str">
        <f t="shared" si="245"/>
        <v/>
      </c>
      <c r="WG22" s="36" t="str">
        <f t="shared" si="246"/>
        <v/>
      </c>
      <c r="WH22" s="36" t="str">
        <f t="shared" si="247"/>
        <v/>
      </c>
      <c r="WI22" s="36" t="str">
        <f t="shared" si="248"/>
        <v/>
      </c>
      <c r="WJ22" s="36" t="str">
        <f t="shared" si="249"/>
        <v/>
      </c>
      <c r="WK22" s="36" t="str">
        <f t="shared" si="250"/>
        <v/>
      </c>
      <c r="WL22" s="36" t="str">
        <f t="shared" si="251"/>
        <v/>
      </c>
      <c r="WM22" s="36" t="str">
        <f t="shared" si="252"/>
        <v/>
      </c>
    </row>
    <row r="23" spans="1:611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60</v>
      </c>
      <c r="C23" s="4" t="s">
        <v>5</v>
      </c>
      <c r="D23" s="4">
        <v>2003</v>
      </c>
      <c r="E23" s="9">
        <f t="shared" si="0"/>
        <v>72.460007246004665</v>
      </c>
      <c r="F23" s="3" t="str">
        <f>IF(OR(AND(AI23&gt;=AS$27,AI23&lt;&gt;"",AK23&gt;=AS$31,AK23&lt;&gt;"",AH23=""),AND(AL23&gt;=AS$27,AL23&lt;&gt;"",AN23&gt;=AS$31,AN23&lt;&gt;"",AH23=""),AND(AP23&gt;=AS$27,AP23&lt;&gt;"",AR23&gt;=AS$31,AR23&lt;&gt;"",AH23=""),AND(BJ23&gt;=BT$27,BJ23&lt;&gt;"",BL23&gt;=BT$31,BL23&lt;&gt;"",BI23=""),AND(BM23&gt;=BT$27,BM23&lt;&gt;"",BO23&gt;=BT$31,BO23&lt;&gt;"",BI23=""),AND(BQ23&gt;=BT$27,BQ23&lt;&gt;"",BS23&gt;=BT$31,BS23&lt;&gt;"",BI23=""),AND(CK23&gt;=CU$27,CK23&lt;&gt;"",CM23&gt;=CU$31,CM23&lt;&gt;"",CJ23=""),AND(CN23&gt;=CU$27,CN23&lt;&gt;"",CP23&gt;=CU$31,CP23&lt;&gt;"",CJ23=""),AND(CR23&gt;=CU$27,CR23&lt;&gt;"",CT23&gt;=CU$31,CT23&lt;&gt;"",CJ23=""),AND(DR23&gt;=EE$27,DR23&lt;&gt;"",DT23&gt;=EE$31,DT23&lt;&gt;""),AND(DU23&gt;=EE$27,DU23&lt;&gt;"",DW23&gt;=EE$31,DW23&lt;&gt;""),AND(DY23&gt;=EE$27,DY23&lt;&gt;"",EA23&gt;=EE$31,EA23&lt;&gt;""),AND(EB23&gt;=EE$27,EB23&lt;&gt;"",ED23&gt;=EE$31,ED23&lt;&gt;""),AND(EZ23&gt;=FM$27,EZ23&lt;&gt;"",FB23&gt;=FM$31,FB23&lt;&gt;""),AND(FC23&gt;=FM$27,FC23&lt;&gt;"",FE23&gt;=FM$31,FE23&lt;&gt;""),AND(FG23&gt;=FM$27,FG23&lt;&gt;"",FI23&gt;=FM$31,FI23&lt;&gt;""),AND(FJ23&gt;=FM$27,FJ23&lt;&gt;"",FL23&gt;=FM$31,FL23&lt;&gt;""),AND(GH23&gt;=GU$27,GH23&lt;&gt;"",GJ23&gt;=GU$31,GJ23&lt;&gt;""),AND(GK23&gt;=GU$27,GK23&lt;&gt;"",GM23&gt;=GU$31,GM23&lt;&gt;""),AND(GO23&gt;=GU$27,GO23&lt;&gt;"",GQ23&gt;=GU$31,GQ23&lt;&gt;""),AND(GR23&gt;=GU$27,GR23&lt;&gt;"",GT23&gt;=GU$31,GT23&lt;&gt;""),AND(HP23&gt;=IC$27,HP23&lt;&gt;"",HR23&gt;=IC$31,HR23&lt;&gt;""),AND(HS23&gt;=IC$27,HS23&lt;&gt;"",HU23&gt;=IC$31,HU23&lt;&gt;""),AND(HW23&gt;=IC$27,HW23&lt;&gt;"",HY23&gt;=IC$31,HY23&lt;&gt;""),AND(HZ23&gt;=IC$27,HZ23&lt;&gt;"",IB23&gt;=IC$31,IB23&lt;&gt;""),AND(IX23&gt;=JK$27,IX23&lt;&gt;"",IZ23&gt;=JK$31,IZ23&lt;&gt;""),AND(JA23&gt;=JK$27,JA23&lt;&gt;"",JC23&gt;=JK$31,JC23&lt;&gt;""),AND(JE23&gt;=JK$27,JE23&lt;&gt;"",JG23&gt;=JK$31,JG23&lt;&gt;""),AND(JH23&gt;=JK$27,JH23&lt;&gt;"",JJ23&gt;=JK$31,JJ23&lt;&gt;""),AND(KF23&gt;=KS$27,KF23&lt;&gt;"",KH23&gt;=KS$31,KH23&lt;&gt;""),AND(KI23&gt;=KS$27,KI23&lt;&gt;"",KK23&gt;=KS$31,KK23&lt;&gt;""),AND(KM23&gt;=KS$27,KM23&lt;&gt;"",KO23&gt;=KS$31,KO23&lt;&gt;""),AND(KP23&gt;=KS$27,KP23&lt;&gt;"",KR23&gt;=KS$31,KR23&lt;&gt;""),AND(LN23&gt;=MA$27,LN23&lt;&gt;"",LP23&gt;=MA$31,LP23&lt;&gt;""),AND(LQ23&gt;=MA$27,LQ23&lt;&gt;"",LS23&gt;=MA$31,LS23&lt;&gt;""),AND(LU23&gt;=MA$27,LU23&lt;&gt;"",LW23&gt;=MA$31,LW23&lt;&gt;""),AND(LX23&gt;=MA$27,LX23&lt;&gt;"",LZ23&gt;=MA$31,LZ23&lt;&gt;""),AND(MV23&gt;=NI$27,MV23&lt;&gt;"",MX23&gt;=NI$31,MX23&lt;&gt;""),AND(MY23&gt;=NI$27,MY23&lt;&gt;"",NA23&gt;=NI$31,NA23&lt;&gt;""),AND(NC23&gt;=NI$27,NC23&lt;&gt;"",NE23&gt;=NI$31,NE23&lt;&gt;""),AND(NF23&gt;=NI$27,NF23&lt;&gt;"",NH23&gt;=NI$31,NH23&lt;&gt;""),AND(OD23&gt;=OQ$27,OD23&lt;&gt;"",OF23&gt;=OQ$31,OF23&lt;&gt;""),AND(OG23&gt;=OQ$27,OG23&lt;&gt;"",OI23&gt;=OQ$31,OI23&lt;&gt;""),AND(OK23&gt;=OQ$27,OK23&lt;&gt;"",OM23&gt;=OQ$31,OM23&lt;&gt;""),AND(ON23&gt;=OQ$27,ON23&lt;&gt;"",OP23&gt;=OQ$31,OP23&lt;&gt;""),AND(PL23&gt;=PY$27,PL23&lt;&gt;"",PN23&gt;=PY$31,PN23&lt;&gt;""),AND(PO23&gt;=PY$27,PO23&lt;&gt;"",PQ23&gt;=PY$31,PQ23&lt;&gt;""),AND(PS23&gt;=PY$27,PS23&lt;&gt;"",PU23&gt;=PY$31,PU23&lt;&gt;""),AND(PV23&gt;=PY$27,PV23&lt;&gt;"",PX23&gt;=PY$31,PX23&lt;&gt;""),AND(QT23&gt;=RG$27,QT23&lt;&gt;"",QV23&gt;=RG$31,QV23&lt;&gt;""),AND(QW23&gt;=RG$27,QW23&lt;&gt;"",QY23&gt;=RG$31,QY23&lt;&gt;""),AND(RA23&gt;=RG$27,RA23&lt;&gt;"",RC23&gt;=RG$31,RC23&lt;&gt;""),AND(RD23&gt;=RG$27,RD23&lt;&gt;"",RF23&gt;=RG$31,RF23&lt;&gt;""),AND(SB23&gt;=SO$27,SB23&lt;&gt;"",SD23&gt;=SO$31,SD23&lt;&gt;""),AND(SE23&gt;=SO$27,SE23&lt;&gt;"",SG23&gt;=SO$31,SG23&lt;&gt;""),AND(SI23&gt;=SO$27,SI23&lt;&gt;"",SK23&gt;=SO$31,SK23&lt;&gt;""),AND(SL23&gt;=SO$27,SL23&lt;&gt;"",SN23&gt;=SO$31,SN23&lt;&gt;""),AND(TJ23&gt;=TW$27,TJ23&lt;&gt;"",TL23&gt;=TW$31,TL23&lt;&gt;""),AND(TM23&gt;=TW$27,TM23&lt;&gt;"",TO23&gt;=TW$31,TO23&lt;&gt;""),AND(TQ23&gt;=TW$27,TQ23&lt;&gt;"",TS23&gt;=TW$31,TXQ23&lt;&gt;""),AND(TT23&gt;=TW$27,TT23&lt;&gt;"",TV23&gt;=TW$31,TV23&lt;&gt;""),AND(UR23&gt;=VE$27,UR23&lt;&gt;"",UT23&gt;=VE$31,UT23&lt;&gt;""),AND(UU23&gt;=VE$27,UU23&lt;&gt;"",UW23&gt;=VE$31,UW23&lt;&gt;""),AND(UY23&gt;=VE$27,UY23&lt;&gt;"",VA23&gt;=VE$31,VA23&lt;&gt;""),AND(VB23&gt;=VE$27,VB23&lt;&gt;"",VD23&gt;=VE$31,VD23&lt;&gt;""),AND(VZ23&gt;=WM$27,VZ23&lt;&gt;"",WB23&gt;=WM$31,WB23&lt;&gt;""),AND(WC23&gt;=WM$27,WC23&lt;&gt;"",WE23&gt;=WM$31,WE23&lt;&gt;""),AND(WG23&gt;=WM$27,WG23&lt;&gt;"",WI23&gt;=WM$31,WI23&lt;&gt;""),AND(WJ23&gt;=WM$27,WJ23&lt;&gt;"",WL23&gt;=WM$31,WL23&lt;&gt;"")),"P","")</f>
        <v/>
      </c>
      <c r="G23" s="3" t="str">
        <f>IF(OR(AND(AK23&gt;=AS$31,AK23&lt;&gt;"",AH23=""),AND(AN23&gt;=AS$31,AN23&lt;&gt;"",AH23=""),AND(AR23&gt;=AS$31,AR23&lt;&gt;"",AH23=""),AND(BL23&gt;=BT$31,BL23&lt;&gt;"",BI23=""),AND(BO23&gt;=BT$31,BO23&lt;&gt;"",BI23=""),AND(BS23&gt;=BT$31,BS23&lt;&gt;"",BI23=""),AND(CM23&gt;=CU$31,CM23&lt;&gt;"",CJ23=""),AND(CP23&gt;=CU$31,CP23&lt;&gt;"",CJ23=""),AND(CT23&gt;=CU$31,CT23&lt;&gt;"",CJ23=""),AND(DT23&gt;=EE$31,DT23&lt;&gt;""),AND(DW23&gt;=EE$31,DW23&lt;&gt;""),AND(EA23&gt;=EE$31,EA23&lt;&gt;""),AND(ED23&gt;=EE$31,ED23&lt;&gt;""),AND(FB23&gt;=FM$31,FB23&lt;&gt;""),AND(FE23&gt;=FM$31,FE23&lt;&gt;""),AND(FI23&gt;=FM$31,FI23&lt;&gt;""),AND(FL23&gt;=FM$31,FL23&lt;&gt;""),AND(GJ23&gt;=GU$31,GJ23&lt;&gt;""),AND(GM23&gt;=GU$31,GM23&lt;&gt;""),AND(GQ23&gt;=GU$31,GQ23&lt;&gt;""),AND(GT23&gt;=GU$31,GT23&lt;&gt;""),AND(HR23&gt;=IC$31,HR23&lt;&gt;""),AND(HU23&gt;=IC$31,HU23&lt;&gt;""),AND(HY23&gt;=IC$31,HY23&lt;&gt;""),AND(IB23&gt;=IC$31,IB23&lt;&gt;""),AND(IZ23&gt;=JK$31,IZ23&lt;&gt;""),AND(JC23&gt;=JK$31,JC23&lt;&gt;""),AND(JG23&gt;=JK$31,JG23&lt;&gt;""),AND(JJ23&gt;=JK$31,JJ23&lt;&gt;""),AND(KH23&gt;=KS$31,KH23&lt;&gt;""),AND(KK23&gt;=KS$31,KK23&lt;&gt;""),AND(KO23&gt;=KS$31,KO23&lt;&gt;""),AND(KR23&gt;=KS$31,KR23&lt;&gt;""),AND(LP23&gt;=MA$31,LP23&lt;&gt;""),AND(LS23&gt;=MA$31,LS23&lt;&gt;""),AND(LW23&gt;=MA$31,LW23&lt;&gt;""),AND(LZ23&gt;=MA$31,LZ23&lt;&gt;""),AND(MX23&gt;=NI$31,MX23&lt;&gt;""),AND(NA23&gt;=NI$31,NA23&lt;&gt;""),AND(NE23&gt;=NI$31,NE23&lt;&gt;""),AND(NH23&gt;=NI$31,NH23&lt;&gt;""),AND(OF23&gt;=OQ$31,OF23&lt;&gt;""),AND(OI23&gt;=OQ$31,OI23&lt;&gt;""),AND(OM23&gt;=OQ$31,OM23&lt;&gt;""),AND(OP23&gt;=OQ$31,OP23&lt;&gt;""),AND(PN23&gt;=PY$31,PN23&lt;&gt;""),AND(PQ23&gt;=PY$31,PQ23&lt;&gt;""),AND(PU23&gt;=PY$31,PU23&lt;&gt;""),AND(PX23&gt;=PY$31,PX23&lt;&gt;""),AND(QV23&gt;=RG$31,QV23&lt;&gt;""),AND(QY23&gt;=RG$31,QY23&lt;&gt;""),AND(RC23&gt;=RG$31,RC23&lt;&gt;""),AND(RF23&gt;=RG$31,RF23&lt;&gt;""),AND(SD23&gt;=SO$31,SD23&lt;&gt;""),AND(SG23&gt;=SO$31,SG23&lt;&gt;""),AND(SK23&gt;=SO$31,SK23&lt;&gt;""),AND(SN23&gt;=SO$31,SN23&lt;&gt;""),AND(TL23&gt;=TW$31,TL23&lt;&gt;""),AND(TO23&gt;=TW$31,TO23&lt;&gt;""),AND(TS23&gt;=TW$31,TXQ23&lt;&gt;""),AND(TV23&gt;=TW$31,TV23&lt;&gt;""),AND(UT23&gt;=VE$31,UT23&lt;&gt;""),AND(UW23&gt;=VE$31,UW23&lt;&gt;""),AND(VA23&gt;=VE$31,VA23&lt;&gt;""),AND(VD23&gt;=VE$31,VD23&lt;&gt;""),AND(WB23&gt;=WM$31,WB23&lt;&gt;""),AND(WE23&gt;=WM$31,WE23&lt;&gt;""),AND(WI23&gt;=WM$31,WI23&lt;&gt;""),AND(WL23&gt;=WM$31,WL23&lt;&gt;"")),"P","")</f>
        <v/>
      </c>
      <c r="H23" s="32" t="str">
        <f>IF(AND(G23="P",F23=""),"No DD",IF(OR(AND(AI23&gt;=AS$30,AI23&lt;&gt;"",AK23&gt;=AS$34,AK23&lt;&gt;"",AH23=""),AND(AL23&gt;=AS$30,AL23&lt;&gt;"",AN23&gt;=AS$34,AN23&lt;&gt;"",AH23=""),AND(AP23&gt;=AS$30,AP23&lt;&gt;"",AR23&gt;=AS$34,AR23&lt;&gt;"",AH23=""),AND(BJ23&gt;=BT$30,BJ23&lt;&gt;"",BL23&gt;=BT$34,BL23&lt;&gt;"",BI23=""),AND(BM23&gt;=BT$30,BM23&lt;&gt;"",BO23&gt;=BT$34,BO23&lt;&gt;"",BI23=""),AND(BQ23&gt;=BT$30,BQ23&lt;&gt;"",BS23&gt;=BT$34,BS23&lt;&gt;"",BI23=""),AND(CK23&gt;=CU$30,CK23&lt;&gt;"",CM23&gt;=CU$34,CM23&lt;&gt;"",CJ23=""),AND(CN23&gt;=CU$30,CN23&lt;&gt;"",CP23&gt;=CU$34,CP23&lt;&gt;"",CJ23=""),AND(CR23&gt;=CU$30,CR23&lt;&gt;"",CT23&gt;=CU$34,CT23&lt;&gt;"",CJ23=""),AND(DR23&gt;=EE$30,DR23&lt;&gt;"",DT23&gt;=EE$34,DT23&lt;&gt;""),AND(DU23&gt;=EE$30,DU23&lt;&gt;"",DW23&gt;=EE$34,DW23&lt;&gt;""),AND(DY23&gt;=EE$30,DY23&lt;&gt;"",EA23&gt;=EE$34,EA23&lt;&gt;""),AND(EB23&gt;=EE$30,EB23&lt;&gt;"",ED23&gt;=EE$34,ED23&lt;&gt;""),AND(EZ23&gt;=FM$30,EZ23&lt;&gt;"",FB23&gt;=FM$34,FB23&lt;&gt;""),AND(FC23&gt;=FM$30,FC23&lt;&gt;"",FE23&gt;=FM$34,FE23&lt;&gt;""),AND(FG23&gt;=FM$30,FG23&lt;&gt;"",FI23&gt;=FM$34,FI23&lt;&gt;""),AND(FJ23&gt;=FM$30,FJ23&lt;&gt;"",FL23&gt;=FM$34,FL23&lt;&gt;""),AND(GH23&gt;=GU$30,GH23&lt;&gt;"",GJ23&gt;=GU$34,GJ23&lt;&gt;""),AND(GK23&gt;=GU$30,GK23&lt;&gt;"",GM23&gt;=GU$34,GM23&lt;&gt;""),AND(GO23&gt;=GU$30,GO23&lt;&gt;"",GQ23&gt;=GU$34,GQ23&lt;&gt;""),AND(GR23&gt;=GU$30,GR23&lt;&gt;"",GT23&gt;=GU$34,GT23&lt;&gt;""),AND(HP23&gt;=IC$30,HP23&lt;&gt;"",HR23&gt;=IC$34,HR23&lt;&gt;""),AND(HS23&gt;=IC$30,HS23&lt;&gt;"",HU23&gt;=IC$34,HU23&lt;&gt;""),AND(HW23&gt;=IC$30,HW23&lt;&gt;"",HY23&gt;=IC$34,HY23&lt;&gt;""),AND(HZ23&gt;=IC$30,HZ23&lt;&gt;"",IB23&gt;=IC$34,IB23&lt;&gt;""),AND(IX23&gt;=JK$30,IX23&lt;&gt;"",IZ23&gt;=JK$34,IZ23&lt;&gt;""),AND(JA23&gt;=JK$30,JA23&lt;&gt;"",JC23&gt;=JK$34,JC23&lt;&gt;""),AND(JE23&gt;=JK$30,JE23&lt;&gt;"",JG23&gt;=JK$34,JG23&lt;&gt;""),AND(JH23&gt;=JK$30,JH23&lt;&gt;"",JJ23&gt;=JK$34,JJ23&lt;&gt;""),AND(KF23&gt;=KS$30,KF23&lt;&gt;"",KH23&gt;=KS$34,KH23&lt;&gt;""),AND(KI23&gt;=KS$30,KI23&lt;&gt;"",KK23&gt;=KS$34,KK23&lt;&gt;""),AND(KM23&gt;=KS$30,KM23&lt;&gt;"",KO23&gt;=KS$34,KO23&lt;&gt;""),AND(KP23&gt;=KS$30,KP23&lt;&gt;"",KR23&gt;=KS$34,KR23&lt;&gt;""),AND(LN23&gt;=MA$30,LN23&lt;&gt;"",LP23&gt;=MA$34,LP23&lt;&gt;""),AND(LQ23&gt;=MA$30,LQ23&lt;&gt;"",LS23&gt;=MA$34,LS23&lt;&gt;""),AND(LU23&gt;=MA$30,LU23&lt;&gt;"",LW23&gt;=MA$34,LW23&lt;&gt;""),AND(LX23&gt;=MA$30,LX23&lt;&gt;"",LZ23&gt;=MA$34,LZ23&lt;&gt;""),AND(MV23&gt;=NI$30,MV23&lt;&gt;"",MX23&gt;=NI$34,MX23&lt;&gt;""),AND(MY23&gt;=NI$30,MY23&lt;&gt;"",NA23&gt;=NI$34,NA23&lt;&gt;""),AND(NC23&gt;=NI$30,NC23&lt;&gt;"",NE23&gt;=NI$34,NE23&lt;&gt;""),AND(NF23&gt;=NI$30,NF23&lt;&gt;"",NH23&gt;=NI$34,NH23&lt;&gt;""),AND(OD23&gt;=OQ$30,OD23&lt;&gt;"",OF23&gt;=OQ$34,OF23&lt;&gt;""),AND(OG23&gt;=OQ$30,OG23&lt;&gt;"",OI23&gt;=OQ$34,OI23&lt;&gt;""),AND(OK23&gt;=OQ$30,OK23&lt;&gt;"",OM23&gt;=OQ$34,OM23&lt;&gt;""),AND(ON23&gt;=OQ$30,ON23&lt;&gt;"",OP23&gt;=OQ$34,OP23&lt;&gt;""),AND(PL23&gt;=PY$30,PL23&lt;&gt;"",PN23&gt;=PY$34,PN23&lt;&gt;""),AND(PO23&gt;=PY$30,PO23&lt;&gt;"",PQ23&gt;=PY$34,PQ23&lt;&gt;""),AND(PS23&gt;=PY$30,PS23&lt;&gt;"",PU23&gt;=PY$34,PU23&lt;&gt;""),AND(PV23&gt;=PY$30,PV23&lt;&gt;"",PX23&gt;=PY$34,PX23&lt;&gt;""),AND(QT23&gt;=RG$30,QT23&lt;&gt;"",QV23&gt;=RG$34,QV23&lt;&gt;""),AND(QW23&gt;=RG$30,QW23&lt;&gt;"",QY23&gt;=RG$34,QY23&lt;&gt;""),AND(RA23&gt;=RG$30,RA23&lt;&gt;"",RC23&gt;=RG$34,RC23&lt;&gt;""),AND(RD23&gt;=RG$30,RD23&lt;&gt;"",RF23&gt;=RG$34,RF23&lt;&gt;""),AND(SB23&gt;=SO$30,SB23&lt;&gt;"",SD23&gt;=SO$34,SD23&lt;&gt;""),AND(SE23&gt;=SO$30,SE23&lt;&gt;"",SG23&gt;=SO$34,SG23&lt;&gt;""),AND(SI23&gt;=SO$30,SI23&lt;&gt;"",SK23&gt;=SO$34,SK23&lt;&gt;""),AND(SL23&gt;=SO$30,SL23&lt;&gt;"",SN23&gt;=SO$34,SN23&lt;&gt;""),AND(TJ23&gt;=TW$30,TJ23&lt;&gt;"",TL23&gt;=TW$34,TL23&lt;&gt;""),AND(TM23&gt;=TW$30,TM23&lt;&gt;"",TO23&gt;=TW$34,TO23&lt;&gt;""),AND(TQ23&gt;=TW$30,TQ23&lt;&gt;"",TS23&gt;=TW$354,TXQ23&lt;&gt;""),AND(TT23&gt;=TW$30,TT23&lt;&gt;"",TV23&gt;=TW$34,TV23&lt;&gt;""),AND(UR23&gt;=VE$30,UR23&lt;&gt;"",UT23&gt;=VE$34,UT23&lt;&gt;""),AND(UU23&gt;=VE$30,UU23&lt;&gt;"",UW23&gt;=VE$34,UW23&lt;&gt;""),AND(UY23&gt;=VE$30,UY23&lt;&gt;"",VA23&gt;=VE$34,VA23&lt;&gt;""),AND(VB23&gt;=VE$30,VB23&lt;&gt;"",VD23&gt;=VE$34,VD23&lt;&gt;""),AND(VZ23&gt;=WM$30,VZ23&lt;&gt;"",WB23&gt;=WM$34,WB23&lt;&gt;""),AND(WC23&gt;=WM$30,WC23&lt;&gt;"",WE23&gt;=WM$34,WE23&lt;&gt;""),AND(WG23&gt;=WM$30,WG23&lt;&gt;"",WI23&gt;=WM$34,WI23&lt;&gt;""),AND(WJ23&gt;=WM$30,WJ23&lt;&gt;"",WL23&gt;=WM$34,WL23&lt;&gt;"")),"Merit",IF(OR(AND(AI23&gt;=AS$29,AI23&lt;&gt;"",AK23&gt;=AS$33,AK23&lt;&gt;"",AH23=""),AND(AL23&gt;=AS$29,AL23&lt;&gt;"",AN23&gt;=AS$33,AN23&lt;&gt;"",AH23=""),AND(AP23&gt;=AS$29,AP23&lt;&gt;"",AR23&gt;=AS$33,AR23&lt;&gt;"",AH23=""),AND(BJ23&gt;=BT$29,BJ23&lt;&gt;"",BL23&gt;=BT$33,BL23&lt;&gt;"",BI23=""),AND(BM23&gt;=BT$29,BM23&lt;&gt;"",BO23&gt;=BT$33,BO23&lt;&gt;"",BI23=""),AND(BQ23&gt;=BT$29,BQ23&lt;&gt;"",BS23&gt;=BT$33,BS23&lt;&gt;"",BI23=""),AND(CK23&gt;=CU$29,CK23&lt;&gt;"",CM23&gt;=CU$33,CM23&lt;&gt;"",CJ23=""),AND(CN23&gt;=CU$29,CN23&lt;&gt;"",CP23&gt;=CU$33,CP23&lt;&gt;"",CJ23=""),AND(CR23&gt;=CU$29,CR23&lt;&gt;"",CT23&gt;=CU$33,CT23&lt;&gt;"",CJ23=""),AND(DR23&gt;=EE$29,DR23&lt;&gt;"",DT23&gt;=EE$33,DT23&lt;&gt;""),AND(DU23&gt;=EE$29,DU23&lt;&gt;"",DW23&gt;=EE$33,DW23&lt;&gt;""),AND(DY23&gt;=EE$29,DY23&lt;&gt;"",EA23&gt;=EE$33,EA23&lt;&gt;""),AND(EB23&gt;=EE$29,EB23&lt;&gt;"",ED23&gt;=EE$33,ED23&lt;&gt;""),AND(EZ23&gt;=FM$29,EZ23&lt;&gt;"",FB23&gt;=FM$33,FB23&lt;&gt;""),AND(FC23&gt;=FM$29,FC23&lt;&gt;"",FE23&gt;=FM$33,FE23&lt;&gt;""),AND(FG23&gt;=FM$29,FG23&lt;&gt;"",FI23&gt;=FM$33,FI23&lt;&gt;""),AND(FJ23&gt;=FM$29,FJ23&lt;&gt;"",FL23&gt;=FM$33,FL23&lt;&gt;""),AND(GH23&gt;=GU$29,GH23&lt;&gt;"",GJ23&gt;=GU$33,GJ23&lt;&gt;""),AND(GK23&gt;=GU$29,GK23&lt;&gt;"",GM23&gt;=GU$33,GM23&lt;&gt;""),AND(GO23&gt;=GU$29,GO23&lt;&gt;"",GQ23&gt;=GU$33,GQ23&lt;&gt;""),AND(GR23&gt;=GU$29,GR23&lt;&gt;"",GT23&gt;=GU$33,GT23&lt;&gt;""),AND(HP23&gt;=IC$29,HP23&lt;&gt;"",HR23&gt;=IC$33,HR23&lt;&gt;""),AND(HS23&gt;=IC$29,HS23&lt;&gt;"",HU23&gt;=IC$33,HU23&lt;&gt;""),AND(HW23&gt;=IC$29,HW23&lt;&gt;"",HY23&gt;=IC$33,HY23&lt;&gt;""),AND(HZ23&gt;=IC$29,HZ23&lt;&gt;"",IB23&gt;=IC$33,IB23&lt;&gt;""),AND(IX23&gt;=JK$29,IX23&lt;&gt;"",IZ23&gt;=JK$33,IZ23&lt;&gt;""),AND(JA23&gt;=JK$29,JA23&lt;&gt;"",JC23&gt;=JK$33,JC23&lt;&gt;""),AND(JE23&gt;=JK$29,JE23&lt;&gt;"",JG23&gt;=JK$33,JG23&lt;&gt;""),AND(JH23&gt;=JK$29,JH23&lt;&gt;"",JJ23&gt;=JK$33,JJ23&lt;&gt;""),AND(KF23&gt;=KS$29,KF23&lt;&gt;"",KH23&gt;=KS$33,KH23&lt;&gt;""),AND(KI23&gt;=KS$29,KI23&lt;&gt;"",KK23&gt;=KS$33,KK23&lt;&gt;""),AND(KM23&gt;=KS$29,KM23&lt;&gt;"",KO23&gt;=KS$33,KO23&lt;&gt;""),AND(KP23&gt;=KS$29,KP23&lt;&gt;"",KR23&gt;=KS$33,KR23&lt;&gt;""),AND(LN23&gt;=MA$29,LN23&lt;&gt;"",LP23&gt;=MA$33,LP23&lt;&gt;""),AND(LQ23&gt;=MA$29,LQ23&lt;&gt;"",LS23&gt;=MA$33,LS23&lt;&gt;""),AND(LU23&gt;=MA$29,LU23&lt;&gt;"",LW23&gt;=MA$33,LW23&lt;&gt;""),AND(LX23&gt;=MA$29,LX23&lt;&gt;"",LZ23&gt;=MA$33,LZ23&lt;&gt;""),AND(MV23&gt;=NI$29,MV23&lt;&gt;"",MX23&gt;=NI$33,MX23&lt;&gt;""),AND(MY23&gt;=NI$29,MY23&lt;&gt;"",NA23&gt;=NI$33,NA23&lt;&gt;""),AND(NC23&gt;=NI$29,NC23&lt;&gt;"",NE23&gt;=NI$33,NE23&lt;&gt;""),AND(NF23&gt;=NI$29,NF23&lt;&gt;"",NH23&gt;=NI$33,NH23&lt;&gt;""),AND(OD23&gt;=OQ$29,OD23&lt;&gt;"",OF23&gt;=OQ$33,OF23&lt;&gt;""),AND(OG23&gt;=OQ$29,OG23&lt;&gt;"",OI23&gt;=OQ$33,OI23&lt;&gt;""),AND(OK23&gt;=OQ$29,OK23&lt;&gt;"",OM23&gt;=OQ$33,OM23&lt;&gt;""),AND(ON23&gt;=OQ$29,ON23&lt;&gt;"",OP23&gt;=OQ$33,OP23&lt;&gt;""),AND(PL23&gt;=PY$29,PL23&lt;&gt;"",PN23&gt;=PY$33,PN23&lt;&gt;""),AND(PO23&gt;=PY$29,PO23&lt;&gt;"",PQ23&gt;=PY$33,PQ23&lt;&gt;""),AND(PS23&gt;=PY$29,PS23&lt;&gt;"",PU23&gt;=PY$33,PU23&lt;&gt;""),AND(PV23&gt;=PY$29,PV23&lt;&gt;"",PX23&gt;=PY$33,PX23&lt;&gt;""),AND(QT23&gt;=RG$29,QT23&lt;&gt;"",QV23&gt;=RG$33,QV23&lt;&gt;""),AND(QW23&gt;=RG$29,QW23&lt;&gt;"",QY23&gt;=RG$33,QY23&lt;&gt;""),AND(RA23&gt;=RG$29,RA23&lt;&gt;"",RC23&gt;=RG$33,RC23&lt;&gt;""),AND(RD23&gt;=RG$29,RD23&lt;&gt;"",RF23&gt;=RG$33,RF23&lt;&gt;""),AND(SB23&gt;=SO$29,SB23&lt;&gt;"",SD23&gt;=SO$33,SD23&lt;&gt;""),AND(SE23&gt;=SO$29,SE23&lt;&gt;"",SG23&gt;=SO$33,SG23&lt;&gt;""),AND(SI23&gt;=SO$29,SI23&lt;&gt;"",SK23&gt;=SO$33,SK23&lt;&gt;""),AND(SL23&gt;=SO$29,SL23&lt;&gt;"",SN23&gt;=SO$33,SN23&lt;&gt;""),AND(TJ23&gt;=TW$29,TJ23&lt;&gt;"",TL23&gt;=TW$33,TL23&lt;&gt;""),AND(TM23&gt;=TW$29,TM23&lt;&gt;"",TO23&gt;=TW$33,TO23&lt;&gt;""),AND(TQ23&gt;=TW$29,TQ23&lt;&gt;"",TS23&gt;=TW$33,TXQ23&lt;&gt;""),AND(TT23&gt;=TW$29,TT23&lt;&gt;"",TV23&gt;=TW$33,TV23&lt;&gt;""),AND(UR23&gt;=VE$29,UR23&lt;&gt;"",UT23&gt;=VE$33,UT23&lt;&gt;""),AND(UU23&gt;=VE$29,UU23&lt;&gt;"",UW23&gt;=VE$33,UW23&lt;&gt;""),AND(UY23&gt;=VE$29,UY23&lt;&gt;"",VA23&gt;=VE$33,VA23&lt;&gt;""),AND(VB23&gt;=VE$29,VB23&lt;&gt;"",VD23&gt;=VE$33,VD23&lt;&gt;""),AND(VZ23&gt;=WM$29,VZ23&lt;&gt;"",WB23&gt;=WM$33,WB23&lt;&gt;""),AND(WC23&gt;=WM$29,WC23&lt;&gt;"",WE23&gt;=WM$33,WE23&lt;&gt;""),AND(WG23&gt;=WM$29,WG23&lt;&gt;"",WI23&gt;=WM$33,WI23&lt;&gt;""),AND(WJ23&gt;=WM$29,WJ23&lt;&gt;"",WL23&gt;=WM$33,WL23&lt;&gt;"")),"Excellence",IF(I23="P","Worlds Team",IF(F23="P","National Team","")))))</f>
        <v/>
      </c>
      <c r="I23" s="3" t="str">
        <f>IF(OR(AND(AI23&gt;=AS$28,AI23&lt;&gt;"",AK23&gt;=AS$32,AK23&lt;&gt;"",AH23=""),AND(AL23&gt;=AS$28,AL23&lt;&gt;"",AN23&gt;=AS$32,AN23&lt;&gt;"",AH23=""),AND(AP23&gt;=AS$28,AP23&lt;&gt;"",AR23&gt;=AS$32,AR23&lt;&gt;"",AH23=""),AND(BJ23&gt;=BT$28,BJ23&lt;&gt;"",BL23&gt;=BT$32,BL23&lt;&gt;"",BI23=""),AND(BM23&gt;=BT$28,BM23&lt;&gt;"",BO23&gt;=BT$32,BO23&lt;&gt;"",BI23=""),AND(BQ23&gt;=BT$28,BQ23&lt;&gt;"",BS23&gt;=BT$32,BS23&lt;&gt;"",BI23=""),AND(CK23&gt;=CU$28,CK23&lt;&gt;"",CM23&gt;=CU$32,CM23&lt;&gt;"",CJ23=""),AND(CN23&gt;=CU$28,CN23&lt;&gt;"",CP23&gt;=CU$32,CP23&lt;&gt;"",CJ23=""),AND(CR23&gt;=CU$28,CR23&lt;&gt;"",CT23&gt;=CU$32,CT23&lt;&gt;"",CJ23=""),AND(DR23&gt;=EE$28,DR23&lt;&gt;"",DT23&gt;=EE$32,DT23&lt;&gt;""),AND(DU23&gt;=EE$28,DU23&lt;&gt;"",DW23&gt;=EE$32,DW23&lt;&gt;""),AND(DY23&gt;=EE$28,DY23&lt;&gt;"",EA23&gt;=EE$32,EA23&lt;&gt;""),AND(EB23&gt;=EE$28,EB23&lt;&gt;"",ED23&gt;=EE$32,ED23&lt;&gt;""),AND(EZ23&gt;=FM$28,EZ23&lt;&gt;"",FB23&gt;=FM$32,FB23&lt;&gt;""),AND(FC23&gt;=FM$28,FC23&lt;&gt;"",FE23&gt;=FM$32,FE23&lt;&gt;""),AND(FG23&gt;=FM$28,FG23&lt;&gt;"",FI23&gt;=FM$32,FI23&lt;&gt;""),AND(FJ23&gt;=FM$28,FJ23&lt;&gt;"",FL23&gt;=FM$32,FL23&lt;&gt;""),AND(GH23&gt;=GU$28,GH23&lt;&gt;"",GJ23&gt;=GU$32,GJ23&lt;&gt;""),AND(GK23&gt;=GU$28,GK23&lt;&gt;"",GM23&gt;=GU$32,GM23&lt;&gt;""),AND(GO23&gt;=GU$28,GO23&lt;&gt;"",GQ23&gt;=GU$32,GQ23&lt;&gt;""),AND(GR23&gt;=GU$28,GR23&lt;&gt;"",GT23&gt;=GU$32,GT23&lt;&gt;""),AND(HP23&gt;=IC$28,HP23&lt;&gt;"",HR23&gt;=IC$32,HR23&lt;&gt;""),AND(HS23&gt;=IC$28,HS23&lt;&gt;"",HU23&gt;=IC$32,HU23&lt;&gt;""),AND(HW23&gt;=IC$28,HW23&lt;&gt;"",HY23&gt;=IC$32,HY23&lt;&gt;""),AND(HZ23&gt;=IC$28,HZ23&lt;&gt;"",IB23&gt;=IC$32,IB23&lt;&gt;""),AND(IX23&gt;=JK$28,IX23&lt;&gt;"",IZ23&gt;=JK$32,IZ23&lt;&gt;""),AND(JA23&gt;=JK$28,JA23&lt;&gt;"",JC23&gt;=JK$32,JC23&lt;&gt;""),AND(JE23&gt;=JK$28,JE23&lt;&gt;"",JG23&gt;=JK$32,JG23&lt;&gt;""),AND(JH23&gt;=JK$28,JH23&lt;&gt;"",JJ23&gt;=JK$32,JJ23&lt;&gt;""),AND(KF23&gt;=KS$28,KF23&lt;&gt;"",KH23&gt;=KS$32,KH23&lt;&gt;""),AND(KI23&gt;=KS$28,KI23&lt;&gt;"",KK23&gt;=KS$32,KK23&lt;&gt;""),AND(KM23&gt;=KS$28,KM23&lt;&gt;"",KO23&gt;=KS$32,KO23&lt;&gt;""),AND(KP23&gt;=KS$28,KP23&lt;&gt;"",KR23&gt;=KS$32,KR23&lt;&gt;""),AND(LN23&gt;=MA$28,LN23&lt;&gt;"",LP23&gt;=MA$32,LP23&lt;&gt;""),AND(LQ23&gt;=MA$28,LQ23&lt;&gt;"",LS23&gt;=MA$32,LS23&lt;&gt;""),AND(LU23&gt;=MA$28,LU23&lt;&gt;"",LW23&gt;=MA$32,LW23&lt;&gt;""),AND(LX23&gt;=MA$28,LX23&lt;&gt;"",LZ23&gt;=MA$32,LZ23&lt;&gt;""),AND(MV23&gt;=NI$28,MV23&lt;&gt;"",MX23&gt;=NI$32,MX23&lt;&gt;""),AND(MY23&gt;=NI$28,MY23&lt;&gt;"",NA23&gt;=NI$32,NA23&lt;&gt;""),AND(NC23&gt;=NI$28,NC23&lt;&gt;"",NE23&gt;=NI$32,NE23&lt;&gt;""),AND(NF23&gt;=NI$28,NF23&lt;&gt;"",NH23&gt;=NI$32,NH23&lt;&gt;""),AND(OD23&gt;=OQ$28,OD23&lt;&gt;"",OF23&gt;=OQ$32,OF23&lt;&gt;""),AND(OG23&gt;=OQ$28,OG23&lt;&gt;"",OI23&gt;=OQ$32,OI23&lt;&gt;""),AND(OK23&gt;=OQ$28,OK23&lt;&gt;"",OM23&gt;=OQ$32,OM23&lt;&gt;""),AND(ON23&gt;=OQ$28,ON23&lt;&gt;"",OP23&gt;=OQ$32,OP23&lt;&gt;""),AND(PL23&gt;=PY$28,PL23&lt;&gt;"",PN23&gt;=PY$32,PN23&lt;&gt;""),AND(PO23&gt;=PY$28,PO23&lt;&gt;"",PQ23&gt;=PY$32,PQ23&lt;&gt;""),AND(PS23&gt;=PY$28,PS23&lt;&gt;"",PU23&gt;=PY$32,PU23&lt;&gt;""),AND(PV23&gt;=PY$28,PV23&lt;&gt;"",PX23&gt;=PY$32,PX23&lt;&gt;""),AND(QT23&gt;=RG$28,QT23&lt;&gt;"",QV23&gt;=RG$32,QV23&lt;&gt;""),AND(QW23&gt;=RG$28,QW23&lt;&gt;"",QY23&gt;=RG$32,QY23&lt;&gt;""),AND(RA23&gt;=RG$28,RA23&lt;&gt;"",RC23&gt;=RG$32,RC23&lt;&gt;""),AND(RD23&gt;=RG$28,RD23&lt;&gt;"",RF23&gt;=RG$32,RF23&lt;&gt;""),AND(SB23&gt;=SO$28,SB23&lt;&gt;"",SD23&gt;=SO$32,SD23&lt;&gt;""),AND(SE23&gt;=SO$28,SE23&lt;&gt;"",SG23&gt;=SO$32,SG23&lt;&gt;""),AND(SI23&gt;=SO$28,SI23&lt;&gt;"",SK23&gt;=SO$32,SK23&lt;&gt;""),AND(SL23&gt;=SO$28,SL23&lt;&gt;"",SN23&gt;=SO$32,SN23&lt;&gt;""),AND(TJ23&gt;=TW$28,TJ23&lt;&gt;"",TL23&gt;=TW$32,TL23&lt;&gt;""),AND(TM23&gt;=TW$28,TM23&lt;&gt;"",TO23&gt;=TW$32,TO23&lt;&gt;""),AND(TQ23&gt;=TW$28,TQ23&lt;&gt;"",TS23&gt;=TW$32,TXQ23&lt;&gt;""),AND(TT23&gt;=TW$28,TT23&lt;&gt;"",TV23&gt;=TW$32,TV23&lt;&gt;""),AND(UR23&gt;=VE$28,UR23&lt;&gt;"",UT23&gt;=VE$32,UT23&lt;&gt;""),AND(UU23&gt;=VE$28,UU23&lt;&gt;"",UW23&gt;=VE$32,UW23&lt;&gt;""),AND(UY23&gt;=VE$28,UY23&lt;&gt;"",VA23&gt;=VE$32,VA23&lt;&gt;""),AND(VB23&gt;=VE$28,VB23&lt;&gt;"",VD23&gt;=VE$32,VD23&lt;&gt;""),AND(VZ23&gt;=WM$28,VZ23&lt;&gt;"",WB23&gt;=WM$32,WB23&lt;&gt;""),AND(WC23&gt;=WM$28,WC23&lt;&gt;"",WE23&gt;=WM$32,WE23&lt;&gt;""),AND(WG23&gt;=WM$28,WG23&lt;&gt;"",WI23&gt;=WM$32,WI23&lt;&gt;""),AND(WJ23&gt;=WM$28,WJ23&lt;&gt;"",WL23&gt;=WM$32,WL23&lt;&gt;"")),"P","")</f>
        <v/>
      </c>
      <c r="J23" s="8">
        <f t="shared" si="1"/>
        <v>0</v>
      </c>
      <c r="K23" s="8" t="str">
        <f t="shared" si="2"/>
        <v/>
      </c>
      <c r="L23" s="8">
        <f>IFERROR(IF(J23=AR23,LARGE((AK23,AN23,BL23,BO23,BS23,CM23,CP23,CT23),1),IF(J23=BS23,LARGE((AK23,AN23,AR23,BL23,BO23,CM23,CP23,CT23),1),LARGE((AK23,AN23,AR23,BL23,BO23,BS23,CM23,CP23),1))),0)</f>
        <v>46.72</v>
      </c>
      <c r="M23" s="8" t="str">
        <f t="shared" si="3"/>
        <v>2026 Elite Canada</v>
      </c>
      <c r="N23" s="8">
        <f>IFERROR(IF(J23=AR23,LARGE((AK23,AN23,BL23,BO23,BS23,CM23,CP23,CT23),2),IF(J23=BS23,LARGE((AK23,AN23,AR23,BL23,BO23,CM23,CP23,CT23),2),LARGE((AK23,AN23,AR23,BL23,BO23,BS23,CM23,CP23),2))),0)</f>
        <v>25.74</v>
      </c>
      <c r="O23" s="8" t="str">
        <f t="shared" si="4"/>
        <v>2026 Elite Canada</v>
      </c>
      <c r="P23" s="8">
        <f t="shared" si="5"/>
        <v>0</v>
      </c>
      <c r="Q23" s="11" t="str">
        <f t="shared" si="6"/>
        <v/>
      </c>
      <c r="R23" s="8" t="str">
        <f t="shared" si="7"/>
        <v/>
      </c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23"/>
      <c r="AI23" s="34" t="str">
        <f t="shared" si="8"/>
        <v/>
      </c>
      <c r="AJ23" s="34" t="str">
        <f t="shared" si="9"/>
        <v/>
      </c>
      <c r="AK23" s="36" t="str">
        <f t="shared" si="10"/>
        <v/>
      </c>
      <c r="AL23" s="36" t="str">
        <f t="shared" si="11"/>
        <v/>
      </c>
      <c r="AM23" s="36" t="str">
        <f t="shared" si="12"/>
        <v/>
      </c>
      <c r="AN23" s="36" t="str">
        <f t="shared" si="13"/>
        <v/>
      </c>
      <c r="AO23" s="36" t="str">
        <f t="shared" si="14"/>
        <v/>
      </c>
      <c r="AP23" s="36" t="str">
        <f t="shared" si="15"/>
        <v/>
      </c>
      <c r="AQ23" s="36" t="str">
        <f t="shared" si="16"/>
        <v/>
      </c>
      <c r="AR23" s="36" t="str">
        <f t="shared" si="17"/>
        <v/>
      </c>
      <c r="AS23" s="36" t="str">
        <f t="shared" si="18"/>
        <v/>
      </c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4"/>
      <c r="BJ23" s="35" t="str">
        <f t="shared" si="19"/>
        <v/>
      </c>
      <c r="BK23" s="35" t="str">
        <f t="shared" si="20"/>
        <v/>
      </c>
      <c r="BL23" s="11" t="str">
        <f t="shared" si="21"/>
        <v/>
      </c>
      <c r="BM23" s="11" t="str">
        <f t="shared" si="22"/>
        <v/>
      </c>
      <c r="BN23" s="11" t="str">
        <f t="shared" si="23"/>
        <v/>
      </c>
      <c r="BO23" s="11" t="str">
        <f t="shared" si="24"/>
        <v/>
      </c>
      <c r="BP23" s="11" t="str">
        <f t="shared" si="25"/>
        <v/>
      </c>
      <c r="BQ23" s="11" t="str">
        <f t="shared" si="26"/>
        <v/>
      </c>
      <c r="BR23" s="11" t="str">
        <f t="shared" si="27"/>
        <v/>
      </c>
      <c r="BS23" s="11" t="str">
        <f t="shared" si="28"/>
        <v/>
      </c>
      <c r="BT23" s="11" t="str">
        <f t="shared" si="29"/>
        <v/>
      </c>
      <c r="BU23" s="18">
        <v>6.4</v>
      </c>
      <c r="BV23" s="18">
        <v>4.4000000000000004</v>
      </c>
      <c r="BW23" s="18">
        <v>7.1</v>
      </c>
      <c r="BX23" s="18">
        <v>7.84</v>
      </c>
      <c r="BY23" s="18">
        <v>0</v>
      </c>
      <c r="BZ23" s="18">
        <v>11.6</v>
      </c>
      <c r="CA23" s="18">
        <v>8.9</v>
      </c>
      <c r="CB23" s="18">
        <v>13</v>
      </c>
      <c r="CC23" s="18">
        <v>14.72</v>
      </c>
      <c r="CD23" s="18">
        <v>1.5</v>
      </c>
      <c r="CE23" s="18"/>
      <c r="CF23" s="18"/>
      <c r="CG23" s="18"/>
      <c r="CH23" s="18"/>
      <c r="CI23" s="18"/>
      <c r="CJ23" s="23"/>
      <c r="CK23" s="34">
        <f t="shared" si="30"/>
        <v>7.1</v>
      </c>
      <c r="CL23" s="34">
        <f t="shared" si="31"/>
        <v>7.84</v>
      </c>
      <c r="CM23" s="36">
        <f t="shared" si="32"/>
        <v>25.74</v>
      </c>
      <c r="CN23" s="36">
        <f t="shared" si="33"/>
        <v>13</v>
      </c>
      <c r="CO23" s="36">
        <f t="shared" si="34"/>
        <v>14.72</v>
      </c>
      <c r="CP23" s="36">
        <f t="shared" si="35"/>
        <v>46.72</v>
      </c>
      <c r="CQ23" s="36">
        <f t="shared" si="36"/>
        <v>46.72</v>
      </c>
      <c r="CR23" s="36" t="str">
        <f t="shared" si="37"/>
        <v/>
      </c>
      <c r="CS23" s="36" t="str">
        <f t="shared" si="38"/>
        <v/>
      </c>
      <c r="CT23" s="36" t="str">
        <f t="shared" si="39"/>
        <v/>
      </c>
      <c r="CU23" s="36">
        <f t="shared" si="40"/>
        <v>46.72</v>
      </c>
      <c r="CV23" s="47" t="str">
        <f t="shared" si="41"/>
        <v/>
      </c>
      <c r="CW23" s="47" t="str">
        <f t="shared" si="42"/>
        <v/>
      </c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36" t="str">
        <f t="shared" si="43"/>
        <v/>
      </c>
      <c r="DS23" s="36" t="str">
        <f t="shared" si="44"/>
        <v/>
      </c>
      <c r="DT23" s="36" t="str">
        <f t="shared" si="45"/>
        <v/>
      </c>
      <c r="DU23" s="36" t="str">
        <f t="shared" si="46"/>
        <v/>
      </c>
      <c r="DV23" s="36" t="str">
        <f t="shared" si="47"/>
        <v/>
      </c>
      <c r="DW23" s="36" t="str">
        <f t="shared" si="48"/>
        <v/>
      </c>
      <c r="DX23" s="36" t="str">
        <f t="shared" si="49"/>
        <v/>
      </c>
      <c r="DY23" s="36" t="str">
        <f t="shared" si="50"/>
        <v/>
      </c>
      <c r="DZ23" s="36" t="str">
        <f t="shared" si="51"/>
        <v/>
      </c>
      <c r="EA23" s="36" t="str">
        <f t="shared" si="52"/>
        <v/>
      </c>
      <c r="EB23" s="36" t="str">
        <f t="shared" si="53"/>
        <v/>
      </c>
      <c r="EC23" s="36" t="str">
        <f t="shared" si="54"/>
        <v/>
      </c>
      <c r="ED23" s="36" t="str">
        <f t="shared" si="55"/>
        <v/>
      </c>
      <c r="EE23" s="36" t="str">
        <f t="shared" si="56"/>
        <v/>
      </c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1" t="str">
        <f t="shared" si="57"/>
        <v/>
      </c>
      <c r="FA23" s="11" t="str">
        <f t="shared" si="58"/>
        <v/>
      </c>
      <c r="FB23" s="11" t="str">
        <f t="shared" si="59"/>
        <v/>
      </c>
      <c r="FC23" s="11" t="str">
        <f t="shared" si="60"/>
        <v/>
      </c>
      <c r="FD23" s="11" t="str">
        <f t="shared" si="61"/>
        <v/>
      </c>
      <c r="FE23" s="11" t="str">
        <f t="shared" si="62"/>
        <v/>
      </c>
      <c r="FF23" s="11" t="str">
        <f t="shared" si="63"/>
        <v/>
      </c>
      <c r="FG23" s="11" t="str">
        <f t="shared" si="64"/>
        <v/>
      </c>
      <c r="FH23" s="11" t="str">
        <f t="shared" si="65"/>
        <v/>
      </c>
      <c r="FI23" s="11" t="str">
        <f t="shared" si="66"/>
        <v/>
      </c>
      <c r="FJ23" s="11" t="str">
        <f t="shared" si="67"/>
        <v/>
      </c>
      <c r="FK23" s="11" t="str">
        <f t="shared" si="68"/>
        <v/>
      </c>
      <c r="FL23" s="11" t="str">
        <f t="shared" si="69"/>
        <v/>
      </c>
      <c r="FM23" s="11" t="str">
        <f t="shared" si="70"/>
        <v/>
      </c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36" t="str">
        <f t="shared" si="71"/>
        <v/>
      </c>
      <c r="GI23" s="36" t="str">
        <f t="shared" si="72"/>
        <v/>
      </c>
      <c r="GJ23" s="36" t="str">
        <f t="shared" si="73"/>
        <v/>
      </c>
      <c r="GK23" s="36" t="str">
        <f t="shared" si="74"/>
        <v/>
      </c>
      <c r="GL23" s="36" t="str">
        <f t="shared" si="75"/>
        <v/>
      </c>
      <c r="GM23" s="36" t="str">
        <f t="shared" si="76"/>
        <v/>
      </c>
      <c r="GN23" s="36" t="str">
        <f t="shared" si="77"/>
        <v/>
      </c>
      <c r="GO23" s="36" t="str">
        <f t="shared" si="78"/>
        <v/>
      </c>
      <c r="GP23" s="36" t="str">
        <f t="shared" si="79"/>
        <v/>
      </c>
      <c r="GQ23" s="36" t="str">
        <f t="shared" si="80"/>
        <v/>
      </c>
      <c r="GR23" s="36" t="str">
        <f t="shared" si="81"/>
        <v/>
      </c>
      <c r="GS23" s="36" t="str">
        <f t="shared" si="82"/>
        <v/>
      </c>
      <c r="GT23" s="36" t="str">
        <f t="shared" si="83"/>
        <v/>
      </c>
      <c r="GU23" s="36" t="str">
        <f t="shared" si="84"/>
        <v/>
      </c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6"/>
      <c r="HN23" s="16"/>
      <c r="HO23" s="16"/>
      <c r="HP23" s="11" t="str">
        <f t="shared" si="85"/>
        <v/>
      </c>
      <c r="HQ23" s="11" t="str">
        <f t="shared" si="86"/>
        <v/>
      </c>
      <c r="HR23" s="11" t="str">
        <f t="shared" si="87"/>
        <v/>
      </c>
      <c r="HS23" s="11" t="str">
        <f t="shared" si="88"/>
        <v/>
      </c>
      <c r="HT23" s="11" t="str">
        <f t="shared" si="89"/>
        <v/>
      </c>
      <c r="HU23" s="11" t="str">
        <f t="shared" si="90"/>
        <v/>
      </c>
      <c r="HV23" s="11" t="str">
        <f t="shared" si="91"/>
        <v/>
      </c>
      <c r="HW23" s="11" t="str">
        <f t="shared" si="92"/>
        <v/>
      </c>
      <c r="HX23" s="11" t="str">
        <f t="shared" si="93"/>
        <v/>
      </c>
      <c r="HY23" s="11" t="str">
        <f t="shared" si="94"/>
        <v/>
      </c>
      <c r="HZ23" s="11" t="str">
        <f t="shared" si="95"/>
        <v/>
      </c>
      <c r="IA23" s="11" t="str">
        <f t="shared" si="96"/>
        <v/>
      </c>
      <c r="IB23" s="11" t="str">
        <f t="shared" si="97"/>
        <v/>
      </c>
      <c r="IC23" s="11" t="str">
        <f t="shared" si="98"/>
        <v/>
      </c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36" t="str">
        <f t="shared" si="99"/>
        <v/>
      </c>
      <c r="IY23" s="36" t="str">
        <f t="shared" si="100"/>
        <v/>
      </c>
      <c r="IZ23" s="36" t="str">
        <f t="shared" si="101"/>
        <v/>
      </c>
      <c r="JA23" s="36" t="str">
        <f t="shared" si="102"/>
        <v/>
      </c>
      <c r="JB23" s="36" t="str">
        <f t="shared" si="103"/>
        <v/>
      </c>
      <c r="JC23" s="36" t="str">
        <f t="shared" si="104"/>
        <v/>
      </c>
      <c r="JD23" s="36" t="str">
        <f t="shared" si="105"/>
        <v/>
      </c>
      <c r="JE23" s="36" t="str">
        <f t="shared" si="106"/>
        <v/>
      </c>
      <c r="JF23" s="36" t="str">
        <f t="shared" si="107"/>
        <v/>
      </c>
      <c r="JG23" s="36" t="str">
        <f t="shared" si="108"/>
        <v/>
      </c>
      <c r="JH23" s="36" t="str">
        <f t="shared" si="109"/>
        <v/>
      </c>
      <c r="JI23" s="36" t="str">
        <f t="shared" si="110"/>
        <v/>
      </c>
      <c r="JJ23" s="36" t="str">
        <f t="shared" si="111"/>
        <v/>
      </c>
      <c r="JK23" s="36" t="str">
        <f t="shared" si="112"/>
        <v/>
      </c>
      <c r="JL23" s="16"/>
      <c r="JM23" s="16"/>
      <c r="JN23" s="16"/>
      <c r="JO23" s="16"/>
      <c r="JP23" s="16"/>
      <c r="JQ23" s="16"/>
      <c r="JR23" s="16"/>
      <c r="JS23" s="16"/>
      <c r="JT23" s="16"/>
      <c r="JU23" s="16"/>
      <c r="JV23" s="16"/>
      <c r="JW23" s="16"/>
      <c r="JX23" s="16"/>
      <c r="JY23" s="16"/>
      <c r="JZ23" s="16"/>
      <c r="KA23" s="16"/>
      <c r="KB23" s="16"/>
      <c r="KC23" s="16"/>
      <c r="KD23" s="16"/>
      <c r="KE23" s="16"/>
      <c r="KF23" s="11" t="str">
        <f t="shared" si="113"/>
        <v/>
      </c>
      <c r="KG23" s="11" t="str">
        <f t="shared" si="114"/>
        <v/>
      </c>
      <c r="KH23" s="11" t="str">
        <f t="shared" si="115"/>
        <v/>
      </c>
      <c r="KI23" s="11" t="str">
        <f t="shared" si="116"/>
        <v/>
      </c>
      <c r="KJ23" s="11" t="str">
        <f t="shared" si="117"/>
        <v/>
      </c>
      <c r="KK23" s="11" t="str">
        <f t="shared" si="118"/>
        <v/>
      </c>
      <c r="KL23" s="11" t="str">
        <f t="shared" si="119"/>
        <v/>
      </c>
      <c r="KM23" s="11" t="str">
        <f t="shared" si="120"/>
        <v/>
      </c>
      <c r="KN23" s="11" t="str">
        <f t="shared" si="121"/>
        <v/>
      </c>
      <c r="KO23" s="11" t="str">
        <f t="shared" si="122"/>
        <v/>
      </c>
      <c r="KP23" s="11" t="str">
        <f t="shared" si="123"/>
        <v/>
      </c>
      <c r="KQ23" s="11" t="str">
        <f t="shared" si="124"/>
        <v/>
      </c>
      <c r="KR23" s="11" t="str">
        <f t="shared" si="125"/>
        <v/>
      </c>
      <c r="KS23" s="11" t="str">
        <f t="shared" si="126"/>
        <v/>
      </c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36" t="str">
        <f t="shared" si="127"/>
        <v/>
      </c>
      <c r="LO23" s="36" t="str">
        <f t="shared" si="128"/>
        <v/>
      </c>
      <c r="LP23" s="36" t="str">
        <f t="shared" si="129"/>
        <v/>
      </c>
      <c r="LQ23" s="36" t="str">
        <f t="shared" si="130"/>
        <v/>
      </c>
      <c r="LR23" s="36" t="str">
        <f t="shared" si="131"/>
        <v/>
      </c>
      <c r="LS23" s="36" t="str">
        <f t="shared" si="132"/>
        <v/>
      </c>
      <c r="LT23" s="36" t="str">
        <f t="shared" si="133"/>
        <v/>
      </c>
      <c r="LU23" s="36" t="str">
        <f t="shared" si="134"/>
        <v/>
      </c>
      <c r="LV23" s="36" t="str">
        <f t="shared" si="135"/>
        <v/>
      </c>
      <c r="LW23" s="36" t="str">
        <f t="shared" si="136"/>
        <v/>
      </c>
      <c r="LX23" s="36" t="str">
        <f t="shared" si="137"/>
        <v/>
      </c>
      <c r="LY23" s="36" t="str">
        <f t="shared" si="138"/>
        <v/>
      </c>
      <c r="LZ23" s="36" t="str">
        <f t="shared" si="139"/>
        <v/>
      </c>
      <c r="MA23" s="36" t="str">
        <f t="shared" si="140"/>
        <v/>
      </c>
      <c r="MB23" s="16"/>
      <c r="MC23" s="16"/>
      <c r="MD23" s="16"/>
      <c r="ME23" s="16"/>
      <c r="MF23" s="16"/>
      <c r="MG23" s="16"/>
      <c r="MH23" s="16"/>
      <c r="MI23" s="16"/>
      <c r="MJ23" s="16"/>
      <c r="MK23" s="16"/>
      <c r="ML23" s="16"/>
      <c r="MM23" s="16"/>
      <c r="MN23" s="16"/>
      <c r="MO23" s="16"/>
      <c r="MP23" s="16"/>
      <c r="MQ23" s="16"/>
      <c r="MR23" s="16"/>
      <c r="MS23" s="16"/>
      <c r="MT23" s="16"/>
      <c r="MU23" s="16"/>
      <c r="MV23" s="11" t="str">
        <f t="shared" si="141"/>
        <v/>
      </c>
      <c r="MW23" s="11" t="str">
        <f t="shared" si="142"/>
        <v/>
      </c>
      <c r="MX23" s="11" t="str">
        <f t="shared" si="143"/>
        <v/>
      </c>
      <c r="MY23" s="11" t="str">
        <f t="shared" si="144"/>
        <v/>
      </c>
      <c r="MZ23" s="11" t="str">
        <f t="shared" si="145"/>
        <v/>
      </c>
      <c r="NA23" s="11" t="str">
        <f t="shared" si="146"/>
        <v/>
      </c>
      <c r="NB23" s="11" t="str">
        <f t="shared" si="147"/>
        <v/>
      </c>
      <c r="NC23" s="11" t="str">
        <f t="shared" si="148"/>
        <v/>
      </c>
      <c r="ND23" s="11" t="str">
        <f t="shared" si="149"/>
        <v/>
      </c>
      <c r="NE23" s="11" t="str">
        <f t="shared" si="150"/>
        <v/>
      </c>
      <c r="NF23" s="11" t="str">
        <f t="shared" si="151"/>
        <v/>
      </c>
      <c r="NG23" s="11" t="str">
        <f t="shared" si="152"/>
        <v/>
      </c>
      <c r="NH23" s="11" t="str">
        <f t="shared" si="153"/>
        <v/>
      </c>
      <c r="NI23" s="11" t="str">
        <f t="shared" si="154"/>
        <v/>
      </c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36" t="str">
        <f t="shared" si="155"/>
        <v/>
      </c>
      <c r="OE23" s="36" t="str">
        <f t="shared" si="156"/>
        <v/>
      </c>
      <c r="OF23" s="36" t="str">
        <f t="shared" si="157"/>
        <v/>
      </c>
      <c r="OG23" s="36" t="str">
        <f t="shared" si="158"/>
        <v/>
      </c>
      <c r="OH23" s="36" t="str">
        <f t="shared" si="159"/>
        <v/>
      </c>
      <c r="OI23" s="36" t="str">
        <f t="shared" si="160"/>
        <v/>
      </c>
      <c r="OJ23" s="36" t="str">
        <f t="shared" si="161"/>
        <v/>
      </c>
      <c r="OK23" s="36" t="str">
        <f t="shared" si="162"/>
        <v/>
      </c>
      <c r="OL23" s="36" t="str">
        <f t="shared" si="163"/>
        <v/>
      </c>
      <c r="OM23" s="36" t="str">
        <f t="shared" si="164"/>
        <v/>
      </c>
      <c r="ON23" s="36" t="str">
        <f t="shared" si="165"/>
        <v/>
      </c>
      <c r="OO23" s="36" t="str">
        <f t="shared" si="166"/>
        <v/>
      </c>
      <c r="OP23" s="36" t="str">
        <f t="shared" si="167"/>
        <v/>
      </c>
      <c r="OQ23" s="36" t="str">
        <f t="shared" si="168"/>
        <v/>
      </c>
      <c r="OR23" s="16"/>
      <c r="OS23" s="16"/>
      <c r="OT23" s="16"/>
      <c r="OU23" s="16"/>
      <c r="OV23" s="16"/>
      <c r="OW23" s="16"/>
      <c r="OX23" s="16"/>
      <c r="OY23" s="16"/>
      <c r="OZ23" s="16"/>
      <c r="PA23" s="16"/>
      <c r="PB23" s="16"/>
      <c r="PC23" s="16"/>
      <c r="PD23" s="16"/>
      <c r="PE23" s="16"/>
      <c r="PF23" s="16"/>
      <c r="PG23" s="16"/>
      <c r="PH23" s="16"/>
      <c r="PI23" s="16"/>
      <c r="PJ23" s="16"/>
      <c r="PK23" s="16"/>
      <c r="PL23" s="11" t="str">
        <f t="shared" si="169"/>
        <v/>
      </c>
      <c r="PM23" s="11" t="str">
        <f t="shared" si="170"/>
        <v/>
      </c>
      <c r="PN23" s="11" t="str">
        <f t="shared" si="171"/>
        <v/>
      </c>
      <c r="PO23" s="11" t="str">
        <f t="shared" si="172"/>
        <v/>
      </c>
      <c r="PP23" s="11" t="str">
        <f t="shared" si="173"/>
        <v/>
      </c>
      <c r="PQ23" s="11" t="str">
        <f t="shared" si="174"/>
        <v/>
      </c>
      <c r="PR23" s="11" t="str">
        <f t="shared" si="175"/>
        <v/>
      </c>
      <c r="PS23" s="11" t="str">
        <f t="shared" si="176"/>
        <v/>
      </c>
      <c r="PT23" s="11" t="str">
        <f t="shared" si="177"/>
        <v/>
      </c>
      <c r="PU23" s="11" t="str">
        <f t="shared" si="178"/>
        <v/>
      </c>
      <c r="PV23" s="11" t="str">
        <f t="shared" si="179"/>
        <v/>
      </c>
      <c r="PW23" s="11" t="str">
        <f t="shared" si="180"/>
        <v/>
      </c>
      <c r="PX23" s="11" t="str">
        <f t="shared" si="181"/>
        <v/>
      </c>
      <c r="PY23" s="11" t="str">
        <f t="shared" si="182"/>
        <v/>
      </c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36" t="str">
        <f t="shared" si="183"/>
        <v/>
      </c>
      <c r="QU23" s="36" t="str">
        <f t="shared" si="184"/>
        <v/>
      </c>
      <c r="QV23" s="36" t="str">
        <f t="shared" si="185"/>
        <v/>
      </c>
      <c r="QW23" s="36" t="str">
        <f t="shared" si="186"/>
        <v/>
      </c>
      <c r="QX23" s="36" t="str">
        <f t="shared" si="187"/>
        <v/>
      </c>
      <c r="QY23" s="36" t="str">
        <f t="shared" si="188"/>
        <v/>
      </c>
      <c r="QZ23" s="36" t="str">
        <f t="shared" si="189"/>
        <v/>
      </c>
      <c r="RA23" s="36" t="str">
        <f t="shared" si="190"/>
        <v/>
      </c>
      <c r="RB23" s="36" t="str">
        <f t="shared" si="191"/>
        <v/>
      </c>
      <c r="RC23" s="36" t="str">
        <f t="shared" si="192"/>
        <v/>
      </c>
      <c r="RD23" s="36" t="str">
        <f t="shared" si="193"/>
        <v/>
      </c>
      <c r="RE23" s="36" t="str">
        <f t="shared" si="194"/>
        <v/>
      </c>
      <c r="RF23" s="36" t="str">
        <f t="shared" si="195"/>
        <v/>
      </c>
      <c r="RG23" s="36" t="str">
        <f t="shared" si="196"/>
        <v/>
      </c>
      <c r="RH23" s="16"/>
      <c r="RI23" s="16"/>
      <c r="RJ23" s="16"/>
      <c r="RK23" s="16"/>
      <c r="RL23" s="16"/>
      <c r="RM23" s="16"/>
      <c r="RN23" s="16"/>
      <c r="RO23" s="16"/>
      <c r="RP23" s="16"/>
      <c r="RQ23" s="16"/>
      <c r="RR23" s="16"/>
      <c r="RS23" s="16"/>
      <c r="RT23" s="16"/>
      <c r="RU23" s="16"/>
      <c r="RV23" s="16"/>
      <c r="RW23" s="16"/>
      <c r="RX23" s="16"/>
      <c r="RY23" s="16"/>
      <c r="RZ23" s="16"/>
      <c r="SA23" s="16"/>
      <c r="SB23" s="11" t="str">
        <f t="shared" si="197"/>
        <v/>
      </c>
      <c r="SC23" s="11" t="str">
        <f t="shared" si="198"/>
        <v/>
      </c>
      <c r="SD23" s="11" t="str">
        <f t="shared" si="199"/>
        <v/>
      </c>
      <c r="SE23" s="11" t="str">
        <f t="shared" si="200"/>
        <v/>
      </c>
      <c r="SF23" s="11" t="str">
        <f t="shared" si="201"/>
        <v/>
      </c>
      <c r="SG23" s="11" t="str">
        <f t="shared" si="202"/>
        <v/>
      </c>
      <c r="SH23" s="11" t="str">
        <f t="shared" si="203"/>
        <v/>
      </c>
      <c r="SI23" s="11" t="str">
        <f t="shared" si="204"/>
        <v/>
      </c>
      <c r="SJ23" s="11" t="str">
        <f t="shared" si="205"/>
        <v/>
      </c>
      <c r="SK23" s="11" t="str">
        <f t="shared" si="206"/>
        <v/>
      </c>
      <c r="SL23" s="11" t="str">
        <f t="shared" si="207"/>
        <v/>
      </c>
      <c r="SM23" s="11" t="str">
        <f t="shared" si="208"/>
        <v/>
      </c>
      <c r="SN23" s="11" t="str">
        <f t="shared" si="209"/>
        <v/>
      </c>
      <c r="SO23" s="11" t="str">
        <f t="shared" si="210"/>
        <v/>
      </c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36" t="str">
        <f t="shared" si="211"/>
        <v/>
      </c>
      <c r="TK23" s="36" t="str">
        <f t="shared" si="212"/>
        <v/>
      </c>
      <c r="TL23" s="36" t="str">
        <f t="shared" si="213"/>
        <v/>
      </c>
      <c r="TM23" s="36" t="str">
        <f t="shared" si="214"/>
        <v/>
      </c>
      <c r="TN23" s="36" t="str">
        <f t="shared" si="215"/>
        <v/>
      </c>
      <c r="TO23" s="36" t="str">
        <f t="shared" si="216"/>
        <v/>
      </c>
      <c r="TP23" s="36" t="str">
        <f t="shared" si="217"/>
        <v/>
      </c>
      <c r="TQ23" s="36" t="str">
        <f t="shared" si="218"/>
        <v/>
      </c>
      <c r="TR23" s="36" t="str">
        <f t="shared" si="219"/>
        <v/>
      </c>
      <c r="TS23" s="36" t="str">
        <f t="shared" si="220"/>
        <v/>
      </c>
      <c r="TT23" s="36" t="str">
        <f t="shared" si="221"/>
        <v/>
      </c>
      <c r="TU23" s="36" t="str">
        <f t="shared" si="222"/>
        <v/>
      </c>
      <c r="TV23" s="36" t="str">
        <f t="shared" si="223"/>
        <v/>
      </c>
      <c r="TW23" s="36" t="str">
        <f t="shared" si="224"/>
        <v/>
      </c>
      <c r="TX23" s="16"/>
      <c r="TY23" s="16"/>
      <c r="TZ23" s="16"/>
      <c r="UA23" s="16"/>
      <c r="UB23" s="16"/>
      <c r="UC23" s="16"/>
      <c r="UD23" s="16"/>
      <c r="UE23" s="16"/>
      <c r="UF23" s="16"/>
      <c r="UG23" s="16"/>
      <c r="UH23" s="16"/>
      <c r="UI23" s="16"/>
      <c r="UJ23" s="16"/>
      <c r="UK23" s="16"/>
      <c r="UL23" s="16"/>
      <c r="UM23" s="16"/>
      <c r="UN23" s="16"/>
      <c r="UO23" s="16"/>
      <c r="UP23" s="16"/>
      <c r="UQ23" s="16"/>
      <c r="UR23" s="11" t="str">
        <f t="shared" si="225"/>
        <v/>
      </c>
      <c r="US23" s="11" t="str">
        <f t="shared" si="226"/>
        <v/>
      </c>
      <c r="UT23" s="11" t="str">
        <f t="shared" si="227"/>
        <v/>
      </c>
      <c r="UU23" s="11" t="str">
        <f t="shared" si="228"/>
        <v/>
      </c>
      <c r="UV23" s="11" t="str">
        <f t="shared" si="229"/>
        <v/>
      </c>
      <c r="UW23" s="11" t="str">
        <f t="shared" si="230"/>
        <v/>
      </c>
      <c r="UX23" s="11" t="str">
        <f t="shared" si="231"/>
        <v/>
      </c>
      <c r="UY23" s="11" t="str">
        <f t="shared" si="232"/>
        <v/>
      </c>
      <c r="UZ23" s="11" t="str">
        <f t="shared" si="233"/>
        <v/>
      </c>
      <c r="VA23" s="11" t="str">
        <f t="shared" si="234"/>
        <v/>
      </c>
      <c r="VB23" s="11" t="str">
        <f t="shared" si="235"/>
        <v/>
      </c>
      <c r="VC23" s="11" t="str">
        <f t="shared" si="236"/>
        <v/>
      </c>
      <c r="VD23" s="11" t="str">
        <f t="shared" si="237"/>
        <v/>
      </c>
      <c r="VE23" s="11" t="str">
        <f t="shared" si="238"/>
        <v/>
      </c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36" t="str">
        <f t="shared" si="239"/>
        <v/>
      </c>
      <c r="WA23" s="36" t="str">
        <f t="shared" si="240"/>
        <v/>
      </c>
      <c r="WB23" s="36" t="str">
        <f t="shared" si="241"/>
        <v/>
      </c>
      <c r="WC23" s="36" t="str">
        <f t="shared" si="242"/>
        <v/>
      </c>
      <c r="WD23" s="36" t="str">
        <f t="shared" si="243"/>
        <v/>
      </c>
      <c r="WE23" s="36" t="str">
        <f t="shared" si="244"/>
        <v/>
      </c>
      <c r="WF23" s="36" t="str">
        <f t="shared" si="245"/>
        <v/>
      </c>
      <c r="WG23" s="36" t="str">
        <f t="shared" si="246"/>
        <v/>
      </c>
      <c r="WH23" s="36" t="str">
        <f t="shared" si="247"/>
        <v/>
      </c>
      <c r="WI23" s="36" t="str">
        <f t="shared" si="248"/>
        <v/>
      </c>
      <c r="WJ23" s="36" t="str">
        <f t="shared" si="249"/>
        <v/>
      </c>
      <c r="WK23" s="36" t="str">
        <f t="shared" si="250"/>
        <v/>
      </c>
      <c r="WL23" s="36" t="str">
        <f t="shared" si="251"/>
        <v/>
      </c>
      <c r="WM23" s="36" t="str">
        <f t="shared" si="252"/>
        <v/>
      </c>
    </row>
    <row r="24" spans="1:611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97</v>
      </c>
      <c r="C24" s="4" t="s">
        <v>3</v>
      </c>
      <c r="D24" s="4">
        <v>2002</v>
      </c>
      <c r="E24" s="9">
        <f t="shared" si="0"/>
        <v>61.170006117004185</v>
      </c>
      <c r="F24" s="3" t="str">
        <f>IF(OR(AND(AI24&gt;=AS$27,AI24&lt;&gt;"",AK24&gt;=AS$31,AK24&lt;&gt;"",AH24=""),AND(AL24&gt;=AS$27,AL24&lt;&gt;"",AN24&gt;=AS$31,AN24&lt;&gt;"",AH24=""),AND(AP24&gt;=AS$27,AP24&lt;&gt;"",AR24&gt;=AS$31,AR24&lt;&gt;"",AH24=""),AND(BJ24&gt;=BT$27,BJ24&lt;&gt;"",BL24&gt;=BT$31,BL24&lt;&gt;"",BI24=""),AND(BM24&gt;=BT$27,BM24&lt;&gt;"",BO24&gt;=BT$31,BO24&lt;&gt;"",BI24=""),AND(BQ24&gt;=BT$27,BQ24&lt;&gt;"",BS24&gt;=BT$31,BS24&lt;&gt;"",BI24=""),AND(CK24&gt;=CU$27,CK24&lt;&gt;"",CM24&gt;=CU$31,CM24&lt;&gt;"",CJ24=""),AND(CN24&gt;=CU$27,CN24&lt;&gt;"",CP24&gt;=CU$31,CP24&lt;&gt;"",CJ24=""),AND(CR24&gt;=CU$27,CR24&lt;&gt;"",CT24&gt;=CU$31,CT24&lt;&gt;"",CJ24=""),AND(DR24&gt;=EE$27,DR24&lt;&gt;"",DT24&gt;=EE$31,DT24&lt;&gt;""),AND(DU24&gt;=EE$27,DU24&lt;&gt;"",DW24&gt;=EE$31,DW24&lt;&gt;""),AND(DY24&gt;=EE$27,DY24&lt;&gt;"",EA24&gt;=EE$31,EA24&lt;&gt;""),AND(EB24&gt;=EE$27,EB24&lt;&gt;"",ED24&gt;=EE$31,ED24&lt;&gt;""),AND(EZ24&gt;=FM$27,EZ24&lt;&gt;"",FB24&gt;=FM$31,FB24&lt;&gt;""),AND(FC24&gt;=FM$27,FC24&lt;&gt;"",FE24&gt;=FM$31,FE24&lt;&gt;""),AND(FG24&gt;=FM$27,FG24&lt;&gt;"",FI24&gt;=FM$31,FI24&lt;&gt;""),AND(FJ24&gt;=FM$27,FJ24&lt;&gt;"",FL24&gt;=FM$31,FL24&lt;&gt;""),AND(GH24&gt;=GU$27,GH24&lt;&gt;"",GJ24&gt;=GU$31,GJ24&lt;&gt;""),AND(GK24&gt;=GU$27,GK24&lt;&gt;"",GM24&gt;=GU$31,GM24&lt;&gt;""),AND(GO24&gt;=GU$27,GO24&lt;&gt;"",GQ24&gt;=GU$31,GQ24&lt;&gt;""),AND(GR24&gt;=GU$27,GR24&lt;&gt;"",GT24&gt;=GU$31,GT24&lt;&gt;""),AND(HP24&gt;=IC$27,HP24&lt;&gt;"",HR24&gt;=IC$31,HR24&lt;&gt;""),AND(HS24&gt;=IC$27,HS24&lt;&gt;"",HU24&gt;=IC$31,HU24&lt;&gt;""),AND(HW24&gt;=IC$27,HW24&lt;&gt;"",HY24&gt;=IC$31,HY24&lt;&gt;""),AND(HZ24&gt;=IC$27,HZ24&lt;&gt;"",IB24&gt;=IC$31,IB24&lt;&gt;""),AND(IX24&gt;=JK$27,IX24&lt;&gt;"",IZ24&gt;=JK$31,IZ24&lt;&gt;""),AND(JA24&gt;=JK$27,JA24&lt;&gt;"",JC24&gt;=JK$31,JC24&lt;&gt;""),AND(JE24&gt;=JK$27,JE24&lt;&gt;"",JG24&gt;=JK$31,JG24&lt;&gt;""),AND(JH24&gt;=JK$27,JH24&lt;&gt;"",JJ24&gt;=JK$31,JJ24&lt;&gt;""),AND(KF24&gt;=KS$27,KF24&lt;&gt;"",KH24&gt;=KS$31,KH24&lt;&gt;""),AND(KI24&gt;=KS$27,KI24&lt;&gt;"",KK24&gt;=KS$31,KK24&lt;&gt;""),AND(KM24&gt;=KS$27,KM24&lt;&gt;"",KO24&gt;=KS$31,KO24&lt;&gt;""),AND(KP24&gt;=KS$27,KP24&lt;&gt;"",KR24&gt;=KS$31,KR24&lt;&gt;""),AND(LN24&gt;=MA$27,LN24&lt;&gt;"",LP24&gt;=MA$31,LP24&lt;&gt;""),AND(LQ24&gt;=MA$27,LQ24&lt;&gt;"",LS24&gt;=MA$31,LS24&lt;&gt;""),AND(LU24&gt;=MA$27,LU24&lt;&gt;"",LW24&gt;=MA$31,LW24&lt;&gt;""),AND(LX24&gt;=MA$27,LX24&lt;&gt;"",LZ24&gt;=MA$31,LZ24&lt;&gt;""),AND(MV24&gt;=NI$27,MV24&lt;&gt;"",MX24&gt;=NI$31,MX24&lt;&gt;""),AND(MY24&gt;=NI$27,MY24&lt;&gt;"",NA24&gt;=NI$31,NA24&lt;&gt;""),AND(NC24&gt;=NI$27,NC24&lt;&gt;"",NE24&gt;=NI$31,NE24&lt;&gt;""),AND(NF24&gt;=NI$27,NF24&lt;&gt;"",NH24&gt;=NI$31,NH24&lt;&gt;""),AND(OD24&gt;=OQ$27,OD24&lt;&gt;"",OF24&gt;=OQ$31,OF24&lt;&gt;""),AND(OG24&gt;=OQ$27,OG24&lt;&gt;"",OI24&gt;=OQ$31,OI24&lt;&gt;""),AND(OK24&gt;=OQ$27,OK24&lt;&gt;"",OM24&gt;=OQ$31,OM24&lt;&gt;""),AND(ON24&gt;=OQ$27,ON24&lt;&gt;"",OP24&gt;=OQ$31,OP24&lt;&gt;""),AND(PL24&gt;=PY$27,PL24&lt;&gt;"",PN24&gt;=PY$31,PN24&lt;&gt;""),AND(PO24&gt;=PY$27,PO24&lt;&gt;"",PQ24&gt;=PY$31,PQ24&lt;&gt;""),AND(PS24&gt;=PY$27,PS24&lt;&gt;"",PU24&gt;=PY$31,PU24&lt;&gt;""),AND(PV24&gt;=PY$27,PV24&lt;&gt;"",PX24&gt;=PY$31,PX24&lt;&gt;""),AND(QT24&gt;=RG$27,QT24&lt;&gt;"",QV24&gt;=RG$31,QV24&lt;&gt;""),AND(QW24&gt;=RG$27,QW24&lt;&gt;"",QY24&gt;=RG$31,QY24&lt;&gt;""),AND(RA24&gt;=RG$27,RA24&lt;&gt;"",RC24&gt;=RG$31,RC24&lt;&gt;""),AND(RD24&gt;=RG$27,RD24&lt;&gt;"",RF24&gt;=RG$31,RF24&lt;&gt;""),AND(SB24&gt;=SO$27,SB24&lt;&gt;"",SD24&gt;=SO$31,SD24&lt;&gt;""),AND(SE24&gt;=SO$27,SE24&lt;&gt;"",SG24&gt;=SO$31,SG24&lt;&gt;""),AND(SI24&gt;=SO$27,SI24&lt;&gt;"",SK24&gt;=SO$31,SK24&lt;&gt;""),AND(SL24&gt;=SO$27,SL24&lt;&gt;"",SN24&gt;=SO$31,SN24&lt;&gt;""),AND(TJ24&gt;=TW$27,TJ24&lt;&gt;"",TL24&gt;=TW$31,TL24&lt;&gt;""),AND(TM24&gt;=TW$27,TM24&lt;&gt;"",TO24&gt;=TW$31,TO24&lt;&gt;""),AND(TQ24&gt;=TW$27,TQ24&lt;&gt;"",TS24&gt;=TW$31,TXQ24&lt;&gt;""),AND(TT24&gt;=TW$27,TT24&lt;&gt;"",TV24&gt;=TW$31,TV24&lt;&gt;""),AND(UR24&gt;=VE$27,UR24&lt;&gt;"",UT24&gt;=VE$31,UT24&lt;&gt;""),AND(UU24&gt;=VE$27,UU24&lt;&gt;"",UW24&gt;=VE$31,UW24&lt;&gt;""),AND(UY24&gt;=VE$27,UY24&lt;&gt;"",VA24&gt;=VE$31,VA24&lt;&gt;""),AND(VB24&gt;=VE$27,VB24&lt;&gt;"",VD24&gt;=VE$31,VD24&lt;&gt;""),AND(VZ24&gt;=WM$27,VZ24&lt;&gt;"",WB24&gt;=WM$31,WB24&lt;&gt;""),AND(WC24&gt;=WM$27,WC24&lt;&gt;"",WE24&gt;=WM$31,WE24&lt;&gt;""),AND(WG24&gt;=WM$27,WG24&lt;&gt;"",WI24&gt;=WM$31,WI24&lt;&gt;""),AND(WJ24&gt;=WM$27,WJ24&lt;&gt;"",WL24&gt;=WM$31,WL24&lt;&gt;"")),"P","")</f>
        <v/>
      </c>
      <c r="G24" s="3" t="str">
        <f>IF(OR(AND(AK24&gt;=AS$31,AK24&lt;&gt;"",AH24=""),AND(AN24&gt;=AS$31,AN24&lt;&gt;"",AH24=""),AND(AR24&gt;=AS$31,AR24&lt;&gt;"",AH24=""),AND(BL24&gt;=BT$31,BL24&lt;&gt;"",BI24=""),AND(BO24&gt;=BT$31,BO24&lt;&gt;"",BI24=""),AND(BS24&gt;=BT$31,BS24&lt;&gt;"",BI24=""),AND(CM24&gt;=CU$31,CM24&lt;&gt;"",CJ24=""),AND(CP24&gt;=CU$31,CP24&lt;&gt;"",CJ24=""),AND(CT24&gt;=CU$31,CT24&lt;&gt;"",CJ24=""),AND(DT24&gt;=EE$31,DT24&lt;&gt;""),AND(DW24&gt;=EE$31,DW24&lt;&gt;""),AND(EA24&gt;=EE$31,EA24&lt;&gt;""),AND(ED24&gt;=EE$31,ED24&lt;&gt;""),AND(FB24&gt;=FM$31,FB24&lt;&gt;""),AND(FE24&gt;=FM$31,FE24&lt;&gt;""),AND(FI24&gt;=FM$31,FI24&lt;&gt;""),AND(FL24&gt;=FM$31,FL24&lt;&gt;""),AND(GJ24&gt;=GU$31,GJ24&lt;&gt;""),AND(GM24&gt;=GU$31,GM24&lt;&gt;""),AND(GQ24&gt;=GU$31,GQ24&lt;&gt;""),AND(GT24&gt;=GU$31,GT24&lt;&gt;""),AND(HR24&gt;=IC$31,HR24&lt;&gt;""),AND(HU24&gt;=IC$31,HU24&lt;&gt;""),AND(HY24&gt;=IC$31,HY24&lt;&gt;""),AND(IB24&gt;=IC$31,IB24&lt;&gt;""),AND(IZ24&gt;=JK$31,IZ24&lt;&gt;""),AND(JC24&gt;=JK$31,JC24&lt;&gt;""),AND(JG24&gt;=JK$31,JG24&lt;&gt;""),AND(JJ24&gt;=JK$31,JJ24&lt;&gt;""),AND(KH24&gt;=KS$31,KH24&lt;&gt;""),AND(KK24&gt;=KS$31,KK24&lt;&gt;""),AND(KO24&gt;=KS$31,KO24&lt;&gt;""),AND(KR24&gt;=KS$31,KR24&lt;&gt;""),AND(LP24&gt;=MA$31,LP24&lt;&gt;""),AND(LS24&gt;=MA$31,LS24&lt;&gt;""),AND(LW24&gt;=MA$31,LW24&lt;&gt;""),AND(LZ24&gt;=MA$31,LZ24&lt;&gt;""),AND(MX24&gt;=NI$31,MX24&lt;&gt;""),AND(NA24&gt;=NI$31,NA24&lt;&gt;""),AND(NE24&gt;=NI$31,NE24&lt;&gt;""),AND(NH24&gt;=NI$31,NH24&lt;&gt;""),AND(OF24&gt;=OQ$31,OF24&lt;&gt;""),AND(OI24&gt;=OQ$31,OI24&lt;&gt;""),AND(OM24&gt;=OQ$31,OM24&lt;&gt;""),AND(OP24&gt;=OQ$31,OP24&lt;&gt;""),AND(PN24&gt;=PY$31,PN24&lt;&gt;""),AND(PQ24&gt;=PY$31,PQ24&lt;&gt;""),AND(PU24&gt;=PY$31,PU24&lt;&gt;""),AND(PX24&gt;=PY$31,PX24&lt;&gt;""),AND(QV24&gt;=RG$31,QV24&lt;&gt;""),AND(QY24&gt;=RG$31,QY24&lt;&gt;""),AND(RC24&gt;=RG$31,RC24&lt;&gt;""),AND(RF24&gt;=RG$31,RF24&lt;&gt;""),AND(SD24&gt;=SO$31,SD24&lt;&gt;""),AND(SG24&gt;=SO$31,SG24&lt;&gt;""),AND(SK24&gt;=SO$31,SK24&lt;&gt;""),AND(SN24&gt;=SO$31,SN24&lt;&gt;""),AND(TL24&gt;=TW$31,TL24&lt;&gt;""),AND(TO24&gt;=TW$31,TO24&lt;&gt;""),AND(TS24&gt;=TW$31,TXQ24&lt;&gt;""),AND(TV24&gt;=TW$31,TV24&lt;&gt;""),AND(UT24&gt;=VE$31,UT24&lt;&gt;""),AND(UW24&gt;=VE$31,UW24&lt;&gt;""),AND(VA24&gt;=VE$31,VA24&lt;&gt;""),AND(VD24&gt;=VE$31,VD24&lt;&gt;""),AND(WB24&gt;=WM$31,WB24&lt;&gt;""),AND(WE24&gt;=WM$31,WE24&lt;&gt;""),AND(WI24&gt;=WM$31,WI24&lt;&gt;""),AND(WL24&gt;=WM$31,WL24&lt;&gt;"")),"P","")</f>
        <v/>
      </c>
      <c r="H24" s="32" t="str">
        <f>IF(AND(G24="P",F24=""),"No DD",IF(OR(AND(AI24&gt;=AS$30,AI24&lt;&gt;"",AK24&gt;=AS$34,AK24&lt;&gt;"",AH24=""),AND(AL24&gt;=AS$30,AL24&lt;&gt;"",AN24&gt;=AS$34,AN24&lt;&gt;"",AH24=""),AND(AP24&gt;=AS$30,AP24&lt;&gt;"",AR24&gt;=AS$34,AR24&lt;&gt;"",AH24=""),AND(BJ24&gt;=BT$30,BJ24&lt;&gt;"",BL24&gt;=BT$34,BL24&lt;&gt;"",BI24=""),AND(BM24&gt;=BT$30,BM24&lt;&gt;"",BO24&gt;=BT$34,BO24&lt;&gt;"",BI24=""),AND(BQ24&gt;=BT$30,BQ24&lt;&gt;"",BS24&gt;=BT$34,BS24&lt;&gt;"",BI24=""),AND(CK24&gt;=CU$30,CK24&lt;&gt;"",CM24&gt;=CU$34,CM24&lt;&gt;"",CJ24=""),AND(CN24&gt;=CU$30,CN24&lt;&gt;"",CP24&gt;=CU$34,CP24&lt;&gt;"",CJ24=""),AND(CR24&gt;=CU$30,CR24&lt;&gt;"",CT24&gt;=CU$34,CT24&lt;&gt;"",CJ24=""),AND(DR24&gt;=EE$30,DR24&lt;&gt;"",DT24&gt;=EE$34,DT24&lt;&gt;""),AND(DU24&gt;=EE$30,DU24&lt;&gt;"",DW24&gt;=EE$34,DW24&lt;&gt;""),AND(DY24&gt;=EE$30,DY24&lt;&gt;"",EA24&gt;=EE$34,EA24&lt;&gt;""),AND(EB24&gt;=EE$30,EB24&lt;&gt;"",ED24&gt;=EE$34,ED24&lt;&gt;""),AND(EZ24&gt;=FM$30,EZ24&lt;&gt;"",FB24&gt;=FM$34,FB24&lt;&gt;""),AND(FC24&gt;=FM$30,FC24&lt;&gt;"",FE24&gt;=FM$34,FE24&lt;&gt;""),AND(FG24&gt;=FM$30,FG24&lt;&gt;"",FI24&gt;=FM$34,FI24&lt;&gt;""),AND(FJ24&gt;=FM$30,FJ24&lt;&gt;"",FL24&gt;=FM$34,FL24&lt;&gt;""),AND(GH24&gt;=GU$30,GH24&lt;&gt;"",GJ24&gt;=GU$34,GJ24&lt;&gt;""),AND(GK24&gt;=GU$30,GK24&lt;&gt;"",GM24&gt;=GU$34,GM24&lt;&gt;""),AND(GO24&gt;=GU$30,GO24&lt;&gt;"",GQ24&gt;=GU$34,GQ24&lt;&gt;""),AND(GR24&gt;=GU$30,GR24&lt;&gt;"",GT24&gt;=GU$34,GT24&lt;&gt;""),AND(HP24&gt;=IC$30,HP24&lt;&gt;"",HR24&gt;=IC$34,HR24&lt;&gt;""),AND(HS24&gt;=IC$30,HS24&lt;&gt;"",HU24&gt;=IC$34,HU24&lt;&gt;""),AND(HW24&gt;=IC$30,HW24&lt;&gt;"",HY24&gt;=IC$34,HY24&lt;&gt;""),AND(HZ24&gt;=IC$30,HZ24&lt;&gt;"",IB24&gt;=IC$34,IB24&lt;&gt;""),AND(IX24&gt;=JK$30,IX24&lt;&gt;"",IZ24&gt;=JK$34,IZ24&lt;&gt;""),AND(JA24&gt;=JK$30,JA24&lt;&gt;"",JC24&gt;=JK$34,JC24&lt;&gt;""),AND(JE24&gt;=JK$30,JE24&lt;&gt;"",JG24&gt;=JK$34,JG24&lt;&gt;""),AND(JH24&gt;=JK$30,JH24&lt;&gt;"",JJ24&gt;=JK$34,JJ24&lt;&gt;""),AND(KF24&gt;=KS$30,KF24&lt;&gt;"",KH24&gt;=KS$34,KH24&lt;&gt;""),AND(KI24&gt;=KS$30,KI24&lt;&gt;"",KK24&gt;=KS$34,KK24&lt;&gt;""),AND(KM24&gt;=KS$30,KM24&lt;&gt;"",KO24&gt;=KS$34,KO24&lt;&gt;""),AND(KP24&gt;=KS$30,KP24&lt;&gt;"",KR24&gt;=KS$34,KR24&lt;&gt;""),AND(LN24&gt;=MA$30,LN24&lt;&gt;"",LP24&gt;=MA$34,LP24&lt;&gt;""),AND(LQ24&gt;=MA$30,LQ24&lt;&gt;"",LS24&gt;=MA$34,LS24&lt;&gt;""),AND(LU24&gt;=MA$30,LU24&lt;&gt;"",LW24&gt;=MA$34,LW24&lt;&gt;""),AND(LX24&gt;=MA$30,LX24&lt;&gt;"",LZ24&gt;=MA$34,LZ24&lt;&gt;""),AND(MV24&gt;=NI$30,MV24&lt;&gt;"",MX24&gt;=NI$34,MX24&lt;&gt;""),AND(MY24&gt;=NI$30,MY24&lt;&gt;"",NA24&gt;=NI$34,NA24&lt;&gt;""),AND(NC24&gt;=NI$30,NC24&lt;&gt;"",NE24&gt;=NI$34,NE24&lt;&gt;""),AND(NF24&gt;=NI$30,NF24&lt;&gt;"",NH24&gt;=NI$34,NH24&lt;&gt;""),AND(OD24&gt;=OQ$30,OD24&lt;&gt;"",OF24&gt;=OQ$34,OF24&lt;&gt;""),AND(OG24&gt;=OQ$30,OG24&lt;&gt;"",OI24&gt;=OQ$34,OI24&lt;&gt;""),AND(OK24&gt;=OQ$30,OK24&lt;&gt;"",OM24&gt;=OQ$34,OM24&lt;&gt;""),AND(ON24&gt;=OQ$30,ON24&lt;&gt;"",OP24&gt;=OQ$34,OP24&lt;&gt;""),AND(PL24&gt;=PY$30,PL24&lt;&gt;"",PN24&gt;=PY$34,PN24&lt;&gt;""),AND(PO24&gt;=PY$30,PO24&lt;&gt;"",PQ24&gt;=PY$34,PQ24&lt;&gt;""),AND(PS24&gt;=PY$30,PS24&lt;&gt;"",PU24&gt;=PY$34,PU24&lt;&gt;""),AND(PV24&gt;=PY$30,PV24&lt;&gt;"",PX24&gt;=PY$34,PX24&lt;&gt;""),AND(QT24&gt;=RG$30,QT24&lt;&gt;"",QV24&gt;=RG$34,QV24&lt;&gt;""),AND(QW24&gt;=RG$30,QW24&lt;&gt;"",QY24&gt;=RG$34,QY24&lt;&gt;""),AND(RA24&gt;=RG$30,RA24&lt;&gt;"",RC24&gt;=RG$34,RC24&lt;&gt;""),AND(RD24&gt;=RG$30,RD24&lt;&gt;"",RF24&gt;=RG$34,RF24&lt;&gt;""),AND(SB24&gt;=SO$30,SB24&lt;&gt;"",SD24&gt;=SO$34,SD24&lt;&gt;""),AND(SE24&gt;=SO$30,SE24&lt;&gt;"",SG24&gt;=SO$34,SG24&lt;&gt;""),AND(SI24&gt;=SO$30,SI24&lt;&gt;"",SK24&gt;=SO$34,SK24&lt;&gt;""),AND(SL24&gt;=SO$30,SL24&lt;&gt;"",SN24&gt;=SO$34,SN24&lt;&gt;""),AND(TJ24&gt;=TW$30,TJ24&lt;&gt;"",TL24&gt;=TW$34,TL24&lt;&gt;""),AND(TM24&gt;=TW$30,TM24&lt;&gt;"",TO24&gt;=TW$34,TO24&lt;&gt;""),AND(TQ24&gt;=TW$30,TQ24&lt;&gt;"",TS24&gt;=TW$354,TXQ24&lt;&gt;""),AND(TT24&gt;=TW$30,TT24&lt;&gt;"",TV24&gt;=TW$34,TV24&lt;&gt;""),AND(UR24&gt;=VE$30,UR24&lt;&gt;"",UT24&gt;=VE$34,UT24&lt;&gt;""),AND(UU24&gt;=VE$30,UU24&lt;&gt;"",UW24&gt;=VE$34,UW24&lt;&gt;""),AND(UY24&gt;=VE$30,UY24&lt;&gt;"",VA24&gt;=VE$34,VA24&lt;&gt;""),AND(VB24&gt;=VE$30,VB24&lt;&gt;"",VD24&gt;=VE$34,VD24&lt;&gt;""),AND(VZ24&gt;=WM$30,VZ24&lt;&gt;"",WB24&gt;=WM$34,WB24&lt;&gt;""),AND(WC24&gt;=WM$30,WC24&lt;&gt;"",WE24&gt;=WM$34,WE24&lt;&gt;""),AND(WG24&gt;=WM$30,WG24&lt;&gt;"",WI24&gt;=WM$34,WI24&lt;&gt;""),AND(WJ24&gt;=WM$30,WJ24&lt;&gt;"",WL24&gt;=WM$34,WL24&lt;&gt;"")),"Merit",IF(OR(AND(AI24&gt;=AS$29,AI24&lt;&gt;"",AK24&gt;=AS$33,AK24&lt;&gt;"",AH24=""),AND(AL24&gt;=AS$29,AL24&lt;&gt;"",AN24&gt;=AS$33,AN24&lt;&gt;"",AH24=""),AND(AP24&gt;=AS$29,AP24&lt;&gt;"",AR24&gt;=AS$33,AR24&lt;&gt;"",AH24=""),AND(BJ24&gt;=BT$29,BJ24&lt;&gt;"",BL24&gt;=BT$33,BL24&lt;&gt;"",BI24=""),AND(BM24&gt;=BT$29,BM24&lt;&gt;"",BO24&gt;=BT$33,BO24&lt;&gt;"",BI24=""),AND(BQ24&gt;=BT$29,BQ24&lt;&gt;"",BS24&gt;=BT$33,BS24&lt;&gt;"",BI24=""),AND(CK24&gt;=CU$29,CK24&lt;&gt;"",CM24&gt;=CU$33,CM24&lt;&gt;"",CJ24=""),AND(CN24&gt;=CU$29,CN24&lt;&gt;"",CP24&gt;=CU$33,CP24&lt;&gt;"",CJ24=""),AND(CR24&gt;=CU$29,CR24&lt;&gt;"",CT24&gt;=CU$33,CT24&lt;&gt;"",CJ24=""),AND(DR24&gt;=EE$29,DR24&lt;&gt;"",DT24&gt;=EE$33,DT24&lt;&gt;""),AND(DU24&gt;=EE$29,DU24&lt;&gt;"",DW24&gt;=EE$33,DW24&lt;&gt;""),AND(DY24&gt;=EE$29,DY24&lt;&gt;"",EA24&gt;=EE$33,EA24&lt;&gt;""),AND(EB24&gt;=EE$29,EB24&lt;&gt;"",ED24&gt;=EE$33,ED24&lt;&gt;""),AND(EZ24&gt;=FM$29,EZ24&lt;&gt;"",FB24&gt;=FM$33,FB24&lt;&gt;""),AND(FC24&gt;=FM$29,FC24&lt;&gt;"",FE24&gt;=FM$33,FE24&lt;&gt;""),AND(FG24&gt;=FM$29,FG24&lt;&gt;"",FI24&gt;=FM$33,FI24&lt;&gt;""),AND(FJ24&gt;=FM$29,FJ24&lt;&gt;"",FL24&gt;=FM$33,FL24&lt;&gt;""),AND(GH24&gt;=GU$29,GH24&lt;&gt;"",GJ24&gt;=GU$33,GJ24&lt;&gt;""),AND(GK24&gt;=GU$29,GK24&lt;&gt;"",GM24&gt;=GU$33,GM24&lt;&gt;""),AND(GO24&gt;=GU$29,GO24&lt;&gt;"",GQ24&gt;=GU$33,GQ24&lt;&gt;""),AND(GR24&gt;=GU$29,GR24&lt;&gt;"",GT24&gt;=GU$33,GT24&lt;&gt;""),AND(HP24&gt;=IC$29,HP24&lt;&gt;"",HR24&gt;=IC$33,HR24&lt;&gt;""),AND(HS24&gt;=IC$29,HS24&lt;&gt;"",HU24&gt;=IC$33,HU24&lt;&gt;""),AND(HW24&gt;=IC$29,HW24&lt;&gt;"",HY24&gt;=IC$33,HY24&lt;&gt;""),AND(HZ24&gt;=IC$29,HZ24&lt;&gt;"",IB24&gt;=IC$33,IB24&lt;&gt;""),AND(IX24&gt;=JK$29,IX24&lt;&gt;"",IZ24&gt;=JK$33,IZ24&lt;&gt;""),AND(JA24&gt;=JK$29,JA24&lt;&gt;"",JC24&gt;=JK$33,JC24&lt;&gt;""),AND(JE24&gt;=JK$29,JE24&lt;&gt;"",JG24&gt;=JK$33,JG24&lt;&gt;""),AND(JH24&gt;=JK$29,JH24&lt;&gt;"",JJ24&gt;=JK$33,JJ24&lt;&gt;""),AND(KF24&gt;=KS$29,KF24&lt;&gt;"",KH24&gt;=KS$33,KH24&lt;&gt;""),AND(KI24&gt;=KS$29,KI24&lt;&gt;"",KK24&gt;=KS$33,KK24&lt;&gt;""),AND(KM24&gt;=KS$29,KM24&lt;&gt;"",KO24&gt;=KS$33,KO24&lt;&gt;""),AND(KP24&gt;=KS$29,KP24&lt;&gt;"",KR24&gt;=KS$33,KR24&lt;&gt;""),AND(LN24&gt;=MA$29,LN24&lt;&gt;"",LP24&gt;=MA$33,LP24&lt;&gt;""),AND(LQ24&gt;=MA$29,LQ24&lt;&gt;"",LS24&gt;=MA$33,LS24&lt;&gt;""),AND(LU24&gt;=MA$29,LU24&lt;&gt;"",LW24&gt;=MA$33,LW24&lt;&gt;""),AND(LX24&gt;=MA$29,LX24&lt;&gt;"",LZ24&gt;=MA$33,LZ24&lt;&gt;""),AND(MV24&gt;=NI$29,MV24&lt;&gt;"",MX24&gt;=NI$33,MX24&lt;&gt;""),AND(MY24&gt;=NI$29,MY24&lt;&gt;"",NA24&gt;=NI$33,NA24&lt;&gt;""),AND(NC24&gt;=NI$29,NC24&lt;&gt;"",NE24&gt;=NI$33,NE24&lt;&gt;""),AND(NF24&gt;=NI$29,NF24&lt;&gt;"",NH24&gt;=NI$33,NH24&lt;&gt;""),AND(OD24&gt;=OQ$29,OD24&lt;&gt;"",OF24&gt;=OQ$33,OF24&lt;&gt;""),AND(OG24&gt;=OQ$29,OG24&lt;&gt;"",OI24&gt;=OQ$33,OI24&lt;&gt;""),AND(OK24&gt;=OQ$29,OK24&lt;&gt;"",OM24&gt;=OQ$33,OM24&lt;&gt;""),AND(ON24&gt;=OQ$29,ON24&lt;&gt;"",OP24&gt;=OQ$33,OP24&lt;&gt;""),AND(PL24&gt;=PY$29,PL24&lt;&gt;"",PN24&gt;=PY$33,PN24&lt;&gt;""),AND(PO24&gt;=PY$29,PO24&lt;&gt;"",PQ24&gt;=PY$33,PQ24&lt;&gt;""),AND(PS24&gt;=PY$29,PS24&lt;&gt;"",PU24&gt;=PY$33,PU24&lt;&gt;""),AND(PV24&gt;=PY$29,PV24&lt;&gt;"",PX24&gt;=PY$33,PX24&lt;&gt;""),AND(QT24&gt;=RG$29,QT24&lt;&gt;"",QV24&gt;=RG$33,QV24&lt;&gt;""),AND(QW24&gt;=RG$29,QW24&lt;&gt;"",QY24&gt;=RG$33,QY24&lt;&gt;""),AND(RA24&gt;=RG$29,RA24&lt;&gt;"",RC24&gt;=RG$33,RC24&lt;&gt;""),AND(RD24&gt;=RG$29,RD24&lt;&gt;"",RF24&gt;=RG$33,RF24&lt;&gt;""),AND(SB24&gt;=SO$29,SB24&lt;&gt;"",SD24&gt;=SO$33,SD24&lt;&gt;""),AND(SE24&gt;=SO$29,SE24&lt;&gt;"",SG24&gt;=SO$33,SG24&lt;&gt;""),AND(SI24&gt;=SO$29,SI24&lt;&gt;"",SK24&gt;=SO$33,SK24&lt;&gt;""),AND(SL24&gt;=SO$29,SL24&lt;&gt;"",SN24&gt;=SO$33,SN24&lt;&gt;""),AND(TJ24&gt;=TW$29,TJ24&lt;&gt;"",TL24&gt;=TW$33,TL24&lt;&gt;""),AND(TM24&gt;=TW$29,TM24&lt;&gt;"",TO24&gt;=TW$33,TO24&lt;&gt;""),AND(TQ24&gt;=TW$29,TQ24&lt;&gt;"",TS24&gt;=TW$33,TXQ24&lt;&gt;""),AND(TT24&gt;=TW$29,TT24&lt;&gt;"",TV24&gt;=TW$33,TV24&lt;&gt;""),AND(UR24&gt;=VE$29,UR24&lt;&gt;"",UT24&gt;=VE$33,UT24&lt;&gt;""),AND(UU24&gt;=VE$29,UU24&lt;&gt;"",UW24&gt;=VE$33,UW24&lt;&gt;""),AND(UY24&gt;=VE$29,UY24&lt;&gt;"",VA24&gt;=VE$33,VA24&lt;&gt;""),AND(VB24&gt;=VE$29,VB24&lt;&gt;"",VD24&gt;=VE$33,VD24&lt;&gt;""),AND(VZ24&gt;=WM$29,VZ24&lt;&gt;"",WB24&gt;=WM$33,WB24&lt;&gt;""),AND(WC24&gt;=WM$29,WC24&lt;&gt;"",WE24&gt;=WM$33,WE24&lt;&gt;""),AND(WG24&gt;=WM$29,WG24&lt;&gt;"",WI24&gt;=WM$33,WI24&lt;&gt;""),AND(WJ24&gt;=WM$29,WJ24&lt;&gt;"",WL24&gt;=WM$33,WL24&lt;&gt;"")),"Excellence",IF(I24="P","Worlds Team",IF(F24="P","National Team","")))))</f>
        <v/>
      </c>
      <c r="I24" s="3" t="str">
        <f>IF(OR(AND(AI24&gt;=AS$28,AI24&lt;&gt;"",AK24&gt;=AS$32,AK24&lt;&gt;"",AH24=""),AND(AL24&gt;=AS$28,AL24&lt;&gt;"",AN24&gt;=AS$32,AN24&lt;&gt;"",AH24=""),AND(AP24&gt;=AS$28,AP24&lt;&gt;"",AR24&gt;=AS$32,AR24&lt;&gt;"",AH24=""),AND(BJ24&gt;=BT$28,BJ24&lt;&gt;"",BL24&gt;=BT$32,BL24&lt;&gt;"",BI24=""),AND(BM24&gt;=BT$28,BM24&lt;&gt;"",BO24&gt;=BT$32,BO24&lt;&gt;"",BI24=""),AND(BQ24&gt;=BT$28,BQ24&lt;&gt;"",BS24&gt;=BT$32,BS24&lt;&gt;"",BI24=""),AND(CK24&gt;=CU$28,CK24&lt;&gt;"",CM24&gt;=CU$32,CM24&lt;&gt;"",CJ24=""),AND(CN24&gt;=CU$28,CN24&lt;&gt;"",CP24&gt;=CU$32,CP24&lt;&gt;"",CJ24=""),AND(CR24&gt;=CU$28,CR24&lt;&gt;"",CT24&gt;=CU$32,CT24&lt;&gt;"",CJ24=""),AND(DR24&gt;=EE$28,DR24&lt;&gt;"",DT24&gt;=EE$32,DT24&lt;&gt;""),AND(DU24&gt;=EE$28,DU24&lt;&gt;"",DW24&gt;=EE$32,DW24&lt;&gt;""),AND(DY24&gt;=EE$28,DY24&lt;&gt;"",EA24&gt;=EE$32,EA24&lt;&gt;""),AND(EB24&gt;=EE$28,EB24&lt;&gt;"",ED24&gt;=EE$32,ED24&lt;&gt;""),AND(EZ24&gt;=FM$28,EZ24&lt;&gt;"",FB24&gt;=FM$32,FB24&lt;&gt;""),AND(FC24&gt;=FM$28,FC24&lt;&gt;"",FE24&gt;=FM$32,FE24&lt;&gt;""),AND(FG24&gt;=FM$28,FG24&lt;&gt;"",FI24&gt;=FM$32,FI24&lt;&gt;""),AND(FJ24&gt;=FM$28,FJ24&lt;&gt;"",FL24&gt;=FM$32,FL24&lt;&gt;""),AND(GH24&gt;=GU$28,GH24&lt;&gt;"",GJ24&gt;=GU$32,GJ24&lt;&gt;""),AND(GK24&gt;=GU$28,GK24&lt;&gt;"",GM24&gt;=GU$32,GM24&lt;&gt;""),AND(GO24&gt;=GU$28,GO24&lt;&gt;"",GQ24&gt;=GU$32,GQ24&lt;&gt;""),AND(GR24&gt;=GU$28,GR24&lt;&gt;"",GT24&gt;=GU$32,GT24&lt;&gt;""),AND(HP24&gt;=IC$28,HP24&lt;&gt;"",HR24&gt;=IC$32,HR24&lt;&gt;""),AND(HS24&gt;=IC$28,HS24&lt;&gt;"",HU24&gt;=IC$32,HU24&lt;&gt;""),AND(HW24&gt;=IC$28,HW24&lt;&gt;"",HY24&gt;=IC$32,HY24&lt;&gt;""),AND(HZ24&gt;=IC$28,HZ24&lt;&gt;"",IB24&gt;=IC$32,IB24&lt;&gt;""),AND(IX24&gt;=JK$28,IX24&lt;&gt;"",IZ24&gt;=JK$32,IZ24&lt;&gt;""),AND(JA24&gt;=JK$28,JA24&lt;&gt;"",JC24&gt;=JK$32,JC24&lt;&gt;""),AND(JE24&gt;=JK$28,JE24&lt;&gt;"",JG24&gt;=JK$32,JG24&lt;&gt;""),AND(JH24&gt;=JK$28,JH24&lt;&gt;"",JJ24&gt;=JK$32,JJ24&lt;&gt;""),AND(KF24&gt;=KS$28,KF24&lt;&gt;"",KH24&gt;=KS$32,KH24&lt;&gt;""),AND(KI24&gt;=KS$28,KI24&lt;&gt;"",KK24&gt;=KS$32,KK24&lt;&gt;""),AND(KM24&gt;=KS$28,KM24&lt;&gt;"",KO24&gt;=KS$32,KO24&lt;&gt;""),AND(KP24&gt;=KS$28,KP24&lt;&gt;"",KR24&gt;=KS$32,KR24&lt;&gt;""),AND(LN24&gt;=MA$28,LN24&lt;&gt;"",LP24&gt;=MA$32,LP24&lt;&gt;""),AND(LQ24&gt;=MA$28,LQ24&lt;&gt;"",LS24&gt;=MA$32,LS24&lt;&gt;""),AND(LU24&gt;=MA$28,LU24&lt;&gt;"",LW24&gt;=MA$32,LW24&lt;&gt;""),AND(LX24&gt;=MA$28,LX24&lt;&gt;"",LZ24&gt;=MA$32,LZ24&lt;&gt;""),AND(MV24&gt;=NI$28,MV24&lt;&gt;"",MX24&gt;=NI$32,MX24&lt;&gt;""),AND(MY24&gt;=NI$28,MY24&lt;&gt;"",NA24&gt;=NI$32,NA24&lt;&gt;""),AND(NC24&gt;=NI$28,NC24&lt;&gt;"",NE24&gt;=NI$32,NE24&lt;&gt;""),AND(NF24&gt;=NI$28,NF24&lt;&gt;"",NH24&gt;=NI$32,NH24&lt;&gt;""),AND(OD24&gt;=OQ$28,OD24&lt;&gt;"",OF24&gt;=OQ$32,OF24&lt;&gt;""),AND(OG24&gt;=OQ$28,OG24&lt;&gt;"",OI24&gt;=OQ$32,OI24&lt;&gt;""),AND(OK24&gt;=OQ$28,OK24&lt;&gt;"",OM24&gt;=OQ$32,OM24&lt;&gt;""),AND(ON24&gt;=OQ$28,ON24&lt;&gt;"",OP24&gt;=OQ$32,OP24&lt;&gt;""),AND(PL24&gt;=PY$28,PL24&lt;&gt;"",PN24&gt;=PY$32,PN24&lt;&gt;""),AND(PO24&gt;=PY$28,PO24&lt;&gt;"",PQ24&gt;=PY$32,PQ24&lt;&gt;""),AND(PS24&gt;=PY$28,PS24&lt;&gt;"",PU24&gt;=PY$32,PU24&lt;&gt;""),AND(PV24&gt;=PY$28,PV24&lt;&gt;"",PX24&gt;=PY$32,PX24&lt;&gt;""),AND(QT24&gt;=RG$28,QT24&lt;&gt;"",QV24&gt;=RG$32,QV24&lt;&gt;""),AND(QW24&gt;=RG$28,QW24&lt;&gt;"",QY24&gt;=RG$32,QY24&lt;&gt;""),AND(RA24&gt;=RG$28,RA24&lt;&gt;"",RC24&gt;=RG$32,RC24&lt;&gt;""),AND(RD24&gt;=RG$28,RD24&lt;&gt;"",RF24&gt;=RG$32,RF24&lt;&gt;""),AND(SB24&gt;=SO$28,SB24&lt;&gt;"",SD24&gt;=SO$32,SD24&lt;&gt;""),AND(SE24&gt;=SO$28,SE24&lt;&gt;"",SG24&gt;=SO$32,SG24&lt;&gt;""),AND(SI24&gt;=SO$28,SI24&lt;&gt;"",SK24&gt;=SO$32,SK24&lt;&gt;""),AND(SL24&gt;=SO$28,SL24&lt;&gt;"",SN24&gt;=SO$32,SN24&lt;&gt;""),AND(TJ24&gt;=TW$28,TJ24&lt;&gt;"",TL24&gt;=TW$32,TL24&lt;&gt;""),AND(TM24&gt;=TW$28,TM24&lt;&gt;"",TO24&gt;=TW$32,TO24&lt;&gt;""),AND(TQ24&gt;=TW$28,TQ24&lt;&gt;"",TS24&gt;=TW$32,TXQ24&lt;&gt;""),AND(TT24&gt;=TW$28,TT24&lt;&gt;"",TV24&gt;=TW$32,TV24&lt;&gt;""),AND(UR24&gt;=VE$28,UR24&lt;&gt;"",UT24&gt;=VE$32,UT24&lt;&gt;""),AND(UU24&gt;=VE$28,UU24&lt;&gt;"",UW24&gt;=VE$32,UW24&lt;&gt;""),AND(UY24&gt;=VE$28,UY24&lt;&gt;"",VA24&gt;=VE$32,VA24&lt;&gt;""),AND(VB24&gt;=VE$28,VB24&lt;&gt;"",VD24&gt;=VE$32,VD24&lt;&gt;""),AND(VZ24&gt;=WM$28,VZ24&lt;&gt;"",WB24&gt;=WM$32,WB24&lt;&gt;""),AND(WC24&gt;=WM$28,WC24&lt;&gt;"",WE24&gt;=WM$32,WE24&lt;&gt;""),AND(WG24&gt;=WM$28,WG24&lt;&gt;"",WI24&gt;=WM$32,WI24&lt;&gt;""),AND(WJ24&gt;=WM$28,WJ24&lt;&gt;"",WL24&gt;=WM$32,WL24&lt;&gt;"")),"P","")</f>
        <v/>
      </c>
      <c r="J24" s="8">
        <f t="shared" si="1"/>
        <v>0</v>
      </c>
      <c r="K24" s="8" t="str">
        <f t="shared" si="2"/>
        <v/>
      </c>
      <c r="L24" s="8">
        <f>IFERROR(IF(J24=AR24,LARGE((AK24,AN24,BL24,BO24,BS24,CM24,CP24,CT24),1),IF(J24=BS24,LARGE((AK24,AN24,AR24,BL24,BO24,CM24,CP24,CT24),1),LARGE((AK24,AN24,AR24,BL24,BO24,BS24,CM24,CP24),1))),0)</f>
        <v>41.91</v>
      </c>
      <c r="M24" s="8" t="str">
        <f t="shared" si="3"/>
        <v>2025 3rd Domestic Trial</v>
      </c>
      <c r="N24" s="8">
        <f>IFERROR(IF(J24=AR24,LARGE((AK24,AN24,BL24,BO24,BS24,CM24,CP24,CT24),2),IF(J24=BS24,LARGE((AK24,AN24,AR24,BL24,BO24,CM24,CP24,CT24),2),LARGE((AK24,AN24,AR24,BL24,BO24,BS24,CM24,CP24),2))),0)</f>
        <v>19.259999999999998</v>
      </c>
      <c r="O24" s="8" t="str">
        <f t="shared" si="4"/>
        <v>2025 3rd Domestic Trial</v>
      </c>
      <c r="P24" s="8">
        <f t="shared" si="5"/>
        <v>0</v>
      </c>
      <c r="Q24" s="11" t="str">
        <f t="shared" si="6"/>
        <v/>
      </c>
      <c r="R24" s="8" t="str">
        <f t="shared" si="7"/>
        <v/>
      </c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23"/>
      <c r="AI24" s="34" t="str">
        <f t="shared" si="8"/>
        <v/>
      </c>
      <c r="AJ24" s="34" t="str">
        <f t="shared" si="9"/>
        <v/>
      </c>
      <c r="AK24" s="36" t="str">
        <f t="shared" si="10"/>
        <v/>
      </c>
      <c r="AL24" s="36" t="str">
        <f t="shared" si="11"/>
        <v/>
      </c>
      <c r="AM24" s="36" t="str">
        <f t="shared" si="12"/>
        <v/>
      </c>
      <c r="AN24" s="36" t="str">
        <f t="shared" si="13"/>
        <v/>
      </c>
      <c r="AO24" s="36" t="str">
        <f t="shared" si="14"/>
        <v/>
      </c>
      <c r="AP24" s="36" t="str">
        <f t="shared" si="15"/>
        <v/>
      </c>
      <c r="AQ24" s="36" t="str">
        <f t="shared" si="16"/>
        <v/>
      </c>
      <c r="AR24" s="36" t="str">
        <f t="shared" si="17"/>
        <v/>
      </c>
      <c r="AS24" s="36" t="str">
        <f t="shared" si="18"/>
        <v/>
      </c>
      <c r="AT24" s="22">
        <v>10.9</v>
      </c>
      <c r="AU24" s="22">
        <v>7.1</v>
      </c>
      <c r="AV24" s="22">
        <v>11.5</v>
      </c>
      <c r="AW24" s="22">
        <v>12.41</v>
      </c>
      <c r="AX24" s="22">
        <v>0</v>
      </c>
      <c r="AY24" s="22">
        <v>5.0999999999999996</v>
      </c>
      <c r="AZ24" s="22">
        <v>3.8</v>
      </c>
      <c r="BA24" s="22">
        <v>4.0999999999999996</v>
      </c>
      <c r="BB24" s="22">
        <v>6.26</v>
      </c>
      <c r="BC24" s="22">
        <v>0</v>
      </c>
      <c r="BD24" s="22"/>
      <c r="BE24" s="22"/>
      <c r="BF24" s="22"/>
      <c r="BG24" s="22"/>
      <c r="BH24" s="22"/>
      <c r="BI24" s="24"/>
      <c r="BJ24" s="35">
        <f t="shared" si="19"/>
        <v>11.5</v>
      </c>
      <c r="BK24" s="35">
        <f t="shared" si="20"/>
        <v>12.41</v>
      </c>
      <c r="BL24" s="11">
        <f t="shared" si="21"/>
        <v>41.91</v>
      </c>
      <c r="BM24" s="11">
        <f t="shared" si="22"/>
        <v>4.0999999999999996</v>
      </c>
      <c r="BN24" s="11">
        <f t="shared" si="23"/>
        <v>6.26</v>
      </c>
      <c r="BO24" s="11">
        <f t="shared" si="24"/>
        <v>19.259999999999998</v>
      </c>
      <c r="BP24" s="11">
        <f t="shared" si="25"/>
        <v>41.91</v>
      </c>
      <c r="BQ24" s="11" t="str">
        <f t="shared" si="26"/>
        <v/>
      </c>
      <c r="BR24" s="11" t="str">
        <f t="shared" si="27"/>
        <v/>
      </c>
      <c r="BS24" s="11" t="str">
        <f t="shared" si="28"/>
        <v/>
      </c>
      <c r="BT24" s="11">
        <f t="shared" si="29"/>
        <v>41.91</v>
      </c>
      <c r="BU24" s="18">
        <v>1.2</v>
      </c>
      <c r="BV24" s="18">
        <v>1</v>
      </c>
      <c r="BW24" s="18">
        <v>2</v>
      </c>
      <c r="BX24" s="18">
        <v>1.59</v>
      </c>
      <c r="BY24" s="18">
        <v>0</v>
      </c>
      <c r="BZ24" s="18">
        <v>3.8</v>
      </c>
      <c r="CA24" s="18">
        <v>2.8</v>
      </c>
      <c r="CB24" s="18">
        <v>4.4000000000000004</v>
      </c>
      <c r="CC24" s="18">
        <v>4.5</v>
      </c>
      <c r="CD24" s="18">
        <v>0</v>
      </c>
      <c r="CE24" s="18"/>
      <c r="CF24" s="18"/>
      <c r="CG24" s="18"/>
      <c r="CH24" s="18"/>
      <c r="CI24" s="18"/>
      <c r="CJ24" s="23"/>
      <c r="CK24" s="34">
        <f t="shared" si="30"/>
        <v>2</v>
      </c>
      <c r="CL24" s="34">
        <f t="shared" si="31"/>
        <v>1.59</v>
      </c>
      <c r="CM24" s="36">
        <f t="shared" si="32"/>
        <v>5.79</v>
      </c>
      <c r="CN24" s="36">
        <f t="shared" si="33"/>
        <v>4.4000000000000004</v>
      </c>
      <c r="CO24" s="36">
        <f t="shared" si="34"/>
        <v>4.5</v>
      </c>
      <c r="CP24" s="36">
        <f t="shared" si="35"/>
        <v>15.5</v>
      </c>
      <c r="CQ24" s="36">
        <f t="shared" si="36"/>
        <v>15.5</v>
      </c>
      <c r="CR24" s="36" t="str">
        <f t="shared" si="37"/>
        <v/>
      </c>
      <c r="CS24" s="36" t="str">
        <f t="shared" si="38"/>
        <v/>
      </c>
      <c r="CT24" s="36" t="str">
        <f t="shared" si="39"/>
        <v/>
      </c>
      <c r="CU24" s="36">
        <f t="shared" si="40"/>
        <v>15.5</v>
      </c>
      <c r="CV24" s="47" t="str">
        <f t="shared" si="41"/>
        <v/>
      </c>
      <c r="CW24" s="47" t="str">
        <f t="shared" si="42"/>
        <v/>
      </c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36" t="str">
        <f t="shared" si="43"/>
        <v/>
      </c>
      <c r="DS24" s="36" t="str">
        <f t="shared" si="44"/>
        <v/>
      </c>
      <c r="DT24" s="36" t="str">
        <f t="shared" si="45"/>
        <v/>
      </c>
      <c r="DU24" s="36" t="str">
        <f t="shared" si="46"/>
        <v/>
      </c>
      <c r="DV24" s="36" t="str">
        <f t="shared" si="47"/>
        <v/>
      </c>
      <c r="DW24" s="36" t="str">
        <f t="shared" si="48"/>
        <v/>
      </c>
      <c r="DX24" s="36" t="str">
        <f t="shared" si="49"/>
        <v/>
      </c>
      <c r="DY24" s="36" t="str">
        <f t="shared" si="50"/>
        <v/>
      </c>
      <c r="DZ24" s="36" t="str">
        <f t="shared" si="51"/>
        <v/>
      </c>
      <c r="EA24" s="36" t="str">
        <f t="shared" si="52"/>
        <v/>
      </c>
      <c r="EB24" s="36" t="str">
        <f t="shared" si="53"/>
        <v/>
      </c>
      <c r="EC24" s="36" t="str">
        <f t="shared" si="54"/>
        <v/>
      </c>
      <c r="ED24" s="36" t="str">
        <f t="shared" si="55"/>
        <v/>
      </c>
      <c r="EE24" s="36" t="str">
        <f t="shared" si="56"/>
        <v/>
      </c>
      <c r="EF24" s="16"/>
      <c r="EG24" s="16"/>
      <c r="EH24" s="16"/>
      <c r="EI24" s="16"/>
      <c r="EJ24" s="16"/>
      <c r="EK24" s="16"/>
      <c r="EL24" s="16"/>
      <c r="EM24" s="16"/>
      <c r="EN24" s="16"/>
      <c r="EO24" s="16"/>
      <c r="EP24" s="16"/>
      <c r="EQ24" s="16"/>
      <c r="ER24" s="16"/>
      <c r="ES24" s="16"/>
      <c r="ET24" s="16"/>
      <c r="EU24" s="16"/>
      <c r="EV24" s="16"/>
      <c r="EW24" s="16"/>
      <c r="EX24" s="16"/>
      <c r="EY24" s="16"/>
      <c r="EZ24" s="11" t="str">
        <f t="shared" si="57"/>
        <v/>
      </c>
      <c r="FA24" s="11" t="str">
        <f t="shared" si="58"/>
        <v/>
      </c>
      <c r="FB24" s="11" t="str">
        <f t="shared" si="59"/>
        <v/>
      </c>
      <c r="FC24" s="11" t="str">
        <f t="shared" si="60"/>
        <v/>
      </c>
      <c r="FD24" s="11" t="str">
        <f t="shared" si="61"/>
        <v/>
      </c>
      <c r="FE24" s="11" t="str">
        <f t="shared" si="62"/>
        <v/>
      </c>
      <c r="FF24" s="11" t="str">
        <f t="shared" si="63"/>
        <v/>
      </c>
      <c r="FG24" s="11" t="str">
        <f t="shared" si="64"/>
        <v/>
      </c>
      <c r="FH24" s="11" t="str">
        <f t="shared" si="65"/>
        <v/>
      </c>
      <c r="FI24" s="11" t="str">
        <f t="shared" si="66"/>
        <v/>
      </c>
      <c r="FJ24" s="11" t="str">
        <f t="shared" si="67"/>
        <v/>
      </c>
      <c r="FK24" s="11" t="str">
        <f t="shared" si="68"/>
        <v/>
      </c>
      <c r="FL24" s="11" t="str">
        <f t="shared" si="69"/>
        <v/>
      </c>
      <c r="FM24" s="11" t="str">
        <f t="shared" si="70"/>
        <v/>
      </c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36" t="str">
        <f t="shared" si="71"/>
        <v/>
      </c>
      <c r="GI24" s="36" t="str">
        <f t="shared" si="72"/>
        <v/>
      </c>
      <c r="GJ24" s="36" t="str">
        <f t="shared" si="73"/>
        <v/>
      </c>
      <c r="GK24" s="36" t="str">
        <f t="shared" si="74"/>
        <v/>
      </c>
      <c r="GL24" s="36" t="str">
        <f t="shared" si="75"/>
        <v/>
      </c>
      <c r="GM24" s="36" t="str">
        <f t="shared" si="76"/>
        <v/>
      </c>
      <c r="GN24" s="36" t="str">
        <f t="shared" si="77"/>
        <v/>
      </c>
      <c r="GO24" s="36" t="str">
        <f t="shared" si="78"/>
        <v/>
      </c>
      <c r="GP24" s="36" t="str">
        <f t="shared" si="79"/>
        <v/>
      </c>
      <c r="GQ24" s="36" t="str">
        <f t="shared" si="80"/>
        <v/>
      </c>
      <c r="GR24" s="36" t="str">
        <f t="shared" si="81"/>
        <v/>
      </c>
      <c r="GS24" s="36" t="str">
        <f t="shared" si="82"/>
        <v/>
      </c>
      <c r="GT24" s="36" t="str">
        <f t="shared" si="83"/>
        <v/>
      </c>
      <c r="GU24" s="36" t="str">
        <f t="shared" si="84"/>
        <v/>
      </c>
      <c r="GV24" s="16"/>
      <c r="GW24" s="16"/>
      <c r="GX24" s="16"/>
      <c r="GY24" s="16"/>
      <c r="GZ24" s="16"/>
      <c r="HA24" s="16"/>
      <c r="HB24" s="16"/>
      <c r="HC24" s="16"/>
      <c r="HD24" s="16"/>
      <c r="HE24" s="16"/>
      <c r="HF24" s="16"/>
      <c r="HG24" s="16"/>
      <c r="HH24" s="16"/>
      <c r="HI24" s="16"/>
      <c r="HJ24" s="16"/>
      <c r="HK24" s="16"/>
      <c r="HL24" s="16"/>
      <c r="HM24" s="16"/>
      <c r="HN24" s="16"/>
      <c r="HO24" s="16"/>
      <c r="HP24" s="11" t="str">
        <f t="shared" si="85"/>
        <v/>
      </c>
      <c r="HQ24" s="11" t="str">
        <f t="shared" si="86"/>
        <v/>
      </c>
      <c r="HR24" s="11" t="str">
        <f t="shared" si="87"/>
        <v/>
      </c>
      <c r="HS24" s="11" t="str">
        <f t="shared" si="88"/>
        <v/>
      </c>
      <c r="HT24" s="11" t="str">
        <f t="shared" si="89"/>
        <v/>
      </c>
      <c r="HU24" s="11" t="str">
        <f t="shared" si="90"/>
        <v/>
      </c>
      <c r="HV24" s="11" t="str">
        <f t="shared" si="91"/>
        <v/>
      </c>
      <c r="HW24" s="11" t="str">
        <f t="shared" si="92"/>
        <v/>
      </c>
      <c r="HX24" s="11" t="str">
        <f t="shared" si="93"/>
        <v/>
      </c>
      <c r="HY24" s="11" t="str">
        <f t="shared" si="94"/>
        <v/>
      </c>
      <c r="HZ24" s="11" t="str">
        <f t="shared" si="95"/>
        <v/>
      </c>
      <c r="IA24" s="11" t="str">
        <f t="shared" si="96"/>
        <v/>
      </c>
      <c r="IB24" s="11" t="str">
        <f t="shared" si="97"/>
        <v/>
      </c>
      <c r="IC24" s="11" t="str">
        <f t="shared" si="98"/>
        <v/>
      </c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36" t="str">
        <f t="shared" si="99"/>
        <v/>
      </c>
      <c r="IY24" s="36" t="str">
        <f t="shared" si="100"/>
        <v/>
      </c>
      <c r="IZ24" s="36" t="str">
        <f t="shared" si="101"/>
        <v/>
      </c>
      <c r="JA24" s="36" t="str">
        <f t="shared" si="102"/>
        <v/>
      </c>
      <c r="JB24" s="36" t="str">
        <f t="shared" si="103"/>
        <v/>
      </c>
      <c r="JC24" s="36" t="str">
        <f t="shared" si="104"/>
        <v/>
      </c>
      <c r="JD24" s="36" t="str">
        <f t="shared" si="105"/>
        <v/>
      </c>
      <c r="JE24" s="36" t="str">
        <f t="shared" si="106"/>
        <v/>
      </c>
      <c r="JF24" s="36" t="str">
        <f t="shared" si="107"/>
        <v/>
      </c>
      <c r="JG24" s="36" t="str">
        <f t="shared" si="108"/>
        <v/>
      </c>
      <c r="JH24" s="36" t="str">
        <f t="shared" si="109"/>
        <v/>
      </c>
      <c r="JI24" s="36" t="str">
        <f t="shared" si="110"/>
        <v/>
      </c>
      <c r="JJ24" s="36" t="str">
        <f t="shared" si="111"/>
        <v/>
      </c>
      <c r="JK24" s="36" t="str">
        <f t="shared" si="112"/>
        <v/>
      </c>
      <c r="JL24" s="16"/>
      <c r="JM24" s="16"/>
      <c r="JN24" s="16"/>
      <c r="JO24" s="16"/>
      <c r="JP24" s="16"/>
      <c r="JQ24" s="16"/>
      <c r="JR24" s="16"/>
      <c r="JS24" s="16"/>
      <c r="JT24" s="16"/>
      <c r="JU24" s="16"/>
      <c r="JV24" s="16"/>
      <c r="JW24" s="16"/>
      <c r="JX24" s="16"/>
      <c r="JY24" s="16"/>
      <c r="JZ24" s="16"/>
      <c r="KA24" s="16"/>
      <c r="KB24" s="16"/>
      <c r="KC24" s="16"/>
      <c r="KD24" s="16"/>
      <c r="KE24" s="16"/>
      <c r="KF24" s="11" t="str">
        <f t="shared" si="113"/>
        <v/>
      </c>
      <c r="KG24" s="11" t="str">
        <f t="shared" si="114"/>
        <v/>
      </c>
      <c r="KH24" s="11" t="str">
        <f t="shared" si="115"/>
        <v/>
      </c>
      <c r="KI24" s="11" t="str">
        <f t="shared" si="116"/>
        <v/>
      </c>
      <c r="KJ24" s="11" t="str">
        <f t="shared" si="117"/>
        <v/>
      </c>
      <c r="KK24" s="11" t="str">
        <f t="shared" si="118"/>
        <v/>
      </c>
      <c r="KL24" s="11" t="str">
        <f t="shared" si="119"/>
        <v/>
      </c>
      <c r="KM24" s="11" t="str">
        <f t="shared" si="120"/>
        <v/>
      </c>
      <c r="KN24" s="11" t="str">
        <f t="shared" si="121"/>
        <v/>
      </c>
      <c r="KO24" s="11" t="str">
        <f t="shared" si="122"/>
        <v/>
      </c>
      <c r="KP24" s="11" t="str">
        <f t="shared" si="123"/>
        <v/>
      </c>
      <c r="KQ24" s="11" t="str">
        <f t="shared" si="124"/>
        <v/>
      </c>
      <c r="KR24" s="11" t="str">
        <f t="shared" si="125"/>
        <v/>
      </c>
      <c r="KS24" s="11" t="str">
        <f t="shared" si="126"/>
        <v/>
      </c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36" t="str">
        <f t="shared" si="127"/>
        <v/>
      </c>
      <c r="LO24" s="36" t="str">
        <f t="shared" si="128"/>
        <v/>
      </c>
      <c r="LP24" s="36" t="str">
        <f t="shared" si="129"/>
        <v/>
      </c>
      <c r="LQ24" s="36" t="str">
        <f t="shared" si="130"/>
        <v/>
      </c>
      <c r="LR24" s="36" t="str">
        <f t="shared" si="131"/>
        <v/>
      </c>
      <c r="LS24" s="36" t="str">
        <f t="shared" si="132"/>
        <v/>
      </c>
      <c r="LT24" s="36" t="str">
        <f t="shared" si="133"/>
        <v/>
      </c>
      <c r="LU24" s="36" t="str">
        <f t="shared" si="134"/>
        <v/>
      </c>
      <c r="LV24" s="36" t="str">
        <f t="shared" si="135"/>
        <v/>
      </c>
      <c r="LW24" s="36" t="str">
        <f t="shared" si="136"/>
        <v/>
      </c>
      <c r="LX24" s="36" t="str">
        <f t="shared" si="137"/>
        <v/>
      </c>
      <c r="LY24" s="36" t="str">
        <f t="shared" si="138"/>
        <v/>
      </c>
      <c r="LZ24" s="36" t="str">
        <f t="shared" si="139"/>
        <v/>
      </c>
      <c r="MA24" s="36" t="str">
        <f t="shared" si="140"/>
        <v/>
      </c>
      <c r="MB24" s="16"/>
      <c r="MC24" s="16"/>
      <c r="MD24" s="16"/>
      <c r="ME24" s="16"/>
      <c r="MF24" s="16"/>
      <c r="MG24" s="16"/>
      <c r="MH24" s="16"/>
      <c r="MI24" s="16"/>
      <c r="MJ24" s="16"/>
      <c r="MK24" s="16"/>
      <c r="ML24" s="16"/>
      <c r="MM24" s="16"/>
      <c r="MN24" s="16"/>
      <c r="MO24" s="16"/>
      <c r="MP24" s="16"/>
      <c r="MQ24" s="16"/>
      <c r="MR24" s="16"/>
      <c r="MS24" s="16"/>
      <c r="MT24" s="16"/>
      <c r="MU24" s="16"/>
      <c r="MV24" s="11" t="str">
        <f t="shared" si="141"/>
        <v/>
      </c>
      <c r="MW24" s="11" t="str">
        <f t="shared" si="142"/>
        <v/>
      </c>
      <c r="MX24" s="11" t="str">
        <f t="shared" si="143"/>
        <v/>
      </c>
      <c r="MY24" s="11" t="str">
        <f t="shared" si="144"/>
        <v/>
      </c>
      <c r="MZ24" s="11" t="str">
        <f t="shared" si="145"/>
        <v/>
      </c>
      <c r="NA24" s="11" t="str">
        <f t="shared" si="146"/>
        <v/>
      </c>
      <c r="NB24" s="11" t="str">
        <f t="shared" si="147"/>
        <v/>
      </c>
      <c r="NC24" s="11" t="str">
        <f t="shared" si="148"/>
        <v/>
      </c>
      <c r="ND24" s="11" t="str">
        <f t="shared" si="149"/>
        <v/>
      </c>
      <c r="NE24" s="11" t="str">
        <f t="shared" si="150"/>
        <v/>
      </c>
      <c r="NF24" s="11" t="str">
        <f t="shared" si="151"/>
        <v/>
      </c>
      <c r="NG24" s="11" t="str">
        <f t="shared" si="152"/>
        <v/>
      </c>
      <c r="NH24" s="11" t="str">
        <f t="shared" si="153"/>
        <v/>
      </c>
      <c r="NI24" s="11" t="str">
        <f t="shared" si="154"/>
        <v/>
      </c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36" t="str">
        <f t="shared" si="155"/>
        <v/>
      </c>
      <c r="OE24" s="36" t="str">
        <f t="shared" si="156"/>
        <v/>
      </c>
      <c r="OF24" s="36" t="str">
        <f t="shared" si="157"/>
        <v/>
      </c>
      <c r="OG24" s="36" t="str">
        <f t="shared" si="158"/>
        <v/>
      </c>
      <c r="OH24" s="36" t="str">
        <f t="shared" si="159"/>
        <v/>
      </c>
      <c r="OI24" s="36" t="str">
        <f t="shared" si="160"/>
        <v/>
      </c>
      <c r="OJ24" s="36" t="str">
        <f t="shared" si="161"/>
        <v/>
      </c>
      <c r="OK24" s="36" t="str">
        <f t="shared" si="162"/>
        <v/>
      </c>
      <c r="OL24" s="36" t="str">
        <f t="shared" si="163"/>
        <v/>
      </c>
      <c r="OM24" s="36" t="str">
        <f t="shared" si="164"/>
        <v/>
      </c>
      <c r="ON24" s="36" t="str">
        <f t="shared" si="165"/>
        <v/>
      </c>
      <c r="OO24" s="36" t="str">
        <f t="shared" si="166"/>
        <v/>
      </c>
      <c r="OP24" s="36" t="str">
        <f t="shared" si="167"/>
        <v/>
      </c>
      <c r="OQ24" s="36" t="str">
        <f t="shared" si="168"/>
        <v/>
      </c>
      <c r="OR24" s="16"/>
      <c r="OS24" s="16"/>
      <c r="OT24" s="16"/>
      <c r="OU24" s="16"/>
      <c r="OV24" s="16"/>
      <c r="OW24" s="16"/>
      <c r="OX24" s="16"/>
      <c r="OY24" s="16"/>
      <c r="OZ24" s="16"/>
      <c r="PA24" s="16"/>
      <c r="PB24" s="16"/>
      <c r="PC24" s="16"/>
      <c r="PD24" s="16"/>
      <c r="PE24" s="16"/>
      <c r="PF24" s="16"/>
      <c r="PG24" s="16"/>
      <c r="PH24" s="16"/>
      <c r="PI24" s="16"/>
      <c r="PJ24" s="16"/>
      <c r="PK24" s="16"/>
      <c r="PL24" s="11" t="str">
        <f t="shared" si="169"/>
        <v/>
      </c>
      <c r="PM24" s="11" t="str">
        <f t="shared" si="170"/>
        <v/>
      </c>
      <c r="PN24" s="11" t="str">
        <f t="shared" si="171"/>
        <v/>
      </c>
      <c r="PO24" s="11" t="str">
        <f t="shared" si="172"/>
        <v/>
      </c>
      <c r="PP24" s="11" t="str">
        <f t="shared" si="173"/>
        <v/>
      </c>
      <c r="PQ24" s="11" t="str">
        <f t="shared" si="174"/>
        <v/>
      </c>
      <c r="PR24" s="11" t="str">
        <f t="shared" si="175"/>
        <v/>
      </c>
      <c r="PS24" s="11" t="str">
        <f t="shared" si="176"/>
        <v/>
      </c>
      <c r="PT24" s="11" t="str">
        <f t="shared" si="177"/>
        <v/>
      </c>
      <c r="PU24" s="11" t="str">
        <f t="shared" si="178"/>
        <v/>
      </c>
      <c r="PV24" s="11" t="str">
        <f t="shared" si="179"/>
        <v/>
      </c>
      <c r="PW24" s="11" t="str">
        <f t="shared" si="180"/>
        <v/>
      </c>
      <c r="PX24" s="11" t="str">
        <f t="shared" si="181"/>
        <v/>
      </c>
      <c r="PY24" s="11" t="str">
        <f t="shared" si="182"/>
        <v/>
      </c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36" t="str">
        <f t="shared" si="183"/>
        <v/>
      </c>
      <c r="QU24" s="36" t="str">
        <f t="shared" si="184"/>
        <v/>
      </c>
      <c r="QV24" s="36" t="str">
        <f t="shared" si="185"/>
        <v/>
      </c>
      <c r="QW24" s="36" t="str">
        <f t="shared" si="186"/>
        <v/>
      </c>
      <c r="QX24" s="36" t="str">
        <f t="shared" si="187"/>
        <v/>
      </c>
      <c r="QY24" s="36" t="str">
        <f t="shared" si="188"/>
        <v/>
      </c>
      <c r="QZ24" s="36" t="str">
        <f t="shared" si="189"/>
        <v/>
      </c>
      <c r="RA24" s="36" t="str">
        <f t="shared" si="190"/>
        <v/>
      </c>
      <c r="RB24" s="36" t="str">
        <f t="shared" si="191"/>
        <v/>
      </c>
      <c r="RC24" s="36" t="str">
        <f t="shared" si="192"/>
        <v/>
      </c>
      <c r="RD24" s="36" t="str">
        <f t="shared" si="193"/>
        <v/>
      </c>
      <c r="RE24" s="36" t="str">
        <f t="shared" si="194"/>
        <v/>
      </c>
      <c r="RF24" s="36" t="str">
        <f t="shared" si="195"/>
        <v/>
      </c>
      <c r="RG24" s="36" t="str">
        <f t="shared" si="196"/>
        <v/>
      </c>
      <c r="RH24" s="16"/>
      <c r="RI24" s="16"/>
      <c r="RJ24" s="16"/>
      <c r="RK24" s="16"/>
      <c r="RL24" s="16"/>
      <c r="RM24" s="16"/>
      <c r="RN24" s="16"/>
      <c r="RO24" s="16"/>
      <c r="RP24" s="16"/>
      <c r="RQ24" s="16"/>
      <c r="RR24" s="16"/>
      <c r="RS24" s="16"/>
      <c r="RT24" s="16"/>
      <c r="RU24" s="16"/>
      <c r="RV24" s="16"/>
      <c r="RW24" s="16"/>
      <c r="RX24" s="16"/>
      <c r="RY24" s="16"/>
      <c r="RZ24" s="16"/>
      <c r="SA24" s="16"/>
      <c r="SB24" s="11" t="str">
        <f t="shared" si="197"/>
        <v/>
      </c>
      <c r="SC24" s="11" t="str">
        <f t="shared" si="198"/>
        <v/>
      </c>
      <c r="SD24" s="11" t="str">
        <f t="shared" si="199"/>
        <v/>
      </c>
      <c r="SE24" s="11" t="str">
        <f t="shared" si="200"/>
        <v/>
      </c>
      <c r="SF24" s="11" t="str">
        <f t="shared" si="201"/>
        <v/>
      </c>
      <c r="SG24" s="11" t="str">
        <f t="shared" si="202"/>
        <v/>
      </c>
      <c r="SH24" s="11" t="str">
        <f t="shared" si="203"/>
        <v/>
      </c>
      <c r="SI24" s="11" t="str">
        <f t="shared" si="204"/>
        <v/>
      </c>
      <c r="SJ24" s="11" t="str">
        <f t="shared" si="205"/>
        <v/>
      </c>
      <c r="SK24" s="11" t="str">
        <f t="shared" si="206"/>
        <v/>
      </c>
      <c r="SL24" s="11" t="str">
        <f t="shared" si="207"/>
        <v/>
      </c>
      <c r="SM24" s="11" t="str">
        <f t="shared" si="208"/>
        <v/>
      </c>
      <c r="SN24" s="11" t="str">
        <f t="shared" si="209"/>
        <v/>
      </c>
      <c r="SO24" s="11" t="str">
        <f t="shared" si="210"/>
        <v/>
      </c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36" t="str">
        <f t="shared" si="211"/>
        <v/>
      </c>
      <c r="TK24" s="36" t="str">
        <f t="shared" si="212"/>
        <v/>
      </c>
      <c r="TL24" s="36" t="str">
        <f t="shared" si="213"/>
        <v/>
      </c>
      <c r="TM24" s="36" t="str">
        <f t="shared" si="214"/>
        <v/>
      </c>
      <c r="TN24" s="36" t="str">
        <f t="shared" si="215"/>
        <v/>
      </c>
      <c r="TO24" s="36" t="str">
        <f t="shared" si="216"/>
        <v/>
      </c>
      <c r="TP24" s="36" t="str">
        <f t="shared" si="217"/>
        <v/>
      </c>
      <c r="TQ24" s="36" t="str">
        <f t="shared" si="218"/>
        <v/>
      </c>
      <c r="TR24" s="36" t="str">
        <f t="shared" si="219"/>
        <v/>
      </c>
      <c r="TS24" s="36" t="str">
        <f t="shared" si="220"/>
        <v/>
      </c>
      <c r="TT24" s="36" t="str">
        <f t="shared" si="221"/>
        <v/>
      </c>
      <c r="TU24" s="36" t="str">
        <f t="shared" si="222"/>
        <v/>
      </c>
      <c r="TV24" s="36" t="str">
        <f t="shared" si="223"/>
        <v/>
      </c>
      <c r="TW24" s="36" t="str">
        <f t="shared" si="224"/>
        <v/>
      </c>
      <c r="TX24" s="16"/>
      <c r="TY24" s="16"/>
      <c r="TZ24" s="16"/>
      <c r="UA24" s="16"/>
      <c r="UB24" s="16"/>
      <c r="UC24" s="16"/>
      <c r="UD24" s="16"/>
      <c r="UE24" s="16"/>
      <c r="UF24" s="16"/>
      <c r="UG24" s="16"/>
      <c r="UH24" s="16"/>
      <c r="UI24" s="16"/>
      <c r="UJ24" s="16"/>
      <c r="UK24" s="16"/>
      <c r="UL24" s="16"/>
      <c r="UM24" s="16"/>
      <c r="UN24" s="16"/>
      <c r="UO24" s="16"/>
      <c r="UP24" s="16"/>
      <c r="UQ24" s="16"/>
      <c r="UR24" s="11" t="str">
        <f t="shared" si="225"/>
        <v/>
      </c>
      <c r="US24" s="11" t="str">
        <f t="shared" si="226"/>
        <v/>
      </c>
      <c r="UT24" s="11" t="str">
        <f t="shared" si="227"/>
        <v/>
      </c>
      <c r="UU24" s="11" t="str">
        <f t="shared" si="228"/>
        <v/>
      </c>
      <c r="UV24" s="11" t="str">
        <f t="shared" si="229"/>
        <v/>
      </c>
      <c r="UW24" s="11" t="str">
        <f t="shared" si="230"/>
        <v/>
      </c>
      <c r="UX24" s="11" t="str">
        <f t="shared" si="231"/>
        <v/>
      </c>
      <c r="UY24" s="11" t="str">
        <f t="shared" si="232"/>
        <v/>
      </c>
      <c r="UZ24" s="11" t="str">
        <f t="shared" si="233"/>
        <v/>
      </c>
      <c r="VA24" s="11" t="str">
        <f t="shared" si="234"/>
        <v/>
      </c>
      <c r="VB24" s="11" t="str">
        <f t="shared" si="235"/>
        <v/>
      </c>
      <c r="VC24" s="11" t="str">
        <f t="shared" si="236"/>
        <v/>
      </c>
      <c r="VD24" s="11" t="str">
        <f t="shared" si="237"/>
        <v/>
      </c>
      <c r="VE24" s="11" t="str">
        <f t="shared" si="238"/>
        <v/>
      </c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36" t="str">
        <f t="shared" si="239"/>
        <v/>
      </c>
      <c r="WA24" s="36" t="str">
        <f t="shared" si="240"/>
        <v/>
      </c>
      <c r="WB24" s="36" t="str">
        <f t="shared" si="241"/>
        <v/>
      </c>
      <c r="WC24" s="36" t="str">
        <f t="shared" si="242"/>
        <v/>
      </c>
      <c r="WD24" s="36" t="str">
        <f t="shared" si="243"/>
        <v/>
      </c>
      <c r="WE24" s="36" t="str">
        <f t="shared" si="244"/>
        <v/>
      </c>
      <c r="WF24" s="36" t="str">
        <f t="shared" si="245"/>
        <v/>
      </c>
      <c r="WG24" s="36" t="str">
        <f t="shared" si="246"/>
        <v/>
      </c>
      <c r="WH24" s="36" t="str">
        <f t="shared" si="247"/>
        <v/>
      </c>
      <c r="WI24" s="36" t="str">
        <f t="shared" si="248"/>
        <v/>
      </c>
      <c r="WJ24" s="36" t="str">
        <f t="shared" si="249"/>
        <v/>
      </c>
      <c r="WK24" s="36" t="str">
        <f t="shared" si="250"/>
        <v/>
      </c>
      <c r="WL24" s="36" t="str">
        <f t="shared" si="251"/>
        <v/>
      </c>
      <c r="WM24" s="36" t="str">
        <f t="shared" si="252"/>
        <v/>
      </c>
    </row>
    <row r="25" spans="1:611" x14ac:dyDescent="0.2">
      <c r="B25" s="5"/>
      <c r="D25" s="1"/>
    </row>
    <row r="26" spans="1:611" x14ac:dyDescent="0.2">
      <c r="G26" s="32"/>
      <c r="I26" s="32"/>
    </row>
    <row r="27" spans="1:611" x14ac:dyDescent="0.2">
      <c r="B27" s="19" t="s">
        <v>40</v>
      </c>
      <c r="C27" s="5"/>
      <c r="G27" s="3"/>
      <c r="AL27" s="37"/>
      <c r="AM27" s="37"/>
      <c r="AN27" s="37"/>
      <c r="AP27" s="28"/>
      <c r="AQ27" s="28"/>
      <c r="AS27" s="38">
        <v>15.9</v>
      </c>
      <c r="BM27" s="37"/>
      <c r="BN27" s="37"/>
      <c r="BO27" s="37"/>
      <c r="BQ27" s="28"/>
      <c r="BR27" s="28"/>
      <c r="BT27" s="38">
        <v>15.9</v>
      </c>
      <c r="CN27" s="37"/>
      <c r="CO27" s="37"/>
      <c r="CP27" s="37"/>
      <c r="CR27" s="28"/>
      <c r="CS27" s="28"/>
      <c r="CU27" s="38">
        <v>16.600000000000001</v>
      </c>
      <c r="DR27" s="5"/>
      <c r="DS27" s="5"/>
      <c r="EB27" s="2"/>
      <c r="EC27" s="2"/>
      <c r="EE27" s="38">
        <v>15.9</v>
      </c>
      <c r="EZ27" s="5"/>
      <c r="FA27" s="5"/>
      <c r="FJ27" s="2"/>
      <c r="FK27" s="2"/>
      <c r="FM27" s="38">
        <v>15.9</v>
      </c>
      <c r="GH27" s="5"/>
      <c r="GI27" s="5"/>
      <c r="GR27" s="2"/>
      <c r="GS27" s="2"/>
      <c r="GU27" s="38">
        <v>15.9</v>
      </c>
      <c r="HP27" s="5"/>
      <c r="HQ27" s="5"/>
      <c r="HZ27" s="2"/>
      <c r="IA27" s="2"/>
      <c r="IC27" s="38">
        <v>15.9</v>
      </c>
      <c r="IX27" s="5"/>
      <c r="IY27" s="5"/>
      <c r="JH27" s="2"/>
      <c r="JI27" s="2"/>
      <c r="JK27" s="38">
        <v>15.9</v>
      </c>
      <c r="KF27" s="5"/>
      <c r="KG27" s="5"/>
      <c r="KP27" s="2"/>
      <c r="KQ27" s="2"/>
      <c r="KS27" s="38">
        <v>15.9</v>
      </c>
      <c r="LN27" s="5"/>
      <c r="LO27" s="5"/>
      <c r="LX27" s="2"/>
      <c r="LY27" s="2"/>
      <c r="MA27" s="38">
        <v>15.9</v>
      </c>
      <c r="MV27" s="5"/>
      <c r="MW27" s="5"/>
      <c r="NF27" s="2"/>
      <c r="NG27" s="2"/>
      <c r="NI27" s="38">
        <v>15.9</v>
      </c>
      <c r="OD27" s="5"/>
      <c r="OE27" s="5"/>
      <c r="ON27" s="2"/>
      <c r="OO27" s="2"/>
      <c r="OQ27" s="38">
        <v>15.9</v>
      </c>
      <c r="PL27" s="5"/>
      <c r="PM27" s="5"/>
      <c r="PV27" s="2"/>
      <c r="PW27" s="2"/>
      <c r="PY27" s="38">
        <v>16.600000000000001</v>
      </c>
      <c r="QT27" s="5"/>
      <c r="QU27" s="5"/>
      <c r="RD27" s="2"/>
      <c r="RE27" s="2"/>
      <c r="RG27" s="38">
        <v>16.600000000000001</v>
      </c>
      <c r="SB27" s="5"/>
      <c r="SC27" s="5"/>
      <c r="SL27" s="2"/>
      <c r="SM27" s="2"/>
      <c r="SO27" s="38">
        <v>16.600000000000001</v>
      </c>
      <c r="TJ27" s="5"/>
      <c r="TK27" s="5"/>
      <c r="TT27" s="2"/>
      <c r="TU27" s="2"/>
      <c r="TW27" s="38">
        <v>16.600000000000001</v>
      </c>
      <c r="UR27" s="5"/>
      <c r="US27" s="5"/>
      <c r="VB27" s="2"/>
      <c r="VC27" s="2"/>
      <c r="VE27" s="38">
        <v>16.600000000000001</v>
      </c>
      <c r="VZ27" s="5"/>
      <c r="WA27" s="5"/>
      <c r="WJ27" s="2"/>
      <c r="WK27" s="2"/>
      <c r="WM27" s="38">
        <v>16.600000000000001</v>
      </c>
    </row>
    <row r="28" spans="1:611" hidden="1" x14ac:dyDescent="0.2">
      <c r="B28" s="26" t="s">
        <v>39</v>
      </c>
      <c r="C28" s="5"/>
      <c r="R28" s="2"/>
      <c r="AL28" s="37"/>
      <c r="AM28" s="37"/>
      <c r="AN28" s="37"/>
      <c r="AP28" s="28"/>
      <c r="AQ28" s="28"/>
      <c r="AS28" s="39">
        <v>1000</v>
      </c>
      <c r="BM28" s="37"/>
      <c r="BN28" s="37"/>
      <c r="BO28" s="37"/>
      <c r="BQ28" s="28"/>
      <c r="BR28" s="28"/>
      <c r="BT28" s="39">
        <v>1000</v>
      </c>
      <c r="CN28" s="37"/>
      <c r="CO28" s="37"/>
      <c r="CP28" s="37"/>
      <c r="CR28" s="28"/>
      <c r="CS28" s="28"/>
      <c r="CU28" s="39">
        <v>1000</v>
      </c>
      <c r="DR28" s="5"/>
      <c r="DS28" s="5"/>
      <c r="EB28" s="2"/>
      <c r="EC28" s="2"/>
      <c r="EE28" s="39">
        <v>1000</v>
      </c>
      <c r="EZ28" s="5"/>
      <c r="FA28" s="5"/>
      <c r="FJ28" s="2"/>
      <c r="FK28" s="2"/>
      <c r="FM28" s="39">
        <v>1000</v>
      </c>
      <c r="GH28" s="5"/>
      <c r="GI28" s="5"/>
      <c r="GR28" s="2"/>
      <c r="GS28" s="2"/>
      <c r="GU28" s="39">
        <v>1000</v>
      </c>
      <c r="HP28" s="5"/>
      <c r="HQ28" s="5"/>
      <c r="HZ28" s="2"/>
      <c r="IA28" s="2"/>
      <c r="IC28" s="39">
        <v>1000</v>
      </c>
      <c r="IX28" s="5"/>
      <c r="IY28" s="5"/>
      <c r="JH28" s="2"/>
      <c r="JI28" s="2"/>
      <c r="JK28" s="39">
        <v>1000</v>
      </c>
      <c r="KF28" s="5"/>
      <c r="KG28" s="5"/>
      <c r="KP28" s="2"/>
      <c r="KQ28" s="2"/>
      <c r="KS28" s="39">
        <v>1000</v>
      </c>
      <c r="LN28" s="5"/>
      <c r="LO28" s="5"/>
      <c r="LX28" s="2"/>
      <c r="LY28" s="2"/>
      <c r="MA28" s="39">
        <v>1000</v>
      </c>
      <c r="MV28" s="5"/>
      <c r="MW28" s="5"/>
      <c r="NF28" s="2"/>
      <c r="NG28" s="2"/>
      <c r="NI28" s="39">
        <v>1000</v>
      </c>
      <c r="OD28" s="5"/>
      <c r="OE28" s="5"/>
      <c r="ON28" s="2"/>
      <c r="OO28" s="2"/>
      <c r="OQ28" s="39">
        <v>1000</v>
      </c>
      <c r="PL28" s="5"/>
      <c r="PM28" s="5"/>
      <c r="PV28" s="2"/>
      <c r="PW28" s="2"/>
      <c r="PY28" s="39">
        <v>1000</v>
      </c>
      <c r="QT28" s="5"/>
      <c r="QU28" s="5"/>
      <c r="RD28" s="2"/>
      <c r="RE28" s="2"/>
      <c r="RG28" s="39">
        <v>1000</v>
      </c>
      <c r="SB28" s="5"/>
      <c r="SC28" s="5"/>
      <c r="SL28" s="2"/>
      <c r="SM28" s="2"/>
      <c r="SO28" s="39">
        <v>1000</v>
      </c>
      <c r="TJ28" s="5"/>
      <c r="TK28" s="5"/>
      <c r="TT28" s="2"/>
      <c r="TU28" s="2"/>
      <c r="TW28" s="39">
        <v>1000</v>
      </c>
      <c r="UR28" s="5"/>
      <c r="US28" s="5"/>
      <c r="VB28" s="2"/>
      <c r="VC28" s="2"/>
      <c r="VE28" s="39">
        <v>1000</v>
      </c>
      <c r="VZ28" s="5"/>
      <c r="WA28" s="5"/>
      <c r="WJ28" s="2"/>
      <c r="WK28" s="2"/>
      <c r="WM28" s="39">
        <v>1000</v>
      </c>
    </row>
    <row r="29" spans="1:611" hidden="1" x14ac:dyDescent="0.2">
      <c r="A29" s="5"/>
      <c r="B29" s="27" t="s">
        <v>50</v>
      </c>
      <c r="C29" s="5"/>
      <c r="E29" s="2"/>
      <c r="AL29" s="37"/>
      <c r="AM29" s="37"/>
      <c r="AN29" s="37"/>
      <c r="AO29" s="28"/>
      <c r="AP29" s="28"/>
      <c r="AQ29" s="28"/>
      <c r="AR29" s="28"/>
      <c r="AS29" s="40">
        <v>1000</v>
      </c>
      <c r="BM29" s="37"/>
      <c r="BN29" s="37"/>
      <c r="BO29" s="37"/>
      <c r="BQ29" s="28"/>
      <c r="BR29" s="28"/>
      <c r="BT29" s="40">
        <v>1000</v>
      </c>
      <c r="CN29" s="37"/>
      <c r="CO29" s="37"/>
      <c r="CP29" s="37"/>
      <c r="CQ29" s="28"/>
      <c r="CR29" s="28"/>
      <c r="CS29" s="28"/>
      <c r="CT29" s="28"/>
      <c r="CU29" s="40">
        <v>1000</v>
      </c>
      <c r="DR29" s="5"/>
      <c r="DS29" s="5"/>
      <c r="EB29" s="2"/>
      <c r="EC29" s="2"/>
      <c r="EE29" s="40">
        <v>0</v>
      </c>
      <c r="EZ29" s="5"/>
      <c r="FA29" s="5"/>
      <c r="FJ29" s="2"/>
      <c r="FK29" s="2"/>
      <c r="FM29" s="40">
        <v>0</v>
      </c>
      <c r="GH29" s="5"/>
      <c r="GI29" s="5"/>
      <c r="GR29" s="2"/>
      <c r="GS29" s="2"/>
      <c r="GU29" s="40">
        <v>0</v>
      </c>
      <c r="HP29" s="5"/>
      <c r="HQ29" s="5"/>
      <c r="HZ29" s="2"/>
      <c r="IA29" s="2"/>
      <c r="IC29" s="40">
        <v>0</v>
      </c>
      <c r="IX29" s="5"/>
      <c r="IY29" s="5"/>
      <c r="JH29" s="2"/>
      <c r="JI29" s="2"/>
      <c r="JK29" s="40">
        <v>0</v>
      </c>
      <c r="KF29" s="5"/>
      <c r="KG29" s="5"/>
      <c r="KP29" s="2"/>
      <c r="KQ29" s="2"/>
      <c r="KS29" s="40">
        <v>0</v>
      </c>
      <c r="LN29" s="5"/>
      <c r="LO29" s="5"/>
      <c r="LX29" s="2"/>
      <c r="LY29" s="2"/>
      <c r="MA29" s="40">
        <v>0</v>
      </c>
      <c r="MV29" s="5"/>
      <c r="MW29" s="5"/>
      <c r="NF29" s="2"/>
      <c r="NG29" s="2"/>
      <c r="NI29" s="40">
        <v>0</v>
      </c>
      <c r="OD29" s="5"/>
      <c r="OE29" s="5"/>
      <c r="ON29" s="2"/>
      <c r="OO29" s="2"/>
      <c r="OQ29" s="40">
        <v>0</v>
      </c>
      <c r="PL29" s="5"/>
      <c r="PM29" s="5"/>
      <c r="PV29" s="2"/>
      <c r="PW29" s="2"/>
      <c r="PY29" s="40">
        <v>0</v>
      </c>
      <c r="QT29" s="5"/>
      <c r="QU29" s="5"/>
      <c r="RD29" s="2"/>
      <c r="RE29" s="2"/>
      <c r="RG29" s="40">
        <v>0</v>
      </c>
      <c r="SB29" s="5"/>
      <c r="SC29" s="5"/>
      <c r="SL29" s="2"/>
      <c r="SM29" s="2"/>
      <c r="SO29" s="40">
        <v>0</v>
      </c>
      <c r="TJ29" s="5"/>
      <c r="TK29" s="5"/>
      <c r="TT29" s="2"/>
      <c r="TU29" s="2"/>
      <c r="TW29" s="40">
        <v>0</v>
      </c>
      <c r="UR29" s="5"/>
      <c r="US29" s="5"/>
      <c r="VB29" s="2"/>
      <c r="VC29" s="2"/>
      <c r="VE29" s="40">
        <v>0</v>
      </c>
      <c r="VZ29" s="5"/>
      <c r="WA29" s="5"/>
      <c r="WJ29" s="2"/>
      <c r="WK29" s="2"/>
      <c r="WM29" s="40">
        <v>0</v>
      </c>
    </row>
    <row r="30" spans="1:611" hidden="1" x14ac:dyDescent="0.2">
      <c r="A30" s="5"/>
      <c r="B30" s="31" t="s">
        <v>57</v>
      </c>
      <c r="C30" s="5"/>
      <c r="E30" s="2"/>
      <c r="AL30" s="37"/>
      <c r="AM30" s="37"/>
      <c r="AN30" s="37"/>
      <c r="AO30" s="28"/>
      <c r="AP30" s="28"/>
      <c r="AQ30" s="28"/>
      <c r="AR30" s="28"/>
      <c r="AS30" s="41">
        <v>1000</v>
      </c>
      <c r="BM30" s="37"/>
      <c r="BN30" s="37"/>
      <c r="BO30" s="37"/>
      <c r="BQ30" s="28"/>
      <c r="BR30" s="28"/>
      <c r="BT30" s="41">
        <v>1000</v>
      </c>
      <c r="CN30" s="37"/>
      <c r="CO30" s="37"/>
      <c r="CP30" s="37"/>
      <c r="CQ30" s="28"/>
      <c r="CR30" s="28"/>
      <c r="CS30" s="28"/>
      <c r="CT30" s="28"/>
      <c r="CU30" s="41">
        <v>1000</v>
      </c>
      <c r="DR30" s="5"/>
      <c r="DS30" s="5"/>
      <c r="EB30" s="2"/>
      <c r="EC30" s="2"/>
      <c r="EE30" s="41">
        <v>0</v>
      </c>
      <c r="EZ30" s="5"/>
      <c r="FA30" s="5"/>
      <c r="FJ30" s="2"/>
      <c r="FK30" s="2"/>
      <c r="FM30" s="41">
        <v>0</v>
      </c>
      <c r="GH30" s="5"/>
      <c r="GI30" s="5"/>
      <c r="GR30" s="2"/>
      <c r="GS30" s="2"/>
      <c r="GU30" s="41">
        <v>0</v>
      </c>
      <c r="HP30" s="5"/>
      <c r="HQ30" s="5"/>
      <c r="HZ30" s="2"/>
      <c r="IA30" s="2"/>
      <c r="IC30" s="41">
        <v>0</v>
      </c>
      <c r="IX30" s="5"/>
      <c r="IY30" s="5"/>
      <c r="JH30" s="2"/>
      <c r="JI30" s="2"/>
      <c r="JK30" s="41">
        <v>0</v>
      </c>
      <c r="KF30" s="5"/>
      <c r="KG30" s="5"/>
      <c r="KP30" s="2"/>
      <c r="KQ30" s="2"/>
      <c r="KS30" s="41">
        <v>0</v>
      </c>
      <c r="LN30" s="5"/>
      <c r="LO30" s="5"/>
      <c r="LX30" s="2"/>
      <c r="LY30" s="2"/>
      <c r="MA30" s="41">
        <v>0</v>
      </c>
      <c r="MV30" s="5"/>
      <c r="MW30" s="5"/>
      <c r="NF30" s="2"/>
      <c r="NG30" s="2"/>
      <c r="NI30" s="41">
        <v>0</v>
      </c>
      <c r="OD30" s="5"/>
      <c r="OE30" s="5"/>
      <c r="ON30" s="2"/>
      <c r="OO30" s="2"/>
      <c r="OQ30" s="41">
        <v>0</v>
      </c>
      <c r="PL30" s="5"/>
      <c r="PM30" s="5"/>
      <c r="PV30" s="2"/>
      <c r="PW30" s="2"/>
      <c r="PY30" s="41">
        <v>0</v>
      </c>
      <c r="QT30" s="5"/>
      <c r="QU30" s="5"/>
      <c r="RD30" s="2"/>
      <c r="RE30" s="2"/>
      <c r="RG30" s="41">
        <v>0</v>
      </c>
      <c r="SB30" s="5"/>
      <c r="SC30" s="5"/>
      <c r="SL30" s="2"/>
      <c r="SM30" s="2"/>
      <c r="SO30" s="41">
        <v>0</v>
      </c>
      <c r="TJ30" s="5"/>
      <c r="TK30" s="5"/>
      <c r="TT30" s="2"/>
      <c r="TU30" s="2"/>
      <c r="TW30" s="41">
        <v>0</v>
      </c>
      <c r="UR30" s="5"/>
      <c r="US30" s="5"/>
      <c r="VB30" s="2"/>
      <c r="VC30" s="2"/>
      <c r="VE30" s="41">
        <v>0</v>
      </c>
      <c r="VZ30" s="5"/>
      <c r="WA30" s="5"/>
      <c r="WJ30" s="2"/>
      <c r="WK30" s="2"/>
      <c r="WM30" s="41">
        <v>0</v>
      </c>
    </row>
    <row r="31" spans="1:611" x14ac:dyDescent="0.2">
      <c r="A31" s="5"/>
      <c r="B31" s="30" t="s">
        <v>37</v>
      </c>
      <c r="C31" s="5"/>
      <c r="AL31" s="37"/>
      <c r="AM31" s="37"/>
      <c r="AN31" s="37"/>
      <c r="AO31" s="28"/>
      <c r="AP31" s="28"/>
      <c r="AQ31" s="28"/>
      <c r="AR31" s="28"/>
      <c r="AS31" s="42">
        <v>54.9</v>
      </c>
      <c r="BM31" s="37"/>
      <c r="BN31" s="37"/>
      <c r="BO31" s="37"/>
      <c r="BQ31" s="28"/>
      <c r="BR31" s="28"/>
      <c r="BT31" s="42">
        <v>54.9</v>
      </c>
      <c r="CN31" s="37"/>
      <c r="CO31" s="37"/>
      <c r="CP31" s="37"/>
      <c r="CQ31" s="28"/>
      <c r="CR31" s="28"/>
      <c r="CS31" s="28"/>
      <c r="CT31" s="28"/>
      <c r="CU31" s="42">
        <v>56.6</v>
      </c>
      <c r="DR31" s="5"/>
      <c r="DS31" s="5"/>
      <c r="EB31" s="2"/>
      <c r="EC31" s="2"/>
      <c r="EE31" s="42">
        <v>54.9</v>
      </c>
      <c r="EZ31" s="5"/>
      <c r="FA31" s="5"/>
      <c r="FJ31" s="2"/>
      <c r="FK31" s="2"/>
      <c r="FM31" s="42">
        <v>54.9</v>
      </c>
      <c r="GH31" s="5"/>
      <c r="GI31" s="5"/>
      <c r="GR31" s="2"/>
      <c r="GS31" s="2"/>
      <c r="GU31" s="42">
        <v>54.9</v>
      </c>
      <c r="HP31" s="5"/>
      <c r="HQ31" s="5"/>
      <c r="HZ31" s="2"/>
      <c r="IA31" s="2"/>
      <c r="IC31" s="42">
        <v>54.9</v>
      </c>
      <c r="IX31" s="5"/>
      <c r="IY31" s="5"/>
      <c r="JH31" s="2"/>
      <c r="JI31" s="2"/>
      <c r="JK31" s="42">
        <v>54.9</v>
      </c>
      <c r="KF31" s="5"/>
      <c r="KG31" s="5"/>
      <c r="KP31" s="2"/>
      <c r="KQ31" s="2"/>
      <c r="KS31" s="42">
        <v>54.9</v>
      </c>
      <c r="LN31" s="5"/>
      <c r="LO31" s="5"/>
      <c r="LX31" s="2"/>
      <c r="LY31" s="2"/>
      <c r="MA31" s="42">
        <v>54.9</v>
      </c>
      <c r="MV31" s="5"/>
      <c r="MW31" s="5"/>
      <c r="NF31" s="2"/>
      <c r="NG31" s="2"/>
      <c r="NI31" s="42">
        <v>54.9</v>
      </c>
      <c r="OD31" s="5"/>
      <c r="OE31" s="5"/>
      <c r="ON31" s="2"/>
      <c r="OO31" s="2"/>
      <c r="OQ31" s="42">
        <v>54.9</v>
      </c>
      <c r="PL31" s="5"/>
      <c r="PM31" s="5"/>
      <c r="PV31" s="2"/>
      <c r="PW31" s="2"/>
      <c r="PY31" s="42">
        <v>56.6</v>
      </c>
      <c r="QT31" s="5"/>
      <c r="QU31" s="5"/>
      <c r="RD31" s="2"/>
      <c r="RE31" s="2"/>
      <c r="RG31" s="42">
        <v>56.6</v>
      </c>
      <c r="SB31" s="5"/>
      <c r="SC31" s="5"/>
      <c r="SL31" s="2"/>
      <c r="SM31" s="2"/>
      <c r="SO31" s="42">
        <v>56.6</v>
      </c>
      <c r="TJ31" s="5"/>
      <c r="TK31" s="5"/>
      <c r="TT31" s="2"/>
      <c r="TU31" s="2"/>
      <c r="TW31" s="42">
        <v>56.6</v>
      </c>
      <c r="UR31" s="5"/>
      <c r="US31" s="5"/>
      <c r="VB31" s="2"/>
      <c r="VC31" s="2"/>
      <c r="VE31" s="42">
        <v>56.6</v>
      </c>
      <c r="VZ31" s="5"/>
      <c r="WA31" s="5"/>
      <c r="WJ31" s="2"/>
      <c r="WK31" s="2"/>
      <c r="WM31" s="42">
        <v>56.6</v>
      </c>
    </row>
    <row r="32" spans="1:611" hidden="1" x14ac:dyDescent="0.2">
      <c r="A32" s="5"/>
      <c r="B32" s="20" t="s">
        <v>38</v>
      </c>
      <c r="C32" s="5"/>
      <c r="AL32" s="37"/>
      <c r="AM32" s="37"/>
      <c r="AN32" s="37"/>
      <c r="AO32" s="28"/>
      <c r="AP32" s="28"/>
      <c r="AQ32" s="28"/>
      <c r="AR32" s="28"/>
      <c r="AS32" s="43">
        <v>1000</v>
      </c>
      <c r="BM32" s="37"/>
      <c r="BN32" s="37"/>
      <c r="BO32" s="37"/>
      <c r="BQ32" s="28"/>
      <c r="BR32" s="28"/>
      <c r="BT32" s="43">
        <v>1000</v>
      </c>
      <c r="CN32" s="37"/>
      <c r="CO32" s="37"/>
      <c r="CP32" s="37"/>
      <c r="CQ32" s="28"/>
      <c r="CR32" s="28"/>
      <c r="CS32" s="28"/>
      <c r="CT32" s="28"/>
      <c r="CU32" s="43">
        <v>1000</v>
      </c>
      <c r="DR32" s="5"/>
      <c r="DS32" s="5"/>
      <c r="EB32" s="2"/>
      <c r="EC32" s="2"/>
      <c r="EE32" s="43">
        <v>1000</v>
      </c>
      <c r="EZ32" s="5"/>
      <c r="FA32" s="5"/>
      <c r="FJ32" s="2"/>
      <c r="FK32" s="2"/>
      <c r="FM32" s="43">
        <v>1000</v>
      </c>
      <c r="GH32" s="5"/>
      <c r="GI32" s="5"/>
      <c r="GR32" s="2"/>
      <c r="GS32" s="2"/>
      <c r="GU32" s="43">
        <v>1000</v>
      </c>
      <c r="HP32" s="5"/>
      <c r="HQ32" s="5"/>
      <c r="HZ32" s="2"/>
      <c r="IA32" s="2"/>
      <c r="IC32" s="43">
        <v>1000</v>
      </c>
      <c r="IX32" s="5"/>
      <c r="IY32" s="5"/>
      <c r="JH32" s="2"/>
      <c r="JI32" s="2"/>
      <c r="JK32" s="43">
        <v>1000</v>
      </c>
      <c r="KF32" s="5"/>
      <c r="KG32" s="5"/>
      <c r="KP32" s="2"/>
      <c r="KQ32" s="2"/>
      <c r="KS32" s="43">
        <v>1000</v>
      </c>
      <c r="LN32" s="5"/>
      <c r="LO32" s="5"/>
      <c r="LX32" s="2"/>
      <c r="LY32" s="2"/>
      <c r="MA32" s="43">
        <v>1000</v>
      </c>
      <c r="MV32" s="5"/>
      <c r="MW32" s="5"/>
      <c r="NF32" s="2"/>
      <c r="NG32" s="2"/>
      <c r="NI32" s="43">
        <v>1000</v>
      </c>
      <c r="OD32" s="5"/>
      <c r="OE32" s="5"/>
      <c r="ON32" s="2"/>
      <c r="OO32" s="2"/>
      <c r="OQ32" s="43">
        <v>1000</v>
      </c>
      <c r="PL32" s="5"/>
      <c r="PM32" s="5"/>
      <c r="PV32" s="2"/>
      <c r="PW32" s="2"/>
      <c r="PY32" s="43">
        <v>1000</v>
      </c>
      <c r="QT32" s="5"/>
      <c r="QU32" s="5"/>
      <c r="RD32" s="2"/>
      <c r="RE32" s="2"/>
      <c r="RG32" s="43">
        <v>1000</v>
      </c>
      <c r="SB32" s="5"/>
      <c r="SC32" s="5"/>
      <c r="SL32" s="2"/>
      <c r="SM32" s="2"/>
      <c r="SO32" s="43">
        <v>1000</v>
      </c>
      <c r="TJ32" s="5"/>
      <c r="TK32" s="5"/>
      <c r="TT32" s="2"/>
      <c r="TU32" s="2"/>
      <c r="TW32" s="43">
        <v>1000</v>
      </c>
      <c r="UR32" s="5"/>
      <c r="US32" s="5"/>
      <c r="VB32" s="2"/>
      <c r="VC32" s="2"/>
      <c r="VE32" s="43">
        <v>1000</v>
      </c>
      <c r="VZ32" s="5"/>
      <c r="WA32" s="5"/>
      <c r="WJ32" s="2"/>
      <c r="WK32" s="2"/>
      <c r="WM32" s="43">
        <v>1000</v>
      </c>
    </row>
    <row r="33" spans="1:611" hidden="1" x14ac:dyDescent="0.2">
      <c r="A33" s="5"/>
      <c r="B33" s="29" t="s">
        <v>49</v>
      </c>
      <c r="C33" s="5"/>
      <c r="AL33" s="37"/>
      <c r="AM33" s="37"/>
      <c r="AN33" s="37"/>
      <c r="AO33" s="28"/>
      <c r="AP33" s="28"/>
      <c r="AQ33" s="28"/>
      <c r="AR33" s="28"/>
      <c r="AS33" s="44">
        <v>1000</v>
      </c>
      <c r="BM33" s="37"/>
      <c r="BN33" s="37"/>
      <c r="BO33" s="37"/>
      <c r="BQ33" s="28"/>
      <c r="BR33" s="28"/>
      <c r="BT33" s="44">
        <v>1000</v>
      </c>
      <c r="CN33" s="37"/>
      <c r="CO33" s="37"/>
      <c r="CP33" s="37"/>
      <c r="CQ33" s="28"/>
      <c r="CR33" s="28"/>
      <c r="CS33" s="28"/>
      <c r="CT33" s="28"/>
      <c r="CU33" s="44">
        <v>1000</v>
      </c>
      <c r="DR33" s="5"/>
      <c r="DS33" s="5"/>
      <c r="EB33" s="2"/>
      <c r="EC33" s="2"/>
      <c r="ED33" s="33"/>
      <c r="EE33" s="44">
        <v>1000</v>
      </c>
      <c r="EZ33" s="5"/>
      <c r="FA33" s="5"/>
      <c r="FJ33" s="2"/>
      <c r="FK33" s="2"/>
      <c r="FL33" s="33"/>
      <c r="FM33" s="44">
        <v>1000</v>
      </c>
      <c r="GH33" s="5"/>
      <c r="GI33" s="5"/>
      <c r="GR33" s="2"/>
      <c r="GS33" s="2"/>
      <c r="GT33" s="33"/>
      <c r="GU33" s="44">
        <v>1000</v>
      </c>
      <c r="HP33" s="5"/>
      <c r="HQ33" s="5"/>
      <c r="HZ33" s="2"/>
      <c r="IA33" s="2"/>
      <c r="IB33" s="33"/>
      <c r="IC33" s="44">
        <v>1000</v>
      </c>
      <c r="IX33" s="5"/>
      <c r="IY33" s="5"/>
      <c r="JH33" s="2"/>
      <c r="JI33" s="2"/>
      <c r="JJ33" s="33"/>
      <c r="JK33" s="44">
        <v>1000</v>
      </c>
      <c r="KF33" s="5"/>
      <c r="KG33" s="5"/>
      <c r="KP33" s="2"/>
      <c r="KQ33" s="2"/>
      <c r="KR33" s="33"/>
      <c r="KS33" s="44">
        <v>1000</v>
      </c>
      <c r="LN33" s="5"/>
      <c r="LO33" s="5"/>
      <c r="LX33" s="2"/>
      <c r="LY33" s="2"/>
      <c r="LZ33" s="33"/>
      <c r="MA33" s="44">
        <v>1000</v>
      </c>
      <c r="MV33" s="5"/>
      <c r="MW33" s="5"/>
      <c r="NF33" s="2"/>
      <c r="NG33" s="2"/>
      <c r="NH33" s="33"/>
      <c r="NI33" s="44">
        <v>1000</v>
      </c>
      <c r="OD33" s="5"/>
      <c r="OE33" s="5"/>
      <c r="ON33" s="2"/>
      <c r="OO33" s="2"/>
      <c r="OP33" s="33"/>
      <c r="OQ33" s="44">
        <v>1000</v>
      </c>
      <c r="PL33" s="5"/>
      <c r="PM33" s="5"/>
      <c r="PV33" s="2"/>
      <c r="PW33" s="2"/>
      <c r="PX33" s="33"/>
      <c r="PY33" s="44">
        <v>1000</v>
      </c>
      <c r="QT33" s="5"/>
      <c r="QU33" s="5"/>
      <c r="RD33" s="2"/>
      <c r="RE33" s="2"/>
      <c r="RF33" s="33"/>
      <c r="RG33" s="44">
        <v>1000</v>
      </c>
      <c r="SB33" s="5"/>
      <c r="SC33" s="5"/>
      <c r="SL33" s="2"/>
      <c r="SM33" s="2"/>
      <c r="SN33" s="33"/>
      <c r="SO33" s="44">
        <v>1000</v>
      </c>
      <c r="TJ33" s="5"/>
      <c r="TK33" s="5"/>
      <c r="TT33" s="2"/>
      <c r="TU33" s="2"/>
      <c r="TV33" s="33"/>
      <c r="TW33" s="44">
        <v>1000</v>
      </c>
      <c r="UR33" s="5"/>
      <c r="US33" s="5"/>
      <c r="VB33" s="2"/>
      <c r="VC33" s="2"/>
      <c r="VD33" s="33"/>
      <c r="VE33" s="44">
        <v>1000</v>
      </c>
      <c r="VZ33" s="5"/>
      <c r="WA33" s="5"/>
      <c r="WJ33" s="2"/>
      <c r="WK33" s="2"/>
      <c r="WL33" s="33"/>
      <c r="WM33" s="44">
        <v>1000</v>
      </c>
    </row>
    <row r="34" spans="1:611" hidden="1" x14ac:dyDescent="0.2">
      <c r="A34" s="5"/>
      <c r="B34" s="21" t="s">
        <v>30</v>
      </c>
      <c r="C34" s="5"/>
      <c r="AL34" s="37"/>
      <c r="AM34" s="37"/>
      <c r="AN34" s="37"/>
      <c r="AO34" s="28"/>
      <c r="AP34" s="37"/>
      <c r="AQ34" s="37"/>
      <c r="AR34" s="28"/>
      <c r="AS34" s="45">
        <v>1000</v>
      </c>
      <c r="BM34" s="37"/>
      <c r="BN34" s="37"/>
      <c r="BO34" s="37"/>
      <c r="BQ34" s="37"/>
      <c r="BR34" s="28"/>
      <c r="BT34" s="45">
        <v>1000</v>
      </c>
      <c r="CN34" s="37"/>
      <c r="CO34" s="37"/>
      <c r="CP34" s="37"/>
      <c r="CQ34" s="28"/>
      <c r="CR34" s="37"/>
      <c r="CS34" s="28"/>
      <c r="CT34" s="28"/>
      <c r="CU34" s="45">
        <v>1000</v>
      </c>
      <c r="DR34" s="5"/>
      <c r="DS34" s="5"/>
      <c r="EB34" s="37"/>
      <c r="EC34" s="2"/>
      <c r="EE34" s="45">
        <v>1000</v>
      </c>
      <c r="EZ34" s="5"/>
      <c r="FA34" s="5"/>
      <c r="FJ34" s="37"/>
      <c r="FK34" s="2"/>
      <c r="FM34" s="45">
        <v>1000</v>
      </c>
      <c r="GH34" s="5"/>
      <c r="GI34" s="5"/>
      <c r="GR34" s="2"/>
      <c r="GS34" s="2"/>
      <c r="GU34" s="45">
        <v>1000</v>
      </c>
      <c r="HP34" s="5"/>
      <c r="HQ34" s="5"/>
      <c r="HZ34" s="37"/>
      <c r="IA34" s="2"/>
      <c r="IC34" s="45">
        <v>1000</v>
      </c>
      <c r="IX34" s="5"/>
      <c r="IY34" s="5"/>
      <c r="JH34" s="2"/>
      <c r="JI34" s="2"/>
      <c r="JK34" s="45">
        <v>1000</v>
      </c>
      <c r="KF34" s="5"/>
      <c r="KG34" s="5"/>
      <c r="KP34" s="2"/>
      <c r="KQ34" s="2"/>
      <c r="KS34" s="45">
        <v>1000</v>
      </c>
      <c r="LN34" s="5"/>
      <c r="LO34" s="5"/>
      <c r="LX34" s="2"/>
      <c r="LY34" s="2"/>
      <c r="MA34" s="45">
        <v>1000</v>
      </c>
      <c r="MV34" s="5"/>
      <c r="MW34" s="5"/>
      <c r="NF34" s="2"/>
      <c r="NG34" s="2"/>
      <c r="NI34" s="45">
        <v>1000</v>
      </c>
      <c r="OD34" s="5"/>
      <c r="OE34" s="5"/>
      <c r="ON34" s="2"/>
      <c r="OO34" s="2"/>
      <c r="OQ34" s="45">
        <v>1000</v>
      </c>
      <c r="PL34" s="5"/>
      <c r="PM34" s="5"/>
      <c r="PV34" s="2"/>
      <c r="PW34" s="2"/>
      <c r="PY34" s="45">
        <v>1000</v>
      </c>
      <c r="QT34" s="5"/>
      <c r="QU34" s="5"/>
      <c r="RD34" s="2"/>
      <c r="RE34" s="2"/>
      <c r="RG34" s="45">
        <v>1000</v>
      </c>
      <c r="SB34" s="5"/>
      <c r="SC34" s="5"/>
      <c r="SL34" s="2"/>
      <c r="SM34" s="2"/>
      <c r="SO34" s="45">
        <v>1000</v>
      </c>
      <c r="TJ34" s="5"/>
      <c r="TK34" s="5"/>
      <c r="TT34" s="2"/>
      <c r="TU34" s="2"/>
      <c r="TW34" s="45">
        <v>1000</v>
      </c>
      <c r="UR34" s="5"/>
      <c r="US34" s="5"/>
      <c r="VB34" s="2"/>
      <c r="VC34" s="2"/>
      <c r="VE34" s="45">
        <v>1000</v>
      </c>
      <c r="VZ34" s="5"/>
      <c r="WA34" s="5"/>
      <c r="WJ34" s="2"/>
      <c r="WK34" s="2"/>
      <c r="WM34" s="45">
        <v>1000</v>
      </c>
    </row>
    <row r="35" spans="1:611" x14ac:dyDescent="0.2">
      <c r="B35" s="25" t="s">
        <v>43</v>
      </c>
      <c r="C35" s="2"/>
      <c r="AO35" s="28"/>
      <c r="AR35" s="28"/>
      <c r="CQ35" s="28"/>
      <c r="CT35" s="28"/>
    </row>
    <row r="36" spans="1:611" x14ac:dyDescent="0.2">
      <c r="A36" s="5"/>
      <c r="B36" s="5"/>
      <c r="C36" s="17"/>
      <c r="AK36" s="28"/>
      <c r="AL36" s="28"/>
      <c r="AM36" s="28"/>
      <c r="AN36" s="28"/>
      <c r="AO36" s="28"/>
      <c r="AR36" s="28"/>
      <c r="CM36" s="28"/>
      <c r="CN36" s="28"/>
      <c r="CO36" s="28"/>
      <c r="CP36" s="28"/>
      <c r="CQ36" s="28"/>
      <c r="CT36" s="28"/>
    </row>
    <row r="37" spans="1:611" ht="17" x14ac:dyDescent="0.2">
      <c r="A37" s="5"/>
      <c r="B37" s="5"/>
      <c r="C37" s="17"/>
      <c r="P37" s="10"/>
      <c r="Q37" s="10"/>
      <c r="AK37" s="28"/>
      <c r="AL37" s="28"/>
      <c r="AM37" s="28"/>
      <c r="AN37" s="28"/>
      <c r="AO37" s="28"/>
      <c r="AR37" s="28"/>
      <c r="CM37" s="28"/>
      <c r="CN37" s="28"/>
      <c r="CO37" s="28"/>
      <c r="CP37" s="28"/>
      <c r="CQ37" s="28"/>
      <c r="CT37" s="28"/>
    </row>
    <row r="38" spans="1:611" ht="17" x14ac:dyDescent="0.2">
      <c r="A38" s="5"/>
      <c r="B38" s="5"/>
      <c r="C38" s="17"/>
      <c r="P38" s="10"/>
      <c r="AK38" s="28"/>
      <c r="AL38" s="28"/>
      <c r="AM38" s="28"/>
      <c r="AN38" s="28"/>
      <c r="AO38" s="28"/>
      <c r="AR38" s="28"/>
      <c r="CM38" s="28"/>
      <c r="CN38" s="28"/>
      <c r="CO38" s="28"/>
      <c r="CP38" s="28"/>
      <c r="CQ38" s="28"/>
      <c r="CT38" s="28"/>
    </row>
    <row r="39" spans="1:611" ht="17" x14ac:dyDescent="0.2">
      <c r="P39" s="10"/>
      <c r="Q39" s="10"/>
      <c r="AK39" s="28"/>
      <c r="AL39" s="28"/>
      <c r="AM39" s="28"/>
      <c r="AN39" s="28"/>
      <c r="AO39" s="28"/>
      <c r="AR39" s="28"/>
      <c r="CM39" s="28"/>
      <c r="CN39" s="28"/>
      <c r="CO39" s="28"/>
      <c r="CP39" s="28"/>
      <c r="CQ39" s="28"/>
      <c r="CT39" s="28"/>
    </row>
    <row r="40" spans="1:611" ht="17" x14ac:dyDescent="0.2">
      <c r="P40" s="10"/>
      <c r="Q40" s="10"/>
      <c r="AK40" s="28"/>
      <c r="AL40" s="28"/>
      <c r="AM40" s="28"/>
      <c r="AN40" s="28"/>
      <c r="AO40" s="28"/>
      <c r="AR40" s="28"/>
      <c r="CM40" s="28"/>
      <c r="CN40" s="28"/>
      <c r="CO40" s="28"/>
      <c r="CP40" s="28"/>
      <c r="CQ40" s="28"/>
      <c r="CT40" s="28"/>
    </row>
    <row r="41" spans="1:611" ht="17" x14ac:dyDescent="0.2">
      <c r="P41" s="10"/>
      <c r="Q41" s="10"/>
      <c r="AK41" s="28"/>
      <c r="AL41" s="28"/>
      <c r="AM41" s="28"/>
      <c r="AN41" s="28"/>
      <c r="AO41" s="28"/>
      <c r="AR41" s="28"/>
      <c r="CM41" s="28"/>
      <c r="CN41" s="28"/>
      <c r="CO41" s="28"/>
      <c r="CP41" s="28"/>
      <c r="CQ41" s="28"/>
      <c r="CT41" s="28"/>
    </row>
    <row r="42" spans="1:611" ht="17" x14ac:dyDescent="0.2">
      <c r="P42" s="10"/>
      <c r="Q42" s="10"/>
      <c r="R42" s="10"/>
    </row>
    <row r="43" spans="1:611" ht="17" x14ac:dyDescent="0.2">
      <c r="P43" s="10"/>
      <c r="Q43" s="10"/>
      <c r="R43" s="10"/>
    </row>
    <row r="44" spans="1:611" ht="17" x14ac:dyDescent="0.2">
      <c r="P44" s="10"/>
      <c r="Q44" s="10"/>
      <c r="R44" s="10"/>
    </row>
    <row r="45" spans="1:611" ht="17" x14ac:dyDescent="0.2">
      <c r="P45" s="10"/>
      <c r="Q45" s="10"/>
      <c r="R45" s="10"/>
    </row>
    <row r="46" spans="1:611" ht="17" x14ac:dyDescent="0.2">
      <c r="P46" s="10"/>
      <c r="Q46" s="10"/>
      <c r="R46" s="10"/>
    </row>
    <row r="47" spans="1:611" ht="17" x14ac:dyDescent="0.2">
      <c r="P47" s="10"/>
      <c r="Q47" s="10"/>
      <c r="R47" s="10"/>
    </row>
    <row r="48" spans="1:611" ht="17" x14ac:dyDescent="0.2">
      <c r="P48" s="10"/>
      <c r="Q48" s="10"/>
      <c r="R48" s="10"/>
    </row>
    <row r="49" spans="16:18" ht="17" x14ac:dyDescent="0.2">
      <c r="P49" s="10"/>
      <c r="Q49" s="10"/>
      <c r="R49" s="10"/>
    </row>
    <row r="50" spans="16:18" ht="17" x14ac:dyDescent="0.2">
      <c r="P50" s="10"/>
      <c r="Q50" s="10"/>
      <c r="R50" s="10"/>
    </row>
    <row r="51" spans="16:18" ht="17" x14ac:dyDescent="0.2">
      <c r="P51" s="10"/>
      <c r="Q51" s="10"/>
      <c r="R51" s="10"/>
    </row>
    <row r="52" spans="16:18" ht="17" x14ac:dyDescent="0.2">
      <c r="P52" s="10"/>
      <c r="Q52" s="10"/>
      <c r="R52" s="10"/>
    </row>
    <row r="53" spans="16:18" ht="17" x14ac:dyDescent="0.2">
      <c r="P53" s="10"/>
      <c r="Q53" s="10"/>
      <c r="R53" s="10"/>
    </row>
    <row r="54" spans="16:18" ht="17" x14ac:dyDescent="0.2">
      <c r="P54" s="10"/>
      <c r="Q54" s="10"/>
      <c r="R54" s="10"/>
    </row>
    <row r="55" spans="16:18" ht="17" x14ac:dyDescent="0.2">
      <c r="P55" s="10"/>
      <c r="Q55" s="10"/>
      <c r="R55" s="10"/>
    </row>
    <row r="56" spans="16:18" ht="17" x14ac:dyDescent="0.2">
      <c r="P56" s="10"/>
      <c r="Q56" s="10"/>
      <c r="R56" s="10"/>
    </row>
  </sheetData>
  <sheetProtection sheet="1" formatCells="0" formatColumns="0" formatRows="0"/>
  <autoFilter ref="A1:WM1" xr:uid="{00000000-0001-0000-0100-000000000000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sortState xmlns:xlrd2="http://schemas.microsoft.com/office/spreadsheetml/2017/richdata2" ref="A6:WM26">
      <sortCondition descending="1" ref="F1:F27"/>
    </sortState>
  </autoFilter>
  <sortState xmlns:xlrd2="http://schemas.microsoft.com/office/spreadsheetml/2017/richdata2" ref="A1:O3">
    <sortCondition ref="A1"/>
  </sortState>
  <mergeCells count="106">
    <mergeCell ref="KT1:MA1"/>
    <mergeCell ref="MB1:NI1"/>
    <mergeCell ref="VF1:WM1"/>
    <mergeCell ref="VF2:VJ2"/>
    <mergeCell ref="VK2:VO2"/>
    <mergeCell ref="VP2:VT2"/>
    <mergeCell ref="VU2:VY2"/>
    <mergeCell ref="QO2:QS2"/>
    <mergeCell ref="RH2:RL2"/>
    <mergeCell ref="RM2:RQ2"/>
    <mergeCell ref="RR2:RV2"/>
    <mergeCell ref="RW2:SA2"/>
    <mergeCell ref="SP1:TW1"/>
    <mergeCell ref="TE2:TI2"/>
    <mergeCell ref="SP2:ST2"/>
    <mergeCell ref="SU2:SY2"/>
    <mergeCell ref="SZ2:TD2"/>
    <mergeCell ref="TX1:VE1"/>
    <mergeCell ref="TX2:UB2"/>
    <mergeCell ref="UC2:UG2"/>
    <mergeCell ref="UH2:UL2"/>
    <mergeCell ref="UM2:UQ2"/>
    <mergeCell ref="RH1:SO1"/>
    <mergeCell ref="NJ1:OQ1"/>
    <mergeCell ref="OR1:PY1"/>
    <mergeCell ref="PZ1:RG1"/>
    <mergeCell ref="NT2:NX2"/>
    <mergeCell ref="NY2:OC2"/>
    <mergeCell ref="OR2:OV2"/>
    <mergeCell ref="OW2:PA2"/>
    <mergeCell ref="PB2:PF2"/>
    <mergeCell ref="MG2:MK2"/>
    <mergeCell ref="ML2:MP2"/>
    <mergeCell ref="MQ2:MU2"/>
    <mergeCell ref="NJ2:NN2"/>
    <mergeCell ref="NO2:NS2"/>
    <mergeCell ref="KT2:KX2"/>
    <mergeCell ref="KY2:LC2"/>
    <mergeCell ref="LD2:LH2"/>
    <mergeCell ref="LI2:LM2"/>
    <mergeCell ref="MB2:MF2"/>
    <mergeCell ref="PG2:PK2"/>
    <mergeCell ref="PZ2:QD2"/>
    <mergeCell ref="QE2:QI2"/>
    <mergeCell ref="QJ2:QN2"/>
    <mergeCell ref="CX1:EE1"/>
    <mergeCell ref="BD2:BH2"/>
    <mergeCell ref="CX2:DB2"/>
    <mergeCell ref="ID1:JK1"/>
    <mergeCell ref="JL1:KS1"/>
    <mergeCell ref="IS2:IW2"/>
    <mergeCell ref="JL2:JP2"/>
    <mergeCell ref="JQ2:JU2"/>
    <mergeCell ref="IN2:IR2"/>
    <mergeCell ref="II2:IM2"/>
    <mergeCell ref="ID2:IH2"/>
    <mergeCell ref="JV2:JZ2"/>
    <mergeCell ref="KA2:KE2"/>
    <mergeCell ref="I1:I3"/>
    <mergeCell ref="L1:L3"/>
    <mergeCell ref="K1:K3"/>
    <mergeCell ref="AY2:BC2"/>
    <mergeCell ref="BZ2:CD2"/>
    <mergeCell ref="CE2:CI2"/>
    <mergeCell ref="AT1:BT1"/>
    <mergeCell ref="AT2:AX2"/>
    <mergeCell ref="GV1:IC1"/>
    <mergeCell ref="FN2:FR2"/>
    <mergeCell ref="FS2:FW2"/>
    <mergeCell ref="FX2:GB2"/>
    <mergeCell ref="GC2:GG2"/>
    <mergeCell ref="HA2:HE2"/>
    <mergeCell ref="HF2:HJ2"/>
    <mergeCell ref="HK2:HO2"/>
    <mergeCell ref="FN1:GU1"/>
    <mergeCell ref="GV2:GZ2"/>
    <mergeCell ref="EF1:FM1"/>
    <mergeCell ref="EF2:EJ2"/>
    <mergeCell ref="EK2:EO2"/>
    <mergeCell ref="EP2:ET2"/>
    <mergeCell ref="EU2:EY2"/>
    <mergeCell ref="DC2:DG2"/>
    <mergeCell ref="M1:M3"/>
    <mergeCell ref="N1:N3"/>
    <mergeCell ref="O1:O3"/>
    <mergeCell ref="CV1:CW1"/>
    <mergeCell ref="DH2:DL2"/>
    <mergeCell ref="DM2:DQ2"/>
    <mergeCell ref="BU1:CU1"/>
    <mergeCell ref="BU2:BY2"/>
    <mergeCell ref="A1:A3"/>
    <mergeCell ref="B1:B3"/>
    <mergeCell ref="C1:C3"/>
    <mergeCell ref="E1:E3"/>
    <mergeCell ref="F1:F3"/>
    <mergeCell ref="D1:D3"/>
    <mergeCell ref="S1:AS1"/>
    <mergeCell ref="AC2:AG2"/>
    <mergeCell ref="P1:P3"/>
    <mergeCell ref="R1:R3"/>
    <mergeCell ref="Q1:Q3"/>
    <mergeCell ref="S2:W2"/>
    <mergeCell ref="X2:AB2"/>
    <mergeCell ref="G1:G3"/>
    <mergeCell ref="H1:H3"/>
    <mergeCell ref="J1:J3"/>
  </mergeCells>
  <conditionalFormatting sqref="H1:H1048576">
    <cfRule type="containsText" dxfId="960" priority="259" operator="containsText" text="No DD">
      <formula>NOT(ISERROR(SEARCH("No DD",H1)))</formula>
    </cfRule>
    <cfRule type="containsText" dxfId="959" priority="260" operator="containsText" text="Merit">
      <formula>NOT(ISERROR(SEARCH("Merit",H1)))</formula>
    </cfRule>
    <cfRule type="containsText" dxfId="958" priority="261" operator="containsText" text="Excellence">
      <formula>NOT(ISERROR(SEARCH("Excellence",H1)))</formula>
    </cfRule>
    <cfRule type="containsText" dxfId="957" priority="262" operator="containsText" text="Worlds Team">
      <formula>NOT(ISERROR(SEARCH("Worlds Team",H1)))</formula>
    </cfRule>
    <cfRule type="containsText" dxfId="956" priority="263" operator="containsText" text="National Team">
      <formula>NOT(ISERROR(SEARCH("National Team",H1)))</formula>
    </cfRule>
  </conditionalFormatting>
  <conditionalFormatting sqref="S4:AS24">
    <cfRule type="expression" dxfId="955" priority="52" stopIfTrue="1">
      <formula>IF($AH4&lt;&gt;"",1,0)</formula>
    </cfRule>
  </conditionalFormatting>
  <conditionalFormatting sqref="AT4:BT24">
    <cfRule type="expression" dxfId="954" priority="240" stopIfTrue="1">
      <formula>IF($BI4&lt;&gt;"",1,0)</formula>
    </cfRule>
  </conditionalFormatting>
  <conditionalFormatting sqref="BU4:CU24">
    <cfRule type="expression" dxfId="953" priority="236" stopIfTrue="1">
      <formula>IF($CJ4&lt;&gt;"",1,0)</formula>
    </cfRule>
  </conditionalFormatting>
  <conditionalFormatting sqref="BQ35:BQ1048576 BJ1:BJ1048576 BM1:BM1048576 BQ1:BQ33">
    <cfRule type="cellIs" dxfId="952" priority="52662" operator="between">
      <formula>$BT$30</formula>
      <formula>1000</formula>
    </cfRule>
    <cfRule type="cellIs" dxfId="951" priority="52663" operator="between">
      <formula>$BT$29</formula>
      <formula>$BT$30</formula>
    </cfRule>
    <cfRule type="cellIs" dxfId="950" priority="52664" operator="between">
      <formula>$BT$28</formula>
      <formula>$BT$29</formula>
    </cfRule>
    <cfRule type="cellIs" dxfId="949" priority="52665" operator="between">
      <formula>$BT$27</formula>
      <formula>$BT$28</formula>
    </cfRule>
  </conditionalFormatting>
  <conditionalFormatting sqref="CR35:CR1048576 CK1:CK1048576 CN1:CN1048576 CR1:CR33">
    <cfRule type="cellIs" dxfId="948" priority="51539" operator="between">
      <formula>$CU$30</formula>
      <formula>1000</formula>
    </cfRule>
    <cfRule type="cellIs" dxfId="947" priority="51540" operator="between">
      <formula>$CU$29</formula>
      <formula>$CU$30</formula>
    </cfRule>
    <cfRule type="cellIs" dxfId="946" priority="51541" operator="between">
      <formula>$CU$28</formula>
      <formula>$CU$29</formula>
    </cfRule>
    <cfRule type="cellIs" dxfId="945" priority="51542" operator="between">
      <formula>$CU$27</formula>
      <formula>$CU$28</formula>
    </cfRule>
  </conditionalFormatting>
  <conditionalFormatting sqref="EB35:EB1048576 DR1:DR1048576 DU1:DU1048576 DY1:DY1048576 EB1:EB33">
    <cfRule type="cellIs" dxfId="944" priority="52693" operator="between">
      <formula>$EE$27</formula>
      <formula>$EE$28</formula>
    </cfRule>
  </conditionalFormatting>
  <conditionalFormatting sqref="FJ35:FJ1048576 EZ1:EZ1048576 FC1:FC1048576 FG1:FG1048576 FJ1:FJ33">
    <cfRule type="cellIs" dxfId="943" priority="223" operator="between">
      <formula>$FM$27</formula>
      <formula>$FM$28</formula>
    </cfRule>
  </conditionalFormatting>
  <conditionalFormatting sqref="HZ35:HZ1048576 HP1:HP1048576 HS1:HS1048576 HW1:HW1048576 HZ1:HZ33">
    <cfRule type="cellIs" dxfId="942" priority="191" operator="between">
      <formula>$IC$27</formula>
      <formula>$IC$28</formula>
    </cfRule>
  </conditionalFormatting>
  <conditionalFormatting sqref="AQ34 AI1:AI1048576 AL1:AL1048576 AP1:AP1048576">
    <cfRule type="cellIs" dxfId="941" priority="53" operator="between">
      <formula>$AS$30</formula>
      <formula>1000</formula>
    </cfRule>
    <cfRule type="cellIs" dxfId="940" priority="54" operator="between">
      <formula>$AS$29</formula>
      <formula>$AS$30</formula>
    </cfRule>
    <cfRule type="cellIs" dxfId="939" priority="55" operator="between">
      <formula>$AS$28</formula>
      <formula>$AS$29</formula>
    </cfRule>
    <cfRule type="cellIs" dxfId="938" priority="51305" operator="between">
      <formula>$AS$27</formula>
      <formula>$AS$28</formula>
    </cfRule>
  </conditionalFormatting>
  <conditionalFormatting sqref="BQ34">
    <cfRule type="cellIs" dxfId="937" priority="48" operator="between">
      <formula>$AS$30</formula>
      <formula>1000</formula>
    </cfRule>
    <cfRule type="cellIs" dxfId="936" priority="49" operator="between">
      <formula>$AS$29</formula>
      <formula>$AS$30</formula>
    </cfRule>
    <cfRule type="cellIs" dxfId="935" priority="50" operator="between">
      <formula>$AS$28</formula>
      <formula>$AS$29</formula>
    </cfRule>
    <cfRule type="cellIs" dxfId="934" priority="51" operator="between">
      <formula>$AS$27</formula>
      <formula>$AS$28</formula>
    </cfRule>
  </conditionalFormatting>
  <conditionalFormatting sqref="CR34">
    <cfRule type="cellIs" dxfId="933" priority="44" operator="between">
      <formula>$AS$30</formula>
      <formula>1000</formula>
    </cfRule>
    <cfRule type="cellIs" dxfId="932" priority="45" operator="between">
      <formula>$AS$29</formula>
      <formula>$AS$30</formula>
    </cfRule>
    <cfRule type="cellIs" dxfId="931" priority="46" operator="between">
      <formula>$AS$28</formula>
      <formula>$AS$29</formula>
    </cfRule>
    <cfRule type="cellIs" dxfId="930" priority="47" operator="between">
      <formula>$AS$27</formula>
      <formula>$AS$28</formula>
    </cfRule>
  </conditionalFormatting>
  <conditionalFormatting sqref="EB34">
    <cfRule type="cellIs" dxfId="929" priority="40" operator="between">
      <formula>$AS$30</formula>
      <formula>1000</formula>
    </cfRule>
    <cfRule type="cellIs" dxfId="928" priority="41" operator="between">
      <formula>$AS$29</formula>
      <formula>$AS$30</formula>
    </cfRule>
    <cfRule type="cellIs" dxfId="927" priority="42" operator="between">
      <formula>$AS$28</formula>
      <formula>$AS$29</formula>
    </cfRule>
    <cfRule type="cellIs" dxfId="926" priority="43" operator="between">
      <formula>$AS$27</formula>
      <formula>$AS$28</formula>
    </cfRule>
  </conditionalFormatting>
  <conditionalFormatting sqref="FJ34">
    <cfRule type="cellIs" dxfId="925" priority="36" operator="between">
      <formula>$AS$30</formula>
      <formula>1000</formula>
    </cfRule>
    <cfRule type="cellIs" dxfId="924" priority="37" operator="between">
      <formula>$AS$29</formula>
      <formula>$AS$30</formula>
    </cfRule>
    <cfRule type="cellIs" dxfId="923" priority="38" operator="between">
      <formula>$AS$28</formula>
      <formula>$AS$29</formula>
    </cfRule>
    <cfRule type="cellIs" dxfId="922" priority="39" operator="between">
      <formula>$AS$27</formula>
      <formula>$AS$28</formula>
    </cfRule>
  </conditionalFormatting>
  <conditionalFormatting sqref="HZ34">
    <cfRule type="cellIs" dxfId="921" priority="32" operator="between">
      <formula>$AS$30</formula>
      <formula>1000</formula>
    </cfRule>
    <cfRule type="cellIs" dxfId="920" priority="33" operator="between">
      <formula>$AS$29</formula>
      <formula>$AS$30</formula>
    </cfRule>
    <cfRule type="cellIs" dxfId="919" priority="34" operator="between">
      <formula>$AS$28</formula>
      <formula>$AS$29</formula>
    </cfRule>
    <cfRule type="cellIs" dxfId="918" priority="35" operator="between">
      <formula>$AS$27</formula>
      <formula>$AS$28</formula>
    </cfRule>
  </conditionalFormatting>
  <conditionalFormatting sqref="O1:O1048576 K1:K1048576 M1:M1048576">
    <cfRule type="expression" dxfId="917" priority="52681" stopIfTrue="1">
      <formula>IF(K1=$BU$1,1,0)</formula>
    </cfRule>
    <cfRule type="expression" dxfId="916" priority="52682">
      <formula>IF(K1=$AT$1,1,0)</formula>
    </cfRule>
    <cfRule type="expression" dxfId="915" priority="52683">
      <formula>IF(K1=$S$1,1,0)</formula>
    </cfRule>
  </conditionalFormatting>
  <conditionalFormatting sqref="A4:A1048576">
    <cfRule type="expression" dxfId="914" priority="31">
      <formula>AND(G4&lt;&gt;"",F4="")</formula>
    </cfRule>
    <cfRule type="expression" dxfId="913" priority="37593">
      <formula>IF(A4&gt;8,1,0)</formula>
    </cfRule>
  </conditionalFormatting>
  <conditionalFormatting sqref="CP1:CP1048576 AN1:AN1048576">
    <cfRule type="cellIs" dxfId="912" priority="177634" operator="between">
      <formula>AS$34</formula>
      <formula>1000</formula>
    </cfRule>
    <cfRule type="cellIs" dxfId="911" priority="177635" operator="between">
      <formula>AS$33</formula>
      <formula>AS$34</formula>
    </cfRule>
  </conditionalFormatting>
  <conditionalFormatting sqref="DW1:DW1048576 FE1:FE1048576 GM1:GM1048576 HU1:HU1048576 JC1:JC1048576 KK1:KK1048576 LS1:LS1048576 NA1:NA1048576 OI1:OI1048576 PQ1:PQ1048576 QY1:QY1048576 SG1:SG1048576 TO1:TO34 UW1:UW34 WE1:WE34">
    <cfRule type="cellIs" dxfId="910" priority="177646" operator="between">
      <formula>EE$34</formula>
      <formula>1000</formula>
    </cfRule>
    <cfRule type="cellIs" dxfId="909" priority="177647" operator="between">
      <formula>EE$33</formula>
      <formula>EE$34</formula>
    </cfRule>
  </conditionalFormatting>
  <conditionalFormatting sqref="AK1:AK1048576 AN1:AN1048576 AR1:AR1048576">
    <cfRule type="cellIs" dxfId="908" priority="177730" operator="between">
      <formula>$AS$34</formula>
      <formula>1000</formula>
    </cfRule>
    <cfRule type="cellIs" dxfId="907" priority="177731" operator="between">
      <formula>$AS$33</formula>
      <formula>$AS$34</formula>
    </cfRule>
    <cfRule type="cellIs" dxfId="906" priority="177732" operator="between">
      <formula>$AS$32</formula>
      <formula>$AS$33</formula>
    </cfRule>
    <cfRule type="cellIs" dxfId="905" priority="177733" operator="between">
      <formula>$AS$31</formula>
      <formula>$AS$32</formula>
    </cfRule>
  </conditionalFormatting>
  <conditionalFormatting sqref="BL1:BL1048576 BO1:BO1048576 BS1:BS1048576">
    <cfRule type="cellIs" dxfId="904" priority="177766" operator="between">
      <formula>$BT$34</formula>
      <formula>1000</formula>
    </cfRule>
    <cfRule type="cellIs" dxfId="903" priority="177767" operator="between">
      <formula>$BT$33</formula>
      <formula>$BT$34</formula>
    </cfRule>
    <cfRule type="cellIs" dxfId="902" priority="177768" operator="between">
      <formula>$BT$32</formula>
      <formula>$BT$33</formula>
    </cfRule>
    <cfRule type="cellIs" dxfId="901" priority="177769" operator="between">
      <formula>$BT$31</formula>
      <formula>$BT$32</formula>
    </cfRule>
  </conditionalFormatting>
  <conditionalFormatting sqref="CM1:CM1048576 CP1:CP1048576 CT1:CT1048576">
    <cfRule type="cellIs" dxfId="900" priority="177802" operator="between">
      <formula>$CU$34</formula>
      <formula>1000</formula>
    </cfRule>
    <cfRule type="cellIs" dxfId="899" priority="177803" operator="between">
      <formula>$CU$33</formula>
      <formula>$CU$34</formula>
    </cfRule>
    <cfRule type="cellIs" dxfId="898" priority="177804" operator="between">
      <formula>$CU$32</formula>
      <formula>$CU$33</formula>
    </cfRule>
    <cfRule type="cellIs" dxfId="897" priority="177805" operator="between">
      <formula>$CU$31</formula>
      <formula>$CU$32</formula>
    </cfRule>
  </conditionalFormatting>
  <conditionalFormatting sqref="MV1:MV1048576 MY1:MY1048576 NC1:NC1048576 NF1:NF1048576">
    <cfRule type="cellIs" dxfId="896" priority="177838" operator="between">
      <formula>$NI$27</formula>
      <formula>$NI$28</formula>
    </cfRule>
  </conditionalFormatting>
  <conditionalFormatting sqref="DT1:DT1048576 DW1:DW1048576 EA1:EA1048576 ED1:ED1048576">
    <cfRule type="cellIs" dxfId="895" priority="177850" operator="between">
      <formula>$EE$34</formula>
      <formula>1000</formula>
    </cfRule>
    <cfRule type="cellIs" dxfId="894" priority="177851" operator="between">
      <formula>$EE$33</formula>
      <formula>$EE$34</formula>
    </cfRule>
    <cfRule type="cellIs" dxfId="893" priority="177852" operator="between">
      <formula>$EE$32</formula>
      <formula>$EE$33</formula>
    </cfRule>
    <cfRule type="cellIs" dxfId="892" priority="177853" operator="between">
      <formula>$EE$31</formula>
      <formula>$EE$32</formula>
    </cfRule>
  </conditionalFormatting>
  <conditionalFormatting sqref="FB1:FB1048576 FE1:FE1048576 FI1:FI1048576 FL1:FL1048576">
    <cfRule type="cellIs" dxfId="891" priority="177898" operator="between">
      <formula>$FM$34</formula>
      <formula>1000</formula>
    </cfRule>
    <cfRule type="cellIs" dxfId="890" priority="177899" operator="between">
      <formula>$FM$33</formula>
      <formula>$FM$34</formula>
    </cfRule>
    <cfRule type="cellIs" dxfId="889" priority="177900" operator="between">
      <formula>$FM$32</formula>
      <formula>$FM$33</formula>
    </cfRule>
    <cfRule type="cellIs" dxfId="888" priority="177901" operator="between">
      <formula>$FM$31</formula>
      <formula>$FM$32</formula>
    </cfRule>
  </conditionalFormatting>
  <conditionalFormatting sqref="GH1:GH1048576 GK1:GK1048576 GO1:GO1048576 GR1:GR1048576">
    <cfRule type="cellIs" dxfId="887" priority="177946" stopIfTrue="1" operator="between">
      <formula>$GU$28</formula>
      <formula>1000</formula>
    </cfRule>
    <cfRule type="cellIs" dxfId="886" priority="177947" operator="between">
      <formula>$GU$27</formula>
      <formula>$GU$28</formula>
    </cfRule>
  </conditionalFormatting>
  <conditionalFormatting sqref="GJ1:GJ1048576 GM1:GM1048576 GQ1:GQ1048576 GT1:GT1048576">
    <cfRule type="cellIs" dxfId="885" priority="177970" operator="between">
      <formula>$GU$34</formula>
      <formula>1000</formula>
    </cfRule>
    <cfRule type="cellIs" dxfId="884" priority="177971" operator="between">
      <formula>$GU$33</formula>
      <formula>$GU$34</formula>
    </cfRule>
    <cfRule type="cellIs" dxfId="883" priority="177972" operator="between">
      <formula>$GU$32</formula>
      <formula>$GU$33</formula>
    </cfRule>
    <cfRule type="cellIs" dxfId="882" priority="177973" operator="between">
      <formula>$GU$31</formula>
      <formula>$GU$32</formula>
    </cfRule>
  </conditionalFormatting>
  <conditionalFormatting sqref="HR1:HR1048576 HU1:HU1048576 HY1:HY1048576 IB1:IB1048576">
    <cfRule type="cellIs" dxfId="881" priority="178018" operator="between">
      <formula>$IC$34</formula>
      <formula>1000</formula>
    </cfRule>
    <cfRule type="cellIs" dxfId="880" priority="178019" operator="between">
      <formula>$IC$33</formula>
      <formula>$IC$34</formula>
    </cfRule>
    <cfRule type="cellIs" dxfId="879" priority="178020" operator="between">
      <formula>$IC$32</formula>
      <formula>$IC$33</formula>
    </cfRule>
    <cfRule type="cellIs" dxfId="878" priority="178021" operator="between">
      <formula>$IC$31</formula>
      <formula>$IC$32</formula>
    </cfRule>
  </conditionalFormatting>
  <conditionalFormatting sqref="IX1:IX1048576 JA1:JA1048576 JE1:JE1048576 JH1:JH1048576">
    <cfRule type="cellIs" dxfId="877" priority="178066" stopIfTrue="1" operator="between">
      <formula>$JK$28</formula>
      <formula>1000</formula>
    </cfRule>
    <cfRule type="cellIs" dxfId="876" priority="178067" operator="between">
      <formula>$JK$27</formula>
      <formula>$JK$28</formula>
    </cfRule>
  </conditionalFormatting>
  <conditionalFormatting sqref="IZ1:IZ1048576 JC1:JC1048576 JG1:JG1048576 JJ1:JJ1048576">
    <cfRule type="cellIs" dxfId="875" priority="178090" operator="between">
      <formula>$JK$34</formula>
      <formula>1000</formula>
    </cfRule>
    <cfRule type="cellIs" dxfId="874" priority="178091" operator="between">
      <formula>$JK$33</formula>
      <formula>$JK$34</formula>
    </cfRule>
    <cfRule type="cellIs" dxfId="873" priority="178092" operator="between">
      <formula>$JK$32</formula>
      <formula>$JK$33</formula>
    </cfRule>
    <cfRule type="cellIs" dxfId="872" priority="178093" operator="between">
      <formula>$JK$31</formula>
      <formula>$JK$32</formula>
    </cfRule>
  </conditionalFormatting>
  <conditionalFormatting sqref="KF1:KF1048576 KI1:KI1048576 KM1:KM1048576 KP1:KP1048576">
    <cfRule type="cellIs" dxfId="871" priority="178138" stopIfTrue="1" operator="between">
      <formula>$KS$28</formula>
      <formula>1000</formula>
    </cfRule>
    <cfRule type="cellIs" dxfId="870" priority="178139" operator="between">
      <formula>$KS$27</formula>
      <formula>$KS$28</formula>
    </cfRule>
  </conditionalFormatting>
  <conditionalFormatting sqref="KH1:KH1048576 KK1:KK1048576 KO1:KO1048576 KR1:KR1048576">
    <cfRule type="cellIs" dxfId="869" priority="178162" operator="between">
      <formula>$KS$34</formula>
      <formula>1000</formula>
    </cfRule>
    <cfRule type="cellIs" dxfId="868" priority="178163" operator="between">
      <formula>$KS$33</formula>
      <formula>$KS$34</formula>
    </cfRule>
    <cfRule type="cellIs" dxfId="867" priority="178164" operator="between">
      <formula>$KS$32</formula>
      <formula>$KS$33</formula>
    </cfRule>
    <cfRule type="cellIs" dxfId="866" priority="178165" operator="between">
      <formula>$KS$31</formula>
      <formula>$KS$32</formula>
    </cfRule>
  </conditionalFormatting>
  <conditionalFormatting sqref="LN1:LN1048576 LQ1:LQ1048576 LU1:LU1048576 LX1:LX1048576">
    <cfRule type="cellIs" dxfId="865" priority="178210" stopIfTrue="1" operator="between">
      <formula>$MA$28</formula>
      <formula>1000</formula>
    </cfRule>
    <cfRule type="cellIs" dxfId="864" priority="178211" operator="between">
      <formula>$MA$27</formula>
      <formula>$MA$28</formula>
    </cfRule>
  </conditionalFormatting>
  <conditionalFormatting sqref="LP1:LP1048576 LS1:LS1048576 LW1:LW1048576 LZ1:LZ1048576">
    <cfRule type="cellIs" dxfId="863" priority="178234" operator="between">
      <formula>$MA$34</formula>
      <formula>1000</formula>
    </cfRule>
    <cfRule type="cellIs" dxfId="862" priority="178235" operator="between">
      <formula>$MA$33</formula>
      <formula>$MA$34</formula>
    </cfRule>
    <cfRule type="cellIs" dxfId="861" priority="178236" operator="between">
      <formula>$MA$32</formula>
      <formula>$MA$33</formula>
    </cfRule>
    <cfRule type="cellIs" dxfId="860" priority="178237" operator="between">
      <formula>$MA$31</formula>
      <formula>$MA$32</formula>
    </cfRule>
  </conditionalFormatting>
  <conditionalFormatting sqref="MV1:MV1048576 MY1:MY1048576 NC1:NC1048576">
    <cfRule type="cellIs" dxfId="859" priority="178282" operator="between">
      <formula>$NI$28</formula>
      <formula>1000</formula>
    </cfRule>
  </conditionalFormatting>
  <conditionalFormatting sqref="MX1:MX1048576 NA1:NA1048576 NE1:NE1048576 NH1:NH1048576">
    <cfRule type="cellIs" dxfId="858" priority="178291" operator="between">
      <formula>$NI$34</formula>
      <formula>1000</formula>
    </cfRule>
    <cfRule type="cellIs" dxfId="857" priority="178292" operator="between">
      <formula>$NI$33</formula>
      <formula>$NI$34</formula>
    </cfRule>
    <cfRule type="cellIs" dxfId="856" priority="178293" operator="between">
      <formula>$NI$32</formula>
      <formula>$NI$33</formula>
    </cfRule>
    <cfRule type="cellIs" dxfId="855" priority="178294" operator="between">
      <formula>$NI$31</formula>
      <formula>$NI$32</formula>
    </cfRule>
  </conditionalFormatting>
  <conditionalFormatting sqref="OD1:OD1048576 OG1:OG1048576 OK1:OK1048576 ON1:ON1048576">
    <cfRule type="cellIs" dxfId="854" priority="178339" stopIfTrue="1" operator="between">
      <formula>$OQ$28</formula>
      <formula>1000</formula>
    </cfRule>
    <cfRule type="cellIs" dxfId="853" priority="178340" operator="between">
      <formula>$OQ$27</formula>
      <formula>$OQ$28</formula>
    </cfRule>
  </conditionalFormatting>
  <conditionalFormatting sqref="OF1:OF1048576 OI1:OI1048576 OM1:OM1048576 OP1:OP1048576">
    <cfRule type="cellIs" dxfId="852" priority="178363" operator="between">
      <formula>$OQ$34</formula>
      <formula>1000</formula>
    </cfRule>
    <cfRule type="cellIs" dxfId="851" priority="178364" operator="between">
      <formula>$OQ$33</formula>
      <formula>$OQ$34</formula>
    </cfRule>
    <cfRule type="cellIs" dxfId="850" priority="178365" operator="between">
      <formula>$OQ$32</formula>
      <formula>$OQ$33</formula>
    </cfRule>
    <cfRule type="cellIs" dxfId="849" priority="178366" operator="between">
      <formula>$OQ$31</formula>
      <formula>$OQ$32</formula>
    </cfRule>
  </conditionalFormatting>
  <conditionalFormatting sqref="PL1:PL1048576 PO1:PO1048576 PS1:PS1048576 PV1:PV1048576">
    <cfRule type="cellIs" dxfId="848" priority="178411" stopIfTrue="1" operator="between">
      <formula>$PY$28</formula>
      <formula>1000</formula>
    </cfRule>
    <cfRule type="cellIs" dxfId="847" priority="178412" operator="between">
      <formula>$PY$27</formula>
      <formula>$PY$28</formula>
    </cfRule>
  </conditionalFormatting>
  <conditionalFormatting sqref="PN1:PN1048576 PQ1:PQ1048576 PU1:PU1048576 PX1:PX1048576">
    <cfRule type="cellIs" dxfId="846" priority="178435" operator="between">
      <formula>$PY$34</formula>
      <formula>1000</formula>
    </cfRule>
    <cfRule type="cellIs" dxfId="845" priority="178436" operator="between">
      <formula>$PY$33</formula>
      <formula>$PY$34</formula>
    </cfRule>
    <cfRule type="cellIs" dxfId="844" priority="178437" operator="between">
      <formula>$PY$32</formula>
      <formula>$PY$33</formula>
    </cfRule>
    <cfRule type="cellIs" dxfId="843" priority="178438" operator="between">
      <formula>$PY$31</formula>
      <formula>$PY$32</formula>
    </cfRule>
  </conditionalFormatting>
  <conditionalFormatting sqref="QT1:QT1048576 QW1:QW1048576 RA1:RA1048576 RD1:RD1048576">
    <cfRule type="cellIs" dxfId="842" priority="178483" stopIfTrue="1" operator="between">
      <formula>$RG$28</formula>
      <formula>1000</formula>
    </cfRule>
    <cfRule type="cellIs" dxfId="841" priority="178484" operator="between">
      <formula>$RG$27</formula>
      <formula>$RG$28</formula>
    </cfRule>
  </conditionalFormatting>
  <conditionalFormatting sqref="QV1:QV1048576 QY1:QY1048576 RC1:RC1048576 RF1:RF1048576">
    <cfRule type="cellIs" dxfId="840" priority="178507" operator="between">
      <formula>$RG$34</formula>
      <formula>1000</formula>
    </cfRule>
    <cfRule type="cellIs" dxfId="839" priority="178508" operator="between">
      <formula>$RG$33</formula>
      <formula>$RG$34</formula>
    </cfRule>
    <cfRule type="cellIs" dxfId="838" priority="178509" operator="between">
      <formula>$RG$32</formula>
      <formula>$RG$33</formula>
    </cfRule>
    <cfRule type="cellIs" dxfId="837" priority="178510" operator="between">
      <formula>$RG$31</formula>
      <formula>$RG$32</formula>
    </cfRule>
  </conditionalFormatting>
  <conditionalFormatting sqref="SB1:SB1048576 SE1:SE1048576 SI1:SI1048576 SL1:SL1048576 TJ1:TJ34 TM1:TM34 TQ1:TQ34 TT1:TT34 UR1:UR34 UU1:UU34 UY1:UY34 VB1:VB34 VZ1:VZ34 WC1:WC34 WG1:WG34 WJ1:WJ34">
    <cfRule type="cellIs" dxfId="836" priority="178555" operator="between">
      <formula>$SO$28</formula>
      <formula>1000</formula>
    </cfRule>
    <cfRule type="cellIs" dxfId="835" priority="178556" operator="between">
      <formula>$SO$27</formula>
      <formula>$SO$28</formula>
    </cfRule>
  </conditionalFormatting>
  <conditionalFormatting sqref="SD1:SD1048576 SG1:SG1048576 SK1:SK1048576 SN1:SN1048576 TL1:TL34 TO1:TO34 TS1:TS34 TV1:TV34 UT1:UT34 UW1:UW34 VA1:VA34 VD1:VD34 WB1:WB34 WE1:WE34 WI1:WI34 WL1:WL34">
    <cfRule type="cellIs" dxfId="834" priority="178627" operator="between">
      <formula>$SO$34</formula>
      <formula>1000</formula>
    </cfRule>
    <cfRule type="cellIs" dxfId="833" priority="178628" operator="between">
      <formula>$SO$33</formula>
      <formula>$SO$34</formula>
    </cfRule>
    <cfRule type="cellIs" dxfId="832" priority="178629" operator="between">
      <formula>$SO$32</formula>
      <formula>$SO$33</formula>
    </cfRule>
    <cfRule type="cellIs" dxfId="831" priority="178630" operator="between">
      <formula>$SO$31</formula>
      <formula>$SO$32</formula>
    </cfRule>
  </conditionalFormatting>
  <conditionalFormatting sqref="EB1:EB1048576 DR1:DR1048576 DU1:DU1048576 DY1:DY1048576">
    <cfRule type="cellIs" dxfId="830" priority="178771" stopIfTrue="1" operator="between">
      <formula>$EE$28</formula>
      <formula>1000</formula>
    </cfRule>
  </conditionalFormatting>
  <conditionalFormatting sqref="FJ1:FJ1048576 EZ1:EZ1048576 FC1:FC1048576 FG1:FG1048576">
    <cfRule type="cellIs" dxfId="829" priority="178783" stopIfTrue="1" operator="between">
      <formula>$FM$28</formula>
      <formula>1000</formula>
    </cfRule>
  </conditionalFormatting>
  <conditionalFormatting sqref="HZ1:HZ1048576 HP1:HP1048576 HS1:HS1048576 HW1:HW1048576">
    <cfRule type="cellIs" dxfId="828" priority="178795" stopIfTrue="1" operator="between">
      <formula>$IC$28</formula>
      <formula>1000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3453E-EC8C-3647-8471-484105C89E97}">
  <sheetPr codeName="Sheet6"/>
  <dimension ref="A1:WM4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hidden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6" max="16" width="24.6640625" customWidth="1"/>
    <col min="17" max="17" width="13" customWidth="1"/>
    <col min="18" max="18" width="47" customWidth="1"/>
    <col min="19" max="34" width="10.83203125" hidden="1" customWidth="1"/>
    <col min="35" max="45" width="10.83203125" style="32" customWidth="1"/>
    <col min="46" max="61" width="10.83203125" hidden="1" customWidth="1"/>
    <col min="62" max="72" width="10.83203125" style="32" customWidth="1"/>
    <col min="73" max="88" width="10.83203125" hidden="1" customWidth="1"/>
    <col min="89" max="99" width="10.83203125" style="32" customWidth="1"/>
    <col min="100" max="101" width="12.83203125" style="32" customWidth="1"/>
    <col min="102" max="121" width="10.83203125" hidden="1" customWidth="1"/>
    <col min="122" max="134" width="10.83203125" customWidth="1"/>
    <col min="135" max="135" width="10.83203125" style="32" customWidth="1"/>
    <col min="136" max="155" width="10.83203125" hidden="1" customWidth="1"/>
    <col min="156" max="168" width="10.83203125" customWidth="1"/>
    <col min="169" max="169" width="10.83203125" style="32" customWidth="1"/>
    <col min="170" max="189" width="10.83203125" hidden="1" customWidth="1"/>
    <col min="190" max="202" width="10.83203125" customWidth="1"/>
    <col min="203" max="203" width="10.83203125" style="32" customWidth="1"/>
    <col min="204" max="223" width="10.83203125" hidden="1" customWidth="1"/>
    <col min="224" max="236" width="10.83203125" customWidth="1"/>
    <col min="237" max="237" width="10.83203125" style="32" customWidth="1"/>
    <col min="238" max="257" width="10.83203125" hidden="1" customWidth="1"/>
    <col min="258" max="270" width="10.83203125" customWidth="1"/>
    <col min="271" max="271" width="10.83203125" style="32" customWidth="1"/>
    <col min="272" max="291" width="10.83203125" hidden="1" customWidth="1"/>
    <col min="292" max="305" width="10.83203125" customWidth="1"/>
    <col min="306" max="325" width="10.83203125" hidden="1" customWidth="1"/>
    <col min="326" max="339" width="10.83203125" customWidth="1"/>
    <col min="340" max="359" width="10.83203125" hidden="1" customWidth="1"/>
    <col min="360" max="373" width="10.83203125" customWidth="1"/>
    <col min="374" max="393" width="10.83203125" hidden="1" customWidth="1"/>
    <col min="394" max="407" width="10.83203125" customWidth="1"/>
    <col min="408" max="427" width="10.83203125" hidden="1" customWidth="1"/>
    <col min="428" max="441" width="10.83203125" customWidth="1"/>
    <col min="442" max="536" width="10.83203125" hidden="1" customWidth="1"/>
    <col min="537" max="537" width="11.83203125" hidden="1" customWidth="1"/>
    <col min="538" max="538" width="12.83203125" hidden="1" customWidth="1"/>
    <col min="539" max="570" width="10.83203125" hidden="1" customWidth="1"/>
    <col min="571" max="571" width="11.83203125" hidden="1" customWidth="1"/>
    <col min="572" max="572" width="12.83203125" hidden="1" customWidth="1"/>
    <col min="573" max="604" width="10.83203125" hidden="1" customWidth="1"/>
    <col min="605" max="605" width="11.83203125" hidden="1" customWidth="1"/>
    <col min="606" max="606" width="12.83203125" hidden="1" customWidth="1"/>
    <col min="607" max="611" width="10.83203125" hidden="1" customWidth="1"/>
  </cols>
  <sheetData>
    <row r="1" spans="1:611" x14ac:dyDescent="0.2">
      <c r="A1" s="57" t="s">
        <v>1</v>
      </c>
      <c r="B1" s="57" t="s">
        <v>26</v>
      </c>
      <c r="C1" s="57" t="s">
        <v>0</v>
      </c>
      <c r="D1" s="57" t="s">
        <v>44</v>
      </c>
      <c r="E1" s="57" t="s">
        <v>2</v>
      </c>
      <c r="F1" s="58" t="s">
        <v>177</v>
      </c>
      <c r="G1" s="57" t="s">
        <v>9</v>
      </c>
      <c r="H1" s="57" t="s">
        <v>10</v>
      </c>
      <c r="I1" s="57" t="s">
        <v>61</v>
      </c>
      <c r="J1" s="53" t="s">
        <v>11</v>
      </c>
      <c r="K1" s="52" t="s">
        <v>28</v>
      </c>
      <c r="L1" s="53" t="s">
        <v>174</v>
      </c>
      <c r="M1" s="52" t="s">
        <v>28</v>
      </c>
      <c r="N1" s="53" t="s">
        <v>175</v>
      </c>
      <c r="O1" s="52" t="s">
        <v>28</v>
      </c>
      <c r="P1" s="59" t="s">
        <v>12</v>
      </c>
      <c r="Q1" s="52" t="s">
        <v>29</v>
      </c>
      <c r="R1" s="52" t="s">
        <v>28</v>
      </c>
      <c r="S1" s="56" t="s">
        <v>134</v>
      </c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61" t="s">
        <v>150</v>
      </c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56" t="s">
        <v>231</v>
      </c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4" t="s">
        <v>12</v>
      </c>
      <c r="CW1" s="54"/>
      <c r="CX1" s="56" t="s">
        <v>126</v>
      </c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  <c r="DU1" s="56"/>
      <c r="DV1" s="56"/>
      <c r="DW1" s="56"/>
      <c r="DX1" s="56"/>
      <c r="DY1" s="56"/>
      <c r="DZ1" s="56"/>
      <c r="EA1" s="56"/>
      <c r="EB1" s="56"/>
      <c r="EC1" s="56"/>
      <c r="ED1" s="56"/>
      <c r="EE1" s="56"/>
      <c r="EF1" s="61" t="s">
        <v>129</v>
      </c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  <c r="FL1" s="61"/>
      <c r="FM1" s="61"/>
      <c r="FN1" s="56" t="s">
        <v>141</v>
      </c>
      <c r="FO1" s="56"/>
      <c r="FP1" s="56"/>
      <c r="FQ1" s="56"/>
      <c r="FR1" s="56"/>
      <c r="FS1" s="56"/>
      <c r="FT1" s="56"/>
      <c r="FU1" s="56"/>
      <c r="FV1" s="56"/>
      <c r="FW1" s="56"/>
      <c r="FX1" s="56"/>
      <c r="FY1" s="56"/>
      <c r="FZ1" s="56"/>
      <c r="GA1" s="56"/>
      <c r="GB1" s="56"/>
      <c r="GC1" s="56"/>
      <c r="GD1" s="56"/>
      <c r="GE1" s="56"/>
      <c r="GF1" s="56"/>
      <c r="GG1" s="56"/>
      <c r="GH1" s="56"/>
      <c r="GI1" s="56"/>
      <c r="GJ1" s="56"/>
      <c r="GK1" s="56"/>
      <c r="GL1" s="56"/>
      <c r="GM1" s="56"/>
      <c r="GN1" s="56"/>
      <c r="GO1" s="56"/>
      <c r="GP1" s="56"/>
      <c r="GQ1" s="56"/>
      <c r="GR1" s="56"/>
      <c r="GS1" s="56"/>
      <c r="GT1" s="56"/>
      <c r="GU1" s="56"/>
      <c r="GV1" s="61" t="s">
        <v>144</v>
      </c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61"/>
      <c r="HN1" s="61"/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61"/>
      <c r="IB1" s="61"/>
      <c r="IC1" s="61"/>
      <c r="ID1" s="56" t="s">
        <v>145</v>
      </c>
      <c r="IE1" s="56"/>
      <c r="IF1" s="56"/>
      <c r="IG1" s="56"/>
      <c r="IH1" s="56"/>
      <c r="II1" s="56"/>
      <c r="IJ1" s="56"/>
      <c r="IK1" s="56"/>
      <c r="IL1" s="56"/>
      <c r="IM1" s="56"/>
      <c r="IN1" s="56"/>
      <c r="IO1" s="56"/>
      <c r="IP1" s="56"/>
      <c r="IQ1" s="56"/>
      <c r="IR1" s="56"/>
      <c r="IS1" s="56"/>
      <c r="IT1" s="56"/>
      <c r="IU1" s="56"/>
      <c r="IV1" s="56"/>
      <c r="IW1" s="56"/>
      <c r="IX1" s="56"/>
      <c r="IY1" s="56"/>
      <c r="IZ1" s="56"/>
      <c r="JA1" s="56"/>
      <c r="JB1" s="56"/>
      <c r="JC1" s="56"/>
      <c r="JD1" s="56"/>
      <c r="JE1" s="56"/>
      <c r="JF1" s="56"/>
      <c r="JG1" s="56"/>
      <c r="JH1" s="56"/>
      <c r="JI1" s="56"/>
      <c r="JJ1" s="56"/>
      <c r="JK1" s="56"/>
      <c r="JL1" s="61" t="s">
        <v>153</v>
      </c>
      <c r="JM1" s="61"/>
      <c r="JN1" s="61"/>
      <c r="JO1" s="61"/>
      <c r="JP1" s="61"/>
      <c r="JQ1" s="61"/>
      <c r="JR1" s="61"/>
      <c r="JS1" s="61"/>
      <c r="JT1" s="61"/>
      <c r="JU1" s="61"/>
      <c r="JV1" s="61"/>
      <c r="JW1" s="61"/>
      <c r="JX1" s="61"/>
      <c r="JY1" s="61"/>
      <c r="JZ1" s="61"/>
      <c r="KA1" s="61"/>
      <c r="KB1" s="61"/>
      <c r="KC1" s="61"/>
      <c r="KD1" s="61"/>
      <c r="KE1" s="61"/>
      <c r="KF1" s="61"/>
      <c r="KG1" s="61"/>
      <c r="KH1" s="61"/>
      <c r="KI1" s="61"/>
      <c r="KJ1" s="61"/>
      <c r="KK1" s="61"/>
      <c r="KL1" s="61"/>
      <c r="KM1" s="61"/>
      <c r="KN1" s="61"/>
      <c r="KO1" s="61"/>
      <c r="KP1" s="61"/>
      <c r="KQ1" s="61"/>
      <c r="KR1" s="61"/>
      <c r="KS1" s="61"/>
      <c r="KT1" s="56" t="s">
        <v>162</v>
      </c>
      <c r="KU1" s="56"/>
      <c r="KV1" s="56"/>
      <c r="KW1" s="56"/>
      <c r="KX1" s="56"/>
      <c r="KY1" s="56"/>
      <c r="KZ1" s="56"/>
      <c r="LA1" s="56"/>
      <c r="LB1" s="56"/>
      <c r="LC1" s="56"/>
      <c r="LD1" s="56"/>
      <c r="LE1" s="56"/>
      <c r="LF1" s="56"/>
      <c r="LG1" s="56"/>
      <c r="LH1" s="56"/>
      <c r="LI1" s="56"/>
      <c r="LJ1" s="56"/>
      <c r="LK1" s="56"/>
      <c r="LL1" s="56"/>
      <c r="LM1" s="56"/>
      <c r="LN1" s="56"/>
      <c r="LO1" s="56"/>
      <c r="LP1" s="56"/>
      <c r="LQ1" s="56"/>
      <c r="LR1" s="56"/>
      <c r="LS1" s="56"/>
      <c r="LT1" s="56"/>
      <c r="LU1" s="56"/>
      <c r="LV1" s="56"/>
      <c r="LW1" s="56"/>
      <c r="LX1" s="56"/>
      <c r="LY1" s="56"/>
      <c r="LZ1" s="56"/>
      <c r="MA1" s="56"/>
      <c r="MB1" s="61" t="s">
        <v>165</v>
      </c>
      <c r="MC1" s="61"/>
      <c r="MD1" s="61"/>
      <c r="ME1" s="61"/>
      <c r="MF1" s="61"/>
      <c r="MG1" s="61"/>
      <c r="MH1" s="61"/>
      <c r="MI1" s="61"/>
      <c r="MJ1" s="61"/>
      <c r="MK1" s="61"/>
      <c r="ML1" s="61"/>
      <c r="MM1" s="61"/>
      <c r="MN1" s="61"/>
      <c r="MO1" s="61"/>
      <c r="MP1" s="61"/>
      <c r="MQ1" s="61"/>
      <c r="MR1" s="61"/>
      <c r="MS1" s="61"/>
      <c r="MT1" s="61"/>
      <c r="MU1" s="61"/>
      <c r="MV1" s="61"/>
      <c r="MW1" s="61"/>
      <c r="MX1" s="61"/>
      <c r="MY1" s="61"/>
      <c r="MZ1" s="61"/>
      <c r="NA1" s="61"/>
      <c r="NB1" s="61"/>
      <c r="NC1" s="61"/>
      <c r="ND1" s="61"/>
      <c r="NE1" s="61"/>
      <c r="NF1" s="61"/>
      <c r="NG1" s="61"/>
      <c r="NH1" s="61"/>
      <c r="NI1" s="61"/>
      <c r="NJ1" s="56" t="s">
        <v>166</v>
      </c>
      <c r="NK1" s="56"/>
      <c r="NL1" s="56"/>
      <c r="NM1" s="56"/>
      <c r="NN1" s="56"/>
      <c r="NO1" s="56"/>
      <c r="NP1" s="56"/>
      <c r="NQ1" s="56"/>
      <c r="NR1" s="56"/>
      <c r="NS1" s="56"/>
      <c r="NT1" s="56"/>
      <c r="NU1" s="56"/>
      <c r="NV1" s="56"/>
      <c r="NW1" s="56"/>
      <c r="NX1" s="56"/>
      <c r="NY1" s="56"/>
      <c r="NZ1" s="56"/>
      <c r="OA1" s="56"/>
      <c r="OB1" s="56"/>
      <c r="OC1" s="56"/>
      <c r="OD1" s="56"/>
      <c r="OE1" s="56"/>
      <c r="OF1" s="56"/>
      <c r="OG1" s="56"/>
      <c r="OH1" s="56"/>
      <c r="OI1" s="56"/>
      <c r="OJ1" s="56"/>
      <c r="OK1" s="56"/>
      <c r="OL1" s="56"/>
      <c r="OM1" s="56"/>
      <c r="ON1" s="56"/>
      <c r="OO1" s="56"/>
      <c r="OP1" s="56"/>
      <c r="OQ1" s="56"/>
      <c r="OR1" s="61" t="s">
        <v>171</v>
      </c>
      <c r="OS1" s="61"/>
      <c r="OT1" s="61"/>
      <c r="OU1" s="61"/>
      <c r="OV1" s="61"/>
      <c r="OW1" s="61"/>
      <c r="OX1" s="61"/>
      <c r="OY1" s="61"/>
      <c r="OZ1" s="61"/>
      <c r="PA1" s="61"/>
      <c r="PB1" s="61"/>
      <c r="PC1" s="61"/>
      <c r="PD1" s="61"/>
      <c r="PE1" s="61"/>
      <c r="PF1" s="61"/>
      <c r="PG1" s="61"/>
      <c r="PH1" s="61"/>
      <c r="PI1" s="61"/>
      <c r="PJ1" s="61"/>
      <c r="PK1" s="61"/>
      <c r="PL1" s="61"/>
      <c r="PM1" s="61"/>
      <c r="PN1" s="61"/>
      <c r="PO1" s="61"/>
      <c r="PP1" s="61"/>
      <c r="PQ1" s="61"/>
      <c r="PR1" s="61"/>
      <c r="PS1" s="61"/>
      <c r="PT1" s="61"/>
      <c r="PU1" s="61"/>
      <c r="PV1" s="61"/>
      <c r="PW1" s="61"/>
      <c r="PX1" s="61"/>
      <c r="PY1" s="61"/>
      <c r="PZ1" s="56"/>
      <c r="QA1" s="56"/>
      <c r="QB1" s="56"/>
      <c r="QC1" s="56"/>
      <c r="QD1" s="56"/>
      <c r="QE1" s="56"/>
      <c r="QF1" s="56"/>
      <c r="QG1" s="56"/>
      <c r="QH1" s="56"/>
      <c r="QI1" s="56"/>
      <c r="QJ1" s="56"/>
      <c r="QK1" s="56"/>
      <c r="QL1" s="56"/>
      <c r="QM1" s="56"/>
      <c r="QN1" s="56"/>
      <c r="QO1" s="56"/>
      <c r="QP1" s="56"/>
      <c r="QQ1" s="56"/>
      <c r="QR1" s="56"/>
      <c r="QS1" s="56"/>
      <c r="QT1" s="56"/>
      <c r="QU1" s="56"/>
      <c r="QV1" s="56"/>
      <c r="QW1" s="56"/>
      <c r="QX1" s="56"/>
      <c r="QY1" s="56"/>
      <c r="QZ1" s="56"/>
      <c r="RA1" s="56"/>
      <c r="RB1" s="56"/>
      <c r="RC1" s="56"/>
      <c r="RD1" s="56"/>
      <c r="RE1" s="56"/>
      <c r="RF1" s="56"/>
      <c r="RG1" s="56"/>
      <c r="RH1" s="61"/>
      <c r="RI1" s="61"/>
      <c r="RJ1" s="61"/>
      <c r="RK1" s="61"/>
      <c r="RL1" s="61"/>
      <c r="RM1" s="61"/>
      <c r="RN1" s="61"/>
      <c r="RO1" s="61"/>
      <c r="RP1" s="61"/>
      <c r="RQ1" s="61"/>
      <c r="RR1" s="61"/>
      <c r="RS1" s="61"/>
      <c r="RT1" s="61"/>
      <c r="RU1" s="61"/>
      <c r="RV1" s="61"/>
      <c r="RW1" s="61"/>
      <c r="RX1" s="61"/>
      <c r="RY1" s="61"/>
      <c r="RZ1" s="61"/>
      <c r="SA1" s="61"/>
      <c r="SB1" s="61"/>
      <c r="SC1" s="61"/>
      <c r="SD1" s="61"/>
      <c r="SE1" s="61"/>
      <c r="SF1" s="61"/>
      <c r="SG1" s="61"/>
      <c r="SH1" s="61"/>
      <c r="SI1" s="61"/>
      <c r="SJ1" s="61"/>
      <c r="SK1" s="61"/>
      <c r="SL1" s="61"/>
      <c r="SM1" s="61"/>
      <c r="SN1" s="61"/>
      <c r="SO1" s="61"/>
      <c r="SP1" s="56"/>
      <c r="SQ1" s="56"/>
      <c r="SR1" s="56"/>
      <c r="SS1" s="56"/>
      <c r="ST1" s="56"/>
      <c r="SU1" s="56"/>
      <c r="SV1" s="56"/>
      <c r="SW1" s="56"/>
      <c r="SX1" s="56"/>
      <c r="SY1" s="56"/>
      <c r="SZ1" s="56"/>
      <c r="TA1" s="56"/>
      <c r="TB1" s="56"/>
      <c r="TC1" s="56"/>
      <c r="TD1" s="56"/>
      <c r="TE1" s="56"/>
      <c r="TF1" s="56"/>
      <c r="TG1" s="56"/>
      <c r="TH1" s="56"/>
      <c r="TI1" s="56"/>
      <c r="TJ1" s="56"/>
      <c r="TK1" s="56"/>
      <c r="TL1" s="56"/>
      <c r="TM1" s="56"/>
      <c r="TN1" s="56"/>
      <c r="TO1" s="56"/>
      <c r="TP1" s="56"/>
      <c r="TQ1" s="56"/>
      <c r="TR1" s="56"/>
      <c r="TS1" s="56"/>
      <c r="TT1" s="56"/>
      <c r="TU1" s="56"/>
      <c r="TV1" s="56"/>
      <c r="TW1" s="56"/>
      <c r="TX1" s="61"/>
      <c r="TY1" s="61"/>
      <c r="TZ1" s="61"/>
      <c r="UA1" s="61"/>
      <c r="UB1" s="61"/>
      <c r="UC1" s="61"/>
      <c r="UD1" s="61"/>
      <c r="UE1" s="61"/>
      <c r="UF1" s="61"/>
      <c r="UG1" s="61"/>
      <c r="UH1" s="61"/>
      <c r="UI1" s="61"/>
      <c r="UJ1" s="61"/>
      <c r="UK1" s="61"/>
      <c r="UL1" s="61"/>
      <c r="UM1" s="61"/>
      <c r="UN1" s="61"/>
      <c r="UO1" s="61"/>
      <c r="UP1" s="61"/>
      <c r="UQ1" s="61"/>
      <c r="UR1" s="61"/>
      <c r="US1" s="61"/>
      <c r="UT1" s="61"/>
      <c r="UU1" s="61"/>
      <c r="UV1" s="61"/>
      <c r="UW1" s="61"/>
      <c r="UX1" s="61"/>
      <c r="UY1" s="61"/>
      <c r="UZ1" s="61"/>
      <c r="VA1" s="61"/>
      <c r="VB1" s="61"/>
      <c r="VC1" s="61"/>
      <c r="VD1" s="61"/>
      <c r="VE1" s="61"/>
      <c r="VF1" s="56"/>
      <c r="VG1" s="56"/>
      <c r="VH1" s="56"/>
      <c r="VI1" s="56"/>
      <c r="VJ1" s="56"/>
      <c r="VK1" s="56"/>
      <c r="VL1" s="56"/>
      <c r="VM1" s="56"/>
      <c r="VN1" s="56"/>
      <c r="VO1" s="56"/>
      <c r="VP1" s="56"/>
      <c r="VQ1" s="56"/>
      <c r="VR1" s="56"/>
      <c r="VS1" s="56"/>
      <c r="VT1" s="56"/>
      <c r="VU1" s="56"/>
      <c r="VV1" s="56"/>
      <c r="VW1" s="56"/>
      <c r="VX1" s="56"/>
      <c r="VY1" s="56"/>
      <c r="VZ1" s="56"/>
      <c r="WA1" s="56"/>
      <c r="WB1" s="56"/>
      <c r="WC1" s="56"/>
      <c r="WD1" s="56"/>
      <c r="WE1" s="56"/>
      <c r="WF1" s="56"/>
      <c r="WG1" s="56"/>
      <c r="WH1" s="56"/>
      <c r="WI1" s="56"/>
      <c r="WJ1" s="56"/>
      <c r="WK1" s="56"/>
      <c r="WL1" s="56"/>
      <c r="WM1" s="56"/>
    </row>
    <row r="2" spans="1:611" x14ac:dyDescent="0.2">
      <c r="A2" s="57"/>
      <c r="B2" s="57"/>
      <c r="C2" s="57"/>
      <c r="D2" s="57"/>
      <c r="E2" s="57"/>
      <c r="F2" s="58"/>
      <c r="G2" s="57"/>
      <c r="H2" s="57"/>
      <c r="I2" s="57"/>
      <c r="J2" s="53"/>
      <c r="K2" s="52"/>
      <c r="L2" s="53"/>
      <c r="M2" s="52"/>
      <c r="N2" s="53"/>
      <c r="O2" s="52"/>
      <c r="P2" s="59"/>
      <c r="Q2" s="52"/>
      <c r="R2" s="52"/>
      <c r="S2" s="55" t="s">
        <v>17</v>
      </c>
      <c r="T2" s="55"/>
      <c r="U2" s="55"/>
      <c r="V2" s="55"/>
      <c r="W2" s="55"/>
      <c r="X2" s="55" t="s">
        <v>18</v>
      </c>
      <c r="Y2" s="55"/>
      <c r="Z2" s="55"/>
      <c r="AA2" s="55"/>
      <c r="AB2" s="55"/>
      <c r="AC2" s="55" t="s">
        <v>21</v>
      </c>
      <c r="AD2" s="55"/>
      <c r="AE2" s="55"/>
      <c r="AF2" s="55"/>
      <c r="AG2" s="55"/>
      <c r="AH2" s="14"/>
      <c r="AI2" s="14" t="s">
        <v>66</v>
      </c>
      <c r="AJ2" s="14" t="s">
        <v>67</v>
      </c>
      <c r="AK2" s="14" t="s">
        <v>19</v>
      </c>
      <c r="AL2" s="14" t="s">
        <v>58</v>
      </c>
      <c r="AM2" s="14" t="s">
        <v>68</v>
      </c>
      <c r="AN2" s="14" t="s">
        <v>20</v>
      </c>
      <c r="AO2" s="14" t="s">
        <v>22</v>
      </c>
      <c r="AP2" s="14" t="s">
        <v>69</v>
      </c>
      <c r="AQ2" s="14" t="s">
        <v>70</v>
      </c>
      <c r="AR2" s="14" t="s">
        <v>21</v>
      </c>
      <c r="AS2" s="14" t="s">
        <v>16</v>
      </c>
      <c r="AT2" s="60" t="s">
        <v>17</v>
      </c>
      <c r="AU2" s="60"/>
      <c r="AV2" s="60"/>
      <c r="AW2" s="60"/>
      <c r="AX2" s="60"/>
      <c r="AY2" s="60" t="s">
        <v>18</v>
      </c>
      <c r="AZ2" s="60"/>
      <c r="BA2" s="60"/>
      <c r="BB2" s="60"/>
      <c r="BC2" s="60"/>
      <c r="BD2" s="60" t="s">
        <v>21</v>
      </c>
      <c r="BE2" s="60"/>
      <c r="BF2" s="60"/>
      <c r="BG2" s="60"/>
      <c r="BH2" s="60"/>
      <c r="BI2" s="13"/>
      <c r="BJ2" s="13" t="s">
        <v>66</v>
      </c>
      <c r="BK2" s="13" t="s">
        <v>67</v>
      </c>
      <c r="BL2" s="13" t="s">
        <v>19</v>
      </c>
      <c r="BM2" s="13" t="s">
        <v>58</v>
      </c>
      <c r="BN2" s="13" t="s">
        <v>68</v>
      </c>
      <c r="BO2" s="13" t="s">
        <v>20</v>
      </c>
      <c r="BP2" s="13" t="s">
        <v>22</v>
      </c>
      <c r="BQ2" s="13" t="s">
        <v>69</v>
      </c>
      <c r="BR2" s="13" t="s">
        <v>70</v>
      </c>
      <c r="BS2" s="13" t="s">
        <v>21</v>
      </c>
      <c r="BT2" s="13" t="s">
        <v>16</v>
      </c>
      <c r="BU2" s="55" t="s">
        <v>17</v>
      </c>
      <c r="BV2" s="55"/>
      <c r="BW2" s="55"/>
      <c r="BX2" s="55"/>
      <c r="BY2" s="55"/>
      <c r="BZ2" s="55" t="s">
        <v>18</v>
      </c>
      <c r="CA2" s="55"/>
      <c r="CB2" s="55"/>
      <c r="CC2" s="55"/>
      <c r="CD2" s="55"/>
      <c r="CE2" s="55" t="s">
        <v>21</v>
      </c>
      <c r="CF2" s="55"/>
      <c r="CG2" s="55"/>
      <c r="CH2" s="55"/>
      <c r="CI2" s="55"/>
      <c r="CJ2" s="14"/>
      <c r="CK2" s="14" t="s">
        <v>66</v>
      </c>
      <c r="CL2" s="14" t="s">
        <v>67</v>
      </c>
      <c r="CM2" s="14" t="s">
        <v>19</v>
      </c>
      <c r="CN2" s="14" t="s">
        <v>58</v>
      </c>
      <c r="CO2" s="14" t="s">
        <v>68</v>
      </c>
      <c r="CP2" s="14" t="s">
        <v>20</v>
      </c>
      <c r="CQ2" s="14" t="s">
        <v>22</v>
      </c>
      <c r="CR2" s="14" t="s">
        <v>69</v>
      </c>
      <c r="CS2" s="14" t="s">
        <v>70</v>
      </c>
      <c r="CT2" s="14" t="s">
        <v>21</v>
      </c>
      <c r="CU2" s="14" t="s">
        <v>16</v>
      </c>
      <c r="CV2" s="46" t="s">
        <v>21</v>
      </c>
      <c r="CW2" s="46" t="s">
        <v>176</v>
      </c>
      <c r="CX2" s="55" t="s">
        <v>17</v>
      </c>
      <c r="CY2" s="55"/>
      <c r="CZ2" s="55"/>
      <c r="DA2" s="55"/>
      <c r="DB2" s="55"/>
      <c r="DC2" s="55" t="s">
        <v>18</v>
      </c>
      <c r="DD2" s="55"/>
      <c r="DE2" s="55"/>
      <c r="DF2" s="55"/>
      <c r="DG2" s="55"/>
      <c r="DH2" s="55" t="s">
        <v>71</v>
      </c>
      <c r="DI2" s="55"/>
      <c r="DJ2" s="55"/>
      <c r="DK2" s="55"/>
      <c r="DL2" s="55"/>
      <c r="DM2" s="55" t="s">
        <v>21</v>
      </c>
      <c r="DN2" s="55"/>
      <c r="DO2" s="55"/>
      <c r="DP2" s="55"/>
      <c r="DQ2" s="55"/>
      <c r="DR2" s="14" t="s">
        <v>66</v>
      </c>
      <c r="DS2" s="14" t="s">
        <v>67</v>
      </c>
      <c r="DT2" s="14" t="s">
        <v>19</v>
      </c>
      <c r="DU2" s="14" t="s">
        <v>58</v>
      </c>
      <c r="DV2" s="14" t="s">
        <v>68</v>
      </c>
      <c r="DW2" s="14" t="s">
        <v>20</v>
      </c>
      <c r="DX2" s="14" t="s">
        <v>22</v>
      </c>
      <c r="DY2" s="14" t="s">
        <v>72</v>
      </c>
      <c r="DZ2" s="14" t="s">
        <v>73</v>
      </c>
      <c r="EA2" s="14" t="s">
        <v>71</v>
      </c>
      <c r="EB2" s="14" t="s">
        <v>69</v>
      </c>
      <c r="EC2" s="14" t="s">
        <v>70</v>
      </c>
      <c r="ED2" s="14" t="s">
        <v>21</v>
      </c>
      <c r="EE2" s="14" t="s">
        <v>16</v>
      </c>
      <c r="EF2" s="60" t="s">
        <v>17</v>
      </c>
      <c r="EG2" s="60"/>
      <c r="EH2" s="60"/>
      <c r="EI2" s="60"/>
      <c r="EJ2" s="60"/>
      <c r="EK2" s="60" t="s">
        <v>18</v>
      </c>
      <c r="EL2" s="60"/>
      <c r="EM2" s="60"/>
      <c r="EN2" s="60"/>
      <c r="EO2" s="60"/>
      <c r="EP2" s="60" t="s">
        <v>71</v>
      </c>
      <c r="EQ2" s="60"/>
      <c r="ER2" s="60"/>
      <c r="ES2" s="60"/>
      <c r="ET2" s="60"/>
      <c r="EU2" s="60" t="s">
        <v>21</v>
      </c>
      <c r="EV2" s="60"/>
      <c r="EW2" s="60"/>
      <c r="EX2" s="60"/>
      <c r="EY2" s="60"/>
      <c r="EZ2" s="13" t="s">
        <v>66</v>
      </c>
      <c r="FA2" s="13" t="s">
        <v>67</v>
      </c>
      <c r="FB2" s="13" t="s">
        <v>19</v>
      </c>
      <c r="FC2" s="13" t="s">
        <v>58</v>
      </c>
      <c r="FD2" s="13" t="s">
        <v>68</v>
      </c>
      <c r="FE2" s="13" t="s">
        <v>20</v>
      </c>
      <c r="FF2" s="13" t="s">
        <v>22</v>
      </c>
      <c r="FG2" s="13" t="s">
        <v>72</v>
      </c>
      <c r="FH2" s="13" t="s">
        <v>73</v>
      </c>
      <c r="FI2" s="13" t="s">
        <v>71</v>
      </c>
      <c r="FJ2" s="13" t="s">
        <v>69</v>
      </c>
      <c r="FK2" s="13" t="s">
        <v>70</v>
      </c>
      <c r="FL2" s="13" t="s">
        <v>21</v>
      </c>
      <c r="FM2" s="13" t="s">
        <v>16</v>
      </c>
      <c r="FN2" s="55" t="s">
        <v>17</v>
      </c>
      <c r="FO2" s="55"/>
      <c r="FP2" s="55"/>
      <c r="FQ2" s="55"/>
      <c r="FR2" s="55"/>
      <c r="FS2" s="55" t="s">
        <v>18</v>
      </c>
      <c r="FT2" s="55"/>
      <c r="FU2" s="55"/>
      <c r="FV2" s="55"/>
      <c r="FW2" s="55"/>
      <c r="FX2" s="55" t="s">
        <v>71</v>
      </c>
      <c r="FY2" s="55"/>
      <c r="FZ2" s="55"/>
      <c r="GA2" s="55"/>
      <c r="GB2" s="55"/>
      <c r="GC2" s="55" t="s">
        <v>21</v>
      </c>
      <c r="GD2" s="55"/>
      <c r="GE2" s="55"/>
      <c r="GF2" s="55"/>
      <c r="GG2" s="55"/>
      <c r="GH2" s="14" t="s">
        <v>66</v>
      </c>
      <c r="GI2" s="14" t="s">
        <v>67</v>
      </c>
      <c r="GJ2" s="14" t="s">
        <v>19</v>
      </c>
      <c r="GK2" s="14" t="s">
        <v>58</v>
      </c>
      <c r="GL2" s="14" t="s">
        <v>68</v>
      </c>
      <c r="GM2" s="14" t="s">
        <v>20</v>
      </c>
      <c r="GN2" s="14" t="s">
        <v>22</v>
      </c>
      <c r="GO2" s="14" t="s">
        <v>72</v>
      </c>
      <c r="GP2" s="14" t="s">
        <v>73</v>
      </c>
      <c r="GQ2" s="14" t="s">
        <v>71</v>
      </c>
      <c r="GR2" s="14" t="s">
        <v>69</v>
      </c>
      <c r="GS2" s="14" t="s">
        <v>70</v>
      </c>
      <c r="GT2" s="14" t="s">
        <v>21</v>
      </c>
      <c r="GU2" s="14" t="s">
        <v>16</v>
      </c>
      <c r="GV2" s="60" t="s">
        <v>17</v>
      </c>
      <c r="GW2" s="60"/>
      <c r="GX2" s="60"/>
      <c r="GY2" s="60"/>
      <c r="GZ2" s="60"/>
      <c r="HA2" s="60" t="s">
        <v>18</v>
      </c>
      <c r="HB2" s="60"/>
      <c r="HC2" s="60"/>
      <c r="HD2" s="60"/>
      <c r="HE2" s="60"/>
      <c r="HF2" s="60" t="s">
        <v>71</v>
      </c>
      <c r="HG2" s="60"/>
      <c r="HH2" s="60"/>
      <c r="HI2" s="60"/>
      <c r="HJ2" s="60"/>
      <c r="HK2" s="60" t="s">
        <v>21</v>
      </c>
      <c r="HL2" s="60"/>
      <c r="HM2" s="60"/>
      <c r="HN2" s="60"/>
      <c r="HO2" s="60"/>
      <c r="HP2" s="13" t="s">
        <v>66</v>
      </c>
      <c r="HQ2" s="13" t="s">
        <v>67</v>
      </c>
      <c r="HR2" s="13" t="s">
        <v>19</v>
      </c>
      <c r="HS2" s="13" t="s">
        <v>58</v>
      </c>
      <c r="HT2" s="13" t="s">
        <v>68</v>
      </c>
      <c r="HU2" s="13" t="s">
        <v>20</v>
      </c>
      <c r="HV2" s="13" t="s">
        <v>22</v>
      </c>
      <c r="HW2" s="13" t="s">
        <v>72</v>
      </c>
      <c r="HX2" s="13" t="s">
        <v>73</v>
      </c>
      <c r="HY2" s="13" t="s">
        <v>71</v>
      </c>
      <c r="HZ2" s="13" t="s">
        <v>69</v>
      </c>
      <c r="IA2" s="13" t="s">
        <v>70</v>
      </c>
      <c r="IB2" s="13" t="s">
        <v>21</v>
      </c>
      <c r="IC2" s="13" t="s">
        <v>16</v>
      </c>
      <c r="ID2" s="55" t="s">
        <v>17</v>
      </c>
      <c r="IE2" s="55"/>
      <c r="IF2" s="55"/>
      <c r="IG2" s="55"/>
      <c r="IH2" s="55"/>
      <c r="II2" s="55" t="s">
        <v>18</v>
      </c>
      <c r="IJ2" s="55"/>
      <c r="IK2" s="55"/>
      <c r="IL2" s="55"/>
      <c r="IM2" s="55"/>
      <c r="IN2" s="55" t="s">
        <v>71</v>
      </c>
      <c r="IO2" s="55"/>
      <c r="IP2" s="55"/>
      <c r="IQ2" s="55"/>
      <c r="IR2" s="55"/>
      <c r="IS2" s="55" t="s">
        <v>21</v>
      </c>
      <c r="IT2" s="55"/>
      <c r="IU2" s="55"/>
      <c r="IV2" s="55"/>
      <c r="IW2" s="55"/>
      <c r="IX2" s="14" t="s">
        <v>66</v>
      </c>
      <c r="IY2" s="14" t="s">
        <v>67</v>
      </c>
      <c r="IZ2" s="14" t="s">
        <v>19</v>
      </c>
      <c r="JA2" s="14" t="s">
        <v>58</v>
      </c>
      <c r="JB2" s="14" t="s">
        <v>68</v>
      </c>
      <c r="JC2" s="14" t="s">
        <v>20</v>
      </c>
      <c r="JD2" s="14" t="s">
        <v>22</v>
      </c>
      <c r="JE2" s="14" t="s">
        <v>72</v>
      </c>
      <c r="JF2" s="14" t="s">
        <v>73</v>
      </c>
      <c r="JG2" s="14" t="s">
        <v>71</v>
      </c>
      <c r="JH2" s="14" t="s">
        <v>69</v>
      </c>
      <c r="JI2" s="14" t="s">
        <v>70</v>
      </c>
      <c r="JJ2" s="14" t="s">
        <v>21</v>
      </c>
      <c r="JK2" s="14" t="s">
        <v>16</v>
      </c>
      <c r="JL2" s="60" t="s">
        <v>17</v>
      </c>
      <c r="JM2" s="60"/>
      <c r="JN2" s="60"/>
      <c r="JO2" s="60"/>
      <c r="JP2" s="60"/>
      <c r="JQ2" s="60" t="s">
        <v>18</v>
      </c>
      <c r="JR2" s="60"/>
      <c r="JS2" s="60"/>
      <c r="JT2" s="60"/>
      <c r="JU2" s="60"/>
      <c r="JV2" s="60" t="s">
        <v>71</v>
      </c>
      <c r="JW2" s="60"/>
      <c r="JX2" s="60"/>
      <c r="JY2" s="60"/>
      <c r="JZ2" s="60"/>
      <c r="KA2" s="60" t="s">
        <v>21</v>
      </c>
      <c r="KB2" s="60"/>
      <c r="KC2" s="60"/>
      <c r="KD2" s="60"/>
      <c r="KE2" s="60"/>
      <c r="KF2" s="13" t="s">
        <v>66</v>
      </c>
      <c r="KG2" s="13" t="s">
        <v>67</v>
      </c>
      <c r="KH2" s="13" t="s">
        <v>19</v>
      </c>
      <c r="KI2" s="13" t="s">
        <v>58</v>
      </c>
      <c r="KJ2" s="13" t="s">
        <v>68</v>
      </c>
      <c r="KK2" s="13" t="s">
        <v>20</v>
      </c>
      <c r="KL2" s="13" t="s">
        <v>22</v>
      </c>
      <c r="KM2" s="13" t="s">
        <v>72</v>
      </c>
      <c r="KN2" s="13" t="s">
        <v>73</v>
      </c>
      <c r="KO2" s="13" t="s">
        <v>71</v>
      </c>
      <c r="KP2" s="13" t="s">
        <v>69</v>
      </c>
      <c r="KQ2" s="13" t="s">
        <v>70</v>
      </c>
      <c r="KR2" s="13" t="s">
        <v>21</v>
      </c>
      <c r="KS2" s="13" t="s">
        <v>16</v>
      </c>
      <c r="KT2" s="55" t="s">
        <v>17</v>
      </c>
      <c r="KU2" s="55"/>
      <c r="KV2" s="55"/>
      <c r="KW2" s="55"/>
      <c r="KX2" s="55"/>
      <c r="KY2" s="55" t="s">
        <v>18</v>
      </c>
      <c r="KZ2" s="55"/>
      <c r="LA2" s="55"/>
      <c r="LB2" s="55"/>
      <c r="LC2" s="55"/>
      <c r="LD2" s="55" t="s">
        <v>71</v>
      </c>
      <c r="LE2" s="55"/>
      <c r="LF2" s="55"/>
      <c r="LG2" s="55"/>
      <c r="LH2" s="55"/>
      <c r="LI2" s="55" t="s">
        <v>21</v>
      </c>
      <c r="LJ2" s="55"/>
      <c r="LK2" s="55"/>
      <c r="LL2" s="55"/>
      <c r="LM2" s="55"/>
      <c r="LN2" s="14" t="s">
        <v>66</v>
      </c>
      <c r="LO2" s="14" t="s">
        <v>67</v>
      </c>
      <c r="LP2" s="14" t="s">
        <v>19</v>
      </c>
      <c r="LQ2" s="14" t="s">
        <v>58</v>
      </c>
      <c r="LR2" s="14" t="s">
        <v>68</v>
      </c>
      <c r="LS2" s="14" t="s">
        <v>20</v>
      </c>
      <c r="LT2" s="14" t="s">
        <v>22</v>
      </c>
      <c r="LU2" s="14" t="s">
        <v>72</v>
      </c>
      <c r="LV2" s="14" t="s">
        <v>73</v>
      </c>
      <c r="LW2" s="14" t="s">
        <v>71</v>
      </c>
      <c r="LX2" s="14" t="s">
        <v>69</v>
      </c>
      <c r="LY2" s="14" t="s">
        <v>70</v>
      </c>
      <c r="LZ2" s="14" t="s">
        <v>21</v>
      </c>
      <c r="MA2" s="14" t="s">
        <v>16</v>
      </c>
      <c r="MB2" s="60" t="s">
        <v>17</v>
      </c>
      <c r="MC2" s="60"/>
      <c r="MD2" s="60"/>
      <c r="ME2" s="60"/>
      <c r="MF2" s="60"/>
      <c r="MG2" s="60" t="s">
        <v>18</v>
      </c>
      <c r="MH2" s="60"/>
      <c r="MI2" s="60"/>
      <c r="MJ2" s="60"/>
      <c r="MK2" s="60"/>
      <c r="ML2" s="60" t="s">
        <v>71</v>
      </c>
      <c r="MM2" s="60"/>
      <c r="MN2" s="60"/>
      <c r="MO2" s="60"/>
      <c r="MP2" s="60"/>
      <c r="MQ2" s="60" t="s">
        <v>21</v>
      </c>
      <c r="MR2" s="60"/>
      <c r="MS2" s="60"/>
      <c r="MT2" s="60"/>
      <c r="MU2" s="60"/>
      <c r="MV2" s="13" t="s">
        <v>66</v>
      </c>
      <c r="MW2" s="13" t="s">
        <v>67</v>
      </c>
      <c r="MX2" s="13" t="s">
        <v>19</v>
      </c>
      <c r="MY2" s="13" t="s">
        <v>58</v>
      </c>
      <c r="MZ2" s="13" t="s">
        <v>68</v>
      </c>
      <c r="NA2" s="13" t="s">
        <v>20</v>
      </c>
      <c r="NB2" s="13" t="s">
        <v>22</v>
      </c>
      <c r="NC2" s="13" t="s">
        <v>72</v>
      </c>
      <c r="ND2" s="13" t="s">
        <v>73</v>
      </c>
      <c r="NE2" s="13" t="s">
        <v>71</v>
      </c>
      <c r="NF2" s="13" t="s">
        <v>69</v>
      </c>
      <c r="NG2" s="13" t="s">
        <v>70</v>
      </c>
      <c r="NH2" s="13" t="s">
        <v>21</v>
      </c>
      <c r="NI2" s="13" t="s">
        <v>16</v>
      </c>
      <c r="NJ2" s="55" t="s">
        <v>17</v>
      </c>
      <c r="NK2" s="55"/>
      <c r="NL2" s="55"/>
      <c r="NM2" s="55"/>
      <c r="NN2" s="55"/>
      <c r="NO2" s="55" t="s">
        <v>18</v>
      </c>
      <c r="NP2" s="55"/>
      <c r="NQ2" s="55"/>
      <c r="NR2" s="55"/>
      <c r="NS2" s="55"/>
      <c r="NT2" s="55" t="s">
        <v>71</v>
      </c>
      <c r="NU2" s="55"/>
      <c r="NV2" s="55"/>
      <c r="NW2" s="55"/>
      <c r="NX2" s="55"/>
      <c r="NY2" s="55" t="s">
        <v>21</v>
      </c>
      <c r="NZ2" s="55"/>
      <c r="OA2" s="55"/>
      <c r="OB2" s="55"/>
      <c r="OC2" s="55"/>
      <c r="OD2" s="14" t="s">
        <v>66</v>
      </c>
      <c r="OE2" s="14" t="s">
        <v>67</v>
      </c>
      <c r="OF2" s="14" t="s">
        <v>19</v>
      </c>
      <c r="OG2" s="14" t="s">
        <v>58</v>
      </c>
      <c r="OH2" s="14" t="s">
        <v>68</v>
      </c>
      <c r="OI2" s="14" t="s">
        <v>20</v>
      </c>
      <c r="OJ2" s="14" t="s">
        <v>22</v>
      </c>
      <c r="OK2" s="14" t="s">
        <v>72</v>
      </c>
      <c r="OL2" s="14" t="s">
        <v>73</v>
      </c>
      <c r="OM2" s="14" t="s">
        <v>71</v>
      </c>
      <c r="ON2" s="14" t="s">
        <v>69</v>
      </c>
      <c r="OO2" s="14" t="s">
        <v>70</v>
      </c>
      <c r="OP2" s="14" t="s">
        <v>21</v>
      </c>
      <c r="OQ2" s="14" t="s">
        <v>16</v>
      </c>
      <c r="OR2" s="60" t="s">
        <v>17</v>
      </c>
      <c r="OS2" s="60"/>
      <c r="OT2" s="60"/>
      <c r="OU2" s="60"/>
      <c r="OV2" s="60"/>
      <c r="OW2" s="60" t="s">
        <v>18</v>
      </c>
      <c r="OX2" s="60"/>
      <c r="OY2" s="60"/>
      <c r="OZ2" s="60"/>
      <c r="PA2" s="60"/>
      <c r="PB2" s="60" t="s">
        <v>71</v>
      </c>
      <c r="PC2" s="60"/>
      <c r="PD2" s="60"/>
      <c r="PE2" s="60"/>
      <c r="PF2" s="60"/>
      <c r="PG2" s="60" t="s">
        <v>21</v>
      </c>
      <c r="PH2" s="60"/>
      <c r="PI2" s="60"/>
      <c r="PJ2" s="60"/>
      <c r="PK2" s="60"/>
      <c r="PL2" s="13" t="s">
        <v>66</v>
      </c>
      <c r="PM2" s="13" t="s">
        <v>67</v>
      </c>
      <c r="PN2" s="13" t="s">
        <v>19</v>
      </c>
      <c r="PO2" s="13" t="s">
        <v>58</v>
      </c>
      <c r="PP2" s="13" t="s">
        <v>68</v>
      </c>
      <c r="PQ2" s="13" t="s">
        <v>20</v>
      </c>
      <c r="PR2" s="13" t="s">
        <v>22</v>
      </c>
      <c r="PS2" s="13" t="s">
        <v>72</v>
      </c>
      <c r="PT2" s="13" t="s">
        <v>73</v>
      </c>
      <c r="PU2" s="13" t="s">
        <v>71</v>
      </c>
      <c r="PV2" s="13" t="s">
        <v>69</v>
      </c>
      <c r="PW2" s="13" t="s">
        <v>70</v>
      </c>
      <c r="PX2" s="13" t="s">
        <v>21</v>
      </c>
      <c r="PY2" s="13" t="s">
        <v>16</v>
      </c>
      <c r="PZ2" s="55" t="s">
        <v>17</v>
      </c>
      <c r="QA2" s="55"/>
      <c r="QB2" s="55"/>
      <c r="QC2" s="55"/>
      <c r="QD2" s="55"/>
      <c r="QE2" s="55" t="s">
        <v>18</v>
      </c>
      <c r="QF2" s="55"/>
      <c r="QG2" s="55"/>
      <c r="QH2" s="55"/>
      <c r="QI2" s="55"/>
      <c r="QJ2" s="55" t="s">
        <v>71</v>
      </c>
      <c r="QK2" s="55"/>
      <c r="QL2" s="55"/>
      <c r="QM2" s="55"/>
      <c r="QN2" s="55"/>
      <c r="QO2" s="55" t="s">
        <v>21</v>
      </c>
      <c r="QP2" s="55"/>
      <c r="QQ2" s="55"/>
      <c r="QR2" s="55"/>
      <c r="QS2" s="55"/>
      <c r="QT2" s="14" t="s">
        <v>66</v>
      </c>
      <c r="QU2" s="14" t="s">
        <v>67</v>
      </c>
      <c r="QV2" s="14" t="s">
        <v>19</v>
      </c>
      <c r="QW2" s="14" t="s">
        <v>58</v>
      </c>
      <c r="QX2" s="14" t="s">
        <v>68</v>
      </c>
      <c r="QY2" s="14" t="s">
        <v>20</v>
      </c>
      <c r="QZ2" s="14" t="s">
        <v>22</v>
      </c>
      <c r="RA2" s="14" t="s">
        <v>72</v>
      </c>
      <c r="RB2" s="14" t="s">
        <v>73</v>
      </c>
      <c r="RC2" s="14" t="s">
        <v>71</v>
      </c>
      <c r="RD2" s="14" t="s">
        <v>69</v>
      </c>
      <c r="RE2" s="14" t="s">
        <v>70</v>
      </c>
      <c r="RF2" s="14" t="s">
        <v>21</v>
      </c>
      <c r="RG2" s="14" t="s">
        <v>16</v>
      </c>
      <c r="RH2" s="60" t="s">
        <v>17</v>
      </c>
      <c r="RI2" s="60"/>
      <c r="RJ2" s="60"/>
      <c r="RK2" s="60"/>
      <c r="RL2" s="60"/>
      <c r="RM2" s="60" t="s">
        <v>18</v>
      </c>
      <c r="RN2" s="60"/>
      <c r="RO2" s="60"/>
      <c r="RP2" s="60"/>
      <c r="RQ2" s="60"/>
      <c r="RR2" s="60" t="s">
        <v>71</v>
      </c>
      <c r="RS2" s="60"/>
      <c r="RT2" s="60"/>
      <c r="RU2" s="60"/>
      <c r="RV2" s="60"/>
      <c r="RW2" s="60" t="s">
        <v>21</v>
      </c>
      <c r="RX2" s="60"/>
      <c r="RY2" s="60"/>
      <c r="RZ2" s="60"/>
      <c r="SA2" s="60"/>
      <c r="SB2" s="13" t="s">
        <v>66</v>
      </c>
      <c r="SC2" s="13" t="s">
        <v>67</v>
      </c>
      <c r="SD2" s="13" t="s">
        <v>19</v>
      </c>
      <c r="SE2" s="13" t="s">
        <v>58</v>
      </c>
      <c r="SF2" s="13" t="s">
        <v>68</v>
      </c>
      <c r="SG2" s="13" t="s">
        <v>20</v>
      </c>
      <c r="SH2" s="13" t="s">
        <v>22</v>
      </c>
      <c r="SI2" s="13" t="s">
        <v>72</v>
      </c>
      <c r="SJ2" s="13" t="s">
        <v>73</v>
      </c>
      <c r="SK2" s="13" t="s">
        <v>71</v>
      </c>
      <c r="SL2" s="13" t="s">
        <v>69</v>
      </c>
      <c r="SM2" s="13" t="s">
        <v>70</v>
      </c>
      <c r="SN2" s="13" t="s">
        <v>21</v>
      </c>
      <c r="SO2" s="13" t="s">
        <v>16</v>
      </c>
      <c r="SP2" s="55" t="s">
        <v>17</v>
      </c>
      <c r="SQ2" s="55"/>
      <c r="SR2" s="55"/>
      <c r="SS2" s="55"/>
      <c r="ST2" s="55"/>
      <c r="SU2" s="55" t="s">
        <v>18</v>
      </c>
      <c r="SV2" s="55"/>
      <c r="SW2" s="55"/>
      <c r="SX2" s="55"/>
      <c r="SY2" s="55"/>
      <c r="SZ2" s="55" t="s">
        <v>71</v>
      </c>
      <c r="TA2" s="55"/>
      <c r="TB2" s="55"/>
      <c r="TC2" s="55"/>
      <c r="TD2" s="55"/>
      <c r="TE2" s="55" t="s">
        <v>21</v>
      </c>
      <c r="TF2" s="55"/>
      <c r="TG2" s="55"/>
      <c r="TH2" s="55"/>
      <c r="TI2" s="55"/>
      <c r="TJ2" s="14" t="s">
        <v>66</v>
      </c>
      <c r="TK2" s="14" t="s">
        <v>67</v>
      </c>
      <c r="TL2" s="14" t="s">
        <v>19</v>
      </c>
      <c r="TM2" s="14" t="s">
        <v>58</v>
      </c>
      <c r="TN2" s="14" t="s">
        <v>68</v>
      </c>
      <c r="TO2" s="14" t="s">
        <v>20</v>
      </c>
      <c r="TP2" s="14" t="s">
        <v>22</v>
      </c>
      <c r="TQ2" s="14" t="s">
        <v>72</v>
      </c>
      <c r="TR2" s="14" t="s">
        <v>73</v>
      </c>
      <c r="TS2" s="14" t="s">
        <v>71</v>
      </c>
      <c r="TT2" s="14" t="s">
        <v>69</v>
      </c>
      <c r="TU2" s="14" t="s">
        <v>70</v>
      </c>
      <c r="TV2" s="14" t="s">
        <v>21</v>
      </c>
      <c r="TW2" s="14" t="s">
        <v>16</v>
      </c>
      <c r="TX2" s="60" t="s">
        <v>17</v>
      </c>
      <c r="TY2" s="60"/>
      <c r="TZ2" s="60"/>
      <c r="UA2" s="60"/>
      <c r="UB2" s="60"/>
      <c r="UC2" s="60" t="s">
        <v>18</v>
      </c>
      <c r="UD2" s="60"/>
      <c r="UE2" s="60"/>
      <c r="UF2" s="60"/>
      <c r="UG2" s="60"/>
      <c r="UH2" s="60" t="s">
        <v>71</v>
      </c>
      <c r="UI2" s="60"/>
      <c r="UJ2" s="60"/>
      <c r="UK2" s="60"/>
      <c r="UL2" s="60"/>
      <c r="UM2" s="60" t="s">
        <v>21</v>
      </c>
      <c r="UN2" s="60"/>
      <c r="UO2" s="60"/>
      <c r="UP2" s="60"/>
      <c r="UQ2" s="60"/>
      <c r="UR2" s="13" t="s">
        <v>66</v>
      </c>
      <c r="US2" s="13" t="s">
        <v>67</v>
      </c>
      <c r="UT2" s="13" t="s">
        <v>19</v>
      </c>
      <c r="UU2" s="13" t="s">
        <v>58</v>
      </c>
      <c r="UV2" s="13" t="s">
        <v>68</v>
      </c>
      <c r="UW2" s="13" t="s">
        <v>20</v>
      </c>
      <c r="UX2" s="13" t="s">
        <v>22</v>
      </c>
      <c r="UY2" s="13" t="s">
        <v>72</v>
      </c>
      <c r="UZ2" s="13" t="s">
        <v>73</v>
      </c>
      <c r="VA2" s="13" t="s">
        <v>71</v>
      </c>
      <c r="VB2" s="13" t="s">
        <v>69</v>
      </c>
      <c r="VC2" s="13" t="s">
        <v>70</v>
      </c>
      <c r="VD2" s="13" t="s">
        <v>21</v>
      </c>
      <c r="VE2" s="13" t="s">
        <v>16</v>
      </c>
      <c r="VF2" s="55" t="s">
        <v>17</v>
      </c>
      <c r="VG2" s="55"/>
      <c r="VH2" s="55"/>
      <c r="VI2" s="55"/>
      <c r="VJ2" s="55"/>
      <c r="VK2" s="55" t="s">
        <v>18</v>
      </c>
      <c r="VL2" s="55"/>
      <c r="VM2" s="55"/>
      <c r="VN2" s="55"/>
      <c r="VO2" s="55"/>
      <c r="VP2" s="55" t="s">
        <v>71</v>
      </c>
      <c r="VQ2" s="55"/>
      <c r="VR2" s="55"/>
      <c r="VS2" s="55"/>
      <c r="VT2" s="55"/>
      <c r="VU2" s="55" t="s">
        <v>21</v>
      </c>
      <c r="VV2" s="55"/>
      <c r="VW2" s="55"/>
      <c r="VX2" s="55"/>
      <c r="VY2" s="55"/>
      <c r="VZ2" s="14" t="s">
        <v>66</v>
      </c>
      <c r="WA2" s="14" t="s">
        <v>67</v>
      </c>
      <c r="WB2" s="14" t="s">
        <v>19</v>
      </c>
      <c r="WC2" s="14" t="s">
        <v>58</v>
      </c>
      <c r="WD2" s="14" t="s">
        <v>68</v>
      </c>
      <c r="WE2" s="14" t="s">
        <v>20</v>
      </c>
      <c r="WF2" s="14" t="s">
        <v>22</v>
      </c>
      <c r="WG2" s="14" t="s">
        <v>72</v>
      </c>
      <c r="WH2" s="14" t="s">
        <v>73</v>
      </c>
      <c r="WI2" s="14" t="s">
        <v>71</v>
      </c>
      <c r="WJ2" s="14" t="s">
        <v>69</v>
      </c>
      <c r="WK2" s="14" t="s">
        <v>70</v>
      </c>
      <c r="WL2" s="14" t="s">
        <v>21</v>
      </c>
      <c r="WM2" s="14" t="s">
        <v>16</v>
      </c>
    </row>
    <row r="3" spans="1:611" x14ac:dyDescent="0.2">
      <c r="A3" s="57"/>
      <c r="B3" s="57"/>
      <c r="C3" s="57"/>
      <c r="D3" s="57"/>
      <c r="E3" s="57"/>
      <c r="F3" s="58"/>
      <c r="G3" s="57"/>
      <c r="H3" s="57"/>
      <c r="I3" s="57"/>
      <c r="J3" s="53"/>
      <c r="K3" s="52"/>
      <c r="L3" s="53"/>
      <c r="M3" s="52"/>
      <c r="N3" s="53"/>
      <c r="O3" s="52"/>
      <c r="P3" s="59"/>
      <c r="Q3" s="52"/>
      <c r="R3" s="52"/>
      <c r="S3" s="14" t="s">
        <v>13</v>
      </c>
      <c r="T3" s="14" t="s">
        <v>14</v>
      </c>
      <c r="U3" s="14" t="s">
        <v>8</v>
      </c>
      <c r="V3" s="14" t="s">
        <v>15</v>
      </c>
      <c r="W3" s="14" t="s">
        <v>27</v>
      </c>
      <c r="X3" s="14" t="s">
        <v>13</v>
      </c>
      <c r="Y3" s="14" t="s">
        <v>14</v>
      </c>
      <c r="Z3" s="14" t="s">
        <v>8</v>
      </c>
      <c r="AA3" s="14" t="s">
        <v>15</v>
      </c>
      <c r="AB3" s="14" t="s">
        <v>27</v>
      </c>
      <c r="AC3" s="14" t="s">
        <v>13</v>
      </c>
      <c r="AD3" s="14" t="s">
        <v>14</v>
      </c>
      <c r="AE3" s="14" t="s">
        <v>8</v>
      </c>
      <c r="AF3" s="14" t="s">
        <v>15</v>
      </c>
      <c r="AG3" s="14" t="s">
        <v>27</v>
      </c>
      <c r="AH3" s="14" t="s">
        <v>41</v>
      </c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3" t="s">
        <v>13</v>
      </c>
      <c r="AU3" s="13" t="s">
        <v>14</v>
      </c>
      <c r="AV3" s="13" t="s">
        <v>8</v>
      </c>
      <c r="AW3" s="13" t="s">
        <v>15</v>
      </c>
      <c r="AX3" s="13" t="s">
        <v>27</v>
      </c>
      <c r="AY3" s="13" t="s">
        <v>13</v>
      </c>
      <c r="AZ3" s="13" t="s">
        <v>14</v>
      </c>
      <c r="BA3" s="13" t="s">
        <v>8</v>
      </c>
      <c r="BB3" s="13" t="s">
        <v>15</v>
      </c>
      <c r="BC3" s="13" t="s">
        <v>27</v>
      </c>
      <c r="BD3" s="13" t="s">
        <v>13</v>
      </c>
      <c r="BE3" s="13" t="s">
        <v>14</v>
      </c>
      <c r="BF3" s="13" t="s">
        <v>8</v>
      </c>
      <c r="BG3" s="13" t="s">
        <v>15</v>
      </c>
      <c r="BH3" s="13" t="s">
        <v>27</v>
      </c>
      <c r="BI3" s="13" t="s">
        <v>41</v>
      </c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4" t="s">
        <v>13</v>
      </c>
      <c r="BV3" s="14" t="s">
        <v>14</v>
      </c>
      <c r="BW3" s="14" t="s">
        <v>8</v>
      </c>
      <c r="BX3" s="14" t="s">
        <v>15</v>
      </c>
      <c r="BY3" s="14" t="s">
        <v>27</v>
      </c>
      <c r="BZ3" s="14" t="s">
        <v>13</v>
      </c>
      <c r="CA3" s="14" t="s">
        <v>14</v>
      </c>
      <c r="CB3" s="14" t="s">
        <v>8</v>
      </c>
      <c r="CC3" s="14" t="s">
        <v>15</v>
      </c>
      <c r="CD3" s="14" t="s">
        <v>27</v>
      </c>
      <c r="CE3" s="14" t="s">
        <v>13</v>
      </c>
      <c r="CF3" s="14" t="s">
        <v>14</v>
      </c>
      <c r="CG3" s="14" t="s">
        <v>8</v>
      </c>
      <c r="CH3" s="14" t="s">
        <v>15</v>
      </c>
      <c r="CI3" s="14" t="s">
        <v>27</v>
      </c>
      <c r="CJ3" s="14" t="s">
        <v>41</v>
      </c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46"/>
      <c r="CW3" s="46"/>
      <c r="CX3" s="14" t="s">
        <v>13</v>
      </c>
      <c r="CY3" s="14" t="s">
        <v>14</v>
      </c>
      <c r="CZ3" s="14" t="s">
        <v>8</v>
      </c>
      <c r="DA3" s="14" t="s">
        <v>15</v>
      </c>
      <c r="DB3" s="14" t="s">
        <v>27</v>
      </c>
      <c r="DC3" s="14" t="s">
        <v>13</v>
      </c>
      <c r="DD3" s="14" t="s">
        <v>14</v>
      </c>
      <c r="DE3" s="14" t="s">
        <v>8</v>
      </c>
      <c r="DF3" s="14" t="s">
        <v>15</v>
      </c>
      <c r="DG3" s="14" t="s">
        <v>27</v>
      </c>
      <c r="DH3" s="14" t="s">
        <v>13</v>
      </c>
      <c r="DI3" s="14" t="s">
        <v>14</v>
      </c>
      <c r="DJ3" s="14" t="s">
        <v>8</v>
      </c>
      <c r="DK3" s="14" t="s">
        <v>15</v>
      </c>
      <c r="DL3" s="14" t="s">
        <v>27</v>
      </c>
      <c r="DM3" s="14" t="s">
        <v>13</v>
      </c>
      <c r="DN3" s="14" t="s">
        <v>14</v>
      </c>
      <c r="DO3" s="14" t="s">
        <v>8</v>
      </c>
      <c r="DP3" s="14" t="s">
        <v>15</v>
      </c>
      <c r="DQ3" s="14" t="s">
        <v>27</v>
      </c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14"/>
      <c r="EF3" s="13" t="s">
        <v>13</v>
      </c>
      <c r="EG3" s="13" t="s">
        <v>14</v>
      </c>
      <c r="EH3" s="13" t="s">
        <v>8</v>
      </c>
      <c r="EI3" s="13" t="s">
        <v>15</v>
      </c>
      <c r="EJ3" s="13" t="s">
        <v>27</v>
      </c>
      <c r="EK3" s="13" t="s">
        <v>13</v>
      </c>
      <c r="EL3" s="13" t="s">
        <v>14</v>
      </c>
      <c r="EM3" s="13" t="s">
        <v>8</v>
      </c>
      <c r="EN3" s="13" t="s">
        <v>15</v>
      </c>
      <c r="EO3" s="13" t="s">
        <v>27</v>
      </c>
      <c r="EP3" s="13" t="s">
        <v>13</v>
      </c>
      <c r="EQ3" s="13" t="s">
        <v>14</v>
      </c>
      <c r="ER3" s="13" t="s">
        <v>8</v>
      </c>
      <c r="ES3" s="13" t="s">
        <v>15</v>
      </c>
      <c r="ET3" s="13" t="s">
        <v>27</v>
      </c>
      <c r="EU3" s="13" t="s">
        <v>13</v>
      </c>
      <c r="EV3" s="13" t="s">
        <v>14</v>
      </c>
      <c r="EW3" s="13" t="s">
        <v>8</v>
      </c>
      <c r="EX3" s="13" t="s">
        <v>15</v>
      </c>
      <c r="EY3" s="13" t="s">
        <v>27</v>
      </c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13"/>
      <c r="FN3" s="14" t="s">
        <v>13</v>
      </c>
      <c r="FO3" s="14" t="s">
        <v>14</v>
      </c>
      <c r="FP3" s="14" t="s">
        <v>8</v>
      </c>
      <c r="FQ3" s="14" t="s">
        <v>15</v>
      </c>
      <c r="FR3" s="14" t="s">
        <v>27</v>
      </c>
      <c r="FS3" s="14" t="s">
        <v>13</v>
      </c>
      <c r="FT3" s="14" t="s">
        <v>14</v>
      </c>
      <c r="FU3" s="14" t="s">
        <v>8</v>
      </c>
      <c r="FV3" s="14" t="s">
        <v>15</v>
      </c>
      <c r="FW3" s="14" t="s">
        <v>27</v>
      </c>
      <c r="FX3" s="14" t="s">
        <v>13</v>
      </c>
      <c r="FY3" s="14" t="s">
        <v>14</v>
      </c>
      <c r="FZ3" s="14" t="s">
        <v>8</v>
      </c>
      <c r="GA3" s="14" t="s">
        <v>15</v>
      </c>
      <c r="GB3" s="14" t="s">
        <v>27</v>
      </c>
      <c r="GC3" s="14" t="s">
        <v>13</v>
      </c>
      <c r="GD3" s="14" t="s">
        <v>14</v>
      </c>
      <c r="GE3" s="14" t="s">
        <v>8</v>
      </c>
      <c r="GF3" s="14" t="s">
        <v>15</v>
      </c>
      <c r="GG3" s="14" t="s">
        <v>27</v>
      </c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14"/>
      <c r="GV3" s="13" t="s">
        <v>13</v>
      </c>
      <c r="GW3" s="13" t="s">
        <v>14</v>
      </c>
      <c r="GX3" s="13" t="s">
        <v>8</v>
      </c>
      <c r="GY3" s="13" t="s">
        <v>15</v>
      </c>
      <c r="GZ3" s="13" t="s">
        <v>27</v>
      </c>
      <c r="HA3" s="13" t="s">
        <v>13</v>
      </c>
      <c r="HB3" s="13" t="s">
        <v>14</v>
      </c>
      <c r="HC3" s="13" t="s">
        <v>8</v>
      </c>
      <c r="HD3" s="13" t="s">
        <v>15</v>
      </c>
      <c r="HE3" s="13" t="s">
        <v>27</v>
      </c>
      <c r="HF3" s="13" t="s">
        <v>13</v>
      </c>
      <c r="HG3" s="13" t="s">
        <v>14</v>
      </c>
      <c r="HH3" s="13" t="s">
        <v>8</v>
      </c>
      <c r="HI3" s="13" t="s">
        <v>15</v>
      </c>
      <c r="HJ3" s="13" t="s">
        <v>27</v>
      </c>
      <c r="HK3" s="13" t="s">
        <v>13</v>
      </c>
      <c r="HL3" s="13" t="s">
        <v>14</v>
      </c>
      <c r="HM3" s="13" t="s">
        <v>8</v>
      </c>
      <c r="HN3" s="13" t="s">
        <v>15</v>
      </c>
      <c r="HO3" s="13" t="s">
        <v>27</v>
      </c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13"/>
      <c r="ID3" s="14" t="s">
        <v>13</v>
      </c>
      <c r="IE3" s="14" t="s">
        <v>14</v>
      </c>
      <c r="IF3" s="14" t="s">
        <v>8</v>
      </c>
      <c r="IG3" s="14" t="s">
        <v>15</v>
      </c>
      <c r="IH3" s="14" t="s">
        <v>27</v>
      </c>
      <c r="II3" s="14" t="s">
        <v>13</v>
      </c>
      <c r="IJ3" s="14" t="s">
        <v>14</v>
      </c>
      <c r="IK3" s="14" t="s">
        <v>8</v>
      </c>
      <c r="IL3" s="14" t="s">
        <v>15</v>
      </c>
      <c r="IM3" s="14" t="s">
        <v>27</v>
      </c>
      <c r="IN3" s="14" t="s">
        <v>13</v>
      </c>
      <c r="IO3" s="14" t="s">
        <v>14</v>
      </c>
      <c r="IP3" s="14" t="s">
        <v>8</v>
      </c>
      <c r="IQ3" s="14" t="s">
        <v>15</v>
      </c>
      <c r="IR3" s="14" t="s">
        <v>27</v>
      </c>
      <c r="IS3" s="14" t="s">
        <v>13</v>
      </c>
      <c r="IT3" s="14" t="s">
        <v>14</v>
      </c>
      <c r="IU3" s="14" t="s">
        <v>8</v>
      </c>
      <c r="IV3" s="14" t="s">
        <v>15</v>
      </c>
      <c r="IW3" s="14" t="s">
        <v>27</v>
      </c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14"/>
      <c r="JL3" s="13" t="s">
        <v>13</v>
      </c>
      <c r="JM3" s="13" t="s">
        <v>14</v>
      </c>
      <c r="JN3" s="13" t="s">
        <v>8</v>
      </c>
      <c r="JO3" s="13" t="s">
        <v>15</v>
      </c>
      <c r="JP3" s="13" t="s">
        <v>27</v>
      </c>
      <c r="JQ3" s="13" t="s">
        <v>13</v>
      </c>
      <c r="JR3" s="13" t="s">
        <v>14</v>
      </c>
      <c r="JS3" s="13" t="s">
        <v>8</v>
      </c>
      <c r="JT3" s="13" t="s">
        <v>15</v>
      </c>
      <c r="JU3" s="13" t="s">
        <v>27</v>
      </c>
      <c r="JV3" s="13" t="s">
        <v>13</v>
      </c>
      <c r="JW3" s="13" t="s">
        <v>14</v>
      </c>
      <c r="JX3" s="13" t="s">
        <v>8</v>
      </c>
      <c r="JY3" s="13" t="s">
        <v>15</v>
      </c>
      <c r="JZ3" s="13" t="s">
        <v>27</v>
      </c>
      <c r="KA3" s="13" t="s">
        <v>13</v>
      </c>
      <c r="KB3" s="13" t="s">
        <v>14</v>
      </c>
      <c r="KC3" s="13" t="s">
        <v>8</v>
      </c>
      <c r="KD3" s="13" t="s">
        <v>15</v>
      </c>
      <c r="KE3" s="13" t="s">
        <v>27</v>
      </c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14" t="s">
        <v>13</v>
      </c>
      <c r="KU3" s="14" t="s">
        <v>14</v>
      </c>
      <c r="KV3" s="14" t="s">
        <v>8</v>
      </c>
      <c r="KW3" s="14" t="s">
        <v>15</v>
      </c>
      <c r="KX3" s="14" t="s">
        <v>27</v>
      </c>
      <c r="KY3" s="14" t="s">
        <v>13</v>
      </c>
      <c r="KZ3" s="14" t="s">
        <v>14</v>
      </c>
      <c r="LA3" s="14" t="s">
        <v>8</v>
      </c>
      <c r="LB3" s="14" t="s">
        <v>15</v>
      </c>
      <c r="LC3" s="14" t="s">
        <v>27</v>
      </c>
      <c r="LD3" s="14" t="s">
        <v>13</v>
      </c>
      <c r="LE3" s="14" t="s">
        <v>14</v>
      </c>
      <c r="LF3" s="14" t="s">
        <v>8</v>
      </c>
      <c r="LG3" s="14" t="s">
        <v>15</v>
      </c>
      <c r="LH3" s="14" t="s">
        <v>27</v>
      </c>
      <c r="LI3" s="14" t="s">
        <v>13</v>
      </c>
      <c r="LJ3" s="14" t="s">
        <v>14</v>
      </c>
      <c r="LK3" s="14" t="s">
        <v>8</v>
      </c>
      <c r="LL3" s="14" t="s">
        <v>15</v>
      </c>
      <c r="LM3" s="14" t="s">
        <v>27</v>
      </c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13" t="s">
        <v>13</v>
      </c>
      <c r="MC3" s="13" t="s">
        <v>14</v>
      </c>
      <c r="MD3" s="13" t="s">
        <v>8</v>
      </c>
      <c r="ME3" s="13" t="s">
        <v>15</v>
      </c>
      <c r="MF3" s="13" t="s">
        <v>27</v>
      </c>
      <c r="MG3" s="13" t="s">
        <v>13</v>
      </c>
      <c r="MH3" s="13" t="s">
        <v>14</v>
      </c>
      <c r="MI3" s="13" t="s">
        <v>8</v>
      </c>
      <c r="MJ3" s="13" t="s">
        <v>15</v>
      </c>
      <c r="MK3" s="13" t="s">
        <v>27</v>
      </c>
      <c r="ML3" s="13" t="s">
        <v>13</v>
      </c>
      <c r="MM3" s="13" t="s">
        <v>14</v>
      </c>
      <c r="MN3" s="13" t="s">
        <v>8</v>
      </c>
      <c r="MO3" s="13" t="s">
        <v>15</v>
      </c>
      <c r="MP3" s="13" t="s">
        <v>27</v>
      </c>
      <c r="MQ3" s="13" t="s">
        <v>13</v>
      </c>
      <c r="MR3" s="13" t="s">
        <v>14</v>
      </c>
      <c r="MS3" s="13" t="s">
        <v>8</v>
      </c>
      <c r="MT3" s="13" t="s">
        <v>15</v>
      </c>
      <c r="MU3" s="13" t="s">
        <v>27</v>
      </c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14" t="s">
        <v>13</v>
      </c>
      <c r="NK3" s="14" t="s">
        <v>14</v>
      </c>
      <c r="NL3" s="14" t="s">
        <v>8</v>
      </c>
      <c r="NM3" s="14" t="s">
        <v>15</v>
      </c>
      <c r="NN3" s="14" t="s">
        <v>27</v>
      </c>
      <c r="NO3" s="14" t="s">
        <v>13</v>
      </c>
      <c r="NP3" s="14" t="s">
        <v>14</v>
      </c>
      <c r="NQ3" s="14" t="s">
        <v>8</v>
      </c>
      <c r="NR3" s="14" t="s">
        <v>15</v>
      </c>
      <c r="NS3" s="14" t="s">
        <v>27</v>
      </c>
      <c r="NT3" s="14" t="s">
        <v>13</v>
      </c>
      <c r="NU3" s="14" t="s">
        <v>14</v>
      </c>
      <c r="NV3" s="14" t="s">
        <v>8</v>
      </c>
      <c r="NW3" s="14" t="s">
        <v>15</v>
      </c>
      <c r="NX3" s="14" t="s">
        <v>27</v>
      </c>
      <c r="NY3" s="14" t="s">
        <v>13</v>
      </c>
      <c r="NZ3" s="14" t="s">
        <v>14</v>
      </c>
      <c r="OA3" s="14" t="s">
        <v>8</v>
      </c>
      <c r="OB3" s="14" t="s">
        <v>15</v>
      </c>
      <c r="OC3" s="14" t="s">
        <v>27</v>
      </c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6"/>
      <c r="OQ3" s="6"/>
      <c r="OR3" s="13" t="s">
        <v>13</v>
      </c>
      <c r="OS3" s="13" t="s">
        <v>14</v>
      </c>
      <c r="OT3" s="13" t="s">
        <v>8</v>
      </c>
      <c r="OU3" s="13" t="s">
        <v>15</v>
      </c>
      <c r="OV3" s="13" t="s">
        <v>27</v>
      </c>
      <c r="OW3" s="13" t="s">
        <v>13</v>
      </c>
      <c r="OX3" s="13" t="s">
        <v>14</v>
      </c>
      <c r="OY3" s="13" t="s">
        <v>8</v>
      </c>
      <c r="OZ3" s="13" t="s">
        <v>15</v>
      </c>
      <c r="PA3" s="13" t="s">
        <v>27</v>
      </c>
      <c r="PB3" s="13" t="s">
        <v>13</v>
      </c>
      <c r="PC3" s="13" t="s">
        <v>14</v>
      </c>
      <c r="PD3" s="13" t="s">
        <v>8</v>
      </c>
      <c r="PE3" s="13" t="s">
        <v>15</v>
      </c>
      <c r="PF3" s="13" t="s">
        <v>27</v>
      </c>
      <c r="PG3" s="13" t="s">
        <v>13</v>
      </c>
      <c r="PH3" s="13" t="s">
        <v>14</v>
      </c>
      <c r="PI3" s="13" t="s">
        <v>8</v>
      </c>
      <c r="PJ3" s="13" t="s">
        <v>15</v>
      </c>
      <c r="PK3" s="13" t="s">
        <v>27</v>
      </c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14" t="s">
        <v>13</v>
      </c>
      <c r="QA3" s="14" t="s">
        <v>14</v>
      </c>
      <c r="QB3" s="14" t="s">
        <v>8</v>
      </c>
      <c r="QC3" s="14" t="s">
        <v>15</v>
      </c>
      <c r="QD3" s="14" t="s">
        <v>27</v>
      </c>
      <c r="QE3" s="14" t="s">
        <v>13</v>
      </c>
      <c r="QF3" s="14" t="s">
        <v>14</v>
      </c>
      <c r="QG3" s="14" t="s">
        <v>8</v>
      </c>
      <c r="QH3" s="14" t="s">
        <v>15</v>
      </c>
      <c r="QI3" s="14" t="s">
        <v>27</v>
      </c>
      <c r="QJ3" s="14" t="s">
        <v>13</v>
      </c>
      <c r="QK3" s="14" t="s">
        <v>14</v>
      </c>
      <c r="QL3" s="14" t="s">
        <v>8</v>
      </c>
      <c r="QM3" s="14" t="s">
        <v>15</v>
      </c>
      <c r="QN3" s="14" t="s">
        <v>27</v>
      </c>
      <c r="QO3" s="14" t="s">
        <v>13</v>
      </c>
      <c r="QP3" s="14" t="s">
        <v>14</v>
      </c>
      <c r="QQ3" s="14" t="s">
        <v>8</v>
      </c>
      <c r="QR3" s="14" t="s">
        <v>15</v>
      </c>
      <c r="QS3" s="14" t="s">
        <v>27</v>
      </c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6"/>
      <c r="RG3" s="6"/>
      <c r="RH3" s="13" t="s">
        <v>13</v>
      </c>
      <c r="RI3" s="13" t="s">
        <v>14</v>
      </c>
      <c r="RJ3" s="13" t="s">
        <v>8</v>
      </c>
      <c r="RK3" s="13" t="s">
        <v>15</v>
      </c>
      <c r="RL3" s="13" t="s">
        <v>27</v>
      </c>
      <c r="RM3" s="13" t="s">
        <v>13</v>
      </c>
      <c r="RN3" s="13" t="s">
        <v>14</v>
      </c>
      <c r="RO3" s="13" t="s">
        <v>8</v>
      </c>
      <c r="RP3" s="13" t="s">
        <v>15</v>
      </c>
      <c r="RQ3" s="13" t="s">
        <v>27</v>
      </c>
      <c r="RR3" s="13" t="s">
        <v>13</v>
      </c>
      <c r="RS3" s="13" t="s">
        <v>14</v>
      </c>
      <c r="RT3" s="13" t="s">
        <v>8</v>
      </c>
      <c r="RU3" s="13" t="s">
        <v>15</v>
      </c>
      <c r="RV3" s="13" t="s">
        <v>27</v>
      </c>
      <c r="RW3" s="13" t="s">
        <v>13</v>
      </c>
      <c r="RX3" s="13" t="s">
        <v>14</v>
      </c>
      <c r="RY3" s="13" t="s">
        <v>8</v>
      </c>
      <c r="RZ3" s="13" t="s">
        <v>15</v>
      </c>
      <c r="SA3" s="13" t="s">
        <v>27</v>
      </c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14" t="s">
        <v>13</v>
      </c>
      <c r="SQ3" s="14" t="s">
        <v>14</v>
      </c>
      <c r="SR3" s="14" t="s">
        <v>8</v>
      </c>
      <c r="SS3" s="14" t="s">
        <v>15</v>
      </c>
      <c r="ST3" s="14" t="s">
        <v>27</v>
      </c>
      <c r="SU3" s="14" t="s">
        <v>13</v>
      </c>
      <c r="SV3" s="14" t="s">
        <v>14</v>
      </c>
      <c r="SW3" s="14" t="s">
        <v>8</v>
      </c>
      <c r="SX3" s="14" t="s">
        <v>15</v>
      </c>
      <c r="SY3" s="14" t="s">
        <v>27</v>
      </c>
      <c r="SZ3" s="14" t="s">
        <v>13</v>
      </c>
      <c r="TA3" s="14" t="s">
        <v>14</v>
      </c>
      <c r="TB3" s="14" t="s">
        <v>8</v>
      </c>
      <c r="TC3" s="14" t="s">
        <v>15</v>
      </c>
      <c r="TD3" s="14" t="s">
        <v>27</v>
      </c>
      <c r="TE3" s="14" t="s">
        <v>13</v>
      </c>
      <c r="TF3" s="14" t="s">
        <v>14</v>
      </c>
      <c r="TG3" s="14" t="s">
        <v>8</v>
      </c>
      <c r="TH3" s="14" t="s">
        <v>15</v>
      </c>
      <c r="TI3" s="14" t="s">
        <v>27</v>
      </c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6"/>
      <c r="TW3" s="6"/>
      <c r="TX3" s="13" t="s">
        <v>13</v>
      </c>
      <c r="TY3" s="13" t="s">
        <v>14</v>
      </c>
      <c r="TZ3" s="13" t="s">
        <v>8</v>
      </c>
      <c r="UA3" s="13" t="s">
        <v>15</v>
      </c>
      <c r="UB3" s="13" t="s">
        <v>27</v>
      </c>
      <c r="UC3" s="13" t="s">
        <v>13</v>
      </c>
      <c r="UD3" s="13" t="s">
        <v>14</v>
      </c>
      <c r="UE3" s="13" t="s">
        <v>8</v>
      </c>
      <c r="UF3" s="13" t="s">
        <v>15</v>
      </c>
      <c r="UG3" s="13" t="s">
        <v>27</v>
      </c>
      <c r="UH3" s="13" t="s">
        <v>13</v>
      </c>
      <c r="UI3" s="13" t="s">
        <v>14</v>
      </c>
      <c r="UJ3" s="13" t="s">
        <v>8</v>
      </c>
      <c r="UK3" s="13" t="s">
        <v>15</v>
      </c>
      <c r="UL3" s="13" t="s">
        <v>27</v>
      </c>
      <c r="UM3" s="13" t="s">
        <v>13</v>
      </c>
      <c r="UN3" s="13" t="s">
        <v>14</v>
      </c>
      <c r="UO3" s="13" t="s">
        <v>8</v>
      </c>
      <c r="UP3" s="13" t="s">
        <v>15</v>
      </c>
      <c r="UQ3" s="13" t="s">
        <v>27</v>
      </c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14" t="s">
        <v>13</v>
      </c>
      <c r="VG3" s="14" t="s">
        <v>14</v>
      </c>
      <c r="VH3" s="14" t="s">
        <v>8</v>
      </c>
      <c r="VI3" s="14" t="s">
        <v>15</v>
      </c>
      <c r="VJ3" s="14" t="s">
        <v>27</v>
      </c>
      <c r="VK3" s="14" t="s">
        <v>13</v>
      </c>
      <c r="VL3" s="14" t="s">
        <v>14</v>
      </c>
      <c r="VM3" s="14" t="s">
        <v>8</v>
      </c>
      <c r="VN3" s="14" t="s">
        <v>15</v>
      </c>
      <c r="VO3" s="14" t="s">
        <v>27</v>
      </c>
      <c r="VP3" s="14" t="s">
        <v>13</v>
      </c>
      <c r="VQ3" s="14" t="s">
        <v>14</v>
      </c>
      <c r="VR3" s="14" t="s">
        <v>8</v>
      </c>
      <c r="VS3" s="14" t="s">
        <v>15</v>
      </c>
      <c r="VT3" s="14" t="s">
        <v>27</v>
      </c>
      <c r="VU3" s="14" t="s">
        <v>13</v>
      </c>
      <c r="VV3" s="14" t="s">
        <v>14</v>
      </c>
      <c r="VW3" s="14" t="s">
        <v>8</v>
      </c>
      <c r="VX3" s="14" t="s">
        <v>15</v>
      </c>
      <c r="VY3" s="14" t="s">
        <v>27</v>
      </c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6"/>
      <c r="WM3" s="6"/>
    </row>
    <row r="4" spans="1:611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23</v>
      </c>
      <c r="C4" s="4" t="s">
        <v>7</v>
      </c>
      <c r="D4" s="4">
        <v>1998</v>
      </c>
      <c r="E4" s="9">
        <f t="shared" ref="E4:E14" si="0">J4+L4+N4+P4+(J4+L4+N4)*0.0000001+MAX(J4,L4)*0.0000000000001</f>
        <v>170.05001695400563</v>
      </c>
      <c r="F4" s="3" t="str">
        <f>IF(OR(AND(AI4&gt;=AS$17,AI4&lt;&gt;"",AK4&gt;=AS$21,AK4&lt;&gt;"",AH4=""),AND(AL4&gt;=AS$17,AL4&lt;&gt;"",AN4&gt;=AS$21,AN4&lt;&gt;"",AH4=""),AND(AP4&gt;=AS$17,AP4&lt;&gt;"",AR4&gt;=AS$21,AR4&lt;&gt;"",AH4=""),AND(BJ4&gt;=BT$17,BJ4&lt;&gt;"",BL4&gt;=BT$21,BL4&lt;&gt;"",BI4=""),AND(BM4&gt;=BT$17,BM4&lt;&gt;"",BO4&gt;=BT$21,BO4&lt;&gt;"",BI4=""),AND(BQ4&gt;=BT$17,BQ4&lt;&gt;"",BS4&gt;=BT$21,BS4&lt;&gt;"",BI4=""),AND(CK4&gt;=CU$17,CK4&lt;&gt;"",CM4&gt;=CU$21,CM4&lt;&gt;"",CJ4=""),AND(CN4&gt;=CU$17,CN4&lt;&gt;"",CP4&gt;=CU$21,CP4&lt;&gt;"",CJ4=""),AND(CR4&gt;=CU$17,CR4&lt;&gt;"",CT4&gt;=CU$21,CT4&lt;&gt;"",CJ4=""),AND(DR4&gt;=EE$17,DR4&lt;&gt;"",DT4&gt;=EE$21,DT4&lt;&gt;""),AND(DU4&gt;=EE$17,DU4&lt;&gt;"",DW4&gt;=EE$21,DW4&lt;&gt;""),AND(DY4&gt;=EE$17,DY4&lt;&gt;"",EA4&gt;=EE$21,EA4&lt;&gt;""),AND(EB4&gt;=EE$17,EB4&lt;&gt;"",ED4&gt;=EE$21,ED4&lt;&gt;""),AND(EZ4&gt;=FM$17,EZ4&lt;&gt;"",FB4&gt;=FM$21,FB4&lt;&gt;""),AND(FC4&gt;=FM$17,FC4&lt;&gt;"",FE4&gt;=FM$21,FE4&lt;&gt;""),AND(FG4&gt;=FM$17,FG4&lt;&gt;"",FI4&gt;=FM$21,FI4&lt;&gt;""),AND(FJ4&gt;=FM$17,FJ4&lt;&gt;"",FL4&gt;=FM$21,FL4&lt;&gt;""),AND(GH4&gt;=GU$17,GH4&lt;&gt;"",GJ4&gt;=GU$21,GJ4&lt;&gt;""),AND(GK4&gt;=GU$17,GK4&lt;&gt;"",GM4&gt;=GU$21,GM4&lt;&gt;""),AND(GO4&gt;=GU$17,GO4&lt;&gt;"",GQ4&gt;=GU$21,GQ4&lt;&gt;""),AND(GR4&gt;=GU$17,GR4&lt;&gt;"",GT4&gt;=GU$21,GT4&lt;&gt;""),AND(HP4&gt;=IC$17,HP4&lt;&gt;"",HR4&gt;=IC$21,HR4&lt;&gt;""),AND(HS4&gt;=IC$17,HS4&lt;&gt;"",HU4&gt;=IC$21,HU4&lt;&gt;""),AND(HW4&gt;=IC$17,HW4&lt;&gt;"",HY4&gt;=IC$21,HY4&lt;&gt;""),AND(HZ4&gt;=IC$17,HZ4&lt;&gt;"",IB4&gt;=IC$21,IB4&lt;&gt;""),AND(IX4&gt;=JK$17,IX4&lt;&gt;"",IZ4&gt;=JK$21,IZ4&lt;&gt;""),AND(JA4&gt;=JK$17,JA4&lt;&gt;"",JC4&gt;=JK$21,JC4&lt;&gt;""),AND(JE4&gt;=JK$17,JE4&lt;&gt;"",JG4&gt;=JK$21,JG4&lt;&gt;""),AND(JH4&gt;=JK$17,JH4&lt;&gt;"",JJ4&gt;=JK$21,JJ4&lt;&gt;""),AND(KF4&gt;=KS$17,KF4&lt;&gt;"",KH4&gt;=KS$21,KH4&lt;&gt;""),AND(KI4&gt;=KS$17,KI4&lt;&gt;"",KK4&gt;=KS$21,KK4&lt;&gt;""),AND(KM4&gt;=KS$17,KM4&lt;&gt;"",KO4&gt;=KS$21,KO4&lt;&gt;""),AND(KP4&gt;=KS$17,KP4&lt;&gt;"",KR4&gt;=KS$21,KR4&lt;&gt;""),AND(LN4&gt;=MA$17,LN4&lt;&gt;"",LP4&gt;=MA$21,LP4&lt;&gt;""),AND(LQ4&gt;=MA$17,LQ4&lt;&gt;"",LS4&gt;=MA$21,LS4&lt;&gt;""),AND(LU4&gt;=MA$17,LU4&lt;&gt;"",LW4&gt;=MA$21,LW4&lt;&gt;""),AND(LX4&gt;=MA$17,LX4&lt;&gt;"",LZ4&gt;=MA$21,LZ4&lt;&gt;""),AND(MV4&gt;=NI$17,MV4&lt;&gt;"",MX4&gt;=NI$21,MX4&lt;&gt;""),AND(MY4&gt;=NI$17,MY4&lt;&gt;"",NA4&gt;=NI$21,NA4&lt;&gt;""),AND(NC4&gt;=NI$17,NC4&lt;&gt;"",NE4&gt;=NI$21,NE4&lt;&gt;""),AND(NF4&gt;=NI$17,NF4&lt;&gt;"",NH4&gt;=NI$21,NH4&lt;&gt;""),AND(OD4&gt;=OQ$17,OD4&lt;&gt;"",OF4&gt;=OQ$21,OF4&lt;&gt;""),AND(OG4&gt;=OQ$17,OG4&lt;&gt;"",OI4&gt;=OQ$21,OI4&lt;&gt;""),AND(OK4&gt;=OQ$17,OK4&lt;&gt;"",OM4&gt;=OQ$21,OM4&lt;&gt;""),AND(ON4&gt;=OQ$17,ON4&lt;&gt;"",OP4&gt;=OQ$21,OP4&lt;&gt;""),AND(PL4&gt;=PY$17,PL4&lt;&gt;"",PN4&gt;=PY$21,PN4&lt;&gt;""),AND(PO4&gt;=PY$17,PO4&lt;&gt;"",PQ4&gt;=PY$21,PQ4&lt;&gt;""),AND(PS4&gt;=PY$17,PS4&lt;&gt;"",PU4&gt;=PY$21,PU4&lt;&gt;""),AND(PV4&gt;=PY$17,PV4&lt;&gt;"",PX4&gt;=PY$21,PX4&lt;&gt;""),AND(QT4&gt;=RG$17,QT4&lt;&gt;"",QV4&gt;=RG$21,QV4&lt;&gt;""),AND(QW4&gt;=RG$17,QW4&lt;&gt;"",QY4&gt;=RG$21,QY4&lt;&gt;""),AND(RA4&gt;=RG$17,RA4&lt;&gt;"",RC4&gt;=RG$21,RC4&lt;&gt;""),AND(RD4&gt;=RG$17,RD4&lt;&gt;"",RF4&gt;=RG$21,RF4&lt;&gt;""),AND(SB4&gt;=SO$17,SB4&lt;&gt;"",SD4&gt;=SO$21,SD4&lt;&gt;""),AND(SE4&gt;=SO$17,SE4&lt;&gt;"",SG4&gt;=SO$21,SG4&lt;&gt;""),AND(SI4&gt;=SO$17,SI4&lt;&gt;"",SK4&gt;=SO$21,SK4&lt;&gt;""),AND(SL4&gt;=SO$17,SL4&lt;&gt;"",SN4&gt;=SO$21,SN4&lt;&gt;""),AND(TJ4&gt;=TW$17,TJ4&lt;&gt;"",TL4&gt;=TW$21,TL4&lt;&gt;""),AND(TM4&gt;=TW$17,TM4&lt;&gt;"",TO4&gt;=TW$21,TO4&lt;&gt;""),AND(TQ4&gt;=TW$17,TQ4&lt;&gt;"",TS4&gt;=TW$21,TXQ4&lt;&gt;""),AND(TT4&gt;=TW$17,TT4&lt;&gt;"",TV4&gt;=TW$21,TV4&lt;&gt;""),AND(UR4&gt;=VE$17,UR4&lt;&gt;"",UT4&gt;=VE$21,UT4&lt;&gt;""),AND(UU4&gt;=VE$17,UU4&lt;&gt;"",UW4&gt;=VE$21,UW4&lt;&gt;""),AND(UY4&gt;=VE$17,UY4&lt;&gt;"",VA4&gt;=VE$21,VA4&lt;&gt;""),AND(VB4&gt;=VE$17,VB4&lt;&gt;"",VD4&gt;=VE$21,VD4&lt;&gt;""),AND(VZ4&gt;=WM$17,VZ4&lt;&gt;"",WB4&gt;=WM$21,WB4&lt;&gt;""),AND(WC4&gt;=WM$17,WC4&lt;&gt;"",WE4&gt;=WM$21,WE4&lt;&gt;""),AND(WG4&gt;=WM$17,WG4&lt;&gt;"",WI4&gt;=WM$21,WI4&lt;&gt;""),AND(WJ4&gt;=WM$17,WJ4&lt;&gt;"",WL4&gt;=WM$21,WL4&lt;&gt;"")),"P","")</f>
        <v>P</v>
      </c>
      <c r="G4" s="3" t="str">
        <f>IF(OR(AND(AK4&gt;=AS$21,AK4&lt;&gt;"",AH4=""),AND(AN4&gt;=AS$21,AN4&lt;&gt;"",AH4=""),AND(AR4&gt;=AS$21,AR4&lt;&gt;"",AH4=""),AND(BL4&gt;=BT$21,BL4&lt;&gt;"",BI4=""),AND(BO4&gt;=BT$21,BO4&lt;&gt;"",BI4=""),AND(BS4&gt;=BT$21,BS4&lt;&gt;"",BI4=""),AND(CM4&gt;=CU$21,CM4&lt;&gt;"",CJ4=""),AND(CP4&gt;=CU$21,CP4&lt;&gt;"",CJ4=""),AND(CT4&gt;=CU$21,CT4&lt;&gt;"",CJ4=""),AND(DT4&gt;=EE$21,DT4&lt;&gt;""),AND(DW4&gt;=EE$21,DW4&lt;&gt;""),AND(EA4&gt;=EE$21,EA4&lt;&gt;""),AND(ED4&gt;=EE$21,ED4&lt;&gt;""),AND(FB4&gt;=FM$21,FB4&lt;&gt;""),AND(FE4&gt;=FM$21,FE4&lt;&gt;""),AND(FI4&gt;=FM$21,FI4&lt;&gt;""),AND(FL4&gt;=FM$21,FL4&lt;&gt;""),AND(GJ4&gt;=GU$21,GJ4&lt;&gt;""),AND(GM4&gt;=GU$21,GM4&lt;&gt;""),AND(GQ4&gt;=GU$21,GQ4&lt;&gt;""),AND(GT4&gt;=GU$21,GT4&lt;&gt;""),AND(HR4&gt;=IC$21,HR4&lt;&gt;""),AND(HU4&gt;=IC$21,HU4&lt;&gt;""),AND(HY4&gt;=IC$21,HY4&lt;&gt;""),AND(IB4&gt;=IC$21,IB4&lt;&gt;""),AND(IZ4&gt;=JK$21,IZ4&lt;&gt;""),AND(JC4&gt;=JK$21,JC4&lt;&gt;""),AND(JG4&gt;=JK$21,JG4&lt;&gt;""),AND(JJ4&gt;=JK$21,JJ4&lt;&gt;""),AND(KH4&gt;=KS$21,KH4&lt;&gt;""),AND(KK4&gt;=KS$21,KK4&lt;&gt;""),AND(KO4&gt;=KS$21,KO4&lt;&gt;""),AND(KR4&gt;=KS$21,KR4&lt;&gt;""),AND(LP4&gt;=MA$21,LP4&lt;&gt;""),AND(LS4&gt;=MA$21,LS4&lt;&gt;""),AND(LW4&gt;=MA$21,LW4&lt;&gt;""),AND(LZ4&gt;=MA$21,LZ4&lt;&gt;""),AND(MX4&gt;=NI$21,MX4&lt;&gt;""),AND(NA4&gt;=NI$21,NA4&lt;&gt;""),AND(NE4&gt;=NI$21,NE4&lt;&gt;""),AND(NH4&gt;=NI$21,NH4&lt;&gt;""),AND(OF4&gt;=OQ$21,OF4&lt;&gt;""),AND(OI4&gt;=OQ$21,OI4&lt;&gt;""),AND(OM4&gt;=OQ$21,OM4&lt;&gt;""),AND(OP4&gt;=OQ$21,OP4&lt;&gt;""),AND(PN4&gt;=PY$21,PN4&lt;&gt;""),AND(PQ4&gt;=PY$21,PQ4&lt;&gt;""),AND(PU4&gt;=PY$21,PU4&lt;&gt;""),AND(PX4&gt;=PY$21,PX4&lt;&gt;""),AND(QV4&gt;=RG$21,QV4&lt;&gt;""),AND(QY4&gt;=RG$21,QY4&lt;&gt;""),AND(RC4&gt;=RG$21,RC4&lt;&gt;""),AND(RF4&gt;=RG$21,RF4&lt;&gt;""),AND(SD4&gt;=SO$21,SD4&lt;&gt;""),AND(SG4&gt;=SO$21,SG4&lt;&gt;""),AND(SK4&gt;=SO$21,SK4&lt;&gt;""),AND(SN4&gt;=SO$21,SN4&lt;&gt;""),AND(TL4&gt;=TW$21,TL4&lt;&gt;""),AND(TO4&gt;=TW$21,TO4&lt;&gt;""),AND(TS4&gt;=TW$21,TXQ4&lt;&gt;""),AND(TV4&gt;=TW$21,TV4&lt;&gt;""),AND(UT4&gt;=VE$21,UT4&lt;&gt;""),AND(UW4&gt;=VE$21,UW4&lt;&gt;""),AND(VA4&gt;=VE$21,VA4&lt;&gt;""),AND(VD4&gt;=VE$21,VD4&lt;&gt;""),AND(WB4&gt;=WM$21,WB4&lt;&gt;""),AND(WE4&gt;=WM$21,WE4&lt;&gt;""),AND(WI4&gt;=WM$21,WI4&lt;&gt;""),AND(WL4&gt;=WM$21,WL4&lt;&gt;"")),"P","")</f>
        <v>P</v>
      </c>
      <c r="H4" s="32" t="str">
        <f>IF(AND(G4="P",F4=""),"No DD",IF(OR(AND(AI4&gt;=AS$20,AI4&lt;&gt;"",AK4&gt;=AS$24,AK4&lt;&gt;"",AH4=""),AND(AL4&gt;=AS$20,AL4&lt;&gt;"",AN4&gt;=AS$24,AN4&lt;&gt;"",AH4=""),AND(AP4&gt;=AS$20,AP4&lt;&gt;"",AR4&gt;=AS$24,AR4&lt;&gt;"",AH4=""),AND(BJ4&gt;=BT$20,BJ4&lt;&gt;"",BL4&gt;=BT$24,BL4&lt;&gt;"",BI4=""),AND(BM4&gt;=BT$20,BM4&lt;&gt;"",BO4&gt;=BT$24,BO4&lt;&gt;"",BI4=""),AND(BQ4&gt;=BT$20,BQ4&lt;&gt;"",BS4&gt;=BT$24,BS4&lt;&gt;"",BI4=""),AND(CK4&gt;=CU$20,CK4&lt;&gt;"",CM4&gt;=CU$24,CM4&lt;&gt;"",CJ4=""),AND(CN4&gt;=CU$20,CN4&lt;&gt;"",CP4&gt;=CU$24,CP4&lt;&gt;"",CJ4=""),AND(CR4&gt;=CU$20,CR4&lt;&gt;"",CT4&gt;=CU$24,CT4&lt;&gt;"",CJ4=""),AND(DR4&gt;=EE$20,DR4&lt;&gt;"",DT4&gt;=EE$24,DT4&lt;&gt;""),AND(DU4&gt;=EE$20,DU4&lt;&gt;"",DW4&gt;=EE$24,DW4&lt;&gt;""),AND(DY4&gt;=EE$20,DY4&lt;&gt;"",EA4&gt;=EE$24,EA4&lt;&gt;""),AND(EB4&gt;=EE$20,EB4&lt;&gt;"",ED4&gt;=EE$24,ED4&lt;&gt;""),AND(EZ4&gt;=FM$20,EZ4&lt;&gt;"",FB4&gt;=FM$24,FB4&lt;&gt;""),AND(FC4&gt;=FM$20,FC4&lt;&gt;"",FE4&gt;=FM$24,FE4&lt;&gt;""),AND(FG4&gt;=FM$20,FG4&lt;&gt;"",FI4&gt;=FM$24,FI4&lt;&gt;""),AND(FJ4&gt;=FM$20,FJ4&lt;&gt;"",FL4&gt;=FM$24,FL4&lt;&gt;""),AND(GH4&gt;=GU$20,GH4&lt;&gt;"",GJ4&gt;=GU$24,GJ4&lt;&gt;""),AND(GK4&gt;=GU$20,GK4&lt;&gt;"",GM4&gt;=GU$24,GM4&lt;&gt;""),AND(GO4&gt;=GU$20,GO4&lt;&gt;"",GQ4&gt;=GU$24,GQ4&lt;&gt;""),AND(GR4&gt;=GU$20,GR4&lt;&gt;"",GT4&gt;=GU$24,GT4&lt;&gt;""),AND(HP4&gt;=IC$20,HP4&lt;&gt;"",HR4&gt;=IC$24,HR4&lt;&gt;""),AND(HS4&gt;=IC$20,HS4&lt;&gt;"",HU4&gt;=IC$24,HU4&lt;&gt;""),AND(HW4&gt;=IC$20,HW4&lt;&gt;"",HY4&gt;=IC$24,HY4&lt;&gt;""),AND(HZ4&gt;=IC$20,HZ4&lt;&gt;"",IB4&gt;=IC$24,IB4&lt;&gt;""),AND(IX4&gt;=JK$20,IX4&lt;&gt;"",IZ4&gt;=JK$24,IZ4&lt;&gt;""),AND(JA4&gt;=JK$20,JA4&lt;&gt;"",JC4&gt;=JK$24,JC4&lt;&gt;""),AND(JE4&gt;=JK$20,JE4&lt;&gt;"",JG4&gt;=JK$24,JG4&lt;&gt;""),AND(JH4&gt;=JK$20,JH4&lt;&gt;"",JJ4&gt;=JK$24,JJ4&lt;&gt;""),AND(KF4&gt;=KS$20,KF4&lt;&gt;"",KH4&gt;=KS$24,KH4&lt;&gt;""),AND(KI4&gt;=KS$20,KI4&lt;&gt;"",KK4&gt;=KS$24,KK4&lt;&gt;""),AND(KM4&gt;=KS$20,KM4&lt;&gt;"",KO4&gt;=KS$24,KO4&lt;&gt;""),AND(KP4&gt;=KS$20,KP4&lt;&gt;"",KR4&gt;=KS$24,KR4&lt;&gt;""),AND(LN4&gt;=MA$20,LN4&lt;&gt;"",LP4&gt;=MA$24,LP4&lt;&gt;""),AND(LQ4&gt;=MA$20,LQ4&lt;&gt;"",LS4&gt;=MA$24,LS4&lt;&gt;""),AND(LU4&gt;=MA$20,LU4&lt;&gt;"",LW4&gt;=MA$24,LW4&lt;&gt;""),AND(LX4&gt;=MA$20,LX4&lt;&gt;"",LZ4&gt;=MA$24,LZ4&lt;&gt;""),AND(MV4&gt;=NI$20,MV4&lt;&gt;"",MX4&gt;=NI$24,MX4&lt;&gt;""),AND(MY4&gt;=NI$20,MY4&lt;&gt;"",NA4&gt;=NI$24,NA4&lt;&gt;""),AND(NC4&gt;=NI$20,NC4&lt;&gt;"",NE4&gt;=NI$24,NE4&lt;&gt;""),AND(NF4&gt;=NI$20,NF4&lt;&gt;"",NH4&gt;=NI$24,NH4&lt;&gt;""),AND(OD4&gt;=OQ$20,OD4&lt;&gt;"",OF4&gt;=OQ$24,OF4&lt;&gt;""),AND(OG4&gt;=OQ$20,OG4&lt;&gt;"",OI4&gt;=OQ$24,OI4&lt;&gt;""),AND(OK4&gt;=OQ$20,OK4&lt;&gt;"",OM4&gt;=OQ$24,OM4&lt;&gt;""),AND(ON4&gt;=OQ$20,ON4&lt;&gt;"",OP4&gt;=OQ$24,OP4&lt;&gt;""),AND(PL4&gt;=PY$20,PL4&lt;&gt;"",PN4&gt;=PY$24,PN4&lt;&gt;""),AND(PO4&gt;=PY$20,PO4&lt;&gt;"",PQ4&gt;=PY$24,PQ4&lt;&gt;""),AND(PS4&gt;=PY$20,PS4&lt;&gt;"",PU4&gt;=PY$24,PU4&lt;&gt;""),AND(PV4&gt;=PY$20,PV4&lt;&gt;"",PX4&gt;=PY$24,PX4&lt;&gt;""),AND(QT4&gt;=RG$20,QT4&lt;&gt;"",QV4&gt;=RG$24,QV4&lt;&gt;""),AND(QW4&gt;=RG$20,QW4&lt;&gt;"",QY4&gt;=RG$24,QY4&lt;&gt;""),AND(RA4&gt;=RG$20,RA4&lt;&gt;"",RC4&gt;=RG$24,RC4&lt;&gt;""),AND(RD4&gt;=RG$20,RD4&lt;&gt;"",RF4&gt;=RG$24,RF4&lt;&gt;""),AND(SB4&gt;=SO$20,SB4&lt;&gt;"",SD4&gt;=SO$24,SD4&lt;&gt;""),AND(SE4&gt;=SO$20,SE4&lt;&gt;"",SG4&gt;=SO$24,SG4&lt;&gt;""),AND(SI4&gt;=SO$20,SI4&lt;&gt;"",SK4&gt;=SO$24,SK4&lt;&gt;""),AND(SL4&gt;=SO$20,SL4&lt;&gt;"",SN4&gt;=SO$24,SN4&lt;&gt;""),AND(TJ4&gt;=TW$20,TJ4&lt;&gt;"",TL4&gt;=TW$24,TL4&lt;&gt;""),AND(TM4&gt;=TW$20,TM4&lt;&gt;"",TO4&gt;=TW$24,TO4&lt;&gt;""),AND(TQ4&gt;=TW$20,TQ4&lt;&gt;"",TS4&gt;=TW$344,TXQ4&lt;&gt;""),AND(TT4&gt;=TW$20,TT4&lt;&gt;"",TV4&gt;=TW$24,TV4&lt;&gt;""),AND(UR4&gt;=VE$20,UR4&lt;&gt;"",UT4&gt;=VE$24,UT4&lt;&gt;""),AND(UU4&gt;=VE$20,UU4&lt;&gt;"",UW4&gt;=VE$24,UW4&lt;&gt;""),AND(UY4&gt;=VE$20,UY4&lt;&gt;"",VA4&gt;=VE$24,VA4&lt;&gt;""),AND(VB4&gt;=VE$20,VB4&lt;&gt;"",VD4&gt;=VE$24,VD4&lt;&gt;""),AND(VZ4&gt;=WM$20,VZ4&lt;&gt;"",WB4&gt;=WM$24,WB4&lt;&gt;""),AND(WC4&gt;=WM$20,WC4&lt;&gt;"",WE4&gt;=WM$24,WE4&lt;&gt;""),AND(WG4&gt;=WM$20,WG4&lt;&gt;"",WI4&gt;=WM$24,WI4&lt;&gt;""),AND(WJ4&gt;=WM$20,WJ4&lt;&gt;"",WL4&gt;=WM$24,WL4&lt;&gt;"")),"Merit",IF(OR(AND(AI4&gt;=AS$19,AI4&lt;&gt;"",AK4&gt;=AS$23,AK4&lt;&gt;"",AH4=""),AND(AL4&gt;=AS$19,AL4&lt;&gt;"",AN4&gt;=AS$23,AN4&lt;&gt;"",AH4=""),AND(AP4&gt;=AS$19,AP4&lt;&gt;"",AR4&gt;=AS$23,AR4&lt;&gt;"",AH4=""),AND(BJ4&gt;=BT$19,BJ4&lt;&gt;"",BL4&gt;=BT$23,BL4&lt;&gt;"",BI4=""),AND(BM4&gt;=BT$19,BM4&lt;&gt;"",BO4&gt;=BT$23,BO4&lt;&gt;"",BI4=""),AND(BQ4&gt;=BT$19,BQ4&lt;&gt;"",BS4&gt;=BT$23,BS4&lt;&gt;"",BI4=""),AND(CK4&gt;=CU$19,CK4&lt;&gt;"",CM4&gt;=CU$23,CM4&lt;&gt;"",CJ4=""),AND(CN4&gt;=CU$19,CN4&lt;&gt;"",CP4&gt;=CU$23,CP4&lt;&gt;"",CJ4=""),AND(CR4&gt;=CU$19,CR4&lt;&gt;"",CT4&gt;=CU$23,CT4&lt;&gt;"",CJ4=""),AND(DR4&gt;=EE$19,DR4&lt;&gt;"",DT4&gt;=EE$23,DT4&lt;&gt;""),AND(DU4&gt;=EE$19,DU4&lt;&gt;"",DW4&gt;=EE$23,DW4&lt;&gt;""),AND(DY4&gt;=EE$19,DY4&lt;&gt;"",EA4&gt;=EE$23,EA4&lt;&gt;""),AND(EB4&gt;=EE$19,EB4&lt;&gt;"",ED4&gt;=EE$23,ED4&lt;&gt;""),AND(EZ4&gt;=FM$19,EZ4&lt;&gt;"",FB4&gt;=FM$23,FB4&lt;&gt;""),AND(FC4&gt;=FM$19,FC4&lt;&gt;"",FE4&gt;=FM$23,FE4&lt;&gt;""),AND(FG4&gt;=FM$19,FG4&lt;&gt;"",FI4&gt;=FM$23,FI4&lt;&gt;""),AND(FJ4&gt;=FM$19,FJ4&lt;&gt;"",FL4&gt;=FM$23,FL4&lt;&gt;""),AND(GH4&gt;=GU$19,GH4&lt;&gt;"",GJ4&gt;=GU$23,GJ4&lt;&gt;""),AND(GK4&gt;=GU$19,GK4&lt;&gt;"",GM4&gt;=GU$23,GM4&lt;&gt;""),AND(GO4&gt;=GU$19,GO4&lt;&gt;"",GQ4&gt;=GU$23,GQ4&lt;&gt;""),AND(GR4&gt;=GU$19,GR4&lt;&gt;"",GT4&gt;=GU$23,GT4&lt;&gt;""),AND(HP4&gt;=IC$19,HP4&lt;&gt;"",HR4&gt;=IC$23,HR4&lt;&gt;""),AND(HS4&gt;=IC$19,HS4&lt;&gt;"",HU4&gt;=IC$23,HU4&lt;&gt;""),AND(HW4&gt;=IC$19,HW4&lt;&gt;"",HY4&gt;=IC$23,HY4&lt;&gt;""),AND(HZ4&gt;=IC$19,HZ4&lt;&gt;"",IB4&gt;=IC$23,IB4&lt;&gt;""),AND(IX4&gt;=JK$19,IX4&lt;&gt;"",IZ4&gt;=JK$23,IZ4&lt;&gt;""),AND(JA4&gt;=JK$19,JA4&lt;&gt;"",JC4&gt;=JK$23,JC4&lt;&gt;""),AND(JE4&gt;=JK$19,JE4&lt;&gt;"",JG4&gt;=JK$23,JG4&lt;&gt;""),AND(JH4&gt;=JK$19,JH4&lt;&gt;"",JJ4&gt;=JK$23,JJ4&lt;&gt;""),AND(KF4&gt;=KS$19,KF4&lt;&gt;"",KH4&gt;=KS$23,KH4&lt;&gt;""),AND(KI4&gt;=KS$19,KI4&lt;&gt;"",KK4&gt;=KS$23,KK4&lt;&gt;""),AND(KM4&gt;=KS$19,KM4&lt;&gt;"",KO4&gt;=KS$23,KO4&lt;&gt;""),AND(KP4&gt;=KS$19,KP4&lt;&gt;"",KR4&gt;=KS$23,KR4&lt;&gt;""),AND(LN4&gt;=MA$19,LN4&lt;&gt;"",LP4&gt;=MA$23,LP4&lt;&gt;""),AND(LQ4&gt;=MA$19,LQ4&lt;&gt;"",LS4&gt;=MA$23,LS4&lt;&gt;""),AND(LU4&gt;=MA$19,LU4&lt;&gt;"",LW4&gt;=MA$23,LW4&lt;&gt;""),AND(LX4&gt;=MA$19,LX4&lt;&gt;"",LZ4&gt;=MA$23,LZ4&lt;&gt;""),AND(MV4&gt;=NI$19,MV4&lt;&gt;"",MX4&gt;=NI$23,MX4&lt;&gt;""),AND(MY4&gt;=NI$19,MY4&lt;&gt;"",NA4&gt;=NI$23,NA4&lt;&gt;""),AND(NC4&gt;=NI$19,NC4&lt;&gt;"",NE4&gt;=NI$23,NE4&lt;&gt;""),AND(NF4&gt;=NI$19,NF4&lt;&gt;"",NH4&gt;=NI$23,NH4&lt;&gt;""),AND(OD4&gt;=OQ$19,OD4&lt;&gt;"",OF4&gt;=OQ$23,OF4&lt;&gt;""),AND(OG4&gt;=OQ$19,OG4&lt;&gt;"",OI4&gt;=OQ$23,OI4&lt;&gt;""),AND(OK4&gt;=OQ$19,OK4&lt;&gt;"",OM4&gt;=OQ$23,OM4&lt;&gt;""),AND(ON4&gt;=OQ$19,ON4&lt;&gt;"",OP4&gt;=OQ$23,OP4&lt;&gt;""),AND(PL4&gt;=PY$19,PL4&lt;&gt;"",PN4&gt;=PY$23,PN4&lt;&gt;""),AND(PO4&gt;=PY$19,PO4&lt;&gt;"",PQ4&gt;=PY$23,PQ4&lt;&gt;""),AND(PS4&gt;=PY$19,PS4&lt;&gt;"",PU4&gt;=PY$23,PU4&lt;&gt;""),AND(PV4&gt;=PY$19,PV4&lt;&gt;"",PX4&gt;=PY$23,PX4&lt;&gt;""),AND(QT4&gt;=RG$19,QT4&lt;&gt;"",QV4&gt;=RG$23,QV4&lt;&gt;""),AND(QW4&gt;=RG$19,QW4&lt;&gt;"",QY4&gt;=RG$23,QY4&lt;&gt;""),AND(RA4&gt;=RG$19,RA4&lt;&gt;"",RC4&gt;=RG$23,RC4&lt;&gt;""),AND(RD4&gt;=RG$19,RD4&lt;&gt;"",RF4&gt;=RG$23,RF4&lt;&gt;""),AND(SB4&gt;=SO$19,SB4&lt;&gt;"",SD4&gt;=SO$23,SD4&lt;&gt;""),AND(SE4&gt;=SO$19,SE4&lt;&gt;"",SG4&gt;=SO$23,SG4&lt;&gt;""),AND(SI4&gt;=SO$19,SI4&lt;&gt;"",SK4&gt;=SO$23,SK4&lt;&gt;""),AND(SL4&gt;=SO$19,SL4&lt;&gt;"",SN4&gt;=SO$23,SN4&lt;&gt;""),AND(TJ4&gt;=TW$19,TJ4&lt;&gt;"",TL4&gt;=TW$23,TL4&lt;&gt;""),AND(TM4&gt;=TW$19,TM4&lt;&gt;"",TO4&gt;=TW$23,TO4&lt;&gt;""),AND(TQ4&gt;=TW$19,TQ4&lt;&gt;"",TS4&gt;=TW$23,TXQ4&lt;&gt;""),AND(TT4&gt;=TW$19,TT4&lt;&gt;"",TV4&gt;=TW$23,TV4&lt;&gt;""),AND(UR4&gt;=VE$19,UR4&lt;&gt;"",UT4&gt;=VE$23,UT4&lt;&gt;""),AND(UU4&gt;=VE$19,UU4&lt;&gt;"",UW4&gt;=VE$23,UW4&lt;&gt;""),AND(UY4&gt;=VE$19,UY4&lt;&gt;"",VA4&gt;=VE$23,VA4&lt;&gt;""),AND(VB4&gt;=VE$19,VB4&lt;&gt;"",VD4&gt;=VE$23,VD4&lt;&gt;""),AND(VZ4&gt;=WM$19,VZ4&lt;&gt;"",WB4&gt;=WM$23,WB4&lt;&gt;""),AND(WC4&gt;=WM$19,WC4&lt;&gt;"",WE4&gt;=WM$23,WE4&lt;&gt;""),AND(WG4&gt;=WM$19,WG4&lt;&gt;"",WI4&gt;=WM$23,WI4&lt;&gt;""),AND(WJ4&gt;=WM$19,WJ4&lt;&gt;"",WL4&gt;=WM$23,WL4&lt;&gt;"")),"Excellence",IF(I4="P","Worlds Team",IF(F4="P","National Team","")))))</f>
        <v>National Team</v>
      </c>
      <c r="I4" s="3" t="str">
        <f>IF(OR(AND(AI4&gt;=AS$18,AI4&lt;&gt;"",AK4&gt;=AS$22,AK4&lt;&gt;"",AH4=""),AND(AL4&gt;=AS$18,AL4&lt;&gt;"",AN4&gt;=AS$22,AN4&lt;&gt;"",AH4=""),AND(AP4&gt;=AS$18,AP4&lt;&gt;"",AR4&gt;=AS$22,AR4&lt;&gt;"",AH4=""),AND(BJ4&gt;=BT$18,BJ4&lt;&gt;"",BL4&gt;=BT$22,BL4&lt;&gt;"",BI4=""),AND(BM4&gt;=BT$18,BM4&lt;&gt;"",BO4&gt;=BT$22,BO4&lt;&gt;"",BI4=""),AND(BQ4&gt;=BT$18,BQ4&lt;&gt;"",BS4&gt;=BT$22,BS4&lt;&gt;"",BI4=""),AND(CK4&gt;=CU$18,CK4&lt;&gt;"",CM4&gt;=CU$22,CM4&lt;&gt;"",CJ4=""),AND(CN4&gt;=CU$18,CN4&lt;&gt;"",CP4&gt;=CU$22,CP4&lt;&gt;"",CJ4=""),AND(CR4&gt;=CU$18,CR4&lt;&gt;"",CT4&gt;=CU$22,CT4&lt;&gt;"",CJ4=""),AND(DR4&gt;=EE$18,DR4&lt;&gt;"",DT4&gt;=EE$22,DT4&lt;&gt;""),AND(DU4&gt;=EE$18,DU4&lt;&gt;"",DW4&gt;=EE$22,DW4&lt;&gt;""),AND(DY4&gt;=EE$18,DY4&lt;&gt;"",EA4&gt;=EE$22,EA4&lt;&gt;""),AND(EB4&gt;=EE$18,EB4&lt;&gt;"",ED4&gt;=EE$22,ED4&lt;&gt;""),AND(EZ4&gt;=FM$18,EZ4&lt;&gt;"",FB4&gt;=FM$22,FB4&lt;&gt;""),AND(FC4&gt;=FM$18,FC4&lt;&gt;"",FE4&gt;=FM$22,FE4&lt;&gt;""),AND(FG4&gt;=FM$18,FG4&lt;&gt;"",FI4&gt;=FM$22,FI4&lt;&gt;""),AND(FJ4&gt;=FM$18,FJ4&lt;&gt;"",FL4&gt;=FM$22,FL4&lt;&gt;""),AND(GH4&gt;=GU$18,GH4&lt;&gt;"",GJ4&gt;=GU$22,GJ4&lt;&gt;""),AND(GK4&gt;=GU$18,GK4&lt;&gt;"",GM4&gt;=GU$22,GM4&lt;&gt;""),AND(GO4&gt;=GU$18,GO4&lt;&gt;"",GQ4&gt;=GU$22,GQ4&lt;&gt;""),AND(GR4&gt;=GU$18,GR4&lt;&gt;"",GT4&gt;=GU$22,GT4&lt;&gt;""),AND(HP4&gt;=IC$18,HP4&lt;&gt;"",HR4&gt;=IC$22,HR4&lt;&gt;""),AND(HS4&gt;=IC$18,HS4&lt;&gt;"",HU4&gt;=IC$22,HU4&lt;&gt;""),AND(HW4&gt;=IC$18,HW4&lt;&gt;"",HY4&gt;=IC$22,HY4&lt;&gt;""),AND(HZ4&gt;=IC$18,HZ4&lt;&gt;"",IB4&gt;=IC$22,IB4&lt;&gt;""),AND(IX4&gt;=JK$18,IX4&lt;&gt;"",IZ4&gt;=JK$22,IZ4&lt;&gt;""),AND(JA4&gt;=JK$18,JA4&lt;&gt;"",JC4&gt;=JK$22,JC4&lt;&gt;""),AND(JE4&gt;=JK$18,JE4&lt;&gt;"",JG4&gt;=JK$22,JG4&lt;&gt;""),AND(JH4&gt;=JK$18,JH4&lt;&gt;"",JJ4&gt;=JK$22,JJ4&lt;&gt;""),AND(KF4&gt;=KS$18,KF4&lt;&gt;"",KH4&gt;=KS$22,KH4&lt;&gt;""),AND(KI4&gt;=KS$18,KI4&lt;&gt;"",KK4&gt;=KS$22,KK4&lt;&gt;""),AND(KM4&gt;=KS$18,KM4&lt;&gt;"",KO4&gt;=KS$22,KO4&lt;&gt;""),AND(KP4&gt;=KS$18,KP4&lt;&gt;"",KR4&gt;=KS$22,KR4&lt;&gt;""),AND(LN4&gt;=MA$18,LN4&lt;&gt;"",LP4&gt;=MA$22,LP4&lt;&gt;""),AND(LQ4&gt;=MA$18,LQ4&lt;&gt;"",LS4&gt;=MA$22,LS4&lt;&gt;""),AND(LU4&gt;=MA$18,LU4&lt;&gt;"",LW4&gt;=MA$22,LW4&lt;&gt;""),AND(LX4&gt;=MA$18,LX4&lt;&gt;"",LZ4&gt;=MA$22,LZ4&lt;&gt;""),AND(MV4&gt;=NI$18,MV4&lt;&gt;"",MX4&gt;=NI$22,MX4&lt;&gt;""),AND(MY4&gt;=NI$18,MY4&lt;&gt;"",NA4&gt;=NI$22,NA4&lt;&gt;""),AND(NC4&gt;=NI$18,NC4&lt;&gt;"",NE4&gt;=NI$22,NE4&lt;&gt;""),AND(NF4&gt;=NI$18,NF4&lt;&gt;"",NH4&gt;=NI$22,NH4&lt;&gt;""),AND(OD4&gt;=OQ$18,OD4&lt;&gt;"",OF4&gt;=OQ$22,OF4&lt;&gt;""),AND(OG4&gt;=OQ$18,OG4&lt;&gt;"",OI4&gt;=OQ$22,OI4&lt;&gt;""),AND(OK4&gt;=OQ$18,OK4&lt;&gt;"",OM4&gt;=OQ$22,OM4&lt;&gt;""),AND(ON4&gt;=OQ$18,ON4&lt;&gt;"",OP4&gt;=OQ$22,OP4&lt;&gt;""),AND(PL4&gt;=PY$18,PL4&lt;&gt;"",PN4&gt;=PY$22,PN4&lt;&gt;""),AND(PO4&gt;=PY$18,PO4&lt;&gt;"",PQ4&gt;=PY$22,PQ4&lt;&gt;""),AND(PS4&gt;=PY$18,PS4&lt;&gt;"",PU4&gt;=PY$22,PU4&lt;&gt;""),AND(PV4&gt;=PY$18,PV4&lt;&gt;"",PX4&gt;=PY$22,PX4&lt;&gt;""),AND(QT4&gt;=RG$18,QT4&lt;&gt;"",QV4&gt;=RG$22,QV4&lt;&gt;""),AND(QW4&gt;=RG$18,QW4&lt;&gt;"",QY4&gt;=RG$22,QY4&lt;&gt;""),AND(RA4&gt;=RG$18,RA4&lt;&gt;"",RC4&gt;=RG$22,RC4&lt;&gt;""),AND(RD4&gt;=RG$18,RD4&lt;&gt;"",RF4&gt;=RG$22,RF4&lt;&gt;""),AND(SB4&gt;=SO$18,SB4&lt;&gt;"",SD4&gt;=SO$22,SD4&lt;&gt;""),AND(SE4&gt;=SO$18,SE4&lt;&gt;"",SG4&gt;=SO$22,SG4&lt;&gt;""),AND(SI4&gt;=SO$18,SI4&lt;&gt;"",SK4&gt;=SO$22,SK4&lt;&gt;""),AND(SL4&gt;=SO$18,SL4&lt;&gt;"",SN4&gt;=SO$22,SN4&lt;&gt;""),AND(TJ4&gt;=TW$18,TJ4&lt;&gt;"",TL4&gt;=TW$22,TL4&lt;&gt;""),AND(TM4&gt;=TW$18,TM4&lt;&gt;"",TO4&gt;=TW$22,TO4&lt;&gt;""),AND(TQ4&gt;=TW$18,TQ4&lt;&gt;"",TS4&gt;=TW$22,TXQ4&lt;&gt;""),AND(TT4&gt;=TW$18,TT4&lt;&gt;"",TV4&gt;=TW$22,TV4&lt;&gt;""),AND(UR4&gt;=VE$18,UR4&lt;&gt;"",UT4&gt;=VE$22,UT4&lt;&gt;""),AND(UU4&gt;=VE$18,UU4&lt;&gt;"",UW4&gt;=VE$22,UW4&lt;&gt;""),AND(UY4&gt;=VE$18,UY4&lt;&gt;"",VA4&gt;=VE$22,VA4&lt;&gt;""),AND(VB4&gt;=VE$18,VB4&lt;&gt;"",VD4&gt;=VE$22,VD4&lt;&gt;""),AND(VZ4&gt;=WM$18,VZ4&lt;&gt;"",WB4&gt;=WM$22,WB4&lt;&gt;""),AND(WC4&gt;=WM$18,WC4&lt;&gt;"",WE4&gt;=WM$22,WE4&lt;&gt;""),AND(WG4&gt;=WM$18,WG4&lt;&gt;"",WI4&gt;=WM$22,WI4&lt;&gt;""),AND(WJ4&gt;=WM$18,WJ4&lt;&gt;"",WL4&gt;=WM$22,WL4&lt;&gt;"")),"P","")</f>
        <v/>
      </c>
      <c r="J4" s="8">
        <f t="shared" ref="J4:J14" si="1">IF(MAX(AR4,BS4,CT4)&gt;0,MAX(AR4,BS4,CT4),0)</f>
        <v>56.61999999999999</v>
      </c>
      <c r="K4" s="8" t="str">
        <f t="shared" ref="K4:K14" si="2">IF(J4="","",IF(J4=CT4,$BU$1,IF(J4=BS4,$AT$1,IF(J4=AR4,$S$1,""))))</f>
        <v>2025 Nationals</v>
      </c>
      <c r="L4" s="8">
        <f>IFERROR(IF(J4=AR4,LARGE((AK4,AN4,BL4,BO4,BS4,CM4,CP4,CT4),1),IF(J4=BS4,LARGE((AK4,AN4,AR4,BL4,BO4,CM4,CP4,CT4),1),LARGE((AK4,AN4,AR4,BL4,BO4,BS4,CM4,CP4),1))),0)</f>
        <v>56.620000000000005</v>
      </c>
      <c r="M4" s="8" t="str">
        <f t="shared" ref="M4:M14" si="3">IF(L4="","",IF(OR(L4=CM4,L4=CP4,L4=CT4),$BU$1,IF(OR(L4=BL4,L4=BO4,L4=BS4),$AT$1,IF(OR(L4=AK4,L4=AN4,L4=AR4),$S$1,""))))</f>
        <v>2025 3rd Domestic Trial</v>
      </c>
      <c r="N4" s="8">
        <f>IFERROR(IF(J4=AR4,LARGE((AK4,AN4,BL4,BO4,BS4,CM4,CP4,CT4),2),IF(J4=BS4,LARGE((AK4,AN4,AR4,BL4,BO4,CM4,CP4,CT4),2),LARGE((AK4,AN4,AR4,BL4,BO4,BS4,CM4,CP4),2))),0)</f>
        <v>56.300000000000004</v>
      </c>
      <c r="O4" s="8" t="str">
        <f t="shared" ref="O4:O14" si="4">IF(L4="","",IF(OR(N4=CM4,N4=CP4,N4=CT4),$BU$1,IF(OR(N4=BL4,N4=BO4,N4=BS4),$AT$1,IF(OR(N4=AK4,N4=AN4,N4=AR4),$S$1,""))))</f>
        <v>2025 Nationals</v>
      </c>
      <c r="P4" s="8">
        <f t="shared" ref="P4:P14" si="5">IF(MAX(CV4,CW4)&gt;0,MAX(CV4,CW4),0)</f>
        <v>0.50999999999999091</v>
      </c>
      <c r="Q4" s="11" t="str">
        <f t="shared" ref="Q4:Q14" si="6">IF(P4=0,"",IF(P4=CV4,"("&amp;CV$2&amp;")",IF(P4=CW4,"("&amp;CW$2&amp;")")))</f>
        <v>(Any)</v>
      </c>
      <c r="R4" s="8" t="str">
        <f t="shared" ref="R4:R14" si="7">IF(P4=0,"",IF(P4=CV4,IF(P4+IF(J4="",0,J4)=MAX(WI4,WL4),$VF$1,IF(P4+IF(J4="",0,J4)=MAX(VA4,VD4),$TX$1,IF(P4+IF(J4="",0,J4)=MAX(TS4,TV4),$SP$1,IF(P4+IF(J4="",0,J4)=MAX(SK4,SN4),$RH$1,IF(P4+IF(J4="",0,J4)=MAX(RC4,RF4),$PZ$1,IF(P4+IF(J4="",0,J4)=MAX(PU4,PX4),$OR$1,IF(P4+IF(J4="",0,J4)=MAX(OM4,OP4),$NJ$1,IF(P4+IF(J4="",0,J4)=MAX(NE4,NH4),$MB$1,IF(P4+IF(J4="",0,J4)=MAX(LW4,LZ4),$KT$1,IF(P4+IF(J4="",0,J4)=MAX(KO4,KR4),$JL$1,IF(P4+IF(J4="",0,J4)=MAX(JG4,JJ4),$ID$1,IF(P4+IF(J4="",0,J4)=MAX(HY4,IB4),$GV$1,IF(P4+IF(J4="",0,J4)=MAX(GQ4,GT4),$FN$1,IF(P4+IF(J4="",0,J4)=MAX(FI4,FL4),$EF$1,IF(P4+IF(J4="",0,J4)=MAX(EA4,ED4),$CX$1))))))))))))))),IF(P4+MAX(N4,0)=MAX(WF4,WI4,WL4),$VF$1,IF(P4+MAX(N4,0)=MAX(UX4,VA4,VD4),$TX$1,IF(P4+MAX(N4,0)=MAX(TP4,TS4,TV4),$SP$1,IF(P4+MAX(N4,0)=MAX(SH4,SK4,SN4),$RH$1,IF(P4+MAX(N4,0)=MAX(QZ4,RC4,RF4),$PZ$1,IF(P4+MAX(N4,0)=MAX(PR4,PU4,PX4),$OR$1,IF(P4+MAX(N4,0)=MAX(OJ4,OM4,OP4),$NJ$1,IF(P4+MAX(N4,0)=MAX(NB4,NE4,NH4),$MB$1,IF(P4+MAX(N4,0)=MAX(LT4,LW4,LZ4),$KT$1,IF(P4+MAX(N4,0)=MAX(KL4,KO4,KR4),$JL$1,IF(P4+MAX(N4,0)=MAX(JD4,JG4,JJ4),$ID$1,IF(P4+MAX(N4,0)=MAX(HV4,HY4,IB4),$GV$1,IF(P4+MAX(N4,0)=MAX(GN4,GQ4,GT4),$FN$1,IF(P4+MAX(N4,0)=MAX(FF4,FI4,FL4),$EF$1,IF(P4+MAX(N4,0)=MAX(DX4,EA4,ED4),$CX$1)))))))))))))))))</f>
        <v>2025 Worlds (Nov 9)</v>
      </c>
      <c r="S4" s="18">
        <v>17</v>
      </c>
      <c r="T4" s="18">
        <v>9.3000000000000007</v>
      </c>
      <c r="U4" s="18">
        <v>14.9</v>
      </c>
      <c r="V4" s="18">
        <v>15.1</v>
      </c>
      <c r="W4" s="18">
        <v>0</v>
      </c>
      <c r="X4" s="18">
        <v>3.8</v>
      </c>
      <c r="Y4" s="18">
        <v>2</v>
      </c>
      <c r="Z4" s="18">
        <v>3.3</v>
      </c>
      <c r="AA4" s="18">
        <v>3.31</v>
      </c>
      <c r="AB4" s="18">
        <v>0</v>
      </c>
      <c r="AC4" s="18">
        <v>16.7</v>
      </c>
      <c r="AD4" s="18">
        <v>9.6</v>
      </c>
      <c r="AE4" s="18">
        <v>15.5</v>
      </c>
      <c r="AF4" s="18">
        <v>15.02</v>
      </c>
      <c r="AG4" s="18">
        <v>0.2</v>
      </c>
      <c r="AH4" s="23"/>
      <c r="AI4" s="34">
        <f t="shared" ref="AI4:AI14" si="8">IF(U4&gt;0,U4,"")</f>
        <v>14.9</v>
      </c>
      <c r="AJ4" s="34">
        <f t="shared" ref="AJ4:AJ14" si="9">IF(V4&gt;0,V4,"")</f>
        <v>15.1</v>
      </c>
      <c r="AK4" s="36">
        <f t="shared" ref="AK4:AK14" si="10">IF(SUM(S4:V4)-W4&gt;0,SUM(S4:V4)-W4,"")</f>
        <v>56.300000000000004</v>
      </c>
      <c r="AL4" s="36">
        <f t="shared" ref="AL4:AL14" si="11">IF(Z4&gt;0,Z4,"")</f>
        <v>3.3</v>
      </c>
      <c r="AM4" s="36">
        <f t="shared" ref="AM4:AM14" si="12">IF(AA4&gt;0,AA4,"")</f>
        <v>3.31</v>
      </c>
      <c r="AN4" s="36">
        <f t="shared" ref="AN4:AN14" si="13">IF(SUM(X4:AA4)-AB4&gt;0,SUM(X4:AA4)-AB4,"")</f>
        <v>12.41</v>
      </c>
      <c r="AO4" s="36">
        <f t="shared" ref="AO4:AO14" si="14">IF(AK4="","",MAX(AK4,AN4))</f>
        <v>56.300000000000004</v>
      </c>
      <c r="AP4" s="36">
        <f t="shared" ref="AP4:AP14" si="15">IF(AE4&gt;0,AE4,"")</f>
        <v>15.5</v>
      </c>
      <c r="AQ4" s="36">
        <f t="shared" ref="AQ4:AQ14" si="16">IF(AF4&gt;0,AF4,"")</f>
        <v>15.02</v>
      </c>
      <c r="AR4" s="36">
        <f t="shared" ref="AR4:AR14" si="17">IF(SUM(AC4:AF4)-AG4&gt;0,SUM(AC4:AF4)-AG4,"")</f>
        <v>56.61999999999999</v>
      </c>
      <c r="AS4" s="36">
        <f t="shared" ref="AS4:AS14" si="18">IF(SUM(AO4,AR4)&gt;0,SUM(AO4,AR4),"")</f>
        <v>112.91999999999999</v>
      </c>
      <c r="AT4" s="22">
        <v>17.350000000000001</v>
      </c>
      <c r="AU4" s="22">
        <v>9.1999999999999993</v>
      </c>
      <c r="AV4" s="22">
        <v>14.9</v>
      </c>
      <c r="AW4" s="22">
        <v>15.17</v>
      </c>
      <c r="AX4" s="22">
        <v>0</v>
      </c>
      <c r="AY4" s="22">
        <v>10.4</v>
      </c>
      <c r="AZ4" s="22">
        <v>5.65</v>
      </c>
      <c r="BA4" s="22">
        <v>9.1</v>
      </c>
      <c r="BB4" s="22">
        <v>9.11</v>
      </c>
      <c r="BC4" s="22">
        <v>0</v>
      </c>
      <c r="BD4" s="22">
        <v>16.600000000000001</v>
      </c>
      <c r="BE4" s="22">
        <v>9.6</v>
      </c>
      <c r="BF4" s="22">
        <v>15</v>
      </c>
      <c r="BG4" s="22">
        <v>15.015000000000001</v>
      </c>
      <c r="BH4" s="22">
        <v>0.1</v>
      </c>
      <c r="BI4" s="24" t="s">
        <v>42</v>
      </c>
      <c r="BJ4" s="35">
        <f t="shared" ref="BJ4:BJ14" si="19">IF(AV4&gt;0,AV4,"")</f>
        <v>14.9</v>
      </c>
      <c r="BK4" s="35">
        <f t="shared" ref="BK4:BK14" si="20">IF(AW4&gt;0,AW4,"")</f>
        <v>15.17</v>
      </c>
      <c r="BL4" s="11">
        <f t="shared" ref="BL4:BL14" si="21">IF(SUM(AT4:AW4)-AX4&gt;0,SUM(AT4:AW4)-AX4,"")</f>
        <v>56.620000000000005</v>
      </c>
      <c r="BM4" s="11">
        <f t="shared" ref="BM4:BM14" si="22">IF(BA4&gt;0,BA4,"")</f>
        <v>9.1</v>
      </c>
      <c r="BN4" s="11">
        <f t="shared" ref="BN4:BN14" si="23">IF(BB4&gt;0,BB4,"")</f>
        <v>9.11</v>
      </c>
      <c r="BO4" s="11">
        <f t="shared" ref="BO4:BO14" si="24">IF(SUM(AY4:BB4)-BC4&gt;0,SUM(AY4:BB4)-BC4,"")</f>
        <v>34.26</v>
      </c>
      <c r="BP4" s="11">
        <f t="shared" ref="BP4:BP14" si="25">IF(BL4="","",MAX(BL4,BO4))</f>
        <v>56.620000000000005</v>
      </c>
      <c r="BQ4" s="11">
        <f t="shared" ref="BQ4:BQ14" si="26">IF(BF4&gt;0,BF4,"")</f>
        <v>15</v>
      </c>
      <c r="BR4" s="11">
        <f t="shared" ref="BR4:BR14" si="27">IF(BG4&gt;0,BG4,"")</f>
        <v>15.015000000000001</v>
      </c>
      <c r="BS4" s="11">
        <f t="shared" ref="BS4:BS14" si="28">IF(SUM(BD4:BG4)-BH4&gt;0,SUM(BD4:BG4)-BH4,"")</f>
        <v>56.115000000000002</v>
      </c>
      <c r="BT4" s="11">
        <f t="shared" ref="BT4:BT14" si="29">IF(SUM(BP4,BS4)&gt;0,SUM(BP4,BS4),"")</f>
        <v>112.73500000000001</v>
      </c>
      <c r="BU4" s="18">
        <v>16.8</v>
      </c>
      <c r="BV4" s="18">
        <v>9.6</v>
      </c>
      <c r="BW4" s="18">
        <v>14.9</v>
      </c>
      <c r="BX4" s="18">
        <v>14.83</v>
      </c>
      <c r="BY4" s="18">
        <v>0</v>
      </c>
      <c r="BZ4" s="18">
        <v>16.5</v>
      </c>
      <c r="CA4" s="18">
        <v>9.1</v>
      </c>
      <c r="CB4" s="18">
        <v>15.5</v>
      </c>
      <c r="CC4" s="18">
        <v>14.84</v>
      </c>
      <c r="CD4" s="18">
        <v>0</v>
      </c>
      <c r="CE4" s="18">
        <v>17.2</v>
      </c>
      <c r="CF4" s="18">
        <v>9</v>
      </c>
      <c r="CG4" s="18">
        <v>14.9</v>
      </c>
      <c r="CH4" s="18">
        <v>15.09</v>
      </c>
      <c r="CI4" s="18">
        <v>0</v>
      </c>
      <c r="CJ4" s="23"/>
      <c r="CK4" s="34">
        <f t="shared" ref="CK4:CK14" si="30">IF(BW4&gt;0,BW4,"")</f>
        <v>14.9</v>
      </c>
      <c r="CL4" s="34">
        <f t="shared" ref="CL4:CL14" si="31">IF(BX4&gt;0,BX4,"")</f>
        <v>14.83</v>
      </c>
      <c r="CM4" s="36">
        <f t="shared" ref="CM4:CM14" si="32">IF(SUM(BU4:BX4)-BY4&gt;0,SUM(BU4:BX4)-BY4,"")</f>
        <v>56.129999999999995</v>
      </c>
      <c r="CN4" s="36">
        <f t="shared" ref="CN4:CN14" si="33">IF(CB4&gt;0,CB4,"")</f>
        <v>15.5</v>
      </c>
      <c r="CO4" s="36">
        <f t="shared" ref="CO4:CO14" si="34">IF(CC4&gt;0,CC4,"")</f>
        <v>14.84</v>
      </c>
      <c r="CP4" s="36">
        <f t="shared" ref="CP4:CP14" si="35">IF(SUM(BZ4:CC4)-CD4&gt;0,SUM(BZ4:CC4)-CD4,"")</f>
        <v>55.94</v>
      </c>
      <c r="CQ4" s="36">
        <f t="shared" ref="CQ4:CQ14" si="36">IF(CM4="","",MAX(CM4,CP4))</f>
        <v>56.129999999999995</v>
      </c>
      <c r="CR4" s="36">
        <f t="shared" ref="CR4:CR14" si="37">IF(CG4&gt;0,CG4,"")</f>
        <v>14.9</v>
      </c>
      <c r="CS4" s="36">
        <f t="shared" ref="CS4:CS14" si="38">IF(CH4&gt;0,CH4,"")</f>
        <v>15.09</v>
      </c>
      <c r="CT4" s="36">
        <f t="shared" ref="CT4:CT14" si="39">IF(SUM(CE4:CH4)-CI4&gt;0,SUM(CE4:CH4)-CI4,"")</f>
        <v>56.19</v>
      </c>
      <c r="CU4" s="36">
        <f t="shared" ref="CU4:CU14" si="40">IF(SUM(CQ4,CT4)&gt;0,SUM(CQ4,CT4),"")</f>
        <v>112.32</v>
      </c>
      <c r="CV4" s="47">
        <f t="shared" ref="CV4:CV14" si="41">IF(MAX(EA4,ED4,FI4,FL4,GQ4,GT4,HY4,IB4,JG4,JJ4,KO4,KR4,LW4,LZ4,NE4,NH4,OM4,OP4,PU4,PX4,RC4,RF4,SK4,SN4,TS4,TV4,VA4,VD4,WI4,WL4)-IF(J4="",0,J4)&gt;0.001,MAX(EA4,ED4,FI4,FL4,GQ4,GT4,HY4,IB4,JG4,JJ4,KO4,KR4,LW4,LZ4,NE4,NH4,OM4,OP4,PU4,PX4,RC4,RF4,SK4,SN4,TS4,TV4,VA4,VD4,WI4,WL4)-IF(J4="",0,J4),"")</f>
        <v>0.19000000000000483</v>
      </c>
      <c r="CW4" s="47">
        <f t="shared" ref="CW4:CW14" si="42">IF(MAX(DX4,EA4,ED4,FF4,FI4,FL4,GN4,GQ4,GT4,HV4,HY4,IB4,JD4,JG4,JJ4,KL4,KO4,KR4,LT4,LW4,LZ4,NB4,NE4,NH4,OJ4,OM4,OP4,PR4,PU4,PX4,QZ4,RC4,RF4,SH4,SK4,SN4,TP4,TS4,TV4,UX4,VA4,VD4,WF4,WI4,WL4)-MAX(N4,0)&gt;0.001,MAX(DX4,EA4,ED4,FF4,FI4,FL4,GN4,GQ4,GT4,HV4,HY4,IB4,JD4,JG4,JJ4,KL4,KO4,KR4,LT4,LW4,LZ4,NB4,NE4,NH4,OJ4,OM4,OP4,PR4,PU4,PX4,QZ4,RC4,RF4,SH4,SK4,SN4,TP4,TS4,TV4,UX4,VA4,VD4,WF4,WI4,WL4)-MAX(N4,0),"")</f>
        <v>0.50999999999999091</v>
      </c>
      <c r="CX4" s="15">
        <v>15.8</v>
      </c>
      <c r="CY4" s="15">
        <v>9.4</v>
      </c>
      <c r="CZ4" s="15">
        <v>13.6</v>
      </c>
      <c r="DA4" s="15">
        <v>14.94</v>
      </c>
      <c r="DB4" s="15">
        <v>0.2</v>
      </c>
      <c r="DC4" s="15">
        <v>16.600000000000001</v>
      </c>
      <c r="DD4" s="15">
        <v>9.6999999999999993</v>
      </c>
      <c r="DE4" s="15">
        <v>14.5</v>
      </c>
      <c r="DF4" s="15">
        <v>15.22</v>
      </c>
      <c r="DG4" s="15">
        <v>0</v>
      </c>
      <c r="DH4" s="15">
        <v>16.399999999999999</v>
      </c>
      <c r="DI4" s="15">
        <v>9.6</v>
      </c>
      <c r="DJ4" s="15">
        <v>14.9</v>
      </c>
      <c r="DK4" s="15">
        <v>15.01</v>
      </c>
      <c r="DL4" s="15">
        <v>0</v>
      </c>
      <c r="DM4" s="15">
        <v>16.100000000000001</v>
      </c>
      <c r="DN4" s="15">
        <v>9.4</v>
      </c>
      <c r="DO4" s="15">
        <v>14.9</v>
      </c>
      <c r="DP4" s="15">
        <v>14.91</v>
      </c>
      <c r="DQ4" s="15">
        <v>0</v>
      </c>
      <c r="DR4" s="36">
        <f t="shared" ref="DR4:DR14" si="43">IF(CZ4&gt;0,CZ4,"")</f>
        <v>13.6</v>
      </c>
      <c r="DS4" s="36">
        <f t="shared" ref="DS4:DS14" si="44">IF(DA4&gt;0,DA4,"")</f>
        <v>14.94</v>
      </c>
      <c r="DT4" s="36">
        <f t="shared" ref="DT4:DT14" si="45">IF(SUM(CX4:DA4)-DB4&gt;0,SUM(CX4:DA4)-DB4,"")</f>
        <v>53.54</v>
      </c>
      <c r="DU4" s="36">
        <f t="shared" ref="DU4:DU14" si="46">IF(DE4&gt;0,DE4,"")</f>
        <v>14.5</v>
      </c>
      <c r="DV4" s="36">
        <f t="shared" ref="DV4:DV14" si="47">IF(DF4&gt;0,DF4,"")</f>
        <v>15.22</v>
      </c>
      <c r="DW4" s="36">
        <f t="shared" ref="DW4:DW14" si="48">IF(SUM(DC4:DF4)-DG4&gt;0,SUM(DC4:DF4)-DG4,"")</f>
        <v>56.019999999999996</v>
      </c>
      <c r="DX4" s="36">
        <f t="shared" ref="DX4:DX14" si="49">IF(MAX(DT4,DW4)&gt;0,MAX(DT4,DW4),"")</f>
        <v>56.019999999999996</v>
      </c>
      <c r="DY4" s="36">
        <f t="shared" ref="DY4:DY14" si="50">IF(DJ4&gt;0,DJ4,"")</f>
        <v>14.9</v>
      </c>
      <c r="DZ4" s="36">
        <f t="shared" ref="DZ4:DZ14" si="51">IF(DK4&gt;0,DK4,"")</f>
        <v>15.01</v>
      </c>
      <c r="EA4" s="36">
        <f t="shared" ref="EA4:EA14" si="52">IF(SUM(DH4:DK4)-DL4&gt;0,SUM(DH4:DK4)-DL4,"")</f>
        <v>55.91</v>
      </c>
      <c r="EB4" s="36">
        <f t="shared" ref="EB4:EB14" si="53">IF(DO4&gt;0,DO4,"")</f>
        <v>14.9</v>
      </c>
      <c r="EC4" s="36">
        <f t="shared" ref="EC4:EC14" si="54">IF(DP4&gt;0,DP4,"")</f>
        <v>14.91</v>
      </c>
      <c r="ED4" s="36">
        <f t="shared" ref="ED4:ED14" si="55">IF(SUM(DM4:DP4)-DQ4&gt;0,SUM(DM4:DP4)-DQ4,"")</f>
        <v>55.31</v>
      </c>
      <c r="EE4" s="36">
        <f t="shared" ref="EE4:EE14" si="56">IF(SUM(DX4,EA4,ED4)&gt;0,SUM(DX4,EA4,ED4),"")</f>
        <v>167.24</v>
      </c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1" t="str">
        <f t="shared" ref="EZ4:EZ14" si="57">IF(EH4&gt;0,EH4,"")</f>
        <v/>
      </c>
      <c r="FA4" s="11" t="str">
        <f t="shared" ref="FA4:FA14" si="58">IF(EI4&gt;0,EI4,"")</f>
        <v/>
      </c>
      <c r="FB4" s="11" t="str">
        <f t="shared" ref="FB4:FB14" si="59">IF(SUM(EF4:EI4)-EJ4&gt;0,SUM(EF4:EI4)-EJ4,"")</f>
        <v/>
      </c>
      <c r="FC4" s="11" t="str">
        <f t="shared" ref="FC4:FC14" si="60">IF(EM4&gt;0,EM4,"")</f>
        <v/>
      </c>
      <c r="FD4" s="11" t="str">
        <f t="shared" ref="FD4:FD14" si="61">IF(EN4&gt;0,EN4,"")</f>
        <v/>
      </c>
      <c r="FE4" s="11" t="str">
        <f t="shared" ref="FE4:FE14" si="62">IF(SUM(EK4:EN4)-EO4&gt;0,SUM(EK4:EN4)-EO4,"")</f>
        <v/>
      </c>
      <c r="FF4" s="11" t="str">
        <f t="shared" ref="FF4:FF14" si="63">IF(MAX(FB4,FE4)&gt;0,MAX(FB4,FE4),"")</f>
        <v/>
      </c>
      <c r="FG4" s="11" t="str">
        <f t="shared" ref="FG4:FG14" si="64">IF(ER4&gt;0,ER4,"")</f>
        <v/>
      </c>
      <c r="FH4" s="11" t="str">
        <f t="shared" ref="FH4:FH14" si="65">IF(ES4&gt;0,ES4,"")</f>
        <v/>
      </c>
      <c r="FI4" s="11" t="str">
        <f t="shared" ref="FI4:FI14" si="66">IF(SUM(EP4:ES4)-ET4&gt;0,SUM(EP4:ES4)-ET4,"")</f>
        <v/>
      </c>
      <c r="FJ4" s="11" t="str">
        <f t="shared" ref="FJ4:FJ14" si="67">IF(EW4&gt;0,EW4,"")</f>
        <v/>
      </c>
      <c r="FK4" s="11" t="str">
        <f t="shared" ref="FK4:FK14" si="68">IF(EX4&gt;0,EX4,"")</f>
        <v/>
      </c>
      <c r="FL4" s="11" t="str">
        <f t="shared" ref="FL4:FL14" si="69">IF(SUM(EU4:EX4)-EY4&gt;0,SUM(EU4:EX4)-EY4,"")</f>
        <v/>
      </c>
      <c r="FM4" s="11" t="str">
        <f t="shared" ref="FM4:FM14" si="70">IF(SUM(FF4,FI4,FL4)&gt;0,SUM(FF4,FI4,FL4),"")</f>
        <v/>
      </c>
      <c r="FN4" s="15">
        <v>15.9</v>
      </c>
      <c r="FO4" s="15">
        <v>9.1999999999999993</v>
      </c>
      <c r="FP4" s="15">
        <v>14.9</v>
      </c>
      <c r="FQ4" s="15">
        <v>15.22</v>
      </c>
      <c r="FR4" s="15">
        <v>0</v>
      </c>
      <c r="FS4" s="15">
        <v>16.5</v>
      </c>
      <c r="FT4" s="15">
        <v>9.6999999999999993</v>
      </c>
      <c r="FU4" s="15">
        <v>14.9</v>
      </c>
      <c r="FV4" s="15">
        <v>15.24</v>
      </c>
      <c r="FW4" s="15">
        <v>0</v>
      </c>
      <c r="FX4" s="15">
        <v>16.3</v>
      </c>
      <c r="FY4" s="15">
        <v>9.6</v>
      </c>
      <c r="FZ4" s="15">
        <v>14.9</v>
      </c>
      <c r="GA4" s="15">
        <v>15.17</v>
      </c>
      <c r="GB4" s="15">
        <v>0.2</v>
      </c>
      <c r="GC4" s="15">
        <v>15.9</v>
      </c>
      <c r="GD4" s="15">
        <v>9.5</v>
      </c>
      <c r="GE4" s="15">
        <v>15.5</v>
      </c>
      <c r="GF4" s="15">
        <v>14.83</v>
      </c>
      <c r="GG4" s="15">
        <v>0</v>
      </c>
      <c r="GH4" s="36">
        <f t="shared" ref="GH4:GH14" si="71">IF(FP4&gt;0,FP4,"")</f>
        <v>14.9</v>
      </c>
      <c r="GI4" s="36">
        <f t="shared" ref="GI4:GI14" si="72">IF(FQ4&gt;0,FQ4,"")</f>
        <v>15.22</v>
      </c>
      <c r="GJ4" s="36">
        <f t="shared" ref="GJ4:GJ14" si="73">IF(SUM(FN4:FQ4)-FR4&gt;0,SUM(FN4:FQ4)-FR4,"")</f>
        <v>55.22</v>
      </c>
      <c r="GK4" s="36">
        <f t="shared" ref="GK4:GK14" si="74">IF(FU4&gt;0,FU4,"")</f>
        <v>14.9</v>
      </c>
      <c r="GL4" s="36">
        <f t="shared" ref="GL4:GL14" si="75">IF(FV4&gt;0,FV4,"")</f>
        <v>15.24</v>
      </c>
      <c r="GM4" s="36">
        <f t="shared" ref="GM4:GM14" si="76">IF(SUM(FS4:FV4)-FW4&gt;0,SUM(FS4:FV4)-FW4,"")</f>
        <v>56.34</v>
      </c>
      <c r="GN4" s="36">
        <f t="shared" ref="GN4:GN14" si="77">IF(MAX(GJ4,GM4)&gt;0,MAX(GJ4,GM4),"")</f>
        <v>56.34</v>
      </c>
      <c r="GO4" s="36">
        <f t="shared" ref="GO4:GO14" si="78">IF(FZ4&gt;0,FZ4,"")</f>
        <v>14.9</v>
      </c>
      <c r="GP4" s="36">
        <f t="shared" ref="GP4:GP14" si="79">IF(GA4&gt;0,GA4,"")</f>
        <v>15.17</v>
      </c>
      <c r="GQ4" s="36">
        <f t="shared" ref="GQ4:GQ14" si="80">IF(SUM(FX4:GA4)-GB4&gt;0,SUM(FX4:GA4)-GB4,"")</f>
        <v>55.769999999999996</v>
      </c>
      <c r="GR4" s="36">
        <f t="shared" ref="GR4:GR14" si="81">IF(GE4&gt;0,GE4,"")</f>
        <v>15.5</v>
      </c>
      <c r="GS4" s="36">
        <f t="shared" ref="GS4:GS14" si="82">IF(GF4&gt;0,GF4,"")</f>
        <v>14.83</v>
      </c>
      <c r="GT4" s="36">
        <f t="shared" ref="GT4:GT14" si="83">IF(SUM(GC4:GF4)-GG4&gt;0,SUM(GC4:GF4)-GG4,"")</f>
        <v>55.73</v>
      </c>
      <c r="GU4" s="36">
        <f t="shared" ref="GU4:GU14" si="84">IF(SUM(GN4,GQ4,GT4)&gt;0,SUM(GN4,GQ4,GT4),"")</f>
        <v>167.84</v>
      </c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1" t="str">
        <f t="shared" ref="HP4:HP14" si="85">IF(GX4&gt;0,GX4,"")</f>
        <v/>
      </c>
      <c r="HQ4" s="11" t="str">
        <f t="shared" ref="HQ4:HQ14" si="86">IF(GY4&gt;0,GY4,"")</f>
        <v/>
      </c>
      <c r="HR4" s="11" t="str">
        <f t="shared" ref="HR4:HR14" si="87">IF(SUM(GV4:GY4)-GZ4&gt;0,SUM(GV4:GY4)-GZ4,"")</f>
        <v/>
      </c>
      <c r="HS4" s="11" t="str">
        <f t="shared" ref="HS4:HS14" si="88">IF(HC4&gt;0,HC4,"")</f>
        <v/>
      </c>
      <c r="HT4" s="11" t="str">
        <f t="shared" ref="HT4:HT14" si="89">IF(HD4&gt;0,HD4,"")</f>
        <v/>
      </c>
      <c r="HU4" s="11" t="str">
        <f t="shared" ref="HU4:HU14" si="90">IF(SUM(HA4:HD4)-HE4&gt;0,SUM(HA4:HD4)-HE4,"")</f>
        <v/>
      </c>
      <c r="HV4" s="11" t="str">
        <f t="shared" ref="HV4:HV14" si="91">IF(MAX(HR4,HU4)&gt;0,MAX(HR4,HU4),"")</f>
        <v/>
      </c>
      <c r="HW4" s="11" t="str">
        <f t="shared" ref="HW4:HW14" si="92">IF(HH4&gt;0,HH4,"")</f>
        <v/>
      </c>
      <c r="HX4" s="11" t="str">
        <f t="shared" ref="HX4:HX14" si="93">IF(HI4&gt;0,HI4,"")</f>
        <v/>
      </c>
      <c r="HY4" s="11" t="str">
        <f t="shared" ref="HY4:HY14" si="94">IF(SUM(HF4:HI4)-HJ4&gt;0,SUM(HF4:HI4)-HJ4,"")</f>
        <v/>
      </c>
      <c r="HZ4" s="11" t="str">
        <f t="shared" ref="HZ4:HZ14" si="95">IF(HM4&gt;0,HM4,"")</f>
        <v/>
      </c>
      <c r="IA4" s="11" t="str">
        <f t="shared" ref="IA4:IA14" si="96">IF(HN4&gt;0,HN4,"")</f>
        <v/>
      </c>
      <c r="IB4" s="11" t="str">
        <f t="shared" ref="IB4:IB14" si="97">IF(SUM(HK4:HN4)-HO4&gt;0,SUM(HK4:HN4)-HO4,"")</f>
        <v/>
      </c>
      <c r="IC4" s="11" t="str">
        <f t="shared" ref="IC4:IC14" si="98">IF(SUM(HV4,HY4,IB4)&gt;0,SUM(HV4,HY4,IB4),"")</f>
        <v/>
      </c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36" t="str">
        <f t="shared" ref="IX4:IX14" si="99">IF(IF4&gt;0,IF4,"")</f>
        <v/>
      </c>
      <c r="IY4" s="36" t="str">
        <f t="shared" ref="IY4:IY14" si="100">IF(IG4&gt;0,IG4,"")</f>
        <v/>
      </c>
      <c r="IZ4" s="36" t="str">
        <f t="shared" ref="IZ4:IZ14" si="101">IF(SUM(ID4:IG4)-IH4&gt;0,SUM(ID4:IG4)-IH4,"")</f>
        <v/>
      </c>
      <c r="JA4" s="36" t="str">
        <f t="shared" ref="JA4:JA14" si="102">IF(IK4&gt;0,IK4,"")</f>
        <v/>
      </c>
      <c r="JB4" s="36" t="str">
        <f t="shared" ref="JB4:JB14" si="103">IF(IL4&gt;0,IL4,"")</f>
        <v/>
      </c>
      <c r="JC4" s="36" t="str">
        <f t="shared" ref="JC4:JC14" si="104">IF(SUM(II4:IL4)-IM4&gt;0,SUM(II4:IL4)-IM4,"")</f>
        <v/>
      </c>
      <c r="JD4" s="36" t="str">
        <f t="shared" ref="JD4:JD14" si="105">IF(MAX(IZ4,JC4)&gt;0,MAX(IZ4,JC4),"")</f>
        <v/>
      </c>
      <c r="JE4" s="36" t="str">
        <f t="shared" ref="JE4:JE14" si="106">IF(IP4&gt;0,IP4,"")</f>
        <v/>
      </c>
      <c r="JF4" s="36" t="str">
        <f t="shared" ref="JF4:JF14" si="107">IF(IQ4&gt;0,IQ4,"")</f>
        <v/>
      </c>
      <c r="JG4" s="36" t="str">
        <f t="shared" ref="JG4:JG14" si="108">IF(SUM(IN4:IQ4)-IR4&gt;0,SUM(IN4:IQ4)-IR4,"")</f>
        <v/>
      </c>
      <c r="JH4" s="36" t="str">
        <f t="shared" ref="JH4:JH14" si="109">IF(IU4&gt;0,IU4,"")</f>
        <v/>
      </c>
      <c r="JI4" s="36" t="str">
        <f t="shared" ref="JI4:JI14" si="110">IF(IV4&gt;0,IV4,"")</f>
        <v/>
      </c>
      <c r="JJ4" s="36" t="str">
        <f t="shared" ref="JJ4:JJ14" si="111">IF(SUM(IS4:IV4)-IW4&gt;0,SUM(IS4:IV4)-IW4,"")</f>
        <v/>
      </c>
      <c r="JK4" s="36" t="str">
        <f t="shared" ref="JK4:JK14" si="112">IF(SUM(JD4,JG4,JJ4)&gt;0,SUM(JD4,JG4,JJ4),"")</f>
        <v/>
      </c>
      <c r="JL4" s="16">
        <v>16.600000000000001</v>
      </c>
      <c r="JM4" s="16">
        <v>9.3000000000000007</v>
      </c>
      <c r="JN4" s="16">
        <v>14.9</v>
      </c>
      <c r="JO4" s="16">
        <v>15.06</v>
      </c>
      <c r="JP4" s="16">
        <v>0</v>
      </c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>
        <v>16.399999999999999</v>
      </c>
      <c r="KB4" s="16">
        <v>9.1999999999999993</v>
      </c>
      <c r="KC4" s="16">
        <v>14.9</v>
      </c>
      <c r="KD4" s="16">
        <v>15.25</v>
      </c>
      <c r="KE4" s="16">
        <v>0</v>
      </c>
      <c r="KF4" s="11">
        <f t="shared" ref="KF4:KF14" si="113">IF(JN4&gt;0,JN4,"")</f>
        <v>14.9</v>
      </c>
      <c r="KG4" s="11">
        <f t="shared" ref="KG4:KG14" si="114">IF(JO4&gt;0,JO4,"")</f>
        <v>15.06</v>
      </c>
      <c r="KH4" s="11">
        <f t="shared" ref="KH4:KH14" si="115">IF(SUM(JL4:JO4)-JP4&gt;0,SUM(JL4:JO4)-JP4,"")</f>
        <v>55.860000000000007</v>
      </c>
      <c r="KI4" s="11" t="str">
        <f t="shared" ref="KI4:KI14" si="116">IF(JS4&gt;0,JS4,"")</f>
        <v/>
      </c>
      <c r="KJ4" s="11" t="str">
        <f t="shared" ref="KJ4:KJ14" si="117">IF(JT4&gt;0,JT4,"")</f>
        <v/>
      </c>
      <c r="KK4" s="11" t="str">
        <f t="shared" ref="KK4:KK14" si="118">IF(SUM(JQ4:JT4)-JU4&gt;0,SUM(JQ4:JT4)-JU4,"")</f>
        <v/>
      </c>
      <c r="KL4" s="11">
        <f t="shared" ref="KL4:KL14" si="119">IF(MAX(KH4,KK4)&gt;0,MAX(KH4,KK4),"")</f>
        <v>55.860000000000007</v>
      </c>
      <c r="KM4" s="11" t="str">
        <f t="shared" ref="KM4:KM14" si="120">IF(JX4&gt;0,JX4,"")</f>
        <v/>
      </c>
      <c r="KN4" s="11" t="str">
        <f t="shared" ref="KN4:KN14" si="121">IF(JY4&gt;0,JY4,"")</f>
        <v/>
      </c>
      <c r="KO4" s="11" t="str">
        <f t="shared" ref="KO4:KO14" si="122">IF(SUM(JV4:JY4)-JZ4&gt;0,SUM(JV4:JY4)-JZ4,"")</f>
        <v/>
      </c>
      <c r="KP4" s="11">
        <f t="shared" ref="KP4:KP14" si="123">IF(KC4&gt;0,KC4,"")</f>
        <v>14.9</v>
      </c>
      <c r="KQ4" s="11">
        <f t="shared" ref="KQ4:KQ14" si="124">IF(KD4&gt;0,KD4,"")</f>
        <v>15.25</v>
      </c>
      <c r="KR4" s="11">
        <f t="shared" ref="KR4:KR14" si="125">IF(SUM(KA4:KD4)-KE4&gt;0,SUM(KA4:KD4)-KE4,"")</f>
        <v>55.75</v>
      </c>
      <c r="KS4" s="11">
        <f t="shared" ref="KS4:KS14" si="126">IF(SUM(KL4,KO4,KR4)&gt;0,SUM(KL4,KO4,KR4),"")</f>
        <v>111.61000000000001</v>
      </c>
      <c r="KT4" s="15">
        <v>16.2</v>
      </c>
      <c r="KU4" s="15">
        <v>9.4</v>
      </c>
      <c r="KV4" s="15">
        <v>14.9</v>
      </c>
      <c r="KW4" s="15">
        <v>15.05</v>
      </c>
      <c r="KX4" s="15">
        <v>0</v>
      </c>
      <c r="KY4" s="15">
        <v>16.3</v>
      </c>
      <c r="KZ4" s="15">
        <v>9.5</v>
      </c>
      <c r="LA4" s="15">
        <v>14.9</v>
      </c>
      <c r="LB4" s="15">
        <v>15.52</v>
      </c>
      <c r="LC4" s="15">
        <v>0</v>
      </c>
      <c r="LD4" s="15">
        <v>15.6</v>
      </c>
      <c r="LE4" s="15">
        <v>9.4</v>
      </c>
      <c r="LF4" s="15">
        <v>14.5</v>
      </c>
      <c r="LG4" s="15">
        <v>15.01</v>
      </c>
      <c r="LH4" s="15">
        <v>0</v>
      </c>
      <c r="LI4" s="15">
        <v>16</v>
      </c>
      <c r="LJ4" s="15">
        <v>9.6</v>
      </c>
      <c r="LK4" s="15">
        <v>14.9</v>
      </c>
      <c r="LL4" s="15">
        <v>15.28</v>
      </c>
      <c r="LM4" s="15">
        <v>0</v>
      </c>
      <c r="LN4" s="36">
        <f t="shared" ref="LN4:LN14" si="127">IF(KV4&gt;0,KV4,"")</f>
        <v>14.9</v>
      </c>
      <c r="LO4" s="36">
        <f t="shared" ref="LO4:LO14" si="128">IF(KW4&gt;0,KW4,"")</f>
        <v>15.05</v>
      </c>
      <c r="LP4" s="36">
        <f t="shared" ref="LP4:LP14" si="129">IF(SUM(KT4:KW4)-KX4&gt;0,SUM(KT4:KW4)-KX4,"")</f>
        <v>55.55</v>
      </c>
      <c r="LQ4" s="36">
        <f t="shared" ref="LQ4:LQ14" si="130">IF(LA4&gt;0,LA4,"")</f>
        <v>14.9</v>
      </c>
      <c r="LR4" s="36">
        <f t="shared" ref="LR4:LR14" si="131">IF(LB4&gt;0,LB4,"")</f>
        <v>15.52</v>
      </c>
      <c r="LS4" s="36">
        <f t="shared" ref="LS4:LS14" si="132">IF(SUM(KY4:LB4)-LC4&gt;0,SUM(KY4:LB4)-LC4,"")</f>
        <v>56.22</v>
      </c>
      <c r="LT4" s="36">
        <f t="shared" ref="LT4:LT14" si="133">IF(MAX(LP4,LS4)&gt;0,MAX(LP4,LS4),"")</f>
        <v>56.22</v>
      </c>
      <c r="LU4" s="36">
        <f t="shared" ref="LU4:LU14" si="134">IF(LF4&gt;0,LF4,"")</f>
        <v>14.5</v>
      </c>
      <c r="LV4" s="36">
        <f t="shared" ref="LV4:LV14" si="135">IF(LG4&gt;0,LG4,"")</f>
        <v>15.01</v>
      </c>
      <c r="LW4" s="36">
        <f t="shared" ref="LW4:LW14" si="136">IF(SUM(LD4:LG4)-LH4&gt;0,SUM(LD4:LG4)-LH4,"")</f>
        <v>54.51</v>
      </c>
      <c r="LX4" s="36">
        <f t="shared" ref="LX4:LX14" si="137">IF(LK4&gt;0,LK4,"")</f>
        <v>14.9</v>
      </c>
      <c r="LY4" s="36">
        <f t="shared" ref="LY4:LY14" si="138">IF(LL4&gt;0,LL4,"")</f>
        <v>15.28</v>
      </c>
      <c r="LZ4" s="36">
        <f t="shared" ref="LZ4:LZ14" si="139">IF(SUM(LI4:LL4)-LM4&gt;0,SUM(LI4:LL4)-LM4,"")</f>
        <v>55.78</v>
      </c>
      <c r="MA4" s="36">
        <f t="shared" ref="MA4:MA14" si="140">IF(SUM(LT4,LW4,LZ4)&gt;0,SUM(LT4,LW4,LZ4),"")</f>
        <v>166.51</v>
      </c>
      <c r="MB4" s="16">
        <v>15.5</v>
      </c>
      <c r="MC4" s="16">
        <v>9.5</v>
      </c>
      <c r="MD4" s="16">
        <v>14.9</v>
      </c>
      <c r="ME4" s="16">
        <v>14.84</v>
      </c>
      <c r="MF4" s="16">
        <v>0</v>
      </c>
      <c r="MG4" s="16">
        <v>16.3</v>
      </c>
      <c r="MH4" s="16">
        <v>9.5</v>
      </c>
      <c r="MI4" s="16">
        <v>14.9</v>
      </c>
      <c r="MJ4" s="16">
        <v>15.08</v>
      </c>
      <c r="MK4" s="16">
        <v>0</v>
      </c>
      <c r="ML4" s="16">
        <v>16.2</v>
      </c>
      <c r="MM4" s="16">
        <v>9.1</v>
      </c>
      <c r="MN4" s="16">
        <v>14.9</v>
      </c>
      <c r="MO4" s="16">
        <v>15.29</v>
      </c>
      <c r="MP4" s="16">
        <v>0</v>
      </c>
      <c r="MQ4" s="16">
        <v>16.3</v>
      </c>
      <c r="MR4" s="16">
        <v>10</v>
      </c>
      <c r="MS4" s="16">
        <v>15.5</v>
      </c>
      <c r="MT4" s="16">
        <v>15.01</v>
      </c>
      <c r="MU4" s="16">
        <v>0</v>
      </c>
      <c r="MV4" s="11">
        <f t="shared" ref="MV4:MV14" si="141">IF(MD4&gt;0,MD4,"")</f>
        <v>14.9</v>
      </c>
      <c r="MW4" s="11">
        <f t="shared" ref="MW4:MW14" si="142">IF(ME4&gt;0,ME4,"")</f>
        <v>14.84</v>
      </c>
      <c r="MX4" s="11">
        <f t="shared" ref="MX4:MX14" si="143">IF(SUM(MB4:ME4)-MF4&gt;0,SUM(MB4:ME4)-MF4,"")</f>
        <v>54.739999999999995</v>
      </c>
      <c r="MY4" s="11">
        <f t="shared" ref="MY4:MY14" si="144">IF(MI4&gt;0,MI4,"")</f>
        <v>14.9</v>
      </c>
      <c r="MZ4" s="11">
        <f t="shared" ref="MZ4:MZ14" si="145">IF(MJ4&gt;0,MJ4,"")</f>
        <v>15.08</v>
      </c>
      <c r="NA4" s="11">
        <f t="shared" ref="NA4:NA14" si="146">IF(SUM(MG4:MJ4)-MK4&gt;0,SUM(MG4:MJ4)-MK4,"")</f>
        <v>55.78</v>
      </c>
      <c r="NB4" s="11">
        <f t="shared" ref="NB4:NB14" si="147">IF(MAX(MX4,NA4)&gt;0,MAX(MX4,NA4),"")</f>
        <v>55.78</v>
      </c>
      <c r="NC4" s="11">
        <f t="shared" ref="NC4:NC14" si="148">IF(MN4&gt;0,MN4,"")</f>
        <v>14.9</v>
      </c>
      <c r="ND4" s="11">
        <f t="shared" ref="ND4:ND14" si="149">IF(MO4&gt;0,MO4,"")</f>
        <v>15.29</v>
      </c>
      <c r="NE4" s="11">
        <f t="shared" ref="NE4:NE14" si="150">IF(SUM(ML4:MO4)-MP4&gt;0,SUM(ML4:MO4)-MP4,"")</f>
        <v>55.489999999999995</v>
      </c>
      <c r="NF4" s="11">
        <f t="shared" ref="NF4:NF14" si="151">IF(MS4&gt;0,MS4,"")</f>
        <v>15.5</v>
      </c>
      <c r="NG4" s="11">
        <f t="shared" ref="NG4:NG14" si="152">IF(MT4&gt;0,MT4,"")</f>
        <v>15.01</v>
      </c>
      <c r="NH4" s="11">
        <f t="shared" ref="NH4:NH14" si="153">IF(SUM(MQ4:MT4)-MU4&gt;0,SUM(MQ4:MT4)-MU4,"")</f>
        <v>56.809999999999995</v>
      </c>
      <c r="NI4" s="11">
        <f t="shared" ref="NI4:NI14" si="154">IF(SUM(NB4,NE4,NH4)&gt;0,SUM(NB4,NE4,NH4),"")</f>
        <v>168.07999999999998</v>
      </c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>
        <v>16.3</v>
      </c>
      <c r="NZ4" s="15">
        <v>9</v>
      </c>
      <c r="OA4" s="15">
        <v>14.5</v>
      </c>
      <c r="OB4" s="15">
        <v>15.33</v>
      </c>
      <c r="OC4" s="15">
        <v>0</v>
      </c>
      <c r="OD4" s="36" t="str">
        <f t="shared" ref="OD4:OD14" si="155">IF(NL4&gt;0,NL4,"")</f>
        <v/>
      </c>
      <c r="OE4" s="36" t="str">
        <f t="shared" ref="OE4:OE14" si="156">IF(NM4&gt;0,NM4,"")</f>
        <v/>
      </c>
      <c r="OF4" s="36" t="str">
        <f t="shared" ref="OF4:OF14" si="157">IF(SUM(NJ4:NM4)-NN4&gt;0,SUM(NJ4:NM4)-NN4,"")</f>
        <v/>
      </c>
      <c r="OG4" s="36" t="str">
        <f t="shared" ref="OG4:OG14" si="158">IF(NQ4&gt;0,NQ4,"")</f>
        <v/>
      </c>
      <c r="OH4" s="36" t="str">
        <f t="shared" ref="OH4:OH14" si="159">IF(NR4&gt;0,NR4,"")</f>
        <v/>
      </c>
      <c r="OI4" s="36" t="str">
        <f t="shared" ref="OI4:OI14" si="160">IF(SUM(NO4:NR4)-NS4&gt;0,SUM(NO4:NR4)-NS4,"")</f>
        <v/>
      </c>
      <c r="OJ4" s="36" t="str">
        <f t="shared" ref="OJ4:OJ14" si="161">IF(MAX(OF4,OI4)&gt;0,MAX(OF4,OI4),"")</f>
        <v/>
      </c>
      <c r="OK4" s="36" t="str">
        <f t="shared" ref="OK4:OK14" si="162">IF(NV4&gt;0,NV4,"")</f>
        <v/>
      </c>
      <c r="OL4" s="36" t="str">
        <f t="shared" ref="OL4:OL14" si="163">IF(NW4&gt;0,NW4,"")</f>
        <v/>
      </c>
      <c r="OM4" s="36" t="str">
        <f t="shared" ref="OM4:OM14" si="164">IF(SUM(NT4:NW4)-NX4&gt;0,SUM(NT4:NW4)-NX4,"")</f>
        <v/>
      </c>
      <c r="ON4" s="36">
        <f t="shared" ref="ON4:ON14" si="165">IF(OA4&gt;0,OA4,"")</f>
        <v>14.5</v>
      </c>
      <c r="OO4" s="36">
        <f t="shared" ref="OO4:OO14" si="166">IF(OB4&gt;0,OB4,"")</f>
        <v>15.33</v>
      </c>
      <c r="OP4" s="36">
        <f t="shared" ref="OP4:OP14" si="167">IF(SUM(NY4:OB4)-OC4&gt;0,SUM(NY4:OB4)-OC4,"")</f>
        <v>55.129999999999995</v>
      </c>
      <c r="OQ4" s="36">
        <f t="shared" ref="OQ4:OQ14" si="168">IF(SUM(OJ4,OM4,OP4)&gt;0,SUM(OJ4,OM4,OP4),"")</f>
        <v>55.129999999999995</v>
      </c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6"/>
      <c r="PJ4" s="16"/>
      <c r="PK4" s="16"/>
      <c r="PL4" s="11" t="str">
        <f t="shared" ref="PL4:PL14" si="169">IF(OT4&gt;0,OT4,"")</f>
        <v/>
      </c>
      <c r="PM4" s="11" t="str">
        <f t="shared" ref="PM4:PM14" si="170">IF(OU4&gt;0,OU4,"")</f>
        <v/>
      </c>
      <c r="PN4" s="11" t="str">
        <f t="shared" ref="PN4:PN14" si="171">IF(SUM(OR4:OU4)-OV4&gt;0,SUM(OR4:OU4)-OV4,"")</f>
        <v/>
      </c>
      <c r="PO4" s="11" t="str">
        <f t="shared" ref="PO4:PO14" si="172">IF(OY4&gt;0,OY4,"")</f>
        <v/>
      </c>
      <c r="PP4" s="11" t="str">
        <f t="shared" ref="PP4:PP14" si="173">IF(OZ4&gt;0,OZ4,"")</f>
        <v/>
      </c>
      <c r="PQ4" s="11" t="str">
        <f t="shared" ref="PQ4:PQ14" si="174">IF(SUM(OW4:OZ4)-PA4&gt;0,SUM(OW4:OZ4)-PA4,"")</f>
        <v/>
      </c>
      <c r="PR4" s="11" t="str">
        <f t="shared" ref="PR4:PR14" si="175">IF(MAX(PN4,PQ4)&gt;0,MAX(PN4,PQ4),"")</f>
        <v/>
      </c>
      <c r="PS4" s="11" t="str">
        <f t="shared" ref="PS4:PS14" si="176">IF(PD4&gt;0,PD4,"")</f>
        <v/>
      </c>
      <c r="PT4" s="11" t="str">
        <f t="shared" ref="PT4:PT14" si="177">IF(PE4&gt;0,PE4,"")</f>
        <v/>
      </c>
      <c r="PU4" s="11" t="str">
        <f t="shared" ref="PU4:PU14" si="178">IF(SUM(PB4:PE4)-PF4&gt;0,SUM(PB4:PE4)-PF4,"")</f>
        <v/>
      </c>
      <c r="PV4" s="11" t="str">
        <f t="shared" ref="PV4:PV14" si="179">IF(PI4&gt;0,PI4,"")</f>
        <v/>
      </c>
      <c r="PW4" s="11" t="str">
        <f t="shared" ref="PW4:PW14" si="180">IF(PJ4&gt;0,PJ4,"")</f>
        <v/>
      </c>
      <c r="PX4" s="11" t="str">
        <f t="shared" ref="PX4:PX14" si="181">IF(SUM(PG4:PJ4)-PK4&gt;0,SUM(PG4:PJ4)-PK4,"")</f>
        <v/>
      </c>
      <c r="PY4" s="11" t="str">
        <f t="shared" ref="PY4:PY14" si="182">IF(SUM(PR4,PU4,PX4)&gt;0,SUM(PR4,PU4,PX4),"")</f>
        <v/>
      </c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15"/>
      <c r="QR4" s="15"/>
      <c r="QS4" s="15"/>
      <c r="QT4" s="36" t="str">
        <f t="shared" ref="QT4:QT14" si="183">IF(QB4&gt;0,QB4,"")</f>
        <v/>
      </c>
      <c r="QU4" s="36" t="str">
        <f t="shared" ref="QU4:QU14" si="184">IF(QC4&gt;0,QC4,"")</f>
        <v/>
      </c>
      <c r="QV4" s="36" t="str">
        <f t="shared" ref="QV4:QV14" si="185">IF(SUM(PZ4:QC4)-QD4&gt;0,SUM(PZ4:QC4)-QD4,"")</f>
        <v/>
      </c>
      <c r="QW4" s="36" t="str">
        <f t="shared" ref="QW4:QW14" si="186">IF(QG4&gt;0,QG4,"")</f>
        <v/>
      </c>
      <c r="QX4" s="36" t="str">
        <f t="shared" ref="QX4:QX14" si="187">IF(QH4&gt;0,QH4,"")</f>
        <v/>
      </c>
      <c r="QY4" s="36" t="str">
        <f t="shared" ref="QY4:QY14" si="188">IF(SUM(QE4:QH4)-QI4&gt;0,SUM(QE4:QH4)-QI4,"")</f>
        <v/>
      </c>
      <c r="QZ4" s="36" t="str">
        <f t="shared" ref="QZ4:QZ14" si="189">IF(MAX(QV4,QY4)&gt;0,MAX(QV4,QY4),"")</f>
        <v/>
      </c>
      <c r="RA4" s="36" t="str">
        <f t="shared" ref="RA4:RA14" si="190">IF(QL4&gt;0,QL4,"")</f>
        <v/>
      </c>
      <c r="RB4" s="36" t="str">
        <f t="shared" ref="RB4:RB14" si="191">IF(QM4&gt;0,QM4,"")</f>
        <v/>
      </c>
      <c r="RC4" s="36" t="str">
        <f t="shared" ref="RC4:RC14" si="192">IF(SUM(QJ4:QM4)-QN4&gt;0,SUM(QJ4:QM4)-QN4,"")</f>
        <v/>
      </c>
      <c r="RD4" s="36" t="str">
        <f t="shared" ref="RD4:RD14" si="193">IF(QQ4&gt;0,QQ4,"")</f>
        <v/>
      </c>
      <c r="RE4" s="36" t="str">
        <f t="shared" ref="RE4:RE14" si="194">IF(QR4&gt;0,QR4,"")</f>
        <v/>
      </c>
      <c r="RF4" s="36" t="str">
        <f t="shared" ref="RF4:RF14" si="195">IF(SUM(QO4:QR4)-QS4&gt;0,SUM(QO4:QR4)-QS4,"")</f>
        <v/>
      </c>
      <c r="RG4" s="36" t="str">
        <f t="shared" ref="RG4:RG14" si="196">IF(SUM(QZ4,RC4,RF4)&gt;0,SUM(QZ4,RC4,RF4),"")</f>
        <v/>
      </c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6"/>
      <c r="RZ4" s="16"/>
      <c r="SA4" s="16"/>
      <c r="SB4" s="11" t="str">
        <f t="shared" ref="SB4:SB14" si="197">IF(RJ4&gt;0,RJ4,"")</f>
        <v/>
      </c>
      <c r="SC4" s="11" t="str">
        <f t="shared" ref="SC4:SC14" si="198">IF(RK4&gt;0,RK4,"")</f>
        <v/>
      </c>
      <c r="SD4" s="11" t="str">
        <f t="shared" ref="SD4:SD14" si="199">IF(SUM(RH4:RK4)-RL4&gt;0,SUM(RH4:RK4)-RL4,"")</f>
        <v/>
      </c>
      <c r="SE4" s="11" t="str">
        <f t="shared" ref="SE4:SE14" si="200">IF(RO4&gt;0,RO4,"")</f>
        <v/>
      </c>
      <c r="SF4" s="11" t="str">
        <f t="shared" ref="SF4:SF14" si="201">IF(RP4&gt;0,RP4,"")</f>
        <v/>
      </c>
      <c r="SG4" s="11" t="str">
        <f t="shared" ref="SG4:SG14" si="202">IF(SUM(RM4:RP4)-RQ4&gt;0,SUM(RM4:RP4)-RQ4,"")</f>
        <v/>
      </c>
      <c r="SH4" s="11" t="str">
        <f t="shared" ref="SH4:SH14" si="203">IF(MAX(SD4,SG4)&gt;0,MAX(SD4,SG4),"")</f>
        <v/>
      </c>
      <c r="SI4" s="11" t="str">
        <f t="shared" ref="SI4:SI14" si="204">IF(RT4&gt;0,RT4,"")</f>
        <v/>
      </c>
      <c r="SJ4" s="11" t="str">
        <f t="shared" ref="SJ4:SJ14" si="205">IF(RU4&gt;0,RU4,"")</f>
        <v/>
      </c>
      <c r="SK4" s="11" t="str">
        <f t="shared" ref="SK4:SK14" si="206">IF(SUM(RR4:RU4)-RV4&gt;0,SUM(RR4:RU4)-RV4,"")</f>
        <v/>
      </c>
      <c r="SL4" s="11" t="str">
        <f t="shared" ref="SL4:SL14" si="207">IF(RY4&gt;0,RY4,"")</f>
        <v/>
      </c>
      <c r="SM4" s="11" t="str">
        <f t="shared" ref="SM4:SM14" si="208">IF(RZ4&gt;0,RZ4,"")</f>
        <v/>
      </c>
      <c r="SN4" s="11" t="str">
        <f t="shared" ref="SN4:SN14" si="209">IF(SUM(RW4:RZ4)-SA4&gt;0,SUM(RW4:RZ4)-SA4,"")</f>
        <v/>
      </c>
      <c r="SO4" s="11" t="str">
        <f t="shared" ref="SO4:SO14" si="210">IF(SUM(SH4,SK4,SN4)&gt;0,SUM(SH4,SK4,SN4),"")</f>
        <v/>
      </c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15"/>
      <c r="TH4" s="15"/>
      <c r="TI4" s="15"/>
      <c r="TJ4" s="36" t="str">
        <f t="shared" ref="TJ4:TJ14" si="211">IF(SR4&gt;0,SR4,"")</f>
        <v/>
      </c>
      <c r="TK4" s="36" t="str">
        <f t="shared" ref="TK4:TK14" si="212">IF(SS4&gt;0,SS4,"")</f>
        <v/>
      </c>
      <c r="TL4" s="36" t="str">
        <f t="shared" ref="TL4:TL14" si="213">IF(SUM(SP4:SS4)-ST4&gt;0,SUM(SP4:SS4)-ST4,"")</f>
        <v/>
      </c>
      <c r="TM4" s="36" t="str">
        <f t="shared" ref="TM4:TM14" si="214">IF(SW4&gt;0,SW4,"")</f>
        <v/>
      </c>
      <c r="TN4" s="36" t="str">
        <f t="shared" ref="TN4:TN14" si="215">IF(SX4&gt;0,SX4,"")</f>
        <v/>
      </c>
      <c r="TO4" s="36" t="str">
        <f t="shared" ref="TO4:TO14" si="216">IF(SUM(SU4:SX4)-SY4&gt;0,SUM(SU4:SX4)-SY4,"")</f>
        <v/>
      </c>
      <c r="TP4" s="36" t="str">
        <f t="shared" ref="TP4:TP14" si="217">IF(MAX(TL4,TO4)&gt;0,MAX(TL4,TO4),"")</f>
        <v/>
      </c>
      <c r="TQ4" s="36" t="str">
        <f t="shared" ref="TQ4:TQ14" si="218">IF(TB4&gt;0,TB4,"")</f>
        <v/>
      </c>
      <c r="TR4" s="36" t="str">
        <f t="shared" ref="TR4:TR14" si="219">IF(TC4&gt;0,TC4,"")</f>
        <v/>
      </c>
      <c r="TS4" s="36" t="str">
        <f t="shared" ref="TS4:TS14" si="220">IF(SUM(SZ4:TC4)-TD4&gt;0,SUM(SZ4:TC4)-TD4,"")</f>
        <v/>
      </c>
      <c r="TT4" s="36" t="str">
        <f t="shared" ref="TT4:TT14" si="221">IF(TG4&gt;0,TG4,"")</f>
        <v/>
      </c>
      <c r="TU4" s="36" t="str">
        <f t="shared" ref="TU4:TU14" si="222">IF(TH4&gt;0,TH4,"")</f>
        <v/>
      </c>
      <c r="TV4" s="36" t="str">
        <f t="shared" ref="TV4:TV14" si="223">IF(SUM(TE4:TH4)-TI4&gt;0,SUM(TE4:TH4)-TI4,"")</f>
        <v/>
      </c>
      <c r="TW4" s="36" t="str">
        <f t="shared" ref="TW4:TW14" si="224">IF(SUM(TP4,TS4,TV4)&gt;0,SUM(TP4,TS4,TV4),"")</f>
        <v/>
      </c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6"/>
      <c r="UP4" s="16"/>
      <c r="UQ4" s="16"/>
      <c r="UR4" s="11" t="str">
        <f t="shared" ref="UR4:UR14" si="225">IF(TZ4&gt;0,TZ4,"")</f>
        <v/>
      </c>
      <c r="US4" s="11" t="str">
        <f t="shared" ref="US4:US14" si="226">IF(UA4&gt;0,UA4,"")</f>
        <v/>
      </c>
      <c r="UT4" s="11" t="str">
        <f t="shared" ref="UT4:UT14" si="227">IF(SUM(TX4:UA4)-UB4&gt;0,SUM(TX4:UA4)-UB4,"")</f>
        <v/>
      </c>
      <c r="UU4" s="11" t="str">
        <f t="shared" ref="UU4:UU14" si="228">IF(UE4&gt;0,UE4,"")</f>
        <v/>
      </c>
      <c r="UV4" s="11" t="str">
        <f t="shared" ref="UV4:UV14" si="229">IF(UF4&gt;0,UF4,"")</f>
        <v/>
      </c>
      <c r="UW4" s="11" t="str">
        <f t="shared" ref="UW4:UW14" si="230">IF(SUM(UC4:UF4)-UG4&gt;0,SUM(UC4:UF4)-UG4,"")</f>
        <v/>
      </c>
      <c r="UX4" s="11" t="str">
        <f t="shared" ref="UX4:UX14" si="231">IF(MAX(UT4,UW4)&gt;0,MAX(UT4,UW4),"")</f>
        <v/>
      </c>
      <c r="UY4" s="11" t="str">
        <f t="shared" ref="UY4:UY14" si="232">IF(UJ4&gt;0,UJ4,"")</f>
        <v/>
      </c>
      <c r="UZ4" s="11" t="str">
        <f t="shared" ref="UZ4:UZ14" si="233">IF(UK4&gt;0,UK4,"")</f>
        <v/>
      </c>
      <c r="VA4" s="11" t="str">
        <f t="shared" ref="VA4:VA14" si="234">IF(SUM(UH4:UK4)-UL4&gt;0,SUM(UH4:UK4)-UL4,"")</f>
        <v/>
      </c>
      <c r="VB4" s="11" t="str">
        <f t="shared" ref="VB4:VB14" si="235">IF(UO4&gt;0,UO4,"")</f>
        <v/>
      </c>
      <c r="VC4" s="11" t="str">
        <f t="shared" ref="VC4:VC14" si="236">IF(UP4&gt;0,UP4,"")</f>
        <v/>
      </c>
      <c r="VD4" s="11" t="str">
        <f t="shared" ref="VD4:VD14" si="237">IF(SUM(UM4:UP4)-UQ4&gt;0,SUM(UM4:UP4)-UQ4,"")</f>
        <v/>
      </c>
      <c r="VE4" s="11" t="str">
        <f t="shared" ref="VE4:VE14" si="238">IF(SUM(UX4,VA4,VD4)&gt;0,SUM(UX4,VA4,VD4),"")</f>
        <v/>
      </c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15"/>
      <c r="VX4" s="15"/>
      <c r="VY4" s="15"/>
      <c r="VZ4" s="36" t="str">
        <f t="shared" ref="VZ4:VZ14" si="239">IF(VH4&gt;0,VH4,"")</f>
        <v/>
      </c>
      <c r="WA4" s="36" t="str">
        <f t="shared" ref="WA4:WA14" si="240">IF(VI4&gt;0,VI4,"")</f>
        <v/>
      </c>
      <c r="WB4" s="36" t="str">
        <f t="shared" ref="WB4:WB14" si="241">IF(SUM(VF4:VI4)-VJ4&gt;0,SUM(VF4:VI4)-VJ4,"")</f>
        <v/>
      </c>
      <c r="WC4" s="36" t="str">
        <f t="shared" ref="WC4:WC14" si="242">IF(VM4&gt;0,VM4,"")</f>
        <v/>
      </c>
      <c r="WD4" s="36" t="str">
        <f t="shared" ref="WD4:WD14" si="243">IF(VN4&gt;0,VN4,"")</f>
        <v/>
      </c>
      <c r="WE4" s="36" t="str">
        <f t="shared" ref="WE4:WE14" si="244">IF(SUM(VK4:VN4)-VO4&gt;0,SUM(VK4:VN4)-VO4,"")</f>
        <v/>
      </c>
      <c r="WF4" s="36" t="str">
        <f t="shared" ref="WF4:WF14" si="245">IF(MAX(WB4,WE4)&gt;0,MAX(WB4,WE4),"")</f>
        <v/>
      </c>
      <c r="WG4" s="36" t="str">
        <f t="shared" ref="WG4:WG14" si="246">IF(VR4&gt;0,VR4,"")</f>
        <v/>
      </c>
      <c r="WH4" s="36" t="str">
        <f t="shared" ref="WH4:WH14" si="247">IF(VS4&gt;0,VS4,"")</f>
        <v/>
      </c>
      <c r="WI4" s="36" t="str">
        <f t="shared" ref="WI4:WI14" si="248">IF(SUM(VP4:VS4)-VT4&gt;0,SUM(VP4:VS4)-VT4,"")</f>
        <v/>
      </c>
      <c r="WJ4" s="36" t="str">
        <f t="shared" ref="WJ4:WJ14" si="249">IF(VW4&gt;0,VW4,"")</f>
        <v/>
      </c>
      <c r="WK4" s="36" t="str">
        <f t="shared" ref="WK4:WK14" si="250">IF(VX4&gt;0,VX4,"")</f>
        <v/>
      </c>
      <c r="WL4" s="36" t="str">
        <f t="shared" ref="WL4:WL14" si="251">IF(SUM(VU4:VX4)-VY4&gt;0,SUM(VU4:VX4)-VY4,"")</f>
        <v/>
      </c>
      <c r="WM4" s="36" t="str">
        <f t="shared" ref="WM4:WM14" si="252">IF(SUM(WF4,WI4,WL4)&gt;0,SUM(WF4,WI4,WL4),"")</f>
        <v/>
      </c>
    </row>
    <row r="5" spans="1:611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75</v>
      </c>
      <c r="C5" s="4" t="s">
        <v>3</v>
      </c>
      <c r="D5" s="4">
        <v>2001</v>
      </c>
      <c r="E5" s="9">
        <f t="shared" si="0"/>
        <v>163.61001636100553</v>
      </c>
      <c r="F5" s="3" t="str">
        <f>IF(OR(AND(AI5&gt;=AS$17,AI5&lt;&gt;"",AK5&gt;=AS$21,AK5&lt;&gt;"",AH5=""),AND(AL5&gt;=AS$17,AL5&lt;&gt;"",AN5&gt;=AS$21,AN5&lt;&gt;"",AH5=""),AND(AP5&gt;=AS$17,AP5&lt;&gt;"",AR5&gt;=AS$21,AR5&lt;&gt;"",AH5=""),AND(BJ5&gt;=BT$17,BJ5&lt;&gt;"",BL5&gt;=BT$21,BL5&lt;&gt;"",BI5=""),AND(BM5&gt;=BT$17,BM5&lt;&gt;"",BO5&gt;=BT$21,BO5&lt;&gt;"",BI5=""),AND(BQ5&gt;=BT$17,BQ5&lt;&gt;"",BS5&gt;=BT$21,BS5&lt;&gt;"",BI5=""),AND(CK5&gt;=CU$17,CK5&lt;&gt;"",CM5&gt;=CU$21,CM5&lt;&gt;"",CJ5=""),AND(CN5&gt;=CU$17,CN5&lt;&gt;"",CP5&gt;=CU$21,CP5&lt;&gt;"",CJ5=""),AND(CR5&gt;=CU$17,CR5&lt;&gt;"",CT5&gt;=CU$21,CT5&lt;&gt;"",CJ5=""),AND(DR5&gt;=EE$17,DR5&lt;&gt;"",DT5&gt;=EE$21,DT5&lt;&gt;""),AND(DU5&gt;=EE$17,DU5&lt;&gt;"",DW5&gt;=EE$21,DW5&lt;&gt;""),AND(DY5&gt;=EE$17,DY5&lt;&gt;"",EA5&gt;=EE$21,EA5&lt;&gt;""),AND(EB5&gt;=EE$17,EB5&lt;&gt;"",ED5&gt;=EE$21,ED5&lt;&gt;""),AND(EZ5&gt;=FM$17,EZ5&lt;&gt;"",FB5&gt;=FM$21,FB5&lt;&gt;""),AND(FC5&gt;=FM$17,FC5&lt;&gt;"",FE5&gt;=FM$21,FE5&lt;&gt;""),AND(FG5&gt;=FM$17,FG5&lt;&gt;"",FI5&gt;=FM$21,FI5&lt;&gt;""),AND(FJ5&gt;=FM$17,FJ5&lt;&gt;"",FL5&gt;=FM$21,FL5&lt;&gt;""),AND(GH5&gt;=GU$17,GH5&lt;&gt;"",GJ5&gt;=GU$21,GJ5&lt;&gt;""),AND(GK5&gt;=GU$17,GK5&lt;&gt;"",GM5&gt;=GU$21,GM5&lt;&gt;""),AND(GO5&gt;=GU$17,GO5&lt;&gt;"",GQ5&gt;=GU$21,GQ5&lt;&gt;""),AND(GR5&gt;=GU$17,GR5&lt;&gt;"",GT5&gt;=GU$21,GT5&lt;&gt;""),AND(HP5&gt;=IC$17,HP5&lt;&gt;"",HR5&gt;=IC$21,HR5&lt;&gt;""),AND(HS5&gt;=IC$17,HS5&lt;&gt;"",HU5&gt;=IC$21,HU5&lt;&gt;""),AND(HW5&gt;=IC$17,HW5&lt;&gt;"",HY5&gt;=IC$21,HY5&lt;&gt;""),AND(HZ5&gt;=IC$17,HZ5&lt;&gt;"",IB5&gt;=IC$21,IB5&lt;&gt;""),AND(IX5&gt;=JK$17,IX5&lt;&gt;"",IZ5&gt;=JK$21,IZ5&lt;&gt;""),AND(JA5&gt;=JK$17,JA5&lt;&gt;"",JC5&gt;=JK$21,JC5&lt;&gt;""),AND(JE5&gt;=JK$17,JE5&lt;&gt;"",JG5&gt;=JK$21,JG5&lt;&gt;""),AND(JH5&gt;=JK$17,JH5&lt;&gt;"",JJ5&gt;=JK$21,JJ5&lt;&gt;""),AND(KF5&gt;=KS$17,KF5&lt;&gt;"",KH5&gt;=KS$21,KH5&lt;&gt;""),AND(KI5&gt;=KS$17,KI5&lt;&gt;"",KK5&gt;=KS$21,KK5&lt;&gt;""),AND(KM5&gt;=KS$17,KM5&lt;&gt;"",KO5&gt;=KS$21,KO5&lt;&gt;""),AND(KP5&gt;=KS$17,KP5&lt;&gt;"",KR5&gt;=KS$21,KR5&lt;&gt;""),AND(LN5&gt;=MA$17,LN5&lt;&gt;"",LP5&gt;=MA$21,LP5&lt;&gt;""),AND(LQ5&gt;=MA$17,LQ5&lt;&gt;"",LS5&gt;=MA$21,LS5&lt;&gt;""),AND(LU5&gt;=MA$17,LU5&lt;&gt;"",LW5&gt;=MA$21,LW5&lt;&gt;""),AND(LX5&gt;=MA$17,LX5&lt;&gt;"",LZ5&gt;=MA$21,LZ5&lt;&gt;""),AND(MV5&gt;=NI$17,MV5&lt;&gt;"",MX5&gt;=NI$21,MX5&lt;&gt;""),AND(MY5&gt;=NI$17,MY5&lt;&gt;"",NA5&gt;=NI$21,NA5&lt;&gt;""),AND(NC5&gt;=NI$17,NC5&lt;&gt;"",NE5&gt;=NI$21,NE5&lt;&gt;""),AND(NF5&gt;=NI$17,NF5&lt;&gt;"",NH5&gt;=NI$21,NH5&lt;&gt;""),AND(OD5&gt;=OQ$17,OD5&lt;&gt;"",OF5&gt;=OQ$21,OF5&lt;&gt;""),AND(OG5&gt;=OQ$17,OG5&lt;&gt;"",OI5&gt;=OQ$21,OI5&lt;&gt;""),AND(OK5&gt;=OQ$17,OK5&lt;&gt;"",OM5&gt;=OQ$21,OM5&lt;&gt;""),AND(ON5&gt;=OQ$17,ON5&lt;&gt;"",OP5&gt;=OQ$21,OP5&lt;&gt;""),AND(PL5&gt;=PY$17,PL5&lt;&gt;"",PN5&gt;=PY$21,PN5&lt;&gt;""),AND(PO5&gt;=PY$17,PO5&lt;&gt;"",PQ5&gt;=PY$21,PQ5&lt;&gt;""),AND(PS5&gt;=PY$17,PS5&lt;&gt;"",PU5&gt;=PY$21,PU5&lt;&gt;""),AND(PV5&gt;=PY$17,PV5&lt;&gt;"",PX5&gt;=PY$21,PX5&lt;&gt;""),AND(QT5&gt;=RG$17,QT5&lt;&gt;"",QV5&gt;=RG$21,QV5&lt;&gt;""),AND(QW5&gt;=RG$17,QW5&lt;&gt;"",QY5&gt;=RG$21,QY5&lt;&gt;""),AND(RA5&gt;=RG$17,RA5&lt;&gt;"",RC5&gt;=RG$21,RC5&lt;&gt;""),AND(RD5&gt;=RG$17,RD5&lt;&gt;"",RF5&gt;=RG$21,RF5&lt;&gt;""),AND(SB5&gt;=SO$17,SB5&lt;&gt;"",SD5&gt;=SO$21,SD5&lt;&gt;""),AND(SE5&gt;=SO$17,SE5&lt;&gt;"",SG5&gt;=SO$21,SG5&lt;&gt;""),AND(SI5&gt;=SO$17,SI5&lt;&gt;"",SK5&gt;=SO$21,SK5&lt;&gt;""),AND(SL5&gt;=SO$17,SL5&lt;&gt;"",SN5&gt;=SO$21,SN5&lt;&gt;""),AND(TJ5&gt;=TW$17,TJ5&lt;&gt;"",TL5&gt;=TW$21,TL5&lt;&gt;""),AND(TM5&gt;=TW$17,TM5&lt;&gt;"",TO5&gt;=TW$21,TO5&lt;&gt;""),AND(TQ5&gt;=TW$17,TQ5&lt;&gt;"",TS5&gt;=TW$21,TXQ5&lt;&gt;""),AND(TT5&gt;=TW$17,TT5&lt;&gt;"",TV5&gt;=TW$21,TV5&lt;&gt;""),AND(UR5&gt;=VE$17,UR5&lt;&gt;"",UT5&gt;=VE$21,UT5&lt;&gt;""),AND(UU5&gt;=VE$17,UU5&lt;&gt;"",UW5&gt;=VE$21,UW5&lt;&gt;""),AND(UY5&gt;=VE$17,UY5&lt;&gt;"",VA5&gt;=VE$21,VA5&lt;&gt;""),AND(VB5&gt;=VE$17,VB5&lt;&gt;"",VD5&gt;=VE$21,VD5&lt;&gt;""),AND(VZ5&gt;=WM$17,VZ5&lt;&gt;"",WB5&gt;=WM$21,WB5&lt;&gt;""),AND(WC5&gt;=WM$17,WC5&lt;&gt;"",WE5&gt;=WM$21,WE5&lt;&gt;""),AND(WG5&gt;=WM$17,WG5&lt;&gt;"",WI5&gt;=WM$21,WI5&lt;&gt;""),AND(WJ5&gt;=WM$17,WJ5&lt;&gt;"",WL5&gt;=WM$21,WL5&lt;&gt;"")),"P","")</f>
        <v>P</v>
      </c>
      <c r="G5" s="3" t="str">
        <f>IF(OR(AND(AK5&gt;=AS$21,AK5&lt;&gt;"",AH5=""),AND(AN5&gt;=AS$21,AN5&lt;&gt;"",AH5=""),AND(AR5&gt;=AS$21,AR5&lt;&gt;"",AH5=""),AND(BL5&gt;=BT$21,BL5&lt;&gt;"",BI5=""),AND(BO5&gt;=BT$21,BO5&lt;&gt;"",BI5=""),AND(BS5&gt;=BT$21,BS5&lt;&gt;"",BI5=""),AND(CM5&gt;=CU$21,CM5&lt;&gt;"",CJ5=""),AND(CP5&gt;=CU$21,CP5&lt;&gt;"",CJ5=""),AND(CT5&gt;=CU$21,CT5&lt;&gt;"",CJ5=""),AND(DT5&gt;=EE$21,DT5&lt;&gt;""),AND(DW5&gt;=EE$21,DW5&lt;&gt;""),AND(EA5&gt;=EE$21,EA5&lt;&gt;""),AND(ED5&gt;=EE$21,ED5&lt;&gt;""),AND(FB5&gt;=FM$21,FB5&lt;&gt;""),AND(FE5&gt;=FM$21,FE5&lt;&gt;""),AND(FI5&gt;=FM$21,FI5&lt;&gt;""),AND(FL5&gt;=FM$21,FL5&lt;&gt;""),AND(GJ5&gt;=GU$21,GJ5&lt;&gt;""),AND(GM5&gt;=GU$21,GM5&lt;&gt;""),AND(GQ5&gt;=GU$21,GQ5&lt;&gt;""),AND(GT5&gt;=GU$21,GT5&lt;&gt;""),AND(HR5&gt;=IC$21,HR5&lt;&gt;""),AND(HU5&gt;=IC$21,HU5&lt;&gt;""),AND(HY5&gt;=IC$21,HY5&lt;&gt;""),AND(IB5&gt;=IC$21,IB5&lt;&gt;""),AND(IZ5&gt;=JK$21,IZ5&lt;&gt;""),AND(JC5&gt;=JK$21,JC5&lt;&gt;""),AND(JG5&gt;=JK$21,JG5&lt;&gt;""),AND(JJ5&gt;=JK$21,JJ5&lt;&gt;""),AND(KH5&gt;=KS$21,KH5&lt;&gt;""),AND(KK5&gt;=KS$21,KK5&lt;&gt;""),AND(KO5&gt;=KS$21,KO5&lt;&gt;""),AND(KR5&gt;=KS$21,KR5&lt;&gt;""),AND(LP5&gt;=MA$21,LP5&lt;&gt;""),AND(LS5&gt;=MA$21,LS5&lt;&gt;""),AND(LW5&gt;=MA$21,LW5&lt;&gt;""),AND(LZ5&gt;=MA$21,LZ5&lt;&gt;""),AND(MX5&gt;=NI$21,MX5&lt;&gt;""),AND(NA5&gt;=NI$21,NA5&lt;&gt;""),AND(NE5&gt;=NI$21,NE5&lt;&gt;""),AND(NH5&gt;=NI$21,NH5&lt;&gt;""),AND(OF5&gt;=OQ$21,OF5&lt;&gt;""),AND(OI5&gt;=OQ$21,OI5&lt;&gt;""),AND(OM5&gt;=OQ$21,OM5&lt;&gt;""),AND(OP5&gt;=OQ$21,OP5&lt;&gt;""),AND(PN5&gt;=PY$21,PN5&lt;&gt;""),AND(PQ5&gt;=PY$21,PQ5&lt;&gt;""),AND(PU5&gt;=PY$21,PU5&lt;&gt;""),AND(PX5&gt;=PY$21,PX5&lt;&gt;""),AND(QV5&gt;=RG$21,QV5&lt;&gt;""),AND(QY5&gt;=RG$21,QY5&lt;&gt;""),AND(RC5&gt;=RG$21,RC5&lt;&gt;""),AND(RF5&gt;=RG$21,RF5&lt;&gt;""),AND(SD5&gt;=SO$21,SD5&lt;&gt;""),AND(SG5&gt;=SO$21,SG5&lt;&gt;""),AND(SK5&gt;=SO$21,SK5&lt;&gt;""),AND(SN5&gt;=SO$21,SN5&lt;&gt;""),AND(TL5&gt;=TW$21,TL5&lt;&gt;""),AND(TO5&gt;=TW$21,TO5&lt;&gt;""),AND(TS5&gt;=TW$21,TXQ5&lt;&gt;""),AND(TV5&gt;=TW$21,TV5&lt;&gt;""),AND(UT5&gt;=VE$21,UT5&lt;&gt;""),AND(UW5&gt;=VE$21,UW5&lt;&gt;""),AND(VA5&gt;=VE$21,VA5&lt;&gt;""),AND(VD5&gt;=VE$21,VD5&lt;&gt;""),AND(WB5&gt;=WM$21,WB5&lt;&gt;""),AND(WE5&gt;=WM$21,WE5&lt;&gt;""),AND(WI5&gt;=WM$21,WI5&lt;&gt;""),AND(WL5&gt;=WM$21,WL5&lt;&gt;"")),"P","")</f>
        <v>P</v>
      </c>
      <c r="H5" s="32" t="str">
        <f>IF(AND(G5="P",F5=""),"No DD",IF(OR(AND(AI5&gt;=AS$20,AI5&lt;&gt;"",AK5&gt;=AS$24,AK5&lt;&gt;"",AH5=""),AND(AL5&gt;=AS$20,AL5&lt;&gt;"",AN5&gt;=AS$24,AN5&lt;&gt;"",AH5=""),AND(AP5&gt;=AS$20,AP5&lt;&gt;"",AR5&gt;=AS$24,AR5&lt;&gt;"",AH5=""),AND(BJ5&gt;=BT$20,BJ5&lt;&gt;"",BL5&gt;=BT$24,BL5&lt;&gt;"",BI5=""),AND(BM5&gt;=BT$20,BM5&lt;&gt;"",BO5&gt;=BT$24,BO5&lt;&gt;"",BI5=""),AND(BQ5&gt;=BT$20,BQ5&lt;&gt;"",BS5&gt;=BT$24,BS5&lt;&gt;"",BI5=""),AND(CK5&gt;=CU$20,CK5&lt;&gt;"",CM5&gt;=CU$24,CM5&lt;&gt;"",CJ5=""),AND(CN5&gt;=CU$20,CN5&lt;&gt;"",CP5&gt;=CU$24,CP5&lt;&gt;"",CJ5=""),AND(CR5&gt;=CU$20,CR5&lt;&gt;"",CT5&gt;=CU$24,CT5&lt;&gt;"",CJ5=""),AND(DR5&gt;=EE$20,DR5&lt;&gt;"",DT5&gt;=EE$24,DT5&lt;&gt;""),AND(DU5&gt;=EE$20,DU5&lt;&gt;"",DW5&gt;=EE$24,DW5&lt;&gt;""),AND(DY5&gt;=EE$20,DY5&lt;&gt;"",EA5&gt;=EE$24,EA5&lt;&gt;""),AND(EB5&gt;=EE$20,EB5&lt;&gt;"",ED5&gt;=EE$24,ED5&lt;&gt;""),AND(EZ5&gt;=FM$20,EZ5&lt;&gt;"",FB5&gt;=FM$24,FB5&lt;&gt;""),AND(FC5&gt;=FM$20,FC5&lt;&gt;"",FE5&gt;=FM$24,FE5&lt;&gt;""),AND(FG5&gt;=FM$20,FG5&lt;&gt;"",FI5&gt;=FM$24,FI5&lt;&gt;""),AND(FJ5&gt;=FM$20,FJ5&lt;&gt;"",FL5&gt;=FM$24,FL5&lt;&gt;""),AND(GH5&gt;=GU$20,GH5&lt;&gt;"",GJ5&gt;=GU$24,GJ5&lt;&gt;""),AND(GK5&gt;=GU$20,GK5&lt;&gt;"",GM5&gt;=GU$24,GM5&lt;&gt;""),AND(GO5&gt;=GU$20,GO5&lt;&gt;"",GQ5&gt;=GU$24,GQ5&lt;&gt;""),AND(GR5&gt;=GU$20,GR5&lt;&gt;"",GT5&gt;=GU$24,GT5&lt;&gt;""),AND(HP5&gt;=IC$20,HP5&lt;&gt;"",HR5&gt;=IC$24,HR5&lt;&gt;""),AND(HS5&gt;=IC$20,HS5&lt;&gt;"",HU5&gt;=IC$24,HU5&lt;&gt;""),AND(HW5&gt;=IC$20,HW5&lt;&gt;"",HY5&gt;=IC$24,HY5&lt;&gt;""),AND(HZ5&gt;=IC$20,HZ5&lt;&gt;"",IB5&gt;=IC$24,IB5&lt;&gt;""),AND(IX5&gt;=JK$20,IX5&lt;&gt;"",IZ5&gt;=JK$24,IZ5&lt;&gt;""),AND(JA5&gt;=JK$20,JA5&lt;&gt;"",JC5&gt;=JK$24,JC5&lt;&gt;""),AND(JE5&gt;=JK$20,JE5&lt;&gt;"",JG5&gt;=JK$24,JG5&lt;&gt;""),AND(JH5&gt;=JK$20,JH5&lt;&gt;"",JJ5&gt;=JK$24,JJ5&lt;&gt;""),AND(KF5&gt;=KS$20,KF5&lt;&gt;"",KH5&gt;=KS$24,KH5&lt;&gt;""),AND(KI5&gt;=KS$20,KI5&lt;&gt;"",KK5&gt;=KS$24,KK5&lt;&gt;""),AND(KM5&gt;=KS$20,KM5&lt;&gt;"",KO5&gt;=KS$24,KO5&lt;&gt;""),AND(KP5&gt;=KS$20,KP5&lt;&gt;"",KR5&gt;=KS$24,KR5&lt;&gt;""),AND(LN5&gt;=MA$20,LN5&lt;&gt;"",LP5&gt;=MA$24,LP5&lt;&gt;""),AND(LQ5&gt;=MA$20,LQ5&lt;&gt;"",LS5&gt;=MA$24,LS5&lt;&gt;""),AND(LU5&gt;=MA$20,LU5&lt;&gt;"",LW5&gt;=MA$24,LW5&lt;&gt;""),AND(LX5&gt;=MA$20,LX5&lt;&gt;"",LZ5&gt;=MA$24,LZ5&lt;&gt;""),AND(MV5&gt;=NI$20,MV5&lt;&gt;"",MX5&gt;=NI$24,MX5&lt;&gt;""),AND(MY5&gt;=NI$20,MY5&lt;&gt;"",NA5&gt;=NI$24,NA5&lt;&gt;""),AND(NC5&gt;=NI$20,NC5&lt;&gt;"",NE5&gt;=NI$24,NE5&lt;&gt;""),AND(NF5&gt;=NI$20,NF5&lt;&gt;"",NH5&gt;=NI$24,NH5&lt;&gt;""),AND(OD5&gt;=OQ$20,OD5&lt;&gt;"",OF5&gt;=OQ$24,OF5&lt;&gt;""),AND(OG5&gt;=OQ$20,OG5&lt;&gt;"",OI5&gt;=OQ$24,OI5&lt;&gt;""),AND(OK5&gt;=OQ$20,OK5&lt;&gt;"",OM5&gt;=OQ$24,OM5&lt;&gt;""),AND(ON5&gt;=OQ$20,ON5&lt;&gt;"",OP5&gt;=OQ$24,OP5&lt;&gt;""),AND(PL5&gt;=PY$20,PL5&lt;&gt;"",PN5&gt;=PY$24,PN5&lt;&gt;""),AND(PO5&gt;=PY$20,PO5&lt;&gt;"",PQ5&gt;=PY$24,PQ5&lt;&gt;""),AND(PS5&gt;=PY$20,PS5&lt;&gt;"",PU5&gt;=PY$24,PU5&lt;&gt;""),AND(PV5&gt;=PY$20,PV5&lt;&gt;"",PX5&gt;=PY$24,PX5&lt;&gt;""),AND(QT5&gt;=RG$20,QT5&lt;&gt;"",QV5&gt;=RG$24,QV5&lt;&gt;""),AND(QW5&gt;=RG$20,QW5&lt;&gt;"",QY5&gt;=RG$24,QY5&lt;&gt;""),AND(RA5&gt;=RG$20,RA5&lt;&gt;"",RC5&gt;=RG$24,RC5&lt;&gt;""),AND(RD5&gt;=RG$20,RD5&lt;&gt;"",RF5&gt;=RG$24,RF5&lt;&gt;""),AND(SB5&gt;=SO$20,SB5&lt;&gt;"",SD5&gt;=SO$24,SD5&lt;&gt;""),AND(SE5&gt;=SO$20,SE5&lt;&gt;"",SG5&gt;=SO$24,SG5&lt;&gt;""),AND(SI5&gt;=SO$20,SI5&lt;&gt;"",SK5&gt;=SO$24,SK5&lt;&gt;""),AND(SL5&gt;=SO$20,SL5&lt;&gt;"",SN5&gt;=SO$24,SN5&lt;&gt;""),AND(TJ5&gt;=TW$20,TJ5&lt;&gt;"",TL5&gt;=TW$24,TL5&lt;&gt;""),AND(TM5&gt;=TW$20,TM5&lt;&gt;"",TO5&gt;=TW$24,TO5&lt;&gt;""),AND(TQ5&gt;=TW$20,TQ5&lt;&gt;"",TS5&gt;=TW$344,TXQ5&lt;&gt;""),AND(TT5&gt;=TW$20,TT5&lt;&gt;"",TV5&gt;=TW$24,TV5&lt;&gt;""),AND(UR5&gt;=VE$20,UR5&lt;&gt;"",UT5&gt;=VE$24,UT5&lt;&gt;""),AND(UU5&gt;=VE$20,UU5&lt;&gt;"",UW5&gt;=VE$24,UW5&lt;&gt;""),AND(UY5&gt;=VE$20,UY5&lt;&gt;"",VA5&gt;=VE$24,VA5&lt;&gt;""),AND(VB5&gt;=VE$20,VB5&lt;&gt;"",VD5&gt;=VE$24,VD5&lt;&gt;""),AND(VZ5&gt;=WM$20,VZ5&lt;&gt;"",WB5&gt;=WM$24,WB5&lt;&gt;""),AND(WC5&gt;=WM$20,WC5&lt;&gt;"",WE5&gt;=WM$24,WE5&lt;&gt;""),AND(WG5&gt;=WM$20,WG5&lt;&gt;"",WI5&gt;=WM$24,WI5&lt;&gt;""),AND(WJ5&gt;=WM$20,WJ5&lt;&gt;"",WL5&gt;=WM$24,WL5&lt;&gt;"")),"Merit",IF(OR(AND(AI5&gt;=AS$19,AI5&lt;&gt;"",AK5&gt;=AS$23,AK5&lt;&gt;"",AH5=""),AND(AL5&gt;=AS$19,AL5&lt;&gt;"",AN5&gt;=AS$23,AN5&lt;&gt;"",AH5=""),AND(AP5&gt;=AS$19,AP5&lt;&gt;"",AR5&gt;=AS$23,AR5&lt;&gt;"",AH5=""),AND(BJ5&gt;=BT$19,BJ5&lt;&gt;"",BL5&gt;=BT$23,BL5&lt;&gt;"",BI5=""),AND(BM5&gt;=BT$19,BM5&lt;&gt;"",BO5&gt;=BT$23,BO5&lt;&gt;"",BI5=""),AND(BQ5&gt;=BT$19,BQ5&lt;&gt;"",BS5&gt;=BT$23,BS5&lt;&gt;"",BI5=""),AND(CK5&gt;=CU$19,CK5&lt;&gt;"",CM5&gt;=CU$23,CM5&lt;&gt;"",CJ5=""),AND(CN5&gt;=CU$19,CN5&lt;&gt;"",CP5&gt;=CU$23,CP5&lt;&gt;"",CJ5=""),AND(CR5&gt;=CU$19,CR5&lt;&gt;"",CT5&gt;=CU$23,CT5&lt;&gt;"",CJ5=""),AND(DR5&gt;=EE$19,DR5&lt;&gt;"",DT5&gt;=EE$23,DT5&lt;&gt;""),AND(DU5&gt;=EE$19,DU5&lt;&gt;"",DW5&gt;=EE$23,DW5&lt;&gt;""),AND(DY5&gt;=EE$19,DY5&lt;&gt;"",EA5&gt;=EE$23,EA5&lt;&gt;""),AND(EB5&gt;=EE$19,EB5&lt;&gt;"",ED5&gt;=EE$23,ED5&lt;&gt;""),AND(EZ5&gt;=FM$19,EZ5&lt;&gt;"",FB5&gt;=FM$23,FB5&lt;&gt;""),AND(FC5&gt;=FM$19,FC5&lt;&gt;"",FE5&gt;=FM$23,FE5&lt;&gt;""),AND(FG5&gt;=FM$19,FG5&lt;&gt;"",FI5&gt;=FM$23,FI5&lt;&gt;""),AND(FJ5&gt;=FM$19,FJ5&lt;&gt;"",FL5&gt;=FM$23,FL5&lt;&gt;""),AND(GH5&gt;=GU$19,GH5&lt;&gt;"",GJ5&gt;=GU$23,GJ5&lt;&gt;""),AND(GK5&gt;=GU$19,GK5&lt;&gt;"",GM5&gt;=GU$23,GM5&lt;&gt;""),AND(GO5&gt;=GU$19,GO5&lt;&gt;"",GQ5&gt;=GU$23,GQ5&lt;&gt;""),AND(GR5&gt;=GU$19,GR5&lt;&gt;"",GT5&gt;=GU$23,GT5&lt;&gt;""),AND(HP5&gt;=IC$19,HP5&lt;&gt;"",HR5&gt;=IC$23,HR5&lt;&gt;""),AND(HS5&gt;=IC$19,HS5&lt;&gt;"",HU5&gt;=IC$23,HU5&lt;&gt;""),AND(HW5&gt;=IC$19,HW5&lt;&gt;"",HY5&gt;=IC$23,HY5&lt;&gt;""),AND(HZ5&gt;=IC$19,HZ5&lt;&gt;"",IB5&gt;=IC$23,IB5&lt;&gt;""),AND(IX5&gt;=JK$19,IX5&lt;&gt;"",IZ5&gt;=JK$23,IZ5&lt;&gt;""),AND(JA5&gt;=JK$19,JA5&lt;&gt;"",JC5&gt;=JK$23,JC5&lt;&gt;""),AND(JE5&gt;=JK$19,JE5&lt;&gt;"",JG5&gt;=JK$23,JG5&lt;&gt;""),AND(JH5&gt;=JK$19,JH5&lt;&gt;"",JJ5&gt;=JK$23,JJ5&lt;&gt;""),AND(KF5&gt;=KS$19,KF5&lt;&gt;"",KH5&gt;=KS$23,KH5&lt;&gt;""),AND(KI5&gt;=KS$19,KI5&lt;&gt;"",KK5&gt;=KS$23,KK5&lt;&gt;""),AND(KM5&gt;=KS$19,KM5&lt;&gt;"",KO5&gt;=KS$23,KO5&lt;&gt;""),AND(KP5&gt;=KS$19,KP5&lt;&gt;"",KR5&gt;=KS$23,KR5&lt;&gt;""),AND(LN5&gt;=MA$19,LN5&lt;&gt;"",LP5&gt;=MA$23,LP5&lt;&gt;""),AND(LQ5&gt;=MA$19,LQ5&lt;&gt;"",LS5&gt;=MA$23,LS5&lt;&gt;""),AND(LU5&gt;=MA$19,LU5&lt;&gt;"",LW5&gt;=MA$23,LW5&lt;&gt;""),AND(LX5&gt;=MA$19,LX5&lt;&gt;"",LZ5&gt;=MA$23,LZ5&lt;&gt;""),AND(MV5&gt;=NI$19,MV5&lt;&gt;"",MX5&gt;=NI$23,MX5&lt;&gt;""),AND(MY5&gt;=NI$19,MY5&lt;&gt;"",NA5&gt;=NI$23,NA5&lt;&gt;""),AND(NC5&gt;=NI$19,NC5&lt;&gt;"",NE5&gt;=NI$23,NE5&lt;&gt;""),AND(NF5&gt;=NI$19,NF5&lt;&gt;"",NH5&gt;=NI$23,NH5&lt;&gt;""),AND(OD5&gt;=OQ$19,OD5&lt;&gt;"",OF5&gt;=OQ$23,OF5&lt;&gt;""),AND(OG5&gt;=OQ$19,OG5&lt;&gt;"",OI5&gt;=OQ$23,OI5&lt;&gt;""),AND(OK5&gt;=OQ$19,OK5&lt;&gt;"",OM5&gt;=OQ$23,OM5&lt;&gt;""),AND(ON5&gt;=OQ$19,ON5&lt;&gt;"",OP5&gt;=OQ$23,OP5&lt;&gt;""),AND(PL5&gt;=PY$19,PL5&lt;&gt;"",PN5&gt;=PY$23,PN5&lt;&gt;""),AND(PO5&gt;=PY$19,PO5&lt;&gt;"",PQ5&gt;=PY$23,PQ5&lt;&gt;""),AND(PS5&gt;=PY$19,PS5&lt;&gt;"",PU5&gt;=PY$23,PU5&lt;&gt;""),AND(PV5&gt;=PY$19,PV5&lt;&gt;"",PX5&gt;=PY$23,PX5&lt;&gt;""),AND(QT5&gt;=RG$19,QT5&lt;&gt;"",QV5&gt;=RG$23,QV5&lt;&gt;""),AND(QW5&gt;=RG$19,QW5&lt;&gt;"",QY5&gt;=RG$23,QY5&lt;&gt;""),AND(RA5&gt;=RG$19,RA5&lt;&gt;"",RC5&gt;=RG$23,RC5&lt;&gt;""),AND(RD5&gt;=RG$19,RD5&lt;&gt;"",RF5&gt;=RG$23,RF5&lt;&gt;""),AND(SB5&gt;=SO$19,SB5&lt;&gt;"",SD5&gt;=SO$23,SD5&lt;&gt;""),AND(SE5&gt;=SO$19,SE5&lt;&gt;"",SG5&gt;=SO$23,SG5&lt;&gt;""),AND(SI5&gt;=SO$19,SI5&lt;&gt;"",SK5&gt;=SO$23,SK5&lt;&gt;""),AND(SL5&gt;=SO$19,SL5&lt;&gt;"",SN5&gt;=SO$23,SN5&lt;&gt;""),AND(TJ5&gt;=TW$19,TJ5&lt;&gt;"",TL5&gt;=TW$23,TL5&lt;&gt;""),AND(TM5&gt;=TW$19,TM5&lt;&gt;"",TO5&gt;=TW$23,TO5&lt;&gt;""),AND(TQ5&gt;=TW$19,TQ5&lt;&gt;"",TS5&gt;=TW$23,TXQ5&lt;&gt;""),AND(TT5&gt;=TW$19,TT5&lt;&gt;"",TV5&gt;=TW$23,TV5&lt;&gt;""),AND(UR5&gt;=VE$19,UR5&lt;&gt;"",UT5&gt;=VE$23,UT5&lt;&gt;""),AND(UU5&gt;=VE$19,UU5&lt;&gt;"",UW5&gt;=VE$23,UW5&lt;&gt;""),AND(UY5&gt;=VE$19,UY5&lt;&gt;"",VA5&gt;=VE$23,VA5&lt;&gt;""),AND(VB5&gt;=VE$19,VB5&lt;&gt;"",VD5&gt;=VE$23,VD5&lt;&gt;""),AND(VZ5&gt;=WM$19,VZ5&lt;&gt;"",WB5&gt;=WM$23,WB5&lt;&gt;""),AND(WC5&gt;=WM$19,WC5&lt;&gt;"",WE5&gt;=WM$23,WE5&lt;&gt;""),AND(WG5&gt;=WM$19,WG5&lt;&gt;"",WI5&gt;=WM$23,WI5&lt;&gt;""),AND(WJ5&gt;=WM$19,WJ5&lt;&gt;"",WL5&gt;=WM$23,WL5&lt;&gt;"")),"Excellence",IF(I5="P","Worlds Team",IF(F5="P","National Team","")))))</f>
        <v>National Team</v>
      </c>
      <c r="I5" s="3" t="str">
        <f>IF(OR(AND(AI5&gt;=AS$18,AI5&lt;&gt;"",AK5&gt;=AS$22,AK5&lt;&gt;"",AH5=""),AND(AL5&gt;=AS$18,AL5&lt;&gt;"",AN5&gt;=AS$22,AN5&lt;&gt;"",AH5=""),AND(AP5&gt;=AS$18,AP5&lt;&gt;"",AR5&gt;=AS$22,AR5&lt;&gt;"",AH5=""),AND(BJ5&gt;=BT$18,BJ5&lt;&gt;"",BL5&gt;=BT$22,BL5&lt;&gt;"",BI5=""),AND(BM5&gt;=BT$18,BM5&lt;&gt;"",BO5&gt;=BT$22,BO5&lt;&gt;"",BI5=""),AND(BQ5&gt;=BT$18,BQ5&lt;&gt;"",BS5&gt;=BT$22,BS5&lt;&gt;"",BI5=""),AND(CK5&gt;=CU$18,CK5&lt;&gt;"",CM5&gt;=CU$22,CM5&lt;&gt;"",CJ5=""),AND(CN5&gt;=CU$18,CN5&lt;&gt;"",CP5&gt;=CU$22,CP5&lt;&gt;"",CJ5=""),AND(CR5&gt;=CU$18,CR5&lt;&gt;"",CT5&gt;=CU$22,CT5&lt;&gt;"",CJ5=""),AND(DR5&gt;=EE$18,DR5&lt;&gt;"",DT5&gt;=EE$22,DT5&lt;&gt;""),AND(DU5&gt;=EE$18,DU5&lt;&gt;"",DW5&gt;=EE$22,DW5&lt;&gt;""),AND(DY5&gt;=EE$18,DY5&lt;&gt;"",EA5&gt;=EE$22,EA5&lt;&gt;""),AND(EB5&gt;=EE$18,EB5&lt;&gt;"",ED5&gt;=EE$22,ED5&lt;&gt;""),AND(EZ5&gt;=FM$18,EZ5&lt;&gt;"",FB5&gt;=FM$22,FB5&lt;&gt;""),AND(FC5&gt;=FM$18,FC5&lt;&gt;"",FE5&gt;=FM$22,FE5&lt;&gt;""),AND(FG5&gt;=FM$18,FG5&lt;&gt;"",FI5&gt;=FM$22,FI5&lt;&gt;""),AND(FJ5&gt;=FM$18,FJ5&lt;&gt;"",FL5&gt;=FM$22,FL5&lt;&gt;""),AND(GH5&gt;=GU$18,GH5&lt;&gt;"",GJ5&gt;=GU$22,GJ5&lt;&gt;""),AND(GK5&gt;=GU$18,GK5&lt;&gt;"",GM5&gt;=GU$22,GM5&lt;&gt;""),AND(GO5&gt;=GU$18,GO5&lt;&gt;"",GQ5&gt;=GU$22,GQ5&lt;&gt;""),AND(GR5&gt;=GU$18,GR5&lt;&gt;"",GT5&gt;=GU$22,GT5&lt;&gt;""),AND(HP5&gt;=IC$18,HP5&lt;&gt;"",HR5&gt;=IC$22,HR5&lt;&gt;""),AND(HS5&gt;=IC$18,HS5&lt;&gt;"",HU5&gt;=IC$22,HU5&lt;&gt;""),AND(HW5&gt;=IC$18,HW5&lt;&gt;"",HY5&gt;=IC$22,HY5&lt;&gt;""),AND(HZ5&gt;=IC$18,HZ5&lt;&gt;"",IB5&gt;=IC$22,IB5&lt;&gt;""),AND(IX5&gt;=JK$18,IX5&lt;&gt;"",IZ5&gt;=JK$22,IZ5&lt;&gt;""),AND(JA5&gt;=JK$18,JA5&lt;&gt;"",JC5&gt;=JK$22,JC5&lt;&gt;""),AND(JE5&gt;=JK$18,JE5&lt;&gt;"",JG5&gt;=JK$22,JG5&lt;&gt;""),AND(JH5&gt;=JK$18,JH5&lt;&gt;"",JJ5&gt;=JK$22,JJ5&lt;&gt;""),AND(KF5&gt;=KS$18,KF5&lt;&gt;"",KH5&gt;=KS$22,KH5&lt;&gt;""),AND(KI5&gt;=KS$18,KI5&lt;&gt;"",KK5&gt;=KS$22,KK5&lt;&gt;""),AND(KM5&gt;=KS$18,KM5&lt;&gt;"",KO5&gt;=KS$22,KO5&lt;&gt;""),AND(KP5&gt;=KS$18,KP5&lt;&gt;"",KR5&gt;=KS$22,KR5&lt;&gt;""),AND(LN5&gt;=MA$18,LN5&lt;&gt;"",LP5&gt;=MA$22,LP5&lt;&gt;""),AND(LQ5&gt;=MA$18,LQ5&lt;&gt;"",LS5&gt;=MA$22,LS5&lt;&gt;""),AND(LU5&gt;=MA$18,LU5&lt;&gt;"",LW5&gt;=MA$22,LW5&lt;&gt;""),AND(LX5&gt;=MA$18,LX5&lt;&gt;"",LZ5&gt;=MA$22,LZ5&lt;&gt;""),AND(MV5&gt;=NI$18,MV5&lt;&gt;"",MX5&gt;=NI$22,MX5&lt;&gt;""),AND(MY5&gt;=NI$18,MY5&lt;&gt;"",NA5&gt;=NI$22,NA5&lt;&gt;""),AND(NC5&gt;=NI$18,NC5&lt;&gt;"",NE5&gt;=NI$22,NE5&lt;&gt;""),AND(NF5&gt;=NI$18,NF5&lt;&gt;"",NH5&gt;=NI$22,NH5&lt;&gt;""),AND(OD5&gt;=OQ$18,OD5&lt;&gt;"",OF5&gt;=OQ$22,OF5&lt;&gt;""),AND(OG5&gt;=OQ$18,OG5&lt;&gt;"",OI5&gt;=OQ$22,OI5&lt;&gt;""),AND(OK5&gt;=OQ$18,OK5&lt;&gt;"",OM5&gt;=OQ$22,OM5&lt;&gt;""),AND(ON5&gt;=OQ$18,ON5&lt;&gt;"",OP5&gt;=OQ$22,OP5&lt;&gt;""),AND(PL5&gt;=PY$18,PL5&lt;&gt;"",PN5&gt;=PY$22,PN5&lt;&gt;""),AND(PO5&gt;=PY$18,PO5&lt;&gt;"",PQ5&gt;=PY$22,PQ5&lt;&gt;""),AND(PS5&gt;=PY$18,PS5&lt;&gt;"",PU5&gt;=PY$22,PU5&lt;&gt;""),AND(PV5&gt;=PY$18,PV5&lt;&gt;"",PX5&gt;=PY$22,PX5&lt;&gt;""),AND(QT5&gt;=RG$18,QT5&lt;&gt;"",QV5&gt;=RG$22,QV5&lt;&gt;""),AND(QW5&gt;=RG$18,QW5&lt;&gt;"",QY5&gt;=RG$22,QY5&lt;&gt;""),AND(RA5&gt;=RG$18,RA5&lt;&gt;"",RC5&gt;=RG$22,RC5&lt;&gt;""),AND(RD5&gt;=RG$18,RD5&lt;&gt;"",RF5&gt;=RG$22,RF5&lt;&gt;""),AND(SB5&gt;=SO$18,SB5&lt;&gt;"",SD5&gt;=SO$22,SD5&lt;&gt;""),AND(SE5&gt;=SO$18,SE5&lt;&gt;"",SG5&gt;=SO$22,SG5&lt;&gt;""),AND(SI5&gt;=SO$18,SI5&lt;&gt;"",SK5&gt;=SO$22,SK5&lt;&gt;""),AND(SL5&gt;=SO$18,SL5&lt;&gt;"",SN5&gt;=SO$22,SN5&lt;&gt;""),AND(TJ5&gt;=TW$18,TJ5&lt;&gt;"",TL5&gt;=TW$22,TL5&lt;&gt;""),AND(TM5&gt;=TW$18,TM5&lt;&gt;"",TO5&gt;=TW$22,TO5&lt;&gt;""),AND(TQ5&gt;=TW$18,TQ5&lt;&gt;"",TS5&gt;=TW$22,TXQ5&lt;&gt;""),AND(TT5&gt;=TW$18,TT5&lt;&gt;"",TV5&gt;=TW$22,TV5&lt;&gt;""),AND(UR5&gt;=VE$18,UR5&lt;&gt;"",UT5&gt;=VE$22,UT5&lt;&gt;""),AND(UU5&gt;=VE$18,UU5&lt;&gt;"",UW5&gt;=VE$22,UW5&lt;&gt;""),AND(UY5&gt;=VE$18,UY5&lt;&gt;"",VA5&gt;=VE$22,VA5&lt;&gt;""),AND(VB5&gt;=VE$18,VB5&lt;&gt;"",VD5&gt;=VE$22,VD5&lt;&gt;""),AND(VZ5&gt;=WM$18,VZ5&lt;&gt;"",WB5&gt;=WM$22,WB5&lt;&gt;""),AND(WC5&gt;=WM$18,WC5&lt;&gt;"",WE5&gt;=WM$22,WE5&lt;&gt;""),AND(WG5&gt;=WM$18,WG5&lt;&gt;"",WI5&gt;=WM$22,WI5&lt;&gt;""),AND(WJ5&gt;=WM$18,WJ5&lt;&gt;"",WL5&gt;=WM$22,WL5&lt;&gt;"")),"P","")</f>
        <v/>
      </c>
      <c r="J5" s="8">
        <f t="shared" si="1"/>
        <v>55.029999999999994</v>
      </c>
      <c r="K5" s="8" t="str">
        <f t="shared" si="2"/>
        <v>2025 3rd Domestic Trial</v>
      </c>
      <c r="L5" s="8">
        <f>IFERROR(IF(J5=AR5,LARGE((AK5,AN5,BL5,BO5,BS5,CM5,CP5,CT5),1),IF(J5=BS5,LARGE((AK5,AN5,AR5,BL5,BO5,CM5,CP5,CT5),1),LARGE((AK5,AN5,AR5,BL5,BO5,BS5,CM5,CP5),1))),0)</f>
        <v>54.510000000000005</v>
      </c>
      <c r="M5" s="8" t="str">
        <f t="shared" si="3"/>
        <v>2025 3rd Domestic Trial</v>
      </c>
      <c r="N5" s="8">
        <f>IFERROR(IF(J5=AR5,LARGE((AK5,AN5,BL5,BO5,BS5,CM5,CP5,CT5),2),IF(J5=BS5,LARGE((AK5,AN5,AR5,BL5,BO5,CM5,CP5,CT5),2),LARGE((AK5,AN5,AR5,BL5,BO5,BS5,CM5,CP5),2))),0)</f>
        <v>54.070000000000007</v>
      </c>
      <c r="O5" s="8" t="str">
        <f t="shared" si="4"/>
        <v>2025 3rd Domestic Trial</v>
      </c>
      <c r="P5" s="8">
        <f t="shared" si="5"/>
        <v>0</v>
      </c>
      <c r="Q5" s="11" t="str">
        <f t="shared" si="6"/>
        <v/>
      </c>
      <c r="R5" s="8" t="str">
        <f t="shared" si="7"/>
        <v/>
      </c>
      <c r="S5" s="18">
        <v>2.2999999999999998</v>
      </c>
      <c r="T5" s="18">
        <v>1.7</v>
      </c>
      <c r="U5" s="18">
        <v>3.3</v>
      </c>
      <c r="V5" s="18">
        <v>3.13</v>
      </c>
      <c r="W5" s="18">
        <v>0</v>
      </c>
      <c r="X5" s="18">
        <v>13.4</v>
      </c>
      <c r="Y5" s="18">
        <v>8.9</v>
      </c>
      <c r="Z5" s="18">
        <v>12</v>
      </c>
      <c r="AA5" s="18">
        <v>13.95</v>
      </c>
      <c r="AB5" s="18">
        <v>0.7</v>
      </c>
      <c r="AC5" s="18">
        <v>14.9</v>
      </c>
      <c r="AD5" s="18">
        <v>8.9</v>
      </c>
      <c r="AE5" s="18">
        <v>14.3</v>
      </c>
      <c r="AF5" s="18">
        <v>14.72</v>
      </c>
      <c r="AG5" s="18">
        <v>0.6</v>
      </c>
      <c r="AH5" s="23"/>
      <c r="AI5" s="34">
        <f t="shared" si="8"/>
        <v>3.3</v>
      </c>
      <c r="AJ5" s="34">
        <f t="shared" si="9"/>
        <v>3.13</v>
      </c>
      <c r="AK5" s="36">
        <f t="shared" si="10"/>
        <v>10.43</v>
      </c>
      <c r="AL5" s="36">
        <f t="shared" si="11"/>
        <v>12</v>
      </c>
      <c r="AM5" s="36">
        <f t="shared" si="12"/>
        <v>13.95</v>
      </c>
      <c r="AN5" s="36">
        <f t="shared" si="13"/>
        <v>47.55</v>
      </c>
      <c r="AO5" s="36">
        <f t="shared" si="14"/>
        <v>47.55</v>
      </c>
      <c r="AP5" s="36">
        <f t="shared" si="15"/>
        <v>14.3</v>
      </c>
      <c r="AQ5" s="36">
        <f t="shared" si="16"/>
        <v>14.72</v>
      </c>
      <c r="AR5" s="36">
        <f t="shared" si="17"/>
        <v>52.22</v>
      </c>
      <c r="AS5" s="36">
        <f t="shared" si="18"/>
        <v>99.77</v>
      </c>
      <c r="AT5" s="22">
        <v>15.2</v>
      </c>
      <c r="AU5" s="22">
        <v>8.9</v>
      </c>
      <c r="AV5" s="22">
        <v>14.3</v>
      </c>
      <c r="AW5" s="22">
        <v>15.67</v>
      </c>
      <c r="AX5" s="22">
        <v>0</v>
      </c>
      <c r="AY5" s="22">
        <v>14.3</v>
      </c>
      <c r="AZ5" s="22">
        <v>9.3000000000000007</v>
      </c>
      <c r="BA5" s="22">
        <v>14.9</v>
      </c>
      <c r="BB5" s="22">
        <v>16.010000000000002</v>
      </c>
      <c r="BC5" s="22">
        <v>0</v>
      </c>
      <c r="BD5" s="22">
        <v>15.1</v>
      </c>
      <c r="BE5" s="22">
        <v>9.1999999999999993</v>
      </c>
      <c r="BF5" s="22">
        <v>14.3</v>
      </c>
      <c r="BG5" s="22">
        <v>16.43</v>
      </c>
      <c r="BH5" s="22">
        <v>0</v>
      </c>
      <c r="BI5" s="24"/>
      <c r="BJ5" s="35">
        <f t="shared" si="19"/>
        <v>14.3</v>
      </c>
      <c r="BK5" s="35">
        <f t="shared" si="20"/>
        <v>15.67</v>
      </c>
      <c r="BL5" s="11">
        <f t="shared" si="21"/>
        <v>54.070000000000007</v>
      </c>
      <c r="BM5" s="11">
        <f t="shared" si="22"/>
        <v>14.9</v>
      </c>
      <c r="BN5" s="11">
        <f t="shared" si="23"/>
        <v>16.010000000000002</v>
      </c>
      <c r="BO5" s="11">
        <f t="shared" si="24"/>
        <v>54.510000000000005</v>
      </c>
      <c r="BP5" s="11">
        <f t="shared" si="25"/>
        <v>54.510000000000005</v>
      </c>
      <c r="BQ5" s="11">
        <f t="shared" si="26"/>
        <v>14.3</v>
      </c>
      <c r="BR5" s="11">
        <f t="shared" si="27"/>
        <v>16.43</v>
      </c>
      <c r="BS5" s="11">
        <f t="shared" si="28"/>
        <v>55.029999999999994</v>
      </c>
      <c r="BT5" s="11">
        <f t="shared" si="29"/>
        <v>109.53999999999999</v>
      </c>
      <c r="BU5" s="18">
        <v>0</v>
      </c>
      <c r="BV5" s="18">
        <v>0</v>
      </c>
      <c r="BW5" s="18">
        <v>0</v>
      </c>
      <c r="BX5" s="18">
        <v>0</v>
      </c>
      <c r="BY5" s="18">
        <v>0</v>
      </c>
      <c r="BZ5" s="18">
        <v>0</v>
      </c>
      <c r="CA5" s="18">
        <v>0</v>
      </c>
      <c r="CB5" s="18">
        <v>0</v>
      </c>
      <c r="CC5" s="18">
        <v>0</v>
      </c>
      <c r="CD5" s="18">
        <v>0</v>
      </c>
      <c r="CE5" s="18"/>
      <c r="CF5" s="18"/>
      <c r="CG5" s="18"/>
      <c r="CH5" s="18"/>
      <c r="CI5" s="18"/>
      <c r="CJ5" s="23"/>
      <c r="CK5" s="34" t="str">
        <f t="shared" si="30"/>
        <v/>
      </c>
      <c r="CL5" s="34" t="str">
        <f t="shared" si="31"/>
        <v/>
      </c>
      <c r="CM5" s="36" t="str">
        <f t="shared" si="32"/>
        <v/>
      </c>
      <c r="CN5" s="36" t="str">
        <f t="shared" si="33"/>
        <v/>
      </c>
      <c r="CO5" s="36" t="str">
        <f t="shared" si="34"/>
        <v/>
      </c>
      <c r="CP5" s="36" t="str">
        <f t="shared" si="35"/>
        <v/>
      </c>
      <c r="CQ5" s="36" t="str">
        <f t="shared" si="36"/>
        <v/>
      </c>
      <c r="CR5" s="36" t="str">
        <f t="shared" si="37"/>
        <v/>
      </c>
      <c r="CS5" s="36" t="str">
        <f t="shared" si="38"/>
        <v/>
      </c>
      <c r="CT5" s="36" t="str">
        <f t="shared" si="39"/>
        <v/>
      </c>
      <c r="CU5" s="36" t="str">
        <f t="shared" si="40"/>
        <v/>
      </c>
      <c r="CV5" s="47" t="str">
        <f t="shared" si="41"/>
        <v/>
      </c>
      <c r="CW5" s="47" t="str">
        <f t="shared" si="42"/>
        <v/>
      </c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36" t="str">
        <f t="shared" si="43"/>
        <v/>
      </c>
      <c r="DS5" s="36" t="str">
        <f t="shared" si="44"/>
        <v/>
      </c>
      <c r="DT5" s="36" t="str">
        <f t="shared" si="45"/>
        <v/>
      </c>
      <c r="DU5" s="36" t="str">
        <f t="shared" si="46"/>
        <v/>
      </c>
      <c r="DV5" s="36" t="str">
        <f t="shared" si="47"/>
        <v/>
      </c>
      <c r="DW5" s="36" t="str">
        <f t="shared" si="48"/>
        <v/>
      </c>
      <c r="DX5" s="36" t="str">
        <f t="shared" si="49"/>
        <v/>
      </c>
      <c r="DY5" s="36" t="str">
        <f t="shared" si="50"/>
        <v/>
      </c>
      <c r="DZ5" s="36" t="str">
        <f t="shared" si="51"/>
        <v/>
      </c>
      <c r="EA5" s="36" t="str">
        <f t="shared" si="52"/>
        <v/>
      </c>
      <c r="EB5" s="36" t="str">
        <f t="shared" si="53"/>
        <v/>
      </c>
      <c r="EC5" s="36" t="str">
        <f t="shared" si="54"/>
        <v/>
      </c>
      <c r="ED5" s="36" t="str">
        <f t="shared" si="55"/>
        <v/>
      </c>
      <c r="EE5" s="36" t="str">
        <f t="shared" si="56"/>
        <v/>
      </c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1" t="str">
        <f t="shared" si="57"/>
        <v/>
      </c>
      <c r="FA5" s="11" t="str">
        <f t="shared" si="58"/>
        <v/>
      </c>
      <c r="FB5" s="11" t="str">
        <f t="shared" si="59"/>
        <v/>
      </c>
      <c r="FC5" s="11" t="str">
        <f t="shared" si="60"/>
        <v/>
      </c>
      <c r="FD5" s="11" t="str">
        <f t="shared" si="61"/>
        <v/>
      </c>
      <c r="FE5" s="11" t="str">
        <f t="shared" si="62"/>
        <v/>
      </c>
      <c r="FF5" s="11" t="str">
        <f t="shared" si="63"/>
        <v/>
      </c>
      <c r="FG5" s="11" t="str">
        <f t="shared" si="64"/>
        <v/>
      </c>
      <c r="FH5" s="11" t="str">
        <f t="shared" si="65"/>
        <v/>
      </c>
      <c r="FI5" s="11" t="str">
        <f t="shared" si="66"/>
        <v/>
      </c>
      <c r="FJ5" s="11" t="str">
        <f t="shared" si="67"/>
        <v/>
      </c>
      <c r="FK5" s="11" t="str">
        <f t="shared" si="68"/>
        <v/>
      </c>
      <c r="FL5" s="11" t="str">
        <f t="shared" si="69"/>
        <v/>
      </c>
      <c r="FM5" s="11" t="str">
        <f t="shared" si="70"/>
        <v/>
      </c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36" t="str">
        <f t="shared" si="71"/>
        <v/>
      </c>
      <c r="GI5" s="36" t="str">
        <f t="shared" si="72"/>
        <v/>
      </c>
      <c r="GJ5" s="36" t="str">
        <f t="shared" si="73"/>
        <v/>
      </c>
      <c r="GK5" s="36" t="str">
        <f t="shared" si="74"/>
        <v/>
      </c>
      <c r="GL5" s="36" t="str">
        <f t="shared" si="75"/>
        <v/>
      </c>
      <c r="GM5" s="36" t="str">
        <f t="shared" si="76"/>
        <v/>
      </c>
      <c r="GN5" s="36" t="str">
        <f t="shared" si="77"/>
        <v/>
      </c>
      <c r="GO5" s="36" t="str">
        <f t="shared" si="78"/>
        <v/>
      </c>
      <c r="GP5" s="36" t="str">
        <f t="shared" si="79"/>
        <v/>
      </c>
      <c r="GQ5" s="36" t="str">
        <f t="shared" si="80"/>
        <v/>
      </c>
      <c r="GR5" s="36" t="str">
        <f t="shared" si="81"/>
        <v/>
      </c>
      <c r="GS5" s="36" t="str">
        <f t="shared" si="82"/>
        <v/>
      </c>
      <c r="GT5" s="36" t="str">
        <f t="shared" si="83"/>
        <v/>
      </c>
      <c r="GU5" s="36" t="str">
        <f t="shared" si="84"/>
        <v/>
      </c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1" t="str">
        <f t="shared" si="85"/>
        <v/>
      </c>
      <c r="HQ5" s="11" t="str">
        <f t="shared" si="86"/>
        <v/>
      </c>
      <c r="HR5" s="11" t="str">
        <f t="shared" si="87"/>
        <v/>
      </c>
      <c r="HS5" s="11" t="str">
        <f t="shared" si="88"/>
        <v/>
      </c>
      <c r="HT5" s="11" t="str">
        <f t="shared" si="89"/>
        <v/>
      </c>
      <c r="HU5" s="11" t="str">
        <f t="shared" si="90"/>
        <v/>
      </c>
      <c r="HV5" s="11" t="str">
        <f t="shared" si="91"/>
        <v/>
      </c>
      <c r="HW5" s="11" t="str">
        <f t="shared" si="92"/>
        <v/>
      </c>
      <c r="HX5" s="11" t="str">
        <f t="shared" si="93"/>
        <v/>
      </c>
      <c r="HY5" s="11" t="str">
        <f t="shared" si="94"/>
        <v/>
      </c>
      <c r="HZ5" s="11" t="str">
        <f t="shared" si="95"/>
        <v/>
      </c>
      <c r="IA5" s="11" t="str">
        <f t="shared" si="96"/>
        <v/>
      </c>
      <c r="IB5" s="11" t="str">
        <f t="shared" si="97"/>
        <v/>
      </c>
      <c r="IC5" s="11" t="str">
        <f t="shared" si="98"/>
        <v/>
      </c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36" t="str">
        <f t="shared" si="99"/>
        <v/>
      </c>
      <c r="IY5" s="36" t="str">
        <f t="shared" si="100"/>
        <v/>
      </c>
      <c r="IZ5" s="36" t="str">
        <f t="shared" si="101"/>
        <v/>
      </c>
      <c r="JA5" s="36" t="str">
        <f t="shared" si="102"/>
        <v/>
      </c>
      <c r="JB5" s="36" t="str">
        <f t="shared" si="103"/>
        <v/>
      </c>
      <c r="JC5" s="36" t="str">
        <f t="shared" si="104"/>
        <v/>
      </c>
      <c r="JD5" s="36" t="str">
        <f t="shared" si="105"/>
        <v/>
      </c>
      <c r="JE5" s="36" t="str">
        <f t="shared" si="106"/>
        <v/>
      </c>
      <c r="JF5" s="36" t="str">
        <f t="shared" si="107"/>
        <v/>
      </c>
      <c r="JG5" s="36" t="str">
        <f t="shared" si="108"/>
        <v/>
      </c>
      <c r="JH5" s="36" t="str">
        <f t="shared" si="109"/>
        <v/>
      </c>
      <c r="JI5" s="36" t="str">
        <f t="shared" si="110"/>
        <v/>
      </c>
      <c r="JJ5" s="36" t="str">
        <f t="shared" si="111"/>
        <v/>
      </c>
      <c r="JK5" s="36" t="str">
        <f t="shared" si="112"/>
        <v/>
      </c>
      <c r="JL5" s="16">
        <v>14.6</v>
      </c>
      <c r="JM5" s="16">
        <v>9.6</v>
      </c>
      <c r="JN5" s="16">
        <v>14.3</v>
      </c>
      <c r="JO5" s="16">
        <v>15.18</v>
      </c>
      <c r="JP5" s="16">
        <v>0.2</v>
      </c>
      <c r="JQ5" s="16">
        <v>1.4</v>
      </c>
      <c r="JR5" s="16">
        <v>1</v>
      </c>
      <c r="JS5" s="16">
        <v>2</v>
      </c>
      <c r="JT5" s="16">
        <v>1.68</v>
      </c>
      <c r="JU5" s="16">
        <v>0</v>
      </c>
      <c r="JV5" s="16"/>
      <c r="JW5" s="16"/>
      <c r="JX5" s="16"/>
      <c r="JY5" s="16"/>
      <c r="JZ5" s="16"/>
      <c r="KA5" s="16"/>
      <c r="KB5" s="16"/>
      <c r="KC5" s="16"/>
      <c r="KD5" s="16"/>
      <c r="KE5" s="16"/>
      <c r="KF5" s="11">
        <f t="shared" si="113"/>
        <v>14.3</v>
      </c>
      <c r="KG5" s="11">
        <f t="shared" si="114"/>
        <v>15.18</v>
      </c>
      <c r="KH5" s="11">
        <f t="shared" si="115"/>
        <v>53.48</v>
      </c>
      <c r="KI5" s="11">
        <f t="shared" si="116"/>
        <v>2</v>
      </c>
      <c r="KJ5" s="11">
        <f t="shared" si="117"/>
        <v>1.68</v>
      </c>
      <c r="KK5" s="11">
        <f t="shared" si="118"/>
        <v>6.08</v>
      </c>
      <c r="KL5" s="11">
        <f t="shared" si="119"/>
        <v>53.48</v>
      </c>
      <c r="KM5" s="11" t="str">
        <f t="shared" si="120"/>
        <v/>
      </c>
      <c r="KN5" s="11" t="str">
        <f t="shared" si="121"/>
        <v/>
      </c>
      <c r="KO5" s="11" t="str">
        <f t="shared" si="122"/>
        <v/>
      </c>
      <c r="KP5" s="11" t="str">
        <f t="shared" si="123"/>
        <v/>
      </c>
      <c r="KQ5" s="11" t="str">
        <f t="shared" si="124"/>
        <v/>
      </c>
      <c r="KR5" s="11" t="str">
        <f t="shared" si="125"/>
        <v/>
      </c>
      <c r="KS5" s="11">
        <f t="shared" si="126"/>
        <v>53.48</v>
      </c>
      <c r="KT5" s="15">
        <v>11.2</v>
      </c>
      <c r="KU5" s="15">
        <v>7.5</v>
      </c>
      <c r="KV5" s="15">
        <v>11</v>
      </c>
      <c r="KW5" s="15">
        <v>11.88</v>
      </c>
      <c r="KX5" s="15">
        <v>0</v>
      </c>
      <c r="KY5" s="15">
        <v>0</v>
      </c>
      <c r="KZ5" s="15">
        <v>0</v>
      </c>
      <c r="LA5" s="15">
        <v>0</v>
      </c>
      <c r="LB5" s="15">
        <v>0</v>
      </c>
      <c r="LC5" s="15">
        <v>0</v>
      </c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36">
        <f t="shared" si="127"/>
        <v>11</v>
      </c>
      <c r="LO5" s="36">
        <f t="shared" si="128"/>
        <v>11.88</v>
      </c>
      <c r="LP5" s="36">
        <f t="shared" si="129"/>
        <v>41.58</v>
      </c>
      <c r="LQ5" s="36" t="str">
        <f t="shared" si="130"/>
        <v/>
      </c>
      <c r="LR5" s="36" t="str">
        <f t="shared" si="131"/>
        <v/>
      </c>
      <c r="LS5" s="36" t="str">
        <f t="shared" si="132"/>
        <v/>
      </c>
      <c r="LT5" s="36">
        <f t="shared" si="133"/>
        <v>41.58</v>
      </c>
      <c r="LU5" s="36" t="str">
        <f t="shared" si="134"/>
        <v/>
      </c>
      <c r="LV5" s="36" t="str">
        <f t="shared" si="135"/>
        <v/>
      </c>
      <c r="LW5" s="36" t="str">
        <f t="shared" si="136"/>
        <v/>
      </c>
      <c r="LX5" s="36" t="str">
        <f t="shared" si="137"/>
        <v/>
      </c>
      <c r="LY5" s="36" t="str">
        <f t="shared" si="138"/>
        <v/>
      </c>
      <c r="LZ5" s="36" t="str">
        <f t="shared" si="139"/>
        <v/>
      </c>
      <c r="MA5" s="36">
        <f t="shared" si="140"/>
        <v>41.58</v>
      </c>
      <c r="MB5" s="16">
        <v>14.3</v>
      </c>
      <c r="MC5" s="16">
        <v>9.3000000000000007</v>
      </c>
      <c r="MD5" s="16">
        <v>14.3</v>
      </c>
      <c r="ME5" s="16">
        <v>15.03</v>
      </c>
      <c r="MF5" s="16">
        <v>0</v>
      </c>
      <c r="MG5" s="16">
        <v>13.6</v>
      </c>
      <c r="MH5" s="16">
        <v>8.8000000000000007</v>
      </c>
      <c r="MI5" s="16">
        <v>14.3</v>
      </c>
      <c r="MJ5" s="16">
        <v>15.65</v>
      </c>
      <c r="MK5" s="16">
        <v>0</v>
      </c>
      <c r="ML5" s="16"/>
      <c r="MM5" s="16"/>
      <c r="MN5" s="16"/>
      <c r="MO5" s="16"/>
      <c r="MP5" s="16"/>
      <c r="MQ5" s="16"/>
      <c r="MR5" s="16"/>
      <c r="MS5" s="16"/>
      <c r="MT5" s="16"/>
      <c r="MU5" s="16"/>
      <c r="MV5" s="11">
        <f t="shared" si="141"/>
        <v>14.3</v>
      </c>
      <c r="MW5" s="11">
        <f t="shared" si="142"/>
        <v>15.03</v>
      </c>
      <c r="MX5" s="11">
        <f t="shared" si="143"/>
        <v>52.930000000000007</v>
      </c>
      <c r="MY5" s="11">
        <f t="shared" si="144"/>
        <v>14.3</v>
      </c>
      <c r="MZ5" s="11">
        <f t="shared" si="145"/>
        <v>15.65</v>
      </c>
      <c r="NA5" s="11">
        <f t="shared" si="146"/>
        <v>52.35</v>
      </c>
      <c r="NB5" s="11">
        <f t="shared" si="147"/>
        <v>52.930000000000007</v>
      </c>
      <c r="NC5" s="11" t="str">
        <f t="shared" si="148"/>
        <v/>
      </c>
      <c r="ND5" s="11" t="str">
        <f t="shared" si="149"/>
        <v/>
      </c>
      <c r="NE5" s="11" t="str">
        <f t="shared" si="150"/>
        <v/>
      </c>
      <c r="NF5" s="11" t="str">
        <f t="shared" si="151"/>
        <v/>
      </c>
      <c r="NG5" s="11" t="str">
        <f t="shared" si="152"/>
        <v/>
      </c>
      <c r="NH5" s="11" t="str">
        <f t="shared" si="153"/>
        <v/>
      </c>
      <c r="NI5" s="11">
        <f t="shared" si="154"/>
        <v>52.930000000000007</v>
      </c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>
        <v>13.8</v>
      </c>
      <c r="NZ5" s="15">
        <v>9.1999999999999993</v>
      </c>
      <c r="OA5" s="15">
        <v>14.3</v>
      </c>
      <c r="OB5" s="15">
        <v>14.97</v>
      </c>
      <c r="OC5" s="15">
        <v>0</v>
      </c>
      <c r="OD5" s="36" t="str">
        <f t="shared" si="155"/>
        <v/>
      </c>
      <c r="OE5" s="36" t="str">
        <f t="shared" si="156"/>
        <v/>
      </c>
      <c r="OF5" s="36" t="str">
        <f t="shared" si="157"/>
        <v/>
      </c>
      <c r="OG5" s="36" t="str">
        <f t="shared" si="158"/>
        <v/>
      </c>
      <c r="OH5" s="36" t="str">
        <f t="shared" si="159"/>
        <v/>
      </c>
      <c r="OI5" s="36" t="str">
        <f t="shared" si="160"/>
        <v/>
      </c>
      <c r="OJ5" s="36" t="str">
        <f t="shared" si="161"/>
        <v/>
      </c>
      <c r="OK5" s="36" t="str">
        <f t="shared" si="162"/>
        <v/>
      </c>
      <c r="OL5" s="36" t="str">
        <f t="shared" si="163"/>
        <v/>
      </c>
      <c r="OM5" s="36" t="str">
        <f t="shared" si="164"/>
        <v/>
      </c>
      <c r="ON5" s="36">
        <f t="shared" si="165"/>
        <v>14.3</v>
      </c>
      <c r="OO5" s="36">
        <f t="shared" si="166"/>
        <v>14.97</v>
      </c>
      <c r="OP5" s="36">
        <f t="shared" si="167"/>
        <v>52.269999999999996</v>
      </c>
      <c r="OQ5" s="36">
        <f t="shared" si="168"/>
        <v>52.269999999999996</v>
      </c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6"/>
      <c r="PJ5" s="16"/>
      <c r="PK5" s="16"/>
      <c r="PL5" s="11" t="str">
        <f t="shared" si="169"/>
        <v/>
      </c>
      <c r="PM5" s="11" t="str">
        <f t="shared" si="170"/>
        <v/>
      </c>
      <c r="PN5" s="11" t="str">
        <f t="shared" si="171"/>
        <v/>
      </c>
      <c r="PO5" s="11" t="str">
        <f t="shared" si="172"/>
        <v/>
      </c>
      <c r="PP5" s="11" t="str">
        <f t="shared" si="173"/>
        <v/>
      </c>
      <c r="PQ5" s="11" t="str">
        <f t="shared" si="174"/>
        <v/>
      </c>
      <c r="PR5" s="11" t="str">
        <f t="shared" si="175"/>
        <v/>
      </c>
      <c r="PS5" s="11" t="str">
        <f t="shared" si="176"/>
        <v/>
      </c>
      <c r="PT5" s="11" t="str">
        <f t="shared" si="177"/>
        <v/>
      </c>
      <c r="PU5" s="11" t="str">
        <f t="shared" si="178"/>
        <v/>
      </c>
      <c r="PV5" s="11" t="str">
        <f t="shared" si="179"/>
        <v/>
      </c>
      <c r="PW5" s="11" t="str">
        <f t="shared" si="180"/>
        <v/>
      </c>
      <c r="PX5" s="11" t="str">
        <f t="shared" si="181"/>
        <v/>
      </c>
      <c r="PY5" s="11" t="str">
        <f t="shared" si="182"/>
        <v/>
      </c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36" t="str">
        <f t="shared" si="183"/>
        <v/>
      </c>
      <c r="QU5" s="36" t="str">
        <f t="shared" si="184"/>
        <v/>
      </c>
      <c r="QV5" s="36" t="str">
        <f t="shared" si="185"/>
        <v/>
      </c>
      <c r="QW5" s="36" t="str">
        <f t="shared" si="186"/>
        <v/>
      </c>
      <c r="QX5" s="36" t="str">
        <f t="shared" si="187"/>
        <v/>
      </c>
      <c r="QY5" s="36" t="str">
        <f t="shared" si="188"/>
        <v/>
      </c>
      <c r="QZ5" s="36" t="str">
        <f t="shared" si="189"/>
        <v/>
      </c>
      <c r="RA5" s="36" t="str">
        <f t="shared" si="190"/>
        <v/>
      </c>
      <c r="RB5" s="36" t="str">
        <f t="shared" si="191"/>
        <v/>
      </c>
      <c r="RC5" s="36" t="str">
        <f t="shared" si="192"/>
        <v/>
      </c>
      <c r="RD5" s="36" t="str">
        <f t="shared" si="193"/>
        <v/>
      </c>
      <c r="RE5" s="36" t="str">
        <f t="shared" si="194"/>
        <v/>
      </c>
      <c r="RF5" s="36" t="str">
        <f t="shared" si="195"/>
        <v/>
      </c>
      <c r="RG5" s="36" t="str">
        <f t="shared" si="196"/>
        <v/>
      </c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6"/>
      <c r="RZ5" s="16"/>
      <c r="SA5" s="16"/>
      <c r="SB5" s="11" t="str">
        <f t="shared" si="197"/>
        <v/>
      </c>
      <c r="SC5" s="11" t="str">
        <f t="shared" si="198"/>
        <v/>
      </c>
      <c r="SD5" s="11" t="str">
        <f t="shared" si="199"/>
        <v/>
      </c>
      <c r="SE5" s="11" t="str">
        <f t="shared" si="200"/>
        <v/>
      </c>
      <c r="SF5" s="11" t="str">
        <f t="shared" si="201"/>
        <v/>
      </c>
      <c r="SG5" s="11" t="str">
        <f t="shared" si="202"/>
        <v/>
      </c>
      <c r="SH5" s="11" t="str">
        <f t="shared" si="203"/>
        <v/>
      </c>
      <c r="SI5" s="11" t="str">
        <f t="shared" si="204"/>
        <v/>
      </c>
      <c r="SJ5" s="11" t="str">
        <f t="shared" si="205"/>
        <v/>
      </c>
      <c r="SK5" s="11" t="str">
        <f t="shared" si="206"/>
        <v/>
      </c>
      <c r="SL5" s="11" t="str">
        <f t="shared" si="207"/>
        <v/>
      </c>
      <c r="SM5" s="11" t="str">
        <f t="shared" si="208"/>
        <v/>
      </c>
      <c r="SN5" s="11" t="str">
        <f t="shared" si="209"/>
        <v/>
      </c>
      <c r="SO5" s="11" t="str">
        <f t="shared" si="210"/>
        <v/>
      </c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36" t="str">
        <f t="shared" si="211"/>
        <v/>
      </c>
      <c r="TK5" s="36" t="str">
        <f t="shared" si="212"/>
        <v/>
      </c>
      <c r="TL5" s="36" t="str">
        <f t="shared" si="213"/>
        <v/>
      </c>
      <c r="TM5" s="36" t="str">
        <f t="shared" si="214"/>
        <v/>
      </c>
      <c r="TN5" s="36" t="str">
        <f t="shared" si="215"/>
        <v/>
      </c>
      <c r="TO5" s="36" t="str">
        <f t="shared" si="216"/>
        <v/>
      </c>
      <c r="TP5" s="36" t="str">
        <f t="shared" si="217"/>
        <v/>
      </c>
      <c r="TQ5" s="36" t="str">
        <f t="shared" si="218"/>
        <v/>
      </c>
      <c r="TR5" s="36" t="str">
        <f t="shared" si="219"/>
        <v/>
      </c>
      <c r="TS5" s="36" t="str">
        <f t="shared" si="220"/>
        <v/>
      </c>
      <c r="TT5" s="36" t="str">
        <f t="shared" si="221"/>
        <v/>
      </c>
      <c r="TU5" s="36" t="str">
        <f t="shared" si="222"/>
        <v/>
      </c>
      <c r="TV5" s="36" t="str">
        <f t="shared" si="223"/>
        <v/>
      </c>
      <c r="TW5" s="36" t="str">
        <f t="shared" si="224"/>
        <v/>
      </c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6"/>
      <c r="UP5" s="16"/>
      <c r="UQ5" s="16"/>
      <c r="UR5" s="11" t="str">
        <f t="shared" si="225"/>
        <v/>
      </c>
      <c r="US5" s="11" t="str">
        <f t="shared" si="226"/>
        <v/>
      </c>
      <c r="UT5" s="11" t="str">
        <f t="shared" si="227"/>
        <v/>
      </c>
      <c r="UU5" s="11" t="str">
        <f t="shared" si="228"/>
        <v/>
      </c>
      <c r="UV5" s="11" t="str">
        <f t="shared" si="229"/>
        <v/>
      </c>
      <c r="UW5" s="11" t="str">
        <f t="shared" si="230"/>
        <v/>
      </c>
      <c r="UX5" s="11" t="str">
        <f t="shared" si="231"/>
        <v/>
      </c>
      <c r="UY5" s="11" t="str">
        <f t="shared" si="232"/>
        <v/>
      </c>
      <c r="UZ5" s="11" t="str">
        <f t="shared" si="233"/>
        <v/>
      </c>
      <c r="VA5" s="11" t="str">
        <f t="shared" si="234"/>
        <v/>
      </c>
      <c r="VB5" s="11" t="str">
        <f t="shared" si="235"/>
        <v/>
      </c>
      <c r="VC5" s="11" t="str">
        <f t="shared" si="236"/>
        <v/>
      </c>
      <c r="VD5" s="11" t="str">
        <f t="shared" si="237"/>
        <v/>
      </c>
      <c r="VE5" s="11" t="str">
        <f t="shared" si="238"/>
        <v/>
      </c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36" t="str">
        <f t="shared" si="239"/>
        <v/>
      </c>
      <c r="WA5" s="36" t="str">
        <f t="shared" si="240"/>
        <v/>
      </c>
      <c r="WB5" s="36" t="str">
        <f t="shared" si="241"/>
        <v/>
      </c>
      <c r="WC5" s="36" t="str">
        <f t="shared" si="242"/>
        <v/>
      </c>
      <c r="WD5" s="36" t="str">
        <f t="shared" si="243"/>
        <v/>
      </c>
      <c r="WE5" s="36" t="str">
        <f t="shared" si="244"/>
        <v/>
      </c>
      <c r="WF5" s="36" t="str">
        <f t="shared" si="245"/>
        <v/>
      </c>
      <c r="WG5" s="36" t="str">
        <f t="shared" si="246"/>
        <v/>
      </c>
      <c r="WH5" s="36" t="str">
        <f t="shared" si="247"/>
        <v/>
      </c>
      <c r="WI5" s="36" t="str">
        <f t="shared" si="248"/>
        <v/>
      </c>
      <c r="WJ5" s="36" t="str">
        <f t="shared" si="249"/>
        <v/>
      </c>
      <c r="WK5" s="36" t="str">
        <f t="shared" si="250"/>
        <v/>
      </c>
      <c r="WL5" s="36" t="str">
        <f t="shared" si="251"/>
        <v/>
      </c>
      <c r="WM5" s="36" t="str">
        <f t="shared" si="252"/>
        <v/>
      </c>
    </row>
    <row r="6" spans="1:611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25</v>
      </c>
      <c r="C6" s="4" t="s">
        <v>3</v>
      </c>
      <c r="D6" s="4">
        <v>1998</v>
      </c>
      <c r="E6" s="9">
        <f t="shared" si="0"/>
        <v>158.28001404300537</v>
      </c>
      <c r="F6" s="3" t="str">
        <f>IF(OR(AND(AI6&gt;=AS$17,AI6&lt;&gt;"",AK6&gt;=AS$21,AK6&lt;&gt;"",AH6=""),AND(AL6&gt;=AS$17,AL6&lt;&gt;"",AN6&gt;=AS$21,AN6&lt;&gt;"",AH6=""),AND(AP6&gt;=AS$17,AP6&lt;&gt;"",AR6&gt;=AS$21,AR6&lt;&gt;"",AH6=""),AND(BJ6&gt;=BT$17,BJ6&lt;&gt;"",BL6&gt;=BT$21,BL6&lt;&gt;"",BI6=""),AND(BM6&gt;=BT$17,BM6&lt;&gt;"",BO6&gt;=BT$21,BO6&lt;&gt;"",BI6=""),AND(BQ6&gt;=BT$17,BQ6&lt;&gt;"",BS6&gt;=BT$21,BS6&lt;&gt;"",BI6=""),AND(CK6&gt;=CU$17,CK6&lt;&gt;"",CM6&gt;=CU$21,CM6&lt;&gt;"",CJ6=""),AND(CN6&gt;=CU$17,CN6&lt;&gt;"",CP6&gt;=CU$21,CP6&lt;&gt;"",CJ6=""),AND(CR6&gt;=CU$17,CR6&lt;&gt;"",CT6&gt;=CU$21,CT6&lt;&gt;"",CJ6=""),AND(DR6&gt;=EE$17,DR6&lt;&gt;"",DT6&gt;=EE$21,DT6&lt;&gt;""),AND(DU6&gt;=EE$17,DU6&lt;&gt;"",DW6&gt;=EE$21,DW6&lt;&gt;""),AND(DY6&gt;=EE$17,DY6&lt;&gt;"",EA6&gt;=EE$21,EA6&lt;&gt;""),AND(EB6&gt;=EE$17,EB6&lt;&gt;"",ED6&gt;=EE$21,ED6&lt;&gt;""),AND(EZ6&gt;=FM$17,EZ6&lt;&gt;"",FB6&gt;=FM$21,FB6&lt;&gt;""),AND(FC6&gt;=FM$17,FC6&lt;&gt;"",FE6&gt;=FM$21,FE6&lt;&gt;""),AND(FG6&gt;=FM$17,FG6&lt;&gt;"",FI6&gt;=FM$21,FI6&lt;&gt;""),AND(FJ6&gt;=FM$17,FJ6&lt;&gt;"",FL6&gt;=FM$21,FL6&lt;&gt;""),AND(GH6&gt;=GU$17,GH6&lt;&gt;"",GJ6&gt;=GU$21,GJ6&lt;&gt;""),AND(GK6&gt;=GU$17,GK6&lt;&gt;"",GM6&gt;=GU$21,GM6&lt;&gt;""),AND(GO6&gt;=GU$17,GO6&lt;&gt;"",GQ6&gt;=GU$21,GQ6&lt;&gt;""),AND(GR6&gt;=GU$17,GR6&lt;&gt;"",GT6&gt;=GU$21,GT6&lt;&gt;""),AND(HP6&gt;=IC$17,HP6&lt;&gt;"",HR6&gt;=IC$21,HR6&lt;&gt;""),AND(HS6&gt;=IC$17,HS6&lt;&gt;"",HU6&gt;=IC$21,HU6&lt;&gt;""),AND(HW6&gt;=IC$17,HW6&lt;&gt;"",HY6&gt;=IC$21,HY6&lt;&gt;""),AND(HZ6&gt;=IC$17,HZ6&lt;&gt;"",IB6&gt;=IC$21,IB6&lt;&gt;""),AND(IX6&gt;=JK$17,IX6&lt;&gt;"",IZ6&gt;=JK$21,IZ6&lt;&gt;""),AND(JA6&gt;=JK$17,JA6&lt;&gt;"",JC6&gt;=JK$21,JC6&lt;&gt;""),AND(JE6&gt;=JK$17,JE6&lt;&gt;"",JG6&gt;=JK$21,JG6&lt;&gt;""),AND(JH6&gt;=JK$17,JH6&lt;&gt;"",JJ6&gt;=JK$21,JJ6&lt;&gt;""),AND(KF6&gt;=KS$17,KF6&lt;&gt;"",KH6&gt;=KS$21,KH6&lt;&gt;""),AND(KI6&gt;=KS$17,KI6&lt;&gt;"",KK6&gt;=KS$21,KK6&lt;&gt;""),AND(KM6&gt;=KS$17,KM6&lt;&gt;"",KO6&gt;=KS$21,KO6&lt;&gt;""),AND(KP6&gt;=KS$17,KP6&lt;&gt;"",KR6&gt;=KS$21,KR6&lt;&gt;""),AND(LN6&gt;=MA$17,LN6&lt;&gt;"",LP6&gt;=MA$21,LP6&lt;&gt;""),AND(LQ6&gt;=MA$17,LQ6&lt;&gt;"",LS6&gt;=MA$21,LS6&lt;&gt;""),AND(LU6&gt;=MA$17,LU6&lt;&gt;"",LW6&gt;=MA$21,LW6&lt;&gt;""),AND(LX6&gt;=MA$17,LX6&lt;&gt;"",LZ6&gt;=MA$21,LZ6&lt;&gt;""),AND(MV6&gt;=NI$17,MV6&lt;&gt;"",MX6&gt;=NI$21,MX6&lt;&gt;""),AND(MY6&gt;=NI$17,MY6&lt;&gt;"",NA6&gt;=NI$21,NA6&lt;&gt;""),AND(NC6&gt;=NI$17,NC6&lt;&gt;"",NE6&gt;=NI$21,NE6&lt;&gt;""),AND(NF6&gt;=NI$17,NF6&lt;&gt;"",NH6&gt;=NI$21,NH6&lt;&gt;""),AND(OD6&gt;=OQ$17,OD6&lt;&gt;"",OF6&gt;=OQ$21,OF6&lt;&gt;""),AND(OG6&gt;=OQ$17,OG6&lt;&gt;"",OI6&gt;=OQ$21,OI6&lt;&gt;""),AND(OK6&gt;=OQ$17,OK6&lt;&gt;"",OM6&gt;=OQ$21,OM6&lt;&gt;""),AND(ON6&gt;=OQ$17,ON6&lt;&gt;"",OP6&gt;=OQ$21,OP6&lt;&gt;""),AND(PL6&gt;=PY$17,PL6&lt;&gt;"",PN6&gt;=PY$21,PN6&lt;&gt;""),AND(PO6&gt;=PY$17,PO6&lt;&gt;"",PQ6&gt;=PY$21,PQ6&lt;&gt;""),AND(PS6&gt;=PY$17,PS6&lt;&gt;"",PU6&gt;=PY$21,PU6&lt;&gt;""),AND(PV6&gt;=PY$17,PV6&lt;&gt;"",PX6&gt;=PY$21,PX6&lt;&gt;""),AND(QT6&gt;=RG$17,QT6&lt;&gt;"",QV6&gt;=RG$21,QV6&lt;&gt;""),AND(QW6&gt;=RG$17,QW6&lt;&gt;"",QY6&gt;=RG$21,QY6&lt;&gt;""),AND(RA6&gt;=RG$17,RA6&lt;&gt;"",RC6&gt;=RG$21,RC6&lt;&gt;""),AND(RD6&gt;=RG$17,RD6&lt;&gt;"",RF6&gt;=RG$21,RF6&lt;&gt;""),AND(SB6&gt;=SO$17,SB6&lt;&gt;"",SD6&gt;=SO$21,SD6&lt;&gt;""),AND(SE6&gt;=SO$17,SE6&lt;&gt;"",SG6&gt;=SO$21,SG6&lt;&gt;""),AND(SI6&gt;=SO$17,SI6&lt;&gt;"",SK6&gt;=SO$21,SK6&lt;&gt;""),AND(SL6&gt;=SO$17,SL6&lt;&gt;"",SN6&gt;=SO$21,SN6&lt;&gt;""),AND(TJ6&gt;=TW$17,TJ6&lt;&gt;"",TL6&gt;=TW$21,TL6&lt;&gt;""),AND(TM6&gt;=TW$17,TM6&lt;&gt;"",TO6&gt;=TW$21,TO6&lt;&gt;""),AND(TQ6&gt;=TW$17,TQ6&lt;&gt;"",TS6&gt;=TW$21,TXQ6&lt;&gt;""),AND(TT6&gt;=TW$17,TT6&lt;&gt;"",TV6&gt;=TW$21,TV6&lt;&gt;""),AND(UR6&gt;=VE$17,UR6&lt;&gt;"",UT6&gt;=VE$21,UT6&lt;&gt;""),AND(UU6&gt;=VE$17,UU6&lt;&gt;"",UW6&gt;=VE$21,UW6&lt;&gt;""),AND(UY6&gt;=VE$17,UY6&lt;&gt;"",VA6&gt;=VE$21,VA6&lt;&gt;""),AND(VB6&gt;=VE$17,VB6&lt;&gt;"",VD6&gt;=VE$21,VD6&lt;&gt;""),AND(VZ6&gt;=WM$17,VZ6&lt;&gt;"",WB6&gt;=WM$21,WB6&lt;&gt;""),AND(WC6&gt;=WM$17,WC6&lt;&gt;"",WE6&gt;=WM$21,WE6&lt;&gt;""),AND(WG6&gt;=WM$17,WG6&lt;&gt;"",WI6&gt;=WM$21,WI6&lt;&gt;""),AND(WJ6&gt;=WM$17,WJ6&lt;&gt;"",WL6&gt;=WM$21,WL6&lt;&gt;"")),"P","")</f>
        <v>P</v>
      </c>
      <c r="G6" s="3" t="str">
        <f>IF(OR(AND(AK6&gt;=AS$21,AK6&lt;&gt;"",AH6=""),AND(AN6&gt;=AS$21,AN6&lt;&gt;"",AH6=""),AND(AR6&gt;=AS$21,AR6&lt;&gt;"",AH6=""),AND(BL6&gt;=BT$21,BL6&lt;&gt;"",BI6=""),AND(BO6&gt;=BT$21,BO6&lt;&gt;"",BI6=""),AND(BS6&gt;=BT$21,BS6&lt;&gt;"",BI6=""),AND(CM6&gt;=CU$21,CM6&lt;&gt;"",CJ6=""),AND(CP6&gt;=CU$21,CP6&lt;&gt;"",CJ6=""),AND(CT6&gt;=CU$21,CT6&lt;&gt;"",CJ6=""),AND(DT6&gt;=EE$21,DT6&lt;&gt;""),AND(DW6&gt;=EE$21,DW6&lt;&gt;""),AND(EA6&gt;=EE$21,EA6&lt;&gt;""),AND(ED6&gt;=EE$21,ED6&lt;&gt;""),AND(FB6&gt;=FM$21,FB6&lt;&gt;""),AND(FE6&gt;=FM$21,FE6&lt;&gt;""),AND(FI6&gt;=FM$21,FI6&lt;&gt;""),AND(FL6&gt;=FM$21,FL6&lt;&gt;""),AND(GJ6&gt;=GU$21,GJ6&lt;&gt;""),AND(GM6&gt;=GU$21,GM6&lt;&gt;""),AND(GQ6&gt;=GU$21,GQ6&lt;&gt;""),AND(GT6&gt;=GU$21,GT6&lt;&gt;""),AND(HR6&gt;=IC$21,HR6&lt;&gt;""),AND(HU6&gt;=IC$21,HU6&lt;&gt;""),AND(HY6&gt;=IC$21,HY6&lt;&gt;""),AND(IB6&gt;=IC$21,IB6&lt;&gt;""),AND(IZ6&gt;=JK$21,IZ6&lt;&gt;""),AND(JC6&gt;=JK$21,JC6&lt;&gt;""),AND(JG6&gt;=JK$21,JG6&lt;&gt;""),AND(JJ6&gt;=JK$21,JJ6&lt;&gt;""),AND(KH6&gt;=KS$21,KH6&lt;&gt;""),AND(KK6&gt;=KS$21,KK6&lt;&gt;""),AND(KO6&gt;=KS$21,KO6&lt;&gt;""),AND(KR6&gt;=KS$21,KR6&lt;&gt;""),AND(LP6&gt;=MA$21,LP6&lt;&gt;""),AND(LS6&gt;=MA$21,LS6&lt;&gt;""),AND(LW6&gt;=MA$21,LW6&lt;&gt;""),AND(LZ6&gt;=MA$21,LZ6&lt;&gt;""),AND(MX6&gt;=NI$21,MX6&lt;&gt;""),AND(NA6&gt;=NI$21,NA6&lt;&gt;""),AND(NE6&gt;=NI$21,NE6&lt;&gt;""),AND(NH6&gt;=NI$21,NH6&lt;&gt;""),AND(OF6&gt;=OQ$21,OF6&lt;&gt;""),AND(OI6&gt;=OQ$21,OI6&lt;&gt;""),AND(OM6&gt;=OQ$21,OM6&lt;&gt;""),AND(OP6&gt;=OQ$21,OP6&lt;&gt;""),AND(PN6&gt;=PY$21,PN6&lt;&gt;""),AND(PQ6&gt;=PY$21,PQ6&lt;&gt;""),AND(PU6&gt;=PY$21,PU6&lt;&gt;""),AND(PX6&gt;=PY$21,PX6&lt;&gt;""),AND(QV6&gt;=RG$21,QV6&lt;&gt;""),AND(QY6&gt;=RG$21,QY6&lt;&gt;""),AND(RC6&gt;=RG$21,RC6&lt;&gt;""),AND(RF6&gt;=RG$21,RF6&lt;&gt;""),AND(SD6&gt;=SO$21,SD6&lt;&gt;""),AND(SG6&gt;=SO$21,SG6&lt;&gt;""),AND(SK6&gt;=SO$21,SK6&lt;&gt;""),AND(SN6&gt;=SO$21,SN6&lt;&gt;""),AND(TL6&gt;=TW$21,TL6&lt;&gt;""),AND(TO6&gt;=TW$21,TO6&lt;&gt;""),AND(TS6&gt;=TW$21,TXQ6&lt;&gt;""),AND(TV6&gt;=TW$21,TV6&lt;&gt;""),AND(UT6&gt;=VE$21,UT6&lt;&gt;""),AND(UW6&gt;=VE$21,UW6&lt;&gt;""),AND(VA6&gt;=VE$21,VA6&lt;&gt;""),AND(VD6&gt;=VE$21,VD6&lt;&gt;""),AND(WB6&gt;=WM$21,WB6&lt;&gt;""),AND(WE6&gt;=WM$21,WE6&lt;&gt;""),AND(WI6&gt;=WM$21,WI6&lt;&gt;""),AND(WL6&gt;=WM$21,WL6&lt;&gt;"")),"P","")</f>
        <v>P</v>
      </c>
      <c r="H6" s="32" t="str">
        <f>IF(AND(G6="P",F6=""),"No DD",IF(OR(AND(AI6&gt;=AS$20,AI6&lt;&gt;"",AK6&gt;=AS$24,AK6&lt;&gt;"",AH6=""),AND(AL6&gt;=AS$20,AL6&lt;&gt;"",AN6&gt;=AS$24,AN6&lt;&gt;"",AH6=""),AND(AP6&gt;=AS$20,AP6&lt;&gt;"",AR6&gt;=AS$24,AR6&lt;&gt;"",AH6=""),AND(BJ6&gt;=BT$20,BJ6&lt;&gt;"",BL6&gt;=BT$24,BL6&lt;&gt;"",BI6=""),AND(BM6&gt;=BT$20,BM6&lt;&gt;"",BO6&gt;=BT$24,BO6&lt;&gt;"",BI6=""),AND(BQ6&gt;=BT$20,BQ6&lt;&gt;"",BS6&gt;=BT$24,BS6&lt;&gt;"",BI6=""),AND(CK6&gt;=CU$20,CK6&lt;&gt;"",CM6&gt;=CU$24,CM6&lt;&gt;"",CJ6=""),AND(CN6&gt;=CU$20,CN6&lt;&gt;"",CP6&gt;=CU$24,CP6&lt;&gt;"",CJ6=""),AND(CR6&gt;=CU$20,CR6&lt;&gt;"",CT6&gt;=CU$24,CT6&lt;&gt;"",CJ6=""),AND(DR6&gt;=EE$20,DR6&lt;&gt;"",DT6&gt;=EE$24,DT6&lt;&gt;""),AND(DU6&gt;=EE$20,DU6&lt;&gt;"",DW6&gt;=EE$24,DW6&lt;&gt;""),AND(DY6&gt;=EE$20,DY6&lt;&gt;"",EA6&gt;=EE$24,EA6&lt;&gt;""),AND(EB6&gt;=EE$20,EB6&lt;&gt;"",ED6&gt;=EE$24,ED6&lt;&gt;""),AND(EZ6&gt;=FM$20,EZ6&lt;&gt;"",FB6&gt;=FM$24,FB6&lt;&gt;""),AND(FC6&gt;=FM$20,FC6&lt;&gt;"",FE6&gt;=FM$24,FE6&lt;&gt;""),AND(FG6&gt;=FM$20,FG6&lt;&gt;"",FI6&gt;=FM$24,FI6&lt;&gt;""),AND(FJ6&gt;=FM$20,FJ6&lt;&gt;"",FL6&gt;=FM$24,FL6&lt;&gt;""),AND(GH6&gt;=GU$20,GH6&lt;&gt;"",GJ6&gt;=GU$24,GJ6&lt;&gt;""),AND(GK6&gt;=GU$20,GK6&lt;&gt;"",GM6&gt;=GU$24,GM6&lt;&gt;""),AND(GO6&gt;=GU$20,GO6&lt;&gt;"",GQ6&gt;=GU$24,GQ6&lt;&gt;""),AND(GR6&gt;=GU$20,GR6&lt;&gt;"",GT6&gt;=GU$24,GT6&lt;&gt;""),AND(HP6&gt;=IC$20,HP6&lt;&gt;"",HR6&gt;=IC$24,HR6&lt;&gt;""),AND(HS6&gt;=IC$20,HS6&lt;&gt;"",HU6&gt;=IC$24,HU6&lt;&gt;""),AND(HW6&gt;=IC$20,HW6&lt;&gt;"",HY6&gt;=IC$24,HY6&lt;&gt;""),AND(HZ6&gt;=IC$20,HZ6&lt;&gt;"",IB6&gt;=IC$24,IB6&lt;&gt;""),AND(IX6&gt;=JK$20,IX6&lt;&gt;"",IZ6&gt;=JK$24,IZ6&lt;&gt;""),AND(JA6&gt;=JK$20,JA6&lt;&gt;"",JC6&gt;=JK$24,JC6&lt;&gt;""),AND(JE6&gt;=JK$20,JE6&lt;&gt;"",JG6&gt;=JK$24,JG6&lt;&gt;""),AND(JH6&gt;=JK$20,JH6&lt;&gt;"",JJ6&gt;=JK$24,JJ6&lt;&gt;""),AND(KF6&gt;=KS$20,KF6&lt;&gt;"",KH6&gt;=KS$24,KH6&lt;&gt;""),AND(KI6&gt;=KS$20,KI6&lt;&gt;"",KK6&gt;=KS$24,KK6&lt;&gt;""),AND(KM6&gt;=KS$20,KM6&lt;&gt;"",KO6&gt;=KS$24,KO6&lt;&gt;""),AND(KP6&gt;=KS$20,KP6&lt;&gt;"",KR6&gt;=KS$24,KR6&lt;&gt;""),AND(LN6&gt;=MA$20,LN6&lt;&gt;"",LP6&gt;=MA$24,LP6&lt;&gt;""),AND(LQ6&gt;=MA$20,LQ6&lt;&gt;"",LS6&gt;=MA$24,LS6&lt;&gt;""),AND(LU6&gt;=MA$20,LU6&lt;&gt;"",LW6&gt;=MA$24,LW6&lt;&gt;""),AND(LX6&gt;=MA$20,LX6&lt;&gt;"",LZ6&gt;=MA$24,LZ6&lt;&gt;""),AND(MV6&gt;=NI$20,MV6&lt;&gt;"",MX6&gt;=NI$24,MX6&lt;&gt;""),AND(MY6&gt;=NI$20,MY6&lt;&gt;"",NA6&gt;=NI$24,NA6&lt;&gt;""),AND(NC6&gt;=NI$20,NC6&lt;&gt;"",NE6&gt;=NI$24,NE6&lt;&gt;""),AND(NF6&gt;=NI$20,NF6&lt;&gt;"",NH6&gt;=NI$24,NH6&lt;&gt;""),AND(OD6&gt;=OQ$20,OD6&lt;&gt;"",OF6&gt;=OQ$24,OF6&lt;&gt;""),AND(OG6&gt;=OQ$20,OG6&lt;&gt;"",OI6&gt;=OQ$24,OI6&lt;&gt;""),AND(OK6&gt;=OQ$20,OK6&lt;&gt;"",OM6&gt;=OQ$24,OM6&lt;&gt;""),AND(ON6&gt;=OQ$20,ON6&lt;&gt;"",OP6&gt;=OQ$24,OP6&lt;&gt;""),AND(PL6&gt;=PY$20,PL6&lt;&gt;"",PN6&gt;=PY$24,PN6&lt;&gt;""),AND(PO6&gt;=PY$20,PO6&lt;&gt;"",PQ6&gt;=PY$24,PQ6&lt;&gt;""),AND(PS6&gt;=PY$20,PS6&lt;&gt;"",PU6&gt;=PY$24,PU6&lt;&gt;""),AND(PV6&gt;=PY$20,PV6&lt;&gt;"",PX6&gt;=PY$24,PX6&lt;&gt;""),AND(QT6&gt;=RG$20,QT6&lt;&gt;"",QV6&gt;=RG$24,QV6&lt;&gt;""),AND(QW6&gt;=RG$20,QW6&lt;&gt;"",QY6&gt;=RG$24,QY6&lt;&gt;""),AND(RA6&gt;=RG$20,RA6&lt;&gt;"",RC6&gt;=RG$24,RC6&lt;&gt;""),AND(RD6&gt;=RG$20,RD6&lt;&gt;"",RF6&gt;=RG$24,RF6&lt;&gt;""),AND(SB6&gt;=SO$20,SB6&lt;&gt;"",SD6&gt;=SO$24,SD6&lt;&gt;""),AND(SE6&gt;=SO$20,SE6&lt;&gt;"",SG6&gt;=SO$24,SG6&lt;&gt;""),AND(SI6&gt;=SO$20,SI6&lt;&gt;"",SK6&gt;=SO$24,SK6&lt;&gt;""),AND(SL6&gt;=SO$20,SL6&lt;&gt;"",SN6&gt;=SO$24,SN6&lt;&gt;""),AND(TJ6&gt;=TW$20,TJ6&lt;&gt;"",TL6&gt;=TW$24,TL6&lt;&gt;""),AND(TM6&gt;=TW$20,TM6&lt;&gt;"",TO6&gt;=TW$24,TO6&lt;&gt;""),AND(TQ6&gt;=TW$20,TQ6&lt;&gt;"",TS6&gt;=TW$344,TXQ6&lt;&gt;""),AND(TT6&gt;=TW$20,TT6&lt;&gt;"",TV6&gt;=TW$24,TV6&lt;&gt;""),AND(UR6&gt;=VE$20,UR6&lt;&gt;"",UT6&gt;=VE$24,UT6&lt;&gt;""),AND(UU6&gt;=VE$20,UU6&lt;&gt;"",UW6&gt;=VE$24,UW6&lt;&gt;""),AND(UY6&gt;=VE$20,UY6&lt;&gt;"",VA6&gt;=VE$24,VA6&lt;&gt;""),AND(VB6&gt;=VE$20,VB6&lt;&gt;"",VD6&gt;=VE$24,VD6&lt;&gt;""),AND(VZ6&gt;=WM$20,VZ6&lt;&gt;"",WB6&gt;=WM$24,WB6&lt;&gt;""),AND(WC6&gt;=WM$20,WC6&lt;&gt;"",WE6&gt;=WM$24,WE6&lt;&gt;""),AND(WG6&gt;=WM$20,WG6&lt;&gt;"",WI6&gt;=WM$24,WI6&lt;&gt;""),AND(WJ6&gt;=WM$20,WJ6&lt;&gt;"",WL6&gt;=WM$24,WL6&lt;&gt;"")),"Merit",IF(OR(AND(AI6&gt;=AS$19,AI6&lt;&gt;"",AK6&gt;=AS$23,AK6&lt;&gt;"",AH6=""),AND(AL6&gt;=AS$19,AL6&lt;&gt;"",AN6&gt;=AS$23,AN6&lt;&gt;"",AH6=""),AND(AP6&gt;=AS$19,AP6&lt;&gt;"",AR6&gt;=AS$23,AR6&lt;&gt;"",AH6=""),AND(BJ6&gt;=BT$19,BJ6&lt;&gt;"",BL6&gt;=BT$23,BL6&lt;&gt;"",BI6=""),AND(BM6&gt;=BT$19,BM6&lt;&gt;"",BO6&gt;=BT$23,BO6&lt;&gt;"",BI6=""),AND(BQ6&gt;=BT$19,BQ6&lt;&gt;"",BS6&gt;=BT$23,BS6&lt;&gt;"",BI6=""),AND(CK6&gt;=CU$19,CK6&lt;&gt;"",CM6&gt;=CU$23,CM6&lt;&gt;"",CJ6=""),AND(CN6&gt;=CU$19,CN6&lt;&gt;"",CP6&gt;=CU$23,CP6&lt;&gt;"",CJ6=""),AND(CR6&gt;=CU$19,CR6&lt;&gt;"",CT6&gt;=CU$23,CT6&lt;&gt;"",CJ6=""),AND(DR6&gt;=EE$19,DR6&lt;&gt;"",DT6&gt;=EE$23,DT6&lt;&gt;""),AND(DU6&gt;=EE$19,DU6&lt;&gt;"",DW6&gt;=EE$23,DW6&lt;&gt;""),AND(DY6&gt;=EE$19,DY6&lt;&gt;"",EA6&gt;=EE$23,EA6&lt;&gt;""),AND(EB6&gt;=EE$19,EB6&lt;&gt;"",ED6&gt;=EE$23,ED6&lt;&gt;""),AND(EZ6&gt;=FM$19,EZ6&lt;&gt;"",FB6&gt;=FM$23,FB6&lt;&gt;""),AND(FC6&gt;=FM$19,FC6&lt;&gt;"",FE6&gt;=FM$23,FE6&lt;&gt;""),AND(FG6&gt;=FM$19,FG6&lt;&gt;"",FI6&gt;=FM$23,FI6&lt;&gt;""),AND(FJ6&gt;=FM$19,FJ6&lt;&gt;"",FL6&gt;=FM$23,FL6&lt;&gt;""),AND(GH6&gt;=GU$19,GH6&lt;&gt;"",GJ6&gt;=GU$23,GJ6&lt;&gt;""),AND(GK6&gt;=GU$19,GK6&lt;&gt;"",GM6&gt;=GU$23,GM6&lt;&gt;""),AND(GO6&gt;=GU$19,GO6&lt;&gt;"",GQ6&gt;=GU$23,GQ6&lt;&gt;""),AND(GR6&gt;=GU$19,GR6&lt;&gt;"",GT6&gt;=GU$23,GT6&lt;&gt;""),AND(HP6&gt;=IC$19,HP6&lt;&gt;"",HR6&gt;=IC$23,HR6&lt;&gt;""),AND(HS6&gt;=IC$19,HS6&lt;&gt;"",HU6&gt;=IC$23,HU6&lt;&gt;""),AND(HW6&gt;=IC$19,HW6&lt;&gt;"",HY6&gt;=IC$23,HY6&lt;&gt;""),AND(HZ6&gt;=IC$19,HZ6&lt;&gt;"",IB6&gt;=IC$23,IB6&lt;&gt;""),AND(IX6&gt;=JK$19,IX6&lt;&gt;"",IZ6&gt;=JK$23,IZ6&lt;&gt;""),AND(JA6&gt;=JK$19,JA6&lt;&gt;"",JC6&gt;=JK$23,JC6&lt;&gt;""),AND(JE6&gt;=JK$19,JE6&lt;&gt;"",JG6&gt;=JK$23,JG6&lt;&gt;""),AND(JH6&gt;=JK$19,JH6&lt;&gt;"",JJ6&gt;=JK$23,JJ6&lt;&gt;""),AND(KF6&gt;=KS$19,KF6&lt;&gt;"",KH6&gt;=KS$23,KH6&lt;&gt;""),AND(KI6&gt;=KS$19,KI6&lt;&gt;"",KK6&gt;=KS$23,KK6&lt;&gt;""),AND(KM6&gt;=KS$19,KM6&lt;&gt;"",KO6&gt;=KS$23,KO6&lt;&gt;""),AND(KP6&gt;=KS$19,KP6&lt;&gt;"",KR6&gt;=KS$23,KR6&lt;&gt;""),AND(LN6&gt;=MA$19,LN6&lt;&gt;"",LP6&gt;=MA$23,LP6&lt;&gt;""),AND(LQ6&gt;=MA$19,LQ6&lt;&gt;"",LS6&gt;=MA$23,LS6&lt;&gt;""),AND(LU6&gt;=MA$19,LU6&lt;&gt;"",LW6&gt;=MA$23,LW6&lt;&gt;""),AND(LX6&gt;=MA$19,LX6&lt;&gt;"",LZ6&gt;=MA$23,LZ6&lt;&gt;""),AND(MV6&gt;=NI$19,MV6&lt;&gt;"",MX6&gt;=NI$23,MX6&lt;&gt;""),AND(MY6&gt;=NI$19,MY6&lt;&gt;"",NA6&gt;=NI$23,NA6&lt;&gt;""),AND(NC6&gt;=NI$19,NC6&lt;&gt;"",NE6&gt;=NI$23,NE6&lt;&gt;""),AND(NF6&gt;=NI$19,NF6&lt;&gt;"",NH6&gt;=NI$23,NH6&lt;&gt;""),AND(OD6&gt;=OQ$19,OD6&lt;&gt;"",OF6&gt;=OQ$23,OF6&lt;&gt;""),AND(OG6&gt;=OQ$19,OG6&lt;&gt;"",OI6&gt;=OQ$23,OI6&lt;&gt;""),AND(OK6&gt;=OQ$19,OK6&lt;&gt;"",OM6&gt;=OQ$23,OM6&lt;&gt;""),AND(ON6&gt;=OQ$19,ON6&lt;&gt;"",OP6&gt;=OQ$23,OP6&lt;&gt;""),AND(PL6&gt;=PY$19,PL6&lt;&gt;"",PN6&gt;=PY$23,PN6&lt;&gt;""),AND(PO6&gt;=PY$19,PO6&lt;&gt;"",PQ6&gt;=PY$23,PQ6&lt;&gt;""),AND(PS6&gt;=PY$19,PS6&lt;&gt;"",PU6&gt;=PY$23,PU6&lt;&gt;""),AND(PV6&gt;=PY$19,PV6&lt;&gt;"",PX6&gt;=PY$23,PX6&lt;&gt;""),AND(QT6&gt;=RG$19,QT6&lt;&gt;"",QV6&gt;=RG$23,QV6&lt;&gt;""),AND(QW6&gt;=RG$19,QW6&lt;&gt;"",QY6&gt;=RG$23,QY6&lt;&gt;""),AND(RA6&gt;=RG$19,RA6&lt;&gt;"",RC6&gt;=RG$23,RC6&lt;&gt;""),AND(RD6&gt;=RG$19,RD6&lt;&gt;"",RF6&gt;=RG$23,RF6&lt;&gt;""),AND(SB6&gt;=SO$19,SB6&lt;&gt;"",SD6&gt;=SO$23,SD6&lt;&gt;""),AND(SE6&gt;=SO$19,SE6&lt;&gt;"",SG6&gt;=SO$23,SG6&lt;&gt;""),AND(SI6&gt;=SO$19,SI6&lt;&gt;"",SK6&gt;=SO$23,SK6&lt;&gt;""),AND(SL6&gt;=SO$19,SL6&lt;&gt;"",SN6&gt;=SO$23,SN6&lt;&gt;""),AND(TJ6&gt;=TW$19,TJ6&lt;&gt;"",TL6&gt;=TW$23,TL6&lt;&gt;""),AND(TM6&gt;=TW$19,TM6&lt;&gt;"",TO6&gt;=TW$23,TO6&lt;&gt;""),AND(TQ6&gt;=TW$19,TQ6&lt;&gt;"",TS6&gt;=TW$23,TXQ6&lt;&gt;""),AND(TT6&gt;=TW$19,TT6&lt;&gt;"",TV6&gt;=TW$23,TV6&lt;&gt;""),AND(UR6&gt;=VE$19,UR6&lt;&gt;"",UT6&gt;=VE$23,UT6&lt;&gt;""),AND(UU6&gt;=VE$19,UU6&lt;&gt;"",UW6&gt;=VE$23,UW6&lt;&gt;""),AND(UY6&gt;=VE$19,UY6&lt;&gt;"",VA6&gt;=VE$23,VA6&lt;&gt;""),AND(VB6&gt;=VE$19,VB6&lt;&gt;"",VD6&gt;=VE$23,VD6&lt;&gt;""),AND(VZ6&gt;=WM$19,VZ6&lt;&gt;"",WB6&gt;=WM$23,WB6&lt;&gt;""),AND(WC6&gt;=WM$19,WC6&lt;&gt;"",WE6&gt;=WM$23,WE6&lt;&gt;""),AND(WG6&gt;=WM$19,WG6&lt;&gt;"",WI6&gt;=WM$23,WI6&lt;&gt;""),AND(WJ6&gt;=WM$19,WJ6&lt;&gt;"",WL6&gt;=WM$23,WL6&lt;&gt;"")),"Excellence",IF(I6="P","Worlds Team",IF(F6="P","National Team","")))))</f>
        <v>National Team</v>
      </c>
      <c r="I6" s="3" t="str">
        <f>IF(OR(AND(AI6&gt;=AS$18,AI6&lt;&gt;"",AK6&gt;=AS$22,AK6&lt;&gt;"",AH6=""),AND(AL6&gt;=AS$18,AL6&lt;&gt;"",AN6&gt;=AS$22,AN6&lt;&gt;"",AH6=""),AND(AP6&gt;=AS$18,AP6&lt;&gt;"",AR6&gt;=AS$22,AR6&lt;&gt;"",AH6=""),AND(BJ6&gt;=BT$18,BJ6&lt;&gt;"",BL6&gt;=BT$22,BL6&lt;&gt;"",BI6=""),AND(BM6&gt;=BT$18,BM6&lt;&gt;"",BO6&gt;=BT$22,BO6&lt;&gt;"",BI6=""),AND(BQ6&gt;=BT$18,BQ6&lt;&gt;"",BS6&gt;=BT$22,BS6&lt;&gt;"",BI6=""),AND(CK6&gt;=CU$18,CK6&lt;&gt;"",CM6&gt;=CU$22,CM6&lt;&gt;"",CJ6=""),AND(CN6&gt;=CU$18,CN6&lt;&gt;"",CP6&gt;=CU$22,CP6&lt;&gt;"",CJ6=""),AND(CR6&gt;=CU$18,CR6&lt;&gt;"",CT6&gt;=CU$22,CT6&lt;&gt;"",CJ6=""),AND(DR6&gt;=EE$18,DR6&lt;&gt;"",DT6&gt;=EE$22,DT6&lt;&gt;""),AND(DU6&gt;=EE$18,DU6&lt;&gt;"",DW6&gt;=EE$22,DW6&lt;&gt;""),AND(DY6&gt;=EE$18,DY6&lt;&gt;"",EA6&gt;=EE$22,EA6&lt;&gt;""),AND(EB6&gt;=EE$18,EB6&lt;&gt;"",ED6&gt;=EE$22,ED6&lt;&gt;""),AND(EZ6&gt;=FM$18,EZ6&lt;&gt;"",FB6&gt;=FM$22,FB6&lt;&gt;""),AND(FC6&gt;=FM$18,FC6&lt;&gt;"",FE6&gt;=FM$22,FE6&lt;&gt;""),AND(FG6&gt;=FM$18,FG6&lt;&gt;"",FI6&gt;=FM$22,FI6&lt;&gt;""),AND(FJ6&gt;=FM$18,FJ6&lt;&gt;"",FL6&gt;=FM$22,FL6&lt;&gt;""),AND(GH6&gt;=GU$18,GH6&lt;&gt;"",GJ6&gt;=GU$22,GJ6&lt;&gt;""),AND(GK6&gt;=GU$18,GK6&lt;&gt;"",GM6&gt;=GU$22,GM6&lt;&gt;""),AND(GO6&gt;=GU$18,GO6&lt;&gt;"",GQ6&gt;=GU$22,GQ6&lt;&gt;""),AND(GR6&gt;=GU$18,GR6&lt;&gt;"",GT6&gt;=GU$22,GT6&lt;&gt;""),AND(HP6&gt;=IC$18,HP6&lt;&gt;"",HR6&gt;=IC$22,HR6&lt;&gt;""),AND(HS6&gt;=IC$18,HS6&lt;&gt;"",HU6&gt;=IC$22,HU6&lt;&gt;""),AND(HW6&gt;=IC$18,HW6&lt;&gt;"",HY6&gt;=IC$22,HY6&lt;&gt;""),AND(HZ6&gt;=IC$18,HZ6&lt;&gt;"",IB6&gt;=IC$22,IB6&lt;&gt;""),AND(IX6&gt;=JK$18,IX6&lt;&gt;"",IZ6&gt;=JK$22,IZ6&lt;&gt;""),AND(JA6&gt;=JK$18,JA6&lt;&gt;"",JC6&gt;=JK$22,JC6&lt;&gt;""),AND(JE6&gt;=JK$18,JE6&lt;&gt;"",JG6&gt;=JK$22,JG6&lt;&gt;""),AND(JH6&gt;=JK$18,JH6&lt;&gt;"",JJ6&gt;=JK$22,JJ6&lt;&gt;""),AND(KF6&gt;=KS$18,KF6&lt;&gt;"",KH6&gt;=KS$22,KH6&lt;&gt;""),AND(KI6&gt;=KS$18,KI6&lt;&gt;"",KK6&gt;=KS$22,KK6&lt;&gt;""),AND(KM6&gt;=KS$18,KM6&lt;&gt;"",KO6&gt;=KS$22,KO6&lt;&gt;""),AND(KP6&gt;=KS$18,KP6&lt;&gt;"",KR6&gt;=KS$22,KR6&lt;&gt;""),AND(LN6&gt;=MA$18,LN6&lt;&gt;"",LP6&gt;=MA$22,LP6&lt;&gt;""),AND(LQ6&gt;=MA$18,LQ6&lt;&gt;"",LS6&gt;=MA$22,LS6&lt;&gt;""),AND(LU6&gt;=MA$18,LU6&lt;&gt;"",LW6&gt;=MA$22,LW6&lt;&gt;""),AND(LX6&gt;=MA$18,LX6&lt;&gt;"",LZ6&gt;=MA$22,LZ6&lt;&gt;""),AND(MV6&gt;=NI$18,MV6&lt;&gt;"",MX6&gt;=NI$22,MX6&lt;&gt;""),AND(MY6&gt;=NI$18,MY6&lt;&gt;"",NA6&gt;=NI$22,NA6&lt;&gt;""),AND(NC6&gt;=NI$18,NC6&lt;&gt;"",NE6&gt;=NI$22,NE6&lt;&gt;""),AND(NF6&gt;=NI$18,NF6&lt;&gt;"",NH6&gt;=NI$22,NH6&lt;&gt;""),AND(OD6&gt;=OQ$18,OD6&lt;&gt;"",OF6&gt;=OQ$22,OF6&lt;&gt;""),AND(OG6&gt;=OQ$18,OG6&lt;&gt;"",OI6&gt;=OQ$22,OI6&lt;&gt;""),AND(OK6&gt;=OQ$18,OK6&lt;&gt;"",OM6&gt;=OQ$22,OM6&lt;&gt;""),AND(ON6&gt;=OQ$18,ON6&lt;&gt;"",OP6&gt;=OQ$22,OP6&lt;&gt;""),AND(PL6&gt;=PY$18,PL6&lt;&gt;"",PN6&gt;=PY$22,PN6&lt;&gt;""),AND(PO6&gt;=PY$18,PO6&lt;&gt;"",PQ6&gt;=PY$22,PQ6&lt;&gt;""),AND(PS6&gt;=PY$18,PS6&lt;&gt;"",PU6&gt;=PY$22,PU6&lt;&gt;""),AND(PV6&gt;=PY$18,PV6&lt;&gt;"",PX6&gt;=PY$22,PX6&lt;&gt;""),AND(QT6&gt;=RG$18,QT6&lt;&gt;"",QV6&gt;=RG$22,QV6&lt;&gt;""),AND(QW6&gt;=RG$18,QW6&lt;&gt;"",QY6&gt;=RG$22,QY6&lt;&gt;""),AND(RA6&gt;=RG$18,RA6&lt;&gt;"",RC6&gt;=RG$22,RC6&lt;&gt;""),AND(RD6&gt;=RG$18,RD6&lt;&gt;"",RF6&gt;=RG$22,RF6&lt;&gt;""),AND(SB6&gt;=SO$18,SB6&lt;&gt;"",SD6&gt;=SO$22,SD6&lt;&gt;""),AND(SE6&gt;=SO$18,SE6&lt;&gt;"",SG6&gt;=SO$22,SG6&lt;&gt;""),AND(SI6&gt;=SO$18,SI6&lt;&gt;"",SK6&gt;=SO$22,SK6&lt;&gt;""),AND(SL6&gt;=SO$18,SL6&lt;&gt;"",SN6&gt;=SO$22,SN6&lt;&gt;""),AND(TJ6&gt;=TW$18,TJ6&lt;&gt;"",TL6&gt;=TW$22,TL6&lt;&gt;""),AND(TM6&gt;=TW$18,TM6&lt;&gt;"",TO6&gt;=TW$22,TO6&lt;&gt;""),AND(TQ6&gt;=TW$18,TQ6&lt;&gt;"",TS6&gt;=TW$22,TXQ6&lt;&gt;""),AND(TT6&gt;=TW$18,TT6&lt;&gt;"",TV6&gt;=TW$22,TV6&lt;&gt;""),AND(UR6&gt;=VE$18,UR6&lt;&gt;"",UT6&gt;=VE$22,UT6&lt;&gt;""),AND(UU6&gt;=VE$18,UU6&lt;&gt;"",UW6&gt;=VE$22,UW6&lt;&gt;""),AND(UY6&gt;=VE$18,UY6&lt;&gt;"",VA6&gt;=VE$22,VA6&lt;&gt;""),AND(VB6&gt;=VE$18,VB6&lt;&gt;"",VD6&gt;=VE$22,VD6&lt;&gt;""),AND(VZ6&gt;=WM$18,VZ6&lt;&gt;"",WB6&gt;=WM$22,WB6&lt;&gt;""),AND(WC6&gt;=WM$18,WC6&lt;&gt;"",WE6&gt;=WM$22,WE6&lt;&gt;""),AND(WG6&gt;=WM$18,WG6&lt;&gt;"",WI6&gt;=WM$22,WI6&lt;&gt;""),AND(WJ6&gt;=WM$18,WJ6&lt;&gt;"",WL6&gt;=WM$22,WL6&lt;&gt;"")),"P","")</f>
        <v/>
      </c>
      <c r="J6" s="8">
        <f t="shared" si="1"/>
        <v>32.94</v>
      </c>
      <c r="K6" s="8" t="str">
        <f t="shared" si="2"/>
        <v>2025 3rd Domestic Trial</v>
      </c>
      <c r="L6" s="8">
        <f>IFERROR(IF(J6=AR6,LARGE((AK6,AN6,BL6,BO6,BS6,CM6,CP6,CT6),1),IF(J6=BS6,LARGE((AK6,AN6,AR6,BL6,BO6,CM6,CP6,CT6),1),LARGE((AK6,AN6,AR6,BL6,BO6,BS6,CM6,CP6),1))),0)</f>
        <v>53.745000000000005</v>
      </c>
      <c r="M6" s="8" t="str">
        <f t="shared" si="3"/>
        <v>2025 3rd Domestic Trial</v>
      </c>
      <c r="N6" s="8">
        <f>IFERROR(IF(J6=AR6,LARGE((AK6,AN6,BL6,BO6,BS6,CM6,CP6,CT6),2),IF(J6=BS6,LARGE((AK6,AN6,AR6,BL6,BO6,CM6,CP6,CT6),2),LARGE((AK6,AN6,AR6,BL6,BO6,BS6,CM6,CP6),2))),0)</f>
        <v>53.745000000000005</v>
      </c>
      <c r="O6" s="8" t="str">
        <f t="shared" si="4"/>
        <v>2025 3rd Domestic Trial</v>
      </c>
      <c r="P6" s="8">
        <f t="shared" si="5"/>
        <v>17.850000000000001</v>
      </c>
      <c r="Q6" s="11" t="str">
        <f t="shared" si="6"/>
        <v>(Final)</v>
      </c>
      <c r="R6" s="8" t="str">
        <f t="shared" si="7"/>
        <v>2025 World Cup ITA (April 6)</v>
      </c>
      <c r="S6" s="18">
        <v>15.75</v>
      </c>
      <c r="T6" s="18">
        <v>9.25</v>
      </c>
      <c r="U6" s="18">
        <v>14.1</v>
      </c>
      <c r="V6" s="18">
        <v>14.645</v>
      </c>
      <c r="W6" s="18">
        <v>0</v>
      </c>
      <c r="X6" s="18">
        <v>8.7000000000000011</v>
      </c>
      <c r="Y6" s="18">
        <v>4.8000000000000007</v>
      </c>
      <c r="Z6" s="18">
        <v>8</v>
      </c>
      <c r="AA6" s="18">
        <v>8.3000000000000007</v>
      </c>
      <c r="AB6" s="18">
        <v>0</v>
      </c>
      <c r="AC6" s="18">
        <v>9.7999999999999989</v>
      </c>
      <c r="AD6" s="18">
        <v>5.6000000000000005</v>
      </c>
      <c r="AE6" s="18">
        <v>8.6999999999999993</v>
      </c>
      <c r="AF6" s="18">
        <v>8.84</v>
      </c>
      <c r="AG6" s="18">
        <v>0</v>
      </c>
      <c r="AH6" s="23" t="s">
        <v>42</v>
      </c>
      <c r="AI6" s="34">
        <f t="shared" si="8"/>
        <v>14.1</v>
      </c>
      <c r="AJ6" s="34">
        <f t="shared" si="9"/>
        <v>14.645</v>
      </c>
      <c r="AK6" s="36">
        <f t="shared" si="10"/>
        <v>53.745000000000005</v>
      </c>
      <c r="AL6" s="36">
        <f t="shared" si="11"/>
        <v>8</v>
      </c>
      <c r="AM6" s="36">
        <f t="shared" si="12"/>
        <v>8.3000000000000007</v>
      </c>
      <c r="AN6" s="36">
        <f t="shared" si="13"/>
        <v>29.8</v>
      </c>
      <c r="AO6" s="36">
        <f t="shared" si="14"/>
        <v>53.745000000000005</v>
      </c>
      <c r="AP6" s="36">
        <f t="shared" si="15"/>
        <v>8.6999999999999993</v>
      </c>
      <c r="AQ6" s="36">
        <f t="shared" si="16"/>
        <v>8.84</v>
      </c>
      <c r="AR6" s="36">
        <f t="shared" si="17"/>
        <v>32.94</v>
      </c>
      <c r="AS6" s="36">
        <f t="shared" si="18"/>
        <v>86.685000000000002</v>
      </c>
      <c r="AT6" s="22">
        <v>15.75</v>
      </c>
      <c r="AU6" s="22">
        <v>9.25</v>
      </c>
      <c r="AV6" s="22">
        <v>14.1</v>
      </c>
      <c r="AW6" s="22">
        <v>14.645</v>
      </c>
      <c r="AX6" s="22">
        <v>0</v>
      </c>
      <c r="AY6" s="22">
        <v>8.7000000000000011</v>
      </c>
      <c r="AZ6" s="22">
        <v>4.8000000000000007</v>
      </c>
      <c r="BA6" s="22">
        <v>8</v>
      </c>
      <c r="BB6" s="22">
        <v>8.3000000000000007</v>
      </c>
      <c r="BC6" s="22">
        <v>0</v>
      </c>
      <c r="BD6" s="22">
        <v>9.7999999999999989</v>
      </c>
      <c r="BE6" s="22">
        <v>5.6000000000000005</v>
      </c>
      <c r="BF6" s="22">
        <v>8.6999999999999993</v>
      </c>
      <c r="BG6" s="22">
        <v>8.84</v>
      </c>
      <c r="BH6" s="22">
        <v>0</v>
      </c>
      <c r="BI6" s="24" t="s">
        <v>42</v>
      </c>
      <c r="BJ6" s="35">
        <f t="shared" si="19"/>
        <v>14.1</v>
      </c>
      <c r="BK6" s="35">
        <f t="shared" si="20"/>
        <v>14.645</v>
      </c>
      <c r="BL6" s="11">
        <f t="shared" si="21"/>
        <v>53.745000000000005</v>
      </c>
      <c r="BM6" s="11">
        <f t="shared" si="22"/>
        <v>8</v>
      </c>
      <c r="BN6" s="11">
        <f t="shared" si="23"/>
        <v>8.3000000000000007</v>
      </c>
      <c r="BO6" s="11">
        <f t="shared" si="24"/>
        <v>29.8</v>
      </c>
      <c r="BP6" s="11">
        <f t="shared" si="25"/>
        <v>53.745000000000005</v>
      </c>
      <c r="BQ6" s="11">
        <f t="shared" si="26"/>
        <v>8.6999999999999993</v>
      </c>
      <c r="BR6" s="11">
        <f t="shared" si="27"/>
        <v>8.84</v>
      </c>
      <c r="BS6" s="11">
        <f t="shared" si="28"/>
        <v>32.94</v>
      </c>
      <c r="BT6" s="11">
        <f t="shared" si="29"/>
        <v>86.685000000000002</v>
      </c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23"/>
      <c r="CK6" s="34" t="str">
        <f t="shared" si="30"/>
        <v/>
      </c>
      <c r="CL6" s="34" t="str">
        <f t="shared" si="31"/>
        <v/>
      </c>
      <c r="CM6" s="36" t="str">
        <f t="shared" si="32"/>
        <v/>
      </c>
      <c r="CN6" s="36" t="str">
        <f t="shared" si="33"/>
        <v/>
      </c>
      <c r="CO6" s="36" t="str">
        <f t="shared" si="34"/>
        <v/>
      </c>
      <c r="CP6" s="36" t="str">
        <f t="shared" si="35"/>
        <v/>
      </c>
      <c r="CQ6" s="36" t="str">
        <f t="shared" si="36"/>
        <v/>
      </c>
      <c r="CR6" s="36" t="str">
        <f t="shared" si="37"/>
        <v/>
      </c>
      <c r="CS6" s="36" t="str">
        <f t="shared" si="38"/>
        <v/>
      </c>
      <c r="CT6" s="36" t="str">
        <f t="shared" si="39"/>
        <v/>
      </c>
      <c r="CU6" s="36" t="str">
        <f t="shared" si="40"/>
        <v/>
      </c>
      <c r="CV6" s="47">
        <f t="shared" si="41"/>
        <v>17.850000000000001</v>
      </c>
      <c r="CW6" s="47" t="str">
        <f t="shared" si="42"/>
        <v/>
      </c>
      <c r="CX6" s="15">
        <v>14.2</v>
      </c>
      <c r="CY6" s="15">
        <v>9</v>
      </c>
      <c r="CZ6" s="15">
        <v>13.4</v>
      </c>
      <c r="DA6" s="15">
        <v>13.79</v>
      </c>
      <c r="DB6" s="15">
        <v>0</v>
      </c>
      <c r="DC6" s="15">
        <v>15</v>
      </c>
      <c r="DD6" s="15">
        <v>9</v>
      </c>
      <c r="DE6" s="15">
        <v>13.4</v>
      </c>
      <c r="DF6" s="15">
        <v>14.27</v>
      </c>
      <c r="DG6" s="15">
        <v>0</v>
      </c>
      <c r="DH6" s="15">
        <v>13.6</v>
      </c>
      <c r="DI6" s="15">
        <v>9.8000000000000007</v>
      </c>
      <c r="DJ6" s="15">
        <v>13.4</v>
      </c>
      <c r="DK6" s="15">
        <v>13.99</v>
      </c>
      <c r="DL6" s="15">
        <v>0</v>
      </c>
      <c r="DM6" s="15"/>
      <c r="DN6" s="15"/>
      <c r="DO6" s="15"/>
      <c r="DP6" s="15"/>
      <c r="DQ6" s="15"/>
      <c r="DR6" s="36">
        <f t="shared" si="43"/>
        <v>13.4</v>
      </c>
      <c r="DS6" s="36">
        <f t="shared" si="44"/>
        <v>13.79</v>
      </c>
      <c r="DT6" s="36">
        <f t="shared" si="45"/>
        <v>50.39</v>
      </c>
      <c r="DU6" s="36">
        <f t="shared" si="46"/>
        <v>13.4</v>
      </c>
      <c r="DV6" s="36">
        <f t="shared" si="47"/>
        <v>14.27</v>
      </c>
      <c r="DW6" s="36">
        <f t="shared" si="48"/>
        <v>51.67</v>
      </c>
      <c r="DX6" s="36">
        <f t="shared" si="49"/>
        <v>51.67</v>
      </c>
      <c r="DY6" s="36">
        <f t="shared" si="50"/>
        <v>13.4</v>
      </c>
      <c r="DZ6" s="36">
        <f t="shared" si="51"/>
        <v>13.99</v>
      </c>
      <c r="EA6" s="36">
        <f t="shared" si="52"/>
        <v>50.79</v>
      </c>
      <c r="EB6" s="36" t="str">
        <f t="shared" si="53"/>
        <v/>
      </c>
      <c r="EC6" s="36" t="str">
        <f t="shared" si="54"/>
        <v/>
      </c>
      <c r="ED6" s="36" t="str">
        <f t="shared" si="55"/>
        <v/>
      </c>
      <c r="EE6" s="36">
        <f t="shared" si="56"/>
        <v>102.46000000000001</v>
      </c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1" t="str">
        <f t="shared" si="57"/>
        <v/>
      </c>
      <c r="FA6" s="11" t="str">
        <f t="shared" si="58"/>
        <v/>
      </c>
      <c r="FB6" s="11" t="str">
        <f t="shared" si="59"/>
        <v/>
      </c>
      <c r="FC6" s="11" t="str">
        <f t="shared" si="60"/>
        <v/>
      </c>
      <c r="FD6" s="11" t="str">
        <f t="shared" si="61"/>
        <v/>
      </c>
      <c r="FE6" s="11" t="str">
        <f t="shared" si="62"/>
        <v/>
      </c>
      <c r="FF6" s="11" t="str">
        <f t="shared" si="63"/>
        <v/>
      </c>
      <c r="FG6" s="11" t="str">
        <f t="shared" si="64"/>
        <v/>
      </c>
      <c r="FH6" s="11" t="str">
        <f t="shared" si="65"/>
        <v/>
      </c>
      <c r="FI6" s="11" t="str">
        <f t="shared" si="66"/>
        <v/>
      </c>
      <c r="FJ6" s="11" t="str">
        <f t="shared" si="67"/>
        <v/>
      </c>
      <c r="FK6" s="11" t="str">
        <f t="shared" si="68"/>
        <v/>
      </c>
      <c r="FL6" s="11" t="str">
        <f t="shared" si="69"/>
        <v/>
      </c>
      <c r="FM6" s="11" t="str">
        <f t="shared" si="70"/>
        <v/>
      </c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36" t="str">
        <f t="shared" si="71"/>
        <v/>
      </c>
      <c r="GI6" s="36" t="str">
        <f t="shared" si="72"/>
        <v/>
      </c>
      <c r="GJ6" s="36" t="str">
        <f t="shared" si="73"/>
        <v/>
      </c>
      <c r="GK6" s="36" t="str">
        <f t="shared" si="74"/>
        <v/>
      </c>
      <c r="GL6" s="36" t="str">
        <f t="shared" si="75"/>
        <v/>
      </c>
      <c r="GM6" s="36" t="str">
        <f t="shared" si="76"/>
        <v/>
      </c>
      <c r="GN6" s="36" t="str">
        <f t="shared" si="77"/>
        <v/>
      </c>
      <c r="GO6" s="36" t="str">
        <f t="shared" si="78"/>
        <v/>
      </c>
      <c r="GP6" s="36" t="str">
        <f t="shared" si="79"/>
        <v/>
      </c>
      <c r="GQ6" s="36" t="str">
        <f t="shared" si="80"/>
        <v/>
      </c>
      <c r="GR6" s="36" t="str">
        <f t="shared" si="81"/>
        <v/>
      </c>
      <c r="GS6" s="36" t="str">
        <f t="shared" si="82"/>
        <v/>
      </c>
      <c r="GT6" s="36" t="str">
        <f t="shared" si="83"/>
        <v/>
      </c>
      <c r="GU6" s="36" t="str">
        <f t="shared" si="84"/>
        <v/>
      </c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1" t="str">
        <f t="shared" si="85"/>
        <v/>
      </c>
      <c r="HQ6" s="11" t="str">
        <f t="shared" si="86"/>
        <v/>
      </c>
      <c r="HR6" s="11" t="str">
        <f t="shared" si="87"/>
        <v/>
      </c>
      <c r="HS6" s="11" t="str">
        <f t="shared" si="88"/>
        <v/>
      </c>
      <c r="HT6" s="11" t="str">
        <f t="shared" si="89"/>
        <v/>
      </c>
      <c r="HU6" s="11" t="str">
        <f t="shared" si="90"/>
        <v/>
      </c>
      <c r="HV6" s="11" t="str">
        <f t="shared" si="91"/>
        <v/>
      </c>
      <c r="HW6" s="11" t="str">
        <f t="shared" si="92"/>
        <v/>
      </c>
      <c r="HX6" s="11" t="str">
        <f t="shared" si="93"/>
        <v/>
      </c>
      <c r="HY6" s="11" t="str">
        <f t="shared" si="94"/>
        <v/>
      </c>
      <c r="HZ6" s="11" t="str">
        <f t="shared" si="95"/>
        <v/>
      </c>
      <c r="IA6" s="11" t="str">
        <f t="shared" si="96"/>
        <v/>
      </c>
      <c r="IB6" s="11" t="str">
        <f t="shared" si="97"/>
        <v/>
      </c>
      <c r="IC6" s="11" t="str">
        <f t="shared" si="98"/>
        <v/>
      </c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36" t="str">
        <f t="shared" si="99"/>
        <v/>
      </c>
      <c r="IY6" s="36" t="str">
        <f t="shared" si="100"/>
        <v/>
      </c>
      <c r="IZ6" s="36" t="str">
        <f t="shared" si="101"/>
        <v/>
      </c>
      <c r="JA6" s="36" t="str">
        <f t="shared" si="102"/>
        <v/>
      </c>
      <c r="JB6" s="36" t="str">
        <f t="shared" si="103"/>
        <v/>
      </c>
      <c r="JC6" s="36" t="str">
        <f t="shared" si="104"/>
        <v/>
      </c>
      <c r="JD6" s="36" t="str">
        <f t="shared" si="105"/>
        <v/>
      </c>
      <c r="JE6" s="36" t="str">
        <f t="shared" si="106"/>
        <v/>
      </c>
      <c r="JF6" s="36" t="str">
        <f t="shared" si="107"/>
        <v/>
      </c>
      <c r="JG6" s="36" t="str">
        <f t="shared" si="108"/>
        <v/>
      </c>
      <c r="JH6" s="36" t="str">
        <f t="shared" si="109"/>
        <v/>
      </c>
      <c r="JI6" s="36" t="str">
        <f t="shared" si="110"/>
        <v/>
      </c>
      <c r="JJ6" s="36" t="str">
        <f t="shared" si="111"/>
        <v/>
      </c>
      <c r="JK6" s="36" t="str">
        <f t="shared" si="112"/>
        <v/>
      </c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1" t="str">
        <f t="shared" si="113"/>
        <v/>
      </c>
      <c r="KG6" s="11" t="str">
        <f t="shared" si="114"/>
        <v/>
      </c>
      <c r="KH6" s="11" t="str">
        <f t="shared" si="115"/>
        <v/>
      </c>
      <c r="KI6" s="11" t="str">
        <f t="shared" si="116"/>
        <v/>
      </c>
      <c r="KJ6" s="11" t="str">
        <f t="shared" si="117"/>
        <v/>
      </c>
      <c r="KK6" s="11" t="str">
        <f t="shared" si="118"/>
        <v/>
      </c>
      <c r="KL6" s="11" t="str">
        <f t="shared" si="119"/>
        <v/>
      </c>
      <c r="KM6" s="11" t="str">
        <f t="shared" si="120"/>
        <v/>
      </c>
      <c r="KN6" s="11" t="str">
        <f t="shared" si="121"/>
        <v/>
      </c>
      <c r="KO6" s="11" t="str">
        <f t="shared" si="122"/>
        <v/>
      </c>
      <c r="KP6" s="11" t="str">
        <f t="shared" si="123"/>
        <v/>
      </c>
      <c r="KQ6" s="11" t="str">
        <f t="shared" si="124"/>
        <v/>
      </c>
      <c r="KR6" s="11" t="str">
        <f t="shared" si="125"/>
        <v/>
      </c>
      <c r="KS6" s="11" t="str">
        <f t="shared" si="126"/>
        <v/>
      </c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36" t="str">
        <f t="shared" si="127"/>
        <v/>
      </c>
      <c r="LO6" s="36" t="str">
        <f t="shared" si="128"/>
        <v/>
      </c>
      <c r="LP6" s="36" t="str">
        <f t="shared" si="129"/>
        <v/>
      </c>
      <c r="LQ6" s="36" t="str">
        <f t="shared" si="130"/>
        <v/>
      </c>
      <c r="LR6" s="36" t="str">
        <f t="shared" si="131"/>
        <v/>
      </c>
      <c r="LS6" s="36" t="str">
        <f t="shared" si="132"/>
        <v/>
      </c>
      <c r="LT6" s="36" t="str">
        <f t="shared" si="133"/>
        <v/>
      </c>
      <c r="LU6" s="36" t="str">
        <f t="shared" si="134"/>
        <v/>
      </c>
      <c r="LV6" s="36" t="str">
        <f t="shared" si="135"/>
        <v/>
      </c>
      <c r="LW6" s="36" t="str">
        <f t="shared" si="136"/>
        <v/>
      </c>
      <c r="LX6" s="36" t="str">
        <f t="shared" si="137"/>
        <v/>
      </c>
      <c r="LY6" s="36" t="str">
        <f t="shared" si="138"/>
        <v/>
      </c>
      <c r="LZ6" s="36" t="str">
        <f t="shared" si="139"/>
        <v/>
      </c>
      <c r="MA6" s="36" t="str">
        <f t="shared" si="140"/>
        <v/>
      </c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6"/>
      <c r="MT6" s="16"/>
      <c r="MU6" s="16"/>
      <c r="MV6" s="11" t="str">
        <f t="shared" si="141"/>
        <v/>
      </c>
      <c r="MW6" s="11" t="str">
        <f t="shared" si="142"/>
        <v/>
      </c>
      <c r="MX6" s="11" t="str">
        <f t="shared" si="143"/>
        <v/>
      </c>
      <c r="MY6" s="11" t="str">
        <f t="shared" si="144"/>
        <v/>
      </c>
      <c r="MZ6" s="11" t="str">
        <f t="shared" si="145"/>
        <v/>
      </c>
      <c r="NA6" s="11" t="str">
        <f t="shared" si="146"/>
        <v/>
      </c>
      <c r="NB6" s="11" t="str">
        <f t="shared" si="147"/>
        <v/>
      </c>
      <c r="NC6" s="11" t="str">
        <f t="shared" si="148"/>
        <v/>
      </c>
      <c r="ND6" s="11" t="str">
        <f t="shared" si="149"/>
        <v/>
      </c>
      <c r="NE6" s="11" t="str">
        <f t="shared" si="150"/>
        <v/>
      </c>
      <c r="NF6" s="11" t="str">
        <f t="shared" si="151"/>
        <v/>
      </c>
      <c r="NG6" s="11" t="str">
        <f t="shared" si="152"/>
        <v/>
      </c>
      <c r="NH6" s="11" t="str">
        <f t="shared" si="153"/>
        <v/>
      </c>
      <c r="NI6" s="11" t="str">
        <f t="shared" si="154"/>
        <v/>
      </c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36" t="str">
        <f t="shared" si="155"/>
        <v/>
      </c>
      <c r="OE6" s="36" t="str">
        <f t="shared" si="156"/>
        <v/>
      </c>
      <c r="OF6" s="36" t="str">
        <f t="shared" si="157"/>
        <v/>
      </c>
      <c r="OG6" s="36" t="str">
        <f t="shared" si="158"/>
        <v/>
      </c>
      <c r="OH6" s="36" t="str">
        <f t="shared" si="159"/>
        <v/>
      </c>
      <c r="OI6" s="36" t="str">
        <f t="shared" si="160"/>
        <v/>
      </c>
      <c r="OJ6" s="36" t="str">
        <f t="shared" si="161"/>
        <v/>
      </c>
      <c r="OK6" s="36" t="str">
        <f t="shared" si="162"/>
        <v/>
      </c>
      <c r="OL6" s="36" t="str">
        <f t="shared" si="163"/>
        <v/>
      </c>
      <c r="OM6" s="36" t="str">
        <f t="shared" si="164"/>
        <v/>
      </c>
      <c r="ON6" s="36" t="str">
        <f t="shared" si="165"/>
        <v/>
      </c>
      <c r="OO6" s="36" t="str">
        <f t="shared" si="166"/>
        <v/>
      </c>
      <c r="OP6" s="36" t="str">
        <f t="shared" si="167"/>
        <v/>
      </c>
      <c r="OQ6" s="36" t="str">
        <f t="shared" si="168"/>
        <v/>
      </c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6"/>
      <c r="PJ6" s="16"/>
      <c r="PK6" s="16"/>
      <c r="PL6" s="11" t="str">
        <f t="shared" si="169"/>
        <v/>
      </c>
      <c r="PM6" s="11" t="str">
        <f t="shared" si="170"/>
        <v/>
      </c>
      <c r="PN6" s="11" t="str">
        <f t="shared" si="171"/>
        <v/>
      </c>
      <c r="PO6" s="11" t="str">
        <f t="shared" si="172"/>
        <v/>
      </c>
      <c r="PP6" s="11" t="str">
        <f t="shared" si="173"/>
        <v/>
      </c>
      <c r="PQ6" s="11" t="str">
        <f t="shared" si="174"/>
        <v/>
      </c>
      <c r="PR6" s="11" t="str">
        <f t="shared" si="175"/>
        <v/>
      </c>
      <c r="PS6" s="11" t="str">
        <f t="shared" si="176"/>
        <v/>
      </c>
      <c r="PT6" s="11" t="str">
        <f t="shared" si="177"/>
        <v/>
      </c>
      <c r="PU6" s="11" t="str">
        <f t="shared" si="178"/>
        <v/>
      </c>
      <c r="PV6" s="11" t="str">
        <f t="shared" si="179"/>
        <v/>
      </c>
      <c r="PW6" s="11" t="str">
        <f t="shared" si="180"/>
        <v/>
      </c>
      <c r="PX6" s="11" t="str">
        <f t="shared" si="181"/>
        <v/>
      </c>
      <c r="PY6" s="11" t="str">
        <f t="shared" si="182"/>
        <v/>
      </c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36" t="str">
        <f t="shared" si="183"/>
        <v/>
      </c>
      <c r="QU6" s="36" t="str">
        <f t="shared" si="184"/>
        <v/>
      </c>
      <c r="QV6" s="36" t="str">
        <f t="shared" si="185"/>
        <v/>
      </c>
      <c r="QW6" s="36" t="str">
        <f t="shared" si="186"/>
        <v/>
      </c>
      <c r="QX6" s="36" t="str">
        <f t="shared" si="187"/>
        <v/>
      </c>
      <c r="QY6" s="36" t="str">
        <f t="shared" si="188"/>
        <v/>
      </c>
      <c r="QZ6" s="36" t="str">
        <f t="shared" si="189"/>
        <v/>
      </c>
      <c r="RA6" s="36" t="str">
        <f t="shared" si="190"/>
        <v/>
      </c>
      <c r="RB6" s="36" t="str">
        <f t="shared" si="191"/>
        <v/>
      </c>
      <c r="RC6" s="36" t="str">
        <f t="shared" si="192"/>
        <v/>
      </c>
      <c r="RD6" s="36" t="str">
        <f t="shared" si="193"/>
        <v/>
      </c>
      <c r="RE6" s="36" t="str">
        <f t="shared" si="194"/>
        <v/>
      </c>
      <c r="RF6" s="36" t="str">
        <f t="shared" si="195"/>
        <v/>
      </c>
      <c r="RG6" s="36" t="str">
        <f t="shared" si="196"/>
        <v/>
      </c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6"/>
      <c r="RZ6" s="16"/>
      <c r="SA6" s="16"/>
      <c r="SB6" s="11" t="str">
        <f t="shared" si="197"/>
        <v/>
      </c>
      <c r="SC6" s="11" t="str">
        <f t="shared" si="198"/>
        <v/>
      </c>
      <c r="SD6" s="11" t="str">
        <f t="shared" si="199"/>
        <v/>
      </c>
      <c r="SE6" s="11" t="str">
        <f t="shared" si="200"/>
        <v/>
      </c>
      <c r="SF6" s="11" t="str">
        <f t="shared" si="201"/>
        <v/>
      </c>
      <c r="SG6" s="11" t="str">
        <f t="shared" si="202"/>
        <v/>
      </c>
      <c r="SH6" s="11" t="str">
        <f t="shared" si="203"/>
        <v/>
      </c>
      <c r="SI6" s="11" t="str">
        <f t="shared" si="204"/>
        <v/>
      </c>
      <c r="SJ6" s="11" t="str">
        <f t="shared" si="205"/>
        <v/>
      </c>
      <c r="SK6" s="11" t="str">
        <f t="shared" si="206"/>
        <v/>
      </c>
      <c r="SL6" s="11" t="str">
        <f t="shared" si="207"/>
        <v/>
      </c>
      <c r="SM6" s="11" t="str">
        <f t="shared" si="208"/>
        <v/>
      </c>
      <c r="SN6" s="11" t="str">
        <f t="shared" si="209"/>
        <v/>
      </c>
      <c r="SO6" s="11" t="str">
        <f t="shared" si="210"/>
        <v/>
      </c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36" t="str">
        <f t="shared" si="211"/>
        <v/>
      </c>
      <c r="TK6" s="36" t="str">
        <f t="shared" si="212"/>
        <v/>
      </c>
      <c r="TL6" s="36" t="str">
        <f t="shared" si="213"/>
        <v/>
      </c>
      <c r="TM6" s="36" t="str">
        <f t="shared" si="214"/>
        <v/>
      </c>
      <c r="TN6" s="36" t="str">
        <f t="shared" si="215"/>
        <v/>
      </c>
      <c r="TO6" s="36" t="str">
        <f t="shared" si="216"/>
        <v/>
      </c>
      <c r="TP6" s="36" t="str">
        <f t="shared" si="217"/>
        <v/>
      </c>
      <c r="TQ6" s="36" t="str">
        <f t="shared" si="218"/>
        <v/>
      </c>
      <c r="TR6" s="36" t="str">
        <f t="shared" si="219"/>
        <v/>
      </c>
      <c r="TS6" s="36" t="str">
        <f t="shared" si="220"/>
        <v/>
      </c>
      <c r="TT6" s="36" t="str">
        <f t="shared" si="221"/>
        <v/>
      </c>
      <c r="TU6" s="36" t="str">
        <f t="shared" si="222"/>
        <v/>
      </c>
      <c r="TV6" s="36" t="str">
        <f t="shared" si="223"/>
        <v/>
      </c>
      <c r="TW6" s="36" t="str">
        <f t="shared" si="224"/>
        <v/>
      </c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6"/>
      <c r="UP6" s="16"/>
      <c r="UQ6" s="16"/>
      <c r="UR6" s="11" t="str">
        <f t="shared" si="225"/>
        <v/>
      </c>
      <c r="US6" s="11" t="str">
        <f t="shared" si="226"/>
        <v/>
      </c>
      <c r="UT6" s="11" t="str">
        <f t="shared" si="227"/>
        <v/>
      </c>
      <c r="UU6" s="11" t="str">
        <f t="shared" si="228"/>
        <v/>
      </c>
      <c r="UV6" s="11" t="str">
        <f t="shared" si="229"/>
        <v/>
      </c>
      <c r="UW6" s="11" t="str">
        <f t="shared" si="230"/>
        <v/>
      </c>
      <c r="UX6" s="11" t="str">
        <f t="shared" si="231"/>
        <v/>
      </c>
      <c r="UY6" s="11" t="str">
        <f t="shared" si="232"/>
        <v/>
      </c>
      <c r="UZ6" s="11" t="str">
        <f t="shared" si="233"/>
        <v/>
      </c>
      <c r="VA6" s="11" t="str">
        <f t="shared" si="234"/>
        <v/>
      </c>
      <c r="VB6" s="11" t="str">
        <f t="shared" si="235"/>
        <v/>
      </c>
      <c r="VC6" s="11" t="str">
        <f t="shared" si="236"/>
        <v/>
      </c>
      <c r="VD6" s="11" t="str">
        <f t="shared" si="237"/>
        <v/>
      </c>
      <c r="VE6" s="11" t="str">
        <f t="shared" si="238"/>
        <v/>
      </c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36" t="str">
        <f t="shared" si="239"/>
        <v/>
      </c>
      <c r="WA6" s="36" t="str">
        <f t="shared" si="240"/>
        <v/>
      </c>
      <c r="WB6" s="36" t="str">
        <f t="shared" si="241"/>
        <v/>
      </c>
      <c r="WC6" s="36" t="str">
        <f t="shared" si="242"/>
        <v/>
      </c>
      <c r="WD6" s="36" t="str">
        <f t="shared" si="243"/>
        <v/>
      </c>
      <c r="WE6" s="36" t="str">
        <f t="shared" si="244"/>
        <v/>
      </c>
      <c r="WF6" s="36" t="str">
        <f t="shared" si="245"/>
        <v/>
      </c>
      <c r="WG6" s="36" t="str">
        <f t="shared" si="246"/>
        <v/>
      </c>
      <c r="WH6" s="36" t="str">
        <f t="shared" si="247"/>
        <v/>
      </c>
      <c r="WI6" s="36" t="str">
        <f t="shared" si="248"/>
        <v/>
      </c>
      <c r="WJ6" s="36" t="str">
        <f t="shared" si="249"/>
        <v/>
      </c>
      <c r="WK6" s="36" t="str">
        <f t="shared" si="250"/>
        <v/>
      </c>
      <c r="WL6" s="36" t="str">
        <f t="shared" si="251"/>
        <v/>
      </c>
      <c r="WM6" s="36" t="str">
        <f t="shared" si="252"/>
        <v/>
      </c>
    </row>
    <row r="7" spans="1:611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81</v>
      </c>
      <c r="C7" s="4" t="s">
        <v>3</v>
      </c>
      <c r="D7" s="4">
        <v>2004</v>
      </c>
      <c r="E7" s="9">
        <f t="shared" si="0"/>
        <v>157.51001570000534</v>
      </c>
      <c r="F7" s="3" t="str">
        <f>IF(OR(AND(AI7&gt;=AS$17,AI7&lt;&gt;"",AK7&gt;=AS$21,AK7&lt;&gt;"",AH7=""),AND(AL7&gt;=AS$17,AL7&lt;&gt;"",AN7&gt;=AS$21,AN7&lt;&gt;"",AH7=""),AND(AP7&gt;=AS$17,AP7&lt;&gt;"",AR7&gt;=AS$21,AR7&lt;&gt;"",AH7=""),AND(BJ7&gt;=BT$17,BJ7&lt;&gt;"",BL7&gt;=BT$21,BL7&lt;&gt;"",BI7=""),AND(BM7&gt;=BT$17,BM7&lt;&gt;"",BO7&gt;=BT$21,BO7&lt;&gt;"",BI7=""),AND(BQ7&gt;=BT$17,BQ7&lt;&gt;"",BS7&gt;=BT$21,BS7&lt;&gt;"",BI7=""),AND(CK7&gt;=CU$17,CK7&lt;&gt;"",CM7&gt;=CU$21,CM7&lt;&gt;"",CJ7=""),AND(CN7&gt;=CU$17,CN7&lt;&gt;"",CP7&gt;=CU$21,CP7&lt;&gt;"",CJ7=""),AND(CR7&gt;=CU$17,CR7&lt;&gt;"",CT7&gt;=CU$21,CT7&lt;&gt;"",CJ7=""),AND(DR7&gt;=EE$17,DR7&lt;&gt;"",DT7&gt;=EE$21,DT7&lt;&gt;""),AND(DU7&gt;=EE$17,DU7&lt;&gt;"",DW7&gt;=EE$21,DW7&lt;&gt;""),AND(DY7&gt;=EE$17,DY7&lt;&gt;"",EA7&gt;=EE$21,EA7&lt;&gt;""),AND(EB7&gt;=EE$17,EB7&lt;&gt;"",ED7&gt;=EE$21,ED7&lt;&gt;""),AND(EZ7&gt;=FM$17,EZ7&lt;&gt;"",FB7&gt;=FM$21,FB7&lt;&gt;""),AND(FC7&gt;=FM$17,FC7&lt;&gt;"",FE7&gt;=FM$21,FE7&lt;&gt;""),AND(FG7&gt;=FM$17,FG7&lt;&gt;"",FI7&gt;=FM$21,FI7&lt;&gt;""),AND(FJ7&gt;=FM$17,FJ7&lt;&gt;"",FL7&gt;=FM$21,FL7&lt;&gt;""),AND(GH7&gt;=GU$17,GH7&lt;&gt;"",GJ7&gt;=GU$21,GJ7&lt;&gt;""),AND(GK7&gt;=GU$17,GK7&lt;&gt;"",GM7&gt;=GU$21,GM7&lt;&gt;""),AND(GO7&gt;=GU$17,GO7&lt;&gt;"",GQ7&gt;=GU$21,GQ7&lt;&gt;""),AND(GR7&gt;=GU$17,GR7&lt;&gt;"",GT7&gt;=GU$21,GT7&lt;&gt;""),AND(HP7&gt;=IC$17,HP7&lt;&gt;"",HR7&gt;=IC$21,HR7&lt;&gt;""),AND(HS7&gt;=IC$17,HS7&lt;&gt;"",HU7&gt;=IC$21,HU7&lt;&gt;""),AND(HW7&gt;=IC$17,HW7&lt;&gt;"",HY7&gt;=IC$21,HY7&lt;&gt;""),AND(HZ7&gt;=IC$17,HZ7&lt;&gt;"",IB7&gt;=IC$21,IB7&lt;&gt;""),AND(IX7&gt;=JK$17,IX7&lt;&gt;"",IZ7&gt;=JK$21,IZ7&lt;&gt;""),AND(JA7&gt;=JK$17,JA7&lt;&gt;"",JC7&gt;=JK$21,JC7&lt;&gt;""),AND(JE7&gt;=JK$17,JE7&lt;&gt;"",JG7&gt;=JK$21,JG7&lt;&gt;""),AND(JH7&gt;=JK$17,JH7&lt;&gt;"",JJ7&gt;=JK$21,JJ7&lt;&gt;""),AND(KF7&gt;=KS$17,KF7&lt;&gt;"",KH7&gt;=KS$21,KH7&lt;&gt;""),AND(KI7&gt;=KS$17,KI7&lt;&gt;"",KK7&gt;=KS$21,KK7&lt;&gt;""),AND(KM7&gt;=KS$17,KM7&lt;&gt;"",KO7&gt;=KS$21,KO7&lt;&gt;""),AND(KP7&gt;=KS$17,KP7&lt;&gt;"",KR7&gt;=KS$21,KR7&lt;&gt;""),AND(LN7&gt;=MA$17,LN7&lt;&gt;"",LP7&gt;=MA$21,LP7&lt;&gt;""),AND(LQ7&gt;=MA$17,LQ7&lt;&gt;"",LS7&gt;=MA$21,LS7&lt;&gt;""),AND(LU7&gt;=MA$17,LU7&lt;&gt;"",LW7&gt;=MA$21,LW7&lt;&gt;""),AND(LX7&gt;=MA$17,LX7&lt;&gt;"",LZ7&gt;=MA$21,LZ7&lt;&gt;""),AND(MV7&gt;=NI$17,MV7&lt;&gt;"",MX7&gt;=NI$21,MX7&lt;&gt;""),AND(MY7&gt;=NI$17,MY7&lt;&gt;"",NA7&gt;=NI$21,NA7&lt;&gt;""),AND(NC7&gt;=NI$17,NC7&lt;&gt;"",NE7&gt;=NI$21,NE7&lt;&gt;""),AND(NF7&gt;=NI$17,NF7&lt;&gt;"",NH7&gt;=NI$21,NH7&lt;&gt;""),AND(OD7&gt;=OQ$17,OD7&lt;&gt;"",OF7&gt;=OQ$21,OF7&lt;&gt;""),AND(OG7&gt;=OQ$17,OG7&lt;&gt;"",OI7&gt;=OQ$21,OI7&lt;&gt;""),AND(OK7&gt;=OQ$17,OK7&lt;&gt;"",OM7&gt;=OQ$21,OM7&lt;&gt;""),AND(ON7&gt;=OQ$17,ON7&lt;&gt;"",OP7&gt;=OQ$21,OP7&lt;&gt;""),AND(PL7&gt;=PY$17,PL7&lt;&gt;"",PN7&gt;=PY$21,PN7&lt;&gt;""),AND(PO7&gt;=PY$17,PO7&lt;&gt;"",PQ7&gt;=PY$21,PQ7&lt;&gt;""),AND(PS7&gt;=PY$17,PS7&lt;&gt;"",PU7&gt;=PY$21,PU7&lt;&gt;""),AND(PV7&gt;=PY$17,PV7&lt;&gt;"",PX7&gt;=PY$21,PX7&lt;&gt;""),AND(QT7&gt;=RG$17,QT7&lt;&gt;"",QV7&gt;=RG$21,QV7&lt;&gt;""),AND(QW7&gt;=RG$17,QW7&lt;&gt;"",QY7&gt;=RG$21,QY7&lt;&gt;""),AND(RA7&gt;=RG$17,RA7&lt;&gt;"",RC7&gt;=RG$21,RC7&lt;&gt;""),AND(RD7&gt;=RG$17,RD7&lt;&gt;"",RF7&gt;=RG$21,RF7&lt;&gt;""),AND(SB7&gt;=SO$17,SB7&lt;&gt;"",SD7&gt;=SO$21,SD7&lt;&gt;""),AND(SE7&gt;=SO$17,SE7&lt;&gt;"",SG7&gt;=SO$21,SG7&lt;&gt;""),AND(SI7&gt;=SO$17,SI7&lt;&gt;"",SK7&gt;=SO$21,SK7&lt;&gt;""),AND(SL7&gt;=SO$17,SL7&lt;&gt;"",SN7&gt;=SO$21,SN7&lt;&gt;""),AND(TJ7&gt;=TW$17,TJ7&lt;&gt;"",TL7&gt;=TW$21,TL7&lt;&gt;""),AND(TM7&gt;=TW$17,TM7&lt;&gt;"",TO7&gt;=TW$21,TO7&lt;&gt;""),AND(TQ7&gt;=TW$17,TQ7&lt;&gt;"",TS7&gt;=TW$21,TXQ7&lt;&gt;""),AND(TT7&gt;=TW$17,TT7&lt;&gt;"",TV7&gt;=TW$21,TV7&lt;&gt;""),AND(UR7&gt;=VE$17,UR7&lt;&gt;"",UT7&gt;=VE$21,UT7&lt;&gt;""),AND(UU7&gt;=VE$17,UU7&lt;&gt;"",UW7&gt;=VE$21,UW7&lt;&gt;""),AND(UY7&gt;=VE$17,UY7&lt;&gt;"",VA7&gt;=VE$21,VA7&lt;&gt;""),AND(VB7&gt;=VE$17,VB7&lt;&gt;"",VD7&gt;=VE$21,VD7&lt;&gt;""),AND(VZ7&gt;=WM$17,VZ7&lt;&gt;"",WB7&gt;=WM$21,WB7&lt;&gt;""),AND(WC7&gt;=WM$17,WC7&lt;&gt;"",WE7&gt;=WM$21,WE7&lt;&gt;""),AND(WG7&gt;=WM$17,WG7&lt;&gt;"",WI7&gt;=WM$21,WI7&lt;&gt;""),AND(WJ7&gt;=WM$17,WJ7&lt;&gt;"",WL7&gt;=WM$21,WL7&lt;&gt;"")),"P","")</f>
        <v>P</v>
      </c>
      <c r="G7" s="3" t="str">
        <f>IF(OR(AND(AK7&gt;=AS$21,AK7&lt;&gt;"",AH7=""),AND(AN7&gt;=AS$21,AN7&lt;&gt;"",AH7=""),AND(AR7&gt;=AS$21,AR7&lt;&gt;"",AH7=""),AND(BL7&gt;=BT$21,BL7&lt;&gt;"",BI7=""),AND(BO7&gt;=BT$21,BO7&lt;&gt;"",BI7=""),AND(BS7&gt;=BT$21,BS7&lt;&gt;"",BI7=""),AND(CM7&gt;=CU$21,CM7&lt;&gt;"",CJ7=""),AND(CP7&gt;=CU$21,CP7&lt;&gt;"",CJ7=""),AND(CT7&gt;=CU$21,CT7&lt;&gt;"",CJ7=""),AND(DT7&gt;=EE$21,DT7&lt;&gt;""),AND(DW7&gt;=EE$21,DW7&lt;&gt;""),AND(EA7&gt;=EE$21,EA7&lt;&gt;""),AND(ED7&gt;=EE$21,ED7&lt;&gt;""),AND(FB7&gt;=FM$21,FB7&lt;&gt;""),AND(FE7&gt;=FM$21,FE7&lt;&gt;""),AND(FI7&gt;=FM$21,FI7&lt;&gt;""),AND(FL7&gt;=FM$21,FL7&lt;&gt;""),AND(GJ7&gt;=GU$21,GJ7&lt;&gt;""),AND(GM7&gt;=GU$21,GM7&lt;&gt;""),AND(GQ7&gt;=GU$21,GQ7&lt;&gt;""),AND(GT7&gt;=GU$21,GT7&lt;&gt;""),AND(HR7&gt;=IC$21,HR7&lt;&gt;""),AND(HU7&gt;=IC$21,HU7&lt;&gt;""),AND(HY7&gt;=IC$21,HY7&lt;&gt;""),AND(IB7&gt;=IC$21,IB7&lt;&gt;""),AND(IZ7&gt;=JK$21,IZ7&lt;&gt;""),AND(JC7&gt;=JK$21,JC7&lt;&gt;""),AND(JG7&gt;=JK$21,JG7&lt;&gt;""),AND(JJ7&gt;=JK$21,JJ7&lt;&gt;""),AND(KH7&gt;=KS$21,KH7&lt;&gt;""),AND(KK7&gt;=KS$21,KK7&lt;&gt;""),AND(KO7&gt;=KS$21,KO7&lt;&gt;""),AND(KR7&gt;=KS$21,KR7&lt;&gt;""),AND(LP7&gt;=MA$21,LP7&lt;&gt;""),AND(LS7&gt;=MA$21,LS7&lt;&gt;""),AND(LW7&gt;=MA$21,LW7&lt;&gt;""),AND(LZ7&gt;=MA$21,LZ7&lt;&gt;""),AND(MX7&gt;=NI$21,MX7&lt;&gt;""),AND(NA7&gt;=NI$21,NA7&lt;&gt;""),AND(NE7&gt;=NI$21,NE7&lt;&gt;""),AND(NH7&gt;=NI$21,NH7&lt;&gt;""),AND(OF7&gt;=OQ$21,OF7&lt;&gt;""),AND(OI7&gt;=OQ$21,OI7&lt;&gt;""),AND(OM7&gt;=OQ$21,OM7&lt;&gt;""),AND(OP7&gt;=OQ$21,OP7&lt;&gt;""),AND(PN7&gt;=PY$21,PN7&lt;&gt;""),AND(PQ7&gt;=PY$21,PQ7&lt;&gt;""),AND(PU7&gt;=PY$21,PU7&lt;&gt;""),AND(PX7&gt;=PY$21,PX7&lt;&gt;""),AND(QV7&gt;=RG$21,QV7&lt;&gt;""),AND(QY7&gt;=RG$21,QY7&lt;&gt;""),AND(RC7&gt;=RG$21,RC7&lt;&gt;""),AND(RF7&gt;=RG$21,RF7&lt;&gt;""),AND(SD7&gt;=SO$21,SD7&lt;&gt;""),AND(SG7&gt;=SO$21,SG7&lt;&gt;""),AND(SK7&gt;=SO$21,SK7&lt;&gt;""),AND(SN7&gt;=SO$21,SN7&lt;&gt;""),AND(TL7&gt;=TW$21,TL7&lt;&gt;""),AND(TO7&gt;=TW$21,TO7&lt;&gt;""),AND(TS7&gt;=TW$21,TXQ7&lt;&gt;""),AND(TV7&gt;=TW$21,TV7&lt;&gt;""),AND(UT7&gt;=VE$21,UT7&lt;&gt;""),AND(UW7&gt;=VE$21,UW7&lt;&gt;""),AND(VA7&gt;=VE$21,VA7&lt;&gt;""),AND(VD7&gt;=VE$21,VD7&lt;&gt;""),AND(WB7&gt;=WM$21,WB7&lt;&gt;""),AND(WE7&gt;=WM$21,WE7&lt;&gt;""),AND(WI7&gt;=WM$21,WI7&lt;&gt;""),AND(WL7&gt;=WM$21,WL7&lt;&gt;"")),"P","")</f>
        <v>P</v>
      </c>
      <c r="H7" s="32" t="str">
        <f>IF(AND(G7="P",F7=""),"No DD",IF(OR(AND(AI7&gt;=AS$20,AI7&lt;&gt;"",AK7&gt;=AS$24,AK7&lt;&gt;"",AH7=""),AND(AL7&gt;=AS$20,AL7&lt;&gt;"",AN7&gt;=AS$24,AN7&lt;&gt;"",AH7=""),AND(AP7&gt;=AS$20,AP7&lt;&gt;"",AR7&gt;=AS$24,AR7&lt;&gt;"",AH7=""),AND(BJ7&gt;=BT$20,BJ7&lt;&gt;"",BL7&gt;=BT$24,BL7&lt;&gt;"",BI7=""),AND(BM7&gt;=BT$20,BM7&lt;&gt;"",BO7&gt;=BT$24,BO7&lt;&gt;"",BI7=""),AND(BQ7&gt;=BT$20,BQ7&lt;&gt;"",BS7&gt;=BT$24,BS7&lt;&gt;"",BI7=""),AND(CK7&gt;=CU$20,CK7&lt;&gt;"",CM7&gt;=CU$24,CM7&lt;&gt;"",CJ7=""),AND(CN7&gt;=CU$20,CN7&lt;&gt;"",CP7&gt;=CU$24,CP7&lt;&gt;"",CJ7=""),AND(CR7&gt;=CU$20,CR7&lt;&gt;"",CT7&gt;=CU$24,CT7&lt;&gt;"",CJ7=""),AND(DR7&gt;=EE$20,DR7&lt;&gt;"",DT7&gt;=EE$24,DT7&lt;&gt;""),AND(DU7&gt;=EE$20,DU7&lt;&gt;"",DW7&gt;=EE$24,DW7&lt;&gt;""),AND(DY7&gt;=EE$20,DY7&lt;&gt;"",EA7&gt;=EE$24,EA7&lt;&gt;""),AND(EB7&gt;=EE$20,EB7&lt;&gt;"",ED7&gt;=EE$24,ED7&lt;&gt;""),AND(EZ7&gt;=FM$20,EZ7&lt;&gt;"",FB7&gt;=FM$24,FB7&lt;&gt;""),AND(FC7&gt;=FM$20,FC7&lt;&gt;"",FE7&gt;=FM$24,FE7&lt;&gt;""),AND(FG7&gt;=FM$20,FG7&lt;&gt;"",FI7&gt;=FM$24,FI7&lt;&gt;""),AND(FJ7&gt;=FM$20,FJ7&lt;&gt;"",FL7&gt;=FM$24,FL7&lt;&gt;""),AND(GH7&gt;=GU$20,GH7&lt;&gt;"",GJ7&gt;=GU$24,GJ7&lt;&gt;""),AND(GK7&gt;=GU$20,GK7&lt;&gt;"",GM7&gt;=GU$24,GM7&lt;&gt;""),AND(GO7&gt;=GU$20,GO7&lt;&gt;"",GQ7&gt;=GU$24,GQ7&lt;&gt;""),AND(GR7&gt;=GU$20,GR7&lt;&gt;"",GT7&gt;=GU$24,GT7&lt;&gt;""),AND(HP7&gt;=IC$20,HP7&lt;&gt;"",HR7&gt;=IC$24,HR7&lt;&gt;""),AND(HS7&gt;=IC$20,HS7&lt;&gt;"",HU7&gt;=IC$24,HU7&lt;&gt;""),AND(HW7&gt;=IC$20,HW7&lt;&gt;"",HY7&gt;=IC$24,HY7&lt;&gt;""),AND(HZ7&gt;=IC$20,HZ7&lt;&gt;"",IB7&gt;=IC$24,IB7&lt;&gt;""),AND(IX7&gt;=JK$20,IX7&lt;&gt;"",IZ7&gt;=JK$24,IZ7&lt;&gt;""),AND(JA7&gt;=JK$20,JA7&lt;&gt;"",JC7&gt;=JK$24,JC7&lt;&gt;""),AND(JE7&gt;=JK$20,JE7&lt;&gt;"",JG7&gt;=JK$24,JG7&lt;&gt;""),AND(JH7&gt;=JK$20,JH7&lt;&gt;"",JJ7&gt;=JK$24,JJ7&lt;&gt;""),AND(KF7&gt;=KS$20,KF7&lt;&gt;"",KH7&gt;=KS$24,KH7&lt;&gt;""),AND(KI7&gt;=KS$20,KI7&lt;&gt;"",KK7&gt;=KS$24,KK7&lt;&gt;""),AND(KM7&gt;=KS$20,KM7&lt;&gt;"",KO7&gt;=KS$24,KO7&lt;&gt;""),AND(KP7&gt;=KS$20,KP7&lt;&gt;"",KR7&gt;=KS$24,KR7&lt;&gt;""),AND(LN7&gt;=MA$20,LN7&lt;&gt;"",LP7&gt;=MA$24,LP7&lt;&gt;""),AND(LQ7&gt;=MA$20,LQ7&lt;&gt;"",LS7&gt;=MA$24,LS7&lt;&gt;""),AND(LU7&gt;=MA$20,LU7&lt;&gt;"",LW7&gt;=MA$24,LW7&lt;&gt;""),AND(LX7&gt;=MA$20,LX7&lt;&gt;"",LZ7&gt;=MA$24,LZ7&lt;&gt;""),AND(MV7&gt;=NI$20,MV7&lt;&gt;"",MX7&gt;=NI$24,MX7&lt;&gt;""),AND(MY7&gt;=NI$20,MY7&lt;&gt;"",NA7&gt;=NI$24,NA7&lt;&gt;""),AND(NC7&gt;=NI$20,NC7&lt;&gt;"",NE7&gt;=NI$24,NE7&lt;&gt;""),AND(NF7&gt;=NI$20,NF7&lt;&gt;"",NH7&gt;=NI$24,NH7&lt;&gt;""),AND(OD7&gt;=OQ$20,OD7&lt;&gt;"",OF7&gt;=OQ$24,OF7&lt;&gt;""),AND(OG7&gt;=OQ$20,OG7&lt;&gt;"",OI7&gt;=OQ$24,OI7&lt;&gt;""),AND(OK7&gt;=OQ$20,OK7&lt;&gt;"",OM7&gt;=OQ$24,OM7&lt;&gt;""),AND(ON7&gt;=OQ$20,ON7&lt;&gt;"",OP7&gt;=OQ$24,OP7&lt;&gt;""),AND(PL7&gt;=PY$20,PL7&lt;&gt;"",PN7&gt;=PY$24,PN7&lt;&gt;""),AND(PO7&gt;=PY$20,PO7&lt;&gt;"",PQ7&gt;=PY$24,PQ7&lt;&gt;""),AND(PS7&gt;=PY$20,PS7&lt;&gt;"",PU7&gt;=PY$24,PU7&lt;&gt;""),AND(PV7&gt;=PY$20,PV7&lt;&gt;"",PX7&gt;=PY$24,PX7&lt;&gt;""),AND(QT7&gt;=RG$20,QT7&lt;&gt;"",QV7&gt;=RG$24,QV7&lt;&gt;""),AND(QW7&gt;=RG$20,QW7&lt;&gt;"",QY7&gt;=RG$24,QY7&lt;&gt;""),AND(RA7&gt;=RG$20,RA7&lt;&gt;"",RC7&gt;=RG$24,RC7&lt;&gt;""),AND(RD7&gt;=RG$20,RD7&lt;&gt;"",RF7&gt;=RG$24,RF7&lt;&gt;""),AND(SB7&gt;=SO$20,SB7&lt;&gt;"",SD7&gt;=SO$24,SD7&lt;&gt;""),AND(SE7&gt;=SO$20,SE7&lt;&gt;"",SG7&gt;=SO$24,SG7&lt;&gt;""),AND(SI7&gt;=SO$20,SI7&lt;&gt;"",SK7&gt;=SO$24,SK7&lt;&gt;""),AND(SL7&gt;=SO$20,SL7&lt;&gt;"",SN7&gt;=SO$24,SN7&lt;&gt;""),AND(TJ7&gt;=TW$20,TJ7&lt;&gt;"",TL7&gt;=TW$24,TL7&lt;&gt;""),AND(TM7&gt;=TW$20,TM7&lt;&gt;"",TO7&gt;=TW$24,TO7&lt;&gt;""),AND(TQ7&gt;=TW$20,TQ7&lt;&gt;"",TS7&gt;=TW$344,TXQ7&lt;&gt;""),AND(TT7&gt;=TW$20,TT7&lt;&gt;"",TV7&gt;=TW$24,TV7&lt;&gt;""),AND(UR7&gt;=VE$20,UR7&lt;&gt;"",UT7&gt;=VE$24,UT7&lt;&gt;""),AND(UU7&gt;=VE$20,UU7&lt;&gt;"",UW7&gt;=VE$24,UW7&lt;&gt;""),AND(UY7&gt;=VE$20,UY7&lt;&gt;"",VA7&gt;=VE$24,VA7&lt;&gt;""),AND(VB7&gt;=VE$20,VB7&lt;&gt;"",VD7&gt;=VE$24,VD7&lt;&gt;""),AND(VZ7&gt;=WM$20,VZ7&lt;&gt;"",WB7&gt;=WM$24,WB7&lt;&gt;""),AND(WC7&gt;=WM$20,WC7&lt;&gt;"",WE7&gt;=WM$24,WE7&lt;&gt;""),AND(WG7&gt;=WM$20,WG7&lt;&gt;"",WI7&gt;=WM$24,WI7&lt;&gt;""),AND(WJ7&gt;=WM$20,WJ7&lt;&gt;"",WL7&gt;=WM$24,WL7&lt;&gt;"")),"Merit",IF(OR(AND(AI7&gt;=AS$19,AI7&lt;&gt;"",AK7&gt;=AS$23,AK7&lt;&gt;"",AH7=""),AND(AL7&gt;=AS$19,AL7&lt;&gt;"",AN7&gt;=AS$23,AN7&lt;&gt;"",AH7=""),AND(AP7&gt;=AS$19,AP7&lt;&gt;"",AR7&gt;=AS$23,AR7&lt;&gt;"",AH7=""),AND(BJ7&gt;=BT$19,BJ7&lt;&gt;"",BL7&gt;=BT$23,BL7&lt;&gt;"",BI7=""),AND(BM7&gt;=BT$19,BM7&lt;&gt;"",BO7&gt;=BT$23,BO7&lt;&gt;"",BI7=""),AND(BQ7&gt;=BT$19,BQ7&lt;&gt;"",BS7&gt;=BT$23,BS7&lt;&gt;"",BI7=""),AND(CK7&gt;=CU$19,CK7&lt;&gt;"",CM7&gt;=CU$23,CM7&lt;&gt;"",CJ7=""),AND(CN7&gt;=CU$19,CN7&lt;&gt;"",CP7&gt;=CU$23,CP7&lt;&gt;"",CJ7=""),AND(CR7&gt;=CU$19,CR7&lt;&gt;"",CT7&gt;=CU$23,CT7&lt;&gt;"",CJ7=""),AND(DR7&gt;=EE$19,DR7&lt;&gt;"",DT7&gt;=EE$23,DT7&lt;&gt;""),AND(DU7&gt;=EE$19,DU7&lt;&gt;"",DW7&gt;=EE$23,DW7&lt;&gt;""),AND(DY7&gt;=EE$19,DY7&lt;&gt;"",EA7&gt;=EE$23,EA7&lt;&gt;""),AND(EB7&gt;=EE$19,EB7&lt;&gt;"",ED7&gt;=EE$23,ED7&lt;&gt;""),AND(EZ7&gt;=FM$19,EZ7&lt;&gt;"",FB7&gt;=FM$23,FB7&lt;&gt;""),AND(FC7&gt;=FM$19,FC7&lt;&gt;"",FE7&gt;=FM$23,FE7&lt;&gt;""),AND(FG7&gt;=FM$19,FG7&lt;&gt;"",FI7&gt;=FM$23,FI7&lt;&gt;""),AND(FJ7&gt;=FM$19,FJ7&lt;&gt;"",FL7&gt;=FM$23,FL7&lt;&gt;""),AND(GH7&gt;=GU$19,GH7&lt;&gt;"",GJ7&gt;=GU$23,GJ7&lt;&gt;""),AND(GK7&gt;=GU$19,GK7&lt;&gt;"",GM7&gt;=GU$23,GM7&lt;&gt;""),AND(GO7&gt;=GU$19,GO7&lt;&gt;"",GQ7&gt;=GU$23,GQ7&lt;&gt;""),AND(GR7&gt;=GU$19,GR7&lt;&gt;"",GT7&gt;=GU$23,GT7&lt;&gt;""),AND(HP7&gt;=IC$19,HP7&lt;&gt;"",HR7&gt;=IC$23,HR7&lt;&gt;""),AND(HS7&gt;=IC$19,HS7&lt;&gt;"",HU7&gt;=IC$23,HU7&lt;&gt;""),AND(HW7&gt;=IC$19,HW7&lt;&gt;"",HY7&gt;=IC$23,HY7&lt;&gt;""),AND(HZ7&gt;=IC$19,HZ7&lt;&gt;"",IB7&gt;=IC$23,IB7&lt;&gt;""),AND(IX7&gt;=JK$19,IX7&lt;&gt;"",IZ7&gt;=JK$23,IZ7&lt;&gt;""),AND(JA7&gt;=JK$19,JA7&lt;&gt;"",JC7&gt;=JK$23,JC7&lt;&gt;""),AND(JE7&gt;=JK$19,JE7&lt;&gt;"",JG7&gt;=JK$23,JG7&lt;&gt;""),AND(JH7&gt;=JK$19,JH7&lt;&gt;"",JJ7&gt;=JK$23,JJ7&lt;&gt;""),AND(KF7&gt;=KS$19,KF7&lt;&gt;"",KH7&gt;=KS$23,KH7&lt;&gt;""),AND(KI7&gt;=KS$19,KI7&lt;&gt;"",KK7&gt;=KS$23,KK7&lt;&gt;""),AND(KM7&gt;=KS$19,KM7&lt;&gt;"",KO7&gt;=KS$23,KO7&lt;&gt;""),AND(KP7&gt;=KS$19,KP7&lt;&gt;"",KR7&gt;=KS$23,KR7&lt;&gt;""),AND(LN7&gt;=MA$19,LN7&lt;&gt;"",LP7&gt;=MA$23,LP7&lt;&gt;""),AND(LQ7&gt;=MA$19,LQ7&lt;&gt;"",LS7&gt;=MA$23,LS7&lt;&gt;""),AND(LU7&gt;=MA$19,LU7&lt;&gt;"",LW7&gt;=MA$23,LW7&lt;&gt;""),AND(LX7&gt;=MA$19,LX7&lt;&gt;"",LZ7&gt;=MA$23,LZ7&lt;&gt;""),AND(MV7&gt;=NI$19,MV7&lt;&gt;"",MX7&gt;=NI$23,MX7&lt;&gt;""),AND(MY7&gt;=NI$19,MY7&lt;&gt;"",NA7&gt;=NI$23,NA7&lt;&gt;""),AND(NC7&gt;=NI$19,NC7&lt;&gt;"",NE7&gt;=NI$23,NE7&lt;&gt;""),AND(NF7&gt;=NI$19,NF7&lt;&gt;"",NH7&gt;=NI$23,NH7&lt;&gt;""),AND(OD7&gt;=OQ$19,OD7&lt;&gt;"",OF7&gt;=OQ$23,OF7&lt;&gt;""),AND(OG7&gt;=OQ$19,OG7&lt;&gt;"",OI7&gt;=OQ$23,OI7&lt;&gt;""),AND(OK7&gt;=OQ$19,OK7&lt;&gt;"",OM7&gt;=OQ$23,OM7&lt;&gt;""),AND(ON7&gt;=OQ$19,ON7&lt;&gt;"",OP7&gt;=OQ$23,OP7&lt;&gt;""),AND(PL7&gt;=PY$19,PL7&lt;&gt;"",PN7&gt;=PY$23,PN7&lt;&gt;""),AND(PO7&gt;=PY$19,PO7&lt;&gt;"",PQ7&gt;=PY$23,PQ7&lt;&gt;""),AND(PS7&gt;=PY$19,PS7&lt;&gt;"",PU7&gt;=PY$23,PU7&lt;&gt;""),AND(PV7&gt;=PY$19,PV7&lt;&gt;"",PX7&gt;=PY$23,PX7&lt;&gt;""),AND(QT7&gt;=RG$19,QT7&lt;&gt;"",QV7&gt;=RG$23,QV7&lt;&gt;""),AND(QW7&gt;=RG$19,QW7&lt;&gt;"",QY7&gt;=RG$23,QY7&lt;&gt;""),AND(RA7&gt;=RG$19,RA7&lt;&gt;"",RC7&gt;=RG$23,RC7&lt;&gt;""),AND(RD7&gt;=RG$19,RD7&lt;&gt;"",RF7&gt;=RG$23,RF7&lt;&gt;""),AND(SB7&gt;=SO$19,SB7&lt;&gt;"",SD7&gt;=SO$23,SD7&lt;&gt;""),AND(SE7&gt;=SO$19,SE7&lt;&gt;"",SG7&gt;=SO$23,SG7&lt;&gt;""),AND(SI7&gt;=SO$19,SI7&lt;&gt;"",SK7&gt;=SO$23,SK7&lt;&gt;""),AND(SL7&gt;=SO$19,SL7&lt;&gt;"",SN7&gt;=SO$23,SN7&lt;&gt;""),AND(TJ7&gt;=TW$19,TJ7&lt;&gt;"",TL7&gt;=TW$23,TL7&lt;&gt;""),AND(TM7&gt;=TW$19,TM7&lt;&gt;"",TO7&gt;=TW$23,TO7&lt;&gt;""),AND(TQ7&gt;=TW$19,TQ7&lt;&gt;"",TS7&gt;=TW$23,TXQ7&lt;&gt;""),AND(TT7&gt;=TW$19,TT7&lt;&gt;"",TV7&gt;=TW$23,TV7&lt;&gt;""),AND(UR7&gt;=VE$19,UR7&lt;&gt;"",UT7&gt;=VE$23,UT7&lt;&gt;""),AND(UU7&gt;=VE$19,UU7&lt;&gt;"",UW7&gt;=VE$23,UW7&lt;&gt;""),AND(UY7&gt;=VE$19,UY7&lt;&gt;"",VA7&gt;=VE$23,VA7&lt;&gt;""),AND(VB7&gt;=VE$19,VB7&lt;&gt;"",VD7&gt;=VE$23,VD7&lt;&gt;""),AND(VZ7&gt;=WM$19,VZ7&lt;&gt;"",WB7&gt;=WM$23,WB7&lt;&gt;""),AND(WC7&gt;=WM$19,WC7&lt;&gt;"",WE7&gt;=WM$23,WE7&lt;&gt;""),AND(WG7&gt;=WM$19,WG7&lt;&gt;"",WI7&gt;=WM$23,WI7&lt;&gt;""),AND(WJ7&gt;=WM$19,WJ7&lt;&gt;"",WL7&gt;=WM$23,WL7&lt;&gt;"")),"Excellence",IF(I7="P","Worlds Team",IF(F7="P","National Team","")))))</f>
        <v>National Team</v>
      </c>
      <c r="I7" s="3" t="str">
        <f>IF(OR(AND(AI7&gt;=AS$18,AI7&lt;&gt;"",AK7&gt;=AS$22,AK7&lt;&gt;"",AH7=""),AND(AL7&gt;=AS$18,AL7&lt;&gt;"",AN7&gt;=AS$22,AN7&lt;&gt;"",AH7=""),AND(AP7&gt;=AS$18,AP7&lt;&gt;"",AR7&gt;=AS$22,AR7&lt;&gt;"",AH7=""),AND(BJ7&gt;=BT$18,BJ7&lt;&gt;"",BL7&gt;=BT$22,BL7&lt;&gt;"",BI7=""),AND(BM7&gt;=BT$18,BM7&lt;&gt;"",BO7&gt;=BT$22,BO7&lt;&gt;"",BI7=""),AND(BQ7&gt;=BT$18,BQ7&lt;&gt;"",BS7&gt;=BT$22,BS7&lt;&gt;"",BI7=""),AND(CK7&gt;=CU$18,CK7&lt;&gt;"",CM7&gt;=CU$22,CM7&lt;&gt;"",CJ7=""),AND(CN7&gt;=CU$18,CN7&lt;&gt;"",CP7&gt;=CU$22,CP7&lt;&gt;"",CJ7=""),AND(CR7&gt;=CU$18,CR7&lt;&gt;"",CT7&gt;=CU$22,CT7&lt;&gt;"",CJ7=""),AND(DR7&gt;=EE$18,DR7&lt;&gt;"",DT7&gt;=EE$22,DT7&lt;&gt;""),AND(DU7&gt;=EE$18,DU7&lt;&gt;"",DW7&gt;=EE$22,DW7&lt;&gt;""),AND(DY7&gt;=EE$18,DY7&lt;&gt;"",EA7&gt;=EE$22,EA7&lt;&gt;""),AND(EB7&gt;=EE$18,EB7&lt;&gt;"",ED7&gt;=EE$22,ED7&lt;&gt;""),AND(EZ7&gt;=FM$18,EZ7&lt;&gt;"",FB7&gt;=FM$22,FB7&lt;&gt;""),AND(FC7&gt;=FM$18,FC7&lt;&gt;"",FE7&gt;=FM$22,FE7&lt;&gt;""),AND(FG7&gt;=FM$18,FG7&lt;&gt;"",FI7&gt;=FM$22,FI7&lt;&gt;""),AND(FJ7&gt;=FM$18,FJ7&lt;&gt;"",FL7&gt;=FM$22,FL7&lt;&gt;""),AND(GH7&gt;=GU$18,GH7&lt;&gt;"",GJ7&gt;=GU$22,GJ7&lt;&gt;""),AND(GK7&gt;=GU$18,GK7&lt;&gt;"",GM7&gt;=GU$22,GM7&lt;&gt;""),AND(GO7&gt;=GU$18,GO7&lt;&gt;"",GQ7&gt;=GU$22,GQ7&lt;&gt;""),AND(GR7&gt;=GU$18,GR7&lt;&gt;"",GT7&gt;=GU$22,GT7&lt;&gt;""),AND(HP7&gt;=IC$18,HP7&lt;&gt;"",HR7&gt;=IC$22,HR7&lt;&gt;""),AND(HS7&gt;=IC$18,HS7&lt;&gt;"",HU7&gt;=IC$22,HU7&lt;&gt;""),AND(HW7&gt;=IC$18,HW7&lt;&gt;"",HY7&gt;=IC$22,HY7&lt;&gt;""),AND(HZ7&gt;=IC$18,HZ7&lt;&gt;"",IB7&gt;=IC$22,IB7&lt;&gt;""),AND(IX7&gt;=JK$18,IX7&lt;&gt;"",IZ7&gt;=JK$22,IZ7&lt;&gt;""),AND(JA7&gt;=JK$18,JA7&lt;&gt;"",JC7&gt;=JK$22,JC7&lt;&gt;""),AND(JE7&gt;=JK$18,JE7&lt;&gt;"",JG7&gt;=JK$22,JG7&lt;&gt;""),AND(JH7&gt;=JK$18,JH7&lt;&gt;"",JJ7&gt;=JK$22,JJ7&lt;&gt;""),AND(KF7&gt;=KS$18,KF7&lt;&gt;"",KH7&gt;=KS$22,KH7&lt;&gt;""),AND(KI7&gt;=KS$18,KI7&lt;&gt;"",KK7&gt;=KS$22,KK7&lt;&gt;""),AND(KM7&gt;=KS$18,KM7&lt;&gt;"",KO7&gt;=KS$22,KO7&lt;&gt;""),AND(KP7&gt;=KS$18,KP7&lt;&gt;"",KR7&gt;=KS$22,KR7&lt;&gt;""),AND(LN7&gt;=MA$18,LN7&lt;&gt;"",LP7&gt;=MA$22,LP7&lt;&gt;""),AND(LQ7&gt;=MA$18,LQ7&lt;&gt;"",LS7&gt;=MA$22,LS7&lt;&gt;""),AND(LU7&gt;=MA$18,LU7&lt;&gt;"",LW7&gt;=MA$22,LW7&lt;&gt;""),AND(LX7&gt;=MA$18,LX7&lt;&gt;"",LZ7&gt;=MA$22,LZ7&lt;&gt;""),AND(MV7&gt;=NI$18,MV7&lt;&gt;"",MX7&gt;=NI$22,MX7&lt;&gt;""),AND(MY7&gt;=NI$18,MY7&lt;&gt;"",NA7&gt;=NI$22,NA7&lt;&gt;""),AND(NC7&gt;=NI$18,NC7&lt;&gt;"",NE7&gt;=NI$22,NE7&lt;&gt;""),AND(NF7&gt;=NI$18,NF7&lt;&gt;"",NH7&gt;=NI$22,NH7&lt;&gt;""),AND(OD7&gt;=OQ$18,OD7&lt;&gt;"",OF7&gt;=OQ$22,OF7&lt;&gt;""),AND(OG7&gt;=OQ$18,OG7&lt;&gt;"",OI7&gt;=OQ$22,OI7&lt;&gt;""),AND(OK7&gt;=OQ$18,OK7&lt;&gt;"",OM7&gt;=OQ$22,OM7&lt;&gt;""),AND(ON7&gt;=OQ$18,ON7&lt;&gt;"",OP7&gt;=OQ$22,OP7&lt;&gt;""),AND(PL7&gt;=PY$18,PL7&lt;&gt;"",PN7&gt;=PY$22,PN7&lt;&gt;""),AND(PO7&gt;=PY$18,PO7&lt;&gt;"",PQ7&gt;=PY$22,PQ7&lt;&gt;""),AND(PS7&gt;=PY$18,PS7&lt;&gt;"",PU7&gt;=PY$22,PU7&lt;&gt;""),AND(PV7&gt;=PY$18,PV7&lt;&gt;"",PX7&gt;=PY$22,PX7&lt;&gt;""),AND(QT7&gt;=RG$18,QT7&lt;&gt;"",QV7&gt;=RG$22,QV7&lt;&gt;""),AND(QW7&gt;=RG$18,QW7&lt;&gt;"",QY7&gt;=RG$22,QY7&lt;&gt;""),AND(RA7&gt;=RG$18,RA7&lt;&gt;"",RC7&gt;=RG$22,RC7&lt;&gt;""),AND(RD7&gt;=RG$18,RD7&lt;&gt;"",RF7&gt;=RG$22,RF7&lt;&gt;""),AND(SB7&gt;=SO$18,SB7&lt;&gt;"",SD7&gt;=SO$22,SD7&lt;&gt;""),AND(SE7&gt;=SO$18,SE7&lt;&gt;"",SG7&gt;=SO$22,SG7&lt;&gt;""),AND(SI7&gt;=SO$18,SI7&lt;&gt;"",SK7&gt;=SO$22,SK7&lt;&gt;""),AND(SL7&gt;=SO$18,SL7&lt;&gt;"",SN7&gt;=SO$22,SN7&lt;&gt;""),AND(TJ7&gt;=TW$18,TJ7&lt;&gt;"",TL7&gt;=TW$22,TL7&lt;&gt;""),AND(TM7&gt;=TW$18,TM7&lt;&gt;"",TO7&gt;=TW$22,TO7&lt;&gt;""),AND(TQ7&gt;=TW$18,TQ7&lt;&gt;"",TS7&gt;=TW$22,TXQ7&lt;&gt;""),AND(TT7&gt;=TW$18,TT7&lt;&gt;"",TV7&gt;=TW$22,TV7&lt;&gt;""),AND(UR7&gt;=VE$18,UR7&lt;&gt;"",UT7&gt;=VE$22,UT7&lt;&gt;""),AND(UU7&gt;=VE$18,UU7&lt;&gt;"",UW7&gt;=VE$22,UW7&lt;&gt;""),AND(UY7&gt;=VE$18,UY7&lt;&gt;"",VA7&gt;=VE$22,VA7&lt;&gt;""),AND(VB7&gt;=VE$18,VB7&lt;&gt;"",VD7&gt;=VE$22,VD7&lt;&gt;""),AND(VZ7&gt;=WM$18,VZ7&lt;&gt;"",WB7&gt;=WM$22,WB7&lt;&gt;""),AND(WC7&gt;=WM$18,WC7&lt;&gt;"",WE7&gt;=WM$22,WE7&lt;&gt;""),AND(WG7&gt;=WM$18,WG7&lt;&gt;"",WI7&gt;=WM$22,WI7&lt;&gt;""),AND(WJ7&gt;=WM$18,WJ7&lt;&gt;"",WL7&gt;=WM$22,WL7&lt;&gt;"")),"P","")</f>
        <v/>
      </c>
      <c r="J7" s="8">
        <f t="shared" si="1"/>
        <v>51.269999999999996</v>
      </c>
      <c r="K7" s="8" t="str">
        <f t="shared" si="2"/>
        <v>2025 Nationals</v>
      </c>
      <c r="L7" s="8">
        <f>IFERROR(IF(J7=AR7,LARGE((AK7,AN7,BL7,BO7,BS7,CM7,CP7,CT7),1),IF(J7=BS7,LARGE((AK7,AN7,AR7,BL7,BO7,CM7,CP7,CT7),1),LARGE((AK7,AN7,AR7,BL7,BO7,BS7,CM7,CP7),1))),0)</f>
        <v>53.55</v>
      </c>
      <c r="M7" s="8" t="str">
        <f t="shared" si="3"/>
        <v>2025 3rd Domestic Trial</v>
      </c>
      <c r="N7" s="8">
        <f>IFERROR(IF(J7=AR7,LARGE((AK7,AN7,BL7,BO7,BS7,CM7,CP7,CT7),2),IF(J7=BS7,LARGE((AK7,AN7,AR7,BL7,BO7,CM7,CP7,CT7),2),LARGE((AK7,AN7,AR7,BL7,BO7,BS7,CM7,CP7),2))),0)</f>
        <v>52.18</v>
      </c>
      <c r="O7" s="8" t="str">
        <f t="shared" si="4"/>
        <v>2025 3rd Domestic Trial</v>
      </c>
      <c r="P7" s="8">
        <f t="shared" si="5"/>
        <v>0.51000000000000512</v>
      </c>
      <c r="Q7" s="11" t="str">
        <f t="shared" si="6"/>
        <v>(Final)</v>
      </c>
      <c r="R7" s="8" t="str">
        <f t="shared" si="7"/>
        <v>2025 Junior Pan Am Games (Aug 12)</v>
      </c>
      <c r="S7" s="18">
        <v>11.8</v>
      </c>
      <c r="T7" s="18">
        <v>9.4</v>
      </c>
      <c r="U7" s="18">
        <v>11.3</v>
      </c>
      <c r="V7" s="18">
        <v>14.35</v>
      </c>
      <c r="W7" s="18">
        <v>1.4</v>
      </c>
      <c r="X7" s="18">
        <v>13</v>
      </c>
      <c r="Y7" s="18">
        <v>9.1999999999999993</v>
      </c>
      <c r="Z7" s="18">
        <v>14.5</v>
      </c>
      <c r="AA7" s="18">
        <v>14.9</v>
      </c>
      <c r="AB7" s="18">
        <v>0</v>
      </c>
      <c r="AC7" s="18">
        <v>13.1</v>
      </c>
      <c r="AD7" s="18">
        <v>9.1999999999999993</v>
      </c>
      <c r="AE7" s="18">
        <v>14.1</v>
      </c>
      <c r="AF7" s="18">
        <v>14.87</v>
      </c>
      <c r="AG7" s="18">
        <v>0</v>
      </c>
      <c r="AH7" s="23"/>
      <c r="AI7" s="34">
        <f t="shared" si="8"/>
        <v>11.3</v>
      </c>
      <c r="AJ7" s="34">
        <f t="shared" si="9"/>
        <v>14.35</v>
      </c>
      <c r="AK7" s="36">
        <f t="shared" si="10"/>
        <v>45.45</v>
      </c>
      <c r="AL7" s="36">
        <f t="shared" si="11"/>
        <v>14.5</v>
      </c>
      <c r="AM7" s="36">
        <f t="shared" si="12"/>
        <v>14.9</v>
      </c>
      <c r="AN7" s="36">
        <f t="shared" si="13"/>
        <v>51.6</v>
      </c>
      <c r="AO7" s="36">
        <f t="shared" si="14"/>
        <v>51.6</v>
      </c>
      <c r="AP7" s="36">
        <f t="shared" si="15"/>
        <v>14.1</v>
      </c>
      <c r="AQ7" s="36">
        <f t="shared" si="16"/>
        <v>14.87</v>
      </c>
      <c r="AR7" s="36">
        <f t="shared" si="17"/>
        <v>51.269999999999996</v>
      </c>
      <c r="AS7" s="36">
        <f t="shared" si="18"/>
        <v>102.87</v>
      </c>
      <c r="AT7" s="22">
        <v>14.5</v>
      </c>
      <c r="AU7" s="22">
        <v>9.6</v>
      </c>
      <c r="AV7" s="22">
        <v>13.9</v>
      </c>
      <c r="AW7" s="22">
        <v>15.55</v>
      </c>
      <c r="AX7" s="22">
        <v>0</v>
      </c>
      <c r="AY7" s="22">
        <v>13.9</v>
      </c>
      <c r="AZ7" s="22">
        <v>9</v>
      </c>
      <c r="BA7" s="22">
        <v>14.1</v>
      </c>
      <c r="BB7" s="22">
        <v>15.18</v>
      </c>
      <c r="BC7" s="22">
        <v>0</v>
      </c>
      <c r="BD7" s="22">
        <v>1.4</v>
      </c>
      <c r="BE7" s="22">
        <v>1</v>
      </c>
      <c r="BF7" s="22">
        <v>2</v>
      </c>
      <c r="BG7" s="22">
        <v>1.63</v>
      </c>
      <c r="BH7" s="22">
        <v>0</v>
      </c>
      <c r="BI7" s="24"/>
      <c r="BJ7" s="35">
        <f t="shared" si="19"/>
        <v>13.9</v>
      </c>
      <c r="BK7" s="35">
        <f t="shared" si="20"/>
        <v>15.55</v>
      </c>
      <c r="BL7" s="11">
        <f t="shared" si="21"/>
        <v>53.55</v>
      </c>
      <c r="BM7" s="11">
        <f t="shared" si="22"/>
        <v>14.1</v>
      </c>
      <c r="BN7" s="11">
        <f t="shared" si="23"/>
        <v>15.18</v>
      </c>
      <c r="BO7" s="11">
        <f t="shared" si="24"/>
        <v>52.18</v>
      </c>
      <c r="BP7" s="11">
        <f t="shared" si="25"/>
        <v>53.55</v>
      </c>
      <c r="BQ7" s="11">
        <f t="shared" si="26"/>
        <v>2</v>
      </c>
      <c r="BR7" s="11">
        <f t="shared" si="27"/>
        <v>1.63</v>
      </c>
      <c r="BS7" s="11">
        <f t="shared" si="28"/>
        <v>6.03</v>
      </c>
      <c r="BT7" s="11">
        <f t="shared" si="29"/>
        <v>59.58</v>
      </c>
      <c r="BU7" s="18">
        <v>12.1</v>
      </c>
      <c r="BV7" s="18">
        <v>9</v>
      </c>
      <c r="BW7" s="18">
        <v>12.6</v>
      </c>
      <c r="BX7" s="18">
        <v>14.83</v>
      </c>
      <c r="BY7" s="18">
        <v>0.1</v>
      </c>
      <c r="BZ7" s="18">
        <v>11.8</v>
      </c>
      <c r="CA7" s="18">
        <v>9.3000000000000007</v>
      </c>
      <c r="CB7" s="18">
        <v>13.9</v>
      </c>
      <c r="CC7" s="18">
        <v>14.82</v>
      </c>
      <c r="CD7" s="18">
        <v>0</v>
      </c>
      <c r="CE7" s="18">
        <v>2.2000000000000002</v>
      </c>
      <c r="CF7" s="18">
        <v>1.5</v>
      </c>
      <c r="CG7" s="18">
        <v>3.3</v>
      </c>
      <c r="CH7" s="18">
        <v>3.07</v>
      </c>
      <c r="CI7" s="18">
        <v>0</v>
      </c>
      <c r="CJ7" s="23"/>
      <c r="CK7" s="34">
        <f t="shared" si="30"/>
        <v>12.6</v>
      </c>
      <c r="CL7" s="34">
        <f t="shared" si="31"/>
        <v>14.83</v>
      </c>
      <c r="CM7" s="36">
        <f t="shared" si="32"/>
        <v>48.43</v>
      </c>
      <c r="CN7" s="36">
        <f t="shared" si="33"/>
        <v>13.9</v>
      </c>
      <c r="CO7" s="36">
        <f t="shared" si="34"/>
        <v>14.82</v>
      </c>
      <c r="CP7" s="36">
        <f t="shared" si="35"/>
        <v>49.82</v>
      </c>
      <c r="CQ7" s="36">
        <f t="shared" si="36"/>
        <v>49.82</v>
      </c>
      <c r="CR7" s="36">
        <f t="shared" si="37"/>
        <v>3.3</v>
      </c>
      <c r="CS7" s="36">
        <f t="shared" si="38"/>
        <v>3.07</v>
      </c>
      <c r="CT7" s="36">
        <f t="shared" si="39"/>
        <v>10.07</v>
      </c>
      <c r="CU7" s="36">
        <f t="shared" si="40"/>
        <v>59.89</v>
      </c>
      <c r="CV7" s="47">
        <f t="shared" si="41"/>
        <v>0.51000000000000512</v>
      </c>
      <c r="CW7" s="47">
        <f t="shared" si="42"/>
        <v>0.5</v>
      </c>
      <c r="CX7" s="15">
        <v>13.4</v>
      </c>
      <c r="CY7" s="15">
        <v>8.6</v>
      </c>
      <c r="CZ7" s="15">
        <v>14.5</v>
      </c>
      <c r="DA7" s="15">
        <v>15.28</v>
      </c>
      <c r="DB7" s="15">
        <v>0</v>
      </c>
      <c r="DC7" s="15">
        <v>9.8000000000000007</v>
      </c>
      <c r="DD7" s="15">
        <v>6.2</v>
      </c>
      <c r="DE7" s="15">
        <v>10.199999999999999</v>
      </c>
      <c r="DF7" s="15">
        <v>10.88</v>
      </c>
      <c r="DG7" s="15">
        <v>0</v>
      </c>
      <c r="DH7" s="15">
        <v>4</v>
      </c>
      <c r="DI7" s="15">
        <v>2.6</v>
      </c>
      <c r="DJ7" s="15">
        <v>4.5999999999999996</v>
      </c>
      <c r="DK7" s="15">
        <v>4.58</v>
      </c>
      <c r="DL7" s="15">
        <v>0</v>
      </c>
      <c r="DM7" s="15"/>
      <c r="DN7" s="15"/>
      <c r="DO7" s="15"/>
      <c r="DP7" s="15"/>
      <c r="DQ7" s="15"/>
      <c r="DR7" s="36">
        <f t="shared" si="43"/>
        <v>14.5</v>
      </c>
      <c r="DS7" s="36">
        <f t="shared" si="44"/>
        <v>15.28</v>
      </c>
      <c r="DT7" s="36">
        <f t="shared" si="45"/>
        <v>51.78</v>
      </c>
      <c r="DU7" s="36">
        <f t="shared" si="46"/>
        <v>10.199999999999999</v>
      </c>
      <c r="DV7" s="36">
        <f t="shared" si="47"/>
        <v>10.88</v>
      </c>
      <c r="DW7" s="36">
        <f t="shared" si="48"/>
        <v>37.08</v>
      </c>
      <c r="DX7" s="36">
        <f t="shared" si="49"/>
        <v>51.78</v>
      </c>
      <c r="DY7" s="36">
        <f t="shared" si="50"/>
        <v>4.5999999999999996</v>
      </c>
      <c r="DZ7" s="36">
        <f t="shared" si="51"/>
        <v>4.58</v>
      </c>
      <c r="EA7" s="36">
        <f t="shared" si="52"/>
        <v>15.78</v>
      </c>
      <c r="EB7" s="36" t="str">
        <f t="shared" si="53"/>
        <v/>
      </c>
      <c r="EC7" s="36" t="str">
        <f t="shared" si="54"/>
        <v/>
      </c>
      <c r="ED7" s="36" t="str">
        <f t="shared" si="55"/>
        <v/>
      </c>
      <c r="EE7" s="36">
        <f t="shared" si="56"/>
        <v>67.56</v>
      </c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1" t="str">
        <f t="shared" si="57"/>
        <v/>
      </c>
      <c r="FA7" s="11" t="str">
        <f t="shared" si="58"/>
        <v/>
      </c>
      <c r="FB7" s="11" t="str">
        <f t="shared" si="59"/>
        <v/>
      </c>
      <c r="FC7" s="11" t="str">
        <f t="shared" si="60"/>
        <v/>
      </c>
      <c r="FD7" s="11" t="str">
        <f t="shared" si="61"/>
        <v/>
      </c>
      <c r="FE7" s="11" t="str">
        <f t="shared" si="62"/>
        <v/>
      </c>
      <c r="FF7" s="11" t="str">
        <f t="shared" si="63"/>
        <v/>
      </c>
      <c r="FG7" s="11" t="str">
        <f t="shared" si="64"/>
        <v/>
      </c>
      <c r="FH7" s="11" t="str">
        <f t="shared" si="65"/>
        <v/>
      </c>
      <c r="FI7" s="11" t="str">
        <f t="shared" si="66"/>
        <v/>
      </c>
      <c r="FJ7" s="11" t="str">
        <f t="shared" si="67"/>
        <v/>
      </c>
      <c r="FK7" s="11" t="str">
        <f t="shared" si="68"/>
        <v/>
      </c>
      <c r="FL7" s="11" t="str">
        <f t="shared" si="69"/>
        <v/>
      </c>
      <c r="FM7" s="11" t="str">
        <f t="shared" si="70"/>
        <v/>
      </c>
      <c r="FN7" s="15">
        <v>10.4</v>
      </c>
      <c r="FO7" s="15">
        <v>8.6</v>
      </c>
      <c r="FP7" s="15">
        <v>14.1</v>
      </c>
      <c r="FQ7" s="15">
        <v>14.96</v>
      </c>
      <c r="FR7" s="15">
        <v>0</v>
      </c>
      <c r="FS7" s="15">
        <v>12.9</v>
      </c>
      <c r="FT7" s="15">
        <v>9.1999999999999993</v>
      </c>
      <c r="FU7" s="15">
        <v>13.9</v>
      </c>
      <c r="FV7" s="15">
        <v>15.01</v>
      </c>
      <c r="FW7" s="15">
        <v>0</v>
      </c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36">
        <f t="shared" si="71"/>
        <v>14.1</v>
      </c>
      <c r="GI7" s="36">
        <f t="shared" si="72"/>
        <v>14.96</v>
      </c>
      <c r="GJ7" s="36">
        <f t="shared" si="73"/>
        <v>48.06</v>
      </c>
      <c r="GK7" s="36">
        <f t="shared" si="74"/>
        <v>13.9</v>
      </c>
      <c r="GL7" s="36">
        <f t="shared" si="75"/>
        <v>15.01</v>
      </c>
      <c r="GM7" s="36">
        <f t="shared" si="76"/>
        <v>51.01</v>
      </c>
      <c r="GN7" s="36">
        <f t="shared" si="77"/>
        <v>51.01</v>
      </c>
      <c r="GO7" s="36" t="str">
        <f t="shared" si="78"/>
        <v/>
      </c>
      <c r="GP7" s="36" t="str">
        <f t="shared" si="79"/>
        <v/>
      </c>
      <c r="GQ7" s="36" t="str">
        <f t="shared" si="80"/>
        <v/>
      </c>
      <c r="GR7" s="36" t="str">
        <f t="shared" si="81"/>
        <v/>
      </c>
      <c r="GS7" s="36" t="str">
        <f t="shared" si="82"/>
        <v/>
      </c>
      <c r="GT7" s="36" t="str">
        <f t="shared" si="83"/>
        <v/>
      </c>
      <c r="GU7" s="36">
        <f t="shared" si="84"/>
        <v>51.01</v>
      </c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1" t="str">
        <f t="shared" si="85"/>
        <v/>
      </c>
      <c r="HQ7" s="11" t="str">
        <f t="shared" si="86"/>
        <v/>
      </c>
      <c r="HR7" s="11" t="str">
        <f t="shared" si="87"/>
        <v/>
      </c>
      <c r="HS7" s="11" t="str">
        <f t="shared" si="88"/>
        <v/>
      </c>
      <c r="HT7" s="11" t="str">
        <f t="shared" si="89"/>
        <v/>
      </c>
      <c r="HU7" s="11" t="str">
        <f t="shared" si="90"/>
        <v/>
      </c>
      <c r="HV7" s="11" t="str">
        <f t="shared" si="91"/>
        <v/>
      </c>
      <c r="HW7" s="11" t="str">
        <f t="shared" si="92"/>
        <v/>
      </c>
      <c r="HX7" s="11" t="str">
        <f t="shared" si="93"/>
        <v/>
      </c>
      <c r="HY7" s="11" t="str">
        <f t="shared" si="94"/>
        <v/>
      </c>
      <c r="HZ7" s="11" t="str">
        <f t="shared" si="95"/>
        <v/>
      </c>
      <c r="IA7" s="11" t="str">
        <f t="shared" si="96"/>
        <v/>
      </c>
      <c r="IB7" s="11" t="str">
        <f t="shared" si="97"/>
        <v/>
      </c>
      <c r="IC7" s="11" t="str">
        <f t="shared" si="98"/>
        <v/>
      </c>
      <c r="ID7" s="15"/>
      <c r="IE7" s="15"/>
      <c r="IF7" s="15"/>
      <c r="IG7" s="15"/>
      <c r="IH7" s="15"/>
      <c r="II7" s="15">
        <v>13.6</v>
      </c>
      <c r="IJ7" s="15">
        <v>9.6</v>
      </c>
      <c r="IK7" s="15">
        <v>14.1</v>
      </c>
      <c r="IL7" s="15">
        <v>14.99</v>
      </c>
      <c r="IM7" s="15">
        <v>0</v>
      </c>
      <c r="IN7" s="15"/>
      <c r="IO7" s="15"/>
      <c r="IP7" s="15"/>
      <c r="IQ7" s="15"/>
      <c r="IR7" s="15"/>
      <c r="IS7" s="15">
        <v>13.7</v>
      </c>
      <c r="IT7" s="15">
        <v>9.1</v>
      </c>
      <c r="IU7" s="15">
        <v>14.1</v>
      </c>
      <c r="IV7" s="15">
        <v>14.88</v>
      </c>
      <c r="IW7" s="15">
        <v>0</v>
      </c>
      <c r="IX7" s="36" t="str">
        <f t="shared" si="99"/>
        <v/>
      </c>
      <c r="IY7" s="36" t="str">
        <f t="shared" si="100"/>
        <v/>
      </c>
      <c r="IZ7" s="36" t="str">
        <f t="shared" si="101"/>
        <v/>
      </c>
      <c r="JA7" s="36">
        <f t="shared" si="102"/>
        <v>14.1</v>
      </c>
      <c r="JB7" s="36">
        <f t="shared" si="103"/>
        <v>14.99</v>
      </c>
      <c r="JC7" s="36">
        <f t="shared" si="104"/>
        <v>52.29</v>
      </c>
      <c r="JD7" s="36">
        <f t="shared" si="105"/>
        <v>52.29</v>
      </c>
      <c r="JE7" s="36" t="str">
        <f t="shared" si="106"/>
        <v/>
      </c>
      <c r="JF7" s="36" t="str">
        <f t="shared" si="107"/>
        <v/>
      </c>
      <c r="JG7" s="36" t="str">
        <f t="shared" si="108"/>
        <v/>
      </c>
      <c r="JH7" s="36">
        <f t="shared" si="109"/>
        <v>14.1</v>
      </c>
      <c r="JI7" s="36">
        <f t="shared" si="110"/>
        <v>14.88</v>
      </c>
      <c r="JJ7" s="36">
        <f t="shared" si="111"/>
        <v>51.78</v>
      </c>
      <c r="JK7" s="36">
        <f t="shared" si="112"/>
        <v>104.07</v>
      </c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1" t="str">
        <f t="shared" si="113"/>
        <v/>
      </c>
      <c r="KG7" s="11" t="str">
        <f t="shared" si="114"/>
        <v/>
      </c>
      <c r="KH7" s="11" t="str">
        <f t="shared" si="115"/>
        <v/>
      </c>
      <c r="KI7" s="11" t="str">
        <f t="shared" si="116"/>
        <v/>
      </c>
      <c r="KJ7" s="11" t="str">
        <f t="shared" si="117"/>
        <v/>
      </c>
      <c r="KK7" s="11" t="str">
        <f t="shared" si="118"/>
        <v/>
      </c>
      <c r="KL7" s="11" t="str">
        <f t="shared" si="119"/>
        <v/>
      </c>
      <c r="KM7" s="11" t="str">
        <f t="shared" si="120"/>
        <v/>
      </c>
      <c r="KN7" s="11" t="str">
        <f t="shared" si="121"/>
        <v/>
      </c>
      <c r="KO7" s="11" t="str">
        <f t="shared" si="122"/>
        <v/>
      </c>
      <c r="KP7" s="11" t="str">
        <f t="shared" si="123"/>
        <v/>
      </c>
      <c r="KQ7" s="11" t="str">
        <f t="shared" si="124"/>
        <v/>
      </c>
      <c r="KR7" s="11" t="str">
        <f t="shared" si="125"/>
        <v/>
      </c>
      <c r="KS7" s="11" t="str">
        <f t="shared" si="126"/>
        <v/>
      </c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36" t="str">
        <f t="shared" si="127"/>
        <v/>
      </c>
      <c r="LO7" s="36" t="str">
        <f t="shared" si="128"/>
        <v/>
      </c>
      <c r="LP7" s="36" t="str">
        <f t="shared" si="129"/>
        <v/>
      </c>
      <c r="LQ7" s="36" t="str">
        <f t="shared" si="130"/>
        <v/>
      </c>
      <c r="LR7" s="36" t="str">
        <f t="shared" si="131"/>
        <v/>
      </c>
      <c r="LS7" s="36" t="str">
        <f t="shared" si="132"/>
        <v/>
      </c>
      <c r="LT7" s="36" t="str">
        <f t="shared" si="133"/>
        <v/>
      </c>
      <c r="LU7" s="36" t="str">
        <f t="shared" si="134"/>
        <v/>
      </c>
      <c r="LV7" s="36" t="str">
        <f t="shared" si="135"/>
        <v/>
      </c>
      <c r="LW7" s="36" t="str">
        <f t="shared" si="136"/>
        <v/>
      </c>
      <c r="LX7" s="36" t="str">
        <f t="shared" si="137"/>
        <v/>
      </c>
      <c r="LY7" s="36" t="str">
        <f t="shared" si="138"/>
        <v/>
      </c>
      <c r="LZ7" s="36" t="str">
        <f t="shared" si="139"/>
        <v/>
      </c>
      <c r="MA7" s="36" t="str">
        <f t="shared" si="140"/>
        <v/>
      </c>
      <c r="MB7" s="16">
        <v>13.9</v>
      </c>
      <c r="MC7" s="16">
        <v>9.4</v>
      </c>
      <c r="MD7" s="16">
        <v>14.3</v>
      </c>
      <c r="ME7" s="16">
        <v>15.08</v>
      </c>
      <c r="MF7" s="16">
        <v>0</v>
      </c>
      <c r="MG7" s="16">
        <v>1.2</v>
      </c>
      <c r="MH7" s="16">
        <v>1</v>
      </c>
      <c r="MI7" s="16">
        <v>2</v>
      </c>
      <c r="MJ7" s="16">
        <v>1.52</v>
      </c>
      <c r="MK7" s="16">
        <v>0</v>
      </c>
      <c r="ML7" s="16"/>
      <c r="MM7" s="16"/>
      <c r="MN7" s="16"/>
      <c r="MO7" s="16"/>
      <c r="MP7" s="16"/>
      <c r="MQ7" s="16"/>
      <c r="MR7" s="16"/>
      <c r="MS7" s="16"/>
      <c r="MT7" s="16"/>
      <c r="MU7" s="16"/>
      <c r="MV7" s="11">
        <f t="shared" si="141"/>
        <v>14.3</v>
      </c>
      <c r="MW7" s="11">
        <f t="shared" si="142"/>
        <v>15.08</v>
      </c>
      <c r="MX7" s="11">
        <f t="shared" si="143"/>
        <v>52.68</v>
      </c>
      <c r="MY7" s="11">
        <f t="shared" si="144"/>
        <v>2</v>
      </c>
      <c r="MZ7" s="11">
        <f t="shared" si="145"/>
        <v>1.52</v>
      </c>
      <c r="NA7" s="11">
        <f t="shared" si="146"/>
        <v>5.7200000000000006</v>
      </c>
      <c r="NB7" s="11">
        <f t="shared" si="147"/>
        <v>52.68</v>
      </c>
      <c r="NC7" s="11" t="str">
        <f t="shared" si="148"/>
        <v/>
      </c>
      <c r="ND7" s="11" t="str">
        <f t="shared" si="149"/>
        <v/>
      </c>
      <c r="NE7" s="11" t="str">
        <f t="shared" si="150"/>
        <v/>
      </c>
      <c r="NF7" s="11" t="str">
        <f t="shared" si="151"/>
        <v/>
      </c>
      <c r="NG7" s="11" t="str">
        <f t="shared" si="152"/>
        <v/>
      </c>
      <c r="NH7" s="11" t="str">
        <f t="shared" si="153"/>
        <v/>
      </c>
      <c r="NI7" s="11">
        <f t="shared" si="154"/>
        <v>52.68</v>
      </c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36" t="str">
        <f t="shared" si="155"/>
        <v/>
      </c>
      <c r="OE7" s="36" t="str">
        <f t="shared" si="156"/>
        <v/>
      </c>
      <c r="OF7" s="36" t="str">
        <f t="shared" si="157"/>
        <v/>
      </c>
      <c r="OG7" s="36" t="str">
        <f t="shared" si="158"/>
        <v/>
      </c>
      <c r="OH7" s="36" t="str">
        <f t="shared" si="159"/>
        <v/>
      </c>
      <c r="OI7" s="36" t="str">
        <f t="shared" si="160"/>
        <v/>
      </c>
      <c r="OJ7" s="36" t="str">
        <f t="shared" si="161"/>
        <v/>
      </c>
      <c r="OK7" s="36" t="str">
        <f t="shared" si="162"/>
        <v/>
      </c>
      <c r="OL7" s="36" t="str">
        <f t="shared" si="163"/>
        <v/>
      </c>
      <c r="OM7" s="36" t="str">
        <f t="shared" si="164"/>
        <v/>
      </c>
      <c r="ON7" s="36" t="str">
        <f t="shared" si="165"/>
        <v/>
      </c>
      <c r="OO7" s="36" t="str">
        <f t="shared" si="166"/>
        <v/>
      </c>
      <c r="OP7" s="36" t="str">
        <f t="shared" si="167"/>
        <v/>
      </c>
      <c r="OQ7" s="36" t="str">
        <f t="shared" si="168"/>
        <v/>
      </c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  <c r="PH7" s="16"/>
      <c r="PI7" s="16"/>
      <c r="PJ7" s="16"/>
      <c r="PK7" s="16"/>
      <c r="PL7" s="11" t="str">
        <f t="shared" si="169"/>
        <v/>
      </c>
      <c r="PM7" s="11" t="str">
        <f t="shared" si="170"/>
        <v/>
      </c>
      <c r="PN7" s="11" t="str">
        <f t="shared" si="171"/>
        <v/>
      </c>
      <c r="PO7" s="11" t="str">
        <f t="shared" si="172"/>
        <v/>
      </c>
      <c r="PP7" s="11" t="str">
        <f t="shared" si="173"/>
        <v/>
      </c>
      <c r="PQ7" s="11" t="str">
        <f t="shared" si="174"/>
        <v/>
      </c>
      <c r="PR7" s="11" t="str">
        <f t="shared" si="175"/>
        <v/>
      </c>
      <c r="PS7" s="11" t="str">
        <f t="shared" si="176"/>
        <v/>
      </c>
      <c r="PT7" s="11" t="str">
        <f t="shared" si="177"/>
        <v/>
      </c>
      <c r="PU7" s="11" t="str">
        <f t="shared" si="178"/>
        <v/>
      </c>
      <c r="PV7" s="11" t="str">
        <f t="shared" si="179"/>
        <v/>
      </c>
      <c r="PW7" s="11" t="str">
        <f t="shared" si="180"/>
        <v/>
      </c>
      <c r="PX7" s="11" t="str">
        <f t="shared" si="181"/>
        <v/>
      </c>
      <c r="PY7" s="11" t="str">
        <f t="shared" si="182"/>
        <v/>
      </c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36" t="str">
        <f t="shared" si="183"/>
        <v/>
      </c>
      <c r="QU7" s="36" t="str">
        <f t="shared" si="184"/>
        <v/>
      </c>
      <c r="QV7" s="36" t="str">
        <f t="shared" si="185"/>
        <v/>
      </c>
      <c r="QW7" s="36" t="str">
        <f t="shared" si="186"/>
        <v/>
      </c>
      <c r="QX7" s="36" t="str">
        <f t="shared" si="187"/>
        <v/>
      </c>
      <c r="QY7" s="36" t="str">
        <f t="shared" si="188"/>
        <v/>
      </c>
      <c r="QZ7" s="36" t="str">
        <f t="shared" si="189"/>
        <v/>
      </c>
      <c r="RA7" s="36" t="str">
        <f t="shared" si="190"/>
        <v/>
      </c>
      <c r="RB7" s="36" t="str">
        <f t="shared" si="191"/>
        <v/>
      </c>
      <c r="RC7" s="36" t="str">
        <f t="shared" si="192"/>
        <v/>
      </c>
      <c r="RD7" s="36" t="str">
        <f t="shared" si="193"/>
        <v/>
      </c>
      <c r="RE7" s="36" t="str">
        <f t="shared" si="194"/>
        <v/>
      </c>
      <c r="RF7" s="36" t="str">
        <f t="shared" si="195"/>
        <v/>
      </c>
      <c r="RG7" s="36" t="str">
        <f t="shared" si="196"/>
        <v/>
      </c>
      <c r="RH7" s="16"/>
      <c r="RI7" s="16"/>
      <c r="RJ7" s="16"/>
      <c r="RK7" s="16"/>
      <c r="RL7" s="16"/>
      <c r="RM7" s="16"/>
      <c r="RN7" s="16"/>
      <c r="RO7" s="16"/>
      <c r="RP7" s="16"/>
      <c r="RQ7" s="16"/>
      <c r="RR7" s="16"/>
      <c r="RS7" s="16"/>
      <c r="RT7" s="16"/>
      <c r="RU7" s="16"/>
      <c r="RV7" s="16"/>
      <c r="RW7" s="16"/>
      <c r="RX7" s="16"/>
      <c r="RY7" s="16"/>
      <c r="RZ7" s="16"/>
      <c r="SA7" s="16"/>
      <c r="SB7" s="11" t="str">
        <f t="shared" si="197"/>
        <v/>
      </c>
      <c r="SC7" s="11" t="str">
        <f t="shared" si="198"/>
        <v/>
      </c>
      <c r="SD7" s="11" t="str">
        <f t="shared" si="199"/>
        <v/>
      </c>
      <c r="SE7" s="11" t="str">
        <f t="shared" si="200"/>
        <v/>
      </c>
      <c r="SF7" s="11" t="str">
        <f t="shared" si="201"/>
        <v/>
      </c>
      <c r="SG7" s="11" t="str">
        <f t="shared" si="202"/>
        <v/>
      </c>
      <c r="SH7" s="11" t="str">
        <f t="shared" si="203"/>
        <v/>
      </c>
      <c r="SI7" s="11" t="str">
        <f t="shared" si="204"/>
        <v/>
      </c>
      <c r="SJ7" s="11" t="str">
        <f t="shared" si="205"/>
        <v/>
      </c>
      <c r="SK7" s="11" t="str">
        <f t="shared" si="206"/>
        <v/>
      </c>
      <c r="SL7" s="11" t="str">
        <f t="shared" si="207"/>
        <v/>
      </c>
      <c r="SM7" s="11" t="str">
        <f t="shared" si="208"/>
        <v/>
      </c>
      <c r="SN7" s="11" t="str">
        <f t="shared" si="209"/>
        <v/>
      </c>
      <c r="SO7" s="11" t="str">
        <f t="shared" si="210"/>
        <v/>
      </c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36" t="str">
        <f t="shared" si="211"/>
        <v/>
      </c>
      <c r="TK7" s="36" t="str">
        <f t="shared" si="212"/>
        <v/>
      </c>
      <c r="TL7" s="36" t="str">
        <f t="shared" si="213"/>
        <v/>
      </c>
      <c r="TM7" s="36" t="str">
        <f t="shared" si="214"/>
        <v/>
      </c>
      <c r="TN7" s="36" t="str">
        <f t="shared" si="215"/>
        <v/>
      </c>
      <c r="TO7" s="36" t="str">
        <f t="shared" si="216"/>
        <v/>
      </c>
      <c r="TP7" s="36" t="str">
        <f t="shared" si="217"/>
        <v/>
      </c>
      <c r="TQ7" s="36" t="str">
        <f t="shared" si="218"/>
        <v/>
      </c>
      <c r="TR7" s="36" t="str">
        <f t="shared" si="219"/>
        <v/>
      </c>
      <c r="TS7" s="36" t="str">
        <f t="shared" si="220"/>
        <v/>
      </c>
      <c r="TT7" s="36" t="str">
        <f t="shared" si="221"/>
        <v/>
      </c>
      <c r="TU7" s="36" t="str">
        <f t="shared" si="222"/>
        <v/>
      </c>
      <c r="TV7" s="36" t="str">
        <f t="shared" si="223"/>
        <v/>
      </c>
      <c r="TW7" s="36" t="str">
        <f t="shared" si="224"/>
        <v/>
      </c>
      <c r="TX7" s="16"/>
      <c r="TY7" s="16"/>
      <c r="TZ7" s="16"/>
      <c r="UA7" s="16"/>
      <c r="UB7" s="16"/>
      <c r="UC7" s="16"/>
      <c r="UD7" s="16"/>
      <c r="UE7" s="16"/>
      <c r="UF7" s="16"/>
      <c r="UG7" s="16"/>
      <c r="UH7" s="16"/>
      <c r="UI7" s="16"/>
      <c r="UJ7" s="16"/>
      <c r="UK7" s="16"/>
      <c r="UL7" s="16"/>
      <c r="UM7" s="16"/>
      <c r="UN7" s="16"/>
      <c r="UO7" s="16"/>
      <c r="UP7" s="16"/>
      <c r="UQ7" s="16"/>
      <c r="UR7" s="11" t="str">
        <f t="shared" si="225"/>
        <v/>
      </c>
      <c r="US7" s="11" t="str">
        <f t="shared" si="226"/>
        <v/>
      </c>
      <c r="UT7" s="11" t="str">
        <f t="shared" si="227"/>
        <v/>
      </c>
      <c r="UU7" s="11" t="str">
        <f t="shared" si="228"/>
        <v/>
      </c>
      <c r="UV7" s="11" t="str">
        <f t="shared" si="229"/>
        <v/>
      </c>
      <c r="UW7" s="11" t="str">
        <f t="shared" si="230"/>
        <v/>
      </c>
      <c r="UX7" s="11" t="str">
        <f t="shared" si="231"/>
        <v/>
      </c>
      <c r="UY7" s="11" t="str">
        <f t="shared" si="232"/>
        <v/>
      </c>
      <c r="UZ7" s="11" t="str">
        <f t="shared" si="233"/>
        <v/>
      </c>
      <c r="VA7" s="11" t="str">
        <f t="shared" si="234"/>
        <v/>
      </c>
      <c r="VB7" s="11" t="str">
        <f t="shared" si="235"/>
        <v/>
      </c>
      <c r="VC7" s="11" t="str">
        <f t="shared" si="236"/>
        <v/>
      </c>
      <c r="VD7" s="11" t="str">
        <f t="shared" si="237"/>
        <v/>
      </c>
      <c r="VE7" s="11" t="str">
        <f t="shared" si="238"/>
        <v/>
      </c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36" t="str">
        <f t="shared" si="239"/>
        <v/>
      </c>
      <c r="WA7" s="36" t="str">
        <f t="shared" si="240"/>
        <v/>
      </c>
      <c r="WB7" s="36" t="str">
        <f t="shared" si="241"/>
        <v/>
      </c>
      <c r="WC7" s="36" t="str">
        <f t="shared" si="242"/>
        <v/>
      </c>
      <c r="WD7" s="36" t="str">
        <f t="shared" si="243"/>
        <v/>
      </c>
      <c r="WE7" s="36" t="str">
        <f t="shared" si="244"/>
        <v/>
      </c>
      <c r="WF7" s="36" t="str">
        <f t="shared" si="245"/>
        <v/>
      </c>
      <c r="WG7" s="36" t="str">
        <f t="shared" si="246"/>
        <v/>
      </c>
      <c r="WH7" s="36" t="str">
        <f t="shared" si="247"/>
        <v/>
      </c>
      <c r="WI7" s="36" t="str">
        <f t="shared" si="248"/>
        <v/>
      </c>
      <c r="WJ7" s="36" t="str">
        <f t="shared" si="249"/>
        <v/>
      </c>
      <c r="WK7" s="36" t="str">
        <f t="shared" si="250"/>
        <v/>
      </c>
      <c r="WL7" s="36" t="str">
        <f t="shared" si="251"/>
        <v/>
      </c>
      <c r="WM7" s="36" t="str">
        <f t="shared" si="252"/>
        <v/>
      </c>
    </row>
    <row r="8" spans="1:611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54</v>
      </c>
      <c r="C8" s="4" t="s">
        <v>6</v>
      </c>
      <c r="D8" s="4">
        <v>2001</v>
      </c>
      <c r="E8" s="9">
        <f t="shared" si="0"/>
        <v>157.48001574800529</v>
      </c>
      <c r="F8" s="3" t="str">
        <f>IF(OR(AND(AI8&gt;=AS$17,AI8&lt;&gt;"",AK8&gt;=AS$21,AK8&lt;&gt;"",AH8=""),AND(AL8&gt;=AS$17,AL8&lt;&gt;"",AN8&gt;=AS$21,AN8&lt;&gt;"",AH8=""),AND(AP8&gt;=AS$17,AP8&lt;&gt;"",AR8&gt;=AS$21,AR8&lt;&gt;"",AH8=""),AND(BJ8&gt;=BT$17,BJ8&lt;&gt;"",BL8&gt;=BT$21,BL8&lt;&gt;"",BI8=""),AND(BM8&gt;=BT$17,BM8&lt;&gt;"",BO8&gt;=BT$21,BO8&lt;&gt;"",BI8=""),AND(BQ8&gt;=BT$17,BQ8&lt;&gt;"",BS8&gt;=BT$21,BS8&lt;&gt;"",BI8=""),AND(CK8&gt;=CU$17,CK8&lt;&gt;"",CM8&gt;=CU$21,CM8&lt;&gt;"",CJ8=""),AND(CN8&gt;=CU$17,CN8&lt;&gt;"",CP8&gt;=CU$21,CP8&lt;&gt;"",CJ8=""),AND(CR8&gt;=CU$17,CR8&lt;&gt;"",CT8&gt;=CU$21,CT8&lt;&gt;"",CJ8=""),AND(DR8&gt;=EE$17,DR8&lt;&gt;"",DT8&gt;=EE$21,DT8&lt;&gt;""),AND(DU8&gt;=EE$17,DU8&lt;&gt;"",DW8&gt;=EE$21,DW8&lt;&gt;""),AND(DY8&gt;=EE$17,DY8&lt;&gt;"",EA8&gt;=EE$21,EA8&lt;&gt;""),AND(EB8&gt;=EE$17,EB8&lt;&gt;"",ED8&gt;=EE$21,ED8&lt;&gt;""),AND(EZ8&gt;=FM$17,EZ8&lt;&gt;"",FB8&gt;=FM$21,FB8&lt;&gt;""),AND(FC8&gt;=FM$17,FC8&lt;&gt;"",FE8&gt;=FM$21,FE8&lt;&gt;""),AND(FG8&gt;=FM$17,FG8&lt;&gt;"",FI8&gt;=FM$21,FI8&lt;&gt;""),AND(FJ8&gt;=FM$17,FJ8&lt;&gt;"",FL8&gt;=FM$21,FL8&lt;&gt;""),AND(GH8&gt;=GU$17,GH8&lt;&gt;"",GJ8&gt;=GU$21,GJ8&lt;&gt;""),AND(GK8&gt;=GU$17,GK8&lt;&gt;"",GM8&gt;=GU$21,GM8&lt;&gt;""),AND(GO8&gt;=GU$17,GO8&lt;&gt;"",GQ8&gt;=GU$21,GQ8&lt;&gt;""),AND(GR8&gt;=GU$17,GR8&lt;&gt;"",GT8&gt;=GU$21,GT8&lt;&gt;""),AND(HP8&gt;=IC$17,HP8&lt;&gt;"",HR8&gt;=IC$21,HR8&lt;&gt;""),AND(HS8&gt;=IC$17,HS8&lt;&gt;"",HU8&gt;=IC$21,HU8&lt;&gt;""),AND(HW8&gt;=IC$17,HW8&lt;&gt;"",HY8&gt;=IC$21,HY8&lt;&gt;""),AND(HZ8&gt;=IC$17,HZ8&lt;&gt;"",IB8&gt;=IC$21,IB8&lt;&gt;""),AND(IX8&gt;=JK$17,IX8&lt;&gt;"",IZ8&gt;=JK$21,IZ8&lt;&gt;""),AND(JA8&gt;=JK$17,JA8&lt;&gt;"",JC8&gt;=JK$21,JC8&lt;&gt;""),AND(JE8&gt;=JK$17,JE8&lt;&gt;"",JG8&gt;=JK$21,JG8&lt;&gt;""),AND(JH8&gt;=JK$17,JH8&lt;&gt;"",JJ8&gt;=JK$21,JJ8&lt;&gt;""),AND(KF8&gt;=KS$17,KF8&lt;&gt;"",KH8&gt;=KS$21,KH8&lt;&gt;""),AND(KI8&gt;=KS$17,KI8&lt;&gt;"",KK8&gt;=KS$21,KK8&lt;&gt;""),AND(KM8&gt;=KS$17,KM8&lt;&gt;"",KO8&gt;=KS$21,KO8&lt;&gt;""),AND(KP8&gt;=KS$17,KP8&lt;&gt;"",KR8&gt;=KS$21,KR8&lt;&gt;""),AND(LN8&gt;=MA$17,LN8&lt;&gt;"",LP8&gt;=MA$21,LP8&lt;&gt;""),AND(LQ8&gt;=MA$17,LQ8&lt;&gt;"",LS8&gt;=MA$21,LS8&lt;&gt;""),AND(LU8&gt;=MA$17,LU8&lt;&gt;"",LW8&gt;=MA$21,LW8&lt;&gt;""),AND(LX8&gt;=MA$17,LX8&lt;&gt;"",LZ8&gt;=MA$21,LZ8&lt;&gt;""),AND(MV8&gt;=NI$17,MV8&lt;&gt;"",MX8&gt;=NI$21,MX8&lt;&gt;""),AND(MY8&gt;=NI$17,MY8&lt;&gt;"",NA8&gt;=NI$21,NA8&lt;&gt;""),AND(NC8&gt;=NI$17,NC8&lt;&gt;"",NE8&gt;=NI$21,NE8&lt;&gt;""),AND(NF8&gt;=NI$17,NF8&lt;&gt;"",NH8&gt;=NI$21,NH8&lt;&gt;""),AND(OD8&gt;=OQ$17,OD8&lt;&gt;"",OF8&gt;=OQ$21,OF8&lt;&gt;""),AND(OG8&gt;=OQ$17,OG8&lt;&gt;"",OI8&gt;=OQ$21,OI8&lt;&gt;""),AND(OK8&gt;=OQ$17,OK8&lt;&gt;"",OM8&gt;=OQ$21,OM8&lt;&gt;""),AND(ON8&gt;=OQ$17,ON8&lt;&gt;"",OP8&gt;=OQ$21,OP8&lt;&gt;""),AND(PL8&gt;=PY$17,PL8&lt;&gt;"",PN8&gt;=PY$21,PN8&lt;&gt;""),AND(PO8&gt;=PY$17,PO8&lt;&gt;"",PQ8&gt;=PY$21,PQ8&lt;&gt;""),AND(PS8&gt;=PY$17,PS8&lt;&gt;"",PU8&gt;=PY$21,PU8&lt;&gt;""),AND(PV8&gt;=PY$17,PV8&lt;&gt;"",PX8&gt;=PY$21,PX8&lt;&gt;""),AND(QT8&gt;=RG$17,QT8&lt;&gt;"",QV8&gt;=RG$21,QV8&lt;&gt;""),AND(QW8&gt;=RG$17,QW8&lt;&gt;"",QY8&gt;=RG$21,QY8&lt;&gt;""),AND(RA8&gt;=RG$17,RA8&lt;&gt;"",RC8&gt;=RG$21,RC8&lt;&gt;""),AND(RD8&gt;=RG$17,RD8&lt;&gt;"",RF8&gt;=RG$21,RF8&lt;&gt;""),AND(SB8&gt;=SO$17,SB8&lt;&gt;"",SD8&gt;=SO$21,SD8&lt;&gt;""),AND(SE8&gt;=SO$17,SE8&lt;&gt;"",SG8&gt;=SO$21,SG8&lt;&gt;""),AND(SI8&gt;=SO$17,SI8&lt;&gt;"",SK8&gt;=SO$21,SK8&lt;&gt;""),AND(SL8&gt;=SO$17,SL8&lt;&gt;"",SN8&gt;=SO$21,SN8&lt;&gt;""),AND(TJ8&gt;=TW$17,TJ8&lt;&gt;"",TL8&gt;=TW$21,TL8&lt;&gt;""),AND(TM8&gt;=TW$17,TM8&lt;&gt;"",TO8&gt;=TW$21,TO8&lt;&gt;""),AND(TQ8&gt;=TW$17,TQ8&lt;&gt;"",TS8&gt;=TW$21,TXQ8&lt;&gt;""),AND(TT8&gt;=TW$17,TT8&lt;&gt;"",TV8&gt;=TW$21,TV8&lt;&gt;""),AND(UR8&gt;=VE$17,UR8&lt;&gt;"",UT8&gt;=VE$21,UT8&lt;&gt;""),AND(UU8&gt;=VE$17,UU8&lt;&gt;"",UW8&gt;=VE$21,UW8&lt;&gt;""),AND(UY8&gt;=VE$17,UY8&lt;&gt;"",VA8&gt;=VE$21,VA8&lt;&gt;""),AND(VB8&gt;=VE$17,VB8&lt;&gt;"",VD8&gt;=VE$21,VD8&lt;&gt;""),AND(VZ8&gt;=WM$17,VZ8&lt;&gt;"",WB8&gt;=WM$21,WB8&lt;&gt;""),AND(WC8&gt;=WM$17,WC8&lt;&gt;"",WE8&gt;=WM$21,WE8&lt;&gt;""),AND(WG8&gt;=WM$17,WG8&lt;&gt;"",WI8&gt;=WM$21,WI8&lt;&gt;""),AND(WJ8&gt;=WM$17,WJ8&lt;&gt;"",WL8&gt;=WM$21,WL8&lt;&gt;"")),"P","")</f>
        <v>P</v>
      </c>
      <c r="G8" s="3" t="str">
        <f>IF(OR(AND(AK8&gt;=AS$21,AK8&lt;&gt;"",AH8=""),AND(AN8&gt;=AS$21,AN8&lt;&gt;"",AH8=""),AND(AR8&gt;=AS$21,AR8&lt;&gt;"",AH8=""),AND(BL8&gt;=BT$21,BL8&lt;&gt;"",BI8=""),AND(BO8&gt;=BT$21,BO8&lt;&gt;"",BI8=""),AND(BS8&gt;=BT$21,BS8&lt;&gt;"",BI8=""),AND(CM8&gt;=CU$21,CM8&lt;&gt;"",CJ8=""),AND(CP8&gt;=CU$21,CP8&lt;&gt;"",CJ8=""),AND(CT8&gt;=CU$21,CT8&lt;&gt;"",CJ8=""),AND(DT8&gt;=EE$21,DT8&lt;&gt;""),AND(DW8&gt;=EE$21,DW8&lt;&gt;""),AND(EA8&gt;=EE$21,EA8&lt;&gt;""),AND(ED8&gt;=EE$21,ED8&lt;&gt;""),AND(FB8&gt;=FM$21,FB8&lt;&gt;""),AND(FE8&gt;=FM$21,FE8&lt;&gt;""),AND(FI8&gt;=FM$21,FI8&lt;&gt;""),AND(FL8&gt;=FM$21,FL8&lt;&gt;""),AND(GJ8&gt;=GU$21,GJ8&lt;&gt;""),AND(GM8&gt;=GU$21,GM8&lt;&gt;""),AND(GQ8&gt;=GU$21,GQ8&lt;&gt;""),AND(GT8&gt;=GU$21,GT8&lt;&gt;""),AND(HR8&gt;=IC$21,HR8&lt;&gt;""),AND(HU8&gt;=IC$21,HU8&lt;&gt;""),AND(HY8&gt;=IC$21,HY8&lt;&gt;""),AND(IB8&gt;=IC$21,IB8&lt;&gt;""),AND(IZ8&gt;=JK$21,IZ8&lt;&gt;""),AND(JC8&gt;=JK$21,JC8&lt;&gt;""),AND(JG8&gt;=JK$21,JG8&lt;&gt;""),AND(JJ8&gt;=JK$21,JJ8&lt;&gt;""),AND(KH8&gt;=KS$21,KH8&lt;&gt;""),AND(KK8&gt;=KS$21,KK8&lt;&gt;""),AND(KO8&gt;=KS$21,KO8&lt;&gt;""),AND(KR8&gt;=KS$21,KR8&lt;&gt;""),AND(LP8&gt;=MA$21,LP8&lt;&gt;""),AND(LS8&gt;=MA$21,LS8&lt;&gt;""),AND(LW8&gt;=MA$21,LW8&lt;&gt;""),AND(LZ8&gt;=MA$21,LZ8&lt;&gt;""),AND(MX8&gt;=NI$21,MX8&lt;&gt;""),AND(NA8&gt;=NI$21,NA8&lt;&gt;""),AND(NE8&gt;=NI$21,NE8&lt;&gt;""),AND(NH8&gt;=NI$21,NH8&lt;&gt;""),AND(OF8&gt;=OQ$21,OF8&lt;&gt;""),AND(OI8&gt;=OQ$21,OI8&lt;&gt;""),AND(OM8&gt;=OQ$21,OM8&lt;&gt;""),AND(OP8&gt;=OQ$21,OP8&lt;&gt;""),AND(PN8&gt;=PY$21,PN8&lt;&gt;""),AND(PQ8&gt;=PY$21,PQ8&lt;&gt;""),AND(PU8&gt;=PY$21,PU8&lt;&gt;""),AND(PX8&gt;=PY$21,PX8&lt;&gt;""),AND(QV8&gt;=RG$21,QV8&lt;&gt;""),AND(QY8&gt;=RG$21,QY8&lt;&gt;""),AND(RC8&gt;=RG$21,RC8&lt;&gt;""),AND(RF8&gt;=RG$21,RF8&lt;&gt;""),AND(SD8&gt;=SO$21,SD8&lt;&gt;""),AND(SG8&gt;=SO$21,SG8&lt;&gt;""),AND(SK8&gt;=SO$21,SK8&lt;&gt;""),AND(SN8&gt;=SO$21,SN8&lt;&gt;""),AND(TL8&gt;=TW$21,TL8&lt;&gt;""),AND(TO8&gt;=TW$21,TO8&lt;&gt;""),AND(TS8&gt;=TW$21,TXQ8&lt;&gt;""),AND(TV8&gt;=TW$21,TV8&lt;&gt;""),AND(UT8&gt;=VE$21,UT8&lt;&gt;""),AND(UW8&gt;=VE$21,UW8&lt;&gt;""),AND(VA8&gt;=VE$21,VA8&lt;&gt;""),AND(VD8&gt;=VE$21,VD8&lt;&gt;""),AND(WB8&gt;=WM$21,WB8&lt;&gt;""),AND(WE8&gt;=WM$21,WE8&lt;&gt;""),AND(WI8&gt;=WM$21,WI8&lt;&gt;""),AND(WL8&gt;=WM$21,WL8&lt;&gt;"")),"P","")</f>
        <v>P</v>
      </c>
      <c r="H8" s="32" t="str">
        <f>IF(AND(G8="P",F8=""),"No DD",IF(OR(AND(AI8&gt;=AS$20,AI8&lt;&gt;"",AK8&gt;=AS$24,AK8&lt;&gt;"",AH8=""),AND(AL8&gt;=AS$20,AL8&lt;&gt;"",AN8&gt;=AS$24,AN8&lt;&gt;"",AH8=""),AND(AP8&gt;=AS$20,AP8&lt;&gt;"",AR8&gt;=AS$24,AR8&lt;&gt;"",AH8=""),AND(BJ8&gt;=BT$20,BJ8&lt;&gt;"",BL8&gt;=BT$24,BL8&lt;&gt;"",BI8=""),AND(BM8&gt;=BT$20,BM8&lt;&gt;"",BO8&gt;=BT$24,BO8&lt;&gt;"",BI8=""),AND(BQ8&gt;=BT$20,BQ8&lt;&gt;"",BS8&gt;=BT$24,BS8&lt;&gt;"",BI8=""),AND(CK8&gt;=CU$20,CK8&lt;&gt;"",CM8&gt;=CU$24,CM8&lt;&gt;"",CJ8=""),AND(CN8&gt;=CU$20,CN8&lt;&gt;"",CP8&gt;=CU$24,CP8&lt;&gt;"",CJ8=""),AND(CR8&gt;=CU$20,CR8&lt;&gt;"",CT8&gt;=CU$24,CT8&lt;&gt;"",CJ8=""),AND(DR8&gt;=EE$20,DR8&lt;&gt;"",DT8&gt;=EE$24,DT8&lt;&gt;""),AND(DU8&gt;=EE$20,DU8&lt;&gt;"",DW8&gt;=EE$24,DW8&lt;&gt;""),AND(DY8&gt;=EE$20,DY8&lt;&gt;"",EA8&gt;=EE$24,EA8&lt;&gt;""),AND(EB8&gt;=EE$20,EB8&lt;&gt;"",ED8&gt;=EE$24,ED8&lt;&gt;""),AND(EZ8&gt;=FM$20,EZ8&lt;&gt;"",FB8&gt;=FM$24,FB8&lt;&gt;""),AND(FC8&gt;=FM$20,FC8&lt;&gt;"",FE8&gt;=FM$24,FE8&lt;&gt;""),AND(FG8&gt;=FM$20,FG8&lt;&gt;"",FI8&gt;=FM$24,FI8&lt;&gt;""),AND(FJ8&gt;=FM$20,FJ8&lt;&gt;"",FL8&gt;=FM$24,FL8&lt;&gt;""),AND(GH8&gt;=GU$20,GH8&lt;&gt;"",GJ8&gt;=GU$24,GJ8&lt;&gt;""),AND(GK8&gt;=GU$20,GK8&lt;&gt;"",GM8&gt;=GU$24,GM8&lt;&gt;""),AND(GO8&gt;=GU$20,GO8&lt;&gt;"",GQ8&gt;=GU$24,GQ8&lt;&gt;""),AND(GR8&gt;=GU$20,GR8&lt;&gt;"",GT8&gt;=GU$24,GT8&lt;&gt;""),AND(HP8&gt;=IC$20,HP8&lt;&gt;"",HR8&gt;=IC$24,HR8&lt;&gt;""),AND(HS8&gt;=IC$20,HS8&lt;&gt;"",HU8&gt;=IC$24,HU8&lt;&gt;""),AND(HW8&gt;=IC$20,HW8&lt;&gt;"",HY8&gt;=IC$24,HY8&lt;&gt;""),AND(HZ8&gt;=IC$20,HZ8&lt;&gt;"",IB8&gt;=IC$24,IB8&lt;&gt;""),AND(IX8&gt;=JK$20,IX8&lt;&gt;"",IZ8&gt;=JK$24,IZ8&lt;&gt;""),AND(JA8&gt;=JK$20,JA8&lt;&gt;"",JC8&gt;=JK$24,JC8&lt;&gt;""),AND(JE8&gt;=JK$20,JE8&lt;&gt;"",JG8&gt;=JK$24,JG8&lt;&gt;""),AND(JH8&gt;=JK$20,JH8&lt;&gt;"",JJ8&gt;=JK$24,JJ8&lt;&gt;""),AND(KF8&gt;=KS$20,KF8&lt;&gt;"",KH8&gt;=KS$24,KH8&lt;&gt;""),AND(KI8&gt;=KS$20,KI8&lt;&gt;"",KK8&gt;=KS$24,KK8&lt;&gt;""),AND(KM8&gt;=KS$20,KM8&lt;&gt;"",KO8&gt;=KS$24,KO8&lt;&gt;""),AND(KP8&gt;=KS$20,KP8&lt;&gt;"",KR8&gt;=KS$24,KR8&lt;&gt;""),AND(LN8&gt;=MA$20,LN8&lt;&gt;"",LP8&gt;=MA$24,LP8&lt;&gt;""),AND(LQ8&gt;=MA$20,LQ8&lt;&gt;"",LS8&gt;=MA$24,LS8&lt;&gt;""),AND(LU8&gt;=MA$20,LU8&lt;&gt;"",LW8&gt;=MA$24,LW8&lt;&gt;""),AND(LX8&gt;=MA$20,LX8&lt;&gt;"",LZ8&gt;=MA$24,LZ8&lt;&gt;""),AND(MV8&gt;=NI$20,MV8&lt;&gt;"",MX8&gt;=NI$24,MX8&lt;&gt;""),AND(MY8&gt;=NI$20,MY8&lt;&gt;"",NA8&gt;=NI$24,NA8&lt;&gt;""),AND(NC8&gt;=NI$20,NC8&lt;&gt;"",NE8&gt;=NI$24,NE8&lt;&gt;""),AND(NF8&gt;=NI$20,NF8&lt;&gt;"",NH8&gt;=NI$24,NH8&lt;&gt;""),AND(OD8&gt;=OQ$20,OD8&lt;&gt;"",OF8&gt;=OQ$24,OF8&lt;&gt;""),AND(OG8&gt;=OQ$20,OG8&lt;&gt;"",OI8&gt;=OQ$24,OI8&lt;&gt;""),AND(OK8&gt;=OQ$20,OK8&lt;&gt;"",OM8&gt;=OQ$24,OM8&lt;&gt;""),AND(ON8&gt;=OQ$20,ON8&lt;&gt;"",OP8&gt;=OQ$24,OP8&lt;&gt;""),AND(PL8&gt;=PY$20,PL8&lt;&gt;"",PN8&gt;=PY$24,PN8&lt;&gt;""),AND(PO8&gt;=PY$20,PO8&lt;&gt;"",PQ8&gt;=PY$24,PQ8&lt;&gt;""),AND(PS8&gt;=PY$20,PS8&lt;&gt;"",PU8&gt;=PY$24,PU8&lt;&gt;""),AND(PV8&gt;=PY$20,PV8&lt;&gt;"",PX8&gt;=PY$24,PX8&lt;&gt;""),AND(QT8&gt;=RG$20,QT8&lt;&gt;"",QV8&gt;=RG$24,QV8&lt;&gt;""),AND(QW8&gt;=RG$20,QW8&lt;&gt;"",QY8&gt;=RG$24,QY8&lt;&gt;""),AND(RA8&gt;=RG$20,RA8&lt;&gt;"",RC8&gt;=RG$24,RC8&lt;&gt;""),AND(RD8&gt;=RG$20,RD8&lt;&gt;"",RF8&gt;=RG$24,RF8&lt;&gt;""),AND(SB8&gt;=SO$20,SB8&lt;&gt;"",SD8&gt;=SO$24,SD8&lt;&gt;""),AND(SE8&gt;=SO$20,SE8&lt;&gt;"",SG8&gt;=SO$24,SG8&lt;&gt;""),AND(SI8&gt;=SO$20,SI8&lt;&gt;"",SK8&gt;=SO$24,SK8&lt;&gt;""),AND(SL8&gt;=SO$20,SL8&lt;&gt;"",SN8&gt;=SO$24,SN8&lt;&gt;""),AND(TJ8&gt;=TW$20,TJ8&lt;&gt;"",TL8&gt;=TW$24,TL8&lt;&gt;""),AND(TM8&gt;=TW$20,TM8&lt;&gt;"",TO8&gt;=TW$24,TO8&lt;&gt;""),AND(TQ8&gt;=TW$20,TQ8&lt;&gt;"",TS8&gt;=TW$344,TXQ8&lt;&gt;""),AND(TT8&gt;=TW$20,TT8&lt;&gt;"",TV8&gt;=TW$24,TV8&lt;&gt;""),AND(UR8&gt;=VE$20,UR8&lt;&gt;"",UT8&gt;=VE$24,UT8&lt;&gt;""),AND(UU8&gt;=VE$20,UU8&lt;&gt;"",UW8&gt;=VE$24,UW8&lt;&gt;""),AND(UY8&gt;=VE$20,UY8&lt;&gt;"",VA8&gt;=VE$24,VA8&lt;&gt;""),AND(VB8&gt;=VE$20,VB8&lt;&gt;"",VD8&gt;=VE$24,VD8&lt;&gt;""),AND(VZ8&gt;=WM$20,VZ8&lt;&gt;"",WB8&gt;=WM$24,WB8&lt;&gt;""),AND(WC8&gt;=WM$20,WC8&lt;&gt;"",WE8&gt;=WM$24,WE8&lt;&gt;""),AND(WG8&gt;=WM$20,WG8&lt;&gt;"",WI8&gt;=WM$24,WI8&lt;&gt;""),AND(WJ8&gt;=WM$20,WJ8&lt;&gt;"",WL8&gt;=WM$24,WL8&lt;&gt;"")),"Merit",IF(OR(AND(AI8&gt;=AS$19,AI8&lt;&gt;"",AK8&gt;=AS$23,AK8&lt;&gt;"",AH8=""),AND(AL8&gt;=AS$19,AL8&lt;&gt;"",AN8&gt;=AS$23,AN8&lt;&gt;"",AH8=""),AND(AP8&gt;=AS$19,AP8&lt;&gt;"",AR8&gt;=AS$23,AR8&lt;&gt;"",AH8=""),AND(BJ8&gt;=BT$19,BJ8&lt;&gt;"",BL8&gt;=BT$23,BL8&lt;&gt;"",BI8=""),AND(BM8&gt;=BT$19,BM8&lt;&gt;"",BO8&gt;=BT$23,BO8&lt;&gt;"",BI8=""),AND(BQ8&gt;=BT$19,BQ8&lt;&gt;"",BS8&gt;=BT$23,BS8&lt;&gt;"",BI8=""),AND(CK8&gt;=CU$19,CK8&lt;&gt;"",CM8&gt;=CU$23,CM8&lt;&gt;"",CJ8=""),AND(CN8&gt;=CU$19,CN8&lt;&gt;"",CP8&gt;=CU$23,CP8&lt;&gt;"",CJ8=""),AND(CR8&gt;=CU$19,CR8&lt;&gt;"",CT8&gt;=CU$23,CT8&lt;&gt;"",CJ8=""),AND(DR8&gt;=EE$19,DR8&lt;&gt;"",DT8&gt;=EE$23,DT8&lt;&gt;""),AND(DU8&gt;=EE$19,DU8&lt;&gt;"",DW8&gt;=EE$23,DW8&lt;&gt;""),AND(DY8&gt;=EE$19,DY8&lt;&gt;"",EA8&gt;=EE$23,EA8&lt;&gt;""),AND(EB8&gt;=EE$19,EB8&lt;&gt;"",ED8&gt;=EE$23,ED8&lt;&gt;""),AND(EZ8&gt;=FM$19,EZ8&lt;&gt;"",FB8&gt;=FM$23,FB8&lt;&gt;""),AND(FC8&gt;=FM$19,FC8&lt;&gt;"",FE8&gt;=FM$23,FE8&lt;&gt;""),AND(FG8&gt;=FM$19,FG8&lt;&gt;"",FI8&gt;=FM$23,FI8&lt;&gt;""),AND(FJ8&gt;=FM$19,FJ8&lt;&gt;"",FL8&gt;=FM$23,FL8&lt;&gt;""),AND(GH8&gt;=GU$19,GH8&lt;&gt;"",GJ8&gt;=GU$23,GJ8&lt;&gt;""),AND(GK8&gt;=GU$19,GK8&lt;&gt;"",GM8&gt;=GU$23,GM8&lt;&gt;""),AND(GO8&gt;=GU$19,GO8&lt;&gt;"",GQ8&gt;=GU$23,GQ8&lt;&gt;""),AND(GR8&gt;=GU$19,GR8&lt;&gt;"",GT8&gt;=GU$23,GT8&lt;&gt;""),AND(HP8&gt;=IC$19,HP8&lt;&gt;"",HR8&gt;=IC$23,HR8&lt;&gt;""),AND(HS8&gt;=IC$19,HS8&lt;&gt;"",HU8&gt;=IC$23,HU8&lt;&gt;""),AND(HW8&gt;=IC$19,HW8&lt;&gt;"",HY8&gt;=IC$23,HY8&lt;&gt;""),AND(HZ8&gt;=IC$19,HZ8&lt;&gt;"",IB8&gt;=IC$23,IB8&lt;&gt;""),AND(IX8&gt;=JK$19,IX8&lt;&gt;"",IZ8&gt;=JK$23,IZ8&lt;&gt;""),AND(JA8&gt;=JK$19,JA8&lt;&gt;"",JC8&gt;=JK$23,JC8&lt;&gt;""),AND(JE8&gt;=JK$19,JE8&lt;&gt;"",JG8&gt;=JK$23,JG8&lt;&gt;""),AND(JH8&gt;=JK$19,JH8&lt;&gt;"",JJ8&gt;=JK$23,JJ8&lt;&gt;""),AND(KF8&gt;=KS$19,KF8&lt;&gt;"",KH8&gt;=KS$23,KH8&lt;&gt;""),AND(KI8&gt;=KS$19,KI8&lt;&gt;"",KK8&gt;=KS$23,KK8&lt;&gt;""),AND(KM8&gt;=KS$19,KM8&lt;&gt;"",KO8&gt;=KS$23,KO8&lt;&gt;""),AND(KP8&gt;=KS$19,KP8&lt;&gt;"",KR8&gt;=KS$23,KR8&lt;&gt;""),AND(LN8&gt;=MA$19,LN8&lt;&gt;"",LP8&gt;=MA$23,LP8&lt;&gt;""),AND(LQ8&gt;=MA$19,LQ8&lt;&gt;"",LS8&gt;=MA$23,LS8&lt;&gt;""),AND(LU8&gt;=MA$19,LU8&lt;&gt;"",LW8&gt;=MA$23,LW8&lt;&gt;""),AND(LX8&gt;=MA$19,LX8&lt;&gt;"",LZ8&gt;=MA$23,LZ8&lt;&gt;""),AND(MV8&gt;=NI$19,MV8&lt;&gt;"",MX8&gt;=NI$23,MX8&lt;&gt;""),AND(MY8&gt;=NI$19,MY8&lt;&gt;"",NA8&gt;=NI$23,NA8&lt;&gt;""),AND(NC8&gt;=NI$19,NC8&lt;&gt;"",NE8&gt;=NI$23,NE8&lt;&gt;""),AND(NF8&gt;=NI$19,NF8&lt;&gt;"",NH8&gt;=NI$23,NH8&lt;&gt;""),AND(OD8&gt;=OQ$19,OD8&lt;&gt;"",OF8&gt;=OQ$23,OF8&lt;&gt;""),AND(OG8&gt;=OQ$19,OG8&lt;&gt;"",OI8&gt;=OQ$23,OI8&lt;&gt;""),AND(OK8&gt;=OQ$19,OK8&lt;&gt;"",OM8&gt;=OQ$23,OM8&lt;&gt;""),AND(ON8&gt;=OQ$19,ON8&lt;&gt;"",OP8&gt;=OQ$23,OP8&lt;&gt;""),AND(PL8&gt;=PY$19,PL8&lt;&gt;"",PN8&gt;=PY$23,PN8&lt;&gt;""),AND(PO8&gt;=PY$19,PO8&lt;&gt;"",PQ8&gt;=PY$23,PQ8&lt;&gt;""),AND(PS8&gt;=PY$19,PS8&lt;&gt;"",PU8&gt;=PY$23,PU8&lt;&gt;""),AND(PV8&gt;=PY$19,PV8&lt;&gt;"",PX8&gt;=PY$23,PX8&lt;&gt;""),AND(QT8&gt;=RG$19,QT8&lt;&gt;"",QV8&gt;=RG$23,QV8&lt;&gt;""),AND(QW8&gt;=RG$19,QW8&lt;&gt;"",QY8&gt;=RG$23,QY8&lt;&gt;""),AND(RA8&gt;=RG$19,RA8&lt;&gt;"",RC8&gt;=RG$23,RC8&lt;&gt;""),AND(RD8&gt;=RG$19,RD8&lt;&gt;"",RF8&gt;=RG$23,RF8&lt;&gt;""),AND(SB8&gt;=SO$19,SB8&lt;&gt;"",SD8&gt;=SO$23,SD8&lt;&gt;""),AND(SE8&gt;=SO$19,SE8&lt;&gt;"",SG8&gt;=SO$23,SG8&lt;&gt;""),AND(SI8&gt;=SO$19,SI8&lt;&gt;"",SK8&gt;=SO$23,SK8&lt;&gt;""),AND(SL8&gt;=SO$19,SL8&lt;&gt;"",SN8&gt;=SO$23,SN8&lt;&gt;""),AND(TJ8&gt;=TW$19,TJ8&lt;&gt;"",TL8&gt;=TW$23,TL8&lt;&gt;""),AND(TM8&gt;=TW$19,TM8&lt;&gt;"",TO8&gt;=TW$23,TO8&lt;&gt;""),AND(TQ8&gt;=TW$19,TQ8&lt;&gt;"",TS8&gt;=TW$23,TXQ8&lt;&gt;""),AND(TT8&gt;=TW$19,TT8&lt;&gt;"",TV8&gt;=TW$23,TV8&lt;&gt;""),AND(UR8&gt;=VE$19,UR8&lt;&gt;"",UT8&gt;=VE$23,UT8&lt;&gt;""),AND(UU8&gt;=VE$19,UU8&lt;&gt;"",UW8&gt;=VE$23,UW8&lt;&gt;""),AND(UY8&gt;=VE$19,UY8&lt;&gt;"",VA8&gt;=VE$23,VA8&lt;&gt;""),AND(VB8&gt;=VE$19,VB8&lt;&gt;"",VD8&gt;=VE$23,VD8&lt;&gt;""),AND(VZ8&gt;=WM$19,VZ8&lt;&gt;"",WB8&gt;=WM$23,WB8&lt;&gt;""),AND(WC8&gt;=WM$19,WC8&lt;&gt;"",WE8&gt;=WM$23,WE8&lt;&gt;""),AND(WG8&gt;=WM$19,WG8&lt;&gt;"",WI8&gt;=WM$23,WI8&lt;&gt;""),AND(WJ8&gt;=WM$19,WJ8&lt;&gt;"",WL8&gt;=WM$23,WL8&lt;&gt;"")),"Excellence",IF(I8="P","Worlds Team",IF(F8="P","National Team","")))))</f>
        <v>National Team</v>
      </c>
      <c r="I8" s="3" t="str">
        <f>IF(OR(AND(AI8&gt;=AS$18,AI8&lt;&gt;"",AK8&gt;=AS$22,AK8&lt;&gt;"",AH8=""),AND(AL8&gt;=AS$18,AL8&lt;&gt;"",AN8&gt;=AS$22,AN8&lt;&gt;"",AH8=""),AND(AP8&gt;=AS$18,AP8&lt;&gt;"",AR8&gt;=AS$22,AR8&lt;&gt;"",AH8=""),AND(BJ8&gt;=BT$18,BJ8&lt;&gt;"",BL8&gt;=BT$22,BL8&lt;&gt;"",BI8=""),AND(BM8&gt;=BT$18,BM8&lt;&gt;"",BO8&gt;=BT$22,BO8&lt;&gt;"",BI8=""),AND(BQ8&gt;=BT$18,BQ8&lt;&gt;"",BS8&gt;=BT$22,BS8&lt;&gt;"",BI8=""),AND(CK8&gt;=CU$18,CK8&lt;&gt;"",CM8&gt;=CU$22,CM8&lt;&gt;"",CJ8=""),AND(CN8&gt;=CU$18,CN8&lt;&gt;"",CP8&gt;=CU$22,CP8&lt;&gt;"",CJ8=""),AND(CR8&gt;=CU$18,CR8&lt;&gt;"",CT8&gt;=CU$22,CT8&lt;&gt;"",CJ8=""),AND(DR8&gt;=EE$18,DR8&lt;&gt;"",DT8&gt;=EE$22,DT8&lt;&gt;""),AND(DU8&gt;=EE$18,DU8&lt;&gt;"",DW8&gt;=EE$22,DW8&lt;&gt;""),AND(DY8&gt;=EE$18,DY8&lt;&gt;"",EA8&gt;=EE$22,EA8&lt;&gt;""),AND(EB8&gt;=EE$18,EB8&lt;&gt;"",ED8&gt;=EE$22,ED8&lt;&gt;""),AND(EZ8&gt;=FM$18,EZ8&lt;&gt;"",FB8&gt;=FM$22,FB8&lt;&gt;""),AND(FC8&gt;=FM$18,FC8&lt;&gt;"",FE8&gt;=FM$22,FE8&lt;&gt;""),AND(FG8&gt;=FM$18,FG8&lt;&gt;"",FI8&gt;=FM$22,FI8&lt;&gt;""),AND(FJ8&gt;=FM$18,FJ8&lt;&gt;"",FL8&gt;=FM$22,FL8&lt;&gt;""),AND(GH8&gt;=GU$18,GH8&lt;&gt;"",GJ8&gt;=GU$22,GJ8&lt;&gt;""),AND(GK8&gt;=GU$18,GK8&lt;&gt;"",GM8&gt;=GU$22,GM8&lt;&gt;""),AND(GO8&gt;=GU$18,GO8&lt;&gt;"",GQ8&gt;=GU$22,GQ8&lt;&gt;""),AND(GR8&gt;=GU$18,GR8&lt;&gt;"",GT8&gt;=GU$22,GT8&lt;&gt;""),AND(HP8&gt;=IC$18,HP8&lt;&gt;"",HR8&gt;=IC$22,HR8&lt;&gt;""),AND(HS8&gt;=IC$18,HS8&lt;&gt;"",HU8&gt;=IC$22,HU8&lt;&gt;""),AND(HW8&gt;=IC$18,HW8&lt;&gt;"",HY8&gt;=IC$22,HY8&lt;&gt;""),AND(HZ8&gt;=IC$18,HZ8&lt;&gt;"",IB8&gt;=IC$22,IB8&lt;&gt;""),AND(IX8&gt;=JK$18,IX8&lt;&gt;"",IZ8&gt;=JK$22,IZ8&lt;&gt;""),AND(JA8&gt;=JK$18,JA8&lt;&gt;"",JC8&gt;=JK$22,JC8&lt;&gt;""),AND(JE8&gt;=JK$18,JE8&lt;&gt;"",JG8&gt;=JK$22,JG8&lt;&gt;""),AND(JH8&gt;=JK$18,JH8&lt;&gt;"",JJ8&gt;=JK$22,JJ8&lt;&gt;""),AND(KF8&gt;=KS$18,KF8&lt;&gt;"",KH8&gt;=KS$22,KH8&lt;&gt;""),AND(KI8&gt;=KS$18,KI8&lt;&gt;"",KK8&gt;=KS$22,KK8&lt;&gt;""),AND(KM8&gt;=KS$18,KM8&lt;&gt;"",KO8&gt;=KS$22,KO8&lt;&gt;""),AND(KP8&gt;=KS$18,KP8&lt;&gt;"",KR8&gt;=KS$22,KR8&lt;&gt;""),AND(LN8&gt;=MA$18,LN8&lt;&gt;"",LP8&gt;=MA$22,LP8&lt;&gt;""),AND(LQ8&gt;=MA$18,LQ8&lt;&gt;"",LS8&gt;=MA$22,LS8&lt;&gt;""),AND(LU8&gt;=MA$18,LU8&lt;&gt;"",LW8&gt;=MA$22,LW8&lt;&gt;""),AND(LX8&gt;=MA$18,LX8&lt;&gt;"",LZ8&gt;=MA$22,LZ8&lt;&gt;""),AND(MV8&gt;=NI$18,MV8&lt;&gt;"",MX8&gt;=NI$22,MX8&lt;&gt;""),AND(MY8&gt;=NI$18,MY8&lt;&gt;"",NA8&gt;=NI$22,NA8&lt;&gt;""),AND(NC8&gt;=NI$18,NC8&lt;&gt;"",NE8&gt;=NI$22,NE8&lt;&gt;""),AND(NF8&gt;=NI$18,NF8&lt;&gt;"",NH8&gt;=NI$22,NH8&lt;&gt;""),AND(OD8&gt;=OQ$18,OD8&lt;&gt;"",OF8&gt;=OQ$22,OF8&lt;&gt;""),AND(OG8&gt;=OQ$18,OG8&lt;&gt;"",OI8&gt;=OQ$22,OI8&lt;&gt;""),AND(OK8&gt;=OQ$18,OK8&lt;&gt;"",OM8&gt;=OQ$22,OM8&lt;&gt;""),AND(ON8&gt;=OQ$18,ON8&lt;&gt;"",OP8&gt;=OQ$22,OP8&lt;&gt;""),AND(PL8&gt;=PY$18,PL8&lt;&gt;"",PN8&gt;=PY$22,PN8&lt;&gt;""),AND(PO8&gt;=PY$18,PO8&lt;&gt;"",PQ8&gt;=PY$22,PQ8&lt;&gt;""),AND(PS8&gt;=PY$18,PS8&lt;&gt;"",PU8&gt;=PY$22,PU8&lt;&gt;""),AND(PV8&gt;=PY$18,PV8&lt;&gt;"",PX8&gt;=PY$22,PX8&lt;&gt;""),AND(QT8&gt;=RG$18,QT8&lt;&gt;"",QV8&gt;=RG$22,QV8&lt;&gt;""),AND(QW8&gt;=RG$18,QW8&lt;&gt;"",QY8&gt;=RG$22,QY8&lt;&gt;""),AND(RA8&gt;=RG$18,RA8&lt;&gt;"",RC8&gt;=RG$22,RC8&lt;&gt;""),AND(RD8&gt;=RG$18,RD8&lt;&gt;"",RF8&gt;=RG$22,RF8&lt;&gt;""),AND(SB8&gt;=SO$18,SB8&lt;&gt;"",SD8&gt;=SO$22,SD8&lt;&gt;""),AND(SE8&gt;=SO$18,SE8&lt;&gt;"",SG8&gt;=SO$22,SG8&lt;&gt;""),AND(SI8&gt;=SO$18,SI8&lt;&gt;"",SK8&gt;=SO$22,SK8&lt;&gt;""),AND(SL8&gt;=SO$18,SL8&lt;&gt;"",SN8&gt;=SO$22,SN8&lt;&gt;""),AND(TJ8&gt;=TW$18,TJ8&lt;&gt;"",TL8&gt;=TW$22,TL8&lt;&gt;""),AND(TM8&gt;=TW$18,TM8&lt;&gt;"",TO8&gt;=TW$22,TO8&lt;&gt;""),AND(TQ8&gt;=TW$18,TQ8&lt;&gt;"",TS8&gt;=TW$22,TXQ8&lt;&gt;""),AND(TT8&gt;=TW$18,TT8&lt;&gt;"",TV8&gt;=TW$22,TV8&lt;&gt;""),AND(UR8&gt;=VE$18,UR8&lt;&gt;"",UT8&gt;=VE$22,UT8&lt;&gt;""),AND(UU8&gt;=VE$18,UU8&lt;&gt;"",UW8&gt;=VE$22,UW8&lt;&gt;""),AND(UY8&gt;=VE$18,UY8&lt;&gt;"",VA8&gt;=VE$22,VA8&lt;&gt;""),AND(VB8&gt;=VE$18,VB8&lt;&gt;"",VD8&gt;=VE$22,VD8&lt;&gt;""),AND(VZ8&gt;=WM$18,VZ8&lt;&gt;"",WB8&gt;=WM$22,WB8&lt;&gt;""),AND(WC8&gt;=WM$18,WC8&lt;&gt;"",WE8&gt;=WM$22,WE8&lt;&gt;""),AND(WG8&gt;=WM$18,WG8&lt;&gt;"",WI8&gt;=WM$22,WI8&lt;&gt;""),AND(WJ8&gt;=WM$18,WJ8&lt;&gt;"",WL8&gt;=WM$22,WL8&lt;&gt;"")),"P","")</f>
        <v/>
      </c>
      <c r="J8" s="8">
        <f t="shared" si="1"/>
        <v>52.51</v>
      </c>
      <c r="K8" s="8" t="str">
        <f t="shared" si="2"/>
        <v>2026 Elite Canada</v>
      </c>
      <c r="L8" s="8">
        <f>IFERROR(IF(J8=AR8,LARGE((AK8,AN8,BL8,BO8,BS8,CM8,CP8,CT8),1),IF(J8=BS8,LARGE((AK8,AN8,AR8,BL8,BO8,CM8,CP8,CT8),1),LARGE((AK8,AN8,AR8,BL8,BO8,BS8,CM8,CP8),1))),0)</f>
        <v>52.81</v>
      </c>
      <c r="M8" s="8" t="str">
        <f t="shared" si="3"/>
        <v>2026 Elite Canada</v>
      </c>
      <c r="N8" s="8">
        <f>IFERROR(IF(J8=AR8,LARGE((AK8,AN8,BL8,BO8,BS8,CM8,CP8,CT8),2),IF(J8=BS8,LARGE((AK8,AN8,AR8,BL8,BO8,CM8,CP8,CT8),2),LARGE((AK8,AN8,AR8,BL8,BO8,BS8,CM8,CP8),2))),0)</f>
        <v>52.16</v>
      </c>
      <c r="O8" s="8" t="str">
        <f t="shared" si="4"/>
        <v>2025 Nationals</v>
      </c>
      <c r="P8" s="8">
        <f t="shared" si="5"/>
        <v>0</v>
      </c>
      <c r="Q8" s="11" t="str">
        <f t="shared" si="6"/>
        <v/>
      </c>
      <c r="R8" s="8" t="str">
        <f t="shared" si="7"/>
        <v/>
      </c>
      <c r="S8" s="18">
        <v>14.6</v>
      </c>
      <c r="T8" s="18">
        <v>9.3000000000000007</v>
      </c>
      <c r="U8" s="18">
        <v>13.9</v>
      </c>
      <c r="V8" s="18">
        <v>14.36</v>
      </c>
      <c r="W8" s="18">
        <v>0</v>
      </c>
      <c r="X8" s="18">
        <v>2.7</v>
      </c>
      <c r="Y8" s="18">
        <v>1.7</v>
      </c>
      <c r="Z8" s="18">
        <v>3.5</v>
      </c>
      <c r="AA8" s="18">
        <v>3.13</v>
      </c>
      <c r="AB8" s="18">
        <v>0</v>
      </c>
      <c r="AC8" s="18">
        <v>1.3</v>
      </c>
      <c r="AD8" s="18">
        <v>0.8</v>
      </c>
      <c r="AE8" s="18">
        <v>2</v>
      </c>
      <c r="AF8" s="18">
        <v>1.62</v>
      </c>
      <c r="AG8" s="18">
        <v>0</v>
      </c>
      <c r="AH8" s="23"/>
      <c r="AI8" s="34">
        <f t="shared" si="8"/>
        <v>13.9</v>
      </c>
      <c r="AJ8" s="34">
        <f t="shared" si="9"/>
        <v>14.36</v>
      </c>
      <c r="AK8" s="36">
        <f t="shared" si="10"/>
        <v>52.16</v>
      </c>
      <c r="AL8" s="36">
        <f t="shared" si="11"/>
        <v>3.5</v>
      </c>
      <c r="AM8" s="36">
        <f t="shared" si="12"/>
        <v>3.13</v>
      </c>
      <c r="AN8" s="36">
        <f t="shared" si="13"/>
        <v>11.030000000000001</v>
      </c>
      <c r="AO8" s="36">
        <f t="shared" si="14"/>
        <v>52.16</v>
      </c>
      <c r="AP8" s="36">
        <f t="shared" si="15"/>
        <v>2</v>
      </c>
      <c r="AQ8" s="36">
        <f t="shared" si="16"/>
        <v>1.62</v>
      </c>
      <c r="AR8" s="36">
        <f t="shared" si="17"/>
        <v>5.72</v>
      </c>
      <c r="AS8" s="36">
        <f t="shared" si="18"/>
        <v>57.879999999999995</v>
      </c>
      <c r="AT8" s="22">
        <v>4.0999999999999996</v>
      </c>
      <c r="AU8" s="22">
        <v>2.7</v>
      </c>
      <c r="AV8" s="22">
        <v>5</v>
      </c>
      <c r="AW8" s="22">
        <v>4.7300000000000004</v>
      </c>
      <c r="AX8" s="22">
        <v>0</v>
      </c>
      <c r="AY8" s="22">
        <v>13.3</v>
      </c>
      <c r="AZ8" s="22">
        <v>9.1</v>
      </c>
      <c r="BA8" s="22">
        <v>14.1</v>
      </c>
      <c r="BB8" s="22">
        <v>14.1</v>
      </c>
      <c r="BC8" s="22">
        <v>0</v>
      </c>
      <c r="BD8" s="22">
        <v>13.5</v>
      </c>
      <c r="BE8" s="22">
        <v>9.6</v>
      </c>
      <c r="BF8" s="22">
        <v>14.1</v>
      </c>
      <c r="BG8" s="22">
        <v>14.89</v>
      </c>
      <c r="BH8" s="22">
        <v>0</v>
      </c>
      <c r="BI8" s="24"/>
      <c r="BJ8" s="35">
        <f t="shared" si="19"/>
        <v>5</v>
      </c>
      <c r="BK8" s="35">
        <f t="shared" si="20"/>
        <v>4.7300000000000004</v>
      </c>
      <c r="BL8" s="11">
        <f t="shared" si="21"/>
        <v>16.53</v>
      </c>
      <c r="BM8" s="11">
        <f t="shared" si="22"/>
        <v>14.1</v>
      </c>
      <c r="BN8" s="11">
        <f t="shared" si="23"/>
        <v>14.1</v>
      </c>
      <c r="BO8" s="11">
        <f t="shared" si="24"/>
        <v>50.6</v>
      </c>
      <c r="BP8" s="11">
        <f t="shared" si="25"/>
        <v>50.6</v>
      </c>
      <c r="BQ8" s="11">
        <f t="shared" si="26"/>
        <v>14.1</v>
      </c>
      <c r="BR8" s="11">
        <f t="shared" si="27"/>
        <v>14.89</v>
      </c>
      <c r="BS8" s="11">
        <f t="shared" si="28"/>
        <v>52.09</v>
      </c>
      <c r="BT8" s="11">
        <f t="shared" si="29"/>
        <v>102.69</v>
      </c>
      <c r="BU8" s="18">
        <v>7.1</v>
      </c>
      <c r="BV8" s="18">
        <v>4.5</v>
      </c>
      <c r="BW8" s="18">
        <v>7.6</v>
      </c>
      <c r="BX8" s="18">
        <v>7.33</v>
      </c>
      <c r="BY8" s="18">
        <v>0</v>
      </c>
      <c r="BZ8" s="18">
        <v>15.3</v>
      </c>
      <c r="CA8" s="18">
        <v>9.1</v>
      </c>
      <c r="CB8" s="18">
        <v>14.1</v>
      </c>
      <c r="CC8" s="18">
        <v>14.31</v>
      </c>
      <c r="CD8" s="18">
        <v>0</v>
      </c>
      <c r="CE8" s="18">
        <v>14.6</v>
      </c>
      <c r="CF8" s="18">
        <v>9.1</v>
      </c>
      <c r="CG8" s="18">
        <v>14.1</v>
      </c>
      <c r="CH8" s="18">
        <v>14.71</v>
      </c>
      <c r="CI8" s="18">
        <v>0</v>
      </c>
      <c r="CJ8" s="23"/>
      <c r="CK8" s="34">
        <f t="shared" si="30"/>
        <v>7.6</v>
      </c>
      <c r="CL8" s="34">
        <f t="shared" si="31"/>
        <v>7.33</v>
      </c>
      <c r="CM8" s="36">
        <f t="shared" si="32"/>
        <v>26.53</v>
      </c>
      <c r="CN8" s="36">
        <f t="shared" si="33"/>
        <v>14.1</v>
      </c>
      <c r="CO8" s="36">
        <f t="shared" si="34"/>
        <v>14.31</v>
      </c>
      <c r="CP8" s="36">
        <f t="shared" si="35"/>
        <v>52.81</v>
      </c>
      <c r="CQ8" s="36">
        <f t="shared" si="36"/>
        <v>52.81</v>
      </c>
      <c r="CR8" s="36">
        <f t="shared" si="37"/>
        <v>14.1</v>
      </c>
      <c r="CS8" s="36">
        <f t="shared" si="38"/>
        <v>14.71</v>
      </c>
      <c r="CT8" s="36">
        <f t="shared" si="39"/>
        <v>52.51</v>
      </c>
      <c r="CU8" s="36">
        <f t="shared" si="40"/>
        <v>105.32</v>
      </c>
      <c r="CV8" s="47" t="str">
        <f t="shared" si="41"/>
        <v/>
      </c>
      <c r="CW8" s="47" t="str">
        <f t="shared" si="42"/>
        <v/>
      </c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36" t="str">
        <f t="shared" si="43"/>
        <v/>
      </c>
      <c r="DS8" s="36" t="str">
        <f t="shared" si="44"/>
        <v/>
      </c>
      <c r="DT8" s="36" t="str">
        <f t="shared" si="45"/>
        <v/>
      </c>
      <c r="DU8" s="36" t="str">
        <f t="shared" si="46"/>
        <v/>
      </c>
      <c r="DV8" s="36" t="str">
        <f t="shared" si="47"/>
        <v/>
      </c>
      <c r="DW8" s="36" t="str">
        <f t="shared" si="48"/>
        <v/>
      </c>
      <c r="DX8" s="36" t="str">
        <f t="shared" si="49"/>
        <v/>
      </c>
      <c r="DY8" s="36" t="str">
        <f t="shared" si="50"/>
        <v/>
      </c>
      <c r="DZ8" s="36" t="str">
        <f t="shared" si="51"/>
        <v/>
      </c>
      <c r="EA8" s="36" t="str">
        <f t="shared" si="52"/>
        <v/>
      </c>
      <c r="EB8" s="36" t="str">
        <f t="shared" si="53"/>
        <v/>
      </c>
      <c r="EC8" s="36" t="str">
        <f t="shared" si="54"/>
        <v/>
      </c>
      <c r="ED8" s="36" t="str">
        <f t="shared" si="55"/>
        <v/>
      </c>
      <c r="EE8" s="36" t="str">
        <f t="shared" si="56"/>
        <v/>
      </c>
      <c r="EF8" s="16">
        <v>13.5</v>
      </c>
      <c r="EG8" s="16">
        <v>8.9</v>
      </c>
      <c r="EH8" s="16">
        <v>13</v>
      </c>
      <c r="EI8" s="16">
        <v>14.7</v>
      </c>
      <c r="EJ8" s="16">
        <v>0</v>
      </c>
      <c r="EK8" s="16">
        <v>13.4</v>
      </c>
      <c r="EL8" s="16">
        <v>9.1999999999999993</v>
      </c>
      <c r="EM8" s="16">
        <v>13.9</v>
      </c>
      <c r="EN8" s="16">
        <v>14.54</v>
      </c>
      <c r="EO8" s="16">
        <v>0</v>
      </c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1">
        <f t="shared" si="57"/>
        <v>13</v>
      </c>
      <c r="FA8" s="11">
        <f t="shared" si="58"/>
        <v>14.7</v>
      </c>
      <c r="FB8" s="11">
        <f t="shared" si="59"/>
        <v>50.099999999999994</v>
      </c>
      <c r="FC8" s="11">
        <f t="shared" si="60"/>
        <v>13.9</v>
      </c>
      <c r="FD8" s="11">
        <f t="shared" si="61"/>
        <v>14.54</v>
      </c>
      <c r="FE8" s="11">
        <f t="shared" si="62"/>
        <v>51.04</v>
      </c>
      <c r="FF8" s="11">
        <f t="shared" si="63"/>
        <v>51.04</v>
      </c>
      <c r="FG8" s="11" t="str">
        <f t="shared" si="64"/>
        <v/>
      </c>
      <c r="FH8" s="11" t="str">
        <f t="shared" si="65"/>
        <v/>
      </c>
      <c r="FI8" s="11" t="str">
        <f t="shared" si="66"/>
        <v/>
      </c>
      <c r="FJ8" s="11" t="str">
        <f t="shared" si="67"/>
        <v/>
      </c>
      <c r="FK8" s="11" t="str">
        <f t="shared" si="68"/>
        <v/>
      </c>
      <c r="FL8" s="11" t="str">
        <f t="shared" si="69"/>
        <v/>
      </c>
      <c r="FM8" s="11">
        <f t="shared" si="70"/>
        <v>51.04</v>
      </c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36" t="str">
        <f t="shared" si="71"/>
        <v/>
      </c>
      <c r="GI8" s="36" t="str">
        <f t="shared" si="72"/>
        <v/>
      </c>
      <c r="GJ8" s="36" t="str">
        <f t="shared" si="73"/>
        <v/>
      </c>
      <c r="GK8" s="36" t="str">
        <f t="shared" si="74"/>
        <v/>
      </c>
      <c r="GL8" s="36" t="str">
        <f t="shared" si="75"/>
        <v/>
      </c>
      <c r="GM8" s="36" t="str">
        <f t="shared" si="76"/>
        <v/>
      </c>
      <c r="GN8" s="36" t="str">
        <f t="shared" si="77"/>
        <v/>
      </c>
      <c r="GO8" s="36" t="str">
        <f t="shared" si="78"/>
        <v/>
      </c>
      <c r="GP8" s="36" t="str">
        <f t="shared" si="79"/>
        <v/>
      </c>
      <c r="GQ8" s="36" t="str">
        <f t="shared" si="80"/>
        <v/>
      </c>
      <c r="GR8" s="36" t="str">
        <f t="shared" si="81"/>
        <v/>
      </c>
      <c r="GS8" s="36" t="str">
        <f t="shared" si="82"/>
        <v/>
      </c>
      <c r="GT8" s="36" t="str">
        <f t="shared" si="83"/>
        <v/>
      </c>
      <c r="GU8" s="36" t="str">
        <f t="shared" si="84"/>
        <v/>
      </c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1" t="str">
        <f t="shared" si="85"/>
        <v/>
      </c>
      <c r="HQ8" s="11" t="str">
        <f t="shared" si="86"/>
        <v/>
      </c>
      <c r="HR8" s="11" t="str">
        <f t="shared" si="87"/>
        <v/>
      </c>
      <c r="HS8" s="11" t="str">
        <f t="shared" si="88"/>
        <v/>
      </c>
      <c r="HT8" s="11" t="str">
        <f t="shared" si="89"/>
        <v/>
      </c>
      <c r="HU8" s="11" t="str">
        <f t="shared" si="90"/>
        <v/>
      </c>
      <c r="HV8" s="11" t="str">
        <f t="shared" si="91"/>
        <v/>
      </c>
      <c r="HW8" s="11" t="str">
        <f t="shared" si="92"/>
        <v/>
      </c>
      <c r="HX8" s="11" t="str">
        <f t="shared" si="93"/>
        <v/>
      </c>
      <c r="HY8" s="11" t="str">
        <f t="shared" si="94"/>
        <v/>
      </c>
      <c r="HZ8" s="11" t="str">
        <f t="shared" si="95"/>
        <v/>
      </c>
      <c r="IA8" s="11" t="str">
        <f t="shared" si="96"/>
        <v/>
      </c>
      <c r="IB8" s="11" t="str">
        <f t="shared" si="97"/>
        <v/>
      </c>
      <c r="IC8" s="11" t="str">
        <f t="shared" si="98"/>
        <v/>
      </c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36" t="str">
        <f t="shared" si="99"/>
        <v/>
      </c>
      <c r="IY8" s="36" t="str">
        <f t="shared" si="100"/>
        <v/>
      </c>
      <c r="IZ8" s="36" t="str">
        <f t="shared" si="101"/>
        <v/>
      </c>
      <c r="JA8" s="36" t="str">
        <f t="shared" si="102"/>
        <v/>
      </c>
      <c r="JB8" s="36" t="str">
        <f t="shared" si="103"/>
        <v/>
      </c>
      <c r="JC8" s="36" t="str">
        <f t="shared" si="104"/>
        <v/>
      </c>
      <c r="JD8" s="36" t="str">
        <f t="shared" si="105"/>
        <v/>
      </c>
      <c r="JE8" s="36" t="str">
        <f t="shared" si="106"/>
        <v/>
      </c>
      <c r="JF8" s="36" t="str">
        <f t="shared" si="107"/>
        <v/>
      </c>
      <c r="JG8" s="36" t="str">
        <f t="shared" si="108"/>
        <v/>
      </c>
      <c r="JH8" s="36" t="str">
        <f t="shared" si="109"/>
        <v/>
      </c>
      <c r="JI8" s="36" t="str">
        <f t="shared" si="110"/>
        <v/>
      </c>
      <c r="JJ8" s="36" t="str">
        <f t="shared" si="111"/>
        <v/>
      </c>
      <c r="JK8" s="36" t="str">
        <f t="shared" si="112"/>
        <v/>
      </c>
      <c r="JL8" s="16">
        <v>12.8</v>
      </c>
      <c r="JM8" s="16">
        <v>9.5</v>
      </c>
      <c r="JN8" s="16">
        <v>14.1</v>
      </c>
      <c r="JO8" s="16">
        <v>14.6</v>
      </c>
      <c r="JP8" s="16">
        <v>0</v>
      </c>
      <c r="JQ8" s="16">
        <v>2.8</v>
      </c>
      <c r="JR8" s="16">
        <v>1.5</v>
      </c>
      <c r="JS8" s="16">
        <v>3.5</v>
      </c>
      <c r="JT8" s="16">
        <v>3.14</v>
      </c>
      <c r="JU8" s="16">
        <v>0</v>
      </c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1">
        <f t="shared" si="113"/>
        <v>14.1</v>
      </c>
      <c r="KG8" s="11">
        <f t="shared" si="114"/>
        <v>14.6</v>
      </c>
      <c r="KH8" s="11">
        <f t="shared" si="115"/>
        <v>51</v>
      </c>
      <c r="KI8" s="11">
        <f t="shared" si="116"/>
        <v>3.5</v>
      </c>
      <c r="KJ8" s="11">
        <f t="shared" si="117"/>
        <v>3.14</v>
      </c>
      <c r="KK8" s="11">
        <f t="shared" si="118"/>
        <v>10.94</v>
      </c>
      <c r="KL8" s="11">
        <f t="shared" si="119"/>
        <v>51</v>
      </c>
      <c r="KM8" s="11" t="str">
        <f t="shared" si="120"/>
        <v/>
      </c>
      <c r="KN8" s="11" t="str">
        <f t="shared" si="121"/>
        <v/>
      </c>
      <c r="KO8" s="11" t="str">
        <f t="shared" si="122"/>
        <v/>
      </c>
      <c r="KP8" s="11" t="str">
        <f t="shared" si="123"/>
        <v/>
      </c>
      <c r="KQ8" s="11" t="str">
        <f t="shared" si="124"/>
        <v/>
      </c>
      <c r="KR8" s="11" t="str">
        <f t="shared" si="125"/>
        <v/>
      </c>
      <c r="KS8" s="11">
        <f t="shared" si="126"/>
        <v>51</v>
      </c>
      <c r="KT8" s="15">
        <v>12.8</v>
      </c>
      <c r="KU8" s="15">
        <v>9.1</v>
      </c>
      <c r="KV8" s="15">
        <v>13.2</v>
      </c>
      <c r="KW8" s="15">
        <v>15.28</v>
      </c>
      <c r="KX8" s="15">
        <v>0</v>
      </c>
      <c r="KY8" s="15">
        <v>11</v>
      </c>
      <c r="KZ8" s="15">
        <v>6.8</v>
      </c>
      <c r="LA8" s="15">
        <v>10.6</v>
      </c>
      <c r="LB8" s="15">
        <v>12.05</v>
      </c>
      <c r="LC8" s="15">
        <v>0</v>
      </c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36">
        <f t="shared" si="127"/>
        <v>13.2</v>
      </c>
      <c r="LO8" s="36">
        <f t="shared" si="128"/>
        <v>15.28</v>
      </c>
      <c r="LP8" s="36">
        <f t="shared" si="129"/>
        <v>50.379999999999995</v>
      </c>
      <c r="LQ8" s="36">
        <f t="shared" si="130"/>
        <v>10.6</v>
      </c>
      <c r="LR8" s="36">
        <f t="shared" si="131"/>
        <v>12.05</v>
      </c>
      <c r="LS8" s="36">
        <f t="shared" si="132"/>
        <v>40.450000000000003</v>
      </c>
      <c r="LT8" s="36">
        <f t="shared" si="133"/>
        <v>50.379999999999995</v>
      </c>
      <c r="LU8" s="36" t="str">
        <f t="shared" si="134"/>
        <v/>
      </c>
      <c r="LV8" s="36" t="str">
        <f t="shared" si="135"/>
        <v/>
      </c>
      <c r="LW8" s="36" t="str">
        <f t="shared" si="136"/>
        <v/>
      </c>
      <c r="LX8" s="36" t="str">
        <f t="shared" si="137"/>
        <v/>
      </c>
      <c r="LY8" s="36" t="str">
        <f t="shared" si="138"/>
        <v/>
      </c>
      <c r="LZ8" s="36" t="str">
        <f t="shared" si="139"/>
        <v/>
      </c>
      <c r="MA8" s="36">
        <f t="shared" si="140"/>
        <v>50.379999999999995</v>
      </c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16"/>
      <c r="MP8" s="16"/>
      <c r="MQ8" s="16"/>
      <c r="MR8" s="16"/>
      <c r="MS8" s="16"/>
      <c r="MT8" s="16"/>
      <c r="MU8" s="16"/>
      <c r="MV8" s="11" t="str">
        <f t="shared" si="141"/>
        <v/>
      </c>
      <c r="MW8" s="11" t="str">
        <f t="shared" si="142"/>
        <v/>
      </c>
      <c r="MX8" s="11" t="str">
        <f t="shared" si="143"/>
        <v/>
      </c>
      <c r="MY8" s="11" t="str">
        <f t="shared" si="144"/>
        <v/>
      </c>
      <c r="MZ8" s="11" t="str">
        <f t="shared" si="145"/>
        <v/>
      </c>
      <c r="NA8" s="11" t="str">
        <f t="shared" si="146"/>
        <v/>
      </c>
      <c r="NB8" s="11" t="str">
        <f t="shared" si="147"/>
        <v/>
      </c>
      <c r="NC8" s="11" t="str">
        <f t="shared" si="148"/>
        <v/>
      </c>
      <c r="ND8" s="11" t="str">
        <f t="shared" si="149"/>
        <v/>
      </c>
      <c r="NE8" s="11" t="str">
        <f t="shared" si="150"/>
        <v/>
      </c>
      <c r="NF8" s="11" t="str">
        <f t="shared" si="151"/>
        <v/>
      </c>
      <c r="NG8" s="11" t="str">
        <f t="shared" si="152"/>
        <v/>
      </c>
      <c r="NH8" s="11" t="str">
        <f t="shared" si="153"/>
        <v/>
      </c>
      <c r="NI8" s="11" t="str">
        <f t="shared" si="154"/>
        <v/>
      </c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36" t="str">
        <f t="shared" si="155"/>
        <v/>
      </c>
      <c r="OE8" s="36" t="str">
        <f t="shared" si="156"/>
        <v/>
      </c>
      <c r="OF8" s="36" t="str">
        <f t="shared" si="157"/>
        <v/>
      </c>
      <c r="OG8" s="36" t="str">
        <f t="shared" si="158"/>
        <v/>
      </c>
      <c r="OH8" s="36" t="str">
        <f t="shared" si="159"/>
        <v/>
      </c>
      <c r="OI8" s="36" t="str">
        <f t="shared" si="160"/>
        <v/>
      </c>
      <c r="OJ8" s="36" t="str">
        <f t="shared" si="161"/>
        <v/>
      </c>
      <c r="OK8" s="36" t="str">
        <f t="shared" si="162"/>
        <v/>
      </c>
      <c r="OL8" s="36" t="str">
        <f t="shared" si="163"/>
        <v/>
      </c>
      <c r="OM8" s="36" t="str">
        <f t="shared" si="164"/>
        <v/>
      </c>
      <c r="ON8" s="36" t="str">
        <f t="shared" si="165"/>
        <v/>
      </c>
      <c r="OO8" s="36" t="str">
        <f t="shared" si="166"/>
        <v/>
      </c>
      <c r="OP8" s="36" t="str">
        <f t="shared" si="167"/>
        <v/>
      </c>
      <c r="OQ8" s="36" t="str">
        <f t="shared" si="168"/>
        <v/>
      </c>
      <c r="OR8" s="16"/>
      <c r="OS8" s="16"/>
      <c r="OT8" s="16"/>
      <c r="OU8" s="16"/>
      <c r="OV8" s="16"/>
      <c r="OW8" s="16"/>
      <c r="OX8" s="16"/>
      <c r="OY8" s="16"/>
      <c r="OZ8" s="16"/>
      <c r="PA8" s="16"/>
      <c r="PB8" s="16"/>
      <c r="PC8" s="16"/>
      <c r="PD8" s="16"/>
      <c r="PE8" s="16"/>
      <c r="PF8" s="16"/>
      <c r="PG8" s="16"/>
      <c r="PH8" s="16"/>
      <c r="PI8" s="16"/>
      <c r="PJ8" s="16"/>
      <c r="PK8" s="16"/>
      <c r="PL8" s="11" t="str">
        <f t="shared" si="169"/>
        <v/>
      </c>
      <c r="PM8" s="11" t="str">
        <f t="shared" si="170"/>
        <v/>
      </c>
      <c r="PN8" s="11" t="str">
        <f t="shared" si="171"/>
        <v/>
      </c>
      <c r="PO8" s="11" t="str">
        <f t="shared" si="172"/>
        <v/>
      </c>
      <c r="PP8" s="11" t="str">
        <f t="shared" si="173"/>
        <v/>
      </c>
      <c r="PQ8" s="11" t="str">
        <f t="shared" si="174"/>
        <v/>
      </c>
      <c r="PR8" s="11" t="str">
        <f t="shared" si="175"/>
        <v/>
      </c>
      <c r="PS8" s="11" t="str">
        <f t="shared" si="176"/>
        <v/>
      </c>
      <c r="PT8" s="11" t="str">
        <f t="shared" si="177"/>
        <v/>
      </c>
      <c r="PU8" s="11" t="str">
        <f t="shared" si="178"/>
        <v/>
      </c>
      <c r="PV8" s="11" t="str">
        <f t="shared" si="179"/>
        <v/>
      </c>
      <c r="PW8" s="11" t="str">
        <f t="shared" si="180"/>
        <v/>
      </c>
      <c r="PX8" s="11" t="str">
        <f t="shared" si="181"/>
        <v/>
      </c>
      <c r="PY8" s="11" t="str">
        <f t="shared" si="182"/>
        <v/>
      </c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36" t="str">
        <f t="shared" si="183"/>
        <v/>
      </c>
      <c r="QU8" s="36" t="str">
        <f t="shared" si="184"/>
        <v/>
      </c>
      <c r="QV8" s="36" t="str">
        <f t="shared" si="185"/>
        <v/>
      </c>
      <c r="QW8" s="36" t="str">
        <f t="shared" si="186"/>
        <v/>
      </c>
      <c r="QX8" s="36" t="str">
        <f t="shared" si="187"/>
        <v/>
      </c>
      <c r="QY8" s="36" t="str">
        <f t="shared" si="188"/>
        <v/>
      </c>
      <c r="QZ8" s="36" t="str">
        <f t="shared" si="189"/>
        <v/>
      </c>
      <c r="RA8" s="36" t="str">
        <f t="shared" si="190"/>
        <v/>
      </c>
      <c r="RB8" s="36" t="str">
        <f t="shared" si="191"/>
        <v/>
      </c>
      <c r="RC8" s="36" t="str">
        <f t="shared" si="192"/>
        <v/>
      </c>
      <c r="RD8" s="36" t="str">
        <f t="shared" si="193"/>
        <v/>
      </c>
      <c r="RE8" s="36" t="str">
        <f t="shared" si="194"/>
        <v/>
      </c>
      <c r="RF8" s="36" t="str">
        <f t="shared" si="195"/>
        <v/>
      </c>
      <c r="RG8" s="36" t="str">
        <f t="shared" si="196"/>
        <v/>
      </c>
      <c r="RH8" s="16"/>
      <c r="RI8" s="16"/>
      <c r="RJ8" s="16"/>
      <c r="RK8" s="16"/>
      <c r="RL8" s="16"/>
      <c r="RM8" s="16"/>
      <c r="RN8" s="16"/>
      <c r="RO8" s="16"/>
      <c r="RP8" s="16"/>
      <c r="RQ8" s="16"/>
      <c r="RR8" s="16"/>
      <c r="RS8" s="16"/>
      <c r="RT8" s="16"/>
      <c r="RU8" s="16"/>
      <c r="RV8" s="16"/>
      <c r="RW8" s="16"/>
      <c r="RX8" s="16"/>
      <c r="RY8" s="16"/>
      <c r="RZ8" s="16"/>
      <c r="SA8" s="16"/>
      <c r="SB8" s="11" t="str">
        <f t="shared" si="197"/>
        <v/>
      </c>
      <c r="SC8" s="11" t="str">
        <f t="shared" si="198"/>
        <v/>
      </c>
      <c r="SD8" s="11" t="str">
        <f t="shared" si="199"/>
        <v/>
      </c>
      <c r="SE8" s="11" t="str">
        <f t="shared" si="200"/>
        <v/>
      </c>
      <c r="SF8" s="11" t="str">
        <f t="shared" si="201"/>
        <v/>
      </c>
      <c r="SG8" s="11" t="str">
        <f t="shared" si="202"/>
        <v/>
      </c>
      <c r="SH8" s="11" t="str">
        <f t="shared" si="203"/>
        <v/>
      </c>
      <c r="SI8" s="11" t="str">
        <f t="shared" si="204"/>
        <v/>
      </c>
      <c r="SJ8" s="11" t="str">
        <f t="shared" si="205"/>
        <v/>
      </c>
      <c r="SK8" s="11" t="str">
        <f t="shared" si="206"/>
        <v/>
      </c>
      <c r="SL8" s="11" t="str">
        <f t="shared" si="207"/>
        <v/>
      </c>
      <c r="SM8" s="11" t="str">
        <f t="shared" si="208"/>
        <v/>
      </c>
      <c r="SN8" s="11" t="str">
        <f t="shared" si="209"/>
        <v/>
      </c>
      <c r="SO8" s="11" t="str">
        <f t="shared" si="210"/>
        <v/>
      </c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36" t="str">
        <f t="shared" si="211"/>
        <v/>
      </c>
      <c r="TK8" s="36" t="str">
        <f t="shared" si="212"/>
        <v/>
      </c>
      <c r="TL8" s="36" t="str">
        <f t="shared" si="213"/>
        <v/>
      </c>
      <c r="TM8" s="36" t="str">
        <f t="shared" si="214"/>
        <v/>
      </c>
      <c r="TN8" s="36" t="str">
        <f t="shared" si="215"/>
        <v/>
      </c>
      <c r="TO8" s="36" t="str">
        <f t="shared" si="216"/>
        <v/>
      </c>
      <c r="TP8" s="36" t="str">
        <f t="shared" si="217"/>
        <v/>
      </c>
      <c r="TQ8" s="36" t="str">
        <f t="shared" si="218"/>
        <v/>
      </c>
      <c r="TR8" s="36" t="str">
        <f t="shared" si="219"/>
        <v/>
      </c>
      <c r="TS8" s="36" t="str">
        <f t="shared" si="220"/>
        <v/>
      </c>
      <c r="TT8" s="36" t="str">
        <f t="shared" si="221"/>
        <v/>
      </c>
      <c r="TU8" s="36" t="str">
        <f t="shared" si="222"/>
        <v/>
      </c>
      <c r="TV8" s="36" t="str">
        <f t="shared" si="223"/>
        <v/>
      </c>
      <c r="TW8" s="36" t="str">
        <f t="shared" si="224"/>
        <v/>
      </c>
      <c r="TX8" s="16"/>
      <c r="TY8" s="16"/>
      <c r="TZ8" s="16"/>
      <c r="UA8" s="16"/>
      <c r="UB8" s="16"/>
      <c r="UC8" s="16"/>
      <c r="UD8" s="16"/>
      <c r="UE8" s="16"/>
      <c r="UF8" s="16"/>
      <c r="UG8" s="16"/>
      <c r="UH8" s="16"/>
      <c r="UI8" s="16"/>
      <c r="UJ8" s="16"/>
      <c r="UK8" s="16"/>
      <c r="UL8" s="16"/>
      <c r="UM8" s="16"/>
      <c r="UN8" s="16"/>
      <c r="UO8" s="16"/>
      <c r="UP8" s="16"/>
      <c r="UQ8" s="16"/>
      <c r="UR8" s="11" t="str">
        <f t="shared" si="225"/>
        <v/>
      </c>
      <c r="US8" s="11" t="str">
        <f t="shared" si="226"/>
        <v/>
      </c>
      <c r="UT8" s="11" t="str">
        <f t="shared" si="227"/>
        <v/>
      </c>
      <c r="UU8" s="11" t="str">
        <f t="shared" si="228"/>
        <v/>
      </c>
      <c r="UV8" s="11" t="str">
        <f t="shared" si="229"/>
        <v/>
      </c>
      <c r="UW8" s="11" t="str">
        <f t="shared" si="230"/>
        <v/>
      </c>
      <c r="UX8" s="11" t="str">
        <f t="shared" si="231"/>
        <v/>
      </c>
      <c r="UY8" s="11" t="str">
        <f t="shared" si="232"/>
        <v/>
      </c>
      <c r="UZ8" s="11" t="str">
        <f t="shared" si="233"/>
        <v/>
      </c>
      <c r="VA8" s="11" t="str">
        <f t="shared" si="234"/>
        <v/>
      </c>
      <c r="VB8" s="11" t="str">
        <f t="shared" si="235"/>
        <v/>
      </c>
      <c r="VC8" s="11" t="str">
        <f t="shared" si="236"/>
        <v/>
      </c>
      <c r="VD8" s="11" t="str">
        <f t="shared" si="237"/>
        <v/>
      </c>
      <c r="VE8" s="11" t="str">
        <f t="shared" si="238"/>
        <v/>
      </c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36" t="str">
        <f t="shared" si="239"/>
        <v/>
      </c>
      <c r="WA8" s="36" t="str">
        <f t="shared" si="240"/>
        <v/>
      </c>
      <c r="WB8" s="36" t="str">
        <f t="shared" si="241"/>
        <v/>
      </c>
      <c r="WC8" s="36" t="str">
        <f t="shared" si="242"/>
        <v/>
      </c>
      <c r="WD8" s="36" t="str">
        <f t="shared" si="243"/>
        <v/>
      </c>
      <c r="WE8" s="36" t="str">
        <f t="shared" si="244"/>
        <v/>
      </c>
      <c r="WF8" s="36" t="str">
        <f t="shared" si="245"/>
        <v/>
      </c>
      <c r="WG8" s="36" t="str">
        <f t="shared" si="246"/>
        <v/>
      </c>
      <c r="WH8" s="36" t="str">
        <f t="shared" si="247"/>
        <v/>
      </c>
      <c r="WI8" s="36" t="str">
        <f t="shared" si="248"/>
        <v/>
      </c>
      <c r="WJ8" s="36" t="str">
        <f t="shared" si="249"/>
        <v/>
      </c>
      <c r="WK8" s="36" t="str">
        <f t="shared" si="250"/>
        <v/>
      </c>
      <c r="WL8" s="36" t="str">
        <f t="shared" si="251"/>
        <v/>
      </c>
      <c r="WM8" s="36" t="str">
        <f t="shared" si="252"/>
        <v/>
      </c>
    </row>
    <row r="9" spans="1:611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107</v>
      </c>
      <c r="C9" s="4" t="s">
        <v>7</v>
      </c>
      <c r="D9" s="4">
        <v>2007</v>
      </c>
      <c r="E9" s="9">
        <f t="shared" si="0"/>
        <v>155.84001558400519</v>
      </c>
      <c r="F9" s="3" t="str">
        <f>IF(OR(AND(AI9&gt;=AS$17,AI9&lt;&gt;"",AK9&gt;=AS$21,AK9&lt;&gt;"",AH9=""),AND(AL9&gt;=AS$17,AL9&lt;&gt;"",AN9&gt;=AS$21,AN9&lt;&gt;"",AH9=""),AND(AP9&gt;=AS$17,AP9&lt;&gt;"",AR9&gt;=AS$21,AR9&lt;&gt;"",AH9=""),AND(BJ9&gt;=BT$17,BJ9&lt;&gt;"",BL9&gt;=BT$21,BL9&lt;&gt;"",BI9=""),AND(BM9&gt;=BT$17,BM9&lt;&gt;"",BO9&gt;=BT$21,BO9&lt;&gt;"",BI9=""),AND(BQ9&gt;=BT$17,BQ9&lt;&gt;"",BS9&gt;=BT$21,BS9&lt;&gt;"",BI9=""),AND(CK9&gt;=CU$17,CK9&lt;&gt;"",CM9&gt;=CU$21,CM9&lt;&gt;"",CJ9=""),AND(CN9&gt;=CU$17,CN9&lt;&gt;"",CP9&gt;=CU$21,CP9&lt;&gt;"",CJ9=""),AND(CR9&gt;=CU$17,CR9&lt;&gt;"",CT9&gt;=CU$21,CT9&lt;&gt;"",CJ9=""),AND(DR9&gt;=EE$17,DR9&lt;&gt;"",DT9&gt;=EE$21,DT9&lt;&gt;""),AND(DU9&gt;=EE$17,DU9&lt;&gt;"",DW9&gt;=EE$21,DW9&lt;&gt;""),AND(DY9&gt;=EE$17,DY9&lt;&gt;"",EA9&gt;=EE$21,EA9&lt;&gt;""),AND(EB9&gt;=EE$17,EB9&lt;&gt;"",ED9&gt;=EE$21,ED9&lt;&gt;""),AND(EZ9&gt;=FM$17,EZ9&lt;&gt;"",FB9&gt;=FM$21,FB9&lt;&gt;""),AND(FC9&gt;=FM$17,FC9&lt;&gt;"",FE9&gt;=FM$21,FE9&lt;&gt;""),AND(FG9&gt;=FM$17,FG9&lt;&gt;"",FI9&gt;=FM$21,FI9&lt;&gt;""),AND(FJ9&gt;=FM$17,FJ9&lt;&gt;"",FL9&gt;=FM$21,FL9&lt;&gt;""),AND(GH9&gt;=GU$17,GH9&lt;&gt;"",GJ9&gt;=GU$21,GJ9&lt;&gt;""),AND(GK9&gt;=GU$17,GK9&lt;&gt;"",GM9&gt;=GU$21,GM9&lt;&gt;""),AND(GO9&gt;=GU$17,GO9&lt;&gt;"",GQ9&gt;=GU$21,GQ9&lt;&gt;""),AND(GR9&gt;=GU$17,GR9&lt;&gt;"",GT9&gt;=GU$21,GT9&lt;&gt;""),AND(HP9&gt;=IC$17,HP9&lt;&gt;"",HR9&gt;=IC$21,HR9&lt;&gt;""),AND(HS9&gt;=IC$17,HS9&lt;&gt;"",HU9&gt;=IC$21,HU9&lt;&gt;""),AND(HW9&gt;=IC$17,HW9&lt;&gt;"",HY9&gt;=IC$21,HY9&lt;&gt;""),AND(HZ9&gt;=IC$17,HZ9&lt;&gt;"",IB9&gt;=IC$21,IB9&lt;&gt;""),AND(IX9&gt;=JK$17,IX9&lt;&gt;"",IZ9&gt;=JK$21,IZ9&lt;&gt;""),AND(JA9&gt;=JK$17,JA9&lt;&gt;"",JC9&gt;=JK$21,JC9&lt;&gt;""),AND(JE9&gt;=JK$17,JE9&lt;&gt;"",JG9&gt;=JK$21,JG9&lt;&gt;""),AND(JH9&gt;=JK$17,JH9&lt;&gt;"",JJ9&gt;=JK$21,JJ9&lt;&gt;""),AND(KF9&gt;=KS$17,KF9&lt;&gt;"",KH9&gt;=KS$21,KH9&lt;&gt;""),AND(KI9&gt;=KS$17,KI9&lt;&gt;"",KK9&gt;=KS$21,KK9&lt;&gt;""),AND(KM9&gt;=KS$17,KM9&lt;&gt;"",KO9&gt;=KS$21,KO9&lt;&gt;""),AND(KP9&gt;=KS$17,KP9&lt;&gt;"",KR9&gt;=KS$21,KR9&lt;&gt;""),AND(LN9&gt;=MA$17,LN9&lt;&gt;"",LP9&gt;=MA$21,LP9&lt;&gt;""),AND(LQ9&gt;=MA$17,LQ9&lt;&gt;"",LS9&gt;=MA$21,LS9&lt;&gt;""),AND(LU9&gt;=MA$17,LU9&lt;&gt;"",LW9&gt;=MA$21,LW9&lt;&gt;""),AND(LX9&gt;=MA$17,LX9&lt;&gt;"",LZ9&gt;=MA$21,LZ9&lt;&gt;""),AND(MV9&gt;=NI$17,MV9&lt;&gt;"",MX9&gt;=NI$21,MX9&lt;&gt;""),AND(MY9&gt;=NI$17,MY9&lt;&gt;"",NA9&gt;=NI$21,NA9&lt;&gt;""),AND(NC9&gt;=NI$17,NC9&lt;&gt;"",NE9&gt;=NI$21,NE9&lt;&gt;""),AND(NF9&gt;=NI$17,NF9&lt;&gt;"",NH9&gt;=NI$21,NH9&lt;&gt;""),AND(OD9&gt;=OQ$17,OD9&lt;&gt;"",OF9&gt;=OQ$21,OF9&lt;&gt;""),AND(OG9&gt;=OQ$17,OG9&lt;&gt;"",OI9&gt;=OQ$21,OI9&lt;&gt;""),AND(OK9&gt;=OQ$17,OK9&lt;&gt;"",OM9&gt;=OQ$21,OM9&lt;&gt;""),AND(ON9&gt;=OQ$17,ON9&lt;&gt;"",OP9&gt;=OQ$21,OP9&lt;&gt;""),AND(PL9&gt;=PY$17,PL9&lt;&gt;"",PN9&gt;=PY$21,PN9&lt;&gt;""),AND(PO9&gt;=PY$17,PO9&lt;&gt;"",PQ9&gt;=PY$21,PQ9&lt;&gt;""),AND(PS9&gt;=PY$17,PS9&lt;&gt;"",PU9&gt;=PY$21,PU9&lt;&gt;""),AND(PV9&gt;=PY$17,PV9&lt;&gt;"",PX9&gt;=PY$21,PX9&lt;&gt;""),AND(QT9&gt;=RG$17,QT9&lt;&gt;"",QV9&gt;=RG$21,QV9&lt;&gt;""),AND(QW9&gt;=RG$17,QW9&lt;&gt;"",QY9&gt;=RG$21,QY9&lt;&gt;""),AND(RA9&gt;=RG$17,RA9&lt;&gt;"",RC9&gt;=RG$21,RC9&lt;&gt;""),AND(RD9&gt;=RG$17,RD9&lt;&gt;"",RF9&gt;=RG$21,RF9&lt;&gt;""),AND(SB9&gt;=SO$17,SB9&lt;&gt;"",SD9&gt;=SO$21,SD9&lt;&gt;""),AND(SE9&gt;=SO$17,SE9&lt;&gt;"",SG9&gt;=SO$21,SG9&lt;&gt;""),AND(SI9&gt;=SO$17,SI9&lt;&gt;"",SK9&gt;=SO$21,SK9&lt;&gt;""),AND(SL9&gt;=SO$17,SL9&lt;&gt;"",SN9&gt;=SO$21,SN9&lt;&gt;""),AND(TJ9&gt;=TW$17,TJ9&lt;&gt;"",TL9&gt;=TW$21,TL9&lt;&gt;""),AND(TM9&gt;=TW$17,TM9&lt;&gt;"",TO9&gt;=TW$21,TO9&lt;&gt;""),AND(TQ9&gt;=TW$17,TQ9&lt;&gt;"",TS9&gt;=TW$21,TXQ9&lt;&gt;""),AND(TT9&gt;=TW$17,TT9&lt;&gt;"",TV9&gt;=TW$21,TV9&lt;&gt;""),AND(UR9&gt;=VE$17,UR9&lt;&gt;"",UT9&gt;=VE$21,UT9&lt;&gt;""),AND(UU9&gt;=VE$17,UU9&lt;&gt;"",UW9&gt;=VE$21,UW9&lt;&gt;""),AND(UY9&gt;=VE$17,UY9&lt;&gt;"",VA9&gt;=VE$21,VA9&lt;&gt;""),AND(VB9&gt;=VE$17,VB9&lt;&gt;"",VD9&gt;=VE$21,VD9&lt;&gt;""),AND(VZ9&gt;=WM$17,VZ9&lt;&gt;"",WB9&gt;=WM$21,WB9&lt;&gt;""),AND(WC9&gt;=WM$17,WC9&lt;&gt;"",WE9&gt;=WM$21,WE9&lt;&gt;""),AND(WG9&gt;=WM$17,WG9&lt;&gt;"",WI9&gt;=WM$21,WI9&lt;&gt;""),AND(WJ9&gt;=WM$17,WJ9&lt;&gt;"",WL9&gt;=WM$21,WL9&lt;&gt;"")),"P","")</f>
        <v>P</v>
      </c>
      <c r="G9" s="3" t="str">
        <f>IF(OR(AND(AK9&gt;=AS$21,AK9&lt;&gt;"",AH9=""),AND(AN9&gt;=AS$21,AN9&lt;&gt;"",AH9=""),AND(AR9&gt;=AS$21,AR9&lt;&gt;"",AH9=""),AND(BL9&gt;=BT$21,BL9&lt;&gt;"",BI9=""),AND(BO9&gt;=BT$21,BO9&lt;&gt;"",BI9=""),AND(BS9&gt;=BT$21,BS9&lt;&gt;"",BI9=""),AND(CM9&gt;=CU$21,CM9&lt;&gt;"",CJ9=""),AND(CP9&gt;=CU$21,CP9&lt;&gt;"",CJ9=""),AND(CT9&gt;=CU$21,CT9&lt;&gt;"",CJ9=""),AND(DT9&gt;=EE$21,DT9&lt;&gt;""),AND(DW9&gt;=EE$21,DW9&lt;&gt;""),AND(EA9&gt;=EE$21,EA9&lt;&gt;""),AND(ED9&gt;=EE$21,ED9&lt;&gt;""),AND(FB9&gt;=FM$21,FB9&lt;&gt;""),AND(FE9&gt;=FM$21,FE9&lt;&gt;""),AND(FI9&gt;=FM$21,FI9&lt;&gt;""),AND(FL9&gt;=FM$21,FL9&lt;&gt;""),AND(GJ9&gt;=GU$21,GJ9&lt;&gt;""),AND(GM9&gt;=GU$21,GM9&lt;&gt;""),AND(GQ9&gt;=GU$21,GQ9&lt;&gt;""),AND(GT9&gt;=GU$21,GT9&lt;&gt;""),AND(HR9&gt;=IC$21,HR9&lt;&gt;""),AND(HU9&gt;=IC$21,HU9&lt;&gt;""),AND(HY9&gt;=IC$21,HY9&lt;&gt;""),AND(IB9&gt;=IC$21,IB9&lt;&gt;""),AND(IZ9&gt;=JK$21,IZ9&lt;&gt;""),AND(JC9&gt;=JK$21,JC9&lt;&gt;""),AND(JG9&gt;=JK$21,JG9&lt;&gt;""),AND(JJ9&gt;=JK$21,JJ9&lt;&gt;""),AND(KH9&gt;=KS$21,KH9&lt;&gt;""),AND(KK9&gt;=KS$21,KK9&lt;&gt;""),AND(KO9&gt;=KS$21,KO9&lt;&gt;""),AND(KR9&gt;=KS$21,KR9&lt;&gt;""),AND(LP9&gt;=MA$21,LP9&lt;&gt;""),AND(LS9&gt;=MA$21,LS9&lt;&gt;""),AND(LW9&gt;=MA$21,LW9&lt;&gt;""),AND(LZ9&gt;=MA$21,LZ9&lt;&gt;""),AND(MX9&gt;=NI$21,MX9&lt;&gt;""),AND(NA9&gt;=NI$21,NA9&lt;&gt;""),AND(NE9&gt;=NI$21,NE9&lt;&gt;""),AND(NH9&gt;=NI$21,NH9&lt;&gt;""),AND(OF9&gt;=OQ$21,OF9&lt;&gt;""),AND(OI9&gt;=OQ$21,OI9&lt;&gt;""),AND(OM9&gt;=OQ$21,OM9&lt;&gt;""),AND(OP9&gt;=OQ$21,OP9&lt;&gt;""),AND(PN9&gt;=PY$21,PN9&lt;&gt;""),AND(PQ9&gt;=PY$21,PQ9&lt;&gt;""),AND(PU9&gt;=PY$21,PU9&lt;&gt;""),AND(PX9&gt;=PY$21,PX9&lt;&gt;""),AND(QV9&gt;=RG$21,QV9&lt;&gt;""),AND(QY9&gt;=RG$21,QY9&lt;&gt;""),AND(RC9&gt;=RG$21,RC9&lt;&gt;""),AND(RF9&gt;=RG$21,RF9&lt;&gt;""),AND(SD9&gt;=SO$21,SD9&lt;&gt;""),AND(SG9&gt;=SO$21,SG9&lt;&gt;""),AND(SK9&gt;=SO$21,SK9&lt;&gt;""),AND(SN9&gt;=SO$21,SN9&lt;&gt;""),AND(TL9&gt;=TW$21,TL9&lt;&gt;""),AND(TO9&gt;=TW$21,TO9&lt;&gt;""),AND(TS9&gt;=TW$21,TXQ9&lt;&gt;""),AND(TV9&gt;=TW$21,TV9&lt;&gt;""),AND(UT9&gt;=VE$21,UT9&lt;&gt;""),AND(UW9&gt;=VE$21,UW9&lt;&gt;""),AND(VA9&gt;=VE$21,VA9&lt;&gt;""),AND(VD9&gt;=VE$21,VD9&lt;&gt;""),AND(WB9&gt;=WM$21,WB9&lt;&gt;""),AND(WE9&gt;=WM$21,WE9&lt;&gt;""),AND(WI9&gt;=WM$21,WI9&lt;&gt;""),AND(WL9&gt;=WM$21,WL9&lt;&gt;"")),"P","")</f>
        <v>P</v>
      </c>
      <c r="H9" s="32" t="str">
        <f>IF(AND(G9="P",F9=""),"No DD",IF(OR(AND(AI9&gt;=AS$20,AI9&lt;&gt;"",AK9&gt;=AS$24,AK9&lt;&gt;"",AH9=""),AND(AL9&gt;=AS$20,AL9&lt;&gt;"",AN9&gt;=AS$24,AN9&lt;&gt;"",AH9=""),AND(AP9&gt;=AS$20,AP9&lt;&gt;"",AR9&gt;=AS$24,AR9&lt;&gt;"",AH9=""),AND(BJ9&gt;=BT$20,BJ9&lt;&gt;"",BL9&gt;=BT$24,BL9&lt;&gt;"",BI9=""),AND(BM9&gt;=BT$20,BM9&lt;&gt;"",BO9&gt;=BT$24,BO9&lt;&gt;"",BI9=""),AND(BQ9&gt;=BT$20,BQ9&lt;&gt;"",BS9&gt;=BT$24,BS9&lt;&gt;"",BI9=""),AND(CK9&gt;=CU$20,CK9&lt;&gt;"",CM9&gt;=CU$24,CM9&lt;&gt;"",CJ9=""),AND(CN9&gt;=CU$20,CN9&lt;&gt;"",CP9&gt;=CU$24,CP9&lt;&gt;"",CJ9=""),AND(CR9&gt;=CU$20,CR9&lt;&gt;"",CT9&gt;=CU$24,CT9&lt;&gt;"",CJ9=""),AND(DR9&gt;=EE$20,DR9&lt;&gt;"",DT9&gt;=EE$24,DT9&lt;&gt;""),AND(DU9&gt;=EE$20,DU9&lt;&gt;"",DW9&gt;=EE$24,DW9&lt;&gt;""),AND(DY9&gt;=EE$20,DY9&lt;&gt;"",EA9&gt;=EE$24,EA9&lt;&gt;""),AND(EB9&gt;=EE$20,EB9&lt;&gt;"",ED9&gt;=EE$24,ED9&lt;&gt;""),AND(EZ9&gt;=FM$20,EZ9&lt;&gt;"",FB9&gt;=FM$24,FB9&lt;&gt;""),AND(FC9&gt;=FM$20,FC9&lt;&gt;"",FE9&gt;=FM$24,FE9&lt;&gt;""),AND(FG9&gt;=FM$20,FG9&lt;&gt;"",FI9&gt;=FM$24,FI9&lt;&gt;""),AND(FJ9&gt;=FM$20,FJ9&lt;&gt;"",FL9&gt;=FM$24,FL9&lt;&gt;""),AND(GH9&gt;=GU$20,GH9&lt;&gt;"",GJ9&gt;=GU$24,GJ9&lt;&gt;""),AND(GK9&gt;=GU$20,GK9&lt;&gt;"",GM9&gt;=GU$24,GM9&lt;&gt;""),AND(GO9&gt;=GU$20,GO9&lt;&gt;"",GQ9&gt;=GU$24,GQ9&lt;&gt;""),AND(GR9&gt;=GU$20,GR9&lt;&gt;"",GT9&gt;=GU$24,GT9&lt;&gt;""),AND(HP9&gt;=IC$20,HP9&lt;&gt;"",HR9&gt;=IC$24,HR9&lt;&gt;""),AND(HS9&gt;=IC$20,HS9&lt;&gt;"",HU9&gt;=IC$24,HU9&lt;&gt;""),AND(HW9&gt;=IC$20,HW9&lt;&gt;"",HY9&gt;=IC$24,HY9&lt;&gt;""),AND(HZ9&gt;=IC$20,HZ9&lt;&gt;"",IB9&gt;=IC$24,IB9&lt;&gt;""),AND(IX9&gt;=JK$20,IX9&lt;&gt;"",IZ9&gt;=JK$24,IZ9&lt;&gt;""),AND(JA9&gt;=JK$20,JA9&lt;&gt;"",JC9&gt;=JK$24,JC9&lt;&gt;""),AND(JE9&gt;=JK$20,JE9&lt;&gt;"",JG9&gt;=JK$24,JG9&lt;&gt;""),AND(JH9&gt;=JK$20,JH9&lt;&gt;"",JJ9&gt;=JK$24,JJ9&lt;&gt;""),AND(KF9&gt;=KS$20,KF9&lt;&gt;"",KH9&gt;=KS$24,KH9&lt;&gt;""),AND(KI9&gt;=KS$20,KI9&lt;&gt;"",KK9&gt;=KS$24,KK9&lt;&gt;""),AND(KM9&gt;=KS$20,KM9&lt;&gt;"",KO9&gt;=KS$24,KO9&lt;&gt;""),AND(KP9&gt;=KS$20,KP9&lt;&gt;"",KR9&gt;=KS$24,KR9&lt;&gt;""),AND(LN9&gt;=MA$20,LN9&lt;&gt;"",LP9&gt;=MA$24,LP9&lt;&gt;""),AND(LQ9&gt;=MA$20,LQ9&lt;&gt;"",LS9&gt;=MA$24,LS9&lt;&gt;""),AND(LU9&gt;=MA$20,LU9&lt;&gt;"",LW9&gt;=MA$24,LW9&lt;&gt;""),AND(LX9&gt;=MA$20,LX9&lt;&gt;"",LZ9&gt;=MA$24,LZ9&lt;&gt;""),AND(MV9&gt;=NI$20,MV9&lt;&gt;"",MX9&gt;=NI$24,MX9&lt;&gt;""),AND(MY9&gt;=NI$20,MY9&lt;&gt;"",NA9&gt;=NI$24,NA9&lt;&gt;""),AND(NC9&gt;=NI$20,NC9&lt;&gt;"",NE9&gt;=NI$24,NE9&lt;&gt;""),AND(NF9&gt;=NI$20,NF9&lt;&gt;"",NH9&gt;=NI$24,NH9&lt;&gt;""),AND(OD9&gt;=OQ$20,OD9&lt;&gt;"",OF9&gt;=OQ$24,OF9&lt;&gt;""),AND(OG9&gt;=OQ$20,OG9&lt;&gt;"",OI9&gt;=OQ$24,OI9&lt;&gt;""),AND(OK9&gt;=OQ$20,OK9&lt;&gt;"",OM9&gt;=OQ$24,OM9&lt;&gt;""),AND(ON9&gt;=OQ$20,ON9&lt;&gt;"",OP9&gt;=OQ$24,OP9&lt;&gt;""),AND(PL9&gt;=PY$20,PL9&lt;&gt;"",PN9&gt;=PY$24,PN9&lt;&gt;""),AND(PO9&gt;=PY$20,PO9&lt;&gt;"",PQ9&gt;=PY$24,PQ9&lt;&gt;""),AND(PS9&gt;=PY$20,PS9&lt;&gt;"",PU9&gt;=PY$24,PU9&lt;&gt;""),AND(PV9&gt;=PY$20,PV9&lt;&gt;"",PX9&gt;=PY$24,PX9&lt;&gt;""),AND(QT9&gt;=RG$20,QT9&lt;&gt;"",QV9&gt;=RG$24,QV9&lt;&gt;""),AND(QW9&gt;=RG$20,QW9&lt;&gt;"",QY9&gt;=RG$24,QY9&lt;&gt;""),AND(RA9&gt;=RG$20,RA9&lt;&gt;"",RC9&gt;=RG$24,RC9&lt;&gt;""),AND(RD9&gt;=RG$20,RD9&lt;&gt;"",RF9&gt;=RG$24,RF9&lt;&gt;""),AND(SB9&gt;=SO$20,SB9&lt;&gt;"",SD9&gt;=SO$24,SD9&lt;&gt;""),AND(SE9&gt;=SO$20,SE9&lt;&gt;"",SG9&gt;=SO$24,SG9&lt;&gt;""),AND(SI9&gt;=SO$20,SI9&lt;&gt;"",SK9&gt;=SO$24,SK9&lt;&gt;""),AND(SL9&gt;=SO$20,SL9&lt;&gt;"",SN9&gt;=SO$24,SN9&lt;&gt;""),AND(TJ9&gt;=TW$20,TJ9&lt;&gt;"",TL9&gt;=TW$24,TL9&lt;&gt;""),AND(TM9&gt;=TW$20,TM9&lt;&gt;"",TO9&gt;=TW$24,TO9&lt;&gt;""),AND(TQ9&gt;=TW$20,TQ9&lt;&gt;"",TS9&gt;=TW$344,TXQ9&lt;&gt;""),AND(TT9&gt;=TW$20,TT9&lt;&gt;"",TV9&gt;=TW$24,TV9&lt;&gt;""),AND(UR9&gt;=VE$20,UR9&lt;&gt;"",UT9&gt;=VE$24,UT9&lt;&gt;""),AND(UU9&gt;=VE$20,UU9&lt;&gt;"",UW9&gt;=VE$24,UW9&lt;&gt;""),AND(UY9&gt;=VE$20,UY9&lt;&gt;"",VA9&gt;=VE$24,VA9&lt;&gt;""),AND(VB9&gt;=VE$20,VB9&lt;&gt;"",VD9&gt;=VE$24,VD9&lt;&gt;""),AND(VZ9&gt;=WM$20,VZ9&lt;&gt;"",WB9&gt;=WM$24,WB9&lt;&gt;""),AND(WC9&gt;=WM$20,WC9&lt;&gt;"",WE9&gt;=WM$24,WE9&lt;&gt;""),AND(WG9&gt;=WM$20,WG9&lt;&gt;"",WI9&gt;=WM$24,WI9&lt;&gt;""),AND(WJ9&gt;=WM$20,WJ9&lt;&gt;"",WL9&gt;=WM$24,WL9&lt;&gt;"")),"Merit",IF(OR(AND(AI9&gt;=AS$19,AI9&lt;&gt;"",AK9&gt;=AS$23,AK9&lt;&gt;"",AH9=""),AND(AL9&gt;=AS$19,AL9&lt;&gt;"",AN9&gt;=AS$23,AN9&lt;&gt;"",AH9=""),AND(AP9&gt;=AS$19,AP9&lt;&gt;"",AR9&gt;=AS$23,AR9&lt;&gt;"",AH9=""),AND(BJ9&gt;=BT$19,BJ9&lt;&gt;"",BL9&gt;=BT$23,BL9&lt;&gt;"",BI9=""),AND(BM9&gt;=BT$19,BM9&lt;&gt;"",BO9&gt;=BT$23,BO9&lt;&gt;"",BI9=""),AND(BQ9&gt;=BT$19,BQ9&lt;&gt;"",BS9&gt;=BT$23,BS9&lt;&gt;"",BI9=""),AND(CK9&gt;=CU$19,CK9&lt;&gt;"",CM9&gt;=CU$23,CM9&lt;&gt;"",CJ9=""),AND(CN9&gt;=CU$19,CN9&lt;&gt;"",CP9&gt;=CU$23,CP9&lt;&gt;"",CJ9=""),AND(CR9&gt;=CU$19,CR9&lt;&gt;"",CT9&gt;=CU$23,CT9&lt;&gt;"",CJ9=""),AND(DR9&gt;=EE$19,DR9&lt;&gt;"",DT9&gt;=EE$23,DT9&lt;&gt;""),AND(DU9&gt;=EE$19,DU9&lt;&gt;"",DW9&gt;=EE$23,DW9&lt;&gt;""),AND(DY9&gt;=EE$19,DY9&lt;&gt;"",EA9&gt;=EE$23,EA9&lt;&gt;""),AND(EB9&gt;=EE$19,EB9&lt;&gt;"",ED9&gt;=EE$23,ED9&lt;&gt;""),AND(EZ9&gt;=FM$19,EZ9&lt;&gt;"",FB9&gt;=FM$23,FB9&lt;&gt;""),AND(FC9&gt;=FM$19,FC9&lt;&gt;"",FE9&gt;=FM$23,FE9&lt;&gt;""),AND(FG9&gt;=FM$19,FG9&lt;&gt;"",FI9&gt;=FM$23,FI9&lt;&gt;""),AND(FJ9&gt;=FM$19,FJ9&lt;&gt;"",FL9&gt;=FM$23,FL9&lt;&gt;""),AND(GH9&gt;=GU$19,GH9&lt;&gt;"",GJ9&gt;=GU$23,GJ9&lt;&gt;""),AND(GK9&gt;=GU$19,GK9&lt;&gt;"",GM9&gt;=GU$23,GM9&lt;&gt;""),AND(GO9&gt;=GU$19,GO9&lt;&gt;"",GQ9&gt;=GU$23,GQ9&lt;&gt;""),AND(GR9&gt;=GU$19,GR9&lt;&gt;"",GT9&gt;=GU$23,GT9&lt;&gt;""),AND(HP9&gt;=IC$19,HP9&lt;&gt;"",HR9&gt;=IC$23,HR9&lt;&gt;""),AND(HS9&gt;=IC$19,HS9&lt;&gt;"",HU9&gt;=IC$23,HU9&lt;&gt;""),AND(HW9&gt;=IC$19,HW9&lt;&gt;"",HY9&gt;=IC$23,HY9&lt;&gt;""),AND(HZ9&gt;=IC$19,HZ9&lt;&gt;"",IB9&gt;=IC$23,IB9&lt;&gt;""),AND(IX9&gt;=JK$19,IX9&lt;&gt;"",IZ9&gt;=JK$23,IZ9&lt;&gt;""),AND(JA9&gt;=JK$19,JA9&lt;&gt;"",JC9&gt;=JK$23,JC9&lt;&gt;""),AND(JE9&gt;=JK$19,JE9&lt;&gt;"",JG9&gt;=JK$23,JG9&lt;&gt;""),AND(JH9&gt;=JK$19,JH9&lt;&gt;"",JJ9&gt;=JK$23,JJ9&lt;&gt;""),AND(KF9&gt;=KS$19,KF9&lt;&gt;"",KH9&gt;=KS$23,KH9&lt;&gt;""),AND(KI9&gt;=KS$19,KI9&lt;&gt;"",KK9&gt;=KS$23,KK9&lt;&gt;""),AND(KM9&gt;=KS$19,KM9&lt;&gt;"",KO9&gt;=KS$23,KO9&lt;&gt;""),AND(KP9&gt;=KS$19,KP9&lt;&gt;"",KR9&gt;=KS$23,KR9&lt;&gt;""),AND(LN9&gt;=MA$19,LN9&lt;&gt;"",LP9&gt;=MA$23,LP9&lt;&gt;""),AND(LQ9&gt;=MA$19,LQ9&lt;&gt;"",LS9&gt;=MA$23,LS9&lt;&gt;""),AND(LU9&gt;=MA$19,LU9&lt;&gt;"",LW9&gt;=MA$23,LW9&lt;&gt;""),AND(LX9&gt;=MA$19,LX9&lt;&gt;"",LZ9&gt;=MA$23,LZ9&lt;&gt;""),AND(MV9&gt;=NI$19,MV9&lt;&gt;"",MX9&gt;=NI$23,MX9&lt;&gt;""),AND(MY9&gt;=NI$19,MY9&lt;&gt;"",NA9&gt;=NI$23,NA9&lt;&gt;""),AND(NC9&gt;=NI$19,NC9&lt;&gt;"",NE9&gt;=NI$23,NE9&lt;&gt;""),AND(NF9&gt;=NI$19,NF9&lt;&gt;"",NH9&gt;=NI$23,NH9&lt;&gt;""),AND(OD9&gt;=OQ$19,OD9&lt;&gt;"",OF9&gt;=OQ$23,OF9&lt;&gt;""),AND(OG9&gt;=OQ$19,OG9&lt;&gt;"",OI9&gt;=OQ$23,OI9&lt;&gt;""),AND(OK9&gt;=OQ$19,OK9&lt;&gt;"",OM9&gt;=OQ$23,OM9&lt;&gt;""),AND(ON9&gt;=OQ$19,ON9&lt;&gt;"",OP9&gt;=OQ$23,OP9&lt;&gt;""),AND(PL9&gt;=PY$19,PL9&lt;&gt;"",PN9&gt;=PY$23,PN9&lt;&gt;""),AND(PO9&gt;=PY$19,PO9&lt;&gt;"",PQ9&gt;=PY$23,PQ9&lt;&gt;""),AND(PS9&gt;=PY$19,PS9&lt;&gt;"",PU9&gt;=PY$23,PU9&lt;&gt;""),AND(PV9&gt;=PY$19,PV9&lt;&gt;"",PX9&gt;=PY$23,PX9&lt;&gt;""),AND(QT9&gt;=RG$19,QT9&lt;&gt;"",QV9&gt;=RG$23,QV9&lt;&gt;""),AND(QW9&gt;=RG$19,QW9&lt;&gt;"",QY9&gt;=RG$23,QY9&lt;&gt;""),AND(RA9&gt;=RG$19,RA9&lt;&gt;"",RC9&gt;=RG$23,RC9&lt;&gt;""),AND(RD9&gt;=RG$19,RD9&lt;&gt;"",RF9&gt;=RG$23,RF9&lt;&gt;""),AND(SB9&gt;=SO$19,SB9&lt;&gt;"",SD9&gt;=SO$23,SD9&lt;&gt;""),AND(SE9&gt;=SO$19,SE9&lt;&gt;"",SG9&gt;=SO$23,SG9&lt;&gt;""),AND(SI9&gt;=SO$19,SI9&lt;&gt;"",SK9&gt;=SO$23,SK9&lt;&gt;""),AND(SL9&gt;=SO$19,SL9&lt;&gt;"",SN9&gt;=SO$23,SN9&lt;&gt;""),AND(TJ9&gt;=TW$19,TJ9&lt;&gt;"",TL9&gt;=TW$23,TL9&lt;&gt;""),AND(TM9&gt;=TW$19,TM9&lt;&gt;"",TO9&gt;=TW$23,TO9&lt;&gt;""),AND(TQ9&gt;=TW$19,TQ9&lt;&gt;"",TS9&gt;=TW$23,TXQ9&lt;&gt;""),AND(TT9&gt;=TW$19,TT9&lt;&gt;"",TV9&gt;=TW$23,TV9&lt;&gt;""),AND(UR9&gt;=VE$19,UR9&lt;&gt;"",UT9&gt;=VE$23,UT9&lt;&gt;""),AND(UU9&gt;=VE$19,UU9&lt;&gt;"",UW9&gt;=VE$23,UW9&lt;&gt;""),AND(UY9&gt;=VE$19,UY9&lt;&gt;"",VA9&gt;=VE$23,VA9&lt;&gt;""),AND(VB9&gt;=VE$19,VB9&lt;&gt;"",VD9&gt;=VE$23,VD9&lt;&gt;""),AND(VZ9&gt;=WM$19,VZ9&lt;&gt;"",WB9&gt;=WM$23,WB9&lt;&gt;""),AND(WC9&gt;=WM$19,WC9&lt;&gt;"",WE9&gt;=WM$23,WE9&lt;&gt;""),AND(WG9&gt;=WM$19,WG9&lt;&gt;"",WI9&gt;=WM$23,WI9&lt;&gt;""),AND(WJ9&gt;=WM$19,WJ9&lt;&gt;"",WL9&gt;=WM$23,WL9&lt;&gt;"")),"Excellence",IF(I9="P","Worlds Team",IF(F9="P","National Team","")))))</f>
        <v>National Team</v>
      </c>
      <c r="I9" s="3" t="str">
        <f>IF(OR(AND(AI9&gt;=AS$18,AI9&lt;&gt;"",AK9&gt;=AS$22,AK9&lt;&gt;"",AH9=""),AND(AL9&gt;=AS$18,AL9&lt;&gt;"",AN9&gt;=AS$22,AN9&lt;&gt;"",AH9=""),AND(AP9&gt;=AS$18,AP9&lt;&gt;"",AR9&gt;=AS$22,AR9&lt;&gt;"",AH9=""),AND(BJ9&gt;=BT$18,BJ9&lt;&gt;"",BL9&gt;=BT$22,BL9&lt;&gt;"",BI9=""),AND(BM9&gt;=BT$18,BM9&lt;&gt;"",BO9&gt;=BT$22,BO9&lt;&gt;"",BI9=""),AND(BQ9&gt;=BT$18,BQ9&lt;&gt;"",BS9&gt;=BT$22,BS9&lt;&gt;"",BI9=""),AND(CK9&gt;=CU$18,CK9&lt;&gt;"",CM9&gt;=CU$22,CM9&lt;&gt;"",CJ9=""),AND(CN9&gt;=CU$18,CN9&lt;&gt;"",CP9&gt;=CU$22,CP9&lt;&gt;"",CJ9=""),AND(CR9&gt;=CU$18,CR9&lt;&gt;"",CT9&gt;=CU$22,CT9&lt;&gt;"",CJ9=""),AND(DR9&gt;=EE$18,DR9&lt;&gt;"",DT9&gt;=EE$22,DT9&lt;&gt;""),AND(DU9&gt;=EE$18,DU9&lt;&gt;"",DW9&gt;=EE$22,DW9&lt;&gt;""),AND(DY9&gt;=EE$18,DY9&lt;&gt;"",EA9&gt;=EE$22,EA9&lt;&gt;""),AND(EB9&gt;=EE$18,EB9&lt;&gt;"",ED9&gt;=EE$22,ED9&lt;&gt;""),AND(EZ9&gt;=FM$18,EZ9&lt;&gt;"",FB9&gt;=FM$22,FB9&lt;&gt;""),AND(FC9&gt;=FM$18,FC9&lt;&gt;"",FE9&gt;=FM$22,FE9&lt;&gt;""),AND(FG9&gt;=FM$18,FG9&lt;&gt;"",FI9&gt;=FM$22,FI9&lt;&gt;""),AND(FJ9&gt;=FM$18,FJ9&lt;&gt;"",FL9&gt;=FM$22,FL9&lt;&gt;""),AND(GH9&gt;=GU$18,GH9&lt;&gt;"",GJ9&gt;=GU$22,GJ9&lt;&gt;""),AND(GK9&gt;=GU$18,GK9&lt;&gt;"",GM9&gt;=GU$22,GM9&lt;&gt;""),AND(GO9&gt;=GU$18,GO9&lt;&gt;"",GQ9&gt;=GU$22,GQ9&lt;&gt;""),AND(GR9&gt;=GU$18,GR9&lt;&gt;"",GT9&gt;=GU$22,GT9&lt;&gt;""),AND(HP9&gt;=IC$18,HP9&lt;&gt;"",HR9&gt;=IC$22,HR9&lt;&gt;""),AND(HS9&gt;=IC$18,HS9&lt;&gt;"",HU9&gt;=IC$22,HU9&lt;&gt;""),AND(HW9&gt;=IC$18,HW9&lt;&gt;"",HY9&gt;=IC$22,HY9&lt;&gt;""),AND(HZ9&gt;=IC$18,HZ9&lt;&gt;"",IB9&gt;=IC$22,IB9&lt;&gt;""),AND(IX9&gt;=JK$18,IX9&lt;&gt;"",IZ9&gt;=JK$22,IZ9&lt;&gt;""),AND(JA9&gt;=JK$18,JA9&lt;&gt;"",JC9&gt;=JK$22,JC9&lt;&gt;""),AND(JE9&gt;=JK$18,JE9&lt;&gt;"",JG9&gt;=JK$22,JG9&lt;&gt;""),AND(JH9&gt;=JK$18,JH9&lt;&gt;"",JJ9&gt;=JK$22,JJ9&lt;&gt;""),AND(KF9&gt;=KS$18,KF9&lt;&gt;"",KH9&gt;=KS$22,KH9&lt;&gt;""),AND(KI9&gt;=KS$18,KI9&lt;&gt;"",KK9&gt;=KS$22,KK9&lt;&gt;""),AND(KM9&gt;=KS$18,KM9&lt;&gt;"",KO9&gt;=KS$22,KO9&lt;&gt;""),AND(KP9&gt;=KS$18,KP9&lt;&gt;"",KR9&gt;=KS$22,KR9&lt;&gt;""),AND(LN9&gt;=MA$18,LN9&lt;&gt;"",LP9&gt;=MA$22,LP9&lt;&gt;""),AND(LQ9&gt;=MA$18,LQ9&lt;&gt;"",LS9&gt;=MA$22,LS9&lt;&gt;""),AND(LU9&gt;=MA$18,LU9&lt;&gt;"",LW9&gt;=MA$22,LW9&lt;&gt;""),AND(LX9&gt;=MA$18,LX9&lt;&gt;"",LZ9&gt;=MA$22,LZ9&lt;&gt;""),AND(MV9&gt;=NI$18,MV9&lt;&gt;"",MX9&gt;=NI$22,MX9&lt;&gt;""),AND(MY9&gt;=NI$18,MY9&lt;&gt;"",NA9&gt;=NI$22,NA9&lt;&gt;""),AND(NC9&gt;=NI$18,NC9&lt;&gt;"",NE9&gt;=NI$22,NE9&lt;&gt;""),AND(NF9&gt;=NI$18,NF9&lt;&gt;"",NH9&gt;=NI$22,NH9&lt;&gt;""),AND(OD9&gt;=OQ$18,OD9&lt;&gt;"",OF9&gt;=OQ$22,OF9&lt;&gt;""),AND(OG9&gt;=OQ$18,OG9&lt;&gt;"",OI9&gt;=OQ$22,OI9&lt;&gt;""),AND(OK9&gt;=OQ$18,OK9&lt;&gt;"",OM9&gt;=OQ$22,OM9&lt;&gt;""),AND(ON9&gt;=OQ$18,ON9&lt;&gt;"",OP9&gt;=OQ$22,OP9&lt;&gt;""),AND(PL9&gt;=PY$18,PL9&lt;&gt;"",PN9&gt;=PY$22,PN9&lt;&gt;""),AND(PO9&gt;=PY$18,PO9&lt;&gt;"",PQ9&gt;=PY$22,PQ9&lt;&gt;""),AND(PS9&gt;=PY$18,PS9&lt;&gt;"",PU9&gt;=PY$22,PU9&lt;&gt;""),AND(PV9&gt;=PY$18,PV9&lt;&gt;"",PX9&gt;=PY$22,PX9&lt;&gt;""),AND(QT9&gt;=RG$18,QT9&lt;&gt;"",QV9&gt;=RG$22,QV9&lt;&gt;""),AND(QW9&gt;=RG$18,QW9&lt;&gt;"",QY9&gt;=RG$22,QY9&lt;&gt;""),AND(RA9&gt;=RG$18,RA9&lt;&gt;"",RC9&gt;=RG$22,RC9&lt;&gt;""),AND(RD9&gt;=RG$18,RD9&lt;&gt;"",RF9&gt;=RG$22,RF9&lt;&gt;""),AND(SB9&gt;=SO$18,SB9&lt;&gt;"",SD9&gt;=SO$22,SD9&lt;&gt;""),AND(SE9&gt;=SO$18,SE9&lt;&gt;"",SG9&gt;=SO$22,SG9&lt;&gt;""),AND(SI9&gt;=SO$18,SI9&lt;&gt;"",SK9&gt;=SO$22,SK9&lt;&gt;""),AND(SL9&gt;=SO$18,SL9&lt;&gt;"",SN9&gt;=SO$22,SN9&lt;&gt;""),AND(TJ9&gt;=TW$18,TJ9&lt;&gt;"",TL9&gt;=TW$22,TL9&lt;&gt;""),AND(TM9&gt;=TW$18,TM9&lt;&gt;"",TO9&gt;=TW$22,TO9&lt;&gt;""),AND(TQ9&gt;=TW$18,TQ9&lt;&gt;"",TS9&gt;=TW$22,TXQ9&lt;&gt;""),AND(TT9&gt;=TW$18,TT9&lt;&gt;"",TV9&gt;=TW$22,TV9&lt;&gt;""),AND(UR9&gt;=VE$18,UR9&lt;&gt;"",UT9&gt;=VE$22,UT9&lt;&gt;""),AND(UU9&gt;=VE$18,UU9&lt;&gt;"",UW9&gt;=VE$22,UW9&lt;&gt;""),AND(UY9&gt;=VE$18,UY9&lt;&gt;"",VA9&gt;=VE$22,VA9&lt;&gt;""),AND(VB9&gt;=VE$18,VB9&lt;&gt;"",VD9&gt;=VE$22,VD9&lt;&gt;""),AND(VZ9&gt;=WM$18,VZ9&lt;&gt;"",WB9&gt;=WM$22,WB9&lt;&gt;""),AND(WC9&gt;=WM$18,WC9&lt;&gt;"",WE9&gt;=WM$22,WE9&lt;&gt;""),AND(WG9&gt;=WM$18,WG9&lt;&gt;"",WI9&gt;=WM$22,WI9&lt;&gt;""),AND(WJ9&gt;=WM$18,WJ9&lt;&gt;"",WL9&gt;=WM$22,WL9&lt;&gt;"")),"P","")</f>
        <v/>
      </c>
      <c r="J9" s="8">
        <f t="shared" si="1"/>
        <v>51.86999999999999</v>
      </c>
      <c r="K9" s="8" t="str">
        <f t="shared" si="2"/>
        <v>2025 Nationals</v>
      </c>
      <c r="L9" s="8">
        <f>IFERROR(IF(J9=AR9,LARGE((AK9,AN9,BL9,BO9,BS9,CM9,CP9,CT9),1),IF(J9=BS9,LARGE((AK9,AN9,AR9,BL9,BO9,CM9,CP9,CT9),1),LARGE((AK9,AN9,AR9,BL9,BO9,BS9,CM9,CP9),1))),0)</f>
        <v>52.15</v>
      </c>
      <c r="M9" s="8" t="str">
        <f t="shared" si="3"/>
        <v>2025 Nationals</v>
      </c>
      <c r="N9" s="8">
        <f>IFERROR(IF(J9=AR9,LARGE((AK9,AN9,BL9,BO9,BS9,CM9,CP9,CT9),2),IF(J9=BS9,LARGE((AK9,AN9,AR9,BL9,BO9,CM9,CP9,CT9),2),LARGE((AK9,AN9,AR9,BL9,BO9,BS9,CM9,CP9),2))),0)</f>
        <v>51.820000000000007</v>
      </c>
      <c r="O9" s="8" t="str">
        <f t="shared" si="4"/>
        <v>2025 3rd Domestic Trial</v>
      </c>
      <c r="P9" s="8">
        <f t="shared" si="5"/>
        <v>0</v>
      </c>
      <c r="Q9" s="11" t="str">
        <f t="shared" si="6"/>
        <v/>
      </c>
      <c r="R9" s="8" t="str">
        <f t="shared" si="7"/>
        <v/>
      </c>
      <c r="S9" s="18">
        <v>14.1</v>
      </c>
      <c r="T9" s="18">
        <v>9.6999999999999993</v>
      </c>
      <c r="U9" s="18">
        <v>10.8</v>
      </c>
      <c r="V9" s="18">
        <v>14.25</v>
      </c>
      <c r="W9" s="18">
        <v>1.9</v>
      </c>
      <c r="X9" s="18">
        <v>14.6</v>
      </c>
      <c r="Y9" s="18">
        <v>9.1</v>
      </c>
      <c r="Z9" s="18">
        <v>14.3</v>
      </c>
      <c r="AA9" s="18">
        <v>14.15</v>
      </c>
      <c r="AB9" s="18">
        <v>0</v>
      </c>
      <c r="AC9" s="18">
        <v>13.7</v>
      </c>
      <c r="AD9" s="18">
        <v>9.6</v>
      </c>
      <c r="AE9" s="18">
        <v>14.3</v>
      </c>
      <c r="AF9" s="18">
        <v>14.27</v>
      </c>
      <c r="AG9" s="18">
        <v>0</v>
      </c>
      <c r="AH9" s="23"/>
      <c r="AI9" s="34">
        <f t="shared" si="8"/>
        <v>10.8</v>
      </c>
      <c r="AJ9" s="34">
        <f t="shared" si="9"/>
        <v>14.25</v>
      </c>
      <c r="AK9" s="36">
        <f t="shared" si="10"/>
        <v>46.949999999999996</v>
      </c>
      <c r="AL9" s="36">
        <f t="shared" si="11"/>
        <v>14.3</v>
      </c>
      <c r="AM9" s="36">
        <f t="shared" si="12"/>
        <v>14.15</v>
      </c>
      <c r="AN9" s="36">
        <f t="shared" si="13"/>
        <v>52.15</v>
      </c>
      <c r="AO9" s="36">
        <f t="shared" si="14"/>
        <v>52.15</v>
      </c>
      <c r="AP9" s="36">
        <f t="shared" si="15"/>
        <v>14.3</v>
      </c>
      <c r="AQ9" s="36">
        <f t="shared" si="16"/>
        <v>14.27</v>
      </c>
      <c r="AR9" s="36">
        <f t="shared" si="17"/>
        <v>51.86999999999999</v>
      </c>
      <c r="AS9" s="36">
        <f t="shared" si="18"/>
        <v>104.01999999999998</v>
      </c>
      <c r="AT9" s="22">
        <v>13.8</v>
      </c>
      <c r="AU9" s="22">
        <v>9.3999999999999986</v>
      </c>
      <c r="AV9" s="22">
        <v>11.600000000000001</v>
      </c>
      <c r="AW9" s="22">
        <v>14.3</v>
      </c>
      <c r="AX9" s="22">
        <v>1.0999999999999999</v>
      </c>
      <c r="AY9" s="22">
        <v>14.7</v>
      </c>
      <c r="AZ9" s="22">
        <v>9.1499999999999986</v>
      </c>
      <c r="BA9" s="22">
        <v>13.850000000000001</v>
      </c>
      <c r="BB9" s="22">
        <v>14.120000000000001</v>
      </c>
      <c r="BC9" s="22">
        <v>0</v>
      </c>
      <c r="BD9" s="22">
        <v>13.7</v>
      </c>
      <c r="BE9" s="22">
        <v>9.3999999999999986</v>
      </c>
      <c r="BF9" s="22">
        <v>14.3</v>
      </c>
      <c r="BG9" s="22">
        <v>14.265000000000001</v>
      </c>
      <c r="BH9" s="22">
        <v>0</v>
      </c>
      <c r="BI9" s="24" t="s">
        <v>42</v>
      </c>
      <c r="BJ9" s="35">
        <f t="shared" si="19"/>
        <v>11.600000000000001</v>
      </c>
      <c r="BK9" s="35">
        <f t="shared" si="20"/>
        <v>14.3</v>
      </c>
      <c r="BL9" s="11">
        <f t="shared" si="21"/>
        <v>47.999999999999993</v>
      </c>
      <c r="BM9" s="11">
        <f t="shared" si="22"/>
        <v>13.850000000000001</v>
      </c>
      <c r="BN9" s="11">
        <f t="shared" si="23"/>
        <v>14.120000000000001</v>
      </c>
      <c r="BO9" s="11">
        <f t="shared" si="24"/>
        <v>51.820000000000007</v>
      </c>
      <c r="BP9" s="11">
        <f t="shared" si="25"/>
        <v>51.820000000000007</v>
      </c>
      <c r="BQ9" s="11">
        <f t="shared" si="26"/>
        <v>14.3</v>
      </c>
      <c r="BR9" s="11">
        <f t="shared" si="27"/>
        <v>14.265000000000001</v>
      </c>
      <c r="BS9" s="11">
        <f t="shared" si="28"/>
        <v>51.664999999999999</v>
      </c>
      <c r="BT9" s="11">
        <f t="shared" si="29"/>
        <v>103.48500000000001</v>
      </c>
      <c r="BU9" s="18">
        <v>0</v>
      </c>
      <c r="BV9" s="18">
        <v>0</v>
      </c>
      <c r="BW9" s="18">
        <v>0</v>
      </c>
      <c r="BX9" s="18">
        <v>0</v>
      </c>
      <c r="BY9" s="18">
        <v>0</v>
      </c>
      <c r="BZ9" s="18">
        <v>0</v>
      </c>
      <c r="CA9" s="18">
        <v>0</v>
      </c>
      <c r="CB9" s="18">
        <v>0</v>
      </c>
      <c r="CC9" s="18">
        <v>0</v>
      </c>
      <c r="CD9" s="18">
        <v>0</v>
      </c>
      <c r="CE9" s="18"/>
      <c r="CF9" s="18"/>
      <c r="CG9" s="18"/>
      <c r="CH9" s="18"/>
      <c r="CI9" s="18"/>
      <c r="CJ9" s="23"/>
      <c r="CK9" s="34" t="str">
        <f t="shared" si="30"/>
        <v/>
      </c>
      <c r="CL9" s="34" t="str">
        <f t="shared" si="31"/>
        <v/>
      </c>
      <c r="CM9" s="36" t="str">
        <f t="shared" si="32"/>
        <v/>
      </c>
      <c r="CN9" s="36" t="str">
        <f t="shared" si="33"/>
        <v/>
      </c>
      <c r="CO9" s="36" t="str">
        <f t="shared" si="34"/>
        <v/>
      </c>
      <c r="CP9" s="36" t="str">
        <f t="shared" si="35"/>
        <v/>
      </c>
      <c r="CQ9" s="36" t="str">
        <f t="shared" si="36"/>
        <v/>
      </c>
      <c r="CR9" s="36" t="str">
        <f t="shared" si="37"/>
        <v/>
      </c>
      <c r="CS9" s="36" t="str">
        <f t="shared" si="38"/>
        <v/>
      </c>
      <c r="CT9" s="36" t="str">
        <f t="shared" si="39"/>
        <v/>
      </c>
      <c r="CU9" s="36" t="str">
        <f t="shared" si="40"/>
        <v/>
      </c>
      <c r="CV9" s="47" t="str">
        <f t="shared" si="41"/>
        <v/>
      </c>
      <c r="CW9" s="47" t="str">
        <f t="shared" si="42"/>
        <v/>
      </c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36" t="str">
        <f t="shared" si="43"/>
        <v/>
      </c>
      <c r="DS9" s="36" t="str">
        <f t="shared" si="44"/>
        <v/>
      </c>
      <c r="DT9" s="36" t="str">
        <f t="shared" si="45"/>
        <v/>
      </c>
      <c r="DU9" s="36" t="str">
        <f t="shared" si="46"/>
        <v/>
      </c>
      <c r="DV9" s="36" t="str">
        <f t="shared" si="47"/>
        <v/>
      </c>
      <c r="DW9" s="36" t="str">
        <f t="shared" si="48"/>
        <v/>
      </c>
      <c r="DX9" s="36" t="str">
        <f t="shared" si="49"/>
        <v/>
      </c>
      <c r="DY9" s="36" t="str">
        <f t="shared" si="50"/>
        <v/>
      </c>
      <c r="DZ9" s="36" t="str">
        <f t="shared" si="51"/>
        <v/>
      </c>
      <c r="EA9" s="36" t="str">
        <f t="shared" si="52"/>
        <v/>
      </c>
      <c r="EB9" s="36" t="str">
        <f t="shared" si="53"/>
        <v/>
      </c>
      <c r="EC9" s="36" t="str">
        <f t="shared" si="54"/>
        <v/>
      </c>
      <c r="ED9" s="36" t="str">
        <f t="shared" si="55"/>
        <v/>
      </c>
      <c r="EE9" s="36" t="str">
        <f t="shared" si="56"/>
        <v/>
      </c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1" t="str">
        <f t="shared" si="57"/>
        <v/>
      </c>
      <c r="FA9" s="11" t="str">
        <f t="shared" si="58"/>
        <v/>
      </c>
      <c r="FB9" s="11" t="str">
        <f t="shared" si="59"/>
        <v/>
      </c>
      <c r="FC9" s="11" t="str">
        <f t="shared" si="60"/>
        <v/>
      </c>
      <c r="FD9" s="11" t="str">
        <f t="shared" si="61"/>
        <v/>
      </c>
      <c r="FE9" s="11" t="str">
        <f t="shared" si="62"/>
        <v/>
      </c>
      <c r="FF9" s="11" t="str">
        <f t="shared" si="63"/>
        <v/>
      </c>
      <c r="FG9" s="11" t="str">
        <f t="shared" si="64"/>
        <v/>
      </c>
      <c r="FH9" s="11" t="str">
        <f t="shared" si="65"/>
        <v/>
      </c>
      <c r="FI9" s="11" t="str">
        <f t="shared" si="66"/>
        <v/>
      </c>
      <c r="FJ9" s="11" t="str">
        <f t="shared" si="67"/>
        <v/>
      </c>
      <c r="FK9" s="11" t="str">
        <f t="shared" si="68"/>
        <v/>
      </c>
      <c r="FL9" s="11" t="str">
        <f t="shared" si="69"/>
        <v/>
      </c>
      <c r="FM9" s="11" t="str">
        <f t="shared" si="70"/>
        <v/>
      </c>
      <c r="FN9" s="15">
        <v>13.5</v>
      </c>
      <c r="FO9" s="15">
        <v>9.3000000000000007</v>
      </c>
      <c r="FP9" s="15">
        <v>14.3</v>
      </c>
      <c r="FQ9" s="15">
        <v>14.44</v>
      </c>
      <c r="FR9" s="15">
        <v>0</v>
      </c>
      <c r="FS9" s="15">
        <v>13.3</v>
      </c>
      <c r="FT9" s="15">
        <v>9.3000000000000007</v>
      </c>
      <c r="FU9" s="15">
        <v>14.3</v>
      </c>
      <c r="FV9" s="15">
        <v>14.25</v>
      </c>
      <c r="FW9" s="15">
        <v>0</v>
      </c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36">
        <f t="shared" si="71"/>
        <v>14.3</v>
      </c>
      <c r="GI9" s="36">
        <f t="shared" si="72"/>
        <v>14.44</v>
      </c>
      <c r="GJ9" s="36">
        <f t="shared" si="73"/>
        <v>51.54</v>
      </c>
      <c r="GK9" s="36">
        <f t="shared" si="74"/>
        <v>14.3</v>
      </c>
      <c r="GL9" s="36">
        <f t="shared" si="75"/>
        <v>14.25</v>
      </c>
      <c r="GM9" s="36">
        <f t="shared" si="76"/>
        <v>51.150000000000006</v>
      </c>
      <c r="GN9" s="36">
        <f t="shared" si="77"/>
        <v>51.54</v>
      </c>
      <c r="GO9" s="36" t="str">
        <f t="shared" si="78"/>
        <v/>
      </c>
      <c r="GP9" s="36" t="str">
        <f t="shared" si="79"/>
        <v/>
      </c>
      <c r="GQ9" s="36" t="str">
        <f t="shared" si="80"/>
        <v/>
      </c>
      <c r="GR9" s="36" t="str">
        <f t="shared" si="81"/>
        <v/>
      </c>
      <c r="GS9" s="36" t="str">
        <f t="shared" si="82"/>
        <v/>
      </c>
      <c r="GT9" s="36" t="str">
        <f t="shared" si="83"/>
        <v/>
      </c>
      <c r="GU9" s="36">
        <f t="shared" si="84"/>
        <v>51.54</v>
      </c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1" t="str">
        <f t="shared" si="85"/>
        <v/>
      </c>
      <c r="HQ9" s="11" t="str">
        <f t="shared" si="86"/>
        <v/>
      </c>
      <c r="HR9" s="11" t="str">
        <f t="shared" si="87"/>
        <v/>
      </c>
      <c r="HS9" s="11" t="str">
        <f t="shared" si="88"/>
        <v/>
      </c>
      <c r="HT9" s="11" t="str">
        <f t="shared" si="89"/>
        <v/>
      </c>
      <c r="HU9" s="11" t="str">
        <f t="shared" si="90"/>
        <v/>
      </c>
      <c r="HV9" s="11" t="str">
        <f t="shared" si="91"/>
        <v/>
      </c>
      <c r="HW9" s="11" t="str">
        <f t="shared" si="92"/>
        <v/>
      </c>
      <c r="HX9" s="11" t="str">
        <f t="shared" si="93"/>
        <v/>
      </c>
      <c r="HY9" s="11" t="str">
        <f t="shared" si="94"/>
        <v/>
      </c>
      <c r="HZ9" s="11" t="str">
        <f t="shared" si="95"/>
        <v/>
      </c>
      <c r="IA9" s="11" t="str">
        <f t="shared" si="96"/>
        <v/>
      </c>
      <c r="IB9" s="11" t="str">
        <f t="shared" si="97"/>
        <v/>
      </c>
      <c r="IC9" s="11" t="str">
        <f t="shared" si="98"/>
        <v/>
      </c>
      <c r="ID9" s="15"/>
      <c r="IE9" s="15"/>
      <c r="IF9" s="15"/>
      <c r="IG9" s="15"/>
      <c r="IH9" s="15"/>
      <c r="II9" s="15">
        <v>14</v>
      </c>
      <c r="IJ9" s="15">
        <v>9.6</v>
      </c>
      <c r="IK9" s="15">
        <v>13.4</v>
      </c>
      <c r="IL9" s="15">
        <v>14.48</v>
      </c>
      <c r="IM9" s="15">
        <v>0</v>
      </c>
      <c r="IN9" s="15"/>
      <c r="IO9" s="15"/>
      <c r="IP9" s="15"/>
      <c r="IQ9" s="15"/>
      <c r="IR9" s="15"/>
      <c r="IS9" s="15">
        <v>13.5</v>
      </c>
      <c r="IT9" s="15">
        <v>9.3000000000000007</v>
      </c>
      <c r="IU9" s="15">
        <v>14.3</v>
      </c>
      <c r="IV9" s="15">
        <v>14.37</v>
      </c>
      <c r="IW9" s="15">
        <v>0</v>
      </c>
      <c r="IX9" s="36" t="str">
        <f t="shared" si="99"/>
        <v/>
      </c>
      <c r="IY9" s="36" t="str">
        <f t="shared" si="100"/>
        <v/>
      </c>
      <c r="IZ9" s="36" t="str">
        <f t="shared" si="101"/>
        <v/>
      </c>
      <c r="JA9" s="36">
        <f t="shared" si="102"/>
        <v>13.4</v>
      </c>
      <c r="JB9" s="36">
        <f t="shared" si="103"/>
        <v>14.48</v>
      </c>
      <c r="JC9" s="36">
        <f t="shared" si="104"/>
        <v>51.480000000000004</v>
      </c>
      <c r="JD9" s="36">
        <f t="shared" si="105"/>
        <v>51.480000000000004</v>
      </c>
      <c r="JE9" s="36" t="str">
        <f t="shared" si="106"/>
        <v/>
      </c>
      <c r="JF9" s="36" t="str">
        <f t="shared" si="107"/>
        <v/>
      </c>
      <c r="JG9" s="36" t="str">
        <f t="shared" si="108"/>
        <v/>
      </c>
      <c r="JH9" s="36">
        <f t="shared" si="109"/>
        <v>14.3</v>
      </c>
      <c r="JI9" s="36">
        <f t="shared" si="110"/>
        <v>14.37</v>
      </c>
      <c r="JJ9" s="36">
        <f t="shared" si="111"/>
        <v>51.47</v>
      </c>
      <c r="JK9" s="36">
        <f t="shared" si="112"/>
        <v>102.95</v>
      </c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1" t="str">
        <f t="shared" si="113"/>
        <v/>
      </c>
      <c r="KG9" s="11" t="str">
        <f t="shared" si="114"/>
        <v/>
      </c>
      <c r="KH9" s="11" t="str">
        <f t="shared" si="115"/>
        <v/>
      </c>
      <c r="KI9" s="11" t="str">
        <f t="shared" si="116"/>
        <v/>
      </c>
      <c r="KJ9" s="11" t="str">
        <f t="shared" si="117"/>
        <v/>
      </c>
      <c r="KK9" s="11" t="str">
        <f t="shared" si="118"/>
        <v/>
      </c>
      <c r="KL9" s="11" t="str">
        <f t="shared" si="119"/>
        <v/>
      </c>
      <c r="KM9" s="11" t="str">
        <f t="shared" si="120"/>
        <v/>
      </c>
      <c r="KN9" s="11" t="str">
        <f t="shared" si="121"/>
        <v/>
      </c>
      <c r="KO9" s="11" t="str">
        <f t="shared" si="122"/>
        <v/>
      </c>
      <c r="KP9" s="11" t="str">
        <f t="shared" si="123"/>
        <v/>
      </c>
      <c r="KQ9" s="11" t="str">
        <f t="shared" si="124"/>
        <v/>
      </c>
      <c r="KR9" s="11" t="str">
        <f t="shared" si="125"/>
        <v/>
      </c>
      <c r="KS9" s="11" t="str">
        <f t="shared" si="126"/>
        <v/>
      </c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36" t="str">
        <f t="shared" si="127"/>
        <v/>
      </c>
      <c r="LO9" s="36" t="str">
        <f t="shared" si="128"/>
        <v/>
      </c>
      <c r="LP9" s="36" t="str">
        <f t="shared" si="129"/>
        <v/>
      </c>
      <c r="LQ9" s="36" t="str">
        <f t="shared" si="130"/>
        <v/>
      </c>
      <c r="LR9" s="36" t="str">
        <f t="shared" si="131"/>
        <v/>
      </c>
      <c r="LS9" s="36" t="str">
        <f t="shared" si="132"/>
        <v/>
      </c>
      <c r="LT9" s="36" t="str">
        <f t="shared" si="133"/>
        <v/>
      </c>
      <c r="LU9" s="36" t="str">
        <f t="shared" si="134"/>
        <v/>
      </c>
      <c r="LV9" s="36" t="str">
        <f t="shared" si="135"/>
        <v/>
      </c>
      <c r="LW9" s="36" t="str">
        <f t="shared" si="136"/>
        <v/>
      </c>
      <c r="LX9" s="36" t="str">
        <f t="shared" si="137"/>
        <v/>
      </c>
      <c r="LY9" s="36" t="str">
        <f t="shared" si="138"/>
        <v/>
      </c>
      <c r="LZ9" s="36" t="str">
        <f t="shared" si="139"/>
        <v/>
      </c>
      <c r="MA9" s="36" t="str">
        <f t="shared" si="140"/>
        <v/>
      </c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16"/>
      <c r="MP9" s="16"/>
      <c r="MQ9" s="16"/>
      <c r="MR9" s="16"/>
      <c r="MS9" s="16"/>
      <c r="MT9" s="16"/>
      <c r="MU9" s="16"/>
      <c r="MV9" s="11" t="str">
        <f t="shared" si="141"/>
        <v/>
      </c>
      <c r="MW9" s="11" t="str">
        <f t="shared" si="142"/>
        <v/>
      </c>
      <c r="MX9" s="11" t="str">
        <f t="shared" si="143"/>
        <v/>
      </c>
      <c r="MY9" s="11" t="str">
        <f t="shared" si="144"/>
        <v/>
      </c>
      <c r="MZ9" s="11" t="str">
        <f t="shared" si="145"/>
        <v/>
      </c>
      <c r="NA9" s="11" t="str">
        <f t="shared" si="146"/>
        <v/>
      </c>
      <c r="NB9" s="11" t="str">
        <f t="shared" si="147"/>
        <v/>
      </c>
      <c r="NC9" s="11" t="str">
        <f t="shared" si="148"/>
        <v/>
      </c>
      <c r="ND9" s="11" t="str">
        <f t="shared" si="149"/>
        <v/>
      </c>
      <c r="NE9" s="11" t="str">
        <f t="shared" si="150"/>
        <v/>
      </c>
      <c r="NF9" s="11" t="str">
        <f t="shared" si="151"/>
        <v/>
      </c>
      <c r="NG9" s="11" t="str">
        <f t="shared" si="152"/>
        <v/>
      </c>
      <c r="NH9" s="11" t="str">
        <f t="shared" si="153"/>
        <v/>
      </c>
      <c r="NI9" s="11" t="str">
        <f t="shared" si="154"/>
        <v/>
      </c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36" t="str">
        <f t="shared" si="155"/>
        <v/>
      </c>
      <c r="OE9" s="36" t="str">
        <f t="shared" si="156"/>
        <v/>
      </c>
      <c r="OF9" s="36" t="str">
        <f t="shared" si="157"/>
        <v/>
      </c>
      <c r="OG9" s="36" t="str">
        <f t="shared" si="158"/>
        <v/>
      </c>
      <c r="OH9" s="36" t="str">
        <f t="shared" si="159"/>
        <v/>
      </c>
      <c r="OI9" s="36" t="str">
        <f t="shared" si="160"/>
        <v/>
      </c>
      <c r="OJ9" s="36" t="str">
        <f t="shared" si="161"/>
        <v/>
      </c>
      <c r="OK9" s="36" t="str">
        <f t="shared" si="162"/>
        <v/>
      </c>
      <c r="OL9" s="36" t="str">
        <f t="shared" si="163"/>
        <v/>
      </c>
      <c r="OM9" s="36" t="str">
        <f t="shared" si="164"/>
        <v/>
      </c>
      <c r="ON9" s="36" t="str">
        <f t="shared" si="165"/>
        <v/>
      </c>
      <c r="OO9" s="36" t="str">
        <f t="shared" si="166"/>
        <v/>
      </c>
      <c r="OP9" s="36" t="str">
        <f t="shared" si="167"/>
        <v/>
      </c>
      <c r="OQ9" s="36" t="str">
        <f t="shared" si="168"/>
        <v/>
      </c>
      <c r="OR9" s="16">
        <v>17.5</v>
      </c>
      <c r="OS9" s="16">
        <v>9.5</v>
      </c>
      <c r="OT9" s="16">
        <v>1.6</v>
      </c>
      <c r="OU9" s="16">
        <v>15.48</v>
      </c>
      <c r="OV9" s="16">
        <v>0</v>
      </c>
      <c r="OW9" s="16">
        <v>15.2</v>
      </c>
      <c r="OX9" s="16">
        <v>9.4</v>
      </c>
      <c r="OY9" s="16">
        <v>12.1</v>
      </c>
      <c r="OZ9" s="16">
        <v>14.75</v>
      </c>
      <c r="PA9" s="16">
        <v>0</v>
      </c>
      <c r="PB9" s="16"/>
      <c r="PC9" s="16"/>
      <c r="PD9" s="16"/>
      <c r="PE9" s="16"/>
      <c r="PF9" s="16"/>
      <c r="PG9" s="16"/>
      <c r="PH9" s="16"/>
      <c r="PI9" s="16"/>
      <c r="PJ9" s="16"/>
      <c r="PK9" s="16"/>
      <c r="PL9" s="11">
        <f t="shared" si="169"/>
        <v>1.6</v>
      </c>
      <c r="PM9" s="11">
        <f t="shared" si="170"/>
        <v>15.48</v>
      </c>
      <c r="PN9" s="11">
        <f t="shared" si="171"/>
        <v>44.08</v>
      </c>
      <c r="PO9" s="11">
        <f t="shared" si="172"/>
        <v>12.1</v>
      </c>
      <c r="PP9" s="11">
        <f t="shared" si="173"/>
        <v>14.75</v>
      </c>
      <c r="PQ9" s="11">
        <f t="shared" si="174"/>
        <v>51.45</v>
      </c>
      <c r="PR9" s="11">
        <f t="shared" si="175"/>
        <v>51.45</v>
      </c>
      <c r="PS9" s="11" t="str">
        <f t="shared" si="176"/>
        <v/>
      </c>
      <c r="PT9" s="11" t="str">
        <f t="shared" si="177"/>
        <v/>
      </c>
      <c r="PU9" s="11" t="str">
        <f t="shared" si="178"/>
        <v/>
      </c>
      <c r="PV9" s="11" t="str">
        <f t="shared" si="179"/>
        <v/>
      </c>
      <c r="PW9" s="11" t="str">
        <f t="shared" si="180"/>
        <v/>
      </c>
      <c r="PX9" s="11" t="str">
        <f t="shared" si="181"/>
        <v/>
      </c>
      <c r="PY9" s="11">
        <f t="shared" si="182"/>
        <v>51.45</v>
      </c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36" t="str">
        <f t="shared" si="183"/>
        <v/>
      </c>
      <c r="QU9" s="36" t="str">
        <f t="shared" si="184"/>
        <v/>
      </c>
      <c r="QV9" s="36" t="str">
        <f t="shared" si="185"/>
        <v/>
      </c>
      <c r="QW9" s="36" t="str">
        <f t="shared" si="186"/>
        <v/>
      </c>
      <c r="QX9" s="36" t="str">
        <f t="shared" si="187"/>
        <v/>
      </c>
      <c r="QY9" s="36" t="str">
        <f t="shared" si="188"/>
        <v/>
      </c>
      <c r="QZ9" s="36" t="str">
        <f t="shared" si="189"/>
        <v/>
      </c>
      <c r="RA9" s="36" t="str">
        <f t="shared" si="190"/>
        <v/>
      </c>
      <c r="RB9" s="36" t="str">
        <f t="shared" si="191"/>
        <v/>
      </c>
      <c r="RC9" s="36" t="str">
        <f t="shared" si="192"/>
        <v/>
      </c>
      <c r="RD9" s="36" t="str">
        <f t="shared" si="193"/>
        <v/>
      </c>
      <c r="RE9" s="36" t="str">
        <f t="shared" si="194"/>
        <v/>
      </c>
      <c r="RF9" s="36" t="str">
        <f t="shared" si="195"/>
        <v/>
      </c>
      <c r="RG9" s="36" t="str">
        <f t="shared" si="196"/>
        <v/>
      </c>
      <c r="RH9" s="16"/>
      <c r="RI9" s="16"/>
      <c r="RJ9" s="16"/>
      <c r="RK9" s="16"/>
      <c r="RL9" s="16"/>
      <c r="RM9" s="16"/>
      <c r="RN9" s="16"/>
      <c r="RO9" s="16"/>
      <c r="RP9" s="16"/>
      <c r="RQ9" s="16"/>
      <c r="RR9" s="16"/>
      <c r="RS9" s="16"/>
      <c r="RT9" s="16"/>
      <c r="RU9" s="16"/>
      <c r="RV9" s="16"/>
      <c r="RW9" s="16"/>
      <c r="RX9" s="16"/>
      <c r="RY9" s="16"/>
      <c r="RZ9" s="16"/>
      <c r="SA9" s="16"/>
      <c r="SB9" s="11" t="str">
        <f t="shared" si="197"/>
        <v/>
      </c>
      <c r="SC9" s="11" t="str">
        <f t="shared" si="198"/>
        <v/>
      </c>
      <c r="SD9" s="11" t="str">
        <f t="shared" si="199"/>
        <v/>
      </c>
      <c r="SE9" s="11" t="str">
        <f t="shared" si="200"/>
        <v/>
      </c>
      <c r="SF9" s="11" t="str">
        <f t="shared" si="201"/>
        <v/>
      </c>
      <c r="SG9" s="11" t="str">
        <f t="shared" si="202"/>
        <v/>
      </c>
      <c r="SH9" s="11" t="str">
        <f t="shared" si="203"/>
        <v/>
      </c>
      <c r="SI9" s="11" t="str">
        <f t="shared" si="204"/>
        <v/>
      </c>
      <c r="SJ9" s="11" t="str">
        <f t="shared" si="205"/>
        <v/>
      </c>
      <c r="SK9" s="11" t="str">
        <f t="shared" si="206"/>
        <v/>
      </c>
      <c r="SL9" s="11" t="str">
        <f t="shared" si="207"/>
        <v/>
      </c>
      <c r="SM9" s="11" t="str">
        <f t="shared" si="208"/>
        <v/>
      </c>
      <c r="SN9" s="11" t="str">
        <f t="shared" si="209"/>
        <v/>
      </c>
      <c r="SO9" s="11" t="str">
        <f t="shared" si="210"/>
        <v/>
      </c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36" t="str">
        <f t="shared" si="211"/>
        <v/>
      </c>
      <c r="TK9" s="36" t="str">
        <f t="shared" si="212"/>
        <v/>
      </c>
      <c r="TL9" s="36" t="str">
        <f t="shared" si="213"/>
        <v/>
      </c>
      <c r="TM9" s="36" t="str">
        <f t="shared" si="214"/>
        <v/>
      </c>
      <c r="TN9" s="36" t="str">
        <f t="shared" si="215"/>
        <v/>
      </c>
      <c r="TO9" s="36" t="str">
        <f t="shared" si="216"/>
        <v/>
      </c>
      <c r="TP9" s="36" t="str">
        <f t="shared" si="217"/>
        <v/>
      </c>
      <c r="TQ9" s="36" t="str">
        <f t="shared" si="218"/>
        <v/>
      </c>
      <c r="TR9" s="36" t="str">
        <f t="shared" si="219"/>
        <v/>
      </c>
      <c r="TS9" s="36" t="str">
        <f t="shared" si="220"/>
        <v/>
      </c>
      <c r="TT9" s="36" t="str">
        <f t="shared" si="221"/>
        <v/>
      </c>
      <c r="TU9" s="36" t="str">
        <f t="shared" si="222"/>
        <v/>
      </c>
      <c r="TV9" s="36" t="str">
        <f t="shared" si="223"/>
        <v/>
      </c>
      <c r="TW9" s="36" t="str">
        <f t="shared" si="224"/>
        <v/>
      </c>
      <c r="TX9" s="16"/>
      <c r="TY9" s="16"/>
      <c r="TZ9" s="16"/>
      <c r="UA9" s="16"/>
      <c r="UB9" s="16"/>
      <c r="UC9" s="16"/>
      <c r="UD9" s="16"/>
      <c r="UE9" s="16"/>
      <c r="UF9" s="16"/>
      <c r="UG9" s="16"/>
      <c r="UH9" s="16"/>
      <c r="UI9" s="16"/>
      <c r="UJ9" s="16"/>
      <c r="UK9" s="16"/>
      <c r="UL9" s="16"/>
      <c r="UM9" s="16"/>
      <c r="UN9" s="16"/>
      <c r="UO9" s="16"/>
      <c r="UP9" s="16"/>
      <c r="UQ9" s="16"/>
      <c r="UR9" s="11" t="str">
        <f t="shared" si="225"/>
        <v/>
      </c>
      <c r="US9" s="11" t="str">
        <f t="shared" si="226"/>
        <v/>
      </c>
      <c r="UT9" s="11" t="str">
        <f t="shared" si="227"/>
        <v/>
      </c>
      <c r="UU9" s="11" t="str">
        <f t="shared" si="228"/>
        <v/>
      </c>
      <c r="UV9" s="11" t="str">
        <f t="shared" si="229"/>
        <v/>
      </c>
      <c r="UW9" s="11" t="str">
        <f t="shared" si="230"/>
        <v/>
      </c>
      <c r="UX9" s="11" t="str">
        <f t="shared" si="231"/>
        <v/>
      </c>
      <c r="UY9" s="11" t="str">
        <f t="shared" si="232"/>
        <v/>
      </c>
      <c r="UZ9" s="11" t="str">
        <f t="shared" si="233"/>
        <v/>
      </c>
      <c r="VA9" s="11" t="str">
        <f t="shared" si="234"/>
        <v/>
      </c>
      <c r="VB9" s="11" t="str">
        <f t="shared" si="235"/>
        <v/>
      </c>
      <c r="VC9" s="11" t="str">
        <f t="shared" si="236"/>
        <v/>
      </c>
      <c r="VD9" s="11" t="str">
        <f t="shared" si="237"/>
        <v/>
      </c>
      <c r="VE9" s="11" t="str">
        <f t="shared" si="238"/>
        <v/>
      </c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36" t="str">
        <f t="shared" si="239"/>
        <v/>
      </c>
      <c r="WA9" s="36" t="str">
        <f t="shared" si="240"/>
        <v/>
      </c>
      <c r="WB9" s="36" t="str">
        <f t="shared" si="241"/>
        <v/>
      </c>
      <c r="WC9" s="36" t="str">
        <f t="shared" si="242"/>
        <v/>
      </c>
      <c r="WD9" s="36" t="str">
        <f t="shared" si="243"/>
        <v/>
      </c>
      <c r="WE9" s="36" t="str">
        <f t="shared" si="244"/>
        <v/>
      </c>
      <c r="WF9" s="36" t="str">
        <f t="shared" si="245"/>
        <v/>
      </c>
      <c r="WG9" s="36" t="str">
        <f t="shared" si="246"/>
        <v/>
      </c>
      <c r="WH9" s="36" t="str">
        <f t="shared" si="247"/>
        <v/>
      </c>
      <c r="WI9" s="36" t="str">
        <f t="shared" si="248"/>
        <v/>
      </c>
      <c r="WJ9" s="36" t="str">
        <f t="shared" si="249"/>
        <v/>
      </c>
      <c r="WK9" s="36" t="str">
        <f t="shared" si="250"/>
        <v/>
      </c>
      <c r="WL9" s="36" t="str">
        <f t="shared" si="251"/>
        <v/>
      </c>
      <c r="WM9" s="36" t="str">
        <f t="shared" si="252"/>
        <v/>
      </c>
    </row>
    <row r="10" spans="1:611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64</v>
      </c>
      <c r="C10" s="4" t="s">
        <v>5</v>
      </c>
      <c r="D10" s="4">
        <v>1999</v>
      </c>
      <c r="E10" s="9">
        <f t="shared" si="0"/>
        <v>155.20501549700521</v>
      </c>
      <c r="F10" s="3" t="str">
        <f>IF(OR(AND(AI10&gt;=AS$17,AI10&lt;&gt;"",AK10&gt;=AS$21,AK10&lt;&gt;"",AH10=""),AND(AL10&gt;=AS$17,AL10&lt;&gt;"",AN10&gt;=AS$21,AN10&lt;&gt;"",AH10=""),AND(AP10&gt;=AS$17,AP10&lt;&gt;"",AR10&gt;=AS$21,AR10&lt;&gt;"",AH10=""),AND(BJ10&gt;=BT$17,BJ10&lt;&gt;"",BL10&gt;=BT$21,BL10&lt;&gt;"",BI10=""),AND(BM10&gt;=BT$17,BM10&lt;&gt;"",BO10&gt;=BT$21,BO10&lt;&gt;"",BI10=""),AND(BQ10&gt;=BT$17,BQ10&lt;&gt;"",BS10&gt;=BT$21,BS10&lt;&gt;"",BI10=""),AND(CK10&gt;=CU$17,CK10&lt;&gt;"",CM10&gt;=CU$21,CM10&lt;&gt;"",CJ10=""),AND(CN10&gt;=CU$17,CN10&lt;&gt;"",CP10&gt;=CU$21,CP10&lt;&gt;"",CJ10=""),AND(CR10&gt;=CU$17,CR10&lt;&gt;"",CT10&gt;=CU$21,CT10&lt;&gt;"",CJ10=""),AND(DR10&gt;=EE$17,DR10&lt;&gt;"",DT10&gt;=EE$21,DT10&lt;&gt;""),AND(DU10&gt;=EE$17,DU10&lt;&gt;"",DW10&gt;=EE$21,DW10&lt;&gt;""),AND(DY10&gt;=EE$17,DY10&lt;&gt;"",EA10&gt;=EE$21,EA10&lt;&gt;""),AND(EB10&gt;=EE$17,EB10&lt;&gt;"",ED10&gt;=EE$21,ED10&lt;&gt;""),AND(EZ10&gt;=FM$17,EZ10&lt;&gt;"",FB10&gt;=FM$21,FB10&lt;&gt;""),AND(FC10&gt;=FM$17,FC10&lt;&gt;"",FE10&gt;=FM$21,FE10&lt;&gt;""),AND(FG10&gt;=FM$17,FG10&lt;&gt;"",FI10&gt;=FM$21,FI10&lt;&gt;""),AND(FJ10&gt;=FM$17,FJ10&lt;&gt;"",FL10&gt;=FM$21,FL10&lt;&gt;""),AND(GH10&gt;=GU$17,GH10&lt;&gt;"",GJ10&gt;=GU$21,GJ10&lt;&gt;""),AND(GK10&gt;=GU$17,GK10&lt;&gt;"",GM10&gt;=GU$21,GM10&lt;&gt;""),AND(GO10&gt;=GU$17,GO10&lt;&gt;"",GQ10&gt;=GU$21,GQ10&lt;&gt;""),AND(GR10&gt;=GU$17,GR10&lt;&gt;"",GT10&gt;=GU$21,GT10&lt;&gt;""),AND(HP10&gt;=IC$17,HP10&lt;&gt;"",HR10&gt;=IC$21,HR10&lt;&gt;""),AND(HS10&gt;=IC$17,HS10&lt;&gt;"",HU10&gt;=IC$21,HU10&lt;&gt;""),AND(HW10&gt;=IC$17,HW10&lt;&gt;"",HY10&gt;=IC$21,HY10&lt;&gt;""),AND(HZ10&gt;=IC$17,HZ10&lt;&gt;"",IB10&gt;=IC$21,IB10&lt;&gt;""),AND(IX10&gt;=JK$17,IX10&lt;&gt;"",IZ10&gt;=JK$21,IZ10&lt;&gt;""),AND(JA10&gt;=JK$17,JA10&lt;&gt;"",JC10&gt;=JK$21,JC10&lt;&gt;""),AND(JE10&gt;=JK$17,JE10&lt;&gt;"",JG10&gt;=JK$21,JG10&lt;&gt;""),AND(JH10&gt;=JK$17,JH10&lt;&gt;"",JJ10&gt;=JK$21,JJ10&lt;&gt;""),AND(KF10&gt;=KS$17,KF10&lt;&gt;"",KH10&gt;=KS$21,KH10&lt;&gt;""),AND(KI10&gt;=KS$17,KI10&lt;&gt;"",KK10&gt;=KS$21,KK10&lt;&gt;""),AND(KM10&gt;=KS$17,KM10&lt;&gt;"",KO10&gt;=KS$21,KO10&lt;&gt;""),AND(KP10&gt;=KS$17,KP10&lt;&gt;"",KR10&gt;=KS$21,KR10&lt;&gt;""),AND(LN10&gt;=MA$17,LN10&lt;&gt;"",LP10&gt;=MA$21,LP10&lt;&gt;""),AND(LQ10&gt;=MA$17,LQ10&lt;&gt;"",LS10&gt;=MA$21,LS10&lt;&gt;""),AND(LU10&gt;=MA$17,LU10&lt;&gt;"",LW10&gt;=MA$21,LW10&lt;&gt;""),AND(LX10&gt;=MA$17,LX10&lt;&gt;"",LZ10&gt;=MA$21,LZ10&lt;&gt;""),AND(MV10&gt;=NI$17,MV10&lt;&gt;"",MX10&gt;=NI$21,MX10&lt;&gt;""),AND(MY10&gt;=NI$17,MY10&lt;&gt;"",NA10&gt;=NI$21,NA10&lt;&gt;""),AND(NC10&gt;=NI$17,NC10&lt;&gt;"",NE10&gt;=NI$21,NE10&lt;&gt;""),AND(NF10&gt;=NI$17,NF10&lt;&gt;"",NH10&gt;=NI$21,NH10&lt;&gt;""),AND(OD10&gt;=OQ$17,OD10&lt;&gt;"",OF10&gt;=OQ$21,OF10&lt;&gt;""),AND(OG10&gt;=OQ$17,OG10&lt;&gt;"",OI10&gt;=OQ$21,OI10&lt;&gt;""),AND(OK10&gt;=OQ$17,OK10&lt;&gt;"",OM10&gt;=OQ$21,OM10&lt;&gt;""),AND(ON10&gt;=OQ$17,ON10&lt;&gt;"",OP10&gt;=OQ$21,OP10&lt;&gt;""),AND(PL10&gt;=PY$17,PL10&lt;&gt;"",PN10&gt;=PY$21,PN10&lt;&gt;""),AND(PO10&gt;=PY$17,PO10&lt;&gt;"",PQ10&gt;=PY$21,PQ10&lt;&gt;""),AND(PS10&gt;=PY$17,PS10&lt;&gt;"",PU10&gt;=PY$21,PU10&lt;&gt;""),AND(PV10&gt;=PY$17,PV10&lt;&gt;"",PX10&gt;=PY$21,PX10&lt;&gt;""),AND(QT10&gt;=RG$17,QT10&lt;&gt;"",QV10&gt;=RG$21,QV10&lt;&gt;""),AND(QW10&gt;=RG$17,QW10&lt;&gt;"",QY10&gt;=RG$21,QY10&lt;&gt;""),AND(RA10&gt;=RG$17,RA10&lt;&gt;"",RC10&gt;=RG$21,RC10&lt;&gt;""),AND(RD10&gt;=RG$17,RD10&lt;&gt;"",RF10&gt;=RG$21,RF10&lt;&gt;""),AND(SB10&gt;=SO$17,SB10&lt;&gt;"",SD10&gt;=SO$21,SD10&lt;&gt;""),AND(SE10&gt;=SO$17,SE10&lt;&gt;"",SG10&gt;=SO$21,SG10&lt;&gt;""),AND(SI10&gt;=SO$17,SI10&lt;&gt;"",SK10&gt;=SO$21,SK10&lt;&gt;""),AND(SL10&gt;=SO$17,SL10&lt;&gt;"",SN10&gt;=SO$21,SN10&lt;&gt;""),AND(TJ10&gt;=TW$17,TJ10&lt;&gt;"",TL10&gt;=TW$21,TL10&lt;&gt;""),AND(TM10&gt;=TW$17,TM10&lt;&gt;"",TO10&gt;=TW$21,TO10&lt;&gt;""),AND(TQ10&gt;=TW$17,TQ10&lt;&gt;"",TS10&gt;=TW$21,TXQ10&lt;&gt;""),AND(TT10&gt;=TW$17,TT10&lt;&gt;"",TV10&gt;=TW$21,TV10&lt;&gt;""),AND(UR10&gt;=VE$17,UR10&lt;&gt;"",UT10&gt;=VE$21,UT10&lt;&gt;""),AND(UU10&gt;=VE$17,UU10&lt;&gt;"",UW10&gt;=VE$21,UW10&lt;&gt;""),AND(UY10&gt;=VE$17,UY10&lt;&gt;"",VA10&gt;=VE$21,VA10&lt;&gt;""),AND(VB10&gt;=VE$17,VB10&lt;&gt;"",VD10&gt;=VE$21,VD10&lt;&gt;""),AND(VZ10&gt;=WM$17,VZ10&lt;&gt;"",WB10&gt;=WM$21,WB10&lt;&gt;""),AND(WC10&gt;=WM$17,WC10&lt;&gt;"",WE10&gt;=WM$21,WE10&lt;&gt;""),AND(WG10&gt;=WM$17,WG10&lt;&gt;"",WI10&gt;=WM$21,WI10&lt;&gt;""),AND(WJ10&gt;=WM$17,WJ10&lt;&gt;"",WL10&gt;=WM$21,WL10&lt;&gt;"")),"P","")</f>
        <v>P</v>
      </c>
      <c r="G10" s="3" t="str">
        <f>IF(OR(AND(AK10&gt;=AS$21,AK10&lt;&gt;"",AH10=""),AND(AN10&gt;=AS$21,AN10&lt;&gt;"",AH10=""),AND(AR10&gt;=AS$21,AR10&lt;&gt;"",AH10=""),AND(BL10&gt;=BT$21,BL10&lt;&gt;"",BI10=""),AND(BO10&gt;=BT$21,BO10&lt;&gt;"",BI10=""),AND(BS10&gt;=BT$21,BS10&lt;&gt;"",BI10=""),AND(CM10&gt;=CU$21,CM10&lt;&gt;"",CJ10=""),AND(CP10&gt;=CU$21,CP10&lt;&gt;"",CJ10=""),AND(CT10&gt;=CU$21,CT10&lt;&gt;"",CJ10=""),AND(DT10&gt;=EE$21,DT10&lt;&gt;""),AND(DW10&gt;=EE$21,DW10&lt;&gt;""),AND(EA10&gt;=EE$21,EA10&lt;&gt;""),AND(ED10&gt;=EE$21,ED10&lt;&gt;""),AND(FB10&gt;=FM$21,FB10&lt;&gt;""),AND(FE10&gt;=FM$21,FE10&lt;&gt;""),AND(FI10&gt;=FM$21,FI10&lt;&gt;""),AND(FL10&gt;=FM$21,FL10&lt;&gt;""),AND(GJ10&gt;=GU$21,GJ10&lt;&gt;""),AND(GM10&gt;=GU$21,GM10&lt;&gt;""),AND(GQ10&gt;=GU$21,GQ10&lt;&gt;""),AND(GT10&gt;=GU$21,GT10&lt;&gt;""),AND(HR10&gt;=IC$21,HR10&lt;&gt;""),AND(HU10&gt;=IC$21,HU10&lt;&gt;""),AND(HY10&gt;=IC$21,HY10&lt;&gt;""),AND(IB10&gt;=IC$21,IB10&lt;&gt;""),AND(IZ10&gt;=JK$21,IZ10&lt;&gt;""),AND(JC10&gt;=JK$21,JC10&lt;&gt;""),AND(JG10&gt;=JK$21,JG10&lt;&gt;""),AND(JJ10&gt;=JK$21,JJ10&lt;&gt;""),AND(KH10&gt;=KS$21,KH10&lt;&gt;""),AND(KK10&gt;=KS$21,KK10&lt;&gt;""),AND(KO10&gt;=KS$21,KO10&lt;&gt;""),AND(KR10&gt;=KS$21,KR10&lt;&gt;""),AND(LP10&gt;=MA$21,LP10&lt;&gt;""),AND(LS10&gt;=MA$21,LS10&lt;&gt;""),AND(LW10&gt;=MA$21,LW10&lt;&gt;""),AND(LZ10&gt;=MA$21,LZ10&lt;&gt;""),AND(MX10&gt;=NI$21,MX10&lt;&gt;""),AND(NA10&gt;=NI$21,NA10&lt;&gt;""),AND(NE10&gt;=NI$21,NE10&lt;&gt;""),AND(NH10&gt;=NI$21,NH10&lt;&gt;""),AND(OF10&gt;=OQ$21,OF10&lt;&gt;""),AND(OI10&gt;=OQ$21,OI10&lt;&gt;""),AND(OM10&gt;=OQ$21,OM10&lt;&gt;""),AND(OP10&gt;=OQ$21,OP10&lt;&gt;""),AND(PN10&gt;=PY$21,PN10&lt;&gt;""),AND(PQ10&gt;=PY$21,PQ10&lt;&gt;""),AND(PU10&gt;=PY$21,PU10&lt;&gt;""),AND(PX10&gt;=PY$21,PX10&lt;&gt;""),AND(QV10&gt;=RG$21,QV10&lt;&gt;""),AND(QY10&gt;=RG$21,QY10&lt;&gt;""),AND(RC10&gt;=RG$21,RC10&lt;&gt;""),AND(RF10&gt;=RG$21,RF10&lt;&gt;""),AND(SD10&gt;=SO$21,SD10&lt;&gt;""),AND(SG10&gt;=SO$21,SG10&lt;&gt;""),AND(SK10&gt;=SO$21,SK10&lt;&gt;""),AND(SN10&gt;=SO$21,SN10&lt;&gt;""),AND(TL10&gt;=TW$21,TL10&lt;&gt;""),AND(TO10&gt;=TW$21,TO10&lt;&gt;""),AND(TS10&gt;=TW$21,TXQ10&lt;&gt;""),AND(TV10&gt;=TW$21,TV10&lt;&gt;""),AND(UT10&gt;=VE$21,UT10&lt;&gt;""),AND(UW10&gt;=VE$21,UW10&lt;&gt;""),AND(VA10&gt;=VE$21,VA10&lt;&gt;""),AND(VD10&gt;=VE$21,VD10&lt;&gt;""),AND(WB10&gt;=WM$21,WB10&lt;&gt;""),AND(WE10&gt;=WM$21,WE10&lt;&gt;""),AND(WI10&gt;=WM$21,WI10&lt;&gt;""),AND(WL10&gt;=WM$21,WL10&lt;&gt;"")),"P","")</f>
        <v>P</v>
      </c>
      <c r="H10" s="32" t="str">
        <f>IF(AND(G10="P",F10=""),"No DD",IF(OR(AND(AI10&gt;=AS$20,AI10&lt;&gt;"",AK10&gt;=AS$24,AK10&lt;&gt;"",AH10=""),AND(AL10&gt;=AS$20,AL10&lt;&gt;"",AN10&gt;=AS$24,AN10&lt;&gt;"",AH10=""),AND(AP10&gt;=AS$20,AP10&lt;&gt;"",AR10&gt;=AS$24,AR10&lt;&gt;"",AH10=""),AND(BJ10&gt;=BT$20,BJ10&lt;&gt;"",BL10&gt;=BT$24,BL10&lt;&gt;"",BI10=""),AND(BM10&gt;=BT$20,BM10&lt;&gt;"",BO10&gt;=BT$24,BO10&lt;&gt;"",BI10=""),AND(BQ10&gt;=BT$20,BQ10&lt;&gt;"",BS10&gt;=BT$24,BS10&lt;&gt;"",BI10=""),AND(CK10&gt;=CU$20,CK10&lt;&gt;"",CM10&gt;=CU$24,CM10&lt;&gt;"",CJ10=""),AND(CN10&gt;=CU$20,CN10&lt;&gt;"",CP10&gt;=CU$24,CP10&lt;&gt;"",CJ10=""),AND(CR10&gt;=CU$20,CR10&lt;&gt;"",CT10&gt;=CU$24,CT10&lt;&gt;"",CJ10=""),AND(DR10&gt;=EE$20,DR10&lt;&gt;"",DT10&gt;=EE$24,DT10&lt;&gt;""),AND(DU10&gt;=EE$20,DU10&lt;&gt;"",DW10&gt;=EE$24,DW10&lt;&gt;""),AND(DY10&gt;=EE$20,DY10&lt;&gt;"",EA10&gt;=EE$24,EA10&lt;&gt;""),AND(EB10&gt;=EE$20,EB10&lt;&gt;"",ED10&gt;=EE$24,ED10&lt;&gt;""),AND(EZ10&gt;=FM$20,EZ10&lt;&gt;"",FB10&gt;=FM$24,FB10&lt;&gt;""),AND(FC10&gt;=FM$20,FC10&lt;&gt;"",FE10&gt;=FM$24,FE10&lt;&gt;""),AND(FG10&gt;=FM$20,FG10&lt;&gt;"",FI10&gt;=FM$24,FI10&lt;&gt;""),AND(FJ10&gt;=FM$20,FJ10&lt;&gt;"",FL10&gt;=FM$24,FL10&lt;&gt;""),AND(GH10&gt;=GU$20,GH10&lt;&gt;"",GJ10&gt;=GU$24,GJ10&lt;&gt;""),AND(GK10&gt;=GU$20,GK10&lt;&gt;"",GM10&gt;=GU$24,GM10&lt;&gt;""),AND(GO10&gt;=GU$20,GO10&lt;&gt;"",GQ10&gt;=GU$24,GQ10&lt;&gt;""),AND(GR10&gt;=GU$20,GR10&lt;&gt;"",GT10&gt;=GU$24,GT10&lt;&gt;""),AND(HP10&gt;=IC$20,HP10&lt;&gt;"",HR10&gt;=IC$24,HR10&lt;&gt;""),AND(HS10&gt;=IC$20,HS10&lt;&gt;"",HU10&gt;=IC$24,HU10&lt;&gt;""),AND(HW10&gt;=IC$20,HW10&lt;&gt;"",HY10&gt;=IC$24,HY10&lt;&gt;""),AND(HZ10&gt;=IC$20,HZ10&lt;&gt;"",IB10&gt;=IC$24,IB10&lt;&gt;""),AND(IX10&gt;=JK$20,IX10&lt;&gt;"",IZ10&gt;=JK$24,IZ10&lt;&gt;""),AND(JA10&gt;=JK$20,JA10&lt;&gt;"",JC10&gt;=JK$24,JC10&lt;&gt;""),AND(JE10&gt;=JK$20,JE10&lt;&gt;"",JG10&gt;=JK$24,JG10&lt;&gt;""),AND(JH10&gt;=JK$20,JH10&lt;&gt;"",JJ10&gt;=JK$24,JJ10&lt;&gt;""),AND(KF10&gt;=KS$20,KF10&lt;&gt;"",KH10&gt;=KS$24,KH10&lt;&gt;""),AND(KI10&gt;=KS$20,KI10&lt;&gt;"",KK10&gt;=KS$24,KK10&lt;&gt;""),AND(KM10&gt;=KS$20,KM10&lt;&gt;"",KO10&gt;=KS$24,KO10&lt;&gt;""),AND(KP10&gt;=KS$20,KP10&lt;&gt;"",KR10&gt;=KS$24,KR10&lt;&gt;""),AND(LN10&gt;=MA$20,LN10&lt;&gt;"",LP10&gt;=MA$24,LP10&lt;&gt;""),AND(LQ10&gt;=MA$20,LQ10&lt;&gt;"",LS10&gt;=MA$24,LS10&lt;&gt;""),AND(LU10&gt;=MA$20,LU10&lt;&gt;"",LW10&gt;=MA$24,LW10&lt;&gt;""),AND(LX10&gt;=MA$20,LX10&lt;&gt;"",LZ10&gt;=MA$24,LZ10&lt;&gt;""),AND(MV10&gt;=NI$20,MV10&lt;&gt;"",MX10&gt;=NI$24,MX10&lt;&gt;""),AND(MY10&gt;=NI$20,MY10&lt;&gt;"",NA10&gt;=NI$24,NA10&lt;&gt;""),AND(NC10&gt;=NI$20,NC10&lt;&gt;"",NE10&gt;=NI$24,NE10&lt;&gt;""),AND(NF10&gt;=NI$20,NF10&lt;&gt;"",NH10&gt;=NI$24,NH10&lt;&gt;""),AND(OD10&gt;=OQ$20,OD10&lt;&gt;"",OF10&gt;=OQ$24,OF10&lt;&gt;""),AND(OG10&gt;=OQ$20,OG10&lt;&gt;"",OI10&gt;=OQ$24,OI10&lt;&gt;""),AND(OK10&gt;=OQ$20,OK10&lt;&gt;"",OM10&gt;=OQ$24,OM10&lt;&gt;""),AND(ON10&gt;=OQ$20,ON10&lt;&gt;"",OP10&gt;=OQ$24,OP10&lt;&gt;""),AND(PL10&gt;=PY$20,PL10&lt;&gt;"",PN10&gt;=PY$24,PN10&lt;&gt;""),AND(PO10&gt;=PY$20,PO10&lt;&gt;"",PQ10&gt;=PY$24,PQ10&lt;&gt;""),AND(PS10&gt;=PY$20,PS10&lt;&gt;"",PU10&gt;=PY$24,PU10&lt;&gt;""),AND(PV10&gt;=PY$20,PV10&lt;&gt;"",PX10&gt;=PY$24,PX10&lt;&gt;""),AND(QT10&gt;=RG$20,QT10&lt;&gt;"",QV10&gt;=RG$24,QV10&lt;&gt;""),AND(QW10&gt;=RG$20,QW10&lt;&gt;"",QY10&gt;=RG$24,QY10&lt;&gt;""),AND(RA10&gt;=RG$20,RA10&lt;&gt;"",RC10&gt;=RG$24,RC10&lt;&gt;""),AND(RD10&gt;=RG$20,RD10&lt;&gt;"",RF10&gt;=RG$24,RF10&lt;&gt;""),AND(SB10&gt;=SO$20,SB10&lt;&gt;"",SD10&gt;=SO$24,SD10&lt;&gt;""),AND(SE10&gt;=SO$20,SE10&lt;&gt;"",SG10&gt;=SO$24,SG10&lt;&gt;""),AND(SI10&gt;=SO$20,SI10&lt;&gt;"",SK10&gt;=SO$24,SK10&lt;&gt;""),AND(SL10&gt;=SO$20,SL10&lt;&gt;"",SN10&gt;=SO$24,SN10&lt;&gt;""),AND(TJ10&gt;=TW$20,TJ10&lt;&gt;"",TL10&gt;=TW$24,TL10&lt;&gt;""),AND(TM10&gt;=TW$20,TM10&lt;&gt;"",TO10&gt;=TW$24,TO10&lt;&gt;""),AND(TQ10&gt;=TW$20,TQ10&lt;&gt;"",TS10&gt;=TW$344,TXQ10&lt;&gt;""),AND(TT10&gt;=TW$20,TT10&lt;&gt;"",TV10&gt;=TW$24,TV10&lt;&gt;""),AND(UR10&gt;=VE$20,UR10&lt;&gt;"",UT10&gt;=VE$24,UT10&lt;&gt;""),AND(UU10&gt;=VE$20,UU10&lt;&gt;"",UW10&gt;=VE$24,UW10&lt;&gt;""),AND(UY10&gt;=VE$20,UY10&lt;&gt;"",VA10&gt;=VE$24,VA10&lt;&gt;""),AND(VB10&gt;=VE$20,VB10&lt;&gt;"",VD10&gt;=VE$24,VD10&lt;&gt;""),AND(VZ10&gt;=WM$20,VZ10&lt;&gt;"",WB10&gt;=WM$24,WB10&lt;&gt;""),AND(WC10&gt;=WM$20,WC10&lt;&gt;"",WE10&gt;=WM$24,WE10&lt;&gt;""),AND(WG10&gt;=WM$20,WG10&lt;&gt;"",WI10&gt;=WM$24,WI10&lt;&gt;""),AND(WJ10&gt;=WM$20,WJ10&lt;&gt;"",WL10&gt;=WM$24,WL10&lt;&gt;"")),"Merit",IF(OR(AND(AI10&gt;=AS$19,AI10&lt;&gt;"",AK10&gt;=AS$23,AK10&lt;&gt;"",AH10=""),AND(AL10&gt;=AS$19,AL10&lt;&gt;"",AN10&gt;=AS$23,AN10&lt;&gt;"",AH10=""),AND(AP10&gt;=AS$19,AP10&lt;&gt;"",AR10&gt;=AS$23,AR10&lt;&gt;"",AH10=""),AND(BJ10&gt;=BT$19,BJ10&lt;&gt;"",BL10&gt;=BT$23,BL10&lt;&gt;"",BI10=""),AND(BM10&gt;=BT$19,BM10&lt;&gt;"",BO10&gt;=BT$23,BO10&lt;&gt;"",BI10=""),AND(BQ10&gt;=BT$19,BQ10&lt;&gt;"",BS10&gt;=BT$23,BS10&lt;&gt;"",BI10=""),AND(CK10&gt;=CU$19,CK10&lt;&gt;"",CM10&gt;=CU$23,CM10&lt;&gt;"",CJ10=""),AND(CN10&gt;=CU$19,CN10&lt;&gt;"",CP10&gt;=CU$23,CP10&lt;&gt;"",CJ10=""),AND(CR10&gt;=CU$19,CR10&lt;&gt;"",CT10&gt;=CU$23,CT10&lt;&gt;"",CJ10=""),AND(DR10&gt;=EE$19,DR10&lt;&gt;"",DT10&gt;=EE$23,DT10&lt;&gt;""),AND(DU10&gt;=EE$19,DU10&lt;&gt;"",DW10&gt;=EE$23,DW10&lt;&gt;""),AND(DY10&gt;=EE$19,DY10&lt;&gt;"",EA10&gt;=EE$23,EA10&lt;&gt;""),AND(EB10&gt;=EE$19,EB10&lt;&gt;"",ED10&gt;=EE$23,ED10&lt;&gt;""),AND(EZ10&gt;=FM$19,EZ10&lt;&gt;"",FB10&gt;=FM$23,FB10&lt;&gt;""),AND(FC10&gt;=FM$19,FC10&lt;&gt;"",FE10&gt;=FM$23,FE10&lt;&gt;""),AND(FG10&gt;=FM$19,FG10&lt;&gt;"",FI10&gt;=FM$23,FI10&lt;&gt;""),AND(FJ10&gt;=FM$19,FJ10&lt;&gt;"",FL10&gt;=FM$23,FL10&lt;&gt;""),AND(GH10&gt;=GU$19,GH10&lt;&gt;"",GJ10&gt;=GU$23,GJ10&lt;&gt;""),AND(GK10&gt;=GU$19,GK10&lt;&gt;"",GM10&gt;=GU$23,GM10&lt;&gt;""),AND(GO10&gt;=GU$19,GO10&lt;&gt;"",GQ10&gt;=GU$23,GQ10&lt;&gt;""),AND(GR10&gt;=GU$19,GR10&lt;&gt;"",GT10&gt;=GU$23,GT10&lt;&gt;""),AND(HP10&gt;=IC$19,HP10&lt;&gt;"",HR10&gt;=IC$23,HR10&lt;&gt;""),AND(HS10&gt;=IC$19,HS10&lt;&gt;"",HU10&gt;=IC$23,HU10&lt;&gt;""),AND(HW10&gt;=IC$19,HW10&lt;&gt;"",HY10&gt;=IC$23,HY10&lt;&gt;""),AND(HZ10&gt;=IC$19,HZ10&lt;&gt;"",IB10&gt;=IC$23,IB10&lt;&gt;""),AND(IX10&gt;=JK$19,IX10&lt;&gt;"",IZ10&gt;=JK$23,IZ10&lt;&gt;""),AND(JA10&gt;=JK$19,JA10&lt;&gt;"",JC10&gt;=JK$23,JC10&lt;&gt;""),AND(JE10&gt;=JK$19,JE10&lt;&gt;"",JG10&gt;=JK$23,JG10&lt;&gt;""),AND(JH10&gt;=JK$19,JH10&lt;&gt;"",JJ10&gt;=JK$23,JJ10&lt;&gt;""),AND(KF10&gt;=KS$19,KF10&lt;&gt;"",KH10&gt;=KS$23,KH10&lt;&gt;""),AND(KI10&gt;=KS$19,KI10&lt;&gt;"",KK10&gt;=KS$23,KK10&lt;&gt;""),AND(KM10&gt;=KS$19,KM10&lt;&gt;"",KO10&gt;=KS$23,KO10&lt;&gt;""),AND(KP10&gt;=KS$19,KP10&lt;&gt;"",KR10&gt;=KS$23,KR10&lt;&gt;""),AND(LN10&gt;=MA$19,LN10&lt;&gt;"",LP10&gt;=MA$23,LP10&lt;&gt;""),AND(LQ10&gt;=MA$19,LQ10&lt;&gt;"",LS10&gt;=MA$23,LS10&lt;&gt;""),AND(LU10&gt;=MA$19,LU10&lt;&gt;"",LW10&gt;=MA$23,LW10&lt;&gt;""),AND(LX10&gt;=MA$19,LX10&lt;&gt;"",LZ10&gt;=MA$23,LZ10&lt;&gt;""),AND(MV10&gt;=NI$19,MV10&lt;&gt;"",MX10&gt;=NI$23,MX10&lt;&gt;""),AND(MY10&gt;=NI$19,MY10&lt;&gt;"",NA10&gt;=NI$23,NA10&lt;&gt;""),AND(NC10&gt;=NI$19,NC10&lt;&gt;"",NE10&gt;=NI$23,NE10&lt;&gt;""),AND(NF10&gt;=NI$19,NF10&lt;&gt;"",NH10&gt;=NI$23,NH10&lt;&gt;""),AND(OD10&gt;=OQ$19,OD10&lt;&gt;"",OF10&gt;=OQ$23,OF10&lt;&gt;""),AND(OG10&gt;=OQ$19,OG10&lt;&gt;"",OI10&gt;=OQ$23,OI10&lt;&gt;""),AND(OK10&gt;=OQ$19,OK10&lt;&gt;"",OM10&gt;=OQ$23,OM10&lt;&gt;""),AND(ON10&gt;=OQ$19,ON10&lt;&gt;"",OP10&gt;=OQ$23,OP10&lt;&gt;""),AND(PL10&gt;=PY$19,PL10&lt;&gt;"",PN10&gt;=PY$23,PN10&lt;&gt;""),AND(PO10&gt;=PY$19,PO10&lt;&gt;"",PQ10&gt;=PY$23,PQ10&lt;&gt;""),AND(PS10&gt;=PY$19,PS10&lt;&gt;"",PU10&gt;=PY$23,PU10&lt;&gt;""),AND(PV10&gt;=PY$19,PV10&lt;&gt;"",PX10&gt;=PY$23,PX10&lt;&gt;""),AND(QT10&gt;=RG$19,QT10&lt;&gt;"",QV10&gt;=RG$23,QV10&lt;&gt;""),AND(QW10&gt;=RG$19,QW10&lt;&gt;"",QY10&gt;=RG$23,QY10&lt;&gt;""),AND(RA10&gt;=RG$19,RA10&lt;&gt;"",RC10&gt;=RG$23,RC10&lt;&gt;""),AND(RD10&gt;=RG$19,RD10&lt;&gt;"",RF10&gt;=RG$23,RF10&lt;&gt;""),AND(SB10&gt;=SO$19,SB10&lt;&gt;"",SD10&gt;=SO$23,SD10&lt;&gt;""),AND(SE10&gt;=SO$19,SE10&lt;&gt;"",SG10&gt;=SO$23,SG10&lt;&gt;""),AND(SI10&gt;=SO$19,SI10&lt;&gt;"",SK10&gt;=SO$23,SK10&lt;&gt;""),AND(SL10&gt;=SO$19,SL10&lt;&gt;"",SN10&gt;=SO$23,SN10&lt;&gt;""),AND(TJ10&gt;=TW$19,TJ10&lt;&gt;"",TL10&gt;=TW$23,TL10&lt;&gt;""),AND(TM10&gt;=TW$19,TM10&lt;&gt;"",TO10&gt;=TW$23,TO10&lt;&gt;""),AND(TQ10&gt;=TW$19,TQ10&lt;&gt;"",TS10&gt;=TW$23,TXQ10&lt;&gt;""),AND(TT10&gt;=TW$19,TT10&lt;&gt;"",TV10&gt;=TW$23,TV10&lt;&gt;""),AND(UR10&gt;=VE$19,UR10&lt;&gt;"",UT10&gt;=VE$23,UT10&lt;&gt;""),AND(UU10&gt;=VE$19,UU10&lt;&gt;"",UW10&gt;=VE$23,UW10&lt;&gt;""),AND(UY10&gt;=VE$19,UY10&lt;&gt;"",VA10&gt;=VE$23,VA10&lt;&gt;""),AND(VB10&gt;=VE$19,VB10&lt;&gt;"",VD10&gt;=VE$23,VD10&lt;&gt;""),AND(VZ10&gt;=WM$19,VZ10&lt;&gt;"",WB10&gt;=WM$23,WB10&lt;&gt;""),AND(WC10&gt;=WM$19,WC10&lt;&gt;"",WE10&gt;=WM$23,WE10&lt;&gt;""),AND(WG10&gt;=WM$19,WG10&lt;&gt;"",WI10&gt;=WM$23,WI10&lt;&gt;""),AND(WJ10&gt;=WM$19,WJ10&lt;&gt;"",WL10&gt;=WM$23,WL10&lt;&gt;"")),"Excellence",IF(I10="P","Worlds Team",IF(F10="P","National Team","")))))</f>
        <v>National Team</v>
      </c>
      <c r="I10" s="3" t="str">
        <f>IF(OR(AND(AI10&gt;=AS$18,AI10&lt;&gt;"",AK10&gt;=AS$22,AK10&lt;&gt;"",AH10=""),AND(AL10&gt;=AS$18,AL10&lt;&gt;"",AN10&gt;=AS$22,AN10&lt;&gt;"",AH10=""),AND(AP10&gt;=AS$18,AP10&lt;&gt;"",AR10&gt;=AS$22,AR10&lt;&gt;"",AH10=""),AND(BJ10&gt;=BT$18,BJ10&lt;&gt;"",BL10&gt;=BT$22,BL10&lt;&gt;"",BI10=""),AND(BM10&gt;=BT$18,BM10&lt;&gt;"",BO10&gt;=BT$22,BO10&lt;&gt;"",BI10=""),AND(BQ10&gt;=BT$18,BQ10&lt;&gt;"",BS10&gt;=BT$22,BS10&lt;&gt;"",BI10=""),AND(CK10&gt;=CU$18,CK10&lt;&gt;"",CM10&gt;=CU$22,CM10&lt;&gt;"",CJ10=""),AND(CN10&gt;=CU$18,CN10&lt;&gt;"",CP10&gt;=CU$22,CP10&lt;&gt;"",CJ10=""),AND(CR10&gt;=CU$18,CR10&lt;&gt;"",CT10&gt;=CU$22,CT10&lt;&gt;"",CJ10=""),AND(DR10&gt;=EE$18,DR10&lt;&gt;"",DT10&gt;=EE$22,DT10&lt;&gt;""),AND(DU10&gt;=EE$18,DU10&lt;&gt;"",DW10&gt;=EE$22,DW10&lt;&gt;""),AND(DY10&gt;=EE$18,DY10&lt;&gt;"",EA10&gt;=EE$22,EA10&lt;&gt;""),AND(EB10&gt;=EE$18,EB10&lt;&gt;"",ED10&gt;=EE$22,ED10&lt;&gt;""),AND(EZ10&gt;=FM$18,EZ10&lt;&gt;"",FB10&gt;=FM$22,FB10&lt;&gt;""),AND(FC10&gt;=FM$18,FC10&lt;&gt;"",FE10&gt;=FM$22,FE10&lt;&gt;""),AND(FG10&gt;=FM$18,FG10&lt;&gt;"",FI10&gt;=FM$22,FI10&lt;&gt;""),AND(FJ10&gt;=FM$18,FJ10&lt;&gt;"",FL10&gt;=FM$22,FL10&lt;&gt;""),AND(GH10&gt;=GU$18,GH10&lt;&gt;"",GJ10&gt;=GU$22,GJ10&lt;&gt;""),AND(GK10&gt;=GU$18,GK10&lt;&gt;"",GM10&gt;=GU$22,GM10&lt;&gt;""),AND(GO10&gt;=GU$18,GO10&lt;&gt;"",GQ10&gt;=GU$22,GQ10&lt;&gt;""),AND(GR10&gt;=GU$18,GR10&lt;&gt;"",GT10&gt;=GU$22,GT10&lt;&gt;""),AND(HP10&gt;=IC$18,HP10&lt;&gt;"",HR10&gt;=IC$22,HR10&lt;&gt;""),AND(HS10&gt;=IC$18,HS10&lt;&gt;"",HU10&gt;=IC$22,HU10&lt;&gt;""),AND(HW10&gt;=IC$18,HW10&lt;&gt;"",HY10&gt;=IC$22,HY10&lt;&gt;""),AND(HZ10&gt;=IC$18,HZ10&lt;&gt;"",IB10&gt;=IC$22,IB10&lt;&gt;""),AND(IX10&gt;=JK$18,IX10&lt;&gt;"",IZ10&gt;=JK$22,IZ10&lt;&gt;""),AND(JA10&gt;=JK$18,JA10&lt;&gt;"",JC10&gt;=JK$22,JC10&lt;&gt;""),AND(JE10&gt;=JK$18,JE10&lt;&gt;"",JG10&gt;=JK$22,JG10&lt;&gt;""),AND(JH10&gt;=JK$18,JH10&lt;&gt;"",JJ10&gt;=JK$22,JJ10&lt;&gt;""),AND(KF10&gt;=KS$18,KF10&lt;&gt;"",KH10&gt;=KS$22,KH10&lt;&gt;""),AND(KI10&gt;=KS$18,KI10&lt;&gt;"",KK10&gt;=KS$22,KK10&lt;&gt;""),AND(KM10&gt;=KS$18,KM10&lt;&gt;"",KO10&gt;=KS$22,KO10&lt;&gt;""),AND(KP10&gt;=KS$18,KP10&lt;&gt;"",KR10&gt;=KS$22,KR10&lt;&gt;""),AND(LN10&gt;=MA$18,LN10&lt;&gt;"",LP10&gt;=MA$22,LP10&lt;&gt;""),AND(LQ10&gt;=MA$18,LQ10&lt;&gt;"",LS10&gt;=MA$22,LS10&lt;&gt;""),AND(LU10&gt;=MA$18,LU10&lt;&gt;"",LW10&gt;=MA$22,LW10&lt;&gt;""),AND(LX10&gt;=MA$18,LX10&lt;&gt;"",LZ10&gt;=MA$22,LZ10&lt;&gt;""),AND(MV10&gt;=NI$18,MV10&lt;&gt;"",MX10&gt;=NI$22,MX10&lt;&gt;""),AND(MY10&gt;=NI$18,MY10&lt;&gt;"",NA10&gt;=NI$22,NA10&lt;&gt;""),AND(NC10&gt;=NI$18,NC10&lt;&gt;"",NE10&gt;=NI$22,NE10&lt;&gt;""),AND(NF10&gt;=NI$18,NF10&lt;&gt;"",NH10&gt;=NI$22,NH10&lt;&gt;""),AND(OD10&gt;=OQ$18,OD10&lt;&gt;"",OF10&gt;=OQ$22,OF10&lt;&gt;""),AND(OG10&gt;=OQ$18,OG10&lt;&gt;"",OI10&gt;=OQ$22,OI10&lt;&gt;""),AND(OK10&gt;=OQ$18,OK10&lt;&gt;"",OM10&gt;=OQ$22,OM10&lt;&gt;""),AND(ON10&gt;=OQ$18,ON10&lt;&gt;"",OP10&gt;=OQ$22,OP10&lt;&gt;""),AND(PL10&gt;=PY$18,PL10&lt;&gt;"",PN10&gt;=PY$22,PN10&lt;&gt;""),AND(PO10&gt;=PY$18,PO10&lt;&gt;"",PQ10&gt;=PY$22,PQ10&lt;&gt;""),AND(PS10&gt;=PY$18,PS10&lt;&gt;"",PU10&gt;=PY$22,PU10&lt;&gt;""),AND(PV10&gt;=PY$18,PV10&lt;&gt;"",PX10&gt;=PY$22,PX10&lt;&gt;""),AND(QT10&gt;=RG$18,QT10&lt;&gt;"",QV10&gt;=RG$22,QV10&lt;&gt;""),AND(QW10&gt;=RG$18,QW10&lt;&gt;"",QY10&gt;=RG$22,QY10&lt;&gt;""),AND(RA10&gt;=RG$18,RA10&lt;&gt;"",RC10&gt;=RG$22,RC10&lt;&gt;""),AND(RD10&gt;=RG$18,RD10&lt;&gt;"",RF10&gt;=RG$22,RF10&lt;&gt;""),AND(SB10&gt;=SO$18,SB10&lt;&gt;"",SD10&gt;=SO$22,SD10&lt;&gt;""),AND(SE10&gt;=SO$18,SE10&lt;&gt;"",SG10&gt;=SO$22,SG10&lt;&gt;""),AND(SI10&gt;=SO$18,SI10&lt;&gt;"",SK10&gt;=SO$22,SK10&lt;&gt;""),AND(SL10&gt;=SO$18,SL10&lt;&gt;"",SN10&gt;=SO$22,SN10&lt;&gt;""),AND(TJ10&gt;=TW$18,TJ10&lt;&gt;"",TL10&gt;=TW$22,TL10&lt;&gt;""),AND(TM10&gt;=TW$18,TM10&lt;&gt;"",TO10&gt;=TW$22,TO10&lt;&gt;""),AND(TQ10&gt;=TW$18,TQ10&lt;&gt;"",TS10&gt;=TW$22,TXQ10&lt;&gt;""),AND(TT10&gt;=TW$18,TT10&lt;&gt;"",TV10&gt;=TW$22,TV10&lt;&gt;""),AND(UR10&gt;=VE$18,UR10&lt;&gt;"",UT10&gt;=VE$22,UT10&lt;&gt;""),AND(UU10&gt;=VE$18,UU10&lt;&gt;"",UW10&gt;=VE$22,UW10&lt;&gt;""),AND(UY10&gt;=VE$18,UY10&lt;&gt;"",VA10&gt;=VE$22,VA10&lt;&gt;""),AND(VB10&gt;=VE$18,VB10&lt;&gt;"",VD10&gt;=VE$22,VD10&lt;&gt;""),AND(VZ10&gt;=WM$18,VZ10&lt;&gt;"",WB10&gt;=WM$22,WB10&lt;&gt;""),AND(WC10&gt;=WM$18,WC10&lt;&gt;"",WE10&gt;=WM$22,WE10&lt;&gt;""),AND(WG10&gt;=WM$18,WG10&lt;&gt;"",WI10&gt;=WM$22,WI10&lt;&gt;""),AND(WJ10&gt;=WM$18,WJ10&lt;&gt;"",WL10&gt;=WM$22,WL10&lt;&gt;"")),"P","")</f>
        <v/>
      </c>
      <c r="J10" s="8">
        <f t="shared" si="1"/>
        <v>50.940000000000005</v>
      </c>
      <c r="K10" s="8" t="str">
        <f t="shared" si="2"/>
        <v>2026 Elite Canada</v>
      </c>
      <c r="L10" s="8">
        <f>IFERROR(IF(J10=AR10,LARGE((AK10,AN10,BL10,BO10,BS10,CM10,CP10,CT10),1),IF(J10=BS10,LARGE((AK10,AN10,AR10,BL10,BO10,CM10,CP10,CT10),1),LARGE((AK10,AN10,AR10,BL10,BO10,BS10,CM10,CP10),1))),0)</f>
        <v>52.379999999999995</v>
      </c>
      <c r="M10" s="8" t="str">
        <f t="shared" si="3"/>
        <v>2025 Nationals</v>
      </c>
      <c r="N10" s="8">
        <f>IFERROR(IF(J10=AR10,LARGE((AK10,AN10,BL10,BO10,BS10,CM10,CP10,CT10),2),IF(J10=BS10,LARGE((AK10,AN10,AR10,BL10,BO10,CM10,CP10,CT10),2),LARGE((AK10,AN10,AR10,BL10,BO10,BS10,CM10,CP10),2))),0)</f>
        <v>51.650000000000006</v>
      </c>
      <c r="O10" s="8" t="str">
        <f t="shared" si="4"/>
        <v>2026 Elite Canada</v>
      </c>
      <c r="P10" s="8">
        <f t="shared" si="5"/>
        <v>0.23499999999999233</v>
      </c>
      <c r="Q10" s="11" t="str">
        <f t="shared" si="6"/>
        <v>(Final)</v>
      </c>
      <c r="R10" s="8" t="str">
        <f t="shared" si="7"/>
        <v>2025 Pan Am Championships (May 18)</v>
      </c>
      <c r="S10" s="18">
        <v>15.3</v>
      </c>
      <c r="T10" s="18">
        <v>9.5</v>
      </c>
      <c r="U10" s="18">
        <v>13.6</v>
      </c>
      <c r="V10" s="18">
        <v>13.98</v>
      </c>
      <c r="W10" s="18">
        <v>0</v>
      </c>
      <c r="X10" s="18">
        <v>14.3</v>
      </c>
      <c r="Y10" s="18">
        <v>8.6999999999999993</v>
      </c>
      <c r="Z10" s="18">
        <v>13.6</v>
      </c>
      <c r="AA10" s="18">
        <v>14.21</v>
      </c>
      <c r="AB10" s="18">
        <v>0</v>
      </c>
      <c r="AC10" s="18">
        <v>14</v>
      </c>
      <c r="AD10" s="18">
        <v>8.9</v>
      </c>
      <c r="AE10" s="18">
        <v>13.6</v>
      </c>
      <c r="AF10" s="18">
        <v>13.78</v>
      </c>
      <c r="AG10" s="18">
        <v>0</v>
      </c>
      <c r="AH10" s="23"/>
      <c r="AI10" s="34">
        <f t="shared" si="8"/>
        <v>13.6</v>
      </c>
      <c r="AJ10" s="34">
        <f t="shared" si="9"/>
        <v>13.98</v>
      </c>
      <c r="AK10" s="36">
        <f t="shared" si="10"/>
        <v>52.379999999999995</v>
      </c>
      <c r="AL10" s="36">
        <f t="shared" si="11"/>
        <v>13.6</v>
      </c>
      <c r="AM10" s="36">
        <f t="shared" si="12"/>
        <v>14.21</v>
      </c>
      <c r="AN10" s="36">
        <f t="shared" si="13"/>
        <v>50.81</v>
      </c>
      <c r="AO10" s="36">
        <f t="shared" si="14"/>
        <v>52.379999999999995</v>
      </c>
      <c r="AP10" s="36">
        <f t="shared" si="15"/>
        <v>13.6</v>
      </c>
      <c r="AQ10" s="36">
        <f t="shared" si="16"/>
        <v>13.78</v>
      </c>
      <c r="AR10" s="36">
        <f t="shared" si="17"/>
        <v>50.28</v>
      </c>
      <c r="AS10" s="36">
        <f t="shared" si="18"/>
        <v>102.66</v>
      </c>
      <c r="AT10" s="22">
        <v>13.4</v>
      </c>
      <c r="AU10" s="22">
        <v>8.4</v>
      </c>
      <c r="AV10" s="22">
        <v>11.8</v>
      </c>
      <c r="AW10" s="22">
        <v>12.48</v>
      </c>
      <c r="AX10" s="22">
        <v>0</v>
      </c>
      <c r="AY10" s="22">
        <v>14.600000000000001</v>
      </c>
      <c r="AZ10" s="22">
        <v>9.0500000000000007</v>
      </c>
      <c r="BA10" s="22">
        <v>13.6</v>
      </c>
      <c r="BB10" s="22">
        <v>14</v>
      </c>
      <c r="BC10" s="22">
        <v>0</v>
      </c>
      <c r="BD10" s="22">
        <v>13.8</v>
      </c>
      <c r="BE10" s="22">
        <v>9.3000000000000007</v>
      </c>
      <c r="BF10" s="22">
        <v>13.6</v>
      </c>
      <c r="BG10" s="22">
        <v>13.684999999999999</v>
      </c>
      <c r="BH10" s="22">
        <v>0</v>
      </c>
      <c r="BI10" s="24" t="s">
        <v>42</v>
      </c>
      <c r="BJ10" s="35">
        <f t="shared" si="19"/>
        <v>11.8</v>
      </c>
      <c r="BK10" s="35">
        <f t="shared" si="20"/>
        <v>12.48</v>
      </c>
      <c r="BL10" s="11">
        <f t="shared" si="21"/>
        <v>46.08</v>
      </c>
      <c r="BM10" s="11">
        <f t="shared" si="22"/>
        <v>13.6</v>
      </c>
      <c r="BN10" s="11">
        <f t="shared" si="23"/>
        <v>14</v>
      </c>
      <c r="BO10" s="11">
        <f t="shared" si="24"/>
        <v>51.25</v>
      </c>
      <c r="BP10" s="11">
        <f t="shared" si="25"/>
        <v>51.25</v>
      </c>
      <c r="BQ10" s="11">
        <f t="shared" si="26"/>
        <v>13.6</v>
      </c>
      <c r="BR10" s="11">
        <f t="shared" si="27"/>
        <v>13.684999999999999</v>
      </c>
      <c r="BS10" s="11">
        <f t="shared" si="28"/>
        <v>50.385000000000005</v>
      </c>
      <c r="BT10" s="11">
        <f t="shared" si="29"/>
        <v>101.63500000000001</v>
      </c>
      <c r="BU10" s="18">
        <v>12.7</v>
      </c>
      <c r="BV10" s="18">
        <v>9</v>
      </c>
      <c r="BW10" s="18">
        <v>13.6</v>
      </c>
      <c r="BX10" s="18">
        <v>13.57</v>
      </c>
      <c r="BY10" s="18">
        <v>0</v>
      </c>
      <c r="BZ10" s="18">
        <v>14.9</v>
      </c>
      <c r="CA10" s="18">
        <v>9.1</v>
      </c>
      <c r="CB10" s="18">
        <v>13.6</v>
      </c>
      <c r="CC10" s="18">
        <v>14.05</v>
      </c>
      <c r="CD10" s="18">
        <v>0</v>
      </c>
      <c r="CE10" s="18">
        <v>13.5</v>
      </c>
      <c r="CF10" s="18">
        <v>9</v>
      </c>
      <c r="CG10" s="18">
        <v>14.2</v>
      </c>
      <c r="CH10" s="18">
        <v>14.24</v>
      </c>
      <c r="CI10" s="18">
        <v>0</v>
      </c>
      <c r="CJ10" s="23"/>
      <c r="CK10" s="34">
        <f t="shared" si="30"/>
        <v>13.6</v>
      </c>
      <c r="CL10" s="34">
        <f t="shared" si="31"/>
        <v>13.57</v>
      </c>
      <c r="CM10" s="36">
        <f t="shared" si="32"/>
        <v>48.87</v>
      </c>
      <c r="CN10" s="36">
        <f t="shared" si="33"/>
        <v>13.6</v>
      </c>
      <c r="CO10" s="36">
        <f t="shared" si="34"/>
        <v>14.05</v>
      </c>
      <c r="CP10" s="36">
        <f t="shared" si="35"/>
        <v>51.650000000000006</v>
      </c>
      <c r="CQ10" s="36">
        <f t="shared" si="36"/>
        <v>51.650000000000006</v>
      </c>
      <c r="CR10" s="36">
        <f t="shared" si="37"/>
        <v>14.2</v>
      </c>
      <c r="CS10" s="36">
        <f t="shared" si="38"/>
        <v>14.24</v>
      </c>
      <c r="CT10" s="36">
        <f t="shared" si="39"/>
        <v>50.940000000000005</v>
      </c>
      <c r="CU10" s="36">
        <f t="shared" si="40"/>
        <v>102.59</v>
      </c>
      <c r="CV10" s="47">
        <f t="shared" si="41"/>
        <v>0.23499999999999233</v>
      </c>
      <c r="CW10" s="47" t="str">
        <f t="shared" si="42"/>
        <v/>
      </c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36" t="str">
        <f t="shared" si="43"/>
        <v/>
      </c>
      <c r="DS10" s="36" t="str">
        <f t="shared" si="44"/>
        <v/>
      </c>
      <c r="DT10" s="36" t="str">
        <f t="shared" si="45"/>
        <v/>
      </c>
      <c r="DU10" s="36" t="str">
        <f t="shared" si="46"/>
        <v/>
      </c>
      <c r="DV10" s="36" t="str">
        <f t="shared" si="47"/>
        <v/>
      </c>
      <c r="DW10" s="36" t="str">
        <f t="shared" si="48"/>
        <v/>
      </c>
      <c r="DX10" s="36" t="str">
        <f t="shared" si="49"/>
        <v/>
      </c>
      <c r="DY10" s="36" t="str">
        <f t="shared" si="50"/>
        <v/>
      </c>
      <c r="DZ10" s="36" t="str">
        <f t="shared" si="51"/>
        <v/>
      </c>
      <c r="EA10" s="36" t="str">
        <f t="shared" si="52"/>
        <v/>
      </c>
      <c r="EB10" s="36" t="str">
        <f t="shared" si="53"/>
        <v/>
      </c>
      <c r="EC10" s="36" t="str">
        <f t="shared" si="54"/>
        <v/>
      </c>
      <c r="ED10" s="36" t="str">
        <f t="shared" si="55"/>
        <v/>
      </c>
      <c r="EE10" s="36" t="str">
        <f t="shared" si="56"/>
        <v/>
      </c>
      <c r="EF10" s="16">
        <v>13.8</v>
      </c>
      <c r="EG10" s="16">
        <v>9.1</v>
      </c>
      <c r="EH10" s="16">
        <v>13.6</v>
      </c>
      <c r="EI10" s="16">
        <v>14.074999999999999</v>
      </c>
      <c r="EJ10" s="16">
        <v>0</v>
      </c>
      <c r="EK10" s="16">
        <v>14.4</v>
      </c>
      <c r="EL10" s="16">
        <v>9.4</v>
      </c>
      <c r="EM10" s="16">
        <v>13.6</v>
      </c>
      <c r="EN10" s="16">
        <v>14.185</v>
      </c>
      <c r="EO10" s="16">
        <v>0</v>
      </c>
      <c r="EP10" s="16"/>
      <c r="EQ10" s="16"/>
      <c r="ER10" s="16"/>
      <c r="ES10" s="16"/>
      <c r="ET10" s="16"/>
      <c r="EU10" s="16">
        <v>13.6</v>
      </c>
      <c r="EV10" s="16">
        <v>9.4</v>
      </c>
      <c r="EW10" s="16">
        <v>13.6</v>
      </c>
      <c r="EX10" s="16">
        <v>14.574999999999999</v>
      </c>
      <c r="EY10" s="16">
        <v>0</v>
      </c>
      <c r="EZ10" s="11">
        <f t="shared" si="57"/>
        <v>13.6</v>
      </c>
      <c r="FA10" s="11">
        <f t="shared" si="58"/>
        <v>14.074999999999999</v>
      </c>
      <c r="FB10" s="11">
        <f t="shared" si="59"/>
        <v>50.575000000000003</v>
      </c>
      <c r="FC10" s="11">
        <f t="shared" si="60"/>
        <v>13.6</v>
      </c>
      <c r="FD10" s="11">
        <f t="shared" si="61"/>
        <v>14.185</v>
      </c>
      <c r="FE10" s="11">
        <f t="shared" si="62"/>
        <v>51.585000000000001</v>
      </c>
      <c r="FF10" s="11">
        <f t="shared" si="63"/>
        <v>51.585000000000001</v>
      </c>
      <c r="FG10" s="11" t="str">
        <f t="shared" si="64"/>
        <v/>
      </c>
      <c r="FH10" s="11" t="str">
        <f t="shared" si="65"/>
        <v/>
      </c>
      <c r="FI10" s="11" t="str">
        <f t="shared" si="66"/>
        <v/>
      </c>
      <c r="FJ10" s="11">
        <f t="shared" si="67"/>
        <v>13.6</v>
      </c>
      <c r="FK10" s="11">
        <f t="shared" si="68"/>
        <v>14.574999999999999</v>
      </c>
      <c r="FL10" s="11">
        <f t="shared" si="69"/>
        <v>51.174999999999997</v>
      </c>
      <c r="FM10" s="11">
        <f t="shared" si="70"/>
        <v>102.75999999999999</v>
      </c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36" t="str">
        <f t="shared" si="71"/>
        <v/>
      </c>
      <c r="GI10" s="36" t="str">
        <f t="shared" si="72"/>
        <v/>
      </c>
      <c r="GJ10" s="36" t="str">
        <f t="shared" si="73"/>
        <v/>
      </c>
      <c r="GK10" s="36" t="str">
        <f t="shared" si="74"/>
        <v/>
      </c>
      <c r="GL10" s="36" t="str">
        <f t="shared" si="75"/>
        <v/>
      </c>
      <c r="GM10" s="36" t="str">
        <f t="shared" si="76"/>
        <v/>
      </c>
      <c r="GN10" s="36" t="str">
        <f t="shared" si="77"/>
        <v/>
      </c>
      <c r="GO10" s="36" t="str">
        <f t="shared" si="78"/>
        <v/>
      </c>
      <c r="GP10" s="36" t="str">
        <f t="shared" si="79"/>
        <v/>
      </c>
      <c r="GQ10" s="36" t="str">
        <f t="shared" si="80"/>
        <v/>
      </c>
      <c r="GR10" s="36" t="str">
        <f t="shared" si="81"/>
        <v/>
      </c>
      <c r="GS10" s="36" t="str">
        <f t="shared" si="82"/>
        <v/>
      </c>
      <c r="GT10" s="36" t="str">
        <f t="shared" si="83"/>
        <v/>
      </c>
      <c r="GU10" s="36" t="str">
        <f t="shared" si="84"/>
        <v/>
      </c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1" t="str">
        <f t="shared" si="85"/>
        <v/>
      </c>
      <c r="HQ10" s="11" t="str">
        <f t="shared" si="86"/>
        <v/>
      </c>
      <c r="HR10" s="11" t="str">
        <f t="shared" si="87"/>
        <v/>
      </c>
      <c r="HS10" s="11" t="str">
        <f t="shared" si="88"/>
        <v/>
      </c>
      <c r="HT10" s="11" t="str">
        <f t="shared" si="89"/>
        <v/>
      </c>
      <c r="HU10" s="11" t="str">
        <f t="shared" si="90"/>
        <v/>
      </c>
      <c r="HV10" s="11" t="str">
        <f t="shared" si="91"/>
        <v/>
      </c>
      <c r="HW10" s="11" t="str">
        <f t="shared" si="92"/>
        <v/>
      </c>
      <c r="HX10" s="11" t="str">
        <f t="shared" si="93"/>
        <v/>
      </c>
      <c r="HY10" s="11" t="str">
        <f t="shared" si="94"/>
        <v/>
      </c>
      <c r="HZ10" s="11" t="str">
        <f t="shared" si="95"/>
        <v/>
      </c>
      <c r="IA10" s="11" t="str">
        <f t="shared" si="96"/>
        <v/>
      </c>
      <c r="IB10" s="11" t="str">
        <f t="shared" si="97"/>
        <v/>
      </c>
      <c r="IC10" s="11" t="str">
        <f t="shared" si="98"/>
        <v/>
      </c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36" t="str">
        <f t="shared" si="99"/>
        <v/>
      </c>
      <c r="IY10" s="36" t="str">
        <f t="shared" si="100"/>
        <v/>
      </c>
      <c r="IZ10" s="36" t="str">
        <f t="shared" si="101"/>
        <v/>
      </c>
      <c r="JA10" s="36" t="str">
        <f t="shared" si="102"/>
        <v/>
      </c>
      <c r="JB10" s="36" t="str">
        <f t="shared" si="103"/>
        <v/>
      </c>
      <c r="JC10" s="36" t="str">
        <f t="shared" si="104"/>
        <v/>
      </c>
      <c r="JD10" s="36" t="str">
        <f t="shared" si="105"/>
        <v/>
      </c>
      <c r="JE10" s="36" t="str">
        <f t="shared" si="106"/>
        <v/>
      </c>
      <c r="JF10" s="36" t="str">
        <f t="shared" si="107"/>
        <v/>
      </c>
      <c r="JG10" s="36" t="str">
        <f t="shared" si="108"/>
        <v/>
      </c>
      <c r="JH10" s="36" t="str">
        <f t="shared" si="109"/>
        <v/>
      </c>
      <c r="JI10" s="36" t="str">
        <f t="shared" si="110"/>
        <v/>
      </c>
      <c r="JJ10" s="36" t="str">
        <f t="shared" si="111"/>
        <v/>
      </c>
      <c r="JK10" s="36" t="str">
        <f t="shared" si="112"/>
        <v/>
      </c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1" t="str">
        <f t="shared" si="113"/>
        <v/>
      </c>
      <c r="KG10" s="11" t="str">
        <f t="shared" si="114"/>
        <v/>
      </c>
      <c r="KH10" s="11" t="str">
        <f t="shared" si="115"/>
        <v/>
      </c>
      <c r="KI10" s="11" t="str">
        <f t="shared" si="116"/>
        <v/>
      </c>
      <c r="KJ10" s="11" t="str">
        <f t="shared" si="117"/>
        <v/>
      </c>
      <c r="KK10" s="11" t="str">
        <f t="shared" si="118"/>
        <v/>
      </c>
      <c r="KL10" s="11" t="str">
        <f t="shared" si="119"/>
        <v/>
      </c>
      <c r="KM10" s="11" t="str">
        <f t="shared" si="120"/>
        <v/>
      </c>
      <c r="KN10" s="11" t="str">
        <f t="shared" si="121"/>
        <v/>
      </c>
      <c r="KO10" s="11" t="str">
        <f t="shared" si="122"/>
        <v/>
      </c>
      <c r="KP10" s="11" t="str">
        <f t="shared" si="123"/>
        <v/>
      </c>
      <c r="KQ10" s="11" t="str">
        <f t="shared" si="124"/>
        <v/>
      </c>
      <c r="KR10" s="11" t="str">
        <f t="shared" si="125"/>
        <v/>
      </c>
      <c r="KS10" s="11" t="str">
        <f t="shared" si="126"/>
        <v/>
      </c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36" t="str">
        <f t="shared" si="127"/>
        <v/>
      </c>
      <c r="LO10" s="36" t="str">
        <f t="shared" si="128"/>
        <v/>
      </c>
      <c r="LP10" s="36" t="str">
        <f t="shared" si="129"/>
        <v/>
      </c>
      <c r="LQ10" s="36" t="str">
        <f t="shared" si="130"/>
        <v/>
      </c>
      <c r="LR10" s="36" t="str">
        <f t="shared" si="131"/>
        <v/>
      </c>
      <c r="LS10" s="36" t="str">
        <f t="shared" si="132"/>
        <v/>
      </c>
      <c r="LT10" s="36" t="str">
        <f t="shared" si="133"/>
        <v/>
      </c>
      <c r="LU10" s="36" t="str">
        <f t="shared" si="134"/>
        <v/>
      </c>
      <c r="LV10" s="36" t="str">
        <f t="shared" si="135"/>
        <v/>
      </c>
      <c r="LW10" s="36" t="str">
        <f t="shared" si="136"/>
        <v/>
      </c>
      <c r="LX10" s="36" t="str">
        <f t="shared" si="137"/>
        <v/>
      </c>
      <c r="LY10" s="36" t="str">
        <f t="shared" si="138"/>
        <v/>
      </c>
      <c r="LZ10" s="36" t="str">
        <f t="shared" si="139"/>
        <v/>
      </c>
      <c r="MA10" s="36" t="str">
        <f t="shared" si="140"/>
        <v/>
      </c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1" t="str">
        <f t="shared" si="141"/>
        <v/>
      </c>
      <c r="MW10" s="11" t="str">
        <f t="shared" si="142"/>
        <v/>
      </c>
      <c r="MX10" s="11" t="str">
        <f t="shared" si="143"/>
        <v/>
      </c>
      <c r="MY10" s="11" t="str">
        <f t="shared" si="144"/>
        <v/>
      </c>
      <c r="MZ10" s="11" t="str">
        <f t="shared" si="145"/>
        <v/>
      </c>
      <c r="NA10" s="11" t="str">
        <f t="shared" si="146"/>
        <v/>
      </c>
      <c r="NB10" s="11" t="str">
        <f t="shared" si="147"/>
        <v/>
      </c>
      <c r="NC10" s="11" t="str">
        <f t="shared" si="148"/>
        <v/>
      </c>
      <c r="ND10" s="11" t="str">
        <f t="shared" si="149"/>
        <v/>
      </c>
      <c r="NE10" s="11" t="str">
        <f t="shared" si="150"/>
        <v/>
      </c>
      <c r="NF10" s="11" t="str">
        <f t="shared" si="151"/>
        <v/>
      </c>
      <c r="NG10" s="11" t="str">
        <f t="shared" si="152"/>
        <v/>
      </c>
      <c r="NH10" s="11" t="str">
        <f t="shared" si="153"/>
        <v/>
      </c>
      <c r="NI10" s="11" t="str">
        <f t="shared" si="154"/>
        <v/>
      </c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36" t="str">
        <f t="shared" si="155"/>
        <v/>
      </c>
      <c r="OE10" s="36" t="str">
        <f t="shared" si="156"/>
        <v/>
      </c>
      <c r="OF10" s="36" t="str">
        <f t="shared" si="157"/>
        <v/>
      </c>
      <c r="OG10" s="36" t="str">
        <f t="shared" si="158"/>
        <v/>
      </c>
      <c r="OH10" s="36" t="str">
        <f t="shared" si="159"/>
        <v/>
      </c>
      <c r="OI10" s="36" t="str">
        <f t="shared" si="160"/>
        <v/>
      </c>
      <c r="OJ10" s="36" t="str">
        <f t="shared" si="161"/>
        <v/>
      </c>
      <c r="OK10" s="36" t="str">
        <f t="shared" si="162"/>
        <v/>
      </c>
      <c r="OL10" s="36" t="str">
        <f t="shared" si="163"/>
        <v/>
      </c>
      <c r="OM10" s="36" t="str">
        <f t="shared" si="164"/>
        <v/>
      </c>
      <c r="ON10" s="36" t="str">
        <f t="shared" si="165"/>
        <v/>
      </c>
      <c r="OO10" s="36" t="str">
        <f t="shared" si="166"/>
        <v/>
      </c>
      <c r="OP10" s="36" t="str">
        <f t="shared" si="167"/>
        <v/>
      </c>
      <c r="OQ10" s="36" t="str">
        <f t="shared" si="168"/>
        <v/>
      </c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1" t="str">
        <f t="shared" si="169"/>
        <v/>
      </c>
      <c r="PM10" s="11" t="str">
        <f t="shared" si="170"/>
        <v/>
      </c>
      <c r="PN10" s="11" t="str">
        <f t="shared" si="171"/>
        <v/>
      </c>
      <c r="PO10" s="11" t="str">
        <f t="shared" si="172"/>
        <v/>
      </c>
      <c r="PP10" s="11" t="str">
        <f t="shared" si="173"/>
        <v/>
      </c>
      <c r="PQ10" s="11" t="str">
        <f t="shared" si="174"/>
        <v/>
      </c>
      <c r="PR10" s="11" t="str">
        <f t="shared" si="175"/>
        <v/>
      </c>
      <c r="PS10" s="11" t="str">
        <f t="shared" si="176"/>
        <v/>
      </c>
      <c r="PT10" s="11" t="str">
        <f t="shared" si="177"/>
        <v/>
      </c>
      <c r="PU10" s="11" t="str">
        <f t="shared" si="178"/>
        <v/>
      </c>
      <c r="PV10" s="11" t="str">
        <f t="shared" si="179"/>
        <v/>
      </c>
      <c r="PW10" s="11" t="str">
        <f t="shared" si="180"/>
        <v/>
      </c>
      <c r="PX10" s="11" t="str">
        <f t="shared" si="181"/>
        <v/>
      </c>
      <c r="PY10" s="11" t="str">
        <f t="shared" si="182"/>
        <v/>
      </c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36" t="str">
        <f t="shared" si="183"/>
        <v/>
      </c>
      <c r="QU10" s="36" t="str">
        <f t="shared" si="184"/>
        <v/>
      </c>
      <c r="QV10" s="36" t="str">
        <f t="shared" si="185"/>
        <v/>
      </c>
      <c r="QW10" s="36" t="str">
        <f t="shared" si="186"/>
        <v/>
      </c>
      <c r="QX10" s="36" t="str">
        <f t="shared" si="187"/>
        <v/>
      </c>
      <c r="QY10" s="36" t="str">
        <f t="shared" si="188"/>
        <v/>
      </c>
      <c r="QZ10" s="36" t="str">
        <f t="shared" si="189"/>
        <v/>
      </c>
      <c r="RA10" s="36" t="str">
        <f t="shared" si="190"/>
        <v/>
      </c>
      <c r="RB10" s="36" t="str">
        <f t="shared" si="191"/>
        <v/>
      </c>
      <c r="RC10" s="36" t="str">
        <f t="shared" si="192"/>
        <v/>
      </c>
      <c r="RD10" s="36" t="str">
        <f t="shared" si="193"/>
        <v/>
      </c>
      <c r="RE10" s="36" t="str">
        <f t="shared" si="194"/>
        <v/>
      </c>
      <c r="RF10" s="36" t="str">
        <f t="shared" si="195"/>
        <v/>
      </c>
      <c r="RG10" s="36" t="str">
        <f t="shared" si="196"/>
        <v/>
      </c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1" t="str">
        <f t="shared" si="197"/>
        <v/>
      </c>
      <c r="SC10" s="11" t="str">
        <f t="shared" si="198"/>
        <v/>
      </c>
      <c r="SD10" s="11" t="str">
        <f t="shared" si="199"/>
        <v/>
      </c>
      <c r="SE10" s="11" t="str">
        <f t="shared" si="200"/>
        <v/>
      </c>
      <c r="SF10" s="11" t="str">
        <f t="shared" si="201"/>
        <v/>
      </c>
      <c r="SG10" s="11" t="str">
        <f t="shared" si="202"/>
        <v/>
      </c>
      <c r="SH10" s="11" t="str">
        <f t="shared" si="203"/>
        <v/>
      </c>
      <c r="SI10" s="11" t="str">
        <f t="shared" si="204"/>
        <v/>
      </c>
      <c r="SJ10" s="11" t="str">
        <f t="shared" si="205"/>
        <v/>
      </c>
      <c r="SK10" s="11" t="str">
        <f t="shared" si="206"/>
        <v/>
      </c>
      <c r="SL10" s="11" t="str">
        <f t="shared" si="207"/>
        <v/>
      </c>
      <c r="SM10" s="11" t="str">
        <f t="shared" si="208"/>
        <v/>
      </c>
      <c r="SN10" s="11" t="str">
        <f t="shared" si="209"/>
        <v/>
      </c>
      <c r="SO10" s="11" t="str">
        <f t="shared" si="210"/>
        <v/>
      </c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36" t="str">
        <f t="shared" si="211"/>
        <v/>
      </c>
      <c r="TK10" s="36" t="str">
        <f t="shared" si="212"/>
        <v/>
      </c>
      <c r="TL10" s="36" t="str">
        <f t="shared" si="213"/>
        <v/>
      </c>
      <c r="TM10" s="36" t="str">
        <f t="shared" si="214"/>
        <v/>
      </c>
      <c r="TN10" s="36" t="str">
        <f t="shared" si="215"/>
        <v/>
      </c>
      <c r="TO10" s="36" t="str">
        <f t="shared" si="216"/>
        <v/>
      </c>
      <c r="TP10" s="36" t="str">
        <f t="shared" si="217"/>
        <v/>
      </c>
      <c r="TQ10" s="36" t="str">
        <f t="shared" si="218"/>
        <v/>
      </c>
      <c r="TR10" s="36" t="str">
        <f t="shared" si="219"/>
        <v/>
      </c>
      <c r="TS10" s="36" t="str">
        <f t="shared" si="220"/>
        <v/>
      </c>
      <c r="TT10" s="36" t="str">
        <f t="shared" si="221"/>
        <v/>
      </c>
      <c r="TU10" s="36" t="str">
        <f t="shared" si="222"/>
        <v/>
      </c>
      <c r="TV10" s="36" t="str">
        <f t="shared" si="223"/>
        <v/>
      </c>
      <c r="TW10" s="36" t="str">
        <f t="shared" si="224"/>
        <v/>
      </c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1" t="str">
        <f t="shared" si="225"/>
        <v/>
      </c>
      <c r="US10" s="11" t="str">
        <f t="shared" si="226"/>
        <v/>
      </c>
      <c r="UT10" s="11" t="str">
        <f t="shared" si="227"/>
        <v/>
      </c>
      <c r="UU10" s="11" t="str">
        <f t="shared" si="228"/>
        <v/>
      </c>
      <c r="UV10" s="11" t="str">
        <f t="shared" si="229"/>
        <v/>
      </c>
      <c r="UW10" s="11" t="str">
        <f t="shared" si="230"/>
        <v/>
      </c>
      <c r="UX10" s="11" t="str">
        <f t="shared" si="231"/>
        <v/>
      </c>
      <c r="UY10" s="11" t="str">
        <f t="shared" si="232"/>
        <v/>
      </c>
      <c r="UZ10" s="11" t="str">
        <f t="shared" si="233"/>
        <v/>
      </c>
      <c r="VA10" s="11" t="str">
        <f t="shared" si="234"/>
        <v/>
      </c>
      <c r="VB10" s="11" t="str">
        <f t="shared" si="235"/>
        <v/>
      </c>
      <c r="VC10" s="11" t="str">
        <f t="shared" si="236"/>
        <v/>
      </c>
      <c r="VD10" s="11" t="str">
        <f t="shared" si="237"/>
        <v/>
      </c>
      <c r="VE10" s="11" t="str">
        <f t="shared" si="238"/>
        <v/>
      </c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36" t="str">
        <f t="shared" si="239"/>
        <v/>
      </c>
      <c r="WA10" s="36" t="str">
        <f t="shared" si="240"/>
        <v/>
      </c>
      <c r="WB10" s="36" t="str">
        <f t="shared" si="241"/>
        <v/>
      </c>
      <c r="WC10" s="36" t="str">
        <f t="shared" si="242"/>
        <v/>
      </c>
      <c r="WD10" s="36" t="str">
        <f t="shared" si="243"/>
        <v/>
      </c>
      <c r="WE10" s="36" t="str">
        <f t="shared" si="244"/>
        <v/>
      </c>
      <c r="WF10" s="36" t="str">
        <f t="shared" si="245"/>
        <v/>
      </c>
      <c r="WG10" s="36" t="str">
        <f t="shared" si="246"/>
        <v/>
      </c>
      <c r="WH10" s="36" t="str">
        <f t="shared" si="247"/>
        <v/>
      </c>
      <c r="WI10" s="36" t="str">
        <f t="shared" si="248"/>
        <v/>
      </c>
      <c r="WJ10" s="36" t="str">
        <f t="shared" si="249"/>
        <v/>
      </c>
      <c r="WK10" s="36" t="str">
        <f t="shared" si="250"/>
        <v/>
      </c>
      <c r="WL10" s="36" t="str">
        <f t="shared" si="251"/>
        <v/>
      </c>
      <c r="WM10" s="36" t="str">
        <f t="shared" si="252"/>
        <v/>
      </c>
    </row>
    <row r="11" spans="1:611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85</v>
      </c>
      <c r="C11" s="4" t="s">
        <v>3</v>
      </c>
      <c r="D11" s="4">
        <v>2006</v>
      </c>
      <c r="E11" s="9">
        <f t="shared" si="0"/>
        <v>151.64001516400518</v>
      </c>
      <c r="F11" s="3" t="str">
        <f>IF(OR(AND(AI11&gt;=AS$17,AI11&lt;&gt;"",AK11&gt;=AS$21,AK11&lt;&gt;"",AH11=""),AND(AL11&gt;=AS$17,AL11&lt;&gt;"",AN11&gt;=AS$21,AN11&lt;&gt;"",AH11=""),AND(AP11&gt;=AS$17,AP11&lt;&gt;"",AR11&gt;=AS$21,AR11&lt;&gt;"",AH11=""),AND(BJ11&gt;=BT$17,BJ11&lt;&gt;"",BL11&gt;=BT$21,BL11&lt;&gt;"",BI11=""),AND(BM11&gt;=BT$17,BM11&lt;&gt;"",BO11&gt;=BT$21,BO11&lt;&gt;"",BI11=""),AND(BQ11&gt;=BT$17,BQ11&lt;&gt;"",BS11&gt;=BT$21,BS11&lt;&gt;"",BI11=""),AND(CK11&gt;=CU$17,CK11&lt;&gt;"",CM11&gt;=CU$21,CM11&lt;&gt;"",CJ11=""),AND(CN11&gt;=CU$17,CN11&lt;&gt;"",CP11&gt;=CU$21,CP11&lt;&gt;"",CJ11=""),AND(CR11&gt;=CU$17,CR11&lt;&gt;"",CT11&gt;=CU$21,CT11&lt;&gt;"",CJ11=""),AND(DR11&gt;=EE$17,DR11&lt;&gt;"",DT11&gt;=EE$21,DT11&lt;&gt;""),AND(DU11&gt;=EE$17,DU11&lt;&gt;"",DW11&gt;=EE$21,DW11&lt;&gt;""),AND(DY11&gt;=EE$17,DY11&lt;&gt;"",EA11&gt;=EE$21,EA11&lt;&gt;""),AND(EB11&gt;=EE$17,EB11&lt;&gt;"",ED11&gt;=EE$21,ED11&lt;&gt;""),AND(EZ11&gt;=FM$17,EZ11&lt;&gt;"",FB11&gt;=FM$21,FB11&lt;&gt;""),AND(FC11&gt;=FM$17,FC11&lt;&gt;"",FE11&gt;=FM$21,FE11&lt;&gt;""),AND(FG11&gt;=FM$17,FG11&lt;&gt;"",FI11&gt;=FM$21,FI11&lt;&gt;""),AND(FJ11&gt;=FM$17,FJ11&lt;&gt;"",FL11&gt;=FM$21,FL11&lt;&gt;""),AND(GH11&gt;=GU$17,GH11&lt;&gt;"",GJ11&gt;=GU$21,GJ11&lt;&gt;""),AND(GK11&gt;=GU$17,GK11&lt;&gt;"",GM11&gt;=GU$21,GM11&lt;&gt;""),AND(GO11&gt;=GU$17,GO11&lt;&gt;"",GQ11&gt;=GU$21,GQ11&lt;&gt;""),AND(GR11&gt;=GU$17,GR11&lt;&gt;"",GT11&gt;=GU$21,GT11&lt;&gt;""),AND(HP11&gt;=IC$17,HP11&lt;&gt;"",HR11&gt;=IC$21,HR11&lt;&gt;""),AND(HS11&gt;=IC$17,HS11&lt;&gt;"",HU11&gt;=IC$21,HU11&lt;&gt;""),AND(HW11&gt;=IC$17,HW11&lt;&gt;"",HY11&gt;=IC$21,HY11&lt;&gt;""),AND(HZ11&gt;=IC$17,HZ11&lt;&gt;"",IB11&gt;=IC$21,IB11&lt;&gt;""),AND(IX11&gt;=JK$17,IX11&lt;&gt;"",IZ11&gt;=JK$21,IZ11&lt;&gt;""),AND(JA11&gt;=JK$17,JA11&lt;&gt;"",JC11&gt;=JK$21,JC11&lt;&gt;""),AND(JE11&gt;=JK$17,JE11&lt;&gt;"",JG11&gt;=JK$21,JG11&lt;&gt;""),AND(JH11&gt;=JK$17,JH11&lt;&gt;"",JJ11&gt;=JK$21,JJ11&lt;&gt;""),AND(KF11&gt;=KS$17,KF11&lt;&gt;"",KH11&gt;=KS$21,KH11&lt;&gt;""),AND(KI11&gt;=KS$17,KI11&lt;&gt;"",KK11&gt;=KS$21,KK11&lt;&gt;""),AND(KM11&gt;=KS$17,KM11&lt;&gt;"",KO11&gt;=KS$21,KO11&lt;&gt;""),AND(KP11&gt;=KS$17,KP11&lt;&gt;"",KR11&gt;=KS$21,KR11&lt;&gt;""),AND(LN11&gt;=MA$17,LN11&lt;&gt;"",LP11&gt;=MA$21,LP11&lt;&gt;""),AND(LQ11&gt;=MA$17,LQ11&lt;&gt;"",LS11&gt;=MA$21,LS11&lt;&gt;""),AND(LU11&gt;=MA$17,LU11&lt;&gt;"",LW11&gt;=MA$21,LW11&lt;&gt;""),AND(LX11&gt;=MA$17,LX11&lt;&gt;"",LZ11&gt;=MA$21,LZ11&lt;&gt;""),AND(MV11&gt;=NI$17,MV11&lt;&gt;"",MX11&gt;=NI$21,MX11&lt;&gt;""),AND(MY11&gt;=NI$17,MY11&lt;&gt;"",NA11&gt;=NI$21,NA11&lt;&gt;""),AND(NC11&gt;=NI$17,NC11&lt;&gt;"",NE11&gt;=NI$21,NE11&lt;&gt;""),AND(NF11&gt;=NI$17,NF11&lt;&gt;"",NH11&gt;=NI$21,NH11&lt;&gt;""),AND(OD11&gt;=OQ$17,OD11&lt;&gt;"",OF11&gt;=OQ$21,OF11&lt;&gt;""),AND(OG11&gt;=OQ$17,OG11&lt;&gt;"",OI11&gt;=OQ$21,OI11&lt;&gt;""),AND(OK11&gt;=OQ$17,OK11&lt;&gt;"",OM11&gt;=OQ$21,OM11&lt;&gt;""),AND(ON11&gt;=OQ$17,ON11&lt;&gt;"",OP11&gt;=OQ$21,OP11&lt;&gt;""),AND(PL11&gt;=PY$17,PL11&lt;&gt;"",PN11&gt;=PY$21,PN11&lt;&gt;""),AND(PO11&gt;=PY$17,PO11&lt;&gt;"",PQ11&gt;=PY$21,PQ11&lt;&gt;""),AND(PS11&gt;=PY$17,PS11&lt;&gt;"",PU11&gt;=PY$21,PU11&lt;&gt;""),AND(PV11&gt;=PY$17,PV11&lt;&gt;"",PX11&gt;=PY$21,PX11&lt;&gt;""),AND(QT11&gt;=RG$17,QT11&lt;&gt;"",QV11&gt;=RG$21,QV11&lt;&gt;""),AND(QW11&gt;=RG$17,QW11&lt;&gt;"",QY11&gt;=RG$21,QY11&lt;&gt;""),AND(RA11&gt;=RG$17,RA11&lt;&gt;"",RC11&gt;=RG$21,RC11&lt;&gt;""),AND(RD11&gt;=RG$17,RD11&lt;&gt;"",RF11&gt;=RG$21,RF11&lt;&gt;""),AND(SB11&gt;=SO$17,SB11&lt;&gt;"",SD11&gt;=SO$21,SD11&lt;&gt;""),AND(SE11&gt;=SO$17,SE11&lt;&gt;"",SG11&gt;=SO$21,SG11&lt;&gt;""),AND(SI11&gt;=SO$17,SI11&lt;&gt;"",SK11&gt;=SO$21,SK11&lt;&gt;""),AND(SL11&gt;=SO$17,SL11&lt;&gt;"",SN11&gt;=SO$21,SN11&lt;&gt;""),AND(TJ11&gt;=TW$17,TJ11&lt;&gt;"",TL11&gt;=TW$21,TL11&lt;&gt;""),AND(TM11&gt;=TW$17,TM11&lt;&gt;"",TO11&gt;=TW$21,TO11&lt;&gt;""),AND(TQ11&gt;=TW$17,TQ11&lt;&gt;"",TS11&gt;=TW$21,TXQ11&lt;&gt;""),AND(TT11&gt;=TW$17,TT11&lt;&gt;"",TV11&gt;=TW$21,TV11&lt;&gt;""),AND(UR11&gt;=VE$17,UR11&lt;&gt;"",UT11&gt;=VE$21,UT11&lt;&gt;""),AND(UU11&gt;=VE$17,UU11&lt;&gt;"",UW11&gt;=VE$21,UW11&lt;&gt;""),AND(UY11&gt;=VE$17,UY11&lt;&gt;"",VA11&gt;=VE$21,VA11&lt;&gt;""),AND(VB11&gt;=VE$17,VB11&lt;&gt;"",VD11&gt;=VE$21,VD11&lt;&gt;""),AND(VZ11&gt;=WM$17,VZ11&lt;&gt;"",WB11&gt;=WM$21,WB11&lt;&gt;""),AND(WC11&gt;=WM$17,WC11&lt;&gt;"",WE11&gt;=WM$21,WE11&lt;&gt;""),AND(WG11&gt;=WM$17,WG11&lt;&gt;"",WI11&gt;=WM$21,WI11&lt;&gt;""),AND(WJ11&gt;=WM$17,WJ11&lt;&gt;"",WL11&gt;=WM$21,WL11&lt;&gt;"")),"P","")</f>
        <v>P</v>
      </c>
      <c r="G11" s="3" t="str">
        <f>IF(OR(AND(AK11&gt;=AS$21,AK11&lt;&gt;"",AH11=""),AND(AN11&gt;=AS$21,AN11&lt;&gt;"",AH11=""),AND(AR11&gt;=AS$21,AR11&lt;&gt;"",AH11=""),AND(BL11&gt;=BT$21,BL11&lt;&gt;"",BI11=""),AND(BO11&gt;=BT$21,BO11&lt;&gt;"",BI11=""),AND(BS11&gt;=BT$21,BS11&lt;&gt;"",BI11=""),AND(CM11&gt;=CU$21,CM11&lt;&gt;"",CJ11=""),AND(CP11&gt;=CU$21,CP11&lt;&gt;"",CJ11=""),AND(CT11&gt;=CU$21,CT11&lt;&gt;"",CJ11=""),AND(DT11&gt;=EE$21,DT11&lt;&gt;""),AND(DW11&gt;=EE$21,DW11&lt;&gt;""),AND(EA11&gt;=EE$21,EA11&lt;&gt;""),AND(ED11&gt;=EE$21,ED11&lt;&gt;""),AND(FB11&gt;=FM$21,FB11&lt;&gt;""),AND(FE11&gt;=FM$21,FE11&lt;&gt;""),AND(FI11&gt;=FM$21,FI11&lt;&gt;""),AND(FL11&gt;=FM$21,FL11&lt;&gt;""),AND(GJ11&gt;=GU$21,GJ11&lt;&gt;""),AND(GM11&gt;=GU$21,GM11&lt;&gt;""),AND(GQ11&gt;=GU$21,GQ11&lt;&gt;""),AND(GT11&gt;=GU$21,GT11&lt;&gt;""),AND(HR11&gt;=IC$21,HR11&lt;&gt;""),AND(HU11&gt;=IC$21,HU11&lt;&gt;""),AND(HY11&gt;=IC$21,HY11&lt;&gt;""),AND(IB11&gt;=IC$21,IB11&lt;&gt;""),AND(IZ11&gt;=JK$21,IZ11&lt;&gt;""),AND(JC11&gt;=JK$21,JC11&lt;&gt;""),AND(JG11&gt;=JK$21,JG11&lt;&gt;""),AND(JJ11&gt;=JK$21,JJ11&lt;&gt;""),AND(KH11&gt;=KS$21,KH11&lt;&gt;""),AND(KK11&gt;=KS$21,KK11&lt;&gt;""),AND(KO11&gt;=KS$21,KO11&lt;&gt;""),AND(KR11&gt;=KS$21,KR11&lt;&gt;""),AND(LP11&gt;=MA$21,LP11&lt;&gt;""),AND(LS11&gt;=MA$21,LS11&lt;&gt;""),AND(LW11&gt;=MA$21,LW11&lt;&gt;""),AND(LZ11&gt;=MA$21,LZ11&lt;&gt;""),AND(MX11&gt;=NI$21,MX11&lt;&gt;""),AND(NA11&gt;=NI$21,NA11&lt;&gt;""),AND(NE11&gt;=NI$21,NE11&lt;&gt;""),AND(NH11&gt;=NI$21,NH11&lt;&gt;""),AND(OF11&gt;=OQ$21,OF11&lt;&gt;""),AND(OI11&gt;=OQ$21,OI11&lt;&gt;""),AND(OM11&gt;=OQ$21,OM11&lt;&gt;""),AND(OP11&gt;=OQ$21,OP11&lt;&gt;""),AND(PN11&gt;=PY$21,PN11&lt;&gt;""),AND(PQ11&gt;=PY$21,PQ11&lt;&gt;""),AND(PU11&gt;=PY$21,PU11&lt;&gt;""),AND(PX11&gt;=PY$21,PX11&lt;&gt;""),AND(QV11&gt;=RG$21,QV11&lt;&gt;""),AND(QY11&gt;=RG$21,QY11&lt;&gt;""),AND(RC11&gt;=RG$21,RC11&lt;&gt;""),AND(RF11&gt;=RG$21,RF11&lt;&gt;""),AND(SD11&gt;=SO$21,SD11&lt;&gt;""),AND(SG11&gt;=SO$21,SG11&lt;&gt;""),AND(SK11&gt;=SO$21,SK11&lt;&gt;""),AND(SN11&gt;=SO$21,SN11&lt;&gt;""),AND(TL11&gt;=TW$21,TL11&lt;&gt;""),AND(TO11&gt;=TW$21,TO11&lt;&gt;""),AND(TS11&gt;=TW$21,TXQ11&lt;&gt;""),AND(TV11&gt;=TW$21,TV11&lt;&gt;""),AND(UT11&gt;=VE$21,UT11&lt;&gt;""),AND(UW11&gt;=VE$21,UW11&lt;&gt;""),AND(VA11&gt;=VE$21,VA11&lt;&gt;""),AND(VD11&gt;=VE$21,VD11&lt;&gt;""),AND(WB11&gt;=WM$21,WB11&lt;&gt;""),AND(WE11&gt;=WM$21,WE11&lt;&gt;""),AND(WI11&gt;=WM$21,WI11&lt;&gt;""),AND(WL11&gt;=WM$21,WL11&lt;&gt;"")),"P","")</f>
        <v>P</v>
      </c>
      <c r="H11" s="32" t="str">
        <f>IF(AND(G11="P",F11=""),"No DD",IF(OR(AND(AI11&gt;=AS$20,AI11&lt;&gt;"",AK11&gt;=AS$24,AK11&lt;&gt;"",AH11=""),AND(AL11&gt;=AS$20,AL11&lt;&gt;"",AN11&gt;=AS$24,AN11&lt;&gt;"",AH11=""),AND(AP11&gt;=AS$20,AP11&lt;&gt;"",AR11&gt;=AS$24,AR11&lt;&gt;"",AH11=""),AND(BJ11&gt;=BT$20,BJ11&lt;&gt;"",BL11&gt;=BT$24,BL11&lt;&gt;"",BI11=""),AND(BM11&gt;=BT$20,BM11&lt;&gt;"",BO11&gt;=BT$24,BO11&lt;&gt;"",BI11=""),AND(BQ11&gt;=BT$20,BQ11&lt;&gt;"",BS11&gt;=BT$24,BS11&lt;&gt;"",BI11=""),AND(CK11&gt;=CU$20,CK11&lt;&gt;"",CM11&gt;=CU$24,CM11&lt;&gt;"",CJ11=""),AND(CN11&gt;=CU$20,CN11&lt;&gt;"",CP11&gt;=CU$24,CP11&lt;&gt;"",CJ11=""),AND(CR11&gt;=CU$20,CR11&lt;&gt;"",CT11&gt;=CU$24,CT11&lt;&gt;"",CJ11=""),AND(DR11&gt;=EE$20,DR11&lt;&gt;"",DT11&gt;=EE$24,DT11&lt;&gt;""),AND(DU11&gt;=EE$20,DU11&lt;&gt;"",DW11&gt;=EE$24,DW11&lt;&gt;""),AND(DY11&gt;=EE$20,DY11&lt;&gt;"",EA11&gt;=EE$24,EA11&lt;&gt;""),AND(EB11&gt;=EE$20,EB11&lt;&gt;"",ED11&gt;=EE$24,ED11&lt;&gt;""),AND(EZ11&gt;=FM$20,EZ11&lt;&gt;"",FB11&gt;=FM$24,FB11&lt;&gt;""),AND(FC11&gt;=FM$20,FC11&lt;&gt;"",FE11&gt;=FM$24,FE11&lt;&gt;""),AND(FG11&gt;=FM$20,FG11&lt;&gt;"",FI11&gt;=FM$24,FI11&lt;&gt;""),AND(FJ11&gt;=FM$20,FJ11&lt;&gt;"",FL11&gt;=FM$24,FL11&lt;&gt;""),AND(GH11&gt;=GU$20,GH11&lt;&gt;"",GJ11&gt;=GU$24,GJ11&lt;&gt;""),AND(GK11&gt;=GU$20,GK11&lt;&gt;"",GM11&gt;=GU$24,GM11&lt;&gt;""),AND(GO11&gt;=GU$20,GO11&lt;&gt;"",GQ11&gt;=GU$24,GQ11&lt;&gt;""),AND(GR11&gt;=GU$20,GR11&lt;&gt;"",GT11&gt;=GU$24,GT11&lt;&gt;""),AND(HP11&gt;=IC$20,HP11&lt;&gt;"",HR11&gt;=IC$24,HR11&lt;&gt;""),AND(HS11&gt;=IC$20,HS11&lt;&gt;"",HU11&gt;=IC$24,HU11&lt;&gt;""),AND(HW11&gt;=IC$20,HW11&lt;&gt;"",HY11&gt;=IC$24,HY11&lt;&gt;""),AND(HZ11&gt;=IC$20,HZ11&lt;&gt;"",IB11&gt;=IC$24,IB11&lt;&gt;""),AND(IX11&gt;=JK$20,IX11&lt;&gt;"",IZ11&gt;=JK$24,IZ11&lt;&gt;""),AND(JA11&gt;=JK$20,JA11&lt;&gt;"",JC11&gt;=JK$24,JC11&lt;&gt;""),AND(JE11&gt;=JK$20,JE11&lt;&gt;"",JG11&gt;=JK$24,JG11&lt;&gt;""),AND(JH11&gt;=JK$20,JH11&lt;&gt;"",JJ11&gt;=JK$24,JJ11&lt;&gt;""),AND(KF11&gt;=KS$20,KF11&lt;&gt;"",KH11&gt;=KS$24,KH11&lt;&gt;""),AND(KI11&gt;=KS$20,KI11&lt;&gt;"",KK11&gt;=KS$24,KK11&lt;&gt;""),AND(KM11&gt;=KS$20,KM11&lt;&gt;"",KO11&gt;=KS$24,KO11&lt;&gt;""),AND(KP11&gt;=KS$20,KP11&lt;&gt;"",KR11&gt;=KS$24,KR11&lt;&gt;""),AND(LN11&gt;=MA$20,LN11&lt;&gt;"",LP11&gt;=MA$24,LP11&lt;&gt;""),AND(LQ11&gt;=MA$20,LQ11&lt;&gt;"",LS11&gt;=MA$24,LS11&lt;&gt;""),AND(LU11&gt;=MA$20,LU11&lt;&gt;"",LW11&gt;=MA$24,LW11&lt;&gt;""),AND(LX11&gt;=MA$20,LX11&lt;&gt;"",LZ11&gt;=MA$24,LZ11&lt;&gt;""),AND(MV11&gt;=NI$20,MV11&lt;&gt;"",MX11&gt;=NI$24,MX11&lt;&gt;""),AND(MY11&gt;=NI$20,MY11&lt;&gt;"",NA11&gt;=NI$24,NA11&lt;&gt;""),AND(NC11&gt;=NI$20,NC11&lt;&gt;"",NE11&gt;=NI$24,NE11&lt;&gt;""),AND(NF11&gt;=NI$20,NF11&lt;&gt;"",NH11&gt;=NI$24,NH11&lt;&gt;""),AND(OD11&gt;=OQ$20,OD11&lt;&gt;"",OF11&gt;=OQ$24,OF11&lt;&gt;""),AND(OG11&gt;=OQ$20,OG11&lt;&gt;"",OI11&gt;=OQ$24,OI11&lt;&gt;""),AND(OK11&gt;=OQ$20,OK11&lt;&gt;"",OM11&gt;=OQ$24,OM11&lt;&gt;""),AND(ON11&gt;=OQ$20,ON11&lt;&gt;"",OP11&gt;=OQ$24,OP11&lt;&gt;""),AND(PL11&gt;=PY$20,PL11&lt;&gt;"",PN11&gt;=PY$24,PN11&lt;&gt;""),AND(PO11&gt;=PY$20,PO11&lt;&gt;"",PQ11&gt;=PY$24,PQ11&lt;&gt;""),AND(PS11&gt;=PY$20,PS11&lt;&gt;"",PU11&gt;=PY$24,PU11&lt;&gt;""),AND(PV11&gt;=PY$20,PV11&lt;&gt;"",PX11&gt;=PY$24,PX11&lt;&gt;""),AND(QT11&gt;=RG$20,QT11&lt;&gt;"",QV11&gt;=RG$24,QV11&lt;&gt;""),AND(QW11&gt;=RG$20,QW11&lt;&gt;"",QY11&gt;=RG$24,QY11&lt;&gt;""),AND(RA11&gt;=RG$20,RA11&lt;&gt;"",RC11&gt;=RG$24,RC11&lt;&gt;""),AND(RD11&gt;=RG$20,RD11&lt;&gt;"",RF11&gt;=RG$24,RF11&lt;&gt;""),AND(SB11&gt;=SO$20,SB11&lt;&gt;"",SD11&gt;=SO$24,SD11&lt;&gt;""),AND(SE11&gt;=SO$20,SE11&lt;&gt;"",SG11&gt;=SO$24,SG11&lt;&gt;""),AND(SI11&gt;=SO$20,SI11&lt;&gt;"",SK11&gt;=SO$24,SK11&lt;&gt;""),AND(SL11&gt;=SO$20,SL11&lt;&gt;"",SN11&gt;=SO$24,SN11&lt;&gt;""),AND(TJ11&gt;=TW$20,TJ11&lt;&gt;"",TL11&gt;=TW$24,TL11&lt;&gt;""),AND(TM11&gt;=TW$20,TM11&lt;&gt;"",TO11&gt;=TW$24,TO11&lt;&gt;""),AND(TQ11&gt;=TW$20,TQ11&lt;&gt;"",TS11&gt;=TW$344,TXQ11&lt;&gt;""),AND(TT11&gt;=TW$20,TT11&lt;&gt;"",TV11&gt;=TW$24,TV11&lt;&gt;""),AND(UR11&gt;=VE$20,UR11&lt;&gt;"",UT11&gt;=VE$24,UT11&lt;&gt;""),AND(UU11&gt;=VE$20,UU11&lt;&gt;"",UW11&gt;=VE$24,UW11&lt;&gt;""),AND(UY11&gt;=VE$20,UY11&lt;&gt;"",VA11&gt;=VE$24,VA11&lt;&gt;""),AND(VB11&gt;=VE$20,VB11&lt;&gt;"",VD11&gt;=VE$24,VD11&lt;&gt;""),AND(VZ11&gt;=WM$20,VZ11&lt;&gt;"",WB11&gt;=WM$24,WB11&lt;&gt;""),AND(WC11&gt;=WM$20,WC11&lt;&gt;"",WE11&gt;=WM$24,WE11&lt;&gt;""),AND(WG11&gt;=WM$20,WG11&lt;&gt;"",WI11&gt;=WM$24,WI11&lt;&gt;""),AND(WJ11&gt;=WM$20,WJ11&lt;&gt;"",WL11&gt;=WM$24,WL11&lt;&gt;"")),"Merit",IF(OR(AND(AI11&gt;=AS$19,AI11&lt;&gt;"",AK11&gt;=AS$23,AK11&lt;&gt;"",AH11=""),AND(AL11&gt;=AS$19,AL11&lt;&gt;"",AN11&gt;=AS$23,AN11&lt;&gt;"",AH11=""),AND(AP11&gt;=AS$19,AP11&lt;&gt;"",AR11&gt;=AS$23,AR11&lt;&gt;"",AH11=""),AND(BJ11&gt;=BT$19,BJ11&lt;&gt;"",BL11&gt;=BT$23,BL11&lt;&gt;"",BI11=""),AND(BM11&gt;=BT$19,BM11&lt;&gt;"",BO11&gt;=BT$23,BO11&lt;&gt;"",BI11=""),AND(BQ11&gt;=BT$19,BQ11&lt;&gt;"",BS11&gt;=BT$23,BS11&lt;&gt;"",BI11=""),AND(CK11&gt;=CU$19,CK11&lt;&gt;"",CM11&gt;=CU$23,CM11&lt;&gt;"",CJ11=""),AND(CN11&gt;=CU$19,CN11&lt;&gt;"",CP11&gt;=CU$23,CP11&lt;&gt;"",CJ11=""),AND(CR11&gt;=CU$19,CR11&lt;&gt;"",CT11&gt;=CU$23,CT11&lt;&gt;"",CJ11=""),AND(DR11&gt;=EE$19,DR11&lt;&gt;"",DT11&gt;=EE$23,DT11&lt;&gt;""),AND(DU11&gt;=EE$19,DU11&lt;&gt;"",DW11&gt;=EE$23,DW11&lt;&gt;""),AND(DY11&gt;=EE$19,DY11&lt;&gt;"",EA11&gt;=EE$23,EA11&lt;&gt;""),AND(EB11&gt;=EE$19,EB11&lt;&gt;"",ED11&gt;=EE$23,ED11&lt;&gt;""),AND(EZ11&gt;=FM$19,EZ11&lt;&gt;"",FB11&gt;=FM$23,FB11&lt;&gt;""),AND(FC11&gt;=FM$19,FC11&lt;&gt;"",FE11&gt;=FM$23,FE11&lt;&gt;""),AND(FG11&gt;=FM$19,FG11&lt;&gt;"",FI11&gt;=FM$23,FI11&lt;&gt;""),AND(FJ11&gt;=FM$19,FJ11&lt;&gt;"",FL11&gt;=FM$23,FL11&lt;&gt;""),AND(GH11&gt;=GU$19,GH11&lt;&gt;"",GJ11&gt;=GU$23,GJ11&lt;&gt;""),AND(GK11&gt;=GU$19,GK11&lt;&gt;"",GM11&gt;=GU$23,GM11&lt;&gt;""),AND(GO11&gt;=GU$19,GO11&lt;&gt;"",GQ11&gt;=GU$23,GQ11&lt;&gt;""),AND(GR11&gt;=GU$19,GR11&lt;&gt;"",GT11&gt;=GU$23,GT11&lt;&gt;""),AND(HP11&gt;=IC$19,HP11&lt;&gt;"",HR11&gt;=IC$23,HR11&lt;&gt;""),AND(HS11&gt;=IC$19,HS11&lt;&gt;"",HU11&gt;=IC$23,HU11&lt;&gt;""),AND(HW11&gt;=IC$19,HW11&lt;&gt;"",HY11&gt;=IC$23,HY11&lt;&gt;""),AND(HZ11&gt;=IC$19,HZ11&lt;&gt;"",IB11&gt;=IC$23,IB11&lt;&gt;""),AND(IX11&gt;=JK$19,IX11&lt;&gt;"",IZ11&gt;=JK$23,IZ11&lt;&gt;""),AND(JA11&gt;=JK$19,JA11&lt;&gt;"",JC11&gt;=JK$23,JC11&lt;&gt;""),AND(JE11&gt;=JK$19,JE11&lt;&gt;"",JG11&gt;=JK$23,JG11&lt;&gt;""),AND(JH11&gt;=JK$19,JH11&lt;&gt;"",JJ11&gt;=JK$23,JJ11&lt;&gt;""),AND(KF11&gt;=KS$19,KF11&lt;&gt;"",KH11&gt;=KS$23,KH11&lt;&gt;""),AND(KI11&gt;=KS$19,KI11&lt;&gt;"",KK11&gt;=KS$23,KK11&lt;&gt;""),AND(KM11&gt;=KS$19,KM11&lt;&gt;"",KO11&gt;=KS$23,KO11&lt;&gt;""),AND(KP11&gt;=KS$19,KP11&lt;&gt;"",KR11&gt;=KS$23,KR11&lt;&gt;""),AND(LN11&gt;=MA$19,LN11&lt;&gt;"",LP11&gt;=MA$23,LP11&lt;&gt;""),AND(LQ11&gt;=MA$19,LQ11&lt;&gt;"",LS11&gt;=MA$23,LS11&lt;&gt;""),AND(LU11&gt;=MA$19,LU11&lt;&gt;"",LW11&gt;=MA$23,LW11&lt;&gt;""),AND(LX11&gt;=MA$19,LX11&lt;&gt;"",LZ11&gt;=MA$23,LZ11&lt;&gt;""),AND(MV11&gt;=NI$19,MV11&lt;&gt;"",MX11&gt;=NI$23,MX11&lt;&gt;""),AND(MY11&gt;=NI$19,MY11&lt;&gt;"",NA11&gt;=NI$23,NA11&lt;&gt;""),AND(NC11&gt;=NI$19,NC11&lt;&gt;"",NE11&gt;=NI$23,NE11&lt;&gt;""),AND(NF11&gt;=NI$19,NF11&lt;&gt;"",NH11&gt;=NI$23,NH11&lt;&gt;""),AND(OD11&gt;=OQ$19,OD11&lt;&gt;"",OF11&gt;=OQ$23,OF11&lt;&gt;""),AND(OG11&gt;=OQ$19,OG11&lt;&gt;"",OI11&gt;=OQ$23,OI11&lt;&gt;""),AND(OK11&gt;=OQ$19,OK11&lt;&gt;"",OM11&gt;=OQ$23,OM11&lt;&gt;""),AND(ON11&gt;=OQ$19,ON11&lt;&gt;"",OP11&gt;=OQ$23,OP11&lt;&gt;""),AND(PL11&gt;=PY$19,PL11&lt;&gt;"",PN11&gt;=PY$23,PN11&lt;&gt;""),AND(PO11&gt;=PY$19,PO11&lt;&gt;"",PQ11&gt;=PY$23,PQ11&lt;&gt;""),AND(PS11&gt;=PY$19,PS11&lt;&gt;"",PU11&gt;=PY$23,PU11&lt;&gt;""),AND(PV11&gt;=PY$19,PV11&lt;&gt;"",PX11&gt;=PY$23,PX11&lt;&gt;""),AND(QT11&gt;=RG$19,QT11&lt;&gt;"",QV11&gt;=RG$23,QV11&lt;&gt;""),AND(QW11&gt;=RG$19,QW11&lt;&gt;"",QY11&gt;=RG$23,QY11&lt;&gt;""),AND(RA11&gt;=RG$19,RA11&lt;&gt;"",RC11&gt;=RG$23,RC11&lt;&gt;""),AND(RD11&gt;=RG$19,RD11&lt;&gt;"",RF11&gt;=RG$23,RF11&lt;&gt;""),AND(SB11&gt;=SO$19,SB11&lt;&gt;"",SD11&gt;=SO$23,SD11&lt;&gt;""),AND(SE11&gt;=SO$19,SE11&lt;&gt;"",SG11&gt;=SO$23,SG11&lt;&gt;""),AND(SI11&gt;=SO$19,SI11&lt;&gt;"",SK11&gt;=SO$23,SK11&lt;&gt;""),AND(SL11&gt;=SO$19,SL11&lt;&gt;"",SN11&gt;=SO$23,SN11&lt;&gt;""),AND(TJ11&gt;=TW$19,TJ11&lt;&gt;"",TL11&gt;=TW$23,TL11&lt;&gt;""),AND(TM11&gt;=TW$19,TM11&lt;&gt;"",TO11&gt;=TW$23,TO11&lt;&gt;""),AND(TQ11&gt;=TW$19,TQ11&lt;&gt;"",TS11&gt;=TW$23,TXQ11&lt;&gt;""),AND(TT11&gt;=TW$19,TT11&lt;&gt;"",TV11&gt;=TW$23,TV11&lt;&gt;""),AND(UR11&gt;=VE$19,UR11&lt;&gt;"",UT11&gt;=VE$23,UT11&lt;&gt;""),AND(UU11&gt;=VE$19,UU11&lt;&gt;"",UW11&gt;=VE$23,UW11&lt;&gt;""),AND(UY11&gt;=VE$19,UY11&lt;&gt;"",VA11&gt;=VE$23,VA11&lt;&gt;""),AND(VB11&gt;=VE$19,VB11&lt;&gt;"",VD11&gt;=VE$23,VD11&lt;&gt;""),AND(VZ11&gt;=WM$19,VZ11&lt;&gt;"",WB11&gt;=WM$23,WB11&lt;&gt;""),AND(WC11&gt;=WM$19,WC11&lt;&gt;"",WE11&gt;=WM$23,WE11&lt;&gt;""),AND(WG11&gt;=WM$19,WG11&lt;&gt;"",WI11&gt;=WM$23,WI11&lt;&gt;""),AND(WJ11&gt;=WM$19,WJ11&lt;&gt;"",WL11&gt;=WM$23,WL11&lt;&gt;"")),"Excellence",IF(I11="P","Worlds Team",IF(F11="P","National Team","")))))</f>
        <v>National Team</v>
      </c>
      <c r="I11" s="3" t="str">
        <f>IF(OR(AND(AI11&gt;=AS$18,AI11&lt;&gt;"",AK11&gt;=AS$22,AK11&lt;&gt;"",AH11=""),AND(AL11&gt;=AS$18,AL11&lt;&gt;"",AN11&gt;=AS$22,AN11&lt;&gt;"",AH11=""),AND(AP11&gt;=AS$18,AP11&lt;&gt;"",AR11&gt;=AS$22,AR11&lt;&gt;"",AH11=""),AND(BJ11&gt;=BT$18,BJ11&lt;&gt;"",BL11&gt;=BT$22,BL11&lt;&gt;"",BI11=""),AND(BM11&gt;=BT$18,BM11&lt;&gt;"",BO11&gt;=BT$22,BO11&lt;&gt;"",BI11=""),AND(BQ11&gt;=BT$18,BQ11&lt;&gt;"",BS11&gt;=BT$22,BS11&lt;&gt;"",BI11=""),AND(CK11&gt;=CU$18,CK11&lt;&gt;"",CM11&gt;=CU$22,CM11&lt;&gt;"",CJ11=""),AND(CN11&gt;=CU$18,CN11&lt;&gt;"",CP11&gt;=CU$22,CP11&lt;&gt;"",CJ11=""),AND(CR11&gt;=CU$18,CR11&lt;&gt;"",CT11&gt;=CU$22,CT11&lt;&gt;"",CJ11=""),AND(DR11&gt;=EE$18,DR11&lt;&gt;"",DT11&gt;=EE$22,DT11&lt;&gt;""),AND(DU11&gt;=EE$18,DU11&lt;&gt;"",DW11&gt;=EE$22,DW11&lt;&gt;""),AND(DY11&gt;=EE$18,DY11&lt;&gt;"",EA11&gt;=EE$22,EA11&lt;&gt;""),AND(EB11&gt;=EE$18,EB11&lt;&gt;"",ED11&gt;=EE$22,ED11&lt;&gt;""),AND(EZ11&gt;=FM$18,EZ11&lt;&gt;"",FB11&gt;=FM$22,FB11&lt;&gt;""),AND(FC11&gt;=FM$18,FC11&lt;&gt;"",FE11&gt;=FM$22,FE11&lt;&gt;""),AND(FG11&gt;=FM$18,FG11&lt;&gt;"",FI11&gt;=FM$22,FI11&lt;&gt;""),AND(FJ11&gt;=FM$18,FJ11&lt;&gt;"",FL11&gt;=FM$22,FL11&lt;&gt;""),AND(GH11&gt;=GU$18,GH11&lt;&gt;"",GJ11&gt;=GU$22,GJ11&lt;&gt;""),AND(GK11&gt;=GU$18,GK11&lt;&gt;"",GM11&gt;=GU$22,GM11&lt;&gt;""),AND(GO11&gt;=GU$18,GO11&lt;&gt;"",GQ11&gt;=GU$22,GQ11&lt;&gt;""),AND(GR11&gt;=GU$18,GR11&lt;&gt;"",GT11&gt;=GU$22,GT11&lt;&gt;""),AND(HP11&gt;=IC$18,HP11&lt;&gt;"",HR11&gt;=IC$22,HR11&lt;&gt;""),AND(HS11&gt;=IC$18,HS11&lt;&gt;"",HU11&gt;=IC$22,HU11&lt;&gt;""),AND(HW11&gt;=IC$18,HW11&lt;&gt;"",HY11&gt;=IC$22,HY11&lt;&gt;""),AND(HZ11&gt;=IC$18,HZ11&lt;&gt;"",IB11&gt;=IC$22,IB11&lt;&gt;""),AND(IX11&gt;=JK$18,IX11&lt;&gt;"",IZ11&gt;=JK$22,IZ11&lt;&gt;""),AND(JA11&gt;=JK$18,JA11&lt;&gt;"",JC11&gt;=JK$22,JC11&lt;&gt;""),AND(JE11&gt;=JK$18,JE11&lt;&gt;"",JG11&gt;=JK$22,JG11&lt;&gt;""),AND(JH11&gt;=JK$18,JH11&lt;&gt;"",JJ11&gt;=JK$22,JJ11&lt;&gt;""),AND(KF11&gt;=KS$18,KF11&lt;&gt;"",KH11&gt;=KS$22,KH11&lt;&gt;""),AND(KI11&gt;=KS$18,KI11&lt;&gt;"",KK11&gt;=KS$22,KK11&lt;&gt;""),AND(KM11&gt;=KS$18,KM11&lt;&gt;"",KO11&gt;=KS$22,KO11&lt;&gt;""),AND(KP11&gt;=KS$18,KP11&lt;&gt;"",KR11&gt;=KS$22,KR11&lt;&gt;""),AND(LN11&gt;=MA$18,LN11&lt;&gt;"",LP11&gt;=MA$22,LP11&lt;&gt;""),AND(LQ11&gt;=MA$18,LQ11&lt;&gt;"",LS11&gt;=MA$22,LS11&lt;&gt;""),AND(LU11&gt;=MA$18,LU11&lt;&gt;"",LW11&gt;=MA$22,LW11&lt;&gt;""),AND(LX11&gt;=MA$18,LX11&lt;&gt;"",LZ11&gt;=MA$22,LZ11&lt;&gt;""),AND(MV11&gt;=NI$18,MV11&lt;&gt;"",MX11&gt;=NI$22,MX11&lt;&gt;""),AND(MY11&gt;=NI$18,MY11&lt;&gt;"",NA11&gt;=NI$22,NA11&lt;&gt;""),AND(NC11&gt;=NI$18,NC11&lt;&gt;"",NE11&gt;=NI$22,NE11&lt;&gt;""),AND(NF11&gt;=NI$18,NF11&lt;&gt;"",NH11&gt;=NI$22,NH11&lt;&gt;""),AND(OD11&gt;=OQ$18,OD11&lt;&gt;"",OF11&gt;=OQ$22,OF11&lt;&gt;""),AND(OG11&gt;=OQ$18,OG11&lt;&gt;"",OI11&gt;=OQ$22,OI11&lt;&gt;""),AND(OK11&gt;=OQ$18,OK11&lt;&gt;"",OM11&gt;=OQ$22,OM11&lt;&gt;""),AND(ON11&gt;=OQ$18,ON11&lt;&gt;"",OP11&gt;=OQ$22,OP11&lt;&gt;""),AND(PL11&gt;=PY$18,PL11&lt;&gt;"",PN11&gt;=PY$22,PN11&lt;&gt;""),AND(PO11&gt;=PY$18,PO11&lt;&gt;"",PQ11&gt;=PY$22,PQ11&lt;&gt;""),AND(PS11&gt;=PY$18,PS11&lt;&gt;"",PU11&gt;=PY$22,PU11&lt;&gt;""),AND(PV11&gt;=PY$18,PV11&lt;&gt;"",PX11&gt;=PY$22,PX11&lt;&gt;""),AND(QT11&gt;=RG$18,QT11&lt;&gt;"",QV11&gt;=RG$22,QV11&lt;&gt;""),AND(QW11&gt;=RG$18,QW11&lt;&gt;"",QY11&gt;=RG$22,QY11&lt;&gt;""),AND(RA11&gt;=RG$18,RA11&lt;&gt;"",RC11&gt;=RG$22,RC11&lt;&gt;""),AND(RD11&gt;=RG$18,RD11&lt;&gt;"",RF11&gt;=RG$22,RF11&lt;&gt;""),AND(SB11&gt;=SO$18,SB11&lt;&gt;"",SD11&gt;=SO$22,SD11&lt;&gt;""),AND(SE11&gt;=SO$18,SE11&lt;&gt;"",SG11&gt;=SO$22,SG11&lt;&gt;""),AND(SI11&gt;=SO$18,SI11&lt;&gt;"",SK11&gt;=SO$22,SK11&lt;&gt;""),AND(SL11&gt;=SO$18,SL11&lt;&gt;"",SN11&gt;=SO$22,SN11&lt;&gt;""),AND(TJ11&gt;=TW$18,TJ11&lt;&gt;"",TL11&gt;=TW$22,TL11&lt;&gt;""),AND(TM11&gt;=TW$18,TM11&lt;&gt;"",TO11&gt;=TW$22,TO11&lt;&gt;""),AND(TQ11&gt;=TW$18,TQ11&lt;&gt;"",TS11&gt;=TW$22,TXQ11&lt;&gt;""),AND(TT11&gt;=TW$18,TT11&lt;&gt;"",TV11&gt;=TW$22,TV11&lt;&gt;""),AND(UR11&gt;=VE$18,UR11&lt;&gt;"",UT11&gt;=VE$22,UT11&lt;&gt;""),AND(UU11&gt;=VE$18,UU11&lt;&gt;"",UW11&gt;=VE$22,UW11&lt;&gt;""),AND(UY11&gt;=VE$18,UY11&lt;&gt;"",VA11&gt;=VE$22,VA11&lt;&gt;""),AND(VB11&gt;=VE$18,VB11&lt;&gt;"",VD11&gt;=VE$22,VD11&lt;&gt;""),AND(VZ11&gt;=WM$18,VZ11&lt;&gt;"",WB11&gt;=WM$22,WB11&lt;&gt;""),AND(WC11&gt;=WM$18,WC11&lt;&gt;"",WE11&gt;=WM$22,WE11&lt;&gt;""),AND(WG11&gt;=WM$18,WG11&lt;&gt;"",WI11&gt;=WM$22,WI11&lt;&gt;""),AND(WJ11&gt;=WM$18,WJ11&lt;&gt;"",WL11&gt;=WM$22,WL11&lt;&gt;"")),"P","")</f>
        <v/>
      </c>
      <c r="J11" s="8">
        <f t="shared" si="1"/>
        <v>51.89</v>
      </c>
      <c r="K11" s="8" t="str">
        <f t="shared" si="2"/>
        <v>2025 3rd Domestic Trial</v>
      </c>
      <c r="L11" s="8">
        <f>IFERROR(IF(J11=AR11,LARGE((AK11,AN11,BL11,BO11,BS11,CM11,CP11,CT11),1),IF(J11=BS11,LARGE((AK11,AN11,AR11,BL11,BO11,CM11,CP11,CT11),1),LARGE((AK11,AN11,AR11,BL11,BO11,BS11,CM11,CP11),1))),0)</f>
        <v>50.180000000000007</v>
      </c>
      <c r="M11" s="8" t="str">
        <f t="shared" si="3"/>
        <v>2025 Nationals</v>
      </c>
      <c r="N11" s="8">
        <f>IFERROR(IF(J11=AR11,LARGE((AK11,AN11,BL11,BO11,BS11,CM11,CP11,CT11),2),IF(J11=BS11,LARGE((AK11,AN11,AR11,BL11,BO11,CM11,CP11,CT11),2),LARGE((AK11,AN11,AR11,BL11,BO11,BS11,CM11,CP11),2))),0)</f>
        <v>49.569999999999993</v>
      </c>
      <c r="O11" s="8" t="str">
        <f t="shared" si="4"/>
        <v>2025 3rd Domestic Trial</v>
      </c>
      <c r="P11" s="8">
        <f t="shared" si="5"/>
        <v>0</v>
      </c>
      <c r="Q11" s="11" t="str">
        <f t="shared" si="6"/>
        <v/>
      </c>
      <c r="R11" s="8" t="str">
        <f t="shared" si="7"/>
        <v/>
      </c>
      <c r="S11" s="18">
        <v>14.4</v>
      </c>
      <c r="T11" s="18">
        <v>9.3000000000000007</v>
      </c>
      <c r="U11" s="18">
        <v>12.7</v>
      </c>
      <c r="V11" s="18">
        <v>13.78</v>
      </c>
      <c r="W11" s="18">
        <v>0</v>
      </c>
      <c r="X11" s="18">
        <v>2.9</v>
      </c>
      <c r="Y11" s="18">
        <v>1.8</v>
      </c>
      <c r="Z11" s="18">
        <v>3</v>
      </c>
      <c r="AA11" s="18">
        <v>3</v>
      </c>
      <c r="AB11" s="18">
        <v>0</v>
      </c>
      <c r="AC11" s="18">
        <v>12.8</v>
      </c>
      <c r="AD11" s="18">
        <v>9.1999999999999993</v>
      </c>
      <c r="AE11" s="18">
        <v>12.5</v>
      </c>
      <c r="AF11" s="18">
        <v>14.4</v>
      </c>
      <c r="AG11" s="18">
        <v>0.2</v>
      </c>
      <c r="AH11" s="23"/>
      <c r="AI11" s="34">
        <f t="shared" si="8"/>
        <v>12.7</v>
      </c>
      <c r="AJ11" s="34">
        <f t="shared" si="9"/>
        <v>13.78</v>
      </c>
      <c r="AK11" s="36">
        <f t="shared" si="10"/>
        <v>50.180000000000007</v>
      </c>
      <c r="AL11" s="36">
        <f t="shared" si="11"/>
        <v>3</v>
      </c>
      <c r="AM11" s="36">
        <f t="shared" si="12"/>
        <v>3</v>
      </c>
      <c r="AN11" s="36">
        <f t="shared" si="13"/>
        <v>10.7</v>
      </c>
      <c r="AO11" s="36">
        <f t="shared" si="14"/>
        <v>50.180000000000007</v>
      </c>
      <c r="AP11" s="36">
        <f t="shared" si="15"/>
        <v>12.5</v>
      </c>
      <c r="AQ11" s="36">
        <f t="shared" si="16"/>
        <v>14.4</v>
      </c>
      <c r="AR11" s="36">
        <f t="shared" si="17"/>
        <v>48.699999999999996</v>
      </c>
      <c r="AS11" s="36">
        <f t="shared" si="18"/>
        <v>98.88</v>
      </c>
      <c r="AT11" s="22">
        <v>11.9</v>
      </c>
      <c r="AU11" s="22">
        <v>9.1</v>
      </c>
      <c r="AV11" s="22">
        <v>13.8</v>
      </c>
      <c r="AW11" s="22">
        <v>14.77</v>
      </c>
      <c r="AX11" s="22">
        <v>0</v>
      </c>
      <c r="AY11" s="22">
        <v>6.1</v>
      </c>
      <c r="AZ11" s="22">
        <v>4.5999999999999996</v>
      </c>
      <c r="BA11" s="22">
        <v>7.1</v>
      </c>
      <c r="BB11" s="22">
        <v>6.38</v>
      </c>
      <c r="BC11" s="22">
        <v>0</v>
      </c>
      <c r="BD11" s="22">
        <v>13.8</v>
      </c>
      <c r="BE11" s="22">
        <v>9.4</v>
      </c>
      <c r="BF11" s="22">
        <v>13.8</v>
      </c>
      <c r="BG11" s="22">
        <v>14.89</v>
      </c>
      <c r="BH11" s="22">
        <v>0</v>
      </c>
      <c r="BI11" s="24"/>
      <c r="BJ11" s="35">
        <f t="shared" si="19"/>
        <v>13.8</v>
      </c>
      <c r="BK11" s="35">
        <f t="shared" si="20"/>
        <v>14.77</v>
      </c>
      <c r="BL11" s="11">
        <f t="shared" si="21"/>
        <v>49.569999999999993</v>
      </c>
      <c r="BM11" s="11">
        <f t="shared" si="22"/>
        <v>7.1</v>
      </c>
      <c r="BN11" s="11">
        <f t="shared" si="23"/>
        <v>6.38</v>
      </c>
      <c r="BO11" s="11">
        <f t="shared" si="24"/>
        <v>24.179999999999996</v>
      </c>
      <c r="BP11" s="11">
        <f t="shared" si="25"/>
        <v>49.569999999999993</v>
      </c>
      <c r="BQ11" s="11">
        <f t="shared" si="26"/>
        <v>13.8</v>
      </c>
      <c r="BR11" s="11">
        <f t="shared" si="27"/>
        <v>14.89</v>
      </c>
      <c r="BS11" s="11">
        <f t="shared" si="28"/>
        <v>51.89</v>
      </c>
      <c r="BT11" s="11">
        <f t="shared" si="29"/>
        <v>101.46</v>
      </c>
      <c r="BU11" s="18">
        <v>11.4</v>
      </c>
      <c r="BV11" s="18">
        <v>8.5</v>
      </c>
      <c r="BW11" s="18">
        <v>13.2</v>
      </c>
      <c r="BX11" s="18">
        <v>13.43</v>
      </c>
      <c r="BY11" s="18">
        <v>0</v>
      </c>
      <c r="BZ11" s="18">
        <v>4.7</v>
      </c>
      <c r="CA11" s="18">
        <v>3.3</v>
      </c>
      <c r="CB11" s="18">
        <v>5.0999999999999996</v>
      </c>
      <c r="CC11" s="18">
        <v>5.63</v>
      </c>
      <c r="CD11" s="18">
        <v>0</v>
      </c>
      <c r="CE11" s="18">
        <v>13.2</v>
      </c>
      <c r="CF11" s="18">
        <v>9.5</v>
      </c>
      <c r="CG11" s="18">
        <v>12.9</v>
      </c>
      <c r="CH11" s="18">
        <v>13.76</v>
      </c>
      <c r="CI11" s="18">
        <v>0</v>
      </c>
      <c r="CJ11" s="23"/>
      <c r="CK11" s="34">
        <f t="shared" si="30"/>
        <v>13.2</v>
      </c>
      <c r="CL11" s="34">
        <f t="shared" si="31"/>
        <v>13.43</v>
      </c>
      <c r="CM11" s="36">
        <f t="shared" si="32"/>
        <v>46.529999999999994</v>
      </c>
      <c r="CN11" s="36">
        <f t="shared" si="33"/>
        <v>5.0999999999999996</v>
      </c>
      <c r="CO11" s="36">
        <f t="shared" si="34"/>
        <v>5.63</v>
      </c>
      <c r="CP11" s="36">
        <f t="shared" si="35"/>
        <v>18.73</v>
      </c>
      <c r="CQ11" s="36">
        <f t="shared" si="36"/>
        <v>46.529999999999994</v>
      </c>
      <c r="CR11" s="36">
        <f t="shared" si="37"/>
        <v>12.9</v>
      </c>
      <c r="CS11" s="36">
        <f t="shared" si="38"/>
        <v>13.76</v>
      </c>
      <c r="CT11" s="36">
        <f t="shared" si="39"/>
        <v>49.36</v>
      </c>
      <c r="CU11" s="36">
        <f t="shared" si="40"/>
        <v>95.889999999999986</v>
      </c>
      <c r="CV11" s="47" t="str">
        <f t="shared" si="41"/>
        <v/>
      </c>
      <c r="CW11" s="47" t="str">
        <f t="shared" si="42"/>
        <v/>
      </c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36" t="str">
        <f t="shared" si="43"/>
        <v/>
      </c>
      <c r="DS11" s="36" t="str">
        <f t="shared" si="44"/>
        <v/>
      </c>
      <c r="DT11" s="36" t="str">
        <f t="shared" si="45"/>
        <v/>
      </c>
      <c r="DU11" s="36" t="str">
        <f t="shared" si="46"/>
        <v/>
      </c>
      <c r="DV11" s="36" t="str">
        <f t="shared" si="47"/>
        <v/>
      </c>
      <c r="DW11" s="36" t="str">
        <f t="shared" si="48"/>
        <v/>
      </c>
      <c r="DX11" s="36" t="str">
        <f t="shared" si="49"/>
        <v/>
      </c>
      <c r="DY11" s="36" t="str">
        <f t="shared" si="50"/>
        <v/>
      </c>
      <c r="DZ11" s="36" t="str">
        <f t="shared" si="51"/>
        <v/>
      </c>
      <c r="EA11" s="36" t="str">
        <f t="shared" si="52"/>
        <v/>
      </c>
      <c r="EB11" s="36" t="str">
        <f t="shared" si="53"/>
        <v/>
      </c>
      <c r="EC11" s="36" t="str">
        <f t="shared" si="54"/>
        <v/>
      </c>
      <c r="ED11" s="36" t="str">
        <f t="shared" si="55"/>
        <v/>
      </c>
      <c r="EE11" s="36" t="str">
        <f t="shared" si="56"/>
        <v/>
      </c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1" t="str">
        <f t="shared" si="57"/>
        <v/>
      </c>
      <c r="FA11" s="11" t="str">
        <f t="shared" si="58"/>
        <v/>
      </c>
      <c r="FB11" s="11" t="str">
        <f t="shared" si="59"/>
        <v/>
      </c>
      <c r="FC11" s="11" t="str">
        <f t="shared" si="60"/>
        <v/>
      </c>
      <c r="FD11" s="11" t="str">
        <f t="shared" si="61"/>
        <v/>
      </c>
      <c r="FE11" s="11" t="str">
        <f t="shared" si="62"/>
        <v/>
      </c>
      <c r="FF11" s="11" t="str">
        <f t="shared" si="63"/>
        <v/>
      </c>
      <c r="FG11" s="11" t="str">
        <f t="shared" si="64"/>
        <v/>
      </c>
      <c r="FH11" s="11" t="str">
        <f t="shared" si="65"/>
        <v/>
      </c>
      <c r="FI11" s="11" t="str">
        <f t="shared" si="66"/>
        <v/>
      </c>
      <c r="FJ11" s="11" t="str">
        <f t="shared" si="67"/>
        <v/>
      </c>
      <c r="FK11" s="11" t="str">
        <f t="shared" si="68"/>
        <v/>
      </c>
      <c r="FL11" s="11" t="str">
        <f t="shared" si="69"/>
        <v/>
      </c>
      <c r="FM11" s="11" t="str">
        <f t="shared" si="70"/>
        <v/>
      </c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36" t="str">
        <f t="shared" si="71"/>
        <v/>
      </c>
      <c r="GI11" s="36" t="str">
        <f t="shared" si="72"/>
        <v/>
      </c>
      <c r="GJ11" s="36" t="str">
        <f t="shared" si="73"/>
        <v/>
      </c>
      <c r="GK11" s="36" t="str">
        <f t="shared" si="74"/>
        <v/>
      </c>
      <c r="GL11" s="36" t="str">
        <f t="shared" si="75"/>
        <v/>
      </c>
      <c r="GM11" s="36" t="str">
        <f t="shared" si="76"/>
        <v/>
      </c>
      <c r="GN11" s="36" t="str">
        <f t="shared" si="77"/>
        <v/>
      </c>
      <c r="GO11" s="36" t="str">
        <f t="shared" si="78"/>
        <v/>
      </c>
      <c r="GP11" s="36" t="str">
        <f t="shared" si="79"/>
        <v/>
      </c>
      <c r="GQ11" s="36" t="str">
        <f t="shared" si="80"/>
        <v/>
      </c>
      <c r="GR11" s="36" t="str">
        <f t="shared" si="81"/>
        <v/>
      </c>
      <c r="GS11" s="36" t="str">
        <f t="shared" si="82"/>
        <v/>
      </c>
      <c r="GT11" s="36" t="str">
        <f t="shared" si="83"/>
        <v/>
      </c>
      <c r="GU11" s="36" t="str">
        <f t="shared" si="84"/>
        <v/>
      </c>
      <c r="GV11" s="16">
        <v>13.7</v>
      </c>
      <c r="GW11" s="16">
        <v>9</v>
      </c>
      <c r="GX11" s="16">
        <v>12.7</v>
      </c>
      <c r="GY11" s="16">
        <v>13.87</v>
      </c>
      <c r="GZ11" s="16">
        <v>0</v>
      </c>
      <c r="HA11" s="16">
        <v>11.7</v>
      </c>
      <c r="HB11" s="16">
        <v>7.2</v>
      </c>
      <c r="HC11" s="16">
        <v>8.3000000000000007</v>
      </c>
      <c r="HD11" s="16">
        <v>11.08</v>
      </c>
      <c r="HE11" s="16">
        <v>0.2</v>
      </c>
      <c r="HF11" s="16">
        <v>13.3</v>
      </c>
      <c r="HG11" s="16">
        <v>9.1</v>
      </c>
      <c r="HH11" s="16">
        <v>12.7</v>
      </c>
      <c r="HI11" s="16">
        <v>13.85</v>
      </c>
      <c r="HJ11" s="16">
        <v>0</v>
      </c>
      <c r="HK11" s="16"/>
      <c r="HL11" s="16"/>
      <c r="HM11" s="16"/>
      <c r="HN11" s="16"/>
      <c r="HO11" s="16"/>
      <c r="HP11" s="11">
        <f t="shared" si="85"/>
        <v>12.7</v>
      </c>
      <c r="HQ11" s="11">
        <f t="shared" si="86"/>
        <v>13.87</v>
      </c>
      <c r="HR11" s="11">
        <f t="shared" si="87"/>
        <v>49.269999999999996</v>
      </c>
      <c r="HS11" s="11">
        <f t="shared" si="88"/>
        <v>8.3000000000000007</v>
      </c>
      <c r="HT11" s="11">
        <f t="shared" si="89"/>
        <v>11.08</v>
      </c>
      <c r="HU11" s="11">
        <f t="shared" si="90"/>
        <v>38.08</v>
      </c>
      <c r="HV11" s="11">
        <f t="shared" si="91"/>
        <v>49.269999999999996</v>
      </c>
      <c r="HW11" s="11">
        <f t="shared" si="92"/>
        <v>12.7</v>
      </c>
      <c r="HX11" s="11">
        <f t="shared" si="93"/>
        <v>13.85</v>
      </c>
      <c r="HY11" s="11">
        <f t="shared" si="94"/>
        <v>48.949999999999996</v>
      </c>
      <c r="HZ11" s="11" t="str">
        <f t="shared" si="95"/>
        <v/>
      </c>
      <c r="IA11" s="11" t="str">
        <f t="shared" si="96"/>
        <v/>
      </c>
      <c r="IB11" s="11" t="str">
        <f t="shared" si="97"/>
        <v/>
      </c>
      <c r="IC11" s="11">
        <f t="shared" si="98"/>
        <v>98.22</v>
      </c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36" t="str">
        <f t="shared" si="99"/>
        <v/>
      </c>
      <c r="IY11" s="36" t="str">
        <f t="shared" si="100"/>
        <v/>
      </c>
      <c r="IZ11" s="36" t="str">
        <f t="shared" si="101"/>
        <v/>
      </c>
      <c r="JA11" s="36" t="str">
        <f t="shared" si="102"/>
        <v/>
      </c>
      <c r="JB11" s="36" t="str">
        <f t="shared" si="103"/>
        <v/>
      </c>
      <c r="JC11" s="36" t="str">
        <f t="shared" si="104"/>
        <v/>
      </c>
      <c r="JD11" s="36" t="str">
        <f t="shared" si="105"/>
        <v/>
      </c>
      <c r="JE11" s="36" t="str">
        <f t="shared" si="106"/>
        <v/>
      </c>
      <c r="JF11" s="36" t="str">
        <f t="shared" si="107"/>
        <v/>
      </c>
      <c r="JG11" s="36" t="str">
        <f t="shared" si="108"/>
        <v/>
      </c>
      <c r="JH11" s="36" t="str">
        <f t="shared" si="109"/>
        <v/>
      </c>
      <c r="JI11" s="36" t="str">
        <f t="shared" si="110"/>
        <v/>
      </c>
      <c r="JJ11" s="36" t="str">
        <f t="shared" si="111"/>
        <v/>
      </c>
      <c r="JK11" s="36" t="str">
        <f t="shared" si="112"/>
        <v/>
      </c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1" t="str">
        <f t="shared" si="113"/>
        <v/>
      </c>
      <c r="KG11" s="11" t="str">
        <f t="shared" si="114"/>
        <v/>
      </c>
      <c r="KH11" s="11" t="str">
        <f t="shared" si="115"/>
        <v/>
      </c>
      <c r="KI11" s="11" t="str">
        <f t="shared" si="116"/>
        <v/>
      </c>
      <c r="KJ11" s="11" t="str">
        <f t="shared" si="117"/>
        <v/>
      </c>
      <c r="KK11" s="11" t="str">
        <f t="shared" si="118"/>
        <v/>
      </c>
      <c r="KL11" s="11" t="str">
        <f t="shared" si="119"/>
        <v/>
      </c>
      <c r="KM11" s="11" t="str">
        <f t="shared" si="120"/>
        <v/>
      </c>
      <c r="KN11" s="11" t="str">
        <f t="shared" si="121"/>
        <v/>
      </c>
      <c r="KO11" s="11" t="str">
        <f t="shared" si="122"/>
        <v/>
      </c>
      <c r="KP11" s="11" t="str">
        <f t="shared" si="123"/>
        <v/>
      </c>
      <c r="KQ11" s="11" t="str">
        <f t="shared" si="124"/>
        <v/>
      </c>
      <c r="KR11" s="11" t="str">
        <f t="shared" si="125"/>
        <v/>
      </c>
      <c r="KS11" s="11" t="str">
        <f t="shared" si="126"/>
        <v/>
      </c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36" t="str">
        <f t="shared" si="127"/>
        <v/>
      </c>
      <c r="LO11" s="36" t="str">
        <f t="shared" si="128"/>
        <v/>
      </c>
      <c r="LP11" s="36" t="str">
        <f t="shared" si="129"/>
        <v/>
      </c>
      <c r="LQ11" s="36" t="str">
        <f t="shared" si="130"/>
        <v/>
      </c>
      <c r="LR11" s="36" t="str">
        <f t="shared" si="131"/>
        <v/>
      </c>
      <c r="LS11" s="36" t="str">
        <f t="shared" si="132"/>
        <v/>
      </c>
      <c r="LT11" s="36" t="str">
        <f t="shared" si="133"/>
        <v/>
      </c>
      <c r="LU11" s="36" t="str">
        <f t="shared" si="134"/>
        <v/>
      </c>
      <c r="LV11" s="36" t="str">
        <f t="shared" si="135"/>
        <v/>
      </c>
      <c r="LW11" s="36" t="str">
        <f t="shared" si="136"/>
        <v/>
      </c>
      <c r="LX11" s="36" t="str">
        <f t="shared" si="137"/>
        <v/>
      </c>
      <c r="LY11" s="36" t="str">
        <f t="shared" si="138"/>
        <v/>
      </c>
      <c r="LZ11" s="36" t="str">
        <f t="shared" si="139"/>
        <v/>
      </c>
      <c r="MA11" s="36" t="str">
        <f t="shared" si="140"/>
        <v/>
      </c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6"/>
      <c r="MT11" s="16"/>
      <c r="MU11" s="16"/>
      <c r="MV11" s="11" t="str">
        <f t="shared" si="141"/>
        <v/>
      </c>
      <c r="MW11" s="11" t="str">
        <f t="shared" si="142"/>
        <v/>
      </c>
      <c r="MX11" s="11" t="str">
        <f t="shared" si="143"/>
        <v/>
      </c>
      <c r="MY11" s="11" t="str">
        <f t="shared" si="144"/>
        <v/>
      </c>
      <c r="MZ11" s="11" t="str">
        <f t="shared" si="145"/>
        <v/>
      </c>
      <c r="NA11" s="11" t="str">
        <f t="shared" si="146"/>
        <v/>
      </c>
      <c r="NB11" s="11" t="str">
        <f t="shared" si="147"/>
        <v/>
      </c>
      <c r="NC11" s="11" t="str">
        <f t="shared" si="148"/>
        <v/>
      </c>
      <c r="ND11" s="11" t="str">
        <f t="shared" si="149"/>
        <v/>
      </c>
      <c r="NE11" s="11" t="str">
        <f t="shared" si="150"/>
        <v/>
      </c>
      <c r="NF11" s="11" t="str">
        <f t="shared" si="151"/>
        <v/>
      </c>
      <c r="NG11" s="11" t="str">
        <f t="shared" si="152"/>
        <v/>
      </c>
      <c r="NH11" s="11" t="str">
        <f t="shared" si="153"/>
        <v/>
      </c>
      <c r="NI11" s="11" t="str">
        <f t="shared" si="154"/>
        <v/>
      </c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36" t="str">
        <f t="shared" si="155"/>
        <v/>
      </c>
      <c r="OE11" s="36" t="str">
        <f t="shared" si="156"/>
        <v/>
      </c>
      <c r="OF11" s="36" t="str">
        <f t="shared" si="157"/>
        <v/>
      </c>
      <c r="OG11" s="36" t="str">
        <f t="shared" si="158"/>
        <v/>
      </c>
      <c r="OH11" s="36" t="str">
        <f t="shared" si="159"/>
        <v/>
      </c>
      <c r="OI11" s="36" t="str">
        <f t="shared" si="160"/>
        <v/>
      </c>
      <c r="OJ11" s="36" t="str">
        <f t="shared" si="161"/>
        <v/>
      </c>
      <c r="OK11" s="36" t="str">
        <f t="shared" si="162"/>
        <v/>
      </c>
      <c r="OL11" s="36" t="str">
        <f t="shared" si="163"/>
        <v/>
      </c>
      <c r="OM11" s="36" t="str">
        <f t="shared" si="164"/>
        <v/>
      </c>
      <c r="ON11" s="36" t="str">
        <f t="shared" si="165"/>
        <v/>
      </c>
      <c r="OO11" s="36" t="str">
        <f t="shared" si="166"/>
        <v/>
      </c>
      <c r="OP11" s="36" t="str">
        <f t="shared" si="167"/>
        <v/>
      </c>
      <c r="OQ11" s="36" t="str">
        <f t="shared" si="168"/>
        <v/>
      </c>
      <c r="OR11" s="16">
        <v>15.3</v>
      </c>
      <c r="OS11" s="16">
        <v>8.9</v>
      </c>
      <c r="OT11" s="16">
        <v>2.8</v>
      </c>
      <c r="OU11" s="16">
        <v>14.8</v>
      </c>
      <c r="OV11" s="16">
        <v>0</v>
      </c>
      <c r="OW11" s="16">
        <v>12.1</v>
      </c>
      <c r="OX11" s="16">
        <v>9.4</v>
      </c>
      <c r="OY11" s="16">
        <v>13.8</v>
      </c>
      <c r="OZ11" s="16">
        <v>13.68</v>
      </c>
      <c r="PA11" s="16">
        <v>0</v>
      </c>
      <c r="PB11" s="16"/>
      <c r="PC11" s="16"/>
      <c r="PD11" s="16"/>
      <c r="PE11" s="16"/>
      <c r="PF11" s="16"/>
      <c r="PG11" s="16"/>
      <c r="PH11" s="16"/>
      <c r="PI11" s="16"/>
      <c r="PJ11" s="16"/>
      <c r="PK11" s="16"/>
      <c r="PL11" s="11">
        <f t="shared" si="169"/>
        <v>2.8</v>
      </c>
      <c r="PM11" s="11">
        <f t="shared" si="170"/>
        <v>14.8</v>
      </c>
      <c r="PN11" s="11">
        <f t="shared" si="171"/>
        <v>41.800000000000004</v>
      </c>
      <c r="PO11" s="11">
        <f t="shared" si="172"/>
        <v>13.8</v>
      </c>
      <c r="PP11" s="11">
        <f t="shared" si="173"/>
        <v>13.68</v>
      </c>
      <c r="PQ11" s="11">
        <f t="shared" si="174"/>
        <v>48.98</v>
      </c>
      <c r="PR11" s="11">
        <f t="shared" si="175"/>
        <v>48.98</v>
      </c>
      <c r="PS11" s="11" t="str">
        <f t="shared" si="176"/>
        <v/>
      </c>
      <c r="PT11" s="11" t="str">
        <f t="shared" si="177"/>
        <v/>
      </c>
      <c r="PU11" s="11" t="str">
        <f t="shared" si="178"/>
        <v/>
      </c>
      <c r="PV11" s="11" t="str">
        <f t="shared" si="179"/>
        <v/>
      </c>
      <c r="PW11" s="11" t="str">
        <f t="shared" si="180"/>
        <v/>
      </c>
      <c r="PX11" s="11" t="str">
        <f t="shared" si="181"/>
        <v/>
      </c>
      <c r="PY11" s="11">
        <f t="shared" si="182"/>
        <v>48.98</v>
      </c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36" t="str">
        <f t="shared" si="183"/>
        <v/>
      </c>
      <c r="QU11" s="36" t="str">
        <f t="shared" si="184"/>
        <v/>
      </c>
      <c r="QV11" s="36" t="str">
        <f t="shared" si="185"/>
        <v/>
      </c>
      <c r="QW11" s="36" t="str">
        <f t="shared" si="186"/>
        <v/>
      </c>
      <c r="QX11" s="36" t="str">
        <f t="shared" si="187"/>
        <v/>
      </c>
      <c r="QY11" s="36" t="str">
        <f t="shared" si="188"/>
        <v/>
      </c>
      <c r="QZ11" s="36" t="str">
        <f t="shared" si="189"/>
        <v/>
      </c>
      <c r="RA11" s="36" t="str">
        <f t="shared" si="190"/>
        <v/>
      </c>
      <c r="RB11" s="36" t="str">
        <f t="shared" si="191"/>
        <v/>
      </c>
      <c r="RC11" s="36" t="str">
        <f t="shared" si="192"/>
        <v/>
      </c>
      <c r="RD11" s="36" t="str">
        <f t="shared" si="193"/>
        <v/>
      </c>
      <c r="RE11" s="36" t="str">
        <f t="shared" si="194"/>
        <v/>
      </c>
      <c r="RF11" s="36" t="str">
        <f t="shared" si="195"/>
        <v/>
      </c>
      <c r="RG11" s="36" t="str">
        <f t="shared" si="196"/>
        <v/>
      </c>
      <c r="RH11" s="16"/>
      <c r="RI11" s="16"/>
      <c r="RJ11" s="16"/>
      <c r="RK11" s="16"/>
      <c r="RL11" s="16"/>
      <c r="RM11" s="16"/>
      <c r="RN11" s="16"/>
      <c r="RO11" s="16"/>
      <c r="RP11" s="16"/>
      <c r="RQ11" s="16"/>
      <c r="RR11" s="16"/>
      <c r="RS11" s="16"/>
      <c r="RT11" s="16"/>
      <c r="RU11" s="16"/>
      <c r="RV11" s="16"/>
      <c r="RW11" s="16"/>
      <c r="RX11" s="16"/>
      <c r="RY11" s="16"/>
      <c r="RZ11" s="16"/>
      <c r="SA11" s="16"/>
      <c r="SB11" s="11" t="str">
        <f t="shared" si="197"/>
        <v/>
      </c>
      <c r="SC11" s="11" t="str">
        <f t="shared" si="198"/>
        <v/>
      </c>
      <c r="SD11" s="11" t="str">
        <f t="shared" si="199"/>
        <v/>
      </c>
      <c r="SE11" s="11" t="str">
        <f t="shared" si="200"/>
        <v/>
      </c>
      <c r="SF11" s="11" t="str">
        <f t="shared" si="201"/>
        <v/>
      </c>
      <c r="SG11" s="11" t="str">
        <f t="shared" si="202"/>
        <v/>
      </c>
      <c r="SH11" s="11" t="str">
        <f t="shared" si="203"/>
        <v/>
      </c>
      <c r="SI11" s="11" t="str">
        <f t="shared" si="204"/>
        <v/>
      </c>
      <c r="SJ11" s="11" t="str">
        <f t="shared" si="205"/>
        <v/>
      </c>
      <c r="SK11" s="11" t="str">
        <f t="shared" si="206"/>
        <v/>
      </c>
      <c r="SL11" s="11" t="str">
        <f t="shared" si="207"/>
        <v/>
      </c>
      <c r="SM11" s="11" t="str">
        <f t="shared" si="208"/>
        <v/>
      </c>
      <c r="SN11" s="11" t="str">
        <f t="shared" si="209"/>
        <v/>
      </c>
      <c r="SO11" s="11" t="str">
        <f t="shared" si="210"/>
        <v/>
      </c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36" t="str">
        <f t="shared" si="211"/>
        <v/>
      </c>
      <c r="TK11" s="36" t="str">
        <f t="shared" si="212"/>
        <v/>
      </c>
      <c r="TL11" s="36" t="str">
        <f t="shared" si="213"/>
        <v/>
      </c>
      <c r="TM11" s="36" t="str">
        <f t="shared" si="214"/>
        <v/>
      </c>
      <c r="TN11" s="36" t="str">
        <f t="shared" si="215"/>
        <v/>
      </c>
      <c r="TO11" s="36" t="str">
        <f t="shared" si="216"/>
        <v/>
      </c>
      <c r="TP11" s="36" t="str">
        <f t="shared" si="217"/>
        <v/>
      </c>
      <c r="TQ11" s="36" t="str">
        <f t="shared" si="218"/>
        <v/>
      </c>
      <c r="TR11" s="36" t="str">
        <f t="shared" si="219"/>
        <v/>
      </c>
      <c r="TS11" s="36" t="str">
        <f t="shared" si="220"/>
        <v/>
      </c>
      <c r="TT11" s="36" t="str">
        <f t="shared" si="221"/>
        <v/>
      </c>
      <c r="TU11" s="36" t="str">
        <f t="shared" si="222"/>
        <v/>
      </c>
      <c r="TV11" s="36" t="str">
        <f t="shared" si="223"/>
        <v/>
      </c>
      <c r="TW11" s="36" t="str">
        <f t="shared" si="224"/>
        <v/>
      </c>
      <c r="TX11" s="16"/>
      <c r="TY11" s="16"/>
      <c r="TZ11" s="16"/>
      <c r="UA11" s="16"/>
      <c r="UB11" s="16"/>
      <c r="UC11" s="16"/>
      <c r="UD11" s="16"/>
      <c r="UE11" s="16"/>
      <c r="UF11" s="16"/>
      <c r="UG11" s="16"/>
      <c r="UH11" s="16"/>
      <c r="UI11" s="16"/>
      <c r="UJ11" s="16"/>
      <c r="UK11" s="16"/>
      <c r="UL11" s="16"/>
      <c r="UM11" s="16"/>
      <c r="UN11" s="16"/>
      <c r="UO11" s="16"/>
      <c r="UP11" s="16"/>
      <c r="UQ11" s="16"/>
      <c r="UR11" s="11" t="str">
        <f t="shared" si="225"/>
        <v/>
      </c>
      <c r="US11" s="11" t="str">
        <f t="shared" si="226"/>
        <v/>
      </c>
      <c r="UT11" s="11" t="str">
        <f t="shared" si="227"/>
        <v/>
      </c>
      <c r="UU11" s="11" t="str">
        <f t="shared" si="228"/>
        <v/>
      </c>
      <c r="UV11" s="11" t="str">
        <f t="shared" si="229"/>
        <v/>
      </c>
      <c r="UW11" s="11" t="str">
        <f t="shared" si="230"/>
        <v/>
      </c>
      <c r="UX11" s="11" t="str">
        <f t="shared" si="231"/>
        <v/>
      </c>
      <c r="UY11" s="11" t="str">
        <f t="shared" si="232"/>
        <v/>
      </c>
      <c r="UZ11" s="11" t="str">
        <f t="shared" si="233"/>
        <v/>
      </c>
      <c r="VA11" s="11" t="str">
        <f t="shared" si="234"/>
        <v/>
      </c>
      <c r="VB11" s="11" t="str">
        <f t="shared" si="235"/>
        <v/>
      </c>
      <c r="VC11" s="11" t="str">
        <f t="shared" si="236"/>
        <v/>
      </c>
      <c r="VD11" s="11" t="str">
        <f t="shared" si="237"/>
        <v/>
      </c>
      <c r="VE11" s="11" t="str">
        <f t="shared" si="238"/>
        <v/>
      </c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36" t="str">
        <f t="shared" si="239"/>
        <v/>
      </c>
      <c r="WA11" s="36" t="str">
        <f t="shared" si="240"/>
        <v/>
      </c>
      <c r="WB11" s="36" t="str">
        <f t="shared" si="241"/>
        <v/>
      </c>
      <c r="WC11" s="36" t="str">
        <f t="shared" si="242"/>
        <v/>
      </c>
      <c r="WD11" s="36" t="str">
        <f t="shared" si="243"/>
        <v/>
      </c>
      <c r="WE11" s="36" t="str">
        <f t="shared" si="244"/>
        <v/>
      </c>
      <c r="WF11" s="36" t="str">
        <f t="shared" si="245"/>
        <v/>
      </c>
      <c r="WG11" s="36" t="str">
        <f t="shared" si="246"/>
        <v/>
      </c>
      <c r="WH11" s="36" t="str">
        <f t="shared" si="247"/>
        <v/>
      </c>
      <c r="WI11" s="36" t="str">
        <f t="shared" si="248"/>
        <v/>
      </c>
      <c r="WJ11" s="36" t="str">
        <f t="shared" si="249"/>
        <v/>
      </c>
      <c r="WK11" s="36" t="str">
        <f t="shared" si="250"/>
        <v/>
      </c>
      <c r="WL11" s="36" t="str">
        <f t="shared" si="251"/>
        <v/>
      </c>
      <c r="WM11" s="36" t="str">
        <f t="shared" si="252"/>
        <v/>
      </c>
    </row>
    <row r="12" spans="1:611" x14ac:dyDescent="0.2">
      <c r="A12" s="4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>9</v>
      </c>
      <c r="B12" s="5" t="s">
        <v>24</v>
      </c>
      <c r="C12" s="4" t="s">
        <v>7</v>
      </c>
      <c r="D12" s="4">
        <v>1997</v>
      </c>
      <c r="E12" s="9">
        <f t="shared" si="0"/>
        <v>147.18001244450551</v>
      </c>
      <c r="F12" s="3" t="str">
        <f>IF(OR(AND(AI12&gt;=AS$17,AI12&lt;&gt;"",AK12&gt;=AS$21,AK12&lt;&gt;"",AH12=""),AND(AL12&gt;=AS$17,AL12&lt;&gt;"",AN12&gt;=AS$21,AN12&lt;&gt;"",AH12=""),AND(AP12&gt;=AS$17,AP12&lt;&gt;"",AR12&gt;=AS$21,AR12&lt;&gt;"",AH12=""),AND(BJ12&gt;=BT$17,BJ12&lt;&gt;"",BL12&gt;=BT$21,BL12&lt;&gt;"",BI12=""),AND(BM12&gt;=BT$17,BM12&lt;&gt;"",BO12&gt;=BT$21,BO12&lt;&gt;"",BI12=""),AND(BQ12&gt;=BT$17,BQ12&lt;&gt;"",BS12&gt;=BT$21,BS12&lt;&gt;"",BI12=""),AND(CK12&gt;=CU$17,CK12&lt;&gt;"",CM12&gt;=CU$21,CM12&lt;&gt;"",CJ12=""),AND(CN12&gt;=CU$17,CN12&lt;&gt;"",CP12&gt;=CU$21,CP12&lt;&gt;"",CJ12=""),AND(CR12&gt;=CU$17,CR12&lt;&gt;"",CT12&gt;=CU$21,CT12&lt;&gt;"",CJ12=""),AND(DR12&gt;=EE$17,DR12&lt;&gt;"",DT12&gt;=EE$21,DT12&lt;&gt;""),AND(DU12&gt;=EE$17,DU12&lt;&gt;"",DW12&gt;=EE$21,DW12&lt;&gt;""),AND(DY12&gt;=EE$17,DY12&lt;&gt;"",EA12&gt;=EE$21,EA12&lt;&gt;""),AND(EB12&gt;=EE$17,EB12&lt;&gt;"",ED12&gt;=EE$21,ED12&lt;&gt;""),AND(EZ12&gt;=FM$17,EZ12&lt;&gt;"",FB12&gt;=FM$21,FB12&lt;&gt;""),AND(FC12&gt;=FM$17,FC12&lt;&gt;"",FE12&gt;=FM$21,FE12&lt;&gt;""),AND(FG12&gt;=FM$17,FG12&lt;&gt;"",FI12&gt;=FM$21,FI12&lt;&gt;""),AND(FJ12&gt;=FM$17,FJ12&lt;&gt;"",FL12&gt;=FM$21,FL12&lt;&gt;""),AND(GH12&gt;=GU$17,GH12&lt;&gt;"",GJ12&gt;=GU$21,GJ12&lt;&gt;""),AND(GK12&gt;=GU$17,GK12&lt;&gt;"",GM12&gt;=GU$21,GM12&lt;&gt;""),AND(GO12&gt;=GU$17,GO12&lt;&gt;"",GQ12&gt;=GU$21,GQ12&lt;&gt;""),AND(GR12&gt;=GU$17,GR12&lt;&gt;"",GT12&gt;=GU$21,GT12&lt;&gt;""),AND(HP12&gt;=IC$17,HP12&lt;&gt;"",HR12&gt;=IC$21,HR12&lt;&gt;""),AND(HS12&gt;=IC$17,HS12&lt;&gt;"",HU12&gt;=IC$21,HU12&lt;&gt;""),AND(HW12&gt;=IC$17,HW12&lt;&gt;"",HY12&gt;=IC$21,HY12&lt;&gt;""),AND(HZ12&gt;=IC$17,HZ12&lt;&gt;"",IB12&gt;=IC$21,IB12&lt;&gt;""),AND(IX12&gt;=JK$17,IX12&lt;&gt;"",IZ12&gt;=JK$21,IZ12&lt;&gt;""),AND(JA12&gt;=JK$17,JA12&lt;&gt;"",JC12&gt;=JK$21,JC12&lt;&gt;""),AND(JE12&gt;=JK$17,JE12&lt;&gt;"",JG12&gt;=JK$21,JG12&lt;&gt;""),AND(JH12&gt;=JK$17,JH12&lt;&gt;"",JJ12&gt;=JK$21,JJ12&lt;&gt;""),AND(KF12&gt;=KS$17,KF12&lt;&gt;"",KH12&gt;=KS$21,KH12&lt;&gt;""),AND(KI12&gt;=KS$17,KI12&lt;&gt;"",KK12&gt;=KS$21,KK12&lt;&gt;""),AND(KM12&gt;=KS$17,KM12&lt;&gt;"",KO12&gt;=KS$21,KO12&lt;&gt;""),AND(KP12&gt;=KS$17,KP12&lt;&gt;"",KR12&gt;=KS$21,KR12&lt;&gt;""),AND(LN12&gt;=MA$17,LN12&lt;&gt;"",LP12&gt;=MA$21,LP12&lt;&gt;""),AND(LQ12&gt;=MA$17,LQ12&lt;&gt;"",LS12&gt;=MA$21,LS12&lt;&gt;""),AND(LU12&gt;=MA$17,LU12&lt;&gt;"",LW12&gt;=MA$21,LW12&lt;&gt;""),AND(LX12&gt;=MA$17,LX12&lt;&gt;"",LZ12&gt;=MA$21,LZ12&lt;&gt;""),AND(MV12&gt;=NI$17,MV12&lt;&gt;"",MX12&gt;=NI$21,MX12&lt;&gt;""),AND(MY12&gt;=NI$17,MY12&lt;&gt;"",NA12&gt;=NI$21,NA12&lt;&gt;""),AND(NC12&gt;=NI$17,NC12&lt;&gt;"",NE12&gt;=NI$21,NE12&lt;&gt;""),AND(NF12&gt;=NI$17,NF12&lt;&gt;"",NH12&gt;=NI$21,NH12&lt;&gt;""),AND(OD12&gt;=OQ$17,OD12&lt;&gt;"",OF12&gt;=OQ$21,OF12&lt;&gt;""),AND(OG12&gt;=OQ$17,OG12&lt;&gt;"",OI12&gt;=OQ$21,OI12&lt;&gt;""),AND(OK12&gt;=OQ$17,OK12&lt;&gt;"",OM12&gt;=OQ$21,OM12&lt;&gt;""),AND(ON12&gt;=OQ$17,ON12&lt;&gt;"",OP12&gt;=OQ$21,OP12&lt;&gt;""),AND(PL12&gt;=PY$17,PL12&lt;&gt;"",PN12&gt;=PY$21,PN12&lt;&gt;""),AND(PO12&gt;=PY$17,PO12&lt;&gt;"",PQ12&gt;=PY$21,PQ12&lt;&gt;""),AND(PS12&gt;=PY$17,PS12&lt;&gt;"",PU12&gt;=PY$21,PU12&lt;&gt;""),AND(PV12&gt;=PY$17,PV12&lt;&gt;"",PX12&gt;=PY$21,PX12&lt;&gt;""),AND(QT12&gt;=RG$17,QT12&lt;&gt;"",QV12&gt;=RG$21,QV12&lt;&gt;""),AND(QW12&gt;=RG$17,QW12&lt;&gt;"",QY12&gt;=RG$21,QY12&lt;&gt;""),AND(RA12&gt;=RG$17,RA12&lt;&gt;"",RC12&gt;=RG$21,RC12&lt;&gt;""),AND(RD12&gt;=RG$17,RD12&lt;&gt;"",RF12&gt;=RG$21,RF12&lt;&gt;""),AND(SB12&gt;=SO$17,SB12&lt;&gt;"",SD12&gt;=SO$21,SD12&lt;&gt;""),AND(SE12&gt;=SO$17,SE12&lt;&gt;"",SG12&gt;=SO$21,SG12&lt;&gt;""),AND(SI12&gt;=SO$17,SI12&lt;&gt;"",SK12&gt;=SO$21,SK12&lt;&gt;""),AND(SL12&gt;=SO$17,SL12&lt;&gt;"",SN12&gt;=SO$21,SN12&lt;&gt;""),AND(TJ12&gt;=TW$17,TJ12&lt;&gt;"",TL12&gt;=TW$21,TL12&lt;&gt;""),AND(TM12&gt;=TW$17,TM12&lt;&gt;"",TO12&gt;=TW$21,TO12&lt;&gt;""),AND(TQ12&gt;=TW$17,TQ12&lt;&gt;"",TS12&gt;=TW$21,TXQ12&lt;&gt;""),AND(TT12&gt;=TW$17,TT12&lt;&gt;"",TV12&gt;=TW$21,TV12&lt;&gt;""),AND(UR12&gt;=VE$17,UR12&lt;&gt;"",UT12&gt;=VE$21,UT12&lt;&gt;""),AND(UU12&gt;=VE$17,UU12&lt;&gt;"",UW12&gt;=VE$21,UW12&lt;&gt;""),AND(UY12&gt;=VE$17,UY12&lt;&gt;"",VA12&gt;=VE$21,VA12&lt;&gt;""),AND(VB12&gt;=VE$17,VB12&lt;&gt;"",VD12&gt;=VE$21,VD12&lt;&gt;""),AND(VZ12&gt;=WM$17,VZ12&lt;&gt;"",WB12&gt;=WM$21,WB12&lt;&gt;""),AND(WC12&gt;=WM$17,WC12&lt;&gt;"",WE12&gt;=WM$21,WE12&lt;&gt;""),AND(WG12&gt;=WM$17,WG12&lt;&gt;"",WI12&gt;=WM$21,WI12&lt;&gt;""),AND(WJ12&gt;=WM$17,WJ12&lt;&gt;"",WL12&gt;=WM$21,WL12&lt;&gt;"")),"P","")</f>
        <v>P</v>
      </c>
      <c r="G12" s="3" t="str">
        <f>IF(OR(AND(AK12&gt;=AS$21,AK12&lt;&gt;"",AH12=""),AND(AN12&gt;=AS$21,AN12&lt;&gt;"",AH12=""),AND(AR12&gt;=AS$21,AR12&lt;&gt;"",AH12=""),AND(BL12&gt;=BT$21,BL12&lt;&gt;"",BI12=""),AND(BO12&gt;=BT$21,BO12&lt;&gt;"",BI12=""),AND(BS12&gt;=BT$21,BS12&lt;&gt;"",BI12=""),AND(CM12&gt;=CU$21,CM12&lt;&gt;"",CJ12=""),AND(CP12&gt;=CU$21,CP12&lt;&gt;"",CJ12=""),AND(CT12&gt;=CU$21,CT12&lt;&gt;"",CJ12=""),AND(DT12&gt;=EE$21,DT12&lt;&gt;""),AND(DW12&gt;=EE$21,DW12&lt;&gt;""),AND(EA12&gt;=EE$21,EA12&lt;&gt;""),AND(ED12&gt;=EE$21,ED12&lt;&gt;""),AND(FB12&gt;=FM$21,FB12&lt;&gt;""),AND(FE12&gt;=FM$21,FE12&lt;&gt;""),AND(FI12&gt;=FM$21,FI12&lt;&gt;""),AND(FL12&gt;=FM$21,FL12&lt;&gt;""),AND(GJ12&gt;=GU$21,GJ12&lt;&gt;""),AND(GM12&gt;=GU$21,GM12&lt;&gt;""),AND(GQ12&gt;=GU$21,GQ12&lt;&gt;""),AND(GT12&gt;=GU$21,GT12&lt;&gt;""),AND(HR12&gt;=IC$21,HR12&lt;&gt;""),AND(HU12&gt;=IC$21,HU12&lt;&gt;""),AND(HY12&gt;=IC$21,HY12&lt;&gt;""),AND(IB12&gt;=IC$21,IB12&lt;&gt;""),AND(IZ12&gt;=JK$21,IZ12&lt;&gt;""),AND(JC12&gt;=JK$21,JC12&lt;&gt;""),AND(JG12&gt;=JK$21,JG12&lt;&gt;""),AND(JJ12&gt;=JK$21,JJ12&lt;&gt;""),AND(KH12&gt;=KS$21,KH12&lt;&gt;""),AND(KK12&gt;=KS$21,KK12&lt;&gt;""),AND(KO12&gt;=KS$21,KO12&lt;&gt;""),AND(KR12&gt;=KS$21,KR12&lt;&gt;""),AND(LP12&gt;=MA$21,LP12&lt;&gt;""),AND(LS12&gt;=MA$21,LS12&lt;&gt;""),AND(LW12&gt;=MA$21,LW12&lt;&gt;""),AND(LZ12&gt;=MA$21,LZ12&lt;&gt;""),AND(MX12&gt;=NI$21,MX12&lt;&gt;""),AND(NA12&gt;=NI$21,NA12&lt;&gt;""),AND(NE12&gt;=NI$21,NE12&lt;&gt;""),AND(NH12&gt;=NI$21,NH12&lt;&gt;""),AND(OF12&gt;=OQ$21,OF12&lt;&gt;""),AND(OI12&gt;=OQ$21,OI12&lt;&gt;""),AND(OM12&gt;=OQ$21,OM12&lt;&gt;""),AND(OP12&gt;=OQ$21,OP12&lt;&gt;""),AND(PN12&gt;=PY$21,PN12&lt;&gt;""),AND(PQ12&gt;=PY$21,PQ12&lt;&gt;""),AND(PU12&gt;=PY$21,PU12&lt;&gt;""),AND(PX12&gt;=PY$21,PX12&lt;&gt;""),AND(QV12&gt;=RG$21,QV12&lt;&gt;""),AND(QY12&gt;=RG$21,QY12&lt;&gt;""),AND(RC12&gt;=RG$21,RC12&lt;&gt;""),AND(RF12&gt;=RG$21,RF12&lt;&gt;""),AND(SD12&gt;=SO$21,SD12&lt;&gt;""),AND(SG12&gt;=SO$21,SG12&lt;&gt;""),AND(SK12&gt;=SO$21,SK12&lt;&gt;""),AND(SN12&gt;=SO$21,SN12&lt;&gt;""),AND(TL12&gt;=TW$21,TL12&lt;&gt;""),AND(TO12&gt;=TW$21,TO12&lt;&gt;""),AND(TS12&gt;=TW$21,TXQ12&lt;&gt;""),AND(TV12&gt;=TW$21,TV12&lt;&gt;""),AND(UT12&gt;=VE$21,UT12&lt;&gt;""),AND(UW12&gt;=VE$21,UW12&lt;&gt;""),AND(VA12&gt;=VE$21,VA12&lt;&gt;""),AND(VD12&gt;=VE$21,VD12&lt;&gt;""),AND(WB12&gt;=WM$21,WB12&lt;&gt;""),AND(WE12&gt;=WM$21,WE12&lt;&gt;""),AND(WI12&gt;=WM$21,WI12&lt;&gt;""),AND(WL12&gt;=WM$21,WL12&lt;&gt;"")),"P","")</f>
        <v>P</v>
      </c>
      <c r="H12" s="32" t="str">
        <f>IF(AND(G12="P",F12=""),"No DD",IF(OR(AND(AI12&gt;=AS$20,AI12&lt;&gt;"",AK12&gt;=AS$24,AK12&lt;&gt;"",AH12=""),AND(AL12&gt;=AS$20,AL12&lt;&gt;"",AN12&gt;=AS$24,AN12&lt;&gt;"",AH12=""),AND(AP12&gt;=AS$20,AP12&lt;&gt;"",AR12&gt;=AS$24,AR12&lt;&gt;"",AH12=""),AND(BJ12&gt;=BT$20,BJ12&lt;&gt;"",BL12&gt;=BT$24,BL12&lt;&gt;"",BI12=""),AND(BM12&gt;=BT$20,BM12&lt;&gt;"",BO12&gt;=BT$24,BO12&lt;&gt;"",BI12=""),AND(BQ12&gt;=BT$20,BQ12&lt;&gt;"",BS12&gt;=BT$24,BS12&lt;&gt;"",BI12=""),AND(CK12&gt;=CU$20,CK12&lt;&gt;"",CM12&gt;=CU$24,CM12&lt;&gt;"",CJ12=""),AND(CN12&gt;=CU$20,CN12&lt;&gt;"",CP12&gt;=CU$24,CP12&lt;&gt;"",CJ12=""),AND(CR12&gt;=CU$20,CR12&lt;&gt;"",CT12&gt;=CU$24,CT12&lt;&gt;"",CJ12=""),AND(DR12&gt;=EE$20,DR12&lt;&gt;"",DT12&gt;=EE$24,DT12&lt;&gt;""),AND(DU12&gt;=EE$20,DU12&lt;&gt;"",DW12&gt;=EE$24,DW12&lt;&gt;""),AND(DY12&gt;=EE$20,DY12&lt;&gt;"",EA12&gt;=EE$24,EA12&lt;&gt;""),AND(EB12&gt;=EE$20,EB12&lt;&gt;"",ED12&gt;=EE$24,ED12&lt;&gt;""),AND(EZ12&gt;=FM$20,EZ12&lt;&gt;"",FB12&gt;=FM$24,FB12&lt;&gt;""),AND(FC12&gt;=FM$20,FC12&lt;&gt;"",FE12&gt;=FM$24,FE12&lt;&gt;""),AND(FG12&gt;=FM$20,FG12&lt;&gt;"",FI12&gt;=FM$24,FI12&lt;&gt;""),AND(FJ12&gt;=FM$20,FJ12&lt;&gt;"",FL12&gt;=FM$24,FL12&lt;&gt;""),AND(GH12&gt;=GU$20,GH12&lt;&gt;"",GJ12&gt;=GU$24,GJ12&lt;&gt;""),AND(GK12&gt;=GU$20,GK12&lt;&gt;"",GM12&gt;=GU$24,GM12&lt;&gt;""),AND(GO12&gt;=GU$20,GO12&lt;&gt;"",GQ12&gt;=GU$24,GQ12&lt;&gt;""),AND(GR12&gt;=GU$20,GR12&lt;&gt;"",GT12&gt;=GU$24,GT12&lt;&gt;""),AND(HP12&gt;=IC$20,HP12&lt;&gt;"",HR12&gt;=IC$24,HR12&lt;&gt;""),AND(HS12&gt;=IC$20,HS12&lt;&gt;"",HU12&gt;=IC$24,HU12&lt;&gt;""),AND(HW12&gt;=IC$20,HW12&lt;&gt;"",HY12&gt;=IC$24,HY12&lt;&gt;""),AND(HZ12&gt;=IC$20,HZ12&lt;&gt;"",IB12&gt;=IC$24,IB12&lt;&gt;""),AND(IX12&gt;=JK$20,IX12&lt;&gt;"",IZ12&gt;=JK$24,IZ12&lt;&gt;""),AND(JA12&gt;=JK$20,JA12&lt;&gt;"",JC12&gt;=JK$24,JC12&lt;&gt;""),AND(JE12&gt;=JK$20,JE12&lt;&gt;"",JG12&gt;=JK$24,JG12&lt;&gt;""),AND(JH12&gt;=JK$20,JH12&lt;&gt;"",JJ12&gt;=JK$24,JJ12&lt;&gt;""),AND(KF12&gt;=KS$20,KF12&lt;&gt;"",KH12&gt;=KS$24,KH12&lt;&gt;""),AND(KI12&gt;=KS$20,KI12&lt;&gt;"",KK12&gt;=KS$24,KK12&lt;&gt;""),AND(KM12&gt;=KS$20,KM12&lt;&gt;"",KO12&gt;=KS$24,KO12&lt;&gt;""),AND(KP12&gt;=KS$20,KP12&lt;&gt;"",KR12&gt;=KS$24,KR12&lt;&gt;""),AND(LN12&gt;=MA$20,LN12&lt;&gt;"",LP12&gt;=MA$24,LP12&lt;&gt;""),AND(LQ12&gt;=MA$20,LQ12&lt;&gt;"",LS12&gt;=MA$24,LS12&lt;&gt;""),AND(LU12&gt;=MA$20,LU12&lt;&gt;"",LW12&gt;=MA$24,LW12&lt;&gt;""),AND(LX12&gt;=MA$20,LX12&lt;&gt;"",LZ12&gt;=MA$24,LZ12&lt;&gt;""),AND(MV12&gt;=NI$20,MV12&lt;&gt;"",MX12&gt;=NI$24,MX12&lt;&gt;""),AND(MY12&gt;=NI$20,MY12&lt;&gt;"",NA12&gt;=NI$24,NA12&lt;&gt;""),AND(NC12&gt;=NI$20,NC12&lt;&gt;"",NE12&gt;=NI$24,NE12&lt;&gt;""),AND(NF12&gt;=NI$20,NF12&lt;&gt;"",NH12&gt;=NI$24,NH12&lt;&gt;""),AND(OD12&gt;=OQ$20,OD12&lt;&gt;"",OF12&gt;=OQ$24,OF12&lt;&gt;""),AND(OG12&gt;=OQ$20,OG12&lt;&gt;"",OI12&gt;=OQ$24,OI12&lt;&gt;""),AND(OK12&gt;=OQ$20,OK12&lt;&gt;"",OM12&gt;=OQ$24,OM12&lt;&gt;""),AND(ON12&gt;=OQ$20,ON12&lt;&gt;"",OP12&gt;=OQ$24,OP12&lt;&gt;""),AND(PL12&gt;=PY$20,PL12&lt;&gt;"",PN12&gt;=PY$24,PN12&lt;&gt;""),AND(PO12&gt;=PY$20,PO12&lt;&gt;"",PQ12&gt;=PY$24,PQ12&lt;&gt;""),AND(PS12&gt;=PY$20,PS12&lt;&gt;"",PU12&gt;=PY$24,PU12&lt;&gt;""),AND(PV12&gt;=PY$20,PV12&lt;&gt;"",PX12&gt;=PY$24,PX12&lt;&gt;""),AND(QT12&gt;=RG$20,QT12&lt;&gt;"",QV12&gt;=RG$24,QV12&lt;&gt;""),AND(QW12&gt;=RG$20,QW12&lt;&gt;"",QY12&gt;=RG$24,QY12&lt;&gt;""),AND(RA12&gt;=RG$20,RA12&lt;&gt;"",RC12&gt;=RG$24,RC12&lt;&gt;""),AND(RD12&gt;=RG$20,RD12&lt;&gt;"",RF12&gt;=RG$24,RF12&lt;&gt;""),AND(SB12&gt;=SO$20,SB12&lt;&gt;"",SD12&gt;=SO$24,SD12&lt;&gt;""),AND(SE12&gt;=SO$20,SE12&lt;&gt;"",SG12&gt;=SO$24,SG12&lt;&gt;""),AND(SI12&gt;=SO$20,SI12&lt;&gt;"",SK12&gt;=SO$24,SK12&lt;&gt;""),AND(SL12&gt;=SO$20,SL12&lt;&gt;"",SN12&gt;=SO$24,SN12&lt;&gt;""),AND(TJ12&gt;=TW$20,TJ12&lt;&gt;"",TL12&gt;=TW$24,TL12&lt;&gt;""),AND(TM12&gt;=TW$20,TM12&lt;&gt;"",TO12&gt;=TW$24,TO12&lt;&gt;""),AND(TQ12&gt;=TW$20,TQ12&lt;&gt;"",TS12&gt;=TW$344,TXQ12&lt;&gt;""),AND(TT12&gt;=TW$20,TT12&lt;&gt;"",TV12&gt;=TW$24,TV12&lt;&gt;""),AND(UR12&gt;=VE$20,UR12&lt;&gt;"",UT12&gt;=VE$24,UT12&lt;&gt;""),AND(UU12&gt;=VE$20,UU12&lt;&gt;"",UW12&gt;=VE$24,UW12&lt;&gt;""),AND(UY12&gt;=VE$20,UY12&lt;&gt;"",VA12&gt;=VE$24,VA12&lt;&gt;""),AND(VB12&gt;=VE$20,VB12&lt;&gt;"",VD12&gt;=VE$24,VD12&lt;&gt;""),AND(VZ12&gt;=WM$20,VZ12&lt;&gt;"",WB12&gt;=WM$24,WB12&lt;&gt;""),AND(WC12&gt;=WM$20,WC12&lt;&gt;"",WE12&gt;=WM$24,WE12&lt;&gt;""),AND(WG12&gt;=WM$20,WG12&lt;&gt;"",WI12&gt;=WM$24,WI12&lt;&gt;""),AND(WJ12&gt;=WM$20,WJ12&lt;&gt;"",WL12&gt;=WM$24,WL12&lt;&gt;"")),"Merit",IF(OR(AND(AI12&gt;=AS$19,AI12&lt;&gt;"",AK12&gt;=AS$23,AK12&lt;&gt;"",AH12=""),AND(AL12&gt;=AS$19,AL12&lt;&gt;"",AN12&gt;=AS$23,AN12&lt;&gt;"",AH12=""),AND(AP12&gt;=AS$19,AP12&lt;&gt;"",AR12&gt;=AS$23,AR12&lt;&gt;"",AH12=""),AND(BJ12&gt;=BT$19,BJ12&lt;&gt;"",BL12&gt;=BT$23,BL12&lt;&gt;"",BI12=""),AND(BM12&gt;=BT$19,BM12&lt;&gt;"",BO12&gt;=BT$23,BO12&lt;&gt;"",BI12=""),AND(BQ12&gt;=BT$19,BQ12&lt;&gt;"",BS12&gt;=BT$23,BS12&lt;&gt;"",BI12=""),AND(CK12&gt;=CU$19,CK12&lt;&gt;"",CM12&gt;=CU$23,CM12&lt;&gt;"",CJ12=""),AND(CN12&gt;=CU$19,CN12&lt;&gt;"",CP12&gt;=CU$23,CP12&lt;&gt;"",CJ12=""),AND(CR12&gt;=CU$19,CR12&lt;&gt;"",CT12&gt;=CU$23,CT12&lt;&gt;"",CJ12=""),AND(DR12&gt;=EE$19,DR12&lt;&gt;"",DT12&gt;=EE$23,DT12&lt;&gt;""),AND(DU12&gt;=EE$19,DU12&lt;&gt;"",DW12&gt;=EE$23,DW12&lt;&gt;""),AND(DY12&gt;=EE$19,DY12&lt;&gt;"",EA12&gt;=EE$23,EA12&lt;&gt;""),AND(EB12&gt;=EE$19,EB12&lt;&gt;"",ED12&gt;=EE$23,ED12&lt;&gt;""),AND(EZ12&gt;=FM$19,EZ12&lt;&gt;"",FB12&gt;=FM$23,FB12&lt;&gt;""),AND(FC12&gt;=FM$19,FC12&lt;&gt;"",FE12&gt;=FM$23,FE12&lt;&gt;""),AND(FG12&gt;=FM$19,FG12&lt;&gt;"",FI12&gt;=FM$23,FI12&lt;&gt;""),AND(FJ12&gt;=FM$19,FJ12&lt;&gt;"",FL12&gt;=FM$23,FL12&lt;&gt;""),AND(GH12&gt;=GU$19,GH12&lt;&gt;"",GJ12&gt;=GU$23,GJ12&lt;&gt;""),AND(GK12&gt;=GU$19,GK12&lt;&gt;"",GM12&gt;=GU$23,GM12&lt;&gt;""),AND(GO12&gt;=GU$19,GO12&lt;&gt;"",GQ12&gt;=GU$23,GQ12&lt;&gt;""),AND(GR12&gt;=GU$19,GR12&lt;&gt;"",GT12&gt;=GU$23,GT12&lt;&gt;""),AND(HP12&gt;=IC$19,HP12&lt;&gt;"",HR12&gt;=IC$23,HR12&lt;&gt;""),AND(HS12&gt;=IC$19,HS12&lt;&gt;"",HU12&gt;=IC$23,HU12&lt;&gt;""),AND(HW12&gt;=IC$19,HW12&lt;&gt;"",HY12&gt;=IC$23,HY12&lt;&gt;""),AND(HZ12&gt;=IC$19,HZ12&lt;&gt;"",IB12&gt;=IC$23,IB12&lt;&gt;""),AND(IX12&gt;=JK$19,IX12&lt;&gt;"",IZ12&gt;=JK$23,IZ12&lt;&gt;""),AND(JA12&gt;=JK$19,JA12&lt;&gt;"",JC12&gt;=JK$23,JC12&lt;&gt;""),AND(JE12&gt;=JK$19,JE12&lt;&gt;"",JG12&gt;=JK$23,JG12&lt;&gt;""),AND(JH12&gt;=JK$19,JH12&lt;&gt;"",JJ12&gt;=JK$23,JJ12&lt;&gt;""),AND(KF12&gt;=KS$19,KF12&lt;&gt;"",KH12&gt;=KS$23,KH12&lt;&gt;""),AND(KI12&gt;=KS$19,KI12&lt;&gt;"",KK12&gt;=KS$23,KK12&lt;&gt;""),AND(KM12&gt;=KS$19,KM12&lt;&gt;"",KO12&gt;=KS$23,KO12&lt;&gt;""),AND(KP12&gt;=KS$19,KP12&lt;&gt;"",KR12&gt;=KS$23,KR12&lt;&gt;""),AND(LN12&gt;=MA$19,LN12&lt;&gt;"",LP12&gt;=MA$23,LP12&lt;&gt;""),AND(LQ12&gt;=MA$19,LQ12&lt;&gt;"",LS12&gt;=MA$23,LS12&lt;&gt;""),AND(LU12&gt;=MA$19,LU12&lt;&gt;"",LW12&gt;=MA$23,LW12&lt;&gt;""),AND(LX12&gt;=MA$19,LX12&lt;&gt;"",LZ12&gt;=MA$23,LZ12&lt;&gt;""),AND(MV12&gt;=NI$19,MV12&lt;&gt;"",MX12&gt;=NI$23,MX12&lt;&gt;""),AND(MY12&gt;=NI$19,MY12&lt;&gt;"",NA12&gt;=NI$23,NA12&lt;&gt;""),AND(NC12&gt;=NI$19,NC12&lt;&gt;"",NE12&gt;=NI$23,NE12&lt;&gt;""),AND(NF12&gt;=NI$19,NF12&lt;&gt;"",NH12&gt;=NI$23,NH12&lt;&gt;""),AND(OD12&gt;=OQ$19,OD12&lt;&gt;"",OF12&gt;=OQ$23,OF12&lt;&gt;""),AND(OG12&gt;=OQ$19,OG12&lt;&gt;"",OI12&gt;=OQ$23,OI12&lt;&gt;""),AND(OK12&gt;=OQ$19,OK12&lt;&gt;"",OM12&gt;=OQ$23,OM12&lt;&gt;""),AND(ON12&gt;=OQ$19,ON12&lt;&gt;"",OP12&gt;=OQ$23,OP12&lt;&gt;""),AND(PL12&gt;=PY$19,PL12&lt;&gt;"",PN12&gt;=PY$23,PN12&lt;&gt;""),AND(PO12&gt;=PY$19,PO12&lt;&gt;"",PQ12&gt;=PY$23,PQ12&lt;&gt;""),AND(PS12&gt;=PY$19,PS12&lt;&gt;"",PU12&gt;=PY$23,PU12&lt;&gt;""),AND(PV12&gt;=PY$19,PV12&lt;&gt;"",PX12&gt;=PY$23,PX12&lt;&gt;""),AND(QT12&gt;=RG$19,QT12&lt;&gt;"",QV12&gt;=RG$23,QV12&lt;&gt;""),AND(QW12&gt;=RG$19,QW12&lt;&gt;"",QY12&gt;=RG$23,QY12&lt;&gt;""),AND(RA12&gt;=RG$19,RA12&lt;&gt;"",RC12&gt;=RG$23,RC12&lt;&gt;""),AND(RD12&gt;=RG$19,RD12&lt;&gt;"",RF12&gt;=RG$23,RF12&lt;&gt;""),AND(SB12&gt;=SO$19,SB12&lt;&gt;"",SD12&gt;=SO$23,SD12&lt;&gt;""),AND(SE12&gt;=SO$19,SE12&lt;&gt;"",SG12&gt;=SO$23,SG12&lt;&gt;""),AND(SI12&gt;=SO$19,SI12&lt;&gt;"",SK12&gt;=SO$23,SK12&lt;&gt;""),AND(SL12&gt;=SO$19,SL12&lt;&gt;"",SN12&gt;=SO$23,SN12&lt;&gt;""),AND(TJ12&gt;=TW$19,TJ12&lt;&gt;"",TL12&gt;=TW$23,TL12&lt;&gt;""),AND(TM12&gt;=TW$19,TM12&lt;&gt;"",TO12&gt;=TW$23,TO12&lt;&gt;""),AND(TQ12&gt;=TW$19,TQ12&lt;&gt;"",TS12&gt;=TW$23,TXQ12&lt;&gt;""),AND(TT12&gt;=TW$19,TT12&lt;&gt;"",TV12&gt;=TW$23,TV12&lt;&gt;""),AND(UR12&gt;=VE$19,UR12&lt;&gt;"",UT12&gt;=VE$23,UT12&lt;&gt;""),AND(UU12&gt;=VE$19,UU12&lt;&gt;"",UW12&gt;=VE$23,UW12&lt;&gt;""),AND(UY12&gt;=VE$19,UY12&lt;&gt;"",VA12&gt;=VE$23,VA12&lt;&gt;""),AND(VB12&gt;=VE$19,VB12&lt;&gt;"",VD12&gt;=VE$23,VD12&lt;&gt;""),AND(VZ12&gt;=WM$19,VZ12&lt;&gt;"",WB12&gt;=WM$23,WB12&lt;&gt;""),AND(WC12&gt;=WM$19,WC12&lt;&gt;"",WE12&gt;=WM$23,WE12&lt;&gt;""),AND(WG12&gt;=WM$19,WG12&lt;&gt;"",WI12&gt;=WM$23,WI12&lt;&gt;""),AND(WJ12&gt;=WM$19,WJ12&lt;&gt;"",WL12&gt;=WM$23,WL12&lt;&gt;"")),"Excellence",IF(I12="P","Worlds Team",IF(F12="P","National Team","")))))</f>
        <v>National Team</v>
      </c>
      <c r="I12" s="3" t="str">
        <f>IF(OR(AND(AI12&gt;=AS$18,AI12&lt;&gt;"",AK12&gt;=AS$22,AK12&lt;&gt;"",AH12=""),AND(AL12&gt;=AS$18,AL12&lt;&gt;"",AN12&gt;=AS$22,AN12&lt;&gt;"",AH12=""),AND(AP12&gt;=AS$18,AP12&lt;&gt;"",AR12&gt;=AS$22,AR12&lt;&gt;"",AH12=""),AND(BJ12&gt;=BT$18,BJ12&lt;&gt;"",BL12&gt;=BT$22,BL12&lt;&gt;"",BI12=""),AND(BM12&gt;=BT$18,BM12&lt;&gt;"",BO12&gt;=BT$22,BO12&lt;&gt;"",BI12=""),AND(BQ12&gt;=BT$18,BQ12&lt;&gt;"",BS12&gt;=BT$22,BS12&lt;&gt;"",BI12=""),AND(CK12&gt;=CU$18,CK12&lt;&gt;"",CM12&gt;=CU$22,CM12&lt;&gt;"",CJ12=""),AND(CN12&gt;=CU$18,CN12&lt;&gt;"",CP12&gt;=CU$22,CP12&lt;&gt;"",CJ12=""),AND(CR12&gt;=CU$18,CR12&lt;&gt;"",CT12&gt;=CU$22,CT12&lt;&gt;"",CJ12=""),AND(DR12&gt;=EE$18,DR12&lt;&gt;"",DT12&gt;=EE$22,DT12&lt;&gt;""),AND(DU12&gt;=EE$18,DU12&lt;&gt;"",DW12&gt;=EE$22,DW12&lt;&gt;""),AND(DY12&gt;=EE$18,DY12&lt;&gt;"",EA12&gt;=EE$22,EA12&lt;&gt;""),AND(EB12&gt;=EE$18,EB12&lt;&gt;"",ED12&gt;=EE$22,ED12&lt;&gt;""),AND(EZ12&gt;=FM$18,EZ12&lt;&gt;"",FB12&gt;=FM$22,FB12&lt;&gt;""),AND(FC12&gt;=FM$18,FC12&lt;&gt;"",FE12&gt;=FM$22,FE12&lt;&gt;""),AND(FG12&gt;=FM$18,FG12&lt;&gt;"",FI12&gt;=FM$22,FI12&lt;&gt;""),AND(FJ12&gt;=FM$18,FJ12&lt;&gt;"",FL12&gt;=FM$22,FL12&lt;&gt;""),AND(GH12&gt;=GU$18,GH12&lt;&gt;"",GJ12&gt;=GU$22,GJ12&lt;&gt;""),AND(GK12&gt;=GU$18,GK12&lt;&gt;"",GM12&gt;=GU$22,GM12&lt;&gt;""),AND(GO12&gt;=GU$18,GO12&lt;&gt;"",GQ12&gt;=GU$22,GQ12&lt;&gt;""),AND(GR12&gt;=GU$18,GR12&lt;&gt;"",GT12&gt;=GU$22,GT12&lt;&gt;""),AND(HP12&gt;=IC$18,HP12&lt;&gt;"",HR12&gt;=IC$22,HR12&lt;&gt;""),AND(HS12&gt;=IC$18,HS12&lt;&gt;"",HU12&gt;=IC$22,HU12&lt;&gt;""),AND(HW12&gt;=IC$18,HW12&lt;&gt;"",HY12&gt;=IC$22,HY12&lt;&gt;""),AND(HZ12&gt;=IC$18,HZ12&lt;&gt;"",IB12&gt;=IC$22,IB12&lt;&gt;""),AND(IX12&gt;=JK$18,IX12&lt;&gt;"",IZ12&gt;=JK$22,IZ12&lt;&gt;""),AND(JA12&gt;=JK$18,JA12&lt;&gt;"",JC12&gt;=JK$22,JC12&lt;&gt;""),AND(JE12&gt;=JK$18,JE12&lt;&gt;"",JG12&gt;=JK$22,JG12&lt;&gt;""),AND(JH12&gt;=JK$18,JH12&lt;&gt;"",JJ12&gt;=JK$22,JJ12&lt;&gt;""),AND(KF12&gt;=KS$18,KF12&lt;&gt;"",KH12&gt;=KS$22,KH12&lt;&gt;""),AND(KI12&gt;=KS$18,KI12&lt;&gt;"",KK12&gt;=KS$22,KK12&lt;&gt;""),AND(KM12&gt;=KS$18,KM12&lt;&gt;"",KO12&gt;=KS$22,KO12&lt;&gt;""),AND(KP12&gt;=KS$18,KP12&lt;&gt;"",KR12&gt;=KS$22,KR12&lt;&gt;""),AND(LN12&gt;=MA$18,LN12&lt;&gt;"",LP12&gt;=MA$22,LP12&lt;&gt;""),AND(LQ12&gt;=MA$18,LQ12&lt;&gt;"",LS12&gt;=MA$22,LS12&lt;&gt;""),AND(LU12&gt;=MA$18,LU12&lt;&gt;"",LW12&gt;=MA$22,LW12&lt;&gt;""),AND(LX12&gt;=MA$18,LX12&lt;&gt;"",LZ12&gt;=MA$22,LZ12&lt;&gt;""),AND(MV12&gt;=NI$18,MV12&lt;&gt;"",MX12&gt;=NI$22,MX12&lt;&gt;""),AND(MY12&gt;=NI$18,MY12&lt;&gt;"",NA12&gt;=NI$22,NA12&lt;&gt;""),AND(NC12&gt;=NI$18,NC12&lt;&gt;"",NE12&gt;=NI$22,NE12&lt;&gt;""),AND(NF12&gt;=NI$18,NF12&lt;&gt;"",NH12&gt;=NI$22,NH12&lt;&gt;""),AND(OD12&gt;=OQ$18,OD12&lt;&gt;"",OF12&gt;=OQ$22,OF12&lt;&gt;""),AND(OG12&gt;=OQ$18,OG12&lt;&gt;"",OI12&gt;=OQ$22,OI12&lt;&gt;""),AND(OK12&gt;=OQ$18,OK12&lt;&gt;"",OM12&gt;=OQ$22,OM12&lt;&gt;""),AND(ON12&gt;=OQ$18,ON12&lt;&gt;"",OP12&gt;=OQ$22,OP12&lt;&gt;""),AND(PL12&gt;=PY$18,PL12&lt;&gt;"",PN12&gt;=PY$22,PN12&lt;&gt;""),AND(PO12&gt;=PY$18,PO12&lt;&gt;"",PQ12&gt;=PY$22,PQ12&lt;&gt;""),AND(PS12&gt;=PY$18,PS12&lt;&gt;"",PU12&gt;=PY$22,PU12&lt;&gt;""),AND(PV12&gt;=PY$18,PV12&lt;&gt;"",PX12&gt;=PY$22,PX12&lt;&gt;""),AND(QT12&gt;=RG$18,QT12&lt;&gt;"",QV12&gt;=RG$22,QV12&lt;&gt;""),AND(QW12&gt;=RG$18,QW12&lt;&gt;"",QY12&gt;=RG$22,QY12&lt;&gt;""),AND(RA12&gt;=RG$18,RA12&lt;&gt;"",RC12&gt;=RG$22,RC12&lt;&gt;""),AND(RD12&gt;=RG$18,RD12&lt;&gt;"",RF12&gt;=RG$22,RF12&lt;&gt;""),AND(SB12&gt;=SO$18,SB12&lt;&gt;"",SD12&gt;=SO$22,SD12&lt;&gt;""),AND(SE12&gt;=SO$18,SE12&lt;&gt;"",SG12&gt;=SO$22,SG12&lt;&gt;""),AND(SI12&gt;=SO$18,SI12&lt;&gt;"",SK12&gt;=SO$22,SK12&lt;&gt;""),AND(SL12&gt;=SO$18,SL12&lt;&gt;"",SN12&gt;=SO$22,SN12&lt;&gt;""),AND(TJ12&gt;=TW$18,TJ12&lt;&gt;"",TL12&gt;=TW$22,TL12&lt;&gt;""),AND(TM12&gt;=TW$18,TM12&lt;&gt;"",TO12&gt;=TW$22,TO12&lt;&gt;""),AND(TQ12&gt;=TW$18,TQ12&lt;&gt;"",TS12&gt;=TW$22,TXQ12&lt;&gt;""),AND(TT12&gt;=TW$18,TT12&lt;&gt;"",TV12&gt;=TW$22,TV12&lt;&gt;""),AND(UR12&gt;=VE$18,UR12&lt;&gt;"",UT12&gt;=VE$22,UT12&lt;&gt;""),AND(UU12&gt;=VE$18,UU12&lt;&gt;"",UW12&gt;=VE$22,UW12&lt;&gt;""),AND(UY12&gt;=VE$18,UY12&lt;&gt;"",VA12&gt;=VE$22,VA12&lt;&gt;""),AND(VB12&gt;=VE$18,VB12&lt;&gt;"",VD12&gt;=VE$22,VD12&lt;&gt;""),AND(VZ12&gt;=WM$18,VZ12&lt;&gt;"",WB12&gt;=WM$22,WB12&lt;&gt;""),AND(WC12&gt;=WM$18,WC12&lt;&gt;"",WE12&gt;=WM$22,WE12&lt;&gt;""),AND(WG12&gt;=WM$18,WG12&lt;&gt;"",WI12&gt;=WM$22,WI12&lt;&gt;""),AND(WJ12&gt;=WM$18,WJ12&lt;&gt;"",WL12&gt;=WM$22,WL12&lt;&gt;"")),"P","")</f>
        <v/>
      </c>
      <c r="J12" s="8">
        <f t="shared" si="1"/>
        <v>32.055</v>
      </c>
      <c r="K12" s="8" t="str">
        <f t="shared" si="2"/>
        <v>2025 3rd Domestic Trial</v>
      </c>
      <c r="L12" s="8">
        <f>IFERROR(IF(J12=AR12,LARGE((AK12,AN12,BL12,BO12,BS12,CM12,CP12,CT12),1),IF(J12=BS12,LARGE((AK12,AN12,AR12,BL12,BO12,CM12,CP12,CT12),1),LARGE((AK12,AN12,AR12,BL12,BO12,BS12,CM12,CP12),1))),0)</f>
        <v>55.150000000000006</v>
      </c>
      <c r="M12" s="8" t="str">
        <f t="shared" si="3"/>
        <v>2025 Nationals</v>
      </c>
      <c r="N12" s="8">
        <f>IFERROR(IF(J12=AR12,LARGE((AK12,AN12,BL12,BO12,BS12,CM12,CP12,CT12),2),IF(J12=BS12,LARGE((AK12,AN12,AR12,BL12,BO12,CM12,CP12,CT12),2),LARGE((AK12,AN12,AR12,BL12,BO12,BS12,CM12,CP12),2))),0)</f>
        <v>37.239999999999995</v>
      </c>
      <c r="O12" s="8" t="str">
        <f t="shared" si="4"/>
        <v>2025 3rd Domestic Trial</v>
      </c>
      <c r="P12" s="8">
        <f t="shared" si="5"/>
        <v>22.734999999999999</v>
      </c>
      <c r="Q12" s="11" t="str">
        <f t="shared" si="6"/>
        <v>(Final)</v>
      </c>
      <c r="R12" s="8" t="str">
        <f t="shared" si="7"/>
        <v>2025 World Cup POR (July 6)</v>
      </c>
      <c r="S12" s="18">
        <v>5.5</v>
      </c>
      <c r="T12" s="18">
        <v>3.4</v>
      </c>
      <c r="U12" s="18">
        <v>6.1</v>
      </c>
      <c r="V12" s="18">
        <v>6.27</v>
      </c>
      <c r="W12" s="18">
        <v>0</v>
      </c>
      <c r="X12" s="18">
        <v>16.3</v>
      </c>
      <c r="Y12" s="18">
        <v>9.3000000000000007</v>
      </c>
      <c r="Z12" s="18">
        <v>14.3</v>
      </c>
      <c r="AA12" s="18">
        <v>15.25</v>
      </c>
      <c r="AB12" s="18">
        <v>0</v>
      </c>
      <c r="AC12" s="18">
        <v>3.2</v>
      </c>
      <c r="AD12" s="18">
        <v>1.6</v>
      </c>
      <c r="AE12" s="18">
        <v>3.3</v>
      </c>
      <c r="AF12" s="18">
        <v>3.25</v>
      </c>
      <c r="AG12" s="18">
        <v>0</v>
      </c>
      <c r="AH12" s="23"/>
      <c r="AI12" s="34">
        <f t="shared" si="8"/>
        <v>6.1</v>
      </c>
      <c r="AJ12" s="34">
        <f t="shared" si="9"/>
        <v>6.27</v>
      </c>
      <c r="AK12" s="36">
        <f t="shared" si="10"/>
        <v>21.27</v>
      </c>
      <c r="AL12" s="36">
        <f t="shared" si="11"/>
        <v>14.3</v>
      </c>
      <c r="AM12" s="36">
        <f t="shared" si="12"/>
        <v>15.25</v>
      </c>
      <c r="AN12" s="36">
        <f t="shared" si="13"/>
        <v>55.150000000000006</v>
      </c>
      <c r="AO12" s="36">
        <f t="shared" si="14"/>
        <v>55.150000000000006</v>
      </c>
      <c r="AP12" s="36">
        <f t="shared" si="15"/>
        <v>3.3</v>
      </c>
      <c r="AQ12" s="36">
        <f t="shared" si="16"/>
        <v>3.25</v>
      </c>
      <c r="AR12" s="36">
        <f t="shared" si="17"/>
        <v>11.350000000000001</v>
      </c>
      <c r="AS12" s="36">
        <f t="shared" si="18"/>
        <v>66.5</v>
      </c>
      <c r="AT12" s="22">
        <v>10.6</v>
      </c>
      <c r="AU12" s="22">
        <v>6.3500000000000005</v>
      </c>
      <c r="AV12" s="22">
        <v>9.85</v>
      </c>
      <c r="AW12" s="22">
        <v>10.44</v>
      </c>
      <c r="AX12" s="22">
        <v>0</v>
      </c>
      <c r="AY12" s="22">
        <v>9.85</v>
      </c>
      <c r="AZ12" s="22">
        <v>5.65</v>
      </c>
      <c r="BA12" s="22">
        <v>8.8000000000000007</v>
      </c>
      <c r="BB12" s="22">
        <v>9.24</v>
      </c>
      <c r="BC12" s="22">
        <v>0</v>
      </c>
      <c r="BD12" s="22">
        <v>9.25</v>
      </c>
      <c r="BE12" s="22">
        <v>5.55</v>
      </c>
      <c r="BF12" s="22">
        <v>8.35</v>
      </c>
      <c r="BG12" s="22">
        <v>8.9050000000000011</v>
      </c>
      <c r="BH12" s="22">
        <v>0</v>
      </c>
      <c r="BI12" s="24" t="s">
        <v>42</v>
      </c>
      <c r="BJ12" s="35">
        <f t="shared" si="19"/>
        <v>9.85</v>
      </c>
      <c r="BK12" s="35">
        <f t="shared" si="20"/>
        <v>10.44</v>
      </c>
      <c r="BL12" s="11">
        <f t="shared" si="21"/>
        <v>37.239999999999995</v>
      </c>
      <c r="BM12" s="11">
        <f t="shared" si="22"/>
        <v>8.8000000000000007</v>
      </c>
      <c r="BN12" s="11">
        <f t="shared" si="23"/>
        <v>9.24</v>
      </c>
      <c r="BO12" s="11">
        <f t="shared" si="24"/>
        <v>33.54</v>
      </c>
      <c r="BP12" s="11">
        <f t="shared" si="25"/>
        <v>37.239999999999995</v>
      </c>
      <c r="BQ12" s="11">
        <f t="shared" si="26"/>
        <v>8.35</v>
      </c>
      <c r="BR12" s="11">
        <f t="shared" si="27"/>
        <v>8.9050000000000011</v>
      </c>
      <c r="BS12" s="11">
        <f t="shared" si="28"/>
        <v>32.055</v>
      </c>
      <c r="BT12" s="11">
        <f t="shared" si="29"/>
        <v>69.294999999999987</v>
      </c>
      <c r="BU12" s="18">
        <v>1.6</v>
      </c>
      <c r="BV12" s="18">
        <v>0.9</v>
      </c>
      <c r="BW12" s="18">
        <v>2</v>
      </c>
      <c r="BX12" s="18">
        <v>1.66</v>
      </c>
      <c r="BY12" s="18">
        <v>0</v>
      </c>
      <c r="BZ12" s="18">
        <v>1.4</v>
      </c>
      <c r="CA12" s="18">
        <v>1</v>
      </c>
      <c r="CB12" s="18">
        <v>2</v>
      </c>
      <c r="CC12" s="18">
        <v>1.66</v>
      </c>
      <c r="CD12" s="18">
        <v>0</v>
      </c>
      <c r="CE12" s="18"/>
      <c r="CF12" s="18"/>
      <c r="CG12" s="18"/>
      <c r="CH12" s="18"/>
      <c r="CI12" s="18"/>
      <c r="CJ12" s="23"/>
      <c r="CK12" s="34">
        <f t="shared" si="30"/>
        <v>2</v>
      </c>
      <c r="CL12" s="34">
        <f t="shared" si="31"/>
        <v>1.66</v>
      </c>
      <c r="CM12" s="36">
        <f t="shared" si="32"/>
        <v>6.16</v>
      </c>
      <c r="CN12" s="36">
        <f t="shared" si="33"/>
        <v>2</v>
      </c>
      <c r="CO12" s="36">
        <f t="shared" si="34"/>
        <v>1.66</v>
      </c>
      <c r="CP12" s="36">
        <f t="shared" si="35"/>
        <v>6.0600000000000005</v>
      </c>
      <c r="CQ12" s="36">
        <f t="shared" si="36"/>
        <v>6.16</v>
      </c>
      <c r="CR12" s="36" t="str">
        <f t="shared" si="37"/>
        <v/>
      </c>
      <c r="CS12" s="36" t="str">
        <f t="shared" si="38"/>
        <v/>
      </c>
      <c r="CT12" s="36" t="str">
        <f t="shared" si="39"/>
        <v/>
      </c>
      <c r="CU12" s="36">
        <f t="shared" si="40"/>
        <v>6.16</v>
      </c>
      <c r="CV12" s="47">
        <f t="shared" si="41"/>
        <v>22.734999999999999</v>
      </c>
      <c r="CW12" s="47">
        <f t="shared" si="42"/>
        <v>18.420000000000009</v>
      </c>
      <c r="CX12" s="15">
        <v>13</v>
      </c>
      <c r="CY12" s="15">
        <v>9.1999999999999993</v>
      </c>
      <c r="CZ12" s="15">
        <v>13.6</v>
      </c>
      <c r="DA12" s="15">
        <v>15.06</v>
      </c>
      <c r="DB12" s="15">
        <v>0</v>
      </c>
      <c r="DC12" s="15">
        <v>10.3</v>
      </c>
      <c r="DD12" s="15">
        <v>5.8</v>
      </c>
      <c r="DE12" s="15">
        <v>8.5</v>
      </c>
      <c r="DF12" s="15">
        <v>10.52</v>
      </c>
      <c r="DG12" s="15">
        <v>0</v>
      </c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36">
        <f t="shared" si="43"/>
        <v>13.6</v>
      </c>
      <c r="DS12" s="36">
        <f t="shared" si="44"/>
        <v>15.06</v>
      </c>
      <c r="DT12" s="36">
        <f t="shared" si="45"/>
        <v>50.86</v>
      </c>
      <c r="DU12" s="36">
        <f t="shared" si="46"/>
        <v>8.5</v>
      </c>
      <c r="DV12" s="36">
        <f t="shared" si="47"/>
        <v>10.52</v>
      </c>
      <c r="DW12" s="36">
        <f t="shared" si="48"/>
        <v>35.120000000000005</v>
      </c>
      <c r="DX12" s="36">
        <f t="shared" si="49"/>
        <v>50.86</v>
      </c>
      <c r="DY12" s="36" t="str">
        <f t="shared" si="50"/>
        <v/>
      </c>
      <c r="DZ12" s="36" t="str">
        <f t="shared" si="51"/>
        <v/>
      </c>
      <c r="EA12" s="36" t="str">
        <f t="shared" si="52"/>
        <v/>
      </c>
      <c r="EB12" s="36" t="str">
        <f t="shared" si="53"/>
        <v/>
      </c>
      <c r="EC12" s="36" t="str">
        <f t="shared" si="54"/>
        <v/>
      </c>
      <c r="ED12" s="36" t="str">
        <f t="shared" si="55"/>
        <v/>
      </c>
      <c r="EE12" s="36">
        <f t="shared" si="56"/>
        <v>50.86</v>
      </c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1" t="str">
        <f t="shared" si="57"/>
        <v/>
      </c>
      <c r="FA12" s="11" t="str">
        <f t="shared" si="58"/>
        <v/>
      </c>
      <c r="FB12" s="11" t="str">
        <f t="shared" si="59"/>
        <v/>
      </c>
      <c r="FC12" s="11" t="str">
        <f t="shared" si="60"/>
        <v/>
      </c>
      <c r="FD12" s="11" t="str">
        <f t="shared" si="61"/>
        <v/>
      </c>
      <c r="FE12" s="11" t="str">
        <f t="shared" si="62"/>
        <v/>
      </c>
      <c r="FF12" s="11" t="str">
        <f t="shared" si="63"/>
        <v/>
      </c>
      <c r="FG12" s="11" t="str">
        <f t="shared" si="64"/>
        <v/>
      </c>
      <c r="FH12" s="11" t="str">
        <f t="shared" si="65"/>
        <v/>
      </c>
      <c r="FI12" s="11" t="str">
        <f t="shared" si="66"/>
        <v/>
      </c>
      <c r="FJ12" s="11" t="str">
        <f t="shared" si="67"/>
        <v/>
      </c>
      <c r="FK12" s="11" t="str">
        <f t="shared" si="68"/>
        <v/>
      </c>
      <c r="FL12" s="11" t="str">
        <f t="shared" si="69"/>
        <v/>
      </c>
      <c r="FM12" s="11" t="str">
        <f t="shared" si="70"/>
        <v/>
      </c>
      <c r="FN12" s="15">
        <v>15.7</v>
      </c>
      <c r="FO12" s="15">
        <v>9</v>
      </c>
      <c r="FP12" s="15">
        <v>14.5</v>
      </c>
      <c r="FQ12" s="15">
        <v>15.69</v>
      </c>
      <c r="FR12" s="15">
        <v>0</v>
      </c>
      <c r="FS12" s="15">
        <v>4.7</v>
      </c>
      <c r="FT12" s="15">
        <v>2.6</v>
      </c>
      <c r="FU12" s="15">
        <v>5</v>
      </c>
      <c r="FV12" s="15">
        <v>4.99</v>
      </c>
      <c r="FW12" s="15">
        <v>0</v>
      </c>
      <c r="FX12" s="15">
        <v>15.4</v>
      </c>
      <c r="FY12" s="15">
        <v>9.1999999999999993</v>
      </c>
      <c r="FZ12" s="15">
        <v>14.5</v>
      </c>
      <c r="GA12" s="15">
        <v>15.69</v>
      </c>
      <c r="GB12" s="15">
        <v>0</v>
      </c>
      <c r="GC12" s="15"/>
      <c r="GD12" s="15"/>
      <c r="GE12" s="15"/>
      <c r="GF12" s="15"/>
      <c r="GG12" s="15"/>
      <c r="GH12" s="36">
        <f t="shared" si="71"/>
        <v>14.5</v>
      </c>
      <c r="GI12" s="36">
        <f t="shared" si="72"/>
        <v>15.69</v>
      </c>
      <c r="GJ12" s="36">
        <f t="shared" si="73"/>
        <v>54.89</v>
      </c>
      <c r="GK12" s="36">
        <f t="shared" si="74"/>
        <v>5</v>
      </c>
      <c r="GL12" s="36">
        <f t="shared" si="75"/>
        <v>4.99</v>
      </c>
      <c r="GM12" s="36">
        <f t="shared" si="76"/>
        <v>17.29</v>
      </c>
      <c r="GN12" s="36">
        <f t="shared" si="77"/>
        <v>54.89</v>
      </c>
      <c r="GO12" s="36">
        <f t="shared" si="78"/>
        <v>14.5</v>
      </c>
      <c r="GP12" s="36">
        <f t="shared" si="79"/>
        <v>15.69</v>
      </c>
      <c r="GQ12" s="36">
        <f t="shared" si="80"/>
        <v>54.79</v>
      </c>
      <c r="GR12" s="36" t="str">
        <f t="shared" si="81"/>
        <v/>
      </c>
      <c r="GS12" s="36" t="str">
        <f t="shared" si="82"/>
        <v/>
      </c>
      <c r="GT12" s="36" t="str">
        <f t="shared" si="83"/>
        <v/>
      </c>
      <c r="GU12" s="36">
        <f t="shared" si="84"/>
        <v>109.68</v>
      </c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1" t="str">
        <f t="shared" si="85"/>
        <v/>
      </c>
      <c r="HQ12" s="11" t="str">
        <f t="shared" si="86"/>
        <v/>
      </c>
      <c r="HR12" s="11" t="str">
        <f t="shared" si="87"/>
        <v/>
      </c>
      <c r="HS12" s="11" t="str">
        <f t="shared" si="88"/>
        <v/>
      </c>
      <c r="HT12" s="11" t="str">
        <f t="shared" si="89"/>
        <v/>
      </c>
      <c r="HU12" s="11" t="str">
        <f t="shared" si="90"/>
        <v/>
      </c>
      <c r="HV12" s="11" t="str">
        <f t="shared" si="91"/>
        <v/>
      </c>
      <c r="HW12" s="11" t="str">
        <f t="shared" si="92"/>
        <v/>
      </c>
      <c r="HX12" s="11" t="str">
        <f t="shared" si="93"/>
        <v/>
      </c>
      <c r="HY12" s="11" t="str">
        <f t="shared" si="94"/>
        <v/>
      </c>
      <c r="HZ12" s="11" t="str">
        <f t="shared" si="95"/>
        <v/>
      </c>
      <c r="IA12" s="11" t="str">
        <f t="shared" si="96"/>
        <v/>
      </c>
      <c r="IB12" s="11" t="str">
        <f t="shared" si="97"/>
        <v/>
      </c>
      <c r="IC12" s="11" t="str">
        <f t="shared" si="98"/>
        <v/>
      </c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36" t="str">
        <f t="shared" si="99"/>
        <v/>
      </c>
      <c r="IY12" s="36" t="str">
        <f t="shared" si="100"/>
        <v/>
      </c>
      <c r="IZ12" s="36" t="str">
        <f t="shared" si="101"/>
        <v/>
      </c>
      <c r="JA12" s="36" t="str">
        <f t="shared" si="102"/>
        <v/>
      </c>
      <c r="JB12" s="36" t="str">
        <f t="shared" si="103"/>
        <v/>
      </c>
      <c r="JC12" s="36" t="str">
        <f t="shared" si="104"/>
        <v/>
      </c>
      <c r="JD12" s="36" t="str">
        <f t="shared" si="105"/>
        <v/>
      </c>
      <c r="JE12" s="36" t="str">
        <f t="shared" si="106"/>
        <v/>
      </c>
      <c r="JF12" s="36" t="str">
        <f t="shared" si="107"/>
        <v/>
      </c>
      <c r="JG12" s="36" t="str">
        <f t="shared" si="108"/>
        <v/>
      </c>
      <c r="JH12" s="36" t="str">
        <f t="shared" si="109"/>
        <v/>
      </c>
      <c r="JI12" s="36" t="str">
        <f t="shared" si="110"/>
        <v/>
      </c>
      <c r="JJ12" s="36" t="str">
        <f t="shared" si="111"/>
        <v/>
      </c>
      <c r="JK12" s="36" t="str">
        <f t="shared" si="112"/>
        <v/>
      </c>
      <c r="JL12" s="16">
        <v>14.5</v>
      </c>
      <c r="JM12" s="16">
        <v>9.1</v>
      </c>
      <c r="JN12" s="16">
        <v>14.5</v>
      </c>
      <c r="JO12" s="16">
        <v>15.16</v>
      </c>
      <c r="JP12" s="16">
        <v>0</v>
      </c>
      <c r="JQ12" s="16">
        <v>16.2</v>
      </c>
      <c r="JR12" s="16">
        <v>9.5</v>
      </c>
      <c r="JS12" s="16">
        <v>14.5</v>
      </c>
      <c r="JT12" s="16">
        <v>15.46</v>
      </c>
      <c r="JU12" s="16">
        <v>0</v>
      </c>
      <c r="JV12" s="16"/>
      <c r="JW12" s="16"/>
      <c r="JX12" s="16"/>
      <c r="JY12" s="16"/>
      <c r="JZ12" s="16"/>
      <c r="KA12" s="16">
        <v>15.6</v>
      </c>
      <c r="KB12" s="16">
        <v>9.1</v>
      </c>
      <c r="KC12" s="16">
        <v>14.5</v>
      </c>
      <c r="KD12" s="16">
        <v>15.17</v>
      </c>
      <c r="KE12" s="16">
        <v>0</v>
      </c>
      <c r="KF12" s="11">
        <f t="shared" si="113"/>
        <v>14.5</v>
      </c>
      <c r="KG12" s="11">
        <f t="shared" si="114"/>
        <v>15.16</v>
      </c>
      <c r="KH12" s="11">
        <f t="shared" si="115"/>
        <v>53.260000000000005</v>
      </c>
      <c r="KI12" s="11">
        <f t="shared" si="116"/>
        <v>14.5</v>
      </c>
      <c r="KJ12" s="11">
        <f t="shared" si="117"/>
        <v>15.46</v>
      </c>
      <c r="KK12" s="11">
        <f t="shared" si="118"/>
        <v>55.660000000000004</v>
      </c>
      <c r="KL12" s="11">
        <f t="shared" si="119"/>
        <v>55.660000000000004</v>
      </c>
      <c r="KM12" s="11" t="str">
        <f t="shared" si="120"/>
        <v/>
      </c>
      <c r="KN12" s="11" t="str">
        <f t="shared" si="121"/>
        <v/>
      </c>
      <c r="KO12" s="11" t="str">
        <f t="shared" si="122"/>
        <v/>
      </c>
      <c r="KP12" s="11">
        <f t="shared" si="123"/>
        <v>14.5</v>
      </c>
      <c r="KQ12" s="11">
        <f t="shared" si="124"/>
        <v>15.17</v>
      </c>
      <c r="KR12" s="11">
        <f t="shared" si="125"/>
        <v>54.370000000000005</v>
      </c>
      <c r="KS12" s="11">
        <f t="shared" si="126"/>
        <v>110.03</v>
      </c>
      <c r="KT12" s="15">
        <v>15.7</v>
      </c>
      <c r="KU12" s="15">
        <v>9.3000000000000007</v>
      </c>
      <c r="KV12" s="15">
        <v>14.5</v>
      </c>
      <c r="KW12" s="15">
        <v>15.34</v>
      </c>
      <c r="KX12" s="15">
        <v>0</v>
      </c>
      <c r="KY12" s="15">
        <v>15.3</v>
      </c>
      <c r="KZ12" s="15">
        <v>9</v>
      </c>
      <c r="LA12" s="15">
        <v>14.5</v>
      </c>
      <c r="LB12" s="15">
        <v>15.52</v>
      </c>
      <c r="LC12" s="15">
        <v>0</v>
      </c>
      <c r="LD12" s="15">
        <v>15.7</v>
      </c>
      <c r="LE12" s="15">
        <v>8.9</v>
      </c>
      <c r="LF12" s="15">
        <v>14.5</v>
      </c>
      <c r="LG12" s="15">
        <v>15.51</v>
      </c>
      <c r="LH12" s="15">
        <v>0</v>
      </c>
      <c r="LI12" s="15">
        <v>15.2</v>
      </c>
      <c r="LJ12" s="15">
        <v>9.1999999999999993</v>
      </c>
      <c r="LK12" s="15">
        <v>14.5</v>
      </c>
      <c r="LL12" s="15">
        <v>15.05</v>
      </c>
      <c r="LM12" s="15">
        <v>0</v>
      </c>
      <c r="LN12" s="36">
        <f t="shared" si="127"/>
        <v>14.5</v>
      </c>
      <c r="LO12" s="36">
        <f t="shared" si="128"/>
        <v>15.34</v>
      </c>
      <c r="LP12" s="36">
        <f t="shared" si="129"/>
        <v>54.84</v>
      </c>
      <c r="LQ12" s="36">
        <f t="shared" si="130"/>
        <v>14.5</v>
      </c>
      <c r="LR12" s="36">
        <f t="shared" si="131"/>
        <v>15.52</v>
      </c>
      <c r="LS12" s="36">
        <f t="shared" si="132"/>
        <v>54.319999999999993</v>
      </c>
      <c r="LT12" s="36">
        <f t="shared" si="133"/>
        <v>54.84</v>
      </c>
      <c r="LU12" s="36">
        <f t="shared" si="134"/>
        <v>14.5</v>
      </c>
      <c r="LV12" s="36">
        <f t="shared" si="135"/>
        <v>15.51</v>
      </c>
      <c r="LW12" s="36">
        <f t="shared" si="136"/>
        <v>54.61</v>
      </c>
      <c r="LX12" s="36">
        <f t="shared" si="137"/>
        <v>14.5</v>
      </c>
      <c r="LY12" s="36">
        <f t="shared" si="138"/>
        <v>15.05</v>
      </c>
      <c r="LZ12" s="36">
        <f t="shared" si="139"/>
        <v>53.95</v>
      </c>
      <c r="MA12" s="36">
        <f t="shared" si="140"/>
        <v>163.4</v>
      </c>
      <c r="MB12" s="16">
        <v>15.5</v>
      </c>
      <c r="MC12" s="16">
        <v>8.9</v>
      </c>
      <c r="MD12" s="16">
        <v>14.5</v>
      </c>
      <c r="ME12" s="16">
        <v>15.36</v>
      </c>
      <c r="MF12" s="16">
        <v>0</v>
      </c>
      <c r="MG12" s="16">
        <v>15.7</v>
      </c>
      <c r="MH12" s="16">
        <v>9.6</v>
      </c>
      <c r="MI12" s="16">
        <v>14.5</v>
      </c>
      <c r="MJ12" s="16">
        <v>15.44</v>
      </c>
      <c r="MK12" s="16">
        <v>0</v>
      </c>
      <c r="ML12" s="16">
        <v>15</v>
      </c>
      <c r="MM12" s="16">
        <v>9</v>
      </c>
      <c r="MN12" s="16">
        <v>14.7</v>
      </c>
      <c r="MO12" s="16">
        <v>15.32</v>
      </c>
      <c r="MP12" s="16">
        <v>0</v>
      </c>
      <c r="MQ12" s="16"/>
      <c r="MR12" s="16"/>
      <c r="MS12" s="16"/>
      <c r="MT12" s="16"/>
      <c r="MU12" s="16"/>
      <c r="MV12" s="11">
        <f t="shared" si="141"/>
        <v>14.5</v>
      </c>
      <c r="MW12" s="11">
        <f t="shared" si="142"/>
        <v>15.36</v>
      </c>
      <c r="MX12" s="11">
        <f t="shared" si="143"/>
        <v>54.26</v>
      </c>
      <c r="MY12" s="11">
        <f t="shared" si="144"/>
        <v>14.5</v>
      </c>
      <c r="MZ12" s="11">
        <f t="shared" si="145"/>
        <v>15.44</v>
      </c>
      <c r="NA12" s="11">
        <f t="shared" si="146"/>
        <v>55.239999999999995</v>
      </c>
      <c r="NB12" s="11">
        <f t="shared" si="147"/>
        <v>55.239999999999995</v>
      </c>
      <c r="NC12" s="11">
        <f t="shared" si="148"/>
        <v>14.7</v>
      </c>
      <c r="ND12" s="11">
        <f t="shared" si="149"/>
        <v>15.32</v>
      </c>
      <c r="NE12" s="11">
        <f t="shared" si="150"/>
        <v>54.02</v>
      </c>
      <c r="NF12" s="11" t="str">
        <f t="shared" si="151"/>
        <v/>
      </c>
      <c r="NG12" s="11" t="str">
        <f t="shared" si="152"/>
        <v/>
      </c>
      <c r="NH12" s="11" t="str">
        <f t="shared" si="153"/>
        <v/>
      </c>
      <c r="NI12" s="11">
        <f t="shared" si="154"/>
        <v>109.25999999999999</v>
      </c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>
        <v>14</v>
      </c>
      <c r="NZ12" s="15">
        <v>8.9</v>
      </c>
      <c r="OA12" s="15">
        <v>13.8</v>
      </c>
      <c r="OB12" s="15">
        <v>15.11</v>
      </c>
      <c r="OC12" s="15">
        <v>0</v>
      </c>
      <c r="OD12" s="36" t="str">
        <f t="shared" si="155"/>
        <v/>
      </c>
      <c r="OE12" s="36" t="str">
        <f t="shared" si="156"/>
        <v/>
      </c>
      <c r="OF12" s="36" t="str">
        <f t="shared" si="157"/>
        <v/>
      </c>
      <c r="OG12" s="36" t="str">
        <f t="shared" si="158"/>
        <v/>
      </c>
      <c r="OH12" s="36" t="str">
        <f t="shared" si="159"/>
        <v/>
      </c>
      <c r="OI12" s="36" t="str">
        <f t="shared" si="160"/>
        <v/>
      </c>
      <c r="OJ12" s="36" t="str">
        <f t="shared" si="161"/>
        <v/>
      </c>
      <c r="OK12" s="36" t="str">
        <f t="shared" si="162"/>
        <v/>
      </c>
      <c r="OL12" s="36" t="str">
        <f t="shared" si="163"/>
        <v/>
      </c>
      <c r="OM12" s="36" t="str">
        <f t="shared" si="164"/>
        <v/>
      </c>
      <c r="ON12" s="36">
        <f t="shared" si="165"/>
        <v>13.8</v>
      </c>
      <c r="OO12" s="36">
        <f t="shared" si="166"/>
        <v>15.11</v>
      </c>
      <c r="OP12" s="36">
        <f t="shared" si="167"/>
        <v>51.81</v>
      </c>
      <c r="OQ12" s="36">
        <f t="shared" si="168"/>
        <v>51.81</v>
      </c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1" t="str">
        <f t="shared" si="169"/>
        <v/>
      </c>
      <c r="PM12" s="11" t="str">
        <f t="shared" si="170"/>
        <v/>
      </c>
      <c r="PN12" s="11" t="str">
        <f t="shared" si="171"/>
        <v/>
      </c>
      <c r="PO12" s="11" t="str">
        <f t="shared" si="172"/>
        <v/>
      </c>
      <c r="PP12" s="11" t="str">
        <f t="shared" si="173"/>
        <v/>
      </c>
      <c r="PQ12" s="11" t="str">
        <f t="shared" si="174"/>
        <v/>
      </c>
      <c r="PR12" s="11" t="str">
        <f t="shared" si="175"/>
        <v/>
      </c>
      <c r="PS12" s="11" t="str">
        <f t="shared" si="176"/>
        <v/>
      </c>
      <c r="PT12" s="11" t="str">
        <f t="shared" si="177"/>
        <v/>
      </c>
      <c r="PU12" s="11" t="str">
        <f t="shared" si="178"/>
        <v/>
      </c>
      <c r="PV12" s="11" t="str">
        <f t="shared" si="179"/>
        <v/>
      </c>
      <c r="PW12" s="11" t="str">
        <f t="shared" si="180"/>
        <v/>
      </c>
      <c r="PX12" s="11" t="str">
        <f t="shared" si="181"/>
        <v/>
      </c>
      <c r="PY12" s="11" t="str">
        <f t="shared" si="182"/>
        <v/>
      </c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36" t="str">
        <f t="shared" si="183"/>
        <v/>
      </c>
      <c r="QU12" s="36" t="str">
        <f t="shared" si="184"/>
        <v/>
      </c>
      <c r="QV12" s="36" t="str">
        <f t="shared" si="185"/>
        <v/>
      </c>
      <c r="QW12" s="36" t="str">
        <f t="shared" si="186"/>
        <v/>
      </c>
      <c r="QX12" s="36" t="str">
        <f t="shared" si="187"/>
        <v/>
      </c>
      <c r="QY12" s="36" t="str">
        <f t="shared" si="188"/>
        <v/>
      </c>
      <c r="QZ12" s="36" t="str">
        <f t="shared" si="189"/>
        <v/>
      </c>
      <c r="RA12" s="36" t="str">
        <f t="shared" si="190"/>
        <v/>
      </c>
      <c r="RB12" s="36" t="str">
        <f t="shared" si="191"/>
        <v/>
      </c>
      <c r="RC12" s="36" t="str">
        <f t="shared" si="192"/>
        <v/>
      </c>
      <c r="RD12" s="36" t="str">
        <f t="shared" si="193"/>
        <v/>
      </c>
      <c r="RE12" s="36" t="str">
        <f t="shared" si="194"/>
        <v/>
      </c>
      <c r="RF12" s="36" t="str">
        <f t="shared" si="195"/>
        <v/>
      </c>
      <c r="RG12" s="36" t="str">
        <f t="shared" si="196"/>
        <v/>
      </c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1" t="str">
        <f t="shared" si="197"/>
        <v/>
      </c>
      <c r="SC12" s="11" t="str">
        <f t="shared" si="198"/>
        <v/>
      </c>
      <c r="SD12" s="11" t="str">
        <f t="shared" si="199"/>
        <v/>
      </c>
      <c r="SE12" s="11" t="str">
        <f t="shared" si="200"/>
        <v/>
      </c>
      <c r="SF12" s="11" t="str">
        <f t="shared" si="201"/>
        <v/>
      </c>
      <c r="SG12" s="11" t="str">
        <f t="shared" si="202"/>
        <v/>
      </c>
      <c r="SH12" s="11" t="str">
        <f t="shared" si="203"/>
        <v/>
      </c>
      <c r="SI12" s="11" t="str">
        <f t="shared" si="204"/>
        <v/>
      </c>
      <c r="SJ12" s="11" t="str">
        <f t="shared" si="205"/>
        <v/>
      </c>
      <c r="SK12" s="11" t="str">
        <f t="shared" si="206"/>
        <v/>
      </c>
      <c r="SL12" s="11" t="str">
        <f t="shared" si="207"/>
        <v/>
      </c>
      <c r="SM12" s="11" t="str">
        <f t="shared" si="208"/>
        <v/>
      </c>
      <c r="SN12" s="11" t="str">
        <f t="shared" si="209"/>
        <v/>
      </c>
      <c r="SO12" s="11" t="str">
        <f t="shared" si="210"/>
        <v/>
      </c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36" t="str">
        <f t="shared" si="211"/>
        <v/>
      </c>
      <c r="TK12" s="36" t="str">
        <f t="shared" si="212"/>
        <v/>
      </c>
      <c r="TL12" s="36" t="str">
        <f t="shared" si="213"/>
        <v/>
      </c>
      <c r="TM12" s="36" t="str">
        <f t="shared" si="214"/>
        <v/>
      </c>
      <c r="TN12" s="36" t="str">
        <f t="shared" si="215"/>
        <v/>
      </c>
      <c r="TO12" s="36" t="str">
        <f t="shared" si="216"/>
        <v/>
      </c>
      <c r="TP12" s="36" t="str">
        <f t="shared" si="217"/>
        <v/>
      </c>
      <c r="TQ12" s="36" t="str">
        <f t="shared" si="218"/>
        <v/>
      </c>
      <c r="TR12" s="36" t="str">
        <f t="shared" si="219"/>
        <v/>
      </c>
      <c r="TS12" s="36" t="str">
        <f t="shared" si="220"/>
        <v/>
      </c>
      <c r="TT12" s="36" t="str">
        <f t="shared" si="221"/>
        <v/>
      </c>
      <c r="TU12" s="36" t="str">
        <f t="shared" si="222"/>
        <v/>
      </c>
      <c r="TV12" s="36" t="str">
        <f t="shared" si="223"/>
        <v/>
      </c>
      <c r="TW12" s="36" t="str">
        <f t="shared" si="224"/>
        <v/>
      </c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1" t="str">
        <f t="shared" si="225"/>
        <v/>
      </c>
      <c r="US12" s="11" t="str">
        <f t="shared" si="226"/>
        <v/>
      </c>
      <c r="UT12" s="11" t="str">
        <f t="shared" si="227"/>
        <v/>
      </c>
      <c r="UU12" s="11" t="str">
        <f t="shared" si="228"/>
        <v/>
      </c>
      <c r="UV12" s="11" t="str">
        <f t="shared" si="229"/>
        <v/>
      </c>
      <c r="UW12" s="11" t="str">
        <f t="shared" si="230"/>
        <v/>
      </c>
      <c r="UX12" s="11" t="str">
        <f t="shared" si="231"/>
        <v/>
      </c>
      <c r="UY12" s="11" t="str">
        <f t="shared" si="232"/>
        <v/>
      </c>
      <c r="UZ12" s="11" t="str">
        <f t="shared" si="233"/>
        <v/>
      </c>
      <c r="VA12" s="11" t="str">
        <f t="shared" si="234"/>
        <v/>
      </c>
      <c r="VB12" s="11" t="str">
        <f t="shared" si="235"/>
        <v/>
      </c>
      <c r="VC12" s="11" t="str">
        <f t="shared" si="236"/>
        <v/>
      </c>
      <c r="VD12" s="11" t="str">
        <f t="shared" si="237"/>
        <v/>
      </c>
      <c r="VE12" s="11" t="str">
        <f t="shared" si="238"/>
        <v/>
      </c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36" t="str">
        <f t="shared" si="239"/>
        <v/>
      </c>
      <c r="WA12" s="36" t="str">
        <f t="shared" si="240"/>
        <v/>
      </c>
      <c r="WB12" s="36" t="str">
        <f t="shared" si="241"/>
        <v/>
      </c>
      <c r="WC12" s="36" t="str">
        <f t="shared" si="242"/>
        <v/>
      </c>
      <c r="WD12" s="36" t="str">
        <f t="shared" si="243"/>
        <v/>
      </c>
      <c r="WE12" s="36" t="str">
        <f t="shared" si="244"/>
        <v/>
      </c>
      <c r="WF12" s="36" t="str">
        <f t="shared" si="245"/>
        <v/>
      </c>
      <c r="WG12" s="36" t="str">
        <f t="shared" si="246"/>
        <v/>
      </c>
      <c r="WH12" s="36" t="str">
        <f t="shared" si="247"/>
        <v/>
      </c>
      <c r="WI12" s="36" t="str">
        <f t="shared" si="248"/>
        <v/>
      </c>
      <c r="WJ12" s="36" t="str">
        <f t="shared" si="249"/>
        <v/>
      </c>
      <c r="WK12" s="36" t="str">
        <f t="shared" si="250"/>
        <v/>
      </c>
      <c r="WL12" s="36" t="str">
        <f t="shared" si="251"/>
        <v/>
      </c>
      <c r="WM12" s="36" t="str">
        <f t="shared" si="252"/>
        <v/>
      </c>
    </row>
    <row r="13" spans="1:611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199</v>
      </c>
      <c r="C13" s="4" t="s">
        <v>7</v>
      </c>
      <c r="D13" s="4">
        <v>2009</v>
      </c>
      <c r="E13" s="9">
        <f t="shared" si="0"/>
        <v>145.68001456800508</v>
      </c>
      <c r="F13" s="3" t="str">
        <f>IF(OR(AND(AI13&gt;=AS$17,AI13&lt;&gt;"",AK13&gt;=AS$21,AK13&lt;&gt;"",AH13=""),AND(AL13&gt;=AS$17,AL13&lt;&gt;"",AN13&gt;=AS$21,AN13&lt;&gt;"",AH13=""),AND(AP13&gt;=AS$17,AP13&lt;&gt;"",AR13&gt;=AS$21,AR13&lt;&gt;"",AH13=""),AND(BJ13&gt;=BT$17,BJ13&lt;&gt;"",BL13&gt;=BT$21,BL13&lt;&gt;"",BI13=""),AND(BM13&gt;=BT$17,BM13&lt;&gt;"",BO13&gt;=BT$21,BO13&lt;&gt;"",BI13=""),AND(BQ13&gt;=BT$17,BQ13&lt;&gt;"",BS13&gt;=BT$21,BS13&lt;&gt;"",BI13=""),AND(CK13&gt;=CU$17,CK13&lt;&gt;"",CM13&gt;=CU$21,CM13&lt;&gt;"",CJ13=""),AND(CN13&gt;=CU$17,CN13&lt;&gt;"",CP13&gt;=CU$21,CP13&lt;&gt;"",CJ13=""),AND(CR13&gt;=CU$17,CR13&lt;&gt;"",CT13&gt;=CU$21,CT13&lt;&gt;"",CJ13=""),AND(DR13&gt;=EE$17,DR13&lt;&gt;"",DT13&gt;=EE$21,DT13&lt;&gt;""),AND(DU13&gt;=EE$17,DU13&lt;&gt;"",DW13&gt;=EE$21,DW13&lt;&gt;""),AND(DY13&gt;=EE$17,DY13&lt;&gt;"",EA13&gt;=EE$21,EA13&lt;&gt;""),AND(EB13&gt;=EE$17,EB13&lt;&gt;"",ED13&gt;=EE$21,ED13&lt;&gt;""),AND(EZ13&gt;=FM$17,EZ13&lt;&gt;"",FB13&gt;=FM$21,FB13&lt;&gt;""),AND(FC13&gt;=FM$17,FC13&lt;&gt;"",FE13&gt;=FM$21,FE13&lt;&gt;""),AND(FG13&gt;=FM$17,FG13&lt;&gt;"",FI13&gt;=FM$21,FI13&lt;&gt;""),AND(FJ13&gt;=FM$17,FJ13&lt;&gt;"",FL13&gt;=FM$21,FL13&lt;&gt;""),AND(GH13&gt;=GU$17,GH13&lt;&gt;"",GJ13&gt;=GU$21,GJ13&lt;&gt;""),AND(GK13&gt;=GU$17,GK13&lt;&gt;"",GM13&gt;=GU$21,GM13&lt;&gt;""),AND(GO13&gt;=GU$17,GO13&lt;&gt;"",GQ13&gt;=GU$21,GQ13&lt;&gt;""),AND(GR13&gt;=GU$17,GR13&lt;&gt;"",GT13&gt;=GU$21,GT13&lt;&gt;""),AND(HP13&gt;=IC$17,HP13&lt;&gt;"",HR13&gt;=IC$21,HR13&lt;&gt;""),AND(HS13&gt;=IC$17,HS13&lt;&gt;"",HU13&gt;=IC$21,HU13&lt;&gt;""),AND(HW13&gt;=IC$17,HW13&lt;&gt;"",HY13&gt;=IC$21,HY13&lt;&gt;""),AND(HZ13&gt;=IC$17,HZ13&lt;&gt;"",IB13&gt;=IC$21,IB13&lt;&gt;""),AND(IX13&gt;=JK$17,IX13&lt;&gt;"",IZ13&gt;=JK$21,IZ13&lt;&gt;""),AND(JA13&gt;=JK$17,JA13&lt;&gt;"",JC13&gt;=JK$21,JC13&lt;&gt;""),AND(JE13&gt;=JK$17,JE13&lt;&gt;"",JG13&gt;=JK$21,JG13&lt;&gt;""),AND(JH13&gt;=JK$17,JH13&lt;&gt;"",JJ13&gt;=JK$21,JJ13&lt;&gt;""),AND(KF13&gt;=KS$17,KF13&lt;&gt;"",KH13&gt;=KS$21,KH13&lt;&gt;""),AND(KI13&gt;=KS$17,KI13&lt;&gt;"",KK13&gt;=KS$21,KK13&lt;&gt;""),AND(KM13&gt;=KS$17,KM13&lt;&gt;"",KO13&gt;=KS$21,KO13&lt;&gt;""),AND(KP13&gt;=KS$17,KP13&lt;&gt;"",KR13&gt;=KS$21,KR13&lt;&gt;""),AND(LN13&gt;=MA$17,LN13&lt;&gt;"",LP13&gt;=MA$21,LP13&lt;&gt;""),AND(LQ13&gt;=MA$17,LQ13&lt;&gt;"",LS13&gt;=MA$21,LS13&lt;&gt;""),AND(LU13&gt;=MA$17,LU13&lt;&gt;"",LW13&gt;=MA$21,LW13&lt;&gt;""),AND(LX13&gt;=MA$17,LX13&lt;&gt;"",LZ13&gt;=MA$21,LZ13&lt;&gt;""),AND(MV13&gt;=NI$17,MV13&lt;&gt;"",MX13&gt;=NI$21,MX13&lt;&gt;""),AND(MY13&gt;=NI$17,MY13&lt;&gt;"",NA13&gt;=NI$21,NA13&lt;&gt;""),AND(NC13&gt;=NI$17,NC13&lt;&gt;"",NE13&gt;=NI$21,NE13&lt;&gt;""),AND(NF13&gt;=NI$17,NF13&lt;&gt;"",NH13&gt;=NI$21,NH13&lt;&gt;""),AND(OD13&gt;=OQ$17,OD13&lt;&gt;"",OF13&gt;=OQ$21,OF13&lt;&gt;""),AND(OG13&gt;=OQ$17,OG13&lt;&gt;"",OI13&gt;=OQ$21,OI13&lt;&gt;""),AND(OK13&gt;=OQ$17,OK13&lt;&gt;"",OM13&gt;=OQ$21,OM13&lt;&gt;""),AND(ON13&gt;=OQ$17,ON13&lt;&gt;"",OP13&gt;=OQ$21,OP13&lt;&gt;""),AND(PL13&gt;=PY$17,PL13&lt;&gt;"",PN13&gt;=PY$21,PN13&lt;&gt;""),AND(PO13&gt;=PY$17,PO13&lt;&gt;"",PQ13&gt;=PY$21,PQ13&lt;&gt;""),AND(PS13&gt;=PY$17,PS13&lt;&gt;"",PU13&gt;=PY$21,PU13&lt;&gt;""),AND(PV13&gt;=PY$17,PV13&lt;&gt;"",PX13&gt;=PY$21,PX13&lt;&gt;""),AND(QT13&gt;=RG$17,QT13&lt;&gt;"",QV13&gt;=RG$21,QV13&lt;&gt;""),AND(QW13&gt;=RG$17,QW13&lt;&gt;"",QY13&gt;=RG$21,QY13&lt;&gt;""),AND(RA13&gt;=RG$17,RA13&lt;&gt;"",RC13&gt;=RG$21,RC13&lt;&gt;""),AND(RD13&gt;=RG$17,RD13&lt;&gt;"",RF13&gt;=RG$21,RF13&lt;&gt;""),AND(SB13&gt;=SO$17,SB13&lt;&gt;"",SD13&gt;=SO$21,SD13&lt;&gt;""),AND(SE13&gt;=SO$17,SE13&lt;&gt;"",SG13&gt;=SO$21,SG13&lt;&gt;""),AND(SI13&gt;=SO$17,SI13&lt;&gt;"",SK13&gt;=SO$21,SK13&lt;&gt;""),AND(SL13&gt;=SO$17,SL13&lt;&gt;"",SN13&gt;=SO$21,SN13&lt;&gt;""),AND(TJ13&gt;=TW$17,TJ13&lt;&gt;"",TL13&gt;=TW$21,TL13&lt;&gt;""),AND(TM13&gt;=TW$17,TM13&lt;&gt;"",TO13&gt;=TW$21,TO13&lt;&gt;""),AND(TQ13&gt;=TW$17,TQ13&lt;&gt;"",TS13&gt;=TW$21,TXQ13&lt;&gt;""),AND(TT13&gt;=TW$17,TT13&lt;&gt;"",TV13&gt;=TW$21,TV13&lt;&gt;""),AND(UR13&gt;=VE$17,UR13&lt;&gt;"",UT13&gt;=VE$21,UT13&lt;&gt;""),AND(UU13&gt;=VE$17,UU13&lt;&gt;"",UW13&gt;=VE$21,UW13&lt;&gt;""),AND(UY13&gt;=VE$17,UY13&lt;&gt;"",VA13&gt;=VE$21,VA13&lt;&gt;""),AND(VB13&gt;=VE$17,VB13&lt;&gt;"",VD13&gt;=VE$21,VD13&lt;&gt;""),AND(VZ13&gt;=WM$17,VZ13&lt;&gt;"",WB13&gt;=WM$21,WB13&lt;&gt;""),AND(WC13&gt;=WM$17,WC13&lt;&gt;"",WE13&gt;=WM$21,WE13&lt;&gt;""),AND(WG13&gt;=WM$17,WG13&lt;&gt;"",WI13&gt;=WM$21,WI13&lt;&gt;""),AND(WJ13&gt;=WM$17,WJ13&lt;&gt;"",WL13&gt;=WM$21,WL13&lt;&gt;"")),"P","")</f>
        <v/>
      </c>
      <c r="G13" s="3" t="str">
        <f>IF(OR(AND(AK13&gt;=AS$21,AK13&lt;&gt;"",AH13=""),AND(AN13&gt;=AS$21,AN13&lt;&gt;"",AH13=""),AND(AR13&gt;=AS$21,AR13&lt;&gt;"",AH13=""),AND(BL13&gt;=BT$21,BL13&lt;&gt;"",BI13=""),AND(BO13&gt;=BT$21,BO13&lt;&gt;"",BI13=""),AND(BS13&gt;=BT$21,BS13&lt;&gt;"",BI13=""),AND(CM13&gt;=CU$21,CM13&lt;&gt;"",CJ13=""),AND(CP13&gt;=CU$21,CP13&lt;&gt;"",CJ13=""),AND(CT13&gt;=CU$21,CT13&lt;&gt;"",CJ13=""),AND(DT13&gt;=EE$21,DT13&lt;&gt;""),AND(DW13&gt;=EE$21,DW13&lt;&gt;""),AND(EA13&gt;=EE$21,EA13&lt;&gt;""),AND(ED13&gt;=EE$21,ED13&lt;&gt;""),AND(FB13&gt;=FM$21,FB13&lt;&gt;""),AND(FE13&gt;=FM$21,FE13&lt;&gt;""),AND(FI13&gt;=FM$21,FI13&lt;&gt;""),AND(FL13&gt;=FM$21,FL13&lt;&gt;""),AND(GJ13&gt;=GU$21,GJ13&lt;&gt;""),AND(GM13&gt;=GU$21,GM13&lt;&gt;""),AND(GQ13&gt;=GU$21,GQ13&lt;&gt;""),AND(GT13&gt;=GU$21,GT13&lt;&gt;""),AND(HR13&gt;=IC$21,HR13&lt;&gt;""),AND(HU13&gt;=IC$21,HU13&lt;&gt;""),AND(HY13&gt;=IC$21,HY13&lt;&gt;""),AND(IB13&gt;=IC$21,IB13&lt;&gt;""),AND(IZ13&gt;=JK$21,IZ13&lt;&gt;""),AND(JC13&gt;=JK$21,JC13&lt;&gt;""),AND(JG13&gt;=JK$21,JG13&lt;&gt;""),AND(JJ13&gt;=JK$21,JJ13&lt;&gt;""),AND(KH13&gt;=KS$21,KH13&lt;&gt;""),AND(KK13&gt;=KS$21,KK13&lt;&gt;""),AND(KO13&gt;=KS$21,KO13&lt;&gt;""),AND(KR13&gt;=KS$21,KR13&lt;&gt;""),AND(LP13&gt;=MA$21,LP13&lt;&gt;""),AND(LS13&gt;=MA$21,LS13&lt;&gt;""),AND(LW13&gt;=MA$21,LW13&lt;&gt;""),AND(LZ13&gt;=MA$21,LZ13&lt;&gt;""),AND(MX13&gt;=NI$21,MX13&lt;&gt;""),AND(NA13&gt;=NI$21,NA13&lt;&gt;""),AND(NE13&gt;=NI$21,NE13&lt;&gt;""),AND(NH13&gt;=NI$21,NH13&lt;&gt;""),AND(OF13&gt;=OQ$21,OF13&lt;&gt;""),AND(OI13&gt;=OQ$21,OI13&lt;&gt;""),AND(OM13&gt;=OQ$21,OM13&lt;&gt;""),AND(OP13&gt;=OQ$21,OP13&lt;&gt;""),AND(PN13&gt;=PY$21,PN13&lt;&gt;""),AND(PQ13&gt;=PY$21,PQ13&lt;&gt;""),AND(PU13&gt;=PY$21,PU13&lt;&gt;""),AND(PX13&gt;=PY$21,PX13&lt;&gt;""),AND(QV13&gt;=RG$21,QV13&lt;&gt;""),AND(QY13&gt;=RG$21,QY13&lt;&gt;""),AND(RC13&gt;=RG$21,RC13&lt;&gt;""),AND(RF13&gt;=RG$21,RF13&lt;&gt;""),AND(SD13&gt;=SO$21,SD13&lt;&gt;""),AND(SG13&gt;=SO$21,SG13&lt;&gt;""),AND(SK13&gt;=SO$21,SK13&lt;&gt;""),AND(SN13&gt;=SO$21,SN13&lt;&gt;""),AND(TL13&gt;=TW$21,TL13&lt;&gt;""),AND(TO13&gt;=TW$21,TO13&lt;&gt;""),AND(TS13&gt;=TW$21,TXQ13&lt;&gt;""),AND(TV13&gt;=TW$21,TV13&lt;&gt;""),AND(UT13&gt;=VE$21,UT13&lt;&gt;""),AND(UW13&gt;=VE$21,UW13&lt;&gt;""),AND(VA13&gt;=VE$21,VA13&lt;&gt;""),AND(VD13&gt;=VE$21,VD13&lt;&gt;""),AND(WB13&gt;=WM$21,WB13&lt;&gt;""),AND(WE13&gt;=WM$21,WE13&lt;&gt;""),AND(WI13&gt;=WM$21,WI13&lt;&gt;""),AND(WL13&gt;=WM$21,WL13&lt;&gt;"")),"P","")</f>
        <v/>
      </c>
      <c r="H13" s="32" t="str">
        <f>IF(AND(G13="P",F13=""),"No DD",IF(OR(AND(AI13&gt;=AS$20,AI13&lt;&gt;"",AK13&gt;=AS$24,AK13&lt;&gt;"",AH13=""),AND(AL13&gt;=AS$20,AL13&lt;&gt;"",AN13&gt;=AS$24,AN13&lt;&gt;"",AH13=""),AND(AP13&gt;=AS$20,AP13&lt;&gt;"",AR13&gt;=AS$24,AR13&lt;&gt;"",AH13=""),AND(BJ13&gt;=BT$20,BJ13&lt;&gt;"",BL13&gt;=BT$24,BL13&lt;&gt;"",BI13=""),AND(BM13&gt;=BT$20,BM13&lt;&gt;"",BO13&gt;=BT$24,BO13&lt;&gt;"",BI13=""),AND(BQ13&gt;=BT$20,BQ13&lt;&gt;"",BS13&gt;=BT$24,BS13&lt;&gt;"",BI13=""),AND(CK13&gt;=CU$20,CK13&lt;&gt;"",CM13&gt;=CU$24,CM13&lt;&gt;"",CJ13=""),AND(CN13&gt;=CU$20,CN13&lt;&gt;"",CP13&gt;=CU$24,CP13&lt;&gt;"",CJ13=""),AND(CR13&gt;=CU$20,CR13&lt;&gt;"",CT13&gt;=CU$24,CT13&lt;&gt;"",CJ13=""),AND(DR13&gt;=EE$20,DR13&lt;&gt;"",DT13&gt;=EE$24,DT13&lt;&gt;""),AND(DU13&gt;=EE$20,DU13&lt;&gt;"",DW13&gt;=EE$24,DW13&lt;&gt;""),AND(DY13&gt;=EE$20,DY13&lt;&gt;"",EA13&gt;=EE$24,EA13&lt;&gt;""),AND(EB13&gt;=EE$20,EB13&lt;&gt;"",ED13&gt;=EE$24,ED13&lt;&gt;""),AND(EZ13&gt;=FM$20,EZ13&lt;&gt;"",FB13&gt;=FM$24,FB13&lt;&gt;""),AND(FC13&gt;=FM$20,FC13&lt;&gt;"",FE13&gt;=FM$24,FE13&lt;&gt;""),AND(FG13&gt;=FM$20,FG13&lt;&gt;"",FI13&gt;=FM$24,FI13&lt;&gt;""),AND(FJ13&gt;=FM$20,FJ13&lt;&gt;"",FL13&gt;=FM$24,FL13&lt;&gt;""),AND(GH13&gt;=GU$20,GH13&lt;&gt;"",GJ13&gt;=GU$24,GJ13&lt;&gt;""),AND(GK13&gt;=GU$20,GK13&lt;&gt;"",GM13&gt;=GU$24,GM13&lt;&gt;""),AND(GO13&gt;=GU$20,GO13&lt;&gt;"",GQ13&gt;=GU$24,GQ13&lt;&gt;""),AND(GR13&gt;=GU$20,GR13&lt;&gt;"",GT13&gt;=GU$24,GT13&lt;&gt;""),AND(HP13&gt;=IC$20,HP13&lt;&gt;"",HR13&gt;=IC$24,HR13&lt;&gt;""),AND(HS13&gt;=IC$20,HS13&lt;&gt;"",HU13&gt;=IC$24,HU13&lt;&gt;""),AND(HW13&gt;=IC$20,HW13&lt;&gt;"",HY13&gt;=IC$24,HY13&lt;&gt;""),AND(HZ13&gt;=IC$20,HZ13&lt;&gt;"",IB13&gt;=IC$24,IB13&lt;&gt;""),AND(IX13&gt;=JK$20,IX13&lt;&gt;"",IZ13&gt;=JK$24,IZ13&lt;&gt;""),AND(JA13&gt;=JK$20,JA13&lt;&gt;"",JC13&gt;=JK$24,JC13&lt;&gt;""),AND(JE13&gt;=JK$20,JE13&lt;&gt;"",JG13&gt;=JK$24,JG13&lt;&gt;""),AND(JH13&gt;=JK$20,JH13&lt;&gt;"",JJ13&gt;=JK$24,JJ13&lt;&gt;""),AND(KF13&gt;=KS$20,KF13&lt;&gt;"",KH13&gt;=KS$24,KH13&lt;&gt;""),AND(KI13&gt;=KS$20,KI13&lt;&gt;"",KK13&gt;=KS$24,KK13&lt;&gt;""),AND(KM13&gt;=KS$20,KM13&lt;&gt;"",KO13&gt;=KS$24,KO13&lt;&gt;""),AND(KP13&gt;=KS$20,KP13&lt;&gt;"",KR13&gt;=KS$24,KR13&lt;&gt;""),AND(LN13&gt;=MA$20,LN13&lt;&gt;"",LP13&gt;=MA$24,LP13&lt;&gt;""),AND(LQ13&gt;=MA$20,LQ13&lt;&gt;"",LS13&gt;=MA$24,LS13&lt;&gt;""),AND(LU13&gt;=MA$20,LU13&lt;&gt;"",LW13&gt;=MA$24,LW13&lt;&gt;""),AND(LX13&gt;=MA$20,LX13&lt;&gt;"",LZ13&gt;=MA$24,LZ13&lt;&gt;""),AND(MV13&gt;=NI$20,MV13&lt;&gt;"",MX13&gt;=NI$24,MX13&lt;&gt;""),AND(MY13&gt;=NI$20,MY13&lt;&gt;"",NA13&gt;=NI$24,NA13&lt;&gt;""),AND(NC13&gt;=NI$20,NC13&lt;&gt;"",NE13&gt;=NI$24,NE13&lt;&gt;""),AND(NF13&gt;=NI$20,NF13&lt;&gt;"",NH13&gt;=NI$24,NH13&lt;&gt;""),AND(OD13&gt;=OQ$20,OD13&lt;&gt;"",OF13&gt;=OQ$24,OF13&lt;&gt;""),AND(OG13&gt;=OQ$20,OG13&lt;&gt;"",OI13&gt;=OQ$24,OI13&lt;&gt;""),AND(OK13&gt;=OQ$20,OK13&lt;&gt;"",OM13&gt;=OQ$24,OM13&lt;&gt;""),AND(ON13&gt;=OQ$20,ON13&lt;&gt;"",OP13&gt;=OQ$24,OP13&lt;&gt;""),AND(PL13&gt;=PY$20,PL13&lt;&gt;"",PN13&gt;=PY$24,PN13&lt;&gt;""),AND(PO13&gt;=PY$20,PO13&lt;&gt;"",PQ13&gt;=PY$24,PQ13&lt;&gt;""),AND(PS13&gt;=PY$20,PS13&lt;&gt;"",PU13&gt;=PY$24,PU13&lt;&gt;""),AND(PV13&gt;=PY$20,PV13&lt;&gt;"",PX13&gt;=PY$24,PX13&lt;&gt;""),AND(QT13&gt;=RG$20,QT13&lt;&gt;"",QV13&gt;=RG$24,QV13&lt;&gt;""),AND(QW13&gt;=RG$20,QW13&lt;&gt;"",QY13&gt;=RG$24,QY13&lt;&gt;""),AND(RA13&gt;=RG$20,RA13&lt;&gt;"",RC13&gt;=RG$24,RC13&lt;&gt;""),AND(RD13&gt;=RG$20,RD13&lt;&gt;"",RF13&gt;=RG$24,RF13&lt;&gt;""),AND(SB13&gt;=SO$20,SB13&lt;&gt;"",SD13&gt;=SO$24,SD13&lt;&gt;""),AND(SE13&gt;=SO$20,SE13&lt;&gt;"",SG13&gt;=SO$24,SG13&lt;&gt;""),AND(SI13&gt;=SO$20,SI13&lt;&gt;"",SK13&gt;=SO$24,SK13&lt;&gt;""),AND(SL13&gt;=SO$20,SL13&lt;&gt;"",SN13&gt;=SO$24,SN13&lt;&gt;""),AND(TJ13&gt;=TW$20,TJ13&lt;&gt;"",TL13&gt;=TW$24,TL13&lt;&gt;""),AND(TM13&gt;=TW$20,TM13&lt;&gt;"",TO13&gt;=TW$24,TO13&lt;&gt;""),AND(TQ13&gt;=TW$20,TQ13&lt;&gt;"",TS13&gt;=TW$344,TXQ13&lt;&gt;""),AND(TT13&gt;=TW$20,TT13&lt;&gt;"",TV13&gt;=TW$24,TV13&lt;&gt;""),AND(UR13&gt;=VE$20,UR13&lt;&gt;"",UT13&gt;=VE$24,UT13&lt;&gt;""),AND(UU13&gt;=VE$20,UU13&lt;&gt;"",UW13&gt;=VE$24,UW13&lt;&gt;""),AND(UY13&gt;=VE$20,UY13&lt;&gt;"",VA13&gt;=VE$24,VA13&lt;&gt;""),AND(VB13&gt;=VE$20,VB13&lt;&gt;"",VD13&gt;=VE$24,VD13&lt;&gt;""),AND(VZ13&gt;=WM$20,VZ13&lt;&gt;"",WB13&gt;=WM$24,WB13&lt;&gt;""),AND(WC13&gt;=WM$20,WC13&lt;&gt;"",WE13&gt;=WM$24,WE13&lt;&gt;""),AND(WG13&gt;=WM$20,WG13&lt;&gt;"",WI13&gt;=WM$24,WI13&lt;&gt;""),AND(WJ13&gt;=WM$20,WJ13&lt;&gt;"",WL13&gt;=WM$24,WL13&lt;&gt;"")),"Merit",IF(OR(AND(AI13&gt;=AS$19,AI13&lt;&gt;"",AK13&gt;=AS$23,AK13&lt;&gt;"",AH13=""),AND(AL13&gt;=AS$19,AL13&lt;&gt;"",AN13&gt;=AS$23,AN13&lt;&gt;"",AH13=""),AND(AP13&gt;=AS$19,AP13&lt;&gt;"",AR13&gt;=AS$23,AR13&lt;&gt;"",AH13=""),AND(BJ13&gt;=BT$19,BJ13&lt;&gt;"",BL13&gt;=BT$23,BL13&lt;&gt;"",BI13=""),AND(BM13&gt;=BT$19,BM13&lt;&gt;"",BO13&gt;=BT$23,BO13&lt;&gt;"",BI13=""),AND(BQ13&gt;=BT$19,BQ13&lt;&gt;"",BS13&gt;=BT$23,BS13&lt;&gt;"",BI13=""),AND(CK13&gt;=CU$19,CK13&lt;&gt;"",CM13&gt;=CU$23,CM13&lt;&gt;"",CJ13=""),AND(CN13&gt;=CU$19,CN13&lt;&gt;"",CP13&gt;=CU$23,CP13&lt;&gt;"",CJ13=""),AND(CR13&gt;=CU$19,CR13&lt;&gt;"",CT13&gt;=CU$23,CT13&lt;&gt;"",CJ13=""),AND(DR13&gt;=EE$19,DR13&lt;&gt;"",DT13&gt;=EE$23,DT13&lt;&gt;""),AND(DU13&gt;=EE$19,DU13&lt;&gt;"",DW13&gt;=EE$23,DW13&lt;&gt;""),AND(DY13&gt;=EE$19,DY13&lt;&gt;"",EA13&gt;=EE$23,EA13&lt;&gt;""),AND(EB13&gt;=EE$19,EB13&lt;&gt;"",ED13&gt;=EE$23,ED13&lt;&gt;""),AND(EZ13&gt;=FM$19,EZ13&lt;&gt;"",FB13&gt;=FM$23,FB13&lt;&gt;""),AND(FC13&gt;=FM$19,FC13&lt;&gt;"",FE13&gt;=FM$23,FE13&lt;&gt;""),AND(FG13&gt;=FM$19,FG13&lt;&gt;"",FI13&gt;=FM$23,FI13&lt;&gt;""),AND(FJ13&gt;=FM$19,FJ13&lt;&gt;"",FL13&gt;=FM$23,FL13&lt;&gt;""),AND(GH13&gt;=GU$19,GH13&lt;&gt;"",GJ13&gt;=GU$23,GJ13&lt;&gt;""),AND(GK13&gt;=GU$19,GK13&lt;&gt;"",GM13&gt;=GU$23,GM13&lt;&gt;""),AND(GO13&gt;=GU$19,GO13&lt;&gt;"",GQ13&gt;=GU$23,GQ13&lt;&gt;""),AND(GR13&gt;=GU$19,GR13&lt;&gt;"",GT13&gt;=GU$23,GT13&lt;&gt;""),AND(HP13&gt;=IC$19,HP13&lt;&gt;"",HR13&gt;=IC$23,HR13&lt;&gt;""),AND(HS13&gt;=IC$19,HS13&lt;&gt;"",HU13&gt;=IC$23,HU13&lt;&gt;""),AND(HW13&gt;=IC$19,HW13&lt;&gt;"",HY13&gt;=IC$23,HY13&lt;&gt;""),AND(HZ13&gt;=IC$19,HZ13&lt;&gt;"",IB13&gt;=IC$23,IB13&lt;&gt;""),AND(IX13&gt;=JK$19,IX13&lt;&gt;"",IZ13&gt;=JK$23,IZ13&lt;&gt;""),AND(JA13&gt;=JK$19,JA13&lt;&gt;"",JC13&gt;=JK$23,JC13&lt;&gt;""),AND(JE13&gt;=JK$19,JE13&lt;&gt;"",JG13&gt;=JK$23,JG13&lt;&gt;""),AND(JH13&gt;=JK$19,JH13&lt;&gt;"",JJ13&gt;=JK$23,JJ13&lt;&gt;""),AND(KF13&gt;=KS$19,KF13&lt;&gt;"",KH13&gt;=KS$23,KH13&lt;&gt;""),AND(KI13&gt;=KS$19,KI13&lt;&gt;"",KK13&gt;=KS$23,KK13&lt;&gt;""),AND(KM13&gt;=KS$19,KM13&lt;&gt;"",KO13&gt;=KS$23,KO13&lt;&gt;""),AND(KP13&gt;=KS$19,KP13&lt;&gt;"",KR13&gt;=KS$23,KR13&lt;&gt;""),AND(LN13&gt;=MA$19,LN13&lt;&gt;"",LP13&gt;=MA$23,LP13&lt;&gt;""),AND(LQ13&gt;=MA$19,LQ13&lt;&gt;"",LS13&gt;=MA$23,LS13&lt;&gt;""),AND(LU13&gt;=MA$19,LU13&lt;&gt;"",LW13&gt;=MA$23,LW13&lt;&gt;""),AND(LX13&gt;=MA$19,LX13&lt;&gt;"",LZ13&gt;=MA$23,LZ13&lt;&gt;""),AND(MV13&gt;=NI$19,MV13&lt;&gt;"",MX13&gt;=NI$23,MX13&lt;&gt;""),AND(MY13&gt;=NI$19,MY13&lt;&gt;"",NA13&gt;=NI$23,NA13&lt;&gt;""),AND(NC13&gt;=NI$19,NC13&lt;&gt;"",NE13&gt;=NI$23,NE13&lt;&gt;""),AND(NF13&gt;=NI$19,NF13&lt;&gt;"",NH13&gt;=NI$23,NH13&lt;&gt;""),AND(OD13&gt;=OQ$19,OD13&lt;&gt;"",OF13&gt;=OQ$23,OF13&lt;&gt;""),AND(OG13&gt;=OQ$19,OG13&lt;&gt;"",OI13&gt;=OQ$23,OI13&lt;&gt;""),AND(OK13&gt;=OQ$19,OK13&lt;&gt;"",OM13&gt;=OQ$23,OM13&lt;&gt;""),AND(ON13&gt;=OQ$19,ON13&lt;&gt;"",OP13&gt;=OQ$23,OP13&lt;&gt;""),AND(PL13&gt;=PY$19,PL13&lt;&gt;"",PN13&gt;=PY$23,PN13&lt;&gt;""),AND(PO13&gt;=PY$19,PO13&lt;&gt;"",PQ13&gt;=PY$23,PQ13&lt;&gt;""),AND(PS13&gt;=PY$19,PS13&lt;&gt;"",PU13&gt;=PY$23,PU13&lt;&gt;""),AND(PV13&gt;=PY$19,PV13&lt;&gt;"",PX13&gt;=PY$23,PX13&lt;&gt;""),AND(QT13&gt;=RG$19,QT13&lt;&gt;"",QV13&gt;=RG$23,QV13&lt;&gt;""),AND(QW13&gt;=RG$19,QW13&lt;&gt;"",QY13&gt;=RG$23,QY13&lt;&gt;""),AND(RA13&gt;=RG$19,RA13&lt;&gt;"",RC13&gt;=RG$23,RC13&lt;&gt;""),AND(RD13&gt;=RG$19,RD13&lt;&gt;"",RF13&gt;=RG$23,RF13&lt;&gt;""),AND(SB13&gt;=SO$19,SB13&lt;&gt;"",SD13&gt;=SO$23,SD13&lt;&gt;""),AND(SE13&gt;=SO$19,SE13&lt;&gt;"",SG13&gt;=SO$23,SG13&lt;&gt;""),AND(SI13&gt;=SO$19,SI13&lt;&gt;"",SK13&gt;=SO$23,SK13&lt;&gt;""),AND(SL13&gt;=SO$19,SL13&lt;&gt;"",SN13&gt;=SO$23,SN13&lt;&gt;""),AND(TJ13&gt;=TW$19,TJ13&lt;&gt;"",TL13&gt;=TW$23,TL13&lt;&gt;""),AND(TM13&gt;=TW$19,TM13&lt;&gt;"",TO13&gt;=TW$23,TO13&lt;&gt;""),AND(TQ13&gt;=TW$19,TQ13&lt;&gt;"",TS13&gt;=TW$23,TXQ13&lt;&gt;""),AND(TT13&gt;=TW$19,TT13&lt;&gt;"",TV13&gt;=TW$23,TV13&lt;&gt;""),AND(UR13&gt;=VE$19,UR13&lt;&gt;"",UT13&gt;=VE$23,UT13&lt;&gt;""),AND(UU13&gt;=VE$19,UU13&lt;&gt;"",UW13&gt;=VE$23,UW13&lt;&gt;""),AND(UY13&gt;=VE$19,UY13&lt;&gt;"",VA13&gt;=VE$23,VA13&lt;&gt;""),AND(VB13&gt;=VE$19,VB13&lt;&gt;"",VD13&gt;=VE$23,VD13&lt;&gt;""),AND(VZ13&gt;=WM$19,VZ13&lt;&gt;"",WB13&gt;=WM$23,WB13&lt;&gt;""),AND(WC13&gt;=WM$19,WC13&lt;&gt;"",WE13&gt;=WM$23,WE13&lt;&gt;""),AND(WG13&gt;=WM$19,WG13&lt;&gt;"",WI13&gt;=WM$23,WI13&lt;&gt;""),AND(WJ13&gt;=WM$19,WJ13&lt;&gt;"",WL13&gt;=WM$23,WL13&lt;&gt;"")),"Excellence",IF(I13="P","Worlds Team",IF(F13="P","National Team","")))))</f>
        <v/>
      </c>
      <c r="I13" s="3" t="str">
        <f>IF(OR(AND(AI13&gt;=AS$18,AI13&lt;&gt;"",AK13&gt;=AS$22,AK13&lt;&gt;"",AH13=""),AND(AL13&gt;=AS$18,AL13&lt;&gt;"",AN13&gt;=AS$22,AN13&lt;&gt;"",AH13=""),AND(AP13&gt;=AS$18,AP13&lt;&gt;"",AR13&gt;=AS$22,AR13&lt;&gt;"",AH13=""),AND(BJ13&gt;=BT$18,BJ13&lt;&gt;"",BL13&gt;=BT$22,BL13&lt;&gt;"",BI13=""),AND(BM13&gt;=BT$18,BM13&lt;&gt;"",BO13&gt;=BT$22,BO13&lt;&gt;"",BI13=""),AND(BQ13&gt;=BT$18,BQ13&lt;&gt;"",BS13&gt;=BT$22,BS13&lt;&gt;"",BI13=""),AND(CK13&gt;=CU$18,CK13&lt;&gt;"",CM13&gt;=CU$22,CM13&lt;&gt;"",CJ13=""),AND(CN13&gt;=CU$18,CN13&lt;&gt;"",CP13&gt;=CU$22,CP13&lt;&gt;"",CJ13=""),AND(CR13&gt;=CU$18,CR13&lt;&gt;"",CT13&gt;=CU$22,CT13&lt;&gt;"",CJ13=""),AND(DR13&gt;=EE$18,DR13&lt;&gt;"",DT13&gt;=EE$22,DT13&lt;&gt;""),AND(DU13&gt;=EE$18,DU13&lt;&gt;"",DW13&gt;=EE$22,DW13&lt;&gt;""),AND(DY13&gt;=EE$18,DY13&lt;&gt;"",EA13&gt;=EE$22,EA13&lt;&gt;""),AND(EB13&gt;=EE$18,EB13&lt;&gt;"",ED13&gt;=EE$22,ED13&lt;&gt;""),AND(EZ13&gt;=FM$18,EZ13&lt;&gt;"",FB13&gt;=FM$22,FB13&lt;&gt;""),AND(FC13&gt;=FM$18,FC13&lt;&gt;"",FE13&gt;=FM$22,FE13&lt;&gt;""),AND(FG13&gt;=FM$18,FG13&lt;&gt;"",FI13&gt;=FM$22,FI13&lt;&gt;""),AND(FJ13&gt;=FM$18,FJ13&lt;&gt;"",FL13&gt;=FM$22,FL13&lt;&gt;""),AND(GH13&gt;=GU$18,GH13&lt;&gt;"",GJ13&gt;=GU$22,GJ13&lt;&gt;""),AND(GK13&gt;=GU$18,GK13&lt;&gt;"",GM13&gt;=GU$22,GM13&lt;&gt;""),AND(GO13&gt;=GU$18,GO13&lt;&gt;"",GQ13&gt;=GU$22,GQ13&lt;&gt;""),AND(GR13&gt;=GU$18,GR13&lt;&gt;"",GT13&gt;=GU$22,GT13&lt;&gt;""),AND(HP13&gt;=IC$18,HP13&lt;&gt;"",HR13&gt;=IC$22,HR13&lt;&gt;""),AND(HS13&gt;=IC$18,HS13&lt;&gt;"",HU13&gt;=IC$22,HU13&lt;&gt;""),AND(HW13&gt;=IC$18,HW13&lt;&gt;"",HY13&gt;=IC$22,HY13&lt;&gt;""),AND(HZ13&gt;=IC$18,HZ13&lt;&gt;"",IB13&gt;=IC$22,IB13&lt;&gt;""),AND(IX13&gt;=JK$18,IX13&lt;&gt;"",IZ13&gt;=JK$22,IZ13&lt;&gt;""),AND(JA13&gt;=JK$18,JA13&lt;&gt;"",JC13&gt;=JK$22,JC13&lt;&gt;""),AND(JE13&gt;=JK$18,JE13&lt;&gt;"",JG13&gt;=JK$22,JG13&lt;&gt;""),AND(JH13&gt;=JK$18,JH13&lt;&gt;"",JJ13&gt;=JK$22,JJ13&lt;&gt;""),AND(KF13&gt;=KS$18,KF13&lt;&gt;"",KH13&gt;=KS$22,KH13&lt;&gt;""),AND(KI13&gt;=KS$18,KI13&lt;&gt;"",KK13&gt;=KS$22,KK13&lt;&gt;""),AND(KM13&gt;=KS$18,KM13&lt;&gt;"",KO13&gt;=KS$22,KO13&lt;&gt;""),AND(KP13&gt;=KS$18,KP13&lt;&gt;"",KR13&gt;=KS$22,KR13&lt;&gt;""),AND(LN13&gt;=MA$18,LN13&lt;&gt;"",LP13&gt;=MA$22,LP13&lt;&gt;""),AND(LQ13&gt;=MA$18,LQ13&lt;&gt;"",LS13&gt;=MA$22,LS13&lt;&gt;""),AND(LU13&gt;=MA$18,LU13&lt;&gt;"",LW13&gt;=MA$22,LW13&lt;&gt;""),AND(LX13&gt;=MA$18,LX13&lt;&gt;"",LZ13&gt;=MA$22,LZ13&lt;&gt;""),AND(MV13&gt;=NI$18,MV13&lt;&gt;"",MX13&gt;=NI$22,MX13&lt;&gt;""),AND(MY13&gt;=NI$18,MY13&lt;&gt;"",NA13&gt;=NI$22,NA13&lt;&gt;""),AND(NC13&gt;=NI$18,NC13&lt;&gt;"",NE13&gt;=NI$22,NE13&lt;&gt;""),AND(NF13&gt;=NI$18,NF13&lt;&gt;"",NH13&gt;=NI$22,NH13&lt;&gt;""),AND(OD13&gt;=OQ$18,OD13&lt;&gt;"",OF13&gt;=OQ$22,OF13&lt;&gt;""),AND(OG13&gt;=OQ$18,OG13&lt;&gt;"",OI13&gt;=OQ$22,OI13&lt;&gt;""),AND(OK13&gt;=OQ$18,OK13&lt;&gt;"",OM13&gt;=OQ$22,OM13&lt;&gt;""),AND(ON13&gt;=OQ$18,ON13&lt;&gt;"",OP13&gt;=OQ$22,OP13&lt;&gt;""),AND(PL13&gt;=PY$18,PL13&lt;&gt;"",PN13&gt;=PY$22,PN13&lt;&gt;""),AND(PO13&gt;=PY$18,PO13&lt;&gt;"",PQ13&gt;=PY$22,PQ13&lt;&gt;""),AND(PS13&gt;=PY$18,PS13&lt;&gt;"",PU13&gt;=PY$22,PU13&lt;&gt;""),AND(PV13&gt;=PY$18,PV13&lt;&gt;"",PX13&gt;=PY$22,PX13&lt;&gt;""),AND(QT13&gt;=RG$18,QT13&lt;&gt;"",QV13&gt;=RG$22,QV13&lt;&gt;""),AND(QW13&gt;=RG$18,QW13&lt;&gt;"",QY13&gt;=RG$22,QY13&lt;&gt;""),AND(RA13&gt;=RG$18,RA13&lt;&gt;"",RC13&gt;=RG$22,RC13&lt;&gt;""),AND(RD13&gt;=RG$18,RD13&lt;&gt;"",RF13&gt;=RG$22,RF13&lt;&gt;""),AND(SB13&gt;=SO$18,SB13&lt;&gt;"",SD13&gt;=SO$22,SD13&lt;&gt;""),AND(SE13&gt;=SO$18,SE13&lt;&gt;"",SG13&gt;=SO$22,SG13&lt;&gt;""),AND(SI13&gt;=SO$18,SI13&lt;&gt;"",SK13&gt;=SO$22,SK13&lt;&gt;""),AND(SL13&gt;=SO$18,SL13&lt;&gt;"",SN13&gt;=SO$22,SN13&lt;&gt;""),AND(TJ13&gt;=TW$18,TJ13&lt;&gt;"",TL13&gt;=TW$22,TL13&lt;&gt;""),AND(TM13&gt;=TW$18,TM13&lt;&gt;"",TO13&gt;=TW$22,TO13&lt;&gt;""),AND(TQ13&gt;=TW$18,TQ13&lt;&gt;"",TS13&gt;=TW$22,TXQ13&lt;&gt;""),AND(TT13&gt;=TW$18,TT13&lt;&gt;"",TV13&gt;=TW$22,TV13&lt;&gt;""),AND(UR13&gt;=VE$18,UR13&lt;&gt;"",UT13&gt;=VE$22,UT13&lt;&gt;""),AND(UU13&gt;=VE$18,UU13&lt;&gt;"",UW13&gt;=VE$22,UW13&lt;&gt;""),AND(UY13&gt;=VE$18,UY13&lt;&gt;"",VA13&gt;=VE$22,VA13&lt;&gt;""),AND(VB13&gt;=VE$18,VB13&lt;&gt;"",VD13&gt;=VE$22,VD13&lt;&gt;""),AND(VZ13&gt;=WM$18,VZ13&lt;&gt;"",WB13&gt;=WM$22,WB13&lt;&gt;""),AND(WC13&gt;=WM$18,WC13&lt;&gt;"",WE13&gt;=WM$22,WE13&lt;&gt;""),AND(WG13&gt;=WM$18,WG13&lt;&gt;"",WI13&gt;=WM$22,WI13&lt;&gt;""),AND(WJ13&gt;=WM$18,WJ13&lt;&gt;"",WL13&gt;=WM$22,WL13&lt;&gt;"")),"P","")</f>
        <v/>
      </c>
      <c r="J13" s="8">
        <f t="shared" si="1"/>
        <v>50.95</v>
      </c>
      <c r="K13" s="8" t="str">
        <f t="shared" si="2"/>
        <v>2025 Nationals</v>
      </c>
      <c r="L13" s="8">
        <f>IFERROR(IF(J13=AR13,LARGE((AK13,AN13,BL13,BO13,BS13,CM13,CP13,CT13),1),IF(J13=BS13,LARGE((AK13,AN13,AR13,BL13,BO13,CM13,CP13,CT13),1),LARGE((AK13,AN13,AR13,BL13,BO13,BS13,CM13,CP13),1))),0)</f>
        <v>50.089999999999996</v>
      </c>
      <c r="M13" s="8" t="str">
        <f t="shared" si="3"/>
        <v>2026 Elite Canada</v>
      </c>
      <c r="N13" s="8">
        <f>IFERROR(IF(J13=AR13,LARGE((AK13,AN13,BL13,BO13,BS13,CM13,CP13,CT13),2),IF(J13=BS13,LARGE((AK13,AN13,AR13,BL13,BO13,CM13,CP13,CT13),2),LARGE((AK13,AN13,AR13,BL13,BO13,BS13,CM13,CP13),2))),0)</f>
        <v>44.639999999999993</v>
      </c>
      <c r="O13" s="8" t="str">
        <f t="shared" si="4"/>
        <v>2026 Elite Canada</v>
      </c>
      <c r="P13" s="8">
        <f t="shared" si="5"/>
        <v>0</v>
      </c>
      <c r="Q13" s="11" t="str">
        <f t="shared" si="6"/>
        <v/>
      </c>
      <c r="R13" s="8" t="str">
        <f t="shared" si="7"/>
        <v/>
      </c>
      <c r="S13" s="18">
        <v>18.3</v>
      </c>
      <c r="T13" s="18">
        <v>9.6</v>
      </c>
      <c r="U13" s="18">
        <v>0</v>
      </c>
      <c r="V13" s="18">
        <v>14.94</v>
      </c>
      <c r="W13" s="18">
        <v>0</v>
      </c>
      <c r="X13" s="18">
        <v>7.3</v>
      </c>
      <c r="Y13" s="18">
        <v>5.3</v>
      </c>
      <c r="Z13" s="18">
        <v>7.2</v>
      </c>
      <c r="AA13" s="18">
        <v>8.5299999999999994</v>
      </c>
      <c r="AB13" s="18">
        <v>0</v>
      </c>
      <c r="AC13" s="18">
        <v>14.4</v>
      </c>
      <c r="AD13" s="18">
        <v>9.1999999999999993</v>
      </c>
      <c r="AE13" s="18">
        <v>13.1</v>
      </c>
      <c r="AF13" s="18">
        <v>14.25</v>
      </c>
      <c r="AG13" s="18">
        <v>0</v>
      </c>
      <c r="AH13" s="23"/>
      <c r="AI13" s="34" t="str">
        <f t="shared" si="8"/>
        <v/>
      </c>
      <c r="AJ13" s="34">
        <f t="shared" si="9"/>
        <v>14.94</v>
      </c>
      <c r="AK13" s="36">
        <f t="shared" si="10"/>
        <v>42.839999999999996</v>
      </c>
      <c r="AL13" s="36">
        <f t="shared" si="11"/>
        <v>7.2</v>
      </c>
      <c r="AM13" s="36">
        <f t="shared" si="12"/>
        <v>8.5299999999999994</v>
      </c>
      <c r="AN13" s="36">
        <f t="shared" si="13"/>
        <v>28.33</v>
      </c>
      <c r="AO13" s="36">
        <f t="shared" si="14"/>
        <v>42.839999999999996</v>
      </c>
      <c r="AP13" s="36">
        <f t="shared" si="15"/>
        <v>13.1</v>
      </c>
      <c r="AQ13" s="36">
        <f t="shared" si="16"/>
        <v>14.25</v>
      </c>
      <c r="AR13" s="36">
        <f t="shared" si="17"/>
        <v>50.95</v>
      </c>
      <c r="AS13" s="36">
        <f t="shared" si="18"/>
        <v>93.789999999999992</v>
      </c>
      <c r="AT13" s="22">
        <v>16.7</v>
      </c>
      <c r="AU13" s="22">
        <v>9.6999999999999993</v>
      </c>
      <c r="AV13" s="22">
        <v>0</v>
      </c>
      <c r="AW13" s="22">
        <v>15.34</v>
      </c>
      <c r="AX13" s="22">
        <v>0</v>
      </c>
      <c r="AY13" s="22">
        <v>1.4</v>
      </c>
      <c r="AZ13" s="22">
        <v>0.8</v>
      </c>
      <c r="BA13" s="22">
        <v>2</v>
      </c>
      <c r="BB13" s="22">
        <v>1.59</v>
      </c>
      <c r="BC13" s="22">
        <v>0.2</v>
      </c>
      <c r="BD13" s="22">
        <v>7</v>
      </c>
      <c r="BE13" s="22">
        <v>4.5999999999999996</v>
      </c>
      <c r="BF13" s="22">
        <v>6.9</v>
      </c>
      <c r="BG13" s="22">
        <v>7.31</v>
      </c>
      <c r="BH13" s="22">
        <v>0</v>
      </c>
      <c r="BI13" s="24"/>
      <c r="BJ13" s="35" t="str">
        <f t="shared" si="19"/>
        <v/>
      </c>
      <c r="BK13" s="35">
        <f t="shared" si="20"/>
        <v>15.34</v>
      </c>
      <c r="BL13" s="11">
        <f t="shared" si="21"/>
        <v>41.739999999999995</v>
      </c>
      <c r="BM13" s="11">
        <f t="shared" si="22"/>
        <v>2</v>
      </c>
      <c r="BN13" s="11">
        <f t="shared" si="23"/>
        <v>1.59</v>
      </c>
      <c r="BO13" s="11">
        <f t="shared" si="24"/>
        <v>5.59</v>
      </c>
      <c r="BP13" s="11">
        <f t="shared" si="25"/>
        <v>41.739999999999995</v>
      </c>
      <c r="BQ13" s="11">
        <f t="shared" si="26"/>
        <v>6.9</v>
      </c>
      <c r="BR13" s="11">
        <f t="shared" si="27"/>
        <v>7.31</v>
      </c>
      <c r="BS13" s="11">
        <f t="shared" si="28"/>
        <v>25.81</v>
      </c>
      <c r="BT13" s="11">
        <f t="shared" si="29"/>
        <v>67.55</v>
      </c>
      <c r="BU13" s="18">
        <v>14.6</v>
      </c>
      <c r="BV13" s="18">
        <v>9.1999999999999993</v>
      </c>
      <c r="BW13" s="18">
        <v>12.4</v>
      </c>
      <c r="BX13" s="18">
        <v>14.19</v>
      </c>
      <c r="BY13" s="18">
        <v>0.3</v>
      </c>
      <c r="BZ13" s="18">
        <v>9.4</v>
      </c>
      <c r="CA13" s="18">
        <v>5.3</v>
      </c>
      <c r="CB13" s="18">
        <v>6.6</v>
      </c>
      <c r="CC13" s="18">
        <v>8.83</v>
      </c>
      <c r="CD13" s="18">
        <v>0</v>
      </c>
      <c r="CE13" s="18">
        <v>12.4</v>
      </c>
      <c r="CF13" s="18">
        <v>9.1</v>
      </c>
      <c r="CG13" s="18">
        <v>10.8</v>
      </c>
      <c r="CH13" s="18">
        <v>14.44</v>
      </c>
      <c r="CI13" s="18">
        <v>2.1</v>
      </c>
      <c r="CJ13" s="23"/>
      <c r="CK13" s="34">
        <f t="shared" si="30"/>
        <v>12.4</v>
      </c>
      <c r="CL13" s="34">
        <f t="shared" si="31"/>
        <v>14.19</v>
      </c>
      <c r="CM13" s="36">
        <f t="shared" si="32"/>
        <v>50.089999999999996</v>
      </c>
      <c r="CN13" s="36">
        <f t="shared" si="33"/>
        <v>6.6</v>
      </c>
      <c r="CO13" s="36">
        <f t="shared" si="34"/>
        <v>8.83</v>
      </c>
      <c r="CP13" s="36">
        <f t="shared" si="35"/>
        <v>30.129999999999995</v>
      </c>
      <c r="CQ13" s="36">
        <f t="shared" si="36"/>
        <v>50.089999999999996</v>
      </c>
      <c r="CR13" s="36">
        <f t="shared" si="37"/>
        <v>10.8</v>
      </c>
      <c r="CS13" s="36">
        <f t="shared" si="38"/>
        <v>14.44</v>
      </c>
      <c r="CT13" s="36">
        <f t="shared" si="39"/>
        <v>44.639999999999993</v>
      </c>
      <c r="CU13" s="36">
        <f t="shared" si="40"/>
        <v>94.72999999999999</v>
      </c>
      <c r="CV13" s="47" t="str">
        <f t="shared" si="41"/>
        <v/>
      </c>
      <c r="CW13" s="47" t="str">
        <f t="shared" si="42"/>
        <v/>
      </c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36" t="str">
        <f t="shared" si="43"/>
        <v/>
      </c>
      <c r="DS13" s="36" t="str">
        <f t="shared" si="44"/>
        <v/>
      </c>
      <c r="DT13" s="36" t="str">
        <f t="shared" si="45"/>
        <v/>
      </c>
      <c r="DU13" s="36" t="str">
        <f t="shared" si="46"/>
        <v/>
      </c>
      <c r="DV13" s="36" t="str">
        <f t="shared" si="47"/>
        <v/>
      </c>
      <c r="DW13" s="36" t="str">
        <f t="shared" si="48"/>
        <v/>
      </c>
      <c r="DX13" s="36" t="str">
        <f t="shared" si="49"/>
        <v/>
      </c>
      <c r="DY13" s="36" t="str">
        <f t="shared" si="50"/>
        <v/>
      </c>
      <c r="DZ13" s="36" t="str">
        <f t="shared" si="51"/>
        <v/>
      </c>
      <c r="EA13" s="36" t="str">
        <f t="shared" si="52"/>
        <v/>
      </c>
      <c r="EB13" s="36" t="str">
        <f t="shared" si="53"/>
        <v/>
      </c>
      <c r="EC13" s="36" t="str">
        <f t="shared" si="54"/>
        <v/>
      </c>
      <c r="ED13" s="36" t="str">
        <f t="shared" si="55"/>
        <v/>
      </c>
      <c r="EE13" s="36" t="str">
        <f t="shared" si="56"/>
        <v/>
      </c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1" t="str">
        <f t="shared" si="57"/>
        <v/>
      </c>
      <c r="FA13" s="11" t="str">
        <f t="shared" si="58"/>
        <v/>
      </c>
      <c r="FB13" s="11" t="str">
        <f t="shared" si="59"/>
        <v/>
      </c>
      <c r="FC13" s="11" t="str">
        <f t="shared" si="60"/>
        <v/>
      </c>
      <c r="FD13" s="11" t="str">
        <f t="shared" si="61"/>
        <v/>
      </c>
      <c r="FE13" s="11" t="str">
        <f t="shared" si="62"/>
        <v/>
      </c>
      <c r="FF13" s="11" t="str">
        <f t="shared" si="63"/>
        <v/>
      </c>
      <c r="FG13" s="11" t="str">
        <f t="shared" si="64"/>
        <v/>
      </c>
      <c r="FH13" s="11" t="str">
        <f t="shared" si="65"/>
        <v/>
      </c>
      <c r="FI13" s="11" t="str">
        <f t="shared" si="66"/>
        <v/>
      </c>
      <c r="FJ13" s="11" t="str">
        <f t="shared" si="67"/>
        <v/>
      </c>
      <c r="FK13" s="11" t="str">
        <f t="shared" si="68"/>
        <v/>
      </c>
      <c r="FL13" s="11" t="str">
        <f t="shared" si="69"/>
        <v/>
      </c>
      <c r="FM13" s="11" t="str">
        <f t="shared" si="70"/>
        <v/>
      </c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36" t="str">
        <f t="shared" si="71"/>
        <v/>
      </c>
      <c r="GI13" s="36" t="str">
        <f t="shared" si="72"/>
        <v/>
      </c>
      <c r="GJ13" s="36" t="str">
        <f t="shared" si="73"/>
        <v/>
      </c>
      <c r="GK13" s="36" t="str">
        <f t="shared" si="74"/>
        <v/>
      </c>
      <c r="GL13" s="36" t="str">
        <f t="shared" si="75"/>
        <v/>
      </c>
      <c r="GM13" s="36" t="str">
        <f t="shared" si="76"/>
        <v/>
      </c>
      <c r="GN13" s="36" t="str">
        <f t="shared" si="77"/>
        <v/>
      </c>
      <c r="GO13" s="36" t="str">
        <f t="shared" si="78"/>
        <v/>
      </c>
      <c r="GP13" s="36" t="str">
        <f t="shared" si="79"/>
        <v/>
      </c>
      <c r="GQ13" s="36" t="str">
        <f t="shared" si="80"/>
        <v/>
      </c>
      <c r="GR13" s="36" t="str">
        <f t="shared" si="81"/>
        <v/>
      </c>
      <c r="GS13" s="36" t="str">
        <f t="shared" si="82"/>
        <v/>
      </c>
      <c r="GT13" s="36" t="str">
        <f t="shared" si="83"/>
        <v/>
      </c>
      <c r="GU13" s="36" t="str">
        <f t="shared" si="84"/>
        <v/>
      </c>
      <c r="GV13" s="16">
        <v>17.3</v>
      </c>
      <c r="GW13" s="16">
        <v>0</v>
      </c>
      <c r="GX13" s="16">
        <v>9.6</v>
      </c>
      <c r="GY13" s="16">
        <v>15.05</v>
      </c>
      <c r="GZ13" s="16">
        <v>0</v>
      </c>
      <c r="HA13" s="16">
        <v>8.1999999999999993</v>
      </c>
      <c r="HB13" s="16">
        <v>7.8</v>
      </c>
      <c r="HC13" s="16">
        <v>5.5</v>
      </c>
      <c r="HD13" s="16">
        <v>8.83</v>
      </c>
      <c r="HE13" s="16">
        <v>0.2</v>
      </c>
      <c r="HF13" s="16"/>
      <c r="HG13" s="16"/>
      <c r="HH13" s="16"/>
      <c r="HI13" s="16"/>
      <c r="HJ13" s="16"/>
      <c r="HK13" s="16"/>
      <c r="HL13" s="16"/>
      <c r="HM13" s="16"/>
      <c r="HN13" s="16"/>
      <c r="HO13" s="16"/>
      <c r="HP13" s="11">
        <f t="shared" si="85"/>
        <v>9.6</v>
      </c>
      <c r="HQ13" s="11">
        <f t="shared" si="86"/>
        <v>15.05</v>
      </c>
      <c r="HR13" s="11">
        <f t="shared" si="87"/>
        <v>41.95</v>
      </c>
      <c r="HS13" s="11">
        <f t="shared" si="88"/>
        <v>5.5</v>
      </c>
      <c r="HT13" s="11">
        <f t="shared" si="89"/>
        <v>8.83</v>
      </c>
      <c r="HU13" s="11">
        <f t="shared" si="90"/>
        <v>30.13</v>
      </c>
      <c r="HV13" s="11">
        <f t="shared" si="91"/>
        <v>41.95</v>
      </c>
      <c r="HW13" s="11" t="str">
        <f t="shared" si="92"/>
        <v/>
      </c>
      <c r="HX13" s="11" t="str">
        <f t="shared" si="93"/>
        <v/>
      </c>
      <c r="HY13" s="11" t="str">
        <f t="shared" si="94"/>
        <v/>
      </c>
      <c r="HZ13" s="11" t="str">
        <f t="shared" si="95"/>
        <v/>
      </c>
      <c r="IA13" s="11" t="str">
        <f t="shared" si="96"/>
        <v/>
      </c>
      <c r="IB13" s="11" t="str">
        <f t="shared" si="97"/>
        <v/>
      </c>
      <c r="IC13" s="11">
        <f t="shared" si="98"/>
        <v>41.95</v>
      </c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36" t="str">
        <f t="shared" si="99"/>
        <v/>
      </c>
      <c r="IY13" s="36" t="str">
        <f t="shared" si="100"/>
        <v/>
      </c>
      <c r="IZ13" s="36" t="str">
        <f t="shared" si="101"/>
        <v/>
      </c>
      <c r="JA13" s="36" t="str">
        <f t="shared" si="102"/>
        <v/>
      </c>
      <c r="JB13" s="36" t="str">
        <f t="shared" si="103"/>
        <v/>
      </c>
      <c r="JC13" s="36" t="str">
        <f t="shared" si="104"/>
        <v/>
      </c>
      <c r="JD13" s="36" t="str">
        <f t="shared" si="105"/>
        <v/>
      </c>
      <c r="JE13" s="36" t="str">
        <f t="shared" si="106"/>
        <v/>
      </c>
      <c r="JF13" s="36" t="str">
        <f t="shared" si="107"/>
        <v/>
      </c>
      <c r="JG13" s="36" t="str">
        <f t="shared" si="108"/>
        <v/>
      </c>
      <c r="JH13" s="36" t="str">
        <f t="shared" si="109"/>
        <v/>
      </c>
      <c r="JI13" s="36" t="str">
        <f t="shared" si="110"/>
        <v/>
      </c>
      <c r="JJ13" s="36" t="str">
        <f t="shared" si="111"/>
        <v/>
      </c>
      <c r="JK13" s="36" t="str">
        <f t="shared" si="112"/>
        <v/>
      </c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6"/>
      <c r="KD13" s="16"/>
      <c r="KE13" s="16"/>
      <c r="KF13" s="11" t="str">
        <f t="shared" si="113"/>
        <v/>
      </c>
      <c r="KG13" s="11" t="str">
        <f t="shared" si="114"/>
        <v/>
      </c>
      <c r="KH13" s="11" t="str">
        <f t="shared" si="115"/>
        <v/>
      </c>
      <c r="KI13" s="11" t="str">
        <f t="shared" si="116"/>
        <v/>
      </c>
      <c r="KJ13" s="11" t="str">
        <f t="shared" si="117"/>
        <v/>
      </c>
      <c r="KK13" s="11" t="str">
        <f t="shared" si="118"/>
        <v/>
      </c>
      <c r="KL13" s="11" t="str">
        <f t="shared" si="119"/>
        <v/>
      </c>
      <c r="KM13" s="11" t="str">
        <f t="shared" si="120"/>
        <v/>
      </c>
      <c r="KN13" s="11" t="str">
        <f t="shared" si="121"/>
        <v/>
      </c>
      <c r="KO13" s="11" t="str">
        <f t="shared" si="122"/>
        <v/>
      </c>
      <c r="KP13" s="11" t="str">
        <f t="shared" si="123"/>
        <v/>
      </c>
      <c r="KQ13" s="11" t="str">
        <f t="shared" si="124"/>
        <v/>
      </c>
      <c r="KR13" s="11" t="str">
        <f t="shared" si="125"/>
        <v/>
      </c>
      <c r="KS13" s="11" t="str">
        <f t="shared" si="126"/>
        <v/>
      </c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36" t="str">
        <f t="shared" si="127"/>
        <v/>
      </c>
      <c r="LO13" s="36" t="str">
        <f t="shared" si="128"/>
        <v/>
      </c>
      <c r="LP13" s="36" t="str">
        <f t="shared" si="129"/>
        <v/>
      </c>
      <c r="LQ13" s="36" t="str">
        <f t="shared" si="130"/>
        <v/>
      </c>
      <c r="LR13" s="36" t="str">
        <f t="shared" si="131"/>
        <v/>
      </c>
      <c r="LS13" s="36" t="str">
        <f t="shared" si="132"/>
        <v/>
      </c>
      <c r="LT13" s="36" t="str">
        <f t="shared" si="133"/>
        <v/>
      </c>
      <c r="LU13" s="36" t="str">
        <f t="shared" si="134"/>
        <v/>
      </c>
      <c r="LV13" s="36" t="str">
        <f t="shared" si="135"/>
        <v/>
      </c>
      <c r="LW13" s="36" t="str">
        <f t="shared" si="136"/>
        <v/>
      </c>
      <c r="LX13" s="36" t="str">
        <f t="shared" si="137"/>
        <v/>
      </c>
      <c r="LY13" s="36" t="str">
        <f t="shared" si="138"/>
        <v/>
      </c>
      <c r="LZ13" s="36" t="str">
        <f t="shared" si="139"/>
        <v/>
      </c>
      <c r="MA13" s="36" t="str">
        <f t="shared" si="140"/>
        <v/>
      </c>
      <c r="MB13" s="16"/>
      <c r="MC13" s="16"/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6"/>
      <c r="MT13" s="16"/>
      <c r="MU13" s="16"/>
      <c r="MV13" s="11" t="str">
        <f t="shared" si="141"/>
        <v/>
      </c>
      <c r="MW13" s="11" t="str">
        <f t="shared" si="142"/>
        <v/>
      </c>
      <c r="MX13" s="11" t="str">
        <f t="shared" si="143"/>
        <v/>
      </c>
      <c r="MY13" s="11" t="str">
        <f t="shared" si="144"/>
        <v/>
      </c>
      <c r="MZ13" s="11" t="str">
        <f t="shared" si="145"/>
        <v/>
      </c>
      <c r="NA13" s="11" t="str">
        <f t="shared" si="146"/>
        <v/>
      </c>
      <c r="NB13" s="11" t="str">
        <f t="shared" si="147"/>
        <v/>
      </c>
      <c r="NC13" s="11" t="str">
        <f t="shared" si="148"/>
        <v/>
      </c>
      <c r="ND13" s="11" t="str">
        <f t="shared" si="149"/>
        <v/>
      </c>
      <c r="NE13" s="11" t="str">
        <f t="shared" si="150"/>
        <v/>
      </c>
      <c r="NF13" s="11" t="str">
        <f t="shared" si="151"/>
        <v/>
      </c>
      <c r="NG13" s="11" t="str">
        <f t="shared" si="152"/>
        <v/>
      </c>
      <c r="NH13" s="11" t="str">
        <f t="shared" si="153"/>
        <v/>
      </c>
      <c r="NI13" s="11" t="str">
        <f t="shared" si="154"/>
        <v/>
      </c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36" t="str">
        <f t="shared" si="155"/>
        <v/>
      </c>
      <c r="OE13" s="36" t="str">
        <f t="shared" si="156"/>
        <v/>
      </c>
      <c r="OF13" s="36" t="str">
        <f t="shared" si="157"/>
        <v/>
      </c>
      <c r="OG13" s="36" t="str">
        <f t="shared" si="158"/>
        <v/>
      </c>
      <c r="OH13" s="36" t="str">
        <f t="shared" si="159"/>
        <v/>
      </c>
      <c r="OI13" s="36" t="str">
        <f t="shared" si="160"/>
        <v/>
      </c>
      <c r="OJ13" s="36" t="str">
        <f t="shared" si="161"/>
        <v/>
      </c>
      <c r="OK13" s="36" t="str">
        <f t="shared" si="162"/>
        <v/>
      </c>
      <c r="OL13" s="36" t="str">
        <f t="shared" si="163"/>
        <v/>
      </c>
      <c r="OM13" s="36" t="str">
        <f t="shared" si="164"/>
        <v/>
      </c>
      <c r="ON13" s="36" t="str">
        <f t="shared" si="165"/>
        <v/>
      </c>
      <c r="OO13" s="36" t="str">
        <f t="shared" si="166"/>
        <v/>
      </c>
      <c r="OP13" s="36" t="str">
        <f t="shared" si="167"/>
        <v/>
      </c>
      <c r="OQ13" s="36" t="str">
        <f t="shared" si="168"/>
        <v/>
      </c>
      <c r="OR13" s="16">
        <v>16.2</v>
      </c>
      <c r="OS13" s="16">
        <v>9.5</v>
      </c>
      <c r="OT13" s="16">
        <v>0</v>
      </c>
      <c r="OU13" s="16">
        <v>15.35</v>
      </c>
      <c r="OV13" s="16">
        <v>0</v>
      </c>
      <c r="OW13" s="16">
        <v>9.6</v>
      </c>
      <c r="OX13" s="16">
        <v>6.1</v>
      </c>
      <c r="OY13" s="16">
        <v>5.8</v>
      </c>
      <c r="OZ13" s="16">
        <v>10.46</v>
      </c>
      <c r="PA13" s="16">
        <v>0</v>
      </c>
      <c r="PB13" s="16"/>
      <c r="PC13" s="16"/>
      <c r="PD13" s="16"/>
      <c r="PE13" s="16"/>
      <c r="PF13" s="16"/>
      <c r="PG13" s="16"/>
      <c r="PH13" s="16"/>
      <c r="PI13" s="16"/>
      <c r="PJ13" s="16"/>
      <c r="PK13" s="16"/>
      <c r="PL13" s="11" t="str">
        <f t="shared" si="169"/>
        <v/>
      </c>
      <c r="PM13" s="11">
        <f t="shared" si="170"/>
        <v>15.35</v>
      </c>
      <c r="PN13" s="11">
        <f t="shared" si="171"/>
        <v>41.05</v>
      </c>
      <c r="PO13" s="11">
        <f t="shared" si="172"/>
        <v>5.8</v>
      </c>
      <c r="PP13" s="11">
        <f t="shared" si="173"/>
        <v>10.46</v>
      </c>
      <c r="PQ13" s="11">
        <f t="shared" si="174"/>
        <v>31.96</v>
      </c>
      <c r="PR13" s="11">
        <f t="shared" si="175"/>
        <v>41.05</v>
      </c>
      <c r="PS13" s="11" t="str">
        <f t="shared" si="176"/>
        <v/>
      </c>
      <c r="PT13" s="11" t="str">
        <f t="shared" si="177"/>
        <v/>
      </c>
      <c r="PU13" s="11" t="str">
        <f t="shared" si="178"/>
        <v/>
      </c>
      <c r="PV13" s="11" t="str">
        <f t="shared" si="179"/>
        <v/>
      </c>
      <c r="PW13" s="11" t="str">
        <f t="shared" si="180"/>
        <v/>
      </c>
      <c r="PX13" s="11" t="str">
        <f t="shared" si="181"/>
        <v/>
      </c>
      <c r="PY13" s="11">
        <f t="shared" si="182"/>
        <v>41.05</v>
      </c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36" t="str">
        <f t="shared" si="183"/>
        <v/>
      </c>
      <c r="QU13" s="36" t="str">
        <f t="shared" si="184"/>
        <v/>
      </c>
      <c r="QV13" s="36" t="str">
        <f t="shared" si="185"/>
        <v/>
      </c>
      <c r="QW13" s="36" t="str">
        <f t="shared" si="186"/>
        <v/>
      </c>
      <c r="QX13" s="36" t="str">
        <f t="shared" si="187"/>
        <v/>
      </c>
      <c r="QY13" s="36" t="str">
        <f t="shared" si="188"/>
        <v/>
      </c>
      <c r="QZ13" s="36" t="str">
        <f t="shared" si="189"/>
        <v/>
      </c>
      <c r="RA13" s="36" t="str">
        <f t="shared" si="190"/>
        <v/>
      </c>
      <c r="RB13" s="36" t="str">
        <f t="shared" si="191"/>
        <v/>
      </c>
      <c r="RC13" s="36" t="str">
        <f t="shared" si="192"/>
        <v/>
      </c>
      <c r="RD13" s="36" t="str">
        <f t="shared" si="193"/>
        <v/>
      </c>
      <c r="RE13" s="36" t="str">
        <f t="shared" si="194"/>
        <v/>
      </c>
      <c r="RF13" s="36" t="str">
        <f t="shared" si="195"/>
        <v/>
      </c>
      <c r="RG13" s="36" t="str">
        <f t="shared" si="196"/>
        <v/>
      </c>
      <c r="RH13" s="16"/>
      <c r="RI13" s="16"/>
      <c r="RJ13" s="16"/>
      <c r="RK13" s="16"/>
      <c r="RL13" s="16"/>
      <c r="RM13" s="16"/>
      <c r="RN13" s="16"/>
      <c r="RO13" s="16"/>
      <c r="RP13" s="16"/>
      <c r="RQ13" s="16"/>
      <c r="RR13" s="16"/>
      <c r="RS13" s="16"/>
      <c r="RT13" s="16"/>
      <c r="RU13" s="16"/>
      <c r="RV13" s="16"/>
      <c r="RW13" s="16"/>
      <c r="RX13" s="16"/>
      <c r="RY13" s="16"/>
      <c r="RZ13" s="16"/>
      <c r="SA13" s="16"/>
      <c r="SB13" s="11" t="str">
        <f t="shared" si="197"/>
        <v/>
      </c>
      <c r="SC13" s="11" t="str">
        <f t="shared" si="198"/>
        <v/>
      </c>
      <c r="SD13" s="11" t="str">
        <f t="shared" si="199"/>
        <v/>
      </c>
      <c r="SE13" s="11" t="str">
        <f t="shared" si="200"/>
        <v/>
      </c>
      <c r="SF13" s="11" t="str">
        <f t="shared" si="201"/>
        <v/>
      </c>
      <c r="SG13" s="11" t="str">
        <f t="shared" si="202"/>
        <v/>
      </c>
      <c r="SH13" s="11" t="str">
        <f t="shared" si="203"/>
        <v/>
      </c>
      <c r="SI13" s="11" t="str">
        <f t="shared" si="204"/>
        <v/>
      </c>
      <c r="SJ13" s="11" t="str">
        <f t="shared" si="205"/>
        <v/>
      </c>
      <c r="SK13" s="11" t="str">
        <f t="shared" si="206"/>
        <v/>
      </c>
      <c r="SL13" s="11" t="str">
        <f t="shared" si="207"/>
        <v/>
      </c>
      <c r="SM13" s="11" t="str">
        <f t="shared" si="208"/>
        <v/>
      </c>
      <c r="SN13" s="11" t="str">
        <f t="shared" si="209"/>
        <v/>
      </c>
      <c r="SO13" s="11" t="str">
        <f t="shared" si="210"/>
        <v/>
      </c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36" t="str">
        <f t="shared" si="211"/>
        <v/>
      </c>
      <c r="TK13" s="36" t="str">
        <f t="shared" si="212"/>
        <v/>
      </c>
      <c r="TL13" s="36" t="str">
        <f t="shared" si="213"/>
        <v/>
      </c>
      <c r="TM13" s="36" t="str">
        <f t="shared" si="214"/>
        <v/>
      </c>
      <c r="TN13" s="36" t="str">
        <f t="shared" si="215"/>
        <v/>
      </c>
      <c r="TO13" s="36" t="str">
        <f t="shared" si="216"/>
        <v/>
      </c>
      <c r="TP13" s="36" t="str">
        <f t="shared" si="217"/>
        <v/>
      </c>
      <c r="TQ13" s="36" t="str">
        <f t="shared" si="218"/>
        <v/>
      </c>
      <c r="TR13" s="36" t="str">
        <f t="shared" si="219"/>
        <v/>
      </c>
      <c r="TS13" s="36" t="str">
        <f t="shared" si="220"/>
        <v/>
      </c>
      <c r="TT13" s="36" t="str">
        <f t="shared" si="221"/>
        <v/>
      </c>
      <c r="TU13" s="36" t="str">
        <f t="shared" si="222"/>
        <v/>
      </c>
      <c r="TV13" s="36" t="str">
        <f t="shared" si="223"/>
        <v/>
      </c>
      <c r="TW13" s="36" t="str">
        <f t="shared" si="224"/>
        <v/>
      </c>
      <c r="TX13" s="16"/>
      <c r="TY13" s="16"/>
      <c r="TZ13" s="16"/>
      <c r="UA13" s="16"/>
      <c r="UB13" s="16"/>
      <c r="UC13" s="16"/>
      <c r="UD13" s="16"/>
      <c r="UE13" s="16"/>
      <c r="UF13" s="16"/>
      <c r="UG13" s="16"/>
      <c r="UH13" s="16"/>
      <c r="UI13" s="16"/>
      <c r="UJ13" s="16"/>
      <c r="UK13" s="16"/>
      <c r="UL13" s="16"/>
      <c r="UM13" s="16"/>
      <c r="UN13" s="16"/>
      <c r="UO13" s="16"/>
      <c r="UP13" s="16"/>
      <c r="UQ13" s="16"/>
      <c r="UR13" s="11" t="str">
        <f t="shared" si="225"/>
        <v/>
      </c>
      <c r="US13" s="11" t="str">
        <f t="shared" si="226"/>
        <v/>
      </c>
      <c r="UT13" s="11" t="str">
        <f t="shared" si="227"/>
        <v/>
      </c>
      <c r="UU13" s="11" t="str">
        <f t="shared" si="228"/>
        <v/>
      </c>
      <c r="UV13" s="11" t="str">
        <f t="shared" si="229"/>
        <v/>
      </c>
      <c r="UW13" s="11" t="str">
        <f t="shared" si="230"/>
        <v/>
      </c>
      <c r="UX13" s="11" t="str">
        <f t="shared" si="231"/>
        <v/>
      </c>
      <c r="UY13" s="11" t="str">
        <f t="shared" si="232"/>
        <v/>
      </c>
      <c r="UZ13" s="11" t="str">
        <f t="shared" si="233"/>
        <v/>
      </c>
      <c r="VA13" s="11" t="str">
        <f t="shared" si="234"/>
        <v/>
      </c>
      <c r="VB13" s="11" t="str">
        <f t="shared" si="235"/>
        <v/>
      </c>
      <c r="VC13" s="11" t="str">
        <f t="shared" si="236"/>
        <v/>
      </c>
      <c r="VD13" s="11" t="str">
        <f t="shared" si="237"/>
        <v/>
      </c>
      <c r="VE13" s="11" t="str">
        <f t="shared" si="238"/>
        <v/>
      </c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36" t="str">
        <f t="shared" si="239"/>
        <v/>
      </c>
      <c r="WA13" s="36" t="str">
        <f t="shared" si="240"/>
        <v/>
      </c>
      <c r="WB13" s="36" t="str">
        <f t="shared" si="241"/>
        <v/>
      </c>
      <c r="WC13" s="36" t="str">
        <f t="shared" si="242"/>
        <v/>
      </c>
      <c r="WD13" s="36" t="str">
        <f t="shared" si="243"/>
        <v/>
      </c>
      <c r="WE13" s="36" t="str">
        <f t="shared" si="244"/>
        <v/>
      </c>
      <c r="WF13" s="36" t="str">
        <f t="shared" si="245"/>
        <v/>
      </c>
      <c r="WG13" s="36" t="str">
        <f t="shared" si="246"/>
        <v/>
      </c>
      <c r="WH13" s="36" t="str">
        <f t="shared" si="247"/>
        <v/>
      </c>
      <c r="WI13" s="36" t="str">
        <f t="shared" si="248"/>
        <v/>
      </c>
      <c r="WJ13" s="36" t="str">
        <f t="shared" si="249"/>
        <v/>
      </c>
      <c r="WK13" s="36" t="str">
        <f t="shared" si="250"/>
        <v/>
      </c>
      <c r="WL13" s="36" t="str">
        <f t="shared" si="251"/>
        <v/>
      </c>
      <c r="WM13" s="36" t="str">
        <f t="shared" si="252"/>
        <v/>
      </c>
    </row>
    <row r="14" spans="1:611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59</v>
      </c>
      <c r="C14" s="4" t="s">
        <v>6</v>
      </c>
      <c r="D14" s="4">
        <v>2002</v>
      </c>
      <c r="E14" s="9">
        <f t="shared" si="0"/>
        <v>123.22001232200513</v>
      </c>
      <c r="F14" s="3" t="str">
        <f>IF(OR(AND(AI14&gt;=AS$17,AI14&lt;&gt;"",AK14&gt;=AS$21,AK14&lt;&gt;"",AH14=""),AND(AL14&gt;=AS$17,AL14&lt;&gt;"",AN14&gt;=AS$21,AN14&lt;&gt;"",AH14=""),AND(AP14&gt;=AS$17,AP14&lt;&gt;"",AR14&gt;=AS$21,AR14&lt;&gt;"",AH14=""),AND(BJ14&gt;=BT$17,BJ14&lt;&gt;"",BL14&gt;=BT$21,BL14&lt;&gt;"",BI14=""),AND(BM14&gt;=BT$17,BM14&lt;&gt;"",BO14&gt;=BT$21,BO14&lt;&gt;"",BI14=""),AND(BQ14&gt;=BT$17,BQ14&lt;&gt;"",BS14&gt;=BT$21,BS14&lt;&gt;"",BI14=""),AND(CK14&gt;=CU$17,CK14&lt;&gt;"",CM14&gt;=CU$21,CM14&lt;&gt;"",CJ14=""),AND(CN14&gt;=CU$17,CN14&lt;&gt;"",CP14&gt;=CU$21,CP14&lt;&gt;"",CJ14=""),AND(CR14&gt;=CU$17,CR14&lt;&gt;"",CT14&gt;=CU$21,CT14&lt;&gt;"",CJ14=""),AND(DR14&gt;=EE$17,DR14&lt;&gt;"",DT14&gt;=EE$21,DT14&lt;&gt;""),AND(DU14&gt;=EE$17,DU14&lt;&gt;"",DW14&gt;=EE$21,DW14&lt;&gt;""),AND(DY14&gt;=EE$17,DY14&lt;&gt;"",EA14&gt;=EE$21,EA14&lt;&gt;""),AND(EB14&gt;=EE$17,EB14&lt;&gt;"",ED14&gt;=EE$21,ED14&lt;&gt;""),AND(EZ14&gt;=FM$17,EZ14&lt;&gt;"",FB14&gt;=FM$21,FB14&lt;&gt;""),AND(FC14&gt;=FM$17,FC14&lt;&gt;"",FE14&gt;=FM$21,FE14&lt;&gt;""),AND(FG14&gt;=FM$17,FG14&lt;&gt;"",FI14&gt;=FM$21,FI14&lt;&gt;""),AND(FJ14&gt;=FM$17,FJ14&lt;&gt;"",FL14&gt;=FM$21,FL14&lt;&gt;""),AND(GH14&gt;=GU$17,GH14&lt;&gt;"",GJ14&gt;=GU$21,GJ14&lt;&gt;""),AND(GK14&gt;=GU$17,GK14&lt;&gt;"",GM14&gt;=GU$21,GM14&lt;&gt;""),AND(GO14&gt;=GU$17,GO14&lt;&gt;"",GQ14&gt;=GU$21,GQ14&lt;&gt;""),AND(GR14&gt;=GU$17,GR14&lt;&gt;"",GT14&gt;=GU$21,GT14&lt;&gt;""),AND(HP14&gt;=IC$17,HP14&lt;&gt;"",HR14&gt;=IC$21,HR14&lt;&gt;""),AND(HS14&gt;=IC$17,HS14&lt;&gt;"",HU14&gt;=IC$21,HU14&lt;&gt;""),AND(HW14&gt;=IC$17,HW14&lt;&gt;"",HY14&gt;=IC$21,HY14&lt;&gt;""),AND(HZ14&gt;=IC$17,HZ14&lt;&gt;"",IB14&gt;=IC$21,IB14&lt;&gt;""),AND(IX14&gt;=JK$17,IX14&lt;&gt;"",IZ14&gt;=JK$21,IZ14&lt;&gt;""),AND(JA14&gt;=JK$17,JA14&lt;&gt;"",JC14&gt;=JK$21,JC14&lt;&gt;""),AND(JE14&gt;=JK$17,JE14&lt;&gt;"",JG14&gt;=JK$21,JG14&lt;&gt;""),AND(JH14&gt;=JK$17,JH14&lt;&gt;"",JJ14&gt;=JK$21,JJ14&lt;&gt;""),AND(KF14&gt;=KS$17,KF14&lt;&gt;"",KH14&gt;=KS$21,KH14&lt;&gt;""),AND(KI14&gt;=KS$17,KI14&lt;&gt;"",KK14&gt;=KS$21,KK14&lt;&gt;""),AND(KM14&gt;=KS$17,KM14&lt;&gt;"",KO14&gt;=KS$21,KO14&lt;&gt;""),AND(KP14&gt;=KS$17,KP14&lt;&gt;"",KR14&gt;=KS$21,KR14&lt;&gt;""),AND(LN14&gt;=MA$17,LN14&lt;&gt;"",LP14&gt;=MA$21,LP14&lt;&gt;""),AND(LQ14&gt;=MA$17,LQ14&lt;&gt;"",LS14&gt;=MA$21,LS14&lt;&gt;""),AND(LU14&gt;=MA$17,LU14&lt;&gt;"",LW14&gt;=MA$21,LW14&lt;&gt;""),AND(LX14&gt;=MA$17,LX14&lt;&gt;"",LZ14&gt;=MA$21,LZ14&lt;&gt;""),AND(MV14&gt;=NI$17,MV14&lt;&gt;"",MX14&gt;=NI$21,MX14&lt;&gt;""),AND(MY14&gt;=NI$17,MY14&lt;&gt;"",NA14&gt;=NI$21,NA14&lt;&gt;""),AND(NC14&gt;=NI$17,NC14&lt;&gt;"",NE14&gt;=NI$21,NE14&lt;&gt;""),AND(NF14&gt;=NI$17,NF14&lt;&gt;"",NH14&gt;=NI$21,NH14&lt;&gt;""),AND(OD14&gt;=OQ$17,OD14&lt;&gt;"",OF14&gt;=OQ$21,OF14&lt;&gt;""),AND(OG14&gt;=OQ$17,OG14&lt;&gt;"",OI14&gt;=OQ$21,OI14&lt;&gt;""),AND(OK14&gt;=OQ$17,OK14&lt;&gt;"",OM14&gt;=OQ$21,OM14&lt;&gt;""),AND(ON14&gt;=OQ$17,ON14&lt;&gt;"",OP14&gt;=OQ$21,OP14&lt;&gt;""),AND(PL14&gt;=PY$17,PL14&lt;&gt;"",PN14&gt;=PY$21,PN14&lt;&gt;""),AND(PO14&gt;=PY$17,PO14&lt;&gt;"",PQ14&gt;=PY$21,PQ14&lt;&gt;""),AND(PS14&gt;=PY$17,PS14&lt;&gt;"",PU14&gt;=PY$21,PU14&lt;&gt;""),AND(PV14&gt;=PY$17,PV14&lt;&gt;"",PX14&gt;=PY$21,PX14&lt;&gt;""),AND(QT14&gt;=RG$17,QT14&lt;&gt;"",QV14&gt;=RG$21,QV14&lt;&gt;""),AND(QW14&gt;=RG$17,QW14&lt;&gt;"",QY14&gt;=RG$21,QY14&lt;&gt;""),AND(RA14&gt;=RG$17,RA14&lt;&gt;"",RC14&gt;=RG$21,RC14&lt;&gt;""),AND(RD14&gt;=RG$17,RD14&lt;&gt;"",RF14&gt;=RG$21,RF14&lt;&gt;""),AND(SB14&gt;=SO$17,SB14&lt;&gt;"",SD14&gt;=SO$21,SD14&lt;&gt;""),AND(SE14&gt;=SO$17,SE14&lt;&gt;"",SG14&gt;=SO$21,SG14&lt;&gt;""),AND(SI14&gt;=SO$17,SI14&lt;&gt;"",SK14&gt;=SO$21,SK14&lt;&gt;""),AND(SL14&gt;=SO$17,SL14&lt;&gt;"",SN14&gt;=SO$21,SN14&lt;&gt;""),AND(TJ14&gt;=TW$17,TJ14&lt;&gt;"",TL14&gt;=TW$21,TL14&lt;&gt;""),AND(TM14&gt;=TW$17,TM14&lt;&gt;"",TO14&gt;=TW$21,TO14&lt;&gt;""),AND(TQ14&gt;=TW$17,TQ14&lt;&gt;"",TS14&gt;=TW$21,TXQ14&lt;&gt;""),AND(TT14&gt;=TW$17,TT14&lt;&gt;"",TV14&gt;=TW$21,TV14&lt;&gt;""),AND(UR14&gt;=VE$17,UR14&lt;&gt;"",UT14&gt;=VE$21,UT14&lt;&gt;""),AND(UU14&gt;=VE$17,UU14&lt;&gt;"",UW14&gt;=VE$21,UW14&lt;&gt;""),AND(UY14&gt;=VE$17,UY14&lt;&gt;"",VA14&gt;=VE$21,VA14&lt;&gt;""),AND(VB14&gt;=VE$17,VB14&lt;&gt;"",VD14&gt;=VE$21,VD14&lt;&gt;""),AND(VZ14&gt;=WM$17,VZ14&lt;&gt;"",WB14&gt;=WM$21,WB14&lt;&gt;""),AND(WC14&gt;=WM$17,WC14&lt;&gt;"",WE14&gt;=WM$21,WE14&lt;&gt;""),AND(WG14&gt;=WM$17,WG14&lt;&gt;"",WI14&gt;=WM$21,WI14&lt;&gt;""),AND(WJ14&gt;=WM$17,WJ14&lt;&gt;"",WL14&gt;=WM$21,WL14&lt;&gt;"")),"P","")</f>
        <v/>
      </c>
      <c r="G14" s="3" t="str">
        <f>IF(OR(AND(AK14&gt;=AS$21,AK14&lt;&gt;"",AH14=""),AND(AN14&gt;=AS$21,AN14&lt;&gt;"",AH14=""),AND(AR14&gt;=AS$21,AR14&lt;&gt;"",AH14=""),AND(BL14&gt;=BT$21,BL14&lt;&gt;"",BI14=""),AND(BO14&gt;=BT$21,BO14&lt;&gt;"",BI14=""),AND(BS14&gt;=BT$21,BS14&lt;&gt;"",BI14=""),AND(CM14&gt;=CU$21,CM14&lt;&gt;"",CJ14=""),AND(CP14&gt;=CU$21,CP14&lt;&gt;"",CJ14=""),AND(CT14&gt;=CU$21,CT14&lt;&gt;"",CJ14=""),AND(DT14&gt;=EE$21,DT14&lt;&gt;""),AND(DW14&gt;=EE$21,DW14&lt;&gt;""),AND(EA14&gt;=EE$21,EA14&lt;&gt;""),AND(ED14&gt;=EE$21,ED14&lt;&gt;""),AND(FB14&gt;=FM$21,FB14&lt;&gt;""),AND(FE14&gt;=FM$21,FE14&lt;&gt;""),AND(FI14&gt;=FM$21,FI14&lt;&gt;""),AND(FL14&gt;=FM$21,FL14&lt;&gt;""),AND(GJ14&gt;=GU$21,GJ14&lt;&gt;""),AND(GM14&gt;=GU$21,GM14&lt;&gt;""),AND(GQ14&gt;=GU$21,GQ14&lt;&gt;""),AND(GT14&gt;=GU$21,GT14&lt;&gt;""),AND(HR14&gt;=IC$21,HR14&lt;&gt;""),AND(HU14&gt;=IC$21,HU14&lt;&gt;""),AND(HY14&gt;=IC$21,HY14&lt;&gt;""),AND(IB14&gt;=IC$21,IB14&lt;&gt;""),AND(IZ14&gt;=JK$21,IZ14&lt;&gt;""),AND(JC14&gt;=JK$21,JC14&lt;&gt;""),AND(JG14&gt;=JK$21,JG14&lt;&gt;""),AND(JJ14&gt;=JK$21,JJ14&lt;&gt;""),AND(KH14&gt;=KS$21,KH14&lt;&gt;""),AND(KK14&gt;=KS$21,KK14&lt;&gt;""),AND(KO14&gt;=KS$21,KO14&lt;&gt;""),AND(KR14&gt;=KS$21,KR14&lt;&gt;""),AND(LP14&gt;=MA$21,LP14&lt;&gt;""),AND(LS14&gt;=MA$21,LS14&lt;&gt;""),AND(LW14&gt;=MA$21,LW14&lt;&gt;""),AND(LZ14&gt;=MA$21,LZ14&lt;&gt;""),AND(MX14&gt;=NI$21,MX14&lt;&gt;""),AND(NA14&gt;=NI$21,NA14&lt;&gt;""),AND(NE14&gt;=NI$21,NE14&lt;&gt;""),AND(NH14&gt;=NI$21,NH14&lt;&gt;""),AND(OF14&gt;=OQ$21,OF14&lt;&gt;""),AND(OI14&gt;=OQ$21,OI14&lt;&gt;""),AND(OM14&gt;=OQ$21,OM14&lt;&gt;""),AND(OP14&gt;=OQ$21,OP14&lt;&gt;""),AND(PN14&gt;=PY$21,PN14&lt;&gt;""),AND(PQ14&gt;=PY$21,PQ14&lt;&gt;""),AND(PU14&gt;=PY$21,PU14&lt;&gt;""),AND(PX14&gt;=PY$21,PX14&lt;&gt;""),AND(QV14&gt;=RG$21,QV14&lt;&gt;""),AND(QY14&gt;=RG$21,QY14&lt;&gt;""),AND(RC14&gt;=RG$21,RC14&lt;&gt;""),AND(RF14&gt;=RG$21,RF14&lt;&gt;""),AND(SD14&gt;=SO$21,SD14&lt;&gt;""),AND(SG14&gt;=SO$21,SG14&lt;&gt;""),AND(SK14&gt;=SO$21,SK14&lt;&gt;""),AND(SN14&gt;=SO$21,SN14&lt;&gt;""),AND(TL14&gt;=TW$21,TL14&lt;&gt;""),AND(TO14&gt;=TW$21,TO14&lt;&gt;""),AND(TS14&gt;=TW$21,TXQ14&lt;&gt;""),AND(TV14&gt;=TW$21,TV14&lt;&gt;""),AND(UT14&gt;=VE$21,UT14&lt;&gt;""),AND(UW14&gt;=VE$21,UW14&lt;&gt;""),AND(VA14&gt;=VE$21,VA14&lt;&gt;""),AND(VD14&gt;=VE$21,VD14&lt;&gt;""),AND(WB14&gt;=WM$21,WB14&lt;&gt;""),AND(WE14&gt;=WM$21,WE14&lt;&gt;""),AND(WI14&gt;=WM$21,WI14&lt;&gt;""),AND(WL14&gt;=WM$21,WL14&lt;&gt;"")),"P","")</f>
        <v/>
      </c>
      <c r="H14" s="32" t="str">
        <f>IF(AND(G14="P",F14=""),"No DD",IF(OR(AND(AI14&gt;=AS$20,AI14&lt;&gt;"",AK14&gt;=AS$24,AK14&lt;&gt;"",AH14=""),AND(AL14&gt;=AS$20,AL14&lt;&gt;"",AN14&gt;=AS$24,AN14&lt;&gt;"",AH14=""),AND(AP14&gt;=AS$20,AP14&lt;&gt;"",AR14&gt;=AS$24,AR14&lt;&gt;"",AH14=""),AND(BJ14&gt;=BT$20,BJ14&lt;&gt;"",BL14&gt;=BT$24,BL14&lt;&gt;"",BI14=""),AND(BM14&gt;=BT$20,BM14&lt;&gt;"",BO14&gt;=BT$24,BO14&lt;&gt;"",BI14=""),AND(BQ14&gt;=BT$20,BQ14&lt;&gt;"",BS14&gt;=BT$24,BS14&lt;&gt;"",BI14=""),AND(CK14&gt;=CU$20,CK14&lt;&gt;"",CM14&gt;=CU$24,CM14&lt;&gt;"",CJ14=""),AND(CN14&gt;=CU$20,CN14&lt;&gt;"",CP14&gt;=CU$24,CP14&lt;&gt;"",CJ14=""),AND(CR14&gt;=CU$20,CR14&lt;&gt;"",CT14&gt;=CU$24,CT14&lt;&gt;"",CJ14=""),AND(DR14&gt;=EE$20,DR14&lt;&gt;"",DT14&gt;=EE$24,DT14&lt;&gt;""),AND(DU14&gt;=EE$20,DU14&lt;&gt;"",DW14&gt;=EE$24,DW14&lt;&gt;""),AND(DY14&gt;=EE$20,DY14&lt;&gt;"",EA14&gt;=EE$24,EA14&lt;&gt;""),AND(EB14&gt;=EE$20,EB14&lt;&gt;"",ED14&gt;=EE$24,ED14&lt;&gt;""),AND(EZ14&gt;=FM$20,EZ14&lt;&gt;"",FB14&gt;=FM$24,FB14&lt;&gt;""),AND(FC14&gt;=FM$20,FC14&lt;&gt;"",FE14&gt;=FM$24,FE14&lt;&gt;""),AND(FG14&gt;=FM$20,FG14&lt;&gt;"",FI14&gt;=FM$24,FI14&lt;&gt;""),AND(FJ14&gt;=FM$20,FJ14&lt;&gt;"",FL14&gt;=FM$24,FL14&lt;&gt;""),AND(GH14&gt;=GU$20,GH14&lt;&gt;"",GJ14&gt;=GU$24,GJ14&lt;&gt;""),AND(GK14&gt;=GU$20,GK14&lt;&gt;"",GM14&gt;=GU$24,GM14&lt;&gt;""),AND(GO14&gt;=GU$20,GO14&lt;&gt;"",GQ14&gt;=GU$24,GQ14&lt;&gt;""),AND(GR14&gt;=GU$20,GR14&lt;&gt;"",GT14&gt;=GU$24,GT14&lt;&gt;""),AND(HP14&gt;=IC$20,HP14&lt;&gt;"",HR14&gt;=IC$24,HR14&lt;&gt;""),AND(HS14&gt;=IC$20,HS14&lt;&gt;"",HU14&gt;=IC$24,HU14&lt;&gt;""),AND(HW14&gt;=IC$20,HW14&lt;&gt;"",HY14&gt;=IC$24,HY14&lt;&gt;""),AND(HZ14&gt;=IC$20,HZ14&lt;&gt;"",IB14&gt;=IC$24,IB14&lt;&gt;""),AND(IX14&gt;=JK$20,IX14&lt;&gt;"",IZ14&gt;=JK$24,IZ14&lt;&gt;""),AND(JA14&gt;=JK$20,JA14&lt;&gt;"",JC14&gt;=JK$24,JC14&lt;&gt;""),AND(JE14&gt;=JK$20,JE14&lt;&gt;"",JG14&gt;=JK$24,JG14&lt;&gt;""),AND(JH14&gt;=JK$20,JH14&lt;&gt;"",JJ14&gt;=JK$24,JJ14&lt;&gt;""),AND(KF14&gt;=KS$20,KF14&lt;&gt;"",KH14&gt;=KS$24,KH14&lt;&gt;""),AND(KI14&gt;=KS$20,KI14&lt;&gt;"",KK14&gt;=KS$24,KK14&lt;&gt;""),AND(KM14&gt;=KS$20,KM14&lt;&gt;"",KO14&gt;=KS$24,KO14&lt;&gt;""),AND(KP14&gt;=KS$20,KP14&lt;&gt;"",KR14&gt;=KS$24,KR14&lt;&gt;""),AND(LN14&gt;=MA$20,LN14&lt;&gt;"",LP14&gt;=MA$24,LP14&lt;&gt;""),AND(LQ14&gt;=MA$20,LQ14&lt;&gt;"",LS14&gt;=MA$24,LS14&lt;&gt;""),AND(LU14&gt;=MA$20,LU14&lt;&gt;"",LW14&gt;=MA$24,LW14&lt;&gt;""),AND(LX14&gt;=MA$20,LX14&lt;&gt;"",LZ14&gt;=MA$24,LZ14&lt;&gt;""),AND(MV14&gt;=NI$20,MV14&lt;&gt;"",MX14&gt;=NI$24,MX14&lt;&gt;""),AND(MY14&gt;=NI$20,MY14&lt;&gt;"",NA14&gt;=NI$24,NA14&lt;&gt;""),AND(NC14&gt;=NI$20,NC14&lt;&gt;"",NE14&gt;=NI$24,NE14&lt;&gt;""),AND(NF14&gt;=NI$20,NF14&lt;&gt;"",NH14&gt;=NI$24,NH14&lt;&gt;""),AND(OD14&gt;=OQ$20,OD14&lt;&gt;"",OF14&gt;=OQ$24,OF14&lt;&gt;""),AND(OG14&gt;=OQ$20,OG14&lt;&gt;"",OI14&gt;=OQ$24,OI14&lt;&gt;""),AND(OK14&gt;=OQ$20,OK14&lt;&gt;"",OM14&gt;=OQ$24,OM14&lt;&gt;""),AND(ON14&gt;=OQ$20,ON14&lt;&gt;"",OP14&gt;=OQ$24,OP14&lt;&gt;""),AND(PL14&gt;=PY$20,PL14&lt;&gt;"",PN14&gt;=PY$24,PN14&lt;&gt;""),AND(PO14&gt;=PY$20,PO14&lt;&gt;"",PQ14&gt;=PY$24,PQ14&lt;&gt;""),AND(PS14&gt;=PY$20,PS14&lt;&gt;"",PU14&gt;=PY$24,PU14&lt;&gt;""),AND(PV14&gt;=PY$20,PV14&lt;&gt;"",PX14&gt;=PY$24,PX14&lt;&gt;""),AND(QT14&gt;=RG$20,QT14&lt;&gt;"",QV14&gt;=RG$24,QV14&lt;&gt;""),AND(QW14&gt;=RG$20,QW14&lt;&gt;"",QY14&gt;=RG$24,QY14&lt;&gt;""),AND(RA14&gt;=RG$20,RA14&lt;&gt;"",RC14&gt;=RG$24,RC14&lt;&gt;""),AND(RD14&gt;=RG$20,RD14&lt;&gt;"",RF14&gt;=RG$24,RF14&lt;&gt;""),AND(SB14&gt;=SO$20,SB14&lt;&gt;"",SD14&gt;=SO$24,SD14&lt;&gt;""),AND(SE14&gt;=SO$20,SE14&lt;&gt;"",SG14&gt;=SO$24,SG14&lt;&gt;""),AND(SI14&gt;=SO$20,SI14&lt;&gt;"",SK14&gt;=SO$24,SK14&lt;&gt;""),AND(SL14&gt;=SO$20,SL14&lt;&gt;"",SN14&gt;=SO$24,SN14&lt;&gt;""),AND(TJ14&gt;=TW$20,TJ14&lt;&gt;"",TL14&gt;=TW$24,TL14&lt;&gt;""),AND(TM14&gt;=TW$20,TM14&lt;&gt;"",TO14&gt;=TW$24,TO14&lt;&gt;""),AND(TQ14&gt;=TW$20,TQ14&lt;&gt;"",TS14&gt;=TW$344,TXQ14&lt;&gt;""),AND(TT14&gt;=TW$20,TT14&lt;&gt;"",TV14&gt;=TW$24,TV14&lt;&gt;""),AND(UR14&gt;=VE$20,UR14&lt;&gt;"",UT14&gt;=VE$24,UT14&lt;&gt;""),AND(UU14&gt;=VE$20,UU14&lt;&gt;"",UW14&gt;=VE$24,UW14&lt;&gt;""),AND(UY14&gt;=VE$20,UY14&lt;&gt;"",VA14&gt;=VE$24,VA14&lt;&gt;""),AND(VB14&gt;=VE$20,VB14&lt;&gt;"",VD14&gt;=VE$24,VD14&lt;&gt;""),AND(VZ14&gt;=WM$20,VZ14&lt;&gt;"",WB14&gt;=WM$24,WB14&lt;&gt;""),AND(WC14&gt;=WM$20,WC14&lt;&gt;"",WE14&gt;=WM$24,WE14&lt;&gt;""),AND(WG14&gt;=WM$20,WG14&lt;&gt;"",WI14&gt;=WM$24,WI14&lt;&gt;""),AND(WJ14&gt;=WM$20,WJ14&lt;&gt;"",WL14&gt;=WM$24,WL14&lt;&gt;"")),"Merit",IF(OR(AND(AI14&gt;=AS$19,AI14&lt;&gt;"",AK14&gt;=AS$23,AK14&lt;&gt;"",AH14=""),AND(AL14&gt;=AS$19,AL14&lt;&gt;"",AN14&gt;=AS$23,AN14&lt;&gt;"",AH14=""),AND(AP14&gt;=AS$19,AP14&lt;&gt;"",AR14&gt;=AS$23,AR14&lt;&gt;"",AH14=""),AND(BJ14&gt;=BT$19,BJ14&lt;&gt;"",BL14&gt;=BT$23,BL14&lt;&gt;"",BI14=""),AND(BM14&gt;=BT$19,BM14&lt;&gt;"",BO14&gt;=BT$23,BO14&lt;&gt;"",BI14=""),AND(BQ14&gt;=BT$19,BQ14&lt;&gt;"",BS14&gt;=BT$23,BS14&lt;&gt;"",BI14=""),AND(CK14&gt;=CU$19,CK14&lt;&gt;"",CM14&gt;=CU$23,CM14&lt;&gt;"",CJ14=""),AND(CN14&gt;=CU$19,CN14&lt;&gt;"",CP14&gt;=CU$23,CP14&lt;&gt;"",CJ14=""),AND(CR14&gt;=CU$19,CR14&lt;&gt;"",CT14&gt;=CU$23,CT14&lt;&gt;"",CJ14=""),AND(DR14&gt;=EE$19,DR14&lt;&gt;"",DT14&gt;=EE$23,DT14&lt;&gt;""),AND(DU14&gt;=EE$19,DU14&lt;&gt;"",DW14&gt;=EE$23,DW14&lt;&gt;""),AND(DY14&gt;=EE$19,DY14&lt;&gt;"",EA14&gt;=EE$23,EA14&lt;&gt;""),AND(EB14&gt;=EE$19,EB14&lt;&gt;"",ED14&gt;=EE$23,ED14&lt;&gt;""),AND(EZ14&gt;=FM$19,EZ14&lt;&gt;"",FB14&gt;=FM$23,FB14&lt;&gt;""),AND(FC14&gt;=FM$19,FC14&lt;&gt;"",FE14&gt;=FM$23,FE14&lt;&gt;""),AND(FG14&gt;=FM$19,FG14&lt;&gt;"",FI14&gt;=FM$23,FI14&lt;&gt;""),AND(FJ14&gt;=FM$19,FJ14&lt;&gt;"",FL14&gt;=FM$23,FL14&lt;&gt;""),AND(GH14&gt;=GU$19,GH14&lt;&gt;"",GJ14&gt;=GU$23,GJ14&lt;&gt;""),AND(GK14&gt;=GU$19,GK14&lt;&gt;"",GM14&gt;=GU$23,GM14&lt;&gt;""),AND(GO14&gt;=GU$19,GO14&lt;&gt;"",GQ14&gt;=GU$23,GQ14&lt;&gt;""),AND(GR14&gt;=GU$19,GR14&lt;&gt;"",GT14&gt;=GU$23,GT14&lt;&gt;""),AND(HP14&gt;=IC$19,HP14&lt;&gt;"",HR14&gt;=IC$23,HR14&lt;&gt;""),AND(HS14&gt;=IC$19,HS14&lt;&gt;"",HU14&gt;=IC$23,HU14&lt;&gt;""),AND(HW14&gt;=IC$19,HW14&lt;&gt;"",HY14&gt;=IC$23,HY14&lt;&gt;""),AND(HZ14&gt;=IC$19,HZ14&lt;&gt;"",IB14&gt;=IC$23,IB14&lt;&gt;""),AND(IX14&gt;=JK$19,IX14&lt;&gt;"",IZ14&gt;=JK$23,IZ14&lt;&gt;""),AND(JA14&gt;=JK$19,JA14&lt;&gt;"",JC14&gt;=JK$23,JC14&lt;&gt;""),AND(JE14&gt;=JK$19,JE14&lt;&gt;"",JG14&gt;=JK$23,JG14&lt;&gt;""),AND(JH14&gt;=JK$19,JH14&lt;&gt;"",JJ14&gt;=JK$23,JJ14&lt;&gt;""),AND(KF14&gt;=KS$19,KF14&lt;&gt;"",KH14&gt;=KS$23,KH14&lt;&gt;""),AND(KI14&gt;=KS$19,KI14&lt;&gt;"",KK14&gt;=KS$23,KK14&lt;&gt;""),AND(KM14&gt;=KS$19,KM14&lt;&gt;"",KO14&gt;=KS$23,KO14&lt;&gt;""),AND(KP14&gt;=KS$19,KP14&lt;&gt;"",KR14&gt;=KS$23,KR14&lt;&gt;""),AND(LN14&gt;=MA$19,LN14&lt;&gt;"",LP14&gt;=MA$23,LP14&lt;&gt;""),AND(LQ14&gt;=MA$19,LQ14&lt;&gt;"",LS14&gt;=MA$23,LS14&lt;&gt;""),AND(LU14&gt;=MA$19,LU14&lt;&gt;"",LW14&gt;=MA$23,LW14&lt;&gt;""),AND(LX14&gt;=MA$19,LX14&lt;&gt;"",LZ14&gt;=MA$23,LZ14&lt;&gt;""),AND(MV14&gt;=NI$19,MV14&lt;&gt;"",MX14&gt;=NI$23,MX14&lt;&gt;""),AND(MY14&gt;=NI$19,MY14&lt;&gt;"",NA14&gt;=NI$23,NA14&lt;&gt;""),AND(NC14&gt;=NI$19,NC14&lt;&gt;"",NE14&gt;=NI$23,NE14&lt;&gt;""),AND(NF14&gt;=NI$19,NF14&lt;&gt;"",NH14&gt;=NI$23,NH14&lt;&gt;""),AND(OD14&gt;=OQ$19,OD14&lt;&gt;"",OF14&gt;=OQ$23,OF14&lt;&gt;""),AND(OG14&gt;=OQ$19,OG14&lt;&gt;"",OI14&gt;=OQ$23,OI14&lt;&gt;""),AND(OK14&gt;=OQ$19,OK14&lt;&gt;"",OM14&gt;=OQ$23,OM14&lt;&gt;""),AND(ON14&gt;=OQ$19,ON14&lt;&gt;"",OP14&gt;=OQ$23,OP14&lt;&gt;""),AND(PL14&gt;=PY$19,PL14&lt;&gt;"",PN14&gt;=PY$23,PN14&lt;&gt;""),AND(PO14&gt;=PY$19,PO14&lt;&gt;"",PQ14&gt;=PY$23,PQ14&lt;&gt;""),AND(PS14&gt;=PY$19,PS14&lt;&gt;"",PU14&gt;=PY$23,PU14&lt;&gt;""),AND(PV14&gt;=PY$19,PV14&lt;&gt;"",PX14&gt;=PY$23,PX14&lt;&gt;""),AND(QT14&gt;=RG$19,QT14&lt;&gt;"",QV14&gt;=RG$23,QV14&lt;&gt;""),AND(QW14&gt;=RG$19,QW14&lt;&gt;"",QY14&gt;=RG$23,QY14&lt;&gt;""),AND(RA14&gt;=RG$19,RA14&lt;&gt;"",RC14&gt;=RG$23,RC14&lt;&gt;""),AND(RD14&gt;=RG$19,RD14&lt;&gt;"",RF14&gt;=RG$23,RF14&lt;&gt;""),AND(SB14&gt;=SO$19,SB14&lt;&gt;"",SD14&gt;=SO$23,SD14&lt;&gt;""),AND(SE14&gt;=SO$19,SE14&lt;&gt;"",SG14&gt;=SO$23,SG14&lt;&gt;""),AND(SI14&gt;=SO$19,SI14&lt;&gt;"",SK14&gt;=SO$23,SK14&lt;&gt;""),AND(SL14&gt;=SO$19,SL14&lt;&gt;"",SN14&gt;=SO$23,SN14&lt;&gt;""),AND(TJ14&gt;=TW$19,TJ14&lt;&gt;"",TL14&gt;=TW$23,TL14&lt;&gt;""),AND(TM14&gt;=TW$19,TM14&lt;&gt;"",TO14&gt;=TW$23,TO14&lt;&gt;""),AND(TQ14&gt;=TW$19,TQ14&lt;&gt;"",TS14&gt;=TW$23,TXQ14&lt;&gt;""),AND(TT14&gt;=TW$19,TT14&lt;&gt;"",TV14&gt;=TW$23,TV14&lt;&gt;""),AND(UR14&gt;=VE$19,UR14&lt;&gt;"",UT14&gt;=VE$23,UT14&lt;&gt;""),AND(UU14&gt;=VE$19,UU14&lt;&gt;"",UW14&gt;=VE$23,UW14&lt;&gt;""),AND(UY14&gt;=VE$19,UY14&lt;&gt;"",VA14&gt;=VE$23,VA14&lt;&gt;""),AND(VB14&gt;=VE$19,VB14&lt;&gt;"",VD14&gt;=VE$23,VD14&lt;&gt;""),AND(VZ14&gt;=WM$19,VZ14&lt;&gt;"",WB14&gt;=WM$23,WB14&lt;&gt;""),AND(WC14&gt;=WM$19,WC14&lt;&gt;"",WE14&gt;=WM$23,WE14&lt;&gt;""),AND(WG14&gt;=WM$19,WG14&lt;&gt;"",WI14&gt;=WM$23,WI14&lt;&gt;""),AND(WJ14&gt;=WM$19,WJ14&lt;&gt;"",WL14&gt;=WM$23,WL14&lt;&gt;"")),"Excellence",IF(I14="P","Worlds Team",IF(F14="P","National Team","")))))</f>
        <v/>
      </c>
      <c r="I14" s="3" t="str">
        <f>IF(OR(AND(AI14&gt;=AS$18,AI14&lt;&gt;"",AK14&gt;=AS$22,AK14&lt;&gt;"",AH14=""),AND(AL14&gt;=AS$18,AL14&lt;&gt;"",AN14&gt;=AS$22,AN14&lt;&gt;"",AH14=""),AND(AP14&gt;=AS$18,AP14&lt;&gt;"",AR14&gt;=AS$22,AR14&lt;&gt;"",AH14=""),AND(BJ14&gt;=BT$18,BJ14&lt;&gt;"",BL14&gt;=BT$22,BL14&lt;&gt;"",BI14=""),AND(BM14&gt;=BT$18,BM14&lt;&gt;"",BO14&gt;=BT$22,BO14&lt;&gt;"",BI14=""),AND(BQ14&gt;=BT$18,BQ14&lt;&gt;"",BS14&gt;=BT$22,BS14&lt;&gt;"",BI14=""),AND(CK14&gt;=CU$18,CK14&lt;&gt;"",CM14&gt;=CU$22,CM14&lt;&gt;"",CJ14=""),AND(CN14&gt;=CU$18,CN14&lt;&gt;"",CP14&gt;=CU$22,CP14&lt;&gt;"",CJ14=""),AND(CR14&gt;=CU$18,CR14&lt;&gt;"",CT14&gt;=CU$22,CT14&lt;&gt;"",CJ14=""),AND(DR14&gt;=EE$18,DR14&lt;&gt;"",DT14&gt;=EE$22,DT14&lt;&gt;""),AND(DU14&gt;=EE$18,DU14&lt;&gt;"",DW14&gt;=EE$22,DW14&lt;&gt;""),AND(DY14&gt;=EE$18,DY14&lt;&gt;"",EA14&gt;=EE$22,EA14&lt;&gt;""),AND(EB14&gt;=EE$18,EB14&lt;&gt;"",ED14&gt;=EE$22,ED14&lt;&gt;""),AND(EZ14&gt;=FM$18,EZ14&lt;&gt;"",FB14&gt;=FM$22,FB14&lt;&gt;""),AND(FC14&gt;=FM$18,FC14&lt;&gt;"",FE14&gt;=FM$22,FE14&lt;&gt;""),AND(FG14&gt;=FM$18,FG14&lt;&gt;"",FI14&gt;=FM$22,FI14&lt;&gt;""),AND(FJ14&gt;=FM$18,FJ14&lt;&gt;"",FL14&gt;=FM$22,FL14&lt;&gt;""),AND(GH14&gt;=GU$18,GH14&lt;&gt;"",GJ14&gt;=GU$22,GJ14&lt;&gt;""),AND(GK14&gt;=GU$18,GK14&lt;&gt;"",GM14&gt;=GU$22,GM14&lt;&gt;""),AND(GO14&gt;=GU$18,GO14&lt;&gt;"",GQ14&gt;=GU$22,GQ14&lt;&gt;""),AND(GR14&gt;=GU$18,GR14&lt;&gt;"",GT14&gt;=GU$22,GT14&lt;&gt;""),AND(HP14&gt;=IC$18,HP14&lt;&gt;"",HR14&gt;=IC$22,HR14&lt;&gt;""),AND(HS14&gt;=IC$18,HS14&lt;&gt;"",HU14&gt;=IC$22,HU14&lt;&gt;""),AND(HW14&gt;=IC$18,HW14&lt;&gt;"",HY14&gt;=IC$22,HY14&lt;&gt;""),AND(HZ14&gt;=IC$18,HZ14&lt;&gt;"",IB14&gt;=IC$22,IB14&lt;&gt;""),AND(IX14&gt;=JK$18,IX14&lt;&gt;"",IZ14&gt;=JK$22,IZ14&lt;&gt;""),AND(JA14&gt;=JK$18,JA14&lt;&gt;"",JC14&gt;=JK$22,JC14&lt;&gt;""),AND(JE14&gt;=JK$18,JE14&lt;&gt;"",JG14&gt;=JK$22,JG14&lt;&gt;""),AND(JH14&gt;=JK$18,JH14&lt;&gt;"",JJ14&gt;=JK$22,JJ14&lt;&gt;""),AND(KF14&gt;=KS$18,KF14&lt;&gt;"",KH14&gt;=KS$22,KH14&lt;&gt;""),AND(KI14&gt;=KS$18,KI14&lt;&gt;"",KK14&gt;=KS$22,KK14&lt;&gt;""),AND(KM14&gt;=KS$18,KM14&lt;&gt;"",KO14&gt;=KS$22,KO14&lt;&gt;""),AND(KP14&gt;=KS$18,KP14&lt;&gt;"",KR14&gt;=KS$22,KR14&lt;&gt;""),AND(LN14&gt;=MA$18,LN14&lt;&gt;"",LP14&gt;=MA$22,LP14&lt;&gt;""),AND(LQ14&gt;=MA$18,LQ14&lt;&gt;"",LS14&gt;=MA$22,LS14&lt;&gt;""),AND(LU14&gt;=MA$18,LU14&lt;&gt;"",LW14&gt;=MA$22,LW14&lt;&gt;""),AND(LX14&gt;=MA$18,LX14&lt;&gt;"",LZ14&gt;=MA$22,LZ14&lt;&gt;""),AND(MV14&gt;=NI$18,MV14&lt;&gt;"",MX14&gt;=NI$22,MX14&lt;&gt;""),AND(MY14&gt;=NI$18,MY14&lt;&gt;"",NA14&gt;=NI$22,NA14&lt;&gt;""),AND(NC14&gt;=NI$18,NC14&lt;&gt;"",NE14&gt;=NI$22,NE14&lt;&gt;""),AND(NF14&gt;=NI$18,NF14&lt;&gt;"",NH14&gt;=NI$22,NH14&lt;&gt;""),AND(OD14&gt;=OQ$18,OD14&lt;&gt;"",OF14&gt;=OQ$22,OF14&lt;&gt;""),AND(OG14&gt;=OQ$18,OG14&lt;&gt;"",OI14&gt;=OQ$22,OI14&lt;&gt;""),AND(OK14&gt;=OQ$18,OK14&lt;&gt;"",OM14&gt;=OQ$22,OM14&lt;&gt;""),AND(ON14&gt;=OQ$18,ON14&lt;&gt;"",OP14&gt;=OQ$22,OP14&lt;&gt;""),AND(PL14&gt;=PY$18,PL14&lt;&gt;"",PN14&gt;=PY$22,PN14&lt;&gt;""),AND(PO14&gt;=PY$18,PO14&lt;&gt;"",PQ14&gt;=PY$22,PQ14&lt;&gt;""),AND(PS14&gt;=PY$18,PS14&lt;&gt;"",PU14&gt;=PY$22,PU14&lt;&gt;""),AND(PV14&gt;=PY$18,PV14&lt;&gt;"",PX14&gt;=PY$22,PX14&lt;&gt;""),AND(QT14&gt;=RG$18,QT14&lt;&gt;"",QV14&gt;=RG$22,QV14&lt;&gt;""),AND(QW14&gt;=RG$18,QW14&lt;&gt;"",QY14&gt;=RG$22,QY14&lt;&gt;""),AND(RA14&gt;=RG$18,RA14&lt;&gt;"",RC14&gt;=RG$22,RC14&lt;&gt;""),AND(RD14&gt;=RG$18,RD14&lt;&gt;"",RF14&gt;=RG$22,RF14&lt;&gt;""),AND(SB14&gt;=SO$18,SB14&lt;&gt;"",SD14&gt;=SO$22,SD14&lt;&gt;""),AND(SE14&gt;=SO$18,SE14&lt;&gt;"",SG14&gt;=SO$22,SG14&lt;&gt;""),AND(SI14&gt;=SO$18,SI14&lt;&gt;"",SK14&gt;=SO$22,SK14&lt;&gt;""),AND(SL14&gt;=SO$18,SL14&lt;&gt;"",SN14&gt;=SO$22,SN14&lt;&gt;""),AND(TJ14&gt;=TW$18,TJ14&lt;&gt;"",TL14&gt;=TW$22,TL14&lt;&gt;""),AND(TM14&gt;=TW$18,TM14&lt;&gt;"",TO14&gt;=TW$22,TO14&lt;&gt;""),AND(TQ14&gt;=TW$18,TQ14&lt;&gt;"",TS14&gt;=TW$22,TXQ14&lt;&gt;""),AND(TT14&gt;=TW$18,TT14&lt;&gt;"",TV14&gt;=TW$22,TV14&lt;&gt;""),AND(UR14&gt;=VE$18,UR14&lt;&gt;"",UT14&gt;=VE$22,UT14&lt;&gt;""),AND(UU14&gt;=VE$18,UU14&lt;&gt;"",UW14&gt;=VE$22,UW14&lt;&gt;""),AND(UY14&gt;=VE$18,UY14&lt;&gt;"",VA14&gt;=VE$22,VA14&lt;&gt;""),AND(VB14&gt;=VE$18,VB14&lt;&gt;"",VD14&gt;=VE$22,VD14&lt;&gt;""),AND(VZ14&gt;=WM$18,VZ14&lt;&gt;"",WB14&gt;=WM$22,WB14&lt;&gt;""),AND(WC14&gt;=WM$18,WC14&lt;&gt;"",WE14&gt;=WM$22,WE14&lt;&gt;""),AND(WG14&gt;=WM$18,WG14&lt;&gt;"",WI14&gt;=WM$22,WI14&lt;&gt;""),AND(WJ14&gt;=WM$18,WJ14&lt;&gt;"",WL14&gt;=WM$22,WL14&lt;&gt;"")),"P","")</f>
        <v/>
      </c>
      <c r="J14" s="8">
        <f t="shared" si="1"/>
        <v>21.15</v>
      </c>
      <c r="K14" s="8" t="str">
        <f t="shared" si="2"/>
        <v>2025 Nationals</v>
      </c>
      <c r="L14" s="8">
        <f>IFERROR(IF(J14=AR14,LARGE((AK14,AN14,BL14,BO14,BS14,CM14,CP14,CT14),1),IF(J14=BS14,LARGE((AK14,AN14,AR14,BL14,BO14,CM14,CP14,CT14),1),LARGE((AK14,AN14,AR14,BL14,BO14,BS14,CM14,CP14),1))),0)</f>
        <v>51.300000000000004</v>
      </c>
      <c r="M14" s="8" t="str">
        <f t="shared" si="3"/>
        <v>2025 3rd Domestic Trial</v>
      </c>
      <c r="N14" s="8">
        <f>IFERROR(IF(J14=AR14,LARGE((AK14,AN14,BL14,BO14,BS14,CM14,CP14,CT14),2),IF(J14=BS14,LARGE((AK14,AN14,AR14,BL14,BO14,CM14,CP14,CT14),2),LARGE((AK14,AN14,AR14,BL14,BO14,BS14,CM14,CP14),2))),0)</f>
        <v>50.77</v>
      </c>
      <c r="O14" s="8" t="str">
        <f t="shared" si="4"/>
        <v>2025 Nationals</v>
      </c>
      <c r="P14" s="8">
        <f t="shared" si="5"/>
        <v>0</v>
      </c>
      <c r="Q14" s="11" t="str">
        <f t="shared" si="6"/>
        <v/>
      </c>
      <c r="R14" s="8" t="str">
        <f t="shared" si="7"/>
        <v/>
      </c>
      <c r="S14" s="18">
        <v>14</v>
      </c>
      <c r="T14" s="18">
        <v>9.6999999999999993</v>
      </c>
      <c r="U14" s="18">
        <v>13.4</v>
      </c>
      <c r="V14" s="18">
        <v>13.67</v>
      </c>
      <c r="W14" s="18">
        <v>0</v>
      </c>
      <c r="X14" s="18">
        <v>14.1</v>
      </c>
      <c r="Y14" s="18">
        <v>9</v>
      </c>
      <c r="Z14" s="18">
        <v>13.4</v>
      </c>
      <c r="AA14" s="18">
        <v>14.01</v>
      </c>
      <c r="AB14" s="18">
        <v>0</v>
      </c>
      <c r="AC14" s="18">
        <v>6.2</v>
      </c>
      <c r="AD14" s="18">
        <v>3.4</v>
      </c>
      <c r="AE14" s="18">
        <v>5.6</v>
      </c>
      <c r="AF14" s="18">
        <v>5.95</v>
      </c>
      <c r="AG14" s="18">
        <v>0</v>
      </c>
      <c r="AH14" s="23"/>
      <c r="AI14" s="34">
        <f t="shared" si="8"/>
        <v>13.4</v>
      </c>
      <c r="AJ14" s="34">
        <f t="shared" si="9"/>
        <v>13.67</v>
      </c>
      <c r="AK14" s="36">
        <f t="shared" si="10"/>
        <v>50.77</v>
      </c>
      <c r="AL14" s="36">
        <f t="shared" si="11"/>
        <v>13.4</v>
      </c>
      <c r="AM14" s="36">
        <f t="shared" si="12"/>
        <v>14.01</v>
      </c>
      <c r="AN14" s="36">
        <f t="shared" si="13"/>
        <v>50.51</v>
      </c>
      <c r="AO14" s="36">
        <f t="shared" si="14"/>
        <v>50.77</v>
      </c>
      <c r="AP14" s="36">
        <f t="shared" si="15"/>
        <v>5.6</v>
      </c>
      <c r="AQ14" s="36">
        <f t="shared" si="16"/>
        <v>5.95</v>
      </c>
      <c r="AR14" s="36">
        <f t="shared" si="17"/>
        <v>21.15</v>
      </c>
      <c r="AS14" s="36">
        <f t="shared" si="18"/>
        <v>71.92</v>
      </c>
      <c r="AT14" s="22">
        <v>15.1</v>
      </c>
      <c r="AU14" s="22">
        <v>8.9</v>
      </c>
      <c r="AV14" s="22">
        <v>12.7</v>
      </c>
      <c r="AW14" s="22">
        <v>14.6</v>
      </c>
      <c r="AX14" s="22">
        <v>0</v>
      </c>
      <c r="AY14" s="22">
        <v>13.8</v>
      </c>
      <c r="AZ14" s="22">
        <v>8.6999999999999993</v>
      </c>
      <c r="BA14" s="22">
        <v>12.7</v>
      </c>
      <c r="BB14" s="22">
        <v>14.14</v>
      </c>
      <c r="BC14" s="22">
        <v>0</v>
      </c>
      <c r="BD14" s="22">
        <v>1.3</v>
      </c>
      <c r="BE14" s="22">
        <v>1</v>
      </c>
      <c r="BF14" s="22">
        <v>1.5</v>
      </c>
      <c r="BG14" s="22">
        <v>1.51</v>
      </c>
      <c r="BH14" s="22">
        <v>0</v>
      </c>
      <c r="BI14" s="24"/>
      <c r="BJ14" s="35">
        <f t="shared" si="19"/>
        <v>12.7</v>
      </c>
      <c r="BK14" s="35">
        <f t="shared" si="20"/>
        <v>14.6</v>
      </c>
      <c r="BL14" s="11">
        <f t="shared" si="21"/>
        <v>51.300000000000004</v>
      </c>
      <c r="BM14" s="11">
        <f t="shared" si="22"/>
        <v>12.7</v>
      </c>
      <c r="BN14" s="11">
        <f t="shared" si="23"/>
        <v>14.14</v>
      </c>
      <c r="BO14" s="11">
        <f t="shared" si="24"/>
        <v>49.34</v>
      </c>
      <c r="BP14" s="11">
        <f t="shared" si="25"/>
        <v>51.300000000000004</v>
      </c>
      <c r="BQ14" s="11">
        <f t="shared" si="26"/>
        <v>1.5</v>
      </c>
      <c r="BR14" s="11">
        <f t="shared" si="27"/>
        <v>1.51</v>
      </c>
      <c r="BS14" s="11">
        <f t="shared" si="28"/>
        <v>5.31</v>
      </c>
      <c r="BT14" s="11">
        <f t="shared" si="29"/>
        <v>56.610000000000007</v>
      </c>
      <c r="BU14" s="18">
        <v>8.9</v>
      </c>
      <c r="BV14" s="18">
        <v>6.1</v>
      </c>
      <c r="BW14" s="18">
        <v>9.5</v>
      </c>
      <c r="BX14" s="18">
        <v>9.8000000000000007</v>
      </c>
      <c r="BY14" s="18">
        <v>0</v>
      </c>
      <c r="BZ14" s="18">
        <v>12.5</v>
      </c>
      <c r="CA14" s="18">
        <v>8.3000000000000007</v>
      </c>
      <c r="CB14" s="18">
        <v>12.1</v>
      </c>
      <c r="CC14" s="18">
        <v>12.96</v>
      </c>
      <c r="CD14" s="18">
        <v>0</v>
      </c>
      <c r="CE14" s="18">
        <v>2.4</v>
      </c>
      <c r="CF14" s="18">
        <v>1.6</v>
      </c>
      <c r="CG14" s="18">
        <v>2.8</v>
      </c>
      <c r="CH14" s="18">
        <v>3.02</v>
      </c>
      <c r="CI14" s="18">
        <v>0</v>
      </c>
      <c r="CJ14" s="23"/>
      <c r="CK14" s="34">
        <f t="shared" si="30"/>
        <v>9.5</v>
      </c>
      <c r="CL14" s="34">
        <f t="shared" si="31"/>
        <v>9.8000000000000007</v>
      </c>
      <c r="CM14" s="36">
        <f t="shared" si="32"/>
        <v>34.299999999999997</v>
      </c>
      <c r="CN14" s="36">
        <f t="shared" si="33"/>
        <v>12.1</v>
      </c>
      <c r="CO14" s="36">
        <f t="shared" si="34"/>
        <v>12.96</v>
      </c>
      <c r="CP14" s="36">
        <f t="shared" si="35"/>
        <v>45.86</v>
      </c>
      <c r="CQ14" s="36">
        <f t="shared" si="36"/>
        <v>45.86</v>
      </c>
      <c r="CR14" s="36">
        <f t="shared" si="37"/>
        <v>2.8</v>
      </c>
      <c r="CS14" s="36">
        <f t="shared" si="38"/>
        <v>3.02</v>
      </c>
      <c r="CT14" s="36">
        <f t="shared" si="39"/>
        <v>9.82</v>
      </c>
      <c r="CU14" s="36">
        <f t="shared" si="40"/>
        <v>55.68</v>
      </c>
      <c r="CV14" s="47" t="str">
        <f t="shared" si="41"/>
        <v/>
      </c>
      <c r="CW14" s="47" t="str">
        <f t="shared" si="42"/>
        <v/>
      </c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36" t="str">
        <f t="shared" si="43"/>
        <v/>
      </c>
      <c r="DS14" s="36" t="str">
        <f t="shared" si="44"/>
        <v/>
      </c>
      <c r="DT14" s="36" t="str">
        <f t="shared" si="45"/>
        <v/>
      </c>
      <c r="DU14" s="36" t="str">
        <f t="shared" si="46"/>
        <v/>
      </c>
      <c r="DV14" s="36" t="str">
        <f t="shared" si="47"/>
        <v/>
      </c>
      <c r="DW14" s="36" t="str">
        <f t="shared" si="48"/>
        <v/>
      </c>
      <c r="DX14" s="36" t="str">
        <f t="shared" si="49"/>
        <v/>
      </c>
      <c r="DY14" s="36" t="str">
        <f t="shared" si="50"/>
        <v/>
      </c>
      <c r="DZ14" s="36" t="str">
        <f t="shared" si="51"/>
        <v/>
      </c>
      <c r="EA14" s="36" t="str">
        <f t="shared" si="52"/>
        <v/>
      </c>
      <c r="EB14" s="36" t="str">
        <f t="shared" si="53"/>
        <v/>
      </c>
      <c r="EC14" s="36" t="str">
        <f t="shared" si="54"/>
        <v/>
      </c>
      <c r="ED14" s="36" t="str">
        <f t="shared" si="55"/>
        <v/>
      </c>
      <c r="EE14" s="36" t="str">
        <f t="shared" si="56"/>
        <v/>
      </c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1" t="str">
        <f t="shared" si="57"/>
        <v/>
      </c>
      <c r="FA14" s="11" t="str">
        <f t="shared" si="58"/>
        <v/>
      </c>
      <c r="FB14" s="11" t="str">
        <f t="shared" si="59"/>
        <v/>
      </c>
      <c r="FC14" s="11" t="str">
        <f t="shared" si="60"/>
        <v/>
      </c>
      <c r="FD14" s="11" t="str">
        <f t="shared" si="61"/>
        <v/>
      </c>
      <c r="FE14" s="11" t="str">
        <f t="shared" si="62"/>
        <v/>
      </c>
      <c r="FF14" s="11" t="str">
        <f t="shared" si="63"/>
        <v/>
      </c>
      <c r="FG14" s="11" t="str">
        <f t="shared" si="64"/>
        <v/>
      </c>
      <c r="FH14" s="11" t="str">
        <f t="shared" si="65"/>
        <v/>
      </c>
      <c r="FI14" s="11" t="str">
        <f t="shared" si="66"/>
        <v/>
      </c>
      <c r="FJ14" s="11" t="str">
        <f t="shared" si="67"/>
        <v/>
      </c>
      <c r="FK14" s="11" t="str">
        <f t="shared" si="68"/>
        <v/>
      </c>
      <c r="FL14" s="11" t="str">
        <f t="shared" si="69"/>
        <v/>
      </c>
      <c r="FM14" s="11" t="str">
        <f t="shared" si="70"/>
        <v/>
      </c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36" t="str">
        <f t="shared" si="71"/>
        <v/>
      </c>
      <c r="GI14" s="36" t="str">
        <f t="shared" si="72"/>
        <v/>
      </c>
      <c r="GJ14" s="36" t="str">
        <f t="shared" si="73"/>
        <v/>
      </c>
      <c r="GK14" s="36" t="str">
        <f t="shared" si="74"/>
        <v/>
      </c>
      <c r="GL14" s="36" t="str">
        <f t="shared" si="75"/>
        <v/>
      </c>
      <c r="GM14" s="36" t="str">
        <f t="shared" si="76"/>
        <v/>
      </c>
      <c r="GN14" s="36" t="str">
        <f t="shared" si="77"/>
        <v/>
      </c>
      <c r="GO14" s="36" t="str">
        <f t="shared" si="78"/>
        <v/>
      </c>
      <c r="GP14" s="36" t="str">
        <f t="shared" si="79"/>
        <v/>
      </c>
      <c r="GQ14" s="36" t="str">
        <f t="shared" si="80"/>
        <v/>
      </c>
      <c r="GR14" s="36" t="str">
        <f t="shared" si="81"/>
        <v/>
      </c>
      <c r="GS14" s="36" t="str">
        <f t="shared" si="82"/>
        <v/>
      </c>
      <c r="GT14" s="36" t="str">
        <f t="shared" si="83"/>
        <v/>
      </c>
      <c r="GU14" s="36" t="str">
        <f t="shared" si="84"/>
        <v/>
      </c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1" t="str">
        <f t="shared" si="85"/>
        <v/>
      </c>
      <c r="HQ14" s="11" t="str">
        <f t="shared" si="86"/>
        <v/>
      </c>
      <c r="HR14" s="11" t="str">
        <f t="shared" si="87"/>
        <v/>
      </c>
      <c r="HS14" s="11" t="str">
        <f t="shared" si="88"/>
        <v/>
      </c>
      <c r="HT14" s="11" t="str">
        <f t="shared" si="89"/>
        <v/>
      </c>
      <c r="HU14" s="11" t="str">
        <f t="shared" si="90"/>
        <v/>
      </c>
      <c r="HV14" s="11" t="str">
        <f t="shared" si="91"/>
        <v/>
      </c>
      <c r="HW14" s="11" t="str">
        <f t="shared" si="92"/>
        <v/>
      </c>
      <c r="HX14" s="11" t="str">
        <f t="shared" si="93"/>
        <v/>
      </c>
      <c r="HY14" s="11" t="str">
        <f t="shared" si="94"/>
        <v/>
      </c>
      <c r="HZ14" s="11" t="str">
        <f t="shared" si="95"/>
        <v/>
      </c>
      <c r="IA14" s="11" t="str">
        <f t="shared" si="96"/>
        <v/>
      </c>
      <c r="IB14" s="11" t="str">
        <f t="shared" si="97"/>
        <v/>
      </c>
      <c r="IC14" s="11" t="str">
        <f t="shared" si="98"/>
        <v/>
      </c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36" t="str">
        <f t="shared" si="99"/>
        <v/>
      </c>
      <c r="IY14" s="36" t="str">
        <f t="shared" si="100"/>
        <v/>
      </c>
      <c r="IZ14" s="36" t="str">
        <f t="shared" si="101"/>
        <v/>
      </c>
      <c r="JA14" s="36" t="str">
        <f t="shared" si="102"/>
        <v/>
      </c>
      <c r="JB14" s="36" t="str">
        <f t="shared" si="103"/>
        <v/>
      </c>
      <c r="JC14" s="36" t="str">
        <f t="shared" si="104"/>
        <v/>
      </c>
      <c r="JD14" s="36" t="str">
        <f t="shared" si="105"/>
        <v/>
      </c>
      <c r="JE14" s="36" t="str">
        <f t="shared" si="106"/>
        <v/>
      </c>
      <c r="JF14" s="36" t="str">
        <f t="shared" si="107"/>
        <v/>
      </c>
      <c r="JG14" s="36" t="str">
        <f t="shared" si="108"/>
        <v/>
      </c>
      <c r="JH14" s="36" t="str">
        <f t="shared" si="109"/>
        <v/>
      </c>
      <c r="JI14" s="36" t="str">
        <f t="shared" si="110"/>
        <v/>
      </c>
      <c r="JJ14" s="36" t="str">
        <f t="shared" si="111"/>
        <v/>
      </c>
      <c r="JK14" s="36" t="str">
        <f t="shared" si="112"/>
        <v/>
      </c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6"/>
      <c r="KD14" s="16"/>
      <c r="KE14" s="16"/>
      <c r="KF14" s="11" t="str">
        <f t="shared" si="113"/>
        <v/>
      </c>
      <c r="KG14" s="11" t="str">
        <f t="shared" si="114"/>
        <v/>
      </c>
      <c r="KH14" s="11" t="str">
        <f t="shared" si="115"/>
        <v/>
      </c>
      <c r="KI14" s="11" t="str">
        <f t="shared" si="116"/>
        <v/>
      </c>
      <c r="KJ14" s="11" t="str">
        <f t="shared" si="117"/>
        <v/>
      </c>
      <c r="KK14" s="11" t="str">
        <f t="shared" si="118"/>
        <v/>
      </c>
      <c r="KL14" s="11" t="str">
        <f t="shared" si="119"/>
        <v/>
      </c>
      <c r="KM14" s="11" t="str">
        <f t="shared" si="120"/>
        <v/>
      </c>
      <c r="KN14" s="11" t="str">
        <f t="shared" si="121"/>
        <v/>
      </c>
      <c r="KO14" s="11" t="str">
        <f t="shared" si="122"/>
        <v/>
      </c>
      <c r="KP14" s="11" t="str">
        <f t="shared" si="123"/>
        <v/>
      </c>
      <c r="KQ14" s="11" t="str">
        <f t="shared" si="124"/>
        <v/>
      </c>
      <c r="KR14" s="11" t="str">
        <f t="shared" si="125"/>
        <v/>
      </c>
      <c r="KS14" s="11" t="str">
        <f t="shared" si="126"/>
        <v/>
      </c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36" t="str">
        <f t="shared" si="127"/>
        <v/>
      </c>
      <c r="LO14" s="36" t="str">
        <f t="shared" si="128"/>
        <v/>
      </c>
      <c r="LP14" s="36" t="str">
        <f t="shared" si="129"/>
        <v/>
      </c>
      <c r="LQ14" s="36" t="str">
        <f t="shared" si="130"/>
        <v/>
      </c>
      <c r="LR14" s="36" t="str">
        <f t="shared" si="131"/>
        <v/>
      </c>
      <c r="LS14" s="36" t="str">
        <f t="shared" si="132"/>
        <v/>
      </c>
      <c r="LT14" s="36" t="str">
        <f t="shared" si="133"/>
        <v/>
      </c>
      <c r="LU14" s="36" t="str">
        <f t="shared" si="134"/>
        <v/>
      </c>
      <c r="LV14" s="36" t="str">
        <f t="shared" si="135"/>
        <v/>
      </c>
      <c r="LW14" s="36" t="str">
        <f t="shared" si="136"/>
        <v/>
      </c>
      <c r="LX14" s="36" t="str">
        <f t="shared" si="137"/>
        <v/>
      </c>
      <c r="LY14" s="36" t="str">
        <f t="shared" si="138"/>
        <v/>
      </c>
      <c r="LZ14" s="36" t="str">
        <f t="shared" si="139"/>
        <v/>
      </c>
      <c r="MA14" s="36" t="str">
        <f t="shared" si="140"/>
        <v/>
      </c>
      <c r="MB14" s="16"/>
      <c r="MC14" s="16"/>
      <c r="MD14" s="16"/>
      <c r="ME14" s="16"/>
      <c r="MF14" s="16"/>
      <c r="MG14" s="16"/>
      <c r="MH14" s="16"/>
      <c r="MI14" s="16"/>
      <c r="MJ14" s="16"/>
      <c r="MK14" s="16"/>
      <c r="ML14" s="16"/>
      <c r="MM14" s="16"/>
      <c r="MN14" s="16"/>
      <c r="MO14" s="16"/>
      <c r="MP14" s="16"/>
      <c r="MQ14" s="16"/>
      <c r="MR14" s="16"/>
      <c r="MS14" s="16"/>
      <c r="MT14" s="16"/>
      <c r="MU14" s="16"/>
      <c r="MV14" s="11" t="str">
        <f t="shared" si="141"/>
        <v/>
      </c>
      <c r="MW14" s="11" t="str">
        <f t="shared" si="142"/>
        <v/>
      </c>
      <c r="MX14" s="11" t="str">
        <f t="shared" si="143"/>
        <v/>
      </c>
      <c r="MY14" s="11" t="str">
        <f t="shared" si="144"/>
        <v/>
      </c>
      <c r="MZ14" s="11" t="str">
        <f t="shared" si="145"/>
        <v/>
      </c>
      <c r="NA14" s="11" t="str">
        <f t="shared" si="146"/>
        <v/>
      </c>
      <c r="NB14" s="11" t="str">
        <f t="shared" si="147"/>
        <v/>
      </c>
      <c r="NC14" s="11" t="str">
        <f t="shared" si="148"/>
        <v/>
      </c>
      <c r="ND14" s="11" t="str">
        <f t="shared" si="149"/>
        <v/>
      </c>
      <c r="NE14" s="11" t="str">
        <f t="shared" si="150"/>
        <v/>
      </c>
      <c r="NF14" s="11" t="str">
        <f t="shared" si="151"/>
        <v/>
      </c>
      <c r="NG14" s="11" t="str">
        <f t="shared" si="152"/>
        <v/>
      </c>
      <c r="NH14" s="11" t="str">
        <f t="shared" si="153"/>
        <v/>
      </c>
      <c r="NI14" s="11" t="str">
        <f t="shared" si="154"/>
        <v/>
      </c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36" t="str">
        <f t="shared" si="155"/>
        <v/>
      </c>
      <c r="OE14" s="36" t="str">
        <f t="shared" si="156"/>
        <v/>
      </c>
      <c r="OF14" s="36" t="str">
        <f t="shared" si="157"/>
        <v/>
      </c>
      <c r="OG14" s="36" t="str">
        <f t="shared" si="158"/>
        <v/>
      </c>
      <c r="OH14" s="36" t="str">
        <f t="shared" si="159"/>
        <v/>
      </c>
      <c r="OI14" s="36" t="str">
        <f t="shared" si="160"/>
        <v/>
      </c>
      <c r="OJ14" s="36" t="str">
        <f t="shared" si="161"/>
        <v/>
      </c>
      <c r="OK14" s="36" t="str">
        <f t="shared" si="162"/>
        <v/>
      </c>
      <c r="OL14" s="36" t="str">
        <f t="shared" si="163"/>
        <v/>
      </c>
      <c r="OM14" s="36" t="str">
        <f t="shared" si="164"/>
        <v/>
      </c>
      <c r="ON14" s="36" t="str">
        <f t="shared" si="165"/>
        <v/>
      </c>
      <c r="OO14" s="36" t="str">
        <f t="shared" si="166"/>
        <v/>
      </c>
      <c r="OP14" s="36" t="str">
        <f t="shared" si="167"/>
        <v/>
      </c>
      <c r="OQ14" s="36" t="str">
        <f t="shared" si="168"/>
        <v/>
      </c>
      <c r="OR14" s="16"/>
      <c r="OS14" s="16"/>
      <c r="OT14" s="16"/>
      <c r="OU14" s="16"/>
      <c r="OV14" s="16"/>
      <c r="OW14" s="16"/>
      <c r="OX14" s="16"/>
      <c r="OY14" s="16"/>
      <c r="OZ14" s="16"/>
      <c r="PA14" s="16"/>
      <c r="PB14" s="16"/>
      <c r="PC14" s="16"/>
      <c r="PD14" s="16"/>
      <c r="PE14" s="16"/>
      <c r="PF14" s="16"/>
      <c r="PG14" s="16"/>
      <c r="PH14" s="16"/>
      <c r="PI14" s="16"/>
      <c r="PJ14" s="16"/>
      <c r="PK14" s="16"/>
      <c r="PL14" s="11" t="str">
        <f t="shared" si="169"/>
        <v/>
      </c>
      <c r="PM14" s="11" t="str">
        <f t="shared" si="170"/>
        <v/>
      </c>
      <c r="PN14" s="11" t="str">
        <f t="shared" si="171"/>
        <v/>
      </c>
      <c r="PO14" s="11" t="str">
        <f t="shared" si="172"/>
        <v/>
      </c>
      <c r="PP14" s="11" t="str">
        <f t="shared" si="173"/>
        <v/>
      </c>
      <c r="PQ14" s="11" t="str">
        <f t="shared" si="174"/>
        <v/>
      </c>
      <c r="PR14" s="11" t="str">
        <f t="shared" si="175"/>
        <v/>
      </c>
      <c r="PS14" s="11" t="str">
        <f t="shared" si="176"/>
        <v/>
      </c>
      <c r="PT14" s="11" t="str">
        <f t="shared" si="177"/>
        <v/>
      </c>
      <c r="PU14" s="11" t="str">
        <f t="shared" si="178"/>
        <v/>
      </c>
      <c r="PV14" s="11" t="str">
        <f t="shared" si="179"/>
        <v/>
      </c>
      <c r="PW14" s="11" t="str">
        <f t="shared" si="180"/>
        <v/>
      </c>
      <c r="PX14" s="11" t="str">
        <f t="shared" si="181"/>
        <v/>
      </c>
      <c r="PY14" s="11" t="str">
        <f t="shared" si="182"/>
        <v/>
      </c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36" t="str">
        <f t="shared" si="183"/>
        <v/>
      </c>
      <c r="QU14" s="36" t="str">
        <f t="shared" si="184"/>
        <v/>
      </c>
      <c r="QV14" s="36" t="str">
        <f t="shared" si="185"/>
        <v/>
      </c>
      <c r="QW14" s="36" t="str">
        <f t="shared" si="186"/>
        <v/>
      </c>
      <c r="QX14" s="36" t="str">
        <f t="shared" si="187"/>
        <v/>
      </c>
      <c r="QY14" s="36" t="str">
        <f t="shared" si="188"/>
        <v/>
      </c>
      <c r="QZ14" s="36" t="str">
        <f t="shared" si="189"/>
        <v/>
      </c>
      <c r="RA14" s="36" t="str">
        <f t="shared" si="190"/>
        <v/>
      </c>
      <c r="RB14" s="36" t="str">
        <f t="shared" si="191"/>
        <v/>
      </c>
      <c r="RC14" s="36" t="str">
        <f t="shared" si="192"/>
        <v/>
      </c>
      <c r="RD14" s="36" t="str">
        <f t="shared" si="193"/>
        <v/>
      </c>
      <c r="RE14" s="36" t="str">
        <f t="shared" si="194"/>
        <v/>
      </c>
      <c r="RF14" s="36" t="str">
        <f t="shared" si="195"/>
        <v/>
      </c>
      <c r="RG14" s="36" t="str">
        <f t="shared" si="196"/>
        <v/>
      </c>
      <c r="RH14" s="16"/>
      <c r="RI14" s="16"/>
      <c r="RJ14" s="16"/>
      <c r="RK14" s="16"/>
      <c r="RL14" s="16"/>
      <c r="RM14" s="16"/>
      <c r="RN14" s="16"/>
      <c r="RO14" s="16"/>
      <c r="RP14" s="16"/>
      <c r="RQ14" s="16"/>
      <c r="RR14" s="16"/>
      <c r="RS14" s="16"/>
      <c r="RT14" s="16"/>
      <c r="RU14" s="16"/>
      <c r="RV14" s="16"/>
      <c r="RW14" s="16"/>
      <c r="RX14" s="16"/>
      <c r="RY14" s="16"/>
      <c r="RZ14" s="16"/>
      <c r="SA14" s="16"/>
      <c r="SB14" s="11" t="str">
        <f t="shared" si="197"/>
        <v/>
      </c>
      <c r="SC14" s="11" t="str">
        <f t="shared" si="198"/>
        <v/>
      </c>
      <c r="SD14" s="11" t="str">
        <f t="shared" si="199"/>
        <v/>
      </c>
      <c r="SE14" s="11" t="str">
        <f t="shared" si="200"/>
        <v/>
      </c>
      <c r="SF14" s="11" t="str">
        <f t="shared" si="201"/>
        <v/>
      </c>
      <c r="SG14" s="11" t="str">
        <f t="shared" si="202"/>
        <v/>
      </c>
      <c r="SH14" s="11" t="str">
        <f t="shared" si="203"/>
        <v/>
      </c>
      <c r="SI14" s="11" t="str">
        <f t="shared" si="204"/>
        <v/>
      </c>
      <c r="SJ14" s="11" t="str">
        <f t="shared" si="205"/>
        <v/>
      </c>
      <c r="SK14" s="11" t="str">
        <f t="shared" si="206"/>
        <v/>
      </c>
      <c r="SL14" s="11" t="str">
        <f t="shared" si="207"/>
        <v/>
      </c>
      <c r="SM14" s="11" t="str">
        <f t="shared" si="208"/>
        <v/>
      </c>
      <c r="SN14" s="11" t="str">
        <f t="shared" si="209"/>
        <v/>
      </c>
      <c r="SO14" s="11" t="str">
        <f t="shared" si="210"/>
        <v/>
      </c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36" t="str">
        <f t="shared" si="211"/>
        <v/>
      </c>
      <c r="TK14" s="36" t="str">
        <f t="shared" si="212"/>
        <v/>
      </c>
      <c r="TL14" s="36" t="str">
        <f t="shared" si="213"/>
        <v/>
      </c>
      <c r="TM14" s="36" t="str">
        <f t="shared" si="214"/>
        <v/>
      </c>
      <c r="TN14" s="36" t="str">
        <f t="shared" si="215"/>
        <v/>
      </c>
      <c r="TO14" s="36" t="str">
        <f t="shared" si="216"/>
        <v/>
      </c>
      <c r="TP14" s="36" t="str">
        <f t="shared" si="217"/>
        <v/>
      </c>
      <c r="TQ14" s="36" t="str">
        <f t="shared" si="218"/>
        <v/>
      </c>
      <c r="TR14" s="36" t="str">
        <f t="shared" si="219"/>
        <v/>
      </c>
      <c r="TS14" s="36" t="str">
        <f t="shared" si="220"/>
        <v/>
      </c>
      <c r="TT14" s="36" t="str">
        <f t="shared" si="221"/>
        <v/>
      </c>
      <c r="TU14" s="36" t="str">
        <f t="shared" si="222"/>
        <v/>
      </c>
      <c r="TV14" s="36" t="str">
        <f t="shared" si="223"/>
        <v/>
      </c>
      <c r="TW14" s="36" t="str">
        <f t="shared" si="224"/>
        <v/>
      </c>
      <c r="TX14" s="16"/>
      <c r="TY14" s="16"/>
      <c r="TZ14" s="16"/>
      <c r="UA14" s="16"/>
      <c r="UB14" s="16"/>
      <c r="UC14" s="16"/>
      <c r="UD14" s="16"/>
      <c r="UE14" s="16"/>
      <c r="UF14" s="16"/>
      <c r="UG14" s="16"/>
      <c r="UH14" s="16"/>
      <c r="UI14" s="16"/>
      <c r="UJ14" s="16"/>
      <c r="UK14" s="16"/>
      <c r="UL14" s="16"/>
      <c r="UM14" s="16"/>
      <c r="UN14" s="16"/>
      <c r="UO14" s="16"/>
      <c r="UP14" s="16"/>
      <c r="UQ14" s="16"/>
      <c r="UR14" s="11" t="str">
        <f t="shared" si="225"/>
        <v/>
      </c>
      <c r="US14" s="11" t="str">
        <f t="shared" si="226"/>
        <v/>
      </c>
      <c r="UT14" s="11" t="str">
        <f t="shared" si="227"/>
        <v/>
      </c>
      <c r="UU14" s="11" t="str">
        <f t="shared" si="228"/>
        <v/>
      </c>
      <c r="UV14" s="11" t="str">
        <f t="shared" si="229"/>
        <v/>
      </c>
      <c r="UW14" s="11" t="str">
        <f t="shared" si="230"/>
        <v/>
      </c>
      <c r="UX14" s="11" t="str">
        <f t="shared" si="231"/>
        <v/>
      </c>
      <c r="UY14" s="11" t="str">
        <f t="shared" si="232"/>
        <v/>
      </c>
      <c r="UZ14" s="11" t="str">
        <f t="shared" si="233"/>
        <v/>
      </c>
      <c r="VA14" s="11" t="str">
        <f t="shared" si="234"/>
        <v/>
      </c>
      <c r="VB14" s="11" t="str">
        <f t="shared" si="235"/>
        <v/>
      </c>
      <c r="VC14" s="11" t="str">
        <f t="shared" si="236"/>
        <v/>
      </c>
      <c r="VD14" s="11" t="str">
        <f t="shared" si="237"/>
        <v/>
      </c>
      <c r="VE14" s="11" t="str">
        <f t="shared" si="238"/>
        <v/>
      </c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36" t="str">
        <f t="shared" si="239"/>
        <v/>
      </c>
      <c r="WA14" s="36" t="str">
        <f t="shared" si="240"/>
        <v/>
      </c>
      <c r="WB14" s="36" t="str">
        <f t="shared" si="241"/>
        <v/>
      </c>
      <c r="WC14" s="36" t="str">
        <f t="shared" si="242"/>
        <v/>
      </c>
      <c r="WD14" s="36" t="str">
        <f t="shared" si="243"/>
        <v/>
      </c>
      <c r="WE14" s="36" t="str">
        <f t="shared" si="244"/>
        <v/>
      </c>
      <c r="WF14" s="36" t="str">
        <f t="shared" si="245"/>
        <v/>
      </c>
      <c r="WG14" s="36" t="str">
        <f t="shared" si="246"/>
        <v/>
      </c>
      <c r="WH14" s="36" t="str">
        <f t="shared" si="247"/>
        <v/>
      </c>
      <c r="WI14" s="36" t="str">
        <f t="shared" si="248"/>
        <v/>
      </c>
      <c r="WJ14" s="36" t="str">
        <f t="shared" si="249"/>
        <v/>
      </c>
      <c r="WK14" s="36" t="str">
        <f t="shared" si="250"/>
        <v/>
      </c>
      <c r="WL14" s="36" t="str">
        <f t="shared" si="251"/>
        <v/>
      </c>
      <c r="WM14" s="36" t="str">
        <f t="shared" si="252"/>
        <v/>
      </c>
    </row>
    <row r="15" spans="1:611" x14ac:dyDescent="0.2">
      <c r="B15" s="5"/>
      <c r="D15" s="1"/>
    </row>
    <row r="16" spans="1:611" x14ac:dyDescent="0.2">
      <c r="G16" s="32"/>
      <c r="I16" s="32"/>
    </row>
    <row r="17" spans="1:611" x14ac:dyDescent="0.2">
      <c r="B17" s="19" t="s">
        <v>40</v>
      </c>
      <c r="C17" s="5"/>
      <c r="G17" s="3"/>
      <c r="AL17" s="37"/>
      <c r="AM17" s="37"/>
      <c r="AN17" s="37"/>
      <c r="AP17" s="28"/>
      <c r="AQ17" s="28"/>
      <c r="AS17" s="38">
        <v>13.2</v>
      </c>
      <c r="BM17" s="37"/>
      <c r="BN17" s="37"/>
      <c r="BO17" s="37"/>
      <c r="BQ17" s="28"/>
      <c r="BR17" s="28"/>
      <c r="BT17" s="38">
        <v>13.2</v>
      </c>
      <c r="CN17" s="37"/>
      <c r="CO17" s="37"/>
      <c r="CP17" s="37"/>
      <c r="CR17" s="28"/>
      <c r="CS17" s="28"/>
      <c r="CU17" s="38">
        <v>13.4</v>
      </c>
      <c r="DR17" s="5"/>
      <c r="DS17" s="5"/>
      <c r="EB17" s="2"/>
      <c r="EC17" s="2"/>
      <c r="EE17" s="38">
        <v>13.2</v>
      </c>
      <c r="EZ17" s="5"/>
      <c r="FA17" s="5"/>
      <c r="FJ17" s="2"/>
      <c r="FK17" s="2"/>
      <c r="FM17" s="38">
        <v>13.2</v>
      </c>
      <c r="GH17" s="5"/>
      <c r="GI17" s="5"/>
      <c r="GR17" s="2"/>
      <c r="GS17" s="2"/>
      <c r="GU17" s="38">
        <v>13.2</v>
      </c>
      <c r="HP17" s="5"/>
      <c r="HQ17" s="5"/>
      <c r="HZ17" s="2"/>
      <c r="IA17" s="2"/>
      <c r="IC17" s="38">
        <v>13.2</v>
      </c>
      <c r="IX17" s="5"/>
      <c r="IY17" s="5"/>
      <c r="JH17" s="2"/>
      <c r="JI17" s="2"/>
      <c r="JK17" s="38">
        <v>13.2</v>
      </c>
      <c r="KF17" s="5"/>
      <c r="KG17" s="5"/>
      <c r="KP17" s="2"/>
      <c r="KQ17" s="2"/>
      <c r="KS17" s="38">
        <v>13.2</v>
      </c>
      <c r="LN17" s="5"/>
      <c r="LO17" s="5"/>
      <c r="LX17" s="2"/>
      <c r="LY17" s="2"/>
      <c r="MA17" s="38">
        <v>13.2</v>
      </c>
      <c r="MV17" s="5"/>
      <c r="MW17" s="5"/>
      <c r="NF17" s="2"/>
      <c r="NG17" s="2"/>
      <c r="NI17" s="38">
        <v>13.2</v>
      </c>
      <c r="OD17" s="5"/>
      <c r="OE17" s="5"/>
      <c r="ON17" s="2"/>
      <c r="OO17" s="2"/>
      <c r="OQ17" s="38">
        <v>13.2</v>
      </c>
      <c r="PL17" s="5"/>
      <c r="PM17" s="5"/>
      <c r="PV17" s="2"/>
      <c r="PW17" s="2"/>
      <c r="PY17" s="38">
        <v>13.2</v>
      </c>
      <c r="QT17" s="5"/>
      <c r="QU17" s="5"/>
      <c r="RD17" s="2"/>
      <c r="RE17" s="2"/>
      <c r="RG17" s="38">
        <v>13.4</v>
      </c>
      <c r="SB17" s="5"/>
      <c r="SC17" s="5"/>
      <c r="SL17" s="2"/>
      <c r="SM17" s="2"/>
      <c r="SO17" s="38">
        <v>13.4</v>
      </c>
      <c r="TJ17" s="5"/>
      <c r="TK17" s="5"/>
      <c r="TT17" s="2"/>
      <c r="TU17" s="2"/>
      <c r="TW17" s="38">
        <v>13.4</v>
      </c>
      <c r="UR17" s="5"/>
      <c r="US17" s="5"/>
      <c r="VB17" s="2"/>
      <c r="VC17" s="2"/>
      <c r="VE17" s="38">
        <v>13.4</v>
      </c>
      <c r="VZ17" s="5"/>
      <c r="WA17" s="5"/>
      <c r="WJ17" s="2"/>
      <c r="WK17" s="2"/>
      <c r="WM17" s="38">
        <v>13.4</v>
      </c>
    </row>
    <row r="18" spans="1:611" hidden="1" x14ac:dyDescent="0.2">
      <c r="B18" s="26" t="s">
        <v>39</v>
      </c>
      <c r="C18" s="5"/>
      <c r="R18" s="2"/>
      <c r="AL18" s="37"/>
      <c r="AM18" s="37"/>
      <c r="AN18" s="37"/>
      <c r="AP18" s="28"/>
      <c r="AQ18" s="28"/>
      <c r="AS18" s="39">
        <v>1000</v>
      </c>
      <c r="BM18" s="37"/>
      <c r="BN18" s="37"/>
      <c r="BO18" s="37"/>
      <c r="BQ18" s="28"/>
      <c r="BR18" s="28"/>
      <c r="BT18" s="39">
        <v>1000</v>
      </c>
      <c r="CN18" s="37"/>
      <c r="CO18" s="37"/>
      <c r="CP18" s="37"/>
      <c r="CR18" s="28"/>
      <c r="CS18" s="28"/>
      <c r="CU18" s="39">
        <v>1000</v>
      </c>
      <c r="DR18" s="5"/>
      <c r="DS18" s="5"/>
      <c r="EB18" s="2"/>
      <c r="EC18" s="2"/>
      <c r="EE18" s="39">
        <v>1000</v>
      </c>
      <c r="EZ18" s="5"/>
      <c r="FA18" s="5"/>
      <c r="FJ18" s="2"/>
      <c r="FK18" s="2"/>
      <c r="FM18" s="39">
        <v>1000</v>
      </c>
      <c r="GH18" s="5"/>
      <c r="GI18" s="5"/>
      <c r="GR18" s="2"/>
      <c r="GS18" s="2"/>
      <c r="GU18" s="39">
        <v>1000</v>
      </c>
      <c r="HP18" s="5"/>
      <c r="HQ18" s="5"/>
      <c r="HZ18" s="2"/>
      <c r="IA18" s="2"/>
      <c r="IC18" s="39">
        <v>1000</v>
      </c>
      <c r="IX18" s="5"/>
      <c r="IY18" s="5"/>
      <c r="JH18" s="2"/>
      <c r="JI18" s="2"/>
      <c r="JK18" s="39">
        <v>1000</v>
      </c>
      <c r="KF18" s="5"/>
      <c r="KG18" s="5"/>
      <c r="KP18" s="2"/>
      <c r="KQ18" s="2"/>
      <c r="KS18" s="39">
        <v>1000</v>
      </c>
      <c r="LN18" s="5"/>
      <c r="LO18" s="5"/>
      <c r="LX18" s="2"/>
      <c r="LY18" s="2"/>
      <c r="MA18" s="39">
        <v>1000</v>
      </c>
      <c r="MV18" s="5"/>
      <c r="MW18" s="5"/>
      <c r="NF18" s="2"/>
      <c r="NG18" s="2"/>
      <c r="NI18" s="39">
        <v>1000</v>
      </c>
      <c r="OD18" s="5"/>
      <c r="OE18" s="5"/>
      <c r="ON18" s="2"/>
      <c r="OO18" s="2"/>
      <c r="OQ18" s="39">
        <v>1000</v>
      </c>
      <c r="PL18" s="5"/>
      <c r="PM18" s="5"/>
      <c r="PV18" s="2"/>
      <c r="PW18" s="2"/>
      <c r="PY18" s="39">
        <v>1000</v>
      </c>
      <c r="QT18" s="5"/>
      <c r="QU18" s="5"/>
      <c r="RD18" s="2"/>
      <c r="RE18" s="2"/>
      <c r="RG18" s="39">
        <v>1000</v>
      </c>
      <c r="SB18" s="5"/>
      <c r="SC18" s="5"/>
      <c r="SL18" s="2"/>
      <c r="SM18" s="2"/>
      <c r="SO18" s="39">
        <v>1000</v>
      </c>
      <c r="TJ18" s="5"/>
      <c r="TK18" s="5"/>
      <c r="TT18" s="2"/>
      <c r="TU18" s="2"/>
      <c r="TW18" s="39">
        <v>1000</v>
      </c>
      <c r="UR18" s="5"/>
      <c r="US18" s="5"/>
      <c r="VB18" s="2"/>
      <c r="VC18" s="2"/>
      <c r="VE18" s="39">
        <v>1000</v>
      </c>
      <c r="VZ18" s="5"/>
      <c r="WA18" s="5"/>
      <c r="WJ18" s="2"/>
      <c r="WK18" s="2"/>
      <c r="WM18" s="39">
        <v>1000</v>
      </c>
    </row>
    <row r="19" spans="1:611" hidden="1" x14ac:dyDescent="0.2">
      <c r="A19" s="5"/>
      <c r="B19" s="27" t="s">
        <v>50</v>
      </c>
      <c r="C19" s="5"/>
      <c r="E19" s="2"/>
      <c r="AL19" s="37"/>
      <c r="AM19" s="37"/>
      <c r="AN19" s="37"/>
      <c r="AO19" s="28"/>
      <c r="AP19" s="28"/>
      <c r="AQ19" s="28"/>
      <c r="AR19" s="28"/>
      <c r="AS19" s="40">
        <v>1000</v>
      </c>
      <c r="BM19" s="37"/>
      <c r="BN19" s="37"/>
      <c r="BO19" s="37"/>
      <c r="BQ19" s="28"/>
      <c r="BR19" s="28"/>
      <c r="BT19" s="40">
        <v>1000</v>
      </c>
      <c r="CN19" s="37"/>
      <c r="CO19" s="37"/>
      <c r="CP19" s="37"/>
      <c r="CQ19" s="28"/>
      <c r="CR19" s="28"/>
      <c r="CS19" s="28"/>
      <c r="CT19" s="28"/>
      <c r="CU19" s="40">
        <v>1000</v>
      </c>
      <c r="DR19" s="5"/>
      <c r="DS19" s="5"/>
      <c r="EB19" s="2"/>
      <c r="EC19" s="2"/>
      <c r="EE19" s="40">
        <v>0</v>
      </c>
      <c r="EZ19" s="5"/>
      <c r="FA19" s="5"/>
      <c r="FJ19" s="2"/>
      <c r="FK19" s="2"/>
      <c r="FM19" s="40">
        <v>0</v>
      </c>
      <c r="GH19" s="5"/>
      <c r="GI19" s="5"/>
      <c r="GR19" s="2"/>
      <c r="GS19" s="2"/>
      <c r="GU19" s="40">
        <v>0</v>
      </c>
      <c r="HP19" s="5"/>
      <c r="HQ19" s="5"/>
      <c r="HZ19" s="2"/>
      <c r="IA19" s="2"/>
      <c r="IC19" s="40">
        <v>0</v>
      </c>
      <c r="IX19" s="5"/>
      <c r="IY19" s="5"/>
      <c r="JH19" s="2"/>
      <c r="JI19" s="2"/>
      <c r="JK19" s="40">
        <v>0</v>
      </c>
      <c r="KF19" s="5"/>
      <c r="KG19" s="5"/>
      <c r="KP19" s="2"/>
      <c r="KQ19" s="2"/>
      <c r="KS19" s="40">
        <v>0</v>
      </c>
      <c r="LN19" s="5"/>
      <c r="LO19" s="5"/>
      <c r="LX19" s="2"/>
      <c r="LY19" s="2"/>
      <c r="MA19" s="40">
        <v>0</v>
      </c>
      <c r="MV19" s="5"/>
      <c r="MW19" s="5"/>
      <c r="NF19" s="2"/>
      <c r="NG19" s="2"/>
      <c r="NI19" s="40">
        <v>0</v>
      </c>
      <c r="OD19" s="5"/>
      <c r="OE19" s="5"/>
      <c r="ON19" s="2"/>
      <c r="OO19" s="2"/>
      <c r="OQ19" s="40">
        <v>0</v>
      </c>
      <c r="PL19" s="5"/>
      <c r="PM19" s="5"/>
      <c r="PV19" s="2"/>
      <c r="PW19" s="2"/>
      <c r="PY19" s="40">
        <v>0</v>
      </c>
      <c r="QT19" s="5"/>
      <c r="QU19" s="5"/>
      <c r="RD19" s="2"/>
      <c r="RE19" s="2"/>
      <c r="RG19" s="40">
        <v>0</v>
      </c>
      <c r="SB19" s="5"/>
      <c r="SC19" s="5"/>
      <c r="SL19" s="2"/>
      <c r="SM19" s="2"/>
      <c r="SO19" s="40">
        <v>0</v>
      </c>
      <c r="TJ19" s="5"/>
      <c r="TK19" s="5"/>
      <c r="TT19" s="2"/>
      <c r="TU19" s="2"/>
      <c r="TW19" s="40">
        <v>0</v>
      </c>
      <c r="UR19" s="5"/>
      <c r="US19" s="5"/>
      <c r="VB19" s="2"/>
      <c r="VC19" s="2"/>
      <c r="VE19" s="40">
        <v>0</v>
      </c>
      <c r="VZ19" s="5"/>
      <c r="WA19" s="5"/>
      <c r="WJ19" s="2"/>
      <c r="WK19" s="2"/>
      <c r="WM19" s="40">
        <v>0</v>
      </c>
    </row>
    <row r="20" spans="1:611" hidden="1" x14ac:dyDescent="0.2">
      <c r="A20" s="5"/>
      <c r="B20" s="31" t="s">
        <v>57</v>
      </c>
      <c r="C20" s="5"/>
      <c r="E20" s="2"/>
      <c r="AL20" s="37"/>
      <c r="AM20" s="37"/>
      <c r="AN20" s="37"/>
      <c r="AO20" s="28"/>
      <c r="AP20" s="28"/>
      <c r="AQ20" s="28"/>
      <c r="AR20" s="28"/>
      <c r="AS20" s="41">
        <v>1000</v>
      </c>
      <c r="BM20" s="37"/>
      <c r="BN20" s="37"/>
      <c r="BO20" s="37"/>
      <c r="BQ20" s="28"/>
      <c r="BR20" s="28"/>
      <c r="BT20" s="41">
        <v>1000</v>
      </c>
      <c r="CN20" s="37"/>
      <c r="CO20" s="37"/>
      <c r="CP20" s="37"/>
      <c r="CQ20" s="28"/>
      <c r="CR20" s="28"/>
      <c r="CS20" s="28"/>
      <c r="CT20" s="28"/>
      <c r="CU20" s="41">
        <v>1000</v>
      </c>
      <c r="DR20" s="5"/>
      <c r="DS20" s="5"/>
      <c r="EB20" s="2"/>
      <c r="EC20" s="2"/>
      <c r="EE20" s="41">
        <v>0</v>
      </c>
      <c r="EZ20" s="5"/>
      <c r="FA20" s="5"/>
      <c r="FJ20" s="2"/>
      <c r="FK20" s="2"/>
      <c r="FM20" s="41">
        <v>0</v>
      </c>
      <c r="GH20" s="5"/>
      <c r="GI20" s="5"/>
      <c r="GR20" s="2"/>
      <c r="GS20" s="2"/>
      <c r="GU20" s="41">
        <v>0</v>
      </c>
      <c r="HP20" s="5"/>
      <c r="HQ20" s="5"/>
      <c r="HZ20" s="2"/>
      <c r="IA20" s="2"/>
      <c r="IC20" s="41">
        <v>0</v>
      </c>
      <c r="IX20" s="5"/>
      <c r="IY20" s="5"/>
      <c r="JH20" s="2"/>
      <c r="JI20" s="2"/>
      <c r="JK20" s="41">
        <v>0</v>
      </c>
      <c r="KF20" s="5"/>
      <c r="KG20" s="5"/>
      <c r="KP20" s="2"/>
      <c r="KQ20" s="2"/>
      <c r="KS20" s="41">
        <v>0</v>
      </c>
      <c r="LN20" s="5"/>
      <c r="LO20" s="5"/>
      <c r="LX20" s="2"/>
      <c r="LY20" s="2"/>
      <c r="MA20" s="41">
        <v>0</v>
      </c>
      <c r="MV20" s="5"/>
      <c r="MW20" s="5"/>
      <c r="NF20" s="2"/>
      <c r="NG20" s="2"/>
      <c r="NI20" s="41">
        <v>0</v>
      </c>
      <c r="OD20" s="5"/>
      <c r="OE20" s="5"/>
      <c r="ON20" s="2"/>
      <c r="OO20" s="2"/>
      <c r="OQ20" s="41">
        <v>0</v>
      </c>
      <c r="PL20" s="5"/>
      <c r="PM20" s="5"/>
      <c r="PV20" s="2"/>
      <c r="PW20" s="2"/>
      <c r="PY20" s="41">
        <v>0</v>
      </c>
      <c r="QT20" s="5"/>
      <c r="QU20" s="5"/>
      <c r="RD20" s="2"/>
      <c r="RE20" s="2"/>
      <c r="RG20" s="41">
        <v>0</v>
      </c>
      <c r="SB20" s="5"/>
      <c r="SC20" s="5"/>
      <c r="SL20" s="2"/>
      <c r="SM20" s="2"/>
      <c r="SO20" s="41">
        <v>0</v>
      </c>
      <c r="TJ20" s="5"/>
      <c r="TK20" s="5"/>
      <c r="TT20" s="2"/>
      <c r="TU20" s="2"/>
      <c r="TW20" s="41">
        <v>0</v>
      </c>
      <c r="UR20" s="5"/>
      <c r="US20" s="5"/>
      <c r="VB20" s="2"/>
      <c r="VC20" s="2"/>
      <c r="VE20" s="41">
        <v>0</v>
      </c>
      <c r="VZ20" s="5"/>
      <c r="WA20" s="5"/>
      <c r="WJ20" s="2"/>
      <c r="WK20" s="2"/>
      <c r="WM20" s="41">
        <v>0</v>
      </c>
    </row>
    <row r="21" spans="1:611" x14ac:dyDescent="0.2">
      <c r="A21" s="5"/>
      <c r="B21" s="30" t="s">
        <v>37</v>
      </c>
      <c r="C21" s="5"/>
      <c r="AL21" s="37"/>
      <c r="AM21" s="37"/>
      <c r="AN21" s="37"/>
      <c r="AO21" s="28"/>
      <c r="AP21" s="28"/>
      <c r="AQ21" s="28"/>
      <c r="AR21" s="28"/>
      <c r="AS21" s="42">
        <v>51.6</v>
      </c>
      <c r="BM21" s="37"/>
      <c r="BN21" s="37"/>
      <c r="BO21" s="37"/>
      <c r="BQ21" s="28"/>
      <c r="BR21" s="28"/>
      <c r="BT21" s="42">
        <v>51.6</v>
      </c>
      <c r="CN21" s="37"/>
      <c r="CO21" s="37"/>
      <c r="CP21" s="37"/>
      <c r="CQ21" s="28"/>
      <c r="CR21" s="28"/>
      <c r="CS21" s="28"/>
      <c r="CT21" s="28"/>
      <c r="CU21" s="42">
        <v>51.8</v>
      </c>
      <c r="DR21" s="5"/>
      <c r="DS21" s="5"/>
      <c r="EB21" s="2"/>
      <c r="EC21" s="2"/>
      <c r="EE21" s="42">
        <v>51.6</v>
      </c>
      <c r="EZ21" s="5"/>
      <c r="FA21" s="5"/>
      <c r="FJ21" s="2"/>
      <c r="FK21" s="2"/>
      <c r="FM21" s="42">
        <v>51.6</v>
      </c>
      <c r="GH21" s="5"/>
      <c r="GI21" s="5"/>
      <c r="GR21" s="2"/>
      <c r="GS21" s="2"/>
      <c r="GU21" s="42">
        <v>51.6</v>
      </c>
      <c r="HP21" s="5"/>
      <c r="HQ21" s="5"/>
      <c r="HZ21" s="2"/>
      <c r="IA21" s="2"/>
      <c r="IC21" s="42">
        <v>51.6</v>
      </c>
      <c r="IX21" s="5"/>
      <c r="IY21" s="5"/>
      <c r="JH21" s="2"/>
      <c r="JI21" s="2"/>
      <c r="JK21" s="42">
        <v>51.6</v>
      </c>
      <c r="KF21" s="5"/>
      <c r="KG21" s="5"/>
      <c r="KP21" s="2"/>
      <c r="KQ21" s="2"/>
      <c r="KS21" s="42">
        <v>51.6</v>
      </c>
      <c r="LN21" s="5"/>
      <c r="LO21" s="5"/>
      <c r="LX21" s="2"/>
      <c r="LY21" s="2"/>
      <c r="MA21" s="42">
        <v>51.6</v>
      </c>
      <c r="MV21" s="5"/>
      <c r="MW21" s="5"/>
      <c r="NF21" s="2"/>
      <c r="NG21" s="2"/>
      <c r="NI21" s="42">
        <v>51.6</v>
      </c>
      <c r="OD21" s="5"/>
      <c r="OE21" s="5"/>
      <c r="ON21" s="2"/>
      <c r="OO21" s="2"/>
      <c r="OQ21" s="42">
        <v>51.6</v>
      </c>
      <c r="PL21" s="5"/>
      <c r="PM21" s="5"/>
      <c r="PV21" s="2"/>
      <c r="PW21" s="2"/>
      <c r="PY21" s="42">
        <v>51.6</v>
      </c>
      <c r="QT21" s="5"/>
      <c r="QU21" s="5"/>
      <c r="RD21" s="2"/>
      <c r="RE21" s="2"/>
      <c r="RG21" s="42">
        <v>51.8</v>
      </c>
      <c r="SB21" s="5"/>
      <c r="SC21" s="5"/>
      <c r="SL21" s="2"/>
      <c r="SM21" s="2"/>
      <c r="SO21" s="42">
        <v>51.8</v>
      </c>
      <c r="TJ21" s="5"/>
      <c r="TK21" s="5"/>
      <c r="TT21" s="2"/>
      <c r="TU21" s="2"/>
      <c r="TW21" s="42">
        <v>51.8</v>
      </c>
      <c r="UR21" s="5"/>
      <c r="US21" s="5"/>
      <c r="VB21" s="2"/>
      <c r="VC21" s="2"/>
      <c r="VE21" s="42">
        <v>51.8</v>
      </c>
      <c r="VZ21" s="5"/>
      <c r="WA21" s="5"/>
      <c r="WJ21" s="2"/>
      <c r="WK21" s="2"/>
      <c r="WM21" s="42">
        <v>51.8</v>
      </c>
    </row>
    <row r="22" spans="1:611" hidden="1" x14ac:dyDescent="0.2">
      <c r="A22" s="5"/>
      <c r="B22" s="20" t="s">
        <v>38</v>
      </c>
      <c r="C22" s="5"/>
      <c r="AL22" s="37"/>
      <c r="AM22" s="37"/>
      <c r="AN22" s="37"/>
      <c r="AO22" s="28"/>
      <c r="AP22" s="28"/>
      <c r="AQ22" s="28"/>
      <c r="AR22" s="28"/>
      <c r="AS22" s="43">
        <v>1000</v>
      </c>
      <c r="BM22" s="37"/>
      <c r="BN22" s="37"/>
      <c r="BO22" s="37"/>
      <c r="BQ22" s="28"/>
      <c r="BR22" s="28"/>
      <c r="BT22" s="43">
        <v>1000</v>
      </c>
      <c r="CN22" s="37"/>
      <c r="CO22" s="37"/>
      <c r="CP22" s="37"/>
      <c r="CQ22" s="28"/>
      <c r="CR22" s="28"/>
      <c r="CS22" s="28"/>
      <c r="CT22" s="28"/>
      <c r="CU22" s="43">
        <v>1000</v>
      </c>
      <c r="DR22" s="5"/>
      <c r="DS22" s="5"/>
      <c r="EB22" s="2"/>
      <c r="EC22" s="2"/>
      <c r="EE22" s="43">
        <v>1000</v>
      </c>
      <c r="EZ22" s="5"/>
      <c r="FA22" s="5"/>
      <c r="FJ22" s="2"/>
      <c r="FK22" s="2"/>
      <c r="FM22" s="43">
        <v>1000</v>
      </c>
      <c r="GH22" s="5"/>
      <c r="GI22" s="5"/>
      <c r="GR22" s="2"/>
      <c r="GS22" s="2"/>
      <c r="GU22" s="43">
        <v>1000</v>
      </c>
      <c r="HP22" s="5"/>
      <c r="HQ22" s="5"/>
      <c r="HZ22" s="2"/>
      <c r="IA22" s="2"/>
      <c r="IC22" s="43">
        <v>1000</v>
      </c>
      <c r="IX22" s="5"/>
      <c r="IY22" s="5"/>
      <c r="JH22" s="2"/>
      <c r="JI22" s="2"/>
      <c r="JK22" s="43">
        <v>1000</v>
      </c>
      <c r="KF22" s="5"/>
      <c r="KG22" s="5"/>
      <c r="KP22" s="2"/>
      <c r="KQ22" s="2"/>
      <c r="KS22" s="43">
        <v>1000</v>
      </c>
      <c r="LN22" s="5"/>
      <c r="LO22" s="5"/>
      <c r="LX22" s="2"/>
      <c r="LY22" s="2"/>
      <c r="MA22" s="43">
        <v>1000</v>
      </c>
      <c r="MV22" s="5"/>
      <c r="MW22" s="5"/>
      <c r="NF22" s="2"/>
      <c r="NG22" s="2"/>
      <c r="NI22" s="43">
        <v>1000</v>
      </c>
      <c r="OD22" s="5"/>
      <c r="OE22" s="5"/>
      <c r="ON22" s="2"/>
      <c r="OO22" s="2"/>
      <c r="OQ22" s="43">
        <v>1000</v>
      </c>
      <c r="PL22" s="5"/>
      <c r="PM22" s="5"/>
      <c r="PV22" s="2"/>
      <c r="PW22" s="2"/>
      <c r="PY22" s="43">
        <v>1000</v>
      </c>
      <c r="QT22" s="5"/>
      <c r="QU22" s="5"/>
      <c r="RD22" s="2"/>
      <c r="RE22" s="2"/>
      <c r="RG22" s="43">
        <v>1000</v>
      </c>
      <c r="SB22" s="5"/>
      <c r="SC22" s="5"/>
      <c r="SL22" s="2"/>
      <c r="SM22" s="2"/>
      <c r="SO22" s="43">
        <v>1000</v>
      </c>
      <c r="TJ22" s="5"/>
      <c r="TK22" s="5"/>
      <c r="TT22" s="2"/>
      <c r="TU22" s="2"/>
      <c r="TW22" s="43">
        <v>1000</v>
      </c>
      <c r="UR22" s="5"/>
      <c r="US22" s="5"/>
      <c r="VB22" s="2"/>
      <c r="VC22" s="2"/>
      <c r="VE22" s="43">
        <v>1000</v>
      </c>
      <c r="VZ22" s="5"/>
      <c r="WA22" s="5"/>
      <c r="WJ22" s="2"/>
      <c r="WK22" s="2"/>
      <c r="WM22" s="43">
        <v>1000</v>
      </c>
    </row>
    <row r="23" spans="1:611" hidden="1" x14ac:dyDescent="0.2">
      <c r="A23" s="5"/>
      <c r="B23" s="29" t="s">
        <v>49</v>
      </c>
      <c r="C23" s="5"/>
      <c r="AL23" s="37"/>
      <c r="AM23" s="37"/>
      <c r="AN23" s="37"/>
      <c r="AO23" s="28"/>
      <c r="AP23" s="28"/>
      <c r="AQ23" s="28"/>
      <c r="AR23" s="28"/>
      <c r="AS23" s="44">
        <v>1000</v>
      </c>
      <c r="BM23" s="37"/>
      <c r="BN23" s="37"/>
      <c r="BO23" s="37"/>
      <c r="BQ23" s="28"/>
      <c r="BR23" s="28"/>
      <c r="BT23" s="44">
        <v>1000</v>
      </c>
      <c r="CN23" s="37"/>
      <c r="CO23" s="37"/>
      <c r="CP23" s="37"/>
      <c r="CQ23" s="28"/>
      <c r="CR23" s="28"/>
      <c r="CS23" s="28"/>
      <c r="CT23" s="28"/>
      <c r="CU23" s="44">
        <v>1000</v>
      </c>
      <c r="DR23" s="5"/>
      <c r="DS23" s="5"/>
      <c r="EB23" s="2"/>
      <c r="EC23" s="2"/>
      <c r="ED23" s="33"/>
      <c r="EE23" s="44">
        <v>1000</v>
      </c>
      <c r="EZ23" s="5"/>
      <c r="FA23" s="5"/>
      <c r="FJ23" s="2"/>
      <c r="FK23" s="2"/>
      <c r="FL23" s="33"/>
      <c r="FM23" s="44">
        <v>1000</v>
      </c>
      <c r="GH23" s="5"/>
      <c r="GI23" s="5"/>
      <c r="GR23" s="2"/>
      <c r="GS23" s="2"/>
      <c r="GT23" s="33"/>
      <c r="GU23" s="44">
        <v>1000</v>
      </c>
      <c r="HP23" s="5"/>
      <c r="HQ23" s="5"/>
      <c r="HZ23" s="2"/>
      <c r="IA23" s="2"/>
      <c r="IB23" s="33"/>
      <c r="IC23" s="44">
        <v>1000</v>
      </c>
      <c r="IX23" s="5"/>
      <c r="IY23" s="5"/>
      <c r="JH23" s="2"/>
      <c r="JI23" s="2"/>
      <c r="JJ23" s="33"/>
      <c r="JK23" s="44">
        <v>1000</v>
      </c>
      <c r="KF23" s="5"/>
      <c r="KG23" s="5"/>
      <c r="KP23" s="2"/>
      <c r="KQ23" s="2"/>
      <c r="KR23" s="33"/>
      <c r="KS23" s="44">
        <v>1000</v>
      </c>
      <c r="LN23" s="5"/>
      <c r="LO23" s="5"/>
      <c r="LX23" s="2"/>
      <c r="LY23" s="2"/>
      <c r="LZ23" s="33"/>
      <c r="MA23" s="44">
        <v>1000</v>
      </c>
      <c r="MV23" s="5"/>
      <c r="MW23" s="5"/>
      <c r="NF23" s="2"/>
      <c r="NG23" s="2"/>
      <c r="NH23" s="33"/>
      <c r="NI23" s="44">
        <v>1000</v>
      </c>
      <c r="OD23" s="5"/>
      <c r="OE23" s="5"/>
      <c r="ON23" s="2"/>
      <c r="OO23" s="2"/>
      <c r="OP23" s="33"/>
      <c r="OQ23" s="44">
        <v>1000</v>
      </c>
      <c r="PL23" s="5"/>
      <c r="PM23" s="5"/>
      <c r="PV23" s="2"/>
      <c r="PW23" s="2"/>
      <c r="PX23" s="33"/>
      <c r="PY23" s="44">
        <v>1000</v>
      </c>
      <c r="QT23" s="5"/>
      <c r="QU23" s="5"/>
      <c r="RD23" s="2"/>
      <c r="RE23" s="2"/>
      <c r="RF23" s="33"/>
      <c r="RG23" s="44">
        <v>1000</v>
      </c>
      <c r="SB23" s="5"/>
      <c r="SC23" s="5"/>
      <c r="SL23" s="2"/>
      <c r="SM23" s="2"/>
      <c r="SN23" s="33"/>
      <c r="SO23" s="44">
        <v>1000</v>
      </c>
      <c r="TJ23" s="5"/>
      <c r="TK23" s="5"/>
      <c r="TT23" s="2"/>
      <c r="TU23" s="2"/>
      <c r="TV23" s="33"/>
      <c r="TW23" s="44">
        <v>1000</v>
      </c>
      <c r="UR23" s="5"/>
      <c r="US23" s="5"/>
      <c r="VB23" s="2"/>
      <c r="VC23" s="2"/>
      <c r="VD23" s="33"/>
      <c r="VE23" s="44">
        <v>1000</v>
      </c>
      <c r="VZ23" s="5"/>
      <c r="WA23" s="5"/>
      <c r="WJ23" s="2"/>
      <c r="WK23" s="2"/>
      <c r="WL23" s="33"/>
      <c r="WM23" s="44">
        <v>1000</v>
      </c>
    </row>
    <row r="24" spans="1:611" hidden="1" x14ac:dyDescent="0.2">
      <c r="A24" s="5"/>
      <c r="B24" s="21" t="s">
        <v>30</v>
      </c>
      <c r="C24" s="5"/>
      <c r="AL24" s="37"/>
      <c r="AM24" s="37"/>
      <c r="AN24" s="37"/>
      <c r="AO24" s="28"/>
      <c r="AP24" s="37"/>
      <c r="AQ24" s="37"/>
      <c r="AR24" s="28"/>
      <c r="AS24" s="45">
        <v>1000</v>
      </c>
      <c r="BM24" s="37"/>
      <c r="BN24" s="37"/>
      <c r="BO24" s="37"/>
      <c r="BQ24" s="37"/>
      <c r="BR24" s="28"/>
      <c r="BT24" s="45">
        <v>1000</v>
      </c>
      <c r="CN24" s="37"/>
      <c r="CO24" s="37"/>
      <c r="CP24" s="37"/>
      <c r="CQ24" s="28"/>
      <c r="CR24" s="37"/>
      <c r="CS24" s="28"/>
      <c r="CT24" s="28"/>
      <c r="CU24" s="45">
        <v>1000</v>
      </c>
      <c r="DR24" s="5"/>
      <c r="DS24" s="5"/>
      <c r="EB24" s="37"/>
      <c r="EC24" s="2"/>
      <c r="EE24" s="45">
        <v>1000</v>
      </c>
      <c r="EZ24" s="5"/>
      <c r="FA24" s="5"/>
      <c r="FJ24" s="37"/>
      <c r="FK24" s="2"/>
      <c r="FM24" s="45">
        <v>1000</v>
      </c>
      <c r="GH24" s="5"/>
      <c r="GI24" s="5"/>
      <c r="GR24" s="2"/>
      <c r="GS24" s="2"/>
      <c r="GU24" s="45">
        <v>1000</v>
      </c>
      <c r="HP24" s="5"/>
      <c r="HQ24" s="5"/>
      <c r="HZ24" s="37"/>
      <c r="IA24" s="2"/>
      <c r="IC24" s="45">
        <v>1000</v>
      </c>
      <c r="IX24" s="5"/>
      <c r="IY24" s="5"/>
      <c r="JH24" s="2"/>
      <c r="JI24" s="2"/>
      <c r="JK24" s="45">
        <v>1000</v>
      </c>
      <c r="KF24" s="5"/>
      <c r="KG24" s="5"/>
      <c r="KP24" s="2"/>
      <c r="KQ24" s="2"/>
      <c r="KS24" s="45">
        <v>1000</v>
      </c>
      <c r="LN24" s="5"/>
      <c r="LO24" s="5"/>
      <c r="LX24" s="2"/>
      <c r="LY24" s="2"/>
      <c r="MA24" s="45">
        <v>1000</v>
      </c>
      <c r="MV24" s="5"/>
      <c r="MW24" s="5"/>
      <c r="NF24" s="2"/>
      <c r="NG24" s="2"/>
      <c r="NI24" s="45">
        <v>1000</v>
      </c>
      <c r="OD24" s="5"/>
      <c r="OE24" s="5"/>
      <c r="ON24" s="2"/>
      <c r="OO24" s="2"/>
      <c r="OQ24" s="45">
        <v>1000</v>
      </c>
      <c r="PL24" s="5"/>
      <c r="PM24" s="5"/>
      <c r="PV24" s="2"/>
      <c r="PW24" s="2"/>
      <c r="PY24" s="45">
        <v>1000</v>
      </c>
      <c r="QT24" s="5"/>
      <c r="QU24" s="5"/>
      <c r="RD24" s="2"/>
      <c r="RE24" s="2"/>
      <c r="RG24" s="45">
        <v>1000</v>
      </c>
      <c r="SB24" s="5"/>
      <c r="SC24" s="5"/>
      <c r="SL24" s="2"/>
      <c r="SM24" s="2"/>
      <c r="SO24" s="45">
        <v>1000</v>
      </c>
      <c r="TJ24" s="5"/>
      <c r="TK24" s="5"/>
      <c r="TT24" s="2"/>
      <c r="TU24" s="2"/>
      <c r="TW24" s="45">
        <v>1000</v>
      </c>
      <c r="UR24" s="5"/>
      <c r="US24" s="5"/>
      <c r="VB24" s="2"/>
      <c r="VC24" s="2"/>
      <c r="VE24" s="45">
        <v>1000</v>
      </c>
      <c r="VZ24" s="5"/>
      <c r="WA24" s="5"/>
      <c r="WJ24" s="2"/>
      <c r="WK24" s="2"/>
      <c r="WM24" s="45">
        <v>1000</v>
      </c>
    </row>
    <row r="25" spans="1:611" x14ac:dyDescent="0.2">
      <c r="B25" s="25" t="s">
        <v>43</v>
      </c>
      <c r="C25" s="2"/>
      <c r="AO25" s="28"/>
      <c r="AR25" s="28"/>
      <c r="CQ25" s="28"/>
      <c r="CT25" s="28"/>
    </row>
    <row r="26" spans="1:611" x14ac:dyDescent="0.2">
      <c r="A26" s="5"/>
      <c r="B26" s="5"/>
      <c r="C26" s="17"/>
      <c r="AK26" s="28"/>
      <c r="AL26" s="28"/>
      <c r="AM26" s="28"/>
      <c r="AN26" s="28"/>
      <c r="AO26" s="28"/>
      <c r="AR26" s="28"/>
      <c r="CM26" s="28"/>
      <c r="CN26" s="28"/>
      <c r="CO26" s="28"/>
      <c r="CP26" s="28"/>
      <c r="CQ26" s="28"/>
      <c r="CT26" s="28"/>
    </row>
    <row r="27" spans="1:611" ht="17" x14ac:dyDescent="0.2">
      <c r="A27" s="5"/>
      <c r="B27" s="5"/>
      <c r="C27" s="17"/>
      <c r="P27" s="10"/>
      <c r="Q27" s="10"/>
      <c r="AK27" s="28"/>
      <c r="AL27" s="28"/>
      <c r="AM27" s="28"/>
      <c r="AN27" s="28"/>
      <c r="AO27" s="28"/>
      <c r="AR27" s="28"/>
      <c r="CM27" s="28"/>
      <c r="CN27" s="28"/>
      <c r="CO27" s="28"/>
      <c r="CP27" s="28"/>
      <c r="CQ27" s="28"/>
      <c r="CT27" s="28"/>
    </row>
    <row r="28" spans="1:611" ht="17" x14ac:dyDescent="0.2">
      <c r="A28" s="5"/>
      <c r="B28" s="5"/>
      <c r="C28" s="17"/>
      <c r="P28" s="10"/>
      <c r="AK28" s="28"/>
      <c r="AL28" s="28"/>
      <c r="AM28" s="28"/>
      <c r="AN28" s="28"/>
      <c r="AO28" s="28"/>
      <c r="AR28" s="28"/>
      <c r="CM28" s="28"/>
      <c r="CN28" s="28"/>
      <c r="CO28" s="28"/>
      <c r="CP28" s="28"/>
      <c r="CQ28" s="28"/>
      <c r="CT28" s="28"/>
    </row>
    <row r="29" spans="1:611" ht="17" x14ac:dyDescent="0.2">
      <c r="P29" s="10"/>
      <c r="Q29" s="10"/>
      <c r="AK29" s="28"/>
      <c r="AL29" s="28"/>
      <c r="AM29" s="28"/>
      <c r="AN29" s="28"/>
      <c r="AO29" s="28"/>
      <c r="AR29" s="28"/>
      <c r="CM29" s="28"/>
      <c r="CN29" s="28"/>
      <c r="CO29" s="28"/>
      <c r="CP29" s="28"/>
      <c r="CQ29" s="28"/>
      <c r="CT29" s="28"/>
    </row>
    <row r="30" spans="1:611" ht="17" x14ac:dyDescent="0.2">
      <c r="P30" s="10"/>
      <c r="Q30" s="10"/>
      <c r="AK30" s="28"/>
      <c r="AL30" s="28"/>
      <c r="AM30" s="28"/>
      <c r="AN30" s="28"/>
      <c r="AO30" s="28"/>
      <c r="AR30" s="28"/>
      <c r="CM30" s="28"/>
      <c r="CN30" s="28"/>
      <c r="CO30" s="28"/>
      <c r="CP30" s="28"/>
      <c r="CQ30" s="28"/>
      <c r="CT30" s="28"/>
    </row>
    <row r="31" spans="1:611" ht="17" x14ac:dyDescent="0.2">
      <c r="P31" s="10"/>
      <c r="Q31" s="10"/>
      <c r="AK31" s="28"/>
      <c r="AL31" s="28"/>
      <c r="AM31" s="28"/>
      <c r="AN31" s="28"/>
      <c r="AO31" s="28"/>
      <c r="AR31" s="28"/>
      <c r="CM31" s="28"/>
      <c r="CN31" s="28"/>
      <c r="CO31" s="28"/>
      <c r="CP31" s="28"/>
      <c r="CQ31" s="28"/>
      <c r="CT31" s="28"/>
    </row>
    <row r="32" spans="1:611" ht="17" x14ac:dyDescent="0.2">
      <c r="P32" s="10"/>
      <c r="Q32" s="10"/>
      <c r="R32" s="10"/>
    </row>
    <row r="33" spans="16:18" ht="17" x14ac:dyDescent="0.2">
      <c r="P33" s="10"/>
      <c r="Q33" s="10"/>
      <c r="R33" s="10"/>
    </row>
    <row r="34" spans="16:18" ht="17" x14ac:dyDescent="0.2">
      <c r="P34" s="10"/>
      <c r="Q34" s="10"/>
      <c r="R34" s="10"/>
    </row>
    <row r="35" spans="16:18" ht="17" x14ac:dyDescent="0.2">
      <c r="P35" s="10"/>
      <c r="Q35" s="10"/>
      <c r="R35" s="10"/>
    </row>
    <row r="36" spans="16:18" ht="17" x14ac:dyDescent="0.2">
      <c r="P36" s="10"/>
      <c r="Q36" s="10"/>
      <c r="R36" s="10"/>
    </row>
    <row r="37" spans="16:18" ht="17" x14ac:dyDescent="0.2">
      <c r="P37" s="10"/>
      <c r="Q37" s="10"/>
      <c r="R37" s="10"/>
    </row>
    <row r="38" spans="16:18" ht="17" x14ac:dyDescent="0.2">
      <c r="P38" s="10"/>
      <c r="Q38" s="10"/>
      <c r="R38" s="10"/>
    </row>
    <row r="39" spans="16:18" ht="17" x14ac:dyDescent="0.2">
      <c r="P39" s="10"/>
      <c r="Q39" s="10"/>
      <c r="R39" s="10"/>
    </row>
    <row r="40" spans="16:18" ht="17" x14ac:dyDescent="0.2">
      <c r="P40" s="10"/>
      <c r="Q40" s="10"/>
      <c r="R40" s="10"/>
    </row>
    <row r="41" spans="16:18" ht="17" x14ac:dyDescent="0.2">
      <c r="P41" s="10"/>
      <c r="Q41" s="10"/>
      <c r="R41" s="10"/>
    </row>
    <row r="42" spans="16:18" ht="17" x14ac:dyDescent="0.2">
      <c r="P42" s="10"/>
      <c r="Q42" s="10"/>
      <c r="R42" s="10"/>
    </row>
    <row r="43" spans="16:18" ht="17" x14ac:dyDescent="0.2">
      <c r="P43" s="10"/>
      <c r="Q43" s="10"/>
      <c r="R43" s="10"/>
    </row>
    <row r="44" spans="16:18" ht="17" x14ac:dyDescent="0.2">
      <c r="P44" s="10"/>
      <c r="Q44" s="10"/>
      <c r="R44" s="10"/>
    </row>
    <row r="45" spans="16:18" ht="17" x14ac:dyDescent="0.2">
      <c r="P45" s="10"/>
      <c r="Q45" s="10"/>
      <c r="R45" s="10"/>
    </row>
    <row r="46" spans="16:18" ht="17" x14ac:dyDescent="0.2">
      <c r="P46" s="10"/>
      <c r="Q46" s="10"/>
      <c r="R46" s="10"/>
    </row>
  </sheetData>
  <sheetProtection sheet="1" formatCells="0" formatColumns="0" formatRows="0"/>
  <autoFilter ref="A1:WM1" xr:uid="{00000000-0001-0000-0100-000000000000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sortState xmlns:xlrd2="http://schemas.microsoft.com/office/spreadsheetml/2017/richdata2" ref="A6:WM15">
      <sortCondition descending="1" ref="F1:F16"/>
    </sortState>
  </autoFilter>
  <mergeCells count="106">
    <mergeCell ref="UH2:UL2"/>
    <mergeCell ref="UM2:UQ2"/>
    <mergeCell ref="VF2:VJ2"/>
    <mergeCell ref="VK2:VO2"/>
    <mergeCell ref="VP2:VT2"/>
    <mergeCell ref="VU2:VY2"/>
    <mergeCell ref="SP2:ST2"/>
    <mergeCell ref="SU2:SY2"/>
    <mergeCell ref="SZ2:TD2"/>
    <mergeCell ref="TE2:TI2"/>
    <mergeCell ref="TX2:UB2"/>
    <mergeCell ref="UC2:UG2"/>
    <mergeCell ref="QJ2:QN2"/>
    <mergeCell ref="QO2:QS2"/>
    <mergeCell ref="RH2:RL2"/>
    <mergeCell ref="RM2:RQ2"/>
    <mergeCell ref="RR2:RV2"/>
    <mergeCell ref="RW2:SA2"/>
    <mergeCell ref="OR2:OV2"/>
    <mergeCell ref="OW2:PA2"/>
    <mergeCell ref="PB2:PF2"/>
    <mergeCell ref="PG2:PK2"/>
    <mergeCell ref="PZ2:QD2"/>
    <mergeCell ref="QE2:QI2"/>
    <mergeCell ref="ML2:MP2"/>
    <mergeCell ref="MQ2:MU2"/>
    <mergeCell ref="NJ2:NN2"/>
    <mergeCell ref="NO2:NS2"/>
    <mergeCell ref="NT2:NX2"/>
    <mergeCell ref="NY2:OC2"/>
    <mergeCell ref="KT2:KX2"/>
    <mergeCell ref="KY2:LC2"/>
    <mergeCell ref="LD2:LH2"/>
    <mergeCell ref="LI2:LM2"/>
    <mergeCell ref="MB2:MF2"/>
    <mergeCell ref="MG2:MK2"/>
    <mergeCell ref="IN2:IR2"/>
    <mergeCell ref="IS2:IW2"/>
    <mergeCell ref="JL2:JP2"/>
    <mergeCell ref="JQ2:JU2"/>
    <mergeCell ref="JV2:JZ2"/>
    <mergeCell ref="KA2:KE2"/>
    <mergeCell ref="GV2:GZ2"/>
    <mergeCell ref="HA2:HE2"/>
    <mergeCell ref="HF2:HJ2"/>
    <mergeCell ref="HK2:HO2"/>
    <mergeCell ref="ID2:IH2"/>
    <mergeCell ref="II2:IM2"/>
    <mergeCell ref="FN2:FR2"/>
    <mergeCell ref="FS2:FW2"/>
    <mergeCell ref="FX2:GB2"/>
    <mergeCell ref="GC2:GG2"/>
    <mergeCell ref="CX2:DB2"/>
    <mergeCell ref="DC2:DG2"/>
    <mergeCell ref="DH2:DL2"/>
    <mergeCell ref="DM2:DQ2"/>
    <mergeCell ref="EF2:EJ2"/>
    <mergeCell ref="EK2:EO2"/>
    <mergeCell ref="VF1:WM1"/>
    <mergeCell ref="S2:W2"/>
    <mergeCell ref="X2:AB2"/>
    <mergeCell ref="AC2:AG2"/>
    <mergeCell ref="AT2:AX2"/>
    <mergeCell ref="AY2:BC2"/>
    <mergeCell ref="BD2:BH2"/>
    <mergeCell ref="BU2:BY2"/>
    <mergeCell ref="BZ2:CD2"/>
    <mergeCell ref="CE2:CI2"/>
    <mergeCell ref="NJ1:OQ1"/>
    <mergeCell ref="OR1:PY1"/>
    <mergeCell ref="PZ1:RG1"/>
    <mergeCell ref="RH1:SO1"/>
    <mergeCell ref="SP1:TW1"/>
    <mergeCell ref="TX1:VE1"/>
    <mergeCell ref="FN1:GU1"/>
    <mergeCell ref="GV1:IC1"/>
    <mergeCell ref="ID1:JK1"/>
    <mergeCell ref="JL1:KS1"/>
    <mergeCell ref="KT1:MA1"/>
    <mergeCell ref="MB1:NI1"/>
    <mergeCell ref="S1:AS1"/>
    <mergeCell ref="AT1:BT1"/>
    <mergeCell ref="BU1:CU1"/>
    <mergeCell ref="CV1:CW1"/>
    <mergeCell ref="CX1:EE1"/>
    <mergeCell ref="EF1:FM1"/>
    <mergeCell ref="M1:M3"/>
    <mergeCell ref="N1:N3"/>
    <mergeCell ref="O1:O3"/>
    <mergeCell ref="P1:P3"/>
    <mergeCell ref="Q1:Q3"/>
    <mergeCell ref="R1:R3"/>
    <mergeCell ref="EP2:ET2"/>
    <mergeCell ref="EU2:EY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827" priority="129" operator="containsText" text="No DD">
      <formula>NOT(ISERROR(SEARCH("No DD",H1)))</formula>
    </cfRule>
    <cfRule type="containsText" dxfId="826" priority="130" operator="containsText" text="Merit">
      <formula>NOT(ISERROR(SEARCH("Merit",H1)))</formula>
    </cfRule>
    <cfRule type="containsText" dxfId="825" priority="131" operator="containsText" text="Excellence">
      <formula>NOT(ISERROR(SEARCH("Excellence",H1)))</formula>
    </cfRule>
    <cfRule type="containsText" dxfId="824" priority="132" operator="containsText" text="Worlds Team">
      <formula>NOT(ISERROR(SEARCH("Worlds Team",H1)))</formula>
    </cfRule>
    <cfRule type="containsText" dxfId="823" priority="133" operator="containsText" text="National Team">
      <formula>NOT(ISERROR(SEARCH("National Team",H1)))</formula>
    </cfRule>
  </conditionalFormatting>
  <conditionalFormatting sqref="S4:AS14">
    <cfRule type="expression" dxfId="822" priority="91" stopIfTrue="1">
      <formula>IF($AH4&lt;&gt;"",1,0)</formula>
    </cfRule>
  </conditionalFormatting>
  <conditionalFormatting sqref="AT4:BT14">
    <cfRule type="expression" dxfId="821" priority="123" stopIfTrue="1">
      <formula>IF($BI4&lt;&gt;"",1,0)</formula>
    </cfRule>
  </conditionalFormatting>
  <conditionalFormatting sqref="BU4:CU14">
    <cfRule type="expression" dxfId="820" priority="119" stopIfTrue="1">
      <formula>IF($CJ4&lt;&gt;"",1,0)</formula>
    </cfRule>
  </conditionalFormatting>
  <conditionalFormatting sqref="BQ25:BQ1048576 BJ1:BJ1048576 BM1:BM1048576 BQ1:BQ23">
    <cfRule type="cellIs" dxfId="819" priority="124" operator="between">
      <formula>$BT$20</formula>
      <formula>1000</formula>
    </cfRule>
    <cfRule type="cellIs" dxfId="818" priority="125" operator="between">
      <formula>$BT$19</formula>
      <formula>$BT$20</formula>
    </cfRule>
    <cfRule type="cellIs" dxfId="817" priority="126" operator="between">
      <formula>$BT$18</formula>
      <formula>$BT$19</formula>
    </cfRule>
    <cfRule type="cellIs" dxfId="816" priority="128" operator="between">
      <formula>$BT$17</formula>
      <formula>$BT$18</formula>
    </cfRule>
  </conditionalFormatting>
  <conditionalFormatting sqref="CR25:CR1048576 CK1:CK1048576 CN1:CN1048576 CR1:CR23">
    <cfRule type="cellIs" dxfId="815" priority="120" operator="between">
      <formula>$CU$20</formula>
      <formula>1000</formula>
    </cfRule>
    <cfRule type="cellIs" dxfId="814" priority="121" operator="between">
      <formula>$CU$19</formula>
      <formula>$CU$20</formula>
    </cfRule>
    <cfRule type="cellIs" dxfId="813" priority="122" operator="between">
      <formula>$CU$18</formula>
      <formula>$CU$19</formula>
    </cfRule>
    <cfRule type="cellIs" dxfId="812" priority="127" operator="between">
      <formula>$CU$17</formula>
      <formula>$CU$18</formula>
    </cfRule>
  </conditionalFormatting>
  <conditionalFormatting sqref="EB25:EB1048576 DR1:DR1048576 DU1:DU1048576 DY1:DY1048576 EB1:EB23">
    <cfRule type="cellIs" dxfId="811" priority="118" operator="between">
      <formula>$EE$17</formula>
      <formula>$EE$18</formula>
    </cfRule>
  </conditionalFormatting>
  <conditionalFormatting sqref="FJ25:FJ1048576 EZ1:EZ1048576 FC1:FC1048576 FG1:FG1048576 FJ1:FJ23">
    <cfRule type="cellIs" dxfId="810" priority="117" operator="between">
      <formula>$FM$17</formula>
      <formula>$FM$18</formula>
    </cfRule>
  </conditionalFormatting>
  <conditionalFormatting sqref="HZ25:HZ1048576 HP1:HP1048576 HS1:HS1048576 HW1:HW1048576 HZ1:HZ23">
    <cfRule type="cellIs" dxfId="809" priority="116" operator="between">
      <formula>$IC$17</formula>
      <formula>$IC$18</formula>
    </cfRule>
  </conditionalFormatting>
  <conditionalFormatting sqref="AQ24 AI1:AI1048576 AL1:AL1048576 AP1:AP1048576">
    <cfRule type="cellIs" dxfId="808" priority="112" operator="between">
      <formula>$AS$20</formula>
      <formula>1000</formula>
    </cfRule>
    <cfRule type="cellIs" dxfId="807" priority="113" operator="between">
      <formula>$AS$19</formula>
      <formula>$AS$20</formula>
    </cfRule>
    <cfRule type="cellIs" dxfId="806" priority="114" operator="between">
      <formula>$AS$18</formula>
      <formula>$AS$19</formula>
    </cfRule>
    <cfRule type="cellIs" dxfId="805" priority="115" operator="between">
      <formula>$AS$17</formula>
      <formula>$AS$18</formula>
    </cfRule>
  </conditionalFormatting>
  <conditionalFormatting sqref="BQ24">
    <cfRule type="cellIs" dxfId="804" priority="108" operator="between">
      <formula>$AS$20</formula>
      <formula>1000</formula>
    </cfRule>
    <cfRule type="cellIs" dxfId="803" priority="109" operator="between">
      <formula>$AS$19</formula>
      <formula>$AS$20</formula>
    </cfRule>
    <cfRule type="cellIs" dxfId="802" priority="110" operator="between">
      <formula>$AS$18</formula>
      <formula>$AS$19</formula>
    </cfRule>
    <cfRule type="cellIs" dxfId="801" priority="111" operator="between">
      <formula>$AS$17</formula>
      <formula>$AS$18</formula>
    </cfRule>
  </conditionalFormatting>
  <conditionalFormatting sqref="CR24">
    <cfRule type="cellIs" dxfId="800" priority="104" operator="between">
      <formula>$AS$20</formula>
      <formula>1000</formula>
    </cfRule>
    <cfRule type="cellIs" dxfId="799" priority="105" operator="between">
      <formula>$AS$19</formula>
      <formula>$AS$20</formula>
    </cfRule>
    <cfRule type="cellIs" dxfId="798" priority="106" operator="between">
      <formula>$AS$18</formula>
      <formula>$AS$19</formula>
    </cfRule>
    <cfRule type="cellIs" dxfId="797" priority="107" operator="between">
      <formula>$AS$17</formula>
      <formula>$AS$18</formula>
    </cfRule>
  </conditionalFormatting>
  <conditionalFormatting sqref="EB24">
    <cfRule type="cellIs" dxfId="796" priority="100" operator="between">
      <formula>$AS$20</formula>
      <formula>1000</formula>
    </cfRule>
    <cfRule type="cellIs" dxfId="795" priority="101" operator="between">
      <formula>$AS$19</formula>
      <formula>$AS$20</formula>
    </cfRule>
    <cfRule type="cellIs" dxfId="794" priority="102" operator="between">
      <formula>$AS$18</formula>
      <formula>$AS$19</formula>
    </cfRule>
    <cfRule type="cellIs" dxfId="793" priority="103" operator="between">
      <formula>$AS$17</formula>
      <formula>$AS$18</formula>
    </cfRule>
  </conditionalFormatting>
  <conditionalFormatting sqref="FJ24">
    <cfRule type="cellIs" dxfId="792" priority="96" operator="between">
      <formula>$AS$20</formula>
      <formula>1000</formula>
    </cfRule>
    <cfRule type="cellIs" dxfId="791" priority="97" operator="between">
      <formula>$AS$19</formula>
      <formula>$AS$20</formula>
    </cfRule>
    <cfRule type="cellIs" dxfId="790" priority="98" operator="between">
      <formula>$AS$18</formula>
      <formula>$AS$19</formula>
    </cfRule>
    <cfRule type="cellIs" dxfId="789" priority="99" operator="between">
      <formula>$AS$17</formula>
      <formula>$AS$18</formula>
    </cfRule>
  </conditionalFormatting>
  <conditionalFormatting sqref="HZ24">
    <cfRule type="cellIs" dxfId="788" priority="92" operator="between">
      <formula>$AS$20</formula>
      <formula>1000</formula>
    </cfRule>
    <cfRule type="cellIs" dxfId="787" priority="93" operator="between">
      <formula>$AS$19</formula>
      <formula>$AS$20</formula>
    </cfRule>
    <cfRule type="cellIs" dxfId="786" priority="94" operator="between">
      <formula>$AS$18</formula>
      <formula>$AS$19</formula>
    </cfRule>
    <cfRule type="cellIs" dxfId="785" priority="95" operator="between">
      <formula>$AS$17</formula>
      <formula>$AS$18</formula>
    </cfRule>
  </conditionalFormatting>
  <conditionalFormatting sqref="O1:O1048576 K1:K1048576 M1:M1048576">
    <cfRule type="expression" dxfId="784" priority="88" stopIfTrue="1">
      <formula>IF(K1=$BU$1,1,0)</formula>
    </cfRule>
    <cfRule type="expression" dxfId="783" priority="89">
      <formula>IF(K1=$AT$1,1,0)</formula>
    </cfRule>
    <cfRule type="expression" dxfId="782" priority="90">
      <formula>IF(K1=$S$1,1,0)</formula>
    </cfRule>
  </conditionalFormatting>
  <conditionalFormatting sqref="A4:A1048576">
    <cfRule type="expression" dxfId="781" priority="86">
      <formula>AND(G4&lt;&gt;"",F4="")</formula>
    </cfRule>
    <cfRule type="expression" dxfId="780" priority="87">
      <formula>IF(A4&gt;8,1,0)</formula>
    </cfRule>
  </conditionalFormatting>
  <conditionalFormatting sqref="CP1:CP1048576 AN1:AN1048576">
    <cfRule type="cellIs" dxfId="779" priority="178980" operator="between">
      <formula>AS$24</formula>
      <formula>1000</formula>
    </cfRule>
    <cfRule type="cellIs" dxfId="778" priority="178981" operator="between">
      <formula>AS$23</formula>
      <formula>AS$24</formula>
    </cfRule>
  </conditionalFormatting>
  <conditionalFormatting sqref="DW1:DW1048576 FE1:FE1048576 GM1:GM1048576 HU1:HU1048576 JC1:JC1048576 KK1:KK1048576 LS1:LS1048576 NA1:NA1048576 OI1:OI1048576 PQ1:PQ1048576 QY1:QY1048576 SG1:SG1048576 TO1:TO24 UW1:UW24 WE1:WE24">
    <cfRule type="cellIs" dxfId="777" priority="178992" operator="between">
      <formula>EE$24</formula>
      <formula>1000</formula>
    </cfRule>
    <cfRule type="cellIs" dxfId="776" priority="178993" operator="between">
      <formula>EE$23</formula>
      <formula>EE$24</formula>
    </cfRule>
  </conditionalFormatting>
  <conditionalFormatting sqref="AK1:AK1048576 AN1:AN1048576 AR1:AR1048576">
    <cfRule type="cellIs" dxfId="775" priority="179076" operator="between">
      <formula>$AS$24</formula>
      <formula>1000</formula>
    </cfRule>
    <cfRule type="cellIs" dxfId="774" priority="179077" operator="between">
      <formula>$AS$23</formula>
      <formula>$AS$24</formula>
    </cfRule>
    <cfRule type="cellIs" dxfId="773" priority="179078" operator="between">
      <formula>$AS$22</formula>
      <formula>$AS$23</formula>
    </cfRule>
    <cfRule type="cellIs" dxfId="772" priority="179079" operator="between">
      <formula>$AS$21</formula>
      <formula>$AS$22</formula>
    </cfRule>
  </conditionalFormatting>
  <conditionalFormatting sqref="BL1:BL1048576 BO1:BO1048576 BS1:BS1048576">
    <cfRule type="cellIs" dxfId="771" priority="179112" operator="between">
      <formula>$BT$24</formula>
      <formula>1000</formula>
    </cfRule>
    <cfRule type="cellIs" dxfId="770" priority="179113" operator="between">
      <formula>$BT$23</formula>
      <formula>$BT$24</formula>
    </cfRule>
    <cfRule type="cellIs" dxfId="769" priority="179114" operator="between">
      <formula>$BT$22</formula>
      <formula>$BT$23</formula>
    </cfRule>
    <cfRule type="cellIs" dxfId="768" priority="179115" operator="between">
      <formula>$BT$21</formula>
      <formula>$BT$22</formula>
    </cfRule>
  </conditionalFormatting>
  <conditionalFormatting sqref="CM1:CM1048576 CP1:CP1048576 CT1:CT1048576">
    <cfRule type="cellIs" dxfId="767" priority="179148" operator="between">
      <formula>$CU$24</formula>
      <formula>1000</formula>
    </cfRule>
    <cfRule type="cellIs" dxfId="766" priority="179149" operator="between">
      <formula>$CU$23</formula>
      <formula>$CU$24</formula>
    </cfRule>
    <cfRule type="cellIs" dxfId="765" priority="179150" operator="between">
      <formula>$CU$22</formula>
      <formula>$CU$23</formula>
    </cfRule>
    <cfRule type="cellIs" dxfId="764" priority="179151" operator="between">
      <formula>$CU$21</formula>
      <formula>$CU$22</formula>
    </cfRule>
  </conditionalFormatting>
  <conditionalFormatting sqref="MV1:MV1048576 MY1:MY1048576 NC1:NC1048576 NF1:NF1048576">
    <cfRule type="cellIs" dxfId="763" priority="179184" operator="between">
      <formula>$NI$17</formula>
      <formula>$NI$18</formula>
    </cfRule>
  </conditionalFormatting>
  <conditionalFormatting sqref="DT1:DT1048576 DW1:DW1048576 EA1:EA1048576 ED1:ED1048576">
    <cfRule type="cellIs" dxfId="762" priority="179196" operator="between">
      <formula>$EE$24</formula>
      <formula>1000</formula>
    </cfRule>
    <cfRule type="cellIs" dxfId="761" priority="179197" operator="between">
      <formula>$EE$23</formula>
      <formula>$EE$24</formula>
    </cfRule>
    <cfRule type="cellIs" dxfId="760" priority="179198" operator="between">
      <formula>$EE$22</formula>
      <formula>$EE$23</formula>
    </cfRule>
    <cfRule type="cellIs" dxfId="759" priority="179199" operator="between">
      <formula>$EE$21</formula>
      <formula>$EE$22</formula>
    </cfRule>
  </conditionalFormatting>
  <conditionalFormatting sqref="FB1:FB1048576 FE1:FE1048576 FI1:FI1048576 FL1:FL1048576">
    <cfRule type="cellIs" dxfId="758" priority="179244" operator="between">
      <formula>$FM$24</formula>
      <formula>1000</formula>
    </cfRule>
    <cfRule type="cellIs" dxfId="757" priority="179245" operator="between">
      <formula>$FM$23</formula>
      <formula>$FM$24</formula>
    </cfRule>
    <cfRule type="cellIs" dxfId="756" priority="179246" operator="between">
      <formula>$FM$22</formula>
      <formula>$FM$23</formula>
    </cfRule>
    <cfRule type="cellIs" dxfId="755" priority="179247" operator="between">
      <formula>$FM$21</formula>
      <formula>$FM$22</formula>
    </cfRule>
  </conditionalFormatting>
  <conditionalFormatting sqref="GH1:GH1048576 GK1:GK1048576 GO1:GO1048576 GR1:GR1048576">
    <cfRule type="cellIs" dxfId="754" priority="179292" stopIfTrue="1" operator="between">
      <formula>$GU$18</formula>
      <formula>1000</formula>
    </cfRule>
    <cfRule type="cellIs" dxfId="753" priority="179293" operator="between">
      <formula>$GU$17</formula>
      <formula>$GU$18</formula>
    </cfRule>
  </conditionalFormatting>
  <conditionalFormatting sqref="GJ1:GJ1048576 GM1:GM1048576 GQ1:GQ1048576 GT1:GT1048576">
    <cfRule type="cellIs" dxfId="752" priority="179316" operator="between">
      <formula>$GU$24</formula>
      <formula>1000</formula>
    </cfRule>
    <cfRule type="cellIs" dxfId="751" priority="179317" operator="between">
      <formula>$GU$23</formula>
      <formula>$GU$24</formula>
    </cfRule>
    <cfRule type="cellIs" dxfId="750" priority="179318" operator="between">
      <formula>$GU$22</formula>
      <formula>$GU$23</formula>
    </cfRule>
    <cfRule type="cellIs" dxfId="749" priority="179319" operator="between">
      <formula>$GU$21</formula>
      <formula>$GU$22</formula>
    </cfRule>
  </conditionalFormatting>
  <conditionalFormatting sqref="HR1:HR1048576 HU1:HU1048576 HY1:HY1048576 IB1:IB1048576">
    <cfRule type="cellIs" dxfId="748" priority="179364" operator="between">
      <formula>$IC$24</formula>
      <formula>1000</formula>
    </cfRule>
    <cfRule type="cellIs" dxfId="747" priority="179365" operator="between">
      <formula>$IC$23</formula>
      <formula>$IC$24</formula>
    </cfRule>
    <cfRule type="cellIs" dxfId="746" priority="179366" operator="between">
      <formula>$IC$22</formula>
      <formula>$IC$23</formula>
    </cfRule>
    <cfRule type="cellIs" dxfId="745" priority="179367" operator="between">
      <formula>$IC$21</formula>
      <formula>$IC$22</formula>
    </cfRule>
  </conditionalFormatting>
  <conditionalFormatting sqref="IX1:IX1048576 JA1:JA1048576 JE1:JE1048576 JH1:JH1048576">
    <cfRule type="cellIs" dxfId="744" priority="179412" stopIfTrue="1" operator="between">
      <formula>$JK$18</formula>
      <formula>1000</formula>
    </cfRule>
    <cfRule type="cellIs" dxfId="743" priority="179413" operator="between">
      <formula>$JK$17</formula>
      <formula>$JK$18</formula>
    </cfRule>
  </conditionalFormatting>
  <conditionalFormatting sqref="IZ1:IZ1048576 JC1:JC1048576 JG1:JG1048576 JJ1:JJ1048576">
    <cfRule type="cellIs" dxfId="742" priority="179436" operator="between">
      <formula>$JK$24</formula>
      <formula>1000</formula>
    </cfRule>
    <cfRule type="cellIs" dxfId="741" priority="179437" operator="between">
      <formula>$JK$23</formula>
      <formula>$JK$24</formula>
    </cfRule>
    <cfRule type="cellIs" dxfId="740" priority="179438" operator="between">
      <formula>$JK$22</formula>
      <formula>$JK$23</formula>
    </cfRule>
    <cfRule type="cellIs" dxfId="739" priority="179439" operator="between">
      <formula>$JK$21</formula>
      <formula>$JK$22</formula>
    </cfRule>
  </conditionalFormatting>
  <conditionalFormatting sqref="KF1:KF1048576 KI1:KI1048576 KM1:KM1048576 KP1:KP1048576">
    <cfRule type="cellIs" dxfId="738" priority="179484" stopIfTrue="1" operator="between">
      <formula>$KS$18</formula>
      <formula>1000</formula>
    </cfRule>
    <cfRule type="cellIs" dxfId="737" priority="179485" operator="between">
      <formula>$KS$17</formula>
      <formula>$KS$18</formula>
    </cfRule>
  </conditionalFormatting>
  <conditionalFormatting sqref="KH1:KH1048576 KK1:KK1048576 KO1:KO1048576 KR1:KR1048576">
    <cfRule type="cellIs" dxfId="736" priority="179508" operator="between">
      <formula>$KS$24</formula>
      <formula>1000</formula>
    </cfRule>
    <cfRule type="cellIs" dxfId="735" priority="179509" operator="between">
      <formula>$KS$23</formula>
      <formula>$KS$24</formula>
    </cfRule>
    <cfRule type="cellIs" dxfId="734" priority="179510" operator="between">
      <formula>$KS$22</formula>
      <formula>$KS$23</formula>
    </cfRule>
    <cfRule type="cellIs" dxfId="733" priority="179511" operator="between">
      <formula>$KS$21</formula>
      <formula>$KS$22</formula>
    </cfRule>
  </conditionalFormatting>
  <conditionalFormatting sqref="LN1:LN1048576 LQ1:LQ1048576 LU1:LU1048576 LX1:LX1048576">
    <cfRule type="cellIs" dxfId="732" priority="179556" stopIfTrue="1" operator="between">
      <formula>$MA$18</formula>
      <formula>1000</formula>
    </cfRule>
    <cfRule type="cellIs" dxfId="731" priority="179557" operator="between">
      <formula>$MA$17</formula>
      <formula>$MA$18</formula>
    </cfRule>
  </conditionalFormatting>
  <conditionalFormatting sqref="LP1:LP1048576 LS1:LS1048576 LW1:LW1048576 LZ1:LZ1048576">
    <cfRule type="cellIs" dxfId="730" priority="179580" operator="between">
      <formula>$MA$24</formula>
      <formula>1000</formula>
    </cfRule>
    <cfRule type="cellIs" dxfId="729" priority="179581" operator="between">
      <formula>$MA$23</formula>
      <formula>$MA$24</formula>
    </cfRule>
    <cfRule type="cellIs" dxfId="728" priority="179582" operator="between">
      <formula>$MA$22</formula>
      <formula>$MA$23</formula>
    </cfRule>
    <cfRule type="cellIs" dxfId="727" priority="179583" operator="between">
      <formula>$MA$21</formula>
      <formula>$MA$22</formula>
    </cfRule>
  </conditionalFormatting>
  <conditionalFormatting sqref="MV1:MV1048576 MY1:MY1048576 NC1:NC1048576">
    <cfRule type="cellIs" dxfId="726" priority="179628" operator="between">
      <formula>$NI$18</formula>
      <formula>1000</formula>
    </cfRule>
  </conditionalFormatting>
  <conditionalFormatting sqref="MX1:MX1048576 NA1:NA1048576 NE1:NE1048576 NH1:NH1048576">
    <cfRule type="cellIs" dxfId="725" priority="179637" operator="between">
      <formula>$NI$24</formula>
      <formula>1000</formula>
    </cfRule>
    <cfRule type="cellIs" dxfId="724" priority="179638" operator="between">
      <formula>$NI$23</formula>
      <formula>$NI$24</formula>
    </cfRule>
    <cfRule type="cellIs" dxfId="723" priority="179639" operator="between">
      <formula>$NI$22</formula>
      <formula>$NI$23</formula>
    </cfRule>
    <cfRule type="cellIs" dxfId="722" priority="179640" operator="between">
      <formula>$NI$21</formula>
      <formula>$NI$22</formula>
    </cfRule>
  </conditionalFormatting>
  <conditionalFormatting sqref="OD1:OD1048576 OG1:OG1048576 OK1:OK1048576 ON1:ON1048576">
    <cfRule type="cellIs" dxfId="721" priority="179685" stopIfTrue="1" operator="between">
      <formula>$OQ$18</formula>
      <formula>1000</formula>
    </cfRule>
    <cfRule type="cellIs" dxfId="720" priority="179686" operator="between">
      <formula>$OQ$17</formula>
      <formula>$OQ$18</formula>
    </cfRule>
  </conditionalFormatting>
  <conditionalFormatting sqref="OF1:OF1048576 OI1:OI1048576 OM1:OM1048576 OP1:OP1048576">
    <cfRule type="cellIs" dxfId="719" priority="179709" operator="between">
      <formula>$OQ$24</formula>
      <formula>1000</formula>
    </cfRule>
    <cfRule type="cellIs" dxfId="718" priority="179710" operator="between">
      <formula>$OQ$23</formula>
      <formula>$OQ$24</formula>
    </cfRule>
    <cfRule type="cellIs" dxfId="717" priority="179711" operator="between">
      <formula>$OQ$22</formula>
      <formula>$OQ$23</formula>
    </cfRule>
    <cfRule type="cellIs" dxfId="716" priority="179712" operator="between">
      <formula>$OQ$21</formula>
      <formula>$OQ$22</formula>
    </cfRule>
  </conditionalFormatting>
  <conditionalFormatting sqref="PL1:PL1048576 PO1:PO1048576 PS1:PS1048576 PV1:PV1048576">
    <cfRule type="cellIs" dxfId="715" priority="179757" stopIfTrue="1" operator="between">
      <formula>$PY$18</formula>
      <formula>1000</formula>
    </cfRule>
    <cfRule type="cellIs" dxfId="714" priority="179758" operator="between">
      <formula>$PY$17</formula>
      <formula>$PY$18</formula>
    </cfRule>
  </conditionalFormatting>
  <conditionalFormatting sqref="PN1:PN1048576 PQ1:PQ1048576 PU1:PU1048576 PX1:PX1048576">
    <cfRule type="cellIs" dxfId="713" priority="179781" operator="between">
      <formula>$PY$24</formula>
      <formula>1000</formula>
    </cfRule>
    <cfRule type="cellIs" dxfId="712" priority="179782" operator="between">
      <formula>$PY$23</formula>
      <formula>$PY$24</formula>
    </cfRule>
    <cfRule type="cellIs" dxfId="711" priority="179783" operator="between">
      <formula>$PY$22</formula>
      <formula>$PY$23</formula>
    </cfRule>
    <cfRule type="cellIs" dxfId="710" priority="179784" operator="between">
      <formula>$PY$21</formula>
      <formula>$PY$22</formula>
    </cfRule>
  </conditionalFormatting>
  <conditionalFormatting sqref="QT1:QT1048576 QW1:QW1048576 RA1:RA1048576 RD1:RD1048576">
    <cfRule type="cellIs" dxfId="709" priority="179829" stopIfTrue="1" operator="between">
      <formula>$RG$18</formula>
      <formula>1000</formula>
    </cfRule>
    <cfRule type="cellIs" dxfId="708" priority="179830" operator="between">
      <formula>$RG$17</formula>
      <formula>$RG$18</formula>
    </cfRule>
  </conditionalFormatting>
  <conditionalFormatting sqref="QV1:QV1048576 QY1:QY1048576 RC1:RC1048576 RF1:RF1048576">
    <cfRule type="cellIs" dxfId="707" priority="179853" operator="between">
      <formula>$RG$24</formula>
      <formula>1000</formula>
    </cfRule>
    <cfRule type="cellIs" dxfId="706" priority="179854" operator="between">
      <formula>$RG$23</formula>
      <formula>$RG$24</formula>
    </cfRule>
    <cfRule type="cellIs" dxfId="705" priority="179855" operator="between">
      <formula>$RG$22</formula>
      <formula>$RG$23</formula>
    </cfRule>
    <cfRule type="cellIs" dxfId="704" priority="179856" operator="between">
      <formula>$RG$21</formula>
      <formula>$RG$22</formula>
    </cfRule>
  </conditionalFormatting>
  <conditionalFormatting sqref="SB1:SB1048576 SE1:SE1048576 SI1:SI1048576 SL1:SL1048576 TJ1:TJ24 TM1:TM24 TQ1:TQ24 TT1:TT24 UR1:UR24 UU1:UU24 UY1:UY24 VB1:VB24 VZ1:VZ24 WC1:WC24 WG1:WG24 WJ1:WJ24">
    <cfRule type="cellIs" dxfId="703" priority="179901" operator="between">
      <formula>$SO$18</formula>
      <formula>1000</formula>
    </cfRule>
    <cfRule type="cellIs" dxfId="702" priority="179902" operator="between">
      <formula>$SO$17</formula>
      <formula>$SO$18</formula>
    </cfRule>
  </conditionalFormatting>
  <conditionalFormatting sqref="SD1:SD1048576 SG1:SG1048576 SK1:SK1048576 SN1:SN1048576 TL1:TL24 TO1:TO24 TS1:TS24 TV1:TV24 UT1:UT24 UW1:UW24 VA1:VA24 VD1:VD24 WB1:WB24 WE1:WE24 WI1:WI24 WL1:WL24">
    <cfRule type="cellIs" dxfId="701" priority="179973" operator="between">
      <formula>$SO$24</formula>
      <formula>1000</formula>
    </cfRule>
    <cfRule type="cellIs" dxfId="700" priority="179974" operator="between">
      <formula>$SO$23</formula>
      <formula>$SO$24</formula>
    </cfRule>
    <cfRule type="cellIs" dxfId="699" priority="179975" operator="between">
      <formula>$SO$22</formula>
      <formula>$SO$23</formula>
    </cfRule>
    <cfRule type="cellIs" dxfId="698" priority="179976" operator="between">
      <formula>$SO$21</formula>
      <formula>$SO$22</formula>
    </cfRule>
  </conditionalFormatting>
  <conditionalFormatting sqref="EB1:EB1048576 DR1:DR1048576 DU1:DU1048576 DY1:DY1048576">
    <cfRule type="cellIs" dxfId="697" priority="180117" stopIfTrue="1" operator="between">
      <formula>$EE$18</formula>
      <formula>1000</formula>
    </cfRule>
  </conditionalFormatting>
  <conditionalFormatting sqref="FJ1:FJ1048576 EZ1:EZ1048576 FC1:FC1048576 FG1:FG1048576">
    <cfRule type="cellIs" dxfId="696" priority="180129" stopIfTrue="1" operator="between">
      <formula>$FM$18</formula>
      <formula>1000</formula>
    </cfRule>
  </conditionalFormatting>
  <conditionalFormatting sqref="HZ1:HZ1048576 HP1:HP1048576 HS1:HS1048576 HW1:HW1048576">
    <cfRule type="cellIs" dxfId="695" priority="180141" stopIfTrue="1" operator="between">
      <formula>$IC$18</formula>
      <formula>1000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A5E64-7C54-C349-8B42-7E9EA5339312}">
  <sheetPr codeName="Sheet2"/>
  <dimension ref="A1:WJ5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2" customWidth="1"/>
    <col min="44" max="59" width="10.83203125" hidden="1" customWidth="1"/>
    <col min="60" max="70" width="10.83203125" style="32" customWidth="1"/>
    <col min="71" max="86" width="10.83203125" hidden="1" customWidth="1"/>
    <col min="87" max="97" width="10.83203125" style="32" customWidth="1"/>
    <col min="98" max="98" width="12.83203125" style="32" customWidth="1"/>
    <col min="99" max="118" width="10.83203125" hidden="1" customWidth="1"/>
    <col min="119" max="131" width="10.83203125" customWidth="1"/>
    <col min="132" max="132" width="10.83203125" style="32" customWidth="1"/>
    <col min="133" max="152" width="10.83203125" hidden="1" customWidth="1"/>
    <col min="153" max="165" width="10.83203125" customWidth="1"/>
    <col min="166" max="166" width="10.83203125" style="32" customWidth="1"/>
    <col min="167" max="186" width="10.83203125" hidden="1" customWidth="1"/>
    <col min="187" max="199" width="10.83203125" customWidth="1"/>
    <col min="200" max="200" width="10.83203125" style="32" customWidth="1"/>
    <col min="201" max="220" width="10.83203125" hidden="1" customWidth="1"/>
    <col min="221" max="233" width="10.83203125" customWidth="1"/>
    <col min="234" max="234" width="10.83203125" style="32" customWidth="1"/>
    <col min="235" max="254" width="10.83203125" hidden="1" customWidth="1"/>
    <col min="255" max="267" width="10.83203125" customWidth="1"/>
    <col min="268" max="268" width="10.83203125" style="32" customWidth="1"/>
    <col min="269" max="288" width="10.83203125" hidden="1" customWidth="1"/>
    <col min="289" max="302" width="10.83203125" customWidth="1"/>
    <col min="303" max="322" width="10.83203125" hidden="1" customWidth="1"/>
    <col min="323" max="336" width="10.83203125" customWidth="1"/>
    <col min="337" max="356" width="10.83203125" hidden="1" customWidth="1"/>
    <col min="357" max="370" width="10.83203125" customWidth="1"/>
    <col min="371" max="533" width="10.83203125" hidden="1" customWidth="1"/>
    <col min="534" max="534" width="11.83203125" hidden="1" customWidth="1"/>
    <col min="535" max="535" width="12.83203125" hidden="1" customWidth="1"/>
    <col min="536" max="567" width="10.83203125" hidden="1" customWidth="1"/>
    <col min="568" max="568" width="11.83203125" hidden="1" customWidth="1"/>
    <col min="569" max="569" width="12.83203125" hidden="1" customWidth="1"/>
    <col min="570" max="601" width="10.83203125" hidden="1" customWidth="1"/>
    <col min="602" max="602" width="11.83203125" hidden="1" customWidth="1"/>
    <col min="603" max="603" width="12.83203125" hidden="1" customWidth="1"/>
    <col min="604" max="608" width="10.83203125" hidden="1" customWidth="1"/>
  </cols>
  <sheetData>
    <row r="1" spans="1:608" x14ac:dyDescent="0.2">
      <c r="A1" s="57" t="s">
        <v>1</v>
      </c>
      <c r="B1" s="57" t="s">
        <v>26</v>
      </c>
      <c r="C1" s="57" t="s">
        <v>0</v>
      </c>
      <c r="D1" s="57" t="s">
        <v>44</v>
      </c>
      <c r="E1" s="57" t="s">
        <v>2</v>
      </c>
      <c r="F1" s="58" t="s">
        <v>177</v>
      </c>
      <c r="G1" s="57" t="s">
        <v>9</v>
      </c>
      <c r="H1" s="57" t="s">
        <v>10</v>
      </c>
      <c r="I1" s="57" t="s">
        <v>195</v>
      </c>
      <c r="J1" s="53" t="s">
        <v>74</v>
      </c>
      <c r="K1" s="52" t="s">
        <v>28</v>
      </c>
      <c r="L1" s="53" t="s">
        <v>84</v>
      </c>
      <c r="M1" s="52" t="s">
        <v>28</v>
      </c>
      <c r="N1" s="59" t="s">
        <v>12</v>
      </c>
      <c r="O1" s="52" t="s">
        <v>29</v>
      </c>
      <c r="P1" s="52" t="s">
        <v>28</v>
      </c>
      <c r="Q1" s="56" t="s">
        <v>134</v>
      </c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61" t="s">
        <v>150</v>
      </c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56" t="s">
        <v>231</v>
      </c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0" t="s">
        <v>12</v>
      </c>
      <c r="CU1" s="56" t="s">
        <v>127</v>
      </c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  <c r="DU1" s="56"/>
      <c r="DV1" s="56"/>
      <c r="DW1" s="56"/>
      <c r="DX1" s="56"/>
      <c r="DY1" s="56"/>
      <c r="DZ1" s="56"/>
      <c r="EA1" s="56"/>
      <c r="EB1" s="56"/>
      <c r="EC1" s="61" t="s">
        <v>141</v>
      </c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56" t="s">
        <v>144</v>
      </c>
      <c r="FL1" s="56"/>
      <c r="FM1" s="56"/>
      <c r="FN1" s="56"/>
      <c r="FO1" s="56"/>
      <c r="FP1" s="56"/>
      <c r="FQ1" s="56"/>
      <c r="FR1" s="56"/>
      <c r="FS1" s="56"/>
      <c r="FT1" s="56"/>
      <c r="FU1" s="56"/>
      <c r="FV1" s="56"/>
      <c r="FW1" s="56"/>
      <c r="FX1" s="56"/>
      <c r="FY1" s="56"/>
      <c r="FZ1" s="56"/>
      <c r="GA1" s="56"/>
      <c r="GB1" s="56"/>
      <c r="GC1" s="56"/>
      <c r="GD1" s="56"/>
      <c r="GE1" s="56"/>
      <c r="GF1" s="56"/>
      <c r="GG1" s="56"/>
      <c r="GH1" s="56"/>
      <c r="GI1" s="56"/>
      <c r="GJ1" s="56"/>
      <c r="GK1" s="56"/>
      <c r="GL1" s="56"/>
      <c r="GM1" s="56"/>
      <c r="GN1" s="56"/>
      <c r="GO1" s="56"/>
      <c r="GP1" s="56"/>
      <c r="GQ1" s="56"/>
      <c r="GR1" s="56"/>
      <c r="GS1" s="61" t="s">
        <v>145</v>
      </c>
      <c r="GT1" s="61"/>
      <c r="GU1" s="61"/>
      <c r="GV1" s="61"/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61"/>
      <c r="HN1" s="61"/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56" t="s">
        <v>153</v>
      </c>
      <c r="IB1" s="56"/>
      <c r="IC1" s="56"/>
      <c r="ID1" s="56"/>
      <c r="IE1" s="56"/>
      <c r="IF1" s="56"/>
      <c r="IG1" s="56"/>
      <c r="IH1" s="56"/>
      <c r="II1" s="56"/>
      <c r="IJ1" s="56"/>
      <c r="IK1" s="56"/>
      <c r="IL1" s="56"/>
      <c r="IM1" s="56"/>
      <c r="IN1" s="56"/>
      <c r="IO1" s="56"/>
      <c r="IP1" s="56"/>
      <c r="IQ1" s="56"/>
      <c r="IR1" s="56"/>
      <c r="IS1" s="56"/>
      <c r="IT1" s="56"/>
      <c r="IU1" s="56"/>
      <c r="IV1" s="56"/>
      <c r="IW1" s="56"/>
      <c r="IX1" s="56"/>
      <c r="IY1" s="56"/>
      <c r="IZ1" s="56"/>
      <c r="JA1" s="56"/>
      <c r="JB1" s="56"/>
      <c r="JC1" s="56"/>
      <c r="JD1" s="56"/>
      <c r="JE1" s="56"/>
      <c r="JF1" s="56"/>
      <c r="JG1" s="56"/>
      <c r="JH1" s="56"/>
      <c r="JI1" s="61" t="s">
        <v>162</v>
      </c>
      <c r="JJ1" s="61"/>
      <c r="JK1" s="61"/>
      <c r="JL1" s="61"/>
      <c r="JM1" s="61"/>
      <c r="JN1" s="61"/>
      <c r="JO1" s="61"/>
      <c r="JP1" s="61"/>
      <c r="JQ1" s="61"/>
      <c r="JR1" s="61"/>
      <c r="JS1" s="61"/>
      <c r="JT1" s="61"/>
      <c r="JU1" s="61"/>
      <c r="JV1" s="61"/>
      <c r="JW1" s="61"/>
      <c r="JX1" s="61"/>
      <c r="JY1" s="61"/>
      <c r="JZ1" s="61"/>
      <c r="KA1" s="61"/>
      <c r="KB1" s="61"/>
      <c r="KC1" s="61"/>
      <c r="KD1" s="61"/>
      <c r="KE1" s="61"/>
      <c r="KF1" s="61"/>
      <c r="KG1" s="61"/>
      <c r="KH1" s="61"/>
      <c r="KI1" s="61"/>
      <c r="KJ1" s="61"/>
      <c r="KK1" s="61"/>
      <c r="KL1" s="61"/>
      <c r="KM1" s="61"/>
      <c r="KN1" s="61"/>
      <c r="KO1" s="61"/>
      <c r="KP1" s="61"/>
      <c r="KQ1" s="56" t="s">
        <v>165</v>
      </c>
      <c r="KR1" s="56"/>
      <c r="KS1" s="56"/>
      <c r="KT1" s="56"/>
      <c r="KU1" s="56"/>
      <c r="KV1" s="56"/>
      <c r="KW1" s="56"/>
      <c r="KX1" s="56"/>
      <c r="KY1" s="56"/>
      <c r="KZ1" s="56"/>
      <c r="LA1" s="56"/>
      <c r="LB1" s="56"/>
      <c r="LC1" s="56"/>
      <c r="LD1" s="56"/>
      <c r="LE1" s="56"/>
      <c r="LF1" s="56"/>
      <c r="LG1" s="56"/>
      <c r="LH1" s="56"/>
      <c r="LI1" s="56"/>
      <c r="LJ1" s="56"/>
      <c r="LK1" s="56"/>
      <c r="LL1" s="56"/>
      <c r="LM1" s="56"/>
      <c r="LN1" s="56"/>
      <c r="LO1" s="56"/>
      <c r="LP1" s="56"/>
      <c r="LQ1" s="56"/>
      <c r="LR1" s="56"/>
      <c r="LS1" s="56"/>
      <c r="LT1" s="56"/>
      <c r="LU1" s="56"/>
      <c r="LV1" s="56"/>
      <c r="LW1" s="56"/>
      <c r="LX1" s="56"/>
      <c r="LY1" s="61" t="s">
        <v>171</v>
      </c>
      <c r="LZ1" s="61"/>
      <c r="MA1" s="61"/>
      <c r="MB1" s="61"/>
      <c r="MC1" s="61"/>
      <c r="MD1" s="61"/>
      <c r="ME1" s="61"/>
      <c r="MF1" s="61"/>
      <c r="MG1" s="61"/>
      <c r="MH1" s="61"/>
      <c r="MI1" s="61"/>
      <c r="MJ1" s="61"/>
      <c r="MK1" s="61"/>
      <c r="ML1" s="61"/>
      <c r="MM1" s="61"/>
      <c r="MN1" s="61"/>
      <c r="MO1" s="61"/>
      <c r="MP1" s="61"/>
      <c r="MQ1" s="61"/>
      <c r="MR1" s="61"/>
      <c r="MS1" s="61"/>
      <c r="MT1" s="61"/>
      <c r="MU1" s="61"/>
      <c r="MV1" s="61"/>
      <c r="MW1" s="61"/>
      <c r="MX1" s="61"/>
      <c r="MY1" s="61"/>
      <c r="MZ1" s="61"/>
      <c r="NA1" s="61"/>
      <c r="NB1" s="61"/>
      <c r="NC1" s="61"/>
      <c r="ND1" s="61"/>
      <c r="NE1" s="61"/>
      <c r="NF1" s="61"/>
      <c r="NG1" s="56"/>
      <c r="NH1" s="56"/>
      <c r="NI1" s="56"/>
      <c r="NJ1" s="56"/>
      <c r="NK1" s="56"/>
      <c r="NL1" s="56"/>
      <c r="NM1" s="56"/>
      <c r="NN1" s="56"/>
      <c r="NO1" s="56"/>
      <c r="NP1" s="56"/>
      <c r="NQ1" s="56"/>
      <c r="NR1" s="56"/>
      <c r="NS1" s="56"/>
      <c r="NT1" s="56"/>
      <c r="NU1" s="56"/>
      <c r="NV1" s="56"/>
      <c r="NW1" s="56"/>
      <c r="NX1" s="56"/>
      <c r="NY1" s="56"/>
      <c r="NZ1" s="56"/>
      <c r="OA1" s="56"/>
      <c r="OB1" s="56"/>
      <c r="OC1" s="56"/>
      <c r="OD1" s="56"/>
      <c r="OE1" s="56"/>
      <c r="OF1" s="56"/>
      <c r="OG1" s="56"/>
      <c r="OH1" s="56"/>
      <c r="OI1" s="56"/>
      <c r="OJ1" s="56"/>
      <c r="OK1" s="56"/>
      <c r="OL1" s="56"/>
      <c r="OM1" s="56"/>
      <c r="ON1" s="56"/>
      <c r="OO1" s="61"/>
      <c r="OP1" s="61"/>
      <c r="OQ1" s="61"/>
      <c r="OR1" s="61"/>
      <c r="OS1" s="61"/>
      <c r="OT1" s="61"/>
      <c r="OU1" s="61"/>
      <c r="OV1" s="61"/>
      <c r="OW1" s="61"/>
      <c r="OX1" s="61"/>
      <c r="OY1" s="61"/>
      <c r="OZ1" s="61"/>
      <c r="PA1" s="61"/>
      <c r="PB1" s="61"/>
      <c r="PC1" s="61"/>
      <c r="PD1" s="61"/>
      <c r="PE1" s="61"/>
      <c r="PF1" s="61"/>
      <c r="PG1" s="61"/>
      <c r="PH1" s="61"/>
      <c r="PI1" s="61"/>
      <c r="PJ1" s="61"/>
      <c r="PK1" s="61"/>
      <c r="PL1" s="61"/>
      <c r="PM1" s="61"/>
      <c r="PN1" s="61"/>
      <c r="PO1" s="61"/>
      <c r="PP1" s="61"/>
      <c r="PQ1" s="61"/>
      <c r="PR1" s="61"/>
      <c r="PS1" s="61"/>
      <c r="PT1" s="61"/>
      <c r="PU1" s="61"/>
      <c r="PV1" s="61"/>
      <c r="PW1" s="56"/>
      <c r="PX1" s="56"/>
      <c r="PY1" s="56"/>
      <c r="PZ1" s="56"/>
      <c r="QA1" s="56"/>
      <c r="QB1" s="56"/>
      <c r="QC1" s="56"/>
      <c r="QD1" s="56"/>
      <c r="QE1" s="56"/>
      <c r="QF1" s="56"/>
      <c r="QG1" s="56"/>
      <c r="QH1" s="56"/>
      <c r="QI1" s="56"/>
      <c r="QJ1" s="56"/>
      <c r="QK1" s="56"/>
      <c r="QL1" s="56"/>
      <c r="QM1" s="56"/>
      <c r="QN1" s="56"/>
      <c r="QO1" s="56"/>
      <c r="QP1" s="56"/>
      <c r="QQ1" s="56"/>
      <c r="QR1" s="56"/>
      <c r="QS1" s="56"/>
      <c r="QT1" s="56"/>
      <c r="QU1" s="56"/>
      <c r="QV1" s="56"/>
      <c r="QW1" s="56"/>
      <c r="QX1" s="56"/>
      <c r="QY1" s="56"/>
      <c r="QZ1" s="56"/>
      <c r="RA1" s="56"/>
      <c r="RB1" s="56"/>
      <c r="RC1" s="56"/>
      <c r="RD1" s="56"/>
      <c r="RE1" s="61"/>
      <c r="RF1" s="61"/>
      <c r="RG1" s="61"/>
      <c r="RH1" s="61"/>
      <c r="RI1" s="61"/>
      <c r="RJ1" s="61"/>
      <c r="RK1" s="61"/>
      <c r="RL1" s="61"/>
      <c r="RM1" s="61"/>
      <c r="RN1" s="61"/>
      <c r="RO1" s="61"/>
      <c r="RP1" s="61"/>
      <c r="RQ1" s="61"/>
      <c r="RR1" s="61"/>
      <c r="RS1" s="61"/>
      <c r="RT1" s="61"/>
      <c r="RU1" s="61"/>
      <c r="RV1" s="61"/>
      <c r="RW1" s="61"/>
      <c r="RX1" s="61"/>
      <c r="RY1" s="61"/>
      <c r="RZ1" s="61"/>
      <c r="SA1" s="61"/>
      <c r="SB1" s="61"/>
      <c r="SC1" s="61"/>
      <c r="SD1" s="61"/>
      <c r="SE1" s="61"/>
      <c r="SF1" s="61"/>
      <c r="SG1" s="61"/>
      <c r="SH1" s="61"/>
      <c r="SI1" s="61"/>
      <c r="SJ1" s="61"/>
      <c r="SK1" s="61"/>
      <c r="SL1" s="61"/>
      <c r="SM1" s="56"/>
      <c r="SN1" s="56"/>
      <c r="SO1" s="56"/>
      <c r="SP1" s="56"/>
      <c r="SQ1" s="56"/>
      <c r="SR1" s="56"/>
      <c r="SS1" s="56"/>
      <c r="ST1" s="56"/>
      <c r="SU1" s="56"/>
      <c r="SV1" s="56"/>
      <c r="SW1" s="56"/>
      <c r="SX1" s="56"/>
      <c r="SY1" s="56"/>
      <c r="SZ1" s="56"/>
      <c r="TA1" s="56"/>
      <c r="TB1" s="56"/>
      <c r="TC1" s="56"/>
      <c r="TD1" s="56"/>
      <c r="TE1" s="56"/>
      <c r="TF1" s="56"/>
      <c r="TG1" s="56"/>
      <c r="TH1" s="56"/>
      <c r="TI1" s="56"/>
      <c r="TJ1" s="56"/>
      <c r="TK1" s="56"/>
      <c r="TL1" s="56"/>
      <c r="TM1" s="56"/>
      <c r="TN1" s="56"/>
      <c r="TO1" s="56"/>
      <c r="TP1" s="56"/>
      <c r="TQ1" s="56"/>
      <c r="TR1" s="56"/>
      <c r="TS1" s="56"/>
      <c r="TT1" s="56"/>
      <c r="TU1" s="61"/>
      <c r="TV1" s="61"/>
      <c r="TW1" s="61"/>
      <c r="TX1" s="61"/>
      <c r="TY1" s="61"/>
      <c r="TZ1" s="61"/>
      <c r="UA1" s="61"/>
      <c r="UB1" s="61"/>
      <c r="UC1" s="61"/>
      <c r="UD1" s="61"/>
      <c r="UE1" s="61"/>
      <c r="UF1" s="61"/>
      <c r="UG1" s="61"/>
      <c r="UH1" s="61"/>
      <c r="UI1" s="61"/>
      <c r="UJ1" s="61"/>
      <c r="UK1" s="61"/>
      <c r="UL1" s="61"/>
      <c r="UM1" s="61"/>
      <c r="UN1" s="61"/>
      <c r="UO1" s="61"/>
      <c r="UP1" s="61"/>
      <c r="UQ1" s="61"/>
      <c r="UR1" s="61"/>
      <c r="US1" s="61"/>
      <c r="UT1" s="61"/>
      <c r="UU1" s="61"/>
      <c r="UV1" s="61"/>
      <c r="UW1" s="61"/>
      <c r="UX1" s="61"/>
      <c r="UY1" s="61"/>
      <c r="UZ1" s="61"/>
      <c r="VA1" s="61"/>
      <c r="VB1" s="61"/>
      <c r="VC1" s="56"/>
      <c r="VD1" s="56"/>
      <c r="VE1" s="56"/>
      <c r="VF1" s="56"/>
      <c r="VG1" s="56"/>
      <c r="VH1" s="56"/>
      <c r="VI1" s="56"/>
      <c r="VJ1" s="56"/>
      <c r="VK1" s="56"/>
      <c r="VL1" s="56"/>
      <c r="VM1" s="56"/>
      <c r="VN1" s="56"/>
      <c r="VO1" s="56"/>
      <c r="VP1" s="56"/>
      <c r="VQ1" s="56"/>
      <c r="VR1" s="56"/>
      <c r="VS1" s="56"/>
      <c r="VT1" s="56"/>
      <c r="VU1" s="56"/>
      <c r="VV1" s="56"/>
      <c r="VW1" s="56"/>
      <c r="VX1" s="56"/>
      <c r="VY1" s="56"/>
      <c r="VZ1" s="56"/>
      <c r="WA1" s="56"/>
      <c r="WB1" s="56"/>
      <c r="WC1" s="56"/>
      <c r="WD1" s="56"/>
      <c r="WE1" s="56"/>
      <c r="WF1" s="56"/>
      <c r="WG1" s="56"/>
      <c r="WH1" s="56"/>
      <c r="WI1" s="56"/>
      <c r="WJ1" s="56"/>
    </row>
    <row r="2" spans="1:608" x14ac:dyDescent="0.2">
      <c r="A2" s="57"/>
      <c r="B2" s="57"/>
      <c r="C2" s="57"/>
      <c r="D2" s="57"/>
      <c r="E2" s="57"/>
      <c r="F2" s="58"/>
      <c r="G2" s="57"/>
      <c r="H2" s="57"/>
      <c r="I2" s="57"/>
      <c r="J2" s="53"/>
      <c r="K2" s="52"/>
      <c r="L2" s="53"/>
      <c r="M2" s="52"/>
      <c r="N2" s="59"/>
      <c r="O2" s="52"/>
      <c r="P2" s="52"/>
      <c r="Q2" s="55" t="s">
        <v>17</v>
      </c>
      <c r="R2" s="55"/>
      <c r="S2" s="55"/>
      <c r="T2" s="55"/>
      <c r="U2" s="55"/>
      <c r="V2" s="55" t="s">
        <v>18</v>
      </c>
      <c r="W2" s="55"/>
      <c r="X2" s="55"/>
      <c r="Y2" s="55"/>
      <c r="Z2" s="55"/>
      <c r="AA2" s="55" t="s">
        <v>21</v>
      </c>
      <c r="AB2" s="55"/>
      <c r="AC2" s="55"/>
      <c r="AD2" s="55"/>
      <c r="AE2" s="55"/>
      <c r="AF2" s="14"/>
      <c r="AG2" s="14" t="s">
        <v>66</v>
      </c>
      <c r="AH2" s="14" t="s">
        <v>67</v>
      </c>
      <c r="AI2" s="14" t="s">
        <v>19</v>
      </c>
      <c r="AJ2" s="14" t="s">
        <v>58</v>
      </c>
      <c r="AK2" s="14" t="s">
        <v>68</v>
      </c>
      <c r="AL2" s="14" t="s">
        <v>20</v>
      </c>
      <c r="AM2" s="14" t="s">
        <v>22</v>
      </c>
      <c r="AN2" s="14" t="s">
        <v>69</v>
      </c>
      <c r="AO2" s="14" t="s">
        <v>70</v>
      </c>
      <c r="AP2" s="14" t="s">
        <v>21</v>
      </c>
      <c r="AQ2" s="14" t="s">
        <v>16</v>
      </c>
      <c r="AR2" s="60" t="s">
        <v>17</v>
      </c>
      <c r="AS2" s="60"/>
      <c r="AT2" s="60"/>
      <c r="AU2" s="60"/>
      <c r="AV2" s="60"/>
      <c r="AW2" s="60" t="s">
        <v>18</v>
      </c>
      <c r="AX2" s="60"/>
      <c r="AY2" s="60"/>
      <c r="AZ2" s="60"/>
      <c r="BA2" s="60"/>
      <c r="BB2" s="60" t="s">
        <v>21</v>
      </c>
      <c r="BC2" s="60"/>
      <c r="BD2" s="60"/>
      <c r="BE2" s="60"/>
      <c r="BF2" s="60"/>
      <c r="BG2" s="13"/>
      <c r="BH2" s="13" t="s">
        <v>66</v>
      </c>
      <c r="BI2" s="13" t="s">
        <v>67</v>
      </c>
      <c r="BJ2" s="13" t="s">
        <v>19</v>
      </c>
      <c r="BK2" s="13" t="s">
        <v>58</v>
      </c>
      <c r="BL2" s="13" t="s">
        <v>68</v>
      </c>
      <c r="BM2" s="13" t="s">
        <v>20</v>
      </c>
      <c r="BN2" s="13" t="s">
        <v>22</v>
      </c>
      <c r="BO2" s="13" t="s">
        <v>69</v>
      </c>
      <c r="BP2" s="13" t="s">
        <v>70</v>
      </c>
      <c r="BQ2" s="13" t="s">
        <v>21</v>
      </c>
      <c r="BR2" s="13" t="s">
        <v>16</v>
      </c>
      <c r="BS2" s="55" t="s">
        <v>17</v>
      </c>
      <c r="BT2" s="55"/>
      <c r="BU2" s="55"/>
      <c r="BV2" s="55"/>
      <c r="BW2" s="55"/>
      <c r="BX2" s="55" t="s">
        <v>18</v>
      </c>
      <c r="BY2" s="55"/>
      <c r="BZ2" s="55"/>
      <c r="CA2" s="55"/>
      <c r="CB2" s="55"/>
      <c r="CC2" s="55" t="s">
        <v>21</v>
      </c>
      <c r="CD2" s="55"/>
      <c r="CE2" s="55"/>
      <c r="CF2" s="55"/>
      <c r="CG2" s="55"/>
      <c r="CH2" s="14"/>
      <c r="CI2" s="14" t="s">
        <v>66</v>
      </c>
      <c r="CJ2" s="14" t="s">
        <v>67</v>
      </c>
      <c r="CK2" s="14" t="s">
        <v>19</v>
      </c>
      <c r="CL2" s="14" t="s">
        <v>58</v>
      </c>
      <c r="CM2" s="14" t="s">
        <v>68</v>
      </c>
      <c r="CN2" s="14" t="s">
        <v>20</v>
      </c>
      <c r="CO2" s="14" t="s">
        <v>22</v>
      </c>
      <c r="CP2" s="14" t="s">
        <v>69</v>
      </c>
      <c r="CQ2" s="14" t="s">
        <v>70</v>
      </c>
      <c r="CR2" s="14" t="s">
        <v>21</v>
      </c>
      <c r="CS2" s="14" t="s">
        <v>16</v>
      </c>
      <c r="CT2" s="46" t="s">
        <v>176</v>
      </c>
      <c r="CU2" s="55" t="s">
        <v>17</v>
      </c>
      <c r="CV2" s="55"/>
      <c r="CW2" s="55"/>
      <c r="CX2" s="55"/>
      <c r="CY2" s="55"/>
      <c r="CZ2" s="55" t="s">
        <v>18</v>
      </c>
      <c r="DA2" s="55"/>
      <c r="DB2" s="55"/>
      <c r="DC2" s="55"/>
      <c r="DD2" s="55"/>
      <c r="DE2" s="55" t="s">
        <v>71</v>
      </c>
      <c r="DF2" s="55"/>
      <c r="DG2" s="55"/>
      <c r="DH2" s="55"/>
      <c r="DI2" s="55"/>
      <c r="DJ2" s="55" t="s">
        <v>21</v>
      </c>
      <c r="DK2" s="55"/>
      <c r="DL2" s="55"/>
      <c r="DM2" s="55"/>
      <c r="DN2" s="55"/>
      <c r="DO2" s="14" t="s">
        <v>66</v>
      </c>
      <c r="DP2" s="14" t="s">
        <v>67</v>
      </c>
      <c r="DQ2" s="14" t="s">
        <v>19</v>
      </c>
      <c r="DR2" s="14" t="s">
        <v>58</v>
      </c>
      <c r="DS2" s="14" t="s">
        <v>68</v>
      </c>
      <c r="DT2" s="14" t="s">
        <v>20</v>
      </c>
      <c r="DU2" s="14" t="s">
        <v>22</v>
      </c>
      <c r="DV2" s="14" t="s">
        <v>72</v>
      </c>
      <c r="DW2" s="14" t="s">
        <v>73</v>
      </c>
      <c r="DX2" s="14" t="s">
        <v>71</v>
      </c>
      <c r="DY2" s="14" t="s">
        <v>69</v>
      </c>
      <c r="DZ2" s="14" t="s">
        <v>70</v>
      </c>
      <c r="EA2" s="14" t="s">
        <v>21</v>
      </c>
      <c r="EB2" s="14" t="s">
        <v>16</v>
      </c>
      <c r="EC2" s="60" t="s">
        <v>17</v>
      </c>
      <c r="ED2" s="60"/>
      <c r="EE2" s="60"/>
      <c r="EF2" s="60"/>
      <c r="EG2" s="60"/>
      <c r="EH2" s="60" t="s">
        <v>18</v>
      </c>
      <c r="EI2" s="60"/>
      <c r="EJ2" s="60"/>
      <c r="EK2" s="60"/>
      <c r="EL2" s="60"/>
      <c r="EM2" s="60" t="s">
        <v>71</v>
      </c>
      <c r="EN2" s="60"/>
      <c r="EO2" s="60"/>
      <c r="EP2" s="60"/>
      <c r="EQ2" s="60"/>
      <c r="ER2" s="60" t="s">
        <v>21</v>
      </c>
      <c r="ES2" s="60"/>
      <c r="ET2" s="60"/>
      <c r="EU2" s="60"/>
      <c r="EV2" s="60"/>
      <c r="EW2" s="13" t="s">
        <v>66</v>
      </c>
      <c r="EX2" s="13" t="s">
        <v>67</v>
      </c>
      <c r="EY2" s="13" t="s">
        <v>19</v>
      </c>
      <c r="EZ2" s="13" t="s">
        <v>58</v>
      </c>
      <c r="FA2" s="13" t="s">
        <v>68</v>
      </c>
      <c r="FB2" s="13" t="s">
        <v>20</v>
      </c>
      <c r="FC2" s="13" t="s">
        <v>22</v>
      </c>
      <c r="FD2" s="13" t="s">
        <v>72</v>
      </c>
      <c r="FE2" s="13" t="s">
        <v>73</v>
      </c>
      <c r="FF2" s="13" t="s">
        <v>71</v>
      </c>
      <c r="FG2" s="13" t="s">
        <v>69</v>
      </c>
      <c r="FH2" s="13" t="s">
        <v>70</v>
      </c>
      <c r="FI2" s="13" t="s">
        <v>21</v>
      </c>
      <c r="FJ2" s="13" t="s">
        <v>16</v>
      </c>
      <c r="FK2" s="55" t="s">
        <v>17</v>
      </c>
      <c r="FL2" s="55"/>
      <c r="FM2" s="55"/>
      <c r="FN2" s="55"/>
      <c r="FO2" s="55"/>
      <c r="FP2" s="55" t="s">
        <v>18</v>
      </c>
      <c r="FQ2" s="55"/>
      <c r="FR2" s="55"/>
      <c r="FS2" s="55"/>
      <c r="FT2" s="55"/>
      <c r="FU2" s="55" t="s">
        <v>71</v>
      </c>
      <c r="FV2" s="55"/>
      <c r="FW2" s="55"/>
      <c r="FX2" s="55"/>
      <c r="FY2" s="55"/>
      <c r="FZ2" s="55" t="s">
        <v>21</v>
      </c>
      <c r="GA2" s="55"/>
      <c r="GB2" s="55"/>
      <c r="GC2" s="55"/>
      <c r="GD2" s="55"/>
      <c r="GE2" s="14" t="s">
        <v>66</v>
      </c>
      <c r="GF2" s="14" t="s">
        <v>67</v>
      </c>
      <c r="GG2" s="14" t="s">
        <v>19</v>
      </c>
      <c r="GH2" s="14" t="s">
        <v>58</v>
      </c>
      <c r="GI2" s="14" t="s">
        <v>68</v>
      </c>
      <c r="GJ2" s="14" t="s">
        <v>20</v>
      </c>
      <c r="GK2" s="14" t="s">
        <v>22</v>
      </c>
      <c r="GL2" s="14" t="s">
        <v>72</v>
      </c>
      <c r="GM2" s="14" t="s">
        <v>73</v>
      </c>
      <c r="GN2" s="14" t="s">
        <v>71</v>
      </c>
      <c r="GO2" s="14" t="s">
        <v>69</v>
      </c>
      <c r="GP2" s="14" t="s">
        <v>70</v>
      </c>
      <c r="GQ2" s="14" t="s">
        <v>21</v>
      </c>
      <c r="GR2" s="14" t="s">
        <v>16</v>
      </c>
      <c r="GS2" s="60" t="s">
        <v>17</v>
      </c>
      <c r="GT2" s="60"/>
      <c r="GU2" s="60"/>
      <c r="GV2" s="60"/>
      <c r="GW2" s="60"/>
      <c r="GX2" s="60" t="s">
        <v>18</v>
      </c>
      <c r="GY2" s="60"/>
      <c r="GZ2" s="60"/>
      <c r="HA2" s="60"/>
      <c r="HB2" s="60"/>
      <c r="HC2" s="60" t="s">
        <v>71</v>
      </c>
      <c r="HD2" s="60"/>
      <c r="HE2" s="60"/>
      <c r="HF2" s="60"/>
      <c r="HG2" s="60"/>
      <c r="HH2" s="60" t="s">
        <v>21</v>
      </c>
      <c r="HI2" s="60"/>
      <c r="HJ2" s="60"/>
      <c r="HK2" s="60"/>
      <c r="HL2" s="60"/>
      <c r="HM2" s="13" t="s">
        <v>66</v>
      </c>
      <c r="HN2" s="13" t="s">
        <v>67</v>
      </c>
      <c r="HO2" s="13" t="s">
        <v>19</v>
      </c>
      <c r="HP2" s="13" t="s">
        <v>58</v>
      </c>
      <c r="HQ2" s="13" t="s">
        <v>68</v>
      </c>
      <c r="HR2" s="13" t="s">
        <v>20</v>
      </c>
      <c r="HS2" s="13" t="s">
        <v>22</v>
      </c>
      <c r="HT2" s="13" t="s">
        <v>72</v>
      </c>
      <c r="HU2" s="13" t="s">
        <v>73</v>
      </c>
      <c r="HV2" s="13" t="s">
        <v>71</v>
      </c>
      <c r="HW2" s="13" t="s">
        <v>69</v>
      </c>
      <c r="HX2" s="13" t="s">
        <v>70</v>
      </c>
      <c r="HY2" s="13" t="s">
        <v>21</v>
      </c>
      <c r="HZ2" s="13" t="s">
        <v>16</v>
      </c>
      <c r="IA2" s="55" t="s">
        <v>17</v>
      </c>
      <c r="IB2" s="55"/>
      <c r="IC2" s="55"/>
      <c r="ID2" s="55"/>
      <c r="IE2" s="55"/>
      <c r="IF2" s="55" t="s">
        <v>18</v>
      </c>
      <c r="IG2" s="55"/>
      <c r="IH2" s="55"/>
      <c r="II2" s="55"/>
      <c r="IJ2" s="55"/>
      <c r="IK2" s="55" t="s">
        <v>71</v>
      </c>
      <c r="IL2" s="55"/>
      <c r="IM2" s="55"/>
      <c r="IN2" s="55"/>
      <c r="IO2" s="55"/>
      <c r="IP2" s="55" t="s">
        <v>21</v>
      </c>
      <c r="IQ2" s="55"/>
      <c r="IR2" s="55"/>
      <c r="IS2" s="55"/>
      <c r="IT2" s="55"/>
      <c r="IU2" s="14" t="s">
        <v>66</v>
      </c>
      <c r="IV2" s="14" t="s">
        <v>67</v>
      </c>
      <c r="IW2" s="14" t="s">
        <v>19</v>
      </c>
      <c r="IX2" s="14" t="s">
        <v>58</v>
      </c>
      <c r="IY2" s="14" t="s">
        <v>68</v>
      </c>
      <c r="IZ2" s="14" t="s">
        <v>20</v>
      </c>
      <c r="JA2" s="14" t="s">
        <v>22</v>
      </c>
      <c r="JB2" s="14" t="s">
        <v>72</v>
      </c>
      <c r="JC2" s="14" t="s">
        <v>73</v>
      </c>
      <c r="JD2" s="14" t="s">
        <v>71</v>
      </c>
      <c r="JE2" s="14" t="s">
        <v>69</v>
      </c>
      <c r="JF2" s="14" t="s">
        <v>70</v>
      </c>
      <c r="JG2" s="14" t="s">
        <v>21</v>
      </c>
      <c r="JH2" s="14" t="s">
        <v>16</v>
      </c>
      <c r="JI2" s="60" t="s">
        <v>17</v>
      </c>
      <c r="JJ2" s="60"/>
      <c r="JK2" s="60"/>
      <c r="JL2" s="60"/>
      <c r="JM2" s="60"/>
      <c r="JN2" s="60" t="s">
        <v>18</v>
      </c>
      <c r="JO2" s="60"/>
      <c r="JP2" s="60"/>
      <c r="JQ2" s="60"/>
      <c r="JR2" s="60"/>
      <c r="JS2" s="60" t="s">
        <v>71</v>
      </c>
      <c r="JT2" s="60"/>
      <c r="JU2" s="60"/>
      <c r="JV2" s="60"/>
      <c r="JW2" s="60"/>
      <c r="JX2" s="60" t="s">
        <v>21</v>
      </c>
      <c r="JY2" s="60"/>
      <c r="JZ2" s="60"/>
      <c r="KA2" s="60"/>
      <c r="KB2" s="60"/>
      <c r="KC2" s="13" t="s">
        <v>66</v>
      </c>
      <c r="KD2" s="13" t="s">
        <v>67</v>
      </c>
      <c r="KE2" s="13" t="s">
        <v>19</v>
      </c>
      <c r="KF2" s="13" t="s">
        <v>58</v>
      </c>
      <c r="KG2" s="13" t="s">
        <v>68</v>
      </c>
      <c r="KH2" s="13" t="s">
        <v>20</v>
      </c>
      <c r="KI2" s="13" t="s">
        <v>22</v>
      </c>
      <c r="KJ2" s="13" t="s">
        <v>72</v>
      </c>
      <c r="KK2" s="13" t="s">
        <v>73</v>
      </c>
      <c r="KL2" s="13" t="s">
        <v>71</v>
      </c>
      <c r="KM2" s="13" t="s">
        <v>69</v>
      </c>
      <c r="KN2" s="13" t="s">
        <v>70</v>
      </c>
      <c r="KO2" s="13" t="s">
        <v>21</v>
      </c>
      <c r="KP2" s="13" t="s">
        <v>16</v>
      </c>
      <c r="KQ2" s="55" t="s">
        <v>17</v>
      </c>
      <c r="KR2" s="55"/>
      <c r="KS2" s="55"/>
      <c r="KT2" s="55"/>
      <c r="KU2" s="55"/>
      <c r="KV2" s="55" t="s">
        <v>18</v>
      </c>
      <c r="KW2" s="55"/>
      <c r="KX2" s="55"/>
      <c r="KY2" s="55"/>
      <c r="KZ2" s="55"/>
      <c r="LA2" s="55" t="s">
        <v>71</v>
      </c>
      <c r="LB2" s="55"/>
      <c r="LC2" s="55"/>
      <c r="LD2" s="55"/>
      <c r="LE2" s="55"/>
      <c r="LF2" s="55" t="s">
        <v>21</v>
      </c>
      <c r="LG2" s="55"/>
      <c r="LH2" s="55"/>
      <c r="LI2" s="55"/>
      <c r="LJ2" s="55"/>
      <c r="LK2" s="14" t="s">
        <v>66</v>
      </c>
      <c r="LL2" s="14" t="s">
        <v>67</v>
      </c>
      <c r="LM2" s="14" t="s">
        <v>19</v>
      </c>
      <c r="LN2" s="14" t="s">
        <v>58</v>
      </c>
      <c r="LO2" s="14" t="s">
        <v>68</v>
      </c>
      <c r="LP2" s="14" t="s">
        <v>20</v>
      </c>
      <c r="LQ2" s="14" t="s">
        <v>22</v>
      </c>
      <c r="LR2" s="14" t="s">
        <v>72</v>
      </c>
      <c r="LS2" s="14" t="s">
        <v>73</v>
      </c>
      <c r="LT2" s="14" t="s">
        <v>71</v>
      </c>
      <c r="LU2" s="14" t="s">
        <v>69</v>
      </c>
      <c r="LV2" s="14" t="s">
        <v>70</v>
      </c>
      <c r="LW2" s="14" t="s">
        <v>21</v>
      </c>
      <c r="LX2" s="14" t="s">
        <v>16</v>
      </c>
      <c r="LY2" s="60" t="s">
        <v>17</v>
      </c>
      <c r="LZ2" s="60"/>
      <c r="MA2" s="60"/>
      <c r="MB2" s="60"/>
      <c r="MC2" s="60"/>
      <c r="MD2" s="60" t="s">
        <v>18</v>
      </c>
      <c r="ME2" s="60"/>
      <c r="MF2" s="60"/>
      <c r="MG2" s="60"/>
      <c r="MH2" s="60"/>
      <c r="MI2" s="60" t="s">
        <v>71</v>
      </c>
      <c r="MJ2" s="60"/>
      <c r="MK2" s="60"/>
      <c r="ML2" s="60"/>
      <c r="MM2" s="60"/>
      <c r="MN2" s="60" t="s">
        <v>21</v>
      </c>
      <c r="MO2" s="60"/>
      <c r="MP2" s="60"/>
      <c r="MQ2" s="60"/>
      <c r="MR2" s="60"/>
      <c r="MS2" s="13" t="s">
        <v>66</v>
      </c>
      <c r="MT2" s="13" t="s">
        <v>67</v>
      </c>
      <c r="MU2" s="13" t="s">
        <v>19</v>
      </c>
      <c r="MV2" s="13" t="s">
        <v>58</v>
      </c>
      <c r="MW2" s="13" t="s">
        <v>68</v>
      </c>
      <c r="MX2" s="13" t="s">
        <v>20</v>
      </c>
      <c r="MY2" s="13" t="s">
        <v>22</v>
      </c>
      <c r="MZ2" s="13" t="s">
        <v>72</v>
      </c>
      <c r="NA2" s="13" t="s">
        <v>73</v>
      </c>
      <c r="NB2" s="13" t="s">
        <v>71</v>
      </c>
      <c r="NC2" s="13" t="s">
        <v>69</v>
      </c>
      <c r="ND2" s="13" t="s">
        <v>70</v>
      </c>
      <c r="NE2" s="13" t="s">
        <v>21</v>
      </c>
      <c r="NF2" s="13" t="s">
        <v>16</v>
      </c>
      <c r="NG2" s="55" t="s">
        <v>17</v>
      </c>
      <c r="NH2" s="55"/>
      <c r="NI2" s="55"/>
      <c r="NJ2" s="55"/>
      <c r="NK2" s="55"/>
      <c r="NL2" s="55" t="s">
        <v>18</v>
      </c>
      <c r="NM2" s="55"/>
      <c r="NN2" s="55"/>
      <c r="NO2" s="55"/>
      <c r="NP2" s="55"/>
      <c r="NQ2" s="55" t="s">
        <v>71</v>
      </c>
      <c r="NR2" s="55"/>
      <c r="NS2" s="55"/>
      <c r="NT2" s="55"/>
      <c r="NU2" s="55"/>
      <c r="NV2" s="55" t="s">
        <v>21</v>
      </c>
      <c r="NW2" s="55"/>
      <c r="NX2" s="55"/>
      <c r="NY2" s="55"/>
      <c r="NZ2" s="55"/>
      <c r="OA2" s="14" t="s">
        <v>66</v>
      </c>
      <c r="OB2" s="14" t="s">
        <v>67</v>
      </c>
      <c r="OC2" s="14" t="s">
        <v>19</v>
      </c>
      <c r="OD2" s="14" t="s">
        <v>58</v>
      </c>
      <c r="OE2" s="14" t="s">
        <v>68</v>
      </c>
      <c r="OF2" s="14" t="s">
        <v>20</v>
      </c>
      <c r="OG2" s="14" t="s">
        <v>22</v>
      </c>
      <c r="OH2" s="14" t="s">
        <v>72</v>
      </c>
      <c r="OI2" s="14" t="s">
        <v>73</v>
      </c>
      <c r="OJ2" s="14" t="s">
        <v>71</v>
      </c>
      <c r="OK2" s="14" t="s">
        <v>69</v>
      </c>
      <c r="OL2" s="14" t="s">
        <v>70</v>
      </c>
      <c r="OM2" s="14" t="s">
        <v>21</v>
      </c>
      <c r="ON2" s="14" t="s">
        <v>16</v>
      </c>
      <c r="OO2" s="60" t="s">
        <v>17</v>
      </c>
      <c r="OP2" s="60"/>
      <c r="OQ2" s="60"/>
      <c r="OR2" s="60"/>
      <c r="OS2" s="60"/>
      <c r="OT2" s="60" t="s">
        <v>18</v>
      </c>
      <c r="OU2" s="60"/>
      <c r="OV2" s="60"/>
      <c r="OW2" s="60"/>
      <c r="OX2" s="60"/>
      <c r="OY2" s="60" t="s">
        <v>71</v>
      </c>
      <c r="OZ2" s="60"/>
      <c r="PA2" s="60"/>
      <c r="PB2" s="60"/>
      <c r="PC2" s="60"/>
      <c r="PD2" s="60" t="s">
        <v>21</v>
      </c>
      <c r="PE2" s="60"/>
      <c r="PF2" s="60"/>
      <c r="PG2" s="60"/>
      <c r="PH2" s="60"/>
      <c r="PI2" s="13" t="s">
        <v>66</v>
      </c>
      <c r="PJ2" s="13" t="s">
        <v>67</v>
      </c>
      <c r="PK2" s="13" t="s">
        <v>19</v>
      </c>
      <c r="PL2" s="13" t="s">
        <v>58</v>
      </c>
      <c r="PM2" s="13" t="s">
        <v>68</v>
      </c>
      <c r="PN2" s="13" t="s">
        <v>20</v>
      </c>
      <c r="PO2" s="13" t="s">
        <v>22</v>
      </c>
      <c r="PP2" s="13" t="s">
        <v>72</v>
      </c>
      <c r="PQ2" s="13" t="s">
        <v>73</v>
      </c>
      <c r="PR2" s="13" t="s">
        <v>71</v>
      </c>
      <c r="PS2" s="13" t="s">
        <v>69</v>
      </c>
      <c r="PT2" s="13" t="s">
        <v>70</v>
      </c>
      <c r="PU2" s="13" t="s">
        <v>21</v>
      </c>
      <c r="PV2" s="13" t="s">
        <v>16</v>
      </c>
      <c r="PW2" s="55" t="s">
        <v>17</v>
      </c>
      <c r="PX2" s="55"/>
      <c r="PY2" s="55"/>
      <c r="PZ2" s="55"/>
      <c r="QA2" s="55"/>
      <c r="QB2" s="55" t="s">
        <v>18</v>
      </c>
      <c r="QC2" s="55"/>
      <c r="QD2" s="55"/>
      <c r="QE2" s="55"/>
      <c r="QF2" s="55"/>
      <c r="QG2" s="55" t="s">
        <v>71</v>
      </c>
      <c r="QH2" s="55"/>
      <c r="QI2" s="55"/>
      <c r="QJ2" s="55"/>
      <c r="QK2" s="55"/>
      <c r="QL2" s="55" t="s">
        <v>21</v>
      </c>
      <c r="QM2" s="55"/>
      <c r="QN2" s="55"/>
      <c r="QO2" s="55"/>
      <c r="QP2" s="55"/>
      <c r="QQ2" s="14" t="s">
        <v>66</v>
      </c>
      <c r="QR2" s="14" t="s">
        <v>67</v>
      </c>
      <c r="QS2" s="14" t="s">
        <v>19</v>
      </c>
      <c r="QT2" s="14" t="s">
        <v>58</v>
      </c>
      <c r="QU2" s="14" t="s">
        <v>68</v>
      </c>
      <c r="QV2" s="14" t="s">
        <v>20</v>
      </c>
      <c r="QW2" s="14" t="s">
        <v>22</v>
      </c>
      <c r="QX2" s="14" t="s">
        <v>72</v>
      </c>
      <c r="QY2" s="14" t="s">
        <v>73</v>
      </c>
      <c r="QZ2" s="14" t="s">
        <v>71</v>
      </c>
      <c r="RA2" s="14" t="s">
        <v>69</v>
      </c>
      <c r="RB2" s="14" t="s">
        <v>70</v>
      </c>
      <c r="RC2" s="14" t="s">
        <v>21</v>
      </c>
      <c r="RD2" s="14" t="s">
        <v>16</v>
      </c>
      <c r="RE2" s="60" t="s">
        <v>17</v>
      </c>
      <c r="RF2" s="60"/>
      <c r="RG2" s="60"/>
      <c r="RH2" s="60"/>
      <c r="RI2" s="60"/>
      <c r="RJ2" s="60" t="s">
        <v>18</v>
      </c>
      <c r="RK2" s="60"/>
      <c r="RL2" s="60"/>
      <c r="RM2" s="60"/>
      <c r="RN2" s="60"/>
      <c r="RO2" s="60" t="s">
        <v>71</v>
      </c>
      <c r="RP2" s="60"/>
      <c r="RQ2" s="60"/>
      <c r="RR2" s="60"/>
      <c r="RS2" s="60"/>
      <c r="RT2" s="60" t="s">
        <v>21</v>
      </c>
      <c r="RU2" s="60"/>
      <c r="RV2" s="60"/>
      <c r="RW2" s="60"/>
      <c r="RX2" s="60"/>
      <c r="RY2" s="13" t="s">
        <v>66</v>
      </c>
      <c r="RZ2" s="13" t="s">
        <v>67</v>
      </c>
      <c r="SA2" s="13" t="s">
        <v>19</v>
      </c>
      <c r="SB2" s="13" t="s">
        <v>58</v>
      </c>
      <c r="SC2" s="13" t="s">
        <v>68</v>
      </c>
      <c r="SD2" s="13" t="s">
        <v>20</v>
      </c>
      <c r="SE2" s="13" t="s">
        <v>22</v>
      </c>
      <c r="SF2" s="13" t="s">
        <v>72</v>
      </c>
      <c r="SG2" s="13" t="s">
        <v>73</v>
      </c>
      <c r="SH2" s="13" t="s">
        <v>71</v>
      </c>
      <c r="SI2" s="13" t="s">
        <v>69</v>
      </c>
      <c r="SJ2" s="13" t="s">
        <v>70</v>
      </c>
      <c r="SK2" s="13" t="s">
        <v>21</v>
      </c>
      <c r="SL2" s="13" t="s">
        <v>16</v>
      </c>
      <c r="SM2" s="55" t="s">
        <v>17</v>
      </c>
      <c r="SN2" s="55"/>
      <c r="SO2" s="55"/>
      <c r="SP2" s="55"/>
      <c r="SQ2" s="55"/>
      <c r="SR2" s="55" t="s">
        <v>18</v>
      </c>
      <c r="SS2" s="55"/>
      <c r="ST2" s="55"/>
      <c r="SU2" s="55"/>
      <c r="SV2" s="55"/>
      <c r="SW2" s="55" t="s">
        <v>71</v>
      </c>
      <c r="SX2" s="55"/>
      <c r="SY2" s="55"/>
      <c r="SZ2" s="55"/>
      <c r="TA2" s="55"/>
      <c r="TB2" s="55" t="s">
        <v>21</v>
      </c>
      <c r="TC2" s="55"/>
      <c r="TD2" s="55"/>
      <c r="TE2" s="55"/>
      <c r="TF2" s="55"/>
      <c r="TG2" s="14" t="s">
        <v>66</v>
      </c>
      <c r="TH2" s="14" t="s">
        <v>67</v>
      </c>
      <c r="TI2" s="14" t="s">
        <v>19</v>
      </c>
      <c r="TJ2" s="14" t="s">
        <v>58</v>
      </c>
      <c r="TK2" s="14" t="s">
        <v>68</v>
      </c>
      <c r="TL2" s="14" t="s">
        <v>20</v>
      </c>
      <c r="TM2" s="14" t="s">
        <v>22</v>
      </c>
      <c r="TN2" s="14" t="s">
        <v>72</v>
      </c>
      <c r="TO2" s="14" t="s">
        <v>73</v>
      </c>
      <c r="TP2" s="14" t="s">
        <v>71</v>
      </c>
      <c r="TQ2" s="14" t="s">
        <v>69</v>
      </c>
      <c r="TR2" s="14" t="s">
        <v>70</v>
      </c>
      <c r="TS2" s="14" t="s">
        <v>21</v>
      </c>
      <c r="TT2" s="14" t="s">
        <v>16</v>
      </c>
      <c r="TU2" s="60" t="s">
        <v>17</v>
      </c>
      <c r="TV2" s="60"/>
      <c r="TW2" s="60"/>
      <c r="TX2" s="60"/>
      <c r="TY2" s="60"/>
      <c r="TZ2" s="60" t="s">
        <v>18</v>
      </c>
      <c r="UA2" s="60"/>
      <c r="UB2" s="60"/>
      <c r="UC2" s="60"/>
      <c r="UD2" s="60"/>
      <c r="UE2" s="60" t="s">
        <v>71</v>
      </c>
      <c r="UF2" s="60"/>
      <c r="UG2" s="60"/>
      <c r="UH2" s="60"/>
      <c r="UI2" s="60"/>
      <c r="UJ2" s="60" t="s">
        <v>21</v>
      </c>
      <c r="UK2" s="60"/>
      <c r="UL2" s="60"/>
      <c r="UM2" s="60"/>
      <c r="UN2" s="60"/>
      <c r="UO2" s="13" t="s">
        <v>66</v>
      </c>
      <c r="UP2" s="13" t="s">
        <v>67</v>
      </c>
      <c r="UQ2" s="13" t="s">
        <v>19</v>
      </c>
      <c r="UR2" s="13" t="s">
        <v>58</v>
      </c>
      <c r="US2" s="13" t="s">
        <v>68</v>
      </c>
      <c r="UT2" s="13" t="s">
        <v>20</v>
      </c>
      <c r="UU2" s="13" t="s">
        <v>22</v>
      </c>
      <c r="UV2" s="13" t="s">
        <v>72</v>
      </c>
      <c r="UW2" s="13" t="s">
        <v>73</v>
      </c>
      <c r="UX2" s="13" t="s">
        <v>71</v>
      </c>
      <c r="UY2" s="13" t="s">
        <v>69</v>
      </c>
      <c r="UZ2" s="13" t="s">
        <v>70</v>
      </c>
      <c r="VA2" s="13" t="s">
        <v>21</v>
      </c>
      <c r="VB2" s="13" t="s">
        <v>16</v>
      </c>
      <c r="VC2" s="55" t="s">
        <v>17</v>
      </c>
      <c r="VD2" s="55"/>
      <c r="VE2" s="55"/>
      <c r="VF2" s="55"/>
      <c r="VG2" s="55"/>
      <c r="VH2" s="55" t="s">
        <v>18</v>
      </c>
      <c r="VI2" s="55"/>
      <c r="VJ2" s="55"/>
      <c r="VK2" s="55"/>
      <c r="VL2" s="55"/>
      <c r="VM2" s="55" t="s">
        <v>71</v>
      </c>
      <c r="VN2" s="55"/>
      <c r="VO2" s="55"/>
      <c r="VP2" s="55"/>
      <c r="VQ2" s="55"/>
      <c r="VR2" s="55" t="s">
        <v>21</v>
      </c>
      <c r="VS2" s="55"/>
      <c r="VT2" s="55"/>
      <c r="VU2" s="55"/>
      <c r="VV2" s="55"/>
      <c r="VW2" s="14" t="s">
        <v>66</v>
      </c>
      <c r="VX2" s="14" t="s">
        <v>67</v>
      </c>
      <c r="VY2" s="14" t="s">
        <v>19</v>
      </c>
      <c r="VZ2" s="14" t="s">
        <v>58</v>
      </c>
      <c r="WA2" s="14" t="s">
        <v>68</v>
      </c>
      <c r="WB2" s="14" t="s">
        <v>20</v>
      </c>
      <c r="WC2" s="14" t="s">
        <v>22</v>
      </c>
      <c r="WD2" s="14" t="s">
        <v>72</v>
      </c>
      <c r="WE2" s="14" t="s">
        <v>73</v>
      </c>
      <c r="WF2" s="14" t="s">
        <v>71</v>
      </c>
      <c r="WG2" s="14" t="s">
        <v>69</v>
      </c>
      <c r="WH2" s="14" t="s">
        <v>70</v>
      </c>
      <c r="WI2" s="14" t="s">
        <v>21</v>
      </c>
      <c r="WJ2" s="14" t="s">
        <v>16</v>
      </c>
    </row>
    <row r="3" spans="1:608" x14ac:dyDescent="0.2">
      <c r="A3" s="57"/>
      <c r="B3" s="57"/>
      <c r="C3" s="57"/>
      <c r="D3" s="57"/>
      <c r="E3" s="57"/>
      <c r="F3" s="58"/>
      <c r="G3" s="57"/>
      <c r="H3" s="57"/>
      <c r="I3" s="57"/>
      <c r="J3" s="53"/>
      <c r="K3" s="52"/>
      <c r="L3" s="53"/>
      <c r="M3" s="52"/>
      <c r="N3" s="59"/>
      <c r="O3" s="52"/>
      <c r="P3" s="52"/>
      <c r="Q3" s="14" t="s">
        <v>13</v>
      </c>
      <c r="R3" s="14" t="s">
        <v>14</v>
      </c>
      <c r="S3" s="14" t="s">
        <v>8</v>
      </c>
      <c r="T3" s="14" t="s">
        <v>15</v>
      </c>
      <c r="U3" s="14" t="s">
        <v>27</v>
      </c>
      <c r="V3" s="14" t="s">
        <v>13</v>
      </c>
      <c r="W3" s="14" t="s">
        <v>14</v>
      </c>
      <c r="X3" s="14" t="s">
        <v>8</v>
      </c>
      <c r="Y3" s="14" t="s">
        <v>15</v>
      </c>
      <c r="Z3" s="14" t="s">
        <v>27</v>
      </c>
      <c r="AA3" s="14" t="s">
        <v>13</v>
      </c>
      <c r="AB3" s="14" t="s">
        <v>14</v>
      </c>
      <c r="AC3" s="14" t="s">
        <v>8</v>
      </c>
      <c r="AD3" s="14" t="s">
        <v>15</v>
      </c>
      <c r="AE3" s="14" t="s">
        <v>27</v>
      </c>
      <c r="AF3" s="14" t="s">
        <v>41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13</v>
      </c>
      <c r="AS3" s="13" t="s">
        <v>14</v>
      </c>
      <c r="AT3" s="13" t="s">
        <v>8</v>
      </c>
      <c r="AU3" s="13" t="s">
        <v>15</v>
      </c>
      <c r="AV3" s="13" t="s">
        <v>27</v>
      </c>
      <c r="AW3" s="13" t="s">
        <v>13</v>
      </c>
      <c r="AX3" s="13" t="s">
        <v>14</v>
      </c>
      <c r="AY3" s="13" t="s">
        <v>8</v>
      </c>
      <c r="AZ3" s="13" t="s">
        <v>15</v>
      </c>
      <c r="BA3" s="13" t="s">
        <v>27</v>
      </c>
      <c r="BB3" s="13" t="s">
        <v>13</v>
      </c>
      <c r="BC3" s="13" t="s">
        <v>14</v>
      </c>
      <c r="BD3" s="13" t="s">
        <v>8</v>
      </c>
      <c r="BE3" s="13" t="s">
        <v>15</v>
      </c>
      <c r="BF3" s="13" t="s">
        <v>27</v>
      </c>
      <c r="BG3" s="13" t="s">
        <v>41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13</v>
      </c>
      <c r="BT3" s="14" t="s">
        <v>14</v>
      </c>
      <c r="BU3" s="14" t="s">
        <v>8</v>
      </c>
      <c r="BV3" s="14" t="s">
        <v>15</v>
      </c>
      <c r="BW3" s="14" t="s">
        <v>27</v>
      </c>
      <c r="BX3" s="14" t="s">
        <v>13</v>
      </c>
      <c r="BY3" s="14" t="s">
        <v>14</v>
      </c>
      <c r="BZ3" s="14" t="s">
        <v>8</v>
      </c>
      <c r="CA3" s="14" t="s">
        <v>15</v>
      </c>
      <c r="CB3" s="14" t="s">
        <v>27</v>
      </c>
      <c r="CC3" s="14" t="s">
        <v>13</v>
      </c>
      <c r="CD3" s="14" t="s">
        <v>14</v>
      </c>
      <c r="CE3" s="14" t="s">
        <v>8</v>
      </c>
      <c r="CF3" s="14" t="s">
        <v>15</v>
      </c>
      <c r="CG3" s="14" t="s">
        <v>27</v>
      </c>
      <c r="CH3" s="14" t="s">
        <v>41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46"/>
      <c r="CU3" s="14" t="s">
        <v>13</v>
      </c>
      <c r="CV3" s="14" t="s">
        <v>14</v>
      </c>
      <c r="CW3" s="14" t="s">
        <v>8</v>
      </c>
      <c r="CX3" s="14" t="s">
        <v>15</v>
      </c>
      <c r="CY3" s="14" t="s">
        <v>27</v>
      </c>
      <c r="CZ3" s="14" t="s">
        <v>13</v>
      </c>
      <c r="DA3" s="14" t="s">
        <v>14</v>
      </c>
      <c r="DB3" s="14" t="s">
        <v>8</v>
      </c>
      <c r="DC3" s="14" t="s">
        <v>15</v>
      </c>
      <c r="DD3" s="14" t="s">
        <v>27</v>
      </c>
      <c r="DE3" s="14" t="s">
        <v>13</v>
      </c>
      <c r="DF3" s="14" t="s">
        <v>14</v>
      </c>
      <c r="DG3" s="14" t="s">
        <v>8</v>
      </c>
      <c r="DH3" s="14" t="s">
        <v>15</v>
      </c>
      <c r="DI3" s="14" t="s">
        <v>27</v>
      </c>
      <c r="DJ3" s="14" t="s">
        <v>13</v>
      </c>
      <c r="DK3" s="14" t="s">
        <v>14</v>
      </c>
      <c r="DL3" s="14" t="s">
        <v>8</v>
      </c>
      <c r="DM3" s="14" t="s">
        <v>15</v>
      </c>
      <c r="DN3" s="14" t="s">
        <v>27</v>
      </c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14"/>
      <c r="EC3" s="13" t="s">
        <v>13</v>
      </c>
      <c r="ED3" s="13" t="s">
        <v>14</v>
      </c>
      <c r="EE3" s="13" t="s">
        <v>8</v>
      </c>
      <c r="EF3" s="13" t="s">
        <v>15</v>
      </c>
      <c r="EG3" s="13" t="s">
        <v>27</v>
      </c>
      <c r="EH3" s="13" t="s">
        <v>13</v>
      </c>
      <c r="EI3" s="13" t="s">
        <v>14</v>
      </c>
      <c r="EJ3" s="13" t="s">
        <v>8</v>
      </c>
      <c r="EK3" s="13" t="s">
        <v>15</v>
      </c>
      <c r="EL3" s="13" t="s">
        <v>27</v>
      </c>
      <c r="EM3" s="13" t="s">
        <v>13</v>
      </c>
      <c r="EN3" s="13" t="s">
        <v>14</v>
      </c>
      <c r="EO3" s="13" t="s">
        <v>8</v>
      </c>
      <c r="EP3" s="13" t="s">
        <v>15</v>
      </c>
      <c r="EQ3" s="13" t="s">
        <v>27</v>
      </c>
      <c r="ER3" s="13" t="s">
        <v>13</v>
      </c>
      <c r="ES3" s="13" t="s">
        <v>14</v>
      </c>
      <c r="ET3" s="13" t="s">
        <v>8</v>
      </c>
      <c r="EU3" s="13" t="s">
        <v>15</v>
      </c>
      <c r="EV3" s="13" t="s">
        <v>27</v>
      </c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13"/>
      <c r="FK3" s="14" t="s">
        <v>13</v>
      </c>
      <c r="FL3" s="14" t="s">
        <v>14</v>
      </c>
      <c r="FM3" s="14" t="s">
        <v>8</v>
      </c>
      <c r="FN3" s="14" t="s">
        <v>15</v>
      </c>
      <c r="FO3" s="14" t="s">
        <v>27</v>
      </c>
      <c r="FP3" s="14" t="s">
        <v>13</v>
      </c>
      <c r="FQ3" s="14" t="s">
        <v>14</v>
      </c>
      <c r="FR3" s="14" t="s">
        <v>8</v>
      </c>
      <c r="FS3" s="14" t="s">
        <v>15</v>
      </c>
      <c r="FT3" s="14" t="s">
        <v>27</v>
      </c>
      <c r="FU3" s="14" t="s">
        <v>13</v>
      </c>
      <c r="FV3" s="14" t="s">
        <v>14</v>
      </c>
      <c r="FW3" s="14" t="s">
        <v>8</v>
      </c>
      <c r="FX3" s="14" t="s">
        <v>15</v>
      </c>
      <c r="FY3" s="14" t="s">
        <v>27</v>
      </c>
      <c r="FZ3" s="14" t="s">
        <v>13</v>
      </c>
      <c r="GA3" s="14" t="s">
        <v>14</v>
      </c>
      <c r="GB3" s="14" t="s">
        <v>8</v>
      </c>
      <c r="GC3" s="14" t="s">
        <v>15</v>
      </c>
      <c r="GD3" s="14" t="s">
        <v>27</v>
      </c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14"/>
      <c r="GS3" s="13" t="s">
        <v>13</v>
      </c>
      <c r="GT3" s="13" t="s">
        <v>14</v>
      </c>
      <c r="GU3" s="13" t="s">
        <v>8</v>
      </c>
      <c r="GV3" s="13" t="s">
        <v>15</v>
      </c>
      <c r="GW3" s="13" t="s">
        <v>27</v>
      </c>
      <c r="GX3" s="13" t="s">
        <v>13</v>
      </c>
      <c r="GY3" s="13" t="s">
        <v>14</v>
      </c>
      <c r="GZ3" s="13" t="s">
        <v>8</v>
      </c>
      <c r="HA3" s="13" t="s">
        <v>15</v>
      </c>
      <c r="HB3" s="13" t="s">
        <v>27</v>
      </c>
      <c r="HC3" s="13" t="s">
        <v>13</v>
      </c>
      <c r="HD3" s="13" t="s">
        <v>14</v>
      </c>
      <c r="HE3" s="13" t="s">
        <v>8</v>
      </c>
      <c r="HF3" s="13" t="s">
        <v>15</v>
      </c>
      <c r="HG3" s="13" t="s">
        <v>27</v>
      </c>
      <c r="HH3" s="13" t="s">
        <v>13</v>
      </c>
      <c r="HI3" s="13" t="s">
        <v>14</v>
      </c>
      <c r="HJ3" s="13" t="s">
        <v>8</v>
      </c>
      <c r="HK3" s="13" t="s">
        <v>15</v>
      </c>
      <c r="HL3" s="13" t="s">
        <v>27</v>
      </c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13"/>
      <c r="IA3" s="14" t="s">
        <v>13</v>
      </c>
      <c r="IB3" s="14" t="s">
        <v>14</v>
      </c>
      <c r="IC3" s="14" t="s">
        <v>8</v>
      </c>
      <c r="ID3" s="14" t="s">
        <v>15</v>
      </c>
      <c r="IE3" s="14" t="s">
        <v>27</v>
      </c>
      <c r="IF3" s="14" t="s">
        <v>13</v>
      </c>
      <c r="IG3" s="14" t="s">
        <v>14</v>
      </c>
      <c r="IH3" s="14" t="s">
        <v>8</v>
      </c>
      <c r="II3" s="14" t="s">
        <v>15</v>
      </c>
      <c r="IJ3" s="14" t="s">
        <v>27</v>
      </c>
      <c r="IK3" s="14" t="s">
        <v>13</v>
      </c>
      <c r="IL3" s="14" t="s">
        <v>14</v>
      </c>
      <c r="IM3" s="14" t="s">
        <v>8</v>
      </c>
      <c r="IN3" s="14" t="s">
        <v>15</v>
      </c>
      <c r="IO3" s="14" t="s">
        <v>27</v>
      </c>
      <c r="IP3" s="14" t="s">
        <v>13</v>
      </c>
      <c r="IQ3" s="14" t="s">
        <v>14</v>
      </c>
      <c r="IR3" s="14" t="s">
        <v>8</v>
      </c>
      <c r="IS3" s="14" t="s">
        <v>15</v>
      </c>
      <c r="IT3" s="14" t="s">
        <v>27</v>
      </c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14"/>
      <c r="JI3" s="13" t="s">
        <v>13</v>
      </c>
      <c r="JJ3" s="13" t="s">
        <v>14</v>
      </c>
      <c r="JK3" s="13" t="s">
        <v>8</v>
      </c>
      <c r="JL3" s="13" t="s">
        <v>15</v>
      </c>
      <c r="JM3" s="13" t="s">
        <v>27</v>
      </c>
      <c r="JN3" s="13" t="s">
        <v>13</v>
      </c>
      <c r="JO3" s="13" t="s">
        <v>14</v>
      </c>
      <c r="JP3" s="13" t="s">
        <v>8</v>
      </c>
      <c r="JQ3" s="13" t="s">
        <v>15</v>
      </c>
      <c r="JR3" s="13" t="s">
        <v>27</v>
      </c>
      <c r="JS3" s="13" t="s">
        <v>13</v>
      </c>
      <c r="JT3" s="13" t="s">
        <v>14</v>
      </c>
      <c r="JU3" s="13" t="s">
        <v>8</v>
      </c>
      <c r="JV3" s="13" t="s">
        <v>15</v>
      </c>
      <c r="JW3" s="13" t="s">
        <v>27</v>
      </c>
      <c r="JX3" s="13" t="s">
        <v>13</v>
      </c>
      <c r="JY3" s="13" t="s">
        <v>14</v>
      </c>
      <c r="JZ3" s="13" t="s">
        <v>8</v>
      </c>
      <c r="KA3" s="13" t="s">
        <v>15</v>
      </c>
      <c r="KB3" s="13" t="s">
        <v>27</v>
      </c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14" t="s">
        <v>13</v>
      </c>
      <c r="KR3" s="14" t="s">
        <v>14</v>
      </c>
      <c r="KS3" s="14" t="s">
        <v>8</v>
      </c>
      <c r="KT3" s="14" t="s">
        <v>15</v>
      </c>
      <c r="KU3" s="14" t="s">
        <v>27</v>
      </c>
      <c r="KV3" s="14" t="s">
        <v>13</v>
      </c>
      <c r="KW3" s="14" t="s">
        <v>14</v>
      </c>
      <c r="KX3" s="14" t="s">
        <v>8</v>
      </c>
      <c r="KY3" s="14" t="s">
        <v>15</v>
      </c>
      <c r="KZ3" s="14" t="s">
        <v>27</v>
      </c>
      <c r="LA3" s="14" t="s">
        <v>13</v>
      </c>
      <c r="LB3" s="14" t="s">
        <v>14</v>
      </c>
      <c r="LC3" s="14" t="s">
        <v>8</v>
      </c>
      <c r="LD3" s="14" t="s">
        <v>15</v>
      </c>
      <c r="LE3" s="14" t="s">
        <v>27</v>
      </c>
      <c r="LF3" s="14" t="s">
        <v>13</v>
      </c>
      <c r="LG3" s="14" t="s">
        <v>14</v>
      </c>
      <c r="LH3" s="14" t="s">
        <v>8</v>
      </c>
      <c r="LI3" s="14" t="s">
        <v>15</v>
      </c>
      <c r="LJ3" s="14" t="s">
        <v>27</v>
      </c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13" t="s">
        <v>13</v>
      </c>
      <c r="LZ3" s="13" t="s">
        <v>14</v>
      </c>
      <c r="MA3" s="13" t="s">
        <v>8</v>
      </c>
      <c r="MB3" s="13" t="s">
        <v>15</v>
      </c>
      <c r="MC3" s="13" t="s">
        <v>27</v>
      </c>
      <c r="MD3" s="13" t="s">
        <v>13</v>
      </c>
      <c r="ME3" s="13" t="s">
        <v>14</v>
      </c>
      <c r="MF3" s="13" t="s">
        <v>8</v>
      </c>
      <c r="MG3" s="13" t="s">
        <v>15</v>
      </c>
      <c r="MH3" s="13" t="s">
        <v>27</v>
      </c>
      <c r="MI3" s="13" t="s">
        <v>13</v>
      </c>
      <c r="MJ3" s="13" t="s">
        <v>14</v>
      </c>
      <c r="MK3" s="13" t="s">
        <v>8</v>
      </c>
      <c r="ML3" s="13" t="s">
        <v>15</v>
      </c>
      <c r="MM3" s="13" t="s">
        <v>27</v>
      </c>
      <c r="MN3" s="13" t="s">
        <v>13</v>
      </c>
      <c r="MO3" s="13" t="s">
        <v>14</v>
      </c>
      <c r="MP3" s="13" t="s">
        <v>8</v>
      </c>
      <c r="MQ3" s="13" t="s">
        <v>15</v>
      </c>
      <c r="MR3" s="13" t="s">
        <v>27</v>
      </c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14" t="s">
        <v>13</v>
      </c>
      <c r="NH3" s="14" t="s">
        <v>14</v>
      </c>
      <c r="NI3" s="14" t="s">
        <v>8</v>
      </c>
      <c r="NJ3" s="14" t="s">
        <v>15</v>
      </c>
      <c r="NK3" s="14" t="s">
        <v>27</v>
      </c>
      <c r="NL3" s="14" t="s">
        <v>13</v>
      </c>
      <c r="NM3" s="14" t="s">
        <v>14</v>
      </c>
      <c r="NN3" s="14" t="s">
        <v>8</v>
      </c>
      <c r="NO3" s="14" t="s">
        <v>15</v>
      </c>
      <c r="NP3" s="14" t="s">
        <v>27</v>
      </c>
      <c r="NQ3" s="14" t="s">
        <v>13</v>
      </c>
      <c r="NR3" s="14" t="s">
        <v>14</v>
      </c>
      <c r="NS3" s="14" t="s">
        <v>8</v>
      </c>
      <c r="NT3" s="14" t="s">
        <v>15</v>
      </c>
      <c r="NU3" s="14" t="s">
        <v>27</v>
      </c>
      <c r="NV3" s="14" t="s">
        <v>13</v>
      </c>
      <c r="NW3" s="14" t="s">
        <v>14</v>
      </c>
      <c r="NX3" s="14" t="s">
        <v>8</v>
      </c>
      <c r="NY3" s="14" t="s">
        <v>15</v>
      </c>
      <c r="NZ3" s="14" t="s">
        <v>27</v>
      </c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13" t="s">
        <v>13</v>
      </c>
      <c r="OP3" s="13" t="s">
        <v>14</v>
      </c>
      <c r="OQ3" s="13" t="s">
        <v>8</v>
      </c>
      <c r="OR3" s="13" t="s">
        <v>15</v>
      </c>
      <c r="OS3" s="13" t="s">
        <v>27</v>
      </c>
      <c r="OT3" s="13" t="s">
        <v>13</v>
      </c>
      <c r="OU3" s="13" t="s">
        <v>14</v>
      </c>
      <c r="OV3" s="13" t="s">
        <v>8</v>
      </c>
      <c r="OW3" s="13" t="s">
        <v>15</v>
      </c>
      <c r="OX3" s="13" t="s">
        <v>27</v>
      </c>
      <c r="OY3" s="13" t="s">
        <v>13</v>
      </c>
      <c r="OZ3" s="13" t="s">
        <v>14</v>
      </c>
      <c r="PA3" s="13" t="s">
        <v>8</v>
      </c>
      <c r="PB3" s="13" t="s">
        <v>15</v>
      </c>
      <c r="PC3" s="13" t="s">
        <v>27</v>
      </c>
      <c r="PD3" s="13" t="s">
        <v>13</v>
      </c>
      <c r="PE3" s="13" t="s">
        <v>14</v>
      </c>
      <c r="PF3" s="13" t="s">
        <v>8</v>
      </c>
      <c r="PG3" s="13" t="s">
        <v>15</v>
      </c>
      <c r="PH3" s="13" t="s">
        <v>27</v>
      </c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14" t="s">
        <v>13</v>
      </c>
      <c r="PX3" s="14" t="s">
        <v>14</v>
      </c>
      <c r="PY3" s="14" t="s">
        <v>8</v>
      </c>
      <c r="PZ3" s="14" t="s">
        <v>15</v>
      </c>
      <c r="QA3" s="14" t="s">
        <v>27</v>
      </c>
      <c r="QB3" s="14" t="s">
        <v>13</v>
      </c>
      <c r="QC3" s="14" t="s">
        <v>14</v>
      </c>
      <c r="QD3" s="14" t="s">
        <v>8</v>
      </c>
      <c r="QE3" s="14" t="s">
        <v>15</v>
      </c>
      <c r="QF3" s="14" t="s">
        <v>27</v>
      </c>
      <c r="QG3" s="14" t="s">
        <v>13</v>
      </c>
      <c r="QH3" s="14" t="s">
        <v>14</v>
      </c>
      <c r="QI3" s="14" t="s">
        <v>8</v>
      </c>
      <c r="QJ3" s="14" t="s">
        <v>15</v>
      </c>
      <c r="QK3" s="14" t="s">
        <v>27</v>
      </c>
      <c r="QL3" s="14" t="s">
        <v>13</v>
      </c>
      <c r="QM3" s="14" t="s">
        <v>14</v>
      </c>
      <c r="QN3" s="14" t="s">
        <v>8</v>
      </c>
      <c r="QO3" s="14" t="s">
        <v>15</v>
      </c>
      <c r="QP3" s="14" t="s">
        <v>27</v>
      </c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13" t="s">
        <v>13</v>
      </c>
      <c r="RF3" s="13" t="s">
        <v>14</v>
      </c>
      <c r="RG3" s="13" t="s">
        <v>8</v>
      </c>
      <c r="RH3" s="13" t="s">
        <v>15</v>
      </c>
      <c r="RI3" s="13" t="s">
        <v>27</v>
      </c>
      <c r="RJ3" s="13" t="s">
        <v>13</v>
      </c>
      <c r="RK3" s="13" t="s">
        <v>14</v>
      </c>
      <c r="RL3" s="13" t="s">
        <v>8</v>
      </c>
      <c r="RM3" s="13" t="s">
        <v>15</v>
      </c>
      <c r="RN3" s="13" t="s">
        <v>27</v>
      </c>
      <c r="RO3" s="13" t="s">
        <v>13</v>
      </c>
      <c r="RP3" s="13" t="s">
        <v>14</v>
      </c>
      <c r="RQ3" s="13" t="s">
        <v>8</v>
      </c>
      <c r="RR3" s="13" t="s">
        <v>15</v>
      </c>
      <c r="RS3" s="13" t="s">
        <v>27</v>
      </c>
      <c r="RT3" s="13" t="s">
        <v>13</v>
      </c>
      <c r="RU3" s="13" t="s">
        <v>14</v>
      </c>
      <c r="RV3" s="13" t="s">
        <v>8</v>
      </c>
      <c r="RW3" s="13" t="s">
        <v>15</v>
      </c>
      <c r="RX3" s="13" t="s">
        <v>27</v>
      </c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14" t="s">
        <v>13</v>
      </c>
      <c r="SN3" s="14" t="s">
        <v>14</v>
      </c>
      <c r="SO3" s="14" t="s">
        <v>8</v>
      </c>
      <c r="SP3" s="14" t="s">
        <v>15</v>
      </c>
      <c r="SQ3" s="14" t="s">
        <v>27</v>
      </c>
      <c r="SR3" s="14" t="s">
        <v>13</v>
      </c>
      <c r="SS3" s="14" t="s">
        <v>14</v>
      </c>
      <c r="ST3" s="14" t="s">
        <v>8</v>
      </c>
      <c r="SU3" s="14" t="s">
        <v>15</v>
      </c>
      <c r="SV3" s="14" t="s">
        <v>27</v>
      </c>
      <c r="SW3" s="14" t="s">
        <v>13</v>
      </c>
      <c r="SX3" s="14" t="s">
        <v>14</v>
      </c>
      <c r="SY3" s="14" t="s">
        <v>8</v>
      </c>
      <c r="SZ3" s="14" t="s">
        <v>15</v>
      </c>
      <c r="TA3" s="14" t="s">
        <v>27</v>
      </c>
      <c r="TB3" s="14" t="s">
        <v>13</v>
      </c>
      <c r="TC3" s="14" t="s">
        <v>14</v>
      </c>
      <c r="TD3" s="14" t="s">
        <v>8</v>
      </c>
      <c r="TE3" s="14" t="s">
        <v>15</v>
      </c>
      <c r="TF3" s="14" t="s">
        <v>27</v>
      </c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13" t="s">
        <v>13</v>
      </c>
      <c r="TV3" s="13" t="s">
        <v>14</v>
      </c>
      <c r="TW3" s="13" t="s">
        <v>8</v>
      </c>
      <c r="TX3" s="13" t="s">
        <v>15</v>
      </c>
      <c r="TY3" s="13" t="s">
        <v>27</v>
      </c>
      <c r="TZ3" s="13" t="s">
        <v>13</v>
      </c>
      <c r="UA3" s="13" t="s">
        <v>14</v>
      </c>
      <c r="UB3" s="13" t="s">
        <v>8</v>
      </c>
      <c r="UC3" s="13" t="s">
        <v>15</v>
      </c>
      <c r="UD3" s="13" t="s">
        <v>27</v>
      </c>
      <c r="UE3" s="13" t="s">
        <v>13</v>
      </c>
      <c r="UF3" s="13" t="s">
        <v>14</v>
      </c>
      <c r="UG3" s="13" t="s">
        <v>8</v>
      </c>
      <c r="UH3" s="13" t="s">
        <v>15</v>
      </c>
      <c r="UI3" s="13" t="s">
        <v>27</v>
      </c>
      <c r="UJ3" s="13" t="s">
        <v>13</v>
      </c>
      <c r="UK3" s="13" t="s">
        <v>14</v>
      </c>
      <c r="UL3" s="13" t="s">
        <v>8</v>
      </c>
      <c r="UM3" s="13" t="s">
        <v>15</v>
      </c>
      <c r="UN3" s="13" t="s">
        <v>27</v>
      </c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14" t="s">
        <v>13</v>
      </c>
      <c r="VD3" s="14" t="s">
        <v>14</v>
      </c>
      <c r="VE3" s="14" t="s">
        <v>8</v>
      </c>
      <c r="VF3" s="14" t="s">
        <v>15</v>
      </c>
      <c r="VG3" s="14" t="s">
        <v>27</v>
      </c>
      <c r="VH3" s="14" t="s">
        <v>13</v>
      </c>
      <c r="VI3" s="14" t="s">
        <v>14</v>
      </c>
      <c r="VJ3" s="14" t="s">
        <v>8</v>
      </c>
      <c r="VK3" s="14" t="s">
        <v>15</v>
      </c>
      <c r="VL3" s="14" t="s">
        <v>27</v>
      </c>
      <c r="VM3" s="14" t="s">
        <v>13</v>
      </c>
      <c r="VN3" s="14" t="s">
        <v>14</v>
      </c>
      <c r="VO3" s="14" t="s">
        <v>8</v>
      </c>
      <c r="VP3" s="14" t="s">
        <v>15</v>
      </c>
      <c r="VQ3" s="14" t="s">
        <v>27</v>
      </c>
      <c r="VR3" s="14" t="s">
        <v>13</v>
      </c>
      <c r="VS3" s="14" t="s">
        <v>14</v>
      </c>
      <c r="VT3" s="14" t="s">
        <v>8</v>
      </c>
      <c r="VU3" s="14" t="s">
        <v>15</v>
      </c>
      <c r="VV3" s="14" t="s">
        <v>27</v>
      </c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</row>
    <row r="4" spans="1:608" x14ac:dyDescent="0.2">
      <c r="A4" s="4" cm="1">
        <f t="array" ref="A4">IF(AND(H4&lt;&gt;"",H4&lt;&gt;"No DD",I4&lt;&gt;"P"),SUMPRODUCT((H$4:H$28&lt;&gt;"")*(H$4:H$28&lt;&gt;"No DD")*(I$4:I$28&lt;&gt;"P")*(E$4:E$28&gt;E4))+1,IF(H4="No DD",SUMPRODUCT((H$4:H$28="No DD")*(I$4:I$28&lt;&gt;"P")*(E$4:E$28&gt;E4))+1+SUMPRODUCT((H$4:H$28&lt;&gt;"")*(I$4:I$28&lt;&gt;"P")*(H$4:H$28&lt;&gt;"No DD")),""))</f>
        <v>1</v>
      </c>
      <c r="B4" s="5" t="s">
        <v>95</v>
      </c>
      <c r="C4" s="4" t="s">
        <v>5</v>
      </c>
      <c r="D4" s="4">
        <v>2007</v>
      </c>
      <c r="E4" s="9">
        <f t="shared" ref="E4:E27" si="0">J4+L4+N4+(J4+L4)*0.0000001+MAX(J4,L4)*0.0000000000001</f>
        <v>115.65001156500585</v>
      </c>
      <c r="F4" s="3" t="str">
        <f>IF(OR(AND(AG4&gt;=AQ$30,AG4&lt;&gt;"",AI4&gt;=AQ$34,AI4&lt;&gt;"",AF4=""),AND(AJ4&gt;=AQ$30,AJ4&lt;&gt;"",AL4&gt;=AQ$34,AL4&lt;&gt;"",AF4=""),AND(AN4&gt;=AQ$30,AN4&lt;&gt;"",AP4&gt;=AQ$34,AP4&lt;&gt;"",AF4=""),AND(BH4&gt;=BR$30,BH4&lt;&gt;"",BJ4&gt;=BR$34,BJ4&lt;&gt;"",BG4=""),AND(BK4&gt;=BR$30,BK4&lt;&gt;"",BM4&gt;=BR$34,BM4&lt;&gt;"",BG4=""),AND(BO4&gt;=BR$30,BO4&lt;&gt;"",BQ4&gt;=BR$34,BQ4&lt;&gt;"",BG4=""),AND(CI4&gt;=CS$30,CI4&lt;&gt;"",CK4&gt;=CS$34,CK4&lt;&gt;"",CH4=""),AND(CL4&gt;=CS$30,CL4&lt;&gt;"",CN4&gt;=CS$34,CN4&lt;&gt;"",CH4=""),AND(CP4&gt;=CS$30,CP4&lt;&gt;"",CR4&gt;=CS$34,CR4&lt;&gt;"",CH4=""),AND(DO4&gt;=EB$30,DO4&lt;&gt;"",DQ4&gt;=EB$34,DQ4&lt;&gt;""),AND(DR4&gt;=EB$30,DR4&lt;&gt;"",DT4&gt;=EB$34,DT4&lt;&gt;""),AND(DV4&gt;=EB$30,DV4&lt;&gt;"",DX4&gt;=EB$34,DX4&lt;&gt;""),AND(DY4&gt;=EB$30,DY4&lt;&gt;"",EA4&gt;=EB$34,EA4&lt;&gt;""),AND(EW4&gt;=FJ$30,EW4&lt;&gt;"",EY4&gt;=FJ$34,EY4&lt;&gt;""),AND(EZ4&gt;=FJ$30,EZ4&lt;&gt;"",FB4&gt;=FJ$34,FB4&lt;&gt;""),AND(FD4&gt;=FJ$30,FD4&lt;&gt;"",FF4&gt;=FJ$34,FF4&lt;&gt;""),AND(FG4&gt;=FJ$30,FG4&lt;&gt;"",FI4&gt;=FJ$34,FI4&lt;&gt;""),AND(GE4&gt;=GR$30,GE4&lt;&gt;"",GG4&gt;=GR$34,GG4&lt;&gt;""),AND(GH4&gt;=GR$30,GH4&lt;&gt;"",GJ4&gt;=GR$34,GJ4&lt;&gt;""),AND(GL4&gt;=GR$30,GL4&lt;&gt;"",GN4&gt;=GR$34,GN4&lt;&gt;""),AND(GO4&gt;=GR$30,GO4&lt;&gt;"",GQ4&gt;=GR$34,GQ4&lt;&gt;""),AND(HM4&gt;=HZ$30,HM4&lt;&gt;"",HO4&gt;=HZ$34,HO4&lt;&gt;""),AND(HP4&gt;=HZ$30,HP4&lt;&gt;"",HR4&gt;=HZ$34,HR4&lt;&gt;""),AND(HT4&gt;=HZ$30,HT4&lt;&gt;"",HV4&gt;=HZ$34,HV4&lt;&gt;""),AND(HW4&gt;=HZ$30,HW4&lt;&gt;"",HY4&gt;=HZ$34,HY4&lt;&gt;""),AND(IU4&gt;=JH$30,IU4&lt;&gt;"",IW4&gt;=JH$34,IW4&lt;&gt;""),AND(IX4&gt;=JH$30,IX4&lt;&gt;"",IZ4&gt;=JH$34,IZ4&lt;&gt;""),AND(JB4&gt;=JH$30,JB4&lt;&gt;"",JD4&gt;=JH$34,JD4&lt;&gt;""),AND(JE4&gt;=JH$30,JE4&lt;&gt;"",JG4&gt;=JH$34,JG4&lt;&gt;""),AND(KC4&gt;=KP$30,KC4&lt;&gt;"",KE4&gt;=KP$34,KE4&lt;&gt;""),AND(KF4&gt;=KP$30,KF4&lt;&gt;"",KH4&gt;=KP$34,KH4&lt;&gt;""),AND(KJ4&gt;=KP$30,KJ4&lt;&gt;"",KL4&gt;=KP$34,KL4&lt;&gt;""),AND(KM4&gt;=KP$30,KM4&lt;&gt;"",KO4&gt;=KP$34,KO4&lt;&gt;""),AND(LK4&gt;=LX$30,LK4&lt;&gt;"",LM4&gt;=LX$34,LM4&lt;&gt;""),AND(LN4&gt;=LX$30,LN4&lt;&gt;"",LP4&gt;=LX$34,LP4&lt;&gt;""),AND(LR4&gt;=LX$30,LR4&lt;&gt;"",LT4&gt;=LX$34,LT4&lt;&gt;""),AND(LU4&gt;=LX$30,LU4&lt;&gt;"",LW4&gt;=LX$34,LW4&lt;&gt;""),AND(MS4&gt;=NF$30,MS4&lt;&gt;"",MU4&gt;=NF$34,MU4&lt;&gt;""),AND(MV4&gt;=NF$30,MV4&lt;&gt;"",MX4&gt;=NF$34,MX4&lt;&gt;""),AND(MZ4&gt;=NF$30,MZ4&lt;&gt;"",NB4&gt;=NF$34,NB4&lt;&gt;""),AND(NC4&gt;=NF$30,NC4&lt;&gt;"",NE4&gt;=NF$34,NE4&lt;&gt;""),AND(OA4&gt;=ON$30,OA4&lt;&gt;"",OC4&gt;=ON$34,OC4&lt;&gt;""),AND(OD4&gt;=ON$30,OD4&lt;&gt;"",OF4&gt;=ON$34,OF4&lt;&gt;""),AND(OH4&gt;=ON$30,OH4&lt;&gt;"",OJ4&gt;=ON$34,OJ4&lt;&gt;""),AND(OK4&gt;=ON$30,OK4&lt;&gt;"",OM4&gt;=ON$34,OM4&lt;&gt;""),AND(PI4&gt;=PV$30,PI4&lt;&gt;"",PK4&gt;=PV$34,PK4&lt;&gt;""),AND(PL4&gt;=PV$30,PL4&lt;&gt;"",PN4&gt;=PV$34,PN4&lt;&gt;""),AND(PP4&gt;=PV$30,PP4&lt;&gt;"",PR4&gt;=PV$34,PR4&lt;&gt;""),AND(PS4&gt;=PV$30,PS4&lt;&gt;"",PU4&gt;=PV$34,PU4&lt;&gt;""),AND(QQ4&gt;=RD$30,QQ4&lt;&gt;"",QS4&gt;=RD$34,QS4&lt;&gt;""),AND(QT4&gt;=RD$30,QT4&lt;&gt;"",QV4&gt;=RD$34,QV4&lt;&gt;""),AND(QX4&gt;=RD$30,QX4&lt;&gt;"",QZ4&gt;=RD$34,QZ4&lt;&gt;""),AND(RA4&gt;=RD$30,RA4&lt;&gt;"",RC4&gt;=RD$34,RC4&lt;&gt;""),AND(RY4&gt;=SL$30,RY4&lt;&gt;"",SA4&gt;=SL$34,SA4&lt;&gt;""),AND(SB4&gt;=SL$30,SB4&lt;&gt;"",SD4&gt;=SL$34,SD4&lt;&gt;""),AND(SF4&gt;=SL$30,SF4&lt;&gt;"",SH4&gt;=SL$34,SH4&lt;&gt;""),AND(SI4&gt;=SL$30,SI4&lt;&gt;"",SK4&gt;=SL$34,SK4&lt;&gt;""),AND(TG4&gt;=TT$30,TG4&lt;&gt;"",TI4&gt;=TT$34,TI4&lt;&gt;""),AND(TJ4&gt;=TT$30,TJ4&lt;&gt;"",TL4&gt;=TT$34,TL4&lt;&gt;""),AND(TN4&gt;=TT$30,TN4&lt;&gt;"",TP4&gt;=TT$34,TXN4&lt;&gt;""),AND(TQ4&gt;=TT$30,TQ4&lt;&gt;"",TS4&gt;=TT$34,TS4&lt;&gt;""),AND(UO4&gt;=VB$30,UO4&lt;&gt;"",UQ4&gt;=VB$34,UQ4&lt;&gt;""),AND(UR4&gt;=VB$30,UR4&lt;&gt;"",UT4&gt;=VB$34,UT4&lt;&gt;""),AND(UV4&gt;=VB$30,UV4&lt;&gt;"",UX4&gt;=VB$34,UX4&lt;&gt;""),AND(UY4&gt;=VB$30,UY4&lt;&gt;"",VA4&gt;=VB$34,VA4&lt;&gt;""),AND(VW4&gt;=WJ$30,VW4&lt;&gt;"",VY4&gt;=WJ$34,VY4&lt;&gt;""),AND(VZ4&gt;=WJ$30,VZ4&lt;&gt;"",WB4&gt;=WJ$34,WB4&lt;&gt;""),AND(WD4&gt;=WJ$30,WD4&lt;&gt;"",WF4&gt;=WJ$34,WF4&lt;&gt;""),AND(WG4&gt;=WJ$30,WG4&lt;&gt;"",WI4&gt;=WJ$34,WI4&lt;&gt;"")),"P","")</f>
        <v>P</v>
      </c>
      <c r="G4" s="3" t="str">
        <f>IF(OR(AND(AI4&gt;=AQ$34,AI4&lt;&gt;"",AF4=""),AND(AL4&gt;=AQ$34,AL4&lt;&gt;"",AF4=""),AND(AP4&gt;=AQ$34,AP4&lt;&gt;"",AF4=""),AND(BJ4&gt;=BR$34,BJ4&lt;&gt;"",BG4=""),AND(BM4&gt;=BR$34,BM4&lt;&gt;"",BG4=""),AND(BQ4&gt;=BR$34,BQ4&lt;&gt;"",BG4=""),AND(CK4&gt;=CS$34,CK4&lt;&gt;"",CH4=""),AND(CN4&gt;=CS$34,CN4&lt;&gt;"",CH4=""),AND(CR4&gt;=CS$34,CR4&lt;&gt;"",CH4=""),AND(DQ4&gt;=EB$34,DQ4&lt;&gt;""),AND(DT4&gt;=EB$34,DT4&lt;&gt;""),AND(DX4&gt;=EB$34,DX4&lt;&gt;""),AND(EA4&gt;=EB$34,EA4&lt;&gt;""),AND(EY4&gt;=FJ$34,EY4&lt;&gt;""),AND(FB4&gt;=FJ$34,FB4&lt;&gt;""),AND(FF4&gt;=FJ$34,FF4&lt;&gt;""),AND(FI4&gt;=FJ$34,FI4&lt;&gt;""),AND(GG4&gt;=GR$34,GG4&lt;&gt;""),AND(GJ4&gt;=GR$34,GJ4&lt;&gt;""),AND(GN4&gt;=GR$34,GN4&lt;&gt;""),AND(GQ4&gt;=GR$34,GQ4&lt;&gt;""),AND(HO4&gt;=HZ$34,HO4&lt;&gt;""),AND(HR4&gt;=HZ$34,HR4&lt;&gt;""),AND(HV4&gt;=HZ$34,HV4&lt;&gt;""),AND(HY4&gt;=HZ$34,HY4&lt;&gt;""),AND(IW4&gt;=JH$34,IW4&lt;&gt;""),AND(IZ4&gt;=JH$34,IZ4&lt;&gt;""),AND(JD4&gt;=JH$34,JD4&lt;&gt;""),AND(JG4&gt;=JH$34,JG4&lt;&gt;""),AND(KE4&gt;=KP$34,KE4&lt;&gt;""),AND(KH4&gt;=KP$34,KH4&lt;&gt;""),AND(KL4&gt;=KP$34,KL4&lt;&gt;""),AND(KO4&gt;=KP$34,KO4&lt;&gt;""),AND(LM4&gt;=LX$34,LM4&lt;&gt;""),AND(LP4&gt;=LX$34,LP4&lt;&gt;""),AND(LT4&gt;=LX$34,LT4&lt;&gt;""),AND(LW4&gt;=LX$34,LW4&lt;&gt;""),AND(MU4&gt;=NF$34,MU4&lt;&gt;""),AND(MX4&gt;=NF$34,MX4&lt;&gt;""),AND(NB4&gt;=NF$34,NB4&lt;&gt;""),AND(NE4&gt;=NF$34,NE4&lt;&gt;""),AND(OC4&gt;=ON$34,OC4&lt;&gt;""),AND(OF4&gt;=ON$34,OF4&lt;&gt;""),AND(OJ4&gt;=ON$34,OJ4&lt;&gt;""),AND(OM4&gt;=ON$34,OM4&lt;&gt;""),AND(PK4&gt;=PV$34,PK4&lt;&gt;""),AND(PN4&gt;=PV$34,PN4&lt;&gt;""),AND(PR4&gt;=PV$34,PR4&lt;&gt;""),AND(PU4&gt;=PV$34,PU4&lt;&gt;""),AND(QS4&gt;=RD$34,QS4&lt;&gt;""),AND(QV4&gt;=RD$34,QV4&lt;&gt;""),AND(QZ4&gt;=RD$34,QZ4&lt;&gt;""),AND(RC4&gt;=RD$34,RC4&lt;&gt;""),AND(SA4&gt;=SL$34,SA4&lt;&gt;""),AND(SD4&gt;=SL$34,SD4&lt;&gt;""),AND(SH4&gt;=SL$34,SH4&lt;&gt;""),AND(SK4&gt;=SL$34,SK4&lt;&gt;""),AND(TI4&gt;=TT$34,TI4&lt;&gt;""),AND(TL4&gt;=TT$34,TL4&lt;&gt;""),AND(TP4&gt;=TT$34,TXN4&lt;&gt;""),AND(TS4&gt;=TT$34,TS4&lt;&gt;""),AND(UQ4&gt;=VB$34,UQ4&lt;&gt;""),AND(UT4&gt;=VB$34,UT4&lt;&gt;""),AND(UX4&gt;=VB$34,UX4&lt;&gt;""),AND(VA4&gt;=VB$34,VA4&lt;&gt;""),AND(VY4&gt;=WJ$34,VY4&lt;&gt;""),AND(WB4&gt;=WJ$34,WB4&lt;&gt;""),AND(WF4&gt;=WJ$34,WF4&lt;&gt;""),AND(WI4&gt;=WJ$34,WI4&lt;&gt;"")),"P","")</f>
        <v>P</v>
      </c>
      <c r="H4" s="32" t="str">
        <f>IF(AND(G4="P",F4=""),"No DD",IF(OR(AND(AG4&gt;=AQ$33,AG4&lt;&gt;"",AI4&gt;=AQ$37,AI4&lt;&gt;"",AF4=""),AND(AJ4&gt;=AQ$33,AJ4&lt;&gt;"",AL4&gt;=AQ$37,AL4&lt;&gt;"",AF4=""),AND(AN4&gt;=AQ$33,AN4&lt;&gt;"",AP4&gt;=AQ$37,AP4&lt;&gt;"",AF4=""),AND(BH4&gt;=BR$33,BH4&lt;&gt;"",BJ4&gt;=BR$37,BJ4&lt;&gt;"",BG4=""),AND(BK4&gt;=BR$33,BK4&lt;&gt;"",BM4&gt;=BR$37,BM4&lt;&gt;"",BG4=""),AND(BO4&gt;=BR$33,BO4&lt;&gt;"",BQ4&gt;=BR$37,BQ4&lt;&gt;"",BG4=""),AND(CI4&gt;=CS$33,CI4&lt;&gt;"",CK4&gt;=CS$37,CK4&lt;&gt;"",CH4=""),AND(CL4&gt;=CS$33,CL4&lt;&gt;"",CN4&gt;=CS$37,CN4&lt;&gt;"",CH4=""),AND(CP4&gt;=CS$33,CP4&lt;&gt;"",CR4&gt;=CS$37,CR4&lt;&gt;"",CH4=""),AND(DO4&gt;=EB$33,DO4&lt;&gt;"",DQ4&gt;=EB$37,DQ4&lt;&gt;""),AND(DR4&gt;=EB$33,DR4&lt;&gt;"",DT4&gt;=EB$37,DT4&lt;&gt;""),AND(DV4&gt;=EB$33,DV4&lt;&gt;"",DX4&gt;=EB$37,DX4&lt;&gt;""),AND(DY4&gt;=EB$33,DY4&lt;&gt;"",EA4&gt;=EB$37,EA4&lt;&gt;""),AND(EW4&gt;=FJ$33,EW4&lt;&gt;"",EY4&gt;=FJ$37,EY4&lt;&gt;""),AND(EZ4&gt;=FJ$33,EZ4&lt;&gt;"",FB4&gt;=FJ$37,FB4&lt;&gt;""),AND(FD4&gt;=FJ$33,FD4&lt;&gt;"",FF4&gt;=FJ$37,FF4&lt;&gt;""),AND(FG4&gt;=FJ$33,FG4&lt;&gt;"",FI4&gt;=FJ$37,FI4&lt;&gt;""),AND(GE4&gt;=GR$33,GE4&lt;&gt;"",GG4&gt;=GR$37,GG4&lt;&gt;""),AND(GH4&gt;=GR$33,GH4&lt;&gt;"",GJ4&gt;=GR$37,GJ4&lt;&gt;""),AND(GL4&gt;=GR$33,GL4&lt;&gt;"",GN4&gt;=GR$37,GN4&lt;&gt;""),AND(GO4&gt;=GR$33,GO4&lt;&gt;"",GQ4&gt;=GR$37,GQ4&lt;&gt;""),AND(HM4&gt;=HZ$33,HM4&lt;&gt;"",HO4&gt;=HZ$37,HO4&lt;&gt;""),AND(HP4&gt;=HZ$33,HP4&lt;&gt;"",HR4&gt;=HZ$37,HR4&lt;&gt;""),AND(HT4&gt;=HZ$33,HT4&lt;&gt;"",HV4&gt;=HZ$37,HV4&lt;&gt;""),AND(HW4&gt;=HZ$33,HW4&lt;&gt;"",HY4&gt;=HZ$37,HY4&lt;&gt;""),AND(IU4&gt;=JH$33,IU4&lt;&gt;"",IW4&gt;=JH$37,IW4&lt;&gt;""),AND(IX4&gt;=JH$33,IX4&lt;&gt;"",IZ4&gt;=JH$37,IZ4&lt;&gt;""),AND(JB4&gt;=JH$33,JB4&lt;&gt;"",JD4&gt;=JH$37,JD4&lt;&gt;""),AND(JE4&gt;=JH$33,JE4&lt;&gt;"",JG4&gt;=JH$37,JG4&lt;&gt;""),AND(KC4&gt;=KP$33,KC4&lt;&gt;"",KE4&gt;=KP$37,KE4&lt;&gt;""),AND(KF4&gt;=KP$33,KF4&lt;&gt;"",KH4&gt;=KP$37,KH4&lt;&gt;""),AND(KJ4&gt;=KP$33,KJ4&lt;&gt;"",KL4&gt;=KP$37,KL4&lt;&gt;""),AND(KM4&gt;=KP$33,KM4&lt;&gt;"",KO4&gt;=KP$37,KO4&lt;&gt;""),AND(LK4&gt;=LX$33,LK4&lt;&gt;"",LM4&gt;=LX$37,LM4&lt;&gt;""),AND(LN4&gt;=LX$33,LN4&lt;&gt;"",LP4&gt;=LX$37,LP4&lt;&gt;""),AND(LR4&gt;=LX$33,LR4&lt;&gt;"",LT4&gt;=LX$37,LT4&lt;&gt;""),AND(LU4&gt;=LX$33,LU4&lt;&gt;"",LW4&gt;=LX$37,LW4&lt;&gt;""),AND(MS4&gt;=NF$33,MS4&lt;&gt;"",MU4&gt;=NF$37,MU4&lt;&gt;""),AND(MV4&gt;=NF$33,MV4&lt;&gt;"",MX4&gt;=NF$37,MX4&lt;&gt;""),AND(MZ4&gt;=NF$33,MZ4&lt;&gt;"",NB4&gt;=NF$37,NB4&lt;&gt;""),AND(NC4&gt;=NF$33,NC4&lt;&gt;"",NE4&gt;=NF$37,NE4&lt;&gt;""),AND(OA4&gt;=ON$33,OA4&lt;&gt;"",OC4&gt;=ON$37,OC4&lt;&gt;""),AND(OD4&gt;=ON$33,OD4&lt;&gt;"",OF4&gt;=ON$37,OF4&lt;&gt;""),AND(OH4&gt;=ON$33,OH4&lt;&gt;"",OJ4&gt;=ON$37,OJ4&lt;&gt;""),AND(OK4&gt;=ON$33,OK4&lt;&gt;"",OM4&gt;=ON$37,OM4&lt;&gt;""),AND(PI4&gt;=PV$33,PI4&lt;&gt;"",PK4&gt;=PV$37,PK4&lt;&gt;""),AND(PL4&gt;=PV$33,PL4&lt;&gt;"",PN4&gt;=PV$37,PN4&lt;&gt;""),AND(PP4&gt;=PV$33,PP4&lt;&gt;"",PR4&gt;=PV$37,PR4&lt;&gt;""),AND(PS4&gt;=PV$33,PS4&lt;&gt;"",PU4&gt;=PV$37,PU4&lt;&gt;""),AND(QQ4&gt;=RD$33,QQ4&lt;&gt;"",QS4&gt;=RD$37,QS4&lt;&gt;""),AND(QT4&gt;=RD$33,QT4&lt;&gt;"",QV4&gt;=RD$37,QV4&lt;&gt;""),AND(QX4&gt;=RD$33,QX4&lt;&gt;"",QZ4&gt;=RD$37,QZ4&lt;&gt;""),AND(RA4&gt;=RD$33,RA4&lt;&gt;"",RC4&gt;=RD$37,RC4&lt;&gt;""),AND(RY4&gt;=SL$33,RY4&lt;&gt;"",SA4&gt;=SL$37,SA4&lt;&gt;""),AND(SB4&gt;=SL$33,SB4&lt;&gt;"",SD4&gt;=SL$37,SD4&lt;&gt;""),AND(SF4&gt;=SL$33,SF4&lt;&gt;"",SH4&gt;=SL$37,SH4&lt;&gt;""),AND(SI4&gt;=SL$33,SI4&lt;&gt;"",SK4&gt;=SL$37,SK4&lt;&gt;""),AND(TG4&gt;=TT$33,TG4&lt;&gt;"",TI4&gt;=TT$37,TI4&lt;&gt;""),AND(TJ4&gt;=TT$33,TJ4&lt;&gt;"",TL4&gt;=TT$37,TL4&lt;&gt;""),AND(TN4&gt;=TT$33,TN4&lt;&gt;"",TP4&gt;=TT$357,TXN4&lt;&gt;""),AND(TQ4&gt;=TT$33,TQ4&lt;&gt;"",TS4&gt;=TT$37,TS4&lt;&gt;""),AND(UO4&gt;=VB$33,UO4&lt;&gt;"",UQ4&gt;=VB$37,UQ4&lt;&gt;""),AND(UR4&gt;=VB$33,UR4&lt;&gt;"",UT4&gt;=VB$37,UT4&lt;&gt;""),AND(UV4&gt;=VB$33,UV4&lt;&gt;"",UX4&gt;=VB$37,UX4&lt;&gt;""),AND(UY4&gt;=VB$33,UY4&lt;&gt;"",VA4&gt;=VB$37,VA4&lt;&gt;""),AND(VW4&gt;=WJ$33,VW4&lt;&gt;"",VY4&gt;=WJ$37,VY4&lt;&gt;""),AND(VZ4&gt;=WJ$33,VZ4&lt;&gt;"",WB4&gt;=WJ$37,WB4&lt;&gt;""),AND(WD4&gt;=WJ$33,WD4&lt;&gt;"",WF4&gt;=WJ$37,WF4&lt;&gt;""),AND(WG4&gt;=WJ$33,WG4&lt;&gt;"",WI4&gt;=WJ$37,WI4&lt;&gt;"")),"Merit",IF(OR(AND(AG4&gt;=AQ$32,AG4&lt;&gt;"",AI4&gt;=AQ$36,AI4&lt;&gt;"",AF4=""),AND(AJ4&gt;=AQ$32,AJ4&lt;&gt;"",AL4&gt;=AQ$36,AL4&lt;&gt;"",AF4=""),AND(AN4&gt;=AQ$32,AN4&lt;&gt;"",AP4&gt;=AQ$36,AP4&lt;&gt;"",AF4=""),AND(BH4&gt;=BR$32,BH4&lt;&gt;"",BJ4&gt;=BR$36,BJ4&lt;&gt;"",BG4=""),AND(BK4&gt;=BR$32,BK4&lt;&gt;"",BM4&gt;=BR$36,BM4&lt;&gt;"",BG4=""),AND(BO4&gt;=BR$32,BO4&lt;&gt;"",BQ4&gt;=BR$36,BQ4&lt;&gt;"",BG4=""),AND(CI4&gt;=CS$32,CI4&lt;&gt;"",CK4&gt;=CS$36,CK4&lt;&gt;"",CH4=""),AND(CL4&gt;=CS$32,CL4&lt;&gt;"",CN4&gt;=CS$36,CN4&lt;&gt;"",CH4=""),AND(CP4&gt;=CS$32,CP4&lt;&gt;"",CR4&gt;=CS$36,CR4&lt;&gt;"",CH4=""),AND(DO4&gt;=EB$32,DO4&lt;&gt;"",DQ4&gt;=EB$36,DQ4&lt;&gt;""),AND(DR4&gt;=EB$32,DR4&lt;&gt;"",DT4&gt;=EB$36,DT4&lt;&gt;""),AND(DV4&gt;=EB$32,DV4&lt;&gt;"",DX4&gt;=EB$36,DX4&lt;&gt;""),AND(DY4&gt;=EB$32,DY4&lt;&gt;"",EA4&gt;=EB$36,EA4&lt;&gt;""),AND(EW4&gt;=FJ$32,EW4&lt;&gt;"",EY4&gt;=FJ$36,EY4&lt;&gt;""),AND(EZ4&gt;=FJ$32,EZ4&lt;&gt;"",FB4&gt;=FJ$36,FB4&lt;&gt;""),AND(FD4&gt;=FJ$32,FD4&lt;&gt;"",FF4&gt;=FJ$36,FF4&lt;&gt;""),AND(FG4&gt;=FJ$32,FG4&lt;&gt;"",FI4&gt;=FJ$36,FI4&lt;&gt;""),AND(GE4&gt;=GR$32,GE4&lt;&gt;"",GG4&gt;=GR$36,GG4&lt;&gt;""),AND(GH4&gt;=GR$32,GH4&lt;&gt;"",GJ4&gt;=GR$36,GJ4&lt;&gt;""),AND(GL4&gt;=GR$32,GL4&lt;&gt;"",GN4&gt;=GR$36,GN4&lt;&gt;""),AND(GO4&gt;=GR$32,GO4&lt;&gt;"",GQ4&gt;=GR$36,GQ4&lt;&gt;""),AND(HM4&gt;=HZ$32,HM4&lt;&gt;"",HO4&gt;=HZ$36,HO4&lt;&gt;""),AND(HP4&gt;=HZ$32,HP4&lt;&gt;"",HR4&gt;=HZ$36,HR4&lt;&gt;""),AND(HT4&gt;=HZ$32,HT4&lt;&gt;"",HV4&gt;=HZ$36,HV4&lt;&gt;""),AND(HW4&gt;=HZ$32,HW4&lt;&gt;"",HY4&gt;=HZ$36,HY4&lt;&gt;""),AND(IU4&gt;=JH$32,IU4&lt;&gt;"",IW4&gt;=JH$36,IW4&lt;&gt;""),AND(IX4&gt;=JH$32,IX4&lt;&gt;"",IZ4&gt;=JH$36,IZ4&lt;&gt;""),AND(JB4&gt;=JH$32,JB4&lt;&gt;"",JD4&gt;=JH$36,JD4&lt;&gt;""),AND(JE4&gt;=JH$32,JE4&lt;&gt;"",JG4&gt;=JH$36,JG4&lt;&gt;""),AND(KC4&gt;=KP$32,KC4&lt;&gt;"",KE4&gt;=KP$36,KE4&lt;&gt;""),AND(KF4&gt;=KP$32,KF4&lt;&gt;"",KH4&gt;=KP$36,KH4&lt;&gt;""),AND(KJ4&gt;=KP$32,KJ4&lt;&gt;"",KL4&gt;=KP$36,KL4&lt;&gt;""),AND(KM4&gt;=KP$32,KM4&lt;&gt;"",KO4&gt;=KP$36,KO4&lt;&gt;""),AND(LK4&gt;=LX$32,LK4&lt;&gt;"",LM4&gt;=LX$36,LM4&lt;&gt;""),AND(LN4&gt;=LX$32,LN4&lt;&gt;"",LP4&gt;=LX$36,LP4&lt;&gt;""),AND(LR4&gt;=LX$32,LR4&lt;&gt;"",LT4&gt;=LX$36,LT4&lt;&gt;""),AND(LU4&gt;=LX$32,LU4&lt;&gt;"",LW4&gt;=LX$36,LW4&lt;&gt;""),AND(MS4&gt;=NF$32,MS4&lt;&gt;"",MU4&gt;=NF$36,MU4&lt;&gt;""),AND(MV4&gt;=NF$32,MV4&lt;&gt;"",MX4&gt;=NF$36,MX4&lt;&gt;""),AND(MZ4&gt;=NF$32,MZ4&lt;&gt;"",NB4&gt;=NF$36,NB4&lt;&gt;""),AND(NC4&gt;=NF$32,NC4&lt;&gt;"",NE4&gt;=NF$36,NE4&lt;&gt;""),AND(OA4&gt;=ON$32,OA4&lt;&gt;"",OC4&gt;=ON$36,OC4&lt;&gt;""),AND(OD4&gt;=ON$32,OD4&lt;&gt;"",OF4&gt;=ON$36,OF4&lt;&gt;""),AND(OH4&gt;=ON$32,OH4&lt;&gt;"",OJ4&gt;=ON$36,OJ4&lt;&gt;""),AND(OK4&gt;=ON$32,OK4&lt;&gt;"",OM4&gt;=ON$36,OM4&lt;&gt;""),AND(PI4&gt;=PV$32,PI4&lt;&gt;"",PK4&gt;=PV$36,PK4&lt;&gt;""),AND(PL4&gt;=PV$32,PL4&lt;&gt;"",PN4&gt;=PV$36,PN4&lt;&gt;""),AND(PP4&gt;=PV$32,PP4&lt;&gt;"",PR4&gt;=PV$36,PR4&lt;&gt;""),AND(PS4&gt;=PV$32,PS4&lt;&gt;"",PU4&gt;=PV$36,PU4&lt;&gt;""),AND(QQ4&gt;=RD$32,QQ4&lt;&gt;"",QS4&gt;=RD$36,QS4&lt;&gt;""),AND(QT4&gt;=RD$32,QT4&lt;&gt;"",QV4&gt;=RD$36,QV4&lt;&gt;""),AND(QX4&gt;=RD$32,QX4&lt;&gt;"",QZ4&gt;=RD$36,QZ4&lt;&gt;""),AND(RA4&gt;=RD$32,RA4&lt;&gt;"",RC4&gt;=RD$36,RC4&lt;&gt;""),AND(RY4&gt;=SL$32,RY4&lt;&gt;"",SA4&gt;=SL$36,SA4&lt;&gt;""),AND(SB4&gt;=SL$32,SB4&lt;&gt;"",SD4&gt;=SL$36,SD4&lt;&gt;""),AND(SF4&gt;=SL$32,SF4&lt;&gt;"",SH4&gt;=SL$36,SH4&lt;&gt;""),AND(SI4&gt;=SL$32,SI4&lt;&gt;"",SK4&gt;=SL$36,SK4&lt;&gt;""),AND(TG4&gt;=TT$32,TG4&lt;&gt;"",TI4&gt;=TT$36,TI4&lt;&gt;""),AND(TJ4&gt;=TT$32,TJ4&lt;&gt;"",TL4&gt;=TT$36,TL4&lt;&gt;""),AND(TN4&gt;=TT$32,TN4&lt;&gt;"",TP4&gt;=TT$36,TXN4&lt;&gt;""),AND(TQ4&gt;=TT$32,TQ4&lt;&gt;"",TS4&gt;=TT$36,TS4&lt;&gt;""),AND(UO4&gt;=VB$32,UO4&lt;&gt;"",UQ4&gt;=VB$36,UQ4&lt;&gt;""),AND(UR4&gt;=VB$32,UR4&lt;&gt;"",UT4&gt;=VB$36,UT4&lt;&gt;""),AND(UV4&gt;=VB$32,UV4&lt;&gt;"",UX4&gt;=VB$36,UX4&lt;&gt;""),AND(UY4&gt;=VB$32,UY4&lt;&gt;"",VA4&gt;=VB$36,VA4&lt;&gt;""),AND(VW4&gt;=WJ$32,VW4&lt;&gt;"",VY4&gt;=WJ$36,VY4&lt;&gt;""),AND(VZ4&gt;=WJ$32,VZ4&lt;&gt;"",WB4&gt;=WJ$36,WB4&lt;&gt;""),AND(WD4&gt;=WJ$32,WD4&lt;&gt;"",WF4&gt;=WJ$36,WF4&lt;&gt;""),AND(WG4&gt;=WJ$32,WG4&lt;&gt;"",WI4&gt;=WJ$36,WI4&lt;&gt;"")),"Excellence",IF(I4="P","National Team",IF(F4="P","National Team","")))))</f>
        <v>National Team</v>
      </c>
      <c r="I4" s="3" t="str">
        <f>IF(COUNTIFS('Senior-M'!B:B,B4,'Senior-M'!A:A,"&lt;9",'Senior-M'!H:H,"&lt;&gt;"&amp;"No DD"),"P","")</f>
        <v/>
      </c>
      <c r="J4" s="8">
        <f t="shared" ref="J4:J27" si="1">MAX(AI4,AL4,AP4,BJ4,BM4,BQ4,CK4,CN4,CR4)</f>
        <v>58.6</v>
      </c>
      <c r="K4" s="8" t="str">
        <f t="shared" ref="K4:K27" si="2">IF(J4="","",IF(OR(J4=CK4,J4=CN4,J4=CR4),$BS$1,IF(OR(J4=BJ4,J4=BM4,J4=BQ4),$AR$1,IF(OR(J4=AI4,J4=AL4,J4=AP4),$Q$1,""))))</f>
        <v>2026 Elite Canada</v>
      </c>
      <c r="L4" s="8">
        <f>IFERROR(LARGE((AI4,AL4,AP4,BJ4,BM4,BQ4,CK4,CN4,CR4),2),0)</f>
        <v>57.05</v>
      </c>
      <c r="M4" s="8" t="str">
        <f t="shared" ref="M4:M27" si="3">IF(L4="","",IF(OR(L4=CK4,L4=CN4,L4=CR4),$BS$1,IF(OR(L4=BJ4,L4=BM4,L4=BQ4),$AR$1,IF(OR(L4=AI4,L4=AL4,L4=AP4),$Q$1,""))))</f>
        <v>2026 Elite Canada</v>
      </c>
      <c r="N4" s="8">
        <f t="shared" ref="N4:N27" si="4">IF(MAX(CT4,0)&gt;0,MAX(CT4,0),0)</f>
        <v>0</v>
      </c>
      <c r="O4" s="11" t="str">
        <f>IF(N4=0,"",IF(N4=CT4,"("&amp;CT$2&amp;")",IF(N4=#REF!,"("&amp;#REF!&amp;")")))</f>
        <v/>
      </c>
      <c r="P4" s="8" t="str">
        <f t="shared" ref="P4:P27" si="5">IF(N4=0,"",IF(N4+MAX(L4,0)=MAX(WC4,WF4,WI4),$VC$1,IF(N4+MAX(L4,0)=MAX(UU4,UX4,VA4),$TU$1,IF(N4+MAX(L4,0)=MAX(TM4,TP4,TS4),$SM$1,IF(N4+MAX(L4,0)=MAX(SE4,SH4,SK4),$RE$1,IF(N4+MAX(L4,0)=MAX(QW4,QZ4,RC4),$PW$1,IF(N4+MAX(L4,0)=MAX(PO4,PR4,PU4),$OO$1,IF(N4+MAX(L4,0)=MAX(OG4,OJ4,OM4),$NG$1,IF(N4+MAX(L4,0)=MAX(MY4,NB4,NE4),$LY$1,IF(N4+MAX(L4,0)=MAX(LQ4,LT4,LW4),$KQ$1,IF(N4+MAX(L4,0)=MAX(KI4,KL4,KO4),$JI$1,IF(N4+MAX(L4,0)=MAX(JA4,JD4,JG4),$IA$1,IF(N4+MAX(L4,0)=MAX(HS4,HV4,HY4),$GS$1,IF(N4+MAX(L4,0)=MAX(GK4,GN4,GQ4),$FK$1,IF(N4+MAX(L4,0)=MAX(FC4,FF4,FI4),$EC$1,IF(N4+MAX(L4,0)=MAX(DU4,DX4,EA4),$CU$1))))))))))))))))</f>
        <v/>
      </c>
      <c r="Q4" s="18">
        <v>12.1</v>
      </c>
      <c r="R4" s="18">
        <v>7.2</v>
      </c>
      <c r="S4" s="18">
        <v>12.3</v>
      </c>
      <c r="T4" s="18">
        <v>13.37</v>
      </c>
      <c r="U4" s="18">
        <v>0</v>
      </c>
      <c r="V4" s="18">
        <v>14.9</v>
      </c>
      <c r="W4" s="18">
        <v>9.1</v>
      </c>
      <c r="X4" s="18">
        <v>15.5</v>
      </c>
      <c r="Y4" s="18">
        <v>16.52</v>
      </c>
      <c r="Z4" s="18">
        <v>0</v>
      </c>
      <c r="AA4" s="18">
        <v>3.5</v>
      </c>
      <c r="AB4" s="18">
        <v>1.8</v>
      </c>
      <c r="AC4" s="18">
        <v>3.5</v>
      </c>
      <c r="AD4" s="18">
        <v>3.55</v>
      </c>
      <c r="AE4" s="18">
        <v>0</v>
      </c>
      <c r="AF4" s="23"/>
      <c r="AG4" s="34">
        <f t="shared" ref="AG4:AG27" si="6">IF(S4&gt;0,S4,"")</f>
        <v>12.3</v>
      </c>
      <c r="AH4" s="34">
        <f t="shared" ref="AH4:AH27" si="7">IF(T4&gt;0,T4,"")</f>
        <v>13.37</v>
      </c>
      <c r="AI4" s="36">
        <f t="shared" ref="AI4:AI27" si="8">IF(SUM(Q4:T4)-U4&gt;0,SUM(Q4:T4)-U4,"")</f>
        <v>44.97</v>
      </c>
      <c r="AJ4" s="36">
        <f t="shared" ref="AJ4:AJ27" si="9">IF(X4&gt;0,X4,"")</f>
        <v>15.5</v>
      </c>
      <c r="AK4" s="36">
        <f t="shared" ref="AK4:AK27" si="10">IF(Y4&gt;0,Y4,"")</f>
        <v>16.52</v>
      </c>
      <c r="AL4" s="36">
        <f t="shared" ref="AL4:AL27" si="11">IF(SUM(V4:Y4)-Z4&gt;0,SUM(V4:Y4)-Z4,"")</f>
        <v>56.019999999999996</v>
      </c>
      <c r="AM4" s="36">
        <f t="shared" ref="AM4:AM27" si="12">IF(AI4="","",MAX(AI4,AL4))</f>
        <v>56.019999999999996</v>
      </c>
      <c r="AN4" s="36">
        <f t="shared" ref="AN4:AN27" si="13">IF(AC4&gt;0,AC4,"")</f>
        <v>3.5</v>
      </c>
      <c r="AO4" s="36">
        <f t="shared" ref="AO4:AO27" si="14">IF(AD4&gt;0,AD4,"")</f>
        <v>3.55</v>
      </c>
      <c r="AP4" s="36">
        <f t="shared" ref="AP4:AP27" si="15">IF(SUM(AA4:AD4)-AE4&gt;0,SUM(AA4:AD4)-AE4,"")</f>
        <v>12.350000000000001</v>
      </c>
      <c r="AQ4" s="36">
        <f t="shared" ref="AQ4:AQ27" si="16">IF(SUM(AM4,AP4)&gt;0,SUM(AM4,AP4),"")</f>
        <v>68.37</v>
      </c>
      <c r="AR4" s="22">
        <v>7.2</v>
      </c>
      <c r="AS4" s="22">
        <v>4</v>
      </c>
      <c r="AT4" s="22">
        <v>8</v>
      </c>
      <c r="AU4" s="22">
        <v>8.42</v>
      </c>
      <c r="AV4" s="22">
        <v>0</v>
      </c>
      <c r="AW4" s="22">
        <v>8.1999999999999993</v>
      </c>
      <c r="AX4" s="22">
        <v>4.5999999999999996</v>
      </c>
      <c r="AY4" s="22">
        <v>8.4</v>
      </c>
      <c r="AZ4" s="22">
        <v>8.77</v>
      </c>
      <c r="BA4" s="22">
        <v>0</v>
      </c>
      <c r="BB4" s="22"/>
      <c r="BC4" s="22"/>
      <c r="BD4" s="22"/>
      <c r="BE4" s="22"/>
      <c r="BF4" s="22"/>
      <c r="BG4" s="24"/>
      <c r="BH4" s="35">
        <f t="shared" ref="BH4:BH27" si="17">IF(AT4&gt;0,AT4,"")</f>
        <v>8</v>
      </c>
      <c r="BI4" s="35">
        <f t="shared" ref="BI4:BI27" si="18">IF(AU4&gt;0,AU4,"")</f>
        <v>8.42</v>
      </c>
      <c r="BJ4" s="11">
        <f t="shared" ref="BJ4:BJ27" si="19">IF(SUM(AR4:AU4)-AV4&gt;0,SUM(AR4:AU4)-AV4,"")</f>
        <v>27.619999999999997</v>
      </c>
      <c r="BK4" s="11">
        <f t="shared" ref="BK4:BK27" si="20">IF(AY4&gt;0,AY4,"")</f>
        <v>8.4</v>
      </c>
      <c r="BL4" s="11">
        <f t="shared" ref="BL4:BL27" si="21">IF(AZ4&gt;0,AZ4,"")</f>
        <v>8.77</v>
      </c>
      <c r="BM4" s="11">
        <f t="shared" ref="BM4:BM27" si="22">IF(SUM(AW4:AZ4)-BA4&gt;0,SUM(AW4:AZ4)-BA4,"")</f>
        <v>29.97</v>
      </c>
      <c r="BN4" s="11">
        <f t="shared" ref="BN4:BN27" si="23">IF(BJ4="","",MAX(BJ4,BM4))</f>
        <v>29.97</v>
      </c>
      <c r="BO4" s="11" t="str">
        <f t="shared" ref="BO4:BO27" si="24">IF(BD4&gt;0,BD4,"")</f>
        <v/>
      </c>
      <c r="BP4" s="11" t="str">
        <f t="shared" ref="BP4:BP27" si="25">IF(BE4&gt;0,BE4,"")</f>
        <v/>
      </c>
      <c r="BQ4" s="11" t="str">
        <f t="shared" ref="BQ4:BQ27" si="26">IF(SUM(BB4:BE4)-BF4&gt;0,SUM(BB4:BE4)-BF4,"")</f>
        <v/>
      </c>
      <c r="BR4" s="11">
        <f t="shared" ref="BR4:BR27" si="27">IF(SUM(BN4,BQ4)&gt;0,SUM(BN4,BQ4),"")</f>
        <v>29.97</v>
      </c>
      <c r="BS4" s="18">
        <v>15.8</v>
      </c>
      <c r="BT4" s="18">
        <v>8.9</v>
      </c>
      <c r="BU4" s="18">
        <v>15.7</v>
      </c>
      <c r="BV4" s="18">
        <v>16.36</v>
      </c>
      <c r="BW4" s="18">
        <v>0</v>
      </c>
      <c r="BX4" s="18">
        <v>15.6</v>
      </c>
      <c r="BY4" s="18">
        <v>8.9</v>
      </c>
      <c r="BZ4" s="18">
        <v>16.100000000000001</v>
      </c>
      <c r="CA4" s="18">
        <v>16.45</v>
      </c>
      <c r="CB4" s="18">
        <v>0</v>
      </c>
      <c r="CC4" s="18">
        <v>16.600000000000001</v>
      </c>
      <c r="CD4" s="18">
        <v>9.4</v>
      </c>
      <c r="CE4" s="18">
        <v>16.100000000000001</v>
      </c>
      <c r="CF4" s="18">
        <v>16.5</v>
      </c>
      <c r="CG4" s="18">
        <v>0</v>
      </c>
      <c r="CH4" s="23"/>
      <c r="CI4" s="34">
        <f t="shared" ref="CI4:CI27" si="28">IF(BU4&gt;0,BU4,"")</f>
        <v>15.7</v>
      </c>
      <c r="CJ4" s="34">
        <f t="shared" ref="CJ4:CJ27" si="29">IF(BV4&gt;0,BV4,"")</f>
        <v>16.36</v>
      </c>
      <c r="CK4" s="36">
        <f t="shared" ref="CK4:CK27" si="30">IF(SUM(BS4:BV4)-BW4&gt;0,SUM(BS4:BV4)-BW4,"")</f>
        <v>56.760000000000005</v>
      </c>
      <c r="CL4" s="36">
        <f t="shared" ref="CL4:CL27" si="31">IF(BZ4&gt;0,BZ4,"")</f>
        <v>16.100000000000001</v>
      </c>
      <c r="CM4" s="36">
        <f t="shared" ref="CM4:CM27" si="32">IF(CA4&gt;0,CA4,"")</f>
        <v>16.45</v>
      </c>
      <c r="CN4" s="36">
        <f t="shared" ref="CN4:CN27" si="33">IF(SUM(BX4:CA4)-CB4&gt;0,SUM(BX4:CA4)-CB4,"")</f>
        <v>57.05</v>
      </c>
      <c r="CO4" s="36">
        <f t="shared" ref="CO4:CO27" si="34">IF(CK4="","",MAX(CK4,CN4))</f>
        <v>57.05</v>
      </c>
      <c r="CP4" s="36">
        <f t="shared" ref="CP4:CP27" si="35">IF(CE4&gt;0,CE4,"")</f>
        <v>16.100000000000001</v>
      </c>
      <c r="CQ4" s="36">
        <f t="shared" ref="CQ4:CQ27" si="36">IF(CF4&gt;0,CF4,"")</f>
        <v>16.5</v>
      </c>
      <c r="CR4" s="36">
        <f t="shared" ref="CR4:CR27" si="37">IF(SUM(CC4:CF4)-CG4&gt;0,SUM(CC4:CF4)-CG4,"")</f>
        <v>58.6</v>
      </c>
      <c r="CS4" s="36">
        <f t="shared" ref="CS4:CS27" si="38">IF(SUM(CO4,CR4)&gt;0,SUM(CO4,CR4),"")</f>
        <v>115.65</v>
      </c>
      <c r="CT4" s="47" t="str">
        <f t="shared" ref="CT4:CT27" si="39">IF(MAX(DU4,DX4,EA4,FC4,FF4,FI4,GK4,GN4,GQ4,HS4,HV4,HY4,JA4,JD4,JG4,KI4,KL4,KO4,LQ4,LT4,LW4,MY4,NB4,NE4,OG4,OJ4,OM4,PO4,PR4,PU4,QW4,QZ4,RC4,SE4,SH4,SK4,TM4,TP4,TS4,UU4,UX4,VA4,WC4,WF4,WI4)-MAX(L4,0)&gt;0.001,MAX(DU4,DX4,EA4,FC4,FF4,FI4,GK4,GN4,GQ4,HS4,HV4,HY4,JA4,JD4,JG4,KI4,KL4,KO4,LQ4,LT4,LW4,MY4,NB4,NE4,OG4,OJ4,OM4,PO4,PR4,PU4,QW4,QZ4,RC4,SE4,SH4,SK4,TM4,TP4,TS4,UU4,UX4,VA4,WC4,WF4,WI4)-MAX(L4,0),"")</f>
        <v/>
      </c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36" t="str">
        <f t="shared" ref="DO4:DO27" si="40">IF(CW4&gt;0,CW4,"")</f>
        <v/>
      </c>
      <c r="DP4" s="36" t="str">
        <f t="shared" ref="DP4:DP27" si="41">IF(CX4&gt;0,CX4,"")</f>
        <v/>
      </c>
      <c r="DQ4" s="36" t="str">
        <f t="shared" ref="DQ4:DQ27" si="42">IF(SUM(CU4:CX4)-CY4&gt;0,SUM(CU4:CX4)-CY4,"")</f>
        <v/>
      </c>
      <c r="DR4" s="36" t="str">
        <f t="shared" ref="DR4:DR27" si="43">IF(DB4&gt;0,DB4,"")</f>
        <v/>
      </c>
      <c r="DS4" s="36" t="str">
        <f t="shared" ref="DS4:DS27" si="44">IF(DC4&gt;0,DC4,"")</f>
        <v/>
      </c>
      <c r="DT4" s="36" t="str">
        <f t="shared" ref="DT4:DT27" si="45">IF(SUM(CZ4:DC4)-DD4&gt;0,SUM(CZ4:DC4)-DD4,"")</f>
        <v/>
      </c>
      <c r="DU4" s="36" t="str">
        <f t="shared" ref="DU4:DU27" si="46">IF(MAX(DQ4,DT4)&gt;0,MAX(DQ4,DT4),"")</f>
        <v/>
      </c>
      <c r="DV4" s="36" t="str">
        <f t="shared" ref="DV4:DV27" si="47">IF(DG4&gt;0,DG4,"")</f>
        <v/>
      </c>
      <c r="DW4" s="36" t="str">
        <f t="shared" ref="DW4:DW27" si="48">IF(DH4&gt;0,DH4,"")</f>
        <v/>
      </c>
      <c r="DX4" s="36" t="str">
        <f t="shared" ref="DX4:DX27" si="49">IF(SUM(DE4:DH4)-DI4&gt;0,SUM(DE4:DH4)-DI4,"")</f>
        <v/>
      </c>
      <c r="DY4" s="36" t="str">
        <f t="shared" ref="DY4:DY27" si="50">IF(DL4&gt;0,DL4,"")</f>
        <v/>
      </c>
      <c r="DZ4" s="36" t="str">
        <f t="shared" ref="DZ4:DZ27" si="51">IF(DM4&gt;0,DM4,"")</f>
        <v/>
      </c>
      <c r="EA4" s="36" t="str">
        <f t="shared" ref="EA4:EA27" si="52">IF(SUM(DJ4:DM4)-DN4&gt;0,SUM(DJ4:DM4)-DN4,"")</f>
        <v/>
      </c>
      <c r="EB4" s="36" t="str">
        <f t="shared" ref="EB4:EB27" si="53">IF(SUM(DU4,DX4,EA4)&gt;0,SUM(DU4,DX4,EA4),"")</f>
        <v/>
      </c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1" t="str">
        <f t="shared" ref="EW4:EW27" si="54">IF(EE4&gt;0,EE4,"")</f>
        <v/>
      </c>
      <c r="EX4" s="11" t="str">
        <f t="shared" ref="EX4:EX27" si="55">IF(EF4&gt;0,EF4,"")</f>
        <v/>
      </c>
      <c r="EY4" s="11" t="str">
        <f t="shared" ref="EY4:EY27" si="56">IF(SUM(EC4:EF4)-EG4&gt;0,SUM(EC4:EF4)-EG4,"")</f>
        <v/>
      </c>
      <c r="EZ4" s="11" t="str">
        <f t="shared" ref="EZ4:EZ27" si="57">IF(EJ4&gt;0,EJ4,"")</f>
        <v/>
      </c>
      <c r="FA4" s="11" t="str">
        <f t="shared" ref="FA4:FA27" si="58">IF(EK4&gt;0,EK4,"")</f>
        <v/>
      </c>
      <c r="FB4" s="11" t="str">
        <f t="shared" ref="FB4:FB27" si="59">IF(SUM(EH4:EK4)-EL4&gt;0,SUM(EH4:EK4)-EL4,"")</f>
        <v/>
      </c>
      <c r="FC4" s="11" t="str">
        <f t="shared" ref="FC4:FC27" si="60">IF(MAX(EY4,FB4)&gt;0,MAX(EY4,FB4),"")</f>
        <v/>
      </c>
      <c r="FD4" s="11" t="str">
        <f t="shared" ref="FD4:FD27" si="61">IF(EO4&gt;0,EO4,"")</f>
        <v/>
      </c>
      <c r="FE4" s="11" t="str">
        <f t="shared" ref="FE4:FE27" si="62">IF(EP4&gt;0,EP4,"")</f>
        <v/>
      </c>
      <c r="FF4" s="11" t="str">
        <f t="shared" ref="FF4:FF27" si="63">IF(SUM(EM4:EP4)-EQ4&gt;0,SUM(EM4:EP4)-EQ4,"")</f>
        <v/>
      </c>
      <c r="FG4" s="11" t="str">
        <f t="shared" ref="FG4:FG27" si="64">IF(ET4&gt;0,ET4,"")</f>
        <v/>
      </c>
      <c r="FH4" s="11" t="str">
        <f t="shared" ref="FH4:FH27" si="65">IF(EU4&gt;0,EU4,"")</f>
        <v/>
      </c>
      <c r="FI4" s="11" t="str">
        <f t="shared" ref="FI4:FI27" si="66">IF(SUM(ER4:EU4)-EV4&gt;0,SUM(ER4:EU4)-EV4,"")</f>
        <v/>
      </c>
      <c r="FJ4" s="11" t="str">
        <f t="shared" ref="FJ4:FJ27" si="67">IF(SUM(FC4,FF4,FI4)&gt;0,SUM(FC4,FF4,FI4),"")</f>
        <v/>
      </c>
      <c r="FK4" s="15">
        <v>14.8</v>
      </c>
      <c r="FL4" s="15">
        <v>9.3000000000000007</v>
      </c>
      <c r="FM4" s="15">
        <v>15.3</v>
      </c>
      <c r="FN4" s="15">
        <v>16.68</v>
      </c>
      <c r="FO4" s="15">
        <v>0</v>
      </c>
      <c r="FP4" s="15">
        <v>13.6</v>
      </c>
      <c r="FQ4" s="15">
        <v>9.3000000000000007</v>
      </c>
      <c r="FR4" s="15">
        <v>14.5</v>
      </c>
      <c r="FS4" s="15">
        <v>16.47</v>
      </c>
      <c r="FT4" s="15">
        <v>0</v>
      </c>
      <c r="FU4" s="15">
        <v>2.8</v>
      </c>
      <c r="FV4" s="15">
        <v>1.8</v>
      </c>
      <c r="FW4" s="15">
        <v>3.5</v>
      </c>
      <c r="FX4" s="15">
        <v>3.52</v>
      </c>
      <c r="FY4" s="15">
        <v>0</v>
      </c>
      <c r="FZ4" s="15"/>
      <c r="GA4" s="15"/>
      <c r="GB4" s="15"/>
      <c r="GC4" s="15"/>
      <c r="GD4" s="15"/>
      <c r="GE4" s="36">
        <f t="shared" ref="GE4:GE27" si="68">IF(FM4&gt;0,FM4,"")</f>
        <v>15.3</v>
      </c>
      <c r="GF4" s="36">
        <f t="shared" ref="GF4:GF27" si="69">IF(FN4&gt;0,FN4,"")</f>
        <v>16.68</v>
      </c>
      <c r="GG4" s="36">
        <f t="shared" ref="GG4:GG27" si="70">IF(SUM(FK4:FN4)-FO4&gt;0,SUM(FK4:FN4)-FO4,"")</f>
        <v>56.080000000000005</v>
      </c>
      <c r="GH4" s="36">
        <f t="shared" ref="GH4:GH27" si="71">IF(FR4&gt;0,FR4,"")</f>
        <v>14.5</v>
      </c>
      <c r="GI4" s="36">
        <f t="shared" ref="GI4:GI27" si="72">IF(FS4&gt;0,FS4,"")</f>
        <v>16.47</v>
      </c>
      <c r="GJ4" s="36">
        <f t="shared" ref="GJ4:GJ27" si="73">IF(SUM(FP4:FS4)-FT4&gt;0,SUM(FP4:FS4)-FT4,"")</f>
        <v>53.87</v>
      </c>
      <c r="GK4" s="36">
        <f t="shared" ref="GK4:GK27" si="74">IF(MAX(GG4,GJ4)&gt;0,MAX(GG4,GJ4),"")</f>
        <v>56.080000000000005</v>
      </c>
      <c r="GL4" s="36">
        <f t="shared" ref="GL4:GL27" si="75">IF(FW4&gt;0,FW4,"")</f>
        <v>3.5</v>
      </c>
      <c r="GM4" s="36">
        <f t="shared" ref="GM4:GM27" si="76">IF(FX4&gt;0,FX4,"")</f>
        <v>3.52</v>
      </c>
      <c r="GN4" s="36">
        <f t="shared" ref="GN4:GN27" si="77">IF(SUM(FU4:FX4)-FY4&gt;0,SUM(FU4:FX4)-FY4,"")</f>
        <v>11.62</v>
      </c>
      <c r="GO4" s="36" t="str">
        <f t="shared" ref="GO4:GO27" si="78">IF(GB4&gt;0,GB4,"")</f>
        <v/>
      </c>
      <c r="GP4" s="36" t="str">
        <f t="shared" ref="GP4:GP27" si="79">IF(GC4&gt;0,GC4,"")</f>
        <v/>
      </c>
      <c r="GQ4" s="36" t="str">
        <f t="shared" ref="GQ4:GQ27" si="80">IF(SUM(FZ4:GC4)-GD4&gt;0,SUM(FZ4:GC4)-GD4,"")</f>
        <v/>
      </c>
      <c r="GR4" s="36">
        <f t="shared" ref="GR4:GR27" si="81">IF(SUM(GK4,GN4,GQ4)&gt;0,SUM(GK4,GN4,GQ4),"")</f>
        <v>67.7</v>
      </c>
      <c r="GS4" s="16"/>
      <c r="GT4" s="16"/>
      <c r="GU4" s="16"/>
      <c r="GV4" s="16"/>
      <c r="GW4" s="16"/>
      <c r="GX4" s="16">
        <v>14.3</v>
      </c>
      <c r="GY4" s="16">
        <v>9.1</v>
      </c>
      <c r="GZ4" s="16">
        <v>15.3</v>
      </c>
      <c r="HA4" s="16">
        <v>16.239999999999998</v>
      </c>
      <c r="HB4" s="16">
        <v>0</v>
      </c>
      <c r="HC4" s="16"/>
      <c r="HD4" s="16"/>
      <c r="HE4" s="16"/>
      <c r="HF4" s="16"/>
      <c r="HG4" s="16"/>
      <c r="HH4" s="16">
        <v>15.4</v>
      </c>
      <c r="HI4" s="16">
        <v>9.1999999999999993</v>
      </c>
      <c r="HJ4" s="16">
        <v>14.4</v>
      </c>
      <c r="HK4" s="16">
        <v>16.309999999999999</v>
      </c>
      <c r="HL4" s="16">
        <v>0</v>
      </c>
      <c r="HM4" s="11" t="str">
        <f t="shared" ref="HM4:HM27" si="82">IF(GU4&gt;0,GU4,"")</f>
        <v/>
      </c>
      <c r="HN4" s="11" t="str">
        <f t="shared" ref="HN4:HN27" si="83">IF(GV4&gt;0,GV4,"")</f>
        <v/>
      </c>
      <c r="HO4" s="11" t="str">
        <f t="shared" ref="HO4:HO27" si="84">IF(SUM(GS4:GV4)-GW4&gt;0,SUM(GS4:GV4)-GW4,"")</f>
        <v/>
      </c>
      <c r="HP4" s="11">
        <f t="shared" ref="HP4:HP27" si="85">IF(GZ4&gt;0,GZ4,"")</f>
        <v>15.3</v>
      </c>
      <c r="HQ4" s="11">
        <f t="shared" ref="HQ4:HQ27" si="86">IF(HA4&gt;0,HA4,"")</f>
        <v>16.239999999999998</v>
      </c>
      <c r="HR4" s="11">
        <f t="shared" ref="HR4:HR27" si="87">IF(SUM(GX4:HA4)-HB4&gt;0,SUM(GX4:HA4)-HB4,"")</f>
        <v>54.94</v>
      </c>
      <c r="HS4" s="11">
        <f t="shared" ref="HS4:HS27" si="88">IF(MAX(HO4,HR4)&gt;0,MAX(HO4,HR4),"")</f>
        <v>54.94</v>
      </c>
      <c r="HT4" s="11" t="str">
        <f t="shared" ref="HT4:HT27" si="89">IF(HE4&gt;0,HE4,"")</f>
        <v/>
      </c>
      <c r="HU4" s="11" t="str">
        <f t="shared" ref="HU4:HU27" si="90">IF(HF4&gt;0,HF4,"")</f>
        <v/>
      </c>
      <c r="HV4" s="11" t="str">
        <f t="shared" ref="HV4:HV27" si="91">IF(SUM(HC4:HF4)-HG4&gt;0,SUM(HC4:HF4)-HG4,"")</f>
        <v/>
      </c>
      <c r="HW4" s="11">
        <f t="shared" ref="HW4:HW27" si="92">IF(HJ4&gt;0,HJ4,"")</f>
        <v>14.4</v>
      </c>
      <c r="HX4" s="11">
        <f t="shared" ref="HX4:HX27" si="93">IF(HK4&gt;0,HK4,"")</f>
        <v>16.309999999999999</v>
      </c>
      <c r="HY4" s="11">
        <f t="shared" ref="HY4:HY27" si="94">IF(SUM(HH4:HK4)-HL4&gt;0,SUM(HH4:HK4)-HL4,"")</f>
        <v>55.31</v>
      </c>
      <c r="HZ4" s="11">
        <f t="shared" ref="HZ4:HZ27" si="95">IF(SUM(HS4,HV4,HY4)&gt;0,SUM(HS4,HV4,HY4),"")</f>
        <v>110.25</v>
      </c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36" t="str">
        <f t="shared" ref="IU4:IU27" si="96">IF(IC4&gt;0,IC4,"")</f>
        <v/>
      </c>
      <c r="IV4" s="36" t="str">
        <f t="shared" ref="IV4:IV27" si="97">IF(ID4&gt;0,ID4,"")</f>
        <v/>
      </c>
      <c r="IW4" s="36" t="str">
        <f t="shared" ref="IW4:IW27" si="98">IF(SUM(IA4:ID4)-IE4&gt;0,SUM(IA4:ID4)-IE4,"")</f>
        <v/>
      </c>
      <c r="IX4" s="36" t="str">
        <f t="shared" ref="IX4:IX27" si="99">IF(IH4&gt;0,IH4,"")</f>
        <v/>
      </c>
      <c r="IY4" s="36" t="str">
        <f t="shared" ref="IY4:IY27" si="100">IF(II4&gt;0,II4,"")</f>
        <v/>
      </c>
      <c r="IZ4" s="36" t="str">
        <f t="shared" ref="IZ4:IZ27" si="101">IF(SUM(IF4:II4)-IJ4&gt;0,SUM(IF4:II4)-IJ4,"")</f>
        <v/>
      </c>
      <c r="JA4" s="36" t="str">
        <f t="shared" ref="JA4:JA27" si="102">IF(MAX(IW4,IZ4)&gt;0,MAX(IW4,IZ4),"")</f>
        <v/>
      </c>
      <c r="JB4" s="36" t="str">
        <f t="shared" ref="JB4:JB27" si="103">IF(IM4&gt;0,IM4,"")</f>
        <v/>
      </c>
      <c r="JC4" s="36" t="str">
        <f t="shared" ref="JC4:JC27" si="104">IF(IN4&gt;0,IN4,"")</f>
        <v/>
      </c>
      <c r="JD4" s="36" t="str">
        <f t="shared" ref="JD4:JD27" si="105">IF(SUM(IK4:IN4)-IO4&gt;0,SUM(IK4:IN4)-IO4,"")</f>
        <v/>
      </c>
      <c r="JE4" s="36" t="str">
        <f t="shared" ref="JE4:JE27" si="106">IF(IR4&gt;0,IR4,"")</f>
        <v/>
      </c>
      <c r="JF4" s="36" t="str">
        <f t="shared" ref="JF4:JF27" si="107">IF(IS4&gt;0,IS4,"")</f>
        <v/>
      </c>
      <c r="JG4" s="36" t="str">
        <f t="shared" ref="JG4:JG27" si="108">IF(SUM(IP4:IS4)-IT4&gt;0,SUM(IP4:IS4)-IT4,"")</f>
        <v/>
      </c>
      <c r="JH4" s="36" t="str">
        <f t="shared" ref="JH4:JH27" si="109">IF(SUM(JA4,JD4,JG4)&gt;0,SUM(JA4,JD4,JG4),"")</f>
        <v/>
      </c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1" t="str">
        <f t="shared" ref="KC4:KC27" si="110">IF(JK4&gt;0,JK4,"")</f>
        <v/>
      </c>
      <c r="KD4" s="11" t="str">
        <f t="shared" ref="KD4:KD27" si="111">IF(JL4&gt;0,JL4,"")</f>
        <v/>
      </c>
      <c r="KE4" s="11" t="str">
        <f t="shared" ref="KE4:KE27" si="112">IF(SUM(JI4:JL4)-JM4&gt;0,SUM(JI4:JL4)-JM4,"")</f>
        <v/>
      </c>
      <c r="KF4" s="11" t="str">
        <f t="shared" ref="KF4:KF27" si="113">IF(JP4&gt;0,JP4,"")</f>
        <v/>
      </c>
      <c r="KG4" s="11" t="str">
        <f t="shared" ref="KG4:KG27" si="114">IF(JQ4&gt;0,JQ4,"")</f>
        <v/>
      </c>
      <c r="KH4" s="11" t="str">
        <f t="shared" ref="KH4:KH27" si="115">IF(SUM(JN4:JQ4)-JR4&gt;0,SUM(JN4:JQ4)-JR4,"")</f>
        <v/>
      </c>
      <c r="KI4" s="11" t="str">
        <f t="shared" ref="KI4:KI27" si="116">IF(MAX(KE4,KH4)&gt;0,MAX(KE4,KH4),"")</f>
        <v/>
      </c>
      <c r="KJ4" s="11" t="str">
        <f t="shared" ref="KJ4:KJ27" si="117">IF(JU4&gt;0,JU4,"")</f>
        <v/>
      </c>
      <c r="KK4" s="11" t="str">
        <f t="shared" ref="KK4:KK27" si="118">IF(JV4&gt;0,JV4,"")</f>
        <v/>
      </c>
      <c r="KL4" s="11" t="str">
        <f t="shared" ref="KL4:KL27" si="119">IF(SUM(JS4:JV4)-JW4&gt;0,SUM(JS4:JV4)-JW4,"")</f>
        <v/>
      </c>
      <c r="KM4" s="11" t="str">
        <f t="shared" ref="KM4:KM27" si="120">IF(JZ4&gt;0,JZ4,"")</f>
        <v/>
      </c>
      <c r="KN4" s="11" t="str">
        <f t="shared" ref="KN4:KN27" si="121">IF(KA4&gt;0,KA4,"")</f>
        <v/>
      </c>
      <c r="KO4" s="11" t="str">
        <f t="shared" ref="KO4:KO27" si="122">IF(SUM(JX4:KA4)-KB4&gt;0,SUM(JX4:KA4)-KB4,"")</f>
        <v/>
      </c>
      <c r="KP4" s="11" t="str">
        <f t="shared" ref="KP4:KP27" si="123">IF(SUM(KI4,KL4,KO4)&gt;0,SUM(KI4,KL4,KO4),"")</f>
        <v/>
      </c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36" t="str">
        <f t="shared" ref="LK4:LK27" si="124">IF(KS4&gt;0,KS4,"")</f>
        <v/>
      </c>
      <c r="LL4" s="36" t="str">
        <f t="shared" ref="LL4:LL27" si="125">IF(KT4&gt;0,KT4,"")</f>
        <v/>
      </c>
      <c r="LM4" s="36" t="str">
        <f t="shared" ref="LM4:LM27" si="126">IF(SUM(KQ4:KT4)-KU4&gt;0,SUM(KQ4:KT4)-KU4,"")</f>
        <v/>
      </c>
      <c r="LN4" s="36" t="str">
        <f t="shared" ref="LN4:LN27" si="127">IF(KX4&gt;0,KX4,"")</f>
        <v/>
      </c>
      <c r="LO4" s="36" t="str">
        <f t="shared" ref="LO4:LO27" si="128">IF(KY4&gt;0,KY4,"")</f>
        <v/>
      </c>
      <c r="LP4" s="36" t="str">
        <f t="shared" ref="LP4:LP27" si="129">IF(SUM(KV4:KY4)-KZ4&gt;0,SUM(KV4:KY4)-KZ4,"")</f>
        <v/>
      </c>
      <c r="LQ4" s="36" t="str">
        <f t="shared" ref="LQ4:LQ27" si="130">IF(MAX(LM4,LP4)&gt;0,MAX(LM4,LP4),"")</f>
        <v/>
      </c>
      <c r="LR4" s="36" t="str">
        <f t="shared" ref="LR4:LR27" si="131">IF(LC4&gt;0,LC4,"")</f>
        <v/>
      </c>
      <c r="LS4" s="36" t="str">
        <f t="shared" ref="LS4:LS27" si="132">IF(LD4&gt;0,LD4,"")</f>
        <v/>
      </c>
      <c r="LT4" s="36" t="str">
        <f t="shared" ref="LT4:LT27" si="133">IF(SUM(LA4:LD4)-LE4&gt;0,SUM(LA4:LD4)-LE4,"")</f>
        <v/>
      </c>
      <c r="LU4" s="36" t="str">
        <f t="shared" ref="LU4:LU27" si="134">IF(LH4&gt;0,LH4,"")</f>
        <v/>
      </c>
      <c r="LV4" s="36" t="str">
        <f t="shared" ref="LV4:LV27" si="135">IF(LI4&gt;0,LI4,"")</f>
        <v/>
      </c>
      <c r="LW4" s="36" t="str">
        <f t="shared" ref="LW4:LW27" si="136">IF(SUM(LF4:LI4)-LJ4&gt;0,SUM(LF4:LI4)-LJ4,"")</f>
        <v/>
      </c>
      <c r="LX4" s="36" t="str">
        <f t="shared" ref="LX4:LX27" si="137">IF(SUM(LQ4,LT4,LW4)&gt;0,SUM(LQ4,LT4,LW4),"")</f>
        <v/>
      </c>
      <c r="LY4" s="16">
        <v>15.1</v>
      </c>
      <c r="LZ4" s="16">
        <v>9.3000000000000007</v>
      </c>
      <c r="MA4" s="16">
        <v>2.8</v>
      </c>
      <c r="MB4" s="16">
        <v>17.149999999999999</v>
      </c>
      <c r="MC4" s="16">
        <v>0</v>
      </c>
      <c r="MD4" s="16">
        <v>5.9</v>
      </c>
      <c r="ME4" s="16">
        <v>3.6</v>
      </c>
      <c r="MF4" s="16">
        <v>6.5</v>
      </c>
      <c r="MG4" s="16">
        <v>6.82</v>
      </c>
      <c r="MH4" s="16">
        <v>0</v>
      </c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1">
        <f t="shared" ref="MS4:MS27" si="138">IF(MA4&gt;0,MA4,"")</f>
        <v>2.8</v>
      </c>
      <c r="MT4" s="11">
        <f t="shared" ref="MT4:MT27" si="139">IF(MB4&gt;0,MB4,"")</f>
        <v>17.149999999999999</v>
      </c>
      <c r="MU4" s="11">
        <f t="shared" ref="MU4:MU27" si="140">IF(SUM(LY4:MB4)-MC4&gt;0,SUM(LY4:MB4)-MC4,"")</f>
        <v>44.349999999999994</v>
      </c>
      <c r="MV4" s="11">
        <f t="shared" ref="MV4:MV27" si="141">IF(MF4&gt;0,MF4,"")</f>
        <v>6.5</v>
      </c>
      <c r="MW4" s="11">
        <f t="shared" ref="MW4:MW27" si="142">IF(MG4&gt;0,MG4,"")</f>
        <v>6.82</v>
      </c>
      <c r="MX4" s="11">
        <f t="shared" ref="MX4:MX27" si="143">IF(SUM(MD4:MG4)-MH4&gt;0,SUM(MD4:MG4)-MH4,"")</f>
        <v>22.82</v>
      </c>
      <c r="MY4" s="11">
        <f t="shared" ref="MY4:MY27" si="144">IF(MAX(MU4,MX4)&gt;0,MAX(MU4,MX4),"")</f>
        <v>44.349999999999994</v>
      </c>
      <c r="MZ4" s="11" t="str">
        <f t="shared" ref="MZ4:MZ27" si="145">IF(MK4&gt;0,MK4,"")</f>
        <v/>
      </c>
      <c r="NA4" s="11" t="str">
        <f t="shared" ref="NA4:NA27" si="146">IF(ML4&gt;0,ML4,"")</f>
        <v/>
      </c>
      <c r="NB4" s="11" t="str">
        <f t="shared" ref="NB4:NB27" si="147">IF(SUM(MI4:ML4)-MM4&gt;0,SUM(MI4:ML4)-MM4,"")</f>
        <v/>
      </c>
      <c r="NC4" s="11" t="str">
        <f t="shared" ref="NC4:NC27" si="148">IF(MP4&gt;0,MP4,"")</f>
        <v/>
      </c>
      <c r="ND4" s="11" t="str">
        <f t="shared" ref="ND4:ND27" si="149">IF(MQ4&gt;0,MQ4,"")</f>
        <v/>
      </c>
      <c r="NE4" s="11" t="str">
        <f t="shared" ref="NE4:NE27" si="150">IF(SUM(MN4:MQ4)-MR4&gt;0,SUM(MN4:MQ4)-MR4,"")</f>
        <v/>
      </c>
      <c r="NF4" s="11">
        <f t="shared" ref="NF4:NF27" si="151">IF(SUM(MY4,NB4,NE4)&gt;0,SUM(MY4,NB4,NE4),"")</f>
        <v>44.349999999999994</v>
      </c>
      <c r="NG4" s="15"/>
      <c r="NH4" s="15"/>
      <c r="NI4" s="15"/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36" t="str">
        <f t="shared" ref="OA4:OA27" si="152">IF(NI4&gt;0,NI4,"")</f>
        <v/>
      </c>
      <c r="OB4" s="36" t="str">
        <f t="shared" ref="OB4:OB27" si="153">IF(NJ4&gt;0,NJ4,"")</f>
        <v/>
      </c>
      <c r="OC4" s="36" t="str">
        <f t="shared" ref="OC4:OC27" si="154">IF(SUM(NG4:NJ4)-NK4&gt;0,SUM(NG4:NJ4)-NK4,"")</f>
        <v/>
      </c>
      <c r="OD4" s="36" t="str">
        <f t="shared" ref="OD4:OD27" si="155">IF(NN4&gt;0,NN4,"")</f>
        <v/>
      </c>
      <c r="OE4" s="36" t="str">
        <f t="shared" ref="OE4:OE27" si="156">IF(NO4&gt;0,NO4,"")</f>
        <v/>
      </c>
      <c r="OF4" s="36" t="str">
        <f t="shared" ref="OF4:OF27" si="157">IF(SUM(NL4:NO4)-NP4&gt;0,SUM(NL4:NO4)-NP4,"")</f>
        <v/>
      </c>
      <c r="OG4" s="36" t="str">
        <f t="shared" ref="OG4:OG27" si="158">IF(MAX(OC4,OF4)&gt;0,MAX(OC4,OF4),"")</f>
        <v/>
      </c>
      <c r="OH4" s="36" t="str">
        <f t="shared" ref="OH4:OH27" si="159">IF(NS4&gt;0,NS4,"")</f>
        <v/>
      </c>
      <c r="OI4" s="36" t="str">
        <f t="shared" ref="OI4:OI27" si="160">IF(NT4&gt;0,NT4,"")</f>
        <v/>
      </c>
      <c r="OJ4" s="36" t="str">
        <f t="shared" ref="OJ4:OJ27" si="161">IF(SUM(NQ4:NT4)-NU4&gt;0,SUM(NQ4:NT4)-NU4,"")</f>
        <v/>
      </c>
      <c r="OK4" s="36" t="str">
        <f t="shared" ref="OK4:OK27" si="162">IF(NX4&gt;0,NX4,"")</f>
        <v/>
      </c>
      <c r="OL4" s="36" t="str">
        <f t="shared" ref="OL4:OL27" si="163">IF(NY4&gt;0,NY4,"")</f>
        <v/>
      </c>
      <c r="OM4" s="36" t="str">
        <f t="shared" ref="OM4:OM27" si="164">IF(SUM(NV4:NY4)-NZ4&gt;0,SUM(NV4:NY4)-NZ4,"")</f>
        <v/>
      </c>
      <c r="ON4" s="36" t="str">
        <f t="shared" ref="ON4:ON27" si="165">IF(SUM(OG4,OJ4,OM4)&gt;0,SUM(OG4,OJ4,OM4),"")</f>
        <v/>
      </c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1" t="str">
        <f t="shared" ref="PI4:PI27" si="166">IF(OQ4&gt;0,OQ4,"")</f>
        <v/>
      </c>
      <c r="PJ4" s="11" t="str">
        <f t="shared" ref="PJ4:PJ27" si="167">IF(OR4&gt;0,OR4,"")</f>
        <v/>
      </c>
      <c r="PK4" s="11" t="str">
        <f t="shared" ref="PK4:PK27" si="168">IF(SUM(OO4:OR4)-OS4&gt;0,SUM(OO4:OR4)-OS4,"")</f>
        <v/>
      </c>
      <c r="PL4" s="11" t="str">
        <f t="shared" ref="PL4:PL27" si="169">IF(OV4&gt;0,OV4,"")</f>
        <v/>
      </c>
      <c r="PM4" s="11" t="str">
        <f t="shared" ref="PM4:PM27" si="170">IF(OW4&gt;0,OW4,"")</f>
        <v/>
      </c>
      <c r="PN4" s="11" t="str">
        <f t="shared" ref="PN4:PN27" si="171">IF(SUM(OT4:OW4)-OX4&gt;0,SUM(OT4:OW4)-OX4,"")</f>
        <v/>
      </c>
      <c r="PO4" s="11" t="str">
        <f t="shared" ref="PO4:PO27" si="172">IF(MAX(PK4,PN4)&gt;0,MAX(PK4,PN4),"")</f>
        <v/>
      </c>
      <c r="PP4" s="11" t="str">
        <f t="shared" ref="PP4:PP27" si="173">IF(PA4&gt;0,PA4,"")</f>
        <v/>
      </c>
      <c r="PQ4" s="11" t="str">
        <f t="shared" ref="PQ4:PQ27" si="174">IF(PB4&gt;0,PB4,"")</f>
        <v/>
      </c>
      <c r="PR4" s="11" t="str">
        <f t="shared" ref="PR4:PR27" si="175">IF(SUM(OY4:PB4)-PC4&gt;0,SUM(OY4:PB4)-PC4,"")</f>
        <v/>
      </c>
      <c r="PS4" s="11" t="str">
        <f t="shared" ref="PS4:PS27" si="176">IF(PF4&gt;0,PF4,"")</f>
        <v/>
      </c>
      <c r="PT4" s="11" t="str">
        <f t="shared" ref="PT4:PT27" si="177">IF(PG4&gt;0,PG4,"")</f>
        <v/>
      </c>
      <c r="PU4" s="11" t="str">
        <f t="shared" ref="PU4:PU27" si="178">IF(SUM(PD4:PG4)-PH4&gt;0,SUM(PD4:PG4)-PH4,"")</f>
        <v/>
      </c>
      <c r="PV4" s="11" t="str">
        <f t="shared" ref="PV4:PV27" si="179">IF(SUM(PO4,PR4,PU4)&gt;0,SUM(PO4,PR4,PU4),"")</f>
        <v/>
      </c>
      <c r="PW4" s="15"/>
      <c r="PX4" s="15"/>
      <c r="PY4" s="15"/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36" t="str">
        <f t="shared" ref="QQ4:QQ27" si="180">IF(PY4&gt;0,PY4,"")</f>
        <v/>
      </c>
      <c r="QR4" s="36" t="str">
        <f t="shared" ref="QR4:QR27" si="181">IF(PZ4&gt;0,PZ4,"")</f>
        <v/>
      </c>
      <c r="QS4" s="36" t="str">
        <f t="shared" ref="QS4:QS27" si="182">IF(SUM(PW4:PZ4)-QA4&gt;0,SUM(PW4:PZ4)-QA4,"")</f>
        <v/>
      </c>
      <c r="QT4" s="36" t="str">
        <f t="shared" ref="QT4:QT27" si="183">IF(QD4&gt;0,QD4,"")</f>
        <v/>
      </c>
      <c r="QU4" s="36" t="str">
        <f t="shared" ref="QU4:QU27" si="184">IF(QE4&gt;0,QE4,"")</f>
        <v/>
      </c>
      <c r="QV4" s="36" t="str">
        <f t="shared" ref="QV4:QV27" si="185">IF(SUM(QB4:QE4)-QF4&gt;0,SUM(QB4:QE4)-QF4,"")</f>
        <v/>
      </c>
      <c r="QW4" s="36" t="str">
        <f t="shared" ref="QW4:QW27" si="186">IF(MAX(QS4,QV4)&gt;0,MAX(QS4,QV4),"")</f>
        <v/>
      </c>
      <c r="QX4" s="36" t="str">
        <f t="shared" ref="QX4:QX27" si="187">IF(QI4&gt;0,QI4,"")</f>
        <v/>
      </c>
      <c r="QY4" s="36" t="str">
        <f t="shared" ref="QY4:QY27" si="188">IF(QJ4&gt;0,QJ4,"")</f>
        <v/>
      </c>
      <c r="QZ4" s="36" t="str">
        <f t="shared" ref="QZ4:QZ27" si="189">IF(SUM(QG4:QJ4)-QK4&gt;0,SUM(QG4:QJ4)-QK4,"")</f>
        <v/>
      </c>
      <c r="RA4" s="36" t="str">
        <f t="shared" ref="RA4:RA27" si="190">IF(QN4&gt;0,QN4,"")</f>
        <v/>
      </c>
      <c r="RB4" s="36" t="str">
        <f t="shared" ref="RB4:RB27" si="191">IF(QO4&gt;0,QO4,"")</f>
        <v/>
      </c>
      <c r="RC4" s="36" t="str">
        <f t="shared" ref="RC4:RC27" si="192">IF(SUM(QL4:QO4)-QP4&gt;0,SUM(QL4:QO4)-QP4,"")</f>
        <v/>
      </c>
      <c r="RD4" s="36" t="str">
        <f t="shared" ref="RD4:RD27" si="193">IF(SUM(QW4,QZ4,RC4)&gt;0,SUM(QW4,QZ4,RC4),"")</f>
        <v/>
      </c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1" t="str">
        <f t="shared" ref="RY4:RY27" si="194">IF(RG4&gt;0,RG4,"")</f>
        <v/>
      </c>
      <c r="RZ4" s="11" t="str">
        <f t="shared" ref="RZ4:RZ27" si="195">IF(RH4&gt;0,RH4,"")</f>
        <v/>
      </c>
      <c r="SA4" s="11" t="str">
        <f t="shared" ref="SA4:SA27" si="196">IF(SUM(RE4:RH4)-RI4&gt;0,SUM(RE4:RH4)-RI4,"")</f>
        <v/>
      </c>
      <c r="SB4" s="11" t="str">
        <f t="shared" ref="SB4:SB27" si="197">IF(RL4&gt;0,RL4,"")</f>
        <v/>
      </c>
      <c r="SC4" s="11" t="str">
        <f t="shared" ref="SC4:SC27" si="198">IF(RM4&gt;0,RM4,"")</f>
        <v/>
      </c>
      <c r="SD4" s="11" t="str">
        <f t="shared" ref="SD4:SD27" si="199">IF(SUM(RJ4:RM4)-RN4&gt;0,SUM(RJ4:RM4)-RN4,"")</f>
        <v/>
      </c>
      <c r="SE4" s="11" t="str">
        <f t="shared" ref="SE4:SE27" si="200">IF(MAX(SA4,SD4)&gt;0,MAX(SA4,SD4),"")</f>
        <v/>
      </c>
      <c r="SF4" s="11" t="str">
        <f t="shared" ref="SF4:SF27" si="201">IF(RQ4&gt;0,RQ4,"")</f>
        <v/>
      </c>
      <c r="SG4" s="11" t="str">
        <f t="shared" ref="SG4:SG27" si="202">IF(RR4&gt;0,RR4,"")</f>
        <v/>
      </c>
      <c r="SH4" s="11" t="str">
        <f t="shared" ref="SH4:SH27" si="203">IF(SUM(RO4:RR4)-RS4&gt;0,SUM(RO4:RR4)-RS4,"")</f>
        <v/>
      </c>
      <c r="SI4" s="11" t="str">
        <f t="shared" ref="SI4:SI27" si="204">IF(RV4&gt;0,RV4,"")</f>
        <v/>
      </c>
      <c r="SJ4" s="11" t="str">
        <f t="shared" ref="SJ4:SJ27" si="205">IF(RW4&gt;0,RW4,"")</f>
        <v/>
      </c>
      <c r="SK4" s="11" t="str">
        <f t="shared" ref="SK4:SK27" si="206">IF(SUM(RT4:RW4)-RX4&gt;0,SUM(RT4:RW4)-RX4,"")</f>
        <v/>
      </c>
      <c r="SL4" s="11" t="str">
        <f t="shared" ref="SL4:SL27" si="207">IF(SUM(SE4,SH4,SK4)&gt;0,SUM(SE4,SH4,SK4),"")</f>
        <v/>
      </c>
      <c r="SM4" s="15"/>
      <c r="SN4" s="15"/>
      <c r="SO4" s="15"/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36" t="str">
        <f t="shared" ref="TG4:TG27" si="208">IF(SO4&gt;0,SO4,"")</f>
        <v/>
      </c>
      <c r="TH4" s="36" t="str">
        <f t="shared" ref="TH4:TH27" si="209">IF(SP4&gt;0,SP4,"")</f>
        <v/>
      </c>
      <c r="TI4" s="36" t="str">
        <f t="shared" ref="TI4:TI27" si="210">IF(SUM(SM4:SP4)-SQ4&gt;0,SUM(SM4:SP4)-SQ4,"")</f>
        <v/>
      </c>
      <c r="TJ4" s="36" t="str">
        <f t="shared" ref="TJ4:TJ27" si="211">IF(ST4&gt;0,ST4,"")</f>
        <v/>
      </c>
      <c r="TK4" s="36" t="str">
        <f t="shared" ref="TK4:TK27" si="212">IF(SU4&gt;0,SU4,"")</f>
        <v/>
      </c>
      <c r="TL4" s="36" t="str">
        <f t="shared" ref="TL4:TL27" si="213">IF(SUM(SR4:SU4)-SV4&gt;0,SUM(SR4:SU4)-SV4,"")</f>
        <v/>
      </c>
      <c r="TM4" s="36" t="str">
        <f t="shared" ref="TM4:TM27" si="214">IF(MAX(TI4,TL4)&gt;0,MAX(TI4,TL4),"")</f>
        <v/>
      </c>
      <c r="TN4" s="36" t="str">
        <f t="shared" ref="TN4:TN27" si="215">IF(SY4&gt;0,SY4,"")</f>
        <v/>
      </c>
      <c r="TO4" s="36" t="str">
        <f t="shared" ref="TO4:TO27" si="216">IF(SZ4&gt;0,SZ4,"")</f>
        <v/>
      </c>
      <c r="TP4" s="36" t="str">
        <f t="shared" ref="TP4:TP27" si="217">IF(SUM(SW4:SZ4)-TA4&gt;0,SUM(SW4:SZ4)-TA4,"")</f>
        <v/>
      </c>
      <c r="TQ4" s="36" t="str">
        <f t="shared" ref="TQ4:TQ27" si="218">IF(TD4&gt;0,TD4,"")</f>
        <v/>
      </c>
      <c r="TR4" s="36" t="str">
        <f t="shared" ref="TR4:TR27" si="219">IF(TE4&gt;0,TE4,"")</f>
        <v/>
      </c>
      <c r="TS4" s="36" t="str">
        <f t="shared" ref="TS4:TS27" si="220">IF(SUM(TB4:TE4)-TF4&gt;0,SUM(TB4:TE4)-TF4,"")</f>
        <v/>
      </c>
      <c r="TT4" s="36" t="str">
        <f t="shared" ref="TT4:TT27" si="221">IF(SUM(TM4,TP4,TS4)&gt;0,SUM(TM4,TP4,TS4),"")</f>
        <v/>
      </c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1" t="str">
        <f t="shared" ref="UO4:UO27" si="222">IF(TW4&gt;0,TW4,"")</f>
        <v/>
      </c>
      <c r="UP4" s="11" t="str">
        <f t="shared" ref="UP4:UP27" si="223">IF(TX4&gt;0,TX4,"")</f>
        <v/>
      </c>
      <c r="UQ4" s="11" t="str">
        <f t="shared" ref="UQ4:UQ27" si="224">IF(SUM(TU4:TX4)-TY4&gt;0,SUM(TU4:TX4)-TY4,"")</f>
        <v/>
      </c>
      <c r="UR4" s="11" t="str">
        <f t="shared" ref="UR4:UR27" si="225">IF(UB4&gt;0,UB4,"")</f>
        <v/>
      </c>
      <c r="US4" s="11" t="str">
        <f t="shared" ref="US4:US27" si="226">IF(UC4&gt;0,UC4,"")</f>
        <v/>
      </c>
      <c r="UT4" s="11" t="str">
        <f t="shared" ref="UT4:UT27" si="227">IF(SUM(TZ4:UC4)-UD4&gt;0,SUM(TZ4:UC4)-UD4,"")</f>
        <v/>
      </c>
      <c r="UU4" s="11" t="str">
        <f t="shared" ref="UU4:UU27" si="228">IF(MAX(UQ4,UT4)&gt;0,MAX(UQ4,UT4),"")</f>
        <v/>
      </c>
      <c r="UV4" s="11" t="str">
        <f t="shared" ref="UV4:UV27" si="229">IF(UG4&gt;0,UG4,"")</f>
        <v/>
      </c>
      <c r="UW4" s="11" t="str">
        <f t="shared" ref="UW4:UW27" si="230">IF(UH4&gt;0,UH4,"")</f>
        <v/>
      </c>
      <c r="UX4" s="11" t="str">
        <f t="shared" ref="UX4:UX27" si="231">IF(SUM(UE4:UH4)-UI4&gt;0,SUM(UE4:UH4)-UI4,"")</f>
        <v/>
      </c>
      <c r="UY4" s="11" t="str">
        <f t="shared" ref="UY4:UY27" si="232">IF(UL4&gt;0,UL4,"")</f>
        <v/>
      </c>
      <c r="UZ4" s="11" t="str">
        <f t="shared" ref="UZ4:UZ27" si="233">IF(UM4&gt;0,UM4,"")</f>
        <v/>
      </c>
      <c r="VA4" s="11" t="str">
        <f t="shared" ref="VA4:VA27" si="234">IF(SUM(UJ4:UM4)-UN4&gt;0,SUM(UJ4:UM4)-UN4,"")</f>
        <v/>
      </c>
      <c r="VB4" s="11" t="str">
        <f t="shared" ref="VB4:VB27" si="235">IF(SUM(UU4,UX4,VA4)&gt;0,SUM(UU4,UX4,VA4),"")</f>
        <v/>
      </c>
      <c r="VC4" s="15"/>
      <c r="VD4" s="15"/>
      <c r="VE4" s="15"/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36" t="str">
        <f t="shared" ref="VW4:VW27" si="236">IF(VE4&gt;0,VE4,"")</f>
        <v/>
      </c>
      <c r="VX4" s="36" t="str">
        <f t="shared" ref="VX4:VX27" si="237">IF(VF4&gt;0,VF4,"")</f>
        <v/>
      </c>
      <c r="VY4" s="36" t="str">
        <f t="shared" ref="VY4:VY27" si="238">IF(SUM(VC4:VF4)-VG4&gt;0,SUM(VC4:VF4)-VG4,"")</f>
        <v/>
      </c>
      <c r="VZ4" s="36" t="str">
        <f t="shared" ref="VZ4:VZ27" si="239">IF(VJ4&gt;0,VJ4,"")</f>
        <v/>
      </c>
      <c r="WA4" s="36" t="str">
        <f t="shared" ref="WA4:WA27" si="240">IF(VK4&gt;0,VK4,"")</f>
        <v/>
      </c>
      <c r="WB4" s="36" t="str">
        <f t="shared" ref="WB4:WB27" si="241">IF(SUM(VH4:VK4)-VL4&gt;0,SUM(VH4:VK4)-VL4,"")</f>
        <v/>
      </c>
      <c r="WC4" s="36" t="str">
        <f t="shared" ref="WC4:WC27" si="242">IF(MAX(VY4,WB4)&gt;0,MAX(VY4,WB4),"")</f>
        <v/>
      </c>
      <c r="WD4" s="36" t="str">
        <f t="shared" ref="WD4:WD27" si="243">IF(VO4&gt;0,VO4,"")</f>
        <v/>
      </c>
      <c r="WE4" s="36" t="str">
        <f t="shared" ref="WE4:WE27" si="244">IF(VP4&gt;0,VP4,"")</f>
        <v/>
      </c>
      <c r="WF4" s="36" t="str">
        <f t="shared" ref="WF4:WF27" si="245">IF(SUM(VM4:VP4)-VQ4&gt;0,SUM(VM4:VP4)-VQ4,"")</f>
        <v/>
      </c>
      <c r="WG4" s="36" t="str">
        <f t="shared" ref="WG4:WG27" si="246">IF(VT4&gt;0,VT4,"")</f>
        <v/>
      </c>
      <c r="WH4" s="36" t="str">
        <f t="shared" ref="WH4:WH27" si="247">IF(VU4&gt;0,VU4,"")</f>
        <v/>
      </c>
      <c r="WI4" s="36" t="str">
        <f t="shared" ref="WI4:WI27" si="248">IF(SUM(VR4:VU4)-VV4&gt;0,SUM(VR4:VU4)-VV4,"")</f>
        <v/>
      </c>
      <c r="WJ4" s="36" t="str">
        <f t="shared" ref="WJ4:WJ27" si="249">IF(SUM(WC4,WF4,WI4)&gt;0,SUM(WC4,WF4,WI4),"")</f>
        <v/>
      </c>
    </row>
    <row r="5" spans="1:608" x14ac:dyDescent="0.2">
      <c r="A5" s="4" t="str" cm="1">
        <f t="array" ref="A5">IF(AND(H5&lt;&gt;"",H5&lt;&gt;"No DD",I5&lt;&gt;"P"),SUMPRODUCT((H$4:H$28&lt;&gt;"")*(H$4:H$28&lt;&gt;"No DD")*(I$4:I$28&lt;&gt;"P")*(E$4:E$28&gt;E5))+1,IF(H5="No DD",SUMPRODUCT((H$4:H$28="No DD")*(I$4:I$28&lt;&gt;"P")*(E$4:E$28&gt;E5))+1+SUMPRODUCT((H$4:H$28&lt;&gt;"")*(I$4:I$28&lt;&gt;"P")*(H$4:H$28&lt;&gt;"No DD")),""))</f>
        <v/>
      </c>
      <c r="B5" s="5" t="s">
        <v>76</v>
      </c>
      <c r="C5" s="4" t="s">
        <v>7</v>
      </c>
      <c r="D5" s="4">
        <v>2005</v>
      </c>
      <c r="E5" s="9">
        <f t="shared" si="0"/>
        <v>114.19001140300577</v>
      </c>
      <c r="F5" s="3" t="str">
        <f>IF(OR(AND(AG5&gt;=AQ$30,AG5&lt;&gt;"",AI5&gt;=AQ$34,AI5&lt;&gt;"",AF5=""),AND(AJ5&gt;=AQ$30,AJ5&lt;&gt;"",AL5&gt;=AQ$34,AL5&lt;&gt;"",AF5=""),AND(AN5&gt;=AQ$30,AN5&lt;&gt;"",AP5&gt;=AQ$34,AP5&lt;&gt;"",AF5=""),AND(BH5&gt;=BR$30,BH5&lt;&gt;"",BJ5&gt;=BR$34,BJ5&lt;&gt;"",BG5=""),AND(BK5&gt;=BR$30,BK5&lt;&gt;"",BM5&gt;=BR$34,BM5&lt;&gt;"",BG5=""),AND(BO5&gt;=BR$30,BO5&lt;&gt;"",BQ5&gt;=BR$34,BQ5&lt;&gt;"",BG5=""),AND(CI5&gt;=CS$30,CI5&lt;&gt;"",CK5&gt;=CS$34,CK5&lt;&gt;"",CH5=""),AND(CL5&gt;=CS$30,CL5&lt;&gt;"",CN5&gt;=CS$34,CN5&lt;&gt;"",CH5=""),AND(CP5&gt;=CS$30,CP5&lt;&gt;"",CR5&gt;=CS$34,CR5&lt;&gt;"",CH5=""),AND(DO5&gt;=EB$30,DO5&lt;&gt;"",DQ5&gt;=EB$34,DQ5&lt;&gt;""),AND(DR5&gt;=EB$30,DR5&lt;&gt;"",DT5&gt;=EB$34,DT5&lt;&gt;""),AND(DV5&gt;=EB$30,DV5&lt;&gt;"",DX5&gt;=EB$34,DX5&lt;&gt;""),AND(DY5&gt;=EB$30,DY5&lt;&gt;"",EA5&gt;=EB$34,EA5&lt;&gt;""),AND(EW5&gt;=FJ$30,EW5&lt;&gt;"",EY5&gt;=FJ$34,EY5&lt;&gt;""),AND(EZ5&gt;=FJ$30,EZ5&lt;&gt;"",FB5&gt;=FJ$34,FB5&lt;&gt;""),AND(FD5&gt;=FJ$30,FD5&lt;&gt;"",FF5&gt;=FJ$34,FF5&lt;&gt;""),AND(FG5&gt;=FJ$30,FG5&lt;&gt;"",FI5&gt;=FJ$34,FI5&lt;&gt;""),AND(GE5&gt;=GR$30,GE5&lt;&gt;"",GG5&gt;=GR$34,GG5&lt;&gt;""),AND(GH5&gt;=GR$30,GH5&lt;&gt;"",GJ5&gt;=GR$34,GJ5&lt;&gt;""),AND(GL5&gt;=GR$30,GL5&lt;&gt;"",GN5&gt;=GR$34,GN5&lt;&gt;""),AND(GO5&gt;=GR$30,GO5&lt;&gt;"",GQ5&gt;=GR$34,GQ5&lt;&gt;""),AND(HM5&gt;=HZ$30,HM5&lt;&gt;"",HO5&gt;=HZ$34,HO5&lt;&gt;""),AND(HP5&gt;=HZ$30,HP5&lt;&gt;"",HR5&gt;=HZ$34,HR5&lt;&gt;""),AND(HT5&gt;=HZ$30,HT5&lt;&gt;"",HV5&gt;=HZ$34,HV5&lt;&gt;""),AND(HW5&gt;=HZ$30,HW5&lt;&gt;"",HY5&gt;=HZ$34,HY5&lt;&gt;""),AND(IU5&gt;=JH$30,IU5&lt;&gt;"",IW5&gt;=JH$34,IW5&lt;&gt;""),AND(IX5&gt;=JH$30,IX5&lt;&gt;"",IZ5&gt;=JH$34,IZ5&lt;&gt;""),AND(JB5&gt;=JH$30,JB5&lt;&gt;"",JD5&gt;=JH$34,JD5&lt;&gt;""),AND(JE5&gt;=JH$30,JE5&lt;&gt;"",JG5&gt;=JH$34,JG5&lt;&gt;""),AND(KC5&gt;=KP$30,KC5&lt;&gt;"",KE5&gt;=KP$34,KE5&lt;&gt;""),AND(KF5&gt;=KP$30,KF5&lt;&gt;"",KH5&gt;=KP$34,KH5&lt;&gt;""),AND(KJ5&gt;=KP$30,KJ5&lt;&gt;"",KL5&gt;=KP$34,KL5&lt;&gt;""),AND(KM5&gt;=KP$30,KM5&lt;&gt;"",KO5&gt;=KP$34,KO5&lt;&gt;""),AND(LK5&gt;=LX$30,LK5&lt;&gt;"",LM5&gt;=LX$34,LM5&lt;&gt;""),AND(LN5&gt;=LX$30,LN5&lt;&gt;"",LP5&gt;=LX$34,LP5&lt;&gt;""),AND(LR5&gt;=LX$30,LR5&lt;&gt;"",LT5&gt;=LX$34,LT5&lt;&gt;""),AND(LU5&gt;=LX$30,LU5&lt;&gt;"",LW5&gt;=LX$34,LW5&lt;&gt;""),AND(MS5&gt;=NF$30,MS5&lt;&gt;"",MU5&gt;=NF$34,MU5&lt;&gt;""),AND(MV5&gt;=NF$30,MV5&lt;&gt;"",MX5&gt;=NF$34,MX5&lt;&gt;""),AND(MZ5&gt;=NF$30,MZ5&lt;&gt;"",NB5&gt;=NF$34,NB5&lt;&gt;""),AND(NC5&gt;=NF$30,NC5&lt;&gt;"",NE5&gt;=NF$34,NE5&lt;&gt;""),AND(OA5&gt;=ON$30,OA5&lt;&gt;"",OC5&gt;=ON$34,OC5&lt;&gt;""),AND(OD5&gt;=ON$30,OD5&lt;&gt;"",OF5&gt;=ON$34,OF5&lt;&gt;""),AND(OH5&gt;=ON$30,OH5&lt;&gt;"",OJ5&gt;=ON$34,OJ5&lt;&gt;""),AND(OK5&gt;=ON$30,OK5&lt;&gt;"",OM5&gt;=ON$34,OM5&lt;&gt;""),AND(PI5&gt;=PV$30,PI5&lt;&gt;"",PK5&gt;=PV$34,PK5&lt;&gt;""),AND(PL5&gt;=PV$30,PL5&lt;&gt;"",PN5&gt;=PV$34,PN5&lt;&gt;""),AND(PP5&gt;=PV$30,PP5&lt;&gt;"",PR5&gt;=PV$34,PR5&lt;&gt;""),AND(PS5&gt;=PV$30,PS5&lt;&gt;"",PU5&gt;=PV$34,PU5&lt;&gt;""),AND(QQ5&gt;=RD$30,QQ5&lt;&gt;"",QS5&gt;=RD$34,QS5&lt;&gt;""),AND(QT5&gt;=RD$30,QT5&lt;&gt;"",QV5&gt;=RD$34,QV5&lt;&gt;""),AND(QX5&gt;=RD$30,QX5&lt;&gt;"",QZ5&gt;=RD$34,QZ5&lt;&gt;""),AND(RA5&gt;=RD$30,RA5&lt;&gt;"",RC5&gt;=RD$34,RC5&lt;&gt;""),AND(RY5&gt;=SL$30,RY5&lt;&gt;"",SA5&gt;=SL$34,SA5&lt;&gt;""),AND(SB5&gt;=SL$30,SB5&lt;&gt;"",SD5&gt;=SL$34,SD5&lt;&gt;""),AND(SF5&gt;=SL$30,SF5&lt;&gt;"",SH5&gt;=SL$34,SH5&lt;&gt;""),AND(SI5&gt;=SL$30,SI5&lt;&gt;"",SK5&gt;=SL$34,SK5&lt;&gt;""),AND(TG5&gt;=TT$30,TG5&lt;&gt;"",TI5&gt;=TT$34,TI5&lt;&gt;""),AND(TJ5&gt;=TT$30,TJ5&lt;&gt;"",TL5&gt;=TT$34,TL5&lt;&gt;""),AND(TN5&gt;=TT$30,TN5&lt;&gt;"",TP5&gt;=TT$34,TXN5&lt;&gt;""),AND(TQ5&gt;=TT$30,TQ5&lt;&gt;"",TS5&gt;=TT$34,TS5&lt;&gt;""),AND(UO5&gt;=VB$30,UO5&lt;&gt;"",UQ5&gt;=VB$34,UQ5&lt;&gt;""),AND(UR5&gt;=VB$30,UR5&lt;&gt;"",UT5&gt;=VB$34,UT5&lt;&gt;""),AND(UV5&gt;=VB$30,UV5&lt;&gt;"",UX5&gt;=VB$34,UX5&lt;&gt;""),AND(UY5&gt;=VB$30,UY5&lt;&gt;"",VA5&gt;=VB$34,VA5&lt;&gt;""),AND(VW5&gt;=WJ$30,VW5&lt;&gt;"",VY5&gt;=WJ$34,VY5&lt;&gt;""),AND(VZ5&gt;=WJ$30,VZ5&lt;&gt;"",WB5&gt;=WJ$34,WB5&lt;&gt;""),AND(WD5&gt;=WJ$30,WD5&lt;&gt;"",WF5&gt;=WJ$34,WF5&lt;&gt;""),AND(WG5&gt;=WJ$30,WG5&lt;&gt;"",WI5&gt;=WJ$34,WI5&lt;&gt;"")),"P","")</f>
        <v>P</v>
      </c>
      <c r="G5" s="3" t="str">
        <f>IF(OR(AND(AI5&gt;=AQ$34,AI5&lt;&gt;"",AF5=""),AND(AL5&gt;=AQ$34,AL5&lt;&gt;"",AF5=""),AND(AP5&gt;=AQ$34,AP5&lt;&gt;"",AF5=""),AND(BJ5&gt;=BR$34,BJ5&lt;&gt;"",BG5=""),AND(BM5&gt;=BR$34,BM5&lt;&gt;"",BG5=""),AND(BQ5&gt;=BR$34,BQ5&lt;&gt;"",BG5=""),AND(CK5&gt;=CS$34,CK5&lt;&gt;"",CH5=""),AND(CN5&gt;=CS$34,CN5&lt;&gt;"",CH5=""),AND(CR5&gt;=CS$34,CR5&lt;&gt;"",CH5=""),AND(DQ5&gt;=EB$34,DQ5&lt;&gt;""),AND(DT5&gt;=EB$34,DT5&lt;&gt;""),AND(DX5&gt;=EB$34,DX5&lt;&gt;""),AND(EA5&gt;=EB$34,EA5&lt;&gt;""),AND(EY5&gt;=FJ$34,EY5&lt;&gt;""),AND(FB5&gt;=FJ$34,FB5&lt;&gt;""),AND(FF5&gt;=FJ$34,FF5&lt;&gt;""),AND(FI5&gt;=FJ$34,FI5&lt;&gt;""),AND(GG5&gt;=GR$34,GG5&lt;&gt;""),AND(GJ5&gt;=GR$34,GJ5&lt;&gt;""),AND(GN5&gt;=GR$34,GN5&lt;&gt;""),AND(GQ5&gt;=GR$34,GQ5&lt;&gt;""),AND(HO5&gt;=HZ$34,HO5&lt;&gt;""),AND(HR5&gt;=HZ$34,HR5&lt;&gt;""),AND(HV5&gt;=HZ$34,HV5&lt;&gt;""),AND(HY5&gt;=HZ$34,HY5&lt;&gt;""),AND(IW5&gt;=JH$34,IW5&lt;&gt;""),AND(IZ5&gt;=JH$34,IZ5&lt;&gt;""),AND(JD5&gt;=JH$34,JD5&lt;&gt;""),AND(JG5&gt;=JH$34,JG5&lt;&gt;""),AND(KE5&gt;=KP$34,KE5&lt;&gt;""),AND(KH5&gt;=KP$34,KH5&lt;&gt;""),AND(KL5&gt;=KP$34,KL5&lt;&gt;""),AND(KO5&gt;=KP$34,KO5&lt;&gt;""),AND(LM5&gt;=LX$34,LM5&lt;&gt;""),AND(LP5&gt;=LX$34,LP5&lt;&gt;""),AND(LT5&gt;=LX$34,LT5&lt;&gt;""),AND(LW5&gt;=LX$34,LW5&lt;&gt;""),AND(MU5&gt;=NF$34,MU5&lt;&gt;""),AND(MX5&gt;=NF$34,MX5&lt;&gt;""),AND(NB5&gt;=NF$34,NB5&lt;&gt;""),AND(NE5&gt;=NF$34,NE5&lt;&gt;""),AND(OC5&gt;=ON$34,OC5&lt;&gt;""),AND(OF5&gt;=ON$34,OF5&lt;&gt;""),AND(OJ5&gt;=ON$34,OJ5&lt;&gt;""),AND(OM5&gt;=ON$34,OM5&lt;&gt;""),AND(PK5&gt;=PV$34,PK5&lt;&gt;""),AND(PN5&gt;=PV$34,PN5&lt;&gt;""),AND(PR5&gt;=PV$34,PR5&lt;&gt;""),AND(PU5&gt;=PV$34,PU5&lt;&gt;""),AND(QS5&gt;=RD$34,QS5&lt;&gt;""),AND(QV5&gt;=RD$34,QV5&lt;&gt;""),AND(QZ5&gt;=RD$34,QZ5&lt;&gt;""),AND(RC5&gt;=RD$34,RC5&lt;&gt;""),AND(SA5&gt;=SL$34,SA5&lt;&gt;""),AND(SD5&gt;=SL$34,SD5&lt;&gt;""),AND(SH5&gt;=SL$34,SH5&lt;&gt;""),AND(SK5&gt;=SL$34,SK5&lt;&gt;""),AND(TI5&gt;=TT$34,TI5&lt;&gt;""),AND(TL5&gt;=TT$34,TL5&lt;&gt;""),AND(TP5&gt;=TT$34,TXN5&lt;&gt;""),AND(TS5&gt;=TT$34,TS5&lt;&gt;""),AND(UQ5&gt;=VB$34,UQ5&lt;&gt;""),AND(UT5&gt;=VB$34,UT5&lt;&gt;""),AND(UX5&gt;=VB$34,UX5&lt;&gt;""),AND(VA5&gt;=VB$34,VA5&lt;&gt;""),AND(VY5&gt;=WJ$34,VY5&lt;&gt;""),AND(WB5&gt;=WJ$34,WB5&lt;&gt;""),AND(WF5&gt;=WJ$34,WF5&lt;&gt;""),AND(WI5&gt;=WJ$34,WI5&lt;&gt;"")),"P","")</f>
        <v>P</v>
      </c>
      <c r="H5" s="32" t="str">
        <f>IF(AND(G5="P",F5=""),"No DD",IF(OR(AND(AG5&gt;=AQ$33,AG5&lt;&gt;"",AI5&gt;=AQ$37,AI5&lt;&gt;"",AF5=""),AND(AJ5&gt;=AQ$33,AJ5&lt;&gt;"",AL5&gt;=AQ$37,AL5&lt;&gt;"",AF5=""),AND(AN5&gt;=AQ$33,AN5&lt;&gt;"",AP5&gt;=AQ$37,AP5&lt;&gt;"",AF5=""),AND(BH5&gt;=BR$33,BH5&lt;&gt;"",BJ5&gt;=BR$37,BJ5&lt;&gt;"",BG5=""),AND(BK5&gt;=BR$33,BK5&lt;&gt;"",BM5&gt;=BR$37,BM5&lt;&gt;"",BG5=""),AND(BO5&gt;=BR$33,BO5&lt;&gt;"",BQ5&gt;=BR$37,BQ5&lt;&gt;"",BG5=""),AND(CI5&gt;=CS$33,CI5&lt;&gt;"",CK5&gt;=CS$37,CK5&lt;&gt;"",CH5=""),AND(CL5&gt;=CS$33,CL5&lt;&gt;"",CN5&gt;=CS$37,CN5&lt;&gt;"",CH5=""),AND(CP5&gt;=CS$33,CP5&lt;&gt;"",CR5&gt;=CS$37,CR5&lt;&gt;"",CH5=""),AND(DO5&gt;=EB$33,DO5&lt;&gt;"",DQ5&gt;=EB$37,DQ5&lt;&gt;""),AND(DR5&gt;=EB$33,DR5&lt;&gt;"",DT5&gt;=EB$37,DT5&lt;&gt;""),AND(DV5&gt;=EB$33,DV5&lt;&gt;"",DX5&gt;=EB$37,DX5&lt;&gt;""),AND(DY5&gt;=EB$33,DY5&lt;&gt;"",EA5&gt;=EB$37,EA5&lt;&gt;""),AND(EW5&gt;=FJ$33,EW5&lt;&gt;"",EY5&gt;=FJ$37,EY5&lt;&gt;""),AND(EZ5&gt;=FJ$33,EZ5&lt;&gt;"",FB5&gt;=FJ$37,FB5&lt;&gt;""),AND(FD5&gt;=FJ$33,FD5&lt;&gt;"",FF5&gt;=FJ$37,FF5&lt;&gt;""),AND(FG5&gt;=FJ$33,FG5&lt;&gt;"",FI5&gt;=FJ$37,FI5&lt;&gt;""),AND(GE5&gt;=GR$33,GE5&lt;&gt;"",GG5&gt;=GR$37,GG5&lt;&gt;""),AND(GH5&gt;=GR$33,GH5&lt;&gt;"",GJ5&gt;=GR$37,GJ5&lt;&gt;""),AND(GL5&gt;=GR$33,GL5&lt;&gt;"",GN5&gt;=GR$37,GN5&lt;&gt;""),AND(GO5&gt;=GR$33,GO5&lt;&gt;"",GQ5&gt;=GR$37,GQ5&lt;&gt;""),AND(HM5&gt;=HZ$33,HM5&lt;&gt;"",HO5&gt;=HZ$37,HO5&lt;&gt;""),AND(HP5&gt;=HZ$33,HP5&lt;&gt;"",HR5&gt;=HZ$37,HR5&lt;&gt;""),AND(HT5&gt;=HZ$33,HT5&lt;&gt;"",HV5&gt;=HZ$37,HV5&lt;&gt;""),AND(HW5&gt;=HZ$33,HW5&lt;&gt;"",HY5&gt;=HZ$37,HY5&lt;&gt;""),AND(IU5&gt;=JH$33,IU5&lt;&gt;"",IW5&gt;=JH$37,IW5&lt;&gt;""),AND(IX5&gt;=JH$33,IX5&lt;&gt;"",IZ5&gt;=JH$37,IZ5&lt;&gt;""),AND(JB5&gt;=JH$33,JB5&lt;&gt;"",JD5&gt;=JH$37,JD5&lt;&gt;""),AND(JE5&gt;=JH$33,JE5&lt;&gt;"",JG5&gt;=JH$37,JG5&lt;&gt;""),AND(KC5&gt;=KP$33,KC5&lt;&gt;"",KE5&gt;=KP$37,KE5&lt;&gt;""),AND(KF5&gt;=KP$33,KF5&lt;&gt;"",KH5&gt;=KP$37,KH5&lt;&gt;""),AND(KJ5&gt;=KP$33,KJ5&lt;&gt;"",KL5&gt;=KP$37,KL5&lt;&gt;""),AND(KM5&gt;=KP$33,KM5&lt;&gt;"",KO5&gt;=KP$37,KO5&lt;&gt;""),AND(LK5&gt;=LX$33,LK5&lt;&gt;"",LM5&gt;=LX$37,LM5&lt;&gt;""),AND(LN5&gt;=LX$33,LN5&lt;&gt;"",LP5&gt;=LX$37,LP5&lt;&gt;""),AND(LR5&gt;=LX$33,LR5&lt;&gt;"",LT5&gt;=LX$37,LT5&lt;&gt;""),AND(LU5&gt;=LX$33,LU5&lt;&gt;"",LW5&gt;=LX$37,LW5&lt;&gt;""),AND(MS5&gt;=NF$33,MS5&lt;&gt;"",MU5&gt;=NF$37,MU5&lt;&gt;""),AND(MV5&gt;=NF$33,MV5&lt;&gt;"",MX5&gt;=NF$37,MX5&lt;&gt;""),AND(MZ5&gt;=NF$33,MZ5&lt;&gt;"",NB5&gt;=NF$37,NB5&lt;&gt;""),AND(NC5&gt;=NF$33,NC5&lt;&gt;"",NE5&gt;=NF$37,NE5&lt;&gt;""),AND(OA5&gt;=ON$33,OA5&lt;&gt;"",OC5&gt;=ON$37,OC5&lt;&gt;""),AND(OD5&gt;=ON$33,OD5&lt;&gt;"",OF5&gt;=ON$37,OF5&lt;&gt;""),AND(OH5&gt;=ON$33,OH5&lt;&gt;"",OJ5&gt;=ON$37,OJ5&lt;&gt;""),AND(OK5&gt;=ON$33,OK5&lt;&gt;"",OM5&gt;=ON$37,OM5&lt;&gt;""),AND(PI5&gt;=PV$33,PI5&lt;&gt;"",PK5&gt;=PV$37,PK5&lt;&gt;""),AND(PL5&gt;=PV$33,PL5&lt;&gt;"",PN5&gt;=PV$37,PN5&lt;&gt;""),AND(PP5&gt;=PV$33,PP5&lt;&gt;"",PR5&gt;=PV$37,PR5&lt;&gt;""),AND(PS5&gt;=PV$33,PS5&lt;&gt;"",PU5&gt;=PV$37,PU5&lt;&gt;""),AND(QQ5&gt;=RD$33,QQ5&lt;&gt;"",QS5&gt;=RD$37,QS5&lt;&gt;""),AND(QT5&gt;=RD$33,QT5&lt;&gt;"",QV5&gt;=RD$37,QV5&lt;&gt;""),AND(QX5&gt;=RD$33,QX5&lt;&gt;"",QZ5&gt;=RD$37,QZ5&lt;&gt;""),AND(RA5&gt;=RD$33,RA5&lt;&gt;"",RC5&gt;=RD$37,RC5&lt;&gt;""),AND(RY5&gt;=SL$33,RY5&lt;&gt;"",SA5&gt;=SL$37,SA5&lt;&gt;""),AND(SB5&gt;=SL$33,SB5&lt;&gt;"",SD5&gt;=SL$37,SD5&lt;&gt;""),AND(SF5&gt;=SL$33,SF5&lt;&gt;"",SH5&gt;=SL$37,SH5&lt;&gt;""),AND(SI5&gt;=SL$33,SI5&lt;&gt;"",SK5&gt;=SL$37,SK5&lt;&gt;""),AND(TG5&gt;=TT$33,TG5&lt;&gt;"",TI5&gt;=TT$37,TI5&lt;&gt;""),AND(TJ5&gt;=TT$33,TJ5&lt;&gt;"",TL5&gt;=TT$37,TL5&lt;&gt;""),AND(TN5&gt;=TT$33,TN5&lt;&gt;"",TP5&gt;=TT$357,TXN5&lt;&gt;""),AND(TQ5&gt;=TT$33,TQ5&lt;&gt;"",TS5&gt;=TT$37,TS5&lt;&gt;""),AND(UO5&gt;=VB$33,UO5&lt;&gt;"",UQ5&gt;=VB$37,UQ5&lt;&gt;""),AND(UR5&gt;=VB$33,UR5&lt;&gt;"",UT5&gt;=VB$37,UT5&lt;&gt;""),AND(UV5&gt;=VB$33,UV5&lt;&gt;"",UX5&gt;=VB$37,UX5&lt;&gt;""),AND(UY5&gt;=VB$33,UY5&lt;&gt;"",VA5&gt;=VB$37,VA5&lt;&gt;""),AND(VW5&gt;=WJ$33,VW5&lt;&gt;"",VY5&gt;=WJ$37,VY5&lt;&gt;""),AND(VZ5&gt;=WJ$33,VZ5&lt;&gt;"",WB5&gt;=WJ$37,WB5&lt;&gt;""),AND(WD5&gt;=WJ$33,WD5&lt;&gt;"",WF5&gt;=WJ$37,WF5&lt;&gt;""),AND(WG5&gt;=WJ$33,WG5&lt;&gt;"",WI5&gt;=WJ$37,WI5&lt;&gt;"")),"Merit",IF(OR(AND(AG5&gt;=AQ$32,AG5&lt;&gt;"",AI5&gt;=AQ$36,AI5&lt;&gt;"",AF5=""),AND(AJ5&gt;=AQ$32,AJ5&lt;&gt;"",AL5&gt;=AQ$36,AL5&lt;&gt;"",AF5=""),AND(AN5&gt;=AQ$32,AN5&lt;&gt;"",AP5&gt;=AQ$36,AP5&lt;&gt;"",AF5=""),AND(BH5&gt;=BR$32,BH5&lt;&gt;"",BJ5&gt;=BR$36,BJ5&lt;&gt;"",BG5=""),AND(BK5&gt;=BR$32,BK5&lt;&gt;"",BM5&gt;=BR$36,BM5&lt;&gt;"",BG5=""),AND(BO5&gt;=BR$32,BO5&lt;&gt;"",BQ5&gt;=BR$36,BQ5&lt;&gt;"",BG5=""),AND(CI5&gt;=CS$32,CI5&lt;&gt;"",CK5&gt;=CS$36,CK5&lt;&gt;"",CH5=""),AND(CL5&gt;=CS$32,CL5&lt;&gt;"",CN5&gt;=CS$36,CN5&lt;&gt;"",CH5=""),AND(CP5&gt;=CS$32,CP5&lt;&gt;"",CR5&gt;=CS$36,CR5&lt;&gt;"",CH5=""),AND(DO5&gt;=EB$32,DO5&lt;&gt;"",DQ5&gt;=EB$36,DQ5&lt;&gt;""),AND(DR5&gt;=EB$32,DR5&lt;&gt;"",DT5&gt;=EB$36,DT5&lt;&gt;""),AND(DV5&gt;=EB$32,DV5&lt;&gt;"",DX5&gt;=EB$36,DX5&lt;&gt;""),AND(DY5&gt;=EB$32,DY5&lt;&gt;"",EA5&gt;=EB$36,EA5&lt;&gt;""),AND(EW5&gt;=FJ$32,EW5&lt;&gt;"",EY5&gt;=FJ$36,EY5&lt;&gt;""),AND(EZ5&gt;=FJ$32,EZ5&lt;&gt;"",FB5&gt;=FJ$36,FB5&lt;&gt;""),AND(FD5&gt;=FJ$32,FD5&lt;&gt;"",FF5&gt;=FJ$36,FF5&lt;&gt;""),AND(FG5&gt;=FJ$32,FG5&lt;&gt;"",FI5&gt;=FJ$36,FI5&lt;&gt;""),AND(GE5&gt;=GR$32,GE5&lt;&gt;"",GG5&gt;=GR$36,GG5&lt;&gt;""),AND(GH5&gt;=GR$32,GH5&lt;&gt;"",GJ5&gt;=GR$36,GJ5&lt;&gt;""),AND(GL5&gt;=GR$32,GL5&lt;&gt;"",GN5&gt;=GR$36,GN5&lt;&gt;""),AND(GO5&gt;=GR$32,GO5&lt;&gt;"",GQ5&gt;=GR$36,GQ5&lt;&gt;""),AND(HM5&gt;=HZ$32,HM5&lt;&gt;"",HO5&gt;=HZ$36,HO5&lt;&gt;""),AND(HP5&gt;=HZ$32,HP5&lt;&gt;"",HR5&gt;=HZ$36,HR5&lt;&gt;""),AND(HT5&gt;=HZ$32,HT5&lt;&gt;"",HV5&gt;=HZ$36,HV5&lt;&gt;""),AND(HW5&gt;=HZ$32,HW5&lt;&gt;"",HY5&gt;=HZ$36,HY5&lt;&gt;""),AND(IU5&gt;=JH$32,IU5&lt;&gt;"",IW5&gt;=JH$36,IW5&lt;&gt;""),AND(IX5&gt;=JH$32,IX5&lt;&gt;"",IZ5&gt;=JH$36,IZ5&lt;&gt;""),AND(JB5&gt;=JH$32,JB5&lt;&gt;"",JD5&gt;=JH$36,JD5&lt;&gt;""),AND(JE5&gt;=JH$32,JE5&lt;&gt;"",JG5&gt;=JH$36,JG5&lt;&gt;""),AND(KC5&gt;=KP$32,KC5&lt;&gt;"",KE5&gt;=KP$36,KE5&lt;&gt;""),AND(KF5&gt;=KP$32,KF5&lt;&gt;"",KH5&gt;=KP$36,KH5&lt;&gt;""),AND(KJ5&gt;=KP$32,KJ5&lt;&gt;"",KL5&gt;=KP$36,KL5&lt;&gt;""),AND(KM5&gt;=KP$32,KM5&lt;&gt;"",KO5&gt;=KP$36,KO5&lt;&gt;""),AND(LK5&gt;=LX$32,LK5&lt;&gt;"",LM5&gt;=LX$36,LM5&lt;&gt;""),AND(LN5&gt;=LX$32,LN5&lt;&gt;"",LP5&gt;=LX$36,LP5&lt;&gt;""),AND(LR5&gt;=LX$32,LR5&lt;&gt;"",LT5&gt;=LX$36,LT5&lt;&gt;""),AND(LU5&gt;=LX$32,LU5&lt;&gt;"",LW5&gt;=LX$36,LW5&lt;&gt;""),AND(MS5&gt;=NF$32,MS5&lt;&gt;"",MU5&gt;=NF$36,MU5&lt;&gt;""),AND(MV5&gt;=NF$32,MV5&lt;&gt;"",MX5&gt;=NF$36,MX5&lt;&gt;""),AND(MZ5&gt;=NF$32,MZ5&lt;&gt;"",NB5&gt;=NF$36,NB5&lt;&gt;""),AND(NC5&gt;=NF$32,NC5&lt;&gt;"",NE5&gt;=NF$36,NE5&lt;&gt;""),AND(OA5&gt;=ON$32,OA5&lt;&gt;"",OC5&gt;=ON$36,OC5&lt;&gt;""),AND(OD5&gt;=ON$32,OD5&lt;&gt;"",OF5&gt;=ON$36,OF5&lt;&gt;""),AND(OH5&gt;=ON$32,OH5&lt;&gt;"",OJ5&gt;=ON$36,OJ5&lt;&gt;""),AND(OK5&gt;=ON$32,OK5&lt;&gt;"",OM5&gt;=ON$36,OM5&lt;&gt;""),AND(PI5&gt;=PV$32,PI5&lt;&gt;"",PK5&gt;=PV$36,PK5&lt;&gt;""),AND(PL5&gt;=PV$32,PL5&lt;&gt;"",PN5&gt;=PV$36,PN5&lt;&gt;""),AND(PP5&gt;=PV$32,PP5&lt;&gt;"",PR5&gt;=PV$36,PR5&lt;&gt;""),AND(PS5&gt;=PV$32,PS5&lt;&gt;"",PU5&gt;=PV$36,PU5&lt;&gt;""),AND(QQ5&gt;=RD$32,QQ5&lt;&gt;"",QS5&gt;=RD$36,QS5&lt;&gt;""),AND(QT5&gt;=RD$32,QT5&lt;&gt;"",QV5&gt;=RD$36,QV5&lt;&gt;""),AND(QX5&gt;=RD$32,QX5&lt;&gt;"",QZ5&gt;=RD$36,QZ5&lt;&gt;""),AND(RA5&gt;=RD$32,RA5&lt;&gt;"",RC5&gt;=RD$36,RC5&lt;&gt;""),AND(RY5&gt;=SL$32,RY5&lt;&gt;"",SA5&gt;=SL$36,SA5&lt;&gt;""),AND(SB5&gt;=SL$32,SB5&lt;&gt;"",SD5&gt;=SL$36,SD5&lt;&gt;""),AND(SF5&gt;=SL$32,SF5&lt;&gt;"",SH5&gt;=SL$36,SH5&lt;&gt;""),AND(SI5&gt;=SL$32,SI5&lt;&gt;"",SK5&gt;=SL$36,SK5&lt;&gt;""),AND(TG5&gt;=TT$32,TG5&lt;&gt;"",TI5&gt;=TT$36,TI5&lt;&gt;""),AND(TJ5&gt;=TT$32,TJ5&lt;&gt;"",TL5&gt;=TT$36,TL5&lt;&gt;""),AND(TN5&gt;=TT$32,TN5&lt;&gt;"",TP5&gt;=TT$36,TXN5&lt;&gt;""),AND(TQ5&gt;=TT$32,TQ5&lt;&gt;"",TS5&gt;=TT$36,TS5&lt;&gt;""),AND(UO5&gt;=VB$32,UO5&lt;&gt;"",UQ5&gt;=VB$36,UQ5&lt;&gt;""),AND(UR5&gt;=VB$32,UR5&lt;&gt;"",UT5&gt;=VB$36,UT5&lt;&gt;""),AND(UV5&gt;=VB$32,UV5&lt;&gt;"",UX5&gt;=VB$36,UX5&lt;&gt;""),AND(UY5&gt;=VB$32,UY5&lt;&gt;"",VA5&gt;=VB$36,VA5&lt;&gt;""),AND(VW5&gt;=WJ$32,VW5&lt;&gt;"",VY5&gt;=WJ$36,VY5&lt;&gt;""),AND(VZ5&gt;=WJ$32,VZ5&lt;&gt;"",WB5&gt;=WJ$36,WB5&lt;&gt;""),AND(WD5&gt;=WJ$32,WD5&lt;&gt;"",WF5&gt;=WJ$36,WF5&lt;&gt;""),AND(WG5&gt;=WJ$32,WG5&lt;&gt;"",WI5&gt;=WJ$36,WI5&lt;&gt;"")),"Excellence",IF(I5="P","National Team",IF(F5="P","National Team","")))))</f>
        <v>National Team</v>
      </c>
      <c r="I5" s="3" t="str">
        <f>IF(COUNTIFS('Senior-M'!B:B,B5,'Senior-M'!A:A,"&lt;9",'Senior-M'!H:H,"&lt;&gt;"&amp;"No DD"),"P","")</f>
        <v>P</v>
      </c>
      <c r="J5" s="8">
        <f t="shared" si="1"/>
        <v>57.680000000000007</v>
      </c>
      <c r="K5" s="8" t="str">
        <f t="shared" si="2"/>
        <v>2025 3rd Domestic Trial</v>
      </c>
      <c r="L5" s="8">
        <f>IFERROR(LARGE((AI5,AL5,AP5,BJ5,BM5,BQ5,CK5,CN5,CR5),2),0)</f>
        <v>56.35</v>
      </c>
      <c r="M5" s="8" t="str">
        <f t="shared" si="3"/>
        <v>2025 3rd Domestic Trial</v>
      </c>
      <c r="N5" s="8">
        <f t="shared" si="4"/>
        <v>0.16000000000000369</v>
      </c>
      <c r="O5" s="11" t="str">
        <f>IF(N5=0,"",IF(N5=CT5,"("&amp;CT$2&amp;")",IF(N5=#REF!,"("&amp;#REF!&amp;")")))</f>
        <v>(Any)</v>
      </c>
      <c r="P5" s="8" t="str">
        <f t="shared" si="5"/>
        <v>2025 World Cup POR (July 6)</v>
      </c>
      <c r="Q5" s="18">
        <v>15.8</v>
      </c>
      <c r="R5" s="18">
        <v>9</v>
      </c>
      <c r="S5" s="18">
        <v>15.9</v>
      </c>
      <c r="T5" s="18">
        <v>15.33</v>
      </c>
      <c r="U5" s="18">
        <v>0</v>
      </c>
      <c r="V5" s="18">
        <v>6.8</v>
      </c>
      <c r="W5" s="18">
        <v>3.6</v>
      </c>
      <c r="X5" s="18">
        <v>6.9</v>
      </c>
      <c r="Y5" s="18">
        <v>6.43</v>
      </c>
      <c r="Z5" s="18">
        <v>0</v>
      </c>
      <c r="AA5" s="18">
        <v>15.5</v>
      </c>
      <c r="AB5" s="18">
        <v>9.5</v>
      </c>
      <c r="AC5" s="18">
        <v>13.9</v>
      </c>
      <c r="AD5" s="18">
        <v>15.04</v>
      </c>
      <c r="AE5" s="18">
        <v>0.6</v>
      </c>
      <c r="AF5" s="23"/>
      <c r="AG5" s="34">
        <f t="shared" si="6"/>
        <v>15.9</v>
      </c>
      <c r="AH5" s="34">
        <f t="shared" si="7"/>
        <v>15.33</v>
      </c>
      <c r="AI5" s="36">
        <f t="shared" si="8"/>
        <v>56.03</v>
      </c>
      <c r="AJ5" s="36">
        <f t="shared" si="9"/>
        <v>6.9</v>
      </c>
      <c r="AK5" s="36">
        <f t="shared" si="10"/>
        <v>6.43</v>
      </c>
      <c r="AL5" s="36">
        <f t="shared" si="11"/>
        <v>23.73</v>
      </c>
      <c r="AM5" s="36">
        <f t="shared" si="12"/>
        <v>56.03</v>
      </c>
      <c r="AN5" s="36">
        <f t="shared" si="13"/>
        <v>13.9</v>
      </c>
      <c r="AO5" s="36">
        <f t="shared" si="14"/>
        <v>15.04</v>
      </c>
      <c r="AP5" s="36">
        <f t="shared" si="15"/>
        <v>53.339999999999996</v>
      </c>
      <c r="AQ5" s="36">
        <f t="shared" si="16"/>
        <v>109.37</v>
      </c>
      <c r="AR5" s="22">
        <v>15.9</v>
      </c>
      <c r="AS5" s="22">
        <v>9.1</v>
      </c>
      <c r="AT5" s="22">
        <v>15.3</v>
      </c>
      <c r="AU5" s="22">
        <v>15.96</v>
      </c>
      <c r="AV5" s="22">
        <v>0</v>
      </c>
      <c r="AW5" s="22">
        <v>16.100000000000001</v>
      </c>
      <c r="AX5" s="22">
        <v>8.8000000000000007</v>
      </c>
      <c r="AY5" s="22">
        <v>15.3</v>
      </c>
      <c r="AZ5" s="22">
        <v>16.149999999999999</v>
      </c>
      <c r="BA5" s="22">
        <v>0</v>
      </c>
      <c r="BB5" s="22">
        <v>17</v>
      </c>
      <c r="BC5" s="22">
        <v>9.1</v>
      </c>
      <c r="BD5" s="22">
        <v>15.3</v>
      </c>
      <c r="BE5" s="22">
        <v>16.28</v>
      </c>
      <c r="BF5" s="22">
        <v>0</v>
      </c>
      <c r="BG5" s="24"/>
      <c r="BH5" s="35">
        <f t="shared" si="17"/>
        <v>15.3</v>
      </c>
      <c r="BI5" s="35">
        <f t="shared" si="18"/>
        <v>15.96</v>
      </c>
      <c r="BJ5" s="11">
        <f t="shared" si="19"/>
        <v>56.26</v>
      </c>
      <c r="BK5" s="11">
        <f t="shared" si="20"/>
        <v>15.3</v>
      </c>
      <c r="BL5" s="11">
        <f t="shared" si="21"/>
        <v>16.149999999999999</v>
      </c>
      <c r="BM5" s="11">
        <f t="shared" si="22"/>
        <v>56.35</v>
      </c>
      <c r="BN5" s="11">
        <f t="shared" si="23"/>
        <v>56.35</v>
      </c>
      <c r="BO5" s="11">
        <f t="shared" si="24"/>
        <v>15.3</v>
      </c>
      <c r="BP5" s="11">
        <f t="shared" si="25"/>
        <v>16.28</v>
      </c>
      <c r="BQ5" s="11">
        <f t="shared" si="26"/>
        <v>57.680000000000007</v>
      </c>
      <c r="BR5" s="11">
        <f t="shared" si="27"/>
        <v>114.03</v>
      </c>
      <c r="BS5" s="18">
        <v>15.8</v>
      </c>
      <c r="BT5" s="18">
        <v>9.3000000000000007</v>
      </c>
      <c r="BU5" s="18">
        <v>15.3</v>
      </c>
      <c r="BV5" s="18">
        <v>15.45</v>
      </c>
      <c r="BW5" s="18">
        <v>0.2</v>
      </c>
      <c r="BX5" s="18">
        <v>16.2</v>
      </c>
      <c r="BY5" s="18">
        <v>8.8000000000000007</v>
      </c>
      <c r="BZ5" s="18">
        <v>15.3</v>
      </c>
      <c r="CA5" s="18">
        <v>15.58</v>
      </c>
      <c r="CB5" s="18">
        <v>0</v>
      </c>
      <c r="CC5" s="18">
        <v>3</v>
      </c>
      <c r="CD5" s="18">
        <v>1.8</v>
      </c>
      <c r="CE5" s="18">
        <v>3.5</v>
      </c>
      <c r="CF5" s="18">
        <v>3.21</v>
      </c>
      <c r="CG5" s="18">
        <v>0.2</v>
      </c>
      <c r="CH5" s="23"/>
      <c r="CI5" s="34">
        <f t="shared" si="28"/>
        <v>15.3</v>
      </c>
      <c r="CJ5" s="34">
        <f t="shared" si="29"/>
        <v>15.45</v>
      </c>
      <c r="CK5" s="36">
        <f t="shared" si="30"/>
        <v>55.650000000000006</v>
      </c>
      <c r="CL5" s="36">
        <f t="shared" si="31"/>
        <v>15.3</v>
      </c>
      <c r="CM5" s="36">
        <f t="shared" si="32"/>
        <v>15.58</v>
      </c>
      <c r="CN5" s="36">
        <f t="shared" si="33"/>
        <v>55.879999999999995</v>
      </c>
      <c r="CO5" s="36">
        <f t="shared" si="34"/>
        <v>55.879999999999995</v>
      </c>
      <c r="CP5" s="36">
        <f t="shared" si="35"/>
        <v>3.5</v>
      </c>
      <c r="CQ5" s="36">
        <f t="shared" si="36"/>
        <v>3.21</v>
      </c>
      <c r="CR5" s="36">
        <f t="shared" si="37"/>
        <v>11.310000000000002</v>
      </c>
      <c r="CS5" s="36">
        <f t="shared" si="38"/>
        <v>67.19</v>
      </c>
      <c r="CT5" s="47">
        <f t="shared" si="39"/>
        <v>0.16000000000000369</v>
      </c>
      <c r="CU5" s="15">
        <v>13.9</v>
      </c>
      <c r="CV5" s="15">
        <v>8.6</v>
      </c>
      <c r="CW5" s="15">
        <v>15.5</v>
      </c>
      <c r="CX5" s="15">
        <v>15.27</v>
      </c>
      <c r="CY5" s="15">
        <v>0</v>
      </c>
      <c r="CZ5" s="15">
        <v>2.9</v>
      </c>
      <c r="DA5" s="15">
        <v>1.7</v>
      </c>
      <c r="DB5" s="15">
        <v>3.5</v>
      </c>
      <c r="DC5" s="15">
        <v>3.22</v>
      </c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36">
        <f t="shared" si="40"/>
        <v>15.5</v>
      </c>
      <c r="DP5" s="36">
        <f t="shared" si="41"/>
        <v>15.27</v>
      </c>
      <c r="DQ5" s="36">
        <f t="shared" si="42"/>
        <v>53.269999999999996</v>
      </c>
      <c r="DR5" s="36">
        <f t="shared" si="43"/>
        <v>3.5</v>
      </c>
      <c r="DS5" s="36">
        <f t="shared" si="44"/>
        <v>3.22</v>
      </c>
      <c r="DT5" s="36">
        <f t="shared" si="45"/>
        <v>11.32</v>
      </c>
      <c r="DU5" s="36">
        <f t="shared" si="46"/>
        <v>53.269999999999996</v>
      </c>
      <c r="DV5" s="36" t="str">
        <f t="shared" si="47"/>
        <v/>
      </c>
      <c r="DW5" s="36" t="str">
        <f t="shared" si="48"/>
        <v/>
      </c>
      <c r="DX5" s="36" t="str">
        <f t="shared" si="49"/>
        <v/>
      </c>
      <c r="DY5" s="36" t="str">
        <f t="shared" si="50"/>
        <v/>
      </c>
      <c r="DZ5" s="36" t="str">
        <f t="shared" si="51"/>
        <v/>
      </c>
      <c r="EA5" s="36" t="str">
        <f t="shared" si="52"/>
        <v/>
      </c>
      <c r="EB5" s="36">
        <f t="shared" si="53"/>
        <v>53.269999999999996</v>
      </c>
      <c r="EC5" s="16">
        <v>15.6</v>
      </c>
      <c r="ED5" s="16">
        <v>8.9</v>
      </c>
      <c r="EE5" s="16">
        <v>14.9</v>
      </c>
      <c r="EF5" s="16">
        <v>15.44</v>
      </c>
      <c r="EG5" s="16">
        <v>0</v>
      </c>
      <c r="EH5" s="16">
        <v>15.9</v>
      </c>
      <c r="EI5" s="16">
        <v>9.5</v>
      </c>
      <c r="EJ5" s="16">
        <v>15.3</v>
      </c>
      <c r="EK5" s="16">
        <v>15.81</v>
      </c>
      <c r="EL5" s="16">
        <v>0</v>
      </c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1">
        <f t="shared" si="54"/>
        <v>14.9</v>
      </c>
      <c r="EX5" s="11">
        <f t="shared" si="55"/>
        <v>15.44</v>
      </c>
      <c r="EY5" s="11">
        <f t="shared" si="56"/>
        <v>54.839999999999996</v>
      </c>
      <c r="EZ5" s="11">
        <f t="shared" si="57"/>
        <v>15.3</v>
      </c>
      <c r="FA5" s="11">
        <f t="shared" si="58"/>
        <v>15.81</v>
      </c>
      <c r="FB5" s="11">
        <f t="shared" si="59"/>
        <v>56.510000000000005</v>
      </c>
      <c r="FC5" s="11">
        <f t="shared" si="60"/>
        <v>56.510000000000005</v>
      </c>
      <c r="FD5" s="11" t="str">
        <f t="shared" si="61"/>
        <v/>
      </c>
      <c r="FE5" s="11" t="str">
        <f t="shared" si="62"/>
        <v/>
      </c>
      <c r="FF5" s="11" t="str">
        <f t="shared" si="63"/>
        <v/>
      </c>
      <c r="FG5" s="11" t="str">
        <f t="shared" si="64"/>
        <v/>
      </c>
      <c r="FH5" s="11" t="str">
        <f t="shared" si="65"/>
        <v/>
      </c>
      <c r="FI5" s="11" t="str">
        <f t="shared" si="66"/>
        <v/>
      </c>
      <c r="FJ5" s="11">
        <f t="shared" si="67"/>
        <v>56.510000000000005</v>
      </c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36" t="str">
        <f t="shared" si="68"/>
        <v/>
      </c>
      <c r="GF5" s="36" t="str">
        <f t="shared" si="69"/>
        <v/>
      </c>
      <c r="GG5" s="36" t="str">
        <f t="shared" si="70"/>
        <v/>
      </c>
      <c r="GH5" s="36" t="str">
        <f t="shared" si="71"/>
        <v/>
      </c>
      <c r="GI5" s="36" t="str">
        <f t="shared" si="72"/>
        <v/>
      </c>
      <c r="GJ5" s="36" t="str">
        <f t="shared" si="73"/>
        <v/>
      </c>
      <c r="GK5" s="36" t="str">
        <f t="shared" si="74"/>
        <v/>
      </c>
      <c r="GL5" s="36" t="str">
        <f t="shared" si="75"/>
        <v/>
      </c>
      <c r="GM5" s="36" t="str">
        <f t="shared" si="76"/>
        <v/>
      </c>
      <c r="GN5" s="36" t="str">
        <f t="shared" si="77"/>
        <v/>
      </c>
      <c r="GO5" s="36" t="str">
        <f t="shared" si="78"/>
        <v/>
      </c>
      <c r="GP5" s="36" t="str">
        <f t="shared" si="79"/>
        <v/>
      </c>
      <c r="GQ5" s="36" t="str">
        <f t="shared" si="80"/>
        <v/>
      </c>
      <c r="GR5" s="36" t="str">
        <f t="shared" si="81"/>
        <v/>
      </c>
      <c r="GS5" s="16"/>
      <c r="GT5" s="16"/>
      <c r="GU5" s="16"/>
      <c r="GV5" s="16"/>
      <c r="GW5" s="16"/>
      <c r="GX5" s="16">
        <v>16.399999999999999</v>
      </c>
      <c r="GY5" s="16">
        <v>9.4</v>
      </c>
      <c r="GZ5" s="16">
        <v>14.9</v>
      </c>
      <c r="HA5" s="16">
        <v>15.56</v>
      </c>
      <c r="HB5" s="16">
        <v>0</v>
      </c>
      <c r="HC5" s="16"/>
      <c r="HD5" s="16"/>
      <c r="HE5" s="16"/>
      <c r="HF5" s="16"/>
      <c r="HG5" s="16"/>
      <c r="HH5" s="16">
        <v>16.2</v>
      </c>
      <c r="HI5" s="16">
        <v>8.6</v>
      </c>
      <c r="HJ5" s="16">
        <v>14.9</v>
      </c>
      <c r="HK5" s="16">
        <v>15.23</v>
      </c>
      <c r="HL5" s="16">
        <v>0</v>
      </c>
      <c r="HM5" s="11" t="str">
        <f t="shared" si="82"/>
        <v/>
      </c>
      <c r="HN5" s="11" t="str">
        <f t="shared" si="83"/>
        <v/>
      </c>
      <c r="HO5" s="11" t="str">
        <f t="shared" si="84"/>
        <v/>
      </c>
      <c r="HP5" s="11">
        <f t="shared" si="85"/>
        <v>14.9</v>
      </c>
      <c r="HQ5" s="11">
        <f t="shared" si="86"/>
        <v>15.56</v>
      </c>
      <c r="HR5" s="11">
        <f t="shared" si="87"/>
        <v>56.26</v>
      </c>
      <c r="HS5" s="11">
        <f t="shared" si="88"/>
        <v>56.26</v>
      </c>
      <c r="HT5" s="11" t="str">
        <f t="shared" si="89"/>
        <v/>
      </c>
      <c r="HU5" s="11" t="str">
        <f t="shared" si="90"/>
        <v/>
      </c>
      <c r="HV5" s="11" t="str">
        <f t="shared" si="91"/>
        <v/>
      </c>
      <c r="HW5" s="11">
        <f t="shared" si="92"/>
        <v>14.9</v>
      </c>
      <c r="HX5" s="11">
        <f t="shared" si="93"/>
        <v>15.23</v>
      </c>
      <c r="HY5" s="11">
        <f t="shared" si="94"/>
        <v>54.929999999999993</v>
      </c>
      <c r="HZ5" s="11">
        <f t="shared" si="95"/>
        <v>111.19</v>
      </c>
      <c r="IA5" s="15">
        <v>15.6</v>
      </c>
      <c r="IB5" s="15">
        <v>8.6</v>
      </c>
      <c r="IC5" s="15">
        <v>13.7</v>
      </c>
      <c r="ID5" s="15">
        <v>15.29</v>
      </c>
      <c r="IE5" s="15">
        <v>0</v>
      </c>
      <c r="IF5" s="15">
        <v>14.1</v>
      </c>
      <c r="IG5" s="15">
        <v>7.6</v>
      </c>
      <c r="IH5" s="15">
        <v>13.2</v>
      </c>
      <c r="II5" s="15">
        <v>14.29</v>
      </c>
      <c r="IJ5" s="15">
        <v>0</v>
      </c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36">
        <f t="shared" si="96"/>
        <v>13.7</v>
      </c>
      <c r="IV5" s="36">
        <f t="shared" si="97"/>
        <v>15.29</v>
      </c>
      <c r="IW5" s="36">
        <f t="shared" si="98"/>
        <v>53.19</v>
      </c>
      <c r="IX5" s="36">
        <f t="shared" si="99"/>
        <v>13.2</v>
      </c>
      <c r="IY5" s="36">
        <f t="shared" si="100"/>
        <v>14.29</v>
      </c>
      <c r="IZ5" s="36">
        <f t="shared" si="101"/>
        <v>49.19</v>
      </c>
      <c r="JA5" s="36">
        <f t="shared" si="102"/>
        <v>53.19</v>
      </c>
      <c r="JB5" s="36" t="str">
        <f t="shared" si="103"/>
        <v/>
      </c>
      <c r="JC5" s="36" t="str">
        <f t="shared" si="104"/>
        <v/>
      </c>
      <c r="JD5" s="36" t="str">
        <f t="shared" si="105"/>
        <v/>
      </c>
      <c r="JE5" s="36" t="str">
        <f t="shared" si="106"/>
        <v/>
      </c>
      <c r="JF5" s="36" t="str">
        <f t="shared" si="107"/>
        <v/>
      </c>
      <c r="JG5" s="36" t="str">
        <f t="shared" si="108"/>
        <v/>
      </c>
      <c r="JH5" s="36">
        <f t="shared" si="109"/>
        <v>53.19</v>
      </c>
      <c r="JI5" s="16">
        <v>15</v>
      </c>
      <c r="JJ5" s="16">
        <v>9.3000000000000007</v>
      </c>
      <c r="JK5" s="16">
        <v>16.2</v>
      </c>
      <c r="JL5" s="16">
        <v>15.85</v>
      </c>
      <c r="JM5" s="16">
        <v>0</v>
      </c>
      <c r="JN5" s="16">
        <v>13.6</v>
      </c>
      <c r="JO5" s="16">
        <v>8.1</v>
      </c>
      <c r="JP5" s="16">
        <v>13.2</v>
      </c>
      <c r="JQ5" s="16">
        <v>14.13</v>
      </c>
      <c r="JR5" s="16">
        <v>0</v>
      </c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1">
        <f t="shared" si="110"/>
        <v>16.2</v>
      </c>
      <c r="KD5" s="11">
        <f t="shared" si="111"/>
        <v>15.85</v>
      </c>
      <c r="KE5" s="11">
        <f t="shared" si="112"/>
        <v>56.35</v>
      </c>
      <c r="KF5" s="11">
        <f t="shared" si="113"/>
        <v>13.2</v>
      </c>
      <c r="KG5" s="11">
        <f t="shared" si="114"/>
        <v>14.13</v>
      </c>
      <c r="KH5" s="11">
        <f t="shared" si="115"/>
        <v>49.03</v>
      </c>
      <c r="KI5" s="11">
        <f t="shared" si="116"/>
        <v>56.35</v>
      </c>
      <c r="KJ5" s="11" t="str">
        <f t="shared" si="117"/>
        <v/>
      </c>
      <c r="KK5" s="11" t="str">
        <f t="shared" si="118"/>
        <v/>
      </c>
      <c r="KL5" s="11" t="str">
        <f t="shared" si="119"/>
        <v/>
      </c>
      <c r="KM5" s="11" t="str">
        <f t="shared" si="120"/>
        <v/>
      </c>
      <c r="KN5" s="11" t="str">
        <f t="shared" si="121"/>
        <v/>
      </c>
      <c r="KO5" s="11" t="str">
        <f t="shared" si="122"/>
        <v/>
      </c>
      <c r="KP5" s="11">
        <f t="shared" si="123"/>
        <v>56.35</v>
      </c>
      <c r="KQ5" s="15">
        <v>13</v>
      </c>
      <c r="KR5" s="15">
        <v>9.1</v>
      </c>
      <c r="KS5" s="15">
        <v>16.8</v>
      </c>
      <c r="KT5" s="15">
        <v>15.41</v>
      </c>
      <c r="KU5" s="15">
        <v>0</v>
      </c>
      <c r="KV5" s="15">
        <v>14.1</v>
      </c>
      <c r="KW5" s="15">
        <v>9.5</v>
      </c>
      <c r="KX5" s="15">
        <v>17</v>
      </c>
      <c r="KY5" s="15">
        <v>15.64</v>
      </c>
      <c r="KZ5" s="15">
        <v>0</v>
      </c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36">
        <f t="shared" si="124"/>
        <v>16.8</v>
      </c>
      <c r="LL5" s="36">
        <f t="shared" si="125"/>
        <v>15.41</v>
      </c>
      <c r="LM5" s="36">
        <f t="shared" si="126"/>
        <v>54.31</v>
      </c>
      <c r="LN5" s="36">
        <f t="shared" si="127"/>
        <v>17</v>
      </c>
      <c r="LO5" s="36">
        <f t="shared" si="128"/>
        <v>15.64</v>
      </c>
      <c r="LP5" s="36">
        <f t="shared" si="129"/>
        <v>56.24</v>
      </c>
      <c r="LQ5" s="36">
        <f t="shared" si="130"/>
        <v>56.24</v>
      </c>
      <c r="LR5" s="36" t="str">
        <f t="shared" si="131"/>
        <v/>
      </c>
      <c r="LS5" s="36" t="str">
        <f t="shared" si="132"/>
        <v/>
      </c>
      <c r="LT5" s="36" t="str">
        <f t="shared" si="133"/>
        <v/>
      </c>
      <c r="LU5" s="36" t="str">
        <f t="shared" si="134"/>
        <v/>
      </c>
      <c r="LV5" s="36" t="str">
        <f t="shared" si="135"/>
        <v/>
      </c>
      <c r="LW5" s="36" t="str">
        <f t="shared" si="136"/>
        <v/>
      </c>
      <c r="LX5" s="36">
        <f t="shared" si="137"/>
        <v>56.24</v>
      </c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1" t="str">
        <f t="shared" si="138"/>
        <v/>
      </c>
      <c r="MT5" s="11" t="str">
        <f t="shared" si="139"/>
        <v/>
      </c>
      <c r="MU5" s="11" t="str">
        <f t="shared" si="140"/>
        <v/>
      </c>
      <c r="MV5" s="11" t="str">
        <f t="shared" si="141"/>
        <v/>
      </c>
      <c r="MW5" s="11" t="str">
        <f t="shared" si="142"/>
        <v/>
      </c>
      <c r="MX5" s="11" t="str">
        <f t="shared" si="143"/>
        <v/>
      </c>
      <c r="MY5" s="11" t="str">
        <f t="shared" si="144"/>
        <v/>
      </c>
      <c r="MZ5" s="11" t="str">
        <f t="shared" si="145"/>
        <v/>
      </c>
      <c r="NA5" s="11" t="str">
        <f t="shared" si="146"/>
        <v/>
      </c>
      <c r="NB5" s="11" t="str">
        <f t="shared" si="147"/>
        <v/>
      </c>
      <c r="NC5" s="11" t="str">
        <f t="shared" si="148"/>
        <v/>
      </c>
      <c r="ND5" s="11" t="str">
        <f t="shared" si="149"/>
        <v/>
      </c>
      <c r="NE5" s="11" t="str">
        <f t="shared" si="150"/>
        <v/>
      </c>
      <c r="NF5" s="11" t="str">
        <f t="shared" si="151"/>
        <v/>
      </c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36" t="str">
        <f t="shared" si="152"/>
        <v/>
      </c>
      <c r="OB5" s="36" t="str">
        <f t="shared" si="153"/>
        <v/>
      </c>
      <c r="OC5" s="36" t="str">
        <f t="shared" si="154"/>
        <v/>
      </c>
      <c r="OD5" s="36" t="str">
        <f t="shared" si="155"/>
        <v/>
      </c>
      <c r="OE5" s="36" t="str">
        <f t="shared" si="156"/>
        <v/>
      </c>
      <c r="OF5" s="36" t="str">
        <f t="shared" si="157"/>
        <v/>
      </c>
      <c r="OG5" s="36" t="str">
        <f t="shared" si="158"/>
        <v/>
      </c>
      <c r="OH5" s="36" t="str">
        <f t="shared" si="159"/>
        <v/>
      </c>
      <c r="OI5" s="36" t="str">
        <f t="shared" si="160"/>
        <v/>
      </c>
      <c r="OJ5" s="36" t="str">
        <f t="shared" si="161"/>
        <v/>
      </c>
      <c r="OK5" s="36" t="str">
        <f t="shared" si="162"/>
        <v/>
      </c>
      <c r="OL5" s="36" t="str">
        <f t="shared" si="163"/>
        <v/>
      </c>
      <c r="OM5" s="36" t="str">
        <f t="shared" si="164"/>
        <v/>
      </c>
      <c r="ON5" s="36" t="str">
        <f t="shared" si="165"/>
        <v/>
      </c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1" t="str">
        <f t="shared" si="166"/>
        <v/>
      </c>
      <c r="PJ5" s="11" t="str">
        <f t="shared" si="167"/>
        <v/>
      </c>
      <c r="PK5" s="11" t="str">
        <f t="shared" si="168"/>
        <v/>
      </c>
      <c r="PL5" s="11" t="str">
        <f t="shared" si="169"/>
        <v/>
      </c>
      <c r="PM5" s="11" t="str">
        <f t="shared" si="170"/>
        <v/>
      </c>
      <c r="PN5" s="11" t="str">
        <f t="shared" si="171"/>
        <v/>
      </c>
      <c r="PO5" s="11" t="str">
        <f t="shared" si="172"/>
        <v/>
      </c>
      <c r="PP5" s="11" t="str">
        <f t="shared" si="173"/>
        <v/>
      </c>
      <c r="PQ5" s="11" t="str">
        <f t="shared" si="174"/>
        <v/>
      </c>
      <c r="PR5" s="11" t="str">
        <f t="shared" si="175"/>
        <v/>
      </c>
      <c r="PS5" s="11" t="str">
        <f t="shared" si="176"/>
        <v/>
      </c>
      <c r="PT5" s="11" t="str">
        <f t="shared" si="177"/>
        <v/>
      </c>
      <c r="PU5" s="11" t="str">
        <f t="shared" si="178"/>
        <v/>
      </c>
      <c r="PV5" s="11" t="str">
        <f t="shared" si="179"/>
        <v/>
      </c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36" t="str">
        <f t="shared" si="180"/>
        <v/>
      </c>
      <c r="QR5" s="36" t="str">
        <f t="shared" si="181"/>
        <v/>
      </c>
      <c r="QS5" s="36" t="str">
        <f t="shared" si="182"/>
        <v/>
      </c>
      <c r="QT5" s="36" t="str">
        <f t="shared" si="183"/>
        <v/>
      </c>
      <c r="QU5" s="36" t="str">
        <f t="shared" si="184"/>
        <v/>
      </c>
      <c r="QV5" s="36" t="str">
        <f t="shared" si="185"/>
        <v/>
      </c>
      <c r="QW5" s="36" t="str">
        <f t="shared" si="186"/>
        <v/>
      </c>
      <c r="QX5" s="36" t="str">
        <f t="shared" si="187"/>
        <v/>
      </c>
      <c r="QY5" s="36" t="str">
        <f t="shared" si="188"/>
        <v/>
      </c>
      <c r="QZ5" s="36" t="str">
        <f t="shared" si="189"/>
        <v/>
      </c>
      <c r="RA5" s="36" t="str">
        <f t="shared" si="190"/>
        <v/>
      </c>
      <c r="RB5" s="36" t="str">
        <f t="shared" si="191"/>
        <v/>
      </c>
      <c r="RC5" s="36" t="str">
        <f t="shared" si="192"/>
        <v/>
      </c>
      <c r="RD5" s="36" t="str">
        <f t="shared" si="193"/>
        <v/>
      </c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1" t="str">
        <f t="shared" si="194"/>
        <v/>
      </c>
      <c r="RZ5" s="11" t="str">
        <f t="shared" si="195"/>
        <v/>
      </c>
      <c r="SA5" s="11" t="str">
        <f t="shared" si="196"/>
        <v/>
      </c>
      <c r="SB5" s="11" t="str">
        <f t="shared" si="197"/>
        <v/>
      </c>
      <c r="SC5" s="11" t="str">
        <f t="shared" si="198"/>
        <v/>
      </c>
      <c r="SD5" s="11" t="str">
        <f t="shared" si="199"/>
        <v/>
      </c>
      <c r="SE5" s="11" t="str">
        <f t="shared" si="200"/>
        <v/>
      </c>
      <c r="SF5" s="11" t="str">
        <f t="shared" si="201"/>
        <v/>
      </c>
      <c r="SG5" s="11" t="str">
        <f t="shared" si="202"/>
        <v/>
      </c>
      <c r="SH5" s="11" t="str">
        <f t="shared" si="203"/>
        <v/>
      </c>
      <c r="SI5" s="11" t="str">
        <f t="shared" si="204"/>
        <v/>
      </c>
      <c r="SJ5" s="11" t="str">
        <f t="shared" si="205"/>
        <v/>
      </c>
      <c r="SK5" s="11" t="str">
        <f t="shared" si="206"/>
        <v/>
      </c>
      <c r="SL5" s="11" t="str">
        <f t="shared" si="207"/>
        <v/>
      </c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36" t="str">
        <f t="shared" si="208"/>
        <v/>
      </c>
      <c r="TH5" s="36" t="str">
        <f t="shared" si="209"/>
        <v/>
      </c>
      <c r="TI5" s="36" t="str">
        <f t="shared" si="210"/>
        <v/>
      </c>
      <c r="TJ5" s="36" t="str">
        <f t="shared" si="211"/>
        <v/>
      </c>
      <c r="TK5" s="36" t="str">
        <f t="shared" si="212"/>
        <v/>
      </c>
      <c r="TL5" s="36" t="str">
        <f t="shared" si="213"/>
        <v/>
      </c>
      <c r="TM5" s="36" t="str">
        <f t="shared" si="214"/>
        <v/>
      </c>
      <c r="TN5" s="36" t="str">
        <f t="shared" si="215"/>
        <v/>
      </c>
      <c r="TO5" s="36" t="str">
        <f t="shared" si="216"/>
        <v/>
      </c>
      <c r="TP5" s="36" t="str">
        <f t="shared" si="217"/>
        <v/>
      </c>
      <c r="TQ5" s="36" t="str">
        <f t="shared" si="218"/>
        <v/>
      </c>
      <c r="TR5" s="36" t="str">
        <f t="shared" si="219"/>
        <v/>
      </c>
      <c r="TS5" s="36" t="str">
        <f t="shared" si="220"/>
        <v/>
      </c>
      <c r="TT5" s="36" t="str">
        <f t="shared" si="221"/>
        <v/>
      </c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1" t="str">
        <f t="shared" si="222"/>
        <v/>
      </c>
      <c r="UP5" s="11" t="str">
        <f t="shared" si="223"/>
        <v/>
      </c>
      <c r="UQ5" s="11" t="str">
        <f t="shared" si="224"/>
        <v/>
      </c>
      <c r="UR5" s="11" t="str">
        <f t="shared" si="225"/>
        <v/>
      </c>
      <c r="US5" s="11" t="str">
        <f t="shared" si="226"/>
        <v/>
      </c>
      <c r="UT5" s="11" t="str">
        <f t="shared" si="227"/>
        <v/>
      </c>
      <c r="UU5" s="11" t="str">
        <f t="shared" si="228"/>
        <v/>
      </c>
      <c r="UV5" s="11" t="str">
        <f t="shared" si="229"/>
        <v/>
      </c>
      <c r="UW5" s="11" t="str">
        <f t="shared" si="230"/>
        <v/>
      </c>
      <c r="UX5" s="11" t="str">
        <f t="shared" si="231"/>
        <v/>
      </c>
      <c r="UY5" s="11" t="str">
        <f t="shared" si="232"/>
        <v/>
      </c>
      <c r="UZ5" s="11" t="str">
        <f t="shared" si="233"/>
        <v/>
      </c>
      <c r="VA5" s="11" t="str">
        <f t="shared" si="234"/>
        <v/>
      </c>
      <c r="VB5" s="11" t="str">
        <f t="shared" si="235"/>
        <v/>
      </c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36" t="str">
        <f t="shared" si="236"/>
        <v/>
      </c>
      <c r="VX5" s="36" t="str">
        <f t="shared" si="237"/>
        <v/>
      </c>
      <c r="VY5" s="36" t="str">
        <f t="shared" si="238"/>
        <v/>
      </c>
      <c r="VZ5" s="36" t="str">
        <f t="shared" si="239"/>
        <v/>
      </c>
      <c r="WA5" s="36" t="str">
        <f t="shared" si="240"/>
        <v/>
      </c>
      <c r="WB5" s="36" t="str">
        <f t="shared" si="241"/>
        <v/>
      </c>
      <c r="WC5" s="36" t="str">
        <f t="shared" si="242"/>
        <v/>
      </c>
      <c r="WD5" s="36" t="str">
        <f t="shared" si="243"/>
        <v/>
      </c>
      <c r="WE5" s="36" t="str">
        <f t="shared" si="244"/>
        <v/>
      </c>
      <c r="WF5" s="36" t="str">
        <f t="shared" si="245"/>
        <v/>
      </c>
      <c r="WG5" s="36" t="str">
        <f t="shared" si="246"/>
        <v/>
      </c>
      <c r="WH5" s="36" t="str">
        <f t="shared" si="247"/>
        <v/>
      </c>
      <c r="WI5" s="36" t="str">
        <f t="shared" si="248"/>
        <v/>
      </c>
      <c r="WJ5" s="36" t="str">
        <f t="shared" si="249"/>
        <v/>
      </c>
    </row>
    <row r="6" spans="1:608" x14ac:dyDescent="0.2">
      <c r="A6" s="4" t="str" cm="1">
        <f t="array" ref="A6">IF(AND(H6&lt;&gt;"",H6&lt;&gt;"No DD",I6&lt;&gt;"P"),SUMPRODUCT((H$4:H$28&lt;&gt;"")*(H$4:H$28&lt;&gt;"No DD")*(I$4:I$28&lt;&gt;"P")*(E$4:E$28&gt;E6))+1,IF(H6="No DD",SUMPRODUCT((H$4:H$28="No DD")*(I$4:I$28&lt;&gt;"P")*(E$4:E$28&gt;E6))+1+SUMPRODUCT((H$4:H$28&lt;&gt;"")*(I$4:I$28&lt;&gt;"P")*(H$4:H$28&lt;&gt;"No DD")),""))</f>
        <v/>
      </c>
      <c r="B6" s="5" t="s">
        <v>113</v>
      </c>
      <c r="C6" s="4" t="s">
        <v>7</v>
      </c>
      <c r="D6" s="4">
        <v>2008</v>
      </c>
      <c r="E6" s="9">
        <f t="shared" si="0"/>
        <v>111.52001115200559</v>
      </c>
      <c r="F6" s="3" t="str">
        <f>IF(OR(AND(AG6&gt;=AQ$30,AG6&lt;&gt;"",AI6&gt;=AQ$34,AI6&lt;&gt;"",AF6=""),AND(AJ6&gt;=AQ$30,AJ6&lt;&gt;"",AL6&gt;=AQ$34,AL6&lt;&gt;"",AF6=""),AND(AN6&gt;=AQ$30,AN6&lt;&gt;"",AP6&gt;=AQ$34,AP6&lt;&gt;"",AF6=""),AND(BH6&gt;=BR$30,BH6&lt;&gt;"",BJ6&gt;=BR$34,BJ6&lt;&gt;"",BG6=""),AND(BK6&gt;=BR$30,BK6&lt;&gt;"",BM6&gt;=BR$34,BM6&lt;&gt;"",BG6=""),AND(BO6&gt;=BR$30,BO6&lt;&gt;"",BQ6&gt;=BR$34,BQ6&lt;&gt;"",BG6=""),AND(CI6&gt;=CS$30,CI6&lt;&gt;"",CK6&gt;=CS$34,CK6&lt;&gt;"",CH6=""),AND(CL6&gt;=CS$30,CL6&lt;&gt;"",CN6&gt;=CS$34,CN6&lt;&gt;"",CH6=""),AND(CP6&gt;=CS$30,CP6&lt;&gt;"",CR6&gt;=CS$34,CR6&lt;&gt;"",CH6=""),AND(DO6&gt;=EB$30,DO6&lt;&gt;"",DQ6&gt;=EB$34,DQ6&lt;&gt;""),AND(DR6&gt;=EB$30,DR6&lt;&gt;"",DT6&gt;=EB$34,DT6&lt;&gt;""),AND(DV6&gt;=EB$30,DV6&lt;&gt;"",DX6&gt;=EB$34,DX6&lt;&gt;""),AND(DY6&gt;=EB$30,DY6&lt;&gt;"",EA6&gt;=EB$34,EA6&lt;&gt;""),AND(EW6&gt;=FJ$30,EW6&lt;&gt;"",EY6&gt;=FJ$34,EY6&lt;&gt;""),AND(EZ6&gt;=FJ$30,EZ6&lt;&gt;"",FB6&gt;=FJ$34,FB6&lt;&gt;""),AND(FD6&gt;=FJ$30,FD6&lt;&gt;"",FF6&gt;=FJ$34,FF6&lt;&gt;""),AND(FG6&gt;=FJ$30,FG6&lt;&gt;"",FI6&gt;=FJ$34,FI6&lt;&gt;""),AND(GE6&gt;=GR$30,GE6&lt;&gt;"",GG6&gt;=GR$34,GG6&lt;&gt;""),AND(GH6&gt;=GR$30,GH6&lt;&gt;"",GJ6&gt;=GR$34,GJ6&lt;&gt;""),AND(GL6&gt;=GR$30,GL6&lt;&gt;"",GN6&gt;=GR$34,GN6&lt;&gt;""),AND(GO6&gt;=GR$30,GO6&lt;&gt;"",GQ6&gt;=GR$34,GQ6&lt;&gt;""),AND(HM6&gt;=HZ$30,HM6&lt;&gt;"",HO6&gt;=HZ$34,HO6&lt;&gt;""),AND(HP6&gt;=HZ$30,HP6&lt;&gt;"",HR6&gt;=HZ$34,HR6&lt;&gt;""),AND(HT6&gt;=HZ$30,HT6&lt;&gt;"",HV6&gt;=HZ$34,HV6&lt;&gt;""),AND(HW6&gt;=HZ$30,HW6&lt;&gt;"",HY6&gt;=HZ$34,HY6&lt;&gt;""),AND(IU6&gt;=JH$30,IU6&lt;&gt;"",IW6&gt;=JH$34,IW6&lt;&gt;""),AND(IX6&gt;=JH$30,IX6&lt;&gt;"",IZ6&gt;=JH$34,IZ6&lt;&gt;""),AND(JB6&gt;=JH$30,JB6&lt;&gt;"",JD6&gt;=JH$34,JD6&lt;&gt;""),AND(JE6&gt;=JH$30,JE6&lt;&gt;"",JG6&gt;=JH$34,JG6&lt;&gt;""),AND(KC6&gt;=KP$30,KC6&lt;&gt;"",KE6&gt;=KP$34,KE6&lt;&gt;""),AND(KF6&gt;=KP$30,KF6&lt;&gt;"",KH6&gt;=KP$34,KH6&lt;&gt;""),AND(KJ6&gt;=KP$30,KJ6&lt;&gt;"",KL6&gt;=KP$34,KL6&lt;&gt;""),AND(KM6&gt;=KP$30,KM6&lt;&gt;"",KO6&gt;=KP$34,KO6&lt;&gt;""),AND(LK6&gt;=LX$30,LK6&lt;&gt;"",LM6&gt;=LX$34,LM6&lt;&gt;""),AND(LN6&gt;=LX$30,LN6&lt;&gt;"",LP6&gt;=LX$34,LP6&lt;&gt;""),AND(LR6&gt;=LX$30,LR6&lt;&gt;"",LT6&gt;=LX$34,LT6&lt;&gt;""),AND(LU6&gt;=LX$30,LU6&lt;&gt;"",LW6&gt;=LX$34,LW6&lt;&gt;""),AND(MS6&gt;=NF$30,MS6&lt;&gt;"",MU6&gt;=NF$34,MU6&lt;&gt;""),AND(MV6&gt;=NF$30,MV6&lt;&gt;"",MX6&gt;=NF$34,MX6&lt;&gt;""),AND(MZ6&gt;=NF$30,MZ6&lt;&gt;"",NB6&gt;=NF$34,NB6&lt;&gt;""),AND(NC6&gt;=NF$30,NC6&lt;&gt;"",NE6&gt;=NF$34,NE6&lt;&gt;""),AND(OA6&gt;=ON$30,OA6&lt;&gt;"",OC6&gt;=ON$34,OC6&lt;&gt;""),AND(OD6&gt;=ON$30,OD6&lt;&gt;"",OF6&gt;=ON$34,OF6&lt;&gt;""),AND(OH6&gt;=ON$30,OH6&lt;&gt;"",OJ6&gt;=ON$34,OJ6&lt;&gt;""),AND(OK6&gt;=ON$30,OK6&lt;&gt;"",OM6&gt;=ON$34,OM6&lt;&gt;""),AND(PI6&gt;=PV$30,PI6&lt;&gt;"",PK6&gt;=PV$34,PK6&lt;&gt;""),AND(PL6&gt;=PV$30,PL6&lt;&gt;"",PN6&gt;=PV$34,PN6&lt;&gt;""),AND(PP6&gt;=PV$30,PP6&lt;&gt;"",PR6&gt;=PV$34,PR6&lt;&gt;""),AND(PS6&gt;=PV$30,PS6&lt;&gt;"",PU6&gt;=PV$34,PU6&lt;&gt;""),AND(QQ6&gt;=RD$30,QQ6&lt;&gt;"",QS6&gt;=RD$34,QS6&lt;&gt;""),AND(QT6&gt;=RD$30,QT6&lt;&gt;"",QV6&gt;=RD$34,QV6&lt;&gt;""),AND(QX6&gt;=RD$30,QX6&lt;&gt;"",QZ6&gt;=RD$34,QZ6&lt;&gt;""),AND(RA6&gt;=RD$30,RA6&lt;&gt;"",RC6&gt;=RD$34,RC6&lt;&gt;""),AND(RY6&gt;=SL$30,RY6&lt;&gt;"",SA6&gt;=SL$34,SA6&lt;&gt;""),AND(SB6&gt;=SL$30,SB6&lt;&gt;"",SD6&gt;=SL$34,SD6&lt;&gt;""),AND(SF6&gt;=SL$30,SF6&lt;&gt;"",SH6&gt;=SL$34,SH6&lt;&gt;""),AND(SI6&gt;=SL$30,SI6&lt;&gt;"",SK6&gt;=SL$34,SK6&lt;&gt;""),AND(TG6&gt;=TT$30,TG6&lt;&gt;"",TI6&gt;=TT$34,TI6&lt;&gt;""),AND(TJ6&gt;=TT$30,TJ6&lt;&gt;"",TL6&gt;=TT$34,TL6&lt;&gt;""),AND(TN6&gt;=TT$30,TN6&lt;&gt;"",TP6&gt;=TT$34,TXN6&lt;&gt;""),AND(TQ6&gt;=TT$30,TQ6&lt;&gt;"",TS6&gt;=TT$34,TS6&lt;&gt;""),AND(UO6&gt;=VB$30,UO6&lt;&gt;"",UQ6&gt;=VB$34,UQ6&lt;&gt;""),AND(UR6&gt;=VB$30,UR6&lt;&gt;"",UT6&gt;=VB$34,UT6&lt;&gt;""),AND(UV6&gt;=VB$30,UV6&lt;&gt;"",UX6&gt;=VB$34,UX6&lt;&gt;""),AND(UY6&gt;=VB$30,UY6&lt;&gt;"",VA6&gt;=VB$34,VA6&lt;&gt;""),AND(VW6&gt;=WJ$30,VW6&lt;&gt;"",VY6&gt;=WJ$34,VY6&lt;&gt;""),AND(VZ6&gt;=WJ$30,VZ6&lt;&gt;"",WB6&gt;=WJ$34,WB6&lt;&gt;""),AND(WD6&gt;=WJ$30,WD6&lt;&gt;"",WF6&gt;=WJ$34,WF6&lt;&gt;""),AND(WG6&gt;=WJ$30,WG6&lt;&gt;"",WI6&gt;=WJ$34,WI6&lt;&gt;"")),"P","")</f>
        <v>P</v>
      </c>
      <c r="G6" s="3" t="str">
        <f>IF(OR(AND(AI6&gt;=AQ$34,AI6&lt;&gt;"",AF6=""),AND(AL6&gt;=AQ$34,AL6&lt;&gt;"",AF6=""),AND(AP6&gt;=AQ$34,AP6&lt;&gt;"",AF6=""),AND(BJ6&gt;=BR$34,BJ6&lt;&gt;"",BG6=""),AND(BM6&gt;=BR$34,BM6&lt;&gt;"",BG6=""),AND(BQ6&gt;=BR$34,BQ6&lt;&gt;"",BG6=""),AND(CK6&gt;=CS$34,CK6&lt;&gt;"",CH6=""),AND(CN6&gt;=CS$34,CN6&lt;&gt;"",CH6=""),AND(CR6&gt;=CS$34,CR6&lt;&gt;"",CH6=""),AND(DQ6&gt;=EB$34,DQ6&lt;&gt;""),AND(DT6&gt;=EB$34,DT6&lt;&gt;""),AND(DX6&gt;=EB$34,DX6&lt;&gt;""),AND(EA6&gt;=EB$34,EA6&lt;&gt;""),AND(EY6&gt;=FJ$34,EY6&lt;&gt;""),AND(FB6&gt;=FJ$34,FB6&lt;&gt;""),AND(FF6&gt;=FJ$34,FF6&lt;&gt;""),AND(FI6&gt;=FJ$34,FI6&lt;&gt;""),AND(GG6&gt;=GR$34,GG6&lt;&gt;""),AND(GJ6&gt;=GR$34,GJ6&lt;&gt;""),AND(GN6&gt;=GR$34,GN6&lt;&gt;""),AND(GQ6&gt;=GR$34,GQ6&lt;&gt;""),AND(HO6&gt;=HZ$34,HO6&lt;&gt;""),AND(HR6&gt;=HZ$34,HR6&lt;&gt;""),AND(HV6&gt;=HZ$34,HV6&lt;&gt;""),AND(HY6&gt;=HZ$34,HY6&lt;&gt;""),AND(IW6&gt;=JH$34,IW6&lt;&gt;""),AND(IZ6&gt;=JH$34,IZ6&lt;&gt;""),AND(JD6&gt;=JH$34,JD6&lt;&gt;""),AND(JG6&gt;=JH$34,JG6&lt;&gt;""),AND(KE6&gt;=KP$34,KE6&lt;&gt;""),AND(KH6&gt;=KP$34,KH6&lt;&gt;""),AND(KL6&gt;=KP$34,KL6&lt;&gt;""),AND(KO6&gt;=KP$34,KO6&lt;&gt;""),AND(LM6&gt;=LX$34,LM6&lt;&gt;""),AND(LP6&gt;=LX$34,LP6&lt;&gt;""),AND(LT6&gt;=LX$34,LT6&lt;&gt;""),AND(LW6&gt;=LX$34,LW6&lt;&gt;""),AND(MU6&gt;=NF$34,MU6&lt;&gt;""),AND(MX6&gt;=NF$34,MX6&lt;&gt;""),AND(NB6&gt;=NF$34,NB6&lt;&gt;""),AND(NE6&gt;=NF$34,NE6&lt;&gt;""),AND(OC6&gt;=ON$34,OC6&lt;&gt;""),AND(OF6&gt;=ON$34,OF6&lt;&gt;""),AND(OJ6&gt;=ON$34,OJ6&lt;&gt;""),AND(OM6&gt;=ON$34,OM6&lt;&gt;""),AND(PK6&gt;=PV$34,PK6&lt;&gt;""),AND(PN6&gt;=PV$34,PN6&lt;&gt;""),AND(PR6&gt;=PV$34,PR6&lt;&gt;""),AND(PU6&gt;=PV$34,PU6&lt;&gt;""),AND(QS6&gt;=RD$34,QS6&lt;&gt;""),AND(QV6&gt;=RD$34,QV6&lt;&gt;""),AND(QZ6&gt;=RD$34,QZ6&lt;&gt;""),AND(RC6&gt;=RD$34,RC6&lt;&gt;""),AND(SA6&gt;=SL$34,SA6&lt;&gt;""),AND(SD6&gt;=SL$34,SD6&lt;&gt;""),AND(SH6&gt;=SL$34,SH6&lt;&gt;""),AND(SK6&gt;=SL$34,SK6&lt;&gt;""),AND(TI6&gt;=TT$34,TI6&lt;&gt;""),AND(TL6&gt;=TT$34,TL6&lt;&gt;""),AND(TP6&gt;=TT$34,TXN6&lt;&gt;""),AND(TS6&gt;=TT$34,TS6&lt;&gt;""),AND(UQ6&gt;=VB$34,UQ6&lt;&gt;""),AND(UT6&gt;=VB$34,UT6&lt;&gt;""),AND(UX6&gt;=VB$34,UX6&lt;&gt;""),AND(VA6&gt;=VB$34,VA6&lt;&gt;""),AND(VY6&gt;=WJ$34,VY6&lt;&gt;""),AND(WB6&gt;=WJ$34,WB6&lt;&gt;""),AND(WF6&gt;=WJ$34,WF6&lt;&gt;""),AND(WI6&gt;=WJ$34,WI6&lt;&gt;"")),"P","")</f>
        <v>P</v>
      </c>
      <c r="H6" s="32" t="str">
        <f>IF(AND(G6="P",F6=""),"No DD",IF(OR(AND(AG6&gt;=AQ$33,AG6&lt;&gt;"",AI6&gt;=AQ$37,AI6&lt;&gt;"",AF6=""),AND(AJ6&gt;=AQ$33,AJ6&lt;&gt;"",AL6&gt;=AQ$37,AL6&lt;&gt;"",AF6=""),AND(AN6&gt;=AQ$33,AN6&lt;&gt;"",AP6&gt;=AQ$37,AP6&lt;&gt;"",AF6=""),AND(BH6&gt;=BR$33,BH6&lt;&gt;"",BJ6&gt;=BR$37,BJ6&lt;&gt;"",BG6=""),AND(BK6&gt;=BR$33,BK6&lt;&gt;"",BM6&gt;=BR$37,BM6&lt;&gt;"",BG6=""),AND(BO6&gt;=BR$33,BO6&lt;&gt;"",BQ6&gt;=BR$37,BQ6&lt;&gt;"",BG6=""),AND(CI6&gt;=CS$33,CI6&lt;&gt;"",CK6&gt;=CS$37,CK6&lt;&gt;"",CH6=""),AND(CL6&gt;=CS$33,CL6&lt;&gt;"",CN6&gt;=CS$37,CN6&lt;&gt;"",CH6=""),AND(CP6&gt;=CS$33,CP6&lt;&gt;"",CR6&gt;=CS$37,CR6&lt;&gt;"",CH6=""),AND(DO6&gt;=EB$33,DO6&lt;&gt;"",DQ6&gt;=EB$37,DQ6&lt;&gt;""),AND(DR6&gt;=EB$33,DR6&lt;&gt;"",DT6&gt;=EB$37,DT6&lt;&gt;""),AND(DV6&gt;=EB$33,DV6&lt;&gt;"",DX6&gt;=EB$37,DX6&lt;&gt;""),AND(DY6&gt;=EB$33,DY6&lt;&gt;"",EA6&gt;=EB$37,EA6&lt;&gt;""),AND(EW6&gt;=FJ$33,EW6&lt;&gt;"",EY6&gt;=FJ$37,EY6&lt;&gt;""),AND(EZ6&gt;=FJ$33,EZ6&lt;&gt;"",FB6&gt;=FJ$37,FB6&lt;&gt;""),AND(FD6&gt;=FJ$33,FD6&lt;&gt;"",FF6&gt;=FJ$37,FF6&lt;&gt;""),AND(FG6&gt;=FJ$33,FG6&lt;&gt;"",FI6&gt;=FJ$37,FI6&lt;&gt;""),AND(GE6&gt;=GR$33,GE6&lt;&gt;"",GG6&gt;=GR$37,GG6&lt;&gt;""),AND(GH6&gt;=GR$33,GH6&lt;&gt;"",GJ6&gt;=GR$37,GJ6&lt;&gt;""),AND(GL6&gt;=GR$33,GL6&lt;&gt;"",GN6&gt;=GR$37,GN6&lt;&gt;""),AND(GO6&gt;=GR$33,GO6&lt;&gt;"",GQ6&gt;=GR$37,GQ6&lt;&gt;""),AND(HM6&gt;=HZ$33,HM6&lt;&gt;"",HO6&gt;=HZ$37,HO6&lt;&gt;""),AND(HP6&gt;=HZ$33,HP6&lt;&gt;"",HR6&gt;=HZ$37,HR6&lt;&gt;""),AND(HT6&gt;=HZ$33,HT6&lt;&gt;"",HV6&gt;=HZ$37,HV6&lt;&gt;""),AND(HW6&gt;=HZ$33,HW6&lt;&gt;"",HY6&gt;=HZ$37,HY6&lt;&gt;""),AND(IU6&gt;=JH$33,IU6&lt;&gt;"",IW6&gt;=JH$37,IW6&lt;&gt;""),AND(IX6&gt;=JH$33,IX6&lt;&gt;"",IZ6&gt;=JH$37,IZ6&lt;&gt;""),AND(JB6&gt;=JH$33,JB6&lt;&gt;"",JD6&gt;=JH$37,JD6&lt;&gt;""),AND(JE6&gt;=JH$33,JE6&lt;&gt;"",JG6&gt;=JH$37,JG6&lt;&gt;""),AND(KC6&gt;=KP$33,KC6&lt;&gt;"",KE6&gt;=KP$37,KE6&lt;&gt;""),AND(KF6&gt;=KP$33,KF6&lt;&gt;"",KH6&gt;=KP$37,KH6&lt;&gt;""),AND(KJ6&gt;=KP$33,KJ6&lt;&gt;"",KL6&gt;=KP$37,KL6&lt;&gt;""),AND(KM6&gt;=KP$33,KM6&lt;&gt;"",KO6&gt;=KP$37,KO6&lt;&gt;""),AND(LK6&gt;=LX$33,LK6&lt;&gt;"",LM6&gt;=LX$37,LM6&lt;&gt;""),AND(LN6&gt;=LX$33,LN6&lt;&gt;"",LP6&gt;=LX$37,LP6&lt;&gt;""),AND(LR6&gt;=LX$33,LR6&lt;&gt;"",LT6&gt;=LX$37,LT6&lt;&gt;""),AND(LU6&gt;=LX$33,LU6&lt;&gt;"",LW6&gt;=LX$37,LW6&lt;&gt;""),AND(MS6&gt;=NF$33,MS6&lt;&gt;"",MU6&gt;=NF$37,MU6&lt;&gt;""),AND(MV6&gt;=NF$33,MV6&lt;&gt;"",MX6&gt;=NF$37,MX6&lt;&gt;""),AND(MZ6&gt;=NF$33,MZ6&lt;&gt;"",NB6&gt;=NF$37,NB6&lt;&gt;""),AND(NC6&gt;=NF$33,NC6&lt;&gt;"",NE6&gt;=NF$37,NE6&lt;&gt;""),AND(OA6&gt;=ON$33,OA6&lt;&gt;"",OC6&gt;=ON$37,OC6&lt;&gt;""),AND(OD6&gt;=ON$33,OD6&lt;&gt;"",OF6&gt;=ON$37,OF6&lt;&gt;""),AND(OH6&gt;=ON$33,OH6&lt;&gt;"",OJ6&gt;=ON$37,OJ6&lt;&gt;""),AND(OK6&gt;=ON$33,OK6&lt;&gt;"",OM6&gt;=ON$37,OM6&lt;&gt;""),AND(PI6&gt;=PV$33,PI6&lt;&gt;"",PK6&gt;=PV$37,PK6&lt;&gt;""),AND(PL6&gt;=PV$33,PL6&lt;&gt;"",PN6&gt;=PV$37,PN6&lt;&gt;""),AND(PP6&gt;=PV$33,PP6&lt;&gt;"",PR6&gt;=PV$37,PR6&lt;&gt;""),AND(PS6&gt;=PV$33,PS6&lt;&gt;"",PU6&gt;=PV$37,PU6&lt;&gt;""),AND(QQ6&gt;=RD$33,QQ6&lt;&gt;"",QS6&gt;=RD$37,QS6&lt;&gt;""),AND(QT6&gt;=RD$33,QT6&lt;&gt;"",QV6&gt;=RD$37,QV6&lt;&gt;""),AND(QX6&gt;=RD$33,QX6&lt;&gt;"",QZ6&gt;=RD$37,QZ6&lt;&gt;""),AND(RA6&gt;=RD$33,RA6&lt;&gt;"",RC6&gt;=RD$37,RC6&lt;&gt;""),AND(RY6&gt;=SL$33,RY6&lt;&gt;"",SA6&gt;=SL$37,SA6&lt;&gt;""),AND(SB6&gt;=SL$33,SB6&lt;&gt;"",SD6&gt;=SL$37,SD6&lt;&gt;""),AND(SF6&gt;=SL$33,SF6&lt;&gt;"",SH6&gt;=SL$37,SH6&lt;&gt;""),AND(SI6&gt;=SL$33,SI6&lt;&gt;"",SK6&gt;=SL$37,SK6&lt;&gt;""),AND(TG6&gt;=TT$33,TG6&lt;&gt;"",TI6&gt;=TT$37,TI6&lt;&gt;""),AND(TJ6&gt;=TT$33,TJ6&lt;&gt;"",TL6&gt;=TT$37,TL6&lt;&gt;""),AND(TN6&gt;=TT$33,TN6&lt;&gt;"",TP6&gt;=TT$357,TXN6&lt;&gt;""),AND(TQ6&gt;=TT$33,TQ6&lt;&gt;"",TS6&gt;=TT$37,TS6&lt;&gt;""),AND(UO6&gt;=VB$33,UO6&lt;&gt;"",UQ6&gt;=VB$37,UQ6&lt;&gt;""),AND(UR6&gt;=VB$33,UR6&lt;&gt;"",UT6&gt;=VB$37,UT6&lt;&gt;""),AND(UV6&gt;=VB$33,UV6&lt;&gt;"",UX6&gt;=VB$37,UX6&lt;&gt;""),AND(UY6&gt;=VB$33,UY6&lt;&gt;"",VA6&gt;=VB$37,VA6&lt;&gt;""),AND(VW6&gt;=WJ$33,VW6&lt;&gt;"",VY6&gt;=WJ$37,VY6&lt;&gt;""),AND(VZ6&gt;=WJ$33,VZ6&lt;&gt;"",WB6&gt;=WJ$37,WB6&lt;&gt;""),AND(WD6&gt;=WJ$33,WD6&lt;&gt;"",WF6&gt;=WJ$37,WF6&lt;&gt;""),AND(WG6&gt;=WJ$33,WG6&lt;&gt;"",WI6&gt;=WJ$37,WI6&lt;&gt;"")),"Merit",IF(OR(AND(AG6&gt;=AQ$32,AG6&lt;&gt;"",AI6&gt;=AQ$36,AI6&lt;&gt;"",AF6=""),AND(AJ6&gt;=AQ$32,AJ6&lt;&gt;"",AL6&gt;=AQ$36,AL6&lt;&gt;"",AF6=""),AND(AN6&gt;=AQ$32,AN6&lt;&gt;"",AP6&gt;=AQ$36,AP6&lt;&gt;"",AF6=""),AND(BH6&gt;=BR$32,BH6&lt;&gt;"",BJ6&gt;=BR$36,BJ6&lt;&gt;"",BG6=""),AND(BK6&gt;=BR$32,BK6&lt;&gt;"",BM6&gt;=BR$36,BM6&lt;&gt;"",BG6=""),AND(BO6&gt;=BR$32,BO6&lt;&gt;"",BQ6&gt;=BR$36,BQ6&lt;&gt;"",BG6=""),AND(CI6&gt;=CS$32,CI6&lt;&gt;"",CK6&gt;=CS$36,CK6&lt;&gt;"",CH6=""),AND(CL6&gt;=CS$32,CL6&lt;&gt;"",CN6&gt;=CS$36,CN6&lt;&gt;"",CH6=""),AND(CP6&gt;=CS$32,CP6&lt;&gt;"",CR6&gt;=CS$36,CR6&lt;&gt;"",CH6=""),AND(DO6&gt;=EB$32,DO6&lt;&gt;"",DQ6&gt;=EB$36,DQ6&lt;&gt;""),AND(DR6&gt;=EB$32,DR6&lt;&gt;"",DT6&gt;=EB$36,DT6&lt;&gt;""),AND(DV6&gt;=EB$32,DV6&lt;&gt;"",DX6&gt;=EB$36,DX6&lt;&gt;""),AND(DY6&gt;=EB$32,DY6&lt;&gt;"",EA6&gt;=EB$36,EA6&lt;&gt;""),AND(EW6&gt;=FJ$32,EW6&lt;&gt;"",EY6&gt;=FJ$36,EY6&lt;&gt;""),AND(EZ6&gt;=FJ$32,EZ6&lt;&gt;"",FB6&gt;=FJ$36,FB6&lt;&gt;""),AND(FD6&gt;=FJ$32,FD6&lt;&gt;"",FF6&gt;=FJ$36,FF6&lt;&gt;""),AND(FG6&gt;=FJ$32,FG6&lt;&gt;"",FI6&gt;=FJ$36,FI6&lt;&gt;""),AND(GE6&gt;=GR$32,GE6&lt;&gt;"",GG6&gt;=GR$36,GG6&lt;&gt;""),AND(GH6&gt;=GR$32,GH6&lt;&gt;"",GJ6&gt;=GR$36,GJ6&lt;&gt;""),AND(GL6&gt;=GR$32,GL6&lt;&gt;"",GN6&gt;=GR$36,GN6&lt;&gt;""),AND(GO6&gt;=GR$32,GO6&lt;&gt;"",GQ6&gt;=GR$36,GQ6&lt;&gt;""),AND(HM6&gt;=HZ$32,HM6&lt;&gt;"",HO6&gt;=HZ$36,HO6&lt;&gt;""),AND(HP6&gt;=HZ$32,HP6&lt;&gt;"",HR6&gt;=HZ$36,HR6&lt;&gt;""),AND(HT6&gt;=HZ$32,HT6&lt;&gt;"",HV6&gt;=HZ$36,HV6&lt;&gt;""),AND(HW6&gt;=HZ$32,HW6&lt;&gt;"",HY6&gt;=HZ$36,HY6&lt;&gt;""),AND(IU6&gt;=JH$32,IU6&lt;&gt;"",IW6&gt;=JH$36,IW6&lt;&gt;""),AND(IX6&gt;=JH$32,IX6&lt;&gt;"",IZ6&gt;=JH$36,IZ6&lt;&gt;""),AND(JB6&gt;=JH$32,JB6&lt;&gt;"",JD6&gt;=JH$36,JD6&lt;&gt;""),AND(JE6&gt;=JH$32,JE6&lt;&gt;"",JG6&gt;=JH$36,JG6&lt;&gt;""),AND(KC6&gt;=KP$32,KC6&lt;&gt;"",KE6&gt;=KP$36,KE6&lt;&gt;""),AND(KF6&gt;=KP$32,KF6&lt;&gt;"",KH6&gt;=KP$36,KH6&lt;&gt;""),AND(KJ6&gt;=KP$32,KJ6&lt;&gt;"",KL6&gt;=KP$36,KL6&lt;&gt;""),AND(KM6&gt;=KP$32,KM6&lt;&gt;"",KO6&gt;=KP$36,KO6&lt;&gt;""),AND(LK6&gt;=LX$32,LK6&lt;&gt;"",LM6&gt;=LX$36,LM6&lt;&gt;""),AND(LN6&gt;=LX$32,LN6&lt;&gt;"",LP6&gt;=LX$36,LP6&lt;&gt;""),AND(LR6&gt;=LX$32,LR6&lt;&gt;"",LT6&gt;=LX$36,LT6&lt;&gt;""),AND(LU6&gt;=LX$32,LU6&lt;&gt;"",LW6&gt;=LX$36,LW6&lt;&gt;""),AND(MS6&gt;=NF$32,MS6&lt;&gt;"",MU6&gt;=NF$36,MU6&lt;&gt;""),AND(MV6&gt;=NF$32,MV6&lt;&gt;"",MX6&gt;=NF$36,MX6&lt;&gt;""),AND(MZ6&gt;=NF$32,MZ6&lt;&gt;"",NB6&gt;=NF$36,NB6&lt;&gt;""),AND(NC6&gt;=NF$32,NC6&lt;&gt;"",NE6&gt;=NF$36,NE6&lt;&gt;""),AND(OA6&gt;=ON$32,OA6&lt;&gt;"",OC6&gt;=ON$36,OC6&lt;&gt;""),AND(OD6&gt;=ON$32,OD6&lt;&gt;"",OF6&gt;=ON$36,OF6&lt;&gt;""),AND(OH6&gt;=ON$32,OH6&lt;&gt;"",OJ6&gt;=ON$36,OJ6&lt;&gt;""),AND(OK6&gt;=ON$32,OK6&lt;&gt;"",OM6&gt;=ON$36,OM6&lt;&gt;""),AND(PI6&gt;=PV$32,PI6&lt;&gt;"",PK6&gt;=PV$36,PK6&lt;&gt;""),AND(PL6&gt;=PV$32,PL6&lt;&gt;"",PN6&gt;=PV$36,PN6&lt;&gt;""),AND(PP6&gt;=PV$32,PP6&lt;&gt;"",PR6&gt;=PV$36,PR6&lt;&gt;""),AND(PS6&gt;=PV$32,PS6&lt;&gt;"",PU6&gt;=PV$36,PU6&lt;&gt;""),AND(QQ6&gt;=RD$32,QQ6&lt;&gt;"",QS6&gt;=RD$36,QS6&lt;&gt;""),AND(QT6&gt;=RD$32,QT6&lt;&gt;"",QV6&gt;=RD$36,QV6&lt;&gt;""),AND(QX6&gt;=RD$32,QX6&lt;&gt;"",QZ6&gt;=RD$36,QZ6&lt;&gt;""),AND(RA6&gt;=RD$32,RA6&lt;&gt;"",RC6&gt;=RD$36,RC6&lt;&gt;""),AND(RY6&gt;=SL$32,RY6&lt;&gt;"",SA6&gt;=SL$36,SA6&lt;&gt;""),AND(SB6&gt;=SL$32,SB6&lt;&gt;"",SD6&gt;=SL$36,SD6&lt;&gt;""),AND(SF6&gt;=SL$32,SF6&lt;&gt;"",SH6&gt;=SL$36,SH6&lt;&gt;""),AND(SI6&gt;=SL$32,SI6&lt;&gt;"",SK6&gt;=SL$36,SK6&lt;&gt;""),AND(TG6&gt;=TT$32,TG6&lt;&gt;"",TI6&gt;=TT$36,TI6&lt;&gt;""),AND(TJ6&gt;=TT$32,TJ6&lt;&gt;"",TL6&gt;=TT$36,TL6&lt;&gt;""),AND(TN6&gt;=TT$32,TN6&lt;&gt;"",TP6&gt;=TT$36,TXN6&lt;&gt;""),AND(TQ6&gt;=TT$32,TQ6&lt;&gt;"",TS6&gt;=TT$36,TS6&lt;&gt;""),AND(UO6&gt;=VB$32,UO6&lt;&gt;"",UQ6&gt;=VB$36,UQ6&lt;&gt;""),AND(UR6&gt;=VB$32,UR6&lt;&gt;"",UT6&gt;=VB$36,UT6&lt;&gt;""),AND(UV6&gt;=VB$32,UV6&lt;&gt;"",UX6&gt;=VB$36,UX6&lt;&gt;""),AND(UY6&gt;=VB$32,UY6&lt;&gt;"",VA6&gt;=VB$36,VA6&lt;&gt;""),AND(VW6&gt;=WJ$32,VW6&lt;&gt;"",VY6&gt;=WJ$36,VY6&lt;&gt;""),AND(VZ6&gt;=WJ$32,VZ6&lt;&gt;"",WB6&gt;=WJ$36,WB6&lt;&gt;""),AND(WD6&gt;=WJ$32,WD6&lt;&gt;"",WF6&gt;=WJ$36,WF6&lt;&gt;""),AND(WG6&gt;=WJ$32,WG6&lt;&gt;"",WI6&gt;=WJ$36,WI6&lt;&gt;"")),"Excellence",IF(I6="P","National Team",IF(F6="P","National Team","")))))</f>
        <v>National Team</v>
      </c>
      <c r="I6" s="3" t="str">
        <f>IF(COUNTIFS('Senior-M'!B:B,B6,'Senior-M'!A:A,"&lt;9",'Senior-M'!H:H,"&lt;&gt;"&amp;"No DD"),"P","")</f>
        <v>P</v>
      </c>
      <c r="J6" s="8">
        <f t="shared" si="1"/>
        <v>55.94</v>
      </c>
      <c r="K6" s="8" t="str">
        <f t="shared" si="2"/>
        <v>2025 3rd Domestic Trial</v>
      </c>
      <c r="L6" s="8">
        <f>IFERROR(LARGE((AI6,AL6,AP6,BJ6,BM6,BQ6,CK6,CN6,CR6),2),0)</f>
        <v>55.58</v>
      </c>
      <c r="M6" s="8" t="str">
        <f t="shared" si="3"/>
        <v>2025 Nationals</v>
      </c>
      <c r="N6" s="8">
        <f t="shared" si="4"/>
        <v>0</v>
      </c>
      <c r="O6" s="11" t="str">
        <f>IF(N6=0,"",IF(N6=CT6,"("&amp;CT$2&amp;")",IF(N6=#REF!,"("&amp;#REF!&amp;")")))</f>
        <v/>
      </c>
      <c r="P6" s="8" t="str">
        <f t="shared" si="5"/>
        <v/>
      </c>
      <c r="Q6" s="18">
        <v>5.7</v>
      </c>
      <c r="R6" s="18">
        <v>3.7</v>
      </c>
      <c r="S6" s="18">
        <v>6.9</v>
      </c>
      <c r="T6" s="18">
        <v>6.48</v>
      </c>
      <c r="U6" s="18">
        <v>0</v>
      </c>
      <c r="V6" s="18">
        <v>14.7</v>
      </c>
      <c r="W6" s="18">
        <v>9.3000000000000007</v>
      </c>
      <c r="X6" s="18">
        <v>15.9</v>
      </c>
      <c r="Y6" s="18">
        <v>15.68</v>
      </c>
      <c r="Z6" s="18">
        <v>0</v>
      </c>
      <c r="AA6" s="18">
        <v>15.3</v>
      </c>
      <c r="AB6" s="18">
        <v>9.1999999999999993</v>
      </c>
      <c r="AC6" s="18">
        <v>14.9</v>
      </c>
      <c r="AD6" s="18">
        <v>15.17</v>
      </c>
      <c r="AE6" s="18">
        <v>0</v>
      </c>
      <c r="AF6" s="23"/>
      <c r="AG6" s="34">
        <f t="shared" si="6"/>
        <v>6.9</v>
      </c>
      <c r="AH6" s="34">
        <f t="shared" si="7"/>
        <v>6.48</v>
      </c>
      <c r="AI6" s="36">
        <f t="shared" si="8"/>
        <v>22.78</v>
      </c>
      <c r="AJ6" s="36">
        <f t="shared" si="9"/>
        <v>15.9</v>
      </c>
      <c r="AK6" s="36">
        <f t="shared" si="10"/>
        <v>15.68</v>
      </c>
      <c r="AL6" s="36">
        <f t="shared" si="11"/>
        <v>55.58</v>
      </c>
      <c r="AM6" s="36">
        <f t="shared" si="12"/>
        <v>55.58</v>
      </c>
      <c r="AN6" s="36">
        <f t="shared" si="13"/>
        <v>14.9</v>
      </c>
      <c r="AO6" s="36">
        <f t="shared" si="14"/>
        <v>15.17</v>
      </c>
      <c r="AP6" s="36">
        <f t="shared" si="15"/>
        <v>54.57</v>
      </c>
      <c r="AQ6" s="36">
        <f t="shared" si="16"/>
        <v>110.15</v>
      </c>
      <c r="AR6" s="22">
        <v>1.7</v>
      </c>
      <c r="AS6" s="22">
        <v>0.8</v>
      </c>
      <c r="AT6" s="22">
        <v>2</v>
      </c>
      <c r="AU6" s="22">
        <v>1.75</v>
      </c>
      <c r="AV6" s="22">
        <v>0.2</v>
      </c>
      <c r="AW6" s="22">
        <v>15.1</v>
      </c>
      <c r="AX6" s="22">
        <v>9.4</v>
      </c>
      <c r="AY6" s="22">
        <v>15.3</v>
      </c>
      <c r="AZ6" s="22">
        <v>16.14</v>
      </c>
      <c r="BA6" s="22">
        <v>0</v>
      </c>
      <c r="BB6" s="22">
        <v>15.2</v>
      </c>
      <c r="BC6" s="22">
        <v>8.6999999999999993</v>
      </c>
      <c r="BD6" s="22">
        <v>15.3</v>
      </c>
      <c r="BE6" s="22">
        <v>16.32</v>
      </c>
      <c r="BF6" s="22">
        <v>0</v>
      </c>
      <c r="BG6" s="24"/>
      <c r="BH6" s="35">
        <f t="shared" si="17"/>
        <v>2</v>
      </c>
      <c r="BI6" s="35">
        <f t="shared" si="18"/>
        <v>1.75</v>
      </c>
      <c r="BJ6" s="11">
        <f t="shared" si="19"/>
        <v>6.05</v>
      </c>
      <c r="BK6" s="11">
        <f t="shared" si="20"/>
        <v>15.3</v>
      </c>
      <c r="BL6" s="11">
        <f t="shared" si="21"/>
        <v>16.14</v>
      </c>
      <c r="BM6" s="11">
        <f t="shared" si="22"/>
        <v>55.94</v>
      </c>
      <c r="BN6" s="11">
        <f t="shared" si="23"/>
        <v>55.94</v>
      </c>
      <c r="BO6" s="11">
        <f t="shared" si="24"/>
        <v>15.3</v>
      </c>
      <c r="BP6" s="11">
        <f t="shared" si="25"/>
        <v>16.32</v>
      </c>
      <c r="BQ6" s="11">
        <f t="shared" si="26"/>
        <v>55.52</v>
      </c>
      <c r="BR6" s="11">
        <f t="shared" si="27"/>
        <v>111.46000000000001</v>
      </c>
      <c r="BS6" s="18">
        <v>6.3</v>
      </c>
      <c r="BT6" s="18">
        <v>3.6</v>
      </c>
      <c r="BU6" s="18">
        <v>6.9</v>
      </c>
      <c r="BV6" s="18">
        <v>6.74</v>
      </c>
      <c r="BW6" s="18">
        <v>0</v>
      </c>
      <c r="BX6" s="18">
        <v>8.9</v>
      </c>
      <c r="BY6" s="18">
        <v>5.6</v>
      </c>
      <c r="BZ6" s="18">
        <v>9.1</v>
      </c>
      <c r="CA6" s="18">
        <v>9.5299999999999994</v>
      </c>
      <c r="CB6" s="18">
        <v>0</v>
      </c>
      <c r="CC6" s="18"/>
      <c r="CD6" s="18"/>
      <c r="CE6" s="18"/>
      <c r="CF6" s="18"/>
      <c r="CG6" s="18"/>
      <c r="CH6" s="23"/>
      <c r="CI6" s="34">
        <f t="shared" si="28"/>
        <v>6.9</v>
      </c>
      <c r="CJ6" s="34">
        <f t="shared" si="29"/>
        <v>6.74</v>
      </c>
      <c r="CK6" s="36">
        <f t="shared" si="30"/>
        <v>23.54</v>
      </c>
      <c r="CL6" s="36">
        <f t="shared" si="31"/>
        <v>9.1</v>
      </c>
      <c r="CM6" s="36">
        <f t="shared" si="32"/>
        <v>9.5299999999999994</v>
      </c>
      <c r="CN6" s="36">
        <f t="shared" si="33"/>
        <v>33.130000000000003</v>
      </c>
      <c r="CO6" s="36">
        <f t="shared" si="34"/>
        <v>33.130000000000003</v>
      </c>
      <c r="CP6" s="36" t="str">
        <f t="shared" si="35"/>
        <v/>
      </c>
      <c r="CQ6" s="36" t="str">
        <f t="shared" si="36"/>
        <v/>
      </c>
      <c r="CR6" s="36" t="str">
        <f t="shared" si="37"/>
        <v/>
      </c>
      <c r="CS6" s="36">
        <f t="shared" si="38"/>
        <v>33.130000000000003</v>
      </c>
      <c r="CT6" s="47" t="str">
        <f t="shared" si="39"/>
        <v/>
      </c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36" t="str">
        <f t="shared" si="40"/>
        <v/>
      </c>
      <c r="DP6" s="36" t="str">
        <f t="shared" si="41"/>
        <v/>
      </c>
      <c r="DQ6" s="36" t="str">
        <f t="shared" si="42"/>
        <v/>
      </c>
      <c r="DR6" s="36" t="str">
        <f t="shared" si="43"/>
        <v/>
      </c>
      <c r="DS6" s="36" t="str">
        <f t="shared" si="44"/>
        <v/>
      </c>
      <c r="DT6" s="36" t="str">
        <f t="shared" si="45"/>
        <v/>
      </c>
      <c r="DU6" s="36" t="str">
        <f t="shared" si="46"/>
        <v/>
      </c>
      <c r="DV6" s="36" t="str">
        <f t="shared" si="47"/>
        <v/>
      </c>
      <c r="DW6" s="36" t="str">
        <f t="shared" si="48"/>
        <v/>
      </c>
      <c r="DX6" s="36" t="str">
        <f t="shared" si="49"/>
        <v/>
      </c>
      <c r="DY6" s="36" t="str">
        <f t="shared" si="50"/>
        <v/>
      </c>
      <c r="DZ6" s="36" t="str">
        <f t="shared" si="51"/>
        <v/>
      </c>
      <c r="EA6" s="36" t="str">
        <f t="shared" si="52"/>
        <v/>
      </c>
      <c r="EB6" s="36" t="str">
        <f t="shared" si="53"/>
        <v/>
      </c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1" t="str">
        <f t="shared" si="54"/>
        <v/>
      </c>
      <c r="EX6" s="11" t="str">
        <f t="shared" si="55"/>
        <v/>
      </c>
      <c r="EY6" s="11" t="str">
        <f t="shared" si="56"/>
        <v/>
      </c>
      <c r="EZ6" s="11" t="str">
        <f t="shared" si="57"/>
        <v/>
      </c>
      <c r="FA6" s="11" t="str">
        <f t="shared" si="58"/>
        <v/>
      </c>
      <c r="FB6" s="11" t="str">
        <f t="shared" si="59"/>
        <v/>
      </c>
      <c r="FC6" s="11" t="str">
        <f t="shared" si="60"/>
        <v/>
      </c>
      <c r="FD6" s="11" t="str">
        <f t="shared" si="61"/>
        <v/>
      </c>
      <c r="FE6" s="11" t="str">
        <f t="shared" si="62"/>
        <v/>
      </c>
      <c r="FF6" s="11" t="str">
        <f t="shared" si="63"/>
        <v/>
      </c>
      <c r="FG6" s="11" t="str">
        <f t="shared" si="64"/>
        <v/>
      </c>
      <c r="FH6" s="11" t="str">
        <f t="shared" si="65"/>
        <v/>
      </c>
      <c r="FI6" s="11" t="str">
        <f t="shared" si="66"/>
        <v/>
      </c>
      <c r="FJ6" s="11" t="str">
        <f t="shared" si="67"/>
        <v/>
      </c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36" t="str">
        <f t="shared" si="68"/>
        <v/>
      </c>
      <c r="GF6" s="36" t="str">
        <f t="shared" si="69"/>
        <v/>
      </c>
      <c r="GG6" s="36" t="str">
        <f t="shared" si="70"/>
        <v/>
      </c>
      <c r="GH6" s="36" t="str">
        <f t="shared" si="71"/>
        <v/>
      </c>
      <c r="GI6" s="36" t="str">
        <f t="shared" si="72"/>
        <v/>
      </c>
      <c r="GJ6" s="36" t="str">
        <f t="shared" si="73"/>
        <v/>
      </c>
      <c r="GK6" s="36" t="str">
        <f t="shared" si="74"/>
        <v/>
      </c>
      <c r="GL6" s="36" t="str">
        <f t="shared" si="75"/>
        <v/>
      </c>
      <c r="GM6" s="36" t="str">
        <f t="shared" si="76"/>
        <v/>
      </c>
      <c r="GN6" s="36" t="str">
        <f t="shared" si="77"/>
        <v/>
      </c>
      <c r="GO6" s="36" t="str">
        <f t="shared" si="78"/>
        <v/>
      </c>
      <c r="GP6" s="36" t="str">
        <f t="shared" si="79"/>
        <v/>
      </c>
      <c r="GQ6" s="36" t="str">
        <f t="shared" si="80"/>
        <v/>
      </c>
      <c r="GR6" s="36" t="str">
        <f t="shared" si="81"/>
        <v/>
      </c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1" t="str">
        <f t="shared" si="82"/>
        <v/>
      </c>
      <c r="HN6" s="11" t="str">
        <f t="shared" si="83"/>
        <v/>
      </c>
      <c r="HO6" s="11" t="str">
        <f t="shared" si="84"/>
        <v/>
      </c>
      <c r="HP6" s="11" t="str">
        <f t="shared" si="85"/>
        <v/>
      </c>
      <c r="HQ6" s="11" t="str">
        <f t="shared" si="86"/>
        <v/>
      </c>
      <c r="HR6" s="11" t="str">
        <f t="shared" si="87"/>
        <v/>
      </c>
      <c r="HS6" s="11" t="str">
        <f t="shared" si="88"/>
        <v/>
      </c>
      <c r="HT6" s="11" t="str">
        <f t="shared" si="89"/>
        <v/>
      </c>
      <c r="HU6" s="11" t="str">
        <f t="shared" si="90"/>
        <v/>
      </c>
      <c r="HV6" s="11" t="str">
        <f t="shared" si="91"/>
        <v/>
      </c>
      <c r="HW6" s="11" t="str">
        <f t="shared" si="92"/>
        <v/>
      </c>
      <c r="HX6" s="11" t="str">
        <f t="shared" si="93"/>
        <v/>
      </c>
      <c r="HY6" s="11" t="str">
        <f t="shared" si="94"/>
        <v/>
      </c>
      <c r="HZ6" s="11" t="str">
        <f t="shared" si="95"/>
        <v/>
      </c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36" t="str">
        <f t="shared" si="96"/>
        <v/>
      </c>
      <c r="IV6" s="36" t="str">
        <f t="shared" si="97"/>
        <v/>
      </c>
      <c r="IW6" s="36" t="str">
        <f t="shared" si="98"/>
        <v/>
      </c>
      <c r="IX6" s="36" t="str">
        <f t="shared" si="99"/>
        <v/>
      </c>
      <c r="IY6" s="36" t="str">
        <f t="shared" si="100"/>
        <v/>
      </c>
      <c r="IZ6" s="36" t="str">
        <f t="shared" si="101"/>
        <v/>
      </c>
      <c r="JA6" s="36" t="str">
        <f t="shared" si="102"/>
        <v/>
      </c>
      <c r="JB6" s="36" t="str">
        <f t="shared" si="103"/>
        <v/>
      </c>
      <c r="JC6" s="36" t="str">
        <f t="shared" si="104"/>
        <v/>
      </c>
      <c r="JD6" s="36" t="str">
        <f t="shared" si="105"/>
        <v/>
      </c>
      <c r="JE6" s="36" t="str">
        <f t="shared" si="106"/>
        <v/>
      </c>
      <c r="JF6" s="36" t="str">
        <f t="shared" si="107"/>
        <v/>
      </c>
      <c r="JG6" s="36" t="str">
        <f t="shared" si="108"/>
        <v/>
      </c>
      <c r="JH6" s="36" t="str">
        <f t="shared" si="109"/>
        <v/>
      </c>
      <c r="JI6" s="16">
        <v>14.7</v>
      </c>
      <c r="JJ6" s="16">
        <v>8.9</v>
      </c>
      <c r="JK6" s="16">
        <v>15.3</v>
      </c>
      <c r="JL6" s="16">
        <v>15.96</v>
      </c>
      <c r="JM6" s="16">
        <v>0</v>
      </c>
      <c r="JN6" s="16">
        <v>9.3000000000000007</v>
      </c>
      <c r="JO6" s="16">
        <v>6.5</v>
      </c>
      <c r="JP6" s="16">
        <v>9.8000000000000007</v>
      </c>
      <c r="JQ6" s="16">
        <v>11.14</v>
      </c>
      <c r="JR6" s="16">
        <v>0</v>
      </c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1">
        <f t="shared" si="110"/>
        <v>15.3</v>
      </c>
      <c r="KD6" s="11">
        <f t="shared" si="111"/>
        <v>15.96</v>
      </c>
      <c r="KE6" s="11">
        <f t="shared" si="112"/>
        <v>54.860000000000007</v>
      </c>
      <c r="KF6" s="11">
        <f t="shared" si="113"/>
        <v>9.8000000000000007</v>
      </c>
      <c r="KG6" s="11">
        <f t="shared" si="114"/>
        <v>11.14</v>
      </c>
      <c r="KH6" s="11">
        <f t="shared" si="115"/>
        <v>36.74</v>
      </c>
      <c r="KI6" s="11">
        <f t="shared" si="116"/>
        <v>54.860000000000007</v>
      </c>
      <c r="KJ6" s="11" t="str">
        <f t="shared" si="117"/>
        <v/>
      </c>
      <c r="KK6" s="11" t="str">
        <f t="shared" si="118"/>
        <v/>
      </c>
      <c r="KL6" s="11" t="str">
        <f t="shared" si="119"/>
        <v/>
      </c>
      <c r="KM6" s="11" t="str">
        <f t="shared" si="120"/>
        <v/>
      </c>
      <c r="KN6" s="11" t="str">
        <f t="shared" si="121"/>
        <v/>
      </c>
      <c r="KO6" s="11" t="str">
        <f t="shared" si="122"/>
        <v/>
      </c>
      <c r="KP6" s="11">
        <f t="shared" si="123"/>
        <v>54.860000000000007</v>
      </c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36" t="str">
        <f t="shared" si="124"/>
        <v/>
      </c>
      <c r="LL6" s="36" t="str">
        <f t="shared" si="125"/>
        <v/>
      </c>
      <c r="LM6" s="36" t="str">
        <f t="shared" si="126"/>
        <v/>
      </c>
      <c r="LN6" s="36" t="str">
        <f t="shared" si="127"/>
        <v/>
      </c>
      <c r="LO6" s="36" t="str">
        <f t="shared" si="128"/>
        <v/>
      </c>
      <c r="LP6" s="36" t="str">
        <f t="shared" si="129"/>
        <v/>
      </c>
      <c r="LQ6" s="36" t="str">
        <f t="shared" si="130"/>
        <v/>
      </c>
      <c r="LR6" s="36" t="str">
        <f t="shared" si="131"/>
        <v/>
      </c>
      <c r="LS6" s="36" t="str">
        <f t="shared" si="132"/>
        <v/>
      </c>
      <c r="LT6" s="36" t="str">
        <f t="shared" si="133"/>
        <v/>
      </c>
      <c r="LU6" s="36" t="str">
        <f t="shared" si="134"/>
        <v/>
      </c>
      <c r="LV6" s="36" t="str">
        <f t="shared" si="135"/>
        <v/>
      </c>
      <c r="LW6" s="36" t="str">
        <f t="shared" si="136"/>
        <v/>
      </c>
      <c r="LX6" s="36" t="str">
        <f t="shared" si="137"/>
        <v/>
      </c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1" t="str">
        <f t="shared" si="138"/>
        <v/>
      </c>
      <c r="MT6" s="11" t="str">
        <f t="shared" si="139"/>
        <v/>
      </c>
      <c r="MU6" s="11" t="str">
        <f t="shared" si="140"/>
        <v/>
      </c>
      <c r="MV6" s="11" t="str">
        <f t="shared" si="141"/>
        <v/>
      </c>
      <c r="MW6" s="11" t="str">
        <f t="shared" si="142"/>
        <v/>
      </c>
      <c r="MX6" s="11" t="str">
        <f t="shared" si="143"/>
        <v/>
      </c>
      <c r="MY6" s="11" t="str">
        <f t="shared" si="144"/>
        <v/>
      </c>
      <c r="MZ6" s="11" t="str">
        <f t="shared" si="145"/>
        <v/>
      </c>
      <c r="NA6" s="11" t="str">
        <f t="shared" si="146"/>
        <v/>
      </c>
      <c r="NB6" s="11" t="str">
        <f t="shared" si="147"/>
        <v/>
      </c>
      <c r="NC6" s="11" t="str">
        <f t="shared" si="148"/>
        <v/>
      </c>
      <c r="ND6" s="11" t="str">
        <f t="shared" si="149"/>
        <v/>
      </c>
      <c r="NE6" s="11" t="str">
        <f t="shared" si="150"/>
        <v/>
      </c>
      <c r="NF6" s="11" t="str">
        <f t="shared" si="151"/>
        <v/>
      </c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36" t="str">
        <f t="shared" si="152"/>
        <v/>
      </c>
      <c r="OB6" s="36" t="str">
        <f t="shared" si="153"/>
        <v/>
      </c>
      <c r="OC6" s="36" t="str">
        <f t="shared" si="154"/>
        <v/>
      </c>
      <c r="OD6" s="36" t="str">
        <f t="shared" si="155"/>
        <v/>
      </c>
      <c r="OE6" s="36" t="str">
        <f t="shared" si="156"/>
        <v/>
      </c>
      <c r="OF6" s="36" t="str">
        <f t="shared" si="157"/>
        <v/>
      </c>
      <c r="OG6" s="36" t="str">
        <f t="shared" si="158"/>
        <v/>
      </c>
      <c r="OH6" s="36" t="str">
        <f t="shared" si="159"/>
        <v/>
      </c>
      <c r="OI6" s="36" t="str">
        <f t="shared" si="160"/>
        <v/>
      </c>
      <c r="OJ6" s="36" t="str">
        <f t="shared" si="161"/>
        <v/>
      </c>
      <c r="OK6" s="36" t="str">
        <f t="shared" si="162"/>
        <v/>
      </c>
      <c r="OL6" s="36" t="str">
        <f t="shared" si="163"/>
        <v/>
      </c>
      <c r="OM6" s="36" t="str">
        <f t="shared" si="164"/>
        <v/>
      </c>
      <c r="ON6" s="36" t="str">
        <f t="shared" si="165"/>
        <v/>
      </c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1" t="str">
        <f t="shared" si="166"/>
        <v/>
      </c>
      <c r="PJ6" s="11" t="str">
        <f t="shared" si="167"/>
        <v/>
      </c>
      <c r="PK6" s="11" t="str">
        <f t="shared" si="168"/>
        <v/>
      </c>
      <c r="PL6" s="11" t="str">
        <f t="shared" si="169"/>
        <v/>
      </c>
      <c r="PM6" s="11" t="str">
        <f t="shared" si="170"/>
        <v/>
      </c>
      <c r="PN6" s="11" t="str">
        <f t="shared" si="171"/>
        <v/>
      </c>
      <c r="PO6" s="11" t="str">
        <f t="shared" si="172"/>
        <v/>
      </c>
      <c r="PP6" s="11" t="str">
        <f t="shared" si="173"/>
        <v/>
      </c>
      <c r="PQ6" s="11" t="str">
        <f t="shared" si="174"/>
        <v/>
      </c>
      <c r="PR6" s="11" t="str">
        <f t="shared" si="175"/>
        <v/>
      </c>
      <c r="PS6" s="11" t="str">
        <f t="shared" si="176"/>
        <v/>
      </c>
      <c r="PT6" s="11" t="str">
        <f t="shared" si="177"/>
        <v/>
      </c>
      <c r="PU6" s="11" t="str">
        <f t="shared" si="178"/>
        <v/>
      </c>
      <c r="PV6" s="11" t="str">
        <f t="shared" si="179"/>
        <v/>
      </c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36" t="str">
        <f t="shared" si="180"/>
        <v/>
      </c>
      <c r="QR6" s="36" t="str">
        <f t="shared" si="181"/>
        <v/>
      </c>
      <c r="QS6" s="36" t="str">
        <f t="shared" si="182"/>
        <v/>
      </c>
      <c r="QT6" s="36" t="str">
        <f t="shared" si="183"/>
        <v/>
      </c>
      <c r="QU6" s="36" t="str">
        <f t="shared" si="184"/>
        <v/>
      </c>
      <c r="QV6" s="36" t="str">
        <f t="shared" si="185"/>
        <v/>
      </c>
      <c r="QW6" s="36" t="str">
        <f t="shared" si="186"/>
        <v/>
      </c>
      <c r="QX6" s="36" t="str">
        <f t="shared" si="187"/>
        <v/>
      </c>
      <c r="QY6" s="36" t="str">
        <f t="shared" si="188"/>
        <v/>
      </c>
      <c r="QZ6" s="36" t="str">
        <f t="shared" si="189"/>
        <v/>
      </c>
      <c r="RA6" s="36" t="str">
        <f t="shared" si="190"/>
        <v/>
      </c>
      <c r="RB6" s="36" t="str">
        <f t="shared" si="191"/>
        <v/>
      </c>
      <c r="RC6" s="36" t="str">
        <f t="shared" si="192"/>
        <v/>
      </c>
      <c r="RD6" s="36" t="str">
        <f t="shared" si="193"/>
        <v/>
      </c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1" t="str">
        <f t="shared" si="194"/>
        <v/>
      </c>
      <c r="RZ6" s="11" t="str">
        <f t="shared" si="195"/>
        <v/>
      </c>
      <c r="SA6" s="11" t="str">
        <f t="shared" si="196"/>
        <v/>
      </c>
      <c r="SB6" s="11" t="str">
        <f t="shared" si="197"/>
        <v/>
      </c>
      <c r="SC6" s="11" t="str">
        <f t="shared" si="198"/>
        <v/>
      </c>
      <c r="SD6" s="11" t="str">
        <f t="shared" si="199"/>
        <v/>
      </c>
      <c r="SE6" s="11" t="str">
        <f t="shared" si="200"/>
        <v/>
      </c>
      <c r="SF6" s="11" t="str">
        <f t="shared" si="201"/>
        <v/>
      </c>
      <c r="SG6" s="11" t="str">
        <f t="shared" si="202"/>
        <v/>
      </c>
      <c r="SH6" s="11" t="str">
        <f t="shared" si="203"/>
        <v/>
      </c>
      <c r="SI6" s="11" t="str">
        <f t="shared" si="204"/>
        <v/>
      </c>
      <c r="SJ6" s="11" t="str">
        <f t="shared" si="205"/>
        <v/>
      </c>
      <c r="SK6" s="11" t="str">
        <f t="shared" si="206"/>
        <v/>
      </c>
      <c r="SL6" s="11" t="str">
        <f t="shared" si="207"/>
        <v/>
      </c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36" t="str">
        <f t="shared" si="208"/>
        <v/>
      </c>
      <c r="TH6" s="36" t="str">
        <f t="shared" si="209"/>
        <v/>
      </c>
      <c r="TI6" s="36" t="str">
        <f t="shared" si="210"/>
        <v/>
      </c>
      <c r="TJ6" s="36" t="str">
        <f t="shared" si="211"/>
        <v/>
      </c>
      <c r="TK6" s="36" t="str">
        <f t="shared" si="212"/>
        <v/>
      </c>
      <c r="TL6" s="36" t="str">
        <f t="shared" si="213"/>
        <v/>
      </c>
      <c r="TM6" s="36" t="str">
        <f t="shared" si="214"/>
        <v/>
      </c>
      <c r="TN6" s="36" t="str">
        <f t="shared" si="215"/>
        <v/>
      </c>
      <c r="TO6" s="36" t="str">
        <f t="shared" si="216"/>
        <v/>
      </c>
      <c r="TP6" s="36" t="str">
        <f t="shared" si="217"/>
        <v/>
      </c>
      <c r="TQ6" s="36" t="str">
        <f t="shared" si="218"/>
        <v/>
      </c>
      <c r="TR6" s="36" t="str">
        <f t="shared" si="219"/>
        <v/>
      </c>
      <c r="TS6" s="36" t="str">
        <f t="shared" si="220"/>
        <v/>
      </c>
      <c r="TT6" s="36" t="str">
        <f t="shared" si="221"/>
        <v/>
      </c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1" t="str">
        <f t="shared" si="222"/>
        <v/>
      </c>
      <c r="UP6" s="11" t="str">
        <f t="shared" si="223"/>
        <v/>
      </c>
      <c r="UQ6" s="11" t="str">
        <f t="shared" si="224"/>
        <v/>
      </c>
      <c r="UR6" s="11" t="str">
        <f t="shared" si="225"/>
        <v/>
      </c>
      <c r="US6" s="11" t="str">
        <f t="shared" si="226"/>
        <v/>
      </c>
      <c r="UT6" s="11" t="str">
        <f t="shared" si="227"/>
        <v/>
      </c>
      <c r="UU6" s="11" t="str">
        <f t="shared" si="228"/>
        <v/>
      </c>
      <c r="UV6" s="11" t="str">
        <f t="shared" si="229"/>
        <v/>
      </c>
      <c r="UW6" s="11" t="str">
        <f t="shared" si="230"/>
        <v/>
      </c>
      <c r="UX6" s="11" t="str">
        <f t="shared" si="231"/>
        <v/>
      </c>
      <c r="UY6" s="11" t="str">
        <f t="shared" si="232"/>
        <v/>
      </c>
      <c r="UZ6" s="11" t="str">
        <f t="shared" si="233"/>
        <v/>
      </c>
      <c r="VA6" s="11" t="str">
        <f t="shared" si="234"/>
        <v/>
      </c>
      <c r="VB6" s="11" t="str">
        <f t="shared" si="235"/>
        <v/>
      </c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36" t="str">
        <f t="shared" si="236"/>
        <v/>
      </c>
      <c r="VX6" s="36" t="str">
        <f t="shared" si="237"/>
        <v/>
      </c>
      <c r="VY6" s="36" t="str">
        <f t="shared" si="238"/>
        <v/>
      </c>
      <c r="VZ6" s="36" t="str">
        <f t="shared" si="239"/>
        <v/>
      </c>
      <c r="WA6" s="36" t="str">
        <f t="shared" si="240"/>
        <v/>
      </c>
      <c r="WB6" s="36" t="str">
        <f t="shared" si="241"/>
        <v/>
      </c>
      <c r="WC6" s="36" t="str">
        <f t="shared" si="242"/>
        <v/>
      </c>
      <c r="WD6" s="36" t="str">
        <f t="shared" si="243"/>
        <v/>
      </c>
      <c r="WE6" s="36" t="str">
        <f t="shared" si="244"/>
        <v/>
      </c>
      <c r="WF6" s="36" t="str">
        <f t="shared" si="245"/>
        <v/>
      </c>
      <c r="WG6" s="36" t="str">
        <f t="shared" si="246"/>
        <v/>
      </c>
      <c r="WH6" s="36" t="str">
        <f t="shared" si="247"/>
        <v/>
      </c>
      <c r="WI6" s="36" t="str">
        <f t="shared" si="248"/>
        <v/>
      </c>
      <c r="WJ6" s="36" t="str">
        <f t="shared" si="249"/>
        <v/>
      </c>
    </row>
    <row r="7" spans="1:608" x14ac:dyDescent="0.2">
      <c r="A7" s="4" cm="1">
        <f t="array" ref="A7">IF(AND(H7&lt;&gt;"",H7&lt;&gt;"No DD",I7&lt;&gt;"P"),SUMPRODUCT((H$4:H$28&lt;&gt;"")*(H$4:H$28&lt;&gt;"No DD")*(I$4:I$28&lt;&gt;"P")*(E$4:E$28&gt;E7))+1,IF(H7="No DD",SUMPRODUCT((H$4:H$28="No DD")*(I$4:I$28&lt;&gt;"P")*(E$4:E$28&gt;E7))+1+SUMPRODUCT((H$4:H$28&lt;&gt;"")*(I$4:I$28&lt;&gt;"P")*(H$4:H$28&lt;&gt;"No DD")),""))</f>
        <v>2</v>
      </c>
      <c r="B7" s="5" t="s">
        <v>86</v>
      </c>
      <c r="C7" s="4" t="s">
        <v>3</v>
      </c>
      <c r="D7" s="4">
        <v>2005</v>
      </c>
      <c r="E7" s="9">
        <f t="shared" si="0"/>
        <v>111.08001110800555</v>
      </c>
      <c r="F7" s="3" t="str">
        <f>IF(OR(AND(AG7&gt;=AQ$30,AG7&lt;&gt;"",AI7&gt;=AQ$34,AI7&lt;&gt;"",AF7=""),AND(AJ7&gt;=AQ$30,AJ7&lt;&gt;"",AL7&gt;=AQ$34,AL7&lt;&gt;"",AF7=""),AND(AN7&gt;=AQ$30,AN7&lt;&gt;"",AP7&gt;=AQ$34,AP7&lt;&gt;"",AF7=""),AND(BH7&gt;=BR$30,BH7&lt;&gt;"",BJ7&gt;=BR$34,BJ7&lt;&gt;"",BG7=""),AND(BK7&gt;=BR$30,BK7&lt;&gt;"",BM7&gt;=BR$34,BM7&lt;&gt;"",BG7=""),AND(BO7&gt;=BR$30,BO7&lt;&gt;"",BQ7&gt;=BR$34,BQ7&lt;&gt;"",BG7=""),AND(CI7&gt;=CS$30,CI7&lt;&gt;"",CK7&gt;=CS$34,CK7&lt;&gt;"",CH7=""),AND(CL7&gt;=CS$30,CL7&lt;&gt;"",CN7&gt;=CS$34,CN7&lt;&gt;"",CH7=""),AND(CP7&gt;=CS$30,CP7&lt;&gt;"",CR7&gt;=CS$34,CR7&lt;&gt;"",CH7=""),AND(DO7&gt;=EB$30,DO7&lt;&gt;"",DQ7&gt;=EB$34,DQ7&lt;&gt;""),AND(DR7&gt;=EB$30,DR7&lt;&gt;"",DT7&gt;=EB$34,DT7&lt;&gt;""),AND(DV7&gt;=EB$30,DV7&lt;&gt;"",DX7&gt;=EB$34,DX7&lt;&gt;""),AND(DY7&gt;=EB$30,DY7&lt;&gt;"",EA7&gt;=EB$34,EA7&lt;&gt;""),AND(EW7&gt;=FJ$30,EW7&lt;&gt;"",EY7&gt;=FJ$34,EY7&lt;&gt;""),AND(EZ7&gt;=FJ$30,EZ7&lt;&gt;"",FB7&gt;=FJ$34,FB7&lt;&gt;""),AND(FD7&gt;=FJ$30,FD7&lt;&gt;"",FF7&gt;=FJ$34,FF7&lt;&gt;""),AND(FG7&gt;=FJ$30,FG7&lt;&gt;"",FI7&gt;=FJ$34,FI7&lt;&gt;""),AND(GE7&gt;=GR$30,GE7&lt;&gt;"",GG7&gt;=GR$34,GG7&lt;&gt;""),AND(GH7&gt;=GR$30,GH7&lt;&gt;"",GJ7&gt;=GR$34,GJ7&lt;&gt;""),AND(GL7&gt;=GR$30,GL7&lt;&gt;"",GN7&gt;=GR$34,GN7&lt;&gt;""),AND(GO7&gt;=GR$30,GO7&lt;&gt;"",GQ7&gt;=GR$34,GQ7&lt;&gt;""),AND(HM7&gt;=HZ$30,HM7&lt;&gt;"",HO7&gt;=HZ$34,HO7&lt;&gt;""),AND(HP7&gt;=HZ$30,HP7&lt;&gt;"",HR7&gt;=HZ$34,HR7&lt;&gt;""),AND(HT7&gt;=HZ$30,HT7&lt;&gt;"",HV7&gt;=HZ$34,HV7&lt;&gt;""),AND(HW7&gt;=HZ$30,HW7&lt;&gt;"",HY7&gt;=HZ$34,HY7&lt;&gt;""),AND(IU7&gt;=JH$30,IU7&lt;&gt;"",IW7&gt;=JH$34,IW7&lt;&gt;""),AND(IX7&gt;=JH$30,IX7&lt;&gt;"",IZ7&gt;=JH$34,IZ7&lt;&gt;""),AND(JB7&gt;=JH$30,JB7&lt;&gt;"",JD7&gt;=JH$34,JD7&lt;&gt;""),AND(JE7&gt;=JH$30,JE7&lt;&gt;"",JG7&gt;=JH$34,JG7&lt;&gt;""),AND(KC7&gt;=KP$30,KC7&lt;&gt;"",KE7&gt;=KP$34,KE7&lt;&gt;""),AND(KF7&gt;=KP$30,KF7&lt;&gt;"",KH7&gt;=KP$34,KH7&lt;&gt;""),AND(KJ7&gt;=KP$30,KJ7&lt;&gt;"",KL7&gt;=KP$34,KL7&lt;&gt;""),AND(KM7&gt;=KP$30,KM7&lt;&gt;"",KO7&gt;=KP$34,KO7&lt;&gt;""),AND(LK7&gt;=LX$30,LK7&lt;&gt;"",LM7&gt;=LX$34,LM7&lt;&gt;""),AND(LN7&gt;=LX$30,LN7&lt;&gt;"",LP7&gt;=LX$34,LP7&lt;&gt;""),AND(LR7&gt;=LX$30,LR7&lt;&gt;"",LT7&gt;=LX$34,LT7&lt;&gt;""),AND(LU7&gt;=LX$30,LU7&lt;&gt;"",LW7&gt;=LX$34,LW7&lt;&gt;""),AND(MS7&gt;=NF$30,MS7&lt;&gt;"",MU7&gt;=NF$34,MU7&lt;&gt;""),AND(MV7&gt;=NF$30,MV7&lt;&gt;"",MX7&gt;=NF$34,MX7&lt;&gt;""),AND(MZ7&gt;=NF$30,MZ7&lt;&gt;"",NB7&gt;=NF$34,NB7&lt;&gt;""),AND(NC7&gt;=NF$30,NC7&lt;&gt;"",NE7&gt;=NF$34,NE7&lt;&gt;""),AND(OA7&gt;=ON$30,OA7&lt;&gt;"",OC7&gt;=ON$34,OC7&lt;&gt;""),AND(OD7&gt;=ON$30,OD7&lt;&gt;"",OF7&gt;=ON$34,OF7&lt;&gt;""),AND(OH7&gt;=ON$30,OH7&lt;&gt;"",OJ7&gt;=ON$34,OJ7&lt;&gt;""),AND(OK7&gt;=ON$30,OK7&lt;&gt;"",OM7&gt;=ON$34,OM7&lt;&gt;""),AND(PI7&gt;=PV$30,PI7&lt;&gt;"",PK7&gt;=PV$34,PK7&lt;&gt;""),AND(PL7&gt;=PV$30,PL7&lt;&gt;"",PN7&gt;=PV$34,PN7&lt;&gt;""),AND(PP7&gt;=PV$30,PP7&lt;&gt;"",PR7&gt;=PV$34,PR7&lt;&gt;""),AND(PS7&gt;=PV$30,PS7&lt;&gt;"",PU7&gt;=PV$34,PU7&lt;&gt;""),AND(QQ7&gt;=RD$30,QQ7&lt;&gt;"",QS7&gt;=RD$34,QS7&lt;&gt;""),AND(QT7&gt;=RD$30,QT7&lt;&gt;"",QV7&gt;=RD$34,QV7&lt;&gt;""),AND(QX7&gt;=RD$30,QX7&lt;&gt;"",QZ7&gt;=RD$34,QZ7&lt;&gt;""),AND(RA7&gt;=RD$30,RA7&lt;&gt;"",RC7&gt;=RD$34,RC7&lt;&gt;""),AND(RY7&gt;=SL$30,RY7&lt;&gt;"",SA7&gt;=SL$34,SA7&lt;&gt;""),AND(SB7&gt;=SL$30,SB7&lt;&gt;"",SD7&gt;=SL$34,SD7&lt;&gt;""),AND(SF7&gt;=SL$30,SF7&lt;&gt;"",SH7&gt;=SL$34,SH7&lt;&gt;""),AND(SI7&gt;=SL$30,SI7&lt;&gt;"",SK7&gt;=SL$34,SK7&lt;&gt;""),AND(TG7&gt;=TT$30,TG7&lt;&gt;"",TI7&gt;=TT$34,TI7&lt;&gt;""),AND(TJ7&gt;=TT$30,TJ7&lt;&gt;"",TL7&gt;=TT$34,TL7&lt;&gt;""),AND(TN7&gt;=TT$30,TN7&lt;&gt;"",TP7&gt;=TT$34,TXN7&lt;&gt;""),AND(TQ7&gt;=TT$30,TQ7&lt;&gt;"",TS7&gt;=TT$34,TS7&lt;&gt;""),AND(UO7&gt;=VB$30,UO7&lt;&gt;"",UQ7&gt;=VB$34,UQ7&lt;&gt;""),AND(UR7&gt;=VB$30,UR7&lt;&gt;"",UT7&gt;=VB$34,UT7&lt;&gt;""),AND(UV7&gt;=VB$30,UV7&lt;&gt;"",UX7&gt;=VB$34,UX7&lt;&gt;""),AND(UY7&gt;=VB$30,UY7&lt;&gt;"",VA7&gt;=VB$34,VA7&lt;&gt;""),AND(VW7&gt;=WJ$30,VW7&lt;&gt;"",VY7&gt;=WJ$34,VY7&lt;&gt;""),AND(VZ7&gt;=WJ$30,VZ7&lt;&gt;"",WB7&gt;=WJ$34,WB7&lt;&gt;""),AND(WD7&gt;=WJ$30,WD7&lt;&gt;"",WF7&gt;=WJ$34,WF7&lt;&gt;""),AND(WG7&gt;=WJ$30,WG7&lt;&gt;"",WI7&gt;=WJ$34,WI7&lt;&gt;"")),"P","")</f>
        <v>P</v>
      </c>
      <c r="G7" s="3" t="str">
        <f>IF(OR(AND(AI7&gt;=AQ$34,AI7&lt;&gt;"",AF7=""),AND(AL7&gt;=AQ$34,AL7&lt;&gt;"",AF7=""),AND(AP7&gt;=AQ$34,AP7&lt;&gt;"",AF7=""),AND(BJ7&gt;=BR$34,BJ7&lt;&gt;"",BG7=""),AND(BM7&gt;=BR$34,BM7&lt;&gt;"",BG7=""),AND(BQ7&gt;=BR$34,BQ7&lt;&gt;"",BG7=""),AND(CK7&gt;=CS$34,CK7&lt;&gt;"",CH7=""),AND(CN7&gt;=CS$34,CN7&lt;&gt;"",CH7=""),AND(CR7&gt;=CS$34,CR7&lt;&gt;"",CH7=""),AND(DQ7&gt;=EB$34,DQ7&lt;&gt;""),AND(DT7&gt;=EB$34,DT7&lt;&gt;""),AND(DX7&gt;=EB$34,DX7&lt;&gt;""),AND(EA7&gt;=EB$34,EA7&lt;&gt;""),AND(EY7&gt;=FJ$34,EY7&lt;&gt;""),AND(FB7&gt;=FJ$34,FB7&lt;&gt;""),AND(FF7&gt;=FJ$34,FF7&lt;&gt;""),AND(FI7&gt;=FJ$34,FI7&lt;&gt;""),AND(GG7&gt;=GR$34,GG7&lt;&gt;""),AND(GJ7&gt;=GR$34,GJ7&lt;&gt;""),AND(GN7&gt;=GR$34,GN7&lt;&gt;""),AND(GQ7&gt;=GR$34,GQ7&lt;&gt;""),AND(HO7&gt;=HZ$34,HO7&lt;&gt;""),AND(HR7&gt;=HZ$34,HR7&lt;&gt;""),AND(HV7&gt;=HZ$34,HV7&lt;&gt;""),AND(HY7&gt;=HZ$34,HY7&lt;&gt;""),AND(IW7&gt;=JH$34,IW7&lt;&gt;""),AND(IZ7&gt;=JH$34,IZ7&lt;&gt;""),AND(JD7&gt;=JH$34,JD7&lt;&gt;""),AND(JG7&gt;=JH$34,JG7&lt;&gt;""),AND(KE7&gt;=KP$34,KE7&lt;&gt;""),AND(KH7&gt;=KP$34,KH7&lt;&gt;""),AND(KL7&gt;=KP$34,KL7&lt;&gt;""),AND(KO7&gt;=KP$34,KO7&lt;&gt;""),AND(LM7&gt;=LX$34,LM7&lt;&gt;""),AND(LP7&gt;=LX$34,LP7&lt;&gt;""),AND(LT7&gt;=LX$34,LT7&lt;&gt;""),AND(LW7&gt;=LX$34,LW7&lt;&gt;""),AND(MU7&gt;=NF$34,MU7&lt;&gt;""),AND(MX7&gt;=NF$34,MX7&lt;&gt;""),AND(NB7&gt;=NF$34,NB7&lt;&gt;""),AND(NE7&gt;=NF$34,NE7&lt;&gt;""),AND(OC7&gt;=ON$34,OC7&lt;&gt;""),AND(OF7&gt;=ON$34,OF7&lt;&gt;""),AND(OJ7&gt;=ON$34,OJ7&lt;&gt;""),AND(OM7&gt;=ON$34,OM7&lt;&gt;""),AND(PK7&gt;=PV$34,PK7&lt;&gt;""),AND(PN7&gt;=PV$34,PN7&lt;&gt;""),AND(PR7&gt;=PV$34,PR7&lt;&gt;""),AND(PU7&gt;=PV$34,PU7&lt;&gt;""),AND(QS7&gt;=RD$34,QS7&lt;&gt;""),AND(QV7&gt;=RD$34,QV7&lt;&gt;""),AND(QZ7&gt;=RD$34,QZ7&lt;&gt;""),AND(RC7&gt;=RD$34,RC7&lt;&gt;""),AND(SA7&gt;=SL$34,SA7&lt;&gt;""),AND(SD7&gt;=SL$34,SD7&lt;&gt;""),AND(SH7&gt;=SL$34,SH7&lt;&gt;""),AND(SK7&gt;=SL$34,SK7&lt;&gt;""),AND(TI7&gt;=TT$34,TI7&lt;&gt;""),AND(TL7&gt;=TT$34,TL7&lt;&gt;""),AND(TP7&gt;=TT$34,TXN7&lt;&gt;""),AND(TS7&gt;=TT$34,TS7&lt;&gt;""),AND(UQ7&gt;=VB$34,UQ7&lt;&gt;""),AND(UT7&gt;=VB$34,UT7&lt;&gt;""),AND(UX7&gt;=VB$34,UX7&lt;&gt;""),AND(VA7&gt;=VB$34,VA7&lt;&gt;""),AND(VY7&gt;=WJ$34,VY7&lt;&gt;""),AND(WB7&gt;=WJ$34,WB7&lt;&gt;""),AND(WF7&gt;=WJ$34,WF7&lt;&gt;""),AND(WI7&gt;=WJ$34,WI7&lt;&gt;"")),"P","")</f>
        <v>P</v>
      </c>
      <c r="H7" s="32" t="str">
        <f>IF(AND(G7="P",F7=""),"No DD",IF(OR(AND(AG7&gt;=AQ$33,AG7&lt;&gt;"",AI7&gt;=AQ$37,AI7&lt;&gt;"",AF7=""),AND(AJ7&gt;=AQ$33,AJ7&lt;&gt;"",AL7&gt;=AQ$37,AL7&lt;&gt;"",AF7=""),AND(AN7&gt;=AQ$33,AN7&lt;&gt;"",AP7&gt;=AQ$37,AP7&lt;&gt;"",AF7=""),AND(BH7&gt;=BR$33,BH7&lt;&gt;"",BJ7&gt;=BR$37,BJ7&lt;&gt;"",BG7=""),AND(BK7&gt;=BR$33,BK7&lt;&gt;"",BM7&gt;=BR$37,BM7&lt;&gt;"",BG7=""),AND(BO7&gt;=BR$33,BO7&lt;&gt;"",BQ7&gt;=BR$37,BQ7&lt;&gt;"",BG7=""),AND(CI7&gt;=CS$33,CI7&lt;&gt;"",CK7&gt;=CS$37,CK7&lt;&gt;"",CH7=""),AND(CL7&gt;=CS$33,CL7&lt;&gt;"",CN7&gt;=CS$37,CN7&lt;&gt;"",CH7=""),AND(CP7&gt;=CS$33,CP7&lt;&gt;"",CR7&gt;=CS$37,CR7&lt;&gt;"",CH7=""),AND(DO7&gt;=EB$33,DO7&lt;&gt;"",DQ7&gt;=EB$37,DQ7&lt;&gt;""),AND(DR7&gt;=EB$33,DR7&lt;&gt;"",DT7&gt;=EB$37,DT7&lt;&gt;""),AND(DV7&gt;=EB$33,DV7&lt;&gt;"",DX7&gt;=EB$37,DX7&lt;&gt;""),AND(DY7&gt;=EB$33,DY7&lt;&gt;"",EA7&gt;=EB$37,EA7&lt;&gt;""),AND(EW7&gt;=FJ$33,EW7&lt;&gt;"",EY7&gt;=FJ$37,EY7&lt;&gt;""),AND(EZ7&gt;=FJ$33,EZ7&lt;&gt;"",FB7&gt;=FJ$37,FB7&lt;&gt;""),AND(FD7&gt;=FJ$33,FD7&lt;&gt;"",FF7&gt;=FJ$37,FF7&lt;&gt;""),AND(FG7&gt;=FJ$33,FG7&lt;&gt;"",FI7&gt;=FJ$37,FI7&lt;&gt;""),AND(GE7&gt;=GR$33,GE7&lt;&gt;"",GG7&gt;=GR$37,GG7&lt;&gt;""),AND(GH7&gt;=GR$33,GH7&lt;&gt;"",GJ7&gt;=GR$37,GJ7&lt;&gt;""),AND(GL7&gt;=GR$33,GL7&lt;&gt;"",GN7&gt;=GR$37,GN7&lt;&gt;""),AND(GO7&gt;=GR$33,GO7&lt;&gt;"",GQ7&gt;=GR$37,GQ7&lt;&gt;""),AND(HM7&gt;=HZ$33,HM7&lt;&gt;"",HO7&gt;=HZ$37,HO7&lt;&gt;""),AND(HP7&gt;=HZ$33,HP7&lt;&gt;"",HR7&gt;=HZ$37,HR7&lt;&gt;""),AND(HT7&gt;=HZ$33,HT7&lt;&gt;"",HV7&gt;=HZ$37,HV7&lt;&gt;""),AND(HW7&gt;=HZ$33,HW7&lt;&gt;"",HY7&gt;=HZ$37,HY7&lt;&gt;""),AND(IU7&gt;=JH$33,IU7&lt;&gt;"",IW7&gt;=JH$37,IW7&lt;&gt;""),AND(IX7&gt;=JH$33,IX7&lt;&gt;"",IZ7&gt;=JH$37,IZ7&lt;&gt;""),AND(JB7&gt;=JH$33,JB7&lt;&gt;"",JD7&gt;=JH$37,JD7&lt;&gt;""),AND(JE7&gt;=JH$33,JE7&lt;&gt;"",JG7&gt;=JH$37,JG7&lt;&gt;""),AND(KC7&gt;=KP$33,KC7&lt;&gt;"",KE7&gt;=KP$37,KE7&lt;&gt;""),AND(KF7&gt;=KP$33,KF7&lt;&gt;"",KH7&gt;=KP$37,KH7&lt;&gt;""),AND(KJ7&gt;=KP$33,KJ7&lt;&gt;"",KL7&gt;=KP$37,KL7&lt;&gt;""),AND(KM7&gt;=KP$33,KM7&lt;&gt;"",KO7&gt;=KP$37,KO7&lt;&gt;""),AND(LK7&gt;=LX$33,LK7&lt;&gt;"",LM7&gt;=LX$37,LM7&lt;&gt;""),AND(LN7&gt;=LX$33,LN7&lt;&gt;"",LP7&gt;=LX$37,LP7&lt;&gt;""),AND(LR7&gt;=LX$33,LR7&lt;&gt;"",LT7&gt;=LX$37,LT7&lt;&gt;""),AND(LU7&gt;=LX$33,LU7&lt;&gt;"",LW7&gt;=LX$37,LW7&lt;&gt;""),AND(MS7&gt;=NF$33,MS7&lt;&gt;"",MU7&gt;=NF$37,MU7&lt;&gt;""),AND(MV7&gt;=NF$33,MV7&lt;&gt;"",MX7&gt;=NF$37,MX7&lt;&gt;""),AND(MZ7&gt;=NF$33,MZ7&lt;&gt;"",NB7&gt;=NF$37,NB7&lt;&gt;""),AND(NC7&gt;=NF$33,NC7&lt;&gt;"",NE7&gt;=NF$37,NE7&lt;&gt;""),AND(OA7&gt;=ON$33,OA7&lt;&gt;"",OC7&gt;=ON$37,OC7&lt;&gt;""),AND(OD7&gt;=ON$33,OD7&lt;&gt;"",OF7&gt;=ON$37,OF7&lt;&gt;""),AND(OH7&gt;=ON$33,OH7&lt;&gt;"",OJ7&gt;=ON$37,OJ7&lt;&gt;""),AND(OK7&gt;=ON$33,OK7&lt;&gt;"",OM7&gt;=ON$37,OM7&lt;&gt;""),AND(PI7&gt;=PV$33,PI7&lt;&gt;"",PK7&gt;=PV$37,PK7&lt;&gt;""),AND(PL7&gt;=PV$33,PL7&lt;&gt;"",PN7&gt;=PV$37,PN7&lt;&gt;""),AND(PP7&gt;=PV$33,PP7&lt;&gt;"",PR7&gt;=PV$37,PR7&lt;&gt;""),AND(PS7&gt;=PV$33,PS7&lt;&gt;"",PU7&gt;=PV$37,PU7&lt;&gt;""),AND(QQ7&gt;=RD$33,QQ7&lt;&gt;"",QS7&gt;=RD$37,QS7&lt;&gt;""),AND(QT7&gt;=RD$33,QT7&lt;&gt;"",QV7&gt;=RD$37,QV7&lt;&gt;""),AND(QX7&gt;=RD$33,QX7&lt;&gt;"",QZ7&gt;=RD$37,QZ7&lt;&gt;""),AND(RA7&gt;=RD$33,RA7&lt;&gt;"",RC7&gt;=RD$37,RC7&lt;&gt;""),AND(RY7&gt;=SL$33,RY7&lt;&gt;"",SA7&gt;=SL$37,SA7&lt;&gt;""),AND(SB7&gt;=SL$33,SB7&lt;&gt;"",SD7&gt;=SL$37,SD7&lt;&gt;""),AND(SF7&gt;=SL$33,SF7&lt;&gt;"",SH7&gt;=SL$37,SH7&lt;&gt;""),AND(SI7&gt;=SL$33,SI7&lt;&gt;"",SK7&gt;=SL$37,SK7&lt;&gt;""),AND(TG7&gt;=TT$33,TG7&lt;&gt;"",TI7&gt;=TT$37,TI7&lt;&gt;""),AND(TJ7&gt;=TT$33,TJ7&lt;&gt;"",TL7&gt;=TT$37,TL7&lt;&gt;""),AND(TN7&gt;=TT$33,TN7&lt;&gt;"",TP7&gt;=TT$357,TXN7&lt;&gt;""),AND(TQ7&gt;=TT$33,TQ7&lt;&gt;"",TS7&gt;=TT$37,TS7&lt;&gt;""),AND(UO7&gt;=VB$33,UO7&lt;&gt;"",UQ7&gt;=VB$37,UQ7&lt;&gt;""),AND(UR7&gt;=VB$33,UR7&lt;&gt;"",UT7&gt;=VB$37,UT7&lt;&gt;""),AND(UV7&gt;=VB$33,UV7&lt;&gt;"",UX7&gt;=VB$37,UX7&lt;&gt;""),AND(UY7&gt;=VB$33,UY7&lt;&gt;"",VA7&gt;=VB$37,VA7&lt;&gt;""),AND(VW7&gt;=WJ$33,VW7&lt;&gt;"",VY7&gt;=WJ$37,VY7&lt;&gt;""),AND(VZ7&gt;=WJ$33,VZ7&lt;&gt;"",WB7&gt;=WJ$37,WB7&lt;&gt;""),AND(WD7&gt;=WJ$33,WD7&lt;&gt;"",WF7&gt;=WJ$37,WF7&lt;&gt;""),AND(WG7&gt;=WJ$33,WG7&lt;&gt;"",WI7&gt;=WJ$37,WI7&lt;&gt;"")),"Merit",IF(OR(AND(AG7&gt;=AQ$32,AG7&lt;&gt;"",AI7&gt;=AQ$36,AI7&lt;&gt;"",AF7=""),AND(AJ7&gt;=AQ$32,AJ7&lt;&gt;"",AL7&gt;=AQ$36,AL7&lt;&gt;"",AF7=""),AND(AN7&gt;=AQ$32,AN7&lt;&gt;"",AP7&gt;=AQ$36,AP7&lt;&gt;"",AF7=""),AND(BH7&gt;=BR$32,BH7&lt;&gt;"",BJ7&gt;=BR$36,BJ7&lt;&gt;"",BG7=""),AND(BK7&gt;=BR$32,BK7&lt;&gt;"",BM7&gt;=BR$36,BM7&lt;&gt;"",BG7=""),AND(BO7&gt;=BR$32,BO7&lt;&gt;"",BQ7&gt;=BR$36,BQ7&lt;&gt;"",BG7=""),AND(CI7&gt;=CS$32,CI7&lt;&gt;"",CK7&gt;=CS$36,CK7&lt;&gt;"",CH7=""),AND(CL7&gt;=CS$32,CL7&lt;&gt;"",CN7&gt;=CS$36,CN7&lt;&gt;"",CH7=""),AND(CP7&gt;=CS$32,CP7&lt;&gt;"",CR7&gt;=CS$36,CR7&lt;&gt;"",CH7=""),AND(DO7&gt;=EB$32,DO7&lt;&gt;"",DQ7&gt;=EB$36,DQ7&lt;&gt;""),AND(DR7&gt;=EB$32,DR7&lt;&gt;"",DT7&gt;=EB$36,DT7&lt;&gt;""),AND(DV7&gt;=EB$32,DV7&lt;&gt;"",DX7&gt;=EB$36,DX7&lt;&gt;""),AND(DY7&gt;=EB$32,DY7&lt;&gt;"",EA7&gt;=EB$36,EA7&lt;&gt;""),AND(EW7&gt;=FJ$32,EW7&lt;&gt;"",EY7&gt;=FJ$36,EY7&lt;&gt;""),AND(EZ7&gt;=FJ$32,EZ7&lt;&gt;"",FB7&gt;=FJ$36,FB7&lt;&gt;""),AND(FD7&gt;=FJ$32,FD7&lt;&gt;"",FF7&gt;=FJ$36,FF7&lt;&gt;""),AND(FG7&gt;=FJ$32,FG7&lt;&gt;"",FI7&gt;=FJ$36,FI7&lt;&gt;""),AND(GE7&gt;=GR$32,GE7&lt;&gt;"",GG7&gt;=GR$36,GG7&lt;&gt;""),AND(GH7&gt;=GR$32,GH7&lt;&gt;"",GJ7&gt;=GR$36,GJ7&lt;&gt;""),AND(GL7&gt;=GR$32,GL7&lt;&gt;"",GN7&gt;=GR$36,GN7&lt;&gt;""),AND(GO7&gt;=GR$32,GO7&lt;&gt;"",GQ7&gt;=GR$36,GQ7&lt;&gt;""),AND(HM7&gt;=HZ$32,HM7&lt;&gt;"",HO7&gt;=HZ$36,HO7&lt;&gt;""),AND(HP7&gt;=HZ$32,HP7&lt;&gt;"",HR7&gt;=HZ$36,HR7&lt;&gt;""),AND(HT7&gt;=HZ$32,HT7&lt;&gt;"",HV7&gt;=HZ$36,HV7&lt;&gt;""),AND(HW7&gt;=HZ$32,HW7&lt;&gt;"",HY7&gt;=HZ$36,HY7&lt;&gt;""),AND(IU7&gt;=JH$32,IU7&lt;&gt;"",IW7&gt;=JH$36,IW7&lt;&gt;""),AND(IX7&gt;=JH$32,IX7&lt;&gt;"",IZ7&gt;=JH$36,IZ7&lt;&gt;""),AND(JB7&gt;=JH$32,JB7&lt;&gt;"",JD7&gt;=JH$36,JD7&lt;&gt;""),AND(JE7&gt;=JH$32,JE7&lt;&gt;"",JG7&gt;=JH$36,JG7&lt;&gt;""),AND(KC7&gt;=KP$32,KC7&lt;&gt;"",KE7&gt;=KP$36,KE7&lt;&gt;""),AND(KF7&gt;=KP$32,KF7&lt;&gt;"",KH7&gt;=KP$36,KH7&lt;&gt;""),AND(KJ7&gt;=KP$32,KJ7&lt;&gt;"",KL7&gt;=KP$36,KL7&lt;&gt;""),AND(KM7&gt;=KP$32,KM7&lt;&gt;"",KO7&gt;=KP$36,KO7&lt;&gt;""),AND(LK7&gt;=LX$32,LK7&lt;&gt;"",LM7&gt;=LX$36,LM7&lt;&gt;""),AND(LN7&gt;=LX$32,LN7&lt;&gt;"",LP7&gt;=LX$36,LP7&lt;&gt;""),AND(LR7&gt;=LX$32,LR7&lt;&gt;"",LT7&gt;=LX$36,LT7&lt;&gt;""),AND(LU7&gt;=LX$32,LU7&lt;&gt;"",LW7&gt;=LX$36,LW7&lt;&gt;""),AND(MS7&gt;=NF$32,MS7&lt;&gt;"",MU7&gt;=NF$36,MU7&lt;&gt;""),AND(MV7&gt;=NF$32,MV7&lt;&gt;"",MX7&gt;=NF$36,MX7&lt;&gt;""),AND(MZ7&gt;=NF$32,MZ7&lt;&gt;"",NB7&gt;=NF$36,NB7&lt;&gt;""),AND(NC7&gt;=NF$32,NC7&lt;&gt;"",NE7&gt;=NF$36,NE7&lt;&gt;""),AND(OA7&gt;=ON$32,OA7&lt;&gt;"",OC7&gt;=ON$36,OC7&lt;&gt;""),AND(OD7&gt;=ON$32,OD7&lt;&gt;"",OF7&gt;=ON$36,OF7&lt;&gt;""),AND(OH7&gt;=ON$32,OH7&lt;&gt;"",OJ7&gt;=ON$36,OJ7&lt;&gt;""),AND(OK7&gt;=ON$32,OK7&lt;&gt;"",OM7&gt;=ON$36,OM7&lt;&gt;""),AND(PI7&gt;=PV$32,PI7&lt;&gt;"",PK7&gt;=PV$36,PK7&lt;&gt;""),AND(PL7&gt;=PV$32,PL7&lt;&gt;"",PN7&gt;=PV$36,PN7&lt;&gt;""),AND(PP7&gt;=PV$32,PP7&lt;&gt;"",PR7&gt;=PV$36,PR7&lt;&gt;""),AND(PS7&gt;=PV$32,PS7&lt;&gt;"",PU7&gt;=PV$36,PU7&lt;&gt;""),AND(QQ7&gt;=RD$32,QQ7&lt;&gt;"",QS7&gt;=RD$36,QS7&lt;&gt;""),AND(QT7&gt;=RD$32,QT7&lt;&gt;"",QV7&gt;=RD$36,QV7&lt;&gt;""),AND(QX7&gt;=RD$32,QX7&lt;&gt;"",QZ7&gt;=RD$36,QZ7&lt;&gt;""),AND(RA7&gt;=RD$32,RA7&lt;&gt;"",RC7&gt;=RD$36,RC7&lt;&gt;""),AND(RY7&gt;=SL$32,RY7&lt;&gt;"",SA7&gt;=SL$36,SA7&lt;&gt;""),AND(SB7&gt;=SL$32,SB7&lt;&gt;"",SD7&gt;=SL$36,SD7&lt;&gt;""),AND(SF7&gt;=SL$32,SF7&lt;&gt;"",SH7&gt;=SL$36,SH7&lt;&gt;""),AND(SI7&gt;=SL$32,SI7&lt;&gt;"",SK7&gt;=SL$36,SK7&lt;&gt;""),AND(TG7&gt;=TT$32,TG7&lt;&gt;"",TI7&gt;=TT$36,TI7&lt;&gt;""),AND(TJ7&gt;=TT$32,TJ7&lt;&gt;"",TL7&gt;=TT$36,TL7&lt;&gt;""),AND(TN7&gt;=TT$32,TN7&lt;&gt;"",TP7&gt;=TT$36,TXN7&lt;&gt;""),AND(TQ7&gt;=TT$32,TQ7&lt;&gt;"",TS7&gt;=TT$36,TS7&lt;&gt;""),AND(UO7&gt;=VB$32,UO7&lt;&gt;"",UQ7&gt;=VB$36,UQ7&lt;&gt;""),AND(UR7&gt;=VB$32,UR7&lt;&gt;"",UT7&gt;=VB$36,UT7&lt;&gt;""),AND(UV7&gt;=VB$32,UV7&lt;&gt;"",UX7&gt;=VB$36,UX7&lt;&gt;""),AND(UY7&gt;=VB$32,UY7&lt;&gt;"",VA7&gt;=VB$36,VA7&lt;&gt;""),AND(VW7&gt;=WJ$32,VW7&lt;&gt;"",VY7&gt;=WJ$36,VY7&lt;&gt;""),AND(VZ7&gt;=WJ$32,VZ7&lt;&gt;"",WB7&gt;=WJ$36,WB7&lt;&gt;""),AND(WD7&gt;=WJ$32,WD7&lt;&gt;"",WF7&gt;=WJ$36,WF7&lt;&gt;""),AND(WG7&gt;=WJ$32,WG7&lt;&gt;"",WI7&gt;=WJ$36,WI7&lt;&gt;"")),"Excellence",IF(I7="P","National Team",IF(F7="P","National Team","")))))</f>
        <v>National Team</v>
      </c>
      <c r="I7" s="3" t="str">
        <f>IF(COUNTIFS('Senior-M'!B:B,B7,'Senior-M'!A:A,"&lt;9",'Senior-M'!H:H,"&lt;&gt;"&amp;"No DD"),"P","")</f>
        <v/>
      </c>
      <c r="J7" s="8">
        <f t="shared" si="1"/>
        <v>55.76</v>
      </c>
      <c r="K7" s="8" t="str">
        <f t="shared" si="2"/>
        <v>2026 Elite Canada</v>
      </c>
      <c r="L7" s="8">
        <f>IFERROR(LARGE((AI7,AL7,AP7,BJ7,BM7,BQ7,CK7,CN7,CR7),2),0)</f>
        <v>55.319999999999993</v>
      </c>
      <c r="M7" s="8" t="str">
        <f t="shared" si="3"/>
        <v>2026 Elite Canada</v>
      </c>
      <c r="N7" s="8">
        <f t="shared" si="4"/>
        <v>0</v>
      </c>
      <c r="O7" s="11" t="str">
        <f>IF(N7=0,"",IF(N7=CT7,"("&amp;CT$2&amp;")",IF(N7=#REF!,"("&amp;#REF!&amp;")")))</f>
        <v/>
      </c>
      <c r="P7" s="8" t="str">
        <f t="shared" si="5"/>
        <v/>
      </c>
      <c r="Q7" s="18">
        <v>12.8</v>
      </c>
      <c r="R7" s="18">
        <v>9.1</v>
      </c>
      <c r="S7" s="18">
        <v>14.1</v>
      </c>
      <c r="T7" s="18">
        <v>15.41</v>
      </c>
      <c r="U7" s="18">
        <v>0.4</v>
      </c>
      <c r="V7" s="18">
        <v>12.3</v>
      </c>
      <c r="W7" s="18">
        <v>9.5</v>
      </c>
      <c r="X7" s="18">
        <v>11.1</v>
      </c>
      <c r="Y7" s="18">
        <v>15.73</v>
      </c>
      <c r="Z7" s="18">
        <v>3.4</v>
      </c>
      <c r="AA7" s="18">
        <v>14.3</v>
      </c>
      <c r="AB7" s="18">
        <v>9</v>
      </c>
      <c r="AC7" s="18">
        <v>13.1</v>
      </c>
      <c r="AD7" s="18">
        <v>15.58</v>
      </c>
      <c r="AE7" s="18">
        <v>1.4</v>
      </c>
      <c r="AF7" s="23"/>
      <c r="AG7" s="34">
        <f t="shared" si="6"/>
        <v>14.1</v>
      </c>
      <c r="AH7" s="34">
        <f t="shared" si="7"/>
        <v>15.41</v>
      </c>
      <c r="AI7" s="36">
        <f t="shared" si="8"/>
        <v>51.01</v>
      </c>
      <c r="AJ7" s="36">
        <f t="shared" si="9"/>
        <v>11.1</v>
      </c>
      <c r="AK7" s="36">
        <f t="shared" si="10"/>
        <v>15.73</v>
      </c>
      <c r="AL7" s="36">
        <f t="shared" si="11"/>
        <v>45.23</v>
      </c>
      <c r="AM7" s="36">
        <f t="shared" si="12"/>
        <v>51.01</v>
      </c>
      <c r="AN7" s="36">
        <f t="shared" si="13"/>
        <v>13.1</v>
      </c>
      <c r="AO7" s="36">
        <f t="shared" si="14"/>
        <v>15.58</v>
      </c>
      <c r="AP7" s="36">
        <f t="shared" si="15"/>
        <v>50.58</v>
      </c>
      <c r="AQ7" s="36">
        <f t="shared" si="16"/>
        <v>101.59</v>
      </c>
      <c r="AR7" s="22">
        <v>12</v>
      </c>
      <c r="AS7" s="22">
        <v>9.4</v>
      </c>
      <c r="AT7" s="22">
        <v>11.7</v>
      </c>
      <c r="AU7" s="22">
        <v>16.170000000000002</v>
      </c>
      <c r="AV7" s="22">
        <v>4</v>
      </c>
      <c r="AW7" s="22">
        <v>5.6</v>
      </c>
      <c r="AX7" s="22">
        <v>3.8</v>
      </c>
      <c r="AY7" s="22">
        <v>6.3</v>
      </c>
      <c r="AZ7" s="22">
        <v>6.78</v>
      </c>
      <c r="BA7" s="22">
        <v>0</v>
      </c>
      <c r="BB7" s="22"/>
      <c r="BC7" s="22"/>
      <c r="BD7" s="22"/>
      <c r="BE7" s="22"/>
      <c r="BF7" s="22"/>
      <c r="BG7" s="24"/>
      <c r="BH7" s="35">
        <f t="shared" si="17"/>
        <v>11.7</v>
      </c>
      <c r="BI7" s="35">
        <f t="shared" si="18"/>
        <v>16.170000000000002</v>
      </c>
      <c r="BJ7" s="11">
        <f t="shared" si="19"/>
        <v>45.269999999999996</v>
      </c>
      <c r="BK7" s="11">
        <f t="shared" si="20"/>
        <v>6.3</v>
      </c>
      <c r="BL7" s="11">
        <f t="shared" si="21"/>
        <v>6.78</v>
      </c>
      <c r="BM7" s="11">
        <f t="shared" si="22"/>
        <v>22.48</v>
      </c>
      <c r="BN7" s="11">
        <f t="shared" si="23"/>
        <v>45.269999999999996</v>
      </c>
      <c r="BO7" s="11" t="str">
        <f t="shared" si="24"/>
        <v/>
      </c>
      <c r="BP7" s="11" t="str">
        <f t="shared" si="25"/>
        <v/>
      </c>
      <c r="BQ7" s="11" t="str">
        <f t="shared" si="26"/>
        <v/>
      </c>
      <c r="BR7" s="11">
        <f t="shared" si="27"/>
        <v>45.269999999999996</v>
      </c>
      <c r="BS7" s="18">
        <v>15.1</v>
      </c>
      <c r="BT7" s="18">
        <v>9.4</v>
      </c>
      <c r="BU7" s="18">
        <v>15.3</v>
      </c>
      <c r="BV7" s="18">
        <v>15.96</v>
      </c>
      <c r="BW7" s="18">
        <v>0</v>
      </c>
      <c r="BX7" s="18">
        <v>13.3</v>
      </c>
      <c r="BY7" s="18">
        <v>9.4</v>
      </c>
      <c r="BZ7" s="18">
        <v>15.8</v>
      </c>
      <c r="CA7" s="18">
        <v>15.95</v>
      </c>
      <c r="CB7" s="18">
        <v>0</v>
      </c>
      <c r="CC7" s="18">
        <v>14.7</v>
      </c>
      <c r="CD7" s="18">
        <v>9.6</v>
      </c>
      <c r="CE7" s="18">
        <v>15.3</v>
      </c>
      <c r="CF7" s="18">
        <v>15.72</v>
      </c>
      <c r="CG7" s="18">
        <v>0</v>
      </c>
      <c r="CH7" s="23"/>
      <c r="CI7" s="34">
        <f t="shared" si="28"/>
        <v>15.3</v>
      </c>
      <c r="CJ7" s="34">
        <f t="shared" si="29"/>
        <v>15.96</v>
      </c>
      <c r="CK7" s="36">
        <f t="shared" si="30"/>
        <v>55.76</v>
      </c>
      <c r="CL7" s="36">
        <f t="shared" si="31"/>
        <v>15.8</v>
      </c>
      <c r="CM7" s="36">
        <f t="shared" si="32"/>
        <v>15.95</v>
      </c>
      <c r="CN7" s="36">
        <f t="shared" si="33"/>
        <v>54.45</v>
      </c>
      <c r="CO7" s="36">
        <f t="shared" si="34"/>
        <v>55.76</v>
      </c>
      <c r="CP7" s="36">
        <f t="shared" si="35"/>
        <v>15.3</v>
      </c>
      <c r="CQ7" s="36">
        <f t="shared" si="36"/>
        <v>15.72</v>
      </c>
      <c r="CR7" s="36">
        <f t="shared" si="37"/>
        <v>55.319999999999993</v>
      </c>
      <c r="CS7" s="36">
        <f t="shared" si="38"/>
        <v>111.07999999999998</v>
      </c>
      <c r="CT7" s="47" t="str">
        <f t="shared" si="39"/>
        <v/>
      </c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36" t="str">
        <f t="shared" si="40"/>
        <v/>
      </c>
      <c r="DP7" s="36" t="str">
        <f t="shared" si="41"/>
        <v/>
      </c>
      <c r="DQ7" s="36" t="str">
        <f t="shared" si="42"/>
        <v/>
      </c>
      <c r="DR7" s="36" t="str">
        <f t="shared" si="43"/>
        <v/>
      </c>
      <c r="DS7" s="36" t="str">
        <f t="shared" si="44"/>
        <v/>
      </c>
      <c r="DT7" s="36" t="str">
        <f t="shared" si="45"/>
        <v/>
      </c>
      <c r="DU7" s="36" t="str">
        <f t="shared" si="46"/>
        <v/>
      </c>
      <c r="DV7" s="36" t="str">
        <f t="shared" si="47"/>
        <v/>
      </c>
      <c r="DW7" s="36" t="str">
        <f t="shared" si="48"/>
        <v/>
      </c>
      <c r="DX7" s="36" t="str">
        <f t="shared" si="49"/>
        <v/>
      </c>
      <c r="DY7" s="36" t="str">
        <f t="shared" si="50"/>
        <v/>
      </c>
      <c r="DZ7" s="36" t="str">
        <f t="shared" si="51"/>
        <v/>
      </c>
      <c r="EA7" s="36" t="str">
        <f t="shared" si="52"/>
        <v/>
      </c>
      <c r="EB7" s="36" t="str">
        <f t="shared" si="53"/>
        <v/>
      </c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1" t="str">
        <f t="shared" si="54"/>
        <v/>
      </c>
      <c r="EX7" s="11" t="str">
        <f t="shared" si="55"/>
        <v/>
      </c>
      <c r="EY7" s="11" t="str">
        <f t="shared" si="56"/>
        <v/>
      </c>
      <c r="EZ7" s="11" t="str">
        <f t="shared" si="57"/>
        <v/>
      </c>
      <c r="FA7" s="11" t="str">
        <f t="shared" si="58"/>
        <v/>
      </c>
      <c r="FB7" s="11" t="str">
        <f t="shared" si="59"/>
        <v/>
      </c>
      <c r="FC7" s="11" t="str">
        <f t="shared" si="60"/>
        <v/>
      </c>
      <c r="FD7" s="11" t="str">
        <f t="shared" si="61"/>
        <v/>
      </c>
      <c r="FE7" s="11" t="str">
        <f t="shared" si="62"/>
        <v/>
      </c>
      <c r="FF7" s="11" t="str">
        <f t="shared" si="63"/>
        <v/>
      </c>
      <c r="FG7" s="11" t="str">
        <f t="shared" si="64"/>
        <v/>
      </c>
      <c r="FH7" s="11" t="str">
        <f t="shared" si="65"/>
        <v/>
      </c>
      <c r="FI7" s="11" t="str">
        <f t="shared" si="66"/>
        <v/>
      </c>
      <c r="FJ7" s="11" t="str">
        <f t="shared" si="67"/>
        <v/>
      </c>
      <c r="FK7" s="15">
        <v>14</v>
      </c>
      <c r="FL7" s="15">
        <v>9.5</v>
      </c>
      <c r="FM7" s="15">
        <v>12.9</v>
      </c>
      <c r="FN7" s="15">
        <v>15.91</v>
      </c>
      <c r="FO7" s="15">
        <v>0</v>
      </c>
      <c r="FP7" s="15">
        <v>12.7</v>
      </c>
      <c r="FQ7" s="15">
        <v>9.4</v>
      </c>
      <c r="FR7" s="15">
        <v>12.9</v>
      </c>
      <c r="FS7" s="15">
        <v>15.75</v>
      </c>
      <c r="FT7" s="15">
        <v>0</v>
      </c>
      <c r="FU7" s="15">
        <v>13.6</v>
      </c>
      <c r="FV7" s="15">
        <v>9.6999999999999993</v>
      </c>
      <c r="FW7" s="15">
        <v>12.9</v>
      </c>
      <c r="FX7" s="15">
        <v>16.010000000000002</v>
      </c>
      <c r="FY7" s="15">
        <v>0</v>
      </c>
      <c r="FZ7" s="15"/>
      <c r="GA7" s="15"/>
      <c r="GB7" s="15"/>
      <c r="GC7" s="15"/>
      <c r="GD7" s="15"/>
      <c r="GE7" s="36">
        <f t="shared" si="68"/>
        <v>12.9</v>
      </c>
      <c r="GF7" s="36">
        <f t="shared" si="69"/>
        <v>15.91</v>
      </c>
      <c r="GG7" s="36">
        <f t="shared" si="70"/>
        <v>52.31</v>
      </c>
      <c r="GH7" s="36">
        <f t="shared" si="71"/>
        <v>12.9</v>
      </c>
      <c r="GI7" s="36">
        <f t="shared" si="72"/>
        <v>15.75</v>
      </c>
      <c r="GJ7" s="36">
        <f t="shared" si="73"/>
        <v>50.75</v>
      </c>
      <c r="GK7" s="36">
        <f t="shared" si="74"/>
        <v>52.31</v>
      </c>
      <c r="GL7" s="36">
        <f t="shared" si="75"/>
        <v>12.9</v>
      </c>
      <c r="GM7" s="36">
        <f t="shared" si="76"/>
        <v>16.010000000000002</v>
      </c>
      <c r="GN7" s="36">
        <f t="shared" si="77"/>
        <v>52.209999999999994</v>
      </c>
      <c r="GO7" s="36" t="str">
        <f t="shared" si="78"/>
        <v/>
      </c>
      <c r="GP7" s="36" t="str">
        <f t="shared" si="79"/>
        <v/>
      </c>
      <c r="GQ7" s="36" t="str">
        <f t="shared" si="80"/>
        <v/>
      </c>
      <c r="GR7" s="36">
        <f t="shared" si="81"/>
        <v>104.52</v>
      </c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1" t="str">
        <f t="shared" si="82"/>
        <v/>
      </c>
      <c r="HN7" s="11" t="str">
        <f t="shared" si="83"/>
        <v/>
      </c>
      <c r="HO7" s="11" t="str">
        <f t="shared" si="84"/>
        <v/>
      </c>
      <c r="HP7" s="11" t="str">
        <f t="shared" si="85"/>
        <v/>
      </c>
      <c r="HQ7" s="11" t="str">
        <f t="shared" si="86"/>
        <v/>
      </c>
      <c r="HR7" s="11" t="str">
        <f t="shared" si="87"/>
        <v/>
      </c>
      <c r="HS7" s="11" t="str">
        <f t="shared" si="88"/>
        <v/>
      </c>
      <c r="HT7" s="11" t="str">
        <f t="shared" si="89"/>
        <v/>
      </c>
      <c r="HU7" s="11" t="str">
        <f t="shared" si="90"/>
        <v/>
      </c>
      <c r="HV7" s="11" t="str">
        <f t="shared" si="91"/>
        <v/>
      </c>
      <c r="HW7" s="11" t="str">
        <f t="shared" si="92"/>
        <v/>
      </c>
      <c r="HX7" s="11" t="str">
        <f t="shared" si="93"/>
        <v/>
      </c>
      <c r="HY7" s="11" t="str">
        <f t="shared" si="94"/>
        <v/>
      </c>
      <c r="HZ7" s="11" t="str">
        <f t="shared" si="95"/>
        <v/>
      </c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36" t="str">
        <f t="shared" si="96"/>
        <v/>
      </c>
      <c r="IV7" s="36" t="str">
        <f t="shared" si="97"/>
        <v/>
      </c>
      <c r="IW7" s="36" t="str">
        <f t="shared" si="98"/>
        <v/>
      </c>
      <c r="IX7" s="36" t="str">
        <f t="shared" si="99"/>
        <v/>
      </c>
      <c r="IY7" s="36" t="str">
        <f t="shared" si="100"/>
        <v/>
      </c>
      <c r="IZ7" s="36" t="str">
        <f t="shared" si="101"/>
        <v/>
      </c>
      <c r="JA7" s="36" t="str">
        <f t="shared" si="102"/>
        <v/>
      </c>
      <c r="JB7" s="36" t="str">
        <f t="shared" si="103"/>
        <v/>
      </c>
      <c r="JC7" s="36" t="str">
        <f t="shared" si="104"/>
        <v/>
      </c>
      <c r="JD7" s="36" t="str">
        <f t="shared" si="105"/>
        <v/>
      </c>
      <c r="JE7" s="36" t="str">
        <f t="shared" si="106"/>
        <v/>
      </c>
      <c r="JF7" s="36" t="str">
        <f t="shared" si="107"/>
        <v/>
      </c>
      <c r="JG7" s="36" t="str">
        <f t="shared" si="108"/>
        <v/>
      </c>
      <c r="JH7" s="36" t="str">
        <f t="shared" si="109"/>
        <v/>
      </c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1" t="str">
        <f t="shared" si="110"/>
        <v/>
      </c>
      <c r="KD7" s="11" t="str">
        <f t="shared" si="111"/>
        <v/>
      </c>
      <c r="KE7" s="11" t="str">
        <f t="shared" si="112"/>
        <v/>
      </c>
      <c r="KF7" s="11" t="str">
        <f t="shared" si="113"/>
        <v/>
      </c>
      <c r="KG7" s="11" t="str">
        <f t="shared" si="114"/>
        <v/>
      </c>
      <c r="KH7" s="11" t="str">
        <f t="shared" si="115"/>
        <v/>
      </c>
      <c r="KI7" s="11" t="str">
        <f t="shared" si="116"/>
        <v/>
      </c>
      <c r="KJ7" s="11" t="str">
        <f t="shared" si="117"/>
        <v/>
      </c>
      <c r="KK7" s="11" t="str">
        <f t="shared" si="118"/>
        <v/>
      </c>
      <c r="KL7" s="11" t="str">
        <f t="shared" si="119"/>
        <v/>
      </c>
      <c r="KM7" s="11" t="str">
        <f t="shared" si="120"/>
        <v/>
      </c>
      <c r="KN7" s="11" t="str">
        <f t="shared" si="121"/>
        <v/>
      </c>
      <c r="KO7" s="11" t="str">
        <f t="shared" si="122"/>
        <v/>
      </c>
      <c r="KP7" s="11" t="str">
        <f t="shared" si="123"/>
        <v/>
      </c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36" t="str">
        <f t="shared" si="124"/>
        <v/>
      </c>
      <c r="LL7" s="36" t="str">
        <f t="shared" si="125"/>
        <v/>
      </c>
      <c r="LM7" s="36" t="str">
        <f t="shared" si="126"/>
        <v/>
      </c>
      <c r="LN7" s="36" t="str">
        <f t="shared" si="127"/>
        <v/>
      </c>
      <c r="LO7" s="36" t="str">
        <f t="shared" si="128"/>
        <v/>
      </c>
      <c r="LP7" s="36" t="str">
        <f t="shared" si="129"/>
        <v/>
      </c>
      <c r="LQ7" s="36" t="str">
        <f t="shared" si="130"/>
        <v/>
      </c>
      <c r="LR7" s="36" t="str">
        <f t="shared" si="131"/>
        <v/>
      </c>
      <c r="LS7" s="36" t="str">
        <f t="shared" si="132"/>
        <v/>
      </c>
      <c r="LT7" s="36" t="str">
        <f t="shared" si="133"/>
        <v/>
      </c>
      <c r="LU7" s="36" t="str">
        <f t="shared" si="134"/>
        <v/>
      </c>
      <c r="LV7" s="36" t="str">
        <f t="shared" si="135"/>
        <v/>
      </c>
      <c r="LW7" s="36" t="str">
        <f t="shared" si="136"/>
        <v/>
      </c>
      <c r="LX7" s="36" t="str">
        <f t="shared" si="137"/>
        <v/>
      </c>
      <c r="LY7" s="16">
        <v>15.1</v>
      </c>
      <c r="LZ7" s="16">
        <v>9.4</v>
      </c>
      <c r="MA7" s="16">
        <v>3.3</v>
      </c>
      <c r="MB7" s="16">
        <v>16.18</v>
      </c>
      <c r="MC7" s="16">
        <v>0</v>
      </c>
      <c r="MD7" s="16">
        <v>2.8</v>
      </c>
      <c r="ME7" s="16">
        <v>1.8</v>
      </c>
      <c r="MF7" s="16">
        <v>3.3</v>
      </c>
      <c r="MG7" s="16">
        <v>3.38</v>
      </c>
      <c r="MH7" s="16">
        <v>0</v>
      </c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1">
        <f t="shared" si="138"/>
        <v>3.3</v>
      </c>
      <c r="MT7" s="11">
        <f t="shared" si="139"/>
        <v>16.18</v>
      </c>
      <c r="MU7" s="11">
        <f t="shared" si="140"/>
        <v>43.980000000000004</v>
      </c>
      <c r="MV7" s="11">
        <f t="shared" si="141"/>
        <v>3.3</v>
      </c>
      <c r="MW7" s="11">
        <f t="shared" si="142"/>
        <v>3.38</v>
      </c>
      <c r="MX7" s="11">
        <f t="shared" si="143"/>
        <v>11.28</v>
      </c>
      <c r="MY7" s="11">
        <f t="shared" si="144"/>
        <v>43.980000000000004</v>
      </c>
      <c r="MZ7" s="11" t="str">
        <f t="shared" si="145"/>
        <v/>
      </c>
      <c r="NA7" s="11" t="str">
        <f t="shared" si="146"/>
        <v/>
      </c>
      <c r="NB7" s="11" t="str">
        <f t="shared" si="147"/>
        <v/>
      </c>
      <c r="NC7" s="11" t="str">
        <f t="shared" si="148"/>
        <v/>
      </c>
      <c r="ND7" s="11" t="str">
        <f t="shared" si="149"/>
        <v/>
      </c>
      <c r="NE7" s="11" t="str">
        <f t="shared" si="150"/>
        <v/>
      </c>
      <c r="NF7" s="11">
        <f t="shared" si="151"/>
        <v>43.980000000000004</v>
      </c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36" t="str">
        <f t="shared" si="152"/>
        <v/>
      </c>
      <c r="OB7" s="36" t="str">
        <f t="shared" si="153"/>
        <v/>
      </c>
      <c r="OC7" s="36" t="str">
        <f t="shared" si="154"/>
        <v/>
      </c>
      <c r="OD7" s="36" t="str">
        <f t="shared" si="155"/>
        <v/>
      </c>
      <c r="OE7" s="36" t="str">
        <f t="shared" si="156"/>
        <v/>
      </c>
      <c r="OF7" s="36" t="str">
        <f t="shared" si="157"/>
        <v/>
      </c>
      <c r="OG7" s="36" t="str">
        <f t="shared" si="158"/>
        <v/>
      </c>
      <c r="OH7" s="36" t="str">
        <f t="shared" si="159"/>
        <v/>
      </c>
      <c r="OI7" s="36" t="str">
        <f t="shared" si="160"/>
        <v/>
      </c>
      <c r="OJ7" s="36" t="str">
        <f t="shared" si="161"/>
        <v/>
      </c>
      <c r="OK7" s="36" t="str">
        <f t="shared" si="162"/>
        <v/>
      </c>
      <c r="OL7" s="36" t="str">
        <f t="shared" si="163"/>
        <v/>
      </c>
      <c r="OM7" s="36" t="str">
        <f t="shared" si="164"/>
        <v/>
      </c>
      <c r="ON7" s="36" t="str">
        <f t="shared" si="165"/>
        <v/>
      </c>
      <c r="OO7" s="16"/>
      <c r="OP7" s="16"/>
      <c r="OQ7" s="16"/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  <c r="PH7" s="16"/>
      <c r="PI7" s="11" t="str">
        <f t="shared" si="166"/>
        <v/>
      </c>
      <c r="PJ7" s="11" t="str">
        <f t="shared" si="167"/>
        <v/>
      </c>
      <c r="PK7" s="11" t="str">
        <f t="shared" si="168"/>
        <v/>
      </c>
      <c r="PL7" s="11" t="str">
        <f t="shared" si="169"/>
        <v/>
      </c>
      <c r="PM7" s="11" t="str">
        <f t="shared" si="170"/>
        <v/>
      </c>
      <c r="PN7" s="11" t="str">
        <f t="shared" si="171"/>
        <v/>
      </c>
      <c r="PO7" s="11" t="str">
        <f t="shared" si="172"/>
        <v/>
      </c>
      <c r="PP7" s="11" t="str">
        <f t="shared" si="173"/>
        <v/>
      </c>
      <c r="PQ7" s="11" t="str">
        <f t="shared" si="174"/>
        <v/>
      </c>
      <c r="PR7" s="11" t="str">
        <f t="shared" si="175"/>
        <v/>
      </c>
      <c r="PS7" s="11" t="str">
        <f t="shared" si="176"/>
        <v/>
      </c>
      <c r="PT7" s="11" t="str">
        <f t="shared" si="177"/>
        <v/>
      </c>
      <c r="PU7" s="11" t="str">
        <f t="shared" si="178"/>
        <v/>
      </c>
      <c r="PV7" s="11" t="str">
        <f t="shared" si="179"/>
        <v/>
      </c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36" t="str">
        <f t="shared" si="180"/>
        <v/>
      </c>
      <c r="QR7" s="36" t="str">
        <f t="shared" si="181"/>
        <v/>
      </c>
      <c r="QS7" s="36" t="str">
        <f t="shared" si="182"/>
        <v/>
      </c>
      <c r="QT7" s="36" t="str">
        <f t="shared" si="183"/>
        <v/>
      </c>
      <c r="QU7" s="36" t="str">
        <f t="shared" si="184"/>
        <v/>
      </c>
      <c r="QV7" s="36" t="str">
        <f t="shared" si="185"/>
        <v/>
      </c>
      <c r="QW7" s="36" t="str">
        <f t="shared" si="186"/>
        <v/>
      </c>
      <c r="QX7" s="36" t="str">
        <f t="shared" si="187"/>
        <v/>
      </c>
      <c r="QY7" s="36" t="str">
        <f t="shared" si="188"/>
        <v/>
      </c>
      <c r="QZ7" s="36" t="str">
        <f t="shared" si="189"/>
        <v/>
      </c>
      <c r="RA7" s="36" t="str">
        <f t="shared" si="190"/>
        <v/>
      </c>
      <c r="RB7" s="36" t="str">
        <f t="shared" si="191"/>
        <v/>
      </c>
      <c r="RC7" s="36" t="str">
        <f t="shared" si="192"/>
        <v/>
      </c>
      <c r="RD7" s="36" t="str">
        <f t="shared" si="193"/>
        <v/>
      </c>
      <c r="RE7" s="16"/>
      <c r="RF7" s="16"/>
      <c r="RG7" s="16"/>
      <c r="RH7" s="16"/>
      <c r="RI7" s="16"/>
      <c r="RJ7" s="16"/>
      <c r="RK7" s="16"/>
      <c r="RL7" s="16"/>
      <c r="RM7" s="16"/>
      <c r="RN7" s="16"/>
      <c r="RO7" s="16"/>
      <c r="RP7" s="16"/>
      <c r="RQ7" s="16"/>
      <c r="RR7" s="16"/>
      <c r="RS7" s="16"/>
      <c r="RT7" s="16"/>
      <c r="RU7" s="16"/>
      <c r="RV7" s="16"/>
      <c r="RW7" s="16"/>
      <c r="RX7" s="16"/>
      <c r="RY7" s="11" t="str">
        <f t="shared" si="194"/>
        <v/>
      </c>
      <c r="RZ7" s="11" t="str">
        <f t="shared" si="195"/>
        <v/>
      </c>
      <c r="SA7" s="11" t="str">
        <f t="shared" si="196"/>
        <v/>
      </c>
      <c r="SB7" s="11" t="str">
        <f t="shared" si="197"/>
        <v/>
      </c>
      <c r="SC7" s="11" t="str">
        <f t="shared" si="198"/>
        <v/>
      </c>
      <c r="SD7" s="11" t="str">
        <f t="shared" si="199"/>
        <v/>
      </c>
      <c r="SE7" s="11" t="str">
        <f t="shared" si="200"/>
        <v/>
      </c>
      <c r="SF7" s="11" t="str">
        <f t="shared" si="201"/>
        <v/>
      </c>
      <c r="SG7" s="11" t="str">
        <f t="shared" si="202"/>
        <v/>
      </c>
      <c r="SH7" s="11" t="str">
        <f t="shared" si="203"/>
        <v/>
      </c>
      <c r="SI7" s="11" t="str">
        <f t="shared" si="204"/>
        <v/>
      </c>
      <c r="SJ7" s="11" t="str">
        <f t="shared" si="205"/>
        <v/>
      </c>
      <c r="SK7" s="11" t="str">
        <f t="shared" si="206"/>
        <v/>
      </c>
      <c r="SL7" s="11" t="str">
        <f t="shared" si="207"/>
        <v/>
      </c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36" t="str">
        <f t="shared" si="208"/>
        <v/>
      </c>
      <c r="TH7" s="36" t="str">
        <f t="shared" si="209"/>
        <v/>
      </c>
      <c r="TI7" s="36" t="str">
        <f t="shared" si="210"/>
        <v/>
      </c>
      <c r="TJ7" s="36" t="str">
        <f t="shared" si="211"/>
        <v/>
      </c>
      <c r="TK7" s="36" t="str">
        <f t="shared" si="212"/>
        <v/>
      </c>
      <c r="TL7" s="36" t="str">
        <f t="shared" si="213"/>
        <v/>
      </c>
      <c r="TM7" s="36" t="str">
        <f t="shared" si="214"/>
        <v/>
      </c>
      <c r="TN7" s="36" t="str">
        <f t="shared" si="215"/>
        <v/>
      </c>
      <c r="TO7" s="36" t="str">
        <f t="shared" si="216"/>
        <v/>
      </c>
      <c r="TP7" s="36" t="str">
        <f t="shared" si="217"/>
        <v/>
      </c>
      <c r="TQ7" s="36" t="str">
        <f t="shared" si="218"/>
        <v/>
      </c>
      <c r="TR7" s="36" t="str">
        <f t="shared" si="219"/>
        <v/>
      </c>
      <c r="TS7" s="36" t="str">
        <f t="shared" si="220"/>
        <v/>
      </c>
      <c r="TT7" s="36" t="str">
        <f t="shared" si="221"/>
        <v/>
      </c>
      <c r="TU7" s="16"/>
      <c r="TV7" s="16"/>
      <c r="TW7" s="16"/>
      <c r="TX7" s="16"/>
      <c r="TY7" s="16"/>
      <c r="TZ7" s="16"/>
      <c r="UA7" s="16"/>
      <c r="UB7" s="16"/>
      <c r="UC7" s="16"/>
      <c r="UD7" s="16"/>
      <c r="UE7" s="16"/>
      <c r="UF7" s="16"/>
      <c r="UG7" s="16"/>
      <c r="UH7" s="16"/>
      <c r="UI7" s="16"/>
      <c r="UJ7" s="16"/>
      <c r="UK7" s="16"/>
      <c r="UL7" s="16"/>
      <c r="UM7" s="16"/>
      <c r="UN7" s="16"/>
      <c r="UO7" s="11" t="str">
        <f t="shared" si="222"/>
        <v/>
      </c>
      <c r="UP7" s="11" t="str">
        <f t="shared" si="223"/>
        <v/>
      </c>
      <c r="UQ7" s="11" t="str">
        <f t="shared" si="224"/>
        <v/>
      </c>
      <c r="UR7" s="11" t="str">
        <f t="shared" si="225"/>
        <v/>
      </c>
      <c r="US7" s="11" t="str">
        <f t="shared" si="226"/>
        <v/>
      </c>
      <c r="UT7" s="11" t="str">
        <f t="shared" si="227"/>
        <v/>
      </c>
      <c r="UU7" s="11" t="str">
        <f t="shared" si="228"/>
        <v/>
      </c>
      <c r="UV7" s="11" t="str">
        <f t="shared" si="229"/>
        <v/>
      </c>
      <c r="UW7" s="11" t="str">
        <f t="shared" si="230"/>
        <v/>
      </c>
      <c r="UX7" s="11" t="str">
        <f t="shared" si="231"/>
        <v/>
      </c>
      <c r="UY7" s="11" t="str">
        <f t="shared" si="232"/>
        <v/>
      </c>
      <c r="UZ7" s="11" t="str">
        <f t="shared" si="233"/>
        <v/>
      </c>
      <c r="VA7" s="11" t="str">
        <f t="shared" si="234"/>
        <v/>
      </c>
      <c r="VB7" s="11" t="str">
        <f t="shared" si="235"/>
        <v/>
      </c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36" t="str">
        <f t="shared" si="236"/>
        <v/>
      </c>
      <c r="VX7" s="36" t="str">
        <f t="shared" si="237"/>
        <v/>
      </c>
      <c r="VY7" s="36" t="str">
        <f t="shared" si="238"/>
        <v/>
      </c>
      <c r="VZ7" s="36" t="str">
        <f t="shared" si="239"/>
        <v/>
      </c>
      <c r="WA7" s="36" t="str">
        <f t="shared" si="240"/>
        <v/>
      </c>
      <c r="WB7" s="36" t="str">
        <f t="shared" si="241"/>
        <v/>
      </c>
      <c r="WC7" s="36" t="str">
        <f t="shared" si="242"/>
        <v/>
      </c>
      <c r="WD7" s="36" t="str">
        <f t="shared" si="243"/>
        <v/>
      </c>
      <c r="WE7" s="36" t="str">
        <f t="shared" si="244"/>
        <v/>
      </c>
      <c r="WF7" s="36" t="str">
        <f t="shared" si="245"/>
        <v/>
      </c>
      <c r="WG7" s="36" t="str">
        <f t="shared" si="246"/>
        <v/>
      </c>
      <c r="WH7" s="36" t="str">
        <f t="shared" si="247"/>
        <v/>
      </c>
      <c r="WI7" s="36" t="str">
        <f t="shared" si="248"/>
        <v/>
      </c>
      <c r="WJ7" s="36" t="str">
        <f t="shared" si="249"/>
        <v/>
      </c>
    </row>
    <row r="8" spans="1:608" x14ac:dyDescent="0.2">
      <c r="A8" s="4" cm="1">
        <f t="array" ref="A8">IF(AND(H8&lt;&gt;"",H8&lt;&gt;"No DD",I8&lt;&gt;"P"),SUMPRODUCT((H$4:H$28&lt;&gt;"")*(H$4:H$28&lt;&gt;"No DD")*(I$4:I$28&lt;&gt;"P")*(E$4:E$28&gt;E8))+1,IF(H8="No DD",SUMPRODUCT((H$4:H$28="No DD")*(I$4:I$28&lt;&gt;"P")*(E$4:E$28&gt;E8))+1+SUMPRODUCT((H$4:H$28&lt;&gt;"")*(I$4:I$28&lt;&gt;"P")*(H$4:H$28&lt;&gt;"No DD")),""))</f>
        <v>3</v>
      </c>
      <c r="B8" s="5" t="s">
        <v>87</v>
      </c>
      <c r="C8" s="4" t="s">
        <v>7</v>
      </c>
      <c r="D8" s="4">
        <v>2006</v>
      </c>
      <c r="E8" s="9">
        <f t="shared" si="0"/>
        <v>109.46001094600551</v>
      </c>
      <c r="F8" s="3" t="str">
        <f>IF(OR(AND(AG8&gt;=AQ$30,AG8&lt;&gt;"",AI8&gt;=AQ$34,AI8&lt;&gt;"",AF8=""),AND(AJ8&gt;=AQ$30,AJ8&lt;&gt;"",AL8&gt;=AQ$34,AL8&lt;&gt;"",AF8=""),AND(AN8&gt;=AQ$30,AN8&lt;&gt;"",AP8&gt;=AQ$34,AP8&lt;&gt;"",AF8=""),AND(BH8&gt;=BR$30,BH8&lt;&gt;"",BJ8&gt;=BR$34,BJ8&lt;&gt;"",BG8=""),AND(BK8&gt;=BR$30,BK8&lt;&gt;"",BM8&gt;=BR$34,BM8&lt;&gt;"",BG8=""),AND(BO8&gt;=BR$30,BO8&lt;&gt;"",BQ8&gt;=BR$34,BQ8&lt;&gt;"",BG8=""),AND(CI8&gt;=CS$30,CI8&lt;&gt;"",CK8&gt;=CS$34,CK8&lt;&gt;"",CH8=""),AND(CL8&gt;=CS$30,CL8&lt;&gt;"",CN8&gt;=CS$34,CN8&lt;&gt;"",CH8=""),AND(CP8&gt;=CS$30,CP8&lt;&gt;"",CR8&gt;=CS$34,CR8&lt;&gt;"",CH8=""),AND(DO8&gt;=EB$30,DO8&lt;&gt;"",DQ8&gt;=EB$34,DQ8&lt;&gt;""),AND(DR8&gt;=EB$30,DR8&lt;&gt;"",DT8&gt;=EB$34,DT8&lt;&gt;""),AND(DV8&gt;=EB$30,DV8&lt;&gt;"",DX8&gt;=EB$34,DX8&lt;&gt;""),AND(DY8&gt;=EB$30,DY8&lt;&gt;"",EA8&gt;=EB$34,EA8&lt;&gt;""),AND(EW8&gt;=FJ$30,EW8&lt;&gt;"",EY8&gt;=FJ$34,EY8&lt;&gt;""),AND(EZ8&gt;=FJ$30,EZ8&lt;&gt;"",FB8&gt;=FJ$34,FB8&lt;&gt;""),AND(FD8&gt;=FJ$30,FD8&lt;&gt;"",FF8&gt;=FJ$34,FF8&lt;&gt;""),AND(FG8&gt;=FJ$30,FG8&lt;&gt;"",FI8&gt;=FJ$34,FI8&lt;&gt;""),AND(GE8&gt;=GR$30,GE8&lt;&gt;"",GG8&gt;=GR$34,GG8&lt;&gt;""),AND(GH8&gt;=GR$30,GH8&lt;&gt;"",GJ8&gt;=GR$34,GJ8&lt;&gt;""),AND(GL8&gt;=GR$30,GL8&lt;&gt;"",GN8&gt;=GR$34,GN8&lt;&gt;""),AND(GO8&gt;=GR$30,GO8&lt;&gt;"",GQ8&gt;=GR$34,GQ8&lt;&gt;""),AND(HM8&gt;=HZ$30,HM8&lt;&gt;"",HO8&gt;=HZ$34,HO8&lt;&gt;""),AND(HP8&gt;=HZ$30,HP8&lt;&gt;"",HR8&gt;=HZ$34,HR8&lt;&gt;""),AND(HT8&gt;=HZ$30,HT8&lt;&gt;"",HV8&gt;=HZ$34,HV8&lt;&gt;""),AND(HW8&gt;=HZ$30,HW8&lt;&gt;"",HY8&gt;=HZ$34,HY8&lt;&gt;""),AND(IU8&gt;=JH$30,IU8&lt;&gt;"",IW8&gt;=JH$34,IW8&lt;&gt;""),AND(IX8&gt;=JH$30,IX8&lt;&gt;"",IZ8&gt;=JH$34,IZ8&lt;&gt;""),AND(JB8&gt;=JH$30,JB8&lt;&gt;"",JD8&gt;=JH$34,JD8&lt;&gt;""),AND(JE8&gt;=JH$30,JE8&lt;&gt;"",JG8&gt;=JH$34,JG8&lt;&gt;""),AND(KC8&gt;=KP$30,KC8&lt;&gt;"",KE8&gt;=KP$34,KE8&lt;&gt;""),AND(KF8&gt;=KP$30,KF8&lt;&gt;"",KH8&gt;=KP$34,KH8&lt;&gt;""),AND(KJ8&gt;=KP$30,KJ8&lt;&gt;"",KL8&gt;=KP$34,KL8&lt;&gt;""),AND(KM8&gt;=KP$30,KM8&lt;&gt;"",KO8&gt;=KP$34,KO8&lt;&gt;""),AND(LK8&gt;=LX$30,LK8&lt;&gt;"",LM8&gt;=LX$34,LM8&lt;&gt;""),AND(LN8&gt;=LX$30,LN8&lt;&gt;"",LP8&gt;=LX$34,LP8&lt;&gt;""),AND(LR8&gt;=LX$30,LR8&lt;&gt;"",LT8&gt;=LX$34,LT8&lt;&gt;""),AND(LU8&gt;=LX$30,LU8&lt;&gt;"",LW8&gt;=LX$34,LW8&lt;&gt;""),AND(MS8&gt;=NF$30,MS8&lt;&gt;"",MU8&gt;=NF$34,MU8&lt;&gt;""),AND(MV8&gt;=NF$30,MV8&lt;&gt;"",MX8&gt;=NF$34,MX8&lt;&gt;""),AND(MZ8&gt;=NF$30,MZ8&lt;&gt;"",NB8&gt;=NF$34,NB8&lt;&gt;""),AND(NC8&gt;=NF$30,NC8&lt;&gt;"",NE8&gt;=NF$34,NE8&lt;&gt;""),AND(OA8&gt;=ON$30,OA8&lt;&gt;"",OC8&gt;=ON$34,OC8&lt;&gt;""),AND(OD8&gt;=ON$30,OD8&lt;&gt;"",OF8&gt;=ON$34,OF8&lt;&gt;""),AND(OH8&gt;=ON$30,OH8&lt;&gt;"",OJ8&gt;=ON$34,OJ8&lt;&gt;""),AND(OK8&gt;=ON$30,OK8&lt;&gt;"",OM8&gt;=ON$34,OM8&lt;&gt;""),AND(PI8&gt;=PV$30,PI8&lt;&gt;"",PK8&gt;=PV$34,PK8&lt;&gt;""),AND(PL8&gt;=PV$30,PL8&lt;&gt;"",PN8&gt;=PV$34,PN8&lt;&gt;""),AND(PP8&gt;=PV$30,PP8&lt;&gt;"",PR8&gt;=PV$34,PR8&lt;&gt;""),AND(PS8&gt;=PV$30,PS8&lt;&gt;"",PU8&gt;=PV$34,PU8&lt;&gt;""),AND(QQ8&gt;=RD$30,QQ8&lt;&gt;"",QS8&gt;=RD$34,QS8&lt;&gt;""),AND(QT8&gt;=RD$30,QT8&lt;&gt;"",QV8&gt;=RD$34,QV8&lt;&gt;""),AND(QX8&gt;=RD$30,QX8&lt;&gt;"",QZ8&gt;=RD$34,QZ8&lt;&gt;""),AND(RA8&gt;=RD$30,RA8&lt;&gt;"",RC8&gt;=RD$34,RC8&lt;&gt;""),AND(RY8&gt;=SL$30,RY8&lt;&gt;"",SA8&gt;=SL$34,SA8&lt;&gt;""),AND(SB8&gt;=SL$30,SB8&lt;&gt;"",SD8&gt;=SL$34,SD8&lt;&gt;""),AND(SF8&gt;=SL$30,SF8&lt;&gt;"",SH8&gt;=SL$34,SH8&lt;&gt;""),AND(SI8&gt;=SL$30,SI8&lt;&gt;"",SK8&gt;=SL$34,SK8&lt;&gt;""),AND(TG8&gt;=TT$30,TG8&lt;&gt;"",TI8&gt;=TT$34,TI8&lt;&gt;""),AND(TJ8&gt;=TT$30,TJ8&lt;&gt;"",TL8&gt;=TT$34,TL8&lt;&gt;""),AND(TN8&gt;=TT$30,TN8&lt;&gt;"",TP8&gt;=TT$34,TXN8&lt;&gt;""),AND(TQ8&gt;=TT$30,TQ8&lt;&gt;"",TS8&gt;=TT$34,TS8&lt;&gt;""),AND(UO8&gt;=VB$30,UO8&lt;&gt;"",UQ8&gt;=VB$34,UQ8&lt;&gt;""),AND(UR8&gt;=VB$30,UR8&lt;&gt;"",UT8&gt;=VB$34,UT8&lt;&gt;""),AND(UV8&gt;=VB$30,UV8&lt;&gt;"",UX8&gt;=VB$34,UX8&lt;&gt;""),AND(UY8&gt;=VB$30,UY8&lt;&gt;"",VA8&gt;=VB$34,VA8&lt;&gt;""),AND(VW8&gt;=WJ$30,VW8&lt;&gt;"",VY8&gt;=WJ$34,VY8&lt;&gt;""),AND(VZ8&gt;=WJ$30,VZ8&lt;&gt;"",WB8&gt;=WJ$34,WB8&lt;&gt;""),AND(WD8&gt;=WJ$30,WD8&lt;&gt;"",WF8&gt;=WJ$34,WF8&lt;&gt;""),AND(WG8&gt;=WJ$30,WG8&lt;&gt;"",WI8&gt;=WJ$34,WI8&lt;&gt;"")),"P","")</f>
        <v>P</v>
      </c>
      <c r="G8" s="3" t="str">
        <f>IF(OR(AND(AI8&gt;=AQ$34,AI8&lt;&gt;"",AF8=""),AND(AL8&gt;=AQ$34,AL8&lt;&gt;"",AF8=""),AND(AP8&gt;=AQ$34,AP8&lt;&gt;"",AF8=""),AND(BJ8&gt;=BR$34,BJ8&lt;&gt;"",BG8=""),AND(BM8&gt;=BR$34,BM8&lt;&gt;"",BG8=""),AND(BQ8&gt;=BR$34,BQ8&lt;&gt;"",BG8=""),AND(CK8&gt;=CS$34,CK8&lt;&gt;"",CH8=""),AND(CN8&gt;=CS$34,CN8&lt;&gt;"",CH8=""),AND(CR8&gt;=CS$34,CR8&lt;&gt;"",CH8=""),AND(DQ8&gt;=EB$34,DQ8&lt;&gt;""),AND(DT8&gt;=EB$34,DT8&lt;&gt;""),AND(DX8&gt;=EB$34,DX8&lt;&gt;""),AND(EA8&gt;=EB$34,EA8&lt;&gt;""),AND(EY8&gt;=FJ$34,EY8&lt;&gt;""),AND(FB8&gt;=FJ$34,FB8&lt;&gt;""),AND(FF8&gt;=FJ$34,FF8&lt;&gt;""),AND(FI8&gt;=FJ$34,FI8&lt;&gt;""),AND(GG8&gt;=GR$34,GG8&lt;&gt;""),AND(GJ8&gt;=GR$34,GJ8&lt;&gt;""),AND(GN8&gt;=GR$34,GN8&lt;&gt;""),AND(GQ8&gt;=GR$34,GQ8&lt;&gt;""),AND(HO8&gt;=HZ$34,HO8&lt;&gt;""),AND(HR8&gt;=HZ$34,HR8&lt;&gt;""),AND(HV8&gt;=HZ$34,HV8&lt;&gt;""),AND(HY8&gt;=HZ$34,HY8&lt;&gt;""),AND(IW8&gt;=JH$34,IW8&lt;&gt;""),AND(IZ8&gt;=JH$34,IZ8&lt;&gt;""),AND(JD8&gt;=JH$34,JD8&lt;&gt;""),AND(JG8&gt;=JH$34,JG8&lt;&gt;""),AND(KE8&gt;=KP$34,KE8&lt;&gt;""),AND(KH8&gt;=KP$34,KH8&lt;&gt;""),AND(KL8&gt;=KP$34,KL8&lt;&gt;""),AND(KO8&gt;=KP$34,KO8&lt;&gt;""),AND(LM8&gt;=LX$34,LM8&lt;&gt;""),AND(LP8&gt;=LX$34,LP8&lt;&gt;""),AND(LT8&gt;=LX$34,LT8&lt;&gt;""),AND(LW8&gt;=LX$34,LW8&lt;&gt;""),AND(MU8&gt;=NF$34,MU8&lt;&gt;""),AND(MX8&gt;=NF$34,MX8&lt;&gt;""),AND(NB8&gt;=NF$34,NB8&lt;&gt;""),AND(NE8&gt;=NF$34,NE8&lt;&gt;""),AND(OC8&gt;=ON$34,OC8&lt;&gt;""),AND(OF8&gt;=ON$34,OF8&lt;&gt;""),AND(OJ8&gt;=ON$34,OJ8&lt;&gt;""),AND(OM8&gt;=ON$34,OM8&lt;&gt;""),AND(PK8&gt;=PV$34,PK8&lt;&gt;""),AND(PN8&gt;=PV$34,PN8&lt;&gt;""),AND(PR8&gt;=PV$34,PR8&lt;&gt;""),AND(PU8&gt;=PV$34,PU8&lt;&gt;""),AND(QS8&gt;=RD$34,QS8&lt;&gt;""),AND(QV8&gt;=RD$34,QV8&lt;&gt;""),AND(QZ8&gt;=RD$34,QZ8&lt;&gt;""),AND(RC8&gt;=RD$34,RC8&lt;&gt;""),AND(SA8&gt;=SL$34,SA8&lt;&gt;""),AND(SD8&gt;=SL$34,SD8&lt;&gt;""),AND(SH8&gt;=SL$34,SH8&lt;&gt;""),AND(SK8&gt;=SL$34,SK8&lt;&gt;""),AND(TI8&gt;=TT$34,TI8&lt;&gt;""),AND(TL8&gt;=TT$34,TL8&lt;&gt;""),AND(TP8&gt;=TT$34,TXN8&lt;&gt;""),AND(TS8&gt;=TT$34,TS8&lt;&gt;""),AND(UQ8&gt;=VB$34,UQ8&lt;&gt;""),AND(UT8&gt;=VB$34,UT8&lt;&gt;""),AND(UX8&gt;=VB$34,UX8&lt;&gt;""),AND(VA8&gt;=VB$34,VA8&lt;&gt;""),AND(VY8&gt;=WJ$34,VY8&lt;&gt;""),AND(WB8&gt;=WJ$34,WB8&lt;&gt;""),AND(WF8&gt;=WJ$34,WF8&lt;&gt;""),AND(WI8&gt;=WJ$34,WI8&lt;&gt;"")),"P","")</f>
        <v>P</v>
      </c>
      <c r="H8" s="32" t="str">
        <f>IF(AND(G8="P",F8=""),"No DD",IF(OR(AND(AG8&gt;=AQ$33,AG8&lt;&gt;"",AI8&gt;=AQ$37,AI8&lt;&gt;"",AF8=""),AND(AJ8&gt;=AQ$33,AJ8&lt;&gt;"",AL8&gt;=AQ$37,AL8&lt;&gt;"",AF8=""),AND(AN8&gt;=AQ$33,AN8&lt;&gt;"",AP8&gt;=AQ$37,AP8&lt;&gt;"",AF8=""),AND(BH8&gt;=BR$33,BH8&lt;&gt;"",BJ8&gt;=BR$37,BJ8&lt;&gt;"",BG8=""),AND(BK8&gt;=BR$33,BK8&lt;&gt;"",BM8&gt;=BR$37,BM8&lt;&gt;"",BG8=""),AND(BO8&gt;=BR$33,BO8&lt;&gt;"",BQ8&gt;=BR$37,BQ8&lt;&gt;"",BG8=""),AND(CI8&gt;=CS$33,CI8&lt;&gt;"",CK8&gt;=CS$37,CK8&lt;&gt;"",CH8=""),AND(CL8&gt;=CS$33,CL8&lt;&gt;"",CN8&gt;=CS$37,CN8&lt;&gt;"",CH8=""),AND(CP8&gt;=CS$33,CP8&lt;&gt;"",CR8&gt;=CS$37,CR8&lt;&gt;"",CH8=""),AND(DO8&gt;=EB$33,DO8&lt;&gt;"",DQ8&gt;=EB$37,DQ8&lt;&gt;""),AND(DR8&gt;=EB$33,DR8&lt;&gt;"",DT8&gt;=EB$37,DT8&lt;&gt;""),AND(DV8&gt;=EB$33,DV8&lt;&gt;"",DX8&gt;=EB$37,DX8&lt;&gt;""),AND(DY8&gt;=EB$33,DY8&lt;&gt;"",EA8&gt;=EB$37,EA8&lt;&gt;""),AND(EW8&gt;=FJ$33,EW8&lt;&gt;"",EY8&gt;=FJ$37,EY8&lt;&gt;""),AND(EZ8&gt;=FJ$33,EZ8&lt;&gt;"",FB8&gt;=FJ$37,FB8&lt;&gt;""),AND(FD8&gt;=FJ$33,FD8&lt;&gt;"",FF8&gt;=FJ$37,FF8&lt;&gt;""),AND(FG8&gt;=FJ$33,FG8&lt;&gt;"",FI8&gt;=FJ$37,FI8&lt;&gt;""),AND(GE8&gt;=GR$33,GE8&lt;&gt;"",GG8&gt;=GR$37,GG8&lt;&gt;""),AND(GH8&gt;=GR$33,GH8&lt;&gt;"",GJ8&gt;=GR$37,GJ8&lt;&gt;""),AND(GL8&gt;=GR$33,GL8&lt;&gt;"",GN8&gt;=GR$37,GN8&lt;&gt;""),AND(GO8&gt;=GR$33,GO8&lt;&gt;"",GQ8&gt;=GR$37,GQ8&lt;&gt;""),AND(HM8&gt;=HZ$33,HM8&lt;&gt;"",HO8&gt;=HZ$37,HO8&lt;&gt;""),AND(HP8&gt;=HZ$33,HP8&lt;&gt;"",HR8&gt;=HZ$37,HR8&lt;&gt;""),AND(HT8&gt;=HZ$33,HT8&lt;&gt;"",HV8&gt;=HZ$37,HV8&lt;&gt;""),AND(HW8&gt;=HZ$33,HW8&lt;&gt;"",HY8&gt;=HZ$37,HY8&lt;&gt;""),AND(IU8&gt;=JH$33,IU8&lt;&gt;"",IW8&gt;=JH$37,IW8&lt;&gt;""),AND(IX8&gt;=JH$33,IX8&lt;&gt;"",IZ8&gt;=JH$37,IZ8&lt;&gt;""),AND(JB8&gt;=JH$33,JB8&lt;&gt;"",JD8&gt;=JH$37,JD8&lt;&gt;""),AND(JE8&gt;=JH$33,JE8&lt;&gt;"",JG8&gt;=JH$37,JG8&lt;&gt;""),AND(KC8&gt;=KP$33,KC8&lt;&gt;"",KE8&gt;=KP$37,KE8&lt;&gt;""),AND(KF8&gt;=KP$33,KF8&lt;&gt;"",KH8&gt;=KP$37,KH8&lt;&gt;""),AND(KJ8&gt;=KP$33,KJ8&lt;&gt;"",KL8&gt;=KP$37,KL8&lt;&gt;""),AND(KM8&gt;=KP$33,KM8&lt;&gt;"",KO8&gt;=KP$37,KO8&lt;&gt;""),AND(LK8&gt;=LX$33,LK8&lt;&gt;"",LM8&gt;=LX$37,LM8&lt;&gt;""),AND(LN8&gt;=LX$33,LN8&lt;&gt;"",LP8&gt;=LX$37,LP8&lt;&gt;""),AND(LR8&gt;=LX$33,LR8&lt;&gt;"",LT8&gt;=LX$37,LT8&lt;&gt;""),AND(LU8&gt;=LX$33,LU8&lt;&gt;"",LW8&gt;=LX$37,LW8&lt;&gt;""),AND(MS8&gt;=NF$33,MS8&lt;&gt;"",MU8&gt;=NF$37,MU8&lt;&gt;""),AND(MV8&gt;=NF$33,MV8&lt;&gt;"",MX8&gt;=NF$37,MX8&lt;&gt;""),AND(MZ8&gt;=NF$33,MZ8&lt;&gt;"",NB8&gt;=NF$37,NB8&lt;&gt;""),AND(NC8&gt;=NF$33,NC8&lt;&gt;"",NE8&gt;=NF$37,NE8&lt;&gt;""),AND(OA8&gt;=ON$33,OA8&lt;&gt;"",OC8&gt;=ON$37,OC8&lt;&gt;""),AND(OD8&gt;=ON$33,OD8&lt;&gt;"",OF8&gt;=ON$37,OF8&lt;&gt;""),AND(OH8&gt;=ON$33,OH8&lt;&gt;"",OJ8&gt;=ON$37,OJ8&lt;&gt;""),AND(OK8&gt;=ON$33,OK8&lt;&gt;"",OM8&gt;=ON$37,OM8&lt;&gt;""),AND(PI8&gt;=PV$33,PI8&lt;&gt;"",PK8&gt;=PV$37,PK8&lt;&gt;""),AND(PL8&gt;=PV$33,PL8&lt;&gt;"",PN8&gt;=PV$37,PN8&lt;&gt;""),AND(PP8&gt;=PV$33,PP8&lt;&gt;"",PR8&gt;=PV$37,PR8&lt;&gt;""),AND(PS8&gt;=PV$33,PS8&lt;&gt;"",PU8&gt;=PV$37,PU8&lt;&gt;""),AND(QQ8&gt;=RD$33,QQ8&lt;&gt;"",QS8&gt;=RD$37,QS8&lt;&gt;""),AND(QT8&gt;=RD$33,QT8&lt;&gt;"",QV8&gt;=RD$37,QV8&lt;&gt;""),AND(QX8&gt;=RD$33,QX8&lt;&gt;"",QZ8&gt;=RD$37,QZ8&lt;&gt;""),AND(RA8&gt;=RD$33,RA8&lt;&gt;"",RC8&gt;=RD$37,RC8&lt;&gt;""),AND(RY8&gt;=SL$33,RY8&lt;&gt;"",SA8&gt;=SL$37,SA8&lt;&gt;""),AND(SB8&gt;=SL$33,SB8&lt;&gt;"",SD8&gt;=SL$37,SD8&lt;&gt;""),AND(SF8&gt;=SL$33,SF8&lt;&gt;"",SH8&gt;=SL$37,SH8&lt;&gt;""),AND(SI8&gt;=SL$33,SI8&lt;&gt;"",SK8&gt;=SL$37,SK8&lt;&gt;""),AND(TG8&gt;=TT$33,TG8&lt;&gt;"",TI8&gt;=TT$37,TI8&lt;&gt;""),AND(TJ8&gt;=TT$33,TJ8&lt;&gt;"",TL8&gt;=TT$37,TL8&lt;&gt;""),AND(TN8&gt;=TT$33,TN8&lt;&gt;"",TP8&gt;=TT$357,TXN8&lt;&gt;""),AND(TQ8&gt;=TT$33,TQ8&lt;&gt;"",TS8&gt;=TT$37,TS8&lt;&gt;""),AND(UO8&gt;=VB$33,UO8&lt;&gt;"",UQ8&gt;=VB$37,UQ8&lt;&gt;""),AND(UR8&gt;=VB$33,UR8&lt;&gt;"",UT8&gt;=VB$37,UT8&lt;&gt;""),AND(UV8&gt;=VB$33,UV8&lt;&gt;"",UX8&gt;=VB$37,UX8&lt;&gt;""),AND(UY8&gt;=VB$33,UY8&lt;&gt;"",VA8&gt;=VB$37,VA8&lt;&gt;""),AND(VW8&gt;=WJ$33,VW8&lt;&gt;"",VY8&gt;=WJ$37,VY8&lt;&gt;""),AND(VZ8&gt;=WJ$33,VZ8&lt;&gt;"",WB8&gt;=WJ$37,WB8&lt;&gt;""),AND(WD8&gt;=WJ$33,WD8&lt;&gt;"",WF8&gt;=WJ$37,WF8&lt;&gt;""),AND(WG8&gt;=WJ$33,WG8&lt;&gt;"",WI8&gt;=WJ$37,WI8&lt;&gt;"")),"Merit",IF(OR(AND(AG8&gt;=AQ$32,AG8&lt;&gt;"",AI8&gt;=AQ$36,AI8&lt;&gt;"",AF8=""),AND(AJ8&gt;=AQ$32,AJ8&lt;&gt;"",AL8&gt;=AQ$36,AL8&lt;&gt;"",AF8=""),AND(AN8&gt;=AQ$32,AN8&lt;&gt;"",AP8&gt;=AQ$36,AP8&lt;&gt;"",AF8=""),AND(BH8&gt;=BR$32,BH8&lt;&gt;"",BJ8&gt;=BR$36,BJ8&lt;&gt;"",BG8=""),AND(BK8&gt;=BR$32,BK8&lt;&gt;"",BM8&gt;=BR$36,BM8&lt;&gt;"",BG8=""),AND(BO8&gt;=BR$32,BO8&lt;&gt;"",BQ8&gt;=BR$36,BQ8&lt;&gt;"",BG8=""),AND(CI8&gt;=CS$32,CI8&lt;&gt;"",CK8&gt;=CS$36,CK8&lt;&gt;"",CH8=""),AND(CL8&gt;=CS$32,CL8&lt;&gt;"",CN8&gt;=CS$36,CN8&lt;&gt;"",CH8=""),AND(CP8&gt;=CS$32,CP8&lt;&gt;"",CR8&gt;=CS$36,CR8&lt;&gt;"",CH8=""),AND(DO8&gt;=EB$32,DO8&lt;&gt;"",DQ8&gt;=EB$36,DQ8&lt;&gt;""),AND(DR8&gt;=EB$32,DR8&lt;&gt;"",DT8&gt;=EB$36,DT8&lt;&gt;""),AND(DV8&gt;=EB$32,DV8&lt;&gt;"",DX8&gt;=EB$36,DX8&lt;&gt;""),AND(DY8&gt;=EB$32,DY8&lt;&gt;"",EA8&gt;=EB$36,EA8&lt;&gt;""),AND(EW8&gt;=FJ$32,EW8&lt;&gt;"",EY8&gt;=FJ$36,EY8&lt;&gt;""),AND(EZ8&gt;=FJ$32,EZ8&lt;&gt;"",FB8&gt;=FJ$36,FB8&lt;&gt;""),AND(FD8&gt;=FJ$32,FD8&lt;&gt;"",FF8&gt;=FJ$36,FF8&lt;&gt;""),AND(FG8&gt;=FJ$32,FG8&lt;&gt;"",FI8&gt;=FJ$36,FI8&lt;&gt;""),AND(GE8&gt;=GR$32,GE8&lt;&gt;"",GG8&gt;=GR$36,GG8&lt;&gt;""),AND(GH8&gt;=GR$32,GH8&lt;&gt;"",GJ8&gt;=GR$36,GJ8&lt;&gt;""),AND(GL8&gt;=GR$32,GL8&lt;&gt;"",GN8&gt;=GR$36,GN8&lt;&gt;""),AND(GO8&gt;=GR$32,GO8&lt;&gt;"",GQ8&gt;=GR$36,GQ8&lt;&gt;""),AND(HM8&gt;=HZ$32,HM8&lt;&gt;"",HO8&gt;=HZ$36,HO8&lt;&gt;""),AND(HP8&gt;=HZ$32,HP8&lt;&gt;"",HR8&gt;=HZ$36,HR8&lt;&gt;""),AND(HT8&gt;=HZ$32,HT8&lt;&gt;"",HV8&gt;=HZ$36,HV8&lt;&gt;""),AND(HW8&gt;=HZ$32,HW8&lt;&gt;"",HY8&gt;=HZ$36,HY8&lt;&gt;""),AND(IU8&gt;=JH$32,IU8&lt;&gt;"",IW8&gt;=JH$36,IW8&lt;&gt;""),AND(IX8&gt;=JH$32,IX8&lt;&gt;"",IZ8&gt;=JH$36,IZ8&lt;&gt;""),AND(JB8&gt;=JH$32,JB8&lt;&gt;"",JD8&gt;=JH$36,JD8&lt;&gt;""),AND(JE8&gt;=JH$32,JE8&lt;&gt;"",JG8&gt;=JH$36,JG8&lt;&gt;""),AND(KC8&gt;=KP$32,KC8&lt;&gt;"",KE8&gt;=KP$36,KE8&lt;&gt;""),AND(KF8&gt;=KP$32,KF8&lt;&gt;"",KH8&gt;=KP$36,KH8&lt;&gt;""),AND(KJ8&gt;=KP$32,KJ8&lt;&gt;"",KL8&gt;=KP$36,KL8&lt;&gt;""),AND(KM8&gt;=KP$32,KM8&lt;&gt;"",KO8&gt;=KP$36,KO8&lt;&gt;""),AND(LK8&gt;=LX$32,LK8&lt;&gt;"",LM8&gt;=LX$36,LM8&lt;&gt;""),AND(LN8&gt;=LX$32,LN8&lt;&gt;"",LP8&gt;=LX$36,LP8&lt;&gt;""),AND(LR8&gt;=LX$32,LR8&lt;&gt;"",LT8&gt;=LX$36,LT8&lt;&gt;""),AND(LU8&gt;=LX$32,LU8&lt;&gt;"",LW8&gt;=LX$36,LW8&lt;&gt;""),AND(MS8&gt;=NF$32,MS8&lt;&gt;"",MU8&gt;=NF$36,MU8&lt;&gt;""),AND(MV8&gt;=NF$32,MV8&lt;&gt;"",MX8&gt;=NF$36,MX8&lt;&gt;""),AND(MZ8&gt;=NF$32,MZ8&lt;&gt;"",NB8&gt;=NF$36,NB8&lt;&gt;""),AND(NC8&gt;=NF$32,NC8&lt;&gt;"",NE8&gt;=NF$36,NE8&lt;&gt;""),AND(OA8&gt;=ON$32,OA8&lt;&gt;"",OC8&gt;=ON$36,OC8&lt;&gt;""),AND(OD8&gt;=ON$32,OD8&lt;&gt;"",OF8&gt;=ON$36,OF8&lt;&gt;""),AND(OH8&gt;=ON$32,OH8&lt;&gt;"",OJ8&gt;=ON$36,OJ8&lt;&gt;""),AND(OK8&gt;=ON$32,OK8&lt;&gt;"",OM8&gt;=ON$36,OM8&lt;&gt;""),AND(PI8&gt;=PV$32,PI8&lt;&gt;"",PK8&gt;=PV$36,PK8&lt;&gt;""),AND(PL8&gt;=PV$32,PL8&lt;&gt;"",PN8&gt;=PV$36,PN8&lt;&gt;""),AND(PP8&gt;=PV$32,PP8&lt;&gt;"",PR8&gt;=PV$36,PR8&lt;&gt;""),AND(PS8&gt;=PV$32,PS8&lt;&gt;"",PU8&gt;=PV$36,PU8&lt;&gt;""),AND(QQ8&gt;=RD$32,QQ8&lt;&gt;"",QS8&gt;=RD$36,QS8&lt;&gt;""),AND(QT8&gt;=RD$32,QT8&lt;&gt;"",QV8&gt;=RD$36,QV8&lt;&gt;""),AND(QX8&gt;=RD$32,QX8&lt;&gt;"",QZ8&gt;=RD$36,QZ8&lt;&gt;""),AND(RA8&gt;=RD$32,RA8&lt;&gt;"",RC8&gt;=RD$36,RC8&lt;&gt;""),AND(RY8&gt;=SL$32,RY8&lt;&gt;"",SA8&gt;=SL$36,SA8&lt;&gt;""),AND(SB8&gt;=SL$32,SB8&lt;&gt;"",SD8&gt;=SL$36,SD8&lt;&gt;""),AND(SF8&gt;=SL$32,SF8&lt;&gt;"",SH8&gt;=SL$36,SH8&lt;&gt;""),AND(SI8&gt;=SL$32,SI8&lt;&gt;"",SK8&gt;=SL$36,SK8&lt;&gt;""),AND(TG8&gt;=TT$32,TG8&lt;&gt;"",TI8&gt;=TT$36,TI8&lt;&gt;""),AND(TJ8&gt;=TT$32,TJ8&lt;&gt;"",TL8&gt;=TT$36,TL8&lt;&gt;""),AND(TN8&gt;=TT$32,TN8&lt;&gt;"",TP8&gt;=TT$36,TXN8&lt;&gt;""),AND(TQ8&gt;=TT$32,TQ8&lt;&gt;"",TS8&gt;=TT$36,TS8&lt;&gt;""),AND(UO8&gt;=VB$32,UO8&lt;&gt;"",UQ8&gt;=VB$36,UQ8&lt;&gt;""),AND(UR8&gt;=VB$32,UR8&lt;&gt;"",UT8&gt;=VB$36,UT8&lt;&gt;""),AND(UV8&gt;=VB$32,UV8&lt;&gt;"",UX8&gt;=VB$36,UX8&lt;&gt;""),AND(UY8&gt;=VB$32,UY8&lt;&gt;"",VA8&gt;=VB$36,VA8&lt;&gt;""),AND(VW8&gt;=WJ$32,VW8&lt;&gt;"",VY8&gt;=WJ$36,VY8&lt;&gt;""),AND(VZ8&gt;=WJ$32,VZ8&lt;&gt;"",WB8&gt;=WJ$36,WB8&lt;&gt;""),AND(WD8&gt;=WJ$32,WD8&lt;&gt;"",WF8&gt;=WJ$36,WF8&lt;&gt;""),AND(WG8&gt;=WJ$32,WG8&lt;&gt;"",WI8&gt;=WJ$36,WI8&lt;&gt;"")),"Excellence",IF(I8="P","National Team",IF(F8="P","National Team","")))))</f>
        <v>National Team</v>
      </c>
      <c r="I8" s="3" t="str">
        <f>IF(COUNTIFS('Senior-M'!B:B,B8,'Senior-M'!A:A,"&lt;9",'Senior-M'!H:H,"&lt;&gt;"&amp;"No DD"),"P","")</f>
        <v/>
      </c>
      <c r="J8" s="8">
        <f t="shared" si="1"/>
        <v>55.05</v>
      </c>
      <c r="K8" s="8" t="str">
        <f t="shared" si="2"/>
        <v>2025 3rd Domestic Trial</v>
      </c>
      <c r="L8" s="8">
        <f>IFERROR(LARGE((AI8,AL8,AP8,BJ8,BM8,BQ8,CK8,CN8,CR8),2),0)</f>
        <v>54.410000000000004</v>
      </c>
      <c r="M8" s="8" t="str">
        <f t="shared" si="3"/>
        <v>2025 3rd Domestic Trial</v>
      </c>
      <c r="N8" s="8">
        <f t="shared" si="4"/>
        <v>0</v>
      </c>
      <c r="O8" s="11" t="str">
        <f>IF(N8=0,"",IF(N8=CT8,"("&amp;CT$2&amp;")",IF(N8=#REF!,"("&amp;#REF!&amp;")")))</f>
        <v/>
      </c>
      <c r="P8" s="8" t="str">
        <f t="shared" si="5"/>
        <v/>
      </c>
      <c r="Q8" s="18">
        <v>2.7</v>
      </c>
      <c r="R8" s="18">
        <v>1.9</v>
      </c>
      <c r="S8" s="18">
        <v>3.5</v>
      </c>
      <c r="T8" s="18">
        <v>3.26</v>
      </c>
      <c r="U8" s="18">
        <v>0</v>
      </c>
      <c r="V8" s="18">
        <v>10.9</v>
      </c>
      <c r="W8" s="18">
        <v>9.1999999999999993</v>
      </c>
      <c r="X8" s="18">
        <v>15.1</v>
      </c>
      <c r="Y8" s="18">
        <v>15.1</v>
      </c>
      <c r="Z8" s="18">
        <v>0</v>
      </c>
      <c r="AA8" s="18"/>
      <c r="AB8" s="18"/>
      <c r="AC8" s="18"/>
      <c r="AD8" s="18"/>
      <c r="AE8" s="18"/>
      <c r="AF8" s="23"/>
      <c r="AG8" s="34">
        <f t="shared" si="6"/>
        <v>3.5</v>
      </c>
      <c r="AH8" s="34">
        <f t="shared" si="7"/>
        <v>3.26</v>
      </c>
      <c r="AI8" s="36">
        <f t="shared" si="8"/>
        <v>11.36</v>
      </c>
      <c r="AJ8" s="36">
        <f t="shared" si="9"/>
        <v>15.1</v>
      </c>
      <c r="AK8" s="36">
        <f t="shared" si="10"/>
        <v>15.1</v>
      </c>
      <c r="AL8" s="36">
        <f t="shared" si="11"/>
        <v>50.300000000000004</v>
      </c>
      <c r="AM8" s="36">
        <f t="shared" si="12"/>
        <v>50.300000000000004</v>
      </c>
      <c r="AN8" s="36" t="str">
        <f t="shared" si="13"/>
        <v/>
      </c>
      <c r="AO8" s="36" t="str">
        <f t="shared" si="14"/>
        <v/>
      </c>
      <c r="AP8" s="36" t="str">
        <f t="shared" si="15"/>
        <v/>
      </c>
      <c r="AQ8" s="36">
        <f t="shared" si="16"/>
        <v>50.300000000000004</v>
      </c>
      <c r="AR8" s="22">
        <v>14.4</v>
      </c>
      <c r="AS8" s="22">
        <v>9.3000000000000007</v>
      </c>
      <c r="AT8" s="22">
        <v>15.3</v>
      </c>
      <c r="AU8" s="22">
        <v>16.05</v>
      </c>
      <c r="AV8" s="22">
        <v>0</v>
      </c>
      <c r="AW8" s="22">
        <v>13</v>
      </c>
      <c r="AX8" s="22">
        <v>9.1999999999999993</v>
      </c>
      <c r="AY8" s="22">
        <v>16</v>
      </c>
      <c r="AZ8" s="22">
        <v>16.21</v>
      </c>
      <c r="BA8" s="22">
        <v>0</v>
      </c>
      <c r="BB8" s="22">
        <v>10.199999999999999</v>
      </c>
      <c r="BC8" s="22">
        <v>6.6</v>
      </c>
      <c r="BD8" s="22">
        <v>11.7</v>
      </c>
      <c r="BE8" s="22">
        <v>12.39</v>
      </c>
      <c r="BF8" s="22">
        <v>0</v>
      </c>
      <c r="BG8" s="24"/>
      <c r="BH8" s="35">
        <f t="shared" si="17"/>
        <v>15.3</v>
      </c>
      <c r="BI8" s="35">
        <f t="shared" si="18"/>
        <v>16.05</v>
      </c>
      <c r="BJ8" s="11">
        <f t="shared" si="19"/>
        <v>55.05</v>
      </c>
      <c r="BK8" s="11">
        <f t="shared" si="20"/>
        <v>16</v>
      </c>
      <c r="BL8" s="11">
        <f t="shared" si="21"/>
        <v>16.21</v>
      </c>
      <c r="BM8" s="11">
        <f t="shared" si="22"/>
        <v>54.410000000000004</v>
      </c>
      <c r="BN8" s="11">
        <f t="shared" si="23"/>
        <v>55.05</v>
      </c>
      <c r="BO8" s="11">
        <f t="shared" si="24"/>
        <v>11.7</v>
      </c>
      <c r="BP8" s="11">
        <f t="shared" si="25"/>
        <v>12.39</v>
      </c>
      <c r="BQ8" s="11">
        <f t="shared" si="26"/>
        <v>40.89</v>
      </c>
      <c r="BR8" s="11">
        <f t="shared" si="27"/>
        <v>95.94</v>
      </c>
      <c r="BS8" s="18">
        <v>2.8</v>
      </c>
      <c r="BT8" s="18">
        <v>1.8</v>
      </c>
      <c r="BU8" s="18">
        <v>3.5</v>
      </c>
      <c r="BV8" s="18">
        <v>3.34</v>
      </c>
      <c r="BW8" s="18">
        <v>0</v>
      </c>
      <c r="BX8" s="18">
        <v>13.6</v>
      </c>
      <c r="BY8" s="18">
        <v>9.3000000000000007</v>
      </c>
      <c r="BZ8" s="18">
        <v>14.9</v>
      </c>
      <c r="CA8" s="18">
        <v>15.52</v>
      </c>
      <c r="CB8" s="18">
        <v>0</v>
      </c>
      <c r="CC8" s="18">
        <v>10.9</v>
      </c>
      <c r="CD8" s="18">
        <v>6.5</v>
      </c>
      <c r="CE8" s="18">
        <v>10.6</v>
      </c>
      <c r="CF8" s="18">
        <v>11.24</v>
      </c>
      <c r="CG8" s="18">
        <v>0</v>
      </c>
      <c r="CH8" s="23"/>
      <c r="CI8" s="34">
        <f t="shared" si="28"/>
        <v>3.5</v>
      </c>
      <c r="CJ8" s="34">
        <f t="shared" si="29"/>
        <v>3.34</v>
      </c>
      <c r="CK8" s="36">
        <f t="shared" si="30"/>
        <v>11.44</v>
      </c>
      <c r="CL8" s="36">
        <f t="shared" si="31"/>
        <v>14.9</v>
      </c>
      <c r="CM8" s="36">
        <f t="shared" si="32"/>
        <v>15.52</v>
      </c>
      <c r="CN8" s="36">
        <f t="shared" si="33"/>
        <v>53.319999999999993</v>
      </c>
      <c r="CO8" s="36">
        <f t="shared" si="34"/>
        <v>53.319999999999993</v>
      </c>
      <c r="CP8" s="36">
        <f t="shared" si="35"/>
        <v>10.6</v>
      </c>
      <c r="CQ8" s="36">
        <f t="shared" si="36"/>
        <v>11.24</v>
      </c>
      <c r="CR8" s="36">
        <f t="shared" si="37"/>
        <v>39.24</v>
      </c>
      <c r="CS8" s="36">
        <f t="shared" si="38"/>
        <v>92.56</v>
      </c>
      <c r="CT8" s="47" t="str">
        <f t="shared" si="39"/>
        <v/>
      </c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36" t="str">
        <f t="shared" si="40"/>
        <v/>
      </c>
      <c r="DP8" s="36" t="str">
        <f t="shared" si="41"/>
        <v/>
      </c>
      <c r="DQ8" s="36" t="str">
        <f t="shared" si="42"/>
        <v/>
      </c>
      <c r="DR8" s="36" t="str">
        <f t="shared" si="43"/>
        <v/>
      </c>
      <c r="DS8" s="36" t="str">
        <f t="shared" si="44"/>
        <v/>
      </c>
      <c r="DT8" s="36" t="str">
        <f t="shared" si="45"/>
        <v/>
      </c>
      <c r="DU8" s="36" t="str">
        <f t="shared" si="46"/>
        <v/>
      </c>
      <c r="DV8" s="36" t="str">
        <f t="shared" si="47"/>
        <v/>
      </c>
      <c r="DW8" s="36" t="str">
        <f t="shared" si="48"/>
        <v/>
      </c>
      <c r="DX8" s="36" t="str">
        <f t="shared" si="49"/>
        <v/>
      </c>
      <c r="DY8" s="36" t="str">
        <f t="shared" si="50"/>
        <v/>
      </c>
      <c r="DZ8" s="36" t="str">
        <f t="shared" si="51"/>
        <v/>
      </c>
      <c r="EA8" s="36" t="str">
        <f t="shared" si="52"/>
        <v/>
      </c>
      <c r="EB8" s="36" t="str">
        <f t="shared" si="53"/>
        <v/>
      </c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1" t="str">
        <f t="shared" si="54"/>
        <v/>
      </c>
      <c r="EX8" s="11" t="str">
        <f t="shared" si="55"/>
        <v/>
      </c>
      <c r="EY8" s="11" t="str">
        <f t="shared" si="56"/>
        <v/>
      </c>
      <c r="EZ8" s="11" t="str">
        <f t="shared" si="57"/>
        <v/>
      </c>
      <c r="FA8" s="11" t="str">
        <f t="shared" si="58"/>
        <v/>
      </c>
      <c r="FB8" s="11" t="str">
        <f t="shared" si="59"/>
        <v/>
      </c>
      <c r="FC8" s="11" t="str">
        <f t="shared" si="60"/>
        <v/>
      </c>
      <c r="FD8" s="11" t="str">
        <f t="shared" si="61"/>
        <v/>
      </c>
      <c r="FE8" s="11" t="str">
        <f t="shared" si="62"/>
        <v/>
      </c>
      <c r="FF8" s="11" t="str">
        <f t="shared" si="63"/>
        <v/>
      </c>
      <c r="FG8" s="11" t="str">
        <f t="shared" si="64"/>
        <v/>
      </c>
      <c r="FH8" s="11" t="str">
        <f t="shared" si="65"/>
        <v/>
      </c>
      <c r="FI8" s="11" t="str">
        <f t="shared" si="66"/>
        <v/>
      </c>
      <c r="FJ8" s="11" t="str">
        <f t="shared" si="67"/>
        <v/>
      </c>
      <c r="FK8" s="15">
        <v>11.7</v>
      </c>
      <c r="FL8" s="15">
        <v>9.3000000000000007</v>
      </c>
      <c r="FM8" s="15">
        <v>14.7</v>
      </c>
      <c r="FN8" s="15">
        <v>15.66</v>
      </c>
      <c r="FO8" s="15">
        <v>0</v>
      </c>
      <c r="FP8" s="15">
        <v>12.2</v>
      </c>
      <c r="FQ8" s="15">
        <v>9</v>
      </c>
      <c r="FR8" s="15">
        <v>14.9</v>
      </c>
      <c r="FS8" s="15">
        <v>15.38</v>
      </c>
      <c r="FT8" s="15">
        <v>0</v>
      </c>
      <c r="FU8" s="15">
        <v>1.4</v>
      </c>
      <c r="FV8" s="15">
        <v>0.9</v>
      </c>
      <c r="FW8" s="15">
        <v>2</v>
      </c>
      <c r="FX8" s="15">
        <v>1.75</v>
      </c>
      <c r="FY8" s="15">
        <v>0</v>
      </c>
      <c r="FZ8" s="15"/>
      <c r="GA8" s="15"/>
      <c r="GB8" s="15"/>
      <c r="GC8" s="15"/>
      <c r="GD8" s="15"/>
      <c r="GE8" s="36">
        <f t="shared" si="68"/>
        <v>14.7</v>
      </c>
      <c r="GF8" s="36">
        <f t="shared" si="69"/>
        <v>15.66</v>
      </c>
      <c r="GG8" s="36">
        <f t="shared" si="70"/>
        <v>51.36</v>
      </c>
      <c r="GH8" s="36">
        <f t="shared" si="71"/>
        <v>14.9</v>
      </c>
      <c r="GI8" s="36">
        <f t="shared" si="72"/>
        <v>15.38</v>
      </c>
      <c r="GJ8" s="36">
        <f t="shared" si="73"/>
        <v>51.480000000000004</v>
      </c>
      <c r="GK8" s="36">
        <f t="shared" si="74"/>
        <v>51.480000000000004</v>
      </c>
      <c r="GL8" s="36">
        <f t="shared" si="75"/>
        <v>2</v>
      </c>
      <c r="GM8" s="36">
        <f t="shared" si="76"/>
        <v>1.75</v>
      </c>
      <c r="GN8" s="36">
        <f t="shared" si="77"/>
        <v>6.05</v>
      </c>
      <c r="GO8" s="36" t="str">
        <f t="shared" si="78"/>
        <v/>
      </c>
      <c r="GP8" s="36" t="str">
        <f t="shared" si="79"/>
        <v/>
      </c>
      <c r="GQ8" s="36" t="str">
        <f t="shared" si="80"/>
        <v/>
      </c>
      <c r="GR8" s="36">
        <f t="shared" si="81"/>
        <v>57.53</v>
      </c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1" t="str">
        <f t="shared" si="82"/>
        <v/>
      </c>
      <c r="HN8" s="11" t="str">
        <f t="shared" si="83"/>
        <v/>
      </c>
      <c r="HO8" s="11" t="str">
        <f t="shared" si="84"/>
        <v/>
      </c>
      <c r="HP8" s="11" t="str">
        <f t="shared" si="85"/>
        <v/>
      </c>
      <c r="HQ8" s="11" t="str">
        <f t="shared" si="86"/>
        <v/>
      </c>
      <c r="HR8" s="11" t="str">
        <f t="shared" si="87"/>
        <v/>
      </c>
      <c r="HS8" s="11" t="str">
        <f t="shared" si="88"/>
        <v/>
      </c>
      <c r="HT8" s="11" t="str">
        <f t="shared" si="89"/>
        <v/>
      </c>
      <c r="HU8" s="11" t="str">
        <f t="shared" si="90"/>
        <v/>
      </c>
      <c r="HV8" s="11" t="str">
        <f t="shared" si="91"/>
        <v/>
      </c>
      <c r="HW8" s="11" t="str">
        <f t="shared" si="92"/>
        <v/>
      </c>
      <c r="HX8" s="11" t="str">
        <f t="shared" si="93"/>
        <v/>
      </c>
      <c r="HY8" s="11" t="str">
        <f t="shared" si="94"/>
        <v/>
      </c>
      <c r="HZ8" s="11" t="str">
        <f t="shared" si="95"/>
        <v/>
      </c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36" t="str">
        <f t="shared" si="96"/>
        <v/>
      </c>
      <c r="IV8" s="36" t="str">
        <f t="shared" si="97"/>
        <v/>
      </c>
      <c r="IW8" s="36" t="str">
        <f t="shared" si="98"/>
        <v/>
      </c>
      <c r="IX8" s="36" t="str">
        <f t="shared" si="99"/>
        <v/>
      </c>
      <c r="IY8" s="36" t="str">
        <f t="shared" si="100"/>
        <v/>
      </c>
      <c r="IZ8" s="36" t="str">
        <f t="shared" si="101"/>
        <v/>
      </c>
      <c r="JA8" s="36" t="str">
        <f t="shared" si="102"/>
        <v/>
      </c>
      <c r="JB8" s="36" t="str">
        <f t="shared" si="103"/>
        <v/>
      </c>
      <c r="JC8" s="36" t="str">
        <f t="shared" si="104"/>
        <v/>
      </c>
      <c r="JD8" s="36" t="str">
        <f t="shared" si="105"/>
        <v/>
      </c>
      <c r="JE8" s="36" t="str">
        <f t="shared" si="106"/>
        <v/>
      </c>
      <c r="JF8" s="36" t="str">
        <f t="shared" si="107"/>
        <v/>
      </c>
      <c r="JG8" s="36" t="str">
        <f t="shared" si="108"/>
        <v/>
      </c>
      <c r="JH8" s="36" t="str">
        <f t="shared" si="109"/>
        <v/>
      </c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1" t="str">
        <f t="shared" si="110"/>
        <v/>
      </c>
      <c r="KD8" s="11" t="str">
        <f t="shared" si="111"/>
        <v/>
      </c>
      <c r="KE8" s="11" t="str">
        <f t="shared" si="112"/>
        <v/>
      </c>
      <c r="KF8" s="11" t="str">
        <f t="shared" si="113"/>
        <v/>
      </c>
      <c r="KG8" s="11" t="str">
        <f t="shared" si="114"/>
        <v/>
      </c>
      <c r="KH8" s="11" t="str">
        <f t="shared" si="115"/>
        <v/>
      </c>
      <c r="KI8" s="11" t="str">
        <f t="shared" si="116"/>
        <v/>
      </c>
      <c r="KJ8" s="11" t="str">
        <f t="shared" si="117"/>
        <v/>
      </c>
      <c r="KK8" s="11" t="str">
        <f t="shared" si="118"/>
        <v/>
      </c>
      <c r="KL8" s="11" t="str">
        <f t="shared" si="119"/>
        <v/>
      </c>
      <c r="KM8" s="11" t="str">
        <f t="shared" si="120"/>
        <v/>
      </c>
      <c r="KN8" s="11" t="str">
        <f t="shared" si="121"/>
        <v/>
      </c>
      <c r="KO8" s="11" t="str">
        <f t="shared" si="122"/>
        <v/>
      </c>
      <c r="KP8" s="11" t="str">
        <f t="shared" si="123"/>
        <v/>
      </c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36" t="str">
        <f t="shared" si="124"/>
        <v/>
      </c>
      <c r="LL8" s="36" t="str">
        <f t="shared" si="125"/>
        <v/>
      </c>
      <c r="LM8" s="36" t="str">
        <f t="shared" si="126"/>
        <v/>
      </c>
      <c r="LN8" s="36" t="str">
        <f t="shared" si="127"/>
        <v/>
      </c>
      <c r="LO8" s="36" t="str">
        <f t="shared" si="128"/>
        <v/>
      </c>
      <c r="LP8" s="36" t="str">
        <f t="shared" si="129"/>
        <v/>
      </c>
      <c r="LQ8" s="36" t="str">
        <f t="shared" si="130"/>
        <v/>
      </c>
      <c r="LR8" s="36" t="str">
        <f t="shared" si="131"/>
        <v/>
      </c>
      <c r="LS8" s="36" t="str">
        <f t="shared" si="132"/>
        <v/>
      </c>
      <c r="LT8" s="36" t="str">
        <f t="shared" si="133"/>
        <v/>
      </c>
      <c r="LU8" s="36" t="str">
        <f t="shared" si="134"/>
        <v/>
      </c>
      <c r="LV8" s="36" t="str">
        <f t="shared" si="135"/>
        <v/>
      </c>
      <c r="LW8" s="36" t="str">
        <f t="shared" si="136"/>
        <v/>
      </c>
      <c r="LX8" s="36" t="str">
        <f t="shared" si="137"/>
        <v/>
      </c>
      <c r="LY8" s="16">
        <v>15.3</v>
      </c>
      <c r="LZ8" s="16">
        <v>9.6</v>
      </c>
      <c r="MA8" s="16">
        <v>3</v>
      </c>
      <c r="MB8" s="16">
        <v>15.83</v>
      </c>
      <c r="MC8" s="16">
        <v>0</v>
      </c>
      <c r="MD8" s="16">
        <v>12.7</v>
      </c>
      <c r="ME8" s="16">
        <v>9.1</v>
      </c>
      <c r="MF8" s="16">
        <v>12.2</v>
      </c>
      <c r="MG8" s="16">
        <v>15.36</v>
      </c>
      <c r="MH8" s="16">
        <v>0</v>
      </c>
      <c r="MI8" s="16"/>
      <c r="MJ8" s="16"/>
      <c r="MK8" s="16"/>
      <c r="ML8" s="16"/>
      <c r="MM8" s="16"/>
      <c r="MN8" s="16"/>
      <c r="MO8" s="16"/>
      <c r="MP8" s="16"/>
      <c r="MQ8" s="16"/>
      <c r="MR8" s="16"/>
      <c r="MS8" s="11">
        <f t="shared" si="138"/>
        <v>3</v>
      </c>
      <c r="MT8" s="11">
        <f t="shared" si="139"/>
        <v>15.83</v>
      </c>
      <c r="MU8" s="11">
        <f t="shared" si="140"/>
        <v>43.73</v>
      </c>
      <c r="MV8" s="11">
        <f t="shared" si="141"/>
        <v>12.2</v>
      </c>
      <c r="MW8" s="11">
        <f t="shared" si="142"/>
        <v>15.36</v>
      </c>
      <c r="MX8" s="11">
        <f t="shared" si="143"/>
        <v>49.36</v>
      </c>
      <c r="MY8" s="11">
        <f t="shared" si="144"/>
        <v>49.36</v>
      </c>
      <c r="MZ8" s="11" t="str">
        <f t="shared" si="145"/>
        <v/>
      </c>
      <c r="NA8" s="11" t="str">
        <f t="shared" si="146"/>
        <v/>
      </c>
      <c r="NB8" s="11" t="str">
        <f t="shared" si="147"/>
        <v/>
      </c>
      <c r="NC8" s="11" t="str">
        <f t="shared" si="148"/>
        <v/>
      </c>
      <c r="ND8" s="11" t="str">
        <f t="shared" si="149"/>
        <v/>
      </c>
      <c r="NE8" s="11" t="str">
        <f t="shared" si="150"/>
        <v/>
      </c>
      <c r="NF8" s="11">
        <f t="shared" si="151"/>
        <v>49.36</v>
      </c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36" t="str">
        <f t="shared" si="152"/>
        <v/>
      </c>
      <c r="OB8" s="36" t="str">
        <f t="shared" si="153"/>
        <v/>
      </c>
      <c r="OC8" s="36" t="str">
        <f t="shared" si="154"/>
        <v/>
      </c>
      <c r="OD8" s="36" t="str">
        <f t="shared" si="155"/>
        <v/>
      </c>
      <c r="OE8" s="36" t="str">
        <f t="shared" si="156"/>
        <v/>
      </c>
      <c r="OF8" s="36" t="str">
        <f t="shared" si="157"/>
        <v/>
      </c>
      <c r="OG8" s="36" t="str">
        <f t="shared" si="158"/>
        <v/>
      </c>
      <c r="OH8" s="36" t="str">
        <f t="shared" si="159"/>
        <v/>
      </c>
      <c r="OI8" s="36" t="str">
        <f t="shared" si="160"/>
        <v/>
      </c>
      <c r="OJ8" s="36" t="str">
        <f t="shared" si="161"/>
        <v/>
      </c>
      <c r="OK8" s="36" t="str">
        <f t="shared" si="162"/>
        <v/>
      </c>
      <c r="OL8" s="36" t="str">
        <f t="shared" si="163"/>
        <v/>
      </c>
      <c r="OM8" s="36" t="str">
        <f t="shared" si="164"/>
        <v/>
      </c>
      <c r="ON8" s="36" t="str">
        <f t="shared" si="165"/>
        <v/>
      </c>
      <c r="OO8" s="16"/>
      <c r="OP8" s="16"/>
      <c r="OQ8" s="16"/>
      <c r="OR8" s="16"/>
      <c r="OS8" s="16"/>
      <c r="OT8" s="16"/>
      <c r="OU8" s="16"/>
      <c r="OV8" s="16"/>
      <c r="OW8" s="16"/>
      <c r="OX8" s="16"/>
      <c r="OY8" s="16"/>
      <c r="OZ8" s="16"/>
      <c r="PA8" s="16"/>
      <c r="PB8" s="16"/>
      <c r="PC8" s="16"/>
      <c r="PD8" s="16"/>
      <c r="PE8" s="16"/>
      <c r="PF8" s="16"/>
      <c r="PG8" s="16"/>
      <c r="PH8" s="16"/>
      <c r="PI8" s="11" t="str">
        <f t="shared" si="166"/>
        <v/>
      </c>
      <c r="PJ8" s="11" t="str">
        <f t="shared" si="167"/>
        <v/>
      </c>
      <c r="PK8" s="11" t="str">
        <f t="shared" si="168"/>
        <v/>
      </c>
      <c r="PL8" s="11" t="str">
        <f t="shared" si="169"/>
        <v/>
      </c>
      <c r="PM8" s="11" t="str">
        <f t="shared" si="170"/>
        <v/>
      </c>
      <c r="PN8" s="11" t="str">
        <f t="shared" si="171"/>
        <v/>
      </c>
      <c r="PO8" s="11" t="str">
        <f t="shared" si="172"/>
        <v/>
      </c>
      <c r="PP8" s="11" t="str">
        <f t="shared" si="173"/>
        <v/>
      </c>
      <c r="PQ8" s="11" t="str">
        <f t="shared" si="174"/>
        <v/>
      </c>
      <c r="PR8" s="11" t="str">
        <f t="shared" si="175"/>
        <v/>
      </c>
      <c r="PS8" s="11" t="str">
        <f t="shared" si="176"/>
        <v/>
      </c>
      <c r="PT8" s="11" t="str">
        <f t="shared" si="177"/>
        <v/>
      </c>
      <c r="PU8" s="11" t="str">
        <f t="shared" si="178"/>
        <v/>
      </c>
      <c r="PV8" s="11" t="str">
        <f t="shared" si="179"/>
        <v/>
      </c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36" t="str">
        <f t="shared" si="180"/>
        <v/>
      </c>
      <c r="QR8" s="36" t="str">
        <f t="shared" si="181"/>
        <v/>
      </c>
      <c r="QS8" s="36" t="str">
        <f t="shared" si="182"/>
        <v/>
      </c>
      <c r="QT8" s="36" t="str">
        <f t="shared" si="183"/>
        <v/>
      </c>
      <c r="QU8" s="36" t="str">
        <f t="shared" si="184"/>
        <v/>
      </c>
      <c r="QV8" s="36" t="str">
        <f t="shared" si="185"/>
        <v/>
      </c>
      <c r="QW8" s="36" t="str">
        <f t="shared" si="186"/>
        <v/>
      </c>
      <c r="QX8" s="36" t="str">
        <f t="shared" si="187"/>
        <v/>
      </c>
      <c r="QY8" s="36" t="str">
        <f t="shared" si="188"/>
        <v/>
      </c>
      <c r="QZ8" s="36" t="str">
        <f t="shared" si="189"/>
        <v/>
      </c>
      <c r="RA8" s="36" t="str">
        <f t="shared" si="190"/>
        <v/>
      </c>
      <c r="RB8" s="36" t="str">
        <f t="shared" si="191"/>
        <v/>
      </c>
      <c r="RC8" s="36" t="str">
        <f t="shared" si="192"/>
        <v/>
      </c>
      <c r="RD8" s="36" t="str">
        <f t="shared" si="193"/>
        <v/>
      </c>
      <c r="RE8" s="16"/>
      <c r="RF8" s="16"/>
      <c r="RG8" s="16"/>
      <c r="RH8" s="16"/>
      <c r="RI8" s="16"/>
      <c r="RJ8" s="16"/>
      <c r="RK8" s="16"/>
      <c r="RL8" s="16"/>
      <c r="RM8" s="16"/>
      <c r="RN8" s="16"/>
      <c r="RO8" s="16"/>
      <c r="RP8" s="16"/>
      <c r="RQ8" s="16"/>
      <c r="RR8" s="16"/>
      <c r="RS8" s="16"/>
      <c r="RT8" s="16"/>
      <c r="RU8" s="16"/>
      <c r="RV8" s="16"/>
      <c r="RW8" s="16"/>
      <c r="RX8" s="16"/>
      <c r="RY8" s="11" t="str">
        <f t="shared" si="194"/>
        <v/>
      </c>
      <c r="RZ8" s="11" t="str">
        <f t="shared" si="195"/>
        <v/>
      </c>
      <c r="SA8" s="11" t="str">
        <f t="shared" si="196"/>
        <v/>
      </c>
      <c r="SB8" s="11" t="str">
        <f t="shared" si="197"/>
        <v/>
      </c>
      <c r="SC8" s="11" t="str">
        <f t="shared" si="198"/>
        <v/>
      </c>
      <c r="SD8" s="11" t="str">
        <f t="shared" si="199"/>
        <v/>
      </c>
      <c r="SE8" s="11" t="str">
        <f t="shared" si="200"/>
        <v/>
      </c>
      <c r="SF8" s="11" t="str">
        <f t="shared" si="201"/>
        <v/>
      </c>
      <c r="SG8" s="11" t="str">
        <f t="shared" si="202"/>
        <v/>
      </c>
      <c r="SH8" s="11" t="str">
        <f t="shared" si="203"/>
        <v/>
      </c>
      <c r="SI8" s="11" t="str">
        <f t="shared" si="204"/>
        <v/>
      </c>
      <c r="SJ8" s="11" t="str">
        <f t="shared" si="205"/>
        <v/>
      </c>
      <c r="SK8" s="11" t="str">
        <f t="shared" si="206"/>
        <v/>
      </c>
      <c r="SL8" s="11" t="str">
        <f t="shared" si="207"/>
        <v/>
      </c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36" t="str">
        <f t="shared" si="208"/>
        <v/>
      </c>
      <c r="TH8" s="36" t="str">
        <f t="shared" si="209"/>
        <v/>
      </c>
      <c r="TI8" s="36" t="str">
        <f t="shared" si="210"/>
        <v/>
      </c>
      <c r="TJ8" s="36" t="str">
        <f t="shared" si="211"/>
        <v/>
      </c>
      <c r="TK8" s="36" t="str">
        <f t="shared" si="212"/>
        <v/>
      </c>
      <c r="TL8" s="36" t="str">
        <f t="shared" si="213"/>
        <v/>
      </c>
      <c r="TM8" s="36" t="str">
        <f t="shared" si="214"/>
        <v/>
      </c>
      <c r="TN8" s="36" t="str">
        <f t="shared" si="215"/>
        <v/>
      </c>
      <c r="TO8" s="36" t="str">
        <f t="shared" si="216"/>
        <v/>
      </c>
      <c r="TP8" s="36" t="str">
        <f t="shared" si="217"/>
        <v/>
      </c>
      <c r="TQ8" s="36" t="str">
        <f t="shared" si="218"/>
        <v/>
      </c>
      <c r="TR8" s="36" t="str">
        <f t="shared" si="219"/>
        <v/>
      </c>
      <c r="TS8" s="36" t="str">
        <f t="shared" si="220"/>
        <v/>
      </c>
      <c r="TT8" s="36" t="str">
        <f t="shared" si="221"/>
        <v/>
      </c>
      <c r="TU8" s="16"/>
      <c r="TV8" s="16"/>
      <c r="TW8" s="16"/>
      <c r="TX8" s="16"/>
      <c r="TY8" s="16"/>
      <c r="TZ8" s="16"/>
      <c r="UA8" s="16"/>
      <c r="UB8" s="16"/>
      <c r="UC8" s="16"/>
      <c r="UD8" s="16"/>
      <c r="UE8" s="16"/>
      <c r="UF8" s="16"/>
      <c r="UG8" s="16"/>
      <c r="UH8" s="16"/>
      <c r="UI8" s="16"/>
      <c r="UJ8" s="16"/>
      <c r="UK8" s="16"/>
      <c r="UL8" s="16"/>
      <c r="UM8" s="16"/>
      <c r="UN8" s="16"/>
      <c r="UO8" s="11" t="str">
        <f t="shared" si="222"/>
        <v/>
      </c>
      <c r="UP8" s="11" t="str">
        <f t="shared" si="223"/>
        <v/>
      </c>
      <c r="UQ8" s="11" t="str">
        <f t="shared" si="224"/>
        <v/>
      </c>
      <c r="UR8" s="11" t="str">
        <f t="shared" si="225"/>
        <v/>
      </c>
      <c r="US8" s="11" t="str">
        <f t="shared" si="226"/>
        <v/>
      </c>
      <c r="UT8" s="11" t="str">
        <f t="shared" si="227"/>
        <v/>
      </c>
      <c r="UU8" s="11" t="str">
        <f t="shared" si="228"/>
        <v/>
      </c>
      <c r="UV8" s="11" t="str">
        <f t="shared" si="229"/>
        <v/>
      </c>
      <c r="UW8" s="11" t="str">
        <f t="shared" si="230"/>
        <v/>
      </c>
      <c r="UX8" s="11" t="str">
        <f t="shared" si="231"/>
        <v/>
      </c>
      <c r="UY8" s="11" t="str">
        <f t="shared" si="232"/>
        <v/>
      </c>
      <c r="UZ8" s="11" t="str">
        <f t="shared" si="233"/>
        <v/>
      </c>
      <c r="VA8" s="11" t="str">
        <f t="shared" si="234"/>
        <v/>
      </c>
      <c r="VB8" s="11" t="str">
        <f t="shared" si="235"/>
        <v/>
      </c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36" t="str">
        <f t="shared" si="236"/>
        <v/>
      </c>
      <c r="VX8" s="36" t="str">
        <f t="shared" si="237"/>
        <v/>
      </c>
      <c r="VY8" s="36" t="str">
        <f t="shared" si="238"/>
        <v/>
      </c>
      <c r="VZ8" s="36" t="str">
        <f t="shared" si="239"/>
        <v/>
      </c>
      <c r="WA8" s="36" t="str">
        <f t="shared" si="240"/>
        <v/>
      </c>
      <c r="WB8" s="36" t="str">
        <f t="shared" si="241"/>
        <v/>
      </c>
      <c r="WC8" s="36" t="str">
        <f t="shared" si="242"/>
        <v/>
      </c>
      <c r="WD8" s="36" t="str">
        <f t="shared" si="243"/>
        <v/>
      </c>
      <c r="WE8" s="36" t="str">
        <f t="shared" si="244"/>
        <v/>
      </c>
      <c r="WF8" s="36" t="str">
        <f t="shared" si="245"/>
        <v/>
      </c>
      <c r="WG8" s="36" t="str">
        <f t="shared" si="246"/>
        <v/>
      </c>
      <c r="WH8" s="36" t="str">
        <f t="shared" si="247"/>
        <v/>
      </c>
      <c r="WI8" s="36" t="str">
        <f t="shared" si="248"/>
        <v/>
      </c>
      <c r="WJ8" s="36" t="str">
        <f t="shared" si="249"/>
        <v/>
      </c>
    </row>
    <row r="9" spans="1:608" x14ac:dyDescent="0.2">
      <c r="A9" s="4" cm="1">
        <f t="array" ref="A9">IF(AND(H9&lt;&gt;"",H9&lt;&gt;"No DD",I9&lt;&gt;"P"),SUMPRODUCT((H$4:H$28&lt;&gt;"")*(H$4:H$28&lt;&gt;"No DD")*(I$4:I$28&lt;&gt;"P")*(E$4:E$28&gt;E9))+1,IF(H9="No DD",SUMPRODUCT((H$4:H$28="No DD")*(I$4:I$28&lt;&gt;"P")*(E$4:E$28&gt;E9))+1+SUMPRODUCT((H$4:H$28&lt;&gt;"")*(I$4:I$28&lt;&gt;"P")*(H$4:H$28&lt;&gt;"No DD")),""))</f>
        <v>4</v>
      </c>
      <c r="B9" s="5" t="s">
        <v>88</v>
      </c>
      <c r="C9" s="4" t="s">
        <v>6</v>
      </c>
      <c r="D9" s="4">
        <v>2005</v>
      </c>
      <c r="E9" s="9">
        <f t="shared" si="0"/>
        <v>108.74001087400555</v>
      </c>
      <c r="F9" s="3" t="str">
        <f>IF(OR(AND(AG9&gt;=AQ$30,AG9&lt;&gt;"",AI9&gt;=AQ$34,AI9&lt;&gt;"",AF9=""),AND(AJ9&gt;=AQ$30,AJ9&lt;&gt;"",AL9&gt;=AQ$34,AL9&lt;&gt;"",AF9=""),AND(AN9&gt;=AQ$30,AN9&lt;&gt;"",AP9&gt;=AQ$34,AP9&lt;&gt;"",AF9=""),AND(BH9&gt;=BR$30,BH9&lt;&gt;"",BJ9&gt;=BR$34,BJ9&lt;&gt;"",BG9=""),AND(BK9&gt;=BR$30,BK9&lt;&gt;"",BM9&gt;=BR$34,BM9&lt;&gt;"",BG9=""),AND(BO9&gt;=BR$30,BO9&lt;&gt;"",BQ9&gt;=BR$34,BQ9&lt;&gt;"",BG9=""),AND(CI9&gt;=CS$30,CI9&lt;&gt;"",CK9&gt;=CS$34,CK9&lt;&gt;"",CH9=""),AND(CL9&gt;=CS$30,CL9&lt;&gt;"",CN9&gt;=CS$34,CN9&lt;&gt;"",CH9=""),AND(CP9&gt;=CS$30,CP9&lt;&gt;"",CR9&gt;=CS$34,CR9&lt;&gt;"",CH9=""),AND(DO9&gt;=EB$30,DO9&lt;&gt;"",DQ9&gt;=EB$34,DQ9&lt;&gt;""),AND(DR9&gt;=EB$30,DR9&lt;&gt;"",DT9&gt;=EB$34,DT9&lt;&gt;""),AND(DV9&gt;=EB$30,DV9&lt;&gt;"",DX9&gt;=EB$34,DX9&lt;&gt;""),AND(DY9&gt;=EB$30,DY9&lt;&gt;"",EA9&gt;=EB$34,EA9&lt;&gt;""),AND(EW9&gt;=FJ$30,EW9&lt;&gt;"",EY9&gt;=FJ$34,EY9&lt;&gt;""),AND(EZ9&gt;=FJ$30,EZ9&lt;&gt;"",FB9&gt;=FJ$34,FB9&lt;&gt;""),AND(FD9&gt;=FJ$30,FD9&lt;&gt;"",FF9&gt;=FJ$34,FF9&lt;&gt;""),AND(FG9&gt;=FJ$30,FG9&lt;&gt;"",FI9&gt;=FJ$34,FI9&lt;&gt;""),AND(GE9&gt;=GR$30,GE9&lt;&gt;"",GG9&gt;=GR$34,GG9&lt;&gt;""),AND(GH9&gt;=GR$30,GH9&lt;&gt;"",GJ9&gt;=GR$34,GJ9&lt;&gt;""),AND(GL9&gt;=GR$30,GL9&lt;&gt;"",GN9&gt;=GR$34,GN9&lt;&gt;""),AND(GO9&gt;=GR$30,GO9&lt;&gt;"",GQ9&gt;=GR$34,GQ9&lt;&gt;""),AND(HM9&gt;=HZ$30,HM9&lt;&gt;"",HO9&gt;=HZ$34,HO9&lt;&gt;""),AND(HP9&gt;=HZ$30,HP9&lt;&gt;"",HR9&gt;=HZ$34,HR9&lt;&gt;""),AND(HT9&gt;=HZ$30,HT9&lt;&gt;"",HV9&gt;=HZ$34,HV9&lt;&gt;""),AND(HW9&gt;=HZ$30,HW9&lt;&gt;"",HY9&gt;=HZ$34,HY9&lt;&gt;""),AND(IU9&gt;=JH$30,IU9&lt;&gt;"",IW9&gt;=JH$34,IW9&lt;&gt;""),AND(IX9&gt;=JH$30,IX9&lt;&gt;"",IZ9&gt;=JH$34,IZ9&lt;&gt;""),AND(JB9&gt;=JH$30,JB9&lt;&gt;"",JD9&gt;=JH$34,JD9&lt;&gt;""),AND(JE9&gt;=JH$30,JE9&lt;&gt;"",JG9&gt;=JH$34,JG9&lt;&gt;""),AND(KC9&gt;=KP$30,KC9&lt;&gt;"",KE9&gt;=KP$34,KE9&lt;&gt;""),AND(KF9&gt;=KP$30,KF9&lt;&gt;"",KH9&gt;=KP$34,KH9&lt;&gt;""),AND(KJ9&gt;=KP$30,KJ9&lt;&gt;"",KL9&gt;=KP$34,KL9&lt;&gt;""),AND(KM9&gt;=KP$30,KM9&lt;&gt;"",KO9&gt;=KP$34,KO9&lt;&gt;""),AND(LK9&gt;=LX$30,LK9&lt;&gt;"",LM9&gt;=LX$34,LM9&lt;&gt;""),AND(LN9&gt;=LX$30,LN9&lt;&gt;"",LP9&gt;=LX$34,LP9&lt;&gt;""),AND(LR9&gt;=LX$30,LR9&lt;&gt;"",LT9&gt;=LX$34,LT9&lt;&gt;""),AND(LU9&gt;=LX$30,LU9&lt;&gt;"",LW9&gt;=LX$34,LW9&lt;&gt;""),AND(MS9&gt;=NF$30,MS9&lt;&gt;"",MU9&gt;=NF$34,MU9&lt;&gt;""),AND(MV9&gt;=NF$30,MV9&lt;&gt;"",MX9&gt;=NF$34,MX9&lt;&gt;""),AND(MZ9&gt;=NF$30,MZ9&lt;&gt;"",NB9&gt;=NF$34,NB9&lt;&gt;""),AND(NC9&gt;=NF$30,NC9&lt;&gt;"",NE9&gt;=NF$34,NE9&lt;&gt;""),AND(OA9&gt;=ON$30,OA9&lt;&gt;"",OC9&gt;=ON$34,OC9&lt;&gt;""),AND(OD9&gt;=ON$30,OD9&lt;&gt;"",OF9&gt;=ON$34,OF9&lt;&gt;""),AND(OH9&gt;=ON$30,OH9&lt;&gt;"",OJ9&gt;=ON$34,OJ9&lt;&gt;""),AND(OK9&gt;=ON$30,OK9&lt;&gt;"",OM9&gt;=ON$34,OM9&lt;&gt;""),AND(PI9&gt;=PV$30,PI9&lt;&gt;"",PK9&gt;=PV$34,PK9&lt;&gt;""),AND(PL9&gt;=PV$30,PL9&lt;&gt;"",PN9&gt;=PV$34,PN9&lt;&gt;""),AND(PP9&gt;=PV$30,PP9&lt;&gt;"",PR9&gt;=PV$34,PR9&lt;&gt;""),AND(PS9&gt;=PV$30,PS9&lt;&gt;"",PU9&gt;=PV$34,PU9&lt;&gt;""),AND(QQ9&gt;=RD$30,QQ9&lt;&gt;"",QS9&gt;=RD$34,QS9&lt;&gt;""),AND(QT9&gt;=RD$30,QT9&lt;&gt;"",QV9&gt;=RD$34,QV9&lt;&gt;""),AND(QX9&gt;=RD$30,QX9&lt;&gt;"",QZ9&gt;=RD$34,QZ9&lt;&gt;""),AND(RA9&gt;=RD$30,RA9&lt;&gt;"",RC9&gt;=RD$34,RC9&lt;&gt;""),AND(RY9&gt;=SL$30,RY9&lt;&gt;"",SA9&gt;=SL$34,SA9&lt;&gt;""),AND(SB9&gt;=SL$30,SB9&lt;&gt;"",SD9&gt;=SL$34,SD9&lt;&gt;""),AND(SF9&gt;=SL$30,SF9&lt;&gt;"",SH9&gt;=SL$34,SH9&lt;&gt;""),AND(SI9&gt;=SL$30,SI9&lt;&gt;"",SK9&gt;=SL$34,SK9&lt;&gt;""),AND(TG9&gt;=TT$30,TG9&lt;&gt;"",TI9&gt;=TT$34,TI9&lt;&gt;""),AND(TJ9&gt;=TT$30,TJ9&lt;&gt;"",TL9&gt;=TT$34,TL9&lt;&gt;""),AND(TN9&gt;=TT$30,TN9&lt;&gt;"",TP9&gt;=TT$34,TXN9&lt;&gt;""),AND(TQ9&gt;=TT$30,TQ9&lt;&gt;"",TS9&gt;=TT$34,TS9&lt;&gt;""),AND(UO9&gt;=VB$30,UO9&lt;&gt;"",UQ9&gt;=VB$34,UQ9&lt;&gt;""),AND(UR9&gt;=VB$30,UR9&lt;&gt;"",UT9&gt;=VB$34,UT9&lt;&gt;""),AND(UV9&gt;=VB$30,UV9&lt;&gt;"",UX9&gt;=VB$34,UX9&lt;&gt;""),AND(UY9&gt;=VB$30,UY9&lt;&gt;"",VA9&gt;=VB$34,VA9&lt;&gt;""),AND(VW9&gt;=WJ$30,VW9&lt;&gt;"",VY9&gt;=WJ$34,VY9&lt;&gt;""),AND(VZ9&gt;=WJ$30,VZ9&lt;&gt;"",WB9&gt;=WJ$34,WB9&lt;&gt;""),AND(WD9&gt;=WJ$30,WD9&lt;&gt;"",WF9&gt;=WJ$34,WF9&lt;&gt;""),AND(WG9&gt;=WJ$30,WG9&lt;&gt;"",WI9&gt;=WJ$34,WI9&lt;&gt;"")),"P","")</f>
        <v>P</v>
      </c>
      <c r="G9" s="3" t="str">
        <f>IF(OR(AND(AI9&gt;=AQ$34,AI9&lt;&gt;"",AF9=""),AND(AL9&gt;=AQ$34,AL9&lt;&gt;"",AF9=""),AND(AP9&gt;=AQ$34,AP9&lt;&gt;"",AF9=""),AND(BJ9&gt;=BR$34,BJ9&lt;&gt;"",BG9=""),AND(BM9&gt;=BR$34,BM9&lt;&gt;"",BG9=""),AND(BQ9&gt;=BR$34,BQ9&lt;&gt;"",BG9=""),AND(CK9&gt;=CS$34,CK9&lt;&gt;"",CH9=""),AND(CN9&gt;=CS$34,CN9&lt;&gt;"",CH9=""),AND(CR9&gt;=CS$34,CR9&lt;&gt;"",CH9=""),AND(DQ9&gt;=EB$34,DQ9&lt;&gt;""),AND(DT9&gt;=EB$34,DT9&lt;&gt;""),AND(DX9&gt;=EB$34,DX9&lt;&gt;""),AND(EA9&gt;=EB$34,EA9&lt;&gt;""),AND(EY9&gt;=FJ$34,EY9&lt;&gt;""),AND(FB9&gt;=FJ$34,FB9&lt;&gt;""),AND(FF9&gt;=FJ$34,FF9&lt;&gt;""),AND(FI9&gt;=FJ$34,FI9&lt;&gt;""),AND(GG9&gt;=GR$34,GG9&lt;&gt;""),AND(GJ9&gt;=GR$34,GJ9&lt;&gt;""),AND(GN9&gt;=GR$34,GN9&lt;&gt;""),AND(GQ9&gt;=GR$34,GQ9&lt;&gt;""),AND(HO9&gt;=HZ$34,HO9&lt;&gt;""),AND(HR9&gt;=HZ$34,HR9&lt;&gt;""),AND(HV9&gt;=HZ$34,HV9&lt;&gt;""),AND(HY9&gt;=HZ$34,HY9&lt;&gt;""),AND(IW9&gt;=JH$34,IW9&lt;&gt;""),AND(IZ9&gt;=JH$34,IZ9&lt;&gt;""),AND(JD9&gt;=JH$34,JD9&lt;&gt;""),AND(JG9&gt;=JH$34,JG9&lt;&gt;""),AND(KE9&gt;=KP$34,KE9&lt;&gt;""),AND(KH9&gt;=KP$34,KH9&lt;&gt;""),AND(KL9&gt;=KP$34,KL9&lt;&gt;""),AND(KO9&gt;=KP$34,KO9&lt;&gt;""),AND(LM9&gt;=LX$34,LM9&lt;&gt;""),AND(LP9&gt;=LX$34,LP9&lt;&gt;""),AND(LT9&gt;=LX$34,LT9&lt;&gt;""),AND(LW9&gt;=LX$34,LW9&lt;&gt;""),AND(MU9&gt;=NF$34,MU9&lt;&gt;""),AND(MX9&gt;=NF$34,MX9&lt;&gt;""),AND(NB9&gt;=NF$34,NB9&lt;&gt;""),AND(NE9&gt;=NF$34,NE9&lt;&gt;""),AND(OC9&gt;=ON$34,OC9&lt;&gt;""),AND(OF9&gt;=ON$34,OF9&lt;&gt;""),AND(OJ9&gt;=ON$34,OJ9&lt;&gt;""),AND(OM9&gt;=ON$34,OM9&lt;&gt;""),AND(PK9&gt;=PV$34,PK9&lt;&gt;""),AND(PN9&gt;=PV$34,PN9&lt;&gt;""),AND(PR9&gt;=PV$34,PR9&lt;&gt;""),AND(PU9&gt;=PV$34,PU9&lt;&gt;""),AND(QS9&gt;=RD$34,QS9&lt;&gt;""),AND(QV9&gt;=RD$34,QV9&lt;&gt;""),AND(QZ9&gt;=RD$34,QZ9&lt;&gt;""),AND(RC9&gt;=RD$34,RC9&lt;&gt;""),AND(SA9&gt;=SL$34,SA9&lt;&gt;""),AND(SD9&gt;=SL$34,SD9&lt;&gt;""),AND(SH9&gt;=SL$34,SH9&lt;&gt;""),AND(SK9&gt;=SL$34,SK9&lt;&gt;""),AND(TI9&gt;=TT$34,TI9&lt;&gt;""),AND(TL9&gt;=TT$34,TL9&lt;&gt;""),AND(TP9&gt;=TT$34,TXN9&lt;&gt;""),AND(TS9&gt;=TT$34,TS9&lt;&gt;""),AND(UQ9&gt;=VB$34,UQ9&lt;&gt;""),AND(UT9&gt;=VB$34,UT9&lt;&gt;""),AND(UX9&gt;=VB$34,UX9&lt;&gt;""),AND(VA9&gt;=VB$34,VA9&lt;&gt;""),AND(VY9&gt;=WJ$34,VY9&lt;&gt;""),AND(WB9&gt;=WJ$34,WB9&lt;&gt;""),AND(WF9&gt;=WJ$34,WF9&lt;&gt;""),AND(WI9&gt;=WJ$34,WI9&lt;&gt;"")),"P","")</f>
        <v>P</v>
      </c>
      <c r="H9" s="32" t="str">
        <f>IF(AND(G9="P",F9=""),"No DD",IF(OR(AND(AG9&gt;=AQ$33,AG9&lt;&gt;"",AI9&gt;=AQ$37,AI9&lt;&gt;"",AF9=""),AND(AJ9&gt;=AQ$33,AJ9&lt;&gt;"",AL9&gt;=AQ$37,AL9&lt;&gt;"",AF9=""),AND(AN9&gt;=AQ$33,AN9&lt;&gt;"",AP9&gt;=AQ$37,AP9&lt;&gt;"",AF9=""),AND(BH9&gt;=BR$33,BH9&lt;&gt;"",BJ9&gt;=BR$37,BJ9&lt;&gt;"",BG9=""),AND(BK9&gt;=BR$33,BK9&lt;&gt;"",BM9&gt;=BR$37,BM9&lt;&gt;"",BG9=""),AND(BO9&gt;=BR$33,BO9&lt;&gt;"",BQ9&gt;=BR$37,BQ9&lt;&gt;"",BG9=""),AND(CI9&gt;=CS$33,CI9&lt;&gt;"",CK9&gt;=CS$37,CK9&lt;&gt;"",CH9=""),AND(CL9&gt;=CS$33,CL9&lt;&gt;"",CN9&gt;=CS$37,CN9&lt;&gt;"",CH9=""),AND(CP9&gt;=CS$33,CP9&lt;&gt;"",CR9&gt;=CS$37,CR9&lt;&gt;"",CH9=""),AND(DO9&gt;=EB$33,DO9&lt;&gt;"",DQ9&gt;=EB$37,DQ9&lt;&gt;""),AND(DR9&gt;=EB$33,DR9&lt;&gt;"",DT9&gt;=EB$37,DT9&lt;&gt;""),AND(DV9&gt;=EB$33,DV9&lt;&gt;"",DX9&gt;=EB$37,DX9&lt;&gt;""),AND(DY9&gt;=EB$33,DY9&lt;&gt;"",EA9&gt;=EB$37,EA9&lt;&gt;""),AND(EW9&gt;=FJ$33,EW9&lt;&gt;"",EY9&gt;=FJ$37,EY9&lt;&gt;""),AND(EZ9&gt;=FJ$33,EZ9&lt;&gt;"",FB9&gt;=FJ$37,FB9&lt;&gt;""),AND(FD9&gt;=FJ$33,FD9&lt;&gt;"",FF9&gt;=FJ$37,FF9&lt;&gt;""),AND(FG9&gt;=FJ$33,FG9&lt;&gt;"",FI9&gt;=FJ$37,FI9&lt;&gt;""),AND(GE9&gt;=GR$33,GE9&lt;&gt;"",GG9&gt;=GR$37,GG9&lt;&gt;""),AND(GH9&gt;=GR$33,GH9&lt;&gt;"",GJ9&gt;=GR$37,GJ9&lt;&gt;""),AND(GL9&gt;=GR$33,GL9&lt;&gt;"",GN9&gt;=GR$37,GN9&lt;&gt;""),AND(GO9&gt;=GR$33,GO9&lt;&gt;"",GQ9&gt;=GR$37,GQ9&lt;&gt;""),AND(HM9&gt;=HZ$33,HM9&lt;&gt;"",HO9&gt;=HZ$37,HO9&lt;&gt;""),AND(HP9&gt;=HZ$33,HP9&lt;&gt;"",HR9&gt;=HZ$37,HR9&lt;&gt;""),AND(HT9&gt;=HZ$33,HT9&lt;&gt;"",HV9&gt;=HZ$37,HV9&lt;&gt;""),AND(HW9&gt;=HZ$33,HW9&lt;&gt;"",HY9&gt;=HZ$37,HY9&lt;&gt;""),AND(IU9&gt;=JH$33,IU9&lt;&gt;"",IW9&gt;=JH$37,IW9&lt;&gt;""),AND(IX9&gt;=JH$33,IX9&lt;&gt;"",IZ9&gt;=JH$37,IZ9&lt;&gt;""),AND(JB9&gt;=JH$33,JB9&lt;&gt;"",JD9&gt;=JH$37,JD9&lt;&gt;""),AND(JE9&gt;=JH$33,JE9&lt;&gt;"",JG9&gt;=JH$37,JG9&lt;&gt;""),AND(KC9&gt;=KP$33,KC9&lt;&gt;"",KE9&gt;=KP$37,KE9&lt;&gt;""),AND(KF9&gt;=KP$33,KF9&lt;&gt;"",KH9&gt;=KP$37,KH9&lt;&gt;""),AND(KJ9&gt;=KP$33,KJ9&lt;&gt;"",KL9&gt;=KP$37,KL9&lt;&gt;""),AND(KM9&gt;=KP$33,KM9&lt;&gt;"",KO9&gt;=KP$37,KO9&lt;&gt;""),AND(LK9&gt;=LX$33,LK9&lt;&gt;"",LM9&gt;=LX$37,LM9&lt;&gt;""),AND(LN9&gt;=LX$33,LN9&lt;&gt;"",LP9&gt;=LX$37,LP9&lt;&gt;""),AND(LR9&gt;=LX$33,LR9&lt;&gt;"",LT9&gt;=LX$37,LT9&lt;&gt;""),AND(LU9&gt;=LX$33,LU9&lt;&gt;"",LW9&gt;=LX$37,LW9&lt;&gt;""),AND(MS9&gt;=NF$33,MS9&lt;&gt;"",MU9&gt;=NF$37,MU9&lt;&gt;""),AND(MV9&gt;=NF$33,MV9&lt;&gt;"",MX9&gt;=NF$37,MX9&lt;&gt;""),AND(MZ9&gt;=NF$33,MZ9&lt;&gt;"",NB9&gt;=NF$37,NB9&lt;&gt;""),AND(NC9&gt;=NF$33,NC9&lt;&gt;"",NE9&gt;=NF$37,NE9&lt;&gt;""),AND(OA9&gt;=ON$33,OA9&lt;&gt;"",OC9&gt;=ON$37,OC9&lt;&gt;""),AND(OD9&gt;=ON$33,OD9&lt;&gt;"",OF9&gt;=ON$37,OF9&lt;&gt;""),AND(OH9&gt;=ON$33,OH9&lt;&gt;"",OJ9&gt;=ON$37,OJ9&lt;&gt;""),AND(OK9&gt;=ON$33,OK9&lt;&gt;"",OM9&gt;=ON$37,OM9&lt;&gt;""),AND(PI9&gt;=PV$33,PI9&lt;&gt;"",PK9&gt;=PV$37,PK9&lt;&gt;""),AND(PL9&gt;=PV$33,PL9&lt;&gt;"",PN9&gt;=PV$37,PN9&lt;&gt;""),AND(PP9&gt;=PV$33,PP9&lt;&gt;"",PR9&gt;=PV$37,PR9&lt;&gt;""),AND(PS9&gt;=PV$33,PS9&lt;&gt;"",PU9&gt;=PV$37,PU9&lt;&gt;""),AND(QQ9&gt;=RD$33,QQ9&lt;&gt;"",QS9&gt;=RD$37,QS9&lt;&gt;""),AND(QT9&gt;=RD$33,QT9&lt;&gt;"",QV9&gt;=RD$37,QV9&lt;&gt;""),AND(QX9&gt;=RD$33,QX9&lt;&gt;"",QZ9&gt;=RD$37,QZ9&lt;&gt;""),AND(RA9&gt;=RD$33,RA9&lt;&gt;"",RC9&gt;=RD$37,RC9&lt;&gt;""),AND(RY9&gt;=SL$33,RY9&lt;&gt;"",SA9&gt;=SL$37,SA9&lt;&gt;""),AND(SB9&gt;=SL$33,SB9&lt;&gt;"",SD9&gt;=SL$37,SD9&lt;&gt;""),AND(SF9&gt;=SL$33,SF9&lt;&gt;"",SH9&gt;=SL$37,SH9&lt;&gt;""),AND(SI9&gt;=SL$33,SI9&lt;&gt;"",SK9&gt;=SL$37,SK9&lt;&gt;""),AND(TG9&gt;=TT$33,TG9&lt;&gt;"",TI9&gt;=TT$37,TI9&lt;&gt;""),AND(TJ9&gt;=TT$33,TJ9&lt;&gt;"",TL9&gt;=TT$37,TL9&lt;&gt;""),AND(TN9&gt;=TT$33,TN9&lt;&gt;"",TP9&gt;=TT$357,TXN9&lt;&gt;""),AND(TQ9&gt;=TT$33,TQ9&lt;&gt;"",TS9&gt;=TT$37,TS9&lt;&gt;""),AND(UO9&gt;=VB$33,UO9&lt;&gt;"",UQ9&gt;=VB$37,UQ9&lt;&gt;""),AND(UR9&gt;=VB$33,UR9&lt;&gt;"",UT9&gt;=VB$37,UT9&lt;&gt;""),AND(UV9&gt;=VB$33,UV9&lt;&gt;"",UX9&gt;=VB$37,UX9&lt;&gt;""),AND(UY9&gt;=VB$33,UY9&lt;&gt;"",VA9&gt;=VB$37,VA9&lt;&gt;""),AND(VW9&gt;=WJ$33,VW9&lt;&gt;"",VY9&gt;=WJ$37,VY9&lt;&gt;""),AND(VZ9&gt;=WJ$33,VZ9&lt;&gt;"",WB9&gt;=WJ$37,WB9&lt;&gt;""),AND(WD9&gt;=WJ$33,WD9&lt;&gt;"",WF9&gt;=WJ$37,WF9&lt;&gt;""),AND(WG9&gt;=WJ$33,WG9&lt;&gt;"",WI9&gt;=WJ$37,WI9&lt;&gt;"")),"Merit",IF(OR(AND(AG9&gt;=AQ$32,AG9&lt;&gt;"",AI9&gt;=AQ$36,AI9&lt;&gt;"",AF9=""),AND(AJ9&gt;=AQ$32,AJ9&lt;&gt;"",AL9&gt;=AQ$36,AL9&lt;&gt;"",AF9=""),AND(AN9&gt;=AQ$32,AN9&lt;&gt;"",AP9&gt;=AQ$36,AP9&lt;&gt;"",AF9=""),AND(BH9&gt;=BR$32,BH9&lt;&gt;"",BJ9&gt;=BR$36,BJ9&lt;&gt;"",BG9=""),AND(BK9&gt;=BR$32,BK9&lt;&gt;"",BM9&gt;=BR$36,BM9&lt;&gt;"",BG9=""),AND(BO9&gt;=BR$32,BO9&lt;&gt;"",BQ9&gt;=BR$36,BQ9&lt;&gt;"",BG9=""),AND(CI9&gt;=CS$32,CI9&lt;&gt;"",CK9&gt;=CS$36,CK9&lt;&gt;"",CH9=""),AND(CL9&gt;=CS$32,CL9&lt;&gt;"",CN9&gt;=CS$36,CN9&lt;&gt;"",CH9=""),AND(CP9&gt;=CS$32,CP9&lt;&gt;"",CR9&gt;=CS$36,CR9&lt;&gt;"",CH9=""),AND(DO9&gt;=EB$32,DO9&lt;&gt;"",DQ9&gt;=EB$36,DQ9&lt;&gt;""),AND(DR9&gt;=EB$32,DR9&lt;&gt;"",DT9&gt;=EB$36,DT9&lt;&gt;""),AND(DV9&gt;=EB$32,DV9&lt;&gt;"",DX9&gt;=EB$36,DX9&lt;&gt;""),AND(DY9&gt;=EB$32,DY9&lt;&gt;"",EA9&gt;=EB$36,EA9&lt;&gt;""),AND(EW9&gt;=FJ$32,EW9&lt;&gt;"",EY9&gt;=FJ$36,EY9&lt;&gt;""),AND(EZ9&gt;=FJ$32,EZ9&lt;&gt;"",FB9&gt;=FJ$36,FB9&lt;&gt;""),AND(FD9&gt;=FJ$32,FD9&lt;&gt;"",FF9&gt;=FJ$36,FF9&lt;&gt;""),AND(FG9&gt;=FJ$32,FG9&lt;&gt;"",FI9&gt;=FJ$36,FI9&lt;&gt;""),AND(GE9&gt;=GR$32,GE9&lt;&gt;"",GG9&gt;=GR$36,GG9&lt;&gt;""),AND(GH9&gt;=GR$32,GH9&lt;&gt;"",GJ9&gt;=GR$36,GJ9&lt;&gt;""),AND(GL9&gt;=GR$32,GL9&lt;&gt;"",GN9&gt;=GR$36,GN9&lt;&gt;""),AND(GO9&gt;=GR$32,GO9&lt;&gt;"",GQ9&gt;=GR$36,GQ9&lt;&gt;""),AND(HM9&gt;=HZ$32,HM9&lt;&gt;"",HO9&gt;=HZ$36,HO9&lt;&gt;""),AND(HP9&gt;=HZ$32,HP9&lt;&gt;"",HR9&gt;=HZ$36,HR9&lt;&gt;""),AND(HT9&gt;=HZ$32,HT9&lt;&gt;"",HV9&gt;=HZ$36,HV9&lt;&gt;""),AND(HW9&gt;=HZ$32,HW9&lt;&gt;"",HY9&gt;=HZ$36,HY9&lt;&gt;""),AND(IU9&gt;=JH$32,IU9&lt;&gt;"",IW9&gt;=JH$36,IW9&lt;&gt;""),AND(IX9&gt;=JH$32,IX9&lt;&gt;"",IZ9&gt;=JH$36,IZ9&lt;&gt;""),AND(JB9&gt;=JH$32,JB9&lt;&gt;"",JD9&gt;=JH$36,JD9&lt;&gt;""),AND(JE9&gt;=JH$32,JE9&lt;&gt;"",JG9&gt;=JH$36,JG9&lt;&gt;""),AND(KC9&gt;=KP$32,KC9&lt;&gt;"",KE9&gt;=KP$36,KE9&lt;&gt;""),AND(KF9&gt;=KP$32,KF9&lt;&gt;"",KH9&gt;=KP$36,KH9&lt;&gt;""),AND(KJ9&gt;=KP$32,KJ9&lt;&gt;"",KL9&gt;=KP$36,KL9&lt;&gt;""),AND(KM9&gt;=KP$32,KM9&lt;&gt;"",KO9&gt;=KP$36,KO9&lt;&gt;""),AND(LK9&gt;=LX$32,LK9&lt;&gt;"",LM9&gt;=LX$36,LM9&lt;&gt;""),AND(LN9&gt;=LX$32,LN9&lt;&gt;"",LP9&gt;=LX$36,LP9&lt;&gt;""),AND(LR9&gt;=LX$32,LR9&lt;&gt;"",LT9&gt;=LX$36,LT9&lt;&gt;""),AND(LU9&gt;=LX$32,LU9&lt;&gt;"",LW9&gt;=LX$36,LW9&lt;&gt;""),AND(MS9&gt;=NF$32,MS9&lt;&gt;"",MU9&gt;=NF$36,MU9&lt;&gt;""),AND(MV9&gt;=NF$32,MV9&lt;&gt;"",MX9&gt;=NF$36,MX9&lt;&gt;""),AND(MZ9&gt;=NF$32,MZ9&lt;&gt;"",NB9&gt;=NF$36,NB9&lt;&gt;""),AND(NC9&gt;=NF$32,NC9&lt;&gt;"",NE9&gt;=NF$36,NE9&lt;&gt;""),AND(OA9&gt;=ON$32,OA9&lt;&gt;"",OC9&gt;=ON$36,OC9&lt;&gt;""),AND(OD9&gt;=ON$32,OD9&lt;&gt;"",OF9&gt;=ON$36,OF9&lt;&gt;""),AND(OH9&gt;=ON$32,OH9&lt;&gt;"",OJ9&gt;=ON$36,OJ9&lt;&gt;""),AND(OK9&gt;=ON$32,OK9&lt;&gt;"",OM9&gt;=ON$36,OM9&lt;&gt;""),AND(PI9&gt;=PV$32,PI9&lt;&gt;"",PK9&gt;=PV$36,PK9&lt;&gt;""),AND(PL9&gt;=PV$32,PL9&lt;&gt;"",PN9&gt;=PV$36,PN9&lt;&gt;""),AND(PP9&gt;=PV$32,PP9&lt;&gt;"",PR9&gt;=PV$36,PR9&lt;&gt;""),AND(PS9&gt;=PV$32,PS9&lt;&gt;"",PU9&gt;=PV$36,PU9&lt;&gt;""),AND(QQ9&gt;=RD$32,QQ9&lt;&gt;"",QS9&gt;=RD$36,QS9&lt;&gt;""),AND(QT9&gt;=RD$32,QT9&lt;&gt;"",QV9&gt;=RD$36,QV9&lt;&gt;""),AND(QX9&gt;=RD$32,QX9&lt;&gt;"",QZ9&gt;=RD$36,QZ9&lt;&gt;""),AND(RA9&gt;=RD$32,RA9&lt;&gt;"",RC9&gt;=RD$36,RC9&lt;&gt;""),AND(RY9&gt;=SL$32,RY9&lt;&gt;"",SA9&gt;=SL$36,SA9&lt;&gt;""),AND(SB9&gt;=SL$32,SB9&lt;&gt;"",SD9&gt;=SL$36,SD9&lt;&gt;""),AND(SF9&gt;=SL$32,SF9&lt;&gt;"",SH9&gt;=SL$36,SH9&lt;&gt;""),AND(SI9&gt;=SL$32,SI9&lt;&gt;"",SK9&gt;=SL$36,SK9&lt;&gt;""),AND(TG9&gt;=TT$32,TG9&lt;&gt;"",TI9&gt;=TT$36,TI9&lt;&gt;""),AND(TJ9&gt;=TT$32,TJ9&lt;&gt;"",TL9&gt;=TT$36,TL9&lt;&gt;""),AND(TN9&gt;=TT$32,TN9&lt;&gt;"",TP9&gt;=TT$36,TXN9&lt;&gt;""),AND(TQ9&gt;=TT$32,TQ9&lt;&gt;"",TS9&gt;=TT$36,TS9&lt;&gt;""),AND(UO9&gt;=VB$32,UO9&lt;&gt;"",UQ9&gt;=VB$36,UQ9&lt;&gt;""),AND(UR9&gt;=VB$32,UR9&lt;&gt;"",UT9&gt;=VB$36,UT9&lt;&gt;""),AND(UV9&gt;=VB$32,UV9&lt;&gt;"",UX9&gt;=VB$36,UX9&lt;&gt;""),AND(UY9&gt;=VB$32,UY9&lt;&gt;"",VA9&gt;=VB$36,VA9&lt;&gt;""),AND(VW9&gt;=WJ$32,VW9&lt;&gt;"",VY9&gt;=WJ$36,VY9&lt;&gt;""),AND(VZ9&gt;=WJ$32,VZ9&lt;&gt;"",WB9&gt;=WJ$36,WB9&lt;&gt;""),AND(WD9&gt;=WJ$32,WD9&lt;&gt;"",WF9&gt;=WJ$36,WF9&lt;&gt;""),AND(WG9&gt;=WJ$32,WG9&lt;&gt;"",WI9&gt;=WJ$36,WI9&lt;&gt;"")),"Excellence",IF(I9="P","National Team",IF(F9="P","National Team","")))))</f>
        <v>National Team</v>
      </c>
      <c r="I9" s="3" t="str">
        <f>IF(COUNTIFS('Senior-M'!B:B,B9,'Senior-M'!A:A,"&lt;9",'Senior-M'!H:H,"&lt;&gt;"&amp;"No DD"),"P","")</f>
        <v/>
      </c>
      <c r="J9" s="8">
        <f t="shared" si="1"/>
        <v>55.36</v>
      </c>
      <c r="K9" s="8" t="str">
        <f t="shared" si="2"/>
        <v>2026 Elite Canada</v>
      </c>
      <c r="L9" s="8">
        <f>IFERROR(LARGE((AI9,AL9,AP9,BJ9,BM9,BQ9,CK9,CN9,CR9),2),0)</f>
        <v>53.38000000000001</v>
      </c>
      <c r="M9" s="8" t="str">
        <f t="shared" si="3"/>
        <v>2025 Nationals</v>
      </c>
      <c r="N9" s="8">
        <f t="shared" si="4"/>
        <v>0</v>
      </c>
      <c r="O9" s="11" t="str">
        <f>IF(N9=0,"",IF(N9=CT9,"("&amp;CT$2&amp;")",IF(N9=#REF!,"("&amp;#REF!&amp;")")))</f>
        <v/>
      </c>
      <c r="P9" s="8" t="str">
        <f t="shared" si="5"/>
        <v/>
      </c>
      <c r="Q9" s="18">
        <v>10.1</v>
      </c>
      <c r="R9" s="18">
        <v>7.7</v>
      </c>
      <c r="S9" s="18">
        <v>12.6</v>
      </c>
      <c r="T9" s="18">
        <v>13.81</v>
      </c>
      <c r="U9" s="18">
        <v>0</v>
      </c>
      <c r="V9" s="18">
        <v>13.1</v>
      </c>
      <c r="W9" s="18">
        <v>9</v>
      </c>
      <c r="X9" s="18">
        <v>14.7</v>
      </c>
      <c r="Y9" s="18">
        <v>15.69</v>
      </c>
      <c r="Z9" s="18">
        <v>0</v>
      </c>
      <c r="AA9" s="18">
        <v>14.4</v>
      </c>
      <c r="AB9" s="18">
        <v>8.8000000000000007</v>
      </c>
      <c r="AC9" s="18">
        <v>14.7</v>
      </c>
      <c r="AD9" s="18">
        <v>15.48</v>
      </c>
      <c r="AE9" s="18">
        <v>0</v>
      </c>
      <c r="AF9" s="23"/>
      <c r="AG9" s="34">
        <f t="shared" si="6"/>
        <v>12.6</v>
      </c>
      <c r="AH9" s="34">
        <f t="shared" si="7"/>
        <v>13.81</v>
      </c>
      <c r="AI9" s="36">
        <f t="shared" si="8"/>
        <v>44.21</v>
      </c>
      <c r="AJ9" s="36">
        <f t="shared" si="9"/>
        <v>14.7</v>
      </c>
      <c r="AK9" s="36">
        <f t="shared" si="10"/>
        <v>15.69</v>
      </c>
      <c r="AL9" s="36">
        <f t="shared" si="11"/>
        <v>52.489999999999995</v>
      </c>
      <c r="AM9" s="36">
        <f t="shared" si="12"/>
        <v>52.489999999999995</v>
      </c>
      <c r="AN9" s="36">
        <f t="shared" si="13"/>
        <v>14.7</v>
      </c>
      <c r="AO9" s="36">
        <f t="shared" si="14"/>
        <v>15.48</v>
      </c>
      <c r="AP9" s="36">
        <f t="shared" si="15"/>
        <v>53.38000000000001</v>
      </c>
      <c r="AQ9" s="36">
        <f t="shared" si="16"/>
        <v>105.87</v>
      </c>
      <c r="AR9" s="22">
        <v>11.3</v>
      </c>
      <c r="AS9" s="22">
        <v>9.4</v>
      </c>
      <c r="AT9" s="22">
        <v>14.4</v>
      </c>
      <c r="AU9" s="22">
        <v>15.17</v>
      </c>
      <c r="AV9" s="22">
        <v>0.1</v>
      </c>
      <c r="AW9" s="22">
        <v>1.4</v>
      </c>
      <c r="AX9" s="22">
        <v>1</v>
      </c>
      <c r="AY9" s="22">
        <v>2</v>
      </c>
      <c r="AZ9" s="22">
        <v>1.67</v>
      </c>
      <c r="BA9" s="22">
        <v>0</v>
      </c>
      <c r="BB9" s="22">
        <v>13</v>
      </c>
      <c r="BC9" s="22">
        <v>9</v>
      </c>
      <c r="BD9" s="22">
        <v>14.3</v>
      </c>
      <c r="BE9" s="22">
        <v>14.86</v>
      </c>
      <c r="BF9" s="22">
        <v>0.2</v>
      </c>
      <c r="BG9" s="24"/>
      <c r="BH9" s="35">
        <f t="shared" si="17"/>
        <v>14.4</v>
      </c>
      <c r="BI9" s="35">
        <f t="shared" si="18"/>
        <v>15.17</v>
      </c>
      <c r="BJ9" s="11">
        <f t="shared" si="19"/>
        <v>50.17</v>
      </c>
      <c r="BK9" s="11">
        <f t="shared" si="20"/>
        <v>2</v>
      </c>
      <c r="BL9" s="11">
        <f t="shared" si="21"/>
        <v>1.67</v>
      </c>
      <c r="BM9" s="11">
        <f t="shared" si="22"/>
        <v>6.07</v>
      </c>
      <c r="BN9" s="11">
        <f t="shared" si="23"/>
        <v>50.17</v>
      </c>
      <c r="BO9" s="11">
        <f t="shared" si="24"/>
        <v>14.3</v>
      </c>
      <c r="BP9" s="11">
        <f t="shared" si="25"/>
        <v>14.86</v>
      </c>
      <c r="BQ9" s="11">
        <f t="shared" si="26"/>
        <v>50.959999999999994</v>
      </c>
      <c r="BR9" s="11">
        <f t="shared" si="27"/>
        <v>101.13</v>
      </c>
      <c r="BS9" s="18">
        <v>11.1</v>
      </c>
      <c r="BT9" s="18">
        <v>8</v>
      </c>
      <c r="BU9" s="18">
        <v>12.6</v>
      </c>
      <c r="BV9" s="18">
        <v>14.25</v>
      </c>
      <c r="BW9" s="18">
        <v>0</v>
      </c>
      <c r="BX9" s="18">
        <v>13</v>
      </c>
      <c r="BY9" s="18">
        <v>9.6</v>
      </c>
      <c r="BZ9" s="18">
        <v>14.7</v>
      </c>
      <c r="CA9" s="18">
        <v>15.48</v>
      </c>
      <c r="CB9" s="18">
        <v>0</v>
      </c>
      <c r="CC9" s="18">
        <v>14.6</v>
      </c>
      <c r="CD9" s="18">
        <v>9.6</v>
      </c>
      <c r="CE9" s="18">
        <v>15.3</v>
      </c>
      <c r="CF9" s="18">
        <v>15.86</v>
      </c>
      <c r="CG9" s="18">
        <v>0</v>
      </c>
      <c r="CH9" s="23"/>
      <c r="CI9" s="34">
        <f t="shared" si="28"/>
        <v>12.6</v>
      </c>
      <c r="CJ9" s="34">
        <f t="shared" si="29"/>
        <v>14.25</v>
      </c>
      <c r="CK9" s="36">
        <f t="shared" si="30"/>
        <v>45.95</v>
      </c>
      <c r="CL9" s="36">
        <f t="shared" si="31"/>
        <v>14.7</v>
      </c>
      <c r="CM9" s="36">
        <f t="shared" si="32"/>
        <v>15.48</v>
      </c>
      <c r="CN9" s="36">
        <f t="shared" si="33"/>
        <v>52.78</v>
      </c>
      <c r="CO9" s="36">
        <f t="shared" si="34"/>
        <v>52.78</v>
      </c>
      <c r="CP9" s="36">
        <f t="shared" si="35"/>
        <v>15.3</v>
      </c>
      <c r="CQ9" s="36">
        <f t="shared" si="36"/>
        <v>15.86</v>
      </c>
      <c r="CR9" s="36">
        <f t="shared" si="37"/>
        <v>55.36</v>
      </c>
      <c r="CS9" s="36">
        <f t="shared" si="38"/>
        <v>108.14</v>
      </c>
      <c r="CT9" s="47" t="str">
        <f t="shared" si="39"/>
        <v/>
      </c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36" t="str">
        <f t="shared" si="40"/>
        <v/>
      </c>
      <c r="DP9" s="36" t="str">
        <f t="shared" si="41"/>
        <v/>
      </c>
      <c r="DQ9" s="36" t="str">
        <f t="shared" si="42"/>
        <v/>
      </c>
      <c r="DR9" s="36" t="str">
        <f t="shared" si="43"/>
        <v/>
      </c>
      <c r="DS9" s="36" t="str">
        <f t="shared" si="44"/>
        <v/>
      </c>
      <c r="DT9" s="36" t="str">
        <f t="shared" si="45"/>
        <v/>
      </c>
      <c r="DU9" s="36" t="str">
        <f t="shared" si="46"/>
        <v/>
      </c>
      <c r="DV9" s="36" t="str">
        <f t="shared" si="47"/>
        <v/>
      </c>
      <c r="DW9" s="36" t="str">
        <f t="shared" si="48"/>
        <v/>
      </c>
      <c r="DX9" s="36" t="str">
        <f t="shared" si="49"/>
        <v/>
      </c>
      <c r="DY9" s="36" t="str">
        <f t="shared" si="50"/>
        <v/>
      </c>
      <c r="DZ9" s="36" t="str">
        <f t="shared" si="51"/>
        <v/>
      </c>
      <c r="EA9" s="36" t="str">
        <f t="shared" si="52"/>
        <v/>
      </c>
      <c r="EB9" s="36" t="str">
        <f t="shared" si="53"/>
        <v/>
      </c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1" t="str">
        <f t="shared" si="54"/>
        <v/>
      </c>
      <c r="EX9" s="11" t="str">
        <f t="shared" si="55"/>
        <v/>
      </c>
      <c r="EY9" s="11" t="str">
        <f t="shared" si="56"/>
        <v/>
      </c>
      <c r="EZ9" s="11" t="str">
        <f t="shared" si="57"/>
        <v/>
      </c>
      <c r="FA9" s="11" t="str">
        <f t="shared" si="58"/>
        <v/>
      </c>
      <c r="FB9" s="11" t="str">
        <f t="shared" si="59"/>
        <v/>
      </c>
      <c r="FC9" s="11" t="str">
        <f t="shared" si="60"/>
        <v/>
      </c>
      <c r="FD9" s="11" t="str">
        <f t="shared" si="61"/>
        <v/>
      </c>
      <c r="FE9" s="11" t="str">
        <f t="shared" si="62"/>
        <v/>
      </c>
      <c r="FF9" s="11" t="str">
        <f t="shared" si="63"/>
        <v/>
      </c>
      <c r="FG9" s="11" t="str">
        <f t="shared" si="64"/>
        <v/>
      </c>
      <c r="FH9" s="11" t="str">
        <f t="shared" si="65"/>
        <v/>
      </c>
      <c r="FI9" s="11" t="str">
        <f t="shared" si="66"/>
        <v/>
      </c>
      <c r="FJ9" s="11" t="str">
        <f t="shared" si="67"/>
        <v/>
      </c>
      <c r="FK9" s="15">
        <v>11.3</v>
      </c>
      <c r="FL9" s="15">
        <v>8.8000000000000007</v>
      </c>
      <c r="FM9" s="15">
        <v>14.7</v>
      </c>
      <c r="FN9" s="15">
        <v>15.45</v>
      </c>
      <c r="FO9" s="15">
        <v>0</v>
      </c>
      <c r="FP9" s="15">
        <v>11.9</v>
      </c>
      <c r="FQ9" s="15">
        <v>9.1999999999999993</v>
      </c>
      <c r="FR9" s="15">
        <v>15.3</v>
      </c>
      <c r="FS9" s="15">
        <v>15.51</v>
      </c>
      <c r="FT9" s="15">
        <v>0</v>
      </c>
      <c r="FU9" s="15">
        <v>6.4</v>
      </c>
      <c r="FV9" s="15">
        <v>4.4000000000000004</v>
      </c>
      <c r="FW9" s="15">
        <v>8</v>
      </c>
      <c r="FX9" s="15">
        <v>8.09</v>
      </c>
      <c r="FY9" s="15">
        <v>0.2</v>
      </c>
      <c r="FZ9" s="15"/>
      <c r="GA9" s="15"/>
      <c r="GB9" s="15"/>
      <c r="GC9" s="15"/>
      <c r="GD9" s="15"/>
      <c r="GE9" s="36">
        <f t="shared" si="68"/>
        <v>14.7</v>
      </c>
      <c r="GF9" s="36">
        <f t="shared" si="69"/>
        <v>15.45</v>
      </c>
      <c r="GG9" s="36">
        <f t="shared" si="70"/>
        <v>50.25</v>
      </c>
      <c r="GH9" s="36">
        <f t="shared" si="71"/>
        <v>15.3</v>
      </c>
      <c r="GI9" s="36">
        <f t="shared" si="72"/>
        <v>15.51</v>
      </c>
      <c r="GJ9" s="36">
        <f t="shared" si="73"/>
        <v>51.910000000000004</v>
      </c>
      <c r="GK9" s="36">
        <f t="shared" si="74"/>
        <v>51.910000000000004</v>
      </c>
      <c r="GL9" s="36">
        <f t="shared" si="75"/>
        <v>8</v>
      </c>
      <c r="GM9" s="36">
        <f t="shared" si="76"/>
        <v>8.09</v>
      </c>
      <c r="GN9" s="36">
        <f t="shared" si="77"/>
        <v>26.69</v>
      </c>
      <c r="GO9" s="36" t="str">
        <f t="shared" si="78"/>
        <v/>
      </c>
      <c r="GP9" s="36" t="str">
        <f t="shared" si="79"/>
        <v/>
      </c>
      <c r="GQ9" s="36" t="str">
        <f t="shared" si="80"/>
        <v/>
      </c>
      <c r="GR9" s="36">
        <f t="shared" si="81"/>
        <v>78.600000000000009</v>
      </c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1" t="str">
        <f t="shared" si="82"/>
        <v/>
      </c>
      <c r="HN9" s="11" t="str">
        <f t="shared" si="83"/>
        <v/>
      </c>
      <c r="HO9" s="11" t="str">
        <f t="shared" si="84"/>
        <v/>
      </c>
      <c r="HP9" s="11" t="str">
        <f t="shared" si="85"/>
        <v/>
      </c>
      <c r="HQ9" s="11" t="str">
        <f t="shared" si="86"/>
        <v/>
      </c>
      <c r="HR9" s="11" t="str">
        <f t="shared" si="87"/>
        <v/>
      </c>
      <c r="HS9" s="11" t="str">
        <f t="shared" si="88"/>
        <v/>
      </c>
      <c r="HT9" s="11" t="str">
        <f t="shared" si="89"/>
        <v/>
      </c>
      <c r="HU9" s="11" t="str">
        <f t="shared" si="90"/>
        <v/>
      </c>
      <c r="HV9" s="11" t="str">
        <f t="shared" si="91"/>
        <v/>
      </c>
      <c r="HW9" s="11" t="str">
        <f t="shared" si="92"/>
        <v/>
      </c>
      <c r="HX9" s="11" t="str">
        <f t="shared" si="93"/>
        <v/>
      </c>
      <c r="HY9" s="11" t="str">
        <f t="shared" si="94"/>
        <v/>
      </c>
      <c r="HZ9" s="11" t="str">
        <f t="shared" si="95"/>
        <v/>
      </c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36" t="str">
        <f t="shared" si="96"/>
        <v/>
      </c>
      <c r="IV9" s="36" t="str">
        <f t="shared" si="97"/>
        <v/>
      </c>
      <c r="IW9" s="36" t="str">
        <f t="shared" si="98"/>
        <v/>
      </c>
      <c r="IX9" s="36" t="str">
        <f t="shared" si="99"/>
        <v/>
      </c>
      <c r="IY9" s="36" t="str">
        <f t="shared" si="100"/>
        <v/>
      </c>
      <c r="IZ9" s="36" t="str">
        <f t="shared" si="101"/>
        <v/>
      </c>
      <c r="JA9" s="36" t="str">
        <f t="shared" si="102"/>
        <v/>
      </c>
      <c r="JB9" s="36" t="str">
        <f t="shared" si="103"/>
        <v/>
      </c>
      <c r="JC9" s="36" t="str">
        <f t="shared" si="104"/>
        <v/>
      </c>
      <c r="JD9" s="36" t="str">
        <f t="shared" si="105"/>
        <v/>
      </c>
      <c r="JE9" s="36" t="str">
        <f t="shared" si="106"/>
        <v/>
      </c>
      <c r="JF9" s="36" t="str">
        <f t="shared" si="107"/>
        <v/>
      </c>
      <c r="JG9" s="36" t="str">
        <f t="shared" si="108"/>
        <v/>
      </c>
      <c r="JH9" s="36" t="str">
        <f t="shared" si="109"/>
        <v/>
      </c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1" t="str">
        <f t="shared" si="110"/>
        <v/>
      </c>
      <c r="KD9" s="11" t="str">
        <f t="shared" si="111"/>
        <v/>
      </c>
      <c r="KE9" s="11" t="str">
        <f t="shared" si="112"/>
        <v/>
      </c>
      <c r="KF9" s="11" t="str">
        <f t="shared" si="113"/>
        <v/>
      </c>
      <c r="KG9" s="11" t="str">
        <f t="shared" si="114"/>
        <v/>
      </c>
      <c r="KH9" s="11" t="str">
        <f t="shared" si="115"/>
        <v/>
      </c>
      <c r="KI9" s="11" t="str">
        <f t="shared" si="116"/>
        <v/>
      </c>
      <c r="KJ9" s="11" t="str">
        <f t="shared" si="117"/>
        <v/>
      </c>
      <c r="KK9" s="11" t="str">
        <f t="shared" si="118"/>
        <v/>
      </c>
      <c r="KL9" s="11" t="str">
        <f t="shared" si="119"/>
        <v/>
      </c>
      <c r="KM9" s="11" t="str">
        <f t="shared" si="120"/>
        <v/>
      </c>
      <c r="KN9" s="11" t="str">
        <f t="shared" si="121"/>
        <v/>
      </c>
      <c r="KO9" s="11" t="str">
        <f t="shared" si="122"/>
        <v/>
      </c>
      <c r="KP9" s="11" t="str">
        <f t="shared" si="123"/>
        <v/>
      </c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36" t="str">
        <f t="shared" si="124"/>
        <v/>
      </c>
      <c r="LL9" s="36" t="str">
        <f t="shared" si="125"/>
        <v/>
      </c>
      <c r="LM9" s="36" t="str">
        <f t="shared" si="126"/>
        <v/>
      </c>
      <c r="LN9" s="36" t="str">
        <f t="shared" si="127"/>
        <v/>
      </c>
      <c r="LO9" s="36" t="str">
        <f t="shared" si="128"/>
        <v/>
      </c>
      <c r="LP9" s="36" t="str">
        <f t="shared" si="129"/>
        <v/>
      </c>
      <c r="LQ9" s="36" t="str">
        <f t="shared" si="130"/>
        <v/>
      </c>
      <c r="LR9" s="36" t="str">
        <f t="shared" si="131"/>
        <v/>
      </c>
      <c r="LS9" s="36" t="str">
        <f t="shared" si="132"/>
        <v/>
      </c>
      <c r="LT9" s="36" t="str">
        <f t="shared" si="133"/>
        <v/>
      </c>
      <c r="LU9" s="36" t="str">
        <f t="shared" si="134"/>
        <v/>
      </c>
      <c r="LV9" s="36" t="str">
        <f t="shared" si="135"/>
        <v/>
      </c>
      <c r="LW9" s="36" t="str">
        <f t="shared" si="136"/>
        <v/>
      </c>
      <c r="LX9" s="36" t="str">
        <f t="shared" si="137"/>
        <v/>
      </c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16"/>
      <c r="MP9" s="16"/>
      <c r="MQ9" s="16"/>
      <c r="MR9" s="16"/>
      <c r="MS9" s="11" t="str">
        <f t="shared" si="138"/>
        <v/>
      </c>
      <c r="MT9" s="11" t="str">
        <f t="shared" si="139"/>
        <v/>
      </c>
      <c r="MU9" s="11" t="str">
        <f t="shared" si="140"/>
        <v/>
      </c>
      <c r="MV9" s="11" t="str">
        <f t="shared" si="141"/>
        <v/>
      </c>
      <c r="MW9" s="11" t="str">
        <f t="shared" si="142"/>
        <v/>
      </c>
      <c r="MX9" s="11" t="str">
        <f t="shared" si="143"/>
        <v/>
      </c>
      <c r="MY9" s="11" t="str">
        <f t="shared" si="144"/>
        <v/>
      </c>
      <c r="MZ9" s="11" t="str">
        <f t="shared" si="145"/>
        <v/>
      </c>
      <c r="NA9" s="11" t="str">
        <f t="shared" si="146"/>
        <v/>
      </c>
      <c r="NB9" s="11" t="str">
        <f t="shared" si="147"/>
        <v/>
      </c>
      <c r="NC9" s="11" t="str">
        <f t="shared" si="148"/>
        <v/>
      </c>
      <c r="ND9" s="11" t="str">
        <f t="shared" si="149"/>
        <v/>
      </c>
      <c r="NE9" s="11" t="str">
        <f t="shared" si="150"/>
        <v/>
      </c>
      <c r="NF9" s="11" t="str">
        <f t="shared" si="151"/>
        <v/>
      </c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36" t="str">
        <f t="shared" si="152"/>
        <v/>
      </c>
      <c r="OB9" s="36" t="str">
        <f t="shared" si="153"/>
        <v/>
      </c>
      <c r="OC9" s="36" t="str">
        <f t="shared" si="154"/>
        <v/>
      </c>
      <c r="OD9" s="36" t="str">
        <f t="shared" si="155"/>
        <v/>
      </c>
      <c r="OE9" s="36" t="str">
        <f t="shared" si="156"/>
        <v/>
      </c>
      <c r="OF9" s="36" t="str">
        <f t="shared" si="157"/>
        <v/>
      </c>
      <c r="OG9" s="36" t="str">
        <f t="shared" si="158"/>
        <v/>
      </c>
      <c r="OH9" s="36" t="str">
        <f t="shared" si="159"/>
        <v/>
      </c>
      <c r="OI9" s="36" t="str">
        <f t="shared" si="160"/>
        <v/>
      </c>
      <c r="OJ9" s="36" t="str">
        <f t="shared" si="161"/>
        <v/>
      </c>
      <c r="OK9" s="36" t="str">
        <f t="shared" si="162"/>
        <v/>
      </c>
      <c r="OL9" s="36" t="str">
        <f t="shared" si="163"/>
        <v/>
      </c>
      <c r="OM9" s="36" t="str">
        <f t="shared" si="164"/>
        <v/>
      </c>
      <c r="ON9" s="36" t="str">
        <f t="shared" si="165"/>
        <v/>
      </c>
      <c r="OO9" s="16"/>
      <c r="OP9" s="16"/>
      <c r="OQ9" s="16"/>
      <c r="OR9" s="16"/>
      <c r="OS9" s="16"/>
      <c r="OT9" s="16"/>
      <c r="OU9" s="16"/>
      <c r="OV9" s="16"/>
      <c r="OW9" s="16"/>
      <c r="OX9" s="16"/>
      <c r="OY9" s="16"/>
      <c r="OZ9" s="16"/>
      <c r="PA9" s="16"/>
      <c r="PB9" s="16"/>
      <c r="PC9" s="16"/>
      <c r="PD9" s="16"/>
      <c r="PE9" s="16"/>
      <c r="PF9" s="16"/>
      <c r="PG9" s="16"/>
      <c r="PH9" s="16"/>
      <c r="PI9" s="11" t="str">
        <f t="shared" si="166"/>
        <v/>
      </c>
      <c r="PJ9" s="11" t="str">
        <f t="shared" si="167"/>
        <v/>
      </c>
      <c r="PK9" s="11" t="str">
        <f t="shared" si="168"/>
        <v/>
      </c>
      <c r="PL9" s="11" t="str">
        <f t="shared" si="169"/>
        <v/>
      </c>
      <c r="PM9" s="11" t="str">
        <f t="shared" si="170"/>
        <v/>
      </c>
      <c r="PN9" s="11" t="str">
        <f t="shared" si="171"/>
        <v/>
      </c>
      <c r="PO9" s="11" t="str">
        <f t="shared" si="172"/>
        <v/>
      </c>
      <c r="PP9" s="11" t="str">
        <f t="shared" si="173"/>
        <v/>
      </c>
      <c r="PQ9" s="11" t="str">
        <f t="shared" si="174"/>
        <v/>
      </c>
      <c r="PR9" s="11" t="str">
        <f t="shared" si="175"/>
        <v/>
      </c>
      <c r="PS9" s="11" t="str">
        <f t="shared" si="176"/>
        <v/>
      </c>
      <c r="PT9" s="11" t="str">
        <f t="shared" si="177"/>
        <v/>
      </c>
      <c r="PU9" s="11" t="str">
        <f t="shared" si="178"/>
        <v/>
      </c>
      <c r="PV9" s="11" t="str">
        <f t="shared" si="179"/>
        <v/>
      </c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36" t="str">
        <f t="shared" si="180"/>
        <v/>
      </c>
      <c r="QR9" s="36" t="str">
        <f t="shared" si="181"/>
        <v/>
      </c>
      <c r="QS9" s="36" t="str">
        <f t="shared" si="182"/>
        <v/>
      </c>
      <c r="QT9" s="36" t="str">
        <f t="shared" si="183"/>
        <v/>
      </c>
      <c r="QU9" s="36" t="str">
        <f t="shared" si="184"/>
        <v/>
      </c>
      <c r="QV9" s="36" t="str">
        <f t="shared" si="185"/>
        <v/>
      </c>
      <c r="QW9" s="36" t="str">
        <f t="shared" si="186"/>
        <v/>
      </c>
      <c r="QX9" s="36" t="str">
        <f t="shared" si="187"/>
        <v/>
      </c>
      <c r="QY9" s="36" t="str">
        <f t="shared" si="188"/>
        <v/>
      </c>
      <c r="QZ9" s="36" t="str">
        <f t="shared" si="189"/>
        <v/>
      </c>
      <c r="RA9" s="36" t="str">
        <f t="shared" si="190"/>
        <v/>
      </c>
      <c r="RB9" s="36" t="str">
        <f t="shared" si="191"/>
        <v/>
      </c>
      <c r="RC9" s="36" t="str">
        <f t="shared" si="192"/>
        <v/>
      </c>
      <c r="RD9" s="36" t="str">
        <f t="shared" si="193"/>
        <v/>
      </c>
      <c r="RE9" s="16"/>
      <c r="RF9" s="16"/>
      <c r="RG9" s="16"/>
      <c r="RH9" s="16"/>
      <c r="RI9" s="16"/>
      <c r="RJ9" s="16"/>
      <c r="RK9" s="16"/>
      <c r="RL9" s="16"/>
      <c r="RM9" s="16"/>
      <c r="RN9" s="16"/>
      <c r="RO9" s="16"/>
      <c r="RP9" s="16"/>
      <c r="RQ9" s="16"/>
      <c r="RR9" s="16"/>
      <c r="RS9" s="16"/>
      <c r="RT9" s="16"/>
      <c r="RU9" s="16"/>
      <c r="RV9" s="16"/>
      <c r="RW9" s="16"/>
      <c r="RX9" s="16"/>
      <c r="RY9" s="11" t="str">
        <f t="shared" si="194"/>
        <v/>
      </c>
      <c r="RZ9" s="11" t="str">
        <f t="shared" si="195"/>
        <v/>
      </c>
      <c r="SA9" s="11" t="str">
        <f t="shared" si="196"/>
        <v/>
      </c>
      <c r="SB9" s="11" t="str">
        <f t="shared" si="197"/>
        <v/>
      </c>
      <c r="SC9" s="11" t="str">
        <f t="shared" si="198"/>
        <v/>
      </c>
      <c r="SD9" s="11" t="str">
        <f t="shared" si="199"/>
        <v/>
      </c>
      <c r="SE9" s="11" t="str">
        <f t="shared" si="200"/>
        <v/>
      </c>
      <c r="SF9" s="11" t="str">
        <f t="shared" si="201"/>
        <v/>
      </c>
      <c r="SG9" s="11" t="str">
        <f t="shared" si="202"/>
        <v/>
      </c>
      <c r="SH9" s="11" t="str">
        <f t="shared" si="203"/>
        <v/>
      </c>
      <c r="SI9" s="11" t="str">
        <f t="shared" si="204"/>
        <v/>
      </c>
      <c r="SJ9" s="11" t="str">
        <f t="shared" si="205"/>
        <v/>
      </c>
      <c r="SK9" s="11" t="str">
        <f t="shared" si="206"/>
        <v/>
      </c>
      <c r="SL9" s="11" t="str">
        <f t="shared" si="207"/>
        <v/>
      </c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36" t="str">
        <f t="shared" si="208"/>
        <v/>
      </c>
      <c r="TH9" s="36" t="str">
        <f t="shared" si="209"/>
        <v/>
      </c>
      <c r="TI9" s="36" t="str">
        <f t="shared" si="210"/>
        <v/>
      </c>
      <c r="TJ9" s="36" t="str">
        <f t="shared" si="211"/>
        <v/>
      </c>
      <c r="TK9" s="36" t="str">
        <f t="shared" si="212"/>
        <v/>
      </c>
      <c r="TL9" s="36" t="str">
        <f t="shared" si="213"/>
        <v/>
      </c>
      <c r="TM9" s="36" t="str">
        <f t="shared" si="214"/>
        <v/>
      </c>
      <c r="TN9" s="36" t="str">
        <f t="shared" si="215"/>
        <v/>
      </c>
      <c r="TO9" s="36" t="str">
        <f t="shared" si="216"/>
        <v/>
      </c>
      <c r="TP9" s="36" t="str">
        <f t="shared" si="217"/>
        <v/>
      </c>
      <c r="TQ9" s="36" t="str">
        <f t="shared" si="218"/>
        <v/>
      </c>
      <c r="TR9" s="36" t="str">
        <f t="shared" si="219"/>
        <v/>
      </c>
      <c r="TS9" s="36" t="str">
        <f t="shared" si="220"/>
        <v/>
      </c>
      <c r="TT9" s="36" t="str">
        <f t="shared" si="221"/>
        <v/>
      </c>
      <c r="TU9" s="16"/>
      <c r="TV9" s="16"/>
      <c r="TW9" s="16"/>
      <c r="TX9" s="16"/>
      <c r="TY9" s="16"/>
      <c r="TZ9" s="16"/>
      <c r="UA9" s="16"/>
      <c r="UB9" s="16"/>
      <c r="UC9" s="16"/>
      <c r="UD9" s="16"/>
      <c r="UE9" s="16"/>
      <c r="UF9" s="16"/>
      <c r="UG9" s="16"/>
      <c r="UH9" s="16"/>
      <c r="UI9" s="16"/>
      <c r="UJ9" s="16"/>
      <c r="UK9" s="16"/>
      <c r="UL9" s="16"/>
      <c r="UM9" s="16"/>
      <c r="UN9" s="16"/>
      <c r="UO9" s="11" t="str">
        <f t="shared" si="222"/>
        <v/>
      </c>
      <c r="UP9" s="11" t="str">
        <f t="shared" si="223"/>
        <v/>
      </c>
      <c r="UQ9" s="11" t="str">
        <f t="shared" si="224"/>
        <v/>
      </c>
      <c r="UR9" s="11" t="str">
        <f t="shared" si="225"/>
        <v/>
      </c>
      <c r="US9" s="11" t="str">
        <f t="shared" si="226"/>
        <v/>
      </c>
      <c r="UT9" s="11" t="str">
        <f t="shared" si="227"/>
        <v/>
      </c>
      <c r="UU9" s="11" t="str">
        <f t="shared" si="228"/>
        <v/>
      </c>
      <c r="UV9" s="11" t="str">
        <f t="shared" si="229"/>
        <v/>
      </c>
      <c r="UW9" s="11" t="str">
        <f t="shared" si="230"/>
        <v/>
      </c>
      <c r="UX9" s="11" t="str">
        <f t="shared" si="231"/>
        <v/>
      </c>
      <c r="UY9" s="11" t="str">
        <f t="shared" si="232"/>
        <v/>
      </c>
      <c r="UZ9" s="11" t="str">
        <f t="shared" si="233"/>
        <v/>
      </c>
      <c r="VA9" s="11" t="str">
        <f t="shared" si="234"/>
        <v/>
      </c>
      <c r="VB9" s="11" t="str">
        <f t="shared" si="235"/>
        <v/>
      </c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36" t="str">
        <f t="shared" si="236"/>
        <v/>
      </c>
      <c r="VX9" s="36" t="str">
        <f t="shared" si="237"/>
        <v/>
      </c>
      <c r="VY9" s="36" t="str">
        <f t="shared" si="238"/>
        <v/>
      </c>
      <c r="VZ9" s="36" t="str">
        <f t="shared" si="239"/>
        <v/>
      </c>
      <c r="WA9" s="36" t="str">
        <f t="shared" si="240"/>
        <v/>
      </c>
      <c r="WB9" s="36" t="str">
        <f t="shared" si="241"/>
        <v/>
      </c>
      <c r="WC9" s="36" t="str">
        <f t="shared" si="242"/>
        <v/>
      </c>
      <c r="WD9" s="36" t="str">
        <f t="shared" si="243"/>
        <v/>
      </c>
      <c r="WE9" s="36" t="str">
        <f t="shared" si="244"/>
        <v/>
      </c>
      <c r="WF9" s="36" t="str">
        <f t="shared" si="245"/>
        <v/>
      </c>
      <c r="WG9" s="36" t="str">
        <f t="shared" si="246"/>
        <v/>
      </c>
      <c r="WH9" s="36" t="str">
        <f t="shared" si="247"/>
        <v/>
      </c>
      <c r="WI9" s="36" t="str">
        <f t="shared" si="248"/>
        <v/>
      </c>
      <c r="WJ9" s="36" t="str">
        <f t="shared" si="249"/>
        <v/>
      </c>
    </row>
    <row r="10" spans="1:608" x14ac:dyDescent="0.2">
      <c r="A10" s="4" cm="1">
        <f t="array" ref="A10">IF(AND(H10&lt;&gt;"",H10&lt;&gt;"No DD",I10&lt;&gt;"P"),SUMPRODUCT((H$4:H$28&lt;&gt;"")*(H$4:H$28&lt;&gt;"No DD")*(I$4:I$28&lt;&gt;"P")*(E$4:E$28&gt;E10))+1,IF(H10="No DD",SUMPRODUCT((H$4:H$28="No DD")*(I$4:I$28&lt;&gt;"P")*(E$4:E$28&gt;E10))+1+SUMPRODUCT((H$4:H$28&lt;&gt;"")*(I$4:I$28&lt;&gt;"P")*(H$4:H$28&lt;&gt;"No DD")),""))</f>
        <v>5</v>
      </c>
      <c r="B10" s="5" t="s">
        <v>187</v>
      </c>
      <c r="C10" s="4" t="s">
        <v>7</v>
      </c>
      <c r="D10" s="4">
        <v>2007</v>
      </c>
      <c r="E10" s="9">
        <f t="shared" si="0"/>
        <v>108.12001081200559</v>
      </c>
      <c r="F10" s="3" t="str">
        <f>IF(OR(AND(AG10&gt;=AQ$30,AG10&lt;&gt;"",AI10&gt;=AQ$34,AI10&lt;&gt;"",AF10=""),AND(AJ10&gt;=AQ$30,AJ10&lt;&gt;"",AL10&gt;=AQ$34,AL10&lt;&gt;"",AF10=""),AND(AN10&gt;=AQ$30,AN10&lt;&gt;"",AP10&gt;=AQ$34,AP10&lt;&gt;"",AF10=""),AND(BH10&gt;=BR$30,BH10&lt;&gt;"",BJ10&gt;=BR$34,BJ10&lt;&gt;"",BG10=""),AND(BK10&gt;=BR$30,BK10&lt;&gt;"",BM10&gt;=BR$34,BM10&lt;&gt;"",BG10=""),AND(BO10&gt;=BR$30,BO10&lt;&gt;"",BQ10&gt;=BR$34,BQ10&lt;&gt;"",BG10=""),AND(CI10&gt;=CS$30,CI10&lt;&gt;"",CK10&gt;=CS$34,CK10&lt;&gt;"",CH10=""),AND(CL10&gt;=CS$30,CL10&lt;&gt;"",CN10&gt;=CS$34,CN10&lt;&gt;"",CH10=""),AND(CP10&gt;=CS$30,CP10&lt;&gt;"",CR10&gt;=CS$34,CR10&lt;&gt;"",CH10=""),AND(DO10&gt;=EB$30,DO10&lt;&gt;"",DQ10&gt;=EB$34,DQ10&lt;&gt;""),AND(DR10&gt;=EB$30,DR10&lt;&gt;"",DT10&gt;=EB$34,DT10&lt;&gt;""),AND(DV10&gt;=EB$30,DV10&lt;&gt;"",DX10&gt;=EB$34,DX10&lt;&gt;""),AND(DY10&gt;=EB$30,DY10&lt;&gt;"",EA10&gt;=EB$34,EA10&lt;&gt;""),AND(EW10&gt;=FJ$30,EW10&lt;&gt;"",EY10&gt;=FJ$34,EY10&lt;&gt;""),AND(EZ10&gt;=FJ$30,EZ10&lt;&gt;"",FB10&gt;=FJ$34,FB10&lt;&gt;""),AND(FD10&gt;=FJ$30,FD10&lt;&gt;"",FF10&gt;=FJ$34,FF10&lt;&gt;""),AND(FG10&gt;=FJ$30,FG10&lt;&gt;"",FI10&gt;=FJ$34,FI10&lt;&gt;""),AND(GE10&gt;=GR$30,GE10&lt;&gt;"",GG10&gt;=GR$34,GG10&lt;&gt;""),AND(GH10&gt;=GR$30,GH10&lt;&gt;"",GJ10&gt;=GR$34,GJ10&lt;&gt;""),AND(GL10&gt;=GR$30,GL10&lt;&gt;"",GN10&gt;=GR$34,GN10&lt;&gt;""),AND(GO10&gt;=GR$30,GO10&lt;&gt;"",GQ10&gt;=GR$34,GQ10&lt;&gt;""),AND(HM10&gt;=HZ$30,HM10&lt;&gt;"",HO10&gt;=HZ$34,HO10&lt;&gt;""),AND(HP10&gt;=HZ$30,HP10&lt;&gt;"",HR10&gt;=HZ$34,HR10&lt;&gt;""),AND(HT10&gt;=HZ$30,HT10&lt;&gt;"",HV10&gt;=HZ$34,HV10&lt;&gt;""),AND(HW10&gt;=HZ$30,HW10&lt;&gt;"",HY10&gt;=HZ$34,HY10&lt;&gt;""),AND(IU10&gt;=JH$30,IU10&lt;&gt;"",IW10&gt;=JH$34,IW10&lt;&gt;""),AND(IX10&gt;=JH$30,IX10&lt;&gt;"",IZ10&gt;=JH$34,IZ10&lt;&gt;""),AND(JB10&gt;=JH$30,JB10&lt;&gt;"",JD10&gt;=JH$34,JD10&lt;&gt;""),AND(JE10&gt;=JH$30,JE10&lt;&gt;"",JG10&gt;=JH$34,JG10&lt;&gt;""),AND(KC10&gt;=KP$30,KC10&lt;&gt;"",KE10&gt;=KP$34,KE10&lt;&gt;""),AND(KF10&gt;=KP$30,KF10&lt;&gt;"",KH10&gt;=KP$34,KH10&lt;&gt;""),AND(KJ10&gt;=KP$30,KJ10&lt;&gt;"",KL10&gt;=KP$34,KL10&lt;&gt;""),AND(KM10&gt;=KP$30,KM10&lt;&gt;"",KO10&gt;=KP$34,KO10&lt;&gt;""),AND(LK10&gt;=LX$30,LK10&lt;&gt;"",LM10&gt;=LX$34,LM10&lt;&gt;""),AND(LN10&gt;=LX$30,LN10&lt;&gt;"",LP10&gt;=LX$34,LP10&lt;&gt;""),AND(LR10&gt;=LX$30,LR10&lt;&gt;"",LT10&gt;=LX$34,LT10&lt;&gt;""),AND(LU10&gt;=LX$30,LU10&lt;&gt;"",LW10&gt;=LX$34,LW10&lt;&gt;""),AND(MS10&gt;=NF$30,MS10&lt;&gt;"",MU10&gt;=NF$34,MU10&lt;&gt;""),AND(MV10&gt;=NF$30,MV10&lt;&gt;"",MX10&gt;=NF$34,MX10&lt;&gt;""),AND(MZ10&gt;=NF$30,MZ10&lt;&gt;"",NB10&gt;=NF$34,NB10&lt;&gt;""),AND(NC10&gt;=NF$30,NC10&lt;&gt;"",NE10&gt;=NF$34,NE10&lt;&gt;""),AND(OA10&gt;=ON$30,OA10&lt;&gt;"",OC10&gt;=ON$34,OC10&lt;&gt;""),AND(OD10&gt;=ON$30,OD10&lt;&gt;"",OF10&gt;=ON$34,OF10&lt;&gt;""),AND(OH10&gt;=ON$30,OH10&lt;&gt;"",OJ10&gt;=ON$34,OJ10&lt;&gt;""),AND(OK10&gt;=ON$30,OK10&lt;&gt;"",OM10&gt;=ON$34,OM10&lt;&gt;""),AND(PI10&gt;=PV$30,PI10&lt;&gt;"",PK10&gt;=PV$34,PK10&lt;&gt;""),AND(PL10&gt;=PV$30,PL10&lt;&gt;"",PN10&gt;=PV$34,PN10&lt;&gt;""),AND(PP10&gt;=PV$30,PP10&lt;&gt;"",PR10&gt;=PV$34,PR10&lt;&gt;""),AND(PS10&gt;=PV$30,PS10&lt;&gt;"",PU10&gt;=PV$34,PU10&lt;&gt;""),AND(QQ10&gt;=RD$30,QQ10&lt;&gt;"",QS10&gt;=RD$34,QS10&lt;&gt;""),AND(QT10&gt;=RD$30,QT10&lt;&gt;"",QV10&gt;=RD$34,QV10&lt;&gt;""),AND(QX10&gt;=RD$30,QX10&lt;&gt;"",QZ10&gt;=RD$34,QZ10&lt;&gt;""),AND(RA10&gt;=RD$30,RA10&lt;&gt;"",RC10&gt;=RD$34,RC10&lt;&gt;""),AND(RY10&gt;=SL$30,RY10&lt;&gt;"",SA10&gt;=SL$34,SA10&lt;&gt;""),AND(SB10&gt;=SL$30,SB10&lt;&gt;"",SD10&gt;=SL$34,SD10&lt;&gt;""),AND(SF10&gt;=SL$30,SF10&lt;&gt;"",SH10&gt;=SL$34,SH10&lt;&gt;""),AND(SI10&gt;=SL$30,SI10&lt;&gt;"",SK10&gt;=SL$34,SK10&lt;&gt;""),AND(TG10&gt;=TT$30,TG10&lt;&gt;"",TI10&gt;=TT$34,TI10&lt;&gt;""),AND(TJ10&gt;=TT$30,TJ10&lt;&gt;"",TL10&gt;=TT$34,TL10&lt;&gt;""),AND(TN10&gt;=TT$30,TN10&lt;&gt;"",TP10&gt;=TT$34,TXN10&lt;&gt;""),AND(TQ10&gt;=TT$30,TQ10&lt;&gt;"",TS10&gt;=TT$34,TS10&lt;&gt;""),AND(UO10&gt;=VB$30,UO10&lt;&gt;"",UQ10&gt;=VB$34,UQ10&lt;&gt;""),AND(UR10&gt;=VB$30,UR10&lt;&gt;"",UT10&gt;=VB$34,UT10&lt;&gt;""),AND(UV10&gt;=VB$30,UV10&lt;&gt;"",UX10&gt;=VB$34,UX10&lt;&gt;""),AND(UY10&gt;=VB$30,UY10&lt;&gt;"",VA10&gt;=VB$34,VA10&lt;&gt;""),AND(VW10&gt;=WJ$30,VW10&lt;&gt;"",VY10&gt;=WJ$34,VY10&lt;&gt;""),AND(VZ10&gt;=WJ$30,VZ10&lt;&gt;"",WB10&gt;=WJ$34,WB10&lt;&gt;""),AND(WD10&gt;=WJ$30,WD10&lt;&gt;"",WF10&gt;=WJ$34,WF10&lt;&gt;""),AND(WG10&gt;=WJ$30,WG10&lt;&gt;"",WI10&gt;=WJ$34,WI10&lt;&gt;"")),"P","")</f>
        <v/>
      </c>
      <c r="G10" s="3" t="str">
        <f>IF(OR(AND(AI10&gt;=AQ$34,AI10&lt;&gt;"",AF10=""),AND(AL10&gt;=AQ$34,AL10&lt;&gt;"",AF10=""),AND(AP10&gt;=AQ$34,AP10&lt;&gt;"",AF10=""),AND(BJ10&gt;=BR$34,BJ10&lt;&gt;"",BG10=""),AND(BM10&gt;=BR$34,BM10&lt;&gt;"",BG10=""),AND(BQ10&gt;=BR$34,BQ10&lt;&gt;"",BG10=""),AND(CK10&gt;=CS$34,CK10&lt;&gt;"",CH10=""),AND(CN10&gt;=CS$34,CN10&lt;&gt;"",CH10=""),AND(CR10&gt;=CS$34,CR10&lt;&gt;"",CH10=""),AND(DQ10&gt;=EB$34,DQ10&lt;&gt;""),AND(DT10&gt;=EB$34,DT10&lt;&gt;""),AND(DX10&gt;=EB$34,DX10&lt;&gt;""),AND(EA10&gt;=EB$34,EA10&lt;&gt;""),AND(EY10&gt;=FJ$34,EY10&lt;&gt;""),AND(FB10&gt;=FJ$34,FB10&lt;&gt;""),AND(FF10&gt;=FJ$34,FF10&lt;&gt;""),AND(FI10&gt;=FJ$34,FI10&lt;&gt;""),AND(GG10&gt;=GR$34,GG10&lt;&gt;""),AND(GJ10&gt;=GR$34,GJ10&lt;&gt;""),AND(GN10&gt;=GR$34,GN10&lt;&gt;""),AND(GQ10&gt;=GR$34,GQ10&lt;&gt;""),AND(HO10&gt;=HZ$34,HO10&lt;&gt;""),AND(HR10&gt;=HZ$34,HR10&lt;&gt;""),AND(HV10&gt;=HZ$34,HV10&lt;&gt;""),AND(HY10&gt;=HZ$34,HY10&lt;&gt;""),AND(IW10&gt;=JH$34,IW10&lt;&gt;""),AND(IZ10&gt;=JH$34,IZ10&lt;&gt;""),AND(JD10&gt;=JH$34,JD10&lt;&gt;""),AND(JG10&gt;=JH$34,JG10&lt;&gt;""),AND(KE10&gt;=KP$34,KE10&lt;&gt;""),AND(KH10&gt;=KP$34,KH10&lt;&gt;""),AND(KL10&gt;=KP$34,KL10&lt;&gt;""),AND(KO10&gt;=KP$34,KO10&lt;&gt;""),AND(LM10&gt;=LX$34,LM10&lt;&gt;""),AND(LP10&gt;=LX$34,LP10&lt;&gt;""),AND(LT10&gt;=LX$34,LT10&lt;&gt;""),AND(LW10&gt;=LX$34,LW10&lt;&gt;""),AND(MU10&gt;=NF$34,MU10&lt;&gt;""),AND(MX10&gt;=NF$34,MX10&lt;&gt;""),AND(NB10&gt;=NF$34,NB10&lt;&gt;""),AND(NE10&gt;=NF$34,NE10&lt;&gt;""),AND(OC10&gt;=ON$34,OC10&lt;&gt;""),AND(OF10&gt;=ON$34,OF10&lt;&gt;""),AND(OJ10&gt;=ON$34,OJ10&lt;&gt;""),AND(OM10&gt;=ON$34,OM10&lt;&gt;""),AND(PK10&gt;=PV$34,PK10&lt;&gt;""),AND(PN10&gt;=PV$34,PN10&lt;&gt;""),AND(PR10&gt;=PV$34,PR10&lt;&gt;""),AND(PU10&gt;=PV$34,PU10&lt;&gt;""),AND(QS10&gt;=RD$34,QS10&lt;&gt;""),AND(QV10&gt;=RD$34,QV10&lt;&gt;""),AND(QZ10&gt;=RD$34,QZ10&lt;&gt;""),AND(RC10&gt;=RD$34,RC10&lt;&gt;""),AND(SA10&gt;=SL$34,SA10&lt;&gt;""),AND(SD10&gt;=SL$34,SD10&lt;&gt;""),AND(SH10&gt;=SL$34,SH10&lt;&gt;""),AND(SK10&gt;=SL$34,SK10&lt;&gt;""),AND(TI10&gt;=TT$34,TI10&lt;&gt;""),AND(TL10&gt;=TT$34,TL10&lt;&gt;""),AND(TP10&gt;=TT$34,TXN10&lt;&gt;""),AND(TS10&gt;=TT$34,TS10&lt;&gt;""),AND(UQ10&gt;=VB$34,UQ10&lt;&gt;""),AND(UT10&gt;=VB$34,UT10&lt;&gt;""),AND(UX10&gt;=VB$34,UX10&lt;&gt;""),AND(VA10&gt;=VB$34,VA10&lt;&gt;""),AND(VY10&gt;=WJ$34,VY10&lt;&gt;""),AND(WB10&gt;=WJ$34,WB10&lt;&gt;""),AND(WF10&gt;=WJ$34,WF10&lt;&gt;""),AND(WI10&gt;=WJ$34,WI10&lt;&gt;"")),"P","")</f>
        <v>P</v>
      </c>
      <c r="H10" s="32" t="str">
        <f>IF(AND(G10="P",F10=""),"No DD",IF(OR(AND(AG10&gt;=AQ$33,AG10&lt;&gt;"",AI10&gt;=AQ$37,AI10&lt;&gt;"",AF10=""),AND(AJ10&gt;=AQ$33,AJ10&lt;&gt;"",AL10&gt;=AQ$37,AL10&lt;&gt;"",AF10=""),AND(AN10&gt;=AQ$33,AN10&lt;&gt;"",AP10&gt;=AQ$37,AP10&lt;&gt;"",AF10=""),AND(BH10&gt;=BR$33,BH10&lt;&gt;"",BJ10&gt;=BR$37,BJ10&lt;&gt;"",BG10=""),AND(BK10&gt;=BR$33,BK10&lt;&gt;"",BM10&gt;=BR$37,BM10&lt;&gt;"",BG10=""),AND(BO10&gt;=BR$33,BO10&lt;&gt;"",BQ10&gt;=BR$37,BQ10&lt;&gt;"",BG10=""),AND(CI10&gt;=CS$33,CI10&lt;&gt;"",CK10&gt;=CS$37,CK10&lt;&gt;"",CH10=""),AND(CL10&gt;=CS$33,CL10&lt;&gt;"",CN10&gt;=CS$37,CN10&lt;&gt;"",CH10=""),AND(CP10&gt;=CS$33,CP10&lt;&gt;"",CR10&gt;=CS$37,CR10&lt;&gt;"",CH10=""),AND(DO10&gt;=EB$33,DO10&lt;&gt;"",DQ10&gt;=EB$37,DQ10&lt;&gt;""),AND(DR10&gt;=EB$33,DR10&lt;&gt;"",DT10&gt;=EB$37,DT10&lt;&gt;""),AND(DV10&gt;=EB$33,DV10&lt;&gt;"",DX10&gt;=EB$37,DX10&lt;&gt;""),AND(DY10&gt;=EB$33,DY10&lt;&gt;"",EA10&gt;=EB$37,EA10&lt;&gt;""),AND(EW10&gt;=FJ$33,EW10&lt;&gt;"",EY10&gt;=FJ$37,EY10&lt;&gt;""),AND(EZ10&gt;=FJ$33,EZ10&lt;&gt;"",FB10&gt;=FJ$37,FB10&lt;&gt;""),AND(FD10&gt;=FJ$33,FD10&lt;&gt;"",FF10&gt;=FJ$37,FF10&lt;&gt;""),AND(FG10&gt;=FJ$33,FG10&lt;&gt;"",FI10&gt;=FJ$37,FI10&lt;&gt;""),AND(GE10&gt;=GR$33,GE10&lt;&gt;"",GG10&gt;=GR$37,GG10&lt;&gt;""),AND(GH10&gt;=GR$33,GH10&lt;&gt;"",GJ10&gt;=GR$37,GJ10&lt;&gt;""),AND(GL10&gt;=GR$33,GL10&lt;&gt;"",GN10&gt;=GR$37,GN10&lt;&gt;""),AND(GO10&gt;=GR$33,GO10&lt;&gt;"",GQ10&gt;=GR$37,GQ10&lt;&gt;""),AND(HM10&gt;=HZ$33,HM10&lt;&gt;"",HO10&gt;=HZ$37,HO10&lt;&gt;""),AND(HP10&gt;=HZ$33,HP10&lt;&gt;"",HR10&gt;=HZ$37,HR10&lt;&gt;""),AND(HT10&gt;=HZ$33,HT10&lt;&gt;"",HV10&gt;=HZ$37,HV10&lt;&gt;""),AND(HW10&gt;=HZ$33,HW10&lt;&gt;"",HY10&gt;=HZ$37,HY10&lt;&gt;""),AND(IU10&gt;=JH$33,IU10&lt;&gt;"",IW10&gt;=JH$37,IW10&lt;&gt;""),AND(IX10&gt;=JH$33,IX10&lt;&gt;"",IZ10&gt;=JH$37,IZ10&lt;&gt;""),AND(JB10&gt;=JH$33,JB10&lt;&gt;"",JD10&gt;=JH$37,JD10&lt;&gt;""),AND(JE10&gt;=JH$33,JE10&lt;&gt;"",JG10&gt;=JH$37,JG10&lt;&gt;""),AND(KC10&gt;=KP$33,KC10&lt;&gt;"",KE10&gt;=KP$37,KE10&lt;&gt;""),AND(KF10&gt;=KP$33,KF10&lt;&gt;"",KH10&gt;=KP$37,KH10&lt;&gt;""),AND(KJ10&gt;=KP$33,KJ10&lt;&gt;"",KL10&gt;=KP$37,KL10&lt;&gt;""),AND(KM10&gt;=KP$33,KM10&lt;&gt;"",KO10&gt;=KP$37,KO10&lt;&gt;""),AND(LK10&gt;=LX$33,LK10&lt;&gt;"",LM10&gt;=LX$37,LM10&lt;&gt;""),AND(LN10&gt;=LX$33,LN10&lt;&gt;"",LP10&gt;=LX$37,LP10&lt;&gt;""),AND(LR10&gt;=LX$33,LR10&lt;&gt;"",LT10&gt;=LX$37,LT10&lt;&gt;""),AND(LU10&gt;=LX$33,LU10&lt;&gt;"",LW10&gt;=LX$37,LW10&lt;&gt;""),AND(MS10&gt;=NF$33,MS10&lt;&gt;"",MU10&gt;=NF$37,MU10&lt;&gt;""),AND(MV10&gt;=NF$33,MV10&lt;&gt;"",MX10&gt;=NF$37,MX10&lt;&gt;""),AND(MZ10&gt;=NF$33,MZ10&lt;&gt;"",NB10&gt;=NF$37,NB10&lt;&gt;""),AND(NC10&gt;=NF$33,NC10&lt;&gt;"",NE10&gt;=NF$37,NE10&lt;&gt;""),AND(OA10&gt;=ON$33,OA10&lt;&gt;"",OC10&gt;=ON$37,OC10&lt;&gt;""),AND(OD10&gt;=ON$33,OD10&lt;&gt;"",OF10&gt;=ON$37,OF10&lt;&gt;""),AND(OH10&gt;=ON$33,OH10&lt;&gt;"",OJ10&gt;=ON$37,OJ10&lt;&gt;""),AND(OK10&gt;=ON$33,OK10&lt;&gt;"",OM10&gt;=ON$37,OM10&lt;&gt;""),AND(PI10&gt;=PV$33,PI10&lt;&gt;"",PK10&gt;=PV$37,PK10&lt;&gt;""),AND(PL10&gt;=PV$33,PL10&lt;&gt;"",PN10&gt;=PV$37,PN10&lt;&gt;""),AND(PP10&gt;=PV$33,PP10&lt;&gt;"",PR10&gt;=PV$37,PR10&lt;&gt;""),AND(PS10&gt;=PV$33,PS10&lt;&gt;"",PU10&gt;=PV$37,PU10&lt;&gt;""),AND(QQ10&gt;=RD$33,QQ10&lt;&gt;"",QS10&gt;=RD$37,QS10&lt;&gt;""),AND(QT10&gt;=RD$33,QT10&lt;&gt;"",QV10&gt;=RD$37,QV10&lt;&gt;""),AND(QX10&gt;=RD$33,QX10&lt;&gt;"",QZ10&gt;=RD$37,QZ10&lt;&gt;""),AND(RA10&gt;=RD$33,RA10&lt;&gt;"",RC10&gt;=RD$37,RC10&lt;&gt;""),AND(RY10&gt;=SL$33,RY10&lt;&gt;"",SA10&gt;=SL$37,SA10&lt;&gt;""),AND(SB10&gt;=SL$33,SB10&lt;&gt;"",SD10&gt;=SL$37,SD10&lt;&gt;""),AND(SF10&gt;=SL$33,SF10&lt;&gt;"",SH10&gt;=SL$37,SH10&lt;&gt;""),AND(SI10&gt;=SL$33,SI10&lt;&gt;"",SK10&gt;=SL$37,SK10&lt;&gt;""),AND(TG10&gt;=TT$33,TG10&lt;&gt;"",TI10&gt;=TT$37,TI10&lt;&gt;""),AND(TJ10&gt;=TT$33,TJ10&lt;&gt;"",TL10&gt;=TT$37,TL10&lt;&gt;""),AND(TN10&gt;=TT$33,TN10&lt;&gt;"",TP10&gt;=TT$357,TXN10&lt;&gt;""),AND(TQ10&gt;=TT$33,TQ10&lt;&gt;"",TS10&gt;=TT$37,TS10&lt;&gt;""),AND(UO10&gt;=VB$33,UO10&lt;&gt;"",UQ10&gt;=VB$37,UQ10&lt;&gt;""),AND(UR10&gt;=VB$33,UR10&lt;&gt;"",UT10&gt;=VB$37,UT10&lt;&gt;""),AND(UV10&gt;=VB$33,UV10&lt;&gt;"",UX10&gt;=VB$37,UX10&lt;&gt;""),AND(UY10&gt;=VB$33,UY10&lt;&gt;"",VA10&gt;=VB$37,VA10&lt;&gt;""),AND(VW10&gt;=WJ$33,VW10&lt;&gt;"",VY10&gt;=WJ$37,VY10&lt;&gt;""),AND(VZ10&gt;=WJ$33,VZ10&lt;&gt;"",WB10&gt;=WJ$37,WB10&lt;&gt;""),AND(WD10&gt;=WJ$33,WD10&lt;&gt;"",WF10&gt;=WJ$37,WF10&lt;&gt;""),AND(WG10&gt;=WJ$33,WG10&lt;&gt;"",WI10&gt;=WJ$37,WI10&lt;&gt;"")),"Merit",IF(OR(AND(AG10&gt;=AQ$32,AG10&lt;&gt;"",AI10&gt;=AQ$36,AI10&lt;&gt;"",AF10=""),AND(AJ10&gt;=AQ$32,AJ10&lt;&gt;"",AL10&gt;=AQ$36,AL10&lt;&gt;"",AF10=""),AND(AN10&gt;=AQ$32,AN10&lt;&gt;"",AP10&gt;=AQ$36,AP10&lt;&gt;"",AF10=""),AND(BH10&gt;=BR$32,BH10&lt;&gt;"",BJ10&gt;=BR$36,BJ10&lt;&gt;"",BG10=""),AND(BK10&gt;=BR$32,BK10&lt;&gt;"",BM10&gt;=BR$36,BM10&lt;&gt;"",BG10=""),AND(BO10&gt;=BR$32,BO10&lt;&gt;"",BQ10&gt;=BR$36,BQ10&lt;&gt;"",BG10=""),AND(CI10&gt;=CS$32,CI10&lt;&gt;"",CK10&gt;=CS$36,CK10&lt;&gt;"",CH10=""),AND(CL10&gt;=CS$32,CL10&lt;&gt;"",CN10&gt;=CS$36,CN10&lt;&gt;"",CH10=""),AND(CP10&gt;=CS$32,CP10&lt;&gt;"",CR10&gt;=CS$36,CR10&lt;&gt;"",CH10=""),AND(DO10&gt;=EB$32,DO10&lt;&gt;"",DQ10&gt;=EB$36,DQ10&lt;&gt;""),AND(DR10&gt;=EB$32,DR10&lt;&gt;"",DT10&gt;=EB$36,DT10&lt;&gt;""),AND(DV10&gt;=EB$32,DV10&lt;&gt;"",DX10&gt;=EB$36,DX10&lt;&gt;""),AND(DY10&gt;=EB$32,DY10&lt;&gt;"",EA10&gt;=EB$36,EA10&lt;&gt;""),AND(EW10&gt;=FJ$32,EW10&lt;&gt;"",EY10&gt;=FJ$36,EY10&lt;&gt;""),AND(EZ10&gt;=FJ$32,EZ10&lt;&gt;"",FB10&gt;=FJ$36,FB10&lt;&gt;""),AND(FD10&gt;=FJ$32,FD10&lt;&gt;"",FF10&gt;=FJ$36,FF10&lt;&gt;""),AND(FG10&gt;=FJ$32,FG10&lt;&gt;"",FI10&gt;=FJ$36,FI10&lt;&gt;""),AND(GE10&gt;=GR$32,GE10&lt;&gt;"",GG10&gt;=GR$36,GG10&lt;&gt;""),AND(GH10&gt;=GR$32,GH10&lt;&gt;"",GJ10&gt;=GR$36,GJ10&lt;&gt;""),AND(GL10&gt;=GR$32,GL10&lt;&gt;"",GN10&gt;=GR$36,GN10&lt;&gt;""),AND(GO10&gt;=GR$32,GO10&lt;&gt;"",GQ10&gt;=GR$36,GQ10&lt;&gt;""),AND(HM10&gt;=HZ$32,HM10&lt;&gt;"",HO10&gt;=HZ$36,HO10&lt;&gt;""),AND(HP10&gt;=HZ$32,HP10&lt;&gt;"",HR10&gt;=HZ$36,HR10&lt;&gt;""),AND(HT10&gt;=HZ$32,HT10&lt;&gt;"",HV10&gt;=HZ$36,HV10&lt;&gt;""),AND(HW10&gt;=HZ$32,HW10&lt;&gt;"",HY10&gt;=HZ$36,HY10&lt;&gt;""),AND(IU10&gt;=JH$32,IU10&lt;&gt;"",IW10&gt;=JH$36,IW10&lt;&gt;""),AND(IX10&gt;=JH$32,IX10&lt;&gt;"",IZ10&gt;=JH$36,IZ10&lt;&gt;""),AND(JB10&gt;=JH$32,JB10&lt;&gt;"",JD10&gt;=JH$36,JD10&lt;&gt;""),AND(JE10&gt;=JH$32,JE10&lt;&gt;"",JG10&gt;=JH$36,JG10&lt;&gt;""),AND(KC10&gt;=KP$32,KC10&lt;&gt;"",KE10&gt;=KP$36,KE10&lt;&gt;""),AND(KF10&gt;=KP$32,KF10&lt;&gt;"",KH10&gt;=KP$36,KH10&lt;&gt;""),AND(KJ10&gt;=KP$32,KJ10&lt;&gt;"",KL10&gt;=KP$36,KL10&lt;&gt;""),AND(KM10&gt;=KP$32,KM10&lt;&gt;"",KO10&gt;=KP$36,KO10&lt;&gt;""),AND(LK10&gt;=LX$32,LK10&lt;&gt;"",LM10&gt;=LX$36,LM10&lt;&gt;""),AND(LN10&gt;=LX$32,LN10&lt;&gt;"",LP10&gt;=LX$36,LP10&lt;&gt;""),AND(LR10&gt;=LX$32,LR10&lt;&gt;"",LT10&gt;=LX$36,LT10&lt;&gt;""),AND(LU10&gt;=LX$32,LU10&lt;&gt;"",LW10&gt;=LX$36,LW10&lt;&gt;""),AND(MS10&gt;=NF$32,MS10&lt;&gt;"",MU10&gt;=NF$36,MU10&lt;&gt;""),AND(MV10&gt;=NF$32,MV10&lt;&gt;"",MX10&gt;=NF$36,MX10&lt;&gt;""),AND(MZ10&gt;=NF$32,MZ10&lt;&gt;"",NB10&gt;=NF$36,NB10&lt;&gt;""),AND(NC10&gt;=NF$32,NC10&lt;&gt;"",NE10&gt;=NF$36,NE10&lt;&gt;""),AND(OA10&gt;=ON$32,OA10&lt;&gt;"",OC10&gt;=ON$36,OC10&lt;&gt;""),AND(OD10&gt;=ON$32,OD10&lt;&gt;"",OF10&gt;=ON$36,OF10&lt;&gt;""),AND(OH10&gt;=ON$32,OH10&lt;&gt;"",OJ10&gt;=ON$36,OJ10&lt;&gt;""),AND(OK10&gt;=ON$32,OK10&lt;&gt;"",OM10&gt;=ON$36,OM10&lt;&gt;""),AND(PI10&gt;=PV$32,PI10&lt;&gt;"",PK10&gt;=PV$36,PK10&lt;&gt;""),AND(PL10&gt;=PV$32,PL10&lt;&gt;"",PN10&gt;=PV$36,PN10&lt;&gt;""),AND(PP10&gt;=PV$32,PP10&lt;&gt;"",PR10&gt;=PV$36,PR10&lt;&gt;""),AND(PS10&gt;=PV$32,PS10&lt;&gt;"",PU10&gt;=PV$36,PU10&lt;&gt;""),AND(QQ10&gt;=RD$32,QQ10&lt;&gt;"",QS10&gt;=RD$36,QS10&lt;&gt;""),AND(QT10&gt;=RD$32,QT10&lt;&gt;"",QV10&gt;=RD$36,QV10&lt;&gt;""),AND(QX10&gt;=RD$32,QX10&lt;&gt;"",QZ10&gt;=RD$36,QZ10&lt;&gt;""),AND(RA10&gt;=RD$32,RA10&lt;&gt;"",RC10&gt;=RD$36,RC10&lt;&gt;""),AND(RY10&gt;=SL$32,RY10&lt;&gt;"",SA10&gt;=SL$36,SA10&lt;&gt;""),AND(SB10&gt;=SL$32,SB10&lt;&gt;"",SD10&gt;=SL$36,SD10&lt;&gt;""),AND(SF10&gt;=SL$32,SF10&lt;&gt;"",SH10&gt;=SL$36,SH10&lt;&gt;""),AND(SI10&gt;=SL$32,SI10&lt;&gt;"",SK10&gt;=SL$36,SK10&lt;&gt;""),AND(TG10&gt;=TT$32,TG10&lt;&gt;"",TI10&gt;=TT$36,TI10&lt;&gt;""),AND(TJ10&gt;=TT$32,TJ10&lt;&gt;"",TL10&gt;=TT$36,TL10&lt;&gt;""),AND(TN10&gt;=TT$32,TN10&lt;&gt;"",TP10&gt;=TT$36,TXN10&lt;&gt;""),AND(TQ10&gt;=TT$32,TQ10&lt;&gt;"",TS10&gt;=TT$36,TS10&lt;&gt;""),AND(UO10&gt;=VB$32,UO10&lt;&gt;"",UQ10&gt;=VB$36,UQ10&lt;&gt;""),AND(UR10&gt;=VB$32,UR10&lt;&gt;"",UT10&gt;=VB$36,UT10&lt;&gt;""),AND(UV10&gt;=VB$32,UV10&lt;&gt;"",UX10&gt;=VB$36,UX10&lt;&gt;""),AND(UY10&gt;=VB$32,UY10&lt;&gt;"",VA10&gt;=VB$36,VA10&lt;&gt;""),AND(VW10&gt;=WJ$32,VW10&lt;&gt;"",VY10&gt;=WJ$36,VY10&lt;&gt;""),AND(VZ10&gt;=WJ$32,VZ10&lt;&gt;"",WB10&gt;=WJ$36,WB10&lt;&gt;""),AND(WD10&gt;=WJ$32,WD10&lt;&gt;"",WF10&gt;=WJ$36,WF10&lt;&gt;""),AND(WG10&gt;=WJ$32,WG10&lt;&gt;"",WI10&gt;=WJ$36,WI10&lt;&gt;"")),"Excellence",IF(I10="P","National Team",IF(F10="P","National Team","")))))</f>
        <v>No DD</v>
      </c>
      <c r="I10" s="3" t="str">
        <f>IF(COUNTIFS('Senior-M'!B:B,B10,'Senior-M'!A:A,"&lt;9",'Senior-M'!H:H,"&lt;&gt;"&amp;"No DD"),"P","")</f>
        <v/>
      </c>
      <c r="J10" s="8">
        <f t="shared" si="1"/>
        <v>55.8</v>
      </c>
      <c r="K10" s="8" t="str">
        <f t="shared" si="2"/>
        <v>2026 Elite Canada</v>
      </c>
      <c r="L10" s="8">
        <f>IFERROR(LARGE((AI10,AL10,AP10,BJ10,BM10,BQ10,CK10,CN10,CR10),2),0)</f>
        <v>52.32</v>
      </c>
      <c r="M10" s="8" t="str">
        <f t="shared" si="3"/>
        <v>2025 3rd Domestic Trial</v>
      </c>
      <c r="N10" s="8">
        <f t="shared" si="4"/>
        <v>0</v>
      </c>
      <c r="O10" s="11" t="str">
        <f>IF(N10=0,"",IF(N10=CT10,"("&amp;CT$2&amp;")",IF(N10=#REF!,"("&amp;#REF!&amp;")")))</f>
        <v/>
      </c>
      <c r="P10" s="8" t="str">
        <f t="shared" si="5"/>
        <v/>
      </c>
      <c r="Q10" s="18">
        <v>5</v>
      </c>
      <c r="R10" s="18">
        <v>2.6</v>
      </c>
      <c r="S10" s="18">
        <v>3.8</v>
      </c>
      <c r="T10" s="18">
        <v>5.0999999999999996</v>
      </c>
      <c r="U10" s="18">
        <v>0</v>
      </c>
      <c r="V10" s="18">
        <v>5.2</v>
      </c>
      <c r="W10" s="18">
        <v>2.8</v>
      </c>
      <c r="X10" s="18">
        <v>3.8</v>
      </c>
      <c r="Y10" s="18">
        <v>5</v>
      </c>
      <c r="Z10" s="18">
        <v>0</v>
      </c>
      <c r="AA10" s="18">
        <v>15.8</v>
      </c>
      <c r="AB10" s="18">
        <v>8.6999999999999993</v>
      </c>
      <c r="AC10" s="18">
        <v>12.5</v>
      </c>
      <c r="AD10" s="18">
        <v>14.84</v>
      </c>
      <c r="AE10" s="18">
        <v>0</v>
      </c>
      <c r="AF10" s="23"/>
      <c r="AG10" s="34">
        <f t="shared" si="6"/>
        <v>3.8</v>
      </c>
      <c r="AH10" s="34">
        <f t="shared" si="7"/>
        <v>5.0999999999999996</v>
      </c>
      <c r="AI10" s="36">
        <f t="shared" si="8"/>
        <v>16.5</v>
      </c>
      <c r="AJ10" s="36">
        <f t="shared" si="9"/>
        <v>3.8</v>
      </c>
      <c r="AK10" s="36">
        <f t="shared" si="10"/>
        <v>5</v>
      </c>
      <c r="AL10" s="36">
        <f t="shared" si="11"/>
        <v>16.8</v>
      </c>
      <c r="AM10" s="36">
        <f t="shared" si="12"/>
        <v>16.8</v>
      </c>
      <c r="AN10" s="36">
        <f t="shared" si="13"/>
        <v>12.5</v>
      </c>
      <c r="AO10" s="36">
        <f t="shared" si="14"/>
        <v>14.84</v>
      </c>
      <c r="AP10" s="36">
        <f t="shared" si="15"/>
        <v>51.84</v>
      </c>
      <c r="AQ10" s="36">
        <f t="shared" si="16"/>
        <v>68.64</v>
      </c>
      <c r="AR10" s="22">
        <v>15.9</v>
      </c>
      <c r="AS10" s="22">
        <v>8.5</v>
      </c>
      <c r="AT10" s="22">
        <v>12</v>
      </c>
      <c r="AU10" s="22">
        <v>16.22</v>
      </c>
      <c r="AV10" s="22">
        <v>0.3</v>
      </c>
      <c r="AW10" s="22">
        <v>14.3</v>
      </c>
      <c r="AX10" s="22">
        <v>7.9</v>
      </c>
      <c r="AY10" s="22">
        <v>10.3</v>
      </c>
      <c r="AZ10" s="22">
        <v>14.74</v>
      </c>
      <c r="BA10" s="22">
        <v>0</v>
      </c>
      <c r="BB10" s="22">
        <v>9.6999999999999993</v>
      </c>
      <c r="BC10" s="22">
        <v>5.2</v>
      </c>
      <c r="BD10" s="22">
        <v>7.3</v>
      </c>
      <c r="BE10" s="22">
        <v>9.98</v>
      </c>
      <c r="BF10" s="22">
        <v>0</v>
      </c>
      <c r="BG10" s="24"/>
      <c r="BH10" s="35">
        <f t="shared" si="17"/>
        <v>12</v>
      </c>
      <c r="BI10" s="35">
        <f t="shared" si="18"/>
        <v>16.22</v>
      </c>
      <c r="BJ10" s="11">
        <f t="shared" si="19"/>
        <v>52.32</v>
      </c>
      <c r="BK10" s="11">
        <f t="shared" si="20"/>
        <v>10.3</v>
      </c>
      <c r="BL10" s="11">
        <f t="shared" si="21"/>
        <v>14.74</v>
      </c>
      <c r="BM10" s="11">
        <f t="shared" si="22"/>
        <v>47.24</v>
      </c>
      <c r="BN10" s="11">
        <f t="shared" si="23"/>
        <v>52.32</v>
      </c>
      <c r="BO10" s="11">
        <f t="shared" si="24"/>
        <v>7.3</v>
      </c>
      <c r="BP10" s="11">
        <f t="shared" si="25"/>
        <v>9.98</v>
      </c>
      <c r="BQ10" s="11">
        <f t="shared" si="26"/>
        <v>32.18</v>
      </c>
      <c r="BR10" s="11">
        <f t="shared" si="27"/>
        <v>84.5</v>
      </c>
      <c r="BS10" s="18">
        <v>15.3</v>
      </c>
      <c r="BT10" s="18">
        <v>8.1999999999999993</v>
      </c>
      <c r="BU10" s="18">
        <v>11</v>
      </c>
      <c r="BV10" s="18">
        <v>14.7</v>
      </c>
      <c r="BW10" s="18">
        <v>0</v>
      </c>
      <c r="BX10" s="18">
        <v>17.899999999999999</v>
      </c>
      <c r="BY10" s="18">
        <v>9.1999999999999993</v>
      </c>
      <c r="BZ10" s="18">
        <v>12.7</v>
      </c>
      <c r="CA10" s="18">
        <v>16</v>
      </c>
      <c r="CB10" s="18">
        <v>0</v>
      </c>
      <c r="CC10" s="18">
        <v>4.5999999999999996</v>
      </c>
      <c r="CD10" s="18">
        <v>2.5</v>
      </c>
      <c r="CE10" s="18">
        <v>4.8</v>
      </c>
      <c r="CF10" s="18">
        <v>5.15</v>
      </c>
      <c r="CG10" s="18">
        <v>0</v>
      </c>
      <c r="CH10" s="23"/>
      <c r="CI10" s="34">
        <f t="shared" si="28"/>
        <v>11</v>
      </c>
      <c r="CJ10" s="34">
        <f t="shared" si="29"/>
        <v>14.7</v>
      </c>
      <c r="CK10" s="36">
        <f t="shared" si="30"/>
        <v>49.2</v>
      </c>
      <c r="CL10" s="36">
        <f t="shared" si="31"/>
        <v>12.7</v>
      </c>
      <c r="CM10" s="36">
        <f t="shared" si="32"/>
        <v>16</v>
      </c>
      <c r="CN10" s="36">
        <f t="shared" si="33"/>
        <v>55.8</v>
      </c>
      <c r="CO10" s="36">
        <f t="shared" si="34"/>
        <v>55.8</v>
      </c>
      <c r="CP10" s="36">
        <f t="shared" si="35"/>
        <v>4.8</v>
      </c>
      <c r="CQ10" s="36">
        <f t="shared" si="36"/>
        <v>5.15</v>
      </c>
      <c r="CR10" s="36">
        <f t="shared" si="37"/>
        <v>17.049999999999997</v>
      </c>
      <c r="CS10" s="36">
        <f t="shared" si="38"/>
        <v>72.849999999999994</v>
      </c>
      <c r="CT10" s="47" t="str">
        <f t="shared" si="39"/>
        <v/>
      </c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36" t="str">
        <f t="shared" si="40"/>
        <v/>
      </c>
      <c r="DP10" s="36" t="str">
        <f t="shared" si="41"/>
        <v/>
      </c>
      <c r="DQ10" s="36" t="str">
        <f t="shared" si="42"/>
        <v/>
      </c>
      <c r="DR10" s="36" t="str">
        <f t="shared" si="43"/>
        <v/>
      </c>
      <c r="DS10" s="36" t="str">
        <f t="shared" si="44"/>
        <v/>
      </c>
      <c r="DT10" s="36" t="str">
        <f t="shared" si="45"/>
        <v/>
      </c>
      <c r="DU10" s="36" t="str">
        <f t="shared" si="46"/>
        <v/>
      </c>
      <c r="DV10" s="36" t="str">
        <f t="shared" si="47"/>
        <v/>
      </c>
      <c r="DW10" s="36" t="str">
        <f t="shared" si="48"/>
        <v/>
      </c>
      <c r="DX10" s="36" t="str">
        <f t="shared" si="49"/>
        <v/>
      </c>
      <c r="DY10" s="36" t="str">
        <f t="shared" si="50"/>
        <v/>
      </c>
      <c r="DZ10" s="36" t="str">
        <f t="shared" si="51"/>
        <v/>
      </c>
      <c r="EA10" s="36" t="str">
        <f t="shared" si="52"/>
        <v/>
      </c>
      <c r="EB10" s="36" t="str">
        <f t="shared" si="53"/>
        <v/>
      </c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1" t="str">
        <f t="shared" si="54"/>
        <v/>
      </c>
      <c r="EX10" s="11" t="str">
        <f t="shared" si="55"/>
        <v/>
      </c>
      <c r="EY10" s="11" t="str">
        <f t="shared" si="56"/>
        <v/>
      </c>
      <c r="EZ10" s="11" t="str">
        <f t="shared" si="57"/>
        <v/>
      </c>
      <c r="FA10" s="11" t="str">
        <f t="shared" si="58"/>
        <v/>
      </c>
      <c r="FB10" s="11" t="str">
        <f t="shared" si="59"/>
        <v/>
      </c>
      <c r="FC10" s="11" t="str">
        <f t="shared" si="60"/>
        <v/>
      </c>
      <c r="FD10" s="11" t="str">
        <f t="shared" si="61"/>
        <v/>
      </c>
      <c r="FE10" s="11" t="str">
        <f t="shared" si="62"/>
        <v/>
      </c>
      <c r="FF10" s="11" t="str">
        <f t="shared" si="63"/>
        <v/>
      </c>
      <c r="FG10" s="11" t="str">
        <f t="shared" si="64"/>
        <v/>
      </c>
      <c r="FH10" s="11" t="str">
        <f t="shared" si="65"/>
        <v/>
      </c>
      <c r="FI10" s="11" t="str">
        <f t="shared" si="66"/>
        <v/>
      </c>
      <c r="FJ10" s="11" t="str">
        <f t="shared" si="67"/>
        <v/>
      </c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36" t="str">
        <f t="shared" si="68"/>
        <v/>
      </c>
      <c r="GF10" s="36" t="str">
        <f t="shared" si="69"/>
        <v/>
      </c>
      <c r="GG10" s="36" t="str">
        <f t="shared" si="70"/>
        <v/>
      </c>
      <c r="GH10" s="36" t="str">
        <f t="shared" si="71"/>
        <v/>
      </c>
      <c r="GI10" s="36" t="str">
        <f t="shared" si="72"/>
        <v/>
      </c>
      <c r="GJ10" s="36" t="str">
        <f t="shared" si="73"/>
        <v/>
      </c>
      <c r="GK10" s="36" t="str">
        <f t="shared" si="74"/>
        <v/>
      </c>
      <c r="GL10" s="36" t="str">
        <f t="shared" si="75"/>
        <v/>
      </c>
      <c r="GM10" s="36" t="str">
        <f t="shared" si="76"/>
        <v/>
      </c>
      <c r="GN10" s="36" t="str">
        <f t="shared" si="77"/>
        <v/>
      </c>
      <c r="GO10" s="36" t="str">
        <f t="shared" si="78"/>
        <v/>
      </c>
      <c r="GP10" s="36" t="str">
        <f t="shared" si="79"/>
        <v/>
      </c>
      <c r="GQ10" s="36" t="str">
        <f t="shared" si="80"/>
        <v/>
      </c>
      <c r="GR10" s="36" t="str">
        <f t="shared" si="81"/>
        <v/>
      </c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1" t="str">
        <f t="shared" si="82"/>
        <v/>
      </c>
      <c r="HN10" s="11" t="str">
        <f t="shared" si="83"/>
        <v/>
      </c>
      <c r="HO10" s="11" t="str">
        <f t="shared" si="84"/>
        <v/>
      </c>
      <c r="HP10" s="11" t="str">
        <f t="shared" si="85"/>
        <v/>
      </c>
      <c r="HQ10" s="11" t="str">
        <f t="shared" si="86"/>
        <v/>
      </c>
      <c r="HR10" s="11" t="str">
        <f t="shared" si="87"/>
        <v/>
      </c>
      <c r="HS10" s="11" t="str">
        <f t="shared" si="88"/>
        <v/>
      </c>
      <c r="HT10" s="11" t="str">
        <f t="shared" si="89"/>
        <v/>
      </c>
      <c r="HU10" s="11" t="str">
        <f t="shared" si="90"/>
        <v/>
      </c>
      <c r="HV10" s="11" t="str">
        <f t="shared" si="91"/>
        <v/>
      </c>
      <c r="HW10" s="11" t="str">
        <f t="shared" si="92"/>
        <v/>
      </c>
      <c r="HX10" s="11" t="str">
        <f t="shared" si="93"/>
        <v/>
      </c>
      <c r="HY10" s="11" t="str">
        <f t="shared" si="94"/>
        <v/>
      </c>
      <c r="HZ10" s="11" t="str">
        <f t="shared" si="95"/>
        <v/>
      </c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36" t="str">
        <f t="shared" si="96"/>
        <v/>
      </c>
      <c r="IV10" s="36" t="str">
        <f t="shared" si="97"/>
        <v/>
      </c>
      <c r="IW10" s="36" t="str">
        <f t="shared" si="98"/>
        <v/>
      </c>
      <c r="IX10" s="36" t="str">
        <f t="shared" si="99"/>
        <v/>
      </c>
      <c r="IY10" s="36" t="str">
        <f t="shared" si="100"/>
        <v/>
      </c>
      <c r="IZ10" s="36" t="str">
        <f t="shared" si="101"/>
        <v/>
      </c>
      <c r="JA10" s="36" t="str">
        <f t="shared" si="102"/>
        <v/>
      </c>
      <c r="JB10" s="36" t="str">
        <f t="shared" si="103"/>
        <v/>
      </c>
      <c r="JC10" s="36" t="str">
        <f t="shared" si="104"/>
        <v/>
      </c>
      <c r="JD10" s="36" t="str">
        <f t="shared" si="105"/>
        <v/>
      </c>
      <c r="JE10" s="36" t="str">
        <f t="shared" si="106"/>
        <v/>
      </c>
      <c r="JF10" s="36" t="str">
        <f t="shared" si="107"/>
        <v/>
      </c>
      <c r="JG10" s="36" t="str">
        <f t="shared" si="108"/>
        <v/>
      </c>
      <c r="JH10" s="36" t="str">
        <f t="shared" si="109"/>
        <v/>
      </c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1" t="str">
        <f t="shared" si="110"/>
        <v/>
      </c>
      <c r="KD10" s="11" t="str">
        <f t="shared" si="111"/>
        <v/>
      </c>
      <c r="KE10" s="11" t="str">
        <f t="shared" si="112"/>
        <v/>
      </c>
      <c r="KF10" s="11" t="str">
        <f t="shared" si="113"/>
        <v/>
      </c>
      <c r="KG10" s="11" t="str">
        <f t="shared" si="114"/>
        <v/>
      </c>
      <c r="KH10" s="11" t="str">
        <f t="shared" si="115"/>
        <v/>
      </c>
      <c r="KI10" s="11" t="str">
        <f t="shared" si="116"/>
        <v/>
      </c>
      <c r="KJ10" s="11" t="str">
        <f t="shared" si="117"/>
        <v/>
      </c>
      <c r="KK10" s="11" t="str">
        <f t="shared" si="118"/>
        <v/>
      </c>
      <c r="KL10" s="11" t="str">
        <f t="shared" si="119"/>
        <v/>
      </c>
      <c r="KM10" s="11" t="str">
        <f t="shared" si="120"/>
        <v/>
      </c>
      <c r="KN10" s="11" t="str">
        <f t="shared" si="121"/>
        <v/>
      </c>
      <c r="KO10" s="11" t="str">
        <f t="shared" si="122"/>
        <v/>
      </c>
      <c r="KP10" s="11" t="str">
        <f t="shared" si="123"/>
        <v/>
      </c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36" t="str">
        <f t="shared" si="124"/>
        <v/>
      </c>
      <c r="LL10" s="36" t="str">
        <f t="shared" si="125"/>
        <v/>
      </c>
      <c r="LM10" s="36" t="str">
        <f t="shared" si="126"/>
        <v/>
      </c>
      <c r="LN10" s="36" t="str">
        <f t="shared" si="127"/>
        <v/>
      </c>
      <c r="LO10" s="36" t="str">
        <f t="shared" si="128"/>
        <v/>
      </c>
      <c r="LP10" s="36" t="str">
        <f t="shared" si="129"/>
        <v/>
      </c>
      <c r="LQ10" s="36" t="str">
        <f t="shared" si="130"/>
        <v/>
      </c>
      <c r="LR10" s="36" t="str">
        <f t="shared" si="131"/>
        <v/>
      </c>
      <c r="LS10" s="36" t="str">
        <f t="shared" si="132"/>
        <v/>
      </c>
      <c r="LT10" s="36" t="str">
        <f t="shared" si="133"/>
        <v/>
      </c>
      <c r="LU10" s="36" t="str">
        <f t="shared" si="134"/>
        <v/>
      </c>
      <c r="LV10" s="36" t="str">
        <f t="shared" si="135"/>
        <v/>
      </c>
      <c r="LW10" s="36" t="str">
        <f t="shared" si="136"/>
        <v/>
      </c>
      <c r="LX10" s="36" t="str">
        <f t="shared" si="137"/>
        <v/>
      </c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1" t="str">
        <f t="shared" si="138"/>
        <v/>
      </c>
      <c r="MT10" s="11" t="str">
        <f t="shared" si="139"/>
        <v/>
      </c>
      <c r="MU10" s="11" t="str">
        <f t="shared" si="140"/>
        <v/>
      </c>
      <c r="MV10" s="11" t="str">
        <f t="shared" si="141"/>
        <v/>
      </c>
      <c r="MW10" s="11" t="str">
        <f t="shared" si="142"/>
        <v/>
      </c>
      <c r="MX10" s="11" t="str">
        <f t="shared" si="143"/>
        <v/>
      </c>
      <c r="MY10" s="11" t="str">
        <f t="shared" si="144"/>
        <v/>
      </c>
      <c r="MZ10" s="11" t="str">
        <f t="shared" si="145"/>
        <v/>
      </c>
      <c r="NA10" s="11" t="str">
        <f t="shared" si="146"/>
        <v/>
      </c>
      <c r="NB10" s="11" t="str">
        <f t="shared" si="147"/>
        <v/>
      </c>
      <c r="NC10" s="11" t="str">
        <f t="shared" si="148"/>
        <v/>
      </c>
      <c r="ND10" s="11" t="str">
        <f t="shared" si="149"/>
        <v/>
      </c>
      <c r="NE10" s="11" t="str">
        <f t="shared" si="150"/>
        <v/>
      </c>
      <c r="NF10" s="11" t="str">
        <f t="shared" si="151"/>
        <v/>
      </c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36" t="str">
        <f t="shared" si="152"/>
        <v/>
      </c>
      <c r="OB10" s="36" t="str">
        <f t="shared" si="153"/>
        <v/>
      </c>
      <c r="OC10" s="36" t="str">
        <f t="shared" si="154"/>
        <v/>
      </c>
      <c r="OD10" s="36" t="str">
        <f t="shared" si="155"/>
        <v/>
      </c>
      <c r="OE10" s="36" t="str">
        <f t="shared" si="156"/>
        <v/>
      </c>
      <c r="OF10" s="36" t="str">
        <f t="shared" si="157"/>
        <v/>
      </c>
      <c r="OG10" s="36" t="str">
        <f t="shared" si="158"/>
        <v/>
      </c>
      <c r="OH10" s="36" t="str">
        <f t="shared" si="159"/>
        <v/>
      </c>
      <c r="OI10" s="36" t="str">
        <f t="shared" si="160"/>
        <v/>
      </c>
      <c r="OJ10" s="36" t="str">
        <f t="shared" si="161"/>
        <v/>
      </c>
      <c r="OK10" s="36" t="str">
        <f t="shared" si="162"/>
        <v/>
      </c>
      <c r="OL10" s="36" t="str">
        <f t="shared" si="163"/>
        <v/>
      </c>
      <c r="OM10" s="36" t="str">
        <f t="shared" si="164"/>
        <v/>
      </c>
      <c r="ON10" s="36" t="str">
        <f t="shared" si="165"/>
        <v/>
      </c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1" t="str">
        <f t="shared" si="166"/>
        <v/>
      </c>
      <c r="PJ10" s="11" t="str">
        <f t="shared" si="167"/>
        <v/>
      </c>
      <c r="PK10" s="11" t="str">
        <f t="shared" si="168"/>
        <v/>
      </c>
      <c r="PL10" s="11" t="str">
        <f t="shared" si="169"/>
        <v/>
      </c>
      <c r="PM10" s="11" t="str">
        <f t="shared" si="170"/>
        <v/>
      </c>
      <c r="PN10" s="11" t="str">
        <f t="shared" si="171"/>
        <v/>
      </c>
      <c r="PO10" s="11" t="str">
        <f t="shared" si="172"/>
        <v/>
      </c>
      <c r="PP10" s="11" t="str">
        <f t="shared" si="173"/>
        <v/>
      </c>
      <c r="PQ10" s="11" t="str">
        <f t="shared" si="174"/>
        <v/>
      </c>
      <c r="PR10" s="11" t="str">
        <f t="shared" si="175"/>
        <v/>
      </c>
      <c r="PS10" s="11" t="str">
        <f t="shared" si="176"/>
        <v/>
      </c>
      <c r="PT10" s="11" t="str">
        <f t="shared" si="177"/>
        <v/>
      </c>
      <c r="PU10" s="11" t="str">
        <f t="shared" si="178"/>
        <v/>
      </c>
      <c r="PV10" s="11" t="str">
        <f t="shared" si="179"/>
        <v/>
      </c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36" t="str">
        <f t="shared" si="180"/>
        <v/>
      </c>
      <c r="QR10" s="36" t="str">
        <f t="shared" si="181"/>
        <v/>
      </c>
      <c r="QS10" s="36" t="str">
        <f t="shared" si="182"/>
        <v/>
      </c>
      <c r="QT10" s="36" t="str">
        <f t="shared" si="183"/>
        <v/>
      </c>
      <c r="QU10" s="36" t="str">
        <f t="shared" si="184"/>
        <v/>
      </c>
      <c r="QV10" s="36" t="str">
        <f t="shared" si="185"/>
        <v/>
      </c>
      <c r="QW10" s="36" t="str">
        <f t="shared" si="186"/>
        <v/>
      </c>
      <c r="QX10" s="36" t="str">
        <f t="shared" si="187"/>
        <v/>
      </c>
      <c r="QY10" s="36" t="str">
        <f t="shared" si="188"/>
        <v/>
      </c>
      <c r="QZ10" s="36" t="str">
        <f t="shared" si="189"/>
        <v/>
      </c>
      <c r="RA10" s="36" t="str">
        <f t="shared" si="190"/>
        <v/>
      </c>
      <c r="RB10" s="36" t="str">
        <f t="shared" si="191"/>
        <v/>
      </c>
      <c r="RC10" s="36" t="str">
        <f t="shared" si="192"/>
        <v/>
      </c>
      <c r="RD10" s="36" t="str">
        <f t="shared" si="193"/>
        <v/>
      </c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1" t="str">
        <f t="shared" si="194"/>
        <v/>
      </c>
      <c r="RZ10" s="11" t="str">
        <f t="shared" si="195"/>
        <v/>
      </c>
      <c r="SA10" s="11" t="str">
        <f t="shared" si="196"/>
        <v/>
      </c>
      <c r="SB10" s="11" t="str">
        <f t="shared" si="197"/>
        <v/>
      </c>
      <c r="SC10" s="11" t="str">
        <f t="shared" si="198"/>
        <v/>
      </c>
      <c r="SD10" s="11" t="str">
        <f t="shared" si="199"/>
        <v/>
      </c>
      <c r="SE10" s="11" t="str">
        <f t="shared" si="200"/>
        <v/>
      </c>
      <c r="SF10" s="11" t="str">
        <f t="shared" si="201"/>
        <v/>
      </c>
      <c r="SG10" s="11" t="str">
        <f t="shared" si="202"/>
        <v/>
      </c>
      <c r="SH10" s="11" t="str">
        <f t="shared" si="203"/>
        <v/>
      </c>
      <c r="SI10" s="11" t="str">
        <f t="shared" si="204"/>
        <v/>
      </c>
      <c r="SJ10" s="11" t="str">
        <f t="shared" si="205"/>
        <v/>
      </c>
      <c r="SK10" s="11" t="str">
        <f t="shared" si="206"/>
        <v/>
      </c>
      <c r="SL10" s="11" t="str">
        <f t="shared" si="207"/>
        <v/>
      </c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36" t="str">
        <f t="shared" si="208"/>
        <v/>
      </c>
      <c r="TH10" s="36" t="str">
        <f t="shared" si="209"/>
        <v/>
      </c>
      <c r="TI10" s="36" t="str">
        <f t="shared" si="210"/>
        <v/>
      </c>
      <c r="TJ10" s="36" t="str">
        <f t="shared" si="211"/>
        <v/>
      </c>
      <c r="TK10" s="36" t="str">
        <f t="shared" si="212"/>
        <v/>
      </c>
      <c r="TL10" s="36" t="str">
        <f t="shared" si="213"/>
        <v/>
      </c>
      <c r="TM10" s="36" t="str">
        <f t="shared" si="214"/>
        <v/>
      </c>
      <c r="TN10" s="36" t="str">
        <f t="shared" si="215"/>
        <v/>
      </c>
      <c r="TO10" s="36" t="str">
        <f t="shared" si="216"/>
        <v/>
      </c>
      <c r="TP10" s="36" t="str">
        <f t="shared" si="217"/>
        <v/>
      </c>
      <c r="TQ10" s="36" t="str">
        <f t="shared" si="218"/>
        <v/>
      </c>
      <c r="TR10" s="36" t="str">
        <f t="shared" si="219"/>
        <v/>
      </c>
      <c r="TS10" s="36" t="str">
        <f t="shared" si="220"/>
        <v/>
      </c>
      <c r="TT10" s="36" t="str">
        <f t="shared" si="221"/>
        <v/>
      </c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1" t="str">
        <f t="shared" si="222"/>
        <v/>
      </c>
      <c r="UP10" s="11" t="str">
        <f t="shared" si="223"/>
        <v/>
      </c>
      <c r="UQ10" s="11" t="str">
        <f t="shared" si="224"/>
        <v/>
      </c>
      <c r="UR10" s="11" t="str">
        <f t="shared" si="225"/>
        <v/>
      </c>
      <c r="US10" s="11" t="str">
        <f t="shared" si="226"/>
        <v/>
      </c>
      <c r="UT10" s="11" t="str">
        <f t="shared" si="227"/>
        <v/>
      </c>
      <c r="UU10" s="11" t="str">
        <f t="shared" si="228"/>
        <v/>
      </c>
      <c r="UV10" s="11" t="str">
        <f t="shared" si="229"/>
        <v/>
      </c>
      <c r="UW10" s="11" t="str">
        <f t="shared" si="230"/>
        <v/>
      </c>
      <c r="UX10" s="11" t="str">
        <f t="shared" si="231"/>
        <v/>
      </c>
      <c r="UY10" s="11" t="str">
        <f t="shared" si="232"/>
        <v/>
      </c>
      <c r="UZ10" s="11" t="str">
        <f t="shared" si="233"/>
        <v/>
      </c>
      <c r="VA10" s="11" t="str">
        <f t="shared" si="234"/>
        <v/>
      </c>
      <c r="VB10" s="11" t="str">
        <f t="shared" si="235"/>
        <v/>
      </c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36" t="str">
        <f t="shared" si="236"/>
        <v/>
      </c>
      <c r="VX10" s="36" t="str">
        <f t="shared" si="237"/>
        <v/>
      </c>
      <c r="VY10" s="36" t="str">
        <f t="shared" si="238"/>
        <v/>
      </c>
      <c r="VZ10" s="36" t="str">
        <f t="shared" si="239"/>
        <v/>
      </c>
      <c r="WA10" s="36" t="str">
        <f t="shared" si="240"/>
        <v/>
      </c>
      <c r="WB10" s="36" t="str">
        <f t="shared" si="241"/>
        <v/>
      </c>
      <c r="WC10" s="36" t="str">
        <f t="shared" si="242"/>
        <v/>
      </c>
      <c r="WD10" s="36" t="str">
        <f t="shared" si="243"/>
        <v/>
      </c>
      <c r="WE10" s="36" t="str">
        <f t="shared" si="244"/>
        <v/>
      </c>
      <c r="WF10" s="36" t="str">
        <f t="shared" si="245"/>
        <v/>
      </c>
      <c r="WG10" s="36" t="str">
        <f t="shared" si="246"/>
        <v/>
      </c>
      <c r="WH10" s="36" t="str">
        <f t="shared" si="247"/>
        <v/>
      </c>
      <c r="WI10" s="36" t="str">
        <f t="shared" si="248"/>
        <v/>
      </c>
      <c r="WJ10" s="36" t="str">
        <f t="shared" si="249"/>
        <v/>
      </c>
    </row>
    <row r="11" spans="1:608" x14ac:dyDescent="0.2">
      <c r="A11" s="4" t="str" cm="1">
        <f t="array" ref="A11">IF(AND(H11&lt;&gt;"",H11&lt;&gt;"No DD",I11&lt;&gt;"P"),SUMPRODUCT((H$4:H$28&lt;&gt;"")*(H$4:H$28&lt;&gt;"No DD")*(I$4:I$28&lt;&gt;"P")*(E$4:E$28&gt;E11))+1,IF(H11="No DD",SUMPRODUCT((H$4:H$28="No DD")*(I$4:I$28&lt;&gt;"P")*(E$4:E$28&gt;E11))+1+SUMPRODUCT((H$4:H$28&lt;&gt;"")*(I$4:I$28&lt;&gt;"P")*(H$4:H$28&lt;&gt;"No DD")),""))</f>
        <v/>
      </c>
      <c r="B11" s="5" t="s">
        <v>185</v>
      </c>
      <c r="C11" s="4" t="s">
        <v>7</v>
      </c>
      <c r="D11" s="4">
        <v>2005</v>
      </c>
      <c r="E11" s="9">
        <f t="shared" si="0"/>
        <v>106.13001038900522</v>
      </c>
      <c r="F11" s="3" t="str">
        <f>IF(OR(AND(AG11&gt;=AQ$30,AG11&lt;&gt;"",AI11&gt;=AQ$34,AI11&lt;&gt;"",AF11=""),AND(AJ11&gt;=AQ$30,AJ11&lt;&gt;"",AL11&gt;=AQ$34,AL11&lt;&gt;"",AF11=""),AND(AN11&gt;=AQ$30,AN11&lt;&gt;"",AP11&gt;=AQ$34,AP11&lt;&gt;"",AF11=""),AND(BH11&gt;=BR$30,BH11&lt;&gt;"",BJ11&gt;=BR$34,BJ11&lt;&gt;"",BG11=""),AND(BK11&gt;=BR$30,BK11&lt;&gt;"",BM11&gt;=BR$34,BM11&lt;&gt;"",BG11=""),AND(BO11&gt;=BR$30,BO11&lt;&gt;"",BQ11&gt;=BR$34,BQ11&lt;&gt;"",BG11=""),AND(CI11&gt;=CS$30,CI11&lt;&gt;"",CK11&gt;=CS$34,CK11&lt;&gt;"",CH11=""),AND(CL11&gt;=CS$30,CL11&lt;&gt;"",CN11&gt;=CS$34,CN11&lt;&gt;"",CH11=""),AND(CP11&gt;=CS$30,CP11&lt;&gt;"",CR11&gt;=CS$34,CR11&lt;&gt;"",CH11=""),AND(DO11&gt;=EB$30,DO11&lt;&gt;"",DQ11&gt;=EB$34,DQ11&lt;&gt;""),AND(DR11&gt;=EB$30,DR11&lt;&gt;"",DT11&gt;=EB$34,DT11&lt;&gt;""),AND(DV11&gt;=EB$30,DV11&lt;&gt;"",DX11&gt;=EB$34,DX11&lt;&gt;""),AND(DY11&gt;=EB$30,DY11&lt;&gt;"",EA11&gt;=EB$34,EA11&lt;&gt;""),AND(EW11&gt;=FJ$30,EW11&lt;&gt;"",EY11&gt;=FJ$34,EY11&lt;&gt;""),AND(EZ11&gt;=FJ$30,EZ11&lt;&gt;"",FB11&gt;=FJ$34,FB11&lt;&gt;""),AND(FD11&gt;=FJ$30,FD11&lt;&gt;"",FF11&gt;=FJ$34,FF11&lt;&gt;""),AND(FG11&gt;=FJ$30,FG11&lt;&gt;"",FI11&gt;=FJ$34,FI11&lt;&gt;""),AND(GE11&gt;=GR$30,GE11&lt;&gt;"",GG11&gt;=GR$34,GG11&lt;&gt;""),AND(GH11&gt;=GR$30,GH11&lt;&gt;"",GJ11&gt;=GR$34,GJ11&lt;&gt;""),AND(GL11&gt;=GR$30,GL11&lt;&gt;"",GN11&gt;=GR$34,GN11&lt;&gt;""),AND(GO11&gt;=GR$30,GO11&lt;&gt;"",GQ11&gt;=GR$34,GQ11&lt;&gt;""),AND(HM11&gt;=HZ$30,HM11&lt;&gt;"",HO11&gt;=HZ$34,HO11&lt;&gt;""),AND(HP11&gt;=HZ$30,HP11&lt;&gt;"",HR11&gt;=HZ$34,HR11&lt;&gt;""),AND(HT11&gt;=HZ$30,HT11&lt;&gt;"",HV11&gt;=HZ$34,HV11&lt;&gt;""),AND(HW11&gt;=HZ$30,HW11&lt;&gt;"",HY11&gt;=HZ$34,HY11&lt;&gt;""),AND(IU11&gt;=JH$30,IU11&lt;&gt;"",IW11&gt;=JH$34,IW11&lt;&gt;""),AND(IX11&gt;=JH$30,IX11&lt;&gt;"",IZ11&gt;=JH$34,IZ11&lt;&gt;""),AND(JB11&gt;=JH$30,JB11&lt;&gt;"",JD11&gt;=JH$34,JD11&lt;&gt;""),AND(JE11&gt;=JH$30,JE11&lt;&gt;"",JG11&gt;=JH$34,JG11&lt;&gt;""),AND(KC11&gt;=KP$30,KC11&lt;&gt;"",KE11&gt;=KP$34,KE11&lt;&gt;""),AND(KF11&gt;=KP$30,KF11&lt;&gt;"",KH11&gt;=KP$34,KH11&lt;&gt;""),AND(KJ11&gt;=KP$30,KJ11&lt;&gt;"",KL11&gt;=KP$34,KL11&lt;&gt;""),AND(KM11&gt;=KP$30,KM11&lt;&gt;"",KO11&gt;=KP$34,KO11&lt;&gt;""),AND(LK11&gt;=LX$30,LK11&lt;&gt;"",LM11&gt;=LX$34,LM11&lt;&gt;""),AND(LN11&gt;=LX$30,LN11&lt;&gt;"",LP11&gt;=LX$34,LP11&lt;&gt;""),AND(LR11&gt;=LX$30,LR11&lt;&gt;"",LT11&gt;=LX$34,LT11&lt;&gt;""),AND(LU11&gt;=LX$30,LU11&lt;&gt;"",LW11&gt;=LX$34,LW11&lt;&gt;""),AND(MS11&gt;=NF$30,MS11&lt;&gt;"",MU11&gt;=NF$34,MU11&lt;&gt;""),AND(MV11&gt;=NF$30,MV11&lt;&gt;"",MX11&gt;=NF$34,MX11&lt;&gt;""),AND(MZ11&gt;=NF$30,MZ11&lt;&gt;"",NB11&gt;=NF$34,NB11&lt;&gt;""),AND(NC11&gt;=NF$30,NC11&lt;&gt;"",NE11&gt;=NF$34,NE11&lt;&gt;""),AND(OA11&gt;=ON$30,OA11&lt;&gt;"",OC11&gt;=ON$34,OC11&lt;&gt;""),AND(OD11&gt;=ON$30,OD11&lt;&gt;"",OF11&gt;=ON$34,OF11&lt;&gt;""),AND(OH11&gt;=ON$30,OH11&lt;&gt;"",OJ11&gt;=ON$34,OJ11&lt;&gt;""),AND(OK11&gt;=ON$30,OK11&lt;&gt;"",OM11&gt;=ON$34,OM11&lt;&gt;""),AND(PI11&gt;=PV$30,PI11&lt;&gt;"",PK11&gt;=PV$34,PK11&lt;&gt;""),AND(PL11&gt;=PV$30,PL11&lt;&gt;"",PN11&gt;=PV$34,PN11&lt;&gt;""),AND(PP11&gt;=PV$30,PP11&lt;&gt;"",PR11&gt;=PV$34,PR11&lt;&gt;""),AND(PS11&gt;=PV$30,PS11&lt;&gt;"",PU11&gt;=PV$34,PU11&lt;&gt;""),AND(QQ11&gt;=RD$30,QQ11&lt;&gt;"",QS11&gt;=RD$34,QS11&lt;&gt;""),AND(QT11&gt;=RD$30,QT11&lt;&gt;"",QV11&gt;=RD$34,QV11&lt;&gt;""),AND(QX11&gt;=RD$30,QX11&lt;&gt;"",QZ11&gt;=RD$34,QZ11&lt;&gt;""),AND(RA11&gt;=RD$30,RA11&lt;&gt;"",RC11&gt;=RD$34,RC11&lt;&gt;""),AND(RY11&gt;=SL$30,RY11&lt;&gt;"",SA11&gt;=SL$34,SA11&lt;&gt;""),AND(SB11&gt;=SL$30,SB11&lt;&gt;"",SD11&gt;=SL$34,SD11&lt;&gt;""),AND(SF11&gt;=SL$30,SF11&lt;&gt;"",SH11&gt;=SL$34,SH11&lt;&gt;""),AND(SI11&gt;=SL$30,SI11&lt;&gt;"",SK11&gt;=SL$34,SK11&lt;&gt;""),AND(TG11&gt;=TT$30,TG11&lt;&gt;"",TI11&gt;=TT$34,TI11&lt;&gt;""),AND(TJ11&gt;=TT$30,TJ11&lt;&gt;"",TL11&gt;=TT$34,TL11&lt;&gt;""),AND(TN11&gt;=TT$30,TN11&lt;&gt;"",TP11&gt;=TT$34,TXN11&lt;&gt;""),AND(TQ11&gt;=TT$30,TQ11&lt;&gt;"",TS11&gt;=TT$34,TS11&lt;&gt;""),AND(UO11&gt;=VB$30,UO11&lt;&gt;"",UQ11&gt;=VB$34,UQ11&lt;&gt;""),AND(UR11&gt;=VB$30,UR11&lt;&gt;"",UT11&gt;=VB$34,UT11&lt;&gt;""),AND(UV11&gt;=VB$30,UV11&lt;&gt;"",UX11&gt;=VB$34,UX11&lt;&gt;""),AND(UY11&gt;=VB$30,UY11&lt;&gt;"",VA11&gt;=VB$34,VA11&lt;&gt;""),AND(VW11&gt;=WJ$30,VW11&lt;&gt;"",VY11&gt;=WJ$34,VY11&lt;&gt;""),AND(VZ11&gt;=WJ$30,VZ11&lt;&gt;"",WB11&gt;=WJ$34,WB11&lt;&gt;""),AND(WD11&gt;=WJ$30,WD11&lt;&gt;"",WF11&gt;=WJ$34,WF11&lt;&gt;""),AND(WG11&gt;=WJ$30,WG11&lt;&gt;"",WI11&gt;=WJ$34,WI11&lt;&gt;"")),"P","")</f>
        <v/>
      </c>
      <c r="G11" s="3" t="str">
        <f>IF(OR(AND(AI11&gt;=AQ$34,AI11&lt;&gt;"",AF11=""),AND(AL11&gt;=AQ$34,AL11&lt;&gt;"",AF11=""),AND(AP11&gt;=AQ$34,AP11&lt;&gt;"",AF11=""),AND(BJ11&gt;=BR$34,BJ11&lt;&gt;"",BG11=""),AND(BM11&gt;=BR$34,BM11&lt;&gt;"",BG11=""),AND(BQ11&gt;=BR$34,BQ11&lt;&gt;"",BG11=""),AND(CK11&gt;=CS$34,CK11&lt;&gt;"",CH11=""),AND(CN11&gt;=CS$34,CN11&lt;&gt;"",CH11=""),AND(CR11&gt;=CS$34,CR11&lt;&gt;"",CH11=""),AND(DQ11&gt;=EB$34,DQ11&lt;&gt;""),AND(DT11&gt;=EB$34,DT11&lt;&gt;""),AND(DX11&gt;=EB$34,DX11&lt;&gt;""),AND(EA11&gt;=EB$34,EA11&lt;&gt;""),AND(EY11&gt;=FJ$34,EY11&lt;&gt;""),AND(FB11&gt;=FJ$34,FB11&lt;&gt;""),AND(FF11&gt;=FJ$34,FF11&lt;&gt;""),AND(FI11&gt;=FJ$34,FI11&lt;&gt;""),AND(GG11&gt;=GR$34,GG11&lt;&gt;""),AND(GJ11&gt;=GR$34,GJ11&lt;&gt;""),AND(GN11&gt;=GR$34,GN11&lt;&gt;""),AND(GQ11&gt;=GR$34,GQ11&lt;&gt;""),AND(HO11&gt;=HZ$34,HO11&lt;&gt;""),AND(HR11&gt;=HZ$34,HR11&lt;&gt;""),AND(HV11&gt;=HZ$34,HV11&lt;&gt;""),AND(HY11&gt;=HZ$34,HY11&lt;&gt;""),AND(IW11&gt;=JH$34,IW11&lt;&gt;""),AND(IZ11&gt;=JH$34,IZ11&lt;&gt;""),AND(JD11&gt;=JH$34,JD11&lt;&gt;""),AND(JG11&gt;=JH$34,JG11&lt;&gt;""),AND(KE11&gt;=KP$34,KE11&lt;&gt;""),AND(KH11&gt;=KP$34,KH11&lt;&gt;""),AND(KL11&gt;=KP$34,KL11&lt;&gt;""),AND(KO11&gt;=KP$34,KO11&lt;&gt;""),AND(LM11&gt;=LX$34,LM11&lt;&gt;""),AND(LP11&gt;=LX$34,LP11&lt;&gt;""),AND(LT11&gt;=LX$34,LT11&lt;&gt;""),AND(LW11&gt;=LX$34,LW11&lt;&gt;""),AND(MU11&gt;=NF$34,MU11&lt;&gt;""),AND(MX11&gt;=NF$34,MX11&lt;&gt;""),AND(NB11&gt;=NF$34,NB11&lt;&gt;""),AND(NE11&gt;=NF$34,NE11&lt;&gt;""),AND(OC11&gt;=ON$34,OC11&lt;&gt;""),AND(OF11&gt;=ON$34,OF11&lt;&gt;""),AND(OJ11&gt;=ON$34,OJ11&lt;&gt;""),AND(OM11&gt;=ON$34,OM11&lt;&gt;""),AND(PK11&gt;=PV$34,PK11&lt;&gt;""),AND(PN11&gt;=PV$34,PN11&lt;&gt;""),AND(PR11&gt;=PV$34,PR11&lt;&gt;""),AND(PU11&gt;=PV$34,PU11&lt;&gt;""),AND(QS11&gt;=RD$34,QS11&lt;&gt;""),AND(QV11&gt;=RD$34,QV11&lt;&gt;""),AND(QZ11&gt;=RD$34,QZ11&lt;&gt;""),AND(RC11&gt;=RD$34,RC11&lt;&gt;""),AND(SA11&gt;=SL$34,SA11&lt;&gt;""),AND(SD11&gt;=SL$34,SD11&lt;&gt;""),AND(SH11&gt;=SL$34,SH11&lt;&gt;""),AND(SK11&gt;=SL$34,SK11&lt;&gt;""),AND(TI11&gt;=TT$34,TI11&lt;&gt;""),AND(TL11&gt;=TT$34,TL11&lt;&gt;""),AND(TP11&gt;=TT$34,TXN11&lt;&gt;""),AND(TS11&gt;=TT$34,TS11&lt;&gt;""),AND(UQ11&gt;=VB$34,UQ11&lt;&gt;""),AND(UT11&gt;=VB$34,UT11&lt;&gt;""),AND(UX11&gt;=VB$34,UX11&lt;&gt;""),AND(VA11&gt;=VB$34,VA11&lt;&gt;""),AND(VY11&gt;=WJ$34,VY11&lt;&gt;""),AND(WB11&gt;=WJ$34,WB11&lt;&gt;""),AND(WF11&gt;=WJ$34,WF11&lt;&gt;""),AND(WI11&gt;=WJ$34,WI11&lt;&gt;"")),"P","")</f>
        <v/>
      </c>
      <c r="H11" s="32" t="str">
        <f>IF(AND(G11="P",F11=""),"No DD",IF(OR(AND(AG11&gt;=AQ$33,AG11&lt;&gt;"",AI11&gt;=AQ$37,AI11&lt;&gt;"",AF11=""),AND(AJ11&gt;=AQ$33,AJ11&lt;&gt;"",AL11&gt;=AQ$37,AL11&lt;&gt;"",AF11=""),AND(AN11&gt;=AQ$33,AN11&lt;&gt;"",AP11&gt;=AQ$37,AP11&lt;&gt;"",AF11=""),AND(BH11&gt;=BR$33,BH11&lt;&gt;"",BJ11&gt;=BR$37,BJ11&lt;&gt;"",BG11=""),AND(BK11&gt;=BR$33,BK11&lt;&gt;"",BM11&gt;=BR$37,BM11&lt;&gt;"",BG11=""),AND(BO11&gt;=BR$33,BO11&lt;&gt;"",BQ11&gt;=BR$37,BQ11&lt;&gt;"",BG11=""),AND(CI11&gt;=CS$33,CI11&lt;&gt;"",CK11&gt;=CS$37,CK11&lt;&gt;"",CH11=""),AND(CL11&gt;=CS$33,CL11&lt;&gt;"",CN11&gt;=CS$37,CN11&lt;&gt;"",CH11=""),AND(CP11&gt;=CS$33,CP11&lt;&gt;"",CR11&gt;=CS$37,CR11&lt;&gt;"",CH11=""),AND(DO11&gt;=EB$33,DO11&lt;&gt;"",DQ11&gt;=EB$37,DQ11&lt;&gt;""),AND(DR11&gt;=EB$33,DR11&lt;&gt;"",DT11&gt;=EB$37,DT11&lt;&gt;""),AND(DV11&gt;=EB$33,DV11&lt;&gt;"",DX11&gt;=EB$37,DX11&lt;&gt;""),AND(DY11&gt;=EB$33,DY11&lt;&gt;"",EA11&gt;=EB$37,EA11&lt;&gt;""),AND(EW11&gt;=FJ$33,EW11&lt;&gt;"",EY11&gt;=FJ$37,EY11&lt;&gt;""),AND(EZ11&gt;=FJ$33,EZ11&lt;&gt;"",FB11&gt;=FJ$37,FB11&lt;&gt;""),AND(FD11&gt;=FJ$33,FD11&lt;&gt;"",FF11&gt;=FJ$37,FF11&lt;&gt;""),AND(FG11&gt;=FJ$33,FG11&lt;&gt;"",FI11&gt;=FJ$37,FI11&lt;&gt;""),AND(GE11&gt;=GR$33,GE11&lt;&gt;"",GG11&gt;=GR$37,GG11&lt;&gt;""),AND(GH11&gt;=GR$33,GH11&lt;&gt;"",GJ11&gt;=GR$37,GJ11&lt;&gt;""),AND(GL11&gt;=GR$33,GL11&lt;&gt;"",GN11&gt;=GR$37,GN11&lt;&gt;""),AND(GO11&gt;=GR$33,GO11&lt;&gt;"",GQ11&gt;=GR$37,GQ11&lt;&gt;""),AND(HM11&gt;=HZ$33,HM11&lt;&gt;"",HO11&gt;=HZ$37,HO11&lt;&gt;""),AND(HP11&gt;=HZ$33,HP11&lt;&gt;"",HR11&gt;=HZ$37,HR11&lt;&gt;""),AND(HT11&gt;=HZ$33,HT11&lt;&gt;"",HV11&gt;=HZ$37,HV11&lt;&gt;""),AND(HW11&gt;=HZ$33,HW11&lt;&gt;"",HY11&gt;=HZ$37,HY11&lt;&gt;""),AND(IU11&gt;=JH$33,IU11&lt;&gt;"",IW11&gt;=JH$37,IW11&lt;&gt;""),AND(IX11&gt;=JH$33,IX11&lt;&gt;"",IZ11&gt;=JH$37,IZ11&lt;&gt;""),AND(JB11&gt;=JH$33,JB11&lt;&gt;"",JD11&gt;=JH$37,JD11&lt;&gt;""),AND(JE11&gt;=JH$33,JE11&lt;&gt;"",JG11&gt;=JH$37,JG11&lt;&gt;""),AND(KC11&gt;=KP$33,KC11&lt;&gt;"",KE11&gt;=KP$37,KE11&lt;&gt;""),AND(KF11&gt;=KP$33,KF11&lt;&gt;"",KH11&gt;=KP$37,KH11&lt;&gt;""),AND(KJ11&gt;=KP$33,KJ11&lt;&gt;"",KL11&gt;=KP$37,KL11&lt;&gt;""),AND(KM11&gt;=KP$33,KM11&lt;&gt;"",KO11&gt;=KP$37,KO11&lt;&gt;""),AND(LK11&gt;=LX$33,LK11&lt;&gt;"",LM11&gt;=LX$37,LM11&lt;&gt;""),AND(LN11&gt;=LX$33,LN11&lt;&gt;"",LP11&gt;=LX$37,LP11&lt;&gt;""),AND(LR11&gt;=LX$33,LR11&lt;&gt;"",LT11&gt;=LX$37,LT11&lt;&gt;""),AND(LU11&gt;=LX$33,LU11&lt;&gt;"",LW11&gt;=LX$37,LW11&lt;&gt;""),AND(MS11&gt;=NF$33,MS11&lt;&gt;"",MU11&gt;=NF$37,MU11&lt;&gt;""),AND(MV11&gt;=NF$33,MV11&lt;&gt;"",MX11&gt;=NF$37,MX11&lt;&gt;""),AND(MZ11&gt;=NF$33,MZ11&lt;&gt;"",NB11&gt;=NF$37,NB11&lt;&gt;""),AND(NC11&gt;=NF$33,NC11&lt;&gt;"",NE11&gt;=NF$37,NE11&lt;&gt;""),AND(OA11&gt;=ON$33,OA11&lt;&gt;"",OC11&gt;=ON$37,OC11&lt;&gt;""),AND(OD11&gt;=ON$33,OD11&lt;&gt;"",OF11&gt;=ON$37,OF11&lt;&gt;""),AND(OH11&gt;=ON$33,OH11&lt;&gt;"",OJ11&gt;=ON$37,OJ11&lt;&gt;""),AND(OK11&gt;=ON$33,OK11&lt;&gt;"",OM11&gt;=ON$37,OM11&lt;&gt;""),AND(PI11&gt;=PV$33,PI11&lt;&gt;"",PK11&gt;=PV$37,PK11&lt;&gt;""),AND(PL11&gt;=PV$33,PL11&lt;&gt;"",PN11&gt;=PV$37,PN11&lt;&gt;""),AND(PP11&gt;=PV$33,PP11&lt;&gt;"",PR11&gt;=PV$37,PR11&lt;&gt;""),AND(PS11&gt;=PV$33,PS11&lt;&gt;"",PU11&gt;=PV$37,PU11&lt;&gt;""),AND(QQ11&gt;=RD$33,QQ11&lt;&gt;"",QS11&gt;=RD$37,QS11&lt;&gt;""),AND(QT11&gt;=RD$33,QT11&lt;&gt;"",QV11&gt;=RD$37,QV11&lt;&gt;""),AND(QX11&gt;=RD$33,QX11&lt;&gt;"",QZ11&gt;=RD$37,QZ11&lt;&gt;""),AND(RA11&gt;=RD$33,RA11&lt;&gt;"",RC11&gt;=RD$37,RC11&lt;&gt;""),AND(RY11&gt;=SL$33,RY11&lt;&gt;"",SA11&gt;=SL$37,SA11&lt;&gt;""),AND(SB11&gt;=SL$33,SB11&lt;&gt;"",SD11&gt;=SL$37,SD11&lt;&gt;""),AND(SF11&gt;=SL$33,SF11&lt;&gt;"",SH11&gt;=SL$37,SH11&lt;&gt;""),AND(SI11&gt;=SL$33,SI11&lt;&gt;"",SK11&gt;=SL$37,SK11&lt;&gt;""),AND(TG11&gt;=TT$33,TG11&lt;&gt;"",TI11&gt;=TT$37,TI11&lt;&gt;""),AND(TJ11&gt;=TT$33,TJ11&lt;&gt;"",TL11&gt;=TT$37,TL11&lt;&gt;""),AND(TN11&gt;=TT$33,TN11&lt;&gt;"",TP11&gt;=TT$357,TXN11&lt;&gt;""),AND(TQ11&gt;=TT$33,TQ11&lt;&gt;"",TS11&gt;=TT$37,TS11&lt;&gt;""),AND(UO11&gt;=VB$33,UO11&lt;&gt;"",UQ11&gt;=VB$37,UQ11&lt;&gt;""),AND(UR11&gt;=VB$33,UR11&lt;&gt;"",UT11&gt;=VB$37,UT11&lt;&gt;""),AND(UV11&gt;=VB$33,UV11&lt;&gt;"",UX11&gt;=VB$37,UX11&lt;&gt;""),AND(UY11&gt;=VB$33,UY11&lt;&gt;"",VA11&gt;=VB$37,VA11&lt;&gt;""),AND(VW11&gt;=WJ$33,VW11&lt;&gt;"",VY11&gt;=WJ$37,VY11&lt;&gt;""),AND(VZ11&gt;=WJ$33,VZ11&lt;&gt;"",WB11&gt;=WJ$37,WB11&lt;&gt;""),AND(WD11&gt;=WJ$33,WD11&lt;&gt;"",WF11&gt;=WJ$37,WF11&lt;&gt;""),AND(WG11&gt;=WJ$33,WG11&lt;&gt;"",WI11&gt;=WJ$37,WI11&lt;&gt;"")),"Merit",IF(OR(AND(AG11&gt;=AQ$32,AG11&lt;&gt;"",AI11&gt;=AQ$36,AI11&lt;&gt;"",AF11=""),AND(AJ11&gt;=AQ$32,AJ11&lt;&gt;"",AL11&gt;=AQ$36,AL11&lt;&gt;"",AF11=""),AND(AN11&gt;=AQ$32,AN11&lt;&gt;"",AP11&gt;=AQ$36,AP11&lt;&gt;"",AF11=""),AND(BH11&gt;=BR$32,BH11&lt;&gt;"",BJ11&gt;=BR$36,BJ11&lt;&gt;"",BG11=""),AND(BK11&gt;=BR$32,BK11&lt;&gt;"",BM11&gt;=BR$36,BM11&lt;&gt;"",BG11=""),AND(BO11&gt;=BR$32,BO11&lt;&gt;"",BQ11&gt;=BR$36,BQ11&lt;&gt;"",BG11=""),AND(CI11&gt;=CS$32,CI11&lt;&gt;"",CK11&gt;=CS$36,CK11&lt;&gt;"",CH11=""),AND(CL11&gt;=CS$32,CL11&lt;&gt;"",CN11&gt;=CS$36,CN11&lt;&gt;"",CH11=""),AND(CP11&gt;=CS$32,CP11&lt;&gt;"",CR11&gt;=CS$36,CR11&lt;&gt;"",CH11=""),AND(DO11&gt;=EB$32,DO11&lt;&gt;"",DQ11&gt;=EB$36,DQ11&lt;&gt;""),AND(DR11&gt;=EB$32,DR11&lt;&gt;"",DT11&gt;=EB$36,DT11&lt;&gt;""),AND(DV11&gt;=EB$32,DV11&lt;&gt;"",DX11&gt;=EB$36,DX11&lt;&gt;""),AND(DY11&gt;=EB$32,DY11&lt;&gt;"",EA11&gt;=EB$36,EA11&lt;&gt;""),AND(EW11&gt;=FJ$32,EW11&lt;&gt;"",EY11&gt;=FJ$36,EY11&lt;&gt;""),AND(EZ11&gt;=FJ$32,EZ11&lt;&gt;"",FB11&gt;=FJ$36,FB11&lt;&gt;""),AND(FD11&gt;=FJ$32,FD11&lt;&gt;"",FF11&gt;=FJ$36,FF11&lt;&gt;""),AND(FG11&gt;=FJ$32,FG11&lt;&gt;"",FI11&gt;=FJ$36,FI11&lt;&gt;""),AND(GE11&gt;=GR$32,GE11&lt;&gt;"",GG11&gt;=GR$36,GG11&lt;&gt;""),AND(GH11&gt;=GR$32,GH11&lt;&gt;"",GJ11&gt;=GR$36,GJ11&lt;&gt;""),AND(GL11&gt;=GR$32,GL11&lt;&gt;"",GN11&gt;=GR$36,GN11&lt;&gt;""),AND(GO11&gt;=GR$32,GO11&lt;&gt;"",GQ11&gt;=GR$36,GQ11&lt;&gt;""),AND(HM11&gt;=HZ$32,HM11&lt;&gt;"",HO11&gt;=HZ$36,HO11&lt;&gt;""),AND(HP11&gt;=HZ$32,HP11&lt;&gt;"",HR11&gt;=HZ$36,HR11&lt;&gt;""),AND(HT11&gt;=HZ$32,HT11&lt;&gt;"",HV11&gt;=HZ$36,HV11&lt;&gt;""),AND(HW11&gt;=HZ$32,HW11&lt;&gt;"",HY11&gt;=HZ$36,HY11&lt;&gt;""),AND(IU11&gt;=JH$32,IU11&lt;&gt;"",IW11&gt;=JH$36,IW11&lt;&gt;""),AND(IX11&gt;=JH$32,IX11&lt;&gt;"",IZ11&gt;=JH$36,IZ11&lt;&gt;""),AND(JB11&gt;=JH$32,JB11&lt;&gt;"",JD11&gt;=JH$36,JD11&lt;&gt;""),AND(JE11&gt;=JH$32,JE11&lt;&gt;"",JG11&gt;=JH$36,JG11&lt;&gt;""),AND(KC11&gt;=KP$32,KC11&lt;&gt;"",KE11&gt;=KP$36,KE11&lt;&gt;""),AND(KF11&gt;=KP$32,KF11&lt;&gt;"",KH11&gt;=KP$36,KH11&lt;&gt;""),AND(KJ11&gt;=KP$32,KJ11&lt;&gt;"",KL11&gt;=KP$36,KL11&lt;&gt;""),AND(KM11&gt;=KP$32,KM11&lt;&gt;"",KO11&gt;=KP$36,KO11&lt;&gt;""),AND(LK11&gt;=LX$32,LK11&lt;&gt;"",LM11&gt;=LX$36,LM11&lt;&gt;""),AND(LN11&gt;=LX$32,LN11&lt;&gt;"",LP11&gt;=LX$36,LP11&lt;&gt;""),AND(LR11&gt;=LX$32,LR11&lt;&gt;"",LT11&gt;=LX$36,LT11&lt;&gt;""),AND(LU11&gt;=LX$32,LU11&lt;&gt;"",LW11&gt;=LX$36,LW11&lt;&gt;""),AND(MS11&gt;=NF$32,MS11&lt;&gt;"",MU11&gt;=NF$36,MU11&lt;&gt;""),AND(MV11&gt;=NF$32,MV11&lt;&gt;"",MX11&gt;=NF$36,MX11&lt;&gt;""),AND(MZ11&gt;=NF$32,MZ11&lt;&gt;"",NB11&gt;=NF$36,NB11&lt;&gt;""),AND(NC11&gt;=NF$32,NC11&lt;&gt;"",NE11&gt;=NF$36,NE11&lt;&gt;""),AND(OA11&gt;=ON$32,OA11&lt;&gt;"",OC11&gt;=ON$36,OC11&lt;&gt;""),AND(OD11&gt;=ON$32,OD11&lt;&gt;"",OF11&gt;=ON$36,OF11&lt;&gt;""),AND(OH11&gt;=ON$32,OH11&lt;&gt;"",OJ11&gt;=ON$36,OJ11&lt;&gt;""),AND(OK11&gt;=ON$32,OK11&lt;&gt;"",OM11&gt;=ON$36,OM11&lt;&gt;""),AND(PI11&gt;=PV$32,PI11&lt;&gt;"",PK11&gt;=PV$36,PK11&lt;&gt;""),AND(PL11&gt;=PV$32,PL11&lt;&gt;"",PN11&gt;=PV$36,PN11&lt;&gt;""),AND(PP11&gt;=PV$32,PP11&lt;&gt;"",PR11&gt;=PV$36,PR11&lt;&gt;""),AND(PS11&gt;=PV$32,PS11&lt;&gt;"",PU11&gt;=PV$36,PU11&lt;&gt;""),AND(QQ11&gt;=RD$32,QQ11&lt;&gt;"",QS11&gt;=RD$36,QS11&lt;&gt;""),AND(QT11&gt;=RD$32,QT11&lt;&gt;"",QV11&gt;=RD$36,QV11&lt;&gt;""),AND(QX11&gt;=RD$32,QX11&lt;&gt;"",QZ11&gt;=RD$36,QZ11&lt;&gt;""),AND(RA11&gt;=RD$32,RA11&lt;&gt;"",RC11&gt;=RD$36,RC11&lt;&gt;""),AND(RY11&gt;=SL$32,RY11&lt;&gt;"",SA11&gt;=SL$36,SA11&lt;&gt;""),AND(SB11&gt;=SL$32,SB11&lt;&gt;"",SD11&gt;=SL$36,SD11&lt;&gt;""),AND(SF11&gt;=SL$32,SF11&lt;&gt;"",SH11&gt;=SL$36,SH11&lt;&gt;""),AND(SI11&gt;=SL$32,SI11&lt;&gt;"",SK11&gt;=SL$36,SK11&lt;&gt;""),AND(TG11&gt;=TT$32,TG11&lt;&gt;"",TI11&gt;=TT$36,TI11&lt;&gt;""),AND(TJ11&gt;=TT$32,TJ11&lt;&gt;"",TL11&gt;=TT$36,TL11&lt;&gt;""),AND(TN11&gt;=TT$32,TN11&lt;&gt;"",TP11&gt;=TT$36,TXN11&lt;&gt;""),AND(TQ11&gt;=TT$32,TQ11&lt;&gt;"",TS11&gt;=TT$36,TS11&lt;&gt;""),AND(UO11&gt;=VB$32,UO11&lt;&gt;"",UQ11&gt;=VB$36,UQ11&lt;&gt;""),AND(UR11&gt;=VB$32,UR11&lt;&gt;"",UT11&gt;=VB$36,UT11&lt;&gt;""),AND(UV11&gt;=VB$32,UV11&lt;&gt;"",UX11&gt;=VB$36,UX11&lt;&gt;""),AND(UY11&gt;=VB$32,UY11&lt;&gt;"",VA11&gt;=VB$36,VA11&lt;&gt;""),AND(VW11&gt;=WJ$32,VW11&lt;&gt;"",VY11&gt;=WJ$36,VY11&lt;&gt;""),AND(VZ11&gt;=WJ$32,VZ11&lt;&gt;"",WB11&gt;=WJ$36,WB11&lt;&gt;""),AND(WD11&gt;=WJ$32,WD11&lt;&gt;"",WF11&gt;=WJ$36,WF11&lt;&gt;""),AND(WG11&gt;=WJ$32,WG11&lt;&gt;"",WI11&gt;=WJ$36,WI11&lt;&gt;"")),"Excellence",IF(I11="P","National Team",IF(F11="P","National Team","")))))</f>
        <v/>
      </c>
      <c r="I11" s="3" t="str">
        <f>IF(COUNTIFS('Senior-M'!B:B,B11,'Senior-M'!A:A,"&lt;9",'Senior-M'!H:H,"&lt;&gt;"&amp;"No DD"),"P","")</f>
        <v/>
      </c>
      <c r="J11" s="8">
        <f t="shared" si="1"/>
        <v>52.28</v>
      </c>
      <c r="K11" s="8" t="str">
        <f t="shared" si="2"/>
        <v>2025 Nationals</v>
      </c>
      <c r="L11" s="8">
        <f>IFERROR(LARGE((AI11,AL11,AP11,BJ11,BM11,BQ11,CK11,CN11,CR11),2),0)</f>
        <v>51.61</v>
      </c>
      <c r="M11" s="8" t="str">
        <f t="shared" si="3"/>
        <v>2025 Nationals</v>
      </c>
      <c r="N11" s="8">
        <f t="shared" si="4"/>
        <v>2.2399999999999949</v>
      </c>
      <c r="O11" s="11" t="str">
        <f>IF(N11=0,"",IF(N11=CT11,"("&amp;CT$2&amp;")",IF(N11=#REF!,"("&amp;#REF!&amp;")")))</f>
        <v>(Any)</v>
      </c>
      <c r="P11" s="8" t="str">
        <f t="shared" si="5"/>
        <v>2025 WAGC (Nov 16)</v>
      </c>
      <c r="Q11" s="18">
        <v>13.3</v>
      </c>
      <c r="R11" s="18">
        <v>9</v>
      </c>
      <c r="S11" s="18">
        <v>14</v>
      </c>
      <c r="T11" s="18">
        <v>15.31</v>
      </c>
      <c r="U11" s="18">
        <v>0</v>
      </c>
      <c r="V11" s="18">
        <v>13.4</v>
      </c>
      <c r="W11" s="18">
        <v>8.1999999999999993</v>
      </c>
      <c r="X11" s="18">
        <v>10.3</v>
      </c>
      <c r="Y11" s="18">
        <v>13.58</v>
      </c>
      <c r="Z11" s="18">
        <v>0</v>
      </c>
      <c r="AA11" s="18">
        <v>13.9</v>
      </c>
      <c r="AB11" s="18">
        <v>9.1999999999999993</v>
      </c>
      <c r="AC11" s="18">
        <v>14</v>
      </c>
      <c r="AD11" s="18">
        <v>15.18</v>
      </c>
      <c r="AE11" s="18">
        <v>0</v>
      </c>
      <c r="AF11" s="23"/>
      <c r="AG11" s="34">
        <f t="shared" si="6"/>
        <v>14</v>
      </c>
      <c r="AH11" s="34">
        <f t="shared" si="7"/>
        <v>15.31</v>
      </c>
      <c r="AI11" s="36">
        <f t="shared" si="8"/>
        <v>51.61</v>
      </c>
      <c r="AJ11" s="36">
        <f t="shared" si="9"/>
        <v>10.3</v>
      </c>
      <c r="AK11" s="36">
        <f t="shared" si="10"/>
        <v>13.58</v>
      </c>
      <c r="AL11" s="36">
        <f t="shared" si="11"/>
        <v>45.480000000000004</v>
      </c>
      <c r="AM11" s="36">
        <f t="shared" si="12"/>
        <v>51.61</v>
      </c>
      <c r="AN11" s="36">
        <f t="shared" si="13"/>
        <v>14</v>
      </c>
      <c r="AO11" s="36">
        <f t="shared" si="14"/>
        <v>15.18</v>
      </c>
      <c r="AP11" s="36">
        <f t="shared" si="15"/>
        <v>52.28</v>
      </c>
      <c r="AQ11" s="36">
        <f t="shared" si="16"/>
        <v>103.89</v>
      </c>
      <c r="AR11" s="22">
        <v>5.5</v>
      </c>
      <c r="AS11" s="22">
        <v>3.5</v>
      </c>
      <c r="AT11" s="22">
        <v>4.0999999999999996</v>
      </c>
      <c r="AU11" s="22">
        <v>6.61</v>
      </c>
      <c r="AV11" s="22">
        <v>0</v>
      </c>
      <c r="AW11" s="22">
        <v>2.8</v>
      </c>
      <c r="AX11" s="22">
        <v>1.8</v>
      </c>
      <c r="AY11" s="22">
        <v>3</v>
      </c>
      <c r="AZ11" s="22">
        <v>3.46</v>
      </c>
      <c r="BA11" s="22">
        <v>0.4</v>
      </c>
      <c r="BB11" s="22">
        <v>1.4</v>
      </c>
      <c r="BC11" s="22">
        <v>1</v>
      </c>
      <c r="BD11" s="22">
        <v>1.7</v>
      </c>
      <c r="BE11" s="22">
        <v>1.78</v>
      </c>
      <c r="BF11" s="22">
        <v>0</v>
      </c>
      <c r="BG11" s="24"/>
      <c r="BH11" s="35">
        <f t="shared" si="17"/>
        <v>4.0999999999999996</v>
      </c>
      <c r="BI11" s="35">
        <f t="shared" si="18"/>
        <v>6.61</v>
      </c>
      <c r="BJ11" s="11">
        <f t="shared" si="19"/>
        <v>19.71</v>
      </c>
      <c r="BK11" s="11">
        <f t="shared" si="20"/>
        <v>3</v>
      </c>
      <c r="BL11" s="11">
        <f t="shared" si="21"/>
        <v>3.46</v>
      </c>
      <c r="BM11" s="11">
        <f t="shared" si="22"/>
        <v>10.659999999999998</v>
      </c>
      <c r="BN11" s="11">
        <f t="shared" si="23"/>
        <v>19.71</v>
      </c>
      <c r="BO11" s="11">
        <f t="shared" si="24"/>
        <v>1.7</v>
      </c>
      <c r="BP11" s="11">
        <f t="shared" si="25"/>
        <v>1.78</v>
      </c>
      <c r="BQ11" s="11">
        <f t="shared" si="26"/>
        <v>5.88</v>
      </c>
      <c r="BR11" s="11">
        <f t="shared" si="27"/>
        <v>25.59</v>
      </c>
      <c r="BS11" s="18">
        <v>7.1</v>
      </c>
      <c r="BT11" s="18">
        <v>4.3</v>
      </c>
      <c r="BU11" s="18">
        <v>6</v>
      </c>
      <c r="BV11" s="18">
        <v>8.14</v>
      </c>
      <c r="BW11" s="18">
        <v>0</v>
      </c>
      <c r="BX11" s="18">
        <v>3.4</v>
      </c>
      <c r="BY11" s="18">
        <v>2</v>
      </c>
      <c r="BZ11" s="18">
        <v>3.5</v>
      </c>
      <c r="CA11" s="18">
        <v>3.35</v>
      </c>
      <c r="CB11" s="18">
        <v>0</v>
      </c>
      <c r="CC11" s="18"/>
      <c r="CD11" s="18"/>
      <c r="CE11" s="18"/>
      <c r="CF11" s="18"/>
      <c r="CG11" s="18"/>
      <c r="CH11" s="23"/>
      <c r="CI11" s="34">
        <f t="shared" si="28"/>
        <v>6</v>
      </c>
      <c r="CJ11" s="34">
        <f t="shared" si="29"/>
        <v>8.14</v>
      </c>
      <c r="CK11" s="36">
        <f t="shared" si="30"/>
        <v>25.54</v>
      </c>
      <c r="CL11" s="36">
        <f t="shared" si="31"/>
        <v>3.5</v>
      </c>
      <c r="CM11" s="36">
        <f t="shared" si="32"/>
        <v>3.35</v>
      </c>
      <c r="CN11" s="36">
        <f t="shared" si="33"/>
        <v>12.25</v>
      </c>
      <c r="CO11" s="36">
        <f t="shared" si="34"/>
        <v>25.54</v>
      </c>
      <c r="CP11" s="36" t="str">
        <f t="shared" si="35"/>
        <v/>
      </c>
      <c r="CQ11" s="36" t="str">
        <f t="shared" si="36"/>
        <v/>
      </c>
      <c r="CR11" s="36" t="str">
        <f t="shared" si="37"/>
        <v/>
      </c>
      <c r="CS11" s="36">
        <f t="shared" si="38"/>
        <v>25.54</v>
      </c>
      <c r="CT11" s="47">
        <f t="shared" si="39"/>
        <v>2.2399999999999949</v>
      </c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36" t="str">
        <f t="shared" si="40"/>
        <v/>
      </c>
      <c r="DP11" s="36" t="str">
        <f t="shared" si="41"/>
        <v/>
      </c>
      <c r="DQ11" s="36" t="str">
        <f t="shared" si="42"/>
        <v/>
      </c>
      <c r="DR11" s="36" t="str">
        <f t="shared" si="43"/>
        <v/>
      </c>
      <c r="DS11" s="36" t="str">
        <f t="shared" si="44"/>
        <v/>
      </c>
      <c r="DT11" s="36" t="str">
        <f t="shared" si="45"/>
        <v/>
      </c>
      <c r="DU11" s="36" t="str">
        <f t="shared" si="46"/>
        <v/>
      </c>
      <c r="DV11" s="36" t="str">
        <f t="shared" si="47"/>
        <v/>
      </c>
      <c r="DW11" s="36" t="str">
        <f t="shared" si="48"/>
        <v/>
      </c>
      <c r="DX11" s="36" t="str">
        <f t="shared" si="49"/>
        <v/>
      </c>
      <c r="DY11" s="36" t="str">
        <f t="shared" si="50"/>
        <v/>
      </c>
      <c r="DZ11" s="36" t="str">
        <f t="shared" si="51"/>
        <v/>
      </c>
      <c r="EA11" s="36" t="str">
        <f t="shared" si="52"/>
        <v/>
      </c>
      <c r="EB11" s="36" t="str">
        <f t="shared" si="53"/>
        <v/>
      </c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1" t="str">
        <f t="shared" si="54"/>
        <v/>
      </c>
      <c r="EX11" s="11" t="str">
        <f t="shared" si="55"/>
        <v/>
      </c>
      <c r="EY11" s="11" t="str">
        <f t="shared" si="56"/>
        <v/>
      </c>
      <c r="EZ11" s="11" t="str">
        <f t="shared" si="57"/>
        <v/>
      </c>
      <c r="FA11" s="11" t="str">
        <f t="shared" si="58"/>
        <v/>
      </c>
      <c r="FB11" s="11" t="str">
        <f t="shared" si="59"/>
        <v/>
      </c>
      <c r="FC11" s="11" t="str">
        <f t="shared" si="60"/>
        <v/>
      </c>
      <c r="FD11" s="11" t="str">
        <f t="shared" si="61"/>
        <v/>
      </c>
      <c r="FE11" s="11" t="str">
        <f t="shared" si="62"/>
        <v/>
      </c>
      <c r="FF11" s="11" t="str">
        <f t="shared" si="63"/>
        <v/>
      </c>
      <c r="FG11" s="11" t="str">
        <f t="shared" si="64"/>
        <v/>
      </c>
      <c r="FH11" s="11" t="str">
        <f t="shared" si="65"/>
        <v/>
      </c>
      <c r="FI11" s="11" t="str">
        <f t="shared" si="66"/>
        <v/>
      </c>
      <c r="FJ11" s="11" t="str">
        <f t="shared" si="67"/>
        <v/>
      </c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36" t="str">
        <f t="shared" si="68"/>
        <v/>
      </c>
      <c r="GF11" s="36" t="str">
        <f t="shared" si="69"/>
        <v/>
      </c>
      <c r="GG11" s="36" t="str">
        <f t="shared" si="70"/>
        <v/>
      </c>
      <c r="GH11" s="36" t="str">
        <f t="shared" si="71"/>
        <v/>
      </c>
      <c r="GI11" s="36" t="str">
        <f t="shared" si="72"/>
        <v/>
      </c>
      <c r="GJ11" s="36" t="str">
        <f t="shared" si="73"/>
        <v/>
      </c>
      <c r="GK11" s="36" t="str">
        <f t="shared" si="74"/>
        <v/>
      </c>
      <c r="GL11" s="36" t="str">
        <f t="shared" si="75"/>
        <v/>
      </c>
      <c r="GM11" s="36" t="str">
        <f t="shared" si="76"/>
        <v/>
      </c>
      <c r="GN11" s="36" t="str">
        <f t="shared" si="77"/>
        <v/>
      </c>
      <c r="GO11" s="36" t="str">
        <f t="shared" si="78"/>
        <v/>
      </c>
      <c r="GP11" s="36" t="str">
        <f t="shared" si="79"/>
        <v/>
      </c>
      <c r="GQ11" s="36" t="str">
        <f t="shared" si="80"/>
        <v/>
      </c>
      <c r="GR11" s="36" t="str">
        <f t="shared" si="81"/>
        <v/>
      </c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1" t="str">
        <f t="shared" si="82"/>
        <v/>
      </c>
      <c r="HN11" s="11" t="str">
        <f t="shared" si="83"/>
        <v/>
      </c>
      <c r="HO11" s="11" t="str">
        <f t="shared" si="84"/>
        <v/>
      </c>
      <c r="HP11" s="11" t="str">
        <f t="shared" si="85"/>
        <v/>
      </c>
      <c r="HQ11" s="11" t="str">
        <f t="shared" si="86"/>
        <v/>
      </c>
      <c r="HR11" s="11" t="str">
        <f t="shared" si="87"/>
        <v/>
      </c>
      <c r="HS11" s="11" t="str">
        <f t="shared" si="88"/>
        <v/>
      </c>
      <c r="HT11" s="11" t="str">
        <f t="shared" si="89"/>
        <v/>
      </c>
      <c r="HU11" s="11" t="str">
        <f t="shared" si="90"/>
        <v/>
      </c>
      <c r="HV11" s="11" t="str">
        <f t="shared" si="91"/>
        <v/>
      </c>
      <c r="HW11" s="11" t="str">
        <f t="shared" si="92"/>
        <v/>
      </c>
      <c r="HX11" s="11" t="str">
        <f t="shared" si="93"/>
        <v/>
      </c>
      <c r="HY11" s="11" t="str">
        <f t="shared" si="94"/>
        <v/>
      </c>
      <c r="HZ11" s="11" t="str">
        <f t="shared" si="95"/>
        <v/>
      </c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36" t="str">
        <f t="shared" si="96"/>
        <v/>
      </c>
      <c r="IV11" s="36" t="str">
        <f t="shared" si="97"/>
        <v/>
      </c>
      <c r="IW11" s="36" t="str">
        <f t="shared" si="98"/>
        <v/>
      </c>
      <c r="IX11" s="36" t="str">
        <f t="shared" si="99"/>
        <v/>
      </c>
      <c r="IY11" s="36" t="str">
        <f t="shared" si="100"/>
        <v/>
      </c>
      <c r="IZ11" s="36" t="str">
        <f t="shared" si="101"/>
        <v/>
      </c>
      <c r="JA11" s="36" t="str">
        <f t="shared" si="102"/>
        <v/>
      </c>
      <c r="JB11" s="36" t="str">
        <f t="shared" si="103"/>
        <v/>
      </c>
      <c r="JC11" s="36" t="str">
        <f t="shared" si="104"/>
        <v/>
      </c>
      <c r="JD11" s="36" t="str">
        <f t="shared" si="105"/>
        <v/>
      </c>
      <c r="JE11" s="36" t="str">
        <f t="shared" si="106"/>
        <v/>
      </c>
      <c r="JF11" s="36" t="str">
        <f t="shared" si="107"/>
        <v/>
      </c>
      <c r="JG11" s="36" t="str">
        <f t="shared" si="108"/>
        <v/>
      </c>
      <c r="JH11" s="36" t="str">
        <f t="shared" si="109"/>
        <v/>
      </c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1" t="str">
        <f t="shared" si="110"/>
        <v/>
      </c>
      <c r="KD11" s="11" t="str">
        <f t="shared" si="111"/>
        <v/>
      </c>
      <c r="KE11" s="11" t="str">
        <f t="shared" si="112"/>
        <v/>
      </c>
      <c r="KF11" s="11" t="str">
        <f t="shared" si="113"/>
        <v/>
      </c>
      <c r="KG11" s="11" t="str">
        <f t="shared" si="114"/>
        <v/>
      </c>
      <c r="KH11" s="11" t="str">
        <f t="shared" si="115"/>
        <v/>
      </c>
      <c r="KI11" s="11" t="str">
        <f t="shared" si="116"/>
        <v/>
      </c>
      <c r="KJ11" s="11" t="str">
        <f t="shared" si="117"/>
        <v/>
      </c>
      <c r="KK11" s="11" t="str">
        <f t="shared" si="118"/>
        <v/>
      </c>
      <c r="KL11" s="11" t="str">
        <f t="shared" si="119"/>
        <v/>
      </c>
      <c r="KM11" s="11" t="str">
        <f t="shared" si="120"/>
        <v/>
      </c>
      <c r="KN11" s="11" t="str">
        <f t="shared" si="121"/>
        <v/>
      </c>
      <c r="KO11" s="11" t="str">
        <f t="shared" si="122"/>
        <v/>
      </c>
      <c r="KP11" s="11" t="str">
        <f t="shared" si="123"/>
        <v/>
      </c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36" t="str">
        <f t="shared" si="124"/>
        <v/>
      </c>
      <c r="LL11" s="36" t="str">
        <f t="shared" si="125"/>
        <v/>
      </c>
      <c r="LM11" s="36" t="str">
        <f t="shared" si="126"/>
        <v/>
      </c>
      <c r="LN11" s="36" t="str">
        <f t="shared" si="127"/>
        <v/>
      </c>
      <c r="LO11" s="36" t="str">
        <f t="shared" si="128"/>
        <v/>
      </c>
      <c r="LP11" s="36" t="str">
        <f t="shared" si="129"/>
        <v/>
      </c>
      <c r="LQ11" s="36" t="str">
        <f t="shared" si="130"/>
        <v/>
      </c>
      <c r="LR11" s="36" t="str">
        <f t="shared" si="131"/>
        <v/>
      </c>
      <c r="LS11" s="36" t="str">
        <f t="shared" si="132"/>
        <v/>
      </c>
      <c r="LT11" s="36" t="str">
        <f t="shared" si="133"/>
        <v/>
      </c>
      <c r="LU11" s="36" t="str">
        <f t="shared" si="134"/>
        <v/>
      </c>
      <c r="LV11" s="36" t="str">
        <f t="shared" si="135"/>
        <v/>
      </c>
      <c r="LW11" s="36" t="str">
        <f t="shared" si="136"/>
        <v/>
      </c>
      <c r="LX11" s="36" t="str">
        <f t="shared" si="137"/>
        <v/>
      </c>
      <c r="LY11" s="16">
        <v>15.4</v>
      </c>
      <c r="LZ11" s="16">
        <v>9.6</v>
      </c>
      <c r="MA11" s="16">
        <v>2.6</v>
      </c>
      <c r="MB11" s="16">
        <v>15.73</v>
      </c>
      <c r="MC11" s="16">
        <v>0</v>
      </c>
      <c r="MD11" s="16">
        <v>15</v>
      </c>
      <c r="ME11" s="16">
        <v>9.3000000000000007</v>
      </c>
      <c r="MF11" s="16">
        <v>14</v>
      </c>
      <c r="MG11" s="16">
        <v>15.55</v>
      </c>
      <c r="MH11" s="16">
        <v>0</v>
      </c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1">
        <f t="shared" si="138"/>
        <v>2.6</v>
      </c>
      <c r="MT11" s="11">
        <f t="shared" si="139"/>
        <v>15.73</v>
      </c>
      <c r="MU11" s="11">
        <f t="shared" si="140"/>
        <v>43.33</v>
      </c>
      <c r="MV11" s="11">
        <f t="shared" si="141"/>
        <v>14</v>
      </c>
      <c r="MW11" s="11">
        <f t="shared" si="142"/>
        <v>15.55</v>
      </c>
      <c r="MX11" s="11">
        <f t="shared" si="143"/>
        <v>53.849999999999994</v>
      </c>
      <c r="MY11" s="11">
        <f t="shared" si="144"/>
        <v>53.849999999999994</v>
      </c>
      <c r="MZ11" s="11" t="str">
        <f t="shared" si="145"/>
        <v/>
      </c>
      <c r="NA11" s="11" t="str">
        <f t="shared" si="146"/>
        <v/>
      </c>
      <c r="NB11" s="11" t="str">
        <f t="shared" si="147"/>
        <v/>
      </c>
      <c r="NC11" s="11" t="str">
        <f t="shared" si="148"/>
        <v/>
      </c>
      <c r="ND11" s="11" t="str">
        <f t="shared" si="149"/>
        <v/>
      </c>
      <c r="NE11" s="11" t="str">
        <f t="shared" si="150"/>
        <v/>
      </c>
      <c r="NF11" s="11">
        <f t="shared" si="151"/>
        <v>53.849999999999994</v>
      </c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36" t="str">
        <f t="shared" si="152"/>
        <v/>
      </c>
      <c r="OB11" s="36" t="str">
        <f t="shared" si="153"/>
        <v/>
      </c>
      <c r="OC11" s="36" t="str">
        <f t="shared" si="154"/>
        <v/>
      </c>
      <c r="OD11" s="36" t="str">
        <f t="shared" si="155"/>
        <v/>
      </c>
      <c r="OE11" s="36" t="str">
        <f t="shared" si="156"/>
        <v/>
      </c>
      <c r="OF11" s="36" t="str">
        <f t="shared" si="157"/>
        <v/>
      </c>
      <c r="OG11" s="36" t="str">
        <f t="shared" si="158"/>
        <v/>
      </c>
      <c r="OH11" s="36" t="str">
        <f t="shared" si="159"/>
        <v/>
      </c>
      <c r="OI11" s="36" t="str">
        <f t="shared" si="160"/>
        <v/>
      </c>
      <c r="OJ11" s="36" t="str">
        <f t="shared" si="161"/>
        <v/>
      </c>
      <c r="OK11" s="36" t="str">
        <f t="shared" si="162"/>
        <v/>
      </c>
      <c r="OL11" s="36" t="str">
        <f t="shared" si="163"/>
        <v/>
      </c>
      <c r="OM11" s="36" t="str">
        <f t="shared" si="164"/>
        <v/>
      </c>
      <c r="ON11" s="36" t="str">
        <f t="shared" si="165"/>
        <v/>
      </c>
      <c r="OO11" s="16"/>
      <c r="OP11" s="16"/>
      <c r="OQ11" s="16"/>
      <c r="OR11" s="16"/>
      <c r="OS11" s="16"/>
      <c r="OT11" s="16"/>
      <c r="OU11" s="16"/>
      <c r="OV11" s="16"/>
      <c r="OW11" s="16"/>
      <c r="OX11" s="16"/>
      <c r="OY11" s="16"/>
      <c r="OZ11" s="16"/>
      <c r="PA11" s="16"/>
      <c r="PB11" s="16"/>
      <c r="PC11" s="16"/>
      <c r="PD11" s="16"/>
      <c r="PE11" s="16"/>
      <c r="PF11" s="16"/>
      <c r="PG11" s="16"/>
      <c r="PH11" s="16"/>
      <c r="PI11" s="11" t="str">
        <f t="shared" si="166"/>
        <v/>
      </c>
      <c r="PJ11" s="11" t="str">
        <f t="shared" si="167"/>
        <v/>
      </c>
      <c r="PK11" s="11" t="str">
        <f t="shared" si="168"/>
        <v/>
      </c>
      <c r="PL11" s="11" t="str">
        <f t="shared" si="169"/>
        <v/>
      </c>
      <c r="PM11" s="11" t="str">
        <f t="shared" si="170"/>
        <v/>
      </c>
      <c r="PN11" s="11" t="str">
        <f t="shared" si="171"/>
        <v/>
      </c>
      <c r="PO11" s="11" t="str">
        <f t="shared" si="172"/>
        <v/>
      </c>
      <c r="PP11" s="11" t="str">
        <f t="shared" si="173"/>
        <v/>
      </c>
      <c r="PQ11" s="11" t="str">
        <f t="shared" si="174"/>
        <v/>
      </c>
      <c r="PR11" s="11" t="str">
        <f t="shared" si="175"/>
        <v/>
      </c>
      <c r="PS11" s="11" t="str">
        <f t="shared" si="176"/>
        <v/>
      </c>
      <c r="PT11" s="11" t="str">
        <f t="shared" si="177"/>
        <v/>
      </c>
      <c r="PU11" s="11" t="str">
        <f t="shared" si="178"/>
        <v/>
      </c>
      <c r="PV11" s="11" t="str">
        <f t="shared" si="179"/>
        <v/>
      </c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36" t="str">
        <f t="shared" si="180"/>
        <v/>
      </c>
      <c r="QR11" s="36" t="str">
        <f t="shared" si="181"/>
        <v/>
      </c>
      <c r="QS11" s="36" t="str">
        <f t="shared" si="182"/>
        <v/>
      </c>
      <c r="QT11" s="36" t="str">
        <f t="shared" si="183"/>
        <v/>
      </c>
      <c r="QU11" s="36" t="str">
        <f t="shared" si="184"/>
        <v/>
      </c>
      <c r="QV11" s="36" t="str">
        <f t="shared" si="185"/>
        <v/>
      </c>
      <c r="QW11" s="36" t="str">
        <f t="shared" si="186"/>
        <v/>
      </c>
      <c r="QX11" s="36" t="str">
        <f t="shared" si="187"/>
        <v/>
      </c>
      <c r="QY11" s="36" t="str">
        <f t="shared" si="188"/>
        <v/>
      </c>
      <c r="QZ11" s="36" t="str">
        <f t="shared" si="189"/>
        <v/>
      </c>
      <c r="RA11" s="36" t="str">
        <f t="shared" si="190"/>
        <v/>
      </c>
      <c r="RB11" s="36" t="str">
        <f t="shared" si="191"/>
        <v/>
      </c>
      <c r="RC11" s="36" t="str">
        <f t="shared" si="192"/>
        <v/>
      </c>
      <c r="RD11" s="36" t="str">
        <f t="shared" si="193"/>
        <v/>
      </c>
      <c r="RE11" s="16"/>
      <c r="RF11" s="16"/>
      <c r="RG11" s="16"/>
      <c r="RH11" s="16"/>
      <c r="RI11" s="16"/>
      <c r="RJ11" s="16"/>
      <c r="RK11" s="16"/>
      <c r="RL11" s="16"/>
      <c r="RM11" s="16"/>
      <c r="RN11" s="16"/>
      <c r="RO11" s="16"/>
      <c r="RP11" s="16"/>
      <c r="RQ11" s="16"/>
      <c r="RR11" s="16"/>
      <c r="RS11" s="16"/>
      <c r="RT11" s="16"/>
      <c r="RU11" s="16"/>
      <c r="RV11" s="16"/>
      <c r="RW11" s="16"/>
      <c r="RX11" s="16"/>
      <c r="RY11" s="11" t="str">
        <f t="shared" si="194"/>
        <v/>
      </c>
      <c r="RZ11" s="11" t="str">
        <f t="shared" si="195"/>
        <v/>
      </c>
      <c r="SA11" s="11" t="str">
        <f t="shared" si="196"/>
        <v/>
      </c>
      <c r="SB11" s="11" t="str">
        <f t="shared" si="197"/>
        <v/>
      </c>
      <c r="SC11" s="11" t="str">
        <f t="shared" si="198"/>
        <v/>
      </c>
      <c r="SD11" s="11" t="str">
        <f t="shared" si="199"/>
        <v/>
      </c>
      <c r="SE11" s="11" t="str">
        <f t="shared" si="200"/>
        <v/>
      </c>
      <c r="SF11" s="11" t="str">
        <f t="shared" si="201"/>
        <v/>
      </c>
      <c r="SG11" s="11" t="str">
        <f t="shared" si="202"/>
        <v/>
      </c>
      <c r="SH11" s="11" t="str">
        <f t="shared" si="203"/>
        <v/>
      </c>
      <c r="SI11" s="11" t="str">
        <f t="shared" si="204"/>
        <v/>
      </c>
      <c r="SJ11" s="11" t="str">
        <f t="shared" si="205"/>
        <v/>
      </c>
      <c r="SK11" s="11" t="str">
        <f t="shared" si="206"/>
        <v/>
      </c>
      <c r="SL11" s="11" t="str">
        <f t="shared" si="207"/>
        <v/>
      </c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36" t="str">
        <f t="shared" si="208"/>
        <v/>
      </c>
      <c r="TH11" s="36" t="str">
        <f t="shared" si="209"/>
        <v/>
      </c>
      <c r="TI11" s="36" t="str">
        <f t="shared" si="210"/>
        <v/>
      </c>
      <c r="TJ11" s="36" t="str">
        <f t="shared" si="211"/>
        <v/>
      </c>
      <c r="TK11" s="36" t="str">
        <f t="shared" si="212"/>
        <v/>
      </c>
      <c r="TL11" s="36" t="str">
        <f t="shared" si="213"/>
        <v/>
      </c>
      <c r="TM11" s="36" t="str">
        <f t="shared" si="214"/>
        <v/>
      </c>
      <c r="TN11" s="36" t="str">
        <f t="shared" si="215"/>
        <v/>
      </c>
      <c r="TO11" s="36" t="str">
        <f t="shared" si="216"/>
        <v/>
      </c>
      <c r="TP11" s="36" t="str">
        <f t="shared" si="217"/>
        <v/>
      </c>
      <c r="TQ11" s="36" t="str">
        <f t="shared" si="218"/>
        <v/>
      </c>
      <c r="TR11" s="36" t="str">
        <f t="shared" si="219"/>
        <v/>
      </c>
      <c r="TS11" s="36" t="str">
        <f t="shared" si="220"/>
        <v/>
      </c>
      <c r="TT11" s="36" t="str">
        <f t="shared" si="221"/>
        <v/>
      </c>
      <c r="TU11" s="16"/>
      <c r="TV11" s="16"/>
      <c r="TW11" s="16"/>
      <c r="TX11" s="16"/>
      <c r="TY11" s="16"/>
      <c r="TZ11" s="16"/>
      <c r="UA11" s="16"/>
      <c r="UB11" s="16"/>
      <c r="UC11" s="16"/>
      <c r="UD11" s="16"/>
      <c r="UE11" s="16"/>
      <c r="UF11" s="16"/>
      <c r="UG11" s="16"/>
      <c r="UH11" s="16"/>
      <c r="UI11" s="16"/>
      <c r="UJ11" s="16"/>
      <c r="UK11" s="16"/>
      <c r="UL11" s="16"/>
      <c r="UM11" s="16"/>
      <c r="UN11" s="16"/>
      <c r="UO11" s="11" t="str">
        <f t="shared" si="222"/>
        <v/>
      </c>
      <c r="UP11" s="11" t="str">
        <f t="shared" si="223"/>
        <v/>
      </c>
      <c r="UQ11" s="11" t="str">
        <f t="shared" si="224"/>
        <v/>
      </c>
      <c r="UR11" s="11" t="str">
        <f t="shared" si="225"/>
        <v/>
      </c>
      <c r="US11" s="11" t="str">
        <f t="shared" si="226"/>
        <v/>
      </c>
      <c r="UT11" s="11" t="str">
        <f t="shared" si="227"/>
        <v/>
      </c>
      <c r="UU11" s="11" t="str">
        <f t="shared" si="228"/>
        <v/>
      </c>
      <c r="UV11" s="11" t="str">
        <f t="shared" si="229"/>
        <v/>
      </c>
      <c r="UW11" s="11" t="str">
        <f t="shared" si="230"/>
        <v/>
      </c>
      <c r="UX11" s="11" t="str">
        <f t="shared" si="231"/>
        <v/>
      </c>
      <c r="UY11" s="11" t="str">
        <f t="shared" si="232"/>
        <v/>
      </c>
      <c r="UZ11" s="11" t="str">
        <f t="shared" si="233"/>
        <v/>
      </c>
      <c r="VA11" s="11" t="str">
        <f t="shared" si="234"/>
        <v/>
      </c>
      <c r="VB11" s="11" t="str">
        <f t="shared" si="235"/>
        <v/>
      </c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36" t="str">
        <f t="shared" si="236"/>
        <v/>
      </c>
      <c r="VX11" s="36" t="str">
        <f t="shared" si="237"/>
        <v/>
      </c>
      <c r="VY11" s="36" t="str">
        <f t="shared" si="238"/>
        <v/>
      </c>
      <c r="VZ11" s="36" t="str">
        <f t="shared" si="239"/>
        <v/>
      </c>
      <c r="WA11" s="36" t="str">
        <f t="shared" si="240"/>
        <v/>
      </c>
      <c r="WB11" s="36" t="str">
        <f t="shared" si="241"/>
        <v/>
      </c>
      <c r="WC11" s="36" t="str">
        <f t="shared" si="242"/>
        <v/>
      </c>
      <c r="WD11" s="36" t="str">
        <f t="shared" si="243"/>
        <v/>
      </c>
      <c r="WE11" s="36" t="str">
        <f t="shared" si="244"/>
        <v/>
      </c>
      <c r="WF11" s="36" t="str">
        <f t="shared" si="245"/>
        <v/>
      </c>
      <c r="WG11" s="36" t="str">
        <f t="shared" si="246"/>
        <v/>
      </c>
      <c r="WH11" s="36" t="str">
        <f t="shared" si="247"/>
        <v/>
      </c>
      <c r="WI11" s="36" t="str">
        <f t="shared" si="248"/>
        <v/>
      </c>
      <c r="WJ11" s="36" t="str">
        <f t="shared" si="249"/>
        <v/>
      </c>
    </row>
    <row r="12" spans="1:608" x14ac:dyDescent="0.2">
      <c r="A12" s="4" t="str" cm="1">
        <f t="array" ref="A12">IF(AND(H12&lt;&gt;"",H12&lt;&gt;"No DD",I12&lt;&gt;"P"),SUMPRODUCT((H$4:H$28&lt;&gt;"")*(H$4:H$28&lt;&gt;"No DD")*(I$4:I$28&lt;&gt;"P")*(E$4:E$28&gt;E12))+1,IF(H12="No DD",SUMPRODUCT((H$4:H$28="No DD")*(I$4:I$28&lt;&gt;"P")*(E$4:E$28&gt;E12))+1+SUMPRODUCT((H$4:H$28&lt;&gt;"")*(I$4:I$28&lt;&gt;"P")*(H$4:H$28&lt;&gt;"No DD")),""))</f>
        <v/>
      </c>
      <c r="B12" s="5" t="s">
        <v>92</v>
      </c>
      <c r="C12" s="4" t="s">
        <v>3</v>
      </c>
      <c r="D12" s="4">
        <v>2005</v>
      </c>
      <c r="E12" s="9">
        <f t="shared" si="0"/>
        <v>105.46001054600529</v>
      </c>
      <c r="F12" s="3" t="str">
        <f>IF(OR(AND(AG12&gt;=AQ$30,AG12&lt;&gt;"",AI12&gt;=AQ$34,AI12&lt;&gt;"",AF12=""),AND(AJ12&gt;=AQ$30,AJ12&lt;&gt;"",AL12&gt;=AQ$34,AL12&lt;&gt;"",AF12=""),AND(AN12&gt;=AQ$30,AN12&lt;&gt;"",AP12&gt;=AQ$34,AP12&lt;&gt;"",AF12=""),AND(BH12&gt;=BR$30,BH12&lt;&gt;"",BJ12&gt;=BR$34,BJ12&lt;&gt;"",BG12=""),AND(BK12&gt;=BR$30,BK12&lt;&gt;"",BM12&gt;=BR$34,BM12&lt;&gt;"",BG12=""),AND(BO12&gt;=BR$30,BO12&lt;&gt;"",BQ12&gt;=BR$34,BQ12&lt;&gt;"",BG12=""),AND(CI12&gt;=CS$30,CI12&lt;&gt;"",CK12&gt;=CS$34,CK12&lt;&gt;"",CH12=""),AND(CL12&gt;=CS$30,CL12&lt;&gt;"",CN12&gt;=CS$34,CN12&lt;&gt;"",CH12=""),AND(CP12&gt;=CS$30,CP12&lt;&gt;"",CR12&gt;=CS$34,CR12&lt;&gt;"",CH12=""),AND(DO12&gt;=EB$30,DO12&lt;&gt;"",DQ12&gt;=EB$34,DQ12&lt;&gt;""),AND(DR12&gt;=EB$30,DR12&lt;&gt;"",DT12&gt;=EB$34,DT12&lt;&gt;""),AND(DV12&gt;=EB$30,DV12&lt;&gt;"",DX12&gt;=EB$34,DX12&lt;&gt;""),AND(DY12&gt;=EB$30,DY12&lt;&gt;"",EA12&gt;=EB$34,EA12&lt;&gt;""),AND(EW12&gt;=FJ$30,EW12&lt;&gt;"",EY12&gt;=FJ$34,EY12&lt;&gt;""),AND(EZ12&gt;=FJ$30,EZ12&lt;&gt;"",FB12&gt;=FJ$34,FB12&lt;&gt;""),AND(FD12&gt;=FJ$30,FD12&lt;&gt;"",FF12&gt;=FJ$34,FF12&lt;&gt;""),AND(FG12&gt;=FJ$30,FG12&lt;&gt;"",FI12&gt;=FJ$34,FI12&lt;&gt;""),AND(GE12&gt;=GR$30,GE12&lt;&gt;"",GG12&gt;=GR$34,GG12&lt;&gt;""),AND(GH12&gt;=GR$30,GH12&lt;&gt;"",GJ12&gt;=GR$34,GJ12&lt;&gt;""),AND(GL12&gt;=GR$30,GL12&lt;&gt;"",GN12&gt;=GR$34,GN12&lt;&gt;""),AND(GO12&gt;=GR$30,GO12&lt;&gt;"",GQ12&gt;=GR$34,GQ12&lt;&gt;""),AND(HM12&gt;=HZ$30,HM12&lt;&gt;"",HO12&gt;=HZ$34,HO12&lt;&gt;""),AND(HP12&gt;=HZ$30,HP12&lt;&gt;"",HR12&gt;=HZ$34,HR12&lt;&gt;""),AND(HT12&gt;=HZ$30,HT12&lt;&gt;"",HV12&gt;=HZ$34,HV12&lt;&gt;""),AND(HW12&gt;=HZ$30,HW12&lt;&gt;"",HY12&gt;=HZ$34,HY12&lt;&gt;""),AND(IU12&gt;=JH$30,IU12&lt;&gt;"",IW12&gt;=JH$34,IW12&lt;&gt;""),AND(IX12&gt;=JH$30,IX12&lt;&gt;"",IZ12&gt;=JH$34,IZ12&lt;&gt;""),AND(JB12&gt;=JH$30,JB12&lt;&gt;"",JD12&gt;=JH$34,JD12&lt;&gt;""),AND(JE12&gt;=JH$30,JE12&lt;&gt;"",JG12&gt;=JH$34,JG12&lt;&gt;""),AND(KC12&gt;=KP$30,KC12&lt;&gt;"",KE12&gt;=KP$34,KE12&lt;&gt;""),AND(KF12&gt;=KP$30,KF12&lt;&gt;"",KH12&gt;=KP$34,KH12&lt;&gt;""),AND(KJ12&gt;=KP$30,KJ12&lt;&gt;"",KL12&gt;=KP$34,KL12&lt;&gt;""),AND(KM12&gt;=KP$30,KM12&lt;&gt;"",KO12&gt;=KP$34,KO12&lt;&gt;""),AND(LK12&gt;=LX$30,LK12&lt;&gt;"",LM12&gt;=LX$34,LM12&lt;&gt;""),AND(LN12&gt;=LX$30,LN12&lt;&gt;"",LP12&gt;=LX$34,LP12&lt;&gt;""),AND(LR12&gt;=LX$30,LR12&lt;&gt;"",LT12&gt;=LX$34,LT12&lt;&gt;""),AND(LU12&gt;=LX$30,LU12&lt;&gt;"",LW12&gt;=LX$34,LW12&lt;&gt;""),AND(MS12&gt;=NF$30,MS12&lt;&gt;"",MU12&gt;=NF$34,MU12&lt;&gt;""),AND(MV12&gt;=NF$30,MV12&lt;&gt;"",MX12&gt;=NF$34,MX12&lt;&gt;""),AND(MZ12&gt;=NF$30,MZ12&lt;&gt;"",NB12&gt;=NF$34,NB12&lt;&gt;""),AND(NC12&gt;=NF$30,NC12&lt;&gt;"",NE12&gt;=NF$34,NE12&lt;&gt;""),AND(OA12&gt;=ON$30,OA12&lt;&gt;"",OC12&gt;=ON$34,OC12&lt;&gt;""),AND(OD12&gt;=ON$30,OD12&lt;&gt;"",OF12&gt;=ON$34,OF12&lt;&gt;""),AND(OH12&gt;=ON$30,OH12&lt;&gt;"",OJ12&gt;=ON$34,OJ12&lt;&gt;""),AND(OK12&gt;=ON$30,OK12&lt;&gt;"",OM12&gt;=ON$34,OM12&lt;&gt;""),AND(PI12&gt;=PV$30,PI12&lt;&gt;"",PK12&gt;=PV$34,PK12&lt;&gt;""),AND(PL12&gt;=PV$30,PL12&lt;&gt;"",PN12&gt;=PV$34,PN12&lt;&gt;""),AND(PP12&gt;=PV$30,PP12&lt;&gt;"",PR12&gt;=PV$34,PR12&lt;&gt;""),AND(PS12&gt;=PV$30,PS12&lt;&gt;"",PU12&gt;=PV$34,PU12&lt;&gt;""),AND(QQ12&gt;=RD$30,QQ12&lt;&gt;"",QS12&gt;=RD$34,QS12&lt;&gt;""),AND(QT12&gt;=RD$30,QT12&lt;&gt;"",QV12&gt;=RD$34,QV12&lt;&gt;""),AND(QX12&gt;=RD$30,QX12&lt;&gt;"",QZ12&gt;=RD$34,QZ12&lt;&gt;""),AND(RA12&gt;=RD$30,RA12&lt;&gt;"",RC12&gt;=RD$34,RC12&lt;&gt;""),AND(RY12&gt;=SL$30,RY12&lt;&gt;"",SA12&gt;=SL$34,SA12&lt;&gt;""),AND(SB12&gt;=SL$30,SB12&lt;&gt;"",SD12&gt;=SL$34,SD12&lt;&gt;""),AND(SF12&gt;=SL$30,SF12&lt;&gt;"",SH12&gt;=SL$34,SH12&lt;&gt;""),AND(SI12&gt;=SL$30,SI12&lt;&gt;"",SK12&gt;=SL$34,SK12&lt;&gt;""),AND(TG12&gt;=TT$30,TG12&lt;&gt;"",TI12&gt;=TT$34,TI12&lt;&gt;""),AND(TJ12&gt;=TT$30,TJ12&lt;&gt;"",TL12&gt;=TT$34,TL12&lt;&gt;""),AND(TN12&gt;=TT$30,TN12&lt;&gt;"",TP12&gt;=TT$34,TXN12&lt;&gt;""),AND(TQ12&gt;=TT$30,TQ12&lt;&gt;"",TS12&gt;=TT$34,TS12&lt;&gt;""),AND(UO12&gt;=VB$30,UO12&lt;&gt;"",UQ12&gt;=VB$34,UQ12&lt;&gt;""),AND(UR12&gt;=VB$30,UR12&lt;&gt;"",UT12&gt;=VB$34,UT12&lt;&gt;""),AND(UV12&gt;=VB$30,UV12&lt;&gt;"",UX12&gt;=VB$34,UX12&lt;&gt;""),AND(UY12&gt;=VB$30,UY12&lt;&gt;"",VA12&gt;=VB$34,VA12&lt;&gt;""),AND(VW12&gt;=WJ$30,VW12&lt;&gt;"",VY12&gt;=WJ$34,VY12&lt;&gt;""),AND(VZ12&gt;=WJ$30,VZ12&lt;&gt;"",WB12&gt;=WJ$34,WB12&lt;&gt;""),AND(WD12&gt;=WJ$30,WD12&lt;&gt;"",WF12&gt;=WJ$34,WF12&lt;&gt;""),AND(WG12&gt;=WJ$30,WG12&lt;&gt;"",WI12&gt;=WJ$34,WI12&lt;&gt;"")),"P","")</f>
        <v/>
      </c>
      <c r="G12" s="3" t="str">
        <f>IF(OR(AND(AI12&gt;=AQ$34,AI12&lt;&gt;"",AF12=""),AND(AL12&gt;=AQ$34,AL12&lt;&gt;"",AF12=""),AND(AP12&gt;=AQ$34,AP12&lt;&gt;"",AF12=""),AND(BJ12&gt;=BR$34,BJ12&lt;&gt;"",BG12=""),AND(BM12&gt;=BR$34,BM12&lt;&gt;"",BG12=""),AND(BQ12&gt;=BR$34,BQ12&lt;&gt;"",BG12=""),AND(CK12&gt;=CS$34,CK12&lt;&gt;"",CH12=""),AND(CN12&gt;=CS$34,CN12&lt;&gt;"",CH12=""),AND(CR12&gt;=CS$34,CR12&lt;&gt;"",CH12=""),AND(DQ12&gt;=EB$34,DQ12&lt;&gt;""),AND(DT12&gt;=EB$34,DT12&lt;&gt;""),AND(DX12&gt;=EB$34,DX12&lt;&gt;""),AND(EA12&gt;=EB$34,EA12&lt;&gt;""),AND(EY12&gt;=FJ$34,EY12&lt;&gt;""),AND(FB12&gt;=FJ$34,FB12&lt;&gt;""),AND(FF12&gt;=FJ$34,FF12&lt;&gt;""),AND(FI12&gt;=FJ$34,FI12&lt;&gt;""),AND(GG12&gt;=GR$34,GG12&lt;&gt;""),AND(GJ12&gt;=GR$34,GJ12&lt;&gt;""),AND(GN12&gt;=GR$34,GN12&lt;&gt;""),AND(GQ12&gt;=GR$34,GQ12&lt;&gt;""),AND(HO12&gt;=HZ$34,HO12&lt;&gt;""),AND(HR12&gt;=HZ$34,HR12&lt;&gt;""),AND(HV12&gt;=HZ$34,HV12&lt;&gt;""),AND(HY12&gt;=HZ$34,HY12&lt;&gt;""),AND(IW12&gt;=JH$34,IW12&lt;&gt;""),AND(IZ12&gt;=JH$34,IZ12&lt;&gt;""),AND(JD12&gt;=JH$34,JD12&lt;&gt;""),AND(JG12&gt;=JH$34,JG12&lt;&gt;""),AND(KE12&gt;=KP$34,KE12&lt;&gt;""),AND(KH12&gt;=KP$34,KH12&lt;&gt;""),AND(KL12&gt;=KP$34,KL12&lt;&gt;""),AND(KO12&gt;=KP$34,KO12&lt;&gt;""),AND(LM12&gt;=LX$34,LM12&lt;&gt;""),AND(LP12&gt;=LX$34,LP12&lt;&gt;""),AND(LT12&gt;=LX$34,LT12&lt;&gt;""),AND(LW12&gt;=LX$34,LW12&lt;&gt;""),AND(MU12&gt;=NF$34,MU12&lt;&gt;""),AND(MX12&gt;=NF$34,MX12&lt;&gt;""),AND(NB12&gt;=NF$34,NB12&lt;&gt;""),AND(NE12&gt;=NF$34,NE12&lt;&gt;""),AND(OC12&gt;=ON$34,OC12&lt;&gt;""),AND(OF12&gt;=ON$34,OF12&lt;&gt;""),AND(OJ12&gt;=ON$34,OJ12&lt;&gt;""),AND(OM12&gt;=ON$34,OM12&lt;&gt;""),AND(PK12&gt;=PV$34,PK12&lt;&gt;""),AND(PN12&gt;=PV$34,PN12&lt;&gt;""),AND(PR12&gt;=PV$34,PR12&lt;&gt;""),AND(PU12&gt;=PV$34,PU12&lt;&gt;""),AND(QS12&gt;=RD$34,QS12&lt;&gt;""),AND(QV12&gt;=RD$34,QV12&lt;&gt;""),AND(QZ12&gt;=RD$34,QZ12&lt;&gt;""),AND(RC12&gt;=RD$34,RC12&lt;&gt;""),AND(SA12&gt;=SL$34,SA12&lt;&gt;""),AND(SD12&gt;=SL$34,SD12&lt;&gt;""),AND(SH12&gt;=SL$34,SH12&lt;&gt;""),AND(SK12&gt;=SL$34,SK12&lt;&gt;""),AND(TI12&gt;=TT$34,TI12&lt;&gt;""),AND(TL12&gt;=TT$34,TL12&lt;&gt;""),AND(TP12&gt;=TT$34,TXN12&lt;&gt;""),AND(TS12&gt;=TT$34,TS12&lt;&gt;""),AND(UQ12&gt;=VB$34,UQ12&lt;&gt;""),AND(UT12&gt;=VB$34,UT12&lt;&gt;""),AND(UX12&gt;=VB$34,UX12&lt;&gt;""),AND(VA12&gt;=VB$34,VA12&lt;&gt;""),AND(VY12&gt;=WJ$34,VY12&lt;&gt;""),AND(WB12&gt;=WJ$34,WB12&lt;&gt;""),AND(WF12&gt;=WJ$34,WF12&lt;&gt;""),AND(WI12&gt;=WJ$34,WI12&lt;&gt;"")),"P","")</f>
        <v/>
      </c>
      <c r="H12" s="32" t="str">
        <f>IF(AND(G12="P",F12=""),"No DD",IF(OR(AND(AG12&gt;=AQ$33,AG12&lt;&gt;"",AI12&gt;=AQ$37,AI12&lt;&gt;"",AF12=""),AND(AJ12&gt;=AQ$33,AJ12&lt;&gt;"",AL12&gt;=AQ$37,AL12&lt;&gt;"",AF12=""),AND(AN12&gt;=AQ$33,AN12&lt;&gt;"",AP12&gt;=AQ$37,AP12&lt;&gt;"",AF12=""),AND(BH12&gt;=BR$33,BH12&lt;&gt;"",BJ12&gt;=BR$37,BJ12&lt;&gt;"",BG12=""),AND(BK12&gt;=BR$33,BK12&lt;&gt;"",BM12&gt;=BR$37,BM12&lt;&gt;"",BG12=""),AND(BO12&gt;=BR$33,BO12&lt;&gt;"",BQ12&gt;=BR$37,BQ12&lt;&gt;"",BG12=""),AND(CI12&gt;=CS$33,CI12&lt;&gt;"",CK12&gt;=CS$37,CK12&lt;&gt;"",CH12=""),AND(CL12&gt;=CS$33,CL12&lt;&gt;"",CN12&gt;=CS$37,CN12&lt;&gt;"",CH12=""),AND(CP12&gt;=CS$33,CP12&lt;&gt;"",CR12&gt;=CS$37,CR12&lt;&gt;"",CH12=""),AND(DO12&gt;=EB$33,DO12&lt;&gt;"",DQ12&gt;=EB$37,DQ12&lt;&gt;""),AND(DR12&gt;=EB$33,DR12&lt;&gt;"",DT12&gt;=EB$37,DT12&lt;&gt;""),AND(DV12&gt;=EB$33,DV12&lt;&gt;"",DX12&gt;=EB$37,DX12&lt;&gt;""),AND(DY12&gt;=EB$33,DY12&lt;&gt;"",EA12&gt;=EB$37,EA12&lt;&gt;""),AND(EW12&gt;=FJ$33,EW12&lt;&gt;"",EY12&gt;=FJ$37,EY12&lt;&gt;""),AND(EZ12&gt;=FJ$33,EZ12&lt;&gt;"",FB12&gt;=FJ$37,FB12&lt;&gt;""),AND(FD12&gt;=FJ$33,FD12&lt;&gt;"",FF12&gt;=FJ$37,FF12&lt;&gt;""),AND(FG12&gt;=FJ$33,FG12&lt;&gt;"",FI12&gt;=FJ$37,FI12&lt;&gt;""),AND(GE12&gt;=GR$33,GE12&lt;&gt;"",GG12&gt;=GR$37,GG12&lt;&gt;""),AND(GH12&gt;=GR$33,GH12&lt;&gt;"",GJ12&gt;=GR$37,GJ12&lt;&gt;""),AND(GL12&gt;=GR$33,GL12&lt;&gt;"",GN12&gt;=GR$37,GN12&lt;&gt;""),AND(GO12&gt;=GR$33,GO12&lt;&gt;"",GQ12&gt;=GR$37,GQ12&lt;&gt;""),AND(HM12&gt;=HZ$33,HM12&lt;&gt;"",HO12&gt;=HZ$37,HO12&lt;&gt;""),AND(HP12&gt;=HZ$33,HP12&lt;&gt;"",HR12&gt;=HZ$37,HR12&lt;&gt;""),AND(HT12&gt;=HZ$33,HT12&lt;&gt;"",HV12&gt;=HZ$37,HV12&lt;&gt;""),AND(HW12&gt;=HZ$33,HW12&lt;&gt;"",HY12&gt;=HZ$37,HY12&lt;&gt;""),AND(IU12&gt;=JH$33,IU12&lt;&gt;"",IW12&gt;=JH$37,IW12&lt;&gt;""),AND(IX12&gt;=JH$33,IX12&lt;&gt;"",IZ12&gt;=JH$37,IZ12&lt;&gt;""),AND(JB12&gt;=JH$33,JB12&lt;&gt;"",JD12&gt;=JH$37,JD12&lt;&gt;""),AND(JE12&gt;=JH$33,JE12&lt;&gt;"",JG12&gt;=JH$37,JG12&lt;&gt;""),AND(KC12&gt;=KP$33,KC12&lt;&gt;"",KE12&gt;=KP$37,KE12&lt;&gt;""),AND(KF12&gt;=KP$33,KF12&lt;&gt;"",KH12&gt;=KP$37,KH12&lt;&gt;""),AND(KJ12&gt;=KP$33,KJ12&lt;&gt;"",KL12&gt;=KP$37,KL12&lt;&gt;""),AND(KM12&gt;=KP$33,KM12&lt;&gt;"",KO12&gt;=KP$37,KO12&lt;&gt;""),AND(LK12&gt;=LX$33,LK12&lt;&gt;"",LM12&gt;=LX$37,LM12&lt;&gt;""),AND(LN12&gt;=LX$33,LN12&lt;&gt;"",LP12&gt;=LX$37,LP12&lt;&gt;""),AND(LR12&gt;=LX$33,LR12&lt;&gt;"",LT12&gt;=LX$37,LT12&lt;&gt;""),AND(LU12&gt;=LX$33,LU12&lt;&gt;"",LW12&gt;=LX$37,LW12&lt;&gt;""),AND(MS12&gt;=NF$33,MS12&lt;&gt;"",MU12&gt;=NF$37,MU12&lt;&gt;""),AND(MV12&gt;=NF$33,MV12&lt;&gt;"",MX12&gt;=NF$37,MX12&lt;&gt;""),AND(MZ12&gt;=NF$33,MZ12&lt;&gt;"",NB12&gt;=NF$37,NB12&lt;&gt;""),AND(NC12&gt;=NF$33,NC12&lt;&gt;"",NE12&gt;=NF$37,NE12&lt;&gt;""),AND(OA12&gt;=ON$33,OA12&lt;&gt;"",OC12&gt;=ON$37,OC12&lt;&gt;""),AND(OD12&gt;=ON$33,OD12&lt;&gt;"",OF12&gt;=ON$37,OF12&lt;&gt;""),AND(OH12&gt;=ON$33,OH12&lt;&gt;"",OJ12&gt;=ON$37,OJ12&lt;&gt;""),AND(OK12&gt;=ON$33,OK12&lt;&gt;"",OM12&gt;=ON$37,OM12&lt;&gt;""),AND(PI12&gt;=PV$33,PI12&lt;&gt;"",PK12&gt;=PV$37,PK12&lt;&gt;""),AND(PL12&gt;=PV$33,PL12&lt;&gt;"",PN12&gt;=PV$37,PN12&lt;&gt;""),AND(PP12&gt;=PV$33,PP12&lt;&gt;"",PR12&gt;=PV$37,PR12&lt;&gt;""),AND(PS12&gt;=PV$33,PS12&lt;&gt;"",PU12&gt;=PV$37,PU12&lt;&gt;""),AND(QQ12&gt;=RD$33,QQ12&lt;&gt;"",QS12&gt;=RD$37,QS12&lt;&gt;""),AND(QT12&gt;=RD$33,QT12&lt;&gt;"",QV12&gt;=RD$37,QV12&lt;&gt;""),AND(QX12&gt;=RD$33,QX12&lt;&gt;"",QZ12&gt;=RD$37,QZ12&lt;&gt;""),AND(RA12&gt;=RD$33,RA12&lt;&gt;"",RC12&gt;=RD$37,RC12&lt;&gt;""),AND(RY12&gt;=SL$33,RY12&lt;&gt;"",SA12&gt;=SL$37,SA12&lt;&gt;""),AND(SB12&gt;=SL$33,SB12&lt;&gt;"",SD12&gt;=SL$37,SD12&lt;&gt;""),AND(SF12&gt;=SL$33,SF12&lt;&gt;"",SH12&gt;=SL$37,SH12&lt;&gt;""),AND(SI12&gt;=SL$33,SI12&lt;&gt;"",SK12&gt;=SL$37,SK12&lt;&gt;""),AND(TG12&gt;=TT$33,TG12&lt;&gt;"",TI12&gt;=TT$37,TI12&lt;&gt;""),AND(TJ12&gt;=TT$33,TJ12&lt;&gt;"",TL12&gt;=TT$37,TL12&lt;&gt;""),AND(TN12&gt;=TT$33,TN12&lt;&gt;"",TP12&gt;=TT$357,TXN12&lt;&gt;""),AND(TQ12&gt;=TT$33,TQ12&lt;&gt;"",TS12&gt;=TT$37,TS12&lt;&gt;""),AND(UO12&gt;=VB$33,UO12&lt;&gt;"",UQ12&gt;=VB$37,UQ12&lt;&gt;""),AND(UR12&gt;=VB$33,UR12&lt;&gt;"",UT12&gt;=VB$37,UT12&lt;&gt;""),AND(UV12&gt;=VB$33,UV12&lt;&gt;"",UX12&gt;=VB$37,UX12&lt;&gt;""),AND(UY12&gt;=VB$33,UY12&lt;&gt;"",VA12&gt;=VB$37,VA12&lt;&gt;""),AND(VW12&gt;=WJ$33,VW12&lt;&gt;"",VY12&gt;=WJ$37,VY12&lt;&gt;""),AND(VZ12&gt;=WJ$33,VZ12&lt;&gt;"",WB12&gt;=WJ$37,WB12&lt;&gt;""),AND(WD12&gt;=WJ$33,WD12&lt;&gt;"",WF12&gt;=WJ$37,WF12&lt;&gt;""),AND(WG12&gt;=WJ$33,WG12&lt;&gt;"",WI12&gt;=WJ$37,WI12&lt;&gt;"")),"Merit",IF(OR(AND(AG12&gt;=AQ$32,AG12&lt;&gt;"",AI12&gt;=AQ$36,AI12&lt;&gt;"",AF12=""),AND(AJ12&gt;=AQ$32,AJ12&lt;&gt;"",AL12&gt;=AQ$36,AL12&lt;&gt;"",AF12=""),AND(AN12&gt;=AQ$32,AN12&lt;&gt;"",AP12&gt;=AQ$36,AP12&lt;&gt;"",AF12=""),AND(BH12&gt;=BR$32,BH12&lt;&gt;"",BJ12&gt;=BR$36,BJ12&lt;&gt;"",BG12=""),AND(BK12&gt;=BR$32,BK12&lt;&gt;"",BM12&gt;=BR$36,BM12&lt;&gt;"",BG12=""),AND(BO12&gt;=BR$32,BO12&lt;&gt;"",BQ12&gt;=BR$36,BQ12&lt;&gt;"",BG12=""),AND(CI12&gt;=CS$32,CI12&lt;&gt;"",CK12&gt;=CS$36,CK12&lt;&gt;"",CH12=""),AND(CL12&gt;=CS$32,CL12&lt;&gt;"",CN12&gt;=CS$36,CN12&lt;&gt;"",CH12=""),AND(CP12&gt;=CS$32,CP12&lt;&gt;"",CR12&gt;=CS$36,CR12&lt;&gt;"",CH12=""),AND(DO12&gt;=EB$32,DO12&lt;&gt;"",DQ12&gt;=EB$36,DQ12&lt;&gt;""),AND(DR12&gt;=EB$32,DR12&lt;&gt;"",DT12&gt;=EB$36,DT12&lt;&gt;""),AND(DV12&gt;=EB$32,DV12&lt;&gt;"",DX12&gt;=EB$36,DX12&lt;&gt;""),AND(DY12&gt;=EB$32,DY12&lt;&gt;"",EA12&gt;=EB$36,EA12&lt;&gt;""),AND(EW12&gt;=FJ$32,EW12&lt;&gt;"",EY12&gt;=FJ$36,EY12&lt;&gt;""),AND(EZ12&gt;=FJ$32,EZ12&lt;&gt;"",FB12&gt;=FJ$36,FB12&lt;&gt;""),AND(FD12&gt;=FJ$32,FD12&lt;&gt;"",FF12&gt;=FJ$36,FF12&lt;&gt;""),AND(FG12&gt;=FJ$32,FG12&lt;&gt;"",FI12&gt;=FJ$36,FI12&lt;&gt;""),AND(GE12&gt;=GR$32,GE12&lt;&gt;"",GG12&gt;=GR$36,GG12&lt;&gt;""),AND(GH12&gt;=GR$32,GH12&lt;&gt;"",GJ12&gt;=GR$36,GJ12&lt;&gt;""),AND(GL12&gt;=GR$32,GL12&lt;&gt;"",GN12&gt;=GR$36,GN12&lt;&gt;""),AND(GO12&gt;=GR$32,GO12&lt;&gt;"",GQ12&gt;=GR$36,GQ12&lt;&gt;""),AND(HM12&gt;=HZ$32,HM12&lt;&gt;"",HO12&gt;=HZ$36,HO12&lt;&gt;""),AND(HP12&gt;=HZ$32,HP12&lt;&gt;"",HR12&gt;=HZ$36,HR12&lt;&gt;""),AND(HT12&gt;=HZ$32,HT12&lt;&gt;"",HV12&gt;=HZ$36,HV12&lt;&gt;""),AND(HW12&gt;=HZ$32,HW12&lt;&gt;"",HY12&gt;=HZ$36,HY12&lt;&gt;""),AND(IU12&gt;=JH$32,IU12&lt;&gt;"",IW12&gt;=JH$36,IW12&lt;&gt;""),AND(IX12&gt;=JH$32,IX12&lt;&gt;"",IZ12&gt;=JH$36,IZ12&lt;&gt;""),AND(JB12&gt;=JH$32,JB12&lt;&gt;"",JD12&gt;=JH$36,JD12&lt;&gt;""),AND(JE12&gt;=JH$32,JE12&lt;&gt;"",JG12&gt;=JH$36,JG12&lt;&gt;""),AND(KC12&gt;=KP$32,KC12&lt;&gt;"",KE12&gt;=KP$36,KE12&lt;&gt;""),AND(KF12&gt;=KP$32,KF12&lt;&gt;"",KH12&gt;=KP$36,KH12&lt;&gt;""),AND(KJ12&gt;=KP$32,KJ12&lt;&gt;"",KL12&gt;=KP$36,KL12&lt;&gt;""),AND(KM12&gt;=KP$32,KM12&lt;&gt;"",KO12&gt;=KP$36,KO12&lt;&gt;""),AND(LK12&gt;=LX$32,LK12&lt;&gt;"",LM12&gt;=LX$36,LM12&lt;&gt;""),AND(LN12&gt;=LX$32,LN12&lt;&gt;"",LP12&gt;=LX$36,LP12&lt;&gt;""),AND(LR12&gt;=LX$32,LR12&lt;&gt;"",LT12&gt;=LX$36,LT12&lt;&gt;""),AND(LU12&gt;=LX$32,LU12&lt;&gt;"",LW12&gt;=LX$36,LW12&lt;&gt;""),AND(MS12&gt;=NF$32,MS12&lt;&gt;"",MU12&gt;=NF$36,MU12&lt;&gt;""),AND(MV12&gt;=NF$32,MV12&lt;&gt;"",MX12&gt;=NF$36,MX12&lt;&gt;""),AND(MZ12&gt;=NF$32,MZ12&lt;&gt;"",NB12&gt;=NF$36,NB12&lt;&gt;""),AND(NC12&gt;=NF$32,NC12&lt;&gt;"",NE12&gt;=NF$36,NE12&lt;&gt;""),AND(OA12&gt;=ON$32,OA12&lt;&gt;"",OC12&gt;=ON$36,OC12&lt;&gt;""),AND(OD12&gt;=ON$32,OD12&lt;&gt;"",OF12&gt;=ON$36,OF12&lt;&gt;""),AND(OH12&gt;=ON$32,OH12&lt;&gt;"",OJ12&gt;=ON$36,OJ12&lt;&gt;""),AND(OK12&gt;=ON$32,OK12&lt;&gt;"",OM12&gt;=ON$36,OM12&lt;&gt;""),AND(PI12&gt;=PV$32,PI12&lt;&gt;"",PK12&gt;=PV$36,PK12&lt;&gt;""),AND(PL12&gt;=PV$32,PL12&lt;&gt;"",PN12&gt;=PV$36,PN12&lt;&gt;""),AND(PP12&gt;=PV$32,PP12&lt;&gt;"",PR12&gt;=PV$36,PR12&lt;&gt;""),AND(PS12&gt;=PV$32,PS12&lt;&gt;"",PU12&gt;=PV$36,PU12&lt;&gt;""),AND(QQ12&gt;=RD$32,QQ12&lt;&gt;"",QS12&gt;=RD$36,QS12&lt;&gt;""),AND(QT12&gt;=RD$32,QT12&lt;&gt;"",QV12&gt;=RD$36,QV12&lt;&gt;""),AND(QX12&gt;=RD$32,QX12&lt;&gt;"",QZ12&gt;=RD$36,QZ12&lt;&gt;""),AND(RA12&gt;=RD$32,RA12&lt;&gt;"",RC12&gt;=RD$36,RC12&lt;&gt;""),AND(RY12&gt;=SL$32,RY12&lt;&gt;"",SA12&gt;=SL$36,SA12&lt;&gt;""),AND(SB12&gt;=SL$32,SB12&lt;&gt;"",SD12&gt;=SL$36,SD12&lt;&gt;""),AND(SF12&gt;=SL$32,SF12&lt;&gt;"",SH12&gt;=SL$36,SH12&lt;&gt;""),AND(SI12&gt;=SL$32,SI12&lt;&gt;"",SK12&gt;=SL$36,SK12&lt;&gt;""),AND(TG12&gt;=TT$32,TG12&lt;&gt;"",TI12&gt;=TT$36,TI12&lt;&gt;""),AND(TJ12&gt;=TT$32,TJ12&lt;&gt;"",TL12&gt;=TT$36,TL12&lt;&gt;""),AND(TN12&gt;=TT$32,TN12&lt;&gt;"",TP12&gt;=TT$36,TXN12&lt;&gt;""),AND(TQ12&gt;=TT$32,TQ12&lt;&gt;"",TS12&gt;=TT$36,TS12&lt;&gt;""),AND(UO12&gt;=VB$32,UO12&lt;&gt;"",UQ12&gt;=VB$36,UQ12&lt;&gt;""),AND(UR12&gt;=VB$32,UR12&lt;&gt;"",UT12&gt;=VB$36,UT12&lt;&gt;""),AND(UV12&gt;=VB$32,UV12&lt;&gt;"",UX12&gt;=VB$36,UX12&lt;&gt;""),AND(UY12&gt;=VB$32,UY12&lt;&gt;"",VA12&gt;=VB$36,VA12&lt;&gt;""),AND(VW12&gt;=WJ$32,VW12&lt;&gt;"",VY12&gt;=WJ$36,VY12&lt;&gt;""),AND(VZ12&gt;=WJ$32,VZ12&lt;&gt;"",WB12&gt;=WJ$36,WB12&lt;&gt;""),AND(WD12&gt;=WJ$32,WD12&lt;&gt;"",WF12&gt;=WJ$36,WF12&lt;&gt;""),AND(WG12&gt;=WJ$32,WG12&lt;&gt;"",WI12&gt;=WJ$36,WI12&lt;&gt;"")),"Excellence",IF(I12="P","National Team",IF(F12="P","National Team","")))))</f>
        <v/>
      </c>
      <c r="I12" s="3" t="str">
        <f>IF(COUNTIFS('Senior-M'!B:B,B12,'Senior-M'!A:A,"&lt;9",'Senior-M'!H:H,"&lt;&gt;"&amp;"No DD"),"P","")</f>
        <v/>
      </c>
      <c r="J12" s="8">
        <f t="shared" si="1"/>
        <v>52.850000000000009</v>
      </c>
      <c r="K12" s="8" t="str">
        <f t="shared" si="2"/>
        <v>2025 Nationals</v>
      </c>
      <c r="L12" s="8">
        <f>IFERROR(LARGE((AI12,AL12,AP12,BJ12,BM12,BQ12,CK12,CN12,CR12),2),0)</f>
        <v>52.61</v>
      </c>
      <c r="M12" s="8" t="str">
        <f t="shared" si="3"/>
        <v>2025 Nationals</v>
      </c>
      <c r="N12" s="8">
        <f t="shared" si="4"/>
        <v>0</v>
      </c>
      <c r="O12" s="11" t="str">
        <f>IF(N12=0,"",IF(N12=CT12,"("&amp;CT$2&amp;")",IF(N12=#REF!,"("&amp;#REF!&amp;")")))</f>
        <v/>
      </c>
      <c r="P12" s="8" t="str">
        <f t="shared" si="5"/>
        <v/>
      </c>
      <c r="Q12" s="18">
        <v>13.5</v>
      </c>
      <c r="R12" s="18">
        <v>9.5</v>
      </c>
      <c r="S12" s="18">
        <v>14.6</v>
      </c>
      <c r="T12" s="18">
        <v>15.01</v>
      </c>
      <c r="U12" s="18">
        <v>0</v>
      </c>
      <c r="V12" s="18">
        <v>1.3</v>
      </c>
      <c r="W12" s="18">
        <v>0.9</v>
      </c>
      <c r="X12" s="18">
        <v>2</v>
      </c>
      <c r="Y12" s="18">
        <v>1.64</v>
      </c>
      <c r="Z12" s="18">
        <v>0</v>
      </c>
      <c r="AA12" s="18">
        <v>13.9</v>
      </c>
      <c r="AB12" s="18">
        <v>9.3000000000000007</v>
      </c>
      <c r="AC12" s="18">
        <v>14.6</v>
      </c>
      <c r="AD12" s="18">
        <v>15.05</v>
      </c>
      <c r="AE12" s="18">
        <v>0</v>
      </c>
      <c r="AF12" s="23"/>
      <c r="AG12" s="34">
        <f t="shared" si="6"/>
        <v>14.6</v>
      </c>
      <c r="AH12" s="34">
        <f t="shared" si="7"/>
        <v>15.01</v>
      </c>
      <c r="AI12" s="36">
        <f t="shared" si="8"/>
        <v>52.61</v>
      </c>
      <c r="AJ12" s="36">
        <f t="shared" si="9"/>
        <v>2</v>
      </c>
      <c r="AK12" s="36">
        <f t="shared" si="10"/>
        <v>1.64</v>
      </c>
      <c r="AL12" s="36">
        <f t="shared" si="11"/>
        <v>5.84</v>
      </c>
      <c r="AM12" s="36">
        <f t="shared" si="12"/>
        <v>52.61</v>
      </c>
      <c r="AN12" s="36">
        <f t="shared" si="13"/>
        <v>14.6</v>
      </c>
      <c r="AO12" s="36">
        <f t="shared" si="14"/>
        <v>15.05</v>
      </c>
      <c r="AP12" s="36">
        <f t="shared" si="15"/>
        <v>52.850000000000009</v>
      </c>
      <c r="AQ12" s="36">
        <f t="shared" si="16"/>
        <v>105.46000000000001</v>
      </c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4"/>
      <c r="BH12" s="35" t="str">
        <f t="shared" si="17"/>
        <v/>
      </c>
      <c r="BI12" s="35" t="str">
        <f t="shared" si="18"/>
        <v/>
      </c>
      <c r="BJ12" s="11" t="str">
        <f t="shared" si="19"/>
        <v/>
      </c>
      <c r="BK12" s="11" t="str">
        <f t="shared" si="20"/>
        <v/>
      </c>
      <c r="BL12" s="11" t="str">
        <f t="shared" si="21"/>
        <v/>
      </c>
      <c r="BM12" s="11" t="str">
        <f t="shared" si="22"/>
        <v/>
      </c>
      <c r="BN12" s="11" t="str">
        <f t="shared" si="23"/>
        <v/>
      </c>
      <c r="BO12" s="11" t="str">
        <f t="shared" si="24"/>
        <v/>
      </c>
      <c r="BP12" s="11" t="str">
        <f t="shared" si="25"/>
        <v/>
      </c>
      <c r="BQ12" s="11" t="str">
        <f t="shared" si="26"/>
        <v/>
      </c>
      <c r="BR12" s="11" t="str">
        <f t="shared" si="27"/>
        <v/>
      </c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23"/>
      <c r="CI12" s="34" t="str">
        <f t="shared" si="28"/>
        <v/>
      </c>
      <c r="CJ12" s="34" t="str">
        <f t="shared" si="29"/>
        <v/>
      </c>
      <c r="CK12" s="36" t="str">
        <f t="shared" si="30"/>
        <v/>
      </c>
      <c r="CL12" s="36" t="str">
        <f t="shared" si="31"/>
        <v/>
      </c>
      <c r="CM12" s="36" t="str">
        <f t="shared" si="32"/>
        <v/>
      </c>
      <c r="CN12" s="36" t="str">
        <f t="shared" si="33"/>
        <v/>
      </c>
      <c r="CO12" s="36" t="str">
        <f t="shared" si="34"/>
        <v/>
      </c>
      <c r="CP12" s="36" t="str">
        <f t="shared" si="35"/>
        <v/>
      </c>
      <c r="CQ12" s="36" t="str">
        <f t="shared" si="36"/>
        <v/>
      </c>
      <c r="CR12" s="36" t="str">
        <f t="shared" si="37"/>
        <v/>
      </c>
      <c r="CS12" s="36" t="str">
        <f t="shared" si="38"/>
        <v/>
      </c>
      <c r="CT12" s="47" t="str">
        <f t="shared" si="39"/>
        <v/>
      </c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36" t="str">
        <f t="shared" si="40"/>
        <v/>
      </c>
      <c r="DP12" s="36" t="str">
        <f t="shared" si="41"/>
        <v/>
      </c>
      <c r="DQ12" s="36" t="str">
        <f t="shared" si="42"/>
        <v/>
      </c>
      <c r="DR12" s="36" t="str">
        <f t="shared" si="43"/>
        <v/>
      </c>
      <c r="DS12" s="36" t="str">
        <f t="shared" si="44"/>
        <v/>
      </c>
      <c r="DT12" s="36" t="str">
        <f t="shared" si="45"/>
        <v/>
      </c>
      <c r="DU12" s="36" t="str">
        <f t="shared" si="46"/>
        <v/>
      </c>
      <c r="DV12" s="36" t="str">
        <f t="shared" si="47"/>
        <v/>
      </c>
      <c r="DW12" s="36" t="str">
        <f t="shared" si="48"/>
        <v/>
      </c>
      <c r="DX12" s="36" t="str">
        <f t="shared" si="49"/>
        <v/>
      </c>
      <c r="DY12" s="36" t="str">
        <f t="shared" si="50"/>
        <v/>
      </c>
      <c r="DZ12" s="36" t="str">
        <f t="shared" si="51"/>
        <v/>
      </c>
      <c r="EA12" s="36" t="str">
        <f t="shared" si="52"/>
        <v/>
      </c>
      <c r="EB12" s="36" t="str">
        <f t="shared" si="53"/>
        <v/>
      </c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1" t="str">
        <f t="shared" si="54"/>
        <v/>
      </c>
      <c r="EX12" s="11" t="str">
        <f t="shared" si="55"/>
        <v/>
      </c>
      <c r="EY12" s="11" t="str">
        <f t="shared" si="56"/>
        <v/>
      </c>
      <c r="EZ12" s="11" t="str">
        <f t="shared" si="57"/>
        <v/>
      </c>
      <c r="FA12" s="11" t="str">
        <f t="shared" si="58"/>
        <v/>
      </c>
      <c r="FB12" s="11" t="str">
        <f t="shared" si="59"/>
        <v/>
      </c>
      <c r="FC12" s="11" t="str">
        <f t="shared" si="60"/>
        <v/>
      </c>
      <c r="FD12" s="11" t="str">
        <f t="shared" si="61"/>
        <v/>
      </c>
      <c r="FE12" s="11" t="str">
        <f t="shared" si="62"/>
        <v/>
      </c>
      <c r="FF12" s="11" t="str">
        <f t="shared" si="63"/>
        <v/>
      </c>
      <c r="FG12" s="11" t="str">
        <f t="shared" si="64"/>
        <v/>
      </c>
      <c r="FH12" s="11" t="str">
        <f t="shared" si="65"/>
        <v/>
      </c>
      <c r="FI12" s="11" t="str">
        <f t="shared" si="66"/>
        <v/>
      </c>
      <c r="FJ12" s="11" t="str">
        <f t="shared" si="67"/>
        <v/>
      </c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36" t="str">
        <f t="shared" si="68"/>
        <v/>
      </c>
      <c r="GF12" s="36" t="str">
        <f t="shared" si="69"/>
        <v/>
      </c>
      <c r="GG12" s="36" t="str">
        <f t="shared" si="70"/>
        <v/>
      </c>
      <c r="GH12" s="36" t="str">
        <f t="shared" si="71"/>
        <v/>
      </c>
      <c r="GI12" s="36" t="str">
        <f t="shared" si="72"/>
        <v/>
      </c>
      <c r="GJ12" s="36" t="str">
        <f t="shared" si="73"/>
        <v/>
      </c>
      <c r="GK12" s="36" t="str">
        <f t="shared" si="74"/>
        <v/>
      </c>
      <c r="GL12" s="36" t="str">
        <f t="shared" si="75"/>
        <v/>
      </c>
      <c r="GM12" s="36" t="str">
        <f t="shared" si="76"/>
        <v/>
      </c>
      <c r="GN12" s="36" t="str">
        <f t="shared" si="77"/>
        <v/>
      </c>
      <c r="GO12" s="36" t="str">
        <f t="shared" si="78"/>
        <v/>
      </c>
      <c r="GP12" s="36" t="str">
        <f t="shared" si="79"/>
        <v/>
      </c>
      <c r="GQ12" s="36" t="str">
        <f t="shared" si="80"/>
        <v/>
      </c>
      <c r="GR12" s="36" t="str">
        <f t="shared" si="81"/>
        <v/>
      </c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1" t="str">
        <f t="shared" si="82"/>
        <v/>
      </c>
      <c r="HN12" s="11" t="str">
        <f t="shared" si="83"/>
        <v/>
      </c>
      <c r="HO12" s="11" t="str">
        <f t="shared" si="84"/>
        <v/>
      </c>
      <c r="HP12" s="11" t="str">
        <f t="shared" si="85"/>
        <v/>
      </c>
      <c r="HQ12" s="11" t="str">
        <f t="shared" si="86"/>
        <v/>
      </c>
      <c r="HR12" s="11" t="str">
        <f t="shared" si="87"/>
        <v/>
      </c>
      <c r="HS12" s="11" t="str">
        <f t="shared" si="88"/>
        <v/>
      </c>
      <c r="HT12" s="11" t="str">
        <f t="shared" si="89"/>
        <v/>
      </c>
      <c r="HU12" s="11" t="str">
        <f t="shared" si="90"/>
        <v/>
      </c>
      <c r="HV12" s="11" t="str">
        <f t="shared" si="91"/>
        <v/>
      </c>
      <c r="HW12" s="11" t="str">
        <f t="shared" si="92"/>
        <v/>
      </c>
      <c r="HX12" s="11" t="str">
        <f t="shared" si="93"/>
        <v/>
      </c>
      <c r="HY12" s="11" t="str">
        <f t="shared" si="94"/>
        <v/>
      </c>
      <c r="HZ12" s="11" t="str">
        <f t="shared" si="95"/>
        <v/>
      </c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36" t="str">
        <f t="shared" si="96"/>
        <v/>
      </c>
      <c r="IV12" s="36" t="str">
        <f t="shared" si="97"/>
        <v/>
      </c>
      <c r="IW12" s="36" t="str">
        <f t="shared" si="98"/>
        <v/>
      </c>
      <c r="IX12" s="36" t="str">
        <f t="shared" si="99"/>
        <v/>
      </c>
      <c r="IY12" s="36" t="str">
        <f t="shared" si="100"/>
        <v/>
      </c>
      <c r="IZ12" s="36" t="str">
        <f t="shared" si="101"/>
        <v/>
      </c>
      <c r="JA12" s="36" t="str">
        <f t="shared" si="102"/>
        <v/>
      </c>
      <c r="JB12" s="36" t="str">
        <f t="shared" si="103"/>
        <v/>
      </c>
      <c r="JC12" s="36" t="str">
        <f t="shared" si="104"/>
        <v/>
      </c>
      <c r="JD12" s="36" t="str">
        <f t="shared" si="105"/>
        <v/>
      </c>
      <c r="JE12" s="36" t="str">
        <f t="shared" si="106"/>
        <v/>
      </c>
      <c r="JF12" s="36" t="str">
        <f t="shared" si="107"/>
        <v/>
      </c>
      <c r="JG12" s="36" t="str">
        <f t="shared" si="108"/>
        <v/>
      </c>
      <c r="JH12" s="36" t="str">
        <f t="shared" si="109"/>
        <v/>
      </c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1" t="str">
        <f t="shared" si="110"/>
        <v/>
      </c>
      <c r="KD12" s="11" t="str">
        <f t="shared" si="111"/>
        <v/>
      </c>
      <c r="KE12" s="11" t="str">
        <f t="shared" si="112"/>
        <v/>
      </c>
      <c r="KF12" s="11" t="str">
        <f t="shared" si="113"/>
        <v/>
      </c>
      <c r="KG12" s="11" t="str">
        <f t="shared" si="114"/>
        <v/>
      </c>
      <c r="KH12" s="11" t="str">
        <f t="shared" si="115"/>
        <v/>
      </c>
      <c r="KI12" s="11" t="str">
        <f t="shared" si="116"/>
        <v/>
      </c>
      <c r="KJ12" s="11" t="str">
        <f t="shared" si="117"/>
        <v/>
      </c>
      <c r="KK12" s="11" t="str">
        <f t="shared" si="118"/>
        <v/>
      </c>
      <c r="KL12" s="11" t="str">
        <f t="shared" si="119"/>
        <v/>
      </c>
      <c r="KM12" s="11" t="str">
        <f t="shared" si="120"/>
        <v/>
      </c>
      <c r="KN12" s="11" t="str">
        <f t="shared" si="121"/>
        <v/>
      </c>
      <c r="KO12" s="11" t="str">
        <f t="shared" si="122"/>
        <v/>
      </c>
      <c r="KP12" s="11" t="str">
        <f t="shared" si="123"/>
        <v/>
      </c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36" t="str">
        <f t="shared" si="124"/>
        <v/>
      </c>
      <c r="LL12" s="36" t="str">
        <f t="shared" si="125"/>
        <v/>
      </c>
      <c r="LM12" s="36" t="str">
        <f t="shared" si="126"/>
        <v/>
      </c>
      <c r="LN12" s="36" t="str">
        <f t="shared" si="127"/>
        <v/>
      </c>
      <c r="LO12" s="36" t="str">
        <f t="shared" si="128"/>
        <v/>
      </c>
      <c r="LP12" s="36" t="str">
        <f t="shared" si="129"/>
        <v/>
      </c>
      <c r="LQ12" s="36" t="str">
        <f t="shared" si="130"/>
        <v/>
      </c>
      <c r="LR12" s="36" t="str">
        <f t="shared" si="131"/>
        <v/>
      </c>
      <c r="LS12" s="36" t="str">
        <f t="shared" si="132"/>
        <v/>
      </c>
      <c r="LT12" s="36" t="str">
        <f t="shared" si="133"/>
        <v/>
      </c>
      <c r="LU12" s="36" t="str">
        <f t="shared" si="134"/>
        <v/>
      </c>
      <c r="LV12" s="36" t="str">
        <f t="shared" si="135"/>
        <v/>
      </c>
      <c r="LW12" s="36" t="str">
        <f t="shared" si="136"/>
        <v/>
      </c>
      <c r="LX12" s="36" t="str">
        <f t="shared" si="137"/>
        <v/>
      </c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1" t="str">
        <f t="shared" si="138"/>
        <v/>
      </c>
      <c r="MT12" s="11" t="str">
        <f t="shared" si="139"/>
        <v/>
      </c>
      <c r="MU12" s="11" t="str">
        <f t="shared" si="140"/>
        <v/>
      </c>
      <c r="MV12" s="11" t="str">
        <f t="shared" si="141"/>
        <v/>
      </c>
      <c r="MW12" s="11" t="str">
        <f t="shared" si="142"/>
        <v/>
      </c>
      <c r="MX12" s="11" t="str">
        <f t="shared" si="143"/>
        <v/>
      </c>
      <c r="MY12" s="11" t="str">
        <f t="shared" si="144"/>
        <v/>
      </c>
      <c r="MZ12" s="11" t="str">
        <f t="shared" si="145"/>
        <v/>
      </c>
      <c r="NA12" s="11" t="str">
        <f t="shared" si="146"/>
        <v/>
      </c>
      <c r="NB12" s="11" t="str">
        <f t="shared" si="147"/>
        <v/>
      </c>
      <c r="NC12" s="11" t="str">
        <f t="shared" si="148"/>
        <v/>
      </c>
      <c r="ND12" s="11" t="str">
        <f t="shared" si="149"/>
        <v/>
      </c>
      <c r="NE12" s="11" t="str">
        <f t="shared" si="150"/>
        <v/>
      </c>
      <c r="NF12" s="11" t="str">
        <f t="shared" si="151"/>
        <v/>
      </c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36" t="str">
        <f t="shared" si="152"/>
        <v/>
      </c>
      <c r="OB12" s="36" t="str">
        <f t="shared" si="153"/>
        <v/>
      </c>
      <c r="OC12" s="36" t="str">
        <f t="shared" si="154"/>
        <v/>
      </c>
      <c r="OD12" s="36" t="str">
        <f t="shared" si="155"/>
        <v/>
      </c>
      <c r="OE12" s="36" t="str">
        <f t="shared" si="156"/>
        <v/>
      </c>
      <c r="OF12" s="36" t="str">
        <f t="shared" si="157"/>
        <v/>
      </c>
      <c r="OG12" s="36" t="str">
        <f t="shared" si="158"/>
        <v/>
      </c>
      <c r="OH12" s="36" t="str">
        <f t="shared" si="159"/>
        <v/>
      </c>
      <c r="OI12" s="36" t="str">
        <f t="shared" si="160"/>
        <v/>
      </c>
      <c r="OJ12" s="36" t="str">
        <f t="shared" si="161"/>
        <v/>
      </c>
      <c r="OK12" s="36" t="str">
        <f t="shared" si="162"/>
        <v/>
      </c>
      <c r="OL12" s="36" t="str">
        <f t="shared" si="163"/>
        <v/>
      </c>
      <c r="OM12" s="36" t="str">
        <f t="shared" si="164"/>
        <v/>
      </c>
      <c r="ON12" s="36" t="str">
        <f t="shared" si="165"/>
        <v/>
      </c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1" t="str">
        <f t="shared" si="166"/>
        <v/>
      </c>
      <c r="PJ12" s="11" t="str">
        <f t="shared" si="167"/>
        <v/>
      </c>
      <c r="PK12" s="11" t="str">
        <f t="shared" si="168"/>
        <v/>
      </c>
      <c r="PL12" s="11" t="str">
        <f t="shared" si="169"/>
        <v/>
      </c>
      <c r="PM12" s="11" t="str">
        <f t="shared" si="170"/>
        <v/>
      </c>
      <c r="PN12" s="11" t="str">
        <f t="shared" si="171"/>
        <v/>
      </c>
      <c r="PO12" s="11" t="str">
        <f t="shared" si="172"/>
        <v/>
      </c>
      <c r="PP12" s="11" t="str">
        <f t="shared" si="173"/>
        <v/>
      </c>
      <c r="PQ12" s="11" t="str">
        <f t="shared" si="174"/>
        <v/>
      </c>
      <c r="PR12" s="11" t="str">
        <f t="shared" si="175"/>
        <v/>
      </c>
      <c r="PS12" s="11" t="str">
        <f t="shared" si="176"/>
        <v/>
      </c>
      <c r="PT12" s="11" t="str">
        <f t="shared" si="177"/>
        <v/>
      </c>
      <c r="PU12" s="11" t="str">
        <f t="shared" si="178"/>
        <v/>
      </c>
      <c r="PV12" s="11" t="str">
        <f t="shared" si="179"/>
        <v/>
      </c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36" t="str">
        <f t="shared" si="180"/>
        <v/>
      </c>
      <c r="QR12" s="36" t="str">
        <f t="shared" si="181"/>
        <v/>
      </c>
      <c r="QS12" s="36" t="str">
        <f t="shared" si="182"/>
        <v/>
      </c>
      <c r="QT12" s="36" t="str">
        <f t="shared" si="183"/>
        <v/>
      </c>
      <c r="QU12" s="36" t="str">
        <f t="shared" si="184"/>
        <v/>
      </c>
      <c r="QV12" s="36" t="str">
        <f t="shared" si="185"/>
        <v/>
      </c>
      <c r="QW12" s="36" t="str">
        <f t="shared" si="186"/>
        <v/>
      </c>
      <c r="QX12" s="36" t="str">
        <f t="shared" si="187"/>
        <v/>
      </c>
      <c r="QY12" s="36" t="str">
        <f t="shared" si="188"/>
        <v/>
      </c>
      <c r="QZ12" s="36" t="str">
        <f t="shared" si="189"/>
        <v/>
      </c>
      <c r="RA12" s="36" t="str">
        <f t="shared" si="190"/>
        <v/>
      </c>
      <c r="RB12" s="36" t="str">
        <f t="shared" si="191"/>
        <v/>
      </c>
      <c r="RC12" s="36" t="str">
        <f t="shared" si="192"/>
        <v/>
      </c>
      <c r="RD12" s="36" t="str">
        <f t="shared" si="193"/>
        <v/>
      </c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1" t="str">
        <f t="shared" si="194"/>
        <v/>
      </c>
      <c r="RZ12" s="11" t="str">
        <f t="shared" si="195"/>
        <v/>
      </c>
      <c r="SA12" s="11" t="str">
        <f t="shared" si="196"/>
        <v/>
      </c>
      <c r="SB12" s="11" t="str">
        <f t="shared" si="197"/>
        <v/>
      </c>
      <c r="SC12" s="11" t="str">
        <f t="shared" si="198"/>
        <v/>
      </c>
      <c r="SD12" s="11" t="str">
        <f t="shared" si="199"/>
        <v/>
      </c>
      <c r="SE12" s="11" t="str">
        <f t="shared" si="200"/>
        <v/>
      </c>
      <c r="SF12" s="11" t="str">
        <f t="shared" si="201"/>
        <v/>
      </c>
      <c r="SG12" s="11" t="str">
        <f t="shared" si="202"/>
        <v/>
      </c>
      <c r="SH12" s="11" t="str">
        <f t="shared" si="203"/>
        <v/>
      </c>
      <c r="SI12" s="11" t="str">
        <f t="shared" si="204"/>
        <v/>
      </c>
      <c r="SJ12" s="11" t="str">
        <f t="shared" si="205"/>
        <v/>
      </c>
      <c r="SK12" s="11" t="str">
        <f t="shared" si="206"/>
        <v/>
      </c>
      <c r="SL12" s="11" t="str">
        <f t="shared" si="207"/>
        <v/>
      </c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36" t="str">
        <f t="shared" si="208"/>
        <v/>
      </c>
      <c r="TH12" s="36" t="str">
        <f t="shared" si="209"/>
        <v/>
      </c>
      <c r="TI12" s="36" t="str">
        <f t="shared" si="210"/>
        <v/>
      </c>
      <c r="TJ12" s="36" t="str">
        <f t="shared" si="211"/>
        <v/>
      </c>
      <c r="TK12" s="36" t="str">
        <f t="shared" si="212"/>
        <v/>
      </c>
      <c r="TL12" s="36" t="str">
        <f t="shared" si="213"/>
        <v/>
      </c>
      <c r="TM12" s="36" t="str">
        <f t="shared" si="214"/>
        <v/>
      </c>
      <c r="TN12" s="36" t="str">
        <f t="shared" si="215"/>
        <v/>
      </c>
      <c r="TO12" s="36" t="str">
        <f t="shared" si="216"/>
        <v/>
      </c>
      <c r="TP12" s="36" t="str">
        <f t="shared" si="217"/>
        <v/>
      </c>
      <c r="TQ12" s="36" t="str">
        <f t="shared" si="218"/>
        <v/>
      </c>
      <c r="TR12" s="36" t="str">
        <f t="shared" si="219"/>
        <v/>
      </c>
      <c r="TS12" s="36" t="str">
        <f t="shared" si="220"/>
        <v/>
      </c>
      <c r="TT12" s="36" t="str">
        <f t="shared" si="221"/>
        <v/>
      </c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1" t="str">
        <f t="shared" si="222"/>
        <v/>
      </c>
      <c r="UP12" s="11" t="str">
        <f t="shared" si="223"/>
        <v/>
      </c>
      <c r="UQ12" s="11" t="str">
        <f t="shared" si="224"/>
        <v/>
      </c>
      <c r="UR12" s="11" t="str">
        <f t="shared" si="225"/>
        <v/>
      </c>
      <c r="US12" s="11" t="str">
        <f t="shared" si="226"/>
        <v/>
      </c>
      <c r="UT12" s="11" t="str">
        <f t="shared" si="227"/>
        <v/>
      </c>
      <c r="UU12" s="11" t="str">
        <f t="shared" si="228"/>
        <v/>
      </c>
      <c r="UV12" s="11" t="str">
        <f t="shared" si="229"/>
        <v/>
      </c>
      <c r="UW12" s="11" t="str">
        <f t="shared" si="230"/>
        <v/>
      </c>
      <c r="UX12" s="11" t="str">
        <f t="shared" si="231"/>
        <v/>
      </c>
      <c r="UY12" s="11" t="str">
        <f t="shared" si="232"/>
        <v/>
      </c>
      <c r="UZ12" s="11" t="str">
        <f t="shared" si="233"/>
        <v/>
      </c>
      <c r="VA12" s="11" t="str">
        <f t="shared" si="234"/>
        <v/>
      </c>
      <c r="VB12" s="11" t="str">
        <f t="shared" si="235"/>
        <v/>
      </c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36" t="str">
        <f t="shared" si="236"/>
        <v/>
      </c>
      <c r="VX12" s="36" t="str">
        <f t="shared" si="237"/>
        <v/>
      </c>
      <c r="VY12" s="36" t="str">
        <f t="shared" si="238"/>
        <v/>
      </c>
      <c r="VZ12" s="36" t="str">
        <f t="shared" si="239"/>
        <v/>
      </c>
      <c r="WA12" s="36" t="str">
        <f t="shared" si="240"/>
        <v/>
      </c>
      <c r="WB12" s="36" t="str">
        <f t="shared" si="241"/>
        <v/>
      </c>
      <c r="WC12" s="36" t="str">
        <f t="shared" si="242"/>
        <v/>
      </c>
      <c r="WD12" s="36" t="str">
        <f t="shared" si="243"/>
        <v/>
      </c>
      <c r="WE12" s="36" t="str">
        <f t="shared" si="244"/>
        <v/>
      </c>
      <c r="WF12" s="36" t="str">
        <f t="shared" si="245"/>
        <v/>
      </c>
      <c r="WG12" s="36" t="str">
        <f t="shared" si="246"/>
        <v/>
      </c>
      <c r="WH12" s="36" t="str">
        <f t="shared" si="247"/>
        <v/>
      </c>
      <c r="WI12" s="36" t="str">
        <f t="shared" si="248"/>
        <v/>
      </c>
      <c r="WJ12" s="36" t="str">
        <f t="shared" si="249"/>
        <v/>
      </c>
    </row>
    <row r="13" spans="1:608" x14ac:dyDescent="0.2">
      <c r="A13" s="4" t="str" cm="1">
        <f t="array" ref="A13">IF(AND(H13&lt;&gt;"",H13&lt;&gt;"No DD",I13&lt;&gt;"P"),SUMPRODUCT((H$4:H$28&lt;&gt;"")*(H$4:H$28&lt;&gt;"No DD")*(I$4:I$28&lt;&gt;"P")*(E$4:E$28&gt;E13))+1,IF(H13="No DD",SUMPRODUCT((H$4:H$28="No DD")*(I$4:I$28&lt;&gt;"P")*(E$4:E$28&gt;E13))+1+SUMPRODUCT((H$4:H$28&lt;&gt;"")*(I$4:I$28&lt;&gt;"P")*(H$4:H$28&lt;&gt;"No DD")),""))</f>
        <v/>
      </c>
      <c r="B13" s="5" t="s">
        <v>115</v>
      </c>
      <c r="C13" s="4" t="s">
        <v>3</v>
      </c>
      <c r="D13" s="4">
        <v>2007</v>
      </c>
      <c r="E13" s="9">
        <f t="shared" si="0"/>
        <v>104.96001049600527</v>
      </c>
      <c r="F13" s="3" t="str">
        <f>IF(OR(AND(AG13&gt;=AQ$30,AG13&lt;&gt;"",AI13&gt;=AQ$34,AI13&lt;&gt;"",AF13=""),AND(AJ13&gt;=AQ$30,AJ13&lt;&gt;"",AL13&gt;=AQ$34,AL13&lt;&gt;"",AF13=""),AND(AN13&gt;=AQ$30,AN13&lt;&gt;"",AP13&gt;=AQ$34,AP13&lt;&gt;"",AF13=""),AND(BH13&gt;=BR$30,BH13&lt;&gt;"",BJ13&gt;=BR$34,BJ13&lt;&gt;"",BG13=""),AND(BK13&gt;=BR$30,BK13&lt;&gt;"",BM13&gt;=BR$34,BM13&lt;&gt;"",BG13=""),AND(BO13&gt;=BR$30,BO13&lt;&gt;"",BQ13&gt;=BR$34,BQ13&lt;&gt;"",BG13=""),AND(CI13&gt;=CS$30,CI13&lt;&gt;"",CK13&gt;=CS$34,CK13&lt;&gt;"",CH13=""),AND(CL13&gt;=CS$30,CL13&lt;&gt;"",CN13&gt;=CS$34,CN13&lt;&gt;"",CH13=""),AND(CP13&gt;=CS$30,CP13&lt;&gt;"",CR13&gt;=CS$34,CR13&lt;&gt;"",CH13=""),AND(DO13&gt;=EB$30,DO13&lt;&gt;"",DQ13&gt;=EB$34,DQ13&lt;&gt;""),AND(DR13&gt;=EB$30,DR13&lt;&gt;"",DT13&gt;=EB$34,DT13&lt;&gt;""),AND(DV13&gt;=EB$30,DV13&lt;&gt;"",DX13&gt;=EB$34,DX13&lt;&gt;""),AND(DY13&gt;=EB$30,DY13&lt;&gt;"",EA13&gt;=EB$34,EA13&lt;&gt;""),AND(EW13&gt;=FJ$30,EW13&lt;&gt;"",EY13&gt;=FJ$34,EY13&lt;&gt;""),AND(EZ13&gt;=FJ$30,EZ13&lt;&gt;"",FB13&gt;=FJ$34,FB13&lt;&gt;""),AND(FD13&gt;=FJ$30,FD13&lt;&gt;"",FF13&gt;=FJ$34,FF13&lt;&gt;""),AND(FG13&gt;=FJ$30,FG13&lt;&gt;"",FI13&gt;=FJ$34,FI13&lt;&gt;""),AND(GE13&gt;=GR$30,GE13&lt;&gt;"",GG13&gt;=GR$34,GG13&lt;&gt;""),AND(GH13&gt;=GR$30,GH13&lt;&gt;"",GJ13&gt;=GR$34,GJ13&lt;&gt;""),AND(GL13&gt;=GR$30,GL13&lt;&gt;"",GN13&gt;=GR$34,GN13&lt;&gt;""),AND(GO13&gt;=GR$30,GO13&lt;&gt;"",GQ13&gt;=GR$34,GQ13&lt;&gt;""),AND(HM13&gt;=HZ$30,HM13&lt;&gt;"",HO13&gt;=HZ$34,HO13&lt;&gt;""),AND(HP13&gt;=HZ$30,HP13&lt;&gt;"",HR13&gt;=HZ$34,HR13&lt;&gt;""),AND(HT13&gt;=HZ$30,HT13&lt;&gt;"",HV13&gt;=HZ$34,HV13&lt;&gt;""),AND(HW13&gt;=HZ$30,HW13&lt;&gt;"",HY13&gt;=HZ$34,HY13&lt;&gt;""),AND(IU13&gt;=JH$30,IU13&lt;&gt;"",IW13&gt;=JH$34,IW13&lt;&gt;""),AND(IX13&gt;=JH$30,IX13&lt;&gt;"",IZ13&gt;=JH$34,IZ13&lt;&gt;""),AND(JB13&gt;=JH$30,JB13&lt;&gt;"",JD13&gt;=JH$34,JD13&lt;&gt;""),AND(JE13&gt;=JH$30,JE13&lt;&gt;"",JG13&gt;=JH$34,JG13&lt;&gt;""),AND(KC13&gt;=KP$30,KC13&lt;&gt;"",KE13&gt;=KP$34,KE13&lt;&gt;""),AND(KF13&gt;=KP$30,KF13&lt;&gt;"",KH13&gt;=KP$34,KH13&lt;&gt;""),AND(KJ13&gt;=KP$30,KJ13&lt;&gt;"",KL13&gt;=KP$34,KL13&lt;&gt;""),AND(KM13&gt;=KP$30,KM13&lt;&gt;"",KO13&gt;=KP$34,KO13&lt;&gt;""),AND(LK13&gt;=LX$30,LK13&lt;&gt;"",LM13&gt;=LX$34,LM13&lt;&gt;""),AND(LN13&gt;=LX$30,LN13&lt;&gt;"",LP13&gt;=LX$34,LP13&lt;&gt;""),AND(LR13&gt;=LX$30,LR13&lt;&gt;"",LT13&gt;=LX$34,LT13&lt;&gt;""),AND(LU13&gt;=LX$30,LU13&lt;&gt;"",LW13&gt;=LX$34,LW13&lt;&gt;""),AND(MS13&gt;=NF$30,MS13&lt;&gt;"",MU13&gt;=NF$34,MU13&lt;&gt;""),AND(MV13&gt;=NF$30,MV13&lt;&gt;"",MX13&gt;=NF$34,MX13&lt;&gt;""),AND(MZ13&gt;=NF$30,MZ13&lt;&gt;"",NB13&gt;=NF$34,NB13&lt;&gt;""),AND(NC13&gt;=NF$30,NC13&lt;&gt;"",NE13&gt;=NF$34,NE13&lt;&gt;""),AND(OA13&gt;=ON$30,OA13&lt;&gt;"",OC13&gt;=ON$34,OC13&lt;&gt;""),AND(OD13&gt;=ON$30,OD13&lt;&gt;"",OF13&gt;=ON$34,OF13&lt;&gt;""),AND(OH13&gt;=ON$30,OH13&lt;&gt;"",OJ13&gt;=ON$34,OJ13&lt;&gt;""),AND(OK13&gt;=ON$30,OK13&lt;&gt;"",OM13&gt;=ON$34,OM13&lt;&gt;""),AND(PI13&gt;=PV$30,PI13&lt;&gt;"",PK13&gt;=PV$34,PK13&lt;&gt;""),AND(PL13&gt;=PV$30,PL13&lt;&gt;"",PN13&gt;=PV$34,PN13&lt;&gt;""),AND(PP13&gt;=PV$30,PP13&lt;&gt;"",PR13&gt;=PV$34,PR13&lt;&gt;""),AND(PS13&gt;=PV$30,PS13&lt;&gt;"",PU13&gt;=PV$34,PU13&lt;&gt;""),AND(QQ13&gt;=RD$30,QQ13&lt;&gt;"",QS13&gt;=RD$34,QS13&lt;&gt;""),AND(QT13&gt;=RD$30,QT13&lt;&gt;"",QV13&gt;=RD$34,QV13&lt;&gt;""),AND(QX13&gt;=RD$30,QX13&lt;&gt;"",QZ13&gt;=RD$34,QZ13&lt;&gt;""),AND(RA13&gt;=RD$30,RA13&lt;&gt;"",RC13&gt;=RD$34,RC13&lt;&gt;""),AND(RY13&gt;=SL$30,RY13&lt;&gt;"",SA13&gt;=SL$34,SA13&lt;&gt;""),AND(SB13&gt;=SL$30,SB13&lt;&gt;"",SD13&gt;=SL$34,SD13&lt;&gt;""),AND(SF13&gt;=SL$30,SF13&lt;&gt;"",SH13&gt;=SL$34,SH13&lt;&gt;""),AND(SI13&gt;=SL$30,SI13&lt;&gt;"",SK13&gt;=SL$34,SK13&lt;&gt;""),AND(TG13&gt;=TT$30,TG13&lt;&gt;"",TI13&gt;=TT$34,TI13&lt;&gt;""),AND(TJ13&gt;=TT$30,TJ13&lt;&gt;"",TL13&gt;=TT$34,TL13&lt;&gt;""),AND(TN13&gt;=TT$30,TN13&lt;&gt;"",TP13&gt;=TT$34,TXN13&lt;&gt;""),AND(TQ13&gt;=TT$30,TQ13&lt;&gt;"",TS13&gt;=TT$34,TS13&lt;&gt;""),AND(UO13&gt;=VB$30,UO13&lt;&gt;"",UQ13&gt;=VB$34,UQ13&lt;&gt;""),AND(UR13&gt;=VB$30,UR13&lt;&gt;"",UT13&gt;=VB$34,UT13&lt;&gt;""),AND(UV13&gt;=VB$30,UV13&lt;&gt;"",UX13&gt;=VB$34,UX13&lt;&gt;""),AND(UY13&gt;=VB$30,UY13&lt;&gt;"",VA13&gt;=VB$34,VA13&lt;&gt;""),AND(VW13&gt;=WJ$30,VW13&lt;&gt;"",VY13&gt;=WJ$34,VY13&lt;&gt;""),AND(VZ13&gt;=WJ$30,VZ13&lt;&gt;"",WB13&gt;=WJ$34,WB13&lt;&gt;""),AND(WD13&gt;=WJ$30,WD13&lt;&gt;"",WF13&gt;=WJ$34,WF13&lt;&gt;""),AND(WG13&gt;=WJ$30,WG13&lt;&gt;"",WI13&gt;=WJ$34,WI13&lt;&gt;"")),"P","")</f>
        <v/>
      </c>
      <c r="G13" s="3" t="str">
        <f>IF(OR(AND(AI13&gt;=AQ$34,AI13&lt;&gt;"",AF13=""),AND(AL13&gt;=AQ$34,AL13&lt;&gt;"",AF13=""),AND(AP13&gt;=AQ$34,AP13&lt;&gt;"",AF13=""),AND(BJ13&gt;=BR$34,BJ13&lt;&gt;"",BG13=""),AND(BM13&gt;=BR$34,BM13&lt;&gt;"",BG13=""),AND(BQ13&gt;=BR$34,BQ13&lt;&gt;"",BG13=""),AND(CK13&gt;=CS$34,CK13&lt;&gt;"",CH13=""),AND(CN13&gt;=CS$34,CN13&lt;&gt;"",CH13=""),AND(CR13&gt;=CS$34,CR13&lt;&gt;"",CH13=""),AND(DQ13&gt;=EB$34,DQ13&lt;&gt;""),AND(DT13&gt;=EB$34,DT13&lt;&gt;""),AND(DX13&gt;=EB$34,DX13&lt;&gt;""),AND(EA13&gt;=EB$34,EA13&lt;&gt;""),AND(EY13&gt;=FJ$34,EY13&lt;&gt;""),AND(FB13&gt;=FJ$34,FB13&lt;&gt;""),AND(FF13&gt;=FJ$34,FF13&lt;&gt;""),AND(FI13&gt;=FJ$34,FI13&lt;&gt;""),AND(GG13&gt;=GR$34,GG13&lt;&gt;""),AND(GJ13&gt;=GR$34,GJ13&lt;&gt;""),AND(GN13&gt;=GR$34,GN13&lt;&gt;""),AND(GQ13&gt;=GR$34,GQ13&lt;&gt;""),AND(HO13&gt;=HZ$34,HO13&lt;&gt;""),AND(HR13&gt;=HZ$34,HR13&lt;&gt;""),AND(HV13&gt;=HZ$34,HV13&lt;&gt;""),AND(HY13&gt;=HZ$34,HY13&lt;&gt;""),AND(IW13&gt;=JH$34,IW13&lt;&gt;""),AND(IZ13&gt;=JH$34,IZ13&lt;&gt;""),AND(JD13&gt;=JH$34,JD13&lt;&gt;""),AND(JG13&gt;=JH$34,JG13&lt;&gt;""),AND(KE13&gt;=KP$34,KE13&lt;&gt;""),AND(KH13&gt;=KP$34,KH13&lt;&gt;""),AND(KL13&gt;=KP$34,KL13&lt;&gt;""),AND(KO13&gt;=KP$34,KO13&lt;&gt;""),AND(LM13&gt;=LX$34,LM13&lt;&gt;""),AND(LP13&gt;=LX$34,LP13&lt;&gt;""),AND(LT13&gt;=LX$34,LT13&lt;&gt;""),AND(LW13&gt;=LX$34,LW13&lt;&gt;""),AND(MU13&gt;=NF$34,MU13&lt;&gt;""),AND(MX13&gt;=NF$34,MX13&lt;&gt;""),AND(NB13&gt;=NF$34,NB13&lt;&gt;""),AND(NE13&gt;=NF$34,NE13&lt;&gt;""),AND(OC13&gt;=ON$34,OC13&lt;&gt;""),AND(OF13&gt;=ON$34,OF13&lt;&gt;""),AND(OJ13&gt;=ON$34,OJ13&lt;&gt;""),AND(OM13&gt;=ON$34,OM13&lt;&gt;""),AND(PK13&gt;=PV$34,PK13&lt;&gt;""),AND(PN13&gt;=PV$34,PN13&lt;&gt;""),AND(PR13&gt;=PV$34,PR13&lt;&gt;""),AND(PU13&gt;=PV$34,PU13&lt;&gt;""),AND(QS13&gt;=RD$34,QS13&lt;&gt;""),AND(QV13&gt;=RD$34,QV13&lt;&gt;""),AND(QZ13&gt;=RD$34,QZ13&lt;&gt;""),AND(RC13&gt;=RD$34,RC13&lt;&gt;""),AND(SA13&gt;=SL$34,SA13&lt;&gt;""),AND(SD13&gt;=SL$34,SD13&lt;&gt;""),AND(SH13&gt;=SL$34,SH13&lt;&gt;""),AND(SK13&gt;=SL$34,SK13&lt;&gt;""),AND(TI13&gt;=TT$34,TI13&lt;&gt;""),AND(TL13&gt;=TT$34,TL13&lt;&gt;""),AND(TP13&gt;=TT$34,TXN13&lt;&gt;""),AND(TS13&gt;=TT$34,TS13&lt;&gt;""),AND(UQ13&gt;=VB$34,UQ13&lt;&gt;""),AND(UT13&gt;=VB$34,UT13&lt;&gt;""),AND(UX13&gt;=VB$34,UX13&lt;&gt;""),AND(VA13&gt;=VB$34,VA13&lt;&gt;""),AND(VY13&gt;=WJ$34,VY13&lt;&gt;""),AND(WB13&gt;=WJ$34,WB13&lt;&gt;""),AND(WF13&gt;=WJ$34,WF13&lt;&gt;""),AND(WI13&gt;=WJ$34,WI13&lt;&gt;"")),"P","")</f>
        <v/>
      </c>
      <c r="H13" s="32" t="str">
        <f>IF(AND(G13="P",F13=""),"No DD",IF(OR(AND(AG13&gt;=AQ$33,AG13&lt;&gt;"",AI13&gt;=AQ$37,AI13&lt;&gt;"",AF13=""),AND(AJ13&gt;=AQ$33,AJ13&lt;&gt;"",AL13&gt;=AQ$37,AL13&lt;&gt;"",AF13=""),AND(AN13&gt;=AQ$33,AN13&lt;&gt;"",AP13&gt;=AQ$37,AP13&lt;&gt;"",AF13=""),AND(BH13&gt;=BR$33,BH13&lt;&gt;"",BJ13&gt;=BR$37,BJ13&lt;&gt;"",BG13=""),AND(BK13&gt;=BR$33,BK13&lt;&gt;"",BM13&gt;=BR$37,BM13&lt;&gt;"",BG13=""),AND(BO13&gt;=BR$33,BO13&lt;&gt;"",BQ13&gt;=BR$37,BQ13&lt;&gt;"",BG13=""),AND(CI13&gt;=CS$33,CI13&lt;&gt;"",CK13&gt;=CS$37,CK13&lt;&gt;"",CH13=""),AND(CL13&gt;=CS$33,CL13&lt;&gt;"",CN13&gt;=CS$37,CN13&lt;&gt;"",CH13=""),AND(CP13&gt;=CS$33,CP13&lt;&gt;"",CR13&gt;=CS$37,CR13&lt;&gt;"",CH13=""),AND(DO13&gt;=EB$33,DO13&lt;&gt;"",DQ13&gt;=EB$37,DQ13&lt;&gt;""),AND(DR13&gt;=EB$33,DR13&lt;&gt;"",DT13&gt;=EB$37,DT13&lt;&gt;""),AND(DV13&gt;=EB$33,DV13&lt;&gt;"",DX13&gt;=EB$37,DX13&lt;&gt;""),AND(DY13&gt;=EB$33,DY13&lt;&gt;"",EA13&gt;=EB$37,EA13&lt;&gt;""),AND(EW13&gt;=FJ$33,EW13&lt;&gt;"",EY13&gt;=FJ$37,EY13&lt;&gt;""),AND(EZ13&gt;=FJ$33,EZ13&lt;&gt;"",FB13&gt;=FJ$37,FB13&lt;&gt;""),AND(FD13&gt;=FJ$33,FD13&lt;&gt;"",FF13&gt;=FJ$37,FF13&lt;&gt;""),AND(FG13&gt;=FJ$33,FG13&lt;&gt;"",FI13&gt;=FJ$37,FI13&lt;&gt;""),AND(GE13&gt;=GR$33,GE13&lt;&gt;"",GG13&gt;=GR$37,GG13&lt;&gt;""),AND(GH13&gt;=GR$33,GH13&lt;&gt;"",GJ13&gt;=GR$37,GJ13&lt;&gt;""),AND(GL13&gt;=GR$33,GL13&lt;&gt;"",GN13&gt;=GR$37,GN13&lt;&gt;""),AND(GO13&gt;=GR$33,GO13&lt;&gt;"",GQ13&gt;=GR$37,GQ13&lt;&gt;""),AND(HM13&gt;=HZ$33,HM13&lt;&gt;"",HO13&gt;=HZ$37,HO13&lt;&gt;""),AND(HP13&gt;=HZ$33,HP13&lt;&gt;"",HR13&gt;=HZ$37,HR13&lt;&gt;""),AND(HT13&gt;=HZ$33,HT13&lt;&gt;"",HV13&gt;=HZ$37,HV13&lt;&gt;""),AND(HW13&gt;=HZ$33,HW13&lt;&gt;"",HY13&gt;=HZ$37,HY13&lt;&gt;""),AND(IU13&gt;=JH$33,IU13&lt;&gt;"",IW13&gt;=JH$37,IW13&lt;&gt;""),AND(IX13&gt;=JH$33,IX13&lt;&gt;"",IZ13&gt;=JH$37,IZ13&lt;&gt;""),AND(JB13&gt;=JH$33,JB13&lt;&gt;"",JD13&gt;=JH$37,JD13&lt;&gt;""),AND(JE13&gt;=JH$33,JE13&lt;&gt;"",JG13&gt;=JH$37,JG13&lt;&gt;""),AND(KC13&gt;=KP$33,KC13&lt;&gt;"",KE13&gt;=KP$37,KE13&lt;&gt;""),AND(KF13&gt;=KP$33,KF13&lt;&gt;"",KH13&gt;=KP$37,KH13&lt;&gt;""),AND(KJ13&gt;=KP$33,KJ13&lt;&gt;"",KL13&gt;=KP$37,KL13&lt;&gt;""),AND(KM13&gt;=KP$33,KM13&lt;&gt;"",KO13&gt;=KP$37,KO13&lt;&gt;""),AND(LK13&gt;=LX$33,LK13&lt;&gt;"",LM13&gt;=LX$37,LM13&lt;&gt;""),AND(LN13&gt;=LX$33,LN13&lt;&gt;"",LP13&gt;=LX$37,LP13&lt;&gt;""),AND(LR13&gt;=LX$33,LR13&lt;&gt;"",LT13&gt;=LX$37,LT13&lt;&gt;""),AND(LU13&gt;=LX$33,LU13&lt;&gt;"",LW13&gt;=LX$37,LW13&lt;&gt;""),AND(MS13&gt;=NF$33,MS13&lt;&gt;"",MU13&gt;=NF$37,MU13&lt;&gt;""),AND(MV13&gt;=NF$33,MV13&lt;&gt;"",MX13&gt;=NF$37,MX13&lt;&gt;""),AND(MZ13&gt;=NF$33,MZ13&lt;&gt;"",NB13&gt;=NF$37,NB13&lt;&gt;""),AND(NC13&gt;=NF$33,NC13&lt;&gt;"",NE13&gt;=NF$37,NE13&lt;&gt;""),AND(OA13&gt;=ON$33,OA13&lt;&gt;"",OC13&gt;=ON$37,OC13&lt;&gt;""),AND(OD13&gt;=ON$33,OD13&lt;&gt;"",OF13&gt;=ON$37,OF13&lt;&gt;""),AND(OH13&gt;=ON$33,OH13&lt;&gt;"",OJ13&gt;=ON$37,OJ13&lt;&gt;""),AND(OK13&gt;=ON$33,OK13&lt;&gt;"",OM13&gt;=ON$37,OM13&lt;&gt;""),AND(PI13&gt;=PV$33,PI13&lt;&gt;"",PK13&gt;=PV$37,PK13&lt;&gt;""),AND(PL13&gt;=PV$33,PL13&lt;&gt;"",PN13&gt;=PV$37,PN13&lt;&gt;""),AND(PP13&gt;=PV$33,PP13&lt;&gt;"",PR13&gt;=PV$37,PR13&lt;&gt;""),AND(PS13&gt;=PV$33,PS13&lt;&gt;"",PU13&gt;=PV$37,PU13&lt;&gt;""),AND(QQ13&gt;=RD$33,QQ13&lt;&gt;"",QS13&gt;=RD$37,QS13&lt;&gt;""),AND(QT13&gt;=RD$33,QT13&lt;&gt;"",QV13&gt;=RD$37,QV13&lt;&gt;""),AND(QX13&gt;=RD$33,QX13&lt;&gt;"",QZ13&gt;=RD$37,QZ13&lt;&gt;""),AND(RA13&gt;=RD$33,RA13&lt;&gt;"",RC13&gt;=RD$37,RC13&lt;&gt;""),AND(RY13&gt;=SL$33,RY13&lt;&gt;"",SA13&gt;=SL$37,SA13&lt;&gt;""),AND(SB13&gt;=SL$33,SB13&lt;&gt;"",SD13&gt;=SL$37,SD13&lt;&gt;""),AND(SF13&gt;=SL$33,SF13&lt;&gt;"",SH13&gt;=SL$37,SH13&lt;&gt;""),AND(SI13&gt;=SL$33,SI13&lt;&gt;"",SK13&gt;=SL$37,SK13&lt;&gt;""),AND(TG13&gt;=TT$33,TG13&lt;&gt;"",TI13&gt;=TT$37,TI13&lt;&gt;""),AND(TJ13&gt;=TT$33,TJ13&lt;&gt;"",TL13&gt;=TT$37,TL13&lt;&gt;""),AND(TN13&gt;=TT$33,TN13&lt;&gt;"",TP13&gt;=TT$357,TXN13&lt;&gt;""),AND(TQ13&gt;=TT$33,TQ13&lt;&gt;"",TS13&gt;=TT$37,TS13&lt;&gt;""),AND(UO13&gt;=VB$33,UO13&lt;&gt;"",UQ13&gt;=VB$37,UQ13&lt;&gt;""),AND(UR13&gt;=VB$33,UR13&lt;&gt;"",UT13&gt;=VB$37,UT13&lt;&gt;""),AND(UV13&gt;=VB$33,UV13&lt;&gt;"",UX13&gt;=VB$37,UX13&lt;&gt;""),AND(UY13&gt;=VB$33,UY13&lt;&gt;"",VA13&gt;=VB$37,VA13&lt;&gt;""),AND(VW13&gt;=WJ$33,VW13&lt;&gt;"",VY13&gt;=WJ$37,VY13&lt;&gt;""),AND(VZ13&gt;=WJ$33,VZ13&lt;&gt;"",WB13&gt;=WJ$37,WB13&lt;&gt;""),AND(WD13&gt;=WJ$33,WD13&lt;&gt;"",WF13&gt;=WJ$37,WF13&lt;&gt;""),AND(WG13&gt;=WJ$33,WG13&lt;&gt;"",WI13&gt;=WJ$37,WI13&lt;&gt;"")),"Merit",IF(OR(AND(AG13&gt;=AQ$32,AG13&lt;&gt;"",AI13&gt;=AQ$36,AI13&lt;&gt;"",AF13=""),AND(AJ13&gt;=AQ$32,AJ13&lt;&gt;"",AL13&gt;=AQ$36,AL13&lt;&gt;"",AF13=""),AND(AN13&gt;=AQ$32,AN13&lt;&gt;"",AP13&gt;=AQ$36,AP13&lt;&gt;"",AF13=""),AND(BH13&gt;=BR$32,BH13&lt;&gt;"",BJ13&gt;=BR$36,BJ13&lt;&gt;"",BG13=""),AND(BK13&gt;=BR$32,BK13&lt;&gt;"",BM13&gt;=BR$36,BM13&lt;&gt;"",BG13=""),AND(BO13&gt;=BR$32,BO13&lt;&gt;"",BQ13&gt;=BR$36,BQ13&lt;&gt;"",BG13=""),AND(CI13&gt;=CS$32,CI13&lt;&gt;"",CK13&gt;=CS$36,CK13&lt;&gt;"",CH13=""),AND(CL13&gt;=CS$32,CL13&lt;&gt;"",CN13&gt;=CS$36,CN13&lt;&gt;"",CH13=""),AND(CP13&gt;=CS$32,CP13&lt;&gt;"",CR13&gt;=CS$36,CR13&lt;&gt;"",CH13=""),AND(DO13&gt;=EB$32,DO13&lt;&gt;"",DQ13&gt;=EB$36,DQ13&lt;&gt;""),AND(DR13&gt;=EB$32,DR13&lt;&gt;"",DT13&gt;=EB$36,DT13&lt;&gt;""),AND(DV13&gt;=EB$32,DV13&lt;&gt;"",DX13&gt;=EB$36,DX13&lt;&gt;""),AND(DY13&gt;=EB$32,DY13&lt;&gt;"",EA13&gt;=EB$36,EA13&lt;&gt;""),AND(EW13&gt;=FJ$32,EW13&lt;&gt;"",EY13&gt;=FJ$36,EY13&lt;&gt;""),AND(EZ13&gt;=FJ$32,EZ13&lt;&gt;"",FB13&gt;=FJ$36,FB13&lt;&gt;""),AND(FD13&gt;=FJ$32,FD13&lt;&gt;"",FF13&gt;=FJ$36,FF13&lt;&gt;""),AND(FG13&gt;=FJ$32,FG13&lt;&gt;"",FI13&gt;=FJ$36,FI13&lt;&gt;""),AND(GE13&gt;=GR$32,GE13&lt;&gt;"",GG13&gt;=GR$36,GG13&lt;&gt;""),AND(GH13&gt;=GR$32,GH13&lt;&gt;"",GJ13&gt;=GR$36,GJ13&lt;&gt;""),AND(GL13&gt;=GR$32,GL13&lt;&gt;"",GN13&gt;=GR$36,GN13&lt;&gt;""),AND(GO13&gt;=GR$32,GO13&lt;&gt;"",GQ13&gt;=GR$36,GQ13&lt;&gt;""),AND(HM13&gt;=HZ$32,HM13&lt;&gt;"",HO13&gt;=HZ$36,HO13&lt;&gt;""),AND(HP13&gt;=HZ$32,HP13&lt;&gt;"",HR13&gt;=HZ$36,HR13&lt;&gt;""),AND(HT13&gt;=HZ$32,HT13&lt;&gt;"",HV13&gt;=HZ$36,HV13&lt;&gt;""),AND(HW13&gt;=HZ$32,HW13&lt;&gt;"",HY13&gt;=HZ$36,HY13&lt;&gt;""),AND(IU13&gt;=JH$32,IU13&lt;&gt;"",IW13&gt;=JH$36,IW13&lt;&gt;""),AND(IX13&gt;=JH$32,IX13&lt;&gt;"",IZ13&gt;=JH$36,IZ13&lt;&gt;""),AND(JB13&gt;=JH$32,JB13&lt;&gt;"",JD13&gt;=JH$36,JD13&lt;&gt;""),AND(JE13&gt;=JH$32,JE13&lt;&gt;"",JG13&gt;=JH$36,JG13&lt;&gt;""),AND(KC13&gt;=KP$32,KC13&lt;&gt;"",KE13&gt;=KP$36,KE13&lt;&gt;""),AND(KF13&gt;=KP$32,KF13&lt;&gt;"",KH13&gt;=KP$36,KH13&lt;&gt;""),AND(KJ13&gt;=KP$32,KJ13&lt;&gt;"",KL13&gt;=KP$36,KL13&lt;&gt;""),AND(KM13&gt;=KP$32,KM13&lt;&gt;"",KO13&gt;=KP$36,KO13&lt;&gt;""),AND(LK13&gt;=LX$32,LK13&lt;&gt;"",LM13&gt;=LX$36,LM13&lt;&gt;""),AND(LN13&gt;=LX$32,LN13&lt;&gt;"",LP13&gt;=LX$36,LP13&lt;&gt;""),AND(LR13&gt;=LX$32,LR13&lt;&gt;"",LT13&gt;=LX$36,LT13&lt;&gt;""),AND(LU13&gt;=LX$32,LU13&lt;&gt;"",LW13&gt;=LX$36,LW13&lt;&gt;""),AND(MS13&gt;=NF$32,MS13&lt;&gt;"",MU13&gt;=NF$36,MU13&lt;&gt;""),AND(MV13&gt;=NF$32,MV13&lt;&gt;"",MX13&gt;=NF$36,MX13&lt;&gt;""),AND(MZ13&gt;=NF$32,MZ13&lt;&gt;"",NB13&gt;=NF$36,NB13&lt;&gt;""),AND(NC13&gt;=NF$32,NC13&lt;&gt;"",NE13&gt;=NF$36,NE13&lt;&gt;""),AND(OA13&gt;=ON$32,OA13&lt;&gt;"",OC13&gt;=ON$36,OC13&lt;&gt;""),AND(OD13&gt;=ON$32,OD13&lt;&gt;"",OF13&gt;=ON$36,OF13&lt;&gt;""),AND(OH13&gt;=ON$32,OH13&lt;&gt;"",OJ13&gt;=ON$36,OJ13&lt;&gt;""),AND(OK13&gt;=ON$32,OK13&lt;&gt;"",OM13&gt;=ON$36,OM13&lt;&gt;""),AND(PI13&gt;=PV$32,PI13&lt;&gt;"",PK13&gt;=PV$36,PK13&lt;&gt;""),AND(PL13&gt;=PV$32,PL13&lt;&gt;"",PN13&gt;=PV$36,PN13&lt;&gt;""),AND(PP13&gt;=PV$32,PP13&lt;&gt;"",PR13&gt;=PV$36,PR13&lt;&gt;""),AND(PS13&gt;=PV$32,PS13&lt;&gt;"",PU13&gt;=PV$36,PU13&lt;&gt;""),AND(QQ13&gt;=RD$32,QQ13&lt;&gt;"",QS13&gt;=RD$36,QS13&lt;&gt;""),AND(QT13&gt;=RD$32,QT13&lt;&gt;"",QV13&gt;=RD$36,QV13&lt;&gt;""),AND(QX13&gt;=RD$32,QX13&lt;&gt;"",QZ13&gt;=RD$36,QZ13&lt;&gt;""),AND(RA13&gt;=RD$32,RA13&lt;&gt;"",RC13&gt;=RD$36,RC13&lt;&gt;""),AND(RY13&gt;=SL$32,RY13&lt;&gt;"",SA13&gt;=SL$36,SA13&lt;&gt;""),AND(SB13&gt;=SL$32,SB13&lt;&gt;"",SD13&gt;=SL$36,SD13&lt;&gt;""),AND(SF13&gt;=SL$32,SF13&lt;&gt;"",SH13&gt;=SL$36,SH13&lt;&gt;""),AND(SI13&gt;=SL$32,SI13&lt;&gt;"",SK13&gt;=SL$36,SK13&lt;&gt;""),AND(TG13&gt;=TT$32,TG13&lt;&gt;"",TI13&gt;=TT$36,TI13&lt;&gt;""),AND(TJ13&gt;=TT$32,TJ13&lt;&gt;"",TL13&gt;=TT$36,TL13&lt;&gt;""),AND(TN13&gt;=TT$32,TN13&lt;&gt;"",TP13&gt;=TT$36,TXN13&lt;&gt;""),AND(TQ13&gt;=TT$32,TQ13&lt;&gt;"",TS13&gt;=TT$36,TS13&lt;&gt;""),AND(UO13&gt;=VB$32,UO13&lt;&gt;"",UQ13&gt;=VB$36,UQ13&lt;&gt;""),AND(UR13&gt;=VB$32,UR13&lt;&gt;"",UT13&gt;=VB$36,UT13&lt;&gt;""),AND(UV13&gt;=VB$32,UV13&lt;&gt;"",UX13&gt;=VB$36,UX13&lt;&gt;""),AND(UY13&gt;=VB$32,UY13&lt;&gt;"",VA13&gt;=VB$36,VA13&lt;&gt;""),AND(VW13&gt;=WJ$32,VW13&lt;&gt;"",VY13&gt;=WJ$36,VY13&lt;&gt;""),AND(VZ13&gt;=WJ$32,VZ13&lt;&gt;"",WB13&gt;=WJ$36,WB13&lt;&gt;""),AND(WD13&gt;=WJ$32,WD13&lt;&gt;"",WF13&gt;=WJ$36,WF13&lt;&gt;""),AND(WG13&gt;=WJ$32,WG13&lt;&gt;"",WI13&gt;=WJ$36,WI13&lt;&gt;"")),"Excellence",IF(I13="P","National Team",IF(F13="P","National Team","")))))</f>
        <v/>
      </c>
      <c r="I13" s="3" t="str">
        <f>IF(COUNTIFS('Senior-M'!B:B,B13,'Senior-M'!A:A,"&lt;9",'Senior-M'!H:H,"&lt;&gt;"&amp;"No DD"),"P","")</f>
        <v/>
      </c>
      <c r="J13" s="8">
        <f t="shared" si="1"/>
        <v>52.65</v>
      </c>
      <c r="K13" s="8" t="str">
        <f t="shared" si="2"/>
        <v>2026 Elite Canada</v>
      </c>
      <c r="L13" s="8">
        <f>IFERROR(LARGE((AI13,AL13,AP13,BJ13,BM13,BQ13,CK13,CN13,CR13),2),0)</f>
        <v>52.31</v>
      </c>
      <c r="M13" s="8" t="str">
        <f t="shared" si="3"/>
        <v>2025 3rd Domestic Trial</v>
      </c>
      <c r="N13" s="8">
        <f t="shared" si="4"/>
        <v>0</v>
      </c>
      <c r="O13" s="11" t="str">
        <f>IF(N13=0,"",IF(N13=CT13,"("&amp;CT$2&amp;")",IF(N13=#REF!,"("&amp;#REF!&amp;")")))</f>
        <v/>
      </c>
      <c r="P13" s="8" t="str">
        <f t="shared" si="5"/>
        <v/>
      </c>
      <c r="Q13" s="18">
        <v>11.8</v>
      </c>
      <c r="R13" s="18">
        <v>8.6999999999999993</v>
      </c>
      <c r="S13" s="18">
        <v>10.5</v>
      </c>
      <c r="T13" s="18">
        <v>15.53</v>
      </c>
      <c r="U13" s="18">
        <v>4</v>
      </c>
      <c r="V13" s="18">
        <v>10.4</v>
      </c>
      <c r="W13" s="18">
        <v>8.4</v>
      </c>
      <c r="X13" s="18">
        <v>9.6999999999999993</v>
      </c>
      <c r="Y13" s="18">
        <v>13.32</v>
      </c>
      <c r="Z13" s="18">
        <v>0</v>
      </c>
      <c r="AA13" s="18"/>
      <c r="AB13" s="18"/>
      <c r="AC13" s="18"/>
      <c r="AD13" s="18"/>
      <c r="AE13" s="18"/>
      <c r="AF13" s="23"/>
      <c r="AG13" s="34">
        <f t="shared" si="6"/>
        <v>10.5</v>
      </c>
      <c r="AH13" s="34">
        <f t="shared" si="7"/>
        <v>15.53</v>
      </c>
      <c r="AI13" s="36">
        <f t="shared" si="8"/>
        <v>42.53</v>
      </c>
      <c r="AJ13" s="36">
        <f t="shared" si="9"/>
        <v>9.6999999999999993</v>
      </c>
      <c r="AK13" s="36">
        <f t="shared" si="10"/>
        <v>13.32</v>
      </c>
      <c r="AL13" s="36">
        <f t="shared" si="11"/>
        <v>41.82</v>
      </c>
      <c r="AM13" s="36">
        <f t="shared" si="12"/>
        <v>42.53</v>
      </c>
      <c r="AN13" s="36" t="str">
        <f t="shared" si="13"/>
        <v/>
      </c>
      <c r="AO13" s="36" t="str">
        <f t="shared" si="14"/>
        <v/>
      </c>
      <c r="AP13" s="36" t="str">
        <f t="shared" si="15"/>
        <v/>
      </c>
      <c r="AQ13" s="36">
        <f t="shared" si="16"/>
        <v>42.53</v>
      </c>
      <c r="AR13" s="22">
        <v>15.4</v>
      </c>
      <c r="AS13" s="22">
        <v>9</v>
      </c>
      <c r="AT13" s="22">
        <v>13.1</v>
      </c>
      <c r="AU13" s="22">
        <v>16.21</v>
      </c>
      <c r="AV13" s="22">
        <v>1.4</v>
      </c>
      <c r="AW13" s="22">
        <v>1.5</v>
      </c>
      <c r="AX13" s="22">
        <v>1</v>
      </c>
      <c r="AY13" s="22">
        <v>1.7</v>
      </c>
      <c r="AZ13" s="22">
        <v>0</v>
      </c>
      <c r="BA13" s="22">
        <v>0</v>
      </c>
      <c r="BB13" s="22">
        <v>2.7</v>
      </c>
      <c r="BC13" s="22">
        <v>1.7</v>
      </c>
      <c r="BD13" s="22">
        <v>4</v>
      </c>
      <c r="BE13" s="22">
        <v>3.48</v>
      </c>
      <c r="BF13" s="22">
        <v>0</v>
      </c>
      <c r="BG13" s="24"/>
      <c r="BH13" s="35">
        <f t="shared" si="17"/>
        <v>13.1</v>
      </c>
      <c r="BI13" s="35">
        <f t="shared" si="18"/>
        <v>16.21</v>
      </c>
      <c r="BJ13" s="11">
        <f t="shared" si="19"/>
        <v>52.31</v>
      </c>
      <c r="BK13" s="11">
        <f t="shared" si="20"/>
        <v>1.7</v>
      </c>
      <c r="BL13" s="11" t="str">
        <f t="shared" si="21"/>
        <v/>
      </c>
      <c r="BM13" s="11">
        <f t="shared" si="22"/>
        <v>4.2</v>
      </c>
      <c r="BN13" s="11">
        <f t="shared" si="23"/>
        <v>52.31</v>
      </c>
      <c r="BO13" s="11">
        <f t="shared" si="24"/>
        <v>4</v>
      </c>
      <c r="BP13" s="11">
        <f t="shared" si="25"/>
        <v>3.48</v>
      </c>
      <c r="BQ13" s="11">
        <f t="shared" si="26"/>
        <v>11.88</v>
      </c>
      <c r="BR13" s="11">
        <f t="shared" si="27"/>
        <v>64.19</v>
      </c>
      <c r="BS13" s="18">
        <v>13.5</v>
      </c>
      <c r="BT13" s="18">
        <v>9.1</v>
      </c>
      <c r="BU13" s="18">
        <v>14.7</v>
      </c>
      <c r="BV13" s="18">
        <v>15.35</v>
      </c>
      <c r="BW13" s="18">
        <v>0</v>
      </c>
      <c r="BX13" s="18">
        <v>2.7</v>
      </c>
      <c r="BY13" s="18">
        <v>1.8</v>
      </c>
      <c r="BZ13" s="18">
        <v>4</v>
      </c>
      <c r="CA13" s="18">
        <v>3.28</v>
      </c>
      <c r="CB13" s="18">
        <v>0</v>
      </c>
      <c r="CC13" s="18"/>
      <c r="CD13" s="18"/>
      <c r="CE13" s="18"/>
      <c r="CF13" s="18"/>
      <c r="CG13" s="18"/>
      <c r="CH13" s="23"/>
      <c r="CI13" s="34">
        <f t="shared" si="28"/>
        <v>14.7</v>
      </c>
      <c r="CJ13" s="34">
        <f t="shared" si="29"/>
        <v>15.35</v>
      </c>
      <c r="CK13" s="36">
        <f t="shared" si="30"/>
        <v>52.65</v>
      </c>
      <c r="CL13" s="36">
        <f t="shared" si="31"/>
        <v>4</v>
      </c>
      <c r="CM13" s="36">
        <f t="shared" si="32"/>
        <v>3.28</v>
      </c>
      <c r="CN13" s="36">
        <f t="shared" si="33"/>
        <v>11.78</v>
      </c>
      <c r="CO13" s="36">
        <f t="shared" si="34"/>
        <v>52.65</v>
      </c>
      <c r="CP13" s="36" t="str">
        <f t="shared" si="35"/>
        <v/>
      </c>
      <c r="CQ13" s="36" t="str">
        <f t="shared" si="36"/>
        <v/>
      </c>
      <c r="CR13" s="36" t="str">
        <f t="shared" si="37"/>
        <v/>
      </c>
      <c r="CS13" s="36">
        <f t="shared" si="38"/>
        <v>52.65</v>
      </c>
      <c r="CT13" s="47" t="str">
        <f t="shared" si="39"/>
        <v/>
      </c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36" t="str">
        <f t="shared" si="40"/>
        <v/>
      </c>
      <c r="DP13" s="36" t="str">
        <f t="shared" si="41"/>
        <v/>
      </c>
      <c r="DQ13" s="36" t="str">
        <f t="shared" si="42"/>
        <v/>
      </c>
      <c r="DR13" s="36" t="str">
        <f t="shared" si="43"/>
        <v/>
      </c>
      <c r="DS13" s="36" t="str">
        <f t="shared" si="44"/>
        <v/>
      </c>
      <c r="DT13" s="36" t="str">
        <f t="shared" si="45"/>
        <v/>
      </c>
      <c r="DU13" s="36" t="str">
        <f t="shared" si="46"/>
        <v/>
      </c>
      <c r="DV13" s="36" t="str">
        <f t="shared" si="47"/>
        <v/>
      </c>
      <c r="DW13" s="36" t="str">
        <f t="shared" si="48"/>
        <v/>
      </c>
      <c r="DX13" s="36" t="str">
        <f t="shared" si="49"/>
        <v/>
      </c>
      <c r="DY13" s="36" t="str">
        <f t="shared" si="50"/>
        <v/>
      </c>
      <c r="DZ13" s="36" t="str">
        <f t="shared" si="51"/>
        <v/>
      </c>
      <c r="EA13" s="36" t="str">
        <f t="shared" si="52"/>
        <v/>
      </c>
      <c r="EB13" s="36" t="str">
        <f t="shared" si="53"/>
        <v/>
      </c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1" t="str">
        <f t="shared" si="54"/>
        <v/>
      </c>
      <c r="EX13" s="11" t="str">
        <f t="shared" si="55"/>
        <v/>
      </c>
      <c r="EY13" s="11" t="str">
        <f t="shared" si="56"/>
        <v/>
      </c>
      <c r="EZ13" s="11" t="str">
        <f t="shared" si="57"/>
        <v/>
      </c>
      <c r="FA13" s="11" t="str">
        <f t="shared" si="58"/>
        <v/>
      </c>
      <c r="FB13" s="11" t="str">
        <f t="shared" si="59"/>
        <v/>
      </c>
      <c r="FC13" s="11" t="str">
        <f t="shared" si="60"/>
        <v/>
      </c>
      <c r="FD13" s="11" t="str">
        <f t="shared" si="61"/>
        <v/>
      </c>
      <c r="FE13" s="11" t="str">
        <f t="shared" si="62"/>
        <v/>
      </c>
      <c r="FF13" s="11" t="str">
        <f t="shared" si="63"/>
        <v/>
      </c>
      <c r="FG13" s="11" t="str">
        <f t="shared" si="64"/>
        <v/>
      </c>
      <c r="FH13" s="11" t="str">
        <f t="shared" si="65"/>
        <v/>
      </c>
      <c r="FI13" s="11" t="str">
        <f t="shared" si="66"/>
        <v/>
      </c>
      <c r="FJ13" s="11" t="str">
        <f t="shared" si="67"/>
        <v/>
      </c>
      <c r="FK13" s="15">
        <v>1.5</v>
      </c>
      <c r="FL13" s="15">
        <v>1</v>
      </c>
      <c r="FM13" s="15">
        <v>2</v>
      </c>
      <c r="FN13" s="15">
        <v>1.65</v>
      </c>
      <c r="FO13" s="15">
        <v>0</v>
      </c>
      <c r="FP13" s="15">
        <v>2.4</v>
      </c>
      <c r="FQ13" s="15">
        <v>1.6</v>
      </c>
      <c r="FR13" s="15">
        <v>3.5</v>
      </c>
      <c r="FS13" s="15">
        <v>3.19</v>
      </c>
      <c r="FT13" s="15">
        <v>0</v>
      </c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36">
        <f t="shared" si="68"/>
        <v>2</v>
      </c>
      <c r="GF13" s="36">
        <f t="shared" si="69"/>
        <v>1.65</v>
      </c>
      <c r="GG13" s="36">
        <f t="shared" si="70"/>
        <v>6.15</v>
      </c>
      <c r="GH13" s="36">
        <f t="shared" si="71"/>
        <v>3.5</v>
      </c>
      <c r="GI13" s="36">
        <f t="shared" si="72"/>
        <v>3.19</v>
      </c>
      <c r="GJ13" s="36">
        <f t="shared" si="73"/>
        <v>10.69</v>
      </c>
      <c r="GK13" s="36">
        <f t="shared" si="74"/>
        <v>10.69</v>
      </c>
      <c r="GL13" s="36" t="str">
        <f t="shared" si="75"/>
        <v/>
      </c>
      <c r="GM13" s="36" t="str">
        <f t="shared" si="76"/>
        <v/>
      </c>
      <c r="GN13" s="36" t="str">
        <f t="shared" si="77"/>
        <v/>
      </c>
      <c r="GO13" s="36" t="str">
        <f t="shared" si="78"/>
        <v/>
      </c>
      <c r="GP13" s="36" t="str">
        <f t="shared" si="79"/>
        <v/>
      </c>
      <c r="GQ13" s="36" t="str">
        <f t="shared" si="80"/>
        <v/>
      </c>
      <c r="GR13" s="36">
        <f t="shared" si="81"/>
        <v>10.69</v>
      </c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1" t="str">
        <f t="shared" si="82"/>
        <v/>
      </c>
      <c r="HN13" s="11" t="str">
        <f t="shared" si="83"/>
        <v/>
      </c>
      <c r="HO13" s="11" t="str">
        <f t="shared" si="84"/>
        <v/>
      </c>
      <c r="HP13" s="11" t="str">
        <f t="shared" si="85"/>
        <v/>
      </c>
      <c r="HQ13" s="11" t="str">
        <f t="shared" si="86"/>
        <v/>
      </c>
      <c r="HR13" s="11" t="str">
        <f t="shared" si="87"/>
        <v/>
      </c>
      <c r="HS13" s="11" t="str">
        <f t="shared" si="88"/>
        <v/>
      </c>
      <c r="HT13" s="11" t="str">
        <f t="shared" si="89"/>
        <v/>
      </c>
      <c r="HU13" s="11" t="str">
        <f t="shared" si="90"/>
        <v/>
      </c>
      <c r="HV13" s="11" t="str">
        <f t="shared" si="91"/>
        <v/>
      </c>
      <c r="HW13" s="11" t="str">
        <f t="shared" si="92"/>
        <v/>
      </c>
      <c r="HX13" s="11" t="str">
        <f t="shared" si="93"/>
        <v/>
      </c>
      <c r="HY13" s="11" t="str">
        <f t="shared" si="94"/>
        <v/>
      </c>
      <c r="HZ13" s="11" t="str">
        <f t="shared" si="95"/>
        <v/>
      </c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36" t="str">
        <f t="shared" si="96"/>
        <v/>
      </c>
      <c r="IV13" s="36" t="str">
        <f t="shared" si="97"/>
        <v/>
      </c>
      <c r="IW13" s="36" t="str">
        <f t="shared" si="98"/>
        <v/>
      </c>
      <c r="IX13" s="36" t="str">
        <f t="shared" si="99"/>
        <v/>
      </c>
      <c r="IY13" s="36" t="str">
        <f t="shared" si="100"/>
        <v/>
      </c>
      <c r="IZ13" s="36" t="str">
        <f t="shared" si="101"/>
        <v/>
      </c>
      <c r="JA13" s="36" t="str">
        <f t="shared" si="102"/>
        <v/>
      </c>
      <c r="JB13" s="36" t="str">
        <f t="shared" si="103"/>
        <v/>
      </c>
      <c r="JC13" s="36" t="str">
        <f t="shared" si="104"/>
        <v/>
      </c>
      <c r="JD13" s="36" t="str">
        <f t="shared" si="105"/>
        <v/>
      </c>
      <c r="JE13" s="36" t="str">
        <f t="shared" si="106"/>
        <v/>
      </c>
      <c r="JF13" s="36" t="str">
        <f t="shared" si="107"/>
        <v/>
      </c>
      <c r="JG13" s="36" t="str">
        <f t="shared" si="108"/>
        <v/>
      </c>
      <c r="JH13" s="36" t="str">
        <f t="shared" si="109"/>
        <v/>
      </c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1" t="str">
        <f t="shared" si="110"/>
        <v/>
      </c>
      <c r="KD13" s="11" t="str">
        <f t="shared" si="111"/>
        <v/>
      </c>
      <c r="KE13" s="11" t="str">
        <f t="shared" si="112"/>
        <v/>
      </c>
      <c r="KF13" s="11" t="str">
        <f t="shared" si="113"/>
        <v/>
      </c>
      <c r="KG13" s="11" t="str">
        <f t="shared" si="114"/>
        <v/>
      </c>
      <c r="KH13" s="11" t="str">
        <f t="shared" si="115"/>
        <v/>
      </c>
      <c r="KI13" s="11" t="str">
        <f t="shared" si="116"/>
        <v/>
      </c>
      <c r="KJ13" s="11" t="str">
        <f t="shared" si="117"/>
        <v/>
      </c>
      <c r="KK13" s="11" t="str">
        <f t="shared" si="118"/>
        <v/>
      </c>
      <c r="KL13" s="11" t="str">
        <f t="shared" si="119"/>
        <v/>
      </c>
      <c r="KM13" s="11" t="str">
        <f t="shared" si="120"/>
        <v/>
      </c>
      <c r="KN13" s="11" t="str">
        <f t="shared" si="121"/>
        <v/>
      </c>
      <c r="KO13" s="11" t="str">
        <f t="shared" si="122"/>
        <v/>
      </c>
      <c r="KP13" s="11" t="str">
        <f t="shared" si="123"/>
        <v/>
      </c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36" t="str">
        <f t="shared" si="124"/>
        <v/>
      </c>
      <c r="LL13" s="36" t="str">
        <f t="shared" si="125"/>
        <v/>
      </c>
      <c r="LM13" s="36" t="str">
        <f t="shared" si="126"/>
        <v/>
      </c>
      <c r="LN13" s="36" t="str">
        <f t="shared" si="127"/>
        <v/>
      </c>
      <c r="LO13" s="36" t="str">
        <f t="shared" si="128"/>
        <v/>
      </c>
      <c r="LP13" s="36" t="str">
        <f t="shared" si="129"/>
        <v/>
      </c>
      <c r="LQ13" s="36" t="str">
        <f t="shared" si="130"/>
        <v/>
      </c>
      <c r="LR13" s="36" t="str">
        <f t="shared" si="131"/>
        <v/>
      </c>
      <c r="LS13" s="36" t="str">
        <f t="shared" si="132"/>
        <v/>
      </c>
      <c r="LT13" s="36" t="str">
        <f t="shared" si="133"/>
        <v/>
      </c>
      <c r="LU13" s="36" t="str">
        <f t="shared" si="134"/>
        <v/>
      </c>
      <c r="LV13" s="36" t="str">
        <f t="shared" si="135"/>
        <v/>
      </c>
      <c r="LW13" s="36" t="str">
        <f t="shared" si="136"/>
        <v/>
      </c>
      <c r="LX13" s="36" t="str">
        <f t="shared" si="137"/>
        <v/>
      </c>
      <c r="LY13" s="16"/>
      <c r="LZ13" s="16"/>
      <c r="MA13" s="16"/>
      <c r="MB13" s="16"/>
      <c r="MC13" s="16"/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1" t="str">
        <f t="shared" si="138"/>
        <v/>
      </c>
      <c r="MT13" s="11" t="str">
        <f t="shared" si="139"/>
        <v/>
      </c>
      <c r="MU13" s="11" t="str">
        <f t="shared" si="140"/>
        <v/>
      </c>
      <c r="MV13" s="11" t="str">
        <f t="shared" si="141"/>
        <v/>
      </c>
      <c r="MW13" s="11" t="str">
        <f t="shared" si="142"/>
        <v/>
      </c>
      <c r="MX13" s="11" t="str">
        <f t="shared" si="143"/>
        <v/>
      </c>
      <c r="MY13" s="11" t="str">
        <f t="shared" si="144"/>
        <v/>
      </c>
      <c r="MZ13" s="11" t="str">
        <f t="shared" si="145"/>
        <v/>
      </c>
      <c r="NA13" s="11" t="str">
        <f t="shared" si="146"/>
        <v/>
      </c>
      <c r="NB13" s="11" t="str">
        <f t="shared" si="147"/>
        <v/>
      </c>
      <c r="NC13" s="11" t="str">
        <f t="shared" si="148"/>
        <v/>
      </c>
      <c r="ND13" s="11" t="str">
        <f t="shared" si="149"/>
        <v/>
      </c>
      <c r="NE13" s="11" t="str">
        <f t="shared" si="150"/>
        <v/>
      </c>
      <c r="NF13" s="11" t="str">
        <f t="shared" si="151"/>
        <v/>
      </c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36" t="str">
        <f t="shared" si="152"/>
        <v/>
      </c>
      <c r="OB13" s="36" t="str">
        <f t="shared" si="153"/>
        <v/>
      </c>
      <c r="OC13" s="36" t="str">
        <f t="shared" si="154"/>
        <v/>
      </c>
      <c r="OD13" s="36" t="str">
        <f t="shared" si="155"/>
        <v/>
      </c>
      <c r="OE13" s="36" t="str">
        <f t="shared" si="156"/>
        <v/>
      </c>
      <c r="OF13" s="36" t="str">
        <f t="shared" si="157"/>
        <v/>
      </c>
      <c r="OG13" s="36" t="str">
        <f t="shared" si="158"/>
        <v/>
      </c>
      <c r="OH13" s="36" t="str">
        <f t="shared" si="159"/>
        <v/>
      </c>
      <c r="OI13" s="36" t="str">
        <f t="shared" si="160"/>
        <v/>
      </c>
      <c r="OJ13" s="36" t="str">
        <f t="shared" si="161"/>
        <v/>
      </c>
      <c r="OK13" s="36" t="str">
        <f t="shared" si="162"/>
        <v/>
      </c>
      <c r="OL13" s="36" t="str">
        <f t="shared" si="163"/>
        <v/>
      </c>
      <c r="OM13" s="36" t="str">
        <f t="shared" si="164"/>
        <v/>
      </c>
      <c r="ON13" s="36" t="str">
        <f t="shared" si="165"/>
        <v/>
      </c>
      <c r="OO13" s="16"/>
      <c r="OP13" s="16"/>
      <c r="OQ13" s="16"/>
      <c r="OR13" s="16"/>
      <c r="OS13" s="16"/>
      <c r="OT13" s="16"/>
      <c r="OU13" s="16"/>
      <c r="OV13" s="16"/>
      <c r="OW13" s="16"/>
      <c r="OX13" s="16"/>
      <c r="OY13" s="16"/>
      <c r="OZ13" s="16"/>
      <c r="PA13" s="16"/>
      <c r="PB13" s="16"/>
      <c r="PC13" s="16"/>
      <c r="PD13" s="16"/>
      <c r="PE13" s="16"/>
      <c r="PF13" s="16"/>
      <c r="PG13" s="16"/>
      <c r="PH13" s="16"/>
      <c r="PI13" s="11" t="str">
        <f t="shared" si="166"/>
        <v/>
      </c>
      <c r="PJ13" s="11" t="str">
        <f t="shared" si="167"/>
        <v/>
      </c>
      <c r="PK13" s="11" t="str">
        <f t="shared" si="168"/>
        <v/>
      </c>
      <c r="PL13" s="11" t="str">
        <f t="shared" si="169"/>
        <v/>
      </c>
      <c r="PM13" s="11" t="str">
        <f t="shared" si="170"/>
        <v/>
      </c>
      <c r="PN13" s="11" t="str">
        <f t="shared" si="171"/>
        <v/>
      </c>
      <c r="PO13" s="11" t="str">
        <f t="shared" si="172"/>
        <v/>
      </c>
      <c r="PP13" s="11" t="str">
        <f t="shared" si="173"/>
        <v/>
      </c>
      <c r="PQ13" s="11" t="str">
        <f t="shared" si="174"/>
        <v/>
      </c>
      <c r="PR13" s="11" t="str">
        <f t="shared" si="175"/>
        <v/>
      </c>
      <c r="PS13" s="11" t="str">
        <f t="shared" si="176"/>
        <v/>
      </c>
      <c r="PT13" s="11" t="str">
        <f t="shared" si="177"/>
        <v/>
      </c>
      <c r="PU13" s="11" t="str">
        <f t="shared" si="178"/>
        <v/>
      </c>
      <c r="PV13" s="11" t="str">
        <f t="shared" si="179"/>
        <v/>
      </c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36" t="str">
        <f t="shared" si="180"/>
        <v/>
      </c>
      <c r="QR13" s="36" t="str">
        <f t="shared" si="181"/>
        <v/>
      </c>
      <c r="QS13" s="36" t="str">
        <f t="shared" si="182"/>
        <v/>
      </c>
      <c r="QT13" s="36" t="str">
        <f t="shared" si="183"/>
        <v/>
      </c>
      <c r="QU13" s="36" t="str">
        <f t="shared" si="184"/>
        <v/>
      </c>
      <c r="QV13" s="36" t="str">
        <f t="shared" si="185"/>
        <v/>
      </c>
      <c r="QW13" s="36" t="str">
        <f t="shared" si="186"/>
        <v/>
      </c>
      <c r="QX13" s="36" t="str">
        <f t="shared" si="187"/>
        <v/>
      </c>
      <c r="QY13" s="36" t="str">
        <f t="shared" si="188"/>
        <v/>
      </c>
      <c r="QZ13" s="36" t="str">
        <f t="shared" si="189"/>
        <v/>
      </c>
      <c r="RA13" s="36" t="str">
        <f t="shared" si="190"/>
        <v/>
      </c>
      <c r="RB13" s="36" t="str">
        <f t="shared" si="191"/>
        <v/>
      </c>
      <c r="RC13" s="36" t="str">
        <f t="shared" si="192"/>
        <v/>
      </c>
      <c r="RD13" s="36" t="str">
        <f t="shared" si="193"/>
        <v/>
      </c>
      <c r="RE13" s="16"/>
      <c r="RF13" s="16"/>
      <c r="RG13" s="16"/>
      <c r="RH13" s="16"/>
      <c r="RI13" s="16"/>
      <c r="RJ13" s="16"/>
      <c r="RK13" s="16"/>
      <c r="RL13" s="16"/>
      <c r="RM13" s="16"/>
      <c r="RN13" s="16"/>
      <c r="RO13" s="16"/>
      <c r="RP13" s="16"/>
      <c r="RQ13" s="16"/>
      <c r="RR13" s="16"/>
      <c r="RS13" s="16"/>
      <c r="RT13" s="16"/>
      <c r="RU13" s="16"/>
      <c r="RV13" s="16"/>
      <c r="RW13" s="16"/>
      <c r="RX13" s="16"/>
      <c r="RY13" s="11" t="str">
        <f t="shared" si="194"/>
        <v/>
      </c>
      <c r="RZ13" s="11" t="str">
        <f t="shared" si="195"/>
        <v/>
      </c>
      <c r="SA13" s="11" t="str">
        <f t="shared" si="196"/>
        <v/>
      </c>
      <c r="SB13" s="11" t="str">
        <f t="shared" si="197"/>
        <v/>
      </c>
      <c r="SC13" s="11" t="str">
        <f t="shared" si="198"/>
        <v/>
      </c>
      <c r="SD13" s="11" t="str">
        <f t="shared" si="199"/>
        <v/>
      </c>
      <c r="SE13" s="11" t="str">
        <f t="shared" si="200"/>
        <v/>
      </c>
      <c r="SF13" s="11" t="str">
        <f t="shared" si="201"/>
        <v/>
      </c>
      <c r="SG13" s="11" t="str">
        <f t="shared" si="202"/>
        <v/>
      </c>
      <c r="SH13" s="11" t="str">
        <f t="shared" si="203"/>
        <v/>
      </c>
      <c r="SI13" s="11" t="str">
        <f t="shared" si="204"/>
        <v/>
      </c>
      <c r="SJ13" s="11" t="str">
        <f t="shared" si="205"/>
        <v/>
      </c>
      <c r="SK13" s="11" t="str">
        <f t="shared" si="206"/>
        <v/>
      </c>
      <c r="SL13" s="11" t="str">
        <f t="shared" si="207"/>
        <v/>
      </c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36" t="str">
        <f t="shared" si="208"/>
        <v/>
      </c>
      <c r="TH13" s="36" t="str">
        <f t="shared" si="209"/>
        <v/>
      </c>
      <c r="TI13" s="36" t="str">
        <f t="shared" si="210"/>
        <v/>
      </c>
      <c r="TJ13" s="36" t="str">
        <f t="shared" si="211"/>
        <v/>
      </c>
      <c r="TK13" s="36" t="str">
        <f t="shared" si="212"/>
        <v/>
      </c>
      <c r="TL13" s="36" t="str">
        <f t="shared" si="213"/>
        <v/>
      </c>
      <c r="TM13" s="36" t="str">
        <f t="shared" si="214"/>
        <v/>
      </c>
      <c r="TN13" s="36" t="str">
        <f t="shared" si="215"/>
        <v/>
      </c>
      <c r="TO13" s="36" t="str">
        <f t="shared" si="216"/>
        <v/>
      </c>
      <c r="TP13" s="36" t="str">
        <f t="shared" si="217"/>
        <v/>
      </c>
      <c r="TQ13" s="36" t="str">
        <f t="shared" si="218"/>
        <v/>
      </c>
      <c r="TR13" s="36" t="str">
        <f t="shared" si="219"/>
        <v/>
      </c>
      <c r="TS13" s="36" t="str">
        <f t="shared" si="220"/>
        <v/>
      </c>
      <c r="TT13" s="36" t="str">
        <f t="shared" si="221"/>
        <v/>
      </c>
      <c r="TU13" s="16"/>
      <c r="TV13" s="16"/>
      <c r="TW13" s="16"/>
      <c r="TX13" s="16"/>
      <c r="TY13" s="16"/>
      <c r="TZ13" s="16"/>
      <c r="UA13" s="16"/>
      <c r="UB13" s="16"/>
      <c r="UC13" s="16"/>
      <c r="UD13" s="16"/>
      <c r="UE13" s="16"/>
      <c r="UF13" s="16"/>
      <c r="UG13" s="16"/>
      <c r="UH13" s="16"/>
      <c r="UI13" s="16"/>
      <c r="UJ13" s="16"/>
      <c r="UK13" s="16"/>
      <c r="UL13" s="16"/>
      <c r="UM13" s="16"/>
      <c r="UN13" s="16"/>
      <c r="UO13" s="11" t="str">
        <f t="shared" si="222"/>
        <v/>
      </c>
      <c r="UP13" s="11" t="str">
        <f t="shared" si="223"/>
        <v/>
      </c>
      <c r="UQ13" s="11" t="str">
        <f t="shared" si="224"/>
        <v/>
      </c>
      <c r="UR13" s="11" t="str">
        <f t="shared" si="225"/>
        <v/>
      </c>
      <c r="US13" s="11" t="str">
        <f t="shared" si="226"/>
        <v/>
      </c>
      <c r="UT13" s="11" t="str">
        <f t="shared" si="227"/>
        <v/>
      </c>
      <c r="UU13" s="11" t="str">
        <f t="shared" si="228"/>
        <v/>
      </c>
      <c r="UV13" s="11" t="str">
        <f t="shared" si="229"/>
        <v/>
      </c>
      <c r="UW13" s="11" t="str">
        <f t="shared" si="230"/>
        <v/>
      </c>
      <c r="UX13" s="11" t="str">
        <f t="shared" si="231"/>
        <v/>
      </c>
      <c r="UY13" s="11" t="str">
        <f t="shared" si="232"/>
        <v/>
      </c>
      <c r="UZ13" s="11" t="str">
        <f t="shared" si="233"/>
        <v/>
      </c>
      <c r="VA13" s="11" t="str">
        <f t="shared" si="234"/>
        <v/>
      </c>
      <c r="VB13" s="11" t="str">
        <f t="shared" si="235"/>
        <v/>
      </c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36" t="str">
        <f t="shared" si="236"/>
        <v/>
      </c>
      <c r="VX13" s="36" t="str">
        <f t="shared" si="237"/>
        <v/>
      </c>
      <c r="VY13" s="36" t="str">
        <f t="shared" si="238"/>
        <v/>
      </c>
      <c r="VZ13" s="36" t="str">
        <f t="shared" si="239"/>
        <v/>
      </c>
      <c r="WA13" s="36" t="str">
        <f t="shared" si="240"/>
        <v/>
      </c>
      <c r="WB13" s="36" t="str">
        <f t="shared" si="241"/>
        <v/>
      </c>
      <c r="WC13" s="36" t="str">
        <f t="shared" si="242"/>
        <v/>
      </c>
      <c r="WD13" s="36" t="str">
        <f t="shared" si="243"/>
        <v/>
      </c>
      <c r="WE13" s="36" t="str">
        <f t="shared" si="244"/>
        <v/>
      </c>
      <c r="WF13" s="36" t="str">
        <f t="shared" si="245"/>
        <v/>
      </c>
      <c r="WG13" s="36" t="str">
        <f t="shared" si="246"/>
        <v/>
      </c>
      <c r="WH13" s="36" t="str">
        <f t="shared" si="247"/>
        <v/>
      </c>
      <c r="WI13" s="36" t="str">
        <f t="shared" si="248"/>
        <v/>
      </c>
      <c r="WJ13" s="36" t="str">
        <f t="shared" si="249"/>
        <v/>
      </c>
    </row>
    <row r="14" spans="1:608" x14ac:dyDescent="0.2">
      <c r="A14" s="4" t="str" cm="1">
        <f t="array" ref="A14">IF(AND(H14&lt;&gt;"",H14&lt;&gt;"No DD",I14&lt;&gt;"P"),SUMPRODUCT((H$4:H$28&lt;&gt;"")*(H$4:H$28&lt;&gt;"No DD")*(I$4:I$28&lt;&gt;"P")*(E$4:E$28&gt;E14))+1,IF(H14="No DD",SUMPRODUCT((H$4:H$28="No DD")*(I$4:I$28&lt;&gt;"P")*(E$4:E$28&gt;E14))+1+SUMPRODUCT((H$4:H$28&lt;&gt;"")*(I$4:I$28&lt;&gt;"P")*(H$4:H$28&lt;&gt;"No DD")),""))</f>
        <v/>
      </c>
      <c r="B14" s="5" t="s">
        <v>183</v>
      </c>
      <c r="C14" s="4" t="s">
        <v>6</v>
      </c>
      <c r="D14" s="4">
        <v>2006</v>
      </c>
      <c r="E14" s="9">
        <f t="shared" si="0"/>
        <v>104.77001047700537</v>
      </c>
      <c r="F14" s="3" t="str">
        <f>IF(OR(AND(AG14&gt;=AQ$30,AG14&lt;&gt;"",AI14&gt;=AQ$34,AI14&lt;&gt;"",AF14=""),AND(AJ14&gt;=AQ$30,AJ14&lt;&gt;"",AL14&gt;=AQ$34,AL14&lt;&gt;"",AF14=""),AND(AN14&gt;=AQ$30,AN14&lt;&gt;"",AP14&gt;=AQ$34,AP14&lt;&gt;"",AF14=""),AND(BH14&gt;=BR$30,BH14&lt;&gt;"",BJ14&gt;=BR$34,BJ14&lt;&gt;"",BG14=""),AND(BK14&gt;=BR$30,BK14&lt;&gt;"",BM14&gt;=BR$34,BM14&lt;&gt;"",BG14=""),AND(BO14&gt;=BR$30,BO14&lt;&gt;"",BQ14&gt;=BR$34,BQ14&lt;&gt;"",BG14=""),AND(CI14&gt;=CS$30,CI14&lt;&gt;"",CK14&gt;=CS$34,CK14&lt;&gt;"",CH14=""),AND(CL14&gt;=CS$30,CL14&lt;&gt;"",CN14&gt;=CS$34,CN14&lt;&gt;"",CH14=""),AND(CP14&gt;=CS$30,CP14&lt;&gt;"",CR14&gt;=CS$34,CR14&lt;&gt;"",CH14=""),AND(DO14&gt;=EB$30,DO14&lt;&gt;"",DQ14&gt;=EB$34,DQ14&lt;&gt;""),AND(DR14&gt;=EB$30,DR14&lt;&gt;"",DT14&gt;=EB$34,DT14&lt;&gt;""),AND(DV14&gt;=EB$30,DV14&lt;&gt;"",DX14&gt;=EB$34,DX14&lt;&gt;""),AND(DY14&gt;=EB$30,DY14&lt;&gt;"",EA14&gt;=EB$34,EA14&lt;&gt;""),AND(EW14&gt;=FJ$30,EW14&lt;&gt;"",EY14&gt;=FJ$34,EY14&lt;&gt;""),AND(EZ14&gt;=FJ$30,EZ14&lt;&gt;"",FB14&gt;=FJ$34,FB14&lt;&gt;""),AND(FD14&gt;=FJ$30,FD14&lt;&gt;"",FF14&gt;=FJ$34,FF14&lt;&gt;""),AND(FG14&gt;=FJ$30,FG14&lt;&gt;"",FI14&gt;=FJ$34,FI14&lt;&gt;""),AND(GE14&gt;=GR$30,GE14&lt;&gt;"",GG14&gt;=GR$34,GG14&lt;&gt;""),AND(GH14&gt;=GR$30,GH14&lt;&gt;"",GJ14&gt;=GR$34,GJ14&lt;&gt;""),AND(GL14&gt;=GR$30,GL14&lt;&gt;"",GN14&gt;=GR$34,GN14&lt;&gt;""),AND(GO14&gt;=GR$30,GO14&lt;&gt;"",GQ14&gt;=GR$34,GQ14&lt;&gt;""),AND(HM14&gt;=HZ$30,HM14&lt;&gt;"",HO14&gt;=HZ$34,HO14&lt;&gt;""),AND(HP14&gt;=HZ$30,HP14&lt;&gt;"",HR14&gt;=HZ$34,HR14&lt;&gt;""),AND(HT14&gt;=HZ$30,HT14&lt;&gt;"",HV14&gt;=HZ$34,HV14&lt;&gt;""),AND(HW14&gt;=HZ$30,HW14&lt;&gt;"",HY14&gt;=HZ$34,HY14&lt;&gt;""),AND(IU14&gt;=JH$30,IU14&lt;&gt;"",IW14&gt;=JH$34,IW14&lt;&gt;""),AND(IX14&gt;=JH$30,IX14&lt;&gt;"",IZ14&gt;=JH$34,IZ14&lt;&gt;""),AND(JB14&gt;=JH$30,JB14&lt;&gt;"",JD14&gt;=JH$34,JD14&lt;&gt;""),AND(JE14&gt;=JH$30,JE14&lt;&gt;"",JG14&gt;=JH$34,JG14&lt;&gt;""),AND(KC14&gt;=KP$30,KC14&lt;&gt;"",KE14&gt;=KP$34,KE14&lt;&gt;""),AND(KF14&gt;=KP$30,KF14&lt;&gt;"",KH14&gt;=KP$34,KH14&lt;&gt;""),AND(KJ14&gt;=KP$30,KJ14&lt;&gt;"",KL14&gt;=KP$34,KL14&lt;&gt;""),AND(KM14&gt;=KP$30,KM14&lt;&gt;"",KO14&gt;=KP$34,KO14&lt;&gt;""),AND(LK14&gt;=LX$30,LK14&lt;&gt;"",LM14&gt;=LX$34,LM14&lt;&gt;""),AND(LN14&gt;=LX$30,LN14&lt;&gt;"",LP14&gt;=LX$34,LP14&lt;&gt;""),AND(LR14&gt;=LX$30,LR14&lt;&gt;"",LT14&gt;=LX$34,LT14&lt;&gt;""),AND(LU14&gt;=LX$30,LU14&lt;&gt;"",LW14&gt;=LX$34,LW14&lt;&gt;""),AND(MS14&gt;=NF$30,MS14&lt;&gt;"",MU14&gt;=NF$34,MU14&lt;&gt;""),AND(MV14&gt;=NF$30,MV14&lt;&gt;"",MX14&gt;=NF$34,MX14&lt;&gt;""),AND(MZ14&gt;=NF$30,MZ14&lt;&gt;"",NB14&gt;=NF$34,NB14&lt;&gt;""),AND(NC14&gt;=NF$30,NC14&lt;&gt;"",NE14&gt;=NF$34,NE14&lt;&gt;""),AND(OA14&gt;=ON$30,OA14&lt;&gt;"",OC14&gt;=ON$34,OC14&lt;&gt;""),AND(OD14&gt;=ON$30,OD14&lt;&gt;"",OF14&gt;=ON$34,OF14&lt;&gt;""),AND(OH14&gt;=ON$30,OH14&lt;&gt;"",OJ14&gt;=ON$34,OJ14&lt;&gt;""),AND(OK14&gt;=ON$30,OK14&lt;&gt;"",OM14&gt;=ON$34,OM14&lt;&gt;""),AND(PI14&gt;=PV$30,PI14&lt;&gt;"",PK14&gt;=PV$34,PK14&lt;&gt;""),AND(PL14&gt;=PV$30,PL14&lt;&gt;"",PN14&gt;=PV$34,PN14&lt;&gt;""),AND(PP14&gt;=PV$30,PP14&lt;&gt;"",PR14&gt;=PV$34,PR14&lt;&gt;""),AND(PS14&gt;=PV$30,PS14&lt;&gt;"",PU14&gt;=PV$34,PU14&lt;&gt;""),AND(QQ14&gt;=RD$30,QQ14&lt;&gt;"",QS14&gt;=RD$34,QS14&lt;&gt;""),AND(QT14&gt;=RD$30,QT14&lt;&gt;"",QV14&gt;=RD$34,QV14&lt;&gt;""),AND(QX14&gt;=RD$30,QX14&lt;&gt;"",QZ14&gt;=RD$34,QZ14&lt;&gt;""),AND(RA14&gt;=RD$30,RA14&lt;&gt;"",RC14&gt;=RD$34,RC14&lt;&gt;""),AND(RY14&gt;=SL$30,RY14&lt;&gt;"",SA14&gt;=SL$34,SA14&lt;&gt;""),AND(SB14&gt;=SL$30,SB14&lt;&gt;"",SD14&gt;=SL$34,SD14&lt;&gt;""),AND(SF14&gt;=SL$30,SF14&lt;&gt;"",SH14&gt;=SL$34,SH14&lt;&gt;""),AND(SI14&gt;=SL$30,SI14&lt;&gt;"",SK14&gt;=SL$34,SK14&lt;&gt;""),AND(TG14&gt;=TT$30,TG14&lt;&gt;"",TI14&gt;=TT$34,TI14&lt;&gt;""),AND(TJ14&gt;=TT$30,TJ14&lt;&gt;"",TL14&gt;=TT$34,TL14&lt;&gt;""),AND(TN14&gt;=TT$30,TN14&lt;&gt;"",TP14&gt;=TT$34,TXN14&lt;&gt;""),AND(TQ14&gt;=TT$30,TQ14&lt;&gt;"",TS14&gt;=TT$34,TS14&lt;&gt;""),AND(UO14&gt;=VB$30,UO14&lt;&gt;"",UQ14&gt;=VB$34,UQ14&lt;&gt;""),AND(UR14&gt;=VB$30,UR14&lt;&gt;"",UT14&gt;=VB$34,UT14&lt;&gt;""),AND(UV14&gt;=VB$30,UV14&lt;&gt;"",UX14&gt;=VB$34,UX14&lt;&gt;""),AND(UY14&gt;=VB$30,UY14&lt;&gt;"",VA14&gt;=VB$34,VA14&lt;&gt;""),AND(VW14&gt;=WJ$30,VW14&lt;&gt;"",VY14&gt;=WJ$34,VY14&lt;&gt;""),AND(VZ14&gt;=WJ$30,VZ14&lt;&gt;"",WB14&gt;=WJ$34,WB14&lt;&gt;""),AND(WD14&gt;=WJ$30,WD14&lt;&gt;"",WF14&gt;=WJ$34,WF14&lt;&gt;""),AND(WG14&gt;=WJ$30,WG14&lt;&gt;"",WI14&gt;=WJ$34,WI14&lt;&gt;"")),"P","")</f>
        <v/>
      </c>
      <c r="G14" s="3" t="str">
        <f>IF(OR(AND(AI14&gt;=AQ$34,AI14&lt;&gt;"",AF14=""),AND(AL14&gt;=AQ$34,AL14&lt;&gt;"",AF14=""),AND(AP14&gt;=AQ$34,AP14&lt;&gt;"",AF14=""),AND(BJ14&gt;=BR$34,BJ14&lt;&gt;"",BG14=""),AND(BM14&gt;=BR$34,BM14&lt;&gt;"",BG14=""),AND(BQ14&gt;=BR$34,BQ14&lt;&gt;"",BG14=""),AND(CK14&gt;=CS$34,CK14&lt;&gt;"",CH14=""),AND(CN14&gt;=CS$34,CN14&lt;&gt;"",CH14=""),AND(CR14&gt;=CS$34,CR14&lt;&gt;"",CH14=""),AND(DQ14&gt;=EB$34,DQ14&lt;&gt;""),AND(DT14&gt;=EB$34,DT14&lt;&gt;""),AND(DX14&gt;=EB$34,DX14&lt;&gt;""),AND(EA14&gt;=EB$34,EA14&lt;&gt;""),AND(EY14&gt;=FJ$34,EY14&lt;&gt;""),AND(FB14&gt;=FJ$34,FB14&lt;&gt;""),AND(FF14&gt;=FJ$34,FF14&lt;&gt;""),AND(FI14&gt;=FJ$34,FI14&lt;&gt;""),AND(GG14&gt;=GR$34,GG14&lt;&gt;""),AND(GJ14&gt;=GR$34,GJ14&lt;&gt;""),AND(GN14&gt;=GR$34,GN14&lt;&gt;""),AND(GQ14&gt;=GR$34,GQ14&lt;&gt;""),AND(HO14&gt;=HZ$34,HO14&lt;&gt;""),AND(HR14&gt;=HZ$34,HR14&lt;&gt;""),AND(HV14&gt;=HZ$34,HV14&lt;&gt;""),AND(HY14&gt;=HZ$34,HY14&lt;&gt;""),AND(IW14&gt;=JH$34,IW14&lt;&gt;""),AND(IZ14&gt;=JH$34,IZ14&lt;&gt;""),AND(JD14&gt;=JH$34,JD14&lt;&gt;""),AND(JG14&gt;=JH$34,JG14&lt;&gt;""),AND(KE14&gt;=KP$34,KE14&lt;&gt;""),AND(KH14&gt;=KP$34,KH14&lt;&gt;""),AND(KL14&gt;=KP$34,KL14&lt;&gt;""),AND(KO14&gt;=KP$34,KO14&lt;&gt;""),AND(LM14&gt;=LX$34,LM14&lt;&gt;""),AND(LP14&gt;=LX$34,LP14&lt;&gt;""),AND(LT14&gt;=LX$34,LT14&lt;&gt;""),AND(LW14&gt;=LX$34,LW14&lt;&gt;""),AND(MU14&gt;=NF$34,MU14&lt;&gt;""),AND(MX14&gt;=NF$34,MX14&lt;&gt;""),AND(NB14&gt;=NF$34,NB14&lt;&gt;""),AND(NE14&gt;=NF$34,NE14&lt;&gt;""),AND(OC14&gt;=ON$34,OC14&lt;&gt;""),AND(OF14&gt;=ON$34,OF14&lt;&gt;""),AND(OJ14&gt;=ON$34,OJ14&lt;&gt;""),AND(OM14&gt;=ON$34,OM14&lt;&gt;""),AND(PK14&gt;=PV$34,PK14&lt;&gt;""),AND(PN14&gt;=PV$34,PN14&lt;&gt;""),AND(PR14&gt;=PV$34,PR14&lt;&gt;""),AND(PU14&gt;=PV$34,PU14&lt;&gt;""),AND(QS14&gt;=RD$34,QS14&lt;&gt;""),AND(QV14&gt;=RD$34,QV14&lt;&gt;""),AND(QZ14&gt;=RD$34,QZ14&lt;&gt;""),AND(RC14&gt;=RD$34,RC14&lt;&gt;""),AND(SA14&gt;=SL$34,SA14&lt;&gt;""),AND(SD14&gt;=SL$34,SD14&lt;&gt;""),AND(SH14&gt;=SL$34,SH14&lt;&gt;""),AND(SK14&gt;=SL$34,SK14&lt;&gt;""),AND(TI14&gt;=TT$34,TI14&lt;&gt;""),AND(TL14&gt;=TT$34,TL14&lt;&gt;""),AND(TP14&gt;=TT$34,TXN14&lt;&gt;""),AND(TS14&gt;=TT$34,TS14&lt;&gt;""),AND(UQ14&gt;=VB$34,UQ14&lt;&gt;""),AND(UT14&gt;=VB$34,UT14&lt;&gt;""),AND(UX14&gt;=VB$34,UX14&lt;&gt;""),AND(VA14&gt;=VB$34,VA14&lt;&gt;""),AND(VY14&gt;=WJ$34,VY14&lt;&gt;""),AND(WB14&gt;=WJ$34,WB14&lt;&gt;""),AND(WF14&gt;=WJ$34,WF14&lt;&gt;""),AND(WI14&gt;=WJ$34,WI14&lt;&gt;"")),"P","")</f>
        <v/>
      </c>
      <c r="H14" s="32" t="str">
        <f>IF(AND(G14="P",F14=""),"No DD",IF(OR(AND(AG14&gt;=AQ$33,AG14&lt;&gt;"",AI14&gt;=AQ$37,AI14&lt;&gt;"",AF14=""),AND(AJ14&gt;=AQ$33,AJ14&lt;&gt;"",AL14&gt;=AQ$37,AL14&lt;&gt;"",AF14=""),AND(AN14&gt;=AQ$33,AN14&lt;&gt;"",AP14&gt;=AQ$37,AP14&lt;&gt;"",AF14=""),AND(BH14&gt;=BR$33,BH14&lt;&gt;"",BJ14&gt;=BR$37,BJ14&lt;&gt;"",BG14=""),AND(BK14&gt;=BR$33,BK14&lt;&gt;"",BM14&gt;=BR$37,BM14&lt;&gt;"",BG14=""),AND(BO14&gt;=BR$33,BO14&lt;&gt;"",BQ14&gt;=BR$37,BQ14&lt;&gt;"",BG14=""),AND(CI14&gt;=CS$33,CI14&lt;&gt;"",CK14&gt;=CS$37,CK14&lt;&gt;"",CH14=""),AND(CL14&gt;=CS$33,CL14&lt;&gt;"",CN14&gt;=CS$37,CN14&lt;&gt;"",CH14=""),AND(CP14&gt;=CS$33,CP14&lt;&gt;"",CR14&gt;=CS$37,CR14&lt;&gt;"",CH14=""),AND(DO14&gt;=EB$33,DO14&lt;&gt;"",DQ14&gt;=EB$37,DQ14&lt;&gt;""),AND(DR14&gt;=EB$33,DR14&lt;&gt;"",DT14&gt;=EB$37,DT14&lt;&gt;""),AND(DV14&gt;=EB$33,DV14&lt;&gt;"",DX14&gt;=EB$37,DX14&lt;&gt;""),AND(DY14&gt;=EB$33,DY14&lt;&gt;"",EA14&gt;=EB$37,EA14&lt;&gt;""),AND(EW14&gt;=FJ$33,EW14&lt;&gt;"",EY14&gt;=FJ$37,EY14&lt;&gt;""),AND(EZ14&gt;=FJ$33,EZ14&lt;&gt;"",FB14&gt;=FJ$37,FB14&lt;&gt;""),AND(FD14&gt;=FJ$33,FD14&lt;&gt;"",FF14&gt;=FJ$37,FF14&lt;&gt;""),AND(FG14&gt;=FJ$33,FG14&lt;&gt;"",FI14&gt;=FJ$37,FI14&lt;&gt;""),AND(GE14&gt;=GR$33,GE14&lt;&gt;"",GG14&gt;=GR$37,GG14&lt;&gt;""),AND(GH14&gt;=GR$33,GH14&lt;&gt;"",GJ14&gt;=GR$37,GJ14&lt;&gt;""),AND(GL14&gt;=GR$33,GL14&lt;&gt;"",GN14&gt;=GR$37,GN14&lt;&gt;""),AND(GO14&gt;=GR$33,GO14&lt;&gt;"",GQ14&gt;=GR$37,GQ14&lt;&gt;""),AND(HM14&gt;=HZ$33,HM14&lt;&gt;"",HO14&gt;=HZ$37,HO14&lt;&gt;""),AND(HP14&gt;=HZ$33,HP14&lt;&gt;"",HR14&gt;=HZ$37,HR14&lt;&gt;""),AND(HT14&gt;=HZ$33,HT14&lt;&gt;"",HV14&gt;=HZ$37,HV14&lt;&gt;""),AND(HW14&gt;=HZ$33,HW14&lt;&gt;"",HY14&gt;=HZ$37,HY14&lt;&gt;""),AND(IU14&gt;=JH$33,IU14&lt;&gt;"",IW14&gt;=JH$37,IW14&lt;&gt;""),AND(IX14&gt;=JH$33,IX14&lt;&gt;"",IZ14&gt;=JH$37,IZ14&lt;&gt;""),AND(JB14&gt;=JH$33,JB14&lt;&gt;"",JD14&gt;=JH$37,JD14&lt;&gt;""),AND(JE14&gt;=JH$33,JE14&lt;&gt;"",JG14&gt;=JH$37,JG14&lt;&gt;""),AND(KC14&gt;=KP$33,KC14&lt;&gt;"",KE14&gt;=KP$37,KE14&lt;&gt;""),AND(KF14&gt;=KP$33,KF14&lt;&gt;"",KH14&gt;=KP$37,KH14&lt;&gt;""),AND(KJ14&gt;=KP$33,KJ14&lt;&gt;"",KL14&gt;=KP$37,KL14&lt;&gt;""),AND(KM14&gt;=KP$33,KM14&lt;&gt;"",KO14&gt;=KP$37,KO14&lt;&gt;""),AND(LK14&gt;=LX$33,LK14&lt;&gt;"",LM14&gt;=LX$37,LM14&lt;&gt;""),AND(LN14&gt;=LX$33,LN14&lt;&gt;"",LP14&gt;=LX$37,LP14&lt;&gt;""),AND(LR14&gt;=LX$33,LR14&lt;&gt;"",LT14&gt;=LX$37,LT14&lt;&gt;""),AND(LU14&gt;=LX$33,LU14&lt;&gt;"",LW14&gt;=LX$37,LW14&lt;&gt;""),AND(MS14&gt;=NF$33,MS14&lt;&gt;"",MU14&gt;=NF$37,MU14&lt;&gt;""),AND(MV14&gt;=NF$33,MV14&lt;&gt;"",MX14&gt;=NF$37,MX14&lt;&gt;""),AND(MZ14&gt;=NF$33,MZ14&lt;&gt;"",NB14&gt;=NF$37,NB14&lt;&gt;""),AND(NC14&gt;=NF$33,NC14&lt;&gt;"",NE14&gt;=NF$37,NE14&lt;&gt;""),AND(OA14&gt;=ON$33,OA14&lt;&gt;"",OC14&gt;=ON$37,OC14&lt;&gt;""),AND(OD14&gt;=ON$33,OD14&lt;&gt;"",OF14&gt;=ON$37,OF14&lt;&gt;""),AND(OH14&gt;=ON$33,OH14&lt;&gt;"",OJ14&gt;=ON$37,OJ14&lt;&gt;""),AND(OK14&gt;=ON$33,OK14&lt;&gt;"",OM14&gt;=ON$37,OM14&lt;&gt;""),AND(PI14&gt;=PV$33,PI14&lt;&gt;"",PK14&gt;=PV$37,PK14&lt;&gt;""),AND(PL14&gt;=PV$33,PL14&lt;&gt;"",PN14&gt;=PV$37,PN14&lt;&gt;""),AND(PP14&gt;=PV$33,PP14&lt;&gt;"",PR14&gt;=PV$37,PR14&lt;&gt;""),AND(PS14&gt;=PV$33,PS14&lt;&gt;"",PU14&gt;=PV$37,PU14&lt;&gt;""),AND(QQ14&gt;=RD$33,QQ14&lt;&gt;"",QS14&gt;=RD$37,QS14&lt;&gt;""),AND(QT14&gt;=RD$33,QT14&lt;&gt;"",QV14&gt;=RD$37,QV14&lt;&gt;""),AND(QX14&gt;=RD$33,QX14&lt;&gt;"",QZ14&gt;=RD$37,QZ14&lt;&gt;""),AND(RA14&gt;=RD$33,RA14&lt;&gt;"",RC14&gt;=RD$37,RC14&lt;&gt;""),AND(RY14&gt;=SL$33,RY14&lt;&gt;"",SA14&gt;=SL$37,SA14&lt;&gt;""),AND(SB14&gt;=SL$33,SB14&lt;&gt;"",SD14&gt;=SL$37,SD14&lt;&gt;""),AND(SF14&gt;=SL$33,SF14&lt;&gt;"",SH14&gt;=SL$37,SH14&lt;&gt;""),AND(SI14&gt;=SL$33,SI14&lt;&gt;"",SK14&gt;=SL$37,SK14&lt;&gt;""),AND(TG14&gt;=TT$33,TG14&lt;&gt;"",TI14&gt;=TT$37,TI14&lt;&gt;""),AND(TJ14&gt;=TT$33,TJ14&lt;&gt;"",TL14&gt;=TT$37,TL14&lt;&gt;""),AND(TN14&gt;=TT$33,TN14&lt;&gt;"",TP14&gt;=TT$357,TXN14&lt;&gt;""),AND(TQ14&gt;=TT$33,TQ14&lt;&gt;"",TS14&gt;=TT$37,TS14&lt;&gt;""),AND(UO14&gt;=VB$33,UO14&lt;&gt;"",UQ14&gt;=VB$37,UQ14&lt;&gt;""),AND(UR14&gt;=VB$33,UR14&lt;&gt;"",UT14&gt;=VB$37,UT14&lt;&gt;""),AND(UV14&gt;=VB$33,UV14&lt;&gt;"",UX14&gt;=VB$37,UX14&lt;&gt;""),AND(UY14&gt;=VB$33,UY14&lt;&gt;"",VA14&gt;=VB$37,VA14&lt;&gt;""),AND(VW14&gt;=WJ$33,VW14&lt;&gt;"",VY14&gt;=WJ$37,VY14&lt;&gt;""),AND(VZ14&gt;=WJ$33,VZ14&lt;&gt;"",WB14&gt;=WJ$37,WB14&lt;&gt;""),AND(WD14&gt;=WJ$33,WD14&lt;&gt;"",WF14&gt;=WJ$37,WF14&lt;&gt;""),AND(WG14&gt;=WJ$33,WG14&lt;&gt;"",WI14&gt;=WJ$37,WI14&lt;&gt;"")),"Merit",IF(OR(AND(AG14&gt;=AQ$32,AG14&lt;&gt;"",AI14&gt;=AQ$36,AI14&lt;&gt;"",AF14=""),AND(AJ14&gt;=AQ$32,AJ14&lt;&gt;"",AL14&gt;=AQ$36,AL14&lt;&gt;"",AF14=""),AND(AN14&gt;=AQ$32,AN14&lt;&gt;"",AP14&gt;=AQ$36,AP14&lt;&gt;"",AF14=""),AND(BH14&gt;=BR$32,BH14&lt;&gt;"",BJ14&gt;=BR$36,BJ14&lt;&gt;"",BG14=""),AND(BK14&gt;=BR$32,BK14&lt;&gt;"",BM14&gt;=BR$36,BM14&lt;&gt;"",BG14=""),AND(BO14&gt;=BR$32,BO14&lt;&gt;"",BQ14&gt;=BR$36,BQ14&lt;&gt;"",BG14=""),AND(CI14&gt;=CS$32,CI14&lt;&gt;"",CK14&gt;=CS$36,CK14&lt;&gt;"",CH14=""),AND(CL14&gt;=CS$32,CL14&lt;&gt;"",CN14&gt;=CS$36,CN14&lt;&gt;"",CH14=""),AND(CP14&gt;=CS$32,CP14&lt;&gt;"",CR14&gt;=CS$36,CR14&lt;&gt;"",CH14=""),AND(DO14&gt;=EB$32,DO14&lt;&gt;"",DQ14&gt;=EB$36,DQ14&lt;&gt;""),AND(DR14&gt;=EB$32,DR14&lt;&gt;"",DT14&gt;=EB$36,DT14&lt;&gt;""),AND(DV14&gt;=EB$32,DV14&lt;&gt;"",DX14&gt;=EB$36,DX14&lt;&gt;""),AND(DY14&gt;=EB$32,DY14&lt;&gt;"",EA14&gt;=EB$36,EA14&lt;&gt;""),AND(EW14&gt;=FJ$32,EW14&lt;&gt;"",EY14&gt;=FJ$36,EY14&lt;&gt;""),AND(EZ14&gt;=FJ$32,EZ14&lt;&gt;"",FB14&gt;=FJ$36,FB14&lt;&gt;""),AND(FD14&gt;=FJ$32,FD14&lt;&gt;"",FF14&gt;=FJ$36,FF14&lt;&gt;""),AND(FG14&gt;=FJ$32,FG14&lt;&gt;"",FI14&gt;=FJ$36,FI14&lt;&gt;""),AND(GE14&gt;=GR$32,GE14&lt;&gt;"",GG14&gt;=GR$36,GG14&lt;&gt;""),AND(GH14&gt;=GR$32,GH14&lt;&gt;"",GJ14&gt;=GR$36,GJ14&lt;&gt;""),AND(GL14&gt;=GR$32,GL14&lt;&gt;"",GN14&gt;=GR$36,GN14&lt;&gt;""),AND(GO14&gt;=GR$32,GO14&lt;&gt;"",GQ14&gt;=GR$36,GQ14&lt;&gt;""),AND(HM14&gt;=HZ$32,HM14&lt;&gt;"",HO14&gt;=HZ$36,HO14&lt;&gt;""),AND(HP14&gt;=HZ$32,HP14&lt;&gt;"",HR14&gt;=HZ$36,HR14&lt;&gt;""),AND(HT14&gt;=HZ$32,HT14&lt;&gt;"",HV14&gt;=HZ$36,HV14&lt;&gt;""),AND(HW14&gt;=HZ$32,HW14&lt;&gt;"",HY14&gt;=HZ$36,HY14&lt;&gt;""),AND(IU14&gt;=JH$32,IU14&lt;&gt;"",IW14&gt;=JH$36,IW14&lt;&gt;""),AND(IX14&gt;=JH$32,IX14&lt;&gt;"",IZ14&gt;=JH$36,IZ14&lt;&gt;""),AND(JB14&gt;=JH$32,JB14&lt;&gt;"",JD14&gt;=JH$36,JD14&lt;&gt;""),AND(JE14&gt;=JH$32,JE14&lt;&gt;"",JG14&gt;=JH$36,JG14&lt;&gt;""),AND(KC14&gt;=KP$32,KC14&lt;&gt;"",KE14&gt;=KP$36,KE14&lt;&gt;""),AND(KF14&gt;=KP$32,KF14&lt;&gt;"",KH14&gt;=KP$36,KH14&lt;&gt;""),AND(KJ14&gt;=KP$32,KJ14&lt;&gt;"",KL14&gt;=KP$36,KL14&lt;&gt;""),AND(KM14&gt;=KP$32,KM14&lt;&gt;"",KO14&gt;=KP$36,KO14&lt;&gt;""),AND(LK14&gt;=LX$32,LK14&lt;&gt;"",LM14&gt;=LX$36,LM14&lt;&gt;""),AND(LN14&gt;=LX$32,LN14&lt;&gt;"",LP14&gt;=LX$36,LP14&lt;&gt;""),AND(LR14&gt;=LX$32,LR14&lt;&gt;"",LT14&gt;=LX$36,LT14&lt;&gt;""),AND(LU14&gt;=LX$32,LU14&lt;&gt;"",LW14&gt;=LX$36,LW14&lt;&gt;""),AND(MS14&gt;=NF$32,MS14&lt;&gt;"",MU14&gt;=NF$36,MU14&lt;&gt;""),AND(MV14&gt;=NF$32,MV14&lt;&gt;"",MX14&gt;=NF$36,MX14&lt;&gt;""),AND(MZ14&gt;=NF$32,MZ14&lt;&gt;"",NB14&gt;=NF$36,NB14&lt;&gt;""),AND(NC14&gt;=NF$32,NC14&lt;&gt;"",NE14&gt;=NF$36,NE14&lt;&gt;""),AND(OA14&gt;=ON$32,OA14&lt;&gt;"",OC14&gt;=ON$36,OC14&lt;&gt;""),AND(OD14&gt;=ON$32,OD14&lt;&gt;"",OF14&gt;=ON$36,OF14&lt;&gt;""),AND(OH14&gt;=ON$32,OH14&lt;&gt;"",OJ14&gt;=ON$36,OJ14&lt;&gt;""),AND(OK14&gt;=ON$32,OK14&lt;&gt;"",OM14&gt;=ON$36,OM14&lt;&gt;""),AND(PI14&gt;=PV$32,PI14&lt;&gt;"",PK14&gt;=PV$36,PK14&lt;&gt;""),AND(PL14&gt;=PV$32,PL14&lt;&gt;"",PN14&gt;=PV$36,PN14&lt;&gt;""),AND(PP14&gt;=PV$32,PP14&lt;&gt;"",PR14&gt;=PV$36,PR14&lt;&gt;""),AND(PS14&gt;=PV$32,PS14&lt;&gt;"",PU14&gt;=PV$36,PU14&lt;&gt;""),AND(QQ14&gt;=RD$32,QQ14&lt;&gt;"",QS14&gt;=RD$36,QS14&lt;&gt;""),AND(QT14&gt;=RD$32,QT14&lt;&gt;"",QV14&gt;=RD$36,QV14&lt;&gt;""),AND(QX14&gt;=RD$32,QX14&lt;&gt;"",QZ14&gt;=RD$36,QZ14&lt;&gt;""),AND(RA14&gt;=RD$32,RA14&lt;&gt;"",RC14&gt;=RD$36,RC14&lt;&gt;""),AND(RY14&gt;=SL$32,RY14&lt;&gt;"",SA14&gt;=SL$36,SA14&lt;&gt;""),AND(SB14&gt;=SL$32,SB14&lt;&gt;"",SD14&gt;=SL$36,SD14&lt;&gt;""),AND(SF14&gt;=SL$32,SF14&lt;&gt;"",SH14&gt;=SL$36,SH14&lt;&gt;""),AND(SI14&gt;=SL$32,SI14&lt;&gt;"",SK14&gt;=SL$36,SK14&lt;&gt;""),AND(TG14&gt;=TT$32,TG14&lt;&gt;"",TI14&gt;=TT$36,TI14&lt;&gt;""),AND(TJ14&gt;=TT$32,TJ14&lt;&gt;"",TL14&gt;=TT$36,TL14&lt;&gt;""),AND(TN14&gt;=TT$32,TN14&lt;&gt;"",TP14&gt;=TT$36,TXN14&lt;&gt;""),AND(TQ14&gt;=TT$32,TQ14&lt;&gt;"",TS14&gt;=TT$36,TS14&lt;&gt;""),AND(UO14&gt;=VB$32,UO14&lt;&gt;"",UQ14&gt;=VB$36,UQ14&lt;&gt;""),AND(UR14&gt;=VB$32,UR14&lt;&gt;"",UT14&gt;=VB$36,UT14&lt;&gt;""),AND(UV14&gt;=VB$32,UV14&lt;&gt;"",UX14&gt;=VB$36,UX14&lt;&gt;""),AND(UY14&gt;=VB$32,UY14&lt;&gt;"",VA14&gt;=VB$36,VA14&lt;&gt;""),AND(VW14&gt;=WJ$32,VW14&lt;&gt;"",VY14&gt;=WJ$36,VY14&lt;&gt;""),AND(VZ14&gt;=WJ$32,VZ14&lt;&gt;"",WB14&gt;=WJ$36,WB14&lt;&gt;""),AND(WD14&gt;=WJ$32,WD14&lt;&gt;"",WF14&gt;=WJ$36,WF14&lt;&gt;""),AND(WG14&gt;=WJ$32,WG14&lt;&gt;"",WI14&gt;=WJ$36,WI14&lt;&gt;"")),"Excellence",IF(I14="P","National Team",IF(F14="P","National Team","")))))</f>
        <v/>
      </c>
      <c r="I14" s="3" t="str">
        <f>IF(COUNTIFS('Senior-M'!B:B,B14,'Senior-M'!A:A,"&lt;9",'Senior-M'!H:H,"&lt;&gt;"&amp;"No DD"),"P","")</f>
        <v/>
      </c>
      <c r="J14" s="8">
        <f t="shared" si="1"/>
        <v>53.7</v>
      </c>
      <c r="K14" s="8" t="str">
        <f t="shared" si="2"/>
        <v>2026 Elite Canada</v>
      </c>
      <c r="L14" s="8">
        <f>IFERROR(LARGE((AI14,AL14,AP14,BJ14,BM14,BQ14,CK14,CN14,CR14),2),0)</f>
        <v>51.069999999999993</v>
      </c>
      <c r="M14" s="8" t="str">
        <f t="shared" si="3"/>
        <v>2026 Elite Canada</v>
      </c>
      <c r="N14" s="8">
        <f t="shared" si="4"/>
        <v>0</v>
      </c>
      <c r="O14" s="11" t="str">
        <f>IF(N14=0,"",IF(N14=CT14,"("&amp;CT$2&amp;")",IF(N14=#REF!,"("&amp;#REF!&amp;")")))</f>
        <v/>
      </c>
      <c r="P14" s="8" t="str">
        <f t="shared" si="5"/>
        <v/>
      </c>
      <c r="Q14" s="18">
        <v>2.6</v>
      </c>
      <c r="R14" s="18">
        <v>1.8</v>
      </c>
      <c r="S14" s="18">
        <v>3.5</v>
      </c>
      <c r="T14" s="18">
        <v>3.06</v>
      </c>
      <c r="U14" s="18">
        <v>0.2</v>
      </c>
      <c r="V14" s="18">
        <v>12.4</v>
      </c>
      <c r="W14" s="18">
        <v>9.1999999999999993</v>
      </c>
      <c r="X14" s="18">
        <v>14.5</v>
      </c>
      <c r="Y14" s="18">
        <v>14.39</v>
      </c>
      <c r="Z14" s="18">
        <v>0</v>
      </c>
      <c r="AA14" s="18">
        <v>1.4</v>
      </c>
      <c r="AB14" s="18">
        <v>1</v>
      </c>
      <c r="AC14" s="18">
        <v>2</v>
      </c>
      <c r="AD14" s="18">
        <v>1.59</v>
      </c>
      <c r="AE14" s="18">
        <v>0</v>
      </c>
      <c r="AF14" s="23"/>
      <c r="AG14" s="34">
        <f t="shared" si="6"/>
        <v>3.5</v>
      </c>
      <c r="AH14" s="34">
        <f t="shared" si="7"/>
        <v>3.06</v>
      </c>
      <c r="AI14" s="36">
        <f t="shared" si="8"/>
        <v>10.760000000000002</v>
      </c>
      <c r="AJ14" s="36">
        <f t="shared" si="9"/>
        <v>14.5</v>
      </c>
      <c r="AK14" s="36">
        <f t="shared" si="10"/>
        <v>14.39</v>
      </c>
      <c r="AL14" s="36">
        <f t="shared" si="11"/>
        <v>50.49</v>
      </c>
      <c r="AM14" s="36">
        <f t="shared" si="12"/>
        <v>50.49</v>
      </c>
      <c r="AN14" s="36">
        <f t="shared" si="13"/>
        <v>2</v>
      </c>
      <c r="AO14" s="36">
        <f t="shared" si="14"/>
        <v>1.59</v>
      </c>
      <c r="AP14" s="36">
        <f t="shared" si="15"/>
        <v>5.99</v>
      </c>
      <c r="AQ14" s="36">
        <f t="shared" si="16"/>
        <v>56.480000000000004</v>
      </c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4"/>
      <c r="BH14" s="35" t="str">
        <f t="shared" si="17"/>
        <v/>
      </c>
      <c r="BI14" s="35" t="str">
        <f t="shared" si="18"/>
        <v/>
      </c>
      <c r="BJ14" s="11" t="str">
        <f t="shared" si="19"/>
        <v/>
      </c>
      <c r="BK14" s="11" t="str">
        <f t="shared" si="20"/>
        <v/>
      </c>
      <c r="BL14" s="11" t="str">
        <f t="shared" si="21"/>
        <v/>
      </c>
      <c r="BM14" s="11" t="str">
        <f t="shared" si="22"/>
        <v/>
      </c>
      <c r="BN14" s="11" t="str">
        <f t="shared" si="23"/>
        <v/>
      </c>
      <c r="BO14" s="11" t="str">
        <f t="shared" si="24"/>
        <v/>
      </c>
      <c r="BP14" s="11" t="str">
        <f t="shared" si="25"/>
        <v/>
      </c>
      <c r="BQ14" s="11" t="str">
        <f t="shared" si="26"/>
        <v/>
      </c>
      <c r="BR14" s="11" t="str">
        <f t="shared" si="27"/>
        <v/>
      </c>
      <c r="BS14" s="18">
        <v>13.6</v>
      </c>
      <c r="BT14" s="18">
        <v>9.1</v>
      </c>
      <c r="BU14" s="18">
        <v>13.6</v>
      </c>
      <c r="BV14" s="18">
        <v>14.73</v>
      </c>
      <c r="BW14" s="18">
        <v>0</v>
      </c>
      <c r="BX14" s="18">
        <v>14.7</v>
      </c>
      <c r="BY14" s="18">
        <v>9.5</v>
      </c>
      <c r="BZ14" s="18">
        <v>14.5</v>
      </c>
      <c r="CA14" s="18">
        <v>15.2</v>
      </c>
      <c r="CB14" s="18">
        <v>0.2</v>
      </c>
      <c r="CC14" s="18">
        <v>14</v>
      </c>
      <c r="CD14" s="18">
        <v>9</v>
      </c>
      <c r="CE14" s="18">
        <v>13.4</v>
      </c>
      <c r="CF14" s="18">
        <v>14.87</v>
      </c>
      <c r="CG14" s="18">
        <v>0.2</v>
      </c>
      <c r="CH14" s="23"/>
      <c r="CI14" s="34">
        <f t="shared" si="28"/>
        <v>13.6</v>
      </c>
      <c r="CJ14" s="34">
        <f t="shared" si="29"/>
        <v>14.73</v>
      </c>
      <c r="CK14" s="36">
        <f t="shared" si="30"/>
        <v>51.03</v>
      </c>
      <c r="CL14" s="36">
        <f t="shared" si="31"/>
        <v>14.5</v>
      </c>
      <c r="CM14" s="36">
        <f t="shared" si="32"/>
        <v>15.2</v>
      </c>
      <c r="CN14" s="36">
        <f t="shared" si="33"/>
        <v>53.7</v>
      </c>
      <c r="CO14" s="36">
        <f t="shared" si="34"/>
        <v>53.7</v>
      </c>
      <c r="CP14" s="36">
        <f t="shared" si="35"/>
        <v>13.4</v>
      </c>
      <c r="CQ14" s="36">
        <f t="shared" si="36"/>
        <v>14.87</v>
      </c>
      <c r="CR14" s="36">
        <f t="shared" si="37"/>
        <v>51.069999999999993</v>
      </c>
      <c r="CS14" s="36">
        <f t="shared" si="38"/>
        <v>104.77</v>
      </c>
      <c r="CT14" s="47" t="str">
        <f t="shared" si="39"/>
        <v/>
      </c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36" t="str">
        <f t="shared" si="40"/>
        <v/>
      </c>
      <c r="DP14" s="36" t="str">
        <f t="shared" si="41"/>
        <v/>
      </c>
      <c r="DQ14" s="36" t="str">
        <f t="shared" si="42"/>
        <v/>
      </c>
      <c r="DR14" s="36" t="str">
        <f t="shared" si="43"/>
        <v/>
      </c>
      <c r="DS14" s="36" t="str">
        <f t="shared" si="44"/>
        <v/>
      </c>
      <c r="DT14" s="36" t="str">
        <f t="shared" si="45"/>
        <v/>
      </c>
      <c r="DU14" s="36" t="str">
        <f t="shared" si="46"/>
        <v/>
      </c>
      <c r="DV14" s="36" t="str">
        <f t="shared" si="47"/>
        <v/>
      </c>
      <c r="DW14" s="36" t="str">
        <f t="shared" si="48"/>
        <v/>
      </c>
      <c r="DX14" s="36" t="str">
        <f t="shared" si="49"/>
        <v/>
      </c>
      <c r="DY14" s="36" t="str">
        <f t="shared" si="50"/>
        <v/>
      </c>
      <c r="DZ14" s="36" t="str">
        <f t="shared" si="51"/>
        <v/>
      </c>
      <c r="EA14" s="36" t="str">
        <f t="shared" si="52"/>
        <v/>
      </c>
      <c r="EB14" s="36" t="str">
        <f t="shared" si="53"/>
        <v/>
      </c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1" t="str">
        <f t="shared" si="54"/>
        <v/>
      </c>
      <c r="EX14" s="11" t="str">
        <f t="shared" si="55"/>
        <v/>
      </c>
      <c r="EY14" s="11" t="str">
        <f t="shared" si="56"/>
        <v/>
      </c>
      <c r="EZ14" s="11" t="str">
        <f t="shared" si="57"/>
        <v/>
      </c>
      <c r="FA14" s="11" t="str">
        <f t="shared" si="58"/>
        <v/>
      </c>
      <c r="FB14" s="11" t="str">
        <f t="shared" si="59"/>
        <v/>
      </c>
      <c r="FC14" s="11" t="str">
        <f t="shared" si="60"/>
        <v/>
      </c>
      <c r="FD14" s="11" t="str">
        <f t="shared" si="61"/>
        <v/>
      </c>
      <c r="FE14" s="11" t="str">
        <f t="shared" si="62"/>
        <v/>
      </c>
      <c r="FF14" s="11" t="str">
        <f t="shared" si="63"/>
        <v/>
      </c>
      <c r="FG14" s="11" t="str">
        <f t="shared" si="64"/>
        <v/>
      </c>
      <c r="FH14" s="11" t="str">
        <f t="shared" si="65"/>
        <v/>
      </c>
      <c r="FI14" s="11" t="str">
        <f t="shared" si="66"/>
        <v/>
      </c>
      <c r="FJ14" s="11" t="str">
        <f t="shared" si="67"/>
        <v/>
      </c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36" t="str">
        <f t="shared" si="68"/>
        <v/>
      </c>
      <c r="GF14" s="36" t="str">
        <f t="shared" si="69"/>
        <v/>
      </c>
      <c r="GG14" s="36" t="str">
        <f t="shared" si="70"/>
        <v/>
      </c>
      <c r="GH14" s="36" t="str">
        <f t="shared" si="71"/>
        <v/>
      </c>
      <c r="GI14" s="36" t="str">
        <f t="shared" si="72"/>
        <v/>
      </c>
      <c r="GJ14" s="36" t="str">
        <f t="shared" si="73"/>
        <v/>
      </c>
      <c r="GK14" s="36" t="str">
        <f t="shared" si="74"/>
        <v/>
      </c>
      <c r="GL14" s="36" t="str">
        <f t="shared" si="75"/>
        <v/>
      </c>
      <c r="GM14" s="36" t="str">
        <f t="shared" si="76"/>
        <v/>
      </c>
      <c r="GN14" s="36" t="str">
        <f t="shared" si="77"/>
        <v/>
      </c>
      <c r="GO14" s="36" t="str">
        <f t="shared" si="78"/>
        <v/>
      </c>
      <c r="GP14" s="36" t="str">
        <f t="shared" si="79"/>
        <v/>
      </c>
      <c r="GQ14" s="36" t="str">
        <f t="shared" si="80"/>
        <v/>
      </c>
      <c r="GR14" s="36" t="str">
        <f t="shared" si="81"/>
        <v/>
      </c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1" t="str">
        <f t="shared" si="82"/>
        <v/>
      </c>
      <c r="HN14" s="11" t="str">
        <f t="shared" si="83"/>
        <v/>
      </c>
      <c r="HO14" s="11" t="str">
        <f t="shared" si="84"/>
        <v/>
      </c>
      <c r="HP14" s="11" t="str">
        <f t="shared" si="85"/>
        <v/>
      </c>
      <c r="HQ14" s="11" t="str">
        <f t="shared" si="86"/>
        <v/>
      </c>
      <c r="HR14" s="11" t="str">
        <f t="shared" si="87"/>
        <v/>
      </c>
      <c r="HS14" s="11" t="str">
        <f t="shared" si="88"/>
        <v/>
      </c>
      <c r="HT14" s="11" t="str">
        <f t="shared" si="89"/>
        <v/>
      </c>
      <c r="HU14" s="11" t="str">
        <f t="shared" si="90"/>
        <v/>
      </c>
      <c r="HV14" s="11" t="str">
        <f t="shared" si="91"/>
        <v/>
      </c>
      <c r="HW14" s="11" t="str">
        <f t="shared" si="92"/>
        <v/>
      </c>
      <c r="HX14" s="11" t="str">
        <f t="shared" si="93"/>
        <v/>
      </c>
      <c r="HY14" s="11" t="str">
        <f t="shared" si="94"/>
        <v/>
      </c>
      <c r="HZ14" s="11" t="str">
        <f t="shared" si="95"/>
        <v/>
      </c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36" t="str">
        <f t="shared" si="96"/>
        <v/>
      </c>
      <c r="IV14" s="36" t="str">
        <f t="shared" si="97"/>
        <v/>
      </c>
      <c r="IW14" s="36" t="str">
        <f t="shared" si="98"/>
        <v/>
      </c>
      <c r="IX14" s="36" t="str">
        <f t="shared" si="99"/>
        <v/>
      </c>
      <c r="IY14" s="36" t="str">
        <f t="shared" si="100"/>
        <v/>
      </c>
      <c r="IZ14" s="36" t="str">
        <f t="shared" si="101"/>
        <v/>
      </c>
      <c r="JA14" s="36" t="str">
        <f t="shared" si="102"/>
        <v/>
      </c>
      <c r="JB14" s="36" t="str">
        <f t="shared" si="103"/>
        <v/>
      </c>
      <c r="JC14" s="36" t="str">
        <f t="shared" si="104"/>
        <v/>
      </c>
      <c r="JD14" s="36" t="str">
        <f t="shared" si="105"/>
        <v/>
      </c>
      <c r="JE14" s="36" t="str">
        <f t="shared" si="106"/>
        <v/>
      </c>
      <c r="JF14" s="36" t="str">
        <f t="shared" si="107"/>
        <v/>
      </c>
      <c r="JG14" s="36" t="str">
        <f t="shared" si="108"/>
        <v/>
      </c>
      <c r="JH14" s="36" t="str">
        <f t="shared" si="109"/>
        <v/>
      </c>
      <c r="JI14" s="16"/>
      <c r="JJ14" s="16"/>
      <c r="JK14" s="16"/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1" t="str">
        <f t="shared" si="110"/>
        <v/>
      </c>
      <c r="KD14" s="11" t="str">
        <f t="shared" si="111"/>
        <v/>
      </c>
      <c r="KE14" s="11" t="str">
        <f t="shared" si="112"/>
        <v/>
      </c>
      <c r="KF14" s="11" t="str">
        <f t="shared" si="113"/>
        <v/>
      </c>
      <c r="KG14" s="11" t="str">
        <f t="shared" si="114"/>
        <v/>
      </c>
      <c r="KH14" s="11" t="str">
        <f t="shared" si="115"/>
        <v/>
      </c>
      <c r="KI14" s="11" t="str">
        <f t="shared" si="116"/>
        <v/>
      </c>
      <c r="KJ14" s="11" t="str">
        <f t="shared" si="117"/>
        <v/>
      </c>
      <c r="KK14" s="11" t="str">
        <f t="shared" si="118"/>
        <v/>
      </c>
      <c r="KL14" s="11" t="str">
        <f t="shared" si="119"/>
        <v/>
      </c>
      <c r="KM14" s="11" t="str">
        <f t="shared" si="120"/>
        <v/>
      </c>
      <c r="KN14" s="11" t="str">
        <f t="shared" si="121"/>
        <v/>
      </c>
      <c r="KO14" s="11" t="str">
        <f t="shared" si="122"/>
        <v/>
      </c>
      <c r="KP14" s="11" t="str">
        <f t="shared" si="123"/>
        <v/>
      </c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36" t="str">
        <f t="shared" si="124"/>
        <v/>
      </c>
      <c r="LL14" s="36" t="str">
        <f t="shared" si="125"/>
        <v/>
      </c>
      <c r="LM14" s="36" t="str">
        <f t="shared" si="126"/>
        <v/>
      </c>
      <c r="LN14" s="36" t="str">
        <f t="shared" si="127"/>
        <v/>
      </c>
      <c r="LO14" s="36" t="str">
        <f t="shared" si="128"/>
        <v/>
      </c>
      <c r="LP14" s="36" t="str">
        <f t="shared" si="129"/>
        <v/>
      </c>
      <c r="LQ14" s="36" t="str">
        <f t="shared" si="130"/>
        <v/>
      </c>
      <c r="LR14" s="36" t="str">
        <f t="shared" si="131"/>
        <v/>
      </c>
      <c r="LS14" s="36" t="str">
        <f t="shared" si="132"/>
        <v/>
      </c>
      <c r="LT14" s="36" t="str">
        <f t="shared" si="133"/>
        <v/>
      </c>
      <c r="LU14" s="36" t="str">
        <f t="shared" si="134"/>
        <v/>
      </c>
      <c r="LV14" s="36" t="str">
        <f t="shared" si="135"/>
        <v/>
      </c>
      <c r="LW14" s="36" t="str">
        <f t="shared" si="136"/>
        <v/>
      </c>
      <c r="LX14" s="36" t="str">
        <f t="shared" si="137"/>
        <v/>
      </c>
      <c r="LY14" s="16"/>
      <c r="LZ14" s="16"/>
      <c r="MA14" s="16"/>
      <c r="MB14" s="16"/>
      <c r="MC14" s="16"/>
      <c r="MD14" s="16"/>
      <c r="ME14" s="16"/>
      <c r="MF14" s="16"/>
      <c r="MG14" s="16"/>
      <c r="MH14" s="16"/>
      <c r="MI14" s="16"/>
      <c r="MJ14" s="16"/>
      <c r="MK14" s="16"/>
      <c r="ML14" s="16"/>
      <c r="MM14" s="16"/>
      <c r="MN14" s="16"/>
      <c r="MO14" s="16"/>
      <c r="MP14" s="16"/>
      <c r="MQ14" s="16"/>
      <c r="MR14" s="16"/>
      <c r="MS14" s="11" t="str">
        <f t="shared" si="138"/>
        <v/>
      </c>
      <c r="MT14" s="11" t="str">
        <f t="shared" si="139"/>
        <v/>
      </c>
      <c r="MU14" s="11" t="str">
        <f t="shared" si="140"/>
        <v/>
      </c>
      <c r="MV14" s="11" t="str">
        <f t="shared" si="141"/>
        <v/>
      </c>
      <c r="MW14" s="11" t="str">
        <f t="shared" si="142"/>
        <v/>
      </c>
      <c r="MX14" s="11" t="str">
        <f t="shared" si="143"/>
        <v/>
      </c>
      <c r="MY14" s="11" t="str">
        <f t="shared" si="144"/>
        <v/>
      </c>
      <c r="MZ14" s="11" t="str">
        <f t="shared" si="145"/>
        <v/>
      </c>
      <c r="NA14" s="11" t="str">
        <f t="shared" si="146"/>
        <v/>
      </c>
      <c r="NB14" s="11" t="str">
        <f t="shared" si="147"/>
        <v/>
      </c>
      <c r="NC14" s="11" t="str">
        <f t="shared" si="148"/>
        <v/>
      </c>
      <c r="ND14" s="11" t="str">
        <f t="shared" si="149"/>
        <v/>
      </c>
      <c r="NE14" s="11" t="str">
        <f t="shared" si="150"/>
        <v/>
      </c>
      <c r="NF14" s="11" t="str">
        <f t="shared" si="151"/>
        <v/>
      </c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36" t="str">
        <f t="shared" si="152"/>
        <v/>
      </c>
      <c r="OB14" s="36" t="str">
        <f t="shared" si="153"/>
        <v/>
      </c>
      <c r="OC14" s="36" t="str">
        <f t="shared" si="154"/>
        <v/>
      </c>
      <c r="OD14" s="36" t="str">
        <f t="shared" si="155"/>
        <v/>
      </c>
      <c r="OE14" s="36" t="str">
        <f t="shared" si="156"/>
        <v/>
      </c>
      <c r="OF14" s="36" t="str">
        <f t="shared" si="157"/>
        <v/>
      </c>
      <c r="OG14" s="36" t="str">
        <f t="shared" si="158"/>
        <v/>
      </c>
      <c r="OH14" s="36" t="str">
        <f t="shared" si="159"/>
        <v/>
      </c>
      <c r="OI14" s="36" t="str">
        <f t="shared" si="160"/>
        <v/>
      </c>
      <c r="OJ14" s="36" t="str">
        <f t="shared" si="161"/>
        <v/>
      </c>
      <c r="OK14" s="36" t="str">
        <f t="shared" si="162"/>
        <v/>
      </c>
      <c r="OL14" s="36" t="str">
        <f t="shared" si="163"/>
        <v/>
      </c>
      <c r="OM14" s="36" t="str">
        <f t="shared" si="164"/>
        <v/>
      </c>
      <c r="ON14" s="36" t="str">
        <f t="shared" si="165"/>
        <v/>
      </c>
      <c r="OO14" s="16"/>
      <c r="OP14" s="16"/>
      <c r="OQ14" s="16"/>
      <c r="OR14" s="16"/>
      <c r="OS14" s="16"/>
      <c r="OT14" s="16"/>
      <c r="OU14" s="16"/>
      <c r="OV14" s="16"/>
      <c r="OW14" s="16"/>
      <c r="OX14" s="16"/>
      <c r="OY14" s="16"/>
      <c r="OZ14" s="16"/>
      <c r="PA14" s="16"/>
      <c r="PB14" s="16"/>
      <c r="PC14" s="16"/>
      <c r="PD14" s="16"/>
      <c r="PE14" s="16"/>
      <c r="PF14" s="16"/>
      <c r="PG14" s="16"/>
      <c r="PH14" s="16"/>
      <c r="PI14" s="11" t="str">
        <f t="shared" si="166"/>
        <v/>
      </c>
      <c r="PJ14" s="11" t="str">
        <f t="shared" si="167"/>
        <v/>
      </c>
      <c r="PK14" s="11" t="str">
        <f t="shared" si="168"/>
        <v/>
      </c>
      <c r="PL14" s="11" t="str">
        <f t="shared" si="169"/>
        <v/>
      </c>
      <c r="PM14" s="11" t="str">
        <f t="shared" si="170"/>
        <v/>
      </c>
      <c r="PN14" s="11" t="str">
        <f t="shared" si="171"/>
        <v/>
      </c>
      <c r="PO14" s="11" t="str">
        <f t="shared" si="172"/>
        <v/>
      </c>
      <c r="PP14" s="11" t="str">
        <f t="shared" si="173"/>
        <v/>
      </c>
      <c r="PQ14" s="11" t="str">
        <f t="shared" si="174"/>
        <v/>
      </c>
      <c r="PR14" s="11" t="str">
        <f t="shared" si="175"/>
        <v/>
      </c>
      <c r="PS14" s="11" t="str">
        <f t="shared" si="176"/>
        <v/>
      </c>
      <c r="PT14" s="11" t="str">
        <f t="shared" si="177"/>
        <v/>
      </c>
      <c r="PU14" s="11" t="str">
        <f t="shared" si="178"/>
        <v/>
      </c>
      <c r="PV14" s="11" t="str">
        <f t="shared" si="179"/>
        <v/>
      </c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36" t="str">
        <f t="shared" si="180"/>
        <v/>
      </c>
      <c r="QR14" s="36" t="str">
        <f t="shared" si="181"/>
        <v/>
      </c>
      <c r="QS14" s="36" t="str">
        <f t="shared" si="182"/>
        <v/>
      </c>
      <c r="QT14" s="36" t="str">
        <f t="shared" si="183"/>
        <v/>
      </c>
      <c r="QU14" s="36" t="str">
        <f t="shared" si="184"/>
        <v/>
      </c>
      <c r="QV14" s="36" t="str">
        <f t="shared" si="185"/>
        <v/>
      </c>
      <c r="QW14" s="36" t="str">
        <f t="shared" si="186"/>
        <v/>
      </c>
      <c r="QX14" s="36" t="str">
        <f t="shared" si="187"/>
        <v/>
      </c>
      <c r="QY14" s="36" t="str">
        <f t="shared" si="188"/>
        <v/>
      </c>
      <c r="QZ14" s="36" t="str">
        <f t="shared" si="189"/>
        <v/>
      </c>
      <c r="RA14" s="36" t="str">
        <f t="shared" si="190"/>
        <v/>
      </c>
      <c r="RB14" s="36" t="str">
        <f t="shared" si="191"/>
        <v/>
      </c>
      <c r="RC14" s="36" t="str">
        <f t="shared" si="192"/>
        <v/>
      </c>
      <c r="RD14" s="36" t="str">
        <f t="shared" si="193"/>
        <v/>
      </c>
      <c r="RE14" s="16"/>
      <c r="RF14" s="16"/>
      <c r="RG14" s="16"/>
      <c r="RH14" s="16"/>
      <c r="RI14" s="16"/>
      <c r="RJ14" s="16"/>
      <c r="RK14" s="16"/>
      <c r="RL14" s="16"/>
      <c r="RM14" s="16"/>
      <c r="RN14" s="16"/>
      <c r="RO14" s="16"/>
      <c r="RP14" s="16"/>
      <c r="RQ14" s="16"/>
      <c r="RR14" s="16"/>
      <c r="RS14" s="16"/>
      <c r="RT14" s="16"/>
      <c r="RU14" s="16"/>
      <c r="RV14" s="16"/>
      <c r="RW14" s="16"/>
      <c r="RX14" s="16"/>
      <c r="RY14" s="11" t="str">
        <f t="shared" si="194"/>
        <v/>
      </c>
      <c r="RZ14" s="11" t="str">
        <f t="shared" si="195"/>
        <v/>
      </c>
      <c r="SA14" s="11" t="str">
        <f t="shared" si="196"/>
        <v/>
      </c>
      <c r="SB14" s="11" t="str">
        <f t="shared" si="197"/>
        <v/>
      </c>
      <c r="SC14" s="11" t="str">
        <f t="shared" si="198"/>
        <v/>
      </c>
      <c r="SD14" s="11" t="str">
        <f t="shared" si="199"/>
        <v/>
      </c>
      <c r="SE14" s="11" t="str">
        <f t="shared" si="200"/>
        <v/>
      </c>
      <c r="SF14" s="11" t="str">
        <f t="shared" si="201"/>
        <v/>
      </c>
      <c r="SG14" s="11" t="str">
        <f t="shared" si="202"/>
        <v/>
      </c>
      <c r="SH14" s="11" t="str">
        <f t="shared" si="203"/>
        <v/>
      </c>
      <c r="SI14" s="11" t="str">
        <f t="shared" si="204"/>
        <v/>
      </c>
      <c r="SJ14" s="11" t="str">
        <f t="shared" si="205"/>
        <v/>
      </c>
      <c r="SK14" s="11" t="str">
        <f t="shared" si="206"/>
        <v/>
      </c>
      <c r="SL14" s="11" t="str">
        <f t="shared" si="207"/>
        <v/>
      </c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36" t="str">
        <f t="shared" si="208"/>
        <v/>
      </c>
      <c r="TH14" s="36" t="str">
        <f t="shared" si="209"/>
        <v/>
      </c>
      <c r="TI14" s="36" t="str">
        <f t="shared" si="210"/>
        <v/>
      </c>
      <c r="TJ14" s="36" t="str">
        <f t="shared" si="211"/>
        <v/>
      </c>
      <c r="TK14" s="36" t="str">
        <f t="shared" si="212"/>
        <v/>
      </c>
      <c r="TL14" s="36" t="str">
        <f t="shared" si="213"/>
        <v/>
      </c>
      <c r="TM14" s="36" t="str">
        <f t="shared" si="214"/>
        <v/>
      </c>
      <c r="TN14" s="36" t="str">
        <f t="shared" si="215"/>
        <v/>
      </c>
      <c r="TO14" s="36" t="str">
        <f t="shared" si="216"/>
        <v/>
      </c>
      <c r="TP14" s="36" t="str">
        <f t="shared" si="217"/>
        <v/>
      </c>
      <c r="TQ14" s="36" t="str">
        <f t="shared" si="218"/>
        <v/>
      </c>
      <c r="TR14" s="36" t="str">
        <f t="shared" si="219"/>
        <v/>
      </c>
      <c r="TS14" s="36" t="str">
        <f t="shared" si="220"/>
        <v/>
      </c>
      <c r="TT14" s="36" t="str">
        <f t="shared" si="221"/>
        <v/>
      </c>
      <c r="TU14" s="16"/>
      <c r="TV14" s="16"/>
      <c r="TW14" s="16"/>
      <c r="TX14" s="16"/>
      <c r="TY14" s="16"/>
      <c r="TZ14" s="16"/>
      <c r="UA14" s="16"/>
      <c r="UB14" s="16"/>
      <c r="UC14" s="16"/>
      <c r="UD14" s="16"/>
      <c r="UE14" s="16"/>
      <c r="UF14" s="16"/>
      <c r="UG14" s="16"/>
      <c r="UH14" s="16"/>
      <c r="UI14" s="16"/>
      <c r="UJ14" s="16"/>
      <c r="UK14" s="16"/>
      <c r="UL14" s="16"/>
      <c r="UM14" s="16"/>
      <c r="UN14" s="16"/>
      <c r="UO14" s="11" t="str">
        <f t="shared" si="222"/>
        <v/>
      </c>
      <c r="UP14" s="11" t="str">
        <f t="shared" si="223"/>
        <v/>
      </c>
      <c r="UQ14" s="11" t="str">
        <f t="shared" si="224"/>
        <v/>
      </c>
      <c r="UR14" s="11" t="str">
        <f t="shared" si="225"/>
        <v/>
      </c>
      <c r="US14" s="11" t="str">
        <f t="shared" si="226"/>
        <v/>
      </c>
      <c r="UT14" s="11" t="str">
        <f t="shared" si="227"/>
        <v/>
      </c>
      <c r="UU14" s="11" t="str">
        <f t="shared" si="228"/>
        <v/>
      </c>
      <c r="UV14" s="11" t="str">
        <f t="shared" si="229"/>
        <v/>
      </c>
      <c r="UW14" s="11" t="str">
        <f t="shared" si="230"/>
        <v/>
      </c>
      <c r="UX14" s="11" t="str">
        <f t="shared" si="231"/>
        <v/>
      </c>
      <c r="UY14" s="11" t="str">
        <f t="shared" si="232"/>
        <v/>
      </c>
      <c r="UZ14" s="11" t="str">
        <f t="shared" si="233"/>
        <v/>
      </c>
      <c r="VA14" s="11" t="str">
        <f t="shared" si="234"/>
        <v/>
      </c>
      <c r="VB14" s="11" t="str">
        <f t="shared" si="235"/>
        <v/>
      </c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36" t="str">
        <f t="shared" si="236"/>
        <v/>
      </c>
      <c r="VX14" s="36" t="str">
        <f t="shared" si="237"/>
        <v/>
      </c>
      <c r="VY14" s="36" t="str">
        <f t="shared" si="238"/>
        <v/>
      </c>
      <c r="VZ14" s="36" t="str">
        <f t="shared" si="239"/>
        <v/>
      </c>
      <c r="WA14" s="36" t="str">
        <f t="shared" si="240"/>
        <v/>
      </c>
      <c r="WB14" s="36" t="str">
        <f t="shared" si="241"/>
        <v/>
      </c>
      <c r="WC14" s="36" t="str">
        <f t="shared" si="242"/>
        <v/>
      </c>
      <c r="WD14" s="36" t="str">
        <f t="shared" si="243"/>
        <v/>
      </c>
      <c r="WE14" s="36" t="str">
        <f t="shared" si="244"/>
        <v/>
      </c>
      <c r="WF14" s="36" t="str">
        <f t="shared" si="245"/>
        <v/>
      </c>
      <c r="WG14" s="36" t="str">
        <f t="shared" si="246"/>
        <v/>
      </c>
      <c r="WH14" s="36" t="str">
        <f t="shared" si="247"/>
        <v/>
      </c>
      <c r="WI14" s="36" t="str">
        <f t="shared" si="248"/>
        <v/>
      </c>
      <c r="WJ14" s="36" t="str">
        <f t="shared" si="249"/>
        <v/>
      </c>
    </row>
    <row r="15" spans="1:608" x14ac:dyDescent="0.2">
      <c r="A15" s="4" t="str" cm="1">
        <f t="array" ref="A15">IF(AND(H15&lt;&gt;"",H15&lt;&gt;"No DD",I15&lt;&gt;"P"),SUMPRODUCT((H$4:H$28&lt;&gt;"")*(H$4:H$28&lt;&gt;"No DD")*(I$4:I$28&lt;&gt;"P")*(E$4:E$28&gt;E15))+1,IF(H15="No DD",SUMPRODUCT((H$4:H$28="No DD")*(I$4:I$28&lt;&gt;"P")*(E$4:E$28&gt;E15))+1+SUMPRODUCT((H$4:H$28&lt;&gt;"")*(I$4:I$28&lt;&gt;"P")*(H$4:H$28&lt;&gt;"No DD")),""))</f>
        <v/>
      </c>
      <c r="B15" s="5" t="s">
        <v>116</v>
      </c>
      <c r="C15" s="4" t="s">
        <v>5</v>
      </c>
      <c r="D15" s="4">
        <v>2007</v>
      </c>
      <c r="E15" s="9">
        <f t="shared" si="0"/>
        <v>104.37001043700528</v>
      </c>
      <c r="F15" s="3" t="str">
        <f>IF(OR(AND(AG15&gt;=AQ$30,AG15&lt;&gt;"",AI15&gt;=AQ$34,AI15&lt;&gt;"",AF15=""),AND(AJ15&gt;=AQ$30,AJ15&lt;&gt;"",AL15&gt;=AQ$34,AL15&lt;&gt;"",AF15=""),AND(AN15&gt;=AQ$30,AN15&lt;&gt;"",AP15&gt;=AQ$34,AP15&lt;&gt;"",AF15=""),AND(BH15&gt;=BR$30,BH15&lt;&gt;"",BJ15&gt;=BR$34,BJ15&lt;&gt;"",BG15=""),AND(BK15&gt;=BR$30,BK15&lt;&gt;"",BM15&gt;=BR$34,BM15&lt;&gt;"",BG15=""),AND(BO15&gt;=BR$30,BO15&lt;&gt;"",BQ15&gt;=BR$34,BQ15&lt;&gt;"",BG15=""),AND(CI15&gt;=CS$30,CI15&lt;&gt;"",CK15&gt;=CS$34,CK15&lt;&gt;"",CH15=""),AND(CL15&gt;=CS$30,CL15&lt;&gt;"",CN15&gt;=CS$34,CN15&lt;&gt;"",CH15=""),AND(CP15&gt;=CS$30,CP15&lt;&gt;"",CR15&gt;=CS$34,CR15&lt;&gt;"",CH15=""),AND(DO15&gt;=EB$30,DO15&lt;&gt;"",DQ15&gt;=EB$34,DQ15&lt;&gt;""),AND(DR15&gt;=EB$30,DR15&lt;&gt;"",DT15&gt;=EB$34,DT15&lt;&gt;""),AND(DV15&gt;=EB$30,DV15&lt;&gt;"",DX15&gt;=EB$34,DX15&lt;&gt;""),AND(DY15&gt;=EB$30,DY15&lt;&gt;"",EA15&gt;=EB$34,EA15&lt;&gt;""),AND(EW15&gt;=FJ$30,EW15&lt;&gt;"",EY15&gt;=FJ$34,EY15&lt;&gt;""),AND(EZ15&gt;=FJ$30,EZ15&lt;&gt;"",FB15&gt;=FJ$34,FB15&lt;&gt;""),AND(FD15&gt;=FJ$30,FD15&lt;&gt;"",FF15&gt;=FJ$34,FF15&lt;&gt;""),AND(FG15&gt;=FJ$30,FG15&lt;&gt;"",FI15&gt;=FJ$34,FI15&lt;&gt;""),AND(GE15&gt;=GR$30,GE15&lt;&gt;"",GG15&gt;=GR$34,GG15&lt;&gt;""),AND(GH15&gt;=GR$30,GH15&lt;&gt;"",GJ15&gt;=GR$34,GJ15&lt;&gt;""),AND(GL15&gt;=GR$30,GL15&lt;&gt;"",GN15&gt;=GR$34,GN15&lt;&gt;""),AND(GO15&gt;=GR$30,GO15&lt;&gt;"",GQ15&gt;=GR$34,GQ15&lt;&gt;""),AND(HM15&gt;=HZ$30,HM15&lt;&gt;"",HO15&gt;=HZ$34,HO15&lt;&gt;""),AND(HP15&gt;=HZ$30,HP15&lt;&gt;"",HR15&gt;=HZ$34,HR15&lt;&gt;""),AND(HT15&gt;=HZ$30,HT15&lt;&gt;"",HV15&gt;=HZ$34,HV15&lt;&gt;""),AND(HW15&gt;=HZ$30,HW15&lt;&gt;"",HY15&gt;=HZ$34,HY15&lt;&gt;""),AND(IU15&gt;=JH$30,IU15&lt;&gt;"",IW15&gt;=JH$34,IW15&lt;&gt;""),AND(IX15&gt;=JH$30,IX15&lt;&gt;"",IZ15&gt;=JH$34,IZ15&lt;&gt;""),AND(JB15&gt;=JH$30,JB15&lt;&gt;"",JD15&gt;=JH$34,JD15&lt;&gt;""),AND(JE15&gt;=JH$30,JE15&lt;&gt;"",JG15&gt;=JH$34,JG15&lt;&gt;""),AND(KC15&gt;=KP$30,KC15&lt;&gt;"",KE15&gt;=KP$34,KE15&lt;&gt;""),AND(KF15&gt;=KP$30,KF15&lt;&gt;"",KH15&gt;=KP$34,KH15&lt;&gt;""),AND(KJ15&gt;=KP$30,KJ15&lt;&gt;"",KL15&gt;=KP$34,KL15&lt;&gt;""),AND(KM15&gt;=KP$30,KM15&lt;&gt;"",KO15&gt;=KP$34,KO15&lt;&gt;""),AND(LK15&gt;=LX$30,LK15&lt;&gt;"",LM15&gt;=LX$34,LM15&lt;&gt;""),AND(LN15&gt;=LX$30,LN15&lt;&gt;"",LP15&gt;=LX$34,LP15&lt;&gt;""),AND(LR15&gt;=LX$30,LR15&lt;&gt;"",LT15&gt;=LX$34,LT15&lt;&gt;""),AND(LU15&gt;=LX$30,LU15&lt;&gt;"",LW15&gt;=LX$34,LW15&lt;&gt;""),AND(MS15&gt;=NF$30,MS15&lt;&gt;"",MU15&gt;=NF$34,MU15&lt;&gt;""),AND(MV15&gt;=NF$30,MV15&lt;&gt;"",MX15&gt;=NF$34,MX15&lt;&gt;""),AND(MZ15&gt;=NF$30,MZ15&lt;&gt;"",NB15&gt;=NF$34,NB15&lt;&gt;""),AND(NC15&gt;=NF$30,NC15&lt;&gt;"",NE15&gt;=NF$34,NE15&lt;&gt;""),AND(OA15&gt;=ON$30,OA15&lt;&gt;"",OC15&gt;=ON$34,OC15&lt;&gt;""),AND(OD15&gt;=ON$30,OD15&lt;&gt;"",OF15&gt;=ON$34,OF15&lt;&gt;""),AND(OH15&gt;=ON$30,OH15&lt;&gt;"",OJ15&gt;=ON$34,OJ15&lt;&gt;""),AND(OK15&gt;=ON$30,OK15&lt;&gt;"",OM15&gt;=ON$34,OM15&lt;&gt;""),AND(PI15&gt;=PV$30,PI15&lt;&gt;"",PK15&gt;=PV$34,PK15&lt;&gt;""),AND(PL15&gt;=PV$30,PL15&lt;&gt;"",PN15&gt;=PV$34,PN15&lt;&gt;""),AND(PP15&gt;=PV$30,PP15&lt;&gt;"",PR15&gt;=PV$34,PR15&lt;&gt;""),AND(PS15&gt;=PV$30,PS15&lt;&gt;"",PU15&gt;=PV$34,PU15&lt;&gt;""),AND(QQ15&gt;=RD$30,QQ15&lt;&gt;"",QS15&gt;=RD$34,QS15&lt;&gt;""),AND(QT15&gt;=RD$30,QT15&lt;&gt;"",QV15&gt;=RD$34,QV15&lt;&gt;""),AND(QX15&gt;=RD$30,QX15&lt;&gt;"",QZ15&gt;=RD$34,QZ15&lt;&gt;""),AND(RA15&gt;=RD$30,RA15&lt;&gt;"",RC15&gt;=RD$34,RC15&lt;&gt;""),AND(RY15&gt;=SL$30,RY15&lt;&gt;"",SA15&gt;=SL$34,SA15&lt;&gt;""),AND(SB15&gt;=SL$30,SB15&lt;&gt;"",SD15&gt;=SL$34,SD15&lt;&gt;""),AND(SF15&gt;=SL$30,SF15&lt;&gt;"",SH15&gt;=SL$34,SH15&lt;&gt;""),AND(SI15&gt;=SL$30,SI15&lt;&gt;"",SK15&gt;=SL$34,SK15&lt;&gt;""),AND(TG15&gt;=TT$30,TG15&lt;&gt;"",TI15&gt;=TT$34,TI15&lt;&gt;""),AND(TJ15&gt;=TT$30,TJ15&lt;&gt;"",TL15&gt;=TT$34,TL15&lt;&gt;""),AND(TN15&gt;=TT$30,TN15&lt;&gt;"",TP15&gt;=TT$34,TXN15&lt;&gt;""),AND(TQ15&gt;=TT$30,TQ15&lt;&gt;"",TS15&gt;=TT$34,TS15&lt;&gt;""),AND(UO15&gt;=VB$30,UO15&lt;&gt;"",UQ15&gt;=VB$34,UQ15&lt;&gt;""),AND(UR15&gt;=VB$30,UR15&lt;&gt;"",UT15&gt;=VB$34,UT15&lt;&gt;""),AND(UV15&gt;=VB$30,UV15&lt;&gt;"",UX15&gt;=VB$34,UX15&lt;&gt;""),AND(UY15&gt;=VB$30,UY15&lt;&gt;"",VA15&gt;=VB$34,VA15&lt;&gt;""),AND(VW15&gt;=WJ$30,VW15&lt;&gt;"",VY15&gt;=WJ$34,VY15&lt;&gt;""),AND(VZ15&gt;=WJ$30,VZ15&lt;&gt;"",WB15&gt;=WJ$34,WB15&lt;&gt;""),AND(WD15&gt;=WJ$30,WD15&lt;&gt;"",WF15&gt;=WJ$34,WF15&lt;&gt;""),AND(WG15&gt;=WJ$30,WG15&lt;&gt;"",WI15&gt;=WJ$34,WI15&lt;&gt;"")),"P","")</f>
        <v/>
      </c>
      <c r="G15" s="3" t="str">
        <f>IF(OR(AND(AI15&gt;=AQ$34,AI15&lt;&gt;"",AF15=""),AND(AL15&gt;=AQ$34,AL15&lt;&gt;"",AF15=""),AND(AP15&gt;=AQ$34,AP15&lt;&gt;"",AF15=""),AND(BJ15&gt;=BR$34,BJ15&lt;&gt;"",BG15=""),AND(BM15&gt;=BR$34,BM15&lt;&gt;"",BG15=""),AND(BQ15&gt;=BR$34,BQ15&lt;&gt;"",BG15=""),AND(CK15&gt;=CS$34,CK15&lt;&gt;"",CH15=""),AND(CN15&gt;=CS$34,CN15&lt;&gt;"",CH15=""),AND(CR15&gt;=CS$34,CR15&lt;&gt;"",CH15=""),AND(DQ15&gt;=EB$34,DQ15&lt;&gt;""),AND(DT15&gt;=EB$34,DT15&lt;&gt;""),AND(DX15&gt;=EB$34,DX15&lt;&gt;""),AND(EA15&gt;=EB$34,EA15&lt;&gt;""),AND(EY15&gt;=FJ$34,EY15&lt;&gt;""),AND(FB15&gt;=FJ$34,FB15&lt;&gt;""),AND(FF15&gt;=FJ$34,FF15&lt;&gt;""),AND(FI15&gt;=FJ$34,FI15&lt;&gt;""),AND(GG15&gt;=GR$34,GG15&lt;&gt;""),AND(GJ15&gt;=GR$34,GJ15&lt;&gt;""),AND(GN15&gt;=GR$34,GN15&lt;&gt;""),AND(GQ15&gt;=GR$34,GQ15&lt;&gt;""),AND(HO15&gt;=HZ$34,HO15&lt;&gt;""),AND(HR15&gt;=HZ$34,HR15&lt;&gt;""),AND(HV15&gt;=HZ$34,HV15&lt;&gt;""),AND(HY15&gt;=HZ$34,HY15&lt;&gt;""),AND(IW15&gt;=JH$34,IW15&lt;&gt;""),AND(IZ15&gt;=JH$34,IZ15&lt;&gt;""),AND(JD15&gt;=JH$34,JD15&lt;&gt;""),AND(JG15&gt;=JH$34,JG15&lt;&gt;""),AND(KE15&gt;=KP$34,KE15&lt;&gt;""),AND(KH15&gt;=KP$34,KH15&lt;&gt;""),AND(KL15&gt;=KP$34,KL15&lt;&gt;""),AND(KO15&gt;=KP$34,KO15&lt;&gt;""),AND(LM15&gt;=LX$34,LM15&lt;&gt;""),AND(LP15&gt;=LX$34,LP15&lt;&gt;""),AND(LT15&gt;=LX$34,LT15&lt;&gt;""),AND(LW15&gt;=LX$34,LW15&lt;&gt;""),AND(MU15&gt;=NF$34,MU15&lt;&gt;""),AND(MX15&gt;=NF$34,MX15&lt;&gt;""),AND(NB15&gt;=NF$34,NB15&lt;&gt;""),AND(NE15&gt;=NF$34,NE15&lt;&gt;""),AND(OC15&gt;=ON$34,OC15&lt;&gt;""),AND(OF15&gt;=ON$34,OF15&lt;&gt;""),AND(OJ15&gt;=ON$34,OJ15&lt;&gt;""),AND(OM15&gt;=ON$34,OM15&lt;&gt;""),AND(PK15&gt;=PV$34,PK15&lt;&gt;""),AND(PN15&gt;=PV$34,PN15&lt;&gt;""),AND(PR15&gt;=PV$34,PR15&lt;&gt;""),AND(PU15&gt;=PV$34,PU15&lt;&gt;""),AND(QS15&gt;=RD$34,QS15&lt;&gt;""),AND(QV15&gt;=RD$34,QV15&lt;&gt;""),AND(QZ15&gt;=RD$34,QZ15&lt;&gt;""),AND(RC15&gt;=RD$34,RC15&lt;&gt;""),AND(SA15&gt;=SL$34,SA15&lt;&gt;""),AND(SD15&gt;=SL$34,SD15&lt;&gt;""),AND(SH15&gt;=SL$34,SH15&lt;&gt;""),AND(SK15&gt;=SL$34,SK15&lt;&gt;""),AND(TI15&gt;=TT$34,TI15&lt;&gt;""),AND(TL15&gt;=TT$34,TL15&lt;&gt;""),AND(TP15&gt;=TT$34,TXN15&lt;&gt;""),AND(TS15&gt;=TT$34,TS15&lt;&gt;""),AND(UQ15&gt;=VB$34,UQ15&lt;&gt;""),AND(UT15&gt;=VB$34,UT15&lt;&gt;""),AND(UX15&gt;=VB$34,UX15&lt;&gt;""),AND(VA15&gt;=VB$34,VA15&lt;&gt;""),AND(VY15&gt;=WJ$34,VY15&lt;&gt;""),AND(WB15&gt;=WJ$34,WB15&lt;&gt;""),AND(WF15&gt;=WJ$34,WF15&lt;&gt;""),AND(WI15&gt;=WJ$34,WI15&lt;&gt;"")),"P","")</f>
        <v/>
      </c>
      <c r="H15" s="32" t="str">
        <f>IF(AND(G15="P",F15=""),"No DD",IF(OR(AND(AG15&gt;=AQ$33,AG15&lt;&gt;"",AI15&gt;=AQ$37,AI15&lt;&gt;"",AF15=""),AND(AJ15&gt;=AQ$33,AJ15&lt;&gt;"",AL15&gt;=AQ$37,AL15&lt;&gt;"",AF15=""),AND(AN15&gt;=AQ$33,AN15&lt;&gt;"",AP15&gt;=AQ$37,AP15&lt;&gt;"",AF15=""),AND(BH15&gt;=BR$33,BH15&lt;&gt;"",BJ15&gt;=BR$37,BJ15&lt;&gt;"",BG15=""),AND(BK15&gt;=BR$33,BK15&lt;&gt;"",BM15&gt;=BR$37,BM15&lt;&gt;"",BG15=""),AND(BO15&gt;=BR$33,BO15&lt;&gt;"",BQ15&gt;=BR$37,BQ15&lt;&gt;"",BG15=""),AND(CI15&gt;=CS$33,CI15&lt;&gt;"",CK15&gt;=CS$37,CK15&lt;&gt;"",CH15=""),AND(CL15&gt;=CS$33,CL15&lt;&gt;"",CN15&gt;=CS$37,CN15&lt;&gt;"",CH15=""),AND(CP15&gt;=CS$33,CP15&lt;&gt;"",CR15&gt;=CS$37,CR15&lt;&gt;"",CH15=""),AND(DO15&gt;=EB$33,DO15&lt;&gt;"",DQ15&gt;=EB$37,DQ15&lt;&gt;""),AND(DR15&gt;=EB$33,DR15&lt;&gt;"",DT15&gt;=EB$37,DT15&lt;&gt;""),AND(DV15&gt;=EB$33,DV15&lt;&gt;"",DX15&gt;=EB$37,DX15&lt;&gt;""),AND(DY15&gt;=EB$33,DY15&lt;&gt;"",EA15&gt;=EB$37,EA15&lt;&gt;""),AND(EW15&gt;=FJ$33,EW15&lt;&gt;"",EY15&gt;=FJ$37,EY15&lt;&gt;""),AND(EZ15&gt;=FJ$33,EZ15&lt;&gt;"",FB15&gt;=FJ$37,FB15&lt;&gt;""),AND(FD15&gt;=FJ$33,FD15&lt;&gt;"",FF15&gt;=FJ$37,FF15&lt;&gt;""),AND(FG15&gt;=FJ$33,FG15&lt;&gt;"",FI15&gt;=FJ$37,FI15&lt;&gt;""),AND(GE15&gt;=GR$33,GE15&lt;&gt;"",GG15&gt;=GR$37,GG15&lt;&gt;""),AND(GH15&gt;=GR$33,GH15&lt;&gt;"",GJ15&gt;=GR$37,GJ15&lt;&gt;""),AND(GL15&gt;=GR$33,GL15&lt;&gt;"",GN15&gt;=GR$37,GN15&lt;&gt;""),AND(GO15&gt;=GR$33,GO15&lt;&gt;"",GQ15&gt;=GR$37,GQ15&lt;&gt;""),AND(HM15&gt;=HZ$33,HM15&lt;&gt;"",HO15&gt;=HZ$37,HO15&lt;&gt;""),AND(HP15&gt;=HZ$33,HP15&lt;&gt;"",HR15&gt;=HZ$37,HR15&lt;&gt;""),AND(HT15&gt;=HZ$33,HT15&lt;&gt;"",HV15&gt;=HZ$37,HV15&lt;&gt;""),AND(HW15&gt;=HZ$33,HW15&lt;&gt;"",HY15&gt;=HZ$37,HY15&lt;&gt;""),AND(IU15&gt;=JH$33,IU15&lt;&gt;"",IW15&gt;=JH$37,IW15&lt;&gt;""),AND(IX15&gt;=JH$33,IX15&lt;&gt;"",IZ15&gt;=JH$37,IZ15&lt;&gt;""),AND(JB15&gt;=JH$33,JB15&lt;&gt;"",JD15&gt;=JH$37,JD15&lt;&gt;""),AND(JE15&gt;=JH$33,JE15&lt;&gt;"",JG15&gt;=JH$37,JG15&lt;&gt;""),AND(KC15&gt;=KP$33,KC15&lt;&gt;"",KE15&gt;=KP$37,KE15&lt;&gt;""),AND(KF15&gt;=KP$33,KF15&lt;&gt;"",KH15&gt;=KP$37,KH15&lt;&gt;""),AND(KJ15&gt;=KP$33,KJ15&lt;&gt;"",KL15&gt;=KP$37,KL15&lt;&gt;""),AND(KM15&gt;=KP$33,KM15&lt;&gt;"",KO15&gt;=KP$37,KO15&lt;&gt;""),AND(LK15&gt;=LX$33,LK15&lt;&gt;"",LM15&gt;=LX$37,LM15&lt;&gt;""),AND(LN15&gt;=LX$33,LN15&lt;&gt;"",LP15&gt;=LX$37,LP15&lt;&gt;""),AND(LR15&gt;=LX$33,LR15&lt;&gt;"",LT15&gt;=LX$37,LT15&lt;&gt;""),AND(LU15&gt;=LX$33,LU15&lt;&gt;"",LW15&gt;=LX$37,LW15&lt;&gt;""),AND(MS15&gt;=NF$33,MS15&lt;&gt;"",MU15&gt;=NF$37,MU15&lt;&gt;""),AND(MV15&gt;=NF$33,MV15&lt;&gt;"",MX15&gt;=NF$37,MX15&lt;&gt;""),AND(MZ15&gt;=NF$33,MZ15&lt;&gt;"",NB15&gt;=NF$37,NB15&lt;&gt;""),AND(NC15&gt;=NF$33,NC15&lt;&gt;"",NE15&gt;=NF$37,NE15&lt;&gt;""),AND(OA15&gt;=ON$33,OA15&lt;&gt;"",OC15&gt;=ON$37,OC15&lt;&gt;""),AND(OD15&gt;=ON$33,OD15&lt;&gt;"",OF15&gt;=ON$37,OF15&lt;&gt;""),AND(OH15&gt;=ON$33,OH15&lt;&gt;"",OJ15&gt;=ON$37,OJ15&lt;&gt;""),AND(OK15&gt;=ON$33,OK15&lt;&gt;"",OM15&gt;=ON$37,OM15&lt;&gt;""),AND(PI15&gt;=PV$33,PI15&lt;&gt;"",PK15&gt;=PV$37,PK15&lt;&gt;""),AND(PL15&gt;=PV$33,PL15&lt;&gt;"",PN15&gt;=PV$37,PN15&lt;&gt;""),AND(PP15&gt;=PV$33,PP15&lt;&gt;"",PR15&gt;=PV$37,PR15&lt;&gt;""),AND(PS15&gt;=PV$33,PS15&lt;&gt;"",PU15&gt;=PV$37,PU15&lt;&gt;""),AND(QQ15&gt;=RD$33,QQ15&lt;&gt;"",QS15&gt;=RD$37,QS15&lt;&gt;""),AND(QT15&gt;=RD$33,QT15&lt;&gt;"",QV15&gt;=RD$37,QV15&lt;&gt;""),AND(QX15&gt;=RD$33,QX15&lt;&gt;"",QZ15&gt;=RD$37,QZ15&lt;&gt;""),AND(RA15&gt;=RD$33,RA15&lt;&gt;"",RC15&gt;=RD$37,RC15&lt;&gt;""),AND(RY15&gt;=SL$33,RY15&lt;&gt;"",SA15&gt;=SL$37,SA15&lt;&gt;""),AND(SB15&gt;=SL$33,SB15&lt;&gt;"",SD15&gt;=SL$37,SD15&lt;&gt;""),AND(SF15&gt;=SL$33,SF15&lt;&gt;"",SH15&gt;=SL$37,SH15&lt;&gt;""),AND(SI15&gt;=SL$33,SI15&lt;&gt;"",SK15&gt;=SL$37,SK15&lt;&gt;""),AND(TG15&gt;=TT$33,TG15&lt;&gt;"",TI15&gt;=TT$37,TI15&lt;&gt;""),AND(TJ15&gt;=TT$33,TJ15&lt;&gt;"",TL15&gt;=TT$37,TL15&lt;&gt;""),AND(TN15&gt;=TT$33,TN15&lt;&gt;"",TP15&gt;=TT$357,TXN15&lt;&gt;""),AND(TQ15&gt;=TT$33,TQ15&lt;&gt;"",TS15&gt;=TT$37,TS15&lt;&gt;""),AND(UO15&gt;=VB$33,UO15&lt;&gt;"",UQ15&gt;=VB$37,UQ15&lt;&gt;""),AND(UR15&gt;=VB$33,UR15&lt;&gt;"",UT15&gt;=VB$37,UT15&lt;&gt;""),AND(UV15&gt;=VB$33,UV15&lt;&gt;"",UX15&gt;=VB$37,UX15&lt;&gt;""),AND(UY15&gt;=VB$33,UY15&lt;&gt;"",VA15&gt;=VB$37,VA15&lt;&gt;""),AND(VW15&gt;=WJ$33,VW15&lt;&gt;"",VY15&gt;=WJ$37,VY15&lt;&gt;""),AND(VZ15&gt;=WJ$33,VZ15&lt;&gt;"",WB15&gt;=WJ$37,WB15&lt;&gt;""),AND(WD15&gt;=WJ$33,WD15&lt;&gt;"",WF15&gt;=WJ$37,WF15&lt;&gt;""),AND(WG15&gt;=WJ$33,WG15&lt;&gt;"",WI15&gt;=WJ$37,WI15&lt;&gt;"")),"Merit",IF(OR(AND(AG15&gt;=AQ$32,AG15&lt;&gt;"",AI15&gt;=AQ$36,AI15&lt;&gt;"",AF15=""),AND(AJ15&gt;=AQ$32,AJ15&lt;&gt;"",AL15&gt;=AQ$36,AL15&lt;&gt;"",AF15=""),AND(AN15&gt;=AQ$32,AN15&lt;&gt;"",AP15&gt;=AQ$36,AP15&lt;&gt;"",AF15=""),AND(BH15&gt;=BR$32,BH15&lt;&gt;"",BJ15&gt;=BR$36,BJ15&lt;&gt;"",BG15=""),AND(BK15&gt;=BR$32,BK15&lt;&gt;"",BM15&gt;=BR$36,BM15&lt;&gt;"",BG15=""),AND(BO15&gt;=BR$32,BO15&lt;&gt;"",BQ15&gt;=BR$36,BQ15&lt;&gt;"",BG15=""),AND(CI15&gt;=CS$32,CI15&lt;&gt;"",CK15&gt;=CS$36,CK15&lt;&gt;"",CH15=""),AND(CL15&gt;=CS$32,CL15&lt;&gt;"",CN15&gt;=CS$36,CN15&lt;&gt;"",CH15=""),AND(CP15&gt;=CS$32,CP15&lt;&gt;"",CR15&gt;=CS$36,CR15&lt;&gt;"",CH15=""),AND(DO15&gt;=EB$32,DO15&lt;&gt;"",DQ15&gt;=EB$36,DQ15&lt;&gt;""),AND(DR15&gt;=EB$32,DR15&lt;&gt;"",DT15&gt;=EB$36,DT15&lt;&gt;""),AND(DV15&gt;=EB$32,DV15&lt;&gt;"",DX15&gt;=EB$36,DX15&lt;&gt;""),AND(DY15&gt;=EB$32,DY15&lt;&gt;"",EA15&gt;=EB$36,EA15&lt;&gt;""),AND(EW15&gt;=FJ$32,EW15&lt;&gt;"",EY15&gt;=FJ$36,EY15&lt;&gt;""),AND(EZ15&gt;=FJ$32,EZ15&lt;&gt;"",FB15&gt;=FJ$36,FB15&lt;&gt;""),AND(FD15&gt;=FJ$32,FD15&lt;&gt;"",FF15&gt;=FJ$36,FF15&lt;&gt;""),AND(FG15&gt;=FJ$32,FG15&lt;&gt;"",FI15&gt;=FJ$36,FI15&lt;&gt;""),AND(GE15&gt;=GR$32,GE15&lt;&gt;"",GG15&gt;=GR$36,GG15&lt;&gt;""),AND(GH15&gt;=GR$32,GH15&lt;&gt;"",GJ15&gt;=GR$36,GJ15&lt;&gt;""),AND(GL15&gt;=GR$32,GL15&lt;&gt;"",GN15&gt;=GR$36,GN15&lt;&gt;""),AND(GO15&gt;=GR$32,GO15&lt;&gt;"",GQ15&gt;=GR$36,GQ15&lt;&gt;""),AND(HM15&gt;=HZ$32,HM15&lt;&gt;"",HO15&gt;=HZ$36,HO15&lt;&gt;""),AND(HP15&gt;=HZ$32,HP15&lt;&gt;"",HR15&gt;=HZ$36,HR15&lt;&gt;""),AND(HT15&gt;=HZ$32,HT15&lt;&gt;"",HV15&gt;=HZ$36,HV15&lt;&gt;""),AND(HW15&gt;=HZ$32,HW15&lt;&gt;"",HY15&gt;=HZ$36,HY15&lt;&gt;""),AND(IU15&gt;=JH$32,IU15&lt;&gt;"",IW15&gt;=JH$36,IW15&lt;&gt;""),AND(IX15&gt;=JH$32,IX15&lt;&gt;"",IZ15&gt;=JH$36,IZ15&lt;&gt;""),AND(JB15&gt;=JH$32,JB15&lt;&gt;"",JD15&gt;=JH$36,JD15&lt;&gt;""),AND(JE15&gt;=JH$32,JE15&lt;&gt;"",JG15&gt;=JH$36,JG15&lt;&gt;""),AND(KC15&gt;=KP$32,KC15&lt;&gt;"",KE15&gt;=KP$36,KE15&lt;&gt;""),AND(KF15&gt;=KP$32,KF15&lt;&gt;"",KH15&gt;=KP$36,KH15&lt;&gt;""),AND(KJ15&gt;=KP$32,KJ15&lt;&gt;"",KL15&gt;=KP$36,KL15&lt;&gt;""),AND(KM15&gt;=KP$32,KM15&lt;&gt;"",KO15&gt;=KP$36,KO15&lt;&gt;""),AND(LK15&gt;=LX$32,LK15&lt;&gt;"",LM15&gt;=LX$36,LM15&lt;&gt;""),AND(LN15&gt;=LX$32,LN15&lt;&gt;"",LP15&gt;=LX$36,LP15&lt;&gt;""),AND(LR15&gt;=LX$32,LR15&lt;&gt;"",LT15&gt;=LX$36,LT15&lt;&gt;""),AND(LU15&gt;=LX$32,LU15&lt;&gt;"",LW15&gt;=LX$36,LW15&lt;&gt;""),AND(MS15&gt;=NF$32,MS15&lt;&gt;"",MU15&gt;=NF$36,MU15&lt;&gt;""),AND(MV15&gt;=NF$32,MV15&lt;&gt;"",MX15&gt;=NF$36,MX15&lt;&gt;""),AND(MZ15&gt;=NF$32,MZ15&lt;&gt;"",NB15&gt;=NF$36,NB15&lt;&gt;""),AND(NC15&gt;=NF$32,NC15&lt;&gt;"",NE15&gt;=NF$36,NE15&lt;&gt;""),AND(OA15&gt;=ON$32,OA15&lt;&gt;"",OC15&gt;=ON$36,OC15&lt;&gt;""),AND(OD15&gt;=ON$32,OD15&lt;&gt;"",OF15&gt;=ON$36,OF15&lt;&gt;""),AND(OH15&gt;=ON$32,OH15&lt;&gt;"",OJ15&gt;=ON$36,OJ15&lt;&gt;""),AND(OK15&gt;=ON$32,OK15&lt;&gt;"",OM15&gt;=ON$36,OM15&lt;&gt;""),AND(PI15&gt;=PV$32,PI15&lt;&gt;"",PK15&gt;=PV$36,PK15&lt;&gt;""),AND(PL15&gt;=PV$32,PL15&lt;&gt;"",PN15&gt;=PV$36,PN15&lt;&gt;""),AND(PP15&gt;=PV$32,PP15&lt;&gt;"",PR15&gt;=PV$36,PR15&lt;&gt;""),AND(PS15&gt;=PV$32,PS15&lt;&gt;"",PU15&gt;=PV$36,PU15&lt;&gt;""),AND(QQ15&gt;=RD$32,QQ15&lt;&gt;"",QS15&gt;=RD$36,QS15&lt;&gt;""),AND(QT15&gt;=RD$32,QT15&lt;&gt;"",QV15&gt;=RD$36,QV15&lt;&gt;""),AND(QX15&gt;=RD$32,QX15&lt;&gt;"",QZ15&gt;=RD$36,QZ15&lt;&gt;""),AND(RA15&gt;=RD$32,RA15&lt;&gt;"",RC15&gt;=RD$36,RC15&lt;&gt;""),AND(RY15&gt;=SL$32,RY15&lt;&gt;"",SA15&gt;=SL$36,SA15&lt;&gt;""),AND(SB15&gt;=SL$32,SB15&lt;&gt;"",SD15&gt;=SL$36,SD15&lt;&gt;""),AND(SF15&gt;=SL$32,SF15&lt;&gt;"",SH15&gt;=SL$36,SH15&lt;&gt;""),AND(SI15&gt;=SL$32,SI15&lt;&gt;"",SK15&gt;=SL$36,SK15&lt;&gt;""),AND(TG15&gt;=TT$32,TG15&lt;&gt;"",TI15&gt;=TT$36,TI15&lt;&gt;""),AND(TJ15&gt;=TT$32,TJ15&lt;&gt;"",TL15&gt;=TT$36,TL15&lt;&gt;""),AND(TN15&gt;=TT$32,TN15&lt;&gt;"",TP15&gt;=TT$36,TXN15&lt;&gt;""),AND(TQ15&gt;=TT$32,TQ15&lt;&gt;"",TS15&gt;=TT$36,TS15&lt;&gt;""),AND(UO15&gt;=VB$32,UO15&lt;&gt;"",UQ15&gt;=VB$36,UQ15&lt;&gt;""),AND(UR15&gt;=VB$32,UR15&lt;&gt;"",UT15&gt;=VB$36,UT15&lt;&gt;""),AND(UV15&gt;=VB$32,UV15&lt;&gt;"",UX15&gt;=VB$36,UX15&lt;&gt;""),AND(UY15&gt;=VB$32,UY15&lt;&gt;"",VA15&gt;=VB$36,VA15&lt;&gt;""),AND(VW15&gt;=WJ$32,VW15&lt;&gt;"",VY15&gt;=WJ$36,VY15&lt;&gt;""),AND(VZ15&gt;=WJ$32,VZ15&lt;&gt;"",WB15&gt;=WJ$36,WB15&lt;&gt;""),AND(WD15&gt;=WJ$32,WD15&lt;&gt;"",WF15&gt;=WJ$36,WF15&lt;&gt;""),AND(WG15&gt;=WJ$32,WG15&lt;&gt;"",WI15&gt;=WJ$36,WI15&lt;&gt;"")),"Excellence",IF(I15="P","National Team",IF(F15="P","National Team","")))))</f>
        <v/>
      </c>
      <c r="I15" s="3" t="str">
        <f>IF(COUNTIFS('Senior-M'!B:B,B15,'Senior-M'!A:A,"&lt;9",'Senior-M'!H:H,"&lt;&gt;"&amp;"No DD"),"P","")</f>
        <v/>
      </c>
      <c r="J15" s="8">
        <f t="shared" si="1"/>
        <v>52.7</v>
      </c>
      <c r="K15" s="8" t="str">
        <f t="shared" si="2"/>
        <v>2026 Elite Canada</v>
      </c>
      <c r="L15" s="8">
        <f>IFERROR(LARGE((AI15,AL15,AP15,BJ15,BM15,BQ15,CK15,CN15,CR15),2),0)</f>
        <v>51.67</v>
      </c>
      <c r="M15" s="8" t="str">
        <f t="shared" si="3"/>
        <v>2025 Nationals</v>
      </c>
      <c r="N15" s="8">
        <f t="shared" si="4"/>
        <v>0</v>
      </c>
      <c r="O15" s="11" t="str">
        <f>IF(N15=0,"",IF(N15=CT15,"("&amp;CT$2&amp;")",IF(N15=#REF!,"("&amp;#REF!&amp;")")))</f>
        <v/>
      </c>
      <c r="P15" s="8" t="str">
        <f t="shared" si="5"/>
        <v/>
      </c>
      <c r="Q15" s="18">
        <v>12.1</v>
      </c>
      <c r="R15" s="18">
        <v>9.1</v>
      </c>
      <c r="S15" s="18">
        <v>14.9</v>
      </c>
      <c r="T15" s="18">
        <v>15.57</v>
      </c>
      <c r="U15" s="18">
        <v>0</v>
      </c>
      <c r="V15" s="18">
        <v>12.1</v>
      </c>
      <c r="W15" s="18">
        <v>8.6999999999999993</v>
      </c>
      <c r="X15" s="18">
        <v>14</v>
      </c>
      <c r="Y15" s="18">
        <v>15.56</v>
      </c>
      <c r="Z15" s="18">
        <v>0.5</v>
      </c>
      <c r="AA15" s="18">
        <v>1.2</v>
      </c>
      <c r="AB15" s="18">
        <v>1</v>
      </c>
      <c r="AC15" s="18">
        <v>2</v>
      </c>
      <c r="AD15" s="18">
        <v>1.68</v>
      </c>
      <c r="AE15" s="18">
        <v>0.2</v>
      </c>
      <c r="AF15" s="23"/>
      <c r="AG15" s="34">
        <f t="shared" si="6"/>
        <v>14.9</v>
      </c>
      <c r="AH15" s="34">
        <f t="shared" si="7"/>
        <v>15.57</v>
      </c>
      <c r="AI15" s="36">
        <f t="shared" si="8"/>
        <v>51.67</v>
      </c>
      <c r="AJ15" s="36">
        <f t="shared" si="9"/>
        <v>14</v>
      </c>
      <c r="AK15" s="36">
        <f t="shared" si="10"/>
        <v>15.56</v>
      </c>
      <c r="AL15" s="36">
        <f t="shared" si="11"/>
        <v>49.86</v>
      </c>
      <c r="AM15" s="36">
        <f t="shared" si="12"/>
        <v>51.67</v>
      </c>
      <c r="AN15" s="36">
        <f t="shared" si="13"/>
        <v>2</v>
      </c>
      <c r="AO15" s="36">
        <f t="shared" si="14"/>
        <v>1.68</v>
      </c>
      <c r="AP15" s="36">
        <f t="shared" si="15"/>
        <v>5.68</v>
      </c>
      <c r="AQ15" s="36">
        <f t="shared" si="16"/>
        <v>57.35</v>
      </c>
      <c r="AR15" s="22">
        <v>4.5999999999999996</v>
      </c>
      <c r="AS15" s="22">
        <v>2.9</v>
      </c>
      <c r="AT15" s="22">
        <v>5.2</v>
      </c>
      <c r="AU15" s="22">
        <v>5.0599999999999996</v>
      </c>
      <c r="AV15" s="22">
        <v>0</v>
      </c>
      <c r="AW15" s="22">
        <v>9.6999999999999993</v>
      </c>
      <c r="AX15" s="22">
        <v>6.4</v>
      </c>
      <c r="AY15" s="22">
        <v>10.6</v>
      </c>
      <c r="AZ15" s="22">
        <v>11.69</v>
      </c>
      <c r="BA15" s="22">
        <v>0</v>
      </c>
      <c r="BB15" s="22"/>
      <c r="BC15" s="22"/>
      <c r="BD15" s="22"/>
      <c r="BE15" s="22"/>
      <c r="BF15" s="22"/>
      <c r="BG15" s="24"/>
      <c r="BH15" s="35">
        <f t="shared" si="17"/>
        <v>5.2</v>
      </c>
      <c r="BI15" s="35">
        <f t="shared" si="18"/>
        <v>5.0599999999999996</v>
      </c>
      <c r="BJ15" s="11">
        <f t="shared" si="19"/>
        <v>17.759999999999998</v>
      </c>
      <c r="BK15" s="11">
        <f t="shared" si="20"/>
        <v>10.6</v>
      </c>
      <c r="BL15" s="11">
        <f t="shared" si="21"/>
        <v>11.69</v>
      </c>
      <c r="BM15" s="11">
        <f t="shared" si="22"/>
        <v>38.39</v>
      </c>
      <c r="BN15" s="11">
        <f t="shared" si="23"/>
        <v>38.39</v>
      </c>
      <c r="BO15" s="11" t="str">
        <f t="shared" si="24"/>
        <v/>
      </c>
      <c r="BP15" s="11" t="str">
        <f t="shared" si="25"/>
        <v/>
      </c>
      <c r="BQ15" s="11" t="str">
        <f t="shared" si="26"/>
        <v/>
      </c>
      <c r="BR15" s="11">
        <f t="shared" si="27"/>
        <v>38.39</v>
      </c>
      <c r="BS15" s="18">
        <v>12.1</v>
      </c>
      <c r="BT15" s="18">
        <v>9.1999999999999993</v>
      </c>
      <c r="BU15" s="18">
        <v>12.3</v>
      </c>
      <c r="BV15" s="18">
        <v>15.16</v>
      </c>
      <c r="BW15" s="18">
        <v>2.2000000000000002</v>
      </c>
      <c r="BX15" s="18">
        <v>12.5</v>
      </c>
      <c r="BY15" s="18">
        <v>9.6</v>
      </c>
      <c r="BZ15" s="18">
        <v>15.3</v>
      </c>
      <c r="CA15" s="18">
        <v>15.3</v>
      </c>
      <c r="CB15" s="18">
        <v>0</v>
      </c>
      <c r="CC15" s="18">
        <v>9.4</v>
      </c>
      <c r="CD15" s="18">
        <v>6.5</v>
      </c>
      <c r="CE15" s="18">
        <v>10.6</v>
      </c>
      <c r="CF15" s="18">
        <v>10.83</v>
      </c>
      <c r="CG15" s="18">
        <v>0</v>
      </c>
      <c r="CH15" s="23"/>
      <c r="CI15" s="34">
        <f t="shared" si="28"/>
        <v>12.3</v>
      </c>
      <c r="CJ15" s="34">
        <f t="shared" si="29"/>
        <v>15.16</v>
      </c>
      <c r="CK15" s="36">
        <f t="shared" si="30"/>
        <v>46.559999999999988</v>
      </c>
      <c r="CL15" s="36">
        <f t="shared" si="31"/>
        <v>15.3</v>
      </c>
      <c r="CM15" s="36">
        <f t="shared" si="32"/>
        <v>15.3</v>
      </c>
      <c r="CN15" s="36">
        <f t="shared" si="33"/>
        <v>52.7</v>
      </c>
      <c r="CO15" s="36">
        <f t="shared" si="34"/>
        <v>52.7</v>
      </c>
      <c r="CP15" s="36">
        <f t="shared" si="35"/>
        <v>10.6</v>
      </c>
      <c r="CQ15" s="36">
        <f t="shared" si="36"/>
        <v>10.83</v>
      </c>
      <c r="CR15" s="36">
        <f t="shared" si="37"/>
        <v>37.33</v>
      </c>
      <c r="CS15" s="36">
        <f t="shared" si="38"/>
        <v>90.03</v>
      </c>
      <c r="CT15" s="47" t="str">
        <f t="shared" si="39"/>
        <v/>
      </c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36" t="str">
        <f t="shared" si="40"/>
        <v/>
      </c>
      <c r="DP15" s="36" t="str">
        <f t="shared" si="41"/>
        <v/>
      </c>
      <c r="DQ15" s="36" t="str">
        <f t="shared" si="42"/>
        <v/>
      </c>
      <c r="DR15" s="36" t="str">
        <f t="shared" si="43"/>
        <v/>
      </c>
      <c r="DS15" s="36" t="str">
        <f t="shared" si="44"/>
        <v/>
      </c>
      <c r="DT15" s="36" t="str">
        <f t="shared" si="45"/>
        <v/>
      </c>
      <c r="DU15" s="36" t="str">
        <f t="shared" si="46"/>
        <v/>
      </c>
      <c r="DV15" s="36" t="str">
        <f t="shared" si="47"/>
        <v/>
      </c>
      <c r="DW15" s="36" t="str">
        <f t="shared" si="48"/>
        <v/>
      </c>
      <c r="DX15" s="36" t="str">
        <f t="shared" si="49"/>
        <v/>
      </c>
      <c r="DY15" s="36" t="str">
        <f t="shared" si="50"/>
        <v/>
      </c>
      <c r="DZ15" s="36" t="str">
        <f t="shared" si="51"/>
        <v/>
      </c>
      <c r="EA15" s="36" t="str">
        <f t="shared" si="52"/>
        <v/>
      </c>
      <c r="EB15" s="36" t="str">
        <f t="shared" si="53"/>
        <v/>
      </c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1" t="str">
        <f t="shared" si="54"/>
        <v/>
      </c>
      <c r="EX15" s="11" t="str">
        <f t="shared" si="55"/>
        <v/>
      </c>
      <c r="EY15" s="11" t="str">
        <f t="shared" si="56"/>
        <v/>
      </c>
      <c r="EZ15" s="11" t="str">
        <f t="shared" si="57"/>
        <v/>
      </c>
      <c r="FA15" s="11" t="str">
        <f t="shared" si="58"/>
        <v/>
      </c>
      <c r="FB15" s="11" t="str">
        <f t="shared" si="59"/>
        <v/>
      </c>
      <c r="FC15" s="11" t="str">
        <f t="shared" si="60"/>
        <v/>
      </c>
      <c r="FD15" s="11" t="str">
        <f t="shared" si="61"/>
        <v/>
      </c>
      <c r="FE15" s="11" t="str">
        <f t="shared" si="62"/>
        <v/>
      </c>
      <c r="FF15" s="11" t="str">
        <f t="shared" si="63"/>
        <v/>
      </c>
      <c r="FG15" s="11" t="str">
        <f t="shared" si="64"/>
        <v/>
      </c>
      <c r="FH15" s="11" t="str">
        <f t="shared" si="65"/>
        <v/>
      </c>
      <c r="FI15" s="11" t="str">
        <f t="shared" si="66"/>
        <v/>
      </c>
      <c r="FJ15" s="11" t="str">
        <f t="shared" si="67"/>
        <v/>
      </c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36" t="str">
        <f t="shared" si="68"/>
        <v/>
      </c>
      <c r="GF15" s="36" t="str">
        <f t="shared" si="69"/>
        <v/>
      </c>
      <c r="GG15" s="36" t="str">
        <f t="shared" si="70"/>
        <v/>
      </c>
      <c r="GH15" s="36" t="str">
        <f t="shared" si="71"/>
        <v/>
      </c>
      <c r="GI15" s="36" t="str">
        <f t="shared" si="72"/>
        <v/>
      </c>
      <c r="GJ15" s="36" t="str">
        <f t="shared" si="73"/>
        <v/>
      </c>
      <c r="GK15" s="36" t="str">
        <f t="shared" si="74"/>
        <v/>
      </c>
      <c r="GL15" s="36" t="str">
        <f t="shared" si="75"/>
        <v/>
      </c>
      <c r="GM15" s="36" t="str">
        <f t="shared" si="76"/>
        <v/>
      </c>
      <c r="GN15" s="36" t="str">
        <f t="shared" si="77"/>
        <v/>
      </c>
      <c r="GO15" s="36" t="str">
        <f t="shared" si="78"/>
        <v/>
      </c>
      <c r="GP15" s="36" t="str">
        <f t="shared" si="79"/>
        <v/>
      </c>
      <c r="GQ15" s="36" t="str">
        <f t="shared" si="80"/>
        <v/>
      </c>
      <c r="GR15" s="36" t="str">
        <f t="shared" si="81"/>
        <v/>
      </c>
      <c r="GS15" s="16"/>
      <c r="GT15" s="16"/>
      <c r="GU15" s="16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1" t="str">
        <f t="shared" si="82"/>
        <v/>
      </c>
      <c r="HN15" s="11" t="str">
        <f t="shared" si="83"/>
        <v/>
      </c>
      <c r="HO15" s="11" t="str">
        <f t="shared" si="84"/>
        <v/>
      </c>
      <c r="HP15" s="11" t="str">
        <f t="shared" si="85"/>
        <v/>
      </c>
      <c r="HQ15" s="11" t="str">
        <f t="shared" si="86"/>
        <v/>
      </c>
      <c r="HR15" s="11" t="str">
        <f t="shared" si="87"/>
        <v/>
      </c>
      <c r="HS15" s="11" t="str">
        <f t="shared" si="88"/>
        <v/>
      </c>
      <c r="HT15" s="11" t="str">
        <f t="shared" si="89"/>
        <v/>
      </c>
      <c r="HU15" s="11" t="str">
        <f t="shared" si="90"/>
        <v/>
      </c>
      <c r="HV15" s="11" t="str">
        <f t="shared" si="91"/>
        <v/>
      </c>
      <c r="HW15" s="11" t="str">
        <f t="shared" si="92"/>
        <v/>
      </c>
      <c r="HX15" s="11" t="str">
        <f t="shared" si="93"/>
        <v/>
      </c>
      <c r="HY15" s="11" t="str">
        <f t="shared" si="94"/>
        <v/>
      </c>
      <c r="HZ15" s="11" t="str">
        <f t="shared" si="95"/>
        <v/>
      </c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36" t="str">
        <f t="shared" si="96"/>
        <v/>
      </c>
      <c r="IV15" s="36" t="str">
        <f t="shared" si="97"/>
        <v/>
      </c>
      <c r="IW15" s="36" t="str">
        <f t="shared" si="98"/>
        <v/>
      </c>
      <c r="IX15" s="36" t="str">
        <f t="shared" si="99"/>
        <v/>
      </c>
      <c r="IY15" s="36" t="str">
        <f t="shared" si="100"/>
        <v/>
      </c>
      <c r="IZ15" s="36" t="str">
        <f t="shared" si="101"/>
        <v/>
      </c>
      <c r="JA15" s="36" t="str">
        <f t="shared" si="102"/>
        <v/>
      </c>
      <c r="JB15" s="36" t="str">
        <f t="shared" si="103"/>
        <v/>
      </c>
      <c r="JC15" s="36" t="str">
        <f t="shared" si="104"/>
        <v/>
      </c>
      <c r="JD15" s="36" t="str">
        <f t="shared" si="105"/>
        <v/>
      </c>
      <c r="JE15" s="36" t="str">
        <f t="shared" si="106"/>
        <v/>
      </c>
      <c r="JF15" s="36" t="str">
        <f t="shared" si="107"/>
        <v/>
      </c>
      <c r="JG15" s="36" t="str">
        <f t="shared" si="108"/>
        <v/>
      </c>
      <c r="JH15" s="36" t="str">
        <f t="shared" si="109"/>
        <v/>
      </c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16"/>
      <c r="JX15" s="16"/>
      <c r="JY15" s="16"/>
      <c r="JZ15" s="16"/>
      <c r="KA15" s="16"/>
      <c r="KB15" s="16"/>
      <c r="KC15" s="11" t="str">
        <f t="shared" si="110"/>
        <v/>
      </c>
      <c r="KD15" s="11" t="str">
        <f t="shared" si="111"/>
        <v/>
      </c>
      <c r="KE15" s="11" t="str">
        <f t="shared" si="112"/>
        <v/>
      </c>
      <c r="KF15" s="11" t="str">
        <f t="shared" si="113"/>
        <v/>
      </c>
      <c r="KG15" s="11" t="str">
        <f t="shared" si="114"/>
        <v/>
      </c>
      <c r="KH15" s="11" t="str">
        <f t="shared" si="115"/>
        <v/>
      </c>
      <c r="KI15" s="11" t="str">
        <f t="shared" si="116"/>
        <v/>
      </c>
      <c r="KJ15" s="11" t="str">
        <f t="shared" si="117"/>
        <v/>
      </c>
      <c r="KK15" s="11" t="str">
        <f t="shared" si="118"/>
        <v/>
      </c>
      <c r="KL15" s="11" t="str">
        <f t="shared" si="119"/>
        <v/>
      </c>
      <c r="KM15" s="11" t="str">
        <f t="shared" si="120"/>
        <v/>
      </c>
      <c r="KN15" s="11" t="str">
        <f t="shared" si="121"/>
        <v/>
      </c>
      <c r="KO15" s="11" t="str">
        <f t="shared" si="122"/>
        <v/>
      </c>
      <c r="KP15" s="11" t="str">
        <f t="shared" si="123"/>
        <v/>
      </c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36" t="str">
        <f t="shared" si="124"/>
        <v/>
      </c>
      <c r="LL15" s="36" t="str">
        <f t="shared" si="125"/>
        <v/>
      </c>
      <c r="LM15" s="36" t="str">
        <f t="shared" si="126"/>
        <v/>
      </c>
      <c r="LN15" s="36" t="str">
        <f t="shared" si="127"/>
        <v/>
      </c>
      <c r="LO15" s="36" t="str">
        <f t="shared" si="128"/>
        <v/>
      </c>
      <c r="LP15" s="36" t="str">
        <f t="shared" si="129"/>
        <v/>
      </c>
      <c r="LQ15" s="36" t="str">
        <f t="shared" si="130"/>
        <v/>
      </c>
      <c r="LR15" s="36" t="str">
        <f t="shared" si="131"/>
        <v/>
      </c>
      <c r="LS15" s="36" t="str">
        <f t="shared" si="132"/>
        <v/>
      </c>
      <c r="LT15" s="36" t="str">
        <f t="shared" si="133"/>
        <v/>
      </c>
      <c r="LU15" s="36" t="str">
        <f t="shared" si="134"/>
        <v/>
      </c>
      <c r="LV15" s="36" t="str">
        <f t="shared" si="135"/>
        <v/>
      </c>
      <c r="LW15" s="36" t="str">
        <f t="shared" si="136"/>
        <v/>
      </c>
      <c r="LX15" s="36" t="str">
        <f t="shared" si="137"/>
        <v/>
      </c>
      <c r="LY15" s="16"/>
      <c r="LZ15" s="16"/>
      <c r="MA15" s="16"/>
      <c r="MB15" s="16"/>
      <c r="MC15" s="16"/>
      <c r="MD15" s="16"/>
      <c r="ME15" s="16"/>
      <c r="MF15" s="16"/>
      <c r="MG15" s="16"/>
      <c r="MH15" s="16"/>
      <c r="MI15" s="16"/>
      <c r="MJ15" s="16"/>
      <c r="MK15" s="16"/>
      <c r="ML15" s="16"/>
      <c r="MM15" s="16"/>
      <c r="MN15" s="16"/>
      <c r="MO15" s="16"/>
      <c r="MP15" s="16"/>
      <c r="MQ15" s="16"/>
      <c r="MR15" s="16"/>
      <c r="MS15" s="11" t="str">
        <f t="shared" si="138"/>
        <v/>
      </c>
      <c r="MT15" s="11" t="str">
        <f t="shared" si="139"/>
        <v/>
      </c>
      <c r="MU15" s="11" t="str">
        <f t="shared" si="140"/>
        <v/>
      </c>
      <c r="MV15" s="11" t="str">
        <f t="shared" si="141"/>
        <v/>
      </c>
      <c r="MW15" s="11" t="str">
        <f t="shared" si="142"/>
        <v/>
      </c>
      <c r="MX15" s="11" t="str">
        <f t="shared" si="143"/>
        <v/>
      </c>
      <c r="MY15" s="11" t="str">
        <f t="shared" si="144"/>
        <v/>
      </c>
      <c r="MZ15" s="11" t="str">
        <f t="shared" si="145"/>
        <v/>
      </c>
      <c r="NA15" s="11" t="str">
        <f t="shared" si="146"/>
        <v/>
      </c>
      <c r="NB15" s="11" t="str">
        <f t="shared" si="147"/>
        <v/>
      </c>
      <c r="NC15" s="11" t="str">
        <f t="shared" si="148"/>
        <v/>
      </c>
      <c r="ND15" s="11" t="str">
        <f t="shared" si="149"/>
        <v/>
      </c>
      <c r="NE15" s="11" t="str">
        <f t="shared" si="150"/>
        <v/>
      </c>
      <c r="NF15" s="11" t="str">
        <f t="shared" si="151"/>
        <v/>
      </c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36" t="str">
        <f t="shared" si="152"/>
        <v/>
      </c>
      <c r="OB15" s="36" t="str">
        <f t="shared" si="153"/>
        <v/>
      </c>
      <c r="OC15" s="36" t="str">
        <f t="shared" si="154"/>
        <v/>
      </c>
      <c r="OD15" s="36" t="str">
        <f t="shared" si="155"/>
        <v/>
      </c>
      <c r="OE15" s="36" t="str">
        <f t="shared" si="156"/>
        <v/>
      </c>
      <c r="OF15" s="36" t="str">
        <f t="shared" si="157"/>
        <v/>
      </c>
      <c r="OG15" s="36" t="str">
        <f t="shared" si="158"/>
        <v/>
      </c>
      <c r="OH15" s="36" t="str">
        <f t="shared" si="159"/>
        <v/>
      </c>
      <c r="OI15" s="36" t="str">
        <f t="shared" si="160"/>
        <v/>
      </c>
      <c r="OJ15" s="36" t="str">
        <f t="shared" si="161"/>
        <v/>
      </c>
      <c r="OK15" s="36" t="str">
        <f t="shared" si="162"/>
        <v/>
      </c>
      <c r="OL15" s="36" t="str">
        <f t="shared" si="163"/>
        <v/>
      </c>
      <c r="OM15" s="36" t="str">
        <f t="shared" si="164"/>
        <v/>
      </c>
      <c r="ON15" s="36" t="str">
        <f t="shared" si="165"/>
        <v/>
      </c>
      <c r="OO15" s="16"/>
      <c r="OP15" s="16"/>
      <c r="OQ15" s="16"/>
      <c r="OR15" s="16"/>
      <c r="OS15" s="16"/>
      <c r="OT15" s="16"/>
      <c r="OU15" s="16"/>
      <c r="OV15" s="16"/>
      <c r="OW15" s="16"/>
      <c r="OX15" s="16"/>
      <c r="OY15" s="16"/>
      <c r="OZ15" s="16"/>
      <c r="PA15" s="16"/>
      <c r="PB15" s="16"/>
      <c r="PC15" s="16"/>
      <c r="PD15" s="16"/>
      <c r="PE15" s="16"/>
      <c r="PF15" s="16"/>
      <c r="PG15" s="16"/>
      <c r="PH15" s="16"/>
      <c r="PI15" s="11" t="str">
        <f t="shared" si="166"/>
        <v/>
      </c>
      <c r="PJ15" s="11" t="str">
        <f t="shared" si="167"/>
        <v/>
      </c>
      <c r="PK15" s="11" t="str">
        <f t="shared" si="168"/>
        <v/>
      </c>
      <c r="PL15" s="11" t="str">
        <f t="shared" si="169"/>
        <v/>
      </c>
      <c r="PM15" s="11" t="str">
        <f t="shared" si="170"/>
        <v/>
      </c>
      <c r="PN15" s="11" t="str">
        <f t="shared" si="171"/>
        <v/>
      </c>
      <c r="PO15" s="11" t="str">
        <f t="shared" si="172"/>
        <v/>
      </c>
      <c r="PP15" s="11" t="str">
        <f t="shared" si="173"/>
        <v/>
      </c>
      <c r="PQ15" s="11" t="str">
        <f t="shared" si="174"/>
        <v/>
      </c>
      <c r="PR15" s="11" t="str">
        <f t="shared" si="175"/>
        <v/>
      </c>
      <c r="PS15" s="11" t="str">
        <f t="shared" si="176"/>
        <v/>
      </c>
      <c r="PT15" s="11" t="str">
        <f t="shared" si="177"/>
        <v/>
      </c>
      <c r="PU15" s="11" t="str">
        <f t="shared" si="178"/>
        <v/>
      </c>
      <c r="PV15" s="11" t="str">
        <f t="shared" si="179"/>
        <v/>
      </c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36" t="str">
        <f t="shared" si="180"/>
        <v/>
      </c>
      <c r="QR15" s="36" t="str">
        <f t="shared" si="181"/>
        <v/>
      </c>
      <c r="QS15" s="36" t="str">
        <f t="shared" si="182"/>
        <v/>
      </c>
      <c r="QT15" s="36" t="str">
        <f t="shared" si="183"/>
        <v/>
      </c>
      <c r="QU15" s="36" t="str">
        <f t="shared" si="184"/>
        <v/>
      </c>
      <c r="QV15" s="36" t="str">
        <f t="shared" si="185"/>
        <v/>
      </c>
      <c r="QW15" s="36" t="str">
        <f t="shared" si="186"/>
        <v/>
      </c>
      <c r="QX15" s="36" t="str">
        <f t="shared" si="187"/>
        <v/>
      </c>
      <c r="QY15" s="36" t="str">
        <f t="shared" si="188"/>
        <v/>
      </c>
      <c r="QZ15" s="36" t="str">
        <f t="shared" si="189"/>
        <v/>
      </c>
      <c r="RA15" s="36" t="str">
        <f t="shared" si="190"/>
        <v/>
      </c>
      <c r="RB15" s="36" t="str">
        <f t="shared" si="191"/>
        <v/>
      </c>
      <c r="RC15" s="36" t="str">
        <f t="shared" si="192"/>
        <v/>
      </c>
      <c r="RD15" s="36" t="str">
        <f t="shared" si="193"/>
        <v/>
      </c>
      <c r="RE15" s="16"/>
      <c r="RF15" s="16"/>
      <c r="RG15" s="16"/>
      <c r="RH15" s="16"/>
      <c r="RI15" s="16"/>
      <c r="RJ15" s="16"/>
      <c r="RK15" s="16"/>
      <c r="RL15" s="16"/>
      <c r="RM15" s="16"/>
      <c r="RN15" s="16"/>
      <c r="RO15" s="16"/>
      <c r="RP15" s="16"/>
      <c r="RQ15" s="16"/>
      <c r="RR15" s="16"/>
      <c r="RS15" s="16"/>
      <c r="RT15" s="16"/>
      <c r="RU15" s="16"/>
      <c r="RV15" s="16"/>
      <c r="RW15" s="16"/>
      <c r="RX15" s="16"/>
      <c r="RY15" s="11" t="str">
        <f t="shared" si="194"/>
        <v/>
      </c>
      <c r="RZ15" s="11" t="str">
        <f t="shared" si="195"/>
        <v/>
      </c>
      <c r="SA15" s="11" t="str">
        <f t="shared" si="196"/>
        <v/>
      </c>
      <c r="SB15" s="11" t="str">
        <f t="shared" si="197"/>
        <v/>
      </c>
      <c r="SC15" s="11" t="str">
        <f t="shared" si="198"/>
        <v/>
      </c>
      <c r="SD15" s="11" t="str">
        <f t="shared" si="199"/>
        <v/>
      </c>
      <c r="SE15" s="11" t="str">
        <f t="shared" si="200"/>
        <v/>
      </c>
      <c r="SF15" s="11" t="str">
        <f t="shared" si="201"/>
        <v/>
      </c>
      <c r="SG15" s="11" t="str">
        <f t="shared" si="202"/>
        <v/>
      </c>
      <c r="SH15" s="11" t="str">
        <f t="shared" si="203"/>
        <v/>
      </c>
      <c r="SI15" s="11" t="str">
        <f t="shared" si="204"/>
        <v/>
      </c>
      <c r="SJ15" s="11" t="str">
        <f t="shared" si="205"/>
        <v/>
      </c>
      <c r="SK15" s="11" t="str">
        <f t="shared" si="206"/>
        <v/>
      </c>
      <c r="SL15" s="11" t="str">
        <f t="shared" si="207"/>
        <v/>
      </c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36" t="str">
        <f t="shared" si="208"/>
        <v/>
      </c>
      <c r="TH15" s="36" t="str">
        <f t="shared" si="209"/>
        <v/>
      </c>
      <c r="TI15" s="36" t="str">
        <f t="shared" si="210"/>
        <v/>
      </c>
      <c r="TJ15" s="36" t="str">
        <f t="shared" si="211"/>
        <v/>
      </c>
      <c r="TK15" s="36" t="str">
        <f t="shared" si="212"/>
        <v/>
      </c>
      <c r="TL15" s="36" t="str">
        <f t="shared" si="213"/>
        <v/>
      </c>
      <c r="TM15" s="36" t="str">
        <f t="shared" si="214"/>
        <v/>
      </c>
      <c r="TN15" s="36" t="str">
        <f t="shared" si="215"/>
        <v/>
      </c>
      <c r="TO15" s="36" t="str">
        <f t="shared" si="216"/>
        <v/>
      </c>
      <c r="TP15" s="36" t="str">
        <f t="shared" si="217"/>
        <v/>
      </c>
      <c r="TQ15" s="36" t="str">
        <f t="shared" si="218"/>
        <v/>
      </c>
      <c r="TR15" s="36" t="str">
        <f t="shared" si="219"/>
        <v/>
      </c>
      <c r="TS15" s="36" t="str">
        <f t="shared" si="220"/>
        <v/>
      </c>
      <c r="TT15" s="36" t="str">
        <f t="shared" si="221"/>
        <v/>
      </c>
      <c r="TU15" s="16"/>
      <c r="TV15" s="16"/>
      <c r="TW15" s="16"/>
      <c r="TX15" s="16"/>
      <c r="TY15" s="16"/>
      <c r="TZ15" s="16"/>
      <c r="UA15" s="16"/>
      <c r="UB15" s="16"/>
      <c r="UC15" s="16"/>
      <c r="UD15" s="16"/>
      <c r="UE15" s="16"/>
      <c r="UF15" s="16"/>
      <c r="UG15" s="16"/>
      <c r="UH15" s="16"/>
      <c r="UI15" s="16"/>
      <c r="UJ15" s="16"/>
      <c r="UK15" s="16"/>
      <c r="UL15" s="16"/>
      <c r="UM15" s="16"/>
      <c r="UN15" s="16"/>
      <c r="UO15" s="11" t="str">
        <f t="shared" si="222"/>
        <v/>
      </c>
      <c r="UP15" s="11" t="str">
        <f t="shared" si="223"/>
        <v/>
      </c>
      <c r="UQ15" s="11" t="str">
        <f t="shared" si="224"/>
        <v/>
      </c>
      <c r="UR15" s="11" t="str">
        <f t="shared" si="225"/>
        <v/>
      </c>
      <c r="US15" s="11" t="str">
        <f t="shared" si="226"/>
        <v/>
      </c>
      <c r="UT15" s="11" t="str">
        <f t="shared" si="227"/>
        <v/>
      </c>
      <c r="UU15" s="11" t="str">
        <f t="shared" si="228"/>
        <v/>
      </c>
      <c r="UV15" s="11" t="str">
        <f t="shared" si="229"/>
        <v/>
      </c>
      <c r="UW15" s="11" t="str">
        <f t="shared" si="230"/>
        <v/>
      </c>
      <c r="UX15" s="11" t="str">
        <f t="shared" si="231"/>
        <v/>
      </c>
      <c r="UY15" s="11" t="str">
        <f t="shared" si="232"/>
        <v/>
      </c>
      <c r="UZ15" s="11" t="str">
        <f t="shared" si="233"/>
        <v/>
      </c>
      <c r="VA15" s="11" t="str">
        <f t="shared" si="234"/>
        <v/>
      </c>
      <c r="VB15" s="11" t="str">
        <f t="shared" si="235"/>
        <v/>
      </c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36" t="str">
        <f t="shared" si="236"/>
        <v/>
      </c>
      <c r="VX15" s="36" t="str">
        <f t="shared" si="237"/>
        <v/>
      </c>
      <c r="VY15" s="36" t="str">
        <f t="shared" si="238"/>
        <v/>
      </c>
      <c r="VZ15" s="36" t="str">
        <f t="shared" si="239"/>
        <v/>
      </c>
      <c r="WA15" s="36" t="str">
        <f t="shared" si="240"/>
        <v/>
      </c>
      <c r="WB15" s="36" t="str">
        <f t="shared" si="241"/>
        <v/>
      </c>
      <c r="WC15" s="36" t="str">
        <f t="shared" si="242"/>
        <v/>
      </c>
      <c r="WD15" s="36" t="str">
        <f t="shared" si="243"/>
        <v/>
      </c>
      <c r="WE15" s="36" t="str">
        <f t="shared" si="244"/>
        <v/>
      </c>
      <c r="WF15" s="36" t="str">
        <f t="shared" si="245"/>
        <v/>
      </c>
      <c r="WG15" s="36" t="str">
        <f t="shared" si="246"/>
        <v/>
      </c>
      <c r="WH15" s="36" t="str">
        <f t="shared" si="247"/>
        <v/>
      </c>
      <c r="WI15" s="36" t="str">
        <f t="shared" si="248"/>
        <v/>
      </c>
      <c r="WJ15" s="36" t="str">
        <f t="shared" si="249"/>
        <v/>
      </c>
    </row>
    <row r="16" spans="1:608" x14ac:dyDescent="0.2">
      <c r="A16" s="4" t="str" cm="1">
        <f t="array" ref="A16">IF(AND(H16&lt;&gt;"",H16&lt;&gt;"No DD",I16&lt;&gt;"P"),SUMPRODUCT((H$4:H$28&lt;&gt;"")*(H$4:H$28&lt;&gt;"No DD")*(I$4:I$28&lt;&gt;"P")*(E$4:E$28&gt;E16))+1,IF(H16="No DD",SUMPRODUCT((H$4:H$28="No DD")*(I$4:I$28&lt;&gt;"P")*(E$4:E$28&gt;E16))+1+SUMPRODUCT((H$4:H$28&lt;&gt;"")*(I$4:I$28&lt;&gt;"P")*(H$4:H$28&lt;&gt;"No DD")),""))</f>
        <v/>
      </c>
      <c r="B16" s="5" t="s">
        <v>184</v>
      </c>
      <c r="C16" s="4" t="s">
        <v>5</v>
      </c>
      <c r="D16" s="4">
        <v>2008</v>
      </c>
      <c r="E16" s="9">
        <f t="shared" si="0"/>
        <v>103.42001020700519</v>
      </c>
      <c r="F16" s="3" t="str">
        <f>IF(OR(AND(AG16&gt;=AQ$30,AG16&lt;&gt;"",AI16&gt;=AQ$34,AI16&lt;&gt;"",AF16=""),AND(AJ16&gt;=AQ$30,AJ16&lt;&gt;"",AL16&gt;=AQ$34,AL16&lt;&gt;"",AF16=""),AND(AN16&gt;=AQ$30,AN16&lt;&gt;"",AP16&gt;=AQ$34,AP16&lt;&gt;"",AF16=""),AND(BH16&gt;=BR$30,BH16&lt;&gt;"",BJ16&gt;=BR$34,BJ16&lt;&gt;"",BG16=""),AND(BK16&gt;=BR$30,BK16&lt;&gt;"",BM16&gt;=BR$34,BM16&lt;&gt;"",BG16=""),AND(BO16&gt;=BR$30,BO16&lt;&gt;"",BQ16&gt;=BR$34,BQ16&lt;&gt;"",BG16=""),AND(CI16&gt;=CS$30,CI16&lt;&gt;"",CK16&gt;=CS$34,CK16&lt;&gt;"",CH16=""),AND(CL16&gt;=CS$30,CL16&lt;&gt;"",CN16&gt;=CS$34,CN16&lt;&gt;"",CH16=""),AND(CP16&gt;=CS$30,CP16&lt;&gt;"",CR16&gt;=CS$34,CR16&lt;&gt;"",CH16=""),AND(DO16&gt;=EB$30,DO16&lt;&gt;"",DQ16&gt;=EB$34,DQ16&lt;&gt;""),AND(DR16&gt;=EB$30,DR16&lt;&gt;"",DT16&gt;=EB$34,DT16&lt;&gt;""),AND(DV16&gt;=EB$30,DV16&lt;&gt;"",DX16&gt;=EB$34,DX16&lt;&gt;""),AND(DY16&gt;=EB$30,DY16&lt;&gt;"",EA16&gt;=EB$34,EA16&lt;&gt;""),AND(EW16&gt;=FJ$30,EW16&lt;&gt;"",EY16&gt;=FJ$34,EY16&lt;&gt;""),AND(EZ16&gt;=FJ$30,EZ16&lt;&gt;"",FB16&gt;=FJ$34,FB16&lt;&gt;""),AND(FD16&gt;=FJ$30,FD16&lt;&gt;"",FF16&gt;=FJ$34,FF16&lt;&gt;""),AND(FG16&gt;=FJ$30,FG16&lt;&gt;"",FI16&gt;=FJ$34,FI16&lt;&gt;""),AND(GE16&gt;=GR$30,GE16&lt;&gt;"",GG16&gt;=GR$34,GG16&lt;&gt;""),AND(GH16&gt;=GR$30,GH16&lt;&gt;"",GJ16&gt;=GR$34,GJ16&lt;&gt;""),AND(GL16&gt;=GR$30,GL16&lt;&gt;"",GN16&gt;=GR$34,GN16&lt;&gt;""),AND(GO16&gt;=GR$30,GO16&lt;&gt;"",GQ16&gt;=GR$34,GQ16&lt;&gt;""),AND(HM16&gt;=HZ$30,HM16&lt;&gt;"",HO16&gt;=HZ$34,HO16&lt;&gt;""),AND(HP16&gt;=HZ$30,HP16&lt;&gt;"",HR16&gt;=HZ$34,HR16&lt;&gt;""),AND(HT16&gt;=HZ$30,HT16&lt;&gt;"",HV16&gt;=HZ$34,HV16&lt;&gt;""),AND(HW16&gt;=HZ$30,HW16&lt;&gt;"",HY16&gt;=HZ$34,HY16&lt;&gt;""),AND(IU16&gt;=JH$30,IU16&lt;&gt;"",IW16&gt;=JH$34,IW16&lt;&gt;""),AND(IX16&gt;=JH$30,IX16&lt;&gt;"",IZ16&gt;=JH$34,IZ16&lt;&gt;""),AND(JB16&gt;=JH$30,JB16&lt;&gt;"",JD16&gt;=JH$34,JD16&lt;&gt;""),AND(JE16&gt;=JH$30,JE16&lt;&gt;"",JG16&gt;=JH$34,JG16&lt;&gt;""),AND(KC16&gt;=KP$30,KC16&lt;&gt;"",KE16&gt;=KP$34,KE16&lt;&gt;""),AND(KF16&gt;=KP$30,KF16&lt;&gt;"",KH16&gt;=KP$34,KH16&lt;&gt;""),AND(KJ16&gt;=KP$30,KJ16&lt;&gt;"",KL16&gt;=KP$34,KL16&lt;&gt;""),AND(KM16&gt;=KP$30,KM16&lt;&gt;"",KO16&gt;=KP$34,KO16&lt;&gt;""),AND(LK16&gt;=LX$30,LK16&lt;&gt;"",LM16&gt;=LX$34,LM16&lt;&gt;""),AND(LN16&gt;=LX$30,LN16&lt;&gt;"",LP16&gt;=LX$34,LP16&lt;&gt;""),AND(LR16&gt;=LX$30,LR16&lt;&gt;"",LT16&gt;=LX$34,LT16&lt;&gt;""),AND(LU16&gt;=LX$30,LU16&lt;&gt;"",LW16&gt;=LX$34,LW16&lt;&gt;""),AND(MS16&gt;=NF$30,MS16&lt;&gt;"",MU16&gt;=NF$34,MU16&lt;&gt;""),AND(MV16&gt;=NF$30,MV16&lt;&gt;"",MX16&gt;=NF$34,MX16&lt;&gt;""),AND(MZ16&gt;=NF$30,MZ16&lt;&gt;"",NB16&gt;=NF$34,NB16&lt;&gt;""),AND(NC16&gt;=NF$30,NC16&lt;&gt;"",NE16&gt;=NF$34,NE16&lt;&gt;""),AND(OA16&gt;=ON$30,OA16&lt;&gt;"",OC16&gt;=ON$34,OC16&lt;&gt;""),AND(OD16&gt;=ON$30,OD16&lt;&gt;"",OF16&gt;=ON$34,OF16&lt;&gt;""),AND(OH16&gt;=ON$30,OH16&lt;&gt;"",OJ16&gt;=ON$34,OJ16&lt;&gt;""),AND(OK16&gt;=ON$30,OK16&lt;&gt;"",OM16&gt;=ON$34,OM16&lt;&gt;""),AND(PI16&gt;=PV$30,PI16&lt;&gt;"",PK16&gt;=PV$34,PK16&lt;&gt;""),AND(PL16&gt;=PV$30,PL16&lt;&gt;"",PN16&gt;=PV$34,PN16&lt;&gt;""),AND(PP16&gt;=PV$30,PP16&lt;&gt;"",PR16&gt;=PV$34,PR16&lt;&gt;""),AND(PS16&gt;=PV$30,PS16&lt;&gt;"",PU16&gt;=PV$34,PU16&lt;&gt;""),AND(QQ16&gt;=RD$30,QQ16&lt;&gt;"",QS16&gt;=RD$34,QS16&lt;&gt;""),AND(QT16&gt;=RD$30,QT16&lt;&gt;"",QV16&gt;=RD$34,QV16&lt;&gt;""),AND(QX16&gt;=RD$30,QX16&lt;&gt;"",QZ16&gt;=RD$34,QZ16&lt;&gt;""),AND(RA16&gt;=RD$30,RA16&lt;&gt;"",RC16&gt;=RD$34,RC16&lt;&gt;""),AND(RY16&gt;=SL$30,RY16&lt;&gt;"",SA16&gt;=SL$34,SA16&lt;&gt;""),AND(SB16&gt;=SL$30,SB16&lt;&gt;"",SD16&gt;=SL$34,SD16&lt;&gt;""),AND(SF16&gt;=SL$30,SF16&lt;&gt;"",SH16&gt;=SL$34,SH16&lt;&gt;""),AND(SI16&gt;=SL$30,SI16&lt;&gt;"",SK16&gt;=SL$34,SK16&lt;&gt;""),AND(TG16&gt;=TT$30,TG16&lt;&gt;"",TI16&gt;=TT$34,TI16&lt;&gt;""),AND(TJ16&gt;=TT$30,TJ16&lt;&gt;"",TL16&gt;=TT$34,TL16&lt;&gt;""),AND(TN16&gt;=TT$30,TN16&lt;&gt;"",TP16&gt;=TT$34,TXN16&lt;&gt;""),AND(TQ16&gt;=TT$30,TQ16&lt;&gt;"",TS16&gt;=TT$34,TS16&lt;&gt;""),AND(UO16&gt;=VB$30,UO16&lt;&gt;"",UQ16&gt;=VB$34,UQ16&lt;&gt;""),AND(UR16&gt;=VB$30,UR16&lt;&gt;"",UT16&gt;=VB$34,UT16&lt;&gt;""),AND(UV16&gt;=VB$30,UV16&lt;&gt;"",UX16&gt;=VB$34,UX16&lt;&gt;""),AND(UY16&gt;=VB$30,UY16&lt;&gt;"",VA16&gt;=VB$34,VA16&lt;&gt;""),AND(VW16&gt;=WJ$30,VW16&lt;&gt;"",VY16&gt;=WJ$34,VY16&lt;&gt;""),AND(VZ16&gt;=WJ$30,VZ16&lt;&gt;"",WB16&gt;=WJ$34,WB16&lt;&gt;""),AND(WD16&gt;=WJ$30,WD16&lt;&gt;"",WF16&gt;=WJ$34,WF16&lt;&gt;""),AND(WG16&gt;=WJ$30,WG16&lt;&gt;"",WI16&gt;=WJ$34,WI16&lt;&gt;"")),"P","")</f>
        <v/>
      </c>
      <c r="G16" s="3" t="str">
        <f>IF(OR(AND(AI16&gt;=AQ$34,AI16&lt;&gt;"",AF16=""),AND(AL16&gt;=AQ$34,AL16&lt;&gt;"",AF16=""),AND(AP16&gt;=AQ$34,AP16&lt;&gt;"",AF16=""),AND(BJ16&gt;=BR$34,BJ16&lt;&gt;"",BG16=""),AND(BM16&gt;=BR$34,BM16&lt;&gt;"",BG16=""),AND(BQ16&gt;=BR$34,BQ16&lt;&gt;"",BG16=""),AND(CK16&gt;=CS$34,CK16&lt;&gt;"",CH16=""),AND(CN16&gt;=CS$34,CN16&lt;&gt;"",CH16=""),AND(CR16&gt;=CS$34,CR16&lt;&gt;"",CH16=""),AND(DQ16&gt;=EB$34,DQ16&lt;&gt;""),AND(DT16&gt;=EB$34,DT16&lt;&gt;""),AND(DX16&gt;=EB$34,DX16&lt;&gt;""),AND(EA16&gt;=EB$34,EA16&lt;&gt;""),AND(EY16&gt;=FJ$34,EY16&lt;&gt;""),AND(FB16&gt;=FJ$34,FB16&lt;&gt;""),AND(FF16&gt;=FJ$34,FF16&lt;&gt;""),AND(FI16&gt;=FJ$34,FI16&lt;&gt;""),AND(GG16&gt;=GR$34,GG16&lt;&gt;""),AND(GJ16&gt;=GR$34,GJ16&lt;&gt;""),AND(GN16&gt;=GR$34,GN16&lt;&gt;""),AND(GQ16&gt;=GR$34,GQ16&lt;&gt;""),AND(HO16&gt;=HZ$34,HO16&lt;&gt;""),AND(HR16&gt;=HZ$34,HR16&lt;&gt;""),AND(HV16&gt;=HZ$34,HV16&lt;&gt;""),AND(HY16&gt;=HZ$34,HY16&lt;&gt;""),AND(IW16&gt;=JH$34,IW16&lt;&gt;""),AND(IZ16&gt;=JH$34,IZ16&lt;&gt;""),AND(JD16&gt;=JH$34,JD16&lt;&gt;""),AND(JG16&gt;=JH$34,JG16&lt;&gt;""),AND(KE16&gt;=KP$34,KE16&lt;&gt;""),AND(KH16&gt;=KP$34,KH16&lt;&gt;""),AND(KL16&gt;=KP$34,KL16&lt;&gt;""),AND(KO16&gt;=KP$34,KO16&lt;&gt;""),AND(LM16&gt;=LX$34,LM16&lt;&gt;""),AND(LP16&gt;=LX$34,LP16&lt;&gt;""),AND(LT16&gt;=LX$34,LT16&lt;&gt;""),AND(LW16&gt;=LX$34,LW16&lt;&gt;""),AND(MU16&gt;=NF$34,MU16&lt;&gt;""),AND(MX16&gt;=NF$34,MX16&lt;&gt;""),AND(NB16&gt;=NF$34,NB16&lt;&gt;""),AND(NE16&gt;=NF$34,NE16&lt;&gt;""),AND(OC16&gt;=ON$34,OC16&lt;&gt;""),AND(OF16&gt;=ON$34,OF16&lt;&gt;""),AND(OJ16&gt;=ON$34,OJ16&lt;&gt;""),AND(OM16&gt;=ON$34,OM16&lt;&gt;""),AND(PK16&gt;=PV$34,PK16&lt;&gt;""),AND(PN16&gt;=PV$34,PN16&lt;&gt;""),AND(PR16&gt;=PV$34,PR16&lt;&gt;""),AND(PU16&gt;=PV$34,PU16&lt;&gt;""),AND(QS16&gt;=RD$34,QS16&lt;&gt;""),AND(QV16&gt;=RD$34,QV16&lt;&gt;""),AND(QZ16&gt;=RD$34,QZ16&lt;&gt;""),AND(RC16&gt;=RD$34,RC16&lt;&gt;""),AND(SA16&gt;=SL$34,SA16&lt;&gt;""),AND(SD16&gt;=SL$34,SD16&lt;&gt;""),AND(SH16&gt;=SL$34,SH16&lt;&gt;""),AND(SK16&gt;=SL$34,SK16&lt;&gt;""),AND(TI16&gt;=TT$34,TI16&lt;&gt;""),AND(TL16&gt;=TT$34,TL16&lt;&gt;""),AND(TP16&gt;=TT$34,TXN16&lt;&gt;""),AND(TS16&gt;=TT$34,TS16&lt;&gt;""),AND(UQ16&gt;=VB$34,UQ16&lt;&gt;""),AND(UT16&gt;=VB$34,UT16&lt;&gt;""),AND(UX16&gt;=VB$34,UX16&lt;&gt;""),AND(VA16&gt;=VB$34,VA16&lt;&gt;""),AND(VY16&gt;=WJ$34,VY16&lt;&gt;""),AND(WB16&gt;=WJ$34,WB16&lt;&gt;""),AND(WF16&gt;=WJ$34,WF16&lt;&gt;""),AND(WI16&gt;=WJ$34,WI16&lt;&gt;"")),"P","")</f>
        <v/>
      </c>
      <c r="H16" s="32" t="str">
        <f>IF(AND(G16="P",F16=""),"No DD",IF(OR(AND(AG16&gt;=AQ$33,AG16&lt;&gt;"",AI16&gt;=AQ$37,AI16&lt;&gt;"",AF16=""),AND(AJ16&gt;=AQ$33,AJ16&lt;&gt;"",AL16&gt;=AQ$37,AL16&lt;&gt;"",AF16=""),AND(AN16&gt;=AQ$33,AN16&lt;&gt;"",AP16&gt;=AQ$37,AP16&lt;&gt;"",AF16=""),AND(BH16&gt;=BR$33,BH16&lt;&gt;"",BJ16&gt;=BR$37,BJ16&lt;&gt;"",BG16=""),AND(BK16&gt;=BR$33,BK16&lt;&gt;"",BM16&gt;=BR$37,BM16&lt;&gt;"",BG16=""),AND(BO16&gt;=BR$33,BO16&lt;&gt;"",BQ16&gt;=BR$37,BQ16&lt;&gt;"",BG16=""),AND(CI16&gt;=CS$33,CI16&lt;&gt;"",CK16&gt;=CS$37,CK16&lt;&gt;"",CH16=""),AND(CL16&gt;=CS$33,CL16&lt;&gt;"",CN16&gt;=CS$37,CN16&lt;&gt;"",CH16=""),AND(CP16&gt;=CS$33,CP16&lt;&gt;"",CR16&gt;=CS$37,CR16&lt;&gt;"",CH16=""),AND(DO16&gt;=EB$33,DO16&lt;&gt;"",DQ16&gt;=EB$37,DQ16&lt;&gt;""),AND(DR16&gt;=EB$33,DR16&lt;&gt;"",DT16&gt;=EB$37,DT16&lt;&gt;""),AND(DV16&gt;=EB$33,DV16&lt;&gt;"",DX16&gt;=EB$37,DX16&lt;&gt;""),AND(DY16&gt;=EB$33,DY16&lt;&gt;"",EA16&gt;=EB$37,EA16&lt;&gt;""),AND(EW16&gt;=FJ$33,EW16&lt;&gt;"",EY16&gt;=FJ$37,EY16&lt;&gt;""),AND(EZ16&gt;=FJ$33,EZ16&lt;&gt;"",FB16&gt;=FJ$37,FB16&lt;&gt;""),AND(FD16&gt;=FJ$33,FD16&lt;&gt;"",FF16&gt;=FJ$37,FF16&lt;&gt;""),AND(FG16&gt;=FJ$33,FG16&lt;&gt;"",FI16&gt;=FJ$37,FI16&lt;&gt;""),AND(GE16&gt;=GR$33,GE16&lt;&gt;"",GG16&gt;=GR$37,GG16&lt;&gt;""),AND(GH16&gt;=GR$33,GH16&lt;&gt;"",GJ16&gt;=GR$37,GJ16&lt;&gt;""),AND(GL16&gt;=GR$33,GL16&lt;&gt;"",GN16&gt;=GR$37,GN16&lt;&gt;""),AND(GO16&gt;=GR$33,GO16&lt;&gt;"",GQ16&gt;=GR$37,GQ16&lt;&gt;""),AND(HM16&gt;=HZ$33,HM16&lt;&gt;"",HO16&gt;=HZ$37,HO16&lt;&gt;""),AND(HP16&gt;=HZ$33,HP16&lt;&gt;"",HR16&gt;=HZ$37,HR16&lt;&gt;""),AND(HT16&gt;=HZ$33,HT16&lt;&gt;"",HV16&gt;=HZ$37,HV16&lt;&gt;""),AND(HW16&gt;=HZ$33,HW16&lt;&gt;"",HY16&gt;=HZ$37,HY16&lt;&gt;""),AND(IU16&gt;=JH$33,IU16&lt;&gt;"",IW16&gt;=JH$37,IW16&lt;&gt;""),AND(IX16&gt;=JH$33,IX16&lt;&gt;"",IZ16&gt;=JH$37,IZ16&lt;&gt;""),AND(JB16&gt;=JH$33,JB16&lt;&gt;"",JD16&gt;=JH$37,JD16&lt;&gt;""),AND(JE16&gt;=JH$33,JE16&lt;&gt;"",JG16&gt;=JH$37,JG16&lt;&gt;""),AND(KC16&gt;=KP$33,KC16&lt;&gt;"",KE16&gt;=KP$37,KE16&lt;&gt;""),AND(KF16&gt;=KP$33,KF16&lt;&gt;"",KH16&gt;=KP$37,KH16&lt;&gt;""),AND(KJ16&gt;=KP$33,KJ16&lt;&gt;"",KL16&gt;=KP$37,KL16&lt;&gt;""),AND(KM16&gt;=KP$33,KM16&lt;&gt;"",KO16&gt;=KP$37,KO16&lt;&gt;""),AND(LK16&gt;=LX$33,LK16&lt;&gt;"",LM16&gt;=LX$37,LM16&lt;&gt;""),AND(LN16&gt;=LX$33,LN16&lt;&gt;"",LP16&gt;=LX$37,LP16&lt;&gt;""),AND(LR16&gt;=LX$33,LR16&lt;&gt;"",LT16&gt;=LX$37,LT16&lt;&gt;""),AND(LU16&gt;=LX$33,LU16&lt;&gt;"",LW16&gt;=LX$37,LW16&lt;&gt;""),AND(MS16&gt;=NF$33,MS16&lt;&gt;"",MU16&gt;=NF$37,MU16&lt;&gt;""),AND(MV16&gt;=NF$33,MV16&lt;&gt;"",MX16&gt;=NF$37,MX16&lt;&gt;""),AND(MZ16&gt;=NF$33,MZ16&lt;&gt;"",NB16&gt;=NF$37,NB16&lt;&gt;""),AND(NC16&gt;=NF$33,NC16&lt;&gt;"",NE16&gt;=NF$37,NE16&lt;&gt;""),AND(OA16&gt;=ON$33,OA16&lt;&gt;"",OC16&gt;=ON$37,OC16&lt;&gt;""),AND(OD16&gt;=ON$33,OD16&lt;&gt;"",OF16&gt;=ON$37,OF16&lt;&gt;""),AND(OH16&gt;=ON$33,OH16&lt;&gt;"",OJ16&gt;=ON$37,OJ16&lt;&gt;""),AND(OK16&gt;=ON$33,OK16&lt;&gt;"",OM16&gt;=ON$37,OM16&lt;&gt;""),AND(PI16&gt;=PV$33,PI16&lt;&gt;"",PK16&gt;=PV$37,PK16&lt;&gt;""),AND(PL16&gt;=PV$33,PL16&lt;&gt;"",PN16&gt;=PV$37,PN16&lt;&gt;""),AND(PP16&gt;=PV$33,PP16&lt;&gt;"",PR16&gt;=PV$37,PR16&lt;&gt;""),AND(PS16&gt;=PV$33,PS16&lt;&gt;"",PU16&gt;=PV$37,PU16&lt;&gt;""),AND(QQ16&gt;=RD$33,QQ16&lt;&gt;"",QS16&gt;=RD$37,QS16&lt;&gt;""),AND(QT16&gt;=RD$33,QT16&lt;&gt;"",QV16&gt;=RD$37,QV16&lt;&gt;""),AND(QX16&gt;=RD$33,QX16&lt;&gt;"",QZ16&gt;=RD$37,QZ16&lt;&gt;""),AND(RA16&gt;=RD$33,RA16&lt;&gt;"",RC16&gt;=RD$37,RC16&lt;&gt;""),AND(RY16&gt;=SL$33,RY16&lt;&gt;"",SA16&gt;=SL$37,SA16&lt;&gt;""),AND(SB16&gt;=SL$33,SB16&lt;&gt;"",SD16&gt;=SL$37,SD16&lt;&gt;""),AND(SF16&gt;=SL$33,SF16&lt;&gt;"",SH16&gt;=SL$37,SH16&lt;&gt;""),AND(SI16&gt;=SL$33,SI16&lt;&gt;"",SK16&gt;=SL$37,SK16&lt;&gt;""),AND(TG16&gt;=TT$33,TG16&lt;&gt;"",TI16&gt;=TT$37,TI16&lt;&gt;""),AND(TJ16&gt;=TT$33,TJ16&lt;&gt;"",TL16&gt;=TT$37,TL16&lt;&gt;""),AND(TN16&gt;=TT$33,TN16&lt;&gt;"",TP16&gt;=TT$357,TXN16&lt;&gt;""),AND(TQ16&gt;=TT$33,TQ16&lt;&gt;"",TS16&gt;=TT$37,TS16&lt;&gt;""),AND(UO16&gt;=VB$33,UO16&lt;&gt;"",UQ16&gt;=VB$37,UQ16&lt;&gt;""),AND(UR16&gt;=VB$33,UR16&lt;&gt;"",UT16&gt;=VB$37,UT16&lt;&gt;""),AND(UV16&gt;=VB$33,UV16&lt;&gt;"",UX16&gt;=VB$37,UX16&lt;&gt;""),AND(UY16&gt;=VB$33,UY16&lt;&gt;"",VA16&gt;=VB$37,VA16&lt;&gt;""),AND(VW16&gt;=WJ$33,VW16&lt;&gt;"",VY16&gt;=WJ$37,VY16&lt;&gt;""),AND(VZ16&gt;=WJ$33,VZ16&lt;&gt;"",WB16&gt;=WJ$37,WB16&lt;&gt;""),AND(WD16&gt;=WJ$33,WD16&lt;&gt;"",WF16&gt;=WJ$37,WF16&lt;&gt;""),AND(WG16&gt;=WJ$33,WG16&lt;&gt;"",WI16&gt;=WJ$37,WI16&lt;&gt;"")),"Merit",IF(OR(AND(AG16&gt;=AQ$32,AG16&lt;&gt;"",AI16&gt;=AQ$36,AI16&lt;&gt;"",AF16=""),AND(AJ16&gt;=AQ$32,AJ16&lt;&gt;"",AL16&gt;=AQ$36,AL16&lt;&gt;"",AF16=""),AND(AN16&gt;=AQ$32,AN16&lt;&gt;"",AP16&gt;=AQ$36,AP16&lt;&gt;"",AF16=""),AND(BH16&gt;=BR$32,BH16&lt;&gt;"",BJ16&gt;=BR$36,BJ16&lt;&gt;"",BG16=""),AND(BK16&gt;=BR$32,BK16&lt;&gt;"",BM16&gt;=BR$36,BM16&lt;&gt;"",BG16=""),AND(BO16&gt;=BR$32,BO16&lt;&gt;"",BQ16&gt;=BR$36,BQ16&lt;&gt;"",BG16=""),AND(CI16&gt;=CS$32,CI16&lt;&gt;"",CK16&gt;=CS$36,CK16&lt;&gt;"",CH16=""),AND(CL16&gt;=CS$32,CL16&lt;&gt;"",CN16&gt;=CS$36,CN16&lt;&gt;"",CH16=""),AND(CP16&gt;=CS$32,CP16&lt;&gt;"",CR16&gt;=CS$36,CR16&lt;&gt;"",CH16=""),AND(DO16&gt;=EB$32,DO16&lt;&gt;"",DQ16&gt;=EB$36,DQ16&lt;&gt;""),AND(DR16&gt;=EB$32,DR16&lt;&gt;"",DT16&gt;=EB$36,DT16&lt;&gt;""),AND(DV16&gt;=EB$32,DV16&lt;&gt;"",DX16&gt;=EB$36,DX16&lt;&gt;""),AND(DY16&gt;=EB$32,DY16&lt;&gt;"",EA16&gt;=EB$36,EA16&lt;&gt;""),AND(EW16&gt;=FJ$32,EW16&lt;&gt;"",EY16&gt;=FJ$36,EY16&lt;&gt;""),AND(EZ16&gt;=FJ$32,EZ16&lt;&gt;"",FB16&gt;=FJ$36,FB16&lt;&gt;""),AND(FD16&gt;=FJ$32,FD16&lt;&gt;"",FF16&gt;=FJ$36,FF16&lt;&gt;""),AND(FG16&gt;=FJ$32,FG16&lt;&gt;"",FI16&gt;=FJ$36,FI16&lt;&gt;""),AND(GE16&gt;=GR$32,GE16&lt;&gt;"",GG16&gt;=GR$36,GG16&lt;&gt;""),AND(GH16&gt;=GR$32,GH16&lt;&gt;"",GJ16&gt;=GR$36,GJ16&lt;&gt;""),AND(GL16&gt;=GR$32,GL16&lt;&gt;"",GN16&gt;=GR$36,GN16&lt;&gt;""),AND(GO16&gt;=GR$32,GO16&lt;&gt;"",GQ16&gt;=GR$36,GQ16&lt;&gt;""),AND(HM16&gt;=HZ$32,HM16&lt;&gt;"",HO16&gt;=HZ$36,HO16&lt;&gt;""),AND(HP16&gt;=HZ$32,HP16&lt;&gt;"",HR16&gt;=HZ$36,HR16&lt;&gt;""),AND(HT16&gt;=HZ$32,HT16&lt;&gt;"",HV16&gt;=HZ$36,HV16&lt;&gt;""),AND(HW16&gt;=HZ$32,HW16&lt;&gt;"",HY16&gt;=HZ$36,HY16&lt;&gt;""),AND(IU16&gt;=JH$32,IU16&lt;&gt;"",IW16&gt;=JH$36,IW16&lt;&gt;""),AND(IX16&gt;=JH$32,IX16&lt;&gt;"",IZ16&gt;=JH$36,IZ16&lt;&gt;""),AND(JB16&gt;=JH$32,JB16&lt;&gt;"",JD16&gt;=JH$36,JD16&lt;&gt;""),AND(JE16&gt;=JH$32,JE16&lt;&gt;"",JG16&gt;=JH$36,JG16&lt;&gt;""),AND(KC16&gt;=KP$32,KC16&lt;&gt;"",KE16&gt;=KP$36,KE16&lt;&gt;""),AND(KF16&gt;=KP$32,KF16&lt;&gt;"",KH16&gt;=KP$36,KH16&lt;&gt;""),AND(KJ16&gt;=KP$32,KJ16&lt;&gt;"",KL16&gt;=KP$36,KL16&lt;&gt;""),AND(KM16&gt;=KP$32,KM16&lt;&gt;"",KO16&gt;=KP$36,KO16&lt;&gt;""),AND(LK16&gt;=LX$32,LK16&lt;&gt;"",LM16&gt;=LX$36,LM16&lt;&gt;""),AND(LN16&gt;=LX$32,LN16&lt;&gt;"",LP16&gt;=LX$36,LP16&lt;&gt;""),AND(LR16&gt;=LX$32,LR16&lt;&gt;"",LT16&gt;=LX$36,LT16&lt;&gt;""),AND(LU16&gt;=LX$32,LU16&lt;&gt;"",LW16&gt;=LX$36,LW16&lt;&gt;""),AND(MS16&gt;=NF$32,MS16&lt;&gt;"",MU16&gt;=NF$36,MU16&lt;&gt;""),AND(MV16&gt;=NF$32,MV16&lt;&gt;"",MX16&gt;=NF$36,MX16&lt;&gt;""),AND(MZ16&gt;=NF$32,MZ16&lt;&gt;"",NB16&gt;=NF$36,NB16&lt;&gt;""),AND(NC16&gt;=NF$32,NC16&lt;&gt;"",NE16&gt;=NF$36,NE16&lt;&gt;""),AND(OA16&gt;=ON$32,OA16&lt;&gt;"",OC16&gt;=ON$36,OC16&lt;&gt;""),AND(OD16&gt;=ON$32,OD16&lt;&gt;"",OF16&gt;=ON$36,OF16&lt;&gt;""),AND(OH16&gt;=ON$32,OH16&lt;&gt;"",OJ16&gt;=ON$36,OJ16&lt;&gt;""),AND(OK16&gt;=ON$32,OK16&lt;&gt;"",OM16&gt;=ON$36,OM16&lt;&gt;""),AND(PI16&gt;=PV$32,PI16&lt;&gt;"",PK16&gt;=PV$36,PK16&lt;&gt;""),AND(PL16&gt;=PV$32,PL16&lt;&gt;"",PN16&gt;=PV$36,PN16&lt;&gt;""),AND(PP16&gt;=PV$32,PP16&lt;&gt;"",PR16&gt;=PV$36,PR16&lt;&gt;""),AND(PS16&gt;=PV$32,PS16&lt;&gt;"",PU16&gt;=PV$36,PU16&lt;&gt;""),AND(QQ16&gt;=RD$32,QQ16&lt;&gt;"",QS16&gt;=RD$36,QS16&lt;&gt;""),AND(QT16&gt;=RD$32,QT16&lt;&gt;"",QV16&gt;=RD$36,QV16&lt;&gt;""),AND(QX16&gt;=RD$32,QX16&lt;&gt;"",QZ16&gt;=RD$36,QZ16&lt;&gt;""),AND(RA16&gt;=RD$32,RA16&lt;&gt;"",RC16&gt;=RD$36,RC16&lt;&gt;""),AND(RY16&gt;=SL$32,RY16&lt;&gt;"",SA16&gt;=SL$36,SA16&lt;&gt;""),AND(SB16&gt;=SL$32,SB16&lt;&gt;"",SD16&gt;=SL$36,SD16&lt;&gt;""),AND(SF16&gt;=SL$32,SF16&lt;&gt;"",SH16&gt;=SL$36,SH16&lt;&gt;""),AND(SI16&gt;=SL$32,SI16&lt;&gt;"",SK16&gt;=SL$36,SK16&lt;&gt;""),AND(TG16&gt;=TT$32,TG16&lt;&gt;"",TI16&gt;=TT$36,TI16&lt;&gt;""),AND(TJ16&gt;=TT$32,TJ16&lt;&gt;"",TL16&gt;=TT$36,TL16&lt;&gt;""),AND(TN16&gt;=TT$32,TN16&lt;&gt;"",TP16&gt;=TT$36,TXN16&lt;&gt;""),AND(TQ16&gt;=TT$32,TQ16&lt;&gt;"",TS16&gt;=TT$36,TS16&lt;&gt;""),AND(UO16&gt;=VB$32,UO16&lt;&gt;"",UQ16&gt;=VB$36,UQ16&lt;&gt;""),AND(UR16&gt;=VB$32,UR16&lt;&gt;"",UT16&gt;=VB$36,UT16&lt;&gt;""),AND(UV16&gt;=VB$32,UV16&lt;&gt;"",UX16&gt;=VB$36,UX16&lt;&gt;""),AND(UY16&gt;=VB$32,UY16&lt;&gt;"",VA16&gt;=VB$36,VA16&lt;&gt;""),AND(VW16&gt;=WJ$32,VW16&lt;&gt;"",VY16&gt;=WJ$36,VY16&lt;&gt;""),AND(VZ16&gt;=WJ$32,VZ16&lt;&gt;"",WB16&gt;=WJ$36,WB16&lt;&gt;""),AND(WD16&gt;=WJ$32,WD16&lt;&gt;"",WF16&gt;=WJ$36,WF16&lt;&gt;""),AND(WG16&gt;=WJ$32,WG16&lt;&gt;"",WI16&gt;=WJ$36,WI16&lt;&gt;"")),"Excellence",IF(I16="P","National Team",IF(F16="P","National Team","")))))</f>
        <v/>
      </c>
      <c r="I16" s="3" t="str">
        <f>IF(COUNTIFS('Senior-M'!B:B,B16,'Senior-M'!A:A,"&lt;9",'Senior-M'!H:H,"&lt;&gt;"&amp;"No DD"),"P","")</f>
        <v/>
      </c>
      <c r="J16" s="8">
        <f t="shared" si="1"/>
        <v>51.900000000000006</v>
      </c>
      <c r="K16" s="8" t="str">
        <f t="shared" si="2"/>
        <v>2026 Elite Canada</v>
      </c>
      <c r="L16" s="8">
        <f>IFERROR(LARGE((AI16,AL16,AP16,BJ16,BM16,BQ16,CK16,CN16,CR16),2),0)</f>
        <v>50.17</v>
      </c>
      <c r="M16" s="8" t="str">
        <f t="shared" si="3"/>
        <v>2026 Elite Canada</v>
      </c>
      <c r="N16" s="8">
        <f t="shared" si="4"/>
        <v>1.3499999999999943</v>
      </c>
      <c r="O16" s="11" t="str">
        <f>IF(N16=0,"",IF(N16=CT16,"("&amp;CT$2&amp;")",IF(N16=#REF!,"("&amp;#REF!&amp;")")))</f>
        <v>(Any)</v>
      </c>
      <c r="P16" s="8" t="str">
        <f t="shared" si="5"/>
        <v>2025 Coimbra Gym Fest (July 6)</v>
      </c>
      <c r="Q16" s="18">
        <v>11.1</v>
      </c>
      <c r="R16" s="18">
        <v>9.6</v>
      </c>
      <c r="S16" s="18">
        <v>11.7</v>
      </c>
      <c r="T16" s="18">
        <v>13.88</v>
      </c>
      <c r="U16" s="18">
        <v>0.6</v>
      </c>
      <c r="V16" s="18">
        <v>11.9</v>
      </c>
      <c r="W16" s="18">
        <v>8.8000000000000007</v>
      </c>
      <c r="X16" s="18">
        <v>12.1</v>
      </c>
      <c r="Y16" s="18">
        <v>14.61</v>
      </c>
      <c r="Z16" s="18">
        <v>0.4</v>
      </c>
      <c r="AA16" s="18">
        <v>12.4</v>
      </c>
      <c r="AB16" s="18">
        <v>9</v>
      </c>
      <c r="AC16" s="18">
        <v>14.5</v>
      </c>
      <c r="AD16" s="18">
        <v>14.25</v>
      </c>
      <c r="AE16" s="18">
        <v>0</v>
      </c>
      <c r="AF16" s="23"/>
      <c r="AG16" s="34">
        <f t="shared" si="6"/>
        <v>11.7</v>
      </c>
      <c r="AH16" s="34">
        <f t="shared" si="7"/>
        <v>13.88</v>
      </c>
      <c r="AI16" s="36">
        <f t="shared" si="8"/>
        <v>45.68</v>
      </c>
      <c r="AJ16" s="36">
        <f t="shared" si="9"/>
        <v>12.1</v>
      </c>
      <c r="AK16" s="36">
        <f t="shared" si="10"/>
        <v>14.61</v>
      </c>
      <c r="AL16" s="36">
        <f t="shared" si="11"/>
        <v>47.010000000000005</v>
      </c>
      <c r="AM16" s="36">
        <f t="shared" si="12"/>
        <v>47.010000000000005</v>
      </c>
      <c r="AN16" s="36">
        <f t="shared" si="13"/>
        <v>14.5</v>
      </c>
      <c r="AO16" s="36">
        <f t="shared" si="14"/>
        <v>14.25</v>
      </c>
      <c r="AP16" s="36">
        <f t="shared" si="15"/>
        <v>50.15</v>
      </c>
      <c r="AQ16" s="36">
        <f t="shared" si="16"/>
        <v>97.16</v>
      </c>
      <c r="AR16" s="22">
        <v>1.4</v>
      </c>
      <c r="AS16" s="22">
        <v>0.8</v>
      </c>
      <c r="AT16" s="22">
        <v>2</v>
      </c>
      <c r="AU16" s="22">
        <v>1.71</v>
      </c>
      <c r="AV16" s="22">
        <v>0</v>
      </c>
      <c r="AW16" s="22">
        <v>5.6</v>
      </c>
      <c r="AX16" s="22">
        <v>3.5</v>
      </c>
      <c r="AY16" s="22">
        <v>6.1</v>
      </c>
      <c r="AZ16" s="22">
        <v>6.45</v>
      </c>
      <c r="BA16" s="22">
        <v>0</v>
      </c>
      <c r="BB16" s="22">
        <v>1.6</v>
      </c>
      <c r="BC16" s="22">
        <v>0.7</v>
      </c>
      <c r="BD16" s="22">
        <v>2</v>
      </c>
      <c r="BE16" s="22">
        <v>1.74</v>
      </c>
      <c r="BF16" s="22">
        <v>0</v>
      </c>
      <c r="BG16" s="24"/>
      <c r="BH16" s="35">
        <f t="shared" si="17"/>
        <v>2</v>
      </c>
      <c r="BI16" s="35">
        <f t="shared" si="18"/>
        <v>1.71</v>
      </c>
      <c r="BJ16" s="11">
        <f t="shared" si="19"/>
        <v>5.91</v>
      </c>
      <c r="BK16" s="11">
        <f t="shared" si="20"/>
        <v>6.1</v>
      </c>
      <c r="BL16" s="11">
        <f t="shared" si="21"/>
        <v>6.45</v>
      </c>
      <c r="BM16" s="11">
        <f t="shared" si="22"/>
        <v>21.65</v>
      </c>
      <c r="BN16" s="11">
        <f t="shared" si="23"/>
        <v>21.65</v>
      </c>
      <c r="BO16" s="11">
        <f t="shared" si="24"/>
        <v>2</v>
      </c>
      <c r="BP16" s="11">
        <f t="shared" si="25"/>
        <v>1.74</v>
      </c>
      <c r="BQ16" s="11">
        <f t="shared" si="26"/>
        <v>6.04</v>
      </c>
      <c r="BR16" s="11">
        <f t="shared" si="27"/>
        <v>27.689999999999998</v>
      </c>
      <c r="BS16" s="18">
        <v>14.3</v>
      </c>
      <c r="BT16" s="18">
        <v>9</v>
      </c>
      <c r="BU16" s="18">
        <v>13.9</v>
      </c>
      <c r="BV16" s="18">
        <v>14.7</v>
      </c>
      <c r="BW16" s="18">
        <v>0</v>
      </c>
      <c r="BX16" s="18">
        <v>1.6</v>
      </c>
      <c r="BY16" s="18">
        <v>1</v>
      </c>
      <c r="BZ16" s="18">
        <v>2</v>
      </c>
      <c r="CA16" s="18">
        <v>1.66</v>
      </c>
      <c r="CB16" s="18">
        <v>0.2</v>
      </c>
      <c r="CC16" s="18">
        <v>13.1</v>
      </c>
      <c r="CD16" s="18">
        <v>9.1</v>
      </c>
      <c r="CE16" s="18">
        <v>13.3</v>
      </c>
      <c r="CF16" s="18">
        <v>14.67</v>
      </c>
      <c r="CG16" s="18">
        <v>0</v>
      </c>
      <c r="CH16" s="23"/>
      <c r="CI16" s="34">
        <f t="shared" si="28"/>
        <v>13.9</v>
      </c>
      <c r="CJ16" s="34">
        <f t="shared" si="29"/>
        <v>14.7</v>
      </c>
      <c r="CK16" s="36">
        <f t="shared" si="30"/>
        <v>51.900000000000006</v>
      </c>
      <c r="CL16" s="36">
        <f t="shared" si="31"/>
        <v>2</v>
      </c>
      <c r="CM16" s="36">
        <f t="shared" si="32"/>
        <v>1.66</v>
      </c>
      <c r="CN16" s="36">
        <f t="shared" si="33"/>
        <v>6.06</v>
      </c>
      <c r="CO16" s="36">
        <f t="shared" si="34"/>
        <v>51.900000000000006</v>
      </c>
      <c r="CP16" s="36">
        <f t="shared" si="35"/>
        <v>13.3</v>
      </c>
      <c r="CQ16" s="36">
        <f t="shared" si="36"/>
        <v>14.67</v>
      </c>
      <c r="CR16" s="36">
        <f t="shared" si="37"/>
        <v>50.17</v>
      </c>
      <c r="CS16" s="36">
        <f t="shared" si="38"/>
        <v>102.07000000000001</v>
      </c>
      <c r="CT16" s="47">
        <f t="shared" si="39"/>
        <v>1.3499999999999943</v>
      </c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36" t="str">
        <f t="shared" si="40"/>
        <v/>
      </c>
      <c r="DP16" s="36" t="str">
        <f t="shared" si="41"/>
        <v/>
      </c>
      <c r="DQ16" s="36" t="str">
        <f t="shared" si="42"/>
        <v/>
      </c>
      <c r="DR16" s="36" t="str">
        <f t="shared" si="43"/>
        <v/>
      </c>
      <c r="DS16" s="36" t="str">
        <f t="shared" si="44"/>
        <v/>
      </c>
      <c r="DT16" s="36" t="str">
        <f t="shared" si="45"/>
        <v/>
      </c>
      <c r="DU16" s="36" t="str">
        <f t="shared" si="46"/>
        <v/>
      </c>
      <c r="DV16" s="36" t="str">
        <f t="shared" si="47"/>
        <v/>
      </c>
      <c r="DW16" s="36" t="str">
        <f t="shared" si="48"/>
        <v/>
      </c>
      <c r="DX16" s="36" t="str">
        <f t="shared" si="49"/>
        <v/>
      </c>
      <c r="DY16" s="36" t="str">
        <f t="shared" si="50"/>
        <v/>
      </c>
      <c r="DZ16" s="36" t="str">
        <f t="shared" si="51"/>
        <v/>
      </c>
      <c r="EA16" s="36" t="str">
        <f t="shared" si="52"/>
        <v/>
      </c>
      <c r="EB16" s="36" t="str">
        <f t="shared" si="53"/>
        <v/>
      </c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1" t="str">
        <f t="shared" si="54"/>
        <v/>
      </c>
      <c r="EX16" s="11" t="str">
        <f t="shared" si="55"/>
        <v/>
      </c>
      <c r="EY16" s="11" t="str">
        <f t="shared" si="56"/>
        <v/>
      </c>
      <c r="EZ16" s="11" t="str">
        <f t="shared" si="57"/>
        <v/>
      </c>
      <c r="FA16" s="11" t="str">
        <f t="shared" si="58"/>
        <v/>
      </c>
      <c r="FB16" s="11" t="str">
        <f t="shared" si="59"/>
        <v/>
      </c>
      <c r="FC16" s="11" t="str">
        <f t="shared" si="60"/>
        <v/>
      </c>
      <c r="FD16" s="11" t="str">
        <f t="shared" si="61"/>
        <v/>
      </c>
      <c r="FE16" s="11" t="str">
        <f t="shared" si="62"/>
        <v/>
      </c>
      <c r="FF16" s="11" t="str">
        <f t="shared" si="63"/>
        <v/>
      </c>
      <c r="FG16" s="11" t="str">
        <f t="shared" si="64"/>
        <v/>
      </c>
      <c r="FH16" s="11" t="str">
        <f t="shared" si="65"/>
        <v/>
      </c>
      <c r="FI16" s="11" t="str">
        <f t="shared" si="66"/>
        <v/>
      </c>
      <c r="FJ16" s="11" t="str">
        <f t="shared" si="67"/>
        <v/>
      </c>
      <c r="FK16" s="15">
        <v>11.6</v>
      </c>
      <c r="FL16" s="15">
        <v>9.1999999999999993</v>
      </c>
      <c r="FM16" s="15">
        <v>14.5</v>
      </c>
      <c r="FN16" s="15">
        <v>14.97</v>
      </c>
      <c r="FO16" s="15">
        <v>0</v>
      </c>
      <c r="FP16" s="15">
        <v>12.5</v>
      </c>
      <c r="FQ16" s="15">
        <v>9.5</v>
      </c>
      <c r="FR16" s="15">
        <v>14.5</v>
      </c>
      <c r="FS16" s="15">
        <v>15.02</v>
      </c>
      <c r="FT16" s="15">
        <v>0</v>
      </c>
      <c r="FU16" s="15">
        <v>4.0999999999999996</v>
      </c>
      <c r="FV16" s="15">
        <v>2.8</v>
      </c>
      <c r="FW16" s="15">
        <v>5</v>
      </c>
      <c r="FX16" s="15">
        <v>4.92</v>
      </c>
      <c r="FY16" s="15">
        <v>0</v>
      </c>
      <c r="FZ16" s="15"/>
      <c r="GA16" s="15"/>
      <c r="GB16" s="15"/>
      <c r="GC16" s="15"/>
      <c r="GD16" s="15"/>
      <c r="GE16" s="36">
        <f t="shared" si="68"/>
        <v>14.5</v>
      </c>
      <c r="GF16" s="36">
        <f t="shared" si="69"/>
        <v>14.97</v>
      </c>
      <c r="GG16" s="36">
        <f t="shared" si="70"/>
        <v>50.269999999999996</v>
      </c>
      <c r="GH16" s="36">
        <f t="shared" si="71"/>
        <v>14.5</v>
      </c>
      <c r="GI16" s="36">
        <f t="shared" si="72"/>
        <v>15.02</v>
      </c>
      <c r="GJ16" s="36">
        <f t="shared" si="73"/>
        <v>51.519999999999996</v>
      </c>
      <c r="GK16" s="36">
        <f t="shared" si="74"/>
        <v>51.519999999999996</v>
      </c>
      <c r="GL16" s="36">
        <f t="shared" si="75"/>
        <v>5</v>
      </c>
      <c r="GM16" s="36">
        <f t="shared" si="76"/>
        <v>4.92</v>
      </c>
      <c r="GN16" s="36">
        <f t="shared" si="77"/>
        <v>16.82</v>
      </c>
      <c r="GO16" s="36" t="str">
        <f t="shared" si="78"/>
        <v/>
      </c>
      <c r="GP16" s="36" t="str">
        <f t="shared" si="79"/>
        <v/>
      </c>
      <c r="GQ16" s="36" t="str">
        <f t="shared" si="80"/>
        <v/>
      </c>
      <c r="GR16" s="36">
        <f t="shared" si="81"/>
        <v>68.34</v>
      </c>
      <c r="GS16" s="16"/>
      <c r="GT16" s="16"/>
      <c r="GU16" s="16"/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1" t="str">
        <f t="shared" si="82"/>
        <v/>
      </c>
      <c r="HN16" s="11" t="str">
        <f t="shared" si="83"/>
        <v/>
      </c>
      <c r="HO16" s="11" t="str">
        <f t="shared" si="84"/>
        <v/>
      </c>
      <c r="HP16" s="11" t="str">
        <f t="shared" si="85"/>
        <v/>
      </c>
      <c r="HQ16" s="11" t="str">
        <f t="shared" si="86"/>
        <v/>
      </c>
      <c r="HR16" s="11" t="str">
        <f t="shared" si="87"/>
        <v/>
      </c>
      <c r="HS16" s="11" t="str">
        <f t="shared" si="88"/>
        <v/>
      </c>
      <c r="HT16" s="11" t="str">
        <f t="shared" si="89"/>
        <v/>
      </c>
      <c r="HU16" s="11" t="str">
        <f t="shared" si="90"/>
        <v/>
      </c>
      <c r="HV16" s="11" t="str">
        <f t="shared" si="91"/>
        <v/>
      </c>
      <c r="HW16" s="11" t="str">
        <f t="shared" si="92"/>
        <v/>
      </c>
      <c r="HX16" s="11" t="str">
        <f t="shared" si="93"/>
        <v/>
      </c>
      <c r="HY16" s="11" t="str">
        <f t="shared" si="94"/>
        <v/>
      </c>
      <c r="HZ16" s="11" t="str">
        <f t="shared" si="95"/>
        <v/>
      </c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36" t="str">
        <f t="shared" si="96"/>
        <v/>
      </c>
      <c r="IV16" s="36" t="str">
        <f t="shared" si="97"/>
        <v/>
      </c>
      <c r="IW16" s="36" t="str">
        <f t="shared" si="98"/>
        <v/>
      </c>
      <c r="IX16" s="36" t="str">
        <f t="shared" si="99"/>
        <v/>
      </c>
      <c r="IY16" s="36" t="str">
        <f t="shared" si="100"/>
        <v/>
      </c>
      <c r="IZ16" s="36" t="str">
        <f t="shared" si="101"/>
        <v/>
      </c>
      <c r="JA16" s="36" t="str">
        <f t="shared" si="102"/>
        <v/>
      </c>
      <c r="JB16" s="36" t="str">
        <f t="shared" si="103"/>
        <v/>
      </c>
      <c r="JC16" s="36" t="str">
        <f t="shared" si="104"/>
        <v/>
      </c>
      <c r="JD16" s="36" t="str">
        <f t="shared" si="105"/>
        <v/>
      </c>
      <c r="JE16" s="36" t="str">
        <f t="shared" si="106"/>
        <v/>
      </c>
      <c r="JF16" s="36" t="str">
        <f t="shared" si="107"/>
        <v/>
      </c>
      <c r="JG16" s="36" t="str">
        <f t="shared" si="108"/>
        <v/>
      </c>
      <c r="JH16" s="36" t="str">
        <f t="shared" si="109"/>
        <v/>
      </c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16"/>
      <c r="JX16" s="16"/>
      <c r="JY16" s="16"/>
      <c r="JZ16" s="16"/>
      <c r="KA16" s="16"/>
      <c r="KB16" s="16"/>
      <c r="KC16" s="11" t="str">
        <f t="shared" si="110"/>
        <v/>
      </c>
      <c r="KD16" s="11" t="str">
        <f t="shared" si="111"/>
        <v/>
      </c>
      <c r="KE16" s="11" t="str">
        <f t="shared" si="112"/>
        <v/>
      </c>
      <c r="KF16" s="11" t="str">
        <f t="shared" si="113"/>
        <v/>
      </c>
      <c r="KG16" s="11" t="str">
        <f t="shared" si="114"/>
        <v/>
      </c>
      <c r="KH16" s="11" t="str">
        <f t="shared" si="115"/>
        <v/>
      </c>
      <c r="KI16" s="11" t="str">
        <f t="shared" si="116"/>
        <v/>
      </c>
      <c r="KJ16" s="11" t="str">
        <f t="shared" si="117"/>
        <v/>
      </c>
      <c r="KK16" s="11" t="str">
        <f t="shared" si="118"/>
        <v/>
      </c>
      <c r="KL16" s="11" t="str">
        <f t="shared" si="119"/>
        <v/>
      </c>
      <c r="KM16" s="11" t="str">
        <f t="shared" si="120"/>
        <v/>
      </c>
      <c r="KN16" s="11" t="str">
        <f t="shared" si="121"/>
        <v/>
      </c>
      <c r="KO16" s="11" t="str">
        <f t="shared" si="122"/>
        <v/>
      </c>
      <c r="KP16" s="11" t="str">
        <f t="shared" si="123"/>
        <v/>
      </c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36" t="str">
        <f t="shared" si="124"/>
        <v/>
      </c>
      <c r="LL16" s="36" t="str">
        <f t="shared" si="125"/>
        <v/>
      </c>
      <c r="LM16" s="36" t="str">
        <f t="shared" si="126"/>
        <v/>
      </c>
      <c r="LN16" s="36" t="str">
        <f t="shared" si="127"/>
        <v/>
      </c>
      <c r="LO16" s="36" t="str">
        <f t="shared" si="128"/>
        <v/>
      </c>
      <c r="LP16" s="36" t="str">
        <f t="shared" si="129"/>
        <v/>
      </c>
      <c r="LQ16" s="36" t="str">
        <f t="shared" si="130"/>
        <v/>
      </c>
      <c r="LR16" s="36" t="str">
        <f t="shared" si="131"/>
        <v/>
      </c>
      <c r="LS16" s="36" t="str">
        <f t="shared" si="132"/>
        <v/>
      </c>
      <c r="LT16" s="36" t="str">
        <f t="shared" si="133"/>
        <v/>
      </c>
      <c r="LU16" s="36" t="str">
        <f t="shared" si="134"/>
        <v/>
      </c>
      <c r="LV16" s="36" t="str">
        <f t="shared" si="135"/>
        <v/>
      </c>
      <c r="LW16" s="36" t="str">
        <f t="shared" si="136"/>
        <v/>
      </c>
      <c r="LX16" s="36" t="str">
        <f t="shared" si="137"/>
        <v/>
      </c>
      <c r="LY16" s="16"/>
      <c r="LZ16" s="16"/>
      <c r="MA16" s="16"/>
      <c r="MB16" s="16"/>
      <c r="MC16" s="16"/>
      <c r="MD16" s="16"/>
      <c r="ME16" s="16"/>
      <c r="MF16" s="16"/>
      <c r="MG16" s="16"/>
      <c r="MH16" s="16"/>
      <c r="MI16" s="16"/>
      <c r="MJ16" s="16"/>
      <c r="MK16" s="16"/>
      <c r="ML16" s="16"/>
      <c r="MM16" s="16"/>
      <c r="MN16" s="16"/>
      <c r="MO16" s="16"/>
      <c r="MP16" s="16"/>
      <c r="MQ16" s="16"/>
      <c r="MR16" s="16"/>
      <c r="MS16" s="11" t="str">
        <f t="shared" si="138"/>
        <v/>
      </c>
      <c r="MT16" s="11" t="str">
        <f t="shared" si="139"/>
        <v/>
      </c>
      <c r="MU16" s="11" t="str">
        <f t="shared" si="140"/>
        <v/>
      </c>
      <c r="MV16" s="11" t="str">
        <f t="shared" si="141"/>
        <v/>
      </c>
      <c r="MW16" s="11" t="str">
        <f t="shared" si="142"/>
        <v/>
      </c>
      <c r="MX16" s="11" t="str">
        <f t="shared" si="143"/>
        <v/>
      </c>
      <c r="MY16" s="11" t="str">
        <f t="shared" si="144"/>
        <v/>
      </c>
      <c r="MZ16" s="11" t="str">
        <f t="shared" si="145"/>
        <v/>
      </c>
      <c r="NA16" s="11" t="str">
        <f t="shared" si="146"/>
        <v/>
      </c>
      <c r="NB16" s="11" t="str">
        <f t="shared" si="147"/>
        <v/>
      </c>
      <c r="NC16" s="11" t="str">
        <f t="shared" si="148"/>
        <v/>
      </c>
      <c r="ND16" s="11" t="str">
        <f t="shared" si="149"/>
        <v/>
      </c>
      <c r="NE16" s="11" t="str">
        <f t="shared" si="150"/>
        <v/>
      </c>
      <c r="NF16" s="11" t="str">
        <f t="shared" si="151"/>
        <v/>
      </c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36" t="str">
        <f t="shared" si="152"/>
        <v/>
      </c>
      <c r="OB16" s="36" t="str">
        <f t="shared" si="153"/>
        <v/>
      </c>
      <c r="OC16" s="36" t="str">
        <f t="shared" si="154"/>
        <v/>
      </c>
      <c r="OD16" s="36" t="str">
        <f t="shared" si="155"/>
        <v/>
      </c>
      <c r="OE16" s="36" t="str">
        <f t="shared" si="156"/>
        <v/>
      </c>
      <c r="OF16" s="36" t="str">
        <f t="shared" si="157"/>
        <v/>
      </c>
      <c r="OG16" s="36" t="str">
        <f t="shared" si="158"/>
        <v/>
      </c>
      <c r="OH16" s="36" t="str">
        <f t="shared" si="159"/>
        <v/>
      </c>
      <c r="OI16" s="36" t="str">
        <f t="shared" si="160"/>
        <v/>
      </c>
      <c r="OJ16" s="36" t="str">
        <f t="shared" si="161"/>
        <v/>
      </c>
      <c r="OK16" s="36" t="str">
        <f t="shared" si="162"/>
        <v/>
      </c>
      <c r="OL16" s="36" t="str">
        <f t="shared" si="163"/>
        <v/>
      </c>
      <c r="OM16" s="36" t="str">
        <f t="shared" si="164"/>
        <v/>
      </c>
      <c r="ON16" s="36" t="str">
        <f t="shared" si="165"/>
        <v/>
      </c>
      <c r="OO16" s="16"/>
      <c r="OP16" s="16"/>
      <c r="OQ16" s="16"/>
      <c r="OR16" s="16"/>
      <c r="OS16" s="16"/>
      <c r="OT16" s="16"/>
      <c r="OU16" s="16"/>
      <c r="OV16" s="16"/>
      <c r="OW16" s="16"/>
      <c r="OX16" s="16"/>
      <c r="OY16" s="16"/>
      <c r="OZ16" s="16"/>
      <c r="PA16" s="16"/>
      <c r="PB16" s="16"/>
      <c r="PC16" s="16"/>
      <c r="PD16" s="16"/>
      <c r="PE16" s="16"/>
      <c r="PF16" s="16"/>
      <c r="PG16" s="16"/>
      <c r="PH16" s="16"/>
      <c r="PI16" s="11" t="str">
        <f t="shared" si="166"/>
        <v/>
      </c>
      <c r="PJ16" s="11" t="str">
        <f t="shared" si="167"/>
        <v/>
      </c>
      <c r="PK16" s="11" t="str">
        <f t="shared" si="168"/>
        <v/>
      </c>
      <c r="PL16" s="11" t="str">
        <f t="shared" si="169"/>
        <v/>
      </c>
      <c r="PM16" s="11" t="str">
        <f t="shared" si="170"/>
        <v/>
      </c>
      <c r="PN16" s="11" t="str">
        <f t="shared" si="171"/>
        <v/>
      </c>
      <c r="PO16" s="11" t="str">
        <f t="shared" si="172"/>
        <v/>
      </c>
      <c r="PP16" s="11" t="str">
        <f t="shared" si="173"/>
        <v/>
      </c>
      <c r="PQ16" s="11" t="str">
        <f t="shared" si="174"/>
        <v/>
      </c>
      <c r="PR16" s="11" t="str">
        <f t="shared" si="175"/>
        <v/>
      </c>
      <c r="PS16" s="11" t="str">
        <f t="shared" si="176"/>
        <v/>
      </c>
      <c r="PT16" s="11" t="str">
        <f t="shared" si="177"/>
        <v/>
      </c>
      <c r="PU16" s="11" t="str">
        <f t="shared" si="178"/>
        <v/>
      </c>
      <c r="PV16" s="11" t="str">
        <f t="shared" si="179"/>
        <v/>
      </c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36" t="str">
        <f t="shared" si="180"/>
        <v/>
      </c>
      <c r="QR16" s="36" t="str">
        <f t="shared" si="181"/>
        <v/>
      </c>
      <c r="QS16" s="36" t="str">
        <f t="shared" si="182"/>
        <v/>
      </c>
      <c r="QT16" s="36" t="str">
        <f t="shared" si="183"/>
        <v/>
      </c>
      <c r="QU16" s="36" t="str">
        <f t="shared" si="184"/>
        <v/>
      </c>
      <c r="QV16" s="36" t="str">
        <f t="shared" si="185"/>
        <v/>
      </c>
      <c r="QW16" s="36" t="str">
        <f t="shared" si="186"/>
        <v/>
      </c>
      <c r="QX16" s="36" t="str">
        <f t="shared" si="187"/>
        <v/>
      </c>
      <c r="QY16" s="36" t="str">
        <f t="shared" si="188"/>
        <v/>
      </c>
      <c r="QZ16" s="36" t="str">
        <f t="shared" si="189"/>
        <v/>
      </c>
      <c r="RA16" s="36" t="str">
        <f t="shared" si="190"/>
        <v/>
      </c>
      <c r="RB16" s="36" t="str">
        <f t="shared" si="191"/>
        <v/>
      </c>
      <c r="RC16" s="36" t="str">
        <f t="shared" si="192"/>
        <v/>
      </c>
      <c r="RD16" s="36" t="str">
        <f t="shared" si="193"/>
        <v/>
      </c>
      <c r="RE16" s="16"/>
      <c r="RF16" s="16"/>
      <c r="RG16" s="16"/>
      <c r="RH16" s="16"/>
      <c r="RI16" s="16"/>
      <c r="RJ16" s="16"/>
      <c r="RK16" s="16"/>
      <c r="RL16" s="16"/>
      <c r="RM16" s="16"/>
      <c r="RN16" s="16"/>
      <c r="RO16" s="16"/>
      <c r="RP16" s="16"/>
      <c r="RQ16" s="16"/>
      <c r="RR16" s="16"/>
      <c r="RS16" s="16"/>
      <c r="RT16" s="16"/>
      <c r="RU16" s="16"/>
      <c r="RV16" s="16"/>
      <c r="RW16" s="16"/>
      <c r="RX16" s="16"/>
      <c r="RY16" s="11" t="str">
        <f t="shared" si="194"/>
        <v/>
      </c>
      <c r="RZ16" s="11" t="str">
        <f t="shared" si="195"/>
        <v/>
      </c>
      <c r="SA16" s="11" t="str">
        <f t="shared" si="196"/>
        <v/>
      </c>
      <c r="SB16" s="11" t="str">
        <f t="shared" si="197"/>
        <v/>
      </c>
      <c r="SC16" s="11" t="str">
        <f t="shared" si="198"/>
        <v/>
      </c>
      <c r="SD16" s="11" t="str">
        <f t="shared" si="199"/>
        <v/>
      </c>
      <c r="SE16" s="11" t="str">
        <f t="shared" si="200"/>
        <v/>
      </c>
      <c r="SF16" s="11" t="str">
        <f t="shared" si="201"/>
        <v/>
      </c>
      <c r="SG16" s="11" t="str">
        <f t="shared" si="202"/>
        <v/>
      </c>
      <c r="SH16" s="11" t="str">
        <f t="shared" si="203"/>
        <v/>
      </c>
      <c r="SI16" s="11" t="str">
        <f t="shared" si="204"/>
        <v/>
      </c>
      <c r="SJ16" s="11" t="str">
        <f t="shared" si="205"/>
        <v/>
      </c>
      <c r="SK16" s="11" t="str">
        <f t="shared" si="206"/>
        <v/>
      </c>
      <c r="SL16" s="11" t="str">
        <f t="shared" si="207"/>
        <v/>
      </c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36" t="str">
        <f t="shared" si="208"/>
        <v/>
      </c>
      <c r="TH16" s="36" t="str">
        <f t="shared" si="209"/>
        <v/>
      </c>
      <c r="TI16" s="36" t="str">
        <f t="shared" si="210"/>
        <v/>
      </c>
      <c r="TJ16" s="36" t="str">
        <f t="shared" si="211"/>
        <v/>
      </c>
      <c r="TK16" s="36" t="str">
        <f t="shared" si="212"/>
        <v/>
      </c>
      <c r="TL16" s="36" t="str">
        <f t="shared" si="213"/>
        <v/>
      </c>
      <c r="TM16" s="36" t="str">
        <f t="shared" si="214"/>
        <v/>
      </c>
      <c r="TN16" s="36" t="str">
        <f t="shared" si="215"/>
        <v/>
      </c>
      <c r="TO16" s="36" t="str">
        <f t="shared" si="216"/>
        <v/>
      </c>
      <c r="TP16" s="36" t="str">
        <f t="shared" si="217"/>
        <v/>
      </c>
      <c r="TQ16" s="36" t="str">
        <f t="shared" si="218"/>
        <v/>
      </c>
      <c r="TR16" s="36" t="str">
        <f t="shared" si="219"/>
        <v/>
      </c>
      <c r="TS16" s="36" t="str">
        <f t="shared" si="220"/>
        <v/>
      </c>
      <c r="TT16" s="36" t="str">
        <f t="shared" si="221"/>
        <v/>
      </c>
      <c r="TU16" s="16"/>
      <c r="TV16" s="16"/>
      <c r="TW16" s="16"/>
      <c r="TX16" s="16"/>
      <c r="TY16" s="16"/>
      <c r="TZ16" s="16"/>
      <c r="UA16" s="16"/>
      <c r="UB16" s="16"/>
      <c r="UC16" s="16"/>
      <c r="UD16" s="16"/>
      <c r="UE16" s="16"/>
      <c r="UF16" s="16"/>
      <c r="UG16" s="16"/>
      <c r="UH16" s="16"/>
      <c r="UI16" s="16"/>
      <c r="UJ16" s="16"/>
      <c r="UK16" s="16"/>
      <c r="UL16" s="16"/>
      <c r="UM16" s="16"/>
      <c r="UN16" s="16"/>
      <c r="UO16" s="11" t="str">
        <f t="shared" si="222"/>
        <v/>
      </c>
      <c r="UP16" s="11" t="str">
        <f t="shared" si="223"/>
        <v/>
      </c>
      <c r="UQ16" s="11" t="str">
        <f t="shared" si="224"/>
        <v/>
      </c>
      <c r="UR16" s="11" t="str">
        <f t="shared" si="225"/>
        <v/>
      </c>
      <c r="US16" s="11" t="str">
        <f t="shared" si="226"/>
        <v/>
      </c>
      <c r="UT16" s="11" t="str">
        <f t="shared" si="227"/>
        <v/>
      </c>
      <c r="UU16" s="11" t="str">
        <f t="shared" si="228"/>
        <v/>
      </c>
      <c r="UV16" s="11" t="str">
        <f t="shared" si="229"/>
        <v/>
      </c>
      <c r="UW16" s="11" t="str">
        <f t="shared" si="230"/>
        <v/>
      </c>
      <c r="UX16" s="11" t="str">
        <f t="shared" si="231"/>
        <v/>
      </c>
      <c r="UY16" s="11" t="str">
        <f t="shared" si="232"/>
        <v/>
      </c>
      <c r="UZ16" s="11" t="str">
        <f t="shared" si="233"/>
        <v/>
      </c>
      <c r="VA16" s="11" t="str">
        <f t="shared" si="234"/>
        <v/>
      </c>
      <c r="VB16" s="11" t="str">
        <f t="shared" si="235"/>
        <v/>
      </c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36" t="str">
        <f t="shared" si="236"/>
        <v/>
      </c>
      <c r="VX16" s="36" t="str">
        <f t="shared" si="237"/>
        <v/>
      </c>
      <c r="VY16" s="36" t="str">
        <f t="shared" si="238"/>
        <v/>
      </c>
      <c r="VZ16" s="36" t="str">
        <f t="shared" si="239"/>
        <v/>
      </c>
      <c r="WA16" s="36" t="str">
        <f t="shared" si="240"/>
        <v/>
      </c>
      <c r="WB16" s="36" t="str">
        <f t="shared" si="241"/>
        <v/>
      </c>
      <c r="WC16" s="36" t="str">
        <f t="shared" si="242"/>
        <v/>
      </c>
      <c r="WD16" s="36" t="str">
        <f t="shared" si="243"/>
        <v/>
      </c>
      <c r="WE16" s="36" t="str">
        <f t="shared" si="244"/>
        <v/>
      </c>
      <c r="WF16" s="36" t="str">
        <f t="shared" si="245"/>
        <v/>
      </c>
      <c r="WG16" s="36" t="str">
        <f t="shared" si="246"/>
        <v/>
      </c>
      <c r="WH16" s="36" t="str">
        <f t="shared" si="247"/>
        <v/>
      </c>
      <c r="WI16" s="36" t="str">
        <f t="shared" si="248"/>
        <v/>
      </c>
      <c r="WJ16" s="36" t="str">
        <f t="shared" si="249"/>
        <v/>
      </c>
    </row>
    <row r="17" spans="1:608" x14ac:dyDescent="0.2">
      <c r="A17" s="4" t="str" cm="1">
        <f t="array" ref="A17">IF(AND(H17&lt;&gt;"",H17&lt;&gt;"No DD",I17&lt;&gt;"P"),SUMPRODUCT((H$4:H$28&lt;&gt;"")*(H$4:H$28&lt;&gt;"No DD")*(I$4:I$28&lt;&gt;"P")*(E$4:E$28&gt;E17))+1,IF(H17="No DD",SUMPRODUCT((H$4:H$28="No DD")*(I$4:I$28&lt;&gt;"P")*(E$4:E$28&gt;E17))+1+SUMPRODUCT((H$4:H$28&lt;&gt;"")*(I$4:I$28&lt;&gt;"P")*(H$4:H$28&lt;&gt;"No DD")),""))</f>
        <v/>
      </c>
      <c r="B17" s="5" t="s">
        <v>90</v>
      </c>
      <c r="C17" s="4" t="s">
        <v>7</v>
      </c>
      <c r="D17" s="4">
        <v>2006</v>
      </c>
      <c r="E17" s="9">
        <f t="shared" si="0"/>
        <v>103.17000907300502</v>
      </c>
      <c r="F17" s="3" t="str">
        <f>IF(OR(AND(AG17&gt;=AQ$30,AG17&lt;&gt;"",AI17&gt;=AQ$34,AI17&lt;&gt;"",AF17=""),AND(AJ17&gt;=AQ$30,AJ17&lt;&gt;"",AL17&gt;=AQ$34,AL17&lt;&gt;"",AF17=""),AND(AN17&gt;=AQ$30,AN17&lt;&gt;"",AP17&gt;=AQ$34,AP17&lt;&gt;"",AF17=""),AND(BH17&gt;=BR$30,BH17&lt;&gt;"",BJ17&gt;=BR$34,BJ17&lt;&gt;"",BG17=""),AND(BK17&gt;=BR$30,BK17&lt;&gt;"",BM17&gt;=BR$34,BM17&lt;&gt;"",BG17=""),AND(BO17&gt;=BR$30,BO17&lt;&gt;"",BQ17&gt;=BR$34,BQ17&lt;&gt;"",BG17=""),AND(CI17&gt;=CS$30,CI17&lt;&gt;"",CK17&gt;=CS$34,CK17&lt;&gt;"",CH17=""),AND(CL17&gt;=CS$30,CL17&lt;&gt;"",CN17&gt;=CS$34,CN17&lt;&gt;"",CH17=""),AND(CP17&gt;=CS$30,CP17&lt;&gt;"",CR17&gt;=CS$34,CR17&lt;&gt;"",CH17=""),AND(DO17&gt;=EB$30,DO17&lt;&gt;"",DQ17&gt;=EB$34,DQ17&lt;&gt;""),AND(DR17&gt;=EB$30,DR17&lt;&gt;"",DT17&gt;=EB$34,DT17&lt;&gt;""),AND(DV17&gt;=EB$30,DV17&lt;&gt;"",DX17&gt;=EB$34,DX17&lt;&gt;""),AND(DY17&gt;=EB$30,DY17&lt;&gt;"",EA17&gt;=EB$34,EA17&lt;&gt;""),AND(EW17&gt;=FJ$30,EW17&lt;&gt;"",EY17&gt;=FJ$34,EY17&lt;&gt;""),AND(EZ17&gt;=FJ$30,EZ17&lt;&gt;"",FB17&gt;=FJ$34,FB17&lt;&gt;""),AND(FD17&gt;=FJ$30,FD17&lt;&gt;"",FF17&gt;=FJ$34,FF17&lt;&gt;""),AND(FG17&gt;=FJ$30,FG17&lt;&gt;"",FI17&gt;=FJ$34,FI17&lt;&gt;""),AND(GE17&gt;=GR$30,GE17&lt;&gt;"",GG17&gt;=GR$34,GG17&lt;&gt;""),AND(GH17&gt;=GR$30,GH17&lt;&gt;"",GJ17&gt;=GR$34,GJ17&lt;&gt;""),AND(GL17&gt;=GR$30,GL17&lt;&gt;"",GN17&gt;=GR$34,GN17&lt;&gt;""),AND(GO17&gt;=GR$30,GO17&lt;&gt;"",GQ17&gt;=GR$34,GQ17&lt;&gt;""),AND(HM17&gt;=HZ$30,HM17&lt;&gt;"",HO17&gt;=HZ$34,HO17&lt;&gt;""),AND(HP17&gt;=HZ$30,HP17&lt;&gt;"",HR17&gt;=HZ$34,HR17&lt;&gt;""),AND(HT17&gt;=HZ$30,HT17&lt;&gt;"",HV17&gt;=HZ$34,HV17&lt;&gt;""),AND(HW17&gt;=HZ$30,HW17&lt;&gt;"",HY17&gt;=HZ$34,HY17&lt;&gt;""),AND(IU17&gt;=JH$30,IU17&lt;&gt;"",IW17&gt;=JH$34,IW17&lt;&gt;""),AND(IX17&gt;=JH$30,IX17&lt;&gt;"",IZ17&gt;=JH$34,IZ17&lt;&gt;""),AND(JB17&gt;=JH$30,JB17&lt;&gt;"",JD17&gt;=JH$34,JD17&lt;&gt;""),AND(JE17&gt;=JH$30,JE17&lt;&gt;"",JG17&gt;=JH$34,JG17&lt;&gt;""),AND(KC17&gt;=KP$30,KC17&lt;&gt;"",KE17&gt;=KP$34,KE17&lt;&gt;""),AND(KF17&gt;=KP$30,KF17&lt;&gt;"",KH17&gt;=KP$34,KH17&lt;&gt;""),AND(KJ17&gt;=KP$30,KJ17&lt;&gt;"",KL17&gt;=KP$34,KL17&lt;&gt;""),AND(KM17&gt;=KP$30,KM17&lt;&gt;"",KO17&gt;=KP$34,KO17&lt;&gt;""),AND(LK17&gt;=LX$30,LK17&lt;&gt;"",LM17&gt;=LX$34,LM17&lt;&gt;""),AND(LN17&gt;=LX$30,LN17&lt;&gt;"",LP17&gt;=LX$34,LP17&lt;&gt;""),AND(LR17&gt;=LX$30,LR17&lt;&gt;"",LT17&gt;=LX$34,LT17&lt;&gt;""),AND(LU17&gt;=LX$30,LU17&lt;&gt;"",LW17&gt;=LX$34,LW17&lt;&gt;""),AND(MS17&gt;=NF$30,MS17&lt;&gt;"",MU17&gt;=NF$34,MU17&lt;&gt;""),AND(MV17&gt;=NF$30,MV17&lt;&gt;"",MX17&gt;=NF$34,MX17&lt;&gt;""),AND(MZ17&gt;=NF$30,MZ17&lt;&gt;"",NB17&gt;=NF$34,NB17&lt;&gt;""),AND(NC17&gt;=NF$30,NC17&lt;&gt;"",NE17&gt;=NF$34,NE17&lt;&gt;""),AND(OA17&gt;=ON$30,OA17&lt;&gt;"",OC17&gt;=ON$34,OC17&lt;&gt;""),AND(OD17&gt;=ON$30,OD17&lt;&gt;"",OF17&gt;=ON$34,OF17&lt;&gt;""),AND(OH17&gt;=ON$30,OH17&lt;&gt;"",OJ17&gt;=ON$34,OJ17&lt;&gt;""),AND(OK17&gt;=ON$30,OK17&lt;&gt;"",OM17&gt;=ON$34,OM17&lt;&gt;""),AND(PI17&gt;=PV$30,PI17&lt;&gt;"",PK17&gt;=PV$34,PK17&lt;&gt;""),AND(PL17&gt;=PV$30,PL17&lt;&gt;"",PN17&gt;=PV$34,PN17&lt;&gt;""),AND(PP17&gt;=PV$30,PP17&lt;&gt;"",PR17&gt;=PV$34,PR17&lt;&gt;""),AND(PS17&gt;=PV$30,PS17&lt;&gt;"",PU17&gt;=PV$34,PU17&lt;&gt;""),AND(QQ17&gt;=RD$30,QQ17&lt;&gt;"",QS17&gt;=RD$34,QS17&lt;&gt;""),AND(QT17&gt;=RD$30,QT17&lt;&gt;"",QV17&gt;=RD$34,QV17&lt;&gt;""),AND(QX17&gt;=RD$30,QX17&lt;&gt;"",QZ17&gt;=RD$34,QZ17&lt;&gt;""),AND(RA17&gt;=RD$30,RA17&lt;&gt;"",RC17&gt;=RD$34,RC17&lt;&gt;""),AND(RY17&gt;=SL$30,RY17&lt;&gt;"",SA17&gt;=SL$34,SA17&lt;&gt;""),AND(SB17&gt;=SL$30,SB17&lt;&gt;"",SD17&gt;=SL$34,SD17&lt;&gt;""),AND(SF17&gt;=SL$30,SF17&lt;&gt;"",SH17&gt;=SL$34,SH17&lt;&gt;""),AND(SI17&gt;=SL$30,SI17&lt;&gt;"",SK17&gt;=SL$34,SK17&lt;&gt;""),AND(TG17&gt;=TT$30,TG17&lt;&gt;"",TI17&gt;=TT$34,TI17&lt;&gt;""),AND(TJ17&gt;=TT$30,TJ17&lt;&gt;"",TL17&gt;=TT$34,TL17&lt;&gt;""),AND(TN17&gt;=TT$30,TN17&lt;&gt;"",TP17&gt;=TT$34,TXN17&lt;&gt;""),AND(TQ17&gt;=TT$30,TQ17&lt;&gt;"",TS17&gt;=TT$34,TS17&lt;&gt;""),AND(UO17&gt;=VB$30,UO17&lt;&gt;"",UQ17&gt;=VB$34,UQ17&lt;&gt;""),AND(UR17&gt;=VB$30,UR17&lt;&gt;"",UT17&gt;=VB$34,UT17&lt;&gt;""),AND(UV17&gt;=VB$30,UV17&lt;&gt;"",UX17&gt;=VB$34,UX17&lt;&gt;""),AND(UY17&gt;=VB$30,UY17&lt;&gt;"",VA17&gt;=VB$34,VA17&lt;&gt;""),AND(VW17&gt;=WJ$30,VW17&lt;&gt;"",VY17&gt;=WJ$34,VY17&lt;&gt;""),AND(VZ17&gt;=WJ$30,VZ17&lt;&gt;"",WB17&gt;=WJ$34,WB17&lt;&gt;""),AND(WD17&gt;=WJ$30,WD17&lt;&gt;"",WF17&gt;=WJ$34,WF17&lt;&gt;""),AND(WG17&gt;=WJ$30,WG17&lt;&gt;"",WI17&gt;=WJ$34,WI17&lt;&gt;"")),"P","")</f>
        <v/>
      </c>
      <c r="G17" s="3" t="str">
        <f>IF(OR(AND(AI17&gt;=AQ$34,AI17&lt;&gt;"",AF17=""),AND(AL17&gt;=AQ$34,AL17&lt;&gt;"",AF17=""),AND(AP17&gt;=AQ$34,AP17&lt;&gt;"",AF17=""),AND(BJ17&gt;=BR$34,BJ17&lt;&gt;"",BG17=""),AND(BM17&gt;=BR$34,BM17&lt;&gt;"",BG17=""),AND(BQ17&gt;=BR$34,BQ17&lt;&gt;"",BG17=""),AND(CK17&gt;=CS$34,CK17&lt;&gt;"",CH17=""),AND(CN17&gt;=CS$34,CN17&lt;&gt;"",CH17=""),AND(CR17&gt;=CS$34,CR17&lt;&gt;"",CH17=""),AND(DQ17&gt;=EB$34,DQ17&lt;&gt;""),AND(DT17&gt;=EB$34,DT17&lt;&gt;""),AND(DX17&gt;=EB$34,DX17&lt;&gt;""),AND(EA17&gt;=EB$34,EA17&lt;&gt;""),AND(EY17&gt;=FJ$34,EY17&lt;&gt;""),AND(FB17&gt;=FJ$34,FB17&lt;&gt;""),AND(FF17&gt;=FJ$34,FF17&lt;&gt;""),AND(FI17&gt;=FJ$34,FI17&lt;&gt;""),AND(GG17&gt;=GR$34,GG17&lt;&gt;""),AND(GJ17&gt;=GR$34,GJ17&lt;&gt;""),AND(GN17&gt;=GR$34,GN17&lt;&gt;""),AND(GQ17&gt;=GR$34,GQ17&lt;&gt;""),AND(HO17&gt;=HZ$34,HO17&lt;&gt;""),AND(HR17&gt;=HZ$34,HR17&lt;&gt;""),AND(HV17&gt;=HZ$34,HV17&lt;&gt;""),AND(HY17&gt;=HZ$34,HY17&lt;&gt;""),AND(IW17&gt;=JH$34,IW17&lt;&gt;""),AND(IZ17&gt;=JH$34,IZ17&lt;&gt;""),AND(JD17&gt;=JH$34,JD17&lt;&gt;""),AND(JG17&gt;=JH$34,JG17&lt;&gt;""),AND(KE17&gt;=KP$34,KE17&lt;&gt;""),AND(KH17&gt;=KP$34,KH17&lt;&gt;""),AND(KL17&gt;=KP$34,KL17&lt;&gt;""),AND(KO17&gt;=KP$34,KO17&lt;&gt;""),AND(LM17&gt;=LX$34,LM17&lt;&gt;""),AND(LP17&gt;=LX$34,LP17&lt;&gt;""),AND(LT17&gt;=LX$34,LT17&lt;&gt;""),AND(LW17&gt;=LX$34,LW17&lt;&gt;""),AND(MU17&gt;=NF$34,MU17&lt;&gt;""),AND(MX17&gt;=NF$34,MX17&lt;&gt;""),AND(NB17&gt;=NF$34,NB17&lt;&gt;""),AND(NE17&gt;=NF$34,NE17&lt;&gt;""),AND(OC17&gt;=ON$34,OC17&lt;&gt;""),AND(OF17&gt;=ON$34,OF17&lt;&gt;""),AND(OJ17&gt;=ON$34,OJ17&lt;&gt;""),AND(OM17&gt;=ON$34,OM17&lt;&gt;""),AND(PK17&gt;=PV$34,PK17&lt;&gt;""),AND(PN17&gt;=PV$34,PN17&lt;&gt;""),AND(PR17&gt;=PV$34,PR17&lt;&gt;""),AND(PU17&gt;=PV$34,PU17&lt;&gt;""),AND(QS17&gt;=RD$34,QS17&lt;&gt;""),AND(QV17&gt;=RD$34,QV17&lt;&gt;""),AND(QZ17&gt;=RD$34,QZ17&lt;&gt;""),AND(RC17&gt;=RD$34,RC17&lt;&gt;""),AND(SA17&gt;=SL$34,SA17&lt;&gt;""),AND(SD17&gt;=SL$34,SD17&lt;&gt;""),AND(SH17&gt;=SL$34,SH17&lt;&gt;""),AND(SK17&gt;=SL$34,SK17&lt;&gt;""),AND(TI17&gt;=TT$34,TI17&lt;&gt;""),AND(TL17&gt;=TT$34,TL17&lt;&gt;""),AND(TP17&gt;=TT$34,TXN17&lt;&gt;""),AND(TS17&gt;=TT$34,TS17&lt;&gt;""),AND(UQ17&gt;=VB$34,UQ17&lt;&gt;""),AND(UT17&gt;=VB$34,UT17&lt;&gt;""),AND(UX17&gt;=VB$34,UX17&lt;&gt;""),AND(VA17&gt;=VB$34,VA17&lt;&gt;""),AND(VY17&gt;=WJ$34,VY17&lt;&gt;""),AND(WB17&gt;=WJ$34,WB17&lt;&gt;""),AND(WF17&gt;=WJ$34,WF17&lt;&gt;""),AND(WI17&gt;=WJ$34,WI17&lt;&gt;"")),"P","")</f>
        <v/>
      </c>
      <c r="H17" s="32" t="str">
        <f>IF(AND(G17="P",F17=""),"No DD",IF(OR(AND(AG17&gt;=AQ$33,AG17&lt;&gt;"",AI17&gt;=AQ$37,AI17&lt;&gt;"",AF17=""),AND(AJ17&gt;=AQ$33,AJ17&lt;&gt;"",AL17&gt;=AQ$37,AL17&lt;&gt;"",AF17=""),AND(AN17&gt;=AQ$33,AN17&lt;&gt;"",AP17&gt;=AQ$37,AP17&lt;&gt;"",AF17=""),AND(BH17&gt;=BR$33,BH17&lt;&gt;"",BJ17&gt;=BR$37,BJ17&lt;&gt;"",BG17=""),AND(BK17&gt;=BR$33,BK17&lt;&gt;"",BM17&gt;=BR$37,BM17&lt;&gt;"",BG17=""),AND(BO17&gt;=BR$33,BO17&lt;&gt;"",BQ17&gt;=BR$37,BQ17&lt;&gt;"",BG17=""),AND(CI17&gt;=CS$33,CI17&lt;&gt;"",CK17&gt;=CS$37,CK17&lt;&gt;"",CH17=""),AND(CL17&gt;=CS$33,CL17&lt;&gt;"",CN17&gt;=CS$37,CN17&lt;&gt;"",CH17=""),AND(CP17&gt;=CS$33,CP17&lt;&gt;"",CR17&gt;=CS$37,CR17&lt;&gt;"",CH17=""),AND(DO17&gt;=EB$33,DO17&lt;&gt;"",DQ17&gt;=EB$37,DQ17&lt;&gt;""),AND(DR17&gt;=EB$33,DR17&lt;&gt;"",DT17&gt;=EB$37,DT17&lt;&gt;""),AND(DV17&gt;=EB$33,DV17&lt;&gt;"",DX17&gt;=EB$37,DX17&lt;&gt;""),AND(DY17&gt;=EB$33,DY17&lt;&gt;"",EA17&gt;=EB$37,EA17&lt;&gt;""),AND(EW17&gt;=FJ$33,EW17&lt;&gt;"",EY17&gt;=FJ$37,EY17&lt;&gt;""),AND(EZ17&gt;=FJ$33,EZ17&lt;&gt;"",FB17&gt;=FJ$37,FB17&lt;&gt;""),AND(FD17&gt;=FJ$33,FD17&lt;&gt;"",FF17&gt;=FJ$37,FF17&lt;&gt;""),AND(FG17&gt;=FJ$33,FG17&lt;&gt;"",FI17&gt;=FJ$37,FI17&lt;&gt;""),AND(GE17&gt;=GR$33,GE17&lt;&gt;"",GG17&gt;=GR$37,GG17&lt;&gt;""),AND(GH17&gt;=GR$33,GH17&lt;&gt;"",GJ17&gt;=GR$37,GJ17&lt;&gt;""),AND(GL17&gt;=GR$33,GL17&lt;&gt;"",GN17&gt;=GR$37,GN17&lt;&gt;""),AND(GO17&gt;=GR$33,GO17&lt;&gt;"",GQ17&gt;=GR$37,GQ17&lt;&gt;""),AND(HM17&gt;=HZ$33,HM17&lt;&gt;"",HO17&gt;=HZ$37,HO17&lt;&gt;""),AND(HP17&gt;=HZ$33,HP17&lt;&gt;"",HR17&gt;=HZ$37,HR17&lt;&gt;""),AND(HT17&gt;=HZ$33,HT17&lt;&gt;"",HV17&gt;=HZ$37,HV17&lt;&gt;""),AND(HW17&gt;=HZ$33,HW17&lt;&gt;"",HY17&gt;=HZ$37,HY17&lt;&gt;""),AND(IU17&gt;=JH$33,IU17&lt;&gt;"",IW17&gt;=JH$37,IW17&lt;&gt;""),AND(IX17&gt;=JH$33,IX17&lt;&gt;"",IZ17&gt;=JH$37,IZ17&lt;&gt;""),AND(JB17&gt;=JH$33,JB17&lt;&gt;"",JD17&gt;=JH$37,JD17&lt;&gt;""),AND(JE17&gt;=JH$33,JE17&lt;&gt;"",JG17&gt;=JH$37,JG17&lt;&gt;""),AND(KC17&gt;=KP$33,KC17&lt;&gt;"",KE17&gt;=KP$37,KE17&lt;&gt;""),AND(KF17&gt;=KP$33,KF17&lt;&gt;"",KH17&gt;=KP$37,KH17&lt;&gt;""),AND(KJ17&gt;=KP$33,KJ17&lt;&gt;"",KL17&gt;=KP$37,KL17&lt;&gt;""),AND(KM17&gt;=KP$33,KM17&lt;&gt;"",KO17&gt;=KP$37,KO17&lt;&gt;""),AND(LK17&gt;=LX$33,LK17&lt;&gt;"",LM17&gt;=LX$37,LM17&lt;&gt;""),AND(LN17&gt;=LX$33,LN17&lt;&gt;"",LP17&gt;=LX$37,LP17&lt;&gt;""),AND(LR17&gt;=LX$33,LR17&lt;&gt;"",LT17&gt;=LX$37,LT17&lt;&gt;""),AND(LU17&gt;=LX$33,LU17&lt;&gt;"",LW17&gt;=LX$37,LW17&lt;&gt;""),AND(MS17&gt;=NF$33,MS17&lt;&gt;"",MU17&gt;=NF$37,MU17&lt;&gt;""),AND(MV17&gt;=NF$33,MV17&lt;&gt;"",MX17&gt;=NF$37,MX17&lt;&gt;""),AND(MZ17&gt;=NF$33,MZ17&lt;&gt;"",NB17&gt;=NF$37,NB17&lt;&gt;""),AND(NC17&gt;=NF$33,NC17&lt;&gt;"",NE17&gt;=NF$37,NE17&lt;&gt;""),AND(OA17&gt;=ON$33,OA17&lt;&gt;"",OC17&gt;=ON$37,OC17&lt;&gt;""),AND(OD17&gt;=ON$33,OD17&lt;&gt;"",OF17&gt;=ON$37,OF17&lt;&gt;""),AND(OH17&gt;=ON$33,OH17&lt;&gt;"",OJ17&gt;=ON$37,OJ17&lt;&gt;""),AND(OK17&gt;=ON$33,OK17&lt;&gt;"",OM17&gt;=ON$37,OM17&lt;&gt;""),AND(PI17&gt;=PV$33,PI17&lt;&gt;"",PK17&gt;=PV$37,PK17&lt;&gt;""),AND(PL17&gt;=PV$33,PL17&lt;&gt;"",PN17&gt;=PV$37,PN17&lt;&gt;""),AND(PP17&gt;=PV$33,PP17&lt;&gt;"",PR17&gt;=PV$37,PR17&lt;&gt;""),AND(PS17&gt;=PV$33,PS17&lt;&gt;"",PU17&gt;=PV$37,PU17&lt;&gt;""),AND(QQ17&gt;=RD$33,QQ17&lt;&gt;"",QS17&gt;=RD$37,QS17&lt;&gt;""),AND(QT17&gt;=RD$33,QT17&lt;&gt;"",QV17&gt;=RD$37,QV17&lt;&gt;""),AND(QX17&gt;=RD$33,QX17&lt;&gt;"",QZ17&gt;=RD$37,QZ17&lt;&gt;""),AND(RA17&gt;=RD$33,RA17&lt;&gt;"",RC17&gt;=RD$37,RC17&lt;&gt;""),AND(RY17&gt;=SL$33,RY17&lt;&gt;"",SA17&gt;=SL$37,SA17&lt;&gt;""),AND(SB17&gt;=SL$33,SB17&lt;&gt;"",SD17&gt;=SL$37,SD17&lt;&gt;""),AND(SF17&gt;=SL$33,SF17&lt;&gt;"",SH17&gt;=SL$37,SH17&lt;&gt;""),AND(SI17&gt;=SL$33,SI17&lt;&gt;"",SK17&gt;=SL$37,SK17&lt;&gt;""),AND(TG17&gt;=TT$33,TG17&lt;&gt;"",TI17&gt;=TT$37,TI17&lt;&gt;""),AND(TJ17&gt;=TT$33,TJ17&lt;&gt;"",TL17&gt;=TT$37,TL17&lt;&gt;""),AND(TN17&gt;=TT$33,TN17&lt;&gt;"",TP17&gt;=TT$357,TXN17&lt;&gt;""),AND(TQ17&gt;=TT$33,TQ17&lt;&gt;"",TS17&gt;=TT$37,TS17&lt;&gt;""),AND(UO17&gt;=VB$33,UO17&lt;&gt;"",UQ17&gt;=VB$37,UQ17&lt;&gt;""),AND(UR17&gt;=VB$33,UR17&lt;&gt;"",UT17&gt;=VB$37,UT17&lt;&gt;""),AND(UV17&gt;=VB$33,UV17&lt;&gt;"",UX17&gt;=VB$37,UX17&lt;&gt;""),AND(UY17&gt;=VB$33,UY17&lt;&gt;"",VA17&gt;=VB$37,VA17&lt;&gt;""),AND(VW17&gt;=WJ$33,VW17&lt;&gt;"",VY17&gt;=WJ$37,VY17&lt;&gt;""),AND(VZ17&gt;=WJ$33,VZ17&lt;&gt;"",WB17&gt;=WJ$37,WB17&lt;&gt;""),AND(WD17&gt;=WJ$33,WD17&lt;&gt;"",WF17&gt;=WJ$37,WF17&lt;&gt;""),AND(WG17&gt;=WJ$33,WG17&lt;&gt;"",WI17&gt;=WJ$37,WI17&lt;&gt;"")),"Merit",IF(OR(AND(AG17&gt;=AQ$32,AG17&lt;&gt;"",AI17&gt;=AQ$36,AI17&lt;&gt;"",AF17=""),AND(AJ17&gt;=AQ$32,AJ17&lt;&gt;"",AL17&gt;=AQ$36,AL17&lt;&gt;"",AF17=""),AND(AN17&gt;=AQ$32,AN17&lt;&gt;"",AP17&gt;=AQ$36,AP17&lt;&gt;"",AF17=""),AND(BH17&gt;=BR$32,BH17&lt;&gt;"",BJ17&gt;=BR$36,BJ17&lt;&gt;"",BG17=""),AND(BK17&gt;=BR$32,BK17&lt;&gt;"",BM17&gt;=BR$36,BM17&lt;&gt;"",BG17=""),AND(BO17&gt;=BR$32,BO17&lt;&gt;"",BQ17&gt;=BR$36,BQ17&lt;&gt;"",BG17=""),AND(CI17&gt;=CS$32,CI17&lt;&gt;"",CK17&gt;=CS$36,CK17&lt;&gt;"",CH17=""),AND(CL17&gt;=CS$32,CL17&lt;&gt;"",CN17&gt;=CS$36,CN17&lt;&gt;"",CH17=""),AND(CP17&gt;=CS$32,CP17&lt;&gt;"",CR17&gt;=CS$36,CR17&lt;&gt;"",CH17=""),AND(DO17&gt;=EB$32,DO17&lt;&gt;"",DQ17&gt;=EB$36,DQ17&lt;&gt;""),AND(DR17&gt;=EB$32,DR17&lt;&gt;"",DT17&gt;=EB$36,DT17&lt;&gt;""),AND(DV17&gt;=EB$32,DV17&lt;&gt;"",DX17&gt;=EB$36,DX17&lt;&gt;""),AND(DY17&gt;=EB$32,DY17&lt;&gt;"",EA17&gt;=EB$36,EA17&lt;&gt;""),AND(EW17&gt;=FJ$32,EW17&lt;&gt;"",EY17&gt;=FJ$36,EY17&lt;&gt;""),AND(EZ17&gt;=FJ$32,EZ17&lt;&gt;"",FB17&gt;=FJ$36,FB17&lt;&gt;""),AND(FD17&gt;=FJ$32,FD17&lt;&gt;"",FF17&gt;=FJ$36,FF17&lt;&gt;""),AND(FG17&gt;=FJ$32,FG17&lt;&gt;"",FI17&gt;=FJ$36,FI17&lt;&gt;""),AND(GE17&gt;=GR$32,GE17&lt;&gt;"",GG17&gt;=GR$36,GG17&lt;&gt;""),AND(GH17&gt;=GR$32,GH17&lt;&gt;"",GJ17&gt;=GR$36,GJ17&lt;&gt;""),AND(GL17&gt;=GR$32,GL17&lt;&gt;"",GN17&gt;=GR$36,GN17&lt;&gt;""),AND(GO17&gt;=GR$32,GO17&lt;&gt;"",GQ17&gt;=GR$36,GQ17&lt;&gt;""),AND(HM17&gt;=HZ$32,HM17&lt;&gt;"",HO17&gt;=HZ$36,HO17&lt;&gt;""),AND(HP17&gt;=HZ$32,HP17&lt;&gt;"",HR17&gt;=HZ$36,HR17&lt;&gt;""),AND(HT17&gt;=HZ$32,HT17&lt;&gt;"",HV17&gt;=HZ$36,HV17&lt;&gt;""),AND(HW17&gt;=HZ$32,HW17&lt;&gt;"",HY17&gt;=HZ$36,HY17&lt;&gt;""),AND(IU17&gt;=JH$32,IU17&lt;&gt;"",IW17&gt;=JH$36,IW17&lt;&gt;""),AND(IX17&gt;=JH$32,IX17&lt;&gt;"",IZ17&gt;=JH$36,IZ17&lt;&gt;""),AND(JB17&gt;=JH$32,JB17&lt;&gt;"",JD17&gt;=JH$36,JD17&lt;&gt;""),AND(JE17&gt;=JH$32,JE17&lt;&gt;"",JG17&gt;=JH$36,JG17&lt;&gt;""),AND(KC17&gt;=KP$32,KC17&lt;&gt;"",KE17&gt;=KP$36,KE17&lt;&gt;""),AND(KF17&gt;=KP$32,KF17&lt;&gt;"",KH17&gt;=KP$36,KH17&lt;&gt;""),AND(KJ17&gt;=KP$32,KJ17&lt;&gt;"",KL17&gt;=KP$36,KL17&lt;&gt;""),AND(KM17&gt;=KP$32,KM17&lt;&gt;"",KO17&gt;=KP$36,KO17&lt;&gt;""),AND(LK17&gt;=LX$32,LK17&lt;&gt;"",LM17&gt;=LX$36,LM17&lt;&gt;""),AND(LN17&gt;=LX$32,LN17&lt;&gt;"",LP17&gt;=LX$36,LP17&lt;&gt;""),AND(LR17&gt;=LX$32,LR17&lt;&gt;"",LT17&gt;=LX$36,LT17&lt;&gt;""),AND(LU17&gt;=LX$32,LU17&lt;&gt;"",LW17&gt;=LX$36,LW17&lt;&gt;""),AND(MS17&gt;=NF$32,MS17&lt;&gt;"",MU17&gt;=NF$36,MU17&lt;&gt;""),AND(MV17&gt;=NF$32,MV17&lt;&gt;"",MX17&gt;=NF$36,MX17&lt;&gt;""),AND(MZ17&gt;=NF$32,MZ17&lt;&gt;"",NB17&gt;=NF$36,NB17&lt;&gt;""),AND(NC17&gt;=NF$32,NC17&lt;&gt;"",NE17&gt;=NF$36,NE17&lt;&gt;""),AND(OA17&gt;=ON$32,OA17&lt;&gt;"",OC17&gt;=ON$36,OC17&lt;&gt;""),AND(OD17&gt;=ON$32,OD17&lt;&gt;"",OF17&gt;=ON$36,OF17&lt;&gt;""),AND(OH17&gt;=ON$32,OH17&lt;&gt;"",OJ17&gt;=ON$36,OJ17&lt;&gt;""),AND(OK17&gt;=ON$32,OK17&lt;&gt;"",OM17&gt;=ON$36,OM17&lt;&gt;""),AND(PI17&gt;=PV$32,PI17&lt;&gt;"",PK17&gt;=PV$36,PK17&lt;&gt;""),AND(PL17&gt;=PV$32,PL17&lt;&gt;"",PN17&gt;=PV$36,PN17&lt;&gt;""),AND(PP17&gt;=PV$32,PP17&lt;&gt;"",PR17&gt;=PV$36,PR17&lt;&gt;""),AND(PS17&gt;=PV$32,PS17&lt;&gt;"",PU17&gt;=PV$36,PU17&lt;&gt;""),AND(QQ17&gt;=RD$32,QQ17&lt;&gt;"",QS17&gt;=RD$36,QS17&lt;&gt;""),AND(QT17&gt;=RD$32,QT17&lt;&gt;"",QV17&gt;=RD$36,QV17&lt;&gt;""),AND(QX17&gt;=RD$32,QX17&lt;&gt;"",QZ17&gt;=RD$36,QZ17&lt;&gt;""),AND(RA17&gt;=RD$32,RA17&lt;&gt;"",RC17&gt;=RD$36,RC17&lt;&gt;""),AND(RY17&gt;=SL$32,RY17&lt;&gt;"",SA17&gt;=SL$36,SA17&lt;&gt;""),AND(SB17&gt;=SL$32,SB17&lt;&gt;"",SD17&gt;=SL$36,SD17&lt;&gt;""),AND(SF17&gt;=SL$32,SF17&lt;&gt;"",SH17&gt;=SL$36,SH17&lt;&gt;""),AND(SI17&gt;=SL$32,SI17&lt;&gt;"",SK17&gt;=SL$36,SK17&lt;&gt;""),AND(TG17&gt;=TT$32,TG17&lt;&gt;"",TI17&gt;=TT$36,TI17&lt;&gt;""),AND(TJ17&gt;=TT$32,TJ17&lt;&gt;"",TL17&gt;=TT$36,TL17&lt;&gt;""),AND(TN17&gt;=TT$32,TN17&lt;&gt;"",TP17&gt;=TT$36,TXN17&lt;&gt;""),AND(TQ17&gt;=TT$32,TQ17&lt;&gt;"",TS17&gt;=TT$36,TS17&lt;&gt;""),AND(UO17&gt;=VB$32,UO17&lt;&gt;"",UQ17&gt;=VB$36,UQ17&lt;&gt;""),AND(UR17&gt;=VB$32,UR17&lt;&gt;"",UT17&gt;=VB$36,UT17&lt;&gt;""),AND(UV17&gt;=VB$32,UV17&lt;&gt;"",UX17&gt;=VB$36,UX17&lt;&gt;""),AND(UY17&gt;=VB$32,UY17&lt;&gt;"",VA17&gt;=VB$36,VA17&lt;&gt;""),AND(VW17&gt;=WJ$32,VW17&lt;&gt;"",VY17&gt;=WJ$36,VY17&lt;&gt;""),AND(VZ17&gt;=WJ$32,VZ17&lt;&gt;"",WB17&gt;=WJ$36,WB17&lt;&gt;""),AND(WD17&gt;=WJ$32,WD17&lt;&gt;"",WF17&gt;=WJ$36,WF17&lt;&gt;""),AND(WG17&gt;=WJ$32,WG17&lt;&gt;"",WI17&gt;=WJ$36,WI17&lt;&gt;"")),"Excellence",IF(I17="P","National Team",IF(F17="P","National Team","")))))</f>
        <v/>
      </c>
      <c r="I17" s="3" t="str">
        <f>IF(COUNTIFS('Senior-M'!B:B,B17,'Senior-M'!A:A,"&lt;9",'Senior-M'!H:H,"&lt;&gt;"&amp;"No DD"),"P","")</f>
        <v/>
      </c>
      <c r="J17" s="8">
        <f t="shared" si="1"/>
        <v>50.3</v>
      </c>
      <c r="K17" s="8" t="str">
        <f t="shared" si="2"/>
        <v>2025 Nationals</v>
      </c>
      <c r="L17" s="8">
        <f>IFERROR(LARGE((AI17,AL17,AP17,BJ17,BM17,BQ17,CK17,CN17,CR17),2),0)</f>
        <v>40.43</v>
      </c>
      <c r="M17" s="8" t="str">
        <f t="shared" si="3"/>
        <v>2025 Nationals</v>
      </c>
      <c r="N17" s="8">
        <f t="shared" si="4"/>
        <v>12.439999999999998</v>
      </c>
      <c r="O17" s="11" t="str">
        <f>IF(N17=0,"",IF(N17=CT17,"("&amp;CT$2&amp;")",IF(N17=#REF!,"("&amp;#REF!&amp;")")))</f>
        <v>(Any)</v>
      </c>
      <c r="P17" s="8" t="str">
        <f t="shared" si="5"/>
        <v>2025 World Cup ITA (April 5)</v>
      </c>
      <c r="Q17" s="18">
        <v>12</v>
      </c>
      <c r="R17" s="18">
        <v>6.3</v>
      </c>
      <c r="S17" s="18">
        <v>11</v>
      </c>
      <c r="T17" s="18">
        <v>11.13</v>
      </c>
      <c r="U17" s="18">
        <v>0</v>
      </c>
      <c r="V17" s="18">
        <v>14.7</v>
      </c>
      <c r="W17" s="18">
        <v>7.6</v>
      </c>
      <c r="X17" s="18">
        <v>13.8</v>
      </c>
      <c r="Y17" s="18">
        <v>14.2</v>
      </c>
      <c r="Z17" s="18">
        <v>0</v>
      </c>
      <c r="AA17" s="18"/>
      <c r="AB17" s="18"/>
      <c r="AC17" s="18"/>
      <c r="AD17" s="18"/>
      <c r="AE17" s="18"/>
      <c r="AF17" s="23"/>
      <c r="AG17" s="34">
        <f t="shared" si="6"/>
        <v>11</v>
      </c>
      <c r="AH17" s="34">
        <f t="shared" si="7"/>
        <v>11.13</v>
      </c>
      <c r="AI17" s="36">
        <f t="shared" si="8"/>
        <v>40.43</v>
      </c>
      <c r="AJ17" s="36">
        <f t="shared" si="9"/>
        <v>13.8</v>
      </c>
      <c r="AK17" s="36">
        <f t="shared" si="10"/>
        <v>14.2</v>
      </c>
      <c r="AL17" s="36">
        <f t="shared" si="11"/>
        <v>50.3</v>
      </c>
      <c r="AM17" s="36">
        <f t="shared" si="12"/>
        <v>50.3</v>
      </c>
      <c r="AN17" s="36" t="str">
        <f t="shared" si="13"/>
        <v/>
      </c>
      <c r="AO17" s="36" t="str">
        <f t="shared" si="14"/>
        <v/>
      </c>
      <c r="AP17" s="36" t="str">
        <f t="shared" si="15"/>
        <v/>
      </c>
      <c r="AQ17" s="36">
        <f t="shared" si="16"/>
        <v>50.3</v>
      </c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4"/>
      <c r="BH17" s="35" t="str">
        <f t="shared" si="17"/>
        <v/>
      </c>
      <c r="BI17" s="35" t="str">
        <f t="shared" si="18"/>
        <v/>
      </c>
      <c r="BJ17" s="11" t="str">
        <f t="shared" si="19"/>
        <v/>
      </c>
      <c r="BK17" s="11" t="str">
        <f t="shared" si="20"/>
        <v/>
      </c>
      <c r="BL17" s="11" t="str">
        <f t="shared" si="21"/>
        <v/>
      </c>
      <c r="BM17" s="11" t="str">
        <f t="shared" si="22"/>
        <v/>
      </c>
      <c r="BN17" s="11" t="str">
        <f t="shared" si="23"/>
        <v/>
      </c>
      <c r="BO17" s="11" t="str">
        <f t="shared" si="24"/>
        <v/>
      </c>
      <c r="BP17" s="11" t="str">
        <f t="shared" si="25"/>
        <v/>
      </c>
      <c r="BQ17" s="11" t="str">
        <f t="shared" si="26"/>
        <v/>
      </c>
      <c r="BR17" s="11" t="str">
        <f t="shared" si="27"/>
        <v/>
      </c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23"/>
      <c r="CI17" s="34" t="str">
        <f t="shared" si="28"/>
        <v/>
      </c>
      <c r="CJ17" s="34" t="str">
        <f t="shared" si="29"/>
        <v/>
      </c>
      <c r="CK17" s="36" t="str">
        <f t="shared" si="30"/>
        <v/>
      </c>
      <c r="CL17" s="36" t="str">
        <f t="shared" si="31"/>
        <v/>
      </c>
      <c r="CM17" s="36" t="str">
        <f t="shared" si="32"/>
        <v/>
      </c>
      <c r="CN17" s="36" t="str">
        <f t="shared" si="33"/>
        <v/>
      </c>
      <c r="CO17" s="36" t="str">
        <f t="shared" si="34"/>
        <v/>
      </c>
      <c r="CP17" s="36" t="str">
        <f t="shared" si="35"/>
        <v/>
      </c>
      <c r="CQ17" s="36" t="str">
        <f t="shared" si="36"/>
        <v/>
      </c>
      <c r="CR17" s="36" t="str">
        <f t="shared" si="37"/>
        <v/>
      </c>
      <c r="CS17" s="36" t="str">
        <f t="shared" si="38"/>
        <v/>
      </c>
      <c r="CT17" s="47">
        <f t="shared" si="39"/>
        <v>12.439999999999998</v>
      </c>
      <c r="CU17" s="15">
        <v>14.3</v>
      </c>
      <c r="CV17" s="15">
        <v>8.6999999999999993</v>
      </c>
      <c r="CW17" s="15">
        <v>14.8</v>
      </c>
      <c r="CX17" s="15">
        <v>15.07</v>
      </c>
      <c r="CY17" s="15">
        <v>0</v>
      </c>
      <c r="CZ17" s="15">
        <v>13.8</v>
      </c>
      <c r="DA17" s="15">
        <v>8.6999999999999993</v>
      </c>
      <c r="DB17" s="15">
        <v>14.4</v>
      </c>
      <c r="DC17" s="15">
        <v>15.35</v>
      </c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36">
        <f t="shared" si="40"/>
        <v>14.8</v>
      </c>
      <c r="DP17" s="36">
        <f t="shared" si="41"/>
        <v>15.07</v>
      </c>
      <c r="DQ17" s="36">
        <f t="shared" si="42"/>
        <v>52.87</v>
      </c>
      <c r="DR17" s="36">
        <f t="shared" si="43"/>
        <v>14.4</v>
      </c>
      <c r="DS17" s="36">
        <f t="shared" si="44"/>
        <v>15.35</v>
      </c>
      <c r="DT17" s="36">
        <f t="shared" si="45"/>
        <v>52.25</v>
      </c>
      <c r="DU17" s="36">
        <f t="shared" si="46"/>
        <v>52.87</v>
      </c>
      <c r="DV17" s="36" t="str">
        <f t="shared" si="47"/>
        <v/>
      </c>
      <c r="DW17" s="36" t="str">
        <f t="shared" si="48"/>
        <v/>
      </c>
      <c r="DX17" s="36" t="str">
        <f t="shared" si="49"/>
        <v/>
      </c>
      <c r="DY17" s="36" t="str">
        <f t="shared" si="50"/>
        <v/>
      </c>
      <c r="DZ17" s="36" t="str">
        <f t="shared" si="51"/>
        <v/>
      </c>
      <c r="EA17" s="36" t="str">
        <f t="shared" si="52"/>
        <v/>
      </c>
      <c r="EB17" s="36">
        <f t="shared" si="53"/>
        <v>52.87</v>
      </c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1" t="str">
        <f t="shared" si="54"/>
        <v/>
      </c>
      <c r="EX17" s="11" t="str">
        <f t="shared" si="55"/>
        <v/>
      </c>
      <c r="EY17" s="11" t="str">
        <f t="shared" si="56"/>
        <v/>
      </c>
      <c r="EZ17" s="11" t="str">
        <f t="shared" si="57"/>
        <v/>
      </c>
      <c r="FA17" s="11" t="str">
        <f t="shared" si="58"/>
        <v/>
      </c>
      <c r="FB17" s="11" t="str">
        <f t="shared" si="59"/>
        <v/>
      </c>
      <c r="FC17" s="11" t="str">
        <f t="shared" si="60"/>
        <v/>
      </c>
      <c r="FD17" s="11" t="str">
        <f t="shared" si="61"/>
        <v/>
      </c>
      <c r="FE17" s="11" t="str">
        <f t="shared" si="62"/>
        <v/>
      </c>
      <c r="FF17" s="11" t="str">
        <f t="shared" si="63"/>
        <v/>
      </c>
      <c r="FG17" s="11" t="str">
        <f t="shared" si="64"/>
        <v/>
      </c>
      <c r="FH17" s="11" t="str">
        <f t="shared" si="65"/>
        <v/>
      </c>
      <c r="FI17" s="11" t="str">
        <f t="shared" si="66"/>
        <v/>
      </c>
      <c r="FJ17" s="11" t="str">
        <f t="shared" si="67"/>
        <v/>
      </c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36" t="str">
        <f t="shared" si="68"/>
        <v/>
      </c>
      <c r="GF17" s="36" t="str">
        <f t="shared" si="69"/>
        <v/>
      </c>
      <c r="GG17" s="36" t="str">
        <f t="shared" si="70"/>
        <v/>
      </c>
      <c r="GH17" s="36" t="str">
        <f t="shared" si="71"/>
        <v/>
      </c>
      <c r="GI17" s="36" t="str">
        <f t="shared" si="72"/>
        <v/>
      </c>
      <c r="GJ17" s="36" t="str">
        <f t="shared" si="73"/>
        <v/>
      </c>
      <c r="GK17" s="36" t="str">
        <f t="shared" si="74"/>
        <v/>
      </c>
      <c r="GL17" s="36" t="str">
        <f t="shared" si="75"/>
        <v/>
      </c>
      <c r="GM17" s="36" t="str">
        <f t="shared" si="76"/>
        <v/>
      </c>
      <c r="GN17" s="36" t="str">
        <f t="shared" si="77"/>
        <v/>
      </c>
      <c r="GO17" s="36" t="str">
        <f t="shared" si="78"/>
        <v/>
      </c>
      <c r="GP17" s="36" t="str">
        <f t="shared" si="79"/>
        <v/>
      </c>
      <c r="GQ17" s="36" t="str">
        <f t="shared" si="80"/>
        <v/>
      </c>
      <c r="GR17" s="36" t="str">
        <f t="shared" si="81"/>
        <v/>
      </c>
      <c r="GS17" s="16"/>
      <c r="GT17" s="16"/>
      <c r="GU17" s="16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1" t="str">
        <f t="shared" si="82"/>
        <v/>
      </c>
      <c r="HN17" s="11" t="str">
        <f t="shared" si="83"/>
        <v/>
      </c>
      <c r="HO17" s="11" t="str">
        <f t="shared" si="84"/>
        <v/>
      </c>
      <c r="HP17" s="11" t="str">
        <f t="shared" si="85"/>
        <v/>
      </c>
      <c r="HQ17" s="11" t="str">
        <f t="shared" si="86"/>
        <v/>
      </c>
      <c r="HR17" s="11" t="str">
        <f t="shared" si="87"/>
        <v/>
      </c>
      <c r="HS17" s="11" t="str">
        <f t="shared" si="88"/>
        <v/>
      </c>
      <c r="HT17" s="11" t="str">
        <f t="shared" si="89"/>
        <v/>
      </c>
      <c r="HU17" s="11" t="str">
        <f t="shared" si="90"/>
        <v/>
      </c>
      <c r="HV17" s="11" t="str">
        <f t="shared" si="91"/>
        <v/>
      </c>
      <c r="HW17" s="11" t="str">
        <f t="shared" si="92"/>
        <v/>
      </c>
      <c r="HX17" s="11" t="str">
        <f t="shared" si="93"/>
        <v/>
      </c>
      <c r="HY17" s="11" t="str">
        <f t="shared" si="94"/>
        <v/>
      </c>
      <c r="HZ17" s="11" t="str">
        <f t="shared" si="95"/>
        <v/>
      </c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36" t="str">
        <f t="shared" si="96"/>
        <v/>
      </c>
      <c r="IV17" s="36" t="str">
        <f t="shared" si="97"/>
        <v/>
      </c>
      <c r="IW17" s="36" t="str">
        <f t="shared" si="98"/>
        <v/>
      </c>
      <c r="IX17" s="36" t="str">
        <f t="shared" si="99"/>
        <v/>
      </c>
      <c r="IY17" s="36" t="str">
        <f t="shared" si="100"/>
        <v/>
      </c>
      <c r="IZ17" s="36" t="str">
        <f t="shared" si="101"/>
        <v/>
      </c>
      <c r="JA17" s="36" t="str">
        <f t="shared" si="102"/>
        <v/>
      </c>
      <c r="JB17" s="36" t="str">
        <f t="shared" si="103"/>
        <v/>
      </c>
      <c r="JC17" s="36" t="str">
        <f t="shared" si="104"/>
        <v/>
      </c>
      <c r="JD17" s="36" t="str">
        <f t="shared" si="105"/>
        <v/>
      </c>
      <c r="JE17" s="36" t="str">
        <f t="shared" si="106"/>
        <v/>
      </c>
      <c r="JF17" s="36" t="str">
        <f t="shared" si="107"/>
        <v/>
      </c>
      <c r="JG17" s="36" t="str">
        <f t="shared" si="108"/>
        <v/>
      </c>
      <c r="JH17" s="36" t="str">
        <f t="shared" si="109"/>
        <v/>
      </c>
      <c r="JI17" s="16"/>
      <c r="JJ17" s="16"/>
      <c r="JK17" s="16"/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16"/>
      <c r="JX17" s="16"/>
      <c r="JY17" s="16"/>
      <c r="JZ17" s="16"/>
      <c r="KA17" s="16"/>
      <c r="KB17" s="16"/>
      <c r="KC17" s="11" t="str">
        <f t="shared" si="110"/>
        <v/>
      </c>
      <c r="KD17" s="11" t="str">
        <f t="shared" si="111"/>
        <v/>
      </c>
      <c r="KE17" s="11" t="str">
        <f t="shared" si="112"/>
        <v/>
      </c>
      <c r="KF17" s="11" t="str">
        <f t="shared" si="113"/>
        <v/>
      </c>
      <c r="KG17" s="11" t="str">
        <f t="shared" si="114"/>
        <v/>
      </c>
      <c r="KH17" s="11" t="str">
        <f t="shared" si="115"/>
        <v/>
      </c>
      <c r="KI17" s="11" t="str">
        <f t="shared" si="116"/>
        <v/>
      </c>
      <c r="KJ17" s="11" t="str">
        <f t="shared" si="117"/>
        <v/>
      </c>
      <c r="KK17" s="11" t="str">
        <f t="shared" si="118"/>
        <v/>
      </c>
      <c r="KL17" s="11" t="str">
        <f t="shared" si="119"/>
        <v/>
      </c>
      <c r="KM17" s="11" t="str">
        <f t="shared" si="120"/>
        <v/>
      </c>
      <c r="KN17" s="11" t="str">
        <f t="shared" si="121"/>
        <v/>
      </c>
      <c r="KO17" s="11" t="str">
        <f t="shared" si="122"/>
        <v/>
      </c>
      <c r="KP17" s="11" t="str">
        <f t="shared" si="123"/>
        <v/>
      </c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36" t="str">
        <f t="shared" si="124"/>
        <v/>
      </c>
      <c r="LL17" s="36" t="str">
        <f t="shared" si="125"/>
        <v/>
      </c>
      <c r="LM17" s="36" t="str">
        <f t="shared" si="126"/>
        <v/>
      </c>
      <c r="LN17" s="36" t="str">
        <f t="shared" si="127"/>
        <v/>
      </c>
      <c r="LO17" s="36" t="str">
        <f t="shared" si="128"/>
        <v/>
      </c>
      <c r="LP17" s="36" t="str">
        <f t="shared" si="129"/>
        <v/>
      </c>
      <c r="LQ17" s="36" t="str">
        <f t="shared" si="130"/>
        <v/>
      </c>
      <c r="LR17" s="36" t="str">
        <f t="shared" si="131"/>
        <v/>
      </c>
      <c r="LS17" s="36" t="str">
        <f t="shared" si="132"/>
        <v/>
      </c>
      <c r="LT17" s="36" t="str">
        <f t="shared" si="133"/>
        <v/>
      </c>
      <c r="LU17" s="36" t="str">
        <f t="shared" si="134"/>
        <v/>
      </c>
      <c r="LV17" s="36" t="str">
        <f t="shared" si="135"/>
        <v/>
      </c>
      <c r="LW17" s="36" t="str">
        <f t="shared" si="136"/>
        <v/>
      </c>
      <c r="LX17" s="36" t="str">
        <f t="shared" si="137"/>
        <v/>
      </c>
      <c r="LY17" s="16"/>
      <c r="LZ17" s="16"/>
      <c r="MA17" s="16"/>
      <c r="MB17" s="16"/>
      <c r="MC17" s="16"/>
      <c r="MD17" s="16"/>
      <c r="ME17" s="16"/>
      <c r="MF17" s="16"/>
      <c r="MG17" s="16"/>
      <c r="MH17" s="16"/>
      <c r="MI17" s="16"/>
      <c r="MJ17" s="16"/>
      <c r="MK17" s="16"/>
      <c r="ML17" s="16"/>
      <c r="MM17" s="16"/>
      <c r="MN17" s="16"/>
      <c r="MO17" s="16"/>
      <c r="MP17" s="16"/>
      <c r="MQ17" s="16"/>
      <c r="MR17" s="16"/>
      <c r="MS17" s="11" t="str">
        <f t="shared" si="138"/>
        <v/>
      </c>
      <c r="MT17" s="11" t="str">
        <f t="shared" si="139"/>
        <v/>
      </c>
      <c r="MU17" s="11" t="str">
        <f t="shared" si="140"/>
        <v/>
      </c>
      <c r="MV17" s="11" t="str">
        <f t="shared" si="141"/>
        <v/>
      </c>
      <c r="MW17" s="11" t="str">
        <f t="shared" si="142"/>
        <v/>
      </c>
      <c r="MX17" s="11" t="str">
        <f t="shared" si="143"/>
        <v/>
      </c>
      <c r="MY17" s="11" t="str">
        <f t="shared" si="144"/>
        <v/>
      </c>
      <c r="MZ17" s="11" t="str">
        <f t="shared" si="145"/>
        <v/>
      </c>
      <c r="NA17" s="11" t="str">
        <f t="shared" si="146"/>
        <v/>
      </c>
      <c r="NB17" s="11" t="str">
        <f t="shared" si="147"/>
        <v/>
      </c>
      <c r="NC17" s="11" t="str">
        <f t="shared" si="148"/>
        <v/>
      </c>
      <c r="ND17" s="11" t="str">
        <f t="shared" si="149"/>
        <v/>
      </c>
      <c r="NE17" s="11" t="str">
        <f t="shared" si="150"/>
        <v/>
      </c>
      <c r="NF17" s="11" t="str">
        <f t="shared" si="151"/>
        <v/>
      </c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36" t="str">
        <f t="shared" si="152"/>
        <v/>
      </c>
      <c r="OB17" s="36" t="str">
        <f t="shared" si="153"/>
        <v/>
      </c>
      <c r="OC17" s="36" t="str">
        <f t="shared" si="154"/>
        <v/>
      </c>
      <c r="OD17" s="36" t="str">
        <f t="shared" si="155"/>
        <v/>
      </c>
      <c r="OE17" s="36" t="str">
        <f t="shared" si="156"/>
        <v/>
      </c>
      <c r="OF17" s="36" t="str">
        <f t="shared" si="157"/>
        <v/>
      </c>
      <c r="OG17" s="36" t="str">
        <f t="shared" si="158"/>
        <v/>
      </c>
      <c r="OH17" s="36" t="str">
        <f t="shared" si="159"/>
        <v/>
      </c>
      <c r="OI17" s="36" t="str">
        <f t="shared" si="160"/>
        <v/>
      </c>
      <c r="OJ17" s="36" t="str">
        <f t="shared" si="161"/>
        <v/>
      </c>
      <c r="OK17" s="36" t="str">
        <f t="shared" si="162"/>
        <v/>
      </c>
      <c r="OL17" s="36" t="str">
        <f t="shared" si="163"/>
        <v/>
      </c>
      <c r="OM17" s="36" t="str">
        <f t="shared" si="164"/>
        <v/>
      </c>
      <c r="ON17" s="36" t="str">
        <f t="shared" si="165"/>
        <v/>
      </c>
      <c r="OO17" s="16"/>
      <c r="OP17" s="16"/>
      <c r="OQ17" s="16"/>
      <c r="OR17" s="16"/>
      <c r="OS17" s="16"/>
      <c r="OT17" s="16"/>
      <c r="OU17" s="16"/>
      <c r="OV17" s="16"/>
      <c r="OW17" s="16"/>
      <c r="OX17" s="16"/>
      <c r="OY17" s="16"/>
      <c r="OZ17" s="16"/>
      <c r="PA17" s="16"/>
      <c r="PB17" s="16"/>
      <c r="PC17" s="16"/>
      <c r="PD17" s="16"/>
      <c r="PE17" s="16"/>
      <c r="PF17" s="16"/>
      <c r="PG17" s="16"/>
      <c r="PH17" s="16"/>
      <c r="PI17" s="11" t="str">
        <f t="shared" si="166"/>
        <v/>
      </c>
      <c r="PJ17" s="11" t="str">
        <f t="shared" si="167"/>
        <v/>
      </c>
      <c r="PK17" s="11" t="str">
        <f t="shared" si="168"/>
        <v/>
      </c>
      <c r="PL17" s="11" t="str">
        <f t="shared" si="169"/>
        <v/>
      </c>
      <c r="PM17" s="11" t="str">
        <f t="shared" si="170"/>
        <v/>
      </c>
      <c r="PN17" s="11" t="str">
        <f t="shared" si="171"/>
        <v/>
      </c>
      <c r="PO17" s="11" t="str">
        <f t="shared" si="172"/>
        <v/>
      </c>
      <c r="PP17" s="11" t="str">
        <f t="shared" si="173"/>
        <v/>
      </c>
      <c r="PQ17" s="11" t="str">
        <f t="shared" si="174"/>
        <v/>
      </c>
      <c r="PR17" s="11" t="str">
        <f t="shared" si="175"/>
        <v/>
      </c>
      <c r="PS17" s="11" t="str">
        <f t="shared" si="176"/>
        <v/>
      </c>
      <c r="PT17" s="11" t="str">
        <f t="shared" si="177"/>
        <v/>
      </c>
      <c r="PU17" s="11" t="str">
        <f t="shared" si="178"/>
        <v/>
      </c>
      <c r="PV17" s="11" t="str">
        <f t="shared" si="179"/>
        <v/>
      </c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36" t="str">
        <f t="shared" si="180"/>
        <v/>
      </c>
      <c r="QR17" s="36" t="str">
        <f t="shared" si="181"/>
        <v/>
      </c>
      <c r="QS17" s="36" t="str">
        <f t="shared" si="182"/>
        <v/>
      </c>
      <c r="QT17" s="36" t="str">
        <f t="shared" si="183"/>
        <v/>
      </c>
      <c r="QU17" s="36" t="str">
        <f t="shared" si="184"/>
        <v/>
      </c>
      <c r="QV17" s="36" t="str">
        <f t="shared" si="185"/>
        <v/>
      </c>
      <c r="QW17" s="36" t="str">
        <f t="shared" si="186"/>
        <v/>
      </c>
      <c r="QX17" s="36" t="str">
        <f t="shared" si="187"/>
        <v/>
      </c>
      <c r="QY17" s="36" t="str">
        <f t="shared" si="188"/>
        <v/>
      </c>
      <c r="QZ17" s="36" t="str">
        <f t="shared" si="189"/>
        <v/>
      </c>
      <c r="RA17" s="36" t="str">
        <f t="shared" si="190"/>
        <v/>
      </c>
      <c r="RB17" s="36" t="str">
        <f t="shared" si="191"/>
        <v/>
      </c>
      <c r="RC17" s="36" t="str">
        <f t="shared" si="192"/>
        <v/>
      </c>
      <c r="RD17" s="36" t="str">
        <f t="shared" si="193"/>
        <v/>
      </c>
      <c r="RE17" s="16"/>
      <c r="RF17" s="16"/>
      <c r="RG17" s="16"/>
      <c r="RH17" s="16"/>
      <c r="RI17" s="16"/>
      <c r="RJ17" s="16"/>
      <c r="RK17" s="16"/>
      <c r="RL17" s="16"/>
      <c r="RM17" s="16"/>
      <c r="RN17" s="16"/>
      <c r="RO17" s="16"/>
      <c r="RP17" s="16"/>
      <c r="RQ17" s="16"/>
      <c r="RR17" s="16"/>
      <c r="RS17" s="16"/>
      <c r="RT17" s="16"/>
      <c r="RU17" s="16"/>
      <c r="RV17" s="16"/>
      <c r="RW17" s="16"/>
      <c r="RX17" s="16"/>
      <c r="RY17" s="11" t="str">
        <f t="shared" si="194"/>
        <v/>
      </c>
      <c r="RZ17" s="11" t="str">
        <f t="shared" si="195"/>
        <v/>
      </c>
      <c r="SA17" s="11" t="str">
        <f t="shared" si="196"/>
        <v/>
      </c>
      <c r="SB17" s="11" t="str">
        <f t="shared" si="197"/>
        <v/>
      </c>
      <c r="SC17" s="11" t="str">
        <f t="shared" si="198"/>
        <v/>
      </c>
      <c r="SD17" s="11" t="str">
        <f t="shared" si="199"/>
        <v/>
      </c>
      <c r="SE17" s="11" t="str">
        <f t="shared" si="200"/>
        <v/>
      </c>
      <c r="SF17" s="11" t="str">
        <f t="shared" si="201"/>
        <v/>
      </c>
      <c r="SG17" s="11" t="str">
        <f t="shared" si="202"/>
        <v/>
      </c>
      <c r="SH17" s="11" t="str">
        <f t="shared" si="203"/>
        <v/>
      </c>
      <c r="SI17" s="11" t="str">
        <f t="shared" si="204"/>
        <v/>
      </c>
      <c r="SJ17" s="11" t="str">
        <f t="shared" si="205"/>
        <v/>
      </c>
      <c r="SK17" s="11" t="str">
        <f t="shared" si="206"/>
        <v/>
      </c>
      <c r="SL17" s="11" t="str">
        <f t="shared" si="207"/>
        <v/>
      </c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36" t="str">
        <f t="shared" si="208"/>
        <v/>
      </c>
      <c r="TH17" s="36" t="str">
        <f t="shared" si="209"/>
        <v/>
      </c>
      <c r="TI17" s="36" t="str">
        <f t="shared" si="210"/>
        <v/>
      </c>
      <c r="TJ17" s="36" t="str">
        <f t="shared" si="211"/>
        <v/>
      </c>
      <c r="TK17" s="36" t="str">
        <f t="shared" si="212"/>
        <v/>
      </c>
      <c r="TL17" s="36" t="str">
        <f t="shared" si="213"/>
        <v/>
      </c>
      <c r="TM17" s="36" t="str">
        <f t="shared" si="214"/>
        <v/>
      </c>
      <c r="TN17" s="36" t="str">
        <f t="shared" si="215"/>
        <v/>
      </c>
      <c r="TO17" s="36" t="str">
        <f t="shared" si="216"/>
        <v/>
      </c>
      <c r="TP17" s="36" t="str">
        <f t="shared" si="217"/>
        <v/>
      </c>
      <c r="TQ17" s="36" t="str">
        <f t="shared" si="218"/>
        <v/>
      </c>
      <c r="TR17" s="36" t="str">
        <f t="shared" si="219"/>
        <v/>
      </c>
      <c r="TS17" s="36" t="str">
        <f t="shared" si="220"/>
        <v/>
      </c>
      <c r="TT17" s="36" t="str">
        <f t="shared" si="221"/>
        <v/>
      </c>
      <c r="TU17" s="16"/>
      <c r="TV17" s="16"/>
      <c r="TW17" s="16"/>
      <c r="TX17" s="16"/>
      <c r="TY17" s="16"/>
      <c r="TZ17" s="16"/>
      <c r="UA17" s="16"/>
      <c r="UB17" s="16"/>
      <c r="UC17" s="16"/>
      <c r="UD17" s="16"/>
      <c r="UE17" s="16"/>
      <c r="UF17" s="16"/>
      <c r="UG17" s="16"/>
      <c r="UH17" s="16"/>
      <c r="UI17" s="16"/>
      <c r="UJ17" s="16"/>
      <c r="UK17" s="16"/>
      <c r="UL17" s="16"/>
      <c r="UM17" s="16"/>
      <c r="UN17" s="16"/>
      <c r="UO17" s="11" t="str">
        <f t="shared" si="222"/>
        <v/>
      </c>
      <c r="UP17" s="11" t="str">
        <f t="shared" si="223"/>
        <v/>
      </c>
      <c r="UQ17" s="11" t="str">
        <f t="shared" si="224"/>
        <v/>
      </c>
      <c r="UR17" s="11" t="str">
        <f t="shared" si="225"/>
        <v/>
      </c>
      <c r="US17" s="11" t="str">
        <f t="shared" si="226"/>
        <v/>
      </c>
      <c r="UT17" s="11" t="str">
        <f t="shared" si="227"/>
        <v/>
      </c>
      <c r="UU17" s="11" t="str">
        <f t="shared" si="228"/>
        <v/>
      </c>
      <c r="UV17" s="11" t="str">
        <f t="shared" si="229"/>
        <v/>
      </c>
      <c r="UW17" s="11" t="str">
        <f t="shared" si="230"/>
        <v/>
      </c>
      <c r="UX17" s="11" t="str">
        <f t="shared" si="231"/>
        <v/>
      </c>
      <c r="UY17" s="11" t="str">
        <f t="shared" si="232"/>
        <v/>
      </c>
      <c r="UZ17" s="11" t="str">
        <f t="shared" si="233"/>
        <v/>
      </c>
      <c r="VA17" s="11" t="str">
        <f t="shared" si="234"/>
        <v/>
      </c>
      <c r="VB17" s="11" t="str">
        <f t="shared" si="235"/>
        <v/>
      </c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36" t="str">
        <f t="shared" si="236"/>
        <v/>
      </c>
      <c r="VX17" s="36" t="str">
        <f t="shared" si="237"/>
        <v/>
      </c>
      <c r="VY17" s="36" t="str">
        <f t="shared" si="238"/>
        <v/>
      </c>
      <c r="VZ17" s="36" t="str">
        <f t="shared" si="239"/>
        <v/>
      </c>
      <c r="WA17" s="36" t="str">
        <f t="shared" si="240"/>
        <v/>
      </c>
      <c r="WB17" s="36" t="str">
        <f t="shared" si="241"/>
        <v/>
      </c>
      <c r="WC17" s="36" t="str">
        <f t="shared" si="242"/>
        <v/>
      </c>
      <c r="WD17" s="36" t="str">
        <f t="shared" si="243"/>
        <v/>
      </c>
      <c r="WE17" s="36" t="str">
        <f t="shared" si="244"/>
        <v/>
      </c>
      <c r="WF17" s="36" t="str">
        <f t="shared" si="245"/>
        <v/>
      </c>
      <c r="WG17" s="36" t="str">
        <f t="shared" si="246"/>
        <v/>
      </c>
      <c r="WH17" s="36" t="str">
        <f t="shared" si="247"/>
        <v/>
      </c>
      <c r="WI17" s="36" t="str">
        <f t="shared" si="248"/>
        <v/>
      </c>
      <c r="WJ17" s="36" t="str">
        <f t="shared" si="249"/>
        <v/>
      </c>
    </row>
    <row r="18" spans="1:608" x14ac:dyDescent="0.2">
      <c r="A18" s="4" t="str" cm="1">
        <f t="array" ref="A18">IF(AND(H18&lt;&gt;"",H18&lt;&gt;"No DD",I18&lt;&gt;"P"),SUMPRODUCT((H$4:H$28&lt;&gt;"")*(H$4:H$28&lt;&gt;"No DD")*(I$4:I$28&lt;&gt;"P")*(E$4:E$28&gt;E18))+1,IF(H18="No DD",SUMPRODUCT((H$4:H$28="No DD")*(I$4:I$28&lt;&gt;"P")*(E$4:E$28&gt;E18))+1+SUMPRODUCT((H$4:H$28&lt;&gt;"")*(I$4:I$28&lt;&gt;"P")*(H$4:H$28&lt;&gt;"No DD")),""))</f>
        <v/>
      </c>
      <c r="B18" s="5" t="s">
        <v>188</v>
      </c>
      <c r="C18" s="4" t="s">
        <v>3</v>
      </c>
      <c r="D18" s="4">
        <v>2006</v>
      </c>
      <c r="E18" s="9">
        <f t="shared" si="0"/>
        <v>101.66001016600529</v>
      </c>
      <c r="F18" s="3" t="str">
        <f>IF(OR(AND(AG18&gt;=AQ$30,AG18&lt;&gt;"",AI18&gt;=AQ$34,AI18&lt;&gt;"",AF18=""),AND(AJ18&gt;=AQ$30,AJ18&lt;&gt;"",AL18&gt;=AQ$34,AL18&lt;&gt;"",AF18=""),AND(AN18&gt;=AQ$30,AN18&lt;&gt;"",AP18&gt;=AQ$34,AP18&lt;&gt;"",AF18=""),AND(BH18&gt;=BR$30,BH18&lt;&gt;"",BJ18&gt;=BR$34,BJ18&lt;&gt;"",BG18=""),AND(BK18&gt;=BR$30,BK18&lt;&gt;"",BM18&gt;=BR$34,BM18&lt;&gt;"",BG18=""),AND(BO18&gt;=BR$30,BO18&lt;&gt;"",BQ18&gt;=BR$34,BQ18&lt;&gt;"",BG18=""),AND(CI18&gt;=CS$30,CI18&lt;&gt;"",CK18&gt;=CS$34,CK18&lt;&gt;"",CH18=""),AND(CL18&gt;=CS$30,CL18&lt;&gt;"",CN18&gt;=CS$34,CN18&lt;&gt;"",CH18=""),AND(CP18&gt;=CS$30,CP18&lt;&gt;"",CR18&gt;=CS$34,CR18&lt;&gt;"",CH18=""),AND(DO18&gt;=EB$30,DO18&lt;&gt;"",DQ18&gt;=EB$34,DQ18&lt;&gt;""),AND(DR18&gt;=EB$30,DR18&lt;&gt;"",DT18&gt;=EB$34,DT18&lt;&gt;""),AND(DV18&gt;=EB$30,DV18&lt;&gt;"",DX18&gt;=EB$34,DX18&lt;&gt;""),AND(DY18&gt;=EB$30,DY18&lt;&gt;"",EA18&gt;=EB$34,EA18&lt;&gt;""),AND(EW18&gt;=FJ$30,EW18&lt;&gt;"",EY18&gt;=FJ$34,EY18&lt;&gt;""),AND(EZ18&gt;=FJ$30,EZ18&lt;&gt;"",FB18&gt;=FJ$34,FB18&lt;&gt;""),AND(FD18&gt;=FJ$30,FD18&lt;&gt;"",FF18&gt;=FJ$34,FF18&lt;&gt;""),AND(FG18&gt;=FJ$30,FG18&lt;&gt;"",FI18&gt;=FJ$34,FI18&lt;&gt;""),AND(GE18&gt;=GR$30,GE18&lt;&gt;"",GG18&gt;=GR$34,GG18&lt;&gt;""),AND(GH18&gt;=GR$30,GH18&lt;&gt;"",GJ18&gt;=GR$34,GJ18&lt;&gt;""),AND(GL18&gt;=GR$30,GL18&lt;&gt;"",GN18&gt;=GR$34,GN18&lt;&gt;""),AND(GO18&gt;=GR$30,GO18&lt;&gt;"",GQ18&gt;=GR$34,GQ18&lt;&gt;""),AND(HM18&gt;=HZ$30,HM18&lt;&gt;"",HO18&gt;=HZ$34,HO18&lt;&gt;""),AND(HP18&gt;=HZ$30,HP18&lt;&gt;"",HR18&gt;=HZ$34,HR18&lt;&gt;""),AND(HT18&gt;=HZ$30,HT18&lt;&gt;"",HV18&gt;=HZ$34,HV18&lt;&gt;""),AND(HW18&gt;=HZ$30,HW18&lt;&gt;"",HY18&gt;=HZ$34,HY18&lt;&gt;""),AND(IU18&gt;=JH$30,IU18&lt;&gt;"",IW18&gt;=JH$34,IW18&lt;&gt;""),AND(IX18&gt;=JH$30,IX18&lt;&gt;"",IZ18&gt;=JH$34,IZ18&lt;&gt;""),AND(JB18&gt;=JH$30,JB18&lt;&gt;"",JD18&gt;=JH$34,JD18&lt;&gt;""),AND(JE18&gt;=JH$30,JE18&lt;&gt;"",JG18&gt;=JH$34,JG18&lt;&gt;""),AND(KC18&gt;=KP$30,KC18&lt;&gt;"",KE18&gt;=KP$34,KE18&lt;&gt;""),AND(KF18&gt;=KP$30,KF18&lt;&gt;"",KH18&gt;=KP$34,KH18&lt;&gt;""),AND(KJ18&gt;=KP$30,KJ18&lt;&gt;"",KL18&gt;=KP$34,KL18&lt;&gt;""),AND(KM18&gt;=KP$30,KM18&lt;&gt;"",KO18&gt;=KP$34,KO18&lt;&gt;""),AND(LK18&gt;=LX$30,LK18&lt;&gt;"",LM18&gt;=LX$34,LM18&lt;&gt;""),AND(LN18&gt;=LX$30,LN18&lt;&gt;"",LP18&gt;=LX$34,LP18&lt;&gt;""),AND(LR18&gt;=LX$30,LR18&lt;&gt;"",LT18&gt;=LX$34,LT18&lt;&gt;""),AND(LU18&gt;=LX$30,LU18&lt;&gt;"",LW18&gt;=LX$34,LW18&lt;&gt;""),AND(MS18&gt;=NF$30,MS18&lt;&gt;"",MU18&gt;=NF$34,MU18&lt;&gt;""),AND(MV18&gt;=NF$30,MV18&lt;&gt;"",MX18&gt;=NF$34,MX18&lt;&gt;""),AND(MZ18&gt;=NF$30,MZ18&lt;&gt;"",NB18&gt;=NF$34,NB18&lt;&gt;""),AND(NC18&gt;=NF$30,NC18&lt;&gt;"",NE18&gt;=NF$34,NE18&lt;&gt;""),AND(OA18&gt;=ON$30,OA18&lt;&gt;"",OC18&gt;=ON$34,OC18&lt;&gt;""),AND(OD18&gt;=ON$30,OD18&lt;&gt;"",OF18&gt;=ON$34,OF18&lt;&gt;""),AND(OH18&gt;=ON$30,OH18&lt;&gt;"",OJ18&gt;=ON$34,OJ18&lt;&gt;""),AND(OK18&gt;=ON$30,OK18&lt;&gt;"",OM18&gt;=ON$34,OM18&lt;&gt;""),AND(PI18&gt;=PV$30,PI18&lt;&gt;"",PK18&gt;=PV$34,PK18&lt;&gt;""),AND(PL18&gt;=PV$30,PL18&lt;&gt;"",PN18&gt;=PV$34,PN18&lt;&gt;""),AND(PP18&gt;=PV$30,PP18&lt;&gt;"",PR18&gt;=PV$34,PR18&lt;&gt;""),AND(PS18&gt;=PV$30,PS18&lt;&gt;"",PU18&gt;=PV$34,PU18&lt;&gt;""),AND(QQ18&gt;=RD$30,QQ18&lt;&gt;"",QS18&gt;=RD$34,QS18&lt;&gt;""),AND(QT18&gt;=RD$30,QT18&lt;&gt;"",QV18&gt;=RD$34,QV18&lt;&gt;""),AND(QX18&gt;=RD$30,QX18&lt;&gt;"",QZ18&gt;=RD$34,QZ18&lt;&gt;""),AND(RA18&gt;=RD$30,RA18&lt;&gt;"",RC18&gt;=RD$34,RC18&lt;&gt;""),AND(RY18&gt;=SL$30,RY18&lt;&gt;"",SA18&gt;=SL$34,SA18&lt;&gt;""),AND(SB18&gt;=SL$30,SB18&lt;&gt;"",SD18&gt;=SL$34,SD18&lt;&gt;""),AND(SF18&gt;=SL$30,SF18&lt;&gt;"",SH18&gt;=SL$34,SH18&lt;&gt;""),AND(SI18&gt;=SL$30,SI18&lt;&gt;"",SK18&gt;=SL$34,SK18&lt;&gt;""),AND(TG18&gt;=TT$30,TG18&lt;&gt;"",TI18&gt;=TT$34,TI18&lt;&gt;""),AND(TJ18&gt;=TT$30,TJ18&lt;&gt;"",TL18&gt;=TT$34,TL18&lt;&gt;""),AND(TN18&gt;=TT$30,TN18&lt;&gt;"",TP18&gt;=TT$34,TXN18&lt;&gt;""),AND(TQ18&gt;=TT$30,TQ18&lt;&gt;"",TS18&gt;=TT$34,TS18&lt;&gt;""),AND(UO18&gt;=VB$30,UO18&lt;&gt;"",UQ18&gt;=VB$34,UQ18&lt;&gt;""),AND(UR18&gt;=VB$30,UR18&lt;&gt;"",UT18&gt;=VB$34,UT18&lt;&gt;""),AND(UV18&gt;=VB$30,UV18&lt;&gt;"",UX18&gt;=VB$34,UX18&lt;&gt;""),AND(UY18&gt;=VB$30,UY18&lt;&gt;"",VA18&gt;=VB$34,VA18&lt;&gt;""),AND(VW18&gt;=WJ$30,VW18&lt;&gt;"",VY18&gt;=WJ$34,VY18&lt;&gt;""),AND(VZ18&gt;=WJ$30,VZ18&lt;&gt;"",WB18&gt;=WJ$34,WB18&lt;&gt;""),AND(WD18&gt;=WJ$30,WD18&lt;&gt;"",WF18&gt;=WJ$34,WF18&lt;&gt;""),AND(WG18&gt;=WJ$30,WG18&lt;&gt;"",WI18&gt;=WJ$34,WI18&lt;&gt;"")),"P","")</f>
        <v/>
      </c>
      <c r="G18" s="3" t="str">
        <f>IF(OR(AND(AI18&gt;=AQ$34,AI18&lt;&gt;"",AF18=""),AND(AL18&gt;=AQ$34,AL18&lt;&gt;"",AF18=""),AND(AP18&gt;=AQ$34,AP18&lt;&gt;"",AF18=""),AND(BJ18&gt;=BR$34,BJ18&lt;&gt;"",BG18=""),AND(BM18&gt;=BR$34,BM18&lt;&gt;"",BG18=""),AND(BQ18&gt;=BR$34,BQ18&lt;&gt;"",BG18=""),AND(CK18&gt;=CS$34,CK18&lt;&gt;"",CH18=""),AND(CN18&gt;=CS$34,CN18&lt;&gt;"",CH18=""),AND(CR18&gt;=CS$34,CR18&lt;&gt;"",CH18=""),AND(DQ18&gt;=EB$34,DQ18&lt;&gt;""),AND(DT18&gt;=EB$34,DT18&lt;&gt;""),AND(DX18&gt;=EB$34,DX18&lt;&gt;""),AND(EA18&gt;=EB$34,EA18&lt;&gt;""),AND(EY18&gt;=FJ$34,EY18&lt;&gt;""),AND(FB18&gt;=FJ$34,FB18&lt;&gt;""),AND(FF18&gt;=FJ$34,FF18&lt;&gt;""),AND(FI18&gt;=FJ$34,FI18&lt;&gt;""),AND(GG18&gt;=GR$34,GG18&lt;&gt;""),AND(GJ18&gt;=GR$34,GJ18&lt;&gt;""),AND(GN18&gt;=GR$34,GN18&lt;&gt;""),AND(GQ18&gt;=GR$34,GQ18&lt;&gt;""),AND(HO18&gt;=HZ$34,HO18&lt;&gt;""),AND(HR18&gt;=HZ$34,HR18&lt;&gt;""),AND(HV18&gt;=HZ$34,HV18&lt;&gt;""),AND(HY18&gt;=HZ$34,HY18&lt;&gt;""),AND(IW18&gt;=JH$34,IW18&lt;&gt;""),AND(IZ18&gt;=JH$34,IZ18&lt;&gt;""),AND(JD18&gt;=JH$34,JD18&lt;&gt;""),AND(JG18&gt;=JH$34,JG18&lt;&gt;""),AND(KE18&gt;=KP$34,KE18&lt;&gt;""),AND(KH18&gt;=KP$34,KH18&lt;&gt;""),AND(KL18&gt;=KP$34,KL18&lt;&gt;""),AND(KO18&gt;=KP$34,KO18&lt;&gt;""),AND(LM18&gt;=LX$34,LM18&lt;&gt;""),AND(LP18&gt;=LX$34,LP18&lt;&gt;""),AND(LT18&gt;=LX$34,LT18&lt;&gt;""),AND(LW18&gt;=LX$34,LW18&lt;&gt;""),AND(MU18&gt;=NF$34,MU18&lt;&gt;""),AND(MX18&gt;=NF$34,MX18&lt;&gt;""),AND(NB18&gt;=NF$34,NB18&lt;&gt;""),AND(NE18&gt;=NF$34,NE18&lt;&gt;""),AND(OC18&gt;=ON$34,OC18&lt;&gt;""),AND(OF18&gt;=ON$34,OF18&lt;&gt;""),AND(OJ18&gt;=ON$34,OJ18&lt;&gt;""),AND(OM18&gt;=ON$34,OM18&lt;&gt;""),AND(PK18&gt;=PV$34,PK18&lt;&gt;""),AND(PN18&gt;=PV$34,PN18&lt;&gt;""),AND(PR18&gt;=PV$34,PR18&lt;&gt;""),AND(PU18&gt;=PV$34,PU18&lt;&gt;""),AND(QS18&gt;=RD$34,QS18&lt;&gt;""),AND(QV18&gt;=RD$34,QV18&lt;&gt;""),AND(QZ18&gt;=RD$34,QZ18&lt;&gt;""),AND(RC18&gt;=RD$34,RC18&lt;&gt;""),AND(SA18&gt;=SL$34,SA18&lt;&gt;""),AND(SD18&gt;=SL$34,SD18&lt;&gt;""),AND(SH18&gt;=SL$34,SH18&lt;&gt;""),AND(SK18&gt;=SL$34,SK18&lt;&gt;""),AND(TI18&gt;=TT$34,TI18&lt;&gt;""),AND(TL18&gt;=TT$34,TL18&lt;&gt;""),AND(TP18&gt;=TT$34,TXN18&lt;&gt;""),AND(TS18&gt;=TT$34,TS18&lt;&gt;""),AND(UQ18&gt;=VB$34,UQ18&lt;&gt;""),AND(UT18&gt;=VB$34,UT18&lt;&gt;""),AND(UX18&gt;=VB$34,UX18&lt;&gt;""),AND(VA18&gt;=VB$34,VA18&lt;&gt;""),AND(VY18&gt;=WJ$34,VY18&lt;&gt;""),AND(WB18&gt;=WJ$34,WB18&lt;&gt;""),AND(WF18&gt;=WJ$34,WF18&lt;&gt;""),AND(WI18&gt;=WJ$34,WI18&lt;&gt;"")),"P","")</f>
        <v/>
      </c>
      <c r="H18" s="32" t="str">
        <f>IF(AND(G18="P",F18=""),"No DD",IF(OR(AND(AG18&gt;=AQ$33,AG18&lt;&gt;"",AI18&gt;=AQ$37,AI18&lt;&gt;"",AF18=""),AND(AJ18&gt;=AQ$33,AJ18&lt;&gt;"",AL18&gt;=AQ$37,AL18&lt;&gt;"",AF18=""),AND(AN18&gt;=AQ$33,AN18&lt;&gt;"",AP18&gt;=AQ$37,AP18&lt;&gt;"",AF18=""),AND(BH18&gt;=BR$33,BH18&lt;&gt;"",BJ18&gt;=BR$37,BJ18&lt;&gt;"",BG18=""),AND(BK18&gt;=BR$33,BK18&lt;&gt;"",BM18&gt;=BR$37,BM18&lt;&gt;"",BG18=""),AND(BO18&gt;=BR$33,BO18&lt;&gt;"",BQ18&gt;=BR$37,BQ18&lt;&gt;"",BG18=""),AND(CI18&gt;=CS$33,CI18&lt;&gt;"",CK18&gt;=CS$37,CK18&lt;&gt;"",CH18=""),AND(CL18&gt;=CS$33,CL18&lt;&gt;"",CN18&gt;=CS$37,CN18&lt;&gt;"",CH18=""),AND(CP18&gt;=CS$33,CP18&lt;&gt;"",CR18&gt;=CS$37,CR18&lt;&gt;"",CH18=""),AND(DO18&gt;=EB$33,DO18&lt;&gt;"",DQ18&gt;=EB$37,DQ18&lt;&gt;""),AND(DR18&gt;=EB$33,DR18&lt;&gt;"",DT18&gt;=EB$37,DT18&lt;&gt;""),AND(DV18&gt;=EB$33,DV18&lt;&gt;"",DX18&gt;=EB$37,DX18&lt;&gt;""),AND(DY18&gt;=EB$33,DY18&lt;&gt;"",EA18&gt;=EB$37,EA18&lt;&gt;""),AND(EW18&gt;=FJ$33,EW18&lt;&gt;"",EY18&gt;=FJ$37,EY18&lt;&gt;""),AND(EZ18&gt;=FJ$33,EZ18&lt;&gt;"",FB18&gt;=FJ$37,FB18&lt;&gt;""),AND(FD18&gt;=FJ$33,FD18&lt;&gt;"",FF18&gt;=FJ$37,FF18&lt;&gt;""),AND(FG18&gt;=FJ$33,FG18&lt;&gt;"",FI18&gt;=FJ$37,FI18&lt;&gt;""),AND(GE18&gt;=GR$33,GE18&lt;&gt;"",GG18&gt;=GR$37,GG18&lt;&gt;""),AND(GH18&gt;=GR$33,GH18&lt;&gt;"",GJ18&gt;=GR$37,GJ18&lt;&gt;""),AND(GL18&gt;=GR$33,GL18&lt;&gt;"",GN18&gt;=GR$37,GN18&lt;&gt;""),AND(GO18&gt;=GR$33,GO18&lt;&gt;"",GQ18&gt;=GR$37,GQ18&lt;&gt;""),AND(HM18&gt;=HZ$33,HM18&lt;&gt;"",HO18&gt;=HZ$37,HO18&lt;&gt;""),AND(HP18&gt;=HZ$33,HP18&lt;&gt;"",HR18&gt;=HZ$37,HR18&lt;&gt;""),AND(HT18&gt;=HZ$33,HT18&lt;&gt;"",HV18&gt;=HZ$37,HV18&lt;&gt;""),AND(HW18&gt;=HZ$33,HW18&lt;&gt;"",HY18&gt;=HZ$37,HY18&lt;&gt;""),AND(IU18&gt;=JH$33,IU18&lt;&gt;"",IW18&gt;=JH$37,IW18&lt;&gt;""),AND(IX18&gt;=JH$33,IX18&lt;&gt;"",IZ18&gt;=JH$37,IZ18&lt;&gt;""),AND(JB18&gt;=JH$33,JB18&lt;&gt;"",JD18&gt;=JH$37,JD18&lt;&gt;""),AND(JE18&gt;=JH$33,JE18&lt;&gt;"",JG18&gt;=JH$37,JG18&lt;&gt;""),AND(KC18&gt;=KP$33,KC18&lt;&gt;"",KE18&gt;=KP$37,KE18&lt;&gt;""),AND(KF18&gt;=KP$33,KF18&lt;&gt;"",KH18&gt;=KP$37,KH18&lt;&gt;""),AND(KJ18&gt;=KP$33,KJ18&lt;&gt;"",KL18&gt;=KP$37,KL18&lt;&gt;""),AND(KM18&gt;=KP$33,KM18&lt;&gt;"",KO18&gt;=KP$37,KO18&lt;&gt;""),AND(LK18&gt;=LX$33,LK18&lt;&gt;"",LM18&gt;=LX$37,LM18&lt;&gt;""),AND(LN18&gt;=LX$33,LN18&lt;&gt;"",LP18&gt;=LX$37,LP18&lt;&gt;""),AND(LR18&gt;=LX$33,LR18&lt;&gt;"",LT18&gt;=LX$37,LT18&lt;&gt;""),AND(LU18&gt;=LX$33,LU18&lt;&gt;"",LW18&gt;=LX$37,LW18&lt;&gt;""),AND(MS18&gt;=NF$33,MS18&lt;&gt;"",MU18&gt;=NF$37,MU18&lt;&gt;""),AND(MV18&gt;=NF$33,MV18&lt;&gt;"",MX18&gt;=NF$37,MX18&lt;&gt;""),AND(MZ18&gt;=NF$33,MZ18&lt;&gt;"",NB18&gt;=NF$37,NB18&lt;&gt;""),AND(NC18&gt;=NF$33,NC18&lt;&gt;"",NE18&gt;=NF$37,NE18&lt;&gt;""),AND(OA18&gt;=ON$33,OA18&lt;&gt;"",OC18&gt;=ON$37,OC18&lt;&gt;""),AND(OD18&gt;=ON$33,OD18&lt;&gt;"",OF18&gt;=ON$37,OF18&lt;&gt;""),AND(OH18&gt;=ON$33,OH18&lt;&gt;"",OJ18&gt;=ON$37,OJ18&lt;&gt;""),AND(OK18&gt;=ON$33,OK18&lt;&gt;"",OM18&gt;=ON$37,OM18&lt;&gt;""),AND(PI18&gt;=PV$33,PI18&lt;&gt;"",PK18&gt;=PV$37,PK18&lt;&gt;""),AND(PL18&gt;=PV$33,PL18&lt;&gt;"",PN18&gt;=PV$37,PN18&lt;&gt;""),AND(PP18&gt;=PV$33,PP18&lt;&gt;"",PR18&gt;=PV$37,PR18&lt;&gt;""),AND(PS18&gt;=PV$33,PS18&lt;&gt;"",PU18&gt;=PV$37,PU18&lt;&gt;""),AND(QQ18&gt;=RD$33,QQ18&lt;&gt;"",QS18&gt;=RD$37,QS18&lt;&gt;""),AND(QT18&gt;=RD$33,QT18&lt;&gt;"",QV18&gt;=RD$37,QV18&lt;&gt;""),AND(QX18&gt;=RD$33,QX18&lt;&gt;"",QZ18&gt;=RD$37,QZ18&lt;&gt;""),AND(RA18&gt;=RD$33,RA18&lt;&gt;"",RC18&gt;=RD$37,RC18&lt;&gt;""),AND(RY18&gt;=SL$33,RY18&lt;&gt;"",SA18&gt;=SL$37,SA18&lt;&gt;""),AND(SB18&gt;=SL$33,SB18&lt;&gt;"",SD18&gt;=SL$37,SD18&lt;&gt;""),AND(SF18&gt;=SL$33,SF18&lt;&gt;"",SH18&gt;=SL$37,SH18&lt;&gt;""),AND(SI18&gt;=SL$33,SI18&lt;&gt;"",SK18&gt;=SL$37,SK18&lt;&gt;""),AND(TG18&gt;=TT$33,TG18&lt;&gt;"",TI18&gt;=TT$37,TI18&lt;&gt;""),AND(TJ18&gt;=TT$33,TJ18&lt;&gt;"",TL18&gt;=TT$37,TL18&lt;&gt;""),AND(TN18&gt;=TT$33,TN18&lt;&gt;"",TP18&gt;=TT$357,TXN18&lt;&gt;""),AND(TQ18&gt;=TT$33,TQ18&lt;&gt;"",TS18&gt;=TT$37,TS18&lt;&gt;""),AND(UO18&gt;=VB$33,UO18&lt;&gt;"",UQ18&gt;=VB$37,UQ18&lt;&gt;""),AND(UR18&gt;=VB$33,UR18&lt;&gt;"",UT18&gt;=VB$37,UT18&lt;&gt;""),AND(UV18&gt;=VB$33,UV18&lt;&gt;"",UX18&gt;=VB$37,UX18&lt;&gt;""),AND(UY18&gt;=VB$33,UY18&lt;&gt;"",VA18&gt;=VB$37,VA18&lt;&gt;""),AND(VW18&gt;=WJ$33,VW18&lt;&gt;"",VY18&gt;=WJ$37,VY18&lt;&gt;""),AND(VZ18&gt;=WJ$33,VZ18&lt;&gt;"",WB18&gt;=WJ$37,WB18&lt;&gt;""),AND(WD18&gt;=WJ$33,WD18&lt;&gt;"",WF18&gt;=WJ$37,WF18&lt;&gt;""),AND(WG18&gt;=WJ$33,WG18&lt;&gt;"",WI18&gt;=WJ$37,WI18&lt;&gt;"")),"Merit",IF(OR(AND(AG18&gt;=AQ$32,AG18&lt;&gt;"",AI18&gt;=AQ$36,AI18&lt;&gt;"",AF18=""),AND(AJ18&gt;=AQ$32,AJ18&lt;&gt;"",AL18&gt;=AQ$36,AL18&lt;&gt;"",AF18=""),AND(AN18&gt;=AQ$32,AN18&lt;&gt;"",AP18&gt;=AQ$36,AP18&lt;&gt;"",AF18=""),AND(BH18&gt;=BR$32,BH18&lt;&gt;"",BJ18&gt;=BR$36,BJ18&lt;&gt;"",BG18=""),AND(BK18&gt;=BR$32,BK18&lt;&gt;"",BM18&gt;=BR$36,BM18&lt;&gt;"",BG18=""),AND(BO18&gt;=BR$32,BO18&lt;&gt;"",BQ18&gt;=BR$36,BQ18&lt;&gt;"",BG18=""),AND(CI18&gt;=CS$32,CI18&lt;&gt;"",CK18&gt;=CS$36,CK18&lt;&gt;"",CH18=""),AND(CL18&gt;=CS$32,CL18&lt;&gt;"",CN18&gt;=CS$36,CN18&lt;&gt;"",CH18=""),AND(CP18&gt;=CS$32,CP18&lt;&gt;"",CR18&gt;=CS$36,CR18&lt;&gt;"",CH18=""),AND(DO18&gt;=EB$32,DO18&lt;&gt;"",DQ18&gt;=EB$36,DQ18&lt;&gt;""),AND(DR18&gt;=EB$32,DR18&lt;&gt;"",DT18&gt;=EB$36,DT18&lt;&gt;""),AND(DV18&gt;=EB$32,DV18&lt;&gt;"",DX18&gt;=EB$36,DX18&lt;&gt;""),AND(DY18&gt;=EB$32,DY18&lt;&gt;"",EA18&gt;=EB$36,EA18&lt;&gt;""),AND(EW18&gt;=FJ$32,EW18&lt;&gt;"",EY18&gt;=FJ$36,EY18&lt;&gt;""),AND(EZ18&gt;=FJ$32,EZ18&lt;&gt;"",FB18&gt;=FJ$36,FB18&lt;&gt;""),AND(FD18&gt;=FJ$32,FD18&lt;&gt;"",FF18&gt;=FJ$36,FF18&lt;&gt;""),AND(FG18&gt;=FJ$32,FG18&lt;&gt;"",FI18&gt;=FJ$36,FI18&lt;&gt;""),AND(GE18&gt;=GR$32,GE18&lt;&gt;"",GG18&gt;=GR$36,GG18&lt;&gt;""),AND(GH18&gt;=GR$32,GH18&lt;&gt;"",GJ18&gt;=GR$36,GJ18&lt;&gt;""),AND(GL18&gt;=GR$32,GL18&lt;&gt;"",GN18&gt;=GR$36,GN18&lt;&gt;""),AND(GO18&gt;=GR$32,GO18&lt;&gt;"",GQ18&gt;=GR$36,GQ18&lt;&gt;""),AND(HM18&gt;=HZ$32,HM18&lt;&gt;"",HO18&gt;=HZ$36,HO18&lt;&gt;""),AND(HP18&gt;=HZ$32,HP18&lt;&gt;"",HR18&gt;=HZ$36,HR18&lt;&gt;""),AND(HT18&gt;=HZ$32,HT18&lt;&gt;"",HV18&gt;=HZ$36,HV18&lt;&gt;""),AND(HW18&gt;=HZ$32,HW18&lt;&gt;"",HY18&gt;=HZ$36,HY18&lt;&gt;""),AND(IU18&gt;=JH$32,IU18&lt;&gt;"",IW18&gt;=JH$36,IW18&lt;&gt;""),AND(IX18&gt;=JH$32,IX18&lt;&gt;"",IZ18&gt;=JH$36,IZ18&lt;&gt;""),AND(JB18&gt;=JH$32,JB18&lt;&gt;"",JD18&gt;=JH$36,JD18&lt;&gt;""),AND(JE18&gt;=JH$32,JE18&lt;&gt;"",JG18&gt;=JH$36,JG18&lt;&gt;""),AND(KC18&gt;=KP$32,KC18&lt;&gt;"",KE18&gt;=KP$36,KE18&lt;&gt;""),AND(KF18&gt;=KP$32,KF18&lt;&gt;"",KH18&gt;=KP$36,KH18&lt;&gt;""),AND(KJ18&gt;=KP$32,KJ18&lt;&gt;"",KL18&gt;=KP$36,KL18&lt;&gt;""),AND(KM18&gt;=KP$32,KM18&lt;&gt;"",KO18&gt;=KP$36,KO18&lt;&gt;""),AND(LK18&gt;=LX$32,LK18&lt;&gt;"",LM18&gt;=LX$36,LM18&lt;&gt;""),AND(LN18&gt;=LX$32,LN18&lt;&gt;"",LP18&gt;=LX$36,LP18&lt;&gt;""),AND(LR18&gt;=LX$32,LR18&lt;&gt;"",LT18&gt;=LX$36,LT18&lt;&gt;""),AND(LU18&gt;=LX$32,LU18&lt;&gt;"",LW18&gt;=LX$36,LW18&lt;&gt;""),AND(MS18&gt;=NF$32,MS18&lt;&gt;"",MU18&gt;=NF$36,MU18&lt;&gt;""),AND(MV18&gt;=NF$32,MV18&lt;&gt;"",MX18&gt;=NF$36,MX18&lt;&gt;""),AND(MZ18&gt;=NF$32,MZ18&lt;&gt;"",NB18&gt;=NF$36,NB18&lt;&gt;""),AND(NC18&gt;=NF$32,NC18&lt;&gt;"",NE18&gt;=NF$36,NE18&lt;&gt;""),AND(OA18&gt;=ON$32,OA18&lt;&gt;"",OC18&gt;=ON$36,OC18&lt;&gt;""),AND(OD18&gt;=ON$32,OD18&lt;&gt;"",OF18&gt;=ON$36,OF18&lt;&gt;""),AND(OH18&gt;=ON$32,OH18&lt;&gt;"",OJ18&gt;=ON$36,OJ18&lt;&gt;""),AND(OK18&gt;=ON$32,OK18&lt;&gt;"",OM18&gt;=ON$36,OM18&lt;&gt;""),AND(PI18&gt;=PV$32,PI18&lt;&gt;"",PK18&gt;=PV$36,PK18&lt;&gt;""),AND(PL18&gt;=PV$32,PL18&lt;&gt;"",PN18&gt;=PV$36,PN18&lt;&gt;""),AND(PP18&gt;=PV$32,PP18&lt;&gt;"",PR18&gt;=PV$36,PR18&lt;&gt;""),AND(PS18&gt;=PV$32,PS18&lt;&gt;"",PU18&gt;=PV$36,PU18&lt;&gt;""),AND(QQ18&gt;=RD$32,QQ18&lt;&gt;"",QS18&gt;=RD$36,QS18&lt;&gt;""),AND(QT18&gt;=RD$32,QT18&lt;&gt;"",QV18&gt;=RD$36,QV18&lt;&gt;""),AND(QX18&gt;=RD$32,QX18&lt;&gt;"",QZ18&gt;=RD$36,QZ18&lt;&gt;""),AND(RA18&gt;=RD$32,RA18&lt;&gt;"",RC18&gt;=RD$36,RC18&lt;&gt;""),AND(RY18&gt;=SL$32,RY18&lt;&gt;"",SA18&gt;=SL$36,SA18&lt;&gt;""),AND(SB18&gt;=SL$32,SB18&lt;&gt;"",SD18&gt;=SL$36,SD18&lt;&gt;""),AND(SF18&gt;=SL$32,SF18&lt;&gt;"",SH18&gt;=SL$36,SH18&lt;&gt;""),AND(SI18&gt;=SL$32,SI18&lt;&gt;"",SK18&gt;=SL$36,SK18&lt;&gt;""),AND(TG18&gt;=TT$32,TG18&lt;&gt;"",TI18&gt;=TT$36,TI18&lt;&gt;""),AND(TJ18&gt;=TT$32,TJ18&lt;&gt;"",TL18&gt;=TT$36,TL18&lt;&gt;""),AND(TN18&gt;=TT$32,TN18&lt;&gt;"",TP18&gt;=TT$36,TXN18&lt;&gt;""),AND(TQ18&gt;=TT$32,TQ18&lt;&gt;"",TS18&gt;=TT$36,TS18&lt;&gt;""),AND(UO18&gt;=VB$32,UO18&lt;&gt;"",UQ18&gt;=VB$36,UQ18&lt;&gt;""),AND(UR18&gt;=VB$32,UR18&lt;&gt;"",UT18&gt;=VB$36,UT18&lt;&gt;""),AND(UV18&gt;=VB$32,UV18&lt;&gt;"",UX18&gt;=VB$36,UX18&lt;&gt;""),AND(UY18&gt;=VB$32,UY18&lt;&gt;"",VA18&gt;=VB$36,VA18&lt;&gt;""),AND(VW18&gt;=WJ$32,VW18&lt;&gt;"",VY18&gt;=WJ$36,VY18&lt;&gt;""),AND(VZ18&gt;=WJ$32,VZ18&lt;&gt;"",WB18&gt;=WJ$36,WB18&lt;&gt;""),AND(WD18&gt;=WJ$32,WD18&lt;&gt;"",WF18&gt;=WJ$36,WF18&lt;&gt;""),AND(WG18&gt;=WJ$32,WG18&lt;&gt;"",WI18&gt;=WJ$36,WI18&lt;&gt;"")),"Excellence",IF(I18="P","National Team",IF(F18="P","National Team","")))))</f>
        <v/>
      </c>
      <c r="I18" s="3" t="str">
        <f>IF(COUNTIFS('Senior-M'!B:B,B18,'Senior-M'!A:A,"&lt;9",'Senior-M'!H:H,"&lt;&gt;"&amp;"No DD"),"P","")</f>
        <v/>
      </c>
      <c r="J18" s="8">
        <f t="shared" si="1"/>
        <v>52.940000000000005</v>
      </c>
      <c r="K18" s="8" t="str">
        <f t="shared" si="2"/>
        <v>2026 Elite Canada</v>
      </c>
      <c r="L18" s="8">
        <f>IFERROR(LARGE((AI18,AL18,AP18,BJ18,BM18,BQ18,CK18,CN18,CR18),2),0)</f>
        <v>48.72</v>
      </c>
      <c r="M18" s="8" t="str">
        <f t="shared" si="3"/>
        <v>2025 Nationals</v>
      </c>
      <c r="N18" s="8">
        <f t="shared" si="4"/>
        <v>0</v>
      </c>
      <c r="O18" s="11" t="str">
        <f>IF(N18=0,"",IF(N18=CT18,"("&amp;CT$2&amp;")",IF(N18=#REF!,"("&amp;#REF!&amp;")")))</f>
        <v/>
      </c>
      <c r="P18" s="8" t="str">
        <f t="shared" si="5"/>
        <v/>
      </c>
      <c r="Q18" s="18">
        <v>11.9</v>
      </c>
      <c r="R18" s="18">
        <v>8.5</v>
      </c>
      <c r="S18" s="18">
        <v>11.3</v>
      </c>
      <c r="T18" s="18">
        <v>14.57</v>
      </c>
      <c r="U18" s="18">
        <v>1</v>
      </c>
      <c r="V18" s="18">
        <v>1.2</v>
      </c>
      <c r="W18" s="18">
        <v>0.8</v>
      </c>
      <c r="X18" s="18">
        <v>1.7</v>
      </c>
      <c r="Y18" s="18">
        <v>1.67</v>
      </c>
      <c r="Z18" s="18">
        <v>0</v>
      </c>
      <c r="AA18" s="18">
        <v>11.8</v>
      </c>
      <c r="AB18" s="18">
        <v>8.3000000000000007</v>
      </c>
      <c r="AC18" s="18">
        <v>14.1</v>
      </c>
      <c r="AD18" s="18">
        <v>14.52</v>
      </c>
      <c r="AE18" s="18">
        <v>0</v>
      </c>
      <c r="AF18" s="23"/>
      <c r="AG18" s="34">
        <f t="shared" si="6"/>
        <v>11.3</v>
      </c>
      <c r="AH18" s="34">
        <f t="shared" si="7"/>
        <v>14.57</v>
      </c>
      <c r="AI18" s="36">
        <f t="shared" si="8"/>
        <v>45.269999999999996</v>
      </c>
      <c r="AJ18" s="36">
        <f t="shared" si="9"/>
        <v>1.7</v>
      </c>
      <c r="AK18" s="36">
        <f t="shared" si="10"/>
        <v>1.67</v>
      </c>
      <c r="AL18" s="36">
        <f t="shared" si="11"/>
        <v>5.37</v>
      </c>
      <c r="AM18" s="36">
        <f t="shared" si="12"/>
        <v>45.269999999999996</v>
      </c>
      <c r="AN18" s="36">
        <f t="shared" si="13"/>
        <v>14.1</v>
      </c>
      <c r="AO18" s="36">
        <f t="shared" si="14"/>
        <v>14.52</v>
      </c>
      <c r="AP18" s="36">
        <f t="shared" si="15"/>
        <v>48.72</v>
      </c>
      <c r="AQ18" s="36">
        <f t="shared" si="16"/>
        <v>93.99</v>
      </c>
      <c r="AR18" s="22">
        <v>1.4</v>
      </c>
      <c r="AS18" s="22">
        <v>1</v>
      </c>
      <c r="AT18" s="22">
        <v>1.7</v>
      </c>
      <c r="AU18" s="22">
        <v>1.73</v>
      </c>
      <c r="AV18" s="22">
        <v>0.2</v>
      </c>
      <c r="AW18" s="22">
        <v>11.4</v>
      </c>
      <c r="AX18" s="22">
        <v>9.1</v>
      </c>
      <c r="AY18" s="22">
        <v>8.1999999999999993</v>
      </c>
      <c r="AZ18" s="22">
        <v>15.08</v>
      </c>
      <c r="BA18" s="22">
        <v>4.3</v>
      </c>
      <c r="BB18" s="22">
        <v>1.3</v>
      </c>
      <c r="BC18" s="22">
        <v>0.9</v>
      </c>
      <c r="BD18" s="22">
        <v>1.7</v>
      </c>
      <c r="BE18" s="22">
        <v>1.68</v>
      </c>
      <c r="BF18" s="22">
        <v>0.2</v>
      </c>
      <c r="BG18" s="24"/>
      <c r="BH18" s="35">
        <f t="shared" si="17"/>
        <v>1.7</v>
      </c>
      <c r="BI18" s="35">
        <f t="shared" si="18"/>
        <v>1.73</v>
      </c>
      <c r="BJ18" s="11">
        <f t="shared" si="19"/>
        <v>5.63</v>
      </c>
      <c r="BK18" s="11">
        <f t="shared" si="20"/>
        <v>8.1999999999999993</v>
      </c>
      <c r="BL18" s="11">
        <f t="shared" si="21"/>
        <v>15.08</v>
      </c>
      <c r="BM18" s="11">
        <f t="shared" si="22"/>
        <v>39.480000000000004</v>
      </c>
      <c r="BN18" s="11">
        <f t="shared" si="23"/>
        <v>39.480000000000004</v>
      </c>
      <c r="BO18" s="11">
        <f t="shared" si="24"/>
        <v>1.7</v>
      </c>
      <c r="BP18" s="11">
        <f t="shared" si="25"/>
        <v>1.68</v>
      </c>
      <c r="BQ18" s="11">
        <f t="shared" si="26"/>
        <v>5.38</v>
      </c>
      <c r="BR18" s="11">
        <f t="shared" si="27"/>
        <v>44.860000000000007</v>
      </c>
      <c r="BS18" s="18">
        <v>14.3</v>
      </c>
      <c r="BT18" s="18">
        <v>8.9</v>
      </c>
      <c r="BU18" s="18">
        <v>14.5</v>
      </c>
      <c r="BV18" s="18">
        <v>15.24</v>
      </c>
      <c r="BW18" s="18">
        <v>0</v>
      </c>
      <c r="BX18" s="18">
        <v>4.4000000000000004</v>
      </c>
      <c r="BY18" s="18">
        <v>2.7</v>
      </c>
      <c r="BZ18" s="18">
        <v>5</v>
      </c>
      <c r="CA18" s="18">
        <v>4.79</v>
      </c>
      <c r="CB18" s="18">
        <v>0</v>
      </c>
      <c r="CC18" s="18">
        <v>4.3</v>
      </c>
      <c r="CD18" s="18">
        <v>3</v>
      </c>
      <c r="CE18" s="18">
        <v>5</v>
      </c>
      <c r="CF18" s="18">
        <v>4.9000000000000004</v>
      </c>
      <c r="CG18" s="18">
        <v>0</v>
      </c>
      <c r="CH18" s="23"/>
      <c r="CI18" s="34">
        <f t="shared" si="28"/>
        <v>14.5</v>
      </c>
      <c r="CJ18" s="34">
        <f t="shared" si="29"/>
        <v>15.24</v>
      </c>
      <c r="CK18" s="36">
        <f t="shared" si="30"/>
        <v>52.940000000000005</v>
      </c>
      <c r="CL18" s="36">
        <f t="shared" si="31"/>
        <v>5</v>
      </c>
      <c r="CM18" s="36">
        <f t="shared" si="32"/>
        <v>4.79</v>
      </c>
      <c r="CN18" s="36">
        <f t="shared" si="33"/>
        <v>16.89</v>
      </c>
      <c r="CO18" s="36">
        <f t="shared" si="34"/>
        <v>52.940000000000005</v>
      </c>
      <c r="CP18" s="36">
        <f t="shared" si="35"/>
        <v>5</v>
      </c>
      <c r="CQ18" s="36">
        <f t="shared" si="36"/>
        <v>4.9000000000000004</v>
      </c>
      <c r="CR18" s="36">
        <f t="shared" si="37"/>
        <v>17.200000000000003</v>
      </c>
      <c r="CS18" s="36">
        <f t="shared" si="38"/>
        <v>70.140000000000015</v>
      </c>
      <c r="CT18" s="47" t="str">
        <f t="shared" si="39"/>
        <v/>
      </c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36" t="str">
        <f t="shared" si="40"/>
        <v/>
      </c>
      <c r="DP18" s="36" t="str">
        <f t="shared" si="41"/>
        <v/>
      </c>
      <c r="DQ18" s="36" t="str">
        <f t="shared" si="42"/>
        <v/>
      </c>
      <c r="DR18" s="36" t="str">
        <f t="shared" si="43"/>
        <v/>
      </c>
      <c r="DS18" s="36" t="str">
        <f t="shared" si="44"/>
        <v/>
      </c>
      <c r="DT18" s="36" t="str">
        <f t="shared" si="45"/>
        <v/>
      </c>
      <c r="DU18" s="36" t="str">
        <f t="shared" si="46"/>
        <v/>
      </c>
      <c r="DV18" s="36" t="str">
        <f t="shared" si="47"/>
        <v/>
      </c>
      <c r="DW18" s="36" t="str">
        <f t="shared" si="48"/>
        <v/>
      </c>
      <c r="DX18" s="36" t="str">
        <f t="shared" si="49"/>
        <v/>
      </c>
      <c r="DY18" s="36" t="str">
        <f t="shared" si="50"/>
        <v/>
      </c>
      <c r="DZ18" s="36" t="str">
        <f t="shared" si="51"/>
        <v/>
      </c>
      <c r="EA18" s="36" t="str">
        <f t="shared" si="52"/>
        <v/>
      </c>
      <c r="EB18" s="36" t="str">
        <f t="shared" si="53"/>
        <v/>
      </c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1" t="str">
        <f t="shared" si="54"/>
        <v/>
      </c>
      <c r="EX18" s="11" t="str">
        <f t="shared" si="55"/>
        <v/>
      </c>
      <c r="EY18" s="11" t="str">
        <f t="shared" si="56"/>
        <v/>
      </c>
      <c r="EZ18" s="11" t="str">
        <f t="shared" si="57"/>
        <v/>
      </c>
      <c r="FA18" s="11" t="str">
        <f t="shared" si="58"/>
        <v/>
      </c>
      <c r="FB18" s="11" t="str">
        <f t="shared" si="59"/>
        <v/>
      </c>
      <c r="FC18" s="11" t="str">
        <f t="shared" si="60"/>
        <v/>
      </c>
      <c r="FD18" s="11" t="str">
        <f t="shared" si="61"/>
        <v/>
      </c>
      <c r="FE18" s="11" t="str">
        <f t="shared" si="62"/>
        <v/>
      </c>
      <c r="FF18" s="11" t="str">
        <f t="shared" si="63"/>
        <v/>
      </c>
      <c r="FG18" s="11" t="str">
        <f t="shared" si="64"/>
        <v/>
      </c>
      <c r="FH18" s="11" t="str">
        <f t="shared" si="65"/>
        <v/>
      </c>
      <c r="FI18" s="11" t="str">
        <f t="shared" si="66"/>
        <v/>
      </c>
      <c r="FJ18" s="11" t="str">
        <f t="shared" si="67"/>
        <v/>
      </c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36" t="str">
        <f t="shared" si="68"/>
        <v/>
      </c>
      <c r="GF18" s="36" t="str">
        <f t="shared" si="69"/>
        <v/>
      </c>
      <c r="GG18" s="36" t="str">
        <f t="shared" si="70"/>
        <v/>
      </c>
      <c r="GH18" s="36" t="str">
        <f t="shared" si="71"/>
        <v/>
      </c>
      <c r="GI18" s="36" t="str">
        <f t="shared" si="72"/>
        <v/>
      </c>
      <c r="GJ18" s="36" t="str">
        <f t="shared" si="73"/>
        <v/>
      </c>
      <c r="GK18" s="36" t="str">
        <f t="shared" si="74"/>
        <v/>
      </c>
      <c r="GL18" s="36" t="str">
        <f t="shared" si="75"/>
        <v/>
      </c>
      <c r="GM18" s="36" t="str">
        <f t="shared" si="76"/>
        <v/>
      </c>
      <c r="GN18" s="36" t="str">
        <f t="shared" si="77"/>
        <v/>
      </c>
      <c r="GO18" s="36" t="str">
        <f t="shared" si="78"/>
        <v/>
      </c>
      <c r="GP18" s="36" t="str">
        <f t="shared" si="79"/>
        <v/>
      </c>
      <c r="GQ18" s="36" t="str">
        <f t="shared" si="80"/>
        <v/>
      </c>
      <c r="GR18" s="36" t="str">
        <f t="shared" si="81"/>
        <v/>
      </c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1" t="str">
        <f t="shared" si="82"/>
        <v/>
      </c>
      <c r="HN18" s="11" t="str">
        <f t="shared" si="83"/>
        <v/>
      </c>
      <c r="HO18" s="11" t="str">
        <f t="shared" si="84"/>
        <v/>
      </c>
      <c r="HP18" s="11" t="str">
        <f t="shared" si="85"/>
        <v/>
      </c>
      <c r="HQ18" s="11" t="str">
        <f t="shared" si="86"/>
        <v/>
      </c>
      <c r="HR18" s="11" t="str">
        <f t="shared" si="87"/>
        <v/>
      </c>
      <c r="HS18" s="11" t="str">
        <f t="shared" si="88"/>
        <v/>
      </c>
      <c r="HT18" s="11" t="str">
        <f t="shared" si="89"/>
        <v/>
      </c>
      <c r="HU18" s="11" t="str">
        <f t="shared" si="90"/>
        <v/>
      </c>
      <c r="HV18" s="11" t="str">
        <f t="shared" si="91"/>
        <v/>
      </c>
      <c r="HW18" s="11" t="str">
        <f t="shared" si="92"/>
        <v/>
      </c>
      <c r="HX18" s="11" t="str">
        <f t="shared" si="93"/>
        <v/>
      </c>
      <c r="HY18" s="11" t="str">
        <f t="shared" si="94"/>
        <v/>
      </c>
      <c r="HZ18" s="11" t="str">
        <f t="shared" si="95"/>
        <v/>
      </c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36" t="str">
        <f t="shared" si="96"/>
        <v/>
      </c>
      <c r="IV18" s="36" t="str">
        <f t="shared" si="97"/>
        <v/>
      </c>
      <c r="IW18" s="36" t="str">
        <f t="shared" si="98"/>
        <v/>
      </c>
      <c r="IX18" s="36" t="str">
        <f t="shared" si="99"/>
        <v/>
      </c>
      <c r="IY18" s="36" t="str">
        <f t="shared" si="100"/>
        <v/>
      </c>
      <c r="IZ18" s="36" t="str">
        <f t="shared" si="101"/>
        <v/>
      </c>
      <c r="JA18" s="36" t="str">
        <f t="shared" si="102"/>
        <v/>
      </c>
      <c r="JB18" s="36" t="str">
        <f t="shared" si="103"/>
        <v/>
      </c>
      <c r="JC18" s="36" t="str">
        <f t="shared" si="104"/>
        <v/>
      </c>
      <c r="JD18" s="36" t="str">
        <f t="shared" si="105"/>
        <v/>
      </c>
      <c r="JE18" s="36" t="str">
        <f t="shared" si="106"/>
        <v/>
      </c>
      <c r="JF18" s="36" t="str">
        <f t="shared" si="107"/>
        <v/>
      </c>
      <c r="JG18" s="36" t="str">
        <f t="shared" si="108"/>
        <v/>
      </c>
      <c r="JH18" s="36" t="str">
        <f t="shared" si="109"/>
        <v/>
      </c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1" t="str">
        <f t="shared" si="110"/>
        <v/>
      </c>
      <c r="KD18" s="11" t="str">
        <f t="shared" si="111"/>
        <v/>
      </c>
      <c r="KE18" s="11" t="str">
        <f t="shared" si="112"/>
        <v/>
      </c>
      <c r="KF18" s="11" t="str">
        <f t="shared" si="113"/>
        <v/>
      </c>
      <c r="KG18" s="11" t="str">
        <f t="shared" si="114"/>
        <v/>
      </c>
      <c r="KH18" s="11" t="str">
        <f t="shared" si="115"/>
        <v/>
      </c>
      <c r="KI18" s="11" t="str">
        <f t="shared" si="116"/>
        <v/>
      </c>
      <c r="KJ18" s="11" t="str">
        <f t="shared" si="117"/>
        <v/>
      </c>
      <c r="KK18" s="11" t="str">
        <f t="shared" si="118"/>
        <v/>
      </c>
      <c r="KL18" s="11" t="str">
        <f t="shared" si="119"/>
        <v/>
      </c>
      <c r="KM18" s="11" t="str">
        <f t="shared" si="120"/>
        <v/>
      </c>
      <c r="KN18" s="11" t="str">
        <f t="shared" si="121"/>
        <v/>
      </c>
      <c r="KO18" s="11" t="str">
        <f t="shared" si="122"/>
        <v/>
      </c>
      <c r="KP18" s="11" t="str">
        <f t="shared" si="123"/>
        <v/>
      </c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36" t="str">
        <f t="shared" si="124"/>
        <v/>
      </c>
      <c r="LL18" s="36" t="str">
        <f t="shared" si="125"/>
        <v/>
      </c>
      <c r="LM18" s="36" t="str">
        <f t="shared" si="126"/>
        <v/>
      </c>
      <c r="LN18" s="36" t="str">
        <f t="shared" si="127"/>
        <v/>
      </c>
      <c r="LO18" s="36" t="str">
        <f t="shared" si="128"/>
        <v/>
      </c>
      <c r="LP18" s="36" t="str">
        <f t="shared" si="129"/>
        <v/>
      </c>
      <c r="LQ18" s="36" t="str">
        <f t="shared" si="130"/>
        <v/>
      </c>
      <c r="LR18" s="36" t="str">
        <f t="shared" si="131"/>
        <v/>
      </c>
      <c r="LS18" s="36" t="str">
        <f t="shared" si="132"/>
        <v/>
      </c>
      <c r="LT18" s="36" t="str">
        <f t="shared" si="133"/>
        <v/>
      </c>
      <c r="LU18" s="36" t="str">
        <f t="shared" si="134"/>
        <v/>
      </c>
      <c r="LV18" s="36" t="str">
        <f t="shared" si="135"/>
        <v/>
      </c>
      <c r="LW18" s="36" t="str">
        <f t="shared" si="136"/>
        <v/>
      </c>
      <c r="LX18" s="36" t="str">
        <f t="shared" si="137"/>
        <v/>
      </c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1" t="str">
        <f t="shared" si="138"/>
        <v/>
      </c>
      <c r="MT18" s="11" t="str">
        <f t="shared" si="139"/>
        <v/>
      </c>
      <c r="MU18" s="11" t="str">
        <f t="shared" si="140"/>
        <v/>
      </c>
      <c r="MV18" s="11" t="str">
        <f t="shared" si="141"/>
        <v/>
      </c>
      <c r="MW18" s="11" t="str">
        <f t="shared" si="142"/>
        <v/>
      </c>
      <c r="MX18" s="11" t="str">
        <f t="shared" si="143"/>
        <v/>
      </c>
      <c r="MY18" s="11" t="str">
        <f t="shared" si="144"/>
        <v/>
      </c>
      <c r="MZ18" s="11" t="str">
        <f t="shared" si="145"/>
        <v/>
      </c>
      <c r="NA18" s="11" t="str">
        <f t="shared" si="146"/>
        <v/>
      </c>
      <c r="NB18" s="11" t="str">
        <f t="shared" si="147"/>
        <v/>
      </c>
      <c r="NC18" s="11" t="str">
        <f t="shared" si="148"/>
        <v/>
      </c>
      <c r="ND18" s="11" t="str">
        <f t="shared" si="149"/>
        <v/>
      </c>
      <c r="NE18" s="11" t="str">
        <f t="shared" si="150"/>
        <v/>
      </c>
      <c r="NF18" s="11" t="str">
        <f t="shared" si="151"/>
        <v/>
      </c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36" t="str">
        <f t="shared" si="152"/>
        <v/>
      </c>
      <c r="OB18" s="36" t="str">
        <f t="shared" si="153"/>
        <v/>
      </c>
      <c r="OC18" s="36" t="str">
        <f t="shared" si="154"/>
        <v/>
      </c>
      <c r="OD18" s="36" t="str">
        <f t="shared" si="155"/>
        <v/>
      </c>
      <c r="OE18" s="36" t="str">
        <f t="shared" si="156"/>
        <v/>
      </c>
      <c r="OF18" s="36" t="str">
        <f t="shared" si="157"/>
        <v/>
      </c>
      <c r="OG18" s="36" t="str">
        <f t="shared" si="158"/>
        <v/>
      </c>
      <c r="OH18" s="36" t="str">
        <f t="shared" si="159"/>
        <v/>
      </c>
      <c r="OI18" s="36" t="str">
        <f t="shared" si="160"/>
        <v/>
      </c>
      <c r="OJ18" s="36" t="str">
        <f t="shared" si="161"/>
        <v/>
      </c>
      <c r="OK18" s="36" t="str">
        <f t="shared" si="162"/>
        <v/>
      </c>
      <c r="OL18" s="36" t="str">
        <f t="shared" si="163"/>
        <v/>
      </c>
      <c r="OM18" s="36" t="str">
        <f t="shared" si="164"/>
        <v/>
      </c>
      <c r="ON18" s="36" t="str">
        <f t="shared" si="165"/>
        <v/>
      </c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1" t="str">
        <f t="shared" si="166"/>
        <v/>
      </c>
      <c r="PJ18" s="11" t="str">
        <f t="shared" si="167"/>
        <v/>
      </c>
      <c r="PK18" s="11" t="str">
        <f t="shared" si="168"/>
        <v/>
      </c>
      <c r="PL18" s="11" t="str">
        <f t="shared" si="169"/>
        <v/>
      </c>
      <c r="PM18" s="11" t="str">
        <f t="shared" si="170"/>
        <v/>
      </c>
      <c r="PN18" s="11" t="str">
        <f t="shared" si="171"/>
        <v/>
      </c>
      <c r="PO18" s="11" t="str">
        <f t="shared" si="172"/>
        <v/>
      </c>
      <c r="PP18" s="11" t="str">
        <f t="shared" si="173"/>
        <v/>
      </c>
      <c r="PQ18" s="11" t="str">
        <f t="shared" si="174"/>
        <v/>
      </c>
      <c r="PR18" s="11" t="str">
        <f t="shared" si="175"/>
        <v/>
      </c>
      <c r="PS18" s="11" t="str">
        <f t="shared" si="176"/>
        <v/>
      </c>
      <c r="PT18" s="11" t="str">
        <f t="shared" si="177"/>
        <v/>
      </c>
      <c r="PU18" s="11" t="str">
        <f t="shared" si="178"/>
        <v/>
      </c>
      <c r="PV18" s="11" t="str">
        <f t="shared" si="179"/>
        <v/>
      </c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36" t="str">
        <f t="shared" si="180"/>
        <v/>
      </c>
      <c r="QR18" s="36" t="str">
        <f t="shared" si="181"/>
        <v/>
      </c>
      <c r="QS18" s="36" t="str">
        <f t="shared" si="182"/>
        <v/>
      </c>
      <c r="QT18" s="36" t="str">
        <f t="shared" si="183"/>
        <v/>
      </c>
      <c r="QU18" s="36" t="str">
        <f t="shared" si="184"/>
        <v/>
      </c>
      <c r="QV18" s="36" t="str">
        <f t="shared" si="185"/>
        <v/>
      </c>
      <c r="QW18" s="36" t="str">
        <f t="shared" si="186"/>
        <v/>
      </c>
      <c r="QX18" s="36" t="str">
        <f t="shared" si="187"/>
        <v/>
      </c>
      <c r="QY18" s="36" t="str">
        <f t="shared" si="188"/>
        <v/>
      </c>
      <c r="QZ18" s="36" t="str">
        <f t="shared" si="189"/>
        <v/>
      </c>
      <c r="RA18" s="36" t="str">
        <f t="shared" si="190"/>
        <v/>
      </c>
      <c r="RB18" s="36" t="str">
        <f t="shared" si="191"/>
        <v/>
      </c>
      <c r="RC18" s="36" t="str">
        <f t="shared" si="192"/>
        <v/>
      </c>
      <c r="RD18" s="36" t="str">
        <f t="shared" si="193"/>
        <v/>
      </c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1" t="str">
        <f t="shared" si="194"/>
        <v/>
      </c>
      <c r="RZ18" s="11" t="str">
        <f t="shared" si="195"/>
        <v/>
      </c>
      <c r="SA18" s="11" t="str">
        <f t="shared" si="196"/>
        <v/>
      </c>
      <c r="SB18" s="11" t="str">
        <f t="shared" si="197"/>
        <v/>
      </c>
      <c r="SC18" s="11" t="str">
        <f t="shared" si="198"/>
        <v/>
      </c>
      <c r="SD18" s="11" t="str">
        <f t="shared" si="199"/>
        <v/>
      </c>
      <c r="SE18" s="11" t="str">
        <f t="shared" si="200"/>
        <v/>
      </c>
      <c r="SF18" s="11" t="str">
        <f t="shared" si="201"/>
        <v/>
      </c>
      <c r="SG18" s="11" t="str">
        <f t="shared" si="202"/>
        <v/>
      </c>
      <c r="SH18" s="11" t="str">
        <f t="shared" si="203"/>
        <v/>
      </c>
      <c r="SI18" s="11" t="str">
        <f t="shared" si="204"/>
        <v/>
      </c>
      <c r="SJ18" s="11" t="str">
        <f t="shared" si="205"/>
        <v/>
      </c>
      <c r="SK18" s="11" t="str">
        <f t="shared" si="206"/>
        <v/>
      </c>
      <c r="SL18" s="11" t="str">
        <f t="shared" si="207"/>
        <v/>
      </c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36" t="str">
        <f t="shared" si="208"/>
        <v/>
      </c>
      <c r="TH18" s="36" t="str">
        <f t="shared" si="209"/>
        <v/>
      </c>
      <c r="TI18" s="36" t="str">
        <f t="shared" si="210"/>
        <v/>
      </c>
      <c r="TJ18" s="36" t="str">
        <f t="shared" si="211"/>
        <v/>
      </c>
      <c r="TK18" s="36" t="str">
        <f t="shared" si="212"/>
        <v/>
      </c>
      <c r="TL18" s="36" t="str">
        <f t="shared" si="213"/>
        <v/>
      </c>
      <c r="TM18" s="36" t="str">
        <f t="shared" si="214"/>
        <v/>
      </c>
      <c r="TN18" s="36" t="str">
        <f t="shared" si="215"/>
        <v/>
      </c>
      <c r="TO18" s="36" t="str">
        <f t="shared" si="216"/>
        <v/>
      </c>
      <c r="TP18" s="36" t="str">
        <f t="shared" si="217"/>
        <v/>
      </c>
      <c r="TQ18" s="36" t="str">
        <f t="shared" si="218"/>
        <v/>
      </c>
      <c r="TR18" s="36" t="str">
        <f t="shared" si="219"/>
        <v/>
      </c>
      <c r="TS18" s="36" t="str">
        <f t="shared" si="220"/>
        <v/>
      </c>
      <c r="TT18" s="36" t="str">
        <f t="shared" si="221"/>
        <v/>
      </c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1" t="str">
        <f t="shared" si="222"/>
        <v/>
      </c>
      <c r="UP18" s="11" t="str">
        <f t="shared" si="223"/>
        <v/>
      </c>
      <c r="UQ18" s="11" t="str">
        <f t="shared" si="224"/>
        <v/>
      </c>
      <c r="UR18" s="11" t="str">
        <f t="shared" si="225"/>
        <v/>
      </c>
      <c r="US18" s="11" t="str">
        <f t="shared" si="226"/>
        <v/>
      </c>
      <c r="UT18" s="11" t="str">
        <f t="shared" si="227"/>
        <v/>
      </c>
      <c r="UU18" s="11" t="str">
        <f t="shared" si="228"/>
        <v/>
      </c>
      <c r="UV18" s="11" t="str">
        <f t="shared" si="229"/>
        <v/>
      </c>
      <c r="UW18" s="11" t="str">
        <f t="shared" si="230"/>
        <v/>
      </c>
      <c r="UX18" s="11" t="str">
        <f t="shared" si="231"/>
        <v/>
      </c>
      <c r="UY18" s="11" t="str">
        <f t="shared" si="232"/>
        <v/>
      </c>
      <c r="UZ18" s="11" t="str">
        <f t="shared" si="233"/>
        <v/>
      </c>
      <c r="VA18" s="11" t="str">
        <f t="shared" si="234"/>
        <v/>
      </c>
      <c r="VB18" s="11" t="str">
        <f t="shared" si="235"/>
        <v/>
      </c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36" t="str">
        <f t="shared" si="236"/>
        <v/>
      </c>
      <c r="VX18" s="36" t="str">
        <f t="shared" si="237"/>
        <v/>
      </c>
      <c r="VY18" s="36" t="str">
        <f t="shared" si="238"/>
        <v/>
      </c>
      <c r="VZ18" s="36" t="str">
        <f t="shared" si="239"/>
        <v/>
      </c>
      <c r="WA18" s="36" t="str">
        <f t="shared" si="240"/>
        <v/>
      </c>
      <c r="WB18" s="36" t="str">
        <f t="shared" si="241"/>
        <v/>
      </c>
      <c r="WC18" s="36" t="str">
        <f t="shared" si="242"/>
        <v/>
      </c>
      <c r="WD18" s="36" t="str">
        <f t="shared" si="243"/>
        <v/>
      </c>
      <c r="WE18" s="36" t="str">
        <f t="shared" si="244"/>
        <v/>
      </c>
      <c r="WF18" s="36" t="str">
        <f t="shared" si="245"/>
        <v/>
      </c>
      <c r="WG18" s="36" t="str">
        <f t="shared" si="246"/>
        <v/>
      </c>
      <c r="WH18" s="36" t="str">
        <f t="shared" si="247"/>
        <v/>
      </c>
      <c r="WI18" s="36" t="str">
        <f t="shared" si="248"/>
        <v/>
      </c>
      <c r="WJ18" s="36" t="str">
        <f t="shared" si="249"/>
        <v/>
      </c>
    </row>
    <row r="19" spans="1:608" x14ac:dyDescent="0.2">
      <c r="A19" s="4" t="str" cm="1">
        <f t="array" ref="A19">IF(AND(H19&lt;&gt;"",H19&lt;&gt;"No DD",I19&lt;&gt;"P"),SUMPRODUCT((H$4:H$28&lt;&gt;"")*(H$4:H$28&lt;&gt;"No DD")*(I$4:I$28&lt;&gt;"P")*(E$4:E$28&gt;E19))+1,IF(H19="No DD",SUMPRODUCT((H$4:H$28="No DD")*(I$4:I$28&lt;&gt;"P")*(E$4:E$28&gt;E19))+1+SUMPRODUCT((H$4:H$28&lt;&gt;"")*(I$4:I$28&lt;&gt;"P")*(H$4:H$28&lt;&gt;"No DD")),""))</f>
        <v/>
      </c>
      <c r="B19" s="5" t="s">
        <v>186</v>
      </c>
      <c r="C19" s="4" t="s">
        <v>6</v>
      </c>
      <c r="D19" s="4">
        <v>2009</v>
      </c>
      <c r="E19" s="9">
        <f t="shared" si="0"/>
        <v>96.950009695004866</v>
      </c>
      <c r="F19" s="3" t="str">
        <f>IF(OR(AND(AG19&gt;=AQ$30,AG19&lt;&gt;"",AI19&gt;=AQ$34,AI19&lt;&gt;"",AF19=""),AND(AJ19&gt;=AQ$30,AJ19&lt;&gt;"",AL19&gt;=AQ$34,AL19&lt;&gt;"",AF19=""),AND(AN19&gt;=AQ$30,AN19&lt;&gt;"",AP19&gt;=AQ$34,AP19&lt;&gt;"",AF19=""),AND(BH19&gt;=BR$30,BH19&lt;&gt;"",BJ19&gt;=BR$34,BJ19&lt;&gt;"",BG19=""),AND(BK19&gt;=BR$30,BK19&lt;&gt;"",BM19&gt;=BR$34,BM19&lt;&gt;"",BG19=""),AND(BO19&gt;=BR$30,BO19&lt;&gt;"",BQ19&gt;=BR$34,BQ19&lt;&gt;"",BG19=""),AND(CI19&gt;=CS$30,CI19&lt;&gt;"",CK19&gt;=CS$34,CK19&lt;&gt;"",CH19=""),AND(CL19&gt;=CS$30,CL19&lt;&gt;"",CN19&gt;=CS$34,CN19&lt;&gt;"",CH19=""),AND(CP19&gt;=CS$30,CP19&lt;&gt;"",CR19&gt;=CS$34,CR19&lt;&gt;"",CH19=""),AND(DO19&gt;=EB$30,DO19&lt;&gt;"",DQ19&gt;=EB$34,DQ19&lt;&gt;""),AND(DR19&gt;=EB$30,DR19&lt;&gt;"",DT19&gt;=EB$34,DT19&lt;&gt;""),AND(DV19&gt;=EB$30,DV19&lt;&gt;"",DX19&gt;=EB$34,DX19&lt;&gt;""),AND(DY19&gt;=EB$30,DY19&lt;&gt;"",EA19&gt;=EB$34,EA19&lt;&gt;""),AND(EW19&gt;=FJ$30,EW19&lt;&gt;"",EY19&gt;=FJ$34,EY19&lt;&gt;""),AND(EZ19&gt;=FJ$30,EZ19&lt;&gt;"",FB19&gt;=FJ$34,FB19&lt;&gt;""),AND(FD19&gt;=FJ$30,FD19&lt;&gt;"",FF19&gt;=FJ$34,FF19&lt;&gt;""),AND(FG19&gt;=FJ$30,FG19&lt;&gt;"",FI19&gt;=FJ$34,FI19&lt;&gt;""),AND(GE19&gt;=GR$30,GE19&lt;&gt;"",GG19&gt;=GR$34,GG19&lt;&gt;""),AND(GH19&gt;=GR$30,GH19&lt;&gt;"",GJ19&gt;=GR$34,GJ19&lt;&gt;""),AND(GL19&gt;=GR$30,GL19&lt;&gt;"",GN19&gt;=GR$34,GN19&lt;&gt;""),AND(GO19&gt;=GR$30,GO19&lt;&gt;"",GQ19&gt;=GR$34,GQ19&lt;&gt;""),AND(HM19&gt;=HZ$30,HM19&lt;&gt;"",HO19&gt;=HZ$34,HO19&lt;&gt;""),AND(HP19&gt;=HZ$30,HP19&lt;&gt;"",HR19&gt;=HZ$34,HR19&lt;&gt;""),AND(HT19&gt;=HZ$30,HT19&lt;&gt;"",HV19&gt;=HZ$34,HV19&lt;&gt;""),AND(HW19&gt;=HZ$30,HW19&lt;&gt;"",HY19&gt;=HZ$34,HY19&lt;&gt;""),AND(IU19&gt;=JH$30,IU19&lt;&gt;"",IW19&gt;=JH$34,IW19&lt;&gt;""),AND(IX19&gt;=JH$30,IX19&lt;&gt;"",IZ19&gt;=JH$34,IZ19&lt;&gt;""),AND(JB19&gt;=JH$30,JB19&lt;&gt;"",JD19&gt;=JH$34,JD19&lt;&gt;""),AND(JE19&gt;=JH$30,JE19&lt;&gt;"",JG19&gt;=JH$34,JG19&lt;&gt;""),AND(KC19&gt;=KP$30,KC19&lt;&gt;"",KE19&gt;=KP$34,KE19&lt;&gt;""),AND(KF19&gt;=KP$30,KF19&lt;&gt;"",KH19&gt;=KP$34,KH19&lt;&gt;""),AND(KJ19&gt;=KP$30,KJ19&lt;&gt;"",KL19&gt;=KP$34,KL19&lt;&gt;""),AND(KM19&gt;=KP$30,KM19&lt;&gt;"",KO19&gt;=KP$34,KO19&lt;&gt;""),AND(LK19&gt;=LX$30,LK19&lt;&gt;"",LM19&gt;=LX$34,LM19&lt;&gt;""),AND(LN19&gt;=LX$30,LN19&lt;&gt;"",LP19&gt;=LX$34,LP19&lt;&gt;""),AND(LR19&gt;=LX$30,LR19&lt;&gt;"",LT19&gt;=LX$34,LT19&lt;&gt;""),AND(LU19&gt;=LX$30,LU19&lt;&gt;"",LW19&gt;=LX$34,LW19&lt;&gt;""),AND(MS19&gt;=NF$30,MS19&lt;&gt;"",MU19&gt;=NF$34,MU19&lt;&gt;""),AND(MV19&gt;=NF$30,MV19&lt;&gt;"",MX19&gt;=NF$34,MX19&lt;&gt;""),AND(MZ19&gt;=NF$30,MZ19&lt;&gt;"",NB19&gt;=NF$34,NB19&lt;&gt;""),AND(NC19&gt;=NF$30,NC19&lt;&gt;"",NE19&gt;=NF$34,NE19&lt;&gt;""),AND(OA19&gt;=ON$30,OA19&lt;&gt;"",OC19&gt;=ON$34,OC19&lt;&gt;""),AND(OD19&gt;=ON$30,OD19&lt;&gt;"",OF19&gt;=ON$34,OF19&lt;&gt;""),AND(OH19&gt;=ON$30,OH19&lt;&gt;"",OJ19&gt;=ON$34,OJ19&lt;&gt;""),AND(OK19&gt;=ON$30,OK19&lt;&gt;"",OM19&gt;=ON$34,OM19&lt;&gt;""),AND(PI19&gt;=PV$30,PI19&lt;&gt;"",PK19&gt;=PV$34,PK19&lt;&gt;""),AND(PL19&gt;=PV$30,PL19&lt;&gt;"",PN19&gt;=PV$34,PN19&lt;&gt;""),AND(PP19&gt;=PV$30,PP19&lt;&gt;"",PR19&gt;=PV$34,PR19&lt;&gt;""),AND(PS19&gt;=PV$30,PS19&lt;&gt;"",PU19&gt;=PV$34,PU19&lt;&gt;""),AND(QQ19&gt;=RD$30,QQ19&lt;&gt;"",QS19&gt;=RD$34,QS19&lt;&gt;""),AND(QT19&gt;=RD$30,QT19&lt;&gt;"",QV19&gt;=RD$34,QV19&lt;&gt;""),AND(QX19&gt;=RD$30,QX19&lt;&gt;"",QZ19&gt;=RD$34,QZ19&lt;&gt;""),AND(RA19&gt;=RD$30,RA19&lt;&gt;"",RC19&gt;=RD$34,RC19&lt;&gt;""),AND(RY19&gt;=SL$30,RY19&lt;&gt;"",SA19&gt;=SL$34,SA19&lt;&gt;""),AND(SB19&gt;=SL$30,SB19&lt;&gt;"",SD19&gt;=SL$34,SD19&lt;&gt;""),AND(SF19&gt;=SL$30,SF19&lt;&gt;"",SH19&gt;=SL$34,SH19&lt;&gt;""),AND(SI19&gt;=SL$30,SI19&lt;&gt;"",SK19&gt;=SL$34,SK19&lt;&gt;""),AND(TG19&gt;=TT$30,TG19&lt;&gt;"",TI19&gt;=TT$34,TI19&lt;&gt;""),AND(TJ19&gt;=TT$30,TJ19&lt;&gt;"",TL19&gt;=TT$34,TL19&lt;&gt;""),AND(TN19&gt;=TT$30,TN19&lt;&gt;"",TP19&gt;=TT$34,TXN19&lt;&gt;""),AND(TQ19&gt;=TT$30,TQ19&lt;&gt;"",TS19&gt;=TT$34,TS19&lt;&gt;""),AND(UO19&gt;=VB$30,UO19&lt;&gt;"",UQ19&gt;=VB$34,UQ19&lt;&gt;""),AND(UR19&gt;=VB$30,UR19&lt;&gt;"",UT19&gt;=VB$34,UT19&lt;&gt;""),AND(UV19&gt;=VB$30,UV19&lt;&gt;"",UX19&gt;=VB$34,UX19&lt;&gt;""),AND(UY19&gt;=VB$30,UY19&lt;&gt;"",VA19&gt;=VB$34,VA19&lt;&gt;""),AND(VW19&gt;=WJ$30,VW19&lt;&gt;"",VY19&gt;=WJ$34,VY19&lt;&gt;""),AND(VZ19&gt;=WJ$30,VZ19&lt;&gt;"",WB19&gt;=WJ$34,WB19&lt;&gt;""),AND(WD19&gt;=WJ$30,WD19&lt;&gt;"",WF19&gt;=WJ$34,WF19&lt;&gt;""),AND(WG19&gt;=WJ$30,WG19&lt;&gt;"",WI19&gt;=WJ$34,WI19&lt;&gt;"")),"P","")</f>
        <v/>
      </c>
      <c r="G19" s="3" t="str">
        <f>IF(OR(AND(AI19&gt;=AQ$34,AI19&lt;&gt;"",AF19=""),AND(AL19&gt;=AQ$34,AL19&lt;&gt;"",AF19=""),AND(AP19&gt;=AQ$34,AP19&lt;&gt;"",AF19=""),AND(BJ19&gt;=BR$34,BJ19&lt;&gt;"",BG19=""),AND(BM19&gt;=BR$34,BM19&lt;&gt;"",BG19=""),AND(BQ19&gt;=BR$34,BQ19&lt;&gt;"",BG19=""),AND(CK19&gt;=CS$34,CK19&lt;&gt;"",CH19=""),AND(CN19&gt;=CS$34,CN19&lt;&gt;"",CH19=""),AND(CR19&gt;=CS$34,CR19&lt;&gt;"",CH19=""),AND(DQ19&gt;=EB$34,DQ19&lt;&gt;""),AND(DT19&gt;=EB$34,DT19&lt;&gt;""),AND(DX19&gt;=EB$34,DX19&lt;&gt;""),AND(EA19&gt;=EB$34,EA19&lt;&gt;""),AND(EY19&gt;=FJ$34,EY19&lt;&gt;""),AND(FB19&gt;=FJ$34,FB19&lt;&gt;""),AND(FF19&gt;=FJ$34,FF19&lt;&gt;""),AND(FI19&gt;=FJ$34,FI19&lt;&gt;""),AND(GG19&gt;=GR$34,GG19&lt;&gt;""),AND(GJ19&gt;=GR$34,GJ19&lt;&gt;""),AND(GN19&gt;=GR$34,GN19&lt;&gt;""),AND(GQ19&gt;=GR$34,GQ19&lt;&gt;""),AND(HO19&gt;=HZ$34,HO19&lt;&gt;""),AND(HR19&gt;=HZ$34,HR19&lt;&gt;""),AND(HV19&gt;=HZ$34,HV19&lt;&gt;""),AND(HY19&gt;=HZ$34,HY19&lt;&gt;""),AND(IW19&gt;=JH$34,IW19&lt;&gt;""),AND(IZ19&gt;=JH$34,IZ19&lt;&gt;""),AND(JD19&gt;=JH$34,JD19&lt;&gt;""),AND(JG19&gt;=JH$34,JG19&lt;&gt;""),AND(KE19&gt;=KP$34,KE19&lt;&gt;""),AND(KH19&gt;=KP$34,KH19&lt;&gt;""),AND(KL19&gt;=KP$34,KL19&lt;&gt;""),AND(KO19&gt;=KP$34,KO19&lt;&gt;""),AND(LM19&gt;=LX$34,LM19&lt;&gt;""),AND(LP19&gt;=LX$34,LP19&lt;&gt;""),AND(LT19&gt;=LX$34,LT19&lt;&gt;""),AND(LW19&gt;=LX$34,LW19&lt;&gt;""),AND(MU19&gt;=NF$34,MU19&lt;&gt;""),AND(MX19&gt;=NF$34,MX19&lt;&gt;""),AND(NB19&gt;=NF$34,NB19&lt;&gt;""),AND(NE19&gt;=NF$34,NE19&lt;&gt;""),AND(OC19&gt;=ON$34,OC19&lt;&gt;""),AND(OF19&gt;=ON$34,OF19&lt;&gt;""),AND(OJ19&gt;=ON$34,OJ19&lt;&gt;""),AND(OM19&gt;=ON$34,OM19&lt;&gt;""),AND(PK19&gt;=PV$34,PK19&lt;&gt;""),AND(PN19&gt;=PV$34,PN19&lt;&gt;""),AND(PR19&gt;=PV$34,PR19&lt;&gt;""),AND(PU19&gt;=PV$34,PU19&lt;&gt;""),AND(QS19&gt;=RD$34,QS19&lt;&gt;""),AND(QV19&gt;=RD$34,QV19&lt;&gt;""),AND(QZ19&gt;=RD$34,QZ19&lt;&gt;""),AND(RC19&gt;=RD$34,RC19&lt;&gt;""),AND(SA19&gt;=SL$34,SA19&lt;&gt;""),AND(SD19&gt;=SL$34,SD19&lt;&gt;""),AND(SH19&gt;=SL$34,SH19&lt;&gt;""),AND(SK19&gt;=SL$34,SK19&lt;&gt;""),AND(TI19&gt;=TT$34,TI19&lt;&gt;""),AND(TL19&gt;=TT$34,TL19&lt;&gt;""),AND(TP19&gt;=TT$34,TXN19&lt;&gt;""),AND(TS19&gt;=TT$34,TS19&lt;&gt;""),AND(UQ19&gt;=VB$34,UQ19&lt;&gt;""),AND(UT19&gt;=VB$34,UT19&lt;&gt;""),AND(UX19&gt;=VB$34,UX19&lt;&gt;""),AND(VA19&gt;=VB$34,VA19&lt;&gt;""),AND(VY19&gt;=WJ$34,VY19&lt;&gt;""),AND(WB19&gt;=WJ$34,WB19&lt;&gt;""),AND(WF19&gt;=WJ$34,WF19&lt;&gt;""),AND(WI19&gt;=WJ$34,WI19&lt;&gt;"")),"P","")</f>
        <v/>
      </c>
      <c r="H19" s="32" t="str">
        <f>IF(AND(G19="P",F19=""),"No DD",IF(OR(AND(AG19&gt;=AQ$33,AG19&lt;&gt;"",AI19&gt;=AQ$37,AI19&lt;&gt;"",AF19=""),AND(AJ19&gt;=AQ$33,AJ19&lt;&gt;"",AL19&gt;=AQ$37,AL19&lt;&gt;"",AF19=""),AND(AN19&gt;=AQ$33,AN19&lt;&gt;"",AP19&gt;=AQ$37,AP19&lt;&gt;"",AF19=""),AND(BH19&gt;=BR$33,BH19&lt;&gt;"",BJ19&gt;=BR$37,BJ19&lt;&gt;"",BG19=""),AND(BK19&gt;=BR$33,BK19&lt;&gt;"",BM19&gt;=BR$37,BM19&lt;&gt;"",BG19=""),AND(BO19&gt;=BR$33,BO19&lt;&gt;"",BQ19&gt;=BR$37,BQ19&lt;&gt;"",BG19=""),AND(CI19&gt;=CS$33,CI19&lt;&gt;"",CK19&gt;=CS$37,CK19&lt;&gt;"",CH19=""),AND(CL19&gt;=CS$33,CL19&lt;&gt;"",CN19&gt;=CS$37,CN19&lt;&gt;"",CH19=""),AND(CP19&gt;=CS$33,CP19&lt;&gt;"",CR19&gt;=CS$37,CR19&lt;&gt;"",CH19=""),AND(DO19&gt;=EB$33,DO19&lt;&gt;"",DQ19&gt;=EB$37,DQ19&lt;&gt;""),AND(DR19&gt;=EB$33,DR19&lt;&gt;"",DT19&gt;=EB$37,DT19&lt;&gt;""),AND(DV19&gt;=EB$33,DV19&lt;&gt;"",DX19&gt;=EB$37,DX19&lt;&gt;""),AND(DY19&gt;=EB$33,DY19&lt;&gt;"",EA19&gt;=EB$37,EA19&lt;&gt;""),AND(EW19&gt;=FJ$33,EW19&lt;&gt;"",EY19&gt;=FJ$37,EY19&lt;&gt;""),AND(EZ19&gt;=FJ$33,EZ19&lt;&gt;"",FB19&gt;=FJ$37,FB19&lt;&gt;""),AND(FD19&gt;=FJ$33,FD19&lt;&gt;"",FF19&gt;=FJ$37,FF19&lt;&gt;""),AND(FG19&gt;=FJ$33,FG19&lt;&gt;"",FI19&gt;=FJ$37,FI19&lt;&gt;""),AND(GE19&gt;=GR$33,GE19&lt;&gt;"",GG19&gt;=GR$37,GG19&lt;&gt;""),AND(GH19&gt;=GR$33,GH19&lt;&gt;"",GJ19&gt;=GR$37,GJ19&lt;&gt;""),AND(GL19&gt;=GR$33,GL19&lt;&gt;"",GN19&gt;=GR$37,GN19&lt;&gt;""),AND(GO19&gt;=GR$33,GO19&lt;&gt;"",GQ19&gt;=GR$37,GQ19&lt;&gt;""),AND(HM19&gt;=HZ$33,HM19&lt;&gt;"",HO19&gt;=HZ$37,HO19&lt;&gt;""),AND(HP19&gt;=HZ$33,HP19&lt;&gt;"",HR19&gt;=HZ$37,HR19&lt;&gt;""),AND(HT19&gt;=HZ$33,HT19&lt;&gt;"",HV19&gt;=HZ$37,HV19&lt;&gt;""),AND(HW19&gt;=HZ$33,HW19&lt;&gt;"",HY19&gt;=HZ$37,HY19&lt;&gt;""),AND(IU19&gt;=JH$33,IU19&lt;&gt;"",IW19&gt;=JH$37,IW19&lt;&gt;""),AND(IX19&gt;=JH$33,IX19&lt;&gt;"",IZ19&gt;=JH$37,IZ19&lt;&gt;""),AND(JB19&gt;=JH$33,JB19&lt;&gt;"",JD19&gt;=JH$37,JD19&lt;&gt;""),AND(JE19&gt;=JH$33,JE19&lt;&gt;"",JG19&gt;=JH$37,JG19&lt;&gt;""),AND(KC19&gt;=KP$33,KC19&lt;&gt;"",KE19&gt;=KP$37,KE19&lt;&gt;""),AND(KF19&gt;=KP$33,KF19&lt;&gt;"",KH19&gt;=KP$37,KH19&lt;&gt;""),AND(KJ19&gt;=KP$33,KJ19&lt;&gt;"",KL19&gt;=KP$37,KL19&lt;&gt;""),AND(KM19&gt;=KP$33,KM19&lt;&gt;"",KO19&gt;=KP$37,KO19&lt;&gt;""),AND(LK19&gt;=LX$33,LK19&lt;&gt;"",LM19&gt;=LX$37,LM19&lt;&gt;""),AND(LN19&gt;=LX$33,LN19&lt;&gt;"",LP19&gt;=LX$37,LP19&lt;&gt;""),AND(LR19&gt;=LX$33,LR19&lt;&gt;"",LT19&gt;=LX$37,LT19&lt;&gt;""),AND(LU19&gt;=LX$33,LU19&lt;&gt;"",LW19&gt;=LX$37,LW19&lt;&gt;""),AND(MS19&gt;=NF$33,MS19&lt;&gt;"",MU19&gt;=NF$37,MU19&lt;&gt;""),AND(MV19&gt;=NF$33,MV19&lt;&gt;"",MX19&gt;=NF$37,MX19&lt;&gt;""),AND(MZ19&gt;=NF$33,MZ19&lt;&gt;"",NB19&gt;=NF$37,NB19&lt;&gt;""),AND(NC19&gt;=NF$33,NC19&lt;&gt;"",NE19&gt;=NF$37,NE19&lt;&gt;""),AND(OA19&gt;=ON$33,OA19&lt;&gt;"",OC19&gt;=ON$37,OC19&lt;&gt;""),AND(OD19&gt;=ON$33,OD19&lt;&gt;"",OF19&gt;=ON$37,OF19&lt;&gt;""),AND(OH19&gt;=ON$33,OH19&lt;&gt;"",OJ19&gt;=ON$37,OJ19&lt;&gt;""),AND(OK19&gt;=ON$33,OK19&lt;&gt;"",OM19&gt;=ON$37,OM19&lt;&gt;""),AND(PI19&gt;=PV$33,PI19&lt;&gt;"",PK19&gt;=PV$37,PK19&lt;&gt;""),AND(PL19&gt;=PV$33,PL19&lt;&gt;"",PN19&gt;=PV$37,PN19&lt;&gt;""),AND(PP19&gt;=PV$33,PP19&lt;&gt;"",PR19&gt;=PV$37,PR19&lt;&gt;""),AND(PS19&gt;=PV$33,PS19&lt;&gt;"",PU19&gt;=PV$37,PU19&lt;&gt;""),AND(QQ19&gt;=RD$33,QQ19&lt;&gt;"",QS19&gt;=RD$37,QS19&lt;&gt;""),AND(QT19&gt;=RD$33,QT19&lt;&gt;"",QV19&gt;=RD$37,QV19&lt;&gt;""),AND(QX19&gt;=RD$33,QX19&lt;&gt;"",QZ19&gt;=RD$37,QZ19&lt;&gt;""),AND(RA19&gt;=RD$33,RA19&lt;&gt;"",RC19&gt;=RD$37,RC19&lt;&gt;""),AND(RY19&gt;=SL$33,RY19&lt;&gt;"",SA19&gt;=SL$37,SA19&lt;&gt;""),AND(SB19&gt;=SL$33,SB19&lt;&gt;"",SD19&gt;=SL$37,SD19&lt;&gt;""),AND(SF19&gt;=SL$33,SF19&lt;&gt;"",SH19&gt;=SL$37,SH19&lt;&gt;""),AND(SI19&gt;=SL$33,SI19&lt;&gt;"",SK19&gt;=SL$37,SK19&lt;&gt;""),AND(TG19&gt;=TT$33,TG19&lt;&gt;"",TI19&gt;=TT$37,TI19&lt;&gt;""),AND(TJ19&gt;=TT$33,TJ19&lt;&gt;"",TL19&gt;=TT$37,TL19&lt;&gt;""),AND(TN19&gt;=TT$33,TN19&lt;&gt;"",TP19&gt;=TT$357,TXN19&lt;&gt;""),AND(TQ19&gt;=TT$33,TQ19&lt;&gt;"",TS19&gt;=TT$37,TS19&lt;&gt;""),AND(UO19&gt;=VB$33,UO19&lt;&gt;"",UQ19&gt;=VB$37,UQ19&lt;&gt;""),AND(UR19&gt;=VB$33,UR19&lt;&gt;"",UT19&gt;=VB$37,UT19&lt;&gt;""),AND(UV19&gt;=VB$33,UV19&lt;&gt;"",UX19&gt;=VB$37,UX19&lt;&gt;""),AND(UY19&gt;=VB$33,UY19&lt;&gt;"",VA19&gt;=VB$37,VA19&lt;&gt;""),AND(VW19&gt;=WJ$33,VW19&lt;&gt;"",VY19&gt;=WJ$37,VY19&lt;&gt;""),AND(VZ19&gt;=WJ$33,VZ19&lt;&gt;"",WB19&gt;=WJ$37,WB19&lt;&gt;""),AND(WD19&gt;=WJ$33,WD19&lt;&gt;"",WF19&gt;=WJ$37,WF19&lt;&gt;""),AND(WG19&gt;=WJ$33,WG19&lt;&gt;"",WI19&gt;=WJ$37,WI19&lt;&gt;"")),"Merit",IF(OR(AND(AG19&gt;=AQ$32,AG19&lt;&gt;"",AI19&gt;=AQ$36,AI19&lt;&gt;"",AF19=""),AND(AJ19&gt;=AQ$32,AJ19&lt;&gt;"",AL19&gt;=AQ$36,AL19&lt;&gt;"",AF19=""),AND(AN19&gt;=AQ$32,AN19&lt;&gt;"",AP19&gt;=AQ$36,AP19&lt;&gt;"",AF19=""),AND(BH19&gt;=BR$32,BH19&lt;&gt;"",BJ19&gt;=BR$36,BJ19&lt;&gt;"",BG19=""),AND(BK19&gt;=BR$32,BK19&lt;&gt;"",BM19&gt;=BR$36,BM19&lt;&gt;"",BG19=""),AND(BO19&gt;=BR$32,BO19&lt;&gt;"",BQ19&gt;=BR$36,BQ19&lt;&gt;"",BG19=""),AND(CI19&gt;=CS$32,CI19&lt;&gt;"",CK19&gt;=CS$36,CK19&lt;&gt;"",CH19=""),AND(CL19&gt;=CS$32,CL19&lt;&gt;"",CN19&gt;=CS$36,CN19&lt;&gt;"",CH19=""),AND(CP19&gt;=CS$32,CP19&lt;&gt;"",CR19&gt;=CS$36,CR19&lt;&gt;"",CH19=""),AND(DO19&gt;=EB$32,DO19&lt;&gt;"",DQ19&gt;=EB$36,DQ19&lt;&gt;""),AND(DR19&gt;=EB$32,DR19&lt;&gt;"",DT19&gt;=EB$36,DT19&lt;&gt;""),AND(DV19&gt;=EB$32,DV19&lt;&gt;"",DX19&gt;=EB$36,DX19&lt;&gt;""),AND(DY19&gt;=EB$32,DY19&lt;&gt;"",EA19&gt;=EB$36,EA19&lt;&gt;""),AND(EW19&gt;=FJ$32,EW19&lt;&gt;"",EY19&gt;=FJ$36,EY19&lt;&gt;""),AND(EZ19&gt;=FJ$32,EZ19&lt;&gt;"",FB19&gt;=FJ$36,FB19&lt;&gt;""),AND(FD19&gt;=FJ$32,FD19&lt;&gt;"",FF19&gt;=FJ$36,FF19&lt;&gt;""),AND(FG19&gt;=FJ$32,FG19&lt;&gt;"",FI19&gt;=FJ$36,FI19&lt;&gt;""),AND(GE19&gt;=GR$32,GE19&lt;&gt;"",GG19&gt;=GR$36,GG19&lt;&gt;""),AND(GH19&gt;=GR$32,GH19&lt;&gt;"",GJ19&gt;=GR$36,GJ19&lt;&gt;""),AND(GL19&gt;=GR$32,GL19&lt;&gt;"",GN19&gt;=GR$36,GN19&lt;&gt;""),AND(GO19&gt;=GR$32,GO19&lt;&gt;"",GQ19&gt;=GR$36,GQ19&lt;&gt;""),AND(HM19&gt;=HZ$32,HM19&lt;&gt;"",HO19&gt;=HZ$36,HO19&lt;&gt;""),AND(HP19&gt;=HZ$32,HP19&lt;&gt;"",HR19&gt;=HZ$36,HR19&lt;&gt;""),AND(HT19&gt;=HZ$32,HT19&lt;&gt;"",HV19&gt;=HZ$36,HV19&lt;&gt;""),AND(HW19&gt;=HZ$32,HW19&lt;&gt;"",HY19&gt;=HZ$36,HY19&lt;&gt;""),AND(IU19&gt;=JH$32,IU19&lt;&gt;"",IW19&gt;=JH$36,IW19&lt;&gt;""),AND(IX19&gt;=JH$32,IX19&lt;&gt;"",IZ19&gt;=JH$36,IZ19&lt;&gt;""),AND(JB19&gt;=JH$32,JB19&lt;&gt;"",JD19&gt;=JH$36,JD19&lt;&gt;""),AND(JE19&gt;=JH$32,JE19&lt;&gt;"",JG19&gt;=JH$36,JG19&lt;&gt;""),AND(KC19&gt;=KP$32,KC19&lt;&gt;"",KE19&gt;=KP$36,KE19&lt;&gt;""),AND(KF19&gt;=KP$32,KF19&lt;&gt;"",KH19&gt;=KP$36,KH19&lt;&gt;""),AND(KJ19&gt;=KP$32,KJ19&lt;&gt;"",KL19&gt;=KP$36,KL19&lt;&gt;""),AND(KM19&gt;=KP$32,KM19&lt;&gt;"",KO19&gt;=KP$36,KO19&lt;&gt;""),AND(LK19&gt;=LX$32,LK19&lt;&gt;"",LM19&gt;=LX$36,LM19&lt;&gt;""),AND(LN19&gt;=LX$32,LN19&lt;&gt;"",LP19&gt;=LX$36,LP19&lt;&gt;""),AND(LR19&gt;=LX$32,LR19&lt;&gt;"",LT19&gt;=LX$36,LT19&lt;&gt;""),AND(LU19&gt;=LX$32,LU19&lt;&gt;"",LW19&gt;=LX$36,LW19&lt;&gt;""),AND(MS19&gt;=NF$32,MS19&lt;&gt;"",MU19&gt;=NF$36,MU19&lt;&gt;""),AND(MV19&gt;=NF$32,MV19&lt;&gt;"",MX19&gt;=NF$36,MX19&lt;&gt;""),AND(MZ19&gt;=NF$32,MZ19&lt;&gt;"",NB19&gt;=NF$36,NB19&lt;&gt;""),AND(NC19&gt;=NF$32,NC19&lt;&gt;"",NE19&gt;=NF$36,NE19&lt;&gt;""),AND(OA19&gt;=ON$32,OA19&lt;&gt;"",OC19&gt;=ON$36,OC19&lt;&gt;""),AND(OD19&gt;=ON$32,OD19&lt;&gt;"",OF19&gt;=ON$36,OF19&lt;&gt;""),AND(OH19&gt;=ON$32,OH19&lt;&gt;"",OJ19&gt;=ON$36,OJ19&lt;&gt;""),AND(OK19&gt;=ON$32,OK19&lt;&gt;"",OM19&gt;=ON$36,OM19&lt;&gt;""),AND(PI19&gt;=PV$32,PI19&lt;&gt;"",PK19&gt;=PV$36,PK19&lt;&gt;""),AND(PL19&gt;=PV$32,PL19&lt;&gt;"",PN19&gt;=PV$36,PN19&lt;&gt;""),AND(PP19&gt;=PV$32,PP19&lt;&gt;"",PR19&gt;=PV$36,PR19&lt;&gt;""),AND(PS19&gt;=PV$32,PS19&lt;&gt;"",PU19&gt;=PV$36,PU19&lt;&gt;""),AND(QQ19&gt;=RD$32,QQ19&lt;&gt;"",QS19&gt;=RD$36,QS19&lt;&gt;""),AND(QT19&gt;=RD$32,QT19&lt;&gt;"",QV19&gt;=RD$36,QV19&lt;&gt;""),AND(QX19&gt;=RD$32,QX19&lt;&gt;"",QZ19&gt;=RD$36,QZ19&lt;&gt;""),AND(RA19&gt;=RD$32,RA19&lt;&gt;"",RC19&gt;=RD$36,RC19&lt;&gt;""),AND(RY19&gt;=SL$32,RY19&lt;&gt;"",SA19&gt;=SL$36,SA19&lt;&gt;""),AND(SB19&gt;=SL$32,SB19&lt;&gt;"",SD19&gt;=SL$36,SD19&lt;&gt;""),AND(SF19&gt;=SL$32,SF19&lt;&gt;"",SH19&gt;=SL$36,SH19&lt;&gt;""),AND(SI19&gt;=SL$32,SI19&lt;&gt;"",SK19&gt;=SL$36,SK19&lt;&gt;""),AND(TG19&gt;=TT$32,TG19&lt;&gt;"",TI19&gt;=TT$36,TI19&lt;&gt;""),AND(TJ19&gt;=TT$32,TJ19&lt;&gt;"",TL19&gt;=TT$36,TL19&lt;&gt;""),AND(TN19&gt;=TT$32,TN19&lt;&gt;"",TP19&gt;=TT$36,TXN19&lt;&gt;""),AND(TQ19&gt;=TT$32,TQ19&lt;&gt;"",TS19&gt;=TT$36,TS19&lt;&gt;""),AND(UO19&gt;=VB$32,UO19&lt;&gt;"",UQ19&gt;=VB$36,UQ19&lt;&gt;""),AND(UR19&gt;=VB$32,UR19&lt;&gt;"",UT19&gt;=VB$36,UT19&lt;&gt;""),AND(UV19&gt;=VB$32,UV19&lt;&gt;"",UX19&gt;=VB$36,UX19&lt;&gt;""),AND(UY19&gt;=VB$32,UY19&lt;&gt;"",VA19&gt;=VB$36,VA19&lt;&gt;""),AND(VW19&gt;=WJ$32,VW19&lt;&gt;"",VY19&gt;=WJ$36,VY19&lt;&gt;""),AND(VZ19&gt;=WJ$32,VZ19&lt;&gt;"",WB19&gt;=WJ$36,WB19&lt;&gt;""),AND(WD19&gt;=WJ$32,WD19&lt;&gt;"",WF19&gt;=WJ$36,WF19&lt;&gt;""),AND(WG19&gt;=WJ$32,WG19&lt;&gt;"",WI19&gt;=WJ$36,WI19&lt;&gt;"")),"Excellence",IF(I19="P","National Team",IF(F19="P","National Team","")))))</f>
        <v/>
      </c>
      <c r="I19" s="3" t="str">
        <f>IF(COUNTIFS('Senior-M'!B:B,B19,'Senior-M'!A:A,"&lt;9",'Senior-M'!H:H,"&lt;&gt;"&amp;"No DD"),"P","")</f>
        <v/>
      </c>
      <c r="J19" s="8">
        <f t="shared" si="1"/>
        <v>48.699999999999996</v>
      </c>
      <c r="K19" s="8" t="str">
        <f t="shared" si="2"/>
        <v>2025 Nationals</v>
      </c>
      <c r="L19" s="8">
        <f>IFERROR(LARGE((AI19,AL19,AP19,BJ19,BM19,BQ19,CK19,CN19,CR19),2),0)</f>
        <v>48.25</v>
      </c>
      <c r="M19" s="8" t="str">
        <f t="shared" si="3"/>
        <v>2025 3rd Domestic Trial</v>
      </c>
      <c r="N19" s="8">
        <f t="shared" si="4"/>
        <v>0</v>
      </c>
      <c r="O19" s="11" t="str">
        <f>IF(N19=0,"",IF(N19=CT19,"("&amp;CT$2&amp;")",IF(N19=#REF!,"("&amp;#REF!&amp;")")))</f>
        <v/>
      </c>
      <c r="P19" s="8" t="str">
        <f t="shared" si="5"/>
        <v/>
      </c>
      <c r="Q19" s="18">
        <v>17</v>
      </c>
      <c r="R19" s="18">
        <v>9.5</v>
      </c>
      <c r="S19" s="18">
        <v>0</v>
      </c>
      <c r="T19" s="18">
        <v>15.02</v>
      </c>
      <c r="U19" s="18">
        <v>0</v>
      </c>
      <c r="V19" s="18">
        <v>13</v>
      </c>
      <c r="W19" s="18">
        <v>9.1</v>
      </c>
      <c r="X19" s="18">
        <v>11.2</v>
      </c>
      <c r="Y19" s="18">
        <v>15.4</v>
      </c>
      <c r="Z19" s="18">
        <v>0</v>
      </c>
      <c r="AA19" s="18">
        <v>1.6</v>
      </c>
      <c r="AB19" s="18">
        <v>1</v>
      </c>
      <c r="AC19" s="18">
        <v>1.7</v>
      </c>
      <c r="AD19" s="18">
        <v>1.69</v>
      </c>
      <c r="AE19" s="18">
        <v>0</v>
      </c>
      <c r="AF19" s="23"/>
      <c r="AG19" s="34" t="str">
        <f t="shared" si="6"/>
        <v/>
      </c>
      <c r="AH19" s="34">
        <f t="shared" si="7"/>
        <v>15.02</v>
      </c>
      <c r="AI19" s="36">
        <f t="shared" si="8"/>
        <v>41.519999999999996</v>
      </c>
      <c r="AJ19" s="36">
        <f t="shared" si="9"/>
        <v>11.2</v>
      </c>
      <c r="AK19" s="36">
        <f t="shared" si="10"/>
        <v>15.4</v>
      </c>
      <c r="AL19" s="36">
        <f t="shared" si="11"/>
        <v>48.699999999999996</v>
      </c>
      <c r="AM19" s="36">
        <f t="shared" si="12"/>
        <v>48.699999999999996</v>
      </c>
      <c r="AN19" s="36">
        <f t="shared" si="13"/>
        <v>1.7</v>
      </c>
      <c r="AO19" s="36">
        <f t="shared" si="14"/>
        <v>1.69</v>
      </c>
      <c r="AP19" s="36">
        <f t="shared" si="15"/>
        <v>5.99</v>
      </c>
      <c r="AQ19" s="36">
        <f t="shared" si="16"/>
        <v>54.69</v>
      </c>
      <c r="AR19" s="22">
        <v>16.8</v>
      </c>
      <c r="AS19" s="22">
        <v>8.9</v>
      </c>
      <c r="AT19" s="22">
        <v>0</v>
      </c>
      <c r="AU19" s="22">
        <v>15.27</v>
      </c>
      <c r="AV19" s="22">
        <v>0</v>
      </c>
      <c r="AW19" s="22">
        <v>12.7</v>
      </c>
      <c r="AX19" s="22">
        <v>8.3000000000000007</v>
      </c>
      <c r="AY19" s="22">
        <v>12.5</v>
      </c>
      <c r="AZ19" s="22">
        <v>14.75</v>
      </c>
      <c r="BA19" s="22">
        <v>0</v>
      </c>
      <c r="BB19" s="22">
        <v>9.3000000000000007</v>
      </c>
      <c r="BC19" s="22">
        <v>5.6</v>
      </c>
      <c r="BD19" s="22">
        <v>8.8000000000000007</v>
      </c>
      <c r="BE19" s="22">
        <v>11.37</v>
      </c>
      <c r="BF19" s="22">
        <v>0</v>
      </c>
      <c r="BG19" s="24"/>
      <c r="BH19" s="35" t="str">
        <f t="shared" si="17"/>
        <v/>
      </c>
      <c r="BI19" s="35">
        <f t="shared" si="18"/>
        <v>15.27</v>
      </c>
      <c r="BJ19" s="11">
        <f t="shared" si="19"/>
        <v>40.97</v>
      </c>
      <c r="BK19" s="11">
        <f t="shared" si="20"/>
        <v>12.5</v>
      </c>
      <c r="BL19" s="11">
        <f t="shared" si="21"/>
        <v>14.75</v>
      </c>
      <c r="BM19" s="11">
        <f t="shared" si="22"/>
        <v>48.25</v>
      </c>
      <c r="BN19" s="11">
        <f t="shared" si="23"/>
        <v>48.25</v>
      </c>
      <c r="BO19" s="11">
        <f t="shared" si="24"/>
        <v>8.8000000000000007</v>
      </c>
      <c r="BP19" s="11">
        <f t="shared" si="25"/>
        <v>11.37</v>
      </c>
      <c r="BQ19" s="11">
        <f t="shared" si="26"/>
        <v>35.07</v>
      </c>
      <c r="BR19" s="11">
        <f t="shared" si="27"/>
        <v>83.32</v>
      </c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23"/>
      <c r="CI19" s="34" t="str">
        <f t="shared" si="28"/>
        <v/>
      </c>
      <c r="CJ19" s="34" t="str">
        <f t="shared" si="29"/>
        <v/>
      </c>
      <c r="CK19" s="36" t="str">
        <f t="shared" si="30"/>
        <v/>
      </c>
      <c r="CL19" s="36" t="str">
        <f t="shared" si="31"/>
        <v/>
      </c>
      <c r="CM19" s="36" t="str">
        <f t="shared" si="32"/>
        <v/>
      </c>
      <c r="CN19" s="36" t="str">
        <f t="shared" si="33"/>
        <v/>
      </c>
      <c r="CO19" s="36" t="str">
        <f t="shared" si="34"/>
        <v/>
      </c>
      <c r="CP19" s="36" t="str">
        <f t="shared" si="35"/>
        <v/>
      </c>
      <c r="CQ19" s="36" t="str">
        <f t="shared" si="36"/>
        <v/>
      </c>
      <c r="CR19" s="36" t="str">
        <f t="shared" si="37"/>
        <v/>
      </c>
      <c r="CS19" s="36" t="str">
        <f t="shared" si="38"/>
        <v/>
      </c>
      <c r="CT19" s="47" t="str">
        <f t="shared" si="39"/>
        <v/>
      </c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36" t="str">
        <f t="shared" si="40"/>
        <v/>
      </c>
      <c r="DP19" s="36" t="str">
        <f t="shared" si="41"/>
        <v/>
      </c>
      <c r="DQ19" s="36" t="str">
        <f t="shared" si="42"/>
        <v/>
      </c>
      <c r="DR19" s="36" t="str">
        <f t="shared" si="43"/>
        <v/>
      </c>
      <c r="DS19" s="36" t="str">
        <f t="shared" si="44"/>
        <v/>
      </c>
      <c r="DT19" s="36" t="str">
        <f t="shared" si="45"/>
        <v/>
      </c>
      <c r="DU19" s="36" t="str">
        <f t="shared" si="46"/>
        <v/>
      </c>
      <c r="DV19" s="36" t="str">
        <f t="shared" si="47"/>
        <v/>
      </c>
      <c r="DW19" s="36" t="str">
        <f t="shared" si="48"/>
        <v/>
      </c>
      <c r="DX19" s="36" t="str">
        <f t="shared" si="49"/>
        <v/>
      </c>
      <c r="DY19" s="36" t="str">
        <f t="shared" si="50"/>
        <v/>
      </c>
      <c r="DZ19" s="36" t="str">
        <f t="shared" si="51"/>
        <v/>
      </c>
      <c r="EA19" s="36" t="str">
        <f t="shared" si="52"/>
        <v/>
      </c>
      <c r="EB19" s="36" t="str">
        <f t="shared" si="53"/>
        <v/>
      </c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1" t="str">
        <f t="shared" si="54"/>
        <v/>
      </c>
      <c r="EX19" s="11" t="str">
        <f t="shared" si="55"/>
        <v/>
      </c>
      <c r="EY19" s="11" t="str">
        <f t="shared" si="56"/>
        <v/>
      </c>
      <c r="EZ19" s="11" t="str">
        <f t="shared" si="57"/>
        <v/>
      </c>
      <c r="FA19" s="11" t="str">
        <f t="shared" si="58"/>
        <v/>
      </c>
      <c r="FB19" s="11" t="str">
        <f t="shared" si="59"/>
        <v/>
      </c>
      <c r="FC19" s="11" t="str">
        <f t="shared" si="60"/>
        <v/>
      </c>
      <c r="FD19" s="11" t="str">
        <f t="shared" si="61"/>
        <v/>
      </c>
      <c r="FE19" s="11" t="str">
        <f t="shared" si="62"/>
        <v/>
      </c>
      <c r="FF19" s="11" t="str">
        <f t="shared" si="63"/>
        <v/>
      </c>
      <c r="FG19" s="11" t="str">
        <f t="shared" si="64"/>
        <v/>
      </c>
      <c r="FH19" s="11" t="str">
        <f t="shared" si="65"/>
        <v/>
      </c>
      <c r="FI19" s="11" t="str">
        <f t="shared" si="66"/>
        <v/>
      </c>
      <c r="FJ19" s="11" t="str">
        <f t="shared" si="67"/>
        <v/>
      </c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36" t="str">
        <f t="shared" si="68"/>
        <v/>
      </c>
      <c r="GF19" s="36" t="str">
        <f t="shared" si="69"/>
        <v/>
      </c>
      <c r="GG19" s="36" t="str">
        <f t="shared" si="70"/>
        <v/>
      </c>
      <c r="GH19" s="36" t="str">
        <f t="shared" si="71"/>
        <v/>
      </c>
      <c r="GI19" s="36" t="str">
        <f t="shared" si="72"/>
        <v/>
      </c>
      <c r="GJ19" s="36" t="str">
        <f t="shared" si="73"/>
        <v/>
      </c>
      <c r="GK19" s="36" t="str">
        <f t="shared" si="74"/>
        <v/>
      </c>
      <c r="GL19" s="36" t="str">
        <f t="shared" si="75"/>
        <v/>
      </c>
      <c r="GM19" s="36" t="str">
        <f t="shared" si="76"/>
        <v/>
      </c>
      <c r="GN19" s="36" t="str">
        <f t="shared" si="77"/>
        <v/>
      </c>
      <c r="GO19" s="36" t="str">
        <f t="shared" si="78"/>
        <v/>
      </c>
      <c r="GP19" s="36" t="str">
        <f t="shared" si="79"/>
        <v/>
      </c>
      <c r="GQ19" s="36" t="str">
        <f t="shared" si="80"/>
        <v/>
      </c>
      <c r="GR19" s="36" t="str">
        <f t="shared" si="81"/>
        <v/>
      </c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1" t="str">
        <f t="shared" si="82"/>
        <v/>
      </c>
      <c r="HN19" s="11" t="str">
        <f t="shared" si="83"/>
        <v/>
      </c>
      <c r="HO19" s="11" t="str">
        <f t="shared" si="84"/>
        <v/>
      </c>
      <c r="HP19" s="11" t="str">
        <f t="shared" si="85"/>
        <v/>
      </c>
      <c r="HQ19" s="11" t="str">
        <f t="shared" si="86"/>
        <v/>
      </c>
      <c r="HR19" s="11" t="str">
        <f t="shared" si="87"/>
        <v/>
      </c>
      <c r="HS19" s="11" t="str">
        <f t="shared" si="88"/>
        <v/>
      </c>
      <c r="HT19" s="11" t="str">
        <f t="shared" si="89"/>
        <v/>
      </c>
      <c r="HU19" s="11" t="str">
        <f t="shared" si="90"/>
        <v/>
      </c>
      <c r="HV19" s="11" t="str">
        <f t="shared" si="91"/>
        <v/>
      </c>
      <c r="HW19" s="11" t="str">
        <f t="shared" si="92"/>
        <v/>
      </c>
      <c r="HX19" s="11" t="str">
        <f t="shared" si="93"/>
        <v/>
      </c>
      <c r="HY19" s="11" t="str">
        <f t="shared" si="94"/>
        <v/>
      </c>
      <c r="HZ19" s="11" t="str">
        <f t="shared" si="95"/>
        <v/>
      </c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36" t="str">
        <f t="shared" si="96"/>
        <v/>
      </c>
      <c r="IV19" s="36" t="str">
        <f t="shared" si="97"/>
        <v/>
      </c>
      <c r="IW19" s="36" t="str">
        <f t="shared" si="98"/>
        <v/>
      </c>
      <c r="IX19" s="36" t="str">
        <f t="shared" si="99"/>
        <v/>
      </c>
      <c r="IY19" s="36" t="str">
        <f t="shared" si="100"/>
        <v/>
      </c>
      <c r="IZ19" s="36" t="str">
        <f t="shared" si="101"/>
        <v/>
      </c>
      <c r="JA19" s="36" t="str">
        <f t="shared" si="102"/>
        <v/>
      </c>
      <c r="JB19" s="36" t="str">
        <f t="shared" si="103"/>
        <v/>
      </c>
      <c r="JC19" s="36" t="str">
        <f t="shared" si="104"/>
        <v/>
      </c>
      <c r="JD19" s="36" t="str">
        <f t="shared" si="105"/>
        <v/>
      </c>
      <c r="JE19" s="36" t="str">
        <f t="shared" si="106"/>
        <v/>
      </c>
      <c r="JF19" s="36" t="str">
        <f t="shared" si="107"/>
        <v/>
      </c>
      <c r="JG19" s="36" t="str">
        <f t="shared" si="108"/>
        <v/>
      </c>
      <c r="JH19" s="36" t="str">
        <f t="shared" si="109"/>
        <v/>
      </c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1" t="str">
        <f t="shared" si="110"/>
        <v/>
      </c>
      <c r="KD19" s="11" t="str">
        <f t="shared" si="111"/>
        <v/>
      </c>
      <c r="KE19" s="11" t="str">
        <f t="shared" si="112"/>
        <v/>
      </c>
      <c r="KF19" s="11" t="str">
        <f t="shared" si="113"/>
        <v/>
      </c>
      <c r="KG19" s="11" t="str">
        <f t="shared" si="114"/>
        <v/>
      </c>
      <c r="KH19" s="11" t="str">
        <f t="shared" si="115"/>
        <v/>
      </c>
      <c r="KI19" s="11" t="str">
        <f t="shared" si="116"/>
        <v/>
      </c>
      <c r="KJ19" s="11" t="str">
        <f t="shared" si="117"/>
        <v/>
      </c>
      <c r="KK19" s="11" t="str">
        <f t="shared" si="118"/>
        <v/>
      </c>
      <c r="KL19" s="11" t="str">
        <f t="shared" si="119"/>
        <v/>
      </c>
      <c r="KM19" s="11" t="str">
        <f t="shared" si="120"/>
        <v/>
      </c>
      <c r="KN19" s="11" t="str">
        <f t="shared" si="121"/>
        <v/>
      </c>
      <c r="KO19" s="11" t="str">
        <f t="shared" si="122"/>
        <v/>
      </c>
      <c r="KP19" s="11" t="str">
        <f t="shared" si="123"/>
        <v/>
      </c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36" t="str">
        <f t="shared" si="124"/>
        <v/>
      </c>
      <c r="LL19" s="36" t="str">
        <f t="shared" si="125"/>
        <v/>
      </c>
      <c r="LM19" s="36" t="str">
        <f t="shared" si="126"/>
        <v/>
      </c>
      <c r="LN19" s="36" t="str">
        <f t="shared" si="127"/>
        <v/>
      </c>
      <c r="LO19" s="36" t="str">
        <f t="shared" si="128"/>
        <v/>
      </c>
      <c r="LP19" s="36" t="str">
        <f t="shared" si="129"/>
        <v/>
      </c>
      <c r="LQ19" s="36" t="str">
        <f t="shared" si="130"/>
        <v/>
      </c>
      <c r="LR19" s="36" t="str">
        <f t="shared" si="131"/>
        <v/>
      </c>
      <c r="LS19" s="36" t="str">
        <f t="shared" si="132"/>
        <v/>
      </c>
      <c r="LT19" s="36" t="str">
        <f t="shared" si="133"/>
        <v/>
      </c>
      <c r="LU19" s="36" t="str">
        <f t="shared" si="134"/>
        <v/>
      </c>
      <c r="LV19" s="36" t="str">
        <f t="shared" si="135"/>
        <v/>
      </c>
      <c r="LW19" s="36" t="str">
        <f t="shared" si="136"/>
        <v/>
      </c>
      <c r="LX19" s="36" t="str">
        <f t="shared" si="137"/>
        <v/>
      </c>
      <c r="LY19" s="16">
        <v>15.6</v>
      </c>
      <c r="LZ19" s="16">
        <v>9</v>
      </c>
      <c r="MA19" s="16">
        <v>0</v>
      </c>
      <c r="MB19" s="16">
        <v>15.87</v>
      </c>
      <c r="MC19" s="16">
        <v>0</v>
      </c>
      <c r="MD19" s="16">
        <v>12.2</v>
      </c>
      <c r="ME19" s="16">
        <v>8.9</v>
      </c>
      <c r="MF19" s="16">
        <v>9.3000000000000007</v>
      </c>
      <c r="MG19" s="16">
        <v>15.4</v>
      </c>
      <c r="MH19" s="16">
        <v>0.2</v>
      </c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1" t="str">
        <f t="shared" si="138"/>
        <v/>
      </c>
      <c r="MT19" s="11">
        <f t="shared" si="139"/>
        <v>15.87</v>
      </c>
      <c r="MU19" s="11">
        <f t="shared" si="140"/>
        <v>40.47</v>
      </c>
      <c r="MV19" s="11">
        <f t="shared" si="141"/>
        <v>9.3000000000000007</v>
      </c>
      <c r="MW19" s="11">
        <f t="shared" si="142"/>
        <v>15.4</v>
      </c>
      <c r="MX19" s="11">
        <f t="shared" si="143"/>
        <v>45.6</v>
      </c>
      <c r="MY19" s="11">
        <f t="shared" si="144"/>
        <v>45.6</v>
      </c>
      <c r="MZ19" s="11" t="str">
        <f t="shared" si="145"/>
        <v/>
      </c>
      <c r="NA19" s="11" t="str">
        <f t="shared" si="146"/>
        <v/>
      </c>
      <c r="NB19" s="11" t="str">
        <f t="shared" si="147"/>
        <v/>
      </c>
      <c r="NC19" s="11" t="str">
        <f t="shared" si="148"/>
        <v/>
      </c>
      <c r="ND19" s="11" t="str">
        <f t="shared" si="149"/>
        <v/>
      </c>
      <c r="NE19" s="11" t="str">
        <f t="shared" si="150"/>
        <v/>
      </c>
      <c r="NF19" s="11">
        <f t="shared" si="151"/>
        <v>45.6</v>
      </c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36" t="str">
        <f t="shared" si="152"/>
        <v/>
      </c>
      <c r="OB19" s="36" t="str">
        <f t="shared" si="153"/>
        <v/>
      </c>
      <c r="OC19" s="36" t="str">
        <f t="shared" si="154"/>
        <v/>
      </c>
      <c r="OD19" s="36" t="str">
        <f t="shared" si="155"/>
        <v/>
      </c>
      <c r="OE19" s="36" t="str">
        <f t="shared" si="156"/>
        <v/>
      </c>
      <c r="OF19" s="36" t="str">
        <f t="shared" si="157"/>
        <v/>
      </c>
      <c r="OG19" s="36" t="str">
        <f t="shared" si="158"/>
        <v/>
      </c>
      <c r="OH19" s="36" t="str">
        <f t="shared" si="159"/>
        <v/>
      </c>
      <c r="OI19" s="36" t="str">
        <f t="shared" si="160"/>
        <v/>
      </c>
      <c r="OJ19" s="36" t="str">
        <f t="shared" si="161"/>
        <v/>
      </c>
      <c r="OK19" s="36" t="str">
        <f t="shared" si="162"/>
        <v/>
      </c>
      <c r="OL19" s="36" t="str">
        <f t="shared" si="163"/>
        <v/>
      </c>
      <c r="OM19" s="36" t="str">
        <f t="shared" si="164"/>
        <v/>
      </c>
      <c r="ON19" s="36" t="str">
        <f t="shared" si="165"/>
        <v/>
      </c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1" t="str">
        <f t="shared" si="166"/>
        <v/>
      </c>
      <c r="PJ19" s="11" t="str">
        <f t="shared" si="167"/>
        <v/>
      </c>
      <c r="PK19" s="11" t="str">
        <f t="shared" si="168"/>
        <v/>
      </c>
      <c r="PL19" s="11" t="str">
        <f t="shared" si="169"/>
        <v/>
      </c>
      <c r="PM19" s="11" t="str">
        <f t="shared" si="170"/>
        <v/>
      </c>
      <c r="PN19" s="11" t="str">
        <f t="shared" si="171"/>
        <v/>
      </c>
      <c r="PO19" s="11" t="str">
        <f t="shared" si="172"/>
        <v/>
      </c>
      <c r="PP19" s="11" t="str">
        <f t="shared" si="173"/>
        <v/>
      </c>
      <c r="PQ19" s="11" t="str">
        <f t="shared" si="174"/>
        <v/>
      </c>
      <c r="PR19" s="11" t="str">
        <f t="shared" si="175"/>
        <v/>
      </c>
      <c r="PS19" s="11" t="str">
        <f t="shared" si="176"/>
        <v/>
      </c>
      <c r="PT19" s="11" t="str">
        <f t="shared" si="177"/>
        <v/>
      </c>
      <c r="PU19" s="11" t="str">
        <f t="shared" si="178"/>
        <v/>
      </c>
      <c r="PV19" s="11" t="str">
        <f t="shared" si="179"/>
        <v/>
      </c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36" t="str">
        <f t="shared" si="180"/>
        <v/>
      </c>
      <c r="QR19" s="36" t="str">
        <f t="shared" si="181"/>
        <v/>
      </c>
      <c r="QS19" s="36" t="str">
        <f t="shared" si="182"/>
        <v/>
      </c>
      <c r="QT19" s="36" t="str">
        <f t="shared" si="183"/>
        <v/>
      </c>
      <c r="QU19" s="36" t="str">
        <f t="shared" si="184"/>
        <v/>
      </c>
      <c r="QV19" s="36" t="str">
        <f t="shared" si="185"/>
        <v/>
      </c>
      <c r="QW19" s="36" t="str">
        <f t="shared" si="186"/>
        <v/>
      </c>
      <c r="QX19" s="36" t="str">
        <f t="shared" si="187"/>
        <v/>
      </c>
      <c r="QY19" s="36" t="str">
        <f t="shared" si="188"/>
        <v/>
      </c>
      <c r="QZ19" s="36" t="str">
        <f t="shared" si="189"/>
        <v/>
      </c>
      <c r="RA19" s="36" t="str">
        <f t="shared" si="190"/>
        <v/>
      </c>
      <c r="RB19" s="36" t="str">
        <f t="shared" si="191"/>
        <v/>
      </c>
      <c r="RC19" s="36" t="str">
        <f t="shared" si="192"/>
        <v/>
      </c>
      <c r="RD19" s="36" t="str">
        <f t="shared" si="193"/>
        <v/>
      </c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1" t="str">
        <f t="shared" si="194"/>
        <v/>
      </c>
      <c r="RZ19" s="11" t="str">
        <f t="shared" si="195"/>
        <v/>
      </c>
      <c r="SA19" s="11" t="str">
        <f t="shared" si="196"/>
        <v/>
      </c>
      <c r="SB19" s="11" t="str">
        <f t="shared" si="197"/>
        <v/>
      </c>
      <c r="SC19" s="11" t="str">
        <f t="shared" si="198"/>
        <v/>
      </c>
      <c r="SD19" s="11" t="str">
        <f t="shared" si="199"/>
        <v/>
      </c>
      <c r="SE19" s="11" t="str">
        <f t="shared" si="200"/>
        <v/>
      </c>
      <c r="SF19" s="11" t="str">
        <f t="shared" si="201"/>
        <v/>
      </c>
      <c r="SG19" s="11" t="str">
        <f t="shared" si="202"/>
        <v/>
      </c>
      <c r="SH19" s="11" t="str">
        <f t="shared" si="203"/>
        <v/>
      </c>
      <c r="SI19" s="11" t="str">
        <f t="shared" si="204"/>
        <v/>
      </c>
      <c r="SJ19" s="11" t="str">
        <f t="shared" si="205"/>
        <v/>
      </c>
      <c r="SK19" s="11" t="str">
        <f t="shared" si="206"/>
        <v/>
      </c>
      <c r="SL19" s="11" t="str">
        <f t="shared" si="207"/>
        <v/>
      </c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36" t="str">
        <f t="shared" si="208"/>
        <v/>
      </c>
      <c r="TH19" s="36" t="str">
        <f t="shared" si="209"/>
        <v/>
      </c>
      <c r="TI19" s="36" t="str">
        <f t="shared" si="210"/>
        <v/>
      </c>
      <c r="TJ19" s="36" t="str">
        <f t="shared" si="211"/>
        <v/>
      </c>
      <c r="TK19" s="36" t="str">
        <f t="shared" si="212"/>
        <v/>
      </c>
      <c r="TL19" s="36" t="str">
        <f t="shared" si="213"/>
        <v/>
      </c>
      <c r="TM19" s="36" t="str">
        <f t="shared" si="214"/>
        <v/>
      </c>
      <c r="TN19" s="36" t="str">
        <f t="shared" si="215"/>
        <v/>
      </c>
      <c r="TO19" s="36" t="str">
        <f t="shared" si="216"/>
        <v/>
      </c>
      <c r="TP19" s="36" t="str">
        <f t="shared" si="217"/>
        <v/>
      </c>
      <c r="TQ19" s="36" t="str">
        <f t="shared" si="218"/>
        <v/>
      </c>
      <c r="TR19" s="36" t="str">
        <f t="shared" si="219"/>
        <v/>
      </c>
      <c r="TS19" s="36" t="str">
        <f t="shared" si="220"/>
        <v/>
      </c>
      <c r="TT19" s="36" t="str">
        <f t="shared" si="221"/>
        <v/>
      </c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1" t="str">
        <f t="shared" si="222"/>
        <v/>
      </c>
      <c r="UP19" s="11" t="str">
        <f t="shared" si="223"/>
        <v/>
      </c>
      <c r="UQ19" s="11" t="str">
        <f t="shared" si="224"/>
        <v/>
      </c>
      <c r="UR19" s="11" t="str">
        <f t="shared" si="225"/>
        <v/>
      </c>
      <c r="US19" s="11" t="str">
        <f t="shared" si="226"/>
        <v/>
      </c>
      <c r="UT19" s="11" t="str">
        <f t="shared" si="227"/>
        <v/>
      </c>
      <c r="UU19" s="11" t="str">
        <f t="shared" si="228"/>
        <v/>
      </c>
      <c r="UV19" s="11" t="str">
        <f t="shared" si="229"/>
        <v/>
      </c>
      <c r="UW19" s="11" t="str">
        <f t="shared" si="230"/>
        <v/>
      </c>
      <c r="UX19" s="11" t="str">
        <f t="shared" si="231"/>
        <v/>
      </c>
      <c r="UY19" s="11" t="str">
        <f t="shared" si="232"/>
        <v/>
      </c>
      <c r="UZ19" s="11" t="str">
        <f t="shared" si="233"/>
        <v/>
      </c>
      <c r="VA19" s="11" t="str">
        <f t="shared" si="234"/>
        <v/>
      </c>
      <c r="VB19" s="11" t="str">
        <f t="shared" si="235"/>
        <v/>
      </c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36" t="str">
        <f t="shared" si="236"/>
        <v/>
      </c>
      <c r="VX19" s="36" t="str">
        <f t="shared" si="237"/>
        <v/>
      </c>
      <c r="VY19" s="36" t="str">
        <f t="shared" si="238"/>
        <v/>
      </c>
      <c r="VZ19" s="36" t="str">
        <f t="shared" si="239"/>
        <v/>
      </c>
      <c r="WA19" s="36" t="str">
        <f t="shared" si="240"/>
        <v/>
      </c>
      <c r="WB19" s="36" t="str">
        <f t="shared" si="241"/>
        <v/>
      </c>
      <c r="WC19" s="36" t="str">
        <f t="shared" si="242"/>
        <v/>
      </c>
      <c r="WD19" s="36" t="str">
        <f t="shared" si="243"/>
        <v/>
      </c>
      <c r="WE19" s="36" t="str">
        <f t="shared" si="244"/>
        <v/>
      </c>
      <c r="WF19" s="36" t="str">
        <f t="shared" si="245"/>
        <v/>
      </c>
      <c r="WG19" s="36" t="str">
        <f t="shared" si="246"/>
        <v/>
      </c>
      <c r="WH19" s="36" t="str">
        <f t="shared" si="247"/>
        <v/>
      </c>
      <c r="WI19" s="36" t="str">
        <f t="shared" si="248"/>
        <v/>
      </c>
      <c r="WJ19" s="36" t="str">
        <f t="shared" si="249"/>
        <v/>
      </c>
    </row>
    <row r="20" spans="1:608" x14ac:dyDescent="0.2">
      <c r="A20" s="4" t="str" cm="1">
        <f t="array" ref="A20">IF(AND(H20&lt;&gt;"",H20&lt;&gt;"No DD",I20&lt;&gt;"P"),SUMPRODUCT((H$4:H$28&lt;&gt;"")*(H$4:H$28&lt;&gt;"No DD")*(I$4:I$28&lt;&gt;"P")*(E$4:E$28&gt;E20))+1,IF(H20="No DD",SUMPRODUCT((H$4:H$28="No DD")*(I$4:I$28&lt;&gt;"P")*(E$4:E$28&gt;E20))+1+SUMPRODUCT((H$4:H$28&lt;&gt;"")*(I$4:I$28&lt;&gt;"P")*(H$4:H$28&lt;&gt;"No DD")),""))</f>
        <v/>
      </c>
      <c r="B20" s="5" t="s">
        <v>193</v>
      </c>
      <c r="C20" s="4" t="s">
        <v>5</v>
      </c>
      <c r="D20" s="4">
        <v>2005</v>
      </c>
      <c r="E20" s="9">
        <f t="shared" si="0"/>
        <v>96.390009639004958</v>
      </c>
      <c r="F20" s="3" t="str">
        <f>IF(OR(AND(AG20&gt;=AQ$30,AG20&lt;&gt;"",AI20&gt;=AQ$34,AI20&lt;&gt;"",AF20=""),AND(AJ20&gt;=AQ$30,AJ20&lt;&gt;"",AL20&gt;=AQ$34,AL20&lt;&gt;"",AF20=""),AND(AN20&gt;=AQ$30,AN20&lt;&gt;"",AP20&gt;=AQ$34,AP20&lt;&gt;"",AF20=""),AND(BH20&gt;=BR$30,BH20&lt;&gt;"",BJ20&gt;=BR$34,BJ20&lt;&gt;"",BG20=""),AND(BK20&gt;=BR$30,BK20&lt;&gt;"",BM20&gt;=BR$34,BM20&lt;&gt;"",BG20=""),AND(BO20&gt;=BR$30,BO20&lt;&gt;"",BQ20&gt;=BR$34,BQ20&lt;&gt;"",BG20=""),AND(CI20&gt;=CS$30,CI20&lt;&gt;"",CK20&gt;=CS$34,CK20&lt;&gt;"",CH20=""),AND(CL20&gt;=CS$30,CL20&lt;&gt;"",CN20&gt;=CS$34,CN20&lt;&gt;"",CH20=""),AND(CP20&gt;=CS$30,CP20&lt;&gt;"",CR20&gt;=CS$34,CR20&lt;&gt;"",CH20=""),AND(DO20&gt;=EB$30,DO20&lt;&gt;"",DQ20&gt;=EB$34,DQ20&lt;&gt;""),AND(DR20&gt;=EB$30,DR20&lt;&gt;"",DT20&gt;=EB$34,DT20&lt;&gt;""),AND(DV20&gt;=EB$30,DV20&lt;&gt;"",DX20&gt;=EB$34,DX20&lt;&gt;""),AND(DY20&gt;=EB$30,DY20&lt;&gt;"",EA20&gt;=EB$34,EA20&lt;&gt;""),AND(EW20&gt;=FJ$30,EW20&lt;&gt;"",EY20&gt;=FJ$34,EY20&lt;&gt;""),AND(EZ20&gt;=FJ$30,EZ20&lt;&gt;"",FB20&gt;=FJ$34,FB20&lt;&gt;""),AND(FD20&gt;=FJ$30,FD20&lt;&gt;"",FF20&gt;=FJ$34,FF20&lt;&gt;""),AND(FG20&gt;=FJ$30,FG20&lt;&gt;"",FI20&gt;=FJ$34,FI20&lt;&gt;""),AND(GE20&gt;=GR$30,GE20&lt;&gt;"",GG20&gt;=GR$34,GG20&lt;&gt;""),AND(GH20&gt;=GR$30,GH20&lt;&gt;"",GJ20&gt;=GR$34,GJ20&lt;&gt;""),AND(GL20&gt;=GR$30,GL20&lt;&gt;"",GN20&gt;=GR$34,GN20&lt;&gt;""),AND(GO20&gt;=GR$30,GO20&lt;&gt;"",GQ20&gt;=GR$34,GQ20&lt;&gt;""),AND(HM20&gt;=HZ$30,HM20&lt;&gt;"",HO20&gt;=HZ$34,HO20&lt;&gt;""),AND(HP20&gt;=HZ$30,HP20&lt;&gt;"",HR20&gt;=HZ$34,HR20&lt;&gt;""),AND(HT20&gt;=HZ$30,HT20&lt;&gt;"",HV20&gt;=HZ$34,HV20&lt;&gt;""),AND(HW20&gt;=HZ$30,HW20&lt;&gt;"",HY20&gt;=HZ$34,HY20&lt;&gt;""),AND(IU20&gt;=JH$30,IU20&lt;&gt;"",IW20&gt;=JH$34,IW20&lt;&gt;""),AND(IX20&gt;=JH$30,IX20&lt;&gt;"",IZ20&gt;=JH$34,IZ20&lt;&gt;""),AND(JB20&gt;=JH$30,JB20&lt;&gt;"",JD20&gt;=JH$34,JD20&lt;&gt;""),AND(JE20&gt;=JH$30,JE20&lt;&gt;"",JG20&gt;=JH$34,JG20&lt;&gt;""),AND(KC20&gt;=KP$30,KC20&lt;&gt;"",KE20&gt;=KP$34,KE20&lt;&gt;""),AND(KF20&gt;=KP$30,KF20&lt;&gt;"",KH20&gt;=KP$34,KH20&lt;&gt;""),AND(KJ20&gt;=KP$30,KJ20&lt;&gt;"",KL20&gt;=KP$34,KL20&lt;&gt;""),AND(KM20&gt;=KP$30,KM20&lt;&gt;"",KO20&gt;=KP$34,KO20&lt;&gt;""),AND(LK20&gt;=LX$30,LK20&lt;&gt;"",LM20&gt;=LX$34,LM20&lt;&gt;""),AND(LN20&gt;=LX$30,LN20&lt;&gt;"",LP20&gt;=LX$34,LP20&lt;&gt;""),AND(LR20&gt;=LX$30,LR20&lt;&gt;"",LT20&gt;=LX$34,LT20&lt;&gt;""),AND(LU20&gt;=LX$30,LU20&lt;&gt;"",LW20&gt;=LX$34,LW20&lt;&gt;""),AND(MS20&gt;=NF$30,MS20&lt;&gt;"",MU20&gt;=NF$34,MU20&lt;&gt;""),AND(MV20&gt;=NF$30,MV20&lt;&gt;"",MX20&gt;=NF$34,MX20&lt;&gt;""),AND(MZ20&gt;=NF$30,MZ20&lt;&gt;"",NB20&gt;=NF$34,NB20&lt;&gt;""),AND(NC20&gt;=NF$30,NC20&lt;&gt;"",NE20&gt;=NF$34,NE20&lt;&gt;""),AND(OA20&gt;=ON$30,OA20&lt;&gt;"",OC20&gt;=ON$34,OC20&lt;&gt;""),AND(OD20&gt;=ON$30,OD20&lt;&gt;"",OF20&gt;=ON$34,OF20&lt;&gt;""),AND(OH20&gt;=ON$30,OH20&lt;&gt;"",OJ20&gt;=ON$34,OJ20&lt;&gt;""),AND(OK20&gt;=ON$30,OK20&lt;&gt;"",OM20&gt;=ON$34,OM20&lt;&gt;""),AND(PI20&gt;=PV$30,PI20&lt;&gt;"",PK20&gt;=PV$34,PK20&lt;&gt;""),AND(PL20&gt;=PV$30,PL20&lt;&gt;"",PN20&gt;=PV$34,PN20&lt;&gt;""),AND(PP20&gt;=PV$30,PP20&lt;&gt;"",PR20&gt;=PV$34,PR20&lt;&gt;""),AND(PS20&gt;=PV$30,PS20&lt;&gt;"",PU20&gt;=PV$34,PU20&lt;&gt;""),AND(QQ20&gt;=RD$30,QQ20&lt;&gt;"",QS20&gt;=RD$34,QS20&lt;&gt;""),AND(QT20&gt;=RD$30,QT20&lt;&gt;"",QV20&gt;=RD$34,QV20&lt;&gt;""),AND(QX20&gt;=RD$30,QX20&lt;&gt;"",QZ20&gt;=RD$34,QZ20&lt;&gt;""),AND(RA20&gt;=RD$30,RA20&lt;&gt;"",RC20&gt;=RD$34,RC20&lt;&gt;""),AND(RY20&gt;=SL$30,RY20&lt;&gt;"",SA20&gt;=SL$34,SA20&lt;&gt;""),AND(SB20&gt;=SL$30,SB20&lt;&gt;"",SD20&gt;=SL$34,SD20&lt;&gt;""),AND(SF20&gt;=SL$30,SF20&lt;&gt;"",SH20&gt;=SL$34,SH20&lt;&gt;""),AND(SI20&gt;=SL$30,SI20&lt;&gt;"",SK20&gt;=SL$34,SK20&lt;&gt;""),AND(TG20&gt;=TT$30,TG20&lt;&gt;"",TI20&gt;=TT$34,TI20&lt;&gt;""),AND(TJ20&gt;=TT$30,TJ20&lt;&gt;"",TL20&gt;=TT$34,TL20&lt;&gt;""),AND(TN20&gt;=TT$30,TN20&lt;&gt;"",TP20&gt;=TT$34,TXN20&lt;&gt;""),AND(TQ20&gt;=TT$30,TQ20&lt;&gt;"",TS20&gt;=TT$34,TS20&lt;&gt;""),AND(UO20&gt;=VB$30,UO20&lt;&gt;"",UQ20&gt;=VB$34,UQ20&lt;&gt;""),AND(UR20&gt;=VB$30,UR20&lt;&gt;"",UT20&gt;=VB$34,UT20&lt;&gt;""),AND(UV20&gt;=VB$30,UV20&lt;&gt;"",UX20&gt;=VB$34,UX20&lt;&gt;""),AND(UY20&gt;=VB$30,UY20&lt;&gt;"",VA20&gt;=VB$34,VA20&lt;&gt;""),AND(VW20&gt;=WJ$30,VW20&lt;&gt;"",VY20&gt;=WJ$34,VY20&lt;&gt;""),AND(VZ20&gt;=WJ$30,VZ20&lt;&gt;"",WB20&gt;=WJ$34,WB20&lt;&gt;""),AND(WD20&gt;=WJ$30,WD20&lt;&gt;"",WF20&gt;=WJ$34,WF20&lt;&gt;""),AND(WG20&gt;=WJ$30,WG20&lt;&gt;"",WI20&gt;=WJ$34,WI20&lt;&gt;"")),"P","")</f>
        <v/>
      </c>
      <c r="G20" s="3" t="str">
        <f>IF(OR(AND(AI20&gt;=AQ$34,AI20&lt;&gt;"",AF20=""),AND(AL20&gt;=AQ$34,AL20&lt;&gt;"",AF20=""),AND(AP20&gt;=AQ$34,AP20&lt;&gt;"",AF20=""),AND(BJ20&gt;=BR$34,BJ20&lt;&gt;"",BG20=""),AND(BM20&gt;=BR$34,BM20&lt;&gt;"",BG20=""),AND(BQ20&gt;=BR$34,BQ20&lt;&gt;"",BG20=""),AND(CK20&gt;=CS$34,CK20&lt;&gt;"",CH20=""),AND(CN20&gt;=CS$34,CN20&lt;&gt;"",CH20=""),AND(CR20&gt;=CS$34,CR20&lt;&gt;"",CH20=""),AND(DQ20&gt;=EB$34,DQ20&lt;&gt;""),AND(DT20&gt;=EB$34,DT20&lt;&gt;""),AND(DX20&gt;=EB$34,DX20&lt;&gt;""),AND(EA20&gt;=EB$34,EA20&lt;&gt;""),AND(EY20&gt;=FJ$34,EY20&lt;&gt;""),AND(FB20&gt;=FJ$34,FB20&lt;&gt;""),AND(FF20&gt;=FJ$34,FF20&lt;&gt;""),AND(FI20&gt;=FJ$34,FI20&lt;&gt;""),AND(GG20&gt;=GR$34,GG20&lt;&gt;""),AND(GJ20&gt;=GR$34,GJ20&lt;&gt;""),AND(GN20&gt;=GR$34,GN20&lt;&gt;""),AND(GQ20&gt;=GR$34,GQ20&lt;&gt;""),AND(HO20&gt;=HZ$34,HO20&lt;&gt;""),AND(HR20&gt;=HZ$34,HR20&lt;&gt;""),AND(HV20&gt;=HZ$34,HV20&lt;&gt;""),AND(HY20&gt;=HZ$34,HY20&lt;&gt;""),AND(IW20&gt;=JH$34,IW20&lt;&gt;""),AND(IZ20&gt;=JH$34,IZ20&lt;&gt;""),AND(JD20&gt;=JH$34,JD20&lt;&gt;""),AND(JG20&gt;=JH$34,JG20&lt;&gt;""),AND(KE20&gt;=KP$34,KE20&lt;&gt;""),AND(KH20&gt;=KP$34,KH20&lt;&gt;""),AND(KL20&gt;=KP$34,KL20&lt;&gt;""),AND(KO20&gt;=KP$34,KO20&lt;&gt;""),AND(LM20&gt;=LX$34,LM20&lt;&gt;""),AND(LP20&gt;=LX$34,LP20&lt;&gt;""),AND(LT20&gt;=LX$34,LT20&lt;&gt;""),AND(LW20&gt;=LX$34,LW20&lt;&gt;""),AND(MU20&gt;=NF$34,MU20&lt;&gt;""),AND(MX20&gt;=NF$34,MX20&lt;&gt;""),AND(NB20&gt;=NF$34,NB20&lt;&gt;""),AND(NE20&gt;=NF$34,NE20&lt;&gt;""),AND(OC20&gt;=ON$34,OC20&lt;&gt;""),AND(OF20&gt;=ON$34,OF20&lt;&gt;""),AND(OJ20&gt;=ON$34,OJ20&lt;&gt;""),AND(OM20&gt;=ON$34,OM20&lt;&gt;""),AND(PK20&gt;=PV$34,PK20&lt;&gt;""),AND(PN20&gt;=PV$34,PN20&lt;&gt;""),AND(PR20&gt;=PV$34,PR20&lt;&gt;""),AND(PU20&gt;=PV$34,PU20&lt;&gt;""),AND(QS20&gt;=RD$34,QS20&lt;&gt;""),AND(QV20&gt;=RD$34,QV20&lt;&gt;""),AND(QZ20&gt;=RD$34,QZ20&lt;&gt;""),AND(RC20&gt;=RD$34,RC20&lt;&gt;""),AND(SA20&gt;=SL$34,SA20&lt;&gt;""),AND(SD20&gt;=SL$34,SD20&lt;&gt;""),AND(SH20&gt;=SL$34,SH20&lt;&gt;""),AND(SK20&gt;=SL$34,SK20&lt;&gt;""),AND(TI20&gt;=TT$34,TI20&lt;&gt;""),AND(TL20&gt;=TT$34,TL20&lt;&gt;""),AND(TP20&gt;=TT$34,TXN20&lt;&gt;""),AND(TS20&gt;=TT$34,TS20&lt;&gt;""),AND(UQ20&gt;=VB$34,UQ20&lt;&gt;""),AND(UT20&gt;=VB$34,UT20&lt;&gt;""),AND(UX20&gt;=VB$34,UX20&lt;&gt;""),AND(VA20&gt;=VB$34,VA20&lt;&gt;""),AND(VY20&gt;=WJ$34,VY20&lt;&gt;""),AND(WB20&gt;=WJ$34,WB20&lt;&gt;""),AND(WF20&gt;=WJ$34,WF20&lt;&gt;""),AND(WI20&gt;=WJ$34,WI20&lt;&gt;"")),"P","")</f>
        <v/>
      </c>
      <c r="H20" s="32" t="str">
        <f>IF(AND(G20="P",F20=""),"No DD",IF(OR(AND(AG20&gt;=AQ$33,AG20&lt;&gt;"",AI20&gt;=AQ$37,AI20&lt;&gt;"",AF20=""),AND(AJ20&gt;=AQ$33,AJ20&lt;&gt;"",AL20&gt;=AQ$37,AL20&lt;&gt;"",AF20=""),AND(AN20&gt;=AQ$33,AN20&lt;&gt;"",AP20&gt;=AQ$37,AP20&lt;&gt;"",AF20=""),AND(BH20&gt;=BR$33,BH20&lt;&gt;"",BJ20&gt;=BR$37,BJ20&lt;&gt;"",BG20=""),AND(BK20&gt;=BR$33,BK20&lt;&gt;"",BM20&gt;=BR$37,BM20&lt;&gt;"",BG20=""),AND(BO20&gt;=BR$33,BO20&lt;&gt;"",BQ20&gt;=BR$37,BQ20&lt;&gt;"",BG20=""),AND(CI20&gt;=CS$33,CI20&lt;&gt;"",CK20&gt;=CS$37,CK20&lt;&gt;"",CH20=""),AND(CL20&gt;=CS$33,CL20&lt;&gt;"",CN20&gt;=CS$37,CN20&lt;&gt;"",CH20=""),AND(CP20&gt;=CS$33,CP20&lt;&gt;"",CR20&gt;=CS$37,CR20&lt;&gt;"",CH20=""),AND(DO20&gt;=EB$33,DO20&lt;&gt;"",DQ20&gt;=EB$37,DQ20&lt;&gt;""),AND(DR20&gt;=EB$33,DR20&lt;&gt;"",DT20&gt;=EB$37,DT20&lt;&gt;""),AND(DV20&gt;=EB$33,DV20&lt;&gt;"",DX20&gt;=EB$37,DX20&lt;&gt;""),AND(DY20&gt;=EB$33,DY20&lt;&gt;"",EA20&gt;=EB$37,EA20&lt;&gt;""),AND(EW20&gt;=FJ$33,EW20&lt;&gt;"",EY20&gt;=FJ$37,EY20&lt;&gt;""),AND(EZ20&gt;=FJ$33,EZ20&lt;&gt;"",FB20&gt;=FJ$37,FB20&lt;&gt;""),AND(FD20&gt;=FJ$33,FD20&lt;&gt;"",FF20&gt;=FJ$37,FF20&lt;&gt;""),AND(FG20&gt;=FJ$33,FG20&lt;&gt;"",FI20&gt;=FJ$37,FI20&lt;&gt;""),AND(GE20&gt;=GR$33,GE20&lt;&gt;"",GG20&gt;=GR$37,GG20&lt;&gt;""),AND(GH20&gt;=GR$33,GH20&lt;&gt;"",GJ20&gt;=GR$37,GJ20&lt;&gt;""),AND(GL20&gt;=GR$33,GL20&lt;&gt;"",GN20&gt;=GR$37,GN20&lt;&gt;""),AND(GO20&gt;=GR$33,GO20&lt;&gt;"",GQ20&gt;=GR$37,GQ20&lt;&gt;""),AND(HM20&gt;=HZ$33,HM20&lt;&gt;"",HO20&gt;=HZ$37,HO20&lt;&gt;""),AND(HP20&gt;=HZ$33,HP20&lt;&gt;"",HR20&gt;=HZ$37,HR20&lt;&gt;""),AND(HT20&gt;=HZ$33,HT20&lt;&gt;"",HV20&gt;=HZ$37,HV20&lt;&gt;""),AND(HW20&gt;=HZ$33,HW20&lt;&gt;"",HY20&gt;=HZ$37,HY20&lt;&gt;""),AND(IU20&gt;=JH$33,IU20&lt;&gt;"",IW20&gt;=JH$37,IW20&lt;&gt;""),AND(IX20&gt;=JH$33,IX20&lt;&gt;"",IZ20&gt;=JH$37,IZ20&lt;&gt;""),AND(JB20&gt;=JH$33,JB20&lt;&gt;"",JD20&gt;=JH$37,JD20&lt;&gt;""),AND(JE20&gt;=JH$33,JE20&lt;&gt;"",JG20&gt;=JH$37,JG20&lt;&gt;""),AND(KC20&gt;=KP$33,KC20&lt;&gt;"",KE20&gt;=KP$37,KE20&lt;&gt;""),AND(KF20&gt;=KP$33,KF20&lt;&gt;"",KH20&gt;=KP$37,KH20&lt;&gt;""),AND(KJ20&gt;=KP$33,KJ20&lt;&gt;"",KL20&gt;=KP$37,KL20&lt;&gt;""),AND(KM20&gt;=KP$33,KM20&lt;&gt;"",KO20&gt;=KP$37,KO20&lt;&gt;""),AND(LK20&gt;=LX$33,LK20&lt;&gt;"",LM20&gt;=LX$37,LM20&lt;&gt;""),AND(LN20&gt;=LX$33,LN20&lt;&gt;"",LP20&gt;=LX$37,LP20&lt;&gt;""),AND(LR20&gt;=LX$33,LR20&lt;&gt;"",LT20&gt;=LX$37,LT20&lt;&gt;""),AND(LU20&gt;=LX$33,LU20&lt;&gt;"",LW20&gt;=LX$37,LW20&lt;&gt;""),AND(MS20&gt;=NF$33,MS20&lt;&gt;"",MU20&gt;=NF$37,MU20&lt;&gt;""),AND(MV20&gt;=NF$33,MV20&lt;&gt;"",MX20&gt;=NF$37,MX20&lt;&gt;""),AND(MZ20&gt;=NF$33,MZ20&lt;&gt;"",NB20&gt;=NF$37,NB20&lt;&gt;""),AND(NC20&gt;=NF$33,NC20&lt;&gt;"",NE20&gt;=NF$37,NE20&lt;&gt;""),AND(OA20&gt;=ON$33,OA20&lt;&gt;"",OC20&gt;=ON$37,OC20&lt;&gt;""),AND(OD20&gt;=ON$33,OD20&lt;&gt;"",OF20&gt;=ON$37,OF20&lt;&gt;""),AND(OH20&gt;=ON$33,OH20&lt;&gt;"",OJ20&gt;=ON$37,OJ20&lt;&gt;""),AND(OK20&gt;=ON$33,OK20&lt;&gt;"",OM20&gt;=ON$37,OM20&lt;&gt;""),AND(PI20&gt;=PV$33,PI20&lt;&gt;"",PK20&gt;=PV$37,PK20&lt;&gt;""),AND(PL20&gt;=PV$33,PL20&lt;&gt;"",PN20&gt;=PV$37,PN20&lt;&gt;""),AND(PP20&gt;=PV$33,PP20&lt;&gt;"",PR20&gt;=PV$37,PR20&lt;&gt;""),AND(PS20&gt;=PV$33,PS20&lt;&gt;"",PU20&gt;=PV$37,PU20&lt;&gt;""),AND(QQ20&gt;=RD$33,QQ20&lt;&gt;"",QS20&gt;=RD$37,QS20&lt;&gt;""),AND(QT20&gt;=RD$33,QT20&lt;&gt;"",QV20&gt;=RD$37,QV20&lt;&gt;""),AND(QX20&gt;=RD$33,QX20&lt;&gt;"",QZ20&gt;=RD$37,QZ20&lt;&gt;""),AND(RA20&gt;=RD$33,RA20&lt;&gt;"",RC20&gt;=RD$37,RC20&lt;&gt;""),AND(RY20&gt;=SL$33,RY20&lt;&gt;"",SA20&gt;=SL$37,SA20&lt;&gt;""),AND(SB20&gt;=SL$33,SB20&lt;&gt;"",SD20&gt;=SL$37,SD20&lt;&gt;""),AND(SF20&gt;=SL$33,SF20&lt;&gt;"",SH20&gt;=SL$37,SH20&lt;&gt;""),AND(SI20&gt;=SL$33,SI20&lt;&gt;"",SK20&gt;=SL$37,SK20&lt;&gt;""),AND(TG20&gt;=TT$33,TG20&lt;&gt;"",TI20&gt;=TT$37,TI20&lt;&gt;""),AND(TJ20&gt;=TT$33,TJ20&lt;&gt;"",TL20&gt;=TT$37,TL20&lt;&gt;""),AND(TN20&gt;=TT$33,TN20&lt;&gt;"",TP20&gt;=TT$357,TXN20&lt;&gt;""),AND(TQ20&gt;=TT$33,TQ20&lt;&gt;"",TS20&gt;=TT$37,TS20&lt;&gt;""),AND(UO20&gt;=VB$33,UO20&lt;&gt;"",UQ20&gt;=VB$37,UQ20&lt;&gt;""),AND(UR20&gt;=VB$33,UR20&lt;&gt;"",UT20&gt;=VB$37,UT20&lt;&gt;""),AND(UV20&gt;=VB$33,UV20&lt;&gt;"",UX20&gt;=VB$37,UX20&lt;&gt;""),AND(UY20&gt;=VB$33,UY20&lt;&gt;"",VA20&gt;=VB$37,VA20&lt;&gt;""),AND(VW20&gt;=WJ$33,VW20&lt;&gt;"",VY20&gt;=WJ$37,VY20&lt;&gt;""),AND(VZ20&gt;=WJ$33,VZ20&lt;&gt;"",WB20&gt;=WJ$37,WB20&lt;&gt;""),AND(WD20&gt;=WJ$33,WD20&lt;&gt;"",WF20&gt;=WJ$37,WF20&lt;&gt;""),AND(WG20&gt;=WJ$33,WG20&lt;&gt;"",WI20&gt;=WJ$37,WI20&lt;&gt;"")),"Merit",IF(OR(AND(AG20&gt;=AQ$32,AG20&lt;&gt;"",AI20&gt;=AQ$36,AI20&lt;&gt;"",AF20=""),AND(AJ20&gt;=AQ$32,AJ20&lt;&gt;"",AL20&gt;=AQ$36,AL20&lt;&gt;"",AF20=""),AND(AN20&gt;=AQ$32,AN20&lt;&gt;"",AP20&gt;=AQ$36,AP20&lt;&gt;"",AF20=""),AND(BH20&gt;=BR$32,BH20&lt;&gt;"",BJ20&gt;=BR$36,BJ20&lt;&gt;"",BG20=""),AND(BK20&gt;=BR$32,BK20&lt;&gt;"",BM20&gt;=BR$36,BM20&lt;&gt;"",BG20=""),AND(BO20&gt;=BR$32,BO20&lt;&gt;"",BQ20&gt;=BR$36,BQ20&lt;&gt;"",BG20=""),AND(CI20&gt;=CS$32,CI20&lt;&gt;"",CK20&gt;=CS$36,CK20&lt;&gt;"",CH20=""),AND(CL20&gt;=CS$32,CL20&lt;&gt;"",CN20&gt;=CS$36,CN20&lt;&gt;"",CH20=""),AND(CP20&gt;=CS$32,CP20&lt;&gt;"",CR20&gt;=CS$36,CR20&lt;&gt;"",CH20=""),AND(DO20&gt;=EB$32,DO20&lt;&gt;"",DQ20&gt;=EB$36,DQ20&lt;&gt;""),AND(DR20&gt;=EB$32,DR20&lt;&gt;"",DT20&gt;=EB$36,DT20&lt;&gt;""),AND(DV20&gt;=EB$32,DV20&lt;&gt;"",DX20&gt;=EB$36,DX20&lt;&gt;""),AND(DY20&gt;=EB$32,DY20&lt;&gt;"",EA20&gt;=EB$36,EA20&lt;&gt;""),AND(EW20&gt;=FJ$32,EW20&lt;&gt;"",EY20&gt;=FJ$36,EY20&lt;&gt;""),AND(EZ20&gt;=FJ$32,EZ20&lt;&gt;"",FB20&gt;=FJ$36,FB20&lt;&gt;""),AND(FD20&gt;=FJ$32,FD20&lt;&gt;"",FF20&gt;=FJ$36,FF20&lt;&gt;""),AND(FG20&gt;=FJ$32,FG20&lt;&gt;"",FI20&gt;=FJ$36,FI20&lt;&gt;""),AND(GE20&gt;=GR$32,GE20&lt;&gt;"",GG20&gt;=GR$36,GG20&lt;&gt;""),AND(GH20&gt;=GR$32,GH20&lt;&gt;"",GJ20&gt;=GR$36,GJ20&lt;&gt;""),AND(GL20&gt;=GR$32,GL20&lt;&gt;"",GN20&gt;=GR$36,GN20&lt;&gt;""),AND(GO20&gt;=GR$32,GO20&lt;&gt;"",GQ20&gt;=GR$36,GQ20&lt;&gt;""),AND(HM20&gt;=HZ$32,HM20&lt;&gt;"",HO20&gt;=HZ$36,HO20&lt;&gt;""),AND(HP20&gt;=HZ$32,HP20&lt;&gt;"",HR20&gt;=HZ$36,HR20&lt;&gt;""),AND(HT20&gt;=HZ$32,HT20&lt;&gt;"",HV20&gt;=HZ$36,HV20&lt;&gt;""),AND(HW20&gt;=HZ$32,HW20&lt;&gt;"",HY20&gt;=HZ$36,HY20&lt;&gt;""),AND(IU20&gt;=JH$32,IU20&lt;&gt;"",IW20&gt;=JH$36,IW20&lt;&gt;""),AND(IX20&gt;=JH$32,IX20&lt;&gt;"",IZ20&gt;=JH$36,IZ20&lt;&gt;""),AND(JB20&gt;=JH$32,JB20&lt;&gt;"",JD20&gt;=JH$36,JD20&lt;&gt;""),AND(JE20&gt;=JH$32,JE20&lt;&gt;"",JG20&gt;=JH$36,JG20&lt;&gt;""),AND(KC20&gt;=KP$32,KC20&lt;&gt;"",KE20&gt;=KP$36,KE20&lt;&gt;""),AND(KF20&gt;=KP$32,KF20&lt;&gt;"",KH20&gt;=KP$36,KH20&lt;&gt;""),AND(KJ20&gt;=KP$32,KJ20&lt;&gt;"",KL20&gt;=KP$36,KL20&lt;&gt;""),AND(KM20&gt;=KP$32,KM20&lt;&gt;"",KO20&gt;=KP$36,KO20&lt;&gt;""),AND(LK20&gt;=LX$32,LK20&lt;&gt;"",LM20&gt;=LX$36,LM20&lt;&gt;""),AND(LN20&gt;=LX$32,LN20&lt;&gt;"",LP20&gt;=LX$36,LP20&lt;&gt;""),AND(LR20&gt;=LX$32,LR20&lt;&gt;"",LT20&gt;=LX$36,LT20&lt;&gt;""),AND(LU20&gt;=LX$32,LU20&lt;&gt;"",LW20&gt;=LX$36,LW20&lt;&gt;""),AND(MS20&gt;=NF$32,MS20&lt;&gt;"",MU20&gt;=NF$36,MU20&lt;&gt;""),AND(MV20&gt;=NF$32,MV20&lt;&gt;"",MX20&gt;=NF$36,MX20&lt;&gt;""),AND(MZ20&gt;=NF$32,MZ20&lt;&gt;"",NB20&gt;=NF$36,NB20&lt;&gt;""),AND(NC20&gt;=NF$32,NC20&lt;&gt;"",NE20&gt;=NF$36,NE20&lt;&gt;""),AND(OA20&gt;=ON$32,OA20&lt;&gt;"",OC20&gt;=ON$36,OC20&lt;&gt;""),AND(OD20&gt;=ON$32,OD20&lt;&gt;"",OF20&gt;=ON$36,OF20&lt;&gt;""),AND(OH20&gt;=ON$32,OH20&lt;&gt;"",OJ20&gt;=ON$36,OJ20&lt;&gt;""),AND(OK20&gt;=ON$32,OK20&lt;&gt;"",OM20&gt;=ON$36,OM20&lt;&gt;""),AND(PI20&gt;=PV$32,PI20&lt;&gt;"",PK20&gt;=PV$36,PK20&lt;&gt;""),AND(PL20&gt;=PV$32,PL20&lt;&gt;"",PN20&gt;=PV$36,PN20&lt;&gt;""),AND(PP20&gt;=PV$32,PP20&lt;&gt;"",PR20&gt;=PV$36,PR20&lt;&gt;""),AND(PS20&gt;=PV$32,PS20&lt;&gt;"",PU20&gt;=PV$36,PU20&lt;&gt;""),AND(QQ20&gt;=RD$32,QQ20&lt;&gt;"",QS20&gt;=RD$36,QS20&lt;&gt;""),AND(QT20&gt;=RD$32,QT20&lt;&gt;"",QV20&gt;=RD$36,QV20&lt;&gt;""),AND(QX20&gt;=RD$32,QX20&lt;&gt;"",QZ20&gt;=RD$36,QZ20&lt;&gt;""),AND(RA20&gt;=RD$32,RA20&lt;&gt;"",RC20&gt;=RD$36,RC20&lt;&gt;""),AND(RY20&gt;=SL$32,RY20&lt;&gt;"",SA20&gt;=SL$36,SA20&lt;&gt;""),AND(SB20&gt;=SL$32,SB20&lt;&gt;"",SD20&gt;=SL$36,SD20&lt;&gt;""),AND(SF20&gt;=SL$32,SF20&lt;&gt;"",SH20&gt;=SL$36,SH20&lt;&gt;""),AND(SI20&gt;=SL$32,SI20&lt;&gt;"",SK20&gt;=SL$36,SK20&lt;&gt;""),AND(TG20&gt;=TT$32,TG20&lt;&gt;"",TI20&gt;=TT$36,TI20&lt;&gt;""),AND(TJ20&gt;=TT$32,TJ20&lt;&gt;"",TL20&gt;=TT$36,TL20&lt;&gt;""),AND(TN20&gt;=TT$32,TN20&lt;&gt;"",TP20&gt;=TT$36,TXN20&lt;&gt;""),AND(TQ20&gt;=TT$32,TQ20&lt;&gt;"",TS20&gt;=TT$36,TS20&lt;&gt;""),AND(UO20&gt;=VB$32,UO20&lt;&gt;"",UQ20&gt;=VB$36,UQ20&lt;&gt;""),AND(UR20&gt;=VB$32,UR20&lt;&gt;"",UT20&gt;=VB$36,UT20&lt;&gt;""),AND(UV20&gt;=VB$32,UV20&lt;&gt;"",UX20&gt;=VB$36,UX20&lt;&gt;""),AND(UY20&gt;=VB$32,UY20&lt;&gt;"",VA20&gt;=VB$36,VA20&lt;&gt;""),AND(VW20&gt;=WJ$32,VW20&lt;&gt;"",VY20&gt;=WJ$36,VY20&lt;&gt;""),AND(VZ20&gt;=WJ$32,VZ20&lt;&gt;"",WB20&gt;=WJ$36,WB20&lt;&gt;""),AND(WD20&gt;=WJ$32,WD20&lt;&gt;"",WF20&gt;=WJ$36,WF20&lt;&gt;""),AND(WG20&gt;=WJ$32,WG20&lt;&gt;"",WI20&gt;=WJ$36,WI20&lt;&gt;"")),"Excellence",IF(I20="P","National Team",IF(F20="P","National Team","")))))</f>
        <v/>
      </c>
      <c r="I20" s="3" t="str">
        <f>IF(COUNTIFS('Senior-M'!B:B,B20,'Senior-M'!A:A,"&lt;9",'Senior-M'!H:H,"&lt;&gt;"&amp;"No DD"),"P","")</f>
        <v/>
      </c>
      <c r="J20" s="8">
        <f t="shared" si="1"/>
        <v>49.510000000000005</v>
      </c>
      <c r="K20" s="8" t="str">
        <f t="shared" si="2"/>
        <v>2026 Elite Canada</v>
      </c>
      <c r="L20" s="8">
        <f>IFERROR(LARGE((AI20,AL20,AP20,BJ20,BM20,BQ20,CK20,CN20,CR20),2),0)</f>
        <v>46.88</v>
      </c>
      <c r="M20" s="8" t="str">
        <f t="shared" si="3"/>
        <v>2026 Elite Canada</v>
      </c>
      <c r="N20" s="8">
        <f t="shared" si="4"/>
        <v>0</v>
      </c>
      <c r="O20" s="11" t="str">
        <f>IF(N20=0,"",IF(N20=CT20,"("&amp;CT$2&amp;")",IF(N20=#REF!,"("&amp;#REF!&amp;")")))</f>
        <v/>
      </c>
      <c r="P20" s="8" t="str">
        <f t="shared" si="5"/>
        <v/>
      </c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23"/>
      <c r="AG20" s="34" t="str">
        <f t="shared" si="6"/>
        <v/>
      </c>
      <c r="AH20" s="34" t="str">
        <f t="shared" si="7"/>
        <v/>
      </c>
      <c r="AI20" s="36" t="str">
        <f t="shared" si="8"/>
        <v/>
      </c>
      <c r="AJ20" s="36" t="str">
        <f t="shared" si="9"/>
        <v/>
      </c>
      <c r="AK20" s="36" t="str">
        <f t="shared" si="10"/>
        <v/>
      </c>
      <c r="AL20" s="36" t="str">
        <f t="shared" si="11"/>
        <v/>
      </c>
      <c r="AM20" s="36" t="str">
        <f t="shared" si="12"/>
        <v/>
      </c>
      <c r="AN20" s="36" t="str">
        <f t="shared" si="13"/>
        <v/>
      </c>
      <c r="AO20" s="36" t="str">
        <f t="shared" si="14"/>
        <v/>
      </c>
      <c r="AP20" s="36" t="str">
        <f t="shared" si="15"/>
        <v/>
      </c>
      <c r="AQ20" s="36" t="str">
        <f t="shared" si="16"/>
        <v/>
      </c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4"/>
      <c r="BH20" s="35" t="str">
        <f t="shared" si="17"/>
        <v/>
      </c>
      <c r="BI20" s="35" t="str">
        <f t="shared" si="18"/>
        <v/>
      </c>
      <c r="BJ20" s="11" t="str">
        <f t="shared" si="19"/>
        <v/>
      </c>
      <c r="BK20" s="11" t="str">
        <f t="shared" si="20"/>
        <v/>
      </c>
      <c r="BL20" s="11" t="str">
        <f t="shared" si="21"/>
        <v/>
      </c>
      <c r="BM20" s="11" t="str">
        <f t="shared" si="22"/>
        <v/>
      </c>
      <c r="BN20" s="11" t="str">
        <f t="shared" si="23"/>
        <v/>
      </c>
      <c r="BO20" s="11" t="str">
        <f t="shared" si="24"/>
        <v/>
      </c>
      <c r="BP20" s="11" t="str">
        <f t="shared" si="25"/>
        <v/>
      </c>
      <c r="BQ20" s="11" t="str">
        <f t="shared" si="26"/>
        <v/>
      </c>
      <c r="BR20" s="11" t="str">
        <f t="shared" si="27"/>
        <v/>
      </c>
      <c r="BS20" s="18">
        <v>15.5</v>
      </c>
      <c r="BT20" s="18">
        <v>9.3000000000000007</v>
      </c>
      <c r="BU20" s="18">
        <v>0</v>
      </c>
      <c r="BV20" s="18">
        <v>15.06</v>
      </c>
      <c r="BW20" s="18">
        <v>0</v>
      </c>
      <c r="BX20" s="18">
        <v>12.5</v>
      </c>
      <c r="BY20" s="18">
        <v>9</v>
      </c>
      <c r="BZ20" s="18">
        <v>12.2</v>
      </c>
      <c r="CA20" s="18">
        <v>15.81</v>
      </c>
      <c r="CB20" s="18">
        <v>0</v>
      </c>
      <c r="CC20" s="18">
        <v>13.4</v>
      </c>
      <c r="CD20" s="18">
        <v>8.4</v>
      </c>
      <c r="CE20" s="18">
        <v>10.7</v>
      </c>
      <c r="CF20" s="18">
        <v>14.38</v>
      </c>
      <c r="CG20" s="18">
        <v>0</v>
      </c>
      <c r="CH20" s="23"/>
      <c r="CI20" s="34" t="str">
        <f t="shared" si="28"/>
        <v/>
      </c>
      <c r="CJ20" s="34">
        <f t="shared" si="29"/>
        <v>15.06</v>
      </c>
      <c r="CK20" s="36">
        <f t="shared" si="30"/>
        <v>39.86</v>
      </c>
      <c r="CL20" s="36">
        <f t="shared" si="31"/>
        <v>12.2</v>
      </c>
      <c r="CM20" s="36">
        <f t="shared" si="32"/>
        <v>15.81</v>
      </c>
      <c r="CN20" s="36">
        <f t="shared" si="33"/>
        <v>49.510000000000005</v>
      </c>
      <c r="CO20" s="36">
        <f t="shared" si="34"/>
        <v>49.510000000000005</v>
      </c>
      <c r="CP20" s="36">
        <f t="shared" si="35"/>
        <v>10.7</v>
      </c>
      <c r="CQ20" s="36">
        <f t="shared" si="36"/>
        <v>14.38</v>
      </c>
      <c r="CR20" s="36">
        <f t="shared" si="37"/>
        <v>46.88</v>
      </c>
      <c r="CS20" s="36">
        <f t="shared" si="38"/>
        <v>96.390000000000015</v>
      </c>
      <c r="CT20" s="47" t="str">
        <f t="shared" si="39"/>
        <v/>
      </c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36" t="str">
        <f t="shared" si="40"/>
        <v/>
      </c>
      <c r="DP20" s="36" t="str">
        <f t="shared" si="41"/>
        <v/>
      </c>
      <c r="DQ20" s="36" t="str">
        <f t="shared" si="42"/>
        <v/>
      </c>
      <c r="DR20" s="36" t="str">
        <f t="shared" si="43"/>
        <v/>
      </c>
      <c r="DS20" s="36" t="str">
        <f t="shared" si="44"/>
        <v/>
      </c>
      <c r="DT20" s="36" t="str">
        <f t="shared" si="45"/>
        <v/>
      </c>
      <c r="DU20" s="36" t="str">
        <f t="shared" si="46"/>
        <v/>
      </c>
      <c r="DV20" s="36" t="str">
        <f t="shared" si="47"/>
        <v/>
      </c>
      <c r="DW20" s="36" t="str">
        <f t="shared" si="48"/>
        <v/>
      </c>
      <c r="DX20" s="36" t="str">
        <f t="shared" si="49"/>
        <v/>
      </c>
      <c r="DY20" s="36" t="str">
        <f t="shared" si="50"/>
        <v/>
      </c>
      <c r="DZ20" s="36" t="str">
        <f t="shared" si="51"/>
        <v/>
      </c>
      <c r="EA20" s="36" t="str">
        <f t="shared" si="52"/>
        <v/>
      </c>
      <c r="EB20" s="36" t="str">
        <f t="shared" si="53"/>
        <v/>
      </c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1" t="str">
        <f t="shared" si="54"/>
        <v/>
      </c>
      <c r="EX20" s="11" t="str">
        <f t="shared" si="55"/>
        <v/>
      </c>
      <c r="EY20" s="11" t="str">
        <f t="shared" si="56"/>
        <v/>
      </c>
      <c r="EZ20" s="11" t="str">
        <f t="shared" si="57"/>
        <v/>
      </c>
      <c r="FA20" s="11" t="str">
        <f t="shared" si="58"/>
        <v/>
      </c>
      <c r="FB20" s="11" t="str">
        <f t="shared" si="59"/>
        <v/>
      </c>
      <c r="FC20" s="11" t="str">
        <f t="shared" si="60"/>
        <v/>
      </c>
      <c r="FD20" s="11" t="str">
        <f t="shared" si="61"/>
        <v/>
      </c>
      <c r="FE20" s="11" t="str">
        <f t="shared" si="62"/>
        <v/>
      </c>
      <c r="FF20" s="11" t="str">
        <f t="shared" si="63"/>
        <v/>
      </c>
      <c r="FG20" s="11" t="str">
        <f t="shared" si="64"/>
        <v/>
      </c>
      <c r="FH20" s="11" t="str">
        <f t="shared" si="65"/>
        <v/>
      </c>
      <c r="FI20" s="11" t="str">
        <f t="shared" si="66"/>
        <v/>
      </c>
      <c r="FJ20" s="11" t="str">
        <f t="shared" si="67"/>
        <v/>
      </c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36" t="str">
        <f t="shared" si="68"/>
        <v/>
      </c>
      <c r="GF20" s="36" t="str">
        <f t="shared" si="69"/>
        <v/>
      </c>
      <c r="GG20" s="36" t="str">
        <f t="shared" si="70"/>
        <v/>
      </c>
      <c r="GH20" s="36" t="str">
        <f t="shared" si="71"/>
        <v/>
      </c>
      <c r="GI20" s="36" t="str">
        <f t="shared" si="72"/>
        <v/>
      </c>
      <c r="GJ20" s="36" t="str">
        <f t="shared" si="73"/>
        <v/>
      </c>
      <c r="GK20" s="36" t="str">
        <f t="shared" si="74"/>
        <v/>
      </c>
      <c r="GL20" s="36" t="str">
        <f t="shared" si="75"/>
        <v/>
      </c>
      <c r="GM20" s="36" t="str">
        <f t="shared" si="76"/>
        <v/>
      </c>
      <c r="GN20" s="36" t="str">
        <f t="shared" si="77"/>
        <v/>
      </c>
      <c r="GO20" s="36" t="str">
        <f t="shared" si="78"/>
        <v/>
      </c>
      <c r="GP20" s="36" t="str">
        <f t="shared" si="79"/>
        <v/>
      </c>
      <c r="GQ20" s="36" t="str">
        <f t="shared" si="80"/>
        <v/>
      </c>
      <c r="GR20" s="36" t="str">
        <f t="shared" si="81"/>
        <v/>
      </c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1" t="str">
        <f t="shared" si="82"/>
        <v/>
      </c>
      <c r="HN20" s="11" t="str">
        <f t="shared" si="83"/>
        <v/>
      </c>
      <c r="HO20" s="11" t="str">
        <f t="shared" si="84"/>
        <v/>
      </c>
      <c r="HP20" s="11" t="str">
        <f t="shared" si="85"/>
        <v/>
      </c>
      <c r="HQ20" s="11" t="str">
        <f t="shared" si="86"/>
        <v/>
      </c>
      <c r="HR20" s="11" t="str">
        <f t="shared" si="87"/>
        <v/>
      </c>
      <c r="HS20" s="11" t="str">
        <f t="shared" si="88"/>
        <v/>
      </c>
      <c r="HT20" s="11" t="str">
        <f t="shared" si="89"/>
        <v/>
      </c>
      <c r="HU20" s="11" t="str">
        <f t="shared" si="90"/>
        <v/>
      </c>
      <c r="HV20" s="11" t="str">
        <f t="shared" si="91"/>
        <v/>
      </c>
      <c r="HW20" s="11" t="str">
        <f t="shared" si="92"/>
        <v/>
      </c>
      <c r="HX20" s="11" t="str">
        <f t="shared" si="93"/>
        <v/>
      </c>
      <c r="HY20" s="11" t="str">
        <f t="shared" si="94"/>
        <v/>
      </c>
      <c r="HZ20" s="11" t="str">
        <f t="shared" si="95"/>
        <v/>
      </c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36" t="str">
        <f t="shared" si="96"/>
        <v/>
      </c>
      <c r="IV20" s="36" t="str">
        <f t="shared" si="97"/>
        <v/>
      </c>
      <c r="IW20" s="36" t="str">
        <f t="shared" si="98"/>
        <v/>
      </c>
      <c r="IX20" s="36" t="str">
        <f t="shared" si="99"/>
        <v/>
      </c>
      <c r="IY20" s="36" t="str">
        <f t="shared" si="100"/>
        <v/>
      </c>
      <c r="IZ20" s="36" t="str">
        <f t="shared" si="101"/>
        <v/>
      </c>
      <c r="JA20" s="36" t="str">
        <f t="shared" si="102"/>
        <v/>
      </c>
      <c r="JB20" s="36" t="str">
        <f t="shared" si="103"/>
        <v/>
      </c>
      <c r="JC20" s="36" t="str">
        <f t="shared" si="104"/>
        <v/>
      </c>
      <c r="JD20" s="36" t="str">
        <f t="shared" si="105"/>
        <v/>
      </c>
      <c r="JE20" s="36" t="str">
        <f t="shared" si="106"/>
        <v/>
      </c>
      <c r="JF20" s="36" t="str">
        <f t="shared" si="107"/>
        <v/>
      </c>
      <c r="JG20" s="36" t="str">
        <f t="shared" si="108"/>
        <v/>
      </c>
      <c r="JH20" s="36" t="str">
        <f t="shared" si="109"/>
        <v/>
      </c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1" t="str">
        <f t="shared" si="110"/>
        <v/>
      </c>
      <c r="KD20" s="11" t="str">
        <f t="shared" si="111"/>
        <v/>
      </c>
      <c r="KE20" s="11" t="str">
        <f t="shared" si="112"/>
        <v/>
      </c>
      <c r="KF20" s="11" t="str">
        <f t="shared" si="113"/>
        <v/>
      </c>
      <c r="KG20" s="11" t="str">
        <f t="shared" si="114"/>
        <v/>
      </c>
      <c r="KH20" s="11" t="str">
        <f t="shared" si="115"/>
        <v/>
      </c>
      <c r="KI20" s="11" t="str">
        <f t="shared" si="116"/>
        <v/>
      </c>
      <c r="KJ20" s="11" t="str">
        <f t="shared" si="117"/>
        <v/>
      </c>
      <c r="KK20" s="11" t="str">
        <f t="shared" si="118"/>
        <v/>
      </c>
      <c r="KL20" s="11" t="str">
        <f t="shared" si="119"/>
        <v/>
      </c>
      <c r="KM20" s="11" t="str">
        <f t="shared" si="120"/>
        <v/>
      </c>
      <c r="KN20" s="11" t="str">
        <f t="shared" si="121"/>
        <v/>
      </c>
      <c r="KO20" s="11" t="str">
        <f t="shared" si="122"/>
        <v/>
      </c>
      <c r="KP20" s="11" t="str">
        <f t="shared" si="123"/>
        <v/>
      </c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36" t="str">
        <f t="shared" si="124"/>
        <v/>
      </c>
      <c r="LL20" s="36" t="str">
        <f t="shared" si="125"/>
        <v/>
      </c>
      <c r="LM20" s="36" t="str">
        <f t="shared" si="126"/>
        <v/>
      </c>
      <c r="LN20" s="36" t="str">
        <f t="shared" si="127"/>
        <v/>
      </c>
      <c r="LO20" s="36" t="str">
        <f t="shared" si="128"/>
        <v/>
      </c>
      <c r="LP20" s="36" t="str">
        <f t="shared" si="129"/>
        <v/>
      </c>
      <c r="LQ20" s="36" t="str">
        <f t="shared" si="130"/>
        <v/>
      </c>
      <c r="LR20" s="36" t="str">
        <f t="shared" si="131"/>
        <v/>
      </c>
      <c r="LS20" s="36" t="str">
        <f t="shared" si="132"/>
        <v/>
      </c>
      <c r="LT20" s="36" t="str">
        <f t="shared" si="133"/>
        <v/>
      </c>
      <c r="LU20" s="36" t="str">
        <f t="shared" si="134"/>
        <v/>
      </c>
      <c r="LV20" s="36" t="str">
        <f t="shared" si="135"/>
        <v/>
      </c>
      <c r="LW20" s="36" t="str">
        <f t="shared" si="136"/>
        <v/>
      </c>
      <c r="LX20" s="36" t="str">
        <f t="shared" si="137"/>
        <v/>
      </c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1" t="str">
        <f t="shared" si="138"/>
        <v/>
      </c>
      <c r="MT20" s="11" t="str">
        <f t="shared" si="139"/>
        <v/>
      </c>
      <c r="MU20" s="11" t="str">
        <f t="shared" si="140"/>
        <v/>
      </c>
      <c r="MV20" s="11" t="str">
        <f t="shared" si="141"/>
        <v/>
      </c>
      <c r="MW20" s="11" t="str">
        <f t="shared" si="142"/>
        <v/>
      </c>
      <c r="MX20" s="11" t="str">
        <f t="shared" si="143"/>
        <v/>
      </c>
      <c r="MY20" s="11" t="str">
        <f t="shared" si="144"/>
        <v/>
      </c>
      <c r="MZ20" s="11" t="str">
        <f t="shared" si="145"/>
        <v/>
      </c>
      <c r="NA20" s="11" t="str">
        <f t="shared" si="146"/>
        <v/>
      </c>
      <c r="NB20" s="11" t="str">
        <f t="shared" si="147"/>
        <v/>
      </c>
      <c r="NC20" s="11" t="str">
        <f t="shared" si="148"/>
        <v/>
      </c>
      <c r="ND20" s="11" t="str">
        <f t="shared" si="149"/>
        <v/>
      </c>
      <c r="NE20" s="11" t="str">
        <f t="shared" si="150"/>
        <v/>
      </c>
      <c r="NF20" s="11" t="str">
        <f t="shared" si="151"/>
        <v/>
      </c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36" t="str">
        <f t="shared" si="152"/>
        <v/>
      </c>
      <c r="OB20" s="36" t="str">
        <f t="shared" si="153"/>
        <v/>
      </c>
      <c r="OC20" s="36" t="str">
        <f t="shared" si="154"/>
        <v/>
      </c>
      <c r="OD20" s="36" t="str">
        <f t="shared" si="155"/>
        <v/>
      </c>
      <c r="OE20" s="36" t="str">
        <f t="shared" si="156"/>
        <v/>
      </c>
      <c r="OF20" s="36" t="str">
        <f t="shared" si="157"/>
        <v/>
      </c>
      <c r="OG20" s="36" t="str">
        <f t="shared" si="158"/>
        <v/>
      </c>
      <c r="OH20" s="36" t="str">
        <f t="shared" si="159"/>
        <v/>
      </c>
      <c r="OI20" s="36" t="str">
        <f t="shared" si="160"/>
        <v/>
      </c>
      <c r="OJ20" s="36" t="str">
        <f t="shared" si="161"/>
        <v/>
      </c>
      <c r="OK20" s="36" t="str">
        <f t="shared" si="162"/>
        <v/>
      </c>
      <c r="OL20" s="36" t="str">
        <f t="shared" si="163"/>
        <v/>
      </c>
      <c r="OM20" s="36" t="str">
        <f t="shared" si="164"/>
        <v/>
      </c>
      <c r="ON20" s="36" t="str">
        <f t="shared" si="165"/>
        <v/>
      </c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1" t="str">
        <f t="shared" si="166"/>
        <v/>
      </c>
      <c r="PJ20" s="11" t="str">
        <f t="shared" si="167"/>
        <v/>
      </c>
      <c r="PK20" s="11" t="str">
        <f t="shared" si="168"/>
        <v/>
      </c>
      <c r="PL20" s="11" t="str">
        <f t="shared" si="169"/>
        <v/>
      </c>
      <c r="PM20" s="11" t="str">
        <f t="shared" si="170"/>
        <v/>
      </c>
      <c r="PN20" s="11" t="str">
        <f t="shared" si="171"/>
        <v/>
      </c>
      <c r="PO20" s="11" t="str">
        <f t="shared" si="172"/>
        <v/>
      </c>
      <c r="PP20" s="11" t="str">
        <f t="shared" si="173"/>
        <v/>
      </c>
      <c r="PQ20" s="11" t="str">
        <f t="shared" si="174"/>
        <v/>
      </c>
      <c r="PR20" s="11" t="str">
        <f t="shared" si="175"/>
        <v/>
      </c>
      <c r="PS20" s="11" t="str">
        <f t="shared" si="176"/>
        <v/>
      </c>
      <c r="PT20" s="11" t="str">
        <f t="shared" si="177"/>
        <v/>
      </c>
      <c r="PU20" s="11" t="str">
        <f t="shared" si="178"/>
        <v/>
      </c>
      <c r="PV20" s="11" t="str">
        <f t="shared" si="179"/>
        <v/>
      </c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36" t="str">
        <f t="shared" si="180"/>
        <v/>
      </c>
      <c r="QR20" s="36" t="str">
        <f t="shared" si="181"/>
        <v/>
      </c>
      <c r="QS20" s="36" t="str">
        <f t="shared" si="182"/>
        <v/>
      </c>
      <c r="QT20" s="36" t="str">
        <f t="shared" si="183"/>
        <v/>
      </c>
      <c r="QU20" s="36" t="str">
        <f t="shared" si="184"/>
        <v/>
      </c>
      <c r="QV20" s="36" t="str">
        <f t="shared" si="185"/>
        <v/>
      </c>
      <c r="QW20" s="36" t="str">
        <f t="shared" si="186"/>
        <v/>
      </c>
      <c r="QX20" s="36" t="str">
        <f t="shared" si="187"/>
        <v/>
      </c>
      <c r="QY20" s="36" t="str">
        <f t="shared" si="188"/>
        <v/>
      </c>
      <c r="QZ20" s="36" t="str">
        <f t="shared" si="189"/>
        <v/>
      </c>
      <c r="RA20" s="36" t="str">
        <f t="shared" si="190"/>
        <v/>
      </c>
      <c r="RB20" s="36" t="str">
        <f t="shared" si="191"/>
        <v/>
      </c>
      <c r="RC20" s="36" t="str">
        <f t="shared" si="192"/>
        <v/>
      </c>
      <c r="RD20" s="36" t="str">
        <f t="shared" si="193"/>
        <v/>
      </c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1" t="str">
        <f t="shared" si="194"/>
        <v/>
      </c>
      <c r="RZ20" s="11" t="str">
        <f t="shared" si="195"/>
        <v/>
      </c>
      <c r="SA20" s="11" t="str">
        <f t="shared" si="196"/>
        <v/>
      </c>
      <c r="SB20" s="11" t="str">
        <f t="shared" si="197"/>
        <v/>
      </c>
      <c r="SC20" s="11" t="str">
        <f t="shared" si="198"/>
        <v/>
      </c>
      <c r="SD20" s="11" t="str">
        <f t="shared" si="199"/>
        <v/>
      </c>
      <c r="SE20" s="11" t="str">
        <f t="shared" si="200"/>
        <v/>
      </c>
      <c r="SF20" s="11" t="str">
        <f t="shared" si="201"/>
        <v/>
      </c>
      <c r="SG20" s="11" t="str">
        <f t="shared" si="202"/>
        <v/>
      </c>
      <c r="SH20" s="11" t="str">
        <f t="shared" si="203"/>
        <v/>
      </c>
      <c r="SI20" s="11" t="str">
        <f t="shared" si="204"/>
        <v/>
      </c>
      <c r="SJ20" s="11" t="str">
        <f t="shared" si="205"/>
        <v/>
      </c>
      <c r="SK20" s="11" t="str">
        <f t="shared" si="206"/>
        <v/>
      </c>
      <c r="SL20" s="11" t="str">
        <f t="shared" si="207"/>
        <v/>
      </c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36" t="str">
        <f t="shared" si="208"/>
        <v/>
      </c>
      <c r="TH20" s="36" t="str">
        <f t="shared" si="209"/>
        <v/>
      </c>
      <c r="TI20" s="36" t="str">
        <f t="shared" si="210"/>
        <v/>
      </c>
      <c r="TJ20" s="36" t="str">
        <f t="shared" si="211"/>
        <v/>
      </c>
      <c r="TK20" s="36" t="str">
        <f t="shared" si="212"/>
        <v/>
      </c>
      <c r="TL20" s="36" t="str">
        <f t="shared" si="213"/>
        <v/>
      </c>
      <c r="TM20" s="36" t="str">
        <f t="shared" si="214"/>
        <v/>
      </c>
      <c r="TN20" s="36" t="str">
        <f t="shared" si="215"/>
        <v/>
      </c>
      <c r="TO20" s="36" t="str">
        <f t="shared" si="216"/>
        <v/>
      </c>
      <c r="TP20" s="36" t="str">
        <f t="shared" si="217"/>
        <v/>
      </c>
      <c r="TQ20" s="36" t="str">
        <f t="shared" si="218"/>
        <v/>
      </c>
      <c r="TR20" s="36" t="str">
        <f t="shared" si="219"/>
        <v/>
      </c>
      <c r="TS20" s="36" t="str">
        <f t="shared" si="220"/>
        <v/>
      </c>
      <c r="TT20" s="36" t="str">
        <f t="shared" si="221"/>
        <v/>
      </c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1" t="str">
        <f t="shared" si="222"/>
        <v/>
      </c>
      <c r="UP20" s="11" t="str">
        <f t="shared" si="223"/>
        <v/>
      </c>
      <c r="UQ20" s="11" t="str">
        <f t="shared" si="224"/>
        <v/>
      </c>
      <c r="UR20" s="11" t="str">
        <f t="shared" si="225"/>
        <v/>
      </c>
      <c r="US20" s="11" t="str">
        <f t="shared" si="226"/>
        <v/>
      </c>
      <c r="UT20" s="11" t="str">
        <f t="shared" si="227"/>
        <v/>
      </c>
      <c r="UU20" s="11" t="str">
        <f t="shared" si="228"/>
        <v/>
      </c>
      <c r="UV20" s="11" t="str">
        <f t="shared" si="229"/>
        <v/>
      </c>
      <c r="UW20" s="11" t="str">
        <f t="shared" si="230"/>
        <v/>
      </c>
      <c r="UX20" s="11" t="str">
        <f t="shared" si="231"/>
        <v/>
      </c>
      <c r="UY20" s="11" t="str">
        <f t="shared" si="232"/>
        <v/>
      </c>
      <c r="UZ20" s="11" t="str">
        <f t="shared" si="233"/>
        <v/>
      </c>
      <c r="VA20" s="11" t="str">
        <f t="shared" si="234"/>
        <v/>
      </c>
      <c r="VB20" s="11" t="str">
        <f t="shared" si="235"/>
        <v/>
      </c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36" t="str">
        <f t="shared" si="236"/>
        <v/>
      </c>
      <c r="VX20" s="36" t="str">
        <f t="shared" si="237"/>
        <v/>
      </c>
      <c r="VY20" s="36" t="str">
        <f t="shared" si="238"/>
        <v/>
      </c>
      <c r="VZ20" s="36" t="str">
        <f t="shared" si="239"/>
        <v/>
      </c>
      <c r="WA20" s="36" t="str">
        <f t="shared" si="240"/>
        <v/>
      </c>
      <c r="WB20" s="36" t="str">
        <f t="shared" si="241"/>
        <v/>
      </c>
      <c r="WC20" s="36" t="str">
        <f t="shared" si="242"/>
        <v/>
      </c>
      <c r="WD20" s="36" t="str">
        <f t="shared" si="243"/>
        <v/>
      </c>
      <c r="WE20" s="36" t="str">
        <f t="shared" si="244"/>
        <v/>
      </c>
      <c r="WF20" s="36" t="str">
        <f t="shared" si="245"/>
        <v/>
      </c>
      <c r="WG20" s="36" t="str">
        <f t="shared" si="246"/>
        <v/>
      </c>
      <c r="WH20" s="36" t="str">
        <f t="shared" si="247"/>
        <v/>
      </c>
      <c r="WI20" s="36" t="str">
        <f t="shared" si="248"/>
        <v/>
      </c>
      <c r="WJ20" s="36" t="str">
        <f t="shared" si="249"/>
        <v/>
      </c>
    </row>
    <row r="21" spans="1:608" x14ac:dyDescent="0.2">
      <c r="A21" s="4" t="str" cm="1">
        <f t="array" ref="A21">IF(AND(H21&lt;&gt;"",H21&lt;&gt;"No DD",I21&lt;&gt;"P"),SUMPRODUCT((H$4:H$28&lt;&gt;"")*(H$4:H$28&lt;&gt;"No DD")*(I$4:I$28&lt;&gt;"P")*(E$4:E$28&gt;E21))+1,IF(H21="No DD",SUMPRODUCT((H$4:H$28="No DD")*(I$4:I$28&lt;&gt;"P")*(E$4:E$28&gt;E21))+1+SUMPRODUCT((H$4:H$28&lt;&gt;"")*(I$4:I$28&lt;&gt;"P")*(H$4:H$28&lt;&gt;"No DD")),""))</f>
        <v/>
      </c>
      <c r="B21" s="5" t="s">
        <v>189</v>
      </c>
      <c r="C21" s="4" t="s">
        <v>5</v>
      </c>
      <c r="D21" s="4">
        <v>2009</v>
      </c>
      <c r="E21" s="9">
        <f t="shared" si="0"/>
        <v>91.66000916600467</v>
      </c>
      <c r="F21" s="3" t="str">
        <f>IF(OR(AND(AG21&gt;=AQ$30,AG21&lt;&gt;"",AI21&gt;=AQ$34,AI21&lt;&gt;"",AF21=""),AND(AJ21&gt;=AQ$30,AJ21&lt;&gt;"",AL21&gt;=AQ$34,AL21&lt;&gt;"",AF21=""),AND(AN21&gt;=AQ$30,AN21&lt;&gt;"",AP21&gt;=AQ$34,AP21&lt;&gt;"",AF21=""),AND(BH21&gt;=BR$30,BH21&lt;&gt;"",BJ21&gt;=BR$34,BJ21&lt;&gt;"",BG21=""),AND(BK21&gt;=BR$30,BK21&lt;&gt;"",BM21&gt;=BR$34,BM21&lt;&gt;"",BG21=""),AND(BO21&gt;=BR$30,BO21&lt;&gt;"",BQ21&gt;=BR$34,BQ21&lt;&gt;"",BG21=""),AND(CI21&gt;=CS$30,CI21&lt;&gt;"",CK21&gt;=CS$34,CK21&lt;&gt;"",CH21=""),AND(CL21&gt;=CS$30,CL21&lt;&gt;"",CN21&gt;=CS$34,CN21&lt;&gt;"",CH21=""),AND(CP21&gt;=CS$30,CP21&lt;&gt;"",CR21&gt;=CS$34,CR21&lt;&gt;"",CH21=""),AND(DO21&gt;=EB$30,DO21&lt;&gt;"",DQ21&gt;=EB$34,DQ21&lt;&gt;""),AND(DR21&gt;=EB$30,DR21&lt;&gt;"",DT21&gt;=EB$34,DT21&lt;&gt;""),AND(DV21&gt;=EB$30,DV21&lt;&gt;"",DX21&gt;=EB$34,DX21&lt;&gt;""),AND(DY21&gt;=EB$30,DY21&lt;&gt;"",EA21&gt;=EB$34,EA21&lt;&gt;""),AND(EW21&gt;=FJ$30,EW21&lt;&gt;"",EY21&gt;=FJ$34,EY21&lt;&gt;""),AND(EZ21&gt;=FJ$30,EZ21&lt;&gt;"",FB21&gt;=FJ$34,FB21&lt;&gt;""),AND(FD21&gt;=FJ$30,FD21&lt;&gt;"",FF21&gt;=FJ$34,FF21&lt;&gt;""),AND(FG21&gt;=FJ$30,FG21&lt;&gt;"",FI21&gt;=FJ$34,FI21&lt;&gt;""),AND(GE21&gt;=GR$30,GE21&lt;&gt;"",GG21&gt;=GR$34,GG21&lt;&gt;""),AND(GH21&gt;=GR$30,GH21&lt;&gt;"",GJ21&gt;=GR$34,GJ21&lt;&gt;""),AND(GL21&gt;=GR$30,GL21&lt;&gt;"",GN21&gt;=GR$34,GN21&lt;&gt;""),AND(GO21&gt;=GR$30,GO21&lt;&gt;"",GQ21&gt;=GR$34,GQ21&lt;&gt;""),AND(HM21&gt;=HZ$30,HM21&lt;&gt;"",HO21&gt;=HZ$34,HO21&lt;&gt;""),AND(HP21&gt;=HZ$30,HP21&lt;&gt;"",HR21&gt;=HZ$34,HR21&lt;&gt;""),AND(HT21&gt;=HZ$30,HT21&lt;&gt;"",HV21&gt;=HZ$34,HV21&lt;&gt;""),AND(HW21&gt;=HZ$30,HW21&lt;&gt;"",HY21&gt;=HZ$34,HY21&lt;&gt;""),AND(IU21&gt;=JH$30,IU21&lt;&gt;"",IW21&gt;=JH$34,IW21&lt;&gt;""),AND(IX21&gt;=JH$30,IX21&lt;&gt;"",IZ21&gt;=JH$34,IZ21&lt;&gt;""),AND(JB21&gt;=JH$30,JB21&lt;&gt;"",JD21&gt;=JH$34,JD21&lt;&gt;""),AND(JE21&gt;=JH$30,JE21&lt;&gt;"",JG21&gt;=JH$34,JG21&lt;&gt;""),AND(KC21&gt;=KP$30,KC21&lt;&gt;"",KE21&gt;=KP$34,KE21&lt;&gt;""),AND(KF21&gt;=KP$30,KF21&lt;&gt;"",KH21&gt;=KP$34,KH21&lt;&gt;""),AND(KJ21&gt;=KP$30,KJ21&lt;&gt;"",KL21&gt;=KP$34,KL21&lt;&gt;""),AND(KM21&gt;=KP$30,KM21&lt;&gt;"",KO21&gt;=KP$34,KO21&lt;&gt;""),AND(LK21&gt;=LX$30,LK21&lt;&gt;"",LM21&gt;=LX$34,LM21&lt;&gt;""),AND(LN21&gt;=LX$30,LN21&lt;&gt;"",LP21&gt;=LX$34,LP21&lt;&gt;""),AND(LR21&gt;=LX$30,LR21&lt;&gt;"",LT21&gt;=LX$34,LT21&lt;&gt;""),AND(LU21&gt;=LX$30,LU21&lt;&gt;"",LW21&gt;=LX$34,LW21&lt;&gt;""),AND(MS21&gt;=NF$30,MS21&lt;&gt;"",MU21&gt;=NF$34,MU21&lt;&gt;""),AND(MV21&gt;=NF$30,MV21&lt;&gt;"",MX21&gt;=NF$34,MX21&lt;&gt;""),AND(MZ21&gt;=NF$30,MZ21&lt;&gt;"",NB21&gt;=NF$34,NB21&lt;&gt;""),AND(NC21&gt;=NF$30,NC21&lt;&gt;"",NE21&gt;=NF$34,NE21&lt;&gt;""),AND(OA21&gt;=ON$30,OA21&lt;&gt;"",OC21&gt;=ON$34,OC21&lt;&gt;""),AND(OD21&gt;=ON$30,OD21&lt;&gt;"",OF21&gt;=ON$34,OF21&lt;&gt;""),AND(OH21&gt;=ON$30,OH21&lt;&gt;"",OJ21&gt;=ON$34,OJ21&lt;&gt;""),AND(OK21&gt;=ON$30,OK21&lt;&gt;"",OM21&gt;=ON$34,OM21&lt;&gt;""),AND(PI21&gt;=PV$30,PI21&lt;&gt;"",PK21&gt;=PV$34,PK21&lt;&gt;""),AND(PL21&gt;=PV$30,PL21&lt;&gt;"",PN21&gt;=PV$34,PN21&lt;&gt;""),AND(PP21&gt;=PV$30,PP21&lt;&gt;"",PR21&gt;=PV$34,PR21&lt;&gt;""),AND(PS21&gt;=PV$30,PS21&lt;&gt;"",PU21&gt;=PV$34,PU21&lt;&gt;""),AND(QQ21&gt;=RD$30,QQ21&lt;&gt;"",QS21&gt;=RD$34,QS21&lt;&gt;""),AND(QT21&gt;=RD$30,QT21&lt;&gt;"",QV21&gt;=RD$34,QV21&lt;&gt;""),AND(QX21&gt;=RD$30,QX21&lt;&gt;"",QZ21&gt;=RD$34,QZ21&lt;&gt;""),AND(RA21&gt;=RD$30,RA21&lt;&gt;"",RC21&gt;=RD$34,RC21&lt;&gt;""),AND(RY21&gt;=SL$30,RY21&lt;&gt;"",SA21&gt;=SL$34,SA21&lt;&gt;""),AND(SB21&gt;=SL$30,SB21&lt;&gt;"",SD21&gt;=SL$34,SD21&lt;&gt;""),AND(SF21&gt;=SL$30,SF21&lt;&gt;"",SH21&gt;=SL$34,SH21&lt;&gt;""),AND(SI21&gt;=SL$30,SI21&lt;&gt;"",SK21&gt;=SL$34,SK21&lt;&gt;""),AND(TG21&gt;=TT$30,TG21&lt;&gt;"",TI21&gt;=TT$34,TI21&lt;&gt;""),AND(TJ21&gt;=TT$30,TJ21&lt;&gt;"",TL21&gt;=TT$34,TL21&lt;&gt;""),AND(TN21&gt;=TT$30,TN21&lt;&gt;"",TP21&gt;=TT$34,TXN21&lt;&gt;""),AND(TQ21&gt;=TT$30,TQ21&lt;&gt;"",TS21&gt;=TT$34,TS21&lt;&gt;""),AND(UO21&gt;=VB$30,UO21&lt;&gt;"",UQ21&gt;=VB$34,UQ21&lt;&gt;""),AND(UR21&gt;=VB$30,UR21&lt;&gt;"",UT21&gt;=VB$34,UT21&lt;&gt;""),AND(UV21&gt;=VB$30,UV21&lt;&gt;"",UX21&gt;=VB$34,UX21&lt;&gt;""),AND(UY21&gt;=VB$30,UY21&lt;&gt;"",VA21&gt;=VB$34,VA21&lt;&gt;""),AND(VW21&gt;=WJ$30,VW21&lt;&gt;"",VY21&gt;=WJ$34,VY21&lt;&gt;""),AND(VZ21&gt;=WJ$30,VZ21&lt;&gt;"",WB21&gt;=WJ$34,WB21&lt;&gt;""),AND(WD21&gt;=WJ$30,WD21&lt;&gt;"",WF21&gt;=WJ$34,WF21&lt;&gt;""),AND(WG21&gt;=WJ$30,WG21&lt;&gt;"",WI21&gt;=WJ$34,WI21&lt;&gt;"")),"P","")</f>
        <v/>
      </c>
      <c r="G21" s="3" t="str">
        <f>IF(OR(AND(AI21&gt;=AQ$34,AI21&lt;&gt;"",AF21=""),AND(AL21&gt;=AQ$34,AL21&lt;&gt;"",AF21=""),AND(AP21&gt;=AQ$34,AP21&lt;&gt;"",AF21=""),AND(BJ21&gt;=BR$34,BJ21&lt;&gt;"",BG21=""),AND(BM21&gt;=BR$34,BM21&lt;&gt;"",BG21=""),AND(BQ21&gt;=BR$34,BQ21&lt;&gt;"",BG21=""),AND(CK21&gt;=CS$34,CK21&lt;&gt;"",CH21=""),AND(CN21&gt;=CS$34,CN21&lt;&gt;"",CH21=""),AND(CR21&gt;=CS$34,CR21&lt;&gt;"",CH21=""),AND(DQ21&gt;=EB$34,DQ21&lt;&gt;""),AND(DT21&gt;=EB$34,DT21&lt;&gt;""),AND(DX21&gt;=EB$34,DX21&lt;&gt;""),AND(EA21&gt;=EB$34,EA21&lt;&gt;""),AND(EY21&gt;=FJ$34,EY21&lt;&gt;""),AND(FB21&gt;=FJ$34,FB21&lt;&gt;""),AND(FF21&gt;=FJ$34,FF21&lt;&gt;""),AND(FI21&gt;=FJ$34,FI21&lt;&gt;""),AND(GG21&gt;=GR$34,GG21&lt;&gt;""),AND(GJ21&gt;=GR$34,GJ21&lt;&gt;""),AND(GN21&gt;=GR$34,GN21&lt;&gt;""),AND(GQ21&gt;=GR$34,GQ21&lt;&gt;""),AND(HO21&gt;=HZ$34,HO21&lt;&gt;""),AND(HR21&gt;=HZ$34,HR21&lt;&gt;""),AND(HV21&gt;=HZ$34,HV21&lt;&gt;""),AND(HY21&gt;=HZ$34,HY21&lt;&gt;""),AND(IW21&gt;=JH$34,IW21&lt;&gt;""),AND(IZ21&gt;=JH$34,IZ21&lt;&gt;""),AND(JD21&gt;=JH$34,JD21&lt;&gt;""),AND(JG21&gt;=JH$34,JG21&lt;&gt;""),AND(KE21&gt;=KP$34,KE21&lt;&gt;""),AND(KH21&gt;=KP$34,KH21&lt;&gt;""),AND(KL21&gt;=KP$34,KL21&lt;&gt;""),AND(KO21&gt;=KP$34,KO21&lt;&gt;""),AND(LM21&gt;=LX$34,LM21&lt;&gt;""),AND(LP21&gt;=LX$34,LP21&lt;&gt;""),AND(LT21&gt;=LX$34,LT21&lt;&gt;""),AND(LW21&gt;=LX$34,LW21&lt;&gt;""),AND(MU21&gt;=NF$34,MU21&lt;&gt;""),AND(MX21&gt;=NF$34,MX21&lt;&gt;""),AND(NB21&gt;=NF$34,NB21&lt;&gt;""),AND(NE21&gt;=NF$34,NE21&lt;&gt;""),AND(OC21&gt;=ON$34,OC21&lt;&gt;""),AND(OF21&gt;=ON$34,OF21&lt;&gt;""),AND(OJ21&gt;=ON$34,OJ21&lt;&gt;""),AND(OM21&gt;=ON$34,OM21&lt;&gt;""),AND(PK21&gt;=PV$34,PK21&lt;&gt;""),AND(PN21&gt;=PV$34,PN21&lt;&gt;""),AND(PR21&gt;=PV$34,PR21&lt;&gt;""),AND(PU21&gt;=PV$34,PU21&lt;&gt;""),AND(QS21&gt;=RD$34,QS21&lt;&gt;""),AND(QV21&gt;=RD$34,QV21&lt;&gt;""),AND(QZ21&gt;=RD$34,QZ21&lt;&gt;""),AND(RC21&gt;=RD$34,RC21&lt;&gt;""),AND(SA21&gt;=SL$34,SA21&lt;&gt;""),AND(SD21&gt;=SL$34,SD21&lt;&gt;""),AND(SH21&gt;=SL$34,SH21&lt;&gt;""),AND(SK21&gt;=SL$34,SK21&lt;&gt;""),AND(TI21&gt;=TT$34,TI21&lt;&gt;""),AND(TL21&gt;=TT$34,TL21&lt;&gt;""),AND(TP21&gt;=TT$34,TXN21&lt;&gt;""),AND(TS21&gt;=TT$34,TS21&lt;&gt;""),AND(UQ21&gt;=VB$34,UQ21&lt;&gt;""),AND(UT21&gt;=VB$34,UT21&lt;&gt;""),AND(UX21&gt;=VB$34,UX21&lt;&gt;""),AND(VA21&gt;=VB$34,VA21&lt;&gt;""),AND(VY21&gt;=WJ$34,VY21&lt;&gt;""),AND(WB21&gt;=WJ$34,WB21&lt;&gt;""),AND(WF21&gt;=WJ$34,WF21&lt;&gt;""),AND(WI21&gt;=WJ$34,WI21&lt;&gt;"")),"P","")</f>
        <v/>
      </c>
      <c r="H21" s="32" t="str">
        <f>IF(AND(G21="P",F21=""),"No DD",IF(OR(AND(AG21&gt;=AQ$33,AG21&lt;&gt;"",AI21&gt;=AQ$37,AI21&lt;&gt;"",AF21=""),AND(AJ21&gt;=AQ$33,AJ21&lt;&gt;"",AL21&gt;=AQ$37,AL21&lt;&gt;"",AF21=""),AND(AN21&gt;=AQ$33,AN21&lt;&gt;"",AP21&gt;=AQ$37,AP21&lt;&gt;"",AF21=""),AND(BH21&gt;=BR$33,BH21&lt;&gt;"",BJ21&gt;=BR$37,BJ21&lt;&gt;"",BG21=""),AND(BK21&gt;=BR$33,BK21&lt;&gt;"",BM21&gt;=BR$37,BM21&lt;&gt;"",BG21=""),AND(BO21&gt;=BR$33,BO21&lt;&gt;"",BQ21&gt;=BR$37,BQ21&lt;&gt;"",BG21=""),AND(CI21&gt;=CS$33,CI21&lt;&gt;"",CK21&gt;=CS$37,CK21&lt;&gt;"",CH21=""),AND(CL21&gt;=CS$33,CL21&lt;&gt;"",CN21&gt;=CS$37,CN21&lt;&gt;"",CH21=""),AND(CP21&gt;=CS$33,CP21&lt;&gt;"",CR21&gt;=CS$37,CR21&lt;&gt;"",CH21=""),AND(DO21&gt;=EB$33,DO21&lt;&gt;"",DQ21&gt;=EB$37,DQ21&lt;&gt;""),AND(DR21&gt;=EB$33,DR21&lt;&gt;"",DT21&gt;=EB$37,DT21&lt;&gt;""),AND(DV21&gt;=EB$33,DV21&lt;&gt;"",DX21&gt;=EB$37,DX21&lt;&gt;""),AND(DY21&gt;=EB$33,DY21&lt;&gt;"",EA21&gt;=EB$37,EA21&lt;&gt;""),AND(EW21&gt;=FJ$33,EW21&lt;&gt;"",EY21&gt;=FJ$37,EY21&lt;&gt;""),AND(EZ21&gt;=FJ$33,EZ21&lt;&gt;"",FB21&gt;=FJ$37,FB21&lt;&gt;""),AND(FD21&gt;=FJ$33,FD21&lt;&gt;"",FF21&gt;=FJ$37,FF21&lt;&gt;""),AND(FG21&gt;=FJ$33,FG21&lt;&gt;"",FI21&gt;=FJ$37,FI21&lt;&gt;""),AND(GE21&gt;=GR$33,GE21&lt;&gt;"",GG21&gt;=GR$37,GG21&lt;&gt;""),AND(GH21&gt;=GR$33,GH21&lt;&gt;"",GJ21&gt;=GR$37,GJ21&lt;&gt;""),AND(GL21&gt;=GR$33,GL21&lt;&gt;"",GN21&gt;=GR$37,GN21&lt;&gt;""),AND(GO21&gt;=GR$33,GO21&lt;&gt;"",GQ21&gt;=GR$37,GQ21&lt;&gt;""),AND(HM21&gt;=HZ$33,HM21&lt;&gt;"",HO21&gt;=HZ$37,HO21&lt;&gt;""),AND(HP21&gt;=HZ$33,HP21&lt;&gt;"",HR21&gt;=HZ$37,HR21&lt;&gt;""),AND(HT21&gt;=HZ$33,HT21&lt;&gt;"",HV21&gt;=HZ$37,HV21&lt;&gt;""),AND(HW21&gt;=HZ$33,HW21&lt;&gt;"",HY21&gt;=HZ$37,HY21&lt;&gt;""),AND(IU21&gt;=JH$33,IU21&lt;&gt;"",IW21&gt;=JH$37,IW21&lt;&gt;""),AND(IX21&gt;=JH$33,IX21&lt;&gt;"",IZ21&gt;=JH$37,IZ21&lt;&gt;""),AND(JB21&gt;=JH$33,JB21&lt;&gt;"",JD21&gt;=JH$37,JD21&lt;&gt;""),AND(JE21&gt;=JH$33,JE21&lt;&gt;"",JG21&gt;=JH$37,JG21&lt;&gt;""),AND(KC21&gt;=KP$33,KC21&lt;&gt;"",KE21&gt;=KP$37,KE21&lt;&gt;""),AND(KF21&gt;=KP$33,KF21&lt;&gt;"",KH21&gt;=KP$37,KH21&lt;&gt;""),AND(KJ21&gt;=KP$33,KJ21&lt;&gt;"",KL21&gt;=KP$37,KL21&lt;&gt;""),AND(KM21&gt;=KP$33,KM21&lt;&gt;"",KO21&gt;=KP$37,KO21&lt;&gt;""),AND(LK21&gt;=LX$33,LK21&lt;&gt;"",LM21&gt;=LX$37,LM21&lt;&gt;""),AND(LN21&gt;=LX$33,LN21&lt;&gt;"",LP21&gt;=LX$37,LP21&lt;&gt;""),AND(LR21&gt;=LX$33,LR21&lt;&gt;"",LT21&gt;=LX$37,LT21&lt;&gt;""),AND(LU21&gt;=LX$33,LU21&lt;&gt;"",LW21&gt;=LX$37,LW21&lt;&gt;""),AND(MS21&gt;=NF$33,MS21&lt;&gt;"",MU21&gt;=NF$37,MU21&lt;&gt;""),AND(MV21&gt;=NF$33,MV21&lt;&gt;"",MX21&gt;=NF$37,MX21&lt;&gt;""),AND(MZ21&gt;=NF$33,MZ21&lt;&gt;"",NB21&gt;=NF$37,NB21&lt;&gt;""),AND(NC21&gt;=NF$33,NC21&lt;&gt;"",NE21&gt;=NF$37,NE21&lt;&gt;""),AND(OA21&gt;=ON$33,OA21&lt;&gt;"",OC21&gt;=ON$37,OC21&lt;&gt;""),AND(OD21&gt;=ON$33,OD21&lt;&gt;"",OF21&gt;=ON$37,OF21&lt;&gt;""),AND(OH21&gt;=ON$33,OH21&lt;&gt;"",OJ21&gt;=ON$37,OJ21&lt;&gt;""),AND(OK21&gt;=ON$33,OK21&lt;&gt;"",OM21&gt;=ON$37,OM21&lt;&gt;""),AND(PI21&gt;=PV$33,PI21&lt;&gt;"",PK21&gt;=PV$37,PK21&lt;&gt;""),AND(PL21&gt;=PV$33,PL21&lt;&gt;"",PN21&gt;=PV$37,PN21&lt;&gt;""),AND(PP21&gt;=PV$33,PP21&lt;&gt;"",PR21&gt;=PV$37,PR21&lt;&gt;""),AND(PS21&gt;=PV$33,PS21&lt;&gt;"",PU21&gt;=PV$37,PU21&lt;&gt;""),AND(QQ21&gt;=RD$33,QQ21&lt;&gt;"",QS21&gt;=RD$37,QS21&lt;&gt;""),AND(QT21&gt;=RD$33,QT21&lt;&gt;"",QV21&gt;=RD$37,QV21&lt;&gt;""),AND(QX21&gt;=RD$33,QX21&lt;&gt;"",QZ21&gt;=RD$37,QZ21&lt;&gt;""),AND(RA21&gt;=RD$33,RA21&lt;&gt;"",RC21&gt;=RD$37,RC21&lt;&gt;""),AND(RY21&gt;=SL$33,RY21&lt;&gt;"",SA21&gt;=SL$37,SA21&lt;&gt;""),AND(SB21&gt;=SL$33,SB21&lt;&gt;"",SD21&gt;=SL$37,SD21&lt;&gt;""),AND(SF21&gt;=SL$33,SF21&lt;&gt;"",SH21&gt;=SL$37,SH21&lt;&gt;""),AND(SI21&gt;=SL$33,SI21&lt;&gt;"",SK21&gt;=SL$37,SK21&lt;&gt;""),AND(TG21&gt;=TT$33,TG21&lt;&gt;"",TI21&gt;=TT$37,TI21&lt;&gt;""),AND(TJ21&gt;=TT$33,TJ21&lt;&gt;"",TL21&gt;=TT$37,TL21&lt;&gt;""),AND(TN21&gt;=TT$33,TN21&lt;&gt;"",TP21&gt;=TT$357,TXN21&lt;&gt;""),AND(TQ21&gt;=TT$33,TQ21&lt;&gt;"",TS21&gt;=TT$37,TS21&lt;&gt;""),AND(UO21&gt;=VB$33,UO21&lt;&gt;"",UQ21&gt;=VB$37,UQ21&lt;&gt;""),AND(UR21&gt;=VB$33,UR21&lt;&gt;"",UT21&gt;=VB$37,UT21&lt;&gt;""),AND(UV21&gt;=VB$33,UV21&lt;&gt;"",UX21&gt;=VB$37,UX21&lt;&gt;""),AND(UY21&gt;=VB$33,UY21&lt;&gt;"",VA21&gt;=VB$37,VA21&lt;&gt;""),AND(VW21&gt;=WJ$33,VW21&lt;&gt;"",VY21&gt;=WJ$37,VY21&lt;&gt;""),AND(VZ21&gt;=WJ$33,VZ21&lt;&gt;"",WB21&gt;=WJ$37,WB21&lt;&gt;""),AND(WD21&gt;=WJ$33,WD21&lt;&gt;"",WF21&gt;=WJ$37,WF21&lt;&gt;""),AND(WG21&gt;=WJ$33,WG21&lt;&gt;"",WI21&gt;=WJ$37,WI21&lt;&gt;"")),"Merit",IF(OR(AND(AG21&gt;=AQ$32,AG21&lt;&gt;"",AI21&gt;=AQ$36,AI21&lt;&gt;"",AF21=""),AND(AJ21&gt;=AQ$32,AJ21&lt;&gt;"",AL21&gt;=AQ$36,AL21&lt;&gt;"",AF21=""),AND(AN21&gt;=AQ$32,AN21&lt;&gt;"",AP21&gt;=AQ$36,AP21&lt;&gt;"",AF21=""),AND(BH21&gt;=BR$32,BH21&lt;&gt;"",BJ21&gt;=BR$36,BJ21&lt;&gt;"",BG21=""),AND(BK21&gt;=BR$32,BK21&lt;&gt;"",BM21&gt;=BR$36,BM21&lt;&gt;"",BG21=""),AND(BO21&gt;=BR$32,BO21&lt;&gt;"",BQ21&gt;=BR$36,BQ21&lt;&gt;"",BG21=""),AND(CI21&gt;=CS$32,CI21&lt;&gt;"",CK21&gt;=CS$36,CK21&lt;&gt;"",CH21=""),AND(CL21&gt;=CS$32,CL21&lt;&gt;"",CN21&gt;=CS$36,CN21&lt;&gt;"",CH21=""),AND(CP21&gt;=CS$32,CP21&lt;&gt;"",CR21&gt;=CS$36,CR21&lt;&gt;"",CH21=""),AND(DO21&gt;=EB$32,DO21&lt;&gt;"",DQ21&gt;=EB$36,DQ21&lt;&gt;""),AND(DR21&gt;=EB$32,DR21&lt;&gt;"",DT21&gt;=EB$36,DT21&lt;&gt;""),AND(DV21&gt;=EB$32,DV21&lt;&gt;"",DX21&gt;=EB$36,DX21&lt;&gt;""),AND(DY21&gt;=EB$32,DY21&lt;&gt;"",EA21&gt;=EB$36,EA21&lt;&gt;""),AND(EW21&gt;=FJ$32,EW21&lt;&gt;"",EY21&gt;=FJ$36,EY21&lt;&gt;""),AND(EZ21&gt;=FJ$32,EZ21&lt;&gt;"",FB21&gt;=FJ$36,FB21&lt;&gt;""),AND(FD21&gt;=FJ$32,FD21&lt;&gt;"",FF21&gt;=FJ$36,FF21&lt;&gt;""),AND(FG21&gt;=FJ$32,FG21&lt;&gt;"",FI21&gt;=FJ$36,FI21&lt;&gt;""),AND(GE21&gt;=GR$32,GE21&lt;&gt;"",GG21&gt;=GR$36,GG21&lt;&gt;""),AND(GH21&gt;=GR$32,GH21&lt;&gt;"",GJ21&gt;=GR$36,GJ21&lt;&gt;""),AND(GL21&gt;=GR$32,GL21&lt;&gt;"",GN21&gt;=GR$36,GN21&lt;&gt;""),AND(GO21&gt;=GR$32,GO21&lt;&gt;"",GQ21&gt;=GR$36,GQ21&lt;&gt;""),AND(HM21&gt;=HZ$32,HM21&lt;&gt;"",HO21&gt;=HZ$36,HO21&lt;&gt;""),AND(HP21&gt;=HZ$32,HP21&lt;&gt;"",HR21&gt;=HZ$36,HR21&lt;&gt;""),AND(HT21&gt;=HZ$32,HT21&lt;&gt;"",HV21&gt;=HZ$36,HV21&lt;&gt;""),AND(HW21&gt;=HZ$32,HW21&lt;&gt;"",HY21&gt;=HZ$36,HY21&lt;&gt;""),AND(IU21&gt;=JH$32,IU21&lt;&gt;"",IW21&gt;=JH$36,IW21&lt;&gt;""),AND(IX21&gt;=JH$32,IX21&lt;&gt;"",IZ21&gt;=JH$36,IZ21&lt;&gt;""),AND(JB21&gt;=JH$32,JB21&lt;&gt;"",JD21&gt;=JH$36,JD21&lt;&gt;""),AND(JE21&gt;=JH$32,JE21&lt;&gt;"",JG21&gt;=JH$36,JG21&lt;&gt;""),AND(KC21&gt;=KP$32,KC21&lt;&gt;"",KE21&gt;=KP$36,KE21&lt;&gt;""),AND(KF21&gt;=KP$32,KF21&lt;&gt;"",KH21&gt;=KP$36,KH21&lt;&gt;""),AND(KJ21&gt;=KP$32,KJ21&lt;&gt;"",KL21&gt;=KP$36,KL21&lt;&gt;""),AND(KM21&gt;=KP$32,KM21&lt;&gt;"",KO21&gt;=KP$36,KO21&lt;&gt;""),AND(LK21&gt;=LX$32,LK21&lt;&gt;"",LM21&gt;=LX$36,LM21&lt;&gt;""),AND(LN21&gt;=LX$32,LN21&lt;&gt;"",LP21&gt;=LX$36,LP21&lt;&gt;""),AND(LR21&gt;=LX$32,LR21&lt;&gt;"",LT21&gt;=LX$36,LT21&lt;&gt;""),AND(LU21&gt;=LX$32,LU21&lt;&gt;"",LW21&gt;=LX$36,LW21&lt;&gt;""),AND(MS21&gt;=NF$32,MS21&lt;&gt;"",MU21&gt;=NF$36,MU21&lt;&gt;""),AND(MV21&gt;=NF$32,MV21&lt;&gt;"",MX21&gt;=NF$36,MX21&lt;&gt;""),AND(MZ21&gt;=NF$32,MZ21&lt;&gt;"",NB21&gt;=NF$36,NB21&lt;&gt;""),AND(NC21&gt;=NF$32,NC21&lt;&gt;"",NE21&gt;=NF$36,NE21&lt;&gt;""),AND(OA21&gt;=ON$32,OA21&lt;&gt;"",OC21&gt;=ON$36,OC21&lt;&gt;""),AND(OD21&gt;=ON$32,OD21&lt;&gt;"",OF21&gt;=ON$36,OF21&lt;&gt;""),AND(OH21&gt;=ON$32,OH21&lt;&gt;"",OJ21&gt;=ON$36,OJ21&lt;&gt;""),AND(OK21&gt;=ON$32,OK21&lt;&gt;"",OM21&gt;=ON$36,OM21&lt;&gt;""),AND(PI21&gt;=PV$32,PI21&lt;&gt;"",PK21&gt;=PV$36,PK21&lt;&gt;""),AND(PL21&gt;=PV$32,PL21&lt;&gt;"",PN21&gt;=PV$36,PN21&lt;&gt;""),AND(PP21&gt;=PV$32,PP21&lt;&gt;"",PR21&gt;=PV$36,PR21&lt;&gt;""),AND(PS21&gt;=PV$32,PS21&lt;&gt;"",PU21&gt;=PV$36,PU21&lt;&gt;""),AND(QQ21&gt;=RD$32,QQ21&lt;&gt;"",QS21&gt;=RD$36,QS21&lt;&gt;""),AND(QT21&gt;=RD$32,QT21&lt;&gt;"",QV21&gt;=RD$36,QV21&lt;&gt;""),AND(QX21&gt;=RD$32,QX21&lt;&gt;"",QZ21&gt;=RD$36,QZ21&lt;&gt;""),AND(RA21&gt;=RD$32,RA21&lt;&gt;"",RC21&gt;=RD$36,RC21&lt;&gt;""),AND(RY21&gt;=SL$32,RY21&lt;&gt;"",SA21&gt;=SL$36,SA21&lt;&gt;""),AND(SB21&gt;=SL$32,SB21&lt;&gt;"",SD21&gt;=SL$36,SD21&lt;&gt;""),AND(SF21&gt;=SL$32,SF21&lt;&gt;"",SH21&gt;=SL$36,SH21&lt;&gt;""),AND(SI21&gt;=SL$32,SI21&lt;&gt;"",SK21&gt;=SL$36,SK21&lt;&gt;""),AND(TG21&gt;=TT$32,TG21&lt;&gt;"",TI21&gt;=TT$36,TI21&lt;&gt;""),AND(TJ21&gt;=TT$32,TJ21&lt;&gt;"",TL21&gt;=TT$36,TL21&lt;&gt;""),AND(TN21&gt;=TT$32,TN21&lt;&gt;"",TP21&gt;=TT$36,TXN21&lt;&gt;""),AND(TQ21&gt;=TT$32,TQ21&lt;&gt;"",TS21&gt;=TT$36,TS21&lt;&gt;""),AND(UO21&gt;=VB$32,UO21&lt;&gt;"",UQ21&gt;=VB$36,UQ21&lt;&gt;""),AND(UR21&gt;=VB$32,UR21&lt;&gt;"",UT21&gt;=VB$36,UT21&lt;&gt;""),AND(UV21&gt;=VB$32,UV21&lt;&gt;"",UX21&gt;=VB$36,UX21&lt;&gt;""),AND(UY21&gt;=VB$32,UY21&lt;&gt;"",VA21&gt;=VB$36,VA21&lt;&gt;""),AND(VW21&gt;=WJ$32,VW21&lt;&gt;"",VY21&gt;=WJ$36,VY21&lt;&gt;""),AND(VZ21&gt;=WJ$32,VZ21&lt;&gt;"",WB21&gt;=WJ$36,WB21&lt;&gt;""),AND(WD21&gt;=WJ$32,WD21&lt;&gt;"",WF21&gt;=WJ$36,WF21&lt;&gt;""),AND(WG21&gt;=WJ$32,WG21&lt;&gt;"",WI21&gt;=WJ$36,WI21&lt;&gt;"")),"Excellence",IF(I21="P","National Team",IF(F21="P","National Team","")))))</f>
        <v/>
      </c>
      <c r="I21" s="3" t="str">
        <f>IF(COUNTIFS('Senior-M'!B:B,B21,'Senior-M'!A:A,"&lt;9",'Senior-M'!H:H,"&lt;&gt;"&amp;"No DD"),"P","")</f>
        <v/>
      </c>
      <c r="J21" s="8">
        <f t="shared" si="1"/>
        <v>46.72</v>
      </c>
      <c r="K21" s="8" t="str">
        <f t="shared" si="2"/>
        <v>2025 3rd Domestic Trial</v>
      </c>
      <c r="L21" s="8">
        <f>IFERROR(LARGE((AI21,AL21,AP21,BJ21,BM21,BQ21,CK21,CN21,CR21),2),0)</f>
        <v>44.94</v>
      </c>
      <c r="M21" s="8" t="str">
        <f t="shared" si="3"/>
        <v>2025 Nationals</v>
      </c>
      <c r="N21" s="8">
        <f t="shared" si="4"/>
        <v>0</v>
      </c>
      <c r="O21" s="11" t="str">
        <f>IF(N21=0,"",IF(N21=CT21,"("&amp;CT$2&amp;")",IF(N21=#REF!,"("&amp;#REF!&amp;")")))</f>
        <v/>
      </c>
      <c r="P21" s="8" t="str">
        <f t="shared" si="5"/>
        <v/>
      </c>
      <c r="Q21" s="18">
        <v>13.7</v>
      </c>
      <c r="R21" s="18">
        <v>9.4</v>
      </c>
      <c r="S21" s="18">
        <v>0</v>
      </c>
      <c r="T21" s="18">
        <v>14.79</v>
      </c>
      <c r="U21" s="18">
        <v>0</v>
      </c>
      <c r="V21" s="18">
        <v>3.6</v>
      </c>
      <c r="W21" s="18">
        <v>2.7</v>
      </c>
      <c r="X21" s="18">
        <v>3.4</v>
      </c>
      <c r="Y21" s="18">
        <v>4.45</v>
      </c>
      <c r="Z21" s="18">
        <v>0</v>
      </c>
      <c r="AA21" s="18">
        <v>10</v>
      </c>
      <c r="AB21" s="18">
        <v>8.8000000000000007</v>
      </c>
      <c r="AC21" s="18">
        <v>11.8</v>
      </c>
      <c r="AD21" s="18">
        <v>14.34</v>
      </c>
      <c r="AE21" s="18">
        <v>0</v>
      </c>
      <c r="AF21" s="23"/>
      <c r="AG21" s="34" t="str">
        <f t="shared" si="6"/>
        <v/>
      </c>
      <c r="AH21" s="34">
        <f t="shared" si="7"/>
        <v>14.79</v>
      </c>
      <c r="AI21" s="36">
        <f t="shared" si="8"/>
        <v>37.89</v>
      </c>
      <c r="AJ21" s="36">
        <f t="shared" si="9"/>
        <v>3.4</v>
      </c>
      <c r="AK21" s="36">
        <f t="shared" si="10"/>
        <v>4.45</v>
      </c>
      <c r="AL21" s="36">
        <f t="shared" si="11"/>
        <v>14.150000000000002</v>
      </c>
      <c r="AM21" s="36">
        <f t="shared" si="12"/>
        <v>37.89</v>
      </c>
      <c r="AN21" s="36">
        <f t="shared" si="13"/>
        <v>11.8</v>
      </c>
      <c r="AO21" s="36">
        <f t="shared" si="14"/>
        <v>14.34</v>
      </c>
      <c r="AP21" s="36">
        <f t="shared" si="15"/>
        <v>44.94</v>
      </c>
      <c r="AQ21" s="36">
        <f t="shared" si="16"/>
        <v>82.83</v>
      </c>
      <c r="AR21" s="22">
        <v>14.4</v>
      </c>
      <c r="AS21" s="22">
        <v>9.9</v>
      </c>
      <c r="AT21" s="22">
        <v>0</v>
      </c>
      <c r="AU21" s="22">
        <v>14.98</v>
      </c>
      <c r="AV21" s="22">
        <v>0</v>
      </c>
      <c r="AW21" s="22">
        <v>4.5999999999999996</v>
      </c>
      <c r="AX21" s="22">
        <v>3.6</v>
      </c>
      <c r="AY21" s="22">
        <v>4.7</v>
      </c>
      <c r="AZ21" s="22">
        <v>5.26</v>
      </c>
      <c r="BA21" s="22">
        <v>0</v>
      </c>
      <c r="BB21" s="22">
        <v>11.3</v>
      </c>
      <c r="BC21" s="22">
        <v>9.3000000000000007</v>
      </c>
      <c r="BD21" s="22">
        <v>11.7</v>
      </c>
      <c r="BE21" s="22">
        <v>14.42</v>
      </c>
      <c r="BF21" s="22">
        <v>0</v>
      </c>
      <c r="BG21" s="24"/>
      <c r="BH21" s="35" t="str">
        <f t="shared" si="17"/>
        <v/>
      </c>
      <c r="BI21" s="35">
        <f t="shared" si="18"/>
        <v>14.98</v>
      </c>
      <c r="BJ21" s="11">
        <f t="shared" si="19"/>
        <v>39.28</v>
      </c>
      <c r="BK21" s="11">
        <f t="shared" si="20"/>
        <v>4.7</v>
      </c>
      <c r="BL21" s="11">
        <f t="shared" si="21"/>
        <v>5.26</v>
      </c>
      <c r="BM21" s="11">
        <f t="shared" si="22"/>
        <v>18.159999999999997</v>
      </c>
      <c r="BN21" s="11">
        <f t="shared" si="23"/>
        <v>39.28</v>
      </c>
      <c r="BO21" s="11">
        <f t="shared" si="24"/>
        <v>11.7</v>
      </c>
      <c r="BP21" s="11">
        <f t="shared" si="25"/>
        <v>14.42</v>
      </c>
      <c r="BQ21" s="11">
        <f t="shared" si="26"/>
        <v>46.72</v>
      </c>
      <c r="BR21" s="11">
        <f t="shared" si="27"/>
        <v>86</v>
      </c>
      <c r="BS21" s="18">
        <v>15.2</v>
      </c>
      <c r="BT21" s="18">
        <v>9.4</v>
      </c>
      <c r="BU21" s="18">
        <v>0</v>
      </c>
      <c r="BV21" s="18">
        <v>15.03</v>
      </c>
      <c r="BW21" s="18">
        <v>0</v>
      </c>
      <c r="BX21" s="18">
        <v>2.4</v>
      </c>
      <c r="BY21" s="18">
        <v>1.9</v>
      </c>
      <c r="BZ21" s="18">
        <v>3</v>
      </c>
      <c r="CA21" s="18">
        <v>3.18</v>
      </c>
      <c r="CB21" s="18">
        <v>0</v>
      </c>
      <c r="CC21" s="18"/>
      <c r="CD21" s="18"/>
      <c r="CE21" s="18"/>
      <c r="CF21" s="18"/>
      <c r="CG21" s="18"/>
      <c r="CH21" s="23"/>
      <c r="CI21" s="34" t="str">
        <f t="shared" si="28"/>
        <v/>
      </c>
      <c r="CJ21" s="34">
        <f t="shared" si="29"/>
        <v>15.03</v>
      </c>
      <c r="CK21" s="36">
        <f t="shared" si="30"/>
        <v>39.630000000000003</v>
      </c>
      <c r="CL21" s="36">
        <f t="shared" si="31"/>
        <v>3</v>
      </c>
      <c r="CM21" s="36">
        <f t="shared" si="32"/>
        <v>3.18</v>
      </c>
      <c r="CN21" s="36">
        <f t="shared" si="33"/>
        <v>10.48</v>
      </c>
      <c r="CO21" s="36">
        <f t="shared" si="34"/>
        <v>39.630000000000003</v>
      </c>
      <c r="CP21" s="36" t="str">
        <f t="shared" si="35"/>
        <v/>
      </c>
      <c r="CQ21" s="36" t="str">
        <f t="shared" si="36"/>
        <v/>
      </c>
      <c r="CR21" s="36" t="str">
        <f t="shared" si="37"/>
        <v/>
      </c>
      <c r="CS21" s="36">
        <f t="shared" si="38"/>
        <v>39.630000000000003</v>
      </c>
      <c r="CT21" s="47" t="str">
        <f t="shared" si="39"/>
        <v/>
      </c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36" t="str">
        <f t="shared" si="40"/>
        <v/>
      </c>
      <c r="DP21" s="36" t="str">
        <f t="shared" si="41"/>
        <v/>
      </c>
      <c r="DQ21" s="36" t="str">
        <f t="shared" si="42"/>
        <v/>
      </c>
      <c r="DR21" s="36" t="str">
        <f t="shared" si="43"/>
        <v/>
      </c>
      <c r="DS21" s="36" t="str">
        <f t="shared" si="44"/>
        <v/>
      </c>
      <c r="DT21" s="36" t="str">
        <f t="shared" si="45"/>
        <v/>
      </c>
      <c r="DU21" s="36" t="str">
        <f t="shared" si="46"/>
        <v/>
      </c>
      <c r="DV21" s="36" t="str">
        <f t="shared" si="47"/>
        <v/>
      </c>
      <c r="DW21" s="36" t="str">
        <f t="shared" si="48"/>
        <v/>
      </c>
      <c r="DX21" s="36" t="str">
        <f t="shared" si="49"/>
        <v/>
      </c>
      <c r="DY21" s="36" t="str">
        <f t="shared" si="50"/>
        <v/>
      </c>
      <c r="DZ21" s="36" t="str">
        <f t="shared" si="51"/>
        <v/>
      </c>
      <c r="EA21" s="36" t="str">
        <f t="shared" si="52"/>
        <v/>
      </c>
      <c r="EB21" s="36" t="str">
        <f t="shared" si="53"/>
        <v/>
      </c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1" t="str">
        <f t="shared" si="54"/>
        <v/>
      </c>
      <c r="EX21" s="11" t="str">
        <f t="shared" si="55"/>
        <v/>
      </c>
      <c r="EY21" s="11" t="str">
        <f t="shared" si="56"/>
        <v/>
      </c>
      <c r="EZ21" s="11" t="str">
        <f t="shared" si="57"/>
        <v/>
      </c>
      <c r="FA21" s="11" t="str">
        <f t="shared" si="58"/>
        <v/>
      </c>
      <c r="FB21" s="11" t="str">
        <f t="shared" si="59"/>
        <v/>
      </c>
      <c r="FC21" s="11" t="str">
        <f t="shared" si="60"/>
        <v/>
      </c>
      <c r="FD21" s="11" t="str">
        <f t="shared" si="61"/>
        <v/>
      </c>
      <c r="FE21" s="11" t="str">
        <f t="shared" si="62"/>
        <v/>
      </c>
      <c r="FF21" s="11" t="str">
        <f t="shared" si="63"/>
        <v/>
      </c>
      <c r="FG21" s="11" t="str">
        <f t="shared" si="64"/>
        <v/>
      </c>
      <c r="FH21" s="11" t="str">
        <f t="shared" si="65"/>
        <v/>
      </c>
      <c r="FI21" s="11" t="str">
        <f t="shared" si="66"/>
        <v/>
      </c>
      <c r="FJ21" s="11" t="str">
        <f t="shared" si="67"/>
        <v/>
      </c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36" t="str">
        <f t="shared" si="68"/>
        <v/>
      </c>
      <c r="GF21" s="36" t="str">
        <f t="shared" si="69"/>
        <v/>
      </c>
      <c r="GG21" s="36" t="str">
        <f t="shared" si="70"/>
        <v/>
      </c>
      <c r="GH21" s="36" t="str">
        <f t="shared" si="71"/>
        <v/>
      </c>
      <c r="GI21" s="36" t="str">
        <f t="shared" si="72"/>
        <v/>
      </c>
      <c r="GJ21" s="36" t="str">
        <f t="shared" si="73"/>
        <v/>
      </c>
      <c r="GK21" s="36" t="str">
        <f t="shared" si="74"/>
        <v/>
      </c>
      <c r="GL21" s="36" t="str">
        <f t="shared" si="75"/>
        <v/>
      </c>
      <c r="GM21" s="36" t="str">
        <f t="shared" si="76"/>
        <v/>
      </c>
      <c r="GN21" s="36" t="str">
        <f t="shared" si="77"/>
        <v/>
      </c>
      <c r="GO21" s="36" t="str">
        <f t="shared" si="78"/>
        <v/>
      </c>
      <c r="GP21" s="36" t="str">
        <f t="shared" si="79"/>
        <v/>
      </c>
      <c r="GQ21" s="36" t="str">
        <f t="shared" si="80"/>
        <v/>
      </c>
      <c r="GR21" s="36" t="str">
        <f t="shared" si="81"/>
        <v/>
      </c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1" t="str">
        <f t="shared" si="82"/>
        <v/>
      </c>
      <c r="HN21" s="11" t="str">
        <f t="shared" si="83"/>
        <v/>
      </c>
      <c r="HO21" s="11" t="str">
        <f t="shared" si="84"/>
        <v/>
      </c>
      <c r="HP21" s="11" t="str">
        <f t="shared" si="85"/>
        <v/>
      </c>
      <c r="HQ21" s="11" t="str">
        <f t="shared" si="86"/>
        <v/>
      </c>
      <c r="HR21" s="11" t="str">
        <f t="shared" si="87"/>
        <v/>
      </c>
      <c r="HS21" s="11" t="str">
        <f t="shared" si="88"/>
        <v/>
      </c>
      <c r="HT21" s="11" t="str">
        <f t="shared" si="89"/>
        <v/>
      </c>
      <c r="HU21" s="11" t="str">
        <f t="shared" si="90"/>
        <v/>
      </c>
      <c r="HV21" s="11" t="str">
        <f t="shared" si="91"/>
        <v/>
      </c>
      <c r="HW21" s="11" t="str">
        <f t="shared" si="92"/>
        <v/>
      </c>
      <c r="HX21" s="11" t="str">
        <f t="shared" si="93"/>
        <v/>
      </c>
      <c r="HY21" s="11" t="str">
        <f t="shared" si="94"/>
        <v/>
      </c>
      <c r="HZ21" s="11" t="str">
        <f t="shared" si="95"/>
        <v/>
      </c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36" t="str">
        <f t="shared" si="96"/>
        <v/>
      </c>
      <c r="IV21" s="36" t="str">
        <f t="shared" si="97"/>
        <v/>
      </c>
      <c r="IW21" s="36" t="str">
        <f t="shared" si="98"/>
        <v/>
      </c>
      <c r="IX21" s="36" t="str">
        <f t="shared" si="99"/>
        <v/>
      </c>
      <c r="IY21" s="36" t="str">
        <f t="shared" si="100"/>
        <v/>
      </c>
      <c r="IZ21" s="36" t="str">
        <f t="shared" si="101"/>
        <v/>
      </c>
      <c r="JA21" s="36" t="str">
        <f t="shared" si="102"/>
        <v/>
      </c>
      <c r="JB21" s="36" t="str">
        <f t="shared" si="103"/>
        <v/>
      </c>
      <c r="JC21" s="36" t="str">
        <f t="shared" si="104"/>
        <v/>
      </c>
      <c r="JD21" s="36" t="str">
        <f t="shared" si="105"/>
        <v/>
      </c>
      <c r="JE21" s="36" t="str">
        <f t="shared" si="106"/>
        <v/>
      </c>
      <c r="JF21" s="36" t="str">
        <f t="shared" si="107"/>
        <v/>
      </c>
      <c r="JG21" s="36" t="str">
        <f t="shared" si="108"/>
        <v/>
      </c>
      <c r="JH21" s="36" t="str">
        <f t="shared" si="109"/>
        <v/>
      </c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1" t="str">
        <f t="shared" si="110"/>
        <v/>
      </c>
      <c r="KD21" s="11" t="str">
        <f t="shared" si="111"/>
        <v/>
      </c>
      <c r="KE21" s="11" t="str">
        <f t="shared" si="112"/>
        <v/>
      </c>
      <c r="KF21" s="11" t="str">
        <f t="shared" si="113"/>
        <v/>
      </c>
      <c r="KG21" s="11" t="str">
        <f t="shared" si="114"/>
        <v/>
      </c>
      <c r="KH21" s="11" t="str">
        <f t="shared" si="115"/>
        <v/>
      </c>
      <c r="KI21" s="11" t="str">
        <f t="shared" si="116"/>
        <v/>
      </c>
      <c r="KJ21" s="11" t="str">
        <f t="shared" si="117"/>
        <v/>
      </c>
      <c r="KK21" s="11" t="str">
        <f t="shared" si="118"/>
        <v/>
      </c>
      <c r="KL21" s="11" t="str">
        <f t="shared" si="119"/>
        <v/>
      </c>
      <c r="KM21" s="11" t="str">
        <f t="shared" si="120"/>
        <v/>
      </c>
      <c r="KN21" s="11" t="str">
        <f t="shared" si="121"/>
        <v/>
      </c>
      <c r="KO21" s="11" t="str">
        <f t="shared" si="122"/>
        <v/>
      </c>
      <c r="KP21" s="11" t="str">
        <f t="shared" si="123"/>
        <v/>
      </c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36" t="str">
        <f t="shared" si="124"/>
        <v/>
      </c>
      <c r="LL21" s="36" t="str">
        <f t="shared" si="125"/>
        <v/>
      </c>
      <c r="LM21" s="36" t="str">
        <f t="shared" si="126"/>
        <v/>
      </c>
      <c r="LN21" s="36" t="str">
        <f t="shared" si="127"/>
        <v/>
      </c>
      <c r="LO21" s="36" t="str">
        <f t="shared" si="128"/>
        <v/>
      </c>
      <c r="LP21" s="36" t="str">
        <f t="shared" si="129"/>
        <v/>
      </c>
      <c r="LQ21" s="36" t="str">
        <f t="shared" si="130"/>
        <v/>
      </c>
      <c r="LR21" s="36" t="str">
        <f t="shared" si="131"/>
        <v/>
      </c>
      <c r="LS21" s="36" t="str">
        <f t="shared" si="132"/>
        <v/>
      </c>
      <c r="LT21" s="36" t="str">
        <f t="shared" si="133"/>
        <v/>
      </c>
      <c r="LU21" s="36" t="str">
        <f t="shared" si="134"/>
        <v/>
      </c>
      <c r="LV21" s="36" t="str">
        <f t="shared" si="135"/>
        <v/>
      </c>
      <c r="LW21" s="36" t="str">
        <f t="shared" si="136"/>
        <v/>
      </c>
      <c r="LX21" s="36" t="str">
        <f t="shared" si="137"/>
        <v/>
      </c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1" t="str">
        <f t="shared" si="138"/>
        <v/>
      </c>
      <c r="MT21" s="11" t="str">
        <f t="shared" si="139"/>
        <v/>
      </c>
      <c r="MU21" s="11" t="str">
        <f t="shared" si="140"/>
        <v/>
      </c>
      <c r="MV21" s="11" t="str">
        <f t="shared" si="141"/>
        <v/>
      </c>
      <c r="MW21" s="11" t="str">
        <f t="shared" si="142"/>
        <v/>
      </c>
      <c r="MX21" s="11" t="str">
        <f t="shared" si="143"/>
        <v/>
      </c>
      <c r="MY21" s="11" t="str">
        <f t="shared" si="144"/>
        <v/>
      </c>
      <c r="MZ21" s="11" t="str">
        <f t="shared" si="145"/>
        <v/>
      </c>
      <c r="NA21" s="11" t="str">
        <f t="shared" si="146"/>
        <v/>
      </c>
      <c r="NB21" s="11" t="str">
        <f t="shared" si="147"/>
        <v/>
      </c>
      <c r="NC21" s="11" t="str">
        <f t="shared" si="148"/>
        <v/>
      </c>
      <c r="ND21" s="11" t="str">
        <f t="shared" si="149"/>
        <v/>
      </c>
      <c r="NE21" s="11" t="str">
        <f t="shared" si="150"/>
        <v/>
      </c>
      <c r="NF21" s="11" t="str">
        <f t="shared" si="151"/>
        <v/>
      </c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36" t="str">
        <f t="shared" si="152"/>
        <v/>
      </c>
      <c r="OB21" s="36" t="str">
        <f t="shared" si="153"/>
        <v/>
      </c>
      <c r="OC21" s="36" t="str">
        <f t="shared" si="154"/>
        <v/>
      </c>
      <c r="OD21" s="36" t="str">
        <f t="shared" si="155"/>
        <v/>
      </c>
      <c r="OE21" s="36" t="str">
        <f t="shared" si="156"/>
        <v/>
      </c>
      <c r="OF21" s="36" t="str">
        <f t="shared" si="157"/>
        <v/>
      </c>
      <c r="OG21" s="36" t="str">
        <f t="shared" si="158"/>
        <v/>
      </c>
      <c r="OH21" s="36" t="str">
        <f t="shared" si="159"/>
        <v/>
      </c>
      <c r="OI21" s="36" t="str">
        <f t="shared" si="160"/>
        <v/>
      </c>
      <c r="OJ21" s="36" t="str">
        <f t="shared" si="161"/>
        <v/>
      </c>
      <c r="OK21" s="36" t="str">
        <f t="shared" si="162"/>
        <v/>
      </c>
      <c r="OL21" s="36" t="str">
        <f t="shared" si="163"/>
        <v/>
      </c>
      <c r="OM21" s="36" t="str">
        <f t="shared" si="164"/>
        <v/>
      </c>
      <c r="ON21" s="36" t="str">
        <f t="shared" si="165"/>
        <v/>
      </c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1" t="str">
        <f t="shared" si="166"/>
        <v/>
      </c>
      <c r="PJ21" s="11" t="str">
        <f t="shared" si="167"/>
        <v/>
      </c>
      <c r="PK21" s="11" t="str">
        <f t="shared" si="168"/>
        <v/>
      </c>
      <c r="PL21" s="11" t="str">
        <f t="shared" si="169"/>
        <v/>
      </c>
      <c r="PM21" s="11" t="str">
        <f t="shared" si="170"/>
        <v/>
      </c>
      <c r="PN21" s="11" t="str">
        <f t="shared" si="171"/>
        <v/>
      </c>
      <c r="PO21" s="11" t="str">
        <f t="shared" si="172"/>
        <v/>
      </c>
      <c r="PP21" s="11" t="str">
        <f t="shared" si="173"/>
        <v/>
      </c>
      <c r="PQ21" s="11" t="str">
        <f t="shared" si="174"/>
        <v/>
      </c>
      <c r="PR21" s="11" t="str">
        <f t="shared" si="175"/>
        <v/>
      </c>
      <c r="PS21" s="11" t="str">
        <f t="shared" si="176"/>
        <v/>
      </c>
      <c r="PT21" s="11" t="str">
        <f t="shared" si="177"/>
        <v/>
      </c>
      <c r="PU21" s="11" t="str">
        <f t="shared" si="178"/>
        <v/>
      </c>
      <c r="PV21" s="11" t="str">
        <f t="shared" si="179"/>
        <v/>
      </c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36" t="str">
        <f t="shared" si="180"/>
        <v/>
      </c>
      <c r="QR21" s="36" t="str">
        <f t="shared" si="181"/>
        <v/>
      </c>
      <c r="QS21" s="36" t="str">
        <f t="shared" si="182"/>
        <v/>
      </c>
      <c r="QT21" s="36" t="str">
        <f t="shared" si="183"/>
        <v/>
      </c>
      <c r="QU21" s="36" t="str">
        <f t="shared" si="184"/>
        <v/>
      </c>
      <c r="QV21" s="36" t="str">
        <f t="shared" si="185"/>
        <v/>
      </c>
      <c r="QW21" s="36" t="str">
        <f t="shared" si="186"/>
        <v/>
      </c>
      <c r="QX21" s="36" t="str">
        <f t="shared" si="187"/>
        <v/>
      </c>
      <c r="QY21" s="36" t="str">
        <f t="shared" si="188"/>
        <v/>
      </c>
      <c r="QZ21" s="36" t="str">
        <f t="shared" si="189"/>
        <v/>
      </c>
      <c r="RA21" s="36" t="str">
        <f t="shared" si="190"/>
        <v/>
      </c>
      <c r="RB21" s="36" t="str">
        <f t="shared" si="191"/>
        <v/>
      </c>
      <c r="RC21" s="36" t="str">
        <f t="shared" si="192"/>
        <v/>
      </c>
      <c r="RD21" s="36" t="str">
        <f t="shared" si="193"/>
        <v/>
      </c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1" t="str">
        <f t="shared" si="194"/>
        <v/>
      </c>
      <c r="RZ21" s="11" t="str">
        <f t="shared" si="195"/>
        <v/>
      </c>
      <c r="SA21" s="11" t="str">
        <f t="shared" si="196"/>
        <v/>
      </c>
      <c r="SB21" s="11" t="str">
        <f t="shared" si="197"/>
        <v/>
      </c>
      <c r="SC21" s="11" t="str">
        <f t="shared" si="198"/>
        <v/>
      </c>
      <c r="SD21" s="11" t="str">
        <f t="shared" si="199"/>
        <v/>
      </c>
      <c r="SE21" s="11" t="str">
        <f t="shared" si="200"/>
        <v/>
      </c>
      <c r="SF21" s="11" t="str">
        <f t="shared" si="201"/>
        <v/>
      </c>
      <c r="SG21" s="11" t="str">
        <f t="shared" si="202"/>
        <v/>
      </c>
      <c r="SH21" s="11" t="str">
        <f t="shared" si="203"/>
        <v/>
      </c>
      <c r="SI21" s="11" t="str">
        <f t="shared" si="204"/>
        <v/>
      </c>
      <c r="SJ21" s="11" t="str">
        <f t="shared" si="205"/>
        <v/>
      </c>
      <c r="SK21" s="11" t="str">
        <f t="shared" si="206"/>
        <v/>
      </c>
      <c r="SL21" s="11" t="str">
        <f t="shared" si="207"/>
        <v/>
      </c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36" t="str">
        <f t="shared" si="208"/>
        <v/>
      </c>
      <c r="TH21" s="36" t="str">
        <f t="shared" si="209"/>
        <v/>
      </c>
      <c r="TI21" s="36" t="str">
        <f t="shared" si="210"/>
        <v/>
      </c>
      <c r="TJ21" s="36" t="str">
        <f t="shared" si="211"/>
        <v/>
      </c>
      <c r="TK21" s="36" t="str">
        <f t="shared" si="212"/>
        <v/>
      </c>
      <c r="TL21" s="36" t="str">
        <f t="shared" si="213"/>
        <v/>
      </c>
      <c r="TM21" s="36" t="str">
        <f t="shared" si="214"/>
        <v/>
      </c>
      <c r="TN21" s="36" t="str">
        <f t="shared" si="215"/>
        <v/>
      </c>
      <c r="TO21" s="36" t="str">
        <f t="shared" si="216"/>
        <v/>
      </c>
      <c r="TP21" s="36" t="str">
        <f t="shared" si="217"/>
        <v/>
      </c>
      <c r="TQ21" s="36" t="str">
        <f t="shared" si="218"/>
        <v/>
      </c>
      <c r="TR21" s="36" t="str">
        <f t="shared" si="219"/>
        <v/>
      </c>
      <c r="TS21" s="36" t="str">
        <f t="shared" si="220"/>
        <v/>
      </c>
      <c r="TT21" s="36" t="str">
        <f t="shared" si="221"/>
        <v/>
      </c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1" t="str">
        <f t="shared" si="222"/>
        <v/>
      </c>
      <c r="UP21" s="11" t="str">
        <f t="shared" si="223"/>
        <v/>
      </c>
      <c r="UQ21" s="11" t="str">
        <f t="shared" si="224"/>
        <v/>
      </c>
      <c r="UR21" s="11" t="str">
        <f t="shared" si="225"/>
        <v/>
      </c>
      <c r="US21" s="11" t="str">
        <f t="shared" si="226"/>
        <v/>
      </c>
      <c r="UT21" s="11" t="str">
        <f t="shared" si="227"/>
        <v/>
      </c>
      <c r="UU21" s="11" t="str">
        <f t="shared" si="228"/>
        <v/>
      </c>
      <c r="UV21" s="11" t="str">
        <f t="shared" si="229"/>
        <v/>
      </c>
      <c r="UW21" s="11" t="str">
        <f t="shared" si="230"/>
        <v/>
      </c>
      <c r="UX21" s="11" t="str">
        <f t="shared" si="231"/>
        <v/>
      </c>
      <c r="UY21" s="11" t="str">
        <f t="shared" si="232"/>
        <v/>
      </c>
      <c r="UZ21" s="11" t="str">
        <f t="shared" si="233"/>
        <v/>
      </c>
      <c r="VA21" s="11" t="str">
        <f t="shared" si="234"/>
        <v/>
      </c>
      <c r="VB21" s="11" t="str">
        <f t="shared" si="235"/>
        <v/>
      </c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36" t="str">
        <f t="shared" si="236"/>
        <v/>
      </c>
      <c r="VX21" s="36" t="str">
        <f t="shared" si="237"/>
        <v/>
      </c>
      <c r="VY21" s="36" t="str">
        <f t="shared" si="238"/>
        <v/>
      </c>
      <c r="VZ21" s="36" t="str">
        <f t="shared" si="239"/>
        <v/>
      </c>
      <c r="WA21" s="36" t="str">
        <f t="shared" si="240"/>
        <v/>
      </c>
      <c r="WB21" s="36" t="str">
        <f t="shared" si="241"/>
        <v/>
      </c>
      <c r="WC21" s="36" t="str">
        <f t="shared" si="242"/>
        <v/>
      </c>
      <c r="WD21" s="36" t="str">
        <f t="shared" si="243"/>
        <v/>
      </c>
      <c r="WE21" s="36" t="str">
        <f t="shared" si="244"/>
        <v/>
      </c>
      <c r="WF21" s="36" t="str">
        <f t="shared" si="245"/>
        <v/>
      </c>
      <c r="WG21" s="36" t="str">
        <f t="shared" si="246"/>
        <v/>
      </c>
      <c r="WH21" s="36" t="str">
        <f t="shared" si="247"/>
        <v/>
      </c>
      <c r="WI21" s="36" t="str">
        <f t="shared" si="248"/>
        <v/>
      </c>
      <c r="WJ21" s="36" t="str">
        <f t="shared" si="249"/>
        <v/>
      </c>
    </row>
    <row r="22" spans="1:608" x14ac:dyDescent="0.2">
      <c r="A22" s="4" t="str" cm="1">
        <f t="array" ref="A22">IF(AND(H22&lt;&gt;"",H22&lt;&gt;"No DD",I22&lt;&gt;"P"),SUMPRODUCT((H$4:H$28&lt;&gt;"")*(H$4:H$28&lt;&gt;"No DD")*(I$4:I$28&lt;&gt;"P")*(E$4:E$28&gt;E22))+1,IF(H22="No DD",SUMPRODUCT((H$4:H$28="No DD")*(I$4:I$28&lt;&gt;"P")*(E$4:E$28&gt;E22))+1+SUMPRODUCT((H$4:H$28&lt;&gt;"")*(I$4:I$28&lt;&gt;"P")*(H$4:H$28&lt;&gt;"No DD")),""))</f>
        <v/>
      </c>
      <c r="B22" s="5" t="s">
        <v>190</v>
      </c>
      <c r="C22" s="4" t="s">
        <v>55</v>
      </c>
      <c r="D22" s="4">
        <v>2006</v>
      </c>
      <c r="E22" s="9">
        <f t="shared" si="0"/>
        <v>89.790008979004782</v>
      </c>
      <c r="F22" s="3" t="str">
        <f>IF(OR(AND(AG22&gt;=AQ$30,AG22&lt;&gt;"",AI22&gt;=AQ$34,AI22&lt;&gt;"",AF22=""),AND(AJ22&gt;=AQ$30,AJ22&lt;&gt;"",AL22&gt;=AQ$34,AL22&lt;&gt;"",AF22=""),AND(AN22&gt;=AQ$30,AN22&lt;&gt;"",AP22&gt;=AQ$34,AP22&lt;&gt;"",AF22=""),AND(BH22&gt;=BR$30,BH22&lt;&gt;"",BJ22&gt;=BR$34,BJ22&lt;&gt;"",BG22=""),AND(BK22&gt;=BR$30,BK22&lt;&gt;"",BM22&gt;=BR$34,BM22&lt;&gt;"",BG22=""),AND(BO22&gt;=BR$30,BO22&lt;&gt;"",BQ22&gt;=BR$34,BQ22&lt;&gt;"",BG22=""),AND(CI22&gt;=CS$30,CI22&lt;&gt;"",CK22&gt;=CS$34,CK22&lt;&gt;"",CH22=""),AND(CL22&gt;=CS$30,CL22&lt;&gt;"",CN22&gt;=CS$34,CN22&lt;&gt;"",CH22=""),AND(CP22&gt;=CS$30,CP22&lt;&gt;"",CR22&gt;=CS$34,CR22&lt;&gt;"",CH22=""),AND(DO22&gt;=EB$30,DO22&lt;&gt;"",DQ22&gt;=EB$34,DQ22&lt;&gt;""),AND(DR22&gt;=EB$30,DR22&lt;&gt;"",DT22&gt;=EB$34,DT22&lt;&gt;""),AND(DV22&gt;=EB$30,DV22&lt;&gt;"",DX22&gt;=EB$34,DX22&lt;&gt;""),AND(DY22&gt;=EB$30,DY22&lt;&gt;"",EA22&gt;=EB$34,EA22&lt;&gt;""),AND(EW22&gt;=FJ$30,EW22&lt;&gt;"",EY22&gt;=FJ$34,EY22&lt;&gt;""),AND(EZ22&gt;=FJ$30,EZ22&lt;&gt;"",FB22&gt;=FJ$34,FB22&lt;&gt;""),AND(FD22&gt;=FJ$30,FD22&lt;&gt;"",FF22&gt;=FJ$34,FF22&lt;&gt;""),AND(FG22&gt;=FJ$30,FG22&lt;&gt;"",FI22&gt;=FJ$34,FI22&lt;&gt;""),AND(GE22&gt;=GR$30,GE22&lt;&gt;"",GG22&gt;=GR$34,GG22&lt;&gt;""),AND(GH22&gt;=GR$30,GH22&lt;&gt;"",GJ22&gt;=GR$34,GJ22&lt;&gt;""),AND(GL22&gt;=GR$30,GL22&lt;&gt;"",GN22&gt;=GR$34,GN22&lt;&gt;""),AND(GO22&gt;=GR$30,GO22&lt;&gt;"",GQ22&gt;=GR$34,GQ22&lt;&gt;""),AND(HM22&gt;=HZ$30,HM22&lt;&gt;"",HO22&gt;=HZ$34,HO22&lt;&gt;""),AND(HP22&gt;=HZ$30,HP22&lt;&gt;"",HR22&gt;=HZ$34,HR22&lt;&gt;""),AND(HT22&gt;=HZ$30,HT22&lt;&gt;"",HV22&gt;=HZ$34,HV22&lt;&gt;""),AND(HW22&gt;=HZ$30,HW22&lt;&gt;"",HY22&gt;=HZ$34,HY22&lt;&gt;""),AND(IU22&gt;=JH$30,IU22&lt;&gt;"",IW22&gt;=JH$34,IW22&lt;&gt;""),AND(IX22&gt;=JH$30,IX22&lt;&gt;"",IZ22&gt;=JH$34,IZ22&lt;&gt;""),AND(JB22&gt;=JH$30,JB22&lt;&gt;"",JD22&gt;=JH$34,JD22&lt;&gt;""),AND(JE22&gt;=JH$30,JE22&lt;&gt;"",JG22&gt;=JH$34,JG22&lt;&gt;""),AND(KC22&gt;=KP$30,KC22&lt;&gt;"",KE22&gt;=KP$34,KE22&lt;&gt;""),AND(KF22&gt;=KP$30,KF22&lt;&gt;"",KH22&gt;=KP$34,KH22&lt;&gt;""),AND(KJ22&gt;=KP$30,KJ22&lt;&gt;"",KL22&gt;=KP$34,KL22&lt;&gt;""),AND(KM22&gt;=KP$30,KM22&lt;&gt;"",KO22&gt;=KP$34,KO22&lt;&gt;""),AND(LK22&gt;=LX$30,LK22&lt;&gt;"",LM22&gt;=LX$34,LM22&lt;&gt;""),AND(LN22&gt;=LX$30,LN22&lt;&gt;"",LP22&gt;=LX$34,LP22&lt;&gt;""),AND(LR22&gt;=LX$30,LR22&lt;&gt;"",LT22&gt;=LX$34,LT22&lt;&gt;""),AND(LU22&gt;=LX$30,LU22&lt;&gt;"",LW22&gt;=LX$34,LW22&lt;&gt;""),AND(MS22&gt;=NF$30,MS22&lt;&gt;"",MU22&gt;=NF$34,MU22&lt;&gt;""),AND(MV22&gt;=NF$30,MV22&lt;&gt;"",MX22&gt;=NF$34,MX22&lt;&gt;""),AND(MZ22&gt;=NF$30,MZ22&lt;&gt;"",NB22&gt;=NF$34,NB22&lt;&gt;""),AND(NC22&gt;=NF$30,NC22&lt;&gt;"",NE22&gt;=NF$34,NE22&lt;&gt;""),AND(OA22&gt;=ON$30,OA22&lt;&gt;"",OC22&gt;=ON$34,OC22&lt;&gt;""),AND(OD22&gt;=ON$30,OD22&lt;&gt;"",OF22&gt;=ON$34,OF22&lt;&gt;""),AND(OH22&gt;=ON$30,OH22&lt;&gt;"",OJ22&gt;=ON$34,OJ22&lt;&gt;""),AND(OK22&gt;=ON$30,OK22&lt;&gt;"",OM22&gt;=ON$34,OM22&lt;&gt;""),AND(PI22&gt;=PV$30,PI22&lt;&gt;"",PK22&gt;=PV$34,PK22&lt;&gt;""),AND(PL22&gt;=PV$30,PL22&lt;&gt;"",PN22&gt;=PV$34,PN22&lt;&gt;""),AND(PP22&gt;=PV$30,PP22&lt;&gt;"",PR22&gt;=PV$34,PR22&lt;&gt;""),AND(PS22&gt;=PV$30,PS22&lt;&gt;"",PU22&gt;=PV$34,PU22&lt;&gt;""),AND(QQ22&gt;=RD$30,QQ22&lt;&gt;"",QS22&gt;=RD$34,QS22&lt;&gt;""),AND(QT22&gt;=RD$30,QT22&lt;&gt;"",QV22&gt;=RD$34,QV22&lt;&gt;""),AND(QX22&gt;=RD$30,QX22&lt;&gt;"",QZ22&gt;=RD$34,QZ22&lt;&gt;""),AND(RA22&gt;=RD$30,RA22&lt;&gt;"",RC22&gt;=RD$34,RC22&lt;&gt;""),AND(RY22&gt;=SL$30,RY22&lt;&gt;"",SA22&gt;=SL$34,SA22&lt;&gt;""),AND(SB22&gt;=SL$30,SB22&lt;&gt;"",SD22&gt;=SL$34,SD22&lt;&gt;""),AND(SF22&gt;=SL$30,SF22&lt;&gt;"",SH22&gt;=SL$34,SH22&lt;&gt;""),AND(SI22&gt;=SL$30,SI22&lt;&gt;"",SK22&gt;=SL$34,SK22&lt;&gt;""),AND(TG22&gt;=TT$30,TG22&lt;&gt;"",TI22&gt;=TT$34,TI22&lt;&gt;""),AND(TJ22&gt;=TT$30,TJ22&lt;&gt;"",TL22&gt;=TT$34,TL22&lt;&gt;""),AND(TN22&gt;=TT$30,TN22&lt;&gt;"",TP22&gt;=TT$34,TXN22&lt;&gt;""),AND(TQ22&gt;=TT$30,TQ22&lt;&gt;"",TS22&gt;=TT$34,TS22&lt;&gt;""),AND(UO22&gt;=VB$30,UO22&lt;&gt;"",UQ22&gt;=VB$34,UQ22&lt;&gt;""),AND(UR22&gt;=VB$30,UR22&lt;&gt;"",UT22&gt;=VB$34,UT22&lt;&gt;""),AND(UV22&gt;=VB$30,UV22&lt;&gt;"",UX22&gt;=VB$34,UX22&lt;&gt;""),AND(UY22&gt;=VB$30,UY22&lt;&gt;"",VA22&gt;=VB$34,VA22&lt;&gt;""),AND(VW22&gt;=WJ$30,VW22&lt;&gt;"",VY22&gt;=WJ$34,VY22&lt;&gt;""),AND(VZ22&gt;=WJ$30,VZ22&lt;&gt;"",WB22&gt;=WJ$34,WB22&lt;&gt;""),AND(WD22&gt;=WJ$30,WD22&lt;&gt;"",WF22&gt;=WJ$34,WF22&lt;&gt;""),AND(WG22&gt;=WJ$30,WG22&lt;&gt;"",WI22&gt;=WJ$34,WI22&lt;&gt;"")),"P","")</f>
        <v/>
      </c>
      <c r="G22" s="3" t="str">
        <f>IF(OR(AND(AI22&gt;=AQ$34,AI22&lt;&gt;"",AF22=""),AND(AL22&gt;=AQ$34,AL22&lt;&gt;"",AF22=""),AND(AP22&gt;=AQ$34,AP22&lt;&gt;"",AF22=""),AND(BJ22&gt;=BR$34,BJ22&lt;&gt;"",BG22=""),AND(BM22&gt;=BR$34,BM22&lt;&gt;"",BG22=""),AND(BQ22&gt;=BR$34,BQ22&lt;&gt;"",BG22=""),AND(CK22&gt;=CS$34,CK22&lt;&gt;"",CH22=""),AND(CN22&gt;=CS$34,CN22&lt;&gt;"",CH22=""),AND(CR22&gt;=CS$34,CR22&lt;&gt;"",CH22=""),AND(DQ22&gt;=EB$34,DQ22&lt;&gt;""),AND(DT22&gt;=EB$34,DT22&lt;&gt;""),AND(DX22&gt;=EB$34,DX22&lt;&gt;""),AND(EA22&gt;=EB$34,EA22&lt;&gt;""),AND(EY22&gt;=FJ$34,EY22&lt;&gt;""),AND(FB22&gt;=FJ$34,FB22&lt;&gt;""),AND(FF22&gt;=FJ$34,FF22&lt;&gt;""),AND(FI22&gt;=FJ$34,FI22&lt;&gt;""),AND(GG22&gt;=GR$34,GG22&lt;&gt;""),AND(GJ22&gt;=GR$34,GJ22&lt;&gt;""),AND(GN22&gt;=GR$34,GN22&lt;&gt;""),AND(GQ22&gt;=GR$34,GQ22&lt;&gt;""),AND(HO22&gt;=HZ$34,HO22&lt;&gt;""),AND(HR22&gt;=HZ$34,HR22&lt;&gt;""),AND(HV22&gt;=HZ$34,HV22&lt;&gt;""),AND(HY22&gt;=HZ$34,HY22&lt;&gt;""),AND(IW22&gt;=JH$34,IW22&lt;&gt;""),AND(IZ22&gt;=JH$34,IZ22&lt;&gt;""),AND(JD22&gt;=JH$34,JD22&lt;&gt;""),AND(JG22&gt;=JH$34,JG22&lt;&gt;""),AND(KE22&gt;=KP$34,KE22&lt;&gt;""),AND(KH22&gt;=KP$34,KH22&lt;&gt;""),AND(KL22&gt;=KP$34,KL22&lt;&gt;""),AND(KO22&gt;=KP$34,KO22&lt;&gt;""),AND(LM22&gt;=LX$34,LM22&lt;&gt;""),AND(LP22&gt;=LX$34,LP22&lt;&gt;""),AND(LT22&gt;=LX$34,LT22&lt;&gt;""),AND(LW22&gt;=LX$34,LW22&lt;&gt;""),AND(MU22&gt;=NF$34,MU22&lt;&gt;""),AND(MX22&gt;=NF$34,MX22&lt;&gt;""),AND(NB22&gt;=NF$34,NB22&lt;&gt;""),AND(NE22&gt;=NF$34,NE22&lt;&gt;""),AND(OC22&gt;=ON$34,OC22&lt;&gt;""),AND(OF22&gt;=ON$34,OF22&lt;&gt;""),AND(OJ22&gt;=ON$34,OJ22&lt;&gt;""),AND(OM22&gt;=ON$34,OM22&lt;&gt;""),AND(PK22&gt;=PV$34,PK22&lt;&gt;""),AND(PN22&gt;=PV$34,PN22&lt;&gt;""),AND(PR22&gt;=PV$34,PR22&lt;&gt;""),AND(PU22&gt;=PV$34,PU22&lt;&gt;""),AND(QS22&gt;=RD$34,QS22&lt;&gt;""),AND(QV22&gt;=RD$34,QV22&lt;&gt;""),AND(QZ22&gt;=RD$34,QZ22&lt;&gt;""),AND(RC22&gt;=RD$34,RC22&lt;&gt;""),AND(SA22&gt;=SL$34,SA22&lt;&gt;""),AND(SD22&gt;=SL$34,SD22&lt;&gt;""),AND(SH22&gt;=SL$34,SH22&lt;&gt;""),AND(SK22&gt;=SL$34,SK22&lt;&gt;""),AND(TI22&gt;=TT$34,TI22&lt;&gt;""),AND(TL22&gt;=TT$34,TL22&lt;&gt;""),AND(TP22&gt;=TT$34,TXN22&lt;&gt;""),AND(TS22&gt;=TT$34,TS22&lt;&gt;""),AND(UQ22&gt;=VB$34,UQ22&lt;&gt;""),AND(UT22&gt;=VB$34,UT22&lt;&gt;""),AND(UX22&gt;=VB$34,UX22&lt;&gt;""),AND(VA22&gt;=VB$34,VA22&lt;&gt;""),AND(VY22&gt;=WJ$34,VY22&lt;&gt;""),AND(WB22&gt;=WJ$34,WB22&lt;&gt;""),AND(WF22&gt;=WJ$34,WF22&lt;&gt;""),AND(WI22&gt;=WJ$34,WI22&lt;&gt;"")),"P","")</f>
        <v/>
      </c>
      <c r="H22" s="32" t="str">
        <f>IF(AND(G22="P",F22=""),"No DD",IF(OR(AND(AG22&gt;=AQ$33,AG22&lt;&gt;"",AI22&gt;=AQ$37,AI22&lt;&gt;"",AF22=""),AND(AJ22&gt;=AQ$33,AJ22&lt;&gt;"",AL22&gt;=AQ$37,AL22&lt;&gt;"",AF22=""),AND(AN22&gt;=AQ$33,AN22&lt;&gt;"",AP22&gt;=AQ$37,AP22&lt;&gt;"",AF22=""),AND(BH22&gt;=BR$33,BH22&lt;&gt;"",BJ22&gt;=BR$37,BJ22&lt;&gt;"",BG22=""),AND(BK22&gt;=BR$33,BK22&lt;&gt;"",BM22&gt;=BR$37,BM22&lt;&gt;"",BG22=""),AND(BO22&gt;=BR$33,BO22&lt;&gt;"",BQ22&gt;=BR$37,BQ22&lt;&gt;"",BG22=""),AND(CI22&gt;=CS$33,CI22&lt;&gt;"",CK22&gt;=CS$37,CK22&lt;&gt;"",CH22=""),AND(CL22&gt;=CS$33,CL22&lt;&gt;"",CN22&gt;=CS$37,CN22&lt;&gt;"",CH22=""),AND(CP22&gt;=CS$33,CP22&lt;&gt;"",CR22&gt;=CS$37,CR22&lt;&gt;"",CH22=""),AND(DO22&gt;=EB$33,DO22&lt;&gt;"",DQ22&gt;=EB$37,DQ22&lt;&gt;""),AND(DR22&gt;=EB$33,DR22&lt;&gt;"",DT22&gt;=EB$37,DT22&lt;&gt;""),AND(DV22&gt;=EB$33,DV22&lt;&gt;"",DX22&gt;=EB$37,DX22&lt;&gt;""),AND(DY22&gt;=EB$33,DY22&lt;&gt;"",EA22&gt;=EB$37,EA22&lt;&gt;""),AND(EW22&gt;=FJ$33,EW22&lt;&gt;"",EY22&gt;=FJ$37,EY22&lt;&gt;""),AND(EZ22&gt;=FJ$33,EZ22&lt;&gt;"",FB22&gt;=FJ$37,FB22&lt;&gt;""),AND(FD22&gt;=FJ$33,FD22&lt;&gt;"",FF22&gt;=FJ$37,FF22&lt;&gt;""),AND(FG22&gt;=FJ$33,FG22&lt;&gt;"",FI22&gt;=FJ$37,FI22&lt;&gt;""),AND(GE22&gt;=GR$33,GE22&lt;&gt;"",GG22&gt;=GR$37,GG22&lt;&gt;""),AND(GH22&gt;=GR$33,GH22&lt;&gt;"",GJ22&gt;=GR$37,GJ22&lt;&gt;""),AND(GL22&gt;=GR$33,GL22&lt;&gt;"",GN22&gt;=GR$37,GN22&lt;&gt;""),AND(GO22&gt;=GR$33,GO22&lt;&gt;"",GQ22&gt;=GR$37,GQ22&lt;&gt;""),AND(HM22&gt;=HZ$33,HM22&lt;&gt;"",HO22&gt;=HZ$37,HO22&lt;&gt;""),AND(HP22&gt;=HZ$33,HP22&lt;&gt;"",HR22&gt;=HZ$37,HR22&lt;&gt;""),AND(HT22&gt;=HZ$33,HT22&lt;&gt;"",HV22&gt;=HZ$37,HV22&lt;&gt;""),AND(HW22&gt;=HZ$33,HW22&lt;&gt;"",HY22&gt;=HZ$37,HY22&lt;&gt;""),AND(IU22&gt;=JH$33,IU22&lt;&gt;"",IW22&gt;=JH$37,IW22&lt;&gt;""),AND(IX22&gt;=JH$33,IX22&lt;&gt;"",IZ22&gt;=JH$37,IZ22&lt;&gt;""),AND(JB22&gt;=JH$33,JB22&lt;&gt;"",JD22&gt;=JH$37,JD22&lt;&gt;""),AND(JE22&gt;=JH$33,JE22&lt;&gt;"",JG22&gt;=JH$37,JG22&lt;&gt;""),AND(KC22&gt;=KP$33,KC22&lt;&gt;"",KE22&gt;=KP$37,KE22&lt;&gt;""),AND(KF22&gt;=KP$33,KF22&lt;&gt;"",KH22&gt;=KP$37,KH22&lt;&gt;""),AND(KJ22&gt;=KP$33,KJ22&lt;&gt;"",KL22&gt;=KP$37,KL22&lt;&gt;""),AND(KM22&gt;=KP$33,KM22&lt;&gt;"",KO22&gt;=KP$37,KO22&lt;&gt;""),AND(LK22&gt;=LX$33,LK22&lt;&gt;"",LM22&gt;=LX$37,LM22&lt;&gt;""),AND(LN22&gt;=LX$33,LN22&lt;&gt;"",LP22&gt;=LX$37,LP22&lt;&gt;""),AND(LR22&gt;=LX$33,LR22&lt;&gt;"",LT22&gt;=LX$37,LT22&lt;&gt;""),AND(LU22&gt;=LX$33,LU22&lt;&gt;"",LW22&gt;=LX$37,LW22&lt;&gt;""),AND(MS22&gt;=NF$33,MS22&lt;&gt;"",MU22&gt;=NF$37,MU22&lt;&gt;""),AND(MV22&gt;=NF$33,MV22&lt;&gt;"",MX22&gt;=NF$37,MX22&lt;&gt;""),AND(MZ22&gt;=NF$33,MZ22&lt;&gt;"",NB22&gt;=NF$37,NB22&lt;&gt;""),AND(NC22&gt;=NF$33,NC22&lt;&gt;"",NE22&gt;=NF$37,NE22&lt;&gt;""),AND(OA22&gt;=ON$33,OA22&lt;&gt;"",OC22&gt;=ON$37,OC22&lt;&gt;""),AND(OD22&gt;=ON$33,OD22&lt;&gt;"",OF22&gt;=ON$37,OF22&lt;&gt;""),AND(OH22&gt;=ON$33,OH22&lt;&gt;"",OJ22&gt;=ON$37,OJ22&lt;&gt;""),AND(OK22&gt;=ON$33,OK22&lt;&gt;"",OM22&gt;=ON$37,OM22&lt;&gt;""),AND(PI22&gt;=PV$33,PI22&lt;&gt;"",PK22&gt;=PV$37,PK22&lt;&gt;""),AND(PL22&gt;=PV$33,PL22&lt;&gt;"",PN22&gt;=PV$37,PN22&lt;&gt;""),AND(PP22&gt;=PV$33,PP22&lt;&gt;"",PR22&gt;=PV$37,PR22&lt;&gt;""),AND(PS22&gt;=PV$33,PS22&lt;&gt;"",PU22&gt;=PV$37,PU22&lt;&gt;""),AND(QQ22&gt;=RD$33,QQ22&lt;&gt;"",QS22&gt;=RD$37,QS22&lt;&gt;""),AND(QT22&gt;=RD$33,QT22&lt;&gt;"",QV22&gt;=RD$37,QV22&lt;&gt;""),AND(QX22&gt;=RD$33,QX22&lt;&gt;"",QZ22&gt;=RD$37,QZ22&lt;&gt;""),AND(RA22&gt;=RD$33,RA22&lt;&gt;"",RC22&gt;=RD$37,RC22&lt;&gt;""),AND(RY22&gt;=SL$33,RY22&lt;&gt;"",SA22&gt;=SL$37,SA22&lt;&gt;""),AND(SB22&gt;=SL$33,SB22&lt;&gt;"",SD22&gt;=SL$37,SD22&lt;&gt;""),AND(SF22&gt;=SL$33,SF22&lt;&gt;"",SH22&gt;=SL$37,SH22&lt;&gt;""),AND(SI22&gt;=SL$33,SI22&lt;&gt;"",SK22&gt;=SL$37,SK22&lt;&gt;""),AND(TG22&gt;=TT$33,TG22&lt;&gt;"",TI22&gt;=TT$37,TI22&lt;&gt;""),AND(TJ22&gt;=TT$33,TJ22&lt;&gt;"",TL22&gt;=TT$37,TL22&lt;&gt;""),AND(TN22&gt;=TT$33,TN22&lt;&gt;"",TP22&gt;=TT$357,TXN22&lt;&gt;""),AND(TQ22&gt;=TT$33,TQ22&lt;&gt;"",TS22&gt;=TT$37,TS22&lt;&gt;""),AND(UO22&gt;=VB$33,UO22&lt;&gt;"",UQ22&gt;=VB$37,UQ22&lt;&gt;""),AND(UR22&gt;=VB$33,UR22&lt;&gt;"",UT22&gt;=VB$37,UT22&lt;&gt;""),AND(UV22&gt;=VB$33,UV22&lt;&gt;"",UX22&gt;=VB$37,UX22&lt;&gt;""),AND(UY22&gt;=VB$33,UY22&lt;&gt;"",VA22&gt;=VB$37,VA22&lt;&gt;""),AND(VW22&gt;=WJ$33,VW22&lt;&gt;"",VY22&gt;=WJ$37,VY22&lt;&gt;""),AND(VZ22&gt;=WJ$33,VZ22&lt;&gt;"",WB22&gt;=WJ$37,WB22&lt;&gt;""),AND(WD22&gt;=WJ$33,WD22&lt;&gt;"",WF22&gt;=WJ$37,WF22&lt;&gt;""),AND(WG22&gt;=WJ$33,WG22&lt;&gt;"",WI22&gt;=WJ$37,WI22&lt;&gt;"")),"Merit",IF(OR(AND(AG22&gt;=AQ$32,AG22&lt;&gt;"",AI22&gt;=AQ$36,AI22&lt;&gt;"",AF22=""),AND(AJ22&gt;=AQ$32,AJ22&lt;&gt;"",AL22&gt;=AQ$36,AL22&lt;&gt;"",AF22=""),AND(AN22&gt;=AQ$32,AN22&lt;&gt;"",AP22&gt;=AQ$36,AP22&lt;&gt;"",AF22=""),AND(BH22&gt;=BR$32,BH22&lt;&gt;"",BJ22&gt;=BR$36,BJ22&lt;&gt;"",BG22=""),AND(BK22&gt;=BR$32,BK22&lt;&gt;"",BM22&gt;=BR$36,BM22&lt;&gt;"",BG22=""),AND(BO22&gt;=BR$32,BO22&lt;&gt;"",BQ22&gt;=BR$36,BQ22&lt;&gt;"",BG22=""),AND(CI22&gt;=CS$32,CI22&lt;&gt;"",CK22&gt;=CS$36,CK22&lt;&gt;"",CH22=""),AND(CL22&gt;=CS$32,CL22&lt;&gt;"",CN22&gt;=CS$36,CN22&lt;&gt;"",CH22=""),AND(CP22&gt;=CS$32,CP22&lt;&gt;"",CR22&gt;=CS$36,CR22&lt;&gt;"",CH22=""),AND(DO22&gt;=EB$32,DO22&lt;&gt;"",DQ22&gt;=EB$36,DQ22&lt;&gt;""),AND(DR22&gt;=EB$32,DR22&lt;&gt;"",DT22&gt;=EB$36,DT22&lt;&gt;""),AND(DV22&gt;=EB$32,DV22&lt;&gt;"",DX22&gt;=EB$36,DX22&lt;&gt;""),AND(DY22&gt;=EB$32,DY22&lt;&gt;"",EA22&gt;=EB$36,EA22&lt;&gt;""),AND(EW22&gt;=FJ$32,EW22&lt;&gt;"",EY22&gt;=FJ$36,EY22&lt;&gt;""),AND(EZ22&gt;=FJ$32,EZ22&lt;&gt;"",FB22&gt;=FJ$36,FB22&lt;&gt;""),AND(FD22&gt;=FJ$32,FD22&lt;&gt;"",FF22&gt;=FJ$36,FF22&lt;&gt;""),AND(FG22&gt;=FJ$32,FG22&lt;&gt;"",FI22&gt;=FJ$36,FI22&lt;&gt;""),AND(GE22&gt;=GR$32,GE22&lt;&gt;"",GG22&gt;=GR$36,GG22&lt;&gt;""),AND(GH22&gt;=GR$32,GH22&lt;&gt;"",GJ22&gt;=GR$36,GJ22&lt;&gt;""),AND(GL22&gt;=GR$32,GL22&lt;&gt;"",GN22&gt;=GR$36,GN22&lt;&gt;""),AND(GO22&gt;=GR$32,GO22&lt;&gt;"",GQ22&gt;=GR$36,GQ22&lt;&gt;""),AND(HM22&gt;=HZ$32,HM22&lt;&gt;"",HO22&gt;=HZ$36,HO22&lt;&gt;""),AND(HP22&gt;=HZ$32,HP22&lt;&gt;"",HR22&gt;=HZ$36,HR22&lt;&gt;""),AND(HT22&gt;=HZ$32,HT22&lt;&gt;"",HV22&gt;=HZ$36,HV22&lt;&gt;""),AND(HW22&gt;=HZ$32,HW22&lt;&gt;"",HY22&gt;=HZ$36,HY22&lt;&gt;""),AND(IU22&gt;=JH$32,IU22&lt;&gt;"",IW22&gt;=JH$36,IW22&lt;&gt;""),AND(IX22&gt;=JH$32,IX22&lt;&gt;"",IZ22&gt;=JH$36,IZ22&lt;&gt;""),AND(JB22&gt;=JH$32,JB22&lt;&gt;"",JD22&gt;=JH$36,JD22&lt;&gt;""),AND(JE22&gt;=JH$32,JE22&lt;&gt;"",JG22&gt;=JH$36,JG22&lt;&gt;""),AND(KC22&gt;=KP$32,KC22&lt;&gt;"",KE22&gt;=KP$36,KE22&lt;&gt;""),AND(KF22&gt;=KP$32,KF22&lt;&gt;"",KH22&gt;=KP$36,KH22&lt;&gt;""),AND(KJ22&gt;=KP$32,KJ22&lt;&gt;"",KL22&gt;=KP$36,KL22&lt;&gt;""),AND(KM22&gt;=KP$32,KM22&lt;&gt;"",KO22&gt;=KP$36,KO22&lt;&gt;""),AND(LK22&gt;=LX$32,LK22&lt;&gt;"",LM22&gt;=LX$36,LM22&lt;&gt;""),AND(LN22&gt;=LX$32,LN22&lt;&gt;"",LP22&gt;=LX$36,LP22&lt;&gt;""),AND(LR22&gt;=LX$32,LR22&lt;&gt;"",LT22&gt;=LX$36,LT22&lt;&gt;""),AND(LU22&gt;=LX$32,LU22&lt;&gt;"",LW22&gt;=LX$36,LW22&lt;&gt;""),AND(MS22&gt;=NF$32,MS22&lt;&gt;"",MU22&gt;=NF$36,MU22&lt;&gt;""),AND(MV22&gt;=NF$32,MV22&lt;&gt;"",MX22&gt;=NF$36,MX22&lt;&gt;""),AND(MZ22&gt;=NF$32,MZ22&lt;&gt;"",NB22&gt;=NF$36,NB22&lt;&gt;""),AND(NC22&gt;=NF$32,NC22&lt;&gt;"",NE22&gt;=NF$36,NE22&lt;&gt;""),AND(OA22&gt;=ON$32,OA22&lt;&gt;"",OC22&gt;=ON$36,OC22&lt;&gt;""),AND(OD22&gt;=ON$32,OD22&lt;&gt;"",OF22&gt;=ON$36,OF22&lt;&gt;""),AND(OH22&gt;=ON$32,OH22&lt;&gt;"",OJ22&gt;=ON$36,OJ22&lt;&gt;""),AND(OK22&gt;=ON$32,OK22&lt;&gt;"",OM22&gt;=ON$36,OM22&lt;&gt;""),AND(PI22&gt;=PV$32,PI22&lt;&gt;"",PK22&gt;=PV$36,PK22&lt;&gt;""),AND(PL22&gt;=PV$32,PL22&lt;&gt;"",PN22&gt;=PV$36,PN22&lt;&gt;""),AND(PP22&gt;=PV$32,PP22&lt;&gt;"",PR22&gt;=PV$36,PR22&lt;&gt;""),AND(PS22&gt;=PV$32,PS22&lt;&gt;"",PU22&gt;=PV$36,PU22&lt;&gt;""),AND(QQ22&gt;=RD$32,QQ22&lt;&gt;"",QS22&gt;=RD$36,QS22&lt;&gt;""),AND(QT22&gt;=RD$32,QT22&lt;&gt;"",QV22&gt;=RD$36,QV22&lt;&gt;""),AND(QX22&gt;=RD$32,QX22&lt;&gt;"",QZ22&gt;=RD$36,QZ22&lt;&gt;""),AND(RA22&gt;=RD$32,RA22&lt;&gt;"",RC22&gt;=RD$36,RC22&lt;&gt;""),AND(RY22&gt;=SL$32,RY22&lt;&gt;"",SA22&gt;=SL$36,SA22&lt;&gt;""),AND(SB22&gt;=SL$32,SB22&lt;&gt;"",SD22&gt;=SL$36,SD22&lt;&gt;""),AND(SF22&gt;=SL$32,SF22&lt;&gt;"",SH22&gt;=SL$36,SH22&lt;&gt;""),AND(SI22&gt;=SL$32,SI22&lt;&gt;"",SK22&gt;=SL$36,SK22&lt;&gt;""),AND(TG22&gt;=TT$32,TG22&lt;&gt;"",TI22&gt;=TT$36,TI22&lt;&gt;""),AND(TJ22&gt;=TT$32,TJ22&lt;&gt;"",TL22&gt;=TT$36,TL22&lt;&gt;""),AND(TN22&gt;=TT$32,TN22&lt;&gt;"",TP22&gt;=TT$36,TXN22&lt;&gt;""),AND(TQ22&gt;=TT$32,TQ22&lt;&gt;"",TS22&gt;=TT$36,TS22&lt;&gt;""),AND(UO22&gt;=VB$32,UO22&lt;&gt;"",UQ22&gt;=VB$36,UQ22&lt;&gt;""),AND(UR22&gt;=VB$32,UR22&lt;&gt;"",UT22&gt;=VB$36,UT22&lt;&gt;""),AND(UV22&gt;=VB$32,UV22&lt;&gt;"",UX22&gt;=VB$36,UX22&lt;&gt;""),AND(UY22&gt;=VB$32,UY22&lt;&gt;"",VA22&gt;=VB$36,VA22&lt;&gt;""),AND(VW22&gt;=WJ$32,VW22&lt;&gt;"",VY22&gt;=WJ$36,VY22&lt;&gt;""),AND(VZ22&gt;=WJ$32,VZ22&lt;&gt;"",WB22&gt;=WJ$36,WB22&lt;&gt;""),AND(WD22&gt;=WJ$32,WD22&lt;&gt;"",WF22&gt;=WJ$36,WF22&lt;&gt;""),AND(WG22&gt;=WJ$32,WG22&lt;&gt;"",WI22&gt;=WJ$36,WI22&lt;&gt;"")),"Excellence",IF(I22="P","National Team",IF(F22="P","National Team","")))))</f>
        <v/>
      </c>
      <c r="I22" s="3" t="str">
        <f>IF(COUNTIFS('Senior-M'!B:B,B22,'Senior-M'!A:A,"&lt;9",'Senior-M'!H:H,"&lt;&gt;"&amp;"No DD"),"P","")</f>
        <v/>
      </c>
      <c r="J22" s="8">
        <f t="shared" si="1"/>
        <v>47.7</v>
      </c>
      <c r="K22" s="8" t="str">
        <f t="shared" si="2"/>
        <v>2025 3rd Domestic Trial</v>
      </c>
      <c r="L22" s="8">
        <f>IFERROR(LARGE((AI22,AL22,AP22,BJ22,BM22,BQ22,CK22,CN22,CR22),2),0)</f>
        <v>42.09</v>
      </c>
      <c r="M22" s="8" t="str">
        <f t="shared" si="3"/>
        <v>2025 3rd Domestic Trial</v>
      </c>
      <c r="N22" s="8">
        <f t="shared" si="4"/>
        <v>0</v>
      </c>
      <c r="O22" s="11" t="str">
        <f>IF(N22=0,"",IF(N22=CT22,"("&amp;CT$2&amp;")",IF(N22=#REF!,"("&amp;#REF!&amp;")")))</f>
        <v/>
      </c>
      <c r="P22" s="8" t="str">
        <f t="shared" si="5"/>
        <v/>
      </c>
      <c r="Q22" s="18">
        <v>3.1</v>
      </c>
      <c r="R22" s="18">
        <v>2.8</v>
      </c>
      <c r="S22" s="18">
        <v>3</v>
      </c>
      <c r="T22" s="18">
        <v>4.47</v>
      </c>
      <c r="U22" s="18">
        <v>0</v>
      </c>
      <c r="V22" s="18">
        <v>8.1</v>
      </c>
      <c r="W22" s="18">
        <v>7.3</v>
      </c>
      <c r="X22" s="18">
        <v>10.199999999999999</v>
      </c>
      <c r="Y22" s="18">
        <v>11.55</v>
      </c>
      <c r="Z22" s="18">
        <v>0</v>
      </c>
      <c r="AA22" s="18">
        <v>1</v>
      </c>
      <c r="AB22" s="18">
        <v>0.8</v>
      </c>
      <c r="AC22" s="18">
        <v>2</v>
      </c>
      <c r="AD22" s="18">
        <v>1.53</v>
      </c>
      <c r="AE22" s="18">
        <v>0</v>
      </c>
      <c r="AF22" s="23"/>
      <c r="AG22" s="34">
        <f t="shared" si="6"/>
        <v>3</v>
      </c>
      <c r="AH22" s="34">
        <f t="shared" si="7"/>
        <v>4.47</v>
      </c>
      <c r="AI22" s="36">
        <f t="shared" si="8"/>
        <v>13.370000000000001</v>
      </c>
      <c r="AJ22" s="36">
        <f t="shared" si="9"/>
        <v>10.199999999999999</v>
      </c>
      <c r="AK22" s="36">
        <f t="shared" si="10"/>
        <v>11.55</v>
      </c>
      <c r="AL22" s="36">
        <f t="shared" si="11"/>
        <v>37.15</v>
      </c>
      <c r="AM22" s="36">
        <f t="shared" si="12"/>
        <v>37.15</v>
      </c>
      <c r="AN22" s="36">
        <f t="shared" si="13"/>
        <v>2</v>
      </c>
      <c r="AO22" s="36">
        <f t="shared" si="14"/>
        <v>1.53</v>
      </c>
      <c r="AP22" s="36">
        <f t="shared" si="15"/>
        <v>5.33</v>
      </c>
      <c r="AQ22" s="36">
        <f t="shared" si="16"/>
        <v>42.48</v>
      </c>
      <c r="AR22" s="22">
        <v>10.3</v>
      </c>
      <c r="AS22" s="22">
        <v>9.4</v>
      </c>
      <c r="AT22" s="22">
        <v>12.7</v>
      </c>
      <c r="AU22" s="22">
        <v>15.3</v>
      </c>
      <c r="AV22" s="22">
        <v>0</v>
      </c>
      <c r="AW22" s="22">
        <v>10.5</v>
      </c>
      <c r="AX22" s="22">
        <v>8.8000000000000007</v>
      </c>
      <c r="AY22" s="22">
        <v>9.9</v>
      </c>
      <c r="AZ22" s="22">
        <v>15.29</v>
      </c>
      <c r="BA22" s="22">
        <v>2.4</v>
      </c>
      <c r="BB22" s="22">
        <v>4.3</v>
      </c>
      <c r="BC22" s="22">
        <v>3.5</v>
      </c>
      <c r="BD22" s="22">
        <v>3</v>
      </c>
      <c r="BE22" s="22">
        <v>6.42</v>
      </c>
      <c r="BF22" s="22">
        <v>0</v>
      </c>
      <c r="BG22" s="24"/>
      <c r="BH22" s="35">
        <f t="shared" si="17"/>
        <v>12.7</v>
      </c>
      <c r="BI22" s="35">
        <f t="shared" si="18"/>
        <v>15.3</v>
      </c>
      <c r="BJ22" s="11">
        <f t="shared" si="19"/>
        <v>47.7</v>
      </c>
      <c r="BK22" s="11">
        <f t="shared" si="20"/>
        <v>9.9</v>
      </c>
      <c r="BL22" s="11">
        <f t="shared" si="21"/>
        <v>15.29</v>
      </c>
      <c r="BM22" s="11">
        <f t="shared" si="22"/>
        <v>42.09</v>
      </c>
      <c r="BN22" s="11">
        <f t="shared" si="23"/>
        <v>47.7</v>
      </c>
      <c r="BO22" s="11">
        <f t="shared" si="24"/>
        <v>3</v>
      </c>
      <c r="BP22" s="11">
        <f t="shared" si="25"/>
        <v>6.42</v>
      </c>
      <c r="BQ22" s="11">
        <f t="shared" si="26"/>
        <v>17.22</v>
      </c>
      <c r="BR22" s="11">
        <f t="shared" si="27"/>
        <v>64.92</v>
      </c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23"/>
      <c r="CI22" s="34" t="str">
        <f t="shared" si="28"/>
        <v/>
      </c>
      <c r="CJ22" s="34" t="str">
        <f t="shared" si="29"/>
        <v/>
      </c>
      <c r="CK22" s="36" t="str">
        <f t="shared" si="30"/>
        <v/>
      </c>
      <c r="CL22" s="36" t="str">
        <f t="shared" si="31"/>
        <v/>
      </c>
      <c r="CM22" s="36" t="str">
        <f t="shared" si="32"/>
        <v/>
      </c>
      <c r="CN22" s="36" t="str">
        <f t="shared" si="33"/>
        <v/>
      </c>
      <c r="CO22" s="36" t="str">
        <f t="shared" si="34"/>
        <v/>
      </c>
      <c r="CP22" s="36" t="str">
        <f t="shared" si="35"/>
        <v/>
      </c>
      <c r="CQ22" s="36" t="str">
        <f t="shared" si="36"/>
        <v/>
      </c>
      <c r="CR22" s="36" t="str">
        <f t="shared" si="37"/>
        <v/>
      </c>
      <c r="CS22" s="36" t="str">
        <f t="shared" si="38"/>
        <v/>
      </c>
      <c r="CT22" s="47" t="str">
        <f t="shared" si="39"/>
        <v/>
      </c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36" t="str">
        <f t="shared" si="40"/>
        <v/>
      </c>
      <c r="DP22" s="36" t="str">
        <f t="shared" si="41"/>
        <v/>
      </c>
      <c r="DQ22" s="36" t="str">
        <f t="shared" si="42"/>
        <v/>
      </c>
      <c r="DR22" s="36" t="str">
        <f t="shared" si="43"/>
        <v/>
      </c>
      <c r="DS22" s="36" t="str">
        <f t="shared" si="44"/>
        <v/>
      </c>
      <c r="DT22" s="36" t="str">
        <f t="shared" si="45"/>
        <v/>
      </c>
      <c r="DU22" s="36" t="str">
        <f t="shared" si="46"/>
        <v/>
      </c>
      <c r="DV22" s="36" t="str">
        <f t="shared" si="47"/>
        <v/>
      </c>
      <c r="DW22" s="36" t="str">
        <f t="shared" si="48"/>
        <v/>
      </c>
      <c r="DX22" s="36" t="str">
        <f t="shared" si="49"/>
        <v/>
      </c>
      <c r="DY22" s="36" t="str">
        <f t="shared" si="50"/>
        <v/>
      </c>
      <c r="DZ22" s="36" t="str">
        <f t="shared" si="51"/>
        <v/>
      </c>
      <c r="EA22" s="36" t="str">
        <f t="shared" si="52"/>
        <v/>
      </c>
      <c r="EB22" s="36" t="str">
        <f t="shared" si="53"/>
        <v/>
      </c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16"/>
      <c r="EN22" s="16"/>
      <c r="EO22" s="16"/>
      <c r="EP22" s="16"/>
      <c r="EQ22" s="16"/>
      <c r="ER22" s="16"/>
      <c r="ES22" s="16"/>
      <c r="ET22" s="16"/>
      <c r="EU22" s="16"/>
      <c r="EV22" s="16"/>
      <c r="EW22" s="11" t="str">
        <f t="shared" si="54"/>
        <v/>
      </c>
      <c r="EX22" s="11" t="str">
        <f t="shared" si="55"/>
        <v/>
      </c>
      <c r="EY22" s="11" t="str">
        <f t="shared" si="56"/>
        <v/>
      </c>
      <c r="EZ22" s="11" t="str">
        <f t="shared" si="57"/>
        <v/>
      </c>
      <c r="FA22" s="11" t="str">
        <f t="shared" si="58"/>
        <v/>
      </c>
      <c r="FB22" s="11" t="str">
        <f t="shared" si="59"/>
        <v/>
      </c>
      <c r="FC22" s="11" t="str">
        <f t="shared" si="60"/>
        <v/>
      </c>
      <c r="FD22" s="11" t="str">
        <f t="shared" si="61"/>
        <v/>
      </c>
      <c r="FE22" s="11" t="str">
        <f t="shared" si="62"/>
        <v/>
      </c>
      <c r="FF22" s="11" t="str">
        <f t="shared" si="63"/>
        <v/>
      </c>
      <c r="FG22" s="11" t="str">
        <f t="shared" si="64"/>
        <v/>
      </c>
      <c r="FH22" s="11" t="str">
        <f t="shared" si="65"/>
        <v/>
      </c>
      <c r="FI22" s="11" t="str">
        <f t="shared" si="66"/>
        <v/>
      </c>
      <c r="FJ22" s="11" t="str">
        <f t="shared" si="67"/>
        <v/>
      </c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36" t="str">
        <f t="shared" si="68"/>
        <v/>
      </c>
      <c r="GF22" s="36" t="str">
        <f t="shared" si="69"/>
        <v/>
      </c>
      <c r="GG22" s="36" t="str">
        <f t="shared" si="70"/>
        <v/>
      </c>
      <c r="GH22" s="36" t="str">
        <f t="shared" si="71"/>
        <v/>
      </c>
      <c r="GI22" s="36" t="str">
        <f t="shared" si="72"/>
        <v/>
      </c>
      <c r="GJ22" s="36" t="str">
        <f t="shared" si="73"/>
        <v/>
      </c>
      <c r="GK22" s="36" t="str">
        <f t="shared" si="74"/>
        <v/>
      </c>
      <c r="GL22" s="36" t="str">
        <f t="shared" si="75"/>
        <v/>
      </c>
      <c r="GM22" s="36" t="str">
        <f t="shared" si="76"/>
        <v/>
      </c>
      <c r="GN22" s="36" t="str">
        <f t="shared" si="77"/>
        <v/>
      </c>
      <c r="GO22" s="36" t="str">
        <f t="shared" si="78"/>
        <v/>
      </c>
      <c r="GP22" s="36" t="str">
        <f t="shared" si="79"/>
        <v/>
      </c>
      <c r="GQ22" s="36" t="str">
        <f t="shared" si="80"/>
        <v/>
      </c>
      <c r="GR22" s="36" t="str">
        <f t="shared" si="81"/>
        <v/>
      </c>
      <c r="GS22" s="16"/>
      <c r="GT22" s="16"/>
      <c r="GU22" s="16"/>
      <c r="GV22" s="16"/>
      <c r="GW22" s="16"/>
      <c r="GX22" s="16"/>
      <c r="GY22" s="16"/>
      <c r="GZ22" s="16"/>
      <c r="HA22" s="16"/>
      <c r="HB22" s="16"/>
      <c r="HC22" s="16"/>
      <c r="HD22" s="16"/>
      <c r="HE22" s="16"/>
      <c r="HF22" s="16"/>
      <c r="HG22" s="16"/>
      <c r="HH22" s="16"/>
      <c r="HI22" s="16"/>
      <c r="HJ22" s="16"/>
      <c r="HK22" s="16"/>
      <c r="HL22" s="16"/>
      <c r="HM22" s="11" t="str">
        <f t="shared" si="82"/>
        <v/>
      </c>
      <c r="HN22" s="11" t="str">
        <f t="shared" si="83"/>
        <v/>
      </c>
      <c r="HO22" s="11" t="str">
        <f t="shared" si="84"/>
        <v/>
      </c>
      <c r="HP22" s="11" t="str">
        <f t="shared" si="85"/>
        <v/>
      </c>
      <c r="HQ22" s="11" t="str">
        <f t="shared" si="86"/>
        <v/>
      </c>
      <c r="HR22" s="11" t="str">
        <f t="shared" si="87"/>
        <v/>
      </c>
      <c r="HS22" s="11" t="str">
        <f t="shared" si="88"/>
        <v/>
      </c>
      <c r="HT22" s="11" t="str">
        <f t="shared" si="89"/>
        <v/>
      </c>
      <c r="HU22" s="11" t="str">
        <f t="shared" si="90"/>
        <v/>
      </c>
      <c r="HV22" s="11" t="str">
        <f t="shared" si="91"/>
        <v/>
      </c>
      <c r="HW22" s="11" t="str">
        <f t="shared" si="92"/>
        <v/>
      </c>
      <c r="HX22" s="11" t="str">
        <f t="shared" si="93"/>
        <v/>
      </c>
      <c r="HY22" s="11" t="str">
        <f t="shared" si="94"/>
        <v/>
      </c>
      <c r="HZ22" s="11" t="str">
        <f t="shared" si="95"/>
        <v/>
      </c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36" t="str">
        <f t="shared" si="96"/>
        <v/>
      </c>
      <c r="IV22" s="36" t="str">
        <f t="shared" si="97"/>
        <v/>
      </c>
      <c r="IW22" s="36" t="str">
        <f t="shared" si="98"/>
        <v/>
      </c>
      <c r="IX22" s="36" t="str">
        <f t="shared" si="99"/>
        <v/>
      </c>
      <c r="IY22" s="36" t="str">
        <f t="shared" si="100"/>
        <v/>
      </c>
      <c r="IZ22" s="36" t="str">
        <f t="shared" si="101"/>
        <v/>
      </c>
      <c r="JA22" s="36" t="str">
        <f t="shared" si="102"/>
        <v/>
      </c>
      <c r="JB22" s="36" t="str">
        <f t="shared" si="103"/>
        <v/>
      </c>
      <c r="JC22" s="36" t="str">
        <f t="shared" si="104"/>
        <v/>
      </c>
      <c r="JD22" s="36" t="str">
        <f t="shared" si="105"/>
        <v/>
      </c>
      <c r="JE22" s="36" t="str">
        <f t="shared" si="106"/>
        <v/>
      </c>
      <c r="JF22" s="36" t="str">
        <f t="shared" si="107"/>
        <v/>
      </c>
      <c r="JG22" s="36" t="str">
        <f t="shared" si="108"/>
        <v/>
      </c>
      <c r="JH22" s="36" t="str">
        <f t="shared" si="109"/>
        <v/>
      </c>
      <c r="JI22" s="16"/>
      <c r="JJ22" s="16"/>
      <c r="JK22" s="16"/>
      <c r="JL22" s="16"/>
      <c r="JM22" s="16"/>
      <c r="JN22" s="16"/>
      <c r="JO22" s="16"/>
      <c r="JP22" s="16"/>
      <c r="JQ22" s="16"/>
      <c r="JR22" s="16"/>
      <c r="JS22" s="16"/>
      <c r="JT22" s="16"/>
      <c r="JU22" s="16"/>
      <c r="JV22" s="16"/>
      <c r="JW22" s="16"/>
      <c r="JX22" s="16"/>
      <c r="JY22" s="16"/>
      <c r="JZ22" s="16"/>
      <c r="KA22" s="16"/>
      <c r="KB22" s="16"/>
      <c r="KC22" s="11" t="str">
        <f t="shared" si="110"/>
        <v/>
      </c>
      <c r="KD22" s="11" t="str">
        <f t="shared" si="111"/>
        <v/>
      </c>
      <c r="KE22" s="11" t="str">
        <f t="shared" si="112"/>
        <v/>
      </c>
      <c r="KF22" s="11" t="str">
        <f t="shared" si="113"/>
        <v/>
      </c>
      <c r="KG22" s="11" t="str">
        <f t="shared" si="114"/>
        <v/>
      </c>
      <c r="KH22" s="11" t="str">
        <f t="shared" si="115"/>
        <v/>
      </c>
      <c r="KI22" s="11" t="str">
        <f t="shared" si="116"/>
        <v/>
      </c>
      <c r="KJ22" s="11" t="str">
        <f t="shared" si="117"/>
        <v/>
      </c>
      <c r="KK22" s="11" t="str">
        <f t="shared" si="118"/>
        <v/>
      </c>
      <c r="KL22" s="11" t="str">
        <f t="shared" si="119"/>
        <v/>
      </c>
      <c r="KM22" s="11" t="str">
        <f t="shared" si="120"/>
        <v/>
      </c>
      <c r="KN22" s="11" t="str">
        <f t="shared" si="121"/>
        <v/>
      </c>
      <c r="KO22" s="11" t="str">
        <f t="shared" si="122"/>
        <v/>
      </c>
      <c r="KP22" s="11" t="str">
        <f t="shared" si="123"/>
        <v/>
      </c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36" t="str">
        <f t="shared" si="124"/>
        <v/>
      </c>
      <c r="LL22" s="36" t="str">
        <f t="shared" si="125"/>
        <v/>
      </c>
      <c r="LM22" s="36" t="str">
        <f t="shared" si="126"/>
        <v/>
      </c>
      <c r="LN22" s="36" t="str">
        <f t="shared" si="127"/>
        <v/>
      </c>
      <c r="LO22" s="36" t="str">
        <f t="shared" si="128"/>
        <v/>
      </c>
      <c r="LP22" s="36" t="str">
        <f t="shared" si="129"/>
        <v/>
      </c>
      <c r="LQ22" s="36" t="str">
        <f t="shared" si="130"/>
        <v/>
      </c>
      <c r="LR22" s="36" t="str">
        <f t="shared" si="131"/>
        <v/>
      </c>
      <c r="LS22" s="36" t="str">
        <f t="shared" si="132"/>
        <v/>
      </c>
      <c r="LT22" s="36" t="str">
        <f t="shared" si="133"/>
        <v/>
      </c>
      <c r="LU22" s="36" t="str">
        <f t="shared" si="134"/>
        <v/>
      </c>
      <c r="LV22" s="36" t="str">
        <f t="shared" si="135"/>
        <v/>
      </c>
      <c r="LW22" s="36" t="str">
        <f t="shared" si="136"/>
        <v/>
      </c>
      <c r="LX22" s="36" t="str">
        <f t="shared" si="137"/>
        <v/>
      </c>
      <c r="LY22" s="16"/>
      <c r="LZ22" s="16"/>
      <c r="MA22" s="16"/>
      <c r="MB22" s="16"/>
      <c r="MC22" s="16"/>
      <c r="MD22" s="16"/>
      <c r="ME22" s="16"/>
      <c r="MF22" s="16"/>
      <c r="MG22" s="16"/>
      <c r="MH22" s="16"/>
      <c r="MI22" s="16"/>
      <c r="MJ22" s="16"/>
      <c r="MK22" s="16"/>
      <c r="ML22" s="16"/>
      <c r="MM22" s="16"/>
      <c r="MN22" s="16"/>
      <c r="MO22" s="16"/>
      <c r="MP22" s="16"/>
      <c r="MQ22" s="16"/>
      <c r="MR22" s="16"/>
      <c r="MS22" s="11" t="str">
        <f t="shared" si="138"/>
        <v/>
      </c>
      <c r="MT22" s="11" t="str">
        <f t="shared" si="139"/>
        <v/>
      </c>
      <c r="MU22" s="11" t="str">
        <f t="shared" si="140"/>
        <v/>
      </c>
      <c r="MV22" s="11" t="str">
        <f t="shared" si="141"/>
        <v/>
      </c>
      <c r="MW22" s="11" t="str">
        <f t="shared" si="142"/>
        <v/>
      </c>
      <c r="MX22" s="11" t="str">
        <f t="shared" si="143"/>
        <v/>
      </c>
      <c r="MY22" s="11" t="str">
        <f t="shared" si="144"/>
        <v/>
      </c>
      <c r="MZ22" s="11" t="str">
        <f t="shared" si="145"/>
        <v/>
      </c>
      <c r="NA22" s="11" t="str">
        <f t="shared" si="146"/>
        <v/>
      </c>
      <c r="NB22" s="11" t="str">
        <f t="shared" si="147"/>
        <v/>
      </c>
      <c r="NC22" s="11" t="str">
        <f t="shared" si="148"/>
        <v/>
      </c>
      <c r="ND22" s="11" t="str">
        <f t="shared" si="149"/>
        <v/>
      </c>
      <c r="NE22" s="11" t="str">
        <f t="shared" si="150"/>
        <v/>
      </c>
      <c r="NF22" s="11" t="str">
        <f t="shared" si="151"/>
        <v/>
      </c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36" t="str">
        <f t="shared" si="152"/>
        <v/>
      </c>
      <c r="OB22" s="36" t="str">
        <f t="shared" si="153"/>
        <v/>
      </c>
      <c r="OC22" s="36" t="str">
        <f t="shared" si="154"/>
        <v/>
      </c>
      <c r="OD22" s="36" t="str">
        <f t="shared" si="155"/>
        <v/>
      </c>
      <c r="OE22" s="36" t="str">
        <f t="shared" si="156"/>
        <v/>
      </c>
      <c r="OF22" s="36" t="str">
        <f t="shared" si="157"/>
        <v/>
      </c>
      <c r="OG22" s="36" t="str">
        <f t="shared" si="158"/>
        <v/>
      </c>
      <c r="OH22" s="36" t="str">
        <f t="shared" si="159"/>
        <v/>
      </c>
      <c r="OI22" s="36" t="str">
        <f t="shared" si="160"/>
        <v/>
      </c>
      <c r="OJ22" s="36" t="str">
        <f t="shared" si="161"/>
        <v/>
      </c>
      <c r="OK22" s="36" t="str">
        <f t="shared" si="162"/>
        <v/>
      </c>
      <c r="OL22" s="36" t="str">
        <f t="shared" si="163"/>
        <v/>
      </c>
      <c r="OM22" s="36" t="str">
        <f t="shared" si="164"/>
        <v/>
      </c>
      <c r="ON22" s="36" t="str">
        <f t="shared" si="165"/>
        <v/>
      </c>
      <c r="OO22" s="16"/>
      <c r="OP22" s="16"/>
      <c r="OQ22" s="16"/>
      <c r="OR22" s="16"/>
      <c r="OS22" s="16"/>
      <c r="OT22" s="16"/>
      <c r="OU22" s="16"/>
      <c r="OV22" s="16"/>
      <c r="OW22" s="16"/>
      <c r="OX22" s="16"/>
      <c r="OY22" s="16"/>
      <c r="OZ22" s="16"/>
      <c r="PA22" s="16"/>
      <c r="PB22" s="16"/>
      <c r="PC22" s="16"/>
      <c r="PD22" s="16"/>
      <c r="PE22" s="16"/>
      <c r="PF22" s="16"/>
      <c r="PG22" s="16"/>
      <c r="PH22" s="16"/>
      <c r="PI22" s="11" t="str">
        <f t="shared" si="166"/>
        <v/>
      </c>
      <c r="PJ22" s="11" t="str">
        <f t="shared" si="167"/>
        <v/>
      </c>
      <c r="PK22" s="11" t="str">
        <f t="shared" si="168"/>
        <v/>
      </c>
      <c r="PL22" s="11" t="str">
        <f t="shared" si="169"/>
        <v/>
      </c>
      <c r="PM22" s="11" t="str">
        <f t="shared" si="170"/>
        <v/>
      </c>
      <c r="PN22" s="11" t="str">
        <f t="shared" si="171"/>
        <v/>
      </c>
      <c r="PO22" s="11" t="str">
        <f t="shared" si="172"/>
        <v/>
      </c>
      <c r="PP22" s="11" t="str">
        <f t="shared" si="173"/>
        <v/>
      </c>
      <c r="PQ22" s="11" t="str">
        <f t="shared" si="174"/>
        <v/>
      </c>
      <c r="PR22" s="11" t="str">
        <f t="shared" si="175"/>
        <v/>
      </c>
      <c r="PS22" s="11" t="str">
        <f t="shared" si="176"/>
        <v/>
      </c>
      <c r="PT22" s="11" t="str">
        <f t="shared" si="177"/>
        <v/>
      </c>
      <c r="PU22" s="11" t="str">
        <f t="shared" si="178"/>
        <v/>
      </c>
      <c r="PV22" s="11" t="str">
        <f t="shared" si="179"/>
        <v/>
      </c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36" t="str">
        <f t="shared" si="180"/>
        <v/>
      </c>
      <c r="QR22" s="36" t="str">
        <f t="shared" si="181"/>
        <v/>
      </c>
      <c r="QS22" s="36" t="str">
        <f t="shared" si="182"/>
        <v/>
      </c>
      <c r="QT22" s="36" t="str">
        <f t="shared" si="183"/>
        <v/>
      </c>
      <c r="QU22" s="36" t="str">
        <f t="shared" si="184"/>
        <v/>
      </c>
      <c r="QV22" s="36" t="str">
        <f t="shared" si="185"/>
        <v/>
      </c>
      <c r="QW22" s="36" t="str">
        <f t="shared" si="186"/>
        <v/>
      </c>
      <c r="QX22" s="36" t="str">
        <f t="shared" si="187"/>
        <v/>
      </c>
      <c r="QY22" s="36" t="str">
        <f t="shared" si="188"/>
        <v/>
      </c>
      <c r="QZ22" s="36" t="str">
        <f t="shared" si="189"/>
        <v/>
      </c>
      <c r="RA22" s="36" t="str">
        <f t="shared" si="190"/>
        <v/>
      </c>
      <c r="RB22" s="36" t="str">
        <f t="shared" si="191"/>
        <v/>
      </c>
      <c r="RC22" s="36" t="str">
        <f t="shared" si="192"/>
        <v/>
      </c>
      <c r="RD22" s="36" t="str">
        <f t="shared" si="193"/>
        <v/>
      </c>
      <c r="RE22" s="16"/>
      <c r="RF22" s="16"/>
      <c r="RG22" s="16"/>
      <c r="RH22" s="16"/>
      <c r="RI22" s="16"/>
      <c r="RJ22" s="16"/>
      <c r="RK22" s="16"/>
      <c r="RL22" s="16"/>
      <c r="RM22" s="16"/>
      <c r="RN22" s="16"/>
      <c r="RO22" s="16"/>
      <c r="RP22" s="16"/>
      <c r="RQ22" s="16"/>
      <c r="RR22" s="16"/>
      <c r="RS22" s="16"/>
      <c r="RT22" s="16"/>
      <c r="RU22" s="16"/>
      <c r="RV22" s="16"/>
      <c r="RW22" s="16"/>
      <c r="RX22" s="16"/>
      <c r="RY22" s="11" t="str">
        <f t="shared" si="194"/>
        <v/>
      </c>
      <c r="RZ22" s="11" t="str">
        <f t="shared" si="195"/>
        <v/>
      </c>
      <c r="SA22" s="11" t="str">
        <f t="shared" si="196"/>
        <v/>
      </c>
      <c r="SB22" s="11" t="str">
        <f t="shared" si="197"/>
        <v/>
      </c>
      <c r="SC22" s="11" t="str">
        <f t="shared" si="198"/>
        <v/>
      </c>
      <c r="SD22" s="11" t="str">
        <f t="shared" si="199"/>
        <v/>
      </c>
      <c r="SE22" s="11" t="str">
        <f t="shared" si="200"/>
        <v/>
      </c>
      <c r="SF22" s="11" t="str">
        <f t="shared" si="201"/>
        <v/>
      </c>
      <c r="SG22" s="11" t="str">
        <f t="shared" si="202"/>
        <v/>
      </c>
      <c r="SH22" s="11" t="str">
        <f t="shared" si="203"/>
        <v/>
      </c>
      <c r="SI22" s="11" t="str">
        <f t="shared" si="204"/>
        <v/>
      </c>
      <c r="SJ22" s="11" t="str">
        <f t="shared" si="205"/>
        <v/>
      </c>
      <c r="SK22" s="11" t="str">
        <f t="shared" si="206"/>
        <v/>
      </c>
      <c r="SL22" s="11" t="str">
        <f t="shared" si="207"/>
        <v/>
      </c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36" t="str">
        <f t="shared" si="208"/>
        <v/>
      </c>
      <c r="TH22" s="36" t="str">
        <f t="shared" si="209"/>
        <v/>
      </c>
      <c r="TI22" s="36" t="str">
        <f t="shared" si="210"/>
        <v/>
      </c>
      <c r="TJ22" s="36" t="str">
        <f t="shared" si="211"/>
        <v/>
      </c>
      <c r="TK22" s="36" t="str">
        <f t="shared" si="212"/>
        <v/>
      </c>
      <c r="TL22" s="36" t="str">
        <f t="shared" si="213"/>
        <v/>
      </c>
      <c r="TM22" s="36" t="str">
        <f t="shared" si="214"/>
        <v/>
      </c>
      <c r="TN22" s="36" t="str">
        <f t="shared" si="215"/>
        <v/>
      </c>
      <c r="TO22" s="36" t="str">
        <f t="shared" si="216"/>
        <v/>
      </c>
      <c r="TP22" s="36" t="str">
        <f t="shared" si="217"/>
        <v/>
      </c>
      <c r="TQ22" s="36" t="str">
        <f t="shared" si="218"/>
        <v/>
      </c>
      <c r="TR22" s="36" t="str">
        <f t="shared" si="219"/>
        <v/>
      </c>
      <c r="TS22" s="36" t="str">
        <f t="shared" si="220"/>
        <v/>
      </c>
      <c r="TT22" s="36" t="str">
        <f t="shared" si="221"/>
        <v/>
      </c>
      <c r="TU22" s="16"/>
      <c r="TV22" s="16"/>
      <c r="TW22" s="16"/>
      <c r="TX22" s="16"/>
      <c r="TY22" s="16"/>
      <c r="TZ22" s="16"/>
      <c r="UA22" s="16"/>
      <c r="UB22" s="16"/>
      <c r="UC22" s="16"/>
      <c r="UD22" s="16"/>
      <c r="UE22" s="16"/>
      <c r="UF22" s="16"/>
      <c r="UG22" s="16"/>
      <c r="UH22" s="16"/>
      <c r="UI22" s="16"/>
      <c r="UJ22" s="16"/>
      <c r="UK22" s="16"/>
      <c r="UL22" s="16"/>
      <c r="UM22" s="16"/>
      <c r="UN22" s="16"/>
      <c r="UO22" s="11" t="str">
        <f t="shared" si="222"/>
        <v/>
      </c>
      <c r="UP22" s="11" t="str">
        <f t="shared" si="223"/>
        <v/>
      </c>
      <c r="UQ22" s="11" t="str">
        <f t="shared" si="224"/>
        <v/>
      </c>
      <c r="UR22" s="11" t="str">
        <f t="shared" si="225"/>
        <v/>
      </c>
      <c r="US22" s="11" t="str">
        <f t="shared" si="226"/>
        <v/>
      </c>
      <c r="UT22" s="11" t="str">
        <f t="shared" si="227"/>
        <v/>
      </c>
      <c r="UU22" s="11" t="str">
        <f t="shared" si="228"/>
        <v/>
      </c>
      <c r="UV22" s="11" t="str">
        <f t="shared" si="229"/>
        <v/>
      </c>
      <c r="UW22" s="11" t="str">
        <f t="shared" si="230"/>
        <v/>
      </c>
      <c r="UX22" s="11" t="str">
        <f t="shared" si="231"/>
        <v/>
      </c>
      <c r="UY22" s="11" t="str">
        <f t="shared" si="232"/>
        <v/>
      </c>
      <c r="UZ22" s="11" t="str">
        <f t="shared" si="233"/>
        <v/>
      </c>
      <c r="VA22" s="11" t="str">
        <f t="shared" si="234"/>
        <v/>
      </c>
      <c r="VB22" s="11" t="str">
        <f t="shared" si="235"/>
        <v/>
      </c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36" t="str">
        <f t="shared" si="236"/>
        <v/>
      </c>
      <c r="VX22" s="36" t="str">
        <f t="shared" si="237"/>
        <v/>
      </c>
      <c r="VY22" s="36" t="str">
        <f t="shared" si="238"/>
        <v/>
      </c>
      <c r="VZ22" s="36" t="str">
        <f t="shared" si="239"/>
        <v/>
      </c>
      <c r="WA22" s="36" t="str">
        <f t="shared" si="240"/>
        <v/>
      </c>
      <c r="WB22" s="36" t="str">
        <f t="shared" si="241"/>
        <v/>
      </c>
      <c r="WC22" s="36" t="str">
        <f t="shared" si="242"/>
        <v/>
      </c>
      <c r="WD22" s="36" t="str">
        <f t="shared" si="243"/>
        <v/>
      </c>
      <c r="WE22" s="36" t="str">
        <f t="shared" si="244"/>
        <v/>
      </c>
      <c r="WF22" s="36" t="str">
        <f t="shared" si="245"/>
        <v/>
      </c>
      <c r="WG22" s="36" t="str">
        <f t="shared" si="246"/>
        <v/>
      </c>
      <c r="WH22" s="36" t="str">
        <f t="shared" si="247"/>
        <v/>
      </c>
      <c r="WI22" s="36" t="str">
        <f t="shared" si="248"/>
        <v/>
      </c>
      <c r="WJ22" s="36" t="str">
        <f t="shared" si="249"/>
        <v/>
      </c>
    </row>
    <row r="23" spans="1:608" x14ac:dyDescent="0.2">
      <c r="A23" s="4" t="str" cm="1">
        <f t="array" ref="A23">IF(AND(H23&lt;&gt;"",H23&lt;&gt;"No DD",I23&lt;&gt;"P"),SUMPRODUCT((H$4:H$28&lt;&gt;"")*(H$4:H$28&lt;&gt;"No DD")*(I$4:I$28&lt;&gt;"P")*(E$4:E$28&gt;E23))+1,IF(H23="No DD",SUMPRODUCT((H$4:H$28="No DD")*(I$4:I$28&lt;&gt;"P")*(E$4:E$28&gt;E23))+1+SUMPRODUCT((H$4:H$28&lt;&gt;"")*(I$4:I$28&lt;&gt;"P")*(H$4:H$28&lt;&gt;"No DD")),""))</f>
        <v/>
      </c>
      <c r="B23" s="5" t="s">
        <v>226</v>
      </c>
      <c r="C23" s="4" t="s">
        <v>3</v>
      </c>
      <c r="D23" s="4">
        <v>2008</v>
      </c>
      <c r="E23" s="9">
        <f t="shared" si="0"/>
        <v>81.700008170005063</v>
      </c>
      <c r="F23" s="3" t="str">
        <f>IF(OR(AND(AG23&gt;=AQ$30,AG23&lt;&gt;"",AI23&gt;=AQ$34,AI23&lt;&gt;"",AF23=""),AND(AJ23&gt;=AQ$30,AJ23&lt;&gt;"",AL23&gt;=AQ$34,AL23&lt;&gt;"",AF23=""),AND(AN23&gt;=AQ$30,AN23&lt;&gt;"",AP23&gt;=AQ$34,AP23&lt;&gt;"",AF23=""),AND(BH23&gt;=BR$30,BH23&lt;&gt;"",BJ23&gt;=BR$34,BJ23&lt;&gt;"",BG23=""),AND(BK23&gt;=BR$30,BK23&lt;&gt;"",BM23&gt;=BR$34,BM23&lt;&gt;"",BG23=""),AND(BO23&gt;=BR$30,BO23&lt;&gt;"",BQ23&gt;=BR$34,BQ23&lt;&gt;"",BG23=""),AND(CI23&gt;=CS$30,CI23&lt;&gt;"",CK23&gt;=CS$34,CK23&lt;&gt;"",CH23=""),AND(CL23&gt;=CS$30,CL23&lt;&gt;"",CN23&gt;=CS$34,CN23&lt;&gt;"",CH23=""),AND(CP23&gt;=CS$30,CP23&lt;&gt;"",CR23&gt;=CS$34,CR23&lt;&gt;"",CH23=""),AND(DO23&gt;=EB$30,DO23&lt;&gt;"",DQ23&gt;=EB$34,DQ23&lt;&gt;""),AND(DR23&gt;=EB$30,DR23&lt;&gt;"",DT23&gt;=EB$34,DT23&lt;&gt;""),AND(DV23&gt;=EB$30,DV23&lt;&gt;"",DX23&gt;=EB$34,DX23&lt;&gt;""),AND(DY23&gt;=EB$30,DY23&lt;&gt;"",EA23&gt;=EB$34,EA23&lt;&gt;""),AND(EW23&gt;=FJ$30,EW23&lt;&gt;"",EY23&gt;=FJ$34,EY23&lt;&gt;""),AND(EZ23&gt;=FJ$30,EZ23&lt;&gt;"",FB23&gt;=FJ$34,FB23&lt;&gt;""),AND(FD23&gt;=FJ$30,FD23&lt;&gt;"",FF23&gt;=FJ$34,FF23&lt;&gt;""),AND(FG23&gt;=FJ$30,FG23&lt;&gt;"",FI23&gt;=FJ$34,FI23&lt;&gt;""),AND(GE23&gt;=GR$30,GE23&lt;&gt;"",GG23&gt;=GR$34,GG23&lt;&gt;""),AND(GH23&gt;=GR$30,GH23&lt;&gt;"",GJ23&gt;=GR$34,GJ23&lt;&gt;""),AND(GL23&gt;=GR$30,GL23&lt;&gt;"",GN23&gt;=GR$34,GN23&lt;&gt;""),AND(GO23&gt;=GR$30,GO23&lt;&gt;"",GQ23&gt;=GR$34,GQ23&lt;&gt;""),AND(HM23&gt;=HZ$30,HM23&lt;&gt;"",HO23&gt;=HZ$34,HO23&lt;&gt;""),AND(HP23&gt;=HZ$30,HP23&lt;&gt;"",HR23&gt;=HZ$34,HR23&lt;&gt;""),AND(HT23&gt;=HZ$30,HT23&lt;&gt;"",HV23&gt;=HZ$34,HV23&lt;&gt;""),AND(HW23&gt;=HZ$30,HW23&lt;&gt;"",HY23&gt;=HZ$34,HY23&lt;&gt;""),AND(IU23&gt;=JH$30,IU23&lt;&gt;"",IW23&gt;=JH$34,IW23&lt;&gt;""),AND(IX23&gt;=JH$30,IX23&lt;&gt;"",IZ23&gt;=JH$34,IZ23&lt;&gt;""),AND(JB23&gt;=JH$30,JB23&lt;&gt;"",JD23&gt;=JH$34,JD23&lt;&gt;""),AND(JE23&gt;=JH$30,JE23&lt;&gt;"",JG23&gt;=JH$34,JG23&lt;&gt;""),AND(KC23&gt;=KP$30,KC23&lt;&gt;"",KE23&gt;=KP$34,KE23&lt;&gt;""),AND(KF23&gt;=KP$30,KF23&lt;&gt;"",KH23&gt;=KP$34,KH23&lt;&gt;""),AND(KJ23&gt;=KP$30,KJ23&lt;&gt;"",KL23&gt;=KP$34,KL23&lt;&gt;""),AND(KM23&gt;=KP$30,KM23&lt;&gt;"",KO23&gt;=KP$34,KO23&lt;&gt;""),AND(LK23&gt;=LX$30,LK23&lt;&gt;"",LM23&gt;=LX$34,LM23&lt;&gt;""),AND(LN23&gt;=LX$30,LN23&lt;&gt;"",LP23&gt;=LX$34,LP23&lt;&gt;""),AND(LR23&gt;=LX$30,LR23&lt;&gt;"",LT23&gt;=LX$34,LT23&lt;&gt;""),AND(LU23&gt;=LX$30,LU23&lt;&gt;"",LW23&gt;=LX$34,LW23&lt;&gt;""),AND(MS23&gt;=NF$30,MS23&lt;&gt;"",MU23&gt;=NF$34,MU23&lt;&gt;""),AND(MV23&gt;=NF$30,MV23&lt;&gt;"",MX23&gt;=NF$34,MX23&lt;&gt;""),AND(MZ23&gt;=NF$30,MZ23&lt;&gt;"",NB23&gt;=NF$34,NB23&lt;&gt;""),AND(NC23&gt;=NF$30,NC23&lt;&gt;"",NE23&gt;=NF$34,NE23&lt;&gt;""),AND(OA23&gt;=ON$30,OA23&lt;&gt;"",OC23&gt;=ON$34,OC23&lt;&gt;""),AND(OD23&gt;=ON$30,OD23&lt;&gt;"",OF23&gt;=ON$34,OF23&lt;&gt;""),AND(OH23&gt;=ON$30,OH23&lt;&gt;"",OJ23&gt;=ON$34,OJ23&lt;&gt;""),AND(OK23&gt;=ON$30,OK23&lt;&gt;"",OM23&gt;=ON$34,OM23&lt;&gt;""),AND(PI23&gt;=PV$30,PI23&lt;&gt;"",PK23&gt;=PV$34,PK23&lt;&gt;""),AND(PL23&gt;=PV$30,PL23&lt;&gt;"",PN23&gt;=PV$34,PN23&lt;&gt;""),AND(PP23&gt;=PV$30,PP23&lt;&gt;"",PR23&gt;=PV$34,PR23&lt;&gt;""),AND(PS23&gt;=PV$30,PS23&lt;&gt;"",PU23&gt;=PV$34,PU23&lt;&gt;""),AND(QQ23&gt;=RD$30,QQ23&lt;&gt;"",QS23&gt;=RD$34,QS23&lt;&gt;""),AND(QT23&gt;=RD$30,QT23&lt;&gt;"",QV23&gt;=RD$34,QV23&lt;&gt;""),AND(QX23&gt;=RD$30,QX23&lt;&gt;"",QZ23&gt;=RD$34,QZ23&lt;&gt;""),AND(RA23&gt;=RD$30,RA23&lt;&gt;"",RC23&gt;=RD$34,RC23&lt;&gt;""),AND(RY23&gt;=SL$30,RY23&lt;&gt;"",SA23&gt;=SL$34,SA23&lt;&gt;""),AND(SB23&gt;=SL$30,SB23&lt;&gt;"",SD23&gt;=SL$34,SD23&lt;&gt;""),AND(SF23&gt;=SL$30,SF23&lt;&gt;"",SH23&gt;=SL$34,SH23&lt;&gt;""),AND(SI23&gt;=SL$30,SI23&lt;&gt;"",SK23&gt;=SL$34,SK23&lt;&gt;""),AND(TG23&gt;=TT$30,TG23&lt;&gt;"",TI23&gt;=TT$34,TI23&lt;&gt;""),AND(TJ23&gt;=TT$30,TJ23&lt;&gt;"",TL23&gt;=TT$34,TL23&lt;&gt;""),AND(TN23&gt;=TT$30,TN23&lt;&gt;"",TP23&gt;=TT$34,TXN23&lt;&gt;""),AND(TQ23&gt;=TT$30,TQ23&lt;&gt;"",TS23&gt;=TT$34,TS23&lt;&gt;""),AND(UO23&gt;=VB$30,UO23&lt;&gt;"",UQ23&gt;=VB$34,UQ23&lt;&gt;""),AND(UR23&gt;=VB$30,UR23&lt;&gt;"",UT23&gt;=VB$34,UT23&lt;&gt;""),AND(UV23&gt;=VB$30,UV23&lt;&gt;"",UX23&gt;=VB$34,UX23&lt;&gt;""),AND(UY23&gt;=VB$30,UY23&lt;&gt;"",VA23&gt;=VB$34,VA23&lt;&gt;""),AND(VW23&gt;=WJ$30,VW23&lt;&gt;"",VY23&gt;=WJ$34,VY23&lt;&gt;""),AND(VZ23&gt;=WJ$30,VZ23&lt;&gt;"",WB23&gt;=WJ$34,WB23&lt;&gt;""),AND(WD23&gt;=WJ$30,WD23&lt;&gt;"",WF23&gt;=WJ$34,WF23&lt;&gt;""),AND(WG23&gt;=WJ$30,WG23&lt;&gt;"",WI23&gt;=WJ$34,WI23&lt;&gt;"")),"P","")</f>
        <v/>
      </c>
      <c r="G23" s="3" t="str">
        <f>IF(OR(AND(AI23&gt;=AQ$34,AI23&lt;&gt;"",AF23=""),AND(AL23&gt;=AQ$34,AL23&lt;&gt;"",AF23=""),AND(AP23&gt;=AQ$34,AP23&lt;&gt;"",AF23=""),AND(BJ23&gt;=BR$34,BJ23&lt;&gt;"",BG23=""),AND(BM23&gt;=BR$34,BM23&lt;&gt;"",BG23=""),AND(BQ23&gt;=BR$34,BQ23&lt;&gt;"",BG23=""),AND(CK23&gt;=CS$34,CK23&lt;&gt;"",CH23=""),AND(CN23&gt;=CS$34,CN23&lt;&gt;"",CH23=""),AND(CR23&gt;=CS$34,CR23&lt;&gt;"",CH23=""),AND(DQ23&gt;=EB$34,DQ23&lt;&gt;""),AND(DT23&gt;=EB$34,DT23&lt;&gt;""),AND(DX23&gt;=EB$34,DX23&lt;&gt;""),AND(EA23&gt;=EB$34,EA23&lt;&gt;""),AND(EY23&gt;=FJ$34,EY23&lt;&gt;""),AND(FB23&gt;=FJ$34,FB23&lt;&gt;""),AND(FF23&gt;=FJ$34,FF23&lt;&gt;""),AND(FI23&gt;=FJ$34,FI23&lt;&gt;""),AND(GG23&gt;=GR$34,GG23&lt;&gt;""),AND(GJ23&gt;=GR$34,GJ23&lt;&gt;""),AND(GN23&gt;=GR$34,GN23&lt;&gt;""),AND(GQ23&gt;=GR$34,GQ23&lt;&gt;""),AND(HO23&gt;=HZ$34,HO23&lt;&gt;""),AND(HR23&gt;=HZ$34,HR23&lt;&gt;""),AND(HV23&gt;=HZ$34,HV23&lt;&gt;""),AND(HY23&gt;=HZ$34,HY23&lt;&gt;""),AND(IW23&gt;=JH$34,IW23&lt;&gt;""),AND(IZ23&gt;=JH$34,IZ23&lt;&gt;""),AND(JD23&gt;=JH$34,JD23&lt;&gt;""),AND(JG23&gt;=JH$34,JG23&lt;&gt;""),AND(KE23&gt;=KP$34,KE23&lt;&gt;""),AND(KH23&gt;=KP$34,KH23&lt;&gt;""),AND(KL23&gt;=KP$34,KL23&lt;&gt;""),AND(KO23&gt;=KP$34,KO23&lt;&gt;""),AND(LM23&gt;=LX$34,LM23&lt;&gt;""),AND(LP23&gt;=LX$34,LP23&lt;&gt;""),AND(LT23&gt;=LX$34,LT23&lt;&gt;""),AND(LW23&gt;=LX$34,LW23&lt;&gt;""),AND(MU23&gt;=NF$34,MU23&lt;&gt;""),AND(MX23&gt;=NF$34,MX23&lt;&gt;""),AND(NB23&gt;=NF$34,NB23&lt;&gt;""),AND(NE23&gt;=NF$34,NE23&lt;&gt;""),AND(OC23&gt;=ON$34,OC23&lt;&gt;""),AND(OF23&gt;=ON$34,OF23&lt;&gt;""),AND(OJ23&gt;=ON$34,OJ23&lt;&gt;""),AND(OM23&gt;=ON$34,OM23&lt;&gt;""),AND(PK23&gt;=PV$34,PK23&lt;&gt;""),AND(PN23&gt;=PV$34,PN23&lt;&gt;""),AND(PR23&gt;=PV$34,PR23&lt;&gt;""),AND(PU23&gt;=PV$34,PU23&lt;&gt;""),AND(QS23&gt;=RD$34,QS23&lt;&gt;""),AND(QV23&gt;=RD$34,QV23&lt;&gt;""),AND(QZ23&gt;=RD$34,QZ23&lt;&gt;""),AND(RC23&gt;=RD$34,RC23&lt;&gt;""),AND(SA23&gt;=SL$34,SA23&lt;&gt;""),AND(SD23&gt;=SL$34,SD23&lt;&gt;""),AND(SH23&gt;=SL$34,SH23&lt;&gt;""),AND(SK23&gt;=SL$34,SK23&lt;&gt;""),AND(TI23&gt;=TT$34,TI23&lt;&gt;""),AND(TL23&gt;=TT$34,TL23&lt;&gt;""),AND(TP23&gt;=TT$34,TXN23&lt;&gt;""),AND(TS23&gt;=TT$34,TS23&lt;&gt;""),AND(UQ23&gt;=VB$34,UQ23&lt;&gt;""),AND(UT23&gt;=VB$34,UT23&lt;&gt;""),AND(UX23&gt;=VB$34,UX23&lt;&gt;""),AND(VA23&gt;=VB$34,VA23&lt;&gt;""),AND(VY23&gt;=WJ$34,VY23&lt;&gt;""),AND(WB23&gt;=WJ$34,WB23&lt;&gt;""),AND(WF23&gt;=WJ$34,WF23&lt;&gt;""),AND(WI23&gt;=WJ$34,WI23&lt;&gt;"")),"P","")</f>
        <v/>
      </c>
      <c r="H23" s="32" t="str">
        <f>IF(AND(G23="P",F23=""),"No DD",IF(OR(AND(AG23&gt;=AQ$33,AG23&lt;&gt;"",AI23&gt;=AQ$37,AI23&lt;&gt;"",AF23=""),AND(AJ23&gt;=AQ$33,AJ23&lt;&gt;"",AL23&gt;=AQ$37,AL23&lt;&gt;"",AF23=""),AND(AN23&gt;=AQ$33,AN23&lt;&gt;"",AP23&gt;=AQ$37,AP23&lt;&gt;"",AF23=""),AND(BH23&gt;=BR$33,BH23&lt;&gt;"",BJ23&gt;=BR$37,BJ23&lt;&gt;"",BG23=""),AND(BK23&gt;=BR$33,BK23&lt;&gt;"",BM23&gt;=BR$37,BM23&lt;&gt;"",BG23=""),AND(BO23&gt;=BR$33,BO23&lt;&gt;"",BQ23&gt;=BR$37,BQ23&lt;&gt;"",BG23=""),AND(CI23&gt;=CS$33,CI23&lt;&gt;"",CK23&gt;=CS$37,CK23&lt;&gt;"",CH23=""),AND(CL23&gt;=CS$33,CL23&lt;&gt;"",CN23&gt;=CS$37,CN23&lt;&gt;"",CH23=""),AND(CP23&gt;=CS$33,CP23&lt;&gt;"",CR23&gt;=CS$37,CR23&lt;&gt;"",CH23=""),AND(DO23&gt;=EB$33,DO23&lt;&gt;"",DQ23&gt;=EB$37,DQ23&lt;&gt;""),AND(DR23&gt;=EB$33,DR23&lt;&gt;"",DT23&gt;=EB$37,DT23&lt;&gt;""),AND(DV23&gt;=EB$33,DV23&lt;&gt;"",DX23&gt;=EB$37,DX23&lt;&gt;""),AND(DY23&gt;=EB$33,DY23&lt;&gt;"",EA23&gt;=EB$37,EA23&lt;&gt;""),AND(EW23&gt;=FJ$33,EW23&lt;&gt;"",EY23&gt;=FJ$37,EY23&lt;&gt;""),AND(EZ23&gt;=FJ$33,EZ23&lt;&gt;"",FB23&gt;=FJ$37,FB23&lt;&gt;""),AND(FD23&gt;=FJ$33,FD23&lt;&gt;"",FF23&gt;=FJ$37,FF23&lt;&gt;""),AND(FG23&gt;=FJ$33,FG23&lt;&gt;"",FI23&gt;=FJ$37,FI23&lt;&gt;""),AND(GE23&gt;=GR$33,GE23&lt;&gt;"",GG23&gt;=GR$37,GG23&lt;&gt;""),AND(GH23&gt;=GR$33,GH23&lt;&gt;"",GJ23&gt;=GR$37,GJ23&lt;&gt;""),AND(GL23&gt;=GR$33,GL23&lt;&gt;"",GN23&gt;=GR$37,GN23&lt;&gt;""),AND(GO23&gt;=GR$33,GO23&lt;&gt;"",GQ23&gt;=GR$37,GQ23&lt;&gt;""),AND(HM23&gt;=HZ$33,HM23&lt;&gt;"",HO23&gt;=HZ$37,HO23&lt;&gt;""),AND(HP23&gt;=HZ$33,HP23&lt;&gt;"",HR23&gt;=HZ$37,HR23&lt;&gt;""),AND(HT23&gt;=HZ$33,HT23&lt;&gt;"",HV23&gt;=HZ$37,HV23&lt;&gt;""),AND(HW23&gt;=HZ$33,HW23&lt;&gt;"",HY23&gt;=HZ$37,HY23&lt;&gt;""),AND(IU23&gt;=JH$33,IU23&lt;&gt;"",IW23&gt;=JH$37,IW23&lt;&gt;""),AND(IX23&gt;=JH$33,IX23&lt;&gt;"",IZ23&gt;=JH$37,IZ23&lt;&gt;""),AND(JB23&gt;=JH$33,JB23&lt;&gt;"",JD23&gt;=JH$37,JD23&lt;&gt;""),AND(JE23&gt;=JH$33,JE23&lt;&gt;"",JG23&gt;=JH$37,JG23&lt;&gt;""),AND(KC23&gt;=KP$33,KC23&lt;&gt;"",KE23&gt;=KP$37,KE23&lt;&gt;""),AND(KF23&gt;=KP$33,KF23&lt;&gt;"",KH23&gt;=KP$37,KH23&lt;&gt;""),AND(KJ23&gt;=KP$33,KJ23&lt;&gt;"",KL23&gt;=KP$37,KL23&lt;&gt;""),AND(KM23&gt;=KP$33,KM23&lt;&gt;"",KO23&gt;=KP$37,KO23&lt;&gt;""),AND(LK23&gt;=LX$33,LK23&lt;&gt;"",LM23&gt;=LX$37,LM23&lt;&gt;""),AND(LN23&gt;=LX$33,LN23&lt;&gt;"",LP23&gt;=LX$37,LP23&lt;&gt;""),AND(LR23&gt;=LX$33,LR23&lt;&gt;"",LT23&gt;=LX$37,LT23&lt;&gt;""),AND(LU23&gt;=LX$33,LU23&lt;&gt;"",LW23&gt;=LX$37,LW23&lt;&gt;""),AND(MS23&gt;=NF$33,MS23&lt;&gt;"",MU23&gt;=NF$37,MU23&lt;&gt;""),AND(MV23&gt;=NF$33,MV23&lt;&gt;"",MX23&gt;=NF$37,MX23&lt;&gt;""),AND(MZ23&gt;=NF$33,MZ23&lt;&gt;"",NB23&gt;=NF$37,NB23&lt;&gt;""),AND(NC23&gt;=NF$33,NC23&lt;&gt;"",NE23&gt;=NF$37,NE23&lt;&gt;""),AND(OA23&gt;=ON$33,OA23&lt;&gt;"",OC23&gt;=ON$37,OC23&lt;&gt;""),AND(OD23&gt;=ON$33,OD23&lt;&gt;"",OF23&gt;=ON$37,OF23&lt;&gt;""),AND(OH23&gt;=ON$33,OH23&lt;&gt;"",OJ23&gt;=ON$37,OJ23&lt;&gt;""),AND(OK23&gt;=ON$33,OK23&lt;&gt;"",OM23&gt;=ON$37,OM23&lt;&gt;""),AND(PI23&gt;=PV$33,PI23&lt;&gt;"",PK23&gt;=PV$37,PK23&lt;&gt;""),AND(PL23&gt;=PV$33,PL23&lt;&gt;"",PN23&gt;=PV$37,PN23&lt;&gt;""),AND(PP23&gt;=PV$33,PP23&lt;&gt;"",PR23&gt;=PV$37,PR23&lt;&gt;""),AND(PS23&gt;=PV$33,PS23&lt;&gt;"",PU23&gt;=PV$37,PU23&lt;&gt;""),AND(QQ23&gt;=RD$33,QQ23&lt;&gt;"",QS23&gt;=RD$37,QS23&lt;&gt;""),AND(QT23&gt;=RD$33,QT23&lt;&gt;"",QV23&gt;=RD$37,QV23&lt;&gt;""),AND(QX23&gt;=RD$33,QX23&lt;&gt;"",QZ23&gt;=RD$37,QZ23&lt;&gt;""),AND(RA23&gt;=RD$33,RA23&lt;&gt;"",RC23&gt;=RD$37,RC23&lt;&gt;""),AND(RY23&gt;=SL$33,RY23&lt;&gt;"",SA23&gt;=SL$37,SA23&lt;&gt;""),AND(SB23&gt;=SL$33,SB23&lt;&gt;"",SD23&gt;=SL$37,SD23&lt;&gt;""),AND(SF23&gt;=SL$33,SF23&lt;&gt;"",SH23&gt;=SL$37,SH23&lt;&gt;""),AND(SI23&gt;=SL$33,SI23&lt;&gt;"",SK23&gt;=SL$37,SK23&lt;&gt;""),AND(TG23&gt;=TT$33,TG23&lt;&gt;"",TI23&gt;=TT$37,TI23&lt;&gt;""),AND(TJ23&gt;=TT$33,TJ23&lt;&gt;"",TL23&gt;=TT$37,TL23&lt;&gt;""),AND(TN23&gt;=TT$33,TN23&lt;&gt;"",TP23&gt;=TT$357,TXN23&lt;&gt;""),AND(TQ23&gt;=TT$33,TQ23&lt;&gt;"",TS23&gt;=TT$37,TS23&lt;&gt;""),AND(UO23&gt;=VB$33,UO23&lt;&gt;"",UQ23&gt;=VB$37,UQ23&lt;&gt;""),AND(UR23&gt;=VB$33,UR23&lt;&gt;"",UT23&gt;=VB$37,UT23&lt;&gt;""),AND(UV23&gt;=VB$33,UV23&lt;&gt;"",UX23&gt;=VB$37,UX23&lt;&gt;""),AND(UY23&gt;=VB$33,UY23&lt;&gt;"",VA23&gt;=VB$37,VA23&lt;&gt;""),AND(VW23&gt;=WJ$33,VW23&lt;&gt;"",VY23&gt;=WJ$37,VY23&lt;&gt;""),AND(VZ23&gt;=WJ$33,VZ23&lt;&gt;"",WB23&gt;=WJ$37,WB23&lt;&gt;""),AND(WD23&gt;=WJ$33,WD23&lt;&gt;"",WF23&gt;=WJ$37,WF23&lt;&gt;""),AND(WG23&gt;=WJ$33,WG23&lt;&gt;"",WI23&gt;=WJ$37,WI23&lt;&gt;"")),"Merit",IF(OR(AND(AG23&gt;=AQ$32,AG23&lt;&gt;"",AI23&gt;=AQ$36,AI23&lt;&gt;"",AF23=""),AND(AJ23&gt;=AQ$32,AJ23&lt;&gt;"",AL23&gt;=AQ$36,AL23&lt;&gt;"",AF23=""),AND(AN23&gt;=AQ$32,AN23&lt;&gt;"",AP23&gt;=AQ$36,AP23&lt;&gt;"",AF23=""),AND(BH23&gt;=BR$32,BH23&lt;&gt;"",BJ23&gt;=BR$36,BJ23&lt;&gt;"",BG23=""),AND(BK23&gt;=BR$32,BK23&lt;&gt;"",BM23&gt;=BR$36,BM23&lt;&gt;"",BG23=""),AND(BO23&gt;=BR$32,BO23&lt;&gt;"",BQ23&gt;=BR$36,BQ23&lt;&gt;"",BG23=""),AND(CI23&gt;=CS$32,CI23&lt;&gt;"",CK23&gt;=CS$36,CK23&lt;&gt;"",CH23=""),AND(CL23&gt;=CS$32,CL23&lt;&gt;"",CN23&gt;=CS$36,CN23&lt;&gt;"",CH23=""),AND(CP23&gt;=CS$32,CP23&lt;&gt;"",CR23&gt;=CS$36,CR23&lt;&gt;"",CH23=""),AND(DO23&gt;=EB$32,DO23&lt;&gt;"",DQ23&gt;=EB$36,DQ23&lt;&gt;""),AND(DR23&gt;=EB$32,DR23&lt;&gt;"",DT23&gt;=EB$36,DT23&lt;&gt;""),AND(DV23&gt;=EB$32,DV23&lt;&gt;"",DX23&gt;=EB$36,DX23&lt;&gt;""),AND(DY23&gt;=EB$32,DY23&lt;&gt;"",EA23&gt;=EB$36,EA23&lt;&gt;""),AND(EW23&gt;=FJ$32,EW23&lt;&gt;"",EY23&gt;=FJ$36,EY23&lt;&gt;""),AND(EZ23&gt;=FJ$32,EZ23&lt;&gt;"",FB23&gt;=FJ$36,FB23&lt;&gt;""),AND(FD23&gt;=FJ$32,FD23&lt;&gt;"",FF23&gt;=FJ$36,FF23&lt;&gt;""),AND(FG23&gt;=FJ$32,FG23&lt;&gt;"",FI23&gt;=FJ$36,FI23&lt;&gt;""),AND(GE23&gt;=GR$32,GE23&lt;&gt;"",GG23&gt;=GR$36,GG23&lt;&gt;""),AND(GH23&gt;=GR$32,GH23&lt;&gt;"",GJ23&gt;=GR$36,GJ23&lt;&gt;""),AND(GL23&gt;=GR$32,GL23&lt;&gt;"",GN23&gt;=GR$36,GN23&lt;&gt;""),AND(GO23&gt;=GR$32,GO23&lt;&gt;"",GQ23&gt;=GR$36,GQ23&lt;&gt;""),AND(HM23&gt;=HZ$32,HM23&lt;&gt;"",HO23&gt;=HZ$36,HO23&lt;&gt;""),AND(HP23&gt;=HZ$32,HP23&lt;&gt;"",HR23&gt;=HZ$36,HR23&lt;&gt;""),AND(HT23&gt;=HZ$32,HT23&lt;&gt;"",HV23&gt;=HZ$36,HV23&lt;&gt;""),AND(HW23&gt;=HZ$32,HW23&lt;&gt;"",HY23&gt;=HZ$36,HY23&lt;&gt;""),AND(IU23&gt;=JH$32,IU23&lt;&gt;"",IW23&gt;=JH$36,IW23&lt;&gt;""),AND(IX23&gt;=JH$32,IX23&lt;&gt;"",IZ23&gt;=JH$36,IZ23&lt;&gt;""),AND(JB23&gt;=JH$32,JB23&lt;&gt;"",JD23&gt;=JH$36,JD23&lt;&gt;""),AND(JE23&gt;=JH$32,JE23&lt;&gt;"",JG23&gt;=JH$36,JG23&lt;&gt;""),AND(KC23&gt;=KP$32,KC23&lt;&gt;"",KE23&gt;=KP$36,KE23&lt;&gt;""),AND(KF23&gt;=KP$32,KF23&lt;&gt;"",KH23&gt;=KP$36,KH23&lt;&gt;""),AND(KJ23&gt;=KP$32,KJ23&lt;&gt;"",KL23&gt;=KP$36,KL23&lt;&gt;""),AND(KM23&gt;=KP$32,KM23&lt;&gt;"",KO23&gt;=KP$36,KO23&lt;&gt;""),AND(LK23&gt;=LX$32,LK23&lt;&gt;"",LM23&gt;=LX$36,LM23&lt;&gt;""),AND(LN23&gt;=LX$32,LN23&lt;&gt;"",LP23&gt;=LX$36,LP23&lt;&gt;""),AND(LR23&gt;=LX$32,LR23&lt;&gt;"",LT23&gt;=LX$36,LT23&lt;&gt;""),AND(LU23&gt;=LX$32,LU23&lt;&gt;"",LW23&gt;=LX$36,LW23&lt;&gt;""),AND(MS23&gt;=NF$32,MS23&lt;&gt;"",MU23&gt;=NF$36,MU23&lt;&gt;""),AND(MV23&gt;=NF$32,MV23&lt;&gt;"",MX23&gt;=NF$36,MX23&lt;&gt;""),AND(MZ23&gt;=NF$32,MZ23&lt;&gt;"",NB23&gt;=NF$36,NB23&lt;&gt;""),AND(NC23&gt;=NF$32,NC23&lt;&gt;"",NE23&gt;=NF$36,NE23&lt;&gt;""),AND(OA23&gt;=ON$32,OA23&lt;&gt;"",OC23&gt;=ON$36,OC23&lt;&gt;""),AND(OD23&gt;=ON$32,OD23&lt;&gt;"",OF23&gt;=ON$36,OF23&lt;&gt;""),AND(OH23&gt;=ON$32,OH23&lt;&gt;"",OJ23&gt;=ON$36,OJ23&lt;&gt;""),AND(OK23&gt;=ON$32,OK23&lt;&gt;"",OM23&gt;=ON$36,OM23&lt;&gt;""),AND(PI23&gt;=PV$32,PI23&lt;&gt;"",PK23&gt;=PV$36,PK23&lt;&gt;""),AND(PL23&gt;=PV$32,PL23&lt;&gt;"",PN23&gt;=PV$36,PN23&lt;&gt;""),AND(PP23&gt;=PV$32,PP23&lt;&gt;"",PR23&gt;=PV$36,PR23&lt;&gt;""),AND(PS23&gt;=PV$32,PS23&lt;&gt;"",PU23&gt;=PV$36,PU23&lt;&gt;""),AND(QQ23&gt;=RD$32,QQ23&lt;&gt;"",QS23&gt;=RD$36,QS23&lt;&gt;""),AND(QT23&gt;=RD$32,QT23&lt;&gt;"",QV23&gt;=RD$36,QV23&lt;&gt;""),AND(QX23&gt;=RD$32,QX23&lt;&gt;"",QZ23&gt;=RD$36,QZ23&lt;&gt;""),AND(RA23&gt;=RD$32,RA23&lt;&gt;"",RC23&gt;=RD$36,RC23&lt;&gt;""),AND(RY23&gt;=SL$32,RY23&lt;&gt;"",SA23&gt;=SL$36,SA23&lt;&gt;""),AND(SB23&gt;=SL$32,SB23&lt;&gt;"",SD23&gt;=SL$36,SD23&lt;&gt;""),AND(SF23&gt;=SL$32,SF23&lt;&gt;"",SH23&gt;=SL$36,SH23&lt;&gt;""),AND(SI23&gt;=SL$32,SI23&lt;&gt;"",SK23&gt;=SL$36,SK23&lt;&gt;""),AND(TG23&gt;=TT$32,TG23&lt;&gt;"",TI23&gt;=TT$36,TI23&lt;&gt;""),AND(TJ23&gt;=TT$32,TJ23&lt;&gt;"",TL23&gt;=TT$36,TL23&lt;&gt;""),AND(TN23&gt;=TT$32,TN23&lt;&gt;"",TP23&gt;=TT$36,TXN23&lt;&gt;""),AND(TQ23&gt;=TT$32,TQ23&lt;&gt;"",TS23&gt;=TT$36,TS23&lt;&gt;""),AND(UO23&gt;=VB$32,UO23&lt;&gt;"",UQ23&gt;=VB$36,UQ23&lt;&gt;""),AND(UR23&gt;=VB$32,UR23&lt;&gt;"",UT23&gt;=VB$36,UT23&lt;&gt;""),AND(UV23&gt;=VB$32,UV23&lt;&gt;"",UX23&gt;=VB$36,UX23&lt;&gt;""),AND(UY23&gt;=VB$32,UY23&lt;&gt;"",VA23&gt;=VB$36,VA23&lt;&gt;""),AND(VW23&gt;=WJ$32,VW23&lt;&gt;"",VY23&gt;=WJ$36,VY23&lt;&gt;""),AND(VZ23&gt;=WJ$32,VZ23&lt;&gt;"",WB23&gt;=WJ$36,WB23&lt;&gt;""),AND(WD23&gt;=WJ$32,WD23&lt;&gt;"",WF23&gt;=WJ$36,WF23&lt;&gt;""),AND(WG23&gt;=WJ$32,WG23&lt;&gt;"",WI23&gt;=WJ$36,WI23&lt;&gt;"")),"Excellence",IF(I23="P","National Team",IF(F23="P","National Team","")))))</f>
        <v/>
      </c>
      <c r="I23" s="3" t="str">
        <f>IF(COUNTIFS('Senior-M'!B:B,B23,'Senior-M'!A:A,"&lt;9",'Senior-M'!H:H,"&lt;&gt;"&amp;"No DD"),"P","")</f>
        <v/>
      </c>
      <c r="J23" s="8">
        <f t="shared" si="1"/>
        <v>50.38000000000001</v>
      </c>
      <c r="K23" s="8" t="str">
        <f t="shared" si="2"/>
        <v>2026 Elite Canada</v>
      </c>
      <c r="L23" s="8">
        <f>IFERROR(LARGE((AI23,AL23,AP23,BJ23,BM23,BQ23,CK23,CN23,CR23),2),0)</f>
        <v>31.32</v>
      </c>
      <c r="M23" s="8" t="str">
        <f t="shared" si="3"/>
        <v>2026 Elite Canada</v>
      </c>
      <c r="N23" s="8">
        <f t="shared" si="4"/>
        <v>0</v>
      </c>
      <c r="O23" s="11" t="str">
        <f>IF(N23=0,"",IF(N23=CT23,"("&amp;CT$2&amp;")",IF(N23=#REF!,"("&amp;#REF!&amp;")")))</f>
        <v/>
      </c>
      <c r="P23" s="8" t="str">
        <f t="shared" si="5"/>
        <v/>
      </c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23"/>
      <c r="AG23" s="34" t="str">
        <f t="shared" si="6"/>
        <v/>
      </c>
      <c r="AH23" s="34" t="str">
        <f t="shared" si="7"/>
        <v/>
      </c>
      <c r="AI23" s="36" t="str">
        <f t="shared" si="8"/>
        <v/>
      </c>
      <c r="AJ23" s="36" t="str">
        <f t="shared" si="9"/>
        <v/>
      </c>
      <c r="AK23" s="36" t="str">
        <f t="shared" si="10"/>
        <v/>
      </c>
      <c r="AL23" s="36" t="str">
        <f t="shared" si="11"/>
        <v/>
      </c>
      <c r="AM23" s="36" t="str">
        <f t="shared" si="12"/>
        <v/>
      </c>
      <c r="AN23" s="36" t="str">
        <f t="shared" si="13"/>
        <v/>
      </c>
      <c r="AO23" s="36" t="str">
        <f t="shared" si="14"/>
        <v/>
      </c>
      <c r="AP23" s="36" t="str">
        <f t="shared" si="15"/>
        <v/>
      </c>
      <c r="AQ23" s="36" t="str">
        <f t="shared" si="16"/>
        <v/>
      </c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4"/>
      <c r="BH23" s="35" t="str">
        <f t="shared" si="17"/>
        <v/>
      </c>
      <c r="BI23" s="35" t="str">
        <f t="shared" si="18"/>
        <v/>
      </c>
      <c r="BJ23" s="11" t="str">
        <f t="shared" si="19"/>
        <v/>
      </c>
      <c r="BK23" s="11" t="str">
        <f t="shared" si="20"/>
        <v/>
      </c>
      <c r="BL23" s="11" t="str">
        <f t="shared" si="21"/>
        <v/>
      </c>
      <c r="BM23" s="11" t="str">
        <f t="shared" si="22"/>
        <v/>
      </c>
      <c r="BN23" s="11" t="str">
        <f t="shared" si="23"/>
        <v/>
      </c>
      <c r="BO23" s="11" t="str">
        <f t="shared" si="24"/>
        <v/>
      </c>
      <c r="BP23" s="11" t="str">
        <f t="shared" si="25"/>
        <v/>
      </c>
      <c r="BQ23" s="11" t="str">
        <f t="shared" si="26"/>
        <v/>
      </c>
      <c r="BR23" s="11" t="str">
        <f t="shared" si="27"/>
        <v/>
      </c>
      <c r="BS23" s="18">
        <v>13.8</v>
      </c>
      <c r="BT23" s="18">
        <v>8.9</v>
      </c>
      <c r="BU23" s="18">
        <v>12.7</v>
      </c>
      <c r="BV23" s="18">
        <v>14.98</v>
      </c>
      <c r="BW23" s="18">
        <v>0</v>
      </c>
      <c r="BX23" s="18">
        <v>8.6</v>
      </c>
      <c r="BY23" s="18">
        <v>5.4</v>
      </c>
      <c r="BZ23" s="18">
        <v>8</v>
      </c>
      <c r="CA23" s="18">
        <v>9.32</v>
      </c>
      <c r="CB23" s="18">
        <v>0</v>
      </c>
      <c r="CC23" s="18">
        <v>1.3</v>
      </c>
      <c r="CD23" s="18">
        <v>0.9</v>
      </c>
      <c r="CE23" s="18">
        <v>1.5</v>
      </c>
      <c r="CF23" s="18">
        <v>1.65</v>
      </c>
      <c r="CG23" s="18">
        <v>0</v>
      </c>
      <c r="CH23" s="23"/>
      <c r="CI23" s="34">
        <f t="shared" si="28"/>
        <v>12.7</v>
      </c>
      <c r="CJ23" s="34">
        <f t="shared" si="29"/>
        <v>14.98</v>
      </c>
      <c r="CK23" s="36">
        <f t="shared" si="30"/>
        <v>50.38000000000001</v>
      </c>
      <c r="CL23" s="36">
        <f t="shared" si="31"/>
        <v>8</v>
      </c>
      <c r="CM23" s="36">
        <f t="shared" si="32"/>
        <v>9.32</v>
      </c>
      <c r="CN23" s="36">
        <f t="shared" si="33"/>
        <v>31.32</v>
      </c>
      <c r="CO23" s="36">
        <f t="shared" si="34"/>
        <v>50.38000000000001</v>
      </c>
      <c r="CP23" s="36">
        <f t="shared" si="35"/>
        <v>1.5</v>
      </c>
      <c r="CQ23" s="36">
        <f t="shared" si="36"/>
        <v>1.65</v>
      </c>
      <c r="CR23" s="36">
        <f t="shared" si="37"/>
        <v>5.35</v>
      </c>
      <c r="CS23" s="36">
        <f t="shared" si="38"/>
        <v>55.730000000000011</v>
      </c>
      <c r="CT23" s="47" t="str">
        <f t="shared" si="39"/>
        <v/>
      </c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36" t="str">
        <f t="shared" si="40"/>
        <v/>
      </c>
      <c r="DP23" s="36" t="str">
        <f t="shared" si="41"/>
        <v/>
      </c>
      <c r="DQ23" s="36" t="str">
        <f t="shared" si="42"/>
        <v/>
      </c>
      <c r="DR23" s="36" t="str">
        <f t="shared" si="43"/>
        <v/>
      </c>
      <c r="DS23" s="36" t="str">
        <f t="shared" si="44"/>
        <v/>
      </c>
      <c r="DT23" s="36" t="str">
        <f t="shared" si="45"/>
        <v/>
      </c>
      <c r="DU23" s="36" t="str">
        <f t="shared" si="46"/>
        <v/>
      </c>
      <c r="DV23" s="36" t="str">
        <f t="shared" si="47"/>
        <v/>
      </c>
      <c r="DW23" s="36" t="str">
        <f t="shared" si="48"/>
        <v/>
      </c>
      <c r="DX23" s="36" t="str">
        <f t="shared" si="49"/>
        <v/>
      </c>
      <c r="DY23" s="36" t="str">
        <f t="shared" si="50"/>
        <v/>
      </c>
      <c r="DZ23" s="36" t="str">
        <f t="shared" si="51"/>
        <v/>
      </c>
      <c r="EA23" s="36" t="str">
        <f t="shared" si="52"/>
        <v/>
      </c>
      <c r="EB23" s="36" t="str">
        <f t="shared" si="53"/>
        <v/>
      </c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1" t="str">
        <f t="shared" si="54"/>
        <v/>
      </c>
      <c r="EX23" s="11" t="str">
        <f t="shared" si="55"/>
        <v/>
      </c>
      <c r="EY23" s="11" t="str">
        <f t="shared" si="56"/>
        <v/>
      </c>
      <c r="EZ23" s="11" t="str">
        <f t="shared" si="57"/>
        <v/>
      </c>
      <c r="FA23" s="11" t="str">
        <f t="shared" si="58"/>
        <v/>
      </c>
      <c r="FB23" s="11" t="str">
        <f t="shared" si="59"/>
        <v/>
      </c>
      <c r="FC23" s="11" t="str">
        <f t="shared" si="60"/>
        <v/>
      </c>
      <c r="FD23" s="11" t="str">
        <f t="shared" si="61"/>
        <v/>
      </c>
      <c r="FE23" s="11" t="str">
        <f t="shared" si="62"/>
        <v/>
      </c>
      <c r="FF23" s="11" t="str">
        <f t="shared" si="63"/>
        <v/>
      </c>
      <c r="FG23" s="11" t="str">
        <f t="shared" si="64"/>
        <v/>
      </c>
      <c r="FH23" s="11" t="str">
        <f t="shared" si="65"/>
        <v/>
      </c>
      <c r="FI23" s="11" t="str">
        <f t="shared" si="66"/>
        <v/>
      </c>
      <c r="FJ23" s="11" t="str">
        <f t="shared" si="67"/>
        <v/>
      </c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36" t="str">
        <f t="shared" si="68"/>
        <v/>
      </c>
      <c r="GF23" s="36" t="str">
        <f t="shared" si="69"/>
        <v/>
      </c>
      <c r="GG23" s="36" t="str">
        <f t="shared" si="70"/>
        <v/>
      </c>
      <c r="GH23" s="36" t="str">
        <f t="shared" si="71"/>
        <v/>
      </c>
      <c r="GI23" s="36" t="str">
        <f t="shared" si="72"/>
        <v/>
      </c>
      <c r="GJ23" s="36" t="str">
        <f t="shared" si="73"/>
        <v/>
      </c>
      <c r="GK23" s="36" t="str">
        <f t="shared" si="74"/>
        <v/>
      </c>
      <c r="GL23" s="36" t="str">
        <f t="shared" si="75"/>
        <v/>
      </c>
      <c r="GM23" s="36" t="str">
        <f t="shared" si="76"/>
        <v/>
      </c>
      <c r="GN23" s="36" t="str">
        <f t="shared" si="77"/>
        <v/>
      </c>
      <c r="GO23" s="36" t="str">
        <f t="shared" si="78"/>
        <v/>
      </c>
      <c r="GP23" s="36" t="str">
        <f t="shared" si="79"/>
        <v/>
      </c>
      <c r="GQ23" s="36" t="str">
        <f t="shared" si="80"/>
        <v/>
      </c>
      <c r="GR23" s="36" t="str">
        <f t="shared" si="81"/>
        <v/>
      </c>
      <c r="GS23" s="16"/>
      <c r="GT23" s="16"/>
      <c r="GU23" s="16"/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1" t="str">
        <f t="shared" si="82"/>
        <v/>
      </c>
      <c r="HN23" s="11" t="str">
        <f t="shared" si="83"/>
        <v/>
      </c>
      <c r="HO23" s="11" t="str">
        <f t="shared" si="84"/>
        <v/>
      </c>
      <c r="HP23" s="11" t="str">
        <f t="shared" si="85"/>
        <v/>
      </c>
      <c r="HQ23" s="11" t="str">
        <f t="shared" si="86"/>
        <v/>
      </c>
      <c r="HR23" s="11" t="str">
        <f t="shared" si="87"/>
        <v/>
      </c>
      <c r="HS23" s="11" t="str">
        <f t="shared" si="88"/>
        <v/>
      </c>
      <c r="HT23" s="11" t="str">
        <f t="shared" si="89"/>
        <v/>
      </c>
      <c r="HU23" s="11" t="str">
        <f t="shared" si="90"/>
        <v/>
      </c>
      <c r="HV23" s="11" t="str">
        <f t="shared" si="91"/>
        <v/>
      </c>
      <c r="HW23" s="11" t="str">
        <f t="shared" si="92"/>
        <v/>
      </c>
      <c r="HX23" s="11" t="str">
        <f t="shared" si="93"/>
        <v/>
      </c>
      <c r="HY23" s="11" t="str">
        <f t="shared" si="94"/>
        <v/>
      </c>
      <c r="HZ23" s="11" t="str">
        <f t="shared" si="95"/>
        <v/>
      </c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36" t="str">
        <f t="shared" si="96"/>
        <v/>
      </c>
      <c r="IV23" s="36" t="str">
        <f t="shared" si="97"/>
        <v/>
      </c>
      <c r="IW23" s="36" t="str">
        <f t="shared" si="98"/>
        <v/>
      </c>
      <c r="IX23" s="36" t="str">
        <f t="shared" si="99"/>
        <v/>
      </c>
      <c r="IY23" s="36" t="str">
        <f t="shared" si="100"/>
        <v/>
      </c>
      <c r="IZ23" s="36" t="str">
        <f t="shared" si="101"/>
        <v/>
      </c>
      <c r="JA23" s="36" t="str">
        <f t="shared" si="102"/>
        <v/>
      </c>
      <c r="JB23" s="36" t="str">
        <f t="shared" si="103"/>
        <v/>
      </c>
      <c r="JC23" s="36" t="str">
        <f t="shared" si="104"/>
        <v/>
      </c>
      <c r="JD23" s="36" t="str">
        <f t="shared" si="105"/>
        <v/>
      </c>
      <c r="JE23" s="36" t="str">
        <f t="shared" si="106"/>
        <v/>
      </c>
      <c r="JF23" s="36" t="str">
        <f t="shared" si="107"/>
        <v/>
      </c>
      <c r="JG23" s="36" t="str">
        <f t="shared" si="108"/>
        <v/>
      </c>
      <c r="JH23" s="36" t="str">
        <f t="shared" si="109"/>
        <v/>
      </c>
      <c r="JI23" s="16"/>
      <c r="JJ23" s="16"/>
      <c r="JK23" s="16"/>
      <c r="JL23" s="16"/>
      <c r="JM23" s="16"/>
      <c r="JN23" s="16"/>
      <c r="JO23" s="16"/>
      <c r="JP23" s="16"/>
      <c r="JQ23" s="16"/>
      <c r="JR23" s="16"/>
      <c r="JS23" s="16"/>
      <c r="JT23" s="16"/>
      <c r="JU23" s="16"/>
      <c r="JV23" s="16"/>
      <c r="JW23" s="16"/>
      <c r="JX23" s="16"/>
      <c r="JY23" s="16"/>
      <c r="JZ23" s="16"/>
      <c r="KA23" s="16"/>
      <c r="KB23" s="16"/>
      <c r="KC23" s="11" t="str">
        <f t="shared" si="110"/>
        <v/>
      </c>
      <c r="KD23" s="11" t="str">
        <f t="shared" si="111"/>
        <v/>
      </c>
      <c r="KE23" s="11" t="str">
        <f t="shared" si="112"/>
        <v/>
      </c>
      <c r="KF23" s="11" t="str">
        <f t="shared" si="113"/>
        <v/>
      </c>
      <c r="KG23" s="11" t="str">
        <f t="shared" si="114"/>
        <v/>
      </c>
      <c r="KH23" s="11" t="str">
        <f t="shared" si="115"/>
        <v/>
      </c>
      <c r="KI23" s="11" t="str">
        <f t="shared" si="116"/>
        <v/>
      </c>
      <c r="KJ23" s="11" t="str">
        <f t="shared" si="117"/>
        <v/>
      </c>
      <c r="KK23" s="11" t="str">
        <f t="shared" si="118"/>
        <v/>
      </c>
      <c r="KL23" s="11" t="str">
        <f t="shared" si="119"/>
        <v/>
      </c>
      <c r="KM23" s="11" t="str">
        <f t="shared" si="120"/>
        <v/>
      </c>
      <c r="KN23" s="11" t="str">
        <f t="shared" si="121"/>
        <v/>
      </c>
      <c r="KO23" s="11" t="str">
        <f t="shared" si="122"/>
        <v/>
      </c>
      <c r="KP23" s="11" t="str">
        <f t="shared" si="123"/>
        <v/>
      </c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36" t="str">
        <f t="shared" si="124"/>
        <v/>
      </c>
      <c r="LL23" s="36" t="str">
        <f t="shared" si="125"/>
        <v/>
      </c>
      <c r="LM23" s="36" t="str">
        <f t="shared" si="126"/>
        <v/>
      </c>
      <c r="LN23" s="36" t="str">
        <f t="shared" si="127"/>
        <v/>
      </c>
      <c r="LO23" s="36" t="str">
        <f t="shared" si="128"/>
        <v/>
      </c>
      <c r="LP23" s="36" t="str">
        <f t="shared" si="129"/>
        <v/>
      </c>
      <c r="LQ23" s="36" t="str">
        <f t="shared" si="130"/>
        <v/>
      </c>
      <c r="LR23" s="36" t="str">
        <f t="shared" si="131"/>
        <v/>
      </c>
      <c r="LS23" s="36" t="str">
        <f t="shared" si="132"/>
        <v/>
      </c>
      <c r="LT23" s="36" t="str">
        <f t="shared" si="133"/>
        <v/>
      </c>
      <c r="LU23" s="36" t="str">
        <f t="shared" si="134"/>
        <v/>
      </c>
      <c r="LV23" s="36" t="str">
        <f t="shared" si="135"/>
        <v/>
      </c>
      <c r="LW23" s="36" t="str">
        <f t="shared" si="136"/>
        <v/>
      </c>
      <c r="LX23" s="36" t="str">
        <f t="shared" si="137"/>
        <v/>
      </c>
      <c r="LY23" s="16"/>
      <c r="LZ23" s="16"/>
      <c r="MA23" s="16"/>
      <c r="MB23" s="16"/>
      <c r="MC23" s="16"/>
      <c r="MD23" s="16"/>
      <c r="ME23" s="16"/>
      <c r="MF23" s="16"/>
      <c r="MG23" s="16"/>
      <c r="MH23" s="16"/>
      <c r="MI23" s="16"/>
      <c r="MJ23" s="16"/>
      <c r="MK23" s="16"/>
      <c r="ML23" s="16"/>
      <c r="MM23" s="16"/>
      <c r="MN23" s="16"/>
      <c r="MO23" s="16"/>
      <c r="MP23" s="16"/>
      <c r="MQ23" s="16"/>
      <c r="MR23" s="16"/>
      <c r="MS23" s="11" t="str">
        <f t="shared" si="138"/>
        <v/>
      </c>
      <c r="MT23" s="11" t="str">
        <f t="shared" si="139"/>
        <v/>
      </c>
      <c r="MU23" s="11" t="str">
        <f t="shared" si="140"/>
        <v/>
      </c>
      <c r="MV23" s="11" t="str">
        <f t="shared" si="141"/>
        <v/>
      </c>
      <c r="MW23" s="11" t="str">
        <f t="shared" si="142"/>
        <v/>
      </c>
      <c r="MX23" s="11" t="str">
        <f t="shared" si="143"/>
        <v/>
      </c>
      <c r="MY23" s="11" t="str">
        <f t="shared" si="144"/>
        <v/>
      </c>
      <c r="MZ23" s="11" t="str">
        <f t="shared" si="145"/>
        <v/>
      </c>
      <c r="NA23" s="11" t="str">
        <f t="shared" si="146"/>
        <v/>
      </c>
      <c r="NB23" s="11" t="str">
        <f t="shared" si="147"/>
        <v/>
      </c>
      <c r="NC23" s="11" t="str">
        <f t="shared" si="148"/>
        <v/>
      </c>
      <c r="ND23" s="11" t="str">
        <f t="shared" si="149"/>
        <v/>
      </c>
      <c r="NE23" s="11" t="str">
        <f t="shared" si="150"/>
        <v/>
      </c>
      <c r="NF23" s="11" t="str">
        <f t="shared" si="151"/>
        <v/>
      </c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36" t="str">
        <f t="shared" si="152"/>
        <v/>
      </c>
      <c r="OB23" s="36" t="str">
        <f t="shared" si="153"/>
        <v/>
      </c>
      <c r="OC23" s="36" t="str">
        <f t="shared" si="154"/>
        <v/>
      </c>
      <c r="OD23" s="36" t="str">
        <f t="shared" si="155"/>
        <v/>
      </c>
      <c r="OE23" s="36" t="str">
        <f t="shared" si="156"/>
        <v/>
      </c>
      <c r="OF23" s="36" t="str">
        <f t="shared" si="157"/>
        <v/>
      </c>
      <c r="OG23" s="36" t="str">
        <f t="shared" si="158"/>
        <v/>
      </c>
      <c r="OH23" s="36" t="str">
        <f t="shared" si="159"/>
        <v/>
      </c>
      <c r="OI23" s="36" t="str">
        <f t="shared" si="160"/>
        <v/>
      </c>
      <c r="OJ23" s="36" t="str">
        <f t="shared" si="161"/>
        <v/>
      </c>
      <c r="OK23" s="36" t="str">
        <f t="shared" si="162"/>
        <v/>
      </c>
      <c r="OL23" s="36" t="str">
        <f t="shared" si="163"/>
        <v/>
      </c>
      <c r="OM23" s="36" t="str">
        <f t="shared" si="164"/>
        <v/>
      </c>
      <c r="ON23" s="36" t="str">
        <f t="shared" si="165"/>
        <v/>
      </c>
      <c r="OO23" s="16"/>
      <c r="OP23" s="16"/>
      <c r="OQ23" s="16"/>
      <c r="OR23" s="16"/>
      <c r="OS23" s="16"/>
      <c r="OT23" s="16"/>
      <c r="OU23" s="16"/>
      <c r="OV23" s="16"/>
      <c r="OW23" s="16"/>
      <c r="OX23" s="16"/>
      <c r="OY23" s="16"/>
      <c r="OZ23" s="16"/>
      <c r="PA23" s="16"/>
      <c r="PB23" s="16"/>
      <c r="PC23" s="16"/>
      <c r="PD23" s="16"/>
      <c r="PE23" s="16"/>
      <c r="PF23" s="16"/>
      <c r="PG23" s="16"/>
      <c r="PH23" s="16"/>
      <c r="PI23" s="11" t="str">
        <f t="shared" si="166"/>
        <v/>
      </c>
      <c r="PJ23" s="11" t="str">
        <f t="shared" si="167"/>
        <v/>
      </c>
      <c r="PK23" s="11" t="str">
        <f t="shared" si="168"/>
        <v/>
      </c>
      <c r="PL23" s="11" t="str">
        <f t="shared" si="169"/>
        <v/>
      </c>
      <c r="PM23" s="11" t="str">
        <f t="shared" si="170"/>
        <v/>
      </c>
      <c r="PN23" s="11" t="str">
        <f t="shared" si="171"/>
        <v/>
      </c>
      <c r="PO23" s="11" t="str">
        <f t="shared" si="172"/>
        <v/>
      </c>
      <c r="PP23" s="11" t="str">
        <f t="shared" si="173"/>
        <v/>
      </c>
      <c r="PQ23" s="11" t="str">
        <f t="shared" si="174"/>
        <v/>
      </c>
      <c r="PR23" s="11" t="str">
        <f t="shared" si="175"/>
        <v/>
      </c>
      <c r="PS23" s="11" t="str">
        <f t="shared" si="176"/>
        <v/>
      </c>
      <c r="PT23" s="11" t="str">
        <f t="shared" si="177"/>
        <v/>
      </c>
      <c r="PU23" s="11" t="str">
        <f t="shared" si="178"/>
        <v/>
      </c>
      <c r="PV23" s="11" t="str">
        <f t="shared" si="179"/>
        <v/>
      </c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36" t="str">
        <f t="shared" si="180"/>
        <v/>
      </c>
      <c r="QR23" s="36" t="str">
        <f t="shared" si="181"/>
        <v/>
      </c>
      <c r="QS23" s="36" t="str">
        <f t="shared" si="182"/>
        <v/>
      </c>
      <c r="QT23" s="36" t="str">
        <f t="shared" si="183"/>
        <v/>
      </c>
      <c r="QU23" s="36" t="str">
        <f t="shared" si="184"/>
        <v/>
      </c>
      <c r="QV23" s="36" t="str">
        <f t="shared" si="185"/>
        <v/>
      </c>
      <c r="QW23" s="36" t="str">
        <f t="shared" si="186"/>
        <v/>
      </c>
      <c r="QX23" s="36" t="str">
        <f t="shared" si="187"/>
        <v/>
      </c>
      <c r="QY23" s="36" t="str">
        <f t="shared" si="188"/>
        <v/>
      </c>
      <c r="QZ23" s="36" t="str">
        <f t="shared" si="189"/>
        <v/>
      </c>
      <c r="RA23" s="36" t="str">
        <f t="shared" si="190"/>
        <v/>
      </c>
      <c r="RB23" s="36" t="str">
        <f t="shared" si="191"/>
        <v/>
      </c>
      <c r="RC23" s="36" t="str">
        <f t="shared" si="192"/>
        <v/>
      </c>
      <c r="RD23" s="36" t="str">
        <f t="shared" si="193"/>
        <v/>
      </c>
      <c r="RE23" s="16"/>
      <c r="RF23" s="16"/>
      <c r="RG23" s="16"/>
      <c r="RH23" s="16"/>
      <c r="RI23" s="16"/>
      <c r="RJ23" s="16"/>
      <c r="RK23" s="16"/>
      <c r="RL23" s="16"/>
      <c r="RM23" s="16"/>
      <c r="RN23" s="16"/>
      <c r="RO23" s="16"/>
      <c r="RP23" s="16"/>
      <c r="RQ23" s="16"/>
      <c r="RR23" s="16"/>
      <c r="RS23" s="16"/>
      <c r="RT23" s="16"/>
      <c r="RU23" s="16"/>
      <c r="RV23" s="16"/>
      <c r="RW23" s="16"/>
      <c r="RX23" s="16"/>
      <c r="RY23" s="11" t="str">
        <f t="shared" si="194"/>
        <v/>
      </c>
      <c r="RZ23" s="11" t="str">
        <f t="shared" si="195"/>
        <v/>
      </c>
      <c r="SA23" s="11" t="str">
        <f t="shared" si="196"/>
        <v/>
      </c>
      <c r="SB23" s="11" t="str">
        <f t="shared" si="197"/>
        <v/>
      </c>
      <c r="SC23" s="11" t="str">
        <f t="shared" si="198"/>
        <v/>
      </c>
      <c r="SD23" s="11" t="str">
        <f t="shared" si="199"/>
        <v/>
      </c>
      <c r="SE23" s="11" t="str">
        <f t="shared" si="200"/>
        <v/>
      </c>
      <c r="SF23" s="11" t="str">
        <f t="shared" si="201"/>
        <v/>
      </c>
      <c r="SG23" s="11" t="str">
        <f t="shared" si="202"/>
        <v/>
      </c>
      <c r="SH23" s="11" t="str">
        <f t="shared" si="203"/>
        <v/>
      </c>
      <c r="SI23" s="11" t="str">
        <f t="shared" si="204"/>
        <v/>
      </c>
      <c r="SJ23" s="11" t="str">
        <f t="shared" si="205"/>
        <v/>
      </c>
      <c r="SK23" s="11" t="str">
        <f t="shared" si="206"/>
        <v/>
      </c>
      <c r="SL23" s="11" t="str">
        <f t="shared" si="207"/>
        <v/>
      </c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36" t="str">
        <f t="shared" si="208"/>
        <v/>
      </c>
      <c r="TH23" s="36" t="str">
        <f t="shared" si="209"/>
        <v/>
      </c>
      <c r="TI23" s="36" t="str">
        <f t="shared" si="210"/>
        <v/>
      </c>
      <c r="TJ23" s="36" t="str">
        <f t="shared" si="211"/>
        <v/>
      </c>
      <c r="TK23" s="36" t="str">
        <f t="shared" si="212"/>
        <v/>
      </c>
      <c r="TL23" s="36" t="str">
        <f t="shared" si="213"/>
        <v/>
      </c>
      <c r="TM23" s="36" t="str">
        <f t="shared" si="214"/>
        <v/>
      </c>
      <c r="TN23" s="36" t="str">
        <f t="shared" si="215"/>
        <v/>
      </c>
      <c r="TO23" s="36" t="str">
        <f t="shared" si="216"/>
        <v/>
      </c>
      <c r="TP23" s="36" t="str">
        <f t="shared" si="217"/>
        <v/>
      </c>
      <c r="TQ23" s="36" t="str">
        <f t="shared" si="218"/>
        <v/>
      </c>
      <c r="TR23" s="36" t="str">
        <f t="shared" si="219"/>
        <v/>
      </c>
      <c r="TS23" s="36" t="str">
        <f t="shared" si="220"/>
        <v/>
      </c>
      <c r="TT23" s="36" t="str">
        <f t="shared" si="221"/>
        <v/>
      </c>
      <c r="TU23" s="16"/>
      <c r="TV23" s="16"/>
      <c r="TW23" s="16"/>
      <c r="TX23" s="16"/>
      <c r="TY23" s="16"/>
      <c r="TZ23" s="16"/>
      <c r="UA23" s="16"/>
      <c r="UB23" s="16"/>
      <c r="UC23" s="16"/>
      <c r="UD23" s="16"/>
      <c r="UE23" s="16"/>
      <c r="UF23" s="16"/>
      <c r="UG23" s="16"/>
      <c r="UH23" s="16"/>
      <c r="UI23" s="16"/>
      <c r="UJ23" s="16"/>
      <c r="UK23" s="16"/>
      <c r="UL23" s="16"/>
      <c r="UM23" s="16"/>
      <c r="UN23" s="16"/>
      <c r="UO23" s="11" t="str">
        <f t="shared" si="222"/>
        <v/>
      </c>
      <c r="UP23" s="11" t="str">
        <f t="shared" si="223"/>
        <v/>
      </c>
      <c r="UQ23" s="11" t="str">
        <f t="shared" si="224"/>
        <v/>
      </c>
      <c r="UR23" s="11" t="str">
        <f t="shared" si="225"/>
        <v/>
      </c>
      <c r="US23" s="11" t="str">
        <f t="shared" si="226"/>
        <v/>
      </c>
      <c r="UT23" s="11" t="str">
        <f t="shared" si="227"/>
        <v/>
      </c>
      <c r="UU23" s="11" t="str">
        <f t="shared" si="228"/>
        <v/>
      </c>
      <c r="UV23" s="11" t="str">
        <f t="shared" si="229"/>
        <v/>
      </c>
      <c r="UW23" s="11" t="str">
        <f t="shared" si="230"/>
        <v/>
      </c>
      <c r="UX23" s="11" t="str">
        <f t="shared" si="231"/>
        <v/>
      </c>
      <c r="UY23" s="11" t="str">
        <f t="shared" si="232"/>
        <v/>
      </c>
      <c r="UZ23" s="11" t="str">
        <f t="shared" si="233"/>
        <v/>
      </c>
      <c r="VA23" s="11" t="str">
        <f t="shared" si="234"/>
        <v/>
      </c>
      <c r="VB23" s="11" t="str">
        <f t="shared" si="235"/>
        <v/>
      </c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36" t="str">
        <f t="shared" si="236"/>
        <v/>
      </c>
      <c r="VX23" s="36" t="str">
        <f t="shared" si="237"/>
        <v/>
      </c>
      <c r="VY23" s="36" t="str">
        <f t="shared" si="238"/>
        <v/>
      </c>
      <c r="VZ23" s="36" t="str">
        <f t="shared" si="239"/>
        <v/>
      </c>
      <c r="WA23" s="36" t="str">
        <f t="shared" si="240"/>
        <v/>
      </c>
      <c r="WB23" s="36" t="str">
        <f t="shared" si="241"/>
        <v/>
      </c>
      <c r="WC23" s="36" t="str">
        <f t="shared" si="242"/>
        <v/>
      </c>
      <c r="WD23" s="36" t="str">
        <f t="shared" si="243"/>
        <v/>
      </c>
      <c r="WE23" s="36" t="str">
        <f t="shared" si="244"/>
        <v/>
      </c>
      <c r="WF23" s="36" t="str">
        <f t="shared" si="245"/>
        <v/>
      </c>
      <c r="WG23" s="36" t="str">
        <f t="shared" si="246"/>
        <v/>
      </c>
      <c r="WH23" s="36" t="str">
        <f t="shared" si="247"/>
        <v/>
      </c>
      <c r="WI23" s="36" t="str">
        <f t="shared" si="248"/>
        <v/>
      </c>
      <c r="WJ23" s="36" t="str">
        <f t="shared" si="249"/>
        <v/>
      </c>
    </row>
    <row r="24" spans="1:608" x14ac:dyDescent="0.2">
      <c r="A24" s="4" t="str" cm="1">
        <f t="array" ref="A24">IF(AND(H24&lt;&gt;"",H24&lt;&gt;"No DD",I24&lt;&gt;"P"),SUMPRODUCT((H$4:H$28&lt;&gt;"")*(H$4:H$28&lt;&gt;"No DD")*(I$4:I$28&lt;&gt;"P")*(E$4:E$28&gt;E24))+1,IF(H24="No DD",SUMPRODUCT((H$4:H$28="No DD")*(I$4:I$28&lt;&gt;"P")*(E$4:E$28&gt;E24))+1+SUMPRODUCT((H$4:H$28&lt;&gt;"")*(I$4:I$28&lt;&gt;"P")*(H$4:H$28&lt;&gt;"No DD")),""))</f>
        <v/>
      </c>
      <c r="B24" s="5" t="s">
        <v>191</v>
      </c>
      <c r="C24" s="4" t="s">
        <v>6</v>
      </c>
      <c r="D24" s="4">
        <v>2009</v>
      </c>
      <c r="E24" s="9">
        <f t="shared" si="0"/>
        <v>80.630008063004112</v>
      </c>
      <c r="F24" s="3" t="str">
        <f>IF(OR(AND(AG24&gt;=AQ$30,AG24&lt;&gt;"",AI24&gt;=AQ$34,AI24&lt;&gt;"",AF24=""),AND(AJ24&gt;=AQ$30,AJ24&lt;&gt;"",AL24&gt;=AQ$34,AL24&lt;&gt;"",AF24=""),AND(AN24&gt;=AQ$30,AN24&lt;&gt;"",AP24&gt;=AQ$34,AP24&lt;&gt;"",AF24=""),AND(BH24&gt;=BR$30,BH24&lt;&gt;"",BJ24&gt;=BR$34,BJ24&lt;&gt;"",BG24=""),AND(BK24&gt;=BR$30,BK24&lt;&gt;"",BM24&gt;=BR$34,BM24&lt;&gt;"",BG24=""),AND(BO24&gt;=BR$30,BO24&lt;&gt;"",BQ24&gt;=BR$34,BQ24&lt;&gt;"",BG24=""),AND(CI24&gt;=CS$30,CI24&lt;&gt;"",CK24&gt;=CS$34,CK24&lt;&gt;"",CH24=""),AND(CL24&gt;=CS$30,CL24&lt;&gt;"",CN24&gt;=CS$34,CN24&lt;&gt;"",CH24=""),AND(CP24&gt;=CS$30,CP24&lt;&gt;"",CR24&gt;=CS$34,CR24&lt;&gt;"",CH24=""),AND(DO24&gt;=EB$30,DO24&lt;&gt;"",DQ24&gt;=EB$34,DQ24&lt;&gt;""),AND(DR24&gt;=EB$30,DR24&lt;&gt;"",DT24&gt;=EB$34,DT24&lt;&gt;""),AND(DV24&gt;=EB$30,DV24&lt;&gt;"",DX24&gt;=EB$34,DX24&lt;&gt;""),AND(DY24&gt;=EB$30,DY24&lt;&gt;"",EA24&gt;=EB$34,EA24&lt;&gt;""),AND(EW24&gt;=FJ$30,EW24&lt;&gt;"",EY24&gt;=FJ$34,EY24&lt;&gt;""),AND(EZ24&gt;=FJ$30,EZ24&lt;&gt;"",FB24&gt;=FJ$34,FB24&lt;&gt;""),AND(FD24&gt;=FJ$30,FD24&lt;&gt;"",FF24&gt;=FJ$34,FF24&lt;&gt;""),AND(FG24&gt;=FJ$30,FG24&lt;&gt;"",FI24&gt;=FJ$34,FI24&lt;&gt;""),AND(GE24&gt;=GR$30,GE24&lt;&gt;"",GG24&gt;=GR$34,GG24&lt;&gt;""),AND(GH24&gt;=GR$30,GH24&lt;&gt;"",GJ24&gt;=GR$34,GJ24&lt;&gt;""),AND(GL24&gt;=GR$30,GL24&lt;&gt;"",GN24&gt;=GR$34,GN24&lt;&gt;""),AND(GO24&gt;=GR$30,GO24&lt;&gt;"",GQ24&gt;=GR$34,GQ24&lt;&gt;""),AND(HM24&gt;=HZ$30,HM24&lt;&gt;"",HO24&gt;=HZ$34,HO24&lt;&gt;""),AND(HP24&gt;=HZ$30,HP24&lt;&gt;"",HR24&gt;=HZ$34,HR24&lt;&gt;""),AND(HT24&gt;=HZ$30,HT24&lt;&gt;"",HV24&gt;=HZ$34,HV24&lt;&gt;""),AND(HW24&gt;=HZ$30,HW24&lt;&gt;"",HY24&gt;=HZ$34,HY24&lt;&gt;""),AND(IU24&gt;=JH$30,IU24&lt;&gt;"",IW24&gt;=JH$34,IW24&lt;&gt;""),AND(IX24&gt;=JH$30,IX24&lt;&gt;"",IZ24&gt;=JH$34,IZ24&lt;&gt;""),AND(JB24&gt;=JH$30,JB24&lt;&gt;"",JD24&gt;=JH$34,JD24&lt;&gt;""),AND(JE24&gt;=JH$30,JE24&lt;&gt;"",JG24&gt;=JH$34,JG24&lt;&gt;""),AND(KC24&gt;=KP$30,KC24&lt;&gt;"",KE24&gt;=KP$34,KE24&lt;&gt;""),AND(KF24&gt;=KP$30,KF24&lt;&gt;"",KH24&gt;=KP$34,KH24&lt;&gt;""),AND(KJ24&gt;=KP$30,KJ24&lt;&gt;"",KL24&gt;=KP$34,KL24&lt;&gt;""),AND(KM24&gt;=KP$30,KM24&lt;&gt;"",KO24&gt;=KP$34,KO24&lt;&gt;""),AND(LK24&gt;=LX$30,LK24&lt;&gt;"",LM24&gt;=LX$34,LM24&lt;&gt;""),AND(LN24&gt;=LX$30,LN24&lt;&gt;"",LP24&gt;=LX$34,LP24&lt;&gt;""),AND(LR24&gt;=LX$30,LR24&lt;&gt;"",LT24&gt;=LX$34,LT24&lt;&gt;""),AND(LU24&gt;=LX$30,LU24&lt;&gt;"",LW24&gt;=LX$34,LW24&lt;&gt;""),AND(MS24&gt;=NF$30,MS24&lt;&gt;"",MU24&gt;=NF$34,MU24&lt;&gt;""),AND(MV24&gt;=NF$30,MV24&lt;&gt;"",MX24&gt;=NF$34,MX24&lt;&gt;""),AND(MZ24&gt;=NF$30,MZ24&lt;&gt;"",NB24&gt;=NF$34,NB24&lt;&gt;""),AND(NC24&gt;=NF$30,NC24&lt;&gt;"",NE24&gt;=NF$34,NE24&lt;&gt;""),AND(OA24&gt;=ON$30,OA24&lt;&gt;"",OC24&gt;=ON$34,OC24&lt;&gt;""),AND(OD24&gt;=ON$30,OD24&lt;&gt;"",OF24&gt;=ON$34,OF24&lt;&gt;""),AND(OH24&gt;=ON$30,OH24&lt;&gt;"",OJ24&gt;=ON$34,OJ24&lt;&gt;""),AND(OK24&gt;=ON$30,OK24&lt;&gt;"",OM24&gt;=ON$34,OM24&lt;&gt;""),AND(PI24&gt;=PV$30,PI24&lt;&gt;"",PK24&gt;=PV$34,PK24&lt;&gt;""),AND(PL24&gt;=PV$30,PL24&lt;&gt;"",PN24&gt;=PV$34,PN24&lt;&gt;""),AND(PP24&gt;=PV$30,PP24&lt;&gt;"",PR24&gt;=PV$34,PR24&lt;&gt;""),AND(PS24&gt;=PV$30,PS24&lt;&gt;"",PU24&gt;=PV$34,PU24&lt;&gt;""),AND(QQ24&gt;=RD$30,QQ24&lt;&gt;"",QS24&gt;=RD$34,QS24&lt;&gt;""),AND(QT24&gt;=RD$30,QT24&lt;&gt;"",QV24&gt;=RD$34,QV24&lt;&gt;""),AND(QX24&gt;=RD$30,QX24&lt;&gt;"",QZ24&gt;=RD$34,QZ24&lt;&gt;""),AND(RA24&gt;=RD$30,RA24&lt;&gt;"",RC24&gt;=RD$34,RC24&lt;&gt;""),AND(RY24&gt;=SL$30,RY24&lt;&gt;"",SA24&gt;=SL$34,SA24&lt;&gt;""),AND(SB24&gt;=SL$30,SB24&lt;&gt;"",SD24&gt;=SL$34,SD24&lt;&gt;""),AND(SF24&gt;=SL$30,SF24&lt;&gt;"",SH24&gt;=SL$34,SH24&lt;&gt;""),AND(SI24&gt;=SL$30,SI24&lt;&gt;"",SK24&gt;=SL$34,SK24&lt;&gt;""),AND(TG24&gt;=TT$30,TG24&lt;&gt;"",TI24&gt;=TT$34,TI24&lt;&gt;""),AND(TJ24&gt;=TT$30,TJ24&lt;&gt;"",TL24&gt;=TT$34,TL24&lt;&gt;""),AND(TN24&gt;=TT$30,TN24&lt;&gt;"",TP24&gt;=TT$34,TXN24&lt;&gt;""),AND(TQ24&gt;=TT$30,TQ24&lt;&gt;"",TS24&gt;=TT$34,TS24&lt;&gt;""),AND(UO24&gt;=VB$30,UO24&lt;&gt;"",UQ24&gt;=VB$34,UQ24&lt;&gt;""),AND(UR24&gt;=VB$30,UR24&lt;&gt;"",UT24&gt;=VB$34,UT24&lt;&gt;""),AND(UV24&gt;=VB$30,UV24&lt;&gt;"",UX24&gt;=VB$34,UX24&lt;&gt;""),AND(UY24&gt;=VB$30,UY24&lt;&gt;"",VA24&gt;=VB$34,VA24&lt;&gt;""),AND(VW24&gt;=WJ$30,VW24&lt;&gt;"",VY24&gt;=WJ$34,VY24&lt;&gt;""),AND(VZ24&gt;=WJ$30,VZ24&lt;&gt;"",WB24&gt;=WJ$34,WB24&lt;&gt;""),AND(WD24&gt;=WJ$30,WD24&lt;&gt;"",WF24&gt;=WJ$34,WF24&lt;&gt;""),AND(WG24&gt;=WJ$30,WG24&lt;&gt;"",WI24&gt;=WJ$34,WI24&lt;&gt;"")),"P","")</f>
        <v/>
      </c>
      <c r="G24" s="3" t="str">
        <f>IF(OR(AND(AI24&gt;=AQ$34,AI24&lt;&gt;"",AF24=""),AND(AL24&gt;=AQ$34,AL24&lt;&gt;"",AF24=""),AND(AP24&gt;=AQ$34,AP24&lt;&gt;"",AF24=""),AND(BJ24&gt;=BR$34,BJ24&lt;&gt;"",BG24=""),AND(BM24&gt;=BR$34,BM24&lt;&gt;"",BG24=""),AND(BQ24&gt;=BR$34,BQ24&lt;&gt;"",BG24=""),AND(CK24&gt;=CS$34,CK24&lt;&gt;"",CH24=""),AND(CN24&gt;=CS$34,CN24&lt;&gt;"",CH24=""),AND(CR24&gt;=CS$34,CR24&lt;&gt;"",CH24=""),AND(DQ24&gt;=EB$34,DQ24&lt;&gt;""),AND(DT24&gt;=EB$34,DT24&lt;&gt;""),AND(DX24&gt;=EB$34,DX24&lt;&gt;""),AND(EA24&gt;=EB$34,EA24&lt;&gt;""),AND(EY24&gt;=FJ$34,EY24&lt;&gt;""),AND(FB24&gt;=FJ$34,FB24&lt;&gt;""),AND(FF24&gt;=FJ$34,FF24&lt;&gt;""),AND(FI24&gt;=FJ$34,FI24&lt;&gt;""),AND(GG24&gt;=GR$34,GG24&lt;&gt;""),AND(GJ24&gt;=GR$34,GJ24&lt;&gt;""),AND(GN24&gt;=GR$34,GN24&lt;&gt;""),AND(GQ24&gt;=GR$34,GQ24&lt;&gt;""),AND(HO24&gt;=HZ$34,HO24&lt;&gt;""),AND(HR24&gt;=HZ$34,HR24&lt;&gt;""),AND(HV24&gt;=HZ$34,HV24&lt;&gt;""),AND(HY24&gt;=HZ$34,HY24&lt;&gt;""),AND(IW24&gt;=JH$34,IW24&lt;&gt;""),AND(IZ24&gt;=JH$34,IZ24&lt;&gt;""),AND(JD24&gt;=JH$34,JD24&lt;&gt;""),AND(JG24&gt;=JH$34,JG24&lt;&gt;""),AND(KE24&gt;=KP$34,KE24&lt;&gt;""),AND(KH24&gt;=KP$34,KH24&lt;&gt;""),AND(KL24&gt;=KP$34,KL24&lt;&gt;""),AND(KO24&gt;=KP$34,KO24&lt;&gt;""),AND(LM24&gt;=LX$34,LM24&lt;&gt;""),AND(LP24&gt;=LX$34,LP24&lt;&gt;""),AND(LT24&gt;=LX$34,LT24&lt;&gt;""),AND(LW24&gt;=LX$34,LW24&lt;&gt;""),AND(MU24&gt;=NF$34,MU24&lt;&gt;""),AND(MX24&gt;=NF$34,MX24&lt;&gt;""),AND(NB24&gt;=NF$34,NB24&lt;&gt;""),AND(NE24&gt;=NF$34,NE24&lt;&gt;""),AND(OC24&gt;=ON$34,OC24&lt;&gt;""),AND(OF24&gt;=ON$34,OF24&lt;&gt;""),AND(OJ24&gt;=ON$34,OJ24&lt;&gt;""),AND(OM24&gt;=ON$34,OM24&lt;&gt;""),AND(PK24&gt;=PV$34,PK24&lt;&gt;""),AND(PN24&gt;=PV$34,PN24&lt;&gt;""),AND(PR24&gt;=PV$34,PR24&lt;&gt;""),AND(PU24&gt;=PV$34,PU24&lt;&gt;""),AND(QS24&gt;=RD$34,QS24&lt;&gt;""),AND(QV24&gt;=RD$34,QV24&lt;&gt;""),AND(QZ24&gt;=RD$34,QZ24&lt;&gt;""),AND(RC24&gt;=RD$34,RC24&lt;&gt;""),AND(SA24&gt;=SL$34,SA24&lt;&gt;""),AND(SD24&gt;=SL$34,SD24&lt;&gt;""),AND(SH24&gt;=SL$34,SH24&lt;&gt;""),AND(SK24&gt;=SL$34,SK24&lt;&gt;""),AND(TI24&gt;=TT$34,TI24&lt;&gt;""),AND(TL24&gt;=TT$34,TL24&lt;&gt;""),AND(TP24&gt;=TT$34,TXN24&lt;&gt;""),AND(TS24&gt;=TT$34,TS24&lt;&gt;""),AND(UQ24&gt;=VB$34,UQ24&lt;&gt;""),AND(UT24&gt;=VB$34,UT24&lt;&gt;""),AND(UX24&gt;=VB$34,UX24&lt;&gt;""),AND(VA24&gt;=VB$34,VA24&lt;&gt;""),AND(VY24&gt;=WJ$34,VY24&lt;&gt;""),AND(WB24&gt;=WJ$34,WB24&lt;&gt;""),AND(WF24&gt;=WJ$34,WF24&lt;&gt;""),AND(WI24&gt;=WJ$34,WI24&lt;&gt;"")),"P","")</f>
        <v/>
      </c>
      <c r="H24" s="32" t="str">
        <f>IF(AND(G24="P",F24=""),"No DD",IF(OR(AND(AG24&gt;=AQ$33,AG24&lt;&gt;"",AI24&gt;=AQ$37,AI24&lt;&gt;"",AF24=""),AND(AJ24&gt;=AQ$33,AJ24&lt;&gt;"",AL24&gt;=AQ$37,AL24&lt;&gt;"",AF24=""),AND(AN24&gt;=AQ$33,AN24&lt;&gt;"",AP24&gt;=AQ$37,AP24&lt;&gt;"",AF24=""),AND(BH24&gt;=BR$33,BH24&lt;&gt;"",BJ24&gt;=BR$37,BJ24&lt;&gt;"",BG24=""),AND(BK24&gt;=BR$33,BK24&lt;&gt;"",BM24&gt;=BR$37,BM24&lt;&gt;"",BG24=""),AND(BO24&gt;=BR$33,BO24&lt;&gt;"",BQ24&gt;=BR$37,BQ24&lt;&gt;"",BG24=""),AND(CI24&gt;=CS$33,CI24&lt;&gt;"",CK24&gt;=CS$37,CK24&lt;&gt;"",CH24=""),AND(CL24&gt;=CS$33,CL24&lt;&gt;"",CN24&gt;=CS$37,CN24&lt;&gt;"",CH24=""),AND(CP24&gt;=CS$33,CP24&lt;&gt;"",CR24&gt;=CS$37,CR24&lt;&gt;"",CH24=""),AND(DO24&gt;=EB$33,DO24&lt;&gt;"",DQ24&gt;=EB$37,DQ24&lt;&gt;""),AND(DR24&gt;=EB$33,DR24&lt;&gt;"",DT24&gt;=EB$37,DT24&lt;&gt;""),AND(DV24&gt;=EB$33,DV24&lt;&gt;"",DX24&gt;=EB$37,DX24&lt;&gt;""),AND(DY24&gt;=EB$33,DY24&lt;&gt;"",EA24&gt;=EB$37,EA24&lt;&gt;""),AND(EW24&gt;=FJ$33,EW24&lt;&gt;"",EY24&gt;=FJ$37,EY24&lt;&gt;""),AND(EZ24&gt;=FJ$33,EZ24&lt;&gt;"",FB24&gt;=FJ$37,FB24&lt;&gt;""),AND(FD24&gt;=FJ$33,FD24&lt;&gt;"",FF24&gt;=FJ$37,FF24&lt;&gt;""),AND(FG24&gt;=FJ$33,FG24&lt;&gt;"",FI24&gt;=FJ$37,FI24&lt;&gt;""),AND(GE24&gt;=GR$33,GE24&lt;&gt;"",GG24&gt;=GR$37,GG24&lt;&gt;""),AND(GH24&gt;=GR$33,GH24&lt;&gt;"",GJ24&gt;=GR$37,GJ24&lt;&gt;""),AND(GL24&gt;=GR$33,GL24&lt;&gt;"",GN24&gt;=GR$37,GN24&lt;&gt;""),AND(GO24&gt;=GR$33,GO24&lt;&gt;"",GQ24&gt;=GR$37,GQ24&lt;&gt;""),AND(HM24&gt;=HZ$33,HM24&lt;&gt;"",HO24&gt;=HZ$37,HO24&lt;&gt;""),AND(HP24&gt;=HZ$33,HP24&lt;&gt;"",HR24&gt;=HZ$37,HR24&lt;&gt;""),AND(HT24&gt;=HZ$33,HT24&lt;&gt;"",HV24&gt;=HZ$37,HV24&lt;&gt;""),AND(HW24&gt;=HZ$33,HW24&lt;&gt;"",HY24&gt;=HZ$37,HY24&lt;&gt;""),AND(IU24&gt;=JH$33,IU24&lt;&gt;"",IW24&gt;=JH$37,IW24&lt;&gt;""),AND(IX24&gt;=JH$33,IX24&lt;&gt;"",IZ24&gt;=JH$37,IZ24&lt;&gt;""),AND(JB24&gt;=JH$33,JB24&lt;&gt;"",JD24&gt;=JH$37,JD24&lt;&gt;""),AND(JE24&gt;=JH$33,JE24&lt;&gt;"",JG24&gt;=JH$37,JG24&lt;&gt;""),AND(KC24&gt;=KP$33,KC24&lt;&gt;"",KE24&gt;=KP$37,KE24&lt;&gt;""),AND(KF24&gt;=KP$33,KF24&lt;&gt;"",KH24&gt;=KP$37,KH24&lt;&gt;""),AND(KJ24&gt;=KP$33,KJ24&lt;&gt;"",KL24&gt;=KP$37,KL24&lt;&gt;""),AND(KM24&gt;=KP$33,KM24&lt;&gt;"",KO24&gt;=KP$37,KO24&lt;&gt;""),AND(LK24&gt;=LX$33,LK24&lt;&gt;"",LM24&gt;=LX$37,LM24&lt;&gt;""),AND(LN24&gt;=LX$33,LN24&lt;&gt;"",LP24&gt;=LX$37,LP24&lt;&gt;""),AND(LR24&gt;=LX$33,LR24&lt;&gt;"",LT24&gt;=LX$37,LT24&lt;&gt;""),AND(LU24&gt;=LX$33,LU24&lt;&gt;"",LW24&gt;=LX$37,LW24&lt;&gt;""),AND(MS24&gt;=NF$33,MS24&lt;&gt;"",MU24&gt;=NF$37,MU24&lt;&gt;""),AND(MV24&gt;=NF$33,MV24&lt;&gt;"",MX24&gt;=NF$37,MX24&lt;&gt;""),AND(MZ24&gt;=NF$33,MZ24&lt;&gt;"",NB24&gt;=NF$37,NB24&lt;&gt;""),AND(NC24&gt;=NF$33,NC24&lt;&gt;"",NE24&gt;=NF$37,NE24&lt;&gt;""),AND(OA24&gt;=ON$33,OA24&lt;&gt;"",OC24&gt;=ON$37,OC24&lt;&gt;""),AND(OD24&gt;=ON$33,OD24&lt;&gt;"",OF24&gt;=ON$37,OF24&lt;&gt;""),AND(OH24&gt;=ON$33,OH24&lt;&gt;"",OJ24&gt;=ON$37,OJ24&lt;&gt;""),AND(OK24&gt;=ON$33,OK24&lt;&gt;"",OM24&gt;=ON$37,OM24&lt;&gt;""),AND(PI24&gt;=PV$33,PI24&lt;&gt;"",PK24&gt;=PV$37,PK24&lt;&gt;""),AND(PL24&gt;=PV$33,PL24&lt;&gt;"",PN24&gt;=PV$37,PN24&lt;&gt;""),AND(PP24&gt;=PV$33,PP24&lt;&gt;"",PR24&gt;=PV$37,PR24&lt;&gt;""),AND(PS24&gt;=PV$33,PS24&lt;&gt;"",PU24&gt;=PV$37,PU24&lt;&gt;""),AND(QQ24&gt;=RD$33,QQ24&lt;&gt;"",QS24&gt;=RD$37,QS24&lt;&gt;""),AND(QT24&gt;=RD$33,QT24&lt;&gt;"",QV24&gt;=RD$37,QV24&lt;&gt;""),AND(QX24&gt;=RD$33,QX24&lt;&gt;"",QZ24&gt;=RD$37,QZ24&lt;&gt;""),AND(RA24&gt;=RD$33,RA24&lt;&gt;"",RC24&gt;=RD$37,RC24&lt;&gt;""),AND(RY24&gt;=SL$33,RY24&lt;&gt;"",SA24&gt;=SL$37,SA24&lt;&gt;""),AND(SB24&gt;=SL$33,SB24&lt;&gt;"",SD24&gt;=SL$37,SD24&lt;&gt;""),AND(SF24&gt;=SL$33,SF24&lt;&gt;"",SH24&gt;=SL$37,SH24&lt;&gt;""),AND(SI24&gt;=SL$33,SI24&lt;&gt;"",SK24&gt;=SL$37,SK24&lt;&gt;""),AND(TG24&gt;=TT$33,TG24&lt;&gt;"",TI24&gt;=TT$37,TI24&lt;&gt;""),AND(TJ24&gt;=TT$33,TJ24&lt;&gt;"",TL24&gt;=TT$37,TL24&lt;&gt;""),AND(TN24&gt;=TT$33,TN24&lt;&gt;"",TP24&gt;=TT$357,TXN24&lt;&gt;""),AND(TQ24&gt;=TT$33,TQ24&lt;&gt;"",TS24&gt;=TT$37,TS24&lt;&gt;""),AND(UO24&gt;=VB$33,UO24&lt;&gt;"",UQ24&gt;=VB$37,UQ24&lt;&gt;""),AND(UR24&gt;=VB$33,UR24&lt;&gt;"",UT24&gt;=VB$37,UT24&lt;&gt;""),AND(UV24&gt;=VB$33,UV24&lt;&gt;"",UX24&gt;=VB$37,UX24&lt;&gt;""),AND(UY24&gt;=VB$33,UY24&lt;&gt;"",VA24&gt;=VB$37,VA24&lt;&gt;""),AND(VW24&gt;=WJ$33,VW24&lt;&gt;"",VY24&gt;=WJ$37,VY24&lt;&gt;""),AND(VZ24&gt;=WJ$33,VZ24&lt;&gt;"",WB24&gt;=WJ$37,WB24&lt;&gt;""),AND(WD24&gt;=WJ$33,WD24&lt;&gt;"",WF24&gt;=WJ$37,WF24&lt;&gt;""),AND(WG24&gt;=WJ$33,WG24&lt;&gt;"",WI24&gt;=WJ$37,WI24&lt;&gt;"")),"Merit",IF(OR(AND(AG24&gt;=AQ$32,AG24&lt;&gt;"",AI24&gt;=AQ$36,AI24&lt;&gt;"",AF24=""),AND(AJ24&gt;=AQ$32,AJ24&lt;&gt;"",AL24&gt;=AQ$36,AL24&lt;&gt;"",AF24=""),AND(AN24&gt;=AQ$32,AN24&lt;&gt;"",AP24&gt;=AQ$36,AP24&lt;&gt;"",AF24=""),AND(BH24&gt;=BR$32,BH24&lt;&gt;"",BJ24&gt;=BR$36,BJ24&lt;&gt;"",BG24=""),AND(BK24&gt;=BR$32,BK24&lt;&gt;"",BM24&gt;=BR$36,BM24&lt;&gt;"",BG24=""),AND(BO24&gt;=BR$32,BO24&lt;&gt;"",BQ24&gt;=BR$36,BQ24&lt;&gt;"",BG24=""),AND(CI24&gt;=CS$32,CI24&lt;&gt;"",CK24&gt;=CS$36,CK24&lt;&gt;"",CH24=""),AND(CL24&gt;=CS$32,CL24&lt;&gt;"",CN24&gt;=CS$36,CN24&lt;&gt;"",CH24=""),AND(CP24&gt;=CS$32,CP24&lt;&gt;"",CR24&gt;=CS$36,CR24&lt;&gt;"",CH24=""),AND(DO24&gt;=EB$32,DO24&lt;&gt;"",DQ24&gt;=EB$36,DQ24&lt;&gt;""),AND(DR24&gt;=EB$32,DR24&lt;&gt;"",DT24&gt;=EB$36,DT24&lt;&gt;""),AND(DV24&gt;=EB$32,DV24&lt;&gt;"",DX24&gt;=EB$36,DX24&lt;&gt;""),AND(DY24&gt;=EB$32,DY24&lt;&gt;"",EA24&gt;=EB$36,EA24&lt;&gt;""),AND(EW24&gt;=FJ$32,EW24&lt;&gt;"",EY24&gt;=FJ$36,EY24&lt;&gt;""),AND(EZ24&gt;=FJ$32,EZ24&lt;&gt;"",FB24&gt;=FJ$36,FB24&lt;&gt;""),AND(FD24&gt;=FJ$32,FD24&lt;&gt;"",FF24&gt;=FJ$36,FF24&lt;&gt;""),AND(FG24&gt;=FJ$32,FG24&lt;&gt;"",FI24&gt;=FJ$36,FI24&lt;&gt;""),AND(GE24&gt;=GR$32,GE24&lt;&gt;"",GG24&gt;=GR$36,GG24&lt;&gt;""),AND(GH24&gt;=GR$32,GH24&lt;&gt;"",GJ24&gt;=GR$36,GJ24&lt;&gt;""),AND(GL24&gt;=GR$32,GL24&lt;&gt;"",GN24&gt;=GR$36,GN24&lt;&gt;""),AND(GO24&gt;=GR$32,GO24&lt;&gt;"",GQ24&gt;=GR$36,GQ24&lt;&gt;""),AND(HM24&gt;=HZ$32,HM24&lt;&gt;"",HO24&gt;=HZ$36,HO24&lt;&gt;""),AND(HP24&gt;=HZ$32,HP24&lt;&gt;"",HR24&gt;=HZ$36,HR24&lt;&gt;""),AND(HT24&gt;=HZ$32,HT24&lt;&gt;"",HV24&gt;=HZ$36,HV24&lt;&gt;""),AND(HW24&gt;=HZ$32,HW24&lt;&gt;"",HY24&gt;=HZ$36,HY24&lt;&gt;""),AND(IU24&gt;=JH$32,IU24&lt;&gt;"",IW24&gt;=JH$36,IW24&lt;&gt;""),AND(IX24&gt;=JH$32,IX24&lt;&gt;"",IZ24&gt;=JH$36,IZ24&lt;&gt;""),AND(JB24&gt;=JH$32,JB24&lt;&gt;"",JD24&gt;=JH$36,JD24&lt;&gt;""),AND(JE24&gt;=JH$32,JE24&lt;&gt;"",JG24&gt;=JH$36,JG24&lt;&gt;""),AND(KC24&gt;=KP$32,KC24&lt;&gt;"",KE24&gt;=KP$36,KE24&lt;&gt;""),AND(KF24&gt;=KP$32,KF24&lt;&gt;"",KH24&gt;=KP$36,KH24&lt;&gt;""),AND(KJ24&gt;=KP$32,KJ24&lt;&gt;"",KL24&gt;=KP$36,KL24&lt;&gt;""),AND(KM24&gt;=KP$32,KM24&lt;&gt;"",KO24&gt;=KP$36,KO24&lt;&gt;""),AND(LK24&gt;=LX$32,LK24&lt;&gt;"",LM24&gt;=LX$36,LM24&lt;&gt;""),AND(LN24&gt;=LX$32,LN24&lt;&gt;"",LP24&gt;=LX$36,LP24&lt;&gt;""),AND(LR24&gt;=LX$32,LR24&lt;&gt;"",LT24&gt;=LX$36,LT24&lt;&gt;""),AND(LU24&gt;=LX$32,LU24&lt;&gt;"",LW24&gt;=LX$36,LW24&lt;&gt;""),AND(MS24&gt;=NF$32,MS24&lt;&gt;"",MU24&gt;=NF$36,MU24&lt;&gt;""),AND(MV24&gt;=NF$32,MV24&lt;&gt;"",MX24&gt;=NF$36,MX24&lt;&gt;""),AND(MZ24&gt;=NF$32,MZ24&lt;&gt;"",NB24&gt;=NF$36,NB24&lt;&gt;""),AND(NC24&gt;=NF$32,NC24&lt;&gt;"",NE24&gt;=NF$36,NE24&lt;&gt;""),AND(OA24&gt;=ON$32,OA24&lt;&gt;"",OC24&gt;=ON$36,OC24&lt;&gt;""),AND(OD24&gt;=ON$32,OD24&lt;&gt;"",OF24&gt;=ON$36,OF24&lt;&gt;""),AND(OH24&gt;=ON$32,OH24&lt;&gt;"",OJ24&gt;=ON$36,OJ24&lt;&gt;""),AND(OK24&gt;=ON$32,OK24&lt;&gt;"",OM24&gt;=ON$36,OM24&lt;&gt;""),AND(PI24&gt;=PV$32,PI24&lt;&gt;"",PK24&gt;=PV$36,PK24&lt;&gt;""),AND(PL24&gt;=PV$32,PL24&lt;&gt;"",PN24&gt;=PV$36,PN24&lt;&gt;""),AND(PP24&gt;=PV$32,PP24&lt;&gt;"",PR24&gt;=PV$36,PR24&lt;&gt;""),AND(PS24&gt;=PV$32,PS24&lt;&gt;"",PU24&gt;=PV$36,PU24&lt;&gt;""),AND(QQ24&gt;=RD$32,QQ24&lt;&gt;"",QS24&gt;=RD$36,QS24&lt;&gt;""),AND(QT24&gt;=RD$32,QT24&lt;&gt;"",QV24&gt;=RD$36,QV24&lt;&gt;""),AND(QX24&gt;=RD$32,QX24&lt;&gt;"",QZ24&gt;=RD$36,QZ24&lt;&gt;""),AND(RA24&gt;=RD$32,RA24&lt;&gt;"",RC24&gt;=RD$36,RC24&lt;&gt;""),AND(RY24&gt;=SL$32,RY24&lt;&gt;"",SA24&gt;=SL$36,SA24&lt;&gt;""),AND(SB24&gt;=SL$32,SB24&lt;&gt;"",SD24&gt;=SL$36,SD24&lt;&gt;""),AND(SF24&gt;=SL$32,SF24&lt;&gt;"",SH24&gt;=SL$36,SH24&lt;&gt;""),AND(SI24&gt;=SL$32,SI24&lt;&gt;"",SK24&gt;=SL$36,SK24&lt;&gt;""),AND(TG24&gt;=TT$32,TG24&lt;&gt;"",TI24&gt;=TT$36,TI24&lt;&gt;""),AND(TJ24&gt;=TT$32,TJ24&lt;&gt;"",TL24&gt;=TT$36,TL24&lt;&gt;""),AND(TN24&gt;=TT$32,TN24&lt;&gt;"",TP24&gt;=TT$36,TXN24&lt;&gt;""),AND(TQ24&gt;=TT$32,TQ24&lt;&gt;"",TS24&gt;=TT$36,TS24&lt;&gt;""),AND(UO24&gt;=VB$32,UO24&lt;&gt;"",UQ24&gt;=VB$36,UQ24&lt;&gt;""),AND(UR24&gt;=VB$32,UR24&lt;&gt;"",UT24&gt;=VB$36,UT24&lt;&gt;""),AND(UV24&gt;=VB$32,UV24&lt;&gt;"",UX24&gt;=VB$36,UX24&lt;&gt;""),AND(UY24&gt;=VB$32,UY24&lt;&gt;"",VA24&gt;=VB$36,VA24&lt;&gt;""),AND(VW24&gt;=WJ$32,VW24&lt;&gt;"",VY24&gt;=WJ$36,VY24&lt;&gt;""),AND(VZ24&gt;=WJ$32,VZ24&lt;&gt;"",WB24&gt;=WJ$36,WB24&lt;&gt;""),AND(WD24&gt;=WJ$32,WD24&lt;&gt;"",WF24&gt;=WJ$36,WF24&lt;&gt;""),AND(WG24&gt;=WJ$32,WG24&lt;&gt;"",WI24&gt;=WJ$36,WI24&lt;&gt;"")),"Excellence",IF(I24="P","National Team",IF(F24="P","National Team","")))))</f>
        <v/>
      </c>
      <c r="I24" s="3" t="str">
        <f>IF(COUNTIFS('Senior-M'!B:B,B24,'Senior-M'!A:A,"&lt;9",'Senior-M'!H:H,"&lt;&gt;"&amp;"No DD"),"P","")</f>
        <v/>
      </c>
      <c r="J24" s="8">
        <f t="shared" si="1"/>
        <v>41.18</v>
      </c>
      <c r="K24" s="8" t="str">
        <f t="shared" si="2"/>
        <v>2026 Elite Canada</v>
      </c>
      <c r="L24" s="8">
        <f>IFERROR(LARGE((AI24,AL24,AP24,BJ24,BM24,BQ24,CK24,CN24,CR24),2),0)</f>
        <v>39.450000000000003</v>
      </c>
      <c r="M24" s="8" t="str">
        <f t="shared" si="3"/>
        <v>2025 Nationals</v>
      </c>
      <c r="N24" s="8">
        <f t="shared" si="4"/>
        <v>0</v>
      </c>
      <c r="O24" s="11" t="str">
        <f>IF(N24=0,"",IF(N24=CT24,"("&amp;CT$2&amp;")",IF(N24=#REF!,"("&amp;#REF!&amp;")")))</f>
        <v/>
      </c>
      <c r="P24" s="8" t="str">
        <f t="shared" si="5"/>
        <v/>
      </c>
      <c r="Q24" s="18">
        <v>15.3</v>
      </c>
      <c r="R24" s="18">
        <v>9.1999999999999993</v>
      </c>
      <c r="S24" s="18">
        <v>0</v>
      </c>
      <c r="T24" s="18">
        <v>14.95</v>
      </c>
      <c r="U24" s="18">
        <v>0</v>
      </c>
      <c r="V24" s="18">
        <v>4.5999999999999996</v>
      </c>
      <c r="W24" s="18">
        <v>3.4</v>
      </c>
      <c r="X24" s="18">
        <v>5.6</v>
      </c>
      <c r="Y24" s="18">
        <v>5.99</v>
      </c>
      <c r="Z24" s="18">
        <v>0</v>
      </c>
      <c r="AA24" s="18">
        <v>5.2</v>
      </c>
      <c r="AB24" s="18">
        <v>3.3</v>
      </c>
      <c r="AC24" s="18">
        <v>4.3</v>
      </c>
      <c r="AD24" s="18">
        <v>5.89</v>
      </c>
      <c r="AE24" s="18">
        <v>0</v>
      </c>
      <c r="AF24" s="23"/>
      <c r="AG24" s="34" t="str">
        <f t="shared" si="6"/>
        <v/>
      </c>
      <c r="AH24" s="34">
        <f t="shared" si="7"/>
        <v>14.95</v>
      </c>
      <c r="AI24" s="36">
        <f t="shared" si="8"/>
        <v>39.450000000000003</v>
      </c>
      <c r="AJ24" s="36">
        <f t="shared" si="9"/>
        <v>5.6</v>
      </c>
      <c r="AK24" s="36">
        <f t="shared" si="10"/>
        <v>5.99</v>
      </c>
      <c r="AL24" s="36">
        <f t="shared" si="11"/>
        <v>19.59</v>
      </c>
      <c r="AM24" s="36">
        <f t="shared" si="12"/>
        <v>39.450000000000003</v>
      </c>
      <c r="AN24" s="36">
        <f t="shared" si="13"/>
        <v>4.3</v>
      </c>
      <c r="AO24" s="36">
        <f t="shared" si="14"/>
        <v>5.89</v>
      </c>
      <c r="AP24" s="36">
        <f t="shared" si="15"/>
        <v>18.690000000000001</v>
      </c>
      <c r="AQ24" s="36">
        <f t="shared" si="16"/>
        <v>58.14</v>
      </c>
      <c r="AR24" s="22">
        <v>11.2</v>
      </c>
      <c r="AS24" s="22">
        <v>6</v>
      </c>
      <c r="AT24" s="22">
        <v>0</v>
      </c>
      <c r="AU24" s="22">
        <v>10.5</v>
      </c>
      <c r="AV24" s="22">
        <v>0</v>
      </c>
      <c r="AW24" s="22">
        <v>9.1</v>
      </c>
      <c r="AX24" s="22">
        <v>6.5</v>
      </c>
      <c r="AY24" s="22">
        <v>9.8000000000000007</v>
      </c>
      <c r="AZ24" s="22">
        <v>11.25</v>
      </c>
      <c r="BA24" s="22">
        <v>0</v>
      </c>
      <c r="BB24" s="22"/>
      <c r="BC24" s="22"/>
      <c r="BD24" s="22"/>
      <c r="BE24" s="22"/>
      <c r="BF24" s="22"/>
      <c r="BG24" s="24"/>
      <c r="BH24" s="35" t="str">
        <f t="shared" si="17"/>
        <v/>
      </c>
      <c r="BI24" s="35">
        <f t="shared" si="18"/>
        <v>10.5</v>
      </c>
      <c r="BJ24" s="11">
        <f t="shared" si="19"/>
        <v>27.7</v>
      </c>
      <c r="BK24" s="11">
        <f t="shared" si="20"/>
        <v>9.8000000000000007</v>
      </c>
      <c r="BL24" s="11">
        <f t="shared" si="21"/>
        <v>11.25</v>
      </c>
      <c r="BM24" s="11">
        <f t="shared" si="22"/>
        <v>36.65</v>
      </c>
      <c r="BN24" s="11">
        <f t="shared" si="23"/>
        <v>36.65</v>
      </c>
      <c r="BO24" s="11" t="str">
        <f t="shared" si="24"/>
        <v/>
      </c>
      <c r="BP24" s="11" t="str">
        <f t="shared" si="25"/>
        <v/>
      </c>
      <c r="BQ24" s="11" t="str">
        <f t="shared" si="26"/>
        <v/>
      </c>
      <c r="BR24" s="11">
        <f t="shared" si="27"/>
        <v>36.65</v>
      </c>
      <c r="BS24" s="18">
        <v>16.3</v>
      </c>
      <c r="BT24" s="18">
        <v>9.3000000000000007</v>
      </c>
      <c r="BU24" s="18">
        <v>0</v>
      </c>
      <c r="BV24" s="18">
        <v>15.58</v>
      </c>
      <c r="BW24" s="18">
        <v>0</v>
      </c>
      <c r="BX24" s="18">
        <v>5.7</v>
      </c>
      <c r="BY24" s="18">
        <v>3.3</v>
      </c>
      <c r="BZ24" s="18">
        <v>4.0999999999999996</v>
      </c>
      <c r="CA24" s="18">
        <v>6.08</v>
      </c>
      <c r="CB24" s="18">
        <v>0</v>
      </c>
      <c r="CC24" s="18"/>
      <c r="CD24" s="18"/>
      <c r="CE24" s="18"/>
      <c r="CF24" s="18"/>
      <c r="CG24" s="18"/>
      <c r="CH24" s="23"/>
      <c r="CI24" s="34" t="str">
        <f t="shared" si="28"/>
        <v/>
      </c>
      <c r="CJ24" s="34">
        <f t="shared" si="29"/>
        <v>15.58</v>
      </c>
      <c r="CK24" s="36">
        <f t="shared" si="30"/>
        <v>41.18</v>
      </c>
      <c r="CL24" s="36">
        <f t="shared" si="31"/>
        <v>4.0999999999999996</v>
      </c>
      <c r="CM24" s="36">
        <f t="shared" si="32"/>
        <v>6.08</v>
      </c>
      <c r="CN24" s="36">
        <f t="shared" si="33"/>
        <v>19.18</v>
      </c>
      <c r="CO24" s="36">
        <f t="shared" si="34"/>
        <v>41.18</v>
      </c>
      <c r="CP24" s="36" t="str">
        <f t="shared" si="35"/>
        <v/>
      </c>
      <c r="CQ24" s="36" t="str">
        <f t="shared" si="36"/>
        <v/>
      </c>
      <c r="CR24" s="36" t="str">
        <f t="shared" si="37"/>
        <v/>
      </c>
      <c r="CS24" s="36">
        <f t="shared" si="38"/>
        <v>41.18</v>
      </c>
      <c r="CT24" s="47" t="str">
        <f t="shared" si="39"/>
        <v/>
      </c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36" t="str">
        <f t="shared" si="40"/>
        <v/>
      </c>
      <c r="DP24" s="36" t="str">
        <f t="shared" si="41"/>
        <v/>
      </c>
      <c r="DQ24" s="36" t="str">
        <f t="shared" si="42"/>
        <v/>
      </c>
      <c r="DR24" s="36" t="str">
        <f t="shared" si="43"/>
        <v/>
      </c>
      <c r="DS24" s="36" t="str">
        <f t="shared" si="44"/>
        <v/>
      </c>
      <c r="DT24" s="36" t="str">
        <f t="shared" si="45"/>
        <v/>
      </c>
      <c r="DU24" s="36" t="str">
        <f t="shared" si="46"/>
        <v/>
      </c>
      <c r="DV24" s="36" t="str">
        <f t="shared" si="47"/>
        <v/>
      </c>
      <c r="DW24" s="36" t="str">
        <f t="shared" si="48"/>
        <v/>
      </c>
      <c r="DX24" s="36" t="str">
        <f t="shared" si="49"/>
        <v/>
      </c>
      <c r="DY24" s="36" t="str">
        <f t="shared" si="50"/>
        <v/>
      </c>
      <c r="DZ24" s="36" t="str">
        <f t="shared" si="51"/>
        <v/>
      </c>
      <c r="EA24" s="36" t="str">
        <f t="shared" si="52"/>
        <v/>
      </c>
      <c r="EB24" s="36" t="str">
        <f t="shared" si="53"/>
        <v/>
      </c>
      <c r="EC24" s="16"/>
      <c r="ED24" s="16"/>
      <c r="EE24" s="16"/>
      <c r="EF24" s="16"/>
      <c r="EG24" s="16"/>
      <c r="EH24" s="16"/>
      <c r="EI24" s="16"/>
      <c r="EJ24" s="16"/>
      <c r="EK24" s="16"/>
      <c r="EL24" s="16"/>
      <c r="EM24" s="16"/>
      <c r="EN24" s="16"/>
      <c r="EO24" s="16"/>
      <c r="EP24" s="16"/>
      <c r="EQ24" s="16"/>
      <c r="ER24" s="16"/>
      <c r="ES24" s="16"/>
      <c r="ET24" s="16"/>
      <c r="EU24" s="16"/>
      <c r="EV24" s="16"/>
      <c r="EW24" s="11" t="str">
        <f t="shared" si="54"/>
        <v/>
      </c>
      <c r="EX24" s="11" t="str">
        <f t="shared" si="55"/>
        <v/>
      </c>
      <c r="EY24" s="11" t="str">
        <f t="shared" si="56"/>
        <v/>
      </c>
      <c r="EZ24" s="11" t="str">
        <f t="shared" si="57"/>
        <v/>
      </c>
      <c r="FA24" s="11" t="str">
        <f t="shared" si="58"/>
        <v/>
      </c>
      <c r="FB24" s="11" t="str">
        <f t="shared" si="59"/>
        <v/>
      </c>
      <c r="FC24" s="11" t="str">
        <f t="shared" si="60"/>
        <v/>
      </c>
      <c r="FD24" s="11" t="str">
        <f t="shared" si="61"/>
        <v/>
      </c>
      <c r="FE24" s="11" t="str">
        <f t="shared" si="62"/>
        <v/>
      </c>
      <c r="FF24" s="11" t="str">
        <f t="shared" si="63"/>
        <v/>
      </c>
      <c r="FG24" s="11" t="str">
        <f t="shared" si="64"/>
        <v/>
      </c>
      <c r="FH24" s="11" t="str">
        <f t="shared" si="65"/>
        <v/>
      </c>
      <c r="FI24" s="11" t="str">
        <f t="shared" si="66"/>
        <v/>
      </c>
      <c r="FJ24" s="11" t="str">
        <f t="shared" si="67"/>
        <v/>
      </c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36" t="str">
        <f t="shared" si="68"/>
        <v/>
      </c>
      <c r="GF24" s="36" t="str">
        <f t="shared" si="69"/>
        <v/>
      </c>
      <c r="GG24" s="36" t="str">
        <f t="shared" si="70"/>
        <v/>
      </c>
      <c r="GH24" s="36" t="str">
        <f t="shared" si="71"/>
        <v/>
      </c>
      <c r="GI24" s="36" t="str">
        <f t="shared" si="72"/>
        <v/>
      </c>
      <c r="GJ24" s="36" t="str">
        <f t="shared" si="73"/>
        <v/>
      </c>
      <c r="GK24" s="36" t="str">
        <f t="shared" si="74"/>
        <v/>
      </c>
      <c r="GL24" s="36" t="str">
        <f t="shared" si="75"/>
        <v/>
      </c>
      <c r="GM24" s="36" t="str">
        <f t="shared" si="76"/>
        <v/>
      </c>
      <c r="GN24" s="36" t="str">
        <f t="shared" si="77"/>
        <v/>
      </c>
      <c r="GO24" s="36" t="str">
        <f t="shared" si="78"/>
        <v/>
      </c>
      <c r="GP24" s="36" t="str">
        <f t="shared" si="79"/>
        <v/>
      </c>
      <c r="GQ24" s="36" t="str">
        <f t="shared" si="80"/>
        <v/>
      </c>
      <c r="GR24" s="36" t="str">
        <f t="shared" si="81"/>
        <v/>
      </c>
      <c r="GS24" s="16"/>
      <c r="GT24" s="16"/>
      <c r="GU24" s="16"/>
      <c r="GV24" s="16"/>
      <c r="GW24" s="16"/>
      <c r="GX24" s="16"/>
      <c r="GY24" s="16"/>
      <c r="GZ24" s="16"/>
      <c r="HA24" s="16"/>
      <c r="HB24" s="16"/>
      <c r="HC24" s="16"/>
      <c r="HD24" s="16"/>
      <c r="HE24" s="16"/>
      <c r="HF24" s="16"/>
      <c r="HG24" s="16"/>
      <c r="HH24" s="16"/>
      <c r="HI24" s="16"/>
      <c r="HJ24" s="16"/>
      <c r="HK24" s="16"/>
      <c r="HL24" s="16"/>
      <c r="HM24" s="11" t="str">
        <f t="shared" si="82"/>
        <v/>
      </c>
      <c r="HN24" s="11" t="str">
        <f t="shared" si="83"/>
        <v/>
      </c>
      <c r="HO24" s="11" t="str">
        <f t="shared" si="84"/>
        <v/>
      </c>
      <c r="HP24" s="11" t="str">
        <f t="shared" si="85"/>
        <v/>
      </c>
      <c r="HQ24" s="11" t="str">
        <f t="shared" si="86"/>
        <v/>
      </c>
      <c r="HR24" s="11" t="str">
        <f t="shared" si="87"/>
        <v/>
      </c>
      <c r="HS24" s="11" t="str">
        <f t="shared" si="88"/>
        <v/>
      </c>
      <c r="HT24" s="11" t="str">
        <f t="shared" si="89"/>
        <v/>
      </c>
      <c r="HU24" s="11" t="str">
        <f t="shared" si="90"/>
        <v/>
      </c>
      <c r="HV24" s="11" t="str">
        <f t="shared" si="91"/>
        <v/>
      </c>
      <c r="HW24" s="11" t="str">
        <f t="shared" si="92"/>
        <v/>
      </c>
      <c r="HX24" s="11" t="str">
        <f t="shared" si="93"/>
        <v/>
      </c>
      <c r="HY24" s="11" t="str">
        <f t="shared" si="94"/>
        <v/>
      </c>
      <c r="HZ24" s="11" t="str">
        <f t="shared" si="95"/>
        <v/>
      </c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36" t="str">
        <f t="shared" si="96"/>
        <v/>
      </c>
      <c r="IV24" s="36" t="str">
        <f t="shared" si="97"/>
        <v/>
      </c>
      <c r="IW24" s="36" t="str">
        <f t="shared" si="98"/>
        <v/>
      </c>
      <c r="IX24" s="36" t="str">
        <f t="shared" si="99"/>
        <v/>
      </c>
      <c r="IY24" s="36" t="str">
        <f t="shared" si="100"/>
        <v/>
      </c>
      <c r="IZ24" s="36" t="str">
        <f t="shared" si="101"/>
        <v/>
      </c>
      <c r="JA24" s="36" t="str">
        <f t="shared" si="102"/>
        <v/>
      </c>
      <c r="JB24" s="36" t="str">
        <f t="shared" si="103"/>
        <v/>
      </c>
      <c r="JC24" s="36" t="str">
        <f t="shared" si="104"/>
        <v/>
      </c>
      <c r="JD24" s="36" t="str">
        <f t="shared" si="105"/>
        <v/>
      </c>
      <c r="JE24" s="36" t="str">
        <f t="shared" si="106"/>
        <v/>
      </c>
      <c r="JF24" s="36" t="str">
        <f t="shared" si="107"/>
        <v/>
      </c>
      <c r="JG24" s="36" t="str">
        <f t="shared" si="108"/>
        <v/>
      </c>
      <c r="JH24" s="36" t="str">
        <f t="shared" si="109"/>
        <v/>
      </c>
      <c r="JI24" s="16"/>
      <c r="JJ24" s="16"/>
      <c r="JK24" s="16"/>
      <c r="JL24" s="16"/>
      <c r="JM24" s="16"/>
      <c r="JN24" s="16"/>
      <c r="JO24" s="16"/>
      <c r="JP24" s="16"/>
      <c r="JQ24" s="16"/>
      <c r="JR24" s="16"/>
      <c r="JS24" s="16"/>
      <c r="JT24" s="16"/>
      <c r="JU24" s="16"/>
      <c r="JV24" s="16"/>
      <c r="JW24" s="16"/>
      <c r="JX24" s="16"/>
      <c r="JY24" s="16"/>
      <c r="JZ24" s="16"/>
      <c r="KA24" s="16"/>
      <c r="KB24" s="16"/>
      <c r="KC24" s="11" t="str">
        <f t="shared" si="110"/>
        <v/>
      </c>
      <c r="KD24" s="11" t="str">
        <f t="shared" si="111"/>
        <v/>
      </c>
      <c r="KE24" s="11" t="str">
        <f t="shared" si="112"/>
        <v/>
      </c>
      <c r="KF24" s="11" t="str">
        <f t="shared" si="113"/>
        <v/>
      </c>
      <c r="KG24" s="11" t="str">
        <f t="shared" si="114"/>
        <v/>
      </c>
      <c r="KH24" s="11" t="str">
        <f t="shared" si="115"/>
        <v/>
      </c>
      <c r="KI24" s="11" t="str">
        <f t="shared" si="116"/>
        <v/>
      </c>
      <c r="KJ24" s="11" t="str">
        <f t="shared" si="117"/>
        <v/>
      </c>
      <c r="KK24" s="11" t="str">
        <f t="shared" si="118"/>
        <v/>
      </c>
      <c r="KL24" s="11" t="str">
        <f t="shared" si="119"/>
        <v/>
      </c>
      <c r="KM24" s="11" t="str">
        <f t="shared" si="120"/>
        <v/>
      </c>
      <c r="KN24" s="11" t="str">
        <f t="shared" si="121"/>
        <v/>
      </c>
      <c r="KO24" s="11" t="str">
        <f t="shared" si="122"/>
        <v/>
      </c>
      <c r="KP24" s="11" t="str">
        <f t="shared" si="123"/>
        <v/>
      </c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36" t="str">
        <f t="shared" si="124"/>
        <v/>
      </c>
      <c r="LL24" s="36" t="str">
        <f t="shared" si="125"/>
        <v/>
      </c>
      <c r="LM24" s="36" t="str">
        <f t="shared" si="126"/>
        <v/>
      </c>
      <c r="LN24" s="36" t="str">
        <f t="shared" si="127"/>
        <v/>
      </c>
      <c r="LO24" s="36" t="str">
        <f t="shared" si="128"/>
        <v/>
      </c>
      <c r="LP24" s="36" t="str">
        <f t="shared" si="129"/>
        <v/>
      </c>
      <c r="LQ24" s="36" t="str">
        <f t="shared" si="130"/>
        <v/>
      </c>
      <c r="LR24" s="36" t="str">
        <f t="shared" si="131"/>
        <v/>
      </c>
      <c r="LS24" s="36" t="str">
        <f t="shared" si="132"/>
        <v/>
      </c>
      <c r="LT24" s="36" t="str">
        <f t="shared" si="133"/>
        <v/>
      </c>
      <c r="LU24" s="36" t="str">
        <f t="shared" si="134"/>
        <v/>
      </c>
      <c r="LV24" s="36" t="str">
        <f t="shared" si="135"/>
        <v/>
      </c>
      <c r="LW24" s="36" t="str">
        <f t="shared" si="136"/>
        <v/>
      </c>
      <c r="LX24" s="36" t="str">
        <f t="shared" si="137"/>
        <v/>
      </c>
      <c r="LY24" s="16"/>
      <c r="LZ24" s="16"/>
      <c r="MA24" s="16"/>
      <c r="MB24" s="16"/>
      <c r="MC24" s="16"/>
      <c r="MD24" s="16"/>
      <c r="ME24" s="16"/>
      <c r="MF24" s="16"/>
      <c r="MG24" s="16"/>
      <c r="MH24" s="16"/>
      <c r="MI24" s="16"/>
      <c r="MJ24" s="16"/>
      <c r="MK24" s="16"/>
      <c r="ML24" s="16"/>
      <c r="MM24" s="16"/>
      <c r="MN24" s="16"/>
      <c r="MO24" s="16"/>
      <c r="MP24" s="16"/>
      <c r="MQ24" s="16"/>
      <c r="MR24" s="16"/>
      <c r="MS24" s="11" t="str">
        <f t="shared" si="138"/>
        <v/>
      </c>
      <c r="MT24" s="11" t="str">
        <f t="shared" si="139"/>
        <v/>
      </c>
      <c r="MU24" s="11" t="str">
        <f t="shared" si="140"/>
        <v/>
      </c>
      <c r="MV24" s="11" t="str">
        <f t="shared" si="141"/>
        <v/>
      </c>
      <c r="MW24" s="11" t="str">
        <f t="shared" si="142"/>
        <v/>
      </c>
      <c r="MX24" s="11" t="str">
        <f t="shared" si="143"/>
        <v/>
      </c>
      <c r="MY24" s="11" t="str">
        <f t="shared" si="144"/>
        <v/>
      </c>
      <c r="MZ24" s="11" t="str">
        <f t="shared" si="145"/>
        <v/>
      </c>
      <c r="NA24" s="11" t="str">
        <f t="shared" si="146"/>
        <v/>
      </c>
      <c r="NB24" s="11" t="str">
        <f t="shared" si="147"/>
        <v/>
      </c>
      <c r="NC24" s="11" t="str">
        <f t="shared" si="148"/>
        <v/>
      </c>
      <c r="ND24" s="11" t="str">
        <f t="shared" si="149"/>
        <v/>
      </c>
      <c r="NE24" s="11" t="str">
        <f t="shared" si="150"/>
        <v/>
      </c>
      <c r="NF24" s="11" t="str">
        <f t="shared" si="151"/>
        <v/>
      </c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36" t="str">
        <f t="shared" si="152"/>
        <v/>
      </c>
      <c r="OB24" s="36" t="str">
        <f t="shared" si="153"/>
        <v/>
      </c>
      <c r="OC24" s="36" t="str">
        <f t="shared" si="154"/>
        <v/>
      </c>
      <c r="OD24" s="36" t="str">
        <f t="shared" si="155"/>
        <v/>
      </c>
      <c r="OE24" s="36" t="str">
        <f t="shared" si="156"/>
        <v/>
      </c>
      <c r="OF24" s="36" t="str">
        <f t="shared" si="157"/>
        <v/>
      </c>
      <c r="OG24" s="36" t="str">
        <f t="shared" si="158"/>
        <v/>
      </c>
      <c r="OH24" s="36" t="str">
        <f t="shared" si="159"/>
        <v/>
      </c>
      <c r="OI24" s="36" t="str">
        <f t="shared" si="160"/>
        <v/>
      </c>
      <c r="OJ24" s="36" t="str">
        <f t="shared" si="161"/>
        <v/>
      </c>
      <c r="OK24" s="36" t="str">
        <f t="shared" si="162"/>
        <v/>
      </c>
      <c r="OL24" s="36" t="str">
        <f t="shared" si="163"/>
        <v/>
      </c>
      <c r="OM24" s="36" t="str">
        <f t="shared" si="164"/>
        <v/>
      </c>
      <c r="ON24" s="36" t="str">
        <f t="shared" si="165"/>
        <v/>
      </c>
      <c r="OO24" s="16"/>
      <c r="OP24" s="16"/>
      <c r="OQ24" s="16"/>
      <c r="OR24" s="16"/>
      <c r="OS24" s="16"/>
      <c r="OT24" s="16"/>
      <c r="OU24" s="16"/>
      <c r="OV24" s="16"/>
      <c r="OW24" s="16"/>
      <c r="OX24" s="16"/>
      <c r="OY24" s="16"/>
      <c r="OZ24" s="16"/>
      <c r="PA24" s="16"/>
      <c r="PB24" s="16"/>
      <c r="PC24" s="16"/>
      <c r="PD24" s="16"/>
      <c r="PE24" s="16"/>
      <c r="PF24" s="16"/>
      <c r="PG24" s="16"/>
      <c r="PH24" s="16"/>
      <c r="PI24" s="11" t="str">
        <f t="shared" si="166"/>
        <v/>
      </c>
      <c r="PJ24" s="11" t="str">
        <f t="shared" si="167"/>
        <v/>
      </c>
      <c r="PK24" s="11" t="str">
        <f t="shared" si="168"/>
        <v/>
      </c>
      <c r="PL24" s="11" t="str">
        <f t="shared" si="169"/>
        <v/>
      </c>
      <c r="PM24" s="11" t="str">
        <f t="shared" si="170"/>
        <v/>
      </c>
      <c r="PN24" s="11" t="str">
        <f t="shared" si="171"/>
        <v/>
      </c>
      <c r="PO24" s="11" t="str">
        <f t="shared" si="172"/>
        <v/>
      </c>
      <c r="PP24" s="11" t="str">
        <f t="shared" si="173"/>
        <v/>
      </c>
      <c r="PQ24" s="11" t="str">
        <f t="shared" si="174"/>
        <v/>
      </c>
      <c r="PR24" s="11" t="str">
        <f t="shared" si="175"/>
        <v/>
      </c>
      <c r="PS24" s="11" t="str">
        <f t="shared" si="176"/>
        <v/>
      </c>
      <c r="PT24" s="11" t="str">
        <f t="shared" si="177"/>
        <v/>
      </c>
      <c r="PU24" s="11" t="str">
        <f t="shared" si="178"/>
        <v/>
      </c>
      <c r="PV24" s="11" t="str">
        <f t="shared" si="179"/>
        <v/>
      </c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36" t="str">
        <f t="shared" si="180"/>
        <v/>
      </c>
      <c r="QR24" s="36" t="str">
        <f t="shared" si="181"/>
        <v/>
      </c>
      <c r="QS24" s="36" t="str">
        <f t="shared" si="182"/>
        <v/>
      </c>
      <c r="QT24" s="36" t="str">
        <f t="shared" si="183"/>
        <v/>
      </c>
      <c r="QU24" s="36" t="str">
        <f t="shared" si="184"/>
        <v/>
      </c>
      <c r="QV24" s="36" t="str">
        <f t="shared" si="185"/>
        <v/>
      </c>
      <c r="QW24" s="36" t="str">
        <f t="shared" si="186"/>
        <v/>
      </c>
      <c r="QX24" s="36" t="str">
        <f t="shared" si="187"/>
        <v/>
      </c>
      <c r="QY24" s="36" t="str">
        <f t="shared" si="188"/>
        <v/>
      </c>
      <c r="QZ24" s="36" t="str">
        <f t="shared" si="189"/>
        <v/>
      </c>
      <c r="RA24" s="36" t="str">
        <f t="shared" si="190"/>
        <v/>
      </c>
      <c r="RB24" s="36" t="str">
        <f t="shared" si="191"/>
        <v/>
      </c>
      <c r="RC24" s="36" t="str">
        <f t="shared" si="192"/>
        <v/>
      </c>
      <c r="RD24" s="36" t="str">
        <f t="shared" si="193"/>
        <v/>
      </c>
      <c r="RE24" s="16"/>
      <c r="RF24" s="16"/>
      <c r="RG24" s="16"/>
      <c r="RH24" s="16"/>
      <c r="RI24" s="16"/>
      <c r="RJ24" s="16"/>
      <c r="RK24" s="16"/>
      <c r="RL24" s="16"/>
      <c r="RM24" s="16"/>
      <c r="RN24" s="16"/>
      <c r="RO24" s="16"/>
      <c r="RP24" s="16"/>
      <c r="RQ24" s="16"/>
      <c r="RR24" s="16"/>
      <c r="RS24" s="16"/>
      <c r="RT24" s="16"/>
      <c r="RU24" s="16"/>
      <c r="RV24" s="16"/>
      <c r="RW24" s="16"/>
      <c r="RX24" s="16"/>
      <c r="RY24" s="11" t="str">
        <f t="shared" si="194"/>
        <v/>
      </c>
      <c r="RZ24" s="11" t="str">
        <f t="shared" si="195"/>
        <v/>
      </c>
      <c r="SA24" s="11" t="str">
        <f t="shared" si="196"/>
        <v/>
      </c>
      <c r="SB24" s="11" t="str">
        <f t="shared" si="197"/>
        <v/>
      </c>
      <c r="SC24" s="11" t="str">
        <f t="shared" si="198"/>
        <v/>
      </c>
      <c r="SD24" s="11" t="str">
        <f t="shared" si="199"/>
        <v/>
      </c>
      <c r="SE24" s="11" t="str">
        <f t="shared" si="200"/>
        <v/>
      </c>
      <c r="SF24" s="11" t="str">
        <f t="shared" si="201"/>
        <v/>
      </c>
      <c r="SG24" s="11" t="str">
        <f t="shared" si="202"/>
        <v/>
      </c>
      <c r="SH24" s="11" t="str">
        <f t="shared" si="203"/>
        <v/>
      </c>
      <c r="SI24" s="11" t="str">
        <f t="shared" si="204"/>
        <v/>
      </c>
      <c r="SJ24" s="11" t="str">
        <f t="shared" si="205"/>
        <v/>
      </c>
      <c r="SK24" s="11" t="str">
        <f t="shared" si="206"/>
        <v/>
      </c>
      <c r="SL24" s="11" t="str">
        <f t="shared" si="207"/>
        <v/>
      </c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36" t="str">
        <f t="shared" si="208"/>
        <v/>
      </c>
      <c r="TH24" s="36" t="str">
        <f t="shared" si="209"/>
        <v/>
      </c>
      <c r="TI24" s="36" t="str">
        <f t="shared" si="210"/>
        <v/>
      </c>
      <c r="TJ24" s="36" t="str">
        <f t="shared" si="211"/>
        <v/>
      </c>
      <c r="TK24" s="36" t="str">
        <f t="shared" si="212"/>
        <v/>
      </c>
      <c r="TL24" s="36" t="str">
        <f t="shared" si="213"/>
        <v/>
      </c>
      <c r="TM24" s="36" t="str">
        <f t="shared" si="214"/>
        <v/>
      </c>
      <c r="TN24" s="36" t="str">
        <f t="shared" si="215"/>
        <v/>
      </c>
      <c r="TO24" s="36" t="str">
        <f t="shared" si="216"/>
        <v/>
      </c>
      <c r="TP24" s="36" t="str">
        <f t="shared" si="217"/>
        <v/>
      </c>
      <c r="TQ24" s="36" t="str">
        <f t="shared" si="218"/>
        <v/>
      </c>
      <c r="TR24" s="36" t="str">
        <f t="shared" si="219"/>
        <v/>
      </c>
      <c r="TS24" s="36" t="str">
        <f t="shared" si="220"/>
        <v/>
      </c>
      <c r="TT24" s="36" t="str">
        <f t="shared" si="221"/>
        <v/>
      </c>
      <c r="TU24" s="16"/>
      <c r="TV24" s="16"/>
      <c r="TW24" s="16"/>
      <c r="TX24" s="16"/>
      <c r="TY24" s="16"/>
      <c r="TZ24" s="16"/>
      <c r="UA24" s="16"/>
      <c r="UB24" s="16"/>
      <c r="UC24" s="16"/>
      <c r="UD24" s="16"/>
      <c r="UE24" s="16"/>
      <c r="UF24" s="16"/>
      <c r="UG24" s="16"/>
      <c r="UH24" s="16"/>
      <c r="UI24" s="16"/>
      <c r="UJ24" s="16"/>
      <c r="UK24" s="16"/>
      <c r="UL24" s="16"/>
      <c r="UM24" s="16"/>
      <c r="UN24" s="16"/>
      <c r="UO24" s="11" t="str">
        <f t="shared" si="222"/>
        <v/>
      </c>
      <c r="UP24" s="11" t="str">
        <f t="shared" si="223"/>
        <v/>
      </c>
      <c r="UQ24" s="11" t="str">
        <f t="shared" si="224"/>
        <v/>
      </c>
      <c r="UR24" s="11" t="str">
        <f t="shared" si="225"/>
        <v/>
      </c>
      <c r="US24" s="11" t="str">
        <f t="shared" si="226"/>
        <v/>
      </c>
      <c r="UT24" s="11" t="str">
        <f t="shared" si="227"/>
        <v/>
      </c>
      <c r="UU24" s="11" t="str">
        <f t="shared" si="228"/>
        <v/>
      </c>
      <c r="UV24" s="11" t="str">
        <f t="shared" si="229"/>
        <v/>
      </c>
      <c r="UW24" s="11" t="str">
        <f t="shared" si="230"/>
        <v/>
      </c>
      <c r="UX24" s="11" t="str">
        <f t="shared" si="231"/>
        <v/>
      </c>
      <c r="UY24" s="11" t="str">
        <f t="shared" si="232"/>
        <v/>
      </c>
      <c r="UZ24" s="11" t="str">
        <f t="shared" si="233"/>
        <v/>
      </c>
      <c r="VA24" s="11" t="str">
        <f t="shared" si="234"/>
        <v/>
      </c>
      <c r="VB24" s="11" t="str">
        <f t="shared" si="235"/>
        <v/>
      </c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36" t="str">
        <f t="shared" si="236"/>
        <v/>
      </c>
      <c r="VX24" s="36" t="str">
        <f t="shared" si="237"/>
        <v/>
      </c>
      <c r="VY24" s="36" t="str">
        <f t="shared" si="238"/>
        <v/>
      </c>
      <c r="VZ24" s="36" t="str">
        <f t="shared" si="239"/>
        <v/>
      </c>
      <c r="WA24" s="36" t="str">
        <f t="shared" si="240"/>
        <v/>
      </c>
      <c r="WB24" s="36" t="str">
        <f t="shared" si="241"/>
        <v/>
      </c>
      <c r="WC24" s="36" t="str">
        <f t="shared" si="242"/>
        <v/>
      </c>
      <c r="WD24" s="36" t="str">
        <f t="shared" si="243"/>
        <v/>
      </c>
      <c r="WE24" s="36" t="str">
        <f t="shared" si="244"/>
        <v/>
      </c>
      <c r="WF24" s="36" t="str">
        <f t="shared" si="245"/>
        <v/>
      </c>
      <c r="WG24" s="36" t="str">
        <f t="shared" si="246"/>
        <v/>
      </c>
      <c r="WH24" s="36" t="str">
        <f t="shared" si="247"/>
        <v/>
      </c>
      <c r="WI24" s="36" t="str">
        <f t="shared" si="248"/>
        <v/>
      </c>
      <c r="WJ24" s="36" t="str">
        <f t="shared" si="249"/>
        <v/>
      </c>
    </row>
    <row r="25" spans="1:608" x14ac:dyDescent="0.2">
      <c r="A25" s="4" t="str" cm="1">
        <f t="array" ref="A25">IF(AND(H25&lt;&gt;"",H25&lt;&gt;"No DD",I25&lt;&gt;"P"),SUMPRODUCT((H$4:H$28&lt;&gt;"")*(H$4:H$28&lt;&gt;"No DD")*(I$4:I$28&lt;&gt;"P")*(E$4:E$28&gt;E25))+1,IF(H25="No DD",SUMPRODUCT((H$4:H$28="No DD")*(I$4:I$28&lt;&gt;"P")*(E$4:E$28&gt;E25))+1+SUMPRODUCT((H$4:H$28&lt;&gt;"")*(I$4:I$28&lt;&gt;"P")*(H$4:H$28&lt;&gt;"No DD")),""))</f>
        <v/>
      </c>
      <c r="B25" s="5" t="s">
        <v>188</v>
      </c>
      <c r="C25" s="4" t="s">
        <v>3</v>
      </c>
      <c r="D25" s="4">
        <v>2006</v>
      </c>
      <c r="E25" s="9">
        <f t="shared" si="0"/>
        <v>70.14000701400532</v>
      </c>
      <c r="F25" s="3" t="str">
        <f>IF(OR(AND(AG25&gt;=AQ$30,AG25&lt;&gt;"",AI25&gt;=AQ$34,AI25&lt;&gt;"",AF25=""),AND(AJ25&gt;=AQ$30,AJ25&lt;&gt;"",AL25&gt;=AQ$34,AL25&lt;&gt;"",AF25=""),AND(AN25&gt;=AQ$30,AN25&lt;&gt;"",AP25&gt;=AQ$34,AP25&lt;&gt;"",AF25=""),AND(BH25&gt;=BR$30,BH25&lt;&gt;"",BJ25&gt;=BR$34,BJ25&lt;&gt;"",BG25=""),AND(BK25&gt;=BR$30,BK25&lt;&gt;"",BM25&gt;=BR$34,BM25&lt;&gt;"",BG25=""),AND(BO25&gt;=BR$30,BO25&lt;&gt;"",BQ25&gt;=BR$34,BQ25&lt;&gt;"",BG25=""),AND(CI25&gt;=CS$30,CI25&lt;&gt;"",CK25&gt;=CS$34,CK25&lt;&gt;"",CH25=""),AND(CL25&gt;=CS$30,CL25&lt;&gt;"",CN25&gt;=CS$34,CN25&lt;&gt;"",CH25=""),AND(CP25&gt;=CS$30,CP25&lt;&gt;"",CR25&gt;=CS$34,CR25&lt;&gt;"",CH25=""),AND(DO25&gt;=EB$30,DO25&lt;&gt;"",DQ25&gt;=EB$34,DQ25&lt;&gt;""),AND(DR25&gt;=EB$30,DR25&lt;&gt;"",DT25&gt;=EB$34,DT25&lt;&gt;""),AND(DV25&gt;=EB$30,DV25&lt;&gt;"",DX25&gt;=EB$34,DX25&lt;&gt;""),AND(DY25&gt;=EB$30,DY25&lt;&gt;"",EA25&gt;=EB$34,EA25&lt;&gt;""),AND(EW25&gt;=FJ$30,EW25&lt;&gt;"",EY25&gt;=FJ$34,EY25&lt;&gt;""),AND(EZ25&gt;=FJ$30,EZ25&lt;&gt;"",FB25&gt;=FJ$34,FB25&lt;&gt;""),AND(FD25&gt;=FJ$30,FD25&lt;&gt;"",FF25&gt;=FJ$34,FF25&lt;&gt;""),AND(FG25&gt;=FJ$30,FG25&lt;&gt;"",FI25&gt;=FJ$34,FI25&lt;&gt;""),AND(GE25&gt;=GR$30,GE25&lt;&gt;"",GG25&gt;=GR$34,GG25&lt;&gt;""),AND(GH25&gt;=GR$30,GH25&lt;&gt;"",GJ25&gt;=GR$34,GJ25&lt;&gt;""),AND(GL25&gt;=GR$30,GL25&lt;&gt;"",GN25&gt;=GR$34,GN25&lt;&gt;""),AND(GO25&gt;=GR$30,GO25&lt;&gt;"",GQ25&gt;=GR$34,GQ25&lt;&gt;""),AND(HM25&gt;=HZ$30,HM25&lt;&gt;"",HO25&gt;=HZ$34,HO25&lt;&gt;""),AND(HP25&gt;=HZ$30,HP25&lt;&gt;"",HR25&gt;=HZ$34,HR25&lt;&gt;""),AND(HT25&gt;=HZ$30,HT25&lt;&gt;"",HV25&gt;=HZ$34,HV25&lt;&gt;""),AND(HW25&gt;=HZ$30,HW25&lt;&gt;"",HY25&gt;=HZ$34,HY25&lt;&gt;""),AND(IU25&gt;=JH$30,IU25&lt;&gt;"",IW25&gt;=JH$34,IW25&lt;&gt;""),AND(IX25&gt;=JH$30,IX25&lt;&gt;"",IZ25&gt;=JH$34,IZ25&lt;&gt;""),AND(JB25&gt;=JH$30,JB25&lt;&gt;"",JD25&gt;=JH$34,JD25&lt;&gt;""),AND(JE25&gt;=JH$30,JE25&lt;&gt;"",JG25&gt;=JH$34,JG25&lt;&gt;""),AND(KC25&gt;=KP$30,KC25&lt;&gt;"",KE25&gt;=KP$34,KE25&lt;&gt;""),AND(KF25&gt;=KP$30,KF25&lt;&gt;"",KH25&gt;=KP$34,KH25&lt;&gt;""),AND(KJ25&gt;=KP$30,KJ25&lt;&gt;"",KL25&gt;=KP$34,KL25&lt;&gt;""),AND(KM25&gt;=KP$30,KM25&lt;&gt;"",KO25&gt;=KP$34,KO25&lt;&gt;""),AND(LK25&gt;=LX$30,LK25&lt;&gt;"",LM25&gt;=LX$34,LM25&lt;&gt;""),AND(LN25&gt;=LX$30,LN25&lt;&gt;"",LP25&gt;=LX$34,LP25&lt;&gt;""),AND(LR25&gt;=LX$30,LR25&lt;&gt;"",LT25&gt;=LX$34,LT25&lt;&gt;""),AND(LU25&gt;=LX$30,LU25&lt;&gt;"",LW25&gt;=LX$34,LW25&lt;&gt;""),AND(MS25&gt;=NF$30,MS25&lt;&gt;"",MU25&gt;=NF$34,MU25&lt;&gt;""),AND(MV25&gt;=NF$30,MV25&lt;&gt;"",MX25&gt;=NF$34,MX25&lt;&gt;""),AND(MZ25&gt;=NF$30,MZ25&lt;&gt;"",NB25&gt;=NF$34,NB25&lt;&gt;""),AND(NC25&gt;=NF$30,NC25&lt;&gt;"",NE25&gt;=NF$34,NE25&lt;&gt;""),AND(OA25&gt;=ON$30,OA25&lt;&gt;"",OC25&gt;=ON$34,OC25&lt;&gt;""),AND(OD25&gt;=ON$30,OD25&lt;&gt;"",OF25&gt;=ON$34,OF25&lt;&gt;""),AND(OH25&gt;=ON$30,OH25&lt;&gt;"",OJ25&gt;=ON$34,OJ25&lt;&gt;""),AND(OK25&gt;=ON$30,OK25&lt;&gt;"",OM25&gt;=ON$34,OM25&lt;&gt;""),AND(PI25&gt;=PV$30,PI25&lt;&gt;"",PK25&gt;=PV$34,PK25&lt;&gt;""),AND(PL25&gt;=PV$30,PL25&lt;&gt;"",PN25&gt;=PV$34,PN25&lt;&gt;""),AND(PP25&gt;=PV$30,PP25&lt;&gt;"",PR25&gt;=PV$34,PR25&lt;&gt;""),AND(PS25&gt;=PV$30,PS25&lt;&gt;"",PU25&gt;=PV$34,PU25&lt;&gt;""),AND(QQ25&gt;=RD$30,QQ25&lt;&gt;"",QS25&gt;=RD$34,QS25&lt;&gt;""),AND(QT25&gt;=RD$30,QT25&lt;&gt;"",QV25&gt;=RD$34,QV25&lt;&gt;""),AND(QX25&gt;=RD$30,QX25&lt;&gt;"",QZ25&gt;=RD$34,QZ25&lt;&gt;""),AND(RA25&gt;=RD$30,RA25&lt;&gt;"",RC25&gt;=RD$34,RC25&lt;&gt;""),AND(RY25&gt;=SL$30,RY25&lt;&gt;"",SA25&gt;=SL$34,SA25&lt;&gt;""),AND(SB25&gt;=SL$30,SB25&lt;&gt;"",SD25&gt;=SL$34,SD25&lt;&gt;""),AND(SF25&gt;=SL$30,SF25&lt;&gt;"",SH25&gt;=SL$34,SH25&lt;&gt;""),AND(SI25&gt;=SL$30,SI25&lt;&gt;"",SK25&gt;=SL$34,SK25&lt;&gt;""),AND(TG25&gt;=TT$30,TG25&lt;&gt;"",TI25&gt;=TT$34,TI25&lt;&gt;""),AND(TJ25&gt;=TT$30,TJ25&lt;&gt;"",TL25&gt;=TT$34,TL25&lt;&gt;""),AND(TN25&gt;=TT$30,TN25&lt;&gt;"",TP25&gt;=TT$34,TXN25&lt;&gt;""),AND(TQ25&gt;=TT$30,TQ25&lt;&gt;"",TS25&gt;=TT$34,TS25&lt;&gt;""),AND(UO25&gt;=VB$30,UO25&lt;&gt;"",UQ25&gt;=VB$34,UQ25&lt;&gt;""),AND(UR25&gt;=VB$30,UR25&lt;&gt;"",UT25&gt;=VB$34,UT25&lt;&gt;""),AND(UV25&gt;=VB$30,UV25&lt;&gt;"",UX25&gt;=VB$34,UX25&lt;&gt;""),AND(UY25&gt;=VB$30,UY25&lt;&gt;"",VA25&gt;=VB$34,VA25&lt;&gt;""),AND(VW25&gt;=WJ$30,VW25&lt;&gt;"",VY25&gt;=WJ$34,VY25&lt;&gt;""),AND(VZ25&gt;=WJ$30,VZ25&lt;&gt;"",WB25&gt;=WJ$34,WB25&lt;&gt;""),AND(WD25&gt;=WJ$30,WD25&lt;&gt;"",WF25&gt;=WJ$34,WF25&lt;&gt;""),AND(WG25&gt;=WJ$30,WG25&lt;&gt;"",WI25&gt;=WJ$34,WI25&lt;&gt;"")),"P","")</f>
        <v/>
      </c>
      <c r="G25" s="3" t="str">
        <f>IF(OR(AND(AI25&gt;=AQ$34,AI25&lt;&gt;"",AF25=""),AND(AL25&gt;=AQ$34,AL25&lt;&gt;"",AF25=""),AND(AP25&gt;=AQ$34,AP25&lt;&gt;"",AF25=""),AND(BJ25&gt;=BR$34,BJ25&lt;&gt;"",BG25=""),AND(BM25&gt;=BR$34,BM25&lt;&gt;"",BG25=""),AND(BQ25&gt;=BR$34,BQ25&lt;&gt;"",BG25=""),AND(CK25&gt;=CS$34,CK25&lt;&gt;"",CH25=""),AND(CN25&gt;=CS$34,CN25&lt;&gt;"",CH25=""),AND(CR25&gt;=CS$34,CR25&lt;&gt;"",CH25=""),AND(DQ25&gt;=EB$34,DQ25&lt;&gt;""),AND(DT25&gt;=EB$34,DT25&lt;&gt;""),AND(DX25&gt;=EB$34,DX25&lt;&gt;""),AND(EA25&gt;=EB$34,EA25&lt;&gt;""),AND(EY25&gt;=FJ$34,EY25&lt;&gt;""),AND(FB25&gt;=FJ$34,FB25&lt;&gt;""),AND(FF25&gt;=FJ$34,FF25&lt;&gt;""),AND(FI25&gt;=FJ$34,FI25&lt;&gt;""),AND(GG25&gt;=GR$34,GG25&lt;&gt;""),AND(GJ25&gt;=GR$34,GJ25&lt;&gt;""),AND(GN25&gt;=GR$34,GN25&lt;&gt;""),AND(GQ25&gt;=GR$34,GQ25&lt;&gt;""),AND(HO25&gt;=HZ$34,HO25&lt;&gt;""),AND(HR25&gt;=HZ$34,HR25&lt;&gt;""),AND(HV25&gt;=HZ$34,HV25&lt;&gt;""),AND(HY25&gt;=HZ$34,HY25&lt;&gt;""),AND(IW25&gt;=JH$34,IW25&lt;&gt;""),AND(IZ25&gt;=JH$34,IZ25&lt;&gt;""),AND(JD25&gt;=JH$34,JD25&lt;&gt;""),AND(JG25&gt;=JH$34,JG25&lt;&gt;""),AND(KE25&gt;=KP$34,KE25&lt;&gt;""),AND(KH25&gt;=KP$34,KH25&lt;&gt;""),AND(KL25&gt;=KP$34,KL25&lt;&gt;""),AND(KO25&gt;=KP$34,KO25&lt;&gt;""),AND(LM25&gt;=LX$34,LM25&lt;&gt;""),AND(LP25&gt;=LX$34,LP25&lt;&gt;""),AND(LT25&gt;=LX$34,LT25&lt;&gt;""),AND(LW25&gt;=LX$34,LW25&lt;&gt;""),AND(MU25&gt;=NF$34,MU25&lt;&gt;""),AND(MX25&gt;=NF$34,MX25&lt;&gt;""),AND(NB25&gt;=NF$34,NB25&lt;&gt;""),AND(NE25&gt;=NF$34,NE25&lt;&gt;""),AND(OC25&gt;=ON$34,OC25&lt;&gt;""),AND(OF25&gt;=ON$34,OF25&lt;&gt;""),AND(OJ25&gt;=ON$34,OJ25&lt;&gt;""),AND(OM25&gt;=ON$34,OM25&lt;&gt;""),AND(PK25&gt;=PV$34,PK25&lt;&gt;""),AND(PN25&gt;=PV$34,PN25&lt;&gt;""),AND(PR25&gt;=PV$34,PR25&lt;&gt;""),AND(PU25&gt;=PV$34,PU25&lt;&gt;""),AND(QS25&gt;=RD$34,QS25&lt;&gt;""),AND(QV25&gt;=RD$34,QV25&lt;&gt;""),AND(QZ25&gt;=RD$34,QZ25&lt;&gt;""),AND(RC25&gt;=RD$34,RC25&lt;&gt;""),AND(SA25&gt;=SL$34,SA25&lt;&gt;""),AND(SD25&gt;=SL$34,SD25&lt;&gt;""),AND(SH25&gt;=SL$34,SH25&lt;&gt;""),AND(SK25&gt;=SL$34,SK25&lt;&gt;""),AND(TI25&gt;=TT$34,TI25&lt;&gt;""),AND(TL25&gt;=TT$34,TL25&lt;&gt;""),AND(TP25&gt;=TT$34,TXN25&lt;&gt;""),AND(TS25&gt;=TT$34,TS25&lt;&gt;""),AND(UQ25&gt;=VB$34,UQ25&lt;&gt;""),AND(UT25&gt;=VB$34,UT25&lt;&gt;""),AND(UX25&gt;=VB$34,UX25&lt;&gt;""),AND(VA25&gt;=VB$34,VA25&lt;&gt;""),AND(VY25&gt;=WJ$34,VY25&lt;&gt;""),AND(WB25&gt;=WJ$34,WB25&lt;&gt;""),AND(WF25&gt;=WJ$34,WF25&lt;&gt;""),AND(WI25&gt;=WJ$34,WI25&lt;&gt;"")),"P","")</f>
        <v/>
      </c>
      <c r="H25" s="32" t="str">
        <f>IF(AND(G25="P",F25=""),"No DD",IF(OR(AND(AG25&gt;=AQ$33,AG25&lt;&gt;"",AI25&gt;=AQ$37,AI25&lt;&gt;"",AF25=""),AND(AJ25&gt;=AQ$33,AJ25&lt;&gt;"",AL25&gt;=AQ$37,AL25&lt;&gt;"",AF25=""),AND(AN25&gt;=AQ$33,AN25&lt;&gt;"",AP25&gt;=AQ$37,AP25&lt;&gt;"",AF25=""),AND(BH25&gt;=BR$33,BH25&lt;&gt;"",BJ25&gt;=BR$37,BJ25&lt;&gt;"",BG25=""),AND(BK25&gt;=BR$33,BK25&lt;&gt;"",BM25&gt;=BR$37,BM25&lt;&gt;"",BG25=""),AND(BO25&gt;=BR$33,BO25&lt;&gt;"",BQ25&gt;=BR$37,BQ25&lt;&gt;"",BG25=""),AND(CI25&gt;=CS$33,CI25&lt;&gt;"",CK25&gt;=CS$37,CK25&lt;&gt;"",CH25=""),AND(CL25&gt;=CS$33,CL25&lt;&gt;"",CN25&gt;=CS$37,CN25&lt;&gt;"",CH25=""),AND(CP25&gt;=CS$33,CP25&lt;&gt;"",CR25&gt;=CS$37,CR25&lt;&gt;"",CH25=""),AND(DO25&gt;=EB$33,DO25&lt;&gt;"",DQ25&gt;=EB$37,DQ25&lt;&gt;""),AND(DR25&gt;=EB$33,DR25&lt;&gt;"",DT25&gt;=EB$37,DT25&lt;&gt;""),AND(DV25&gt;=EB$33,DV25&lt;&gt;"",DX25&gt;=EB$37,DX25&lt;&gt;""),AND(DY25&gt;=EB$33,DY25&lt;&gt;"",EA25&gt;=EB$37,EA25&lt;&gt;""),AND(EW25&gt;=FJ$33,EW25&lt;&gt;"",EY25&gt;=FJ$37,EY25&lt;&gt;""),AND(EZ25&gt;=FJ$33,EZ25&lt;&gt;"",FB25&gt;=FJ$37,FB25&lt;&gt;""),AND(FD25&gt;=FJ$33,FD25&lt;&gt;"",FF25&gt;=FJ$37,FF25&lt;&gt;""),AND(FG25&gt;=FJ$33,FG25&lt;&gt;"",FI25&gt;=FJ$37,FI25&lt;&gt;""),AND(GE25&gt;=GR$33,GE25&lt;&gt;"",GG25&gt;=GR$37,GG25&lt;&gt;""),AND(GH25&gt;=GR$33,GH25&lt;&gt;"",GJ25&gt;=GR$37,GJ25&lt;&gt;""),AND(GL25&gt;=GR$33,GL25&lt;&gt;"",GN25&gt;=GR$37,GN25&lt;&gt;""),AND(GO25&gt;=GR$33,GO25&lt;&gt;"",GQ25&gt;=GR$37,GQ25&lt;&gt;""),AND(HM25&gt;=HZ$33,HM25&lt;&gt;"",HO25&gt;=HZ$37,HO25&lt;&gt;""),AND(HP25&gt;=HZ$33,HP25&lt;&gt;"",HR25&gt;=HZ$37,HR25&lt;&gt;""),AND(HT25&gt;=HZ$33,HT25&lt;&gt;"",HV25&gt;=HZ$37,HV25&lt;&gt;""),AND(HW25&gt;=HZ$33,HW25&lt;&gt;"",HY25&gt;=HZ$37,HY25&lt;&gt;""),AND(IU25&gt;=JH$33,IU25&lt;&gt;"",IW25&gt;=JH$37,IW25&lt;&gt;""),AND(IX25&gt;=JH$33,IX25&lt;&gt;"",IZ25&gt;=JH$37,IZ25&lt;&gt;""),AND(JB25&gt;=JH$33,JB25&lt;&gt;"",JD25&gt;=JH$37,JD25&lt;&gt;""),AND(JE25&gt;=JH$33,JE25&lt;&gt;"",JG25&gt;=JH$37,JG25&lt;&gt;""),AND(KC25&gt;=KP$33,KC25&lt;&gt;"",KE25&gt;=KP$37,KE25&lt;&gt;""),AND(KF25&gt;=KP$33,KF25&lt;&gt;"",KH25&gt;=KP$37,KH25&lt;&gt;""),AND(KJ25&gt;=KP$33,KJ25&lt;&gt;"",KL25&gt;=KP$37,KL25&lt;&gt;""),AND(KM25&gt;=KP$33,KM25&lt;&gt;"",KO25&gt;=KP$37,KO25&lt;&gt;""),AND(LK25&gt;=LX$33,LK25&lt;&gt;"",LM25&gt;=LX$37,LM25&lt;&gt;""),AND(LN25&gt;=LX$33,LN25&lt;&gt;"",LP25&gt;=LX$37,LP25&lt;&gt;""),AND(LR25&gt;=LX$33,LR25&lt;&gt;"",LT25&gt;=LX$37,LT25&lt;&gt;""),AND(LU25&gt;=LX$33,LU25&lt;&gt;"",LW25&gt;=LX$37,LW25&lt;&gt;""),AND(MS25&gt;=NF$33,MS25&lt;&gt;"",MU25&gt;=NF$37,MU25&lt;&gt;""),AND(MV25&gt;=NF$33,MV25&lt;&gt;"",MX25&gt;=NF$37,MX25&lt;&gt;""),AND(MZ25&gt;=NF$33,MZ25&lt;&gt;"",NB25&gt;=NF$37,NB25&lt;&gt;""),AND(NC25&gt;=NF$33,NC25&lt;&gt;"",NE25&gt;=NF$37,NE25&lt;&gt;""),AND(OA25&gt;=ON$33,OA25&lt;&gt;"",OC25&gt;=ON$37,OC25&lt;&gt;""),AND(OD25&gt;=ON$33,OD25&lt;&gt;"",OF25&gt;=ON$37,OF25&lt;&gt;""),AND(OH25&gt;=ON$33,OH25&lt;&gt;"",OJ25&gt;=ON$37,OJ25&lt;&gt;""),AND(OK25&gt;=ON$33,OK25&lt;&gt;"",OM25&gt;=ON$37,OM25&lt;&gt;""),AND(PI25&gt;=PV$33,PI25&lt;&gt;"",PK25&gt;=PV$37,PK25&lt;&gt;""),AND(PL25&gt;=PV$33,PL25&lt;&gt;"",PN25&gt;=PV$37,PN25&lt;&gt;""),AND(PP25&gt;=PV$33,PP25&lt;&gt;"",PR25&gt;=PV$37,PR25&lt;&gt;""),AND(PS25&gt;=PV$33,PS25&lt;&gt;"",PU25&gt;=PV$37,PU25&lt;&gt;""),AND(QQ25&gt;=RD$33,QQ25&lt;&gt;"",QS25&gt;=RD$37,QS25&lt;&gt;""),AND(QT25&gt;=RD$33,QT25&lt;&gt;"",QV25&gt;=RD$37,QV25&lt;&gt;""),AND(QX25&gt;=RD$33,QX25&lt;&gt;"",QZ25&gt;=RD$37,QZ25&lt;&gt;""),AND(RA25&gt;=RD$33,RA25&lt;&gt;"",RC25&gt;=RD$37,RC25&lt;&gt;""),AND(RY25&gt;=SL$33,RY25&lt;&gt;"",SA25&gt;=SL$37,SA25&lt;&gt;""),AND(SB25&gt;=SL$33,SB25&lt;&gt;"",SD25&gt;=SL$37,SD25&lt;&gt;""),AND(SF25&gt;=SL$33,SF25&lt;&gt;"",SH25&gt;=SL$37,SH25&lt;&gt;""),AND(SI25&gt;=SL$33,SI25&lt;&gt;"",SK25&gt;=SL$37,SK25&lt;&gt;""),AND(TG25&gt;=TT$33,TG25&lt;&gt;"",TI25&gt;=TT$37,TI25&lt;&gt;""),AND(TJ25&gt;=TT$33,TJ25&lt;&gt;"",TL25&gt;=TT$37,TL25&lt;&gt;""),AND(TN25&gt;=TT$33,TN25&lt;&gt;"",TP25&gt;=TT$357,TXN25&lt;&gt;""),AND(TQ25&gt;=TT$33,TQ25&lt;&gt;"",TS25&gt;=TT$37,TS25&lt;&gt;""),AND(UO25&gt;=VB$33,UO25&lt;&gt;"",UQ25&gt;=VB$37,UQ25&lt;&gt;""),AND(UR25&gt;=VB$33,UR25&lt;&gt;"",UT25&gt;=VB$37,UT25&lt;&gt;""),AND(UV25&gt;=VB$33,UV25&lt;&gt;"",UX25&gt;=VB$37,UX25&lt;&gt;""),AND(UY25&gt;=VB$33,UY25&lt;&gt;"",VA25&gt;=VB$37,VA25&lt;&gt;""),AND(VW25&gt;=WJ$33,VW25&lt;&gt;"",VY25&gt;=WJ$37,VY25&lt;&gt;""),AND(VZ25&gt;=WJ$33,VZ25&lt;&gt;"",WB25&gt;=WJ$37,WB25&lt;&gt;""),AND(WD25&gt;=WJ$33,WD25&lt;&gt;"",WF25&gt;=WJ$37,WF25&lt;&gt;""),AND(WG25&gt;=WJ$33,WG25&lt;&gt;"",WI25&gt;=WJ$37,WI25&lt;&gt;"")),"Merit",IF(OR(AND(AG25&gt;=AQ$32,AG25&lt;&gt;"",AI25&gt;=AQ$36,AI25&lt;&gt;"",AF25=""),AND(AJ25&gt;=AQ$32,AJ25&lt;&gt;"",AL25&gt;=AQ$36,AL25&lt;&gt;"",AF25=""),AND(AN25&gt;=AQ$32,AN25&lt;&gt;"",AP25&gt;=AQ$36,AP25&lt;&gt;"",AF25=""),AND(BH25&gt;=BR$32,BH25&lt;&gt;"",BJ25&gt;=BR$36,BJ25&lt;&gt;"",BG25=""),AND(BK25&gt;=BR$32,BK25&lt;&gt;"",BM25&gt;=BR$36,BM25&lt;&gt;"",BG25=""),AND(BO25&gt;=BR$32,BO25&lt;&gt;"",BQ25&gt;=BR$36,BQ25&lt;&gt;"",BG25=""),AND(CI25&gt;=CS$32,CI25&lt;&gt;"",CK25&gt;=CS$36,CK25&lt;&gt;"",CH25=""),AND(CL25&gt;=CS$32,CL25&lt;&gt;"",CN25&gt;=CS$36,CN25&lt;&gt;"",CH25=""),AND(CP25&gt;=CS$32,CP25&lt;&gt;"",CR25&gt;=CS$36,CR25&lt;&gt;"",CH25=""),AND(DO25&gt;=EB$32,DO25&lt;&gt;"",DQ25&gt;=EB$36,DQ25&lt;&gt;""),AND(DR25&gt;=EB$32,DR25&lt;&gt;"",DT25&gt;=EB$36,DT25&lt;&gt;""),AND(DV25&gt;=EB$32,DV25&lt;&gt;"",DX25&gt;=EB$36,DX25&lt;&gt;""),AND(DY25&gt;=EB$32,DY25&lt;&gt;"",EA25&gt;=EB$36,EA25&lt;&gt;""),AND(EW25&gt;=FJ$32,EW25&lt;&gt;"",EY25&gt;=FJ$36,EY25&lt;&gt;""),AND(EZ25&gt;=FJ$32,EZ25&lt;&gt;"",FB25&gt;=FJ$36,FB25&lt;&gt;""),AND(FD25&gt;=FJ$32,FD25&lt;&gt;"",FF25&gt;=FJ$36,FF25&lt;&gt;""),AND(FG25&gt;=FJ$32,FG25&lt;&gt;"",FI25&gt;=FJ$36,FI25&lt;&gt;""),AND(GE25&gt;=GR$32,GE25&lt;&gt;"",GG25&gt;=GR$36,GG25&lt;&gt;""),AND(GH25&gt;=GR$32,GH25&lt;&gt;"",GJ25&gt;=GR$36,GJ25&lt;&gt;""),AND(GL25&gt;=GR$32,GL25&lt;&gt;"",GN25&gt;=GR$36,GN25&lt;&gt;""),AND(GO25&gt;=GR$32,GO25&lt;&gt;"",GQ25&gt;=GR$36,GQ25&lt;&gt;""),AND(HM25&gt;=HZ$32,HM25&lt;&gt;"",HO25&gt;=HZ$36,HO25&lt;&gt;""),AND(HP25&gt;=HZ$32,HP25&lt;&gt;"",HR25&gt;=HZ$36,HR25&lt;&gt;""),AND(HT25&gt;=HZ$32,HT25&lt;&gt;"",HV25&gt;=HZ$36,HV25&lt;&gt;""),AND(HW25&gt;=HZ$32,HW25&lt;&gt;"",HY25&gt;=HZ$36,HY25&lt;&gt;""),AND(IU25&gt;=JH$32,IU25&lt;&gt;"",IW25&gt;=JH$36,IW25&lt;&gt;""),AND(IX25&gt;=JH$32,IX25&lt;&gt;"",IZ25&gt;=JH$36,IZ25&lt;&gt;""),AND(JB25&gt;=JH$32,JB25&lt;&gt;"",JD25&gt;=JH$36,JD25&lt;&gt;""),AND(JE25&gt;=JH$32,JE25&lt;&gt;"",JG25&gt;=JH$36,JG25&lt;&gt;""),AND(KC25&gt;=KP$32,KC25&lt;&gt;"",KE25&gt;=KP$36,KE25&lt;&gt;""),AND(KF25&gt;=KP$32,KF25&lt;&gt;"",KH25&gt;=KP$36,KH25&lt;&gt;""),AND(KJ25&gt;=KP$32,KJ25&lt;&gt;"",KL25&gt;=KP$36,KL25&lt;&gt;""),AND(KM25&gt;=KP$32,KM25&lt;&gt;"",KO25&gt;=KP$36,KO25&lt;&gt;""),AND(LK25&gt;=LX$32,LK25&lt;&gt;"",LM25&gt;=LX$36,LM25&lt;&gt;""),AND(LN25&gt;=LX$32,LN25&lt;&gt;"",LP25&gt;=LX$36,LP25&lt;&gt;""),AND(LR25&gt;=LX$32,LR25&lt;&gt;"",LT25&gt;=LX$36,LT25&lt;&gt;""),AND(LU25&gt;=LX$32,LU25&lt;&gt;"",LW25&gt;=LX$36,LW25&lt;&gt;""),AND(MS25&gt;=NF$32,MS25&lt;&gt;"",MU25&gt;=NF$36,MU25&lt;&gt;""),AND(MV25&gt;=NF$32,MV25&lt;&gt;"",MX25&gt;=NF$36,MX25&lt;&gt;""),AND(MZ25&gt;=NF$32,MZ25&lt;&gt;"",NB25&gt;=NF$36,NB25&lt;&gt;""),AND(NC25&gt;=NF$32,NC25&lt;&gt;"",NE25&gt;=NF$36,NE25&lt;&gt;""),AND(OA25&gt;=ON$32,OA25&lt;&gt;"",OC25&gt;=ON$36,OC25&lt;&gt;""),AND(OD25&gt;=ON$32,OD25&lt;&gt;"",OF25&gt;=ON$36,OF25&lt;&gt;""),AND(OH25&gt;=ON$32,OH25&lt;&gt;"",OJ25&gt;=ON$36,OJ25&lt;&gt;""),AND(OK25&gt;=ON$32,OK25&lt;&gt;"",OM25&gt;=ON$36,OM25&lt;&gt;""),AND(PI25&gt;=PV$32,PI25&lt;&gt;"",PK25&gt;=PV$36,PK25&lt;&gt;""),AND(PL25&gt;=PV$32,PL25&lt;&gt;"",PN25&gt;=PV$36,PN25&lt;&gt;""),AND(PP25&gt;=PV$32,PP25&lt;&gt;"",PR25&gt;=PV$36,PR25&lt;&gt;""),AND(PS25&gt;=PV$32,PS25&lt;&gt;"",PU25&gt;=PV$36,PU25&lt;&gt;""),AND(QQ25&gt;=RD$32,QQ25&lt;&gt;"",QS25&gt;=RD$36,QS25&lt;&gt;""),AND(QT25&gt;=RD$32,QT25&lt;&gt;"",QV25&gt;=RD$36,QV25&lt;&gt;""),AND(QX25&gt;=RD$32,QX25&lt;&gt;"",QZ25&gt;=RD$36,QZ25&lt;&gt;""),AND(RA25&gt;=RD$32,RA25&lt;&gt;"",RC25&gt;=RD$36,RC25&lt;&gt;""),AND(RY25&gt;=SL$32,RY25&lt;&gt;"",SA25&gt;=SL$36,SA25&lt;&gt;""),AND(SB25&gt;=SL$32,SB25&lt;&gt;"",SD25&gt;=SL$36,SD25&lt;&gt;""),AND(SF25&gt;=SL$32,SF25&lt;&gt;"",SH25&gt;=SL$36,SH25&lt;&gt;""),AND(SI25&gt;=SL$32,SI25&lt;&gt;"",SK25&gt;=SL$36,SK25&lt;&gt;""),AND(TG25&gt;=TT$32,TG25&lt;&gt;"",TI25&gt;=TT$36,TI25&lt;&gt;""),AND(TJ25&gt;=TT$32,TJ25&lt;&gt;"",TL25&gt;=TT$36,TL25&lt;&gt;""),AND(TN25&gt;=TT$32,TN25&lt;&gt;"",TP25&gt;=TT$36,TXN25&lt;&gt;""),AND(TQ25&gt;=TT$32,TQ25&lt;&gt;"",TS25&gt;=TT$36,TS25&lt;&gt;""),AND(UO25&gt;=VB$32,UO25&lt;&gt;"",UQ25&gt;=VB$36,UQ25&lt;&gt;""),AND(UR25&gt;=VB$32,UR25&lt;&gt;"",UT25&gt;=VB$36,UT25&lt;&gt;""),AND(UV25&gt;=VB$32,UV25&lt;&gt;"",UX25&gt;=VB$36,UX25&lt;&gt;""),AND(UY25&gt;=VB$32,UY25&lt;&gt;"",VA25&gt;=VB$36,VA25&lt;&gt;""),AND(VW25&gt;=WJ$32,VW25&lt;&gt;"",VY25&gt;=WJ$36,VY25&lt;&gt;""),AND(VZ25&gt;=WJ$32,VZ25&lt;&gt;"",WB25&gt;=WJ$36,WB25&lt;&gt;""),AND(WD25&gt;=WJ$32,WD25&lt;&gt;"",WF25&gt;=WJ$36,WF25&lt;&gt;""),AND(WG25&gt;=WJ$32,WG25&lt;&gt;"",WI25&gt;=WJ$36,WI25&lt;&gt;"")),"Excellence",IF(I25="P","National Team",IF(F25="P","National Team","")))))</f>
        <v/>
      </c>
      <c r="I25" s="3" t="str">
        <f>IF(COUNTIFS('Senior-M'!B:B,B25,'Senior-M'!A:A,"&lt;9",'Senior-M'!H:H,"&lt;&gt;"&amp;"No DD"),"P","")</f>
        <v/>
      </c>
      <c r="J25" s="8">
        <f t="shared" si="1"/>
        <v>52.940000000000005</v>
      </c>
      <c r="K25" s="8" t="str">
        <f t="shared" si="2"/>
        <v>2026 Elite Canada</v>
      </c>
      <c r="L25" s="8">
        <f>IFERROR(LARGE((AI25,AL25,AP25,BJ25,BM25,BQ25,CK25,CN25,CR25),2),0)</f>
        <v>17.200000000000003</v>
      </c>
      <c r="M25" s="8" t="str">
        <f t="shared" si="3"/>
        <v>2026 Elite Canada</v>
      </c>
      <c r="N25" s="8">
        <f t="shared" si="4"/>
        <v>0</v>
      </c>
      <c r="O25" s="11" t="str">
        <f>IF(N25=0,"",IF(N25=CT25,"("&amp;CT$2&amp;")",IF(N25=#REF!,"("&amp;#REF!&amp;")")))</f>
        <v/>
      </c>
      <c r="P25" s="8" t="str">
        <f t="shared" si="5"/>
        <v/>
      </c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23"/>
      <c r="AG25" s="34" t="str">
        <f t="shared" si="6"/>
        <v/>
      </c>
      <c r="AH25" s="34" t="str">
        <f t="shared" si="7"/>
        <v/>
      </c>
      <c r="AI25" s="36" t="str">
        <f t="shared" si="8"/>
        <v/>
      </c>
      <c r="AJ25" s="36" t="str">
        <f t="shared" si="9"/>
        <v/>
      </c>
      <c r="AK25" s="36" t="str">
        <f t="shared" si="10"/>
        <v/>
      </c>
      <c r="AL25" s="36" t="str">
        <f t="shared" si="11"/>
        <v/>
      </c>
      <c r="AM25" s="36" t="str">
        <f t="shared" si="12"/>
        <v/>
      </c>
      <c r="AN25" s="36" t="str">
        <f t="shared" si="13"/>
        <v/>
      </c>
      <c r="AO25" s="36" t="str">
        <f t="shared" si="14"/>
        <v/>
      </c>
      <c r="AP25" s="36" t="str">
        <f t="shared" si="15"/>
        <v/>
      </c>
      <c r="AQ25" s="36" t="str">
        <f t="shared" si="16"/>
        <v/>
      </c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4"/>
      <c r="BH25" s="35" t="str">
        <f t="shared" si="17"/>
        <v/>
      </c>
      <c r="BI25" s="35" t="str">
        <f t="shared" si="18"/>
        <v/>
      </c>
      <c r="BJ25" s="11" t="str">
        <f t="shared" si="19"/>
        <v/>
      </c>
      <c r="BK25" s="11" t="str">
        <f t="shared" si="20"/>
        <v/>
      </c>
      <c r="BL25" s="11" t="str">
        <f t="shared" si="21"/>
        <v/>
      </c>
      <c r="BM25" s="11" t="str">
        <f t="shared" si="22"/>
        <v/>
      </c>
      <c r="BN25" s="11" t="str">
        <f t="shared" si="23"/>
        <v/>
      </c>
      <c r="BO25" s="11" t="str">
        <f t="shared" si="24"/>
        <v/>
      </c>
      <c r="BP25" s="11" t="str">
        <f t="shared" si="25"/>
        <v/>
      </c>
      <c r="BQ25" s="11" t="str">
        <f t="shared" si="26"/>
        <v/>
      </c>
      <c r="BR25" s="11" t="str">
        <f t="shared" si="27"/>
        <v/>
      </c>
      <c r="BS25" s="18">
        <v>14.3</v>
      </c>
      <c r="BT25" s="18">
        <v>8.9</v>
      </c>
      <c r="BU25" s="18">
        <v>14.5</v>
      </c>
      <c r="BV25" s="18">
        <v>15.24</v>
      </c>
      <c r="BW25" s="18">
        <v>0</v>
      </c>
      <c r="BX25" s="18">
        <v>4.4000000000000004</v>
      </c>
      <c r="BY25" s="18">
        <v>2.7</v>
      </c>
      <c r="BZ25" s="18">
        <v>5</v>
      </c>
      <c r="CA25" s="18">
        <v>4.79</v>
      </c>
      <c r="CB25" s="18">
        <v>0</v>
      </c>
      <c r="CC25" s="18">
        <v>4.3</v>
      </c>
      <c r="CD25" s="18">
        <v>3</v>
      </c>
      <c r="CE25" s="18">
        <v>5</v>
      </c>
      <c r="CF25" s="18">
        <v>4.9000000000000004</v>
      </c>
      <c r="CG25" s="18">
        <v>0</v>
      </c>
      <c r="CH25" s="23"/>
      <c r="CI25" s="34">
        <f t="shared" si="28"/>
        <v>14.5</v>
      </c>
      <c r="CJ25" s="34">
        <f t="shared" si="29"/>
        <v>15.24</v>
      </c>
      <c r="CK25" s="36">
        <f t="shared" si="30"/>
        <v>52.940000000000005</v>
      </c>
      <c r="CL25" s="36">
        <f t="shared" si="31"/>
        <v>5</v>
      </c>
      <c r="CM25" s="36">
        <f t="shared" si="32"/>
        <v>4.79</v>
      </c>
      <c r="CN25" s="36">
        <f t="shared" si="33"/>
        <v>16.89</v>
      </c>
      <c r="CO25" s="36">
        <f t="shared" si="34"/>
        <v>52.940000000000005</v>
      </c>
      <c r="CP25" s="36">
        <f t="shared" si="35"/>
        <v>5</v>
      </c>
      <c r="CQ25" s="36">
        <f t="shared" si="36"/>
        <v>4.9000000000000004</v>
      </c>
      <c r="CR25" s="36">
        <f t="shared" si="37"/>
        <v>17.200000000000003</v>
      </c>
      <c r="CS25" s="36">
        <f t="shared" si="38"/>
        <v>70.140000000000015</v>
      </c>
      <c r="CT25" s="47" t="str">
        <f t="shared" si="39"/>
        <v/>
      </c>
      <c r="CU25" s="15"/>
      <c r="CV25" s="15"/>
      <c r="CW25" s="15"/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36" t="str">
        <f t="shared" si="40"/>
        <v/>
      </c>
      <c r="DP25" s="36" t="str">
        <f t="shared" si="41"/>
        <v/>
      </c>
      <c r="DQ25" s="36" t="str">
        <f t="shared" si="42"/>
        <v/>
      </c>
      <c r="DR25" s="36" t="str">
        <f t="shared" si="43"/>
        <v/>
      </c>
      <c r="DS25" s="36" t="str">
        <f t="shared" si="44"/>
        <v/>
      </c>
      <c r="DT25" s="36" t="str">
        <f t="shared" si="45"/>
        <v/>
      </c>
      <c r="DU25" s="36" t="str">
        <f t="shared" si="46"/>
        <v/>
      </c>
      <c r="DV25" s="36" t="str">
        <f t="shared" si="47"/>
        <v/>
      </c>
      <c r="DW25" s="36" t="str">
        <f t="shared" si="48"/>
        <v/>
      </c>
      <c r="DX25" s="36" t="str">
        <f t="shared" si="49"/>
        <v/>
      </c>
      <c r="DY25" s="36" t="str">
        <f t="shared" si="50"/>
        <v/>
      </c>
      <c r="DZ25" s="36" t="str">
        <f t="shared" si="51"/>
        <v/>
      </c>
      <c r="EA25" s="36" t="str">
        <f t="shared" si="52"/>
        <v/>
      </c>
      <c r="EB25" s="36" t="str">
        <f t="shared" si="53"/>
        <v/>
      </c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16"/>
      <c r="EN25" s="16"/>
      <c r="EO25" s="16"/>
      <c r="EP25" s="16"/>
      <c r="EQ25" s="16"/>
      <c r="ER25" s="16"/>
      <c r="ES25" s="16"/>
      <c r="ET25" s="16"/>
      <c r="EU25" s="16"/>
      <c r="EV25" s="16"/>
      <c r="EW25" s="11" t="str">
        <f t="shared" si="54"/>
        <v/>
      </c>
      <c r="EX25" s="11" t="str">
        <f t="shared" si="55"/>
        <v/>
      </c>
      <c r="EY25" s="11" t="str">
        <f t="shared" si="56"/>
        <v/>
      </c>
      <c r="EZ25" s="11" t="str">
        <f t="shared" si="57"/>
        <v/>
      </c>
      <c r="FA25" s="11" t="str">
        <f t="shared" si="58"/>
        <v/>
      </c>
      <c r="FB25" s="11" t="str">
        <f t="shared" si="59"/>
        <v/>
      </c>
      <c r="FC25" s="11" t="str">
        <f t="shared" si="60"/>
        <v/>
      </c>
      <c r="FD25" s="11" t="str">
        <f t="shared" si="61"/>
        <v/>
      </c>
      <c r="FE25" s="11" t="str">
        <f t="shared" si="62"/>
        <v/>
      </c>
      <c r="FF25" s="11" t="str">
        <f t="shared" si="63"/>
        <v/>
      </c>
      <c r="FG25" s="11" t="str">
        <f t="shared" si="64"/>
        <v/>
      </c>
      <c r="FH25" s="11" t="str">
        <f t="shared" si="65"/>
        <v/>
      </c>
      <c r="FI25" s="11" t="str">
        <f t="shared" si="66"/>
        <v/>
      </c>
      <c r="FJ25" s="11" t="str">
        <f t="shared" si="67"/>
        <v/>
      </c>
      <c r="FK25" s="15"/>
      <c r="FL25" s="15"/>
      <c r="FM25" s="15"/>
      <c r="FN25" s="15"/>
      <c r="FO25" s="15"/>
      <c r="FP25" s="15"/>
      <c r="FQ25" s="15"/>
      <c r="FR25" s="15"/>
      <c r="FS25" s="15"/>
      <c r="FT25" s="15"/>
      <c r="FU25" s="15"/>
      <c r="FV25" s="15"/>
      <c r="FW25" s="15"/>
      <c r="FX25" s="15"/>
      <c r="FY25" s="15"/>
      <c r="FZ25" s="15"/>
      <c r="GA25" s="15"/>
      <c r="GB25" s="15"/>
      <c r="GC25" s="15"/>
      <c r="GD25" s="15"/>
      <c r="GE25" s="36" t="str">
        <f t="shared" si="68"/>
        <v/>
      </c>
      <c r="GF25" s="36" t="str">
        <f t="shared" si="69"/>
        <v/>
      </c>
      <c r="GG25" s="36" t="str">
        <f t="shared" si="70"/>
        <v/>
      </c>
      <c r="GH25" s="36" t="str">
        <f t="shared" si="71"/>
        <v/>
      </c>
      <c r="GI25" s="36" t="str">
        <f t="shared" si="72"/>
        <v/>
      </c>
      <c r="GJ25" s="36" t="str">
        <f t="shared" si="73"/>
        <v/>
      </c>
      <c r="GK25" s="36" t="str">
        <f t="shared" si="74"/>
        <v/>
      </c>
      <c r="GL25" s="36" t="str">
        <f t="shared" si="75"/>
        <v/>
      </c>
      <c r="GM25" s="36" t="str">
        <f t="shared" si="76"/>
        <v/>
      </c>
      <c r="GN25" s="36" t="str">
        <f t="shared" si="77"/>
        <v/>
      </c>
      <c r="GO25" s="36" t="str">
        <f t="shared" si="78"/>
        <v/>
      </c>
      <c r="GP25" s="36" t="str">
        <f t="shared" si="79"/>
        <v/>
      </c>
      <c r="GQ25" s="36" t="str">
        <f t="shared" si="80"/>
        <v/>
      </c>
      <c r="GR25" s="36" t="str">
        <f t="shared" si="81"/>
        <v/>
      </c>
      <c r="GS25" s="16"/>
      <c r="GT25" s="16"/>
      <c r="GU25" s="16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1" t="str">
        <f t="shared" si="82"/>
        <v/>
      </c>
      <c r="HN25" s="11" t="str">
        <f t="shared" si="83"/>
        <v/>
      </c>
      <c r="HO25" s="11" t="str">
        <f t="shared" si="84"/>
        <v/>
      </c>
      <c r="HP25" s="11" t="str">
        <f t="shared" si="85"/>
        <v/>
      </c>
      <c r="HQ25" s="11" t="str">
        <f t="shared" si="86"/>
        <v/>
      </c>
      <c r="HR25" s="11" t="str">
        <f t="shared" si="87"/>
        <v/>
      </c>
      <c r="HS25" s="11" t="str">
        <f t="shared" si="88"/>
        <v/>
      </c>
      <c r="HT25" s="11" t="str">
        <f t="shared" si="89"/>
        <v/>
      </c>
      <c r="HU25" s="11" t="str">
        <f t="shared" si="90"/>
        <v/>
      </c>
      <c r="HV25" s="11" t="str">
        <f t="shared" si="91"/>
        <v/>
      </c>
      <c r="HW25" s="11" t="str">
        <f t="shared" si="92"/>
        <v/>
      </c>
      <c r="HX25" s="11" t="str">
        <f t="shared" si="93"/>
        <v/>
      </c>
      <c r="HY25" s="11" t="str">
        <f t="shared" si="94"/>
        <v/>
      </c>
      <c r="HZ25" s="11" t="str">
        <f t="shared" si="95"/>
        <v/>
      </c>
      <c r="IA25" s="15"/>
      <c r="IB25" s="15"/>
      <c r="IC25" s="15"/>
      <c r="ID25" s="15"/>
      <c r="IE25" s="15"/>
      <c r="IF25" s="15"/>
      <c r="IG25" s="15"/>
      <c r="IH25" s="15"/>
      <c r="II25" s="15"/>
      <c r="IJ25" s="15"/>
      <c r="IK25" s="15"/>
      <c r="IL25" s="15"/>
      <c r="IM25" s="15"/>
      <c r="IN25" s="15"/>
      <c r="IO25" s="15"/>
      <c r="IP25" s="15"/>
      <c r="IQ25" s="15"/>
      <c r="IR25" s="15"/>
      <c r="IS25" s="15"/>
      <c r="IT25" s="15"/>
      <c r="IU25" s="36" t="str">
        <f t="shared" si="96"/>
        <v/>
      </c>
      <c r="IV25" s="36" t="str">
        <f t="shared" si="97"/>
        <v/>
      </c>
      <c r="IW25" s="36" t="str">
        <f t="shared" si="98"/>
        <v/>
      </c>
      <c r="IX25" s="36" t="str">
        <f t="shared" si="99"/>
        <v/>
      </c>
      <c r="IY25" s="36" t="str">
        <f t="shared" si="100"/>
        <v/>
      </c>
      <c r="IZ25" s="36" t="str">
        <f t="shared" si="101"/>
        <v/>
      </c>
      <c r="JA25" s="36" t="str">
        <f t="shared" si="102"/>
        <v/>
      </c>
      <c r="JB25" s="36" t="str">
        <f t="shared" si="103"/>
        <v/>
      </c>
      <c r="JC25" s="36" t="str">
        <f t="shared" si="104"/>
        <v/>
      </c>
      <c r="JD25" s="36" t="str">
        <f t="shared" si="105"/>
        <v/>
      </c>
      <c r="JE25" s="36" t="str">
        <f t="shared" si="106"/>
        <v/>
      </c>
      <c r="JF25" s="36" t="str">
        <f t="shared" si="107"/>
        <v/>
      </c>
      <c r="JG25" s="36" t="str">
        <f t="shared" si="108"/>
        <v/>
      </c>
      <c r="JH25" s="36" t="str">
        <f t="shared" si="109"/>
        <v/>
      </c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16"/>
      <c r="JX25" s="16"/>
      <c r="JY25" s="16"/>
      <c r="JZ25" s="16"/>
      <c r="KA25" s="16"/>
      <c r="KB25" s="16"/>
      <c r="KC25" s="11" t="str">
        <f t="shared" si="110"/>
        <v/>
      </c>
      <c r="KD25" s="11" t="str">
        <f t="shared" si="111"/>
        <v/>
      </c>
      <c r="KE25" s="11" t="str">
        <f t="shared" si="112"/>
        <v/>
      </c>
      <c r="KF25" s="11" t="str">
        <f t="shared" si="113"/>
        <v/>
      </c>
      <c r="KG25" s="11" t="str">
        <f t="shared" si="114"/>
        <v/>
      </c>
      <c r="KH25" s="11" t="str">
        <f t="shared" si="115"/>
        <v/>
      </c>
      <c r="KI25" s="11" t="str">
        <f t="shared" si="116"/>
        <v/>
      </c>
      <c r="KJ25" s="11" t="str">
        <f t="shared" si="117"/>
        <v/>
      </c>
      <c r="KK25" s="11" t="str">
        <f t="shared" si="118"/>
        <v/>
      </c>
      <c r="KL25" s="11" t="str">
        <f t="shared" si="119"/>
        <v/>
      </c>
      <c r="KM25" s="11" t="str">
        <f t="shared" si="120"/>
        <v/>
      </c>
      <c r="KN25" s="11" t="str">
        <f t="shared" si="121"/>
        <v/>
      </c>
      <c r="KO25" s="11" t="str">
        <f t="shared" si="122"/>
        <v/>
      </c>
      <c r="KP25" s="11" t="str">
        <f t="shared" si="123"/>
        <v/>
      </c>
      <c r="KQ25" s="15"/>
      <c r="KR25" s="15"/>
      <c r="KS25" s="15"/>
      <c r="KT25" s="15"/>
      <c r="KU25" s="15"/>
      <c r="KV25" s="15"/>
      <c r="KW25" s="15"/>
      <c r="KX25" s="15"/>
      <c r="KY25" s="15"/>
      <c r="KZ25" s="15"/>
      <c r="LA25" s="15"/>
      <c r="LB25" s="15"/>
      <c r="LC25" s="15"/>
      <c r="LD25" s="15"/>
      <c r="LE25" s="15"/>
      <c r="LF25" s="15"/>
      <c r="LG25" s="15"/>
      <c r="LH25" s="15"/>
      <c r="LI25" s="15"/>
      <c r="LJ25" s="15"/>
      <c r="LK25" s="36" t="str">
        <f t="shared" si="124"/>
        <v/>
      </c>
      <c r="LL25" s="36" t="str">
        <f t="shared" si="125"/>
        <v/>
      </c>
      <c r="LM25" s="36" t="str">
        <f t="shared" si="126"/>
        <v/>
      </c>
      <c r="LN25" s="36" t="str">
        <f t="shared" si="127"/>
        <v/>
      </c>
      <c r="LO25" s="36" t="str">
        <f t="shared" si="128"/>
        <v/>
      </c>
      <c r="LP25" s="36" t="str">
        <f t="shared" si="129"/>
        <v/>
      </c>
      <c r="LQ25" s="36" t="str">
        <f t="shared" si="130"/>
        <v/>
      </c>
      <c r="LR25" s="36" t="str">
        <f t="shared" si="131"/>
        <v/>
      </c>
      <c r="LS25" s="36" t="str">
        <f t="shared" si="132"/>
        <v/>
      </c>
      <c r="LT25" s="36" t="str">
        <f t="shared" si="133"/>
        <v/>
      </c>
      <c r="LU25" s="36" t="str">
        <f t="shared" si="134"/>
        <v/>
      </c>
      <c r="LV25" s="36" t="str">
        <f t="shared" si="135"/>
        <v/>
      </c>
      <c r="LW25" s="36" t="str">
        <f t="shared" si="136"/>
        <v/>
      </c>
      <c r="LX25" s="36" t="str">
        <f t="shared" si="137"/>
        <v/>
      </c>
      <c r="LY25" s="16"/>
      <c r="LZ25" s="16"/>
      <c r="MA25" s="16"/>
      <c r="MB25" s="16"/>
      <c r="MC25" s="16"/>
      <c r="MD25" s="16"/>
      <c r="ME25" s="16"/>
      <c r="MF25" s="16"/>
      <c r="MG25" s="16"/>
      <c r="MH25" s="16"/>
      <c r="MI25" s="16"/>
      <c r="MJ25" s="16"/>
      <c r="MK25" s="16"/>
      <c r="ML25" s="16"/>
      <c r="MM25" s="16"/>
      <c r="MN25" s="16"/>
      <c r="MO25" s="16"/>
      <c r="MP25" s="16"/>
      <c r="MQ25" s="16"/>
      <c r="MR25" s="16"/>
      <c r="MS25" s="11" t="str">
        <f t="shared" si="138"/>
        <v/>
      </c>
      <c r="MT25" s="11" t="str">
        <f t="shared" si="139"/>
        <v/>
      </c>
      <c r="MU25" s="11" t="str">
        <f t="shared" si="140"/>
        <v/>
      </c>
      <c r="MV25" s="11" t="str">
        <f t="shared" si="141"/>
        <v/>
      </c>
      <c r="MW25" s="11" t="str">
        <f t="shared" si="142"/>
        <v/>
      </c>
      <c r="MX25" s="11" t="str">
        <f t="shared" si="143"/>
        <v/>
      </c>
      <c r="MY25" s="11" t="str">
        <f t="shared" si="144"/>
        <v/>
      </c>
      <c r="MZ25" s="11" t="str">
        <f t="shared" si="145"/>
        <v/>
      </c>
      <c r="NA25" s="11" t="str">
        <f t="shared" si="146"/>
        <v/>
      </c>
      <c r="NB25" s="11" t="str">
        <f t="shared" si="147"/>
        <v/>
      </c>
      <c r="NC25" s="11" t="str">
        <f t="shared" si="148"/>
        <v/>
      </c>
      <c r="ND25" s="11" t="str">
        <f t="shared" si="149"/>
        <v/>
      </c>
      <c r="NE25" s="11" t="str">
        <f t="shared" si="150"/>
        <v/>
      </c>
      <c r="NF25" s="11" t="str">
        <f t="shared" si="151"/>
        <v/>
      </c>
      <c r="NG25" s="15"/>
      <c r="NH25" s="15"/>
      <c r="NI25" s="15"/>
      <c r="NJ25" s="15"/>
      <c r="NK25" s="15"/>
      <c r="NL25" s="15"/>
      <c r="NM25" s="15"/>
      <c r="NN25" s="15"/>
      <c r="NO25" s="15"/>
      <c r="NP25" s="15"/>
      <c r="NQ25" s="15"/>
      <c r="NR25" s="15"/>
      <c r="NS25" s="15"/>
      <c r="NT25" s="15"/>
      <c r="NU25" s="15"/>
      <c r="NV25" s="15"/>
      <c r="NW25" s="15"/>
      <c r="NX25" s="15"/>
      <c r="NY25" s="15"/>
      <c r="NZ25" s="15"/>
      <c r="OA25" s="36" t="str">
        <f t="shared" si="152"/>
        <v/>
      </c>
      <c r="OB25" s="36" t="str">
        <f t="shared" si="153"/>
        <v/>
      </c>
      <c r="OC25" s="36" t="str">
        <f t="shared" si="154"/>
        <v/>
      </c>
      <c r="OD25" s="36" t="str">
        <f t="shared" si="155"/>
        <v/>
      </c>
      <c r="OE25" s="36" t="str">
        <f t="shared" si="156"/>
        <v/>
      </c>
      <c r="OF25" s="36" t="str">
        <f t="shared" si="157"/>
        <v/>
      </c>
      <c r="OG25" s="36" t="str">
        <f t="shared" si="158"/>
        <v/>
      </c>
      <c r="OH25" s="36" t="str">
        <f t="shared" si="159"/>
        <v/>
      </c>
      <c r="OI25" s="36" t="str">
        <f t="shared" si="160"/>
        <v/>
      </c>
      <c r="OJ25" s="36" t="str">
        <f t="shared" si="161"/>
        <v/>
      </c>
      <c r="OK25" s="36" t="str">
        <f t="shared" si="162"/>
        <v/>
      </c>
      <c r="OL25" s="36" t="str">
        <f t="shared" si="163"/>
        <v/>
      </c>
      <c r="OM25" s="36" t="str">
        <f t="shared" si="164"/>
        <v/>
      </c>
      <c r="ON25" s="36" t="str">
        <f t="shared" si="165"/>
        <v/>
      </c>
      <c r="OO25" s="16"/>
      <c r="OP25" s="16"/>
      <c r="OQ25" s="16"/>
      <c r="OR25" s="16"/>
      <c r="OS25" s="16"/>
      <c r="OT25" s="16"/>
      <c r="OU25" s="16"/>
      <c r="OV25" s="16"/>
      <c r="OW25" s="16"/>
      <c r="OX25" s="16"/>
      <c r="OY25" s="16"/>
      <c r="OZ25" s="16"/>
      <c r="PA25" s="16"/>
      <c r="PB25" s="16"/>
      <c r="PC25" s="16"/>
      <c r="PD25" s="16"/>
      <c r="PE25" s="16"/>
      <c r="PF25" s="16"/>
      <c r="PG25" s="16"/>
      <c r="PH25" s="16"/>
      <c r="PI25" s="11" t="str">
        <f t="shared" si="166"/>
        <v/>
      </c>
      <c r="PJ25" s="11" t="str">
        <f t="shared" si="167"/>
        <v/>
      </c>
      <c r="PK25" s="11" t="str">
        <f t="shared" si="168"/>
        <v/>
      </c>
      <c r="PL25" s="11" t="str">
        <f t="shared" si="169"/>
        <v/>
      </c>
      <c r="PM25" s="11" t="str">
        <f t="shared" si="170"/>
        <v/>
      </c>
      <c r="PN25" s="11" t="str">
        <f t="shared" si="171"/>
        <v/>
      </c>
      <c r="PO25" s="11" t="str">
        <f t="shared" si="172"/>
        <v/>
      </c>
      <c r="PP25" s="11" t="str">
        <f t="shared" si="173"/>
        <v/>
      </c>
      <c r="PQ25" s="11" t="str">
        <f t="shared" si="174"/>
        <v/>
      </c>
      <c r="PR25" s="11" t="str">
        <f t="shared" si="175"/>
        <v/>
      </c>
      <c r="PS25" s="11" t="str">
        <f t="shared" si="176"/>
        <v/>
      </c>
      <c r="PT25" s="11" t="str">
        <f t="shared" si="177"/>
        <v/>
      </c>
      <c r="PU25" s="11" t="str">
        <f t="shared" si="178"/>
        <v/>
      </c>
      <c r="PV25" s="11" t="str">
        <f t="shared" si="179"/>
        <v/>
      </c>
      <c r="PW25" s="15"/>
      <c r="PX25" s="15"/>
      <c r="PY25" s="15"/>
      <c r="PZ25" s="15"/>
      <c r="QA25" s="15"/>
      <c r="QB25" s="15"/>
      <c r="QC25" s="15"/>
      <c r="QD25" s="15"/>
      <c r="QE25" s="15"/>
      <c r="QF25" s="15"/>
      <c r="QG25" s="15"/>
      <c r="QH25" s="15"/>
      <c r="QI25" s="15"/>
      <c r="QJ25" s="15"/>
      <c r="QK25" s="15"/>
      <c r="QL25" s="15"/>
      <c r="QM25" s="15"/>
      <c r="QN25" s="15"/>
      <c r="QO25" s="15"/>
      <c r="QP25" s="15"/>
      <c r="QQ25" s="36" t="str">
        <f t="shared" si="180"/>
        <v/>
      </c>
      <c r="QR25" s="36" t="str">
        <f t="shared" si="181"/>
        <v/>
      </c>
      <c r="QS25" s="36" t="str">
        <f t="shared" si="182"/>
        <v/>
      </c>
      <c r="QT25" s="36" t="str">
        <f t="shared" si="183"/>
        <v/>
      </c>
      <c r="QU25" s="36" t="str">
        <f t="shared" si="184"/>
        <v/>
      </c>
      <c r="QV25" s="36" t="str">
        <f t="shared" si="185"/>
        <v/>
      </c>
      <c r="QW25" s="36" t="str">
        <f t="shared" si="186"/>
        <v/>
      </c>
      <c r="QX25" s="36" t="str">
        <f t="shared" si="187"/>
        <v/>
      </c>
      <c r="QY25" s="36" t="str">
        <f t="shared" si="188"/>
        <v/>
      </c>
      <c r="QZ25" s="36" t="str">
        <f t="shared" si="189"/>
        <v/>
      </c>
      <c r="RA25" s="36" t="str">
        <f t="shared" si="190"/>
        <v/>
      </c>
      <c r="RB25" s="36" t="str">
        <f t="shared" si="191"/>
        <v/>
      </c>
      <c r="RC25" s="36" t="str">
        <f t="shared" si="192"/>
        <v/>
      </c>
      <c r="RD25" s="36" t="str">
        <f t="shared" si="193"/>
        <v/>
      </c>
      <c r="RE25" s="16"/>
      <c r="RF25" s="16"/>
      <c r="RG25" s="16"/>
      <c r="RH25" s="16"/>
      <c r="RI25" s="16"/>
      <c r="RJ25" s="16"/>
      <c r="RK25" s="16"/>
      <c r="RL25" s="16"/>
      <c r="RM25" s="16"/>
      <c r="RN25" s="16"/>
      <c r="RO25" s="16"/>
      <c r="RP25" s="16"/>
      <c r="RQ25" s="16"/>
      <c r="RR25" s="16"/>
      <c r="RS25" s="16"/>
      <c r="RT25" s="16"/>
      <c r="RU25" s="16"/>
      <c r="RV25" s="16"/>
      <c r="RW25" s="16"/>
      <c r="RX25" s="16"/>
      <c r="RY25" s="11" t="str">
        <f t="shared" si="194"/>
        <v/>
      </c>
      <c r="RZ25" s="11" t="str">
        <f t="shared" si="195"/>
        <v/>
      </c>
      <c r="SA25" s="11" t="str">
        <f t="shared" si="196"/>
        <v/>
      </c>
      <c r="SB25" s="11" t="str">
        <f t="shared" si="197"/>
        <v/>
      </c>
      <c r="SC25" s="11" t="str">
        <f t="shared" si="198"/>
        <v/>
      </c>
      <c r="SD25" s="11" t="str">
        <f t="shared" si="199"/>
        <v/>
      </c>
      <c r="SE25" s="11" t="str">
        <f t="shared" si="200"/>
        <v/>
      </c>
      <c r="SF25" s="11" t="str">
        <f t="shared" si="201"/>
        <v/>
      </c>
      <c r="SG25" s="11" t="str">
        <f t="shared" si="202"/>
        <v/>
      </c>
      <c r="SH25" s="11" t="str">
        <f t="shared" si="203"/>
        <v/>
      </c>
      <c r="SI25" s="11" t="str">
        <f t="shared" si="204"/>
        <v/>
      </c>
      <c r="SJ25" s="11" t="str">
        <f t="shared" si="205"/>
        <v/>
      </c>
      <c r="SK25" s="11" t="str">
        <f t="shared" si="206"/>
        <v/>
      </c>
      <c r="SL25" s="11" t="str">
        <f t="shared" si="207"/>
        <v/>
      </c>
      <c r="SM25" s="15"/>
      <c r="SN25" s="15"/>
      <c r="SO25" s="15"/>
      <c r="SP25" s="15"/>
      <c r="SQ25" s="15"/>
      <c r="SR25" s="15"/>
      <c r="SS25" s="15"/>
      <c r="ST25" s="15"/>
      <c r="SU25" s="15"/>
      <c r="SV25" s="15"/>
      <c r="SW25" s="15"/>
      <c r="SX25" s="15"/>
      <c r="SY25" s="15"/>
      <c r="SZ25" s="15"/>
      <c r="TA25" s="15"/>
      <c r="TB25" s="15"/>
      <c r="TC25" s="15"/>
      <c r="TD25" s="15"/>
      <c r="TE25" s="15"/>
      <c r="TF25" s="15"/>
      <c r="TG25" s="36" t="str">
        <f t="shared" si="208"/>
        <v/>
      </c>
      <c r="TH25" s="36" t="str">
        <f t="shared" si="209"/>
        <v/>
      </c>
      <c r="TI25" s="36" t="str">
        <f t="shared" si="210"/>
        <v/>
      </c>
      <c r="TJ25" s="36" t="str">
        <f t="shared" si="211"/>
        <v/>
      </c>
      <c r="TK25" s="36" t="str">
        <f t="shared" si="212"/>
        <v/>
      </c>
      <c r="TL25" s="36" t="str">
        <f t="shared" si="213"/>
        <v/>
      </c>
      <c r="TM25" s="36" t="str">
        <f t="shared" si="214"/>
        <v/>
      </c>
      <c r="TN25" s="36" t="str">
        <f t="shared" si="215"/>
        <v/>
      </c>
      <c r="TO25" s="36" t="str">
        <f t="shared" si="216"/>
        <v/>
      </c>
      <c r="TP25" s="36" t="str">
        <f t="shared" si="217"/>
        <v/>
      </c>
      <c r="TQ25" s="36" t="str">
        <f t="shared" si="218"/>
        <v/>
      </c>
      <c r="TR25" s="36" t="str">
        <f t="shared" si="219"/>
        <v/>
      </c>
      <c r="TS25" s="36" t="str">
        <f t="shared" si="220"/>
        <v/>
      </c>
      <c r="TT25" s="36" t="str">
        <f t="shared" si="221"/>
        <v/>
      </c>
      <c r="TU25" s="16"/>
      <c r="TV25" s="16"/>
      <c r="TW25" s="16"/>
      <c r="TX25" s="16"/>
      <c r="TY25" s="16"/>
      <c r="TZ25" s="16"/>
      <c r="UA25" s="16"/>
      <c r="UB25" s="16"/>
      <c r="UC25" s="16"/>
      <c r="UD25" s="16"/>
      <c r="UE25" s="16"/>
      <c r="UF25" s="16"/>
      <c r="UG25" s="16"/>
      <c r="UH25" s="16"/>
      <c r="UI25" s="16"/>
      <c r="UJ25" s="16"/>
      <c r="UK25" s="16"/>
      <c r="UL25" s="16"/>
      <c r="UM25" s="16"/>
      <c r="UN25" s="16"/>
      <c r="UO25" s="11" t="str">
        <f t="shared" si="222"/>
        <v/>
      </c>
      <c r="UP25" s="11" t="str">
        <f t="shared" si="223"/>
        <v/>
      </c>
      <c r="UQ25" s="11" t="str">
        <f t="shared" si="224"/>
        <v/>
      </c>
      <c r="UR25" s="11" t="str">
        <f t="shared" si="225"/>
        <v/>
      </c>
      <c r="US25" s="11" t="str">
        <f t="shared" si="226"/>
        <v/>
      </c>
      <c r="UT25" s="11" t="str">
        <f t="shared" si="227"/>
        <v/>
      </c>
      <c r="UU25" s="11" t="str">
        <f t="shared" si="228"/>
        <v/>
      </c>
      <c r="UV25" s="11" t="str">
        <f t="shared" si="229"/>
        <v/>
      </c>
      <c r="UW25" s="11" t="str">
        <f t="shared" si="230"/>
        <v/>
      </c>
      <c r="UX25" s="11" t="str">
        <f t="shared" si="231"/>
        <v/>
      </c>
      <c r="UY25" s="11" t="str">
        <f t="shared" si="232"/>
        <v/>
      </c>
      <c r="UZ25" s="11" t="str">
        <f t="shared" si="233"/>
        <v/>
      </c>
      <c r="VA25" s="11" t="str">
        <f t="shared" si="234"/>
        <v/>
      </c>
      <c r="VB25" s="11" t="str">
        <f t="shared" si="235"/>
        <v/>
      </c>
      <c r="VC25" s="15"/>
      <c r="VD25" s="15"/>
      <c r="VE25" s="15"/>
      <c r="VF25" s="15"/>
      <c r="VG25" s="15"/>
      <c r="VH25" s="15"/>
      <c r="VI25" s="15"/>
      <c r="VJ25" s="15"/>
      <c r="VK25" s="15"/>
      <c r="VL25" s="15"/>
      <c r="VM25" s="15"/>
      <c r="VN25" s="15"/>
      <c r="VO25" s="15"/>
      <c r="VP25" s="15"/>
      <c r="VQ25" s="15"/>
      <c r="VR25" s="15"/>
      <c r="VS25" s="15"/>
      <c r="VT25" s="15"/>
      <c r="VU25" s="15"/>
      <c r="VV25" s="15"/>
      <c r="VW25" s="36" t="str">
        <f t="shared" si="236"/>
        <v/>
      </c>
      <c r="VX25" s="36" t="str">
        <f t="shared" si="237"/>
        <v/>
      </c>
      <c r="VY25" s="36" t="str">
        <f t="shared" si="238"/>
        <v/>
      </c>
      <c r="VZ25" s="36" t="str">
        <f t="shared" si="239"/>
        <v/>
      </c>
      <c r="WA25" s="36" t="str">
        <f t="shared" si="240"/>
        <v/>
      </c>
      <c r="WB25" s="36" t="str">
        <f t="shared" si="241"/>
        <v/>
      </c>
      <c r="WC25" s="36" t="str">
        <f t="shared" si="242"/>
        <v/>
      </c>
      <c r="WD25" s="36" t="str">
        <f t="shared" si="243"/>
        <v/>
      </c>
      <c r="WE25" s="36" t="str">
        <f t="shared" si="244"/>
        <v/>
      </c>
      <c r="WF25" s="36" t="str">
        <f t="shared" si="245"/>
        <v/>
      </c>
      <c r="WG25" s="36" t="str">
        <f t="shared" si="246"/>
        <v/>
      </c>
      <c r="WH25" s="36" t="str">
        <f t="shared" si="247"/>
        <v/>
      </c>
      <c r="WI25" s="36" t="str">
        <f t="shared" si="248"/>
        <v/>
      </c>
      <c r="WJ25" s="36" t="str">
        <f t="shared" si="249"/>
        <v/>
      </c>
    </row>
    <row r="26" spans="1:608" x14ac:dyDescent="0.2">
      <c r="A26" s="4" t="str" cm="1">
        <f t="array" ref="A26">IF(AND(H26&lt;&gt;"",H26&lt;&gt;"No DD",I26&lt;&gt;"P"),SUMPRODUCT((H$4:H$28&lt;&gt;"")*(H$4:H$28&lt;&gt;"No DD")*(I$4:I$28&lt;&gt;"P")*(E$4:E$28&gt;E26))+1,IF(H26="No DD",SUMPRODUCT((H$4:H$28="No DD")*(I$4:I$28&lt;&gt;"P")*(E$4:E$28&gt;E26))+1+SUMPRODUCT((H$4:H$28&lt;&gt;"")*(I$4:I$28&lt;&gt;"P")*(H$4:H$28&lt;&gt;"No DD")),""))</f>
        <v/>
      </c>
      <c r="B26" s="5" t="s">
        <v>192</v>
      </c>
      <c r="C26" s="4" t="s">
        <v>5</v>
      </c>
      <c r="D26" s="4">
        <v>2009</v>
      </c>
      <c r="E26" s="9">
        <f t="shared" si="0"/>
        <v>63.420006342004008</v>
      </c>
      <c r="F26" s="3" t="str">
        <f>IF(OR(AND(AG26&gt;=AQ$30,AG26&lt;&gt;"",AI26&gt;=AQ$34,AI26&lt;&gt;"",AF26=""),AND(AJ26&gt;=AQ$30,AJ26&lt;&gt;"",AL26&gt;=AQ$34,AL26&lt;&gt;"",AF26=""),AND(AN26&gt;=AQ$30,AN26&lt;&gt;"",AP26&gt;=AQ$34,AP26&lt;&gt;"",AF26=""),AND(BH26&gt;=BR$30,BH26&lt;&gt;"",BJ26&gt;=BR$34,BJ26&lt;&gt;"",BG26=""),AND(BK26&gt;=BR$30,BK26&lt;&gt;"",BM26&gt;=BR$34,BM26&lt;&gt;"",BG26=""),AND(BO26&gt;=BR$30,BO26&lt;&gt;"",BQ26&gt;=BR$34,BQ26&lt;&gt;"",BG26=""),AND(CI26&gt;=CS$30,CI26&lt;&gt;"",CK26&gt;=CS$34,CK26&lt;&gt;"",CH26=""),AND(CL26&gt;=CS$30,CL26&lt;&gt;"",CN26&gt;=CS$34,CN26&lt;&gt;"",CH26=""),AND(CP26&gt;=CS$30,CP26&lt;&gt;"",CR26&gt;=CS$34,CR26&lt;&gt;"",CH26=""),AND(DO26&gt;=EB$30,DO26&lt;&gt;"",DQ26&gt;=EB$34,DQ26&lt;&gt;""),AND(DR26&gt;=EB$30,DR26&lt;&gt;"",DT26&gt;=EB$34,DT26&lt;&gt;""),AND(DV26&gt;=EB$30,DV26&lt;&gt;"",DX26&gt;=EB$34,DX26&lt;&gt;""),AND(DY26&gt;=EB$30,DY26&lt;&gt;"",EA26&gt;=EB$34,EA26&lt;&gt;""),AND(EW26&gt;=FJ$30,EW26&lt;&gt;"",EY26&gt;=FJ$34,EY26&lt;&gt;""),AND(EZ26&gt;=FJ$30,EZ26&lt;&gt;"",FB26&gt;=FJ$34,FB26&lt;&gt;""),AND(FD26&gt;=FJ$30,FD26&lt;&gt;"",FF26&gt;=FJ$34,FF26&lt;&gt;""),AND(FG26&gt;=FJ$30,FG26&lt;&gt;"",FI26&gt;=FJ$34,FI26&lt;&gt;""),AND(GE26&gt;=GR$30,GE26&lt;&gt;"",GG26&gt;=GR$34,GG26&lt;&gt;""),AND(GH26&gt;=GR$30,GH26&lt;&gt;"",GJ26&gt;=GR$34,GJ26&lt;&gt;""),AND(GL26&gt;=GR$30,GL26&lt;&gt;"",GN26&gt;=GR$34,GN26&lt;&gt;""),AND(GO26&gt;=GR$30,GO26&lt;&gt;"",GQ26&gt;=GR$34,GQ26&lt;&gt;""),AND(HM26&gt;=HZ$30,HM26&lt;&gt;"",HO26&gt;=HZ$34,HO26&lt;&gt;""),AND(HP26&gt;=HZ$30,HP26&lt;&gt;"",HR26&gt;=HZ$34,HR26&lt;&gt;""),AND(HT26&gt;=HZ$30,HT26&lt;&gt;"",HV26&gt;=HZ$34,HV26&lt;&gt;""),AND(HW26&gt;=HZ$30,HW26&lt;&gt;"",HY26&gt;=HZ$34,HY26&lt;&gt;""),AND(IU26&gt;=JH$30,IU26&lt;&gt;"",IW26&gt;=JH$34,IW26&lt;&gt;""),AND(IX26&gt;=JH$30,IX26&lt;&gt;"",IZ26&gt;=JH$34,IZ26&lt;&gt;""),AND(JB26&gt;=JH$30,JB26&lt;&gt;"",JD26&gt;=JH$34,JD26&lt;&gt;""),AND(JE26&gt;=JH$30,JE26&lt;&gt;"",JG26&gt;=JH$34,JG26&lt;&gt;""),AND(KC26&gt;=KP$30,KC26&lt;&gt;"",KE26&gt;=KP$34,KE26&lt;&gt;""),AND(KF26&gt;=KP$30,KF26&lt;&gt;"",KH26&gt;=KP$34,KH26&lt;&gt;""),AND(KJ26&gt;=KP$30,KJ26&lt;&gt;"",KL26&gt;=KP$34,KL26&lt;&gt;""),AND(KM26&gt;=KP$30,KM26&lt;&gt;"",KO26&gt;=KP$34,KO26&lt;&gt;""),AND(LK26&gt;=LX$30,LK26&lt;&gt;"",LM26&gt;=LX$34,LM26&lt;&gt;""),AND(LN26&gt;=LX$30,LN26&lt;&gt;"",LP26&gt;=LX$34,LP26&lt;&gt;""),AND(LR26&gt;=LX$30,LR26&lt;&gt;"",LT26&gt;=LX$34,LT26&lt;&gt;""),AND(LU26&gt;=LX$30,LU26&lt;&gt;"",LW26&gt;=LX$34,LW26&lt;&gt;""),AND(MS26&gt;=NF$30,MS26&lt;&gt;"",MU26&gt;=NF$34,MU26&lt;&gt;""),AND(MV26&gt;=NF$30,MV26&lt;&gt;"",MX26&gt;=NF$34,MX26&lt;&gt;""),AND(MZ26&gt;=NF$30,MZ26&lt;&gt;"",NB26&gt;=NF$34,NB26&lt;&gt;""),AND(NC26&gt;=NF$30,NC26&lt;&gt;"",NE26&gt;=NF$34,NE26&lt;&gt;""),AND(OA26&gt;=ON$30,OA26&lt;&gt;"",OC26&gt;=ON$34,OC26&lt;&gt;""),AND(OD26&gt;=ON$30,OD26&lt;&gt;"",OF26&gt;=ON$34,OF26&lt;&gt;""),AND(OH26&gt;=ON$30,OH26&lt;&gt;"",OJ26&gt;=ON$34,OJ26&lt;&gt;""),AND(OK26&gt;=ON$30,OK26&lt;&gt;"",OM26&gt;=ON$34,OM26&lt;&gt;""),AND(PI26&gt;=PV$30,PI26&lt;&gt;"",PK26&gt;=PV$34,PK26&lt;&gt;""),AND(PL26&gt;=PV$30,PL26&lt;&gt;"",PN26&gt;=PV$34,PN26&lt;&gt;""),AND(PP26&gt;=PV$30,PP26&lt;&gt;"",PR26&gt;=PV$34,PR26&lt;&gt;""),AND(PS26&gt;=PV$30,PS26&lt;&gt;"",PU26&gt;=PV$34,PU26&lt;&gt;""),AND(QQ26&gt;=RD$30,QQ26&lt;&gt;"",QS26&gt;=RD$34,QS26&lt;&gt;""),AND(QT26&gt;=RD$30,QT26&lt;&gt;"",QV26&gt;=RD$34,QV26&lt;&gt;""),AND(QX26&gt;=RD$30,QX26&lt;&gt;"",QZ26&gt;=RD$34,QZ26&lt;&gt;""),AND(RA26&gt;=RD$30,RA26&lt;&gt;"",RC26&gt;=RD$34,RC26&lt;&gt;""),AND(RY26&gt;=SL$30,RY26&lt;&gt;"",SA26&gt;=SL$34,SA26&lt;&gt;""),AND(SB26&gt;=SL$30,SB26&lt;&gt;"",SD26&gt;=SL$34,SD26&lt;&gt;""),AND(SF26&gt;=SL$30,SF26&lt;&gt;"",SH26&gt;=SL$34,SH26&lt;&gt;""),AND(SI26&gt;=SL$30,SI26&lt;&gt;"",SK26&gt;=SL$34,SK26&lt;&gt;""),AND(TG26&gt;=TT$30,TG26&lt;&gt;"",TI26&gt;=TT$34,TI26&lt;&gt;""),AND(TJ26&gt;=TT$30,TJ26&lt;&gt;"",TL26&gt;=TT$34,TL26&lt;&gt;""),AND(TN26&gt;=TT$30,TN26&lt;&gt;"",TP26&gt;=TT$34,TXN26&lt;&gt;""),AND(TQ26&gt;=TT$30,TQ26&lt;&gt;"",TS26&gt;=TT$34,TS26&lt;&gt;""),AND(UO26&gt;=VB$30,UO26&lt;&gt;"",UQ26&gt;=VB$34,UQ26&lt;&gt;""),AND(UR26&gt;=VB$30,UR26&lt;&gt;"",UT26&gt;=VB$34,UT26&lt;&gt;""),AND(UV26&gt;=VB$30,UV26&lt;&gt;"",UX26&gt;=VB$34,UX26&lt;&gt;""),AND(UY26&gt;=VB$30,UY26&lt;&gt;"",VA26&gt;=VB$34,VA26&lt;&gt;""),AND(VW26&gt;=WJ$30,VW26&lt;&gt;"",VY26&gt;=WJ$34,VY26&lt;&gt;""),AND(VZ26&gt;=WJ$30,VZ26&lt;&gt;"",WB26&gt;=WJ$34,WB26&lt;&gt;""),AND(WD26&gt;=WJ$30,WD26&lt;&gt;"",WF26&gt;=WJ$34,WF26&lt;&gt;""),AND(WG26&gt;=WJ$30,WG26&lt;&gt;"",WI26&gt;=WJ$34,WI26&lt;&gt;"")),"P","")</f>
        <v/>
      </c>
      <c r="G26" s="3" t="str">
        <f>IF(OR(AND(AI26&gt;=AQ$34,AI26&lt;&gt;"",AF26=""),AND(AL26&gt;=AQ$34,AL26&lt;&gt;"",AF26=""),AND(AP26&gt;=AQ$34,AP26&lt;&gt;"",AF26=""),AND(BJ26&gt;=BR$34,BJ26&lt;&gt;"",BG26=""),AND(BM26&gt;=BR$34,BM26&lt;&gt;"",BG26=""),AND(BQ26&gt;=BR$34,BQ26&lt;&gt;"",BG26=""),AND(CK26&gt;=CS$34,CK26&lt;&gt;"",CH26=""),AND(CN26&gt;=CS$34,CN26&lt;&gt;"",CH26=""),AND(CR26&gt;=CS$34,CR26&lt;&gt;"",CH26=""),AND(DQ26&gt;=EB$34,DQ26&lt;&gt;""),AND(DT26&gt;=EB$34,DT26&lt;&gt;""),AND(DX26&gt;=EB$34,DX26&lt;&gt;""),AND(EA26&gt;=EB$34,EA26&lt;&gt;""),AND(EY26&gt;=FJ$34,EY26&lt;&gt;""),AND(FB26&gt;=FJ$34,FB26&lt;&gt;""),AND(FF26&gt;=FJ$34,FF26&lt;&gt;""),AND(FI26&gt;=FJ$34,FI26&lt;&gt;""),AND(GG26&gt;=GR$34,GG26&lt;&gt;""),AND(GJ26&gt;=GR$34,GJ26&lt;&gt;""),AND(GN26&gt;=GR$34,GN26&lt;&gt;""),AND(GQ26&gt;=GR$34,GQ26&lt;&gt;""),AND(HO26&gt;=HZ$34,HO26&lt;&gt;""),AND(HR26&gt;=HZ$34,HR26&lt;&gt;""),AND(HV26&gt;=HZ$34,HV26&lt;&gt;""),AND(HY26&gt;=HZ$34,HY26&lt;&gt;""),AND(IW26&gt;=JH$34,IW26&lt;&gt;""),AND(IZ26&gt;=JH$34,IZ26&lt;&gt;""),AND(JD26&gt;=JH$34,JD26&lt;&gt;""),AND(JG26&gt;=JH$34,JG26&lt;&gt;""),AND(KE26&gt;=KP$34,KE26&lt;&gt;""),AND(KH26&gt;=KP$34,KH26&lt;&gt;""),AND(KL26&gt;=KP$34,KL26&lt;&gt;""),AND(KO26&gt;=KP$34,KO26&lt;&gt;""),AND(LM26&gt;=LX$34,LM26&lt;&gt;""),AND(LP26&gt;=LX$34,LP26&lt;&gt;""),AND(LT26&gt;=LX$34,LT26&lt;&gt;""),AND(LW26&gt;=LX$34,LW26&lt;&gt;""),AND(MU26&gt;=NF$34,MU26&lt;&gt;""),AND(MX26&gt;=NF$34,MX26&lt;&gt;""),AND(NB26&gt;=NF$34,NB26&lt;&gt;""),AND(NE26&gt;=NF$34,NE26&lt;&gt;""),AND(OC26&gt;=ON$34,OC26&lt;&gt;""),AND(OF26&gt;=ON$34,OF26&lt;&gt;""),AND(OJ26&gt;=ON$34,OJ26&lt;&gt;""),AND(OM26&gt;=ON$34,OM26&lt;&gt;""),AND(PK26&gt;=PV$34,PK26&lt;&gt;""),AND(PN26&gt;=PV$34,PN26&lt;&gt;""),AND(PR26&gt;=PV$34,PR26&lt;&gt;""),AND(PU26&gt;=PV$34,PU26&lt;&gt;""),AND(QS26&gt;=RD$34,QS26&lt;&gt;""),AND(QV26&gt;=RD$34,QV26&lt;&gt;""),AND(QZ26&gt;=RD$34,QZ26&lt;&gt;""),AND(RC26&gt;=RD$34,RC26&lt;&gt;""),AND(SA26&gt;=SL$34,SA26&lt;&gt;""),AND(SD26&gt;=SL$34,SD26&lt;&gt;""),AND(SH26&gt;=SL$34,SH26&lt;&gt;""),AND(SK26&gt;=SL$34,SK26&lt;&gt;""),AND(TI26&gt;=TT$34,TI26&lt;&gt;""),AND(TL26&gt;=TT$34,TL26&lt;&gt;""),AND(TP26&gt;=TT$34,TXN26&lt;&gt;""),AND(TS26&gt;=TT$34,TS26&lt;&gt;""),AND(UQ26&gt;=VB$34,UQ26&lt;&gt;""),AND(UT26&gt;=VB$34,UT26&lt;&gt;""),AND(UX26&gt;=VB$34,UX26&lt;&gt;""),AND(VA26&gt;=VB$34,VA26&lt;&gt;""),AND(VY26&gt;=WJ$34,VY26&lt;&gt;""),AND(WB26&gt;=WJ$34,WB26&lt;&gt;""),AND(WF26&gt;=WJ$34,WF26&lt;&gt;""),AND(WI26&gt;=WJ$34,WI26&lt;&gt;"")),"P","")</f>
        <v/>
      </c>
      <c r="H26" s="32" t="str">
        <f>IF(AND(G26="P",F26=""),"No DD",IF(OR(AND(AG26&gt;=AQ$33,AG26&lt;&gt;"",AI26&gt;=AQ$37,AI26&lt;&gt;"",AF26=""),AND(AJ26&gt;=AQ$33,AJ26&lt;&gt;"",AL26&gt;=AQ$37,AL26&lt;&gt;"",AF26=""),AND(AN26&gt;=AQ$33,AN26&lt;&gt;"",AP26&gt;=AQ$37,AP26&lt;&gt;"",AF26=""),AND(BH26&gt;=BR$33,BH26&lt;&gt;"",BJ26&gt;=BR$37,BJ26&lt;&gt;"",BG26=""),AND(BK26&gt;=BR$33,BK26&lt;&gt;"",BM26&gt;=BR$37,BM26&lt;&gt;"",BG26=""),AND(BO26&gt;=BR$33,BO26&lt;&gt;"",BQ26&gt;=BR$37,BQ26&lt;&gt;"",BG26=""),AND(CI26&gt;=CS$33,CI26&lt;&gt;"",CK26&gt;=CS$37,CK26&lt;&gt;"",CH26=""),AND(CL26&gt;=CS$33,CL26&lt;&gt;"",CN26&gt;=CS$37,CN26&lt;&gt;"",CH26=""),AND(CP26&gt;=CS$33,CP26&lt;&gt;"",CR26&gt;=CS$37,CR26&lt;&gt;"",CH26=""),AND(DO26&gt;=EB$33,DO26&lt;&gt;"",DQ26&gt;=EB$37,DQ26&lt;&gt;""),AND(DR26&gt;=EB$33,DR26&lt;&gt;"",DT26&gt;=EB$37,DT26&lt;&gt;""),AND(DV26&gt;=EB$33,DV26&lt;&gt;"",DX26&gt;=EB$37,DX26&lt;&gt;""),AND(DY26&gt;=EB$33,DY26&lt;&gt;"",EA26&gt;=EB$37,EA26&lt;&gt;""),AND(EW26&gt;=FJ$33,EW26&lt;&gt;"",EY26&gt;=FJ$37,EY26&lt;&gt;""),AND(EZ26&gt;=FJ$33,EZ26&lt;&gt;"",FB26&gt;=FJ$37,FB26&lt;&gt;""),AND(FD26&gt;=FJ$33,FD26&lt;&gt;"",FF26&gt;=FJ$37,FF26&lt;&gt;""),AND(FG26&gt;=FJ$33,FG26&lt;&gt;"",FI26&gt;=FJ$37,FI26&lt;&gt;""),AND(GE26&gt;=GR$33,GE26&lt;&gt;"",GG26&gt;=GR$37,GG26&lt;&gt;""),AND(GH26&gt;=GR$33,GH26&lt;&gt;"",GJ26&gt;=GR$37,GJ26&lt;&gt;""),AND(GL26&gt;=GR$33,GL26&lt;&gt;"",GN26&gt;=GR$37,GN26&lt;&gt;""),AND(GO26&gt;=GR$33,GO26&lt;&gt;"",GQ26&gt;=GR$37,GQ26&lt;&gt;""),AND(HM26&gt;=HZ$33,HM26&lt;&gt;"",HO26&gt;=HZ$37,HO26&lt;&gt;""),AND(HP26&gt;=HZ$33,HP26&lt;&gt;"",HR26&gt;=HZ$37,HR26&lt;&gt;""),AND(HT26&gt;=HZ$33,HT26&lt;&gt;"",HV26&gt;=HZ$37,HV26&lt;&gt;""),AND(HW26&gt;=HZ$33,HW26&lt;&gt;"",HY26&gt;=HZ$37,HY26&lt;&gt;""),AND(IU26&gt;=JH$33,IU26&lt;&gt;"",IW26&gt;=JH$37,IW26&lt;&gt;""),AND(IX26&gt;=JH$33,IX26&lt;&gt;"",IZ26&gt;=JH$37,IZ26&lt;&gt;""),AND(JB26&gt;=JH$33,JB26&lt;&gt;"",JD26&gt;=JH$37,JD26&lt;&gt;""),AND(JE26&gt;=JH$33,JE26&lt;&gt;"",JG26&gt;=JH$37,JG26&lt;&gt;""),AND(KC26&gt;=KP$33,KC26&lt;&gt;"",KE26&gt;=KP$37,KE26&lt;&gt;""),AND(KF26&gt;=KP$33,KF26&lt;&gt;"",KH26&gt;=KP$37,KH26&lt;&gt;""),AND(KJ26&gt;=KP$33,KJ26&lt;&gt;"",KL26&gt;=KP$37,KL26&lt;&gt;""),AND(KM26&gt;=KP$33,KM26&lt;&gt;"",KO26&gt;=KP$37,KO26&lt;&gt;""),AND(LK26&gt;=LX$33,LK26&lt;&gt;"",LM26&gt;=LX$37,LM26&lt;&gt;""),AND(LN26&gt;=LX$33,LN26&lt;&gt;"",LP26&gt;=LX$37,LP26&lt;&gt;""),AND(LR26&gt;=LX$33,LR26&lt;&gt;"",LT26&gt;=LX$37,LT26&lt;&gt;""),AND(LU26&gt;=LX$33,LU26&lt;&gt;"",LW26&gt;=LX$37,LW26&lt;&gt;""),AND(MS26&gt;=NF$33,MS26&lt;&gt;"",MU26&gt;=NF$37,MU26&lt;&gt;""),AND(MV26&gt;=NF$33,MV26&lt;&gt;"",MX26&gt;=NF$37,MX26&lt;&gt;""),AND(MZ26&gt;=NF$33,MZ26&lt;&gt;"",NB26&gt;=NF$37,NB26&lt;&gt;""),AND(NC26&gt;=NF$33,NC26&lt;&gt;"",NE26&gt;=NF$37,NE26&lt;&gt;""),AND(OA26&gt;=ON$33,OA26&lt;&gt;"",OC26&gt;=ON$37,OC26&lt;&gt;""),AND(OD26&gt;=ON$33,OD26&lt;&gt;"",OF26&gt;=ON$37,OF26&lt;&gt;""),AND(OH26&gt;=ON$33,OH26&lt;&gt;"",OJ26&gt;=ON$37,OJ26&lt;&gt;""),AND(OK26&gt;=ON$33,OK26&lt;&gt;"",OM26&gt;=ON$37,OM26&lt;&gt;""),AND(PI26&gt;=PV$33,PI26&lt;&gt;"",PK26&gt;=PV$37,PK26&lt;&gt;""),AND(PL26&gt;=PV$33,PL26&lt;&gt;"",PN26&gt;=PV$37,PN26&lt;&gt;""),AND(PP26&gt;=PV$33,PP26&lt;&gt;"",PR26&gt;=PV$37,PR26&lt;&gt;""),AND(PS26&gt;=PV$33,PS26&lt;&gt;"",PU26&gt;=PV$37,PU26&lt;&gt;""),AND(QQ26&gt;=RD$33,QQ26&lt;&gt;"",QS26&gt;=RD$37,QS26&lt;&gt;""),AND(QT26&gt;=RD$33,QT26&lt;&gt;"",QV26&gt;=RD$37,QV26&lt;&gt;""),AND(QX26&gt;=RD$33,QX26&lt;&gt;"",QZ26&gt;=RD$37,QZ26&lt;&gt;""),AND(RA26&gt;=RD$33,RA26&lt;&gt;"",RC26&gt;=RD$37,RC26&lt;&gt;""),AND(RY26&gt;=SL$33,RY26&lt;&gt;"",SA26&gt;=SL$37,SA26&lt;&gt;""),AND(SB26&gt;=SL$33,SB26&lt;&gt;"",SD26&gt;=SL$37,SD26&lt;&gt;""),AND(SF26&gt;=SL$33,SF26&lt;&gt;"",SH26&gt;=SL$37,SH26&lt;&gt;""),AND(SI26&gt;=SL$33,SI26&lt;&gt;"",SK26&gt;=SL$37,SK26&lt;&gt;""),AND(TG26&gt;=TT$33,TG26&lt;&gt;"",TI26&gt;=TT$37,TI26&lt;&gt;""),AND(TJ26&gt;=TT$33,TJ26&lt;&gt;"",TL26&gt;=TT$37,TL26&lt;&gt;""),AND(TN26&gt;=TT$33,TN26&lt;&gt;"",TP26&gt;=TT$357,TXN26&lt;&gt;""),AND(TQ26&gt;=TT$33,TQ26&lt;&gt;"",TS26&gt;=TT$37,TS26&lt;&gt;""),AND(UO26&gt;=VB$33,UO26&lt;&gt;"",UQ26&gt;=VB$37,UQ26&lt;&gt;""),AND(UR26&gt;=VB$33,UR26&lt;&gt;"",UT26&gt;=VB$37,UT26&lt;&gt;""),AND(UV26&gt;=VB$33,UV26&lt;&gt;"",UX26&gt;=VB$37,UX26&lt;&gt;""),AND(UY26&gt;=VB$33,UY26&lt;&gt;"",VA26&gt;=VB$37,VA26&lt;&gt;""),AND(VW26&gt;=WJ$33,VW26&lt;&gt;"",VY26&gt;=WJ$37,VY26&lt;&gt;""),AND(VZ26&gt;=WJ$33,VZ26&lt;&gt;"",WB26&gt;=WJ$37,WB26&lt;&gt;""),AND(WD26&gt;=WJ$33,WD26&lt;&gt;"",WF26&gt;=WJ$37,WF26&lt;&gt;""),AND(WG26&gt;=WJ$33,WG26&lt;&gt;"",WI26&gt;=WJ$37,WI26&lt;&gt;"")),"Merit",IF(OR(AND(AG26&gt;=AQ$32,AG26&lt;&gt;"",AI26&gt;=AQ$36,AI26&lt;&gt;"",AF26=""),AND(AJ26&gt;=AQ$32,AJ26&lt;&gt;"",AL26&gt;=AQ$36,AL26&lt;&gt;"",AF26=""),AND(AN26&gt;=AQ$32,AN26&lt;&gt;"",AP26&gt;=AQ$36,AP26&lt;&gt;"",AF26=""),AND(BH26&gt;=BR$32,BH26&lt;&gt;"",BJ26&gt;=BR$36,BJ26&lt;&gt;"",BG26=""),AND(BK26&gt;=BR$32,BK26&lt;&gt;"",BM26&gt;=BR$36,BM26&lt;&gt;"",BG26=""),AND(BO26&gt;=BR$32,BO26&lt;&gt;"",BQ26&gt;=BR$36,BQ26&lt;&gt;"",BG26=""),AND(CI26&gt;=CS$32,CI26&lt;&gt;"",CK26&gt;=CS$36,CK26&lt;&gt;"",CH26=""),AND(CL26&gt;=CS$32,CL26&lt;&gt;"",CN26&gt;=CS$36,CN26&lt;&gt;"",CH26=""),AND(CP26&gt;=CS$32,CP26&lt;&gt;"",CR26&gt;=CS$36,CR26&lt;&gt;"",CH26=""),AND(DO26&gt;=EB$32,DO26&lt;&gt;"",DQ26&gt;=EB$36,DQ26&lt;&gt;""),AND(DR26&gt;=EB$32,DR26&lt;&gt;"",DT26&gt;=EB$36,DT26&lt;&gt;""),AND(DV26&gt;=EB$32,DV26&lt;&gt;"",DX26&gt;=EB$36,DX26&lt;&gt;""),AND(DY26&gt;=EB$32,DY26&lt;&gt;"",EA26&gt;=EB$36,EA26&lt;&gt;""),AND(EW26&gt;=FJ$32,EW26&lt;&gt;"",EY26&gt;=FJ$36,EY26&lt;&gt;""),AND(EZ26&gt;=FJ$32,EZ26&lt;&gt;"",FB26&gt;=FJ$36,FB26&lt;&gt;""),AND(FD26&gt;=FJ$32,FD26&lt;&gt;"",FF26&gt;=FJ$36,FF26&lt;&gt;""),AND(FG26&gt;=FJ$32,FG26&lt;&gt;"",FI26&gt;=FJ$36,FI26&lt;&gt;""),AND(GE26&gt;=GR$32,GE26&lt;&gt;"",GG26&gt;=GR$36,GG26&lt;&gt;""),AND(GH26&gt;=GR$32,GH26&lt;&gt;"",GJ26&gt;=GR$36,GJ26&lt;&gt;""),AND(GL26&gt;=GR$32,GL26&lt;&gt;"",GN26&gt;=GR$36,GN26&lt;&gt;""),AND(GO26&gt;=GR$32,GO26&lt;&gt;"",GQ26&gt;=GR$36,GQ26&lt;&gt;""),AND(HM26&gt;=HZ$32,HM26&lt;&gt;"",HO26&gt;=HZ$36,HO26&lt;&gt;""),AND(HP26&gt;=HZ$32,HP26&lt;&gt;"",HR26&gt;=HZ$36,HR26&lt;&gt;""),AND(HT26&gt;=HZ$32,HT26&lt;&gt;"",HV26&gt;=HZ$36,HV26&lt;&gt;""),AND(HW26&gt;=HZ$32,HW26&lt;&gt;"",HY26&gt;=HZ$36,HY26&lt;&gt;""),AND(IU26&gt;=JH$32,IU26&lt;&gt;"",IW26&gt;=JH$36,IW26&lt;&gt;""),AND(IX26&gt;=JH$32,IX26&lt;&gt;"",IZ26&gt;=JH$36,IZ26&lt;&gt;""),AND(JB26&gt;=JH$32,JB26&lt;&gt;"",JD26&gt;=JH$36,JD26&lt;&gt;""),AND(JE26&gt;=JH$32,JE26&lt;&gt;"",JG26&gt;=JH$36,JG26&lt;&gt;""),AND(KC26&gt;=KP$32,KC26&lt;&gt;"",KE26&gt;=KP$36,KE26&lt;&gt;""),AND(KF26&gt;=KP$32,KF26&lt;&gt;"",KH26&gt;=KP$36,KH26&lt;&gt;""),AND(KJ26&gt;=KP$32,KJ26&lt;&gt;"",KL26&gt;=KP$36,KL26&lt;&gt;""),AND(KM26&gt;=KP$32,KM26&lt;&gt;"",KO26&gt;=KP$36,KO26&lt;&gt;""),AND(LK26&gt;=LX$32,LK26&lt;&gt;"",LM26&gt;=LX$36,LM26&lt;&gt;""),AND(LN26&gt;=LX$32,LN26&lt;&gt;"",LP26&gt;=LX$36,LP26&lt;&gt;""),AND(LR26&gt;=LX$32,LR26&lt;&gt;"",LT26&gt;=LX$36,LT26&lt;&gt;""),AND(LU26&gt;=LX$32,LU26&lt;&gt;"",LW26&gt;=LX$36,LW26&lt;&gt;""),AND(MS26&gt;=NF$32,MS26&lt;&gt;"",MU26&gt;=NF$36,MU26&lt;&gt;""),AND(MV26&gt;=NF$32,MV26&lt;&gt;"",MX26&gt;=NF$36,MX26&lt;&gt;""),AND(MZ26&gt;=NF$32,MZ26&lt;&gt;"",NB26&gt;=NF$36,NB26&lt;&gt;""),AND(NC26&gt;=NF$32,NC26&lt;&gt;"",NE26&gt;=NF$36,NE26&lt;&gt;""),AND(OA26&gt;=ON$32,OA26&lt;&gt;"",OC26&gt;=ON$36,OC26&lt;&gt;""),AND(OD26&gt;=ON$32,OD26&lt;&gt;"",OF26&gt;=ON$36,OF26&lt;&gt;""),AND(OH26&gt;=ON$32,OH26&lt;&gt;"",OJ26&gt;=ON$36,OJ26&lt;&gt;""),AND(OK26&gt;=ON$32,OK26&lt;&gt;"",OM26&gt;=ON$36,OM26&lt;&gt;""),AND(PI26&gt;=PV$32,PI26&lt;&gt;"",PK26&gt;=PV$36,PK26&lt;&gt;""),AND(PL26&gt;=PV$32,PL26&lt;&gt;"",PN26&gt;=PV$36,PN26&lt;&gt;""),AND(PP26&gt;=PV$32,PP26&lt;&gt;"",PR26&gt;=PV$36,PR26&lt;&gt;""),AND(PS26&gt;=PV$32,PS26&lt;&gt;"",PU26&gt;=PV$36,PU26&lt;&gt;""),AND(QQ26&gt;=RD$32,QQ26&lt;&gt;"",QS26&gt;=RD$36,QS26&lt;&gt;""),AND(QT26&gt;=RD$32,QT26&lt;&gt;"",QV26&gt;=RD$36,QV26&lt;&gt;""),AND(QX26&gt;=RD$32,QX26&lt;&gt;"",QZ26&gt;=RD$36,QZ26&lt;&gt;""),AND(RA26&gt;=RD$32,RA26&lt;&gt;"",RC26&gt;=RD$36,RC26&lt;&gt;""),AND(RY26&gt;=SL$32,RY26&lt;&gt;"",SA26&gt;=SL$36,SA26&lt;&gt;""),AND(SB26&gt;=SL$32,SB26&lt;&gt;"",SD26&gt;=SL$36,SD26&lt;&gt;""),AND(SF26&gt;=SL$32,SF26&lt;&gt;"",SH26&gt;=SL$36,SH26&lt;&gt;""),AND(SI26&gt;=SL$32,SI26&lt;&gt;"",SK26&gt;=SL$36,SK26&lt;&gt;""),AND(TG26&gt;=TT$32,TG26&lt;&gt;"",TI26&gt;=TT$36,TI26&lt;&gt;""),AND(TJ26&gt;=TT$32,TJ26&lt;&gt;"",TL26&gt;=TT$36,TL26&lt;&gt;""),AND(TN26&gt;=TT$32,TN26&lt;&gt;"",TP26&gt;=TT$36,TXN26&lt;&gt;""),AND(TQ26&gt;=TT$32,TQ26&lt;&gt;"",TS26&gt;=TT$36,TS26&lt;&gt;""),AND(UO26&gt;=VB$32,UO26&lt;&gt;"",UQ26&gt;=VB$36,UQ26&lt;&gt;""),AND(UR26&gt;=VB$32,UR26&lt;&gt;"",UT26&gt;=VB$36,UT26&lt;&gt;""),AND(UV26&gt;=VB$32,UV26&lt;&gt;"",UX26&gt;=VB$36,UX26&lt;&gt;""),AND(UY26&gt;=VB$32,UY26&lt;&gt;"",VA26&gt;=VB$36,VA26&lt;&gt;""),AND(VW26&gt;=WJ$32,VW26&lt;&gt;"",VY26&gt;=WJ$36,VY26&lt;&gt;""),AND(VZ26&gt;=WJ$32,VZ26&lt;&gt;"",WB26&gt;=WJ$36,WB26&lt;&gt;""),AND(WD26&gt;=WJ$32,WD26&lt;&gt;"",WF26&gt;=WJ$36,WF26&lt;&gt;""),AND(WG26&gt;=WJ$32,WG26&lt;&gt;"",WI26&gt;=WJ$36,WI26&lt;&gt;"")),"Excellence",IF(I26="P","National Team",IF(F26="P","National Team","")))))</f>
        <v/>
      </c>
      <c r="I26" s="3" t="str">
        <f>IF(COUNTIFS('Senior-M'!B:B,B26,'Senior-M'!A:A,"&lt;9",'Senior-M'!H:H,"&lt;&gt;"&amp;"No DD"),"P","")</f>
        <v/>
      </c>
      <c r="J26" s="8">
        <f t="shared" si="1"/>
        <v>40.090000000000003</v>
      </c>
      <c r="K26" s="8" t="str">
        <f t="shared" si="2"/>
        <v>2025 Nationals</v>
      </c>
      <c r="L26" s="8">
        <f>IFERROR(LARGE((AI26,AL26,AP26,BJ26,BM26,BQ26,CK26,CN26,CR26),2),0)</f>
        <v>23.330000000000002</v>
      </c>
      <c r="M26" s="8" t="str">
        <f t="shared" si="3"/>
        <v>2026 Elite Canada</v>
      </c>
      <c r="N26" s="8">
        <f t="shared" si="4"/>
        <v>0</v>
      </c>
      <c r="O26" s="11" t="str">
        <f>IF(N26=0,"",IF(N26=CT26,"("&amp;CT$2&amp;")",IF(N26=#REF!,"("&amp;#REF!&amp;")")))</f>
        <v/>
      </c>
      <c r="P26" s="8" t="str">
        <f t="shared" si="5"/>
        <v/>
      </c>
      <c r="Q26" s="18">
        <v>15.8</v>
      </c>
      <c r="R26" s="18">
        <v>9.4</v>
      </c>
      <c r="S26" s="18">
        <v>0</v>
      </c>
      <c r="T26" s="18">
        <v>14.89</v>
      </c>
      <c r="U26" s="18">
        <v>0</v>
      </c>
      <c r="V26" s="18">
        <v>4.0999999999999996</v>
      </c>
      <c r="W26" s="18">
        <v>2.7</v>
      </c>
      <c r="X26" s="18">
        <v>3.6</v>
      </c>
      <c r="Y26" s="18">
        <v>4.45</v>
      </c>
      <c r="Z26" s="18">
        <v>0</v>
      </c>
      <c r="AA26" s="18">
        <v>5.2</v>
      </c>
      <c r="AB26" s="18">
        <v>3.2</v>
      </c>
      <c r="AC26" s="18">
        <v>4.3</v>
      </c>
      <c r="AD26" s="18">
        <v>5.97</v>
      </c>
      <c r="AE26" s="18">
        <v>0</v>
      </c>
      <c r="AF26" s="23"/>
      <c r="AG26" s="34" t="str">
        <f t="shared" si="6"/>
        <v/>
      </c>
      <c r="AH26" s="34">
        <f t="shared" si="7"/>
        <v>14.89</v>
      </c>
      <c r="AI26" s="36">
        <f t="shared" si="8"/>
        <v>40.090000000000003</v>
      </c>
      <c r="AJ26" s="36">
        <f t="shared" si="9"/>
        <v>3.6</v>
      </c>
      <c r="AK26" s="36">
        <f t="shared" si="10"/>
        <v>4.45</v>
      </c>
      <c r="AL26" s="36">
        <f t="shared" si="11"/>
        <v>14.850000000000001</v>
      </c>
      <c r="AM26" s="36">
        <f t="shared" si="12"/>
        <v>40.090000000000003</v>
      </c>
      <c r="AN26" s="36">
        <f t="shared" si="13"/>
        <v>4.3</v>
      </c>
      <c r="AO26" s="36">
        <f t="shared" si="14"/>
        <v>5.97</v>
      </c>
      <c r="AP26" s="36">
        <f t="shared" si="15"/>
        <v>18.669999999999998</v>
      </c>
      <c r="AQ26" s="36">
        <f t="shared" si="16"/>
        <v>58.760000000000005</v>
      </c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4"/>
      <c r="BH26" s="35" t="str">
        <f t="shared" si="17"/>
        <v/>
      </c>
      <c r="BI26" s="35" t="str">
        <f t="shared" si="18"/>
        <v/>
      </c>
      <c r="BJ26" s="11" t="str">
        <f t="shared" si="19"/>
        <v/>
      </c>
      <c r="BK26" s="11" t="str">
        <f t="shared" si="20"/>
        <v/>
      </c>
      <c r="BL26" s="11" t="str">
        <f t="shared" si="21"/>
        <v/>
      </c>
      <c r="BM26" s="11" t="str">
        <f t="shared" si="22"/>
        <v/>
      </c>
      <c r="BN26" s="11" t="str">
        <f t="shared" si="23"/>
        <v/>
      </c>
      <c r="BO26" s="11" t="str">
        <f t="shared" si="24"/>
        <v/>
      </c>
      <c r="BP26" s="11" t="str">
        <f t="shared" si="25"/>
        <v/>
      </c>
      <c r="BQ26" s="11" t="str">
        <f t="shared" si="26"/>
        <v/>
      </c>
      <c r="BR26" s="11" t="str">
        <f t="shared" si="27"/>
        <v/>
      </c>
      <c r="BS26" s="18">
        <v>9.3000000000000007</v>
      </c>
      <c r="BT26" s="18">
        <v>5.3</v>
      </c>
      <c r="BU26" s="18">
        <v>0</v>
      </c>
      <c r="BV26" s="18">
        <v>8.73</v>
      </c>
      <c r="BW26" s="18">
        <v>0</v>
      </c>
      <c r="BX26" s="18">
        <v>3.8</v>
      </c>
      <c r="BY26" s="18">
        <v>2.8</v>
      </c>
      <c r="BZ26" s="18">
        <v>4.5</v>
      </c>
      <c r="CA26" s="18">
        <v>4.99</v>
      </c>
      <c r="CB26" s="18">
        <v>0</v>
      </c>
      <c r="CC26" s="18"/>
      <c r="CD26" s="18"/>
      <c r="CE26" s="18"/>
      <c r="CF26" s="18"/>
      <c r="CG26" s="18"/>
      <c r="CH26" s="23"/>
      <c r="CI26" s="34" t="str">
        <f t="shared" si="28"/>
        <v/>
      </c>
      <c r="CJ26" s="34">
        <f t="shared" si="29"/>
        <v>8.73</v>
      </c>
      <c r="CK26" s="36">
        <f t="shared" si="30"/>
        <v>23.330000000000002</v>
      </c>
      <c r="CL26" s="36">
        <f t="shared" si="31"/>
        <v>4.5</v>
      </c>
      <c r="CM26" s="36">
        <f t="shared" si="32"/>
        <v>4.99</v>
      </c>
      <c r="CN26" s="36">
        <f t="shared" si="33"/>
        <v>16.09</v>
      </c>
      <c r="CO26" s="36">
        <f t="shared" si="34"/>
        <v>23.330000000000002</v>
      </c>
      <c r="CP26" s="36" t="str">
        <f t="shared" si="35"/>
        <v/>
      </c>
      <c r="CQ26" s="36" t="str">
        <f t="shared" si="36"/>
        <v/>
      </c>
      <c r="CR26" s="36" t="str">
        <f t="shared" si="37"/>
        <v/>
      </c>
      <c r="CS26" s="36">
        <f t="shared" si="38"/>
        <v>23.330000000000002</v>
      </c>
      <c r="CT26" s="47" t="str">
        <f t="shared" si="39"/>
        <v/>
      </c>
      <c r="CU26" s="15"/>
      <c r="CV26" s="15"/>
      <c r="CW26" s="15"/>
      <c r="CX26" s="15"/>
      <c r="CY26" s="15"/>
      <c r="CZ26" s="15"/>
      <c r="DA26" s="15"/>
      <c r="DB26" s="15"/>
      <c r="DC26" s="15"/>
      <c r="DD26" s="15"/>
      <c r="DE26" s="15"/>
      <c r="DF26" s="15"/>
      <c r="DG26" s="15"/>
      <c r="DH26" s="15"/>
      <c r="DI26" s="15"/>
      <c r="DJ26" s="15"/>
      <c r="DK26" s="15"/>
      <c r="DL26" s="15"/>
      <c r="DM26" s="15"/>
      <c r="DN26" s="15"/>
      <c r="DO26" s="36" t="str">
        <f t="shared" si="40"/>
        <v/>
      </c>
      <c r="DP26" s="36" t="str">
        <f t="shared" si="41"/>
        <v/>
      </c>
      <c r="DQ26" s="36" t="str">
        <f t="shared" si="42"/>
        <v/>
      </c>
      <c r="DR26" s="36" t="str">
        <f t="shared" si="43"/>
        <v/>
      </c>
      <c r="DS26" s="36" t="str">
        <f t="shared" si="44"/>
        <v/>
      </c>
      <c r="DT26" s="36" t="str">
        <f t="shared" si="45"/>
        <v/>
      </c>
      <c r="DU26" s="36" t="str">
        <f t="shared" si="46"/>
        <v/>
      </c>
      <c r="DV26" s="36" t="str">
        <f t="shared" si="47"/>
        <v/>
      </c>
      <c r="DW26" s="36" t="str">
        <f t="shared" si="48"/>
        <v/>
      </c>
      <c r="DX26" s="36" t="str">
        <f t="shared" si="49"/>
        <v/>
      </c>
      <c r="DY26" s="36" t="str">
        <f t="shared" si="50"/>
        <v/>
      </c>
      <c r="DZ26" s="36" t="str">
        <f t="shared" si="51"/>
        <v/>
      </c>
      <c r="EA26" s="36" t="str">
        <f t="shared" si="52"/>
        <v/>
      </c>
      <c r="EB26" s="36" t="str">
        <f t="shared" si="53"/>
        <v/>
      </c>
      <c r="EC26" s="16"/>
      <c r="ED26" s="16"/>
      <c r="EE26" s="16"/>
      <c r="EF26" s="16"/>
      <c r="EG26" s="16"/>
      <c r="EH26" s="16"/>
      <c r="EI26" s="16"/>
      <c r="EJ26" s="16"/>
      <c r="EK26" s="16"/>
      <c r="EL26" s="16"/>
      <c r="EM26" s="16"/>
      <c r="EN26" s="16"/>
      <c r="EO26" s="16"/>
      <c r="EP26" s="16"/>
      <c r="EQ26" s="16"/>
      <c r="ER26" s="16"/>
      <c r="ES26" s="16"/>
      <c r="ET26" s="16"/>
      <c r="EU26" s="16"/>
      <c r="EV26" s="16"/>
      <c r="EW26" s="11" t="str">
        <f t="shared" si="54"/>
        <v/>
      </c>
      <c r="EX26" s="11" t="str">
        <f t="shared" si="55"/>
        <v/>
      </c>
      <c r="EY26" s="11" t="str">
        <f t="shared" si="56"/>
        <v/>
      </c>
      <c r="EZ26" s="11" t="str">
        <f t="shared" si="57"/>
        <v/>
      </c>
      <c r="FA26" s="11" t="str">
        <f t="shared" si="58"/>
        <v/>
      </c>
      <c r="FB26" s="11" t="str">
        <f t="shared" si="59"/>
        <v/>
      </c>
      <c r="FC26" s="11" t="str">
        <f t="shared" si="60"/>
        <v/>
      </c>
      <c r="FD26" s="11" t="str">
        <f t="shared" si="61"/>
        <v/>
      </c>
      <c r="FE26" s="11" t="str">
        <f t="shared" si="62"/>
        <v/>
      </c>
      <c r="FF26" s="11" t="str">
        <f t="shared" si="63"/>
        <v/>
      </c>
      <c r="FG26" s="11" t="str">
        <f t="shared" si="64"/>
        <v/>
      </c>
      <c r="FH26" s="11" t="str">
        <f t="shared" si="65"/>
        <v/>
      </c>
      <c r="FI26" s="11" t="str">
        <f t="shared" si="66"/>
        <v/>
      </c>
      <c r="FJ26" s="11" t="str">
        <f t="shared" si="67"/>
        <v/>
      </c>
      <c r="FK26" s="15"/>
      <c r="FL26" s="15"/>
      <c r="FM26" s="15"/>
      <c r="FN26" s="15"/>
      <c r="FO26" s="15"/>
      <c r="FP26" s="15"/>
      <c r="FQ26" s="15"/>
      <c r="FR26" s="15"/>
      <c r="FS26" s="15"/>
      <c r="FT26" s="15"/>
      <c r="FU26" s="15"/>
      <c r="FV26" s="15"/>
      <c r="FW26" s="15"/>
      <c r="FX26" s="15"/>
      <c r="FY26" s="15"/>
      <c r="FZ26" s="15"/>
      <c r="GA26" s="15"/>
      <c r="GB26" s="15"/>
      <c r="GC26" s="15"/>
      <c r="GD26" s="15"/>
      <c r="GE26" s="36" t="str">
        <f t="shared" si="68"/>
        <v/>
      </c>
      <c r="GF26" s="36" t="str">
        <f t="shared" si="69"/>
        <v/>
      </c>
      <c r="GG26" s="36" t="str">
        <f t="shared" si="70"/>
        <v/>
      </c>
      <c r="GH26" s="36" t="str">
        <f t="shared" si="71"/>
        <v/>
      </c>
      <c r="GI26" s="36" t="str">
        <f t="shared" si="72"/>
        <v/>
      </c>
      <c r="GJ26" s="36" t="str">
        <f t="shared" si="73"/>
        <v/>
      </c>
      <c r="GK26" s="36" t="str">
        <f t="shared" si="74"/>
        <v/>
      </c>
      <c r="GL26" s="36" t="str">
        <f t="shared" si="75"/>
        <v/>
      </c>
      <c r="GM26" s="36" t="str">
        <f t="shared" si="76"/>
        <v/>
      </c>
      <c r="GN26" s="36" t="str">
        <f t="shared" si="77"/>
        <v/>
      </c>
      <c r="GO26" s="36" t="str">
        <f t="shared" si="78"/>
        <v/>
      </c>
      <c r="GP26" s="36" t="str">
        <f t="shared" si="79"/>
        <v/>
      </c>
      <c r="GQ26" s="36" t="str">
        <f t="shared" si="80"/>
        <v/>
      </c>
      <c r="GR26" s="36" t="str">
        <f t="shared" si="81"/>
        <v/>
      </c>
      <c r="GS26" s="16"/>
      <c r="GT26" s="16"/>
      <c r="GU26" s="16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1" t="str">
        <f t="shared" si="82"/>
        <v/>
      </c>
      <c r="HN26" s="11" t="str">
        <f t="shared" si="83"/>
        <v/>
      </c>
      <c r="HO26" s="11" t="str">
        <f t="shared" si="84"/>
        <v/>
      </c>
      <c r="HP26" s="11" t="str">
        <f t="shared" si="85"/>
        <v/>
      </c>
      <c r="HQ26" s="11" t="str">
        <f t="shared" si="86"/>
        <v/>
      </c>
      <c r="HR26" s="11" t="str">
        <f t="shared" si="87"/>
        <v/>
      </c>
      <c r="HS26" s="11" t="str">
        <f t="shared" si="88"/>
        <v/>
      </c>
      <c r="HT26" s="11" t="str">
        <f t="shared" si="89"/>
        <v/>
      </c>
      <c r="HU26" s="11" t="str">
        <f t="shared" si="90"/>
        <v/>
      </c>
      <c r="HV26" s="11" t="str">
        <f t="shared" si="91"/>
        <v/>
      </c>
      <c r="HW26" s="11" t="str">
        <f t="shared" si="92"/>
        <v/>
      </c>
      <c r="HX26" s="11" t="str">
        <f t="shared" si="93"/>
        <v/>
      </c>
      <c r="HY26" s="11" t="str">
        <f t="shared" si="94"/>
        <v/>
      </c>
      <c r="HZ26" s="11" t="str">
        <f t="shared" si="95"/>
        <v/>
      </c>
      <c r="IA26" s="15"/>
      <c r="IB26" s="15"/>
      <c r="IC26" s="15"/>
      <c r="ID26" s="15"/>
      <c r="IE26" s="15"/>
      <c r="IF26" s="15"/>
      <c r="IG26" s="15"/>
      <c r="IH26" s="15"/>
      <c r="II26" s="15"/>
      <c r="IJ26" s="15"/>
      <c r="IK26" s="15"/>
      <c r="IL26" s="15"/>
      <c r="IM26" s="15"/>
      <c r="IN26" s="15"/>
      <c r="IO26" s="15"/>
      <c r="IP26" s="15"/>
      <c r="IQ26" s="15"/>
      <c r="IR26" s="15"/>
      <c r="IS26" s="15"/>
      <c r="IT26" s="15"/>
      <c r="IU26" s="36" t="str">
        <f t="shared" si="96"/>
        <v/>
      </c>
      <c r="IV26" s="36" t="str">
        <f t="shared" si="97"/>
        <v/>
      </c>
      <c r="IW26" s="36" t="str">
        <f t="shared" si="98"/>
        <v/>
      </c>
      <c r="IX26" s="36" t="str">
        <f t="shared" si="99"/>
        <v/>
      </c>
      <c r="IY26" s="36" t="str">
        <f t="shared" si="100"/>
        <v/>
      </c>
      <c r="IZ26" s="36" t="str">
        <f t="shared" si="101"/>
        <v/>
      </c>
      <c r="JA26" s="36" t="str">
        <f t="shared" si="102"/>
        <v/>
      </c>
      <c r="JB26" s="36" t="str">
        <f t="shared" si="103"/>
        <v/>
      </c>
      <c r="JC26" s="36" t="str">
        <f t="shared" si="104"/>
        <v/>
      </c>
      <c r="JD26" s="36" t="str">
        <f t="shared" si="105"/>
        <v/>
      </c>
      <c r="JE26" s="36" t="str">
        <f t="shared" si="106"/>
        <v/>
      </c>
      <c r="JF26" s="36" t="str">
        <f t="shared" si="107"/>
        <v/>
      </c>
      <c r="JG26" s="36" t="str">
        <f t="shared" si="108"/>
        <v/>
      </c>
      <c r="JH26" s="36" t="str">
        <f t="shared" si="109"/>
        <v/>
      </c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16"/>
      <c r="JX26" s="16"/>
      <c r="JY26" s="16"/>
      <c r="JZ26" s="16"/>
      <c r="KA26" s="16"/>
      <c r="KB26" s="16"/>
      <c r="KC26" s="11" t="str">
        <f t="shared" si="110"/>
        <v/>
      </c>
      <c r="KD26" s="11" t="str">
        <f t="shared" si="111"/>
        <v/>
      </c>
      <c r="KE26" s="11" t="str">
        <f t="shared" si="112"/>
        <v/>
      </c>
      <c r="KF26" s="11" t="str">
        <f t="shared" si="113"/>
        <v/>
      </c>
      <c r="KG26" s="11" t="str">
        <f t="shared" si="114"/>
        <v/>
      </c>
      <c r="KH26" s="11" t="str">
        <f t="shared" si="115"/>
        <v/>
      </c>
      <c r="KI26" s="11" t="str">
        <f t="shared" si="116"/>
        <v/>
      </c>
      <c r="KJ26" s="11" t="str">
        <f t="shared" si="117"/>
        <v/>
      </c>
      <c r="KK26" s="11" t="str">
        <f t="shared" si="118"/>
        <v/>
      </c>
      <c r="KL26" s="11" t="str">
        <f t="shared" si="119"/>
        <v/>
      </c>
      <c r="KM26" s="11" t="str">
        <f t="shared" si="120"/>
        <v/>
      </c>
      <c r="KN26" s="11" t="str">
        <f t="shared" si="121"/>
        <v/>
      </c>
      <c r="KO26" s="11" t="str">
        <f t="shared" si="122"/>
        <v/>
      </c>
      <c r="KP26" s="11" t="str">
        <f t="shared" si="123"/>
        <v/>
      </c>
      <c r="KQ26" s="15"/>
      <c r="KR26" s="15"/>
      <c r="KS26" s="15"/>
      <c r="KT26" s="15"/>
      <c r="KU26" s="15"/>
      <c r="KV26" s="15"/>
      <c r="KW26" s="15"/>
      <c r="KX26" s="15"/>
      <c r="KY26" s="15"/>
      <c r="KZ26" s="15"/>
      <c r="LA26" s="15"/>
      <c r="LB26" s="15"/>
      <c r="LC26" s="15"/>
      <c r="LD26" s="15"/>
      <c r="LE26" s="15"/>
      <c r="LF26" s="15"/>
      <c r="LG26" s="15"/>
      <c r="LH26" s="15"/>
      <c r="LI26" s="15"/>
      <c r="LJ26" s="15"/>
      <c r="LK26" s="36" t="str">
        <f t="shared" si="124"/>
        <v/>
      </c>
      <c r="LL26" s="36" t="str">
        <f t="shared" si="125"/>
        <v/>
      </c>
      <c r="LM26" s="36" t="str">
        <f t="shared" si="126"/>
        <v/>
      </c>
      <c r="LN26" s="36" t="str">
        <f t="shared" si="127"/>
        <v/>
      </c>
      <c r="LO26" s="36" t="str">
        <f t="shared" si="128"/>
        <v/>
      </c>
      <c r="LP26" s="36" t="str">
        <f t="shared" si="129"/>
        <v/>
      </c>
      <c r="LQ26" s="36" t="str">
        <f t="shared" si="130"/>
        <v/>
      </c>
      <c r="LR26" s="36" t="str">
        <f t="shared" si="131"/>
        <v/>
      </c>
      <c r="LS26" s="36" t="str">
        <f t="shared" si="132"/>
        <v/>
      </c>
      <c r="LT26" s="36" t="str">
        <f t="shared" si="133"/>
        <v/>
      </c>
      <c r="LU26" s="36" t="str">
        <f t="shared" si="134"/>
        <v/>
      </c>
      <c r="LV26" s="36" t="str">
        <f t="shared" si="135"/>
        <v/>
      </c>
      <c r="LW26" s="36" t="str">
        <f t="shared" si="136"/>
        <v/>
      </c>
      <c r="LX26" s="36" t="str">
        <f t="shared" si="137"/>
        <v/>
      </c>
      <c r="LY26" s="16"/>
      <c r="LZ26" s="16"/>
      <c r="MA26" s="16"/>
      <c r="MB26" s="16"/>
      <c r="MC26" s="16"/>
      <c r="MD26" s="16"/>
      <c r="ME26" s="16"/>
      <c r="MF26" s="16"/>
      <c r="MG26" s="16"/>
      <c r="MH26" s="16"/>
      <c r="MI26" s="16"/>
      <c r="MJ26" s="16"/>
      <c r="MK26" s="16"/>
      <c r="ML26" s="16"/>
      <c r="MM26" s="16"/>
      <c r="MN26" s="16"/>
      <c r="MO26" s="16"/>
      <c r="MP26" s="16"/>
      <c r="MQ26" s="16"/>
      <c r="MR26" s="16"/>
      <c r="MS26" s="11" t="str">
        <f t="shared" si="138"/>
        <v/>
      </c>
      <c r="MT26" s="11" t="str">
        <f t="shared" si="139"/>
        <v/>
      </c>
      <c r="MU26" s="11" t="str">
        <f t="shared" si="140"/>
        <v/>
      </c>
      <c r="MV26" s="11" t="str">
        <f t="shared" si="141"/>
        <v/>
      </c>
      <c r="MW26" s="11" t="str">
        <f t="shared" si="142"/>
        <v/>
      </c>
      <c r="MX26" s="11" t="str">
        <f t="shared" si="143"/>
        <v/>
      </c>
      <c r="MY26" s="11" t="str">
        <f t="shared" si="144"/>
        <v/>
      </c>
      <c r="MZ26" s="11" t="str">
        <f t="shared" si="145"/>
        <v/>
      </c>
      <c r="NA26" s="11" t="str">
        <f t="shared" si="146"/>
        <v/>
      </c>
      <c r="NB26" s="11" t="str">
        <f t="shared" si="147"/>
        <v/>
      </c>
      <c r="NC26" s="11" t="str">
        <f t="shared" si="148"/>
        <v/>
      </c>
      <c r="ND26" s="11" t="str">
        <f t="shared" si="149"/>
        <v/>
      </c>
      <c r="NE26" s="11" t="str">
        <f t="shared" si="150"/>
        <v/>
      </c>
      <c r="NF26" s="11" t="str">
        <f t="shared" si="151"/>
        <v/>
      </c>
      <c r="NG26" s="15"/>
      <c r="NH26" s="15"/>
      <c r="NI26" s="15"/>
      <c r="NJ26" s="15"/>
      <c r="NK26" s="15"/>
      <c r="NL26" s="15"/>
      <c r="NM26" s="15"/>
      <c r="NN26" s="15"/>
      <c r="NO26" s="15"/>
      <c r="NP26" s="15"/>
      <c r="NQ26" s="15"/>
      <c r="NR26" s="15"/>
      <c r="NS26" s="15"/>
      <c r="NT26" s="15"/>
      <c r="NU26" s="15"/>
      <c r="NV26" s="15"/>
      <c r="NW26" s="15"/>
      <c r="NX26" s="15"/>
      <c r="NY26" s="15"/>
      <c r="NZ26" s="15"/>
      <c r="OA26" s="36" t="str">
        <f t="shared" si="152"/>
        <v/>
      </c>
      <c r="OB26" s="36" t="str">
        <f t="shared" si="153"/>
        <v/>
      </c>
      <c r="OC26" s="36" t="str">
        <f t="shared" si="154"/>
        <v/>
      </c>
      <c r="OD26" s="36" t="str">
        <f t="shared" si="155"/>
        <v/>
      </c>
      <c r="OE26" s="36" t="str">
        <f t="shared" si="156"/>
        <v/>
      </c>
      <c r="OF26" s="36" t="str">
        <f t="shared" si="157"/>
        <v/>
      </c>
      <c r="OG26" s="36" t="str">
        <f t="shared" si="158"/>
        <v/>
      </c>
      <c r="OH26" s="36" t="str">
        <f t="shared" si="159"/>
        <v/>
      </c>
      <c r="OI26" s="36" t="str">
        <f t="shared" si="160"/>
        <v/>
      </c>
      <c r="OJ26" s="36" t="str">
        <f t="shared" si="161"/>
        <v/>
      </c>
      <c r="OK26" s="36" t="str">
        <f t="shared" si="162"/>
        <v/>
      </c>
      <c r="OL26" s="36" t="str">
        <f t="shared" si="163"/>
        <v/>
      </c>
      <c r="OM26" s="36" t="str">
        <f t="shared" si="164"/>
        <v/>
      </c>
      <c r="ON26" s="36" t="str">
        <f t="shared" si="165"/>
        <v/>
      </c>
      <c r="OO26" s="16"/>
      <c r="OP26" s="16"/>
      <c r="OQ26" s="16"/>
      <c r="OR26" s="16"/>
      <c r="OS26" s="16"/>
      <c r="OT26" s="16"/>
      <c r="OU26" s="16"/>
      <c r="OV26" s="16"/>
      <c r="OW26" s="16"/>
      <c r="OX26" s="16"/>
      <c r="OY26" s="16"/>
      <c r="OZ26" s="16"/>
      <c r="PA26" s="16"/>
      <c r="PB26" s="16"/>
      <c r="PC26" s="16"/>
      <c r="PD26" s="16"/>
      <c r="PE26" s="16"/>
      <c r="PF26" s="16"/>
      <c r="PG26" s="16"/>
      <c r="PH26" s="16"/>
      <c r="PI26" s="11" t="str">
        <f t="shared" si="166"/>
        <v/>
      </c>
      <c r="PJ26" s="11" t="str">
        <f t="shared" si="167"/>
        <v/>
      </c>
      <c r="PK26" s="11" t="str">
        <f t="shared" si="168"/>
        <v/>
      </c>
      <c r="PL26" s="11" t="str">
        <f t="shared" si="169"/>
        <v/>
      </c>
      <c r="PM26" s="11" t="str">
        <f t="shared" si="170"/>
        <v/>
      </c>
      <c r="PN26" s="11" t="str">
        <f t="shared" si="171"/>
        <v/>
      </c>
      <c r="PO26" s="11" t="str">
        <f t="shared" si="172"/>
        <v/>
      </c>
      <c r="PP26" s="11" t="str">
        <f t="shared" si="173"/>
        <v/>
      </c>
      <c r="PQ26" s="11" t="str">
        <f t="shared" si="174"/>
        <v/>
      </c>
      <c r="PR26" s="11" t="str">
        <f t="shared" si="175"/>
        <v/>
      </c>
      <c r="PS26" s="11" t="str">
        <f t="shared" si="176"/>
        <v/>
      </c>
      <c r="PT26" s="11" t="str">
        <f t="shared" si="177"/>
        <v/>
      </c>
      <c r="PU26" s="11" t="str">
        <f t="shared" si="178"/>
        <v/>
      </c>
      <c r="PV26" s="11" t="str">
        <f t="shared" si="179"/>
        <v/>
      </c>
      <c r="PW26" s="15"/>
      <c r="PX26" s="15"/>
      <c r="PY26" s="15"/>
      <c r="PZ26" s="15"/>
      <c r="QA26" s="15"/>
      <c r="QB26" s="15"/>
      <c r="QC26" s="15"/>
      <c r="QD26" s="15"/>
      <c r="QE26" s="15"/>
      <c r="QF26" s="15"/>
      <c r="QG26" s="15"/>
      <c r="QH26" s="15"/>
      <c r="QI26" s="15"/>
      <c r="QJ26" s="15"/>
      <c r="QK26" s="15"/>
      <c r="QL26" s="15"/>
      <c r="QM26" s="15"/>
      <c r="QN26" s="15"/>
      <c r="QO26" s="15"/>
      <c r="QP26" s="15"/>
      <c r="QQ26" s="36" t="str">
        <f t="shared" si="180"/>
        <v/>
      </c>
      <c r="QR26" s="36" t="str">
        <f t="shared" si="181"/>
        <v/>
      </c>
      <c r="QS26" s="36" t="str">
        <f t="shared" si="182"/>
        <v/>
      </c>
      <c r="QT26" s="36" t="str">
        <f t="shared" si="183"/>
        <v/>
      </c>
      <c r="QU26" s="36" t="str">
        <f t="shared" si="184"/>
        <v/>
      </c>
      <c r="QV26" s="36" t="str">
        <f t="shared" si="185"/>
        <v/>
      </c>
      <c r="QW26" s="36" t="str">
        <f t="shared" si="186"/>
        <v/>
      </c>
      <c r="QX26" s="36" t="str">
        <f t="shared" si="187"/>
        <v/>
      </c>
      <c r="QY26" s="36" t="str">
        <f t="shared" si="188"/>
        <v/>
      </c>
      <c r="QZ26" s="36" t="str">
        <f t="shared" si="189"/>
        <v/>
      </c>
      <c r="RA26" s="36" t="str">
        <f t="shared" si="190"/>
        <v/>
      </c>
      <c r="RB26" s="36" t="str">
        <f t="shared" si="191"/>
        <v/>
      </c>
      <c r="RC26" s="36" t="str">
        <f t="shared" si="192"/>
        <v/>
      </c>
      <c r="RD26" s="36" t="str">
        <f t="shared" si="193"/>
        <v/>
      </c>
      <c r="RE26" s="16"/>
      <c r="RF26" s="16"/>
      <c r="RG26" s="16"/>
      <c r="RH26" s="16"/>
      <c r="RI26" s="16"/>
      <c r="RJ26" s="16"/>
      <c r="RK26" s="16"/>
      <c r="RL26" s="16"/>
      <c r="RM26" s="16"/>
      <c r="RN26" s="16"/>
      <c r="RO26" s="16"/>
      <c r="RP26" s="16"/>
      <c r="RQ26" s="16"/>
      <c r="RR26" s="16"/>
      <c r="RS26" s="16"/>
      <c r="RT26" s="16"/>
      <c r="RU26" s="16"/>
      <c r="RV26" s="16"/>
      <c r="RW26" s="16"/>
      <c r="RX26" s="16"/>
      <c r="RY26" s="11" t="str">
        <f t="shared" si="194"/>
        <v/>
      </c>
      <c r="RZ26" s="11" t="str">
        <f t="shared" si="195"/>
        <v/>
      </c>
      <c r="SA26" s="11" t="str">
        <f t="shared" si="196"/>
        <v/>
      </c>
      <c r="SB26" s="11" t="str">
        <f t="shared" si="197"/>
        <v/>
      </c>
      <c r="SC26" s="11" t="str">
        <f t="shared" si="198"/>
        <v/>
      </c>
      <c r="SD26" s="11" t="str">
        <f t="shared" si="199"/>
        <v/>
      </c>
      <c r="SE26" s="11" t="str">
        <f t="shared" si="200"/>
        <v/>
      </c>
      <c r="SF26" s="11" t="str">
        <f t="shared" si="201"/>
        <v/>
      </c>
      <c r="SG26" s="11" t="str">
        <f t="shared" si="202"/>
        <v/>
      </c>
      <c r="SH26" s="11" t="str">
        <f t="shared" si="203"/>
        <v/>
      </c>
      <c r="SI26" s="11" t="str">
        <f t="shared" si="204"/>
        <v/>
      </c>
      <c r="SJ26" s="11" t="str">
        <f t="shared" si="205"/>
        <v/>
      </c>
      <c r="SK26" s="11" t="str">
        <f t="shared" si="206"/>
        <v/>
      </c>
      <c r="SL26" s="11" t="str">
        <f t="shared" si="207"/>
        <v/>
      </c>
      <c r="SM26" s="15"/>
      <c r="SN26" s="15"/>
      <c r="SO26" s="15"/>
      <c r="SP26" s="15"/>
      <c r="SQ26" s="15"/>
      <c r="SR26" s="15"/>
      <c r="SS26" s="15"/>
      <c r="ST26" s="15"/>
      <c r="SU26" s="15"/>
      <c r="SV26" s="15"/>
      <c r="SW26" s="15"/>
      <c r="SX26" s="15"/>
      <c r="SY26" s="15"/>
      <c r="SZ26" s="15"/>
      <c r="TA26" s="15"/>
      <c r="TB26" s="15"/>
      <c r="TC26" s="15"/>
      <c r="TD26" s="15"/>
      <c r="TE26" s="15"/>
      <c r="TF26" s="15"/>
      <c r="TG26" s="36" t="str">
        <f t="shared" si="208"/>
        <v/>
      </c>
      <c r="TH26" s="36" t="str">
        <f t="shared" si="209"/>
        <v/>
      </c>
      <c r="TI26" s="36" t="str">
        <f t="shared" si="210"/>
        <v/>
      </c>
      <c r="TJ26" s="36" t="str">
        <f t="shared" si="211"/>
        <v/>
      </c>
      <c r="TK26" s="36" t="str">
        <f t="shared" si="212"/>
        <v/>
      </c>
      <c r="TL26" s="36" t="str">
        <f t="shared" si="213"/>
        <v/>
      </c>
      <c r="TM26" s="36" t="str">
        <f t="shared" si="214"/>
        <v/>
      </c>
      <c r="TN26" s="36" t="str">
        <f t="shared" si="215"/>
        <v/>
      </c>
      <c r="TO26" s="36" t="str">
        <f t="shared" si="216"/>
        <v/>
      </c>
      <c r="TP26" s="36" t="str">
        <f t="shared" si="217"/>
        <v/>
      </c>
      <c r="TQ26" s="36" t="str">
        <f t="shared" si="218"/>
        <v/>
      </c>
      <c r="TR26" s="36" t="str">
        <f t="shared" si="219"/>
        <v/>
      </c>
      <c r="TS26" s="36" t="str">
        <f t="shared" si="220"/>
        <v/>
      </c>
      <c r="TT26" s="36" t="str">
        <f t="shared" si="221"/>
        <v/>
      </c>
      <c r="TU26" s="16"/>
      <c r="TV26" s="16"/>
      <c r="TW26" s="16"/>
      <c r="TX26" s="16"/>
      <c r="TY26" s="16"/>
      <c r="TZ26" s="16"/>
      <c r="UA26" s="16"/>
      <c r="UB26" s="16"/>
      <c r="UC26" s="16"/>
      <c r="UD26" s="16"/>
      <c r="UE26" s="16"/>
      <c r="UF26" s="16"/>
      <c r="UG26" s="16"/>
      <c r="UH26" s="16"/>
      <c r="UI26" s="16"/>
      <c r="UJ26" s="16"/>
      <c r="UK26" s="16"/>
      <c r="UL26" s="16"/>
      <c r="UM26" s="16"/>
      <c r="UN26" s="16"/>
      <c r="UO26" s="11" t="str">
        <f t="shared" si="222"/>
        <v/>
      </c>
      <c r="UP26" s="11" t="str">
        <f t="shared" si="223"/>
        <v/>
      </c>
      <c r="UQ26" s="11" t="str">
        <f t="shared" si="224"/>
        <v/>
      </c>
      <c r="UR26" s="11" t="str">
        <f t="shared" si="225"/>
        <v/>
      </c>
      <c r="US26" s="11" t="str">
        <f t="shared" si="226"/>
        <v/>
      </c>
      <c r="UT26" s="11" t="str">
        <f t="shared" si="227"/>
        <v/>
      </c>
      <c r="UU26" s="11" t="str">
        <f t="shared" si="228"/>
        <v/>
      </c>
      <c r="UV26" s="11" t="str">
        <f t="shared" si="229"/>
        <v/>
      </c>
      <c r="UW26" s="11" t="str">
        <f t="shared" si="230"/>
        <v/>
      </c>
      <c r="UX26" s="11" t="str">
        <f t="shared" si="231"/>
        <v/>
      </c>
      <c r="UY26" s="11" t="str">
        <f t="shared" si="232"/>
        <v/>
      </c>
      <c r="UZ26" s="11" t="str">
        <f t="shared" si="233"/>
        <v/>
      </c>
      <c r="VA26" s="11" t="str">
        <f t="shared" si="234"/>
        <v/>
      </c>
      <c r="VB26" s="11" t="str">
        <f t="shared" si="235"/>
        <v/>
      </c>
      <c r="VC26" s="15"/>
      <c r="VD26" s="15"/>
      <c r="VE26" s="15"/>
      <c r="VF26" s="15"/>
      <c r="VG26" s="15"/>
      <c r="VH26" s="15"/>
      <c r="VI26" s="15"/>
      <c r="VJ26" s="15"/>
      <c r="VK26" s="15"/>
      <c r="VL26" s="15"/>
      <c r="VM26" s="15"/>
      <c r="VN26" s="15"/>
      <c r="VO26" s="15"/>
      <c r="VP26" s="15"/>
      <c r="VQ26" s="15"/>
      <c r="VR26" s="15"/>
      <c r="VS26" s="15"/>
      <c r="VT26" s="15"/>
      <c r="VU26" s="15"/>
      <c r="VV26" s="15"/>
      <c r="VW26" s="36" t="str">
        <f t="shared" si="236"/>
        <v/>
      </c>
      <c r="VX26" s="36" t="str">
        <f t="shared" si="237"/>
        <v/>
      </c>
      <c r="VY26" s="36" t="str">
        <f t="shared" si="238"/>
        <v/>
      </c>
      <c r="VZ26" s="36" t="str">
        <f t="shared" si="239"/>
        <v/>
      </c>
      <c r="WA26" s="36" t="str">
        <f t="shared" si="240"/>
        <v/>
      </c>
      <c r="WB26" s="36" t="str">
        <f t="shared" si="241"/>
        <v/>
      </c>
      <c r="WC26" s="36" t="str">
        <f t="shared" si="242"/>
        <v/>
      </c>
      <c r="WD26" s="36" t="str">
        <f t="shared" si="243"/>
        <v/>
      </c>
      <c r="WE26" s="36" t="str">
        <f t="shared" si="244"/>
        <v/>
      </c>
      <c r="WF26" s="36" t="str">
        <f t="shared" si="245"/>
        <v/>
      </c>
      <c r="WG26" s="36" t="str">
        <f t="shared" si="246"/>
        <v/>
      </c>
      <c r="WH26" s="36" t="str">
        <f t="shared" si="247"/>
        <v/>
      </c>
      <c r="WI26" s="36" t="str">
        <f t="shared" si="248"/>
        <v/>
      </c>
      <c r="WJ26" s="36" t="str">
        <f t="shared" si="249"/>
        <v/>
      </c>
    </row>
    <row r="27" spans="1:608" x14ac:dyDescent="0.2">
      <c r="A27" s="4" t="str" cm="1">
        <f t="array" ref="A27">IF(AND(H27&lt;&gt;"",H27&lt;&gt;"No DD",I27&lt;&gt;"P"),SUMPRODUCT((H$4:H$28&lt;&gt;"")*(H$4:H$28&lt;&gt;"No DD")*(I$4:I$28&lt;&gt;"P")*(E$4:E$28&gt;E27))+1,IF(H27="No DD",SUMPRODUCT((H$4:H$28="No DD")*(I$4:I$28&lt;&gt;"P")*(E$4:E$28&gt;E27))+1+SUMPRODUCT((H$4:H$28&lt;&gt;"")*(I$4:I$28&lt;&gt;"P")*(H$4:H$28&lt;&gt;"No DD")),""))</f>
        <v/>
      </c>
      <c r="B27" s="5" t="s">
        <v>194</v>
      </c>
      <c r="C27" s="4" t="s">
        <v>6</v>
      </c>
      <c r="D27" s="4">
        <v>2007</v>
      </c>
      <c r="E27" s="9">
        <f t="shared" si="0"/>
        <v>54.360005436004904</v>
      </c>
      <c r="F27" s="3" t="str">
        <f>IF(OR(AND(AG27&gt;=AQ$30,AG27&lt;&gt;"",AI27&gt;=AQ$34,AI27&lt;&gt;"",AF27=""),AND(AJ27&gt;=AQ$30,AJ27&lt;&gt;"",AL27&gt;=AQ$34,AL27&lt;&gt;"",AF27=""),AND(AN27&gt;=AQ$30,AN27&lt;&gt;"",AP27&gt;=AQ$34,AP27&lt;&gt;"",AF27=""),AND(BH27&gt;=BR$30,BH27&lt;&gt;"",BJ27&gt;=BR$34,BJ27&lt;&gt;"",BG27=""),AND(BK27&gt;=BR$30,BK27&lt;&gt;"",BM27&gt;=BR$34,BM27&lt;&gt;"",BG27=""),AND(BO27&gt;=BR$30,BO27&lt;&gt;"",BQ27&gt;=BR$34,BQ27&lt;&gt;"",BG27=""),AND(CI27&gt;=CS$30,CI27&lt;&gt;"",CK27&gt;=CS$34,CK27&lt;&gt;"",CH27=""),AND(CL27&gt;=CS$30,CL27&lt;&gt;"",CN27&gt;=CS$34,CN27&lt;&gt;"",CH27=""),AND(CP27&gt;=CS$30,CP27&lt;&gt;"",CR27&gt;=CS$34,CR27&lt;&gt;"",CH27=""),AND(DO27&gt;=EB$30,DO27&lt;&gt;"",DQ27&gt;=EB$34,DQ27&lt;&gt;""),AND(DR27&gt;=EB$30,DR27&lt;&gt;"",DT27&gt;=EB$34,DT27&lt;&gt;""),AND(DV27&gt;=EB$30,DV27&lt;&gt;"",DX27&gt;=EB$34,DX27&lt;&gt;""),AND(DY27&gt;=EB$30,DY27&lt;&gt;"",EA27&gt;=EB$34,EA27&lt;&gt;""),AND(EW27&gt;=FJ$30,EW27&lt;&gt;"",EY27&gt;=FJ$34,EY27&lt;&gt;""),AND(EZ27&gt;=FJ$30,EZ27&lt;&gt;"",FB27&gt;=FJ$34,FB27&lt;&gt;""),AND(FD27&gt;=FJ$30,FD27&lt;&gt;"",FF27&gt;=FJ$34,FF27&lt;&gt;""),AND(FG27&gt;=FJ$30,FG27&lt;&gt;"",FI27&gt;=FJ$34,FI27&lt;&gt;""),AND(GE27&gt;=GR$30,GE27&lt;&gt;"",GG27&gt;=GR$34,GG27&lt;&gt;""),AND(GH27&gt;=GR$30,GH27&lt;&gt;"",GJ27&gt;=GR$34,GJ27&lt;&gt;""),AND(GL27&gt;=GR$30,GL27&lt;&gt;"",GN27&gt;=GR$34,GN27&lt;&gt;""),AND(GO27&gt;=GR$30,GO27&lt;&gt;"",GQ27&gt;=GR$34,GQ27&lt;&gt;""),AND(HM27&gt;=HZ$30,HM27&lt;&gt;"",HO27&gt;=HZ$34,HO27&lt;&gt;""),AND(HP27&gt;=HZ$30,HP27&lt;&gt;"",HR27&gt;=HZ$34,HR27&lt;&gt;""),AND(HT27&gt;=HZ$30,HT27&lt;&gt;"",HV27&gt;=HZ$34,HV27&lt;&gt;""),AND(HW27&gt;=HZ$30,HW27&lt;&gt;"",HY27&gt;=HZ$34,HY27&lt;&gt;""),AND(IU27&gt;=JH$30,IU27&lt;&gt;"",IW27&gt;=JH$34,IW27&lt;&gt;""),AND(IX27&gt;=JH$30,IX27&lt;&gt;"",IZ27&gt;=JH$34,IZ27&lt;&gt;""),AND(JB27&gt;=JH$30,JB27&lt;&gt;"",JD27&gt;=JH$34,JD27&lt;&gt;""),AND(JE27&gt;=JH$30,JE27&lt;&gt;"",JG27&gt;=JH$34,JG27&lt;&gt;""),AND(KC27&gt;=KP$30,KC27&lt;&gt;"",KE27&gt;=KP$34,KE27&lt;&gt;""),AND(KF27&gt;=KP$30,KF27&lt;&gt;"",KH27&gt;=KP$34,KH27&lt;&gt;""),AND(KJ27&gt;=KP$30,KJ27&lt;&gt;"",KL27&gt;=KP$34,KL27&lt;&gt;""),AND(KM27&gt;=KP$30,KM27&lt;&gt;"",KO27&gt;=KP$34,KO27&lt;&gt;""),AND(LK27&gt;=LX$30,LK27&lt;&gt;"",LM27&gt;=LX$34,LM27&lt;&gt;""),AND(LN27&gt;=LX$30,LN27&lt;&gt;"",LP27&gt;=LX$34,LP27&lt;&gt;""),AND(LR27&gt;=LX$30,LR27&lt;&gt;"",LT27&gt;=LX$34,LT27&lt;&gt;""),AND(LU27&gt;=LX$30,LU27&lt;&gt;"",LW27&gt;=LX$34,LW27&lt;&gt;""),AND(MS27&gt;=NF$30,MS27&lt;&gt;"",MU27&gt;=NF$34,MU27&lt;&gt;""),AND(MV27&gt;=NF$30,MV27&lt;&gt;"",MX27&gt;=NF$34,MX27&lt;&gt;""),AND(MZ27&gt;=NF$30,MZ27&lt;&gt;"",NB27&gt;=NF$34,NB27&lt;&gt;""),AND(NC27&gt;=NF$30,NC27&lt;&gt;"",NE27&gt;=NF$34,NE27&lt;&gt;""),AND(OA27&gt;=ON$30,OA27&lt;&gt;"",OC27&gt;=ON$34,OC27&lt;&gt;""),AND(OD27&gt;=ON$30,OD27&lt;&gt;"",OF27&gt;=ON$34,OF27&lt;&gt;""),AND(OH27&gt;=ON$30,OH27&lt;&gt;"",OJ27&gt;=ON$34,OJ27&lt;&gt;""),AND(OK27&gt;=ON$30,OK27&lt;&gt;"",OM27&gt;=ON$34,OM27&lt;&gt;""),AND(PI27&gt;=PV$30,PI27&lt;&gt;"",PK27&gt;=PV$34,PK27&lt;&gt;""),AND(PL27&gt;=PV$30,PL27&lt;&gt;"",PN27&gt;=PV$34,PN27&lt;&gt;""),AND(PP27&gt;=PV$30,PP27&lt;&gt;"",PR27&gt;=PV$34,PR27&lt;&gt;""),AND(PS27&gt;=PV$30,PS27&lt;&gt;"",PU27&gt;=PV$34,PU27&lt;&gt;""),AND(QQ27&gt;=RD$30,QQ27&lt;&gt;"",QS27&gt;=RD$34,QS27&lt;&gt;""),AND(QT27&gt;=RD$30,QT27&lt;&gt;"",QV27&gt;=RD$34,QV27&lt;&gt;""),AND(QX27&gt;=RD$30,QX27&lt;&gt;"",QZ27&gt;=RD$34,QZ27&lt;&gt;""),AND(RA27&gt;=RD$30,RA27&lt;&gt;"",RC27&gt;=RD$34,RC27&lt;&gt;""),AND(RY27&gt;=SL$30,RY27&lt;&gt;"",SA27&gt;=SL$34,SA27&lt;&gt;""),AND(SB27&gt;=SL$30,SB27&lt;&gt;"",SD27&gt;=SL$34,SD27&lt;&gt;""),AND(SF27&gt;=SL$30,SF27&lt;&gt;"",SH27&gt;=SL$34,SH27&lt;&gt;""),AND(SI27&gt;=SL$30,SI27&lt;&gt;"",SK27&gt;=SL$34,SK27&lt;&gt;""),AND(TG27&gt;=TT$30,TG27&lt;&gt;"",TI27&gt;=TT$34,TI27&lt;&gt;""),AND(TJ27&gt;=TT$30,TJ27&lt;&gt;"",TL27&gt;=TT$34,TL27&lt;&gt;""),AND(TN27&gt;=TT$30,TN27&lt;&gt;"",TP27&gt;=TT$34,TXN27&lt;&gt;""),AND(TQ27&gt;=TT$30,TQ27&lt;&gt;"",TS27&gt;=TT$34,TS27&lt;&gt;""),AND(UO27&gt;=VB$30,UO27&lt;&gt;"",UQ27&gt;=VB$34,UQ27&lt;&gt;""),AND(UR27&gt;=VB$30,UR27&lt;&gt;"",UT27&gt;=VB$34,UT27&lt;&gt;""),AND(UV27&gt;=VB$30,UV27&lt;&gt;"",UX27&gt;=VB$34,UX27&lt;&gt;""),AND(UY27&gt;=VB$30,UY27&lt;&gt;"",VA27&gt;=VB$34,VA27&lt;&gt;""),AND(VW27&gt;=WJ$30,VW27&lt;&gt;"",VY27&gt;=WJ$34,VY27&lt;&gt;""),AND(VZ27&gt;=WJ$30,VZ27&lt;&gt;"",WB27&gt;=WJ$34,WB27&lt;&gt;""),AND(WD27&gt;=WJ$30,WD27&lt;&gt;"",WF27&gt;=WJ$34,WF27&lt;&gt;""),AND(WG27&gt;=WJ$30,WG27&lt;&gt;"",WI27&gt;=WJ$34,WI27&lt;&gt;"")),"P","")</f>
        <v/>
      </c>
      <c r="G27" s="3" t="str">
        <f>IF(OR(AND(AI27&gt;=AQ$34,AI27&lt;&gt;"",AF27=""),AND(AL27&gt;=AQ$34,AL27&lt;&gt;"",AF27=""),AND(AP27&gt;=AQ$34,AP27&lt;&gt;"",AF27=""),AND(BJ27&gt;=BR$34,BJ27&lt;&gt;"",BG27=""),AND(BM27&gt;=BR$34,BM27&lt;&gt;"",BG27=""),AND(BQ27&gt;=BR$34,BQ27&lt;&gt;"",BG27=""),AND(CK27&gt;=CS$34,CK27&lt;&gt;"",CH27=""),AND(CN27&gt;=CS$34,CN27&lt;&gt;"",CH27=""),AND(CR27&gt;=CS$34,CR27&lt;&gt;"",CH27=""),AND(DQ27&gt;=EB$34,DQ27&lt;&gt;""),AND(DT27&gt;=EB$34,DT27&lt;&gt;""),AND(DX27&gt;=EB$34,DX27&lt;&gt;""),AND(EA27&gt;=EB$34,EA27&lt;&gt;""),AND(EY27&gt;=FJ$34,EY27&lt;&gt;""),AND(FB27&gt;=FJ$34,FB27&lt;&gt;""),AND(FF27&gt;=FJ$34,FF27&lt;&gt;""),AND(FI27&gt;=FJ$34,FI27&lt;&gt;""),AND(GG27&gt;=GR$34,GG27&lt;&gt;""),AND(GJ27&gt;=GR$34,GJ27&lt;&gt;""),AND(GN27&gt;=GR$34,GN27&lt;&gt;""),AND(GQ27&gt;=GR$34,GQ27&lt;&gt;""),AND(HO27&gt;=HZ$34,HO27&lt;&gt;""),AND(HR27&gt;=HZ$34,HR27&lt;&gt;""),AND(HV27&gt;=HZ$34,HV27&lt;&gt;""),AND(HY27&gt;=HZ$34,HY27&lt;&gt;""),AND(IW27&gt;=JH$34,IW27&lt;&gt;""),AND(IZ27&gt;=JH$34,IZ27&lt;&gt;""),AND(JD27&gt;=JH$34,JD27&lt;&gt;""),AND(JG27&gt;=JH$34,JG27&lt;&gt;""),AND(KE27&gt;=KP$34,KE27&lt;&gt;""),AND(KH27&gt;=KP$34,KH27&lt;&gt;""),AND(KL27&gt;=KP$34,KL27&lt;&gt;""),AND(KO27&gt;=KP$34,KO27&lt;&gt;""),AND(LM27&gt;=LX$34,LM27&lt;&gt;""),AND(LP27&gt;=LX$34,LP27&lt;&gt;""),AND(LT27&gt;=LX$34,LT27&lt;&gt;""),AND(LW27&gt;=LX$34,LW27&lt;&gt;""),AND(MU27&gt;=NF$34,MU27&lt;&gt;""),AND(MX27&gt;=NF$34,MX27&lt;&gt;""),AND(NB27&gt;=NF$34,NB27&lt;&gt;""),AND(NE27&gt;=NF$34,NE27&lt;&gt;""),AND(OC27&gt;=ON$34,OC27&lt;&gt;""),AND(OF27&gt;=ON$34,OF27&lt;&gt;""),AND(OJ27&gt;=ON$34,OJ27&lt;&gt;""),AND(OM27&gt;=ON$34,OM27&lt;&gt;""),AND(PK27&gt;=PV$34,PK27&lt;&gt;""),AND(PN27&gt;=PV$34,PN27&lt;&gt;""),AND(PR27&gt;=PV$34,PR27&lt;&gt;""),AND(PU27&gt;=PV$34,PU27&lt;&gt;""),AND(QS27&gt;=RD$34,QS27&lt;&gt;""),AND(QV27&gt;=RD$34,QV27&lt;&gt;""),AND(QZ27&gt;=RD$34,QZ27&lt;&gt;""),AND(RC27&gt;=RD$34,RC27&lt;&gt;""),AND(SA27&gt;=SL$34,SA27&lt;&gt;""),AND(SD27&gt;=SL$34,SD27&lt;&gt;""),AND(SH27&gt;=SL$34,SH27&lt;&gt;""),AND(SK27&gt;=SL$34,SK27&lt;&gt;""),AND(TI27&gt;=TT$34,TI27&lt;&gt;""),AND(TL27&gt;=TT$34,TL27&lt;&gt;""),AND(TP27&gt;=TT$34,TXN27&lt;&gt;""),AND(TS27&gt;=TT$34,TS27&lt;&gt;""),AND(UQ27&gt;=VB$34,UQ27&lt;&gt;""),AND(UT27&gt;=VB$34,UT27&lt;&gt;""),AND(UX27&gt;=VB$34,UX27&lt;&gt;""),AND(VA27&gt;=VB$34,VA27&lt;&gt;""),AND(VY27&gt;=WJ$34,VY27&lt;&gt;""),AND(WB27&gt;=WJ$34,WB27&lt;&gt;""),AND(WF27&gt;=WJ$34,WF27&lt;&gt;""),AND(WI27&gt;=WJ$34,WI27&lt;&gt;"")),"P","")</f>
        <v/>
      </c>
      <c r="H27" s="32" t="str">
        <f>IF(AND(G27="P",F27=""),"No DD",IF(OR(AND(AG27&gt;=AQ$33,AG27&lt;&gt;"",AI27&gt;=AQ$37,AI27&lt;&gt;"",AF27=""),AND(AJ27&gt;=AQ$33,AJ27&lt;&gt;"",AL27&gt;=AQ$37,AL27&lt;&gt;"",AF27=""),AND(AN27&gt;=AQ$33,AN27&lt;&gt;"",AP27&gt;=AQ$37,AP27&lt;&gt;"",AF27=""),AND(BH27&gt;=BR$33,BH27&lt;&gt;"",BJ27&gt;=BR$37,BJ27&lt;&gt;"",BG27=""),AND(BK27&gt;=BR$33,BK27&lt;&gt;"",BM27&gt;=BR$37,BM27&lt;&gt;"",BG27=""),AND(BO27&gt;=BR$33,BO27&lt;&gt;"",BQ27&gt;=BR$37,BQ27&lt;&gt;"",BG27=""),AND(CI27&gt;=CS$33,CI27&lt;&gt;"",CK27&gt;=CS$37,CK27&lt;&gt;"",CH27=""),AND(CL27&gt;=CS$33,CL27&lt;&gt;"",CN27&gt;=CS$37,CN27&lt;&gt;"",CH27=""),AND(CP27&gt;=CS$33,CP27&lt;&gt;"",CR27&gt;=CS$37,CR27&lt;&gt;"",CH27=""),AND(DO27&gt;=EB$33,DO27&lt;&gt;"",DQ27&gt;=EB$37,DQ27&lt;&gt;""),AND(DR27&gt;=EB$33,DR27&lt;&gt;"",DT27&gt;=EB$37,DT27&lt;&gt;""),AND(DV27&gt;=EB$33,DV27&lt;&gt;"",DX27&gt;=EB$37,DX27&lt;&gt;""),AND(DY27&gt;=EB$33,DY27&lt;&gt;"",EA27&gt;=EB$37,EA27&lt;&gt;""),AND(EW27&gt;=FJ$33,EW27&lt;&gt;"",EY27&gt;=FJ$37,EY27&lt;&gt;""),AND(EZ27&gt;=FJ$33,EZ27&lt;&gt;"",FB27&gt;=FJ$37,FB27&lt;&gt;""),AND(FD27&gt;=FJ$33,FD27&lt;&gt;"",FF27&gt;=FJ$37,FF27&lt;&gt;""),AND(FG27&gt;=FJ$33,FG27&lt;&gt;"",FI27&gt;=FJ$37,FI27&lt;&gt;""),AND(GE27&gt;=GR$33,GE27&lt;&gt;"",GG27&gt;=GR$37,GG27&lt;&gt;""),AND(GH27&gt;=GR$33,GH27&lt;&gt;"",GJ27&gt;=GR$37,GJ27&lt;&gt;""),AND(GL27&gt;=GR$33,GL27&lt;&gt;"",GN27&gt;=GR$37,GN27&lt;&gt;""),AND(GO27&gt;=GR$33,GO27&lt;&gt;"",GQ27&gt;=GR$37,GQ27&lt;&gt;""),AND(HM27&gt;=HZ$33,HM27&lt;&gt;"",HO27&gt;=HZ$37,HO27&lt;&gt;""),AND(HP27&gt;=HZ$33,HP27&lt;&gt;"",HR27&gt;=HZ$37,HR27&lt;&gt;""),AND(HT27&gt;=HZ$33,HT27&lt;&gt;"",HV27&gt;=HZ$37,HV27&lt;&gt;""),AND(HW27&gt;=HZ$33,HW27&lt;&gt;"",HY27&gt;=HZ$37,HY27&lt;&gt;""),AND(IU27&gt;=JH$33,IU27&lt;&gt;"",IW27&gt;=JH$37,IW27&lt;&gt;""),AND(IX27&gt;=JH$33,IX27&lt;&gt;"",IZ27&gt;=JH$37,IZ27&lt;&gt;""),AND(JB27&gt;=JH$33,JB27&lt;&gt;"",JD27&gt;=JH$37,JD27&lt;&gt;""),AND(JE27&gt;=JH$33,JE27&lt;&gt;"",JG27&gt;=JH$37,JG27&lt;&gt;""),AND(KC27&gt;=KP$33,KC27&lt;&gt;"",KE27&gt;=KP$37,KE27&lt;&gt;""),AND(KF27&gt;=KP$33,KF27&lt;&gt;"",KH27&gt;=KP$37,KH27&lt;&gt;""),AND(KJ27&gt;=KP$33,KJ27&lt;&gt;"",KL27&gt;=KP$37,KL27&lt;&gt;""),AND(KM27&gt;=KP$33,KM27&lt;&gt;"",KO27&gt;=KP$37,KO27&lt;&gt;""),AND(LK27&gt;=LX$33,LK27&lt;&gt;"",LM27&gt;=LX$37,LM27&lt;&gt;""),AND(LN27&gt;=LX$33,LN27&lt;&gt;"",LP27&gt;=LX$37,LP27&lt;&gt;""),AND(LR27&gt;=LX$33,LR27&lt;&gt;"",LT27&gt;=LX$37,LT27&lt;&gt;""),AND(LU27&gt;=LX$33,LU27&lt;&gt;"",LW27&gt;=LX$37,LW27&lt;&gt;""),AND(MS27&gt;=NF$33,MS27&lt;&gt;"",MU27&gt;=NF$37,MU27&lt;&gt;""),AND(MV27&gt;=NF$33,MV27&lt;&gt;"",MX27&gt;=NF$37,MX27&lt;&gt;""),AND(MZ27&gt;=NF$33,MZ27&lt;&gt;"",NB27&gt;=NF$37,NB27&lt;&gt;""),AND(NC27&gt;=NF$33,NC27&lt;&gt;"",NE27&gt;=NF$37,NE27&lt;&gt;""),AND(OA27&gt;=ON$33,OA27&lt;&gt;"",OC27&gt;=ON$37,OC27&lt;&gt;""),AND(OD27&gt;=ON$33,OD27&lt;&gt;"",OF27&gt;=ON$37,OF27&lt;&gt;""),AND(OH27&gt;=ON$33,OH27&lt;&gt;"",OJ27&gt;=ON$37,OJ27&lt;&gt;""),AND(OK27&gt;=ON$33,OK27&lt;&gt;"",OM27&gt;=ON$37,OM27&lt;&gt;""),AND(PI27&gt;=PV$33,PI27&lt;&gt;"",PK27&gt;=PV$37,PK27&lt;&gt;""),AND(PL27&gt;=PV$33,PL27&lt;&gt;"",PN27&gt;=PV$37,PN27&lt;&gt;""),AND(PP27&gt;=PV$33,PP27&lt;&gt;"",PR27&gt;=PV$37,PR27&lt;&gt;""),AND(PS27&gt;=PV$33,PS27&lt;&gt;"",PU27&gt;=PV$37,PU27&lt;&gt;""),AND(QQ27&gt;=RD$33,QQ27&lt;&gt;"",QS27&gt;=RD$37,QS27&lt;&gt;""),AND(QT27&gt;=RD$33,QT27&lt;&gt;"",QV27&gt;=RD$37,QV27&lt;&gt;""),AND(QX27&gt;=RD$33,QX27&lt;&gt;"",QZ27&gt;=RD$37,QZ27&lt;&gt;""),AND(RA27&gt;=RD$33,RA27&lt;&gt;"",RC27&gt;=RD$37,RC27&lt;&gt;""),AND(RY27&gt;=SL$33,RY27&lt;&gt;"",SA27&gt;=SL$37,SA27&lt;&gt;""),AND(SB27&gt;=SL$33,SB27&lt;&gt;"",SD27&gt;=SL$37,SD27&lt;&gt;""),AND(SF27&gt;=SL$33,SF27&lt;&gt;"",SH27&gt;=SL$37,SH27&lt;&gt;""),AND(SI27&gt;=SL$33,SI27&lt;&gt;"",SK27&gt;=SL$37,SK27&lt;&gt;""),AND(TG27&gt;=TT$33,TG27&lt;&gt;"",TI27&gt;=TT$37,TI27&lt;&gt;""),AND(TJ27&gt;=TT$33,TJ27&lt;&gt;"",TL27&gt;=TT$37,TL27&lt;&gt;""),AND(TN27&gt;=TT$33,TN27&lt;&gt;"",TP27&gt;=TT$357,TXN27&lt;&gt;""),AND(TQ27&gt;=TT$33,TQ27&lt;&gt;"",TS27&gt;=TT$37,TS27&lt;&gt;""),AND(UO27&gt;=VB$33,UO27&lt;&gt;"",UQ27&gt;=VB$37,UQ27&lt;&gt;""),AND(UR27&gt;=VB$33,UR27&lt;&gt;"",UT27&gt;=VB$37,UT27&lt;&gt;""),AND(UV27&gt;=VB$33,UV27&lt;&gt;"",UX27&gt;=VB$37,UX27&lt;&gt;""),AND(UY27&gt;=VB$33,UY27&lt;&gt;"",VA27&gt;=VB$37,VA27&lt;&gt;""),AND(VW27&gt;=WJ$33,VW27&lt;&gt;"",VY27&gt;=WJ$37,VY27&lt;&gt;""),AND(VZ27&gt;=WJ$33,VZ27&lt;&gt;"",WB27&gt;=WJ$37,WB27&lt;&gt;""),AND(WD27&gt;=WJ$33,WD27&lt;&gt;"",WF27&gt;=WJ$37,WF27&lt;&gt;""),AND(WG27&gt;=WJ$33,WG27&lt;&gt;"",WI27&gt;=WJ$37,WI27&lt;&gt;"")),"Merit",IF(OR(AND(AG27&gt;=AQ$32,AG27&lt;&gt;"",AI27&gt;=AQ$36,AI27&lt;&gt;"",AF27=""),AND(AJ27&gt;=AQ$32,AJ27&lt;&gt;"",AL27&gt;=AQ$36,AL27&lt;&gt;"",AF27=""),AND(AN27&gt;=AQ$32,AN27&lt;&gt;"",AP27&gt;=AQ$36,AP27&lt;&gt;"",AF27=""),AND(BH27&gt;=BR$32,BH27&lt;&gt;"",BJ27&gt;=BR$36,BJ27&lt;&gt;"",BG27=""),AND(BK27&gt;=BR$32,BK27&lt;&gt;"",BM27&gt;=BR$36,BM27&lt;&gt;"",BG27=""),AND(BO27&gt;=BR$32,BO27&lt;&gt;"",BQ27&gt;=BR$36,BQ27&lt;&gt;"",BG27=""),AND(CI27&gt;=CS$32,CI27&lt;&gt;"",CK27&gt;=CS$36,CK27&lt;&gt;"",CH27=""),AND(CL27&gt;=CS$32,CL27&lt;&gt;"",CN27&gt;=CS$36,CN27&lt;&gt;"",CH27=""),AND(CP27&gt;=CS$32,CP27&lt;&gt;"",CR27&gt;=CS$36,CR27&lt;&gt;"",CH27=""),AND(DO27&gt;=EB$32,DO27&lt;&gt;"",DQ27&gt;=EB$36,DQ27&lt;&gt;""),AND(DR27&gt;=EB$32,DR27&lt;&gt;"",DT27&gt;=EB$36,DT27&lt;&gt;""),AND(DV27&gt;=EB$32,DV27&lt;&gt;"",DX27&gt;=EB$36,DX27&lt;&gt;""),AND(DY27&gt;=EB$32,DY27&lt;&gt;"",EA27&gt;=EB$36,EA27&lt;&gt;""),AND(EW27&gt;=FJ$32,EW27&lt;&gt;"",EY27&gt;=FJ$36,EY27&lt;&gt;""),AND(EZ27&gt;=FJ$32,EZ27&lt;&gt;"",FB27&gt;=FJ$36,FB27&lt;&gt;""),AND(FD27&gt;=FJ$32,FD27&lt;&gt;"",FF27&gt;=FJ$36,FF27&lt;&gt;""),AND(FG27&gt;=FJ$32,FG27&lt;&gt;"",FI27&gt;=FJ$36,FI27&lt;&gt;""),AND(GE27&gt;=GR$32,GE27&lt;&gt;"",GG27&gt;=GR$36,GG27&lt;&gt;""),AND(GH27&gt;=GR$32,GH27&lt;&gt;"",GJ27&gt;=GR$36,GJ27&lt;&gt;""),AND(GL27&gt;=GR$32,GL27&lt;&gt;"",GN27&gt;=GR$36,GN27&lt;&gt;""),AND(GO27&gt;=GR$32,GO27&lt;&gt;"",GQ27&gt;=GR$36,GQ27&lt;&gt;""),AND(HM27&gt;=HZ$32,HM27&lt;&gt;"",HO27&gt;=HZ$36,HO27&lt;&gt;""),AND(HP27&gt;=HZ$32,HP27&lt;&gt;"",HR27&gt;=HZ$36,HR27&lt;&gt;""),AND(HT27&gt;=HZ$32,HT27&lt;&gt;"",HV27&gt;=HZ$36,HV27&lt;&gt;""),AND(HW27&gt;=HZ$32,HW27&lt;&gt;"",HY27&gt;=HZ$36,HY27&lt;&gt;""),AND(IU27&gt;=JH$32,IU27&lt;&gt;"",IW27&gt;=JH$36,IW27&lt;&gt;""),AND(IX27&gt;=JH$32,IX27&lt;&gt;"",IZ27&gt;=JH$36,IZ27&lt;&gt;""),AND(JB27&gt;=JH$32,JB27&lt;&gt;"",JD27&gt;=JH$36,JD27&lt;&gt;""),AND(JE27&gt;=JH$32,JE27&lt;&gt;"",JG27&gt;=JH$36,JG27&lt;&gt;""),AND(KC27&gt;=KP$32,KC27&lt;&gt;"",KE27&gt;=KP$36,KE27&lt;&gt;""),AND(KF27&gt;=KP$32,KF27&lt;&gt;"",KH27&gt;=KP$36,KH27&lt;&gt;""),AND(KJ27&gt;=KP$32,KJ27&lt;&gt;"",KL27&gt;=KP$36,KL27&lt;&gt;""),AND(KM27&gt;=KP$32,KM27&lt;&gt;"",KO27&gt;=KP$36,KO27&lt;&gt;""),AND(LK27&gt;=LX$32,LK27&lt;&gt;"",LM27&gt;=LX$36,LM27&lt;&gt;""),AND(LN27&gt;=LX$32,LN27&lt;&gt;"",LP27&gt;=LX$36,LP27&lt;&gt;""),AND(LR27&gt;=LX$32,LR27&lt;&gt;"",LT27&gt;=LX$36,LT27&lt;&gt;""),AND(LU27&gt;=LX$32,LU27&lt;&gt;"",LW27&gt;=LX$36,LW27&lt;&gt;""),AND(MS27&gt;=NF$32,MS27&lt;&gt;"",MU27&gt;=NF$36,MU27&lt;&gt;""),AND(MV27&gt;=NF$32,MV27&lt;&gt;"",MX27&gt;=NF$36,MX27&lt;&gt;""),AND(MZ27&gt;=NF$32,MZ27&lt;&gt;"",NB27&gt;=NF$36,NB27&lt;&gt;""),AND(NC27&gt;=NF$32,NC27&lt;&gt;"",NE27&gt;=NF$36,NE27&lt;&gt;""),AND(OA27&gt;=ON$32,OA27&lt;&gt;"",OC27&gt;=ON$36,OC27&lt;&gt;""),AND(OD27&gt;=ON$32,OD27&lt;&gt;"",OF27&gt;=ON$36,OF27&lt;&gt;""),AND(OH27&gt;=ON$32,OH27&lt;&gt;"",OJ27&gt;=ON$36,OJ27&lt;&gt;""),AND(OK27&gt;=ON$32,OK27&lt;&gt;"",OM27&gt;=ON$36,OM27&lt;&gt;""),AND(PI27&gt;=PV$32,PI27&lt;&gt;"",PK27&gt;=PV$36,PK27&lt;&gt;""),AND(PL27&gt;=PV$32,PL27&lt;&gt;"",PN27&gt;=PV$36,PN27&lt;&gt;""),AND(PP27&gt;=PV$32,PP27&lt;&gt;"",PR27&gt;=PV$36,PR27&lt;&gt;""),AND(PS27&gt;=PV$32,PS27&lt;&gt;"",PU27&gt;=PV$36,PU27&lt;&gt;""),AND(QQ27&gt;=RD$32,QQ27&lt;&gt;"",QS27&gt;=RD$36,QS27&lt;&gt;""),AND(QT27&gt;=RD$32,QT27&lt;&gt;"",QV27&gt;=RD$36,QV27&lt;&gt;""),AND(QX27&gt;=RD$32,QX27&lt;&gt;"",QZ27&gt;=RD$36,QZ27&lt;&gt;""),AND(RA27&gt;=RD$32,RA27&lt;&gt;"",RC27&gt;=RD$36,RC27&lt;&gt;""),AND(RY27&gt;=SL$32,RY27&lt;&gt;"",SA27&gt;=SL$36,SA27&lt;&gt;""),AND(SB27&gt;=SL$32,SB27&lt;&gt;"",SD27&gt;=SL$36,SD27&lt;&gt;""),AND(SF27&gt;=SL$32,SF27&lt;&gt;"",SH27&gt;=SL$36,SH27&lt;&gt;""),AND(SI27&gt;=SL$32,SI27&lt;&gt;"",SK27&gt;=SL$36,SK27&lt;&gt;""),AND(TG27&gt;=TT$32,TG27&lt;&gt;"",TI27&gt;=TT$36,TI27&lt;&gt;""),AND(TJ27&gt;=TT$32,TJ27&lt;&gt;"",TL27&gt;=TT$36,TL27&lt;&gt;""),AND(TN27&gt;=TT$32,TN27&lt;&gt;"",TP27&gt;=TT$36,TXN27&lt;&gt;""),AND(TQ27&gt;=TT$32,TQ27&lt;&gt;"",TS27&gt;=TT$36,TS27&lt;&gt;""),AND(UO27&gt;=VB$32,UO27&lt;&gt;"",UQ27&gt;=VB$36,UQ27&lt;&gt;""),AND(UR27&gt;=VB$32,UR27&lt;&gt;"",UT27&gt;=VB$36,UT27&lt;&gt;""),AND(UV27&gt;=VB$32,UV27&lt;&gt;"",UX27&gt;=VB$36,UX27&lt;&gt;""),AND(UY27&gt;=VB$32,UY27&lt;&gt;"",VA27&gt;=VB$36,VA27&lt;&gt;""),AND(VW27&gt;=WJ$32,VW27&lt;&gt;"",VY27&gt;=WJ$36,VY27&lt;&gt;""),AND(VZ27&gt;=WJ$32,VZ27&lt;&gt;"",WB27&gt;=WJ$36,WB27&lt;&gt;""),AND(WD27&gt;=WJ$32,WD27&lt;&gt;"",WF27&gt;=WJ$36,WF27&lt;&gt;""),AND(WG27&gt;=WJ$32,WG27&lt;&gt;"",WI27&gt;=WJ$36,WI27&lt;&gt;"")),"Excellence",IF(I27="P","National Team",IF(F27="P","National Team","")))))</f>
        <v/>
      </c>
      <c r="I27" s="3" t="str">
        <f>IF(COUNTIFS('Senior-M'!B:B,B27,'Senior-M'!A:A,"&lt;9",'Senior-M'!H:H,"&lt;&gt;"&amp;"No DD"),"P","")</f>
        <v/>
      </c>
      <c r="J27" s="8">
        <f t="shared" si="1"/>
        <v>49.06</v>
      </c>
      <c r="K27" s="8" t="str">
        <f t="shared" si="2"/>
        <v>2025 Nationals</v>
      </c>
      <c r="L27" s="8">
        <f>IFERROR(LARGE((AI27,AL27,AP27,BJ27,BM27,BQ27,CK27,CN27,CR27),2),0)</f>
        <v>5.3</v>
      </c>
      <c r="M27" s="8" t="str">
        <f t="shared" si="3"/>
        <v>2025 Nationals</v>
      </c>
      <c r="N27" s="8">
        <f t="shared" si="4"/>
        <v>0</v>
      </c>
      <c r="O27" s="11" t="str">
        <f>IF(N27=0,"",IF(N27=CT27,"("&amp;CT$2&amp;")",IF(N27=#REF!,"("&amp;#REF!&amp;")")))</f>
        <v/>
      </c>
      <c r="P27" s="8" t="str">
        <f t="shared" si="5"/>
        <v/>
      </c>
      <c r="Q27" s="18">
        <v>1.5</v>
      </c>
      <c r="R27" s="18">
        <v>0.8</v>
      </c>
      <c r="S27" s="18">
        <v>1.5</v>
      </c>
      <c r="T27" s="18">
        <v>1.5</v>
      </c>
      <c r="U27" s="18">
        <v>0</v>
      </c>
      <c r="V27" s="18">
        <v>1.4</v>
      </c>
      <c r="W27" s="18">
        <v>0.8</v>
      </c>
      <c r="X27" s="18">
        <v>1.5</v>
      </c>
      <c r="Y27" s="18">
        <v>1.51</v>
      </c>
      <c r="Z27" s="18">
        <v>0</v>
      </c>
      <c r="AA27" s="18">
        <v>14.4</v>
      </c>
      <c r="AB27" s="18">
        <v>9</v>
      </c>
      <c r="AC27" s="18">
        <v>11.8</v>
      </c>
      <c r="AD27" s="18">
        <v>14.36</v>
      </c>
      <c r="AE27" s="18">
        <v>0.5</v>
      </c>
      <c r="AF27" s="23"/>
      <c r="AG27" s="34">
        <f t="shared" si="6"/>
        <v>1.5</v>
      </c>
      <c r="AH27" s="34">
        <f t="shared" si="7"/>
        <v>1.5</v>
      </c>
      <c r="AI27" s="36">
        <f t="shared" si="8"/>
        <v>5.3</v>
      </c>
      <c r="AJ27" s="36">
        <f t="shared" si="9"/>
        <v>1.5</v>
      </c>
      <c r="AK27" s="36">
        <f t="shared" si="10"/>
        <v>1.51</v>
      </c>
      <c r="AL27" s="36">
        <f t="shared" si="11"/>
        <v>5.21</v>
      </c>
      <c r="AM27" s="36">
        <f t="shared" si="12"/>
        <v>5.3</v>
      </c>
      <c r="AN27" s="36">
        <f t="shared" si="13"/>
        <v>11.8</v>
      </c>
      <c r="AO27" s="36">
        <f t="shared" si="14"/>
        <v>14.36</v>
      </c>
      <c r="AP27" s="36">
        <f t="shared" si="15"/>
        <v>49.06</v>
      </c>
      <c r="AQ27" s="36">
        <f t="shared" si="16"/>
        <v>54.36</v>
      </c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4"/>
      <c r="BH27" s="35" t="str">
        <f t="shared" si="17"/>
        <v/>
      </c>
      <c r="BI27" s="35" t="str">
        <f t="shared" si="18"/>
        <v/>
      </c>
      <c r="BJ27" s="11" t="str">
        <f t="shared" si="19"/>
        <v/>
      </c>
      <c r="BK27" s="11" t="str">
        <f t="shared" si="20"/>
        <v/>
      </c>
      <c r="BL27" s="11" t="str">
        <f t="shared" si="21"/>
        <v/>
      </c>
      <c r="BM27" s="11" t="str">
        <f t="shared" si="22"/>
        <v/>
      </c>
      <c r="BN27" s="11" t="str">
        <f t="shared" si="23"/>
        <v/>
      </c>
      <c r="BO27" s="11" t="str">
        <f t="shared" si="24"/>
        <v/>
      </c>
      <c r="BP27" s="11" t="str">
        <f t="shared" si="25"/>
        <v/>
      </c>
      <c r="BQ27" s="11" t="str">
        <f t="shared" si="26"/>
        <v/>
      </c>
      <c r="BR27" s="11" t="str">
        <f t="shared" si="27"/>
        <v/>
      </c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23"/>
      <c r="CI27" s="34" t="str">
        <f t="shared" si="28"/>
        <v/>
      </c>
      <c r="CJ27" s="34" t="str">
        <f t="shared" si="29"/>
        <v/>
      </c>
      <c r="CK27" s="36" t="str">
        <f t="shared" si="30"/>
        <v/>
      </c>
      <c r="CL27" s="36" t="str">
        <f t="shared" si="31"/>
        <v/>
      </c>
      <c r="CM27" s="36" t="str">
        <f t="shared" si="32"/>
        <v/>
      </c>
      <c r="CN27" s="36" t="str">
        <f t="shared" si="33"/>
        <v/>
      </c>
      <c r="CO27" s="36" t="str">
        <f t="shared" si="34"/>
        <v/>
      </c>
      <c r="CP27" s="36" t="str">
        <f t="shared" si="35"/>
        <v/>
      </c>
      <c r="CQ27" s="36" t="str">
        <f t="shared" si="36"/>
        <v/>
      </c>
      <c r="CR27" s="36" t="str">
        <f t="shared" si="37"/>
        <v/>
      </c>
      <c r="CS27" s="36" t="str">
        <f t="shared" si="38"/>
        <v/>
      </c>
      <c r="CT27" s="47" t="str">
        <f t="shared" si="39"/>
        <v/>
      </c>
      <c r="CU27" s="15"/>
      <c r="CV27" s="15"/>
      <c r="CW27" s="15"/>
      <c r="CX27" s="15"/>
      <c r="CY27" s="15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36" t="str">
        <f t="shared" si="40"/>
        <v/>
      </c>
      <c r="DP27" s="36" t="str">
        <f t="shared" si="41"/>
        <v/>
      </c>
      <c r="DQ27" s="36" t="str">
        <f t="shared" si="42"/>
        <v/>
      </c>
      <c r="DR27" s="36" t="str">
        <f t="shared" si="43"/>
        <v/>
      </c>
      <c r="DS27" s="36" t="str">
        <f t="shared" si="44"/>
        <v/>
      </c>
      <c r="DT27" s="36" t="str">
        <f t="shared" si="45"/>
        <v/>
      </c>
      <c r="DU27" s="36" t="str">
        <f t="shared" si="46"/>
        <v/>
      </c>
      <c r="DV27" s="36" t="str">
        <f t="shared" si="47"/>
        <v/>
      </c>
      <c r="DW27" s="36" t="str">
        <f t="shared" si="48"/>
        <v/>
      </c>
      <c r="DX27" s="36" t="str">
        <f t="shared" si="49"/>
        <v/>
      </c>
      <c r="DY27" s="36" t="str">
        <f t="shared" si="50"/>
        <v/>
      </c>
      <c r="DZ27" s="36" t="str">
        <f t="shared" si="51"/>
        <v/>
      </c>
      <c r="EA27" s="36" t="str">
        <f t="shared" si="52"/>
        <v/>
      </c>
      <c r="EB27" s="36" t="str">
        <f t="shared" si="53"/>
        <v/>
      </c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16"/>
      <c r="EN27" s="16"/>
      <c r="EO27" s="16"/>
      <c r="EP27" s="16"/>
      <c r="EQ27" s="16"/>
      <c r="ER27" s="16"/>
      <c r="ES27" s="16"/>
      <c r="ET27" s="16"/>
      <c r="EU27" s="16"/>
      <c r="EV27" s="16"/>
      <c r="EW27" s="11" t="str">
        <f t="shared" si="54"/>
        <v/>
      </c>
      <c r="EX27" s="11" t="str">
        <f t="shared" si="55"/>
        <v/>
      </c>
      <c r="EY27" s="11" t="str">
        <f t="shared" si="56"/>
        <v/>
      </c>
      <c r="EZ27" s="11" t="str">
        <f t="shared" si="57"/>
        <v/>
      </c>
      <c r="FA27" s="11" t="str">
        <f t="shared" si="58"/>
        <v/>
      </c>
      <c r="FB27" s="11" t="str">
        <f t="shared" si="59"/>
        <v/>
      </c>
      <c r="FC27" s="11" t="str">
        <f t="shared" si="60"/>
        <v/>
      </c>
      <c r="FD27" s="11" t="str">
        <f t="shared" si="61"/>
        <v/>
      </c>
      <c r="FE27" s="11" t="str">
        <f t="shared" si="62"/>
        <v/>
      </c>
      <c r="FF27" s="11" t="str">
        <f t="shared" si="63"/>
        <v/>
      </c>
      <c r="FG27" s="11" t="str">
        <f t="shared" si="64"/>
        <v/>
      </c>
      <c r="FH27" s="11" t="str">
        <f t="shared" si="65"/>
        <v/>
      </c>
      <c r="FI27" s="11" t="str">
        <f t="shared" si="66"/>
        <v/>
      </c>
      <c r="FJ27" s="11" t="str">
        <f t="shared" si="67"/>
        <v/>
      </c>
      <c r="FK27" s="15"/>
      <c r="FL27" s="15"/>
      <c r="FM27" s="15"/>
      <c r="FN27" s="15"/>
      <c r="FO27" s="15"/>
      <c r="FP27" s="15"/>
      <c r="FQ27" s="15"/>
      <c r="FR27" s="15"/>
      <c r="FS27" s="15"/>
      <c r="FT27" s="15"/>
      <c r="FU27" s="15"/>
      <c r="FV27" s="15"/>
      <c r="FW27" s="15"/>
      <c r="FX27" s="15"/>
      <c r="FY27" s="15"/>
      <c r="FZ27" s="15"/>
      <c r="GA27" s="15"/>
      <c r="GB27" s="15"/>
      <c r="GC27" s="15"/>
      <c r="GD27" s="15"/>
      <c r="GE27" s="36" t="str">
        <f t="shared" si="68"/>
        <v/>
      </c>
      <c r="GF27" s="36" t="str">
        <f t="shared" si="69"/>
        <v/>
      </c>
      <c r="GG27" s="36" t="str">
        <f t="shared" si="70"/>
        <v/>
      </c>
      <c r="GH27" s="36" t="str">
        <f t="shared" si="71"/>
        <v/>
      </c>
      <c r="GI27" s="36" t="str">
        <f t="shared" si="72"/>
        <v/>
      </c>
      <c r="GJ27" s="36" t="str">
        <f t="shared" si="73"/>
        <v/>
      </c>
      <c r="GK27" s="36" t="str">
        <f t="shared" si="74"/>
        <v/>
      </c>
      <c r="GL27" s="36" t="str">
        <f t="shared" si="75"/>
        <v/>
      </c>
      <c r="GM27" s="36" t="str">
        <f t="shared" si="76"/>
        <v/>
      </c>
      <c r="GN27" s="36" t="str">
        <f t="shared" si="77"/>
        <v/>
      </c>
      <c r="GO27" s="36" t="str">
        <f t="shared" si="78"/>
        <v/>
      </c>
      <c r="GP27" s="36" t="str">
        <f t="shared" si="79"/>
        <v/>
      </c>
      <c r="GQ27" s="36" t="str">
        <f t="shared" si="80"/>
        <v/>
      </c>
      <c r="GR27" s="36" t="str">
        <f t="shared" si="81"/>
        <v/>
      </c>
      <c r="GS27" s="16"/>
      <c r="GT27" s="16"/>
      <c r="GU27" s="16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1" t="str">
        <f t="shared" si="82"/>
        <v/>
      </c>
      <c r="HN27" s="11" t="str">
        <f t="shared" si="83"/>
        <v/>
      </c>
      <c r="HO27" s="11" t="str">
        <f t="shared" si="84"/>
        <v/>
      </c>
      <c r="HP27" s="11" t="str">
        <f t="shared" si="85"/>
        <v/>
      </c>
      <c r="HQ27" s="11" t="str">
        <f t="shared" si="86"/>
        <v/>
      </c>
      <c r="HR27" s="11" t="str">
        <f t="shared" si="87"/>
        <v/>
      </c>
      <c r="HS27" s="11" t="str">
        <f t="shared" si="88"/>
        <v/>
      </c>
      <c r="HT27" s="11" t="str">
        <f t="shared" si="89"/>
        <v/>
      </c>
      <c r="HU27" s="11" t="str">
        <f t="shared" si="90"/>
        <v/>
      </c>
      <c r="HV27" s="11" t="str">
        <f t="shared" si="91"/>
        <v/>
      </c>
      <c r="HW27" s="11" t="str">
        <f t="shared" si="92"/>
        <v/>
      </c>
      <c r="HX27" s="11" t="str">
        <f t="shared" si="93"/>
        <v/>
      </c>
      <c r="HY27" s="11" t="str">
        <f t="shared" si="94"/>
        <v/>
      </c>
      <c r="HZ27" s="11" t="str">
        <f t="shared" si="95"/>
        <v/>
      </c>
      <c r="IA27" s="15"/>
      <c r="IB27" s="15"/>
      <c r="IC27" s="15"/>
      <c r="ID27" s="15"/>
      <c r="IE27" s="15"/>
      <c r="IF27" s="15"/>
      <c r="IG27" s="15"/>
      <c r="IH27" s="15"/>
      <c r="II27" s="15"/>
      <c r="IJ27" s="15"/>
      <c r="IK27" s="15"/>
      <c r="IL27" s="15"/>
      <c r="IM27" s="15"/>
      <c r="IN27" s="15"/>
      <c r="IO27" s="15"/>
      <c r="IP27" s="15"/>
      <c r="IQ27" s="15"/>
      <c r="IR27" s="15"/>
      <c r="IS27" s="15"/>
      <c r="IT27" s="15"/>
      <c r="IU27" s="36" t="str">
        <f t="shared" si="96"/>
        <v/>
      </c>
      <c r="IV27" s="36" t="str">
        <f t="shared" si="97"/>
        <v/>
      </c>
      <c r="IW27" s="36" t="str">
        <f t="shared" si="98"/>
        <v/>
      </c>
      <c r="IX27" s="36" t="str">
        <f t="shared" si="99"/>
        <v/>
      </c>
      <c r="IY27" s="36" t="str">
        <f t="shared" si="100"/>
        <v/>
      </c>
      <c r="IZ27" s="36" t="str">
        <f t="shared" si="101"/>
        <v/>
      </c>
      <c r="JA27" s="36" t="str">
        <f t="shared" si="102"/>
        <v/>
      </c>
      <c r="JB27" s="36" t="str">
        <f t="shared" si="103"/>
        <v/>
      </c>
      <c r="JC27" s="36" t="str">
        <f t="shared" si="104"/>
        <v/>
      </c>
      <c r="JD27" s="36" t="str">
        <f t="shared" si="105"/>
        <v/>
      </c>
      <c r="JE27" s="36" t="str">
        <f t="shared" si="106"/>
        <v/>
      </c>
      <c r="JF27" s="36" t="str">
        <f t="shared" si="107"/>
        <v/>
      </c>
      <c r="JG27" s="36" t="str">
        <f t="shared" si="108"/>
        <v/>
      </c>
      <c r="JH27" s="36" t="str">
        <f t="shared" si="109"/>
        <v/>
      </c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16"/>
      <c r="JX27" s="16"/>
      <c r="JY27" s="16"/>
      <c r="JZ27" s="16"/>
      <c r="KA27" s="16"/>
      <c r="KB27" s="16"/>
      <c r="KC27" s="11" t="str">
        <f t="shared" si="110"/>
        <v/>
      </c>
      <c r="KD27" s="11" t="str">
        <f t="shared" si="111"/>
        <v/>
      </c>
      <c r="KE27" s="11" t="str">
        <f t="shared" si="112"/>
        <v/>
      </c>
      <c r="KF27" s="11" t="str">
        <f t="shared" si="113"/>
        <v/>
      </c>
      <c r="KG27" s="11" t="str">
        <f t="shared" si="114"/>
        <v/>
      </c>
      <c r="KH27" s="11" t="str">
        <f t="shared" si="115"/>
        <v/>
      </c>
      <c r="KI27" s="11" t="str">
        <f t="shared" si="116"/>
        <v/>
      </c>
      <c r="KJ27" s="11" t="str">
        <f t="shared" si="117"/>
        <v/>
      </c>
      <c r="KK27" s="11" t="str">
        <f t="shared" si="118"/>
        <v/>
      </c>
      <c r="KL27" s="11" t="str">
        <f t="shared" si="119"/>
        <v/>
      </c>
      <c r="KM27" s="11" t="str">
        <f t="shared" si="120"/>
        <v/>
      </c>
      <c r="KN27" s="11" t="str">
        <f t="shared" si="121"/>
        <v/>
      </c>
      <c r="KO27" s="11" t="str">
        <f t="shared" si="122"/>
        <v/>
      </c>
      <c r="KP27" s="11" t="str">
        <f t="shared" si="123"/>
        <v/>
      </c>
      <c r="KQ27" s="15"/>
      <c r="KR27" s="15"/>
      <c r="KS27" s="15"/>
      <c r="KT27" s="15"/>
      <c r="KU27" s="15"/>
      <c r="KV27" s="15"/>
      <c r="KW27" s="15"/>
      <c r="KX27" s="15"/>
      <c r="KY27" s="15"/>
      <c r="KZ27" s="15"/>
      <c r="LA27" s="15"/>
      <c r="LB27" s="15"/>
      <c r="LC27" s="15"/>
      <c r="LD27" s="15"/>
      <c r="LE27" s="15"/>
      <c r="LF27" s="15"/>
      <c r="LG27" s="15"/>
      <c r="LH27" s="15"/>
      <c r="LI27" s="15"/>
      <c r="LJ27" s="15"/>
      <c r="LK27" s="36" t="str">
        <f t="shared" si="124"/>
        <v/>
      </c>
      <c r="LL27" s="36" t="str">
        <f t="shared" si="125"/>
        <v/>
      </c>
      <c r="LM27" s="36" t="str">
        <f t="shared" si="126"/>
        <v/>
      </c>
      <c r="LN27" s="36" t="str">
        <f t="shared" si="127"/>
        <v/>
      </c>
      <c r="LO27" s="36" t="str">
        <f t="shared" si="128"/>
        <v/>
      </c>
      <c r="LP27" s="36" t="str">
        <f t="shared" si="129"/>
        <v/>
      </c>
      <c r="LQ27" s="36" t="str">
        <f t="shared" si="130"/>
        <v/>
      </c>
      <c r="LR27" s="36" t="str">
        <f t="shared" si="131"/>
        <v/>
      </c>
      <c r="LS27" s="36" t="str">
        <f t="shared" si="132"/>
        <v/>
      </c>
      <c r="LT27" s="36" t="str">
        <f t="shared" si="133"/>
        <v/>
      </c>
      <c r="LU27" s="36" t="str">
        <f t="shared" si="134"/>
        <v/>
      </c>
      <c r="LV27" s="36" t="str">
        <f t="shared" si="135"/>
        <v/>
      </c>
      <c r="LW27" s="36" t="str">
        <f t="shared" si="136"/>
        <v/>
      </c>
      <c r="LX27" s="36" t="str">
        <f t="shared" si="137"/>
        <v/>
      </c>
      <c r="LY27" s="16"/>
      <c r="LZ27" s="16"/>
      <c r="MA27" s="16"/>
      <c r="MB27" s="16"/>
      <c r="MC27" s="16"/>
      <c r="MD27" s="16"/>
      <c r="ME27" s="16"/>
      <c r="MF27" s="16"/>
      <c r="MG27" s="16"/>
      <c r="MH27" s="16"/>
      <c r="MI27" s="16"/>
      <c r="MJ27" s="16"/>
      <c r="MK27" s="16"/>
      <c r="ML27" s="16"/>
      <c r="MM27" s="16"/>
      <c r="MN27" s="16"/>
      <c r="MO27" s="16"/>
      <c r="MP27" s="16"/>
      <c r="MQ27" s="16"/>
      <c r="MR27" s="16"/>
      <c r="MS27" s="11" t="str">
        <f t="shared" si="138"/>
        <v/>
      </c>
      <c r="MT27" s="11" t="str">
        <f t="shared" si="139"/>
        <v/>
      </c>
      <c r="MU27" s="11" t="str">
        <f t="shared" si="140"/>
        <v/>
      </c>
      <c r="MV27" s="11" t="str">
        <f t="shared" si="141"/>
        <v/>
      </c>
      <c r="MW27" s="11" t="str">
        <f t="shared" si="142"/>
        <v/>
      </c>
      <c r="MX27" s="11" t="str">
        <f t="shared" si="143"/>
        <v/>
      </c>
      <c r="MY27" s="11" t="str">
        <f t="shared" si="144"/>
        <v/>
      </c>
      <c r="MZ27" s="11" t="str">
        <f t="shared" si="145"/>
        <v/>
      </c>
      <c r="NA27" s="11" t="str">
        <f t="shared" si="146"/>
        <v/>
      </c>
      <c r="NB27" s="11" t="str">
        <f t="shared" si="147"/>
        <v/>
      </c>
      <c r="NC27" s="11" t="str">
        <f t="shared" si="148"/>
        <v/>
      </c>
      <c r="ND27" s="11" t="str">
        <f t="shared" si="149"/>
        <v/>
      </c>
      <c r="NE27" s="11" t="str">
        <f t="shared" si="150"/>
        <v/>
      </c>
      <c r="NF27" s="11" t="str">
        <f t="shared" si="151"/>
        <v/>
      </c>
      <c r="NG27" s="15"/>
      <c r="NH27" s="15"/>
      <c r="NI27" s="15"/>
      <c r="NJ27" s="15"/>
      <c r="NK27" s="15"/>
      <c r="NL27" s="15"/>
      <c r="NM27" s="15"/>
      <c r="NN27" s="15"/>
      <c r="NO27" s="15"/>
      <c r="NP27" s="15"/>
      <c r="NQ27" s="15"/>
      <c r="NR27" s="15"/>
      <c r="NS27" s="15"/>
      <c r="NT27" s="15"/>
      <c r="NU27" s="15"/>
      <c r="NV27" s="15"/>
      <c r="NW27" s="15"/>
      <c r="NX27" s="15"/>
      <c r="NY27" s="15"/>
      <c r="NZ27" s="15"/>
      <c r="OA27" s="36" t="str">
        <f t="shared" si="152"/>
        <v/>
      </c>
      <c r="OB27" s="36" t="str">
        <f t="shared" si="153"/>
        <v/>
      </c>
      <c r="OC27" s="36" t="str">
        <f t="shared" si="154"/>
        <v/>
      </c>
      <c r="OD27" s="36" t="str">
        <f t="shared" si="155"/>
        <v/>
      </c>
      <c r="OE27" s="36" t="str">
        <f t="shared" si="156"/>
        <v/>
      </c>
      <c r="OF27" s="36" t="str">
        <f t="shared" si="157"/>
        <v/>
      </c>
      <c r="OG27" s="36" t="str">
        <f t="shared" si="158"/>
        <v/>
      </c>
      <c r="OH27" s="36" t="str">
        <f t="shared" si="159"/>
        <v/>
      </c>
      <c r="OI27" s="36" t="str">
        <f t="shared" si="160"/>
        <v/>
      </c>
      <c r="OJ27" s="36" t="str">
        <f t="shared" si="161"/>
        <v/>
      </c>
      <c r="OK27" s="36" t="str">
        <f t="shared" si="162"/>
        <v/>
      </c>
      <c r="OL27" s="36" t="str">
        <f t="shared" si="163"/>
        <v/>
      </c>
      <c r="OM27" s="36" t="str">
        <f t="shared" si="164"/>
        <v/>
      </c>
      <c r="ON27" s="36" t="str">
        <f t="shared" si="165"/>
        <v/>
      </c>
      <c r="OO27" s="16"/>
      <c r="OP27" s="16"/>
      <c r="OQ27" s="16"/>
      <c r="OR27" s="16"/>
      <c r="OS27" s="16"/>
      <c r="OT27" s="16"/>
      <c r="OU27" s="16"/>
      <c r="OV27" s="16"/>
      <c r="OW27" s="16"/>
      <c r="OX27" s="16"/>
      <c r="OY27" s="16"/>
      <c r="OZ27" s="16"/>
      <c r="PA27" s="16"/>
      <c r="PB27" s="16"/>
      <c r="PC27" s="16"/>
      <c r="PD27" s="16"/>
      <c r="PE27" s="16"/>
      <c r="PF27" s="16"/>
      <c r="PG27" s="16"/>
      <c r="PH27" s="16"/>
      <c r="PI27" s="11" t="str">
        <f t="shared" si="166"/>
        <v/>
      </c>
      <c r="PJ27" s="11" t="str">
        <f t="shared" si="167"/>
        <v/>
      </c>
      <c r="PK27" s="11" t="str">
        <f t="shared" si="168"/>
        <v/>
      </c>
      <c r="PL27" s="11" t="str">
        <f t="shared" si="169"/>
        <v/>
      </c>
      <c r="PM27" s="11" t="str">
        <f t="shared" si="170"/>
        <v/>
      </c>
      <c r="PN27" s="11" t="str">
        <f t="shared" si="171"/>
        <v/>
      </c>
      <c r="PO27" s="11" t="str">
        <f t="shared" si="172"/>
        <v/>
      </c>
      <c r="PP27" s="11" t="str">
        <f t="shared" si="173"/>
        <v/>
      </c>
      <c r="PQ27" s="11" t="str">
        <f t="shared" si="174"/>
        <v/>
      </c>
      <c r="PR27" s="11" t="str">
        <f t="shared" si="175"/>
        <v/>
      </c>
      <c r="PS27" s="11" t="str">
        <f t="shared" si="176"/>
        <v/>
      </c>
      <c r="PT27" s="11" t="str">
        <f t="shared" si="177"/>
        <v/>
      </c>
      <c r="PU27" s="11" t="str">
        <f t="shared" si="178"/>
        <v/>
      </c>
      <c r="PV27" s="11" t="str">
        <f t="shared" si="179"/>
        <v/>
      </c>
      <c r="PW27" s="15"/>
      <c r="PX27" s="15"/>
      <c r="PY27" s="15"/>
      <c r="PZ27" s="15"/>
      <c r="QA27" s="15"/>
      <c r="QB27" s="15"/>
      <c r="QC27" s="15"/>
      <c r="QD27" s="15"/>
      <c r="QE27" s="15"/>
      <c r="QF27" s="15"/>
      <c r="QG27" s="15"/>
      <c r="QH27" s="15"/>
      <c r="QI27" s="15"/>
      <c r="QJ27" s="15"/>
      <c r="QK27" s="15"/>
      <c r="QL27" s="15"/>
      <c r="QM27" s="15"/>
      <c r="QN27" s="15"/>
      <c r="QO27" s="15"/>
      <c r="QP27" s="15"/>
      <c r="QQ27" s="36" t="str">
        <f t="shared" si="180"/>
        <v/>
      </c>
      <c r="QR27" s="36" t="str">
        <f t="shared" si="181"/>
        <v/>
      </c>
      <c r="QS27" s="36" t="str">
        <f t="shared" si="182"/>
        <v/>
      </c>
      <c r="QT27" s="36" t="str">
        <f t="shared" si="183"/>
        <v/>
      </c>
      <c r="QU27" s="36" t="str">
        <f t="shared" si="184"/>
        <v/>
      </c>
      <c r="QV27" s="36" t="str">
        <f t="shared" si="185"/>
        <v/>
      </c>
      <c r="QW27" s="36" t="str">
        <f t="shared" si="186"/>
        <v/>
      </c>
      <c r="QX27" s="36" t="str">
        <f t="shared" si="187"/>
        <v/>
      </c>
      <c r="QY27" s="36" t="str">
        <f t="shared" si="188"/>
        <v/>
      </c>
      <c r="QZ27" s="36" t="str">
        <f t="shared" si="189"/>
        <v/>
      </c>
      <c r="RA27" s="36" t="str">
        <f t="shared" si="190"/>
        <v/>
      </c>
      <c r="RB27" s="36" t="str">
        <f t="shared" si="191"/>
        <v/>
      </c>
      <c r="RC27" s="36" t="str">
        <f t="shared" si="192"/>
        <v/>
      </c>
      <c r="RD27" s="36" t="str">
        <f t="shared" si="193"/>
        <v/>
      </c>
      <c r="RE27" s="16"/>
      <c r="RF27" s="16"/>
      <c r="RG27" s="16"/>
      <c r="RH27" s="16"/>
      <c r="RI27" s="16"/>
      <c r="RJ27" s="16"/>
      <c r="RK27" s="16"/>
      <c r="RL27" s="16"/>
      <c r="RM27" s="16"/>
      <c r="RN27" s="16"/>
      <c r="RO27" s="16"/>
      <c r="RP27" s="16"/>
      <c r="RQ27" s="16"/>
      <c r="RR27" s="16"/>
      <c r="RS27" s="16"/>
      <c r="RT27" s="16"/>
      <c r="RU27" s="16"/>
      <c r="RV27" s="16"/>
      <c r="RW27" s="16"/>
      <c r="RX27" s="16"/>
      <c r="RY27" s="11" t="str">
        <f t="shared" si="194"/>
        <v/>
      </c>
      <c r="RZ27" s="11" t="str">
        <f t="shared" si="195"/>
        <v/>
      </c>
      <c r="SA27" s="11" t="str">
        <f t="shared" si="196"/>
        <v/>
      </c>
      <c r="SB27" s="11" t="str">
        <f t="shared" si="197"/>
        <v/>
      </c>
      <c r="SC27" s="11" t="str">
        <f t="shared" si="198"/>
        <v/>
      </c>
      <c r="SD27" s="11" t="str">
        <f t="shared" si="199"/>
        <v/>
      </c>
      <c r="SE27" s="11" t="str">
        <f t="shared" si="200"/>
        <v/>
      </c>
      <c r="SF27" s="11" t="str">
        <f t="shared" si="201"/>
        <v/>
      </c>
      <c r="SG27" s="11" t="str">
        <f t="shared" si="202"/>
        <v/>
      </c>
      <c r="SH27" s="11" t="str">
        <f t="shared" si="203"/>
        <v/>
      </c>
      <c r="SI27" s="11" t="str">
        <f t="shared" si="204"/>
        <v/>
      </c>
      <c r="SJ27" s="11" t="str">
        <f t="shared" si="205"/>
        <v/>
      </c>
      <c r="SK27" s="11" t="str">
        <f t="shared" si="206"/>
        <v/>
      </c>
      <c r="SL27" s="11" t="str">
        <f t="shared" si="207"/>
        <v/>
      </c>
      <c r="SM27" s="15"/>
      <c r="SN27" s="15"/>
      <c r="SO27" s="15"/>
      <c r="SP27" s="15"/>
      <c r="SQ27" s="15"/>
      <c r="SR27" s="15"/>
      <c r="SS27" s="15"/>
      <c r="ST27" s="15"/>
      <c r="SU27" s="15"/>
      <c r="SV27" s="15"/>
      <c r="SW27" s="15"/>
      <c r="SX27" s="15"/>
      <c r="SY27" s="15"/>
      <c r="SZ27" s="15"/>
      <c r="TA27" s="15"/>
      <c r="TB27" s="15"/>
      <c r="TC27" s="15"/>
      <c r="TD27" s="15"/>
      <c r="TE27" s="15"/>
      <c r="TF27" s="15"/>
      <c r="TG27" s="36" t="str">
        <f t="shared" si="208"/>
        <v/>
      </c>
      <c r="TH27" s="36" t="str">
        <f t="shared" si="209"/>
        <v/>
      </c>
      <c r="TI27" s="36" t="str">
        <f t="shared" si="210"/>
        <v/>
      </c>
      <c r="TJ27" s="36" t="str">
        <f t="shared" si="211"/>
        <v/>
      </c>
      <c r="TK27" s="36" t="str">
        <f t="shared" si="212"/>
        <v/>
      </c>
      <c r="TL27" s="36" t="str">
        <f t="shared" si="213"/>
        <v/>
      </c>
      <c r="TM27" s="36" t="str">
        <f t="shared" si="214"/>
        <v/>
      </c>
      <c r="TN27" s="36" t="str">
        <f t="shared" si="215"/>
        <v/>
      </c>
      <c r="TO27" s="36" t="str">
        <f t="shared" si="216"/>
        <v/>
      </c>
      <c r="TP27" s="36" t="str">
        <f t="shared" si="217"/>
        <v/>
      </c>
      <c r="TQ27" s="36" t="str">
        <f t="shared" si="218"/>
        <v/>
      </c>
      <c r="TR27" s="36" t="str">
        <f t="shared" si="219"/>
        <v/>
      </c>
      <c r="TS27" s="36" t="str">
        <f t="shared" si="220"/>
        <v/>
      </c>
      <c r="TT27" s="36" t="str">
        <f t="shared" si="221"/>
        <v/>
      </c>
      <c r="TU27" s="16"/>
      <c r="TV27" s="16"/>
      <c r="TW27" s="16"/>
      <c r="TX27" s="16"/>
      <c r="TY27" s="16"/>
      <c r="TZ27" s="16"/>
      <c r="UA27" s="16"/>
      <c r="UB27" s="16"/>
      <c r="UC27" s="16"/>
      <c r="UD27" s="16"/>
      <c r="UE27" s="16"/>
      <c r="UF27" s="16"/>
      <c r="UG27" s="16"/>
      <c r="UH27" s="16"/>
      <c r="UI27" s="16"/>
      <c r="UJ27" s="16"/>
      <c r="UK27" s="16"/>
      <c r="UL27" s="16"/>
      <c r="UM27" s="16"/>
      <c r="UN27" s="16"/>
      <c r="UO27" s="11" t="str">
        <f t="shared" si="222"/>
        <v/>
      </c>
      <c r="UP27" s="11" t="str">
        <f t="shared" si="223"/>
        <v/>
      </c>
      <c r="UQ27" s="11" t="str">
        <f t="shared" si="224"/>
        <v/>
      </c>
      <c r="UR27" s="11" t="str">
        <f t="shared" si="225"/>
        <v/>
      </c>
      <c r="US27" s="11" t="str">
        <f t="shared" si="226"/>
        <v/>
      </c>
      <c r="UT27" s="11" t="str">
        <f t="shared" si="227"/>
        <v/>
      </c>
      <c r="UU27" s="11" t="str">
        <f t="shared" si="228"/>
        <v/>
      </c>
      <c r="UV27" s="11" t="str">
        <f t="shared" si="229"/>
        <v/>
      </c>
      <c r="UW27" s="11" t="str">
        <f t="shared" si="230"/>
        <v/>
      </c>
      <c r="UX27" s="11" t="str">
        <f t="shared" si="231"/>
        <v/>
      </c>
      <c r="UY27" s="11" t="str">
        <f t="shared" si="232"/>
        <v/>
      </c>
      <c r="UZ27" s="11" t="str">
        <f t="shared" si="233"/>
        <v/>
      </c>
      <c r="VA27" s="11" t="str">
        <f t="shared" si="234"/>
        <v/>
      </c>
      <c r="VB27" s="11" t="str">
        <f t="shared" si="235"/>
        <v/>
      </c>
      <c r="VC27" s="15"/>
      <c r="VD27" s="15"/>
      <c r="VE27" s="15"/>
      <c r="VF27" s="15"/>
      <c r="VG27" s="15"/>
      <c r="VH27" s="15"/>
      <c r="VI27" s="15"/>
      <c r="VJ27" s="15"/>
      <c r="VK27" s="15"/>
      <c r="VL27" s="15"/>
      <c r="VM27" s="15"/>
      <c r="VN27" s="15"/>
      <c r="VO27" s="15"/>
      <c r="VP27" s="15"/>
      <c r="VQ27" s="15"/>
      <c r="VR27" s="15"/>
      <c r="VS27" s="15"/>
      <c r="VT27" s="15"/>
      <c r="VU27" s="15"/>
      <c r="VV27" s="15"/>
      <c r="VW27" s="36" t="str">
        <f t="shared" si="236"/>
        <v/>
      </c>
      <c r="VX27" s="36" t="str">
        <f t="shared" si="237"/>
        <v/>
      </c>
      <c r="VY27" s="36" t="str">
        <f t="shared" si="238"/>
        <v/>
      </c>
      <c r="VZ27" s="36" t="str">
        <f t="shared" si="239"/>
        <v/>
      </c>
      <c r="WA27" s="36" t="str">
        <f t="shared" si="240"/>
        <v/>
      </c>
      <c r="WB27" s="36" t="str">
        <f t="shared" si="241"/>
        <v/>
      </c>
      <c r="WC27" s="36" t="str">
        <f t="shared" si="242"/>
        <v/>
      </c>
      <c r="WD27" s="36" t="str">
        <f t="shared" si="243"/>
        <v/>
      </c>
      <c r="WE27" s="36" t="str">
        <f t="shared" si="244"/>
        <v/>
      </c>
      <c r="WF27" s="36" t="str">
        <f t="shared" si="245"/>
        <v/>
      </c>
      <c r="WG27" s="36" t="str">
        <f t="shared" si="246"/>
        <v/>
      </c>
      <c r="WH27" s="36" t="str">
        <f t="shared" si="247"/>
        <v/>
      </c>
      <c r="WI27" s="36" t="str">
        <f t="shared" si="248"/>
        <v/>
      </c>
      <c r="WJ27" s="36" t="str">
        <f t="shared" si="249"/>
        <v/>
      </c>
    </row>
    <row r="28" spans="1:608" x14ac:dyDescent="0.2">
      <c r="B28" s="5"/>
      <c r="D28" s="1"/>
    </row>
    <row r="29" spans="1:608" x14ac:dyDescent="0.2">
      <c r="G29" s="32"/>
      <c r="I29" s="32"/>
    </row>
    <row r="30" spans="1:608" x14ac:dyDescent="0.2">
      <c r="B30" s="19" t="s">
        <v>40</v>
      </c>
      <c r="C30" s="5"/>
      <c r="G30" s="3"/>
      <c r="AJ30" s="37"/>
      <c r="AK30" s="37"/>
      <c r="AL30" s="37"/>
      <c r="AN30" s="28"/>
      <c r="AO30" s="28"/>
      <c r="AQ30" s="38">
        <v>14.5</v>
      </c>
      <c r="BK30" s="37"/>
      <c r="BL30" s="37"/>
      <c r="BM30" s="37"/>
      <c r="BO30" s="28"/>
      <c r="BP30" s="28"/>
      <c r="BR30" s="38">
        <v>14.5</v>
      </c>
      <c r="CL30" s="37"/>
      <c r="CM30" s="37"/>
      <c r="CN30" s="37"/>
      <c r="CP30" s="28"/>
      <c r="CQ30" s="28"/>
      <c r="CS30" s="38">
        <v>15.1</v>
      </c>
      <c r="DO30" s="5"/>
      <c r="DP30" s="5"/>
      <c r="DY30" s="2"/>
      <c r="DZ30" s="2"/>
      <c r="EB30" s="38">
        <v>14.5</v>
      </c>
      <c r="EW30" s="5"/>
      <c r="EX30" s="5"/>
      <c r="FG30" s="2"/>
      <c r="FH30" s="2"/>
      <c r="FJ30" s="38">
        <v>14.5</v>
      </c>
      <c r="GE30" s="5"/>
      <c r="GF30" s="5"/>
      <c r="GO30" s="2"/>
      <c r="GP30" s="2"/>
      <c r="GR30" s="38">
        <v>14.5</v>
      </c>
      <c r="HM30" s="5"/>
      <c r="HN30" s="5"/>
      <c r="HW30" s="2"/>
      <c r="HX30" s="2"/>
      <c r="HZ30" s="38">
        <v>14.5</v>
      </c>
      <c r="IU30" s="5"/>
      <c r="IV30" s="5"/>
      <c r="JE30" s="2"/>
      <c r="JF30" s="2"/>
      <c r="JH30" s="38">
        <v>14.5</v>
      </c>
      <c r="KC30" s="5"/>
      <c r="KD30" s="5"/>
      <c r="KM30" s="2"/>
      <c r="KN30" s="2"/>
      <c r="KP30" s="38">
        <v>14.5</v>
      </c>
      <c r="LK30" s="5"/>
      <c r="LL30" s="5"/>
      <c r="LU30" s="2"/>
      <c r="LV30" s="2"/>
      <c r="LX30" s="38">
        <v>14.5</v>
      </c>
      <c r="MS30" s="5"/>
      <c r="MT30" s="5"/>
      <c r="NC30" s="2"/>
      <c r="ND30" s="2"/>
      <c r="NF30" s="38">
        <v>14.5</v>
      </c>
      <c r="OA30" s="5"/>
      <c r="OB30" s="5"/>
      <c r="OK30" s="2"/>
      <c r="OL30" s="2"/>
      <c r="ON30" s="38">
        <v>15.1</v>
      </c>
      <c r="PI30" s="5"/>
      <c r="PJ30" s="5"/>
      <c r="PS30" s="2"/>
      <c r="PT30" s="2"/>
      <c r="PV30" s="38">
        <v>15.1</v>
      </c>
      <c r="QQ30" s="5"/>
      <c r="QR30" s="5"/>
      <c r="RA30" s="2"/>
      <c r="RB30" s="2"/>
      <c r="RD30" s="38">
        <v>15.1</v>
      </c>
      <c r="RY30" s="5"/>
      <c r="RZ30" s="5"/>
      <c r="SI30" s="2"/>
      <c r="SJ30" s="2"/>
      <c r="SL30" s="38">
        <v>15.1</v>
      </c>
      <c r="TG30" s="5"/>
      <c r="TH30" s="5"/>
      <c r="TQ30" s="2"/>
      <c r="TR30" s="2"/>
      <c r="TT30" s="38">
        <v>15.1</v>
      </c>
      <c r="UO30" s="5"/>
      <c r="UP30" s="5"/>
      <c r="UY30" s="2"/>
      <c r="UZ30" s="2"/>
      <c r="VB30" s="38">
        <v>15.1</v>
      </c>
      <c r="VW30" s="5"/>
      <c r="VX30" s="5"/>
      <c r="WG30" s="2"/>
      <c r="WH30" s="2"/>
      <c r="WJ30" s="38">
        <v>15.1</v>
      </c>
    </row>
    <row r="31" spans="1:608" hidden="1" x14ac:dyDescent="0.2">
      <c r="B31" s="26" t="s">
        <v>39</v>
      </c>
      <c r="C31" s="5"/>
      <c r="P31" s="2"/>
      <c r="AJ31" s="37"/>
      <c r="AK31" s="37"/>
      <c r="AL31" s="37"/>
      <c r="AN31" s="28"/>
      <c r="AO31" s="28"/>
      <c r="AQ31" s="39">
        <v>1000</v>
      </c>
      <c r="BK31" s="37"/>
      <c r="BL31" s="37"/>
      <c r="BM31" s="37"/>
      <c r="BO31" s="28"/>
      <c r="BP31" s="28"/>
      <c r="BR31" s="39">
        <v>1000</v>
      </c>
      <c r="CL31" s="37"/>
      <c r="CM31" s="37"/>
      <c r="CN31" s="37"/>
      <c r="CP31" s="28"/>
      <c r="CQ31" s="28"/>
      <c r="CS31" s="39">
        <v>1000</v>
      </c>
      <c r="DO31" s="5"/>
      <c r="DP31" s="5"/>
      <c r="DY31" s="2"/>
      <c r="DZ31" s="2"/>
      <c r="EB31" s="39">
        <v>1000</v>
      </c>
      <c r="EW31" s="5"/>
      <c r="EX31" s="5"/>
      <c r="FG31" s="2"/>
      <c r="FH31" s="2"/>
      <c r="FJ31" s="39">
        <v>1000</v>
      </c>
      <c r="GE31" s="5"/>
      <c r="GF31" s="5"/>
      <c r="GO31" s="2"/>
      <c r="GP31" s="2"/>
      <c r="GR31" s="39">
        <v>1000</v>
      </c>
      <c r="HM31" s="5"/>
      <c r="HN31" s="5"/>
      <c r="HW31" s="2"/>
      <c r="HX31" s="2"/>
      <c r="HZ31" s="39">
        <v>1000</v>
      </c>
      <c r="IU31" s="5"/>
      <c r="IV31" s="5"/>
      <c r="JE31" s="2"/>
      <c r="JF31" s="2"/>
      <c r="JH31" s="39">
        <v>1000</v>
      </c>
      <c r="KC31" s="5"/>
      <c r="KD31" s="5"/>
      <c r="KM31" s="2"/>
      <c r="KN31" s="2"/>
      <c r="KP31" s="39">
        <v>1000</v>
      </c>
      <c r="LK31" s="5"/>
      <c r="LL31" s="5"/>
      <c r="LU31" s="2"/>
      <c r="LV31" s="2"/>
      <c r="LX31" s="39">
        <v>1000</v>
      </c>
      <c r="MS31" s="5"/>
      <c r="MT31" s="5"/>
      <c r="NC31" s="2"/>
      <c r="ND31" s="2"/>
      <c r="NF31" s="39">
        <v>1000</v>
      </c>
      <c r="OA31" s="5"/>
      <c r="OB31" s="5"/>
      <c r="OK31" s="2"/>
      <c r="OL31" s="2"/>
      <c r="ON31" s="39">
        <v>1000</v>
      </c>
      <c r="PI31" s="5"/>
      <c r="PJ31" s="5"/>
      <c r="PS31" s="2"/>
      <c r="PT31" s="2"/>
      <c r="PV31" s="39">
        <v>1000</v>
      </c>
      <c r="QQ31" s="5"/>
      <c r="QR31" s="5"/>
      <c r="RA31" s="2"/>
      <c r="RB31" s="2"/>
      <c r="RD31" s="39">
        <v>1000</v>
      </c>
      <c r="RY31" s="5"/>
      <c r="RZ31" s="5"/>
      <c r="SI31" s="2"/>
      <c r="SJ31" s="2"/>
      <c r="SL31" s="39">
        <v>1000</v>
      </c>
      <c r="TG31" s="5"/>
      <c r="TH31" s="5"/>
      <c r="TQ31" s="2"/>
      <c r="TR31" s="2"/>
      <c r="TT31" s="39">
        <v>1000</v>
      </c>
      <c r="UO31" s="5"/>
      <c r="UP31" s="5"/>
      <c r="UY31" s="2"/>
      <c r="UZ31" s="2"/>
      <c r="VB31" s="39">
        <v>1000</v>
      </c>
      <c r="VW31" s="5"/>
      <c r="VX31" s="5"/>
      <c r="WG31" s="2"/>
      <c r="WH31" s="2"/>
      <c r="WJ31" s="39">
        <v>1000</v>
      </c>
    </row>
    <row r="32" spans="1:608" hidden="1" x14ac:dyDescent="0.2">
      <c r="A32" s="5"/>
      <c r="B32" s="27" t="s">
        <v>50</v>
      </c>
      <c r="C32" s="5"/>
      <c r="E32" s="2"/>
      <c r="AJ32" s="37"/>
      <c r="AK32" s="37"/>
      <c r="AL32" s="37"/>
      <c r="AM32" s="28"/>
      <c r="AN32" s="28"/>
      <c r="AO32" s="28"/>
      <c r="AP32" s="28"/>
      <c r="AQ32" s="40">
        <v>1000</v>
      </c>
      <c r="BK32" s="37"/>
      <c r="BL32" s="37"/>
      <c r="BM32" s="37"/>
      <c r="BO32" s="28"/>
      <c r="BP32" s="28"/>
      <c r="BR32" s="40">
        <v>1000</v>
      </c>
      <c r="CL32" s="37"/>
      <c r="CM32" s="37"/>
      <c r="CN32" s="37"/>
      <c r="CO32" s="28"/>
      <c r="CP32" s="28"/>
      <c r="CQ32" s="28"/>
      <c r="CR32" s="28"/>
      <c r="CS32" s="40">
        <v>1000</v>
      </c>
      <c r="DO32" s="5"/>
      <c r="DP32" s="5"/>
      <c r="DY32" s="2"/>
      <c r="DZ32" s="2"/>
      <c r="EB32" s="40">
        <v>1000</v>
      </c>
      <c r="EW32" s="5"/>
      <c r="EX32" s="5"/>
      <c r="FG32" s="2"/>
      <c r="FH32" s="2"/>
      <c r="FJ32" s="40">
        <v>1000</v>
      </c>
      <c r="GE32" s="5"/>
      <c r="GF32" s="5"/>
      <c r="GO32" s="2"/>
      <c r="GP32" s="2"/>
      <c r="GR32" s="40">
        <v>1000</v>
      </c>
      <c r="HM32" s="5"/>
      <c r="HN32" s="5"/>
      <c r="HW32" s="2"/>
      <c r="HX32" s="2"/>
      <c r="HZ32" s="40">
        <v>1000</v>
      </c>
      <c r="IU32" s="5"/>
      <c r="IV32" s="5"/>
      <c r="JE32" s="2"/>
      <c r="JF32" s="2"/>
      <c r="JH32" s="40">
        <v>1000</v>
      </c>
      <c r="KC32" s="5"/>
      <c r="KD32" s="5"/>
      <c r="KM32" s="2"/>
      <c r="KN32" s="2"/>
      <c r="KP32" s="40">
        <v>1000</v>
      </c>
      <c r="LK32" s="5"/>
      <c r="LL32" s="5"/>
      <c r="LU32" s="2"/>
      <c r="LV32" s="2"/>
      <c r="LX32" s="40">
        <v>1000</v>
      </c>
      <c r="MS32" s="5"/>
      <c r="MT32" s="5"/>
      <c r="NC32" s="2"/>
      <c r="ND32" s="2"/>
      <c r="NF32" s="40">
        <v>1000</v>
      </c>
      <c r="OA32" s="5"/>
      <c r="OB32" s="5"/>
      <c r="OK32" s="2"/>
      <c r="OL32" s="2"/>
      <c r="ON32" s="40">
        <v>1000</v>
      </c>
      <c r="PI32" s="5"/>
      <c r="PJ32" s="5"/>
      <c r="PS32" s="2"/>
      <c r="PT32" s="2"/>
      <c r="PV32" s="40">
        <v>1000</v>
      </c>
      <c r="QQ32" s="5"/>
      <c r="QR32" s="5"/>
      <c r="RA32" s="2"/>
      <c r="RB32" s="2"/>
      <c r="RD32" s="40">
        <v>1000</v>
      </c>
      <c r="RY32" s="5"/>
      <c r="RZ32" s="5"/>
      <c r="SI32" s="2"/>
      <c r="SJ32" s="2"/>
      <c r="SL32" s="40">
        <v>1000</v>
      </c>
      <c r="TG32" s="5"/>
      <c r="TH32" s="5"/>
      <c r="TQ32" s="2"/>
      <c r="TR32" s="2"/>
      <c r="TT32" s="40">
        <v>1000</v>
      </c>
      <c r="UO32" s="5"/>
      <c r="UP32" s="5"/>
      <c r="UY32" s="2"/>
      <c r="UZ32" s="2"/>
      <c r="VB32" s="40">
        <v>1000</v>
      </c>
      <c r="VW32" s="5"/>
      <c r="VX32" s="5"/>
      <c r="WG32" s="2"/>
      <c r="WH32" s="2"/>
      <c r="WJ32" s="40">
        <v>1000</v>
      </c>
    </row>
    <row r="33" spans="1:608" hidden="1" x14ac:dyDescent="0.2">
      <c r="A33" s="5"/>
      <c r="B33" s="31" t="s">
        <v>57</v>
      </c>
      <c r="C33" s="5"/>
      <c r="E33" s="2"/>
      <c r="AJ33" s="37"/>
      <c r="AK33" s="37"/>
      <c r="AL33" s="37"/>
      <c r="AM33" s="28"/>
      <c r="AN33" s="28"/>
      <c r="AO33" s="28"/>
      <c r="AP33" s="28"/>
      <c r="AQ33" s="41">
        <v>1000</v>
      </c>
      <c r="BK33" s="37"/>
      <c r="BL33" s="37"/>
      <c r="BM33" s="37"/>
      <c r="BO33" s="28"/>
      <c r="BP33" s="28"/>
      <c r="BR33" s="41">
        <v>1000</v>
      </c>
      <c r="CL33" s="37"/>
      <c r="CM33" s="37"/>
      <c r="CN33" s="37"/>
      <c r="CO33" s="28"/>
      <c r="CP33" s="28"/>
      <c r="CQ33" s="28"/>
      <c r="CR33" s="28"/>
      <c r="CS33" s="41">
        <v>1000</v>
      </c>
      <c r="DO33" s="5"/>
      <c r="DP33" s="5"/>
      <c r="DY33" s="2"/>
      <c r="DZ33" s="2"/>
      <c r="EB33" s="41">
        <v>1000</v>
      </c>
      <c r="EW33" s="5"/>
      <c r="EX33" s="5"/>
      <c r="FG33" s="2"/>
      <c r="FH33" s="2"/>
      <c r="FJ33" s="41">
        <v>1000</v>
      </c>
      <c r="GE33" s="5"/>
      <c r="GF33" s="5"/>
      <c r="GO33" s="2"/>
      <c r="GP33" s="2"/>
      <c r="GR33" s="41">
        <v>1000</v>
      </c>
      <c r="HM33" s="5"/>
      <c r="HN33" s="5"/>
      <c r="HW33" s="2"/>
      <c r="HX33" s="2"/>
      <c r="HZ33" s="41">
        <v>1000</v>
      </c>
      <c r="IU33" s="5"/>
      <c r="IV33" s="5"/>
      <c r="JE33" s="2"/>
      <c r="JF33" s="2"/>
      <c r="JH33" s="41">
        <v>1000</v>
      </c>
      <c r="KC33" s="5"/>
      <c r="KD33" s="5"/>
      <c r="KM33" s="2"/>
      <c r="KN33" s="2"/>
      <c r="KP33" s="41">
        <v>1000</v>
      </c>
      <c r="LK33" s="5"/>
      <c r="LL33" s="5"/>
      <c r="LU33" s="2"/>
      <c r="LV33" s="2"/>
      <c r="LX33" s="41">
        <v>1000</v>
      </c>
      <c r="MS33" s="5"/>
      <c r="MT33" s="5"/>
      <c r="NC33" s="2"/>
      <c r="ND33" s="2"/>
      <c r="NF33" s="41">
        <v>1000</v>
      </c>
      <c r="OA33" s="5"/>
      <c r="OB33" s="5"/>
      <c r="OK33" s="2"/>
      <c r="OL33" s="2"/>
      <c r="ON33" s="41">
        <v>1000</v>
      </c>
      <c r="PI33" s="5"/>
      <c r="PJ33" s="5"/>
      <c r="PS33" s="2"/>
      <c r="PT33" s="2"/>
      <c r="PV33" s="41">
        <v>1000</v>
      </c>
      <c r="QQ33" s="5"/>
      <c r="QR33" s="5"/>
      <c r="RA33" s="2"/>
      <c r="RB33" s="2"/>
      <c r="RD33" s="41">
        <v>1000</v>
      </c>
      <c r="RY33" s="5"/>
      <c r="RZ33" s="5"/>
      <c r="SI33" s="2"/>
      <c r="SJ33" s="2"/>
      <c r="SL33" s="41">
        <v>1000</v>
      </c>
      <c r="TG33" s="5"/>
      <c r="TH33" s="5"/>
      <c r="TQ33" s="2"/>
      <c r="TR33" s="2"/>
      <c r="TT33" s="41">
        <v>1000</v>
      </c>
      <c r="UO33" s="5"/>
      <c r="UP33" s="5"/>
      <c r="UY33" s="2"/>
      <c r="UZ33" s="2"/>
      <c r="VB33" s="41">
        <v>1000</v>
      </c>
      <c r="VW33" s="5"/>
      <c r="VX33" s="5"/>
      <c r="WG33" s="2"/>
      <c r="WH33" s="2"/>
      <c r="WJ33" s="41">
        <v>1000</v>
      </c>
    </row>
    <row r="34" spans="1:608" x14ac:dyDescent="0.2">
      <c r="A34" s="5"/>
      <c r="B34" s="30" t="s">
        <v>37</v>
      </c>
      <c r="C34" s="5"/>
      <c r="AJ34" s="37"/>
      <c r="AK34" s="37"/>
      <c r="AL34" s="37"/>
      <c r="AM34" s="28"/>
      <c r="AN34" s="28"/>
      <c r="AO34" s="28"/>
      <c r="AP34" s="28"/>
      <c r="AQ34" s="42">
        <v>54</v>
      </c>
      <c r="BK34" s="37"/>
      <c r="BL34" s="37"/>
      <c r="BM34" s="37"/>
      <c r="BO34" s="28"/>
      <c r="BP34" s="28"/>
      <c r="BR34" s="42">
        <v>54</v>
      </c>
      <c r="CL34" s="37"/>
      <c r="CM34" s="37"/>
      <c r="CN34" s="37"/>
      <c r="CO34" s="28"/>
      <c r="CP34" s="28"/>
      <c r="CQ34" s="28"/>
      <c r="CR34" s="28"/>
      <c r="CS34" s="42">
        <v>54.5</v>
      </c>
      <c r="DO34" s="5"/>
      <c r="DP34" s="5"/>
      <c r="DY34" s="2"/>
      <c r="DZ34" s="2"/>
      <c r="EB34" s="42">
        <v>54</v>
      </c>
      <c r="EW34" s="5"/>
      <c r="EX34" s="5"/>
      <c r="FG34" s="2"/>
      <c r="FH34" s="2"/>
      <c r="FJ34" s="42">
        <v>54</v>
      </c>
      <c r="GE34" s="5"/>
      <c r="GF34" s="5"/>
      <c r="GO34" s="2"/>
      <c r="GP34" s="2"/>
      <c r="GR34" s="42">
        <v>54</v>
      </c>
      <c r="HM34" s="5"/>
      <c r="HN34" s="5"/>
      <c r="HW34" s="2"/>
      <c r="HX34" s="2"/>
      <c r="HZ34" s="42">
        <v>54</v>
      </c>
      <c r="IU34" s="5"/>
      <c r="IV34" s="5"/>
      <c r="JE34" s="2"/>
      <c r="JF34" s="2"/>
      <c r="JH34" s="42">
        <v>54</v>
      </c>
      <c r="KC34" s="5"/>
      <c r="KD34" s="5"/>
      <c r="KM34" s="2"/>
      <c r="KN34" s="2"/>
      <c r="KP34" s="42">
        <v>54</v>
      </c>
      <c r="LK34" s="5"/>
      <c r="LL34" s="5"/>
      <c r="LU34" s="2"/>
      <c r="LV34" s="2"/>
      <c r="LX34" s="42">
        <v>54</v>
      </c>
      <c r="MS34" s="5"/>
      <c r="MT34" s="5"/>
      <c r="NC34" s="2"/>
      <c r="ND34" s="2"/>
      <c r="NF34" s="42">
        <v>54</v>
      </c>
      <c r="OA34" s="5"/>
      <c r="OB34" s="5"/>
      <c r="OK34" s="2"/>
      <c r="OL34" s="2"/>
      <c r="ON34" s="42">
        <v>54.5</v>
      </c>
      <c r="PI34" s="5"/>
      <c r="PJ34" s="5"/>
      <c r="PS34" s="2"/>
      <c r="PT34" s="2"/>
      <c r="PV34" s="42">
        <v>54.5</v>
      </c>
      <c r="QQ34" s="5"/>
      <c r="QR34" s="5"/>
      <c r="RA34" s="2"/>
      <c r="RB34" s="2"/>
      <c r="RD34" s="42">
        <v>54.5</v>
      </c>
      <c r="RY34" s="5"/>
      <c r="RZ34" s="5"/>
      <c r="SI34" s="2"/>
      <c r="SJ34" s="2"/>
      <c r="SL34" s="42">
        <v>54.5</v>
      </c>
      <c r="TG34" s="5"/>
      <c r="TH34" s="5"/>
      <c r="TQ34" s="2"/>
      <c r="TR34" s="2"/>
      <c r="TT34" s="42">
        <v>54.5</v>
      </c>
      <c r="UO34" s="5"/>
      <c r="UP34" s="5"/>
      <c r="UY34" s="2"/>
      <c r="UZ34" s="2"/>
      <c r="VB34" s="42">
        <v>54.5</v>
      </c>
      <c r="VW34" s="5"/>
      <c r="VX34" s="5"/>
      <c r="WG34" s="2"/>
      <c r="WH34" s="2"/>
      <c r="WJ34" s="42">
        <v>54.5</v>
      </c>
    </row>
    <row r="35" spans="1:608" hidden="1" x14ac:dyDescent="0.2">
      <c r="A35" s="5"/>
      <c r="B35" s="20" t="s">
        <v>38</v>
      </c>
      <c r="C35" s="5"/>
      <c r="AJ35" s="37"/>
      <c r="AK35" s="37"/>
      <c r="AL35" s="37"/>
      <c r="AM35" s="28"/>
      <c r="AN35" s="28"/>
      <c r="AO35" s="28"/>
      <c r="AP35" s="28"/>
      <c r="AQ35" s="43">
        <v>1000</v>
      </c>
      <c r="BK35" s="37"/>
      <c r="BL35" s="37"/>
      <c r="BM35" s="37"/>
      <c r="BO35" s="28"/>
      <c r="BP35" s="28"/>
      <c r="BR35" s="43">
        <v>1000</v>
      </c>
      <c r="CL35" s="37"/>
      <c r="CM35" s="37"/>
      <c r="CN35" s="37"/>
      <c r="CO35" s="28"/>
      <c r="CP35" s="28"/>
      <c r="CQ35" s="28"/>
      <c r="CR35" s="28"/>
      <c r="CS35" s="43">
        <v>1000</v>
      </c>
      <c r="DO35" s="5"/>
      <c r="DP35" s="5"/>
      <c r="DY35" s="2"/>
      <c r="DZ35" s="2"/>
      <c r="EB35" s="43">
        <v>1000</v>
      </c>
      <c r="EW35" s="5"/>
      <c r="EX35" s="5"/>
      <c r="FG35" s="2"/>
      <c r="FH35" s="2"/>
      <c r="FJ35" s="43">
        <v>1000</v>
      </c>
      <c r="GE35" s="5"/>
      <c r="GF35" s="5"/>
      <c r="GO35" s="2"/>
      <c r="GP35" s="2"/>
      <c r="GR35" s="43">
        <v>1000</v>
      </c>
      <c r="HM35" s="5"/>
      <c r="HN35" s="5"/>
      <c r="HW35" s="2"/>
      <c r="HX35" s="2"/>
      <c r="HZ35" s="43">
        <v>1000</v>
      </c>
      <c r="IU35" s="5"/>
      <c r="IV35" s="5"/>
      <c r="JE35" s="2"/>
      <c r="JF35" s="2"/>
      <c r="JH35" s="43">
        <v>1000</v>
      </c>
      <c r="KC35" s="5"/>
      <c r="KD35" s="5"/>
      <c r="KM35" s="2"/>
      <c r="KN35" s="2"/>
      <c r="KP35" s="43">
        <v>1000</v>
      </c>
      <c r="LK35" s="5"/>
      <c r="LL35" s="5"/>
      <c r="LU35" s="2"/>
      <c r="LV35" s="2"/>
      <c r="LX35" s="43">
        <v>1000</v>
      </c>
      <c r="MS35" s="5"/>
      <c r="MT35" s="5"/>
      <c r="NC35" s="2"/>
      <c r="ND35" s="2"/>
      <c r="NF35" s="43">
        <v>1000</v>
      </c>
      <c r="OA35" s="5"/>
      <c r="OB35" s="5"/>
      <c r="OK35" s="2"/>
      <c r="OL35" s="2"/>
      <c r="ON35" s="43">
        <v>1000</v>
      </c>
      <c r="PI35" s="5"/>
      <c r="PJ35" s="5"/>
      <c r="PS35" s="2"/>
      <c r="PT35" s="2"/>
      <c r="PV35" s="43">
        <v>1000</v>
      </c>
      <c r="QQ35" s="5"/>
      <c r="QR35" s="5"/>
      <c r="RA35" s="2"/>
      <c r="RB35" s="2"/>
      <c r="RD35" s="43">
        <v>1000</v>
      </c>
      <c r="RY35" s="5"/>
      <c r="RZ35" s="5"/>
      <c r="SI35" s="2"/>
      <c r="SJ35" s="2"/>
      <c r="SL35" s="43">
        <v>1000</v>
      </c>
      <c r="TG35" s="5"/>
      <c r="TH35" s="5"/>
      <c r="TQ35" s="2"/>
      <c r="TR35" s="2"/>
      <c r="TT35" s="43">
        <v>1000</v>
      </c>
      <c r="UO35" s="5"/>
      <c r="UP35" s="5"/>
      <c r="UY35" s="2"/>
      <c r="UZ35" s="2"/>
      <c r="VB35" s="43">
        <v>1000</v>
      </c>
      <c r="VW35" s="5"/>
      <c r="VX35" s="5"/>
      <c r="WG35" s="2"/>
      <c r="WH35" s="2"/>
      <c r="WJ35" s="43">
        <v>1000</v>
      </c>
    </row>
    <row r="36" spans="1:608" hidden="1" x14ac:dyDescent="0.2">
      <c r="A36" s="5"/>
      <c r="B36" s="29" t="s">
        <v>49</v>
      </c>
      <c r="C36" s="5"/>
      <c r="AJ36" s="37"/>
      <c r="AK36" s="37"/>
      <c r="AL36" s="37"/>
      <c r="AM36" s="28"/>
      <c r="AN36" s="28"/>
      <c r="AO36" s="28"/>
      <c r="AP36" s="28"/>
      <c r="AQ36" s="44">
        <v>1000</v>
      </c>
      <c r="BK36" s="37"/>
      <c r="BL36" s="37"/>
      <c r="BM36" s="37"/>
      <c r="BO36" s="28"/>
      <c r="BP36" s="28"/>
      <c r="BR36" s="44">
        <v>1000</v>
      </c>
      <c r="CL36" s="37"/>
      <c r="CM36" s="37"/>
      <c r="CN36" s="37"/>
      <c r="CO36" s="28"/>
      <c r="CP36" s="28"/>
      <c r="CQ36" s="28"/>
      <c r="CR36" s="28"/>
      <c r="CS36" s="44">
        <v>1000</v>
      </c>
      <c r="DO36" s="5"/>
      <c r="DP36" s="5"/>
      <c r="DY36" s="2"/>
      <c r="DZ36" s="2"/>
      <c r="EA36" s="33"/>
      <c r="EB36" s="44">
        <v>1000</v>
      </c>
      <c r="EW36" s="5"/>
      <c r="EX36" s="5"/>
      <c r="FG36" s="2"/>
      <c r="FH36" s="2"/>
      <c r="FI36" s="33"/>
      <c r="FJ36" s="44">
        <v>1000</v>
      </c>
      <c r="GE36" s="5"/>
      <c r="GF36" s="5"/>
      <c r="GO36" s="2"/>
      <c r="GP36" s="2"/>
      <c r="GQ36" s="33"/>
      <c r="GR36" s="44">
        <v>1000</v>
      </c>
      <c r="HM36" s="5"/>
      <c r="HN36" s="5"/>
      <c r="HW36" s="2"/>
      <c r="HX36" s="2"/>
      <c r="HY36" s="33"/>
      <c r="HZ36" s="44">
        <v>1000</v>
      </c>
      <c r="IU36" s="5"/>
      <c r="IV36" s="5"/>
      <c r="JE36" s="2"/>
      <c r="JF36" s="2"/>
      <c r="JG36" s="33"/>
      <c r="JH36" s="44">
        <v>1000</v>
      </c>
      <c r="KC36" s="5"/>
      <c r="KD36" s="5"/>
      <c r="KM36" s="2"/>
      <c r="KN36" s="2"/>
      <c r="KO36" s="33"/>
      <c r="KP36" s="44">
        <v>1000</v>
      </c>
      <c r="LK36" s="5"/>
      <c r="LL36" s="5"/>
      <c r="LU36" s="2"/>
      <c r="LV36" s="2"/>
      <c r="LW36" s="33"/>
      <c r="LX36" s="44">
        <v>1000</v>
      </c>
      <c r="MS36" s="5"/>
      <c r="MT36" s="5"/>
      <c r="NC36" s="2"/>
      <c r="ND36" s="2"/>
      <c r="NE36" s="33"/>
      <c r="NF36" s="44">
        <v>1000</v>
      </c>
      <c r="OA36" s="5"/>
      <c r="OB36" s="5"/>
      <c r="OK36" s="2"/>
      <c r="OL36" s="2"/>
      <c r="OM36" s="33"/>
      <c r="ON36" s="44">
        <v>1000</v>
      </c>
      <c r="PI36" s="5"/>
      <c r="PJ36" s="5"/>
      <c r="PS36" s="2"/>
      <c r="PT36" s="2"/>
      <c r="PU36" s="33"/>
      <c r="PV36" s="44">
        <v>1000</v>
      </c>
      <c r="QQ36" s="5"/>
      <c r="QR36" s="5"/>
      <c r="RA36" s="2"/>
      <c r="RB36" s="2"/>
      <c r="RC36" s="33"/>
      <c r="RD36" s="44">
        <v>1000</v>
      </c>
      <c r="RY36" s="5"/>
      <c r="RZ36" s="5"/>
      <c r="SI36" s="2"/>
      <c r="SJ36" s="2"/>
      <c r="SK36" s="33"/>
      <c r="SL36" s="44">
        <v>1000</v>
      </c>
      <c r="TG36" s="5"/>
      <c r="TH36" s="5"/>
      <c r="TQ36" s="2"/>
      <c r="TR36" s="2"/>
      <c r="TS36" s="33"/>
      <c r="TT36" s="44">
        <v>1000</v>
      </c>
      <c r="UO36" s="5"/>
      <c r="UP36" s="5"/>
      <c r="UY36" s="2"/>
      <c r="UZ36" s="2"/>
      <c r="VA36" s="33"/>
      <c r="VB36" s="44">
        <v>1000</v>
      </c>
      <c r="VW36" s="5"/>
      <c r="VX36" s="5"/>
      <c r="WG36" s="2"/>
      <c r="WH36" s="2"/>
      <c r="WI36" s="33"/>
      <c r="WJ36" s="44">
        <v>1000</v>
      </c>
    </row>
    <row r="37" spans="1:608" hidden="1" x14ac:dyDescent="0.2">
      <c r="A37" s="5"/>
      <c r="B37" s="21" t="s">
        <v>30</v>
      </c>
      <c r="C37" s="5"/>
      <c r="AJ37" s="37"/>
      <c r="AK37" s="37"/>
      <c r="AL37" s="37"/>
      <c r="AM37" s="28"/>
      <c r="AN37" s="37"/>
      <c r="AO37" s="37"/>
      <c r="AP37" s="28"/>
      <c r="AQ37" s="45">
        <v>1000</v>
      </c>
      <c r="BK37" s="37"/>
      <c r="BL37" s="37"/>
      <c r="BM37" s="37"/>
      <c r="BO37" s="37"/>
      <c r="BP37" s="28"/>
      <c r="BR37" s="45">
        <v>1000</v>
      </c>
      <c r="CL37" s="37"/>
      <c r="CM37" s="37"/>
      <c r="CN37" s="37"/>
      <c r="CO37" s="28"/>
      <c r="CP37" s="37"/>
      <c r="CQ37" s="28"/>
      <c r="CR37" s="28"/>
      <c r="CS37" s="45">
        <v>1000</v>
      </c>
      <c r="DO37" s="5"/>
      <c r="DP37" s="5"/>
      <c r="DY37" s="37"/>
      <c r="DZ37" s="2"/>
      <c r="EB37" s="45">
        <v>1000</v>
      </c>
      <c r="EW37" s="5"/>
      <c r="EX37" s="5"/>
      <c r="FG37" s="37"/>
      <c r="FH37" s="2"/>
      <c r="FJ37" s="45">
        <v>1000</v>
      </c>
      <c r="GE37" s="5"/>
      <c r="GF37" s="5"/>
      <c r="GO37" s="2"/>
      <c r="GP37" s="2"/>
      <c r="GR37" s="45">
        <v>1000</v>
      </c>
      <c r="HM37" s="5"/>
      <c r="HN37" s="5"/>
      <c r="HW37" s="37"/>
      <c r="HX37" s="2"/>
      <c r="HZ37" s="45">
        <v>1000</v>
      </c>
      <c r="IU37" s="5"/>
      <c r="IV37" s="5"/>
      <c r="JE37" s="2"/>
      <c r="JF37" s="2"/>
      <c r="JH37" s="45">
        <v>1000</v>
      </c>
      <c r="KC37" s="5"/>
      <c r="KD37" s="5"/>
      <c r="KM37" s="2"/>
      <c r="KN37" s="2"/>
      <c r="KP37" s="45">
        <v>1000</v>
      </c>
      <c r="LK37" s="5"/>
      <c r="LL37" s="5"/>
      <c r="LU37" s="2"/>
      <c r="LV37" s="2"/>
      <c r="LX37" s="45">
        <v>1000</v>
      </c>
      <c r="MS37" s="5"/>
      <c r="MT37" s="5"/>
      <c r="NC37" s="2"/>
      <c r="ND37" s="2"/>
      <c r="NF37" s="45">
        <v>1000</v>
      </c>
      <c r="OA37" s="5"/>
      <c r="OB37" s="5"/>
      <c r="OK37" s="2"/>
      <c r="OL37" s="2"/>
      <c r="ON37" s="45">
        <v>1000</v>
      </c>
      <c r="PI37" s="5"/>
      <c r="PJ37" s="5"/>
      <c r="PS37" s="2"/>
      <c r="PT37" s="2"/>
      <c r="PV37" s="45">
        <v>1000</v>
      </c>
      <c r="QQ37" s="5"/>
      <c r="QR37" s="5"/>
      <c r="RA37" s="2"/>
      <c r="RB37" s="2"/>
      <c r="RD37" s="45">
        <v>1000</v>
      </c>
      <c r="RY37" s="5"/>
      <c r="RZ37" s="5"/>
      <c r="SI37" s="2"/>
      <c r="SJ37" s="2"/>
      <c r="SL37" s="45">
        <v>1000</v>
      </c>
      <c r="TG37" s="5"/>
      <c r="TH37" s="5"/>
      <c r="TQ37" s="2"/>
      <c r="TR37" s="2"/>
      <c r="TT37" s="45">
        <v>1000</v>
      </c>
      <c r="UO37" s="5"/>
      <c r="UP37" s="5"/>
      <c r="UY37" s="2"/>
      <c r="UZ37" s="2"/>
      <c r="VB37" s="45">
        <v>1000</v>
      </c>
      <c r="VW37" s="5"/>
      <c r="VX37" s="5"/>
      <c r="WG37" s="2"/>
      <c r="WH37" s="2"/>
      <c r="WJ37" s="45">
        <v>1000</v>
      </c>
    </row>
    <row r="38" spans="1:608" x14ac:dyDescent="0.2">
      <c r="B38" s="25" t="s">
        <v>43</v>
      </c>
      <c r="C38" s="2"/>
      <c r="AM38" s="28"/>
      <c r="AP38" s="28"/>
      <c r="CO38" s="28"/>
      <c r="CR38" s="28"/>
    </row>
    <row r="39" spans="1:608" x14ac:dyDescent="0.2">
      <c r="A39" s="5"/>
      <c r="B39" s="5"/>
      <c r="C39" s="17"/>
      <c r="AI39" s="28"/>
      <c r="AJ39" s="28"/>
      <c r="AK39" s="28"/>
      <c r="AL39" s="28"/>
      <c r="AM39" s="28"/>
      <c r="AP39" s="28"/>
      <c r="CK39" s="28"/>
      <c r="CL39" s="28"/>
      <c r="CM39" s="28"/>
      <c r="CN39" s="28"/>
      <c r="CO39" s="28"/>
      <c r="CR39" s="28"/>
    </row>
    <row r="40" spans="1:608" ht="17" x14ac:dyDescent="0.2">
      <c r="A40" s="5"/>
      <c r="B40" s="5"/>
      <c r="C40" s="17"/>
      <c r="N40" s="10"/>
      <c r="O40" s="10"/>
      <c r="AI40" s="28"/>
      <c r="AJ40" s="28"/>
      <c r="AK40" s="28"/>
      <c r="AL40" s="28"/>
      <c r="AM40" s="28"/>
      <c r="AP40" s="28"/>
      <c r="CK40" s="28"/>
      <c r="CL40" s="28"/>
      <c r="CM40" s="28"/>
      <c r="CN40" s="28"/>
      <c r="CO40" s="28"/>
      <c r="CR40" s="28"/>
    </row>
    <row r="41" spans="1:608" ht="17" x14ac:dyDescent="0.2">
      <c r="A41" s="5"/>
      <c r="B41" s="5"/>
      <c r="C41" s="17"/>
      <c r="N41" s="10"/>
      <c r="AI41" s="28"/>
      <c r="AJ41" s="28"/>
      <c r="AK41" s="28"/>
      <c r="AL41" s="28"/>
      <c r="AM41" s="28"/>
      <c r="AP41" s="28"/>
      <c r="CK41" s="28"/>
      <c r="CL41" s="28"/>
      <c r="CM41" s="28"/>
      <c r="CN41" s="28"/>
      <c r="CO41" s="28"/>
      <c r="CR41" s="28"/>
    </row>
    <row r="42" spans="1:608" ht="17" x14ac:dyDescent="0.2">
      <c r="N42" s="10"/>
      <c r="O42" s="10"/>
      <c r="AI42" s="28"/>
      <c r="AJ42" s="28"/>
      <c r="AK42" s="28"/>
      <c r="AL42" s="28"/>
      <c r="AM42" s="28"/>
      <c r="AP42" s="28"/>
      <c r="CK42" s="28"/>
      <c r="CL42" s="28"/>
      <c r="CM42" s="28"/>
      <c r="CN42" s="28"/>
      <c r="CO42" s="28"/>
      <c r="CR42" s="28"/>
    </row>
    <row r="43" spans="1:608" ht="17" x14ac:dyDescent="0.2">
      <c r="N43" s="10"/>
      <c r="O43" s="10"/>
      <c r="AI43" s="28"/>
      <c r="AJ43" s="28"/>
      <c r="AK43" s="28"/>
      <c r="AL43" s="28"/>
      <c r="AM43" s="28"/>
      <c r="AP43" s="28"/>
      <c r="CK43" s="28"/>
      <c r="CL43" s="28"/>
      <c r="CM43" s="28"/>
      <c r="CN43" s="28"/>
      <c r="CO43" s="28"/>
      <c r="CR43" s="28"/>
    </row>
    <row r="44" spans="1:608" ht="17" x14ac:dyDescent="0.2">
      <c r="N44" s="10"/>
      <c r="O44" s="10"/>
      <c r="AI44" s="28"/>
      <c r="AJ44" s="28"/>
      <c r="AK44" s="28"/>
      <c r="AL44" s="28"/>
      <c r="AM44" s="28"/>
      <c r="AP44" s="28"/>
      <c r="CK44" s="28"/>
      <c r="CL44" s="28"/>
      <c r="CM44" s="28"/>
      <c r="CN44" s="28"/>
      <c r="CO44" s="28"/>
      <c r="CR44" s="28"/>
    </row>
    <row r="45" spans="1:608" ht="17" x14ac:dyDescent="0.2">
      <c r="N45" s="10"/>
      <c r="O45" s="10"/>
      <c r="P45" s="10"/>
    </row>
    <row r="46" spans="1:608" ht="17" x14ac:dyDescent="0.2">
      <c r="N46" s="10"/>
      <c r="O46" s="10"/>
      <c r="P46" s="10"/>
    </row>
    <row r="47" spans="1:608" ht="17" x14ac:dyDescent="0.2">
      <c r="N47" s="10"/>
      <c r="O47" s="10"/>
      <c r="P47" s="10"/>
    </row>
    <row r="48" spans="1:608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  <row r="53" spans="14:16" ht="17" x14ac:dyDescent="0.2">
      <c r="N53" s="10"/>
      <c r="O53" s="10"/>
      <c r="P53" s="10"/>
    </row>
    <row r="54" spans="14:16" ht="17" x14ac:dyDescent="0.2">
      <c r="N54" s="10"/>
      <c r="O54" s="10"/>
      <c r="P54" s="10"/>
    </row>
    <row r="55" spans="14:16" ht="17" x14ac:dyDescent="0.2">
      <c r="N55" s="10"/>
      <c r="O55" s="10"/>
      <c r="P55" s="10"/>
    </row>
    <row r="56" spans="14:16" ht="17" x14ac:dyDescent="0.2">
      <c r="N56" s="10"/>
      <c r="O56" s="10"/>
      <c r="P56" s="10"/>
    </row>
    <row r="57" spans="14:16" ht="17" x14ac:dyDescent="0.2">
      <c r="N57" s="10"/>
      <c r="O57" s="10"/>
      <c r="P57" s="10"/>
    </row>
    <row r="58" spans="14:16" ht="17" x14ac:dyDescent="0.2">
      <c r="N58" s="10"/>
      <c r="O58" s="10"/>
      <c r="P58" s="10"/>
    </row>
    <row r="59" spans="14:16" ht="17" x14ac:dyDescent="0.2">
      <c r="N59" s="10"/>
      <c r="O59" s="10"/>
      <c r="P59" s="10"/>
    </row>
  </sheetData>
  <sheetProtection sheet="1" formatCells="0" formatColumns="0" formatRows="0"/>
  <autoFilter ref="A1:WJ1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sortState xmlns:xlrd2="http://schemas.microsoft.com/office/spreadsheetml/2017/richdata2" ref="A6:WJ29">
      <sortCondition descending="1" ref="F1:F30"/>
    </sortState>
  </autoFilter>
  <mergeCells count="103">
    <mergeCell ref="A1:A3"/>
    <mergeCell ref="B1:B3"/>
    <mergeCell ref="C1:C3"/>
    <mergeCell ref="D1:D3"/>
    <mergeCell ref="E1:E3"/>
    <mergeCell ref="F1:F3"/>
    <mergeCell ref="BS1:CS1"/>
    <mergeCell ref="CU1:EB1"/>
    <mergeCell ref="EC1:FJ1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EM2:EQ2"/>
    <mergeCell ref="ER2:EV2"/>
    <mergeCell ref="VC1:WJ1"/>
    <mergeCell ref="Q2:U2"/>
    <mergeCell ref="V2:Z2"/>
    <mergeCell ref="AA2:AE2"/>
    <mergeCell ref="AR2:AV2"/>
    <mergeCell ref="AW2:BA2"/>
    <mergeCell ref="BB2:BF2"/>
    <mergeCell ref="BS2:BW2"/>
    <mergeCell ref="BX2:CB2"/>
    <mergeCell ref="CC2:CG2"/>
    <mergeCell ref="NG1:ON1"/>
    <mergeCell ref="OO1:PV1"/>
    <mergeCell ref="PW1:RD1"/>
    <mergeCell ref="RE1:SL1"/>
    <mergeCell ref="SM1:TT1"/>
    <mergeCell ref="TU1:VB1"/>
    <mergeCell ref="FK1:GR1"/>
    <mergeCell ref="GS1:HZ1"/>
    <mergeCell ref="IA1:JH1"/>
    <mergeCell ref="JI1:KP1"/>
    <mergeCell ref="KQ1:LX1"/>
    <mergeCell ref="LY1:NF1"/>
    <mergeCell ref="Q1:AQ1"/>
    <mergeCell ref="AR1:BR1"/>
    <mergeCell ref="FK2:FO2"/>
    <mergeCell ref="FP2:FT2"/>
    <mergeCell ref="FU2:FY2"/>
    <mergeCell ref="FZ2:GD2"/>
    <mergeCell ref="CU2:CY2"/>
    <mergeCell ref="CZ2:DD2"/>
    <mergeCell ref="DE2:DI2"/>
    <mergeCell ref="DJ2:DN2"/>
    <mergeCell ref="EC2:EG2"/>
    <mergeCell ref="EH2:EL2"/>
    <mergeCell ref="IK2:IO2"/>
    <mergeCell ref="IP2:IT2"/>
    <mergeCell ref="JI2:JM2"/>
    <mergeCell ref="JN2:JR2"/>
    <mergeCell ref="JS2:JW2"/>
    <mergeCell ref="JX2:KB2"/>
    <mergeCell ref="GS2:GW2"/>
    <mergeCell ref="GX2:HB2"/>
    <mergeCell ref="HC2:HG2"/>
    <mergeCell ref="HH2:HL2"/>
    <mergeCell ref="IA2:IE2"/>
    <mergeCell ref="IF2:IJ2"/>
    <mergeCell ref="MI2:MM2"/>
    <mergeCell ref="MN2:MR2"/>
    <mergeCell ref="NG2:NK2"/>
    <mergeCell ref="NL2:NP2"/>
    <mergeCell ref="NQ2:NU2"/>
    <mergeCell ref="NV2:NZ2"/>
    <mergeCell ref="KQ2:KU2"/>
    <mergeCell ref="KV2:KZ2"/>
    <mergeCell ref="LA2:LE2"/>
    <mergeCell ref="LF2:LJ2"/>
    <mergeCell ref="LY2:MC2"/>
    <mergeCell ref="MD2:MH2"/>
    <mergeCell ref="QG2:QK2"/>
    <mergeCell ref="QL2:QP2"/>
    <mergeCell ref="RE2:RI2"/>
    <mergeCell ref="RJ2:RN2"/>
    <mergeCell ref="RO2:RS2"/>
    <mergeCell ref="RT2:RX2"/>
    <mergeCell ref="OO2:OS2"/>
    <mergeCell ref="OT2:OX2"/>
    <mergeCell ref="OY2:PC2"/>
    <mergeCell ref="PD2:PH2"/>
    <mergeCell ref="PW2:QA2"/>
    <mergeCell ref="QB2:QF2"/>
    <mergeCell ref="UE2:UI2"/>
    <mergeCell ref="UJ2:UN2"/>
    <mergeCell ref="VC2:VG2"/>
    <mergeCell ref="VH2:VL2"/>
    <mergeCell ref="VM2:VQ2"/>
    <mergeCell ref="VR2:VV2"/>
    <mergeCell ref="SM2:SQ2"/>
    <mergeCell ref="SR2:SV2"/>
    <mergeCell ref="SW2:TA2"/>
    <mergeCell ref="TB2:TF2"/>
    <mergeCell ref="TU2:TY2"/>
    <mergeCell ref="TZ2:UD2"/>
  </mergeCells>
  <conditionalFormatting sqref="H1:H1048576">
    <cfRule type="containsText" dxfId="694" priority="129" operator="containsText" text="No DD">
      <formula>NOT(ISERROR(SEARCH("No DD",H1)))</formula>
    </cfRule>
    <cfRule type="containsText" dxfId="693" priority="130" operator="containsText" text="Merit">
      <formula>NOT(ISERROR(SEARCH("Merit",H1)))</formula>
    </cfRule>
    <cfRule type="containsText" dxfId="692" priority="131" operator="containsText" text="Excellence">
      <formula>NOT(ISERROR(SEARCH("Excellence",H1)))</formula>
    </cfRule>
    <cfRule type="containsText" dxfId="691" priority="132" operator="containsText" text="Worlds Team">
      <formula>NOT(ISERROR(SEARCH("Worlds Team",H1)))</formula>
    </cfRule>
    <cfRule type="containsText" dxfId="690" priority="133" operator="containsText" text="National Team">
      <formula>NOT(ISERROR(SEARCH("National Team",H1)))</formula>
    </cfRule>
  </conditionalFormatting>
  <conditionalFormatting sqref="Q4:AQ27">
    <cfRule type="expression" dxfId="689" priority="128" stopIfTrue="1">
      <formula>IF($AF4&lt;&gt;"",1,0)</formula>
    </cfRule>
  </conditionalFormatting>
  <conditionalFormatting sqref="AR4:BR27">
    <cfRule type="expression" dxfId="688" priority="127" stopIfTrue="1">
      <formula>IF($BG4&lt;&gt;"",1,0)</formula>
    </cfRule>
  </conditionalFormatting>
  <conditionalFormatting sqref="BS4:CS27">
    <cfRule type="expression" dxfId="687" priority="126" stopIfTrue="1">
      <formula>IF($CH4&lt;&gt;"",1,0)</formula>
    </cfRule>
  </conditionalFormatting>
  <conditionalFormatting sqref="BO38:BO1048576 BH1:BH1048576 BK1:BK1048576 BO1:BO36">
    <cfRule type="cellIs" dxfId="686" priority="122" operator="between">
      <formula>$BR$33</formula>
      <formula>1000</formula>
    </cfRule>
    <cfRule type="cellIs" dxfId="685" priority="123" operator="between">
      <formula>$BR$32</formula>
      <formula>$BR$33</formula>
    </cfRule>
    <cfRule type="cellIs" dxfId="684" priority="124" operator="between">
      <formula>$BR$31</formula>
      <formula>$BR$32</formula>
    </cfRule>
    <cfRule type="cellIs" dxfId="683" priority="125" operator="between">
      <formula>$BR$30</formula>
      <formula>$BR$31</formula>
    </cfRule>
  </conditionalFormatting>
  <conditionalFormatting sqref="CP38:CP1048576 CI1:CI1048576 CL1:CL1048576 CP1:CP36">
    <cfRule type="cellIs" dxfId="682" priority="118" operator="between">
      <formula>$CS$33</formula>
      <formula>1000</formula>
    </cfRule>
    <cfRule type="cellIs" dxfId="681" priority="119" operator="between">
      <formula>$CS$32</formula>
      <formula>$CS$33</formula>
    </cfRule>
    <cfRule type="cellIs" dxfId="680" priority="120" operator="between">
      <formula>$CS$31</formula>
      <formula>$CS$32</formula>
    </cfRule>
    <cfRule type="cellIs" dxfId="679" priority="121" operator="between">
      <formula>$CS$30</formula>
      <formula>$CS$31</formula>
    </cfRule>
  </conditionalFormatting>
  <conditionalFormatting sqref="DY38:DY1048576 DO1:DO1048576 DR1:DR1048576 DV1:DV1048576 DY1:DY36">
    <cfRule type="cellIs" dxfId="678" priority="117" operator="between">
      <formula>$EB$30</formula>
      <formula>$EB$31</formula>
    </cfRule>
  </conditionalFormatting>
  <conditionalFormatting sqref="FG38:FG1048576 EW1:EW1048576 EZ1:EZ1048576 FD1:FD1048576 FG1:FG36">
    <cfRule type="cellIs" dxfId="677" priority="116" operator="between">
      <formula>$FJ$30</formula>
      <formula>$FJ$31</formula>
    </cfRule>
  </conditionalFormatting>
  <conditionalFormatting sqref="HW38:HW1048576 HM1:HM1048576 HP1:HP1048576 HT1:HT1048576 HW1:HW36">
    <cfRule type="cellIs" dxfId="676" priority="115" operator="between">
      <formula>$HZ$30</formula>
      <formula>$HZ$31</formula>
    </cfRule>
  </conditionalFormatting>
  <conditionalFormatting sqref="AO37 AG1:AG1048576 AJ1:AJ1048576 AN1:AN1048576">
    <cfRule type="cellIs" dxfId="675" priority="111" operator="between">
      <formula>$AQ$33</formula>
      <formula>1000</formula>
    </cfRule>
    <cfRule type="cellIs" dxfId="674" priority="112" operator="between">
      <formula>$AQ$32</formula>
      <formula>$AQ$33</formula>
    </cfRule>
    <cfRule type="cellIs" dxfId="673" priority="113" operator="between">
      <formula>$AQ$31</formula>
      <formula>$AQ$32</formula>
    </cfRule>
    <cfRule type="cellIs" dxfId="672" priority="114" operator="between">
      <formula>$AQ$30</formula>
      <formula>$AQ$31</formula>
    </cfRule>
  </conditionalFormatting>
  <conditionalFormatting sqref="BO37">
    <cfRule type="cellIs" dxfId="671" priority="107" operator="between">
      <formula>$AQ$33</formula>
      <formula>1000</formula>
    </cfRule>
    <cfRule type="cellIs" dxfId="670" priority="108" operator="between">
      <formula>$AQ$32</formula>
      <formula>$AQ$33</formula>
    </cfRule>
    <cfRule type="cellIs" dxfId="669" priority="109" operator="between">
      <formula>$AQ$31</formula>
      <formula>$AQ$32</formula>
    </cfRule>
    <cfRule type="cellIs" dxfId="668" priority="110" operator="between">
      <formula>$AQ$30</formula>
      <formula>$AQ$31</formula>
    </cfRule>
  </conditionalFormatting>
  <conditionalFormatting sqref="CP37">
    <cfRule type="cellIs" dxfId="667" priority="103" operator="between">
      <formula>$AQ$33</formula>
      <formula>1000</formula>
    </cfRule>
    <cfRule type="cellIs" dxfId="666" priority="104" operator="between">
      <formula>$AQ$32</formula>
      <formula>$AQ$33</formula>
    </cfRule>
    <cfRule type="cellIs" dxfId="665" priority="105" operator="between">
      <formula>$AQ$31</formula>
      <formula>$AQ$32</formula>
    </cfRule>
    <cfRule type="cellIs" dxfId="664" priority="106" operator="between">
      <formula>$AQ$30</formula>
      <formula>$AQ$31</formula>
    </cfRule>
  </conditionalFormatting>
  <conditionalFormatting sqref="DY37">
    <cfRule type="cellIs" dxfId="663" priority="99" operator="between">
      <formula>$AQ$33</formula>
      <formula>1000</formula>
    </cfRule>
    <cfRule type="cellIs" dxfId="662" priority="100" operator="between">
      <formula>$AQ$32</formula>
      <formula>$AQ$33</formula>
    </cfRule>
    <cfRule type="cellIs" dxfId="661" priority="101" operator="between">
      <formula>$AQ$31</formula>
      <formula>$AQ$32</formula>
    </cfRule>
    <cfRule type="cellIs" dxfId="660" priority="102" operator="between">
      <formula>$AQ$30</formula>
      <formula>$AQ$31</formula>
    </cfRule>
  </conditionalFormatting>
  <conditionalFormatting sqref="FG37">
    <cfRule type="cellIs" dxfId="659" priority="95" operator="between">
      <formula>$AQ$33</formula>
      <formula>1000</formula>
    </cfRule>
    <cfRule type="cellIs" dxfId="658" priority="96" operator="between">
      <formula>$AQ$32</formula>
      <formula>$AQ$33</formula>
    </cfRule>
    <cfRule type="cellIs" dxfId="657" priority="97" operator="between">
      <formula>$AQ$31</formula>
      <formula>$AQ$32</formula>
    </cfRule>
    <cfRule type="cellIs" dxfId="656" priority="98" operator="between">
      <formula>$AQ$30</formula>
      <formula>$AQ$31</formula>
    </cfRule>
  </conditionalFormatting>
  <conditionalFormatting sqref="HW37">
    <cfRule type="cellIs" dxfId="655" priority="91" operator="between">
      <formula>$AQ$33</formula>
      <formula>1000</formula>
    </cfRule>
    <cfRule type="cellIs" dxfId="654" priority="92" operator="between">
      <formula>$AQ$32</formula>
      <formula>$AQ$33</formula>
    </cfRule>
    <cfRule type="cellIs" dxfId="653" priority="93" operator="between">
      <formula>$AQ$31</formula>
      <formula>$AQ$32</formula>
    </cfRule>
    <cfRule type="cellIs" dxfId="652" priority="94" operator="between">
      <formula>$AQ$30</formula>
      <formula>$AQ$31</formula>
    </cfRule>
  </conditionalFormatting>
  <conditionalFormatting sqref="K1:K1048576 M1:M1048576">
    <cfRule type="expression" dxfId="651" priority="88" stopIfTrue="1">
      <formula>IF(K1=$BS$1,1,0)</formula>
    </cfRule>
    <cfRule type="expression" dxfId="650" priority="89">
      <formula>IF(K1=$AR$1,1,0)</formula>
    </cfRule>
    <cfRule type="expression" dxfId="649" priority="90">
      <formula>IF(K1=$Q$1,1,0)</formula>
    </cfRule>
  </conditionalFormatting>
  <conditionalFormatting sqref="A4:A1048576">
    <cfRule type="expression" dxfId="648" priority="86">
      <formula>AND(G4&lt;&gt;"",F4="")</formula>
    </cfRule>
    <cfRule type="expression" dxfId="647" priority="87" stopIfTrue="1">
      <formula>IF(A4&gt;4,1,0)</formula>
    </cfRule>
  </conditionalFormatting>
  <conditionalFormatting sqref="CN1:CN1048576 AL1:AL1048576">
    <cfRule type="cellIs" dxfId="646" priority="181654" operator="between">
      <formula>AQ$37</formula>
      <formula>1000</formula>
    </cfRule>
    <cfRule type="cellIs" dxfId="645" priority="181655" operator="between">
      <formula>AQ$36</formula>
      <formula>AQ$37</formula>
    </cfRule>
  </conditionalFormatting>
  <conditionalFormatting sqref="DT1:DT1048576 FB1:FB1048576 GJ1:GJ1048576 HR1:HR1048576 IZ1:IZ1048576 KH1:KH1048576 LP1:LP1048576 MX1:MX1048576 OF1:OF1048576 PN1:PN1048576 QV1:QV1048576 SD1:SD1048576 TL1:TL37 UT1:UT37 WB1:WB37">
    <cfRule type="cellIs" dxfId="644" priority="181666" operator="between">
      <formula>EB$37</formula>
      <formula>1000</formula>
    </cfRule>
    <cfRule type="cellIs" dxfId="643" priority="181667" operator="between">
      <formula>EB$36</formula>
      <formula>EB$37</formula>
    </cfRule>
  </conditionalFormatting>
  <conditionalFormatting sqref="AI1:AI1048576 AL1:AL1048576 AP1:AP1048576">
    <cfRule type="cellIs" dxfId="642" priority="181750" operator="between">
      <formula>$AQ$37</formula>
      <formula>1000</formula>
    </cfRule>
    <cfRule type="cellIs" dxfId="641" priority="181751" operator="between">
      <formula>$AQ$36</formula>
      <formula>$AQ$37</formula>
    </cfRule>
    <cfRule type="cellIs" dxfId="640" priority="181752" operator="between">
      <formula>$AQ$35</formula>
      <formula>$AQ$36</formula>
    </cfRule>
    <cfRule type="cellIs" dxfId="639" priority="181753" operator="between">
      <formula>$AQ$34</formula>
      <formula>$AQ$35</formula>
    </cfRule>
  </conditionalFormatting>
  <conditionalFormatting sqref="BJ1:BJ1048576 BM1:BM1048576 BQ1:BQ1048576">
    <cfRule type="cellIs" dxfId="638" priority="181786" operator="between">
      <formula>$BR$37</formula>
      <formula>1000</formula>
    </cfRule>
    <cfRule type="cellIs" dxfId="637" priority="181787" operator="between">
      <formula>$BR$36</formula>
      <formula>$BR$37</formula>
    </cfRule>
    <cfRule type="cellIs" dxfId="636" priority="181788" operator="between">
      <formula>$BR$35</formula>
      <formula>$BR$36</formula>
    </cfRule>
    <cfRule type="cellIs" dxfId="635" priority="181789" operator="between">
      <formula>$BR$34</formula>
      <formula>$BR$35</formula>
    </cfRule>
  </conditionalFormatting>
  <conditionalFormatting sqref="CK1:CK1048576 CN1:CN1048576 CR1:CR1048576">
    <cfRule type="cellIs" dxfId="634" priority="181822" operator="between">
      <formula>$CS$37</formula>
      <formula>1000</formula>
    </cfRule>
    <cfRule type="cellIs" dxfId="633" priority="181823" operator="between">
      <formula>$CS$36</formula>
      <formula>$CS$37</formula>
    </cfRule>
    <cfRule type="cellIs" dxfId="632" priority="181824" operator="between">
      <formula>$CS$35</formula>
      <formula>$CS$36</formula>
    </cfRule>
    <cfRule type="cellIs" dxfId="631" priority="181825" operator="between">
      <formula>$CS$34</formula>
      <formula>$CS$35</formula>
    </cfRule>
  </conditionalFormatting>
  <conditionalFormatting sqref="MS1:MS1048576 MV1:MV1048576 MZ1:MZ1048576 NC1:NC1048576">
    <cfRule type="cellIs" dxfId="630" priority="181858" operator="between">
      <formula>$NF$30</formula>
      <formula>$NF$31</formula>
    </cfRule>
  </conditionalFormatting>
  <conditionalFormatting sqref="DQ1:DQ1048576 DT1:DT1048576 DX1:DX1048576 EA1:EA1048576">
    <cfRule type="cellIs" dxfId="629" priority="181870" operator="between">
      <formula>$EB$37</formula>
      <formula>1000</formula>
    </cfRule>
    <cfRule type="cellIs" dxfId="628" priority="181871" operator="between">
      <formula>$EB$36</formula>
      <formula>$EB$37</formula>
    </cfRule>
    <cfRule type="cellIs" dxfId="627" priority="181872" operator="between">
      <formula>$EB$35</formula>
      <formula>$EB$36</formula>
    </cfRule>
    <cfRule type="cellIs" dxfId="626" priority="181873" operator="between">
      <formula>$EB$34</formula>
      <formula>$EB$35</formula>
    </cfRule>
  </conditionalFormatting>
  <conditionalFormatting sqref="EY1:EY1048576 FB1:FB1048576 FF1:FF1048576 FI1:FI1048576">
    <cfRule type="cellIs" dxfId="625" priority="181918" operator="between">
      <formula>$FJ$37</formula>
      <formula>1000</formula>
    </cfRule>
    <cfRule type="cellIs" dxfId="624" priority="181919" operator="between">
      <formula>$FJ$36</formula>
      <formula>$FJ$37</formula>
    </cfRule>
    <cfRule type="cellIs" dxfId="623" priority="181920" operator="between">
      <formula>$FJ$35</formula>
      <formula>$FJ$36</formula>
    </cfRule>
    <cfRule type="cellIs" dxfId="622" priority="181921" operator="between">
      <formula>$FJ$34</formula>
      <formula>$FJ$35</formula>
    </cfRule>
  </conditionalFormatting>
  <conditionalFormatting sqref="GE1:GE1048576 GH1:GH1048576 GL1:GL1048576 GO1:GO1048576">
    <cfRule type="cellIs" dxfId="621" priority="181966" stopIfTrue="1" operator="between">
      <formula>$GR$31</formula>
      <formula>1000</formula>
    </cfRule>
    <cfRule type="cellIs" dxfId="620" priority="181967" operator="between">
      <formula>$GR$30</formula>
      <formula>$GR$31</formula>
    </cfRule>
  </conditionalFormatting>
  <conditionalFormatting sqref="GG1:GG1048576 GJ1:GJ1048576 GN1:GN1048576 GQ1:GQ1048576">
    <cfRule type="cellIs" dxfId="619" priority="181990" operator="between">
      <formula>$GR$37</formula>
      <formula>1000</formula>
    </cfRule>
    <cfRule type="cellIs" dxfId="618" priority="181991" operator="between">
      <formula>$GR$36</formula>
      <formula>$GR$37</formula>
    </cfRule>
    <cfRule type="cellIs" dxfId="617" priority="181992" operator="between">
      <formula>$GR$35</formula>
      <formula>$GR$36</formula>
    </cfRule>
    <cfRule type="cellIs" dxfId="616" priority="181993" operator="between">
      <formula>$GR$34</formula>
      <formula>$GR$35</formula>
    </cfRule>
  </conditionalFormatting>
  <conditionalFormatting sqref="HO1:HO1048576 HR1:HR1048576 HV1:HV1048576 HY1:HY1048576">
    <cfRule type="cellIs" dxfId="615" priority="182038" operator="between">
      <formula>$HZ$37</formula>
      <formula>1000</formula>
    </cfRule>
    <cfRule type="cellIs" dxfId="614" priority="182039" operator="between">
      <formula>$HZ$36</formula>
      <formula>$HZ$37</formula>
    </cfRule>
    <cfRule type="cellIs" dxfId="613" priority="182040" operator="between">
      <formula>$HZ$35</formula>
      <formula>$HZ$36</formula>
    </cfRule>
    <cfRule type="cellIs" dxfId="612" priority="182041" operator="between">
      <formula>$HZ$34</formula>
      <formula>$HZ$35</formula>
    </cfRule>
  </conditionalFormatting>
  <conditionalFormatting sqref="IU1:IU1048576 IX1:IX1048576 JB1:JB1048576 JE1:JE1048576">
    <cfRule type="cellIs" dxfId="611" priority="182086" stopIfTrue="1" operator="between">
      <formula>$JH$31</formula>
      <formula>1000</formula>
    </cfRule>
    <cfRule type="cellIs" dxfId="610" priority="182087" operator="between">
      <formula>$JH$30</formula>
      <formula>$JH$31</formula>
    </cfRule>
  </conditionalFormatting>
  <conditionalFormatting sqref="IW1:IW1048576 IZ1:IZ1048576 JD1:JD1048576 JG1:JG1048576">
    <cfRule type="cellIs" dxfId="609" priority="182110" operator="between">
      <formula>$JH$37</formula>
      <formula>1000</formula>
    </cfRule>
    <cfRule type="cellIs" dxfId="608" priority="182111" operator="between">
      <formula>$JH$36</formula>
      <formula>$JH$37</formula>
    </cfRule>
    <cfRule type="cellIs" dxfId="607" priority="182112" operator="between">
      <formula>$JH$35</formula>
      <formula>$JH$36</formula>
    </cfRule>
    <cfRule type="cellIs" dxfId="606" priority="182113" operator="between">
      <formula>$JH$34</formula>
      <formula>$JH$35</formula>
    </cfRule>
  </conditionalFormatting>
  <conditionalFormatting sqref="KC1:KC1048576 KF1:KF1048576 KJ1:KJ1048576 KM1:KM1048576">
    <cfRule type="cellIs" dxfId="605" priority="182158" stopIfTrue="1" operator="between">
      <formula>$KP$31</formula>
      <formula>1000</formula>
    </cfRule>
    <cfRule type="cellIs" dxfId="604" priority="182159" operator="between">
      <formula>$KP$30</formula>
      <formula>$KP$31</formula>
    </cfRule>
  </conditionalFormatting>
  <conditionalFormatting sqref="KE1:KE1048576 KH1:KH1048576 KL1:KL1048576 KO1:KO1048576">
    <cfRule type="cellIs" dxfId="603" priority="182182" operator="between">
      <formula>$KP$37</formula>
      <formula>1000</formula>
    </cfRule>
    <cfRule type="cellIs" dxfId="602" priority="182183" operator="between">
      <formula>$KP$36</formula>
      <formula>$KP$37</formula>
    </cfRule>
    <cfRule type="cellIs" dxfId="601" priority="182184" operator="between">
      <formula>$KP$35</formula>
      <formula>$KP$36</formula>
    </cfRule>
    <cfRule type="cellIs" dxfId="600" priority="182185" operator="between">
      <formula>$KP$34</formula>
      <formula>$KP$35</formula>
    </cfRule>
  </conditionalFormatting>
  <conditionalFormatting sqref="LK1:LK1048576 LN1:LN1048576 LR1:LR1048576 LU1:LU1048576">
    <cfRule type="cellIs" dxfId="599" priority="182230" stopIfTrue="1" operator="between">
      <formula>$LX$31</formula>
      <formula>1000</formula>
    </cfRule>
    <cfRule type="cellIs" dxfId="598" priority="182231" operator="between">
      <formula>$LX$30</formula>
      <formula>$LX$31</formula>
    </cfRule>
  </conditionalFormatting>
  <conditionalFormatting sqref="LM1:LM1048576 LP1:LP1048576 LT1:LT1048576 LW1:LW1048576">
    <cfRule type="cellIs" dxfId="597" priority="182254" operator="between">
      <formula>$LX$37</formula>
      <formula>1000</formula>
    </cfRule>
    <cfRule type="cellIs" dxfId="596" priority="182255" operator="between">
      <formula>$LX$36</formula>
      <formula>$LX$37</formula>
    </cfRule>
    <cfRule type="cellIs" dxfId="595" priority="182256" operator="between">
      <formula>$LX$35</formula>
      <formula>$LX$36</formula>
    </cfRule>
    <cfRule type="cellIs" dxfId="594" priority="182257" operator="between">
      <formula>$LX$34</formula>
      <formula>$LX$35</formula>
    </cfRule>
  </conditionalFormatting>
  <conditionalFormatting sqref="MS1:MS1048576 MV1:MV1048576 MZ1:MZ1048576">
    <cfRule type="cellIs" dxfId="593" priority="182302" operator="between">
      <formula>$NF$31</formula>
      <formula>1000</formula>
    </cfRule>
  </conditionalFormatting>
  <conditionalFormatting sqref="MU1:MU1048576 MX1:MX1048576 NB1:NB1048576 NE1:NE1048576">
    <cfRule type="cellIs" dxfId="592" priority="182311" operator="between">
      <formula>$NF$37</formula>
      <formula>1000</formula>
    </cfRule>
    <cfRule type="cellIs" dxfId="591" priority="182312" operator="between">
      <formula>$NF$36</formula>
      <formula>$NF$37</formula>
    </cfRule>
    <cfRule type="cellIs" dxfId="590" priority="182313" operator="between">
      <formula>$NF$35</formula>
      <formula>$NF$36</formula>
    </cfRule>
    <cfRule type="cellIs" dxfId="589" priority="182314" operator="between">
      <formula>$NF$34</formula>
      <formula>$NF$35</formula>
    </cfRule>
  </conditionalFormatting>
  <conditionalFormatting sqref="OA1:OA1048576 OD1:OD1048576 OH1:OH1048576 OK1:OK1048576">
    <cfRule type="cellIs" dxfId="588" priority="182359" stopIfTrue="1" operator="between">
      <formula>$ON$31</formula>
      <formula>1000</formula>
    </cfRule>
    <cfRule type="cellIs" dxfId="587" priority="182360" operator="between">
      <formula>$ON$30</formula>
      <formula>$ON$31</formula>
    </cfRule>
  </conditionalFormatting>
  <conditionalFormatting sqref="OC1:OC1048576 OF1:OF1048576 OJ1:OJ1048576 OM1:OM1048576">
    <cfRule type="cellIs" dxfId="586" priority="182383" operator="between">
      <formula>$ON$37</formula>
      <formula>1000</formula>
    </cfRule>
    <cfRule type="cellIs" dxfId="585" priority="182384" operator="between">
      <formula>$ON$36</formula>
      <formula>$ON$37</formula>
    </cfRule>
    <cfRule type="cellIs" dxfId="584" priority="182385" operator="between">
      <formula>$ON$35</formula>
      <formula>$ON$36</formula>
    </cfRule>
    <cfRule type="cellIs" dxfId="583" priority="182386" operator="between">
      <formula>$ON$34</formula>
      <formula>$ON$35</formula>
    </cfRule>
  </conditionalFormatting>
  <conditionalFormatting sqref="PI1:PI1048576 PL1:PL1048576 PP1:PP1048576 PS1:PS1048576">
    <cfRule type="cellIs" dxfId="582" priority="182431" stopIfTrue="1" operator="between">
      <formula>$PV$31</formula>
      <formula>1000</formula>
    </cfRule>
    <cfRule type="cellIs" dxfId="581" priority="182432" operator="between">
      <formula>$PV$30</formula>
      <formula>$PV$31</formula>
    </cfRule>
  </conditionalFormatting>
  <conditionalFormatting sqref="PK1:PK1048576 PN1:PN1048576 PR1:PR1048576 PU1:PU1048576">
    <cfRule type="cellIs" dxfId="580" priority="182455" operator="between">
      <formula>$PV$37</formula>
      <formula>1000</formula>
    </cfRule>
    <cfRule type="cellIs" dxfId="579" priority="182456" operator="between">
      <formula>$PV$36</formula>
      <formula>$PV$37</formula>
    </cfRule>
    <cfRule type="cellIs" dxfId="578" priority="182457" operator="between">
      <formula>$PV$35</formula>
      <formula>$PV$36</formula>
    </cfRule>
    <cfRule type="cellIs" dxfId="577" priority="182458" operator="between">
      <formula>$PV$34</formula>
      <formula>$PV$35</formula>
    </cfRule>
  </conditionalFormatting>
  <conditionalFormatting sqref="QQ1:QQ1048576 QT1:QT1048576 QX1:QX1048576 RA1:RA1048576">
    <cfRule type="cellIs" dxfId="576" priority="182503" stopIfTrue="1" operator="between">
      <formula>$RD$31</formula>
      <formula>1000</formula>
    </cfRule>
    <cfRule type="cellIs" dxfId="575" priority="182504" operator="between">
      <formula>$RD$30</formula>
      <formula>$RD$31</formula>
    </cfRule>
  </conditionalFormatting>
  <conditionalFormatting sqref="QS1:QS1048576 QV1:QV1048576 QZ1:QZ1048576 RC1:RC1048576">
    <cfRule type="cellIs" dxfId="574" priority="182527" operator="between">
      <formula>$RD$37</formula>
      <formula>1000</formula>
    </cfRule>
    <cfRule type="cellIs" dxfId="573" priority="182528" operator="between">
      <formula>$RD$36</formula>
      <formula>$RD$37</formula>
    </cfRule>
    <cfRule type="cellIs" dxfId="572" priority="182529" operator="between">
      <formula>$RD$35</formula>
      <formula>$RD$36</formula>
    </cfRule>
    <cfRule type="cellIs" dxfId="571" priority="182530" operator="between">
      <formula>$RD$34</formula>
      <formula>$RD$35</formula>
    </cfRule>
  </conditionalFormatting>
  <conditionalFormatting sqref="RY1:RY1048576 SB1:SB1048576 SF1:SF1048576 SI1:SI1048576 TG1:TG37 TJ1:TJ37 TN1:TN37 TQ1:TQ37 UO1:UO37 UR1:UR37 UV1:UV37 UY1:UY37 VW1:VW37 VZ1:VZ37 WD1:WD37 WG1:WG37">
    <cfRule type="cellIs" dxfId="570" priority="182575" operator="between">
      <formula>$SL$31</formula>
      <formula>1000</formula>
    </cfRule>
    <cfRule type="cellIs" dxfId="569" priority="182576" operator="between">
      <formula>$SL$30</formula>
      <formula>$SL$31</formula>
    </cfRule>
  </conditionalFormatting>
  <conditionalFormatting sqref="SA1:SA1048576 SD1:SD1048576 SH1:SH1048576 SK1:SK1048576 TI1:TI37 TL1:TL37 TP1:TP37 TS1:TS37 UQ1:UQ37 UT1:UT37 UX1:UX37 VA1:VA37 VY1:VY37 WB1:WB37 WF1:WF37 WI1:WI37">
    <cfRule type="cellIs" dxfId="568" priority="182647" operator="between">
      <formula>$SL$37</formula>
      <formula>1000</formula>
    </cfRule>
    <cfRule type="cellIs" dxfId="567" priority="182648" operator="between">
      <formula>$SL$36</formula>
      <formula>$SL$37</formula>
    </cfRule>
    <cfRule type="cellIs" dxfId="566" priority="182649" operator="between">
      <formula>$SL$35</formula>
      <formula>$SL$36</formula>
    </cfRule>
    <cfRule type="cellIs" dxfId="565" priority="182650" operator="between">
      <formula>$SL$34</formula>
      <formula>$SL$35</formula>
    </cfRule>
  </conditionalFormatting>
  <conditionalFormatting sqref="DY1:DY1048576 DO1:DO1048576 DR1:DR1048576 DV1:DV1048576">
    <cfRule type="cellIs" dxfId="564" priority="182791" stopIfTrue="1" operator="between">
      <formula>$EB$31</formula>
      <formula>1000</formula>
    </cfRule>
  </conditionalFormatting>
  <conditionalFormatting sqref="FG1:FG1048576 EW1:EW1048576 EZ1:EZ1048576 FD1:FD1048576">
    <cfRule type="cellIs" dxfId="563" priority="182803" stopIfTrue="1" operator="between">
      <formula>$FJ$31</formula>
      <formula>1000</formula>
    </cfRule>
  </conditionalFormatting>
  <conditionalFormatting sqref="HW1:HW1048576 HM1:HM1048576 HP1:HP1048576 HT1:HT1048576">
    <cfRule type="cellIs" dxfId="562" priority="182815" stopIfTrue="1" operator="between">
      <formula>$HZ$31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D6594-E464-6C49-9A98-AE8E360A3D54}">
  <sheetPr codeName="Sheet3"/>
  <dimension ref="A1:WJ45"/>
  <sheetViews>
    <sheetView zoomScaleNormal="100" workbookViewId="0">
      <pane xSplit="3" topLeftCell="OX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2" customWidth="1"/>
    <col min="44" max="59" width="10.83203125" hidden="1" customWidth="1"/>
    <col min="60" max="70" width="10.83203125" style="32" customWidth="1"/>
    <col min="71" max="86" width="10.83203125" hidden="1" customWidth="1"/>
    <col min="87" max="97" width="10.83203125" style="32" customWidth="1"/>
    <col min="98" max="98" width="12.83203125" style="32" customWidth="1"/>
    <col min="99" max="118" width="10.83203125" hidden="1" customWidth="1"/>
    <col min="119" max="131" width="10.83203125" customWidth="1"/>
    <col min="132" max="132" width="10.83203125" style="32" customWidth="1"/>
    <col min="133" max="152" width="10.83203125" hidden="1" customWidth="1"/>
    <col min="153" max="165" width="10.83203125" customWidth="1"/>
    <col min="166" max="166" width="10.83203125" style="32" customWidth="1"/>
    <col min="167" max="186" width="10.83203125" hidden="1" customWidth="1"/>
    <col min="187" max="199" width="10.83203125" customWidth="1"/>
    <col min="200" max="200" width="10.83203125" style="32" customWidth="1"/>
    <col min="201" max="220" width="10.83203125" hidden="1" customWidth="1"/>
    <col min="221" max="233" width="10.83203125" customWidth="1"/>
    <col min="234" max="234" width="10.83203125" style="32" customWidth="1"/>
    <col min="235" max="267" width="10.83203125" hidden="1" customWidth="1"/>
    <col min="268" max="268" width="10.83203125" style="32" hidden="1" customWidth="1"/>
    <col min="269" max="533" width="10.83203125" hidden="1" customWidth="1"/>
    <col min="534" max="534" width="11.83203125" hidden="1" customWidth="1"/>
    <col min="535" max="535" width="12.83203125" hidden="1" customWidth="1"/>
    <col min="536" max="567" width="10.83203125" hidden="1" customWidth="1"/>
    <col min="568" max="568" width="11.83203125" hidden="1" customWidth="1"/>
    <col min="569" max="569" width="12.83203125" hidden="1" customWidth="1"/>
    <col min="570" max="601" width="10.83203125" hidden="1" customWidth="1"/>
    <col min="602" max="602" width="11.83203125" hidden="1" customWidth="1"/>
    <col min="603" max="603" width="12.83203125" hidden="1" customWidth="1"/>
    <col min="604" max="608" width="10.83203125" hidden="1" customWidth="1"/>
  </cols>
  <sheetData>
    <row r="1" spans="1:608" x14ac:dyDescent="0.2">
      <c r="A1" s="57" t="s">
        <v>1</v>
      </c>
      <c r="B1" s="57" t="s">
        <v>26</v>
      </c>
      <c r="C1" s="57" t="s">
        <v>0</v>
      </c>
      <c r="D1" s="57" t="s">
        <v>44</v>
      </c>
      <c r="E1" s="57" t="s">
        <v>2</v>
      </c>
      <c r="F1" s="58" t="s">
        <v>177</v>
      </c>
      <c r="G1" s="57" t="s">
        <v>9</v>
      </c>
      <c r="H1" s="57" t="s">
        <v>10</v>
      </c>
      <c r="I1" s="57" t="s">
        <v>195</v>
      </c>
      <c r="J1" s="53" t="s">
        <v>74</v>
      </c>
      <c r="K1" s="52" t="s">
        <v>28</v>
      </c>
      <c r="L1" s="53" t="s">
        <v>84</v>
      </c>
      <c r="M1" s="52" t="s">
        <v>28</v>
      </c>
      <c r="N1" s="59" t="s">
        <v>12</v>
      </c>
      <c r="O1" s="52" t="s">
        <v>29</v>
      </c>
      <c r="P1" s="52" t="s">
        <v>28</v>
      </c>
      <c r="Q1" s="56" t="s">
        <v>134</v>
      </c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61" t="s">
        <v>150</v>
      </c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56" t="s">
        <v>231</v>
      </c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0" t="s">
        <v>12</v>
      </c>
      <c r="CU1" s="56" t="s">
        <v>141</v>
      </c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  <c r="DU1" s="56"/>
      <c r="DV1" s="56"/>
      <c r="DW1" s="56"/>
      <c r="DX1" s="56"/>
      <c r="DY1" s="56"/>
      <c r="DZ1" s="56"/>
      <c r="EA1" s="56"/>
      <c r="EB1" s="56"/>
      <c r="EC1" s="61" t="s">
        <v>144</v>
      </c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56" t="s">
        <v>145</v>
      </c>
      <c r="FL1" s="56"/>
      <c r="FM1" s="56"/>
      <c r="FN1" s="56"/>
      <c r="FO1" s="56"/>
      <c r="FP1" s="56"/>
      <c r="FQ1" s="56"/>
      <c r="FR1" s="56"/>
      <c r="FS1" s="56"/>
      <c r="FT1" s="56"/>
      <c r="FU1" s="56"/>
      <c r="FV1" s="56"/>
      <c r="FW1" s="56"/>
      <c r="FX1" s="56"/>
      <c r="FY1" s="56"/>
      <c r="FZ1" s="56"/>
      <c r="GA1" s="56"/>
      <c r="GB1" s="56"/>
      <c r="GC1" s="56"/>
      <c r="GD1" s="56"/>
      <c r="GE1" s="56"/>
      <c r="GF1" s="56"/>
      <c r="GG1" s="56"/>
      <c r="GH1" s="56"/>
      <c r="GI1" s="56"/>
      <c r="GJ1" s="56"/>
      <c r="GK1" s="56"/>
      <c r="GL1" s="56"/>
      <c r="GM1" s="56"/>
      <c r="GN1" s="56"/>
      <c r="GO1" s="56"/>
      <c r="GP1" s="56"/>
      <c r="GQ1" s="56"/>
      <c r="GR1" s="56"/>
      <c r="GS1" s="61" t="s">
        <v>171</v>
      </c>
      <c r="GT1" s="61"/>
      <c r="GU1" s="61"/>
      <c r="GV1" s="61"/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61"/>
      <c r="HN1" s="61"/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56"/>
      <c r="IB1" s="56"/>
      <c r="IC1" s="56"/>
      <c r="ID1" s="56"/>
      <c r="IE1" s="56"/>
      <c r="IF1" s="56"/>
      <c r="IG1" s="56"/>
      <c r="IH1" s="56"/>
      <c r="II1" s="56"/>
      <c r="IJ1" s="56"/>
      <c r="IK1" s="56"/>
      <c r="IL1" s="56"/>
      <c r="IM1" s="56"/>
      <c r="IN1" s="56"/>
      <c r="IO1" s="56"/>
      <c r="IP1" s="56"/>
      <c r="IQ1" s="56"/>
      <c r="IR1" s="56"/>
      <c r="IS1" s="56"/>
      <c r="IT1" s="56"/>
      <c r="IU1" s="56"/>
      <c r="IV1" s="56"/>
      <c r="IW1" s="56"/>
      <c r="IX1" s="56"/>
      <c r="IY1" s="56"/>
      <c r="IZ1" s="56"/>
      <c r="JA1" s="56"/>
      <c r="JB1" s="56"/>
      <c r="JC1" s="56"/>
      <c r="JD1" s="56"/>
      <c r="JE1" s="56"/>
      <c r="JF1" s="56"/>
      <c r="JG1" s="56"/>
      <c r="JH1" s="56"/>
      <c r="JI1" s="61"/>
      <c r="JJ1" s="61"/>
      <c r="JK1" s="61"/>
      <c r="JL1" s="61"/>
      <c r="JM1" s="61"/>
      <c r="JN1" s="61"/>
      <c r="JO1" s="61"/>
      <c r="JP1" s="61"/>
      <c r="JQ1" s="61"/>
      <c r="JR1" s="61"/>
      <c r="JS1" s="61"/>
      <c r="JT1" s="61"/>
      <c r="JU1" s="61"/>
      <c r="JV1" s="61"/>
      <c r="JW1" s="61"/>
      <c r="JX1" s="61"/>
      <c r="JY1" s="61"/>
      <c r="JZ1" s="61"/>
      <c r="KA1" s="61"/>
      <c r="KB1" s="61"/>
      <c r="KC1" s="61"/>
      <c r="KD1" s="61"/>
      <c r="KE1" s="61"/>
      <c r="KF1" s="61"/>
      <c r="KG1" s="61"/>
      <c r="KH1" s="61"/>
      <c r="KI1" s="61"/>
      <c r="KJ1" s="61"/>
      <c r="KK1" s="61"/>
      <c r="KL1" s="61"/>
      <c r="KM1" s="61"/>
      <c r="KN1" s="61"/>
      <c r="KO1" s="61"/>
      <c r="KP1" s="61"/>
      <c r="KQ1" s="56"/>
      <c r="KR1" s="56"/>
      <c r="KS1" s="56"/>
      <c r="KT1" s="56"/>
      <c r="KU1" s="56"/>
      <c r="KV1" s="56"/>
      <c r="KW1" s="56"/>
      <c r="KX1" s="56"/>
      <c r="KY1" s="56"/>
      <c r="KZ1" s="56"/>
      <c r="LA1" s="56"/>
      <c r="LB1" s="56"/>
      <c r="LC1" s="56"/>
      <c r="LD1" s="56"/>
      <c r="LE1" s="56"/>
      <c r="LF1" s="56"/>
      <c r="LG1" s="56"/>
      <c r="LH1" s="56"/>
      <c r="LI1" s="56"/>
      <c r="LJ1" s="56"/>
      <c r="LK1" s="56"/>
      <c r="LL1" s="56"/>
      <c r="LM1" s="56"/>
      <c r="LN1" s="56"/>
      <c r="LO1" s="56"/>
      <c r="LP1" s="56"/>
      <c r="LQ1" s="56"/>
      <c r="LR1" s="56"/>
      <c r="LS1" s="56"/>
      <c r="LT1" s="56"/>
      <c r="LU1" s="56"/>
      <c r="LV1" s="56"/>
      <c r="LW1" s="56"/>
      <c r="LX1" s="56"/>
      <c r="LY1" s="61"/>
      <c r="LZ1" s="61"/>
      <c r="MA1" s="61"/>
      <c r="MB1" s="61"/>
      <c r="MC1" s="61"/>
      <c r="MD1" s="61"/>
      <c r="ME1" s="61"/>
      <c r="MF1" s="61"/>
      <c r="MG1" s="61"/>
      <c r="MH1" s="61"/>
      <c r="MI1" s="61"/>
      <c r="MJ1" s="61"/>
      <c r="MK1" s="61"/>
      <c r="ML1" s="61"/>
      <c r="MM1" s="61"/>
      <c r="MN1" s="61"/>
      <c r="MO1" s="61"/>
      <c r="MP1" s="61"/>
      <c r="MQ1" s="61"/>
      <c r="MR1" s="61"/>
      <c r="MS1" s="61"/>
      <c r="MT1" s="61"/>
      <c r="MU1" s="61"/>
      <c r="MV1" s="61"/>
      <c r="MW1" s="61"/>
      <c r="MX1" s="61"/>
      <c r="MY1" s="61"/>
      <c r="MZ1" s="61"/>
      <c r="NA1" s="61"/>
      <c r="NB1" s="61"/>
      <c r="NC1" s="61"/>
      <c r="ND1" s="61"/>
      <c r="NE1" s="61"/>
      <c r="NF1" s="61"/>
      <c r="NG1" s="56"/>
      <c r="NH1" s="56"/>
      <c r="NI1" s="56"/>
      <c r="NJ1" s="56"/>
      <c r="NK1" s="56"/>
      <c r="NL1" s="56"/>
      <c r="NM1" s="56"/>
      <c r="NN1" s="56"/>
      <c r="NO1" s="56"/>
      <c r="NP1" s="56"/>
      <c r="NQ1" s="56"/>
      <c r="NR1" s="56"/>
      <c r="NS1" s="56"/>
      <c r="NT1" s="56"/>
      <c r="NU1" s="56"/>
      <c r="NV1" s="56"/>
      <c r="NW1" s="56"/>
      <c r="NX1" s="56"/>
      <c r="NY1" s="56"/>
      <c r="NZ1" s="56"/>
      <c r="OA1" s="56"/>
      <c r="OB1" s="56"/>
      <c r="OC1" s="56"/>
      <c r="OD1" s="56"/>
      <c r="OE1" s="56"/>
      <c r="OF1" s="56"/>
      <c r="OG1" s="56"/>
      <c r="OH1" s="56"/>
      <c r="OI1" s="56"/>
      <c r="OJ1" s="56"/>
      <c r="OK1" s="56"/>
      <c r="OL1" s="56"/>
      <c r="OM1" s="56"/>
      <c r="ON1" s="56"/>
      <c r="OO1" s="61"/>
      <c r="OP1" s="61"/>
      <c r="OQ1" s="61"/>
      <c r="OR1" s="61"/>
      <c r="OS1" s="61"/>
      <c r="OT1" s="61"/>
      <c r="OU1" s="61"/>
      <c r="OV1" s="61"/>
      <c r="OW1" s="61"/>
      <c r="OX1" s="61"/>
      <c r="OY1" s="61"/>
      <c r="OZ1" s="61"/>
      <c r="PA1" s="61"/>
      <c r="PB1" s="61"/>
      <c r="PC1" s="61"/>
      <c r="PD1" s="61"/>
      <c r="PE1" s="61"/>
      <c r="PF1" s="61"/>
      <c r="PG1" s="61"/>
      <c r="PH1" s="61"/>
      <c r="PI1" s="61"/>
      <c r="PJ1" s="61"/>
      <c r="PK1" s="61"/>
      <c r="PL1" s="61"/>
      <c r="PM1" s="61"/>
      <c r="PN1" s="61"/>
      <c r="PO1" s="61"/>
      <c r="PP1" s="61"/>
      <c r="PQ1" s="61"/>
      <c r="PR1" s="61"/>
      <c r="PS1" s="61"/>
      <c r="PT1" s="61"/>
      <c r="PU1" s="61"/>
      <c r="PV1" s="61"/>
      <c r="PW1" s="56"/>
      <c r="PX1" s="56"/>
      <c r="PY1" s="56"/>
      <c r="PZ1" s="56"/>
      <c r="QA1" s="56"/>
      <c r="QB1" s="56"/>
      <c r="QC1" s="56"/>
      <c r="QD1" s="56"/>
      <c r="QE1" s="56"/>
      <c r="QF1" s="56"/>
      <c r="QG1" s="56"/>
      <c r="QH1" s="56"/>
      <c r="QI1" s="56"/>
      <c r="QJ1" s="56"/>
      <c r="QK1" s="56"/>
      <c r="QL1" s="56"/>
      <c r="QM1" s="56"/>
      <c r="QN1" s="56"/>
      <c r="QO1" s="56"/>
      <c r="QP1" s="56"/>
      <c r="QQ1" s="56"/>
      <c r="QR1" s="56"/>
      <c r="QS1" s="56"/>
      <c r="QT1" s="56"/>
      <c r="QU1" s="56"/>
      <c r="QV1" s="56"/>
      <c r="QW1" s="56"/>
      <c r="QX1" s="56"/>
      <c r="QY1" s="56"/>
      <c r="QZ1" s="56"/>
      <c r="RA1" s="56"/>
      <c r="RB1" s="56"/>
      <c r="RC1" s="56"/>
      <c r="RD1" s="56"/>
      <c r="RE1" s="61"/>
      <c r="RF1" s="61"/>
      <c r="RG1" s="61"/>
      <c r="RH1" s="61"/>
      <c r="RI1" s="61"/>
      <c r="RJ1" s="61"/>
      <c r="RK1" s="61"/>
      <c r="RL1" s="61"/>
      <c r="RM1" s="61"/>
      <c r="RN1" s="61"/>
      <c r="RO1" s="61"/>
      <c r="RP1" s="61"/>
      <c r="RQ1" s="61"/>
      <c r="RR1" s="61"/>
      <c r="RS1" s="61"/>
      <c r="RT1" s="61"/>
      <c r="RU1" s="61"/>
      <c r="RV1" s="61"/>
      <c r="RW1" s="61"/>
      <c r="RX1" s="61"/>
      <c r="RY1" s="61"/>
      <c r="RZ1" s="61"/>
      <c r="SA1" s="61"/>
      <c r="SB1" s="61"/>
      <c r="SC1" s="61"/>
      <c r="SD1" s="61"/>
      <c r="SE1" s="61"/>
      <c r="SF1" s="61"/>
      <c r="SG1" s="61"/>
      <c r="SH1" s="61"/>
      <c r="SI1" s="61"/>
      <c r="SJ1" s="61"/>
      <c r="SK1" s="61"/>
      <c r="SL1" s="61"/>
      <c r="SM1" s="56"/>
      <c r="SN1" s="56"/>
      <c r="SO1" s="56"/>
      <c r="SP1" s="56"/>
      <c r="SQ1" s="56"/>
      <c r="SR1" s="56"/>
      <c r="SS1" s="56"/>
      <c r="ST1" s="56"/>
      <c r="SU1" s="56"/>
      <c r="SV1" s="56"/>
      <c r="SW1" s="56"/>
      <c r="SX1" s="56"/>
      <c r="SY1" s="56"/>
      <c r="SZ1" s="56"/>
      <c r="TA1" s="56"/>
      <c r="TB1" s="56"/>
      <c r="TC1" s="56"/>
      <c r="TD1" s="56"/>
      <c r="TE1" s="56"/>
      <c r="TF1" s="56"/>
      <c r="TG1" s="56"/>
      <c r="TH1" s="56"/>
      <c r="TI1" s="56"/>
      <c r="TJ1" s="56"/>
      <c r="TK1" s="56"/>
      <c r="TL1" s="56"/>
      <c r="TM1" s="56"/>
      <c r="TN1" s="56"/>
      <c r="TO1" s="56"/>
      <c r="TP1" s="56"/>
      <c r="TQ1" s="56"/>
      <c r="TR1" s="56"/>
      <c r="TS1" s="56"/>
      <c r="TT1" s="56"/>
      <c r="TU1" s="61"/>
      <c r="TV1" s="61"/>
      <c r="TW1" s="61"/>
      <c r="TX1" s="61"/>
      <c r="TY1" s="61"/>
      <c r="TZ1" s="61"/>
      <c r="UA1" s="61"/>
      <c r="UB1" s="61"/>
      <c r="UC1" s="61"/>
      <c r="UD1" s="61"/>
      <c r="UE1" s="61"/>
      <c r="UF1" s="61"/>
      <c r="UG1" s="61"/>
      <c r="UH1" s="61"/>
      <c r="UI1" s="61"/>
      <c r="UJ1" s="61"/>
      <c r="UK1" s="61"/>
      <c r="UL1" s="61"/>
      <c r="UM1" s="61"/>
      <c r="UN1" s="61"/>
      <c r="UO1" s="61"/>
      <c r="UP1" s="61"/>
      <c r="UQ1" s="61"/>
      <c r="UR1" s="61"/>
      <c r="US1" s="61"/>
      <c r="UT1" s="61"/>
      <c r="UU1" s="61"/>
      <c r="UV1" s="61"/>
      <c r="UW1" s="61"/>
      <c r="UX1" s="61"/>
      <c r="UY1" s="61"/>
      <c r="UZ1" s="61"/>
      <c r="VA1" s="61"/>
      <c r="VB1" s="61"/>
      <c r="VC1" s="56"/>
      <c r="VD1" s="56"/>
      <c r="VE1" s="56"/>
      <c r="VF1" s="56"/>
      <c r="VG1" s="56"/>
      <c r="VH1" s="56"/>
      <c r="VI1" s="56"/>
      <c r="VJ1" s="56"/>
      <c r="VK1" s="56"/>
      <c r="VL1" s="56"/>
      <c r="VM1" s="56"/>
      <c r="VN1" s="56"/>
      <c r="VO1" s="56"/>
      <c r="VP1" s="56"/>
      <c r="VQ1" s="56"/>
      <c r="VR1" s="56"/>
      <c r="VS1" s="56"/>
      <c r="VT1" s="56"/>
      <c r="VU1" s="56"/>
      <c r="VV1" s="56"/>
      <c r="VW1" s="56"/>
      <c r="VX1" s="56"/>
      <c r="VY1" s="56"/>
      <c r="VZ1" s="56"/>
      <c r="WA1" s="56"/>
      <c r="WB1" s="56"/>
      <c r="WC1" s="56"/>
      <c r="WD1" s="56"/>
      <c r="WE1" s="56"/>
      <c r="WF1" s="56"/>
      <c r="WG1" s="56"/>
      <c r="WH1" s="56"/>
      <c r="WI1" s="56"/>
      <c r="WJ1" s="56"/>
    </row>
    <row r="2" spans="1:608" x14ac:dyDescent="0.2">
      <c r="A2" s="57"/>
      <c r="B2" s="57"/>
      <c r="C2" s="57"/>
      <c r="D2" s="57"/>
      <c r="E2" s="57"/>
      <c r="F2" s="58"/>
      <c r="G2" s="57"/>
      <c r="H2" s="57"/>
      <c r="I2" s="57"/>
      <c r="J2" s="53"/>
      <c r="K2" s="52"/>
      <c r="L2" s="53"/>
      <c r="M2" s="52"/>
      <c r="N2" s="59"/>
      <c r="O2" s="52"/>
      <c r="P2" s="52"/>
      <c r="Q2" s="55" t="s">
        <v>17</v>
      </c>
      <c r="R2" s="55"/>
      <c r="S2" s="55"/>
      <c r="T2" s="55"/>
      <c r="U2" s="55"/>
      <c r="V2" s="55" t="s">
        <v>18</v>
      </c>
      <c r="W2" s="55"/>
      <c r="X2" s="55"/>
      <c r="Y2" s="55"/>
      <c r="Z2" s="55"/>
      <c r="AA2" s="55" t="s">
        <v>21</v>
      </c>
      <c r="AB2" s="55"/>
      <c r="AC2" s="55"/>
      <c r="AD2" s="55"/>
      <c r="AE2" s="55"/>
      <c r="AF2" s="14"/>
      <c r="AG2" s="14" t="s">
        <v>66</v>
      </c>
      <c r="AH2" s="14" t="s">
        <v>67</v>
      </c>
      <c r="AI2" s="14" t="s">
        <v>19</v>
      </c>
      <c r="AJ2" s="14" t="s">
        <v>58</v>
      </c>
      <c r="AK2" s="14" t="s">
        <v>68</v>
      </c>
      <c r="AL2" s="14" t="s">
        <v>20</v>
      </c>
      <c r="AM2" s="14" t="s">
        <v>22</v>
      </c>
      <c r="AN2" s="14" t="s">
        <v>69</v>
      </c>
      <c r="AO2" s="14" t="s">
        <v>70</v>
      </c>
      <c r="AP2" s="14" t="s">
        <v>21</v>
      </c>
      <c r="AQ2" s="14" t="s">
        <v>16</v>
      </c>
      <c r="AR2" s="60" t="s">
        <v>17</v>
      </c>
      <c r="AS2" s="60"/>
      <c r="AT2" s="60"/>
      <c r="AU2" s="60"/>
      <c r="AV2" s="60"/>
      <c r="AW2" s="60" t="s">
        <v>18</v>
      </c>
      <c r="AX2" s="60"/>
      <c r="AY2" s="60"/>
      <c r="AZ2" s="60"/>
      <c r="BA2" s="60"/>
      <c r="BB2" s="60" t="s">
        <v>21</v>
      </c>
      <c r="BC2" s="60"/>
      <c r="BD2" s="60"/>
      <c r="BE2" s="60"/>
      <c r="BF2" s="60"/>
      <c r="BG2" s="13"/>
      <c r="BH2" s="13" t="s">
        <v>66</v>
      </c>
      <c r="BI2" s="13" t="s">
        <v>67</v>
      </c>
      <c r="BJ2" s="13" t="s">
        <v>19</v>
      </c>
      <c r="BK2" s="13" t="s">
        <v>58</v>
      </c>
      <c r="BL2" s="13" t="s">
        <v>68</v>
      </c>
      <c r="BM2" s="13" t="s">
        <v>20</v>
      </c>
      <c r="BN2" s="13" t="s">
        <v>22</v>
      </c>
      <c r="BO2" s="13" t="s">
        <v>69</v>
      </c>
      <c r="BP2" s="13" t="s">
        <v>70</v>
      </c>
      <c r="BQ2" s="13" t="s">
        <v>21</v>
      </c>
      <c r="BR2" s="13" t="s">
        <v>16</v>
      </c>
      <c r="BS2" s="55" t="s">
        <v>17</v>
      </c>
      <c r="BT2" s="55"/>
      <c r="BU2" s="55"/>
      <c r="BV2" s="55"/>
      <c r="BW2" s="55"/>
      <c r="BX2" s="55" t="s">
        <v>18</v>
      </c>
      <c r="BY2" s="55"/>
      <c r="BZ2" s="55"/>
      <c r="CA2" s="55"/>
      <c r="CB2" s="55"/>
      <c r="CC2" s="55" t="s">
        <v>21</v>
      </c>
      <c r="CD2" s="55"/>
      <c r="CE2" s="55"/>
      <c r="CF2" s="55"/>
      <c r="CG2" s="55"/>
      <c r="CH2" s="14"/>
      <c r="CI2" s="14" t="s">
        <v>66</v>
      </c>
      <c r="CJ2" s="14" t="s">
        <v>67</v>
      </c>
      <c r="CK2" s="14" t="s">
        <v>19</v>
      </c>
      <c r="CL2" s="14" t="s">
        <v>58</v>
      </c>
      <c r="CM2" s="14" t="s">
        <v>68</v>
      </c>
      <c r="CN2" s="14" t="s">
        <v>20</v>
      </c>
      <c r="CO2" s="14" t="s">
        <v>22</v>
      </c>
      <c r="CP2" s="14" t="s">
        <v>69</v>
      </c>
      <c r="CQ2" s="14" t="s">
        <v>70</v>
      </c>
      <c r="CR2" s="14" t="s">
        <v>21</v>
      </c>
      <c r="CS2" s="14" t="s">
        <v>16</v>
      </c>
      <c r="CT2" s="46" t="s">
        <v>176</v>
      </c>
      <c r="CU2" s="55" t="s">
        <v>17</v>
      </c>
      <c r="CV2" s="55"/>
      <c r="CW2" s="55"/>
      <c r="CX2" s="55"/>
      <c r="CY2" s="55"/>
      <c r="CZ2" s="55" t="s">
        <v>18</v>
      </c>
      <c r="DA2" s="55"/>
      <c r="DB2" s="55"/>
      <c r="DC2" s="55"/>
      <c r="DD2" s="55"/>
      <c r="DE2" s="55" t="s">
        <v>71</v>
      </c>
      <c r="DF2" s="55"/>
      <c r="DG2" s="55"/>
      <c r="DH2" s="55"/>
      <c r="DI2" s="55"/>
      <c r="DJ2" s="55" t="s">
        <v>21</v>
      </c>
      <c r="DK2" s="55"/>
      <c r="DL2" s="55"/>
      <c r="DM2" s="55"/>
      <c r="DN2" s="55"/>
      <c r="DO2" s="14" t="s">
        <v>66</v>
      </c>
      <c r="DP2" s="14" t="s">
        <v>67</v>
      </c>
      <c r="DQ2" s="14" t="s">
        <v>19</v>
      </c>
      <c r="DR2" s="14" t="s">
        <v>58</v>
      </c>
      <c r="DS2" s="14" t="s">
        <v>68</v>
      </c>
      <c r="DT2" s="14" t="s">
        <v>20</v>
      </c>
      <c r="DU2" s="14" t="s">
        <v>22</v>
      </c>
      <c r="DV2" s="14" t="s">
        <v>72</v>
      </c>
      <c r="DW2" s="14" t="s">
        <v>73</v>
      </c>
      <c r="DX2" s="14" t="s">
        <v>71</v>
      </c>
      <c r="DY2" s="14" t="s">
        <v>69</v>
      </c>
      <c r="DZ2" s="14" t="s">
        <v>70</v>
      </c>
      <c r="EA2" s="14" t="s">
        <v>21</v>
      </c>
      <c r="EB2" s="14" t="s">
        <v>16</v>
      </c>
      <c r="EC2" s="60" t="s">
        <v>17</v>
      </c>
      <c r="ED2" s="60"/>
      <c r="EE2" s="60"/>
      <c r="EF2" s="60"/>
      <c r="EG2" s="60"/>
      <c r="EH2" s="60" t="s">
        <v>18</v>
      </c>
      <c r="EI2" s="60"/>
      <c r="EJ2" s="60"/>
      <c r="EK2" s="60"/>
      <c r="EL2" s="60"/>
      <c r="EM2" s="60" t="s">
        <v>71</v>
      </c>
      <c r="EN2" s="60"/>
      <c r="EO2" s="60"/>
      <c r="EP2" s="60"/>
      <c r="EQ2" s="60"/>
      <c r="ER2" s="60" t="s">
        <v>21</v>
      </c>
      <c r="ES2" s="60"/>
      <c r="ET2" s="60"/>
      <c r="EU2" s="60"/>
      <c r="EV2" s="60"/>
      <c r="EW2" s="13" t="s">
        <v>66</v>
      </c>
      <c r="EX2" s="13" t="s">
        <v>67</v>
      </c>
      <c r="EY2" s="13" t="s">
        <v>19</v>
      </c>
      <c r="EZ2" s="13" t="s">
        <v>58</v>
      </c>
      <c r="FA2" s="13" t="s">
        <v>68</v>
      </c>
      <c r="FB2" s="13" t="s">
        <v>20</v>
      </c>
      <c r="FC2" s="13" t="s">
        <v>22</v>
      </c>
      <c r="FD2" s="13" t="s">
        <v>72</v>
      </c>
      <c r="FE2" s="13" t="s">
        <v>73</v>
      </c>
      <c r="FF2" s="13" t="s">
        <v>71</v>
      </c>
      <c r="FG2" s="13" t="s">
        <v>69</v>
      </c>
      <c r="FH2" s="13" t="s">
        <v>70</v>
      </c>
      <c r="FI2" s="13" t="s">
        <v>21</v>
      </c>
      <c r="FJ2" s="13" t="s">
        <v>16</v>
      </c>
      <c r="FK2" s="55" t="s">
        <v>17</v>
      </c>
      <c r="FL2" s="55"/>
      <c r="FM2" s="55"/>
      <c r="FN2" s="55"/>
      <c r="FO2" s="55"/>
      <c r="FP2" s="55" t="s">
        <v>18</v>
      </c>
      <c r="FQ2" s="55"/>
      <c r="FR2" s="55"/>
      <c r="FS2" s="55"/>
      <c r="FT2" s="55"/>
      <c r="FU2" s="55" t="s">
        <v>71</v>
      </c>
      <c r="FV2" s="55"/>
      <c r="FW2" s="55"/>
      <c r="FX2" s="55"/>
      <c r="FY2" s="55"/>
      <c r="FZ2" s="55" t="s">
        <v>21</v>
      </c>
      <c r="GA2" s="55"/>
      <c r="GB2" s="55"/>
      <c r="GC2" s="55"/>
      <c r="GD2" s="55"/>
      <c r="GE2" s="14" t="s">
        <v>66</v>
      </c>
      <c r="GF2" s="14" t="s">
        <v>67</v>
      </c>
      <c r="GG2" s="14" t="s">
        <v>19</v>
      </c>
      <c r="GH2" s="14" t="s">
        <v>58</v>
      </c>
      <c r="GI2" s="14" t="s">
        <v>68</v>
      </c>
      <c r="GJ2" s="14" t="s">
        <v>20</v>
      </c>
      <c r="GK2" s="14" t="s">
        <v>22</v>
      </c>
      <c r="GL2" s="14" t="s">
        <v>72</v>
      </c>
      <c r="GM2" s="14" t="s">
        <v>73</v>
      </c>
      <c r="GN2" s="14" t="s">
        <v>71</v>
      </c>
      <c r="GO2" s="14" t="s">
        <v>69</v>
      </c>
      <c r="GP2" s="14" t="s">
        <v>70</v>
      </c>
      <c r="GQ2" s="14" t="s">
        <v>21</v>
      </c>
      <c r="GR2" s="14" t="s">
        <v>16</v>
      </c>
      <c r="GS2" s="60" t="s">
        <v>17</v>
      </c>
      <c r="GT2" s="60"/>
      <c r="GU2" s="60"/>
      <c r="GV2" s="60"/>
      <c r="GW2" s="60"/>
      <c r="GX2" s="60" t="s">
        <v>18</v>
      </c>
      <c r="GY2" s="60"/>
      <c r="GZ2" s="60"/>
      <c r="HA2" s="60"/>
      <c r="HB2" s="60"/>
      <c r="HC2" s="60" t="s">
        <v>71</v>
      </c>
      <c r="HD2" s="60"/>
      <c r="HE2" s="60"/>
      <c r="HF2" s="60"/>
      <c r="HG2" s="60"/>
      <c r="HH2" s="60" t="s">
        <v>21</v>
      </c>
      <c r="HI2" s="60"/>
      <c r="HJ2" s="60"/>
      <c r="HK2" s="60"/>
      <c r="HL2" s="60"/>
      <c r="HM2" s="13" t="s">
        <v>66</v>
      </c>
      <c r="HN2" s="13" t="s">
        <v>67</v>
      </c>
      <c r="HO2" s="13" t="s">
        <v>19</v>
      </c>
      <c r="HP2" s="13" t="s">
        <v>58</v>
      </c>
      <c r="HQ2" s="13" t="s">
        <v>68</v>
      </c>
      <c r="HR2" s="13" t="s">
        <v>20</v>
      </c>
      <c r="HS2" s="13" t="s">
        <v>22</v>
      </c>
      <c r="HT2" s="13" t="s">
        <v>72</v>
      </c>
      <c r="HU2" s="13" t="s">
        <v>73</v>
      </c>
      <c r="HV2" s="13" t="s">
        <v>71</v>
      </c>
      <c r="HW2" s="13" t="s">
        <v>69</v>
      </c>
      <c r="HX2" s="13" t="s">
        <v>70</v>
      </c>
      <c r="HY2" s="13" t="s">
        <v>21</v>
      </c>
      <c r="HZ2" s="13" t="s">
        <v>16</v>
      </c>
      <c r="IA2" s="55" t="s">
        <v>17</v>
      </c>
      <c r="IB2" s="55"/>
      <c r="IC2" s="55"/>
      <c r="ID2" s="55"/>
      <c r="IE2" s="55"/>
      <c r="IF2" s="55" t="s">
        <v>18</v>
      </c>
      <c r="IG2" s="55"/>
      <c r="IH2" s="55"/>
      <c r="II2" s="55"/>
      <c r="IJ2" s="55"/>
      <c r="IK2" s="55" t="s">
        <v>71</v>
      </c>
      <c r="IL2" s="55"/>
      <c r="IM2" s="55"/>
      <c r="IN2" s="55"/>
      <c r="IO2" s="55"/>
      <c r="IP2" s="55" t="s">
        <v>21</v>
      </c>
      <c r="IQ2" s="55"/>
      <c r="IR2" s="55"/>
      <c r="IS2" s="55"/>
      <c r="IT2" s="55"/>
      <c r="IU2" s="14" t="s">
        <v>66</v>
      </c>
      <c r="IV2" s="14" t="s">
        <v>67</v>
      </c>
      <c r="IW2" s="14" t="s">
        <v>19</v>
      </c>
      <c r="IX2" s="14" t="s">
        <v>58</v>
      </c>
      <c r="IY2" s="14" t="s">
        <v>68</v>
      </c>
      <c r="IZ2" s="14" t="s">
        <v>20</v>
      </c>
      <c r="JA2" s="14" t="s">
        <v>22</v>
      </c>
      <c r="JB2" s="14" t="s">
        <v>72</v>
      </c>
      <c r="JC2" s="14" t="s">
        <v>73</v>
      </c>
      <c r="JD2" s="14" t="s">
        <v>71</v>
      </c>
      <c r="JE2" s="14" t="s">
        <v>69</v>
      </c>
      <c r="JF2" s="14" t="s">
        <v>70</v>
      </c>
      <c r="JG2" s="14" t="s">
        <v>21</v>
      </c>
      <c r="JH2" s="14" t="s">
        <v>16</v>
      </c>
      <c r="JI2" s="60" t="s">
        <v>17</v>
      </c>
      <c r="JJ2" s="60"/>
      <c r="JK2" s="60"/>
      <c r="JL2" s="60"/>
      <c r="JM2" s="60"/>
      <c r="JN2" s="60" t="s">
        <v>18</v>
      </c>
      <c r="JO2" s="60"/>
      <c r="JP2" s="60"/>
      <c r="JQ2" s="60"/>
      <c r="JR2" s="60"/>
      <c r="JS2" s="60" t="s">
        <v>71</v>
      </c>
      <c r="JT2" s="60"/>
      <c r="JU2" s="60"/>
      <c r="JV2" s="60"/>
      <c r="JW2" s="60"/>
      <c r="JX2" s="60" t="s">
        <v>21</v>
      </c>
      <c r="JY2" s="60"/>
      <c r="JZ2" s="60"/>
      <c r="KA2" s="60"/>
      <c r="KB2" s="60"/>
      <c r="KC2" s="13" t="s">
        <v>66</v>
      </c>
      <c r="KD2" s="13" t="s">
        <v>67</v>
      </c>
      <c r="KE2" s="13" t="s">
        <v>19</v>
      </c>
      <c r="KF2" s="13" t="s">
        <v>58</v>
      </c>
      <c r="KG2" s="13" t="s">
        <v>68</v>
      </c>
      <c r="KH2" s="13" t="s">
        <v>20</v>
      </c>
      <c r="KI2" s="13" t="s">
        <v>22</v>
      </c>
      <c r="KJ2" s="13" t="s">
        <v>72</v>
      </c>
      <c r="KK2" s="13" t="s">
        <v>73</v>
      </c>
      <c r="KL2" s="13" t="s">
        <v>71</v>
      </c>
      <c r="KM2" s="13" t="s">
        <v>69</v>
      </c>
      <c r="KN2" s="13" t="s">
        <v>70</v>
      </c>
      <c r="KO2" s="13" t="s">
        <v>21</v>
      </c>
      <c r="KP2" s="13" t="s">
        <v>16</v>
      </c>
      <c r="KQ2" s="55" t="s">
        <v>17</v>
      </c>
      <c r="KR2" s="55"/>
      <c r="KS2" s="55"/>
      <c r="KT2" s="55"/>
      <c r="KU2" s="55"/>
      <c r="KV2" s="55" t="s">
        <v>18</v>
      </c>
      <c r="KW2" s="55"/>
      <c r="KX2" s="55"/>
      <c r="KY2" s="55"/>
      <c r="KZ2" s="55"/>
      <c r="LA2" s="55" t="s">
        <v>71</v>
      </c>
      <c r="LB2" s="55"/>
      <c r="LC2" s="55"/>
      <c r="LD2" s="55"/>
      <c r="LE2" s="55"/>
      <c r="LF2" s="55" t="s">
        <v>21</v>
      </c>
      <c r="LG2" s="55"/>
      <c r="LH2" s="55"/>
      <c r="LI2" s="55"/>
      <c r="LJ2" s="55"/>
      <c r="LK2" s="14" t="s">
        <v>66</v>
      </c>
      <c r="LL2" s="14" t="s">
        <v>67</v>
      </c>
      <c r="LM2" s="14" t="s">
        <v>19</v>
      </c>
      <c r="LN2" s="14" t="s">
        <v>58</v>
      </c>
      <c r="LO2" s="14" t="s">
        <v>68</v>
      </c>
      <c r="LP2" s="14" t="s">
        <v>20</v>
      </c>
      <c r="LQ2" s="14" t="s">
        <v>22</v>
      </c>
      <c r="LR2" s="14" t="s">
        <v>72</v>
      </c>
      <c r="LS2" s="14" t="s">
        <v>73</v>
      </c>
      <c r="LT2" s="14" t="s">
        <v>71</v>
      </c>
      <c r="LU2" s="14" t="s">
        <v>69</v>
      </c>
      <c r="LV2" s="14" t="s">
        <v>70</v>
      </c>
      <c r="LW2" s="14" t="s">
        <v>21</v>
      </c>
      <c r="LX2" s="14" t="s">
        <v>16</v>
      </c>
      <c r="LY2" s="60" t="s">
        <v>17</v>
      </c>
      <c r="LZ2" s="60"/>
      <c r="MA2" s="60"/>
      <c r="MB2" s="60"/>
      <c r="MC2" s="60"/>
      <c r="MD2" s="60" t="s">
        <v>18</v>
      </c>
      <c r="ME2" s="60"/>
      <c r="MF2" s="60"/>
      <c r="MG2" s="60"/>
      <c r="MH2" s="60"/>
      <c r="MI2" s="60" t="s">
        <v>71</v>
      </c>
      <c r="MJ2" s="60"/>
      <c r="MK2" s="60"/>
      <c r="ML2" s="60"/>
      <c r="MM2" s="60"/>
      <c r="MN2" s="60" t="s">
        <v>21</v>
      </c>
      <c r="MO2" s="60"/>
      <c r="MP2" s="60"/>
      <c r="MQ2" s="60"/>
      <c r="MR2" s="60"/>
      <c r="MS2" s="13" t="s">
        <v>66</v>
      </c>
      <c r="MT2" s="13" t="s">
        <v>67</v>
      </c>
      <c r="MU2" s="13" t="s">
        <v>19</v>
      </c>
      <c r="MV2" s="13" t="s">
        <v>58</v>
      </c>
      <c r="MW2" s="13" t="s">
        <v>68</v>
      </c>
      <c r="MX2" s="13" t="s">
        <v>20</v>
      </c>
      <c r="MY2" s="13" t="s">
        <v>22</v>
      </c>
      <c r="MZ2" s="13" t="s">
        <v>72</v>
      </c>
      <c r="NA2" s="13" t="s">
        <v>73</v>
      </c>
      <c r="NB2" s="13" t="s">
        <v>71</v>
      </c>
      <c r="NC2" s="13" t="s">
        <v>69</v>
      </c>
      <c r="ND2" s="13" t="s">
        <v>70</v>
      </c>
      <c r="NE2" s="13" t="s">
        <v>21</v>
      </c>
      <c r="NF2" s="13" t="s">
        <v>16</v>
      </c>
      <c r="NG2" s="55" t="s">
        <v>17</v>
      </c>
      <c r="NH2" s="55"/>
      <c r="NI2" s="55"/>
      <c r="NJ2" s="55"/>
      <c r="NK2" s="55"/>
      <c r="NL2" s="55" t="s">
        <v>18</v>
      </c>
      <c r="NM2" s="55"/>
      <c r="NN2" s="55"/>
      <c r="NO2" s="55"/>
      <c r="NP2" s="55"/>
      <c r="NQ2" s="55" t="s">
        <v>71</v>
      </c>
      <c r="NR2" s="55"/>
      <c r="NS2" s="55"/>
      <c r="NT2" s="55"/>
      <c r="NU2" s="55"/>
      <c r="NV2" s="55" t="s">
        <v>21</v>
      </c>
      <c r="NW2" s="55"/>
      <c r="NX2" s="55"/>
      <c r="NY2" s="55"/>
      <c r="NZ2" s="55"/>
      <c r="OA2" s="14" t="s">
        <v>66</v>
      </c>
      <c r="OB2" s="14" t="s">
        <v>67</v>
      </c>
      <c r="OC2" s="14" t="s">
        <v>19</v>
      </c>
      <c r="OD2" s="14" t="s">
        <v>58</v>
      </c>
      <c r="OE2" s="14" t="s">
        <v>68</v>
      </c>
      <c r="OF2" s="14" t="s">
        <v>20</v>
      </c>
      <c r="OG2" s="14" t="s">
        <v>22</v>
      </c>
      <c r="OH2" s="14" t="s">
        <v>72</v>
      </c>
      <c r="OI2" s="14" t="s">
        <v>73</v>
      </c>
      <c r="OJ2" s="14" t="s">
        <v>71</v>
      </c>
      <c r="OK2" s="14" t="s">
        <v>69</v>
      </c>
      <c r="OL2" s="14" t="s">
        <v>70</v>
      </c>
      <c r="OM2" s="14" t="s">
        <v>21</v>
      </c>
      <c r="ON2" s="14" t="s">
        <v>16</v>
      </c>
      <c r="OO2" s="60" t="s">
        <v>17</v>
      </c>
      <c r="OP2" s="60"/>
      <c r="OQ2" s="60"/>
      <c r="OR2" s="60"/>
      <c r="OS2" s="60"/>
      <c r="OT2" s="60" t="s">
        <v>18</v>
      </c>
      <c r="OU2" s="60"/>
      <c r="OV2" s="60"/>
      <c r="OW2" s="60"/>
      <c r="OX2" s="60"/>
      <c r="OY2" s="60" t="s">
        <v>71</v>
      </c>
      <c r="OZ2" s="60"/>
      <c r="PA2" s="60"/>
      <c r="PB2" s="60"/>
      <c r="PC2" s="60"/>
      <c r="PD2" s="60" t="s">
        <v>21</v>
      </c>
      <c r="PE2" s="60"/>
      <c r="PF2" s="60"/>
      <c r="PG2" s="60"/>
      <c r="PH2" s="60"/>
      <c r="PI2" s="13" t="s">
        <v>66</v>
      </c>
      <c r="PJ2" s="13" t="s">
        <v>67</v>
      </c>
      <c r="PK2" s="13" t="s">
        <v>19</v>
      </c>
      <c r="PL2" s="13" t="s">
        <v>58</v>
      </c>
      <c r="PM2" s="13" t="s">
        <v>68</v>
      </c>
      <c r="PN2" s="13" t="s">
        <v>20</v>
      </c>
      <c r="PO2" s="13" t="s">
        <v>22</v>
      </c>
      <c r="PP2" s="13" t="s">
        <v>72</v>
      </c>
      <c r="PQ2" s="13" t="s">
        <v>73</v>
      </c>
      <c r="PR2" s="13" t="s">
        <v>71</v>
      </c>
      <c r="PS2" s="13" t="s">
        <v>69</v>
      </c>
      <c r="PT2" s="13" t="s">
        <v>70</v>
      </c>
      <c r="PU2" s="13" t="s">
        <v>21</v>
      </c>
      <c r="PV2" s="13" t="s">
        <v>16</v>
      </c>
      <c r="PW2" s="55" t="s">
        <v>17</v>
      </c>
      <c r="PX2" s="55"/>
      <c r="PY2" s="55"/>
      <c r="PZ2" s="55"/>
      <c r="QA2" s="55"/>
      <c r="QB2" s="55" t="s">
        <v>18</v>
      </c>
      <c r="QC2" s="55"/>
      <c r="QD2" s="55"/>
      <c r="QE2" s="55"/>
      <c r="QF2" s="55"/>
      <c r="QG2" s="55" t="s">
        <v>71</v>
      </c>
      <c r="QH2" s="55"/>
      <c r="QI2" s="55"/>
      <c r="QJ2" s="55"/>
      <c r="QK2" s="55"/>
      <c r="QL2" s="55" t="s">
        <v>21</v>
      </c>
      <c r="QM2" s="55"/>
      <c r="QN2" s="55"/>
      <c r="QO2" s="55"/>
      <c r="QP2" s="55"/>
      <c r="QQ2" s="14" t="s">
        <v>66</v>
      </c>
      <c r="QR2" s="14" t="s">
        <v>67</v>
      </c>
      <c r="QS2" s="14" t="s">
        <v>19</v>
      </c>
      <c r="QT2" s="14" t="s">
        <v>58</v>
      </c>
      <c r="QU2" s="14" t="s">
        <v>68</v>
      </c>
      <c r="QV2" s="14" t="s">
        <v>20</v>
      </c>
      <c r="QW2" s="14" t="s">
        <v>22</v>
      </c>
      <c r="QX2" s="14" t="s">
        <v>72</v>
      </c>
      <c r="QY2" s="14" t="s">
        <v>73</v>
      </c>
      <c r="QZ2" s="14" t="s">
        <v>71</v>
      </c>
      <c r="RA2" s="14" t="s">
        <v>69</v>
      </c>
      <c r="RB2" s="14" t="s">
        <v>70</v>
      </c>
      <c r="RC2" s="14" t="s">
        <v>21</v>
      </c>
      <c r="RD2" s="14" t="s">
        <v>16</v>
      </c>
      <c r="RE2" s="60" t="s">
        <v>17</v>
      </c>
      <c r="RF2" s="60"/>
      <c r="RG2" s="60"/>
      <c r="RH2" s="60"/>
      <c r="RI2" s="60"/>
      <c r="RJ2" s="60" t="s">
        <v>18</v>
      </c>
      <c r="RK2" s="60"/>
      <c r="RL2" s="60"/>
      <c r="RM2" s="60"/>
      <c r="RN2" s="60"/>
      <c r="RO2" s="60" t="s">
        <v>71</v>
      </c>
      <c r="RP2" s="60"/>
      <c r="RQ2" s="60"/>
      <c r="RR2" s="60"/>
      <c r="RS2" s="60"/>
      <c r="RT2" s="60" t="s">
        <v>21</v>
      </c>
      <c r="RU2" s="60"/>
      <c r="RV2" s="60"/>
      <c r="RW2" s="60"/>
      <c r="RX2" s="60"/>
      <c r="RY2" s="13" t="s">
        <v>66</v>
      </c>
      <c r="RZ2" s="13" t="s">
        <v>67</v>
      </c>
      <c r="SA2" s="13" t="s">
        <v>19</v>
      </c>
      <c r="SB2" s="13" t="s">
        <v>58</v>
      </c>
      <c r="SC2" s="13" t="s">
        <v>68</v>
      </c>
      <c r="SD2" s="13" t="s">
        <v>20</v>
      </c>
      <c r="SE2" s="13" t="s">
        <v>22</v>
      </c>
      <c r="SF2" s="13" t="s">
        <v>72</v>
      </c>
      <c r="SG2" s="13" t="s">
        <v>73</v>
      </c>
      <c r="SH2" s="13" t="s">
        <v>71</v>
      </c>
      <c r="SI2" s="13" t="s">
        <v>69</v>
      </c>
      <c r="SJ2" s="13" t="s">
        <v>70</v>
      </c>
      <c r="SK2" s="13" t="s">
        <v>21</v>
      </c>
      <c r="SL2" s="13" t="s">
        <v>16</v>
      </c>
      <c r="SM2" s="55" t="s">
        <v>17</v>
      </c>
      <c r="SN2" s="55"/>
      <c r="SO2" s="55"/>
      <c r="SP2" s="55"/>
      <c r="SQ2" s="55"/>
      <c r="SR2" s="55" t="s">
        <v>18</v>
      </c>
      <c r="SS2" s="55"/>
      <c r="ST2" s="55"/>
      <c r="SU2" s="55"/>
      <c r="SV2" s="55"/>
      <c r="SW2" s="55" t="s">
        <v>71</v>
      </c>
      <c r="SX2" s="55"/>
      <c r="SY2" s="55"/>
      <c r="SZ2" s="55"/>
      <c r="TA2" s="55"/>
      <c r="TB2" s="55" t="s">
        <v>21</v>
      </c>
      <c r="TC2" s="55"/>
      <c r="TD2" s="55"/>
      <c r="TE2" s="55"/>
      <c r="TF2" s="55"/>
      <c r="TG2" s="14" t="s">
        <v>66</v>
      </c>
      <c r="TH2" s="14" t="s">
        <v>67</v>
      </c>
      <c r="TI2" s="14" t="s">
        <v>19</v>
      </c>
      <c r="TJ2" s="14" t="s">
        <v>58</v>
      </c>
      <c r="TK2" s="14" t="s">
        <v>68</v>
      </c>
      <c r="TL2" s="14" t="s">
        <v>20</v>
      </c>
      <c r="TM2" s="14" t="s">
        <v>22</v>
      </c>
      <c r="TN2" s="14" t="s">
        <v>72</v>
      </c>
      <c r="TO2" s="14" t="s">
        <v>73</v>
      </c>
      <c r="TP2" s="14" t="s">
        <v>71</v>
      </c>
      <c r="TQ2" s="14" t="s">
        <v>69</v>
      </c>
      <c r="TR2" s="14" t="s">
        <v>70</v>
      </c>
      <c r="TS2" s="14" t="s">
        <v>21</v>
      </c>
      <c r="TT2" s="14" t="s">
        <v>16</v>
      </c>
      <c r="TU2" s="60" t="s">
        <v>17</v>
      </c>
      <c r="TV2" s="60"/>
      <c r="TW2" s="60"/>
      <c r="TX2" s="60"/>
      <c r="TY2" s="60"/>
      <c r="TZ2" s="60" t="s">
        <v>18</v>
      </c>
      <c r="UA2" s="60"/>
      <c r="UB2" s="60"/>
      <c r="UC2" s="60"/>
      <c r="UD2" s="60"/>
      <c r="UE2" s="60" t="s">
        <v>71</v>
      </c>
      <c r="UF2" s="60"/>
      <c r="UG2" s="60"/>
      <c r="UH2" s="60"/>
      <c r="UI2" s="60"/>
      <c r="UJ2" s="60" t="s">
        <v>21</v>
      </c>
      <c r="UK2" s="60"/>
      <c r="UL2" s="60"/>
      <c r="UM2" s="60"/>
      <c r="UN2" s="60"/>
      <c r="UO2" s="13" t="s">
        <v>66</v>
      </c>
      <c r="UP2" s="13" t="s">
        <v>67</v>
      </c>
      <c r="UQ2" s="13" t="s">
        <v>19</v>
      </c>
      <c r="UR2" s="13" t="s">
        <v>58</v>
      </c>
      <c r="US2" s="13" t="s">
        <v>68</v>
      </c>
      <c r="UT2" s="13" t="s">
        <v>20</v>
      </c>
      <c r="UU2" s="13" t="s">
        <v>22</v>
      </c>
      <c r="UV2" s="13" t="s">
        <v>72</v>
      </c>
      <c r="UW2" s="13" t="s">
        <v>73</v>
      </c>
      <c r="UX2" s="13" t="s">
        <v>71</v>
      </c>
      <c r="UY2" s="13" t="s">
        <v>69</v>
      </c>
      <c r="UZ2" s="13" t="s">
        <v>70</v>
      </c>
      <c r="VA2" s="13" t="s">
        <v>21</v>
      </c>
      <c r="VB2" s="13" t="s">
        <v>16</v>
      </c>
      <c r="VC2" s="55" t="s">
        <v>17</v>
      </c>
      <c r="VD2" s="55"/>
      <c r="VE2" s="55"/>
      <c r="VF2" s="55"/>
      <c r="VG2" s="55"/>
      <c r="VH2" s="55" t="s">
        <v>18</v>
      </c>
      <c r="VI2" s="55"/>
      <c r="VJ2" s="55"/>
      <c r="VK2" s="55"/>
      <c r="VL2" s="55"/>
      <c r="VM2" s="55" t="s">
        <v>71</v>
      </c>
      <c r="VN2" s="55"/>
      <c r="VO2" s="55"/>
      <c r="VP2" s="55"/>
      <c r="VQ2" s="55"/>
      <c r="VR2" s="55" t="s">
        <v>21</v>
      </c>
      <c r="VS2" s="55"/>
      <c r="VT2" s="55"/>
      <c r="VU2" s="55"/>
      <c r="VV2" s="55"/>
      <c r="VW2" s="14" t="s">
        <v>66</v>
      </c>
      <c r="VX2" s="14" t="s">
        <v>67</v>
      </c>
      <c r="VY2" s="14" t="s">
        <v>19</v>
      </c>
      <c r="VZ2" s="14" t="s">
        <v>58</v>
      </c>
      <c r="WA2" s="14" t="s">
        <v>68</v>
      </c>
      <c r="WB2" s="14" t="s">
        <v>20</v>
      </c>
      <c r="WC2" s="14" t="s">
        <v>22</v>
      </c>
      <c r="WD2" s="14" t="s">
        <v>72</v>
      </c>
      <c r="WE2" s="14" t="s">
        <v>73</v>
      </c>
      <c r="WF2" s="14" t="s">
        <v>71</v>
      </c>
      <c r="WG2" s="14" t="s">
        <v>69</v>
      </c>
      <c r="WH2" s="14" t="s">
        <v>70</v>
      </c>
      <c r="WI2" s="14" t="s">
        <v>21</v>
      </c>
      <c r="WJ2" s="14" t="s">
        <v>16</v>
      </c>
    </row>
    <row r="3" spans="1:608" x14ac:dyDescent="0.2">
      <c r="A3" s="57"/>
      <c r="B3" s="57"/>
      <c r="C3" s="57"/>
      <c r="D3" s="57"/>
      <c r="E3" s="57"/>
      <c r="F3" s="58"/>
      <c r="G3" s="57"/>
      <c r="H3" s="57"/>
      <c r="I3" s="57"/>
      <c r="J3" s="53"/>
      <c r="K3" s="52"/>
      <c r="L3" s="53"/>
      <c r="M3" s="52"/>
      <c r="N3" s="59"/>
      <c r="O3" s="52"/>
      <c r="P3" s="52"/>
      <c r="Q3" s="14" t="s">
        <v>13</v>
      </c>
      <c r="R3" s="14" t="s">
        <v>14</v>
      </c>
      <c r="S3" s="14" t="s">
        <v>8</v>
      </c>
      <c r="T3" s="14" t="s">
        <v>15</v>
      </c>
      <c r="U3" s="14" t="s">
        <v>27</v>
      </c>
      <c r="V3" s="14" t="s">
        <v>13</v>
      </c>
      <c r="W3" s="14" t="s">
        <v>14</v>
      </c>
      <c r="X3" s="14" t="s">
        <v>8</v>
      </c>
      <c r="Y3" s="14" t="s">
        <v>15</v>
      </c>
      <c r="Z3" s="14" t="s">
        <v>27</v>
      </c>
      <c r="AA3" s="14" t="s">
        <v>13</v>
      </c>
      <c r="AB3" s="14" t="s">
        <v>14</v>
      </c>
      <c r="AC3" s="14" t="s">
        <v>8</v>
      </c>
      <c r="AD3" s="14" t="s">
        <v>15</v>
      </c>
      <c r="AE3" s="14" t="s">
        <v>27</v>
      </c>
      <c r="AF3" s="14" t="s">
        <v>41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13</v>
      </c>
      <c r="AS3" s="13" t="s">
        <v>14</v>
      </c>
      <c r="AT3" s="13" t="s">
        <v>8</v>
      </c>
      <c r="AU3" s="13" t="s">
        <v>15</v>
      </c>
      <c r="AV3" s="13" t="s">
        <v>27</v>
      </c>
      <c r="AW3" s="13" t="s">
        <v>13</v>
      </c>
      <c r="AX3" s="13" t="s">
        <v>14</v>
      </c>
      <c r="AY3" s="13" t="s">
        <v>8</v>
      </c>
      <c r="AZ3" s="13" t="s">
        <v>15</v>
      </c>
      <c r="BA3" s="13" t="s">
        <v>27</v>
      </c>
      <c r="BB3" s="13" t="s">
        <v>13</v>
      </c>
      <c r="BC3" s="13" t="s">
        <v>14</v>
      </c>
      <c r="BD3" s="13" t="s">
        <v>8</v>
      </c>
      <c r="BE3" s="13" t="s">
        <v>15</v>
      </c>
      <c r="BF3" s="13" t="s">
        <v>27</v>
      </c>
      <c r="BG3" s="13" t="s">
        <v>41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13</v>
      </c>
      <c r="BT3" s="14" t="s">
        <v>14</v>
      </c>
      <c r="BU3" s="14" t="s">
        <v>8</v>
      </c>
      <c r="BV3" s="14" t="s">
        <v>15</v>
      </c>
      <c r="BW3" s="14" t="s">
        <v>27</v>
      </c>
      <c r="BX3" s="14" t="s">
        <v>13</v>
      </c>
      <c r="BY3" s="14" t="s">
        <v>14</v>
      </c>
      <c r="BZ3" s="14" t="s">
        <v>8</v>
      </c>
      <c r="CA3" s="14" t="s">
        <v>15</v>
      </c>
      <c r="CB3" s="14" t="s">
        <v>27</v>
      </c>
      <c r="CC3" s="14" t="s">
        <v>13</v>
      </c>
      <c r="CD3" s="14" t="s">
        <v>14</v>
      </c>
      <c r="CE3" s="14" t="s">
        <v>8</v>
      </c>
      <c r="CF3" s="14" t="s">
        <v>15</v>
      </c>
      <c r="CG3" s="14" t="s">
        <v>27</v>
      </c>
      <c r="CH3" s="14" t="s">
        <v>41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46"/>
      <c r="CU3" s="14" t="s">
        <v>13</v>
      </c>
      <c r="CV3" s="14" t="s">
        <v>14</v>
      </c>
      <c r="CW3" s="14" t="s">
        <v>8</v>
      </c>
      <c r="CX3" s="14" t="s">
        <v>15</v>
      </c>
      <c r="CY3" s="14" t="s">
        <v>27</v>
      </c>
      <c r="CZ3" s="14" t="s">
        <v>13</v>
      </c>
      <c r="DA3" s="14" t="s">
        <v>14</v>
      </c>
      <c r="DB3" s="14" t="s">
        <v>8</v>
      </c>
      <c r="DC3" s="14" t="s">
        <v>15</v>
      </c>
      <c r="DD3" s="14" t="s">
        <v>27</v>
      </c>
      <c r="DE3" s="14" t="s">
        <v>13</v>
      </c>
      <c r="DF3" s="14" t="s">
        <v>14</v>
      </c>
      <c r="DG3" s="14" t="s">
        <v>8</v>
      </c>
      <c r="DH3" s="14" t="s">
        <v>15</v>
      </c>
      <c r="DI3" s="14" t="s">
        <v>27</v>
      </c>
      <c r="DJ3" s="14" t="s">
        <v>13</v>
      </c>
      <c r="DK3" s="14" t="s">
        <v>14</v>
      </c>
      <c r="DL3" s="14" t="s">
        <v>8</v>
      </c>
      <c r="DM3" s="14" t="s">
        <v>15</v>
      </c>
      <c r="DN3" s="14" t="s">
        <v>27</v>
      </c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14"/>
      <c r="EC3" s="13" t="s">
        <v>13</v>
      </c>
      <c r="ED3" s="13" t="s">
        <v>14</v>
      </c>
      <c r="EE3" s="13" t="s">
        <v>8</v>
      </c>
      <c r="EF3" s="13" t="s">
        <v>15</v>
      </c>
      <c r="EG3" s="13" t="s">
        <v>27</v>
      </c>
      <c r="EH3" s="13" t="s">
        <v>13</v>
      </c>
      <c r="EI3" s="13" t="s">
        <v>14</v>
      </c>
      <c r="EJ3" s="13" t="s">
        <v>8</v>
      </c>
      <c r="EK3" s="13" t="s">
        <v>15</v>
      </c>
      <c r="EL3" s="13" t="s">
        <v>27</v>
      </c>
      <c r="EM3" s="13" t="s">
        <v>13</v>
      </c>
      <c r="EN3" s="13" t="s">
        <v>14</v>
      </c>
      <c r="EO3" s="13" t="s">
        <v>8</v>
      </c>
      <c r="EP3" s="13" t="s">
        <v>15</v>
      </c>
      <c r="EQ3" s="13" t="s">
        <v>27</v>
      </c>
      <c r="ER3" s="13" t="s">
        <v>13</v>
      </c>
      <c r="ES3" s="13" t="s">
        <v>14</v>
      </c>
      <c r="ET3" s="13" t="s">
        <v>8</v>
      </c>
      <c r="EU3" s="13" t="s">
        <v>15</v>
      </c>
      <c r="EV3" s="13" t="s">
        <v>27</v>
      </c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13"/>
      <c r="FK3" s="14" t="s">
        <v>13</v>
      </c>
      <c r="FL3" s="14" t="s">
        <v>14</v>
      </c>
      <c r="FM3" s="14" t="s">
        <v>8</v>
      </c>
      <c r="FN3" s="14" t="s">
        <v>15</v>
      </c>
      <c r="FO3" s="14" t="s">
        <v>27</v>
      </c>
      <c r="FP3" s="14" t="s">
        <v>13</v>
      </c>
      <c r="FQ3" s="14" t="s">
        <v>14</v>
      </c>
      <c r="FR3" s="14" t="s">
        <v>8</v>
      </c>
      <c r="FS3" s="14" t="s">
        <v>15</v>
      </c>
      <c r="FT3" s="14" t="s">
        <v>27</v>
      </c>
      <c r="FU3" s="14" t="s">
        <v>13</v>
      </c>
      <c r="FV3" s="14" t="s">
        <v>14</v>
      </c>
      <c r="FW3" s="14" t="s">
        <v>8</v>
      </c>
      <c r="FX3" s="14" t="s">
        <v>15</v>
      </c>
      <c r="FY3" s="14" t="s">
        <v>27</v>
      </c>
      <c r="FZ3" s="14" t="s">
        <v>13</v>
      </c>
      <c r="GA3" s="14" t="s">
        <v>14</v>
      </c>
      <c r="GB3" s="14" t="s">
        <v>8</v>
      </c>
      <c r="GC3" s="14" t="s">
        <v>15</v>
      </c>
      <c r="GD3" s="14" t="s">
        <v>27</v>
      </c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14"/>
      <c r="GS3" s="13" t="s">
        <v>13</v>
      </c>
      <c r="GT3" s="13" t="s">
        <v>14</v>
      </c>
      <c r="GU3" s="13" t="s">
        <v>8</v>
      </c>
      <c r="GV3" s="13" t="s">
        <v>15</v>
      </c>
      <c r="GW3" s="13" t="s">
        <v>27</v>
      </c>
      <c r="GX3" s="13" t="s">
        <v>13</v>
      </c>
      <c r="GY3" s="13" t="s">
        <v>14</v>
      </c>
      <c r="GZ3" s="13" t="s">
        <v>8</v>
      </c>
      <c r="HA3" s="13" t="s">
        <v>15</v>
      </c>
      <c r="HB3" s="13" t="s">
        <v>27</v>
      </c>
      <c r="HC3" s="13" t="s">
        <v>13</v>
      </c>
      <c r="HD3" s="13" t="s">
        <v>14</v>
      </c>
      <c r="HE3" s="13" t="s">
        <v>8</v>
      </c>
      <c r="HF3" s="13" t="s">
        <v>15</v>
      </c>
      <c r="HG3" s="13" t="s">
        <v>27</v>
      </c>
      <c r="HH3" s="13" t="s">
        <v>13</v>
      </c>
      <c r="HI3" s="13" t="s">
        <v>14</v>
      </c>
      <c r="HJ3" s="13" t="s">
        <v>8</v>
      </c>
      <c r="HK3" s="13" t="s">
        <v>15</v>
      </c>
      <c r="HL3" s="13" t="s">
        <v>27</v>
      </c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13"/>
      <c r="IA3" s="14" t="s">
        <v>13</v>
      </c>
      <c r="IB3" s="14" t="s">
        <v>14</v>
      </c>
      <c r="IC3" s="14" t="s">
        <v>8</v>
      </c>
      <c r="ID3" s="14" t="s">
        <v>15</v>
      </c>
      <c r="IE3" s="14" t="s">
        <v>27</v>
      </c>
      <c r="IF3" s="14" t="s">
        <v>13</v>
      </c>
      <c r="IG3" s="14" t="s">
        <v>14</v>
      </c>
      <c r="IH3" s="14" t="s">
        <v>8</v>
      </c>
      <c r="II3" s="14" t="s">
        <v>15</v>
      </c>
      <c r="IJ3" s="14" t="s">
        <v>27</v>
      </c>
      <c r="IK3" s="14" t="s">
        <v>13</v>
      </c>
      <c r="IL3" s="14" t="s">
        <v>14</v>
      </c>
      <c r="IM3" s="14" t="s">
        <v>8</v>
      </c>
      <c r="IN3" s="14" t="s">
        <v>15</v>
      </c>
      <c r="IO3" s="14" t="s">
        <v>27</v>
      </c>
      <c r="IP3" s="14" t="s">
        <v>13</v>
      </c>
      <c r="IQ3" s="14" t="s">
        <v>14</v>
      </c>
      <c r="IR3" s="14" t="s">
        <v>8</v>
      </c>
      <c r="IS3" s="14" t="s">
        <v>15</v>
      </c>
      <c r="IT3" s="14" t="s">
        <v>27</v>
      </c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14"/>
      <c r="JI3" s="13" t="s">
        <v>13</v>
      </c>
      <c r="JJ3" s="13" t="s">
        <v>14</v>
      </c>
      <c r="JK3" s="13" t="s">
        <v>8</v>
      </c>
      <c r="JL3" s="13" t="s">
        <v>15</v>
      </c>
      <c r="JM3" s="13" t="s">
        <v>27</v>
      </c>
      <c r="JN3" s="13" t="s">
        <v>13</v>
      </c>
      <c r="JO3" s="13" t="s">
        <v>14</v>
      </c>
      <c r="JP3" s="13" t="s">
        <v>8</v>
      </c>
      <c r="JQ3" s="13" t="s">
        <v>15</v>
      </c>
      <c r="JR3" s="13" t="s">
        <v>27</v>
      </c>
      <c r="JS3" s="13" t="s">
        <v>13</v>
      </c>
      <c r="JT3" s="13" t="s">
        <v>14</v>
      </c>
      <c r="JU3" s="13" t="s">
        <v>8</v>
      </c>
      <c r="JV3" s="13" t="s">
        <v>15</v>
      </c>
      <c r="JW3" s="13" t="s">
        <v>27</v>
      </c>
      <c r="JX3" s="13" t="s">
        <v>13</v>
      </c>
      <c r="JY3" s="13" t="s">
        <v>14</v>
      </c>
      <c r="JZ3" s="13" t="s">
        <v>8</v>
      </c>
      <c r="KA3" s="13" t="s">
        <v>15</v>
      </c>
      <c r="KB3" s="13" t="s">
        <v>27</v>
      </c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14" t="s">
        <v>13</v>
      </c>
      <c r="KR3" s="14" t="s">
        <v>14</v>
      </c>
      <c r="KS3" s="14" t="s">
        <v>8</v>
      </c>
      <c r="KT3" s="14" t="s">
        <v>15</v>
      </c>
      <c r="KU3" s="14" t="s">
        <v>27</v>
      </c>
      <c r="KV3" s="14" t="s">
        <v>13</v>
      </c>
      <c r="KW3" s="14" t="s">
        <v>14</v>
      </c>
      <c r="KX3" s="14" t="s">
        <v>8</v>
      </c>
      <c r="KY3" s="14" t="s">
        <v>15</v>
      </c>
      <c r="KZ3" s="14" t="s">
        <v>27</v>
      </c>
      <c r="LA3" s="14" t="s">
        <v>13</v>
      </c>
      <c r="LB3" s="14" t="s">
        <v>14</v>
      </c>
      <c r="LC3" s="14" t="s">
        <v>8</v>
      </c>
      <c r="LD3" s="14" t="s">
        <v>15</v>
      </c>
      <c r="LE3" s="14" t="s">
        <v>27</v>
      </c>
      <c r="LF3" s="14" t="s">
        <v>13</v>
      </c>
      <c r="LG3" s="14" t="s">
        <v>14</v>
      </c>
      <c r="LH3" s="14" t="s">
        <v>8</v>
      </c>
      <c r="LI3" s="14" t="s">
        <v>15</v>
      </c>
      <c r="LJ3" s="14" t="s">
        <v>27</v>
      </c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13" t="s">
        <v>13</v>
      </c>
      <c r="LZ3" s="13" t="s">
        <v>14</v>
      </c>
      <c r="MA3" s="13" t="s">
        <v>8</v>
      </c>
      <c r="MB3" s="13" t="s">
        <v>15</v>
      </c>
      <c r="MC3" s="13" t="s">
        <v>27</v>
      </c>
      <c r="MD3" s="13" t="s">
        <v>13</v>
      </c>
      <c r="ME3" s="13" t="s">
        <v>14</v>
      </c>
      <c r="MF3" s="13" t="s">
        <v>8</v>
      </c>
      <c r="MG3" s="13" t="s">
        <v>15</v>
      </c>
      <c r="MH3" s="13" t="s">
        <v>27</v>
      </c>
      <c r="MI3" s="13" t="s">
        <v>13</v>
      </c>
      <c r="MJ3" s="13" t="s">
        <v>14</v>
      </c>
      <c r="MK3" s="13" t="s">
        <v>8</v>
      </c>
      <c r="ML3" s="13" t="s">
        <v>15</v>
      </c>
      <c r="MM3" s="13" t="s">
        <v>27</v>
      </c>
      <c r="MN3" s="13" t="s">
        <v>13</v>
      </c>
      <c r="MO3" s="13" t="s">
        <v>14</v>
      </c>
      <c r="MP3" s="13" t="s">
        <v>8</v>
      </c>
      <c r="MQ3" s="13" t="s">
        <v>15</v>
      </c>
      <c r="MR3" s="13" t="s">
        <v>27</v>
      </c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14" t="s">
        <v>13</v>
      </c>
      <c r="NH3" s="14" t="s">
        <v>14</v>
      </c>
      <c r="NI3" s="14" t="s">
        <v>8</v>
      </c>
      <c r="NJ3" s="14" t="s">
        <v>15</v>
      </c>
      <c r="NK3" s="14" t="s">
        <v>27</v>
      </c>
      <c r="NL3" s="14" t="s">
        <v>13</v>
      </c>
      <c r="NM3" s="14" t="s">
        <v>14</v>
      </c>
      <c r="NN3" s="14" t="s">
        <v>8</v>
      </c>
      <c r="NO3" s="14" t="s">
        <v>15</v>
      </c>
      <c r="NP3" s="14" t="s">
        <v>27</v>
      </c>
      <c r="NQ3" s="14" t="s">
        <v>13</v>
      </c>
      <c r="NR3" s="14" t="s">
        <v>14</v>
      </c>
      <c r="NS3" s="14" t="s">
        <v>8</v>
      </c>
      <c r="NT3" s="14" t="s">
        <v>15</v>
      </c>
      <c r="NU3" s="14" t="s">
        <v>27</v>
      </c>
      <c r="NV3" s="14" t="s">
        <v>13</v>
      </c>
      <c r="NW3" s="14" t="s">
        <v>14</v>
      </c>
      <c r="NX3" s="14" t="s">
        <v>8</v>
      </c>
      <c r="NY3" s="14" t="s">
        <v>15</v>
      </c>
      <c r="NZ3" s="14" t="s">
        <v>27</v>
      </c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13" t="s">
        <v>13</v>
      </c>
      <c r="OP3" s="13" t="s">
        <v>14</v>
      </c>
      <c r="OQ3" s="13" t="s">
        <v>8</v>
      </c>
      <c r="OR3" s="13" t="s">
        <v>15</v>
      </c>
      <c r="OS3" s="13" t="s">
        <v>27</v>
      </c>
      <c r="OT3" s="13" t="s">
        <v>13</v>
      </c>
      <c r="OU3" s="13" t="s">
        <v>14</v>
      </c>
      <c r="OV3" s="13" t="s">
        <v>8</v>
      </c>
      <c r="OW3" s="13" t="s">
        <v>15</v>
      </c>
      <c r="OX3" s="13" t="s">
        <v>27</v>
      </c>
      <c r="OY3" s="13" t="s">
        <v>13</v>
      </c>
      <c r="OZ3" s="13" t="s">
        <v>14</v>
      </c>
      <c r="PA3" s="13" t="s">
        <v>8</v>
      </c>
      <c r="PB3" s="13" t="s">
        <v>15</v>
      </c>
      <c r="PC3" s="13" t="s">
        <v>27</v>
      </c>
      <c r="PD3" s="13" t="s">
        <v>13</v>
      </c>
      <c r="PE3" s="13" t="s">
        <v>14</v>
      </c>
      <c r="PF3" s="13" t="s">
        <v>8</v>
      </c>
      <c r="PG3" s="13" t="s">
        <v>15</v>
      </c>
      <c r="PH3" s="13" t="s">
        <v>27</v>
      </c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14" t="s">
        <v>13</v>
      </c>
      <c r="PX3" s="14" t="s">
        <v>14</v>
      </c>
      <c r="PY3" s="14" t="s">
        <v>8</v>
      </c>
      <c r="PZ3" s="14" t="s">
        <v>15</v>
      </c>
      <c r="QA3" s="14" t="s">
        <v>27</v>
      </c>
      <c r="QB3" s="14" t="s">
        <v>13</v>
      </c>
      <c r="QC3" s="14" t="s">
        <v>14</v>
      </c>
      <c r="QD3" s="14" t="s">
        <v>8</v>
      </c>
      <c r="QE3" s="14" t="s">
        <v>15</v>
      </c>
      <c r="QF3" s="14" t="s">
        <v>27</v>
      </c>
      <c r="QG3" s="14" t="s">
        <v>13</v>
      </c>
      <c r="QH3" s="14" t="s">
        <v>14</v>
      </c>
      <c r="QI3" s="14" t="s">
        <v>8</v>
      </c>
      <c r="QJ3" s="14" t="s">
        <v>15</v>
      </c>
      <c r="QK3" s="14" t="s">
        <v>27</v>
      </c>
      <c r="QL3" s="14" t="s">
        <v>13</v>
      </c>
      <c r="QM3" s="14" t="s">
        <v>14</v>
      </c>
      <c r="QN3" s="14" t="s">
        <v>8</v>
      </c>
      <c r="QO3" s="14" t="s">
        <v>15</v>
      </c>
      <c r="QP3" s="14" t="s">
        <v>27</v>
      </c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13" t="s">
        <v>13</v>
      </c>
      <c r="RF3" s="13" t="s">
        <v>14</v>
      </c>
      <c r="RG3" s="13" t="s">
        <v>8</v>
      </c>
      <c r="RH3" s="13" t="s">
        <v>15</v>
      </c>
      <c r="RI3" s="13" t="s">
        <v>27</v>
      </c>
      <c r="RJ3" s="13" t="s">
        <v>13</v>
      </c>
      <c r="RK3" s="13" t="s">
        <v>14</v>
      </c>
      <c r="RL3" s="13" t="s">
        <v>8</v>
      </c>
      <c r="RM3" s="13" t="s">
        <v>15</v>
      </c>
      <c r="RN3" s="13" t="s">
        <v>27</v>
      </c>
      <c r="RO3" s="13" t="s">
        <v>13</v>
      </c>
      <c r="RP3" s="13" t="s">
        <v>14</v>
      </c>
      <c r="RQ3" s="13" t="s">
        <v>8</v>
      </c>
      <c r="RR3" s="13" t="s">
        <v>15</v>
      </c>
      <c r="RS3" s="13" t="s">
        <v>27</v>
      </c>
      <c r="RT3" s="13" t="s">
        <v>13</v>
      </c>
      <c r="RU3" s="13" t="s">
        <v>14</v>
      </c>
      <c r="RV3" s="13" t="s">
        <v>8</v>
      </c>
      <c r="RW3" s="13" t="s">
        <v>15</v>
      </c>
      <c r="RX3" s="13" t="s">
        <v>27</v>
      </c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14" t="s">
        <v>13</v>
      </c>
      <c r="SN3" s="14" t="s">
        <v>14</v>
      </c>
      <c r="SO3" s="14" t="s">
        <v>8</v>
      </c>
      <c r="SP3" s="14" t="s">
        <v>15</v>
      </c>
      <c r="SQ3" s="14" t="s">
        <v>27</v>
      </c>
      <c r="SR3" s="14" t="s">
        <v>13</v>
      </c>
      <c r="SS3" s="14" t="s">
        <v>14</v>
      </c>
      <c r="ST3" s="14" t="s">
        <v>8</v>
      </c>
      <c r="SU3" s="14" t="s">
        <v>15</v>
      </c>
      <c r="SV3" s="14" t="s">
        <v>27</v>
      </c>
      <c r="SW3" s="14" t="s">
        <v>13</v>
      </c>
      <c r="SX3" s="14" t="s">
        <v>14</v>
      </c>
      <c r="SY3" s="14" t="s">
        <v>8</v>
      </c>
      <c r="SZ3" s="14" t="s">
        <v>15</v>
      </c>
      <c r="TA3" s="14" t="s">
        <v>27</v>
      </c>
      <c r="TB3" s="14" t="s">
        <v>13</v>
      </c>
      <c r="TC3" s="14" t="s">
        <v>14</v>
      </c>
      <c r="TD3" s="14" t="s">
        <v>8</v>
      </c>
      <c r="TE3" s="14" t="s">
        <v>15</v>
      </c>
      <c r="TF3" s="14" t="s">
        <v>27</v>
      </c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13" t="s">
        <v>13</v>
      </c>
      <c r="TV3" s="13" t="s">
        <v>14</v>
      </c>
      <c r="TW3" s="13" t="s">
        <v>8</v>
      </c>
      <c r="TX3" s="13" t="s">
        <v>15</v>
      </c>
      <c r="TY3" s="13" t="s">
        <v>27</v>
      </c>
      <c r="TZ3" s="13" t="s">
        <v>13</v>
      </c>
      <c r="UA3" s="13" t="s">
        <v>14</v>
      </c>
      <c r="UB3" s="13" t="s">
        <v>8</v>
      </c>
      <c r="UC3" s="13" t="s">
        <v>15</v>
      </c>
      <c r="UD3" s="13" t="s">
        <v>27</v>
      </c>
      <c r="UE3" s="13" t="s">
        <v>13</v>
      </c>
      <c r="UF3" s="13" t="s">
        <v>14</v>
      </c>
      <c r="UG3" s="13" t="s">
        <v>8</v>
      </c>
      <c r="UH3" s="13" t="s">
        <v>15</v>
      </c>
      <c r="UI3" s="13" t="s">
        <v>27</v>
      </c>
      <c r="UJ3" s="13" t="s">
        <v>13</v>
      </c>
      <c r="UK3" s="13" t="s">
        <v>14</v>
      </c>
      <c r="UL3" s="13" t="s">
        <v>8</v>
      </c>
      <c r="UM3" s="13" t="s">
        <v>15</v>
      </c>
      <c r="UN3" s="13" t="s">
        <v>27</v>
      </c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14" t="s">
        <v>13</v>
      </c>
      <c r="VD3" s="14" t="s">
        <v>14</v>
      </c>
      <c r="VE3" s="14" t="s">
        <v>8</v>
      </c>
      <c r="VF3" s="14" t="s">
        <v>15</v>
      </c>
      <c r="VG3" s="14" t="s">
        <v>27</v>
      </c>
      <c r="VH3" s="14" t="s">
        <v>13</v>
      </c>
      <c r="VI3" s="14" t="s">
        <v>14</v>
      </c>
      <c r="VJ3" s="14" t="s">
        <v>8</v>
      </c>
      <c r="VK3" s="14" t="s">
        <v>15</v>
      </c>
      <c r="VL3" s="14" t="s">
        <v>27</v>
      </c>
      <c r="VM3" s="14" t="s">
        <v>13</v>
      </c>
      <c r="VN3" s="14" t="s">
        <v>14</v>
      </c>
      <c r="VO3" s="14" t="s">
        <v>8</v>
      </c>
      <c r="VP3" s="14" t="s">
        <v>15</v>
      </c>
      <c r="VQ3" s="14" t="s">
        <v>27</v>
      </c>
      <c r="VR3" s="14" t="s">
        <v>13</v>
      </c>
      <c r="VS3" s="14" t="s">
        <v>14</v>
      </c>
      <c r="VT3" s="14" t="s">
        <v>8</v>
      </c>
      <c r="VU3" s="14" t="s">
        <v>15</v>
      </c>
      <c r="VV3" s="14" t="s">
        <v>27</v>
      </c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</row>
    <row r="4" spans="1:608" x14ac:dyDescent="0.2">
      <c r="A4" s="4" t="str" cm="1">
        <f t="array" ref="A4">IF(AND(H4&lt;&gt;"",H4&lt;&gt;"No DD",I4&lt;&gt;"P"),SUMPRODUCT((H$4:H$14&lt;&gt;"")*(H$4:H$14&lt;&gt;"No DD")*(I$4:I$14&lt;&gt;"P")*(E$4:E$14&gt;E4))+1,IF(H4="No DD",SUMPRODUCT((H$4:H$14="No DD")*(I$4:I$14&lt;&gt;"P")*(E$4:E$14&gt;E4))+1+SUMPRODUCT((H$4:H$14&lt;&gt;"")*(I$4:I$14&lt;&gt;"P")*(H$4:H$14&lt;&gt;"No DD")),""))</f>
        <v/>
      </c>
      <c r="B4" s="5" t="s">
        <v>107</v>
      </c>
      <c r="C4" s="4" t="s">
        <v>7</v>
      </c>
      <c r="D4" s="4">
        <v>2007</v>
      </c>
      <c r="E4" s="9">
        <f t="shared" ref="E4:E13" si="0">J4+L4+N4+(J4+L4)*0.0000001+MAX(J4,L4)*0.0000000000001</f>
        <v>104.0200104020052</v>
      </c>
      <c r="F4" s="3" t="str">
        <f t="shared" ref="F4:F13" si="1">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O4&gt;=EB$16,DO4&lt;&gt;"",DQ4&gt;=EB$20,DQ4&lt;&gt;""),AND(DR4&gt;=EB$16,DR4&lt;&gt;"",DT4&gt;=EB$20,DT4&lt;&gt;""),AND(DV4&gt;=EB$16,DV4&lt;&gt;"",DX4&gt;=EB$20,DX4&lt;&gt;""),AND(DY4&gt;=EB$16,DY4&lt;&gt;"",EA4&gt;=EB$20,EA4&lt;&gt;""),AND(EW4&gt;=FJ$16,EW4&lt;&gt;"",EY4&gt;=FJ$20,EY4&lt;&gt;""),AND(EZ4&gt;=FJ$16,EZ4&lt;&gt;"",FB4&gt;=FJ$20,FB4&lt;&gt;""),AND(FD4&gt;=FJ$16,FD4&lt;&gt;"",FF4&gt;=FJ$20,FF4&lt;&gt;""),AND(FG4&gt;=FJ$16,FG4&lt;&gt;"",FI4&gt;=FJ$20,FI4&lt;&gt;""),AND(GE4&gt;=GR$16,GE4&lt;&gt;"",GG4&gt;=GR$20,GG4&lt;&gt;""),AND(GH4&gt;=GR$16,GH4&lt;&gt;"",GJ4&gt;=GR$20,GJ4&lt;&gt;""),AND(GL4&gt;=GR$16,GL4&lt;&gt;"",GN4&gt;=GR$20,GN4&lt;&gt;""),AND(GO4&gt;=GR$16,GO4&lt;&gt;"",GQ4&gt;=GR$20,GQ4&lt;&gt;""),AND(HM4&gt;=HZ$16,HM4&lt;&gt;"",HO4&gt;=HZ$20,HO4&lt;&gt;""),AND(HP4&gt;=HZ$16,HP4&lt;&gt;"",HR4&gt;=HZ$20,HR4&lt;&gt;""),AND(HT4&gt;=HZ$16,HT4&lt;&gt;"",HV4&gt;=HZ$20,HV4&lt;&gt;""),AND(HW4&gt;=HZ$16,HW4&lt;&gt;"",HY4&gt;=HZ$20,HY4&lt;&gt;""),AND(IU4&gt;=JH$16,IU4&lt;&gt;"",IW4&gt;=JH$20,IW4&lt;&gt;""),AND(IX4&gt;=JH$16,IX4&lt;&gt;"",IZ4&gt;=JH$20,IZ4&lt;&gt;""),AND(JB4&gt;=JH$16,JB4&lt;&gt;"",JD4&gt;=JH$20,JD4&lt;&gt;""),AND(JE4&gt;=JH$16,JE4&lt;&gt;"",JG4&gt;=JH$20,JG4&lt;&gt;""),AND(KC4&gt;=KP$16,KC4&lt;&gt;"",KE4&gt;=KP$20,KE4&lt;&gt;""),AND(KF4&gt;=KP$16,KF4&lt;&gt;"",KH4&gt;=KP$20,KH4&lt;&gt;""),AND(KJ4&gt;=KP$16,KJ4&lt;&gt;"",KL4&gt;=KP$20,KL4&lt;&gt;""),AND(KM4&gt;=KP$16,KM4&lt;&gt;"",KO4&gt;=KP$20,KO4&lt;&gt;""),AND(LK4&gt;=LX$16,LK4&lt;&gt;"",LM4&gt;=LX$20,LM4&lt;&gt;""),AND(LN4&gt;=LX$16,LN4&lt;&gt;"",LP4&gt;=LX$20,LP4&lt;&gt;""),AND(LR4&gt;=LX$16,LR4&lt;&gt;"",LT4&gt;=LX$20,LT4&lt;&gt;""),AND(LU4&gt;=LX$16,LU4&lt;&gt;"",LW4&gt;=LX$20,LW4&lt;&gt;""),AND(MS4&gt;=NF$16,MS4&lt;&gt;"",MU4&gt;=NF$20,MU4&lt;&gt;""),AND(MV4&gt;=NF$16,MV4&lt;&gt;"",MX4&gt;=NF$20,MX4&lt;&gt;""),AND(MZ4&gt;=NF$16,MZ4&lt;&gt;"",NB4&gt;=NF$20,NB4&lt;&gt;""),AND(NC4&gt;=NF$16,NC4&lt;&gt;"",NE4&gt;=NF$20,NE4&lt;&gt;""),AND(OA4&gt;=ON$16,OA4&lt;&gt;"",OC4&gt;=ON$20,OC4&lt;&gt;""),AND(OD4&gt;=ON$16,OD4&lt;&gt;"",OF4&gt;=ON$20,OF4&lt;&gt;""),AND(OH4&gt;=ON$16,OH4&lt;&gt;"",OJ4&gt;=ON$20,OJ4&lt;&gt;""),AND(OK4&gt;=ON$16,OK4&lt;&gt;"",OM4&gt;=ON$20,OM4&lt;&gt;""),AND(PI4&gt;=PV$16,PI4&lt;&gt;"",PK4&gt;=PV$20,PK4&lt;&gt;""),AND(PL4&gt;=PV$16,PL4&lt;&gt;"",PN4&gt;=PV$20,PN4&lt;&gt;""),AND(PP4&gt;=PV$16,PP4&lt;&gt;"",PR4&gt;=PV$20,PR4&lt;&gt;""),AND(PS4&gt;=PV$16,PS4&lt;&gt;"",PU4&gt;=PV$20,PU4&lt;&gt;""),AND(QQ4&gt;=RD$16,QQ4&lt;&gt;"",QS4&gt;=RD$20,QS4&lt;&gt;""),AND(QT4&gt;=RD$16,QT4&lt;&gt;"",QV4&gt;=RD$20,QV4&lt;&gt;""),AND(QX4&gt;=RD$16,QX4&lt;&gt;"",QZ4&gt;=RD$20,QZ4&lt;&gt;""),AND(RA4&gt;=RD$16,RA4&lt;&gt;"",RC4&gt;=RD$20,RC4&lt;&gt;""),AND(RY4&gt;=SL$16,RY4&lt;&gt;"",SA4&gt;=SL$20,SA4&lt;&gt;""),AND(SB4&gt;=SL$16,SB4&lt;&gt;"",SD4&gt;=SL$20,SD4&lt;&gt;""),AND(SF4&gt;=SL$16,SF4&lt;&gt;"",SH4&gt;=SL$20,SH4&lt;&gt;""),AND(SI4&gt;=SL$16,SI4&lt;&gt;"",SK4&gt;=SL$20,SK4&lt;&gt;""),AND(TG4&gt;=TT$16,TG4&lt;&gt;"",TI4&gt;=TT$20,TI4&lt;&gt;""),AND(TJ4&gt;=TT$16,TJ4&lt;&gt;"",TL4&gt;=TT$20,TL4&lt;&gt;""),AND(TN4&gt;=TT$16,TN4&lt;&gt;"",TP4&gt;=TT$20,TXN4&lt;&gt;""),AND(TQ4&gt;=TT$16,TQ4&lt;&gt;"",TS4&gt;=TT$20,TS4&lt;&gt;""),AND(UO4&gt;=VB$16,UO4&lt;&gt;"",UQ4&gt;=VB$20,UQ4&lt;&gt;""),AND(UR4&gt;=VB$16,UR4&lt;&gt;"",UT4&gt;=VB$20,UT4&lt;&gt;""),AND(UV4&gt;=VB$16,UV4&lt;&gt;"",UX4&gt;=VB$20,UX4&lt;&gt;""),AND(UY4&gt;=VB$16,UY4&lt;&gt;"",VA4&gt;=VB$20,VA4&lt;&gt;""),AND(VW4&gt;=WJ$16,VW4&lt;&gt;"",VY4&gt;=WJ$20,VY4&lt;&gt;""),AND(VZ4&gt;=WJ$16,VZ4&lt;&gt;"",WB4&gt;=WJ$20,WB4&lt;&gt;""),AND(WD4&gt;=WJ$16,WD4&lt;&gt;"",WF4&gt;=WJ$20,WF4&lt;&gt;""),AND(WG4&gt;=WJ$16,WG4&lt;&gt;"",WI4&gt;=WJ$20,WI4&lt;&gt;"")),"P","")</f>
        <v>P</v>
      </c>
      <c r="G4" s="3" t="str">
        <f t="shared" ref="G4:G13" si="2">IF(OR(AND(AI4&gt;=AQ$20,AI4&lt;&gt;"",AF4=""),AND(AL4&gt;=AQ$20,AL4&lt;&gt;"",AF4=""),AND(AP4&gt;=AQ$20,AP4&lt;&gt;"",AF4=""),AND(BJ4&gt;=BR$20,BJ4&lt;&gt;"",BG4=""),AND(BM4&gt;=BR$20,BM4&lt;&gt;"",BG4=""),AND(BQ4&gt;=BR$20,BQ4&lt;&gt;"",BG4=""),AND(CK4&gt;=CS$20,CK4&lt;&gt;"",CH4=""),AND(CN4&gt;=CS$20,CN4&lt;&gt;"",CH4=""),AND(CR4&gt;=CS$20,CR4&lt;&gt;"",CH4=""),AND(DQ4&gt;=EB$20,DQ4&lt;&gt;""),AND(DT4&gt;=EB$20,DT4&lt;&gt;""),AND(DX4&gt;=EB$20,DX4&lt;&gt;""),AND(EA4&gt;=EB$20,EA4&lt;&gt;""),AND(EY4&gt;=FJ$20,EY4&lt;&gt;""),AND(FB4&gt;=FJ$20,FB4&lt;&gt;""),AND(FF4&gt;=FJ$20,FF4&lt;&gt;""),AND(FI4&gt;=FJ$20,FI4&lt;&gt;""),AND(GG4&gt;=GR$20,GG4&lt;&gt;""),AND(GJ4&gt;=GR$20,GJ4&lt;&gt;""),AND(GN4&gt;=GR$20,GN4&lt;&gt;""),AND(GQ4&gt;=GR$20,GQ4&lt;&gt;""),AND(HO4&gt;=HZ$20,HO4&lt;&gt;""),AND(HR4&gt;=HZ$20,HR4&lt;&gt;""),AND(HV4&gt;=HZ$20,HV4&lt;&gt;""),AND(HY4&gt;=HZ$20,HY4&lt;&gt;""),AND(IW4&gt;=JH$20,IW4&lt;&gt;""),AND(IZ4&gt;=JH$20,IZ4&lt;&gt;""),AND(JD4&gt;=JH$20,JD4&lt;&gt;""),AND(JG4&gt;=JH$20,JG4&lt;&gt;""),AND(KE4&gt;=KP$20,KE4&lt;&gt;""),AND(KH4&gt;=KP$20,KH4&lt;&gt;""),AND(KL4&gt;=KP$20,KL4&lt;&gt;""),AND(KO4&gt;=KP$20,KO4&lt;&gt;""),AND(LM4&gt;=LX$20,LM4&lt;&gt;""),AND(LP4&gt;=LX$20,LP4&lt;&gt;""),AND(LT4&gt;=LX$20,LT4&lt;&gt;""),AND(LW4&gt;=LX$20,LW4&lt;&gt;""),AND(MU4&gt;=NF$20,MU4&lt;&gt;""),AND(MX4&gt;=NF$20,MX4&lt;&gt;""),AND(NB4&gt;=NF$20,NB4&lt;&gt;""),AND(NE4&gt;=NF$20,NE4&lt;&gt;""),AND(OC4&gt;=ON$20,OC4&lt;&gt;""),AND(OF4&gt;=ON$20,OF4&lt;&gt;""),AND(OJ4&gt;=ON$20,OJ4&lt;&gt;""),AND(OM4&gt;=ON$20,OM4&lt;&gt;""),AND(PK4&gt;=PV$20,PK4&lt;&gt;""),AND(PN4&gt;=PV$20,PN4&lt;&gt;""),AND(PR4&gt;=PV$20,PR4&lt;&gt;""),AND(PU4&gt;=PV$20,PU4&lt;&gt;""),AND(QS4&gt;=RD$20,QS4&lt;&gt;""),AND(QV4&gt;=RD$20,QV4&lt;&gt;""),AND(QZ4&gt;=RD$20,QZ4&lt;&gt;""),AND(RC4&gt;=RD$20,RC4&lt;&gt;""),AND(SA4&gt;=SL$20,SA4&lt;&gt;""),AND(SD4&gt;=SL$20,SD4&lt;&gt;""),AND(SH4&gt;=SL$20,SH4&lt;&gt;""),AND(SK4&gt;=SL$20,SK4&lt;&gt;""),AND(TI4&gt;=TT$20,TI4&lt;&gt;""),AND(TL4&gt;=TT$20,TL4&lt;&gt;""),AND(TP4&gt;=TT$20,TXN4&lt;&gt;""),AND(TS4&gt;=TT$20,TS4&lt;&gt;""),AND(UQ4&gt;=VB$20,UQ4&lt;&gt;""),AND(UT4&gt;=VB$20,UT4&lt;&gt;""),AND(UX4&gt;=VB$20,UX4&lt;&gt;""),AND(VA4&gt;=VB$20,VA4&lt;&gt;""),AND(VY4&gt;=WJ$20,VY4&lt;&gt;""),AND(WB4&gt;=WJ$20,WB4&lt;&gt;""),AND(WF4&gt;=WJ$20,WF4&lt;&gt;""),AND(WI4&gt;=WJ$20,WI4&lt;&gt;"")),"P","")</f>
        <v>P</v>
      </c>
      <c r="H4" s="32" t="str">
        <f t="shared" ref="H4:H13" si="3">IF(AND(G4="P",F4=""),"No DD",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O4&gt;=EB$19,DO4&lt;&gt;"",DQ4&gt;=EB$23,DQ4&lt;&gt;""),AND(DR4&gt;=EB$19,DR4&lt;&gt;"",DT4&gt;=EB$23,DT4&lt;&gt;""),AND(DV4&gt;=EB$19,DV4&lt;&gt;"",DX4&gt;=EB$23,DX4&lt;&gt;""),AND(DY4&gt;=EB$19,DY4&lt;&gt;"",EA4&gt;=EB$23,EA4&lt;&gt;""),AND(EW4&gt;=FJ$19,EW4&lt;&gt;"",EY4&gt;=FJ$23,EY4&lt;&gt;""),AND(EZ4&gt;=FJ$19,EZ4&lt;&gt;"",FB4&gt;=FJ$23,FB4&lt;&gt;""),AND(FD4&gt;=FJ$19,FD4&lt;&gt;"",FF4&gt;=FJ$23,FF4&lt;&gt;""),AND(FG4&gt;=FJ$19,FG4&lt;&gt;"",FI4&gt;=FJ$23,FI4&lt;&gt;""),AND(GE4&gt;=GR$19,GE4&lt;&gt;"",GG4&gt;=GR$23,GG4&lt;&gt;""),AND(GH4&gt;=GR$19,GH4&lt;&gt;"",GJ4&gt;=GR$23,GJ4&lt;&gt;""),AND(GL4&gt;=GR$19,GL4&lt;&gt;"",GN4&gt;=GR$23,GN4&lt;&gt;""),AND(GO4&gt;=GR$19,GO4&lt;&gt;"",GQ4&gt;=GR$23,GQ4&lt;&gt;""),AND(HM4&gt;=HZ$19,HM4&lt;&gt;"",HO4&gt;=HZ$23,HO4&lt;&gt;""),AND(HP4&gt;=HZ$19,HP4&lt;&gt;"",HR4&gt;=HZ$23,HR4&lt;&gt;""),AND(HT4&gt;=HZ$19,HT4&lt;&gt;"",HV4&gt;=HZ$23,HV4&lt;&gt;""),AND(HW4&gt;=HZ$19,HW4&lt;&gt;"",HY4&gt;=HZ$23,HY4&lt;&gt;""),AND(IU4&gt;=JH$19,IU4&lt;&gt;"",IW4&gt;=JH$23,IW4&lt;&gt;""),AND(IX4&gt;=JH$19,IX4&lt;&gt;"",IZ4&gt;=JH$23,IZ4&lt;&gt;""),AND(JB4&gt;=JH$19,JB4&lt;&gt;"",JD4&gt;=JH$23,JD4&lt;&gt;""),AND(JE4&gt;=JH$19,JE4&lt;&gt;"",JG4&gt;=JH$23,JG4&lt;&gt;""),AND(KC4&gt;=KP$19,KC4&lt;&gt;"",KE4&gt;=KP$23,KE4&lt;&gt;""),AND(KF4&gt;=KP$19,KF4&lt;&gt;"",KH4&gt;=KP$23,KH4&lt;&gt;""),AND(KJ4&gt;=KP$19,KJ4&lt;&gt;"",KL4&gt;=KP$23,KL4&lt;&gt;""),AND(KM4&gt;=KP$19,KM4&lt;&gt;"",KO4&gt;=KP$23,KO4&lt;&gt;""),AND(LK4&gt;=LX$19,LK4&lt;&gt;"",LM4&gt;=LX$23,LM4&lt;&gt;""),AND(LN4&gt;=LX$19,LN4&lt;&gt;"",LP4&gt;=LX$23,LP4&lt;&gt;""),AND(LR4&gt;=LX$19,LR4&lt;&gt;"",LT4&gt;=LX$23,LT4&lt;&gt;""),AND(LU4&gt;=LX$19,LU4&lt;&gt;"",LW4&gt;=LX$23,LW4&lt;&gt;""),AND(MS4&gt;=NF$19,MS4&lt;&gt;"",MU4&gt;=NF$23,MU4&lt;&gt;""),AND(MV4&gt;=NF$19,MV4&lt;&gt;"",MX4&gt;=NF$23,MX4&lt;&gt;""),AND(MZ4&gt;=NF$19,MZ4&lt;&gt;"",NB4&gt;=NF$23,NB4&lt;&gt;""),AND(NC4&gt;=NF$19,NC4&lt;&gt;"",NE4&gt;=NF$23,NE4&lt;&gt;""),AND(OA4&gt;=ON$19,OA4&lt;&gt;"",OC4&gt;=ON$23,OC4&lt;&gt;""),AND(OD4&gt;=ON$19,OD4&lt;&gt;"",OF4&gt;=ON$23,OF4&lt;&gt;""),AND(OH4&gt;=ON$19,OH4&lt;&gt;"",OJ4&gt;=ON$23,OJ4&lt;&gt;""),AND(OK4&gt;=ON$19,OK4&lt;&gt;"",OM4&gt;=ON$23,OM4&lt;&gt;""),AND(PI4&gt;=PV$19,PI4&lt;&gt;"",PK4&gt;=PV$23,PK4&lt;&gt;""),AND(PL4&gt;=PV$19,PL4&lt;&gt;"",PN4&gt;=PV$23,PN4&lt;&gt;""),AND(PP4&gt;=PV$19,PP4&lt;&gt;"",PR4&gt;=PV$23,PR4&lt;&gt;""),AND(PS4&gt;=PV$19,PS4&lt;&gt;"",PU4&gt;=PV$23,PU4&lt;&gt;""),AND(QQ4&gt;=RD$19,QQ4&lt;&gt;"",QS4&gt;=RD$23,QS4&lt;&gt;""),AND(QT4&gt;=RD$19,QT4&lt;&gt;"",QV4&gt;=RD$23,QV4&lt;&gt;""),AND(QX4&gt;=RD$19,QX4&lt;&gt;"",QZ4&gt;=RD$23,QZ4&lt;&gt;""),AND(RA4&gt;=RD$19,RA4&lt;&gt;"",RC4&gt;=RD$23,RC4&lt;&gt;""),AND(RY4&gt;=SL$19,RY4&lt;&gt;"",SA4&gt;=SL$23,SA4&lt;&gt;""),AND(SB4&gt;=SL$19,SB4&lt;&gt;"",SD4&gt;=SL$23,SD4&lt;&gt;""),AND(SF4&gt;=SL$19,SF4&lt;&gt;"",SH4&gt;=SL$23,SH4&lt;&gt;""),AND(SI4&gt;=SL$19,SI4&lt;&gt;"",SK4&gt;=SL$23,SK4&lt;&gt;""),AND(TG4&gt;=TT$19,TG4&lt;&gt;"",TI4&gt;=TT$23,TI4&lt;&gt;""),AND(TJ4&gt;=TT$19,TJ4&lt;&gt;"",TL4&gt;=TT$23,TL4&lt;&gt;""),AND(TN4&gt;=TT$19,TN4&lt;&gt;"",TP4&gt;=TT$343,TXN4&lt;&gt;""),AND(TQ4&gt;=TT$19,TQ4&lt;&gt;"",TS4&gt;=TT$23,TS4&lt;&gt;""),AND(UO4&gt;=VB$19,UO4&lt;&gt;"",UQ4&gt;=VB$23,UQ4&lt;&gt;""),AND(UR4&gt;=VB$19,UR4&lt;&gt;"",UT4&gt;=VB$23,UT4&lt;&gt;""),AND(UV4&gt;=VB$19,UV4&lt;&gt;"",UX4&gt;=VB$23,UX4&lt;&gt;""),AND(UY4&gt;=VB$19,UY4&lt;&gt;"",VA4&gt;=VB$23,VA4&lt;&gt;""),AND(VW4&gt;=WJ$19,VW4&lt;&gt;"",VY4&gt;=WJ$23,VY4&lt;&gt;""),AND(VZ4&gt;=WJ$19,VZ4&lt;&gt;"",WB4&gt;=WJ$23,WB4&lt;&gt;""),AND(WD4&gt;=WJ$19,WD4&lt;&gt;"",WF4&gt;=WJ$23,WF4&lt;&gt;""),AND(WG4&gt;=WJ$19,WG4&lt;&gt;"",WI4&gt;=WJ$23,WI4&lt;&gt;"")),"Merit",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O4&gt;=EB$18,DO4&lt;&gt;"",DQ4&gt;=EB$22,DQ4&lt;&gt;""),AND(DR4&gt;=EB$18,DR4&lt;&gt;"",DT4&gt;=EB$22,DT4&lt;&gt;""),AND(DV4&gt;=EB$18,DV4&lt;&gt;"",DX4&gt;=EB$22,DX4&lt;&gt;""),AND(DY4&gt;=EB$18,DY4&lt;&gt;"",EA4&gt;=EB$22,EA4&lt;&gt;""),AND(EW4&gt;=FJ$18,EW4&lt;&gt;"",EY4&gt;=FJ$22,EY4&lt;&gt;""),AND(EZ4&gt;=FJ$18,EZ4&lt;&gt;"",FB4&gt;=FJ$22,FB4&lt;&gt;""),AND(FD4&gt;=FJ$18,FD4&lt;&gt;"",FF4&gt;=FJ$22,FF4&lt;&gt;""),AND(FG4&gt;=FJ$18,FG4&lt;&gt;"",FI4&gt;=FJ$22,FI4&lt;&gt;""),AND(GE4&gt;=GR$18,GE4&lt;&gt;"",GG4&gt;=GR$22,GG4&lt;&gt;""),AND(GH4&gt;=GR$18,GH4&lt;&gt;"",GJ4&gt;=GR$22,GJ4&lt;&gt;""),AND(GL4&gt;=GR$18,GL4&lt;&gt;"",GN4&gt;=GR$22,GN4&lt;&gt;""),AND(GO4&gt;=GR$18,GO4&lt;&gt;"",GQ4&gt;=GR$22,GQ4&lt;&gt;""),AND(HM4&gt;=HZ$18,HM4&lt;&gt;"",HO4&gt;=HZ$22,HO4&lt;&gt;""),AND(HP4&gt;=HZ$18,HP4&lt;&gt;"",HR4&gt;=HZ$22,HR4&lt;&gt;""),AND(HT4&gt;=HZ$18,HT4&lt;&gt;"",HV4&gt;=HZ$22,HV4&lt;&gt;""),AND(HW4&gt;=HZ$18,HW4&lt;&gt;"",HY4&gt;=HZ$22,HY4&lt;&gt;""),AND(IU4&gt;=JH$18,IU4&lt;&gt;"",IW4&gt;=JH$22,IW4&lt;&gt;""),AND(IX4&gt;=JH$18,IX4&lt;&gt;"",IZ4&gt;=JH$22,IZ4&lt;&gt;""),AND(JB4&gt;=JH$18,JB4&lt;&gt;"",JD4&gt;=JH$22,JD4&lt;&gt;""),AND(JE4&gt;=JH$18,JE4&lt;&gt;"",JG4&gt;=JH$22,JG4&lt;&gt;""),AND(KC4&gt;=KP$18,KC4&lt;&gt;"",KE4&gt;=KP$22,KE4&lt;&gt;""),AND(KF4&gt;=KP$18,KF4&lt;&gt;"",KH4&gt;=KP$22,KH4&lt;&gt;""),AND(KJ4&gt;=KP$18,KJ4&lt;&gt;"",KL4&gt;=KP$22,KL4&lt;&gt;""),AND(KM4&gt;=KP$18,KM4&lt;&gt;"",KO4&gt;=KP$22,KO4&lt;&gt;""),AND(LK4&gt;=LX$18,LK4&lt;&gt;"",LM4&gt;=LX$22,LM4&lt;&gt;""),AND(LN4&gt;=LX$18,LN4&lt;&gt;"",LP4&gt;=LX$22,LP4&lt;&gt;""),AND(LR4&gt;=LX$18,LR4&lt;&gt;"",LT4&gt;=LX$22,LT4&lt;&gt;""),AND(LU4&gt;=LX$18,LU4&lt;&gt;"",LW4&gt;=LX$22,LW4&lt;&gt;""),AND(MS4&gt;=NF$18,MS4&lt;&gt;"",MU4&gt;=NF$22,MU4&lt;&gt;""),AND(MV4&gt;=NF$18,MV4&lt;&gt;"",MX4&gt;=NF$22,MX4&lt;&gt;""),AND(MZ4&gt;=NF$18,MZ4&lt;&gt;"",NB4&gt;=NF$22,NB4&lt;&gt;""),AND(NC4&gt;=NF$18,NC4&lt;&gt;"",NE4&gt;=NF$22,NE4&lt;&gt;""),AND(OA4&gt;=ON$18,OA4&lt;&gt;"",OC4&gt;=ON$22,OC4&lt;&gt;""),AND(OD4&gt;=ON$18,OD4&lt;&gt;"",OF4&gt;=ON$22,OF4&lt;&gt;""),AND(OH4&gt;=ON$18,OH4&lt;&gt;"",OJ4&gt;=ON$22,OJ4&lt;&gt;""),AND(OK4&gt;=ON$18,OK4&lt;&gt;"",OM4&gt;=ON$22,OM4&lt;&gt;""),AND(PI4&gt;=PV$18,PI4&lt;&gt;"",PK4&gt;=PV$22,PK4&lt;&gt;""),AND(PL4&gt;=PV$18,PL4&lt;&gt;"",PN4&gt;=PV$22,PN4&lt;&gt;""),AND(PP4&gt;=PV$18,PP4&lt;&gt;"",PR4&gt;=PV$22,PR4&lt;&gt;""),AND(PS4&gt;=PV$18,PS4&lt;&gt;"",PU4&gt;=PV$22,PU4&lt;&gt;""),AND(QQ4&gt;=RD$18,QQ4&lt;&gt;"",QS4&gt;=RD$22,QS4&lt;&gt;""),AND(QT4&gt;=RD$18,QT4&lt;&gt;"",QV4&gt;=RD$22,QV4&lt;&gt;""),AND(QX4&gt;=RD$18,QX4&lt;&gt;"",QZ4&gt;=RD$22,QZ4&lt;&gt;""),AND(RA4&gt;=RD$18,RA4&lt;&gt;"",RC4&gt;=RD$22,RC4&lt;&gt;""),AND(RY4&gt;=SL$18,RY4&lt;&gt;"",SA4&gt;=SL$22,SA4&lt;&gt;""),AND(SB4&gt;=SL$18,SB4&lt;&gt;"",SD4&gt;=SL$22,SD4&lt;&gt;""),AND(SF4&gt;=SL$18,SF4&lt;&gt;"",SH4&gt;=SL$22,SH4&lt;&gt;""),AND(SI4&gt;=SL$18,SI4&lt;&gt;"",SK4&gt;=SL$22,SK4&lt;&gt;""),AND(TG4&gt;=TT$18,TG4&lt;&gt;"",TI4&gt;=TT$22,TI4&lt;&gt;""),AND(TJ4&gt;=TT$18,TJ4&lt;&gt;"",TL4&gt;=TT$22,TL4&lt;&gt;""),AND(TN4&gt;=TT$18,TN4&lt;&gt;"",TP4&gt;=TT$22,TXN4&lt;&gt;""),AND(TQ4&gt;=TT$18,TQ4&lt;&gt;"",TS4&gt;=TT$22,TS4&lt;&gt;""),AND(UO4&gt;=VB$18,UO4&lt;&gt;"",UQ4&gt;=VB$22,UQ4&lt;&gt;""),AND(UR4&gt;=VB$18,UR4&lt;&gt;"",UT4&gt;=VB$22,UT4&lt;&gt;""),AND(UV4&gt;=VB$18,UV4&lt;&gt;"",UX4&gt;=VB$22,UX4&lt;&gt;""),AND(UY4&gt;=VB$18,UY4&lt;&gt;"",VA4&gt;=VB$22,VA4&lt;&gt;""),AND(VW4&gt;=WJ$18,VW4&lt;&gt;"",VY4&gt;=WJ$22,VY4&lt;&gt;""),AND(VZ4&gt;=WJ$18,VZ4&lt;&gt;"",WB4&gt;=WJ$22,WB4&lt;&gt;""),AND(WD4&gt;=WJ$18,WD4&lt;&gt;"",WF4&gt;=WJ$22,WF4&lt;&gt;""),AND(WG4&gt;=WJ$18,WG4&lt;&gt;"",WI4&gt;=WJ$22,WI4&lt;&gt;"")),"Excellence",IF(I4="P","National Team",IF(F4="P","National Team","")))))</f>
        <v>National Team</v>
      </c>
      <c r="I4" s="3" t="str">
        <f>IF(COUNTIFS('Senior-W'!B:B,B4,'Senior-W'!A:A,"&lt;9",'Senior-W'!H:H,"&lt;&gt;"&amp;"No DD"),"P","")</f>
        <v>P</v>
      </c>
      <c r="J4" s="8">
        <f t="shared" ref="J4:J13" si="4">MAX(AI4,AL4,AP4,BJ4,BM4,BQ4,CK4,CN4,CR4)</f>
        <v>52.15</v>
      </c>
      <c r="K4" s="8" t="str">
        <f t="shared" ref="K4:K13" si="5">IF(J4="","",IF(OR(J4=CK4,J4=CN4,J4=CR4),$BS$1,IF(OR(J4=BJ4,J4=BM4,J4=BQ4),$AR$1,IF(OR(J4=AI4,J4=AL4,J4=AP4),$Q$1,""))))</f>
        <v>2025 Nationals</v>
      </c>
      <c r="L4" s="8">
        <f>IFERROR(LARGE((AI4,AL4,AP4,BJ4,BM4,BQ4,CK4,CN4,CR4),2),0)</f>
        <v>51.86999999999999</v>
      </c>
      <c r="M4" s="8" t="str">
        <f t="shared" ref="M4:M13" si="6">IF(L4="","",IF(OR(L4=CK4,L4=CN4,L4=CR4),$BS$1,IF(OR(L4=BJ4,L4=BM4,L4=BQ4),$AR$1,IF(OR(L4=AI4,L4=AL4,L4=AP4),$Q$1,""))))</f>
        <v>2025 Nationals</v>
      </c>
      <c r="N4" s="8">
        <f t="shared" ref="N4:N13" si="7">IF(MAX(CT4,0)&gt;0,MAX(CT4,0),0)</f>
        <v>0</v>
      </c>
      <c r="O4" s="11" t="str">
        <f>IF(N4=0,"",IF(N4=CT4,"("&amp;CT$2&amp;")",IF(N4=#REF!,"("&amp;#REF!&amp;")")))</f>
        <v/>
      </c>
      <c r="P4" s="8" t="str">
        <f t="shared" ref="P4:P13" si="8">IF(N4=0,"",IF(N4+MAX(L4,0)=MAX(WC4,WF4,WI4),$VC$1,IF(N4+MAX(L4,0)=MAX(UU4,UX4,VA4),$TU$1,IF(N4+MAX(L4,0)=MAX(TM4,TP4,TS4),$SM$1,IF(N4+MAX(L4,0)=MAX(SE4,SH4,SK4),$RE$1,IF(N4+MAX(L4,0)=MAX(QW4,QZ4,RC4),$PW$1,IF(N4+MAX(L4,0)=MAX(PO4,PR4,PU4),$OO$1,IF(N4+MAX(L4,0)=MAX(OG4,OJ4,OM4),$NG$1,IF(N4+MAX(L4,0)=MAX(MY4,NB4,NE4),$LY$1,IF(N4+MAX(L4,0)=MAX(LQ4,LT4,LW4),$KQ$1,IF(N4+MAX(L4,0)=MAX(KI4,KL4,KO4),$JI$1,IF(N4+MAX(L4,0)=MAX(JA4,JD4,JG4),$IA$1,IF(N4+MAX(L4,0)=MAX(HS4,HV4,HY4),$GS$1,IF(N4+MAX(L4,0)=MAX(GK4,GN4,GQ4),$FK$1,IF(N4+MAX(L4,0)=MAX(FC4,FF4,FI4),$EC$1,IF(N4+MAX(L4,0)=MAX(DU4,DX4,EA4),$CU$1))))))))))))))))</f>
        <v/>
      </c>
      <c r="Q4" s="18">
        <v>14.1</v>
      </c>
      <c r="R4" s="18">
        <v>9.6999999999999993</v>
      </c>
      <c r="S4" s="18">
        <v>10.8</v>
      </c>
      <c r="T4" s="18">
        <v>14.25</v>
      </c>
      <c r="U4" s="18">
        <v>1.9</v>
      </c>
      <c r="V4" s="18">
        <v>14.6</v>
      </c>
      <c r="W4" s="18">
        <v>9.1</v>
      </c>
      <c r="X4" s="18">
        <v>14.3</v>
      </c>
      <c r="Y4" s="18">
        <v>14.15</v>
      </c>
      <c r="Z4" s="18">
        <v>0</v>
      </c>
      <c r="AA4" s="18">
        <v>13.7</v>
      </c>
      <c r="AB4" s="18">
        <v>9.6</v>
      </c>
      <c r="AC4" s="18">
        <v>14.3</v>
      </c>
      <c r="AD4" s="18">
        <v>14.27</v>
      </c>
      <c r="AE4" s="18">
        <v>0</v>
      </c>
      <c r="AF4" s="23"/>
      <c r="AG4" s="34">
        <f t="shared" ref="AG4:AG13" si="9">IF(S4&gt;0,S4,"")</f>
        <v>10.8</v>
      </c>
      <c r="AH4" s="34">
        <f t="shared" ref="AH4:AH13" si="10">IF(T4&gt;0,T4,"")</f>
        <v>14.25</v>
      </c>
      <c r="AI4" s="36">
        <f t="shared" ref="AI4:AI13" si="11">IF(SUM(Q4:T4)-U4&gt;0,SUM(Q4:T4)-U4,"")</f>
        <v>46.949999999999996</v>
      </c>
      <c r="AJ4" s="36">
        <f t="shared" ref="AJ4:AJ13" si="12">IF(X4&gt;0,X4,"")</f>
        <v>14.3</v>
      </c>
      <c r="AK4" s="36">
        <f t="shared" ref="AK4:AK13" si="13">IF(Y4&gt;0,Y4,"")</f>
        <v>14.15</v>
      </c>
      <c r="AL4" s="36">
        <f t="shared" ref="AL4:AL13" si="14">IF(SUM(V4:Y4)-Z4&gt;0,SUM(V4:Y4)-Z4,"")</f>
        <v>52.15</v>
      </c>
      <c r="AM4" s="36">
        <f t="shared" ref="AM4:AM13" si="15">IF(AI4="","",MAX(AI4,AL4))</f>
        <v>52.15</v>
      </c>
      <c r="AN4" s="36">
        <f t="shared" ref="AN4:AN13" si="16">IF(AC4&gt;0,AC4,"")</f>
        <v>14.3</v>
      </c>
      <c r="AO4" s="36">
        <f t="shared" ref="AO4:AO13" si="17">IF(AD4&gt;0,AD4,"")</f>
        <v>14.27</v>
      </c>
      <c r="AP4" s="36">
        <f t="shared" ref="AP4:AP13" si="18">IF(SUM(AA4:AD4)-AE4&gt;0,SUM(AA4:AD4)-AE4,"")</f>
        <v>51.86999999999999</v>
      </c>
      <c r="AQ4" s="36">
        <f t="shared" ref="AQ4:AQ13" si="19">IF(SUM(AM4,AP4)&gt;0,SUM(AM4,AP4),"")</f>
        <v>104.01999999999998</v>
      </c>
      <c r="AR4" s="22">
        <v>13.8</v>
      </c>
      <c r="AS4" s="22">
        <v>9.3999999999999986</v>
      </c>
      <c r="AT4" s="22">
        <v>11.600000000000001</v>
      </c>
      <c r="AU4" s="22">
        <v>14.3</v>
      </c>
      <c r="AV4" s="22">
        <v>1.0999999999999999</v>
      </c>
      <c r="AW4" s="22">
        <v>14.7</v>
      </c>
      <c r="AX4" s="22">
        <v>9.1499999999999986</v>
      </c>
      <c r="AY4" s="22">
        <v>13.850000000000001</v>
      </c>
      <c r="AZ4" s="22">
        <v>14.120000000000001</v>
      </c>
      <c r="BA4" s="22">
        <v>0</v>
      </c>
      <c r="BB4" s="22">
        <v>13.7</v>
      </c>
      <c r="BC4" s="22">
        <v>9.3999999999999986</v>
      </c>
      <c r="BD4" s="22">
        <v>14.3</v>
      </c>
      <c r="BE4" s="22">
        <v>14.265000000000001</v>
      </c>
      <c r="BF4" s="22">
        <v>0</v>
      </c>
      <c r="BG4" s="24" t="s">
        <v>42</v>
      </c>
      <c r="BH4" s="35">
        <f t="shared" ref="BH4:BH13" si="20">IF(AT4&gt;0,AT4,"")</f>
        <v>11.600000000000001</v>
      </c>
      <c r="BI4" s="35">
        <f t="shared" ref="BI4:BI13" si="21">IF(AU4&gt;0,AU4,"")</f>
        <v>14.3</v>
      </c>
      <c r="BJ4" s="11">
        <f t="shared" ref="BJ4:BJ13" si="22">IF(SUM(AR4:AU4)-AV4&gt;0,SUM(AR4:AU4)-AV4,"")</f>
        <v>47.999999999999993</v>
      </c>
      <c r="BK4" s="11">
        <f t="shared" ref="BK4:BK13" si="23">IF(AY4&gt;0,AY4,"")</f>
        <v>13.850000000000001</v>
      </c>
      <c r="BL4" s="11">
        <f t="shared" ref="BL4:BL13" si="24">IF(AZ4&gt;0,AZ4,"")</f>
        <v>14.120000000000001</v>
      </c>
      <c r="BM4" s="11">
        <f t="shared" ref="BM4:BM13" si="25">IF(SUM(AW4:AZ4)-BA4&gt;0,SUM(AW4:AZ4)-BA4,"")</f>
        <v>51.820000000000007</v>
      </c>
      <c r="BN4" s="11">
        <f t="shared" ref="BN4:BN13" si="26">IF(BJ4="","",MAX(BJ4,BM4))</f>
        <v>51.820000000000007</v>
      </c>
      <c r="BO4" s="11">
        <f t="shared" ref="BO4:BO13" si="27">IF(BD4&gt;0,BD4,"")</f>
        <v>14.3</v>
      </c>
      <c r="BP4" s="11">
        <f t="shared" ref="BP4:BP13" si="28">IF(BE4&gt;0,BE4,"")</f>
        <v>14.265000000000001</v>
      </c>
      <c r="BQ4" s="11">
        <f t="shared" ref="BQ4:BQ13" si="29">IF(SUM(BB4:BE4)-BF4&gt;0,SUM(BB4:BE4)-BF4,"")</f>
        <v>51.664999999999999</v>
      </c>
      <c r="BR4" s="11">
        <f t="shared" ref="BR4:BR13" si="30">IF(SUM(BN4,BQ4)&gt;0,SUM(BN4,BQ4),"")</f>
        <v>103.48500000000001</v>
      </c>
      <c r="BS4" s="18">
        <v>0</v>
      </c>
      <c r="BT4" s="18">
        <v>0</v>
      </c>
      <c r="BU4" s="18">
        <v>0</v>
      </c>
      <c r="BV4" s="18">
        <v>0</v>
      </c>
      <c r="BW4" s="18">
        <v>0</v>
      </c>
      <c r="BX4" s="18">
        <v>0</v>
      </c>
      <c r="BY4" s="18">
        <v>0</v>
      </c>
      <c r="BZ4" s="18">
        <v>0</v>
      </c>
      <c r="CA4" s="18">
        <v>0</v>
      </c>
      <c r="CB4" s="18">
        <v>0</v>
      </c>
      <c r="CC4" s="18"/>
      <c r="CD4" s="18"/>
      <c r="CE4" s="18"/>
      <c r="CF4" s="18"/>
      <c r="CG4" s="18"/>
      <c r="CH4" s="23"/>
      <c r="CI4" s="34" t="str">
        <f t="shared" ref="CI4:CI13" si="31">IF(BU4&gt;0,BU4,"")</f>
        <v/>
      </c>
      <c r="CJ4" s="34" t="str">
        <f t="shared" ref="CJ4:CJ13" si="32">IF(BV4&gt;0,BV4,"")</f>
        <v/>
      </c>
      <c r="CK4" s="36" t="str">
        <f t="shared" ref="CK4:CK13" si="33">IF(SUM(BS4:BV4)-BW4&gt;0,SUM(BS4:BV4)-BW4,"")</f>
        <v/>
      </c>
      <c r="CL4" s="36" t="str">
        <f t="shared" ref="CL4:CL13" si="34">IF(BZ4&gt;0,BZ4,"")</f>
        <v/>
      </c>
      <c r="CM4" s="36" t="str">
        <f t="shared" ref="CM4:CM13" si="35">IF(CA4&gt;0,CA4,"")</f>
        <v/>
      </c>
      <c r="CN4" s="36" t="str">
        <f t="shared" ref="CN4:CN13" si="36">IF(SUM(BX4:CA4)-CB4&gt;0,SUM(BX4:CA4)-CB4,"")</f>
        <v/>
      </c>
      <c r="CO4" s="36" t="str">
        <f t="shared" ref="CO4:CO13" si="37">IF(CK4="","",MAX(CK4,CN4))</f>
        <v/>
      </c>
      <c r="CP4" s="36" t="str">
        <f t="shared" ref="CP4:CP13" si="38">IF(CE4&gt;0,CE4,"")</f>
        <v/>
      </c>
      <c r="CQ4" s="36" t="str">
        <f t="shared" ref="CQ4:CQ13" si="39">IF(CF4&gt;0,CF4,"")</f>
        <v/>
      </c>
      <c r="CR4" s="36" t="str">
        <f t="shared" ref="CR4:CR13" si="40">IF(SUM(CC4:CF4)-CG4&gt;0,SUM(CC4:CF4)-CG4,"")</f>
        <v/>
      </c>
      <c r="CS4" s="36" t="str">
        <f t="shared" ref="CS4:CS13" si="41">IF(SUM(CO4,CR4)&gt;0,SUM(CO4,CR4),"")</f>
        <v/>
      </c>
      <c r="CT4" s="47" t="str">
        <f t="shared" ref="CT4:CT13" si="42">IF(MAX(DU4,DX4,EA4,FC4,FF4,FI4,GK4,GN4,GQ4,HS4,HV4,HY4,JA4,JD4,JG4,KI4,KL4,KO4,LQ4,LT4,LW4,MY4,NB4,NE4,OG4,OJ4,OM4,PO4,PR4,PU4,QW4,QZ4,RC4,SE4,SH4,SK4,TM4,TP4,TS4,UU4,UX4,VA4,WC4,WF4,WI4)-MAX(L4,0)&gt;0.001,MAX(DU4,DX4,EA4,FC4,FF4,FI4,GK4,GN4,GQ4,HS4,HV4,HY4,JA4,JD4,JG4,KI4,KL4,KO4,LQ4,LT4,LW4,MY4,NB4,NE4,OG4,OJ4,OM4,PO4,PR4,PU4,QW4,QZ4,RC4,SE4,SH4,SK4,TM4,TP4,TS4,UU4,UX4,VA4,WC4,WF4,WI4)-MAX(L4,0),"")</f>
        <v/>
      </c>
      <c r="CU4" s="15">
        <v>13.5</v>
      </c>
      <c r="CV4" s="15">
        <v>9.3000000000000007</v>
      </c>
      <c r="CW4" s="15">
        <v>14.3</v>
      </c>
      <c r="CX4" s="15">
        <v>14.44</v>
      </c>
      <c r="CY4" s="15">
        <v>0</v>
      </c>
      <c r="CZ4" s="15">
        <v>13.3</v>
      </c>
      <c r="DA4" s="15">
        <v>9.3000000000000007</v>
      </c>
      <c r="DB4" s="15">
        <v>14.3</v>
      </c>
      <c r="DC4" s="15">
        <v>14.25</v>
      </c>
      <c r="DD4" s="15">
        <v>0</v>
      </c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36">
        <f t="shared" ref="DO4:DO13" si="43">IF(CW4&gt;0,CW4,"")</f>
        <v>14.3</v>
      </c>
      <c r="DP4" s="36">
        <f t="shared" ref="DP4:DP13" si="44">IF(CX4&gt;0,CX4,"")</f>
        <v>14.44</v>
      </c>
      <c r="DQ4" s="36">
        <f t="shared" ref="DQ4:DQ13" si="45">IF(SUM(CU4:CX4)-CY4&gt;0,SUM(CU4:CX4)-CY4,"")</f>
        <v>51.54</v>
      </c>
      <c r="DR4" s="36">
        <f t="shared" ref="DR4:DR13" si="46">IF(DB4&gt;0,DB4,"")</f>
        <v>14.3</v>
      </c>
      <c r="DS4" s="36">
        <f t="shared" ref="DS4:DS13" si="47">IF(DC4&gt;0,DC4,"")</f>
        <v>14.25</v>
      </c>
      <c r="DT4" s="36">
        <f t="shared" ref="DT4:DT13" si="48">IF(SUM(CZ4:DC4)-DD4&gt;0,SUM(CZ4:DC4)-DD4,"")</f>
        <v>51.150000000000006</v>
      </c>
      <c r="DU4" s="36">
        <f t="shared" ref="DU4:DU13" si="49">IF(MAX(DQ4,DT4)&gt;0,MAX(DQ4,DT4),"")</f>
        <v>51.54</v>
      </c>
      <c r="DV4" s="36" t="str">
        <f t="shared" ref="DV4:DV13" si="50">IF(DG4&gt;0,DG4,"")</f>
        <v/>
      </c>
      <c r="DW4" s="36" t="str">
        <f t="shared" ref="DW4:DW13" si="51">IF(DH4&gt;0,DH4,"")</f>
        <v/>
      </c>
      <c r="DX4" s="36" t="str">
        <f t="shared" ref="DX4:DX13" si="52">IF(SUM(DE4:DH4)-DI4&gt;0,SUM(DE4:DH4)-DI4,"")</f>
        <v/>
      </c>
      <c r="DY4" s="36" t="str">
        <f t="shared" ref="DY4:DY13" si="53">IF(DL4&gt;0,DL4,"")</f>
        <v/>
      </c>
      <c r="DZ4" s="36" t="str">
        <f t="shared" ref="DZ4:DZ13" si="54">IF(DM4&gt;0,DM4,"")</f>
        <v/>
      </c>
      <c r="EA4" s="36" t="str">
        <f t="shared" ref="EA4:EA13" si="55">IF(SUM(DJ4:DM4)-DN4&gt;0,SUM(DJ4:DM4)-DN4,"")</f>
        <v/>
      </c>
      <c r="EB4" s="36">
        <f t="shared" ref="EB4:EB13" si="56">IF(SUM(DU4,DX4,EA4)&gt;0,SUM(DU4,DX4,EA4),"")</f>
        <v>51.54</v>
      </c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1" t="str">
        <f t="shared" ref="EW4:EW13" si="57">IF(EE4&gt;0,EE4,"")</f>
        <v/>
      </c>
      <c r="EX4" s="11" t="str">
        <f t="shared" ref="EX4:EX13" si="58">IF(EF4&gt;0,EF4,"")</f>
        <v/>
      </c>
      <c r="EY4" s="11" t="str">
        <f t="shared" ref="EY4:EY13" si="59">IF(SUM(EC4:EF4)-EG4&gt;0,SUM(EC4:EF4)-EG4,"")</f>
        <v/>
      </c>
      <c r="EZ4" s="11" t="str">
        <f t="shared" ref="EZ4:EZ13" si="60">IF(EJ4&gt;0,EJ4,"")</f>
        <v/>
      </c>
      <c r="FA4" s="11" t="str">
        <f t="shared" ref="FA4:FA13" si="61">IF(EK4&gt;0,EK4,"")</f>
        <v/>
      </c>
      <c r="FB4" s="11" t="str">
        <f t="shared" ref="FB4:FB13" si="62">IF(SUM(EH4:EK4)-EL4&gt;0,SUM(EH4:EK4)-EL4,"")</f>
        <v/>
      </c>
      <c r="FC4" s="11" t="str">
        <f t="shared" ref="FC4:FC13" si="63">IF(MAX(EY4,FB4)&gt;0,MAX(EY4,FB4),"")</f>
        <v/>
      </c>
      <c r="FD4" s="11" t="str">
        <f t="shared" ref="FD4:FD13" si="64">IF(EO4&gt;0,EO4,"")</f>
        <v/>
      </c>
      <c r="FE4" s="11" t="str">
        <f t="shared" ref="FE4:FE13" si="65">IF(EP4&gt;0,EP4,"")</f>
        <v/>
      </c>
      <c r="FF4" s="11" t="str">
        <f t="shared" ref="FF4:FF13" si="66">IF(SUM(EM4:EP4)-EQ4&gt;0,SUM(EM4:EP4)-EQ4,"")</f>
        <v/>
      </c>
      <c r="FG4" s="11" t="str">
        <f t="shared" ref="FG4:FG13" si="67">IF(ET4&gt;0,ET4,"")</f>
        <v/>
      </c>
      <c r="FH4" s="11" t="str">
        <f t="shared" ref="FH4:FH13" si="68">IF(EU4&gt;0,EU4,"")</f>
        <v/>
      </c>
      <c r="FI4" s="11" t="str">
        <f t="shared" ref="FI4:FI13" si="69">IF(SUM(ER4:EU4)-EV4&gt;0,SUM(ER4:EU4)-EV4,"")</f>
        <v/>
      </c>
      <c r="FJ4" s="11" t="str">
        <f t="shared" ref="FJ4:FJ13" si="70">IF(SUM(FC4,FF4,FI4)&gt;0,SUM(FC4,FF4,FI4),"")</f>
        <v/>
      </c>
      <c r="FK4" s="15"/>
      <c r="FL4" s="15"/>
      <c r="FM4" s="15"/>
      <c r="FN4" s="15"/>
      <c r="FO4" s="15"/>
      <c r="FP4" s="15">
        <v>14</v>
      </c>
      <c r="FQ4" s="15">
        <v>9.6</v>
      </c>
      <c r="FR4" s="15">
        <v>13.4</v>
      </c>
      <c r="FS4" s="15">
        <v>14.48</v>
      </c>
      <c r="FT4" s="15">
        <v>0</v>
      </c>
      <c r="FU4" s="15"/>
      <c r="FV4" s="15"/>
      <c r="FW4" s="15"/>
      <c r="FX4" s="15"/>
      <c r="FY4" s="15"/>
      <c r="FZ4" s="15">
        <v>13.5</v>
      </c>
      <c r="GA4" s="15">
        <v>9.3000000000000007</v>
      </c>
      <c r="GB4" s="15">
        <v>14.3</v>
      </c>
      <c r="GC4" s="15">
        <v>14.37</v>
      </c>
      <c r="GD4" s="15">
        <v>0</v>
      </c>
      <c r="GE4" s="36" t="str">
        <f t="shared" ref="GE4:GE13" si="71">IF(FM4&gt;0,FM4,"")</f>
        <v/>
      </c>
      <c r="GF4" s="36" t="str">
        <f t="shared" ref="GF4:GF13" si="72">IF(FN4&gt;0,FN4,"")</f>
        <v/>
      </c>
      <c r="GG4" s="36" t="str">
        <f t="shared" ref="GG4:GG13" si="73">IF(SUM(FK4:FN4)-FO4&gt;0,SUM(FK4:FN4)-FO4,"")</f>
        <v/>
      </c>
      <c r="GH4" s="36">
        <f t="shared" ref="GH4:GH13" si="74">IF(FR4&gt;0,FR4,"")</f>
        <v>13.4</v>
      </c>
      <c r="GI4" s="36">
        <f t="shared" ref="GI4:GI13" si="75">IF(FS4&gt;0,FS4,"")</f>
        <v>14.48</v>
      </c>
      <c r="GJ4" s="36">
        <f t="shared" ref="GJ4:GJ13" si="76">IF(SUM(FP4:FS4)-FT4&gt;0,SUM(FP4:FS4)-FT4,"")</f>
        <v>51.480000000000004</v>
      </c>
      <c r="GK4" s="36">
        <f t="shared" ref="GK4:GK13" si="77">IF(MAX(GG4,GJ4)&gt;0,MAX(GG4,GJ4),"")</f>
        <v>51.480000000000004</v>
      </c>
      <c r="GL4" s="36" t="str">
        <f t="shared" ref="GL4:GL13" si="78">IF(FW4&gt;0,FW4,"")</f>
        <v/>
      </c>
      <c r="GM4" s="36" t="str">
        <f t="shared" ref="GM4:GM13" si="79">IF(FX4&gt;0,FX4,"")</f>
        <v/>
      </c>
      <c r="GN4" s="36" t="str">
        <f t="shared" ref="GN4:GN13" si="80">IF(SUM(FU4:FX4)-FY4&gt;0,SUM(FU4:FX4)-FY4,"")</f>
        <v/>
      </c>
      <c r="GO4" s="36">
        <f t="shared" ref="GO4:GO13" si="81">IF(GB4&gt;0,GB4,"")</f>
        <v>14.3</v>
      </c>
      <c r="GP4" s="36">
        <f t="shared" ref="GP4:GP13" si="82">IF(GC4&gt;0,GC4,"")</f>
        <v>14.37</v>
      </c>
      <c r="GQ4" s="36">
        <f t="shared" ref="GQ4:GQ13" si="83">IF(SUM(FZ4:GC4)-GD4&gt;0,SUM(FZ4:GC4)-GD4,"")</f>
        <v>51.47</v>
      </c>
      <c r="GR4" s="36">
        <f t="shared" ref="GR4:GR13" si="84">IF(SUM(GK4,GN4,GQ4)&gt;0,SUM(GK4,GN4,GQ4),"")</f>
        <v>102.95</v>
      </c>
      <c r="GS4" s="16">
        <v>17.5</v>
      </c>
      <c r="GT4" s="16">
        <v>9.5</v>
      </c>
      <c r="GU4" s="16">
        <v>1.6</v>
      </c>
      <c r="GV4" s="16">
        <v>15.48</v>
      </c>
      <c r="GW4" s="16">
        <v>0</v>
      </c>
      <c r="GX4" s="16">
        <v>15.2</v>
      </c>
      <c r="GY4" s="16">
        <v>9.4</v>
      </c>
      <c r="GZ4" s="16">
        <v>12.1</v>
      </c>
      <c r="HA4" s="16">
        <v>14.75</v>
      </c>
      <c r="HB4" s="16">
        <v>0</v>
      </c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1">
        <f t="shared" ref="HM4:HM13" si="85">IF(GU4&gt;0,GU4,"")</f>
        <v>1.6</v>
      </c>
      <c r="HN4" s="11">
        <f t="shared" ref="HN4:HN13" si="86">IF(GV4&gt;0,GV4,"")</f>
        <v>15.48</v>
      </c>
      <c r="HO4" s="11">
        <f t="shared" ref="HO4:HO13" si="87">IF(SUM(GS4:GV4)-GW4&gt;0,SUM(GS4:GV4)-GW4,"")</f>
        <v>44.08</v>
      </c>
      <c r="HP4" s="11">
        <f t="shared" ref="HP4:HP13" si="88">IF(GZ4&gt;0,GZ4,"")</f>
        <v>12.1</v>
      </c>
      <c r="HQ4" s="11">
        <f t="shared" ref="HQ4:HQ13" si="89">IF(HA4&gt;0,HA4,"")</f>
        <v>14.75</v>
      </c>
      <c r="HR4" s="11">
        <f t="shared" ref="HR4:HR13" si="90">IF(SUM(GX4:HA4)-HB4&gt;0,SUM(GX4:HA4)-HB4,"")</f>
        <v>51.45</v>
      </c>
      <c r="HS4" s="11">
        <f t="shared" ref="HS4:HS13" si="91">IF(MAX(HO4,HR4)&gt;0,MAX(HO4,HR4),"")</f>
        <v>51.45</v>
      </c>
      <c r="HT4" s="11" t="str">
        <f t="shared" ref="HT4:HT13" si="92">IF(HE4&gt;0,HE4,"")</f>
        <v/>
      </c>
      <c r="HU4" s="11" t="str">
        <f t="shared" ref="HU4:HU13" si="93">IF(HF4&gt;0,HF4,"")</f>
        <v/>
      </c>
      <c r="HV4" s="11" t="str">
        <f t="shared" ref="HV4:HV13" si="94">IF(SUM(HC4:HF4)-HG4&gt;0,SUM(HC4:HF4)-HG4,"")</f>
        <v/>
      </c>
      <c r="HW4" s="11" t="str">
        <f t="shared" ref="HW4:HW13" si="95">IF(HJ4&gt;0,HJ4,"")</f>
        <v/>
      </c>
      <c r="HX4" s="11" t="str">
        <f t="shared" ref="HX4:HX13" si="96">IF(HK4&gt;0,HK4,"")</f>
        <v/>
      </c>
      <c r="HY4" s="11" t="str">
        <f t="shared" ref="HY4:HY13" si="97">IF(SUM(HH4:HK4)-HL4&gt;0,SUM(HH4:HK4)-HL4,"")</f>
        <v/>
      </c>
      <c r="HZ4" s="11">
        <f t="shared" ref="HZ4:HZ13" si="98">IF(SUM(HS4,HV4,HY4)&gt;0,SUM(HS4,HV4,HY4),"")</f>
        <v>51.45</v>
      </c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36" t="str">
        <f t="shared" ref="IU4:IU13" si="99">IF(IC4&gt;0,IC4,"")</f>
        <v/>
      </c>
      <c r="IV4" s="36" t="str">
        <f t="shared" ref="IV4:IV13" si="100">IF(ID4&gt;0,ID4,"")</f>
        <v/>
      </c>
      <c r="IW4" s="36" t="str">
        <f t="shared" ref="IW4:IW13" si="101">IF(SUM(IA4:ID4)-IE4&gt;0,SUM(IA4:ID4)-IE4,"")</f>
        <v/>
      </c>
      <c r="IX4" s="36" t="str">
        <f t="shared" ref="IX4:IX13" si="102">IF(IH4&gt;0,IH4,"")</f>
        <v/>
      </c>
      <c r="IY4" s="36" t="str">
        <f t="shared" ref="IY4:IY13" si="103">IF(II4&gt;0,II4,"")</f>
        <v/>
      </c>
      <c r="IZ4" s="36" t="str">
        <f t="shared" ref="IZ4:IZ13" si="104">IF(SUM(IF4:II4)-IJ4&gt;0,SUM(IF4:II4)-IJ4,"")</f>
        <v/>
      </c>
      <c r="JA4" s="36" t="str">
        <f t="shared" ref="JA4:JA13" si="105">IF(MAX(IW4,IZ4)&gt;0,MAX(IW4,IZ4),"")</f>
        <v/>
      </c>
      <c r="JB4" s="36" t="str">
        <f t="shared" ref="JB4:JB13" si="106">IF(IM4&gt;0,IM4,"")</f>
        <v/>
      </c>
      <c r="JC4" s="36" t="str">
        <f t="shared" ref="JC4:JC13" si="107">IF(IN4&gt;0,IN4,"")</f>
        <v/>
      </c>
      <c r="JD4" s="36" t="str">
        <f t="shared" ref="JD4:JD13" si="108">IF(SUM(IK4:IN4)-IO4&gt;0,SUM(IK4:IN4)-IO4,"")</f>
        <v/>
      </c>
      <c r="JE4" s="36" t="str">
        <f t="shared" ref="JE4:JE13" si="109">IF(IR4&gt;0,IR4,"")</f>
        <v/>
      </c>
      <c r="JF4" s="36" t="str">
        <f t="shared" ref="JF4:JF13" si="110">IF(IS4&gt;0,IS4,"")</f>
        <v/>
      </c>
      <c r="JG4" s="36" t="str">
        <f t="shared" ref="JG4:JG13" si="111">IF(SUM(IP4:IS4)-IT4&gt;0,SUM(IP4:IS4)-IT4,"")</f>
        <v/>
      </c>
      <c r="JH4" s="36" t="str">
        <f t="shared" ref="JH4:JH13" si="112">IF(SUM(JA4,JD4,JG4)&gt;0,SUM(JA4,JD4,JG4),"")</f>
        <v/>
      </c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1" t="str">
        <f t="shared" ref="KC4:KC13" si="113">IF(JK4&gt;0,JK4,"")</f>
        <v/>
      </c>
      <c r="KD4" s="11" t="str">
        <f t="shared" ref="KD4:KD13" si="114">IF(JL4&gt;0,JL4,"")</f>
        <v/>
      </c>
      <c r="KE4" s="11" t="str">
        <f t="shared" ref="KE4:KE13" si="115">IF(SUM(JI4:JL4)-JM4&gt;0,SUM(JI4:JL4)-JM4,"")</f>
        <v/>
      </c>
      <c r="KF4" s="11" t="str">
        <f t="shared" ref="KF4:KF13" si="116">IF(JP4&gt;0,JP4,"")</f>
        <v/>
      </c>
      <c r="KG4" s="11" t="str">
        <f t="shared" ref="KG4:KG13" si="117">IF(JQ4&gt;0,JQ4,"")</f>
        <v/>
      </c>
      <c r="KH4" s="11" t="str">
        <f t="shared" ref="KH4:KH13" si="118">IF(SUM(JN4:JQ4)-JR4&gt;0,SUM(JN4:JQ4)-JR4,"")</f>
        <v/>
      </c>
      <c r="KI4" s="11" t="str">
        <f t="shared" ref="KI4:KI13" si="119">IF(MAX(KE4,KH4)&gt;0,MAX(KE4,KH4),"")</f>
        <v/>
      </c>
      <c r="KJ4" s="11" t="str">
        <f t="shared" ref="KJ4:KJ13" si="120">IF(JU4&gt;0,JU4,"")</f>
        <v/>
      </c>
      <c r="KK4" s="11" t="str">
        <f t="shared" ref="KK4:KK13" si="121">IF(JV4&gt;0,JV4,"")</f>
        <v/>
      </c>
      <c r="KL4" s="11" t="str">
        <f t="shared" ref="KL4:KL13" si="122">IF(SUM(JS4:JV4)-JW4&gt;0,SUM(JS4:JV4)-JW4,"")</f>
        <v/>
      </c>
      <c r="KM4" s="11" t="str">
        <f t="shared" ref="KM4:KM13" si="123">IF(JZ4&gt;0,JZ4,"")</f>
        <v/>
      </c>
      <c r="KN4" s="11" t="str">
        <f t="shared" ref="KN4:KN13" si="124">IF(KA4&gt;0,KA4,"")</f>
        <v/>
      </c>
      <c r="KO4" s="11" t="str">
        <f t="shared" ref="KO4:KO13" si="125">IF(SUM(JX4:KA4)-KB4&gt;0,SUM(JX4:KA4)-KB4,"")</f>
        <v/>
      </c>
      <c r="KP4" s="11" t="str">
        <f t="shared" ref="KP4:KP13" si="126">IF(SUM(KI4,KL4,KO4)&gt;0,SUM(KI4,KL4,KO4),"")</f>
        <v/>
      </c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36" t="str">
        <f t="shared" ref="LK4:LK13" si="127">IF(KS4&gt;0,KS4,"")</f>
        <v/>
      </c>
      <c r="LL4" s="36" t="str">
        <f t="shared" ref="LL4:LL13" si="128">IF(KT4&gt;0,KT4,"")</f>
        <v/>
      </c>
      <c r="LM4" s="36" t="str">
        <f t="shared" ref="LM4:LM13" si="129">IF(SUM(KQ4:KT4)-KU4&gt;0,SUM(KQ4:KT4)-KU4,"")</f>
        <v/>
      </c>
      <c r="LN4" s="36" t="str">
        <f t="shared" ref="LN4:LN13" si="130">IF(KX4&gt;0,KX4,"")</f>
        <v/>
      </c>
      <c r="LO4" s="36" t="str">
        <f t="shared" ref="LO4:LO13" si="131">IF(KY4&gt;0,KY4,"")</f>
        <v/>
      </c>
      <c r="LP4" s="36" t="str">
        <f t="shared" ref="LP4:LP13" si="132">IF(SUM(KV4:KY4)-KZ4&gt;0,SUM(KV4:KY4)-KZ4,"")</f>
        <v/>
      </c>
      <c r="LQ4" s="36" t="str">
        <f t="shared" ref="LQ4:LQ13" si="133">IF(MAX(LM4,LP4)&gt;0,MAX(LM4,LP4),"")</f>
        <v/>
      </c>
      <c r="LR4" s="36" t="str">
        <f t="shared" ref="LR4:LR13" si="134">IF(LC4&gt;0,LC4,"")</f>
        <v/>
      </c>
      <c r="LS4" s="36" t="str">
        <f t="shared" ref="LS4:LS13" si="135">IF(LD4&gt;0,LD4,"")</f>
        <v/>
      </c>
      <c r="LT4" s="36" t="str">
        <f t="shared" ref="LT4:LT13" si="136">IF(SUM(LA4:LD4)-LE4&gt;0,SUM(LA4:LD4)-LE4,"")</f>
        <v/>
      </c>
      <c r="LU4" s="36" t="str">
        <f t="shared" ref="LU4:LU13" si="137">IF(LH4&gt;0,LH4,"")</f>
        <v/>
      </c>
      <c r="LV4" s="36" t="str">
        <f t="shared" ref="LV4:LV13" si="138">IF(LI4&gt;0,LI4,"")</f>
        <v/>
      </c>
      <c r="LW4" s="36" t="str">
        <f t="shared" ref="LW4:LW13" si="139">IF(SUM(LF4:LI4)-LJ4&gt;0,SUM(LF4:LI4)-LJ4,"")</f>
        <v/>
      </c>
      <c r="LX4" s="36" t="str">
        <f t="shared" ref="LX4:LX13" si="140">IF(SUM(LQ4,LT4,LW4)&gt;0,SUM(LQ4,LT4,LW4),"")</f>
        <v/>
      </c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1" t="str">
        <f t="shared" ref="MS4:MS13" si="141">IF(MA4&gt;0,MA4,"")</f>
        <v/>
      </c>
      <c r="MT4" s="11" t="str">
        <f t="shared" ref="MT4:MT13" si="142">IF(MB4&gt;0,MB4,"")</f>
        <v/>
      </c>
      <c r="MU4" s="11" t="str">
        <f t="shared" ref="MU4:MU13" si="143">IF(SUM(LY4:MB4)-MC4&gt;0,SUM(LY4:MB4)-MC4,"")</f>
        <v/>
      </c>
      <c r="MV4" s="11" t="str">
        <f t="shared" ref="MV4:MV13" si="144">IF(MF4&gt;0,MF4,"")</f>
        <v/>
      </c>
      <c r="MW4" s="11" t="str">
        <f t="shared" ref="MW4:MW13" si="145">IF(MG4&gt;0,MG4,"")</f>
        <v/>
      </c>
      <c r="MX4" s="11" t="str">
        <f t="shared" ref="MX4:MX13" si="146">IF(SUM(MD4:MG4)-MH4&gt;0,SUM(MD4:MG4)-MH4,"")</f>
        <v/>
      </c>
      <c r="MY4" s="11" t="str">
        <f t="shared" ref="MY4:MY13" si="147">IF(MAX(MU4,MX4)&gt;0,MAX(MU4,MX4),"")</f>
        <v/>
      </c>
      <c r="MZ4" s="11" t="str">
        <f t="shared" ref="MZ4:MZ13" si="148">IF(MK4&gt;0,MK4,"")</f>
        <v/>
      </c>
      <c r="NA4" s="11" t="str">
        <f t="shared" ref="NA4:NA13" si="149">IF(ML4&gt;0,ML4,"")</f>
        <v/>
      </c>
      <c r="NB4" s="11" t="str">
        <f t="shared" ref="NB4:NB13" si="150">IF(SUM(MI4:ML4)-MM4&gt;0,SUM(MI4:ML4)-MM4,"")</f>
        <v/>
      </c>
      <c r="NC4" s="11" t="str">
        <f t="shared" ref="NC4:NC13" si="151">IF(MP4&gt;0,MP4,"")</f>
        <v/>
      </c>
      <c r="ND4" s="11" t="str">
        <f t="shared" ref="ND4:ND13" si="152">IF(MQ4&gt;0,MQ4,"")</f>
        <v/>
      </c>
      <c r="NE4" s="11" t="str">
        <f t="shared" ref="NE4:NE13" si="153">IF(SUM(MN4:MQ4)-MR4&gt;0,SUM(MN4:MQ4)-MR4,"")</f>
        <v/>
      </c>
      <c r="NF4" s="11" t="str">
        <f t="shared" ref="NF4:NF13" si="154">IF(SUM(MY4,NB4,NE4)&gt;0,SUM(MY4,NB4,NE4),"")</f>
        <v/>
      </c>
      <c r="NG4" s="15"/>
      <c r="NH4" s="15"/>
      <c r="NI4" s="15"/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36" t="str">
        <f t="shared" ref="OA4:OA13" si="155">IF(NI4&gt;0,NI4,"")</f>
        <v/>
      </c>
      <c r="OB4" s="36" t="str">
        <f t="shared" ref="OB4:OB13" si="156">IF(NJ4&gt;0,NJ4,"")</f>
        <v/>
      </c>
      <c r="OC4" s="36" t="str">
        <f t="shared" ref="OC4:OC13" si="157">IF(SUM(NG4:NJ4)-NK4&gt;0,SUM(NG4:NJ4)-NK4,"")</f>
        <v/>
      </c>
      <c r="OD4" s="36" t="str">
        <f t="shared" ref="OD4:OD13" si="158">IF(NN4&gt;0,NN4,"")</f>
        <v/>
      </c>
      <c r="OE4" s="36" t="str">
        <f t="shared" ref="OE4:OE13" si="159">IF(NO4&gt;0,NO4,"")</f>
        <v/>
      </c>
      <c r="OF4" s="36" t="str">
        <f t="shared" ref="OF4:OF13" si="160">IF(SUM(NL4:NO4)-NP4&gt;0,SUM(NL4:NO4)-NP4,"")</f>
        <v/>
      </c>
      <c r="OG4" s="36" t="str">
        <f t="shared" ref="OG4:OG13" si="161">IF(MAX(OC4,OF4)&gt;0,MAX(OC4,OF4),"")</f>
        <v/>
      </c>
      <c r="OH4" s="36" t="str">
        <f t="shared" ref="OH4:OH13" si="162">IF(NS4&gt;0,NS4,"")</f>
        <v/>
      </c>
      <c r="OI4" s="36" t="str">
        <f t="shared" ref="OI4:OI13" si="163">IF(NT4&gt;0,NT4,"")</f>
        <v/>
      </c>
      <c r="OJ4" s="36" t="str">
        <f t="shared" ref="OJ4:OJ13" si="164">IF(SUM(NQ4:NT4)-NU4&gt;0,SUM(NQ4:NT4)-NU4,"")</f>
        <v/>
      </c>
      <c r="OK4" s="36" t="str">
        <f t="shared" ref="OK4:OK13" si="165">IF(NX4&gt;0,NX4,"")</f>
        <v/>
      </c>
      <c r="OL4" s="36" t="str">
        <f t="shared" ref="OL4:OL13" si="166">IF(NY4&gt;0,NY4,"")</f>
        <v/>
      </c>
      <c r="OM4" s="36" t="str">
        <f t="shared" ref="OM4:OM13" si="167">IF(SUM(NV4:NY4)-NZ4&gt;0,SUM(NV4:NY4)-NZ4,"")</f>
        <v/>
      </c>
      <c r="ON4" s="36" t="str">
        <f t="shared" ref="ON4:ON13" si="168">IF(SUM(OG4,OJ4,OM4)&gt;0,SUM(OG4,OJ4,OM4),"")</f>
        <v/>
      </c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1" t="str">
        <f t="shared" ref="PI4:PI13" si="169">IF(OQ4&gt;0,OQ4,"")</f>
        <v/>
      </c>
      <c r="PJ4" s="11" t="str">
        <f t="shared" ref="PJ4:PJ13" si="170">IF(OR4&gt;0,OR4,"")</f>
        <v/>
      </c>
      <c r="PK4" s="11" t="str">
        <f t="shared" ref="PK4:PK13" si="171">IF(SUM(OO4:OR4)-OS4&gt;0,SUM(OO4:OR4)-OS4,"")</f>
        <v/>
      </c>
      <c r="PL4" s="11" t="str">
        <f t="shared" ref="PL4:PL13" si="172">IF(OV4&gt;0,OV4,"")</f>
        <v/>
      </c>
      <c r="PM4" s="11" t="str">
        <f t="shared" ref="PM4:PM13" si="173">IF(OW4&gt;0,OW4,"")</f>
        <v/>
      </c>
      <c r="PN4" s="11" t="str">
        <f t="shared" ref="PN4:PN13" si="174">IF(SUM(OT4:OW4)-OX4&gt;0,SUM(OT4:OW4)-OX4,"")</f>
        <v/>
      </c>
      <c r="PO4" s="11" t="str">
        <f t="shared" ref="PO4:PO13" si="175">IF(MAX(PK4,PN4)&gt;0,MAX(PK4,PN4),"")</f>
        <v/>
      </c>
      <c r="PP4" s="11" t="str">
        <f t="shared" ref="PP4:PP13" si="176">IF(PA4&gt;0,PA4,"")</f>
        <v/>
      </c>
      <c r="PQ4" s="11" t="str">
        <f t="shared" ref="PQ4:PQ13" si="177">IF(PB4&gt;0,PB4,"")</f>
        <v/>
      </c>
      <c r="PR4" s="11" t="str">
        <f t="shared" ref="PR4:PR13" si="178">IF(SUM(OY4:PB4)-PC4&gt;0,SUM(OY4:PB4)-PC4,"")</f>
        <v/>
      </c>
      <c r="PS4" s="11" t="str">
        <f t="shared" ref="PS4:PS13" si="179">IF(PF4&gt;0,PF4,"")</f>
        <v/>
      </c>
      <c r="PT4" s="11" t="str">
        <f t="shared" ref="PT4:PT13" si="180">IF(PG4&gt;0,PG4,"")</f>
        <v/>
      </c>
      <c r="PU4" s="11" t="str">
        <f t="shared" ref="PU4:PU13" si="181">IF(SUM(PD4:PG4)-PH4&gt;0,SUM(PD4:PG4)-PH4,"")</f>
        <v/>
      </c>
      <c r="PV4" s="11" t="str">
        <f t="shared" ref="PV4:PV13" si="182">IF(SUM(PO4,PR4,PU4)&gt;0,SUM(PO4,PR4,PU4),"")</f>
        <v/>
      </c>
      <c r="PW4" s="15"/>
      <c r="PX4" s="15"/>
      <c r="PY4" s="15"/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36" t="str">
        <f t="shared" ref="QQ4:QQ13" si="183">IF(PY4&gt;0,PY4,"")</f>
        <v/>
      </c>
      <c r="QR4" s="36" t="str">
        <f t="shared" ref="QR4:QR13" si="184">IF(PZ4&gt;0,PZ4,"")</f>
        <v/>
      </c>
      <c r="QS4" s="36" t="str">
        <f t="shared" ref="QS4:QS13" si="185">IF(SUM(PW4:PZ4)-QA4&gt;0,SUM(PW4:PZ4)-QA4,"")</f>
        <v/>
      </c>
      <c r="QT4" s="36" t="str">
        <f t="shared" ref="QT4:QT13" si="186">IF(QD4&gt;0,QD4,"")</f>
        <v/>
      </c>
      <c r="QU4" s="36" t="str">
        <f t="shared" ref="QU4:QU13" si="187">IF(QE4&gt;0,QE4,"")</f>
        <v/>
      </c>
      <c r="QV4" s="36" t="str">
        <f t="shared" ref="QV4:QV13" si="188">IF(SUM(QB4:QE4)-QF4&gt;0,SUM(QB4:QE4)-QF4,"")</f>
        <v/>
      </c>
      <c r="QW4" s="36" t="str">
        <f t="shared" ref="QW4:QW13" si="189">IF(MAX(QS4,QV4)&gt;0,MAX(QS4,QV4),"")</f>
        <v/>
      </c>
      <c r="QX4" s="36" t="str">
        <f t="shared" ref="QX4:QX13" si="190">IF(QI4&gt;0,QI4,"")</f>
        <v/>
      </c>
      <c r="QY4" s="36" t="str">
        <f t="shared" ref="QY4:QY13" si="191">IF(QJ4&gt;0,QJ4,"")</f>
        <v/>
      </c>
      <c r="QZ4" s="36" t="str">
        <f t="shared" ref="QZ4:QZ13" si="192">IF(SUM(QG4:QJ4)-QK4&gt;0,SUM(QG4:QJ4)-QK4,"")</f>
        <v/>
      </c>
      <c r="RA4" s="36" t="str">
        <f t="shared" ref="RA4:RA13" si="193">IF(QN4&gt;0,QN4,"")</f>
        <v/>
      </c>
      <c r="RB4" s="36" t="str">
        <f t="shared" ref="RB4:RB13" si="194">IF(QO4&gt;0,QO4,"")</f>
        <v/>
      </c>
      <c r="RC4" s="36" t="str">
        <f t="shared" ref="RC4:RC13" si="195">IF(SUM(QL4:QO4)-QP4&gt;0,SUM(QL4:QO4)-QP4,"")</f>
        <v/>
      </c>
      <c r="RD4" s="36" t="str">
        <f t="shared" ref="RD4:RD13" si="196">IF(SUM(QW4,QZ4,RC4)&gt;0,SUM(QW4,QZ4,RC4),"")</f>
        <v/>
      </c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1" t="str">
        <f t="shared" ref="RY4:RY13" si="197">IF(RG4&gt;0,RG4,"")</f>
        <v/>
      </c>
      <c r="RZ4" s="11" t="str">
        <f t="shared" ref="RZ4:RZ13" si="198">IF(RH4&gt;0,RH4,"")</f>
        <v/>
      </c>
      <c r="SA4" s="11" t="str">
        <f t="shared" ref="SA4:SA13" si="199">IF(SUM(RE4:RH4)-RI4&gt;0,SUM(RE4:RH4)-RI4,"")</f>
        <v/>
      </c>
      <c r="SB4" s="11" t="str">
        <f t="shared" ref="SB4:SB13" si="200">IF(RL4&gt;0,RL4,"")</f>
        <v/>
      </c>
      <c r="SC4" s="11" t="str">
        <f t="shared" ref="SC4:SC13" si="201">IF(RM4&gt;0,RM4,"")</f>
        <v/>
      </c>
      <c r="SD4" s="11" t="str">
        <f t="shared" ref="SD4:SD13" si="202">IF(SUM(RJ4:RM4)-RN4&gt;0,SUM(RJ4:RM4)-RN4,"")</f>
        <v/>
      </c>
      <c r="SE4" s="11" t="str">
        <f t="shared" ref="SE4:SE13" si="203">IF(MAX(SA4,SD4)&gt;0,MAX(SA4,SD4),"")</f>
        <v/>
      </c>
      <c r="SF4" s="11" t="str">
        <f t="shared" ref="SF4:SF13" si="204">IF(RQ4&gt;0,RQ4,"")</f>
        <v/>
      </c>
      <c r="SG4" s="11" t="str">
        <f t="shared" ref="SG4:SG13" si="205">IF(RR4&gt;0,RR4,"")</f>
        <v/>
      </c>
      <c r="SH4" s="11" t="str">
        <f t="shared" ref="SH4:SH13" si="206">IF(SUM(RO4:RR4)-RS4&gt;0,SUM(RO4:RR4)-RS4,"")</f>
        <v/>
      </c>
      <c r="SI4" s="11" t="str">
        <f t="shared" ref="SI4:SI13" si="207">IF(RV4&gt;0,RV4,"")</f>
        <v/>
      </c>
      <c r="SJ4" s="11" t="str">
        <f t="shared" ref="SJ4:SJ13" si="208">IF(RW4&gt;0,RW4,"")</f>
        <v/>
      </c>
      <c r="SK4" s="11" t="str">
        <f t="shared" ref="SK4:SK13" si="209">IF(SUM(RT4:RW4)-RX4&gt;0,SUM(RT4:RW4)-RX4,"")</f>
        <v/>
      </c>
      <c r="SL4" s="11" t="str">
        <f t="shared" ref="SL4:SL13" si="210">IF(SUM(SE4,SH4,SK4)&gt;0,SUM(SE4,SH4,SK4),"")</f>
        <v/>
      </c>
      <c r="SM4" s="15"/>
      <c r="SN4" s="15"/>
      <c r="SO4" s="15"/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36" t="str">
        <f t="shared" ref="TG4:TG13" si="211">IF(SO4&gt;0,SO4,"")</f>
        <v/>
      </c>
      <c r="TH4" s="36" t="str">
        <f t="shared" ref="TH4:TH13" si="212">IF(SP4&gt;0,SP4,"")</f>
        <v/>
      </c>
      <c r="TI4" s="36" t="str">
        <f t="shared" ref="TI4:TI13" si="213">IF(SUM(SM4:SP4)-SQ4&gt;0,SUM(SM4:SP4)-SQ4,"")</f>
        <v/>
      </c>
      <c r="TJ4" s="36" t="str">
        <f t="shared" ref="TJ4:TJ13" si="214">IF(ST4&gt;0,ST4,"")</f>
        <v/>
      </c>
      <c r="TK4" s="36" t="str">
        <f t="shared" ref="TK4:TK13" si="215">IF(SU4&gt;0,SU4,"")</f>
        <v/>
      </c>
      <c r="TL4" s="36" t="str">
        <f t="shared" ref="TL4:TL13" si="216">IF(SUM(SR4:SU4)-SV4&gt;0,SUM(SR4:SU4)-SV4,"")</f>
        <v/>
      </c>
      <c r="TM4" s="36" t="str">
        <f t="shared" ref="TM4:TM13" si="217">IF(MAX(TI4,TL4)&gt;0,MAX(TI4,TL4),"")</f>
        <v/>
      </c>
      <c r="TN4" s="36" t="str">
        <f t="shared" ref="TN4:TN13" si="218">IF(SY4&gt;0,SY4,"")</f>
        <v/>
      </c>
      <c r="TO4" s="36" t="str">
        <f t="shared" ref="TO4:TO13" si="219">IF(SZ4&gt;0,SZ4,"")</f>
        <v/>
      </c>
      <c r="TP4" s="36" t="str">
        <f t="shared" ref="TP4:TP13" si="220">IF(SUM(SW4:SZ4)-TA4&gt;0,SUM(SW4:SZ4)-TA4,"")</f>
        <v/>
      </c>
      <c r="TQ4" s="36" t="str">
        <f t="shared" ref="TQ4:TQ13" si="221">IF(TD4&gt;0,TD4,"")</f>
        <v/>
      </c>
      <c r="TR4" s="36" t="str">
        <f t="shared" ref="TR4:TR13" si="222">IF(TE4&gt;0,TE4,"")</f>
        <v/>
      </c>
      <c r="TS4" s="36" t="str">
        <f t="shared" ref="TS4:TS13" si="223">IF(SUM(TB4:TE4)-TF4&gt;0,SUM(TB4:TE4)-TF4,"")</f>
        <v/>
      </c>
      <c r="TT4" s="36" t="str">
        <f t="shared" ref="TT4:TT13" si="224">IF(SUM(TM4,TP4,TS4)&gt;0,SUM(TM4,TP4,TS4),"")</f>
        <v/>
      </c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1" t="str">
        <f t="shared" ref="UO4:UO13" si="225">IF(TW4&gt;0,TW4,"")</f>
        <v/>
      </c>
      <c r="UP4" s="11" t="str">
        <f t="shared" ref="UP4:UP13" si="226">IF(TX4&gt;0,TX4,"")</f>
        <v/>
      </c>
      <c r="UQ4" s="11" t="str">
        <f t="shared" ref="UQ4:UQ13" si="227">IF(SUM(TU4:TX4)-TY4&gt;0,SUM(TU4:TX4)-TY4,"")</f>
        <v/>
      </c>
      <c r="UR4" s="11" t="str">
        <f t="shared" ref="UR4:UR13" si="228">IF(UB4&gt;0,UB4,"")</f>
        <v/>
      </c>
      <c r="US4" s="11" t="str">
        <f t="shared" ref="US4:US13" si="229">IF(UC4&gt;0,UC4,"")</f>
        <v/>
      </c>
      <c r="UT4" s="11" t="str">
        <f t="shared" ref="UT4:UT13" si="230">IF(SUM(TZ4:UC4)-UD4&gt;0,SUM(TZ4:UC4)-UD4,"")</f>
        <v/>
      </c>
      <c r="UU4" s="11" t="str">
        <f t="shared" ref="UU4:UU13" si="231">IF(MAX(UQ4,UT4)&gt;0,MAX(UQ4,UT4),"")</f>
        <v/>
      </c>
      <c r="UV4" s="11" t="str">
        <f t="shared" ref="UV4:UV13" si="232">IF(UG4&gt;0,UG4,"")</f>
        <v/>
      </c>
      <c r="UW4" s="11" t="str">
        <f t="shared" ref="UW4:UW13" si="233">IF(UH4&gt;0,UH4,"")</f>
        <v/>
      </c>
      <c r="UX4" s="11" t="str">
        <f t="shared" ref="UX4:UX13" si="234">IF(SUM(UE4:UH4)-UI4&gt;0,SUM(UE4:UH4)-UI4,"")</f>
        <v/>
      </c>
      <c r="UY4" s="11" t="str">
        <f t="shared" ref="UY4:UY13" si="235">IF(UL4&gt;0,UL4,"")</f>
        <v/>
      </c>
      <c r="UZ4" s="11" t="str">
        <f t="shared" ref="UZ4:UZ13" si="236">IF(UM4&gt;0,UM4,"")</f>
        <v/>
      </c>
      <c r="VA4" s="11" t="str">
        <f t="shared" ref="VA4:VA13" si="237">IF(SUM(UJ4:UM4)-UN4&gt;0,SUM(UJ4:UM4)-UN4,"")</f>
        <v/>
      </c>
      <c r="VB4" s="11" t="str">
        <f t="shared" ref="VB4:VB13" si="238">IF(SUM(UU4,UX4,VA4)&gt;0,SUM(UU4,UX4,VA4),"")</f>
        <v/>
      </c>
      <c r="VC4" s="15"/>
      <c r="VD4" s="15"/>
      <c r="VE4" s="15"/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36" t="str">
        <f t="shared" ref="VW4:VW13" si="239">IF(VE4&gt;0,VE4,"")</f>
        <v/>
      </c>
      <c r="VX4" s="36" t="str">
        <f t="shared" ref="VX4:VX13" si="240">IF(VF4&gt;0,VF4,"")</f>
        <v/>
      </c>
      <c r="VY4" s="36" t="str">
        <f t="shared" ref="VY4:VY13" si="241">IF(SUM(VC4:VF4)-VG4&gt;0,SUM(VC4:VF4)-VG4,"")</f>
        <v/>
      </c>
      <c r="VZ4" s="36" t="str">
        <f t="shared" ref="VZ4:VZ13" si="242">IF(VJ4&gt;0,VJ4,"")</f>
        <v/>
      </c>
      <c r="WA4" s="36" t="str">
        <f t="shared" ref="WA4:WA13" si="243">IF(VK4&gt;0,VK4,"")</f>
        <v/>
      </c>
      <c r="WB4" s="36" t="str">
        <f t="shared" ref="WB4:WB13" si="244">IF(SUM(VH4:VK4)-VL4&gt;0,SUM(VH4:VK4)-VL4,"")</f>
        <v/>
      </c>
      <c r="WC4" s="36" t="str">
        <f t="shared" ref="WC4:WC13" si="245">IF(MAX(VY4,WB4)&gt;0,MAX(VY4,WB4),"")</f>
        <v/>
      </c>
      <c r="WD4" s="36" t="str">
        <f t="shared" ref="WD4:WD13" si="246">IF(VO4&gt;0,VO4,"")</f>
        <v/>
      </c>
      <c r="WE4" s="36" t="str">
        <f t="shared" ref="WE4:WE13" si="247">IF(VP4&gt;0,VP4,"")</f>
        <v/>
      </c>
      <c r="WF4" s="36" t="str">
        <f t="shared" ref="WF4:WF13" si="248">IF(SUM(VM4:VP4)-VQ4&gt;0,SUM(VM4:VP4)-VQ4,"")</f>
        <v/>
      </c>
      <c r="WG4" s="36" t="str">
        <f t="shared" ref="WG4:WG13" si="249">IF(VT4&gt;0,VT4,"")</f>
        <v/>
      </c>
      <c r="WH4" s="36" t="str">
        <f t="shared" ref="WH4:WH13" si="250">IF(VU4&gt;0,VU4,"")</f>
        <v/>
      </c>
      <c r="WI4" s="36" t="str">
        <f t="shared" ref="WI4:WI13" si="251">IF(SUM(VR4:VU4)-VV4&gt;0,SUM(VR4:VU4)-VV4,"")</f>
        <v/>
      </c>
      <c r="WJ4" s="36" t="str">
        <f t="shared" ref="WJ4:WJ13" si="252">IF(SUM(WC4,WF4,WI4)&gt;0,SUM(WC4,WF4,WI4),"")</f>
        <v/>
      </c>
    </row>
    <row r="5" spans="1:608" x14ac:dyDescent="0.2">
      <c r="A5" s="4" t="str" cm="1">
        <f t="array" ref="A5">IF(AND(H5&lt;&gt;"",H5&lt;&gt;"No DD",I5&lt;&gt;"P"),SUMPRODUCT((H$4:H$14&lt;&gt;"")*(H$4:H$14&lt;&gt;"No DD")*(I$4:I$14&lt;&gt;"P")*(E$4:E$14&gt;E5))+1,IF(H5="No DD",SUMPRODUCT((H$4:H$14="No DD")*(I$4:I$14&lt;&gt;"P")*(E$4:E$14&gt;E5))+1+SUMPRODUCT((H$4:H$14&lt;&gt;"")*(I$4:I$14&lt;&gt;"P")*(H$4:H$14&lt;&gt;"No DD")),""))</f>
        <v/>
      </c>
      <c r="B5" s="5" t="s">
        <v>85</v>
      </c>
      <c r="C5" s="4" t="s">
        <v>3</v>
      </c>
      <c r="D5" s="4">
        <v>2006</v>
      </c>
      <c r="E5" s="9">
        <f t="shared" si="0"/>
        <v>102.0700102070052</v>
      </c>
      <c r="F5" s="3" t="str">
        <f t="shared" si="1"/>
        <v>P</v>
      </c>
      <c r="G5" s="3" t="str">
        <f t="shared" si="2"/>
        <v>P</v>
      </c>
      <c r="H5" s="32" t="str">
        <f t="shared" si="3"/>
        <v>National Team</v>
      </c>
      <c r="I5" s="3" t="str">
        <f>IF(COUNTIFS('Senior-W'!B:B,B5,'Senior-W'!A:A,"&lt;9",'Senior-W'!H:H,"&lt;&gt;"&amp;"No DD"),"P","")</f>
        <v>P</v>
      </c>
      <c r="J5" s="8">
        <f t="shared" si="4"/>
        <v>51.89</v>
      </c>
      <c r="K5" s="8" t="str">
        <f t="shared" si="5"/>
        <v>2025 3rd Domestic Trial</v>
      </c>
      <c r="L5" s="8">
        <f>IFERROR(LARGE((AI5,AL5,AP5,BJ5,BM5,BQ5,CK5,CN5,CR5),2),0)</f>
        <v>50.180000000000007</v>
      </c>
      <c r="M5" s="8" t="str">
        <f t="shared" si="6"/>
        <v>2025 Nationals</v>
      </c>
      <c r="N5" s="8">
        <f t="shared" si="7"/>
        <v>0</v>
      </c>
      <c r="O5" s="11" t="str">
        <f>IF(N5=0,"",IF(N5=CT5,"("&amp;CT$2&amp;")",IF(N5=#REF!,"("&amp;#REF!&amp;")")))</f>
        <v/>
      </c>
      <c r="P5" s="8" t="str">
        <f t="shared" si="8"/>
        <v/>
      </c>
      <c r="Q5" s="18">
        <v>14.4</v>
      </c>
      <c r="R5" s="18">
        <v>9.3000000000000007</v>
      </c>
      <c r="S5" s="18">
        <v>12.7</v>
      </c>
      <c r="T5" s="18">
        <v>13.78</v>
      </c>
      <c r="U5" s="18">
        <v>0</v>
      </c>
      <c r="V5" s="18">
        <v>2.9</v>
      </c>
      <c r="W5" s="18">
        <v>1.8</v>
      </c>
      <c r="X5" s="18">
        <v>3</v>
      </c>
      <c r="Y5" s="18">
        <v>3</v>
      </c>
      <c r="Z5" s="18">
        <v>0</v>
      </c>
      <c r="AA5" s="18">
        <v>12.8</v>
      </c>
      <c r="AB5" s="18">
        <v>9.1999999999999993</v>
      </c>
      <c r="AC5" s="18">
        <v>12.5</v>
      </c>
      <c r="AD5" s="18">
        <v>14.4</v>
      </c>
      <c r="AE5" s="18">
        <v>0.2</v>
      </c>
      <c r="AF5" s="23"/>
      <c r="AG5" s="34">
        <f t="shared" si="9"/>
        <v>12.7</v>
      </c>
      <c r="AH5" s="34">
        <f t="shared" si="10"/>
        <v>13.78</v>
      </c>
      <c r="AI5" s="36">
        <f t="shared" si="11"/>
        <v>50.180000000000007</v>
      </c>
      <c r="AJ5" s="36">
        <f t="shared" si="12"/>
        <v>3</v>
      </c>
      <c r="AK5" s="36">
        <f t="shared" si="13"/>
        <v>3</v>
      </c>
      <c r="AL5" s="36">
        <f t="shared" si="14"/>
        <v>10.7</v>
      </c>
      <c r="AM5" s="36">
        <f t="shared" si="15"/>
        <v>50.180000000000007</v>
      </c>
      <c r="AN5" s="36">
        <f t="shared" si="16"/>
        <v>12.5</v>
      </c>
      <c r="AO5" s="36">
        <f t="shared" si="17"/>
        <v>14.4</v>
      </c>
      <c r="AP5" s="36">
        <f t="shared" si="18"/>
        <v>48.699999999999996</v>
      </c>
      <c r="AQ5" s="36">
        <f t="shared" si="19"/>
        <v>98.88</v>
      </c>
      <c r="AR5" s="22">
        <v>11.9</v>
      </c>
      <c r="AS5" s="22">
        <v>9.1</v>
      </c>
      <c r="AT5" s="22">
        <v>13.8</v>
      </c>
      <c r="AU5" s="22">
        <v>14.77</v>
      </c>
      <c r="AV5" s="22">
        <v>0</v>
      </c>
      <c r="AW5" s="22">
        <v>6.1</v>
      </c>
      <c r="AX5" s="22">
        <v>4.5999999999999996</v>
      </c>
      <c r="AY5" s="22">
        <v>7.1</v>
      </c>
      <c r="AZ5" s="22">
        <v>6.38</v>
      </c>
      <c r="BA5" s="22">
        <v>0</v>
      </c>
      <c r="BB5" s="22">
        <v>13.8</v>
      </c>
      <c r="BC5" s="22">
        <v>9.4</v>
      </c>
      <c r="BD5" s="22">
        <v>13.8</v>
      </c>
      <c r="BE5" s="22">
        <v>14.89</v>
      </c>
      <c r="BF5" s="22">
        <v>0</v>
      </c>
      <c r="BG5" s="24"/>
      <c r="BH5" s="35">
        <f t="shared" si="20"/>
        <v>13.8</v>
      </c>
      <c r="BI5" s="35">
        <f t="shared" si="21"/>
        <v>14.77</v>
      </c>
      <c r="BJ5" s="11">
        <f t="shared" si="22"/>
        <v>49.569999999999993</v>
      </c>
      <c r="BK5" s="11">
        <f t="shared" si="23"/>
        <v>7.1</v>
      </c>
      <c r="BL5" s="11">
        <f t="shared" si="24"/>
        <v>6.38</v>
      </c>
      <c r="BM5" s="11">
        <f t="shared" si="25"/>
        <v>24.179999999999996</v>
      </c>
      <c r="BN5" s="11">
        <f t="shared" si="26"/>
        <v>49.569999999999993</v>
      </c>
      <c r="BO5" s="11">
        <f t="shared" si="27"/>
        <v>13.8</v>
      </c>
      <c r="BP5" s="11">
        <f t="shared" si="28"/>
        <v>14.89</v>
      </c>
      <c r="BQ5" s="11">
        <f t="shared" si="29"/>
        <v>51.89</v>
      </c>
      <c r="BR5" s="11">
        <f t="shared" si="30"/>
        <v>101.46</v>
      </c>
      <c r="BS5" s="18">
        <v>11.4</v>
      </c>
      <c r="BT5" s="18">
        <v>8.5</v>
      </c>
      <c r="BU5" s="18">
        <v>13.2</v>
      </c>
      <c r="BV5" s="18">
        <v>13.43</v>
      </c>
      <c r="BW5" s="18">
        <v>0</v>
      </c>
      <c r="BX5" s="18">
        <v>4.7</v>
      </c>
      <c r="BY5" s="18">
        <v>3.3</v>
      </c>
      <c r="BZ5" s="18">
        <v>5.0999999999999996</v>
      </c>
      <c r="CA5" s="18">
        <v>5.63</v>
      </c>
      <c r="CB5" s="18">
        <v>0</v>
      </c>
      <c r="CC5" s="18">
        <v>13.2</v>
      </c>
      <c r="CD5" s="18">
        <v>9.5</v>
      </c>
      <c r="CE5" s="18">
        <v>12.9</v>
      </c>
      <c r="CF5" s="18">
        <v>13.76</v>
      </c>
      <c r="CG5" s="18">
        <v>0</v>
      </c>
      <c r="CH5" s="23"/>
      <c r="CI5" s="34">
        <f t="shared" si="31"/>
        <v>13.2</v>
      </c>
      <c r="CJ5" s="34">
        <f t="shared" si="32"/>
        <v>13.43</v>
      </c>
      <c r="CK5" s="36">
        <f t="shared" si="33"/>
        <v>46.529999999999994</v>
      </c>
      <c r="CL5" s="36">
        <f t="shared" si="34"/>
        <v>5.0999999999999996</v>
      </c>
      <c r="CM5" s="36">
        <f t="shared" si="35"/>
        <v>5.63</v>
      </c>
      <c r="CN5" s="36">
        <f t="shared" si="36"/>
        <v>18.73</v>
      </c>
      <c r="CO5" s="36">
        <f t="shared" si="37"/>
        <v>46.529999999999994</v>
      </c>
      <c r="CP5" s="36">
        <f t="shared" si="38"/>
        <v>12.9</v>
      </c>
      <c r="CQ5" s="36">
        <f t="shared" si="39"/>
        <v>13.76</v>
      </c>
      <c r="CR5" s="36">
        <f t="shared" si="40"/>
        <v>49.36</v>
      </c>
      <c r="CS5" s="36">
        <f t="shared" si="41"/>
        <v>95.889999999999986</v>
      </c>
      <c r="CT5" s="47" t="str">
        <f t="shared" si="42"/>
        <v/>
      </c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36" t="str">
        <f t="shared" si="43"/>
        <v/>
      </c>
      <c r="DP5" s="36" t="str">
        <f t="shared" si="44"/>
        <v/>
      </c>
      <c r="DQ5" s="36" t="str">
        <f t="shared" si="45"/>
        <v/>
      </c>
      <c r="DR5" s="36" t="str">
        <f t="shared" si="46"/>
        <v/>
      </c>
      <c r="DS5" s="36" t="str">
        <f t="shared" si="47"/>
        <v/>
      </c>
      <c r="DT5" s="36" t="str">
        <f t="shared" si="48"/>
        <v/>
      </c>
      <c r="DU5" s="36" t="str">
        <f t="shared" si="49"/>
        <v/>
      </c>
      <c r="DV5" s="36" t="str">
        <f t="shared" si="50"/>
        <v/>
      </c>
      <c r="DW5" s="36" t="str">
        <f t="shared" si="51"/>
        <v/>
      </c>
      <c r="DX5" s="36" t="str">
        <f t="shared" si="52"/>
        <v/>
      </c>
      <c r="DY5" s="36" t="str">
        <f t="shared" si="53"/>
        <v/>
      </c>
      <c r="DZ5" s="36" t="str">
        <f t="shared" si="54"/>
        <v/>
      </c>
      <c r="EA5" s="36" t="str">
        <f t="shared" si="55"/>
        <v/>
      </c>
      <c r="EB5" s="36" t="str">
        <f t="shared" si="56"/>
        <v/>
      </c>
      <c r="EC5" s="16">
        <v>13.7</v>
      </c>
      <c r="ED5" s="16">
        <v>9</v>
      </c>
      <c r="EE5" s="16">
        <v>12.7</v>
      </c>
      <c r="EF5" s="16">
        <v>13.87</v>
      </c>
      <c r="EG5" s="16">
        <v>0</v>
      </c>
      <c r="EH5" s="16">
        <v>11.7</v>
      </c>
      <c r="EI5" s="16">
        <v>7.2</v>
      </c>
      <c r="EJ5" s="16">
        <v>8.3000000000000007</v>
      </c>
      <c r="EK5" s="16">
        <v>11.08</v>
      </c>
      <c r="EL5" s="16">
        <v>0.2</v>
      </c>
      <c r="EM5" s="16">
        <v>13.3</v>
      </c>
      <c r="EN5" s="16">
        <v>9.1</v>
      </c>
      <c r="EO5" s="16">
        <v>12.7</v>
      </c>
      <c r="EP5" s="16">
        <v>13.85</v>
      </c>
      <c r="EQ5" s="16">
        <v>0</v>
      </c>
      <c r="ER5" s="16"/>
      <c r="ES5" s="16"/>
      <c r="ET5" s="16"/>
      <c r="EU5" s="16"/>
      <c r="EV5" s="16"/>
      <c r="EW5" s="11">
        <f t="shared" si="57"/>
        <v>12.7</v>
      </c>
      <c r="EX5" s="11">
        <f t="shared" si="58"/>
        <v>13.87</v>
      </c>
      <c r="EY5" s="11">
        <f t="shared" si="59"/>
        <v>49.269999999999996</v>
      </c>
      <c r="EZ5" s="11">
        <f t="shared" si="60"/>
        <v>8.3000000000000007</v>
      </c>
      <c r="FA5" s="11">
        <f t="shared" si="61"/>
        <v>11.08</v>
      </c>
      <c r="FB5" s="11">
        <f t="shared" si="62"/>
        <v>38.08</v>
      </c>
      <c r="FC5" s="11">
        <f t="shared" si="63"/>
        <v>49.269999999999996</v>
      </c>
      <c r="FD5" s="11">
        <f t="shared" si="64"/>
        <v>12.7</v>
      </c>
      <c r="FE5" s="11">
        <f t="shared" si="65"/>
        <v>13.85</v>
      </c>
      <c r="FF5" s="11">
        <f t="shared" si="66"/>
        <v>48.949999999999996</v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>
        <f t="shared" si="70"/>
        <v>98.22</v>
      </c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36" t="str">
        <f t="shared" si="71"/>
        <v/>
      </c>
      <c r="GF5" s="36" t="str">
        <f t="shared" si="72"/>
        <v/>
      </c>
      <c r="GG5" s="36" t="str">
        <f t="shared" si="73"/>
        <v/>
      </c>
      <c r="GH5" s="36" t="str">
        <f t="shared" si="74"/>
        <v/>
      </c>
      <c r="GI5" s="36" t="str">
        <f t="shared" si="75"/>
        <v/>
      </c>
      <c r="GJ5" s="36" t="str">
        <f t="shared" si="76"/>
        <v/>
      </c>
      <c r="GK5" s="36" t="str">
        <f t="shared" si="77"/>
        <v/>
      </c>
      <c r="GL5" s="36" t="str">
        <f t="shared" si="78"/>
        <v/>
      </c>
      <c r="GM5" s="36" t="str">
        <f t="shared" si="79"/>
        <v/>
      </c>
      <c r="GN5" s="36" t="str">
        <f t="shared" si="80"/>
        <v/>
      </c>
      <c r="GO5" s="36" t="str">
        <f t="shared" si="81"/>
        <v/>
      </c>
      <c r="GP5" s="36" t="str">
        <f t="shared" si="82"/>
        <v/>
      </c>
      <c r="GQ5" s="36" t="str">
        <f t="shared" si="83"/>
        <v/>
      </c>
      <c r="GR5" s="36" t="str">
        <f t="shared" si="84"/>
        <v/>
      </c>
      <c r="GS5" s="16">
        <v>15.3</v>
      </c>
      <c r="GT5" s="16">
        <v>8.9</v>
      </c>
      <c r="GU5" s="16">
        <v>2.8</v>
      </c>
      <c r="GV5" s="16">
        <v>14.8</v>
      </c>
      <c r="GW5" s="16">
        <v>0</v>
      </c>
      <c r="GX5" s="16">
        <v>12.1</v>
      </c>
      <c r="GY5" s="16">
        <v>9.4</v>
      </c>
      <c r="GZ5" s="16">
        <v>13.8</v>
      </c>
      <c r="HA5" s="16">
        <v>13.68</v>
      </c>
      <c r="HB5" s="16">
        <v>0</v>
      </c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1">
        <f t="shared" si="85"/>
        <v>2.8</v>
      </c>
      <c r="HN5" s="11">
        <f t="shared" si="86"/>
        <v>14.8</v>
      </c>
      <c r="HO5" s="11">
        <f t="shared" si="87"/>
        <v>41.800000000000004</v>
      </c>
      <c r="HP5" s="11">
        <f t="shared" si="88"/>
        <v>13.8</v>
      </c>
      <c r="HQ5" s="11">
        <f t="shared" si="89"/>
        <v>13.68</v>
      </c>
      <c r="HR5" s="11">
        <f t="shared" si="90"/>
        <v>48.98</v>
      </c>
      <c r="HS5" s="11">
        <f t="shared" si="91"/>
        <v>48.98</v>
      </c>
      <c r="HT5" s="11" t="str">
        <f t="shared" si="92"/>
        <v/>
      </c>
      <c r="HU5" s="11" t="str">
        <f t="shared" si="93"/>
        <v/>
      </c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>
        <f t="shared" si="98"/>
        <v>48.98</v>
      </c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36" t="str">
        <f t="shared" si="99"/>
        <v/>
      </c>
      <c r="IV5" s="36" t="str">
        <f t="shared" si="100"/>
        <v/>
      </c>
      <c r="IW5" s="36" t="str">
        <f t="shared" si="101"/>
        <v/>
      </c>
      <c r="IX5" s="36" t="str">
        <f t="shared" si="102"/>
        <v/>
      </c>
      <c r="IY5" s="36" t="str">
        <f t="shared" si="103"/>
        <v/>
      </c>
      <c r="IZ5" s="36" t="str">
        <f t="shared" si="104"/>
        <v/>
      </c>
      <c r="JA5" s="36" t="str">
        <f t="shared" si="105"/>
        <v/>
      </c>
      <c r="JB5" s="36" t="str">
        <f t="shared" si="106"/>
        <v/>
      </c>
      <c r="JC5" s="36" t="str">
        <f t="shared" si="107"/>
        <v/>
      </c>
      <c r="JD5" s="36" t="str">
        <f t="shared" si="108"/>
        <v/>
      </c>
      <c r="JE5" s="36" t="str">
        <f t="shared" si="109"/>
        <v/>
      </c>
      <c r="JF5" s="36" t="str">
        <f t="shared" si="110"/>
        <v/>
      </c>
      <c r="JG5" s="36" t="str">
        <f t="shared" si="111"/>
        <v/>
      </c>
      <c r="JH5" s="36" t="str">
        <f t="shared" si="112"/>
        <v/>
      </c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1" t="str">
        <f t="shared" si="113"/>
        <v/>
      </c>
      <c r="KD5" s="11" t="str">
        <f t="shared" si="114"/>
        <v/>
      </c>
      <c r="KE5" s="11" t="str">
        <f t="shared" si="115"/>
        <v/>
      </c>
      <c r="KF5" s="11" t="str">
        <f t="shared" si="116"/>
        <v/>
      </c>
      <c r="KG5" s="11" t="str">
        <f t="shared" si="117"/>
        <v/>
      </c>
      <c r="KH5" s="11" t="str">
        <f t="shared" si="118"/>
        <v/>
      </c>
      <c r="KI5" s="11" t="str">
        <f t="shared" si="119"/>
        <v/>
      </c>
      <c r="KJ5" s="11" t="str">
        <f t="shared" si="120"/>
        <v/>
      </c>
      <c r="KK5" s="11" t="str">
        <f t="shared" si="121"/>
        <v/>
      </c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36" t="str">
        <f t="shared" si="127"/>
        <v/>
      </c>
      <c r="LL5" s="36" t="str">
        <f t="shared" si="128"/>
        <v/>
      </c>
      <c r="LM5" s="36" t="str">
        <f t="shared" si="129"/>
        <v/>
      </c>
      <c r="LN5" s="36" t="str">
        <f t="shared" si="130"/>
        <v/>
      </c>
      <c r="LO5" s="36" t="str">
        <f t="shared" si="131"/>
        <v/>
      </c>
      <c r="LP5" s="36" t="str">
        <f t="shared" si="132"/>
        <v/>
      </c>
      <c r="LQ5" s="36" t="str">
        <f t="shared" si="133"/>
        <v/>
      </c>
      <c r="LR5" s="36" t="str">
        <f t="shared" si="134"/>
        <v/>
      </c>
      <c r="LS5" s="36" t="str">
        <f t="shared" si="135"/>
        <v/>
      </c>
      <c r="LT5" s="36" t="str">
        <f t="shared" si="136"/>
        <v/>
      </c>
      <c r="LU5" s="36" t="str">
        <f t="shared" si="137"/>
        <v/>
      </c>
      <c r="LV5" s="36" t="str">
        <f t="shared" si="138"/>
        <v/>
      </c>
      <c r="LW5" s="36" t="str">
        <f t="shared" si="139"/>
        <v/>
      </c>
      <c r="LX5" s="36" t="str">
        <f t="shared" si="140"/>
        <v/>
      </c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1" t="str">
        <f t="shared" si="141"/>
        <v/>
      </c>
      <c r="MT5" s="11" t="str">
        <f t="shared" si="142"/>
        <v/>
      </c>
      <c r="MU5" s="11" t="str">
        <f t="shared" si="143"/>
        <v/>
      </c>
      <c r="MV5" s="11" t="str">
        <f t="shared" si="144"/>
        <v/>
      </c>
      <c r="MW5" s="11" t="str">
        <f t="shared" si="145"/>
        <v/>
      </c>
      <c r="MX5" s="11" t="str">
        <f t="shared" si="146"/>
        <v/>
      </c>
      <c r="MY5" s="11" t="str">
        <f t="shared" si="147"/>
        <v/>
      </c>
      <c r="MZ5" s="11" t="str">
        <f t="shared" si="148"/>
        <v/>
      </c>
      <c r="NA5" s="11" t="str">
        <f t="shared" si="149"/>
        <v/>
      </c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36" t="str">
        <f t="shared" si="155"/>
        <v/>
      </c>
      <c r="OB5" s="36" t="str">
        <f t="shared" si="156"/>
        <v/>
      </c>
      <c r="OC5" s="36" t="str">
        <f t="shared" si="157"/>
        <v/>
      </c>
      <c r="OD5" s="36" t="str">
        <f t="shared" si="158"/>
        <v/>
      </c>
      <c r="OE5" s="36" t="str">
        <f t="shared" si="159"/>
        <v/>
      </c>
      <c r="OF5" s="36" t="str">
        <f t="shared" si="160"/>
        <v/>
      </c>
      <c r="OG5" s="36" t="str">
        <f t="shared" si="161"/>
        <v/>
      </c>
      <c r="OH5" s="36" t="str">
        <f t="shared" si="162"/>
        <v/>
      </c>
      <c r="OI5" s="36" t="str">
        <f t="shared" si="163"/>
        <v/>
      </c>
      <c r="OJ5" s="36" t="str">
        <f t="shared" si="164"/>
        <v/>
      </c>
      <c r="OK5" s="36" t="str">
        <f t="shared" si="165"/>
        <v/>
      </c>
      <c r="OL5" s="36" t="str">
        <f t="shared" si="166"/>
        <v/>
      </c>
      <c r="OM5" s="36" t="str">
        <f t="shared" si="167"/>
        <v/>
      </c>
      <c r="ON5" s="36" t="str">
        <f t="shared" si="168"/>
        <v/>
      </c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1" t="str">
        <f t="shared" si="169"/>
        <v/>
      </c>
      <c r="PJ5" s="11" t="str">
        <f t="shared" si="170"/>
        <v/>
      </c>
      <c r="PK5" s="11" t="str">
        <f t="shared" si="171"/>
        <v/>
      </c>
      <c r="PL5" s="11" t="str">
        <f t="shared" si="172"/>
        <v/>
      </c>
      <c r="PM5" s="11" t="str">
        <f t="shared" si="173"/>
        <v/>
      </c>
      <c r="PN5" s="11" t="str">
        <f t="shared" si="174"/>
        <v/>
      </c>
      <c r="PO5" s="11" t="str">
        <f t="shared" si="175"/>
        <v/>
      </c>
      <c r="PP5" s="11" t="str">
        <f t="shared" si="176"/>
        <v/>
      </c>
      <c r="PQ5" s="11" t="str">
        <f t="shared" si="177"/>
        <v/>
      </c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36" t="str">
        <f t="shared" si="183"/>
        <v/>
      </c>
      <c r="QR5" s="36" t="str">
        <f t="shared" si="184"/>
        <v/>
      </c>
      <c r="QS5" s="36" t="str">
        <f t="shared" si="185"/>
        <v/>
      </c>
      <c r="QT5" s="36" t="str">
        <f t="shared" si="186"/>
        <v/>
      </c>
      <c r="QU5" s="36" t="str">
        <f t="shared" si="187"/>
        <v/>
      </c>
      <c r="QV5" s="36" t="str">
        <f t="shared" si="188"/>
        <v/>
      </c>
      <c r="QW5" s="36" t="str">
        <f t="shared" si="189"/>
        <v/>
      </c>
      <c r="QX5" s="36" t="str">
        <f t="shared" si="190"/>
        <v/>
      </c>
      <c r="QY5" s="36" t="str">
        <f t="shared" si="191"/>
        <v/>
      </c>
      <c r="QZ5" s="36" t="str">
        <f t="shared" si="192"/>
        <v/>
      </c>
      <c r="RA5" s="36" t="str">
        <f t="shared" si="193"/>
        <v/>
      </c>
      <c r="RB5" s="36" t="str">
        <f t="shared" si="194"/>
        <v/>
      </c>
      <c r="RC5" s="36" t="str">
        <f t="shared" si="195"/>
        <v/>
      </c>
      <c r="RD5" s="36" t="str">
        <f t="shared" si="196"/>
        <v/>
      </c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1" t="str">
        <f t="shared" si="197"/>
        <v/>
      </c>
      <c r="RZ5" s="11" t="str">
        <f t="shared" si="198"/>
        <v/>
      </c>
      <c r="SA5" s="11" t="str">
        <f t="shared" si="199"/>
        <v/>
      </c>
      <c r="SB5" s="11" t="str">
        <f t="shared" si="200"/>
        <v/>
      </c>
      <c r="SC5" s="11" t="str">
        <f t="shared" si="201"/>
        <v/>
      </c>
      <c r="SD5" s="11" t="str">
        <f t="shared" si="202"/>
        <v/>
      </c>
      <c r="SE5" s="11" t="str">
        <f t="shared" si="203"/>
        <v/>
      </c>
      <c r="SF5" s="11" t="str">
        <f t="shared" si="204"/>
        <v/>
      </c>
      <c r="SG5" s="11" t="str">
        <f t="shared" si="205"/>
        <v/>
      </c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36" t="str">
        <f t="shared" si="211"/>
        <v/>
      </c>
      <c r="TH5" s="36" t="str">
        <f t="shared" si="212"/>
        <v/>
      </c>
      <c r="TI5" s="36" t="str">
        <f t="shared" si="213"/>
        <v/>
      </c>
      <c r="TJ5" s="36" t="str">
        <f t="shared" si="214"/>
        <v/>
      </c>
      <c r="TK5" s="36" t="str">
        <f t="shared" si="215"/>
        <v/>
      </c>
      <c r="TL5" s="36" t="str">
        <f t="shared" si="216"/>
        <v/>
      </c>
      <c r="TM5" s="36" t="str">
        <f t="shared" si="217"/>
        <v/>
      </c>
      <c r="TN5" s="36" t="str">
        <f t="shared" si="218"/>
        <v/>
      </c>
      <c r="TO5" s="36" t="str">
        <f t="shared" si="219"/>
        <v/>
      </c>
      <c r="TP5" s="36" t="str">
        <f t="shared" si="220"/>
        <v/>
      </c>
      <c r="TQ5" s="36" t="str">
        <f t="shared" si="221"/>
        <v/>
      </c>
      <c r="TR5" s="36" t="str">
        <f t="shared" si="222"/>
        <v/>
      </c>
      <c r="TS5" s="36" t="str">
        <f t="shared" si="223"/>
        <v/>
      </c>
      <c r="TT5" s="36" t="str">
        <f t="shared" si="224"/>
        <v/>
      </c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1" t="str">
        <f t="shared" si="225"/>
        <v/>
      </c>
      <c r="UP5" s="11" t="str">
        <f t="shared" si="226"/>
        <v/>
      </c>
      <c r="UQ5" s="11" t="str">
        <f t="shared" si="227"/>
        <v/>
      </c>
      <c r="UR5" s="11" t="str">
        <f t="shared" si="228"/>
        <v/>
      </c>
      <c r="US5" s="11" t="str">
        <f t="shared" si="229"/>
        <v/>
      </c>
      <c r="UT5" s="11" t="str">
        <f t="shared" si="230"/>
        <v/>
      </c>
      <c r="UU5" s="11" t="str">
        <f t="shared" si="231"/>
        <v/>
      </c>
      <c r="UV5" s="11" t="str">
        <f t="shared" si="232"/>
        <v/>
      </c>
      <c r="UW5" s="11" t="str">
        <f t="shared" si="233"/>
        <v/>
      </c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36" t="str">
        <f t="shared" si="239"/>
        <v/>
      </c>
      <c r="VX5" s="36" t="str">
        <f t="shared" si="240"/>
        <v/>
      </c>
      <c r="VY5" s="36" t="str">
        <f t="shared" si="241"/>
        <v/>
      </c>
      <c r="VZ5" s="36" t="str">
        <f t="shared" si="242"/>
        <v/>
      </c>
      <c r="WA5" s="36" t="str">
        <f t="shared" si="243"/>
        <v/>
      </c>
      <c r="WB5" s="36" t="str">
        <f t="shared" si="244"/>
        <v/>
      </c>
      <c r="WC5" s="36" t="str">
        <f t="shared" si="245"/>
        <v/>
      </c>
      <c r="WD5" s="36" t="str">
        <f t="shared" si="246"/>
        <v/>
      </c>
      <c r="WE5" s="36" t="str">
        <f t="shared" si="247"/>
        <v/>
      </c>
      <c r="WF5" s="36" t="str">
        <f t="shared" si="248"/>
        <v/>
      </c>
      <c r="WG5" s="36" t="str">
        <f t="shared" si="249"/>
        <v/>
      </c>
      <c r="WH5" s="36" t="str">
        <f t="shared" si="250"/>
        <v/>
      </c>
      <c r="WI5" s="36" t="str">
        <f t="shared" si="251"/>
        <v/>
      </c>
      <c r="WJ5" s="36" t="str">
        <f t="shared" si="252"/>
        <v/>
      </c>
    </row>
    <row r="6" spans="1:608" x14ac:dyDescent="0.2">
      <c r="A6" s="4" cm="1">
        <f t="array" ref="A6">IF(AND(H6&lt;&gt;"",H6&lt;&gt;"No DD",I6&lt;&gt;"P"),SUMPRODUCT((H$4:H$14&lt;&gt;"")*(H$4:H$14&lt;&gt;"No DD")*(I$4:I$14&lt;&gt;"P")*(E$4:E$14&gt;E6))+1,IF(H6="No DD",SUMPRODUCT((H$4:H$14="No DD")*(I$4:I$14&lt;&gt;"P")*(E$4:E$14&gt;E6))+1+SUMPRODUCT((H$4:H$14&lt;&gt;"")*(I$4:I$14&lt;&gt;"P")*(H$4:H$14&lt;&gt;"No DD")),""))</f>
        <v>1</v>
      </c>
      <c r="B6" s="5" t="s">
        <v>199</v>
      </c>
      <c r="C6" s="4" t="s">
        <v>7</v>
      </c>
      <c r="D6" s="4">
        <v>2009</v>
      </c>
      <c r="E6" s="9">
        <f t="shared" si="0"/>
        <v>101.04001010400509</v>
      </c>
      <c r="F6" s="3" t="str">
        <f t="shared" si="1"/>
        <v>P</v>
      </c>
      <c r="G6" s="3" t="str">
        <f t="shared" si="2"/>
        <v>P</v>
      </c>
      <c r="H6" s="32" t="str">
        <f t="shared" si="3"/>
        <v>National Team</v>
      </c>
      <c r="I6" s="3" t="str">
        <f>IF(COUNTIFS('Senior-W'!B:B,B6,'Senior-W'!A:A,"&lt;9",'Senior-W'!H:H,"&lt;&gt;"&amp;"No DD"),"P","")</f>
        <v/>
      </c>
      <c r="J6" s="8">
        <f t="shared" si="4"/>
        <v>50.95</v>
      </c>
      <c r="K6" s="8" t="str">
        <f t="shared" si="5"/>
        <v>2025 Nationals</v>
      </c>
      <c r="L6" s="8">
        <f>IFERROR(LARGE((AI6,AL6,AP6,BJ6,BM6,BQ6,CK6,CN6,CR6),2),0)</f>
        <v>50.089999999999996</v>
      </c>
      <c r="M6" s="8" t="str">
        <f t="shared" si="6"/>
        <v>2026 Elite Canada</v>
      </c>
      <c r="N6" s="8">
        <f t="shared" si="7"/>
        <v>0</v>
      </c>
      <c r="O6" s="11" t="str">
        <f>IF(N6=0,"",IF(N6=CT6,"("&amp;CT$2&amp;")",IF(N6=#REF!,"("&amp;#REF!&amp;")")))</f>
        <v/>
      </c>
      <c r="P6" s="8" t="str">
        <f t="shared" si="8"/>
        <v/>
      </c>
      <c r="Q6" s="18">
        <v>18.3</v>
      </c>
      <c r="R6" s="18">
        <v>9.6</v>
      </c>
      <c r="S6" s="18">
        <v>0</v>
      </c>
      <c r="T6" s="18">
        <v>14.94</v>
      </c>
      <c r="U6" s="18">
        <v>0</v>
      </c>
      <c r="V6" s="18">
        <v>7.3</v>
      </c>
      <c r="W6" s="18">
        <v>5.3</v>
      </c>
      <c r="X6" s="18">
        <v>7.2</v>
      </c>
      <c r="Y6" s="18">
        <v>8.5299999999999994</v>
      </c>
      <c r="Z6" s="18">
        <v>0</v>
      </c>
      <c r="AA6" s="18">
        <v>14.4</v>
      </c>
      <c r="AB6" s="18">
        <v>9.1999999999999993</v>
      </c>
      <c r="AC6" s="18">
        <v>13.1</v>
      </c>
      <c r="AD6" s="18">
        <v>14.25</v>
      </c>
      <c r="AE6" s="18">
        <v>0</v>
      </c>
      <c r="AF6" s="23"/>
      <c r="AG6" s="34" t="str">
        <f t="shared" si="9"/>
        <v/>
      </c>
      <c r="AH6" s="34">
        <f t="shared" si="10"/>
        <v>14.94</v>
      </c>
      <c r="AI6" s="36">
        <f t="shared" si="11"/>
        <v>42.839999999999996</v>
      </c>
      <c r="AJ6" s="36">
        <f t="shared" si="12"/>
        <v>7.2</v>
      </c>
      <c r="AK6" s="36">
        <f t="shared" si="13"/>
        <v>8.5299999999999994</v>
      </c>
      <c r="AL6" s="36">
        <f t="shared" si="14"/>
        <v>28.33</v>
      </c>
      <c r="AM6" s="36">
        <f t="shared" si="15"/>
        <v>42.839999999999996</v>
      </c>
      <c r="AN6" s="36">
        <f t="shared" si="16"/>
        <v>13.1</v>
      </c>
      <c r="AO6" s="36">
        <f t="shared" si="17"/>
        <v>14.25</v>
      </c>
      <c r="AP6" s="36">
        <f t="shared" si="18"/>
        <v>50.95</v>
      </c>
      <c r="AQ6" s="36">
        <f t="shared" si="19"/>
        <v>93.789999999999992</v>
      </c>
      <c r="AR6" s="22">
        <v>16.7</v>
      </c>
      <c r="AS6" s="22">
        <v>9.6999999999999993</v>
      </c>
      <c r="AT6" s="22">
        <v>0</v>
      </c>
      <c r="AU6" s="22">
        <v>15.34</v>
      </c>
      <c r="AV6" s="22">
        <v>0</v>
      </c>
      <c r="AW6" s="22">
        <v>1.4</v>
      </c>
      <c r="AX6" s="22">
        <v>0.8</v>
      </c>
      <c r="AY6" s="22">
        <v>2</v>
      </c>
      <c r="AZ6" s="22">
        <v>1.59</v>
      </c>
      <c r="BA6" s="22">
        <v>0.2</v>
      </c>
      <c r="BB6" s="22">
        <v>7</v>
      </c>
      <c r="BC6" s="22">
        <v>4.5999999999999996</v>
      </c>
      <c r="BD6" s="22">
        <v>6.9</v>
      </c>
      <c r="BE6" s="22">
        <v>7.31</v>
      </c>
      <c r="BF6" s="22">
        <v>0</v>
      </c>
      <c r="BG6" s="24"/>
      <c r="BH6" s="35" t="str">
        <f t="shared" si="20"/>
        <v/>
      </c>
      <c r="BI6" s="35">
        <f t="shared" si="21"/>
        <v>15.34</v>
      </c>
      <c r="BJ6" s="11">
        <f t="shared" si="22"/>
        <v>41.739999999999995</v>
      </c>
      <c r="BK6" s="11">
        <f t="shared" si="23"/>
        <v>2</v>
      </c>
      <c r="BL6" s="11">
        <f t="shared" si="24"/>
        <v>1.59</v>
      </c>
      <c r="BM6" s="11">
        <f t="shared" si="25"/>
        <v>5.59</v>
      </c>
      <c r="BN6" s="11">
        <f t="shared" si="26"/>
        <v>41.739999999999995</v>
      </c>
      <c r="BO6" s="11">
        <f t="shared" si="27"/>
        <v>6.9</v>
      </c>
      <c r="BP6" s="11">
        <f t="shared" si="28"/>
        <v>7.31</v>
      </c>
      <c r="BQ6" s="11">
        <f t="shared" si="29"/>
        <v>25.81</v>
      </c>
      <c r="BR6" s="11">
        <f t="shared" si="30"/>
        <v>67.55</v>
      </c>
      <c r="BS6" s="18">
        <v>14.6</v>
      </c>
      <c r="BT6" s="18">
        <v>9.1999999999999993</v>
      </c>
      <c r="BU6" s="18">
        <v>12.4</v>
      </c>
      <c r="BV6" s="18">
        <v>14.19</v>
      </c>
      <c r="BW6" s="18">
        <v>0.3</v>
      </c>
      <c r="BX6" s="18">
        <v>9.4</v>
      </c>
      <c r="BY6" s="18">
        <v>5.3</v>
      </c>
      <c r="BZ6" s="18">
        <v>6.6</v>
      </c>
      <c r="CA6" s="18">
        <v>8.83</v>
      </c>
      <c r="CB6" s="18">
        <v>0</v>
      </c>
      <c r="CC6" s="18">
        <v>12.4</v>
      </c>
      <c r="CD6" s="18">
        <v>9.1</v>
      </c>
      <c r="CE6" s="18">
        <v>10.8</v>
      </c>
      <c r="CF6" s="18">
        <v>14.44</v>
      </c>
      <c r="CG6" s="18">
        <v>2.1</v>
      </c>
      <c r="CH6" s="23"/>
      <c r="CI6" s="34">
        <f t="shared" si="31"/>
        <v>12.4</v>
      </c>
      <c r="CJ6" s="34">
        <f t="shared" si="32"/>
        <v>14.19</v>
      </c>
      <c r="CK6" s="36">
        <f t="shared" si="33"/>
        <v>50.089999999999996</v>
      </c>
      <c r="CL6" s="36">
        <f t="shared" si="34"/>
        <v>6.6</v>
      </c>
      <c r="CM6" s="36">
        <f t="shared" si="35"/>
        <v>8.83</v>
      </c>
      <c r="CN6" s="36">
        <f t="shared" si="36"/>
        <v>30.129999999999995</v>
      </c>
      <c r="CO6" s="36">
        <f t="shared" si="37"/>
        <v>50.089999999999996</v>
      </c>
      <c r="CP6" s="36">
        <f t="shared" si="38"/>
        <v>10.8</v>
      </c>
      <c r="CQ6" s="36">
        <f t="shared" si="39"/>
        <v>14.44</v>
      </c>
      <c r="CR6" s="36">
        <f t="shared" si="40"/>
        <v>44.639999999999993</v>
      </c>
      <c r="CS6" s="36">
        <f t="shared" si="41"/>
        <v>94.72999999999999</v>
      </c>
      <c r="CT6" s="47" t="str">
        <f t="shared" si="42"/>
        <v/>
      </c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36" t="str">
        <f t="shared" si="43"/>
        <v/>
      </c>
      <c r="DP6" s="36" t="str">
        <f t="shared" si="44"/>
        <v/>
      </c>
      <c r="DQ6" s="36" t="str">
        <f t="shared" si="45"/>
        <v/>
      </c>
      <c r="DR6" s="36" t="str">
        <f t="shared" si="46"/>
        <v/>
      </c>
      <c r="DS6" s="36" t="str">
        <f t="shared" si="47"/>
        <v/>
      </c>
      <c r="DT6" s="36" t="str">
        <f t="shared" si="48"/>
        <v/>
      </c>
      <c r="DU6" s="36" t="str">
        <f t="shared" si="49"/>
        <v/>
      </c>
      <c r="DV6" s="36" t="str">
        <f t="shared" si="50"/>
        <v/>
      </c>
      <c r="DW6" s="36" t="str">
        <f t="shared" si="51"/>
        <v/>
      </c>
      <c r="DX6" s="36" t="str">
        <f t="shared" si="52"/>
        <v/>
      </c>
      <c r="DY6" s="36" t="str">
        <f t="shared" si="53"/>
        <v/>
      </c>
      <c r="DZ6" s="36" t="str">
        <f t="shared" si="54"/>
        <v/>
      </c>
      <c r="EA6" s="36" t="str">
        <f t="shared" si="55"/>
        <v/>
      </c>
      <c r="EB6" s="36" t="str">
        <f t="shared" si="56"/>
        <v/>
      </c>
      <c r="EC6" s="16">
        <v>17.3</v>
      </c>
      <c r="ED6" s="16">
        <v>0</v>
      </c>
      <c r="EE6" s="16">
        <v>9.6</v>
      </c>
      <c r="EF6" s="16">
        <v>15.05</v>
      </c>
      <c r="EG6" s="16">
        <v>0</v>
      </c>
      <c r="EH6" s="16">
        <v>8.1999999999999993</v>
      </c>
      <c r="EI6" s="16">
        <v>7.8</v>
      </c>
      <c r="EJ6" s="16">
        <v>5.5</v>
      </c>
      <c r="EK6" s="16">
        <v>8.83</v>
      </c>
      <c r="EL6" s="16">
        <v>0.2</v>
      </c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1">
        <f t="shared" si="57"/>
        <v>9.6</v>
      </c>
      <c r="EX6" s="11">
        <f t="shared" si="58"/>
        <v>15.05</v>
      </c>
      <c r="EY6" s="11">
        <f t="shared" si="59"/>
        <v>41.95</v>
      </c>
      <c r="EZ6" s="11">
        <f t="shared" si="60"/>
        <v>5.5</v>
      </c>
      <c r="FA6" s="11">
        <f t="shared" si="61"/>
        <v>8.83</v>
      </c>
      <c r="FB6" s="11">
        <f t="shared" si="62"/>
        <v>30.13</v>
      </c>
      <c r="FC6" s="11">
        <f t="shared" si="63"/>
        <v>41.95</v>
      </c>
      <c r="FD6" s="11" t="str">
        <f t="shared" si="64"/>
        <v/>
      </c>
      <c r="FE6" s="11" t="str">
        <f t="shared" si="65"/>
        <v/>
      </c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>
        <f t="shared" si="70"/>
        <v>41.95</v>
      </c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36" t="str">
        <f t="shared" si="71"/>
        <v/>
      </c>
      <c r="GF6" s="36" t="str">
        <f t="shared" si="72"/>
        <v/>
      </c>
      <c r="GG6" s="36" t="str">
        <f t="shared" si="73"/>
        <v/>
      </c>
      <c r="GH6" s="36" t="str">
        <f t="shared" si="74"/>
        <v/>
      </c>
      <c r="GI6" s="36" t="str">
        <f t="shared" si="75"/>
        <v/>
      </c>
      <c r="GJ6" s="36" t="str">
        <f t="shared" si="76"/>
        <v/>
      </c>
      <c r="GK6" s="36" t="str">
        <f t="shared" si="77"/>
        <v/>
      </c>
      <c r="GL6" s="36" t="str">
        <f t="shared" si="78"/>
        <v/>
      </c>
      <c r="GM6" s="36" t="str">
        <f t="shared" si="79"/>
        <v/>
      </c>
      <c r="GN6" s="36" t="str">
        <f t="shared" si="80"/>
        <v/>
      </c>
      <c r="GO6" s="36" t="str">
        <f t="shared" si="81"/>
        <v/>
      </c>
      <c r="GP6" s="36" t="str">
        <f t="shared" si="82"/>
        <v/>
      </c>
      <c r="GQ6" s="36" t="str">
        <f t="shared" si="83"/>
        <v/>
      </c>
      <c r="GR6" s="36" t="str">
        <f t="shared" si="84"/>
        <v/>
      </c>
      <c r="GS6" s="16">
        <v>16.2</v>
      </c>
      <c r="GT6" s="16">
        <v>9.5</v>
      </c>
      <c r="GU6" s="16">
        <v>0</v>
      </c>
      <c r="GV6" s="16">
        <v>15.35</v>
      </c>
      <c r="GW6" s="16">
        <v>0</v>
      </c>
      <c r="GX6" s="16">
        <v>9.6</v>
      </c>
      <c r="GY6" s="16">
        <v>6.1</v>
      </c>
      <c r="GZ6" s="16">
        <v>5.8</v>
      </c>
      <c r="HA6" s="16">
        <v>10.46</v>
      </c>
      <c r="HB6" s="16">
        <v>0</v>
      </c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1" t="str">
        <f t="shared" si="85"/>
        <v/>
      </c>
      <c r="HN6" s="11">
        <f t="shared" si="86"/>
        <v>15.35</v>
      </c>
      <c r="HO6" s="11">
        <f t="shared" si="87"/>
        <v>41.05</v>
      </c>
      <c r="HP6" s="11">
        <f t="shared" si="88"/>
        <v>5.8</v>
      </c>
      <c r="HQ6" s="11">
        <f t="shared" si="89"/>
        <v>10.46</v>
      </c>
      <c r="HR6" s="11">
        <f t="shared" si="90"/>
        <v>31.96</v>
      </c>
      <c r="HS6" s="11">
        <f t="shared" si="91"/>
        <v>41.05</v>
      </c>
      <c r="HT6" s="11" t="str">
        <f t="shared" si="92"/>
        <v/>
      </c>
      <c r="HU6" s="11" t="str">
        <f t="shared" si="93"/>
        <v/>
      </c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>
        <f t="shared" si="98"/>
        <v>41.05</v>
      </c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36" t="str">
        <f t="shared" si="99"/>
        <v/>
      </c>
      <c r="IV6" s="36" t="str">
        <f t="shared" si="100"/>
        <v/>
      </c>
      <c r="IW6" s="36" t="str">
        <f t="shared" si="101"/>
        <v/>
      </c>
      <c r="IX6" s="36" t="str">
        <f t="shared" si="102"/>
        <v/>
      </c>
      <c r="IY6" s="36" t="str">
        <f t="shared" si="103"/>
        <v/>
      </c>
      <c r="IZ6" s="36" t="str">
        <f t="shared" si="104"/>
        <v/>
      </c>
      <c r="JA6" s="36" t="str">
        <f t="shared" si="105"/>
        <v/>
      </c>
      <c r="JB6" s="36" t="str">
        <f t="shared" si="106"/>
        <v/>
      </c>
      <c r="JC6" s="36" t="str">
        <f t="shared" si="107"/>
        <v/>
      </c>
      <c r="JD6" s="36" t="str">
        <f t="shared" si="108"/>
        <v/>
      </c>
      <c r="JE6" s="36" t="str">
        <f t="shared" si="109"/>
        <v/>
      </c>
      <c r="JF6" s="36" t="str">
        <f t="shared" si="110"/>
        <v/>
      </c>
      <c r="JG6" s="36" t="str">
        <f t="shared" si="111"/>
        <v/>
      </c>
      <c r="JH6" s="36" t="str">
        <f t="shared" si="112"/>
        <v/>
      </c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1" t="str">
        <f t="shared" si="113"/>
        <v/>
      </c>
      <c r="KD6" s="11" t="str">
        <f t="shared" si="114"/>
        <v/>
      </c>
      <c r="KE6" s="11" t="str">
        <f t="shared" si="115"/>
        <v/>
      </c>
      <c r="KF6" s="11" t="str">
        <f t="shared" si="116"/>
        <v/>
      </c>
      <c r="KG6" s="11" t="str">
        <f t="shared" si="117"/>
        <v/>
      </c>
      <c r="KH6" s="11" t="str">
        <f t="shared" si="118"/>
        <v/>
      </c>
      <c r="KI6" s="11" t="str">
        <f t="shared" si="119"/>
        <v/>
      </c>
      <c r="KJ6" s="11" t="str">
        <f t="shared" si="120"/>
        <v/>
      </c>
      <c r="KK6" s="11" t="str">
        <f t="shared" si="121"/>
        <v/>
      </c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36" t="str">
        <f t="shared" si="127"/>
        <v/>
      </c>
      <c r="LL6" s="36" t="str">
        <f t="shared" si="128"/>
        <v/>
      </c>
      <c r="LM6" s="36" t="str">
        <f t="shared" si="129"/>
        <v/>
      </c>
      <c r="LN6" s="36" t="str">
        <f t="shared" si="130"/>
        <v/>
      </c>
      <c r="LO6" s="36" t="str">
        <f t="shared" si="131"/>
        <v/>
      </c>
      <c r="LP6" s="36" t="str">
        <f t="shared" si="132"/>
        <v/>
      </c>
      <c r="LQ6" s="36" t="str">
        <f t="shared" si="133"/>
        <v/>
      </c>
      <c r="LR6" s="36" t="str">
        <f t="shared" si="134"/>
        <v/>
      </c>
      <c r="LS6" s="36" t="str">
        <f t="shared" si="135"/>
        <v/>
      </c>
      <c r="LT6" s="36" t="str">
        <f t="shared" si="136"/>
        <v/>
      </c>
      <c r="LU6" s="36" t="str">
        <f t="shared" si="137"/>
        <v/>
      </c>
      <c r="LV6" s="36" t="str">
        <f t="shared" si="138"/>
        <v/>
      </c>
      <c r="LW6" s="36" t="str">
        <f t="shared" si="139"/>
        <v/>
      </c>
      <c r="LX6" s="36" t="str">
        <f t="shared" si="140"/>
        <v/>
      </c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1" t="str">
        <f t="shared" si="141"/>
        <v/>
      </c>
      <c r="MT6" s="11" t="str">
        <f t="shared" si="142"/>
        <v/>
      </c>
      <c r="MU6" s="11" t="str">
        <f t="shared" si="143"/>
        <v/>
      </c>
      <c r="MV6" s="11" t="str">
        <f t="shared" si="144"/>
        <v/>
      </c>
      <c r="MW6" s="11" t="str">
        <f t="shared" si="145"/>
        <v/>
      </c>
      <c r="MX6" s="11" t="str">
        <f t="shared" si="146"/>
        <v/>
      </c>
      <c r="MY6" s="11" t="str">
        <f t="shared" si="147"/>
        <v/>
      </c>
      <c r="MZ6" s="11" t="str">
        <f t="shared" si="148"/>
        <v/>
      </c>
      <c r="NA6" s="11" t="str">
        <f t="shared" si="149"/>
        <v/>
      </c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36" t="str">
        <f t="shared" si="155"/>
        <v/>
      </c>
      <c r="OB6" s="36" t="str">
        <f t="shared" si="156"/>
        <v/>
      </c>
      <c r="OC6" s="36" t="str">
        <f t="shared" si="157"/>
        <v/>
      </c>
      <c r="OD6" s="36" t="str">
        <f t="shared" si="158"/>
        <v/>
      </c>
      <c r="OE6" s="36" t="str">
        <f t="shared" si="159"/>
        <v/>
      </c>
      <c r="OF6" s="36" t="str">
        <f t="shared" si="160"/>
        <v/>
      </c>
      <c r="OG6" s="36" t="str">
        <f t="shared" si="161"/>
        <v/>
      </c>
      <c r="OH6" s="36" t="str">
        <f t="shared" si="162"/>
        <v/>
      </c>
      <c r="OI6" s="36" t="str">
        <f t="shared" si="163"/>
        <v/>
      </c>
      <c r="OJ6" s="36" t="str">
        <f t="shared" si="164"/>
        <v/>
      </c>
      <c r="OK6" s="36" t="str">
        <f t="shared" si="165"/>
        <v/>
      </c>
      <c r="OL6" s="36" t="str">
        <f t="shared" si="166"/>
        <v/>
      </c>
      <c r="OM6" s="36" t="str">
        <f t="shared" si="167"/>
        <v/>
      </c>
      <c r="ON6" s="36" t="str">
        <f t="shared" si="168"/>
        <v/>
      </c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1" t="str">
        <f t="shared" si="169"/>
        <v/>
      </c>
      <c r="PJ6" s="11" t="str">
        <f t="shared" si="170"/>
        <v/>
      </c>
      <c r="PK6" s="11" t="str">
        <f t="shared" si="171"/>
        <v/>
      </c>
      <c r="PL6" s="11" t="str">
        <f t="shared" si="172"/>
        <v/>
      </c>
      <c r="PM6" s="11" t="str">
        <f t="shared" si="173"/>
        <v/>
      </c>
      <c r="PN6" s="11" t="str">
        <f t="shared" si="174"/>
        <v/>
      </c>
      <c r="PO6" s="11" t="str">
        <f t="shared" si="175"/>
        <v/>
      </c>
      <c r="PP6" s="11" t="str">
        <f t="shared" si="176"/>
        <v/>
      </c>
      <c r="PQ6" s="11" t="str">
        <f t="shared" si="177"/>
        <v/>
      </c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36" t="str">
        <f t="shared" si="183"/>
        <v/>
      </c>
      <c r="QR6" s="36" t="str">
        <f t="shared" si="184"/>
        <v/>
      </c>
      <c r="QS6" s="36" t="str">
        <f t="shared" si="185"/>
        <v/>
      </c>
      <c r="QT6" s="36" t="str">
        <f t="shared" si="186"/>
        <v/>
      </c>
      <c r="QU6" s="36" t="str">
        <f t="shared" si="187"/>
        <v/>
      </c>
      <c r="QV6" s="36" t="str">
        <f t="shared" si="188"/>
        <v/>
      </c>
      <c r="QW6" s="36" t="str">
        <f t="shared" si="189"/>
        <v/>
      </c>
      <c r="QX6" s="36" t="str">
        <f t="shared" si="190"/>
        <v/>
      </c>
      <c r="QY6" s="36" t="str">
        <f t="shared" si="191"/>
        <v/>
      </c>
      <c r="QZ6" s="36" t="str">
        <f t="shared" si="192"/>
        <v/>
      </c>
      <c r="RA6" s="36" t="str">
        <f t="shared" si="193"/>
        <v/>
      </c>
      <c r="RB6" s="36" t="str">
        <f t="shared" si="194"/>
        <v/>
      </c>
      <c r="RC6" s="36" t="str">
        <f t="shared" si="195"/>
        <v/>
      </c>
      <c r="RD6" s="36" t="str">
        <f t="shared" si="196"/>
        <v/>
      </c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1" t="str">
        <f t="shared" si="197"/>
        <v/>
      </c>
      <c r="RZ6" s="11" t="str">
        <f t="shared" si="198"/>
        <v/>
      </c>
      <c r="SA6" s="11" t="str">
        <f t="shared" si="199"/>
        <v/>
      </c>
      <c r="SB6" s="11" t="str">
        <f t="shared" si="200"/>
        <v/>
      </c>
      <c r="SC6" s="11" t="str">
        <f t="shared" si="201"/>
        <v/>
      </c>
      <c r="SD6" s="11" t="str">
        <f t="shared" si="202"/>
        <v/>
      </c>
      <c r="SE6" s="11" t="str">
        <f t="shared" si="203"/>
        <v/>
      </c>
      <c r="SF6" s="11" t="str">
        <f t="shared" si="204"/>
        <v/>
      </c>
      <c r="SG6" s="11" t="str">
        <f t="shared" si="205"/>
        <v/>
      </c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36" t="str">
        <f t="shared" si="211"/>
        <v/>
      </c>
      <c r="TH6" s="36" t="str">
        <f t="shared" si="212"/>
        <v/>
      </c>
      <c r="TI6" s="36" t="str">
        <f t="shared" si="213"/>
        <v/>
      </c>
      <c r="TJ6" s="36" t="str">
        <f t="shared" si="214"/>
        <v/>
      </c>
      <c r="TK6" s="36" t="str">
        <f t="shared" si="215"/>
        <v/>
      </c>
      <c r="TL6" s="36" t="str">
        <f t="shared" si="216"/>
        <v/>
      </c>
      <c r="TM6" s="36" t="str">
        <f t="shared" si="217"/>
        <v/>
      </c>
      <c r="TN6" s="36" t="str">
        <f t="shared" si="218"/>
        <v/>
      </c>
      <c r="TO6" s="36" t="str">
        <f t="shared" si="219"/>
        <v/>
      </c>
      <c r="TP6" s="36" t="str">
        <f t="shared" si="220"/>
        <v/>
      </c>
      <c r="TQ6" s="36" t="str">
        <f t="shared" si="221"/>
        <v/>
      </c>
      <c r="TR6" s="36" t="str">
        <f t="shared" si="222"/>
        <v/>
      </c>
      <c r="TS6" s="36" t="str">
        <f t="shared" si="223"/>
        <v/>
      </c>
      <c r="TT6" s="36" t="str">
        <f t="shared" si="224"/>
        <v/>
      </c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1" t="str">
        <f t="shared" si="225"/>
        <v/>
      </c>
      <c r="UP6" s="11" t="str">
        <f t="shared" si="226"/>
        <v/>
      </c>
      <c r="UQ6" s="11" t="str">
        <f t="shared" si="227"/>
        <v/>
      </c>
      <c r="UR6" s="11" t="str">
        <f t="shared" si="228"/>
        <v/>
      </c>
      <c r="US6" s="11" t="str">
        <f t="shared" si="229"/>
        <v/>
      </c>
      <c r="UT6" s="11" t="str">
        <f t="shared" si="230"/>
        <v/>
      </c>
      <c r="UU6" s="11" t="str">
        <f t="shared" si="231"/>
        <v/>
      </c>
      <c r="UV6" s="11" t="str">
        <f t="shared" si="232"/>
        <v/>
      </c>
      <c r="UW6" s="11" t="str">
        <f t="shared" si="233"/>
        <v/>
      </c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36" t="str">
        <f t="shared" si="239"/>
        <v/>
      </c>
      <c r="VX6" s="36" t="str">
        <f t="shared" si="240"/>
        <v/>
      </c>
      <c r="VY6" s="36" t="str">
        <f t="shared" si="241"/>
        <v/>
      </c>
      <c r="VZ6" s="36" t="str">
        <f t="shared" si="242"/>
        <v/>
      </c>
      <c r="WA6" s="36" t="str">
        <f t="shared" si="243"/>
        <v/>
      </c>
      <c r="WB6" s="36" t="str">
        <f t="shared" si="244"/>
        <v/>
      </c>
      <c r="WC6" s="36" t="str">
        <f t="shared" si="245"/>
        <v/>
      </c>
      <c r="WD6" s="36" t="str">
        <f t="shared" si="246"/>
        <v/>
      </c>
      <c r="WE6" s="36" t="str">
        <f t="shared" si="247"/>
        <v/>
      </c>
      <c r="WF6" s="36" t="str">
        <f t="shared" si="248"/>
        <v/>
      </c>
      <c r="WG6" s="36" t="str">
        <f t="shared" si="249"/>
        <v/>
      </c>
      <c r="WH6" s="36" t="str">
        <f t="shared" si="250"/>
        <v/>
      </c>
      <c r="WI6" s="36" t="str">
        <f t="shared" si="251"/>
        <v/>
      </c>
      <c r="WJ6" s="36" t="str">
        <f t="shared" si="252"/>
        <v/>
      </c>
    </row>
    <row r="7" spans="1:608" x14ac:dyDescent="0.2">
      <c r="A7" s="4" cm="1">
        <f t="array" ref="A7">IF(AND(H7&lt;&gt;"",H7&lt;&gt;"No DD",I7&lt;&gt;"P"),SUMPRODUCT((H$4:H$14&lt;&gt;"")*(H$4:H$14&lt;&gt;"No DD")*(I$4:I$14&lt;&gt;"P")*(E$4:E$14&gt;E7))+1,IF(H7="No DD",SUMPRODUCT((H$4:H$14="No DD")*(I$4:I$14&lt;&gt;"P")*(E$4:E$14&gt;E7))+1+SUMPRODUCT((H$4:H$14&lt;&gt;"")*(I$4:I$14&lt;&gt;"P")*(H$4:H$14&lt;&gt;"No DD")),""))</f>
        <v>2</v>
      </c>
      <c r="B7" s="5" t="s">
        <v>198</v>
      </c>
      <c r="C7" s="4" t="s">
        <v>6</v>
      </c>
      <c r="D7" s="4">
        <v>2007</v>
      </c>
      <c r="E7" s="9">
        <f t="shared" si="0"/>
        <v>99.630009833005019</v>
      </c>
      <c r="F7" s="3" t="str">
        <f t="shared" si="1"/>
        <v>P</v>
      </c>
      <c r="G7" s="3" t="str">
        <f t="shared" si="2"/>
        <v>P</v>
      </c>
      <c r="H7" s="32" t="str">
        <f t="shared" si="3"/>
        <v>National Team</v>
      </c>
      <c r="I7" s="3" t="str">
        <f>IF(COUNTIFS('Senior-W'!B:B,B7,'Senior-W'!A:A,"&lt;9",'Senior-W'!H:H,"&lt;&gt;"&amp;"No DD"),"P","")</f>
        <v/>
      </c>
      <c r="J7" s="8">
        <f t="shared" si="4"/>
        <v>50.1</v>
      </c>
      <c r="K7" s="8" t="str">
        <f t="shared" si="5"/>
        <v>2025 Nationals</v>
      </c>
      <c r="L7" s="8">
        <f>IFERROR(LARGE((AI7,AL7,AP7,BJ7,BM7,BQ7,CK7,CN7,CR7),2),0)</f>
        <v>48.230000000000004</v>
      </c>
      <c r="M7" s="8" t="str">
        <f t="shared" si="6"/>
        <v>2026 Elite Canada</v>
      </c>
      <c r="N7" s="8">
        <f t="shared" si="7"/>
        <v>1.2999999999999972</v>
      </c>
      <c r="O7" s="11" t="str">
        <f>IF(N7=0,"",IF(N7=CT7,"("&amp;CT$2&amp;")",IF(N7=#REF!,"("&amp;#REF!&amp;")")))</f>
        <v>(Any)</v>
      </c>
      <c r="P7" s="8" t="str">
        <f t="shared" si="8"/>
        <v>2025 WAGC (Nov 16)</v>
      </c>
      <c r="Q7" s="18">
        <v>7.4</v>
      </c>
      <c r="R7" s="18">
        <v>4.5999999999999996</v>
      </c>
      <c r="S7" s="18">
        <v>6</v>
      </c>
      <c r="T7" s="18">
        <v>7.15</v>
      </c>
      <c r="U7" s="18">
        <v>0</v>
      </c>
      <c r="V7" s="18">
        <v>14.6</v>
      </c>
      <c r="W7" s="18">
        <v>8.9</v>
      </c>
      <c r="X7" s="18">
        <v>12.7</v>
      </c>
      <c r="Y7" s="18">
        <v>13.9</v>
      </c>
      <c r="Z7" s="18">
        <v>0</v>
      </c>
      <c r="AA7" s="18">
        <v>4.5999999999999996</v>
      </c>
      <c r="AB7" s="18">
        <v>2.9</v>
      </c>
      <c r="AC7" s="18">
        <v>3.6</v>
      </c>
      <c r="AD7" s="18">
        <v>4.32</v>
      </c>
      <c r="AE7" s="18">
        <v>0</v>
      </c>
      <c r="AF7" s="23"/>
      <c r="AG7" s="34">
        <f t="shared" si="9"/>
        <v>6</v>
      </c>
      <c r="AH7" s="34">
        <f t="shared" si="10"/>
        <v>7.15</v>
      </c>
      <c r="AI7" s="36">
        <f t="shared" si="11"/>
        <v>25.15</v>
      </c>
      <c r="AJ7" s="36">
        <f t="shared" si="12"/>
        <v>12.7</v>
      </c>
      <c r="AK7" s="36">
        <f t="shared" si="13"/>
        <v>13.9</v>
      </c>
      <c r="AL7" s="36">
        <f t="shared" si="14"/>
        <v>50.1</v>
      </c>
      <c r="AM7" s="36">
        <f t="shared" si="15"/>
        <v>50.1</v>
      </c>
      <c r="AN7" s="36">
        <f t="shared" si="16"/>
        <v>3.6</v>
      </c>
      <c r="AO7" s="36">
        <f t="shared" si="17"/>
        <v>4.32</v>
      </c>
      <c r="AP7" s="36">
        <f t="shared" si="18"/>
        <v>15.42</v>
      </c>
      <c r="AQ7" s="36">
        <f t="shared" si="19"/>
        <v>65.52</v>
      </c>
      <c r="AR7" s="22">
        <v>1.6</v>
      </c>
      <c r="AS7" s="22">
        <v>0.8</v>
      </c>
      <c r="AT7" s="22">
        <v>1.5</v>
      </c>
      <c r="AU7" s="22">
        <v>1.45</v>
      </c>
      <c r="AV7" s="22">
        <v>0</v>
      </c>
      <c r="AW7" s="22">
        <v>14.2</v>
      </c>
      <c r="AX7" s="22">
        <v>9.1999999999999993</v>
      </c>
      <c r="AY7" s="22">
        <v>8.8000000000000007</v>
      </c>
      <c r="AZ7" s="22">
        <v>13.93</v>
      </c>
      <c r="BA7" s="22">
        <v>2</v>
      </c>
      <c r="BB7" s="22">
        <v>9.5</v>
      </c>
      <c r="BC7" s="22">
        <v>6.3</v>
      </c>
      <c r="BD7" s="22">
        <v>8.1999999999999993</v>
      </c>
      <c r="BE7" s="22">
        <v>9.86</v>
      </c>
      <c r="BF7" s="22">
        <v>0</v>
      </c>
      <c r="BG7" s="24"/>
      <c r="BH7" s="35">
        <f t="shared" si="20"/>
        <v>1.5</v>
      </c>
      <c r="BI7" s="35">
        <f t="shared" si="21"/>
        <v>1.45</v>
      </c>
      <c r="BJ7" s="11">
        <f t="shared" si="22"/>
        <v>5.3500000000000005</v>
      </c>
      <c r="BK7" s="11">
        <f t="shared" si="23"/>
        <v>8.8000000000000007</v>
      </c>
      <c r="BL7" s="11">
        <f t="shared" si="24"/>
        <v>13.93</v>
      </c>
      <c r="BM7" s="11">
        <f t="shared" si="25"/>
        <v>44.13</v>
      </c>
      <c r="BN7" s="11">
        <f t="shared" si="26"/>
        <v>44.13</v>
      </c>
      <c r="BO7" s="11">
        <f t="shared" si="27"/>
        <v>8.1999999999999993</v>
      </c>
      <c r="BP7" s="11">
        <f t="shared" si="28"/>
        <v>9.86</v>
      </c>
      <c r="BQ7" s="11">
        <f t="shared" si="29"/>
        <v>33.86</v>
      </c>
      <c r="BR7" s="11">
        <f t="shared" si="30"/>
        <v>77.990000000000009</v>
      </c>
      <c r="BS7" s="18">
        <v>11.3</v>
      </c>
      <c r="BT7" s="18">
        <v>7</v>
      </c>
      <c r="BU7" s="18">
        <v>8.4</v>
      </c>
      <c r="BV7" s="18">
        <v>11.03</v>
      </c>
      <c r="BW7" s="18">
        <v>0</v>
      </c>
      <c r="BX7" s="18">
        <v>13.8</v>
      </c>
      <c r="BY7" s="18">
        <v>8.6999999999999993</v>
      </c>
      <c r="BZ7" s="18">
        <v>12.1</v>
      </c>
      <c r="CA7" s="18">
        <v>13.63</v>
      </c>
      <c r="CB7" s="18">
        <v>0</v>
      </c>
      <c r="CC7" s="18">
        <v>12.2</v>
      </c>
      <c r="CD7" s="18">
        <v>9.1</v>
      </c>
      <c r="CE7" s="18">
        <v>11.6</v>
      </c>
      <c r="CF7" s="18">
        <v>13.46</v>
      </c>
      <c r="CG7" s="18">
        <v>0</v>
      </c>
      <c r="CH7" s="23"/>
      <c r="CI7" s="34">
        <f t="shared" si="31"/>
        <v>8.4</v>
      </c>
      <c r="CJ7" s="34">
        <f t="shared" si="32"/>
        <v>11.03</v>
      </c>
      <c r="CK7" s="36">
        <f t="shared" si="33"/>
        <v>37.730000000000004</v>
      </c>
      <c r="CL7" s="36">
        <f t="shared" si="34"/>
        <v>12.1</v>
      </c>
      <c r="CM7" s="36">
        <f t="shared" si="35"/>
        <v>13.63</v>
      </c>
      <c r="CN7" s="36">
        <f t="shared" si="36"/>
        <v>48.230000000000004</v>
      </c>
      <c r="CO7" s="36">
        <f t="shared" si="37"/>
        <v>48.230000000000004</v>
      </c>
      <c r="CP7" s="36">
        <f t="shared" si="38"/>
        <v>11.6</v>
      </c>
      <c r="CQ7" s="36">
        <f t="shared" si="39"/>
        <v>13.46</v>
      </c>
      <c r="CR7" s="36">
        <f t="shared" si="40"/>
        <v>46.36</v>
      </c>
      <c r="CS7" s="36">
        <f t="shared" si="41"/>
        <v>94.59</v>
      </c>
      <c r="CT7" s="47">
        <f t="shared" si="42"/>
        <v>1.2999999999999972</v>
      </c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36" t="str">
        <f t="shared" si="43"/>
        <v/>
      </c>
      <c r="DP7" s="36" t="str">
        <f t="shared" si="44"/>
        <v/>
      </c>
      <c r="DQ7" s="36" t="str">
        <f t="shared" si="45"/>
        <v/>
      </c>
      <c r="DR7" s="36" t="str">
        <f t="shared" si="46"/>
        <v/>
      </c>
      <c r="DS7" s="36" t="str">
        <f t="shared" si="47"/>
        <v/>
      </c>
      <c r="DT7" s="36" t="str">
        <f t="shared" si="48"/>
        <v/>
      </c>
      <c r="DU7" s="36" t="str">
        <f t="shared" si="49"/>
        <v/>
      </c>
      <c r="DV7" s="36" t="str">
        <f t="shared" si="50"/>
        <v/>
      </c>
      <c r="DW7" s="36" t="str">
        <f t="shared" si="51"/>
        <v/>
      </c>
      <c r="DX7" s="36" t="str">
        <f t="shared" si="52"/>
        <v/>
      </c>
      <c r="DY7" s="36" t="str">
        <f t="shared" si="53"/>
        <v/>
      </c>
      <c r="DZ7" s="36" t="str">
        <f t="shared" si="54"/>
        <v/>
      </c>
      <c r="EA7" s="36" t="str">
        <f t="shared" si="55"/>
        <v/>
      </c>
      <c r="EB7" s="36" t="str">
        <f t="shared" si="56"/>
        <v/>
      </c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1" t="str">
        <f t="shared" si="57"/>
        <v/>
      </c>
      <c r="EX7" s="11" t="str">
        <f t="shared" si="58"/>
        <v/>
      </c>
      <c r="EY7" s="11" t="str">
        <f t="shared" si="59"/>
        <v/>
      </c>
      <c r="EZ7" s="11" t="str">
        <f t="shared" si="60"/>
        <v/>
      </c>
      <c r="FA7" s="11" t="str">
        <f t="shared" si="61"/>
        <v/>
      </c>
      <c r="FB7" s="11" t="str">
        <f t="shared" si="62"/>
        <v/>
      </c>
      <c r="FC7" s="11" t="str">
        <f t="shared" si="63"/>
        <v/>
      </c>
      <c r="FD7" s="11" t="str">
        <f t="shared" si="64"/>
        <v/>
      </c>
      <c r="FE7" s="11" t="str">
        <f t="shared" si="65"/>
        <v/>
      </c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36" t="str">
        <f t="shared" si="71"/>
        <v/>
      </c>
      <c r="GF7" s="36" t="str">
        <f t="shared" si="72"/>
        <v/>
      </c>
      <c r="GG7" s="36" t="str">
        <f t="shared" si="73"/>
        <v/>
      </c>
      <c r="GH7" s="36" t="str">
        <f t="shared" si="74"/>
        <v/>
      </c>
      <c r="GI7" s="36" t="str">
        <f t="shared" si="75"/>
        <v/>
      </c>
      <c r="GJ7" s="36" t="str">
        <f t="shared" si="76"/>
        <v/>
      </c>
      <c r="GK7" s="36" t="str">
        <f t="shared" si="77"/>
        <v/>
      </c>
      <c r="GL7" s="36" t="str">
        <f t="shared" si="78"/>
        <v/>
      </c>
      <c r="GM7" s="36" t="str">
        <f t="shared" si="79"/>
        <v/>
      </c>
      <c r="GN7" s="36" t="str">
        <f t="shared" si="80"/>
        <v/>
      </c>
      <c r="GO7" s="36" t="str">
        <f t="shared" si="81"/>
        <v/>
      </c>
      <c r="GP7" s="36" t="str">
        <f t="shared" si="82"/>
        <v/>
      </c>
      <c r="GQ7" s="36" t="str">
        <f t="shared" si="83"/>
        <v/>
      </c>
      <c r="GR7" s="36" t="str">
        <f t="shared" si="84"/>
        <v/>
      </c>
      <c r="GS7" s="16">
        <v>15.1</v>
      </c>
      <c r="GT7" s="16">
        <v>9.4</v>
      </c>
      <c r="GU7" s="16">
        <v>2.6</v>
      </c>
      <c r="GV7" s="16">
        <v>14.29</v>
      </c>
      <c r="GW7" s="16">
        <v>0</v>
      </c>
      <c r="GX7" s="16">
        <v>14.8</v>
      </c>
      <c r="GY7" s="16">
        <v>9.6999999999999993</v>
      </c>
      <c r="GZ7" s="16">
        <v>11</v>
      </c>
      <c r="HA7" s="16">
        <v>14.03</v>
      </c>
      <c r="HB7" s="16">
        <v>0</v>
      </c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1">
        <f t="shared" si="85"/>
        <v>2.6</v>
      </c>
      <c r="HN7" s="11">
        <f t="shared" si="86"/>
        <v>14.29</v>
      </c>
      <c r="HO7" s="11">
        <f t="shared" si="87"/>
        <v>41.39</v>
      </c>
      <c r="HP7" s="11">
        <f t="shared" si="88"/>
        <v>11</v>
      </c>
      <c r="HQ7" s="11">
        <f t="shared" si="89"/>
        <v>14.03</v>
      </c>
      <c r="HR7" s="11">
        <f t="shared" si="90"/>
        <v>49.53</v>
      </c>
      <c r="HS7" s="11">
        <f t="shared" si="91"/>
        <v>49.53</v>
      </c>
      <c r="HT7" s="11" t="str">
        <f t="shared" si="92"/>
        <v/>
      </c>
      <c r="HU7" s="11" t="str">
        <f t="shared" si="93"/>
        <v/>
      </c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>
        <f t="shared" si="98"/>
        <v>49.53</v>
      </c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36" t="str">
        <f t="shared" si="99"/>
        <v/>
      </c>
      <c r="IV7" s="36" t="str">
        <f t="shared" si="100"/>
        <v/>
      </c>
      <c r="IW7" s="36" t="str">
        <f t="shared" si="101"/>
        <v/>
      </c>
      <c r="IX7" s="36" t="str">
        <f t="shared" si="102"/>
        <v/>
      </c>
      <c r="IY7" s="36" t="str">
        <f t="shared" si="103"/>
        <v/>
      </c>
      <c r="IZ7" s="36" t="str">
        <f t="shared" si="104"/>
        <v/>
      </c>
      <c r="JA7" s="36" t="str">
        <f t="shared" si="105"/>
        <v/>
      </c>
      <c r="JB7" s="36" t="str">
        <f t="shared" si="106"/>
        <v/>
      </c>
      <c r="JC7" s="36" t="str">
        <f t="shared" si="107"/>
        <v/>
      </c>
      <c r="JD7" s="36" t="str">
        <f t="shared" si="108"/>
        <v/>
      </c>
      <c r="JE7" s="36" t="str">
        <f t="shared" si="109"/>
        <v/>
      </c>
      <c r="JF7" s="36" t="str">
        <f t="shared" si="110"/>
        <v/>
      </c>
      <c r="JG7" s="36" t="str">
        <f t="shared" si="111"/>
        <v/>
      </c>
      <c r="JH7" s="36" t="str">
        <f t="shared" si="112"/>
        <v/>
      </c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1" t="str">
        <f t="shared" si="113"/>
        <v/>
      </c>
      <c r="KD7" s="11" t="str">
        <f t="shared" si="114"/>
        <v/>
      </c>
      <c r="KE7" s="11" t="str">
        <f t="shared" si="115"/>
        <v/>
      </c>
      <c r="KF7" s="11" t="str">
        <f t="shared" si="116"/>
        <v/>
      </c>
      <c r="KG7" s="11" t="str">
        <f t="shared" si="117"/>
        <v/>
      </c>
      <c r="KH7" s="11" t="str">
        <f t="shared" si="118"/>
        <v/>
      </c>
      <c r="KI7" s="11" t="str">
        <f t="shared" si="119"/>
        <v/>
      </c>
      <c r="KJ7" s="11" t="str">
        <f t="shared" si="120"/>
        <v/>
      </c>
      <c r="KK7" s="11" t="str">
        <f t="shared" si="121"/>
        <v/>
      </c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36" t="str">
        <f t="shared" si="127"/>
        <v/>
      </c>
      <c r="LL7" s="36" t="str">
        <f t="shared" si="128"/>
        <v/>
      </c>
      <c r="LM7" s="36" t="str">
        <f t="shared" si="129"/>
        <v/>
      </c>
      <c r="LN7" s="36" t="str">
        <f t="shared" si="130"/>
        <v/>
      </c>
      <c r="LO7" s="36" t="str">
        <f t="shared" si="131"/>
        <v/>
      </c>
      <c r="LP7" s="36" t="str">
        <f t="shared" si="132"/>
        <v/>
      </c>
      <c r="LQ7" s="36" t="str">
        <f t="shared" si="133"/>
        <v/>
      </c>
      <c r="LR7" s="36" t="str">
        <f t="shared" si="134"/>
        <v/>
      </c>
      <c r="LS7" s="36" t="str">
        <f t="shared" si="135"/>
        <v/>
      </c>
      <c r="LT7" s="36" t="str">
        <f t="shared" si="136"/>
        <v/>
      </c>
      <c r="LU7" s="36" t="str">
        <f t="shared" si="137"/>
        <v/>
      </c>
      <c r="LV7" s="36" t="str">
        <f t="shared" si="138"/>
        <v/>
      </c>
      <c r="LW7" s="36" t="str">
        <f t="shared" si="139"/>
        <v/>
      </c>
      <c r="LX7" s="36" t="str">
        <f t="shared" si="140"/>
        <v/>
      </c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1" t="str">
        <f t="shared" si="141"/>
        <v/>
      </c>
      <c r="MT7" s="11" t="str">
        <f t="shared" si="142"/>
        <v/>
      </c>
      <c r="MU7" s="11" t="str">
        <f t="shared" si="143"/>
        <v/>
      </c>
      <c r="MV7" s="11" t="str">
        <f t="shared" si="144"/>
        <v/>
      </c>
      <c r="MW7" s="11" t="str">
        <f t="shared" si="145"/>
        <v/>
      </c>
      <c r="MX7" s="11" t="str">
        <f t="shared" si="146"/>
        <v/>
      </c>
      <c r="MY7" s="11" t="str">
        <f t="shared" si="147"/>
        <v/>
      </c>
      <c r="MZ7" s="11" t="str">
        <f t="shared" si="148"/>
        <v/>
      </c>
      <c r="NA7" s="11" t="str">
        <f t="shared" si="149"/>
        <v/>
      </c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36" t="str">
        <f t="shared" si="155"/>
        <v/>
      </c>
      <c r="OB7" s="36" t="str">
        <f t="shared" si="156"/>
        <v/>
      </c>
      <c r="OC7" s="36" t="str">
        <f t="shared" si="157"/>
        <v/>
      </c>
      <c r="OD7" s="36" t="str">
        <f t="shared" si="158"/>
        <v/>
      </c>
      <c r="OE7" s="36" t="str">
        <f t="shared" si="159"/>
        <v/>
      </c>
      <c r="OF7" s="36" t="str">
        <f t="shared" si="160"/>
        <v/>
      </c>
      <c r="OG7" s="36" t="str">
        <f t="shared" si="161"/>
        <v/>
      </c>
      <c r="OH7" s="36" t="str">
        <f t="shared" si="162"/>
        <v/>
      </c>
      <c r="OI7" s="36" t="str">
        <f t="shared" si="163"/>
        <v/>
      </c>
      <c r="OJ7" s="36" t="str">
        <f t="shared" si="164"/>
        <v/>
      </c>
      <c r="OK7" s="36" t="str">
        <f t="shared" si="165"/>
        <v/>
      </c>
      <c r="OL7" s="36" t="str">
        <f t="shared" si="166"/>
        <v/>
      </c>
      <c r="OM7" s="36" t="str">
        <f t="shared" si="167"/>
        <v/>
      </c>
      <c r="ON7" s="36" t="str">
        <f t="shared" si="168"/>
        <v/>
      </c>
      <c r="OO7" s="16"/>
      <c r="OP7" s="16"/>
      <c r="OQ7" s="16"/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  <c r="PH7" s="16"/>
      <c r="PI7" s="11" t="str">
        <f t="shared" si="169"/>
        <v/>
      </c>
      <c r="PJ7" s="11" t="str">
        <f t="shared" si="170"/>
        <v/>
      </c>
      <c r="PK7" s="11" t="str">
        <f t="shared" si="171"/>
        <v/>
      </c>
      <c r="PL7" s="11" t="str">
        <f t="shared" si="172"/>
        <v/>
      </c>
      <c r="PM7" s="11" t="str">
        <f t="shared" si="173"/>
        <v/>
      </c>
      <c r="PN7" s="11" t="str">
        <f t="shared" si="174"/>
        <v/>
      </c>
      <c r="PO7" s="11" t="str">
        <f t="shared" si="175"/>
        <v/>
      </c>
      <c r="PP7" s="11" t="str">
        <f t="shared" si="176"/>
        <v/>
      </c>
      <c r="PQ7" s="11" t="str">
        <f t="shared" si="177"/>
        <v/>
      </c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36" t="str">
        <f t="shared" si="183"/>
        <v/>
      </c>
      <c r="QR7" s="36" t="str">
        <f t="shared" si="184"/>
        <v/>
      </c>
      <c r="QS7" s="36" t="str">
        <f t="shared" si="185"/>
        <v/>
      </c>
      <c r="QT7" s="36" t="str">
        <f t="shared" si="186"/>
        <v/>
      </c>
      <c r="QU7" s="36" t="str">
        <f t="shared" si="187"/>
        <v/>
      </c>
      <c r="QV7" s="36" t="str">
        <f t="shared" si="188"/>
        <v/>
      </c>
      <c r="QW7" s="36" t="str">
        <f t="shared" si="189"/>
        <v/>
      </c>
      <c r="QX7" s="36" t="str">
        <f t="shared" si="190"/>
        <v/>
      </c>
      <c r="QY7" s="36" t="str">
        <f t="shared" si="191"/>
        <v/>
      </c>
      <c r="QZ7" s="36" t="str">
        <f t="shared" si="192"/>
        <v/>
      </c>
      <c r="RA7" s="36" t="str">
        <f t="shared" si="193"/>
        <v/>
      </c>
      <c r="RB7" s="36" t="str">
        <f t="shared" si="194"/>
        <v/>
      </c>
      <c r="RC7" s="36" t="str">
        <f t="shared" si="195"/>
        <v/>
      </c>
      <c r="RD7" s="36" t="str">
        <f t="shared" si="196"/>
        <v/>
      </c>
      <c r="RE7" s="16"/>
      <c r="RF7" s="16"/>
      <c r="RG7" s="16"/>
      <c r="RH7" s="16"/>
      <c r="RI7" s="16"/>
      <c r="RJ7" s="16"/>
      <c r="RK7" s="16"/>
      <c r="RL7" s="16"/>
      <c r="RM7" s="16"/>
      <c r="RN7" s="16"/>
      <c r="RO7" s="16"/>
      <c r="RP7" s="16"/>
      <c r="RQ7" s="16"/>
      <c r="RR7" s="16"/>
      <c r="RS7" s="16"/>
      <c r="RT7" s="16"/>
      <c r="RU7" s="16"/>
      <c r="RV7" s="16"/>
      <c r="RW7" s="16"/>
      <c r="RX7" s="16"/>
      <c r="RY7" s="11" t="str">
        <f t="shared" si="197"/>
        <v/>
      </c>
      <c r="RZ7" s="11" t="str">
        <f t="shared" si="198"/>
        <v/>
      </c>
      <c r="SA7" s="11" t="str">
        <f t="shared" si="199"/>
        <v/>
      </c>
      <c r="SB7" s="11" t="str">
        <f t="shared" si="200"/>
        <v/>
      </c>
      <c r="SC7" s="11" t="str">
        <f t="shared" si="201"/>
        <v/>
      </c>
      <c r="SD7" s="11" t="str">
        <f t="shared" si="202"/>
        <v/>
      </c>
      <c r="SE7" s="11" t="str">
        <f t="shared" si="203"/>
        <v/>
      </c>
      <c r="SF7" s="11" t="str">
        <f t="shared" si="204"/>
        <v/>
      </c>
      <c r="SG7" s="11" t="str">
        <f t="shared" si="205"/>
        <v/>
      </c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36" t="str">
        <f t="shared" si="211"/>
        <v/>
      </c>
      <c r="TH7" s="36" t="str">
        <f t="shared" si="212"/>
        <v/>
      </c>
      <c r="TI7" s="36" t="str">
        <f t="shared" si="213"/>
        <v/>
      </c>
      <c r="TJ7" s="36" t="str">
        <f t="shared" si="214"/>
        <v/>
      </c>
      <c r="TK7" s="36" t="str">
        <f t="shared" si="215"/>
        <v/>
      </c>
      <c r="TL7" s="36" t="str">
        <f t="shared" si="216"/>
        <v/>
      </c>
      <c r="TM7" s="36" t="str">
        <f t="shared" si="217"/>
        <v/>
      </c>
      <c r="TN7" s="36" t="str">
        <f t="shared" si="218"/>
        <v/>
      </c>
      <c r="TO7" s="36" t="str">
        <f t="shared" si="219"/>
        <v/>
      </c>
      <c r="TP7" s="36" t="str">
        <f t="shared" si="220"/>
        <v/>
      </c>
      <c r="TQ7" s="36" t="str">
        <f t="shared" si="221"/>
        <v/>
      </c>
      <c r="TR7" s="36" t="str">
        <f t="shared" si="222"/>
        <v/>
      </c>
      <c r="TS7" s="36" t="str">
        <f t="shared" si="223"/>
        <v/>
      </c>
      <c r="TT7" s="36" t="str">
        <f t="shared" si="224"/>
        <v/>
      </c>
      <c r="TU7" s="16"/>
      <c r="TV7" s="16"/>
      <c r="TW7" s="16"/>
      <c r="TX7" s="16"/>
      <c r="TY7" s="16"/>
      <c r="TZ7" s="16"/>
      <c r="UA7" s="16"/>
      <c r="UB7" s="16"/>
      <c r="UC7" s="16"/>
      <c r="UD7" s="16"/>
      <c r="UE7" s="16"/>
      <c r="UF7" s="16"/>
      <c r="UG7" s="16"/>
      <c r="UH7" s="16"/>
      <c r="UI7" s="16"/>
      <c r="UJ7" s="16"/>
      <c r="UK7" s="16"/>
      <c r="UL7" s="16"/>
      <c r="UM7" s="16"/>
      <c r="UN7" s="16"/>
      <c r="UO7" s="11" t="str">
        <f t="shared" si="225"/>
        <v/>
      </c>
      <c r="UP7" s="11" t="str">
        <f t="shared" si="226"/>
        <v/>
      </c>
      <c r="UQ7" s="11" t="str">
        <f t="shared" si="227"/>
        <v/>
      </c>
      <c r="UR7" s="11" t="str">
        <f t="shared" si="228"/>
        <v/>
      </c>
      <c r="US7" s="11" t="str">
        <f t="shared" si="229"/>
        <v/>
      </c>
      <c r="UT7" s="11" t="str">
        <f t="shared" si="230"/>
        <v/>
      </c>
      <c r="UU7" s="11" t="str">
        <f t="shared" si="231"/>
        <v/>
      </c>
      <c r="UV7" s="11" t="str">
        <f t="shared" si="232"/>
        <v/>
      </c>
      <c r="UW7" s="11" t="str">
        <f t="shared" si="233"/>
        <v/>
      </c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36" t="str">
        <f t="shared" si="239"/>
        <v/>
      </c>
      <c r="VX7" s="36" t="str">
        <f t="shared" si="240"/>
        <v/>
      </c>
      <c r="VY7" s="36" t="str">
        <f t="shared" si="241"/>
        <v/>
      </c>
      <c r="VZ7" s="36" t="str">
        <f t="shared" si="242"/>
        <v/>
      </c>
      <c r="WA7" s="36" t="str">
        <f t="shared" si="243"/>
        <v/>
      </c>
      <c r="WB7" s="36" t="str">
        <f t="shared" si="244"/>
        <v/>
      </c>
      <c r="WC7" s="36" t="str">
        <f t="shared" si="245"/>
        <v/>
      </c>
      <c r="WD7" s="36" t="str">
        <f t="shared" si="246"/>
        <v/>
      </c>
      <c r="WE7" s="36" t="str">
        <f t="shared" si="247"/>
        <v/>
      </c>
      <c r="WF7" s="36" t="str">
        <f t="shared" si="248"/>
        <v/>
      </c>
      <c r="WG7" s="36" t="str">
        <f t="shared" si="249"/>
        <v/>
      </c>
      <c r="WH7" s="36" t="str">
        <f t="shared" si="250"/>
        <v/>
      </c>
      <c r="WI7" s="36" t="str">
        <f t="shared" si="251"/>
        <v/>
      </c>
      <c r="WJ7" s="36" t="str">
        <f t="shared" si="252"/>
        <v/>
      </c>
    </row>
    <row r="8" spans="1:608" x14ac:dyDescent="0.2">
      <c r="A8" s="4" t="str" cm="1">
        <f t="array" ref="A8">IF(AND(H8&lt;&gt;"",H8&lt;&gt;"No DD",I8&lt;&gt;"P"),SUMPRODUCT((H$4:H$14&lt;&gt;"")*(H$4:H$14&lt;&gt;"No DD")*(I$4:I$14&lt;&gt;"P")*(E$4:E$14&gt;E8))+1,IF(H8="No DD",SUMPRODUCT((H$4:H$14="No DD")*(I$4:I$14&lt;&gt;"P")*(E$4:E$14&gt;E8))+1+SUMPRODUCT((H$4:H$14&lt;&gt;"")*(I$4:I$14&lt;&gt;"P")*(H$4:H$14&lt;&gt;"No DD")),""))</f>
        <v/>
      </c>
      <c r="B8" s="5" t="s">
        <v>200</v>
      </c>
      <c r="C8" s="4" t="s">
        <v>6</v>
      </c>
      <c r="D8" s="4">
        <v>2008</v>
      </c>
      <c r="E8" s="9">
        <f t="shared" si="0"/>
        <v>96.950009695004852</v>
      </c>
      <c r="F8" s="3" t="str">
        <f t="shared" si="1"/>
        <v/>
      </c>
      <c r="G8" s="3" t="str">
        <f t="shared" si="2"/>
        <v/>
      </c>
      <c r="H8" s="32" t="str">
        <f t="shared" si="3"/>
        <v/>
      </c>
      <c r="I8" s="3" t="str">
        <f>IF(COUNTIFS('Senior-W'!B:B,B8,'Senior-W'!A:A,"&lt;9",'Senior-W'!H:H,"&lt;&gt;"&amp;"No DD"),"P","")</f>
        <v/>
      </c>
      <c r="J8" s="8">
        <f t="shared" si="4"/>
        <v>48.58</v>
      </c>
      <c r="K8" s="8" t="str">
        <f t="shared" si="5"/>
        <v>2025 Nationals</v>
      </c>
      <c r="L8" s="8">
        <f>IFERROR(LARGE((AI8,AL8,AP8,BJ8,BM8,BQ8,CK8,CN8,CR8),2),0)</f>
        <v>48.37</v>
      </c>
      <c r="M8" s="8" t="str">
        <f t="shared" si="6"/>
        <v>2025 3rd Domestic Trial</v>
      </c>
      <c r="N8" s="8">
        <f t="shared" si="7"/>
        <v>0</v>
      </c>
      <c r="O8" s="11" t="str">
        <f>IF(N8=0,"",IF(N8=CT8,"("&amp;CT$2&amp;")",IF(N8=#REF!,"("&amp;#REF!&amp;")")))</f>
        <v/>
      </c>
      <c r="P8" s="8" t="str">
        <f t="shared" si="8"/>
        <v/>
      </c>
      <c r="Q8" s="18">
        <v>12</v>
      </c>
      <c r="R8" s="18">
        <v>9</v>
      </c>
      <c r="S8" s="18">
        <v>12.7</v>
      </c>
      <c r="T8" s="18">
        <v>13.71</v>
      </c>
      <c r="U8" s="18">
        <v>0</v>
      </c>
      <c r="V8" s="18">
        <v>13</v>
      </c>
      <c r="W8" s="18">
        <v>9.4</v>
      </c>
      <c r="X8" s="18">
        <v>12.5</v>
      </c>
      <c r="Y8" s="18">
        <v>13.68</v>
      </c>
      <c r="Z8" s="18">
        <v>0</v>
      </c>
      <c r="AA8" s="18">
        <v>13.5</v>
      </c>
      <c r="AB8" s="18">
        <v>8.6999999999999993</v>
      </c>
      <c r="AC8" s="18">
        <v>12.7</v>
      </c>
      <c r="AD8" s="18">
        <v>13.31</v>
      </c>
      <c r="AE8" s="18">
        <v>0</v>
      </c>
      <c r="AF8" s="23"/>
      <c r="AG8" s="34">
        <f t="shared" si="9"/>
        <v>12.7</v>
      </c>
      <c r="AH8" s="34">
        <f t="shared" si="10"/>
        <v>13.71</v>
      </c>
      <c r="AI8" s="36">
        <f t="shared" si="11"/>
        <v>47.410000000000004</v>
      </c>
      <c r="AJ8" s="36">
        <f t="shared" si="12"/>
        <v>12.5</v>
      </c>
      <c r="AK8" s="36">
        <f t="shared" si="13"/>
        <v>13.68</v>
      </c>
      <c r="AL8" s="36">
        <f t="shared" si="14"/>
        <v>48.58</v>
      </c>
      <c r="AM8" s="36">
        <f t="shared" si="15"/>
        <v>48.58</v>
      </c>
      <c r="AN8" s="36">
        <f t="shared" si="16"/>
        <v>12.7</v>
      </c>
      <c r="AO8" s="36">
        <f t="shared" si="17"/>
        <v>13.31</v>
      </c>
      <c r="AP8" s="36">
        <f t="shared" si="18"/>
        <v>48.21</v>
      </c>
      <c r="AQ8" s="36">
        <f t="shared" si="19"/>
        <v>96.789999999999992</v>
      </c>
      <c r="AR8" s="22">
        <v>14.1</v>
      </c>
      <c r="AS8" s="22">
        <v>9.1</v>
      </c>
      <c r="AT8" s="22">
        <v>11.5</v>
      </c>
      <c r="AU8" s="22">
        <v>13.52</v>
      </c>
      <c r="AV8" s="22">
        <v>0</v>
      </c>
      <c r="AW8" s="22">
        <v>13.2</v>
      </c>
      <c r="AX8" s="22">
        <v>9</v>
      </c>
      <c r="AY8" s="22">
        <v>12.3</v>
      </c>
      <c r="AZ8" s="22">
        <v>13.87</v>
      </c>
      <c r="BA8" s="22">
        <v>0</v>
      </c>
      <c r="BB8" s="22">
        <v>12.9</v>
      </c>
      <c r="BC8" s="22">
        <v>8.6999999999999993</v>
      </c>
      <c r="BD8" s="22">
        <v>12.3</v>
      </c>
      <c r="BE8" s="22">
        <v>13.47</v>
      </c>
      <c r="BF8" s="22">
        <v>0</v>
      </c>
      <c r="BG8" s="24"/>
      <c r="BH8" s="35">
        <f t="shared" si="20"/>
        <v>11.5</v>
      </c>
      <c r="BI8" s="35">
        <f t="shared" si="21"/>
        <v>13.52</v>
      </c>
      <c r="BJ8" s="11">
        <f t="shared" si="22"/>
        <v>48.22</v>
      </c>
      <c r="BK8" s="11">
        <f t="shared" si="23"/>
        <v>12.3</v>
      </c>
      <c r="BL8" s="11">
        <f t="shared" si="24"/>
        <v>13.87</v>
      </c>
      <c r="BM8" s="11">
        <f t="shared" si="25"/>
        <v>48.37</v>
      </c>
      <c r="BN8" s="11">
        <f t="shared" si="26"/>
        <v>48.37</v>
      </c>
      <c r="BO8" s="11">
        <f t="shared" si="27"/>
        <v>12.3</v>
      </c>
      <c r="BP8" s="11">
        <f t="shared" si="28"/>
        <v>13.47</v>
      </c>
      <c r="BQ8" s="11">
        <f t="shared" si="29"/>
        <v>47.370000000000005</v>
      </c>
      <c r="BR8" s="11">
        <f t="shared" si="30"/>
        <v>95.740000000000009</v>
      </c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23"/>
      <c r="CI8" s="34" t="str">
        <f t="shared" si="31"/>
        <v/>
      </c>
      <c r="CJ8" s="34" t="str">
        <f t="shared" si="32"/>
        <v/>
      </c>
      <c r="CK8" s="36" t="str">
        <f t="shared" si="33"/>
        <v/>
      </c>
      <c r="CL8" s="36" t="str">
        <f t="shared" si="34"/>
        <v/>
      </c>
      <c r="CM8" s="36" t="str">
        <f t="shared" si="35"/>
        <v/>
      </c>
      <c r="CN8" s="36" t="str">
        <f t="shared" si="36"/>
        <v/>
      </c>
      <c r="CO8" s="36" t="str">
        <f t="shared" si="37"/>
        <v/>
      </c>
      <c r="CP8" s="36" t="str">
        <f t="shared" si="38"/>
        <v/>
      </c>
      <c r="CQ8" s="36" t="str">
        <f t="shared" si="39"/>
        <v/>
      </c>
      <c r="CR8" s="36" t="str">
        <f t="shared" si="40"/>
        <v/>
      </c>
      <c r="CS8" s="36" t="str">
        <f t="shared" si="41"/>
        <v/>
      </c>
      <c r="CT8" s="47" t="str">
        <f t="shared" si="42"/>
        <v/>
      </c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36" t="str">
        <f t="shared" si="43"/>
        <v/>
      </c>
      <c r="DP8" s="36" t="str">
        <f t="shared" si="44"/>
        <v/>
      </c>
      <c r="DQ8" s="36" t="str">
        <f t="shared" si="45"/>
        <v/>
      </c>
      <c r="DR8" s="36" t="str">
        <f t="shared" si="46"/>
        <v/>
      </c>
      <c r="DS8" s="36" t="str">
        <f t="shared" si="47"/>
        <v/>
      </c>
      <c r="DT8" s="36" t="str">
        <f t="shared" si="48"/>
        <v/>
      </c>
      <c r="DU8" s="36" t="str">
        <f t="shared" si="49"/>
        <v/>
      </c>
      <c r="DV8" s="36" t="str">
        <f t="shared" si="50"/>
        <v/>
      </c>
      <c r="DW8" s="36" t="str">
        <f t="shared" si="51"/>
        <v/>
      </c>
      <c r="DX8" s="36" t="str">
        <f t="shared" si="52"/>
        <v/>
      </c>
      <c r="DY8" s="36" t="str">
        <f t="shared" si="53"/>
        <v/>
      </c>
      <c r="DZ8" s="36" t="str">
        <f t="shared" si="54"/>
        <v/>
      </c>
      <c r="EA8" s="36" t="str">
        <f t="shared" si="55"/>
        <v/>
      </c>
      <c r="EB8" s="36" t="str">
        <f t="shared" si="56"/>
        <v/>
      </c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1" t="str">
        <f t="shared" si="57"/>
        <v/>
      </c>
      <c r="EX8" s="11" t="str">
        <f t="shared" si="58"/>
        <v/>
      </c>
      <c r="EY8" s="11" t="str">
        <f t="shared" si="59"/>
        <v/>
      </c>
      <c r="EZ8" s="11" t="str">
        <f t="shared" si="60"/>
        <v/>
      </c>
      <c r="FA8" s="11" t="str">
        <f t="shared" si="61"/>
        <v/>
      </c>
      <c r="FB8" s="11" t="str">
        <f t="shared" si="62"/>
        <v/>
      </c>
      <c r="FC8" s="11" t="str">
        <f t="shared" si="63"/>
        <v/>
      </c>
      <c r="FD8" s="11" t="str">
        <f t="shared" si="64"/>
        <v/>
      </c>
      <c r="FE8" s="11" t="str">
        <f t="shared" si="65"/>
        <v/>
      </c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36" t="str">
        <f t="shared" si="71"/>
        <v/>
      </c>
      <c r="GF8" s="36" t="str">
        <f t="shared" si="72"/>
        <v/>
      </c>
      <c r="GG8" s="36" t="str">
        <f t="shared" si="73"/>
        <v/>
      </c>
      <c r="GH8" s="36" t="str">
        <f t="shared" si="74"/>
        <v/>
      </c>
      <c r="GI8" s="36" t="str">
        <f t="shared" si="75"/>
        <v/>
      </c>
      <c r="GJ8" s="36" t="str">
        <f t="shared" si="76"/>
        <v/>
      </c>
      <c r="GK8" s="36" t="str">
        <f t="shared" si="77"/>
        <v/>
      </c>
      <c r="GL8" s="36" t="str">
        <f t="shared" si="78"/>
        <v/>
      </c>
      <c r="GM8" s="36" t="str">
        <f t="shared" si="79"/>
        <v/>
      </c>
      <c r="GN8" s="36" t="str">
        <f t="shared" si="80"/>
        <v/>
      </c>
      <c r="GO8" s="36" t="str">
        <f t="shared" si="81"/>
        <v/>
      </c>
      <c r="GP8" s="36" t="str">
        <f t="shared" si="82"/>
        <v/>
      </c>
      <c r="GQ8" s="36" t="str">
        <f t="shared" si="83"/>
        <v/>
      </c>
      <c r="GR8" s="36" t="str">
        <f t="shared" si="84"/>
        <v/>
      </c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1" t="str">
        <f t="shared" si="85"/>
        <v/>
      </c>
      <c r="HN8" s="11" t="str">
        <f t="shared" si="86"/>
        <v/>
      </c>
      <c r="HO8" s="11" t="str">
        <f t="shared" si="87"/>
        <v/>
      </c>
      <c r="HP8" s="11" t="str">
        <f t="shared" si="88"/>
        <v/>
      </c>
      <c r="HQ8" s="11" t="str">
        <f t="shared" si="89"/>
        <v/>
      </c>
      <c r="HR8" s="11" t="str">
        <f t="shared" si="90"/>
        <v/>
      </c>
      <c r="HS8" s="11" t="str">
        <f t="shared" si="91"/>
        <v/>
      </c>
      <c r="HT8" s="11" t="str">
        <f t="shared" si="92"/>
        <v/>
      </c>
      <c r="HU8" s="11" t="str">
        <f t="shared" si="93"/>
        <v/>
      </c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36" t="str">
        <f t="shared" si="99"/>
        <v/>
      </c>
      <c r="IV8" s="36" t="str">
        <f t="shared" si="100"/>
        <v/>
      </c>
      <c r="IW8" s="36" t="str">
        <f t="shared" si="101"/>
        <v/>
      </c>
      <c r="IX8" s="36" t="str">
        <f t="shared" si="102"/>
        <v/>
      </c>
      <c r="IY8" s="36" t="str">
        <f t="shared" si="103"/>
        <v/>
      </c>
      <c r="IZ8" s="36" t="str">
        <f t="shared" si="104"/>
        <v/>
      </c>
      <c r="JA8" s="36" t="str">
        <f t="shared" si="105"/>
        <v/>
      </c>
      <c r="JB8" s="36" t="str">
        <f t="shared" si="106"/>
        <v/>
      </c>
      <c r="JC8" s="36" t="str">
        <f t="shared" si="107"/>
        <v/>
      </c>
      <c r="JD8" s="36" t="str">
        <f t="shared" si="108"/>
        <v/>
      </c>
      <c r="JE8" s="36" t="str">
        <f t="shared" si="109"/>
        <v/>
      </c>
      <c r="JF8" s="36" t="str">
        <f t="shared" si="110"/>
        <v/>
      </c>
      <c r="JG8" s="36" t="str">
        <f t="shared" si="111"/>
        <v/>
      </c>
      <c r="JH8" s="36" t="str">
        <f t="shared" si="112"/>
        <v/>
      </c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1" t="str">
        <f t="shared" si="113"/>
        <v/>
      </c>
      <c r="KD8" s="11" t="str">
        <f t="shared" si="114"/>
        <v/>
      </c>
      <c r="KE8" s="11" t="str">
        <f t="shared" si="115"/>
        <v/>
      </c>
      <c r="KF8" s="11" t="str">
        <f t="shared" si="116"/>
        <v/>
      </c>
      <c r="KG8" s="11" t="str">
        <f t="shared" si="117"/>
        <v/>
      </c>
      <c r="KH8" s="11" t="str">
        <f t="shared" si="118"/>
        <v/>
      </c>
      <c r="KI8" s="11" t="str">
        <f t="shared" si="119"/>
        <v/>
      </c>
      <c r="KJ8" s="11" t="str">
        <f t="shared" si="120"/>
        <v/>
      </c>
      <c r="KK8" s="11" t="str">
        <f t="shared" si="121"/>
        <v/>
      </c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36" t="str">
        <f t="shared" si="127"/>
        <v/>
      </c>
      <c r="LL8" s="36" t="str">
        <f t="shared" si="128"/>
        <v/>
      </c>
      <c r="LM8" s="36" t="str">
        <f t="shared" si="129"/>
        <v/>
      </c>
      <c r="LN8" s="36" t="str">
        <f t="shared" si="130"/>
        <v/>
      </c>
      <c r="LO8" s="36" t="str">
        <f t="shared" si="131"/>
        <v/>
      </c>
      <c r="LP8" s="36" t="str">
        <f t="shared" si="132"/>
        <v/>
      </c>
      <c r="LQ8" s="36" t="str">
        <f t="shared" si="133"/>
        <v/>
      </c>
      <c r="LR8" s="36" t="str">
        <f t="shared" si="134"/>
        <v/>
      </c>
      <c r="LS8" s="36" t="str">
        <f t="shared" si="135"/>
        <v/>
      </c>
      <c r="LT8" s="36" t="str">
        <f t="shared" si="136"/>
        <v/>
      </c>
      <c r="LU8" s="36" t="str">
        <f t="shared" si="137"/>
        <v/>
      </c>
      <c r="LV8" s="36" t="str">
        <f t="shared" si="138"/>
        <v/>
      </c>
      <c r="LW8" s="36" t="str">
        <f t="shared" si="139"/>
        <v/>
      </c>
      <c r="LX8" s="36" t="str">
        <f t="shared" si="140"/>
        <v/>
      </c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16"/>
      <c r="MP8" s="16"/>
      <c r="MQ8" s="16"/>
      <c r="MR8" s="16"/>
      <c r="MS8" s="11" t="str">
        <f t="shared" si="141"/>
        <v/>
      </c>
      <c r="MT8" s="11" t="str">
        <f t="shared" si="142"/>
        <v/>
      </c>
      <c r="MU8" s="11" t="str">
        <f t="shared" si="143"/>
        <v/>
      </c>
      <c r="MV8" s="11" t="str">
        <f t="shared" si="144"/>
        <v/>
      </c>
      <c r="MW8" s="11" t="str">
        <f t="shared" si="145"/>
        <v/>
      </c>
      <c r="MX8" s="11" t="str">
        <f t="shared" si="146"/>
        <v/>
      </c>
      <c r="MY8" s="11" t="str">
        <f t="shared" si="147"/>
        <v/>
      </c>
      <c r="MZ8" s="11" t="str">
        <f t="shared" si="148"/>
        <v/>
      </c>
      <c r="NA8" s="11" t="str">
        <f t="shared" si="149"/>
        <v/>
      </c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36" t="str">
        <f t="shared" si="155"/>
        <v/>
      </c>
      <c r="OB8" s="36" t="str">
        <f t="shared" si="156"/>
        <v/>
      </c>
      <c r="OC8" s="36" t="str">
        <f t="shared" si="157"/>
        <v/>
      </c>
      <c r="OD8" s="36" t="str">
        <f t="shared" si="158"/>
        <v/>
      </c>
      <c r="OE8" s="36" t="str">
        <f t="shared" si="159"/>
        <v/>
      </c>
      <c r="OF8" s="36" t="str">
        <f t="shared" si="160"/>
        <v/>
      </c>
      <c r="OG8" s="36" t="str">
        <f t="shared" si="161"/>
        <v/>
      </c>
      <c r="OH8" s="36" t="str">
        <f t="shared" si="162"/>
        <v/>
      </c>
      <c r="OI8" s="36" t="str">
        <f t="shared" si="163"/>
        <v/>
      </c>
      <c r="OJ8" s="36" t="str">
        <f t="shared" si="164"/>
        <v/>
      </c>
      <c r="OK8" s="36" t="str">
        <f t="shared" si="165"/>
        <v/>
      </c>
      <c r="OL8" s="36" t="str">
        <f t="shared" si="166"/>
        <v/>
      </c>
      <c r="OM8" s="36" t="str">
        <f t="shared" si="167"/>
        <v/>
      </c>
      <c r="ON8" s="36" t="str">
        <f t="shared" si="168"/>
        <v/>
      </c>
      <c r="OO8" s="16"/>
      <c r="OP8" s="16"/>
      <c r="OQ8" s="16"/>
      <c r="OR8" s="16"/>
      <c r="OS8" s="16"/>
      <c r="OT8" s="16"/>
      <c r="OU8" s="16"/>
      <c r="OV8" s="16"/>
      <c r="OW8" s="16"/>
      <c r="OX8" s="16"/>
      <c r="OY8" s="16"/>
      <c r="OZ8" s="16"/>
      <c r="PA8" s="16"/>
      <c r="PB8" s="16"/>
      <c r="PC8" s="16"/>
      <c r="PD8" s="16"/>
      <c r="PE8" s="16"/>
      <c r="PF8" s="16"/>
      <c r="PG8" s="16"/>
      <c r="PH8" s="16"/>
      <c r="PI8" s="11" t="str">
        <f t="shared" si="169"/>
        <v/>
      </c>
      <c r="PJ8" s="11" t="str">
        <f t="shared" si="170"/>
        <v/>
      </c>
      <c r="PK8" s="11" t="str">
        <f t="shared" si="171"/>
        <v/>
      </c>
      <c r="PL8" s="11" t="str">
        <f t="shared" si="172"/>
        <v/>
      </c>
      <c r="PM8" s="11" t="str">
        <f t="shared" si="173"/>
        <v/>
      </c>
      <c r="PN8" s="11" t="str">
        <f t="shared" si="174"/>
        <v/>
      </c>
      <c r="PO8" s="11" t="str">
        <f t="shared" si="175"/>
        <v/>
      </c>
      <c r="PP8" s="11" t="str">
        <f t="shared" si="176"/>
        <v/>
      </c>
      <c r="PQ8" s="11" t="str">
        <f t="shared" si="177"/>
        <v/>
      </c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36" t="str">
        <f t="shared" si="183"/>
        <v/>
      </c>
      <c r="QR8" s="36" t="str">
        <f t="shared" si="184"/>
        <v/>
      </c>
      <c r="QS8" s="36" t="str">
        <f t="shared" si="185"/>
        <v/>
      </c>
      <c r="QT8" s="36" t="str">
        <f t="shared" si="186"/>
        <v/>
      </c>
      <c r="QU8" s="36" t="str">
        <f t="shared" si="187"/>
        <v/>
      </c>
      <c r="QV8" s="36" t="str">
        <f t="shared" si="188"/>
        <v/>
      </c>
      <c r="QW8" s="36" t="str">
        <f t="shared" si="189"/>
        <v/>
      </c>
      <c r="QX8" s="36" t="str">
        <f t="shared" si="190"/>
        <v/>
      </c>
      <c r="QY8" s="36" t="str">
        <f t="shared" si="191"/>
        <v/>
      </c>
      <c r="QZ8" s="36" t="str">
        <f t="shared" si="192"/>
        <v/>
      </c>
      <c r="RA8" s="36" t="str">
        <f t="shared" si="193"/>
        <v/>
      </c>
      <c r="RB8" s="36" t="str">
        <f t="shared" si="194"/>
        <v/>
      </c>
      <c r="RC8" s="36" t="str">
        <f t="shared" si="195"/>
        <v/>
      </c>
      <c r="RD8" s="36" t="str">
        <f t="shared" si="196"/>
        <v/>
      </c>
      <c r="RE8" s="16"/>
      <c r="RF8" s="16"/>
      <c r="RG8" s="16"/>
      <c r="RH8" s="16"/>
      <c r="RI8" s="16"/>
      <c r="RJ8" s="16"/>
      <c r="RK8" s="16"/>
      <c r="RL8" s="16"/>
      <c r="RM8" s="16"/>
      <c r="RN8" s="16"/>
      <c r="RO8" s="16"/>
      <c r="RP8" s="16"/>
      <c r="RQ8" s="16"/>
      <c r="RR8" s="16"/>
      <c r="RS8" s="16"/>
      <c r="RT8" s="16"/>
      <c r="RU8" s="16"/>
      <c r="RV8" s="16"/>
      <c r="RW8" s="16"/>
      <c r="RX8" s="16"/>
      <c r="RY8" s="11" t="str">
        <f t="shared" si="197"/>
        <v/>
      </c>
      <c r="RZ8" s="11" t="str">
        <f t="shared" si="198"/>
        <v/>
      </c>
      <c r="SA8" s="11" t="str">
        <f t="shared" si="199"/>
        <v/>
      </c>
      <c r="SB8" s="11" t="str">
        <f t="shared" si="200"/>
        <v/>
      </c>
      <c r="SC8" s="11" t="str">
        <f t="shared" si="201"/>
        <v/>
      </c>
      <c r="SD8" s="11" t="str">
        <f t="shared" si="202"/>
        <v/>
      </c>
      <c r="SE8" s="11" t="str">
        <f t="shared" si="203"/>
        <v/>
      </c>
      <c r="SF8" s="11" t="str">
        <f t="shared" si="204"/>
        <v/>
      </c>
      <c r="SG8" s="11" t="str">
        <f t="shared" si="205"/>
        <v/>
      </c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36" t="str">
        <f t="shared" si="211"/>
        <v/>
      </c>
      <c r="TH8" s="36" t="str">
        <f t="shared" si="212"/>
        <v/>
      </c>
      <c r="TI8" s="36" t="str">
        <f t="shared" si="213"/>
        <v/>
      </c>
      <c r="TJ8" s="36" t="str">
        <f t="shared" si="214"/>
        <v/>
      </c>
      <c r="TK8" s="36" t="str">
        <f t="shared" si="215"/>
        <v/>
      </c>
      <c r="TL8" s="36" t="str">
        <f t="shared" si="216"/>
        <v/>
      </c>
      <c r="TM8" s="36" t="str">
        <f t="shared" si="217"/>
        <v/>
      </c>
      <c r="TN8" s="36" t="str">
        <f t="shared" si="218"/>
        <v/>
      </c>
      <c r="TO8" s="36" t="str">
        <f t="shared" si="219"/>
        <v/>
      </c>
      <c r="TP8" s="36" t="str">
        <f t="shared" si="220"/>
        <v/>
      </c>
      <c r="TQ8" s="36" t="str">
        <f t="shared" si="221"/>
        <v/>
      </c>
      <c r="TR8" s="36" t="str">
        <f t="shared" si="222"/>
        <v/>
      </c>
      <c r="TS8" s="36" t="str">
        <f t="shared" si="223"/>
        <v/>
      </c>
      <c r="TT8" s="36" t="str">
        <f t="shared" si="224"/>
        <v/>
      </c>
      <c r="TU8" s="16"/>
      <c r="TV8" s="16"/>
      <c r="TW8" s="16"/>
      <c r="TX8" s="16"/>
      <c r="TY8" s="16"/>
      <c r="TZ8" s="16"/>
      <c r="UA8" s="16"/>
      <c r="UB8" s="16"/>
      <c r="UC8" s="16"/>
      <c r="UD8" s="16"/>
      <c r="UE8" s="16"/>
      <c r="UF8" s="16"/>
      <c r="UG8" s="16"/>
      <c r="UH8" s="16"/>
      <c r="UI8" s="16"/>
      <c r="UJ8" s="16"/>
      <c r="UK8" s="16"/>
      <c r="UL8" s="16"/>
      <c r="UM8" s="16"/>
      <c r="UN8" s="16"/>
      <c r="UO8" s="11" t="str">
        <f t="shared" si="225"/>
        <v/>
      </c>
      <c r="UP8" s="11" t="str">
        <f t="shared" si="226"/>
        <v/>
      </c>
      <c r="UQ8" s="11" t="str">
        <f t="shared" si="227"/>
        <v/>
      </c>
      <c r="UR8" s="11" t="str">
        <f t="shared" si="228"/>
        <v/>
      </c>
      <c r="US8" s="11" t="str">
        <f t="shared" si="229"/>
        <v/>
      </c>
      <c r="UT8" s="11" t="str">
        <f t="shared" si="230"/>
        <v/>
      </c>
      <c r="UU8" s="11" t="str">
        <f t="shared" si="231"/>
        <v/>
      </c>
      <c r="UV8" s="11" t="str">
        <f t="shared" si="232"/>
        <v/>
      </c>
      <c r="UW8" s="11" t="str">
        <f t="shared" si="233"/>
        <v/>
      </c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36" t="str">
        <f t="shared" si="239"/>
        <v/>
      </c>
      <c r="VX8" s="36" t="str">
        <f t="shared" si="240"/>
        <v/>
      </c>
      <c r="VY8" s="36" t="str">
        <f t="shared" si="241"/>
        <v/>
      </c>
      <c r="VZ8" s="36" t="str">
        <f t="shared" si="242"/>
        <v/>
      </c>
      <c r="WA8" s="36" t="str">
        <f t="shared" si="243"/>
        <v/>
      </c>
      <c r="WB8" s="36" t="str">
        <f t="shared" si="244"/>
        <v/>
      </c>
      <c r="WC8" s="36" t="str">
        <f t="shared" si="245"/>
        <v/>
      </c>
      <c r="WD8" s="36" t="str">
        <f t="shared" si="246"/>
        <v/>
      </c>
      <c r="WE8" s="36" t="str">
        <f t="shared" si="247"/>
        <v/>
      </c>
      <c r="WF8" s="36" t="str">
        <f t="shared" si="248"/>
        <v/>
      </c>
      <c r="WG8" s="36" t="str">
        <f t="shared" si="249"/>
        <v/>
      </c>
      <c r="WH8" s="36" t="str">
        <f t="shared" si="250"/>
        <v/>
      </c>
      <c r="WI8" s="36" t="str">
        <f t="shared" si="251"/>
        <v/>
      </c>
      <c r="WJ8" s="36" t="str">
        <f t="shared" si="252"/>
        <v/>
      </c>
    </row>
    <row r="9" spans="1:608" x14ac:dyDescent="0.2">
      <c r="A9" s="4" t="str" cm="1">
        <f t="array" ref="A9">IF(AND(H9&lt;&gt;"",H9&lt;&gt;"No DD",I9&lt;&gt;"P"),SUMPRODUCT((H$4:H$14&lt;&gt;"")*(H$4:H$14&lt;&gt;"No DD")*(I$4:I$14&lt;&gt;"P")*(E$4:E$14&gt;E9))+1,IF(H9="No DD",SUMPRODUCT((H$4:H$14="No DD")*(I$4:I$14&lt;&gt;"P")*(E$4:E$14&gt;E9))+1+SUMPRODUCT((H$4:H$14&lt;&gt;"")*(I$4:I$14&lt;&gt;"P")*(H$4:H$14&lt;&gt;"No DD")),""))</f>
        <v/>
      </c>
      <c r="B9" s="5" t="s">
        <v>202</v>
      </c>
      <c r="C9" s="4" t="s">
        <v>6</v>
      </c>
      <c r="D9" s="4">
        <v>2009</v>
      </c>
      <c r="E9" s="9">
        <f t="shared" si="0"/>
        <v>96.750009675004875</v>
      </c>
      <c r="F9" s="3" t="str">
        <f t="shared" si="1"/>
        <v/>
      </c>
      <c r="G9" s="3" t="str">
        <f t="shared" si="2"/>
        <v/>
      </c>
      <c r="H9" s="32" t="str">
        <f t="shared" si="3"/>
        <v/>
      </c>
      <c r="I9" s="3" t="str">
        <f>IF(COUNTIFS('Senior-W'!B:B,B9,'Senior-W'!A:A,"&lt;9",'Senior-W'!H:H,"&lt;&gt;"&amp;"No DD"),"P","")</f>
        <v/>
      </c>
      <c r="J9" s="8">
        <f t="shared" si="4"/>
        <v>48.73</v>
      </c>
      <c r="K9" s="8" t="str">
        <f t="shared" si="5"/>
        <v>2025 Nationals</v>
      </c>
      <c r="L9" s="8">
        <f>IFERROR(LARGE((AI9,AL9,AP9,BJ9,BM9,BQ9,CK9,CN9,CR9),2),0)</f>
        <v>48.019999999999996</v>
      </c>
      <c r="M9" s="8" t="str">
        <f t="shared" si="6"/>
        <v>2025 Nationals</v>
      </c>
      <c r="N9" s="8">
        <f t="shared" si="7"/>
        <v>0</v>
      </c>
      <c r="O9" s="11" t="str">
        <f>IF(N9=0,"",IF(N9=CT9,"("&amp;CT$2&amp;")",IF(N9=#REF!,"("&amp;#REF!&amp;")")))</f>
        <v/>
      </c>
      <c r="P9" s="8" t="str">
        <f t="shared" si="8"/>
        <v/>
      </c>
      <c r="Q9" s="18">
        <v>17.5</v>
      </c>
      <c r="R9" s="18">
        <v>9.8000000000000007</v>
      </c>
      <c r="S9" s="18">
        <v>0</v>
      </c>
      <c r="T9" s="18">
        <v>14.97</v>
      </c>
      <c r="U9" s="18">
        <v>0</v>
      </c>
      <c r="V9" s="18">
        <v>13.5</v>
      </c>
      <c r="W9" s="18">
        <v>9.1999999999999993</v>
      </c>
      <c r="X9" s="18">
        <v>10.8</v>
      </c>
      <c r="Y9" s="18">
        <v>14.52</v>
      </c>
      <c r="Z9" s="18">
        <v>0</v>
      </c>
      <c r="AA9" s="18">
        <v>13.5</v>
      </c>
      <c r="AB9" s="18">
        <v>9.1999999999999993</v>
      </c>
      <c r="AC9" s="18">
        <v>11.7</v>
      </c>
      <c r="AD9" s="18">
        <v>14.33</v>
      </c>
      <c r="AE9" s="18">
        <v>0</v>
      </c>
      <c r="AF9" s="23"/>
      <c r="AG9" s="34" t="str">
        <f t="shared" si="9"/>
        <v/>
      </c>
      <c r="AH9" s="34">
        <f t="shared" si="10"/>
        <v>14.97</v>
      </c>
      <c r="AI9" s="36">
        <f t="shared" si="11"/>
        <v>42.27</v>
      </c>
      <c r="AJ9" s="36">
        <f t="shared" si="12"/>
        <v>10.8</v>
      </c>
      <c r="AK9" s="36">
        <f t="shared" si="13"/>
        <v>14.52</v>
      </c>
      <c r="AL9" s="36">
        <f t="shared" si="14"/>
        <v>48.019999999999996</v>
      </c>
      <c r="AM9" s="36">
        <f t="shared" si="15"/>
        <v>48.019999999999996</v>
      </c>
      <c r="AN9" s="36">
        <f t="shared" si="16"/>
        <v>11.7</v>
      </c>
      <c r="AO9" s="36">
        <f t="shared" si="17"/>
        <v>14.33</v>
      </c>
      <c r="AP9" s="36">
        <f t="shared" si="18"/>
        <v>48.73</v>
      </c>
      <c r="AQ9" s="36">
        <f t="shared" si="19"/>
        <v>96.75</v>
      </c>
      <c r="AR9" s="22">
        <v>15.2</v>
      </c>
      <c r="AS9" s="22">
        <v>9.6</v>
      </c>
      <c r="AT9" s="22">
        <v>0</v>
      </c>
      <c r="AU9" s="22">
        <v>14.98</v>
      </c>
      <c r="AV9" s="22">
        <v>0</v>
      </c>
      <c r="AW9" s="22">
        <v>10.4</v>
      </c>
      <c r="AX9" s="22">
        <v>9.4</v>
      </c>
      <c r="AY9" s="22">
        <v>8.6999999999999993</v>
      </c>
      <c r="AZ9" s="22">
        <v>14.56</v>
      </c>
      <c r="BA9" s="22">
        <v>0.5</v>
      </c>
      <c r="BB9" s="22">
        <v>12.3</v>
      </c>
      <c r="BC9" s="22">
        <v>8.8000000000000007</v>
      </c>
      <c r="BD9" s="22">
        <v>9</v>
      </c>
      <c r="BE9" s="22">
        <v>14.31</v>
      </c>
      <c r="BF9" s="22">
        <v>0.2</v>
      </c>
      <c r="BG9" s="24"/>
      <c r="BH9" s="35" t="str">
        <f t="shared" si="20"/>
        <v/>
      </c>
      <c r="BI9" s="35">
        <f t="shared" si="21"/>
        <v>14.98</v>
      </c>
      <c r="BJ9" s="11">
        <f t="shared" si="22"/>
        <v>39.78</v>
      </c>
      <c r="BK9" s="11">
        <f t="shared" si="23"/>
        <v>8.6999999999999993</v>
      </c>
      <c r="BL9" s="11">
        <f t="shared" si="24"/>
        <v>14.56</v>
      </c>
      <c r="BM9" s="11">
        <f t="shared" si="25"/>
        <v>42.56</v>
      </c>
      <c r="BN9" s="11">
        <f t="shared" si="26"/>
        <v>42.56</v>
      </c>
      <c r="BO9" s="11">
        <f t="shared" si="27"/>
        <v>9</v>
      </c>
      <c r="BP9" s="11">
        <f t="shared" si="28"/>
        <v>14.31</v>
      </c>
      <c r="BQ9" s="11">
        <f t="shared" si="29"/>
        <v>44.21</v>
      </c>
      <c r="BR9" s="11">
        <f t="shared" si="30"/>
        <v>86.77000000000001</v>
      </c>
      <c r="BS9" s="18">
        <v>13.4</v>
      </c>
      <c r="BT9" s="18">
        <v>8.8000000000000007</v>
      </c>
      <c r="BU9" s="18">
        <v>11.6</v>
      </c>
      <c r="BV9" s="18">
        <v>13.99</v>
      </c>
      <c r="BW9" s="18">
        <v>0</v>
      </c>
      <c r="BX9" s="18">
        <v>12</v>
      </c>
      <c r="BY9" s="18">
        <v>8.1999999999999993</v>
      </c>
      <c r="BZ9" s="18">
        <v>10.1</v>
      </c>
      <c r="CA9" s="18">
        <v>12.79</v>
      </c>
      <c r="CB9" s="18">
        <v>0</v>
      </c>
      <c r="CC9" s="18">
        <v>1.4</v>
      </c>
      <c r="CD9" s="18">
        <v>1</v>
      </c>
      <c r="CE9" s="18">
        <v>1.5</v>
      </c>
      <c r="CF9" s="18">
        <v>1.54</v>
      </c>
      <c r="CG9" s="18">
        <v>0</v>
      </c>
      <c r="CH9" s="23"/>
      <c r="CI9" s="34">
        <f t="shared" si="31"/>
        <v>11.6</v>
      </c>
      <c r="CJ9" s="34">
        <f t="shared" si="32"/>
        <v>13.99</v>
      </c>
      <c r="CK9" s="36">
        <f t="shared" si="33"/>
        <v>47.790000000000006</v>
      </c>
      <c r="CL9" s="36">
        <f t="shared" si="34"/>
        <v>10.1</v>
      </c>
      <c r="CM9" s="36">
        <f t="shared" si="35"/>
        <v>12.79</v>
      </c>
      <c r="CN9" s="36">
        <f t="shared" si="36"/>
        <v>43.089999999999996</v>
      </c>
      <c r="CO9" s="36">
        <f t="shared" si="37"/>
        <v>47.790000000000006</v>
      </c>
      <c r="CP9" s="36">
        <f t="shared" si="38"/>
        <v>1.5</v>
      </c>
      <c r="CQ9" s="36">
        <f t="shared" si="39"/>
        <v>1.54</v>
      </c>
      <c r="CR9" s="36">
        <f t="shared" si="40"/>
        <v>5.4399999999999995</v>
      </c>
      <c r="CS9" s="36">
        <f t="shared" si="41"/>
        <v>53.230000000000004</v>
      </c>
      <c r="CT9" s="47" t="str">
        <f t="shared" si="42"/>
        <v/>
      </c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36" t="str">
        <f t="shared" si="43"/>
        <v/>
      </c>
      <c r="DP9" s="36" t="str">
        <f t="shared" si="44"/>
        <v/>
      </c>
      <c r="DQ9" s="36" t="str">
        <f t="shared" si="45"/>
        <v/>
      </c>
      <c r="DR9" s="36" t="str">
        <f t="shared" si="46"/>
        <v/>
      </c>
      <c r="DS9" s="36" t="str">
        <f t="shared" si="47"/>
        <v/>
      </c>
      <c r="DT9" s="36" t="str">
        <f t="shared" si="48"/>
        <v/>
      </c>
      <c r="DU9" s="36" t="str">
        <f t="shared" si="49"/>
        <v/>
      </c>
      <c r="DV9" s="36" t="str">
        <f t="shared" si="50"/>
        <v/>
      </c>
      <c r="DW9" s="36" t="str">
        <f t="shared" si="51"/>
        <v/>
      </c>
      <c r="DX9" s="36" t="str">
        <f t="shared" si="52"/>
        <v/>
      </c>
      <c r="DY9" s="36" t="str">
        <f t="shared" si="53"/>
        <v/>
      </c>
      <c r="DZ9" s="36" t="str">
        <f t="shared" si="54"/>
        <v/>
      </c>
      <c r="EA9" s="36" t="str">
        <f t="shared" si="55"/>
        <v/>
      </c>
      <c r="EB9" s="36" t="str">
        <f t="shared" si="56"/>
        <v/>
      </c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1" t="str">
        <f t="shared" si="57"/>
        <v/>
      </c>
      <c r="EX9" s="11" t="str">
        <f t="shared" si="58"/>
        <v/>
      </c>
      <c r="EY9" s="11" t="str">
        <f t="shared" si="59"/>
        <v/>
      </c>
      <c r="EZ9" s="11" t="str">
        <f t="shared" si="60"/>
        <v/>
      </c>
      <c r="FA9" s="11" t="str">
        <f t="shared" si="61"/>
        <v/>
      </c>
      <c r="FB9" s="11" t="str">
        <f t="shared" si="62"/>
        <v/>
      </c>
      <c r="FC9" s="11" t="str">
        <f t="shared" si="63"/>
        <v/>
      </c>
      <c r="FD9" s="11" t="str">
        <f t="shared" si="64"/>
        <v/>
      </c>
      <c r="FE9" s="11" t="str">
        <f t="shared" si="65"/>
        <v/>
      </c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36" t="str">
        <f t="shared" si="71"/>
        <v/>
      </c>
      <c r="GF9" s="36" t="str">
        <f t="shared" si="72"/>
        <v/>
      </c>
      <c r="GG9" s="36" t="str">
        <f t="shared" si="73"/>
        <v/>
      </c>
      <c r="GH9" s="36" t="str">
        <f t="shared" si="74"/>
        <v/>
      </c>
      <c r="GI9" s="36" t="str">
        <f t="shared" si="75"/>
        <v/>
      </c>
      <c r="GJ9" s="36" t="str">
        <f t="shared" si="76"/>
        <v/>
      </c>
      <c r="GK9" s="36" t="str">
        <f t="shared" si="77"/>
        <v/>
      </c>
      <c r="GL9" s="36" t="str">
        <f t="shared" si="78"/>
        <v/>
      </c>
      <c r="GM9" s="36" t="str">
        <f t="shared" si="79"/>
        <v/>
      </c>
      <c r="GN9" s="36" t="str">
        <f t="shared" si="80"/>
        <v/>
      </c>
      <c r="GO9" s="36" t="str">
        <f t="shared" si="81"/>
        <v/>
      </c>
      <c r="GP9" s="36" t="str">
        <f t="shared" si="82"/>
        <v/>
      </c>
      <c r="GQ9" s="36" t="str">
        <f t="shared" si="83"/>
        <v/>
      </c>
      <c r="GR9" s="36" t="str">
        <f t="shared" si="84"/>
        <v/>
      </c>
      <c r="GS9" s="16">
        <v>15.2</v>
      </c>
      <c r="GT9" s="16">
        <v>9.6</v>
      </c>
      <c r="GU9" s="16">
        <v>0</v>
      </c>
      <c r="GV9" s="16">
        <v>15.04</v>
      </c>
      <c r="GW9" s="16">
        <v>0</v>
      </c>
      <c r="GX9" s="16">
        <v>3.8</v>
      </c>
      <c r="GY9" s="16">
        <v>2.7</v>
      </c>
      <c r="GZ9" s="16">
        <v>3.9</v>
      </c>
      <c r="HA9" s="16">
        <v>4.54</v>
      </c>
      <c r="HB9" s="16">
        <v>0</v>
      </c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1" t="str">
        <f t="shared" si="85"/>
        <v/>
      </c>
      <c r="HN9" s="11">
        <f t="shared" si="86"/>
        <v>15.04</v>
      </c>
      <c r="HO9" s="11">
        <f t="shared" si="87"/>
        <v>39.839999999999996</v>
      </c>
      <c r="HP9" s="11">
        <f t="shared" si="88"/>
        <v>3.9</v>
      </c>
      <c r="HQ9" s="11">
        <f t="shared" si="89"/>
        <v>4.54</v>
      </c>
      <c r="HR9" s="11">
        <f t="shared" si="90"/>
        <v>14.940000000000001</v>
      </c>
      <c r="HS9" s="11">
        <f t="shared" si="91"/>
        <v>39.839999999999996</v>
      </c>
      <c r="HT9" s="11" t="str">
        <f t="shared" si="92"/>
        <v/>
      </c>
      <c r="HU9" s="11" t="str">
        <f t="shared" si="93"/>
        <v/>
      </c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>
        <f t="shared" si="98"/>
        <v>39.839999999999996</v>
      </c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36" t="str">
        <f t="shared" si="99"/>
        <v/>
      </c>
      <c r="IV9" s="36" t="str">
        <f t="shared" si="100"/>
        <v/>
      </c>
      <c r="IW9" s="36" t="str">
        <f t="shared" si="101"/>
        <v/>
      </c>
      <c r="IX9" s="36" t="str">
        <f t="shared" si="102"/>
        <v/>
      </c>
      <c r="IY9" s="36" t="str">
        <f t="shared" si="103"/>
        <v/>
      </c>
      <c r="IZ9" s="36" t="str">
        <f t="shared" si="104"/>
        <v/>
      </c>
      <c r="JA9" s="36" t="str">
        <f t="shared" si="105"/>
        <v/>
      </c>
      <c r="JB9" s="36" t="str">
        <f t="shared" si="106"/>
        <v/>
      </c>
      <c r="JC9" s="36" t="str">
        <f t="shared" si="107"/>
        <v/>
      </c>
      <c r="JD9" s="36" t="str">
        <f t="shared" si="108"/>
        <v/>
      </c>
      <c r="JE9" s="36" t="str">
        <f t="shared" si="109"/>
        <v/>
      </c>
      <c r="JF9" s="36" t="str">
        <f t="shared" si="110"/>
        <v/>
      </c>
      <c r="JG9" s="36" t="str">
        <f t="shared" si="111"/>
        <v/>
      </c>
      <c r="JH9" s="36" t="str">
        <f t="shared" si="112"/>
        <v/>
      </c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1" t="str">
        <f t="shared" si="113"/>
        <v/>
      </c>
      <c r="KD9" s="11" t="str">
        <f t="shared" si="114"/>
        <v/>
      </c>
      <c r="KE9" s="11" t="str">
        <f t="shared" si="115"/>
        <v/>
      </c>
      <c r="KF9" s="11" t="str">
        <f t="shared" si="116"/>
        <v/>
      </c>
      <c r="KG9" s="11" t="str">
        <f t="shared" si="117"/>
        <v/>
      </c>
      <c r="KH9" s="11" t="str">
        <f t="shared" si="118"/>
        <v/>
      </c>
      <c r="KI9" s="11" t="str">
        <f t="shared" si="119"/>
        <v/>
      </c>
      <c r="KJ9" s="11" t="str">
        <f t="shared" si="120"/>
        <v/>
      </c>
      <c r="KK9" s="11" t="str">
        <f t="shared" si="121"/>
        <v/>
      </c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36" t="str">
        <f t="shared" si="127"/>
        <v/>
      </c>
      <c r="LL9" s="36" t="str">
        <f t="shared" si="128"/>
        <v/>
      </c>
      <c r="LM9" s="36" t="str">
        <f t="shared" si="129"/>
        <v/>
      </c>
      <c r="LN9" s="36" t="str">
        <f t="shared" si="130"/>
        <v/>
      </c>
      <c r="LO9" s="36" t="str">
        <f t="shared" si="131"/>
        <v/>
      </c>
      <c r="LP9" s="36" t="str">
        <f t="shared" si="132"/>
        <v/>
      </c>
      <c r="LQ9" s="36" t="str">
        <f t="shared" si="133"/>
        <v/>
      </c>
      <c r="LR9" s="36" t="str">
        <f t="shared" si="134"/>
        <v/>
      </c>
      <c r="LS9" s="36" t="str">
        <f t="shared" si="135"/>
        <v/>
      </c>
      <c r="LT9" s="36" t="str">
        <f t="shared" si="136"/>
        <v/>
      </c>
      <c r="LU9" s="36" t="str">
        <f t="shared" si="137"/>
        <v/>
      </c>
      <c r="LV9" s="36" t="str">
        <f t="shared" si="138"/>
        <v/>
      </c>
      <c r="LW9" s="36" t="str">
        <f t="shared" si="139"/>
        <v/>
      </c>
      <c r="LX9" s="36" t="str">
        <f t="shared" si="140"/>
        <v/>
      </c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16"/>
      <c r="MP9" s="16"/>
      <c r="MQ9" s="16"/>
      <c r="MR9" s="16"/>
      <c r="MS9" s="11" t="str">
        <f t="shared" si="141"/>
        <v/>
      </c>
      <c r="MT9" s="11" t="str">
        <f t="shared" si="142"/>
        <v/>
      </c>
      <c r="MU9" s="11" t="str">
        <f t="shared" si="143"/>
        <v/>
      </c>
      <c r="MV9" s="11" t="str">
        <f t="shared" si="144"/>
        <v/>
      </c>
      <c r="MW9" s="11" t="str">
        <f t="shared" si="145"/>
        <v/>
      </c>
      <c r="MX9" s="11" t="str">
        <f t="shared" si="146"/>
        <v/>
      </c>
      <c r="MY9" s="11" t="str">
        <f t="shared" si="147"/>
        <v/>
      </c>
      <c r="MZ9" s="11" t="str">
        <f t="shared" si="148"/>
        <v/>
      </c>
      <c r="NA9" s="11" t="str">
        <f t="shared" si="149"/>
        <v/>
      </c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36" t="str">
        <f t="shared" si="155"/>
        <v/>
      </c>
      <c r="OB9" s="36" t="str">
        <f t="shared" si="156"/>
        <v/>
      </c>
      <c r="OC9" s="36" t="str">
        <f t="shared" si="157"/>
        <v/>
      </c>
      <c r="OD9" s="36" t="str">
        <f t="shared" si="158"/>
        <v/>
      </c>
      <c r="OE9" s="36" t="str">
        <f t="shared" si="159"/>
        <v/>
      </c>
      <c r="OF9" s="36" t="str">
        <f t="shared" si="160"/>
        <v/>
      </c>
      <c r="OG9" s="36" t="str">
        <f t="shared" si="161"/>
        <v/>
      </c>
      <c r="OH9" s="36" t="str">
        <f t="shared" si="162"/>
        <v/>
      </c>
      <c r="OI9" s="36" t="str">
        <f t="shared" si="163"/>
        <v/>
      </c>
      <c r="OJ9" s="36" t="str">
        <f t="shared" si="164"/>
        <v/>
      </c>
      <c r="OK9" s="36" t="str">
        <f t="shared" si="165"/>
        <v/>
      </c>
      <c r="OL9" s="36" t="str">
        <f t="shared" si="166"/>
        <v/>
      </c>
      <c r="OM9" s="36" t="str">
        <f t="shared" si="167"/>
        <v/>
      </c>
      <c r="ON9" s="36" t="str">
        <f t="shared" si="168"/>
        <v/>
      </c>
      <c r="OO9" s="16"/>
      <c r="OP9" s="16"/>
      <c r="OQ9" s="16"/>
      <c r="OR9" s="16"/>
      <c r="OS9" s="16"/>
      <c r="OT9" s="16"/>
      <c r="OU9" s="16"/>
      <c r="OV9" s="16"/>
      <c r="OW9" s="16"/>
      <c r="OX9" s="16"/>
      <c r="OY9" s="16"/>
      <c r="OZ9" s="16"/>
      <c r="PA9" s="16"/>
      <c r="PB9" s="16"/>
      <c r="PC9" s="16"/>
      <c r="PD9" s="16"/>
      <c r="PE9" s="16"/>
      <c r="PF9" s="16"/>
      <c r="PG9" s="16"/>
      <c r="PH9" s="16"/>
      <c r="PI9" s="11" t="str">
        <f t="shared" si="169"/>
        <v/>
      </c>
      <c r="PJ9" s="11" t="str">
        <f t="shared" si="170"/>
        <v/>
      </c>
      <c r="PK9" s="11" t="str">
        <f t="shared" si="171"/>
        <v/>
      </c>
      <c r="PL9" s="11" t="str">
        <f t="shared" si="172"/>
        <v/>
      </c>
      <c r="PM9" s="11" t="str">
        <f t="shared" si="173"/>
        <v/>
      </c>
      <c r="PN9" s="11" t="str">
        <f t="shared" si="174"/>
        <v/>
      </c>
      <c r="PO9" s="11" t="str">
        <f t="shared" si="175"/>
        <v/>
      </c>
      <c r="PP9" s="11" t="str">
        <f t="shared" si="176"/>
        <v/>
      </c>
      <c r="PQ9" s="11" t="str">
        <f t="shared" si="177"/>
        <v/>
      </c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36" t="str">
        <f t="shared" si="183"/>
        <v/>
      </c>
      <c r="QR9" s="36" t="str">
        <f t="shared" si="184"/>
        <v/>
      </c>
      <c r="QS9" s="36" t="str">
        <f t="shared" si="185"/>
        <v/>
      </c>
      <c r="QT9" s="36" t="str">
        <f t="shared" si="186"/>
        <v/>
      </c>
      <c r="QU9" s="36" t="str">
        <f t="shared" si="187"/>
        <v/>
      </c>
      <c r="QV9" s="36" t="str">
        <f t="shared" si="188"/>
        <v/>
      </c>
      <c r="QW9" s="36" t="str">
        <f t="shared" si="189"/>
        <v/>
      </c>
      <c r="QX9" s="36" t="str">
        <f t="shared" si="190"/>
        <v/>
      </c>
      <c r="QY9" s="36" t="str">
        <f t="shared" si="191"/>
        <v/>
      </c>
      <c r="QZ9" s="36" t="str">
        <f t="shared" si="192"/>
        <v/>
      </c>
      <c r="RA9" s="36" t="str">
        <f t="shared" si="193"/>
        <v/>
      </c>
      <c r="RB9" s="36" t="str">
        <f t="shared" si="194"/>
        <v/>
      </c>
      <c r="RC9" s="36" t="str">
        <f t="shared" si="195"/>
        <v/>
      </c>
      <c r="RD9" s="36" t="str">
        <f t="shared" si="196"/>
        <v/>
      </c>
      <c r="RE9" s="16"/>
      <c r="RF9" s="16"/>
      <c r="RG9" s="16"/>
      <c r="RH9" s="16"/>
      <c r="RI9" s="16"/>
      <c r="RJ9" s="16"/>
      <c r="RK9" s="16"/>
      <c r="RL9" s="16"/>
      <c r="RM9" s="16"/>
      <c r="RN9" s="16"/>
      <c r="RO9" s="16"/>
      <c r="RP9" s="16"/>
      <c r="RQ9" s="16"/>
      <c r="RR9" s="16"/>
      <c r="RS9" s="16"/>
      <c r="RT9" s="16"/>
      <c r="RU9" s="16"/>
      <c r="RV9" s="16"/>
      <c r="RW9" s="16"/>
      <c r="RX9" s="16"/>
      <c r="RY9" s="11" t="str">
        <f t="shared" si="197"/>
        <v/>
      </c>
      <c r="RZ9" s="11" t="str">
        <f t="shared" si="198"/>
        <v/>
      </c>
      <c r="SA9" s="11" t="str">
        <f t="shared" si="199"/>
        <v/>
      </c>
      <c r="SB9" s="11" t="str">
        <f t="shared" si="200"/>
        <v/>
      </c>
      <c r="SC9" s="11" t="str">
        <f t="shared" si="201"/>
        <v/>
      </c>
      <c r="SD9" s="11" t="str">
        <f t="shared" si="202"/>
        <v/>
      </c>
      <c r="SE9" s="11" t="str">
        <f t="shared" si="203"/>
        <v/>
      </c>
      <c r="SF9" s="11" t="str">
        <f t="shared" si="204"/>
        <v/>
      </c>
      <c r="SG9" s="11" t="str">
        <f t="shared" si="205"/>
        <v/>
      </c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36" t="str">
        <f t="shared" si="211"/>
        <v/>
      </c>
      <c r="TH9" s="36" t="str">
        <f t="shared" si="212"/>
        <v/>
      </c>
      <c r="TI9" s="36" t="str">
        <f t="shared" si="213"/>
        <v/>
      </c>
      <c r="TJ9" s="36" t="str">
        <f t="shared" si="214"/>
        <v/>
      </c>
      <c r="TK9" s="36" t="str">
        <f t="shared" si="215"/>
        <v/>
      </c>
      <c r="TL9" s="36" t="str">
        <f t="shared" si="216"/>
        <v/>
      </c>
      <c r="TM9" s="36" t="str">
        <f t="shared" si="217"/>
        <v/>
      </c>
      <c r="TN9" s="36" t="str">
        <f t="shared" si="218"/>
        <v/>
      </c>
      <c r="TO9" s="36" t="str">
        <f t="shared" si="219"/>
        <v/>
      </c>
      <c r="TP9" s="36" t="str">
        <f t="shared" si="220"/>
        <v/>
      </c>
      <c r="TQ9" s="36" t="str">
        <f t="shared" si="221"/>
        <v/>
      </c>
      <c r="TR9" s="36" t="str">
        <f t="shared" si="222"/>
        <v/>
      </c>
      <c r="TS9" s="36" t="str">
        <f t="shared" si="223"/>
        <v/>
      </c>
      <c r="TT9" s="36" t="str">
        <f t="shared" si="224"/>
        <v/>
      </c>
      <c r="TU9" s="16"/>
      <c r="TV9" s="16"/>
      <c r="TW9" s="16"/>
      <c r="TX9" s="16"/>
      <c r="TY9" s="16"/>
      <c r="TZ9" s="16"/>
      <c r="UA9" s="16"/>
      <c r="UB9" s="16"/>
      <c r="UC9" s="16"/>
      <c r="UD9" s="16"/>
      <c r="UE9" s="16"/>
      <c r="UF9" s="16"/>
      <c r="UG9" s="16"/>
      <c r="UH9" s="16"/>
      <c r="UI9" s="16"/>
      <c r="UJ9" s="16"/>
      <c r="UK9" s="16"/>
      <c r="UL9" s="16"/>
      <c r="UM9" s="16"/>
      <c r="UN9" s="16"/>
      <c r="UO9" s="11" t="str">
        <f t="shared" si="225"/>
        <v/>
      </c>
      <c r="UP9" s="11" t="str">
        <f t="shared" si="226"/>
        <v/>
      </c>
      <c r="UQ9" s="11" t="str">
        <f t="shared" si="227"/>
        <v/>
      </c>
      <c r="UR9" s="11" t="str">
        <f t="shared" si="228"/>
        <v/>
      </c>
      <c r="US9" s="11" t="str">
        <f t="shared" si="229"/>
        <v/>
      </c>
      <c r="UT9" s="11" t="str">
        <f t="shared" si="230"/>
        <v/>
      </c>
      <c r="UU9" s="11" t="str">
        <f t="shared" si="231"/>
        <v/>
      </c>
      <c r="UV9" s="11" t="str">
        <f t="shared" si="232"/>
        <v/>
      </c>
      <c r="UW9" s="11" t="str">
        <f t="shared" si="233"/>
        <v/>
      </c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36" t="str">
        <f t="shared" si="239"/>
        <v/>
      </c>
      <c r="VX9" s="36" t="str">
        <f t="shared" si="240"/>
        <v/>
      </c>
      <c r="VY9" s="36" t="str">
        <f t="shared" si="241"/>
        <v/>
      </c>
      <c r="VZ9" s="36" t="str">
        <f t="shared" si="242"/>
        <v/>
      </c>
      <c r="WA9" s="36" t="str">
        <f t="shared" si="243"/>
        <v/>
      </c>
      <c r="WB9" s="36" t="str">
        <f t="shared" si="244"/>
        <v/>
      </c>
      <c r="WC9" s="36" t="str">
        <f t="shared" si="245"/>
        <v/>
      </c>
      <c r="WD9" s="36" t="str">
        <f t="shared" si="246"/>
        <v/>
      </c>
      <c r="WE9" s="36" t="str">
        <f t="shared" si="247"/>
        <v/>
      </c>
      <c r="WF9" s="36" t="str">
        <f t="shared" si="248"/>
        <v/>
      </c>
      <c r="WG9" s="36" t="str">
        <f t="shared" si="249"/>
        <v/>
      </c>
      <c r="WH9" s="36" t="str">
        <f t="shared" si="250"/>
        <v/>
      </c>
      <c r="WI9" s="36" t="str">
        <f t="shared" si="251"/>
        <v/>
      </c>
      <c r="WJ9" s="36" t="str">
        <f t="shared" si="252"/>
        <v/>
      </c>
    </row>
    <row r="10" spans="1:608" x14ac:dyDescent="0.2">
      <c r="A10" s="4" t="str" cm="1">
        <f t="array" ref="A10">IF(AND(H10&lt;&gt;"",H10&lt;&gt;"No DD",I10&lt;&gt;"P"),SUMPRODUCT((H$4:H$14&lt;&gt;"")*(H$4:H$14&lt;&gt;"No DD")*(I$4:I$14&lt;&gt;"P")*(E$4:E$14&gt;E10))+1,IF(H10="No DD",SUMPRODUCT((H$4:H$14="No DD")*(I$4:I$14&lt;&gt;"P")*(E$4:E$14&gt;E10))+1+SUMPRODUCT((H$4:H$14&lt;&gt;"")*(I$4:I$14&lt;&gt;"P")*(H$4:H$14&lt;&gt;"No DD")),""))</f>
        <v/>
      </c>
      <c r="B10" s="5" t="s">
        <v>205</v>
      </c>
      <c r="C10" s="4" t="s">
        <v>3</v>
      </c>
      <c r="D10" s="4">
        <v>2009</v>
      </c>
      <c r="E10" s="9">
        <f t="shared" si="0"/>
        <v>95.690009569004815</v>
      </c>
      <c r="F10" s="3" t="str">
        <f t="shared" si="1"/>
        <v/>
      </c>
      <c r="G10" s="3" t="str">
        <f t="shared" si="2"/>
        <v/>
      </c>
      <c r="H10" s="32" t="str">
        <f t="shared" si="3"/>
        <v/>
      </c>
      <c r="I10" s="3" t="str">
        <f>IF(COUNTIFS('Senior-W'!B:B,B10,'Senior-W'!A:A,"&lt;9",'Senior-W'!H:H,"&lt;&gt;"&amp;"No DD"),"P","")</f>
        <v/>
      </c>
      <c r="J10" s="8">
        <f t="shared" si="4"/>
        <v>48.040000000000006</v>
      </c>
      <c r="K10" s="8" t="str">
        <f t="shared" si="5"/>
        <v>2026 Elite Canada</v>
      </c>
      <c r="L10" s="8">
        <f>IFERROR(LARGE((AI10,AL10,AP10,BJ10,BM10,BQ10,CK10,CN10,CR10),2),0)</f>
        <v>47.650000000000006</v>
      </c>
      <c r="M10" s="8" t="str">
        <f t="shared" si="6"/>
        <v>2026 Elite Canada</v>
      </c>
      <c r="N10" s="8">
        <f t="shared" si="7"/>
        <v>0</v>
      </c>
      <c r="O10" s="11" t="str">
        <f>IF(N10=0,"",IF(N10=CT10,"("&amp;CT$2&amp;")",IF(N10=#REF!,"("&amp;#REF!&amp;")")))</f>
        <v/>
      </c>
      <c r="P10" s="8" t="str">
        <f t="shared" si="8"/>
        <v/>
      </c>
      <c r="Q10" s="18">
        <v>16.8</v>
      </c>
      <c r="R10" s="18">
        <v>9.3000000000000007</v>
      </c>
      <c r="S10" s="18">
        <v>0</v>
      </c>
      <c r="T10" s="18">
        <v>13.19</v>
      </c>
      <c r="U10" s="18">
        <v>0</v>
      </c>
      <c r="V10" s="18">
        <v>4.0999999999999996</v>
      </c>
      <c r="W10" s="18">
        <v>2.6</v>
      </c>
      <c r="X10" s="18">
        <v>3.4</v>
      </c>
      <c r="Y10" s="18">
        <v>4.03</v>
      </c>
      <c r="Z10" s="18">
        <v>0</v>
      </c>
      <c r="AA10" s="18">
        <v>11.8</v>
      </c>
      <c r="AB10" s="18">
        <v>9.1999999999999993</v>
      </c>
      <c r="AC10" s="18">
        <v>9.3000000000000007</v>
      </c>
      <c r="AD10" s="18">
        <v>12.66</v>
      </c>
      <c r="AE10" s="18">
        <v>0</v>
      </c>
      <c r="AF10" s="23"/>
      <c r="AG10" s="34" t="str">
        <f t="shared" si="9"/>
        <v/>
      </c>
      <c r="AH10" s="34">
        <f t="shared" si="10"/>
        <v>13.19</v>
      </c>
      <c r="AI10" s="36">
        <f t="shared" si="11"/>
        <v>39.29</v>
      </c>
      <c r="AJ10" s="36">
        <f t="shared" si="12"/>
        <v>3.4</v>
      </c>
      <c r="AK10" s="36">
        <f t="shared" si="13"/>
        <v>4.03</v>
      </c>
      <c r="AL10" s="36">
        <f t="shared" si="14"/>
        <v>14.129999999999999</v>
      </c>
      <c r="AM10" s="36">
        <f t="shared" si="15"/>
        <v>39.29</v>
      </c>
      <c r="AN10" s="36">
        <f t="shared" si="16"/>
        <v>9.3000000000000007</v>
      </c>
      <c r="AO10" s="36">
        <f t="shared" si="17"/>
        <v>12.66</v>
      </c>
      <c r="AP10" s="36">
        <f t="shared" si="18"/>
        <v>42.96</v>
      </c>
      <c r="AQ10" s="36">
        <f t="shared" si="19"/>
        <v>82.25</v>
      </c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4"/>
      <c r="BH10" s="35" t="str">
        <f t="shared" si="20"/>
        <v/>
      </c>
      <c r="BI10" s="35" t="str">
        <f t="shared" si="21"/>
        <v/>
      </c>
      <c r="BJ10" s="11" t="str">
        <f t="shared" si="22"/>
        <v/>
      </c>
      <c r="BK10" s="11" t="str">
        <f t="shared" si="23"/>
        <v/>
      </c>
      <c r="BL10" s="11" t="str">
        <f t="shared" si="24"/>
        <v/>
      </c>
      <c r="BM10" s="11" t="str">
        <f t="shared" si="25"/>
        <v/>
      </c>
      <c r="BN10" s="11" t="str">
        <f t="shared" si="26"/>
        <v/>
      </c>
      <c r="BO10" s="11" t="str">
        <f t="shared" si="27"/>
        <v/>
      </c>
      <c r="BP10" s="11" t="str">
        <f t="shared" si="28"/>
        <v/>
      </c>
      <c r="BQ10" s="11" t="str">
        <f t="shared" si="29"/>
        <v/>
      </c>
      <c r="BR10" s="11" t="str">
        <f t="shared" si="30"/>
        <v/>
      </c>
      <c r="BS10" s="18">
        <v>17.5</v>
      </c>
      <c r="BT10" s="18">
        <v>9.6</v>
      </c>
      <c r="BU10" s="18">
        <v>0</v>
      </c>
      <c r="BV10" s="18">
        <v>14.13</v>
      </c>
      <c r="BW10" s="18">
        <v>0</v>
      </c>
      <c r="BX10" s="18">
        <v>15.4</v>
      </c>
      <c r="BY10" s="18">
        <v>9.3000000000000007</v>
      </c>
      <c r="BZ10" s="18">
        <v>10.1</v>
      </c>
      <c r="CA10" s="18">
        <v>13.24</v>
      </c>
      <c r="CB10" s="18">
        <v>0</v>
      </c>
      <c r="CC10" s="18">
        <v>14.7</v>
      </c>
      <c r="CD10" s="18">
        <v>9.3000000000000007</v>
      </c>
      <c r="CE10" s="18">
        <v>10.1</v>
      </c>
      <c r="CF10" s="18">
        <v>13.55</v>
      </c>
      <c r="CG10" s="18">
        <v>0</v>
      </c>
      <c r="CH10" s="23"/>
      <c r="CI10" s="34" t="str">
        <f t="shared" si="31"/>
        <v/>
      </c>
      <c r="CJ10" s="34">
        <f t="shared" si="32"/>
        <v>14.13</v>
      </c>
      <c r="CK10" s="36">
        <f t="shared" si="33"/>
        <v>41.230000000000004</v>
      </c>
      <c r="CL10" s="36">
        <f t="shared" si="34"/>
        <v>10.1</v>
      </c>
      <c r="CM10" s="36">
        <f t="shared" si="35"/>
        <v>13.24</v>
      </c>
      <c r="CN10" s="36">
        <f t="shared" si="36"/>
        <v>48.040000000000006</v>
      </c>
      <c r="CO10" s="36">
        <f t="shared" si="37"/>
        <v>48.040000000000006</v>
      </c>
      <c r="CP10" s="36">
        <f t="shared" si="38"/>
        <v>10.1</v>
      </c>
      <c r="CQ10" s="36">
        <f t="shared" si="39"/>
        <v>13.55</v>
      </c>
      <c r="CR10" s="36">
        <f t="shared" si="40"/>
        <v>47.650000000000006</v>
      </c>
      <c r="CS10" s="36">
        <f t="shared" si="41"/>
        <v>95.690000000000012</v>
      </c>
      <c r="CT10" s="47" t="str">
        <f t="shared" si="42"/>
        <v/>
      </c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36" t="str">
        <f t="shared" si="43"/>
        <v/>
      </c>
      <c r="DP10" s="36" t="str">
        <f t="shared" si="44"/>
        <v/>
      </c>
      <c r="DQ10" s="36" t="str">
        <f t="shared" si="45"/>
        <v/>
      </c>
      <c r="DR10" s="36" t="str">
        <f t="shared" si="46"/>
        <v/>
      </c>
      <c r="DS10" s="36" t="str">
        <f t="shared" si="47"/>
        <v/>
      </c>
      <c r="DT10" s="36" t="str">
        <f t="shared" si="48"/>
        <v/>
      </c>
      <c r="DU10" s="36" t="str">
        <f t="shared" si="49"/>
        <v/>
      </c>
      <c r="DV10" s="36" t="str">
        <f t="shared" si="50"/>
        <v/>
      </c>
      <c r="DW10" s="36" t="str">
        <f t="shared" si="51"/>
        <v/>
      </c>
      <c r="DX10" s="36" t="str">
        <f t="shared" si="52"/>
        <v/>
      </c>
      <c r="DY10" s="36" t="str">
        <f t="shared" si="53"/>
        <v/>
      </c>
      <c r="DZ10" s="36" t="str">
        <f t="shared" si="54"/>
        <v/>
      </c>
      <c r="EA10" s="36" t="str">
        <f t="shared" si="55"/>
        <v/>
      </c>
      <c r="EB10" s="36" t="str">
        <f t="shared" si="56"/>
        <v/>
      </c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1" t="str">
        <f t="shared" si="57"/>
        <v/>
      </c>
      <c r="EX10" s="11" t="str">
        <f t="shared" si="58"/>
        <v/>
      </c>
      <c r="EY10" s="11" t="str">
        <f t="shared" si="59"/>
        <v/>
      </c>
      <c r="EZ10" s="11" t="str">
        <f t="shared" si="60"/>
        <v/>
      </c>
      <c r="FA10" s="11" t="str">
        <f t="shared" si="61"/>
        <v/>
      </c>
      <c r="FB10" s="11" t="str">
        <f t="shared" si="62"/>
        <v/>
      </c>
      <c r="FC10" s="11" t="str">
        <f t="shared" si="63"/>
        <v/>
      </c>
      <c r="FD10" s="11" t="str">
        <f t="shared" si="64"/>
        <v/>
      </c>
      <c r="FE10" s="11" t="str">
        <f t="shared" si="65"/>
        <v/>
      </c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36" t="str">
        <f t="shared" si="71"/>
        <v/>
      </c>
      <c r="GF10" s="36" t="str">
        <f t="shared" si="72"/>
        <v/>
      </c>
      <c r="GG10" s="36" t="str">
        <f t="shared" si="73"/>
        <v/>
      </c>
      <c r="GH10" s="36" t="str">
        <f t="shared" si="74"/>
        <v/>
      </c>
      <c r="GI10" s="36" t="str">
        <f t="shared" si="75"/>
        <v/>
      </c>
      <c r="GJ10" s="36" t="str">
        <f t="shared" si="76"/>
        <v/>
      </c>
      <c r="GK10" s="36" t="str">
        <f t="shared" si="77"/>
        <v/>
      </c>
      <c r="GL10" s="36" t="str">
        <f t="shared" si="78"/>
        <v/>
      </c>
      <c r="GM10" s="36" t="str">
        <f t="shared" si="79"/>
        <v/>
      </c>
      <c r="GN10" s="36" t="str">
        <f t="shared" si="80"/>
        <v/>
      </c>
      <c r="GO10" s="36" t="str">
        <f t="shared" si="81"/>
        <v/>
      </c>
      <c r="GP10" s="36" t="str">
        <f t="shared" si="82"/>
        <v/>
      </c>
      <c r="GQ10" s="36" t="str">
        <f t="shared" si="83"/>
        <v/>
      </c>
      <c r="GR10" s="36" t="str">
        <f t="shared" si="84"/>
        <v/>
      </c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1" t="str">
        <f t="shared" si="85"/>
        <v/>
      </c>
      <c r="HN10" s="11" t="str">
        <f t="shared" si="86"/>
        <v/>
      </c>
      <c r="HO10" s="11" t="str">
        <f t="shared" si="87"/>
        <v/>
      </c>
      <c r="HP10" s="11" t="str">
        <f t="shared" si="88"/>
        <v/>
      </c>
      <c r="HQ10" s="11" t="str">
        <f t="shared" si="89"/>
        <v/>
      </c>
      <c r="HR10" s="11" t="str">
        <f t="shared" si="90"/>
        <v/>
      </c>
      <c r="HS10" s="11" t="str">
        <f t="shared" si="91"/>
        <v/>
      </c>
      <c r="HT10" s="11" t="str">
        <f t="shared" si="92"/>
        <v/>
      </c>
      <c r="HU10" s="11" t="str">
        <f t="shared" si="93"/>
        <v/>
      </c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36" t="str">
        <f t="shared" si="99"/>
        <v/>
      </c>
      <c r="IV10" s="36" t="str">
        <f t="shared" si="100"/>
        <v/>
      </c>
      <c r="IW10" s="36" t="str">
        <f t="shared" si="101"/>
        <v/>
      </c>
      <c r="IX10" s="36" t="str">
        <f t="shared" si="102"/>
        <v/>
      </c>
      <c r="IY10" s="36" t="str">
        <f t="shared" si="103"/>
        <v/>
      </c>
      <c r="IZ10" s="36" t="str">
        <f t="shared" si="104"/>
        <v/>
      </c>
      <c r="JA10" s="36" t="str">
        <f t="shared" si="105"/>
        <v/>
      </c>
      <c r="JB10" s="36" t="str">
        <f t="shared" si="106"/>
        <v/>
      </c>
      <c r="JC10" s="36" t="str">
        <f t="shared" si="107"/>
        <v/>
      </c>
      <c r="JD10" s="36" t="str">
        <f t="shared" si="108"/>
        <v/>
      </c>
      <c r="JE10" s="36" t="str">
        <f t="shared" si="109"/>
        <v/>
      </c>
      <c r="JF10" s="36" t="str">
        <f t="shared" si="110"/>
        <v/>
      </c>
      <c r="JG10" s="36" t="str">
        <f t="shared" si="111"/>
        <v/>
      </c>
      <c r="JH10" s="36" t="str">
        <f t="shared" si="112"/>
        <v/>
      </c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1" t="str">
        <f t="shared" si="113"/>
        <v/>
      </c>
      <c r="KD10" s="11" t="str">
        <f t="shared" si="114"/>
        <v/>
      </c>
      <c r="KE10" s="11" t="str">
        <f t="shared" si="115"/>
        <v/>
      </c>
      <c r="KF10" s="11" t="str">
        <f t="shared" si="116"/>
        <v/>
      </c>
      <c r="KG10" s="11" t="str">
        <f t="shared" si="117"/>
        <v/>
      </c>
      <c r="KH10" s="11" t="str">
        <f t="shared" si="118"/>
        <v/>
      </c>
      <c r="KI10" s="11" t="str">
        <f t="shared" si="119"/>
        <v/>
      </c>
      <c r="KJ10" s="11" t="str">
        <f t="shared" si="120"/>
        <v/>
      </c>
      <c r="KK10" s="11" t="str">
        <f t="shared" si="121"/>
        <v/>
      </c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36" t="str">
        <f t="shared" si="127"/>
        <v/>
      </c>
      <c r="LL10" s="36" t="str">
        <f t="shared" si="128"/>
        <v/>
      </c>
      <c r="LM10" s="36" t="str">
        <f t="shared" si="129"/>
        <v/>
      </c>
      <c r="LN10" s="36" t="str">
        <f t="shared" si="130"/>
        <v/>
      </c>
      <c r="LO10" s="36" t="str">
        <f t="shared" si="131"/>
        <v/>
      </c>
      <c r="LP10" s="36" t="str">
        <f t="shared" si="132"/>
        <v/>
      </c>
      <c r="LQ10" s="36" t="str">
        <f t="shared" si="133"/>
        <v/>
      </c>
      <c r="LR10" s="36" t="str">
        <f t="shared" si="134"/>
        <v/>
      </c>
      <c r="LS10" s="36" t="str">
        <f t="shared" si="135"/>
        <v/>
      </c>
      <c r="LT10" s="36" t="str">
        <f t="shared" si="136"/>
        <v/>
      </c>
      <c r="LU10" s="36" t="str">
        <f t="shared" si="137"/>
        <v/>
      </c>
      <c r="LV10" s="36" t="str">
        <f t="shared" si="138"/>
        <v/>
      </c>
      <c r="LW10" s="36" t="str">
        <f t="shared" si="139"/>
        <v/>
      </c>
      <c r="LX10" s="36" t="str">
        <f t="shared" si="140"/>
        <v/>
      </c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1" t="str">
        <f t="shared" si="141"/>
        <v/>
      </c>
      <c r="MT10" s="11" t="str">
        <f t="shared" si="142"/>
        <v/>
      </c>
      <c r="MU10" s="11" t="str">
        <f t="shared" si="143"/>
        <v/>
      </c>
      <c r="MV10" s="11" t="str">
        <f t="shared" si="144"/>
        <v/>
      </c>
      <c r="MW10" s="11" t="str">
        <f t="shared" si="145"/>
        <v/>
      </c>
      <c r="MX10" s="11" t="str">
        <f t="shared" si="146"/>
        <v/>
      </c>
      <c r="MY10" s="11" t="str">
        <f t="shared" si="147"/>
        <v/>
      </c>
      <c r="MZ10" s="11" t="str">
        <f t="shared" si="148"/>
        <v/>
      </c>
      <c r="NA10" s="11" t="str">
        <f t="shared" si="149"/>
        <v/>
      </c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36" t="str">
        <f t="shared" si="155"/>
        <v/>
      </c>
      <c r="OB10" s="36" t="str">
        <f t="shared" si="156"/>
        <v/>
      </c>
      <c r="OC10" s="36" t="str">
        <f t="shared" si="157"/>
        <v/>
      </c>
      <c r="OD10" s="36" t="str">
        <f t="shared" si="158"/>
        <v/>
      </c>
      <c r="OE10" s="36" t="str">
        <f t="shared" si="159"/>
        <v/>
      </c>
      <c r="OF10" s="36" t="str">
        <f t="shared" si="160"/>
        <v/>
      </c>
      <c r="OG10" s="36" t="str">
        <f t="shared" si="161"/>
        <v/>
      </c>
      <c r="OH10" s="36" t="str">
        <f t="shared" si="162"/>
        <v/>
      </c>
      <c r="OI10" s="36" t="str">
        <f t="shared" si="163"/>
        <v/>
      </c>
      <c r="OJ10" s="36" t="str">
        <f t="shared" si="164"/>
        <v/>
      </c>
      <c r="OK10" s="36" t="str">
        <f t="shared" si="165"/>
        <v/>
      </c>
      <c r="OL10" s="36" t="str">
        <f t="shared" si="166"/>
        <v/>
      </c>
      <c r="OM10" s="36" t="str">
        <f t="shared" si="167"/>
        <v/>
      </c>
      <c r="ON10" s="36" t="str">
        <f t="shared" si="168"/>
        <v/>
      </c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1" t="str">
        <f t="shared" si="169"/>
        <v/>
      </c>
      <c r="PJ10" s="11" t="str">
        <f t="shared" si="170"/>
        <v/>
      </c>
      <c r="PK10" s="11" t="str">
        <f t="shared" si="171"/>
        <v/>
      </c>
      <c r="PL10" s="11" t="str">
        <f t="shared" si="172"/>
        <v/>
      </c>
      <c r="PM10" s="11" t="str">
        <f t="shared" si="173"/>
        <v/>
      </c>
      <c r="PN10" s="11" t="str">
        <f t="shared" si="174"/>
        <v/>
      </c>
      <c r="PO10" s="11" t="str">
        <f t="shared" si="175"/>
        <v/>
      </c>
      <c r="PP10" s="11" t="str">
        <f t="shared" si="176"/>
        <v/>
      </c>
      <c r="PQ10" s="11" t="str">
        <f t="shared" si="177"/>
        <v/>
      </c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36" t="str">
        <f t="shared" si="183"/>
        <v/>
      </c>
      <c r="QR10" s="36" t="str">
        <f t="shared" si="184"/>
        <v/>
      </c>
      <c r="QS10" s="36" t="str">
        <f t="shared" si="185"/>
        <v/>
      </c>
      <c r="QT10" s="36" t="str">
        <f t="shared" si="186"/>
        <v/>
      </c>
      <c r="QU10" s="36" t="str">
        <f t="shared" si="187"/>
        <v/>
      </c>
      <c r="QV10" s="36" t="str">
        <f t="shared" si="188"/>
        <v/>
      </c>
      <c r="QW10" s="36" t="str">
        <f t="shared" si="189"/>
        <v/>
      </c>
      <c r="QX10" s="36" t="str">
        <f t="shared" si="190"/>
        <v/>
      </c>
      <c r="QY10" s="36" t="str">
        <f t="shared" si="191"/>
        <v/>
      </c>
      <c r="QZ10" s="36" t="str">
        <f t="shared" si="192"/>
        <v/>
      </c>
      <c r="RA10" s="36" t="str">
        <f t="shared" si="193"/>
        <v/>
      </c>
      <c r="RB10" s="36" t="str">
        <f t="shared" si="194"/>
        <v/>
      </c>
      <c r="RC10" s="36" t="str">
        <f t="shared" si="195"/>
        <v/>
      </c>
      <c r="RD10" s="36" t="str">
        <f t="shared" si="196"/>
        <v/>
      </c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1" t="str">
        <f t="shared" si="197"/>
        <v/>
      </c>
      <c r="RZ10" s="11" t="str">
        <f t="shared" si="198"/>
        <v/>
      </c>
      <c r="SA10" s="11" t="str">
        <f t="shared" si="199"/>
        <v/>
      </c>
      <c r="SB10" s="11" t="str">
        <f t="shared" si="200"/>
        <v/>
      </c>
      <c r="SC10" s="11" t="str">
        <f t="shared" si="201"/>
        <v/>
      </c>
      <c r="SD10" s="11" t="str">
        <f t="shared" si="202"/>
        <v/>
      </c>
      <c r="SE10" s="11" t="str">
        <f t="shared" si="203"/>
        <v/>
      </c>
      <c r="SF10" s="11" t="str">
        <f t="shared" si="204"/>
        <v/>
      </c>
      <c r="SG10" s="11" t="str">
        <f t="shared" si="205"/>
        <v/>
      </c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36" t="str">
        <f t="shared" si="211"/>
        <v/>
      </c>
      <c r="TH10" s="36" t="str">
        <f t="shared" si="212"/>
        <v/>
      </c>
      <c r="TI10" s="36" t="str">
        <f t="shared" si="213"/>
        <v/>
      </c>
      <c r="TJ10" s="36" t="str">
        <f t="shared" si="214"/>
        <v/>
      </c>
      <c r="TK10" s="36" t="str">
        <f t="shared" si="215"/>
        <v/>
      </c>
      <c r="TL10" s="36" t="str">
        <f t="shared" si="216"/>
        <v/>
      </c>
      <c r="TM10" s="36" t="str">
        <f t="shared" si="217"/>
        <v/>
      </c>
      <c r="TN10" s="36" t="str">
        <f t="shared" si="218"/>
        <v/>
      </c>
      <c r="TO10" s="36" t="str">
        <f t="shared" si="219"/>
        <v/>
      </c>
      <c r="TP10" s="36" t="str">
        <f t="shared" si="220"/>
        <v/>
      </c>
      <c r="TQ10" s="36" t="str">
        <f t="shared" si="221"/>
        <v/>
      </c>
      <c r="TR10" s="36" t="str">
        <f t="shared" si="222"/>
        <v/>
      </c>
      <c r="TS10" s="36" t="str">
        <f t="shared" si="223"/>
        <v/>
      </c>
      <c r="TT10" s="36" t="str">
        <f t="shared" si="224"/>
        <v/>
      </c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1" t="str">
        <f t="shared" si="225"/>
        <v/>
      </c>
      <c r="UP10" s="11" t="str">
        <f t="shared" si="226"/>
        <v/>
      </c>
      <c r="UQ10" s="11" t="str">
        <f t="shared" si="227"/>
        <v/>
      </c>
      <c r="UR10" s="11" t="str">
        <f t="shared" si="228"/>
        <v/>
      </c>
      <c r="US10" s="11" t="str">
        <f t="shared" si="229"/>
        <v/>
      </c>
      <c r="UT10" s="11" t="str">
        <f t="shared" si="230"/>
        <v/>
      </c>
      <c r="UU10" s="11" t="str">
        <f t="shared" si="231"/>
        <v/>
      </c>
      <c r="UV10" s="11" t="str">
        <f t="shared" si="232"/>
        <v/>
      </c>
      <c r="UW10" s="11" t="str">
        <f t="shared" si="233"/>
        <v/>
      </c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36" t="str">
        <f t="shared" si="239"/>
        <v/>
      </c>
      <c r="VX10" s="36" t="str">
        <f t="shared" si="240"/>
        <v/>
      </c>
      <c r="VY10" s="36" t="str">
        <f t="shared" si="241"/>
        <v/>
      </c>
      <c r="VZ10" s="36" t="str">
        <f t="shared" si="242"/>
        <v/>
      </c>
      <c r="WA10" s="36" t="str">
        <f t="shared" si="243"/>
        <v/>
      </c>
      <c r="WB10" s="36" t="str">
        <f t="shared" si="244"/>
        <v/>
      </c>
      <c r="WC10" s="36" t="str">
        <f t="shared" si="245"/>
        <v/>
      </c>
      <c r="WD10" s="36" t="str">
        <f t="shared" si="246"/>
        <v/>
      </c>
      <c r="WE10" s="36" t="str">
        <f t="shared" si="247"/>
        <v/>
      </c>
      <c r="WF10" s="36" t="str">
        <f t="shared" si="248"/>
        <v/>
      </c>
      <c r="WG10" s="36" t="str">
        <f t="shared" si="249"/>
        <v/>
      </c>
      <c r="WH10" s="36" t="str">
        <f t="shared" si="250"/>
        <v/>
      </c>
      <c r="WI10" s="36" t="str">
        <f t="shared" si="251"/>
        <v/>
      </c>
      <c r="WJ10" s="36" t="str">
        <f t="shared" si="252"/>
        <v/>
      </c>
    </row>
    <row r="11" spans="1:608" x14ac:dyDescent="0.2">
      <c r="A11" s="4" t="str" cm="1">
        <f t="array" ref="A11">IF(AND(H11&lt;&gt;"",H11&lt;&gt;"No DD",I11&lt;&gt;"P"),SUMPRODUCT((H$4:H$14&lt;&gt;"")*(H$4:H$14&lt;&gt;"No DD")*(I$4:I$14&lt;&gt;"P")*(E$4:E$14&gt;E11))+1,IF(H11="No DD",SUMPRODUCT((H$4:H$14="No DD")*(I$4:I$14&lt;&gt;"P")*(E$4:E$14&gt;E11))+1+SUMPRODUCT((H$4:H$14&lt;&gt;"")*(I$4:I$14&lt;&gt;"P")*(H$4:H$14&lt;&gt;"No DD")),""))</f>
        <v/>
      </c>
      <c r="B11" s="5" t="s">
        <v>201</v>
      </c>
      <c r="C11" s="4" t="s">
        <v>6</v>
      </c>
      <c r="D11" s="4">
        <v>2009</v>
      </c>
      <c r="E11" s="9">
        <f t="shared" si="0"/>
        <v>95.570009557004781</v>
      </c>
      <c r="F11" s="3" t="str">
        <f t="shared" si="1"/>
        <v/>
      </c>
      <c r="G11" s="3" t="str">
        <f t="shared" si="2"/>
        <v/>
      </c>
      <c r="H11" s="32" t="str">
        <f t="shared" si="3"/>
        <v/>
      </c>
      <c r="I11" s="3" t="str">
        <f>IF(COUNTIFS('Senior-W'!B:B,B11,'Senior-W'!A:A,"&lt;9",'Senior-W'!H:H,"&lt;&gt;"&amp;"No DD"),"P","")</f>
        <v/>
      </c>
      <c r="J11" s="8">
        <f t="shared" si="4"/>
        <v>47.790000000000006</v>
      </c>
      <c r="K11" s="8" t="str">
        <f t="shared" si="5"/>
        <v>2025 Nationals</v>
      </c>
      <c r="L11" s="8">
        <f>IFERROR(LARGE((AI11,AL11,AP11,BJ11,BM11,BQ11,CK11,CN11,CR11),2),0)</f>
        <v>47.78</v>
      </c>
      <c r="M11" s="8" t="str">
        <f t="shared" si="6"/>
        <v>2025 3rd Domestic Trial</v>
      </c>
      <c r="N11" s="8">
        <f t="shared" si="7"/>
        <v>0</v>
      </c>
      <c r="O11" s="11" t="str">
        <f>IF(N11=0,"",IF(N11=CT11,"("&amp;CT$2&amp;")",IF(N11=#REF!,"("&amp;#REF!&amp;")")))</f>
        <v/>
      </c>
      <c r="P11" s="8" t="str">
        <f t="shared" si="8"/>
        <v/>
      </c>
      <c r="Q11" s="18">
        <v>17.899999999999999</v>
      </c>
      <c r="R11" s="18">
        <v>9.9</v>
      </c>
      <c r="S11" s="18">
        <v>0</v>
      </c>
      <c r="T11" s="18">
        <v>14.26</v>
      </c>
      <c r="U11" s="18">
        <v>0</v>
      </c>
      <c r="V11" s="18">
        <v>12.9</v>
      </c>
      <c r="W11" s="18">
        <v>8.9</v>
      </c>
      <c r="X11" s="18">
        <v>11.5</v>
      </c>
      <c r="Y11" s="18">
        <v>13.62</v>
      </c>
      <c r="Z11" s="18">
        <v>0</v>
      </c>
      <c r="AA11" s="18">
        <v>13.9</v>
      </c>
      <c r="AB11" s="18">
        <v>8.6999999999999993</v>
      </c>
      <c r="AC11" s="18">
        <v>11.6</v>
      </c>
      <c r="AD11" s="18">
        <v>13.59</v>
      </c>
      <c r="AE11" s="18">
        <v>0</v>
      </c>
      <c r="AF11" s="23"/>
      <c r="AG11" s="34" t="str">
        <f t="shared" si="9"/>
        <v/>
      </c>
      <c r="AH11" s="34">
        <f t="shared" si="10"/>
        <v>14.26</v>
      </c>
      <c r="AI11" s="36">
        <f t="shared" si="11"/>
        <v>42.059999999999995</v>
      </c>
      <c r="AJ11" s="36">
        <f t="shared" si="12"/>
        <v>11.5</v>
      </c>
      <c r="AK11" s="36">
        <f t="shared" si="13"/>
        <v>13.62</v>
      </c>
      <c r="AL11" s="36">
        <f t="shared" si="14"/>
        <v>46.919999999999995</v>
      </c>
      <c r="AM11" s="36">
        <f t="shared" si="15"/>
        <v>46.919999999999995</v>
      </c>
      <c r="AN11" s="36">
        <f t="shared" si="16"/>
        <v>11.6</v>
      </c>
      <c r="AO11" s="36">
        <f t="shared" si="17"/>
        <v>13.59</v>
      </c>
      <c r="AP11" s="36">
        <f t="shared" si="18"/>
        <v>47.790000000000006</v>
      </c>
      <c r="AQ11" s="36">
        <f t="shared" si="19"/>
        <v>94.710000000000008</v>
      </c>
      <c r="AR11" s="22">
        <v>16.3</v>
      </c>
      <c r="AS11" s="22">
        <v>9.6999999999999993</v>
      </c>
      <c r="AT11" s="22">
        <v>0</v>
      </c>
      <c r="AU11" s="22">
        <v>14.13</v>
      </c>
      <c r="AV11" s="22">
        <v>2</v>
      </c>
      <c r="AW11" s="22">
        <v>12.5</v>
      </c>
      <c r="AX11" s="22">
        <v>9.1999999999999993</v>
      </c>
      <c r="AY11" s="22">
        <v>12.4</v>
      </c>
      <c r="AZ11" s="22">
        <v>13.68</v>
      </c>
      <c r="BA11" s="22">
        <v>0</v>
      </c>
      <c r="BB11" s="22">
        <v>12.4</v>
      </c>
      <c r="BC11" s="22">
        <v>7.8</v>
      </c>
      <c r="BD11" s="22">
        <v>10.3</v>
      </c>
      <c r="BE11" s="22">
        <v>1.36</v>
      </c>
      <c r="BF11" s="22">
        <v>0</v>
      </c>
      <c r="BG11" s="24"/>
      <c r="BH11" s="35" t="str">
        <f t="shared" si="20"/>
        <v/>
      </c>
      <c r="BI11" s="35">
        <f t="shared" si="21"/>
        <v>14.13</v>
      </c>
      <c r="BJ11" s="11">
        <f t="shared" si="22"/>
        <v>38.130000000000003</v>
      </c>
      <c r="BK11" s="11">
        <f t="shared" si="23"/>
        <v>12.4</v>
      </c>
      <c r="BL11" s="11">
        <f t="shared" si="24"/>
        <v>13.68</v>
      </c>
      <c r="BM11" s="11">
        <f t="shared" si="25"/>
        <v>47.78</v>
      </c>
      <c r="BN11" s="11">
        <f t="shared" si="26"/>
        <v>47.78</v>
      </c>
      <c r="BO11" s="11">
        <f t="shared" si="27"/>
        <v>10.3</v>
      </c>
      <c r="BP11" s="11">
        <f t="shared" si="28"/>
        <v>1.36</v>
      </c>
      <c r="BQ11" s="11">
        <f t="shared" si="29"/>
        <v>31.86</v>
      </c>
      <c r="BR11" s="11">
        <f t="shared" si="30"/>
        <v>79.64</v>
      </c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23"/>
      <c r="CI11" s="34" t="str">
        <f t="shared" si="31"/>
        <v/>
      </c>
      <c r="CJ11" s="34" t="str">
        <f t="shared" si="32"/>
        <v/>
      </c>
      <c r="CK11" s="36" t="str">
        <f t="shared" si="33"/>
        <v/>
      </c>
      <c r="CL11" s="36" t="str">
        <f t="shared" si="34"/>
        <v/>
      </c>
      <c r="CM11" s="36" t="str">
        <f t="shared" si="35"/>
        <v/>
      </c>
      <c r="CN11" s="36" t="str">
        <f t="shared" si="36"/>
        <v/>
      </c>
      <c r="CO11" s="36" t="str">
        <f t="shared" si="37"/>
        <v/>
      </c>
      <c r="CP11" s="36" t="str">
        <f t="shared" si="38"/>
        <v/>
      </c>
      <c r="CQ11" s="36" t="str">
        <f t="shared" si="39"/>
        <v/>
      </c>
      <c r="CR11" s="36" t="str">
        <f t="shared" si="40"/>
        <v/>
      </c>
      <c r="CS11" s="36" t="str">
        <f t="shared" si="41"/>
        <v/>
      </c>
      <c r="CT11" s="47" t="str">
        <f t="shared" si="42"/>
        <v/>
      </c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36" t="str">
        <f t="shared" si="43"/>
        <v/>
      </c>
      <c r="DP11" s="36" t="str">
        <f t="shared" si="44"/>
        <v/>
      </c>
      <c r="DQ11" s="36" t="str">
        <f t="shared" si="45"/>
        <v/>
      </c>
      <c r="DR11" s="36" t="str">
        <f t="shared" si="46"/>
        <v/>
      </c>
      <c r="DS11" s="36" t="str">
        <f t="shared" si="47"/>
        <v/>
      </c>
      <c r="DT11" s="36" t="str">
        <f t="shared" si="48"/>
        <v/>
      </c>
      <c r="DU11" s="36" t="str">
        <f t="shared" si="49"/>
        <v/>
      </c>
      <c r="DV11" s="36" t="str">
        <f t="shared" si="50"/>
        <v/>
      </c>
      <c r="DW11" s="36" t="str">
        <f t="shared" si="51"/>
        <v/>
      </c>
      <c r="DX11" s="36" t="str">
        <f t="shared" si="52"/>
        <v/>
      </c>
      <c r="DY11" s="36" t="str">
        <f t="shared" si="53"/>
        <v/>
      </c>
      <c r="DZ11" s="36" t="str">
        <f t="shared" si="54"/>
        <v/>
      </c>
      <c r="EA11" s="36" t="str">
        <f t="shared" si="55"/>
        <v/>
      </c>
      <c r="EB11" s="36" t="str">
        <f t="shared" si="56"/>
        <v/>
      </c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1" t="str">
        <f t="shared" si="57"/>
        <v/>
      </c>
      <c r="EX11" s="11" t="str">
        <f t="shared" si="58"/>
        <v/>
      </c>
      <c r="EY11" s="11" t="str">
        <f t="shared" si="59"/>
        <v/>
      </c>
      <c r="EZ11" s="11" t="str">
        <f t="shared" si="60"/>
        <v/>
      </c>
      <c r="FA11" s="11" t="str">
        <f t="shared" si="61"/>
        <v/>
      </c>
      <c r="FB11" s="11" t="str">
        <f t="shared" si="62"/>
        <v/>
      </c>
      <c r="FC11" s="11" t="str">
        <f t="shared" si="63"/>
        <v/>
      </c>
      <c r="FD11" s="11" t="str">
        <f t="shared" si="64"/>
        <v/>
      </c>
      <c r="FE11" s="11" t="str">
        <f t="shared" si="65"/>
        <v/>
      </c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36" t="str">
        <f t="shared" si="71"/>
        <v/>
      </c>
      <c r="GF11" s="36" t="str">
        <f t="shared" si="72"/>
        <v/>
      </c>
      <c r="GG11" s="36" t="str">
        <f t="shared" si="73"/>
        <v/>
      </c>
      <c r="GH11" s="36" t="str">
        <f t="shared" si="74"/>
        <v/>
      </c>
      <c r="GI11" s="36" t="str">
        <f t="shared" si="75"/>
        <v/>
      </c>
      <c r="GJ11" s="36" t="str">
        <f t="shared" si="76"/>
        <v/>
      </c>
      <c r="GK11" s="36" t="str">
        <f t="shared" si="77"/>
        <v/>
      </c>
      <c r="GL11" s="36" t="str">
        <f t="shared" si="78"/>
        <v/>
      </c>
      <c r="GM11" s="36" t="str">
        <f t="shared" si="79"/>
        <v/>
      </c>
      <c r="GN11" s="36" t="str">
        <f t="shared" si="80"/>
        <v/>
      </c>
      <c r="GO11" s="36" t="str">
        <f t="shared" si="81"/>
        <v/>
      </c>
      <c r="GP11" s="36" t="str">
        <f t="shared" si="82"/>
        <v/>
      </c>
      <c r="GQ11" s="36" t="str">
        <f t="shared" si="83"/>
        <v/>
      </c>
      <c r="GR11" s="36" t="str">
        <f t="shared" si="84"/>
        <v/>
      </c>
      <c r="GS11" s="16">
        <v>16.3</v>
      </c>
      <c r="GT11" s="16">
        <v>9.5</v>
      </c>
      <c r="GU11" s="16">
        <v>0</v>
      </c>
      <c r="GV11" s="16">
        <v>14.47</v>
      </c>
      <c r="GW11" s="16">
        <v>0</v>
      </c>
      <c r="GX11" s="16">
        <v>8.6999999999999993</v>
      </c>
      <c r="GY11" s="16">
        <v>5.2</v>
      </c>
      <c r="GZ11" s="16">
        <v>6.6</v>
      </c>
      <c r="HA11" s="16">
        <v>8.51</v>
      </c>
      <c r="HB11" s="16">
        <v>0</v>
      </c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1" t="str">
        <f t="shared" si="85"/>
        <v/>
      </c>
      <c r="HN11" s="11">
        <f t="shared" si="86"/>
        <v>14.47</v>
      </c>
      <c r="HO11" s="11">
        <f t="shared" si="87"/>
        <v>40.270000000000003</v>
      </c>
      <c r="HP11" s="11">
        <f t="shared" si="88"/>
        <v>6.6</v>
      </c>
      <c r="HQ11" s="11">
        <f t="shared" si="89"/>
        <v>8.51</v>
      </c>
      <c r="HR11" s="11">
        <f t="shared" si="90"/>
        <v>29.009999999999998</v>
      </c>
      <c r="HS11" s="11">
        <f t="shared" si="91"/>
        <v>40.270000000000003</v>
      </c>
      <c r="HT11" s="11" t="str">
        <f t="shared" si="92"/>
        <v/>
      </c>
      <c r="HU11" s="11" t="str">
        <f t="shared" si="93"/>
        <v/>
      </c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>
        <f t="shared" si="98"/>
        <v>40.270000000000003</v>
      </c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36" t="str">
        <f t="shared" si="99"/>
        <v/>
      </c>
      <c r="IV11" s="36" t="str">
        <f t="shared" si="100"/>
        <v/>
      </c>
      <c r="IW11" s="36" t="str">
        <f t="shared" si="101"/>
        <v/>
      </c>
      <c r="IX11" s="36" t="str">
        <f t="shared" si="102"/>
        <v/>
      </c>
      <c r="IY11" s="36" t="str">
        <f t="shared" si="103"/>
        <v/>
      </c>
      <c r="IZ11" s="36" t="str">
        <f t="shared" si="104"/>
        <v/>
      </c>
      <c r="JA11" s="36" t="str">
        <f t="shared" si="105"/>
        <v/>
      </c>
      <c r="JB11" s="36" t="str">
        <f t="shared" si="106"/>
        <v/>
      </c>
      <c r="JC11" s="36" t="str">
        <f t="shared" si="107"/>
        <v/>
      </c>
      <c r="JD11" s="36" t="str">
        <f t="shared" si="108"/>
        <v/>
      </c>
      <c r="JE11" s="36" t="str">
        <f t="shared" si="109"/>
        <v/>
      </c>
      <c r="JF11" s="36" t="str">
        <f t="shared" si="110"/>
        <v/>
      </c>
      <c r="JG11" s="36" t="str">
        <f t="shared" si="111"/>
        <v/>
      </c>
      <c r="JH11" s="36" t="str">
        <f t="shared" si="112"/>
        <v/>
      </c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1" t="str">
        <f t="shared" si="113"/>
        <v/>
      </c>
      <c r="KD11" s="11" t="str">
        <f t="shared" si="114"/>
        <v/>
      </c>
      <c r="KE11" s="11" t="str">
        <f t="shared" si="115"/>
        <v/>
      </c>
      <c r="KF11" s="11" t="str">
        <f t="shared" si="116"/>
        <v/>
      </c>
      <c r="KG11" s="11" t="str">
        <f t="shared" si="117"/>
        <v/>
      </c>
      <c r="KH11" s="11" t="str">
        <f t="shared" si="118"/>
        <v/>
      </c>
      <c r="KI11" s="11" t="str">
        <f t="shared" si="119"/>
        <v/>
      </c>
      <c r="KJ11" s="11" t="str">
        <f t="shared" si="120"/>
        <v/>
      </c>
      <c r="KK11" s="11" t="str">
        <f t="shared" si="121"/>
        <v/>
      </c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36" t="str">
        <f t="shared" si="127"/>
        <v/>
      </c>
      <c r="LL11" s="36" t="str">
        <f t="shared" si="128"/>
        <v/>
      </c>
      <c r="LM11" s="36" t="str">
        <f t="shared" si="129"/>
        <v/>
      </c>
      <c r="LN11" s="36" t="str">
        <f t="shared" si="130"/>
        <v/>
      </c>
      <c r="LO11" s="36" t="str">
        <f t="shared" si="131"/>
        <v/>
      </c>
      <c r="LP11" s="36" t="str">
        <f t="shared" si="132"/>
        <v/>
      </c>
      <c r="LQ11" s="36" t="str">
        <f t="shared" si="133"/>
        <v/>
      </c>
      <c r="LR11" s="36" t="str">
        <f t="shared" si="134"/>
        <v/>
      </c>
      <c r="LS11" s="36" t="str">
        <f t="shared" si="135"/>
        <v/>
      </c>
      <c r="LT11" s="36" t="str">
        <f t="shared" si="136"/>
        <v/>
      </c>
      <c r="LU11" s="36" t="str">
        <f t="shared" si="137"/>
        <v/>
      </c>
      <c r="LV11" s="36" t="str">
        <f t="shared" si="138"/>
        <v/>
      </c>
      <c r="LW11" s="36" t="str">
        <f t="shared" si="139"/>
        <v/>
      </c>
      <c r="LX11" s="36" t="str">
        <f t="shared" si="140"/>
        <v/>
      </c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1" t="str">
        <f t="shared" si="141"/>
        <v/>
      </c>
      <c r="MT11" s="11" t="str">
        <f t="shared" si="142"/>
        <v/>
      </c>
      <c r="MU11" s="11" t="str">
        <f t="shared" si="143"/>
        <v/>
      </c>
      <c r="MV11" s="11" t="str">
        <f t="shared" si="144"/>
        <v/>
      </c>
      <c r="MW11" s="11" t="str">
        <f t="shared" si="145"/>
        <v/>
      </c>
      <c r="MX11" s="11" t="str">
        <f t="shared" si="146"/>
        <v/>
      </c>
      <c r="MY11" s="11" t="str">
        <f t="shared" si="147"/>
        <v/>
      </c>
      <c r="MZ11" s="11" t="str">
        <f t="shared" si="148"/>
        <v/>
      </c>
      <c r="NA11" s="11" t="str">
        <f t="shared" si="149"/>
        <v/>
      </c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36" t="str">
        <f t="shared" si="155"/>
        <v/>
      </c>
      <c r="OB11" s="36" t="str">
        <f t="shared" si="156"/>
        <v/>
      </c>
      <c r="OC11" s="36" t="str">
        <f t="shared" si="157"/>
        <v/>
      </c>
      <c r="OD11" s="36" t="str">
        <f t="shared" si="158"/>
        <v/>
      </c>
      <c r="OE11" s="36" t="str">
        <f t="shared" si="159"/>
        <v/>
      </c>
      <c r="OF11" s="36" t="str">
        <f t="shared" si="160"/>
        <v/>
      </c>
      <c r="OG11" s="36" t="str">
        <f t="shared" si="161"/>
        <v/>
      </c>
      <c r="OH11" s="36" t="str">
        <f t="shared" si="162"/>
        <v/>
      </c>
      <c r="OI11" s="36" t="str">
        <f t="shared" si="163"/>
        <v/>
      </c>
      <c r="OJ11" s="36" t="str">
        <f t="shared" si="164"/>
        <v/>
      </c>
      <c r="OK11" s="36" t="str">
        <f t="shared" si="165"/>
        <v/>
      </c>
      <c r="OL11" s="36" t="str">
        <f t="shared" si="166"/>
        <v/>
      </c>
      <c r="OM11" s="36" t="str">
        <f t="shared" si="167"/>
        <v/>
      </c>
      <c r="ON11" s="36" t="str">
        <f t="shared" si="168"/>
        <v/>
      </c>
      <c r="OO11" s="16"/>
      <c r="OP11" s="16"/>
      <c r="OQ11" s="16"/>
      <c r="OR11" s="16"/>
      <c r="OS11" s="16"/>
      <c r="OT11" s="16"/>
      <c r="OU11" s="16"/>
      <c r="OV11" s="16"/>
      <c r="OW11" s="16"/>
      <c r="OX11" s="16"/>
      <c r="OY11" s="16"/>
      <c r="OZ11" s="16"/>
      <c r="PA11" s="16"/>
      <c r="PB11" s="16"/>
      <c r="PC11" s="16"/>
      <c r="PD11" s="16"/>
      <c r="PE11" s="16"/>
      <c r="PF11" s="16"/>
      <c r="PG11" s="16"/>
      <c r="PH11" s="16"/>
      <c r="PI11" s="11" t="str">
        <f t="shared" si="169"/>
        <v/>
      </c>
      <c r="PJ11" s="11" t="str">
        <f t="shared" si="170"/>
        <v/>
      </c>
      <c r="PK11" s="11" t="str">
        <f t="shared" si="171"/>
        <v/>
      </c>
      <c r="PL11" s="11" t="str">
        <f t="shared" si="172"/>
        <v/>
      </c>
      <c r="PM11" s="11" t="str">
        <f t="shared" si="173"/>
        <v/>
      </c>
      <c r="PN11" s="11" t="str">
        <f t="shared" si="174"/>
        <v/>
      </c>
      <c r="PO11" s="11" t="str">
        <f t="shared" si="175"/>
        <v/>
      </c>
      <c r="PP11" s="11" t="str">
        <f t="shared" si="176"/>
        <v/>
      </c>
      <c r="PQ11" s="11" t="str">
        <f t="shared" si="177"/>
        <v/>
      </c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36" t="str">
        <f t="shared" si="183"/>
        <v/>
      </c>
      <c r="QR11" s="36" t="str">
        <f t="shared" si="184"/>
        <v/>
      </c>
      <c r="QS11" s="36" t="str">
        <f t="shared" si="185"/>
        <v/>
      </c>
      <c r="QT11" s="36" t="str">
        <f t="shared" si="186"/>
        <v/>
      </c>
      <c r="QU11" s="36" t="str">
        <f t="shared" si="187"/>
        <v/>
      </c>
      <c r="QV11" s="36" t="str">
        <f t="shared" si="188"/>
        <v/>
      </c>
      <c r="QW11" s="36" t="str">
        <f t="shared" si="189"/>
        <v/>
      </c>
      <c r="QX11" s="36" t="str">
        <f t="shared" si="190"/>
        <v/>
      </c>
      <c r="QY11" s="36" t="str">
        <f t="shared" si="191"/>
        <v/>
      </c>
      <c r="QZ11" s="36" t="str">
        <f t="shared" si="192"/>
        <v/>
      </c>
      <c r="RA11" s="36" t="str">
        <f t="shared" si="193"/>
        <v/>
      </c>
      <c r="RB11" s="36" t="str">
        <f t="shared" si="194"/>
        <v/>
      </c>
      <c r="RC11" s="36" t="str">
        <f t="shared" si="195"/>
        <v/>
      </c>
      <c r="RD11" s="36" t="str">
        <f t="shared" si="196"/>
        <v/>
      </c>
      <c r="RE11" s="16"/>
      <c r="RF11" s="16"/>
      <c r="RG11" s="16"/>
      <c r="RH11" s="16"/>
      <c r="RI11" s="16"/>
      <c r="RJ11" s="16"/>
      <c r="RK11" s="16"/>
      <c r="RL11" s="16"/>
      <c r="RM11" s="16"/>
      <c r="RN11" s="16"/>
      <c r="RO11" s="16"/>
      <c r="RP11" s="16"/>
      <c r="RQ11" s="16"/>
      <c r="RR11" s="16"/>
      <c r="RS11" s="16"/>
      <c r="RT11" s="16"/>
      <c r="RU11" s="16"/>
      <c r="RV11" s="16"/>
      <c r="RW11" s="16"/>
      <c r="RX11" s="16"/>
      <c r="RY11" s="11" t="str">
        <f t="shared" si="197"/>
        <v/>
      </c>
      <c r="RZ11" s="11" t="str">
        <f t="shared" si="198"/>
        <v/>
      </c>
      <c r="SA11" s="11" t="str">
        <f t="shared" si="199"/>
        <v/>
      </c>
      <c r="SB11" s="11" t="str">
        <f t="shared" si="200"/>
        <v/>
      </c>
      <c r="SC11" s="11" t="str">
        <f t="shared" si="201"/>
        <v/>
      </c>
      <c r="SD11" s="11" t="str">
        <f t="shared" si="202"/>
        <v/>
      </c>
      <c r="SE11" s="11" t="str">
        <f t="shared" si="203"/>
        <v/>
      </c>
      <c r="SF11" s="11" t="str">
        <f t="shared" si="204"/>
        <v/>
      </c>
      <c r="SG11" s="11" t="str">
        <f t="shared" si="205"/>
        <v/>
      </c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36" t="str">
        <f t="shared" si="211"/>
        <v/>
      </c>
      <c r="TH11" s="36" t="str">
        <f t="shared" si="212"/>
        <v/>
      </c>
      <c r="TI11" s="36" t="str">
        <f t="shared" si="213"/>
        <v/>
      </c>
      <c r="TJ11" s="36" t="str">
        <f t="shared" si="214"/>
        <v/>
      </c>
      <c r="TK11" s="36" t="str">
        <f t="shared" si="215"/>
        <v/>
      </c>
      <c r="TL11" s="36" t="str">
        <f t="shared" si="216"/>
        <v/>
      </c>
      <c r="TM11" s="36" t="str">
        <f t="shared" si="217"/>
        <v/>
      </c>
      <c r="TN11" s="36" t="str">
        <f t="shared" si="218"/>
        <v/>
      </c>
      <c r="TO11" s="36" t="str">
        <f t="shared" si="219"/>
        <v/>
      </c>
      <c r="TP11" s="36" t="str">
        <f t="shared" si="220"/>
        <v/>
      </c>
      <c r="TQ11" s="36" t="str">
        <f t="shared" si="221"/>
        <v/>
      </c>
      <c r="TR11" s="36" t="str">
        <f t="shared" si="222"/>
        <v/>
      </c>
      <c r="TS11" s="36" t="str">
        <f t="shared" si="223"/>
        <v/>
      </c>
      <c r="TT11" s="36" t="str">
        <f t="shared" si="224"/>
        <v/>
      </c>
      <c r="TU11" s="16"/>
      <c r="TV11" s="16"/>
      <c r="TW11" s="16"/>
      <c r="TX11" s="16"/>
      <c r="TY11" s="16"/>
      <c r="TZ11" s="16"/>
      <c r="UA11" s="16"/>
      <c r="UB11" s="16"/>
      <c r="UC11" s="16"/>
      <c r="UD11" s="16"/>
      <c r="UE11" s="16"/>
      <c r="UF11" s="16"/>
      <c r="UG11" s="16"/>
      <c r="UH11" s="16"/>
      <c r="UI11" s="16"/>
      <c r="UJ11" s="16"/>
      <c r="UK11" s="16"/>
      <c r="UL11" s="16"/>
      <c r="UM11" s="16"/>
      <c r="UN11" s="16"/>
      <c r="UO11" s="11" t="str">
        <f t="shared" si="225"/>
        <v/>
      </c>
      <c r="UP11" s="11" t="str">
        <f t="shared" si="226"/>
        <v/>
      </c>
      <c r="UQ11" s="11" t="str">
        <f t="shared" si="227"/>
        <v/>
      </c>
      <c r="UR11" s="11" t="str">
        <f t="shared" si="228"/>
        <v/>
      </c>
      <c r="US11" s="11" t="str">
        <f t="shared" si="229"/>
        <v/>
      </c>
      <c r="UT11" s="11" t="str">
        <f t="shared" si="230"/>
        <v/>
      </c>
      <c r="UU11" s="11" t="str">
        <f t="shared" si="231"/>
        <v/>
      </c>
      <c r="UV11" s="11" t="str">
        <f t="shared" si="232"/>
        <v/>
      </c>
      <c r="UW11" s="11" t="str">
        <f t="shared" si="233"/>
        <v/>
      </c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36" t="str">
        <f t="shared" si="239"/>
        <v/>
      </c>
      <c r="VX11" s="36" t="str">
        <f t="shared" si="240"/>
        <v/>
      </c>
      <c r="VY11" s="36" t="str">
        <f t="shared" si="241"/>
        <v/>
      </c>
      <c r="VZ11" s="36" t="str">
        <f t="shared" si="242"/>
        <v/>
      </c>
      <c r="WA11" s="36" t="str">
        <f t="shared" si="243"/>
        <v/>
      </c>
      <c r="WB11" s="36" t="str">
        <f t="shared" si="244"/>
        <v/>
      </c>
      <c r="WC11" s="36" t="str">
        <f t="shared" si="245"/>
        <v/>
      </c>
      <c r="WD11" s="36" t="str">
        <f t="shared" si="246"/>
        <v/>
      </c>
      <c r="WE11" s="36" t="str">
        <f t="shared" si="247"/>
        <v/>
      </c>
      <c r="WF11" s="36" t="str">
        <f t="shared" si="248"/>
        <v/>
      </c>
      <c r="WG11" s="36" t="str">
        <f t="shared" si="249"/>
        <v/>
      </c>
      <c r="WH11" s="36" t="str">
        <f t="shared" si="250"/>
        <v/>
      </c>
      <c r="WI11" s="36" t="str">
        <f t="shared" si="251"/>
        <v/>
      </c>
      <c r="WJ11" s="36" t="str">
        <f t="shared" si="252"/>
        <v/>
      </c>
    </row>
    <row r="12" spans="1:608" x14ac:dyDescent="0.2">
      <c r="A12" s="4" t="str" cm="1">
        <f t="array" ref="A12">IF(AND(H12&lt;&gt;"",H12&lt;&gt;"No DD",I12&lt;&gt;"P"),SUMPRODUCT((H$4:H$14&lt;&gt;"")*(H$4:H$14&lt;&gt;"No DD")*(I$4:I$14&lt;&gt;"P")*(E$4:E$14&gt;E12))+1,IF(H12="No DD",SUMPRODUCT((H$4:H$14="No DD")*(I$4:I$14&lt;&gt;"P")*(E$4:E$14&gt;E12))+1+SUMPRODUCT((H$4:H$14&lt;&gt;"")*(I$4:I$14&lt;&gt;"P")*(H$4:H$14&lt;&gt;"No DD")),""))</f>
        <v/>
      </c>
      <c r="B12" s="5" t="s">
        <v>203</v>
      </c>
      <c r="C12" s="4" t="s">
        <v>3</v>
      </c>
      <c r="D12" s="4">
        <v>2009</v>
      </c>
      <c r="E12" s="9">
        <f t="shared" si="0"/>
        <v>93.810009381004761</v>
      </c>
      <c r="F12" s="3" t="str">
        <f t="shared" si="1"/>
        <v/>
      </c>
      <c r="G12" s="3" t="str">
        <f t="shared" si="2"/>
        <v/>
      </c>
      <c r="H12" s="32" t="str">
        <f t="shared" si="3"/>
        <v/>
      </c>
      <c r="I12" s="3" t="str">
        <f>IF(COUNTIFS('Senior-W'!B:B,B12,'Senior-W'!A:A,"&lt;9",'Senior-W'!H:H,"&lt;&gt;"&amp;"No DD"),"P","")</f>
        <v/>
      </c>
      <c r="J12" s="8">
        <f t="shared" si="4"/>
        <v>47.669999999999995</v>
      </c>
      <c r="K12" s="8" t="str">
        <f t="shared" si="5"/>
        <v>2025 Nationals</v>
      </c>
      <c r="L12" s="8">
        <f>IFERROR(LARGE((AI12,AL12,AP12,BJ12,BM12,BQ12,CK12,CN12,CR12),2),0)</f>
        <v>46.14</v>
      </c>
      <c r="M12" s="8" t="str">
        <f t="shared" si="6"/>
        <v>2025 Nationals</v>
      </c>
      <c r="N12" s="8">
        <f t="shared" si="7"/>
        <v>0</v>
      </c>
      <c r="O12" s="11" t="str">
        <f>IF(N12=0,"",IF(N12=CT12,"("&amp;CT$2&amp;")",IF(N12=#REF!,"("&amp;#REF!&amp;")")))</f>
        <v/>
      </c>
      <c r="P12" s="8" t="str">
        <f t="shared" si="8"/>
        <v/>
      </c>
      <c r="Q12" s="18">
        <v>16.8</v>
      </c>
      <c r="R12" s="18">
        <v>9.3000000000000007</v>
      </c>
      <c r="S12" s="18">
        <v>0</v>
      </c>
      <c r="T12" s="18">
        <v>14.37</v>
      </c>
      <c r="U12" s="18">
        <v>0</v>
      </c>
      <c r="V12" s="18">
        <v>13.3</v>
      </c>
      <c r="W12" s="18">
        <v>9.1999999999999993</v>
      </c>
      <c r="X12" s="18">
        <v>9.1999999999999993</v>
      </c>
      <c r="Y12" s="18">
        <v>14.44</v>
      </c>
      <c r="Z12" s="18">
        <v>0</v>
      </c>
      <c r="AA12" s="18">
        <v>14.9</v>
      </c>
      <c r="AB12" s="18">
        <v>9.1999999999999993</v>
      </c>
      <c r="AC12" s="18">
        <v>9.1999999999999993</v>
      </c>
      <c r="AD12" s="18">
        <v>14.37</v>
      </c>
      <c r="AE12" s="18">
        <v>0</v>
      </c>
      <c r="AF12" s="23"/>
      <c r="AG12" s="34" t="str">
        <f t="shared" si="9"/>
        <v/>
      </c>
      <c r="AH12" s="34">
        <f t="shared" si="10"/>
        <v>14.37</v>
      </c>
      <c r="AI12" s="36">
        <f t="shared" si="11"/>
        <v>40.47</v>
      </c>
      <c r="AJ12" s="36">
        <f t="shared" si="12"/>
        <v>9.1999999999999993</v>
      </c>
      <c r="AK12" s="36">
        <f t="shared" si="13"/>
        <v>14.44</v>
      </c>
      <c r="AL12" s="36">
        <f t="shared" si="14"/>
        <v>46.14</v>
      </c>
      <c r="AM12" s="36">
        <f t="shared" si="15"/>
        <v>46.14</v>
      </c>
      <c r="AN12" s="36">
        <f t="shared" si="16"/>
        <v>9.1999999999999993</v>
      </c>
      <c r="AO12" s="36">
        <f t="shared" si="17"/>
        <v>14.37</v>
      </c>
      <c r="AP12" s="36">
        <f t="shared" si="18"/>
        <v>47.669999999999995</v>
      </c>
      <c r="AQ12" s="36">
        <f t="shared" si="19"/>
        <v>93.81</v>
      </c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4"/>
      <c r="BH12" s="35" t="str">
        <f t="shared" si="20"/>
        <v/>
      </c>
      <c r="BI12" s="35" t="str">
        <f t="shared" si="21"/>
        <v/>
      </c>
      <c r="BJ12" s="11" t="str">
        <f t="shared" si="22"/>
        <v/>
      </c>
      <c r="BK12" s="11" t="str">
        <f t="shared" si="23"/>
        <v/>
      </c>
      <c r="BL12" s="11" t="str">
        <f t="shared" si="24"/>
        <v/>
      </c>
      <c r="BM12" s="11" t="str">
        <f t="shared" si="25"/>
        <v/>
      </c>
      <c r="BN12" s="11" t="str">
        <f t="shared" si="26"/>
        <v/>
      </c>
      <c r="BO12" s="11" t="str">
        <f t="shared" si="27"/>
        <v/>
      </c>
      <c r="BP12" s="11" t="str">
        <f t="shared" si="28"/>
        <v/>
      </c>
      <c r="BQ12" s="11" t="str">
        <f t="shared" si="29"/>
        <v/>
      </c>
      <c r="BR12" s="11" t="str">
        <f t="shared" si="30"/>
        <v/>
      </c>
      <c r="BS12" s="18">
        <v>0</v>
      </c>
      <c r="BT12" s="18">
        <v>0</v>
      </c>
      <c r="BU12" s="18">
        <v>0</v>
      </c>
      <c r="BV12" s="18">
        <v>0</v>
      </c>
      <c r="BW12" s="18">
        <v>0</v>
      </c>
      <c r="BX12" s="18">
        <v>0</v>
      </c>
      <c r="BY12" s="18">
        <v>0</v>
      </c>
      <c r="BZ12" s="18">
        <v>0</v>
      </c>
      <c r="CA12" s="18">
        <v>0</v>
      </c>
      <c r="CB12" s="18">
        <v>0</v>
      </c>
      <c r="CC12" s="18"/>
      <c r="CD12" s="18"/>
      <c r="CE12" s="18"/>
      <c r="CF12" s="18"/>
      <c r="CG12" s="18"/>
      <c r="CH12" s="23"/>
      <c r="CI12" s="34" t="str">
        <f t="shared" si="31"/>
        <v/>
      </c>
      <c r="CJ12" s="34" t="str">
        <f t="shared" si="32"/>
        <v/>
      </c>
      <c r="CK12" s="36" t="str">
        <f t="shared" si="33"/>
        <v/>
      </c>
      <c r="CL12" s="36" t="str">
        <f t="shared" si="34"/>
        <v/>
      </c>
      <c r="CM12" s="36" t="str">
        <f t="shared" si="35"/>
        <v/>
      </c>
      <c r="CN12" s="36" t="str">
        <f t="shared" si="36"/>
        <v/>
      </c>
      <c r="CO12" s="36" t="str">
        <f t="shared" si="37"/>
        <v/>
      </c>
      <c r="CP12" s="36" t="str">
        <f t="shared" si="38"/>
        <v/>
      </c>
      <c r="CQ12" s="36" t="str">
        <f t="shared" si="39"/>
        <v/>
      </c>
      <c r="CR12" s="36" t="str">
        <f t="shared" si="40"/>
        <v/>
      </c>
      <c r="CS12" s="36" t="str">
        <f t="shared" si="41"/>
        <v/>
      </c>
      <c r="CT12" s="47" t="str">
        <f t="shared" si="42"/>
        <v/>
      </c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36" t="str">
        <f t="shared" si="43"/>
        <v/>
      </c>
      <c r="DP12" s="36" t="str">
        <f t="shared" si="44"/>
        <v/>
      </c>
      <c r="DQ12" s="36" t="str">
        <f t="shared" si="45"/>
        <v/>
      </c>
      <c r="DR12" s="36" t="str">
        <f t="shared" si="46"/>
        <v/>
      </c>
      <c r="DS12" s="36" t="str">
        <f t="shared" si="47"/>
        <v/>
      </c>
      <c r="DT12" s="36" t="str">
        <f t="shared" si="48"/>
        <v/>
      </c>
      <c r="DU12" s="36" t="str">
        <f t="shared" si="49"/>
        <v/>
      </c>
      <c r="DV12" s="36" t="str">
        <f t="shared" si="50"/>
        <v/>
      </c>
      <c r="DW12" s="36" t="str">
        <f t="shared" si="51"/>
        <v/>
      </c>
      <c r="DX12" s="36" t="str">
        <f t="shared" si="52"/>
        <v/>
      </c>
      <c r="DY12" s="36" t="str">
        <f t="shared" si="53"/>
        <v/>
      </c>
      <c r="DZ12" s="36" t="str">
        <f t="shared" si="54"/>
        <v/>
      </c>
      <c r="EA12" s="36" t="str">
        <f t="shared" si="55"/>
        <v/>
      </c>
      <c r="EB12" s="36" t="str">
        <f t="shared" si="56"/>
        <v/>
      </c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1" t="str">
        <f t="shared" si="57"/>
        <v/>
      </c>
      <c r="EX12" s="11" t="str">
        <f t="shared" si="58"/>
        <v/>
      </c>
      <c r="EY12" s="11" t="str">
        <f t="shared" si="59"/>
        <v/>
      </c>
      <c r="EZ12" s="11" t="str">
        <f t="shared" si="60"/>
        <v/>
      </c>
      <c r="FA12" s="11" t="str">
        <f t="shared" si="61"/>
        <v/>
      </c>
      <c r="FB12" s="11" t="str">
        <f t="shared" si="62"/>
        <v/>
      </c>
      <c r="FC12" s="11" t="str">
        <f t="shared" si="63"/>
        <v/>
      </c>
      <c r="FD12" s="11" t="str">
        <f t="shared" si="64"/>
        <v/>
      </c>
      <c r="FE12" s="11" t="str">
        <f t="shared" si="65"/>
        <v/>
      </c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36" t="str">
        <f t="shared" si="71"/>
        <v/>
      </c>
      <c r="GF12" s="36" t="str">
        <f t="shared" si="72"/>
        <v/>
      </c>
      <c r="GG12" s="36" t="str">
        <f t="shared" si="73"/>
        <v/>
      </c>
      <c r="GH12" s="36" t="str">
        <f t="shared" si="74"/>
        <v/>
      </c>
      <c r="GI12" s="36" t="str">
        <f t="shared" si="75"/>
        <v/>
      </c>
      <c r="GJ12" s="36" t="str">
        <f t="shared" si="76"/>
        <v/>
      </c>
      <c r="GK12" s="36" t="str">
        <f t="shared" si="77"/>
        <v/>
      </c>
      <c r="GL12" s="36" t="str">
        <f t="shared" si="78"/>
        <v/>
      </c>
      <c r="GM12" s="36" t="str">
        <f t="shared" si="79"/>
        <v/>
      </c>
      <c r="GN12" s="36" t="str">
        <f t="shared" si="80"/>
        <v/>
      </c>
      <c r="GO12" s="36" t="str">
        <f t="shared" si="81"/>
        <v/>
      </c>
      <c r="GP12" s="36" t="str">
        <f t="shared" si="82"/>
        <v/>
      </c>
      <c r="GQ12" s="36" t="str">
        <f t="shared" si="83"/>
        <v/>
      </c>
      <c r="GR12" s="36" t="str">
        <f t="shared" si="84"/>
        <v/>
      </c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1" t="str">
        <f t="shared" si="85"/>
        <v/>
      </c>
      <c r="HN12" s="11" t="str">
        <f t="shared" si="86"/>
        <v/>
      </c>
      <c r="HO12" s="11" t="str">
        <f t="shared" si="87"/>
        <v/>
      </c>
      <c r="HP12" s="11" t="str">
        <f t="shared" si="88"/>
        <v/>
      </c>
      <c r="HQ12" s="11" t="str">
        <f t="shared" si="89"/>
        <v/>
      </c>
      <c r="HR12" s="11" t="str">
        <f t="shared" si="90"/>
        <v/>
      </c>
      <c r="HS12" s="11" t="str">
        <f t="shared" si="91"/>
        <v/>
      </c>
      <c r="HT12" s="11" t="str">
        <f t="shared" si="92"/>
        <v/>
      </c>
      <c r="HU12" s="11" t="str">
        <f t="shared" si="93"/>
        <v/>
      </c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36" t="str">
        <f t="shared" si="99"/>
        <v/>
      </c>
      <c r="IV12" s="36" t="str">
        <f t="shared" si="100"/>
        <v/>
      </c>
      <c r="IW12" s="36" t="str">
        <f t="shared" si="101"/>
        <v/>
      </c>
      <c r="IX12" s="36" t="str">
        <f t="shared" si="102"/>
        <v/>
      </c>
      <c r="IY12" s="36" t="str">
        <f t="shared" si="103"/>
        <v/>
      </c>
      <c r="IZ12" s="36" t="str">
        <f t="shared" si="104"/>
        <v/>
      </c>
      <c r="JA12" s="36" t="str">
        <f t="shared" si="105"/>
        <v/>
      </c>
      <c r="JB12" s="36" t="str">
        <f t="shared" si="106"/>
        <v/>
      </c>
      <c r="JC12" s="36" t="str">
        <f t="shared" si="107"/>
        <v/>
      </c>
      <c r="JD12" s="36" t="str">
        <f t="shared" si="108"/>
        <v/>
      </c>
      <c r="JE12" s="36" t="str">
        <f t="shared" si="109"/>
        <v/>
      </c>
      <c r="JF12" s="36" t="str">
        <f t="shared" si="110"/>
        <v/>
      </c>
      <c r="JG12" s="36" t="str">
        <f t="shared" si="111"/>
        <v/>
      </c>
      <c r="JH12" s="36" t="str">
        <f t="shared" si="112"/>
        <v/>
      </c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1" t="str">
        <f t="shared" si="113"/>
        <v/>
      </c>
      <c r="KD12" s="11" t="str">
        <f t="shared" si="114"/>
        <v/>
      </c>
      <c r="KE12" s="11" t="str">
        <f t="shared" si="115"/>
        <v/>
      </c>
      <c r="KF12" s="11" t="str">
        <f t="shared" si="116"/>
        <v/>
      </c>
      <c r="KG12" s="11" t="str">
        <f t="shared" si="117"/>
        <v/>
      </c>
      <c r="KH12" s="11" t="str">
        <f t="shared" si="118"/>
        <v/>
      </c>
      <c r="KI12" s="11" t="str">
        <f t="shared" si="119"/>
        <v/>
      </c>
      <c r="KJ12" s="11" t="str">
        <f t="shared" si="120"/>
        <v/>
      </c>
      <c r="KK12" s="11" t="str">
        <f t="shared" si="121"/>
        <v/>
      </c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36" t="str">
        <f t="shared" si="127"/>
        <v/>
      </c>
      <c r="LL12" s="36" t="str">
        <f t="shared" si="128"/>
        <v/>
      </c>
      <c r="LM12" s="36" t="str">
        <f t="shared" si="129"/>
        <v/>
      </c>
      <c r="LN12" s="36" t="str">
        <f t="shared" si="130"/>
        <v/>
      </c>
      <c r="LO12" s="36" t="str">
        <f t="shared" si="131"/>
        <v/>
      </c>
      <c r="LP12" s="36" t="str">
        <f t="shared" si="132"/>
        <v/>
      </c>
      <c r="LQ12" s="36" t="str">
        <f t="shared" si="133"/>
        <v/>
      </c>
      <c r="LR12" s="36" t="str">
        <f t="shared" si="134"/>
        <v/>
      </c>
      <c r="LS12" s="36" t="str">
        <f t="shared" si="135"/>
        <v/>
      </c>
      <c r="LT12" s="36" t="str">
        <f t="shared" si="136"/>
        <v/>
      </c>
      <c r="LU12" s="36" t="str">
        <f t="shared" si="137"/>
        <v/>
      </c>
      <c r="LV12" s="36" t="str">
        <f t="shared" si="138"/>
        <v/>
      </c>
      <c r="LW12" s="36" t="str">
        <f t="shared" si="139"/>
        <v/>
      </c>
      <c r="LX12" s="36" t="str">
        <f t="shared" si="140"/>
        <v/>
      </c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1" t="str">
        <f t="shared" si="141"/>
        <v/>
      </c>
      <c r="MT12" s="11" t="str">
        <f t="shared" si="142"/>
        <v/>
      </c>
      <c r="MU12" s="11" t="str">
        <f t="shared" si="143"/>
        <v/>
      </c>
      <c r="MV12" s="11" t="str">
        <f t="shared" si="144"/>
        <v/>
      </c>
      <c r="MW12" s="11" t="str">
        <f t="shared" si="145"/>
        <v/>
      </c>
      <c r="MX12" s="11" t="str">
        <f t="shared" si="146"/>
        <v/>
      </c>
      <c r="MY12" s="11" t="str">
        <f t="shared" si="147"/>
        <v/>
      </c>
      <c r="MZ12" s="11" t="str">
        <f t="shared" si="148"/>
        <v/>
      </c>
      <c r="NA12" s="11" t="str">
        <f t="shared" si="149"/>
        <v/>
      </c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36" t="str">
        <f t="shared" si="155"/>
        <v/>
      </c>
      <c r="OB12" s="36" t="str">
        <f t="shared" si="156"/>
        <v/>
      </c>
      <c r="OC12" s="36" t="str">
        <f t="shared" si="157"/>
        <v/>
      </c>
      <c r="OD12" s="36" t="str">
        <f t="shared" si="158"/>
        <v/>
      </c>
      <c r="OE12" s="36" t="str">
        <f t="shared" si="159"/>
        <v/>
      </c>
      <c r="OF12" s="36" t="str">
        <f t="shared" si="160"/>
        <v/>
      </c>
      <c r="OG12" s="36" t="str">
        <f t="shared" si="161"/>
        <v/>
      </c>
      <c r="OH12" s="36" t="str">
        <f t="shared" si="162"/>
        <v/>
      </c>
      <c r="OI12" s="36" t="str">
        <f t="shared" si="163"/>
        <v/>
      </c>
      <c r="OJ12" s="36" t="str">
        <f t="shared" si="164"/>
        <v/>
      </c>
      <c r="OK12" s="36" t="str">
        <f t="shared" si="165"/>
        <v/>
      </c>
      <c r="OL12" s="36" t="str">
        <f t="shared" si="166"/>
        <v/>
      </c>
      <c r="OM12" s="36" t="str">
        <f t="shared" si="167"/>
        <v/>
      </c>
      <c r="ON12" s="36" t="str">
        <f t="shared" si="168"/>
        <v/>
      </c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1" t="str">
        <f t="shared" si="169"/>
        <v/>
      </c>
      <c r="PJ12" s="11" t="str">
        <f t="shared" si="170"/>
        <v/>
      </c>
      <c r="PK12" s="11" t="str">
        <f t="shared" si="171"/>
        <v/>
      </c>
      <c r="PL12" s="11" t="str">
        <f t="shared" si="172"/>
        <v/>
      </c>
      <c r="PM12" s="11" t="str">
        <f t="shared" si="173"/>
        <v/>
      </c>
      <c r="PN12" s="11" t="str">
        <f t="shared" si="174"/>
        <v/>
      </c>
      <c r="PO12" s="11" t="str">
        <f t="shared" si="175"/>
        <v/>
      </c>
      <c r="PP12" s="11" t="str">
        <f t="shared" si="176"/>
        <v/>
      </c>
      <c r="PQ12" s="11" t="str">
        <f t="shared" si="177"/>
        <v/>
      </c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36" t="str">
        <f t="shared" si="183"/>
        <v/>
      </c>
      <c r="QR12" s="36" t="str">
        <f t="shared" si="184"/>
        <v/>
      </c>
      <c r="QS12" s="36" t="str">
        <f t="shared" si="185"/>
        <v/>
      </c>
      <c r="QT12" s="36" t="str">
        <f t="shared" si="186"/>
        <v/>
      </c>
      <c r="QU12" s="36" t="str">
        <f t="shared" si="187"/>
        <v/>
      </c>
      <c r="QV12" s="36" t="str">
        <f t="shared" si="188"/>
        <v/>
      </c>
      <c r="QW12" s="36" t="str">
        <f t="shared" si="189"/>
        <v/>
      </c>
      <c r="QX12" s="36" t="str">
        <f t="shared" si="190"/>
        <v/>
      </c>
      <c r="QY12" s="36" t="str">
        <f t="shared" si="191"/>
        <v/>
      </c>
      <c r="QZ12" s="36" t="str">
        <f t="shared" si="192"/>
        <v/>
      </c>
      <c r="RA12" s="36" t="str">
        <f t="shared" si="193"/>
        <v/>
      </c>
      <c r="RB12" s="36" t="str">
        <f t="shared" si="194"/>
        <v/>
      </c>
      <c r="RC12" s="36" t="str">
        <f t="shared" si="195"/>
        <v/>
      </c>
      <c r="RD12" s="36" t="str">
        <f t="shared" si="196"/>
        <v/>
      </c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1" t="str">
        <f t="shared" si="197"/>
        <v/>
      </c>
      <c r="RZ12" s="11" t="str">
        <f t="shared" si="198"/>
        <v/>
      </c>
      <c r="SA12" s="11" t="str">
        <f t="shared" si="199"/>
        <v/>
      </c>
      <c r="SB12" s="11" t="str">
        <f t="shared" si="200"/>
        <v/>
      </c>
      <c r="SC12" s="11" t="str">
        <f t="shared" si="201"/>
        <v/>
      </c>
      <c r="SD12" s="11" t="str">
        <f t="shared" si="202"/>
        <v/>
      </c>
      <c r="SE12" s="11" t="str">
        <f t="shared" si="203"/>
        <v/>
      </c>
      <c r="SF12" s="11" t="str">
        <f t="shared" si="204"/>
        <v/>
      </c>
      <c r="SG12" s="11" t="str">
        <f t="shared" si="205"/>
        <v/>
      </c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36" t="str">
        <f t="shared" si="211"/>
        <v/>
      </c>
      <c r="TH12" s="36" t="str">
        <f t="shared" si="212"/>
        <v/>
      </c>
      <c r="TI12" s="36" t="str">
        <f t="shared" si="213"/>
        <v/>
      </c>
      <c r="TJ12" s="36" t="str">
        <f t="shared" si="214"/>
        <v/>
      </c>
      <c r="TK12" s="36" t="str">
        <f t="shared" si="215"/>
        <v/>
      </c>
      <c r="TL12" s="36" t="str">
        <f t="shared" si="216"/>
        <v/>
      </c>
      <c r="TM12" s="36" t="str">
        <f t="shared" si="217"/>
        <v/>
      </c>
      <c r="TN12" s="36" t="str">
        <f t="shared" si="218"/>
        <v/>
      </c>
      <c r="TO12" s="36" t="str">
        <f t="shared" si="219"/>
        <v/>
      </c>
      <c r="TP12" s="36" t="str">
        <f t="shared" si="220"/>
        <v/>
      </c>
      <c r="TQ12" s="36" t="str">
        <f t="shared" si="221"/>
        <v/>
      </c>
      <c r="TR12" s="36" t="str">
        <f t="shared" si="222"/>
        <v/>
      </c>
      <c r="TS12" s="36" t="str">
        <f t="shared" si="223"/>
        <v/>
      </c>
      <c r="TT12" s="36" t="str">
        <f t="shared" si="224"/>
        <v/>
      </c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1" t="str">
        <f t="shared" si="225"/>
        <v/>
      </c>
      <c r="UP12" s="11" t="str">
        <f t="shared" si="226"/>
        <v/>
      </c>
      <c r="UQ12" s="11" t="str">
        <f t="shared" si="227"/>
        <v/>
      </c>
      <c r="UR12" s="11" t="str">
        <f t="shared" si="228"/>
        <v/>
      </c>
      <c r="US12" s="11" t="str">
        <f t="shared" si="229"/>
        <v/>
      </c>
      <c r="UT12" s="11" t="str">
        <f t="shared" si="230"/>
        <v/>
      </c>
      <c r="UU12" s="11" t="str">
        <f t="shared" si="231"/>
        <v/>
      </c>
      <c r="UV12" s="11" t="str">
        <f t="shared" si="232"/>
        <v/>
      </c>
      <c r="UW12" s="11" t="str">
        <f t="shared" si="233"/>
        <v/>
      </c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36" t="str">
        <f t="shared" si="239"/>
        <v/>
      </c>
      <c r="VX12" s="36" t="str">
        <f t="shared" si="240"/>
        <v/>
      </c>
      <c r="VY12" s="36" t="str">
        <f t="shared" si="241"/>
        <v/>
      </c>
      <c r="VZ12" s="36" t="str">
        <f t="shared" si="242"/>
        <v/>
      </c>
      <c r="WA12" s="36" t="str">
        <f t="shared" si="243"/>
        <v/>
      </c>
      <c r="WB12" s="36" t="str">
        <f t="shared" si="244"/>
        <v/>
      </c>
      <c r="WC12" s="36" t="str">
        <f t="shared" si="245"/>
        <v/>
      </c>
      <c r="WD12" s="36" t="str">
        <f t="shared" si="246"/>
        <v/>
      </c>
      <c r="WE12" s="36" t="str">
        <f t="shared" si="247"/>
        <v/>
      </c>
      <c r="WF12" s="36" t="str">
        <f t="shared" si="248"/>
        <v/>
      </c>
      <c r="WG12" s="36" t="str">
        <f t="shared" si="249"/>
        <v/>
      </c>
      <c r="WH12" s="36" t="str">
        <f t="shared" si="250"/>
        <v/>
      </c>
      <c r="WI12" s="36" t="str">
        <f t="shared" si="251"/>
        <v/>
      </c>
      <c r="WJ12" s="36" t="str">
        <f t="shared" si="252"/>
        <v/>
      </c>
    </row>
    <row r="13" spans="1:608" x14ac:dyDescent="0.2">
      <c r="A13" s="4" t="str" cm="1">
        <f t="array" ref="A13">IF(AND(H13&lt;&gt;"",H13&lt;&gt;"No DD",I13&lt;&gt;"P"),SUMPRODUCT((H$4:H$14&lt;&gt;"")*(H$4:H$14&lt;&gt;"No DD")*(I$4:I$14&lt;&gt;"P")*(E$4:E$14&gt;E13))+1,IF(H13="No DD",SUMPRODUCT((H$4:H$14="No DD")*(I$4:I$14&lt;&gt;"P")*(E$4:E$14&gt;E13))+1+SUMPRODUCT((H$4:H$14&lt;&gt;"")*(I$4:I$14&lt;&gt;"P")*(H$4:H$14&lt;&gt;"No DD")),""))</f>
        <v/>
      </c>
      <c r="B13" s="5" t="s">
        <v>204</v>
      </c>
      <c r="C13" s="4" t="s">
        <v>5</v>
      </c>
      <c r="D13" s="4">
        <v>2009</v>
      </c>
      <c r="E13" s="9">
        <f t="shared" si="0"/>
        <v>89.480008948004567</v>
      </c>
      <c r="F13" s="3" t="str">
        <f t="shared" si="1"/>
        <v/>
      </c>
      <c r="G13" s="3" t="str">
        <f t="shared" si="2"/>
        <v/>
      </c>
      <c r="H13" s="32" t="str">
        <f t="shared" si="3"/>
        <v/>
      </c>
      <c r="I13" s="3" t="str">
        <f>IF(COUNTIFS('Senior-W'!B:B,B13,'Senior-W'!A:A,"&lt;9",'Senior-W'!H:H,"&lt;&gt;"&amp;"No DD"),"P","")</f>
        <v/>
      </c>
      <c r="J13" s="8">
        <f t="shared" si="4"/>
        <v>45.8</v>
      </c>
      <c r="K13" s="8" t="str">
        <f t="shared" si="5"/>
        <v>2025 Nationals</v>
      </c>
      <c r="L13" s="8">
        <f>IFERROR(LARGE((AI13,AL13,AP13,BJ13,BM13,BQ13,CK13,CN13,CR13),2),0)</f>
        <v>43.68</v>
      </c>
      <c r="M13" s="8" t="str">
        <f t="shared" si="6"/>
        <v>2026 Elite Canada</v>
      </c>
      <c r="N13" s="8">
        <f t="shared" si="7"/>
        <v>0</v>
      </c>
      <c r="O13" s="11" t="str">
        <f>IF(N13=0,"",IF(N13=CT13,"("&amp;CT$2&amp;")",IF(N13=#REF!,"("&amp;#REF!&amp;")")))</f>
        <v/>
      </c>
      <c r="P13" s="8" t="str">
        <f t="shared" si="8"/>
        <v/>
      </c>
      <c r="Q13" s="18">
        <v>15.5</v>
      </c>
      <c r="R13" s="18">
        <v>9.5</v>
      </c>
      <c r="S13" s="18">
        <v>0</v>
      </c>
      <c r="T13" s="18">
        <v>13.88</v>
      </c>
      <c r="U13" s="18">
        <v>0</v>
      </c>
      <c r="V13" s="18">
        <v>11.5</v>
      </c>
      <c r="W13" s="18">
        <v>9</v>
      </c>
      <c r="X13" s="18">
        <v>8.6999999999999993</v>
      </c>
      <c r="Y13" s="18">
        <v>13.3</v>
      </c>
      <c r="Z13" s="18">
        <v>0.5</v>
      </c>
      <c r="AA13" s="18">
        <v>13.3</v>
      </c>
      <c r="AB13" s="18">
        <v>9.6</v>
      </c>
      <c r="AC13" s="18">
        <v>9.6</v>
      </c>
      <c r="AD13" s="18">
        <v>13.3</v>
      </c>
      <c r="AE13" s="18">
        <v>0</v>
      </c>
      <c r="AF13" s="23"/>
      <c r="AG13" s="34" t="str">
        <f t="shared" si="9"/>
        <v/>
      </c>
      <c r="AH13" s="34">
        <f t="shared" si="10"/>
        <v>13.88</v>
      </c>
      <c r="AI13" s="36">
        <f t="shared" si="11"/>
        <v>38.880000000000003</v>
      </c>
      <c r="AJ13" s="36">
        <f t="shared" si="12"/>
        <v>8.6999999999999993</v>
      </c>
      <c r="AK13" s="36">
        <f t="shared" si="13"/>
        <v>13.3</v>
      </c>
      <c r="AL13" s="36">
        <f t="shared" si="14"/>
        <v>42</v>
      </c>
      <c r="AM13" s="36">
        <f t="shared" si="15"/>
        <v>42</v>
      </c>
      <c r="AN13" s="36">
        <f t="shared" si="16"/>
        <v>9.6</v>
      </c>
      <c r="AO13" s="36">
        <f t="shared" si="17"/>
        <v>13.3</v>
      </c>
      <c r="AP13" s="36">
        <f t="shared" si="18"/>
        <v>45.8</v>
      </c>
      <c r="AQ13" s="36">
        <f t="shared" si="19"/>
        <v>87.8</v>
      </c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4"/>
      <c r="BH13" s="35" t="str">
        <f t="shared" si="20"/>
        <v/>
      </c>
      <c r="BI13" s="35" t="str">
        <f t="shared" si="21"/>
        <v/>
      </c>
      <c r="BJ13" s="11" t="str">
        <f t="shared" si="22"/>
        <v/>
      </c>
      <c r="BK13" s="11" t="str">
        <f t="shared" si="23"/>
        <v/>
      </c>
      <c r="BL13" s="11" t="str">
        <f t="shared" si="24"/>
        <v/>
      </c>
      <c r="BM13" s="11" t="str">
        <f t="shared" si="25"/>
        <v/>
      </c>
      <c r="BN13" s="11" t="str">
        <f t="shared" si="26"/>
        <v/>
      </c>
      <c r="BO13" s="11" t="str">
        <f t="shared" si="27"/>
        <v/>
      </c>
      <c r="BP13" s="11" t="str">
        <f t="shared" si="28"/>
        <v/>
      </c>
      <c r="BQ13" s="11" t="str">
        <f t="shared" si="29"/>
        <v/>
      </c>
      <c r="BR13" s="11" t="str">
        <f t="shared" si="30"/>
        <v/>
      </c>
      <c r="BS13" s="18">
        <v>16.2</v>
      </c>
      <c r="BT13" s="18">
        <v>9.6</v>
      </c>
      <c r="BU13" s="18">
        <v>0</v>
      </c>
      <c r="BV13" s="18">
        <v>13.79</v>
      </c>
      <c r="BW13" s="18">
        <v>0</v>
      </c>
      <c r="BX13" s="18">
        <v>13.1</v>
      </c>
      <c r="BY13" s="18">
        <v>9.1</v>
      </c>
      <c r="BZ13" s="18">
        <v>8.4</v>
      </c>
      <c r="CA13" s="18">
        <v>13.04</v>
      </c>
      <c r="CB13" s="18">
        <v>0.8</v>
      </c>
      <c r="CC13" s="18">
        <v>13.3</v>
      </c>
      <c r="CD13" s="18">
        <v>9.4</v>
      </c>
      <c r="CE13" s="18">
        <v>8.6</v>
      </c>
      <c r="CF13" s="18">
        <v>12.98</v>
      </c>
      <c r="CG13" s="18">
        <v>0.6</v>
      </c>
      <c r="CH13" s="23"/>
      <c r="CI13" s="34" t="str">
        <f t="shared" si="31"/>
        <v/>
      </c>
      <c r="CJ13" s="34">
        <f t="shared" si="32"/>
        <v>13.79</v>
      </c>
      <c r="CK13" s="36">
        <f t="shared" si="33"/>
        <v>39.589999999999996</v>
      </c>
      <c r="CL13" s="36">
        <f t="shared" si="34"/>
        <v>8.4</v>
      </c>
      <c r="CM13" s="36">
        <f t="shared" si="35"/>
        <v>13.04</v>
      </c>
      <c r="CN13" s="36">
        <f t="shared" si="36"/>
        <v>42.84</v>
      </c>
      <c r="CO13" s="36">
        <f t="shared" si="37"/>
        <v>42.84</v>
      </c>
      <c r="CP13" s="36">
        <f t="shared" si="38"/>
        <v>8.6</v>
      </c>
      <c r="CQ13" s="36">
        <f t="shared" si="39"/>
        <v>12.98</v>
      </c>
      <c r="CR13" s="36">
        <f t="shared" si="40"/>
        <v>43.68</v>
      </c>
      <c r="CS13" s="36">
        <f t="shared" si="41"/>
        <v>86.52000000000001</v>
      </c>
      <c r="CT13" s="47" t="str">
        <f t="shared" si="42"/>
        <v/>
      </c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36" t="str">
        <f t="shared" si="43"/>
        <v/>
      </c>
      <c r="DP13" s="36" t="str">
        <f t="shared" si="44"/>
        <v/>
      </c>
      <c r="DQ13" s="36" t="str">
        <f t="shared" si="45"/>
        <v/>
      </c>
      <c r="DR13" s="36" t="str">
        <f t="shared" si="46"/>
        <v/>
      </c>
      <c r="DS13" s="36" t="str">
        <f t="shared" si="47"/>
        <v/>
      </c>
      <c r="DT13" s="36" t="str">
        <f t="shared" si="48"/>
        <v/>
      </c>
      <c r="DU13" s="36" t="str">
        <f t="shared" si="49"/>
        <v/>
      </c>
      <c r="DV13" s="36" t="str">
        <f t="shared" si="50"/>
        <v/>
      </c>
      <c r="DW13" s="36" t="str">
        <f t="shared" si="51"/>
        <v/>
      </c>
      <c r="DX13" s="36" t="str">
        <f t="shared" si="52"/>
        <v/>
      </c>
      <c r="DY13" s="36" t="str">
        <f t="shared" si="53"/>
        <v/>
      </c>
      <c r="DZ13" s="36" t="str">
        <f t="shared" si="54"/>
        <v/>
      </c>
      <c r="EA13" s="36" t="str">
        <f t="shared" si="55"/>
        <v/>
      </c>
      <c r="EB13" s="36" t="str">
        <f t="shared" si="56"/>
        <v/>
      </c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1" t="str">
        <f t="shared" si="57"/>
        <v/>
      </c>
      <c r="EX13" s="11" t="str">
        <f t="shared" si="58"/>
        <v/>
      </c>
      <c r="EY13" s="11" t="str">
        <f t="shared" si="59"/>
        <v/>
      </c>
      <c r="EZ13" s="11" t="str">
        <f t="shared" si="60"/>
        <v/>
      </c>
      <c r="FA13" s="11" t="str">
        <f t="shared" si="61"/>
        <v/>
      </c>
      <c r="FB13" s="11" t="str">
        <f t="shared" si="62"/>
        <v/>
      </c>
      <c r="FC13" s="11" t="str">
        <f t="shared" si="63"/>
        <v/>
      </c>
      <c r="FD13" s="11" t="str">
        <f t="shared" si="64"/>
        <v/>
      </c>
      <c r="FE13" s="11" t="str">
        <f t="shared" si="65"/>
        <v/>
      </c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36" t="str">
        <f t="shared" si="71"/>
        <v/>
      </c>
      <c r="GF13" s="36" t="str">
        <f t="shared" si="72"/>
        <v/>
      </c>
      <c r="GG13" s="36" t="str">
        <f t="shared" si="73"/>
        <v/>
      </c>
      <c r="GH13" s="36" t="str">
        <f t="shared" si="74"/>
        <v/>
      </c>
      <c r="GI13" s="36" t="str">
        <f t="shared" si="75"/>
        <v/>
      </c>
      <c r="GJ13" s="36" t="str">
        <f t="shared" si="76"/>
        <v/>
      </c>
      <c r="GK13" s="36" t="str">
        <f t="shared" si="77"/>
        <v/>
      </c>
      <c r="GL13" s="36" t="str">
        <f t="shared" si="78"/>
        <v/>
      </c>
      <c r="GM13" s="36" t="str">
        <f t="shared" si="79"/>
        <v/>
      </c>
      <c r="GN13" s="36" t="str">
        <f t="shared" si="80"/>
        <v/>
      </c>
      <c r="GO13" s="36" t="str">
        <f t="shared" si="81"/>
        <v/>
      </c>
      <c r="GP13" s="36" t="str">
        <f t="shared" si="82"/>
        <v/>
      </c>
      <c r="GQ13" s="36" t="str">
        <f t="shared" si="83"/>
        <v/>
      </c>
      <c r="GR13" s="36" t="str">
        <f t="shared" si="84"/>
        <v/>
      </c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1" t="str">
        <f t="shared" si="85"/>
        <v/>
      </c>
      <c r="HN13" s="11" t="str">
        <f t="shared" si="86"/>
        <v/>
      </c>
      <c r="HO13" s="11" t="str">
        <f t="shared" si="87"/>
        <v/>
      </c>
      <c r="HP13" s="11" t="str">
        <f t="shared" si="88"/>
        <v/>
      </c>
      <c r="HQ13" s="11" t="str">
        <f t="shared" si="89"/>
        <v/>
      </c>
      <c r="HR13" s="11" t="str">
        <f t="shared" si="90"/>
        <v/>
      </c>
      <c r="HS13" s="11" t="str">
        <f t="shared" si="91"/>
        <v/>
      </c>
      <c r="HT13" s="11" t="str">
        <f t="shared" si="92"/>
        <v/>
      </c>
      <c r="HU13" s="11" t="str">
        <f t="shared" si="93"/>
        <v/>
      </c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36" t="str">
        <f t="shared" si="99"/>
        <v/>
      </c>
      <c r="IV13" s="36" t="str">
        <f t="shared" si="100"/>
        <v/>
      </c>
      <c r="IW13" s="36" t="str">
        <f t="shared" si="101"/>
        <v/>
      </c>
      <c r="IX13" s="36" t="str">
        <f t="shared" si="102"/>
        <v/>
      </c>
      <c r="IY13" s="36" t="str">
        <f t="shared" si="103"/>
        <v/>
      </c>
      <c r="IZ13" s="36" t="str">
        <f t="shared" si="104"/>
        <v/>
      </c>
      <c r="JA13" s="36" t="str">
        <f t="shared" si="105"/>
        <v/>
      </c>
      <c r="JB13" s="36" t="str">
        <f t="shared" si="106"/>
        <v/>
      </c>
      <c r="JC13" s="36" t="str">
        <f t="shared" si="107"/>
        <v/>
      </c>
      <c r="JD13" s="36" t="str">
        <f t="shared" si="108"/>
        <v/>
      </c>
      <c r="JE13" s="36" t="str">
        <f t="shared" si="109"/>
        <v/>
      </c>
      <c r="JF13" s="36" t="str">
        <f t="shared" si="110"/>
        <v/>
      </c>
      <c r="JG13" s="36" t="str">
        <f t="shared" si="111"/>
        <v/>
      </c>
      <c r="JH13" s="36" t="str">
        <f t="shared" si="112"/>
        <v/>
      </c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1" t="str">
        <f t="shared" si="113"/>
        <v/>
      </c>
      <c r="KD13" s="11" t="str">
        <f t="shared" si="114"/>
        <v/>
      </c>
      <c r="KE13" s="11" t="str">
        <f t="shared" si="115"/>
        <v/>
      </c>
      <c r="KF13" s="11" t="str">
        <f t="shared" si="116"/>
        <v/>
      </c>
      <c r="KG13" s="11" t="str">
        <f t="shared" si="117"/>
        <v/>
      </c>
      <c r="KH13" s="11" t="str">
        <f t="shared" si="118"/>
        <v/>
      </c>
      <c r="KI13" s="11" t="str">
        <f t="shared" si="119"/>
        <v/>
      </c>
      <c r="KJ13" s="11" t="str">
        <f t="shared" si="120"/>
        <v/>
      </c>
      <c r="KK13" s="11" t="str">
        <f t="shared" si="121"/>
        <v/>
      </c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36" t="str">
        <f t="shared" si="127"/>
        <v/>
      </c>
      <c r="LL13" s="36" t="str">
        <f t="shared" si="128"/>
        <v/>
      </c>
      <c r="LM13" s="36" t="str">
        <f t="shared" si="129"/>
        <v/>
      </c>
      <c r="LN13" s="36" t="str">
        <f t="shared" si="130"/>
        <v/>
      </c>
      <c r="LO13" s="36" t="str">
        <f t="shared" si="131"/>
        <v/>
      </c>
      <c r="LP13" s="36" t="str">
        <f t="shared" si="132"/>
        <v/>
      </c>
      <c r="LQ13" s="36" t="str">
        <f t="shared" si="133"/>
        <v/>
      </c>
      <c r="LR13" s="36" t="str">
        <f t="shared" si="134"/>
        <v/>
      </c>
      <c r="LS13" s="36" t="str">
        <f t="shared" si="135"/>
        <v/>
      </c>
      <c r="LT13" s="36" t="str">
        <f t="shared" si="136"/>
        <v/>
      </c>
      <c r="LU13" s="36" t="str">
        <f t="shared" si="137"/>
        <v/>
      </c>
      <c r="LV13" s="36" t="str">
        <f t="shared" si="138"/>
        <v/>
      </c>
      <c r="LW13" s="36" t="str">
        <f t="shared" si="139"/>
        <v/>
      </c>
      <c r="LX13" s="36" t="str">
        <f t="shared" si="140"/>
        <v/>
      </c>
      <c r="LY13" s="16"/>
      <c r="LZ13" s="16"/>
      <c r="MA13" s="16"/>
      <c r="MB13" s="16"/>
      <c r="MC13" s="16"/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1" t="str">
        <f t="shared" si="141"/>
        <v/>
      </c>
      <c r="MT13" s="11" t="str">
        <f t="shared" si="142"/>
        <v/>
      </c>
      <c r="MU13" s="11" t="str">
        <f t="shared" si="143"/>
        <v/>
      </c>
      <c r="MV13" s="11" t="str">
        <f t="shared" si="144"/>
        <v/>
      </c>
      <c r="MW13" s="11" t="str">
        <f t="shared" si="145"/>
        <v/>
      </c>
      <c r="MX13" s="11" t="str">
        <f t="shared" si="146"/>
        <v/>
      </c>
      <c r="MY13" s="11" t="str">
        <f t="shared" si="147"/>
        <v/>
      </c>
      <c r="MZ13" s="11" t="str">
        <f t="shared" si="148"/>
        <v/>
      </c>
      <c r="NA13" s="11" t="str">
        <f t="shared" si="149"/>
        <v/>
      </c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36" t="str">
        <f t="shared" si="155"/>
        <v/>
      </c>
      <c r="OB13" s="36" t="str">
        <f t="shared" si="156"/>
        <v/>
      </c>
      <c r="OC13" s="36" t="str">
        <f t="shared" si="157"/>
        <v/>
      </c>
      <c r="OD13" s="36" t="str">
        <f t="shared" si="158"/>
        <v/>
      </c>
      <c r="OE13" s="36" t="str">
        <f t="shared" si="159"/>
        <v/>
      </c>
      <c r="OF13" s="36" t="str">
        <f t="shared" si="160"/>
        <v/>
      </c>
      <c r="OG13" s="36" t="str">
        <f t="shared" si="161"/>
        <v/>
      </c>
      <c r="OH13" s="36" t="str">
        <f t="shared" si="162"/>
        <v/>
      </c>
      <c r="OI13" s="36" t="str">
        <f t="shared" si="163"/>
        <v/>
      </c>
      <c r="OJ13" s="36" t="str">
        <f t="shared" si="164"/>
        <v/>
      </c>
      <c r="OK13" s="36" t="str">
        <f t="shared" si="165"/>
        <v/>
      </c>
      <c r="OL13" s="36" t="str">
        <f t="shared" si="166"/>
        <v/>
      </c>
      <c r="OM13" s="36" t="str">
        <f t="shared" si="167"/>
        <v/>
      </c>
      <c r="ON13" s="36" t="str">
        <f t="shared" si="168"/>
        <v/>
      </c>
      <c r="OO13" s="16"/>
      <c r="OP13" s="16"/>
      <c r="OQ13" s="16"/>
      <c r="OR13" s="16"/>
      <c r="OS13" s="16"/>
      <c r="OT13" s="16"/>
      <c r="OU13" s="16"/>
      <c r="OV13" s="16"/>
      <c r="OW13" s="16"/>
      <c r="OX13" s="16"/>
      <c r="OY13" s="16"/>
      <c r="OZ13" s="16"/>
      <c r="PA13" s="16"/>
      <c r="PB13" s="16"/>
      <c r="PC13" s="16"/>
      <c r="PD13" s="16"/>
      <c r="PE13" s="16"/>
      <c r="PF13" s="16"/>
      <c r="PG13" s="16"/>
      <c r="PH13" s="16"/>
      <c r="PI13" s="11" t="str">
        <f t="shared" si="169"/>
        <v/>
      </c>
      <c r="PJ13" s="11" t="str">
        <f t="shared" si="170"/>
        <v/>
      </c>
      <c r="PK13" s="11" t="str">
        <f t="shared" si="171"/>
        <v/>
      </c>
      <c r="PL13" s="11" t="str">
        <f t="shared" si="172"/>
        <v/>
      </c>
      <c r="PM13" s="11" t="str">
        <f t="shared" si="173"/>
        <v/>
      </c>
      <c r="PN13" s="11" t="str">
        <f t="shared" si="174"/>
        <v/>
      </c>
      <c r="PO13" s="11" t="str">
        <f t="shared" si="175"/>
        <v/>
      </c>
      <c r="PP13" s="11" t="str">
        <f t="shared" si="176"/>
        <v/>
      </c>
      <c r="PQ13" s="11" t="str">
        <f t="shared" si="177"/>
        <v/>
      </c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36" t="str">
        <f t="shared" si="183"/>
        <v/>
      </c>
      <c r="QR13" s="36" t="str">
        <f t="shared" si="184"/>
        <v/>
      </c>
      <c r="QS13" s="36" t="str">
        <f t="shared" si="185"/>
        <v/>
      </c>
      <c r="QT13" s="36" t="str">
        <f t="shared" si="186"/>
        <v/>
      </c>
      <c r="QU13" s="36" t="str">
        <f t="shared" si="187"/>
        <v/>
      </c>
      <c r="QV13" s="36" t="str">
        <f t="shared" si="188"/>
        <v/>
      </c>
      <c r="QW13" s="36" t="str">
        <f t="shared" si="189"/>
        <v/>
      </c>
      <c r="QX13" s="36" t="str">
        <f t="shared" si="190"/>
        <v/>
      </c>
      <c r="QY13" s="36" t="str">
        <f t="shared" si="191"/>
        <v/>
      </c>
      <c r="QZ13" s="36" t="str">
        <f t="shared" si="192"/>
        <v/>
      </c>
      <c r="RA13" s="36" t="str">
        <f t="shared" si="193"/>
        <v/>
      </c>
      <c r="RB13" s="36" t="str">
        <f t="shared" si="194"/>
        <v/>
      </c>
      <c r="RC13" s="36" t="str">
        <f t="shared" si="195"/>
        <v/>
      </c>
      <c r="RD13" s="36" t="str">
        <f t="shared" si="196"/>
        <v/>
      </c>
      <c r="RE13" s="16"/>
      <c r="RF13" s="16"/>
      <c r="RG13" s="16"/>
      <c r="RH13" s="16"/>
      <c r="RI13" s="16"/>
      <c r="RJ13" s="16"/>
      <c r="RK13" s="16"/>
      <c r="RL13" s="16"/>
      <c r="RM13" s="16"/>
      <c r="RN13" s="16"/>
      <c r="RO13" s="16"/>
      <c r="RP13" s="16"/>
      <c r="RQ13" s="16"/>
      <c r="RR13" s="16"/>
      <c r="RS13" s="16"/>
      <c r="RT13" s="16"/>
      <c r="RU13" s="16"/>
      <c r="RV13" s="16"/>
      <c r="RW13" s="16"/>
      <c r="RX13" s="16"/>
      <c r="RY13" s="11" t="str">
        <f t="shared" si="197"/>
        <v/>
      </c>
      <c r="RZ13" s="11" t="str">
        <f t="shared" si="198"/>
        <v/>
      </c>
      <c r="SA13" s="11" t="str">
        <f t="shared" si="199"/>
        <v/>
      </c>
      <c r="SB13" s="11" t="str">
        <f t="shared" si="200"/>
        <v/>
      </c>
      <c r="SC13" s="11" t="str">
        <f t="shared" si="201"/>
        <v/>
      </c>
      <c r="SD13" s="11" t="str">
        <f t="shared" si="202"/>
        <v/>
      </c>
      <c r="SE13" s="11" t="str">
        <f t="shared" si="203"/>
        <v/>
      </c>
      <c r="SF13" s="11" t="str">
        <f t="shared" si="204"/>
        <v/>
      </c>
      <c r="SG13" s="11" t="str">
        <f t="shared" si="205"/>
        <v/>
      </c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36" t="str">
        <f t="shared" si="211"/>
        <v/>
      </c>
      <c r="TH13" s="36" t="str">
        <f t="shared" si="212"/>
        <v/>
      </c>
      <c r="TI13" s="36" t="str">
        <f t="shared" si="213"/>
        <v/>
      </c>
      <c r="TJ13" s="36" t="str">
        <f t="shared" si="214"/>
        <v/>
      </c>
      <c r="TK13" s="36" t="str">
        <f t="shared" si="215"/>
        <v/>
      </c>
      <c r="TL13" s="36" t="str">
        <f t="shared" si="216"/>
        <v/>
      </c>
      <c r="TM13" s="36" t="str">
        <f t="shared" si="217"/>
        <v/>
      </c>
      <c r="TN13" s="36" t="str">
        <f t="shared" si="218"/>
        <v/>
      </c>
      <c r="TO13" s="36" t="str">
        <f t="shared" si="219"/>
        <v/>
      </c>
      <c r="TP13" s="36" t="str">
        <f t="shared" si="220"/>
        <v/>
      </c>
      <c r="TQ13" s="36" t="str">
        <f t="shared" si="221"/>
        <v/>
      </c>
      <c r="TR13" s="36" t="str">
        <f t="shared" si="222"/>
        <v/>
      </c>
      <c r="TS13" s="36" t="str">
        <f t="shared" si="223"/>
        <v/>
      </c>
      <c r="TT13" s="36" t="str">
        <f t="shared" si="224"/>
        <v/>
      </c>
      <c r="TU13" s="16"/>
      <c r="TV13" s="16"/>
      <c r="TW13" s="16"/>
      <c r="TX13" s="16"/>
      <c r="TY13" s="16"/>
      <c r="TZ13" s="16"/>
      <c r="UA13" s="16"/>
      <c r="UB13" s="16"/>
      <c r="UC13" s="16"/>
      <c r="UD13" s="16"/>
      <c r="UE13" s="16"/>
      <c r="UF13" s="16"/>
      <c r="UG13" s="16"/>
      <c r="UH13" s="16"/>
      <c r="UI13" s="16"/>
      <c r="UJ13" s="16"/>
      <c r="UK13" s="16"/>
      <c r="UL13" s="16"/>
      <c r="UM13" s="16"/>
      <c r="UN13" s="16"/>
      <c r="UO13" s="11" t="str">
        <f t="shared" si="225"/>
        <v/>
      </c>
      <c r="UP13" s="11" t="str">
        <f t="shared" si="226"/>
        <v/>
      </c>
      <c r="UQ13" s="11" t="str">
        <f t="shared" si="227"/>
        <v/>
      </c>
      <c r="UR13" s="11" t="str">
        <f t="shared" si="228"/>
        <v/>
      </c>
      <c r="US13" s="11" t="str">
        <f t="shared" si="229"/>
        <v/>
      </c>
      <c r="UT13" s="11" t="str">
        <f t="shared" si="230"/>
        <v/>
      </c>
      <c r="UU13" s="11" t="str">
        <f t="shared" si="231"/>
        <v/>
      </c>
      <c r="UV13" s="11" t="str">
        <f t="shared" si="232"/>
        <v/>
      </c>
      <c r="UW13" s="11" t="str">
        <f t="shared" si="233"/>
        <v/>
      </c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36" t="str">
        <f t="shared" si="239"/>
        <v/>
      </c>
      <c r="VX13" s="36" t="str">
        <f t="shared" si="240"/>
        <v/>
      </c>
      <c r="VY13" s="36" t="str">
        <f t="shared" si="241"/>
        <v/>
      </c>
      <c r="VZ13" s="36" t="str">
        <f t="shared" si="242"/>
        <v/>
      </c>
      <c r="WA13" s="36" t="str">
        <f t="shared" si="243"/>
        <v/>
      </c>
      <c r="WB13" s="36" t="str">
        <f t="shared" si="244"/>
        <v/>
      </c>
      <c r="WC13" s="36" t="str">
        <f t="shared" si="245"/>
        <v/>
      </c>
      <c r="WD13" s="36" t="str">
        <f t="shared" si="246"/>
        <v/>
      </c>
      <c r="WE13" s="36" t="str">
        <f t="shared" si="247"/>
        <v/>
      </c>
      <c r="WF13" s="36" t="str">
        <f t="shared" si="248"/>
        <v/>
      </c>
      <c r="WG13" s="36" t="str">
        <f t="shared" si="249"/>
        <v/>
      </c>
      <c r="WH13" s="36" t="str">
        <f t="shared" si="250"/>
        <v/>
      </c>
      <c r="WI13" s="36" t="str">
        <f t="shared" si="251"/>
        <v/>
      </c>
      <c r="WJ13" s="36" t="str">
        <f t="shared" si="252"/>
        <v/>
      </c>
    </row>
    <row r="14" spans="1:608" x14ac:dyDescent="0.2">
      <c r="B14" s="5"/>
      <c r="D14" s="1"/>
    </row>
    <row r="15" spans="1:608" x14ac:dyDescent="0.2">
      <c r="G15" s="32"/>
      <c r="I15" s="32"/>
    </row>
    <row r="16" spans="1:608" x14ac:dyDescent="0.2">
      <c r="B16" s="19" t="s">
        <v>40</v>
      </c>
      <c r="C16" s="5"/>
      <c r="G16" s="3"/>
      <c r="AJ16" s="37"/>
      <c r="AK16" s="37"/>
      <c r="AL16" s="37"/>
      <c r="AN16" s="28"/>
      <c r="AO16" s="28"/>
      <c r="AQ16" s="38">
        <v>12.7</v>
      </c>
      <c r="BK16" s="37"/>
      <c r="BL16" s="37"/>
      <c r="BM16" s="37"/>
      <c r="BO16" s="28"/>
      <c r="BP16" s="28"/>
      <c r="BR16" s="38">
        <v>12.7</v>
      </c>
      <c r="CL16" s="37"/>
      <c r="CM16" s="37"/>
      <c r="CN16" s="37"/>
      <c r="CP16" s="28"/>
      <c r="CQ16" s="28"/>
      <c r="CS16" s="38">
        <v>10.7</v>
      </c>
      <c r="DO16" s="5"/>
      <c r="DP16" s="5"/>
      <c r="DY16" s="2"/>
      <c r="DZ16" s="2"/>
      <c r="EB16" s="38">
        <v>12.7</v>
      </c>
      <c r="EW16" s="5"/>
      <c r="EX16" s="5"/>
      <c r="FG16" s="2"/>
      <c r="FH16" s="2"/>
      <c r="FJ16" s="38">
        <v>12.7</v>
      </c>
      <c r="GE16" s="5"/>
      <c r="GF16" s="5"/>
      <c r="GO16" s="2"/>
      <c r="GP16" s="2"/>
      <c r="GR16" s="38">
        <v>12.7</v>
      </c>
      <c r="HM16" s="5"/>
      <c r="HN16" s="5"/>
      <c r="HW16" s="2"/>
      <c r="HX16" s="2"/>
      <c r="HZ16" s="38">
        <v>12.7</v>
      </c>
      <c r="IU16" s="5"/>
      <c r="IV16" s="5"/>
      <c r="JE16" s="2"/>
      <c r="JF16" s="2"/>
      <c r="JH16" s="38">
        <v>10.7</v>
      </c>
      <c r="KC16" s="5"/>
      <c r="KD16" s="5"/>
      <c r="KM16" s="2"/>
      <c r="KN16" s="2"/>
      <c r="KP16" s="38">
        <v>10.7</v>
      </c>
      <c r="LK16" s="5"/>
      <c r="LL16" s="5"/>
      <c r="LU16" s="2"/>
      <c r="LV16" s="2"/>
      <c r="LX16" s="38">
        <v>10.7</v>
      </c>
      <c r="MS16" s="5"/>
      <c r="MT16" s="5"/>
      <c r="NC16" s="2"/>
      <c r="ND16" s="2"/>
      <c r="NF16" s="38">
        <v>10.7</v>
      </c>
      <c r="OA16" s="5"/>
      <c r="OB16" s="5"/>
      <c r="OK16" s="2"/>
      <c r="OL16" s="2"/>
      <c r="ON16" s="38">
        <v>10.7</v>
      </c>
      <c r="PI16" s="5"/>
      <c r="PJ16" s="5"/>
      <c r="PS16" s="2"/>
      <c r="PT16" s="2"/>
      <c r="PV16" s="38">
        <v>10.7</v>
      </c>
      <c r="QQ16" s="5"/>
      <c r="QR16" s="5"/>
      <c r="RA16" s="2"/>
      <c r="RB16" s="2"/>
      <c r="RD16" s="38">
        <v>10.7</v>
      </c>
      <c r="RY16" s="5"/>
      <c r="RZ16" s="5"/>
      <c r="SI16" s="2"/>
      <c r="SJ16" s="2"/>
      <c r="SL16" s="38">
        <v>10.7</v>
      </c>
      <c r="TG16" s="5"/>
      <c r="TH16" s="5"/>
      <c r="TQ16" s="2"/>
      <c r="TR16" s="2"/>
      <c r="TT16" s="38">
        <v>10.7</v>
      </c>
      <c r="UO16" s="5"/>
      <c r="UP16" s="5"/>
      <c r="UY16" s="2"/>
      <c r="UZ16" s="2"/>
      <c r="VB16" s="38">
        <v>10.7</v>
      </c>
      <c r="VW16" s="5"/>
      <c r="VX16" s="5"/>
      <c r="WG16" s="2"/>
      <c r="WH16" s="2"/>
      <c r="WJ16" s="38">
        <v>10.7</v>
      </c>
    </row>
    <row r="17" spans="1:608" hidden="1" x14ac:dyDescent="0.2">
      <c r="B17" s="26" t="s">
        <v>39</v>
      </c>
      <c r="C17" s="5"/>
      <c r="P17" s="2"/>
      <c r="AJ17" s="37"/>
      <c r="AK17" s="37"/>
      <c r="AL17" s="37"/>
      <c r="AN17" s="28"/>
      <c r="AO17" s="28"/>
      <c r="AQ17" s="39">
        <v>1000</v>
      </c>
      <c r="BK17" s="37"/>
      <c r="BL17" s="37"/>
      <c r="BM17" s="37"/>
      <c r="BO17" s="28"/>
      <c r="BP17" s="28"/>
      <c r="BR17" s="39">
        <v>1000</v>
      </c>
      <c r="CL17" s="37"/>
      <c r="CM17" s="37"/>
      <c r="CN17" s="37"/>
      <c r="CP17" s="28"/>
      <c r="CQ17" s="28"/>
      <c r="CS17" s="39">
        <v>1000</v>
      </c>
      <c r="DO17" s="5"/>
      <c r="DP17" s="5"/>
      <c r="DY17" s="2"/>
      <c r="DZ17" s="2"/>
      <c r="EB17" s="39">
        <v>1000</v>
      </c>
      <c r="EW17" s="5"/>
      <c r="EX17" s="5"/>
      <c r="FG17" s="2"/>
      <c r="FH17" s="2"/>
      <c r="FJ17" s="39">
        <v>1000</v>
      </c>
      <c r="GE17" s="5"/>
      <c r="GF17" s="5"/>
      <c r="GO17" s="2"/>
      <c r="GP17" s="2"/>
      <c r="GR17" s="39">
        <v>1000</v>
      </c>
      <c r="HM17" s="5"/>
      <c r="HN17" s="5"/>
      <c r="HW17" s="2"/>
      <c r="HX17" s="2"/>
      <c r="HZ17" s="39">
        <v>1000</v>
      </c>
      <c r="IU17" s="5"/>
      <c r="IV17" s="5"/>
      <c r="JE17" s="2"/>
      <c r="JF17" s="2"/>
      <c r="JH17" s="39">
        <v>1000</v>
      </c>
      <c r="KC17" s="5"/>
      <c r="KD17" s="5"/>
      <c r="KM17" s="2"/>
      <c r="KN17" s="2"/>
      <c r="KP17" s="39">
        <v>1000</v>
      </c>
      <c r="LK17" s="5"/>
      <c r="LL17" s="5"/>
      <c r="LU17" s="2"/>
      <c r="LV17" s="2"/>
      <c r="LX17" s="39">
        <v>1000</v>
      </c>
      <c r="MS17" s="5"/>
      <c r="MT17" s="5"/>
      <c r="NC17" s="2"/>
      <c r="ND17" s="2"/>
      <c r="NF17" s="39">
        <v>1000</v>
      </c>
      <c r="OA17" s="5"/>
      <c r="OB17" s="5"/>
      <c r="OK17" s="2"/>
      <c r="OL17" s="2"/>
      <c r="ON17" s="39">
        <v>1000</v>
      </c>
      <c r="PI17" s="5"/>
      <c r="PJ17" s="5"/>
      <c r="PS17" s="2"/>
      <c r="PT17" s="2"/>
      <c r="PV17" s="39">
        <v>1000</v>
      </c>
      <c r="QQ17" s="5"/>
      <c r="QR17" s="5"/>
      <c r="RA17" s="2"/>
      <c r="RB17" s="2"/>
      <c r="RD17" s="39">
        <v>1000</v>
      </c>
      <c r="RY17" s="5"/>
      <c r="RZ17" s="5"/>
      <c r="SI17" s="2"/>
      <c r="SJ17" s="2"/>
      <c r="SL17" s="39">
        <v>1000</v>
      </c>
      <c r="TG17" s="5"/>
      <c r="TH17" s="5"/>
      <c r="TQ17" s="2"/>
      <c r="TR17" s="2"/>
      <c r="TT17" s="39">
        <v>1000</v>
      </c>
      <c r="UO17" s="5"/>
      <c r="UP17" s="5"/>
      <c r="UY17" s="2"/>
      <c r="UZ17" s="2"/>
      <c r="VB17" s="39">
        <v>1000</v>
      </c>
      <c r="VW17" s="5"/>
      <c r="VX17" s="5"/>
      <c r="WG17" s="2"/>
      <c r="WH17" s="2"/>
      <c r="WJ17" s="39">
        <v>1000</v>
      </c>
    </row>
    <row r="18" spans="1:608" hidden="1" x14ac:dyDescent="0.2">
      <c r="A18" s="5"/>
      <c r="B18" s="27" t="s">
        <v>50</v>
      </c>
      <c r="C18" s="5"/>
      <c r="E18" s="2"/>
      <c r="AJ18" s="37"/>
      <c r="AK18" s="37"/>
      <c r="AL18" s="37"/>
      <c r="AM18" s="28"/>
      <c r="AN18" s="28"/>
      <c r="AO18" s="28"/>
      <c r="AP18" s="28"/>
      <c r="AQ18" s="40">
        <v>1000</v>
      </c>
      <c r="BK18" s="37"/>
      <c r="BL18" s="37"/>
      <c r="BM18" s="37"/>
      <c r="BO18" s="28"/>
      <c r="BP18" s="28"/>
      <c r="BR18" s="40">
        <v>1000</v>
      </c>
      <c r="CL18" s="37"/>
      <c r="CM18" s="37"/>
      <c r="CN18" s="37"/>
      <c r="CO18" s="28"/>
      <c r="CP18" s="28"/>
      <c r="CQ18" s="28"/>
      <c r="CR18" s="28"/>
      <c r="CS18" s="40">
        <v>1000</v>
      </c>
      <c r="DO18" s="5"/>
      <c r="DP18" s="5"/>
      <c r="DY18" s="2"/>
      <c r="DZ18" s="2"/>
      <c r="EB18" s="40">
        <v>1000</v>
      </c>
      <c r="EW18" s="5"/>
      <c r="EX18" s="5"/>
      <c r="FG18" s="2"/>
      <c r="FH18" s="2"/>
      <c r="FJ18" s="40">
        <v>1000</v>
      </c>
      <c r="GE18" s="5"/>
      <c r="GF18" s="5"/>
      <c r="GO18" s="2"/>
      <c r="GP18" s="2"/>
      <c r="GR18" s="40">
        <v>1000</v>
      </c>
      <c r="HM18" s="5"/>
      <c r="HN18" s="5"/>
      <c r="HW18" s="2"/>
      <c r="HX18" s="2"/>
      <c r="HZ18" s="40">
        <v>1000</v>
      </c>
      <c r="IU18" s="5"/>
      <c r="IV18" s="5"/>
      <c r="JE18" s="2"/>
      <c r="JF18" s="2"/>
      <c r="JH18" s="40">
        <v>1000</v>
      </c>
      <c r="KC18" s="5"/>
      <c r="KD18" s="5"/>
      <c r="KM18" s="2"/>
      <c r="KN18" s="2"/>
      <c r="KP18" s="40">
        <v>1000</v>
      </c>
      <c r="LK18" s="5"/>
      <c r="LL18" s="5"/>
      <c r="LU18" s="2"/>
      <c r="LV18" s="2"/>
      <c r="LX18" s="40">
        <v>1000</v>
      </c>
      <c r="MS18" s="5"/>
      <c r="MT18" s="5"/>
      <c r="NC18" s="2"/>
      <c r="ND18" s="2"/>
      <c r="NF18" s="40">
        <v>1000</v>
      </c>
      <c r="OA18" s="5"/>
      <c r="OB18" s="5"/>
      <c r="OK18" s="2"/>
      <c r="OL18" s="2"/>
      <c r="ON18" s="40">
        <v>1000</v>
      </c>
      <c r="PI18" s="5"/>
      <c r="PJ18" s="5"/>
      <c r="PS18" s="2"/>
      <c r="PT18" s="2"/>
      <c r="PV18" s="40">
        <v>1000</v>
      </c>
      <c r="QQ18" s="5"/>
      <c r="QR18" s="5"/>
      <c r="RA18" s="2"/>
      <c r="RB18" s="2"/>
      <c r="RD18" s="40">
        <v>1000</v>
      </c>
      <c r="RY18" s="5"/>
      <c r="RZ18" s="5"/>
      <c r="SI18" s="2"/>
      <c r="SJ18" s="2"/>
      <c r="SL18" s="40">
        <v>1000</v>
      </c>
      <c r="TG18" s="5"/>
      <c r="TH18" s="5"/>
      <c r="TQ18" s="2"/>
      <c r="TR18" s="2"/>
      <c r="TT18" s="40">
        <v>1000</v>
      </c>
      <c r="UO18" s="5"/>
      <c r="UP18" s="5"/>
      <c r="UY18" s="2"/>
      <c r="UZ18" s="2"/>
      <c r="VB18" s="40">
        <v>1000</v>
      </c>
      <c r="VW18" s="5"/>
      <c r="VX18" s="5"/>
      <c r="WG18" s="2"/>
      <c r="WH18" s="2"/>
      <c r="WJ18" s="40">
        <v>1000</v>
      </c>
    </row>
    <row r="19" spans="1:608" hidden="1" x14ac:dyDescent="0.2">
      <c r="A19" s="5"/>
      <c r="B19" s="31" t="s">
        <v>57</v>
      </c>
      <c r="C19" s="5"/>
      <c r="E19" s="2"/>
      <c r="AJ19" s="37"/>
      <c r="AK19" s="37"/>
      <c r="AL19" s="37"/>
      <c r="AM19" s="28"/>
      <c r="AN19" s="28"/>
      <c r="AO19" s="28"/>
      <c r="AP19" s="28"/>
      <c r="AQ19" s="41">
        <v>1000</v>
      </c>
      <c r="BK19" s="37"/>
      <c r="BL19" s="37"/>
      <c r="BM19" s="37"/>
      <c r="BO19" s="28"/>
      <c r="BP19" s="28"/>
      <c r="BR19" s="41">
        <v>1000</v>
      </c>
      <c r="CL19" s="37"/>
      <c r="CM19" s="37"/>
      <c r="CN19" s="37"/>
      <c r="CO19" s="28"/>
      <c r="CP19" s="28"/>
      <c r="CQ19" s="28"/>
      <c r="CR19" s="28"/>
      <c r="CS19" s="41">
        <v>1000</v>
      </c>
      <c r="DO19" s="5"/>
      <c r="DP19" s="5"/>
      <c r="DY19" s="2"/>
      <c r="DZ19" s="2"/>
      <c r="EB19" s="41">
        <v>1000</v>
      </c>
      <c r="EW19" s="5"/>
      <c r="EX19" s="5"/>
      <c r="FG19" s="2"/>
      <c r="FH19" s="2"/>
      <c r="FJ19" s="41">
        <v>1000</v>
      </c>
      <c r="GE19" s="5"/>
      <c r="GF19" s="5"/>
      <c r="GO19" s="2"/>
      <c r="GP19" s="2"/>
      <c r="GR19" s="41">
        <v>1000</v>
      </c>
      <c r="HM19" s="5"/>
      <c r="HN19" s="5"/>
      <c r="HW19" s="2"/>
      <c r="HX19" s="2"/>
      <c r="HZ19" s="41">
        <v>1000</v>
      </c>
      <c r="IU19" s="5"/>
      <c r="IV19" s="5"/>
      <c r="JE19" s="2"/>
      <c r="JF19" s="2"/>
      <c r="JH19" s="41">
        <v>1000</v>
      </c>
      <c r="KC19" s="5"/>
      <c r="KD19" s="5"/>
      <c r="KM19" s="2"/>
      <c r="KN19" s="2"/>
      <c r="KP19" s="41">
        <v>1000</v>
      </c>
      <c r="LK19" s="5"/>
      <c r="LL19" s="5"/>
      <c r="LU19" s="2"/>
      <c r="LV19" s="2"/>
      <c r="LX19" s="41">
        <v>1000</v>
      </c>
      <c r="MS19" s="5"/>
      <c r="MT19" s="5"/>
      <c r="NC19" s="2"/>
      <c r="ND19" s="2"/>
      <c r="NF19" s="41">
        <v>1000</v>
      </c>
      <c r="OA19" s="5"/>
      <c r="OB19" s="5"/>
      <c r="OK19" s="2"/>
      <c r="OL19" s="2"/>
      <c r="ON19" s="41">
        <v>1000</v>
      </c>
      <c r="PI19" s="5"/>
      <c r="PJ19" s="5"/>
      <c r="PS19" s="2"/>
      <c r="PT19" s="2"/>
      <c r="PV19" s="41">
        <v>1000</v>
      </c>
      <c r="QQ19" s="5"/>
      <c r="QR19" s="5"/>
      <c r="RA19" s="2"/>
      <c r="RB19" s="2"/>
      <c r="RD19" s="41">
        <v>1000</v>
      </c>
      <c r="RY19" s="5"/>
      <c r="RZ19" s="5"/>
      <c r="SI19" s="2"/>
      <c r="SJ19" s="2"/>
      <c r="SL19" s="41">
        <v>1000</v>
      </c>
      <c r="TG19" s="5"/>
      <c r="TH19" s="5"/>
      <c r="TQ19" s="2"/>
      <c r="TR19" s="2"/>
      <c r="TT19" s="41">
        <v>1000</v>
      </c>
      <c r="UO19" s="5"/>
      <c r="UP19" s="5"/>
      <c r="UY19" s="2"/>
      <c r="UZ19" s="2"/>
      <c r="VB19" s="41">
        <v>1000</v>
      </c>
      <c r="VW19" s="5"/>
      <c r="VX19" s="5"/>
      <c r="WG19" s="2"/>
      <c r="WH19" s="2"/>
      <c r="WJ19" s="41">
        <v>1000</v>
      </c>
    </row>
    <row r="20" spans="1:608" x14ac:dyDescent="0.2">
      <c r="A20" s="5"/>
      <c r="B20" s="30" t="s">
        <v>37</v>
      </c>
      <c r="C20" s="5"/>
      <c r="AJ20" s="37"/>
      <c r="AK20" s="37"/>
      <c r="AL20" s="37"/>
      <c r="AM20" s="28"/>
      <c r="AN20" s="28"/>
      <c r="AO20" s="28"/>
      <c r="AP20" s="28"/>
      <c r="AQ20" s="42">
        <v>50</v>
      </c>
      <c r="BK20" s="37"/>
      <c r="BL20" s="37"/>
      <c r="BM20" s="37"/>
      <c r="BO20" s="28"/>
      <c r="BP20" s="28"/>
      <c r="BR20" s="42">
        <v>50</v>
      </c>
      <c r="CL20" s="37"/>
      <c r="CM20" s="37"/>
      <c r="CN20" s="37"/>
      <c r="CO20" s="28"/>
      <c r="CP20" s="28"/>
      <c r="CQ20" s="28"/>
      <c r="CR20" s="28"/>
      <c r="CS20" s="42">
        <v>48.9</v>
      </c>
      <c r="DO20" s="5"/>
      <c r="DP20" s="5"/>
      <c r="DY20" s="2"/>
      <c r="DZ20" s="2"/>
      <c r="EB20" s="42">
        <v>50</v>
      </c>
      <c r="EW20" s="5"/>
      <c r="EX20" s="5"/>
      <c r="FG20" s="2"/>
      <c r="FH20" s="2"/>
      <c r="FJ20" s="42">
        <v>50</v>
      </c>
      <c r="GE20" s="5"/>
      <c r="GF20" s="5"/>
      <c r="GO20" s="2"/>
      <c r="GP20" s="2"/>
      <c r="GR20" s="42">
        <v>50</v>
      </c>
      <c r="HM20" s="5"/>
      <c r="HN20" s="5"/>
      <c r="HW20" s="2"/>
      <c r="HX20" s="2"/>
      <c r="HZ20" s="42">
        <v>50</v>
      </c>
      <c r="IU20" s="5"/>
      <c r="IV20" s="5"/>
      <c r="JE20" s="2"/>
      <c r="JF20" s="2"/>
      <c r="JH20" s="42">
        <v>48.9</v>
      </c>
      <c r="KC20" s="5"/>
      <c r="KD20" s="5"/>
      <c r="KM20" s="2"/>
      <c r="KN20" s="2"/>
      <c r="KP20" s="42">
        <v>48.9</v>
      </c>
      <c r="LK20" s="5"/>
      <c r="LL20" s="5"/>
      <c r="LU20" s="2"/>
      <c r="LV20" s="2"/>
      <c r="LX20" s="42">
        <v>48.9</v>
      </c>
      <c r="MS20" s="5"/>
      <c r="MT20" s="5"/>
      <c r="NC20" s="2"/>
      <c r="ND20" s="2"/>
      <c r="NF20" s="42">
        <v>48.9</v>
      </c>
      <c r="OA20" s="5"/>
      <c r="OB20" s="5"/>
      <c r="OK20" s="2"/>
      <c r="OL20" s="2"/>
      <c r="ON20" s="42">
        <v>48.9</v>
      </c>
      <c r="PI20" s="5"/>
      <c r="PJ20" s="5"/>
      <c r="PS20" s="2"/>
      <c r="PT20" s="2"/>
      <c r="PV20" s="42">
        <v>48.9</v>
      </c>
      <c r="QQ20" s="5"/>
      <c r="QR20" s="5"/>
      <c r="RA20" s="2"/>
      <c r="RB20" s="2"/>
      <c r="RD20" s="42">
        <v>48.9</v>
      </c>
      <c r="RY20" s="5"/>
      <c r="RZ20" s="5"/>
      <c r="SI20" s="2"/>
      <c r="SJ20" s="2"/>
      <c r="SL20" s="42">
        <v>48.9</v>
      </c>
      <c r="TG20" s="5"/>
      <c r="TH20" s="5"/>
      <c r="TQ20" s="2"/>
      <c r="TR20" s="2"/>
      <c r="TT20" s="42">
        <v>48.9</v>
      </c>
      <c r="UO20" s="5"/>
      <c r="UP20" s="5"/>
      <c r="UY20" s="2"/>
      <c r="UZ20" s="2"/>
      <c r="VB20" s="42">
        <v>48.9</v>
      </c>
      <c r="VW20" s="5"/>
      <c r="VX20" s="5"/>
      <c r="WG20" s="2"/>
      <c r="WH20" s="2"/>
      <c r="WJ20" s="42">
        <v>48.9</v>
      </c>
    </row>
    <row r="21" spans="1:608" hidden="1" x14ac:dyDescent="0.2">
      <c r="A21" s="5"/>
      <c r="B21" s="20" t="s">
        <v>38</v>
      </c>
      <c r="C21" s="5"/>
      <c r="AJ21" s="37"/>
      <c r="AK21" s="37"/>
      <c r="AL21" s="37"/>
      <c r="AM21" s="28"/>
      <c r="AN21" s="28"/>
      <c r="AO21" s="28"/>
      <c r="AP21" s="28"/>
      <c r="AQ21" s="43">
        <v>1000</v>
      </c>
      <c r="BK21" s="37"/>
      <c r="BL21" s="37"/>
      <c r="BM21" s="37"/>
      <c r="BO21" s="28"/>
      <c r="BP21" s="28"/>
      <c r="BR21" s="43">
        <v>1000</v>
      </c>
      <c r="CL21" s="37"/>
      <c r="CM21" s="37"/>
      <c r="CN21" s="37"/>
      <c r="CO21" s="28"/>
      <c r="CP21" s="28"/>
      <c r="CQ21" s="28"/>
      <c r="CR21" s="28"/>
      <c r="CS21" s="43">
        <v>1000</v>
      </c>
      <c r="DO21" s="5"/>
      <c r="DP21" s="5"/>
      <c r="DY21" s="2"/>
      <c r="DZ21" s="2"/>
      <c r="EB21" s="43">
        <v>1000</v>
      </c>
      <c r="EW21" s="5"/>
      <c r="EX21" s="5"/>
      <c r="FG21" s="2"/>
      <c r="FH21" s="2"/>
      <c r="FJ21" s="43">
        <v>1000</v>
      </c>
      <c r="GE21" s="5"/>
      <c r="GF21" s="5"/>
      <c r="GO21" s="2"/>
      <c r="GP21" s="2"/>
      <c r="GR21" s="43">
        <v>1000</v>
      </c>
      <c r="HM21" s="5"/>
      <c r="HN21" s="5"/>
      <c r="HW21" s="2"/>
      <c r="HX21" s="2"/>
      <c r="HZ21" s="43">
        <v>1000</v>
      </c>
      <c r="IU21" s="5"/>
      <c r="IV21" s="5"/>
      <c r="JE21" s="2"/>
      <c r="JF21" s="2"/>
      <c r="JH21" s="43">
        <v>1000</v>
      </c>
      <c r="KC21" s="5"/>
      <c r="KD21" s="5"/>
      <c r="KM21" s="2"/>
      <c r="KN21" s="2"/>
      <c r="KP21" s="43">
        <v>1000</v>
      </c>
      <c r="LK21" s="5"/>
      <c r="LL21" s="5"/>
      <c r="LU21" s="2"/>
      <c r="LV21" s="2"/>
      <c r="LX21" s="43">
        <v>1000</v>
      </c>
      <c r="MS21" s="5"/>
      <c r="MT21" s="5"/>
      <c r="NC21" s="2"/>
      <c r="ND21" s="2"/>
      <c r="NF21" s="43">
        <v>1000</v>
      </c>
      <c r="OA21" s="5"/>
      <c r="OB21" s="5"/>
      <c r="OK21" s="2"/>
      <c r="OL21" s="2"/>
      <c r="ON21" s="43">
        <v>1000</v>
      </c>
      <c r="PI21" s="5"/>
      <c r="PJ21" s="5"/>
      <c r="PS21" s="2"/>
      <c r="PT21" s="2"/>
      <c r="PV21" s="43">
        <v>1000</v>
      </c>
      <c r="QQ21" s="5"/>
      <c r="QR21" s="5"/>
      <c r="RA21" s="2"/>
      <c r="RB21" s="2"/>
      <c r="RD21" s="43">
        <v>1000</v>
      </c>
      <c r="RY21" s="5"/>
      <c r="RZ21" s="5"/>
      <c r="SI21" s="2"/>
      <c r="SJ21" s="2"/>
      <c r="SL21" s="43">
        <v>1000</v>
      </c>
      <c r="TG21" s="5"/>
      <c r="TH21" s="5"/>
      <c r="TQ21" s="2"/>
      <c r="TR21" s="2"/>
      <c r="TT21" s="43">
        <v>1000</v>
      </c>
      <c r="UO21" s="5"/>
      <c r="UP21" s="5"/>
      <c r="UY21" s="2"/>
      <c r="UZ21" s="2"/>
      <c r="VB21" s="43">
        <v>1000</v>
      </c>
      <c r="VW21" s="5"/>
      <c r="VX21" s="5"/>
      <c r="WG21" s="2"/>
      <c r="WH21" s="2"/>
      <c r="WJ21" s="43">
        <v>1000</v>
      </c>
    </row>
    <row r="22" spans="1:608" hidden="1" x14ac:dyDescent="0.2">
      <c r="A22" s="5"/>
      <c r="B22" s="29" t="s">
        <v>49</v>
      </c>
      <c r="C22" s="5"/>
      <c r="AJ22" s="37"/>
      <c r="AK22" s="37"/>
      <c r="AL22" s="37"/>
      <c r="AM22" s="28"/>
      <c r="AN22" s="28"/>
      <c r="AO22" s="28"/>
      <c r="AP22" s="28"/>
      <c r="AQ22" s="44">
        <v>1000</v>
      </c>
      <c r="BK22" s="37"/>
      <c r="BL22" s="37"/>
      <c r="BM22" s="37"/>
      <c r="BO22" s="28"/>
      <c r="BP22" s="28"/>
      <c r="BR22" s="44">
        <v>1000</v>
      </c>
      <c r="CL22" s="37"/>
      <c r="CM22" s="37"/>
      <c r="CN22" s="37"/>
      <c r="CO22" s="28"/>
      <c r="CP22" s="28"/>
      <c r="CQ22" s="28"/>
      <c r="CR22" s="28"/>
      <c r="CS22" s="44">
        <v>1000</v>
      </c>
      <c r="DO22" s="5"/>
      <c r="DP22" s="5"/>
      <c r="DY22" s="2"/>
      <c r="DZ22" s="2"/>
      <c r="EA22" s="33"/>
      <c r="EB22" s="44">
        <v>1000</v>
      </c>
      <c r="EW22" s="5"/>
      <c r="EX22" s="5"/>
      <c r="FG22" s="2"/>
      <c r="FH22" s="2"/>
      <c r="FI22" s="33"/>
      <c r="FJ22" s="44">
        <v>1000</v>
      </c>
      <c r="GE22" s="5"/>
      <c r="GF22" s="5"/>
      <c r="GO22" s="2"/>
      <c r="GP22" s="2"/>
      <c r="GQ22" s="33"/>
      <c r="GR22" s="44">
        <v>1000</v>
      </c>
      <c r="HM22" s="5"/>
      <c r="HN22" s="5"/>
      <c r="HW22" s="2"/>
      <c r="HX22" s="2"/>
      <c r="HY22" s="33"/>
      <c r="HZ22" s="44">
        <v>1000</v>
      </c>
      <c r="IU22" s="5"/>
      <c r="IV22" s="5"/>
      <c r="JE22" s="2"/>
      <c r="JF22" s="2"/>
      <c r="JG22" s="33"/>
      <c r="JH22" s="44">
        <v>1000</v>
      </c>
      <c r="KC22" s="5"/>
      <c r="KD22" s="5"/>
      <c r="KM22" s="2"/>
      <c r="KN22" s="2"/>
      <c r="KO22" s="33"/>
      <c r="KP22" s="44">
        <v>1000</v>
      </c>
      <c r="LK22" s="5"/>
      <c r="LL22" s="5"/>
      <c r="LU22" s="2"/>
      <c r="LV22" s="2"/>
      <c r="LW22" s="33"/>
      <c r="LX22" s="44">
        <v>1000</v>
      </c>
      <c r="MS22" s="5"/>
      <c r="MT22" s="5"/>
      <c r="NC22" s="2"/>
      <c r="ND22" s="2"/>
      <c r="NE22" s="33"/>
      <c r="NF22" s="44">
        <v>1000</v>
      </c>
      <c r="OA22" s="5"/>
      <c r="OB22" s="5"/>
      <c r="OK22" s="2"/>
      <c r="OL22" s="2"/>
      <c r="OM22" s="33"/>
      <c r="ON22" s="44">
        <v>1000</v>
      </c>
      <c r="PI22" s="5"/>
      <c r="PJ22" s="5"/>
      <c r="PS22" s="2"/>
      <c r="PT22" s="2"/>
      <c r="PU22" s="33"/>
      <c r="PV22" s="44">
        <v>1000</v>
      </c>
      <c r="QQ22" s="5"/>
      <c r="QR22" s="5"/>
      <c r="RA22" s="2"/>
      <c r="RB22" s="2"/>
      <c r="RC22" s="33"/>
      <c r="RD22" s="44">
        <v>1000</v>
      </c>
      <c r="RY22" s="5"/>
      <c r="RZ22" s="5"/>
      <c r="SI22" s="2"/>
      <c r="SJ22" s="2"/>
      <c r="SK22" s="33"/>
      <c r="SL22" s="44">
        <v>1000</v>
      </c>
      <c r="TG22" s="5"/>
      <c r="TH22" s="5"/>
      <c r="TQ22" s="2"/>
      <c r="TR22" s="2"/>
      <c r="TS22" s="33"/>
      <c r="TT22" s="44">
        <v>1000</v>
      </c>
      <c r="UO22" s="5"/>
      <c r="UP22" s="5"/>
      <c r="UY22" s="2"/>
      <c r="UZ22" s="2"/>
      <c r="VA22" s="33"/>
      <c r="VB22" s="44">
        <v>1000</v>
      </c>
      <c r="VW22" s="5"/>
      <c r="VX22" s="5"/>
      <c r="WG22" s="2"/>
      <c r="WH22" s="2"/>
      <c r="WI22" s="33"/>
      <c r="WJ22" s="44">
        <v>1000</v>
      </c>
    </row>
    <row r="23" spans="1:608" hidden="1" x14ac:dyDescent="0.2">
      <c r="A23" s="5"/>
      <c r="B23" s="21" t="s">
        <v>30</v>
      </c>
      <c r="C23" s="5"/>
      <c r="AJ23" s="37"/>
      <c r="AK23" s="37"/>
      <c r="AL23" s="37"/>
      <c r="AM23" s="28"/>
      <c r="AN23" s="37"/>
      <c r="AO23" s="37"/>
      <c r="AP23" s="28"/>
      <c r="AQ23" s="45">
        <v>1000</v>
      </c>
      <c r="BK23" s="37"/>
      <c r="BL23" s="37"/>
      <c r="BM23" s="37"/>
      <c r="BO23" s="37"/>
      <c r="BP23" s="28"/>
      <c r="BR23" s="45">
        <v>1000</v>
      </c>
      <c r="CL23" s="37"/>
      <c r="CM23" s="37"/>
      <c r="CN23" s="37"/>
      <c r="CO23" s="28"/>
      <c r="CP23" s="37"/>
      <c r="CQ23" s="28"/>
      <c r="CR23" s="28"/>
      <c r="CS23" s="45">
        <v>1000</v>
      </c>
      <c r="DO23" s="5"/>
      <c r="DP23" s="5"/>
      <c r="DY23" s="37"/>
      <c r="DZ23" s="2"/>
      <c r="EB23" s="45">
        <v>1000</v>
      </c>
      <c r="EW23" s="5"/>
      <c r="EX23" s="5"/>
      <c r="FG23" s="37"/>
      <c r="FH23" s="2"/>
      <c r="FJ23" s="45">
        <v>1000</v>
      </c>
      <c r="GE23" s="5"/>
      <c r="GF23" s="5"/>
      <c r="GO23" s="2"/>
      <c r="GP23" s="2"/>
      <c r="GR23" s="45">
        <v>1000</v>
      </c>
      <c r="HM23" s="5"/>
      <c r="HN23" s="5"/>
      <c r="HW23" s="37"/>
      <c r="HX23" s="2"/>
      <c r="HZ23" s="45">
        <v>1000</v>
      </c>
      <c r="IU23" s="5"/>
      <c r="IV23" s="5"/>
      <c r="JE23" s="2"/>
      <c r="JF23" s="2"/>
      <c r="JH23" s="45">
        <v>1000</v>
      </c>
      <c r="KC23" s="5"/>
      <c r="KD23" s="5"/>
      <c r="KM23" s="2"/>
      <c r="KN23" s="2"/>
      <c r="KP23" s="45">
        <v>1000</v>
      </c>
      <c r="LK23" s="5"/>
      <c r="LL23" s="5"/>
      <c r="LU23" s="2"/>
      <c r="LV23" s="2"/>
      <c r="LX23" s="45">
        <v>1000</v>
      </c>
      <c r="MS23" s="5"/>
      <c r="MT23" s="5"/>
      <c r="NC23" s="2"/>
      <c r="ND23" s="2"/>
      <c r="NF23" s="45">
        <v>1000</v>
      </c>
      <c r="OA23" s="5"/>
      <c r="OB23" s="5"/>
      <c r="OK23" s="2"/>
      <c r="OL23" s="2"/>
      <c r="ON23" s="45">
        <v>1000</v>
      </c>
      <c r="PI23" s="5"/>
      <c r="PJ23" s="5"/>
      <c r="PS23" s="2"/>
      <c r="PT23" s="2"/>
      <c r="PV23" s="45">
        <v>1000</v>
      </c>
      <c r="QQ23" s="5"/>
      <c r="QR23" s="5"/>
      <c r="RA23" s="2"/>
      <c r="RB23" s="2"/>
      <c r="RD23" s="45">
        <v>1000</v>
      </c>
      <c r="RY23" s="5"/>
      <c r="RZ23" s="5"/>
      <c r="SI23" s="2"/>
      <c r="SJ23" s="2"/>
      <c r="SL23" s="45">
        <v>1000</v>
      </c>
      <c r="TG23" s="5"/>
      <c r="TH23" s="5"/>
      <c r="TQ23" s="2"/>
      <c r="TR23" s="2"/>
      <c r="TT23" s="45">
        <v>1000</v>
      </c>
      <c r="UO23" s="5"/>
      <c r="UP23" s="5"/>
      <c r="UY23" s="2"/>
      <c r="UZ23" s="2"/>
      <c r="VB23" s="45">
        <v>1000</v>
      </c>
      <c r="VW23" s="5"/>
      <c r="VX23" s="5"/>
      <c r="WG23" s="2"/>
      <c r="WH23" s="2"/>
      <c r="WJ23" s="45">
        <v>1000</v>
      </c>
    </row>
    <row r="24" spans="1:608" x14ac:dyDescent="0.2">
      <c r="B24" s="25" t="s">
        <v>43</v>
      </c>
      <c r="C24" s="2"/>
      <c r="AM24" s="28"/>
      <c r="AP24" s="28"/>
      <c r="CO24" s="28"/>
      <c r="CR24" s="28"/>
      <c r="KP24" s="32"/>
      <c r="LX24" s="32"/>
      <c r="NF24" s="32"/>
      <c r="ON24" s="32"/>
      <c r="PV24" s="32"/>
      <c r="RD24" s="32"/>
      <c r="SL24" s="32"/>
      <c r="TT24" s="32"/>
      <c r="VB24" s="32"/>
      <c r="WJ24" s="32"/>
    </row>
    <row r="25" spans="1:608" x14ac:dyDescent="0.2">
      <c r="A25" s="5"/>
      <c r="B25" s="5"/>
      <c r="C25" s="17"/>
      <c r="AI25" s="28"/>
      <c r="AJ25" s="28"/>
      <c r="AK25" s="28"/>
      <c r="AL25" s="28"/>
      <c r="AM25" s="28"/>
      <c r="AP25" s="28"/>
      <c r="CK25" s="28"/>
      <c r="CL25" s="28"/>
      <c r="CM25" s="28"/>
      <c r="CN25" s="28"/>
      <c r="CO25" s="28"/>
      <c r="CR25" s="28"/>
    </row>
    <row r="26" spans="1:608" ht="17" x14ac:dyDescent="0.2">
      <c r="A26" s="5"/>
      <c r="B26" s="5"/>
      <c r="C26" s="17"/>
      <c r="N26" s="10"/>
      <c r="O26" s="10"/>
      <c r="AI26" s="28"/>
      <c r="AJ26" s="28"/>
      <c r="AK26" s="28"/>
      <c r="AL26" s="28"/>
      <c r="AM26" s="28"/>
      <c r="AP26" s="28"/>
      <c r="CK26" s="28"/>
      <c r="CL26" s="28"/>
      <c r="CM26" s="28"/>
      <c r="CN26" s="28"/>
      <c r="CO26" s="28"/>
      <c r="CR26" s="28"/>
    </row>
    <row r="27" spans="1:608" ht="17" x14ac:dyDescent="0.2">
      <c r="A27" s="5"/>
      <c r="B27" s="5"/>
      <c r="C27" s="17"/>
      <c r="N27" s="10"/>
      <c r="AI27" s="28"/>
      <c r="AJ27" s="28"/>
      <c r="AK27" s="28"/>
      <c r="AL27" s="28"/>
      <c r="AM27" s="28"/>
      <c r="AP27" s="28"/>
      <c r="CK27" s="28"/>
      <c r="CL27" s="28"/>
      <c r="CM27" s="28"/>
      <c r="CN27" s="28"/>
      <c r="CO27" s="28"/>
      <c r="CR27" s="28"/>
    </row>
    <row r="28" spans="1:608" ht="17" x14ac:dyDescent="0.2">
      <c r="N28" s="10"/>
      <c r="O28" s="10"/>
      <c r="AI28" s="28"/>
      <c r="AJ28" s="28"/>
      <c r="AK28" s="28"/>
      <c r="AL28" s="28"/>
      <c r="AM28" s="28"/>
      <c r="AP28" s="28"/>
      <c r="CK28" s="28"/>
      <c r="CL28" s="28"/>
      <c r="CM28" s="28"/>
      <c r="CN28" s="28"/>
      <c r="CO28" s="28"/>
      <c r="CR28" s="28"/>
    </row>
    <row r="29" spans="1:608" ht="17" x14ac:dyDescent="0.2">
      <c r="N29" s="10"/>
      <c r="O29" s="10"/>
      <c r="AI29" s="28"/>
      <c r="AJ29" s="28"/>
      <c r="AK29" s="28"/>
      <c r="AL29" s="28"/>
      <c r="AM29" s="28"/>
      <c r="AP29" s="28"/>
      <c r="CK29" s="28"/>
      <c r="CL29" s="28"/>
      <c r="CM29" s="28"/>
      <c r="CN29" s="28"/>
      <c r="CO29" s="28"/>
      <c r="CR29" s="28"/>
    </row>
    <row r="30" spans="1:608" ht="17" x14ac:dyDescent="0.2">
      <c r="N30" s="10"/>
      <c r="O30" s="10"/>
      <c r="AI30" s="28"/>
      <c r="AJ30" s="28"/>
      <c r="AK30" s="28"/>
      <c r="AL30" s="28"/>
      <c r="AM30" s="28"/>
      <c r="AP30" s="28"/>
      <c r="CK30" s="28"/>
      <c r="CL30" s="28"/>
      <c r="CM30" s="28"/>
      <c r="CN30" s="28"/>
      <c r="CO30" s="28"/>
      <c r="CR30" s="28"/>
    </row>
    <row r="31" spans="1:608" ht="17" x14ac:dyDescent="0.2">
      <c r="N31" s="10"/>
      <c r="O31" s="10"/>
      <c r="P31" s="10"/>
    </row>
    <row r="32" spans="1:608" ht="17" x14ac:dyDescent="0.2">
      <c r="N32" s="10"/>
      <c r="O32" s="10"/>
      <c r="P32" s="10"/>
    </row>
    <row r="33" spans="14:16" ht="17" x14ac:dyDescent="0.2">
      <c r="N33" s="10"/>
      <c r="O33" s="10"/>
      <c r="P33" s="10"/>
    </row>
    <row r="34" spans="14:16" ht="17" x14ac:dyDescent="0.2">
      <c r="N34" s="10"/>
      <c r="O34" s="10"/>
      <c r="P34" s="10"/>
    </row>
    <row r="35" spans="14:16" ht="17" x14ac:dyDescent="0.2">
      <c r="N35" s="10"/>
      <c r="O35" s="10"/>
      <c r="P35" s="10"/>
    </row>
    <row r="36" spans="14:16" ht="17" x14ac:dyDescent="0.2">
      <c r="N36" s="10"/>
      <c r="O36" s="10"/>
      <c r="P36" s="10"/>
    </row>
    <row r="37" spans="14:16" ht="17" x14ac:dyDescent="0.2">
      <c r="N37" s="10"/>
      <c r="O37" s="10"/>
      <c r="P37" s="10"/>
    </row>
    <row r="38" spans="14:16" ht="17" x14ac:dyDescent="0.2">
      <c r="N38" s="10"/>
      <c r="O38" s="10"/>
      <c r="P38" s="10"/>
    </row>
    <row r="39" spans="14:16" ht="17" x14ac:dyDescent="0.2">
      <c r="N39" s="10"/>
      <c r="O39" s="10"/>
      <c r="P39" s="10"/>
    </row>
    <row r="40" spans="14:16" ht="17" x14ac:dyDescent="0.2">
      <c r="N40" s="10"/>
      <c r="O40" s="10"/>
      <c r="P40" s="10"/>
    </row>
    <row r="41" spans="14:16" ht="17" x14ac:dyDescent="0.2">
      <c r="N41" s="10"/>
      <c r="O41" s="10"/>
      <c r="P41" s="10"/>
    </row>
    <row r="42" spans="14:16" ht="17" x14ac:dyDescent="0.2">
      <c r="N42" s="10"/>
      <c r="O42" s="10"/>
      <c r="P42" s="10"/>
    </row>
    <row r="43" spans="14:16" ht="17" x14ac:dyDescent="0.2">
      <c r="N43" s="10"/>
      <c r="O43" s="10"/>
      <c r="P43" s="10"/>
    </row>
    <row r="44" spans="14:16" ht="17" x14ac:dyDescent="0.2">
      <c r="N44" s="10"/>
      <c r="O44" s="10"/>
      <c r="P44" s="10"/>
    </row>
    <row r="45" spans="14:16" ht="17" x14ac:dyDescent="0.2">
      <c r="N45" s="10"/>
      <c r="O45" s="10"/>
      <c r="P45" s="10"/>
    </row>
  </sheetData>
  <sheetProtection sheet="1" formatCells="0" formatColumns="0" formatRows="0"/>
  <autoFilter ref="A1:WJ1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sortState xmlns:xlrd2="http://schemas.microsoft.com/office/spreadsheetml/2017/richdata2" ref="A6:WJ13">
      <sortCondition descending="1" ref="F1:F14"/>
    </sortState>
  </autoFilter>
  <mergeCells count="103">
    <mergeCell ref="VH2:VL2"/>
    <mergeCell ref="VM2:VQ2"/>
    <mergeCell ref="VR2:VV2"/>
    <mergeCell ref="TB2:TF2"/>
    <mergeCell ref="TU2:TY2"/>
    <mergeCell ref="TZ2:UD2"/>
    <mergeCell ref="UE2:UI2"/>
    <mergeCell ref="UJ2:UN2"/>
    <mergeCell ref="VC2:VG2"/>
    <mergeCell ref="RT2:RX2"/>
    <mergeCell ref="SM2:SQ2"/>
    <mergeCell ref="SR2:SV2"/>
    <mergeCell ref="SW2:TA2"/>
    <mergeCell ref="PD2:PH2"/>
    <mergeCell ref="PW2:QA2"/>
    <mergeCell ref="QB2:QF2"/>
    <mergeCell ref="QG2:QK2"/>
    <mergeCell ref="QL2:QP2"/>
    <mergeCell ref="RE2:RI2"/>
    <mergeCell ref="OY2:PC2"/>
    <mergeCell ref="LF2:LJ2"/>
    <mergeCell ref="LY2:MC2"/>
    <mergeCell ref="MD2:MH2"/>
    <mergeCell ref="MI2:MM2"/>
    <mergeCell ref="MN2:MR2"/>
    <mergeCell ref="NG2:NK2"/>
    <mergeCell ref="RJ2:RN2"/>
    <mergeCell ref="RO2:RS2"/>
    <mergeCell ref="IF2:IJ2"/>
    <mergeCell ref="IK2:IO2"/>
    <mergeCell ref="IP2:IT2"/>
    <mergeCell ref="JI2:JM2"/>
    <mergeCell ref="NL2:NP2"/>
    <mergeCell ref="NQ2:NU2"/>
    <mergeCell ref="NV2:NZ2"/>
    <mergeCell ref="OO2:OS2"/>
    <mergeCell ref="OT2:OX2"/>
    <mergeCell ref="DE2:DI2"/>
    <mergeCell ref="RE1:SL1"/>
    <mergeCell ref="SM1:TT1"/>
    <mergeCell ref="TU1:VB1"/>
    <mergeCell ref="FP2:FT2"/>
    <mergeCell ref="FU2:FY2"/>
    <mergeCell ref="FZ2:GD2"/>
    <mergeCell ref="GS2:GW2"/>
    <mergeCell ref="GX2:HB2"/>
    <mergeCell ref="HC2:HG2"/>
    <mergeCell ref="DJ2:DN2"/>
    <mergeCell ref="EC2:EG2"/>
    <mergeCell ref="EH2:EL2"/>
    <mergeCell ref="EM2:EQ2"/>
    <mergeCell ref="ER2:EV2"/>
    <mergeCell ref="FK2:FO2"/>
    <mergeCell ref="JN2:JR2"/>
    <mergeCell ref="JS2:JW2"/>
    <mergeCell ref="JX2:KB2"/>
    <mergeCell ref="KQ2:KU2"/>
    <mergeCell ref="KV2:KZ2"/>
    <mergeCell ref="LA2:LE2"/>
    <mergeCell ref="HH2:HL2"/>
    <mergeCell ref="IA2:IE2"/>
    <mergeCell ref="VC1:WJ1"/>
    <mergeCell ref="Q2:U2"/>
    <mergeCell ref="V2:Z2"/>
    <mergeCell ref="AA2:AE2"/>
    <mergeCell ref="AR2:AV2"/>
    <mergeCell ref="AW2:BA2"/>
    <mergeCell ref="BB2:BF2"/>
    <mergeCell ref="JI1:KP1"/>
    <mergeCell ref="KQ1:LX1"/>
    <mergeCell ref="LY1:NF1"/>
    <mergeCell ref="NG1:ON1"/>
    <mergeCell ref="OO1:PV1"/>
    <mergeCell ref="PW1:RD1"/>
    <mergeCell ref="BS1:CS1"/>
    <mergeCell ref="CU1:EB1"/>
    <mergeCell ref="EC1:FJ1"/>
    <mergeCell ref="FK1:GR1"/>
    <mergeCell ref="GS1:HZ1"/>
    <mergeCell ref="IA1:JH1"/>
    <mergeCell ref="BS2:BW2"/>
    <mergeCell ref="BX2:CB2"/>
    <mergeCell ref="CC2:CG2"/>
    <mergeCell ref="CU2:CY2"/>
    <mergeCell ref="CZ2:DD2"/>
    <mergeCell ref="P1:P3"/>
    <mergeCell ref="Q1:AQ1"/>
    <mergeCell ref="AR1:BR1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H1:H1048576">
    <cfRule type="containsText" dxfId="561" priority="129" operator="containsText" text="No DD">
      <formula>NOT(ISERROR(SEARCH("No DD",H1)))</formula>
    </cfRule>
    <cfRule type="containsText" dxfId="560" priority="130" operator="containsText" text="Merit">
      <formula>NOT(ISERROR(SEARCH("Merit",H1)))</formula>
    </cfRule>
    <cfRule type="containsText" dxfId="559" priority="131" operator="containsText" text="Excellence">
      <formula>NOT(ISERROR(SEARCH("Excellence",H1)))</formula>
    </cfRule>
    <cfRule type="containsText" dxfId="558" priority="132" operator="containsText" text="Worlds Team">
      <formula>NOT(ISERROR(SEARCH("Worlds Team",H1)))</formula>
    </cfRule>
    <cfRule type="containsText" dxfId="557" priority="133" operator="containsText" text="National Team">
      <formula>NOT(ISERROR(SEARCH("National Team",H1)))</formula>
    </cfRule>
  </conditionalFormatting>
  <conditionalFormatting sqref="Q4:AQ13">
    <cfRule type="expression" dxfId="556" priority="128" stopIfTrue="1">
      <formula>IF($AF4&lt;&gt;"",1,0)</formula>
    </cfRule>
  </conditionalFormatting>
  <conditionalFormatting sqref="AR4:BR13">
    <cfRule type="expression" dxfId="555" priority="127" stopIfTrue="1">
      <formula>IF($BG4&lt;&gt;"",1,0)</formula>
    </cfRule>
  </conditionalFormatting>
  <conditionalFormatting sqref="BS4:CS13">
    <cfRule type="expression" dxfId="554" priority="126" stopIfTrue="1">
      <formula>IF($CH4&lt;&gt;"",1,0)</formula>
    </cfRule>
  </conditionalFormatting>
  <conditionalFormatting sqref="BO24:BO1048576 BH1:BH1048576 BK1:BK1048576 BO1:BO22">
    <cfRule type="cellIs" dxfId="553" priority="122" operator="between">
      <formula>$BR$19</formula>
      <formula>1000</formula>
    </cfRule>
    <cfRule type="cellIs" dxfId="552" priority="123" operator="between">
      <formula>$BR$18</formula>
      <formula>$BR$19</formula>
    </cfRule>
    <cfRule type="cellIs" dxfId="551" priority="124" operator="between">
      <formula>$BR$17</formula>
      <formula>$BR$18</formula>
    </cfRule>
    <cfRule type="cellIs" dxfId="550" priority="125" operator="between">
      <formula>$BR$16</formula>
      <formula>$BR$17</formula>
    </cfRule>
  </conditionalFormatting>
  <conditionalFormatting sqref="CP24:CP1048576 CI1:CI1048576 CL1:CL1048576 CP1:CP22">
    <cfRule type="cellIs" dxfId="549" priority="118" operator="between">
      <formula>$CS$19</formula>
      <formula>1000</formula>
    </cfRule>
    <cfRule type="cellIs" dxfId="548" priority="119" operator="between">
      <formula>$CS$18</formula>
      <formula>$CS$19</formula>
    </cfRule>
    <cfRule type="cellIs" dxfId="547" priority="120" operator="between">
      <formula>$CS$17</formula>
      <formula>$CS$18</formula>
    </cfRule>
    <cfRule type="cellIs" dxfId="546" priority="121" operator="between">
      <formula>$CS$16</formula>
      <formula>$CS$17</formula>
    </cfRule>
  </conditionalFormatting>
  <conditionalFormatting sqref="DY24:DY1048576 DO1:DO1048576 DR1:DR1048576 DV1:DV1048576 DY1:DY22">
    <cfRule type="cellIs" dxfId="545" priority="117" operator="between">
      <formula>$EB$16</formula>
      <formula>$EB$17</formula>
    </cfRule>
  </conditionalFormatting>
  <conditionalFormatting sqref="FG24:FG1048576 EW1:EW1048576 EZ1:EZ1048576 FD1:FD1048576 FG1:FG22">
    <cfRule type="cellIs" dxfId="544" priority="116" operator="between">
      <formula>$FJ$16</formula>
      <formula>$FJ$17</formula>
    </cfRule>
  </conditionalFormatting>
  <conditionalFormatting sqref="HW24:HW1048576 HM1:HM1048576 HP1:HP1048576 HT1:HT1048576 HW1:HW22">
    <cfRule type="cellIs" dxfId="543" priority="115" operator="between">
      <formula>$HZ$16</formula>
      <formula>$HZ$17</formula>
    </cfRule>
  </conditionalFormatting>
  <conditionalFormatting sqref="AO23 AG1:AG1048576 AJ1:AJ1048576 AN1:AN1048576">
    <cfRule type="cellIs" dxfId="542" priority="111" operator="between">
      <formula>$AQ$19</formula>
      <formula>1000</formula>
    </cfRule>
    <cfRule type="cellIs" dxfId="541" priority="112" operator="between">
      <formula>$AQ$18</formula>
      <formula>$AQ$19</formula>
    </cfRule>
    <cfRule type="cellIs" dxfId="540" priority="113" operator="between">
      <formula>$AQ$17</formula>
      <formula>$AQ$18</formula>
    </cfRule>
    <cfRule type="cellIs" dxfId="539" priority="114" operator="between">
      <formula>$AQ$16</formula>
      <formula>$AQ$17</formula>
    </cfRule>
  </conditionalFormatting>
  <conditionalFormatting sqref="BO23">
    <cfRule type="cellIs" dxfId="538" priority="107" operator="between">
      <formula>$AQ$19</formula>
      <formula>1000</formula>
    </cfRule>
    <cfRule type="cellIs" dxfId="537" priority="108" operator="between">
      <formula>$AQ$18</formula>
      <formula>$AQ$19</formula>
    </cfRule>
    <cfRule type="cellIs" dxfId="536" priority="109" operator="between">
      <formula>$AQ$17</formula>
      <formula>$AQ$18</formula>
    </cfRule>
    <cfRule type="cellIs" dxfId="535" priority="110" operator="between">
      <formula>$AQ$16</formula>
      <formula>$AQ$17</formula>
    </cfRule>
  </conditionalFormatting>
  <conditionalFormatting sqref="CP23">
    <cfRule type="cellIs" dxfId="534" priority="103" operator="between">
      <formula>$AQ$19</formula>
      <formula>1000</formula>
    </cfRule>
    <cfRule type="cellIs" dxfId="533" priority="104" operator="between">
      <formula>$AQ$18</formula>
      <formula>$AQ$19</formula>
    </cfRule>
    <cfRule type="cellIs" dxfId="532" priority="105" operator="between">
      <formula>$AQ$17</formula>
      <formula>$AQ$18</formula>
    </cfRule>
    <cfRule type="cellIs" dxfId="531" priority="106" operator="between">
      <formula>$AQ$16</formula>
      <formula>$AQ$17</formula>
    </cfRule>
  </conditionalFormatting>
  <conditionalFormatting sqref="DY23">
    <cfRule type="cellIs" dxfId="530" priority="99" operator="between">
      <formula>$AQ$19</formula>
      <formula>1000</formula>
    </cfRule>
    <cfRule type="cellIs" dxfId="529" priority="100" operator="between">
      <formula>$AQ$18</formula>
      <formula>$AQ$19</formula>
    </cfRule>
    <cfRule type="cellIs" dxfId="528" priority="101" operator="between">
      <formula>$AQ$17</formula>
      <formula>$AQ$18</formula>
    </cfRule>
    <cfRule type="cellIs" dxfId="527" priority="102" operator="between">
      <formula>$AQ$16</formula>
      <formula>$AQ$17</formula>
    </cfRule>
  </conditionalFormatting>
  <conditionalFormatting sqref="FG23">
    <cfRule type="cellIs" dxfId="526" priority="95" operator="between">
      <formula>$AQ$19</formula>
      <formula>1000</formula>
    </cfRule>
    <cfRule type="cellIs" dxfId="525" priority="96" operator="between">
      <formula>$AQ$18</formula>
      <formula>$AQ$19</formula>
    </cfRule>
    <cfRule type="cellIs" dxfId="524" priority="97" operator="between">
      <formula>$AQ$17</formula>
      <formula>$AQ$18</formula>
    </cfRule>
    <cfRule type="cellIs" dxfId="523" priority="98" operator="between">
      <formula>$AQ$16</formula>
      <formula>$AQ$17</formula>
    </cfRule>
  </conditionalFormatting>
  <conditionalFormatting sqref="HW23">
    <cfRule type="cellIs" dxfId="522" priority="91" operator="between">
      <formula>$AQ$19</formula>
      <formula>1000</formula>
    </cfRule>
    <cfRule type="cellIs" dxfId="521" priority="92" operator="between">
      <formula>$AQ$18</formula>
      <formula>$AQ$19</formula>
    </cfRule>
    <cfRule type="cellIs" dxfId="520" priority="93" operator="between">
      <formula>$AQ$17</formula>
      <formula>$AQ$18</formula>
    </cfRule>
    <cfRule type="cellIs" dxfId="519" priority="94" operator="between">
      <formula>$AQ$16</formula>
      <formula>$AQ$17</formula>
    </cfRule>
  </conditionalFormatting>
  <conditionalFormatting sqref="K1:K1048576 M1:M1048576">
    <cfRule type="expression" dxfId="518" priority="88" stopIfTrue="1">
      <formula>IF(K1=$BS$1,1,0)</formula>
    </cfRule>
    <cfRule type="expression" dxfId="517" priority="89">
      <formula>IF(K1=$AR$1,1,0)</formula>
    </cfRule>
    <cfRule type="expression" dxfId="516" priority="90">
      <formula>IF(K1=$Q$1,1,0)</formula>
    </cfRule>
  </conditionalFormatting>
  <conditionalFormatting sqref="A4:A1048576">
    <cfRule type="expression" dxfId="515" priority="86">
      <formula>AND(G4&lt;&gt;"",F4="")</formula>
    </cfRule>
    <cfRule type="expression" dxfId="514" priority="87" stopIfTrue="1">
      <formula>IF(A4&gt;4,1,0)</formula>
    </cfRule>
  </conditionalFormatting>
  <conditionalFormatting sqref="CN1:CN1048576 AL1:AL1048576">
    <cfRule type="cellIs" dxfId="513" priority="173374" operator="between">
      <formula>AQ$23</formula>
      <formula>1000</formula>
    </cfRule>
    <cfRule type="cellIs" dxfId="512" priority="173375" operator="between">
      <formula>AQ$22</formula>
      <formula>AQ$23</formula>
    </cfRule>
  </conditionalFormatting>
  <conditionalFormatting sqref="DT1:DT1048576 FB1:FB1048576 GJ1:GJ1048576 HR1:HR1048576 IZ1:IZ1048576 KH1:KH1048576 LP1:LP1048576 MX1:MX1048576 OF1:OF1048576 PN1:PN1048576 QV1:QV1048576 SD1:SD1048576 TL1:TL23 UT1:UT23 WB1:WB23">
    <cfRule type="cellIs" dxfId="511" priority="173386" operator="between">
      <formula>EB$23</formula>
      <formula>1000</formula>
    </cfRule>
    <cfRule type="cellIs" dxfId="510" priority="173387" operator="between">
      <formula>EB$22</formula>
      <formula>EB$23</formula>
    </cfRule>
  </conditionalFormatting>
  <conditionalFormatting sqref="AI1:AI1048576 AL1:AL1048576 AP1:AP1048576">
    <cfRule type="cellIs" dxfId="509" priority="173470" operator="between">
      <formula>$AQ$23</formula>
      <formula>1000</formula>
    </cfRule>
    <cfRule type="cellIs" dxfId="508" priority="173471" operator="between">
      <formula>$AQ$22</formula>
      <formula>$AQ$23</formula>
    </cfRule>
    <cfRule type="cellIs" dxfId="507" priority="173472" operator="between">
      <formula>$AQ$21</formula>
      <formula>$AQ$22</formula>
    </cfRule>
    <cfRule type="cellIs" dxfId="506" priority="173473" operator="between">
      <formula>$AQ$20</formula>
      <formula>$AQ$21</formula>
    </cfRule>
  </conditionalFormatting>
  <conditionalFormatting sqref="BJ1:BJ1048576 BM1:BM1048576 BQ1:BQ1048576">
    <cfRule type="cellIs" dxfId="505" priority="173506" operator="between">
      <formula>$BR$23</formula>
      <formula>1000</formula>
    </cfRule>
    <cfRule type="cellIs" dxfId="504" priority="173507" operator="between">
      <formula>$BR$22</formula>
      <formula>$BR$23</formula>
    </cfRule>
    <cfRule type="cellIs" dxfId="503" priority="173508" operator="between">
      <formula>$BR$21</formula>
      <formula>$BR$22</formula>
    </cfRule>
    <cfRule type="cellIs" dxfId="502" priority="173509" operator="between">
      <formula>$BR$20</formula>
      <formula>$BR$21</formula>
    </cfRule>
  </conditionalFormatting>
  <conditionalFormatting sqref="CK1:CK1048576 CN1:CN1048576 CR1:CR1048576">
    <cfRule type="cellIs" dxfId="501" priority="173542" operator="between">
      <formula>$CS$23</formula>
      <formula>1000</formula>
    </cfRule>
    <cfRule type="cellIs" dxfId="500" priority="173543" operator="between">
      <formula>$CS$22</formula>
      <formula>$CS$23</formula>
    </cfRule>
    <cfRule type="cellIs" dxfId="499" priority="173544" operator="between">
      <formula>$CS$21</formula>
      <formula>$CS$22</formula>
    </cfRule>
    <cfRule type="cellIs" dxfId="498" priority="173545" operator="between">
      <formula>$CS$20</formula>
      <formula>$CS$21</formula>
    </cfRule>
  </conditionalFormatting>
  <conditionalFormatting sqref="MS1:MS1048576 MV1:MV1048576 MZ1:MZ1048576 NC1:NC1048576">
    <cfRule type="cellIs" dxfId="497" priority="173578" operator="between">
      <formula>$NF$16</formula>
      <formula>$NF$17</formula>
    </cfRule>
  </conditionalFormatting>
  <conditionalFormatting sqref="DQ1:DQ1048576 DT1:DT1048576 DX1:DX1048576 EA1:EA1048576">
    <cfRule type="cellIs" dxfId="496" priority="173590" operator="between">
      <formula>$EB$23</formula>
      <formula>1000</formula>
    </cfRule>
    <cfRule type="cellIs" dxfId="495" priority="173591" operator="between">
      <formula>$EB$22</formula>
      <formula>$EB$23</formula>
    </cfRule>
    <cfRule type="cellIs" dxfId="494" priority="173592" operator="between">
      <formula>$EB$21</formula>
      <formula>$EB$22</formula>
    </cfRule>
    <cfRule type="cellIs" dxfId="493" priority="173593" operator="between">
      <formula>$EB$20</formula>
      <formula>$EB$21</formula>
    </cfRule>
  </conditionalFormatting>
  <conditionalFormatting sqref="EY1:EY1048576 FB1:FB1048576 FF1:FF1048576 FI1:FI1048576">
    <cfRule type="cellIs" dxfId="492" priority="173638" operator="between">
      <formula>$FJ$23</formula>
      <formula>1000</formula>
    </cfRule>
    <cfRule type="cellIs" dxfId="491" priority="173639" operator="between">
      <formula>$FJ$22</formula>
      <formula>$FJ$23</formula>
    </cfRule>
    <cfRule type="cellIs" dxfId="490" priority="173640" operator="between">
      <formula>$FJ$21</formula>
      <formula>$FJ$22</formula>
    </cfRule>
    <cfRule type="cellIs" dxfId="489" priority="173641" operator="between">
      <formula>$FJ$20</formula>
      <formula>$FJ$21</formula>
    </cfRule>
  </conditionalFormatting>
  <conditionalFormatting sqref="GE1:GE1048576 GH1:GH1048576 GL1:GL1048576 GO1:GO1048576">
    <cfRule type="cellIs" dxfId="488" priority="173686" stopIfTrue="1" operator="between">
      <formula>$GR$17</formula>
      <formula>1000</formula>
    </cfRule>
    <cfRule type="cellIs" dxfId="487" priority="173687" operator="between">
      <formula>$GR$16</formula>
      <formula>$GR$17</formula>
    </cfRule>
  </conditionalFormatting>
  <conditionalFormatting sqref="GG1:GG1048576 GJ1:GJ1048576 GN1:GN1048576 GQ1:GQ1048576">
    <cfRule type="cellIs" dxfId="486" priority="173710" operator="between">
      <formula>$GR$23</formula>
      <formula>1000</formula>
    </cfRule>
    <cfRule type="cellIs" dxfId="485" priority="173711" operator="between">
      <formula>$GR$22</formula>
      <formula>$GR$23</formula>
    </cfRule>
    <cfRule type="cellIs" dxfId="484" priority="173712" operator="between">
      <formula>$GR$21</formula>
      <formula>$GR$22</formula>
    </cfRule>
    <cfRule type="cellIs" dxfId="483" priority="173713" operator="between">
      <formula>$GR$20</formula>
      <formula>$GR$21</formula>
    </cfRule>
  </conditionalFormatting>
  <conditionalFormatting sqref="HO1:HO1048576 HR1:HR1048576 HV1:HV1048576 HY1:HY1048576">
    <cfRule type="cellIs" dxfId="482" priority="173758" operator="between">
      <formula>$HZ$23</formula>
      <formula>1000</formula>
    </cfRule>
    <cfRule type="cellIs" dxfId="481" priority="173759" operator="between">
      <formula>$HZ$22</formula>
      <formula>$HZ$23</formula>
    </cfRule>
    <cfRule type="cellIs" dxfId="480" priority="173760" operator="between">
      <formula>$HZ$21</formula>
      <formula>$HZ$22</formula>
    </cfRule>
    <cfRule type="cellIs" dxfId="479" priority="173761" operator="between">
      <formula>$HZ$20</formula>
      <formula>$HZ$21</formula>
    </cfRule>
  </conditionalFormatting>
  <conditionalFormatting sqref="IU1:IU1048576 IX1:IX1048576 JB1:JB1048576 JE1:JE1048576">
    <cfRule type="cellIs" dxfId="478" priority="173806" stopIfTrue="1" operator="between">
      <formula>$JH$17</formula>
      <formula>1000</formula>
    </cfRule>
    <cfRule type="cellIs" dxfId="477" priority="173807" operator="between">
      <formula>$JH$16</formula>
      <formula>$JH$17</formula>
    </cfRule>
  </conditionalFormatting>
  <conditionalFormatting sqref="IW1:IW1048576 IZ1:IZ1048576 JD1:JD1048576 JG1:JG1048576">
    <cfRule type="cellIs" dxfId="476" priority="173830" operator="between">
      <formula>$JH$23</formula>
      <formula>1000</formula>
    </cfRule>
    <cfRule type="cellIs" dxfId="475" priority="173831" operator="between">
      <formula>$JH$22</formula>
      <formula>$JH$23</formula>
    </cfRule>
    <cfRule type="cellIs" dxfId="474" priority="173832" operator="between">
      <formula>$JH$21</formula>
      <formula>$JH$22</formula>
    </cfRule>
    <cfRule type="cellIs" dxfId="473" priority="173833" operator="between">
      <formula>$JH$20</formula>
      <formula>$JH$21</formula>
    </cfRule>
  </conditionalFormatting>
  <conditionalFormatting sqref="KC1:KC1048576 KF1:KF1048576 KJ1:KJ1048576 KM1:KM1048576">
    <cfRule type="cellIs" dxfId="472" priority="173878" stopIfTrue="1" operator="between">
      <formula>$KP$17</formula>
      <formula>1000</formula>
    </cfRule>
    <cfRule type="cellIs" dxfId="471" priority="173879" operator="between">
      <formula>$KP$16</formula>
      <formula>$KP$17</formula>
    </cfRule>
  </conditionalFormatting>
  <conditionalFormatting sqref="KE1:KE1048576 KH1:KH1048576 KL1:KL1048576 KO1:KO1048576">
    <cfRule type="cellIs" dxfId="470" priority="173902" operator="between">
      <formula>$KP$23</formula>
      <formula>1000</formula>
    </cfRule>
    <cfRule type="cellIs" dxfId="469" priority="173903" operator="between">
      <formula>$KP$22</formula>
      <formula>$KP$23</formula>
    </cfRule>
    <cfRule type="cellIs" dxfId="468" priority="173904" operator="between">
      <formula>$KP$21</formula>
      <formula>$KP$22</formula>
    </cfRule>
    <cfRule type="cellIs" dxfId="467" priority="173905" operator="between">
      <formula>$KP$20</formula>
      <formula>$KP$21</formula>
    </cfRule>
  </conditionalFormatting>
  <conditionalFormatting sqref="LK1:LK1048576 LN1:LN1048576 LR1:LR1048576 LU1:LU1048576">
    <cfRule type="cellIs" dxfId="466" priority="173950" stopIfTrue="1" operator="between">
      <formula>$LX$17</formula>
      <formula>1000</formula>
    </cfRule>
    <cfRule type="cellIs" dxfId="465" priority="173951" operator="between">
      <formula>$LX$16</formula>
      <formula>$LX$17</formula>
    </cfRule>
  </conditionalFormatting>
  <conditionalFormatting sqref="LM1:LM1048576 LP1:LP1048576 LT1:LT1048576 LW1:LW1048576">
    <cfRule type="cellIs" dxfId="464" priority="173974" operator="between">
      <formula>$LX$23</formula>
      <formula>1000</formula>
    </cfRule>
    <cfRule type="cellIs" dxfId="463" priority="173975" operator="between">
      <formula>$LX$22</formula>
      <formula>$LX$23</formula>
    </cfRule>
    <cfRule type="cellIs" dxfId="462" priority="173976" operator="between">
      <formula>$LX$21</formula>
      <formula>$LX$22</formula>
    </cfRule>
    <cfRule type="cellIs" dxfId="461" priority="173977" operator="between">
      <formula>$LX$20</formula>
      <formula>$LX$21</formula>
    </cfRule>
  </conditionalFormatting>
  <conditionalFormatting sqref="MS1:MS1048576 MV1:MV1048576 MZ1:MZ1048576">
    <cfRule type="cellIs" dxfId="460" priority="174022" operator="between">
      <formula>$NF$17</formula>
      <formula>1000</formula>
    </cfRule>
  </conditionalFormatting>
  <conditionalFormatting sqref="MU1:MU1048576 MX1:MX1048576 NB1:NB1048576 NE1:NE1048576">
    <cfRule type="cellIs" dxfId="459" priority="174031" operator="between">
      <formula>$NF$23</formula>
      <formula>1000</formula>
    </cfRule>
    <cfRule type="cellIs" dxfId="458" priority="174032" operator="between">
      <formula>$NF$22</formula>
      <formula>$NF$23</formula>
    </cfRule>
    <cfRule type="cellIs" dxfId="457" priority="174033" operator="between">
      <formula>$NF$21</formula>
      <formula>$NF$22</formula>
    </cfRule>
    <cfRule type="cellIs" dxfId="456" priority="174034" operator="between">
      <formula>$NF$20</formula>
      <formula>$NF$21</formula>
    </cfRule>
  </conditionalFormatting>
  <conditionalFormatting sqref="OA1:OA1048576 OD1:OD1048576 OH1:OH1048576 OK1:OK1048576">
    <cfRule type="cellIs" dxfId="455" priority="174079" stopIfTrue="1" operator="between">
      <formula>$ON$17</formula>
      <formula>1000</formula>
    </cfRule>
    <cfRule type="cellIs" dxfId="454" priority="174080" operator="between">
      <formula>$ON$16</formula>
      <formula>$ON$17</formula>
    </cfRule>
  </conditionalFormatting>
  <conditionalFormatting sqref="OC1:OC1048576 OF1:OF1048576 OJ1:OJ1048576 OM1:OM1048576">
    <cfRule type="cellIs" dxfId="453" priority="174103" operator="between">
      <formula>$ON$23</formula>
      <formula>1000</formula>
    </cfRule>
    <cfRule type="cellIs" dxfId="452" priority="174104" operator="between">
      <formula>$ON$22</formula>
      <formula>$ON$23</formula>
    </cfRule>
    <cfRule type="cellIs" dxfId="451" priority="174105" operator="between">
      <formula>$ON$21</formula>
      <formula>$ON$22</formula>
    </cfRule>
    <cfRule type="cellIs" dxfId="450" priority="174106" operator="between">
      <formula>$ON$20</formula>
      <formula>$ON$21</formula>
    </cfRule>
  </conditionalFormatting>
  <conditionalFormatting sqref="PI1:PI1048576 PL1:PL1048576 PP1:PP1048576 PS1:PS1048576">
    <cfRule type="cellIs" dxfId="449" priority="174151" stopIfTrue="1" operator="between">
      <formula>$PV$17</formula>
      <formula>1000</formula>
    </cfRule>
    <cfRule type="cellIs" dxfId="448" priority="174152" operator="between">
      <formula>$PV$16</formula>
      <formula>$PV$17</formula>
    </cfRule>
  </conditionalFormatting>
  <conditionalFormatting sqref="PK1:PK1048576 PN1:PN1048576 PR1:PR1048576 PU1:PU1048576">
    <cfRule type="cellIs" dxfId="447" priority="174175" operator="between">
      <formula>$PV$23</formula>
      <formula>1000</formula>
    </cfRule>
    <cfRule type="cellIs" dxfId="446" priority="174176" operator="between">
      <formula>$PV$22</formula>
      <formula>$PV$23</formula>
    </cfRule>
    <cfRule type="cellIs" dxfId="445" priority="174177" operator="between">
      <formula>$PV$21</formula>
      <formula>$PV$22</formula>
    </cfRule>
    <cfRule type="cellIs" dxfId="444" priority="174178" operator="between">
      <formula>$PV$20</formula>
      <formula>$PV$21</formula>
    </cfRule>
  </conditionalFormatting>
  <conditionalFormatting sqref="QQ1:QQ1048576 QT1:QT1048576 QX1:QX1048576 RA1:RA1048576">
    <cfRule type="cellIs" dxfId="443" priority="174223" stopIfTrue="1" operator="between">
      <formula>$RD$17</formula>
      <formula>1000</formula>
    </cfRule>
    <cfRule type="cellIs" dxfId="442" priority="174224" operator="between">
      <formula>$RD$16</formula>
      <formula>$RD$17</formula>
    </cfRule>
  </conditionalFormatting>
  <conditionalFormatting sqref="QS1:QS1048576 QV1:QV1048576 QZ1:QZ1048576 RC1:RC1048576">
    <cfRule type="cellIs" dxfId="441" priority="174247" operator="between">
      <formula>$RD$23</formula>
      <formula>1000</formula>
    </cfRule>
    <cfRule type="cellIs" dxfId="440" priority="174248" operator="between">
      <formula>$RD$22</formula>
      <formula>$RD$23</formula>
    </cfRule>
    <cfRule type="cellIs" dxfId="439" priority="174249" operator="between">
      <formula>$RD$21</formula>
      <formula>$RD$22</formula>
    </cfRule>
    <cfRule type="cellIs" dxfId="438" priority="174250" operator="between">
      <formula>$RD$20</formula>
      <formula>$RD$21</formula>
    </cfRule>
  </conditionalFormatting>
  <conditionalFormatting sqref="RY1:RY1048576 SB1:SB1048576 SF1:SF1048576 SI1:SI1048576 TG1:TG23 TJ1:TJ23 TN1:TN23 TQ1:TQ23 UO1:UO23 UR1:UR23 UV1:UV23 UY1:UY23 VW1:VW23 VZ1:VZ23 WD1:WD23 WG1:WG23">
    <cfRule type="cellIs" dxfId="437" priority="174295" operator="between">
      <formula>$SL$17</formula>
      <formula>1000</formula>
    </cfRule>
    <cfRule type="cellIs" dxfId="436" priority="174296" operator="between">
      <formula>$SL$16</formula>
      <formula>$SL$17</formula>
    </cfRule>
  </conditionalFormatting>
  <conditionalFormatting sqref="SA1:SA1048576 SD1:SD1048576 SH1:SH1048576 SK1:SK1048576 TI1:TI23 TL1:TL23 TP1:TP23 TS1:TS23 UQ1:UQ23 UT1:UT23 UX1:UX23 VA1:VA23 VY1:VY23 WB1:WB23 WF1:WF23 WI1:WI23">
    <cfRule type="cellIs" dxfId="435" priority="174367" operator="between">
      <formula>$SL$23</formula>
      <formula>1000</formula>
    </cfRule>
    <cfRule type="cellIs" dxfId="434" priority="174368" operator="between">
      <formula>$SL$22</formula>
      <formula>$SL$23</formula>
    </cfRule>
    <cfRule type="cellIs" dxfId="433" priority="174369" operator="between">
      <formula>$SL$21</formula>
      <formula>$SL$22</formula>
    </cfRule>
    <cfRule type="cellIs" dxfId="432" priority="174370" operator="between">
      <formula>$SL$20</formula>
      <formula>$SL$21</formula>
    </cfRule>
  </conditionalFormatting>
  <conditionalFormatting sqref="DY1:DY1048576 DO1:DO1048576 DR1:DR1048576 DV1:DV1048576">
    <cfRule type="cellIs" dxfId="431" priority="174511" stopIfTrue="1" operator="between">
      <formula>$EB$17</formula>
      <formula>1000</formula>
    </cfRule>
  </conditionalFormatting>
  <conditionalFormatting sqref="FG1:FG1048576 EW1:EW1048576 EZ1:EZ1048576 FD1:FD1048576">
    <cfRule type="cellIs" dxfId="430" priority="174523" stopIfTrue="1" operator="between">
      <formula>$FJ$17</formula>
      <formula>1000</formula>
    </cfRule>
  </conditionalFormatting>
  <conditionalFormatting sqref="HW1:HW1048576 HM1:HM1048576 HP1:HP1048576 HT1:HT1048576">
    <cfRule type="cellIs" dxfId="429" priority="174535" stopIfTrue="1" operator="between">
      <formula>$HZ$17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2DF87-5D86-BF4E-B14D-2BD1C8D91765}">
  <sheetPr codeName="Sheet5"/>
  <dimension ref="A1:VL45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hidden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6" max="16" width="24.6640625" customWidth="1"/>
    <col min="17" max="17" width="13" customWidth="1"/>
    <col min="18" max="18" width="47" customWidth="1"/>
    <col min="19" max="34" width="10.83203125" hidden="1" customWidth="1"/>
    <col min="35" max="45" width="10.83203125" style="32" customWidth="1"/>
    <col min="46" max="61" width="10.83203125" hidden="1" customWidth="1"/>
    <col min="62" max="72" width="10.83203125" style="32" customWidth="1"/>
    <col min="73" max="74" width="12.83203125" style="32" customWidth="1"/>
    <col min="75" max="94" width="10.83203125" hidden="1" customWidth="1"/>
    <col min="95" max="107" width="10.83203125" customWidth="1"/>
    <col min="108" max="108" width="10.83203125" style="32" customWidth="1"/>
    <col min="109" max="141" width="10.83203125" hidden="1" customWidth="1"/>
    <col min="142" max="142" width="10.83203125" style="32" hidden="1" customWidth="1"/>
    <col min="143" max="175" width="10.83203125" hidden="1" customWidth="1"/>
    <col min="176" max="176" width="10.83203125" style="32" hidden="1" customWidth="1"/>
    <col min="177" max="209" width="10.83203125" hidden="1" customWidth="1"/>
    <col min="210" max="210" width="10.83203125" style="32" hidden="1" customWidth="1"/>
    <col min="211" max="243" width="10.83203125" hidden="1" customWidth="1"/>
    <col min="244" max="244" width="10.83203125" style="32" hidden="1" customWidth="1"/>
    <col min="245" max="509" width="10.83203125" hidden="1" customWidth="1"/>
    <col min="510" max="510" width="11.83203125" hidden="1" customWidth="1"/>
    <col min="511" max="511" width="12.83203125" hidden="1" customWidth="1"/>
    <col min="512" max="543" width="10.83203125" hidden="1" customWidth="1"/>
    <col min="544" max="544" width="11.83203125" hidden="1" customWidth="1"/>
    <col min="545" max="545" width="12.83203125" hidden="1" customWidth="1"/>
    <col min="546" max="577" width="10.83203125" hidden="1" customWidth="1"/>
    <col min="578" max="578" width="11.83203125" hidden="1" customWidth="1"/>
    <col min="579" max="579" width="12.83203125" hidden="1" customWidth="1"/>
    <col min="580" max="584" width="10.83203125" hidden="1" customWidth="1"/>
  </cols>
  <sheetData>
    <row r="1" spans="1:584" x14ac:dyDescent="0.2">
      <c r="A1" s="57" t="s">
        <v>1</v>
      </c>
      <c r="B1" s="57" t="s">
        <v>26</v>
      </c>
      <c r="C1" s="57" t="s">
        <v>0</v>
      </c>
      <c r="D1" s="57" t="s">
        <v>44</v>
      </c>
      <c r="E1" s="57" t="s">
        <v>2</v>
      </c>
      <c r="F1" s="58" t="s">
        <v>177</v>
      </c>
      <c r="G1" s="57" t="s">
        <v>9</v>
      </c>
      <c r="H1" s="57" t="s">
        <v>10</v>
      </c>
      <c r="I1" s="57" t="s">
        <v>61</v>
      </c>
      <c r="J1" s="53" t="s">
        <v>208</v>
      </c>
      <c r="K1" s="52" t="s">
        <v>28</v>
      </c>
      <c r="L1" s="53" t="s">
        <v>222</v>
      </c>
      <c r="M1" s="52" t="s">
        <v>28</v>
      </c>
      <c r="N1" s="53" t="s">
        <v>174</v>
      </c>
      <c r="O1" s="52" t="s">
        <v>28</v>
      </c>
      <c r="P1" s="59" t="s">
        <v>12</v>
      </c>
      <c r="Q1" s="52" t="s">
        <v>29</v>
      </c>
      <c r="R1" s="52" t="s">
        <v>28</v>
      </c>
      <c r="S1" s="56" t="s">
        <v>150</v>
      </c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61" t="s">
        <v>231</v>
      </c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54" t="s">
        <v>12</v>
      </c>
      <c r="BV1" s="54"/>
      <c r="BW1" s="56" t="s">
        <v>171</v>
      </c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  <c r="ED1" s="61"/>
      <c r="EE1" s="61"/>
      <c r="EF1" s="61"/>
      <c r="EG1" s="61"/>
      <c r="EH1" s="61"/>
      <c r="EI1" s="61"/>
      <c r="EJ1" s="61"/>
      <c r="EK1" s="61"/>
      <c r="EL1" s="61"/>
      <c r="EM1" s="56"/>
      <c r="EN1" s="56"/>
      <c r="EO1" s="56"/>
      <c r="EP1" s="56"/>
      <c r="EQ1" s="56"/>
      <c r="ER1" s="56"/>
      <c r="ES1" s="56"/>
      <c r="ET1" s="56"/>
      <c r="EU1" s="56"/>
      <c r="EV1" s="56"/>
      <c r="EW1" s="56"/>
      <c r="EX1" s="56"/>
      <c r="EY1" s="56"/>
      <c r="EZ1" s="56"/>
      <c r="FA1" s="56"/>
      <c r="FB1" s="56"/>
      <c r="FC1" s="56"/>
      <c r="FD1" s="56"/>
      <c r="FE1" s="56"/>
      <c r="FF1" s="56"/>
      <c r="FG1" s="56"/>
      <c r="FH1" s="56"/>
      <c r="FI1" s="56"/>
      <c r="FJ1" s="56"/>
      <c r="FK1" s="56"/>
      <c r="FL1" s="56"/>
      <c r="FM1" s="56"/>
      <c r="FN1" s="56"/>
      <c r="FO1" s="56"/>
      <c r="FP1" s="56"/>
      <c r="FQ1" s="56"/>
      <c r="FR1" s="56"/>
      <c r="FS1" s="56"/>
      <c r="FT1" s="56"/>
      <c r="FU1" s="61"/>
      <c r="FV1" s="61"/>
      <c r="FW1" s="61"/>
      <c r="FX1" s="61"/>
      <c r="FY1" s="61"/>
      <c r="FZ1" s="61"/>
      <c r="GA1" s="61"/>
      <c r="GB1" s="61"/>
      <c r="GC1" s="61"/>
      <c r="GD1" s="61"/>
      <c r="GE1" s="61"/>
      <c r="GF1" s="61"/>
      <c r="GG1" s="61"/>
      <c r="GH1" s="61"/>
      <c r="GI1" s="61"/>
      <c r="GJ1" s="61"/>
      <c r="GK1" s="61"/>
      <c r="GL1" s="61"/>
      <c r="GM1" s="61"/>
      <c r="GN1" s="61"/>
      <c r="GO1" s="61"/>
      <c r="GP1" s="61"/>
      <c r="GQ1" s="61"/>
      <c r="GR1" s="61"/>
      <c r="GS1" s="61"/>
      <c r="GT1" s="61"/>
      <c r="GU1" s="61"/>
      <c r="GV1" s="61"/>
      <c r="GW1" s="61"/>
      <c r="GX1" s="61"/>
      <c r="GY1" s="61"/>
      <c r="GZ1" s="61"/>
      <c r="HA1" s="61"/>
      <c r="HB1" s="61"/>
      <c r="HC1" s="56"/>
      <c r="HD1" s="56"/>
      <c r="HE1" s="56"/>
      <c r="HF1" s="56"/>
      <c r="HG1" s="56"/>
      <c r="HH1" s="56"/>
      <c r="HI1" s="56"/>
      <c r="HJ1" s="56"/>
      <c r="HK1" s="56"/>
      <c r="HL1" s="56"/>
      <c r="HM1" s="56"/>
      <c r="HN1" s="56"/>
      <c r="HO1" s="56"/>
      <c r="HP1" s="56"/>
      <c r="HQ1" s="56"/>
      <c r="HR1" s="56"/>
      <c r="HS1" s="56"/>
      <c r="HT1" s="56"/>
      <c r="HU1" s="56"/>
      <c r="HV1" s="56"/>
      <c r="HW1" s="56"/>
      <c r="HX1" s="56"/>
      <c r="HY1" s="56"/>
      <c r="HZ1" s="56"/>
      <c r="IA1" s="56"/>
      <c r="IB1" s="56"/>
      <c r="IC1" s="56"/>
      <c r="ID1" s="56"/>
      <c r="IE1" s="56"/>
      <c r="IF1" s="56"/>
      <c r="IG1" s="56"/>
      <c r="IH1" s="56"/>
      <c r="II1" s="56"/>
      <c r="IJ1" s="56"/>
      <c r="IK1" s="61"/>
      <c r="IL1" s="61"/>
      <c r="IM1" s="61"/>
      <c r="IN1" s="61"/>
      <c r="IO1" s="61"/>
      <c r="IP1" s="61"/>
      <c r="IQ1" s="61"/>
      <c r="IR1" s="61"/>
      <c r="IS1" s="61"/>
      <c r="IT1" s="61"/>
      <c r="IU1" s="61"/>
      <c r="IV1" s="61"/>
      <c r="IW1" s="61"/>
      <c r="IX1" s="61"/>
      <c r="IY1" s="61"/>
      <c r="IZ1" s="61"/>
      <c r="JA1" s="61"/>
      <c r="JB1" s="61"/>
      <c r="JC1" s="61"/>
      <c r="JD1" s="61"/>
      <c r="JE1" s="61"/>
      <c r="JF1" s="61"/>
      <c r="JG1" s="61"/>
      <c r="JH1" s="61"/>
      <c r="JI1" s="61"/>
      <c r="JJ1" s="61"/>
      <c r="JK1" s="61"/>
      <c r="JL1" s="61"/>
      <c r="JM1" s="61"/>
      <c r="JN1" s="61"/>
      <c r="JO1" s="61"/>
      <c r="JP1" s="61"/>
      <c r="JQ1" s="61"/>
      <c r="JR1" s="61"/>
      <c r="JS1" s="56"/>
      <c r="JT1" s="56"/>
      <c r="JU1" s="56"/>
      <c r="JV1" s="56"/>
      <c r="JW1" s="56"/>
      <c r="JX1" s="56"/>
      <c r="JY1" s="56"/>
      <c r="JZ1" s="56"/>
      <c r="KA1" s="56"/>
      <c r="KB1" s="56"/>
      <c r="KC1" s="56"/>
      <c r="KD1" s="56"/>
      <c r="KE1" s="56"/>
      <c r="KF1" s="56"/>
      <c r="KG1" s="56"/>
      <c r="KH1" s="56"/>
      <c r="KI1" s="56"/>
      <c r="KJ1" s="56"/>
      <c r="KK1" s="56"/>
      <c r="KL1" s="56"/>
      <c r="KM1" s="56"/>
      <c r="KN1" s="56"/>
      <c r="KO1" s="56"/>
      <c r="KP1" s="56"/>
      <c r="KQ1" s="56"/>
      <c r="KR1" s="56"/>
      <c r="KS1" s="56"/>
      <c r="KT1" s="56"/>
      <c r="KU1" s="56"/>
      <c r="KV1" s="56"/>
      <c r="KW1" s="56"/>
      <c r="KX1" s="56"/>
      <c r="KY1" s="56"/>
      <c r="KZ1" s="56"/>
      <c r="LA1" s="61"/>
      <c r="LB1" s="61"/>
      <c r="LC1" s="61"/>
      <c r="LD1" s="61"/>
      <c r="LE1" s="61"/>
      <c r="LF1" s="61"/>
      <c r="LG1" s="61"/>
      <c r="LH1" s="61"/>
      <c r="LI1" s="61"/>
      <c r="LJ1" s="61"/>
      <c r="LK1" s="61"/>
      <c r="LL1" s="61"/>
      <c r="LM1" s="61"/>
      <c r="LN1" s="61"/>
      <c r="LO1" s="61"/>
      <c r="LP1" s="61"/>
      <c r="LQ1" s="61"/>
      <c r="LR1" s="61"/>
      <c r="LS1" s="61"/>
      <c r="LT1" s="61"/>
      <c r="LU1" s="61"/>
      <c r="LV1" s="61"/>
      <c r="LW1" s="61"/>
      <c r="LX1" s="61"/>
      <c r="LY1" s="61"/>
      <c r="LZ1" s="61"/>
      <c r="MA1" s="61"/>
      <c r="MB1" s="61"/>
      <c r="MC1" s="61"/>
      <c r="MD1" s="61"/>
      <c r="ME1" s="61"/>
      <c r="MF1" s="61"/>
      <c r="MG1" s="61"/>
      <c r="MH1" s="61"/>
      <c r="MI1" s="56"/>
      <c r="MJ1" s="56"/>
      <c r="MK1" s="56"/>
      <c r="ML1" s="56"/>
      <c r="MM1" s="56"/>
      <c r="MN1" s="56"/>
      <c r="MO1" s="56"/>
      <c r="MP1" s="56"/>
      <c r="MQ1" s="56"/>
      <c r="MR1" s="56"/>
      <c r="MS1" s="56"/>
      <c r="MT1" s="56"/>
      <c r="MU1" s="56"/>
      <c r="MV1" s="56"/>
      <c r="MW1" s="56"/>
      <c r="MX1" s="56"/>
      <c r="MY1" s="56"/>
      <c r="MZ1" s="56"/>
      <c r="NA1" s="56"/>
      <c r="NB1" s="56"/>
      <c r="NC1" s="56"/>
      <c r="ND1" s="56"/>
      <c r="NE1" s="56"/>
      <c r="NF1" s="56"/>
      <c r="NG1" s="56"/>
      <c r="NH1" s="56"/>
      <c r="NI1" s="56"/>
      <c r="NJ1" s="56"/>
      <c r="NK1" s="56"/>
      <c r="NL1" s="56"/>
      <c r="NM1" s="56"/>
      <c r="NN1" s="56"/>
      <c r="NO1" s="56"/>
      <c r="NP1" s="56"/>
      <c r="NQ1" s="61"/>
      <c r="NR1" s="61"/>
      <c r="NS1" s="61"/>
      <c r="NT1" s="61"/>
      <c r="NU1" s="61"/>
      <c r="NV1" s="61"/>
      <c r="NW1" s="61"/>
      <c r="NX1" s="61"/>
      <c r="NY1" s="61"/>
      <c r="NZ1" s="61"/>
      <c r="OA1" s="61"/>
      <c r="OB1" s="61"/>
      <c r="OC1" s="61"/>
      <c r="OD1" s="61"/>
      <c r="OE1" s="61"/>
      <c r="OF1" s="61"/>
      <c r="OG1" s="61"/>
      <c r="OH1" s="61"/>
      <c r="OI1" s="61"/>
      <c r="OJ1" s="61"/>
      <c r="OK1" s="61"/>
      <c r="OL1" s="61"/>
      <c r="OM1" s="61"/>
      <c r="ON1" s="61"/>
      <c r="OO1" s="61"/>
      <c r="OP1" s="61"/>
      <c r="OQ1" s="61"/>
      <c r="OR1" s="61"/>
      <c r="OS1" s="61"/>
      <c r="OT1" s="61"/>
      <c r="OU1" s="61"/>
      <c r="OV1" s="61"/>
      <c r="OW1" s="61"/>
      <c r="OX1" s="61"/>
      <c r="OY1" s="56"/>
      <c r="OZ1" s="56"/>
      <c r="PA1" s="56"/>
      <c r="PB1" s="56"/>
      <c r="PC1" s="56"/>
      <c r="PD1" s="56"/>
      <c r="PE1" s="56"/>
      <c r="PF1" s="56"/>
      <c r="PG1" s="56"/>
      <c r="PH1" s="56"/>
      <c r="PI1" s="56"/>
      <c r="PJ1" s="56"/>
      <c r="PK1" s="56"/>
      <c r="PL1" s="56"/>
      <c r="PM1" s="56"/>
      <c r="PN1" s="56"/>
      <c r="PO1" s="56"/>
      <c r="PP1" s="56"/>
      <c r="PQ1" s="56"/>
      <c r="PR1" s="56"/>
      <c r="PS1" s="56"/>
      <c r="PT1" s="56"/>
      <c r="PU1" s="56"/>
      <c r="PV1" s="56"/>
      <c r="PW1" s="56"/>
      <c r="PX1" s="56"/>
      <c r="PY1" s="56"/>
      <c r="PZ1" s="56"/>
      <c r="QA1" s="56"/>
      <c r="QB1" s="56"/>
      <c r="QC1" s="56"/>
      <c r="QD1" s="56"/>
      <c r="QE1" s="56"/>
      <c r="QF1" s="56"/>
      <c r="QG1" s="61"/>
      <c r="QH1" s="61"/>
      <c r="QI1" s="61"/>
      <c r="QJ1" s="61"/>
      <c r="QK1" s="61"/>
      <c r="QL1" s="61"/>
      <c r="QM1" s="61"/>
      <c r="QN1" s="61"/>
      <c r="QO1" s="61"/>
      <c r="QP1" s="61"/>
      <c r="QQ1" s="61"/>
      <c r="QR1" s="61"/>
      <c r="QS1" s="61"/>
      <c r="QT1" s="61"/>
      <c r="QU1" s="61"/>
      <c r="QV1" s="61"/>
      <c r="QW1" s="61"/>
      <c r="QX1" s="61"/>
      <c r="QY1" s="61"/>
      <c r="QZ1" s="61"/>
      <c r="RA1" s="61"/>
      <c r="RB1" s="61"/>
      <c r="RC1" s="61"/>
      <c r="RD1" s="61"/>
      <c r="RE1" s="61"/>
      <c r="RF1" s="61"/>
      <c r="RG1" s="61"/>
      <c r="RH1" s="61"/>
      <c r="RI1" s="61"/>
      <c r="RJ1" s="61"/>
      <c r="RK1" s="61"/>
      <c r="RL1" s="61"/>
      <c r="RM1" s="61"/>
      <c r="RN1" s="61"/>
      <c r="RO1" s="56"/>
      <c r="RP1" s="56"/>
      <c r="RQ1" s="56"/>
      <c r="RR1" s="56"/>
      <c r="RS1" s="56"/>
      <c r="RT1" s="56"/>
      <c r="RU1" s="56"/>
      <c r="RV1" s="56"/>
      <c r="RW1" s="56"/>
      <c r="RX1" s="56"/>
      <c r="RY1" s="56"/>
      <c r="RZ1" s="56"/>
      <c r="SA1" s="56"/>
      <c r="SB1" s="56"/>
      <c r="SC1" s="56"/>
      <c r="SD1" s="56"/>
      <c r="SE1" s="56"/>
      <c r="SF1" s="56"/>
      <c r="SG1" s="56"/>
      <c r="SH1" s="56"/>
      <c r="SI1" s="56"/>
      <c r="SJ1" s="56"/>
      <c r="SK1" s="56"/>
      <c r="SL1" s="56"/>
      <c r="SM1" s="56"/>
      <c r="SN1" s="56"/>
      <c r="SO1" s="56"/>
      <c r="SP1" s="56"/>
      <c r="SQ1" s="56"/>
      <c r="SR1" s="56"/>
      <c r="SS1" s="56"/>
      <c r="ST1" s="56"/>
      <c r="SU1" s="56"/>
      <c r="SV1" s="56"/>
      <c r="SW1" s="61"/>
      <c r="SX1" s="61"/>
      <c r="SY1" s="61"/>
      <c r="SZ1" s="61"/>
      <c r="TA1" s="61"/>
      <c r="TB1" s="61"/>
      <c r="TC1" s="61"/>
      <c r="TD1" s="61"/>
      <c r="TE1" s="61"/>
      <c r="TF1" s="61"/>
      <c r="TG1" s="61"/>
      <c r="TH1" s="61"/>
      <c r="TI1" s="61"/>
      <c r="TJ1" s="61"/>
      <c r="TK1" s="61"/>
      <c r="TL1" s="61"/>
      <c r="TM1" s="61"/>
      <c r="TN1" s="61"/>
      <c r="TO1" s="61"/>
      <c r="TP1" s="61"/>
      <c r="TQ1" s="61"/>
      <c r="TR1" s="61"/>
      <c r="TS1" s="61"/>
      <c r="TT1" s="61"/>
      <c r="TU1" s="61"/>
      <c r="TV1" s="61"/>
      <c r="TW1" s="61"/>
      <c r="TX1" s="61"/>
      <c r="TY1" s="61"/>
      <c r="TZ1" s="61"/>
      <c r="UA1" s="61"/>
      <c r="UB1" s="61"/>
      <c r="UC1" s="61"/>
      <c r="UD1" s="61"/>
      <c r="UE1" s="56"/>
      <c r="UF1" s="56"/>
      <c r="UG1" s="56"/>
      <c r="UH1" s="56"/>
      <c r="UI1" s="56"/>
      <c r="UJ1" s="56"/>
      <c r="UK1" s="56"/>
      <c r="UL1" s="56"/>
      <c r="UM1" s="56"/>
      <c r="UN1" s="56"/>
      <c r="UO1" s="56"/>
      <c r="UP1" s="56"/>
      <c r="UQ1" s="56"/>
      <c r="UR1" s="56"/>
      <c r="US1" s="56"/>
      <c r="UT1" s="56"/>
      <c r="UU1" s="56"/>
      <c r="UV1" s="56"/>
      <c r="UW1" s="56"/>
      <c r="UX1" s="56"/>
      <c r="UY1" s="56"/>
      <c r="UZ1" s="56"/>
      <c r="VA1" s="56"/>
      <c r="VB1" s="56"/>
      <c r="VC1" s="56"/>
      <c r="VD1" s="56"/>
      <c r="VE1" s="56"/>
      <c r="VF1" s="56"/>
      <c r="VG1" s="56"/>
      <c r="VH1" s="56"/>
      <c r="VI1" s="56"/>
      <c r="VJ1" s="56"/>
      <c r="VK1" s="56"/>
      <c r="VL1" s="56"/>
    </row>
    <row r="2" spans="1:584" x14ac:dyDescent="0.2">
      <c r="A2" s="57"/>
      <c r="B2" s="57"/>
      <c r="C2" s="57"/>
      <c r="D2" s="57"/>
      <c r="E2" s="57"/>
      <c r="F2" s="58"/>
      <c r="G2" s="57"/>
      <c r="H2" s="57"/>
      <c r="I2" s="57"/>
      <c r="J2" s="53"/>
      <c r="K2" s="52"/>
      <c r="L2" s="53"/>
      <c r="M2" s="52"/>
      <c r="N2" s="53"/>
      <c r="O2" s="52"/>
      <c r="P2" s="59"/>
      <c r="Q2" s="52"/>
      <c r="R2" s="52"/>
      <c r="S2" s="55" t="s">
        <v>216</v>
      </c>
      <c r="T2" s="55"/>
      <c r="U2" s="55"/>
      <c r="V2" s="55"/>
      <c r="W2" s="55"/>
      <c r="X2" s="55" t="s">
        <v>217</v>
      </c>
      <c r="Y2" s="55"/>
      <c r="Z2" s="55"/>
      <c r="AA2" s="55"/>
      <c r="AB2" s="55"/>
      <c r="AC2" s="55" t="s">
        <v>21</v>
      </c>
      <c r="AD2" s="55"/>
      <c r="AE2" s="55"/>
      <c r="AF2" s="55"/>
      <c r="AG2" s="55"/>
      <c r="AH2" s="14"/>
      <c r="AI2" s="14" t="s">
        <v>219</v>
      </c>
      <c r="AJ2" s="14" t="s">
        <v>218</v>
      </c>
      <c r="AK2" s="14" t="s">
        <v>216</v>
      </c>
      <c r="AL2" s="14" t="s">
        <v>220</v>
      </c>
      <c r="AM2" s="14" t="s">
        <v>221</v>
      </c>
      <c r="AN2" s="14" t="s">
        <v>217</v>
      </c>
      <c r="AO2" s="14" t="s">
        <v>22</v>
      </c>
      <c r="AP2" s="14" t="s">
        <v>69</v>
      </c>
      <c r="AQ2" s="14" t="s">
        <v>70</v>
      </c>
      <c r="AR2" s="14" t="s">
        <v>21</v>
      </c>
      <c r="AS2" s="14" t="s">
        <v>16</v>
      </c>
      <c r="AT2" s="60" t="s">
        <v>216</v>
      </c>
      <c r="AU2" s="60"/>
      <c r="AV2" s="60"/>
      <c r="AW2" s="60"/>
      <c r="AX2" s="60"/>
      <c r="AY2" s="60" t="s">
        <v>217</v>
      </c>
      <c r="AZ2" s="60"/>
      <c r="BA2" s="60"/>
      <c r="BB2" s="60"/>
      <c r="BC2" s="60"/>
      <c r="BD2" s="60" t="s">
        <v>21</v>
      </c>
      <c r="BE2" s="60"/>
      <c r="BF2" s="60"/>
      <c r="BG2" s="60"/>
      <c r="BH2" s="60"/>
      <c r="BI2" s="13"/>
      <c r="BJ2" s="13" t="s">
        <v>219</v>
      </c>
      <c r="BK2" s="13" t="s">
        <v>218</v>
      </c>
      <c r="BL2" s="13" t="s">
        <v>216</v>
      </c>
      <c r="BM2" s="13" t="s">
        <v>220</v>
      </c>
      <c r="BN2" s="13" t="s">
        <v>221</v>
      </c>
      <c r="BO2" s="13" t="s">
        <v>217</v>
      </c>
      <c r="BP2" s="13" t="s">
        <v>22</v>
      </c>
      <c r="BQ2" s="13" t="s">
        <v>69</v>
      </c>
      <c r="BR2" s="13" t="s">
        <v>70</v>
      </c>
      <c r="BS2" s="13" t="s">
        <v>21</v>
      </c>
      <c r="BT2" s="13" t="s">
        <v>16</v>
      </c>
      <c r="BU2" s="46" t="s">
        <v>216</v>
      </c>
      <c r="BV2" s="46" t="s">
        <v>217</v>
      </c>
      <c r="BW2" s="55" t="s">
        <v>216</v>
      </c>
      <c r="BX2" s="55"/>
      <c r="BY2" s="55"/>
      <c r="BZ2" s="55"/>
      <c r="CA2" s="55"/>
      <c r="CB2" s="55" t="s">
        <v>217</v>
      </c>
      <c r="CC2" s="55"/>
      <c r="CD2" s="55"/>
      <c r="CE2" s="55"/>
      <c r="CF2" s="55"/>
      <c r="CG2" s="55" t="s">
        <v>71</v>
      </c>
      <c r="CH2" s="55"/>
      <c r="CI2" s="55"/>
      <c r="CJ2" s="55"/>
      <c r="CK2" s="55"/>
      <c r="CL2" s="55" t="s">
        <v>21</v>
      </c>
      <c r="CM2" s="55"/>
      <c r="CN2" s="55"/>
      <c r="CO2" s="55"/>
      <c r="CP2" s="55"/>
      <c r="CQ2" s="14" t="s">
        <v>219</v>
      </c>
      <c r="CR2" s="14" t="s">
        <v>218</v>
      </c>
      <c r="CS2" s="14" t="s">
        <v>216</v>
      </c>
      <c r="CT2" s="14" t="s">
        <v>220</v>
      </c>
      <c r="CU2" s="14" t="s">
        <v>221</v>
      </c>
      <c r="CV2" s="14" t="s">
        <v>217</v>
      </c>
      <c r="CW2" s="14" t="s">
        <v>22</v>
      </c>
      <c r="CX2" s="14" t="s">
        <v>72</v>
      </c>
      <c r="CY2" s="14" t="s">
        <v>73</v>
      </c>
      <c r="CZ2" s="14" t="s">
        <v>71</v>
      </c>
      <c r="DA2" s="14" t="s">
        <v>69</v>
      </c>
      <c r="DB2" s="14" t="s">
        <v>70</v>
      </c>
      <c r="DC2" s="14" t="s">
        <v>21</v>
      </c>
      <c r="DD2" s="14" t="s">
        <v>16</v>
      </c>
      <c r="DE2" s="60" t="s">
        <v>216</v>
      </c>
      <c r="DF2" s="60"/>
      <c r="DG2" s="60"/>
      <c r="DH2" s="60"/>
      <c r="DI2" s="60"/>
      <c r="DJ2" s="60" t="s">
        <v>217</v>
      </c>
      <c r="DK2" s="60"/>
      <c r="DL2" s="60"/>
      <c r="DM2" s="60"/>
      <c r="DN2" s="60"/>
      <c r="DO2" s="60" t="s">
        <v>71</v>
      </c>
      <c r="DP2" s="60"/>
      <c r="DQ2" s="60"/>
      <c r="DR2" s="60"/>
      <c r="DS2" s="60"/>
      <c r="DT2" s="60" t="s">
        <v>21</v>
      </c>
      <c r="DU2" s="60"/>
      <c r="DV2" s="60"/>
      <c r="DW2" s="60"/>
      <c r="DX2" s="60"/>
      <c r="DY2" s="13" t="s">
        <v>219</v>
      </c>
      <c r="DZ2" s="13" t="s">
        <v>218</v>
      </c>
      <c r="EA2" s="13" t="s">
        <v>216</v>
      </c>
      <c r="EB2" s="13" t="s">
        <v>220</v>
      </c>
      <c r="EC2" s="13" t="s">
        <v>221</v>
      </c>
      <c r="ED2" s="13" t="s">
        <v>217</v>
      </c>
      <c r="EE2" s="13" t="s">
        <v>22</v>
      </c>
      <c r="EF2" s="13" t="s">
        <v>72</v>
      </c>
      <c r="EG2" s="13" t="s">
        <v>73</v>
      </c>
      <c r="EH2" s="13" t="s">
        <v>71</v>
      </c>
      <c r="EI2" s="13" t="s">
        <v>69</v>
      </c>
      <c r="EJ2" s="13" t="s">
        <v>70</v>
      </c>
      <c r="EK2" s="13" t="s">
        <v>21</v>
      </c>
      <c r="EL2" s="13" t="s">
        <v>16</v>
      </c>
      <c r="EM2" s="55" t="s">
        <v>216</v>
      </c>
      <c r="EN2" s="55"/>
      <c r="EO2" s="55"/>
      <c r="EP2" s="55"/>
      <c r="EQ2" s="55"/>
      <c r="ER2" s="55" t="s">
        <v>217</v>
      </c>
      <c r="ES2" s="55"/>
      <c r="ET2" s="55"/>
      <c r="EU2" s="55"/>
      <c r="EV2" s="55"/>
      <c r="EW2" s="55" t="s">
        <v>71</v>
      </c>
      <c r="EX2" s="55"/>
      <c r="EY2" s="55"/>
      <c r="EZ2" s="55"/>
      <c r="FA2" s="55"/>
      <c r="FB2" s="55" t="s">
        <v>21</v>
      </c>
      <c r="FC2" s="55"/>
      <c r="FD2" s="55"/>
      <c r="FE2" s="55"/>
      <c r="FF2" s="55"/>
      <c r="FG2" s="14" t="s">
        <v>219</v>
      </c>
      <c r="FH2" s="14" t="s">
        <v>218</v>
      </c>
      <c r="FI2" s="14" t="s">
        <v>216</v>
      </c>
      <c r="FJ2" s="14" t="s">
        <v>220</v>
      </c>
      <c r="FK2" s="14" t="s">
        <v>221</v>
      </c>
      <c r="FL2" s="14" t="s">
        <v>217</v>
      </c>
      <c r="FM2" s="14" t="s">
        <v>22</v>
      </c>
      <c r="FN2" s="14" t="s">
        <v>72</v>
      </c>
      <c r="FO2" s="14" t="s">
        <v>73</v>
      </c>
      <c r="FP2" s="14" t="s">
        <v>71</v>
      </c>
      <c r="FQ2" s="14" t="s">
        <v>69</v>
      </c>
      <c r="FR2" s="14" t="s">
        <v>70</v>
      </c>
      <c r="FS2" s="14" t="s">
        <v>21</v>
      </c>
      <c r="FT2" s="14" t="s">
        <v>16</v>
      </c>
      <c r="FU2" s="60" t="s">
        <v>216</v>
      </c>
      <c r="FV2" s="60"/>
      <c r="FW2" s="60"/>
      <c r="FX2" s="60"/>
      <c r="FY2" s="60"/>
      <c r="FZ2" s="60" t="s">
        <v>217</v>
      </c>
      <c r="GA2" s="60"/>
      <c r="GB2" s="60"/>
      <c r="GC2" s="60"/>
      <c r="GD2" s="60"/>
      <c r="GE2" s="60" t="s">
        <v>71</v>
      </c>
      <c r="GF2" s="60"/>
      <c r="GG2" s="60"/>
      <c r="GH2" s="60"/>
      <c r="GI2" s="60"/>
      <c r="GJ2" s="60" t="s">
        <v>21</v>
      </c>
      <c r="GK2" s="60"/>
      <c r="GL2" s="60"/>
      <c r="GM2" s="60"/>
      <c r="GN2" s="60"/>
      <c r="GO2" s="13" t="s">
        <v>219</v>
      </c>
      <c r="GP2" s="13" t="s">
        <v>218</v>
      </c>
      <c r="GQ2" s="13" t="s">
        <v>216</v>
      </c>
      <c r="GR2" s="13" t="s">
        <v>220</v>
      </c>
      <c r="GS2" s="13" t="s">
        <v>221</v>
      </c>
      <c r="GT2" s="13" t="s">
        <v>217</v>
      </c>
      <c r="GU2" s="13" t="s">
        <v>22</v>
      </c>
      <c r="GV2" s="13" t="s">
        <v>72</v>
      </c>
      <c r="GW2" s="13" t="s">
        <v>73</v>
      </c>
      <c r="GX2" s="13" t="s">
        <v>71</v>
      </c>
      <c r="GY2" s="13" t="s">
        <v>69</v>
      </c>
      <c r="GZ2" s="13" t="s">
        <v>70</v>
      </c>
      <c r="HA2" s="13" t="s">
        <v>21</v>
      </c>
      <c r="HB2" s="13" t="s">
        <v>16</v>
      </c>
      <c r="HC2" s="55" t="s">
        <v>216</v>
      </c>
      <c r="HD2" s="55"/>
      <c r="HE2" s="55"/>
      <c r="HF2" s="55"/>
      <c r="HG2" s="55"/>
      <c r="HH2" s="55" t="s">
        <v>217</v>
      </c>
      <c r="HI2" s="55"/>
      <c r="HJ2" s="55"/>
      <c r="HK2" s="55"/>
      <c r="HL2" s="55"/>
      <c r="HM2" s="55" t="s">
        <v>71</v>
      </c>
      <c r="HN2" s="55"/>
      <c r="HO2" s="55"/>
      <c r="HP2" s="55"/>
      <c r="HQ2" s="55"/>
      <c r="HR2" s="55" t="s">
        <v>21</v>
      </c>
      <c r="HS2" s="55"/>
      <c r="HT2" s="55"/>
      <c r="HU2" s="55"/>
      <c r="HV2" s="55"/>
      <c r="HW2" s="14" t="s">
        <v>219</v>
      </c>
      <c r="HX2" s="14" t="s">
        <v>218</v>
      </c>
      <c r="HY2" s="14" t="s">
        <v>216</v>
      </c>
      <c r="HZ2" s="14" t="s">
        <v>220</v>
      </c>
      <c r="IA2" s="14" t="s">
        <v>221</v>
      </c>
      <c r="IB2" s="14" t="s">
        <v>217</v>
      </c>
      <c r="IC2" s="14" t="s">
        <v>22</v>
      </c>
      <c r="ID2" s="14" t="s">
        <v>72</v>
      </c>
      <c r="IE2" s="14" t="s">
        <v>73</v>
      </c>
      <c r="IF2" s="14" t="s">
        <v>71</v>
      </c>
      <c r="IG2" s="14" t="s">
        <v>69</v>
      </c>
      <c r="IH2" s="14" t="s">
        <v>70</v>
      </c>
      <c r="II2" s="14" t="s">
        <v>21</v>
      </c>
      <c r="IJ2" s="14" t="s">
        <v>16</v>
      </c>
      <c r="IK2" s="60" t="s">
        <v>216</v>
      </c>
      <c r="IL2" s="60"/>
      <c r="IM2" s="60"/>
      <c r="IN2" s="60"/>
      <c r="IO2" s="60"/>
      <c r="IP2" s="60" t="s">
        <v>217</v>
      </c>
      <c r="IQ2" s="60"/>
      <c r="IR2" s="60"/>
      <c r="IS2" s="60"/>
      <c r="IT2" s="60"/>
      <c r="IU2" s="60" t="s">
        <v>71</v>
      </c>
      <c r="IV2" s="60"/>
      <c r="IW2" s="60"/>
      <c r="IX2" s="60"/>
      <c r="IY2" s="60"/>
      <c r="IZ2" s="60" t="s">
        <v>21</v>
      </c>
      <c r="JA2" s="60"/>
      <c r="JB2" s="60"/>
      <c r="JC2" s="60"/>
      <c r="JD2" s="60"/>
      <c r="JE2" s="13" t="s">
        <v>219</v>
      </c>
      <c r="JF2" s="13" t="s">
        <v>218</v>
      </c>
      <c r="JG2" s="13" t="s">
        <v>216</v>
      </c>
      <c r="JH2" s="13" t="s">
        <v>220</v>
      </c>
      <c r="JI2" s="13" t="s">
        <v>221</v>
      </c>
      <c r="JJ2" s="13" t="s">
        <v>217</v>
      </c>
      <c r="JK2" s="13" t="s">
        <v>22</v>
      </c>
      <c r="JL2" s="13" t="s">
        <v>72</v>
      </c>
      <c r="JM2" s="13" t="s">
        <v>73</v>
      </c>
      <c r="JN2" s="13" t="s">
        <v>71</v>
      </c>
      <c r="JO2" s="13" t="s">
        <v>69</v>
      </c>
      <c r="JP2" s="13" t="s">
        <v>70</v>
      </c>
      <c r="JQ2" s="13" t="s">
        <v>21</v>
      </c>
      <c r="JR2" s="13" t="s">
        <v>16</v>
      </c>
      <c r="JS2" s="55" t="s">
        <v>216</v>
      </c>
      <c r="JT2" s="55"/>
      <c r="JU2" s="55"/>
      <c r="JV2" s="55"/>
      <c r="JW2" s="55"/>
      <c r="JX2" s="55" t="s">
        <v>217</v>
      </c>
      <c r="JY2" s="55"/>
      <c r="JZ2" s="55"/>
      <c r="KA2" s="55"/>
      <c r="KB2" s="55"/>
      <c r="KC2" s="55" t="s">
        <v>71</v>
      </c>
      <c r="KD2" s="55"/>
      <c r="KE2" s="55"/>
      <c r="KF2" s="55"/>
      <c r="KG2" s="55"/>
      <c r="KH2" s="55" t="s">
        <v>21</v>
      </c>
      <c r="KI2" s="55"/>
      <c r="KJ2" s="55"/>
      <c r="KK2" s="55"/>
      <c r="KL2" s="55"/>
      <c r="KM2" s="14" t="s">
        <v>219</v>
      </c>
      <c r="KN2" s="14" t="s">
        <v>218</v>
      </c>
      <c r="KO2" s="14" t="s">
        <v>216</v>
      </c>
      <c r="KP2" s="14" t="s">
        <v>220</v>
      </c>
      <c r="KQ2" s="14" t="s">
        <v>221</v>
      </c>
      <c r="KR2" s="14" t="s">
        <v>217</v>
      </c>
      <c r="KS2" s="14" t="s">
        <v>22</v>
      </c>
      <c r="KT2" s="14" t="s">
        <v>72</v>
      </c>
      <c r="KU2" s="14" t="s">
        <v>73</v>
      </c>
      <c r="KV2" s="14" t="s">
        <v>71</v>
      </c>
      <c r="KW2" s="14" t="s">
        <v>69</v>
      </c>
      <c r="KX2" s="14" t="s">
        <v>70</v>
      </c>
      <c r="KY2" s="14" t="s">
        <v>21</v>
      </c>
      <c r="KZ2" s="14" t="s">
        <v>16</v>
      </c>
      <c r="LA2" s="60" t="s">
        <v>216</v>
      </c>
      <c r="LB2" s="60"/>
      <c r="LC2" s="60"/>
      <c r="LD2" s="60"/>
      <c r="LE2" s="60"/>
      <c r="LF2" s="60" t="s">
        <v>217</v>
      </c>
      <c r="LG2" s="60"/>
      <c r="LH2" s="60"/>
      <c r="LI2" s="60"/>
      <c r="LJ2" s="60"/>
      <c r="LK2" s="60" t="s">
        <v>71</v>
      </c>
      <c r="LL2" s="60"/>
      <c r="LM2" s="60"/>
      <c r="LN2" s="60"/>
      <c r="LO2" s="60"/>
      <c r="LP2" s="60" t="s">
        <v>21</v>
      </c>
      <c r="LQ2" s="60"/>
      <c r="LR2" s="60"/>
      <c r="LS2" s="60"/>
      <c r="LT2" s="60"/>
      <c r="LU2" s="13" t="s">
        <v>219</v>
      </c>
      <c r="LV2" s="13" t="s">
        <v>218</v>
      </c>
      <c r="LW2" s="13" t="s">
        <v>216</v>
      </c>
      <c r="LX2" s="13" t="s">
        <v>220</v>
      </c>
      <c r="LY2" s="13" t="s">
        <v>221</v>
      </c>
      <c r="LZ2" s="13" t="s">
        <v>217</v>
      </c>
      <c r="MA2" s="13" t="s">
        <v>22</v>
      </c>
      <c r="MB2" s="13" t="s">
        <v>72</v>
      </c>
      <c r="MC2" s="13" t="s">
        <v>73</v>
      </c>
      <c r="MD2" s="13" t="s">
        <v>71</v>
      </c>
      <c r="ME2" s="13" t="s">
        <v>69</v>
      </c>
      <c r="MF2" s="13" t="s">
        <v>70</v>
      </c>
      <c r="MG2" s="13" t="s">
        <v>21</v>
      </c>
      <c r="MH2" s="13" t="s">
        <v>16</v>
      </c>
      <c r="MI2" s="55" t="s">
        <v>216</v>
      </c>
      <c r="MJ2" s="55"/>
      <c r="MK2" s="55"/>
      <c r="ML2" s="55"/>
      <c r="MM2" s="55"/>
      <c r="MN2" s="55" t="s">
        <v>217</v>
      </c>
      <c r="MO2" s="55"/>
      <c r="MP2" s="55"/>
      <c r="MQ2" s="55"/>
      <c r="MR2" s="55"/>
      <c r="MS2" s="55" t="s">
        <v>71</v>
      </c>
      <c r="MT2" s="55"/>
      <c r="MU2" s="55"/>
      <c r="MV2" s="55"/>
      <c r="MW2" s="55"/>
      <c r="MX2" s="55" t="s">
        <v>21</v>
      </c>
      <c r="MY2" s="55"/>
      <c r="MZ2" s="55"/>
      <c r="NA2" s="55"/>
      <c r="NB2" s="55"/>
      <c r="NC2" s="14" t="s">
        <v>219</v>
      </c>
      <c r="ND2" s="14" t="s">
        <v>218</v>
      </c>
      <c r="NE2" s="14" t="s">
        <v>216</v>
      </c>
      <c r="NF2" s="14" t="s">
        <v>220</v>
      </c>
      <c r="NG2" s="14" t="s">
        <v>221</v>
      </c>
      <c r="NH2" s="14" t="s">
        <v>217</v>
      </c>
      <c r="NI2" s="14" t="s">
        <v>22</v>
      </c>
      <c r="NJ2" s="14" t="s">
        <v>72</v>
      </c>
      <c r="NK2" s="14" t="s">
        <v>73</v>
      </c>
      <c r="NL2" s="14" t="s">
        <v>71</v>
      </c>
      <c r="NM2" s="14" t="s">
        <v>69</v>
      </c>
      <c r="NN2" s="14" t="s">
        <v>70</v>
      </c>
      <c r="NO2" s="14" t="s">
        <v>21</v>
      </c>
      <c r="NP2" s="14" t="s">
        <v>16</v>
      </c>
      <c r="NQ2" s="60" t="s">
        <v>216</v>
      </c>
      <c r="NR2" s="60"/>
      <c r="NS2" s="60"/>
      <c r="NT2" s="60"/>
      <c r="NU2" s="60"/>
      <c r="NV2" s="60" t="s">
        <v>217</v>
      </c>
      <c r="NW2" s="60"/>
      <c r="NX2" s="60"/>
      <c r="NY2" s="60"/>
      <c r="NZ2" s="60"/>
      <c r="OA2" s="60" t="s">
        <v>71</v>
      </c>
      <c r="OB2" s="60"/>
      <c r="OC2" s="60"/>
      <c r="OD2" s="60"/>
      <c r="OE2" s="60"/>
      <c r="OF2" s="60" t="s">
        <v>21</v>
      </c>
      <c r="OG2" s="60"/>
      <c r="OH2" s="60"/>
      <c r="OI2" s="60"/>
      <c r="OJ2" s="60"/>
      <c r="OK2" s="13" t="s">
        <v>219</v>
      </c>
      <c r="OL2" s="13" t="s">
        <v>218</v>
      </c>
      <c r="OM2" s="13" t="s">
        <v>216</v>
      </c>
      <c r="ON2" s="13" t="s">
        <v>220</v>
      </c>
      <c r="OO2" s="13" t="s">
        <v>221</v>
      </c>
      <c r="OP2" s="13" t="s">
        <v>217</v>
      </c>
      <c r="OQ2" s="13" t="s">
        <v>22</v>
      </c>
      <c r="OR2" s="13" t="s">
        <v>72</v>
      </c>
      <c r="OS2" s="13" t="s">
        <v>73</v>
      </c>
      <c r="OT2" s="13" t="s">
        <v>71</v>
      </c>
      <c r="OU2" s="13" t="s">
        <v>69</v>
      </c>
      <c r="OV2" s="13" t="s">
        <v>70</v>
      </c>
      <c r="OW2" s="13" t="s">
        <v>21</v>
      </c>
      <c r="OX2" s="13" t="s">
        <v>16</v>
      </c>
      <c r="OY2" s="55" t="s">
        <v>216</v>
      </c>
      <c r="OZ2" s="55"/>
      <c r="PA2" s="55"/>
      <c r="PB2" s="55"/>
      <c r="PC2" s="55"/>
      <c r="PD2" s="55" t="s">
        <v>217</v>
      </c>
      <c r="PE2" s="55"/>
      <c r="PF2" s="55"/>
      <c r="PG2" s="55"/>
      <c r="PH2" s="55"/>
      <c r="PI2" s="55" t="s">
        <v>71</v>
      </c>
      <c r="PJ2" s="55"/>
      <c r="PK2" s="55"/>
      <c r="PL2" s="55"/>
      <c r="PM2" s="55"/>
      <c r="PN2" s="55" t="s">
        <v>21</v>
      </c>
      <c r="PO2" s="55"/>
      <c r="PP2" s="55"/>
      <c r="PQ2" s="55"/>
      <c r="PR2" s="55"/>
      <c r="PS2" s="14" t="s">
        <v>219</v>
      </c>
      <c r="PT2" s="14" t="s">
        <v>218</v>
      </c>
      <c r="PU2" s="14" t="s">
        <v>216</v>
      </c>
      <c r="PV2" s="14" t="s">
        <v>220</v>
      </c>
      <c r="PW2" s="14" t="s">
        <v>221</v>
      </c>
      <c r="PX2" s="14" t="s">
        <v>217</v>
      </c>
      <c r="PY2" s="14" t="s">
        <v>22</v>
      </c>
      <c r="PZ2" s="14" t="s">
        <v>72</v>
      </c>
      <c r="QA2" s="14" t="s">
        <v>73</v>
      </c>
      <c r="QB2" s="14" t="s">
        <v>71</v>
      </c>
      <c r="QC2" s="14" t="s">
        <v>69</v>
      </c>
      <c r="QD2" s="14" t="s">
        <v>70</v>
      </c>
      <c r="QE2" s="14" t="s">
        <v>21</v>
      </c>
      <c r="QF2" s="14" t="s">
        <v>16</v>
      </c>
      <c r="QG2" s="60" t="s">
        <v>216</v>
      </c>
      <c r="QH2" s="60"/>
      <c r="QI2" s="60"/>
      <c r="QJ2" s="60"/>
      <c r="QK2" s="60"/>
      <c r="QL2" s="60" t="s">
        <v>217</v>
      </c>
      <c r="QM2" s="60"/>
      <c r="QN2" s="60"/>
      <c r="QO2" s="60"/>
      <c r="QP2" s="60"/>
      <c r="QQ2" s="60" t="s">
        <v>71</v>
      </c>
      <c r="QR2" s="60"/>
      <c r="QS2" s="60"/>
      <c r="QT2" s="60"/>
      <c r="QU2" s="60"/>
      <c r="QV2" s="60" t="s">
        <v>21</v>
      </c>
      <c r="QW2" s="60"/>
      <c r="QX2" s="60"/>
      <c r="QY2" s="60"/>
      <c r="QZ2" s="60"/>
      <c r="RA2" s="13" t="s">
        <v>219</v>
      </c>
      <c r="RB2" s="13" t="s">
        <v>218</v>
      </c>
      <c r="RC2" s="13" t="s">
        <v>216</v>
      </c>
      <c r="RD2" s="13" t="s">
        <v>220</v>
      </c>
      <c r="RE2" s="13" t="s">
        <v>221</v>
      </c>
      <c r="RF2" s="13" t="s">
        <v>217</v>
      </c>
      <c r="RG2" s="13" t="s">
        <v>22</v>
      </c>
      <c r="RH2" s="13" t="s">
        <v>72</v>
      </c>
      <c r="RI2" s="13" t="s">
        <v>73</v>
      </c>
      <c r="RJ2" s="13" t="s">
        <v>71</v>
      </c>
      <c r="RK2" s="13" t="s">
        <v>69</v>
      </c>
      <c r="RL2" s="13" t="s">
        <v>70</v>
      </c>
      <c r="RM2" s="13" t="s">
        <v>21</v>
      </c>
      <c r="RN2" s="13" t="s">
        <v>16</v>
      </c>
      <c r="RO2" s="55" t="s">
        <v>216</v>
      </c>
      <c r="RP2" s="55"/>
      <c r="RQ2" s="55"/>
      <c r="RR2" s="55"/>
      <c r="RS2" s="55"/>
      <c r="RT2" s="55" t="s">
        <v>217</v>
      </c>
      <c r="RU2" s="55"/>
      <c r="RV2" s="55"/>
      <c r="RW2" s="55"/>
      <c r="RX2" s="55"/>
      <c r="RY2" s="55" t="s">
        <v>71</v>
      </c>
      <c r="RZ2" s="55"/>
      <c r="SA2" s="55"/>
      <c r="SB2" s="55"/>
      <c r="SC2" s="55"/>
      <c r="SD2" s="55" t="s">
        <v>21</v>
      </c>
      <c r="SE2" s="55"/>
      <c r="SF2" s="55"/>
      <c r="SG2" s="55"/>
      <c r="SH2" s="55"/>
      <c r="SI2" s="14" t="s">
        <v>219</v>
      </c>
      <c r="SJ2" s="14" t="s">
        <v>218</v>
      </c>
      <c r="SK2" s="14" t="s">
        <v>216</v>
      </c>
      <c r="SL2" s="14" t="s">
        <v>220</v>
      </c>
      <c r="SM2" s="14" t="s">
        <v>221</v>
      </c>
      <c r="SN2" s="14" t="s">
        <v>217</v>
      </c>
      <c r="SO2" s="14" t="s">
        <v>22</v>
      </c>
      <c r="SP2" s="14" t="s">
        <v>72</v>
      </c>
      <c r="SQ2" s="14" t="s">
        <v>73</v>
      </c>
      <c r="SR2" s="14" t="s">
        <v>71</v>
      </c>
      <c r="SS2" s="14" t="s">
        <v>69</v>
      </c>
      <c r="ST2" s="14" t="s">
        <v>70</v>
      </c>
      <c r="SU2" s="14" t="s">
        <v>21</v>
      </c>
      <c r="SV2" s="14" t="s">
        <v>16</v>
      </c>
      <c r="SW2" s="60" t="s">
        <v>216</v>
      </c>
      <c r="SX2" s="60"/>
      <c r="SY2" s="60"/>
      <c r="SZ2" s="60"/>
      <c r="TA2" s="60"/>
      <c r="TB2" s="60" t="s">
        <v>217</v>
      </c>
      <c r="TC2" s="60"/>
      <c r="TD2" s="60"/>
      <c r="TE2" s="60"/>
      <c r="TF2" s="60"/>
      <c r="TG2" s="60" t="s">
        <v>71</v>
      </c>
      <c r="TH2" s="60"/>
      <c r="TI2" s="60"/>
      <c r="TJ2" s="60"/>
      <c r="TK2" s="60"/>
      <c r="TL2" s="60" t="s">
        <v>21</v>
      </c>
      <c r="TM2" s="60"/>
      <c r="TN2" s="60"/>
      <c r="TO2" s="60"/>
      <c r="TP2" s="60"/>
      <c r="TQ2" s="13" t="s">
        <v>219</v>
      </c>
      <c r="TR2" s="13" t="s">
        <v>218</v>
      </c>
      <c r="TS2" s="13" t="s">
        <v>216</v>
      </c>
      <c r="TT2" s="13" t="s">
        <v>220</v>
      </c>
      <c r="TU2" s="13" t="s">
        <v>221</v>
      </c>
      <c r="TV2" s="13" t="s">
        <v>217</v>
      </c>
      <c r="TW2" s="13" t="s">
        <v>22</v>
      </c>
      <c r="TX2" s="13" t="s">
        <v>72</v>
      </c>
      <c r="TY2" s="13" t="s">
        <v>73</v>
      </c>
      <c r="TZ2" s="13" t="s">
        <v>71</v>
      </c>
      <c r="UA2" s="13" t="s">
        <v>69</v>
      </c>
      <c r="UB2" s="13" t="s">
        <v>70</v>
      </c>
      <c r="UC2" s="13" t="s">
        <v>21</v>
      </c>
      <c r="UD2" s="13" t="s">
        <v>16</v>
      </c>
      <c r="UE2" s="55" t="s">
        <v>216</v>
      </c>
      <c r="UF2" s="55"/>
      <c r="UG2" s="55"/>
      <c r="UH2" s="55"/>
      <c r="UI2" s="55"/>
      <c r="UJ2" s="55" t="s">
        <v>217</v>
      </c>
      <c r="UK2" s="55"/>
      <c r="UL2" s="55"/>
      <c r="UM2" s="55"/>
      <c r="UN2" s="55"/>
      <c r="UO2" s="55" t="s">
        <v>71</v>
      </c>
      <c r="UP2" s="55"/>
      <c r="UQ2" s="55"/>
      <c r="UR2" s="55"/>
      <c r="US2" s="55"/>
      <c r="UT2" s="55" t="s">
        <v>21</v>
      </c>
      <c r="UU2" s="55"/>
      <c r="UV2" s="55"/>
      <c r="UW2" s="55"/>
      <c r="UX2" s="55"/>
      <c r="UY2" s="14" t="s">
        <v>219</v>
      </c>
      <c r="UZ2" s="14" t="s">
        <v>218</v>
      </c>
      <c r="VA2" s="14" t="s">
        <v>216</v>
      </c>
      <c r="VB2" s="14" t="s">
        <v>220</v>
      </c>
      <c r="VC2" s="14" t="s">
        <v>221</v>
      </c>
      <c r="VD2" s="14" t="s">
        <v>217</v>
      </c>
      <c r="VE2" s="14" t="s">
        <v>22</v>
      </c>
      <c r="VF2" s="14" t="s">
        <v>72</v>
      </c>
      <c r="VG2" s="14" t="s">
        <v>73</v>
      </c>
      <c r="VH2" s="14" t="s">
        <v>71</v>
      </c>
      <c r="VI2" s="14" t="s">
        <v>69</v>
      </c>
      <c r="VJ2" s="14" t="s">
        <v>70</v>
      </c>
      <c r="VK2" s="14" t="s">
        <v>21</v>
      </c>
      <c r="VL2" s="14" t="s">
        <v>16</v>
      </c>
    </row>
    <row r="3" spans="1:584" x14ac:dyDescent="0.2">
      <c r="A3" s="57"/>
      <c r="B3" s="57"/>
      <c r="C3" s="57"/>
      <c r="D3" s="57"/>
      <c r="E3" s="57"/>
      <c r="F3" s="58"/>
      <c r="G3" s="57"/>
      <c r="H3" s="57"/>
      <c r="I3" s="57"/>
      <c r="J3" s="53"/>
      <c r="K3" s="52"/>
      <c r="L3" s="53"/>
      <c r="M3" s="52"/>
      <c r="N3" s="53"/>
      <c r="O3" s="52"/>
      <c r="P3" s="59"/>
      <c r="Q3" s="52"/>
      <c r="R3" s="52"/>
      <c r="S3" s="14" t="s">
        <v>13</v>
      </c>
      <c r="T3" s="14" t="s">
        <v>14</v>
      </c>
      <c r="U3" s="14" t="s">
        <v>8</v>
      </c>
      <c r="V3" s="14" t="s">
        <v>15</v>
      </c>
      <c r="W3" s="14" t="s">
        <v>27</v>
      </c>
      <c r="X3" s="14" t="s">
        <v>13</v>
      </c>
      <c r="Y3" s="14" t="s">
        <v>14</v>
      </c>
      <c r="Z3" s="14" t="s">
        <v>8</v>
      </c>
      <c r="AA3" s="14" t="s">
        <v>15</v>
      </c>
      <c r="AB3" s="14" t="s">
        <v>27</v>
      </c>
      <c r="AC3" s="14" t="s">
        <v>13</v>
      </c>
      <c r="AD3" s="14" t="s">
        <v>14</v>
      </c>
      <c r="AE3" s="14" t="s">
        <v>8</v>
      </c>
      <c r="AF3" s="14" t="s">
        <v>15</v>
      </c>
      <c r="AG3" s="14" t="s">
        <v>27</v>
      </c>
      <c r="AH3" s="14" t="s">
        <v>41</v>
      </c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3" t="s">
        <v>13</v>
      </c>
      <c r="AU3" s="13" t="s">
        <v>14</v>
      </c>
      <c r="AV3" s="13" t="s">
        <v>8</v>
      </c>
      <c r="AW3" s="13" t="s">
        <v>15</v>
      </c>
      <c r="AX3" s="13" t="s">
        <v>27</v>
      </c>
      <c r="AY3" s="13" t="s">
        <v>13</v>
      </c>
      <c r="AZ3" s="13" t="s">
        <v>14</v>
      </c>
      <c r="BA3" s="13" t="s">
        <v>8</v>
      </c>
      <c r="BB3" s="13" t="s">
        <v>15</v>
      </c>
      <c r="BC3" s="13" t="s">
        <v>27</v>
      </c>
      <c r="BD3" s="13" t="s">
        <v>13</v>
      </c>
      <c r="BE3" s="13" t="s">
        <v>14</v>
      </c>
      <c r="BF3" s="13" t="s">
        <v>8</v>
      </c>
      <c r="BG3" s="13" t="s">
        <v>15</v>
      </c>
      <c r="BH3" s="13" t="s">
        <v>27</v>
      </c>
      <c r="BI3" s="13" t="s">
        <v>41</v>
      </c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46"/>
      <c r="BV3" s="46"/>
      <c r="BW3" s="14" t="s">
        <v>13</v>
      </c>
      <c r="BX3" s="14" t="s">
        <v>14</v>
      </c>
      <c r="BY3" s="14" t="s">
        <v>8</v>
      </c>
      <c r="BZ3" s="14" t="s">
        <v>15</v>
      </c>
      <c r="CA3" s="14" t="s">
        <v>27</v>
      </c>
      <c r="CB3" s="14" t="s">
        <v>13</v>
      </c>
      <c r="CC3" s="14" t="s">
        <v>14</v>
      </c>
      <c r="CD3" s="14" t="s">
        <v>8</v>
      </c>
      <c r="CE3" s="14" t="s">
        <v>15</v>
      </c>
      <c r="CF3" s="14" t="s">
        <v>27</v>
      </c>
      <c r="CG3" s="14" t="s">
        <v>13</v>
      </c>
      <c r="CH3" s="14" t="s">
        <v>14</v>
      </c>
      <c r="CI3" s="14" t="s">
        <v>8</v>
      </c>
      <c r="CJ3" s="14" t="s">
        <v>15</v>
      </c>
      <c r="CK3" s="14" t="s">
        <v>27</v>
      </c>
      <c r="CL3" s="14" t="s">
        <v>13</v>
      </c>
      <c r="CM3" s="14" t="s">
        <v>14</v>
      </c>
      <c r="CN3" s="14" t="s">
        <v>8</v>
      </c>
      <c r="CO3" s="14" t="s">
        <v>15</v>
      </c>
      <c r="CP3" s="14" t="s">
        <v>27</v>
      </c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14"/>
      <c r="DE3" s="13" t="s">
        <v>13</v>
      </c>
      <c r="DF3" s="13" t="s">
        <v>14</v>
      </c>
      <c r="DG3" s="13" t="s">
        <v>8</v>
      </c>
      <c r="DH3" s="13" t="s">
        <v>15</v>
      </c>
      <c r="DI3" s="13" t="s">
        <v>27</v>
      </c>
      <c r="DJ3" s="13" t="s">
        <v>13</v>
      </c>
      <c r="DK3" s="13" t="s">
        <v>14</v>
      </c>
      <c r="DL3" s="13" t="s">
        <v>8</v>
      </c>
      <c r="DM3" s="13" t="s">
        <v>15</v>
      </c>
      <c r="DN3" s="13" t="s">
        <v>27</v>
      </c>
      <c r="DO3" s="13" t="s">
        <v>13</v>
      </c>
      <c r="DP3" s="13" t="s">
        <v>14</v>
      </c>
      <c r="DQ3" s="13" t="s">
        <v>8</v>
      </c>
      <c r="DR3" s="13" t="s">
        <v>15</v>
      </c>
      <c r="DS3" s="13" t="s">
        <v>27</v>
      </c>
      <c r="DT3" s="13" t="s">
        <v>13</v>
      </c>
      <c r="DU3" s="13" t="s">
        <v>14</v>
      </c>
      <c r="DV3" s="13" t="s">
        <v>8</v>
      </c>
      <c r="DW3" s="13" t="s">
        <v>15</v>
      </c>
      <c r="DX3" s="13" t="s">
        <v>27</v>
      </c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13"/>
      <c r="EM3" s="14" t="s">
        <v>13</v>
      </c>
      <c r="EN3" s="14" t="s">
        <v>14</v>
      </c>
      <c r="EO3" s="14" t="s">
        <v>8</v>
      </c>
      <c r="EP3" s="14" t="s">
        <v>15</v>
      </c>
      <c r="EQ3" s="14" t="s">
        <v>27</v>
      </c>
      <c r="ER3" s="14" t="s">
        <v>13</v>
      </c>
      <c r="ES3" s="14" t="s">
        <v>14</v>
      </c>
      <c r="ET3" s="14" t="s">
        <v>8</v>
      </c>
      <c r="EU3" s="14" t="s">
        <v>15</v>
      </c>
      <c r="EV3" s="14" t="s">
        <v>27</v>
      </c>
      <c r="EW3" s="14" t="s">
        <v>13</v>
      </c>
      <c r="EX3" s="14" t="s">
        <v>14</v>
      </c>
      <c r="EY3" s="14" t="s">
        <v>8</v>
      </c>
      <c r="EZ3" s="14" t="s">
        <v>15</v>
      </c>
      <c r="FA3" s="14" t="s">
        <v>27</v>
      </c>
      <c r="FB3" s="14" t="s">
        <v>13</v>
      </c>
      <c r="FC3" s="14" t="s">
        <v>14</v>
      </c>
      <c r="FD3" s="14" t="s">
        <v>8</v>
      </c>
      <c r="FE3" s="14" t="s">
        <v>15</v>
      </c>
      <c r="FF3" s="14" t="s">
        <v>27</v>
      </c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14"/>
      <c r="FU3" s="13" t="s">
        <v>13</v>
      </c>
      <c r="FV3" s="13" t="s">
        <v>14</v>
      </c>
      <c r="FW3" s="13" t="s">
        <v>8</v>
      </c>
      <c r="FX3" s="13" t="s">
        <v>15</v>
      </c>
      <c r="FY3" s="13" t="s">
        <v>27</v>
      </c>
      <c r="FZ3" s="13" t="s">
        <v>13</v>
      </c>
      <c r="GA3" s="13" t="s">
        <v>14</v>
      </c>
      <c r="GB3" s="13" t="s">
        <v>8</v>
      </c>
      <c r="GC3" s="13" t="s">
        <v>15</v>
      </c>
      <c r="GD3" s="13" t="s">
        <v>27</v>
      </c>
      <c r="GE3" s="13" t="s">
        <v>13</v>
      </c>
      <c r="GF3" s="13" t="s">
        <v>14</v>
      </c>
      <c r="GG3" s="13" t="s">
        <v>8</v>
      </c>
      <c r="GH3" s="13" t="s">
        <v>15</v>
      </c>
      <c r="GI3" s="13" t="s">
        <v>27</v>
      </c>
      <c r="GJ3" s="13" t="s">
        <v>13</v>
      </c>
      <c r="GK3" s="13" t="s">
        <v>14</v>
      </c>
      <c r="GL3" s="13" t="s">
        <v>8</v>
      </c>
      <c r="GM3" s="13" t="s">
        <v>15</v>
      </c>
      <c r="GN3" s="13" t="s">
        <v>27</v>
      </c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13"/>
      <c r="HC3" s="14" t="s">
        <v>13</v>
      </c>
      <c r="HD3" s="14" t="s">
        <v>14</v>
      </c>
      <c r="HE3" s="14" t="s">
        <v>8</v>
      </c>
      <c r="HF3" s="14" t="s">
        <v>15</v>
      </c>
      <c r="HG3" s="14" t="s">
        <v>27</v>
      </c>
      <c r="HH3" s="14" t="s">
        <v>13</v>
      </c>
      <c r="HI3" s="14" t="s">
        <v>14</v>
      </c>
      <c r="HJ3" s="14" t="s">
        <v>8</v>
      </c>
      <c r="HK3" s="14" t="s">
        <v>15</v>
      </c>
      <c r="HL3" s="14" t="s">
        <v>27</v>
      </c>
      <c r="HM3" s="14" t="s">
        <v>13</v>
      </c>
      <c r="HN3" s="14" t="s">
        <v>14</v>
      </c>
      <c r="HO3" s="14" t="s">
        <v>8</v>
      </c>
      <c r="HP3" s="14" t="s">
        <v>15</v>
      </c>
      <c r="HQ3" s="14" t="s">
        <v>27</v>
      </c>
      <c r="HR3" s="14" t="s">
        <v>13</v>
      </c>
      <c r="HS3" s="14" t="s">
        <v>14</v>
      </c>
      <c r="HT3" s="14" t="s">
        <v>8</v>
      </c>
      <c r="HU3" s="14" t="s">
        <v>15</v>
      </c>
      <c r="HV3" s="14" t="s">
        <v>27</v>
      </c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14"/>
      <c r="IK3" s="13" t="s">
        <v>13</v>
      </c>
      <c r="IL3" s="13" t="s">
        <v>14</v>
      </c>
      <c r="IM3" s="13" t="s">
        <v>8</v>
      </c>
      <c r="IN3" s="13" t="s">
        <v>15</v>
      </c>
      <c r="IO3" s="13" t="s">
        <v>27</v>
      </c>
      <c r="IP3" s="13" t="s">
        <v>13</v>
      </c>
      <c r="IQ3" s="13" t="s">
        <v>14</v>
      </c>
      <c r="IR3" s="13" t="s">
        <v>8</v>
      </c>
      <c r="IS3" s="13" t="s">
        <v>15</v>
      </c>
      <c r="IT3" s="13" t="s">
        <v>27</v>
      </c>
      <c r="IU3" s="13" t="s">
        <v>13</v>
      </c>
      <c r="IV3" s="13" t="s">
        <v>14</v>
      </c>
      <c r="IW3" s="13" t="s">
        <v>8</v>
      </c>
      <c r="IX3" s="13" t="s">
        <v>15</v>
      </c>
      <c r="IY3" s="13" t="s">
        <v>27</v>
      </c>
      <c r="IZ3" s="13" t="s">
        <v>13</v>
      </c>
      <c r="JA3" s="13" t="s">
        <v>14</v>
      </c>
      <c r="JB3" s="13" t="s">
        <v>8</v>
      </c>
      <c r="JC3" s="13" t="s">
        <v>15</v>
      </c>
      <c r="JD3" s="13" t="s">
        <v>27</v>
      </c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14" t="s">
        <v>13</v>
      </c>
      <c r="JT3" s="14" t="s">
        <v>14</v>
      </c>
      <c r="JU3" s="14" t="s">
        <v>8</v>
      </c>
      <c r="JV3" s="14" t="s">
        <v>15</v>
      </c>
      <c r="JW3" s="14" t="s">
        <v>27</v>
      </c>
      <c r="JX3" s="14" t="s">
        <v>13</v>
      </c>
      <c r="JY3" s="14" t="s">
        <v>14</v>
      </c>
      <c r="JZ3" s="14" t="s">
        <v>8</v>
      </c>
      <c r="KA3" s="14" t="s">
        <v>15</v>
      </c>
      <c r="KB3" s="14" t="s">
        <v>27</v>
      </c>
      <c r="KC3" s="14" t="s">
        <v>13</v>
      </c>
      <c r="KD3" s="14" t="s">
        <v>14</v>
      </c>
      <c r="KE3" s="14" t="s">
        <v>8</v>
      </c>
      <c r="KF3" s="14" t="s">
        <v>15</v>
      </c>
      <c r="KG3" s="14" t="s">
        <v>27</v>
      </c>
      <c r="KH3" s="14" t="s">
        <v>13</v>
      </c>
      <c r="KI3" s="14" t="s">
        <v>14</v>
      </c>
      <c r="KJ3" s="14" t="s">
        <v>8</v>
      </c>
      <c r="KK3" s="14" t="s">
        <v>15</v>
      </c>
      <c r="KL3" s="14" t="s">
        <v>27</v>
      </c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13" t="s">
        <v>13</v>
      </c>
      <c r="LB3" s="13" t="s">
        <v>14</v>
      </c>
      <c r="LC3" s="13" t="s">
        <v>8</v>
      </c>
      <c r="LD3" s="13" t="s">
        <v>15</v>
      </c>
      <c r="LE3" s="13" t="s">
        <v>27</v>
      </c>
      <c r="LF3" s="13" t="s">
        <v>13</v>
      </c>
      <c r="LG3" s="13" t="s">
        <v>14</v>
      </c>
      <c r="LH3" s="13" t="s">
        <v>8</v>
      </c>
      <c r="LI3" s="13" t="s">
        <v>15</v>
      </c>
      <c r="LJ3" s="13" t="s">
        <v>27</v>
      </c>
      <c r="LK3" s="13" t="s">
        <v>13</v>
      </c>
      <c r="LL3" s="13" t="s">
        <v>14</v>
      </c>
      <c r="LM3" s="13" t="s">
        <v>8</v>
      </c>
      <c r="LN3" s="13" t="s">
        <v>15</v>
      </c>
      <c r="LO3" s="13" t="s">
        <v>27</v>
      </c>
      <c r="LP3" s="13" t="s">
        <v>13</v>
      </c>
      <c r="LQ3" s="13" t="s">
        <v>14</v>
      </c>
      <c r="LR3" s="13" t="s">
        <v>8</v>
      </c>
      <c r="LS3" s="13" t="s">
        <v>15</v>
      </c>
      <c r="LT3" s="13" t="s">
        <v>27</v>
      </c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14" t="s">
        <v>13</v>
      </c>
      <c r="MJ3" s="14" t="s">
        <v>14</v>
      </c>
      <c r="MK3" s="14" t="s">
        <v>8</v>
      </c>
      <c r="ML3" s="14" t="s">
        <v>15</v>
      </c>
      <c r="MM3" s="14" t="s">
        <v>27</v>
      </c>
      <c r="MN3" s="14" t="s">
        <v>13</v>
      </c>
      <c r="MO3" s="14" t="s">
        <v>14</v>
      </c>
      <c r="MP3" s="14" t="s">
        <v>8</v>
      </c>
      <c r="MQ3" s="14" t="s">
        <v>15</v>
      </c>
      <c r="MR3" s="14" t="s">
        <v>27</v>
      </c>
      <c r="MS3" s="14" t="s">
        <v>13</v>
      </c>
      <c r="MT3" s="14" t="s">
        <v>14</v>
      </c>
      <c r="MU3" s="14" t="s">
        <v>8</v>
      </c>
      <c r="MV3" s="14" t="s">
        <v>15</v>
      </c>
      <c r="MW3" s="14" t="s">
        <v>27</v>
      </c>
      <c r="MX3" s="14" t="s">
        <v>13</v>
      </c>
      <c r="MY3" s="14" t="s">
        <v>14</v>
      </c>
      <c r="MZ3" s="14" t="s">
        <v>8</v>
      </c>
      <c r="NA3" s="14" t="s">
        <v>15</v>
      </c>
      <c r="NB3" s="14" t="s">
        <v>27</v>
      </c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6"/>
      <c r="NQ3" s="13" t="s">
        <v>13</v>
      </c>
      <c r="NR3" s="13" t="s">
        <v>14</v>
      </c>
      <c r="NS3" s="13" t="s">
        <v>8</v>
      </c>
      <c r="NT3" s="13" t="s">
        <v>15</v>
      </c>
      <c r="NU3" s="13" t="s">
        <v>27</v>
      </c>
      <c r="NV3" s="13" t="s">
        <v>13</v>
      </c>
      <c r="NW3" s="13" t="s">
        <v>14</v>
      </c>
      <c r="NX3" s="13" t="s">
        <v>8</v>
      </c>
      <c r="NY3" s="13" t="s">
        <v>15</v>
      </c>
      <c r="NZ3" s="13" t="s">
        <v>27</v>
      </c>
      <c r="OA3" s="13" t="s">
        <v>13</v>
      </c>
      <c r="OB3" s="13" t="s">
        <v>14</v>
      </c>
      <c r="OC3" s="13" t="s">
        <v>8</v>
      </c>
      <c r="OD3" s="13" t="s">
        <v>15</v>
      </c>
      <c r="OE3" s="13" t="s">
        <v>27</v>
      </c>
      <c r="OF3" s="13" t="s">
        <v>13</v>
      </c>
      <c r="OG3" s="13" t="s">
        <v>14</v>
      </c>
      <c r="OH3" s="13" t="s">
        <v>8</v>
      </c>
      <c r="OI3" s="13" t="s">
        <v>15</v>
      </c>
      <c r="OJ3" s="13" t="s">
        <v>27</v>
      </c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14" t="s">
        <v>13</v>
      </c>
      <c r="OZ3" s="14" t="s">
        <v>14</v>
      </c>
      <c r="PA3" s="14" t="s">
        <v>8</v>
      </c>
      <c r="PB3" s="14" t="s">
        <v>15</v>
      </c>
      <c r="PC3" s="14" t="s">
        <v>27</v>
      </c>
      <c r="PD3" s="14" t="s">
        <v>13</v>
      </c>
      <c r="PE3" s="14" t="s">
        <v>14</v>
      </c>
      <c r="PF3" s="14" t="s">
        <v>8</v>
      </c>
      <c r="PG3" s="14" t="s">
        <v>15</v>
      </c>
      <c r="PH3" s="14" t="s">
        <v>27</v>
      </c>
      <c r="PI3" s="14" t="s">
        <v>13</v>
      </c>
      <c r="PJ3" s="14" t="s">
        <v>14</v>
      </c>
      <c r="PK3" s="14" t="s">
        <v>8</v>
      </c>
      <c r="PL3" s="14" t="s">
        <v>15</v>
      </c>
      <c r="PM3" s="14" t="s">
        <v>27</v>
      </c>
      <c r="PN3" s="14" t="s">
        <v>13</v>
      </c>
      <c r="PO3" s="14" t="s">
        <v>14</v>
      </c>
      <c r="PP3" s="14" t="s">
        <v>8</v>
      </c>
      <c r="PQ3" s="14" t="s">
        <v>15</v>
      </c>
      <c r="PR3" s="14" t="s">
        <v>27</v>
      </c>
      <c r="PS3" s="6"/>
      <c r="PT3" s="6"/>
      <c r="PU3" s="6"/>
      <c r="PV3" s="6"/>
      <c r="PW3" s="6"/>
      <c r="PX3" s="6"/>
      <c r="PY3" s="6"/>
      <c r="PZ3" s="6"/>
      <c r="QA3" s="6"/>
      <c r="QB3" s="6"/>
      <c r="QC3" s="6"/>
      <c r="QD3" s="6"/>
      <c r="QE3" s="6"/>
      <c r="QF3" s="6"/>
      <c r="QG3" s="13" t="s">
        <v>13</v>
      </c>
      <c r="QH3" s="13" t="s">
        <v>14</v>
      </c>
      <c r="QI3" s="13" t="s">
        <v>8</v>
      </c>
      <c r="QJ3" s="13" t="s">
        <v>15</v>
      </c>
      <c r="QK3" s="13" t="s">
        <v>27</v>
      </c>
      <c r="QL3" s="13" t="s">
        <v>13</v>
      </c>
      <c r="QM3" s="13" t="s">
        <v>14</v>
      </c>
      <c r="QN3" s="13" t="s">
        <v>8</v>
      </c>
      <c r="QO3" s="13" t="s">
        <v>15</v>
      </c>
      <c r="QP3" s="13" t="s">
        <v>27</v>
      </c>
      <c r="QQ3" s="13" t="s">
        <v>13</v>
      </c>
      <c r="QR3" s="13" t="s">
        <v>14</v>
      </c>
      <c r="QS3" s="13" t="s">
        <v>8</v>
      </c>
      <c r="QT3" s="13" t="s">
        <v>15</v>
      </c>
      <c r="QU3" s="13" t="s">
        <v>27</v>
      </c>
      <c r="QV3" s="13" t="s">
        <v>13</v>
      </c>
      <c r="QW3" s="13" t="s">
        <v>14</v>
      </c>
      <c r="QX3" s="13" t="s">
        <v>8</v>
      </c>
      <c r="QY3" s="13" t="s">
        <v>15</v>
      </c>
      <c r="QZ3" s="13" t="s">
        <v>27</v>
      </c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14" t="s">
        <v>13</v>
      </c>
      <c r="RP3" s="14" t="s">
        <v>14</v>
      </c>
      <c r="RQ3" s="14" t="s">
        <v>8</v>
      </c>
      <c r="RR3" s="14" t="s">
        <v>15</v>
      </c>
      <c r="RS3" s="14" t="s">
        <v>27</v>
      </c>
      <c r="RT3" s="14" t="s">
        <v>13</v>
      </c>
      <c r="RU3" s="14" t="s">
        <v>14</v>
      </c>
      <c r="RV3" s="14" t="s">
        <v>8</v>
      </c>
      <c r="RW3" s="14" t="s">
        <v>15</v>
      </c>
      <c r="RX3" s="14" t="s">
        <v>27</v>
      </c>
      <c r="RY3" s="14" t="s">
        <v>13</v>
      </c>
      <c r="RZ3" s="14" t="s">
        <v>14</v>
      </c>
      <c r="SA3" s="14" t="s">
        <v>8</v>
      </c>
      <c r="SB3" s="14" t="s">
        <v>15</v>
      </c>
      <c r="SC3" s="14" t="s">
        <v>27</v>
      </c>
      <c r="SD3" s="14" t="s">
        <v>13</v>
      </c>
      <c r="SE3" s="14" t="s">
        <v>14</v>
      </c>
      <c r="SF3" s="14" t="s">
        <v>8</v>
      </c>
      <c r="SG3" s="14" t="s">
        <v>15</v>
      </c>
      <c r="SH3" s="14" t="s">
        <v>27</v>
      </c>
      <c r="SI3" s="6"/>
      <c r="SJ3" s="6"/>
      <c r="SK3" s="6"/>
      <c r="SL3" s="6"/>
      <c r="SM3" s="6"/>
      <c r="SN3" s="6"/>
      <c r="SO3" s="6"/>
      <c r="SP3" s="6"/>
      <c r="SQ3" s="6"/>
      <c r="SR3" s="6"/>
      <c r="SS3" s="6"/>
      <c r="ST3" s="6"/>
      <c r="SU3" s="6"/>
      <c r="SV3" s="6"/>
      <c r="SW3" s="13" t="s">
        <v>13</v>
      </c>
      <c r="SX3" s="13" t="s">
        <v>14</v>
      </c>
      <c r="SY3" s="13" t="s">
        <v>8</v>
      </c>
      <c r="SZ3" s="13" t="s">
        <v>15</v>
      </c>
      <c r="TA3" s="13" t="s">
        <v>27</v>
      </c>
      <c r="TB3" s="13" t="s">
        <v>13</v>
      </c>
      <c r="TC3" s="13" t="s">
        <v>14</v>
      </c>
      <c r="TD3" s="13" t="s">
        <v>8</v>
      </c>
      <c r="TE3" s="13" t="s">
        <v>15</v>
      </c>
      <c r="TF3" s="13" t="s">
        <v>27</v>
      </c>
      <c r="TG3" s="13" t="s">
        <v>13</v>
      </c>
      <c r="TH3" s="13" t="s">
        <v>14</v>
      </c>
      <c r="TI3" s="13" t="s">
        <v>8</v>
      </c>
      <c r="TJ3" s="13" t="s">
        <v>15</v>
      </c>
      <c r="TK3" s="13" t="s">
        <v>27</v>
      </c>
      <c r="TL3" s="13" t="s">
        <v>13</v>
      </c>
      <c r="TM3" s="13" t="s">
        <v>14</v>
      </c>
      <c r="TN3" s="13" t="s">
        <v>8</v>
      </c>
      <c r="TO3" s="13" t="s">
        <v>15</v>
      </c>
      <c r="TP3" s="13" t="s">
        <v>27</v>
      </c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14" t="s">
        <v>13</v>
      </c>
      <c r="UF3" s="14" t="s">
        <v>14</v>
      </c>
      <c r="UG3" s="14" t="s">
        <v>8</v>
      </c>
      <c r="UH3" s="14" t="s">
        <v>15</v>
      </c>
      <c r="UI3" s="14" t="s">
        <v>27</v>
      </c>
      <c r="UJ3" s="14" t="s">
        <v>13</v>
      </c>
      <c r="UK3" s="14" t="s">
        <v>14</v>
      </c>
      <c r="UL3" s="14" t="s">
        <v>8</v>
      </c>
      <c r="UM3" s="14" t="s">
        <v>15</v>
      </c>
      <c r="UN3" s="14" t="s">
        <v>27</v>
      </c>
      <c r="UO3" s="14" t="s">
        <v>13</v>
      </c>
      <c r="UP3" s="14" t="s">
        <v>14</v>
      </c>
      <c r="UQ3" s="14" t="s">
        <v>8</v>
      </c>
      <c r="UR3" s="14" t="s">
        <v>15</v>
      </c>
      <c r="US3" s="14" t="s">
        <v>27</v>
      </c>
      <c r="UT3" s="14" t="s">
        <v>13</v>
      </c>
      <c r="UU3" s="14" t="s">
        <v>14</v>
      </c>
      <c r="UV3" s="14" t="s">
        <v>8</v>
      </c>
      <c r="UW3" s="14" t="s">
        <v>15</v>
      </c>
      <c r="UX3" s="14" t="s">
        <v>27</v>
      </c>
      <c r="UY3" s="6"/>
      <c r="UZ3" s="6"/>
      <c r="VA3" s="6"/>
      <c r="VB3" s="6"/>
      <c r="VC3" s="6"/>
      <c r="VD3" s="6"/>
      <c r="VE3" s="6"/>
      <c r="VF3" s="6"/>
      <c r="VG3" s="6"/>
      <c r="VH3" s="6"/>
      <c r="VI3" s="6"/>
      <c r="VJ3" s="6"/>
      <c r="VK3" s="6"/>
      <c r="VL3" s="6"/>
    </row>
    <row r="4" spans="1:584" x14ac:dyDescent="0.2">
      <c r="A4" s="4" t="str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/>
      </c>
      <c r="B4" s="5" t="s">
        <v>209</v>
      </c>
      <c r="C4" s="4" t="s">
        <v>3</v>
      </c>
      <c r="D4" s="4">
        <v>2010</v>
      </c>
      <c r="E4" s="9">
        <f t="shared" ref="E4:E13" si="0">J4+L4+N4+P4+(J4+L4+N4)*0.0000001+MAX(J4,L4)*0.0000000000001</f>
        <v>146.57001455800511</v>
      </c>
      <c r="F4" s="3" t="str">
        <f t="shared" ref="F4:F13" si="1">IF(OR(AND(AO4&gt;=AS$20,AL4&gt;=AS$16,AO4&lt;&gt;"",AH4=""),AND(BP4&gt;=BT$20,BM4&gt;=BT$16,BP4&lt;&gt;"",BI4=""),AND(CW4&gt;=DD$20,CT4&gt;=DD$16,CW4&lt;&gt;""),AND(EE4&gt;=EL$20,EB4&gt;=EL$16,EE4&lt;&gt;""),AND(FM4&gt;=FT$20,FJ4&gt;=FT$16,FM4&lt;&gt;""),AND(GU4&gt;=HB$20,GR4&gt;=HB$16,GU4&lt;&gt;""),AND(IC4&gt;=IJ$20,HZ4&gt;=IJ$16,IC4&lt;&gt;""),AND(JK4&gt;=JR$20,JH4&gt;=JR$16,JK4&lt;&gt;""),AND(KS4&gt;=KZ$20,KP4&gt;=KZ$16,KS4&lt;&gt;""),AND(MA4&gt;=MH$20,LX4&gt;=MH$16,MA4&lt;&gt;""),AND(NI4&gt;=NP$20,NF4&gt;=NP$16,NI4&lt;&gt;""),AND(OQ4&gt;=OX$20,ON4&gt;=OX$16,OQ4&lt;&gt;""),AND(PY4&gt;=QF$20,PV4&gt;=QF$16,PY4&lt;&gt;""),AND(RG4&gt;=RN$20,RD4&gt;=RN$16,RG4&lt;&gt;""),AND(SO4&gt;=SV$20,SL4&gt;=SV$16,SO4&lt;&gt;""),AND(TW4&gt;=UD$20,TT4&gt;=UD$16,TW4&lt;&gt;""),AND(VE4&gt;=VL$20,VB4&gt;=VL$16,VE4&lt;&gt;"")),"P","")</f>
        <v/>
      </c>
      <c r="G4" s="3" t="str">
        <f t="shared" ref="G4:G13" si="2">IF(OR(AND(AO4&gt;=AS$20,AO4&lt;&gt;"",AH4=""),AND(BP4&gt;=BT$20,BP4&lt;&gt;"",BI4=""),AND(CW4&gt;=DD$20,CW4&lt;&gt;""),AND(EE4&gt;=EL$20,EE4&lt;&gt;""),AND(FM4&gt;=FT$20,FM4&lt;&gt;""),AND(GU4&gt;=HB$20,GU4&lt;&gt;""),AND(IC4&gt;=IJ$20,IC4&lt;&gt;""),AND(JK4&gt;=JR$20,JK4&lt;&gt;""),AND(KS4&gt;=KZ$20,KS4&lt;&gt;""),AND(MA4&gt;=MH$20,MA4&lt;&gt;""),AND(NI4&gt;=NP$20,NI4&lt;&gt;""),AND(OQ4&gt;=OX$20,OQ4&lt;&gt;""),AND(PY4&gt;=QF$20,PY4&lt;&gt;""),AND(RG4&gt;=RN$20,RG4&lt;&gt;""),AND(SO4&gt;=SV$20,SO4&lt;&gt;""),AND(TW4&gt;=UD$20,TW4&lt;&gt;""),AND(VE4&gt;=VL$20,VE4&lt;&gt;"")),"P","")</f>
        <v/>
      </c>
      <c r="H4" s="32" t="str">
        <f t="shared" ref="H4:H13" si="3">IF(AND(G4="P",F4=""),"No DD",IF(F4="P","National Team",""))</f>
        <v/>
      </c>
      <c r="I4" s="3"/>
      <c r="J4" s="8">
        <f t="shared" ref="J4:J13" si="4">IF(MAX(AK4,BL4)&gt;0,MAX(AK4,BL4),0)</f>
        <v>41.59</v>
      </c>
      <c r="K4" s="8" t="str">
        <f t="shared" ref="K4:K13" si="5">IF(J4="","",IF(J4=BL4,$AT$1,IF(J4=AK4,$S$1,"")))</f>
        <v>2026 Elite Canada</v>
      </c>
      <c r="L4" s="8">
        <f t="shared" ref="L4:L13" si="6">IF(MAX(AN4,BO4)&gt;0,MAX(AN4,BO4),0)</f>
        <v>50.78</v>
      </c>
      <c r="M4" s="8" t="str">
        <f t="shared" ref="M4:M13" si="7">IF(L4="","",IF(L4=BO4,$AT$1,IF(L4=AN4,$S$1,"")))</f>
        <v>2025 3rd Domestic Trial</v>
      </c>
      <c r="N4" s="8">
        <f t="shared" ref="N4:N13" si="8">IF(L4=AN4,MAX(AR4,BO4,BS4),MAX(AN4,AR4,BS4))</f>
        <v>53.21</v>
      </c>
      <c r="O4" s="8" t="str">
        <f t="shared" ref="O4:O13" si="9">IF(L4="","",IF(OR(L4=BO4,L4=BS4),$AT$1,IF(OR(L4=AN4,L4=AR4),$S$1,"")))</f>
        <v>2025 3rd Domestic Trial</v>
      </c>
      <c r="P4" s="8">
        <f t="shared" ref="P4:P13" si="10">IF(MAX(BU4,BV4)&gt;0,MAX(BU4,BV4),0)</f>
        <v>0.99000000000000199</v>
      </c>
      <c r="Q4" s="11" t="str">
        <f t="shared" ref="Q4:Q13" si="11">IF(P4=0,"",IF(P4=BU4,"("&amp;BU$2&amp;")",IF(P4=BV4,"("&amp;BV$2&amp;")")))</f>
        <v>(Voluntary)</v>
      </c>
      <c r="R4" s="8" t="str">
        <f t="shared" ref="R4:R13" si="12">IF(P4=0,"",IF(P4=BU4,IF(P4+MIN(L4,N4)=MAX(VA4,0),$UE$1,IF(P4+MIN(L4,N4)=MAX(TS4,0),$SW$1,IF(P4+MIN(L4,N4)=MAX(SK4,0),$RO$1,IF(P4+MIN(L4,N4)=MAX(RC4,0),$QG$1,IF(P4+MIN(L4,N4)=MAX(PU4,0),$OY$1,IF(P4+MIN(L4,N4)=MAX(OM4,0),$NQ$1,IF(P4+MIN(L4,N4)=MAX(NE4,0),$MI$1,IF(P4+MIN(L4,N4)=MAX(LW4,0),$LA$1,IF(P4+MIN(L4,N4)=MAX(KO4,0),$JS$1,IF(P4+MIN(L4,N4)=MAX(JG4,0),$IK$1,IF(P4+MIN(L4,N4)=MAX(HY4,0),$HC$1,IF(P4+MIN(L4,N4)=MAX(GQ4,0),$FU$1,IF(P4+MIN(L4,N4)=MAX(FI4,0),$EM$1,IF(P4+MIN(L4,N4)=MAX(EA4,0),$DE$1,IF(P4+MIN(L4,N4)=MAX(CS4,0),$BW$1))))))))))))))),IF(P4+MIN(L4,N4)=MAX(VD4,VH4,VK4),$UE$1,IF(P4+MIN(L4,N4)=MAX(TV4,TZ4,UC4),$SW$1,IF(P4+MIN(L4,N4)=MAX(SN4,SR4,SU4),$RO$1,IF(P4+MIN(L4,N4)=MAX(RF4,RJ4,RM4),$QG$1,IF(P4+MIN(L4,N4)=MAX(PX4,QB4,QE4),$OY$1,IF(P4+MIN(L4,N4)=MAX(OP4,OT4,OW4),$NQ$1,IF(P4+MIN(L4,N4)=MAX(NH4,NL4,NO4),$MI$1,IF(P4+MIN(L4,N4)=MAX(LZ4,MD4,MG4),$LA$1,IF(P4+MIN(L4,N4)=MAX(KR4,KV4,KY4),$JS$1,IF(P4+MIN(L4,N4)=MAX(JJ4,JN4,JQ4),$IK$1,IF(P4+MIN(L4,N4)=MAX(IB4,IF4,II4),$HC$1,IF(P4+MIN(L4,N4)=MAX(GT4,GX4,HA4),$FU$1,IF(P4+MIN(L4,N4)=MAX(FL4,FP4,FS4),$EM$1,IF(P4+MIN(L4,N4)=MAX(ED4,EH4,EK4),$DE$1,IF(P4+MIN(L4,N4)=MAX(CV4,CZ4,DC4),$BW$1)))))))))))))))))</f>
        <v>2025 WAGC (Nov 16)</v>
      </c>
      <c r="S4" s="18">
        <v>16.5</v>
      </c>
      <c r="T4" s="18">
        <v>9.4</v>
      </c>
      <c r="U4" s="18">
        <v>0</v>
      </c>
      <c r="V4" s="18">
        <v>15.51</v>
      </c>
      <c r="W4" s="18">
        <v>0</v>
      </c>
      <c r="X4" s="18">
        <v>13.4</v>
      </c>
      <c r="Y4" s="18">
        <v>8.8000000000000007</v>
      </c>
      <c r="Z4" s="18">
        <v>13</v>
      </c>
      <c r="AA4" s="18">
        <v>15.58</v>
      </c>
      <c r="AB4" s="18">
        <v>0</v>
      </c>
      <c r="AC4" s="18">
        <v>11.7</v>
      </c>
      <c r="AD4" s="18">
        <v>9.1999999999999993</v>
      </c>
      <c r="AE4" s="18">
        <v>12.1</v>
      </c>
      <c r="AF4" s="18">
        <v>15.21</v>
      </c>
      <c r="AG4" s="18">
        <v>0.2</v>
      </c>
      <c r="AH4" s="23"/>
      <c r="AI4" s="34" t="str">
        <f t="shared" ref="AI4:AI13" si="13">IF(U4&gt;0,U4,"")</f>
        <v/>
      </c>
      <c r="AJ4" s="34">
        <f t="shared" ref="AJ4:AJ13" si="14">IF(V4&gt;0,V4,"")</f>
        <v>15.51</v>
      </c>
      <c r="AK4" s="36">
        <f t="shared" ref="AK4:AK13" si="15">IF(SUM(S4:V4)-W4&gt;0,SUM(S4:V4)-W4,"")</f>
        <v>41.41</v>
      </c>
      <c r="AL4" s="36">
        <f t="shared" ref="AL4:AL13" si="16">IF(Z4&gt;0,Z4,"")</f>
        <v>13</v>
      </c>
      <c r="AM4" s="36">
        <f t="shared" ref="AM4:AM13" si="17">IF(AA4&gt;0,AA4,"")</f>
        <v>15.58</v>
      </c>
      <c r="AN4" s="36">
        <f t="shared" ref="AN4:AN13" si="18">IF(SUM(X4:AA4)-AB4&gt;0,SUM(X4:AA4)-AB4,"")</f>
        <v>50.78</v>
      </c>
      <c r="AO4" s="36">
        <f t="shared" ref="AO4:AO13" si="19">IF(AK4="","",SUM(AK4,AN4))</f>
        <v>92.19</v>
      </c>
      <c r="AP4" s="36">
        <f t="shared" ref="AP4:AP13" si="20">IF(AE4&gt;0,AE4,"")</f>
        <v>12.1</v>
      </c>
      <c r="AQ4" s="36">
        <f t="shared" ref="AQ4:AQ13" si="21">IF(AF4&gt;0,AF4,"")</f>
        <v>15.21</v>
      </c>
      <c r="AR4" s="36">
        <f t="shared" ref="AR4:AR13" si="22">IF(SUM(AC4:AF4)-AG4&gt;0,SUM(AC4:AF4)-AG4,"")</f>
        <v>48.01</v>
      </c>
      <c r="AS4" s="36">
        <f t="shared" ref="AS4:AS13" si="23">IF(SUM(AO4,AR4)&gt;0,SUM(AO4,AR4),"")</f>
        <v>140.19999999999999</v>
      </c>
      <c r="AT4" s="22">
        <v>17.2</v>
      </c>
      <c r="AU4" s="22">
        <v>9.3000000000000007</v>
      </c>
      <c r="AV4" s="22">
        <v>0</v>
      </c>
      <c r="AW4" s="22">
        <v>15.09</v>
      </c>
      <c r="AX4" s="22">
        <v>0</v>
      </c>
      <c r="AY4" s="22">
        <v>7.5</v>
      </c>
      <c r="AZ4" s="22">
        <v>4.7</v>
      </c>
      <c r="BA4" s="22">
        <v>7.3</v>
      </c>
      <c r="BB4" s="22">
        <v>7.94</v>
      </c>
      <c r="BC4" s="22">
        <v>0</v>
      </c>
      <c r="BD4" s="22">
        <v>14.9</v>
      </c>
      <c r="BE4" s="22">
        <v>9.1</v>
      </c>
      <c r="BF4" s="22">
        <v>14</v>
      </c>
      <c r="BG4" s="22">
        <v>15.21</v>
      </c>
      <c r="BH4" s="22">
        <v>0</v>
      </c>
      <c r="BI4" s="24"/>
      <c r="BJ4" s="35" t="str">
        <f t="shared" ref="BJ4:BJ13" si="24">IF(AV4&gt;0,AV4,"")</f>
        <v/>
      </c>
      <c r="BK4" s="35">
        <f t="shared" ref="BK4:BK13" si="25">IF(AW4&gt;0,AW4,"")</f>
        <v>15.09</v>
      </c>
      <c r="BL4" s="11">
        <f t="shared" ref="BL4:BL13" si="26">IF(SUM(AT4:AW4)-AX4&gt;0,SUM(AT4:AW4)-AX4,"")</f>
        <v>41.59</v>
      </c>
      <c r="BM4" s="11">
        <f t="shared" ref="BM4:BM13" si="27">IF(BA4&gt;0,BA4,"")</f>
        <v>7.3</v>
      </c>
      <c r="BN4" s="11">
        <f t="shared" ref="BN4:BN13" si="28">IF(BB4&gt;0,BB4,"")</f>
        <v>7.94</v>
      </c>
      <c r="BO4" s="11">
        <f t="shared" ref="BO4:BO13" si="29">IF(SUM(AY4:BB4)-BC4&gt;0,SUM(AY4:BB4)-BC4,"")</f>
        <v>27.44</v>
      </c>
      <c r="BP4" s="11">
        <f t="shared" ref="BP4:BP13" si="30">IF(BL4="","",SUM(BL4,BO4))</f>
        <v>69.03</v>
      </c>
      <c r="BQ4" s="11">
        <f t="shared" ref="BQ4:BQ13" si="31">IF(BF4&gt;0,BF4,"")</f>
        <v>14</v>
      </c>
      <c r="BR4" s="11">
        <f t="shared" ref="BR4:BR13" si="32">IF(BG4&gt;0,BG4,"")</f>
        <v>15.21</v>
      </c>
      <c r="BS4" s="11">
        <f t="shared" ref="BS4:BS13" si="33">IF(SUM(BD4:BG4)-BH4&gt;0,SUM(BD4:BG4)-BH4,"")</f>
        <v>53.21</v>
      </c>
      <c r="BT4" s="11">
        <f t="shared" ref="BT4:BT13" si="34">IF(SUM(BP4,BS4)&gt;0,SUM(BP4,BS4),"")</f>
        <v>122.24000000000001</v>
      </c>
      <c r="BU4" s="47" t="str">
        <f t="shared" ref="BU4:BU13" si="35">IF(MAX(CS4,EA4,FI4,GQ4,HY4,JG4,KO4,LW4,NE4,OM4,PU4,RC4,SK4,TS4,VA4)-IF(J4="",0,J4)&gt;0.001,MAX(CS4,EA4,FI4,GQ4,HY4,JG4,KO4,LW4,NE4,OM4,PU4,RC4,SK4,TS4,VA4)-IF(J4="",0,J4),"")</f>
        <v/>
      </c>
      <c r="BV4" s="47">
        <f t="shared" ref="BV4:BV13" si="36">IF(MAX(CV4,CZ4,DC4,ED4,EH4,EK4,FL4,FP4,FS4,GT4,GX4,HA4,IB4,IF4,II4,JJ4,JN4,JQ4,KR4,KV4,KY4,LZ4,MD4,MG4,NH4,NL4,NO4,OP4,OT4,OW4,PX4,QB4,QE4,RF4,RJ4,RM4,SN4,SR4,SU4,TV4,TZ4,UC4,VD4,VH4,VK4)-MIN(L4,N4)&gt;0.001,MAX(CV4,CZ4,DC4,ED4,EH4,EK4,FL4,FP4,FS4,GT4,GX4,HA4,IB4,IF4,II4,JJ4,JN4,JQ4,KR4,KV4,KY4,LZ4,MD4,MG4,NH4,NL4,NO4,OP4,OT4,OW4,PX4,QB4,QE4,RF4,RJ4,RM4,SN4,SR4,SU4,TV4,TZ4,UC4,VD4,VH4,VK4)-MIN(L4,N4),"")</f>
        <v>0.99000000000000199</v>
      </c>
      <c r="BW4" s="15">
        <v>16.100000000000001</v>
      </c>
      <c r="BX4" s="15">
        <v>9.1999999999999993</v>
      </c>
      <c r="BY4" s="15">
        <v>0</v>
      </c>
      <c r="BZ4" s="15">
        <v>15.68</v>
      </c>
      <c r="CA4" s="15">
        <v>0</v>
      </c>
      <c r="CB4" s="15">
        <v>13.8</v>
      </c>
      <c r="CC4" s="15">
        <v>9.3000000000000007</v>
      </c>
      <c r="CD4" s="15">
        <v>13.6</v>
      </c>
      <c r="CE4" s="15">
        <v>15.07</v>
      </c>
      <c r="CF4" s="15">
        <v>0</v>
      </c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36" t="str">
        <f t="shared" ref="CQ4:CQ13" si="37">IF(BY4&gt;0,BY4,"")</f>
        <v/>
      </c>
      <c r="CR4" s="36">
        <f t="shared" ref="CR4:CR13" si="38">IF(BZ4&gt;0,BZ4,"")</f>
        <v>15.68</v>
      </c>
      <c r="CS4" s="36">
        <f t="shared" ref="CS4:CS13" si="39">IF(SUM(BW4:BZ4)-CA4&gt;0,SUM(BW4:BZ4)-CA4,"")</f>
        <v>40.980000000000004</v>
      </c>
      <c r="CT4" s="36">
        <f t="shared" ref="CT4:CT13" si="40">IF(CD4&gt;0,CD4,"")</f>
        <v>13.6</v>
      </c>
      <c r="CU4" s="36">
        <f t="shared" ref="CU4:CU13" si="41">IF(CE4&gt;0,CE4,"")</f>
        <v>15.07</v>
      </c>
      <c r="CV4" s="36">
        <f t="shared" ref="CV4:CV13" si="42">IF(SUM(CB4:CE4)-CF4&gt;0,SUM(CB4:CE4)-CF4,"")</f>
        <v>51.77</v>
      </c>
      <c r="CW4" s="36">
        <f t="shared" ref="CW4:CW13" si="43">IF(MAX(CS4,CV4)&gt;0,SUM(CS4,CV4),"")</f>
        <v>92.75</v>
      </c>
      <c r="CX4" s="36" t="str">
        <f t="shared" ref="CX4:CX13" si="44">IF(CI4&gt;0,CI4,"")</f>
        <v/>
      </c>
      <c r="CY4" s="36" t="str">
        <f t="shared" ref="CY4:CY13" si="45">IF(CJ4&gt;0,CJ4,"")</f>
        <v/>
      </c>
      <c r="CZ4" s="36" t="str">
        <f t="shared" ref="CZ4:CZ13" si="46">IF(SUM(CG4:CJ4)-CK4&gt;0,SUM(CG4:CJ4)-CK4,"")</f>
        <v/>
      </c>
      <c r="DA4" s="36" t="str">
        <f t="shared" ref="DA4:DA13" si="47">IF(CN4&gt;0,CN4,"")</f>
        <v/>
      </c>
      <c r="DB4" s="36" t="str">
        <f t="shared" ref="DB4:DB13" si="48">IF(CO4&gt;0,CO4,"")</f>
        <v/>
      </c>
      <c r="DC4" s="36" t="str">
        <f t="shared" ref="DC4:DC13" si="49">IF(SUM(CL4:CO4)-CP4&gt;0,SUM(CL4:CO4)-CP4,"")</f>
        <v/>
      </c>
      <c r="DD4" s="36">
        <f t="shared" ref="DD4:DD13" si="50">IF(SUM(CW4,CZ4,DC4)&gt;0,SUM(CW4,CZ4,DC4),"")</f>
        <v>92.75</v>
      </c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1" t="str">
        <f t="shared" ref="DY4:DY13" si="51">IF(DG4&gt;0,DG4,"")</f>
        <v/>
      </c>
      <c r="DZ4" s="11" t="str">
        <f t="shared" ref="DZ4:DZ13" si="52">IF(DH4&gt;0,DH4,"")</f>
        <v/>
      </c>
      <c r="EA4" s="11" t="str">
        <f t="shared" ref="EA4:EA13" si="53">IF(SUM(DE4:DH4)-DI4&gt;0,SUM(DE4:DH4)-DI4,"")</f>
        <v/>
      </c>
      <c r="EB4" s="11" t="str">
        <f t="shared" ref="EB4:EB13" si="54">IF(DL4&gt;0,DL4,"")</f>
        <v/>
      </c>
      <c r="EC4" s="11" t="str">
        <f t="shared" ref="EC4:EC13" si="55">IF(DM4&gt;0,DM4,"")</f>
        <v/>
      </c>
      <c r="ED4" s="11" t="str">
        <f t="shared" ref="ED4:ED13" si="56">IF(SUM(DJ4:DM4)-DN4&gt;0,SUM(DJ4:DM4)-DN4,"")</f>
        <v/>
      </c>
      <c r="EE4" s="11" t="str">
        <f t="shared" ref="EE4:EE13" si="57">IF(MAX(EA4,ED4)&gt;0,SUM(EA4,ED4),"")</f>
        <v/>
      </c>
      <c r="EF4" s="11" t="str">
        <f t="shared" ref="EF4:EF13" si="58">IF(DQ4&gt;0,DQ4,"")</f>
        <v/>
      </c>
      <c r="EG4" s="11" t="str">
        <f t="shared" ref="EG4:EG13" si="59">IF(DR4&gt;0,DR4,"")</f>
        <v/>
      </c>
      <c r="EH4" s="11" t="str">
        <f t="shared" ref="EH4:EH13" si="60">IF(SUM(DO4:DR4)-DS4&gt;0,SUM(DO4:DR4)-DS4,"")</f>
        <v/>
      </c>
      <c r="EI4" s="11" t="str">
        <f t="shared" ref="EI4:EI13" si="61">IF(DV4&gt;0,DV4,"")</f>
        <v/>
      </c>
      <c r="EJ4" s="11" t="str">
        <f t="shared" ref="EJ4:EJ13" si="62">IF(DW4&gt;0,DW4,"")</f>
        <v/>
      </c>
      <c r="EK4" s="11" t="str">
        <f t="shared" ref="EK4:EK13" si="63">IF(SUM(DT4:DW4)-DX4&gt;0,SUM(DT4:DW4)-DX4,"")</f>
        <v/>
      </c>
      <c r="EL4" s="11" t="str">
        <f t="shared" ref="EL4:EL13" si="64">IF(SUM(EE4,EH4,EK4)&gt;0,SUM(EE4,EH4,EK4),"")</f>
        <v/>
      </c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36" t="str">
        <f t="shared" ref="FG4:FG13" si="65">IF(EO4&gt;0,EO4,"")</f>
        <v/>
      </c>
      <c r="FH4" s="36" t="str">
        <f t="shared" ref="FH4:FH13" si="66">IF(EP4&gt;0,EP4,"")</f>
        <v/>
      </c>
      <c r="FI4" s="36" t="str">
        <f t="shared" ref="FI4:FI13" si="67">IF(SUM(EM4:EP4)-EQ4&gt;0,SUM(EM4:EP4)-EQ4,"")</f>
        <v/>
      </c>
      <c r="FJ4" s="36" t="str">
        <f t="shared" ref="FJ4:FJ13" si="68">IF(ET4&gt;0,ET4,"")</f>
        <v/>
      </c>
      <c r="FK4" s="36" t="str">
        <f t="shared" ref="FK4:FK13" si="69">IF(EU4&gt;0,EU4,"")</f>
        <v/>
      </c>
      <c r="FL4" s="36" t="str">
        <f t="shared" ref="FL4:FL13" si="70">IF(SUM(ER4:EU4)-EV4&gt;0,SUM(ER4:EU4)-EV4,"")</f>
        <v/>
      </c>
      <c r="FM4" s="36" t="str">
        <f t="shared" ref="FM4:FM13" si="71">IF(MAX(FI4,FL4)&gt;0,SUM(FI4,FL4),"")</f>
        <v/>
      </c>
      <c r="FN4" s="36" t="str">
        <f t="shared" ref="FN4:FN13" si="72">IF(EY4&gt;0,EY4,"")</f>
        <v/>
      </c>
      <c r="FO4" s="36" t="str">
        <f t="shared" ref="FO4:FO13" si="73">IF(EZ4&gt;0,EZ4,"")</f>
        <v/>
      </c>
      <c r="FP4" s="36" t="str">
        <f t="shared" ref="FP4:FP13" si="74">IF(SUM(EW4:EZ4)-FA4&gt;0,SUM(EW4:EZ4)-FA4,"")</f>
        <v/>
      </c>
      <c r="FQ4" s="36" t="str">
        <f t="shared" ref="FQ4:FQ13" si="75">IF(FD4&gt;0,FD4,"")</f>
        <v/>
      </c>
      <c r="FR4" s="36" t="str">
        <f t="shared" ref="FR4:FR13" si="76">IF(FE4&gt;0,FE4,"")</f>
        <v/>
      </c>
      <c r="FS4" s="36" t="str">
        <f t="shared" ref="FS4:FS13" si="77">IF(SUM(FB4:FE4)-FF4&gt;0,SUM(FB4:FE4)-FF4,"")</f>
        <v/>
      </c>
      <c r="FT4" s="36" t="str">
        <f t="shared" ref="FT4:FT13" si="78">IF(SUM(FM4,FP4,FS4)&gt;0,SUM(FM4,FP4,FS4),"")</f>
        <v/>
      </c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1" t="str">
        <f t="shared" ref="GO4:GO13" si="79">IF(FW4&gt;0,FW4,"")</f>
        <v/>
      </c>
      <c r="GP4" s="11" t="str">
        <f t="shared" ref="GP4:GP13" si="80">IF(FX4&gt;0,FX4,"")</f>
        <v/>
      </c>
      <c r="GQ4" s="11" t="str">
        <f t="shared" ref="GQ4:GQ13" si="81">IF(SUM(FU4:FX4)-FY4&gt;0,SUM(FU4:FX4)-FY4,"")</f>
        <v/>
      </c>
      <c r="GR4" s="11" t="str">
        <f t="shared" ref="GR4:GR13" si="82">IF(GB4&gt;0,GB4,"")</f>
        <v/>
      </c>
      <c r="GS4" s="11" t="str">
        <f t="shared" ref="GS4:GS13" si="83">IF(GC4&gt;0,GC4,"")</f>
        <v/>
      </c>
      <c r="GT4" s="11" t="str">
        <f t="shared" ref="GT4:GT13" si="84">IF(SUM(FZ4:GC4)-GD4&gt;0,SUM(FZ4:GC4)-GD4,"")</f>
        <v/>
      </c>
      <c r="GU4" s="11" t="str">
        <f t="shared" ref="GU4:GU13" si="85">IF(MAX(GQ4,GT4)&gt;0,SUM(GQ4,GT4),"")</f>
        <v/>
      </c>
      <c r="GV4" s="11" t="str">
        <f t="shared" ref="GV4:GV13" si="86">IF(GG4&gt;0,GG4,"")</f>
        <v/>
      </c>
      <c r="GW4" s="11" t="str">
        <f t="shared" ref="GW4:GW13" si="87">IF(GH4&gt;0,GH4,"")</f>
        <v/>
      </c>
      <c r="GX4" s="11" t="str">
        <f t="shared" ref="GX4:GX13" si="88">IF(SUM(GE4:GH4)-GI4&gt;0,SUM(GE4:GH4)-GI4,"")</f>
        <v/>
      </c>
      <c r="GY4" s="11" t="str">
        <f t="shared" ref="GY4:GY13" si="89">IF(GL4&gt;0,GL4,"")</f>
        <v/>
      </c>
      <c r="GZ4" s="11" t="str">
        <f t="shared" ref="GZ4:GZ13" si="90">IF(GM4&gt;0,GM4,"")</f>
        <v/>
      </c>
      <c r="HA4" s="11" t="str">
        <f t="shared" ref="HA4:HA13" si="91">IF(SUM(GJ4:GM4)-GN4&gt;0,SUM(GJ4:GM4)-GN4,"")</f>
        <v/>
      </c>
      <c r="HB4" s="11" t="str">
        <f t="shared" ref="HB4:HB13" si="92">IF(SUM(GU4,GX4,HA4)&gt;0,SUM(GU4,GX4,HA4),"")</f>
        <v/>
      </c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36" t="str">
        <f t="shared" ref="HW4:HW13" si="93">IF(HE4&gt;0,HE4,"")</f>
        <v/>
      </c>
      <c r="HX4" s="36" t="str">
        <f t="shared" ref="HX4:HX13" si="94">IF(HF4&gt;0,HF4,"")</f>
        <v/>
      </c>
      <c r="HY4" s="36" t="str">
        <f t="shared" ref="HY4:HY13" si="95">IF(SUM(HC4:HF4)-HG4&gt;0,SUM(HC4:HF4)-HG4,"")</f>
        <v/>
      </c>
      <c r="HZ4" s="36" t="str">
        <f t="shared" ref="HZ4:HZ13" si="96">IF(HJ4&gt;0,HJ4,"")</f>
        <v/>
      </c>
      <c r="IA4" s="36" t="str">
        <f t="shared" ref="IA4:IA13" si="97">IF(HK4&gt;0,HK4,"")</f>
        <v/>
      </c>
      <c r="IB4" s="36" t="str">
        <f t="shared" ref="IB4:IB13" si="98">IF(SUM(HH4:HK4)-HL4&gt;0,SUM(HH4:HK4)-HL4,"")</f>
        <v/>
      </c>
      <c r="IC4" s="36" t="str">
        <f t="shared" ref="IC4:IC13" si="99">IF(MAX(HY4,IB4)&gt;0,SUM(HY4,IB4),"")</f>
        <v/>
      </c>
      <c r="ID4" s="36" t="str">
        <f t="shared" ref="ID4:ID13" si="100">IF(HO4&gt;0,HO4,"")</f>
        <v/>
      </c>
      <c r="IE4" s="36" t="str">
        <f t="shared" ref="IE4:IE13" si="101">IF(HP4&gt;0,HP4,"")</f>
        <v/>
      </c>
      <c r="IF4" s="36" t="str">
        <f t="shared" ref="IF4:IF13" si="102">IF(SUM(HM4:HP4)-HQ4&gt;0,SUM(HM4:HP4)-HQ4,"")</f>
        <v/>
      </c>
      <c r="IG4" s="36" t="str">
        <f t="shared" ref="IG4:IG13" si="103">IF(HT4&gt;0,HT4,"")</f>
        <v/>
      </c>
      <c r="IH4" s="36" t="str">
        <f t="shared" ref="IH4:IH13" si="104">IF(HU4&gt;0,HU4,"")</f>
        <v/>
      </c>
      <c r="II4" s="36" t="str">
        <f t="shared" ref="II4:II13" si="105">IF(SUM(HR4:HU4)-HV4&gt;0,SUM(HR4:HU4)-HV4,"")</f>
        <v/>
      </c>
      <c r="IJ4" s="36" t="str">
        <f t="shared" ref="IJ4:IJ13" si="106">IF(SUM(IC4,IF4,II4)&gt;0,SUM(IC4,IF4,II4),"")</f>
        <v/>
      </c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16"/>
      <c r="JD4" s="16"/>
      <c r="JE4" s="11" t="str">
        <f t="shared" ref="JE4:JE13" si="107">IF(IM4&gt;0,IM4,"")</f>
        <v/>
      </c>
      <c r="JF4" s="11" t="str">
        <f t="shared" ref="JF4:JF13" si="108">IF(IN4&gt;0,IN4,"")</f>
        <v/>
      </c>
      <c r="JG4" s="11" t="str">
        <f t="shared" ref="JG4:JG13" si="109">IF(SUM(IK4:IN4)-IO4&gt;0,SUM(IK4:IN4)-IO4,"")</f>
        <v/>
      </c>
      <c r="JH4" s="11" t="str">
        <f t="shared" ref="JH4:JH13" si="110">IF(IR4&gt;0,IR4,"")</f>
        <v/>
      </c>
      <c r="JI4" s="11" t="str">
        <f t="shared" ref="JI4:JI13" si="111">IF(IS4&gt;0,IS4,"")</f>
        <v/>
      </c>
      <c r="JJ4" s="11" t="str">
        <f t="shared" ref="JJ4:JJ13" si="112">IF(SUM(IP4:IS4)-IT4&gt;0,SUM(IP4:IS4)-IT4,"")</f>
        <v/>
      </c>
      <c r="JK4" s="11" t="str">
        <f t="shared" ref="JK4:JK13" si="113">IF(MAX(JG4,JJ4)&gt;0,SUM(JG4,JJ4),"")</f>
        <v/>
      </c>
      <c r="JL4" s="11" t="str">
        <f t="shared" ref="JL4:JL13" si="114">IF(IW4&gt;0,IW4,"")</f>
        <v/>
      </c>
      <c r="JM4" s="11" t="str">
        <f t="shared" ref="JM4:JM13" si="115">IF(IX4&gt;0,IX4,"")</f>
        <v/>
      </c>
      <c r="JN4" s="11" t="str">
        <f t="shared" ref="JN4:JN13" si="116">IF(SUM(IU4:IX4)-IY4&gt;0,SUM(IU4:IX4)-IY4,"")</f>
        <v/>
      </c>
      <c r="JO4" s="11" t="str">
        <f t="shared" ref="JO4:JO13" si="117">IF(JB4&gt;0,JB4,"")</f>
        <v/>
      </c>
      <c r="JP4" s="11" t="str">
        <f t="shared" ref="JP4:JP13" si="118">IF(JC4&gt;0,JC4,"")</f>
        <v/>
      </c>
      <c r="JQ4" s="11" t="str">
        <f t="shared" ref="JQ4:JQ13" si="119">IF(SUM(IZ4:JC4)-JD4&gt;0,SUM(IZ4:JC4)-JD4,"")</f>
        <v/>
      </c>
      <c r="JR4" s="11" t="str">
        <f t="shared" ref="JR4:JR13" si="120">IF(SUM(JK4,JN4,JQ4)&gt;0,SUM(JK4,JN4,JQ4),"")</f>
        <v/>
      </c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36" t="str">
        <f t="shared" ref="KM4:KM13" si="121">IF(JU4&gt;0,JU4,"")</f>
        <v/>
      </c>
      <c r="KN4" s="36" t="str">
        <f t="shared" ref="KN4:KN13" si="122">IF(JV4&gt;0,JV4,"")</f>
        <v/>
      </c>
      <c r="KO4" s="36" t="str">
        <f t="shared" ref="KO4:KO13" si="123">IF(SUM(JS4:JV4)-JW4&gt;0,SUM(JS4:JV4)-JW4,"")</f>
        <v/>
      </c>
      <c r="KP4" s="36" t="str">
        <f t="shared" ref="KP4:KP13" si="124">IF(JZ4&gt;0,JZ4,"")</f>
        <v/>
      </c>
      <c r="KQ4" s="36" t="str">
        <f t="shared" ref="KQ4:KQ13" si="125">IF(KA4&gt;0,KA4,"")</f>
        <v/>
      </c>
      <c r="KR4" s="36" t="str">
        <f t="shared" ref="KR4:KR13" si="126">IF(SUM(JX4:KA4)-KB4&gt;0,SUM(JX4:KA4)-KB4,"")</f>
        <v/>
      </c>
      <c r="KS4" s="36" t="str">
        <f t="shared" ref="KS4:KS13" si="127">IF(MAX(KO4,KR4)&gt;0,SUM(KO4,KR4),"")</f>
        <v/>
      </c>
      <c r="KT4" s="36" t="str">
        <f t="shared" ref="KT4:KT13" si="128">IF(KE4&gt;0,KE4,"")</f>
        <v/>
      </c>
      <c r="KU4" s="36" t="str">
        <f t="shared" ref="KU4:KU13" si="129">IF(KF4&gt;0,KF4,"")</f>
        <v/>
      </c>
      <c r="KV4" s="36" t="str">
        <f t="shared" ref="KV4:KV13" si="130">IF(SUM(KC4:KF4)-KG4&gt;0,SUM(KC4:KF4)-KG4,"")</f>
        <v/>
      </c>
      <c r="KW4" s="36" t="str">
        <f t="shared" ref="KW4:KW13" si="131">IF(KJ4&gt;0,KJ4,"")</f>
        <v/>
      </c>
      <c r="KX4" s="36" t="str">
        <f t="shared" ref="KX4:KX13" si="132">IF(KK4&gt;0,KK4,"")</f>
        <v/>
      </c>
      <c r="KY4" s="36" t="str">
        <f t="shared" ref="KY4:KY13" si="133">IF(SUM(KH4:KK4)-KL4&gt;0,SUM(KH4:KK4)-KL4,"")</f>
        <v/>
      </c>
      <c r="KZ4" s="36" t="str">
        <f t="shared" ref="KZ4:KZ13" si="134">IF(SUM(KS4,KV4,KY4)&gt;0,SUM(KS4,KV4,KY4),"")</f>
        <v/>
      </c>
      <c r="LA4" s="16"/>
      <c r="LB4" s="16"/>
      <c r="LC4" s="16"/>
      <c r="LD4" s="16"/>
      <c r="LE4" s="16"/>
      <c r="LF4" s="16"/>
      <c r="LG4" s="16"/>
      <c r="LH4" s="16"/>
      <c r="LI4" s="16"/>
      <c r="LJ4" s="16"/>
      <c r="LK4" s="16"/>
      <c r="LL4" s="16"/>
      <c r="LM4" s="16"/>
      <c r="LN4" s="16"/>
      <c r="LO4" s="16"/>
      <c r="LP4" s="16"/>
      <c r="LQ4" s="16"/>
      <c r="LR4" s="16"/>
      <c r="LS4" s="16"/>
      <c r="LT4" s="16"/>
      <c r="LU4" s="11" t="str">
        <f t="shared" ref="LU4:LU13" si="135">IF(LC4&gt;0,LC4,"")</f>
        <v/>
      </c>
      <c r="LV4" s="11" t="str">
        <f t="shared" ref="LV4:LV13" si="136">IF(LD4&gt;0,LD4,"")</f>
        <v/>
      </c>
      <c r="LW4" s="11" t="str">
        <f t="shared" ref="LW4:LW13" si="137">IF(SUM(LA4:LD4)-LE4&gt;0,SUM(LA4:LD4)-LE4,"")</f>
        <v/>
      </c>
      <c r="LX4" s="11" t="str">
        <f t="shared" ref="LX4:LX13" si="138">IF(LH4&gt;0,LH4,"")</f>
        <v/>
      </c>
      <c r="LY4" s="11" t="str">
        <f t="shared" ref="LY4:LY13" si="139">IF(LI4&gt;0,LI4,"")</f>
        <v/>
      </c>
      <c r="LZ4" s="11" t="str">
        <f t="shared" ref="LZ4:LZ13" si="140">IF(SUM(LF4:LI4)-LJ4&gt;0,SUM(LF4:LI4)-LJ4,"")</f>
        <v/>
      </c>
      <c r="MA4" s="11" t="str">
        <f t="shared" ref="MA4:MA13" si="141">IF(MAX(LW4,LZ4)&gt;0,SUM(LW4,LZ4),"")</f>
        <v/>
      </c>
      <c r="MB4" s="11" t="str">
        <f t="shared" ref="MB4:MB13" si="142">IF(LM4&gt;0,LM4,"")</f>
        <v/>
      </c>
      <c r="MC4" s="11" t="str">
        <f t="shared" ref="MC4:MC13" si="143">IF(LN4&gt;0,LN4,"")</f>
        <v/>
      </c>
      <c r="MD4" s="11" t="str">
        <f t="shared" ref="MD4:MD13" si="144">IF(SUM(LK4:LN4)-LO4&gt;0,SUM(LK4:LN4)-LO4,"")</f>
        <v/>
      </c>
      <c r="ME4" s="11" t="str">
        <f t="shared" ref="ME4:ME13" si="145">IF(LR4&gt;0,LR4,"")</f>
        <v/>
      </c>
      <c r="MF4" s="11" t="str">
        <f t="shared" ref="MF4:MF13" si="146">IF(LS4&gt;0,LS4,"")</f>
        <v/>
      </c>
      <c r="MG4" s="11" t="str">
        <f t="shared" ref="MG4:MG13" si="147">IF(SUM(LP4:LS4)-LT4&gt;0,SUM(LP4:LS4)-LT4,"")</f>
        <v/>
      </c>
      <c r="MH4" s="11" t="str">
        <f t="shared" ref="MH4:MH13" si="148">IF(SUM(MA4,MD4,MG4)&gt;0,SUM(MA4,MD4,MG4),"")</f>
        <v/>
      </c>
      <c r="MI4" s="15"/>
      <c r="MJ4" s="15"/>
      <c r="MK4" s="15"/>
      <c r="ML4" s="15"/>
      <c r="MM4" s="15"/>
      <c r="MN4" s="15"/>
      <c r="MO4" s="15"/>
      <c r="MP4" s="15"/>
      <c r="MQ4" s="15"/>
      <c r="MR4" s="15"/>
      <c r="MS4" s="15"/>
      <c r="MT4" s="15"/>
      <c r="MU4" s="15"/>
      <c r="MV4" s="15"/>
      <c r="MW4" s="15"/>
      <c r="MX4" s="15"/>
      <c r="MY4" s="15"/>
      <c r="MZ4" s="15"/>
      <c r="NA4" s="15"/>
      <c r="NB4" s="15"/>
      <c r="NC4" s="36" t="str">
        <f t="shared" ref="NC4:NC13" si="149">IF(MK4&gt;0,MK4,"")</f>
        <v/>
      </c>
      <c r="ND4" s="36" t="str">
        <f t="shared" ref="ND4:ND13" si="150">IF(ML4&gt;0,ML4,"")</f>
        <v/>
      </c>
      <c r="NE4" s="36" t="str">
        <f t="shared" ref="NE4:NE13" si="151">IF(SUM(MI4:ML4)-MM4&gt;0,SUM(MI4:ML4)-MM4,"")</f>
        <v/>
      </c>
      <c r="NF4" s="36" t="str">
        <f t="shared" ref="NF4:NF13" si="152">IF(MP4&gt;0,MP4,"")</f>
        <v/>
      </c>
      <c r="NG4" s="36" t="str">
        <f t="shared" ref="NG4:NG13" si="153">IF(MQ4&gt;0,MQ4,"")</f>
        <v/>
      </c>
      <c r="NH4" s="36" t="str">
        <f t="shared" ref="NH4:NH13" si="154">IF(SUM(MN4:MQ4)-MR4&gt;0,SUM(MN4:MQ4)-MR4,"")</f>
        <v/>
      </c>
      <c r="NI4" s="36" t="str">
        <f t="shared" ref="NI4:NI13" si="155">IF(MAX(NE4,NH4)&gt;0,SUM(NE4,NH4),"")</f>
        <v/>
      </c>
      <c r="NJ4" s="36" t="str">
        <f t="shared" ref="NJ4:NJ13" si="156">IF(MU4&gt;0,MU4,"")</f>
        <v/>
      </c>
      <c r="NK4" s="36" t="str">
        <f t="shared" ref="NK4:NK13" si="157">IF(MV4&gt;0,MV4,"")</f>
        <v/>
      </c>
      <c r="NL4" s="36" t="str">
        <f t="shared" ref="NL4:NL13" si="158">IF(SUM(MS4:MV4)-MW4&gt;0,SUM(MS4:MV4)-MW4,"")</f>
        <v/>
      </c>
      <c r="NM4" s="36" t="str">
        <f t="shared" ref="NM4:NM13" si="159">IF(MZ4&gt;0,MZ4,"")</f>
        <v/>
      </c>
      <c r="NN4" s="36" t="str">
        <f t="shared" ref="NN4:NN13" si="160">IF(NA4&gt;0,NA4,"")</f>
        <v/>
      </c>
      <c r="NO4" s="36" t="str">
        <f t="shared" ref="NO4:NO13" si="161">IF(SUM(MX4:NA4)-NB4&gt;0,SUM(MX4:NA4)-NB4,"")</f>
        <v/>
      </c>
      <c r="NP4" s="36" t="str">
        <f t="shared" ref="NP4:NP13" si="162">IF(SUM(NI4,NL4,NO4)&gt;0,SUM(NI4,NL4,NO4),"")</f>
        <v/>
      </c>
      <c r="NQ4" s="16"/>
      <c r="NR4" s="16"/>
      <c r="NS4" s="16"/>
      <c r="NT4" s="16"/>
      <c r="NU4" s="16"/>
      <c r="NV4" s="16"/>
      <c r="NW4" s="16"/>
      <c r="NX4" s="16"/>
      <c r="NY4" s="16"/>
      <c r="NZ4" s="16"/>
      <c r="OA4" s="16"/>
      <c r="OB4" s="16"/>
      <c r="OC4" s="16"/>
      <c r="OD4" s="16"/>
      <c r="OE4" s="16"/>
      <c r="OF4" s="16"/>
      <c r="OG4" s="16"/>
      <c r="OH4" s="16"/>
      <c r="OI4" s="16"/>
      <c r="OJ4" s="16"/>
      <c r="OK4" s="11" t="str">
        <f t="shared" ref="OK4:OK13" si="163">IF(NS4&gt;0,NS4,"")</f>
        <v/>
      </c>
      <c r="OL4" s="11" t="str">
        <f t="shared" ref="OL4:OL13" si="164">IF(NT4&gt;0,NT4,"")</f>
        <v/>
      </c>
      <c r="OM4" s="11" t="str">
        <f t="shared" ref="OM4:OM13" si="165">IF(SUM(NQ4:NT4)-NU4&gt;0,SUM(NQ4:NT4)-NU4,"")</f>
        <v/>
      </c>
      <c r="ON4" s="11" t="str">
        <f t="shared" ref="ON4:ON13" si="166">IF(NX4&gt;0,NX4,"")</f>
        <v/>
      </c>
      <c r="OO4" s="11" t="str">
        <f t="shared" ref="OO4:OO13" si="167">IF(NY4&gt;0,NY4,"")</f>
        <v/>
      </c>
      <c r="OP4" s="11" t="str">
        <f t="shared" ref="OP4:OP13" si="168">IF(SUM(NV4:NY4)-NZ4&gt;0,SUM(NV4:NY4)-NZ4,"")</f>
        <v/>
      </c>
      <c r="OQ4" s="11" t="str">
        <f t="shared" ref="OQ4:OQ13" si="169">IF(MAX(OM4,OP4)&gt;0,SUM(OM4,OP4),"")</f>
        <v/>
      </c>
      <c r="OR4" s="11" t="str">
        <f t="shared" ref="OR4:OR13" si="170">IF(OC4&gt;0,OC4,"")</f>
        <v/>
      </c>
      <c r="OS4" s="11" t="str">
        <f t="shared" ref="OS4:OS13" si="171">IF(OD4&gt;0,OD4,"")</f>
        <v/>
      </c>
      <c r="OT4" s="11" t="str">
        <f t="shared" ref="OT4:OT13" si="172">IF(SUM(OA4:OD4)-OE4&gt;0,SUM(OA4:OD4)-OE4,"")</f>
        <v/>
      </c>
      <c r="OU4" s="11" t="str">
        <f t="shared" ref="OU4:OU13" si="173">IF(OH4&gt;0,OH4,"")</f>
        <v/>
      </c>
      <c r="OV4" s="11" t="str">
        <f t="shared" ref="OV4:OV13" si="174">IF(OI4&gt;0,OI4,"")</f>
        <v/>
      </c>
      <c r="OW4" s="11" t="str">
        <f t="shared" ref="OW4:OW13" si="175">IF(SUM(OF4:OI4)-OJ4&gt;0,SUM(OF4:OI4)-OJ4,"")</f>
        <v/>
      </c>
      <c r="OX4" s="11" t="str">
        <f t="shared" ref="OX4:OX13" si="176">IF(SUM(OQ4,OT4,OW4)&gt;0,SUM(OQ4,OT4,OW4),"")</f>
        <v/>
      </c>
      <c r="OY4" s="15"/>
      <c r="OZ4" s="15"/>
      <c r="PA4" s="15"/>
      <c r="PB4" s="15"/>
      <c r="PC4" s="15"/>
      <c r="PD4" s="15"/>
      <c r="PE4" s="15"/>
      <c r="PF4" s="15"/>
      <c r="PG4" s="15"/>
      <c r="PH4" s="15"/>
      <c r="PI4" s="15"/>
      <c r="PJ4" s="15"/>
      <c r="PK4" s="15"/>
      <c r="PL4" s="15"/>
      <c r="PM4" s="15"/>
      <c r="PN4" s="15"/>
      <c r="PO4" s="15"/>
      <c r="PP4" s="15"/>
      <c r="PQ4" s="15"/>
      <c r="PR4" s="15"/>
      <c r="PS4" s="36" t="str">
        <f t="shared" ref="PS4:PS13" si="177">IF(PA4&gt;0,PA4,"")</f>
        <v/>
      </c>
      <c r="PT4" s="36" t="str">
        <f t="shared" ref="PT4:PT13" si="178">IF(PB4&gt;0,PB4,"")</f>
        <v/>
      </c>
      <c r="PU4" s="36" t="str">
        <f t="shared" ref="PU4:PU13" si="179">IF(SUM(OY4:PB4)-PC4&gt;0,SUM(OY4:PB4)-PC4,"")</f>
        <v/>
      </c>
      <c r="PV4" s="36" t="str">
        <f t="shared" ref="PV4:PV13" si="180">IF(PF4&gt;0,PF4,"")</f>
        <v/>
      </c>
      <c r="PW4" s="36" t="str">
        <f t="shared" ref="PW4:PW13" si="181">IF(PG4&gt;0,PG4,"")</f>
        <v/>
      </c>
      <c r="PX4" s="36" t="str">
        <f t="shared" ref="PX4:PX13" si="182">IF(SUM(PD4:PG4)-PH4&gt;0,SUM(PD4:PG4)-PH4,"")</f>
        <v/>
      </c>
      <c r="PY4" s="36" t="str">
        <f t="shared" ref="PY4:PY13" si="183">IF(MAX(PU4,PX4)&gt;0,SUM(PU4,PX4),"")</f>
        <v/>
      </c>
      <c r="PZ4" s="36" t="str">
        <f t="shared" ref="PZ4:PZ13" si="184">IF(PK4&gt;0,PK4,"")</f>
        <v/>
      </c>
      <c r="QA4" s="36" t="str">
        <f t="shared" ref="QA4:QA13" si="185">IF(PL4&gt;0,PL4,"")</f>
        <v/>
      </c>
      <c r="QB4" s="36" t="str">
        <f t="shared" ref="QB4:QB13" si="186">IF(SUM(PI4:PL4)-PM4&gt;0,SUM(PI4:PL4)-PM4,"")</f>
        <v/>
      </c>
      <c r="QC4" s="36" t="str">
        <f t="shared" ref="QC4:QC13" si="187">IF(PP4&gt;0,PP4,"")</f>
        <v/>
      </c>
      <c r="QD4" s="36" t="str">
        <f t="shared" ref="QD4:QD13" si="188">IF(PQ4&gt;0,PQ4,"")</f>
        <v/>
      </c>
      <c r="QE4" s="36" t="str">
        <f t="shared" ref="QE4:QE13" si="189">IF(SUM(PN4:PQ4)-PR4&gt;0,SUM(PN4:PQ4)-PR4,"")</f>
        <v/>
      </c>
      <c r="QF4" s="36" t="str">
        <f t="shared" ref="QF4:QF13" si="190">IF(SUM(PY4,QB4,QE4)&gt;0,SUM(PY4,QB4,QE4),"")</f>
        <v/>
      </c>
      <c r="QG4" s="16"/>
      <c r="QH4" s="16"/>
      <c r="QI4" s="16"/>
      <c r="QJ4" s="16"/>
      <c r="QK4" s="16"/>
      <c r="QL4" s="16"/>
      <c r="QM4" s="16"/>
      <c r="QN4" s="16"/>
      <c r="QO4" s="16"/>
      <c r="QP4" s="16"/>
      <c r="QQ4" s="16"/>
      <c r="QR4" s="16"/>
      <c r="QS4" s="16"/>
      <c r="QT4" s="16"/>
      <c r="QU4" s="16"/>
      <c r="QV4" s="16"/>
      <c r="QW4" s="16"/>
      <c r="QX4" s="16"/>
      <c r="QY4" s="16"/>
      <c r="QZ4" s="16"/>
      <c r="RA4" s="11" t="str">
        <f t="shared" ref="RA4:RA13" si="191">IF(QI4&gt;0,QI4,"")</f>
        <v/>
      </c>
      <c r="RB4" s="11" t="str">
        <f t="shared" ref="RB4:RB13" si="192">IF(QJ4&gt;0,QJ4,"")</f>
        <v/>
      </c>
      <c r="RC4" s="11" t="str">
        <f t="shared" ref="RC4:RC13" si="193">IF(SUM(QG4:QJ4)-QK4&gt;0,SUM(QG4:QJ4)-QK4,"")</f>
        <v/>
      </c>
      <c r="RD4" s="11" t="str">
        <f t="shared" ref="RD4:RD13" si="194">IF(QN4&gt;0,QN4,"")</f>
        <v/>
      </c>
      <c r="RE4" s="11" t="str">
        <f t="shared" ref="RE4:RE13" si="195">IF(QO4&gt;0,QO4,"")</f>
        <v/>
      </c>
      <c r="RF4" s="11" t="str">
        <f t="shared" ref="RF4:RF13" si="196">IF(SUM(QL4:QO4)-QP4&gt;0,SUM(QL4:QO4)-QP4,"")</f>
        <v/>
      </c>
      <c r="RG4" s="11" t="str">
        <f t="shared" ref="RG4:RG13" si="197">IF(MAX(RC4,RF4)&gt;0,SUM(RC4,RF4),"")</f>
        <v/>
      </c>
      <c r="RH4" s="11" t="str">
        <f t="shared" ref="RH4:RH13" si="198">IF(QS4&gt;0,QS4,"")</f>
        <v/>
      </c>
      <c r="RI4" s="11" t="str">
        <f t="shared" ref="RI4:RI13" si="199">IF(QT4&gt;0,QT4,"")</f>
        <v/>
      </c>
      <c r="RJ4" s="11" t="str">
        <f t="shared" ref="RJ4:RJ13" si="200">IF(SUM(QQ4:QT4)-QU4&gt;0,SUM(QQ4:QT4)-QU4,"")</f>
        <v/>
      </c>
      <c r="RK4" s="11" t="str">
        <f t="shared" ref="RK4:RK13" si="201">IF(QX4&gt;0,QX4,"")</f>
        <v/>
      </c>
      <c r="RL4" s="11" t="str">
        <f t="shared" ref="RL4:RL13" si="202">IF(QY4&gt;0,QY4,"")</f>
        <v/>
      </c>
      <c r="RM4" s="11" t="str">
        <f t="shared" ref="RM4:RM13" si="203">IF(SUM(QV4:QY4)-QZ4&gt;0,SUM(QV4:QY4)-QZ4,"")</f>
        <v/>
      </c>
      <c r="RN4" s="11" t="str">
        <f t="shared" ref="RN4:RN13" si="204">IF(SUM(RG4,RJ4,RM4)&gt;0,SUM(RG4,RJ4,RM4),"")</f>
        <v/>
      </c>
      <c r="RO4" s="15"/>
      <c r="RP4" s="15"/>
      <c r="RQ4" s="15"/>
      <c r="RR4" s="15"/>
      <c r="RS4" s="15"/>
      <c r="RT4" s="15"/>
      <c r="RU4" s="15"/>
      <c r="RV4" s="15"/>
      <c r="RW4" s="15"/>
      <c r="RX4" s="15"/>
      <c r="RY4" s="15"/>
      <c r="RZ4" s="15"/>
      <c r="SA4" s="15"/>
      <c r="SB4" s="15"/>
      <c r="SC4" s="15"/>
      <c r="SD4" s="15"/>
      <c r="SE4" s="15"/>
      <c r="SF4" s="15"/>
      <c r="SG4" s="15"/>
      <c r="SH4" s="15"/>
      <c r="SI4" s="36" t="str">
        <f t="shared" ref="SI4:SI13" si="205">IF(RQ4&gt;0,RQ4,"")</f>
        <v/>
      </c>
      <c r="SJ4" s="36" t="str">
        <f t="shared" ref="SJ4:SJ13" si="206">IF(RR4&gt;0,RR4,"")</f>
        <v/>
      </c>
      <c r="SK4" s="36" t="str">
        <f t="shared" ref="SK4:SK13" si="207">IF(SUM(RO4:RR4)-RS4&gt;0,SUM(RO4:RR4)-RS4,"")</f>
        <v/>
      </c>
      <c r="SL4" s="36" t="str">
        <f t="shared" ref="SL4:SL13" si="208">IF(RV4&gt;0,RV4,"")</f>
        <v/>
      </c>
      <c r="SM4" s="36" t="str">
        <f t="shared" ref="SM4:SM13" si="209">IF(RW4&gt;0,RW4,"")</f>
        <v/>
      </c>
      <c r="SN4" s="36" t="str">
        <f t="shared" ref="SN4:SN13" si="210">IF(SUM(RT4:RW4)-RX4&gt;0,SUM(RT4:RW4)-RX4,"")</f>
        <v/>
      </c>
      <c r="SO4" s="36" t="str">
        <f t="shared" ref="SO4:SO13" si="211">IF(MAX(SK4,SN4)&gt;0,SUM(SK4,SN4),"")</f>
        <v/>
      </c>
      <c r="SP4" s="36" t="str">
        <f t="shared" ref="SP4:SP13" si="212">IF(SA4&gt;0,SA4,"")</f>
        <v/>
      </c>
      <c r="SQ4" s="36" t="str">
        <f t="shared" ref="SQ4:SQ13" si="213">IF(SB4&gt;0,SB4,"")</f>
        <v/>
      </c>
      <c r="SR4" s="36" t="str">
        <f t="shared" ref="SR4:SR13" si="214">IF(SUM(RY4:SB4)-SC4&gt;0,SUM(RY4:SB4)-SC4,"")</f>
        <v/>
      </c>
      <c r="SS4" s="36" t="str">
        <f t="shared" ref="SS4:SS13" si="215">IF(SF4&gt;0,SF4,"")</f>
        <v/>
      </c>
      <c r="ST4" s="36" t="str">
        <f t="shared" ref="ST4:ST13" si="216">IF(SG4&gt;0,SG4,"")</f>
        <v/>
      </c>
      <c r="SU4" s="36" t="str">
        <f t="shared" ref="SU4:SU13" si="217">IF(SUM(SD4:SG4)-SH4&gt;0,SUM(SD4:SG4)-SH4,"")</f>
        <v/>
      </c>
      <c r="SV4" s="36" t="str">
        <f t="shared" ref="SV4:SV13" si="218">IF(SUM(SO4,SR4,SU4)&gt;0,SUM(SO4,SR4,SU4),"")</f>
        <v/>
      </c>
      <c r="SW4" s="16"/>
      <c r="SX4" s="16"/>
      <c r="SY4" s="16"/>
      <c r="SZ4" s="16"/>
      <c r="TA4" s="16"/>
      <c r="TB4" s="16"/>
      <c r="TC4" s="16"/>
      <c r="TD4" s="16"/>
      <c r="TE4" s="16"/>
      <c r="TF4" s="16"/>
      <c r="TG4" s="16"/>
      <c r="TH4" s="16"/>
      <c r="TI4" s="16"/>
      <c r="TJ4" s="16"/>
      <c r="TK4" s="16"/>
      <c r="TL4" s="16"/>
      <c r="TM4" s="16"/>
      <c r="TN4" s="16"/>
      <c r="TO4" s="16"/>
      <c r="TP4" s="16"/>
      <c r="TQ4" s="11" t="str">
        <f t="shared" ref="TQ4:TQ13" si="219">IF(SY4&gt;0,SY4,"")</f>
        <v/>
      </c>
      <c r="TR4" s="11" t="str">
        <f t="shared" ref="TR4:TR13" si="220">IF(SZ4&gt;0,SZ4,"")</f>
        <v/>
      </c>
      <c r="TS4" s="11" t="str">
        <f t="shared" ref="TS4:TS13" si="221">IF(SUM(SW4:SZ4)-TA4&gt;0,SUM(SW4:SZ4)-TA4,"")</f>
        <v/>
      </c>
      <c r="TT4" s="11" t="str">
        <f t="shared" ref="TT4:TT13" si="222">IF(TD4&gt;0,TD4,"")</f>
        <v/>
      </c>
      <c r="TU4" s="11" t="str">
        <f t="shared" ref="TU4:TU13" si="223">IF(TE4&gt;0,TE4,"")</f>
        <v/>
      </c>
      <c r="TV4" s="11" t="str">
        <f t="shared" ref="TV4:TV13" si="224">IF(SUM(TB4:TE4)-TF4&gt;0,SUM(TB4:TE4)-TF4,"")</f>
        <v/>
      </c>
      <c r="TW4" s="11" t="str">
        <f t="shared" ref="TW4:TW13" si="225">IF(MAX(TS4,TV4)&gt;0,SUM(TS4,TV4),"")</f>
        <v/>
      </c>
      <c r="TX4" s="11" t="str">
        <f t="shared" ref="TX4:TX13" si="226">IF(TI4&gt;0,TI4,"")</f>
        <v/>
      </c>
      <c r="TY4" s="11" t="str">
        <f t="shared" ref="TY4:TY13" si="227">IF(TJ4&gt;0,TJ4,"")</f>
        <v/>
      </c>
      <c r="TZ4" s="11" t="str">
        <f t="shared" ref="TZ4:TZ13" si="228">IF(SUM(TG4:TJ4)-TK4&gt;0,SUM(TG4:TJ4)-TK4,"")</f>
        <v/>
      </c>
      <c r="UA4" s="11" t="str">
        <f t="shared" ref="UA4:UA13" si="229">IF(TN4&gt;0,TN4,"")</f>
        <v/>
      </c>
      <c r="UB4" s="11" t="str">
        <f t="shared" ref="UB4:UB13" si="230">IF(TO4&gt;0,TO4,"")</f>
        <v/>
      </c>
      <c r="UC4" s="11" t="str">
        <f t="shared" ref="UC4:UC13" si="231">IF(SUM(TL4:TO4)-TP4&gt;0,SUM(TL4:TO4)-TP4,"")</f>
        <v/>
      </c>
      <c r="UD4" s="11" t="str">
        <f t="shared" ref="UD4:UD13" si="232">IF(SUM(TW4,TZ4,UC4)&gt;0,SUM(TW4,TZ4,UC4),"")</f>
        <v/>
      </c>
      <c r="UE4" s="15"/>
      <c r="UF4" s="15"/>
      <c r="UG4" s="15"/>
      <c r="UH4" s="15"/>
      <c r="UI4" s="15"/>
      <c r="UJ4" s="15"/>
      <c r="UK4" s="15"/>
      <c r="UL4" s="15"/>
      <c r="UM4" s="15"/>
      <c r="UN4" s="15"/>
      <c r="UO4" s="15"/>
      <c r="UP4" s="15"/>
      <c r="UQ4" s="15"/>
      <c r="UR4" s="15"/>
      <c r="US4" s="15"/>
      <c r="UT4" s="15"/>
      <c r="UU4" s="15"/>
      <c r="UV4" s="15"/>
      <c r="UW4" s="15"/>
      <c r="UX4" s="15"/>
      <c r="UY4" s="36" t="str">
        <f t="shared" ref="UY4:UY13" si="233">IF(UG4&gt;0,UG4,"")</f>
        <v/>
      </c>
      <c r="UZ4" s="36" t="str">
        <f t="shared" ref="UZ4:UZ13" si="234">IF(UH4&gt;0,UH4,"")</f>
        <v/>
      </c>
      <c r="VA4" s="36" t="str">
        <f t="shared" ref="VA4:VA13" si="235">IF(SUM(UE4:UH4)-UI4&gt;0,SUM(UE4:UH4)-UI4,"")</f>
        <v/>
      </c>
      <c r="VB4" s="36" t="str">
        <f t="shared" ref="VB4:VB13" si="236">IF(UL4&gt;0,UL4,"")</f>
        <v/>
      </c>
      <c r="VC4" s="36" t="str">
        <f t="shared" ref="VC4:VC13" si="237">IF(UM4&gt;0,UM4,"")</f>
        <v/>
      </c>
      <c r="VD4" s="36" t="str">
        <f t="shared" ref="VD4:VD13" si="238">IF(SUM(UJ4:UM4)-UN4&gt;0,SUM(UJ4:UM4)-UN4,"")</f>
        <v/>
      </c>
      <c r="VE4" s="36" t="str">
        <f t="shared" ref="VE4:VE13" si="239">IF(MAX(VA4,VD4)&gt;0,SUM(VA4,VD4),"")</f>
        <v/>
      </c>
      <c r="VF4" s="36" t="str">
        <f t="shared" ref="VF4:VF13" si="240">IF(UQ4&gt;0,UQ4,"")</f>
        <v/>
      </c>
      <c r="VG4" s="36" t="str">
        <f t="shared" ref="VG4:VG13" si="241">IF(UR4&gt;0,UR4,"")</f>
        <v/>
      </c>
      <c r="VH4" s="36" t="str">
        <f t="shared" ref="VH4:VH13" si="242">IF(SUM(UO4:UR4)-US4&gt;0,SUM(UO4:UR4)-US4,"")</f>
        <v/>
      </c>
      <c r="VI4" s="36" t="str">
        <f t="shared" ref="VI4:VI13" si="243">IF(UV4&gt;0,UV4,"")</f>
        <v/>
      </c>
      <c r="VJ4" s="36" t="str">
        <f t="shared" ref="VJ4:VJ13" si="244">IF(UW4&gt;0,UW4,"")</f>
        <v/>
      </c>
      <c r="VK4" s="36" t="str">
        <f t="shared" ref="VK4:VK13" si="245">IF(SUM(UT4:UW4)-UX4&gt;0,SUM(UT4:UW4)-UX4,"")</f>
        <v/>
      </c>
      <c r="VL4" s="36" t="str">
        <f t="shared" ref="VL4:VL13" si="246">IF(SUM(VE4,VH4,VK4)&gt;0,SUM(VE4,VH4,VK4),"")</f>
        <v/>
      </c>
    </row>
    <row r="5" spans="1:584" x14ac:dyDescent="0.2">
      <c r="A5" s="4" t="str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/>
      </c>
      <c r="B5" s="5" t="s">
        <v>215</v>
      </c>
      <c r="C5" s="4" t="s">
        <v>3</v>
      </c>
      <c r="D5" s="4">
        <v>2010</v>
      </c>
      <c r="E5" s="9">
        <f t="shared" si="0"/>
        <v>146.25001235600431</v>
      </c>
      <c r="F5" s="3" t="str">
        <f t="shared" si="1"/>
        <v/>
      </c>
      <c r="G5" s="3" t="str">
        <f t="shared" si="2"/>
        <v/>
      </c>
      <c r="H5" s="32" t="str">
        <f t="shared" si="3"/>
        <v/>
      </c>
      <c r="I5" s="3"/>
      <c r="J5" s="8">
        <f t="shared" si="4"/>
        <v>42.820000000000007</v>
      </c>
      <c r="K5" s="8" t="str">
        <f t="shared" si="5"/>
        <v>2026 Elite Canada</v>
      </c>
      <c r="L5" s="8">
        <f t="shared" si="6"/>
        <v>27.14</v>
      </c>
      <c r="M5" s="8" t="str">
        <f t="shared" si="7"/>
        <v>2026 Elite Canada</v>
      </c>
      <c r="N5" s="8">
        <f t="shared" si="8"/>
        <v>53.6</v>
      </c>
      <c r="O5" s="8" t="str">
        <f t="shared" si="9"/>
        <v>2026 Elite Canada</v>
      </c>
      <c r="P5" s="8">
        <f t="shared" si="10"/>
        <v>22.689999999999998</v>
      </c>
      <c r="Q5" s="11" t="str">
        <f t="shared" si="11"/>
        <v>(Voluntary)</v>
      </c>
      <c r="R5" s="8" t="str">
        <f t="shared" si="12"/>
        <v>2025 WAGC (Nov 16)</v>
      </c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23"/>
      <c r="AI5" s="34" t="str">
        <f t="shared" si="13"/>
        <v/>
      </c>
      <c r="AJ5" s="34" t="str">
        <f t="shared" si="14"/>
        <v/>
      </c>
      <c r="AK5" s="36" t="str">
        <f t="shared" si="15"/>
        <v/>
      </c>
      <c r="AL5" s="36" t="str">
        <f t="shared" si="16"/>
        <v/>
      </c>
      <c r="AM5" s="36" t="str">
        <f t="shared" si="17"/>
        <v/>
      </c>
      <c r="AN5" s="36" t="str">
        <f t="shared" si="18"/>
        <v/>
      </c>
      <c r="AO5" s="36" t="str">
        <f t="shared" si="19"/>
        <v/>
      </c>
      <c r="AP5" s="36" t="str">
        <f t="shared" si="20"/>
        <v/>
      </c>
      <c r="AQ5" s="36" t="str">
        <f t="shared" si="21"/>
        <v/>
      </c>
      <c r="AR5" s="36" t="str">
        <f t="shared" si="22"/>
        <v/>
      </c>
      <c r="AS5" s="36" t="str">
        <f t="shared" si="23"/>
        <v/>
      </c>
      <c r="AT5" s="22">
        <v>17.600000000000001</v>
      </c>
      <c r="AU5" s="22">
        <v>9.1</v>
      </c>
      <c r="AV5" s="22">
        <v>0</v>
      </c>
      <c r="AW5" s="22">
        <v>16.12</v>
      </c>
      <c r="AX5" s="22">
        <v>0</v>
      </c>
      <c r="AY5" s="22">
        <v>7.5</v>
      </c>
      <c r="AZ5" s="22">
        <v>4.5999999999999996</v>
      </c>
      <c r="BA5" s="22">
        <v>7.1</v>
      </c>
      <c r="BB5" s="22">
        <v>7.94</v>
      </c>
      <c r="BC5" s="22">
        <v>0</v>
      </c>
      <c r="BD5" s="22">
        <v>14.9</v>
      </c>
      <c r="BE5" s="22">
        <v>9.5</v>
      </c>
      <c r="BF5" s="22">
        <v>13.8</v>
      </c>
      <c r="BG5" s="22">
        <v>15.4</v>
      </c>
      <c r="BH5" s="22">
        <v>0</v>
      </c>
      <c r="BI5" s="24"/>
      <c r="BJ5" s="35" t="str">
        <f t="shared" si="24"/>
        <v/>
      </c>
      <c r="BK5" s="35">
        <f t="shared" si="25"/>
        <v>16.12</v>
      </c>
      <c r="BL5" s="11">
        <f t="shared" si="26"/>
        <v>42.820000000000007</v>
      </c>
      <c r="BM5" s="11">
        <f t="shared" si="27"/>
        <v>7.1</v>
      </c>
      <c r="BN5" s="11">
        <f t="shared" si="28"/>
        <v>7.94</v>
      </c>
      <c r="BO5" s="11">
        <f t="shared" si="29"/>
        <v>27.14</v>
      </c>
      <c r="BP5" s="11">
        <f t="shared" si="30"/>
        <v>69.960000000000008</v>
      </c>
      <c r="BQ5" s="11">
        <f t="shared" si="31"/>
        <v>13.8</v>
      </c>
      <c r="BR5" s="11">
        <f t="shared" si="32"/>
        <v>15.4</v>
      </c>
      <c r="BS5" s="11">
        <f t="shared" si="33"/>
        <v>53.6</v>
      </c>
      <c r="BT5" s="11">
        <f t="shared" si="34"/>
        <v>123.56</v>
      </c>
      <c r="BU5" s="47" t="str">
        <f t="shared" si="35"/>
        <v/>
      </c>
      <c r="BV5" s="47">
        <f t="shared" si="36"/>
        <v>22.689999999999998</v>
      </c>
      <c r="BW5" s="15">
        <v>13.7</v>
      </c>
      <c r="BX5" s="15">
        <v>9.1999999999999993</v>
      </c>
      <c r="BY5" s="15">
        <v>0</v>
      </c>
      <c r="BZ5" s="15">
        <v>16.190000000000001</v>
      </c>
      <c r="CA5" s="15">
        <v>0</v>
      </c>
      <c r="CB5" s="15">
        <v>11.2</v>
      </c>
      <c r="CC5" s="15">
        <v>9.4</v>
      </c>
      <c r="CD5" s="15">
        <v>14</v>
      </c>
      <c r="CE5" s="15">
        <v>15.23</v>
      </c>
      <c r="CF5" s="15">
        <v>0</v>
      </c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36" t="str">
        <f t="shared" si="37"/>
        <v/>
      </c>
      <c r="CR5" s="36">
        <f t="shared" si="38"/>
        <v>16.190000000000001</v>
      </c>
      <c r="CS5" s="36">
        <f t="shared" si="39"/>
        <v>39.090000000000003</v>
      </c>
      <c r="CT5" s="36">
        <f t="shared" si="40"/>
        <v>14</v>
      </c>
      <c r="CU5" s="36">
        <f t="shared" si="41"/>
        <v>15.23</v>
      </c>
      <c r="CV5" s="36">
        <f t="shared" si="42"/>
        <v>49.83</v>
      </c>
      <c r="CW5" s="36">
        <f t="shared" si="43"/>
        <v>88.92</v>
      </c>
      <c r="CX5" s="36" t="str">
        <f t="shared" si="44"/>
        <v/>
      </c>
      <c r="CY5" s="36" t="str">
        <f t="shared" si="45"/>
        <v/>
      </c>
      <c r="CZ5" s="36" t="str">
        <f t="shared" si="46"/>
        <v/>
      </c>
      <c r="DA5" s="36" t="str">
        <f t="shared" si="47"/>
        <v/>
      </c>
      <c r="DB5" s="36" t="str">
        <f t="shared" si="48"/>
        <v/>
      </c>
      <c r="DC5" s="36" t="str">
        <f t="shared" si="49"/>
        <v/>
      </c>
      <c r="DD5" s="36">
        <f t="shared" si="50"/>
        <v>88.92</v>
      </c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1" t="str">
        <f t="shared" si="51"/>
        <v/>
      </c>
      <c r="DZ5" s="11" t="str">
        <f t="shared" si="52"/>
        <v/>
      </c>
      <c r="EA5" s="11" t="str">
        <f t="shared" si="53"/>
        <v/>
      </c>
      <c r="EB5" s="11" t="str">
        <f t="shared" si="54"/>
        <v/>
      </c>
      <c r="EC5" s="11" t="str">
        <f t="shared" si="55"/>
        <v/>
      </c>
      <c r="ED5" s="11" t="str">
        <f t="shared" si="56"/>
        <v/>
      </c>
      <c r="EE5" s="11" t="str">
        <f t="shared" si="57"/>
        <v/>
      </c>
      <c r="EF5" s="11" t="str">
        <f t="shared" si="58"/>
        <v/>
      </c>
      <c r="EG5" s="11" t="str">
        <f t="shared" si="59"/>
        <v/>
      </c>
      <c r="EH5" s="11" t="str">
        <f t="shared" si="60"/>
        <v/>
      </c>
      <c r="EI5" s="11" t="str">
        <f t="shared" si="61"/>
        <v/>
      </c>
      <c r="EJ5" s="11" t="str">
        <f t="shared" si="62"/>
        <v/>
      </c>
      <c r="EK5" s="11" t="str">
        <f t="shared" si="63"/>
        <v/>
      </c>
      <c r="EL5" s="11" t="str">
        <f t="shared" si="64"/>
        <v/>
      </c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36" t="str">
        <f t="shared" si="65"/>
        <v/>
      </c>
      <c r="FH5" s="36" t="str">
        <f t="shared" si="66"/>
        <v/>
      </c>
      <c r="FI5" s="36" t="str">
        <f t="shared" si="67"/>
        <v/>
      </c>
      <c r="FJ5" s="36" t="str">
        <f t="shared" si="68"/>
        <v/>
      </c>
      <c r="FK5" s="36" t="str">
        <f t="shared" si="69"/>
        <v/>
      </c>
      <c r="FL5" s="36" t="str">
        <f t="shared" si="70"/>
        <v/>
      </c>
      <c r="FM5" s="36" t="str">
        <f t="shared" si="71"/>
        <v/>
      </c>
      <c r="FN5" s="36" t="str">
        <f t="shared" si="72"/>
        <v/>
      </c>
      <c r="FO5" s="36" t="str">
        <f t="shared" si="73"/>
        <v/>
      </c>
      <c r="FP5" s="36" t="str">
        <f t="shared" si="74"/>
        <v/>
      </c>
      <c r="FQ5" s="36" t="str">
        <f t="shared" si="75"/>
        <v/>
      </c>
      <c r="FR5" s="36" t="str">
        <f t="shared" si="76"/>
        <v/>
      </c>
      <c r="FS5" s="36" t="str">
        <f t="shared" si="77"/>
        <v/>
      </c>
      <c r="FT5" s="36" t="str">
        <f t="shared" si="78"/>
        <v/>
      </c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1" t="str">
        <f t="shared" si="79"/>
        <v/>
      </c>
      <c r="GP5" s="11" t="str">
        <f t="shared" si="80"/>
        <v/>
      </c>
      <c r="GQ5" s="11" t="str">
        <f t="shared" si="81"/>
        <v/>
      </c>
      <c r="GR5" s="11" t="str">
        <f t="shared" si="82"/>
        <v/>
      </c>
      <c r="GS5" s="11" t="str">
        <f t="shared" si="83"/>
        <v/>
      </c>
      <c r="GT5" s="11" t="str">
        <f t="shared" si="84"/>
        <v/>
      </c>
      <c r="GU5" s="11" t="str">
        <f t="shared" si="85"/>
        <v/>
      </c>
      <c r="GV5" s="11" t="str">
        <f t="shared" si="86"/>
        <v/>
      </c>
      <c r="GW5" s="11" t="str">
        <f t="shared" si="87"/>
        <v/>
      </c>
      <c r="GX5" s="11" t="str">
        <f t="shared" si="88"/>
        <v/>
      </c>
      <c r="GY5" s="11" t="str">
        <f t="shared" si="89"/>
        <v/>
      </c>
      <c r="GZ5" s="11" t="str">
        <f t="shared" si="90"/>
        <v/>
      </c>
      <c r="HA5" s="11" t="str">
        <f t="shared" si="91"/>
        <v/>
      </c>
      <c r="HB5" s="11" t="str">
        <f t="shared" si="92"/>
        <v/>
      </c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36" t="str">
        <f t="shared" si="93"/>
        <v/>
      </c>
      <c r="HX5" s="36" t="str">
        <f t="shared" si="94"/>
        <v/>
      </c>
      <c r="HY5" s="36" t="str">
        <f t="shared" si="95"/>
        <v/>
      </c>
      <c r="HZ5" s="36" t="str">
        <f t="shared" si="96"/>
        <v/>
      </c>
      <c r="IA5" s="36" t="str">
        <f t="shared" si="97"/>
        <v/>
      </c>
      <c r="IB5" s="36" t="str">
        <f t="shared" si="98"/>
        <v/>
      </c>
      <c r="IC5" s="36" t="str">
        <f t="shared" si="99"/>
        <v/>
      </c>
      <c r="ID5" s="36" t="str">
        <f t="shared" si="100"/>
        <v/>
      </c>
      <c r="IE5" s="36" t="str">
        <f t="shared" si="101"/>
        <v/>
      </c>
      <c r="IF5" s="36" t="str">
        <f t="shared" si="102"/>
        <v/>
      </c>
      <c r="IG5" s="36" t="str">
        <f t="shared" si="103"/>
        <v/>
      </c>
      <c r="IH5" s="36" t="str">
        <f t="shared" si="104"/>
        <v/>
      </c>
      <c r="II5" s="36" t="str">
        <f t="shared" si="105"/>
        <v/>
      </c>
      <c r="IJ5" s="36" t="str">
        <f t="shared" si="106"/>
        <v/>
      </c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1" t="str">
        <f t="shared" si="107"/>
        <v/>
      </c>
      <c r="JF5" s="11" t="str">
        <f t="shared" si="108"/>
        <v/>
      </c>
      <c r="JG5" s="11" t="str">
        <f t="shared" si="109"/>
        <v/>
      </c>
      <c r="JH5" s="11" t="str">
        <f t="shared" si="110"/>
        <v/>
      </c>
      <c r="JI5" s="11" t="str">
        <f t="shared" si="111"/>
        <v/>
      </c>
      <c r="JJ5" s="11" t="str">
        <f t="shared" si="112"/>
        <v/>
      </c>
      <c r="JK5" s="11" t="str">
        <f t="shared" si="113"/>
        <v/>
      </c>
      <c r="JL5" s="11" t="str">
        <f t="shared" si="114"/>
        <v/>
      </c>
      <c r="JM5" s="11" t="str">
        <f t="shared" si="115"/>
        <v/>
      </c>
      <c r="JN5" s="11" t="str">
        <f t="shared" si="116"/>
        <v/>
      </c>
      <c r="JO5" s="11" t="str">
        <f t="shared" si="117"/>
        <v/>
      </c>
      <c r="JP5" s="11" t="str">
        <f t="shared" si="118"/>
        <v/>
      </c>
      <c r="JQ5" s="11" t="str">
        <f t="shared" si="119"/>
        <v/>
      </c>
      <c r="JR5" s="11" t="str">
        <f t="shared" si="120"/>
        <v/>
      </c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36" t="str">
        <f t="shared" si="121"/>
        <v/>
      </c>
      <c r="KN5" s="36" t="str">
        <f t="shared" si="122"/>
        <v/>
      </c>
      <c r="KO5" s="36" t="str">
        <f t="shared" si="123"/>
        <v/>
      </c>
      <c r="KP5" s="36" t="str">
        <f t="shared" si="124"/>
        <v/>
      </c>
      <c r="KQ5" s="36" t="str">
        <f t="shared" si="125"/>
        <v/>
      </c>
      <c r="KR5" s="36" t="str">
        <f t="shared" si="126"/>
        <v/>
      </c>
      <c r="KS5" s="36" t="str">
        <f t="shared" si="127"/>
        <v/>
      </c>
      <c r="KT5" s="36" t="str">
        <f t="shared" si="128"/>
        <v/>
      </c>
      <c r="KU5" s="36" t="str">
        <f t="shared" si="129"/>
        <v/>
      </c>
      <c r="KV5" s="36" t="str">
        <f t="shared" si="130"/>
        <v/>
      </c>
      <c r="KW5" s="36" t="str">
        <f t="shared" si="131"/>
        <v/>
      </c>
      <c r="KX5" s="36" t="str">
        <f t="shared" si="132"/>
        <v/>
      </c>
      <c r="KY5" s="36" t="str">
        <f t="shared" si="133"/>
        <v/>
      </c>
      <c r="KZ5" s="36" t="str">
        <f t="shared" si="134"/>
        <v/>
      </c>
      <c r="LA5" s="16"/>
      <c r="LB5" s="16"/>
      <c r="LC5" s="16"/>
      <c r="LD5" s="16"/>
      <c r="LE5" s="16"/>
      <c r="LF5" s="16"/>
      <c r="LG5" s="16"/>
      <c r="LH5" s="16"/>
      <c r="LI5" s="16"/>
      <c r="LJ5" s="16"/>
      <c r="LK5" s="16"/>
      <c r="LL5" s="16"/>
      <c r="LM5" s="16"/>
      <c r="LN5" s="16"/>
      <c r="LO5" s="16"/>
      <c r="LP5" s="16"/>
      <c r="LQ5" s="16"/>
      <c r="LR5" s="16"/>
      <c r="LS5" s="16"/>
      <c r="LT5" s="16"/>
      <c r="LU5" s="11" t="str">
        <f t="shared" si="135"/>
        <v/>
      </c>
      <c r="LV5" s="11" t="str">
        <f t="shared" si="136"/>
        <v/>
      </c>
      <c r="LW5" s="11" t="str">
        <f t="shared" si="137"/>
        <v/>
      </c>
      <c r="LX5" s="11" t="str">
        <f t="shared" si="138"/>
        <v/>
      </c>
      <c r="LY5" s="11" t="str">
        <f t="shared" si="139"/>
        <v/>
      </c>
      <c r="LZ5" s="11" t="str">
        <f t="shared" si="140"/>
        <v/>
      </c>
      <c r="MA5" s="11" t="str">
        <f t="shared" si="141"/>
        <v/>
      </c>
      <c r="MB5" s="11" t="str">
        <f t="shared" si="142"/>
        <v/>
      </c>
      <c r="MC5" s="11" t="str">
        <f t="shared" si="143"/>
        <v/>
      </c>
      <c r="MD5" s="11" t="str">
        <f t="shared" si="144"/>
        <v/>
      </c>
      <c r="ME5" s="11" t="str">
        <f t="shared" si="145"/>
        <v/>
      </c>
      <c r="MF5" s="11" t="str">
        <f t="shared" si="146"/>
        <v/>
      </c>
      <c r="MG5" s="11" t="str">
        <f t="shared" si="147"/>
        <v/>
      </c>
      <c r="MH5" s="11" t="str">
        <f t="shared" si="148"/>
        <v/>
      </c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36" t="str">
        <f t="shared" si="149"/>
        <v/>
      </c>
      <c r="ND5" s="36" t="str">
        <f t="shared" si="150"/>
        <v/>
      </c>
      <c r="NE5" s="36" t="str">
        <f t="shared" si="151"/>
        <v/>
      </c>
      <c r="NF5" s="36" t="str">
        <f t="shared" si="152"/>
        <v/>
      </c>
      <c r="NG5" s="36" t="str">
        <f t="shared" si="153"/>
        <v/>
      </c>
      <c r="NH5" s="36" t="str">
        <f t="shared" si="154"/>
        <v/>
      </c>
      <c r="NI5" s="36" t="str">
        <f t="shared" si="155"/>
        <v/>
      </c>
      <c r="NJ5" s="36" t="str">
        <f t="shared" si="156"/>
        <v/>
      </c>
      <c r="NK5" s="36" t="str">
        <f t="shared" si="157"/>
        <v/>
      </c>
      <c r="NL5" s="36" t="str">
        <f t="shared" si="158"/>
        <v/>
      </c>
      <c r="NM5" s="36" t="str">
        <f t="shared" si="159"/>
        <v/>
      </c>
      <c r="NN5" s="36" t="str">
        <f t="shared" si="160"/>
        <v/>
      </c>
      <c r="NO5" s="36" t="str">
        <f t="shared" si="161"/>
        <v/>
      </c>
      <c r="NP5" s="36" t="str">
        <f t="shared" si="162"/>
        <v/>
      </c>
      <c r="NQ5" s="16"/>
      <c r="NR5" s="16"/>
      <c r="NS5" s="16"/>
      <c r="NT5" s="16"/>
      <c r="NU5" s="16"/>
      <c r="NV5" s="16"/>
      <c r="NW5" s="16"/>
      <c r="NX5" s="16"/>
      <c r="NY5" s="16"/>
      <c r="NZ5" s="16"/>
      <c r="OA5" s="16"/>
      <c r="OB5" s="16"/>
      <c r="OC5" s="16"/>
      <c r="OD5" s="16"/>
      <c r="OE5" s="16"/>
      <c r="OF5" s="16"/>
      <c r="OG5" s="16"/>
      <c r="OH5" s="16"/>
      <c r="OI5" s="16"/>
      <c r="OJ5" s="16"/>
      <c r="OK5" s="11" t="str">
        <f t="shared" si="163"/>
        <v/>
      </c>
      <c r="OL5" s="11" t="str">
        <f t="shared" si="164"/>
        <v/>
      </c>
      <c r="OM5" s="11" t="str">
        <f t="shared" si="165"/>
        <v/>
      </c>
      <c r="ON5" s="11" t="str">
        <f t="shared" si="166"/>
        <v/>
      </c>
      <c r="OO5" s="11" t="str">
        <f t="shared" si="167"/>
        <v/>
      </c>
      <c r="OP5" s="11" t="str">
        <f t="shared" si="168"/>
        <v/>
      </c>
      <c r="OQ5" s="11" t="str">
        <f t="shared" si="169"/>
        <v/>
      </c>
      <c r="OR5" s="11" t="str">
        <f t="shared" si="170"/>
        <v/>
      </c>
      <c r="OS5" s="11" t="str">
        <f t="shared" si="171"/>
        <v/>
      </c>
      <c r="OT5" s="11" t="str">
        <f t="shared" si="172"/>
        <v/>
      </c>
      <c r="OU5" s="11" t="str">
        <f t="shared" si="173"/>
        <v/>
      </c>
      <c r="OV5" s="11" t="str">
        <f t="shared" si="174"/>
        <v/>
      </c>
      <c r="OW5" s="11" t="str">
        <f t="shared" si="175"/>
        <v/>
      </c>
      <c r="OX5" s="11" t="str">
        <f t="shared" si="176"/>
        <v/>
      </c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36" t="str">
        <f t="shared" si="177"/>
        <v/>
      </c>
      <c r="PT5" s="36" t="str">
        <f t="shared" si="178"/>
        <v/>
      </c>
      <c r="PU5" s="36" t="str">
        <f t="shared" si="179"/>
        <v/>
      </c>
      <c r="PV5" s="36" t="str">
        <f t="shared" si="180"/>
        <v/>
      </c>
      <c r="PW5" s="36" t="str">
        <f t="shared" si="181"/>
        <v/>
      </c>
      <c r="PX5" s="36" t="str">
        <f t="shared" si="182"/>
        <v/>
      </c>
      <c r="PY5" s="36" t="str">
        <f t="shared" si="183"/>
        <v/>
      </c>
      <c r="PZ5" s="36" t="str">
        <f t="shared" si="184"/>
        <v/>
      </c>
      <c r="QA5" s="36" t="str">
        <f t="shared" si="185"/>
        <v/>
      </c>
      <c r="QB5" s="36" t="str">
        <f t="shared" si="186"/>
        <v/>
      </c>
      <c r="QC5" s="36" t="str">
        <f t="shared" si="187"/>
        <v/>
      </c>
      <c r="QD5" s="36" t="str">
        <f t="shared" si="188"/>
        <v/>
      </c>
      <c r="QE5" s="36" t="str">
        <f t="shared" si="189"/>
        <v/>
      </c>
      <c r="QF5" s="36" t="str">
        <f t="shared" si="190"/>
        <v/>
      </c>
      <c r="QG5" s="16"/>
      <c r="QH5" s="16"/>
      <c r="QI5" s="16"/>
      <c r="QJ5" s="16"/>
      <c r="QK5" s="16"/>
      <c r="QL5" s="16"/>
      <c r="QM5" s="16"/>
      <c r="QN5" s="16"/>
      <c r="QO5" s="16"/>
      <c r="QP5" s="16"/>
      <c r="QQ5" s="16"/>
      <c r="QR5" s="16"/>
      <c r="QS5" s="16"/>
      <c r="QT5" s="16"/>
      <c r="QU5" s="16"/>
      <c r="QV5" s="16"/>
      <c r="QW5" s="16"/>
      <c r="QX5" s="16"/>
      <c r="QY5" s="16"/>
      <c r="QZ5" s="16"/>
      <c r="RA5" s="11" t="str">
        <f t="shared" si="191"/>
        <v/>
      </c>
      <c r="RB5" s="11" t="str">
        <f t="shared" si="192"/>
        <v/>
      </c>
      <c r="RC5" s="11" t="str">
        <f t="shared" si="193"/>
        <v/>
      </c>
      <c r="RD5" s="11" t="str">
        <f t="shared" si="194"/>
        <v/>
      </c>
      <c r="RE5" s="11" t="str">
        <f t="shared" si="195"/>
        <v/>
      </c>
      <c r="RF5" s="11" t="str">
        <f t="shared" si="196"/>
        <v/>
      </c>
      <c r="RG5" s="11" t="str">
        <f t="shared" si="197"/>
        <v/>
      </c>
      <c r="RH5" s="11" t="str">
        <f t="shared" si="198"/>
        <v/>
      </c>
      <c r="RI5" s="11" t="str">
        <f t="shared" si="199"/>
        <v/>
      </c>
      <c r="RJ5" s="11" t="str">
        <f t="shared" si="200"/>
        <v/>
      </c>
      <c r="RK5" s="11" t="str">
        <f t="shared" si="201"/>
        <v/>
      </c>
      <c r="RL5" s="11" t="str">
        <f t="shared" si="202"/>
        <v/>
      </c>
      <c r="RM5" s="11" t="str">
        <f t="shared" si="203"/>
        <v/>
      </c>
      <c r="RN5" s="11" t="str">
        <f t="shared" si="204"/>
        <v/>
      </c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36" t="str">
        <f t="shared" si="205"/>
        <v/>
      </c>
      <c r="SJ5" s="36" t="str">
        <f t="shared" si="206"/>
        <v/>
      </c>
      <c r="SK5" s="36" t="str">
        <f t="shared" si="207"/>
        <v/>
      </c>
      <c r="SL5" s="36" t="str">
        <f t="shared" si="208"/>
        <v/>
      </c>
      <c r="SM5" s="36" t="str">
        <f t="shared" si="209"/>
        <v/>
      </c>
      <c r="SN5" s="36" t="str">
        <f t="shared" si="210"/>
        <v/>
      </c>
      <c r="SO5" s="36" t="str">
        <f t="shared" si="211"/>
        <v/>
      </c>
      <c r="SP5" s="36" t="str">
        <f t="shared" si="212"/>
        <v/>
      </c>
      <c r="SQ5" s="36" t="str">
        <f t="shared" si="213"/>
        <v/>
      </c>
      <c r="SR5" s="36" t="str">
        <f t="shared" si="214"/>
        <v/>
      </c>
      <c r="SS5" s="36" t="str">
        <f t="shared" si="215"/>
        <v/>
      </c>
      <c r="ST5" s="36" t="str">
        <f t="shared" si="216"/>
        <v/>
      </c>
      <c r="SU5" s="36" t="str">
        <f t="shared" si="217"/>
        <v/>
      </c>
      <c r="SV5" s="36" t="str">
        <f t="shared" si="218"/>
        <v/>
      </c>
      <c r="SW5" s="16"/>
      <c r="SX5" s="16"/>
      <c r="SY5" s="16"/>
      <c r="SZ5" s="16"/>
      <c r="TA5" s="16"/>
      <c r="TB5" s="16"/>
      <c r="TC5" s="16"/>
      <c r="TD5" s="16"/>
      <c r="TE5" s="16"/>
      <c r="TF5" s="16"/>
      <c r="TG5" s="16"/>
      <c r="TH5" s="16"/>
      <c r="TI5" s="16"/>
      <c r="TJ5" s="16"/>
      <c r="TK5" s="16"/>
      <c r="TL5" s="16"/>
      <c r="TM5" s="16"/>
      <c r="TN5" s="16"/>
      <c r="TO5" s="16"/>
      <c r="TP5" s="16"/>
      <c r="TQ5" s="11" t="str">
        <f t="shared" si="219"/>
        <v/>
      </c>
      <c r="TR5" s="11" t="str">
        <f t="shared" si="220"/>
        <v/>
      </c>
      <c r="TS5" s="11" t="str">
        <f t="shared" si="221"/>
        <v/>
      </c>
      <c r="TT5" s="11" t="str">
        <f t="shared" si="222"/>
        <v/>
      </c>
      <c r="TU5" s="11" t="str">
        <f t="shared" si="223"/>
        <v/>
      </c>
      <c r="TV5" s="11" t="str">
        <f t="shared" si="224"/>
        <v/>
      </c>
      <c r="TW5" s="11" t="str">
        <f t="shared" si="225"/>
        <v/>
      </c>
      <c r="TX5" s="11" t="str">
        <f t="shared" si="226"/>
        <v/>
      </c>
      <c r="TY5" s="11" t="str">
        <f t="shared" si="227"/>
        <v/>
      </c>
      <c r="TZ5" s="11" t="str">
        <f t="shared" si="228"/>
        <v/>
      </c>
      <c r="UA5" s="11" t="str">
        <f t="shared" si="229"/>
        <v/>
      </c>
      <c r="UB5" s="11" t="str">
        <f t="shared" si="230"/>
        <v/>
      </c>
      <c r="UC5" s="11" t="str">
        <f t="shared" si="231"/>
        <v/>
      </c>
      <c r="UD5" s="11" t="str">
        <f t="shared" si="232"/>
        <v/>
      </c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36" t="str">
        <f t="shared" si="233"/>
        <v/>
      </c>
      <c r="UZ5" s="36" t="str">
        <f t="shared" si="234"/>
        <v/>
      </c>
      <c r="VA5" s="36" t="str">
        <f t="shared" si="235"/>
        <v/>
      </c>
      <c r="VB5" s="36" t="str">
        <f t="shared" si="236"/>
        <v/>
      </c>
      <c r="VC5" s="36" t="str">
        <f t="shared" si="237"/>
        <v/>
      </c>
      <c r="VD5" s="36" t="str">
        <f t="shared" si="238"/>
        <v/>
      </c>
      <c r="VE5" s="36" t="str">
        <f t="shared" si="239"/>
        <v/>
      </c>
      <c r="VF5" s="36" t="str">
        <f t="shared" si="240"/>
        <v/>
      </c>
      <c r="VG5" s="36" t="str">
        <f t="shared" si="241"/>
        <v/>
      </c>
      <c r="VH5" s="36" t="str">
        <f t="shared" si="242"/>
        <v/>
      </c>
      <c r="VI5" s="36" t="str">
        <f t="shared" si="243"/>
        <v/>
      </c>
      <c r="VJ5" s="36" t="str">
        <f t="shared" si="244"/>
        <v/>
      </c>
      <c r="VK5" s="36" t="str">
        <f t="shared" si="245"/>
        <v/>
      </c>
      <c r="VL5" s="36" t="str">
        <f t="shared" si="246"/>
        <v/>
      </c>
    </row>
    <row r="6" spans="1:584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1</v>
      </c>
      <c r="B6" s="5" t="s">
        <v>210</v>
      </c>
      <c r="C6" s="4" t="s">
        <v>6</v>
      </c>
      <c r="D6" s="4">
        <v>2012</v>
      </c>
      <c r="E6" s="9">
        <f t="shared" si="0"/>
        <v>145.83001458300512</v>
      </c>
      <c r="F6" s="3" t="str">
        <f t="shared" si="1"/>
        <v/>
      </c>
      <c r="G6" s="3" t="str">
        <f t="shared" si="2"/>
        <v>P</v>
      </c>
      <c r="H6" s="32" t="str">
        <f t="shared" si="3"/>
        <v>No DD</v>
      </c>
      <c r="I6" s="3"/>
      <c r="J6" s="8">
        <f t="shared" si="4"/>
        <v>42.43</v>
      </c>
      <c r="K6" s="8" t="str">
        <f t="shared" si="5"/>
        <v>2026 Elite Canada</v>
      </c>
      <c r="L6" s="8">
        <f t="shared" si="6"/>
        <v>51.36</v>
      </c>
      <c r="M6" s="8" t="str">
        <f t="shared" si="7"/>
        <v>2026 Elite Canada</v>
      </c>
      <c r="N6" s="8">
        <f t="shared" si="8"/>
        <v>52.040000000000006</v>
      </c>
      <c r="O6" s="8" t="str">
        <f t="shared" si="9"/>
        <v>2026 Elite Canada</v>
      </c>
      <c r="P6" s="8">
        <f t="shared" si="10"/>
        <v>0</v>
      </c>
      <c r="Q6" s="11" t="str">
        <f t="shared" si="11"/>
        <v/>
      </c>
      <c r="R6" s="8" t="str">
        <f t="shared" si="12"/>
        <v/>
      </c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23"/>
      <c r="AI6" s="34" t="str">
        <f t="shared" si="13"/>
        <v/>
      </c>
      <c r="AJ6" s="34" t="str">
        <f t="shared" si="14"/>
        <v/>
      </c>
      <c r="AK6" s="36" t="str">
        <f t="shared" si="15"/>
        <v/>
      </c>
      <c r="AL6" s="36" t="str">
        <f t="shared" si="16"/>
        <v/>
      </c>
      <c r="AM6" s="36" t="str">
        <f t="shared" si="17"/>
        <v/>
      </c>
      <c r="AN6" s="36" t="str">
        <f t="shared" si="18"/>
        <v/>
      </c>
      <c r="AO6" s="36" t="str">
        <f t="shared" si="19"/>
        <v/>
      </c>
      <c r="AP6" s="36" t="str">
        <f t="shared" si="20"/>
        <v/>
      </c>
      <c r="AQ6" s="36" t="str">
        <f t="shared" si="21"/>
        <v/>
      </c>
      <c r="AR6" s="36" t="str">
        <f t="shared" si="22"/>
        <v/>
      </c>
      <c r="AS6" s="36" t="str">
        <f t="shared" si="23"/>
        <v/>
      </c>
      <c r="AT6" s="22">
        <v>18.2</v>
      </c>
      <c r="AU6" s="22">
        <v>9.6</v>
      </c>
      <c r="AV6" s="22">
        <v>0</v>
      </c>
      <c r="AW6" s="22">
        <v>14.63</v>
      </c>
      <c r="AX6" s="22">
        <v>0</v>
      </c>
      <c r="AY6" s="22">
        <v>15.9</v>
      </c>
      <c r="AZ6" s="22">
        <v>9.5</v>
      </c>
      <c r="BA6" s="22">
        <v>11.8</v>
      </c>
      <c r="BB6" s="22">
        <v>14.16</v>
      </c>
      <c r="BC6" s="22">
        <v>0</v>
      </c>
      <c r="BD6" s="22">
        <v>16.3</v>
      </c>
      <c r="BE6" s="22">
        <v>9.6</v>
      </c>
      <c r="BF6" s="22">
        <v>11.8</v>
      </c>
      <c r="BG6" s="22">
        <v>14.34</v>
      </c>
      <c r="BH6" s="22">
        <v>0</v>
      </c>
      <c r="BI6" s="24"/>
      <c r="BJ6" s="35" t="str">
        <f t="shared" si="24"/>
        <v/>
      </c>
      <c r="BK6" s="35">
        <f t="shared" si="25"/>
        <v>14.63</v>
      </c>
      <c r="BL6" s="11">
        <f t="shared" si="26"/>
        <v>42.43</v>
      </c>
      <c r="BM6" s="11">
        <f t="shared" si="27"/>
        <v>11.8</v>
      </c>
      <c r="BN6" s="11">
        <f t="shared" si="28"/>
        <v>14.16</v>
      </c>
      <c r="BO6" s="11">
        <f t="shared" si="29"/>
        <v>51.36</v>
      </c>
      <c r="BP6" s="11">
        <f t="shared" si="30"/>
        <v>93.789999999999992</v>
      </c>
      <c r="BQ6" s="11">
        <f t="shared" si="31"/>
        <v>11.8</v>
      </c>
      <c r="BR6" s="11">
        <f t="shared" si="32"/>
        <v>14.34</v>
      </c>
      <c r="BS6" s="11">
        <f t="shared" si="33"/>
        <v>52.040000000000006</v>
      </c>
      <c r="BT6" s="11">
        <f t="shared" si="34"/>
        <v>145.82999999999998</v>
      </c>
      <c r="BU6" s="47" t="str">
        <f t="shared" si="35"/>
        <v/>
      </c>
      <c r="BV6" s="47" t="str">
        <f t="shared" si="36"/>
        <v/>
      </c>
      <c r="BW6" s="15">
        <v>17.3</v>
      </c>
      <c r="BX6" s="15">
        <v>9.6</v>
      </c>
      <c r="BY6" s="15">
        <v>14.63</v>
      </c>
      <c r="BZ6" s="15">
        <v>0</v>
      </c>
      <c r="CA6" s="15">
        <v>0</v>
      </c>
      <c r="CB6" s="15">
        <v>15.3</v>
      </c>
      <c r="CC6" s="15">
        <v>9.5</v>
      </c>
      <c r="CD6" s="15">
        <v>11.8</v>
      </c>
      <c r="CE6" s="15">
        <v>13.96</v>
      </c>
      <c r="CF6" s="15">
        <v>0</v>
      </c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36">
        <f t="shared" si="37"/>
        <v>14.63</v>
      </c>
      <c r="CR6" s="36" t="str">
        <f t="shared" si="38"/>
        <v/>
      </c>
      <c r="CS6" s="36">
        <f t="shared" si="39"/>
        <v>41.53</v>
      </c>
      <c r="CT6" s="36">
        <f t="shared" si="40"/>
        <v>11.8</v>
      </c>
      <c r="CU6" s="36">
        <f t="shared" si="41"/>
        <v>13.96</v>
      </c>
      <c r="CV6" s="36">
        <f t="shared" si="42"/>
        <v>50.56</v>
      </c>
      <c r="CW6" s="36">
        <f t="shared" si="43"/>
        <v>92.09</v>
      </c>
      <c r="CX6" s="36" t="str">
        <f t="shared" si="44"/>
        <v/>
      </c>
      <c r="CY6" s="36" t="str">
        <f t="shared" si="45"/>
        <v/>
      </c>
      <c r="CZ6" s="36" t="str">
        <f t="shared" si="46"/>
        <v/>
      </c>
      <c r="DA6" s="36" t="str">
        <f t="shared" si="47"/>
        <v/>
      </c>
      <c r="DB6" s="36" t="str">
        <f t="shared" si="48"/>
        <v/>
      </c>
      <c r="DC6" s="36" t="str">
        <f t="shared" si="49"/>
        <v/>
      </c>
      <c r="DD6" s="36">
        <f t="shared" si="50"/>
        <v>92.09</v>
      </c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1" t="str">
        <f t="shared" si="51"/>
        <v/>
      </c>
      <c r="DZ6" s="11" t="str">
        <f t="shared" si="52"/>
        <v/>
      </c>
      <c r="EA6" s="11" t="str">
        <f t="shared" si="53"/>
        <v/>
      </c>
      <c r="EB6" s="11" t="str">
        <f t="shared" si="54"/>
        <v/>
      </c>
      <c r="EC6" s="11" t="str">
        <f t="shared" si="55"/>
        <v/>
      </c>
      <c r="ED6" s="11" t="str">
        <f t="shared" si="56"/>
        <v/>
      </c>
      <c r="EE6" s="11" t="str">
        <f t="shared" si="57"/>
        <v/>
      </c>
      <c r="EF6" s="11" t="str">
        <f t="shared" si="58"/>
        <v/>
      </c>
      <c r="EG6" s="11" t="str">
        <f t="shared" si="59"/>
        <v/>
      </c>
      <c r="EH6" s="11" t="str">
        <f t="shared" si="60"/>
        <v/>
      </c>
      <c r="EI6" s="11" t="str">
        <f t="shared" si="61"/>
        <v/>
      </c>
      <c r="EJ6" s="11" t="str">
        <f t="shared" si="62"/>
        <v/>
      </c>
      <c r="EK6" s="11" t="str">
        <f t="shared" si="63"/>
        <v/>
      </c>
      <c r="EL6" s="11" t="str">
        <f t="shared" si="64"/>
        <v/>
      </c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36" t="str">
        <f t="shared" si="65"/>
        <v/>
      </c>
      <c r="FH6" s="36" t="str">
        <f t="shared" si="66"/>
        <v/>
      </c>
      <c r="FI6" s="36" t="str">
        <f t="shared" si="67"/>
        <v/>
      </c>
      <c r="FJ6" s="36" t="str">
        <f t="shared" si="68"/>
        <v/>
      </c>
      <c r="FK6" s="36" t="str">
        <f t="shared" si="69"/>
        <v/>
      </c>
      <c r="FL6" s="36" t="str">
        <f t="shared" si="70"/>
        <v/>
      </c>
      <c r="FM6" s="36" t="str">
        <f t="shared" si="71"/>
        <v/>
      </c>
      <c r="FN6" s="36" t="str">
        <f t="shared" si="72"/>
        <v/>
      </c>
      <c r="FO6" s="36" t="str">
        <f t="shared" si="73"/>
        <v/>
      </c>
      <c r="FP6" s="36" t="str">
        <f t="shared" si="74"/>
        <v/>
      </c>
      <c r="FQ6" s="36" t="str">
        <f t="shared" si="75"/>
        <v/>
      </c>
      <c r="FR6" s="36" t="str">
        <f t="shared" si="76"/>
        <v/>
      </c>
      <c r="FS6" s="36" t="str">
        <f t="shared" si="77"/>
        <v/>
      </c>
      <c r="FT6" s="36" t="str">
        <f t="shared" si="78"/>
        <v/>
      </c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1" t="str">
        <f t="shared" si="79"/>
        <v/>
      </c>
      <c r="GP6" s="11" t="str">
        <f t="shared" si="80"/>
        <v/>
      </c>
      <c r="GQ6" s="11" t="str">
        <f t="shared" si="81"/>
        <v/>
      </c>
      <c r="GR6" s="11" t="str">
        <f t="shared" si="82"/>
        <v/>
      </c>
      <c r="GS6" s="11" t="str">
        <f t="shared" si="83"/>
        <v/>
      </c>
      <c r="GT6" s="11" t="str">
        <f t="shared" si="84"/>
        <v/>
      </c>
      <c r="GU6" s="11" t="str">
        <f t="shared" si="85"/>
        <v/>
      </c>
      <c r="GV6" s="11" t="str">
        <f t="shared" si="86"/>
        <v/>
      </c>
      <c r="GW6" s="11" t="str">
        <f t="shared" si="87"/>
        <v/>
      </c>
      <c r="GX6" s="11" t="str">
        <f t="shared" si="88"/>
        <v/>
      </c>
      <c r="GY6" s="11" t="str">
        <f t="shared" si="89"/>
        <v/>
      </c>
      <c r="GZ6" s="11" t="str">
        <f t="shared" si="90"/>
        <v/>
      </c>
      <c r="HA6" s="11" t="str">
        <f t="shared" si="91"/>
        <v/>
      </c>
      <c r="HB6" s="11" t="str">
        <f t="shared" si="92"/>
        <v/>
      </c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36" t="str">
        <f t="shared" si="93"/>
        <v/>
      </c>
      <c r="HX6" s="36" t="str">
        <f t="shared" si="94"/>
        <v/>
      </c>
      <c r="HY6" s="36" t="str">
        <f t="shared" si="95"/>
        <v/>
      </c>
      <c r="HZ6" s="36" t="str">
        <f t="shared" si="96"/>
        <v/>
      </c>
      <c r="IA6" s="36" t="str">
        <f t="shared" si="97"/>
        <v/>
      </c>
      <c r="IB6" s="36" t="str">
        <f t="shared" si="98"/>
        <v/>
      </c>
      <c r="IC6" s="36" t="str">
        <f t="shared" si="99"/>
        <v/>
      </c>
      <c r="ID6" s="36" t="str">
        <f t="shared" si="100"/>
        <v/>
      </c>
      <c r="IE6" s="36" t="str">
        <f t="shared" si="101"/>
        <v/>
      </c>
      <c r="IF6" s="36" t="str">
        <f t="shared" si="102"/>
        <v/>
      </c>
      <c r="IG6" s="36" t="str">
        <f t="shared" si="103"/>
        <v/>
      </c>
      <c r="IH6" s="36" t="str">
        <f t="shared" si="104"/>
        <v/>
      </c>
      <c r="II6" s="36" t="str">
        <f t="shared" si="105"/>
        <v/>
      </c>
      <c r="IJ6" s="36" t="str">
        <f t="shared" si="106"/>
        <v/>
      </c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1" t="str">
        <f t="shared" si="107"/>
        <v/>
      </c>
      <c r="JF6" s="11" t="str">
        <f t="shared" si="108"/>
        <v/>
      </c>
      <c r="JG6" s="11" t="str">
        <f t="shared" si="109"/>
        <v/>
      </c>
      <c r="JH6" s="11" t="str">
        <f t="shared" si="110"/>
        <v/>
      </c>
      <c r="JI6" s="11" t="str">
        <f t="shared" si="111"/>
        <v/>
      </c>
      <c r="JJ6" s="11" t="str">
        <f t="shared" si="112"/>
        <v/>
      </c>
      <c r="JK6" s="11" t="str">
        <f t="shared" si="113"/>
        <v/>
      </c>
      <c r="JL6" s="11" t="str">
        <f t="shared" si="114"/>
        <v/>
      </c>
      <c r="JM6" s="11" t="str">
        <f t="shared" si="115"/>
        <v/>
      </c>
      <c r="JN6" s="11" t="str">
        <f t="shared" si="116"/>
        <v/>
      </c>
      <c r="JO6" s="11" t="str">
        <f t="shared" si="117"/>
        <v/>
      </c>
      <c r="JP6" s="11" t="str">
        <f t="shared" si="118"/>
        <v/>
      </c>
      <c r="JQ6" s="11" t="str">
        <f t="shared" si="119"/>
        <v/>
      </c>
      <c r="JR6" s="11" t="str">
        <f t="shared" si="120"/>
        <v/>
      </c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36" t="str">
        <f t="shared" si="121"/>
        <v/>
      </c>
      <c r="KN6" s="36" t="str">
        <f t="shared" si="122"/>
        <v/>
      </c>
      <c r="KO6" s="36" t="str">
        <f t="shared" si="123"/>
        <v/>
      </c>
      <c r="KP6" s="36" t="str">
        <f t="shared" si="124"/>
        <v/>
      </c>
      <c r="KQ6" s="36" t="str">
        <f t="shared" si="125"/>
        <v/>
      </c>
      <c r="KR6" s="36" t="str">
        <f t="shared" si="126"/>
        <v/>
      </c>
      <c r="KS6" s="36" t="str">
        <f t="shared" si="127"/>
        <v/>
      </c>
      <c r="KT6" s="36" t="str">
        <f t="shared" si="128"/>
        <v/>
      </c>
      <c r="KU6" s="36" t="str">
        <f t="shared" si="129"/>
        <v/>
      </c>
      <c r="KV6" s="36" t="str">
        <f t="shared" si="130"/>
        <v/>
      </c>
      <c r="KW6" s="36" t="str">
        <f t="shared" si="131"/>
        <v/>
      </c>
      <c r="KX6" s="36" t="str">
        <f t="shared" si="132"/>
        <v/>
      </c>
      <c r="KY6" s="36" t="str">
        <f t="shared" si="133"/>
        <v/>
      </c>
      <c r="KZ6" s="36" t="str">
        <f t="shared" si="134"/>
        <v/>
      </c>
      <c r="LA6" s="16"/>
      <c r="LB6" s="16"/>
      <c r="LC6" s="16"/>
      <c r="LD6" s="16"/>
      <c r="LE6" s="16"/>
      <c r="LF6" s="16"/>
      <c r="LG6" s="16"/>
      <c r="LH6" s="16"/>
      <c r="LI6" s="16"/>
      <c r="LJ6" s="16"/>
      <c r="LK6" s="16"/>
      <c r="LL6" s="16"/>
      <c r="LM6" s="16"/>
      <c r="LN6" s="16"/>
      <c r="LO6" s="16"/>
      <c r="LP6" s="16"/>
      <c r="LQ6" s="16"/>
      <c r="LR6" s="16"/>
      <c r="LS6" s="16"/>
      <c r="LT6" s="16"/>
      <c r="LU6" s="11" t="str">
        <f t="shared" si="135"/>
        <v/>
      </c>
      <c r="LV6" s="11" t="str">
        <f t="shared" si="136"/>
        <v/>
      </c>
      <c r="LW6" s="11" t="str">
        <f t="shared" si="137"/>
        <v/>
      </c>
      <c r="LX6" s="11" t="str">
        <f t="shared" si="138"/>
        <v/>
      </c>
      <c r="LY6" s="11" t="str">
        <f t="shared" si="139"/>
        <v/>
      </c>
      <c r="LZ6" s="11" t="str">
        <f t="shared" si="140"/>
        <v/>
      </c>
      <c r="MA6" s="11" t="str">
        <f t="shared" si="141"/>
        <v/>
      </c>
      <c r="MB6" s="11" t="str">
        <f t="shared" si="142"/>
        <v/>
      </c>
      <c r="MC6" s="11" t="str">
        <f t="shared" si="143"/>
        <v/>
      </c>
      <c r="MD6" s="11" t="str">
        <f t="shared" si="144"/>
        <v/>
      </c>
      <c r="ME6" s="11" t="str">
        <f t="shared" si="145"/>
        <v/>
      </c>
      <c r="MF6" s="11" t="str">
        <f t="shared" si="146"/>
        <v/>
      </c>
      <c r="MG6" s="11" t="str">
        <f t="shared" si="147"/>
        <v/>
      </c>
      <c r="MH6" s="11" t="str">
        <f t="shared" si="148"/>
        <v/>
      </c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36" t="str">
        <f t="shared" si="149"/>
        <v/>
      </c>
      <c r="ND6" s="36" t="str">
        <f t="shared" si="150"/>
        <v/>
      </c>
      <c r="NE6" s="36" t="str">
        <f t="shared" si="151"/>
        <v/>
      </c>
      <c r="NF6" s="36" t="str">
        <f t="shared" si="152"/>
        <v/>
      </c>
      <c r="NG6" s="36" t="str">
        <f t="shared" si="153"/>
        <v/>
      </c>
      <c r="NH6" s="36" t="str">
        <f t="shared" si="154"/>
        <v/>
      </c>
      <c r="NI6" s="36" t="str">
        <f t="shared" si="155"/>
        <v/>
      </c>
      <c r="NJ6" s="36" t="str">
        <f t="shared" si="156"/>
        <v/>
      </c>
      <c r="NK6" s="36" t="str">
        <f t="shared" si="157"/>
        <v/>
      </c>
      <c r="NL6" s="36" t="str">
        <f t="shared" si="158"/>
        <v/>
      </c>
      <c r="NM6" s="36" t="str">
        <f t="shared" si="159"/>
        <v/>
      </c>
      <c r="NN6" s="36" t="str">
        <f t="shared" si="160"/>
        <v/>
      </c>
      <c r="NO6" s="36" t="str">
        <f t="shared" si="161"/>
        <v/>
      </c>
      <c r="NP6" s="36" t="str">
        <f t="shared" si="162"/>
        <v/>
      </c>
      <c r="NQ6" s="16"/>
      <c r="NR6" s="16"/>
      <c r="NS6" s="16"/>
      <c r="NT6" s="16"/>
      <c r="NU6" s="16"/>
      <c r="NV6" s="16"/>
      <c r="NW6" s="16"/>
      <c r="NX6" s="16"/>
      <c r="NY6" s="16"/>
      <c r="NZ6" s="16"/>
      <c r="OA6" s="16"/>
      <c r="OB6" s="16"/>
      <c r="OC6" s="16"/>
      <c r="OD6" s="16"/>
      <c r="OE6" s="16"/>
      <c r="OF6" s="16"/>
      <c r="OG6" s="16"/>
      <c r="OH6" s="16"/>
      <c r="OI6" s="16"/>
      <c r="OJ6" s="16"/>
      <c r="OK6" s="11" t="str">
        <f t="shared" si="163"/>
        <v/>
      </c>
      <c r="OL6" s="11" t="str">
        <f t="shared" si="164"/>
        <v/>
      </c>
      <c r="OM6" s="11" t="str">
        <f t="shared" si="165"/>
        <v/>
      </c>
      <c r="ON6" s="11" t="str">
        <f t="shared" si="166"/>
        <v/>
      </c>
      <c r="OO6" s="11" t="str">
        <f t="shared" si="167"/>
        <v/>
      </c>
      <c r="OP6" s="11" t="str">
        <f t="shared" si="168"/>
        <v/>
      </c>
      <c r="OQ6" s="11" t="str">
        <f t="shared" si="169"/>
        <v/>
      </c>
      <c r="OR6" s="11" t="str">
        <f t="shared" si="170"/>
        <v/>
      </c>
      <c r="OS6" s="11" t="str">
        <f t="shared" si="171"/>
        <v/>
      </c>
      <c r="OT6" s="11" t="str">
        <f t="shared" si="172"/>
        <v/>
      </c>
      <c r="OU6" s="11" t="str">
        <f t="shared" si="173"/>
        <v/>
      </c>
      <c r="OV6" s="11" t="str">
        <f t="shared" si="174"/>
        <v/>
      </c>
      <c r="OW6" s="11" t="str">
        <f t="shared" si="175"/>
        <v/>
      </c>
      <c r="OX6" s="11" t="str">
        <f t="shared" si="176"/>
        <v/>
      </c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36" t="str">
        <f t="shared" si="177"/>
        <v/>
      </c>
      <c r="PT6" s="36" t="str">
        <f t="shared" si="178"/>
        <v/>
      </c>
      <c r="PU6" s="36" t="str">
        <f t="shared" si="179"/>
        <v/>
      </c>
      <c r="PV6" s="36" t="str">
        <f t="shared" si="180"/>
        <v/>
      </c>
      <c r="PW6" s="36" t="str">
        <f t="shared" si="181"/>
        <v/>
      </c>
      <c r="PX6" s="36" t="str">
        <f t="shared" si="182"/>
        <v/>
      </c>
      <c r="PY6" s="36" t="str">
        <f t="shared" si="183"/>
        <v/>
      </c>
      <c r="PZ6" s="36" t="str">
        <f t="shared" si="184"/>
        <v/>
      </c>
      <c r="QA6" s="36" t="str">
        <f t="shared" si="185"/>
        <v/>
      </c>
      <c r="QB6" s="36" t="str">
        <f t="shared" si="186"/>
        <v/>
      </c>
      <c r="QC6" s="36" t="str">
        <f t="shared" si="187"/>
        <v/>
      </c>
      <c r="QD6" s="36" t="str">
        <f t="shared" si="188"/>
        <v/>
      </c>
      <c r="QE6" s="36" t="str">
        <f t="shared" si="189"/>
        <v/>
      </c>
      <c r="QF6" s="36" t="str">
        <f t="shared" si="190"/>
        <v/>
      </c>
      <c r="QG6" s="16"/>
      <c r="QH6" s="16"/>
      <c r="QI6" s="16"/>
      <c r="QJ6" s="16"/>
      <c r="QK6" s="16"/>
      <c r="QL6" s="16"/>
      <c r="QM6" s="16"/>
      <c r="QN6" s="16"/>
      <c r="QO6" s="16"/>
      <c r="QP6" s="16"/>
      <c r="QQ6" s="16"/>
      <c r="QR6" s="16"/>
      <c r="QS6" s="16"/>
      <c r="QT6" s="16"/>
      <c r="QU6" s="16"/>
      <c r="QV6" s="16"/>
      <c r="QW6" s="16"/>
      <c r="QX6" s="16"/>
      <c r="QY6" s="16"/>
      <c r="QZ6" s="16"/>
      <c r="RA6" s="11" t="str">
        <f t="shared" si="191"/>
        <v/>
      </c>
      <c r="RB6" s="11" t="str">
        <f t="shared" si="192"/>
        <v/>
      </c>
      <c r="RC6" s="11" t="str">
        <f t="shared" si="193"/>
        <v/>
      </c>
      <c r="RD6" s="11" t="str">
        <f t="shared" si="194"/>
        <v/>
      </c>
      <c r="RE6" s="11" t="str">
        <f t="shared" si="195"/>
        <v/>
      </c>
      <c r="RF6" s="11" t="str">
        <f t="shared" si="196"/>
        <v/>
      </c>
      <c r="RG6" s="11" t="str">
        <f t="shared" si="197"/>
        <v/>
      </c>
      <c r="RH6" s="11" t="str">
        <f t="shared" si="198"/>
        <v/>
      </c>
      <c r="RI6" s="11" t="str">
        <f t="shared" si="199"/>
        <v/>
      </c>
      <c r="RJ6" s="11" t="str">
        <f t="shared" si="200"/>
        <v/>
      </c>
      <c r="RK6" s="11" t="str">
        <f t="shared" si="201"/>
        <v/>
      </c>
      <c r="RL6" s="11" t="str">
        <f t="shared" si="202"/>
        <v/>
      </c>
      <c r="RM6" s="11" t="str">
        <f t="shared" si="203"/>
        <v/>
      </c>
      <c r="RN6" s="11" t="str">
        <f t="shared" si="204"/>
        <v/>
      </c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36" t="str">
        <f t="shared" si="205"/>
        <v/>
      </c>
      <c r="SJ6" s="36" t="str">
        <f t="shared" si="206"/>
        <v/>
      </c>
      <c r="SK6" s="36" t="str">
        <f t="shared" si="207"/>
        <v/>
      </c>
      <c r="SL6" s="36" t="str">
        <f t="shared" si="208"/>
        <v/>
      </c>
      <c r="SM6" s="36" t="str">
        <f t="shared" si="209"/>
        <v/>
      </c>
      <c r="SN6" s="36" t="str">
        <f t="shared" si="210"/>
        <v/>
      </c>
      <c r="SO6" s="36" t="str">
        <f t="shared" si="211"/>
        <v/>
      </c>
      <c r="SP6" s="36" t="str">
        <f t="shared" si="212"/>
        <v/>
      </c>
      <c r="SQ6" s="36" t="str">
        <f t="shared" si="213"/>
        <v/>
      </c>
      <c r="SR6" s="36" t="str">
        <f t="shared" si="214"/>
        <v/>
      </c>
      <c r="SS6" s="36" t="str">
        <f t="shared" si="215"/>
        <v/>
      </c>
      <c r="ST6" s="36" t="str">
        <f t="shared" si="216"/>
        <v/>
      </c>
      <c r="SU6" s="36" t="str">
        <f t="shared" si="217"/>
        <v/>
      </c>
      <c r="SV6" s="36" t="str">
        <f t="shared" si="218"/>
        <v/>
      </c>
      <c r="SW6" s="16"/>
      <c r="SX6" s="16"/>
      <c r="SY6" s="16"/>
      <c r="SZ6" s="16"/>
      <c r="TA6" s="16"/>
      <c r="TB6" s="16"/>
      <c r="TC6" s="16"/>
      <c r="TD6" s="16"/>
      <c r="TE6" s="16"/>
      <c r="TF6" s="16"/>
      <c r="TG6" s="16"/>
      <c r="TH6" s="16"/>
      <c r="TI6" s="16"/>
      <c r="TJ6" s="16"/>
      <c r="TK6" s="16"/>
      <c r="TL6" s="16"/>
      <c r="TM6" s="16"/>
      <c r="TN6" s="16"/>
      <c r="TO6" s="16"/>
      <c r="TP6" s="16"/>
      <c r="TQ6" s="11" t="str">
        <f t="shared" si="219"/>
        <v/>
      </c>
      <c r="TR6" s="11" t="str">
        <f t="shared" si="220"/>
        <v/>
      </c>
      <c r="TS6" s="11" t="str">
        <f t="shared" si="221"/>
        <v/>
      </c>
      <c r="TT6" s="11" t="str">
        <f t="shared" si="222"/>
        <v/>
      </c>
      <c r="TU6" s="11" t="str">
        <f t="shared" si="223"/>
        <v/>
      </c>
      <c r="TV6" s="11" t="str">
        <f t="shared" si="224"/>
        <v/>
      </c>
      <c r="TW6" s="11" t="str">
        <f t="shared" si="225"/>
        <v/>
      </c>
      <c r="TX6" s="11" t="str">
        <f t="shared" si="226"/>
        <v/>
      </c>
      <c r="TY6" s="11" t="str">
        <f t="shared" si="227"/>
        <v/>
      </c>
      <c r="TZ6" s="11" t="str">
        <f t="shared" si="228"/>
        <v/>
      </c>
      <c r="UA6" s="11" t="str">
        <f t="shared" si="229"/>
        <v/>
      </c>
      <c r="UB6" s="11" t="str">
        <f t="shared" si="230"/>
        <v/>
      </c>
      <c r="UC6" s="11" t="str">
        <f t="shared" si="231"/>
        <v/>
      </c>
      <c r="UD6" s="11" t="str">
        <f t="shared" si="232"/>
        <v/>
      </c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36" t="str">
        <f t="shared" si="233"/>
        <v/>
      </c>
      <c r="UZ6" s="36" t="str">
        <f t="shared" si="234"/>
        <v/>
      </c>
      <c r="VA6" s="36" t="str">
        <f t="shared" si="235"/>
        <v/>
      </c>
      <c r="VB6" s="36" t="str">
        <f t="shared" si="236"/>
        <v/>
      </c>
      <c r="VC6" s="36" t="str">
        <f t="shared" si="237"/>
        <v/>
      </c>
      <c r="VD6" s="36" t="str">
        <f t="shared" si="238"/>
        <v/>
      </c>
      <c r="VE6" s="36" t="str">
        <f t="shared" si="239"/>
        <v/>
      </c>
      <c r="VF6" s="36" t="str">
        <f t="shared" si="240"/>
        <v/>
      </c>
      <c r="VG6" s="36" t="str">
        <f t="shared" si="241"/>
        <v/>
      </c>
      <c r="VH6" s="36" t="str">
        <f t="shared" si="242"/>
        <v/>
      </c>
      <c r="VI6" s="36" t="str">
        <f t="shared" si="243"/>
        <v/>
      </c>
      <c r="VJ6" s="36" t="str">
        <f t="shared" si="244"/>
        <v/>
      </c>
      <c r="VK6" s="36" t="str">
        <f t="shared" si="245"/>
        <v/>
      </c>
      <c r="VL6" s="36" t="str">
        <f t="shared" si="246"/>
        <v/>
      </c>
    </row>
    <row r="7" spans="1:584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2</v>
      </c>
      <c r="B7" s="5" t="s">
        <v>211</v>
      </c>
      <c r="C7" s="4" t="s">
        <v>7</v>
      </c>
      <c r="D7" s="4">
        <v>2010</v>
      </c>
      <c r="E7" s="9">
        <f t="shared" si="0"/>
        <v>144.69001446900506</v>
      </c>
      <c r="F7" s="3" t="str">
        <f t="shared" si="1"/>
        <v/>
      </c>
      <c r="G7" s="3" t="str">
        <f t="shared" si="2"/>
        <v>P</v>
      </c>
      <c r="H7" s="32" t="str">
        <f t="shared" si="3"/>
        <v>No DD</v>
      </c>
      <c r="I7" s="3"/>
      <c r="J7" s="8">
        <f t="shared" si="4"/>
        <v>42.41</v>
      </c>
      <c r="K7" s="8" t="str">
        <f t="shared" si="5"/>
        <v>2026 Elite Canada</v>
      </c>
      <c r="L7" s="8">
        <f t="shared" si="6"/>
        <v>50.53</v>
      </c>
      <c r="M7" s="8" t="str">
        <f t="shared" si="7"/>
        <v>2026 Elite Canada</v>
      </c>
      <c r="N7" s="8">
        <f t="shared" si="8"/>
        <v>51.75</v>
      </c>
      <c r="O7" s="8" t="str">
        <f t="shared" si="9"/>
        <v>2026 Elite Canada</v>
      </c>
      <c r="P7" s="8">
        <f t="shared" si="10"/>
        <v>0</v>
      </c>
      <c r="Q7" s="11" t="str">
        <f t="shared" si="11"/>
        <v/>
      </c>
      <c r="R7" s="8" t="str">
        <f t="shared" si="12"/>
        <v/>
      </c>
      <c r="S7" s="18">
        <v>17.2</v>
      </c>
      <c r="T7" s="18">
        <v>9.3000000000000007</v>
      </c>
      <c r="U7" s="18">
        <v>0</v>
      </c>
      <c r="V7" s="18">
        <v>15.36</v>
      </c>
      <c r="W7" s="18">
        <v>0</v>
      </c>
      <c r="X7" s="18">
        <v>14.8</v>
      </c>
      <c r="Y7" s="18">
        <v>9.6999999999999993</v>
      </c>
      <c r="Z7" s="18">
        <v>10.1</v>
      </c>
      <c r="AA7" s="18">
        <v>14.75</v>
      </c>
      <c r="AB7" s="18">
        <v>0</v>
      </c>
      <c r="AC7" s="18">
        <v>14.5</v>
      </c>
      <c r="AD7" s="18">
        <v>8.6</v>
      </c>
      <c r="AE7" s="18">
        <v>10.1</v>
      </c>
      <c r="AF7" s="18">
        <v>14.51</v>
      </c>
      <c r="AG7" s="18">
        <v>0.2</v>
      </c>
      <c r="AH7" s="23"/>
      <c r="AI7" s="34" t="str">
        <f t="shared" si="13"/>
        <v/>
      </c>
      <c r="AJ7" s="34">
        <f t="shared" si="14"/>
        <v>15.36</v>
      </c>
      <c r="AK7" s="36">
        <f t="shared" si="15"/>
        <v>41.86</v>
      </c>
      <c r="AL7" s="36">
        <f t="shared" si="16"/>
        <v>10.1</v>
      </c>
      <c r="AM7" s="36">
        <f t="shared" si="17"/>
        <v>14.75</v>
      </c>
      <c r="AN7" s="36">
        <f t="shared" si="18"/>
        <v>49.35</v>
      </c>
      <c r="AO7" s="36">
        <f t="shared" si="19"/>
        <v>91.210000000000008</v>
      </c>
      <c r="AP7" s="36">
        <f t="shared" si="20"/>
        <v>10.1</v>
      </c>
      <c r="AQ7" s="36">
        <f t="shared" si="21"/>
        <v>14.51</v>
      </c>
      <c r="AR7" s="36">
        <f t="shared" si="22"/>
        <v>47.51</v>
      </c>
      <c r="AS7" s="36">
        <f t="shared" si="23"/>
        <v>138.72</v>
      </c>
      <c r="AT7" s="22">
        <v>17.399999999999999</v>
      </c>
      <c r="AU7" s="22">
        <v>9.4</v>
      </c>
      <c r="AV7" s="22">
        <v>0</v>
      </c>
      <c r="AW7" s="22">
        <v>15.61</v>
      </c>
      <c r="AX7" s="22">
        <v>0</v>
      </c>
      <c r="AY7" s="22">
        <v>15</v>
      </c>
      <c r="AZ7" s="22">
        <v>9.5</v>
      </c>
      <c r="BA7" s="22">
        <v>11.2</v>
      </c>
      <c r="BB7" s="22">
        <v>14.83</v>
      </c>
      <c r="BC7" s="22">
        <v>0</v>
      </c>
      <c r="BD7" s="22">
        <v>16.3</v>
      </c>
      <c r="BE7" s="22">
        <v>9.3000000000000007</v>
      </c>
      <c r="BF7" s="22">
        <v>11.2</v>
      </c>
      <c r="BG7" s="22">
        <v>14.95</v>
      </c>
      <c r="BH7" s="22">
        <v>0</v>
      </c>
      <c r="BI7" s="24"/>
      <c r="BJ7" s="35" t="str">
        <f t="shared" si="24"/>
        <v/>
      </c>
      <c r="BK7" s="35">
        <f t="shared" si="25"/>
        <v>15.61</v>
      </c>
      <c r="BL7" s="11">
        <f t="shared" si="26"/>
        <v>42.41</v>
      </c>
      <c r="BM7" s="11">
        <f t="shared" si="27"/>
        <v>11.2</v>
      </c>
      <c r="BN7" s="11">
        <f t="shared" si="28"/>
        <v>14.83</v>
      </c>
      <c r="BO7" s="11">
        <f t="shared" si="29"/>
        <v>50.53</v>
      </c>
      <c r="BP7" s="11">
        <f t="shared" si="30"/>
        <v>92.94</v>
      </c>
      <c r="BQ7" s="11">
        <f t="shared" si="31"/>
        <v>11.2</v>
      </c>
      <c r="BR7" s="11">
        <f t="shared" si="32"/>
        <v>14.95</v>
      </c>
      <c r="BS7" s="11">
        <f t="shared" si="33"/>
        <v>51.75</v>
      </c>
      <c r="BT7" s="11">
        <f t="shared" si="34"/>
        <v>144.69</v>
      </c>
      <c r="BU7" s="47" t="str">
        <f t="shared" si="35"/>
        <v/>
      </c>
      <c r="BV7" s="47" t="str">
        <f t="shared" si="36"/>
        <v/>
      </c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36" t="str">
        <f t="shared" si="37"/>
        <v/>
      </c>
      <c r="CR7" s="36" t="str">
        <f t="shared" si="38"/>
        <v/>
      </c>
      <c r="CS7" s="36" t="str">
        <f t="shared" si="39"/>
        <v/>
      </c>
      <c r="CT7" s="36" t="str">
        <f t="shared" si="40"/>
        <v/>
      </c>
      <c r="CU7" s="36" t="str">
        <f t="shared" si="41"/>
        <v/>
      </c>
      <c r="CV7" s="36" t="str">
        <f t="shared" si="42"/>
        <v/>
      </c>
      <c r="CW7" s="36" t="str">
        <f t="shared" si="43"/>
        <v/>
      </c>
      <c r="CX7" s="36" t="str">
        <f t="shared" si="44"/>
        <v/>
      </c>
      <c r="CY7" s="36" t="str">
        <f t="shared" si="45"/>
        <v/>
      </c>
      <c r="CZ7" s="36" t="str">
        <f t="shared" si="46"/>
        <v/>
      </c>
      <c r="DA7" s="36" t="str">
        <f t="shared" si="47"/>
        <v/>
      </c>
      <c r="DB7" s="36" t="str">
        <f t="shared" si="48"/>
        <v/>
      </c>
      <c r="DC7" s="36" t="str">
        <f t="shared" si="49"/>
        <v/>
      </c>
      <c r="DD7" s="36" t="str">
        <f t="shared" si="50"/>
        <v/>
      </c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1" t="str">
        <f t="shared" si="51"/>
        <v/>
      </c>
      <c r="DZ7" s="11" t="str">
        <f t="shared" si="52"/>
        <v/>
      </c>
      <c r="EA7" s="11" t="str">
        <f t="shared" si="53"/>
        <v/>
      </c>
      <c r="EB7" s="11" t="str">
        <f t="shared" si="54"/>
        <v/>
      </c>
      <c r="EC7" s="11" t="str">
        <f t="shared" si="55"/>
        <v/>
      </c>
      <c r="ED7" s="11" t="str">
        <f t="shared" si="56"/>
        <v/>
      </c>
      <c r="EE7" s="11" t="str">
        <f t="shared" si="57"/>
        <v/>
      </c>
      <c r="EF7" s="11" t="str">
        <f t="shared" si="58"/>
        <v/>
      </c>
      <c r="EG7" s="11" t="str">
        <f t="shared" si="59"/>
        <v/>
      </c>
      <c r="EH7" s="11" t="str">
        <f t="shared" si="60"/>
        <v/>
      </c>
      <c r="EI7" s="11" t="str">
        <f t="shared" si="61"/>
        <v/>
      </c>
      <c r="EJ7" s="11" t="str">
        <f t="shared" si="62"/>
        <v/>
      </c>
      <c r="EK7" s="11" t="str">
        <f t="shared" si="63"/>
        <v/>
      </c>
      <c r="EL7" s="11" t="str">
        <f t="shared" si="64"/>
        <v/>
      </c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36" t="str">
        <f t="shared" si="65"/>
        <v/>
      </c>
      <c r="FH7" s="36" t="str">
        <f t="shared" si="66"/>
        <v/>
      </c>
      <c r="FI7" s="36" t="str">
        <f t="shared" si="67"/>
        <v/>
      </c>
      <c r="FJ7" s="36" t="str">
        <f t="shared" si="68"/>
        <v/>
      </c>
      <c r="FK7" s="36" t="str">
        <f t="shared" si="69"/>
        <v/>
      </c>
      <c r="FL7" s="36" t="str">
        <f t="shared" si="70"/>
        <v/>
      </c>
      <c r="FM7" s="36" t="str">
        <f t="shared" si="71"/>
        <v/>
      </c>
      <c r="FN7" s="36" t="str">
        <f t="shared" si="72"/>
        <v/>
      </c>
      <c r="FO7" s="36" t="str">
        <f t="shared" si="73"/>
        <v/>
      </c>
      <c r="FP7" s="36" t="str">
        <f t="shared" si="74"/>
        <v/>
      </c>
      <c r="FQ7" s="36" t="str">
        <f t="shared" si="75"/>
        <v/>
      </c>
      <c r="FR7" s="36" t="str">
        <f t="shared" si="76"/>
        <v/>
      </c>
      <c r="FS7" s="36" t="str">
        <f t="shared" si="77"/>
        <v/>
      </c>
      <c r="FT7" s="36" t="str">
        <f t="shared" si="78"/>
        <v/>
      </c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1" t="str">
        <f t="shared" si="79"/>
        <v/>
      </c>
      <c r="GP7" s="11" t="str">
        <f t="shared" si="80"/>
        <v/>
      </c>
      <c r="GQ7" s="11" t="str">
        <f t="shared" si="81"/>
        <v/>
      </c>
      <c r="GR7" s="11" t="str">
        <f t="shared" si="82"/>
        <v/>
      </c>
      <c r="GS7" s="11" t="str">
        <f t="shared" si="83"/>
        <v/>
      </c>
      <c r="GT7" s="11" t="str">
        <f t="shared" si="84"/>
        <v/>
      </c>
      <c r="GU7" s="11" t="str">
        <f t="shared" si="85"/>
        <v/>
      </c>
      <c r="GV7" s="11" t="str">
        <f t="shared" si="86"/>
        <v/>
      </c>
      <c r="GW7" s="11" t="str">
        <f t="shared" si="87"/>
        <v/>
      </c>
      <c r="GX7" s="11" t="str">
        <f t="shared" si="88"/>
        <v/>
      </c>
      <c r="GY7" s="11" t="str">
        <f t="shared" si="89"/>
        <v/>
      </c>
      <c r="GZ7" s="11" t="str">
        <f t="shared" si="90"/>
        <v/>
      </c>
      <c r="HA7" s="11" t="str">
        <f t="shared" si="91"/>
        <v/>
      </c>
      <c r="HB7" s="11" t="str">
        <f t="shared" si="92"/>
        <v/>
      </c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36" t="str">
        <f t="shared" si="93"/>
        <v/>
      </c>
      <c r="HX7" s="36" t="str">
        <f t="shared" si="94"/>
        <v/>
      </c>
      <c r="HY7" s="36" t="str">
        <f t="shared" si="95"/>
        <v/>
      </c>
      <c r="HZ7" s="36" t="str">
        <f t="shared" si="96"/>
        <v/>
      </c>
      <c r="IA7" s="36" t="str">
        <f t="shared" si="97"/>
        <v/>
      </c>
      <c r="IB7" s="36" t="str">
        <f t="shared" si="98"/>
        <v/>
      </c>
      <c r="IC7" s="36" t="str">
        <f t="shared" si="99"/>
        <v/>
      </c>
      <c r="ID7" s="36" t="str">
        <f t="shared" si="100"/>
        <v/>
      </c>
      <c r="IE7" s="36" t="str">
        <f t="shared" si="101"/>
        <v/>
      </c>
      <c r="IF7" s="36" t="str">
        <f t="shared" si="102"/>
        <v/>
      </c>
      <c r="IG7" s="36" t="str">
        <f t="shared" si="103"/>
        <v/>
      </c>
      <c r="IH7" s="36" t="str">
        <f t="shared" si="104"/>
        <v/>
      </c>
      <c r="II7" s="36" t="str">
        <f t="shared" si="105"/>
        <v/>
      </c>
      <c r="IJ7" s="36" t="str">
        <f t="shared" si="106"/>
        <v/>
      </c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1" t="str">
        <f t="shared" si="107"/>
        <v/>
      </c>
      <c r="JF7" s="11" t="str">
        <f t="shared" si="108"/>
        <v/>
      </c>
      <c r="JG7" s="11" t="str">
        <f t="shared" si="109"/>
        <v/>
      </c>
      <c r="JH7" s="11" t="str">
        <f t="shared" si="110"/>
        <v/>
      </c>
      <c r="JI7" s="11" t="str">
        <f t="shared" si="111"/>
        <v/>
      </c>
      <c r="JJ7" s="11" t="str">
        <f t="shared" si="112"/>
        <v/>
      </c>
      <c r="JK7" s="11" t="str">
        <f t="shared" si="113"/>
        <v/>
      </c>
      <c r="JL7" s="11" t="str">
        <f t="shared" si="114"/>
        <v/>
      </c>
      <c r="JM7" s="11" t="str">
        <f t="shared" si="115"/>
        <v/>
      </c>
      <c r="JN7" s="11" t="str">
        <f t="shared" si="116"/>
        <v/>
      </c>
      <c r="JO7" s="11" t="str">
        <f t="shared" si="117"/>
        <v/>
      </c>
      <c r="JP7" s="11" t="str">
        <f t="shared" si="118"/>
        <v/>
      </c>
      <c r="JQ7" s="11" t="str">
        <f t="shared" si="119"/>
        <v/>
      </c>
      <c r="JR7" s="11" t="str">
        <f t="shared" si="120"/>
        <v/>
      </c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36" t="str">
        <f t="shared" si="121"/>
        <v/>
      </c>
      <c r="KN7" s="36" t="str">
        <f t="shared" si="122"/>
        <v/>
      </c>
      <c r="KO7" s="36" t="str">
        <f t="shared" si="123"/>
        <v/>
      </c>
      <c r="KP7" s="36" t="str">
        <f t="shared" si="124"/>
        <v/>
      </c>
      <c r="KQ7" s="36" t="str">
        <f t="shared" si="125"/>
        <v/>
      </c>
      <c r="KR7" s="36" t="str">
        <f t="shared" si="126"/>
        <v/>
      </c>
      <c r="KS7" s="36" t="str">
        <f t="shared" si="127"/>
        <v/>
      </c>
      <c r="KT7" s="36" t="str">
        <f t="shared" si="128"/>
        <v/>
      </c>
      <c r="KU7" s="36" t="str">
        <f t="shared" si="129"/>
        <v/>
      </c>
      <c r="KV7" s="36" t="str">
        <f t="shared" si="130"/>
        <v/>
      </c>
      <c r="KW7" s="36" t="str">
        <f t="shared" si="131"/>
        <v/>
      </c>
      <c r="KX7" s="36" t="str">
        <f t="shared" si="132"/>
        <v/>
      </c>
      <c r="KY7" s="36" t="str">
        <f t="shared" si="133"/>
        <v/>
      </c>
      <c r="KZ7" s="36" t="str">
        <f t="shared" si="134"/>
        <v/>
      </c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16"/>
      <c r="LL7" s="16"/>
      <c r="LM7" s="16"/>
      <c r="LN7" s="16"/>
      <c r="LO7" s="16"/>
      <c r="LP7" s="16"/>
      <c r="LQ7" s="16"/>
      <c r="LR7" s="16"/>
      <c r="LS7" s="16"/>
      <c r="LT7" s="16"/>
      <c r="LU7" s="11" t="str">
        <f t="shared" si="135"/>
        <v/>
      </c>
      <c r="LV7" s="11" t="str">
        <f t="shared" si="136"/>
        <v/>
      </c>
      <c r="LW7" s="11" t="str">
        <f t="shared" si="137"/>
        <v/>
      </c>
      <c r="LX7" s="11" t="str">
        <f t="shared" si="138"/>
        <v/>
      </c>
      <c r="LY7" s="11" t="str">
        <f t="shared" si="139"/>
        <v/>
      </c>
      <c r="LZ7" s="11" t="str">
        <f t="shared" si="140"/>
        <v/>
      </c>
      <c r="MA7" s="11" t="str">
        <f t="shared" si="141"/>
        <v/>
      </c>
      <c r="MB7" s="11" t="str">
        <f t="shared" si="142"/>
        <v/>
      </c>
      <c r="MC7" s="11" t="str">
        <f t="shared" si="143"/>
        <v/>
      </c>
      <c r="MD7" s="11" t="str">
        <f t="shared" si="144"/>
        <v/>
      </c>
      <c r="ME7" s="11" t="str">
        <f t="shared" si="145"/>
        <v/>
      </c>
      <c r="MF7" s="11" t="str">
        <f t="shared" si="146"/>
        <v/>
      </c>
      <c r="MG7" s="11" t="str">
        <f t="shared" si="147"/>
        <v/>
      </c>
      <c r="MH7" s="11" t="str">
        <f t="shared" si="148"/>
        <v/>
      </c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36" t="str">
        <f t="shared" si="149"/>
        <v/>
      </c>
      <c r="ND7" s="36" t="str">
        <f t="shared" si="150"/>
        <v/>
      </c>
      <c r="NE7" s="36" t="str">
        <f t="shared" si="151"/>
        <v/>
      </c>
      <c r="NF7" s="36" t="str">
        <f t="shared" si="152"/>
        <v/>
      </c>
      <c r="NG7" s="36" t="str">
        <f t="shared" si="153"/>
        <v/>
      </c>
      <c r="NH7" s="36" t="str">
        <f t="shared" si="154"/>
        <v/>
      </c>
      <c r="NI7" s="36" t="str">
        <f t="shared" si="155"/>
        <v/>
      </c>
      <c r="NJ7" s="36" t="str">
        <f t="shared" si="156"/>
        <v/>
      </c>
      <c r="NK7" s="36" t="str">
        <f t="shared" si="157"/>
        <v/>
      </c>
      <c r="NL7" s="36" t="str">
        <f t="shared" si="158"/>
        <v/>
      </c>
      <c r="NM7" s="36" t="str">
        <f t="shared" si="159"/>
        <v/>
      </c>
      <c r="NN7" s="36" t="str">
        <f t="shared" si="160"/>
        <v/>
      </c>
      <c r="NO7" s="36" t="str">
        <f t="shared" si="161"/>
        <v/>
      </c>
      <c r="NP7" s="36" t="str">
        <f t="shared" si="162"/>
        <v/>
      </c>
      <c r="NQ7" s="16"/>
      <c r="NR7" s="16"/>
      <c r="NS7" s="16"/>
      <c r="NT7" s="16"/>
      <c r="NU7" s="16"/>
      <c r="NV7" s="16"/>
      <c r="NW7" s="16"/>
      <c r="NX7" s="16"/>
      <c r="NY7" s="16"/>
      <c r="NZ7" s="16"/>
      <c r="OA7" s="16"/>
      <c r="OB7" s="16"/>
      <c r="OC7" s="16"/>
      <c r="OD7" s="16"/>
      <c r="OE7" s="16"/>
      <c r="OF7" s="16"/>
      <c r="OG7" s="16"/>
      <c r="OH7" s="16"/>
      <c r="OI7" s="16"/>
      <c r="OJ7" s="16"/>
      <c r="OK7" s="11" t="str">
        <f t="shared" si="163"/>
        <v/>
      </c>
      <c r="OL7" s="11" t="str">
        <f t="shared" si="164"/>
        <v/>
      </c>
      <c r="OM7" s="11" t="str">
        <f t="shared" si="165"/>
        <v/>
      </c>
      <c r="ON7" s="11" t="str">
        <f t="shared" si="166"/>
        <v/>
      </c>
      <c r="OO7" s="11" t="str">
        <f t="shared" si="167"/>
        <v/>
      </c>
      <c r="OP7" s="11" t="str">
        <f t="shared" si="168"/>
        <v/>
      </c>
      <c r="OQ7" s="11" t="str">
        <f t="shared" si="169"/>
        <v/>
      </c>
      <c r="OR7" s="11" t="str">
        <f t="shared" si="170"/>
        <v/>
      </c>
      <c r="OS7" s="11" t="str">
        <f t="shared" si="171"/>
        <v/>
      </c>
      <c r="OT7" s="11" t="str">
        <f t="shared" si="172"/>
        <v/>
      </c>
      <c r="OU7" s="11" t="str">
        <f t="shared" si="173"/>
        <v/>
      </c>
      <c r="OV7" s="11" t="str">
        <f t="shared" si="174"/>
        <v/>
      </c>
      <c r="OW7" s="11" t="str">
        <f t="shared" si="175"/>
        <v/>
      </c>
      <c r="OX7" s="11" t="str">
        <f t="shared" si="176"/>
        <v/>
      </c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36" t="str">
        <f t="shared" si="177"/>
        <v/>
      </c>
      <c r="PT7" s="36" t="str">
        <f t="shared" si="178"/>
        <v/>
      </c>
      <c r="PU7" s="36" t="str">
        <f t="shared" si="179"/>
        <v/>
      </c>
      <c r="PV7" s="36" t="str">
        <f t="shared" si="180"/>
        <v/>
      </c>
      <c r="PW7" s="36" t="str">
        <f t="shared" si="181"/>
        <v/>
      </c>
      <c r="PX7" s="36" t="str">
        <f t="shared" si="182"/>
        <v/>
      </c>
      <c r="PY7" s="36" t="str">
        <f t="shared" si="183"/>
        <v/>
      </c>
      <c r="PZ7" s="36" t="str">
        <f t="shared" si="184"/>
        <v/>
      </c>
      <c r="QA7" s="36" t="str">
        <f t="shared" si="185"/>
        <v/>
      </c>
      <c r="QB7" s="36" t="str">
        <f t="shared" si="186"/>
        <v/>
      </c>
      <c r="QC7" s="36" t="str">
        <f t="shared" si="187"/>
        <v/>
      </c>
      <c r="QD7" s="36" t="str">
        <f t="shared" si="188"/>
        <v/>
      </c>
      <c r="QE7" s="36" t="str">
        <f t="shared" si="189"/>
        <v/>
      </c>
      <c r="QF7" s="36" t="str">
        <f t="shared" si="190"/>
        <v/>
      </c>
      <c r="QG7" s="16"/>
      <c r="QH7" s="16"/>
      <c r="QI7" s="16"/>
      <c r="QJ7" s="16"/>
      <c r="QK7" s="16"/>
      <c r="QL7" s="16"/>
      <c r="QM7" s="16"/>
      <c r="QN7" s="16"/>
      <c r="QO7" s="16"/>
      <c r="QP7" s="16"/>
      <c r="QQ7" s="16"/>
      <c r="QR7" s="16"/>
      <c r="QS7" s="16"/>
      <c r="QT7" s="16"/>
      <c r="QU7" s="16"/>
      <c r="QV7" s="16"/>
      <c r="QW7" s="16"/>
      <c r="QX7" s="16"/>
      <c r="QY7" s="16"/>
      <c r="QZ7" s="16"/>
      <c r="RA7" s="11" t="str">
        <f t="shared" si="191"/>
        <v/>
      </c>
      <c r="RB7" s="11" t="str">
        <f t="shared" si="192"/>
        <v/>
      </c>
      <c r="RC7" s="11" t="str">
        <f t="shared" si="193"/>
        <v/>
      </c>
      <c r="RD7" s="11" t="str">
        <f t="shared" si="194"/>
        <v/>
      </c>
      <c r="RE7" s="11" t="str">
        <f t="shared" si="195"/>
        <v/>
      </c>
      <c r="RF7" s="11" t="str">
        <f t="shared" si="196"/>
        <v/>
      </c>
      <c r="RG7" s="11" t="str">
        <f t="shared" si="197"/>
        <v/>
      </c>
      <c r="RH7" s="11" t="str">
        <f t="shared" si="198"/>
        <v/>
      </c>
      <c r="RI7" s="11" t="str">
        <f t="shared" si="199"/>
        <v/>
      </c>
      <c r="RJ7" s="11" t="str">
        <f t="shared" si="200"/>
        <v/>
      </c>
      <c r="RK7" s="11" t="str">
        <f t="shared" si="201"/>
        <v/>
      </c>
      <c r="RL7" s="11" t="str">
        <f t="shared" si="202"/>
        <v/>
      </c>
      <c r="RM7" s="11" t="str">
        <f t="shared" si="203"/>
        <v/>
      </c>
      <c r="RN7" s="11" t="str">
        <f t="shared" si="204"/>
        <v/>
      </c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36" t="str">
        <f t="shared" si="205"/>
        <v/>
      </c>
      <c r="SJ7" s="36" t="str">
        <f t="shared" si="206"/>
        <v/>
      </c>
      <c r="SK7" s="36" t="str">
        <f t="shared" si="207"/>
        <v/>
      </c>
      <c r="SL7" s="36" t="str">
        <f t="shared" si="208"/>
        <v/>
      </c>
      <c r="SM7" s="36" t="str">
        <f t="shared" si="209"/>
        <v/>
      </c>
      <c r="SN7" s="36" t="str">
        <f t="shared" si="210"/>
        <v/>
      </c>
      <c r="SO7" s="36" t="str">
        <f t="shared" si="211"/>
        <v/>
      </c>
      <c r="SP7" s="36" t="str">
        <f t="shared" si="212"/>
        <v/>
      </c>
      <c r="SQ7" s="36" t="str">
        <f t="shared" si="213"/>
        <v/>
      </c>
      <c r="SR7" s="36" t="str">
        <f t="shared" si="214"/>
        <v/>
      </c>
      <c r="SS7" s="36" t="str">
        <f t="shared" si="215"/>
        <v/>
      </c>
      <c r="ST7" s="36" t="str">
        <f t="shared" si="216"/>
        <v/>
      </c>
      <c r="SU7" s="36" t="str">
        <f t="shared" si="217"/>
        <v/>
      </c>
      <c r="SV7" s="36" t="str">
        <f t="shared" si="218"/>
        <v/>
      </c>
      <c r="SW7" s="16"/>
      <c r="SX7" s="16"/>
      <c r="SY7" s="16"/>
      <c r="SZ7" s="16"/>
      <c r="TA7" s="16"/>
      <c r="TB7" s="16"/>
      <c r="TC7" s="16"/>
      <c r="TD7" s="16"/>
      <c r="TE7" s="16"/>
      <c r="TF7" s="16"/>
      <c r="TG7" s="16"/>
      <c r="TH7" s="16"/>
      <c r="TI7" s="16"/>
      <c r="TJ7" s="16"/>
      <c r="TK7" s="16"/>
      <c r="TL7" s="16"/>
      <c r="TM7" s="16"/>
      <c r="TN7" s="16"/>
      <c r="TO7" s="16"/>
      <c r="TP7" s="16"/>
      <c r="TQ7" s="11" t="str">
        <f t="shared" si="219"/>
        <v/>
      </c>
      <c r="TR7" s="11" t="str">
        <f t="shared" si="220"/>
        <v/>
      </c>
      <c r="TS7" s="11" t="str">
        <f t="shared" si="221"/>
        <v/>
      </c>
      <c r="TT7" s="11" t="str">
        <f t="shared" si="222"/>
        <v/>
      </c>
      <c r="TU7" s="11" t="str">
        <f t="shared" si="223"/>
        <v/>
      </c>
      <c r="TV7" s="11" t="str">
        <f t="shared" si="224"/>
        <v/>
      </c>
      <c r="TW7" s="11" t="str">
        <f t="shared" si="225"/>
        <v/>
      </c>
      <c r="TX7" s="11" t="str">
        <f t="shared" si="226"/>
        <v/>
      </c>
      <c r="TY7" s="11" t="str">
        <f t="shared" si="227"/>
        <v/>
      </c>
      <c r="TZ7" s="11" t="str">
        <f t="shared" si="228"/>
        <v/>
      </c>
      <c r="UA7" s="11" t="str">
        <f t="shared" si="229"/>
        <v/>
      </c>
      <c r="UB7" s="11" t="str">
        <f t="shared" si="230"/>
        <v/>
      </c>
      <c r="UC7" s="11" t="str">
        <f t="shared" si="231"/>
        <v/>
      </c>
      <c r="UD7" s="11" t="str">
        <f t="shared" si="232"/>
        <v/>
      </c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36" t="str">
        <f t="shared" si="233"/>
        <v/>
      </c>
      <c r="UZ7" s="36" t="str">
        <f t="shared" si="234"/>
        <v/>
      </c>
      <c r="VA7" s="36" t="str">
        <f t="shared" si="235"/>
        <v/>
      </c>
      <c r="VB7" s="36" t="str">
        <f t="shared" si="236"/>
        <v/>
      </c>
      <c r="VC7" s="36" t="str">
        <f t="shared" si="237"/>
        <v/>
      </c>
      <c r="VD7" s="36" t="str">
        <f t="shared" si="238"/>
        <v/>
      </c>
      <c r="VE7" s="36" t="str">
        <f t="shared" si="239"/>
        <v/>
      </c>
      <c r="VF7" s="36" t="str">
        <f t="shared" si="240"/>
        <v/>
      </c>
      <c r="VG7" s="36" t="str">
        <f t="shared" si="241"/>
        <v/>
      </c>
      <c r="VH7" s="36" t="str">
        <f t="shared" si="242"/>
        <v/>
      </c>
      <c r="VI7" s="36" t="str">
        <f t="shared" si="243"/>
        <v/>
      </c>
      <c r="VJ7" s="36" t="str">
        <f t="shared" si="244"/>
        <v/>
      </c>
      <c r="VK7" s="36" t="str">
        <f t="shared" si="245"/>
        <v/>
      </c>
      <c r="VL7" s="36" t="str">
        <f t="shared" si="246"/>
        <v/>
      </c>
    </row>
    <row r="8" spans="1:584" x14ac:dyDescent="0.2">
      <c r="A8" s="4" t="str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/>
      </c>
      <c r="B8" s="5" t="s">
        <v>230</v>
      </c>
      <c r="C8" s="4" t="s">
        <v>6</v>
      </c>
      <c r="D8" s="4">
        <v>2012</v>
      </c>
      <c r="E8" s="9">
        <f t="shared" si="0"/>
        <v>140.0900140090049</v>
      </c>
      <c r="F8" s="3" t="str">
        <f t="shared" si="1"/>
        <v/>
      </c>
      <c r="G8" s="3" t="str">
        <f t="shared" si="2"/>
        <v/>
      </c>
      <c r="H8" s="32" t="str">
        <f t="shared" si="3"/>
        <v/>
      </c>
      <c r="I8" s="3"/>
      <c r="J8" s="8">
        <f t="shared" si="4"/>
        <v>42.36</v>
      </c>
      <c r="K8" s="8" t="str">
        <f t="shared" si="5"/>
        <v>2026 Elite Canada</v>
      </c>
      <c r="L8" s="8">
        <f t="shared" si="6"/>
        <v>49.010000000000005</v>
      </c>
      <c r="M8" s="8" t="str">
        <f t="shared" si="7"/>
        <v>2026 Elite Canada</v>
      </c>
      <c r="N8" s="8">
        <f t="shared" si="8"/>
        <v>48.72</v>
      </c>
      <c r="O8" s="8" t="str">
        <f t="shared" si="9"/>
        <v>2026 Elite Canada</v>
      </c>
      <c r="P8" s="8">
        <f t="shared" si="10"/>
        <v>0</v>
      </c>
      <c r="Q8" s="11" t="str">
        <f t="shared" si="11"/>
        <v/>
      </c>
      <c r="R8" s="8" t="str">
        <f t="shared" si="12"/>
        <v/>
      </c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23"/>
      <c r="AI8" s="34" t="str">
        <f t="shared" si="13"/>
        <v/>
      </c>
      <c r="AJ8" s="34" t="str">
        <f t="shared" si="14"/>
        <v/>
      </c>
      <c r="AK8" s="36" t="str">
        <f t="shared" si="15"/>
        <v/>
      </c>
      <c r="AL8" s="36" t="str">
        <f t="shared" si="16"/>
        <v/>
      </c>
      <c r="AM8" s="36" t="str">
        <f t="shared" si="17"/>
        <v/>
      </c>
      <c r="AN8" s="36" t="str">
        <f t="shared" si="18"/>
        <v/>
      </c>
      <c r="AO8" s="36" t="str">
        <f t="shared" si="19"/>
        <v/>
      </c>
      <c r="AP8" s="36" t="str">
        <f t="shared" si="20"/>
        <v/>
      </c>
      <c r="AQ8" s="36" t="str">
        <f t="shared" si="21"/>
        <v/>
      </c>
      <c r="AR8" s="36" t="str">
        <f t="shared" si="22"/>
        <v/>
      </c>
      <c r="AS8" s="36" t="str">
        <f t="shared" si="23"/>
        <v/>
      </c>
      <c r="AT8" s="22">
        <v>17.100000000000001</v>
      </c>
      <c r="AU8" s="22">
        <v>9.5</v>
      </c>
      <c r="AV8" s="22">
        <v>1.5</v>
      </c>
      <c r="AW8" s="22">
        <v>14.26</v>
      </c>
      <c r="AX8" s="22">
        <v>0</v>
      </c>
      <c r="AY8" s="22">
        <v>14.1</v>
      </c>
      <c r="AZ8" s="22">
        <v>9.5</v>
      </c>
      <c r="BA8" s="22">
        <v>11.6</v>
      </c>
      <c r="BB8" s="22">
        <v>13.81</v>
      </c>
      <c r="BC8" s="22">
        <v>0</v>
      </c>
      <c r="BD8" s="22">
        <v>14.4</v>
      </c>
      <c r="BE8" s="22">
        <v>8.9</v>
      </c>
      <c r="BF8" s="22">
        <v>11.6</v>
      </c>
      <c r="BG8" s="22">
        <v>13.82</v>
      </c>
      <c r="BH8" s="22">
        <v>0</v>
      </c>
      <c r="BI8" s="24"/>
      <c r="BJ8" s="35">
        <f t="shared" si="24"/>
        <v>1.5</v>
      </c>
      <c r="BK8" s="35">
        <f t="shared" si="25"/>
        <v>14.26</v>
      </c>
      <c r="BL8" s="11">
        <f t="shared" si="26"/>
        <v>42.36</v>
      </c>
      <c r="BM8" s="11">
        <f t="shared" si="27"/>
        <v>11.6</v>
      </c>
      <c r="BN8" s="11">
        <f t="shared" si="28"/>
        <v>13.81</v>
      </c>
      <c r="BO8" s="11">
        <f t="shared" si="29"/>
        <v>49.010000000000005</v>
      </c>
      <c r="BP8" s="11">
        <f t="shared" si="30"/>
        <v>91.37</v>
      </c>
      <c r="BQ8" s="11">
        <f t="shared" si="31"/>
        <v>11.6</v>
      </c>
      <c r="BR8" s="11">
        <f t="shared" si="32"/>
        <v>13.82</v>
      </c>
      <c r="BS8" s="11">
        <f t="shared" si="33"/>
        <v>48.72</v>
      </c>
      <c r="BT8" s="11">
        <f t="shared" si="34"/>
        <v>140.09</v>
      </c>
      <c r="BU8" s="47" t="str">
        <f t="shared" si="35"/>
        <v/>
      </c>
      <c r="BV8" s="47" t="str">
        <f t="shared" si="36"/>
        <v/>
      </c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36" t="str">
        <f t="shared" si="37"/>
        <v/>
      </c>
      <c r="CR8" s="36" t="str">
        <f t="shared" si="38"/>
        <v/>
      </c>
      <c r="CS8" s="36" t="str">
        <f t="shared" si="39"/>
        <v/>
      </c>
      <c r="CT8" s="36" t="str">
        <f t="shared" si="40"/>
        <v/>
      </c>
      <c r="CU8" s="36" t="str">
        <f t="shared" si="41"/>
        <v/>
      </c>
      <c r="CV8" s="36" t="str">
        <f t="shared" si="42"/>
        <v/>
      </c>
      <c r="CW8" s="36" t="str">
        <f t="shared" si="43"/>
        <v/>
      </c>
      <c r="CX8" s="36" t="str">
        <f t="shared" si="44"/>
        <v/>
      </c>
      <c r="CY8" s="36" t="str">
        <f t="shared" si="45"/>
        <v/>
      </c>
      <c r="CZ8" s="36" t="str">
        <f t="shared" si="46"/>
        <v/>
      </c>
      <c r="DA8" s="36" t="str">
        <f t="shared" si="47"/>
        <v/>
      </c>
      <c r="DB8" s="36" t="str">
        <f t="shared" si="48"/>
        <v/>
      </c>
      <c r="DC8" s="36" t="str">
        <f t="shared" si="49"/>
        <v/>
      </c>
      <c r="DD8" s="36" t="str">
        <f t="shared" si="50"/>
        <v/>
      </c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1" t="str">
        <f t="shared" si="51"/>
        <v/>
      </c>
      <c r="DZ8" s="11" t="str">
        <f t="shared" si="52"/>
        <v/>
      </c>
      <c r="EA8" s="11" t="str">
        <f t="shared" si="53"/>
        <v/>
      </c>
      <c r="EB8" s="11" t="str">
        <f t="shared" si="54"/>
        <v/>
      </c>
      <c r="EC8" s="11" t="str">
        <f t="shared" si="55"/>
        <v/>
      </c>
      <c r="ED8" s="11" t="str">
        <f t="shared" si="56"/>
        <v/>
      </c>
      <c r="EE8" s="11" t="str">
        <f t="shared" si="57"/>
        <v/>
      </c>
      <c r="EF8" s="11" t="str">
        <f t="shared" si="58"/>
        <v/>
      </c>
      <c r="EG8" s="11" t="str">
        <f t="shared" si="59"/>
        <v/>
      </c>
      <c r="EH8" s="11" t="str">
        <f t="shared" si="60"/>
        <v/>
      </c>
      <c r="EI8" s="11" t="str">
        <f t="shared" si="61"/>
        <v/>
      </c>
      <c r="EJ8" s="11" t="str">
        <f t="shared" si="62"/>
        <v/>
      </c>
      <c r="EK8" s="11" t="str">
        <f t="shared" si="63"/>
        <v/>
      </c>
      <c r="EL8" s="11" t="str">
        <f t="shared" si="64"/>
        <v/>
      </c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36" t="str">
        <f t="shared" si="65"/>
        <v/>
      </c>
      <c r="FH8" s="36" t="str">
        <f t="shared" si="66"/>
        <v/>
      </c>
      <c r="FI8" s="36" t="str">
        <f t="shared" si="67"/>
        <v/>
      </c>
      <c r="FJ8" s="36" t="str">
        <f t="shared" si="68"/>
        <v/>
      </c>
      <c r="FK8" s="36" t="str">
        <f t="shared" si="69"/>
        <v/>
      </c>
      <c r="FL8" s="36" t="str">
        <f t="shared" si="70"/>
        <v/>
      </c>
      <c r="FM8" s="36" t="str">
        <f t="shared" si="71"/>
        <v/>
      </c>
      <c r="FN8" s="36" t="str">
        <f t="shared" si="72"/>
        <v/>
      </c>
      <c r="FO8" s="36" t="str">
        <f t="shared" si="73"/>
        <v/>
      </c>
      <c r="FP8" s="36" t="str">
        <f t="shared" si="74"/>
        <v/>
      </c>
      <c r="FQ8" s="36" t="str">
        <f t="shared" si="75"/>
        <v/>
      </c>
      <c r="FR8" s="36" t="str">
        <f t="shared" si="76"/>
        <v/>
      </c>
      <c r="FS8" s="36" t="str">
        <f t="shared" si="77"/>
        <v/>
      </c>
      <c r="FT8" s="36" t="str">
        <f t="shared" si="78"/>
        <v/>
      </c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1" t="str">
        <f t="shared" si="79"/>
        <v/>
      </c>
      <c r="GP8" s="11" t="str">
        <f t="shared" si="80"/>
        <v/>
      </c>
      <c r="GQ8" s="11" t="str">
        <f t="shared" si="81"/>
        <v/>
      </c>
      <c r="GR8" s="11" t="str">
        <f t="shared" si="82"/>
        <v/>
      </c>
      <c r="GS8" s="11" t="str">
        <f t="shared" si="83"/>
        <v/>
      </c>
      <c r="GT8" s="11" t="str">
        <f t="shared" si="84"/>
        <v/>
      </c>
      <c r="GU8" s="11" t="str">
        <f t="shared" si="85"/>
        <v/>
      </c>
      <c r="GV8" s="11" t="str">
        <f t="shared" si="86"/>
        <v/>
      </c>
      <c r="GW8" s="11" t="str">
        <f t="shared" si="87"/>
        <v/>
      </c>
      <c r="GX8" s="11" t="str">
        <f t="shared" si="88"/>
        <v/>
      </c>
      <c r="GY8" s="11" t="str">
        <f t="shared" si="89"/>
        <v/>
      </c>
      <c r="GZ8" s="11" t="str">
        <f t="shared" si="90"/>
        <v/>
      </c>
      <c r="HA8" s="11" t="str">
        <f t="shared" si="91"/>
        <v/>
      </c>
      <c r="HB8" s="11" t="str">
        <f t="shared" si="92"/>
        <v/>
      </c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36" t="str">
        <f t="shared" si="93"/>
        <v/>
      </c>
      <c r="HX8" s="36" t="str">
        <f t="shared" si="94"/>
        <v/>
      </c>
      <c r="HY8" s="36" t="str">
        <f t="shared" si="95"/>
        <v/>
      </c>
      <c r="HZ8" s="36" t="str">
        <f t="shared" si="96"/>
        <v/>
      </c>
      <c r="IA8" s="36" t="str">
        <f t="shared" si="97"/>
        <v/>
      </c>
      <c r="IB8" s="36" t="str">
        <f t="shared" si="98"/>
        <v/>
      </c>
      <c r="IC8" s="36" t="str">
        <f t="shared" si="99"/>
        <v/>
      </c>
      <c r="ID8" s="36" t="str">
        <f t="shared" si="100"/>
        <v/>
      </c>
      <c r="IE8" s="36" t="str">
        <f t="shared" si="101"/>
        <v/>
      </c>
      <c r="IF8" s="36" t="str">
        <f t="shared" si="102"/>
        <v/>
      </c>
      <c r="IG8" s="36" t="str">
        <f t="shared" si="103"/>
        <v/>
      </c>
      <c r="IH8" s="36" t="str">
        <f t="shared" si="104"/>
        <v/>
      </c>
      <c r="II8" s="36" t="str">
        <f t="shared" si="105"/>
        <v/>
      </c>
      <c r="IJ8" s="36" t="str">
        <f t="shared" si="106"/>
        <v/>
      </c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1" t="str">
        <f t="shared" si="107"/>
        <v/>
      </c>
      <c r="JF8" s="11" t="str">
        <f t="shared" si="108"/>
        <v/>
      </c>
      <c r="JG8" s="11" t="str">
        <f t="shared" si="109"/>
        <v/>
      </c>
      <c r="JH8" s="11" t="str">
        <f t="shared" si="110"/>
        <v/>
      </c>
      <c r="JI8" s="11" t="str">
        <f t="shared" si="111"/>
        <v/>
      </c>
      <c r="JJ8" s="11" t="str">
        <f t="shared" si="112"/>
        <v/>
      </c>
      <c r="JK8" s="11" t="str">
        <f t="shared" si="113"/>
        <v/>
      </c>
      <c r="JL8" s="11" t="str">
        <f t="shared" si="114"/>
        <v/>
      </c>
      <c r="JM8" s="11" t="str">
        <f t="shared" si="115"/>
        <v/>
      </c>
      <c r="JN8" s="11" t="str">
        <f t="shared" si="116"/>
        <v/>
      </c>
      <c r="JO8" s="11" t="str">
        <f t="shared" si="117"/>
        <v/>
      </c>
      <c r="JP8" s="11" t="str">
        <f t="shared" si="118"/>
        <v/>
      </c>
      <c r="JQ8" s="11" t="str">
        <f t="shared" si="119"/>
        <v/>
      </c>
      <c r="JR8" s="11" t="str">
        <f t="shared" si="120"/>
        <v/>
      </c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36" t="str">
        <f t="shared" si="121"/>
        <v/>
      </c>
      <c r="KN8" s="36" t="str">
        <f t="shared" si="122"/>
        <v/>
      </c>
      <c r="KO8" s="36" t="str">
        <f t="shared" si="123"/>
        <v/>
      </c>
      <c r="KP8" s="36" t="str">
        <f t="shared" si="124"/>
        <v/>
      </c>
      <c r="KQ8" s="36" t="str">
        <f t="shared" si="125"/>
        <v/>
      </c>
      <c r="KR8" s="36" t="str">
        <f t="shared" si="126"/>
        <v/>
      </c>
      <c r="KS8" s="36" t="str">
        <f t="shared" si="127"/>
        <v/>
      </c>
      <c r="KT8" s="36" t="str">
        <f t="shared" si="128"/>
        <v/>
      </c>
      <c r="KU8" s="36" t="str">
        <f t="shared" si="129"/>
        <v/>
      </c>
      <c r="KV8" s="36" t="str">
        <f t="shared" si="130"/>
        <v/>
      </c>
      <c r="KW8" s="36" t="str">
        <f t="shared" si="131"/>
        <v/>
      </c>
      <c r="KX8" s="36" t="str">
        <f t="shared" si="132"/>
        <v/>
      </c>
      <c r="KY8" s="36" t="str">
        <f t="shared" si="133"/>
        <v/>
      </c>
      <c r="KZ8" s="36" t="str">
        <f t="shared" si="134"/>
        <v/>
      </c>
      <c r="LA8" s="16"/>
      <c r="LB8" s="16"/>
      <c r="LC8" s="16"/>
      <c r="LD8" s="16"/>
      <c r="LE8" s="16"/>
      <c r="LF8" s="16"/>
      <c r="LG8" s="16"/>
      <c r="LH8" s="16"/>
      <c r="LI8" s="16"/>
      <c r="LJ8" s="16"/>
      <c r="LK8" s="16"/>
      <c r="LL8" s="16"/>
      <c r="LM8" s="16"/>
      <c r="LN8" s="16"/>
      <c r="LO8" s="16"/>
      <c r="LP8" s="16"/>
      <c r="LQ8" s="16"/>
      <c r="LR8" s="16"/>
      <c r="LS8" s="16"/>
      <c r="LT8" s="16"/>
      <c r="LU8" s="11" t="str">
        <f t="shared" si="135"/>
        <v/>
      </c>
      <c r="LV8" s="11" t="str">
        <f t="shared" si="136"/>
        <v/>
      </c>
      <c r="LW8" s="11" t="str">
        <f t="shared" si="137"/>
        <v/>
      </c>
      <c r="LX8" s="11" t="str">
        <f t="shared" si="138"/>
        <v/>
      </c>
      <c r="LY8" s="11" t="str">
        <f t="shared" si="139"/>
        <v/>
      </c>
      <c r="LZ8" s="11" t="str">
        <f t="shared" si="140"/>
        <v/>
      </c>
      <c r="MA8" s="11" t="str">
        <f t="shared" si="141"/>
        <v/>
      </c>
      <c r="MB8" s="11" t="str">
        <f t="shared" si="142"/>
        <v/>
      </c>
      <c r="MC8" s="11" t="str">
        <f t="shared" si="143"/>
        <v/>
      </c>
      <c r="MD8" s="11" t="str">
        <f t="shared" si="144"/>
        <v/>
      </c>
      <c r="ME8" s="11" t="str">
        <f t="shared" si="145"/>
        <v/>
      </c>
      <c r="MF8" s="11" t="str">
        <f t="shared" si="146"/>
        <v/>
      </c>
      <c r="MG8" s="11" t="str">
        <f t="shared" si="147"/>
        <v/>
      </c>
      <c r="MH8" s="11" t="str">
        <f t="shared" si="148"/>
        <v/>
      </c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36" t="str">
        <f t="shared" si="149"/>
        <v/>
      </c>
      <c r="ND8" s="36" t="str">
        <f t="shared" si="150"/>
        <v/>
      </c>
      <c r="NE8" s="36" t="str">
        <f t="shared" si="151"/>
        <v/>
      </c>
      <c r="NF8" s="36" t="str">
        <f t="shared" si="152"/>
        <v/>
      </c>
      <c r="NG8" s="36" t="str">
        <f t="shared" si="153"/>
        <v/>
      </c>
      <c r="NH8" s="36" t="str">
        <f t="shared" si="154"/>
        <v/>
      </c>
      <c r="NI8" s="36" t="str">
        <f t="shared" si="155"/>
        <v/>
      </c>
      <c r="NJ8" s="36" t="str">
        <f t="shared" si="156"/>
        <v/>
      </c>
      <c r="NK8" s="36" t="str">
        <f t="shared" si="157"/>
        <v/>
      </c>
      <c r="NL8" s="36" t="str">
        <f t="shared" si="158"/>
        <v/>
      </c>
      <c r="NM8" s="36" t="str">
        <f t="shared" si="159"/>
        <v/>
      </c>
      <c r="NN8" s="36" t="str">
        <f t="shared" si="160"/>
        <v/>
      </c>
      <c r="NO8" s="36" t="str">
        <f t="shared" si="161"/>
        <v/>
      </c>
      <c r="NP8" s="36" t="str">
        <f t="shared" si="162"/>
        <v/>
      </c>
      <c r="NQ8" s="16"/>
      <c r="NR8" s="16"/>
      <c r="NS8" s="16"/>
      <c r="NT8" s="16"/>
      <c r="NU8" s="16"/>
      <c r="NV8" s="16"/>
      <c r="NW8" s="16"/>
      <c r="NX8" s="16"/>
      <c r="NY8" s="16"/>
      <c r="NZ8" s="16"/>
      <c r="OA8" s="16"/>
      <c r="OB8" s="16"/>
      <c r="OC8" s="16"/>
      <c r="OD8" s="16"/>
      <c r="OE8" s="16"/>
      <c r="OF8" s="16"/>
      <c r="OG8" s="16"/>
      <c r="OH8" s="16"/>
      <c r="OI8" s="16"/>
      <c r="OJ8" s="16"/>
      <c r="OK8" s="11" t="str">
        <f t="shared" si="163"/>
        <v/>
      </c>
      <c r="OL8" s="11" t="str">
        <f t="shared" si="164"/>
        <v/>
      </c>
      <c r="OM8" s="11" t="str">
        <f t="shared" si="165"/>
        <v/>
      </c>
      <c r="ON8" s="11" t="str">
        <f t="shared" si="166"/>
        <v/>
      </c>
      <c r="OO8" s="11" t="str">
        <f t="shared" si="167"/>
        <v/>
      </c>
      <c r="OP8" s="11" t="str">
        <f t="shared" si="168"/>
        <v/>
      </c>
      <c r="OQ8" s="11" t="str">
        <f t="shared" si="169"/>
        <v/>
      </c>
      <c r="OR8" s="11" t="str">
        <f t="shared" si="170"/>
        <v/>
      </c>
      <c r="OS8" s="11" t="str">
        <f t="shared" si="171"/>
        <v/>
      </c>
      <c r="OT8" s="11" t="str">
        <f t="shared" si="172"/>
        <v/>
      </c>
      <c r="OU8" s="11" t="str">
        <f t="shared" si="173"/>
        <v/>
      </c>
      <c r="OV8" s="11" t="str">
        <f t="shared" si="174"/>
        <v/>
      </c>
      <c r="OW8" s="11" t="str">
        <f t="shared" si="175"/>
        <v/>
      </c>
      <c r="OX8" s="11" t="str">
        <f t="shared" si="176"/>
        <v/>
      </c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36" t="str">
        <f t="shared" si="177"/>
        <v/>
      </c>
      <c r="PT8" s="36" t="str">
        <f t="shared" si="178"/>
        <v/>
      </c>
      <c r="PU8" s="36" t="str">
        <f t="shared" si="179"/>
        <v/>
      </c>
      <c r="PV8" s="36" t="str">
        <f t="shared" si="180"/>
        <v/>
      </c>
      <c r="PW8" s="36" t="str">
        <f t="shared" si="181"/>
        <v/>
      </c>
      <c r="PX8" s="36" t="str">
        <f t="shared" si="182"/>
        <v/>
      </c>
      <c r="PY8" s="36" t="str">
        <f t="shared" si="183"/>
        <v/>
      </c>
      <c r="PZ8" s="36" t="str">
        <f t="shared" si="184"/>
        <v/>
      </c>
      <c r="QA8" s="36" t="str">
        <f t="shared" si="185"/>
        <v/>
      </c>
      <c r="QB8" s="36" t="str">
        <f t="shared" si="186"/>
        <v/>
      </c>
      <c r="QC8" s="36" t="str">
        <f t="shared" si="187"/>
        <v/>
      </c>
      <c r="QD8" s="36" t="str">
        <f t="shared" si="188"/>
        <v/>
      </c>
      <c r="QE8" s="36" t="str">
        <f t="shared" si="189"/>
        <v/>
      </c>
      <c r="QF8" s="36" t="str">
        <f t="shared" si="190"/>
        <v/>
      </c>
      <c r="QG8" s="16"/>
      <c r="QH8" s="16"/>
      <c r="QI8" s="16"/>
      <c r="QJ8" s="16"/>
      <c r="QK8" s="16"/>
      <c r="QL8" s="16"/>
      <c r="QM8" s="16"/>
      <c r="QN8" s="16"/>
      <c r="QO8" s="16"/>
      <c r="QP8" s="16"/>
      <c r="QQ8" s="16"/>
      <c r="QR8" s="16"/>
      <c r="QS8" s="16"/>
      <c r="QT8" s="16"/>
      <c r="QU8" s="16"/>
      <c r="QV8" s="16"/>
      <c r="QW8" s="16"/>
      <c r="QX8" s="16"/>
      <c r="QY8" s="16"/>
      <c r="QZ8" s="16"/>
      <c r="RA8" s="11" t="str">
        <f t="shared" si="191"/>
        <v/>
      </c>
      <c r="RB8" s="11" t="str">
        <f t="shared" si="192"/>
        <v/>
      </c>
      <c r="RC8" s="11" t="str">
        <f t="shared" si="193"/>
        <v/>
      </c>
      <c r="RD8" s="11" t="str">
        <f t="shared" si="194"/>
        <v/>
      </c>
      <c r="RE8" s="11" t="str">
        <f t="shared" si="195"/>
        <v/>
      </c>
      <c r="RF8" s="11" t="str">
        <f t="shared" si="196"/>
        <v/>
      </c>
      <c r="RG8" s="11" t="str">
        <f t="shared" si="197"/>
        <v/>
      </c>
      <c r="RH8" s="11" t="str">
        <f t="shared" si="198"/>
        <v/>
      </c>
      <c r="RI8" s="11" t="str">
        <f t="shared" si="199"/>
        <v/>
      </c>
      <c r="RJ8" s="11" t="str">
        <f t="shared" si="200"/>
        <v/>
      </c>
      <c r="RK8" s="11" t="str">
        <f t="shared" si="201"/>
        <v/>
      </c>
      <c r="RL8" s="11" t="str">
        <f t="shared" si="202"/>
        <v/>
      </c>
      <c r="RM8" s="11" t="str">
        <f t="shared" si="203"/>
        <v/>
      </c>
      <c r="RN8" s="11" t="str">
        <f t="shared" si="204"/>
        <v/>
      </c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36" t="str">
        <f t="shared" si="205"/>
        <v/>
      </c>
      <c r="SJ8" s="36" t="str">
        <f t="shared" si="206"/>
        <v/>
      </c>
      <c r="SK8" s="36" t="str">
        <f t="shared" si="207"/>
        <v/>
      </c>
      <c r="SL8" s="36" t="str">
        <f t="shared" si="208"/>
        <v/>
      </c>
      <c r="SM8" s="36" t="str">
        <f t="shared" si="209"/>
        <v/>
      </c>
      <c r="SN8" s="36" t="str">
        <f t="shared" si="210"/>
        <v/>
      </c>
      <c r="SO8" s="36" t="str">
        <f t="shared" si="211"/>
        <v/>
      </c>
      <c r="SP8" s="36" t="str">
        <f t="shared" si="212"/>
        <v/>
      </c>
      <c r="SQ8" s="36" t="str">
        <f t="shared" si="213"/>
        <v/>
      </c>
      <c r="SR8" s="36" t="str">
        <f t="shared" si="214"/>
        <v/>
      </c>
      <c r="SS8" s="36" t="str">
        <f t="shared" si="215"/>
        <v/>
      </c>
      <c r="ST8" s="36" t="str">
        <f t="shared" si="216"/>
        <v/>
      </c>
      <c r="SU8" s="36" t="str">
        <f t="shared" si="217"/>
        <v/>
      </c>
      <c r="SV8" s="36" t="str">
        <f t="shared" si="218"/>
        <v/>
      </c>
      <c r="SW8" s="16"/>
      <c r="SX8" s="16"/>
      <c r="SY8" s="16"/>
      <c r="SZ8" s="16"/>
      <c r="TA8" s="16"/>
      <c r="TB8" s="16"/>
      <c r="TC8" s="16"/>
      <c r="TD8" s="16"/>
      <c r="TE8" s="16"/>
      <c r="TF8" s="16"/>
      <c r="TG8" s="16"/>
      <c r="TH8" s="16"/>
      <c r="TI8" s="16"/>
      <c r="TJ8" s="16"/>
      <c r="TK8" s="16"/>
      <c r="TL8" s="16"/>
      <c r="TM8" s="16"/>
      <c r="TN8" s="16"/>
      <c r="TO8" s="16"/>
      <c r="TP8" s="16"/>
      <c r="TQ8" s="11" t="str">
        <f t="shared" si="219"/>
        <v/>
      </c>
      <c r="TR8" s="11" t="str">
        <f t="shared" si="220"/>
        <v/>
      </c>
      <c r="TS8" s="11" t="str">
        <f t="shared" si="221"/>
        <v/>
      </c>
      <c r="TT8" s="11" t="str">
        <f t="shared" si="222"/>
        <v/>
      </c>
      <c r="TU8" s="11" t="str">
        <f t="shared" si="223"/>
        <v/>
      </c>
      <c r="TV8" s="11" t="str">
        <f t="shared" si="224"/>
        <v/>
      </c>
      <c r="TW8" s="11" t="str">
        <f t="shared" si="225"/>
        <v/>
      </c>
      <c r="TX8" s="11" t="str">
        <f t="shared" si="226"/>
        <v/>
      </c>
      <c r="TY8" s="11" t="str">
        <f t="shared" si="227"/>
        <v/>
      </c>
      <c r="TZ8" s="11" t="str">
        <f t="shared" si="228"/>
        <v/>
      </c>
      <c r="UA8" s="11" t="str">
        <f t="shared" si="229"/>
        <v/>
      </c>
      <c r="UB8" s="11" t="str">
        <f t="shared" si="230"/>
        <v/>
      </c>
      <c r="UC8" s="11" t="str">
        <f t="shared" si="231"/>
        <v/>
      </c>
      <c r="UD8" s="11" t="str">
        <f t="shared" si="232"/>
        <v/>
      </c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36" t="str">
        <f t="shared" si="233"/>
        <v/>
      </c>
      <c r="UZ8" s="36" t="str">
        <f t="shared" si="234"/>
        <v/>
      </c>
      <c r="VA8" s="36" t="str">
        <f t="shared" si="235"/>
        <v/>
      </c>
      <c r="VB8" s="36" t="str">
        <f t="shared" si="236"/>
        <v/>
      </c>
      <c r="VC8" s="36" t="str">
        <f t="shared" si="237"/>
        <v/>
      </c>
      <c r="VD8" s="36" t="str">
        <f t="shared" si="238"/>
        <v/>
      </c>
      <c r="VE8" s="36" t="str">
        <f t="shared" si="239"/>
        <v/>
      </c>
      <c r="VF8" s="36" t="str">
        <f t="shared" si="240"/>
        <v/>
      </c>
      <c r="VG8" s="36" t="str">
        <f t="shared" si="241"/>
        <v/>
      </c>
      <c r="VH8" s="36" t="str">
        <f t="shared" si="242"/>
        <v/>
      </c>
      <c r="VI8" s="36" t="str">
        <f t="shared" si="243"/>
        <v/>
      </c>
      <c r="VJ8" s="36" t="str">
        <f t="shared" si="244"/>
        <v/>
      </c>
      <c r="VK8" s="36" t="str">
        <f t="shared" si="245"/>
        <v/>
      </c>
      <c r="VL8" s="36" t="str">
        <f t="shared" si="246"/>
        <v/>
      </c>
    </row>
    <row r="9" spans="1:584" x14ac:dyDescent="0.2">
      <c r="A9" s="4" t="str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/>
      </c>
      <c r="B9" s="5" t="s">
        <v>229</v>
      </c>
      <c r="C9" s="4" t="s">
        <v>3</v>
      </c>
      <c r="D9" s="4">
        <v>2011</v>
      </c>
      <c r="E9" s="9">
        <f t="shared" si="0"/>
        <v>138.30001380700489</v>
      </c>
      <c r="F9" s="3" t="str">
        <f t="shared" si="1"/>
        <v/>
      </c>
      <c r="G9" s="3" t="str">
        <f t="shared" si="2"/>
        <v/>
      </c>
      <c r="H9" s="32" t="str">
        <f t="shared" si="3"/>
        <v/>
      </c>
      <c r="I9" s="3"/>
      <c r="J9" s="8">
        <f t="shared" si="4"/>
        <v>40.31</v>
      </c>
      <c r="K9" s="8" t="str">
        <f t="shared" si="5"/>
        <v>2026 Elite Canada</v>
      </c>
      <c r="L9" s="8">
        <f t="shared" si="6"/>
        <v>48.900000000000006</v>
      </c>
      <c r="M9" s="8" t="str">
        <f t="shared" si="7"/>
        <v>2026 Elite Canada</v>
      </c>
      <c r="N9" s="8">
        <f t="shared" si="8"/>
        <v>48.860000000000007</v>
      </c>
      <c r="O9" s="8" t="str">
        <f t="shared" si="9"/>
        <v>2026 Elite Canada</v>
      </c>
      <c r="P9" s="8">
        <f t="shared" si="10"/>
        <v>0.22999999999999687</v>
      </c>
      <c r="Q9" s="11" t="str">
        <f t="shared" si="11"/>
        <v>(Compulsory)</v>
      </c>
      <c r="R9" s="8" t="b">
        <f t="shared" si="12"/>
        <v>0</v>
      </c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23"/>
      <c r="AI9" s="34" t="str">
        <f t="shared" si="13"/>
        <v/>
      </c>
      <c r="AJ9" s="34" t="str">
        <f t="shared" si="14"/>
        <v/>
      </c>
      <c r="AK9" s="36" t="str">
        <f t="shared" si="15"/>
        <v/>
      </c>
      <c r="AL9" s="36" t="str">
        <f t="shared" si="16"/>
        <v/>
      </c>
      <c r="AM9" s="36" t="str">
        <f t="shared" si="17"/>
        <v/>
      </c>
      <c r="AN9" s="36" t="str">
        <f t="shared" si="18"/>
        <v/>
      </c>
      <c r="AO9" s="36" t="str">
        <f t="shared" si="19"/>
        <v/>
      </c>
      <c r="AP9" s="36" t="str">
        <f t="shared" si="20"/>
        <v/>
      </c>
      <c r="AQ9" s="36" t="str">
        <f t="shared" si="21"/>
        <v/>
      </c>
      <c r="AR9" s="36" t="str">
        <f t="shared" si="22"/>
        <v/>
      </c>
      <c r="AS9" s="36" t="str">
        <f t="shared" si="23"/>
        <v/>
      </c>
      <c r="AT9" s="22">
        <v>16.100000000000001</v>
      </c>
      <c r="AU9" s="22">
        <v>9.1</v>
      </c>
      <c r="AV9" s="22">
        <v>0</v>
      </c>
      <c r="AW9" s="22">
        <v>15.11</v>
      </c>
      <c r="AX9" s="22">
        <v>0</v>
      </c>
      <c r="AY9" s="22">
        <v>13.7</v>
      </c>
      <c r="AZ9" s="22">
        <v>8.9</v>
      </c>
      <c r="BA9" s="22">
        <v>12</v>
      </c>
      <c r="BB9" s="22">
        <v>14.3</v>
      </c>
      <c r="BC9" s="22">
        <v>0</v>
      </c>
      <c r="BD9" s="22">
        <v>13.4</v>
      </c>
      <c r="BE9" s="22">
        <v>8.8000000000000007</v>
      </c>
      <c r="BF9" s="22">
        <v>12.7</v>
      </c>
      <c r="BG9" s="22">
        <v>13.96</v>
      </c>
      <c r="BH9" s="22">
        <v>0</v>
      </c>
      <c r="BI9" s="24"/>
      <c r="BJ9" s="35" t="str">
        <f t="shared" si="24"/>
        <v/>
      </c>
      <c r="BK9" s="35">
        <f t="shared" si="25"/>
        <v>15.11</v>
      </c>
      <c r="BL9" s="11">
        <f t="shared" si="26"/>
        <v>40.31</v>
      </c>
      <c r="BM9" s="11">
        <f t="shared" si="27"/>
        <v>12</v>
      </c>
      <c r="BN9" s="11">
        <f t="shared" si="28"/>
        <v>14.3</v>
      </c>
      <c r="BO9" s="11">
        <f t="shared" si="29"/>
        <v>48.900000000000006</v>
      </c>
      <c r="BP9" s="11">
        <f t="shared" si="30"/>
        <v>89.210000000000008</v>
      </c>
      <c r="BQ9" s="11">
        <f t="shared" si="31"/>
        <v>12.7</v>
      </c>
      <c r="BR9" s="11">
        <f t="shared" si="32"/>
        <v>13.96</v>
      </c>
      <c r="BS9" s="11">
        <f t="shared" si="33"/>
        <v>48.860000000000007</v>
      </c>
      <c r="BT9" s="11">
        <f t="shared" si="34"/>
        <v>138.07000000000002</v>
      </c>
      <c r="BU9" s="47">
        <f t="shared" si="35"/>
        <v>0.22999999999999687</v>
      </c>
      <c r="BV9" s="47" t="str">
        <f t="shared" si="36"/>
        <v/>
      </c>
      <c r="BW9" s="15">
        <v>15.9</v>
      </c>
      <c r="BX9" s="15">
        <v>9.6999999999999993</v>
      </c>
      <c r="BY9" s="15">
        <v>0</v>
      </c>
      <c r="BZ9" s="15">
        <v>14.94</v>
      </c>
      <c r="CA9" s="15">
        <v>0</v>
      </c>
      <c r="CB9" s="15">
        <v>13.7</v>
      </c>
      <c r="CC9" s="15">
        <v>9.5</v>
      </c>
      <c r="CD9" s="15">
        <v>11.1</v>
      </c>
      <c r="CE9" s="15">
        <v>14.47</v>
      </c>
      <c r="CF9" s="15">
        <v>0</v>
      </c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36" t="str">
        <f t="shared" si="37"/>
        <v/>
      </c>
      <c r="CR9" s="36">
        <f t="shared" si="38"/>
        <v>14.94</v>
      </c>
      <c r="CS9" s="36">
        <f t="shared" si="39"/>
        <v>40.54</v>
      </c>
      <c r="CT9" s="36">
        <f t="shared" si="40"/>
        <v>11.1</v>
      </c>
      <c r="CU9" s="36">
        <f t="shared" si="41"/>
        <v>14.47</v>
      </c>
      <c r="CV9" s="36">
        <f t="shared" si="42"/>
        <v>48.769999999999996</v>
      </c>
      <c r="CW9" s="36">
        <f t="shared" si="43"/>
        <v>89.31</v>
      </c>
      <c r="CX9" s="36" t="str">
        <f t="shared" si="44"/>
        <v/>
      </c>
      <c r="CY9" s="36" t="str">
        <f t="shared" si="45"/>
        <v/>
      </c>
      <c r="CZ9" s="36" t="str">
        <f t="shared" si="46"/>
        <v/>
      </c>
      <c r="DA9" s="36" t="str">
        <f t="shared" si="47"/>
        <v/>
      </c>
      <c r="DB9" s="36" t="str">
        <f t="shared" si="48"/>
        <v/>
      </c>
      <c r="DC9" s="36" t="str">
        <f t="shared" si="49"/>
        <v/>
      </c>
      <c r="DD9" s="36">
        <f t="shared" si="50"/>
        <v>89.31</v>
      </c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1" t="str">
        <f t="shared" si="51"/>
        <v/>
      </c>
      <c r="DZ9" s="11" t="str">
        <f t="shared" si="52"/>
        <v/>
      </c>
      <c r="EA9" s="11" t="str">
        <f t="shared" si="53"/>
        <v/>
      </c>
      <c r="EB9" s="11" t="str">
        <f t="shared" si="54"/>
        <v/>
      </c>
      <c r="EC9" s="11" t="str">
        <f t="shared" si="55"/>
        <v/>
      </c>
      <c r="ED9" s="11" t="str">
        <f t="shared" si="56"/>
        <v/>
      </c>
      <c r="EE9" s="11" t="str">
        <f t="shared" si="57"/>
        <v/>
      </c>
      <c r="EF9" s="11" t="str">
        <f t="shared" si="58"/>
        <v/>
      </c>
      <c r="EG9" s="11" t="str">
        <f t="shared" si="59"/>
        <v/>
      </c>
      <c r="EH9" s="11" t="str">
        <f t="shared" si="60"/>
        <v/>
      </c>
      <c r="EI9" s="11" t="str">
        <f t="shared" si="61"/>
        <v/>
      </c>
      <c r="EJ9" s="11" t="str">
        <f t="shared" si="62"/>
        <v/>
      </c>
      <c r="EK9" s="11" t="str">
        <f t="shared" si="63"/>
        <v/>
      </c>
      <c r="EL9" s="11" t="str">
        <f t="shared" si="64"/>
        <v/>
      </c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36" t="str">
        <f t="shared" si="65"/>
        <v/>
      </c>
      <c r="FH9" s="36" t="str">
        <f t="shared" si="66"/>
        <v/>
      </c>
      <c r="FI9" s="36" t="str">
        <f t="shared" si="67"/>
        <v/>
      </c>
      <c r="FJ9" s="36" t="str">
        <f t="shared" si="68"/>
        <v/>
      </c>
      <c r="FK9" s="36" t="str">
        <f t="shared" si="69"/>
        <v/>
      </c>
      <c r="FL9" s="36" t="str">
        <f t="shared" si="70"/>
        <v/>
      </c>
      <c r="FM9" s="36" t="str">
        <f t="shared" si="71"/>
        <v/>
      </c>
      <c r="FN9" s="36" t="str">
        <f t="shared" si="72"/>
        <v/>
      </c>
      <c r="FO9" s="36" t="str">
        <f t="shared" si="73"/>
        <v/>
      </c>
      <c r="FP9" s="36" t="str">
        <f t="shared" si="74"/>
        <v/>
      </c>
      <c r="FQ9" s="36" t="str">
        <f t="shared" si="75"/>
        <v/>
      </c>
      <c r="FR9" s="36" t="str">
        <f t="shared" si="76"/>
        <v/>
      </c>
      <c r="FS9" s="36" t="str">
        <f t="shared" si="77"/>
        <v/>
      </c>
      <c r="FT9" s="36" t="str">
        <f t="shared" si="78"/>
        <v/>
      </c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1" t="str">
        <f t="shared" si="79"/>
        <v/>
      </c>
      <c r="GP9" s="11" t="str">
        <f t="shared" si="80"/>
        <v/>
      </c>
      <c r="GQ9" s="11" t="str">
        <f t="shared" si="81"/>
        <v/>
      </c>
      <c r="GR9" s="11" t="str">
        <f t="shared" si="82"/>
        <v/>
      </c>
      <c r="GS9" s="11" t="str">
        <f t="shared" si="83"/>
        <v/>
      </c>
      <c r="GT9" s="11" t="str">
        <f t="shared" si="84"/>
        <v/>
      </c>
      <c r="GU9" s="11" t="str">
        <f t="shared" si="85"/>
        <v/>
      </c>
      <c r="GV9" s="11" t="str">
        <f t="shared" si="86"/>
        <v/>
      </c>
      <c r="GW9" s="11" t="str">
        <f t="shared" si="87"/>
        <v/>
      </c>
      <c r="GX9" s="11" t="str">
        <f t="shared" si="88"/>
        <v/>
      </c>
      <c r="GY9" s="11" t="str">
        <f t="shared" si="89"/>
        <v/>
      </c>
      <c r="GZ9" s="11" t="str">
        <f t="shared" si="90"/>
        <v/>
      </c>
      <c r="HA9" s="11" t="str">
        <f t="shared" si="91"/>
        <v/>
      </c>
      <c r="HB9" s="11" t="str">
        <f t="shared" si="92"/>
        <v/>
      </c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36" t="str">
        <f t="shared" si="93"/>
        <v/>
      </c>
      <c r="HX9" s="36" t="str">
        <f t="shared" si="94"/>
        <v/>
      </c>
      <c r="HY9" s="36" t="str">
        <f t="shared" si="95"/>
        <v/>
      </c>
      <c r="HZ9" s="36" t="str">
        <f t="shared" si="96"/>
        <v/>
      </c>
      <c r="IA9" s="36" t="str">
        <f t="shared" si="97"/>
        <v/>
      </c>
      <c r="IB9" s="36" t="str">
        <f t="shared" si="98"/>
        <v/>
      </c>
      <c r="IC9" s="36" t="str">
        <f t="shared" si="99"/>
        <v/>
      </c>
      <c r="ID9" s="36" t="str">
        <f t="shared" si="100"/>
        <v/>
      </c>
      <c r="IE9" s="36" t="str">
        <f t="shared" si="101"/>
        <v/>
      </c>
      <c r="IF9" s="36" t="str">
        <f t="shared" si="102"/>
        <v/>
      </c>
      <c r="IG9" s="36" t="str">
        <f t="shared" si="103"/>
        <v/>
      </c>
      <c r="IH9" s="36" t="str">
        <f t="shared" si="104"/>
        <v/>
      </c>
      <c r="II9" s="36" t="str">
        <f t="shared" si="105"/>
        <v/>
      </c>
      <c r="IJ9" s="36" t="str">
        <f t="shared" si="106"/>
        <v/>
      </c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16"/>
      <c r="JD9" s="16"/>
      <c r="JE9" s="11" t="str">
        <f t="shared" si="107"/>
        <v/>
      </c>
      <c r="JF9" s="11" t="str">
        <f t="shared" si="108"/>
        <v/>
      </c>
      <c r="JG9" s="11" t="str">
        <f t="shared" si="109"/>
        <v/>
      </c>
      <c r="JH9" s="11" t="str">
        <f t="shared" si="110"/>
        <v/>
      </c>
      <c r="JI9" s="11" t="str">
        <f t="shared" si="111"/>
        <v/>
      </c>
      <c r="JJ9" s="11" t="str">
        <f t="shared" si="112"/>
        <v/>
      </c>
      <c r="JK9" s="11" t="str">
        <f t="shared" si="113"/>
        <v/>
      </c>
      <c r="JL9" s="11" t="str">
        <f t="shared" si="114"/>
        <v/>
      </c>
      <c r="JM9" s="11" t="str">
        <f t="shared" si="115"/>
        <v/>
      </c>
      <c r="JN9" s="11" t="str">
        <f t="shared" si="116"/>
        <v/>
      </c>
      <c r="JO9" s="11" t="str">
        <f t="shared" si="117"/>
        <v/>
      </c>
      <c r="JP9" s="11" t="str">
        <f t="shared" si="118"/>
        <v/>
      </c>
      <c r="JQ9" s="11" t="str">
        <f t="shared" si="119"/>
        <v/>
      </c>
      <c r="JR9" s="11" t="str">
        <f t="shared" si="120"/>
        <v/>
      </c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36" t="str">
        <f t="shared" si="121"/>
        <v/>
      </c>
      <c r="KN9" s="36" t="str">
        <f t="shared" si="122"/>
        <v/>
      </c>
      <c r="KO9" s="36" t="str">
        <f t="shared" si="123"/>
        <v/>
      </c>
      <c r="KP9" s="36" t="str">
        <f t="shared" si="124"/>
        <v/>
      </c>
      <c r="KQ9" s="36" t="str">
        <f t="shared" si="125"/>
        <v/>
      </c>
      <c r="KR9" s="36" t="str">
        <f t="shared" si="126"/>
        <v/>
      </c>
      <c r="KS9" s="36" t="str">
        <f t="shared" si="127"/>
        <v/>
      </c>
      <c r="KT9" s="36" t="str">
        <f t="shared" si="128"/>
        <v/>
      </c>
      <c r="KU9" s="36" t="str">
        <f t="shared" si="129"/>
        <v/>
      </c>
      <c r="KV9" s="36" t="str">
        <f t="shared" si="130"/>
        <v/>
      </c>
      <c r="KW9" s="36" t="str">
        <f t="shared" si="131"/>
        <v/>
      </c>
      <c r="KX9" s="36" t="str">
        <f t="shared" si="132"/>
        <v/>
      </c>
      <c r="KY9" s="36" t="str">
        <f t="shared" si="133"/>
        <v/>
      </c>
      <c r="KZ9" s="36" t="str">
        <f t="shared" si="134"/>
        <v/>
      </c>
      <c r="LA9" s="16"/>
      <c r="LB9" s="16"/>
      <c r="LC9" s="16"/>
      <c r="LD9" s="16"/>
      <c r="LE9" s="16"/>
      <c r="LF9" s="16"/>
      <c r="LG9" s="16"/>
      <c r="LH9" s="16"/>
      <c r="LI9" s="16"/>
      <c r="LJ9" s="16"/>
      <c r="LK9" s="16"/>
      <c r="LL9" s="16"/>
      <c r="LM9" s="16"/>
      <c r="LN9" s="16"/>
      <c r="LO9" s="16"/>
      <c r="LP9" s="16"/>
      <c r="LQ9" s="16"/>
      <c r="LR9" s="16"/>
      <c r="LS9" s="16"/>
      <c r="LT9" s="16"/>
      <c r="LU9" s="11" t="str">
        <f t="shared" si="135"/>
        <v/>
      </c>
      <c r="LV9" s="11" t="str">
        <f t="shared" si="136"/>
        <v/>
      </c>
      <c r="LW9" s="11" t="str">
        <f t="shared" si="137"/>
        <v/>
      </c>
      <c r="LX9" s="11" t="str">
        <f t="shared" si="138"/>
        <v/>
      </c>
      <c r="LY9" s="11" t="str">
        <f t="shared" si="139"/>
        <v/>
      </c>
      <c r="LZ9" s="11" t="str">
        <f t="shared" si="140"/>
        <v/>
      </c>
      <c r="MA9" s="11" t="str">
        <f t="shared" si="141"/>
        <v/>
      </c>
      <c r="MB9" s="11" t="str">
        <f t="shared" si="142"/>
        <v/>
      </c>
      <c r="MC9" s="11" t="str">
        <f t="shared" si="143"/>
        <v/>
      </c>
      <c r="MD9" s="11" t="str">
        <f t="shared" si="144"/>
        <v/>
      </c>
      <c r="ME9" s="11" t="str">
        <f t="shared" si="145"/>
        <v/>
      </c>
      <c r="MF9" s="11" t="str">
        <f t="shared" si="146"/>
        <v/>
      </c>
      <c r="MG9" s="11" t="str">
        <f t="shared" si="147"/>
        <v/>
      </c>
      <c r="MH9" s="11" t="str">
        <f t="shared" si="148"/>
        <v/>
      </c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36" t="str">
        <f t="shared" si="149"/>
        <v/>
      </c>
      <c r="ND9" s="36" t="str">
        <f t="shared" si="150"/>
        <v/>
      </c>
      <c r="NE9" s="36" t="str">
        <f t="shared" si="151"/>
        <v/>
      </c>
      <c r="NF9" s="36" t="str">
        <f t="shared" si="152"/>
        <v/>
      </c>
      <c r="NG9" s="36" t="str">
        <f t="shared" si="153"/>
        <v/>
      </c>
      <c r="NH9" s="36" t="str">
        <f t="shared" si="154"/>
        <v/>
      </c>
      <c r="NI9" s="36" t="str">
        <f t="shared" si="155"/>
        <v/>
      </c>
      <c r="NJ9" s="36" t="str">
        <f t="shared" si="156"/>
        <v/>
      </c>
      <c r="NK9" s="36" t="str">
        <f t="shared" si="157"/>
        <v/>
      </c>
      <c r="NL9" s="36" t="str">
        <f t="shared" si="158"/>
        <v/>
      </c>
      <c r="NM9" s="36" t="str">
        <f t="shared" si="159"/>
        <v/>
      </c>
      <c r="NN9" s="36" t="str">
        <f t="shared" si="160"/>
        <v/>
      </c>
      <c r="NO9" s="36" t="str">
        <f t="shared" si="161"/>
        <v/>
      </c>
      <c r="NP9" s="36" t="str">
        <f t="shared" si="162"/>
        <v/>
      </c>
      <c r="NQ9" s="16"/>
      <c r="NR9" s="16"/>
      <c r="NS9" s="16"/>
      <c r="NT9" s="16"/>
      <c r="NU9" s="16"/>
      <c r="NV9" s="16"/>
      <c r="NW9" s="16"/>
      <c r="NX9" s="16"/>
      <c r="NY9" s="16"/>
      <c r="NZ9" s="16"/>
      <c r="OA9" s="16"/>
      <c r="OB9" s="16"/>
      <c r="OC9" s="16"/>
      <c r="OD9" s="16"/>
      <c r="OE9" s="16"/>
      <c r="OF9" s="16"/>
      <c r="OG9" s="16"/>
      <c r="OH9" s="16"/>
      <c r="OI9" s="16"/>
      <c r="OJ9" s="16"/>
      <c r="OK9" s="11" t="str">
        <f t="shared" si="163"/>
        <v/>
      </c>
      <c r="OL9" s="11" t="str">
        <f t="shared" si="164"/>
        <v/>
      </c>
      <c r="OM9" s="11" t="str">
        <f t="shared" si="165"/>
        <v/>
      </c>
      <c r="ON9" s="11" t="str">
        <f t="shared" si="166"/>
        <v/>
      </c>
      <c r="OO9" s="11" t="str">
        <f t="shared" si="167"/>
        <v/>
      </c>
      <c r="OP9" s="11" t="str">
        <f t="shared" si="168"/>
        <v/>
      </c>
      <c r="OQ9" s="11" t="str">
        <f t="shared" si="169"/>
        <v/>
      </c>
      <c r="OR9" s="11" t="str">
        <f t="shared" si="170"/>
        <v/>
      </c>
      <c r="OS9" s="11" t="str">
        <f t="shared" si="171"/>
        <v/>
      </c>
      <c r="OT9" s="11" t="str">
        <f t="shared" si="172"/>
        <v/>
      </c>
      <c r="OU9" s="11" t="str">
        <f t="shared" si="173"/>
        <v/>
      </c>
      <c r="OV9" s="11" t="str">
        <f t="shared" si="174"/>
        <v/>
      </c>
      <c r="OW9" s="11" t="str">
        <f t="shared" si="175"/>
        <v/>
      </c>
      <c r="OX9" s="11" t="str">
        <f t="shared" si="176"/>
        <v/>
      </c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36" t="str">
        <f t="shared" si="177"/>
        <v/>
      </c>
      <c r="PT9" s="36" t="str">
        <f t="shared" si="178"/>
        <v/>
      </c>
      <c r="PU9" s="36" t="str">
        <f t="shared" si="179"/>
        <v/>
      </c>
      <c r="PV9" s="36" t="str">
        <f t="shared" si="180"/>
        <v/>
      </c>
      <c r="PW9" s="36" t="str">
        <f t="shared" si="181"/>
        <v/>
      </c>
      <c r="PX9" s="36" t="str">
        <f t="shared" si="182"/>
        <v/>
      </c>
      <c r="PY9" s="36" t="str">
        <f t="shared" si="183"/>
        <v/>
      </c>
      <c r="PZ9" s="36" t="str">
        <f t="shared" si="184"/>
        <v/>
      </c>
      <c r="QA9" s="36" t="str">
        <f t="shared" si="185"/>
        <v/>
      </c>
      <c r="QB9" s="36" t="str">
        <f t="shared" si="186"/>
        <v/>
      </c>
      <c r="QC9" s="36" t="str">
        <f t="shared" si="187"/>
        <v/>
      </c>
      <c r="QD9" s="36" t="str">
        <f t="shared" si="188"/>
        <v/>
      </c>
      <c r="QE9" s="36" t="str">
        <f t="shared" si="189"/>
        <v/>
      </c>
      <c r="QF9" s="36" t="str">
        <f t="shared" si="190"/>
        <v/>
      </c>
      <c r="QG9" s="16"/>
      <c r="QH9" s="16"/>
      <c r="QI9" s="16"/>
      <c r="QJ9" s="16"/>
      <c r="QK9" s="16"/>
      <c r="QL9" s="16"/>
      <c r="QM9" s="16"/>
      <c r="QN9" s="16"/>
      <c r="QO9" s="16"/>
      <c r="QP9" s="16"/>
      <c r="QQ9" s="16"/>
      <c r="QR9" s="16"/>
      <c r="QS9" s="16"/>
      <c r="QT9" s="16"/>
      <c r="QU9" s="16"/>
      <c r="QV9" s="16"/>
      <c r="QW9" s="16"/>
      <c r="QX9" s="16"/>
      <c r="QY9" s="16"/>
      <c r="QZ9" s="16"/>
      <c r="RA9" s="11" t="str">
        <f t="shared" si="191"/>
        <v/>
      </c>
      <c r="RB9" s="11" t="str">
        <f t="shared" si="192"/>
        <v/>
      </c>
      <c r="RC9" s="11" t="str">
        <f t="shared" si="193"/>
        <v/>
      </c>
      <c r="RD9" s="11" t="str">
        <f t="shared" si="194"/>
        <v/>
      </c>
      <c r="RE9" s="11" t="str">
        <f t="shared" si="195"/>
        <v/>
      </c>
      <c r="RF9" s="11" t="str">
        <f t="shared" si="196"/>
        <v/>
      </c>
      <c r="RG9" s="11" t="str">
        <f t="shared" si="197"/>
        <v/>
      </c>
      <c r="RH9" s="11" t="str">
        <f t="shared" si="198"/>
        <v/>
      </c>
      <c r="RI9" s="11" t="str">
        <f t="shared" si="199"/>
        <v/>
      </c>
      <c r="RJ9" s="11" t="str">
        <f t="shared" si="200"/>
        <v/>
      </c>
      <c r="RK9" s="11" t="str">
        <f t="shared" si="201"/>
        <v/>
      </c>
      <c r="RL9" s="11" t="str">
        <f t="shared" si="202"/>
        <v/>
      </c>
      <c r="RM9" s="11" t="str">
        <f t="shared" si="203"/>
        <v/>
      </c>
      <c r="RN9" s="11" t="str">
        <f t="shared" si="204"/>
        <v/>
      </c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36" t="str">
        <f t="shared" si="205"/>
        <v/>
      </c>
      <c r="SJ9" s="36" t="str">
        <f t="shared" si="206"/>
        <v/>
      </c>
      <c r="SK9" s="36" t="str">
        <f t="shared" si="207"/>
        <v/>
      </c>
      <c r="SL9" s="36" t="str">
        <f t="shared" si="208"/>
        <v/>
      </c>
      <c r="SM9" s="36" t="str">
        <f t="shared" si="209"/>
        <v/>
      </c>
      <c r="SN9" s="36" t="str">
        <f t="shared" si="210"/>
        <v/>
      </c>
      <c r="SO9" s="36" t="str">
        <f t="shared" si="211"/>
        <v/>
      </c>
      <c r="SP9" s="36" t="str">
        <f t="shared" si="212"/>
        <v/>
      </c>
      <c r="SQ9" s="36" t="str">
        <f t="shared" si="213"/>
        <v/>
      </c>
      <c r="SR9" s="36" t="str">
        <f t="shared" si="214"/>
        <v/>
      </c>
      <c r="SS9" s="36" t="str">
        <f t="shared" si="215"/>
        <v/>
      </c>
      <c r="ST9" s="36" t="str">
        <f t="shared" si="216"/>
        <v/>
      </c>
      <c r="SU9" s="36" t="str">
        <f t="shared" si="217"/>
        <v/>
      </c>
      <c r="SV9" s="36" t="str">
        <f t="shared" si="218"/>
        <v/>
      </c>
      <c r="SW9" s="16"/>
      <c r="SX9" s="16"/>
      <c r="SY9" s="16"/>
      <c r="SZ9" s="16"/>
      <c r="TA9" s="16"/>
      <c r="TB9" s="16"/>
      <c r="TC9" s="16"/>
      <c r="TD9" s="16"/>
      <c r="TE9" s="16"/>
      <c r="TF9" s="16"/>
      <c r="TG9" s="16"/>
      <c r="TH9" s="16"/>
      <c r="TI9" s="16"/>
      <c r="TJ9" s="16"/>
      <c r="TK9" s="16"/>
      <c r="TL9" s="16"/>
      <c r="TM9" s="16"/>
      <c r="TN9" s="16"/>
      <c r="TO9" s="16"/>
      <c r="TP9" s="16"/>
      <c r="TQ9" s="11" t="str">
        <f t="shared" si="219"/>
        <v/>
      </c>
      <c r="TR9" s="11" t="str">
        <f t="shared" si="220"/>
        <v/>
      </c>
      <c r="TS9" s="11" t="str">
        <f t="shared" si="221"/>
        <v/>
      </c>
      <c r="TT9" s="11" t="str">
        <f t="shared" si="222"/>
        <v/>
      </c>
      <c r="TU9" s="11" t="str">
        <f t="shared" si="223"/>
        <v/>
      </c>
      <c r="TV9" s="11" t="str">
        <f t="shared" si="224"/>
        <v/>
      </c>
      <c r="TW9" s="11" t="str">
        <f t="shared" si="225"/>
        <v/>
      </c>
      <c r="TX9" s="11" t="str">
        <f t="shared" si="226"/>
        <v/>
      </c>
      <c r="TY9" s="11" t="str">
        <f t="shared" si="227"/>
        <v/>
      </c>
      <c r="TZ9" s="11" t="str">
        <f t="shared" si="228"/>
        <v/>
      </c>
      <c r="UA9" s="11" t="str">
        <f t="shared" si="229"/>
        <v/>
      </c>
      <c r="UB9" s="11" t="str">
        <f t="shared" si="230"/>
        <v/>
      </c>
      <c r="UC9" s="11" t="str">
        <f t="shared" si="231"/>
        <v/>
      </c>
      <c r="UD9" s="11" t="str">
        <f t="shared" si="232"/>
        <v/>
      </c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36" t="str">
        <f t="shared" si="233"/>
        <v/>
      </c>
      <c r="UZ9" s="36" t="str">
        <f t="shared" si="234"/>
        <v/>
      </c>
      <c r="VA9" s="36" t="str">
        <f t="shared" si="235"/>
        <v/>
      </c>
      <c r="VB9" s="36" t="str">
        <f t="shared" si="236"/>
        <v/>
      </c>
      <c r="VC9" s="36" t="str">
        <f t="shared" si="237"/>
        <v/>
      </c>
      <c r="VD9" s="36" t="str">
        <f t="shared" si="238"/>
        <v/>
      </c>
      <c r="VE9" s="36" t="str">
        <f t="shared" si="239"/>
        <v/>
      </c>
      <c r="VF9" s="36" t="str">
        <f t="shared" si="240"/>
        <v/>
      </c>
      <c r="VG9" s="36" t="str">
        <f t="shared" si="241"/>
        <v/>
      </c>
      <c r="VH9" s="36" t="str">
        <f t="shared" si="242"/>
        <v/>
      </c>
      <c r="VI9" s="36" t="str">
        <f t="shared" si="243"/>
        <v/>
      </c>
      <c r="VJ9" s="36" t="str">
        <f t="shared" si="244"/>
        <v/>
      </c>
      <c r="VK9" s="36" t="str">
        <f t="shared" si="245"/>
        <v/>
      </c>
      <c r="VL9" s="36" t="str">
        <f t="shared" si="246"/>
        <v/>
      </c>
    </row>
    <row r="10" spans="1:584" x14ac:dyDescent="0.2">
      <c r="A10" s="4" t="str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/>
      </c>
      <c r="B10" s="5" t="s">
        <v>212</v>
      </c>
      <c r="C10" s="4" t="s">
        <v>7</v>
      </c>
      <c r="D10" s="4">
        <v>2010</v>
      </c>
      <c r="E10" s="9">
        <f t="shared" si="0"/>
        <v>137.60001376000477</v>
      </c>
      <c r="F10" s="3" t="str">
        <f t="shared" si="1"/>
        <v/>
      </c>
      <c r="G10" s="3" t="str">
        <f t="shared" si="2"/>
        <v/>
      </c>
      <c r="H10" s="32" t="str">
        <f t="shared" si="3"/>
        <v/>
      </c>
      <c r="I10" s="3"/>
      <c r="J10" s="8">
        <f t="shared" si="4"/>
        <v>40.21</v>
      </c>
      <c r="K10" s="8" t="str">
        <f t="shared" si="5"/>
        <v>2026 Elite Canada</v>
      </c>
      <c r="L10" s="8">
        <f t="shared" si="6"/>
        <v>47.839999999999996</v>
      </c>
      <c r="M10" s="8" t="str">
        <f t="shared" si="7"/>
        <v>2025 3rd Domestic Trial</v>
      </c>
      <c r="N10" s="8">
        <f t="shared" si="8"/>
        <v>49.55</v>
      </c>
      <c r="O10" s="8" t="str">
        <f t="shared" si="9"/>
        <v>2025 3rd Domestic Trial</v>
      </c>
      <c r="P10" s="8">
        <f t="shared" si="10"/>
        <v>0</v>
      </c>
      <c r="Q10" s="11" t="str">
        <f t="shared" si="11"/>
        <v/>
      </c>
      <c r="R10" s="8" t="str">
        <f t="shared" si="12"/>
        <v/>
      </c>
      <c r="S10" s="18">
        <v>16.2</v>
      </c>
      <c r="T10" s="18">
        <v>9.3000000000000007</v>
      </c>
      <c r="U10" s="18">
        <v>0</v>
      </c>
      <c r="V10" s="18">
        <v>14.41</v>
      </c>
      <c r="W10" s="18">
        <v>0</v>
      </c>
      <c r="X10" s="18">
        <v>13.7</v>
      </c>
      <c r="Y10" s="18">
        <v>8.8000000000000007</v>
      </c>
      <c r="Z10" s="18">
        <v>10.9</v>
      </c>
      <c r="AA10" s="18">
        <v>14.44</v>
      </c>
      <c r="AB10" s="18">
        <v>0</v>
      </c>
      <c r="AC10" s="18">
        <v>15</v>
      </c>
      <c r="AD10" s="18">
        <v>9.1999999999999993</v>
      </c>
      <c r="AE10" s="18">
        <v>10.9</v>
      </c>
      <c r="AF10" s="18">
        <v>14.45</v>
      </c>
      <c r="AG10" s="18">
        <v>0</v>
      </c>
      <c r="AH10" s="23"/>
      <c r="AI10" s="34" t="str">
        <f t="shared" si="13"/>
        <v/>
      </c>
      <c r="AJ10" s="34">
        <f t="shared" si="14"/>
        <v>14.41</v>
      </c>
      <c r="AK10" s="36">
        <f t="shared" si="15"/>
        <v>39.909999999999997</v>
      </c>
      <c r="AL10" s="36">
        <f t="shared" si="16"/>
        <v>10.9</v>
      </c>
      <c r="AM10" s="36">
        <f t="shared" si="17"/>
        <v>14.44</v>
      </c>
      <c r="AN10" s="36">
        <f t="shared" si="18"/>
        <v>47.839999999999996</v>
      </c>
      <c r="AO10" s="36">
        <f t="shared" si="19"/>
        <v>87.75</v>
      </c>
      <c r="AP10" s="36">
        <f t="shared" si="20"/>
        <v>10.9</v>
      </c>
      <c r="AQ10" s="36">
        <f t="shared" si="21"/>
        <v>14.45</v>
      </c>
      <c r="AR10" s="36">
        <f t="shared" si="22"/>
        <v>49.55</v>
      </c>
      <c r="AS10" s="36">
        <f t="shared" si="23"/>
        <v>137.30000000000001</v>
      </c>
      <c r="AT10" s="22">
        <v>16.2</v>
      </c>
      <c r="AU10" s="22">
        <v>9.6999999999999993</v>
      </c>
      <c r="AV10" s="22">
        <v>0</v>
      </c>
      <c r="AW10" s="22">
        <v>14.31</v>
      </c>
      <c r="AX10" s="22">
        <v>0</v>
      </c>
      <c r="AY10" s="22">
        <v>14.1</v>
      </c>
      <c r="AZ10" s="22">
        <v>8.9</v>
      </c>
      <c r="BA10" s="22">
        <v>7.9</v>
      </c>
      <c r="BB10" s="22">
        <v>14.22</v>
      </c>
      <c r="BC10" s="22">
        <v>2.2000000000000002</v>
      </c>
      <c r="BD10" s="22">
        <v>8.3000000000000007</v>
      </c>
      <c r="BE10" s="22">
        <v>5.5</v>
      </c>
      <c r="BF10" s="22">
        <v>7.3</v>
      </c>
      <c r="BG10" s="22">
        <v>5.21</v>
      </c>
      <c r="BH10" s="22">
        <v>0</v>
      </c>
      <c r="BI10" s="24"/>
      <c r="BJ10" s="35" t="str">
        <f t="shared" si="24"/>
        <v/>
      </c>
      <c r="BK10" s="35">
        <f t="shared" si="25"/>
        <v>14.31</v>
      </c>
      <c r="BL10" s="11">
        <f t="shared" si="26"/>
        <v>40.21</v>
      </c>
      <c r="BM10" s="11">
        <f t="shared" si="27"/>
        <v>7.9</v>
      </c>
      <c r="BN10" s="11">
        <f t="shared" si="28"/>
        <v>14.22</v>
      </c>
      <c r="BO10" s="11">
        <f t="shared" si="29"/>
        <v>42.919999999999995</v>
      </c>
      <c r="BP10" s="11">
        <f t="shared" si="30"/>
        <v>83.13</v>
      </c>
      <c r="BQ10" s="11">
        <f t="shared" si="31"/>
        <v>7.3</v>
      </c>
      <c r="BR10" s="11">
        <f t="shared" si="32"/>
        <v>5.21</v>
      </c>
      <c r="BS10" s="11">
        <f t="shared" si="33"/>
        <v>26.310000000000002</v>
      </c>
      <c r="BT10" s="11">
        <f t="shared" si="34"/>
        <v>109.44</v>
      </c>
      <c r="BU10" s="47" t="str">
        <f t="shared" si="35"/>
        <v/>
      </c>
      <c r="BV10" s="47" t="str">
        <f t="shared" si="36"/>
        <v/>
      </c>
      <c r="BW10" s="15">
        <v>15.1</v>
      </c>
      <c r="BX10" s="15">
        <v>9.6</v>
      </c>
      <c r="BY10" s="15">
        <v>0</v>
      </c>
      <c r="BZ10" s="15">
        <v>14.68</v>
      </c>
      <c r="CA10" s="15">
        <v>0</v>
      </c>
      <c r="CB10" s="15">
        <v>12.9</v>
      </c>
      <c r="CC10" s="15">
        <v>8.6999999999999993</v>
      </c>
      <c r="CD10" s="15">
        <v>11.6</v>
      </c>
      <c r="CE10" s="15">
        <v>14.32</v>
      </c>
      <c r="CF10" s="15">
        <v>0</v>
      </c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36" t="str">
        <f t="shared" si="37"/>
        <v/>
      </c>
      <c r="CR10" s="36">
        <f t="shared" si="38"/>
        <v>14.68</v>
      </c>
      <c r="CS10" s="36">
        <f t="shared" si="39"/>
        <v>39.379999999999995</v>
      </c>
      <c r="CT10" s="36">
        <f t="shared" si="40"/>
        <v>11.6</v>
      </c>
      <c r="CU10" s="36">
        <f t="shared" si="41"/>
        <v>14.32</v>
      </c>
      <c r="CV10" s="36">
        <f t="shared" si="42"/>
        <v>47.52</v>
      </c>
      <c r="CW10" s="36">
        <f t="shared" si="43"/>
        <v>86.9</v>
      </c>
      <c r="CX10" s="36" t="str">
        <f t="shared" si="44"/>
        <v/>
      </c>
      <c r="CY10" s="36" t="str">
        <f t="shared" si="45"/>
        <v/>
      </c>
      <c r="CZ10" s="36" t="str">
        <f t="shared" si="46"/>
        <v/>
      </c>
      <c r="DA10" s="36" t="str">
        <f t="shared" si="47"/>
        <v/>
      </c>
      <c r="DB10" s="36" t="str">
        <f t="shared" si="48"/>
        <v/>
      </c>
      <c r="DC10" s="36" t="str">
        <f t="shared" si="49"/>
        <v/>
      </c>
      <c r="DD10" s="36">
        <f t="shared" si="50"/>
        <v>86.9</v>
      </c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1" t="str">
        <f t="shared" si="51"/>
        <v/>
      </c>
      <c r="DZ10" s="11" t="str">
        <f t="shared" si="52"/>
        <v/>
      </c>
      <c r="EA10" s="11" t="str">
        <f t="shared" si="53"/>
        <v/>
      </c>
      <c r="EB10" s="11" t="str">
        <f t="shared" si="54"/>
        <v/>
      </c>
      <c r="EC10" s="11" t="str">
        <f t="shared" si="55"/>
        <v/>
      </c>
      <c r="ED10" s="11" t="str">
        <f t="shared" si="56"/>
        <v/>
      </c>
      <c r="EE10" s="11" t="str">
        <f t="shared" si="57"/>
        <v/>
      </c>
      <c r="EF10" s="11" t="str">
        <f t="shared" si="58"/>
        <v/>
      </c>
      <c r="EG10" s="11" t="str">
        <f t="shared" si="59"/>
        <v/>
      </c>
      <c r="EH10" s="11" t="str">
        <f t="shared" si="60"/>
        <v/>
      </c>
      <c r="EI10" s="11" t="str">
        <f t="shared" si="61"/>
        <v/>
      </c>
      <c r="EJ10" s="11" t="str">
        <f t="shared" si="62"/>
        <v/>
      </c>
      <c r="EK10" s="11" t="str">
        <f t="shared" si="63"/>
        <v/>
      </c>
      <c r="EL10" s="11" t="str">
        <f t="shared" si="64"/>
        <v/>
      </c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36" t="str">
        <f t="shared" si="65"/>
        <v/>
      </c>
      <c r="FH10" s="36" t="str">
        <f t="shared" si="66"/>
        <v/>
      </c>
      <c r="FI10" s="36" t="str">
        <f t="shared" si="67"/>
        <v/>
      </c>
      <c r="FJ10" s="36" t="str">
        <f t="shared" si="68"/>
        <v/>
      </c>
      <c r="FK10" s="36" t="str">
        <f t="shared" si="69"/>
        <v/>
      </c>
      <c r="FL10" s="36" t="str">
        <f t="shared" si="70"/>
        <v/>
      </c>
      <c r="FM10" s="36" t="str">
        <f t="shared" si="71"/>
        <v/>
      </c>
      <c r="FN10" s="36" t="str">
        <f t="shared" si="72"/>
        <v/>
      </c>
      <c r="FO10" s="36" t="str">
        <f t="shared" si="73"/>
        <v/>
      </c>
      <c r="FP10" s="36" t="str">
        <f t="shared" si="74"/>
        <v/>
      </c>
      <c r="FQ10" s="36" t="str">
        <f t="shared" si="75"/>
        <v/>
      </c>
      <c r="FR10" s="36" t="str">
        <f t="shared" si="76"/>
        <v/>
      </c>
      <c r="FS10" s="36" t="str">
        <f t="shared" si="77"/>
        <v/>
      </c>
      <c r="FT10" s="36" t="str">
        <f t="shared" si="78"/>
        <v/>
      </c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1" t="str">
        <f t="shared" si="79"/>
        <v/>
      </c>
      <c r="GP10" s="11" t="str">
        <f t="shared" si="80"/>
        <v/>
      </c>
      <c r="GQ10" s="11" t="str">
        <f t="shared" si="81"/>
        <v/>
      </c>
      <c r="GR10" s="11" t="str">
        <f t="shared" si="82"/>
        <v/>
      </c>
      <c r="GS10" s="11" t="str">
        <f t="shared" si="83"/>
        <v/>
      </c>
      <c r="GT10" s="11" t="str">
        <f t="shared" si="84"/>
        <v/>
      </c>
      <c r="GU10" s="11" t="str">
        <f t="shared" si="85"/>
        <v/>
      </c>
      <c r="GV10" s="11" t="str">
        <f t="shared" si="86"/>
        <v/>
      </c>
      <c r="GW10" s="11" t="str">
        <f t="shared" si="87"/>
        <v/>
      </c>
      <c r="GX10" s="11" t="str">
        <f t="shared" si="88"/>
        <v/>
      </c>
      <c r="GY10" s="11" t="str">
        <f t="shared" si="89"/>
        <v/>
      </c>
      <c r="GZ10" s="11" t="str">
        <f t="shared" si="90"/>
        <v/>
      </c>
      <c r="HA10" s="11" t="str">
        <f t="shared" si="91"/>
        <v/>
      </c>
      <c r="HB10" s="11" t="str">
        <f t="shared" si="92"/>
        <v/>
      </c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36" t="str">
        <f t="shared" si="93"/>
        <v/>
      </c>
      <c r="HX10" s="36" t="str">
        <f t="shared" si="94"/>
        <v/>
      </c>
      <c r="HY10" s="36" t="str">
        <f t="shared" si="95"/>
        <v/>
      </c>
      <c r="HZ10" s="36" t="str">
        <f t="shared" si="96"/>
        <v/>
      </c>
      <c r="IA10" s="36" t="str">
        <f t="shared" si="97"/>
        <v/>
      </c>
      <c r="IB10" s="36" t="str">
        <f t="shared" si="98"/>
        <v/>
      </c>
      <c r="IC10" s="36" t="str">
        <f t="shared" si="99"/>
        <v/>
      </c>
      <c r="ID10" s="36" t="str">
        <f t="shared" si="100"/>
        <v/>
      </c>
      <c r="IE10" s="36" t="str">
        <f t="shared" si="101"/>
        <v/>
      </c>
      <c r="IF10" s="36" t="str">
        <f t="shared" si="102"/>
        <v/>
      </c>
      <c r="IG10" s="36" t="str">
        <f t="shared" si="103"/>
        <v/>
      </c>
      <c r="IH10" s="36" t="str">
        <f t="shared" si="104"/>
        <v/>
      </c>
      <c r="II10" s="36" t="str">
        <f t="shared" si="105"/>
        <v/>
      </c>
      <c r="IJ10" s="36" t="str">
        <f t="shared" si="106"/>
        <v/>
      </c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1" t="str">
        <f t="shared" si="107"/>
        <v/>
      </c>
      <c r="JF10" s="11" t="str">
        <f t="shared" si="108"/>
        <v/>
      </c>
      <c r="JG10" s="11" t="str">
        <f t="shared" si="109"/>
        <v/>
      </c>
      <c r="JH10" s="11" t="str">
        <f t="shared" si="110"/>
        <v/>
      </c>
      <c r="JI10" s="11" t="str">
        <f t="shared" si="111"/>
        <v/>
      </c>
      <c r="JJ10" s="11" t="str">
        <f t="shared" si="112"/>
        <v/>
      </c>
      <c r="JK10" s="11" t="str">
        <f t="shared" si="113"/>
        <v/>
      </c>
      <c r="JL10" s="11" t="str">
        <f t="shared" si="114"/>
        <v/>
      </c>
      <c r="JM10" s="11" t="str">
        <f t="shared" si="115"/>
        <v/>
      </c>
      <c r="JN10" s="11" t="str">
        <f t="shared" si="116"/>
        <v/>
      </c>
      <c r="JO10" s="11" t="str">
        <f t="shared" si="117"/>
        <v/>
      </c>
      <c r="JP10" s="11" t="str">
        <f t="shared" si="118"/>
        <v/>
      </c>
      <c r="JQ10" s="11" t="str">
        <f t="shared" si="119"/>
        <v/>
      </c>
      <c r="JR10" s="11" t="str">
        <f t="shared" si="120"/>
        <v/>
      </c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36" t="str">
        <f t="shared" si="121"/>
        <v/>
      </c>
      <c r="KN10" s="36" t="str">
        <f t="shared" si="122"/>
        <v/>
      </c>
      <c r="KO10" s="36" t="str">
        <f t="shared" si="123"/>
        <v/>
      </c>
      <c r="KP10" s="36" t="str">
        <f t="shared" si="124"/>
        <v/>
      </c>
      <c r="KQ10" s="36" t="str">
        <f t="shared" si="125"/>
        <v/>
      </c>
      <c r="KR10" s="36" t="str">
        <f t="shared" si="126"/>
        <v/>
      </c>
      <c r="KS10" s="36" t="str">
        <f t="shared" si="127"/>
        <v/>
      </c>
      <c r="KT10" s="36" t="str">
        <f t="shared" si="128"/>
        <v/>
      </c>
      <c r="KU10" s="36" t="str">
        <f t="shared" si="129"/>
        <v/>
      </c>
      <c r="KV10" s="36" t="str">
        <f t="shared" si="130"/>
        <v/>
      </c>
      <c r="KW10" s="36" t="str">
        <f t="shared" si="131"/>
        <v/>
      </c>
      <c r="KX10" s="36" t="str">
        <f t="shared" si="132"/>
        <v/>
      </c>
      <c r="KY10" s="36" t="str">
        <f t="shared" si="133"/>
        <v/>
      </c>
      <c r="KZ10" s="36" t="str">
        <f t="shared" si="134"/>
        <v/>
      </c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1" t="str">
        <f t="shared" si="135"/>
        <v/>
      </c>
      <c r="LV10" s="11" t="str">
        <f t="shared" si="136"/>
        <v/>
      </c>
      <c r="LW10" s="11" t="str">
        <f t="shared" si="137"/>
        <v/>
      </c>
      <c r="LX10" s="11" t="str">
        <f t="shared" si="138"/>
        <v/>
      </c>
      <c r="LY10" s="11" t="str">
        <f t="shared" si="139"/>
        <v/>
      </c>
      <c r="LZ10" s="11" t="str">
        <f t="shared" si="140"/>
        <v/>
      </c>
      <c r="MA10" s="11" t="str">
        <f t="shared" si="141"/>
        <v/>
      </c>
      <c r="MB10" s="11" t="str">
        <f t="shared" si="142"/>
        <v/>
      </c>
      <c r="MC10" s="11" t="str">
        <f t="shared" si="143"/>
        <v/>
      </c>
      <c r="MD10" s="11" t="str">
        <f t="shared" si="144"/>
        <v/>
      </c>
      <c r="ME10" s="11" t="str">
        <f t="shared" si="145"/>
        <v/>
      </c>
      <c r="MF10" s="11" t="str">
        <f t="shared" si="146"/>
        <v/>
      </c>
      <c r="MG10" s="11" t="str">
        <f t="shared" si="147"/>
        <v/>
      </c>
      <c r="MH10" s="11" t="str">
        <f t="shared" si="148"/>
        <v/>
      </c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36" t="str">
        <f t="shared" si="149"/>
        <v/>
      </c>
      <c r="ND10" s="36" t="str">
        <f t="shared" si="150"/>
        <v/>
      </c>
      <c r="NE10" s="36" t="str">
        <f t="shared" si="151"/>
        <v/>
      </c>
      <c r="NF10" s="36" t="str">
        <f t="shared" si="152"/>
        <v/>
      </c>
      <c r="NG10" s="36" t="str">
        <f t="shared" si="153"/>
        <v/>
      </c>
      <c r="NH10" s="36" t="str">
        <f t="shared" si="154"/>
        <v/>
      </c>
      <c r="NI10" s="36" t="str">
        <f t="shared" si="155"/>
        <v/>
      </c>
      <c r="NJ10" s="36" t="str">
        <f t="shared" si="156"/>
        <v/>
      </c>
      <c r="NK10" s="36" t="str">
        <f t="shared" si="157"/>
        <v/>
      </c>
      <c r="NL10" s="36" t="str">
        <f t="shared" si="158"/>
        <v/>
      </c>
      <c r="NM10" s="36" t="str">
        <f t="shared" si="159"/>
        <v/>
      </c>
      <c r="NN10" s="36" t="str">
        <f t="shared" si="160"/>
        <v/>
      </c>
      <c r="NO10" s="36" t="str">
        <f t="shared" si="161"/>
        <v/>
      </c>
      <c r="NP10" s="36" t="str">
        <f t="shared" si="162"/>
        <v/>
      </c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1" t="str">
        <f t="shared" si="163"/>
        <v/>
      </c>
      <c r="OL10" s="11" t="str">
        <f t="shared" si="164"/>
        <v/>
      </c>
      <c r="OM10" s="11" t="str">
        <f t="shared" si="165"/>
        <v/>
      </c>
      <c r="ON10" s="11" t="str">
        <f t="shared" si="166"/>
        <v/>
      </c>
      <c r="OO10" s="11" t="str">
        <f t="shared" si="167"/>
        <v/>
      </c>
      <c r="OP10" s="11" t="str">
        <f t="shared" si="168"/>
        <v/>
      </c>
      <c r="OQ10" s="11" t="str">
        <f t="shared" si="169"/>
        <v/>
      </c>
      <c r="OR10" s="11" t="str">
        <f t="shared" si="170"/>
        <v/>
      </c>
      <c r="OS10" s="11" t="str">
        <f t="shared" si="171"/>
        <v/>
      </c>
      <c r="OT10" s="11" t="str">
        <f t="shared" si="172"/>
        <v/>
      </c>
      <c r="OU10" s="11" t="str">
        <f t="shared" si="173"/>
        <v/>
      </c>
      <c r="OV10" s="11" t="str">
        <f t="shared" si="174"/>
        <v/>
      </c>
      <c r="OW10" s="11" t="str">
        <f t="shared" si="175"/>
        <v/>
      </c>
      <c r="OX10" s="11" t="str">
        <f t="shared" si="176"/>
        <v/>
      </c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36" t="str">
        <f t="shared" si="177"/>
        <v/>
      </c>
      <c r="PT10" s="36" t="str">
        <f t="shared" si="178"/>
        <v/>
      </c>
      <c r="PU10" s="36" t="str">
        <f t="shared" si="179"/>
        <v/>
      </c>
      <c r="PV10" s="36" t="str">
        <f t="shared" si="180"/>
        <v/>
      </c>
      <c r="PW10" s="36" t="str">
        <f t="shared" si="181"/>
        <v/>
      </c>
      <c r="PX10" s="36" t="str">
        <f t="shared" si="182"/>
        <v/>
      </c>
      <c r="PY10" s="36" t="str">
        <f t="shared" si="183"/>
        <v/>
      </c>
      <c r="PZ10" s="36" t="str">
        <f t="shared" si="184"/>
        <v/>
      </c>
      <c r="QA10" s="36" t="str">
        <f t="shared" si="185"/>
        <v/>
      </c>
      <c r="QB10" s="36" t="str">
        <f t="shared" si="186"/>
        <v/>
      </c>
      <c r="QC10" s="36" t="str">
        <f t="shared" si="187"/>
        <v/>
      </c>
      <c r="QD10" s="36" t="str">
        <f t="shared" si="188"/>
        <v/>
      </c>
      <c r="QE10" s="36" t="str">
        <f t="shared" si="189"/>
        <v/>
      </c>
      <c r="QF10" s="36" t="str">
        <f t="shared" si="190"/>
        <v/>
      </c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1" t="str">
        <f t="shared" si="191"/>
        <v/>
      </c>
      <c r="RB10" s="11" t="str">
        <f t="shared" si="192"/>
        <v/>
      </c>
      <c r="RC10" s="11" t="str">
        <f t="shared" si="193"/>
        <v/>
      </c>
      <c r="RD10" s="11" t="str">
        <f t="shared" si="194"/>
        <v/>
      </c>
      <c r="RE10" s="11" t="str">
        <f t="shared" si="195"/>
        <v/>
      </c>
      <c r="RF10" s="11" t="str">
        <f t="shared" si="196"/>
        <v/>
      </c>
      <c r="RG10" s="11" t="str">
        <f t="shared" si="197"/>
        <v/>
      </c>
      <c r="RH10" s="11" t="str">
        <f t="shared" si="198"/>
        <v/>
      </c>
      <c r="RI10" s="11" t="str">
        <f t="shared" si="199"/>
        <v/>
      </c>
      <c r="RJ10" s="11" t="str">
        <f t="shared" si="200"/>
        <v/>
      </c>
      <c r="RK10" s="11" t="str">
        <f t="shared" si="201"/>
        <v/>
      </c>
      <c r="RL10" s="11" t="str">
        <f t="shared" si="202"/>
        <v/>
      </c>
      <c r="RM10" s="11" t="str">
        <f t="shared" si="203"/>
        <v/>
      </c>
      <c r="RN10" s="11" t="str">
        <f t="shared" si="204"/>
        <v/>
      </c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36" t="str">
        <f t="shared" si="205"/>
        <v/>
      </c>
      <c r="SJ10" s="36" t="str">
        <f t="shared" si="206"/>
        <v/>
      </c>
      <c r="SK10" s="36" t="str">
        <f t="shared" si="207"/>
        <v/>
      </c>
      <c r="SL10" s="36" t="str">
        <f t="shared" si="208"/>
        <v/>
      </c>
      <c r="SM10" s="36" t="str">
        <f t="shared" si="209"/>
        <v/>
      </c>
      <c r="SN10" s="36" t="str">
        <f t="shared" si="210"/>
        <v/>
      </c>
      <c r="SO10" s="36" t="str">
        <f t="shared" si="211"/>
        <v/>
      </c>
      <c r="SP10" s="36" t="str">
        <f t="shared" si="212"/>
        <v/>
      </c>
      <c r="SQ10" s="36" t="str">
        <f t="shared" si="213"/>
        <v/>
      </c>
      <c r="SR10" s="36" t="str">
        <f t="shared" si="214"/>
        <v/>
      </c>
      <c r="SS10" s="36" t="str">
        <f t="shared" si="215"/>
        <v/>
      </c>
      <c r="ST10" s="36" t="str">
        <f t="shared" si="216"/>
        <v/>
      </c>
      <c r="SU10" s="36" t="str">
        <f t="shared" si="217"/>
        <v/>
      </c>
      <c r="SV10" s="36" t="str">
        <f t="shared" si="218"/>
        <v/>
      </c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1" t="str">
        <f t="shared" si="219"/>
        <v/>
      </c>
      <c r="TR10" s="11" t="str">
        <f t="shared" si="220"/>
        <v/>
      </c>
      <c r="TS10" s="11" t="str">
        <f t="shared" si="221"/>
        <v/>
      </c>
      <c r="TT10" s="11" t="str">
        <f t="shared" si="222"/>
        <v/>
      </c>
      <c r="TU10" s="11" t="str">
        <f t="shared" si="223"/>
        <v/>
      </c>
      <c r="TV10" s="11" t="str">
        <f t="shared" si="224"/>
        <v/>
      </c>
      <c r="TW10" s="11" t="str">
        <f t="shared" si="225"/>
        <v/>
      </c>
      <c r="TX10" s="11" t="str">
        <f t="shared" si="226"/>
        <v/>
      </c>
      <c r="TY10" s="11" t="str">
        <f t="shared" si="227"/>
        <v/>
      </c>
      <c r="TZ10" s="11" t="str">
        <f t="shared" si="228"/>
        <v/>
      </c>
      <c r="UA10" s="11" t="str">
        <f t="shared" si="229"/>
        <v/>
      </c>
      <c r="UB10" s="11" t="str">
        <f t="shared" si="230"/>
        <v/>
      </c>
      <c r="UC10" s="11" t="str">
        <f t="shared" si="231"/>
        <v/>
      </c>
      <c r="UD10" s="11" t="str">
        <f t="shared" si="232"/>
        <v/>
      </c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36" t="str">
        <f t="shared" si="233"/>
        <v/>
      </c>
      <c r="UZ10" s="36" t="str">
        <f t="shared" si="234"/>
        <v/>
      </c>
      <c r="VA10" s="36" t="str">
        <f t="shared" si="235"/>
        <v/>
      </c>
      <c r="VB10" s="36" t="str">
        <f t="shared" si="236"/>
        <v/>
      </c>
      <c r="VC10" s="36" t="str">
        <f t="shared" si="237"/>
        <v/>
      </c>
      <c r="VD10" s="36" t="str">
        <f t="shared" si="238"/>
        <v/>
      </c>
      <c r="VE10" s="36" t="str">
        <f t="shared" si="239"/>
        <v/>
      </c>
      <c r="VF10" s="36" t="str">
        <f t="shared" si="240"/>
        <v/>
      </c>
      <c r="VG10" s="36" t="str">
        <f t="shared" si="241"/>
        <v/>
      </c>
      <c r="VH10" s="36" t="str">
        <f t="shared" si="242"/>
        <v/>
      </c>
      <c r="VI10" s="36" t="str">
        <f t="shared" si="243"/>
        <v/>
      </c>
      <c r="VJ10" s="36" t="str">
        <f t="shared" si="244"/>
        <v/>
      </c>
      <c r="VK10" s="36" t="str">
        <f t="shared" si="245"/>
        <v/>
      </c>
      <c r="VL10" s="36" t="str">
        <f t="shared" si="246"/>
        <v/>
      </c>
    </row>
    <row r="11" spans="1:584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227</v>
      </c>
      <c r="C11" s="4" t="s">
        <v>7</v>
      </c>
      <c r="D11" s="4">
        <v>2010</v>
      </c>
      <c r="E11" s="9">
        <f t="shared" si="0"/>
        <v>134.4600134460045</v>
      </c>
      <c r="F11" s="3" t="str">
        <f t="shared" si="1"/>
        <v/>
      </c>
      <c r="G11" s="3" t="str">
        <f t="shared" si="2"/>
        <v/>
      </c>
      <c r="H11" s="32" t="str">
        <f t="shared" si="3"/>
        <v/>
      </c>
      <c r="I11" s="3"/>
      <c r="J11" s="8">
        <f t="shared" si="4"/>
        <v>41.230000000000004</v>
      </c>
      <c r="K11" s="8" t="str">
        <f t="shared" si="5"/>
        <v>2026 Elite Canada</v>
      </c>
      <c r="L11" s="8">
        <f t="shared" si="6"/>
        <v>45.18</v>
      </c>
      <c r="M11" s="8" t="str">
        <f t="shared" si="7"/>
        <v>2026 Elite Canada</v>
      </c>
      <c r="N11" s="8">
        <f t="shared" si="8"/>
        <v>48.05</v>
      </c>
      <c r="O11" s="8" t="str">
        <f t="shared" si="9"/>
        <v>2026 Elite Canada</v>
      </c>
      <c r="P11" s="8">
        <f t="shared" si="10"/>
        <v>0</v>
      </c>
      <c r="Q11" s="11" t="str">
        <f t="shared" si="11"/>
        <v/>
      </c>
      <c r="R11" s="8" t="str">
        <f t="shared" si="12"/>
        <v/>
      </c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23"/>
      <c r="AI11" s="34" t="str">
        <f t="shared" si="13"/>
        <v/>
      </c>
      <c r="AJ11" s="34" t="str">
        <f t="shared" si="14"/>
        <v/>
      </c>
      <c r="AK11" s="36" t="str">
        <f t="shared" si="15"/>
        <v/>
      </c>
      <c r="AL11" s="36" t="str">
        <f t="shared" si="16"/>
        <v/>
      </c>
      <c r="AM11" s="36" t="str">
        <f t="shared" si="17"/>
        <v/>
      </c>
      <c r="AN11" s="36" t="str">
        <f t="shared" si="18"/>
        <v/>
      </c>
      <c r="AO11" s="36" t="str">
        <f t="shared" si="19"/>
        <v/>
      </c>
      <c r="AP11" s="36" t="str">
        <f t="shared" si="20"/>
        <v/>
      </c>
      <c r="AQ11" s="36" t="str">
        <f t="shared" si="21"/>
        <v/>
      </c>
      <c r="AR11" s="36" t="str">
        <f t="shared" si="22"/>
        <v/>
      </c>
      <c r="AS11" s="36" t="str">
        <f t="shared" si="23"/>
        <v/>
      </c>
      <c r="AT11" s="22">
        <v>17</v>
      </c>
      <c r="AU11" s="22">
        <v>9.3000000000000007</v>
      </c>
      <c r="AV11" s="22">
        <v>0</v>
      </c>
      <c r="AW11" s="22">
        <v>14.93</v>
      </c>
      <c r="AX11" s="22">
        <v>0</v>
      </c>
      <c r="AY11" s="22">
        <v>13.6</v>
      </c>
      <c r="AZ11" s="22">
        <v>8.1</v>
      </c>
      <c r="BA11" s="22">
        <v>11</v>
      </c>
      <c r="BB11" s="22">
        <v>12.68</v>
      </c>
      <c r="BC11" s="22">
        <v>0.2</v>
      </c>
      <c r="BD11" s="22">
        <v>13</v>
      </c>
      <c r="BE11" s="22">
        <v>9</v>
      </c>
      <c r="BF11" s="22">
        <v>12.3</v>
      </c>
      <c r="BG11" s="22">
        <v>13.75</v>
      </c>
      <c r="BH11" s="22">
        <v>0</v>
      </c>
      <c r="BI11" s="24"/>
      <c r="BJ11" s="35" t="str">
        <f t="shared" si="24"/>
        <v/>
      </c>
      <c r="BK11" s="35">
        <f t="shared" si="25"/>
        <v>14.93</v>
      </c>
      <c r="BL11" s="11">
        <f t="shared" si="26"/>
        <v>41.230000000000004</v>
      </c>
      <c r="BM11" s="11">
        <f t="shared" si="27"/>
        <v>11</v>
      </c>
      <c r="BN11" s="11">
        <f t="shared" si="28"/>
        <v>12.68</v>
      </c>
      <c r="BO11" s="11">
        <f t="shared" si="29"/>
        <v>45.18</v>
      </c>
      <c r="BP11" s="11">
        <f t="shared" si="30"/>
        <v>86.41</v>
      </c>
      <c r="BQ11" s="11">
        <f t="shared" si="31"/>
        <v>12.3</v>
      </c>
      <c r="BR11" s="11">
        <f t="shared" si="32"/>
        <v>13.75</v>
      </c>
      <c r="BS11" s="11">
        <f t="shared" si="33"/>
        <v>48.05</v>
      </c>
      <c r="BT11" s="11">
        <f t="shared" si="34"/>
        <v>134.45999999999998</v>
      </c>
      <c r="BU11" s="47" t="str">
        <f t="shared" si="35"/>
        <v/>
      </c>
      <c r="BV11" s="47" t="str">
        <f t="shared" si="36"/>
        <v/>
      </c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36" t="str">
        <f t="shared" si="37"/>
        <v/>
      </c>
      <c r="CR11" s="36" t="str">
        <f t="shared" si="38"/>
        <v/>
      </c>
      <c r="CS11" s="36" t="str">
        <f t="shared" si="39"/>
        <v/>
      </c>
      <c r="CT11" s="36" t="str">
        <f t="shared" si="40"/>
        <v/>
      </c>
      <c r="CU11" s="36" t="str">
        <f t="shared" si="41"/>
        <v/>
      </c>
      <c r="CV11" s="36" t="str">
        <f t="shared" si="42"/>
        <v/>
      </c>
      <c r="CW11" s="36" t="str">
        <f t="shared" si="43"/>
        <v/>
      </c>
      <c r="CX11" s="36" t="str">
        <f t="shared" si="44"/>
        <v/>
      </c>
      <c r="CY11" s="36" t="str">
        <f t="shared" si="45"/>
        <v/>
      </c>
      <c r="CZ11" s="36" t="str">
        <f t="shared" si="46"/>
        <v/>
      </c>
      <c r="DA11" s="36" t="str">
        <f t="shared" si="47"/>
        <v/>
      </c>
      <c r="DB11" s="36" t="str">
        <f t="shared" si="48"/>
        <v/>
      </c>
      <c r="DC11" s="36" t="str">
        <f t="shared" si="49"/>
        <v/>
      </c>
      <c r="DD11" s="36" t="str">
        <f t="shared" si="50"/>
        <v/>
      </c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1" t="str">
        <f t="shared" si="51"/>
        <v/>
      </c>
      <c r="DZ11" s="11" t="str">
        <f t="shared" si="52"/>
        <v/>
      </c>
      <c r="EA11" s="11" t="str">
        <f t="shared" si="53"/>
        <v/>
      </c>
      <c r="EB11" s="11" t="str">
        <f t="shared" si="54"/>
        <v/>
      </c>
      <c r="EC11" s="11" t="str">
        <f t="shared" si="55"/>
        <v/>
      </c>
      <c r="ED11" s="11" t="str">
        <f t="shared" si="56"/>
        <v/>
      </c>
      <c r="EE11" s="11" t="str">
        <f t="shared" si="57"/>
        <v/>
      </c>
      <c r="EF11" s="11" t="str">
        <f t="shared" si="58"/>
        <v/>
      </c>
      <c r="EG11" s="11" t="str">
        <f t="shared" si="59"/>
        <v/>
      </c>
      <c r="EH11" s="11" t="str">
        <f t="shared" si="60"/>
        <v/>
      </c>
      <c r="EI11" s="11" t="str">
        <f t="shared" si="61"/>
        <v/>
      </c>
      <c r="EJ11" s="11" t="str">
        <f t="shared" si="62"/>
        <v/>
      </c>
      <c r="EK11" s="11" t="str">
        <f t="shared" si="63"/>
        <v/>
      </c>
      <c r="EL11" s="11" t="str">
        <f t="shared" si="64"/>
        <v/>
      </c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36" t="str">
        <f t="shared" si="65"/>
        <v/>
      </c>
      <c r="FH11" s="36" t="str">
        <f t="shared" si="66"/>
        <v/>
      </c>
      <c r="FI11" s="36" t="str">
        <f t="shared" si="67"/>
        <v/>
      </c>
      <c r="FJ11" s="36" t="str">
        <f t="shared" si="68"/>
        <v/>
      </c>
      <c r="FK11" s="36" t="str">
        <f t="shared" si="69"/>
        <v/>
      </c>
      <c r="FL11" s="36" t="str">
        <f t="shared" si="70"/>
        <v/>
      </c>
      <c r="FM11" s="36" t="str">
        <f t="shared" si="71"/>
        <v/>
      </c>
      <c r="FN11" s="36" t="str">
        <f t="shared" si="72"/>
        <v/>
      </c>
      <c r="FO11" s="36" t="str">
        <f t="shared" si="73"/>
        <v/>
      </c>
      <c r="FP11" s="36" t="str">
        <f t="shared" si="74"/>
        <v/>
      </c>
      <c r="FQ11" s="36" t="str">
        <f t="shared" si="75"/>
        <v/>
      </c>
      <c r="FR11" s="36" t="str">
        <f t="shared" si="76"/>
        <v/>
      </c>
      <c r="FS11" s="36" t="str">
        <f t="shared" si="77"/>
        <v/>
      </c>
      <c r="FT11" s="36" t="str">
        <f t="shared" si="78"/>
        <v/>
      </c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1" t="str">
        <f t="shared" si="79"/>
        <v/>
      </c>
      <c r="GP11" s="11" t="str">
        <f t="shared" si="80"/>
        <v/>
      </c>
      <c r="GQ11" s="11" t="str">
        <f t="shared" si="81"/>
        <v/>
      </c>
      <c r="GR11" s="11" t="str">
        <f t="shared" si="82"/>
        <v/>
      </c>
      <c r="GS11" s="11" t="str">
        <f t="shared" si="83"/>
        <v/>
      </c>
      <c r="GT11" s="11" t="str">
        <f t="shared" si="84"/>
        <v/>
      </c>
      <c r="GU11" s="11" t="str">
        <f t="shared" si="85"/>
        <v/>
      </c>
      <c r="GV11" s="11" t="str">
        <f t="shared" si="86"/>
        <v/>
      </c>
      <c r="GW11" s="11" t="str">
        <f t="shared" si="87"/>
        <v/>
      </c>
      <c r="GX11" s="11" t="str">
        <f t="shared" si="88"/>
        <v/>
      </c>
      <c r="GY11" s="11" t="str">
        <f t="shared" si="89"/>
        <v/>
      </c>
      <c r="GZ11" s="11" t="str">
        <f t="shared" si="90"/>
        <v/>
      </c>
      <c r="HA11" s="11" t="str">
        <f t="shared" si="91"/>
        <v/>
      </c>
      <c r="HB11" s="11" t="str">
        <f t="shared" si="92"/>
        <v/>
      </c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36" t="str">
        <f t="shared" si="93"/>
        <v/>
      </c>
      <c r="HX11" s="36" t="str">
        <f t="shared" si="94"/>
        <v/>
      </c>
      <c r="HY11" s="36" t="str">
        <f t="shared" si="95"/>
        <v/>
      </c>
      <c r="HZ11" s="36" t="str">
        <f t="shared" si="96"/>
        <v/>
      </c>
      <c r="IA11" s="36" t="str">
        <f t="shared" si="97"/>
        <v/>
      </c>
      <c r="IB11" s="36" t="str">
        <f t="shared" si="98"/>
        <v/>
      </c>
      <c r="IC11" s="36" t="str">
        <f t="shared" si="99"/>
        <v/>
      </c>
      <c r="ID11" s="36" t="str">
        <f t="shared" si="100"/>
        <v/>
      </c>
      <c r="IE11" s="36" t="str">
        <f t="shared" si="101"/>
        <v/>
      </c>
      <c r="IF11" s="36" t="str">
        <f t="shared" si="102"/>
        <v/>
      </c>
      <c r="IG11" s="36" t="str">
        <f t="shared" si="103"/>
        <v/>
      </c>
      <c r="IH11" s="36" t="str">
        <f t="shared" si="104"/>
        <v/>
      </c>
      <c r="II11" s="36" t="str">
        <f t="shared" si="105"/>
        <v/>
      </c>
      <c r="IJ11" s="36" t="str">
        <f t="shared" si="106"/>
        <v/>
      </c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16"/>
      <c r="JD11" s="16"/>
      <c r="JE11" s="11" t="str">
        <f t="shared" si="107"/>
        <v/>
      </c>
      <c r="JF11" s="11" t="str">
        <f t="shared" si="108"/>
        <v/>
      </c>
      <c r="JG11" s="11" t="str">
        <f t="shared" si="109"/>
        <v/>
      </c>
      <c r="JH11" s="11" t="str">
        <f t="shared" si="110"/>
        <v/>
      </c>
      <c r="JI11" s="11" t="str">
        <f t="shared" si="111"/>
        <v/>
      </c>
      <c r="JJ11" s="11" t="str">
        <f t="shared" si="112"/>
        <v/>
      </c>
      <c r="JK11" s="11" t="str">
        <f t="shared" si="113"/>
        <v/>
      </c>
      <c r="JL11" s="11" t="str">
        <f t="shared" si="114"/>
        <v/>
      </c>
      <c r="JM11" s="11" t="str">
        <f t="shared" si="115"/>
        <v/>
      </c>
      <c r="JN11" s="11" t="str">
        <f t="shared" si="116"/>
        <v/>
      </c>
      <c r="JO11" s="11" t="str">
        <f t="shared" si="117"/>
        <v/>
      </c>
      <c r="JP11" s="11" t="str">
        <f t="shared" si="118"/>
        <v/>
      </c>
      <c r="JQ11" s="11" t="str">
        <f t="shared" si="119"/>
        <v/>
      </c>
      <c r="JR11" s="11" t="str">
        <f t="shared" si="120"/>
        <v/>
      </c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36" t="str">
        <f t="shared" si="121"/>
        <v/>
      </c>
      <c r="KN11" s="36" t="str">
        <f t="shared" si="122"/>
        <v/>
      </c>
      <c r="KO11" s="36" t="str">
        <f t="shared" si="123"/>
        <v/>
      </c>
      <c r="KP11" s="36" t="str">
        <f t="shared" si="124"/>
        <v/>
      </c>
      <c r="KQ11" s="36" t="str">
        <f t="shared" si="125"/>
        <v/>
      </c>
      <c r="KR11" s="36" t="str">
        <f t="shared" si="126"/>
        <v/>
      </c>
      <c r="KS11" s="36" t="str">
        <f t="shared" si="127"/>
        <v/>
      </c>
      <c r="KT11" s="36" t="str">
        <f t="shared" si="128"/>
        <v/>
      </c>
      <c r="KU11" s="36" t="str">
        <f t="shared" si="129"/>
        <v/>
      </c>
      <c r="KV11" s="36" t="str">
        <f t="shared" si="130"/>
        <v/>
      </c>
      <c r="KW11" s="36" t="str">
        <f t="shared" si="131"/>
        <v/>
      </c>
      <c r="KX11" s="36" t="str">
        <f t="shared" si="132"/>
        <v/>
      </c>
      <c r="KY11" s="36" t="str">
        <f t="shared" si="133"/>
        <v/>
      </c>
      <c r="KZ11" s="36" t="str">
        <f t="shared" si="134"/>
        <v/>
      </c>
      <c r="LA11" s="16"/>
      <c r="LB11" s="16"/>
      <c r="LC11" s="16"/>
      <c r="LD11" s="16"/>
      <c r="LE11" s="16"/>
      <c r="LF11" s="16"/>
      <c r="LG11" s="16"/>
      <c r="LH11" s="16"/>
      <c r="LI11" s="16"/>
      <c r="LJ11" s="16"/>
      <c r="LK11" s="16"/>
      <c r="LL11" s="16"/>
      <c r="LM11" s="16"/>
      <c r="LN11" s="16"/>
      <c r="LO11" s="16"/>
      <c r="LP11" s="16"/>
      <c r="LQ11" s="16"/>
      <c r="LR11" s="16"/>
      <c r="LS11" s="16"/>
      <c r="LT11" s="16"/>
      <c r="LU11" s="11" t="str">
        <f t="shared" si="135"/>
        <v/>
      </c>
      <c r="LV11" s="11" t="str">
        <f t="shared" si="136"/>
        <v/>
      </c>
      <c r="LW11" s="11" t="str">
        <f t="shared" si="137"/>
        <v/>
      </c>
      <c r="LX11" s="11" t="str">
        <f t="shared" si="138"/>
        <v/>
      </c>
      <c r="LY11" s="11" t="str">
        <f t="shared" si="139"/>
        <v/>
      </c>
      <c r="LZ11" s="11" t="str">
        <f t="shared" si="140"/>
        <v/>
      </c>
      <c r="MA11" s="11" t="str">
        <f t="shared" si="141"/>
        <v/>
      </c>
      <c r="MB11" s="11" t="str">
        <f t="shared" si="142"/>
        <v/>
      </c>
      <c r="MC11" s="11" t="str">
        <f t="shared" si="143"/>
        <v/>
      </c>
      <c r="MD11" s="11" t="str">
        <f t="shared" si="144"/>
        <v/>
      </c>
      <c r="ME11" s="11" t="str">
        <f t="shared" si="145"/>
        <v/>
      </c>
      <c r="MF11" s="11" t="str">
        <f t="shared" si="146"/>
        <v/>
      </c>
      <c r="MG11" s="11" t="str">
        <f t="shared" si="147"/>
        <v/>
      </c>
      <c r="MH11" s="11" t="str">
        <f t="shared" si="148"/>
        <v/>
      </c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36" t="str">
        <f t="shared" si="149"/>
        <v/>
      </c>
      <c r="ND11" s="36" t="str">
        <f t="shared" si="150"/>
        <v/>
      </c>
      <c r="NE11" s="36" t="str">
        <f t="shared" si="151"/>
        <v/>
      </c>
      <c r="NF11" s="36" t="str">
        <f t="shared" si="152"/>
        <v/>
      </c>
      <c r="NG11" s="36" t="str">
        <f t="shared" si="153"/>
        <v/>
      </c>
      <c r="NH11" s="36" t="str">
        <f t="shared" si="154"/>
        <v/>
      </c>
      <c r="NI11" s="36" t="str">
        <f t="shared" si="155"/>
        <v/>
      </c>
      <c r="NJ11" s="36" t="str">
        <f t="shared" si="156"/>
        <v/>
      </c>
      <c r="NK11" s="36" t="str">
        <f t="shared" si="157"/>
        <v/>
      </c>
      <c r="NL11" s="36" t="str">
        <f t="shared" si="158"/>
        <v/>
      </c>
      <c r="NM11" s="36" t="str">
        <f t="shared" si="159"/>
        <v/>
      </c>
      <c r="NN11" s="36" t="str">
        <f t="shared" si="160"/>
        <v/>
      </c>
      <c r="NO11" s="36" t="str">
        <f t="shared" si="161"/>
        <v/>
      </c>
      <c r="NP11" s="36" t="str">
        <f t="shared" si="162"/>
        <v/>
      </c>
      <c r="NQ11" s="16"/>
      <c r="NR11" s="16"/>
      <c r="NS11" s="16"/>
      <c r="NT11" s="16"/>
      <c r="NU11" s="16"/>
      <c r="NV11" s="16"/>
      <c r="NW11" s="16"/>
      <c r="NX11" s="16"/>
      <c r="NY11" s="16"/>
      <c r="NZ11" s="16"/>
      <c r="OA11" s="16"/>
      <c r="OB11" s="16"/>
      <c r="OC11" s="16"/>
      <c r="OD11" s="16"/>
      <c r="OE11" s="16"/>
      <c r="OF11" s="16"/>
      <c r="OG11" s="16"/>
      <c r="OH11" s="16"/>
      <c r="OI11" s="16"/>
      <c r="OJ11" s="16"/>
      <c r="OK11" s="11" t="str">
        <f t="shared" si="163"/>
        <v/>
      </c>
      <c r="OL11" s="11" t="str">
        <f t="shared" si="164"/>
        <v/>
      </c>
      <c r="OM11" s="11" t="str">
        <f t="shared" si="165"/>
        <v/>
      </c>
      <c r="ON11" s="11" t="str">
        <f t="shared" si="166"/>
        <v/>
      </c>
      <c r="OO11" s="11" t="str">
        <f t="shared" si="167"/>
        <v/>
      </c>
      <c r="OP11" s="11" t="str">
        <f t="shared" si="168"/>
        <v/>
      </c>
      <c r="OQ11" s="11" t="str">
        <f t="shared" si="169"/>
        <v/>
      </c>
      <c r="OR11" s="11" t="str">
        <f t="shared" si="170"/>
        <v/>
      </c>
      <c r="OS11" s="11" t="str">
        <f t="shared" si="171"/>
        <v/>
      </c>
      <c r="OT11" s="11" t="str">
        <f t="shared" si="172"/>
        <v/>
      </c>
      <c r="OU11" s="11" t="str">
        <f t="shared" si="173"/>
        <v/>
      </c>
      <c r="OV11" s="11" t="str">
        <f t="shared" si="174"/>
        <v/>
      </c>
      <c r="OW11" s="11" t="str">
        <f t="shared" si="175"/>
        <v/>
      </c>
      <c r="OX11" s="11" t="str">
        <f t="shared" si="176"/>
        <v/>
      </c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36" t="str">
        <f t="shared" si="177"/>
        <v/>
      </c>
      <c r="PT11" s="36" t="str">
        <f t="shared" si="178"/>
        <v/>
      </c>
      <c r="PU11" s="36" t="str">
        <f t="shared" si="179"/>
        <v/>
      </c>
      <c r="PV11" s="36" t="str">
        <f t="shared" si="180"/>
        <v/>
      </c>
      <c r="PW11" s="36" t="str">
        <f t="shared" si="181"/>
        <v/>
      </c>
      <c r="PX11" s="36" t="str">
        <f t="shared" si="182"/>
        <v/>
      </c>
      <c r="PY11" s="36" t="str">
        <f t="shared" si="183"/>
        <v/>
      </c>
      <c r="PZ11" s="36" t="str">
        <f t="shared" si="184"/>
        <v/>
      </c>
      <c r="QA11" s="36" t="str">
        <f t="shared" si="185"/>
        <v/>
      </c>
      <c r="QB11" s="36" t="str">
        <f t="shared" si="186"/>
        <v/>
      </c>
      <c r="QC11" s="36" t="str">
        <f t="shared" si="187"/>
        <v/>
      </c>
      <c r="QD11" s="36" t="str">
        <f t="shared" si="188"/>
        <v/>
      </c>
      <c r="QE11" s="36" t="str">
        <f t="shared" si="189"/>
        <v/>
      </c>
      <c r="QF11" s="36" t="str">
        <f t="shared" si="190"/>
        <v/>
      </c>
      <c r="QG11" s="16"/>
      <c r="QH11" s="16"/>
      <c r="QI11" s="16"/>
      <c r="QJ11" s="16"/>
      <c r="QK11" s="16"/>
      <c r="QL11" s="16"/>
      <c r="QM11" s="16"/>
      <c r="QN11" s="16"/>
      <c r="QO11" s="16"/>
      <c r="QP11" s="16"/>
      <c r="QQ11" s="16"/>
      <c r="QR11" s="16"/>
      <c r="QS11" s="16"/>
      <c r="QT11" s="16"/>
      <c r="QU11" s="16"/>
      <c r="QV11" s="16"/>
      <c r="QW11" s="16"/>
      <c r="QX11" s="16"/>
      <c r="QY11" s="16"/>
      <c r="QZ11" s="16"/>
      <c r="RA11" s="11" t="str">
        <f t="shared" si="191"/>
        <v/>
      </c>
      <c r="RB11" s="11" t="str">
        <f t="shared" si="192"/>
        <v/>
      </c>
      <c r="RC11" s="11" t="str">
        <f t="shared" si="193"/>
        <v/>
      </c>
      <c r="RD11" s="11" t="str">
        <f t="shared" si="194"/>
        <v/>
      </c>
      <c r="RE11" s="11" t="str">
        <f t="shared" si="195"/>
        <v/>
      </c>
      <c r="RF11" s="11" t="str">
        <f t="shared" si="196"/>
        <v/>
      </c>
      <c r="RG11" s="11" t="str">
        <f t="shared" si="197"/>
        <v/>
      </c>
      <c r="RH11" s="11" t="str">
        <f t="shared" si="198"/>
        <v/>
      </c>
      <c r="RI11" s="11" t="str">
        <f t="shared" si="199"/>
        <v/>
      </c>
      <c r="RJ11" s="11" t="str">
        <f t="shared" si="200"/>
        <v/>
      </c>
      <c r="RK11" s="11" t="str">
        <f t="shared" si="201"/>
        <v/>
      </c>
      <c r="RL11" s="11" t="str">
        <f t="shared" si="202"/>
        <v/>
      </c>
      <c r="RM11" s="11" t="str">
        <f t="shared" si="203"/>
        <v/>
      </c>
      <c r="RN11" s="11" t="str">
        <f t="shared" si="204"/>
        <v/>
      </c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36" t="str">
        <f t="shared" si="205"/>
        <v/>
      </c>
      <c r="SJ11" s="36" t="str">
        <f t="shared" si="206"/>
        <v/>
      </c>
      <c r="SK11" s="36" t="str">
        <f t="shared" si="207"/>
        <v/>
      </c>
      <c r="SL11" s="36" t="str">
        <f t="shared" si="208"/>
        <v/>
      </c>
      <c r="SM11" s="36" t="str">
        <f t="shared" si="209"/>
        <v/>
      </c>
      <c r="SN11" s="36" t="str">
        <f t="shared" si="210"/>
        <v/>
      </c>
      <c r="SO11" s="36" t="str">
        <f t="shared" si="211"/>
        <v/>
      </c>
      <c r="SP11" s="36" t="str">
        <f t="shared" si="212"/>
        <v/>
      </c>
      <c r="SQ11" s="36" t="str">
        <f t="shared" si="213"/>
        <v/>
      </c>
      <c r="SR11" s="36" t="str">
        <f t="shared" si="214"/>
        <v/>
      </c>
      <c r="SS11" s="36" t="str">
        <f t="shared" si="215"/>
        <v/>
      </c>
      <c r="ST11" s="36" t="str">
        <f t="shared" si="216"/>
        <v/>
      </c>
      <c r="SU11" s="36" t="str">
        <f t="shared" si="217"/>
        <v/>
      </c>
      <c r="SV11" s="36" t="str">
        <f t="shared" si="218"/>
        <v/>
      </c>
      <c r="SW11" s="16"/>
      <c r="SX11" s="16"/>
      <c r="SY11" s="16"/>
      <c r="SZ11" s="16"/>
      <c r="TA11" s="16"/>
      <c r="TB11" s="16"/>
      <c r="TC11" s="16"/>
      <c r="TD11" s="16"/>
      <c r="TE11" s="16"/>
      <c r="TF11" s="16"/>
      <c r="TG11" s="16"/>
      <c r="TH11" s="16"/>
      <c r="TI11" s="16"/>
      <c r="TJ11" s="16"/>
      <c r="TK11" s="16"/>
      <c r="TL11" s="16"/>
      <c r="TM11" s="16"/>
      <c r="TN11" s="16"/>
      <c r="TO11" s="16"/>
      <c r="TP11" s="16"/>
      <c r="TQ11" s="11" t="str">
        <f t="shared" si="219"/>
        <v/>
      </c>
      <c r="TR11" s="11" t="str">
        <f t="shared" si="220"/>
        <v/>
      </c>
      <c r="TS11" s="11" t="str">
        <f t="shared" si="221"/>
        <v/>
      </c>
      <c r="TT11" s="11" t="str">
        <f t="shared" si="222"/>
        <v/>
      </c>
      <c r="TU11" s="11" t="str">
        <f t="shared" si="223"/>
        <v/>
      </c>
      <c r="TV11" s="11" t="str">
        <f t="shared" si="224"/>
        <v/>
      </c>
      <c r="TW11" s="11" t="str">
        <f t="shared" si="225"/>
        <v/>
      </c>
      <c r="TX11" s="11" t="str">
        <f t="shared" si="226"/>
        <v/>
      </c>
      <c r="TY11" s="11" t="str">
        <f t="shared" si="227"/>
        <v/>
      </c>
      <c r="TZ11" s="11" t="str">
        <f t="shared" si="228"/>
        <v/>
      </c>
      <c r="UA11" s="11" t="str">
        <f t="shared" si="229"/>
        <v/>
      </c>
      <c r="UB11" s="11" t="str">
        <f t="shared" si="230"/>
        <v/>
      </c>
      <c r="UC11" s="11" t="str">
        <f t="shared" si="231"/>
        <v/>
      </c>
      <c r="UD11" s="11" t="str">
        <f t="shared" si="232"/>
        <v/>
      </c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36" t="str">
        <f t="shared" si="233"/>
        <v/>
      </c>
      <c r="UZ11" s="36" t="str">
        <f t="shared" si="234"/>
        <v/>
      </c>
      <c r="VA11" s="36" t="str">
        <f t="shared" si="235"/>
        <v/>
      </c>
      <c r="VB11" s="36" t="str">
        <f t="shared" si="236"/>
        <v/>
      </c>
      <c r="VC11" s="36" t="str">
        <f t="shared" si="237"/>
        <v/>
      </c>
      <c r="VD11" s="36" t="str">
        <f t="shared" si="238"/>
        <v/>
      </c>
      <c r="VE11" s="36" t="str">
        <f t="shared" si="239"/>
        <v/>
      </c>
      <c r="VF11" s="36" t="str">
        <f t="shared" si="240"/>
        <v/>
      </c>
      <c r="VG11" s="36" t="str">
        <f t="shared" si="241"/>
        <v/>
      </c>
      <c r="VH11" s="36" t="str">
        <f t="shared" si="242"/>
        <v/>
      </c>
      <c r="VI11" s="36" t="str">
        <f t="shared" si="243"/>
        <v/>
      </c>
      <c r="VJ11" s="36" t="str">
        <f t="shared" si="244"/>
        <v/>
      </c>
      <c r="VK11" s="36" t="str">
        <f t="shared" si="245"/>
        <v/>
      </c>
      <c r="VL11" s="36" t="str">
        <f t="shared" si="246"/>
        <v/>
      </c>
    </row>
    <row r="12" spans="1:584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228</v>
      </c>
      <c r="C12" s="4" t="s">
        <v>7</v>
      </c>
      <c r="D12" s="4">
        <v>2011</v>
      </c>
      <c r="E12" s="9">
        <f t="shared" si="0"/>
        <v>92.580009258004679</v>
      </c>
      <c r="F12" s="3" t="str">
        <f t="shared" si="1"/>
        <v/>
      </c>
      <c r="G12" s="3" t="str">
        <f t="shared" si="2"/>
        <v/>
      </c>
      <c r="H12" s="32" t="str">
        <f t="shared" si="3"/>
        <v/>
      </c>
      <c r="I12" s="3"/>
      <c r="J12" s="8">
        <f t="shared" si="4"/>
        <v>40.799999999999997</v>
      </c>
      <c r="K12" s="8" t="str">
        <f t="shared" si="5"/>
        <v>2026 Elite Canada</v>
      </c>
      <c r="L12" s="8">
        <f t="shared" si="6"/>
        <v>46.6</v>
      </c>
      <c r="M12" s="8" t="str">
        <f t="shared" si="7"/>
        <v>2026 Elite Canada</v>
      </c>
      <c r="N12" s="8">
        <f t="shared" si="8"/>
        <v>5.18</v>
      </c>
      <c r="O12" s="8" t="str">
        <f t="shared" si="9"/>
        <v>2026 Elite Canada</v>
      </c>
      <c r="P12" s="8">
        <f t="shared" si="10"/>
        <v>0</v>
      </c>
      <c r="Q12" s="11" t="str">
        <f t="shared" si="11"/>
        <v/>
      </c>
      <c r="R12" s="8" t="str">
        <f t="shared" si="12"/>
        <v/>
      </c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23"/>
      <c r="AI12" s="34" t="str">
        <f t="shared" si="13"/>
        <v/>
      </c>
      <c r="AJ12" s="34" t="str">
        <f t="shared" si="14"/>
        <v/>
      </c>
      <c r="AK12" s="36" t="str">
        <f t="shared" si="15"/>
        <v/>
      </c>
      <c r="AL12" s="36" t="str">
        <f t="shared" si="16"/>
        <v/>
      </c>
      <c r="AM12" s="36" t="str">
        <f t="shared" si="17"/>
        <v/>
      </c>
      <c r="AN12" s="36" t="str">
        <f t="shared" si="18"/>
        <v/>
      </c>
      <c r="AO12" s="36" t="str">
        <f t="shared" si="19"/>
        <v/>
      </c>
      <c r="AP12" s="36" t="str">
        <f t="shared" si="20"/>
        <v/>
      </c>
      <c r="AQ12" s="36" t="str">
        <f t="shared" si="21"/>
        <v/>
      </c>
      <c r="AR12" s="36" t="str">
        <f t="shared" si="22"/>
        <v/>
      </c>
      <c r="AS12" s="36" t="str">
        <f t="shared" si="23"/>
        <v/>
      </c>
      <c r="AT12" s="22">
        <v>16.899999999999999</v>
      </c>
      <c r="AU12" s="22">
        <v>9.6</v>
      </c>
      <c r="AV12" s="22">
        <v>0</v>
      </c>
      <c r="AW12" s="22">
        <v>14.3</v>
      </c>
      <c r="AX12" s="22">
        <v>0</v>
      </c>
      <c r="AY12" s="22">
        <v>13.9</v>
      </c>
      <c r="AZ12" s="22">
        <v>8.6999999999999993</v>
      </c>
      <c r="BA12" s="22">
        <v>10.1</v>
      </c>
      <c r="BB12" s="22">
        <v>13.9</v>
      </c>
      <c r="BC12" s="22">
        <v>0</v>
      </c>
      <c r="BD12" s="22">
        <v>1.4</v>
      </c>
      <c r="BE12" s="22">
        <v>1</v>
      </c>
      <c r="BF12" s="22">
        <v>1.5</v>
      </c>
      <c r="BG12" s="22">
        <v>1.48</v>
      </c>
      <c r="BH12" s="22">
        <v>0.2</v>
      </c>
      <c r="BI12" s="24"/>
      <c r="BJ12" s="35" t="str">
        <f t="shared" si="24"/>
        <v/>
      </c>
      <c r="BK12" s="35">
        <f t="shared" si="25"/>
        <v>14.3</v>
      </c>
      <c r="BL12" s="11">
        <f t="shared" si="26"/>
        <v>40.799999999999997</v>
      </c>
      <c r="BM12" s="11">
        <f t="shared" si="27"/>
        <v>10.1</v>
      </c>
      <c r="BN12" s="11">
        <f t="shared" si="28"/>
        <v>13.9</v>
      </c>
      <c r="BO12" s="11">
        <f t="shared" si="29"/>
        <v>46.6</v>
      </c>
      <c r="BP12" s="11">
        <f t="shared" si="30"/>
        <v>87.4</v>
      </c>
      <c r="BQ12" s="11">
        <f t="shared" si="31"/>
        <v>1.5</v>
      </c>
      <c r="BR12" s="11">
        <f t="shared" si="32"/>
        <v>1.48</v>
      </c>
      <c r="BS12" s="11">
        <f t="shared" si="33"/>
        <v>5.18</v>
      </c>
      <c r="BT12" s="11">
        <f t="shared" si="34"/>
        <v>92.580000000000013</v>
      </c>
      <c r="BU12" s="47" t="str">
        <f t="shared" si="35"/>
        <v/>
      </c>
      <c r="BV12" s="47" t="str">
        <f t="shared" si="36"/>
        <v/>
      </c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36" t="str">
        <f t="shared" si="37"/>
        <v/>
      </c>
      <c r="CR12" s="36" t="str">
        <f t="shared" si="38"/>
        <v/>
      </c>
      <c r="CS12" s="36" t="str">
        <f t="shared" si="39"/>
        <v/>
      </c>
      <c r="CT12" s="36" t="str">
        <f t="shared" si="40"/>
        <v/>
      </c>
      <c r="CU12" s="36" t="str">
        <f t="shared" si="41"/>
        <v/>
      </c>
      <c r="CV12" s="36" t="str">
        <f t="shared" si="42"/>
        <v/>
      </c>
      <c r="CW12" s="36" t="str">
        <f t="shared" si="43"/>
        <v/>
      </c>
      <c r="CX12" s="36" t="str">
        <f t="shared" si="44"/>
        <v/>
      </c>
      <c r="CY12" s="36" t="str">
        <f t="shared" si="45"/>
        <v/>
      </c>
      <c r="CZ12" s="36" t="str">
        <f t="shared" si="46"/>
        <v/>
      </c>
      <c r="DA12" s="36" t="str">
        <f t="shared" si="47"/>
        <v/>
      </c>
      <c r="DB12" s="36" t="str">
        <f t="shared" si="48"/>
        <v/>
      </c>
      <c r="DC12" s="36" t="str">
        <f t="shared" si="49"/>
        <v/>
      </c>
      <c r="DD12" s="36" t="str">
        <f t="shared" si="50"/>
        <v/>
      </c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1" t="str">
        <f t="shared" si="51"/>
        <v/>
      </c>
      <c r="DZ12" s="11" t="str">
        <f t="shared" si="52"/>
        <v/>
      </c>
      <c r="EA12" s="11" t="str">
        <f t="shared" si="53"/>
        <v/>
      </c>
      <c r="EB12" s="11" t="str">
        <f t="shared" si="54"/>
        <v/>
      </c>
      <c r="EC12" s="11" t="str">
        <f t="shared" si="55"/>
        <v/>
      </c>
      <c r="ED12" s="11" t="str">
        <f t="shared" si="56"/>
        <v/>
      </c>
      <c r="EE12" s="11" t="str">
        <f t="shared" si="57"/>
        <v/>
      </c>
      <c r="EF12" s="11" t="str">
        <f t="shared" si="58"/>
        <v/>
      </c>
      <c r="EG12" s="11" t="str">
        <f t="shared" si="59"/>
        <v/>
      </c>
      <c r="EH12" s="11" t="str">
        <f t="shared" si="60"/>
        <v/>
      </c>
      <c r="EI12" s="11" t="str">
        <f t="shared" si="61"/>
        <v/>
      </c>
      <c r="EJ12" s="11" t="str">
        <f t="shared" si="62"/>
        <v/>
      </c>
      <c r="EK12" s="11" t="str">
        <f t="shared" si="63"/>
        <v/>
      </c>
      <c r="EL12" s="11" t="str">
        <f t="shared" si="64"/>
        <v/>
      </c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36" t="str">
        <f t="shared" si="65"/>
        <v/>
      </c>
      <c r="FH12" s="36" t="str">
        <f t="shared" si="66"/>
        <v/>
      </c>
      <c r="FI12" s="36" t="str">
        <f t="shared" si="67"/>
        <v/>
      </c>
      <c r="FJ12" s="36" t="str">
        <f t="shared" si="68"/>
        <v/>
      </c>
      <c r="FK12" s="36" t="str">
        <f t="shared" si="69"/>
        <v/>
      </c>
      <c r="FL12" s="36" t="str">
        <f t="shared" si="70"/>
        <v/>
      </c>
      <c r="FM12" s="36" t="str">
        <f t="shared" si="71"/>
        <v/>
      </c>
      <c r="FN12" s="36" t="str">
        <f t="shared" si="72"/>
        <v/>
      </c>
      <c r="FO12" s="36" t="str">
        <f t="shared" si="73"/>
        <v/>
      </c>
      <c r="FP12" s="36" t="str">
        <f t="shared" si="74"/>
        <v/>
      </c>
      <c r="FQ12" s="36" t="str">
        <f t="shared" si="75"/>
        <v/>
      </c>
      <c r="FR12" s="36" t="str">
        <f t="shared" si="76"/>
        <v/>
      </c>
      <c r="FS12" s="36" t="str">
        <f t="shared" si="77"/>
        <v/>
      </c>
      <c r="FT12" s="36" t="str">
        <f t="shared" si="78"/>
        <v/>
      </c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1" t="str">
        <f t="shared" si="79"/>
        <v/>
      </c>
      <c r="GP12" s="11" t="str">
        <f t="shared" si="80"/>
        <v/>
      </c>
      <c r="GQ12" s="11" t="str">
        <f t="shared" si="81"/>
        <v/>
      </c>
      <c r="GR12" s="11" t="str">
        <f t="shared" si="82"/>
        <v/>
      </c>
      <c r="GS12" s="11" t="str">
        <f t="shared" si="83"/>
        <v/>
      </c>
      <c r="GT12" s="11" t="str">
        <f t="shared" si="84"/>
        <v/>
      </c>
      <c r="GU12" s="11" t="str">
        <f t="shared" si="85"/>
        <v/>
      </c>
      <c r="GV12" s="11" t="str">
        <f t="shared" si="86"/>
        <v/>
      </c>
      <c r="GW12" s="11" t="str">
        <f t="shared" si="87"/>
        <v/>
      </c>
      <c r="GX12" s="11" t="str">
        <f t="shared" si="88"/>
        <v/>
      </c>
      <c r="GY12" s="11" t="str">
        <f t="shared" si="89"/>
        <v/>
      </c>
      <c r="GZ12" s="11" t="str">
        <f t="shared" si="90"/>
        <v/>
      </c>
      <c r="HA12" s="11" t="str">
        <f t="shared" si="91"/>
        <v/>
      </c>
      <c r="HB12" s="11" t="str">
        <f t="shared" si="92"/>
        <v/>
      </c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36" t="str">
        <f t="shared" si="93"/>
        <v/>
      </c>
      <c r="HX12" s="36" t="str">
        <f t="shared" si="94"/>
        <v/>
      </c>
      <c r="HY12" s="36" t="str">
        <f t="shared" si="95"/>
        <v/>
      </c>
      <c r="HZ12" s="36" t="str">
        <f t="shared" si="96"/>
        <v/>
      </c>
      <c r="IA12" s="36" t="str">
        <f t="shared" si="97"/>
        <v/>
      </c>
      <c r="IB12" s="36" t="str">
        <f t="shared" si="98"/>
        <v/>
      </c>
      <c r="IC12" s="36" t="str">
        <f t="shared" si="99"/>
        <v/>
      </c>
      <c r="ID12" s="36" t="str">
        <f t="shared" si="100"/>
        <v/>
      </c>
      <c r="IE12" s="36" t="str">
        <f t="shared" si="101"/>
        <v/>
      </c>
      <c r="IF12" s="36" t="str">
        <f t="shared" si="102"/>
        <v/>
      </c>
      <c r="IG12" s="36" t="str">
        <f t="shared" si="103"/>
        <v/>
      </c>
      <c r="IH12" s="36" t="str">
        <f t="shared" si="104"/>
        <v/>
      </c>
      <c r="II12" s="36" t="str">
        <f t="shared" si="105"/>
        <v/>
      </c>
      <c r="IJ12" s="36" t="str">
        <f t="shared" si="106"/>
        <v/>
      </c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1" t="str">
        <f t="shared" si="107"/>
        <v/>
      </c>
      <c r="JF12" s="11" t="str">
        <f t="shared" si="108"/>
        <v/>
      </c>
      <c r="JG12" s="11" t="str">
        <f t="shared" si="109"/>
        <v/>
      </c>
      <c r="JH12" s="11" t="str">
        <f t="shared" si="110"/>
        <v/>
      </c>
      <c r="JI12" s="11" t="str">
        <f t="shared" si="111"/>
        <v/>
      </c>
      <c r="JJ12" s="11" t="str">
        <f t="shared" si="112"/>
        <v/>
      </c>
      <c r="JK12" s="11" t="str">
        <f t="shared" si="113"/>
        <v/>
      </c>
      <c r="JL12" s="11" t="str">
        <f t="shared" si="114"/>
        <v/>
      </c>
      <c r="JM12" s="11" t="str">
        <f t="shared" si="115"/>
        <v/>
      </c>
      <c r="JN12" s="11" t="str">
        <f t="shared" si="116"/>
        <v/>
      </c>
      <c r="JO12" s="11" t="str">
        <f t="shared" si="117"/>
        <v/>
      </c>
      <c r="JP12" s="11" t="str">
        <f t="shared" si="118"/>
        <v/>
      </c>
      <c r="JQ12" s="11" t="str">
        <f t="shared" si="119"/>
        <v/>
      </c>
      <c r="JR12" s="11" t="str">
        <f t="shared" si="120"/>
        <v/>
      </c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36" t="str">
        <f t="shared" si="121"/>
        <v/>
      </c>
      <c r="KN12" s="36" t="str">
        <f t="shared" si="122"/>
        <v/>
      </c>
      <c r="KO12" s="36" t="str">
        <f t="shared" si="123"/>
        <v/>
      </c>
      <c r="KP12" s="36" t="str">
        <f t="shared" si="124"/>
        <v/>
      </c>
      <c r="KQ12" s="36" t="str">
        <f t="shared" si="125"/>
        <v/>
      </c>
      <c r="KR12" s="36" t="str">
        <f t="shared" si="126"/>
        <v/>
      </c>
      <c r="KS12" s="36" t="str">
        <f t="shared" si="127"/>
        <v/>
      </c>
      <c r="KT12" s="36" t="str">
        <f t="shared" si="128"/>
        <v/>
      </c>
      <c r="KU12" s="36" t="str">
        <f t="shared" si="129"/>
        <v/>
      </c>
      <c r="KV12" s="36" t="str">
        <f t="shared" si="130"/>
        <v/>
      </c>
      <c r="KW12" s="36" t="str">
        <f t="shared" si="131"/>
        <v/>
      </c>
      <c r="KX12" s="36" t="str">
        <f t="shared" si="132"/>
        <v/>
      </c>
      <c r="KY12" s="36" t="str">
        <f t="shared" si="133"/>
        <v/>
      </c>
      <c r="KZ12" s="36" t="str">
        <f t="shared" si="134"/>
        <v/>
      </c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1" t="str">
        <f t="shared" si="135"/>
        <v/>
      </c>
      <c r="LV12" s="11" t="str">
        <f t="shared" si="136"/>
        <v/>
      </c>
      <c r="LW12" s="11" t="str">
        <f t="shared" si="137"/>
        <v/>
      </c>
      <c r="LX12" s="11" t="str">
        <f t="shared" si="138"/>
        <v/>
      </c>
      <c r="LY12" s="11" t="str">
        <f t="shared" si="139"/>
        <v/>
      </c>
      <c r="LZ12" s="11" t="str">
        <f t="shared" si="140"/>
        <v/>
      </c>
      <c r="MA12" s="11" t="str">
        <f t="shared" si="141"/>
        <v/>
      </c>
      <c r="MB12" s="11" t="str">
        <f t="shared" si="142"/>
        <v/>
      </c>
      <c r="MC12" s="11" t="str">
        <f t="shared" si="143"/>
        <v/>
      </c>
      <c r="MD12" s="11" t="str">
        <f t="shared" si="144"/>
        <v/>
      </c>
      <c r="ME12" s="11" t="str">
        <f t="shared" si="145"/>
        <v/>
      </c>
      <c r="MF12" s="11" t="str">
        <f t="shared" si="146"/>
        <v/>
      </c>
      <c r="MG12" s="11" t="str">
        <f t="shared" si="147"/>
        <v/>
      </c>
      <c r="MH12" s="11" t="str">
        <f t="shared" si="148"/>
        <v/>
      </c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36" t="str">
        <f t="shared" si="149"/>
        <v/>
      </c>
      <c r="ND12" s="36" t="str">
        <f t="shared" si="150"/>
        <v/>
      </c>
      <c r="NE12" s="36" t="str">
        <f t="shared" si="151"/>
        <v/>
      </c>
      <c r="NF12" s="36" t="str">
        <f t="shared" si="152"/>
        <v/>
      </c>
      <c r="NG12" s="36" t="str">
        <f t="shared" si="153"/>
        <v/>
      </c>
      <c r="NH12" s="36" t="str">
        <f t="shared" si="154"/>
        <v/>
      </c>
      <c r="NI12" s="36" t="str">
        <f t="shared" si="155"/>
        <v/>
      </c>
      <c r="NJ12" s="36" t="str">
        <f t="shared" si="156"/>
        <v/>
      </c>
      <c r="NK12" s="36" t="str">
        <f t="shared" si="157"/>
        <v/>
      </c>
      <c r="NL12" s="36" t="str">
        <f t="shared" si="158"/>
        <v/>
      </c>
      <c r="NM12" s="36" t="str">
        <f t="shared" si="159"/>
        <v/>
      </c>
      <c r="NN12" s="36" t="str">
        <f t="shared" si="160"/>
        <v/>
      </c>
      <c r="NO12" s="36" t="str">
        <f t="shared" si="161"/>
        <v/>
      </c>
      <c r="NP12" s="36" t="str">
        <f t="shared" si="162"/>
        <v/>
      </c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1" t="str">
        <f t="shared" si="163"/>
        <v/>
      </c>
      <c r="OL12" s="11" t="str">
        <f t="shared" si="164"/>
        <v/>
      </c>
      <c r="OM12" s="11" t="str">
        <f t="shared" si="165"/>
        <v/>
      </c>
      <c r="ON12" s="11" t="str">
        <f t="shared" si="166"/>
        <v/>
      </c>
      <c r="OO12" s="11" t="str">
        <f t="shared" si="167"/>
        <v/>
      </c>
      <c r="OP12" s="11" t="str">
        <f t="shared" si="168"/>
        <v/>
      </c>
      <c r="OQ12" s="11" t="str">
        <f t="shared" si="169"/>
        <v/>
      </c>
      <c r="OR12" s="11" t="str">
        <f t="shared" si="170"/>
        <v/>
      </c>
      <c r="OS12" s="11" t="str">
        <f t="shared" si="171"/>
        <v/>
      </c>
      <c r="OT12" s="11" t="str">
        <f t="shared" si="172"/>
        <v/>
      </c>
      <c r="OU12" s="11" t="str">
        <f t="shared" si="173"/>
        <v/>
      </c>
      <c r="OV12" s="11" t="str">
        <f t="shared" si="174"/>
        <v/>
      </c>
      <c r="OW12" s="11" t="str">
        <f t="shared" si="175"/>
        <v/>
      </c>
      <c r="OX12" s="11" t="str">
        <f t="shared" si="176"/>
        <v/>
      </c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36" t="str">
        <f t="shared" si="177"/>
        <v/>
      </c>
      <c r="PT12" s="36" t="str">
        <f t="shared" si="178"/>
        <v/>
      </c>
      <c r="PU12" s="36" t="str">
        <f t="shared" si="179"/>
        <v/>
      </c>
      <c r="PV12" s="36" t="str">
        <f t="shared" si="180"/>
        <v/>
      </c>
      <c r="PW12" s="36" t="str">
        <f t="shared" si="181"/>
        <v/>
      </c>
      <c r="PX12" s="36" t="str">
        <f t="shared" si="182"/>
        <v/>
      </c>
      <c r="PY12" s="36" t="str">
        <f t="shared" si="183"/>
        <v/>
      </c>
      <c r="PZ12" s="36" t="str">
        <f t="shared" si="184"/>
        <v/>
      </c>
      <c r="QA12" s="36" t="str">
        <f t="shared" si="185"/>
        <v/>
      </c>
      <c r="QB12" s="36" t="str">
        <f t="shared" si="186"/>
        <v/>
      </c>
      <c r="QC12" s="36" t="str">
        <f t="shared" si="187"/>
        <v/>
      </c>
      <c r="QD12" s="36" t="str">
        <f t="shared" si="188"/>
        <v/>
      </c>
      <c r="QE12" s="36" t="str">
        <f t="shared" si="189"/>
        <v/>
      </c>
      <c r="QF12" s="36" t="str">
        <f t="shared" si="190"/>
        <v/>
      </c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1" t="str">
        <f t="shared" si="191"/>
        <v/>
      </c>
      <c r="RB12" s="11" t="str">
        <f t="shared" si="192"/>
        <v/>
      </c>
      <c r="RC12" s="11" t="str">
        <f t="shared" si="193"/>
        <v/>
      </c>
      <c r="RD12" s="11" t="str">
        <f t="shared" si="194"/>
        <v/>
      </c>
      <c r="RE12" s="11" t="str">
        <f t="shared" si="195"/>
        <v/>
      </c>
      <c r="RF12" s="11" t="str">
        <f t="shared" si="196"/>
        <v/>
      </c>
      <c r="RG12" s="11" t="str">
        <f t="shared" si="197"/>
        <v/>
      </c>
      <c r="RH12" s="11" t="str">
        <f t="shared" si="198"/>
        <v/>
      </c>
      <c r="RI12" s="11" t="str">
        <f t="shared" si="199"/>
        <v/>
      </c>
      <c r="RJ12" s="11" t="str">
        <f t="shared" si="200"/>
        <v/>
      </c>
      <c r="RK12" s="11" t="str">
        <f t="shared" si="201"/>
        <v/>
      </c>
      <c r="RL12" s="11" t="str">
        <f t="shared" si="202"/>
        <v/>
      </c>
      <c r="RM12" s="11" t="str">
        <f t="shared" si="203"/>
        <v/>
      </c>
      <c r="RN12" s="11" t="str">
        <f t="shared" si="204"/>
        <v/>
      </c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36" t="str">
        <f t="shared" si="205"/>
        <v/>
      </c>
      <c r="SJ12" s="36" t="str">
        <f t="shared" si="206"/>
        <v/>
      </c>
      <c r="SK12" s="36" t="str">
        <f t="shared" si="207"/>
        <v/>
      </c>
      <c r="SL12" s="36" t="str">
        <f t="shared" si="208"/>
        <v/>
      </c>
      <c r="SM12" s="36" t="str">
        <f t="shared" si="209"/>
        <v/>
      </c>
      <c r="SN12" s="36" t="str">
        <f t="shared" si="210"/>
        <v/>
      </c>
      <c r="SO12" s="36" t="str">
        <f t="shared" si="211"/>
        <v/>
      </c>
      <c r="SP12" s="36" t="str">
        <f t="shared" si="212"/>
        <v/>
      </c>
      <c r="SQ12" s="36" t="str">
        <f t="shared" si="213"/>
        <v/>
      </c>
      <c r="SR12" s="36" t="str">
        <f t="shared" si="214"/>
        <v/>
      </c>
      <c r="SS12" s="36" t="str">
        <f t="shared" si="215"/>
        <v/>
      </c>
      <c r="ST12" s="36" t="str">
        <f t="shared" si="216"/>
        <v/>
      </c>
      <c r="SU12" s="36" t="str">
        <f t="shared" si="217"/>
        <v/>
      </c>
      <c r="SV12" s="36" t="str">
        <f t="shared" si="218"/>
        <v/>
      </c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1" t="str">
        <f t="shared" si="219"/>
        <v/>
      </c>
      <c r="TR12" s="11" t="str">
        <f t="shared" si="220"/>
        <v/>
      </c>
      <c r="TS12" s="11" t="str">
        <f t="shared" si="221"/>
        <v/>
      </c>
      <c r="TT12" s="11" t="str">
        <f t="shared" si="222"/>
        <v/>
      </c>
      <c r="TU12" s="11" t="str">
        <f t="shared" si="223"/>
        <v/>
      </c>
      <c r="TV12" s="11" t="str">
        <f t="shared" si="224"/>
        <v/>
      </c>
      <c r="TW12" s="11" t="str">
        <f t="shared" si="225"/>
        <v/>
      </c>
      <c r="TX12" s="11" t="str">
        <f t="shared" si="226"/>
        <v/>
      </c>
      <c r="TY12" s="11" t="str">
        <f t="shared" si="227"/>
        <v/>
      </c>
      <c r="TZ12" s="11" t="str">
        <f t="shared" si="228"/>
        <v/>
      </c>
      <c r="UA12" s="11" t="str">
        <f t="shared" si="229"/>
        <v/>
      </c>
      <c r="UB12" s="11" t="str">
        <f t="shared" si="230"/>
        <v/>
      </c>
      <c r="UC12" s="11" t="str">
        <f t="shared" si="231"/>
        <v/>
      </c>
      <c r="UD12" s="11" t="str">
        <f t="shared" si="232"/>
        <v/>
      </c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36" t="str">
        <f t="shared" si="233"/>
        <v/>
      </c>
      <c r="UZ12" s="36" t="str">
        <f t="shared" si="234"/>
        <v/>
      </c>
      <c r="VA12" s="36" t="str">
        <f t="shared" si="235"/>
        <v/>
      </c>
      <c r="VB12" s="36" t="str">
        <f t="shared" si="236"/>
        <v/>
      </c>
      <c r="VC12" s="36" t="str">
        <f t="shared" si="237"/>
        <v/>
      </c>
      <c r="VD12" s="36" t="str">
        <f t="shared" si="238"/>
        <v/>
      </c>
      <c r="VE12" s="36" t="str">
        <f t="shared" si="239"/>
        <v/>
      </c>
      <c r="VF12" s="36" t="str">
        <f t="shared" si="240"/>
        <v/>
      </c>
      <c r="VG12" s="36" t="str">
        <f t="shared" si="241"/>
        <v/>
      </c>
      <c r="VH12" s="36" t="str">
        <f t="shared" si="242"/>
        <v/>
      </c>
      <c r="VI12" s="36" t="str">
        <f t="shared" si="243"/>
        <v/>
      </c>
      <c r="VJ12" s="36" t="str">
        <f t="shared" si="244"/>
        <v/>
      </c>
      <c r="VK12" s="36" t="str">
        <f t="shared" si="245"/>
        <v/>
      </c>
      <c r="VL12" s="36" t="str">
        <f t="shared" si="246"/>
        <v/>
      </c>
    </row>
    <row r="13" spans="1:584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213</v>
      </c>
      <c r="C13" s="4" t="s">
        <v>214</v>
      </c>
      <c r="D13" s="4">
        <v>2010</v>
      </c>
      <c r="E13" s="9">
        <f t="shared" si="0"/>
        <v>83.300008330004019</v>
      </c>
      <c r="F13" s="3" t="str">
        <f t="shared" si="1"/>
        <v/>
      </c>
      <c r="G13" s="3" t="str">
        <f t="shared" si="2"/>
        <v/>
      </c>
      <c r="H13" s="32" t="str">
        <f t="shared" si="3"/>
        <v/>
      </c>
      <c r="I13" s="3"/>
      <c r="J13" s="8">
        <f t="shared" si="4"/>
        <v>38.36</v>
      </c>
      <c r="K13" s="8" t="str">
        <f t="shared" si="5"/>
        <v>2025 3rd Domestic Trial</v>
      </c>
      <c r="L13" s="8">
        <f t="shared" si="6"/>
        <v>40.200000000000003</v>
      </c>
      <c r="M13" s="8" t="str">
        <f t="shared" si="7"/>
        <v>2025 3rd Domestic Trial</v>
      </c>
      <c r="N13" s="8">
        <f t="shared" si="8"/>
        <v>4.74</v>
      </c>
      <c r="O13" s="8" t="str">
        <f t="shared" si="9"/>
        <v>2025 3rd Domestic Trial</v>
      </c>
      <c r="P13" s="8">
        <f t="shared" si="10"/>
        <v>0</v>
      </c>
      <c r="Q13" s="11" t="str">
        <f t="shared" si="11"/>
        <v/>
      </c>
      <c r="R13" s="8" t="str">
        <f t="shared" si="12"/>
        <v/>
      </c>
      <c r="S13" s="18">
        <v>15</v>
      </c>
      <c r="T13" s="18">
        <v>9.4</v>
      </c>
      <c r="U13" s="18">
        <v>0</v>
      </c>
      <c r="V13" s="18">
        <v>13.96</v>
      </c>
      <c r="W13" s="18">
        <v>0</v>
      </c>
      <c r="X13" s="18">
        <v>13</v>
      </c>
      <c r="Y13" s="18">
        <v>9.1</v>
      </c>
      <c r="Z13" s="18">
        <v>7.6</v>
      </c>
      <c r="AA13" s="18">
        <v>13</v>
      </c>
      <c r="AB13" s="18">
        <v>2.5</v>
      </c>
      <c r="AC13" s="18">
        <v>1.1000000000000001</v>
      </c>
      <c r="AD13" s="18">
        <v>0.9</v>
      </c>
      <c r="AE13" s="18">
        <v>1.3</v>
      </c>
      <c r="AF13" s="18">
        <v>1.44</v>
      </c>
      <c r="AG13" s="18">
        <v>0</v>
      </c>
      <c r="AH13" s="23"/>
      <c r="AI13" s="34" t="str">
        <f t="shared" si="13"/>
        <v/>
      </c>
      <c r="AJ13" s="34">
        <f t="shared" si="14"/>
        <v>13.96</v>
      </c>
      <c r="AK13" s="36">
        <f t="shared" si="15"/>
        <v>38.36</v>
      </c>
      <c r="AL13" s="36">
        <f t="shared" si="16"/>
        <v>7.6</v>
      </c>
      <c r="AM13" s="36">
        <f t="shared" si="17"/>
        <v>13</v>
      </c>
      <c r="AN13" s="36">
        <f t="shared" si="18"/>
        <v>40.200000000000003</v>
      </c>
      <c r="AO13" s="36">
        <f t="shared" si="19"/>
        <v>78.56</v>
      </c>
      <c r="AP13" s="36">
        <f t="shared" si="20"/>
        <v>1.3</v>
      </c>
      <c r="AQ13" s="36">
        <f t="shared" si="21"/>
        <v>1.44</v>
      </c>
      <c r="AR13" s="36">
        <f t="shared" si="22"/>
        <v>4.74</v>
      </c>
      <c r="AS13" s="36">
        <f t="shared" si="23"/>
        <v>83.3</v>
      </c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4"/>
      <c r="BJ13" s="35" t="str">
        <f t="shared" si="24"/>
        <v/>
      </c>
      <c r="BK13" s="35" t="str">
        <f t="shared" si="25"/>
        <v/>
      </c>
      <c r="BL13" s="11" t="str">
        <f t="shared" si="26"/>
        <v/>
      </c>
      <c r="BM13" s="11" t="str">
        <f t="shared" si="27"/>
        <v/>
      </c>
      <c r="BN13" s="11" t="str">
        <f t="shared" si="28"/>
        <v/>
      </c>
      <c r="BO13" s="11" t="str">
        <f t="shared" si="29"/>
        <v/>
      </c>
      <c r="BP13" s="11" t="str">
        <f t="shared" si="30"/>
        <v/>
      </c>
      <c r="BQ13" s="11" t="str">
        <f t="shared" si="31"/>
        <v/>
      </c>
      <c r="BR13" s="11" t="str">
        <f t="shared" si="32"/>
        <v/>
      </c>
      <c r="BS13" s="11" t="str">
        <f t="shared" si="33"/>
        <v/>
      </c>
      <c r="BT13" s="11" t="str">
        <f t="shared" si="34"/>
        <v/>
      </c>
      <c r="BU13" s="47" t="str">
        <f t="shared" si="35"/>
        <v/>
      </c>
      <c r="BV13" s="47" t="str">
        <f t="shared" si="36"/>
        <v/>
      </c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36" t="str">
        <f t="shared" si="37"/>
        <v/>
      </c>
      <c r="CR13" s="36" t="str">
        <f t="shared" si="38"/>
        <v/>
      </c>
      <c r="CS13" s="36" t="str">
        <f t="shared" si="39"/>
        <v/>
      </c>
      <c r="CT13" s="36" t="str">
        <f t="shared" si="40"/>
        <v/>
      </c>
      <c r="CU13" s="36" t="str">
        <f t="shared" si="41"/>
        <v/>
      </c>
      <c r="CV13" s="36" t="str">
        <f t="shared" si="42"/>
        <v/>
      </c>
      <c r="CW13" s="36" t="str">
        <f t="shared" si="43"/>
        <v/>
      </c>
      <c r="CX13" s="36" t="str">
        <f t="shared" si="44"/>
        <v/>
      </c>
      <c r="CY13" s="36" t="str">
        <f t="shared" si="45"/>
        <v/>
      </c>
      <c r="CZ13" s="36" t="str">
        <f t="shared" si="46"/>
        <v/>
      </c>
      <c r="DA13" s="36" t="str">
        <f t="shared" si="47"/>
        <v/>
      </c>
      <c r="DB13" s="36" t="str">
        <f t="shared" si="48"/>
        <v/>
      </c>
      <c r="DC13" s="36" t="str">
        <f t="shared" si="49"/>
        <v/>
      </c>
      <c r="DD13" s="36" t="str">
        <f t="shared" si="50"/>
        <v/>
      </c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1" t="str">
        <f t="shared" si="51"/>
        <v/>
      </c>
      <c r="DZ13" s="11" t="str">
        <f t="shared" si="52"/>
        <v/>
      </c>
      <c r="EA13" s="11" t="str">
        <f t="shared" si="53"/>
        <v/>
      </c>
      <c r="EB13" s="11" t="str">
        <f t="shared" si="54"/>
        <v/>
      </c>
      <c r="EC13" s="11" t="str">
        <f t="shared" si="55"/>
        <v/>
      </c>
      <c r="ED13" s="11" t="str">
        <f t="shared" si="56"/>
        <v/>
      </c>
      <c r="EE13" s="11" t="str">
        <f t="shared" si="57"/>
        <v/>
      </c>
      <c r="EF13" s="11" t="str">
        <f t="shared" si="58"/>
        <v/>
      </c>
      <c r="EG13" s="11" t="str">
        <f t="shared" si="59"/>
        <v/>
      </c>
      <c r="EH13" s="11" t="str">
        <f t="shared" si="60"/>
        <v/>
      </c>
      <c r="EI13" s="11" t="str">
        <f t="shared" si="61"/>
        <v/>
      </c>
      <c r="EJ13" s="11" t="str">
        <f t="shared" si="62"/>
        <v/>
      </c>
      <c r="EK13" s="11" t="str">
        <f t="shared" si="63"/>
        <v/>
      </c>
      <c r="EL13" s="11" t="str">
        <f t="shared" si="64"/>
        <v/>
      </c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36" t="str">
        <f t="shared" si="65"/>
        <v/>
      </c>
      <c r="FH13" s="36" t="str">
        <f t="shared" si="66"/>
        <v/>
      </c>
      <c r="FI13" s="36" t="str">
        <f t="shared" si="67"/>
        <v/>
      </c>
      <c r="FJ13" s="36" t="str">
        <f t="shared" si="68"/>
        <v/>
      </c>
      <c r="FK13" s="36" t="str">
        <f t="shared" si="69"/>
        <v/>
      </c>
      <c r="FL13" s="36" t="str">
        <f t="shared" si="70"/>
        <v/>
      </c>
      <c r="FM13" s="36" t="str">
        <f t="shared" si="71"/>
        <v/>
      </c>
      <c r="FN13" s="36" t="str">
        <f t="shared" si="72"/>
        <v/>
      </c>
      <c r="FO13" s="36" t="str">
        <f t="shared" si="73"/>
        <v/>
      </c>
      <c r="FP13" s="36" t="str">
        <f t="shared" si="74"/>
        <v/>
      </c>
      <c r="FQ13" s="36" t="str">
        <f t="shared" si="75"/>
        <v/>
      </c>
      <c r="FR13" s="36" t="str">
        <f t="shared" si="76"/>
        <v/>
      </c>
      <c r="FS13" s="36" t="str">
        <f t="shared" si="77"/>
        <v/>
      </c>
      <c r="FT13" s="36" t="str">
        <f t="shared" si="78"/>
        <v/>
      </c>
      <c r="FU13" s="16"/>
      <c r="FV13" s="16"/>
      <c r="FW13" s="16"/>
      <c r="FX13" s="16"/>
      <c r="FY13" s="16"/>
      <c r="FZ13" s="16"/>
      <c r="GA13" s="16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1" t="str">
        <f t="shared" si="79"/>
        <v/>
      </c>
      <c r="GP13" s="11" t="str">
        <f t="shared" si="80"/>
        <v/>
      </c>
      <c r="GQ13" s="11" t="str">
        <f t="shared" si="81"/>
        <v/>
      </c>
      <c r="GR13" s="11" t="str">
        <f t="shared" si="82"/>
        <v/>
      </c>
      <c r="GS13" s="11" t="str">
        <f t="shared" si="83"/>
        <v/>
      </c>
      <c r="GT13" s="11" t="str">
        <f t="shared" si="84"/>
        <v/>
      </c>
      <c r="GU13" s="11" t="str">
        <f t="shared" si="85"/>
        <v/>
      </c>
      <c r="GV13" s="11" t="str">
        <f t="shared" si="86"/>
        <v/>
      </c>
      <c r="GW13" s="11" t="str">
        <f t="shared" si="87"/>
        <v/>
      </c>
      <c r="GX13" s="11" t="str">
        <f t="shared" si="88"/>
        <v/>
      </c>
      <c r="GY13" s="11" t="str">
        <f t="shared" si="89"/>
        <v/>
      </c>
      <c r="GZ13" s="11" t="str">
        <f t="shared" si="90"/>
        <v/>
      </c>
      <c r="HA13" s="11" t="str">
        <f t="shared" si="91"/>
        <v/>
      </c>
      <c r="HB13" s="11" t="str">
        <f t="shared" si="92"/>
        <v/>
      </c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36" t="str">
        <f t="shared" si="93"/>
        <v/>
      </c>
      <c r="HX13" s="36" t="str">
        <f t="shared" si="94"/>
        <v/>
      </c>
      <c r="HY13" s="36" t="str">
        <f t="shared" si="95"/>
        <v/>
      </c>
      <c r="HZ13" s="36" t="str">
        <f t="shared" si="96"/>
        <v/>
      </c>
      <c r="IA13" s="36" t="str">
        <f t="shared" si="97"/>
        <v/>
      </c>
      <c r="IB13" s="36" t="str">
        <f t="shared" si="98"/>
        <v/>
      </c>
      <c r="IC13" s="36" t="str">
        <f t="shared" si="99"/>
        <v/>
      </c>
      <c r="ID13" s="36" t="str">
        <f t="shared" si="100"/>
        <v/>
      </c>
      <c r="IE13" s="36" t="str">
        <f t="shared" si="101"/>
        <v/>
      </c>
      <c r="IF13" s="36" t="str">
        <f t="shared" si="102"/>
        <v/>
      </c>
      <c r="IG13" s="36" t="str">
        <f t="shared" si="103"/>
        <v/>
      </c>
      <c r="IH13" s="36" t="str">
        <f t="shared" si="104"/>
        <v/>
      </c>
      <c r="II13" s="36" t="str">
        <f t="shared" si="105"/>
        <v/>
      </c>
      <c r="IJ13" s="36" t="str">
        <f t="shared" si="106"/>
        <v/>
      </c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16"/>
      <c r="JD13" s="16"/>
      <c r="JE13" s="11" t="str">
        <f t="shared" si="107"/>
        <v/>
      </c>
      <c r="JF13" s="11" t="str">
        <f t="shared" si="108"/>
        <v/>
      </c>
      <c r="JG13" s="11" t="str">
        <f t="shared" si="109"/>
        <v/>
      </c>
      <c r="JH13" s="11" t="str">
        <f t="shared" si="110"/>
        <v/>
      </c>
      <c r="JI13" s="11" t="str">
        <f t="shared" si="111"/>
        <v/>
      </c>
      <c r="JJ13" s="11" t="str">
        <f t="shared" si="112"/>
        <v/>
      </c>
      <c r="JK13" s="11" t="str">
        <f t="shared" si="113"/>
        <v/>
      </c>
      <c r="JL13" s="11" t="str">
        <f t="shared" si="114"/>
        <v/>
      </c>
      <c r="JM13" s="11" t="str">
        <f t="shared" si="115"/>
        <v/>
      </c>
      <c r="JN13" s="11" t="str">
        <f t="shared" si="116"/>
        <v/>
      </c>
      <c r="JO13" s="11" t="str">
        <f t="shared" si="117"/>
        <v/>
      </c>
      <c r="JP13" s="11" t="str">
        <f t="shared" si="118"/>
        <v/>
      </c>
      <c r="JQ13" s="11" t="str">
        <f t="shared" si="119"/>
        <v/>
      </c>
      <c r="JR13" s="11" t="str">
        <f t="shared" si="120"/>
        <v/>
      </c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36" t="str">
        <f t="shared" si="121"/>
        <v/>
      </c>
      <c r="KN13" s="36" t="str">
        <f t="shared" si="122"/>
        <v/>
      </c>
      <c r="KO13" s="36" t="str">
        <f t="shared" si="123"/>
        <v/>
      </c>
      <c r="KP13" s="36" t="str">
        <f t="shared" si="124"/>
        <v/>
      </c>
      <c r="KQ13" s="36" t="str">
        <f t="shared" si="125"/>
        <v/>
      </c>
      <c r="KR13" s="36" t="str">
        <f t="shared" si="126"/>
        <v/>
      </c>
      <c r="KS13" s="36" t="str">
        <f t="shared" si="127"/>
        <v/>
      </c>
      <c r="KT13" s="36" t="str">
        <f t="shared" si="128"/>
        <v/>
      </c>
      <c r="KU13" s="36" t="str">
        <f t="shared" si="129"/>
        <v/>
      </c>
      <c r="KV13" s="36" t="str">
        <f t="shared" si="130"/>
        <v/>
      </c>
      <c r="KW13" s="36" t="str">
        <f t="shared" si="131"/>
        <v/>
      </c>
      <c r="KX13" s="36" t="str">
        <f t="shared" si="132"/>
        <v/>
      </c>
      <c r="KY13" s="36" t="str">
        <f t="shared" si="133"/>
        <v/>
      </c>
      <c r="KZ13" s="36" t="str">
        <f t="shared" si="134"/>
        <v/>
      </c>
      <c r="LA13" s="16"/>
      <c r="LB13" s="16"/>
      <c r="LC13" s="16"/>
      <c r="LD13" s="16"/>
      <c r="LE13" s="16"/>
      <c r="LF13" s="16"/>
      <c r="LG13" s="16"/>
      <c r="LH13" s="16"/>
      <c r="LI13" s="16"/>
      <c r="LJ13" s="16"/>
      <c r="LK13" s="16"/>
      <c r="LL13" s="16"/>
      <c r="LM13" s="16"/>
      <c r="LN13" s="16"/>
      <c r="LO13" s="16"/>
      <c r="LP13" s="16"/>
      <c r="LQ13" s="16"/>
      <c r="LR13" s="16"/>
      <c r="LS13" s="16"/>
      <c r="LT13" s="16"/>
      <c r="LU13" s="11" t="str">
        <f t="shared" si="135"/>
        <v/>
      </c>
      <c r="LV13" s="11" t="str">
        <f t="shared" si="136"/>
        <v/>
      </c>
      <c r="LW13" s="11" t="str">
        <f t="shared" si="137"/>
        <v/>
      </c>
      <c r="LX13" s="11" t="str">
        <f t="shared" si="138"/>
        <v/>
      </c>
      <c r="LY13" s="11" t="str">
        <f t="shared" si="139"/>
        <v/>
      </c>
      <c r="LZ13" s="11" t="str">
        <f t="shared" si="140"/>
        <v/>
      </c>
      <c r="MA13" s="11" t="str">
        <f t="shared" si="141"/>
        <v/>
      </c>
      <c r="MB13" s="11" t="str">
        <f t="shared" si="142"/>
        <v/>
      </c>
      <c r="MC13" s="11" t="str">
        <f t="shared" si="143"/>
        <v/>
      </c>
      <c r="MD13" s="11" t="str">
        <f t="shared" si="144"/>
        <v/>
      </c>
      <c r="ME13" s="11" t="str">
        <f t="shared" si="145"/>
        <v/>
      </c>
      <c r="MF13" s="11" t="str">
        <f t="shared" si="146"/>
        <v/>
      </c>
      <c r="MG13" s="11" t="str">
        <f t="shared" si="147"/>
        <v/>
      </c>
      <c r="MH13" s="11" t="str">
        <f t="shared" si="148"/>
        <v/>
      </c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36" t="str">
        <f t="shared" si="149"/>
        <v/>
      </c>
      <c r="ND13" s="36" t="str">
        <f t="shared" si="150"/>
        <v/>
      </c>
      <c r="NE13" s="36" t="str">
        <f t="shared" si="151"/>
        <v/>
      </c>
      <c r="NF13" s="36" t="str">
        <f t="shared" si="152"/>
        <v/>
      </c>
      <c r="NG13" s="36" t="str">
        <f t="shared" si="153"/>
        <v/>
      </c>
      <c r="NH13" s="36" t="str">
        <f t="shared" si="154"/>
        <v/>
      </c>
      <c r="NI13" s="36" t="str">
        <f t="shared" si="155"/>
        <v/>
      </c>
      <c r="NJ13" s="36" t="str">
        <f t="shared" si="156"/>
        <v/>
      </c>
      <c r="NK13" s="36" t="str">
        <f t="shared" si="157"/>
        <v/>
      </c>
      <c r="NL13" s="36" t="str">
        <f t="shared" si="158"/>
        <v/>
      </c>
      <c r="NM13" s="36" t="str">
        <f t="shared" si="159"/>
        <v/>
      </c>
      <c r="NN13" s="36" t="str">
        <f t="shared" si="160"/>
        <v/>
      </c>
      <c r="NO13" s="36" t="str">
        <f t="shared" si="161"/>
        <v/>
      </c>
      <c r="NP13" s="36" t="str">
        <f t="shared" si="162"/>
        <v/>
      </c>
      <c r="NQ13" s="16"/>
      <c r="NR13" s="16"/>
      <c r="NS13" s="16"/>
      <c r="NT13" s="16"/>
      <c r="NU13" s="16"/>
      <c r="NV13" s="16"/>
      <c r="NW13" s="16"/>
      <c r="NX13" s="16"/>
      <c r="NY13" s="16"/>
      <c r="NZ13" s="16"/>
      <c r="OA13" s="16"/>
      <c r="OB13" s="16"/>
      <c r="OC13" s="16"/>
      <c r="OD13" s="16"/>
      <c r="OE13" s="16"/>
      <c r="OF13" s="16"/>
      <c r="OG13" s="16"/>
      <c r="OH13" s="16"/>
      <c r="OI13" s="16"/>
      <c r="OJ13" s="16"/>
      <c r="OK13" s="11" t="str">
        <f t="shared" si="163"/>
        <v/>
      </c>
      <c r="OL13" s="11" t="str">
        <f t="shared" si="164"/>
        <v/>
      </c>
      <c r="OM13" s="11" t="str">
        <f t="shared" si="165"/>
        <v/>
      </c>
      <c r="ON13" s="11" t="str">
        <f t="shared" si="166"/>
        <v/>
      </c>
      <c r="OO13" s="11" t="str">
        <f t="shared" si="167"/>
        <v/>
      </c>
      <c r="OP13" s="11" t="str">
        <f t="shared" si="168"/>
        <v/>
      </c>
      <c r="OQ13" s="11" t="str">
        <f t="shared" si="169"/>
        <v/>
      </c>
      <c r="OR13" s="11" t="str">
        <f t="shared" si="170"/>
        <v/>
      </c>
      <c r="OS13" s="11" t="str">
        <f t="shared" si="171"/>
        <v/>
      </c>
      <c r="OT13" s="11" t="str">
        <f t="shared" si="172"/>
        <v/>
      </c>
      <c r="OU13" s="11" t="str">
        <f t="shared" si="173"/>
        <v/>
      </c>
      <c r="OV13" s="11" t="str">
        <f t="shared" si="174"/>
        <v/>
      </c>
      <c r="OW13" s="11" t="str">
        <f t="shared" si="175"/>
        <v/>
      </c>
      <c r="OX13" s="11" t="str">
        <f t="shared" si="176"/>
        <v/>
      </c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36" t="str">
        <f t="shared" si="177"/>
        <v/>
      </c>
      <c r="PT13" s="36" t="str">
        <f t="shared" si="178"/>
        <v/>
      </c>
      <c r="PU13" s="36" t="str">
        <f t="shared" si="179"/>
        <v/>
      </c>
      <c r="PV13" s="36" t="str">
        <f t="shared" si="180"/>
        <v/>
      </c>
      <c r="PW13" s="36" t="str">
        <f t="shared" si="181"/>
        <v/>
      </c>
      <c r="PX13" s="36" t="str">
        <f t="shared" si="182"/>
        <v/>
      </c>
      <c r="PY13" s="36" t="str">
        <f t="shared" si="183"/>
        <v/>
      </c>
      <c r="PZ13" s="36" t="str">
        <f t="shared" si="184"/>
        <v/>
      </c>
      <c r="QA13" s="36" t="str">
        <f t="shared" si="185"/>
        <v/>
      </c>
      <c r="QB13" s="36" t="str">
        <f t="shared" si="186"/>
        <v/>
      </c>
      <c r="QC13" s="36" t="str">
        <f t="shared" si="187"/>
        <v/>
      </c>
      <c r="QD13" s="36" t="str">
        <f t="shared" si="188"/>
        <v/>
      </c>
      <c r="QE13" s="36" t="str">
        <f t="shared" si="189"/>
        <v/>
      </c>
      <c r="QF13" s="36" t="str">
        <f t="shared" si="190"/>
        <v/>
      </c>
      <c r="QG13" s="16"/>
      <c r="QH13" s="16"/>
      <c r="QI13" s="16"/>
      <c r="QJ13" s="16"/>
      <c r="QK13" s="16"/>
      <c r="QL13" s="16"/>
      <c r="QM13" s="16"/>
      <c r="QN13" s="16"/>
      <c r="QO13" s="16"/>
      <c r="QP13" s="16"/>
      <c r="QQ13" s="16"/>
      <c r="QR13" s="16"/>
      <c r="QS13" s="16"/>
      <c r="QT13" s="16"/>
      <c r="QU13" s="16"/>
      <c r="QV13" s="16"/>
      <c r="QW13" s="16"/>
      <c r="QX13" s="16"/>
      <c r="QY13" s="16"/>
      <c r="QZ13" s="16"/>
      <c r="RA13" s="11" t="str">
        <f t="shared" si="191"/>
        <v/>
      </c>
      <c r="RB13" s="11" t="str">
        <f t="shared" si="192"/>
        <v/>
      </c>
      <c r="RC13" s="11" t="str">
        <f t="shared" si="193"/>
        <v/>
      </c>
      <c r="RD13" s="11" t="str">
        <f t="shared" si="194"/>
        <v/>
      </c>
      <c r="RE13" s="11" t="str">
        <f t="shared" si="195"/>
        <v/>
      </c>
      <c r="RF13" s="11" t="str">
        <f t="shared" si="196"/>
        <v/>
      </c>
      <c r="RG13" s="11" t="str">
        <f t="shared" si="197"/>
        <v/>
      </c>
      <c r="RH13" s="11" t="str">
        <f t="shared" si="198"/>
        <v/>
      </c>
      <c r="RI13" s="11" t="str">
        <f t="shared" si="199"/>
        <v/>
      </c>
      <c r="RJ13" s="11" t="str">
        <f t="shared" si="200"/>
        <v/>
      </c>
      <c r="RK13" s="11" t="str">
        <f t="shared" si="201"/>
        <v/>
      </c>
      <c r="RL13" s="11" t="str">
        <f t="shared" si="202"/>
        <v/>
      </c>
      <c r="RM13" s="11" t="str">
        <f t="shared" si="203"/>
        <v/>
      </c>
      <c r="RN13" s="11" t="str">
        <f t="shared" si="204"/>
        <v/>
      </c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36" t="str">
        <f t="shared" si="205"/>
        <v/>
      </c>
      <c r="SJ13" s="36" t="str">
        <f t="shared" si="206"/>
        <v/>
      </c>
      <c r="SK13" s="36" t="str">
        <f t="shared" si="207"/>
        <v/>
      </c>
      <c r="SL13" s="36" t="str">
        <f t="shared" si="208"/>
        <v/>
      </c>
      <c r="SM13" s="36" t="str">
        <f t="shared" si="209"/>
        <v/>
      </c>
      <c r="SN13" s="36" t="str">
        <f t="shared" si="210"/>
        <v/>
      </c>
      <c r="SO13" s="36" t="str">
        <f t="shared" si="211"/>
        <v/>
      </c>
      <c r="SP13" s="36" t="str">
        <f t="shared" si="212"/>
        <v/>
      </c>
      <c r="SQ13" s="36" t="str">
        <f t="shared" si="213"/>
        <v/>
      </c>
      <c r="SR13" s="36" t="str">
        <f t="shared" si="214"/>
        <v/>
      </c>
      <c r="SS13" s="36" t="str">
        <f t="shared" si="215"/>
        <v/>
      </c>
      <c r="ST13" s="36" t="str">
        <f t="shared" si="216"/>
        <v/>
      </c>
      <c r="SU13" s="36" t="str">
        <f t="shared" si="217"/>
        <v/>
      </c>
      <c r="SV13" s="36" t="str">
        <f t="shared" si="218"/>
        <v/>
      </c>
      <c r="SW13" s="16"/>
      <c r="SX13" s="16"/>
      <c r="SY13" s="16"/>
      <c r="SZ13" s="16"/>
      <c r="TA13" s="16"/>
      <c r="TB13" s="16"/>
      <c r="TC13" s="16"/>
      <c r="TD13" s="16"/>
      <c r="TE13" s="16"/>
      <c r="TF13" s="16"/>
      <c r="TG13" s="16"/>
      <c r="TH13" s="16"/>
      <c r="TI13" s="16"/>
      <c r="TJ13" s="16"/>
      <c r="TK13" s="16"/>
      <c r="TL13" s="16"/>
      <c r="TM13" s="16"/>
      <c r="TN13" s="16"/>
      <c r="TO13" s="16"/>
      <c r="TP13" s="16"/>
      <c r="TQ13" s="11" t="str">
        <f t="shared" si="219"/>
        <v/>
      </c>
      <c r="TR13" s="11" t="str">
        <f t="shared" si="220"/>
        <v/>
      </c>
      <c r="TS13" s="11" t="str">
        <f t="shared" si="221"/>
        <v/>
      </c>
      <c r="TT13" s="11" t="str">
        <f t="shared" si="222"/>
        <v/>
      </c>
      <c r="TU13" s="11" t="str">
        <f t="shared" si="223"/>
        <v/>
      </c>
      <c r="TV13" s="11" t="str">
        <f t="shared" si="224"/>
        <v/>
      </c>
      <c r="TW13" s="11" t="str">
        <f t="shared" si="225"/>
        <v/>
      </c>
      <c r="TX13" s="11" t="str">
        <f t="shared" si="226"/>
        <v/>
      </c>
      <c r="TY13" s="11" t="str">
        <f t="shared" si="227"/>
        <v/>
      </c>
      <c r="TZ13" s="11" t="str">
        <f t="shared" si="228"/>
        <v/>
      </c>
      <c r="UA13" s="11" t="str">
        <f t="shared" si="229"/>
        <v/>
      </c>
      <c r="UB13" s="11" t="str">
        <f t="shared" si="230"/>
        <v/>
      </c>
      <c r="UC13" s="11" t="str">
        <f t="shared" si="231"/>
        <v/>
      </c>
      <c r="UD13" s="11" t="str">
        <f t="shared" si="232"/>
        <v/>
      </c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36" t="str">
        <f t="shared" si="233"/>
        <v/>
      </c>
      <c r="UZ13" s="36" t="str">
        <f t="shared" si="234"/>
        <v/>
      </c>
      <c r="VA13" s="36" t="str">
        <f t="shared" si="235"/>
        <v/>
      </c>
      <c r="VB13" s="36" t="str">
        <f t="shared" si="236"/>
        <v/>
      </c>
      <c r="VC13" s="36" t="str">
        <f t="shared" si="237"/>
        <v/>
      </c>
      <c r="VD13" s="36" t="str">
        <f t="shared" si="238"/>
        <v/>
      </c>
      <c r="VE13" s="36" t="str">
        <f t="shared" si="239"/>
        <v/>
      </c>
      <c r="VF13" s="36" t="str">
        <f t="shared" si="240"/>
        <v/>
      </c>
      <c r="VG13" s="36" t="str">
        <f t="shared" si="241"/>
        <v/>
      </c>
      <c r="VH13" s="36" t="str">
        <f t="shared" si="242"/>
        <v/>
      </c>
      <c r="VI13" s="36" t="str">
        <f t="shared" si="243"/>
        <v/>
      </c>
      <c r="VJ13" s="36" t="str">
        <f t="shared" si="244"/>
        <v/>
      </c>
      <c r="VK13" s="36" t="str">
        <f t="shared" si="245"/>
        <v/>
      </c>
      <c r="VL13" s="36" t="str">
        <f t="shared" si="246"/>
        <v/>
      </c>
    </row>
    <row r="14" spans="1:584" x14ac:dyDescent="0.2">
      <c r="B14" s="5"/>
      <c r="D14" s="1"/>
    </row>
    <row r="15" spans="1:584" x14ac:dyDescent="0.2">
      <c r="G15" s="32"/>
      <c r="I15" s="32"/>
    </row>
    <row r="16" spans="1:584" x14ac:dyDescent="0.2">
      <c r="B16" s="19" t="s">
        <v>40</v>
      </c>
      <c r="C16" s="5"/>
      <c r="G16" s="3"/>
      <c r="AL16" s="37"/>
      <c r="AM16" s="37"/>
      <c r="AN16" s="37"/>
      <c r="AP16" s="28"/>
      <c r="AQ16" s="28"/>
      <c r="AS16" s="38">
        <v>13.4</v>
      </c>
      <c r="BM16" s="37"/>
      <c r="BN16" s="37"/>
      <c r="BO16" s="37"/>
      <c r="BQ16" s="28"/>
      <c r="BR16" s="28"/>
      <c r="BT16" s="38">
        <v>12.5</v>
      </c>
      <c r="CQ16" s="5"/>
      <c r="CR16" s="5"/>
      <c r="DA16" s="2"/>
      <c r="DB16" s="2"/>
      <c r="DD16" s="38">
        <v>13.4</v>
      </c>
      <c r="DY16" s="5"/>
      <c r="DZ16" s="5"/>
      <c r="EI16" s="2"/>
      <c r="EJ16" s="2"/>
      <c r="EL16" s="38">
        <v>12.5</v>
      </c>
      <c r="FG16" s="5"/>
      <c r="FH16" s="5"/>
      <c r="FQ16" s="2"/>
      <c r="FR16" s="2"/>
      <c r="FT16" s="38">
        <v>12.5</v>
      </c>
      <c r="GO16" s="5"/>
      <c r="GP16" s="5"/>
      <c r="GY16" s="2"/>
      <c r="GZ16" s="2"/>
      <c r="HB16" s="38">
        <v>12.5</v>
      </c>
      <c r="HW16" s="5"/>
      <c r="HX16" s="5"/>
      <c r="IG16" s="2"/>
      <c r="IH16" s="2"/>
      <c r="IJ16" s="38">
        <v>12.5</v>
      </c>
      <c r="JE16" s="5"/>
      <c r="JF16" s="5"/>
      <c r="JO16" s="2"/>
      <c r="JP16" s="2"/>
      <c r="JR16" s="38">
        <v>12.5</v>
      </c>
      <c r="KM16" s="5"/>
      <c r="KN16" s="5"/>
      <c r="KW16" s="2"/>
      <c r="KX16" s="2"/>
      <c r="KZ16" s="38">
        <v>12.5</v>
      </c>
      <c r="LU16" s="5"/>
      <c r="LV16" s="5"/>
      <c r="ME16" s="2"/>
      <c r="MF16" s="2"/>
      <c r="MH16" s="38">
        <v>12.5</v>
      </c>
      <c r="NC16" s="5"/>
      <c r="ND16" s="5"/>
      <c r="NM16" s="2"/>
      <c r="NN16" s="2"/>
      <c r="NP16" s="38">
        <v>12.5</v>
      </c>
      <c r="OK16" s="5"/>
      <c r="OL16" s="5"/>
      <c r="OU16" s="2"/>
      <c r="OV16" s="2"/>
      <c r="OX16" s="38">
        <v>12.5</v>
      </c>
      <c r="PS16" s="5"/>
      <c r="PT16" s="5"/>
      <c r="QC16" s="2"/>
      <c r="QD16" s="2"/>
      <c r="QF16" s="38">
        <v>12.5</v>
      </c>
      <c r="RA16" s="5"/>
      <c r="RB16" s="5"/>
      <c r="RK16" s="2"/>
      <c r="RL16" s="2"/>
      <c r="RN16" s="38">
        <v>12.5</v>
      </c>
      <c r="SI16" s="5"/>
      <c r="SJ16" s="5"/>
      <c r="SS16" s="2"/>
      <c r="ST16" s="2"/>
      <c r="SV16" s="38">
        <v>12.5</v>
      </c>
      <c r="TQ16" s="5"/>
      <c r="TR16" s="5"/>
      <c r="UA16" s="2"/>
      <c r="UB16" s="2"/>
      <c r="UD16" s="38">
        <v>12.5</v>
      </c>
      <c r="UY16" s="5"/>
      <c r="UZ16" s="5"/>
      <c r="VI16" s="2"/>
      <c r="VJ16" s="2"/>
      <c r="VL16" s="38">
        <v>12.5</v>
      </c>
    </row>
    <row r="17" spans="1:584" hidden="1" x14ac:dyDescent="0.2">
      <c r="B17" s="26" t="s">
        <v>39</v>
      </c>
      <c r="C17" s="5"/>
      <c r="R17" s="2"/>
      <c r="AL17" s="37"/>
      <c r="AM17" s="37"/>
      <c r="AN17" s="37"/>
      <c r="AP17" s="28"/>
      <c r="AQ17" s="28"/>
      <c r="AS17" s="39">
        <v>1000</v>
      </c>
      <c r="BM17" s="37"/>
      <c r="BN17" s="37"/>
      <c r="BO17" s="37"/>
      <c r="BQ17" s="28"/>
      <c r="BR17" s="28"/>
      <c r="BT17" s="39">
        <v>1000</v>
      </c>
      <c r="CQ17" s="5"/>
      <c r="CR17" s="5"/>
      <c r="DA17" s="2"/>
      <c r="DB17" s="2"/>
      <c r="DD17" s="39">
        <v>1000</v>
      </c>
      <c r="DY17" s="5"/>
      <c r="DZ17" s="5"/>
      <c r="EI17" s="2"/>
      <c r="EJ17" s="2"/>
      <c r="EL17" s="39">
        <v>1000</v>
      </c>
      <c r="FG17" s="5"/>
      <c r="FH17" s="5"/>
      <c r="FQ17" s="2"/>
      <c r="FR17" s="2"/>
      <c r="FT17" s="39">
        <v>1000</v>
      </c>
      <c r="GO17" s="5"/>
      <c r="GP17" s="5"/>
      <c r="GY17" s="2"/>
      <c r="GZ17" s="2"/>
      <c r="HB17" s="39">
        <v>1000</v>
      </c>
      <c r="HW17" s="5"/>
      <c r="HX17" s="5"/>
      <c r="IG17" s="2"/>
      <c r="IH17" s="2"/>
      <c r="IJ17" s="39">
        <v>1000</v>
      </c>
      <c r="JE17" s="5"/>
      <c r="JF17" s="5"/>
      <c r="JO17" s="2"/>
      <c r="JP17" s="2"/>
      <c r="JR17" s="39">
        <v>1000</v>
      </c>
      <c r="KM17" s="5"/>
      <c r="KN17" s="5"/>
      <c r="KW17" s="2"/>
      <c r="KX17" s="2"/>
      <c r="KZ17" s="39">
        <v>1000</v>
      </c>
      <c r="LU17" s="5"/>
      <c r="LV17" s="5"/>
      <c r="ME17" s="2"/>
      <c r="MF17" s="2"/>
      <c r="MH17" s="39">
        <v>1000</v>
      </c>
      <c r="NC17" s="5"/>
      <c r="ND17" s="5"/>
      <c r="NM17" s="2"/>
      <c r="NN17" s="2"/>
      <c r="NP17" s="39">
        <v>1000</v>
      </c>
      <c r="OK17" s="5"/>
      <c r="OL17" s="5"/>
      <c r="OU17" s="2"/>
      <c r="OV17" s="2"/>
      <c r="OX17" s="39">
        <v>1000</v>
      </c>
      <c r="PS17" s="5"/>
      <c r="PT17" s="5"/>
      <c r="QC17" s="2"/>
      <c r="QD17" s="2"/>
      <c r="QF17" s="39">
        <v>1000</v>
      </c>
      <c r="RA17" s="5"/>
      <c r="RB17" s="5"/>
      <c r="RK17" s="2"/>
      <c r="RL17" s="2"/>
      <c r="RN17" s="39">
        <v>1000</v>
      </c>
      <c r="SI17" s="5"/>
      <c r="SJ17" s="5"/>
      <c r="SS17" s="2"/>
      <c r="ST17" s="2"/>
      <c r="SV17" s="39">
        <v>1000</v>
      </c>
      <c r="TQ17" s="5"/>
      <c r="TR17" s="5"/>
      <c r="UA17" s="2"/>
      <c r="UB17" s="2"/>
      <c r="UD17" s="39">
        <v>1000</v>
      </c>
      <c r="UY17" s="5"/>
      <c r="UZ17" s="5"/>
      <c r="VI17" s="2"/>
      <c r="VJ17" s="2"/>
      <c r="VL17" s="39">
        <v>1000</v>
      </c>
    </row>
    <row r="18" spans="1:584" hidden="1" x14ac:dyDescent="0.2">
      <c r="A18" s="5"/>
      <c r="B18" s="27" t="s">
        <v>50</v>
      </c>
      <c r="C18" s="5"/>
      <c r="E18" s="2"/>
      <c r="AL18" s="37"/>
      <c r="AM18" s="37"/>
      <c r="AN18" s="37"/>
      <c r="AO18" s="28"/>
      <c r="AP18" s="28"/>
      <c r="AQ18" s="28"/>
      <c r="AR18" s="28"/>
      <c r="AS18" s="40">
        <v>1000</v>
      </c>
      <c r="BM18" s="37"/>
      <c r="BN18" s="37"/>
      <c r="BO18" s="37"/>
      <c r="BQ18" s="28"/>
      <c r="BR18" s="28"/>
      <c r="BT18" s="40">
        <v>1000</v>
      </c>
      <c r="CQ18" s="5"/>
      <c r="CR18" s="5"/>
      <c r="DA18" s="2"/>
      <c r="DB18" s="2"/>
      <c r="DD18" s="40">
        <v>1000</v>
      </c>
      <c r="DY18" s="5"/>
      <c r="DZ18" s="5"/>
      <c r="EI18" s="2"/>
      <c r="EJ18" s="2"/>
      <c r="EL18" s="40">
        <v>0</v>
      </c>
      <c r="FG18" s="5"/>
      <c r="FH18" s="5"/>
      <c r="FQ18" s="2"/>
      <c r="FR18" s="2"/>
      <c r="FT18" s="40">
        <v>0</v>
      </c>
      <c r="GO18" s="5"/>
      <c r="GP18" s="5"/>
      <c r="GY18" s="2"/>
      <c r="GZ18" s="2"/>
      <c r="HB18" s="40">
        <v>0</v>
      </c>
      <c r="HW18" s="5"/>
      <c r="HX18" s="5"/>
      <c r="IG18" s="2"/>
      <c r="IH18" s="2"/>
      <c r="IJ18" s="40">
        <v>0</v>
      </c>
      <c r="JE18" s="5"/>
      <c r="JF18" s="5"/>
      <c r="JO18" s="2"/>
      <c r="JP18" s="2"/>
      <c r="JR18" s="40">
        <v>0</v>
      </c>
      <c r="KM18" s="5"/>
      <c r="KN18" s="5"/>
      <c r="KW18" s="2"/>
      <c r="KX18" s="2"/>
      <c r="KZ18" s="40">
        <v>0</v>
      </c>
      <c r="LU18" s="5"/>
      <c r="LV18" s="5"/>
      <c r="ME18" s="2"/>
      <c r="MF18" s="2"/>
      <c r="MH18" s="40">
        <v>0</v>
      </c>
      <c r="NC18" s="5"/>
      <c r="ND18" s="5"/>
      <c r="NM18" s="2"/>
      <c r="NN18" s="2"/>
      <c r="NP18" s="40">
        <v>0</v>
      </c>
      <c r="OK18" s="5"/>
      <c r="OL18" s="5"/>
      <c r="OU18" s="2"/>
      <c r="OV18" s="2"/>
      <c r="OX18" s="40">
        <v>0</v>
      </c>
      <c r="PS18" s="5"/>
      <c r="PT18" s="5"/>
      <c r="QC18" s="2"/>
      <c r="QD18" s="2"/>
      <c r="QF18" s="40">
        <v>0</v>
      </c>
      <c r="RA18" s="5"/>
      <c r="RB18" s="5"/>
      <c r="RK18" s="2"/>
      <c r="RL18" s="2"/>
      <c r="RN18" s="40">
        <v>0</v>
      </c>
      <c r="SI18" s="5"/>
      <c r="SJ18" s="5"/>
      <c r="SS18" s="2"/>
      <c r="ST18" s="2"/>
      <c r="SV18" s="40">
        <v>0</v>
      </c>
      <c r="TQ18" s="5"/>
      <c r="TR18" s="5"/>
      <c r="UA18" s="2"/>
      <c r="UB18" s="2"/>
      <c r="UD18" s="40">
        <v>0</v>
      </c>
      <c r="UY18" s="5"/>
      <c r="UZ18" s="5"/>
      <c r="VI18" s="2"/>
      <c r="VJ18" s="2"/>
      <c r="VL18" s="40">
        <v>0</v>
      </c>
    </row>
    <row r="19" spans="1:584" hidden="1" x14ac:dyDescent="0.2">
      <c r="A19" s="5"/>
      <c r="B19" s="31" t="s">
        <v>57</v>
      </c>
      <c r="C19" s="5"/>
      <c r="E19" s="2"/>
      <c r="AL19" s="37"/>
      <c r="AM19" s="37"/>
      <c r="AN19" s="37"/>
      <c r="AO19" s="28"/>
      <c r="AP19" s="28"/>
      <c r="AQ19" s="28"/>
      <c r="AR19" s="28"/>
      <c r="AS19" s="41">
        <v>1000</v>
      </c>
      <c r="BM19" s="37"/>
      <c r="BN19" s="37"/>
      <c r="BO19" s="37"/>
      <c r="BQ19" s="28"/>
      <c r="BR19" s="28"/>
      <c r="BT19" s="41">
        <v>1000</v>
      </c>
      <c r="CQ19" s="5"/>
      <c r="CR19" s="5"/>
      <c r="DA19" s="2"/>
      <c r="DB19" s="2"/>
      <c r="DD19" s="41">
        <v>1000</v>
      </c>
      <c r="DY19" s="5"/>
      <c r="DZ19" s="5"/>
      <c r="EI19" s="2"/>
      <c r="EJ19" s="2"/>
      <c r="EL19" s="41">
        <v>0</v>
      </c>
      <c r="FG19" s="5"/>
      <c r="FH19" s="5"/>
      <c r="FQ19" s="2"/>
      <c r="FR19" s="2"/>
      <c r="FT19" s="41">
        <v>0</v>
      </c>
      <c r="GO19" s="5"/>
      <c r="GP19" s="5"/>
      <c r="GY19" s="2"/>
      <c r="GZ19" s="2"/>
      <c r="HB19" s="41">
        <v>0</v>
      </c>
      <c r="HW19" s="5"/>
      <c r="HX19" s="5"/>
      <c r="IG19" s="2"/>
      <c r="IH19" s="2"/>
      <c r="IJ19" s="41">
        <v>0</v>
      </c>
      <c r="JE19" s="5"/>
      <c r="JF19" s="5"/>
      <c r="JO19" s="2"/>
      <c r="JP19" s="2"/>
      <c r="JR19" s="41">
        <v>0</v>
      </c>
      <c r="KM19" s="5"/>
      <c r="KN19" s="5"/>
      <c r="KW19" s="2"/>
      <c r="KX19" s="2"/>
      <c r="KZ19" s="41">
        <v>0</v>
      </c>
      <c r="LU19" s="5"/>
      <c r="LV19" s="5"/>
      <c r="ME19" s="2"/>
      <c r="MF19" s="2"/>
      <c r="MH19" s="41">
        <v>0</v>
      </c>
      <c r="NC19" s="5"/>
      <c r="ND19" s="5"/>
      <c r="NM19" s="2"/>
      <c r="NN19" s="2"/>
      <c r="NP19" s="41">
        <v>0</v>
      </c>
      <c r="OK19" s="5"/>
      <c r="OL19" s="5"/>
      <c r="OU19" s="2"/>
      <c r="OV19" s="2"/>
      <c r="OX19" s="41">
        <v>0</v>
      </c>
      <c r="PS19" s="5"/>
      <c r="PT19" s="5"/>
      <c r="QC19" s="2"/>
      <c r="QD19" s="2"/>
      <c r="QF19" s="41">
        <v>0</v>
      </c>
      <c r="RA19" s="5"/>
      <c r="RB19" s="5"/>
      <c r="RK19" s="2"/>
      <c r="RL19" s="2"/>
      <c r="RN19" s="41">
        <v>0</v>
      </c>
      <c r="SI19" s="5"/>
      <c r="SJ19" s="5"/>
      <c r="SS19" s="2"/>
      <c r="ST19" s="2"/>
      <c r="SV19" s="41">
        <v>0</v>
      </c>
      <c r="TQ19" s="5"/>
      <c r="TR19" s="5"/>
      <c r="UA19" s="2"/>
      <c r="UB19" s="2"/>
      <c r="UD19" s="41">
        <v>0</v>
      </c>
      <c r="UY19" s="5"/>
      <c r="UZ19" s="5"/>
      <c r="VI19" s="2"/>
      <c r="VJ19" s="2"/>
      <c r="VL19" s="41">
        <v>0</v>
      </c>
    </row>
    <row r="20" spans="1:584" x14ac:dyDescent="0.2">
      <c r="A20" s="5"/>
      <c r="B20" s="30" t="s">
        <v>37</v>
      </c>
      <c r="C20" s="5"/>
      <c r="AL20" s="37"/>
      <c r="AM20" s="37"/>
      <c r="AN20" s="37"/>
      <c r="AO20" s="28"/>
      <c r="AP20" s="28"/>
      <c r="AQ20" s="28"/>
      <c r="AR20" s="28"/>
      <c r="AS20" s="42">
        <v>93.9</v>
      </c>
      <c r="BM20" s="37"/>
      <c r="BN20" s="37"/>
      <c r="BO20" s="37"/>
      <c r="BQ20" s="28"/>
      <c r="BR20" s="28"/>
      <c r="BT20" s="42">
        <v>91.6</v>
      </c>
      <c r="CQ20" s="5"/>
      <c r="CR20" s="5"/>
      <c r="DA20" s="2"/>
      <c r="DB20" s="2"/>
      <c r="DD20" s="42">
        <v>93.9</v>
      </c>
      <c r="DY20" s="5"/>
      <c r="DZ20" s="5"/>
      <c r="EI20" s="2"/>
      <c r="EJ20" s="2"/>
      <c r="EL20" s="42">
        <v>91.6</v>
      </c>
      <c r="FG20" s="5"/>
      <c r="FH20" s="5"/>
      <c r="FQ20" s="2"/>
      <c r="FR20" s="2"/>
      <c r="FT20" s="42">
        <v>91.6</v>
      </c>
      <c r="GO20" s="5"/>
      <c r="GP20" s="5"/>
      <c r="GY20" s="2"/>
      <c r="GZ20" s="2"/>
      <c r="HB20" s="42">
        <v>91.6</v>
      </c>
      <c r="HW20" s="5"/>
      <c r="HX20" s="5"/>
      <c r="IG20" s="2"/>
      <c r="IH20" s="2"/>
      <c r="IJ20" s="42">
        <v>91.6</v>
      </c>
      <c r="JE20" s="5"/>
      <c r="JF20" s="5"/>
      <c r="JO20" s="2"/>
      <c r="JP20" s="2"/>
      <c r="JR20" s="42">
        <v>91.6</v>
      </c>
      <c r="KM20" s="5"/>
      <c r="KN20" s="5"/>
      <c r="KW20" s="2"/>
      <c r="KX20" s="2"/>
      <c r="KZ20" s="42">
        <v>91.6</v>
      </c>
      <c r="LU20" s="5"/>
      <c r="LV20" s="5"/>
      <c r="ME20" s="2"/>
      <c r="MF20" s="2"/>
      <c r="MH20" s="42">
        <v>91.6</v>
      </c>
      <c r="NC20" s="5"/>
      <c r="ND20" s="5"/>
      <c r="NM20" s="2"/>
      <c r="NN20" s="2"/>
      <c r="NP20" s="42">
        <v>91.6</v>
      </c>
      <c r="OK20" s="5"/>
      <c r="OL20" s="5"/>
      <c r="OU20" s="2"/>
      <c r="OV20" s="2"/>
      <c r="OX20" s="42">
        <v>91.6</v>
      </c>
      <c r="PS20" s="5"/>
      <c r="PT20" s="5"/>
      <c r="QC20" s="2"/>
      <c r="QD20" s="2"/>
      <c r="QF20" s="42">
        <v>91.6</v>
      </c>
      <c r="RA20" s="5"/>
      <c r="RB20" s="5"/>
      <c r="RK20" s="2"/>
      <c r="RL20" s="2"/>
      <c r="RN20" s="42">
        <v>91.6</v>
      </c>
      <c r="SI20" s="5"/>
      <c r="SJ20" s="5"/>
      <c r="SS20" s="2"/>
      <c r="ST20" s="2"/>
      <c r="SV20" s="42">
        <v>91.6</v>
      </c>
      <c r="TQ20" s="5"/>
      <c r="TR20" s="5"/>
      <c r="UA20" s="2"/>
      <c r="UB20" s="2"/>
      <c r="UD20" s="42">
        <v>91.6</v>
      </c>
      <c r="UY20" s="5"/>
      <c r="UZ20" s="5"/>
      <c r="VI20" s="2"/>
      <c r="VJ20" s="2"/>
      <c r="VL20" s="42">
        <v>91.6</v>
      </c>
    </row>
    <row r="21" spans="1:584" hidden="1" x14ac:dyDescent="0.2">
      <c r="A21" s="5"/>
      <c r="B21" s="20" t="s">
        <v>38</v>
      </c>
      <c r="C21" s="5"/>
      <c r="AL21" s="37"/>
      <c r="AM21" s="37"/>
      <c r="AN21" s="37"/>
      <c r="AO21" s="28"/>
      <c r="AP21" s="28"/>
      <c r="AQ21" s="28"/>
      <c r="AR21" s="28"/>
      <c r="AS21" s="43">
        <v>1000</v>
      </c>
      <c r="BM21" s="37"/>
      <c r="BN21" s="37"/>
      <c r="BO21" s="37"/>
      <c r="BQ21" s="28"/>
      <c r="BR21" s="28"/>
      <c r="BT21" s="43">
        <v>1000</v>
      </c>
      <c r="CQ21" s="5"/>
      <c r="CR21" s="5"/>
      <c r="DA21" s="2"/>
      <c r="DB21" s="2"/>
      <c r="DD21" s="43">
        <v>1000</v>
      </c>
      <c r="DY21" s="5"/>
      <c r="DZ21" s="5"/>
      <c r="EI21" s="2"/>
      <c r="EJ21" s="2"/>
      <c r="EL21" s="43">
        <v>1000</v>
      </c>
      <c r="FG21" s="5"/>
      <c r="FH21" s="5"/>
      <c r="FQ21" s="2"/>
      <c r="FR21" s="2"/>
      <c r="FT21" s="43">
        <v>1000</v>
      </c>
      <c r="GO21" s="5"/>
      <c r="GP21" s="5"/>
      <c r="GY21" s="2"/>
      <c r="GZ21" s="2"/>
      <c r="HB21" s="43">
        <v>1000</v>
      </c>
      <c r="HW21" s="5"/>
      <c r="HX21" s="5"/>
      <c r="IG21" s="2"/>
      <c r="IH21" s="2"/>
      <c r="IJ21" s="43">
        <v>1000</v>
      </c>
      <c r="JE21" s="5"/>
      <c r="JF21" s="5"/>
      <c r="JO21" s="2"/>
      <c r="JP21" s="2"/>
      <c r="JR21" s="43">
        <v>1000</v>
      </c>
      <c r="KM21" s="5"/>
      <c r="KN21" s="5"/>
      <c r="KW21" s="2"/>
      <c r="KX21" s="2"/>
      <c r="KZ21" s="43">
        <v>1000</v>
      </c>
      <c r="LU21" s="5"/>
      <c r="LV21" s="5"/>
      <c r="ME21" s="2"/>
      <c r="MF21" s="2"/>
      <c r="MH21" s="43">
        <v>1000</v>
      </c>
      <c r="NC21" s="5"/>
      <c r="ND21" s="5"/>
      <c r="NM21" s="2"/>
      <c r="NN21" s="2"/>
      <c r="NP21" s="43">
        <v>1000</v>
      </c>
      <c r="OK21" s="5"/>
      <c r="OL21" s="5"/>
      <c r="OU21" s="2"/>
      <c r="OV21" s="2"/>
      <c r="OX21" s="43">
        <v>1000</v>
      </c>
      <c r="PS21" s="5"/>
      <c r="PT21" s="5"/>
      <c r="QC21" s="2"/>
      <c r="QD21" s="2"/>
      <c r="QF21" s="43">
        <v>1000</v>
      </c>
      <c r="RA21" s="5"/>
      <c r="RB21" s="5"/>
      <c r="RK21" s="2"/>
      <c r="RL21" s="2"/>
      <c r="RN21" s="43">
        <v>1000</v>
      </c>
      <c r="SI21" s="5"/>
      <c r="SJ21" s="5"/>
      <c r="SS21" s="2"/>
      <c r="ST21" s="2"/>
      <c r="SV21" s="43">
        <v>1000</v>
      </c>
      <c r="TQ21" s="5"/>
      <c r="TR21" s="5"/>
      <c r="UA21" s="2"/>
      <c r="UB21" s="2"/>
      <c r="UD21" s="43">
        <v>1000</v>
      </c>
      <c r="UY21" s="5"/>
      <c r="UZ21" s="5"/>
      <c r="VI21" s="2"/>
      <c r="VJ21" s="2"/>
      <c r="VL21" s="43">
        <v>1000</v>
      </c>
    </row>
    <row r="22" spans="1:584" hidden="1" x14ac:dyDescent="0.2">
      <c r="A22" s="5"/>
      <c r="B22" s="29" t="s">
        <v>49</v>
      </c>
      <c r="C22" s="5"/>
      <c r="AL22" s="37"/>
      <c r="AM22" s="37"/>
      <c r="AN22" s="37"/>
      <c r="AO22" s="28"/>
      <c r="AP22" s="28"/>
      <c r="AQ22" s="28"/>
      <c r="AR22" s="28"/>
      <c r="AS22" s="44">
        <v>1000</v>
      </c>
      <c r="BM22" s="37"/>
      <c r="BN22" s="37"/>
      <c r="BO22" s="37"/>
      <c r="BQ22" s="28"/>
      <c r="BR22" s="28"/>
      <c r="BT22" s="44">
        <v>1000</v>
      </c>
      <c r="CQ22" s="5"/>
      <c r="CR22" s="5"/>
      <c r="DA22" s="2"/>
      <c r="DB22" s="2"/>
      <c r="DC22" s="33"/>
      <c r="DD22" s="44">
        <v>1000</v>
      </c>
      <c r="DY22" s="5"/>
      <c r="DZ22" s="5"/>
      <c r="EI22" s="2"/>
      <c r="EJ22" s="2"/>
      <c r="EK22" s="33"/>
      <c r="EL22" s="44">
        <v>1000</v>
      </c>
      <c r="FG22" s="5"/>
      <c r="FH22" s="5"/>
      <c r="FQ22" s="2"/>
      <c r="FR22" s="2"/>
      <c r="FS22" s="33"/>
      <c r="FT22" s="44">
        <v>1000</v>
      </c>
      <c r="GO22" s="5"/>
      <c r="GP22" s="5"/>
      <c r="GY22" s="2"/>
      <c r="GZ22" s="2"/>
      <c r="HA22" s="33"/>
      <c r="HB22" s="44">
        <v>1000</v>
      </c>
      <c r="HW22" s="5"/>
      <c r="HX22" s="5"/>
      <c r="IG22" s="2"/>
      <c r="IH22" s="2"/>
      <c r="II22" s="33"/>
      <c r="IJ22" s="44">
        <v>1000</v>
      </c>
      <c r="JE22" s="5"/>
      <c r="JF22" s="5"/>
      <c r="JO22" s="2"/>
      <c r="JP22" s="2"/>
      <c r="JQ22" s="33"/>
      <c r="JR22" s="44">
        <v>1000</v>
      </c>
      <c r="KM22" s="5"/>
      <c r="KN22" s="5"/>
      <c r="KW22" s="2"/>
      <c r="KX22" s="2"/>
      <c r="KY22" s="33"/>
      <c r="KZ22" s="44">
        <v>1000</v>
      </c>
      <c r="LU22" s="5"/>
      <c r="LV22" s="5"/>
      <c r="ME22" s="2"/>
      <c r="MF22" s="2"/>
      <c r="MG22" s="33"/>
      <c r="MH22" s="44">
        <v>1000</v>
      </c>
      <c r="NC22" s="5"/>
      <c r="ND22" s="5"/>
      <c r="NM22" s="2"/>
      <c r="NN22" s="2"/>
      <c r="NO22" s="33"/>
      <c r="NP22" s="44">
        <v>1000</v>
      </c>
      <c r="OK22" s="5"/>
      <c r="OL22" s="5"/>
      <c r="OU22" s="2"/>
      <c r="OV22" s="2"/>
      <c r="OW22" s="33"/>
      <c r="OX22" s="44">
        <v>1000</v>
      </c>
      <c r="PS22" s="5"/>
      <c r="PT22" s="5"/>
      <c r="QC22" s="2"/>
      <c r="QD22" s="2"/>
      <c r="QE22" s="33"/>
      <c r="QF22" s="44">
        <v>1000</v>
      </c>
      <c r="RA22" s="5"/>
      <c r="RB22" s="5"/>
      <c r="RK22" s="2"/>
      <c r="RL22" s="2"/>
      <c r="RM22" s="33"/>
      <c r="RN22" s="44">
        <v>1000</v>
      </c>
      <c r="SI22" s="5"/>
      <c r="SJ22" s="5"/>
      <c r="SS22" s="2"/>
      <c r="ST22" s="2"/>
      <c r="SU22" s="33"/>
      <c r="SV22" s="44">
        <v>1000</v>
      </c>
      <c r="TQ22" s="5"/>
      <c r="TR22" s="5"/>
      <c r="UA22" s="2"/>
      <c r="UB22" s="2"/>
      <c r="UC22" s="33"/>
      <c r="UD22" s="44">
        <v>1000</v>
      </c>
      <c r="UY22" s="5"/>
      <c r="UZ22" s="5"/>
      <c r="VI22" s="2"/>
      <c r="VJ22" s="2"/>
      <c r="VK22" s="33"/>
      <c r="VL22" s="44">
        <v>1000</v>
      </c>
    </row>
    <row r="23" spans="1:584" hidden="1" x14ac:dyDescent="0.2">
      <c r="A23" s="5"/>
      <c r="B23" s="21" t="s">
        <v>30</v>
      </c>
      <c r="C23" s="5"/>
      <c r="AL23" s="37"/>
      <c r="AM23" s="37"/>
      <c r="AN23" s="37"/>
      <c r="AO23" s="28"/>
      <c r="AP23" s="37"/>
      <c r="AQ23" s="37"/>
      <c r="AR23" s="28"/>
      <c r="AS23" s="45">
        <v>1000</v>
      </c>
      <c r="BM23" s="37"/>
      <c r="BN23" s="37"/>
      <c r="BO23" s="37"/>
      <c r="BQ23" s="37"/>
      <c r="BR23" s="28"/>
      <c r="BT23" s="45">
        <v>1000</v>
      </c>
      <c r="CQ23" s="5"/>
      <c r="CR23" s="5"/>
      <c r="DA23" s="37"/>
      <c r="DB23" s="2"/>
      <c r="DD23" s="45">
        <v>1000</v>
      </c>
      <c r="DY23" s="5"/>
      <c r="DZ23" s="5"/>
      <c r="EI23" s="37"/>
      <c r="EJ23" s="2"/>
      <c r="EL23" s="45">
        <v>1000</v>
      </c>
      <c r="FG23" s="5"/>
      <c r="FH23" s="5"/>
      <c r="FQ23" s="2"/>
      <c r="FR23" s="2"/>
      <c r="FT23" s="45">
        <v>1000</v>
      </c>
      <c r="GO23" s="5"/>
      <c r="GP23" s="5"/>
      <c r="GY23" s="37"/>
      <c r="GZ23" s="2"/>
      <c r="HB23" s="45">
        <v>1000</v>
      </c>
      <c r="HW23" s="5"/>
      <c r="HX23" s="5"/>
      <c r="IG23" s="2"/>
      <c r="IH23" s="2"/>
      <c r="IJ23" s="45">
        <v>1000</v>
      </c>
      <c r="JE23" s="5"/>
      <c r="JF23" s="5"/>
      <c r="JO23" s="2"/>
      <c r="JP23" s="2"/>
      <c r="JR23" s="45">
        <v>1000</v>
      </c>
      <c r="KM23" s="5"/>
      <c r="KN23" s="5"/>
      <c r="KW23" s="2"/>
      <c r="KX23" s="2"/>
      <c r="KZ23" s="45">
        <v>1000</v>
      </c>
      <c r="LU23" s="5"/>
      <c r="LV23" s="5"/>
      <c r="ME23" s="2"/>
      <c r="MF23" s="2"/>
      <c r="MH23" s="45">
        <v>1000</v>
      </c>
      <c r="NC23" s="5"/>
      <c r="ND23" s="5"/>
      <c r="NM23" s="2"/>
      <c r="NN23" s="2"/>
      <c r="NP23" s="45">
        <v>1000</v>
      </c>
      <c r="OK23" s="5"/>
      <c r="OL23" s="5"/>
      <c r="OU23" s="2"/>
      <c r="OV23" s="2"/>
      <c r="OX23" s="45">
        <v>1000</v>
      </c>
      <c r="PS23" s="5"/>
      <c r="PT23" s="5"/>
      <c r="QC23" s="2"/>
      <c r="QD23" s="2"/>
      <c r="QF23" s="45">
        <v>1000</v>
      </c>
      <c r="RA23" s="5"/>
      <c r="RB23" s="5"/>
      <c r="RK23" s="2"/>
      <c r="RL23" s="2"/>
      <c r="RN23" s="45">
        <v>1000</v>
      </c>
      <c r="SI23" s="5"/>
      <c r="SJ23" s="5"/>
      <c r="SS23" s="2"/>
      <c r="ST23" s="2"/>
      <c r="SV23" s="45">
        <v>1000</v>
      </c>
      <c r="TQ23" s="5"/>
      <c r="TR23" s="5"/>
      <c r="UA23" s="2"/>
      <c r="UB23" s="2"/>
      <c r="UD23" s="45">
        <v>1000</v>
      </c>
      <c r="UY23" s="5"/>
      <c r="UZ23" s="5"/>
      <c r="VI23" s="2"/>
      <c r="VJ23" s="2"/>
      <c r="VL23" s="45">
        <v>1000</v>
      </c>
    </row>
    <row r="24" spans="1:584" x14ac:dyDescent="0.2">
      <c r="B24" s="25" t="s">
        <v>43</v>
      </c>
      <c r="C24" s="2"/>
      <c r="AO24" s="28"/>
      <c r="AR24" s="28"/>
      <c r="EL24"/>
      <c r="FT24"/>
      <c r="HB24"/>
      <c r="IJ24"/>
    </row>
    <row r="25" spans="1:584" x14ac:dyDescent="0.2">
      <c r="A25" s="5"/>
      <c r="B25" s="5"/>
      <c r="C25" s="17"/>
      <c r="AK25" s="28"/>
      <c r="AL25" s="28"/>
      <c r="AM25" s="28"/>
      <c r="AN25" s="28"/>
      <c r="AO25" s="28"/>
      <c r="AR25" s="28"/>
    </row>
    <row r="26" spans="1:584" ht="17" x14ac:dyDescent="0.2">
      <c r="A26" s="5"/>
      <c r="B26" s="5"/>
      <c r="C26" s="17"/>
      <c r="P26" s="10"/>
      <c r="Q26" s="10"/>
      <c r="AK26" s="28"/>
      <c r="AL26" s="28"/>
      <c r="AM26" s="28"/>
      <c r="AN26" s="28"/>
      <c r="AO26" s="28"/>
      <c r="AR26" s="28"/>
    </row>
    <row r="27" spans="1:584" ht="17" x14ac:dyDescent="0.2">
      <c r="A27" s="5"/>
      <c r="B27" s="5"/>
      <c r="C27" s="17"/>
      <c r="P27" s="10"/>
      <c r="AK27" s="28"/>
      <c r="AL27" s="28"/>
      <c r="AM27" s="28"/>
      <c r="AN27" s="28"/>
      <c r="AO27" s="28"/>
      <c r="AR27" s="28"/>
    </row>
    <row r="28" spans="1:584" ht="17" x14ac:dyDescent="0.2">
      <c r="P28" s="10"/>
      <c r="Q28" s="10"/>
      <c r="AK28" s="28"/>
      <c r="AL28" s="28"/>
      <c r="AM28" s="28"/>
      <c r="AN28" s="28"/>
      <c r="AO28" s="28"/>
      <c r="AR28" s="28"/>
    </row>
    <row r="29" spans="1:584" ht="17" x14ac:dyDescent="0.2">
      <c r="P29" s="10"/>
      <c r="Q29" s="10"/>
      <c r="AK29" s="28"/>
      <c r="AL29" s="28"/>
      <c r="AM29" s="28"/>
      <c r="AN29" s="28"/>
      <c r="AO29" s="28"/>
      <c r="AR29" s="28"/>
    </row>
    <row r="30" spans="1:584" ht="17" x14ac:dyDescent="0.2">
      <c r="P30" s="10"/>
      <c r="Q30" s="10"/>
      <c r="AK30" s="28"/>
      <c r="AL30" s="28"/>
      <c r="AM30" s="28"/>
      <c r="AN30" s="28"/>
      <c r="AO30" s="28"/>
      <c r="AR30" s="28"/>
    </row>
    <row r="31" spans="1:584" ht="17" x14ac:dyDescent="0.2">
      <c r="P31" s="10"/>
      <c r="Q31" s="10"/>
      <c r="R31" s="10"/>
    </row>
    <row r="32" spans="1:584" ht="17" x14ac:dyDescent="0.2">
      <c r="P32" s="10"/>
      <c r="Q32" s="10"/>
      <c r="R32" s="10"/>
    </row>
    <row r="33" spans="16:18" ht="17" x14ac:dyDescent="0.2">
      <c r="P33" s="10"/>
      <c r="Q33" s="10"/>
      <c r="R33" s="10"/>
    </row>
    <row r="34" spans="16:18" ht="17" x14ac:dyDescent="0.2">
      <c r="P34" s="10"/>
      <c r="Q34" s="10"/>
      <c r="R34" s="10"/>
    </row>
    <row r="35" spans="16:18" ht="17" x14ac:dyDescent="0.2">
      <c r="P35" s="10"/>
      <c r="Q35" s="10"/>
      <c r="R35" s="10"/>
    </row>
    <row r="36" spans="16:18" ht="17" x14ac:dyDescent="0.2">
      <c r="P36" s="10"/>
      <c r="Q36" s="10"/>
      <c r="R36" s="10"/>
    </row>
    <row r="37" spans="16:18" ht="17" x14ac:dyDescent="0.2">
      <c r="P37" s="10"/>
      <c r="Q37" s="10"/>
      <c r="R37" s="10"/>
    </row>
    <row r="38" spans="16:18" ht="17" x14ac:dyDescent="0.2">
      <c r="P38" s="10"/>
      <c r="Q38" s="10"/>
      <c r="R38" s="10"/>
    </row>
    <row r="39" spans="16:18" ht="17" x14ac:dyDescent="0.2">
      <c r="P39" s="10"/>
      <c r="Q39" s="10"/>
      <c r="R39" s="10"/>
    </row>
    <row r="40" spans="16:18" ht="17" x14ac:dyDescent="0.2">
      <c r="P40" s="10"/>
      <c r="Q40" s="10"/>
      <c r="R40" s="10"/>
    </row>
    <row r="41" spans="16:18" ht="17" x14ac:dyDescent="0.2">
      <c r="P41" s="10"/>
      <c r="Q41" s="10"/>
      <c r="R41" s="10"/>
    </row>
    <row r="42" spans="16:18" ht="17" x14ac:dyDescent="0.2">
      <c r="P42" s="10"/>
      <c r="Q42" s="10"/>
      <c r="R42" s="10"/>
    </row>
    <row r="43" spans="16:18" ht="17" x14ac:dyDescent="0.2">
      <c r="P43" s="10"/>
      <c r="Q43" s="10"/>
      <c r="R43" s="10"/>
    </row>
    <row r="44" spans="16:18" ht="17" x14ac:dyDescent="0.2">
      <c r="P44" s="10"/>
      <c r="Q44" s="10"/>
      <c r="R44" s="10"/>
    </row>
    <row r="45" spans="16:18" ht="17" x14ac:dyDescent="0.2">
      <c r="P45" s="10"/>
      <c r="Q45" s="10"/>
      <c r="R45" s="10"/>
    </row>
  </sheetData>
  <sheetProtection sheet="1" formatCells="0" formatColumns="0" formatRows="0"/>
  <autoFilter ref="A1:VL1" xr:uid="{00000000-0001-0000-0100-000000000000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sortState xmlns:xlrd2="http://schemas.microsoft.com/office/spreadsheetml/2017/richdata2" ref="A6:VL13">
      <sortCondition descending="1" ref="F1:F14"/>
    </sortState>
  </autoFilter>
  <mergeCells count="102">
    <mergeCell ref="TG2:TK2"/>
    <mergeCell ref="TL2:TP2"/>
    <mergeCell ref="UE2:UI2"/>
    <mergeCell ref="UJ2:UN2"/>
    <mergeCell ref="UO2:US2"/>
    <mergeCell ref="UT2:UX2"/>
    <mergeCell ref="RO2:RS2"/>
    <mergeCell ref="RT2:RX2"/>
    <mergeCell ref="RY2:SC2"/>
    <mergeCell ref="SD2:SH2"/>
    <mergeCell ref="SW2:TA2"/>
    <mergeCell ref="TB2:TF2"/>
    <mergeCell ref="PI2:PM2"/>
    <mergeCell ref="PN2:PR2"/>
    <mergeCell ref="QG2:QK2"/>
    <mergeCell ref="QL2:QP2"/>
    <mergeCell ref="QQ2:QU2"/>
    <mergeCell ref="QV2:QZ2"/>
    <mergeCell ref="NQ2:NU2"/>
    <mergeCell ref="NV2:NZ2"/>
    <mergeCell ref="OA2:OE2"/>
    <mergeCell ref="OF2:OJ2"/>
    <mergeCell ref="OY2:PC2"/>
    <mergeCell ref="PD2:PH2"/>
    <mergeCell ref="LK2:LO2"/>
    <mergeCell ref="LP2:LT2"/>
    <mergeCell ref="MI2:MM2"/>
    <mergeCell ref="MN2:MR2"/>
    <mergeCell ref="MS2:MW2"/>
    <mergeCell ref="MX2:NB2"/>
    <mergeCell ref="JS2:JW2"/>
    <mergeCell ref="JX2:KB2"/>
    <mergeCell ref="KC2:KG2"/>
    <mergeCell ref="KH2:KL2"/>
    <mergeCell ref="LA2:LE2"/>
    <mergeCell ref="LF2:LJ2"/>
    <mergeCell ref="HM2:HQ2"/>
    <mergeCell ref="HR2:HV2"/>
    <mergeCell ref="IK2:IO2"/>
    <mergeCell ref="IP2:IT2"/>
    <mergeCell ref="IU2:IY2"/>
    <mergeCell ref="IZ2:JD2"/>
    <mergeCell ref="FU2:FY2"/>
    <mergeCell ref="FZ2:GD2"/>
    <mergeCell ref="GE2:GI2"/>
    <mergeCell ref="GJ2:GN2"/>
    <mergeCell ref="HC2:HG2"/>
    <mergeCell ref="HH2:HL2"/>
    <mergeCell ref="DO2:DS2"/>
    <mergeCell ref="DT2:DX2"/>
    <mergeCell ref="EM2:EQ2"/>
    <mergeCell ref="ER2:EV2"/>
    <mergeCell ref="EW2:FA2"/>
    <mergeCell ref="FB2:FF2"/>
    <mergeCell ref="BW2:CA2"/>
    <mergeCell ref="CB2:CF2"/>
    <mergeCell ref="CG2:CK2"/>
    <mergeCell ref="CL2:CP2"/>
    <mergeCell ref="DE2:DI2"/>
    <mergeCell ref="DJ2:DN2"/>
    <mergeCell ref="UE1:VL1"/>
    <mergeCell ref="S2:W2"/>
    <mergeCell ref="X2:AB2"/>
    <mergeCell ref="AC2:AG2"/>
    <mergeCell ref="AT2:AX2"/>
    <mergeCell ref="AY2:BC2"/>
    <mergeCell ref="BD2:BH2"/>
    <mergeCell ref="MI1:NP1"/>
    <mergeCell ref="NQ1:OX1"/>
    <mergeCell ref="OY1:QF1"/>
    <mergeCell ref="QG1:RN1"/>
    <mergeCell ref="RO1:SV1"/>
    <mergeCell ref="SW1:UD1"/>
    <mergeCell ref="EM1:FT1"/>
    <mergeCell ref="FU1:HB1"/>
    <mergeCell ref="HC1:IJ1"/>
    <mergeCell ref="IK1:JR1"/>
    <mergeCell ref="JS1:KZ1"/>
    <mergeCell ref="LA1:MH1"/>
    <mergeCell ref="S1:AS1"/>
    <mergeCell ref="AT1:BT1"/>
    <mergeCell ref="BU1:BV1"/>
    <mergeCell ref="BW1:DD1"/>
    <mergeCell ref="DE1:EL1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H1:H1048576">
    <cfRule type="containsText" dxfId="428" priority="129" operator="containsText" text="No DD">
      <formula>NOT(ISERROR(SEARCH("No DD",H1)))</formula>
    </cfRule>
    <cfRule type="containsText" dxfId="427" priority="130" operator="containsText" text="Merit">
      <formula>NOT(ISERROR(SEARCH("Merit",H1)))</formula>
    </cfRule>
    <cfRule type="containsText" dxfId="426" priority="131" operator="containsText" text="Excellence">
      <formula>NOT(ISERROR(SEARCH("Excellence",H1)))</formula>
    </cfRule>
    <cfRule type="containsText" dxfId="425" priority="132" operator="containsText" text="Worlds Team">
      <formula>NOT(ISERROR(SEARCH("Worlds Team",H1)))</formula>
    </cfRule>
    <cfRule type="containsText" dxfId="424" priority="133" operator="containsText" text="National Team">
      <formula>NOT(ISERROR(SEARCH("National Team",H1)))</formula>
    </cfRule>
  </conditionalFormatting>
  <conditionalFormatting sqref="S4:AS13">
    <cfRule type="expression" dxfId="423" priority="114" stopIfTrue="1">
      <formula>IF($AH4&lt;&gt;"",1,0)</formula>
    </cfRule>
  </conditionalFormatting>
  <conditionalFormatting sqref="AT4:BT13">
    <cfRule type="expression" dxfId="422" priority="127" stopIfTrue="1">
      <formula>IF($BI4&lt;&gt;"",1,0)</formula>
    </cfRule>
  </conditionalFormatting>
  <conditionalFormatting sqref="A4:A1048576">
    <cfRule type="expression" dxfId="421" priority="86">
      <formula>AND(G4&lt;&gt;"",F4="")</formula>
    </cfRule>
    <cfRule type="expression" dxfId="420" priority="87" stopIfTrue="1">
      <formula>IF(A4&gt;4,1,0)</formula>
    </cfRule>
  </conditionalFormatting>
  <conditionalFormatting sqref="GT2">
    <cfRule type="cellIs" dxfId="419" priority="175892" operator="between">
      <formula>HB$23</formula>
      <formula>1000</formula>
    </cfRule>
    <cfRule type="cellIs" dxfId="418" priority="175893" operator="between">
      <formula>HB$22</formula>
      <formula>HB$23</formula>
    </cfRule>
  </conditionalFormatting>
  <conditionalFormatting sqref="K1:K1048576 M1:M1048576 O1:O1048576">
    <cfRule type="expression" dxfId="417" priority="175907" stopIfTrue="1">
      <formula>IF(K1=$AT$1,1,0)</formula>
    </cfRule>
    <cfRule type="expression" dxfId="416" priority="175908">
      <formula>IF(K1=$S$1,1,0)</formula>
    </cfRule>
  </conditionalFormatting>
  <conditionalFormatting sqref="AO1:AO1048576 BP1:BP1048576 CW1:CW1048576 EE1:EE1048576 FM1:FM1048576 GU1:GU1048576 IC1:IC1048576 JK1:JK1048576 KS1:KS1048576 MA1:MA1048576 NI1:NI1048576 OQ1:OQ1048576 PY1:PY1048576 RG1:RG1048576 SO1:SO1048576 TW1:TW1048576 VE1:VE1048576">
    <cfRule type="cellIs" dxfId="415" priority="176028" operator="between">
      <formula>AS$20</formula>
      <formula>AS$21</formula>
    </cfRule>
  </conditionalFormatting>
  <conditionalFormatting sqref="AL1:AL1048576 BM1:BM1048576 CT1:CT1048576 EB1:EB1048576 FJ1:FJ1048576 GR1:GR1048576 HZ1:HZ1048576 JH1:JH1048576 KP1:KP1048576 LX1:LX1048576 NF1:NF1048576 ON1:ON1048576 PV1:PV1048576 RD1:RD1048576 SL1:SL1048576 TT1:TT1048576 VB1:VB1048576">
    <cfRule type="cellIs" dxfId="414" priority="176103" operator="between">
      <formula>AS$16</formula>
      <formula>AS$17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D0E55-9665-CE43-8C62-EA4C07B34EC7}">
  <sheetPr codeName="Sheet11"/>
  <dimension ref="A1:VL38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hidden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6" max="16" width="24.6640625" customWidth="1"/>
    <col min="17" max="17" width="13" customWidth="1"/>
    <col min="18" max="18" width="47" customWidth="1"/>
    <col min="19" max="34" width="10.83203125" hidden="1" customWidth="1"/>
    <col min="35" max="45" width="10.83203125" style="32" customWidth="1"/>
    <col min="46" max="61" width="10.83203125" hidden="1" customWidth="1"/>
    <col min="62" max="72" width="10.83203125" style="32" customWidth="1"/>
    <col min="73" max="74" width="12.83203125" style="32" customWidth="1"/>
    <col min="75" max="94" width="10.83203125" hidden="1" customWidth="1"/>
    <col min="95" max="107" width="10.83203125" customWidth="1"/>
    <col min="108" max="108" width="10.83203125" style="32" customWidth="1"/>
    <col min="109" max="141" width="10.83203125" hidden="1" customWidth="1"/>
    <col min="142" max="142" width="10.83203125" style="32" hidden="1" customWidth="1"/>
    <col min="143" max="175" width="10.83203125" hidden="1" customWidth="1"/>
    <col min="176" max="176" width="10.83203125" style="32" hidden="1" customWidth="1"/>
    <col min="177" max="209" width="10.83203125" hidden="1" customWidth="1"/>
    <col min="210" max="210" width="10.83203125" style="32" hidden="1" customWidth="1"/>
    <col min="211" max="243" width="10.83203125" hidden="1" customWidth="1"/>
    <col min="244" max="244" width="10.83203125" style="32" hidden="1" customWidth="1"/>
    <col min="245" max="509" width="10.83203125" hidden="1" customWidth="1"/>
    <col min="510" max="510" width="11.83203125" hidden="1" customWidth="1"/>
    <col min="511" max="511" width="12.83203125" hidden="1" customWidth="1"/>
    <col min="512" max="543" width="10.83203125" hidden="1" customWidth="1"/>
    <col min="544" max="544" width="11.83203125" hidden="1" customWidth="1"/>
    <col min="545" max="545" width="12.83203125" hidden="1" customWidth="1"/>
    <col min="546" max="577" width="10.83203125" hidden="1" customWidth="1"/>
    <col min="578" max="578" width="11.83203125" hidden="1" customWidth="1"/>
    <col min="579" max="579" width="12.83203125" hidden="1" customWidth="1"/>
    <col min="580" max="584" width="10.83203125" hidden="1" customWidth="1"/>
  </cols>
  <sheetData>
    <row r="1" spans="1:584" x14ac:dyDescent="0.2">
      <c r="A1" s="57" t="s">
        <v>1</v>
      </c>
      <c r="B1" s="57" t="s">
        <v>26</v>
      </c>
      <c r="C1" s="57" t="s">
        <v>0</v>
      </c>
      <c r="D1" s="57" t="s">
        <v>44</v>
      </c>
      <c r="E1" s="57" t="s">
        <v>2</v>
      </c>
      <c r="F1" s="58" t="s">
        <v>177</v>
      </c>
      <c r="G1" s="57" t="s">
        <v>9</v>
      </c>
      <c r="H1" s="57" t="s">
        <v>10</v>
      </c>
      <c r="I1" s="57" t="s">
        <v>61</v>
      </c>
      <c r="J1" s="53" t="s">
        <v>208</v>
      </c>
      <c r="K1" s="52" t="s">
        <v>28</v>
      </c>
      <c r="L1" s="53" t="s">
        <v>222</v>
      </c>
      <c r="M1" s="52" t="s">
        <v>28</v>
      </c>
      <c r="N1" s="53" t="s">
        <v>174</v>
      </c>
      <c r="O1" s="52" t="s">
        <v>28</v>
      </c>
      <c r="P1" s="59" t="s">
        <v>12</v>
      </c>
      <c r="Q1" s="52" t="s">
        <v>29</v>
      </c>
      <c r="R1" s="52" t="s">
        <v>28</v>
      </c>
      <c r="S1" s="56" t="s">
        <v>150</v>
      </c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61" t="s">
        <v>231</v>
      </c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54" t="s">
        <v>12</v>
      </c>
      <c r="BV1" s="54"/>
      <c r="BW1" s="56" t="s">
        <v>171</v>
      </c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  <c r="ED1" s="61"/>
      <c r="EE1" s="61"/>
      <c r="EF1" s="61"/>
      <c r="EG1" s="61"/>
      <c r="EH1" s="61"/>
      <c r="EI1" s="61"/>
      <c r="EJ1" s="61"/>
      <c r="EK1" s="61"/>
      <c r="EL1" s="61"/>
      <c r="EM1" s="56"/>
      <c r="EN1" s="56"/>
      <c r="EO1" s="56"/>
      <c r="EP1" s="56"/>
      <c r="EQ1" s="56"/>
      <c r="ER1" s="56"/>
      <c r="ES1" s="56"/>
      <c r="ET1" s="56"/>
      <c r="EU1" s="56"/>
      <c r="EV1" s="56"/>
      <c r="EW1" s="56"/>
      <c r="EX1" s="56"/>
      <c r="EY1" s="56"/>
      <c r="EZ1" s="56"/>
      <c r="FA1" s="56"/>
      <c r="FB1" s="56"/>
      <c r="FC1" s="56"/>
      <c r="FD1" s="56"/>
      <c r="FE1" s="56"/>
      <c r="FF1" s="56"/>
      <c r="FG1" s="56"/>
      <c r="FH1" s="56"/>
      <c r="FI1" s="56"/>
      <c r="FJ1" s="56"/>
      <c r="FK1" s="56"/>
      <c r="FL1" s="56"/>
      <c r="FM1" s="56"/>
      <c r="FN1" s="56"/>
      <c r="FO1" s="56"/>
      <c r="FP1" s="56"/>
      <c r="FQ1" s="56"/>
      <c r="FR1" s="56"/>
      <c r="FS1" s="56"/>
      <c r="FT1" s="56"/>
      <c r="FU1" s="61"/>
      <c r="FV1" s="61"/>
      <c r="FW1" s="61"/>
      <c r="FX1" s="61"/>
      <c r="FY1" s="61"/>
      <c r="FZ1" s="61"/>
      <c r="GA1" s="61"/>
      <c r="GB1" s="61"/>
      <c r="GC1" s="61"/>
      <c r="GD1" s="61"/>
      <c r="GE1" s="61"/>
      <c r="GF1" s="61"/>
      <c r="GG1" s="61"/>
      <c r="GH1" s="61"/>
      <c r="GI1" s="61"/>
      <c r="GJ1" s="61"/>
      <c r="GK1" s="61"/>
      <c r="GL1" s="61"/>
      <c r="GM1" s="61"/>
      <c r="GN1" s="61"/>
      <c r="GO1" s="61"/>
      <c r="GP1" s="61"/>
      <c r="GQ1" s="61"/>
      <c r="GR1" s="61"/>
      <c r="GS1" s="61"/>
      <c r="GT1" s="61"/>
      <c r="GU1" s="61"/>
      <c r="GV1" s="61"/>
      <c r="GW1" s="61"/>
      <c r="GX1" s="61"/>
      <c r="GY1" s="61"/>
      <c r="GZ1" s="61"/>
      <c r="HA1" s="61"/>
      <c r="HB1" s="61"/>
      <c r="HC1" s="56"/>
      <c r="HD1" s="56"/>
      <c r="HE1" s="56"/>
      <c r="HF1" s="56"/>
      <c r="HG1" s="56"/>
      <c r="HH1" s="56"/>
      <c r="HI1" s="56"/>
      <c r="HJ1" s="56"/>
      <c r="HK1" s="56"/>
      <c r="HL1" s="56"/>
      <c r="HM1" s="56"/>
      <c r="HN1" s="56"/>
      <c r="HO1" s="56"/>
      <c r="HP1" s="56"/>
      <c r="HQ1" s="56"/>
      <c r="HR1" s="56"/>
      <c r="HS1" s="56"/>
      <c r="HT1" s="56"/>
      <c r="HU1" s="56"/>
      <c r="HV1" s="56"/>
      <c r="HW1" s="56"/>
      <c r="HX1" s="56"/>
      <c r="HY1" s="56"/>
      <c r="HZ1" s="56"/>
      <c r="IA1" s="56"/>
      <c r="IB1" s="56"/>
      <c r="IC1" s="56"/>
      <c r="ID1" s="56"/>
      <c r="IE1" s="56"/>
      <c r="IF1" s="56"/>
      <c r="IG1" s="56"/>
      <c r="IH1" s="56"/>
      <c r="II1" s="56"/>
      <c r="IJ1" s="56"/>
      <c r="IK1" s="61"/>
      <c r="IL1" s="61"/>
      <c r="IM1" s="61"/>
      <c r="IN1" s="61"/>
      <c r="IO1" s="61"/>
      <c r="IP1" s="61"/>
      <c r="IQ1" s="61"/>
      <c r="IR1" s="61"/>
      <c r="IS1" s="61"/>
      <c r="IT1" s="61"/>
      <c r="IU1" s="61"/>
      <c r="IV1" s="61"/>
      <c r="IW1" s="61"/>
      <c r="IX1" s="61"/>
      <c r="IY1" s="61"/>
      <c r="IZ1" s="61"/>
      <c r="JA1" s="61"/>
      <c r="JB1" s="61"/>
      <c r="JC1" s="61"/>
      <c r="JD1" s="61"/>
      <c r="JE1" s="61"/>
      <c r="JF1" s="61"/>
      <c r="JG1" s="61"/>
      <c r="JH1" s="61"/>
      <c r="JI1" s="61"/>
      <c r="JJ1" s="61"/>
      <c r="JK1" s="61"/>
      <c r="JL1" s="61"/>
      <c r="JM1" s="61"/>
      <c r="JN1" s="61"/>
      <c r="JO1" s="61"/>
      <c r="JP1" s="61"/>
      <c r="JQ1" s="61"/>
      <c r="JR1" s="61"/>
      <c r="JS1" s="56"/>
      <c r="JT1" s="56"/>
      <c r="JU1" s="56"/>
      <c r="JV1" s="56"/>
      <c r="JW1" s="56"/>
      <c r="JX1" s="56"/>
      <c r="JY1" s="56"/>
      <c r="JZ1" s="56"/>
      <c r="KA1" s="56"/>
      <c r="KB1" s="56"/>
      <c r="KC1" s="56"/>
      <c r="KD1" s="56"/>
      <c r="KE1" s="56"/>
      <c r="KF1" s="56"/>
      <c r="KG1" s="56"/>
      <c r="KH1" s="56"/>
      <c r="KI1" s="56"/>
      <c r="KJ1" s="56"/>
      <c r="KK1" s="56"/>
      <c r="KL1" s="56"/>
      <c r="KM1" s="56"/>
      <c r="KN1" s="56"/>
      <c r="KO1" s="56"/>
      <c r="KP1" s="56"/>
      <c r="KQ1" s="56"/>
      <c r="KR1" s="56"/>
      <c r="KS1" s="56"/>
      <c r="KT1" s="56"/>
      <c r="KU1" s="56"/>
      <c r="KV1" s="56"/>
      <c r="KW1" s="56"/>
      <c r="KX1" s="56"/>
      <c r="KY1" s="56"/>
      <c r="KZ1" s="56"/>
      <c r="LA1" s="61"/>
      <c r="LB1" s="61"/>
      <c r="LC1" s="61"/>
      <c r="LD1" s="61"/>
      <c r="LE1" s="61"/>
      <c r="LF1" s="61"/>
      <c r="LG1" s="61"/>
      <c r="LH1" s="61"/>
      <c r="LI1" s="61"/>
      <c r="LJ1" s="61"/>
      <c r="LK1" s="61"/>
      <c r="LL1" s="61"/>
      <c r="LM1" s="61"/>
      <c r="LN1" s="61"/>
      <c r="LO1" s="61"/>
      <c r="LP1" s="61"/>
      <c r="LQ1" s="61"/>
      <c r="LR1" s="61"/>
      <c r="LS1" s="61"/>
      <c r="LT1" s="61"/>
      <c r="LU1" s="61"/>
      <c r="LV1" s="61"/>
      <c r="LW1" s="61"/>
      <c r="LX1" s="61"/>
      <c r="LY1" s="61"/>
      <c r="LZ1" s="61"/>
      <c r="MA1" s="61"/>
      <c r="MB1" s="61"/>
      <c r="MC1" s="61"/>
      <c r="MD1" s="61"/>
      <c r="ME1" s="61"/>
      <c r="MF1" s="61"/>
      <c r="MG1" s="61"/>
      <c r="MH1" s="61"/>
      <c r="MI1" s="56"/>
      <c r="MJ1" s="56"/>
      <c r="MK1" s="56"/>
      <c r="ML1" s="56"/>
      <c r="MM1" s="56"/>
      <c r="MN1" s="56"/>
      <c r="MO1" s="56"/>
      <c r="MP1" s="56"/>
      <c r="MQ1" s="56"/>
      <c r="MR1" s="56"/>
      <c r="MS1" s="56"/>
      <c r="MT1" s="56"/>
      <c r="MU1" s="56"/>
      <c r="MV1" s="56"/>
      <c r="MW1" s="56"/>
      <c r="MX1" s="56"/>
      <c r="MY1" s="56"/>
      <c r="MZ1" s="56"/>
      <c r="NA1" s="56"/>
      <c r="NB1" s="56"/>
      <c r="NC1" s="56"/>
      <c r="ND1" s="56"/>
      <c r="NE1" s="56"/>
      <c r="NF1" s="56"/>
      <c r="NG1" s="56"/>
      <c r="NH1" s="56"/>
      <c r="NI1" s="56"/>
      <c r="NJ1" s="56"/>
      <c r="NK1" s="56"/>
      <c r="NL1" s="56"/>
      <c r="NM1" s="56"/>
      <c r="NN1" s="56"/>
      <c r="NO1" s="56"/>
      <c r="NP1" s="56"/>
      <c r="NQ1" s="61"/>
      <c r="NR1" s="61"/>
      <c r="NS1" s="61"/>
      <c r="NT1" s="61"/>
      <c r="NU1" s="61"/>
      <c r="NV1" s="61"/>
      <c r="NW1" s="61"/>
      <c r="NX1" s="61"/>
      <c r="NY1" s="61"/>
      <c r="NZ1" s="61"/>
      <c r="OA1" s="61"/>
      <c r="OB1" s="61"/>
      <c r="OC1" s="61"/>
      <c r="OD1" s="61"/>
      <c r="OE1" s="61"/>
      <c r="OF1" s="61"/>
      <c r="OG1" s="61"/>
      <c r="OH1" s="61"/>
      <c r="OI1" s="61"/>
      <c r="OJ1" s="61"/>
      <c r="OK1" s="61"/>
      <c r="OL1" s="61"/>
      <c r="OM1" s="61"/>
      <c r="ON1" s="61"/>
      <c r="OO1" s="61"/>
      <c r="OP1" s="61"/>
      <c r="OQ1" s="61"/>
      <c r="OR1" s="61"/>
      <c r="OS1" s="61"/>
      <c r="OT1" s="61"/>
      <c r="OU1" s="61"/>
      <c r="OV1" s="61"/>
      <c r="OW1" s="61"/>
      <c r="OX1" s="61"/>
      <c r="OY1" s="56"/>
      <c r="OZ1" s="56"/>
      <c r="PA1" s="56"/>
      <c r="PB1" s="56"/>
      <c r="PC1" s="56"/>
      <c r="PD1" s="56"/>
      <c r="PE1" s="56"/>
      <c r="PF1" s="56"/>
      <c r="PG1" s="56"/>
      <c r="PH1" s="56"/>
      <c r="PI1" s="56"/>
      <c r="PJ1" s="56"/>
      <c r="PK1" s="56"/>
      <c r="PL1" s="56"/>
      <c r="PM1" s="56"/>
      <c r="PN1" s="56"/>
      <c r="PO1" s="56"/>
      <c r="PP1" s="56"/>
      <c r="PQ1" s="56"/>
      <c r="PR1" s="56"/>
      <c r="PS1" s="56"/>
      <c r="PT1" s="56"/>
      <c r="PU1" s="56"/>
      <c r="PV1" s="56"/>
      <c r="PW1" s="56"/>
      <c r="PX1" s="56"/>
      <c r="PY1" s="56"/>
      <c r="PZ1" s="56"/>
      <c r="QA1" s="56"/>
      <c r="QB1" s="56"/>
      <c r="QC1" s="56"/>
      <c r="QD1" s="56"/>
      <c r="QE1" s="56"/>
      <c r="QF1" s="56"/>
      <c r="QG1" s="61"/>
      <c r="QH1" s="61"/>
      <c r="QI1" s="61"/>
      <c r="QJ1" s="61"/>
      <c r="QK1" s="61"/>
      <c r="QL1" s="61"/>
      <c r="QM1" s="61"/>
      <c r="QN1" s="61"/>
      <c r="QO1" s="61"/>
      <c r="QP1" s="61"/>
      <c r="QQ1" s="61"/>
      <c r="QR1" s="61"/>
      <c r="QS1" s="61"/>
      <c r="QT1" s="61"/>
      <c r="QU1" s="61"/>
      <c r="QV1" s="61"/>
      <c r="QW1" s="61"/>
      <c r="QX1" s="61"/>
      <c r="QY1" s="61"/>
      <c r="QZ1" s="61"/>
      <c r="RA1" s="61"/>
      <c r="RB1" s="61"/>
      <c r="RC1" s="61"/>
      <c r="RD1" s="61"/>
      <c r="RE1" s="61"/>
      <c r="RF1" s="61"/>
      <c r="RG1" s="61"/>
      <c r="RH1" s="61"/>
      <c r="RI1" s="61"/>
      <c r="RJ1" s="61"/>
      <c r="RK1" s="61"/>
      <c r="RL1" s="61"/>
      <c r="RM1" s="61"/>
      <c r="RN1" s="61"/>
      <c r="RO1" s="56"/>
      <c r="RP1" s="56"/>
      <c r="RQ1" s="56"/>
      <c r="RR1" s="56"/>
      <c r="RS1" s="56"/>
      <c r="RT1" s="56"/>
      <c r="RU1" s="56"/>
      <c r="RV1" s="56"/>
      <c r="RW1" s="56"/>
      <c r="RX1" s="56"/>
      <c r="RY1" s="56"/>
      <c r="RZ1" s="56"/>
      <c r="SA1" s="56"/>
      <c r="SB1" s="56"/>
      <c r="SC1" s="56"/>
      <c r="SD1" s="56"/>
      <c r="SE1" s="56"/>
      <c r="SF1" s="56"/>
      <c r="SG1" s="56"/>
      <c r="SH1" s="56"/>
      <c r="SI1" s="56"/>
      <c r="SJ1" s="56"/>
      <c r="SK1" s="56"/>
      <c r="SL1" s="56"/>
      <c r="SM1" s="56"/>
      <c r="SN1" s="56"/>
      <c r="SO1" s="56"/>
      <c r="SP1" s="56"/>
      <c r="SQ1" s="56"/>
      <c r="SR1" s="56"/>
      <c r="SS1" s="56"/>
      <c r="ST1" s="56"/>
      <c r="SU1" s="56"/>
      <c r="SV1" s="56"/>
      <c r="SW1" s="61"/>
      <c r="SX1" s="61"/>
      <c r="SY1" s="61"/>
      <c r="SZ1" s="61"/>
      <c r="TA1" s="61"/>
      <c r="TB1" s="61"/>
      <c r="TC1" s="61"/>
      <c r="TD1" s="61"/>
      <c r="TE1" s="61"/>
      <c r="TF1" s="61"/>
      <c r="TG1" s="61"/>
      <c r="TH1" s="61"/>
      <c r="TI1" s="61"/>
      <c r="TJ1" s="61"/>
      <c r="TK1" s="61"/>
      <c r="TL1" s="61"/>
      <c r="TM1" s="61"/>
      <c r="TN1" s="61"/>
      <c r="TO1" s="61"/>
      <c r="TP1" s="61"/>
      <c r="TQ1" s="61"/>
      <c r="TR1" s="61"/>
      <c r="TS1" s="61"/>
      <c r="TT1" s="61"/>
      <c r="TU1" s="61"/>
      <c r="TV1" s="61"/>
      <c r="TW1" s="61"/>
      <c r="TX1" s="61"/>
      <c r="TY1" s="61"/>
      <c r="TZ1" s="61"/>
      <c r="UA1" s="61"/>
      <c r="UB1" s="61"/>
      <c r="UC1" s="61"/>
      <c r="UD1" s="61"/>
      <c r="UE1" s="56"/>
      <c r="UF1" s="56"/>
      <c r="UG1" s="56"/>
      <c r="UH1" s="56"/>
      <c r="UI1" s="56"/>
      <c r="UJ1" s="56"/>
      <c r="UK1" s="56"/>
      <c r="UL1" s="56"/>
      <c r="UM1" s="56"/>
      <c r="UN1" s="56"/>
      <c r="UO1" s="56"/>
      <c r="UP1" s="56"/>
      <c r="UQ1" s="56"/>
      <c r="UR1" s="56"/>
      <c r="US1" s="56"/>
      <c r="UT1" s="56"/>
      <c r="UU1" s="56"/>
      <c r="UV1" s="56"/>
      <c r="UW1" s="56"/>
      <c r="UX1" s="56"/>
      <c r="UY1" s="56"/>
      <c r="UZ1" s="56"/>
      <c r="VA1" s="56"/>
      <c r="VB1" s="56"/>
      <c r="VC1" s="56"/>
      <c r="VD1" s="56"/>
      <c r="VE1" s="56"/>
      <c r="VF1" s="56"/>
      <c r="VG1" s="56"/>
      <c r="VH1" s="56"/>
      <c r="VI1" s="56"/>
      <c r="VJ1" s="56"/>
      <c r="VK1" s="56"/>
      <c r="VL1" s="56"/>
    </row>
    <row r="2" spans="1:584" x14ac:dyDescent="0.2">
      <c r="A2" s="57"/>
      <c r="B2" s="57"/>
      <c r="C2" s="57"/>
      <c r="D2" s="57"/>
      <c r="E2" s="57"/>
      <c r="F2" s="58"/>
      <c r="G2" s="57"/>
      <c r="H2" s="57"/>
      <c r="I2" s="57"/>
      <c r="J2" s="53"/>
      <c r="K2" s="52"/>
      <c r="L2" s="53"/>
      <c r="M2" s="52"/>
      <c r="N2" s="53"/>
      <c r="O2" s="52"/>
      <c r="P2" s="59"/>
      <c r="Q2" s="52"/>
      <c r="R2" s="52"/>
      <c r="S2" s="55" t="s">
        <v>216</v>
      </c>
      <c r="T2" s="55"/>
      <c r="U2" s="55"/>
      <c r="V2" s="55"/>
      <c r="W2" s="55"/>
      <c r="X2" s="55" t="s">
        <v>217</v>
      </c>
      <c r="Y2" s="55"/>
      <c r="Z2" s="55"/>
      <c r="AA2" s="55"/>
      <c r="AB2" s="55"/>
      <c r="AC2" s="55" t="s">
        <v>21</v>
      </c>
      <c r="AD2" s="55"/>
      <c r="AE2" s="55"/>
      <c r="AF2" s="55"/>
      <c r="AG2" s="55"/>
      <c r="AH2" s="14"/>
      <c r="AI2" s="14" t="s">
        <v>219</v>
      </c>
      <c r="AJ2" s="14" t="s">
        <v>218</v>
      </c>
      <c r="AK2" s="14" t="s">
        <v>216</v>
      </c>
      <c r="AL2" s="14" t="s">
        <v>220</v>
      </c>
      <c r="AM2" s="14" t="s">
        <v>221</v>
      </c>
      <c r="AN2" s="14" t="s">
        <v>217</v>
      </c>
      <c r="AO2" s="14" t="s">
        <v>22</v>
      </c>
      <c r="AP2" s="14" t="s">
        <v>69</v>
      </c>
      <c r="AQ2" s="14" t="s">
        <v>70</v>
      </c>
      <c r="AR2" s="14" t="s">
        <v>21</v>
      </c>
      <c r="AS2" s="14" t="s">
        <v>16</v>
      </c>
      <c r="AT2" s="60" t="s">
        <v>216</v>
      </c>
      <c r="AU2" s="60"/>
      <c r="AV2" s="60"/>
      <c r="AW2" s="60"/>
      <c r="AX2" s="60"/>
      <c r="AY2" s="60" t="s">
        <v>217</v>
      </c>
      <c r="AZ2" s="60"/>
      <c r="BA2" s="60"/>
      <c r="BB2" s="60"/>
      <c r="BC2" s="60"/>
      <c r="BD2" s="60" t="s">
        <v>21</v>
      </c>
      <c r="BE2" s="60"/>
      <c r="BF2" s="60"/>
      <c r="BG2" s="60"/>
      <c r="BH2" s="60"/>
      <c r="BI2" s="13"/>
      <c r="BJ2" s="13" t="s">
        <v>219</v>
      </c>
      <c r="BK2" s="13" t="s">
        <v>218</v>
      </c>
      <c r="BL2" s="13" t="s">
        <v>216</v>
      </c>
      <c r="BM2" s="13" t="s">
        <v>220</v>
      </c>
      <c r="BN2" s="13" t="s">
        <v>221</v>
      </c>
      <c r="BO2" s="13" t="s">
        <v>217</v>
      </c>
      <c r="BP2" s="13" t="s">
        <v>22</v>
      </c>
      <c r="BQ2" s="13" t="s">
        <v>69</v>
      </c>
      <c r="BR2" s="13" t="s">
        <v>70</v>
      </c>
      <c r="BS2" s="13" t="s">
        <v>21</v>
      </c>
      <c r="BT2" s="13" t="s">
        <v>16</v>
      </c>
      <c r="BU2" s="46" t="s">
        <v>216</v>
      </c>
      <c r="BV2" s="46" t="s">
        <v>217</v>
      </c>
      <c r="BW2" s="55" t="s">
        <v>216</v>
      </c>
      <c r="BX2" s="55"/>
      <c r="BY2" s="55"/>
      <c r="BZ2" s="55"/>
      <c r="CA2" s="55"/>
      <c r="CB2" s="55" t="s">
        <v>217</v>
      </c>
      <c r="CC2" s="55"/>
      <c r="CD2" s="55"/>
      <c r="CE2" s="55"/>
      <c r="CF2" s="55"/>
      <c r="CG2" s="55" t="s">
        <v>71</v>
      </c>
      <c r="CH2" s="55"/>
      <c r="CI2" s="55"/>
      <c r="CJ2" s="55"/>
      <c r="CK2" s="55"/>
      <c r="CL2" s="55" t="s">
        <v>21</v>
      </c>
      <c r="CM2" s="55"/>
      <c r="CN2" s="55"/>
      <c r="CO2" s="55"/>
      <c r="CP2" s="55"/>
      <c r="CQ2" s="14" t="s">
        <v>219</v>
      </c>
      <c r="CR2" s="14" t="s">
        <v>218</v>
      </c>
      <c r="CS2" s="14" t="s">
        <v>216</v>
      </c>
      <c r="CT2" s="14" t="s">
        <v>220</v>
      </c>
      <c r="CU2" s="14" t="s">
        <v>221</v>
      </c>
      <c r="CV2" s="14" t="s">
        <v>217</v>
      </c>
      <c r="CW2" s="14" t="s">
        <v>22</v>
      </c>
      <c r="CX2" s="14" t="s">
        <v>72</v>
      </c>
      <c r="CY2" s="14" t="s">
        <v>73</v>
      </c>
      <c r="CZ2" s="14" t="s">
        <v>71</v>
      </c>
      <c r="DA2" s="14" t="s">
        <v>69</v>
      </c>
      <c r="DB2" s="14" t="s">
        <v>70</v>
      </c>
      <c r="DC2" s="14" t="s">
        <v>21</v>
      </c>
      <c r="DD2" s="14" t="s">
        <v>16</v>
      </c>
      <c r="DE2" s="60" t="s">
        <v>216</v>
      </c>
      <c r="DF2" s="60"/>
      <c r="DG2" s="60"/>
      <c r="DH2" s="60"/>
      <c r="DI2" s="60"/>
      <c r="DJ2" s="60" t="s">
        <v>217</v>
      </c>
      <c r="DK2" s="60"/>
      <c r="DL2" s="60"/>
      <c r="DM2" s="60"/>
      <c r="DN2" s="60"/>
      <c r="DO2" s="60" t="s">
        <v>71</v>
      </c>
      <c r="DP2" s="60"/>
      <c r="DQ2" s="60"/>
      <c r="DR2" s="60"/>
      <c r="DS2" s="60"/>
      <c r="DT2" s="60" t="s">
        <v>21</v>
      </c>
      <c r="DU2" s="60"/>
      <c r="DV2" s="60"/>
      <c r="DW2" s="60"/>
      <c r="DX2" s="60"/>
      <c r="DY2" s="13" t="s">
        <v>219</v>
      </c>
      <c r="DZ2" s="13" t="s">
        <v>218</v>
      </c>
      <c r="EA2" s="13" t="s">
        <v>216</v>
      </c>
      <c r="EB2" s="13" t="s">
        <v>220</v>
      </c>
      <c r="EC2" s="13" t="s">
        <v>221</v>
      </c>
      <c r="ED2" s="13" t="s">
        <v>217</v>
      </c>
      <c r="EE2" s="13" t="s">
        <v>22</v>
      </c>
      <c r="EF2" s="13" t="s">
        <v>72</v>
      </c>
      <c r="EG2" s="13" t="s">
        <v>73</v>
      </c>
      <c r="EH2" s="13" t="s">
        <v>71</v>
      </c>
      <c r="EI2" s="13" t="s">
        <v>69</v>
      </c>
      <c r="EJ2" s="13" t="s">
        <v>70</v>
      </c>
      <c r="EK2" s="13" t="s">
        <v>21</v>
      </c>
      <c r="EL2" s="13" t="s">
        <v>16</v>
      </c>
      <c r="EM2" s="55" t="s">
        <v>216</v>
      </c>
      <c r="EN2" s="55"/>
      <c r="EO2" s="55"/>
      <c r="EP2" s="55"/>
      <c r="EQ2" s="55"/>
      <c r="ER2" s="55" t="s">
        <v>217</v>
      </c>
      <c r="ES2" s="55"/>
      <c r="ET2" s="55"/>
      <c r="EU2" s="55"/>
      <c r="EV2" s="55"/>
      <c r="EW2" s="55" t="s">
        <v>71</v>
      </c>
      <c r="EX2" s="55"/>
      <c r="EY2" s="55"/>
      <c r="EZ2" s="55"/>
      <c r="FA2" s="55"/>
      <c r="FB2" s="55" t="s">
        <v>21</v>
      </c>
      <c r="FC2" s="55"/>
      <c r="FD2" s="55"/>
      <c r="FE2" s="55"/>
      <c r="FF2" s="55"/>
      <c r="FG2" s="14" t="s">
        <v>219</v>
      </c>
      <c r="FH2" s="14" t="s">
        <v>218</v>
      </c>
      <c r="FI2" s="14" t="s">
        <v>216</v>
      </c>
      <c r="FJ2" s="14" t="s">
        <v>220</v>
      </c>
      <c r="FK2" s="14" t="s">
        <v>221</v>
      </c>
      <c r="FL2" s="14" t="s">
        <v>217</v>
      </c>
      <c r="FM2" s="14" t="s">
        <v>22</v>
      </c>
      <c r="FN2" s="14" t="s">
        <v>72</v>
      </c>
      <c r="FO2" s="14" t="s">
        <v>73</v>
      </c>
      <c r="FP2" s="14" t="s">
        <v>71</v>
      </c>
      <c r="FQ2" s="14" t="s">
        <v>69</v>
      </c>
      <c r="FR2" s="14" t="s">
        <v>70</v>
      </c>
      <c r="FS2" s="14" t="s">
        <v>21</v>
      </c>
      <c r="FT2" s="14" t="s">
        <v>16</v>
      </c>
      <c r="FU2" s="60" t="s">
        <v>216</v>
      </c>
      <c r="FV2" s="60"/>
      <c r="FW2" s="60"/>
      <c r="FX2" s="60"/>
      <c r="FY2" s="60"/>
      <c r="FZ2" s="60" t="s">
        <v>217</v>
      </c>
      <c r="GA2" s="60"/>
      <c r="GB2" s="60"/>
      <c r="GC2" s="60"/>
      <c r="GD2" s="60"/>
      <c r="GE2" s="60" t="s">
        <v>71</v>
      </c>
      <c r="GF2" s="60"/>
      <c r="GG2" s="60"/>
      <c r="GH2" s="60"/>
      <c r="GI2" s="60"/>
      <c r="GJ2" s="60" t="s">
        <v>21</v>
      </c>
      <c r="GK2" s="60"/>
      <c r="GL2" s="60"/>
      <c r="GM2" s="60"/>
      <c r="GN2" s="60"/>
      <c r="GO2" s="13" t="s">
        <v>219</v>
      </c>
      <c r="GP2" s="13" t="s">
        <v>218</v>
      </c>
      <c r="GQ2" s="13" t="s">
        <v>216</v>
      </c>
      <c r="GR2" s="13" t="s">
        <v>220</v>
      </c>
      <c r="GS2" s="13" t="s">
        <v>221</v>
      </c>
      <c r="GT2" s="13" t="s">
        <v>217</v>
      </c>
      <c r="GU2" s="13" t="s">
        <v>22</v>
      </c>
      <c r="GV2" s="13" t="s">
        <v>72</v>
      </c>
      <c r="GW2" s="13" t="s">
        <v>73</v>
      </c>
      <c r="GX2" s="13" t="s">
        <v>71</v>
      </c>
      <c r="GY2" s="13" t="s">
        <v>69</v>
      </c>
      <c r="GZ2" s="13" t="s">
        <v>70</v>
      </c>
      <c r="HA2" s="13" t="s">
        <v>21</v>
      </c>
      <c r="HB2" s="13" t="s">
        <v>16</v>
      </c>
      <c r="HC2" s="55" t="s">
        <v>216</v>
      </c>
      <c r="HD2" s="55"/>
      <c r="HE2" s="55"/>
      <c r="HF2" s="55"/>
      <c r="HG2" s="55"/>
      <c r="HH2" s="55" t="s">
        <v>217</v>
      </c>
      <c r="HI2" s="55"/>
      <c r="HJ2" s="55"/>
      <c r="HK2" s="55"/>
      <c r="HL2" s="55"/>
      <c r="HM2" s="55" t="s">
        <v>71</v>
      </c>
      <c r="HN2" s="55"/>
      <c r="HO2" s="55"/>
      <c r="HP2" s="55"/>
      <c r="HQ2" s="55"/>
      <c r="HR2" s="55" t="s">
        <v>21</v>
      </c>
      <c r="HS2" s="55"/>
      <c r="HT2" s="55"/>
      <c r="HU2" s="55"/>
      <c r="HV2" s="55"/>
      <c r="HW2" s="14" t="s">
        <v>219</v>
      </c>
      <c r="HX2" s="14" t="s">
        <v>218</v>
      </c>
      <c r="HY2" s="14" t="s">
        <v>216</v>
      </c>
      <c r="HZ2" s="14" t="s">
        <v>220</v>
      </c>
      <c r="IA2" s="14" t="s">
        <v>221</v>
      </c>
      <c r="IB2" s="14" t="s">
        <v>217</v>
      </c>
      <c r="IC2" s="14" t="s">
        <v>22</v>
      </c>
      <c r="ID2" s="14" t="s">
        <v>72</v>
      </c>
      <c r="IE2" s="14" t="s">
        <v>73</v>
      </c>
      <c r="IF2" s="14" t="s">
        <v>71</v>
      </c>
      <c r="IG2" s="14" t="s">
        <v>69</v>
      </c>
      <c r="IH2" s="14" t="s">
        <v>70</v>
      </c>
      <c r="II2" s="14" t="s">
        <v>21</v>
      </c>
      <c r="IJ2" s="14" t="s">
        <v>16</v>
      </c>
      <c r="IK2" s="60" t="s">
        <v>216</v>
      </c>
      <c r="IL2" s="60"/>
      <c r="IM2" s="60"/>
      <c r="IN2" s="60"/>
      <c r="IO2" s="60"/>
      <c r="IP2" s="60" t="s">
        <v>217</v>
      </c>
      <c r="IQ2" s="60"/>
      <c r="IR2" s="60"/>
      <c r="IS2" s="60"/>
      <c r="IT2" s="60"/>
      <c r="IU2" s="60" t="s">
        <v>71</v>
      </c>
      <c r="IV2" s="60"/>
      <c r="IW2" s="60"/>
      <c r="IX2" s="60"/>
      <c r="IY2" s="60"/>
      <c r="IZ2" s="60" t="s">
        <v>21</v>
      </c>
      <c r="JA2" s="60"/>
      <c r="JB2" s="60"/>
      <c r="JC2" s="60"/>
      <c r="JD2" s="60"/>
      <c r="JE2" s="13" t="s">
        <v>219</v>
      </c>
      <c r="JF2" s="13" t="s">
        <v>218</v>
      </c>
      <c r="JG2" s="13" t="s">
        <v>216</v>
      </c>
      <c r="JH2" s="13" t="s">
        <v>220</v>
      </c>
      <c r="JI2" s="13" t="s">
        <v>221</v>
      </c>
      <c r="JJ2" s="13" t="s">
        <v>217</v>
      </c>
      <c r="JK2" s="13" t="s">
        <v>22</v>
      </c>
      <c r="JL2" s="13" t="s">
        <v>72</v>
      </c>
      <c r="JM2" s="13" t="s">
        <v>73</v>
      </c>
      <c r="JN2" s="13" t="s">
        <v>71</v>
      </c>
      <c r="JO2" s="13" t="s">
        <v>69</v>
      </c>
      <c r="JP2" s="13" t="s">
        <v>70</v>
      </c>
      <c r="JQ2" s="13" t="s">
        <v>21</v>
      </c>
      <c r="JR2" s="13" t="s">
        <v>16</v>
      </c>
      <c r="JS2" s="55" t="s">
        <v>216</v>
      </c>
      <c r="JT2" s="55"/>
      <c r="JU2" s="55"/>
      <c r="JV2" s="55"/>
      <c r="JW2" s="55"/>
      <c r="JX2" s="55" t="s">
        <v>217</v>
      </c>
      <c r="JY2" s="55"/>
      <c r="JZ2" s="55"/>
      <c r="KA2" s="55"/>
      <c r="KB2" s="55"/>
      <c r="KC2" s="55" t="s">
        <v>71</v>
      </c>
      <c r="KD2" s="55"/>
      <c r="KE2" s="55"/>
      <c r="KF2" s="55"/>
      <c r="KG2" s="55"/>
      <c r="KH2" s="55" t="s">
        <v>21</v>
      </c>
      <c r="KI2" s="55"/>
      <c r="KJ2" s="55"/>
      <c r="KK2" s="55"/>
      <c r="KL2" s="55"/>
      <c r="KM2" s="14" t="s">
        <v>219</v>
      </c>
      <c r="KN2" s="14" t="s">
        <v>218</v>
      </c>
      <c r="KO2" s="14" t="s">
        <v>216</v>
      </c>
      <c r="KP2" s="14" t="s">
        <v>220</v>
      </c>
      <c r="KQ2" s="14" t="s">
        <v>221</v>
      </c>
      <c r="KR2" s="14" t="s">
        <v>217</v>
      </c>
      <c r="KS2" s="14" t="s">
        <v>22</v>
      </c>
      <c r="KT2" s="14" t="s">
        <v>72</v>
      </c>
      <c r="KU2" s="14" t="s">
        <v>73</v>
      </c>
      <c r="KV2" s="14" t="s">
        <v>71</v>
      </c>
      <c r="KW2" s="14" t="s">
        <v>69</v>
      </c>
      <c r="KX2" s="14" t="s">
        <v>70</v>
      </c>
      <c r="KY2" s="14" t="s">
        <v>21</v>
      </c>
      <c r="KZ2" s="14" t="s">
        <v>16</v>
      </c>
      <c r="LA2" s="60" t="s">
        <v>216</v>
      </c>
      <c r="LB2" s="60"/>
      <c r="LC2" s="60"/>
      <c r="LD2" s="60"/>
      <c r="LE2" s="60"/>
      <c r="LF2" s="60" t="s">
        <v>217</v>
      </c>
      <c r="LG2" s="60"/>
      <c r="LH2" s="60"/>
      <c r="LI2" s="60"/>
      <c r="LJ2" s="60"/>
      <c r="LK2" s="60" t="s">
        <v>71</v>
      </c>
      <c r="LL2" s="60"/>
      <c r="LM2" s="60"/>
      <c r="LN2" s="60"/>
      <c r="LO2" s="60"/>
      <c r="LP2" s="60" t="s">
        <v>21</v>
      </c>
      <c r="LQ2" s="60"/>
      <c r="LR2" s="60"/>
      <c r="LS2" s="60"/>
      <c r="LT2" s="60"/>
      <c r="LU2" s="13" t="s">
        <v>219</v>
      </c>
      <c r="LV2" s="13" t="s">
        <v>218</v>
      </c>
      <c r="LW2" s="13" t="s">
        <v>216</v>
      </c>
      <c r="LX2" s="13" t="s">
        <v>220</v>
      </c>
      <c r="LY2" s="13" t="s">
        <v>221</v>
      </c>
      <c r="LZ2" s="13" t="s">
        <v>217</v>
      </c>
      <c r="MA2" s="13" t="s">
        <v>22</v>
      </c>
      <c r="MB2" s="13" t="s">
        <v>72</v>
      </c>
      <c r="MC2" s="13" t="s">
        <v>73</v>
      </c>
      <c r="MD2" s="13" t="s">
        <v>71</v>
      </c>
      <c r="ME2" s="13" t="s">
        <v>69</v>
      </c>
      <c r="MF2" s="13" t="s">
        <v>70</v>
      </c>
      <c r="MG2" s="13" t="s">
        <v>21</v>
      </c>
      <c r="MH2" s="13" t="s">
        <v>16</v>
      </c>
      <c r="MI2" s="55" t="s">
        <v>216</v>
      </c>
      <c r="MJ2" s="55"/>
      <c r="MK2" s="55"/>
      <c r="ML2" s="55"/>
      <c r="MM2" s="55"/>
      <c r="MN2" s="55" t="s">
        <v>217</v>
      </c>
      <c r="MO2" s="55"/>
      <c r="MP2" s="55"/>
      <c r="MQ2" s="55"/>
      <c r="MR2" s="55"/>
      <c r="MS2" s="55" t="s">
        <v>71</v>
      </c>
      <c r="MT2" s="55"/>
      <c r="MU2" s="55"/>
      <c r="MV2" s="55"/>
      <c r="MW2" s="55"/>
      <c r="MX2" s="55" t="s">
        <v>21</v>
      </c>
      <c r="MY2" s="55"/>
      <c r="MZ2" s="55"/>
      <c r="NA2" s="55"/>
      <c r="NB2" s="55"/>
      <c r="NC2" s="14" t="s">
        <v>219</v>
      </c>
      <c r="ND2" s="14" t="s">
        <v>218</v>
      </c>
      <c r="NE2" s="14" t="s">
        <v>216</v>
      </c>
      <c r="NF2" s="14" t="s">
        <v>220</v>
      </c>
      <c r="NG2" s="14" t="s">
        <v>221</v>
      </c>
      <c r="NH2" s="14" t="s">
        <v>217</v>
      </c>
      <c r="NI2" s="14" t="s">
        <v>22</v>
      </c>
      <c r="NJ2" s="14" t="s">
        <v>72</v>
      </c>
      <c r="NK2" s="14" t="s">
        <v>73</v>
      </c>
      <c r="NL2" s="14" t="s">
        <v>71</v>
      </c>
      <c r="NM2" s="14" t="s">
        <v>69</v>
      </c>
      <c r="NN2" s="14" t="s">
        <v>70</v>
      </c>
      <c r="NO2" s="14" t="s">
        <v>21</v>
      </c>
      <c r="NP2" s="14" t="s">
        <v>16</v>
      </c>
      <c r="NQ2" s="60" t="s">
        <v>216</v>
      </c>
      <c r="NR2" s="60"/>
      <c r="NS2" s="60"/>
      <c r="NT2" s="60"/>
      <c r="NU2" s="60"/>
      <c r="NV2" s="60" t="s">
        <v>217</v>
      </c>
      <c r="NW2" s="60"/>
      <c r="NX2" s="60"/>
      <c r="NY2" s="60"/>
      <c r="NZ2" s="60"/>
      <c r="OA2" s="60" t="s">
        <v>71</v>
      </c>
      <c r="OB2" s="60"/>
      <c r="OC2" s="60"/>
      <c r="OD2" s="60"/>
      <c r="OE2" s="60"/>
      <c r="OF2" s="60" t="s">
        <v>21</v>
      </c>
      <c r="OG2" s="60"/>
      <c r="OH2" s="60"/>
      <c r="OI2" s="60"/>
      <c r="OJ2" s="60"/>
      <c r="OK2" s="13" t="s">
        <v>219</v>
      </c>
      <c r="OL2" s="13" t="s">
        <v>218</v>
      </c>
      <c r="OM2" s="13" t="s">
        <v>216</v>
      </c>
      <c r="ON2" s="13" t="s">
        <v>220</v>
      </c>
      <c r="OO2" s="13" t="s">
        <v>221</v>
      </c>
      <c r="OP2" s="13" t="s">
        <v>217</v>
      </c>
      <c r="OQ2" s="13" t="s">
        <v>22</v>
      </c>
      <c r="OR2" s="13" t="s">
        <v>72</v>
      </c>
      <c r="OS2" s="13" t="s">
        <v>73</v>
      </c>
      <c r="OT2" s="13" t="s">
        <v>71</v>
      </c>
      <c r="OU2" s="13" t="s">
        <v>69</v>
      </c>
      <c r="OV2" s="13" t="s">
        <v>70</v>
      </c>
      <c r="OW2" s="13" t="s">
        <v>21</v>
      </c>
      <c r="OX2" s="13" t="s">
        <v>16</v>
      </c>
      <c r="OY2" s="55" t="s">
        <v>216</v>
      </c>
      <c r="OZ2" s="55"/>
      <c r="PA2" s="55"/>
      <c r="PB2" s="55"/>
      <c r="PC2" s="55"/>
      <c r="PD2" s="55" t="s">
        <v>217</v>
      </c>
      <c r="PE2" s="55"/>
      <c r="PF2" s="55"/>
      <c r="PG2" s="55"/>
      <c r="PH2" s="55"/>
      <c r="PI2" s="55" t="s">
        <v>71</v>
      </c>
      <c r="PJ2" s="55"/>
      <c r="PK2" s="55"/>
      <c r="PL2" s="55"/>
      <c r="PM2" s="55"/>
      <c r="PN2" s="55" t="s">
        <v>21</v>
      </c>
      <c r="PO2" s="55"/>
      <c r="PP2" s="55"/>
      <c r="PQ2" s="55"/>
      <c r="PR2" s="55"/>
      <c r="PS2" s="14" t="s">
        <v>219</v>
      </c>
      <c r="PT2" s="14" t="s">
        <v>218</v>
      </c>
      <c r="PU2" s="14" t="s">
        <v>216</v>
      </c>
      <c r="PV2" s="14" t="s">
        <v>220</v>
      </c>
      <c r="PW2" s="14" t="s">
        <v>221</v>
      </c>
      <c r="PX2" s="14" t="s">
        <v>217</v>
      </c>
      <c r="PY2" s="14" t="s">
        <v>22</v>
      </c>
      <c r="PZ2" s="14" t="s">
        <v>72</v>
      </c>
      <c r="QA2" s="14" t="s">
        <v>73</v>
      </c>
      <c r="QB2" s="14" t="s">
        <v>71</v>
      </c>
      <c r="QC2" s="14" t="s">
        <v>69</v>
      </c>
      <c r="QD2" s="14" t="s">
        <v>70</v>
      </c>
      <c r="QE2" s="14" t="s">
        <v>21</v>
      </c>
      <c r="QF2" s="14" t="s">
        <v>16</v>
      </c>
      <c r="QG2" s="60" t="s">
        <v>216</v>
      </c>
      <c r="QH2" s="60"/>
      <c r="QI2" s="60"/>
      <c r="QJ2" s="60"/>
      <c r="QK2" s="60"/>
      <c r="QL2" s="60" t="s">
        <v>217</v>
      </c>
      <c r="QM2" s="60"/>
      <c r="QN2" s="60"/>
      <c r="QO2" s="60"/>
      <c r="QP2" s="60"/>
      <c r="QQ2" s="60" t="s">
        <v>71</v>
      </c>
      <c r="QR2" s="60"/>
      <c r="QS2" s="60"/>
      <c r="QT2" s="60"/>
      <c r="QU2" s="60"/>
      <c r="QV2" s="60" t="s">
        <v>21</v>
      </c>
      <c r="QW2" s="60"/>
      <c r="QX2" s="60"/>
      <c r="QY2" s="60"/>
      <c r="QZ2" s="60"/>
      <c r="RA2" s="13" t="s">
        <v>219</v>
      </c>
      <c r="RB2" s="13" t="s">
        <v>218</v>
      </c>
      <c r="RC2" s="13" t="s">
        <v>216</v>
      </c>
      <c r="RD2" s="13" t="s">
        <v>220</v>
      </c>
      <c r="RE2" s="13" t="s">
        <v>221</v>
      </c>
      <c r="RF2" s="13" t="s">
        <v>217</v>
      </c>
      <c r="RG2" s="13" t="s">
        <v>22</v>
      </c>
      <c r="RH2" s="13" t="s">
        <v>72</v>
      </c>
      <c r="RI2" s="13" t="s">
        <v>73</v>
      </c>
      <c r="RJ2" s="13" t="s">
        <v>71</v>
      </c>
      <c r="RK2" s="13" t="s">
        <v>69</v>
      </c>
      <c r="RL2" s="13" t="s">
        <v>70</v>
      </c>
      <c r="RM2" s="13" t="s">
        <v>21</v>
      </c>
      <c r="RN2" s="13" t="s">
        <v>16</v>
      </c>
      <c r="RO2" s="55" t="s">
        <v>216</v>
      </c>
      <c r="RP2" s="55"/>
      <c r="RQ2" s="55"/>
      <c r="RR2" s="55"/>
      <c r="RS2" s="55"/>
      <c r="RT2" s="55" t="s">
        <v>217</v>
      </c>
      <c r="RU2" s="55"/>
      <c r="RV2" s="55"/>
      <c r="RW2" s="55"/>
      <c r="RX2" s="55"/>
      <c r="RY2" s="55" t="s">
        <v>71</v>
      </c>
      <c r="RZ2" s="55"/>
      <c r="SA2" s="55"/>
      <c r="SB2" s="55"/>
      <c r="SC2" s="55"/>
      <c r="SD2" s="55" t="s">
        <v>21</v>
      </c>
      <c r="SE2" s="55"/>
      <c r="SF2" s="55"/>
      <c r="SG2" s="55"/>
      <c r="SH2" s="55"/>
      <c r="SI2" s="14" t="s">
        <v>219</v>
      </c>
      <c r="SJ2" s="14" t="s">
        <v>218</v>
      </c>
      <c r="SK2" s="14" t="s">
        <v>216</v>
      </c>
      <c r="SL2" s="14" t="s">
        <v>220</v>
      </c>
      <c r="SM2" s="14" t="s">
        <v>221</v>
      </c>
      <c r="SN2" s="14" t="s">
        <v>217</v>
      </c>
      <c r="SO2" s="14" t="s">
        <v>22</v>
      </c>
      <c r="SP2" s="14" t="s">
        <v>72</v>
      </c>
      <c r="SQ2" s="14" t="s">
        <v>73</v>
      </c>
      <c r="SR2" s="14" t="s">
        <v>71</v>
      </c>
      <c r="SS2" s="14" t="s">
        <v>69</v>
      </c>
      <c r="ST2" s="14" t="s">
        <v>70</v>
      </c>
      <c r="SU2" s="14" t="s">
        <v>21</v>
      </c>
      <c r="SV2" s="14" t="s">
        <v>16</v>
      </c>
      <c r="SW2" s="60" t="s">
        <v>216</v>
      </c>
      <c r="SX2" s="60"/>
      <c r="SY2" s="60"/>
      <c r="SZ2" s="60"/>
      <c r="TA2" s="60"/>
      <c r="TB2" s="60" t="s">
        <v>217</v>
      </c>
      <c r="TC2" s="60"/>
      <c r="TD2" s="60"/>
      <c r="TE2" s="60"/>
      <c r="TF2" s="60"/>
      <c r="TG2" s="60" t="s">
        <v>71</v>
      </c>
      <c r="TH2" s="60"/>
      <c r="TI2" s="60"/>
      <c r="TJ2" s="60"/>
      <c r="TK2" s="60"/>
      <c r="TL2" s="60" t="s">
        <v>21</v>
      </c>
      <c r="TM2" s="60"/>
      <c r="TN2" s="60"/>
      <c r="TO2" s="60"/>
      <c r="TP2" s="60"/>
      <c r="TQ2" s="13" t="s">
        <v>219</v>
      </c>
      <c r="TR2" s="13" t="s">
        <v>218</v>
      </c>
      <c r="TS2" s="13" t="s">
        <v>216</v>
      </c>
      <c r="TT2" s="13" t="s">
        <v>220</v>
      </c>
      <c r="TU2" s="13" t="s">
        <v>221</v>
      </c>
      <c r="TV2" s="13" t="s">
        <v>217</v>
      </c>
      <c r="TW2" s="13" t="s">
        <v>22</v>
      </c>
      <c r="TX2" s="13" t="s">
        <v>72</v>
      </c>
      <c r="TY2" s="13" t="s">
        <v>73</v>
      </c>
      <c r="TZ2" s="13" t="s">
        <v>71</v>
      </c>
      <c r="UA2" s="13" t="s">
        <v>69</v>
      </c>
      <c r="UB2" s="13" t="s">
        <v>70</v>
      </c>
      <c r="UC2" s="13" t="s">
        <v>21</v>
      </c>
      <c r="UD2" s="13" t="s">
        <v>16</v>
      </c>
      <c r="UE2" s="55" t="s">
        <v>216</v>
      </c>
      <c r="UF2" s="55"/>
      <c r="UG2" s="55"/>
      <c r="UH2" s="55"/>
      <c r="UI2" s="55"/>
      <c r="UJ2" s="55" t="s">
        <v>217</v>
      </c>
      <c r="UK2" s="55"/>
      <c r="UL2" s="55"/>
      <c r="UM2" s="55"/>
      <c r="UN2" s="55"/>
      <c r="UO2" s="55" t="s">
        <v>71</v>
      </c>
      <c r="UP2" s="55"/>
      <c r="UQ2" s="55"/>
      <c r="UR2" s="55"/>
      <c r="US2" s="55"/>
      <c r="UT2" s="55" t="s">
        <v>21</v>
      </c>
      <c r="UU2" s="55"/>
      <c r="UV2" s="55"/>
      <c r="UW2" s="55"/>
      <c r="UX2" s="55"/>
      <c r="UY2" s="14" t="s">
        <v>219</v>
      </c>
      <c r="UZ2" s="14" t="s">
        <v>218</v>
      </c>
      <c r="VA2" s="14" t="s">
        <v>216</v>
      </c>
      <c r="VB2" s="14" t="s">
        <v>220</v>
      </c>
      <c r="VC2" s="14" t="s">
        <v>221</v>
      </c>
      <c r="VD2" s="14" t="s">
        <v>217</v>
      </c>
      <c r="VE2" s="14" t="s">
        <v>22</v>
      </c>
      <c r="VF2" s="14" t="s">
        <v>72</v>
      </c>
      <c r="VG2" s="14" t="s">
        <v>73</v>
      </c>
      <c r="VH2" s="14" t="s">
        <v>71</v>
      </c>
      <c r="VI2" s="14" t="s">
        <v>69</v>
      </c>
      <c r="VJ2" s="14" t="s">
        <v>70</v>
      </c>
      <c r="VK2" s="14" t="s">
        <v>21</v>
      </c>
      <c r="VL2" s="14" t="s">
        <v>16</v>
      </c>
    </row>
    <row r="3" spans="1:584" x14ac:dyDescent="0.2">
      <c r="A3" s="57"/>
      <c r="B3" s="57"/>
      <c r="C3" s="57"/>
      <c r="D3" s="57"/>
      <c r="E3" s="57"/>
      <c r="F3" s="58"/>
      <c r="G3" s="57"/>
      <c r="H3" s="57"/>
      <c r="I3" s="57"/>
      <c r="J3" s="53"/>
      <c r="K3" s="52"/>
      <c r="L3" s="53"/>
      <c r="M3" s="52"/>
      <c r="N3" s="53"/>
      <c r="O3" s="52"/>
      <c r="P3" s="59"/>
      <c r="Q3" s="52"/>
      <c r="R3" s="52"/>
      <c r="S3" s="14" t="s">
        <v>13</v>
      </c>
      <c r="T3" s="14" t="s">
        <v>14</v>
      </c>
      <c r="U3" s="14" t="s">
        <v>8</v>
      </c>
      <c r="V3" s="14" t="s">
        <v>15</v>
      </c>
      <c r="W3" s="14" t="s">
        <v>27</v>
      </c>
      <c r="X3" s="14" t="s">
        <v>13</v>
      </c>
      <c r="Y3" s="14" t="s">
        <v>14</v>
      </c>
      <c r="Z3" s="14" t="s">
        <v>8</v>
      </c>
      <c r="AA3" s="14" t="s">
        <v>15</v>
      </c>
      <c r="AB3" s="14" t="s">
        <v>27</v>
      </c>
      <c r="AC3" s="14" t="s">
        <v>13</v>
      </c>
      <c r="AD3" s="14" t="s">
        <v>14</v>
      </c>
      <c r="AE3" s="14" t="s">
        <v>8</v>
      </c>
      <c r="AF3" s="14" t="s">
        <v>15</v>
      </c>
      <c r="AG3" s="14" t="s">
        <v>27</v>
      </c>
      <c r="AH3" s="14" t="s">
        <v>41</v>
      </c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3" t="s">
        <v>13</v>
      </c>
      <c r="AU3" s="13" t="s">
        <v>14</v>
      </c>
      <c r="AV3" s="13" t="s">
        <v>8</v>
      </c>
      <c r="AW3" s="13" t="s">
        <v>15</v>
      </c>
      <c r="AX3" s="13" t="s">
        <v>27</v>
      </c>
      <c r="AY3" s="13" t="s">
        <v>13</v>
      </c>
      <c r="AZ3" s="13" t="s">
        <v>14</v>
      </c>
      <c r="BA3" s="13" t="s">
        <v>8</v>
      </c>
      <c r="BB3" s="13" t="s">
        <v>15</v>
      </c>
      <c r="BC3" s="13" t="s">
        <v>27</v>
      </c>
      <c r="BD3" s="13" t="s">
        <v>13</v>
      </c>
      <c r="BE3" s="13" t="s">
        <v>14</v>
      </c>
      <c r="BF3" s="13" t="s">
        <v>8</v>
      </c>
      <c r="BG3" s="13" t="s">
        <v>15</v>
      </c>
      <c r="BH3" s="13" t="s">
        <v>27</v>
      </c>
      <c r="BI3" s="13" t="s">
        <v>41</v>
      </c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46"/>
      <c r="BV3" s="46"/>
      <c r="BW3" s="14" t="s">
        <v>13</v>
      </c>
      <c r="BX3" s="14" t="s">
        <v>14</v>
      </c>
      <c r="BY3" s="14" t="s">
        <v>8</v>
      </c>
      <c r="BZ3" s="14" t="s">
        <v>15</v>
      </c>
      <c r="CA3" s="14" t="s">
        <v>27</v>
      </c>
      <c r="CB3" s="14" t="s">
        <v>13</v>
      </c>
      <c r="CC3" s="14" t="s">
        <v>14</v>
      </c>
      <c r="CD3" s="14" t="s">
        <v>8</v>
      </c>
      <c r="CE3" s="14" t="s">
        <v>15</v>
      </c>
      <c r="CF3" s="14" t="s">
        <v>27</v>
      </c>
      <c r="CG3" s="14" t="s">
        <v>13</v>
      </c>
      <c r="CH3" s="14" t="s">
        <v>14</v>
      </c>
      <c r="CI3" s="14" t="s">
        <v>8</v>
      </c>
      <c r="CJ3" s="14" t="s">
        <v>15</v>
      </c>
      <c r="CK3" s="14" t="s">
        <v>27</v>
      </c>
      <c r="CL3" s="14" t="s">
        <v>13</v>
      </c>
      <c r="CM3" s="14" t="s">
        <v>14</v>
      </c>
      <c r="CN3" s="14" t="s">
        <v>8</v>
      </c>
      <c r="CO3" s="14" t="s">
        <v>15</v>
      </c>
      <c r="CP3" s="14" t="s">
        <v>27</v>
      </c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14"/>
      <c r="DE3" s="13" t="s">
        <v>13</v>
      </c>
      <c r="DF3" s="13" t="s">
        <v>14</v>
      </c>
      <c r="DG3" s="13" t="s">
        <v>8</v>
      </c>
      <c r="DH3" s="13" t="s">
        <v>15</v>
      </c>
      <c r="DI3" s="13" t="s">
        <v>27</v>
      </c>
      <c r="DJ3" s="13" t="s">
        <v>13</v>
      </c>
      <c r="DK3" s="13" t="s">
        <v>14</v>
      </c>
      <c r="DL3" s="13" t="s">
        <v>8</v>
      </c>
      <c r="DM3" s="13" t="s">
        <v>15</v>
      </c>
      <c r="DN3" s="13" t="s">
        <v>27</v>
      </c>
      <c r="DO3" s="13" t="s">
        <v>13</v>
      </c>
      <c r="DP3" s="13" t="s">
        <v>14</v>
      </c>
      <c r="DQ3" s="13" t="s">
        <v>8</v>
      </c>
      <c r="DR3" s="13" t="s">
        <v>15</v>
      </c>
      <c r="DS3" s="13" t="s">
        <v>27</v>
      </c>
      <c r="DT3" s="13" t="s">
        <v>13</v>
      </c>
      <c r="DU3" s="13" t="s">
        <v>14</v>
      </c>
      <c r="DV3" s="13" t="s">
        <v>8</v>
      </c>
      <c r="DW3" s="13" t="s">
        <v>15</v>
      </c>
      <c r="DX3" s="13" t="s">
        <v>27</v>
      </c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13"/>
      <c r="EM3" s="14" t="s">
        <v>13</v>
      </c>
      <c r="EN3" s="14" t="s">
        <v>14</v>
      </c>
      <c r="EO3" s="14" t="s">
        <v>8</v>
      </c>
      <c r="EP3" s="14" t="s">
        <v>15</v>
      </c>
      <c r="EQ3" s="14" t="s">
        <v>27</v>
      </c>
      <c r="ER3" s="14" t="s">
        <v>13</v>
      </c>
      <c r="ES3" s="14" t="s">
        <v>14</v>
      </c>
      <c r="ET3" s="14" t="s">
        <v>8</v>
      </c>
      <c r="EU3" s="14" t="s">
        <v>15</v>
      </c>
      <c r="EV3" s="14" t="s">
        <v>27</v>
      </c>
      <c r="EW3" s="14" t="s">
        <v>13</v>
      </c>
      <c r="EX3" s="14" t="s">
        <v>14</v>
      </c>
      <c r="EY3" s="14" t="s">
        <v>8</v>
      </c>
      <c r="EZ3" s="14" t="s">
        <v>15</v>
      </c>
      <c r="FA3" s="14" t="s">
        <v>27</v>
      </c>
      <c r="FB3" s="14" t="s">
        <v>13</v>
      </c>
      <c r="FC3" s="14" t="s">
        <v>14</v>
      </c>
      <c r="FD3" s="14" t="s">
        <v>8</v>
      </c>
      <c r="FE3" s="14" t="s">
        <v>15</v>
      </c>
      <c r="FF3" s="14" t="s">
        <v>27</v>
      </c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14"/>
      <c r="FU3" s="13" t="s">
        <v>13</v>
      </c>
      <c r="FV3" s="13" t="s">
        <v>14</v>
      </c>
      <c r="FW3" s="13" t="s">
        <v>8</v>
      </c>
      <c r="FX3" s="13" t="s">
        <v>15</v>
      </c>
      <c r="FY3" s="13" t="s">
        <v>27</v>
      </c>
      <c r="FZ3" s="13" t="s">
        <v>13</v>
      </c>
      <c r="GA3" s="13" t="s">
        <v>14</v>
      </c>
      <c r="GB3" s="13" t="s">
        <v>8</v>
      </c>
      <c r="GC3" s="13" t="s">
        <v>15</v>
      </c>
      <c r="GD3" s="13" t="s">
        <v>27</v>
      </c>
      <c r="GE3" s="13" t="s">
        <v>13</v>
      </c>
      <c r="GF3" s="13" t="s">
        <v>14</v>
      </c>
      <c r="GG3" s="13" t="s">
        <v>8</v>
      </c>
      <c r="GH3" s="13" t="s">
        <v>15</v>
      </c>
      <c r="GI3" s="13" t="s">
        <v>27</v>
      </c>
      <c r="GJ3" s="13" t="s">
        <v>13</v>
      </c>
      <c r="GK3" s="13" t="s">
        <v>14</v>
      </c>
      <c r="GL3" s="13" t="s">
        <v>8</v>
      </c>
      <c r="GM3" s="13" t="s">
        <v>15</v>
      </c>
      <c r="GN3" s="13" t="s">
        <v>27</v>
      </c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13"/>
      <c r="HC3" s="14" t="s">
        <v>13</v>
      </c>
      <c r="HD3" s="14" t="s">
        <v>14</v>
      </c>
      <c r="HE3" s="14" t="s">
        <v>8</v>
      </c>
      <c r="HF3" s="14" t="s">
        <v>15</v>
      </c>
      <c r="HG3" s="14" t="s">
        <v>27</v>
      </c>
      <c r="HH3" s="14" t="s">
        <v>13</v>
      </c>
      <c r="HI3" s="14" t="s">
        <v>14</v>
      </c>
      <c r="HJ3" s="14" t="s">
        <v>8</v>
      </c>
      <c r="HK3" s="14" t="s">
        <v>15</v>
      </c>
      <c r="HL3" s="14" t="s">
        <v>27</v>
      </c>
      <c r="HM3" s="14" t="s">
        <v>13</v>
      </c>
      <c r="HN3" s="14" t="s">
        <v>14</v>
      </c>
      <c r="HO3" s="14" t="s">
        <v>8</v>
      </c>
      <c r="HP3" s="14" t="s">
        <v>15</v>
      </c>
      <c r="HQ3" s="14" t="s">
        <v>27</v>
      </c>
      <c r="HR3" s="14" t="s">
        <v>13</v>
      </c>
      <c r="HS3" s="14" t="s">
        <v>14</v>
      </c>
      <c r="HT3" s="14" t="s">
        <v>8</v>
      </c>
      <c r="HU3" s="14" t="s">
        <v>15</v>
      </c>
      <c r="HV3" s="14" t="s">
        <v>27</v>
      </c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14"/>
      <c r="IK3" s="13" t="s">
        <v>13</v>
      </c>
      <c r="IL3" s="13" t="s">
        <v>14</v>
      </c>
      <c r="IM3" s="13" t="s">
        <v>8</v>
      </c>
      <c r="IN3" s="13" t="s">
        <v>15</v>
      </c>
      <c r="IO3" s="13" t="s">
        <v>27</v>
      </c>
      <c r="IP3" s="13" t="s">
        <v>13</v>
      </c>
      <c r="IQ3" s="13" t="s">
        <v>14</v>
      </c>
      <c r="IR3" s="13" t="s">
        <v>8</v>
      </c>
      <c r="IS3" s="13" t="s">
        <v>15</v>
      </c>
      <c r="IT3" s="13" t="s">
        <v>27</v>
      </c>
      <c r="IU3" s="13" t="s">
        <v>13</v>
      </c>
      <c r="IV3" s="13" t="s">
        <v>14</v>
      </c>
      <c r="IW3" s="13" t="s">
        <v>8</v>
      </c>
      <c r="IX3" s="13" t="s">
        <v>15</v>
      </c>
      <c r="IY3" s="13" t="s">
        <v>27</v>
      </c>
      <c r="IZ3" s="13" t="s">
        <v>13</v>
      </c>
      <c r="JA3" s="13" t="s">
        <v>14</v>
      </c>
      <c r="JB3" s="13" t="s">
        <v>8</v>
      </c>
      <c r="JC3" s="13" t="s">
        <v>15</v>
      </c>
      <c r="JD3" s="13" t="s">
        <v>27</v>
      </c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14" t="s">
        <v>13</v>
      </c>
      <c r="JT3" s="14" t="s">
        <v>14</v>
      </c>
      <c r="JU3" s="14" t="s">
        <v>8</v>
      </c>
      <c r="JV3" s="14" t="s">
        <v>15</v>
      </c>
      <c r="JW3" s="14" t="s">
        <v>27</v>
      </c>
      <c r="JX3" s="14" t="s">
        <v>13</v>
      </c>
      <c r="JY3" s="14" t="s">
        <v>14</v>
      </c>
      <c r="JZ3" s="14" t="s">
        <v>8</v>
      </c>
      <c r="KA3" s="14" t="s">
        <v>15</v>
      </c>
      <c r="KB3" s="14" t="s">
        <v>27</v>
      </c>
      <c r="KC3" s="14" t="s">
        <v>13</v>
      </c>
      <c r="KD3" s="14" t="s">
        <v>14</v>
      </c>
      <c r="KE3" s="14" t="s">
        <v>8</v>
      </c>
      <c r="KF3" s="14" t="s">
        <v>15</v>
      </c>
      <c r="KG3" s="14" t="s">
        <v>27</v>
      </c>
      <c r="KH3" s="14" t="s">
        <v>13</v>
      </c>
      <c r="KI3" s="14" t="s">
        <v>14</v>
      </c>
      <c r="KJ3" s="14" t="s">
        <v>8</v>
      </c>
      <c r="KK3" s="14" t="s">
        <v>15</v>
      </c>
      <c r="KL3" s="14" t="s">
        <v>27</v>
      </c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13" t="s">
        <v>13</v>
      </c>
      <c r="LB3" s="13" t="s">
        <v>14</v>
      </c>
      <c r="LC3" s="13" t="s">
        <v>8</v>
      </c>
      <c r="LD3" s="13" t="s">
        <v>15</v>
      </c>
      <c r="LE3" s="13" t="s">
        <v>27</v>
      </c>
      <c r="LF3" s="13" t="s">
        <v>13</v>
      </c>
      <c r="LG3" s="13" t="s">
        <v>14</v>
      </c>
      <c r="LH3" s="13" t="s">
        <v>8</v>
      </c>
      <c r="LI3" s="13" t="s">
        <v>15</v>
      </c>
      <c r="LJ3" s="13" t="s">
        <v>27</v>
      </c>
      <c r="LK3" s="13" t="s">
        <v>13</v>
      </c>
      <c r="LL3" s="13" t="s">
        <v>14</v>
      </c>
      <c r="LM3" s="13" t="s">
        <v>8</v>
      </c>
      <c r="LN3" s="13" t="s">
        <v>15</v>
      </c>
      <c r="LO3" s="13" t="s">
        <v>27</v>
      </c>
      <c r="LP3" s="13" t="s">
        <v>13</v>
      </c>
      <c r="LQ3" s="13" t="s">
        <v>14</v>
      </c>
      <c r="LR3" s="13" t="s">
        <v>8</v>
      </c>
      <c r="LS3" s="13" t="s">
        <v>15</v>
      </c>
      <c r="LT3" s="13" t="s">
        <v>27</v>
      </c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14" t="s">
        <v>13</v>
      </c>
      <c r="MJ3" s="14" t="s">
        <v>14</v>
      </c>
      <c r="MK3" s="14" t="s">
        <v>8</v>
      </c>
      <c r="ML3" s="14" t="s">
        <v>15</v>
      </c>
      <c r="MM3" s="14" t="s">
        <v>27</v>
      </c>
      <c r="MN3" s="14" t="s">
        <v>13</v>
      </c>
      <c r="MO3" s="14" t="s">
        <v>14</v>
      </c>
      <c r="MP3" s="14" t="s">
        <v>8</v>
      </c>
      <c r="MQ3" s="14" t="s">
        <v>15</v>
      </c>
      <c r="MR3" s="14" t="s">
        <v>27</v>
      </c>
      <c r="MS3" s="14" t="s">
        <v>13</v>
      </c>
      <c r="MT3" s="14" t="s">
        <v>14</v>
      </c>
      <c r="MU3" s="14" t="s">
        <v>8</v>
      </c>
      <c r="MV3" s="14" t="s">
        <v>15</v>
      </c>
      <c r="MW3" s="14" t="s">
        <v>27</v>
      </c>
      <c r="MX3" s="14" t="s">
        <v>13</v>
      </c>
      <c r="MY3" s="14" t="s">
        <v>14</v>
      </c>
      <c r="MZ3" s="14" t="s">
        <v>8</v>
      </c>
      <c r="NA3" s="14" t="s">
        <v>15</v>
      </c>
      <c r="NB3" s="14" t="s">
        <v>27</v>
      </c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6"/>
      <c r="NQ3" s="13" t="s">
        <v>13</v>
      </c>
      <c r="NR3" s="13" t="s">
        <v>14</v>
      </c>
      <c r="NS3" s="13" t="s">
        <v>8</v>
      </c>
      <c r="NT3" s="13" t="s">
        <v>15</v>
      </c>
      <c r="NU3" s="13" t="s">
        <v>27</v>
      </c>
      <c r="NV3" s="13" t="s">
        <v>13</v>
      </c>
      <c r="NW3" s="13" t="s">
        <v>14</v>
      </c>
      <c r="NX3" s="13" t="s">
        <v>8</v>
      </c>
      <c r="NY3" s="13" t="s">
        <v>15</v>
      </c>
      <c r="NZ3" s="13" t="s">
        <v>27</v>
      </c>
      <c r="OA3" s="13" t="s">
        <v>13</v>
      </c>
      <c r="OB3" s="13" t="s">
        <v>14</v>
      </c>
      <c r="OC3" s="13" t="s">
        <v>8</v>
      </c>
      <c r="OD3" s="13" t="s">
        <v>15</v>
      </c>
      <c r="OE3" s="13" t="s">
        <v>27</v>
      </c>
      <c r="OF3" s="13" t="s">
        <v>13</v>
      </c>
      <c r="OG3" s="13" t="s">
        <v>14</v>
      </c>
      <c r="OH3" s="13" t="s">
        <v>8</v>
      </c>
      <c r="OI3" s="13" t="s">
        <v>15</v>
      </c>
      <c r="OJ3" s="13" t="s">
        <v>27</v>
      </c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14" t="s">
        <v>13</v>
      </c>
      <c r="OZ3" s="14" t="s">
        <v>14</v>
      </c>
      <c r="PA3" s="14" t="s">
        <v>8</v>
      </c>
      <c r="PB3" s="14" t="s">
        <v>15</v>
      </c>
      <c r="PC3" s="14" t="s">
        <v>27</v>
      </c>
      <c r="PD3" s="14" t="s">
        <v>13</v>
      </c>
      <c r="PE3" s="14" t="s">
        <v>14</v>
      </c>
      <c r="PF3" s="14" t="s">
        <v>8</v>
      </c>
      <c r="PG3" s="14" t="s">
        <v>15</v>
      </c>
      <c r="PH3" s="14" t="s">
        <v>27</v>
      </c>
      <c r="PI3" s="14" t="s">
        <v>13</v>
      </c>
      <c r="PJ3" s="14" t="s">
        <v>14</v>
      </c>
      <c r="PK3" s="14" t="s">
        <v>8</v>
      </c>
      <c r="PL3" s="14" t="s">
        <v>15</v>
      </c>
      <c r="PM3" s="14" t="s">
        <v>27</v>
      </c>
      <c r="PN3" s="14" t="s">
        <v>13</v>
      </c>
      <c r="PO3" s="14" t="s">
        <v>14</v>
      </c>
      <c r="PP3" s="14" t="s">
        <v>8</v>
      </c>
      <c r="PQ3" s="14" t="s">
        <v>15</v>
      </c>
      <c r="PR3" s="14" t="s">
        <v>27</v>
      </c>
      <c r="PS3" s="6"/>
      <c r="PT3" s="6"/>
      <c r="PU3" s="6"/>
      <c r="PV3" s="6"/>
      <c r="PW3" s="6"/>
      <c r="PX3" s="6"/>
      <c r="PY3" s="6"/>
      <c r="PZ3" s="6"/>
      <c r="QA3" s="6"/>
      <c r="QB3" s="6"/>
      <c r="QC3" s="6"/>
      <c r="QD3" s="6"/>
      <c r="QE3" s="6"/>
      <c r="QF3" s="6"/>
      <c r="QG3" s="13" t="s">
        <v>13</v>
      </c>
      <c r="QH3" s="13" t="s">
        <v>14</v>
      </c>
      <c r="QI3" s="13" t="s">
        <v>8</v>
      </c>
      <c r="QJ3" s="13" t="s">
        <v>15</v>
      </c>
      <c r="QK3" s="13" t="s">
        <v>27</v>
      </c>
      <c r="QL3" s="13" t="s">
        <v>13</v>
      </c>
      <c r="QM3" s="13" t="s">
        <v>14</v>
      </c>
      <c r="QN3" s="13" t="s">
        <v>8</v>
      </c>
      <c r="QO3" s="13" t="s">
        <v>15</v>
      </c>
      <c r="QP3" s="13" t="s">
        <v>27</v>
      </c>
      <c r="QQ3" s="13" t="s">
        <v>13</v>
      </c>
      <c r="QR3" s="13" t="s">
        <v>14</v>
      </c>
      <c r="QS3" s="13" t="s">
        <v>8</v>
      </c>
      <c r="QT3" s="13" t="s">
        <v>15</v>
      </c>
      <c r="QU3" s="13" t="s">
        <v>27</v>
      </c>
      <c r="QV3" s="13" t="s">
        <v>13</v>
      </c>
      <c r="QW3" s="13" t="s">
        <v>14</v>
      </c>
      <c r="QX3" s="13" t="s">
        <v>8</v>
      </c>
      <c r="QY3" s="13" t="s">
        <v>15</v>
      </c>
      <c r="QZ3" s="13" t="s">
        <v>27</v>
      </c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14" t="s">
        <v>13</v>
      </c>
      <c r="RP3" s="14" t="s">
        <v>14</v>
      </c>
      <c r="RQ3" s="14" t="s">
        <v>8</v>
      </c>
      <c r="RR3" s="14" t="s">
        <v>15</v>
      </c>
      <c r="RS3" s="14" t="s">
        <v>27</v>
      </c>
      <c r="RT3" s="14" t="s">
        <v>13</v>
      </c>
      <c r="RU3" s="14" t="s">
        <v>14</v>
      </c>
      <c r="RV3" s="14" t="s">
        <v>8</v>
      </c>
      <c r="RW3" s="14" t="s">
        <v>15</v>
      </c>
      <c r="RX3" s="14" t="s">
        <v>27</v>
      </c>
      <c r="RY3" s="14" t="s">
        <v>13</v>
      </c>
      <c r="RZ3" s="14" t="s">
        <v>14</v>
      </c>
      <c r="SA3" s="14" t="s">
        <v>8</v>
      </c>
      <c r="SB3" s="14" t="s">
        <v>15</v>
      </c>
      <c r="SC3" s="14" t="s">
        <v>27</v>
      </c>
      <c r="SD3" s="14" t="s">
        <v>13</v>
      </c>
      <c r="SE3" s="14" t="s">
        <v>14</v>
      </c>
      <c r="SF3" s="14" t="s">
        <v>8</v>
      </c>
      <c r="SG3" s="14" t="s">
        <v>15</v>
      </c>
      <c r="SH3" s="14" t="s">
        <v>27</v>
      </c>
      <c r="SI3" s="6"/>
      <c r="SJ3" s="6"/>
      <c r="SK3" s="6"/>
      <c r="SL3" s="6"/>
      <c r="SM3" s="6"/>
      <c r="SN3" s="6"/>
      <c r="SO3" s="6"/>
      <c r="SP3" s="6"/>
      <c r="SQ3" s="6"/>
      <c r="SR3" s="6"/>
      <c r="SS3" s="6"/>
      <c r="ST3" s="6"/>
      <c r="SU3" s="6"/>
      <c r="SV3" s="6"/>
      <c r="SW3" s="13" t="s">
        <v>13</v>
      </c>
      <c r="SX3" s="13" t="s">
        <v>14</v>
      </c>
      <c r="SY3" s="13" t="s">
        <v>8</v>
      </c>
      <c r="SZ3" s="13" t="s">
        <v>15</v>
      </c>
      <c r="TA3" s="13" t="s">
        <v>27</v>
      </c>
      <c r="TB3" s="13" t="s">
        <v>13</v>
      </c>
      <c r="TC3" s="13" t="s">
        <v>14</v>
      </c>
      <c r="TD3" s="13" t="s">
        <v>8</v>
      </c>
      <c r="TE3" s="13" t="s">
        <v>15</v>
      </c>
      <c r="TF3" s="13" t="s">
        <v>27</v>
      </c>
      <c r="TG3" s="13" t="s">
        <v>13</v>
      </c>
      <c r="TH3" s="13" t="s">
        <v>14</v>
      </c>
      <c r="TI3" s="13" t="s">
        <v>8</v>
      </c>
      <c r="TJ3" s="13" t="s">
        <v>15</v>
      </c>
      <c r="TK3" s="13" t="s">
        <v>27</v>
      </c>
      <c r="TL3" s="13" t="s">
        <v>13</v>
      </c>
      <c r="TM3" s="13" t="s">
        <v>14</v>
      </c>
      <c r="TN3" s="13" t="s">
        <v>8</v>
      </c>
      <c r="TO3" s="13" t="s">
        <v>15</v>
      </c>
      <c r="TP3" s="13" t="s">
        <v>27</v>
      </c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14" t="s">
        <v>13</v>
      </c>
      <c r="UF3" s="14" t="s">
        <v>14</v>
      </c>
      <c r="UG3" s="14" t="s">
        <v>8</v>
      </c>
      <c r="UH3" s="14" t="s">
        <v>15</v>
      </c>
      <c r="UI3" s="14" t="s">
        <v>27</v>
      </c>
      <c r="UJ3" s="14" t="s">
        <v>13</v>
      </c>
      <c r="UK3" s="14" t="s">
        <v>14</v>
      </c>
      <c r="UL3" s="14" t="s">
        <v>8</v>
      </c>
      <c r="UM3" s="14" t="s">
        <v>15</v>
      </c>
      <c r="UN3" s="14" t="s">
        <v>27</v>
      </c>
      <c r="UO3" s="14" t="s">
        <v>13</v>
      </c>
      <c r="UP3" s="14" t="s">
        <v>14</v>
      </c>
      <c r="UQ3" s="14" t="s">
        <v>8</v>
      </c>
      <c r="UR3" s="14" t="s">
        <v>15</v>
      </c>
      <c r="US3" s="14" t="s">
        <v>27</v>
      </c>
      <c r="UT3" s="14" t="s">
        <v>13</v>
      </c>
      <c r="UU3" s="14" t="s">
        <v>14</v>
      </c>
      <c r="UV3" s="14" t="s">
        <v>8</v>
      </c>
      <c r="UW3" s="14" t="s">
        <v>15</v>
      </c>
      <c r="UX3" s="14" t="s">
        <v>27</v>
      </c>
      <c r="UY3" s="6"/>
      <c r="UZ3" s="6"/>
      <c r="VA3" s="6"/>
      <c r="VB3" s="6"/>
      <c r="VC3" s="6"/>
      <c r="VD3" s="6"/>
      <c r="VE3" s="6"/>
      <c r="VF3" s="6"/>
      <c r="VG3" s="6"/>
      <c r="VH3" s="6"/>
      <c r="VI3" s="6"/>
      <c r="VJ3" s="6"/>
      <c r="VK3" s="6"/>
      <c r="VL3" s="6"/>
    </row>
    <row r="4" spans="1:584" x14ac:dyDescent="0.2">
      <c r="A4" s="4" t="str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/>
      </c>
      <c r="B4" s="5" t="s">
        <v>223</v>
      </c>
      <c r="C4" s="4" t="s">
        <v>3</v>
      </c>
      <c r="D4" s="4">
        <v>2010</v>
      </c>
      <c r="E4" s="9">
        <f>J4+L4+N4+P4+(J4+L4+N4)*0.0000001+MAX(J4,L4)*0.0000000000001</f>
        <v>140.08001396100499</v>
      </c>
      <c r="F4" s="3" t="str">
        <f>IF(OR(AND(AO4&gt;=AS$13,AL4&gt;=AS$9,AO4&lt;&gt;"",AH4=""),AND(BP4&gt;=BT$13,BM4&gt;=BT$9,BP4&lt;&gt;"",BI4=""),AND(CW4&gt;=DD$13,CT4&gt;=DD$9,CW4&lt;&gt;""),AND(EE4&gt;=EL$13,EB4&gt;=EL$9,EE4&lt;&gt;""),AND(FM4&gt;=FT$13,FJ4&gt;=FT$9,FM4&lt;&gt;""),AND(GU4&gt;=HB$13,GR4&gt;=HB$9,GU4&lt;&gt;""),AND(IC4&gt;=IJ$13,HZ4&gt;=IJ$9,IC4&lt;&gt;""),AND(JK4&gt;=JR$13,JH4&gt;=JR$9,JK4&lt;&gt;""),AND(KS4&gt;=KZ$13,KP4&gt;=KZ$9,KS4&lt;&gt;""),AND(MA4&gt;=MH$13,LX4&gt;=MH$9,MA4&lt;&gt;""),AND(NI4&gt;=NP$13,NF4&gt;=NP$9,NI4&lt;&gt;""),AND(OQ4&gt;=OX$13,ON4&gt;=OX$9,OQ4&lt;&gt;""),AND(PY4&gt;=QF$13,PV4&gt;=QF$9,PY4&lt;&gt;""),AND(RG4&gt;=RN$13,RD4&gt;=RN$9,RG4&lt;&gt;""),AND(SO4&gt;=SV$13,SL4&gt;=SV$9,SO4&lt;&gt;""),AND(TW4&gt;=UD$13,TT4&gt;=UD$9,TW4&lt;&gt;""),AND(VE4&gt;=VL$13,VB4&gt;=VL$9,VE4&lt;&gt;"")),"P","")</f>
        <v/>
      </c>
      <c r="G4" s="3" t="str">
        <f>IF(OR(AND(AO4&gt;=AS$13,AO4&lt;&gt;"",AH4=""),AND(BP4&gt;=BT$13,BP4&lt;&gt;"",BI4=""),AND(CW4&gt;=DD$13,CW4&lt;&gt;""),AND(EE4&gt;=EL$13,EE4&lt;&gt;""),AND(FM4&gt;=FT$13,FM4&lt;&gt;""),AND(GU4&gt;=HB$13,GU4&lt;&gt;""),AND(IC4&gt;=IJ$13,IC4&lt;&gt;""),AND(JK4&gt;=JR$13,JK4&lt;&gt;""),AND(KS4&gt;=KZ$13,KS4&lt;&gt;""),AND(MA4&gt;=MH$13,MA4&lt;&gt;""),AND(NI4&gt;=NP$13,NI4&lt;&gt;""),AND(OQ4&gt;=OX$13,OQ4&lt;&gt;""),AND(PY4&gt;=QF$13,PY4&lt;&gt;""),AND(RG4&gt;=RN$13,RG4&lt;&gt;""),AND(SO4&gt;=SV$13,SO4&lt;&gt;""),AND(TW4&gt;=UD$13,TW4&lt;&gt;""),AND(VE4&gt;=VL$13,VE4&lt;&gt;"")),"P","")</f>
        <v/>
      </c>
      <c r="H4" s="32" t="str">
        <f>IF(AND(G4="P",F4=""),"No DD",IF(F4="P","National Team",""))</f>
        <v/>
      </c>
      <c r="I4" s="3"/>
      <c r="J4" s="8">
        <f>IF(MAX(AK4,BL4)&gt;0,MAX(AK4,BL4),0)</f>
        <v>39.92</v>
      </c>
      <c r="K4" s="8" t="str">
        <f>IF(J4="","",IF(J4=BL4,$AT$1,IF(J4=AK4,$S$1,"")))</f>
        <v>2025 3rd Domestic Trial</v>
      </c>
      <c r="L4" s="8">
        <f>IF(MAX(AN4,BO4)&gt;0,MAX(AN4,BO4),0)</f>
        <v>49.75</v>
      </c>
      <c r="M4" s="8" t="str">
        <f>IF(L4="","",IF(L4=BO4,$AT$1,IF(L4=AN4,$S$1,"")))</f>
        <v>2025 3rd Domestic Trial</v>
      </c>
      <c r="N4" s="8">
        <f>IF(L4=AN4,MAX(AR4,BO4,BS4),MAX(AN4,AR4,BS4))</f>
        <v>49.940000000000005</v>
      </c>
      <c r="O4" s="8" t="str">
        <f>IF(L4="","",IF(OR(L4=BO4,L4=BS4),$AT$1,IF(OR(L4=AN4,L4=AR4),$S$1,"")))</f>
        <v>2025 3rd Domestic Trial</v>
      </c>
      <c r="P4" s="8">
        <f>IF(MAX(BU4,BV4)&gt;0,MAX(BU4,BV4),0)</f>
        <v>0.46999999999999886</v>
      </c>
      <c r="Q4" s="11" t="str">
        <f>IF(P4=0,"",IF(P4=BU4,"("&amp;BU$2&amp;")",IF(P4=BV4,"("&amp;BV$2&amp;")")))</f>
        <v>(Compulsory)</v>
      </c>
      <c r="R4" s="8" t="b">
        <f>IF(P4=0,"",IF(P4=BU4,IF(P4+MIN(L4,N4)=MAX(VA4,0),$UE$1,IF(P4+MIN(L4,N4)=MAX(TS4,0),$SW$1,IF(P4+MIN(L4,N4)=MAX(SK4,0),$RO$1,IF(P4+MIN(L4,N4)=MAX(RC4,0),$QG$1,IF(P4+MIN(L4,N4)=MAX(PU4,0),$OY$1,IF(P4+MIN(L4,N4)=MAX(OM4,0),$NQ$1,IF(P4+MIN(L4,N4)=MAX(NE4,0),$MI$1,IF(P4+MIN(L4,N4)=MAX(LW4,0),$LA$1,IF(P4+MIN(L4,N4)=MAX(KO4,0),$JS$1,IF(P4+MIN(L4,N4)=MAX(JG4,0),$IK$1,IF(P4+MIN(L4,N4)=MAX(HY4,0),$HC$1,IF(P4+MIN(L4,N4)=MAX(GQ4,0),$FU$1,IF(P4+MIN(L4,N4)=MAX(FI4,0),$EM$1,IF(P4+MIN(L4,N4)=MAX(EA4,0),$DE$1,IF(P4+MIN(L4,N4)=MAX(CS4,0),$BW$1))))))))))))))),IF(P4+MIN(L4,N4)=MAX(VD4,VH4,VK4),$UE$1,IF(P4+MIN(L4,N4)=MAX(TV4,TZ4,UC4),$SW$1,IF(P4+MIN(L4,N4)=MAX(SN4,SR4,SU4),$RO$1,IF(P4+MIN(L4,N4)=MAX(RF4,RJ4,RM4),$QG$1,IF(P4+MIN(L4,N4)=MAX(PX4,QB4,QE4),$OY$1,IF(P4+MIN(L4,N4)=MAX(OP4,OT4,OW4),$NQ$1,IF(P4+MIN(L4,N4)=MAX(NH4,NL4,NO4),$MI$1,IF(P4+MIN(L4,N4)=MAX(LZ4,MD4,MG4),$LA$1,IF(P4+MIN(L4,N4)=MAX(KR4,KV4,KY4),$JS$1,IF(P4+MIN(L4,N4)=MAX(JJ4,JN4,JQ4),$IK$1,IF(P4+MIN(L4,N4)=MAX(IB4,IF4,II4),$HC$1,IF(P4+MIN(L4,N4)=MAX(GT4,GX4,HA4),$FU$1,IF(P4+MIN(L4,N4)=MAX(FL4,FP4,FS4),$EM$1,IF(P4+MIN(L4,N4)=MAX(ED4,EH4,EK4),$DE$1,IF(P4+MIN(L4,N4)=MAX(CV4,CZ4,DC4),$BW$1)))))))))))))))))</f>
        <v>0</v>
      </c>
      <c r="S4" s="18">
        <v>15.9</v>
      </c>
      <c r="T4" s="18">
        <v>9.6</v>
      </c>
      <c r="U4" s="18">
        <v>0</v>
      </c>
      <c r="V4" s="18">
        <v>14.42</v>
      </c>
      <c r="W4" s="18">
        <v>0</v>
      </c>
      <c r="X4" s="18">
        <v>14.5</v>
      </c>
      <c r="Y4" s="18">
        <v>9.1</v>
      </c>
      <c r="Z4" s="18">
        <v>11.6</v>
      </c>
      <c r="AA4" s="18">
        <v>14.55</v>
      </c>
      <c r="AB4" s="18">
        <v>0</v>
      </c>
      <c r="AC4" s="18">
        <v>14.6</v>
      </c>
      <c r="AD4" s="18">
        <v>9</v>
      </c>
      <c r="AE4" s="18">
        <v>11.6</v>
      </c>
      <c r="AF4" s="18">
        <v>14.74</v>
      </c>
      <c r="AG4" s="18">
        <v>0</v>
      </c>
      <c r="AH4" s="23"/>
      <c r="AI4" s="34" t="str">
        <f t="shared" ref="AI4:AJ6" si="0">IF(U4&gt;0,U4,"")</f>
        <v/>
      </c>
      <c r="AJ4" s="34">
        <f t="shared" si="0"/>
        <v>14.42</v>
      </c>
      <c r="AK4" s="36">
        <f>IF(SUM(S4:V4)-W4&gt;0,SUM(S4:V4)-W4,"")</f>
        <v>39.92</v>
      </c>
      <c r="AL4" s="36">
        <f t="shared" ref="AL4:AM6" si="1">IF(Z4&gt;0,Z4,"")</f>
        <v>11.6</v>
      </c>
      <c r="AM4" s="36">
        <f t="shared" si="1"/>
        <v>14.55</v>
      </c>
      <c r="AN4" s="36">
        <f>IF(SUM(X4:AA4)-AB4&gt;0,SUM(X4:AA4)-AB4,"")</f>
        <v>49.75</v>
      </c>
      <c r="AO4" s="36">
        <f>IF(AK4="","",SUM(AK4,AN4))</f>
        <v>89.67</v>
      </c>
      <c r="AP4" s="36">
        <f t="shared" ref="AP4:AQ6" si="2">IF(AE4&gt;0,AE4,"")</f>
        <v>11.6</v>
      </c>
      <c r="AQ4" s="36">
        <f t="shared" si="2"/>
        <v>14.74</v>
      </c>
      <c r="AR4" s="36">
        <f>IF(SUM(AC4:AF4)-AG4&gt;0,SUM(AC4:AF4)-AG4,"")</f>
        <v>49.940000000000005</v>
      </c>
      <c r="AS4" s="36">
        <f>IF(SUM(AO4,AR4)&gt;0,SUM(AO4,AR4),"")</f>
        <v>139.61000000000001</v>
      </c>
      <c r="AT4" s="22">
        <v>0</v>
      </c>
      <c r="AU4" s="22">
        <v>0</v>
      </c>
      <c r="AV4" s="22">
        <v>0</v>
      </c>
      <c r="AW4" s="22">
        <v>0</v>
      </c>
      <c r="AX4" s="22">
        <v>0</v>
      </c>
      <c r="AY4" s="22">
        <v>0</v>
      </c>
      <c r="AZ4" s="22">
        <v>0</v>
      </c>
      <c r="BA4" s="22">
        <v>0</v>
      </c>
      <c r="BB4" s="22">
        <v>0</v>
      </c>
      <c r="BC4" s="22">
        <v>0</v>
      </c>
      <c r="BD4" s="22"/>
      <c r="BE4" s="22"/>
      <c r="BF4" s="22"/>
      <c r="BG4" s="22"/>
      <c r="BH4" s="22"/>
      <c r="BI4" s="24"/>
      <c r="BJ4" s="35" t="str">
        <f t="shared" ref="BJ4:BK6" si="3">IF(AV4&gt;0,AV4,"")</f>
        <v/>
      </c>
      <c r="BK4" s="35" t="str">
        <f t="shared" si="3"/>
        <v/>
      </c>
      <c r="BL4" s="11" t="str">
        <f>IF(SUM(AT4:AW4)-AX4&gt;0,SUM(AT4:AW4)-AX4,"")</f>
        <v/>
      </c>
      <c r="BM4" s="11" t="str">
        <f t="shared" ref="BM4:BN6" si="4">IF(BA4&gt;0,BA4,"")</f>
        <v/>
      </c>
      <c r="BN4" s="11" t="str">
        <f t="shared" si="4"/>
        <v/>
      </c>
      <c r="BO4" s="11" t="str">
        <f>IF(SUM(AY4:BB4)-BC4&gt;0,SUM(AY4:BB4)-BC4,"")</f>
        <v/>
      </c>
      <c r="BP4" s="11" t="str">
        <f>IF(BL4="","",SUM(BL4,BO4))</f>
        <v/>
      </c>
      <c r="BQ4" s="11" t="str">
        <f t="shared" ref="BQ4:BR6" si="5">IF(BF4&gt;0,BF4,"")</f>
        <v/>
      </c>
      <c r="BR4" s="11" t="str">
        <f t="shared" si="5"/>
        <v/>
      </c>
      <c r="BS4" s="11" t="str">
        <f>IF(SUM(BD4:BG4)-BH4&gt;0,SUM(BD4:BG4)-BH4,"")</f>
        <v/>
      </c>
      <c r="BT4" s="11" t="str">
        <f>IF(SUM(BP4,BS4)&gt;0,SUM(BP4,BS4),"")</f>
        <v/>
      </c>
      <c r="BU4" s="47">
        <f>IF(MAX(CS4,EA4,FI4,GQ4,HY4,JG4,KO4,LW4,NE4,OM4,PU4,RC4,SK4,TS4,VA4)-IF(J4="",0,J4)&gt;0.001,MAX(CS4,EA4,FI4,GQ4,HY4,JG4,KO4,LW4,NE4,OM4,PU4,RC4,SK4,TS4,VA4)-IF(J4="",0,J4),"")</f>
        <v>0.46999999999999886</v>
      </c>
      <c r="BV4" s="47" t="str">
        <f>IF(MAX(CV4,CZ4,DC4,ED4,EH4,EK4,FL4,FP4,FS4,GT4,GX4,HA4,IB4,IF4,II4,JJ4,JN4,JQ4,KR4,KV4,KY4,LZ4,MD4,MG4,NH4,NL4,NO4,OP4,OT4,OW4,PX4,QB4,QE4,RF4,RJ4,RM4,SN4,SR4,SU4,TV4,TZ4,UC4,VD4,VH4,VK4)-MIN(L4,N4)&gt;0.001,MAX(CV4,CZ4,DC4,ED4,EH4,EK4,FL4,FP4,FS4,GT4,GX4,HA4,IB4,IF4,II4,JJ4,JN4,JQ4,KR4,KV4,KY4,LZ4,MD4,MG4,NH4,NL4,NO4,OP4,OT4,OW4,PX4,QB4,QE4,RF4,RJ4,RM4,SN4,SR4,SU4,TV4,TZ4,UC4,VD4,VH4,VK4)-MIN(L4,N4),"")</f>
        <v/>
      </c>
      <c r="BW4" s="15">
        <v>16.3</v>
      </c>
      <c r="BX4" s="15">
        <v>9.8000000000000007</v>
      </c>
      <c r="BY4" s="15">
        <v>0</v>
      </c>
      <c r="BZ4" s="15">
        <v>14.29</v>
      </c>
      <c r="CA4" s="15">
        <v>0</v>
      </c>
      <c r="CB4" s="15">
        <v>2.7</v>
      </c>
      <c r="CC4" s="15">
        <v>1.8</v>
      </c>
      <c r="CD4" s="15">
        <v>2.1</v>
      </c>
      <c r="CE4" s="15">
        <v>2.98</v>
      </c>
      <c r="CF4" s="15">
        <v>0</v>
      </c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36" t="str">
        <f t="shared" ref="CQ4:CR6" si="6">IF(BY4&gt;0,BY4,"")</f>
        <v/>
      </c>
      <c r="CR4" s="36">
        <f t="shared" si="6"/>
        <v>14.29</v>
      </c>
      <c r="CS4" s="36">
        <f>IF(SUM(BW4:BZ4)-CA4&gt;0,SUM(BW4:BZ4)-CA4,"")</f>
        <v>40.39</v>
      </c>
      <c r="CT4" s="36">
        <f t="shared" ref="CT4:CU6" si="7">IF(CD4&gt;0,CD4,"")</f>
        <v>2.1</v>
      </c>
      <c r="CU4" s="36">
        <f t="shared" si="7"/>
        <v>2.98</v>
      </c>
      <c r="CV4" s="36">
        <f>IF(SUM(CB4:CE4)-CF4&gt;0,SUM(CB4:CE4)-CF4,"")</f>
        <v>9.58</v>
      </c>
      <c r="CW4" s="36">
        <f>IF(MAX(CS4,CV4)&gt;0,SUM(CS4,CV4),"")</f>
        <v>49.97</v>
      </c>
      <c r="CX4" s="36" t="str">
        <f t="shared" ref="CX4:CY6" si="8">IF(CI4&gt;0,CI4,"")</f>
        <v/>
      </c>
      <c r="CY4" s="36" t="str">
        <f t="shared" si="8"/>
        <v/>
      </c>
      <c r="CZ4" s="36" t="str">
        <f>IF(SUM(CG4:CJ4)-CK4&gt;0,SUM(CG4:CJ4)-CK4,"")</f>
        <v/>
      </c>
      <c r="DA4" s="36" t="str">
        <f t="shared" ref="DA4:DB6" si="9">IF(CN4&gt;0,CN4,"")</f>
        <v/>
      </c>
      <c r="DB4" s="36" t="str">
        <f t="shared" si="9"/>
        <v/>
      </c>
      <c r="DC4" s="36" t="str">
        <f>IF(SUM(CL4:CO4)-CP4&gt;0,SUM(CL4:CO4)-CP4,"")</f>
        <v/>
      </c>
      <c r="DD4" s="36">
        <f>IF(SUM(CW4,CZ4,DC4)&gt;0,SUM(CW4,CZ4,DC4),"")</f>
        <v>49.97</v>
      </c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1" t="str">
        <f t="shared" ref="DY4:DZ6" si="10">IF(DG4&gt;0,DG4,"")</f>
        <v/>
      </c>
      <c r="DZ4" s="11" t="str">
        <f t="shared" si="10"/>
        <v/>
      </c>
      <c r="EA4" s="11" t="str">
        <f>IF(SUM(DE4:DH4)-DI4&gt;0,SUM(DE4:DH4)-DI4,"")</f>
        <v/>
      </c>
      <c r="EB4" s="11" t="str">
        <f t="shared" ref="EB4:EC6" si="11">IF(DL4&gt;0,DL4,"")</f>
        <v/>
      </c>
      <c r="EC4" s="11" t="str">
        <f t="shared" si="11"/>
        <v/>
      </c>
      <c r="ED4" s="11" t="str">
        <f>IF(SUM(DJ4:DM4)-DN4&gt;0,SUM(DJ4:DM4)-DN4,"")</f>
        <v/>
      </c>
      <c r="EE4" s="11" t="str">
        <f>IF(MAX(EA4,ED4)&gt;0,SUM(EA4,ED4),"")</f>
        <v/>
      </c>
      <c r="EF4" s="11" t="str">
        <f t="shared" ref="EF4:EG6" si="12">IF(DQ4&gt;0,DQ4,"")</f>
        <v/>
      </c>
      <c r="EG4" s="11" t="str">
        <f t="shared" si="12"/>
        <v/>
      </c>
      <c r="EH4" s="11" t="str">
        <f>IF(SUM(DO4:DR4)-DS4&gt;0,SUM(DO4:DR4)-DS4,"")</f>
        <v/>
      </c>
      <c r="EI4" s="11" t="str">
        <f t="shared" ref="EI4:EJ6" si="13">IF(DV4&gt;0,DV4,"")</f>
        <v/>
      </c>
      <c r="EJ4" s="11" t="str">
        <f t="shared" si="13"/>
        <v/>
      </c>
      <c r="EK4" s="11" t="str">
        <f>IF(SUM(DT4:DW4)-DX4&gt;0,SUM(DT4:DW4)-DX4,"")</f>
        <v/>
      </c>
      <c r="EL4" s="11" t="str">
        <f>IF(SUM(EE4,EH4,EK4)&gt;0,SUM(EE4,EH4,EK4),"")</f>
        <v/>
      </c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36" t="str">
        <f t="shared" ref="FG4:FH6" si="14">IF(EO4&gt;0,EO4,"")</f>
        <v/>
      </c>
      <c r="FH4" s="36" t="str">
        <f t="shared" si="14"/>
        <v/>
      </c>
      <c r="FI4" s="36" t="str">
        <f>IF(SUM(EM4:EP4)-EQ4&gt;0,SUM(EM4:EP4)-EQ4,"")</f>
        <v/>
      </c>
      <c r="FJ4" s="36" t="str">
        <f t="shared" ref="FJ4:FK6" si="15">IF(ET4&gt;0,ET4,"")</f>
        <v/>
      </c>
      <c r="FK4" s="36" t="str">
        <f t="shared" si="15"/>
        <v/>
      </c>
      <c r="FL4" s="36" t="str">
        <f>IF(SUM(ER4:EU4)-EV4&gt;0,SUM(ER4:EU4)-EV4,"")</f>
        <v/>
      </c>
      <c r="FM4" s="36" t="str">
        <f>IF(MAX(FI4,FL4)&gt;0,SUM(FI4,FL4),"")</f>
        <v/>
      </c>
      <c r="FN4" s="36" t="str">
        <f t="shared" ref="FN4:FO6" si="16">IF(EY4&gt;0,EY4,"")</f>
        <v/>
      </c>
      <c r="FO4" s="36" t="str">
        <f t="shared" si="16"/>
        <v/>
      </c>
      <c r="FP4" s="36" t="str">
        <f>IF(SUM(EW4:EZ4)-FA4&gt;0,SUM(EW4:EZ4)-FA4,"")</f>
        <v/>
      </c>
      <c r="FQ4" s="36" t="str">
        <f t="shared" ref="FQ4:FR6" si="17">IF(FD4&gt;0,FD4,"")</f>
        <v/>
      </c>
      <c r="FR4" s="36" t="str">
        <f t="shared" si="17"/>
        <v/>
      </c>
      <c r="FS4" s="36" t="str">
        <f>IF(SUM(FB4:FE4)-FF4&gt;0,SUM(FB4:FE4)-FF4,"")</f>
        <v/>
      </c>
      <c r="FT4" s="36" t="str">
        <f>IF(SUM(FM4,FP4,FS4)&gt;0,SUM(FM4,FP4,FS4),"")</f>
        <v/>
      </c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1" t="str">
        <f t="shared" ref="GO4:GP6" si="18">IF(FW4&gt;0,FW4,"")</f>
        <v/>
      </c>
      <c r="GP4" s="11" t="str">
        <f t="shared" si="18"/>
        <v/>
      </c>
      <c r="GQ4" s="11" t="str">
        <f>IF(SUM(FU4:FX4)-FY4&gt;0,SUM(FU4:FX4)-FY4,"")</f>
        <v/>
      </c>
      <c r="GR4" s="11" t="str">
        <f t="shared" ref="GR4:GS6" si="19">IF(GB4&gt;0,GB4,"")</f>
        <v/>
      </c>
      <c r="GS4" s="11" t="str">
        <f t="shared" si="19"/>
        <v/>
      </c>
      <c r="GT4" s="11" t="str">
        <f>IF(SUM(FZ4:GC4)-GD4&gt;0,SUM(FZ4:GC4)-GD4,"")</f>
        <v/>
      </c>
      <c r="GU4" s="11" t="str">
        <f>IF(MAX(GQ4,GT4)&gt;0,SUM(GQ4,GT4),"")</f>
        <v/>
      </c>
      <c r="GV4" s="11" t="str">
        <f t="shared" ref="GV4:GW6" si="20">IF(GG4&gt;0,GG4,"")</f>
        <v/>
      </c>
      <c r="GW4" s="11" t="str">
        <f t="shared" si="20"/>
        <v/>
      </c>
      <c r="GX4" s="11" t="str">
        <f>IF(SUM(GE4:GH4)-GI4&gt;0,SUM(GE4:GH4)-GI4,"")</f>
        <v/>
      </c>
      <c r="GY4" s="11" t="str">
        <f t="shared" ref="GY4:GZ6" si="21">IF(GL4&gt;0,GL4,"")</f>
        <v/>
      </c>
      <c r="GZ4" s="11" t="str">
        <f t="shared" si="21"/>
        <v/>
      </c>
      <c r="HA4" s="11" t="str">
        <f>IF(SUM(GJ4:GM4)-GN4&gt;0,SUM(GJ4:GM4)-GN4,"")</f>
        <v/>
      </c>
      <c r="HB4" s="11" t="str">
        <f>IF(SUM(GU4,GX4,HA4)&gt;0,SUM(GU4,GX4,HA4),"")</f>
        <v/>
      </c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36" t="str">
        <f t="shared" ref="HW4:HX6" si="22">IF(HE4&gt;0,HE4,"")</f>
        <v/>
      </c>
      <c r="HX4" s="36" t="str">
        <f t="shared" si="22"/>
        <v/>
      </c>
      <c r="HY4" s="36" t="str">
        <f>IF(SUM(HC4:HF4)-HG4&gt;0,SUM(HC4:HF4)-HG4,"")</f>
        <v/>
      </c>
      <c r="HZ4" s="36" t="str">
        <f t="shared" ref="HZ4:IA6" si="23">IF(HJ4&gt;0,HJ4,"")</f>
        <v/>
      </c>
      <c r="IA4" s="36" t="str">
        <f t="shared" si="23"/>
        <v/>
      </c>
      <c r="IB4" s="36" t="str">
        <f>IF(SUM(HH4:HK4)-HL4&gt;0,SUM(HH4:HK4)-HL4,"")</f>
        <v/>
      </c>
      <c r="IC4" s="36" t="str">
        <f>IF(MAX(HY4,IB4)&gt;0,SUM(HY4,IB4),"")</f>
        <v/>
      </c>
      <c r="ID4" s="36" t="str">
        <f t="shared" ref="ID4:IE6" si="24">IF(HO4&gt;0,HO4,"")</f>
        <v/>
      </c>
      <c r="IE4" s="36" t="str">
        <f t="shared" si="24"/>
        <v/>
      </c>
      <c r="IF4" s="36" t="str">
        <f>IF(SUM(HM4:HP4)-HQ4&gt;0,SUM(HM4:HP4)-HQ4,"")</f>
        <v/>
      </c>
      <c r="IG4" s="36" t="str">
        <f t="shared" ref="IG4:IH6" si="25">IF(HT4&gt;0,HT4,"")</f>
        <v/>
      </c>
      <c r="IH4" s="36" t="str">
        <f t="shared" si="25"/>
        <v/>
      </c>
      <c r="II4" s="36" t="str">
        <f>IF(SUM(HR4:HU4)-HV4&gt;0,SUM(HR4:HU4)-HV4,"")</f>
        <v/>
      </c>
      <c r="IJ4" s="36" t="str">
        <f>IF(SUM(IC4,IF4,II4)&gt;0,SUM(IC4,IF4,II4),"")</f>
        <v/>
      </c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16"/>
      <c r="JD4" s="16"/>
      <c r="JE4" s="11" t="str">
        <f t="shared" ref="JE4:JF6" si="26">IF(IM4&gt;0,IM4,"")</f>
        <v/>
      </c>
      <c r="JF4" s="11" t="str">
        <f t="shared" si="26"/>
        <v/>
      </c>
      <c r="JG4" s="11" t="str">
        <f>IF(SUM(IK4:IN4)-IO4&gt;0,SUM(IK4:IN4)-IO4,"")</f>
        <v/>
      </c>
      <c r="JH4" s="11" t="str">
        <f t="shared" ref="JH4:JI6" si="27">IF(IR4&gt;0,IR4,"")</f>
        <v/>
      </c>
      <c r="JI4" s="11" t="str">
        <f t="shared" si="27"/>
        <v/>
      </c>
      <c r="JJ4" s="11" t="str">
        <f>IF(SUM(IP4:IS4)-IT4&gt;0,SUM(IP4:IS4)-IT4,"")</f>
        <v/>
      </c>
      <c r="JK4" s="11" t="str">
        <f>IF(MAX(JG4,JJ4)&gt;0,SUM(JG4,JJ4),"")</f>
        <v/>
      </c>
      <c r="JL4" s="11" t="str">
        <f t="shared" ref="JL4:JM6" si="28">IF(IW4&gt;0,IW4,"")</f>
        <v/>
      </c>
      <c r="JM4" s="11" t="str">
        <f t="shared" si="28"/>
        <v/>
      </c>
      <c r="JN4" s="11" t="str">
        <f>IF(SUM(IU4:IX4)-IY4&gt;0,SUM(IU4:IX4)-IY4,"")</f>
        <v/>
      </c>
      <c r="JO4" s="11" t="str">
        <f t="shared" ref="JO4:JP6" si="29">IF(JB4&gt;0,JB4,"")</f>
        <v/>
      </c>
      <c r="JP4" s="11" t="str">
        <f t="shared" si="29"/>
        <v/>
      </c>
      <c r="JQ4" s="11" t="str">
        <f>IF(SUM(IZ4:JC4)-JD4&gt;0,SUM(IZ4:JC4)-JD4,"")</f>
        <v/>
      </c>
      <c r="JR4" s="11" t="str">
        <f>IF(SUM(JK4,JN4,JQ4)&gt;0,SUM(JK4,JN4,JQ4),"")</f>
        <v/>
      </c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36" t="str">
        <f t="shared" ref="KM4:KN6" si="30">IF(JU4&gt;0,JU4,"")</f>
        <v/>
      </c>
      <c r="KN4" s="36" t="str">
        <f t="shared" si="30"/>
        <v/>
      </c>
      <c r="KO4" s="36" t="str">
        <f>IF(SUM(JS4:JV4)-JW4&gt;0,SUM(JS4:JV4)-JW4,"")</f>
        <v/>
      </c>
      <c r="KP4" s="36" t="str">
        <f t="shared" ref="KP4:KQ6" si="31">IF(JZ4&gt;0,JZ4,"")</f>
        <v/>
      </c>
      <c r="KQ4" s="36" t="str">
        <f t="shared" si="31"/>
        <v/>
      </c>
      <c r="KR4" s="36" t="str">
        <f>IF(SUM(JX4:KA4)-KB4&gt;0,SUM(JX4:KA4)-KB4,"")</f>
        <v/>
      </c>
      <c r="KS4" s="36" t="str">
        <f>IF(MAX(KO4,KR4)&gt;0,SUM(KO4,KR4),"")</f>
        <v/>
      </c>
      <c r="KT4" s="36" t="str">
        <f t="shared" ref="KT4:KU6" si="32">IF(KE4&gt;0,KE4,"")</f>
        <v/>
      </c>
      <c r="KU4" s="36" t="str">
        <f t="shared" si="32"/>
        <v/>
      </c>
      <c r="KV4" s="36" t="str">
        <f>IF(SUM(KC4:KF4)-KG4&gt;0,SUM(KC4:KF4)-KG4,"")</f>
        <v/>
      </c>
      <c r="KW4" s="36" t="str">
        <f t="shared" ref="KW4:KX6" si="33">IF(KJ4&gt;0,KJ4,"")</f>
        <v/>
      </c>
      <c r="KX4" s="36" t="str">
        <f t="shared" si="33"/>
        <v/>
      </c>
      <c r="KY4" s="36" t="str">
        <f>IF(SUM(KH4:KK4)-KL4&gt;0,SUM(KH4:KK4)-KL4,"")</f>
        <v/>
      </c>
      <c r="KZ4" s="36" t="str">
        <f>IF(SUM(KS4,KV4,KY4)&gt;0,SUM(KS4,KV4,KY4),"")</f>
        <v/>
      </c>
      <c r="LA4" s="16"/>
      <c r="LB4" s="16"/>
      <c r="LC4" s="16"/>
      <c r="LD4" s="16"/>
      <c r="LE4" s="16"/>
      <c r="LF4" s="16"/>
      <c r="LG4" s="16"/>
      <c r="LH4" s="16"/>
      <c r="LI4" s="16"/>
      <c r="LJ4" s="16"/>
      <c r="LK4" s="16"/>
      <c r="LL4" s="16"/>
      <c r="LM4" s="16"/>
      <c r="LN4" s="16"/>
      <c r="LO4" s="16"/>
      <c r="LP4" s="16"/>
      <c r="LQ4" s="16"/>
      <c r="LR4" s="16"/>
      <c r="LS4" s="16"/>
      <c r="LT4" s="16"/>
      <c r="LU4" s="11" t="str">
        <f t="shared" ref="LU4:LV6" si="34">IF(LC4&gt;0,LC4,"")</f>
        <v/>
      </c>
      <c r="LV4" s="11" t="str">
        <f t="shared" si="34"/>
        <v/>
      </c>
      <c r="LW4" s="11" t="str">
        <f>IF(SUM(LA4:LD4)-LE4&gt;0,SUM(LA4:LD4)-LE4,"")</f>
        <v/>
      </c>
      <c r="LX4" s="11" t="str">
        <f t="shared" ref="LX4:LY6" si="35">IF(LH4&gt;0,LH4,"")</f>
        <v/>
      </c>
      <c r="LY4" s="11" t="str">
        <f t="shared" si="35"/>
        <v/>
      </c>
      <c r="LZ4" s="11" t="str">
        <f>IF(SUM(LF4:LI4)-LJ4&gt;0,SUM(LF4:LI4)-LJ4,"")</f>
        <v/>
      </c>
      <c r="MA4" s="11" t="str">
        <f>IF(MAX(LW4,LZ4)&gt;0,SUM(LW4,LZ4),"")</f>
        <v/>
      </c>
      <c r="MB4" s="11" t="str">
        <f t="shared" ref="MB4:MC6" si="36">IF(LM4&gt;0,LM4,"")</f>
        <v/>
      </c>
      <c r="MC4" s="11" t="str">
        <f t="shared" si="36"/>
        <v/>
      </c>
      <c r="MD4" s="11" t="str">
        <f>IF(SUM(LK4:LN4)-LO4&gt;0,SUM(LK4:LN4)-LO4,"")</f>
        <v/>
      </c>
      <c r="ME4" s="11" t="str">
        <f t="shared" ref="ME4:MF6" si="37">IF(LR4&gt;0,LR4,"")</f>
        <v/>
      </c>
      <c r="MF4" s="11" t="str">
        <f t="shared" si="37"/>
        <v/>
      </c>
      <c r="MG4" s="11" t="str">
        <f>IF(SUM(LP4:LS4)-LT4&gt;0,SUM(LP4:LS4)-LT4,"")</f>
        <v/>
      </c>
      <c r="MH4" s="11" t="str">
        <f>IF(SUM(MA4,MD4,MG4)&gt;0,SUM(MA4,MD4,MG4),"")</f>
        <v/>
      </c>
      <c r="MI4" s="15"/>
      <c r="MJ4" s="15"/>
      <c r="MK4" s="15"/>
      <c r="ML4" s="15"/>
      <c r="MM4" s="15"/>
      <c r="MN4" s="15"/>
      <c r="MO4" s="15"/>
      <c r="MP4" s="15"/>
      <c r="MQ4" s="15"/>
      <c r="MR4" s="15"/>
      <c r="MS4" s="15"/>
      <c r="MT4" s="15"/>
      <c r="MU4" s="15"/>
      <c r="MV4" s="15"/>
      <c r="MW4" s="15"/>
      <c r="MX4" s="15"/>
      <c r="MY4" s="15"/>
      <c r="MZ4" s="15"/>
      <c r="NA4" s="15"/>
      <c r="NB4" s="15"/>
      <c r="NC4" s="36" t="str">
        <f t="shared" ref="NC4:ND6" si="38">IF(MK4&gt;0,MK4,"")</f>
        <v/>
      </c>
      <c r="ND4" s="36" t="str">
        <f t="shared" si="38"/>
        <v/>
      </c>
      <c r="NE4" s="36" t="str">
        <f>IF(SUM(MI4:ML4)-MM4&gt;0,SUM(MI4:ML4)-MM4,"")</f>
        <v/>
      </c>
      <c r="NF4" s="36" t="str">
        <f t="shared" ref="NF4:NG6" si="39">IF(MP4&gt;0,MP4,"")</f>
        <v/>
      </c>
      <c r="NG4" s="36" t="str">
        <f t="shared" si="39"/>
        <v/>
      </c>
      <c r="NH4" s="36" t="str">
        <f>IF(SUM(MN4:MQ4)-MR4&gt;0,SUM(MN4:MQ4)-MR4,"")</f>
        <v/>
      </c>
      <c r="NI4" s="36" t="str">
        <f>IF(MAX(NE4,NH4)&gt;0,SUM(NE4,NH4),"")</f>
        <v/>
      </c>
      <c r="NJ4" s="36" t="str">
        <f t="shared" ref="NJ4:NK6" si="40">IF(MU4&gt;0,MU4,"")</f>
        <v/>
      </c>
      <c r="NK4" s="36" t="str">
        <f t="shared" si="40"/>
        <v/>
      </c>
      <c r="NL4" s="36" t="str">
        <f>IF(SUM(MS4:MV4)-MW4&gt;0,SUM(MS4:MV4)-MW4,"")</f>
        <v/>
      </c>
      <c r="NM4" s="36" t="str">
        <f t="shared" ref="NM4:NN6" si="41">IF(MZ4&gt;0,MZ4,"")</f>
        <v/>
      </c>
      <c r="NN4" s="36" t="str">
        <f t="shared" si="41"/>
        <v/>
      </c>
      <c r="NO4" s="36" t="str">
        <f>IF(SUM(MX4:NA4)-NB4&gt;0,SUM(MX4:NA4)-NB4,"")</f>
        <v/>
      </c>
      <c r="NP4" s="36" t="str">
        <f>IF(SUM(NI4,NL4,NO4)&gt;0,SUM(NI4,NL4,NO4),"")</f>
        <v/>
      </c>
      <c r="NQ4" s="16"/>
      <c r="NR4" s="16"/>
      <c r="NS4" s="16"/>
      <c r="NT4" s="16"/>
      <c r="NU4" s="16"/>
      <c r="NV4" s="16"/>
      <c r="NW4" s="16"/>
      <c r="NX4" s="16"/>
      <c r="NY4" s="16"/>
      <c r="NZ4" s="16"/>
      <c r="OA4" s="16"/>
      <c r="OB4" s="16"/>
      <c r="OC4" s="16"/>
      <c r="OD4" s="16"/>
      <c r="OE4" s="16"/>
      <c r="OF4" s="16"/>
      <c r="OG4" s="16"/>
      <c r="OH4" s="16"/>
      <c r="OI4" s="16"/>
      <c r="OJ4" s="16"/>
      <c r="OK4" s="11" t="str">
        <f t="shared" ref="OK4:OL6" si="42">IF(NS4&gt;0,NS4,"")</f>
        <v/>
      </c>
      <c r="OL4" s="11" t="str">
        <f t="shared" si="42"/>
        <v/>
      </c>
      <c r="OM4" s="11" t="str">
        <f>IF(SUM(NQ4:NT4)-NU4&gt;0,SUM(NQ4:NT4)-NU4,"")</f>
        <v/>
      </c>
      <c r="ON4" s="11" t="str">
        <f t="shared" ref="ON4:OO6" si="43">IF(NX4&gt;0,NX4,"")</f>
        <v/>
      </c>
      <c r="OO4" s="11" t="str">
        <f t="shared" si="43"/>
        <v/>
      </c>
      <c r="OP4" s="11" t="str">
        <f>IF(SUM(NV4:NY4)-NZ4&gt;0,SUM(NV4:NY4)-NZ4,"")</f>
        <v/>
      </c>
      <c r="OQ4" s="11" t="str">
        <f>IF(MAX(OM4,OP4)&gt;0,SUM(OM4,OP4),"")</f>
        <v/>
      </c>
      <c r="OR4" s="11" t="str">
        <f t="shared" ref="OR4:OS6" si="44">IF(OC4&gt;0,OC4,"")</f>
        <v/>
      </c>
      <c r="OS4" s="11" t="str">
        <f t="shared" si="44"/>
        <v/>
      </c>
      <c r="OT4" s="11" t="str">
        <f>IF(SUM(OA4:OD4)-OE4&gt;0,SUM(OA4:OD4)-OE4,"")</f>
        <v/>
      </c>
      <c r="OU4" s="11" t="str">
        <f t="shared" ref="OU4:OV6" si="45">IF(OH4&gt;0,OH4,"")</f>
        <v/>
      </c>
      <c r="OV4" s="11" t="str">
        <f t="shared" si="45"/>
        <v/>
      </c>
      <c r="OW4" s="11" t="str">
        <f>IF(SUM(OF4:OI4)-OJ4&gt;0,SUM(OF4:OI4)-OJ4,"")</f>
        <v/>
      </c>
      <c r="OX4" s="11" t="str">
        <f>IF(SUM(OQ4,OT4,OW4)&gt;0,SUM(OQ4,OT4,OW4),"")</f>
        <v/>
      </c>
      <c r="OY4" s="15"/>
      <c r="OZ4" s="15"/>
      <c r="PA4" s="15"/>
      <c r="PB4" s="15"/>
      <c r="PC4" s="15"/>
      <c r="PD4" s="15"/>
      <c r="PE4" s="15"/>
      <c r="PF4" s="15"/>
      <c r="PG4" s="15"/>
      <c r="PH4" s="15"/>
      <c r="PI4" s="15"/>
      <c r="PJ4" s="15"/>
      <c r="PK4" s="15"/>
      <c r="PL4" s="15"/>
      <c r="PM4" s="15"/>
      <c r="PN4" s="15"/>
      <c r="PO4" s="15"/>
      <c r="PP4" s="15"/>
      <c r="PQ4" s="15"/>
      <c r="PR4" s="15"/>
      <c r="PS4" s="36" t="str">
        <f t="shared" ref="PS4:PT6" si="46">IF(PA4&gt;0,PA4,"")</f>
        <v/>
      </c>
      <c r="PT4" s="36" t="str">
        <f t="shared" si="46"/>
        <v/>
      </c>
      <c r="PU4" s="36" t="str">
        <f>IF(SUM(OY4:PB4)-PC4&gt;0,SUM(OY4:PB4)-PC4,"")</f>
        <v/>
      </c>
      <c r="PV4" s="36" t="str">
        <f t="shared" ref="PV4:PW6" si="47">IF(PF4&gt;0,PF4,"")</f>
        <v/>
      </c>
      <c r="PW4" s="36" t="str">
        <f t="shared" si="47"/>
        <v/>
      </c>
      <c r="PX4" s="36" t="str">
        <f>IF(SUM(PD4:PG4)-PH4&gt;0,SUM(PD4:PG4)-PH4,"")</f>
        <v/>
      </c>
      <c r="PY4" s="36" t="str">
        <f>IF(MAX(PU4,PX4)&gt;0,SUM(PU4,PX4),"")</f>
        <v/>
      </c>
      <c r="PZ4" s="36" t="str">
        <f t="shared" ref="PZ4:QA6" si="48">IF(PK4&gt;0,PK4,"")</f>
        <v/>
      </c>
      <c r="QA4" s="36" t="str">
        <f t="shared" si="48"/>
        <v/>
      </c>
      <c r="QB4" s="36" t="str">
        <f>IF(SUM(PI4:PL4)-PM4&gt;0,SUM(PI4:PL4)-PM4,"")</f>
        <v/>
      </c>
      <c r="QC4" s="36" t="str">
        <f t="shared" ref="QC4:QD6" si="49">IF(PP4&gt;0,PP4,"")</f>
        <v/>
      </c>
      <c r="QD4" s="36" t="str">
        <f t="shared" si="49"/>
        <v/>
      </c>
      <c r="QE4" s="36" t="str">
        <f>IF(SUM(PN4:PQ4)-PR4&gt;0,SUM(PN4:PQ4)-PR4,"")</f>
        <v/>
      </c>
      <c r="QF4" s="36" t="str">
        <f>IF(SUM(PY4,QB4,QE4)&gt;0,SUM(PY4,QB4,QE4),"")</f>
        <v/>
      </c>
      <c r="QG4" s="16"/>
      <c r="QH4" s="16"/>
      <c r="QI4" s="16"/>
      <c r="QJ4" s="16"/>
      <c r="QK4" s="16"/>
      <c r="QL4" s="16"/>
      <c r="QM4" s="16"/>
      <c r="QN4" s="16"/>
      <c r="QO4" s="16"/>
      <c r="QP4" s="16"/>
      <c r="QQ4" s="16"/>
      <c r="QR4" s="16"/>
      <c r="QS4" s="16"/>
      <c r="QT4" s="16"/>
      <c r="QU4" s="16"/>
      <c r="QV4" s="16"/>
      <c r="QW4" s="16"/>
      <c r="QX4" s="16"/>
      <c r="QY4" s="16"/>
      <c r="QZ4" s="16"/>
      <c r="RA4" s="11" t="str">
        <f t="shared" ref="RA4:RB6" si="50">IF(QI4&gt;0,QI4,"")</f>
        <v/>
      </c>
      <c r="RB4" s="11" t="str">
        <f t="shared" si="50"/>
        <v/>
      </c>
      <c r="RC4" s="11" t="str">
        <f>IF(SUM(QG4:QJ4)-QK4&gt;0,SUM(QG4:QJ4)-QK4,"")</f>
        <v/>
      </c>
      <c r="RD4" s="11" t="str">
        <f t="shared" ref="RD4:RE6" si="51">IF(QN4&gt;0,QN4,"")</f>
        <v/>
      </c>
      <c r="RE4" s="11" t="str">
        <f t="shared" si="51"/>
        <v/>
      </c>
      <c r="RF4" s="11" t="str">
        <f>IF(SUM(QL4:QO4)-QP4&gt;0,SUM(QL4:QO4)-QP4,"")</f>
        <v/>
      </c>
      <c r="RG4" s="11" t="str">
        <f>IF(MAX(RC4,RF4)&gt;0,SUM(RC4,RF4),"")</f>
        <v/>
      </c>
      <c r="RH4" s="11" t="str">
        <f t="shared" ref="RH4:RI6" si="52">IF(QS4&gt;0,QS4,"")</f>
        <v/>
      </c>
      <c r="RI4" s="11" t="str">
        <f t="shared" si="52"/>
        <v/>
      </c>
      <c r="RJ4" s="11" t="str">
        <f>IF(SUM(QQ4:QT4)-QU4&gt;0,SUM(QQ4:QT4)-QU4,"")</f>
        <v/>
      </c>
      <c r="RK4" s="11" t="str">
        <f t="shared" ref="RK4:RL6" si="53">IF(QX4&gt;0,QX4,"")</f>
        <v/>
      </c>
      <c r="RL4" s="11" t="str">
        <f t="shared" si="53"/>
        <v/>
      </c>
      <c r="RM4" s="11" t="str">
        <f>IF(SUM(QV4:QY4)-QZ4&gt;0,SUM(QV4:QY4)-QZ4,"")</f>
        <v/>
      </c>
      <c r="RN4" s="11" t="str">
        <f>IF(SUM(RG4,RJ4,RM4)&gt;0,SUM(RG4,RJ4,RM4),"")</f>
        <v/>
      </c>
      <c r="RO4" s="15"/>
      <c r="RP4" s="15"/>
      <c r="RQ4" s="15"/>
      <c r="RR4" s="15"/>
      <c r="RS4" s="15"/>
      <c r="RT4" s="15"/>
      <c r="RU4" s="15"/>
      <c r="RV4" s="15"/>
      <c r="RW4" s="15"/>
      <c r="RX4" s="15"/>
      <c r="RY4" s="15"/>
      <c r="RZ4" s="15"/>
      <c r="SA4" s="15"/>
      <c r="SB4" s="15"/>
      <c r="SC4" s="15"/>
      <c r="SD4" s="15"/>
      <c r="SE4" s="15"/>
      <c r="SF4" s="15"/>
      <c r="SG4" s="15"/>
      <c r="SH4" s="15"/>
      <c r="SI4" s="36" t="str">
        <f t="shared" ref="SI4:SJ6" si="54">IF(RQ4&gt;0,RQ4,"")</f>
        <v/>
      </c>
      <c r="SJ4" s="36" t="str">
        <f t="shared" si="54"/>
        <v/>
      </c>
      <c r="SK4" s="36" t="str">
        <f>IF(SUM(RO4:RR4)-RS4&gt;0,SUM(RO4:RR4)-RS4,"")</f>
        <v/>
      </c>
      <c r="SL4" s="36" t="str">
        <f t="shared" ref="SL4:SM6" si="55">IF(RV4&gt;0,RV4,"")</f>
        <v/>
      </c>
      <c r="SM4" s="36" t="str">
        <f t="shared" si="55"/>
        <v/>
      </c>
      <c r="SN4" s="36" t="str">
        <f>IF(SUM(RT4:RW4)-RX4&gt;0,SUM(RT4:RW4)-RX4,"")</f>
        <v/>
      </c>
      <c r="SO4" s="36" t="str">
        <f>IF(MAX(SK4,SN4)&gt;0,SUM(SK4,SN4),"")</f>
        <v/>
      </c>
      <c r="SP4" s="36" t="str">
        <f t="shared" ref="SP4:SQ6" si="56">IF(SA4&gt;0,SA4,"")</f>
        <v/>
      </c>
      <c r="SQ4" s="36" t="str">
        <f t="shared" si="56"/>
        <v/>
      </c>
      <c r="SR4" s="36" t="str">
        <f>IF(SUM(RY4:SB4)-SC4&gt;0,SUM(RY4:SB4)-SC4,"")</f>
        <v/>
      </c>
      <c r="SS4" s="36" t="str">
        <f t="shared" ref="SS4:ST6" si="57">IF(SF4&gt;0,SF4,"")</f>
        <v/>
      </c>
      <c r="ST4" s="36" t="str">
        <f t="shared" si="57"/>
        <v/>
      </c>
      <c r="SU4" s="36" t="str">
        <f>IF(SUM(SD4:SG4)-SH4&gt;0,SUM(SD4:SG4)-SH4,"")</f>
        <v/>
      </c>
      <c r="SV4" s="36" t="str">
        <f>IF(SUM(SO4,SR4,SU4)&gt;0,SUM(SO4,SR4,SU4),"")</f>
        <v/>
      </c>
      <c r="SW4" s="16"/>
      <c r="SX4" s="16"/>
      <c r="SY4" s="16"/>
      <c r="SZ4" s="16"/>
      <c r="TA4" s="16"/>
      <c r="TB4" s="16"/>
      <c r="TC4" s="16"/>
      <c r="TD4" s="16"/>
      <c r="TE4" s="16"/>
      <c r="TF4" s="16"/>
      <c r="TG4" s="16"/>
      <c r="TH4" s="16"/>
      <c r="TI4" s="16"/>
      <c r="TJ4" s="16"/>
      <c r="TK4" s="16"/>
      <c r="TL4" s="16"/>
      <c r="TM4" s="16"/>
      <c r="TN4" s="16"/>
      <c r="TO4" s="16"/>
      <c r="TP4" s="16"/>
      <c r="TQ4" s="11" t="str">
        <f t="shared" ref="TQ4:TR6" si="58">IF(SY4&gt;0,SY4,"")</f>
        <v/>
      </c>
      <c r="TR4" s="11" t="str">
        <f t="shared" si="58"/>
        <v/>
      </c>
      <c r="TS4" s="11" t="str">
        <f>IF(SUM(SW4:SZ4)-TA4&gt;0,SUM(SW4:SZ4)-TA4,"")</f>
        <v/>
      </c>
      <c r="TT4" s="11" t="str">
        <f t="shared" ref="TT4:TU6" si="59">IF(TD4&gt;0,TD4,"")</f>
        <v/>
      </c>
      <c r="TU4" s="11" t="str">
        <f t="shared" si="59"/>
        <v/>
      </c>
      <c r="TV4" s="11" t="str">
        <f>IF(SUM(TB4:TE4)-TF4&gt;0,SUM(TB4:TE4)-TF4,"")</f>
        <v/>
      </c>
      <c r="TW4" s="11" t="str">
        <f>IF(MAX(TS4,TV4)&gt;0,SUM(TS4,TV4),"")</f>
        <v/>
      </c>
      <c r="TX4" s="11" t="str">
        <f t="shared" ref="TX4:TY6" si="60">IF(TI4&gt;0,TI4,"")</f>
        <v/>
      </c>
      <c r="TY4" s="11" t="str">
        <f t="shared" si="60"/>
        <v/>
      </c>
      <c r="TZ4" s="11" t="str">
        <f>IF(SUM(TG4:TJ4)-TK4&gt;0,SUM(TG4:TJ4)-TK4,"")</f>
        <v/>
      </c>
      <c r="UA4" s="11" t="str">
        <f t="shared" ref="UA4:UB6" si="61">IF(TN4&gt;0,TN4,"")</f>
        <v/>
      </c>
      <c r="UB4" s="11" t="str">
        <f t="shared" si="61"/>
        <v/>
      </c>
      <c r="UC4" s="11" t="str">
        <f>IF(SUM(TL4:TO4)-TP4&gt;0,SUM(TL4:TO4)-TP4,"")</f>
        <v/>
      </c>
      <c r="UD4" s="11" t="str">
        <f>IF(SUM(TW4,TZ4,UC4)&gt;0,SUM(TW4,TZ4,UC4),"")</f>
        <v/>
      </c>
      <c r="UE4" s="15"/>
      <c r="UF4" s="15"/>
      <c r="UG4" s="15"/>
      <c r="UH4" s="15"/>
      <c r="UI4" s="15"/>
      <c r="UJ4" s="15"/>
      <c r="UK4" s="15"/>
      <c r="UL4" s="15"/>
      <c r="UM4" s="15"/>
      <c r="UN4" s="15"/>
      <c r="UO4" s="15"/>
      <c r="UP4" s="15"/>
      <c r="UQ4" s="15"/>
      <c r="UR4" s="15"/>
      <c r="US4" s="15"/>
      <c r="UT4" s="15"/>
      <c r="UU4" s="15"/>
      <c r="UV4" s="15"/>
      <c r="UW4" s="15"/>
      <c r="UX4" s="15"/>
      <c r="UY4" s="36" t="str">
        <f t="shared" ref="UY4:UZ6" si="62">IF(UG4&gt;0,UG4,"")</f>
        <v/>
      </c>
      <c r="UZ4" s="36" t="str">
        <f t="shared" si="62"/>
        <v/>
      </c>
      <c r="VA4" s="36" t="str">
        <f>IF(SUM(UE4:UH4)-UI4&gt;0,SUM(UE4:UH4)-UI4,"")</f>
        <v/>
      </c>
      <c r="VB4" s="36" t="str">
        <f t="shared" ref="VB4:VC6" si="63">IF(UL4&gt;0,UL4,"")</f>
        <v/>
      </c>
      <c r="VC4" s="36" t="str">
        <f t="shared" si="63"/>
        <v/>
      </c>
      <c r="VD4" s="36" t="str">
        <f>IF(SUM(UJ4:UM4)-UN4&gt;0,SUM(UJ4:UM4)-UN4,"")</f>
        <v/>
      </c>
      <c r="VE4" s="36" t="str">
        <f>IF(MAX(VA4,VD4)&gt;0,SUM(VA4,VD4),"")</f>
        <v/>
      </c>
      <c r="VF4" s="36" t="str">
        <f t="shared" ref="VF4:VG6" si="64">IF(UQ4&gt;0,UQ4,"")</f>
        <v/>
      </c>
      <c r="VG4" s="36" t="str">
        <f t="shared" si="64"/>
        <v/>
      </c>
      <c r="VH4" s="36" t="str">
        <f>IF(SUM(UO4:UR4)-US4&gt;0,SUM(UO4:UR4)-US4,"")</f>
        <v/>
      </c>
      <c r="VI4" s="36" t="str">
        <f t="shared" ref="VI4:VJ6" si="65">IF(UV4&gt;0,UV4,"")</f>
        <v/>
      </c>
      <c r="VJ4" s="36" t="str">
        <f t="shared" si="65"/>
        <v/>
      </c>
      <c r="VK4" s="36" t="str">
        <f>IF(SUM(UT4:UW4)-UX4&gt;0,SUM(UT4:UW4)-UX4,"")</f>
        <v/>
      </c>
      <c r="VL4" s="36" t="str">
        <f>IF(SUM(VE4,VH4,VK4)&gt;0,SUM(VE4,VH4,VK4),"")</f>
        <v/>
      </c>
    </row>
    <row r="5" spans="1:584" x14ac:dyDescent="0.2">
      <c r="A5" s="4" t="str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/>
      </c>
      <c r="B5" s="5" t="s">
        <v>224</v>
      </c>
      <c r="C5" s="4" t="s">
        <v>6</v>
      </c>
      <c r="D5" s="4">
        <v>2010</v>
      </c>
      <c r="E5" s="9">
        <f>J5+L5+N5+P5+(J5+L5+N5)*0.0000001+MAX(J5,L5)*0.0000000000001</f>
        <v>127.86001278600449</v>
      </c>
      <c r="F5" s="3" t="str">
        <f>IF(OR(AND(AO5&gt;=AS$13,AL5&gt;=AS$9,AO5&lt;&gt;"",AH5=""),AND(BP5&gt;=BT$13,BM5&gt;=BT$9,BP5&lt;&gt;"",BI5=""),AND(CW5&gt;=DD$13,CT5&gt;=DD$9,CW5&lt;&gt;""),AND(EE5&gt;=EL$13,EB5&gt;=EL$9,EE5&lt;&gt;""),AND(FM5&gt;=FT$13,FJ5&gt;=FT$9,FM5&lt;&gt;""),AND(GU5&gt;=HB$13,GR5&gt;=HB$9,GU5&lt;&gt;""),AND(IC5&gt;=IJ$13,HZ5&gt;=IJ$9,IC5&lt;&gt;""),AND(JK5&gt;=JR$13,JH5&gt;=JR$9,JK5&lt;&gt;""),AND(KS5&gt;=KZ$13,KP5&gt;=KZ$9,KS5&lt;&gt;""),AND(MA5&gt;=MH$13,LX5&gt;=MH$9,MA5&lt;&gt;""),AND(NI5&gt;=NP$13,NF5&gt;=NP$9,NI5&lt;&gt;""),AND(OQ5&gt;=OX$13,ON5&gt;=OX$9,OQ5&lt;&gt;""),AND(PY5&gt;=QF$13,PV5&gt;=QF$9,PY5&lt;&gt;""),AND(RG5&gt;=RN$13,RD5&gt;=RN$9,RG5&lt;&gt;""),AND(SO5&gt;=SV$13,SL5&gt;=SV$9,SO5&lt;&gt;""),AND(TW5&gt;=UD$13,TT5&gt;=UD$9,TW5&lt;&gt;""),AND(VE5&gt;=VL$13,VB5&gt;=VL$9,VE5&lt;&gt;"")),"P","")</f>
        <v/>
      </c>
      <c r="G5" s="3" t="str">
        <f>IF(OR(AND(AO5&gt;=AS$13,AO5&lt;&gt;"",AH5=""),AND(BP5&gt;=BT$13,BP5&lt;&gt;"",BI5=""),AND(CW5&gt;=DD$13,CW5&lt;&gt;""),AND(EE5&gt;=EL$13,EE5&lt;&gt;""),AND(FM5&gt;=FT$13,FM5&lt;&gt;""),AND(GU5&gt;=HB$13,GU5&lt;&gt;""),AND(IC5&gt;=IJ$13,IC5&lt;&gt;""),AND(JK5&gt;=JR$13,JK5&lt;&gt;""),AND(KS5&gt;=KZ$13,KS5&lt;&gt;""),AND(MA5&gt;=MH$13,MA5&lt;&gt;""),AND(NI5&gt;=NP$13,NI5&lt;&gt;""),AND(OQ5&gt;=OX$13,OQ5&lt;&gt;""),AND(PY5&gt;=QF$13,PY5&lt;&gt;""),AND(RG5&gt;=RN$13,RG5&lt;&gt;""),AND(SO5&gt;=SV$13,SO5&lt;&gt;""),AND(TW5&gt;=UD$13,TW5&lt;&gt;""),AND(VE5&gt;=VL$13,VE5&lt;&gt;"")),"P","")</f>
        <v/>
      </c>
      <c r="H5" s="32" t="str">
        <f>IF(AND(G5="P",F5=""),"No DD",IF(F5="P","National Team",""))</f>
        <v/>
      </c>
      <c r="I5" s="3"/>
      <c r="J5" s="8">
        <f>IF(MAX(AK5,BL5)&gt;0,MAX(AK5,BL5),0)</f>
        <v>39.56</v>
      </c>
      <c r="K5" s="8" t="str">
        <f>IF(J5="","",IF(J5=BL5,$AT$1,IF(J5=AK5,$S$1,"")))</f>
        <v>2026 Elite Canada</v>
      </c>
      <c r="L5" s="8">
        <f>IF(MAX(AN5,BO5)&gt;0,MAX(AN5,BO5),0)</f>
        <v>44.89</v>
      </c>
      <c r="M5" s="8" t="str">
        <f>IF(L5="","",IF(L5=BO5,$AT$1,IF(L5=AN5,$S$1,"")))</f>
        <v>2026 Elite Canada</v>
      </c>
      <c r="N5" s="8">
        <f>IF(L5=AN5,MAX(AR5,BO5,BS5),MAX(AN5,AR5,BS5))</f>
        <v>43.41</v>
      </c>
      <c r="O5" s="8" t="str">
        <f>IF(L5="","",IF(OR(L5=BO5,L5=BS5),$AT$1,IF(OR(L5=AN5,L5=AR5),$S$1,"")))</f>
        <v>2026 Elite Canada</v>
      </c>
      <c r="P5" s="8">
        <f>IF(MAX(BU5,BV5)&gt;0,MAX(BU5,BV5),0)</f>
        <v>0</v>
      </c>
      <c r="Q5" s="11" t="str">
        <f>IF(P5=0,"",IF(P5=BU5,"("&amp;BU$2&amp;")",IF(P5=BV5,"("&amp;BV$2&amp;")")))</f>
        <v/>
      </c>
      <c r="R5" s="8" t="str">
        <f>IF(P5=0,"",IF(P5=BU5,IF(P5+MIN(L5,N5)=MAX(VA5,0),$UE$1,IF(P5+MIN(L5,N5)=MAX(TS5,0),$SW$1,IF(P5+MIN(L5,N5)=MAX(SK5,0),$RO$1,IF(P5+MIN(L5,N5)=MAX(RC5,0),$QG$1,IF(P5+MIN(L5,N5)=MAX(PU5,0),$OY$1,IF(P5+MIN(L5,N5)=MAX(OM5,0),$NQ$1,IF(P5+MIN(L5,N5)=MAX(NE5,0),$MI$1,IF(P5+MIN(L5,N5)=MAX(LW5,0),$LA$1,IF(P5+MIN(L5,N5)=MAX(KO5,0),$JS$1,IF(P5+MIN(L5,N5)=MAX(JG5,0),$IK$1,IF(P5+MIN(L5,N5)=MAX(HY5,0),$HC$1,IF(P5+MIN(L5,N5)=MAX(GQ5,0),$FU$1,IF(P5+MIN(L5,N5)=MAX(FI5,0),$EM$1,IF(P5+MIN(L5,N5)=MAX(EA5,0),$DE$1,IF(P5+MIN(L5,N5)=MAX(CS5,0),$BW$1))))))))))))))),IF(P5+MIN(L5,N5)=MAX(VD5,VH5,VK5),$UE$1,IF(P5+MIN(L5,N5)=MAX(TV5,TZ5,UC5),$SW$1,IF(P5+MIN(L5,N5)=MAX(SN5,SR5,SU5),$RO$1,IF(P5+MIN(L5,N5)=MAX(RF5,RJ5,RM5),$QG$1,IF(P5+MIN(L5,N5)=MAX(PX5,QB5,QE5),$OY$1,IF(P5+MIN(L5,N5)=MAX(OP5,OT5,OW5),$NQ$1,IF(P5+MIN(L5,N5)=MAX(NH5,NL5,NO5),$MI$1,IF(P5+MIN(L5,N5)=MAX(LZ5,MD5,MG5),$LA$1,IF(P5+MIN(L5,N5)=MAX(KR5,KV5,KY5),$JS$1,IF(P5+MIN(L5,N5)=MAX(JJ5,JN5,JQ5),$IK$1,IF(P5+MIN(L5,N5)=MAX(IB5,IF5,II5),$HC$1,IF(P5+MIN(L5,N5)=MAX(GT5,GX5,HA5),$FU$1,IF(P5+MIN(L5,N5)=MAX(FL5,FP5,FS5),$EM$1,IF(P5+MIN(L5,N5)=MAX(ED5,EH5,EK5),$DE$1,IF(P5+MIN(L5,N5)=MAX(CV5,CZ5,DC5),$BW$1)))))))))))))))))</f>
        <v/>
      </c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23"/>
      <c r="AI5" s="34" t="str">
        <f t="shared" si="0"/>
        <v/>
      </c>
      <c r="AJ5" s="34" t="str">
        <f t="shared" si="0"/>
        <v/>
      </c>
      <c r="AK5" s="36" t="str">
        <f>IF(SUM(S5:V5)-W5&gt;0,SUM(S5:V5)-W5,"")</f>
        <v/>
      </c>
      <c r="AL5" s="36" t="str">
        <f t="shared" si="1"/>
        <v/>
      </c>
      <c r="AM5" s="36" t="str">
        <f t="shared" si="1"/>
        <v/>
      </c>
      <c r="AN5" s="36" t="str">
        <f>IF(SUM(X5:AA5)-AB5&gt;0,SUM(X5:AA5)-AB5,"")</f>
        <v/>
      </c>
      <c r="AO5" s="36" t="str">
        <f>IF(AK5="","",SUM(AK5,AN5))</f>
        <v/>
      </c>
      <c r="AP5" s="36" t="str">
        <f t="shared" si="2"/>
        <v/>
      </c>
      <c r="AQ5" s="36" t="str">
        <f t="shared" si="2"/>
        <v/>
      </c>
      <c r="AR5" s="36" t="str">
        <f>IF(SUM(AC5:AF5)-AG5&gt;0,SUM(AC5:AF5)-AG5,"")</f>
        <v/>
      </c>
      <c r="AS5" s="36" t="str">
        <f>IF(SUM(AO5,AR5)&gt;0,SUM(AO5,AR5),"")</f>
        <v/>
      </c>
      <c r="AT5" s="22">
        <v>15.7</v>
      </c>
      <c r="AU5" s="22">
        <v>9.5</v>
      </c>
      <c r="AV5" s="22">
        <v>0</v>
      </c>
      <c r="AW5" s="22">
        <v>14.36</v>
      </c>
      <c r="AX5" s="22">
        <v>0</v>
      </c>
      <c r="AY5" s="22">
        <v>14.1</v>
      </c>
      <c r="AZ5" s="22">
        <v>9.1</v>
      </c>
      <c r="BA5" s="22">
        <v>8.6999999999999993</v>
      </c>
      <c r="BB5" s="22">
        <v>13.49</v>
      </c>
      <c r="BC5" s="22">
        <v>0.5</v>
      </c>
      <c r="BD5" s="22">
        <v>12.3</v>
      </c>
      <c r="BE5" s="22">
        <v>9.1999999999999993</v>
      </c>
      <c r="BF5" s="22">
        <v>8.6999999999999993</v>
      </c>
      <c r="BG5" s="22">
        <v>13.71</v>
      </c>
      <c r="BH5" s="22">
        <v>0.5</v>
      </c>
      <c r="BI5" s="24"/>
      <c r="BJ5" s="35" t="str">
        <f t="shared" si="3"/>
        <v/>
      </c>
      <c r="BK5" s="35">
        <f t="shared" si="3"/>
        <v>14.36</v>
      </c>
      <c r="BL5" s="11">
        <f>IF(SUM(AT5:AW5)-AX5&gt;0,SUM(AT5:AW5)-AX5,"")</f>
        <v>39.56</v>
      </c>
      <c r="BM5" s="11">
        <f t="shared" si="4"/>
        <v>8.6999999999999993</v>
      </c>
      <c r="BN5" s="11">
        <f t="shared" si="4"/>
        <v>13.49</v>
      </c>
      <c r="BO5" s="11">
        <f>IF(SUM(AY5:BB5)-BC5&gt;0,SUM(AY5:BB5)-BC5,"")</f>
        <v>44.89</v>
      </c>
      <c r="BP5" s="11">
        <f>IF(BL5="","",SUM(BL5,BO5))</f>
        <v>84.45</v>
      </c>
      <c r="BQ5" s="11">
        <f t="shared" si="5"/>
        <v>8.6999999999999993</v>
      </c>
      <c r="BR5" s="11">
        <f t="shared" si="5"/>
        <v>13.71</v>
      </c>
      <c r="BS5" s="11">
        <f>IF(SUM(BD5:BG5)-BH5&gt;0,SUM(BD5:BG5)-BH5,"")</f>
        <v>43.41</v>
      </c>
      <c r="BT5" s="11">
        <f>IF(SUM(BP5,BS5)&gt;0,SUM(BP5,BS5),"")</f>
        <v>127.86</v>
      </c>
      <c r="BU5" s="47" t="str">
        <f>IF(MAX(CS5,EA5,FI5,GQ5,HY5,JG5,KO5,LW5,NE5,OM5,PU5,RC5,SK5,TS5,VA5)-IF(J5="",0,J5)&gt;0.001,MAX(CS5,EA5,FI5,GQ5,HY5,JG5,KO5,LW5,NE5,OM5,PU5,RC5,SK5,TS5,VA5)-IF(J5="",0,J5),"")</f>
        <v/>
      </c>
      <c r="BV5" s="47" t="str">
        <f>IF(MAX(CV5,CZ5,DC5,ED5,EH5,EK5,FL5,FP5,FS5,GT5,GX5,HA5,IB5,IF5,II5,JJ5,JN5,JQ5,KR5,KV5,KY5,LZ5,MD5,MG5,NH5,NL5,NO5,OP5,OT5,OW5,PX5,QB5,QE5,RF5,RJ5,RM5,SN5,SR5,SU5,TV5,TZ5,UC5,VD5,VH5,VK5)-MIN(L5,N5)&gt;0.001,MAX(CV5,CZ5,DC5,ED5,EH5,EK5,FL5,FP5,FS5,GT5,GX5,HA5,IB5,IF5,II5,JJ5,JN5,JQ5,KR5,KV5,KY5,LZ5,MD5,MG5,NH5,NL5,NO5,OP5,OT5,OW5,PX5,QB5,QE5,RF5,RJ5,RM5,SN5,SR5,SU5,TV5,TZ5,UC5,VD5,VH5,VK5)-MIN(L5,N5),"")</f>
        <v/>
      </c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36" t="str">
        <f t="shared" si="6"/>
        <v/>
      </c>
      <c r="CR5" s="36" t="str">
        <f t="shared" si="6"/>
        <v/>
      </c>
      <c r="CS5" s="36" t="str">
        <f>IF(SUM(BW5:BZ5)-CA5&gt;0,SUM(BW5:BZ5)-CA5,"")</f>
        <v/>
      </c>
      <c r="CT5" s="36" t="str">
        <f t="shared" si="7"/>
        <v/>
      </c>
      <c r="CU5" s="36" t="str">
        <f t="shared" si="7"/>
        <v/>
      </c>
      <c r="CV5" s="36" t="str">
        <f>IF(SUM(CB5:CE5)-CF5&gt;0,SUM(CB5:CE5)-CF5,"")</f>
        <v/>
      </c>
      <c r="CW5" s="36" t="str">
        <f>IF(MAX(CS5,CV5)&gt;0,SUM(CS5,CV5),"")</f>
        <v/>
      </c>
      <c r="CX5" s="36" t="str">
        <f t="shared" si="8"/>
        <v/>
      </c>
      <c r="CY5" s="36" t="str">
        <f t="shared" si="8"/>
        <v/>
      </c>
      <c r="CZ5" s="36" t="str">
        <f>IF(SUM(CG5:CJ5)-CK5&gt;0,SUM(CG5:CJ5)-CK5,"")</f>
        <v/>
      </c>
      <c r="DA5" s="36" t="str">
        <f t="shared" si="9"/>
        <v/>
      </c>
      <c r="DB5" s="36" t="str">
        <f t="shared" si="9"/>
        <v/>
      </c>
      <c r="DC5" s="36" t="str">
        <f>IF(SUM(CL5:CO5)-CP5&gt;0,SUM(CL5:CO5)-CP5,"")</f>
        <v/>
      </c>
      <c r="DD5" s="36" t="str">
        <f>IF(SUM(CW5,CZ5,DC5)&gt;0,SUM(CW5,CZ5,DC5),"")</f>
        <v/>
      </c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1" t="str">
        <f t="shared" si="10"/>
        <v/>
      </c>
      <c r="DZ5" s="11" t="str">
        <f t="shared" si="10"/>
        <v/>
      </c>
      <c r="EA5" s="11" t="str">
        <f>IF(SUM(DE5:DH5)-DI5&gt;0,SUM(DE5:DH5)-DI5,"")</f>
        <v/>
      </c>
      <c r="EB5" s="11" t="str">
        <f t="shared" si="11"/>
        <v/>
      </c>
      <c r="EC5" s="11" t="str">
        <f t="shared" si="11"/>
        <v/>
      </c>
      <c r="ED5" s="11" t="str">
        <f>IF(SUM(DJ5:DM5)-DN5&gt;0,SUM(DJ5:DM5)-DN5,"")</f>
        <v/>
      </c>
      <c r="EE5" s="11" t="str">
        <f>IF(MAX(EA5,ED5)&gt;0,SUM(EA5,ED5),"")</f>
        <v/>
      </c>
      <c r="EF5" s="11" t="str">
        <f t="shared" si="12"/>
        <v/>
      </c>
      <c r="EG5" s="11" t="str">
        <f t="shared" si="12"/>
        <v/>
      </c>
      <c r="EH5" s="11" t="str">
        <f>IF(SUM(DO5:DR5)-DS5&gt;0,SUM(DO5:DR5)-DS5,"")</f>
        <v/>
      </c>
      <c r="EI5" s="11" t="str">
        <f t="shared" si="13"/>
        <v/>
      </c>
      <c r="EJ5" s="11" t="str">
        <f t="shared" si="13"/>
        <v/>
      </c>
      <c r="EK5" s="11" t="str">
        <f>IF(SUM(DT5:DW5)-DX5&gt;0,SUM(DT5:DW5)-DX5,"")</f>
        <v/>
      </c>
      <c r="EL5" s="11" t="str">
        <f>IF(SUM(EE5,EH5,EK5)&gt;0,SUM(EE5,EH5,EK5),"")</f>
        <v/>
      </c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36" t="str">
        <f t="shared" si="14"/>
        <v/>
      </c>
      <c r="FH5" s="36" t="str">
        <f t="shared" si="14"/>
        <v/>
      </c>
      <c r="FI5" s="36" t="str">
        <f>IF(SUM(EM5:EP5)-EQ5&gt;0,SUM(EM5:EP5)-EQ5,"")</f>
        <v/>
      </c>
      <c r="FJ5" s="36" t="str">
        <f t="shared" si="15"/>
        <v/>
      </c>
      <c r="FK5" s="36" t="str">
        <f t="shared" si="15"/>
        <v/>
      </c>
      <c r="FL5" s="36" t="str">
        <f>IF(SUM(ER5:EU5)-EV5&gt;0,SUM(ER5:EU5)-EV5,"")</f>
        <v/>
      </c>
      <c r="FM5" s="36" t="str">
        <f>IF(MAX(FI5,FL5)&gt;0,SUM(FI5,FL5),"")</f>
        <v/>
      </c>
      <c r="FN5" s="36" t="str">
        <f t="shared" si="16"/>
        <v/>
      </c>
      <c r="FO5" s="36" t="str">
        <f t="shared" si="16"/>
        <v/>
      </c>
      <c r="FP5" s="36" t="str">
        <f>IF(SUM(EW5:EZ5)-FA5&gt;0,SUM(EW5:EZ5)-FA5,"")</f>
        <v/>
      </c>
      <c r="FQ5" s="36" t="str">
        <f t="shared" si="17"/>
        <v/>
      </c>
      <c r="FR5" s="36" t="str">
        <f t="shared" si="17"/>
        <v/>
      </c>
      <c r="FS5" s="36" t="str">
        <f>IF(SUM(FB5:FE5)-FF5&gt;0,SUM(FB5:FE5)-FF5,"")</f>
        <v/>
      </c>
      <c r="FT5" s="36" t="str">
        <f>IF(SUM(FM5,FP5,FS5)&gt;0,SUM(FM5,FP5,FS5),"")</f>
        <v/>
      </c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1" t="str">
        <f t="shared" si="18"/>
        <v/>
      </c>
      <c r="GP5" s="11" t="str">
        <f t="shared" si="18"/>
        <v/>
      </c>
      <c r="GQ5" s="11" t="str">
        <f>IF(SUM(FU5:FX5)-FY5&gt;0,SUM(FU5:FX5)-FY5,"")</f>
        <v/>
      </c>
      <c r="GR5" s="11" t="str">
        <f t="shared" si="19"/>
        <v/>
      </c>
      <c r="GS5" s="11" t="str">
        <f t="shared" si="19"/>
        <v/>
      </c>
      <c r="GT5" s="11" t="str">
        <f>IF(SUM(FZ5:GC5)-GD5&gt;0,SUM(FZ5:GC5)-GD5,"")</f>
        <v/>
      </c>
      <c r="GU5" s="11" t="str">
        <f>IF(MAX(GQ5,GT5)&gt;0,SUM(GQ5,GT5),"")</f>
        <v/>
      </c>
      <c r="GV5" s="11" t="str">
        <f t="shared" si="20"/>
        <v/>
      </c>
      <c r="GW5" s="11" t="str">
        <f t="shared" si="20"/>
        <v/>
      </c>
      <c r="GX5" s="11" t="str">
        <f>IF(SUM(GE5:GH5)-GI5&gt;0,SUM(GE5:GH5)-GI5,"")</f>
        <v/>
      </c>
      <c r="GY5" s="11" t="str">
        <f t="shared" si="21"/>
        <v/>
      </c>
      <c r="GZ5" s="11" t="str">
        <f t="shared" si="21"/>
        <v/>
      </c>
      <c r="HA5" s="11" t="str">
        <f>IF(SUM(GJ5:GM5)-GN5&gt;0,SUM(GJ5:GM5)-GN5,"")</f>
        <v/>
      </c>
      <c r="HB5" s="11" t="str">
        <f>IF(SUM(GU5,GX5,HA5)&gt;0,SUM(GU5,GX5,HA5),"")</f>
        <v/>
      </c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36" t="str">
        <f t="shared" si="22"/>
        <v/>
      </c>
      <c r="HX5" s="36" t="str">
        <f t="shared" si="22"/>
        <v/>
      </c>
      <c r="HY5" s="36" t="str">
        <f>IF(SUM(HC5:HF5)-HG5&gt;0,SUM(HC5:HF5)-HG5,"")</f>
        <v/>
      </c>
      <c r="HZ5" s="36" t="str">
        <f t="shared" si="23"/>
        <v/>
      </c>
      <c r="IA5" s="36" t="str">
        <f t="shared" si="23"/>
        <v/>
      </c>
      <c r="IB5" s="36" t="str">
        <f>IF(SUM(HH5:HK5)-HL5&gt;0,SUM(HH5:HK5)-HL5,"")</f>
        <v/>
      </c>
      <c r="IC5" s="36" t="str">
        <f>IF(MAX(HY5,IB5)&gt;0,SUM(HY5,IB5),"")</f>
        <v/>
      </c>
      <c r="ID5" s="36" t="str">
        <f t="shared" si="24"/>
        <v/>
      </c>
      <c r="IE5" s="36" t="str">
        <f t="shared" si="24"/>
        <v/>
      </c>
      <c r="IF5" s="36" t="str">
        <f>IF(SUM(HM5:HP5)-HQ5&gt;0,SUM(HM5:HP5)-HQ5,"")</f>
        <v/>
      </c>
      <c r="IG5" s="36" t="str">
        <f t="shared" si="25"/>
        <v/>
      </c>
      <c r="IH5" s="36" t="str">
        <f t="shared" si="25"/>
        <v/>
      </c>
      <c r="II5" s="36" t="str">
        <f>IF(SUM(HR5:HU5)-HV5&gt;0,SUM(HR5:HU5)-HV5,"")</f>
        <v/>
      </c>
      <c r="IJ5" s="36" t="str">
        <f>IF(SUM(IC5,IF5,II5)&gt;0,SUM(IC5,IF5,II5),"")</f>
        <v/>
      </c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1" t="str">
        <f t="shared" si="26"/>
        <v/>
      </c>
      <c r="JF5" s="11" t="str">
        <f t="shared" si="26"/>
        <v/>
      </c>
      <c r="JG5" s="11" t="str">
        <f>IF(SUM(IK5:IN5)-IO5&gt;0,SUM(IK5:IN5)-IO5,"")</f>
        <v/>
      </c>
      <c r="JH5" s="11" t="str">
        <f t="shared" si="27"/>
        <v/>
      </c>
      <c r="JI5" s="11" t="str">
        <f t="shared" si="27"/>
        <v/>
      </c>
      <c r="JJ5" s="11" t="str">
        <f>IF(SUM(IP5:IS5)-IT5&gt;0,SUM(IP5:IS5)-IT5,"")</f>
        <v/>
      </c>
      <c r="JK5" s="11" t="str">
        <f>IF(MAX(JG5,JJ5)&gt;0,SUM(JG5,JJ5),"")</f>
        <v/>
      </c>
      <c r="JL5" s="11" t="str">
        <f t="shared" si="28"/>
        <v/>
      </c>
      <c r="JM5" s="11" t="str">
        <f t="shared" si="28"/>
        <v/>
      </c>
      <c r="JN5" s="11" t="str">
        <f>IF(SUM(IU5:IX5)-IY5&gt;0,SUM(IU5:IX5)-IY5,"")</f>
        <v/>
      </c>
      <c r="JO5" s="11" t="str">
        <f t="shared" si="29"/>
        <v/>
      </c>
      <c r="JP5" s="11" t="str">
        <f t="shared" si="29"/>
        <v/>
      </c>
      <c r="JQ5" s="11" t="str">
        <f>IF(SUM(IZ5:JC5)-JD5&gt;0,SUM(IZ5:JC5)-JD5,"")</f>
        <v/>
      </c>
      <c r="JR5" s="11" t="str">
        <f>IF(SUM(JK5,JN5,JQ5)&gt;0,SUM(JK5,JN5,JQ5),"")</f>
        <v/>
      </c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36" t="str">
        <f t="shared" si="30"/>
        <v/>
      </c>
      <c r="KN5" s="36" t="str">
        <f t="shared" si="30"/>
        <v/>
      </c>
      <c r="KO5" s="36" t="str">
        <f>IF(SUM(JS5:JV5)-JW5&gt;0,SUM(JS5:JV5)-JW5,"")</f>
        <v/>
      </c>
      <c r="KP5" s="36" t="str">
        <f t="shared" si="31"/>
        <v/>
      </c>
      <c r="KQ5" s="36" t="str">
        <f t="shared" si="31"/>
        <v/>
      </c>
      <c r="KR5" s="36" t="str">
        <f>IF(SUM(JX5:KA5)-KB5&gt;0,SUM(JX5:KA5)-KB5,"")</f>
        <v/>
      </c>
      <c r="KS5" s="36" t="str">
        <f>IF(MAX(KO5,KR5)&gt;0,SUM(KO5,KR5),"")</f>
        <v/>
      </c>
      <c r="KT5" s="36" t="str">
        <f t="shared" si="32"/>
        <v/>
      </c>
      <c r="KU5" s="36" t="str">
        <f t="shared" si="32"/>
        <v/>
      </c>
      <c r="KV5" s="36" t="str">
        <f>IF(SUM(KC5:KF5)-KG5&gt;0,SUM(KC5:KF5)-KG5,"")</f>
        <v/>
      </c>
      <c r="KW5" s="36" t="str">
        <f t="shared" si="33"/>
        <v/>
      </c>
      <c r="KX5" s="36" t="str">
        <f t="shared" si="33"/>
        <v/>
      </c>
      <c r="KY5" s="36" t="str">
        <f>IF(SUM(KH5:KK5)-KL5&gt;0,SUM(KH5:KK5)-KL5,"")</f>
        <v/>
      </c>
      <c r="KZ5" s="36" t="str">
        <f>IF(SUM(KS5,KV5,KY5)&gt;0,SUM(KS5,KV5,KY5),"")</f>
        <v/>
      </c>
      <c r="LA5" s="16"/>
      <c r="LB5" s="16"/>
      <c r="LC5" s="16"/>
      <c r="LD5" s="16"/>
      <c r="LE5" s="16"/>
      <c r="LF5" s="16"/>
      <c r="LG5" s="16"/>
      <c r="LH5" s="16"/>
      <c r="LI5" s="16"/>
      <c r="LJ5" s="16"/>
      <c r="LK5" s="16"/>
      <c r="LL5" s="16"/>
      <c r="LM5" s="16"/>
      <c r="LN5" s="16"/>
      <c r="LO5" s="16"/>
      <c r="LP5" s="16"/>
      <c r="LQ5" s="16"/>
      <c r="LR5" s="16"/>
      <c r="LS5" s="16"/>
      <c r="LT5" s="16"/>
      <c r="LU5" s="11" t="str">
        <f t="shared" si="34"/>
        <v/>
      </c>
      <c r="LV5" s="11" t="str">
        <f t="shared" si="34"/>
        <v/>
      </c>
      <c r="LW5" s="11" t="str">
        <f>IF(SUM(LA5:LD5)-LE5&gt;0,SUM(LA5:LD5)-LE5,"")</f>
        <v/>
      </c>
      <c r="LX5" s="11" t="str">
        <f t="shared" si="35"/>
        <v/>
      </c>
      <c r="LY5" s="11" t="str">
        <f t="shared" si="35"/>
        <v/>
      </c>
      <c r="LZ5" s="11" t="str">
        <f>IF(SUM(LF5:LI5)-LJ5&gt;0,SUM(LF5:LI5)-LJ5,"")</f>
        <v/>
      </c>
      <c r="MA5" s="11" t="str">
        <f>IF(MAX(LW5,LZ5)&gt;0,SUM(LW5,LZ5),"")</f>
        <v/>
      </c>
      <c r="MB5" s="11" t="str">
        <f t="shared" si="36"/>
        <v/>
      </c>
      <c r="MC5" s="11" t="str">
        <f t="shared" si="36"/>
        <v/>
      </c>
      <c r="MD5" s="11" t="str">
        <f>IF(SUM(LK5:LN5)-LO5&gt;0,SUM(LK5:LN5)-LO5,"")</f>
        <v/>
      </c>
      <c r="ME5" s="11" t="str">
        <f t="shared" si="37"/>
        <v/>
      </c>
      <c r="MF5" s="11" t="str">
        <f t="shared" si="37"/>
        <v/>
      </c>
      <c r="MG5" s="11" t="str">
        <f>IF(SUM(LP5:LS5)-LT5&gt;0,SUM(LP5:LS5)-LT5,"")</f>
        <v/>
      </c>
      <c r="MH5" s="11" t="str">
        <f>IF(SUM(MA5,MD5,MG5)&gt;0,SUM(MA5,MD5,MG5),"")</f>
        <v/>
      </c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36" t="str">
        <f t="shared" si="38"/>
        <v/>
      </c>
      <c r="ND5" s="36" t="str">
        <f t="shared" si="38"/>
        <v/>
      </c>
      <c r="NE5" s="36" t="str">
        <f>IF(SUM(MI5:ML5)-MM5&gt;0,SUM(MI5:ML5)-MM5,"")</f>
        <v/>
      </c>
      <c r="NF5" s="36" t="str">
        <f t="shared" si="39"/>
        <v/>
      </c>
      <c r="NG5" s="36" t="str">
        <f t="shared" si="39"/>
        <v/>
      </c>
      <c r="NH5" s="36" t="str">
        <f>IF(SUM(MN5:MQ5)-MR5&gt;0,SUM(MN5:MQ5)-MR5,"")</f>
        <v/>
      </c>
      <c r="NI5" s="36" t="str">
        <f>IF(MAX(NE5,NH5)&gt;0,SUM(NE5,NH5),"")</f>
        <v/>
      </c>
      <c r="NJ5" s="36" t="str">
        <f t="shared" si="40"/>
        <v/>
      </c>
      <c r="NK5" s="36" t="str">
        <f t="shared" si="40"/>
        <v/>
      </c>
      <c r="NL5" s="36" t="str">
        <f>IF(SUM(MS5:MV5)-MW5&gt;0,SUM(MS5:MV5)-MW5,"")</f>
        <v/>
      </c>
      <c r="NM5" s="36" t="str">
        <f t="shared" si="41"/>
        <v/>
      </c>
      <c r="NN5" s="36" t="str">
        <f t="shared" si="41"/>
        <v/>
      </c>
      <c r="NO5" s="36" t="str">
        <f>IF(SUM(MX5:NA5)-NB5&gt;0,SUM(MX5:NA5)-NB5,"")</f>
        <v/>
      </c>
      <c r="NP5" s="36" t="str">
        <f>IF(SUM(NI5,NL5,NO5)&gt;0,SUM(NI5,NL5,NO5),"")</f>
        <v/>
      </c>
      <c r="NQ5" s="16"/>
      <c r="NR5" s="16"/>
      <c r="NS5" s="16"/>
      <c r="NT5" s="16"/>
      <c r="NU5" s="16"/>
      <c r="NV5" s="16"/>
      <c r="NW5" s="16"/>
      <c r="NX5" s="16"/>
      <c r="NY5" s="16"/>
      <c r="NZ5" s="16"/>
      <c r="OA5" s="16"/>
      <c r="OB5" s="16"/>
      <c r="OC5" s="16"/>
      <c r="OD5" s="16"/>
      <c r="OE5" s="16"/>
      <c r="OF5" s="16"/>
      <c r="OG5" s="16"/>
      <c r="OH5" s="16"/>
      <c r="OI5" s="16"/>
      <c r="OJ5" s="16"/>
      <c r="OK5" s="11" t="str">
        <f t="shared" si="42"/>
        <v/>
      </c>
      <c r="OL5" s="11" t="str">
        <f t="shared" si="42"/>
        <v/>
      </c>
      <c r="OM5" s="11" t="str">
        <f>IF(SUM(NQ5:NT5)-NU5&gt;0,SUM(NQ5:NT5)-NU5,"")</f>
        <v/>
      </c>
      <c r="ON5" s="11" t="str">
        <f t="shared" si="43"/>
        <v/>
      </c>
      <c r="OO5" s="11" t="str">
        <f t="shared" si="43"/>
        <v/>
      </c>
      <c r="OP5" s="11" t="str">
        <f>IF(SUM(NV5:NY5)-NZ5&gt;0,SUM(NV5:NY5)-NZ5,"")</f>
        <v/>
      </c>
      <c r="OQ5" s="11" t="str">
        <f>IF(MAX(OM5,OP5)&gt;0,SUM(OM5,OP5),"")</f>
        <v/>
      </c>
      <c r="OR5" s="11" t="str">
        <f t="shared" si="44"/>
        <v/>
      </c>
      <c r="OS5" s="11" t="str">
        <f t="shared" si="44"/>
        <v/>
      </c>
      <c r="OT5" s="11" t="str">
        <f>IF(SUM(OA5:OD5)-OE5&gt;0,SUM(OA5:OD5)-OE5,"")</f>
        <v/>
      </c>
      <c r="OU5" s="11" t="str">
        <f t="shared" si="45"/>
        <v/>
      </c>
      <c r="OV5" s="11" t="str">
        <f t="shared" si="45"/>
        <v/>
      </c>
      <c r="OW5" s="11" t="str">
        <f>IF(SUM(OF5:OI5)-OJ5&gt;0,SUM(OF5:OI5)-OJ5,"")</f>
        <v/>
      </c>
      <c r="OX5" s="11" t="str">
        <f>IF(SUM(OQ5,OT5,OW5)&gt;0,SUM(OQ5,OT5,OW5),"")</f>
        <v/>
      </c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36" t="str">
        <f t="shared" si="46"/>
        <v/>
      </c>
      <c r="PT5" s="36" t="str">
        <f t="shared" si="46"/>
        <v/>
      </c>
      <c r="PU5" s="36" t="str">
        <f>IF(SUM(OY5:PB5)-PC5&gt;0,SUM(OY5:PB5)-PC5,"")</f>
        <v/>
      </c>
      <c r="PV5" s="36" t="str">
        <f t="shared" si="47"/>
        <v/>
      </c>
      <c r="PW5" s="36" t="str">
        <f t="shared" si="47"/>
        <v/>
      </c>
      <c r="PX5" s="36" t="str">
        <f>IF(SUM(PD5:PG5)-PH5&gt;0,SUM(PD5:PG5)-PH5,"")</f>
        <v/>
      </c>
      <c r="PY5" s="36" t="str">
        <f>IF(MAX(PU5,PX5)&gt;0,SUM(PU5,PX5),"")</f>
        <v/>
      </c>
      <c r="PZ5" s="36" t="str">
        <f t="shared" si="48"/>
        <v/>
      </c>
      <c r="QA5" s="36" t="str">
        <f t="shared" si="48"/>
        <v/>
      </c>
      <c r="QB5" s="36" t="str">
        <f>IF(SUM(PI5:PL5)-PM5&gt;0,SUM(PI5:PL5)-PM5,"")</f>
        <v/>
      </c>
      <c r="QC5" s="36" t="str">
        <f t="shared" si="49"/>
        <v/>
      </c>
      <c r="QD5" s="36" t="str">
        <f t="shared" si="49"/>
        <v/>
      </c>
      <c r="QE5" s="36" t="str">
        <f>IF(SUM(PN5:PQ5)-PR5&gt;0,SUM(PN5:PQ5)-PR5,"")</f>
        <v/>
      </c>
      <c r="QF5" s="36" t="str">
        <f>IF(SUM(PY5,QB5,QE5)&gt;0,SUM(PY5,QB5,QE5),"")</f>
        <v/>
      </c>
      <c r="QG5" s="16"/>
      <c r="QH5" s="16"/>
      <c r="QI5" s="16"/>
      <c r="QJ5" s="16"/>
      <c r="QK5" s="16"/>
      <c r="QL5" s="16"/>
      <c r="QM5" s="16"/>
      <c r="QN5" s="16"/>
      <c r="QO5" s="16"/>
      <c r="QP5" s="16"/>
      <c r="QQ5" s="16"/>
      <c r="QR5" s="16"/>
      <c r="QS5" s="16"/>
      <c r="QT5" s="16"/>
      <c r="QU5" s="16"/>
      <c r="QV5" s="16"/>
      <c r="QW5" s="16"/>
      <c r="QX5" s="16"/>
      <c r="QY5" s="16"/>
      <c r="QZ5" s="16"/>
      <c r="RA5" s="11" t="str">
        <f t="shared" si="50"/>
        <v/>
      </c>
      <c r="RB5" s="11" t="str">
        <f t="shared" si="50"/>
        <v/>
      </c>
      <c r="RC5" s="11" t="str">
        <f>IF(SUM(QG5:QJ5)-QK5&gt;0,SUM(QG5:QJ5)-QK5,"")</f>
        <v/>
      </c>
      <c r="RD5" s="11" t="str">
        <f t="shared" si="51"/>
        <v/>
      </c>
      <c r="RE5" s="11" t="str">
        <f t="shared" si="51"/>
        <v/>
      </c>
      <c r="RF5" s="11" t="str">
        <f>IF(SUM(QL5:QO5)-QP5&gt;0,SUM(QL5:QO5)-QP5,"")</f>
        <v/>
      </c>
      <c r="RG5" s="11" t="str">
        <f>IF(MAX(RC5,RF5)&gt;0,SUM(RC5,RF5),"")</f>
        <v/>
      </c>
      <c r="RH5" s="11" t="str">
        <f t="shared" si="52"/>
        <v/>
      </c>
      <c r="RI5" s="11" t="str">
        <f t="shared" si="52"/>
        <v/>
      </c>
      <c r="RJ5" s="11" t="str">
        <f>IF(SUM(QQ5:QT5)-QU5&gt;0,SUM(QQ5:QT5)-QU5,"")</f>
        <v/>
      </c>
      <c r="RK5" s="11" t="str">
        <f t="shared" si="53"/>
        <v/>
      </c>
      <c r="RL5" s="11" t="str">
        <f t="shared" si="53"/>
        <v/>
      </c>
      <c r="RM5" s="11" t="str">
        <f>IF(SUM(QV5:QY5)-QZ5&gt;0,SUM(QV5:QY5)-QZ5,"")</f>
        <v/>
      </c>
      <c r="RN5" s="11" t="str">
        <f>IF(SUM(RG5,RJ5,RM5)&gt;0,SUM(RG5,RJ5,RM5),"")</f>
        <v/>
      </c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36" t="str">
        <f t="shared" si="54"/>
        <v/>
      </c>
      <c r="SJ5" s="36" t="str">
        <f t="shared" si="54"/>
        <v/>
      </c>
      <c r="SK5" s="36" t="str">
        <f>IF(SUM(RO5:RR5)-RS5&gt;0,SUM(RO5:RR5)-RS5,"")</f>
        <v/>
      </c>
      <c r="SL5" s="36" t="str">
        <f t="shared" si="55"/>
        <v/>
      </c>
      <c r="SM5" s="36" t="str">
        <f t="shared" si="55"/>
        <v/>
      </c>
      <c r="SN5" s="36" t="str">
        <f>IF(SUM(RT5:RW5)-RX5&gt;0,SUM(RT5:RW5)-RX5,"")</f>
        <v/>
      </c>
      <c r="SO5" s="36" t="str">
        <f>IF(MAX(SK5,SN5)&gt;0,SUM(SK5,SN5),"")</f>
        <v/>
      </c>
      <c r="SP5" s="36" t="str">
        <f t="shared" si="56"/>
        <v/>
      </c>
      <c r="SQ5" s="36" t="str">
        <f t="shared" si="56"/>
        <v/>
      </c>
      <c r="SR5" s="36" t="str">
        <f>IF(SUM(RY5:SB5)-SC5&gt;0,SUM(RY5:SB5)-SC5,"")</f>
        <v/>
      </c>
      <c r="SS5" s="36" t="str">
        <f t="shared" si="57"/>
        <v/>
      </c>
      <c r="ST5" s="36" t="str">
        <f t="shared" si="57"/>
        <v/>
      </c>
      <c r="SU5" s="36" t="str">
        <f>IF(SUM(SD5:SG5)-SH5&gt;0,SUM(SD5:SG5)-SH5,"")</f>
        <v/>
      </c>
      <c r="SV5" s="36" t="str">
        <f>IF(SUM(SO5,SR5,SU5)&gt;0,SUM(SO5,SR5,SU5),"")</f>
        <v/>
      </c>
      <c r="SW5" s="16"/>
      <c r="SX5" s="16"/>
      <c r="SY5" s="16"/>
      <c r="SZ5" s="16"/>
      <c r="TA5" s="16"/>
      <c r="TB5" s="16"/>
      <c r="TC5" s="16"/>
      <c r="TD5" s="16"/>
      <c r="TE5" s="16"/>
      <c r="TF5" s="16"/>
      <c r="TG5" s="16"/>
      <c r="TH5" s="16"/>
      <c r="TI5" s="16"/>
      <c r="TJ5" s="16"/>
      <c r="TK5" s="16"/>
      <c r="TL5" s="16"/>
      <c r="TM5" s="16"/>
      <c r="TN5" s="16"/>
      <c r="TO5" s="16"/>
      <c r="TP5" s="16"/>
      <c r="TQ5" s="11" t="str">
        <f t="shared" si="58"/>
        <v/>
      </c>
      <c r="TR5" s="11" t="str">
        <f t="shared" si="58"/>
        <v/>
      </c>
      <c r="TS5" s="11" t="str">
        <f>IF(SUM(SW5:SZ5)-TA5&gt;0,SUM(SW5:SZ5)-TA5,"")</f>
        <v/>
      </c>
      <c r="TT5" s="11" t="str">
        <f t="shared" si="59"/>
        <v/>
      </c>
      <c r="TU5" s="11" t="str">
        <f t="shared" si="59"/>
        <v/>
      </c>
      <c r="TV5" s="11" t="str">
        <f>IF(SUM(TB5:TE5)-TF5&gt;0,SUM(TB5:TE5)-TF5,"")</f>
        <v/>
      </c>
      <c r="TW5" s="11" t="str">
        <f>IF(MAX(TS5,TV5)&gt;0,SUM(TS5,TV5),"")</f>
        <v/>
      </c>
      <c r="TX5" s="11" t="str">
        <f t="shared" si="60"/>
        <v/>
      </c>
      <c r="TY5" s="11" t="str">
        <f t="shared" si="60"/>
        <v/>
      </c>
      <c r="TZ5" s="11" t="str">
        <f>IF(SUM(TG5:TJ5)-TK5&gt;0,SUM(TG5:TJ5)-TK5,"")</f>
        <v/>
      </c>
      <c r="UA5" s="11" t="str">
        <f t="shared" si="61"/>
        <v/>
      </c>
      <c r="UB5" s="11" t="str">
        <f t="shared" si="61"/>
        <v/>
      </c>
      <c r="UC5" s="11" t="str">
        <f>IF(SUM(TL5:TO5)-TP5&gt;0,SUM(TL5:TO5)-TP5,"")</f>
        <v/>
      </c>
      <c r="UD5" s="11" t="str">
        <f>IF(SUM(TW5,TZ5,UC5)&gt;0,SUM(TW5,TZ5,UC5),"")</f>
        <v/>
      </c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36" t="str">
        <f t="shared" si="62"/>
        <v/>
      </c>
      <c r="UZ5" s="36" t="str">
        <f t="shared" si="62"/>
        <v/>
      </c>
      <c r="VA5" s="36" t="str">
        <f>IF(SUM(UE5:UH5)-UI5&gt;0,SUM(UE5:UH5)-UI5,"")</f>
        <v/>
      </c>
      <c r="VB5" s="36" t="str">
        <f t="shared" si="63"/>
        <v/>
      </c>
      <c r="VC5" s="36" t="str">
        <f t="shared" si="63"/>
        <v/>
      </c>
      <c r="VD5" s="36" t="str">
        <f>IF(SUM(UJ5:UM5)-UN5&gt;0,SUM(UJ5:UM5)-UN5,"")</f>
        <v/>
      </c>
      <c r="VE5" s="36" t="str">
        <f>IF(MAX(VA5,VD5)&gt;0,SUM(VA5,VD5),"")</f>
        <v/>
      </c>
      <c r="VF5" s="36" t="str">
        <f t="shared" si="64"/>
        <v/>
      </c>
      <c r="VG5" s="36" t="str">
        <f t="shared" si="64"/>
        <v/>
      </c>
      <c r="VH5" s="36" t="str">
        <f>IF(SUM(UO5:UR5)-US5&gt;0,SUM(UO5:UR5)-US5,"")</f>
        <v/>
      </c>
      <c r="VI5" s="36" t="str">
        <f t="shared" si="65"/>
        <v/>
      </c>
      <c r="VJ5" s="36" t="str">
        <f t="shared" si="65"/>
        <v/>
      </c>
      <c r="VK5" s="36" t="str">
        <f>IF(SUM(UT5:UW5)-UX5&gt;0,SUM(UT5:UW5)-UX5,"")</f>
        <v/>
      </c>
      <c r="VL5" s="36" t="str">
        <f>IF(SUM(VE5,VH5,VK5)&gt;0,SUM(VE5,VH5,VK5),"")</f>
        <v/>
      </c>
    </row>
    <row r="6" spans="1:584" x14ac:dyDescent="0.2">
      <c r="A6" s="4" t="str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/>
      </c>
      <c r="B6" s="5" t="s">
        <v>225</v>
      </c>
      <c r="C6" s="4" t="s">
        <v>7</v>
      </c>
      <c r="D6" s="4">
        <v>2011</v>
      </c>
      <c r="E6" s="9">
        <f>J6+L6+N6+P6+(J6+L6+N6)*0.0000001+MAX(J6,L6)*0.0000000000001</f>
        <v>41.28000412800413</v>
      </c>
      <c r="F6" s="3" t="str">
        <f>IF(OR(AND(AO6&gt;=AS$13,AL6&gt;=AS$9,AO6&lt;&gt;"",AH6=""),AND(BP6&gt;=BT$13,BM6&gt;=BT$9,BP6&lt;&gt;"",BI6=""),AND(CW6&gt;=DD$13,CT6&gt;=DD$9,CW6&lt;&gt;""),AND(EE6&gt;=EL$13,EB6&gt;=EL$9,EE6&lt;&gt;""),AND(FM6&gt;=FT$13,FJ6&gt;=FT$9,FM6&lt;&gt;""),AND(GU6&gt;=HB$13,GR6&gt;=HB$9,GU6&lt;&gt;""),AND(IC6&gt;=IJ$13,HZ6&gt;=IJ$9,IC6&lt;&gt;""),AND(JK6&gt;=JR$13,JH6&gt;=JR$9,JK6&lt;&gt;""),AND(KS6&gt;=KZ$13,KP6&gt;=KZ$9,KS6&lt;&gt;""),AND(MA6&gt;=MH$13,LX6&gt;=MH$9,MA6&lt;&gt;""),AND(NI6&gt;=NP$13,NF6&gt;=NP$9,NI6&lt;&gt;""),AND(OQ6&gt;=OX$13,ON6&gt;=OX$9,OQ6&lt;&gt;""),AND(PY6&gt;=QF$13,PV6&gt;=QF$9,PY6&lt;&gt;""),AND(RG6&gt;=RN$13,RD6&gt;=RN$9,RG6&lt;&gt;""),AND(SO6&gt;=SV$13,SL6&gt;=SV$9,SO6&lt;&gt;""),AND(TW6&gt;=UD$13,TT6&gt;=UD$9,TW6&lt;&gt;""),AND(VE6&gt;=VL$13,VB6&gt;=VL$9,VE6&lt;&gt;"")),"P","")</f>
        <v/>
      </c>
      <c r="G6" s="3" t="str">
        <f>IF(OR(AND(AO6&gt;=AS$13,AO6&lt;&gt;"",AH6=""),AND(BP6&gt;=BT$13,BP6&lt;&gt;"",BI6=""),AND(CW6&gt;=DD$13,CW6&lt;&gt;""),AND(EE6&gt;=EL$13,EE6&lt;&gt;""),AND(FM6&gt;=FT$13,FM6&lt;&gt;""),AND(GU6&gt;=HB$13,GU6&lt;&gt;""),AND(IC6&gt;=IJ$13,IC6&lt;&gt;""),AND(JK6&gt;=JR$13,JK6&lt;&gt;""),AND(KS6&gt;=KZ$13,KS6&lt;&gt;""),AND(MA6&gt;=MH$13,MA6&lt;&gt;""),AND(NI6&gt;=NP$13,NI6&lt;&gt;""),AND(OQ6&gt;=OX$13,OQ6&lt;&gt;""),AND(PY6&gt;=QF$13,PY6&lt;&gt;""),AND(RG6&gt;=RN$13,RG6&lt;&gt;""),AND(SO6&gt;=SV$13,SO6&lt;&gt;""),AND(TW6&gt;=UD$13,TW6&lt;&gt;""),AND(VE6&gt;=VL$13,VE6&lt;&gt;"")),"P","")</f>
        <v/>
      </c>
      <c r="H6" s="32" t="str">
        <f>IF(AND(G6="P",F6=""),"No DD",IF(F6="P","National Team",""))</f>
        <v/>
      </c>
      <c r="I6" s="3"/>
      <c r="J6" s="8">
        <f>IF(MAX(AK6,BL6)&gt;0,MAX(AK6,BL6),0)</f>
        <v>41.28</v>
      </c>
      <c r="K6" s="8" t="str">
        <f>IF(J6="","",IF(J6=BL6,$AT$1,IF(J6=AK6,$S$1,"")))</f>
        <v>2026 Elite Canada</v>
      </c>
      <c r="L6" s="8">
        <f>IF(MAX(AN6,BO6)&gt;0,MAX(AN6,BO6),0)</f>
        <v>0</v>
      </c>
      <c r="M6" s="8" t="str">
        <f>IF(L6="","",IF(L6=BO6,$AT$1,IF(L6=AN6,$S$1,"")))</f>
        <v/>
      </c>
      <c r="N6" s="8">
        <f>IF(L6=AN6,MAX(AR6,BO6,BS6),MAX(AN6,AR6,BS6))</f>
        <v>0</v>
      </c>
      <c r="O6" s="8" t="str">
        <f>IF(L6="","",IF(OR(L6=BO6,L6=BS6),$AT$1,IF(OR(L6=AN6,L6=AR6),$S$1,"")))</f>
        <v/>
      </c>
      <c r="P6" s="8">
        <f>IF(MAX(BU6,BV6)&gt;0,MAX(BU6,BV6),0)</f>
        <v>0</v>
      </c>
      <c r="Q6" s="11" t="str">
        <f>IF(P6=0,"",IF(P6=BU6,"("&amp;BU$2&amp;")",IF(P6=BV6,"("&amp;BV$2&amp;")")))</f>
        <v/>
      </c>
      <c r="R6" s="8" t="str">
        <f>IF(P6=0,"",IF(P6=BU6,IF(P6+MIN(L6,N6)=MAX(VA6,0),$UE$1,IF(P6+MIN(L6,N6)=MAX(TS6,0),$SW$1,IF(P6+MIN(L6,N6)=MAX(SK6,0),$RO$1,IF(P6+MIN(L6,N6)=MAX(RC6,0),$QG$1,IF(P6+MIN(L6,N6)=MAX(PU6,0),$OY$1,IF(P6+MIN(L6,N6)=MAX(OM6,0),$NQ$1,IF(P6+MIN(L6,N6)=MAX(NE6,0),$MI$1,IF(P6+MIN(L6,N6)=MAX(LW6,0),$LA$1,IF(P6+MIN(L6,N6)=MAX(KO6,0),$JS$1,IF(P6+MIN(L6,N6)=MAX(JG6,0),$IK$1,IF(P6+MIN(L6,N6)=MAX(HY6,0),$HC$1,IF(P6+MIN(L6,N6)=MAX(GQ6,0),$FU$1,IF(P6+MIN(L6,N6)=MAX(FI6,0),$EM$1,IF(P6+MIN(L6,N6)=MAX(EA6,0),$DE$1,IF(P6+MIN(L6,N6)=MAX(CS6,0),$BW$1))))))))))))))),IF(P6+MIN(L6,N6)=MAX(VD6,VH6,VK6),$UE$1,IF(P6+MIN(L6,N6)=MAX(TV6,TZ6,UC6),$SW$1,IF(P6+MIN(L6,N6)=MAX(SN6,SR6,SU6),$RO$1,IF(P6+MIN(L6,N6)=MAX(RF6,RJ6,RM6),$QG$1,IF(P6+MIN(L6,N6)=MAX(PX6,QB6,QE6),$OY$1,IF(P6+MIN(L6,N6)=MAX(OP6,OT6,OW6),$NQ$1,IF(P6+MIN(L6,N6)=MAX(NH6,NL6,NO6),$MI$1,IF(P6+MIN(L6,N6)=MAX(LZ6,MD6,MG6),$LA$1,IF(P6+MIN(L6,N6)=MAX(KR6,KV6,KY6),$JS$1,IF(P6+MIN(L6,N6)=MAX(JJ6,JN6,JQ6),$IK$1,IF(P6+MIN(L6,N6)=MAX(IB6,IF6,II6),$HC$1,IF(P6+MIN(L6,N6)=MAX(GT6,GX6,HA6),$FU$1,IF(P6+MIN(L6,N6)=MAX(FL6,FP6,FS6),$EM$1,IF(P6+MIN(L6,N6)=MAX(ED6,EH6,EK6),$DE$1,IF(P6+MIN(L6,N6)=MAX(CV6,CZ6,DC6),$BW$1)))))))))))))))))</f>
        <v/>
      </c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23"/>
      <c r="AI6" s="34" t="str">
        <f t="shared" si="0"/>
        <v/>
      </c>
      <c r="AJ6" s="34" t="str">
        <f t="shared" si="0"/>
        <v/>
      </c>
      <c r="AK6" s="36" t="str">
        <f>IF(SUM(S6:V6)-W6&gt;0,SUM(S6:V6)-W6,"")</f>
        <v/>
      </c>
      <c r="AL6" s="36" t="str">
        <f t="shared" si="1"/>
        <v/>
      </c>
      <c r="AM6" s="36" t="str">
        <f t="shared" si="1"/>
        <v/>
      </c>
      <c r="AN6" s="36" t="str">
        <f>IF(SUM(X6:AA6)-AB6&gt;0,SUM(X6:AA6)-AB6,"")</f>
        <v/>
      </c>
      <c r="AO6" s="36" t="str">
        <f>IF(AK6="","",SUM(AK6,AN6))</f>
        <v/>
      </c>
      <c r="AP6" s="36" t="str">
        <f t="shared" si="2"/>
        <v/>
      </c>
      <c r="AQ6" s="36" t="str">
        <f t="shared" si="2"/>
        <v/>
      </c>
      <c r="AR6" s="36" t="str">
        <f>IF(SUM(AC6:AF6)-AG6&gt;0,SUM(AC6:AF6)-AG6,"")</f>
        <v/>
      </c>
      <c r="AS6" s="36" t="str">
        <f>IF(SUM(AO6,AR6)&gt;0,SUM(AO6,AR6),"")</f>
        <v/>
      </c>
      <c r="AT6" s="22">
        <v>17.7</v>
      </c>
      <c r="AU6" s="22">
        <v>9.1999999999999993</v>
      </c>
      <c r="AV6" s="22">
        <v>0</v>
      </c>
      <c r="AW6" s="22">
        <v>14.38</v>
      </c>
      <c r="AX6" s="22">
        <v>0</v>
      </c>
      <c r="AY6" s="22">
        <v>0</v>
      </c>
      <c r="AZ6" s="22">
        <v>0</v>
      </c>
      <c r="BA6" s="22">
        <v>0</v>
      </c>
      <c r="BB6" s="22">
        <v>0</v>
      </c>
      <c r="BC6" s="22">
        <v>0</v>
      </c>
      <c r="BD6" s="22"/>
      <c r="BE6" s="22"/>
      <c r="BF6" s="22"/>
      <c r="BG6" s="22"/>
      <c r="BH6" s="22"/>
      <c r="BI6" s="24"/>
      <c r="BJ6" s="35" t="str">
        <f t="shared" si="3"/>
        <v/>
      </c>
      <c r="BK6" s="35">
        <f t="shared" si="3"/>
        <v>14.38</v>
      </c>
      <c r="BL6" s="11">
        <f>IF(SUM(AT6:AW6)-AX6&gt;0,SUM(AT6:AW6)-AX6,"")</f>
        <v>41.28</v>
      </c>
      <c r="BM6" s="11" t="str">
        <f t="shared" si="4"/>
        <v/>
      </c>
      <c r="BN6" s="11" t="str">
        <f t="shared" si="4"/>
        <v/>
      </c>
      <c r="BO6" s="11" t="str">
        <f>IF(SUM(AY6:BB6)-BC6&gt;0,SUM(AY6:BB6)-BC6,"")</f>
        <v/>
      </c>
      <c r="BP6" s="11">
        <f>IF(BL6="","",SUM(BL6,BO6))</f>
        <v>41.28</v>
      </c>
      <c r="BQ6" s="11" t="str">
        <f t="shared" si="5"/>
        <v/>
      </c>
      <c r="BR6" s="11" t="str">
        <f t="shared" si="5"/>
        <v/>
      </c>
      <c r="BS6" s="11" t="str">
        <f>IF(SUM(BD6:BG6)-BH6&gt;0,SUM(BD6:BG6)-BH6,"")</f>
        <v/>
      </c>
      <c r="BT6" s="11">
        <f>IF(SUM(BP6,BS6)&gt;0,SUM(BP6,BS6),"")</f>
        <v>41.28</v>
      </c>
      <c r="BU6" s="47" t="str">
        <f>IF(MAX(CS6,EA6,FI6,GQ6,HY6,JG6,KO6,LW6,NE6,OM6,PU6,RC6,SK6,TS6,VA6)-IF(J6="",0,J6)&gt;0.001,MAX(CS6,EA6,FI6,GQ6,HY6,JG6,KO6,LW6,NE6,OM6,PU6,RC6,SK6,TS6,VA6)-IF(J6="",0,J6),"")</f>
        <v/>
      </c>
      <c r="BV6" s="47" t="str">
        <f>IF(MAX(CV6,CZ6,DC6,ED6,EH6,EK6,FL6,FP6,FS6,GT6,GX6,HA6,IB6,IF6,II6,JJ6,JN6,JQ6,KR6,KV6,KY6,LZ6,MD6,MG6,NH6,NL6,NO6,OP6,OT6,OW6,PX6,QB6,QE6,RF6,RJ6,RM6,SN6,SR6,SU6,TV6,TZ6,UC6,VD6,VH6,VK6)-MIN(L6,N6)&gt;0.001,MAX(CV6,CZ6,DC6,ED6,EH6,EK6,FL6,FP6,FS6,GT6,GX6,HA6,IB6,IF6,II6,JJ6,JN6,JQ6,KR6,KV6,KY6,LZ6,MD6,MG6,NH6,NL6,NO6,OP6,OT6,OW6,PX6,QB6,QE6,RF6,RJ6,RM6,SN6,SR6,SU6,TV6,TZ6,UC6,VD6,VH6,VK6)-MIN(L6,N6),"")</f>
        <v/>
      </c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36" t="str">
        <f t="shared" si="6"/>
        <v/>
      </c>
      <c r="CR6" s="36" t="str">
        <f t="shared" si="6"/>
        <v/>
      </c>
      <c r="CS6" s="36" t="str">
        <f>IF(SUM(BW6:BZ6)-CA6&gt;0,SUM(BW6:BZ6)-CA6,"")</f>
        <v/>
      </c>
      <c r="CT6" s="36" t="str">
        <f t="shared" si="7"/>
        <v/>
      </c>
      <c r="CU6" s="36" t="str">
        <f t="shared" si="7"/>
        <v/>
      </c>
      <c r="CV6" s="36" t="str">
        <f>IF(SUM(CB6:CE6)-CF6&gt;0,SUM(CB6:CE6)-CF6,"")</f>
        <v/>
      </c>
      <c r="CW6" s="36" t="str">
        <f>IF(MAX(CS6,CV6)&gt;0,SUM(CS6,CV6),"")</f>
        <v/>
      </c>
      <c r="CX6" s="36" t="str">
        <f t="shared" si="8"/>
        <v/>
      </c>
      <c r="CY6" s="36" t="str">
        <f t="shared" si="8"/>
        <v/>
      </c>
      <c r="CZ6" s="36" t="str">
        <f>IF(SUM(CG6:CJ6)-CK6&gt;0,SUM(CG6:CJ6)-CK6,"")</f>
        <v/>
      </c>
      <c r="DA6" s="36" t="str">
        <f t="shared" si="9"/>
        <v/>
      </c>
      <c r="DB6" s="36" t="str">
        <f t="shared" si="9"/>
        <v/>
      </c>
      <c r="DC6" s="36" t="str">
        <f>IF(SUM(CL6:CO6)-CP6&gt;0,SUM(CL6:CO6)-CP6,"")</f>
        <v/>
      </c>
      <c r="DD6" s="36" t="str">
        <f>IF(SUM(CW6,CZ6,DC6)&gt;0,SUM(CW6,CZ6,DC6),"")</f>
        <v/>
      </c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1" t="str">
        <f t="shared" si="10"/>
        <v/>
      </c>
      <c r="DZ6" s="11" t="str">
        <f t="shared" si="10"/>
        <v/>
      </c>
      <c r="EA6" s="11" t="str">
        <f>IF(SUM(DE6:DH6)-DI6&gt;0,SUM(DE6:DH6)-DI6,"")</f>
        <v/>
      </c>
      <c r="EB6" s="11" t="str">
        <f t="shared" si="11"/>
        <v/>
      </c>
      <c r="EC6" s="11" t="str">
        <f t="shared" si="11"/>
        <v/>
      </c>
      <c r="ED6" s="11" t="str">
        <f>IF(SUM(DJ6:DM6)-DN6&gt;0,SUM(DJ6:DM6)-DN6,"")</f>
        <v/>
      </c>
      <c r="EE6" s="11" t="str">
        <f>IF(MAX(EA6,ED6)&gt;0,SUM(EA6,ED6),"")</f>
        <v/>
      </c>
      <c r="EF6" s="11" t="str">
        <f t="shared" si="12"/>
        <v/>
      </c>
      <c r="EG6" s="11" t="str">
        <f t="shared" si="12"/>
        <v/>
      </c>
      <c r="EH6" s="11" t="str">
        <f>IF(SUM(DO6:DR6)-DS6&gt;0,SUM(DO6:DR6)-DS6,"")</f>
        <v/>
      </c>
      <c r="EI6" s="11" t="str">
        <f t="shared" si="13"/>
        <v/>
      </c>
      <c r="EJ6" s="11" t="str">
        <f t="shared" si="13"/>
        <v/>
      </c>
      <c r="EK6" s="11" t="str">
        <f>IF(SUM(DT6:DW6)-DX6&gt;0,SUM(DT6:DW6)-DX6,"")</f>
        <v/>
      </c>
      <c r="EL6" s="11" t="str">
        <f>IF(SUM(EE6,EH6,EK6)&gt;0,SUM(EE6,EH6,EK6),"")</f>
        <v/>
      </c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36" t="str">
        <f t="shared" si="14"/>
        <v/>
      </c>
      <c r="FH6" s="36" t="str">
        <f t="shared" si="14"/>
        <v/>
      </c>
      <c r="FI6" s="36" t="str">
        <f>IF(SUM(EM6:EP6)-EQ6&gt;0,SUM(EM6:EP6)-EQ6,"")</f>
        <v/>
      </c>
      <c r="FJ6" s="36" t="str">
        <f t="shared" si="15"/>
        <v/>
      </c>
      <c r="FK6" s="36" t="str">
        <f t="shared" si="15"/>
        <v/>
      </c>
      <c r="FL6" s="36" t="str">
        <f>IF(SUM(ER6:EU6)-EV6&gt;0,SUM(ER6:EU6)-EV6,"")</f>
        <v/>
      </c>
      <c r="FM6" s="36" t="str">
        <f>IF(MAX(FI6,FL6)&gt;0,SUM(FI6,FL6),"")</f>
        <v/>
      </c>
      <c r="FN6" s="36" t="str">
        <f t="shared" si="16"/>
        <v/>
      </c>
      <c r="FO6" s="36" t="str">
        <f t="shared" si="16"/>
        <v/>
      </c>
      <c r="FP6" s="36" t="str">
        <f>IF(SUM(EW6:EZ6)-FA6&gt;0,SUM(EW6:EZ6)-FA6,"")</f>
        <v/>
      </c>
      <c r="FQ6" s="36" t="str">
        <f t="shared" si="17"/>
        <v/>
      </c>
      <c r="FR6" s="36" t="str">
        <f t="shared" si="17"/>
        <v/>
      </c>
      <c r="FS6" s="36" t="str">
        <f>IF(SUM(FB6:FE6)-FF6&gt;0,SUM(FB6:FE6)-FF6,"")</f>
        <v/>
      </c>
      <c r="FT6" s="36" t="str">
        <f>IF(SUM(FM6,FP6,FS6)&gt;0,SUM(FM6,FP6,FS6),"")</f>
        <v/>
      </c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1" t="str">
        <f t="shared" si="18"/>
        <v/>
      </c>
      <c r="GP6" s="11" t="str">
        <f t="shared" si="18"/>
        <v/>
      </c>
      <c r="GQ6" s="11" t="str">
        <f>IF(SUM(FU6:FX6)-FY6&gt;0,SUM(FU6:FX6)-FY6,"")</f>
        <v/>
      </c>
      <c r="GR6" s="11" t="str">
        <f t="shared" si="19"/>
        <v/>
      </c>
      <c r="GS6" s="11" t="str">
        <f t="shared" si="19"/>
        <v/>
      </c>
      <c r="GT6" s="11" t="str">
        <f>IF(SUM(FZ6:GC6)-GD6&gt;0,SUM(FZ6:GC6)-GD6,"")</f>
        <v/>
      </c>
      <c r="GU6" s="11" t="str">
        <f>IF(MAX(GQ6,GT6)&gt;0,SUM(GQ6,GT6),"")</f>
        <v/>
      </c>
      <c r="GV6" s="11" t="str">
        <f t="shared" si="20"/>
        <v/>
      </c>
      <c r="GW6" s="11" t="str">
        <f t="shared" si="20"/>
        <v/>
      </c>
      <c r="GX6" s="11" t="str">
        <f>IF(SUM(GE6:GH6)-GI6&gt;0,SUM(GE6:GH6)-GI6,"")</f>
        <v/>
      </c>
      <c r="GY6" s="11" t="str">
        <f t="shared" si="21"/>
        <v/>
      </c>
      <c r="GZ6" s="11" t="str">
        <f t="shared" si="21"/>
        <v/>
      </c>
      <c r="HA6" s="11" t="str">
        <f>IF(SUM(GJ6:GM6)-GN6&gt;0,SUM(GJ6:GM6)-GN6,"")</f>
        <v/>
      </c>
      <c r="HB6" s="11" t="str">
        <f>IF(SUM(GU6,GX6,HA6)&gt;0,SUM(GU6,GX6,HA6),"")</f>
        <v/>
      </c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36" t="str">
        <f t="shared" si="22"/>
        <v/>
      </c>
      <c r="HX6" s="36" t="str">
        <f t="shared" si="22"/>
        <v/>
      </c>
      <c r="HY6" s="36" t="str">
        <f>IF(SUM(HC6:HF6)-HG6&gt;0,SUM(HC6:HF6)-HG6,"")</f>
        <v/>
      </c>
      <c r="HZ6" s="36" t="str">
        <f t="shared" si="23"/>
        <v/>
      </c>
      <c r="IA6" s="36" t="str">
        <f t="shared" si="23"/>
        <v/>
      </c>
      <c r="IB6" s="36" t="str">
        <f>IF(SUM(HH6:HK6)-HL6&gt;0,SUM(HH6:HK6)-HL6,"")</f>
        <v/>
      </c>
      <c r="IC6" s="36" t="str">
        <f>IF(MAX(HY6,IB6)&gt;0,SUM(HY6,IB6),"")</f>
        <v/>
      </c>
      <c r="ID6" s="36" t="str">
        <f t="shared" si="24"/>
        <v/>
      </c>
      <c r="IE6" s="36" t="str">
        <f t="shared" si="24"/>
        <v/>
      </c>
      <c r="IF6" s="36" t="str">
        <f>IF(SUM(HM6:HP6)-HQ6&gt;0,SUM(HM6:HP6)-HQ6,"")</f>
        <v/>
      </c>
      <c r="IG6" s="36" t="str">
        <f t="shared" si="25"/>
        <v/>
      </c>
      <c r="IH6" s="36" t="str">
        <f t="shared" si="25"/>
        <v/>
      </c>
      <c r="II6" s="36" t="str">
        <f>IF(SUM(HR6:HU6)-HV6&gt;0,SUM(HR6:HU6)-HV6,"")</f>
        <v/>
      </c>
      <c r="IJ6" s="36" t="str">
        <f>IF(SUM(IC6,IF6,II6)&gt;0,SUM(IC6,IF6,II6),"")</f>
        <v/>
      </c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1" t="str">
        <f t="shared" si="26"/>
        <v/>
      </c>
      <c r="JF6" s="11" t="str">
        <f t="shared" si="26"/>
        <v/>
      </c>
      <c r="JG6" s="11" t="str">
        <f>IF(SUM(IK6:IN6)-IO6&gt;0,SUM(IK6:IN6)-IO6,"")</f>
        <v/>
      </c>
      <c r="JH6" s="11" t="str">
        <f t="shared" si="27"/>
        <v/>
      </c>
      <c r="JI6" s="11" t="str">
        <f t="shared" si="27"/>
        <v/>
      </c>
      <c r="JJ6" s="11" t="str">
        <f>IF(SUM(IP6:IS6)-IT6&gt;0,SUM(IP6:IS6)-IT6,"")</f>
        <v/>
      </c>
      <c r="JK6" s="11" t="str">
        <f>IF(MAX(JG6,JJ6)&gt;0,SUM(JG6,JJ6),"")</f>
        <v/>
      </c>
      <c r="JL6" s="11" t="str">
        <f t="shared" si="28"/>
        <v/>
      </c>
      <c r="JM6" s="11" t="str">
        <f t="shared" si="28"/>
        <v/>
      </c>
      <c r="JN6" s="11" t="str">
        <f>IF(SUM(IU6:IX6)-IY6&gt;0,SUM(IU6:IX6)-IY6,"")</f>
        <v/>
      </c>
      <c r="JO6" s="11" t="str">
        <f t="shared" si="29"/>
        <v/>
      </c>
      <c r="JP6" s="11" t="str">
        <f t="shared" si="29"/>
        <v/>
      </c>
      <c r="JQ6" s="11" t="str">
        <f>IF(SUM(IZ6:JC6)-JD6&gt;0,SUM(IZ6:JC6)-JD6,"")</f>
        <v/>
      </c>
      <c r="JR6" s="11" t="str">
        <f>IF(SUM(JK6,JN6,JQ6)&gt;0,SUM(JK6,JN6,JQ6),"")</f>
        <v/>
      </c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36" t="str">
        <f t="shared" si="30"/>
        <v/>
      </c>
      <c r="KN6" s="36" t="str">
        <f t="shared" si="30"/>
        <v/>
      </c>
      <c r="KO6" s="36" t="str">
        <f>IF(SUM(JS6:JV6)-JW6&gt;0,SUM(JS6:JV6)-JW6,"")</f>
        <v/>
      </c>
      <c r="KP6" s="36" t="str">
        <f t="shared" si="31"/>
        <v/>
      </c>
      <c r="KQ6" s="36" t="str">
        <f t="shared" si="31"/>
        <v/>
      </c>
      <c r="KR6" s="36" t="str">
        <f>IF(SUM(JX6:KA6)-KB6&gt;0,SUM(JX6:KA6)-KB6,"")</f>
        <v/>
      </c>
      <c r="KS6" s="36" t="str">
        <f>IF(MAX(KO6,KR6)&gt;0,SUM(KO6,KR6),"")</f>
        <v/>
      </c>
      <c r="KT6" s="36" t="str">
        <f t="shared" si="32"/>
        <v/>
      </c>
      <c r="KU6" s="36" t="str">
        <f t="shared" si="32"/>
        <v/>
      </c>
      <c r="KV6" s="36" t="str">
        <f>IF(SUM(KC6:KF6)-KG6&gt;0,SUM(KC6:KF6)-KG6,"")</f>
        <v/>
      </c>
      <c r="KW6" s="36" t="str">
        <f t="shared" si="33"/>
        <v/>
      </c>
      <c r="KX6" s="36" t="str">
        <f t="shared" si="33"/>
        <v/>
      </c>
      <c r="KY6" s="36" t="str">
        <f>IF(SUM(KH6:KK6)-KL6&gt;0,SUM(KH6:KK6)-KL6,"")</f>
        <v/>
      </c>
      <c r="KZ6" s="36" t="str">
        <f>IF(SUM(KS6,KV6,KY6)&gt;0,SUM(KS6,KV6,KY6),"")</f>
        <v/>
      </c>
      <c r="LA6" s="16"/>
      <c r="LB6" s="16"/>
      <c r="LC6" s="16"/>
      <c r="LD6" s="16"/>
      <c r="LE6" s="16"/>
      <c r="LF6" s="16"/>
      <c r="LG6" s="16"/>
      <c r="LH6" s="16"/>
      <c r="LI6" s="16"/>
      <c r="LJ6" s="16"/>
      <c r="LK6" s="16"/>
      <c r="LL6" s="16"/>
      <c r="LM6" s="16"/>
      <c r="LN6" s="16"/>
      <c r="LO6" s="16"/>
      <c r="LP6" s="16"/>
      <c r="LQ6" s="16"/>
      <c r="LR6" s="16"/>
      <c r="LS6" s="16"/>
      <c r="LT6" s="16"/>
      <c r="LU6" s="11" t="str">
        <f t="shared" si="34"/>
        <v/>
      </c>
      <c r="LV6" s="11" t="str">
        <f t="shared" si="34"/>
        <v/>
      </c>
      <c r="LW6" s="11" t="str">
        <f>IF(SUM(LA6:LD6)-LE6&gt;0,SUM(LA6:LD6)-LE6,"")</f>
        <v/>
      </c>
      <c r="LX6" s="11" t="str">
        <f t="shared" si="35"/>
        <v/>
      </c>
      <c r="LY6" s="11" t="str">
        <f t="shared" si="35"/>
        <v/>
      </c>
      <c r="LZ6" s="11" t="str">
        <f>IF(SUM(LF6:LI6)-LJ6&gt;0,SUM(LF6:LI6)-LJ6,"")</f>
        <v/>
      </c>
      <c r="MA6" s="11" t="str">
        <f>IF(MAX(LW6,LZ6)&gt;0,SUM(LW6,LZ6),"")</f>
        <v/>
      </c>
      <c r="MB6" s="11" t="str">
        <f t="shared" si="36"/>
        <v/>
      </c>
      <c r="MC6" s="11" t="str">
        <f t="shared" si="36"/>
        <v/>
      </c>
      <c r="MD6" s="11" t="str">
        <f>IF(SUM(LK6:LN6)-LO6&gt;0,SUM(LK6:LN6)-LO6,"")</f>
        <v/>
      </c>
      <c r="ME6" s="11" t="str">
        <f t="shared" si="37"/>
        <v/>
      </c>
      <c r="MF6" s="11" t="str">
        <f t="shared" si="37"/>
        <v/>
      </c>
      <c r="MG6" s="11" t="str">
        <f>IF(SUM(LP6:LS6)-LT6&gt;0,SUM(LP6:LS6)-LT6,"")</f>
        <v/>
      </c>
      <c r="MH6" s="11" t="str">
        <f>IF(SUM(MA6,MD6,MG6)&gt;0,SUM(MA6,MD6,MG6),"")</f>
        <v/>
      </c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36" t="str">
        <f t="shared" si="38"/>
        <v/>
      </c>
      <c r="ND6" s="36" t="str">
        <f t="shared" si="38"/>
        <v/>
      </c>
      <c r="NE6" s="36" t="str">
        <f>IF(SUM(MI6:ML6)-MM6&gt;0,SUM(MI6:ML6)-MM6,"")</f>
        <v/>
      </c>
      <c r="NF6" s="36" t="str">
        <f t="shared" si="39"/>
        <v/>
      </c>
      <c r="NG6" s="36" t="str">
        <f t="shared" si="39"/>
        <v/>
      </c>
      <c r="NH6" s="36" t="str">
        <f>IF(SUM(MN6:MQ6)-MR6&gt;0,SUM(MN6:MQ6)-MR6,"")</f>
        <v/>
      </c>
      <c r="NI6" s="36" t="str">
        <f>IF(MAX(NE6,NH6)&gt;0,SUM(NE6,NH6),"")</f>
        <v/>
      </c>
      <c r="NJ6" s="36" t="str">
        <f t="shared" si="40"/>
        <v/>
      </c>
      <c r="NK6" s="36" t="str">
        <f t="shared" si="40"/>
        <v/>
      </c>
      <c r="NL6" s="36" t="str">
        <f>IF(SUM(MS6:MV6)-MW6&gt;0,SUM(MS6:MV6)-MW6,"")</f>
        <v/>
      </c>
      <c r="NM6" s="36" t="str">
        <f t="shared" si="41"/>
        <v/>
      </c>
      <c r="NN6" s="36" t="str">
        <f t="shared" si="41"/>
        <v/>
      </c>
      <c r="NO6" s="36" t="str">
        <f>IF(SUM(MX6:NA6)-NB6&gt;0,SUM(MX6:NA6)-NB6,"")</f>
        <v/>
      </c>
      <c r="NP6" s="36" t="str">
        <f>IF(SUM(NI6,NL6,NO6)&gt;0,SUM(NI6,NL6,NO6),"")</f>
        <v/>
      </c>
      <c r="NQ6" s="16"/>
      <c r="NR6" s="16"/>
      <c r="NS6" s="16"/>
      <c r="NT6" s="16"/>
      <c r="NU6" s="16"/>
      <c r="NV6" s="16"/>
      <c r="NW6" s="16"/>
      <c r="NX6" s="16"/>
      <c r="NY6" s="16"/>
      <c r="NZ6" s="16"/>
      <c r="OA6" s="16"/>
      <c r="OB6" s="16"/>
      <c r="OC6" s="16"/>
      <c r="OD6" s="16"/>
      <c r="OE6" s="16"/>
      <c r="OF6" s="16"/>
      <c r="OG6" s="16"/>
      <c r="OH6" s="16"/>
      <c r="OI6" s="16"/>
      <c r="OJ6" s="16"/>
      <c r="OK6" s="11" t="str">
        <f t="shared" si="42"/>
        <v/>
      </c>
      <c r="OL6" s="11" t="str">
        <f t="shared" si="42"/>
        <v/>
      </c>
      <c r="OM6" s="11" t="str">
        <f>IF(SUM(NQ6:NT6)-NU6&gt;0,SUM(NQ6:NT6)-NU6,"")</f>
        <v/>
      </c>
      <c r="ON6" s="11" t="str">
        <f t="shared" si="43"/>
        <v/>
      </c>
      <c r="OO6" s="11" t="str">
        <f t="shared" si="43"/>
        <v/>
      </c>
      <c r="OP6" s="11" t="str">
        <f>IF(SUM(NV6:NY6)-NZ6&gt;0,SUM(NV6:NY6)-NZ6,"")</f>
        <v/>
      </c>
      <c r="OQ6" s="11" t="str">
        <f>IF(MAX(OM6,OP6)&gt;0,SUM(OM6,OP6),"")</f>
        <v/>
      </c>
      <c r="OR6" s="11" t="str">
        <f t="shared" si="44"/>
        <v/>
      </c>
      <c r="OS6" s="11" t="str">
        <f t="shared" si="44"/>
        <v/>
      </c>
      <c r="OT6" s="11" t="str">
        <f>IF(SUM(OA6:OD6)-OE6&gt;0,SUM(OA6:OD6)-OE6,"")</f>
        <v/>
      </c>
      <c r="OU6" s="11" t="str">
        <f t="shared" si="45"/>
        <v/>
      </c>
      <c r="OV6" s="11" t="str">
        <f t="shared" si="45"/>
        <v/>
      </c>
      <c r="OW6" s="11" t="str">
        <f>IF(SUM(OF6:OI6)-OJ6&gt;0,SUM(OF6:OI6)-OJ6,"")</f>
        <v/>
      </c>
      <c r="OX6" s="11" t="str">
        <f>IF(SUM(OQ6,OT6,OW6)&gt;0,SUM(OQ6,OT6,OW6),"")</f>
        <v/>
      </c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36" t="str">
        <f t="shared" si="46"/>
        <v/>
      </c>
      <c r="PT6" s="36" t="str">
        <f t="shared" si="46"/>
        <v/>
      </c>
      <c r="PU6" s="36" t="str">
        <f>IF(SUM(OY6:PB6)-PC6&gt;0,SUM(OY6:PB6)-PC6,"")</f>
        <v/>
      </c>
      <c r="PV6" s="36" t="str">
        <f t="shared" si="47"/>
        <v/>
      </c>
      <c r="PW6" s="36" t="str">
        <f t="shared" si="47"/>
        <v/>
      </c>
      <c r="PX6" s="36" t="str">
        <f>IF(SUM(PD6:PG6)-PH6&gt;0,SUM(PD6:PG6)-PH6,"")</f>
        <v/>
      </c>
      <c r="PY6" s="36" t="str">
        <f>IF(MAX(PU6,PX6)&gt;0,SUM(PU6,PX6),"")</f>
        <v/>
      </c>
      <c r="PZ6" s="36" t="str">
        <f t="shared" si="48"/>
        <v/>
      </c>
      <c r="QA6" s="36" t="str">
        <f t="shared" si="48"/>
        <v/>
      </c>
      <c r="QB6" s="36" t="str">
        <f>IF(SUM(PI6:PL6)-PM6&gt;0,SUM(PI6:PL6)-PM6,"")</f>
        <v/>
      </c>
      <c r="QC6" s="36" t="str">
        <f t="shared" si="49"/>
        <v/>
      </c>
      <c r="QD6" s="36" t="str">
        <f t="shared" si="49"/>
        <v/>
      </c>
      <c r="QE6" s="36" t="str">
        <f>IF(SUM(PN6:PQ6)-PR6&gt;0,SUM(PN6:PQ6)-PR6,"")</f>
        <v/>
      </c>
      <c r="QF6" s="36" t="str">
        <f>IF(SUM(PY6,QB6,QE6)&gt;0,SUM(PY6,QB6,QE6),"")</f>
        <v/>
      </c>
      <c r="QG6" s="16"/>
      <c r="QH6" s="16"/>
      <c r="QI6" s="16"/>
      <c r="QJ6" s="16"/>
      <c r="QK6" s="16"/>
      <c r="QL6" s="16"/>
      <c r="QM6" s="16"/>
      <c r="QN6" s="16"/>
      <c r="QO6" s="16"/>
      <c r="QP6" s="16"/>
      <c r="QQ6" s="16"/>
      <c r="QR6" s="16"/>
      <c r="QS6" s="16"/>
      <c r="QT6" s="16"/>
      <c r="QU6" s="16"/>
      <c r="QV6" s="16"/>
      <c r="QW6" s="16"/>
      <c r="QX6" s="16"/>
      <c r="QY6" s="16"/>
      <c r="QZ6" s="16"/>
      <c r="RA6" s="11" t="str">
        <f t="shared" si="50"/>
        <v/>
      </c>
      <c r="RB6" s="11" t="str">
        <f t="shared" si="50"/>
        <v/>
      </c>
      <c r="RC6" s="11" t="str">
        <f>IF(SUM(QG6:QJ6)-QK6&gt;0,SUM(QG6:QJ6)-QK6,"")</f>
        <v/>
      </c>
      <c r="RD6" s="11" t="str">
        <f t="shared" si="51"/>
        <v/>
      </c>
      <c r="RE6" s="11" t="str">
        <f t="shared" si="51"/>
        <v/>
      </c>
      <c r="RF6" s="11" t="str">
        <f>IF(SUM(QL6:QO6)-QP6&gt;0,SUM(QL6:QO6)-QP6,"")</f>
        <v/>
      </c>
      <c r="RG6" s="11" t="str">
        <f>IF(MAX(RC6,RF6)&gt;0,SUM(RC6,RF6),"")</f>
        <v/>
      </c>
      <c r="RH6" s="11" t="str">
        <f t="shared" si="52"/>
        <v/>
      </c>
      <c r="RI6" s="11" t="str">
        <f t="shared" si="52"/>
        <v/>
      </c>
      <c r="RJ6" s="11" t="str">
        <f>IF(SUM(QQ6:QT6)-QU6&gt;0,SUM(QQ6:QT6)-QU6,"")</f>
        <v/>
      </c>
      <c r="RK6" s="11" t="str">
        <f t="shared" si="53"/>
        <v/>
      </c>
      <c r="RL6" s="11" t="str">
        <f t="shared" si="53"/>
        <v/>
      </c>
      <c r="RM6" s="11" t="str">
        <f>IF(SUM(QV6:QY6)-QZ6&gt;0,SUM(QV6:QY6)-QZ6,"")</f>
        <v/>
      </c>
      <c r="RN6" s="11" t="str">
        <f>IF(SUM(RG6,RJ6,RM6)&gt;0,SUM(RG6,RJ6,RM6),"")</f>
        <v/>
      </c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36" t="str">
        <f t="shared" si="54"/>
        <v/>
      </c>
      <c r="SJ6" s="36" t="str">
        <f t="shared" si="54"/>
        <v/>
      </c>
      <c r="SK6" s="36" t="str">
        <f>IF(SUM(RO6:RR6)-RS6&gt;0,SUM(RO6:RR6)-RS6,"")</f>
        <v/>
      </c>
      <c r="SL6" s="36" t="str">
        <f t="shared" si="55"/>
        <v/>
      </c>
      <c r="SM6" s="36" t="str">
        <f t="shared" si="55"/>
        <v/>
      </c>
      <c r="SN6" s="36" t="str">
        <f>IF(SUM(RT6:RW6)-RX6&gt;0,SUM(RT6:RW6)-RX6,"")</f>
        <v/>
      </c>
      <c r="SO6" s="36" t="str">
        <f>IF(MAX(SK6,SN6)&gt;0,SUM(SK6,SN6),"")</f>
        <v/>
      </c>
      <c r="SP6" s="36" t="str">
        <f t="shared" si="56"/>
        <v/>
      </c>
      <c r="SQ6" s="36" t="str">
        <f t="shared" si="56"/>
        <v/>
      </c>
      <c r="SR6" s="36" t="str">
        <f>IF(SUM(RY6:SB6)-SC6&gt;0,SUM(RY6:SB6)-SC6,"")</f>
        <v/>
      </c>
      <c r="SS6" s="36" t="str">
        <f t="shared" si="57"/>
        <v/>
      </c>
      <c r="ST6" s="36" t="str">
        <f t="shared" si="57"/>
        <v/>
      </c>
      <c r="SU6" s="36" t="str">
        <f>IF(SUM(SD6:SG6)-SH6&gt;0,SUM(SD6:SG6)-SH6,"")</f>
        <v/>
      </c>
      <c r="SV6" s="36" t="str">
        <f>IF(SUM(SO6,SR6,SU6)&gt;0,SUM(SO6,SR6,SU6),"")</f>
        <v/>
      </c>
      <c r="SW6" s="16"/>
      <c r="SX6" s="16"/>
      <c r="SY6" s="16"/>
      <c r="SZ6" s="16"/>
      <c r="TA6" s="16"/>
      <c r="TB6" s="16"/>
      <c r="TC6" s="16"/>
      <c r="TD6" s="16"/>
      <c r="TE6" s="16"/>
      <c r="TF6" s="16"/>
      <c r="TG6" s="16"/>
      <c r="TH6" s="16"/>
      <c r="TI6" s="16"/>
      <c r="TJ6" s="16"/>
      <c r="TK6" s="16"/>
      <c r="TL6" s="16"/>
      <c r="TM6" s="16"/>
      <c r="TN6" s="16"/>
      <c r="TO6" s="16"/>
      <c r="TP6" s="16"/>
      <c r="TQ6" s="11" t="str">
        <f t="shared" si="58"/>
        <v/>
      </c>
      <c r="TR6" s="11" t="str">
        <f t="shared" si="58"/>
        <v/>
      </c>
      <c r="TS6" s="11" t="str">
        <f>IF(SUM(SW6:SZ6)-TA6&gt;0,SUM(SW6:SZ6)-TA6,"")</f>
        <v/>
      </c>
      <c r="TT6" s="11" t="str">
        <f t="shared" si="59"/>
        <v/>
      </c>
      <c r="TU6" s="11" t="str">
        <f t="shared" si="59"/>
        <v/>
      </c>
      <c r="TV6" s="11" t="str">
        <f>IF(SUM(TB6:TE6)-TF6&gt;0,SUM(TB6:TE6)-TF6,"")</f>
        <v/>
      </c>
      <c r="TW6" s="11" t="str">
        <f>IF(MAX(TS6,TV6)&gt;0,SUM(TS6,TV6),"")</f>
        <v/>
      </c>
      <c r="TX6" s="11" t="str">
        <f t="shared" si="60"/>
        <v/>
      </c>
      <c r="TY6" s="11" t="str">
        <f t="shared" si="60"/>
        <v/>
      </c>
      <c r="TZ6" s="11" t="str">
        <f>IF(SUM(TG6:TJ6)-TK6&gt;0,SUM(TG6:TJ6)-TK6,"")</f>
        <v/>
      </c>
      <c r="UA6" s="11" t="str">
        <f t="shared" si="61"/>
        <v/>
      </c>
      <c r="UB6" s="11" t="str">
        <f t="shared" si="61"/>
        <v/>
      </c>
      <c r="UC6" s="11" t="str">
        <f>IF(SUM(TL6:TO6)-TP6&gt;0,SUM(TL6:TO6)-TP6,"")</f>
        <v/>
      </c>
      <c r="UD6" s="11" t="str">
        <f>IF(SUM(TW6,TZ6,UC6)&gt;0,SUM(TW6,TZ6,UC6),"")</f>
        <v/>
      </c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36" t="str">
        <f t="shared" si="62"/>
        <v/>
      </c>
      <c r="UZ6" s="36" t="str">
        <f t="shared" si="62"/>
        <v/>
      </c>
      <c r="VA6" s="36" t="str">
        <f>IF(SUM(UE6:UH6)-UI6&gt;0,SUM(UE6:UH6)-UI6,"")</f>
        <v/>
      </c>
      <c r="VB6" s="36" t="str">
        <f t="shared" si="63"/>
        <v/>
      </c>
      <c r="VC6" s="36" t="str">
        <f t="shared" si="63"/>
        <v/>
      </c>
      <c r="VD6" s="36" t="str">
        <f>IF(SUM(UJ6:UM6)-UN6&gt;0,SUM(UJ6:UM6)-UN6,"")</f>
        <v/>
      </c>
      <c r="VE6" s="36" t="str">
        <f>IF(MAX(VA6,VD6)&gt;0,SUM(VA6,VD6),"")</f>
        <v/>
      </c>
      <c r="VF6" s="36" t="str">
        <f t="shared" si="64"/>
        <v/>
      </c>
      <c r="VG6" s="36" t="str">
        <f t="shared" si="64"/>
        <v/>
      </c>
      <c r="VH6" s="36" t="str">
        <f>IF(SUM(UO6:UR6)-US6&gt;0,SUM(UO6:UR6)-US6,"")</f>
        <v/>
      </c>
      <c r="VI6" s="36" t="str">
        <f t="shared" si="65"/>
        <v/>
      </c>
      <c r="VJ6" s="36" t="str">
        <f t="shared" si="65"/>
        <v/>
      </c>
      <c r="VK6" s="36" t="str">
        <f>IF(SUM(UT6:UW6)-UX6&gt;0,SUM(UT6:UW6)-UX6,"")</f>
        <v/>
      </c>
      <c r="VL6" s="36" t="str">
        <f>IF(SUM(VE6,VH6,VK6)&gt;0,SUM(VE6,VH6,VK6),"")</f>
        <v/>
      </c>
    </row>
    <row r="7" spans="1:584" x14ac:dyDescent="0.2">
      <c r="B7" s="5"/>
      <c r="D7" s="1"/>
    </row>
    <row r="8" spans="1:584" x14ac:dyDescent="0.2">
      <c r="G8" s="32"/>
      <c r="I8" s="32"/>
    </row>
    <row r="9" spans="1:584" x14ac:dyDescent="0.2">
      <c r="B9" s="19" t="s">
        <v>40</v>
      </c>
      <c r="C9" s="5"/>
      <c r="G9" s="3"/>
      <c r="AL9" s="37"/>
      <c r="AM9" s="37"/>
      <c r="AN9" s="37"/>
      <c r="AP9" s="28"/>
      <c r="AQ9" s="28"/>
      <c r="AS9" s="38">
        <v>13.4</v>
      </c>
      <c r="BM9" s="37"/>
      <c r="BN9" s="37"/>
      <c r="BO9" s="37"/>
      <c r="BQ9" s="28"/>
      <c r="BR9" s="28"/>
      <c r="BT9" s="38">
        <v>13.4</v>
      </c>
      <c r="CQ9" s="5"/>
      <c r="CR9" s="5"/>
      <c r="DA9" s="2"/>
      <c r="DB9" s="2"/>
      <c r="DD9" s="38">
        <v>13.4</v>
      </c>
      <c r="DY9" s="5"/>
      <c r="DZ9" s="5"/>
      <c r="EI9" s="2"/>
      <c r="EJ9" s="2"/>
      <c r="EL9" s="38">
        <v>12.5</v>
      </c>
      <c r="FG9" s="5"/>
      <c r="FH9" s="5"/>
      <c r="FQ9" s="2"/>
      <c r="FR9" s="2"/>
      <c r="FT9" s="38">
        <v>12.5</v>
      </c>
      <c r="GO9" s="5"/>
      <c r="GP9" s="5"/>
      <c r="GY9" s="2"/>
      <c r="GZ9" s="2"/>
      <c r="HB9" s="38">
        <v>12.5</v>
      </c>
      <c r="HW9" s="5"/>
      <c r="HX9" s="5"/>
      <c r="IG9" s="2"/>
      <c r="IH9" s="2"/>
      <c r="IJ9" s="38">
        <v>12.5</v>
      </c>
      <c r="JE9" s="5"/>
      <c r="JF9" s="5"/>
      <c r="JO9" s="2"/>
      <c r="JP9" s="2"/>
      <c r="JR9" s="38">
        <v>12.5</v>
      </c>
      <c r="KM9" s="5"/>
      <c r="KN9" s="5"/>
      <c r="KW9" s="2"/>
      <c r="KX9" s="2"/>
      <c r="KZ9" s="38">
        <v>12.5</v>
      </c>
      <c r="LU9" s="5"/>
      <c r="LV9" s="5"/>
      <c r="ME9" s="2"/>
      <c r="MF9" s="2"/>
      <c r="MH9" s="38">
        <v>12.5</v>
      </c>
      <c r="NC9" s="5"/>
      <c r="ND9" s="5"/>
      <c r="NM9" s="2"/>
      <c r="NN9" s="2"/>
      <c r="NP9" s="38">
        <v>12.5</v>
      </c>
      <c r="OK9" s="5"/>
      <c r="OL9" s="5"/>
      <c r="OU9" s="2"/>
      <c r="OV9" s="2"/>
      <c r="OX9" s="38">
        <v>12.5</v>
      </c>
      <c r="PS9" s="5"/>
      <c r="PT9" s="5"/>
      <c r="QC9" s="2"/>
      <c r="QD9" s="2"/>
      <c r="QF9" s="38">
        <v>12.5</v>
      </c>
      <c r="RA9" s="5"/>
      <c r="RB9" s="5"/>
      <c r="RK9" s="2"/>
      <c r="RL9" s="2"/>
      <c r="RN9" s="38">
        <v>12.5</v>
      </c>
      <c r="SI9" s="5"/>
      <c r="SJ9" s="5"/>
      <c r="SS9" s="2"/>
      <c r="ST9" s="2"/>
      <c r="SV9" s="38">
        <v>12.5</v>
      </c>
      <c r="TQ9" s="5"/>
      <c r="TR9" s="5"/>
      <c r="UA9" s="2"/>
      <c r="UB9" s="2"/>
      <c r="UD9" s="38">
        <v>12.5</v>
      </c>
      <c r="UY9" s="5"/>
      <c r="UZ9" s="5"/>
      <c r="VI9" s="2"/>
      <c r="VJ9" s="2"/>
      <c r="VL9" s="38">
        <v>12.5</v>
      </c>
    </row>
    <row r="10" spans="1:584" x14ac:dyDescent="0.2">
      <c r="B10" s="26" t="s">
        <v>39</v>
      </c>
      <c r="C10" s="5"/>
      <c r="R10" s="2"/>
      <c r="AL10" s="37"/>
      <c r="AM10" s="37"/>
      <c r="AN10" s="37"/>
      <c r="AP10" s="28"/>
      <c r="AQ10" s="28"/>
      <c r="AS10" s="39">
        <v>1000</v>
      </c>
      <c r="BM10" s="37"/>
      <c r="BN10" s="37"/>
      <c r="BO10" s="37"/>
      <c r="BQ10" s="28"/>
      <c r="BR10" s="28"/>
      <c r="BT10" s="39">
        <v>1000</v>
      </c>
      <c r="CQ10" s="5"/>
      <c r="CR10" s="5"/>
      <c r="DA10" s="2"/>
      <c r="DB10" s="2"/>
      <c r="DD10" s="39">
        <v>1000</v>
      </c>
      <c r="DY10" s="5"/>
      <c r="DZ10" s="5"/>
      <c r="EI10" s="2"/>
      <c r="EJ10" s="2"/>
      <c r="EL10" s="39">
        <v>1000</v>
      </c>
      <c r="FG10" s="5"/>
      <c r="FH10" s="5"/>
      <c r="FQ10" s="2"/>
      <c r="FR10" s="2"/>
      <c r="FT10" s="39">
        <v>1000</v>
      </c>
      <c r="GO10" s="5"/>
      <c r="GP10" s="5"/>
      <c r="GY10" s="2"/>
      <c r="GZ10" s="2"/>
      <c r="HB10" s="39">
        <v>1000</v>
      </c>
      <c r="HW10" s="5"/>
      <c r="HX10" s="5"/>
      <c r="IG10" s="2"/>
      <c r="IH10" s="2"/>
      <c r="IJ10" s="39">
        <v>1000</v>
      </c>
      <c r="JE10" s="5"/>
      <c r="JF10" s="5"/>
      <c r="JO10" s="2"/>
      <c r="JP10" s="2"/>
      <c r="JR10" s="39">
        <v>1000</v>
      </c>
      <c r="KM10" s="5"/>
      <c r="KN10" s="5"/>
      <c r="KW10" s="2"/>
      <c r="KX10" s="2"/>
      <c r="KZ10" s="39">
        <v>1000</v>
      </c>
      <c r="LU10" s="5"/>
      <c r="LV10" s="5"/>
      <c r="ME10" s="2"/>
      <c r="MF10" s="2"/>
      <c r="MH10" s="39">
        <v>1000</v>
      </c>
      <c r="NC10" s="5"/>
      <c r="ND10" s="5"/>
      <c r="NM10" s="2"/>
      <c r="NN10" s="2"/>
      <c r="NP10" s="39">
        <v>1000</v>
      </c>
      <c r="OK10" s="5"/>
      <c r="OL10" s="5"/>
      <c r="OU10" s="2"/>
      <c r="OV10" s="2"/>
      <c r="OX10" s="39">
        <v>1000</v>
      </c>
      <c r="PS10" s="5"/>
      <c r="PT10" s="5"/>
      <c r="QC10" s="2"/>
      <c r="QD10" s="2"/>
      <c r="QF10" s="39">
        <v>1000</v>
      </c>
      <c r="RA10" s="5"/>
      <c r="RB10" s="5"/>
      <c r="RK10" s="2"/>
      <c r="RL10" s="2"/>
      <c r="RN10" s="39">
        <v>1000</v>
      </c>
      <c r="SI10" s="5"/>
      <c r="SJ10" s="5"/>
      <c r="SS10" s="2"/>
      <c r="ST10" s="2"/>
      <c r="SV10" s="39">
        <v>1000</v>
      </c>
      <c r="TQ10" s="5"/>
      <c r="TR10" s="5"/>
      <c r="UA10" s="2"/>
      <c r="UB10" s="2"/>
      <c r="UD10" s="39">
        <v>1000</v>
      </c>
      <c r="UY10" s="5"/>
      <c r="UZ10" s="5"/>
      <c r="VI10" s="2"/>
      <c r="VJ10" s="2"/>
      <c r="VL10" s="39">
        <v>1000</v>
      </c>
    </row>
    <row r="11" spans="1:584" x14ac:dyDescent="0.2">
      <c r="A11" s="5"/>
      <c r="B11" s="27" t="s">
        <v>50</v>
      </c>
      <c r="C11" s="5"/>
      <c r="E11" s="2"/>
      <c r="AL11" s="37"/>
      <c r="AM11" s="37"/>
      <c r="AN11" s="37"/>
      <c r="AO11" s="28"/>
      <c r="AP11" s="28"/>
      <c r="AQ11" s="28"/>
      <c r="AR11" s="28"/>
      <c r="AS11" s="40">
        <v>1000</v>
      </c>
      <c r="BM11" s="37"/>
      <c r="BN11" s="37"/>
      <c r="BO11" s="37"/>
      <c r="BQ11" s="28"/>
      <c r="BR11" s="28"/>
      <c r="BT11" s="40">
        <v>1000</v>
      </c>
      <c r="CQ11" s="5"/>
      <c r="CR11" s="5"/>
      <c r="DA11" s="2"/>
      <c r="DB11" s="2"/>
      <c r="DD11" s="40">
        <v>1000</v>
      </c>
      <c r="DY11" s="5"/>
      <c r="DZ11" s="5"/>
      <c r="EI11" s="2"/>
      <c r="EJ11" s="2"/>
      <c r="EL11" s="40">
        <v>0</v>
      </c>
      <c r="FG11" s="5"/>
      <c r="FH11" s="5"/>
      <c r="FQ11" s="2"/>
      <c r="FR11" s="2"/>
      <c r="FT11" s="40">
        <v>0</v>
      </c>
      <c r="GO11" s="5"/>
      <c r="GP11" s="5"/>
      <c r="GY11" s="2"/>
      <c r="GZ11" s="2"/>
      <c r="HB11" s="40">
        <v>0</v>
      </c>
      <c r="HW11" s="5"/>
      <c r="HX11" s="5"/>
      <c r="IG11" s="2"/>
      <c r="IH11" s="2"/>
      <c r="IJ11" s="40">
        <v>0</v>
      </c>
      <c r="JE11" s="5"/>
      <c r="JF11" s="5"/>
      <c r="JO11" s="2"/>
      <c r="JP11" s="2"/>
      <c r="JR11" s="40">
        <v>0</v>
      </c>
      <c r="KM11" s="5"/>
      <c r="KN11" s="5"/>
      <c r="KW11" s="2"/>
      <c r="KX11" s="2"/>
      <c r="KZ11" s="40">
        <v>0</v>
      </c>
      <c r="LU11" s="5"/>
      <c r="LV11" s="5"/>
      <c r="ME11" s="2"/>
      <c r="MF11" s="2"/>
      <c r="MH11" s="40">
        <v>0</v>
      </c>
      <c r="NC11" s="5"/>
      <c r="ND11" s="5"/>
      <c r="NM11" s="2"/>
      <c r="NN11" s="2"/>
      <c r="NP11" s="40">
        <v>0</v>
      </c>
      <c r="OK11" s="5"/>
      <c r="OL11" s="5"/>
      <c r="OU11" s="2"/>
      <c r="OV11" s="2"/>
      <c r="OX11" s="40">
        <v>0</v>
      </c>
      <c r="PS11" s="5"/>
      <c r="PT11" s="5"/>
      <c r="QC11" s="2"/>
      <c r="QD11" s="2"/>
      <c r="QF11" s="40">
        <v>0</v>
      </c>
      <c r="RA11" s="5"/>
      <c r="RB11" s="5"/>
      <c r="RK11" s="2"/>
      <c r="RL11" s="2"/>
      <c r="RN11" s="40">
        <v>0</v>
      </c>
      <c r="SI11" s="5"/>
      <c r="SJ11" s="5"/>
      <c r="SS11" s="2"/>
      <c r="ST11" s="2"/>
      <c r="SV11" s="40">
        <v>0</v>
      </c>
      <c r="TQ11" s="5"/>
      <c r="TR11" s="5"/>
      <c r="UA11" s="2"/>
      <c r="UB11" s="2"/>
      <c r="UD11" s="40">
        <v>0</v>
      </c>
      <c r="UY11" s="5"/>
      <c r="UZ11" s="5"/>
      <c r="VI11" s="2"/>
      <c r="VJ11" s="2"/>
      <c r="VL11" s="40">
        <v>0</v>
      </c>
    </row>
    <row r="12" spans="1:584" x14ac:dyDescent="0.2">
      <c r="A12" s="5"/>
      <c r="B12" s="31" t="s">
        <v>57</v>
      </c>
      <c r="C12" s="5"/>
      <c r="E12" s="2"/>
      <c r="AL12" s="37"/>
      <c r="AM12" s="37"/>
      <c r="AN12" s="37"/>
      <c r="AO12" s="28"/>
      <c r="AP12" s="28"/>
      <c r="AQ12" s="28"/>
      <c r="AR12" s="28"/>
      <c r="AS12" s="41">
        <v>1000</v>
      </c>
      <c r="BM12" s="37"/>
      <c r="BN12" s="37"/>
      <c r="BO12" s="37"/>
      <c r="BQ12" s="28"/>
      <c r="BR12" s="28"/>
      <c r="BT12" s="41">
        <v>1000</v>
      </c>
      <c r="CQ12" s="5"/>
      <c r="CR12" s="5"/>
      <c r="DA12" s="2"/>
      <c r="DB12" s="2"/>
      <c r="DD12" s="41">
        <v>1000</v>
      </c>
      <c r="DY12" s="5"/>
      <c r="DZ12" s="5"/>
      <c r="EI12" s="2"/>
      <c r="EJ12" s="2"/>
      <c r="EL12" s="41">
        <v>0</v>
      </c>
      <c r="FG12" s="5"/>
      <c r="FH12" s="5"/>
      <c r="FQ12" s="2"/>
      <c r="FR12" s="2"/>
      <c r="FT12" s="41">
        <v>0</v>
      </c>
      <c r="GO12" s="5"/>
      <c r="GP12" s="5"/>
      <c r="GY12" s="2"/>
      <c r="GZ12" s="2"/>
      <c r="HB12" s="41">
        <v>0</v>
      </c>
      <c r="HW12" s="5"/>
      <c r="HX12" s="5"/>
      <c r="IG12" s="2"/>
      <c r="IH12" s="2"/>
      <c r="IJ12" s="41">
        <v>0</v>
      </c>
      <c r="JE12" s="5"/>
      <c r="JF12" s="5"/>
      <c r="JO12" s="2"/>
      <c r="JP12" s="2"/>
      <c r="JR12" s="41">
        <v>0</v>
      </c>
      <c r="KM12" s="5"/>
      <c r="KN12" s="5"/>
      <c r="KW12" s="2"/>
      <c r="KX12" s="2"/>
      <c r="KZ12" s="41">
        <v>0</v>
      </c>
      <c r="LU12" s="5"/>
      <c r="LV12" s="5"/>
      <c r="ME12" s="2"/>
      <c r="MF12" s="2"/>
      <c r="MH12" s="41">
        <v>0</v>
      </c>
      <c r="NC12" s="5"/>
      <c r="ND12" s="5"/>
      <c r="NM12" s="2"/>
      <c r="NN12" s="2"/>
      <c r="NP12" s="41">
        <v>0</v>
      </c>
      <c r="OK12" s="5"/>
      <c r="OL12" s="5"/>
      <c r="OU12" s="2"/>
      <c r="OV12" s="2"/>
      <c r="OX12" s="41">
        <v>0</v>
      </c>
      <c r="PS12" s="5"/>
      <c r="PT12" s="5"/>
      <c r="QC12" s="2"/>
      <c r="QD12" s="2"/>
      <c r="QF12" s="41">
        <v>0</v>
      </c>
      <c r="RA12" s="5"/>
      <c r="RB12" s="5"/>
      <c r="RK12" s="2"/>
      <c r="RL12" s="2"/>
      <c r="RN12" s="41">
        <v>0</v>
      </c>
      <c r="SI12" s="5"/>
      <c r="SJ12" s="5"/>
      <c r="SS12" s="2"/>
      <c r="ST12" s="2"/>
      <c r="SV12" s="41">
        <v>0</v>
      </c>
      <c r="TQ12" s="5"/>
      <c r="TR12" s="5"/>
      <c r="UA12" s="2"/>
      <c r="UB12" s="2"/>
      <c r="UD12" s="41">
        <v>0</v>
      </c>
      <c r="UY12" s="5"/>
      <c r="UZ12" s="5"/>
      <c r="VI12" s="2"/>
      <c r="VJ12" s="2"/>
      <c r="VL12" s="41">
        <v>0</v>
      </c>
    </row>
    <row r="13" spans="1:584" x14ac:dyDescent="0.2">
      <c r="A13" s="5"/>
      <c r="B13" s="30" t="s">
        <v>37</v>
      </c>
      <c r="C13" s="5"/>
      <c r="AL13" s="37"/>
      <c r="AM13" s="37"/>
      <c r="AN13" s="37"/>
      <c r="AO13" s="28"/>
      <c r="AP13" s="28"/>
      <c r="AQ13" s="28"/>
      <c r="AR13" s="28"/>
      <c r="AS13" s="42">
        <v>93.9</v>
      </c>
      <c r="BM13" s="37"/>
      <c r="BN13" s="37"/>
      <c r="BO13" s="37"/>
      <c r="BQ13" s="28"/>
      <c r="BR13" s="28"/>
      <c r="BT13" s="42">
        <v>93.9</v>
      </c>
      <c r="CQ13" s="5"/>
      <c r="CR13" s="5"/>
      <c r="DA13" s="2"/>
      <c r="DB13" s="2"/>
      <c r="DD13" s="42">
        <v>93.9</v>
      </c>
      <c r="DY13" s="5"/>
      <c r="DZ13" s="5"/>
      <c r="EI13" s="2"/>
      <c r="EJ13" s="2"/>
      <c r="EL13" s="42">
        <v>91.6</v>
      </c>
      <c r="FG13" s="5"/>
      <c r="FH13" s="5"/>
      <c r="FQ13" s="2"/>
      <c r="FR13" s="2"/>
      <c r="FT13" s="42">
        <v>91.6</v>
      </c>
      <c r="GO13" s="5"/>
      <c r="GP13" s="5"/>
      <c r="GY13" s="2"/>
      <c r="GZ13" s="2"/>
      <c r="HB13" s="42">
        <v>91.6</v>
      </c>
      <c r="HW13" s="5"/>
      <c r="HX13" s="5"/>
      <c r="IG13" s="2"/>
      <c r="IH13" s="2"/>
      <c r="IJ13" s="42">
        <v>91.6</v>
      </c>
      <c r="JE13" s="5"/>
      <c r="JF13" s="5"/>
      <c r="JO13" s="2"/>
      <c r="JP13" s="2"/>
      <c r="JR13" s="42">
        <v>91.6</v>
      </c>
      <c r="KM13" s="5"/>
      <c r="KN13" s="5"/>
      <c r="KW13" s="2"/>
      <c r="KX13" s="2"/>
      <c r="KZ13" s="42">
        <v>91.6</v>
      </c>
      <c r="LU13" s="5"/>
      <c r="LV13" s="5"/>
      <c r="ME13" s="2"/>
      <c r="MF13" s="2"/>
      <c r="MH13" s="42">
        <v>91.6</v>
      </c>
      <c r="NC13" s="5"/>
      <c r="ND13" s="5"/>
      <c r="NM13" s="2"/>
      <c r="NN13" s="2"/>
      <c r="NP13" s="42">
        <v>91.6</v>
      </c>
      <c r="OK13" s="5"/>
      <c r="OL13" s="5"/>
      <c r="OU13" s="2"/>
      <c r="OV13" s="2"/>
      <c r="OX13" s="42">
        <v>91.6</v>
      </c>
      <c r="PS13" s="5"/>
      <c r="PT13" s="5"/>
      <c r="QC13" s="2"/>
      <c r="QD13" s="2"/>
      <c r="QF13" s="42">
        <v>91.6</v>
      </c>
      <c r="RA13" s="5"/>
      <c r="RB13" s="5"/>
      <c r="RK13" s="2"/>
      <c r="RL13" s="2"/>
      <c r="RN13" s="42">
        <v>91.6</v>
      </c>
      <c r="SI13" s="5"/>
      <c r="SJ13" s="5"/>
      <c r="SS13" s="2"/>
      <c r="ST13" s="2"/>
      <c r="SV13" s="42">
        <v>91.6</v>
      </c>
      <c r="TQ13" s="5"/>
      <c r="TR13" s="5"/>
      <c r="UA13" s="2"/>
      <c r="UB13" s="2"/>
      <c r="UD13" s="42">
        <v>91.6</v>
      </c>
      <c r="UY13" s="5"/>
      <c r="UZ13" s="5"/>
      <c r="VI13" s="2"/>
      <c r="VJ13" s="2"/>
      <c r="VL13" s="42">
        <v>91.6</v>
      </c>
    </row>
    <row r="14" spans="1:584" x14ac:dyDescent="0.2">
      <c r="A14" s="5"/>
      <c r="B14" s="20" t="s">
        <v>38</v>
      </c>
      <c r="C14" s="5"/>
      <c r="AL14" s="37"/>
      <c r="AM14" s="37"/>
      <c r="AN14" s="37"/>
      <c r="AO14" s="28"/>
      <c r="AP14" s="28"/>
      <c r="AQ14" s="28"/>
      <c r="AR14" s="28"/>
      <c r="AS14" s="43">
        <v>1000</v>
      </c>
      <c r="BM14" s="37"/>
      <c r="BN14" s="37"/>
      <c r="BO14" s="37"/>
      <c r="BQ14" s="28"/>
      <c r="BR14" s="28"/>
      <c r="BT14" s="43">
        <v>1000</v>
      </c>
      <c r="CQ14" s="5"/>
      <c r="CR14" s="5"/>
      <c r="DA14" s="2"/>
      <c r="DB14" s="2"/>
      <c r="DD14" s="43">
        <v>1000</v>
      </c>
      <c r="DY14" s="5"/>
      <c r="DZ14" s="5"/>
      <c r="EI14" s="2"/>
      <c r="EJ14" s="2"/>
      <c r="EL14" s="43">
        <v>1000</v>
      </c>
      <c r="FG14" s="5"/>
      <c r="FH14" s="5"/>
      <c r="FQ14" s="2"/>
      <c r="FR14" s="2"/>
      <c r="FT14" s="43">
        <v>1000</v>
      </c>
      <c r="GO14" s="5"/>
      <c r="GP14" s="5"/>
      <c r="GY14" s="2"/>
      <c r="GZ14" s="2"/>
      <c r="HB14" s="43">
        <v>1000</v>
      </c>
      <c r="HW14" s="5"/>
      <c r="HX14" s="5"/>
      <c r="IG14" s="2"/>
      <c r="IH14" s="2"/>
      <c r="IJ14" s="43">
        <v>1000</v>
      </c>
      <c r="JE14" s="5"/>
      <c r="JF14" s="5"/>
      <c r="JO14" s="2"/>
      <c r="JP14" s="2"/>
      <c r="JR14" s="43">
        <v>1000</v>
      </c>
      <c r="KM14" s="5"/>
      <c r="KN14" s="5"/>
      <c r="KW14" s="2"/>
      <c r="KX14" s="2"/>
      <c r="KZ14" s="43">
        <v>1000</v>
      </c>
      <c r="LU14" s="5"/>
      <c r="LV14" s="5"/>
      <c r="ME14" s="2"/>
      <c r="MF14" s="2"/>
      <c r="MH14" s="43">
        <v>1000</v>
      </c>
      <c r="NC14" s="5"/>
      <c r="ND14" s="5"/>
      <c r="NM14" s="2"/>
      <c r="NN14" s="2"/>
      <c r="NP14" s="43">
        <v>1000</v>
      </c>
      <c r="OK14" s="5"/>
      <c r="OL14" s="5"/>
      <c r="OU14" s="2"/>
      <c r="OV14" s="2"/>
      <c r="OX14" s="43">
        <v>1000</v>
      </c>
      <c r="PS14" s="5"/>
      <c r="PT14" s="5"/>
      <c r="QC14" s="2"/>
      <c r="QD14" s="2"/>
      <c r="QF14" s="43">
        <v>1000</v>
      </c>
      <c r="RA14" s="5"/>
      <c r="RB14" s="5"/>
      <c r="RK14" s="2"/>
      <c r="RL14" s="2"/>
      <c r="RN14" s="43">
        <v>1000</v>
      </c>
      <c r="SI14" s="5"/>
      <c r="SJ14" s="5"/>
      <c r="SS14" s="2"/>
      <c r="ST14" s="2"/>
      <c r="SV14" s="43">
        <v>1000</v>
      </c>
      <c r="TQ14" s="5"/>
      <c r="TR14" s="5"/>
      <c r="UA14" s="2"/>
      <c r="UB14" s="2"/>
      <c r="UD14" s="43">
        <v>1000</v>
      </c>
      <c r="UY14" s="5"/>
      <c r="UZ14" s="5"/>
      <c r="VI14" s="2"/>
      <c r="VJ14" s="2"/>
      <c r="VL14" s="43">
        <v>1000</v>
      </c>
    </row>
    <row r="15" spans="1:584" x14ac:dyDescent="0.2">
      <c r="A15" s="5"/>
      <c r="B15" s="29" t="s">
        <v>49</v>
      </c>
      <c r="C15" s="5"/>
      <c r="AL15" s="37"/>
      <c r="AM15" s="37"/>
      <c r="AN15" s="37"/>
      <c r="AO15" s="28"/>
      <c r="AP15" s="28"/>
      <c r="AQ15" s="28"/>
      <c r="AR15" s="28"/>
      <c r="AS15" s="44">
        <v>1000</v>
      </c>
      <c r="BM15" s="37"/>
      <c r="BN15" s="37"/>
      <c r="BO15" s="37"/>
      <c r="BQ15" s="28"/>
      <c r="BR15" s="28"/>
      <c r="BT15" s="44">
        <v>1000</v>
      </c>
      <c r="CQ15" s="5"/>
      <c r="CR15" s="5"/>
      <c r="DA15" s="2"/>
      <c r="DB15" s="2"/>
      <c r="DC15" s="33"/>
      <c r="DD15" s="44">
        <v>1000</v>
      </c>
      <c r="DY15" s="5"/>
      <c r="DZ15" s="5"/>
      <c r="EI15" s="2"/>
      <c r="EJ15" s="2"/>
      <c r="EK15" s="33"/>
      <c r="EL15" s="44">
        <v>1000</v>
      </c>
      <c r="FG15" s="5"/>
      <c r="FH15" s="5"/>
      <c r="FQ15" s="2"/>
      <c r="FR15" s="2"/>
      <c r="FS15" s="33"/>
      <c r="FT15" s="44">
        <v>1000</v>
      </c>
      <c r="GO15" s="5"/>
      <c r="GP15" s="5"/>
      <c r="GY15" s="2"/>
      <c r="GZ15" s="2"/>
      <c r="HA15" s="33"/>
      <c r="HB15" s="44">
        <v>1000</v>
      </c>
      <c r="HW15" s="5"/>
      <c r="HX15" s="5"/>
      <c r="IG15" s="2"/>
      <c r="IH15" s="2"/>
      <c r="II15" s="33"/>
      <c r="IJ15" s="44">
        <v>1000</v>
      </c>
      <c r="JE15" s="5"/>
      <c r="JF15" s="5"/>
      <c r="JO15" s="2"/>
      <c r="JP15" s="2"/>
      <c r="JQ15" s="33"/>
      <c r="JR15" s="44">
        <v>1000</v>
      </c>
      <c r="KM15" s="5"/>
      <c r="KN15" s="5"/>
      <c r="KW15" s="2"/>
      <c r="KX15" s="2"/>
      <c r="KY15" s="33"/>
      <c r="KZ15" s="44">
        <v>1000</v>
      </c>
      <c r="LU15" s="5"/>
      <c r="LV15" s="5"/>
      <c r="ME15" s="2"/>
      <c r="MF15" s="2"/>
      <c r="MG15" s="33"/>
      <c r="MH15" s="44">
        <v>1000</v>
      </c>
      <c r="NC15" s="5"/>
      <c r="ND15" s="5"/>
      <c r="NM15" s="2"/>
      <c r="NN15" s="2"/>
      <c r="NO15" s="33"/>
      <c r="NP15" s="44">
        <v>1000</v>
      </c>
      <c r="OK15" s="5"/>
      <c r="OL15" s="5"/>
      <c r="OU15" s="2"/>
      <c r="OV15" s="2"/>
      <c r="OW15" s="33"/>
      <c r="OX15" s="44">
        <v>1000</v>
      </c>
      <c r="PS15" s="5"/>
      <c r="PT15" s="5"/>
      <c r="QC15" s="2"/>
      <c r="QD15" s="2"/>
      <c r="QE15" s="33"/>
      <c r="QF15" s="44">
        <v>1000</v>
      </c>
      <c r="RA15" s="5"/>
      <c r="RB15" s="5"/>
      <c r="RK15" s="2"/>
      <c r="RL15" s="2"/>
      <c r="RM15" s="33"/>
      <c r="RN15" s="44">
        <v>1000</v>
      </c>
      <c r="SI15" s="5"/>
      <c r="SJ15" s="5"/>
      <c r="SS15" s="2"/>
      <c r="ST15" s="2"/>
      <c r="SU15" s="33"/>
      <c r="SV15" s="44">
        <v>1000</v>
      </c>
      <c r="TQ15" s="5"/>
      <c r="TR15" s="5"/>
      <c r="UA15" s="2"/>
      <c r="UB15" s="2"/>
      <c r="UC15" s="33"/>
      <c r="UD15" s="44">
        <v>1000</v>
      </c>
      <c r="UY15" s="5"/>
      <c r="UZ15" s="5"/>
      <c r="VI15" s="2"/>
      <c r="VJ15" s="2"/>
      <c r="VK15" s="33"/>
      <c r="VL15" s="44">
        <v>1000</v>
      </c>
    </row>
    <row r="16" spans="1:584" x14ac:dyDescent="0.2">
      <c r="A16" s="5"/>
      <c r="B16" s="21" t="s">
        <v>30</v>
      </c>
      <c r="C16" s="5"/>
      <c r="AL16" s="37"/>
      <c r="AM16" s="37"/>
      <c r="AN16" s="37"/>
      <c r="AO16" s="28"/>
      <c r="AP16" s="37"/>
      <c r="AQ16" s="37"/>
      <c r="AR16" s="28"/>
      <c r="AS16" s="45">
        <v>1000</v>
      </c>
      <c r="BM16" s="37"/>
      <c r="BN16" s="37"/>
      <c r="BO16" s="37"/>
      <c r="BQ16" s="37"/>
      <c r="BR16" s="28"/>
      <c r="BT16" s="45">
        <v>1000</v>
      </c>
      <c r="CQ16" s="5"/>
      <c r="CR16" s="5"/>
      <c r="DA16" s="37"/>
      <c r="DB16" s="2"/>
      <c r="DD16" s="45">
        <v>1000</v>
      </c>
      <c r="DY16" s="5"/>
      <c r="DZ16" s="5"/>
      <c r="EI16" s="37"/>
      <c r="EJ16" s="2"/>
      <c r="EL16" s="45">
        <v>1000</v>
      </c>
      <c r="FG16" s="5"/>
      <c r="FH16" s="5"/>
      <c r="FQ16" s="2"/>
      <c r="FR16" s="2"/>
      <c r="FT16" s="45">
        <v>1000</v>
      </c>
      <c r="GO16" s="5"/>
      <c r="GP16" s="5"/>
      <c r="GY16" s="37"/>
      <c r="GZ16" s="2"/>
      <c r="HB16" s="45">
        <v>1000</v>
      </c>
      <c r="HW16" s="5"/>
      <c r="HX16" s="5"/>
      <c r="IG16" s="2"/>
      <c r="IH16" s="2"/>
      <c r="IJ16" s="45">
        <v>1000</v>
      </c>
      <c r="JE16" s="5"/>
      <c r="JF16" s="5"/>
      <c r="JO16" s="2"/>
      <c r="JP16" s="2"/>
      <c r="JR16" s="45">
        <v>1000</v>
      </c>
      <c r="KM16" s="5"/>
      <c r="KN16" s="5"/>
      <c r="KW16" s="2"/>
      <c r="KX16" s="2"/>
      <c r="KZ16" s="45">
        <v>1000</v>
      </c>
      <c r="LU16" s="5"/>
      <c r="LV16" s="5"/>
      <c r="ME16" s="2"/>
      <c r="MF16" s="2"/>
      <c r="MH16" s="45">
        <v>1000</v>
      </c>
      <c r="NC16" s="5"/>
      <c r="ND16" s="5"/>
      <c r="NM16" s="2"/>
      <c r="NN16" s="2"/>
      <c r="NP16" s="45">
        <v>1000</v>
      </c>
      <c r="OK16" s="5"/>
      <c r="OL16" s="5"/>
      <c r="OU16" s="2"/>
      <c r="OV16" s="2"/>
      <c r="OX16" s="45">
        <v>1000</v>
      </c>
      <c r="PS16" s="5"/>
      <c r="PT16" s="5"/>
      <c r="QC16" s="2"/>
      <c r="QD16" s="2"/>
      <c r="QF16" s="45">
        <v>1000</v>
      </c>
      <c r="RA16" s="5"/>
      <c r="RB16" s="5"/>
      <c r="RK16" s="2"/>
      <c r="RL16" s="2"/>
      <c r="RN16" s="45">
        <v>1000</v>
      </c>
      <c r="SI16" s="5"/>
      <c r="SJ16" s="5"/>
      <c r="SS16" s="2"/>
      <c r="ST16" s="2"/>
      <c r="SV16" s="45">
        <v>1000</v>
      </c>
      <c r="TQ16" s="5"/>
      <c r="TR16" s="5"/>
      <c r="UA16" s="2"/>
      <c r="UB16" s="2"/>
      <c r="UD16" s="45">
        <v>1000</v>
      </c>
      <c r="UY16" s="5"/>
      <c r="UZ16" s="5"/>
      <c r="VI16" s="2"/>
      <c r="VJ16" s="2"/>
      <c r="VL16" s="45">
        <v>1000</v>
      </c>
    </row>
    <row r="17" spans="1:244" x14ac:dyDescent="0.2">
      <c r="B17" s="25" t="s">
        <v>43</v>
      </c>
      <c r="C17" s="2"/>
      <c r="AO17" s="28"/>
      <c r="AR17" s="28"/>
      <c r="EL17"/>
      <c r="FT17"/>
      <c r="HB17"/>
      <c r="IJ17"/>
    </row>
    <row r="18" spans="1:244" x14ac:dyDescent="0.2">
      <c r="A18" s="5"/>
      <c r="B18" s="5"/>
      <c r="C18" s="17"/>
      <c r="AK18" s="28"/>
      <c r="AL18" s="28"/>
      <c r="AM18" s="28"/>
      <c r="AN18" s="28"/>
      <c r="AO18" s="28"/>
      <c r="AR18" s="28"/>
    </row>
    <row r="19" spans="1:244" ht="17" x14ac:dyDescent="0.2">
      <c r="A19" s="5"/>
      <c r="B19" s="5"/>
      <c r="C19" s="17"/>
      <c r="P19" s="10"/>
      <c r="Q19" s="10"/>
      <c r="AK19" s="28"/>
      <c r="AL19" s="28"/>
      <c r="AM19" s="28"/>
      <c r="AN19" s="28"/>
      <c r="AO19" s="28"/>
      <c r="AR19" s="28"/>
    </row>
    <row r="20" spans="1:244" ht="17" x14ac:dyDescent="0.2">
      <c r="A20" s="5"/>
      <c r="B20" s="5"/>
      <c r="C20" s="17"/>
      <c r="P20" s="10"/>
      <c r="AK20" s="28"/>
      <c r="AL20" s="28"/>
      <c r="AM20" s="28"/>
      <c r="AN20" s="28"/>
      <c r="AO20" s="28"/>
      <c r="AR20" s="28"/>
    </row>
    <row r="21" spans="1:244" ht="17" x14ac:dyDescent="0.2">
      <c r="P21" s="10"/>
      <c r="Q21" s="10"/>
      <c r="AK21" s="28"/>
      <c r="AL21" s="28"/>
      <c r="AM21" s="28"/>
      <c r="AN21" s="28"/>
      <c r="AO21" s="28"/>
      <c r="AR21" s="28"/>
    </row>
    <row r="22" spans="1:244" ht="17" x14ac:dyDescent="0.2">
      <c r="P22" s="10"/>
      <c r="Q22" s="10"/>
      <c r="AK22" s="28"/>
      <c r="AL22" s="28"/>
      <c r="AM22" s="28"/>
      <c r="AN22" s="28"/>
      <c r="AO22" s="28"/>
      <c r="AR22" s="28"/>
    </row>
    <row r="23" spans="1:244" ht="17" x14ac:dyDescent="0.2">
      <c r="P23" s="10"/>
      <c r="Q23" s="10"/>
      <c r="AK23" s="28"/>
      <c r="AL23" s="28"/>
      <c r="AM23" s="28"/>
      <c r="AN23" s="28"/>
      <c r="AO23" s="28"/>
      <c r="AR23" s="28"/>
    </row>
    <row r="24" spans="1:244" ht="17" x14ac:dyDescent="0.2">
      <c r="P24" s="10"/>
      <c r="Q24" s="10"/>
      <c r="R24" s="10"/>
    </row>
    <row r="25" spans="1:244" ht="17" x14ac:dyDescent="0.2">
      <c r="P25" s="10"/>
      <c r="Q25" s="10"/>
      <c r="R25" s="10"/>
    </row>
    <row r="26" spans="1:244" ht="17" x14ac:dyDescent="0.2">
      <c r="P26" s="10"/>
      <c r="Q26" s="10"/>
      <c r="R26" s="10"/>
    </row>
    <row r="27" spans="1:244" ht="17" x14ac:dyDescent="0.2">
      <c r="P27" s="10"/>
      <c r="Q27" s="10"/>
      <c r="R27" s="10"/>
    </row>
    <row r="28" spans="1:244" ht="17" x14ac:dyDescent="0.2">
      <c r="P28" s="10"/>
      <c r="Q28" s="10"/>
      <c r="R28" s="10"/>
    </row>
    <row r="29" spans="1:244" ht="17" x14ac:dyDescent="0.2">
      <c r="P29" s="10"/>
      <c r="Q29" s="10"/>
      <c r="R29" s="10"/>
    </row>
    <row r="30" spans="1:244" ht="17" x14ac:dyDescent="0.2">
      <c r="P30" s="10"/>
      <c r="Q30" s="10"/>
      <c r="R30" s="10"/>
    </row>
    <row r="31" spans="1:244" ht="17" x14ac:dyDescent="0.2">
      <c r="P31" s="10"/>
      <c r="Q31" s="10"/>
      <c r="R31" s="10"/>
    </row>
    <row r="32" spans="1:244" ht="17" x14ac:dyDescent="0.2">
      <c r="P32" s="10"/>
      <c r="Q32" s="10"/>
      <c r="R32" s="10"/>
    </row>
    <row r="33" spans="16:18" ht="17" x14ac:dyDescent="0.2">
      <c r="P33" s="10"/>
      <c r="Q33" s="10"/>
      <c r="R33" s="10"/>
    </row>
    <row r="34" spans="16:18" ht="17" x14ac:dyDescent="0.2">
      <c r="P34" s="10"/>
      <c r="Q34" s="10"/>
      <c r="R34" s="10"/>
    </row>
    <row r="35" spans="16:18" ht="17" x14ac:dyDescent="0.2">
      <c r="P35" s="10"/>
      <c r="Q35" s="10"/>
      <c r="R35" s="10"/>
    </row>
    <row r="36" spans="16:18" ht="17" x14ac:dyDescent="0.2">
      <c r="P36" s="10"/>
      <c r="Q36" s="10"/>
      <c r="R36" s="10"/>
    </row>
    <row r="37" spans="16:18" ht="17" x14ac:dyDescent="0.2">
      <c r="P37" s="10"/>
      <c r="Q37" s="10"/>
      <c r="R37" s="10"/>
    </row>
    <row r="38" spans="16:18" ht="17" x14ac:dyDescent="0.2">
      <c r="P38" s="10"/>
      <c r="Q38" s="10"/>
      <c r="R38" s="10"/>
    </row>
  </sheetData>
  <sheetProtection sheet="1" formatCells="0" formatColumns="0" formatRows="0"/>
  <autoFilter ref="A1:VL1" xr:uid="{00000000-0001-0000-0100-000000000000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sortState xmlns:xlrd2="http://schemas.microsoft.com/office/spreadsheetml/2017/richdata2" ref="A6:VL7">
      <sortCondition descending="1" ref="F1:F8"/>
    </sortState>
  </autoFilter>
  <mergeCells count="102">
    <mergeCell ref="TG2:TK2"/>
    <mergeCell ref="TL2:TP2"/>
    <mergeCell ref="UE2:UI2"/>
    <mergeCell ref="UJ2:UN2"/>
    <mergeCell ref="UO2:US2"/>
    <mergeCell ref="UT2:UX2"/>
    <mergeCell ref="RO2:RS2"/>
    <mergeCell ref="RT2:RX2"/>
    <mergeCell ref="RY2:SC2"/>
    <mergeCell ref="SD2:SH2"/>
    <mergeCell ref="SW2:TA2"/>
    <mergeCell ref="TB2:TF2"/>
    <mergeCell ref="PI2:PM2"/>
    <mergeCell ref="PN2:PR2"/>
    <mergeCell ref="QG2:QK2"/>
    <mergeCell ref="QL2:QP2"/>
    <mergeCell ref="QQ2:QU2"/>
    <mergeCell ref="QV2:QZ2"/>
    <mergeCell ref="NQ2:NU2"/>
    <mergeCell ref="NV2:NZ2"/>
    <mergeCell ref="OA2:OE2"/>
    <mergeCell ref="OF2:OJ2"/>
    <mergeCell ref="OY2:PC2"/>
    <mergeCell ref="PD2:PH2"/>
    <mergeCell ref="LK2:LO2"/>
    <mergeCell ref="LP2:LT2"/>
    <mergeCell ref="MI2:MM2"/>
    <mergeCell ref="MN2:MR2"/>
    <mergeCell ref="MS2:MW2"/>
    <mergeCell ref="MX2:NB2"/>
    <mergeCell ref="JS2:JW2"/>
    <mergeCell ref="JX2:KB2"/>
    <mergeCell ref="KC2:KG2"/>
    <mergeCell ref="KH2:KL2"/>
    <mergeCell ref="LA2:LE2"/>
    <mergeCell ref="LF2:LJ2"/>
    <mergeCell ref="CL2:CP2"/>
    <mergeCell ref="DE2:DI2"/>
    <mergeCell ref="DJ2:DN2"/>
    <mergeCell ref="HM2:HQ2"/>
    <mergeCell ref="HR2:HV2"/>
    <mergeCell ref="IK2:IO2"/>
    <mergeCell ref="IP2:IT2"/>
    <mergeCell ref="IU2:IY2"/>
    <mergeCell ref="IZ2:JD2"/>
    <mergeCell ref="FU2:FY2"/>
    <mergeCell ref="FZ2:GD2"/>
    <mergeCell ref="GE2:GI2"/>
    <mergeCell ref="GJ2:GN2"/>
    <mergeCell ref="HC2:HG2"/>
    <mergeCell ref="HH2:HL2"/>
    <mergeCell ref="S2:W2"/>
    <mergeCell ref="X2:AB2"/>
    <mergeCell ref="AC2:AG2"/>
    <mergeCell ref="AT2:AX2"/>
    <mergeCell ref="AY2:BC2"/>
    <mergeCell ref="BD2:BH2"/>
    <mergeCell ref="NQ1:OX1"/>
    <mergeCell ref="OY1:QF1"/>
    <mergeCell ref="QG1:RN1"/>
    <mergeCell ref="S1:AS1"/>
    <mergeCell ref="AT1:BT1"/>
    <mergeCell ref="BU1:BV1"/>
    <mergeCell ref="BW1:DD1"/>
    <mergeCell ref="DE1:EL1"/>
    <mergeCell ref="EM1:FT1"/>
    <mergeCell ref="DO2:DS2"/>
    <mergeCell ref="DT2:DX2"/>
    <mergeCell ref="EM2:EQ2"/>
    <mergeCell ref="ER2:EV2"/>
    <mergeCell ref="EW2:FA2"/>
    <mergeCell ref="FB2:FF2"/>
    <mergeCell ref="BW2:CA2"/>
    <mergeCell ref="CB2:CF2"/>
    <mergeCell ref="CG2:CK2"/>
    <mergeCell ref="RO1:SV1"/>
    <mergeCell ref="SW1:UD1"/>
    <mergeCell ref="UE1:VL1"/>
    <mergeCell ref="FU1:HB1"/>
    <mergeCell ref="HC1:IJ1"/>
    <mergeCell ref="IK1:JR1"/>
    <mergeCell ref="JS1:KZ1"/>
    <mergeCell ref="LA1:MH1"/>
    <mergeCell ref="MI1:NP1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H1:H1048576">
    <cfRule type="containsText" dxfId="413" priority="12" operator="containsText" text="No DD">
      <formula>NOT(ISERROR(SEARCH("No DD",H1)))</formula>
    </cfRule>
    <cfRule type="containsText" dxfId="412" priority="13" operator="containsText" text="Merit">
      <formula>NOT(ISERROR(SEARCH("Merit",H1)))</formula>
    </cfRule>
    <cfRule type="containsText" dxfId="411" priority="14" operator="containsText" text="Excellence">
      <formula>NOT(ISERROR(SEARCH("Excellence",H1)))</formula>
    </cfRule>
    <cfRule type="containsText" dxfId="410" priority="15" operator="containsText" text="Worlds Team">
      <formula>NOT(ISERROR(SEARCH("Worlds Team",H1)))</formula>
    </cfRule>
    <cfRule type="containsText" dxfId="409" priority="16" operator="containsText" text="National Team">
      <formula>NOT(ISERROR(SEARCH("National Team",H1)))</formula>
    </cfRule>
  </conditionalFormatting>
  <conditionalFormatting sqref="S4:AS6">
    <cfRule type="expression" dxfId="408" priority="11" stopIfTrue="1">
      <formula>IF($AH4&lt;&gt;"",1,0)</formula>
    </cfRule>
  </conditionalFormatting>
  <conditionalFormatting sqref="AT4:BT6">
    <cfRule type="expression" dxfId="407" priority="10" stopIfTrue="1">
      <formula>IF($BI4&lt;&gt;"",1,0)</formula>
    </cfRule>
  </conditionalFormatting>
  <conditionalFormatting sqref="A4:A1048576">
    <cfRule type="expression" dxfId="406" priority="7">
      <formula>AND(G4&lt;&gt;"",F4="")</formula>
    </cfRule>
    <cfRule type="expression" dxfId="405" priority="8" stopIfTrue="1">
      <formula>IF(A4&gt;4,1,0)</formula>
    </cfRule>
  </conditionalFormatting>
  <conditionalFormatting sqref="GT2">
    <cfRule type="cellIs" dxfId="404" priority="5" operator="between">
      <formula>HB$16</formula>
      <formula>1000</formula>
    </cfRule>
    <cfRule type="cellIs" dxfId="403" priority="6" operator="between">
      <formula>HB$15</formula>
      <formula>HB$16</formula>
    </cfRule>
  </conditionalFormatting>
  <conditionalFormatting sqref="K1:K1048576 M1:M1048576 O1:O1048576">
    <cfRule type="expression" dxfId="402" priority="3" stopIfTrue="1">
      <formula>IF(K1=$AT$1,1,0)</formula>
    </cfRule>
    <cfRule type="expression" dxfId="401" priority="4">
      <formula>IF(K1=$S$1,1,0)</formula>
    </cfRule>
  </conditionalFormatting>
  <conditionalFormatting sqref="AO1:AO1048576 BP1:BP1048576 CW1:CW1048576 EE1:EE1048576 FM1:FM1048576 GU1:GU1048576 IC1:IC1048576 JK1:JK1048576 KS1:KS1048576 MA1:MA1048576 NI1:NI1048576 OQ1:OQ1048576 PY1:PY1048576 RG1:RG1048576 SO1:SO1048576 TW1:TW1048576 VE1:VE1048576">
    <cfRule type="cellIs" dxfId="1" priority="182857" operator="between">
      <formula>AS$13</formula>
      <formula>AS$14</formula>
    </cfRule>
  </conditionalFormatting>
  <conditionalFormatting sqref="AL1:AL1048576 BM1:BM1048576 CT1:CT1048576 EB1:EB1048576 FJ1:FJ1048576 GR1:GR1048576 HZ1:HZ1048576 JH1:JH1048576 KP1:KP1048576 LX1:LX1048576 NF1:NF1048576 ON1:ON1048576 PV1:PV1048576 RD1:RD1048576 SL1:SL1048576 TT1:TT1048576 VB1:VB1048576">
    <cfRule type="cellIs" dxfId="0" priority="182908" stopIfTrue="1" operator="between">
      <formula>AS$9</formula>
      <formula>AS$10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E604-BB96-B445-B3A7-F7FD16098DE3}">
  <sheetPr codeName="Sheet7"/>
  <dimension ref="A1:WJ52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hidden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2" customWidth="1"/>
    <col min="44" max="59" width="10.83203125" hidden="1" customWidth="1"/>
    <col min="60" max="70" width="10.83203125" style="32" customWidth="1"/>
    <col min="71" max="86" width="10.83203125" hidden="1" customWidth="1"/>
    <col min="87" max="97" width="10.83203125" style="32" customWidth="1"/>
    <col min="98" max="98" width="12.83203125" style="32" customWidth="1"/>
    <col min="99" max="118" width="10.83203125" hidden="1" customWidth="1"/>
    <col min="119" max="131" width="10.83203125" customWidth="1"/>
    <col min="132" max="132" width="10.83203125" style="32" customWidth="1"/>
    <col min="133" max="152" width="10.83203125" hidden="1" customWidth="1"/>
    <col min="153" max="165" width="10.83203125" customWidth="1"/>
    <col min="166" max="166" width="10.83203125" style="32" customWidth="1"/>
    <col min="167" max="186" width="10.83203125" hidden="1" customWidth="1"/>
    <col min="187" max="199" width="10.83203125" customWidth="1"/>
    <col min="200" max="200" width="10.83203125" style="32" customWidth="1"/>
    <col min="201" max="220" width="10.83203125" hidden="1" customWidth="1"/>
    <col min="221" max="233" width="10.83203125" customWidth="1"/>
    <col min="234" max="234" width="10.83203125" style="32" customWidth="1"/>
    <col min="235" max="254" width="10.83203125" hidden="1" customWidth="1"/>
    <col min="255" max="267" width="10.83203125" customWidth="1"/>
    <col min="268" max="268" width="10.83203125" style="32" customWidth="1"/>
    <col min="269" max="288" width="10.83203125" hidden="1" customWidth="1"/>
    <col min="289" max="302" width="10.83203125" customWidth="1"/>
    <col min="303" max="322" width="10.83203125" hidden="1" customWidth="1"/>
    <col min="323" max="336" width="10.83203125" customWidth="1"/>
    <col min="337" max="356" width="10.83203125" hidden="1" customWidth="1"/>
    <col min="357" max="370" width="10.83203125" customWidth="1"/>
    <col min="371" max="533" width="10.83203125" hidden="1" customWidth="1"/>
    <col min="534" max="534" width="11.83203125" hidden="1" customWidth="1"/>
    <col min="535" max="535" width="12.83203125" hidden="1" customWidth="1"/>
    <col min="536" max="567" width="10.83203125" hidden="1" customWidth="1"/>
    <col min="568" max="568" width="11.83203125" hidden="1" customWidth="1"/>
    <col min="569" max="569" width="12.83203125" hidden="1" customWidth="1"/>
    <col min="570" max="601" width="10.83203125" hidden="1" customWidth="1"/>
    <col min="602" max="602" width="11.83203125" hidden="1" customWidth="1"/>
    <col min="603" max="603" width="12.83203125" hidden="1" customWidth="1"/>
    <col min="604" max="608" width="10.83203125" hidden="1" customWidth="1"/>
  </cols>
  <sheetData>
    <row r="1" spans="1:608" x14ac:dyDescent="0.2">
      <c r="A1" s="57" t="s">
        <v>1</v>
      </c>
      <c r="B1" s="57" t="s">
        <v>26</v>
      </c>
      <c r="C1" s="57" t="s">
        <v>0</v>
      </c>
      <c r="D1" s="57" t="s">
        <v>44</v>
      </c>
      <c r="E1" s="57" t="s">
        <v>2</v>
      </c>
      <c r="F1" s="58" t="s">
        <v>177</v>
      </c>
      <c r="G1" s="57" t="s">
        <v>9</v>
      </c>
      <c r="H1" s="57" t="s">
        <v>10</v>
      </c>
      <c r="I1" s="57" t="s">
        <v>61</v>
      </c>
      <c r="J1" s="53" t="s">
        <v>74</v>
      </c>
      <c r="K1" s="52" t="s">
        <v>28</v>
      </c>
      <c r="L1" s="53" t="s">
        <v>84</v>
      </c>
      <c r="M1" s="52" t="s">
        <v>28</v>
      </c>
      <c r="N1" s="59" t="s">
        <v>12</v>
      </c>
      <c r="O1" s="52" t="s">
        <v>29</v>
      </c>
      <c r="P1" s="52" t="s">
        <v>28</v>
      </c>
      <c r="Q1" s="56" t="s">
        <v>134</v>
      </c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61" t="s">
        <v>150</v>
      </c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56" t="s">
        <v>231</v>
      </c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0"/>
      <c r="CU1" s="56" t="s">
        <v>127</v>
      </c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  <c r="DU1" s="56"/>
      <c r="DV1" s="56"/>
      <c r="DW1" s="56"/>
      <c r="DX1" s="56"/>
      <c r="DY1" s="56"/>
      <c r="DZ1" s="56"/>
      <c r="EA1" s="56"/>
      <c r="EB1" s="56"/>
      <c r="EC1" s="61" t="s">
        <v>129</v>
      </c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56" t="s">
        <v>141</v>
      </c>
      <c r="FL1" s="56"/>
      <c r="FM1" s="56"/>
      <c r="FN1" s="56"/>
      <c r="FO1" s="56"/>
      <c r="FP1" s="56"/>
      <c r="FQ1" s="56"/>
      <c r="FR1" s="56"/>
      <c r="FS1" s="56"/>
      <c r="FT1" s="56"/>
      <c r="FU1" s="56"/>
      <c r="FV1" s="56"/>
      <c r="FW1" s="56"/>
      <c r="FX1" s="56"/>
      <c r="FY1" s="56"/>
      <c r="FZ1" s="56"/>
      <c r="GA1" s="56"/>
      <c r="GB1" s="56"/>
      <c r="GC1" s="56"/>
      <c r="GD1" s="56"/>
      <c r="GE1" s="56"/>
      <c r="GF1" s="56"/>
      <c r="GG1" s="56"/>
      <c r="GH1" s="56"/>
      <c r="GI1" s="56"/>
      <c r="GJ1" s="56"/>
      <c r="GK1" s="56"/>
      <c r="GL1" s="56"/>
      <c r="GM1" s="56"/>
      <c r="GN1" s="56"/>
      <c r="GO1" s="56"/>
      <c r="GP1" s="56"/>
      <c r="GQ1" s="56"/>
      <c r="GR1" s="56"/>
      <c r="GS1" s="61" t="s">
        <v>145</v>
      </c>
      <c r="GT1" s="61"/>
      <c r="GU1" s="61"/>
      <c r="GV1" s="61"/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61"/>
      <c r="HN1" s="61"/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56" t="s">
        <v>153</v>
      </c>
      <c r="IB1" s="56"/>
      <c r="IC1" s="56"/>
      <c r="ID1" s="56"/>
      <c r="IE1" s="56"/>
      <c r="IF1" s="56"/>
      <c r="IG1" s="56"/>
      <c r="IH1" s="56"/>
      <c r="II1" s="56"/>
      <c r="IJ1" s="56"/>
      <c r="IK1" s="56"/>
      <c r="IL1" s="56"/>
      <c r="IM1" s="56"/>
      <c r="IN1" s="56"/>
      <c r="IO1" s="56"/>
      <c r="IP1" s="56"/>
      <c r="IQ1" s="56"/>
      <c r="IR1" s="56"/>
      <c r="IS1" s="56"/>
      <c r="IT1" s="56"/>
      <c r="IU1" s="56"/>
      <c r="IV1" s="56"/>
      <c r="IW1" s="56"/>
      <c r="IX1" s="56"/>
      <c r="IY1" s="56"/>
      <c r="IZ1" s="56"/>
      <c r="JA1" s="56"/>
      <c r="JB1" s="56"/>
      <c r="JC1" s="56"/>
      <c r="JD1" s="56"/>
      <c r="JE1" s="56"/>
      <c r="JF1" s="56"/>
      <c r="JG1" s="56"/>
      <c r="JH1" s="56"/>
      <c r="JI1" s="61" t="s">
        <v>162</v>
      </c>
      <c r="JJ1" s="61"/>
      <c r="JK1" s="61"/>
      <c r="JL1" s="61"/>
      <c r="JM1" s="61"/>
      <c r="JN1" s="61"/>
      <c r="JO1" s="61"/>
      <c r="JP1" s="61"/>
      <c r="JQ1" s="61"/>
      <c r="JR1" s="61"/>
      <c r="JS1" s="61"/>
      <c r="JT1" s="61"/>
      <c r="JU1" s="61"/>
      <c r="JV1" s="61"/>
      <c r="JW1" s="61"/>
      <c r="JX1" s="61"/>
      <c r="JY1" s="61"/>
      <c r="JZ1" s="61"/>
      <c r="KA1" s="61"/>
      <c r="KB1" s="61"/>
      <c r="KC1" s="61"/>
      <c r="KD1" s="61"/>
      <c r="KE1" s="61"/>
      <c r="KF1" s="61"/>
      <c r="KG1" s="61"/>
      <c r="KH1" s="61"/>
      <c r="KI1" s="61"/>
      <c r="KJ1" s="61"/>
      <c r="KK1" s="61"/>
      <c r="KL1" s="61"/>
      <c r="KM1" s="61"/>
      <c r="KN1" s="61"/>
      <c r="KO1" s="61"/>
      <c r="KP1" s="61"/>
      <c r="KQ1" s="56" t="s">
        <v>165</v>
      </c>
      <c r="KR1" s="56"/>
      <c r="KS1" s="56"/>
      <c r="KT1" s="56"/>
      <c r="KU1" s="56"/>
      <c r="KV1" s="56"/>
      <c r="KW1" s="56"/>
      <c r="KX1" s="56"/>
      <c r="KY1" s="56"/>
      <c r="KZ1" s="56"/>
      <c r="LA1" s="56"/>
      <c r="LB1" s="56"/>
      <c r="LC1" s="56"/>
      <c r="LD1" s="56"/>
      <c r="LE1" s="56"/>
      <c r="LF1" s="56"/>
      <c r="LG1" s="56"/>
      <c r="LH1" s="56"/>
      <c r="LI1" s="56"/>
      <c r="LJ1" s="56"/>
      <c r="LK1" s="56"/>
      <c r="LL1" s="56"/>
      <c r="LM1" s="56"/>
      <c r="LN1" s="56"/>
      <c r="LO1" s="56"/>
      <c r="LP1" s="56"/>
      <c r="LQ1" s="56"/>
      <c r="LR1" s="56"/>
      <c r="LS1" s="56"/>
      <c r="LT1" s="56"/>
      <c r="LU1" s="56"/>
      <c r="LV1" s="56"/>
      <c r="LW1" s="56"/>
      <c r="LX1" s="56"/>
      <c r="LY1" s="61" t="s">
        <v>171</v>
      </c>
      <c r="LZ1" s="61"/>
      <c r="MA1" s="61"/>
      <c r="MB1" s="61"/>
      <c r="MC1" s="61"/>
      <c r="MD1" s="61"/>
      <c r="ME1" s="61"/>
      <c r="MF1" s="61"/>
      <c r="MG1" s="61"/>
      <c r="MH1" s="61"/>
      <c r="MI1" s="61"/>
      <c r="MJ1" s="61"/>
      <c r="MK1" s="61"/>
      <c r="ML1" s="61"/>
      <c r="MM1" s="61"/>
      <c r="MN1" s="61"/>
      <c r="MO1" s="61"/>
      <c r="MP1" s="61"/>
      <c r="MQ1" s="61"/>
      <c r="MR1" s="61"/>
      <c r="MS1" s="61"/>
      <c r="MT1" s="61"/>
      <c r="MU1" s="61"/>
      <c r="MV1" s="61"/>
      <c r="MW1" s="61"/>
      <c r="MX1" s="61"/>
      <c r="MY1" s="61"/>
      <c r="MZ1" s="61"/>
      <c r="NA1" s="61"/>
      <c r="NB1" s="61"/>
      <c r="NC1" s="61"/>
      <c r="ND1" s="61"/>
      <c r="NE1" s="61"/>
      <c r="NF1" s="61"/>
      <c r="NG1" s="56"/>
      <c r="NH1" s="56"/>
      <c r="NI1" s="56"/>
      <c r="NJ1" s="56"/>
      <c r="NK1" s="56"/>
      <c r="NL1" s="56"/>
      <c r="NM1" s="56"/>
      <c r="NN1" s="56"/>
      <c r="NO1" s="56"/>
      <c r="NP1" s="56"/>
      <c r="NQ1" s="56"/>
      <c r="NR1" s="56"/>
      <c r="NS1" s="56"/>
      <c r="NT1" s="56"/>
      <c r="NU1" s="56"/>
      <c r="NV1" s="56"/>
      <c r="NW1" s="56"/>
      <c r="NX1" s="56"/>
      <c r="NY1" s="56"/>
      <c r="NZ1" s="56"/>
      <c r="OA1" s="56"/>
      <c r="OB1" s="56"/>
      <c r="OC1" s="56"/>
      <c r="OD1" s="56"/>
      <c r="OE1" s="56"/>
      <c r="OF1" s="56"/>
      <c r="OG1" s="56"/>
      <c r="OH1" s="56"/>
      <c r="OI1" s="56"/>
      <c r="OJ1" s="56"/>
      <c r="OK1" s="56"/>
      <c r="OL1" s="56"/>
      <c r="OM1" s="56"/>
      <c r="ON1" s="56"/>
      <c r="OO1" s="61"/>
      <c r="OP1" s="61"/>
      <c r="OQ1" s="61"/>
      <c r="OR1" s="61"/>
      <c r="OS1" s="61"/>
      <c r="OT1" s="61"/>
      <c r="OU1" s="61"/>
      <c r="OV1" s="61"/>
      <c r="OW1" s="61"/>
      <c r="OX1" s="61"/>
      <c r="OY1" s="61"/>
      <c r="OZ1" s="61"/>
      <c r="PA1" s="61"/>
      <c r="PB1" s="61"/>
      <c r="PC1" s="61"/>
      <c r="PD1" s="61"/>
      <c r="PE1" s="61"/>
      <c r="PF1" s="61"/>
      <c r="PG1" s="61"/>
      <c r="PH1" s="61"/>
      <c r="PI1" s="61"/>
      <c r="PJ1" s="61"/>
      <c r="PK1" s="61"/>
      <c r="PL1" s="61"/>
      <c r="PM1" s="61"/>
      <c r="PN1" s="61"/>
      <c r="PO1" s="61"/>
      <c r="PP1" s="61"/>
      <c r="PQ1" s="61"/>
      <c r="PR1" s="61"/>
      <c r="PS1" s="61"/>
      <c r="PT1" s="61"/>
      <c r="PU1" s="61"/>
      <c r="PV1" s="61"/>
      <c r="PW1" s="56"/>
      <c r="PX1" s="56"/>
      <c r="PY1" s="56"/>
      <c r="PZ1" s="56"/>
      <c r="QA1" s="56"/>
      <c r="QB1" s="56"/>
      <c r="QC1" s="56"/>
      <c r="QD1" s="56"/>
      <c r="QE1" s="56"/>
      <c r="QF1" s="56"/>
      <c r="QG1" s="56"/>
      <c r="QH1" s="56"/>
      <c r="QI1" s="56"/>
      <c r="QJ1" s="56"/>
      <c r="QK1" s="56"/>
      <c r="QL1" s="56"/>
      <c r="QM1" s="56"/>
      <c r="QN1" s="56"/>
      <c r="QO1" s="56"/>
      <c r="QP1" s="56"/>
      <c r="QQ1" s="56"/>
      <c r="QR1" s="56"/>
      <c r="QS1" s="56"/>
      <c r="QT1" s="56"/>
      <c r="QU1" s="56"/>
      <c r="QV1" s="56"/>
      <c r="QW1" s="56"/>
      <c r="QX1" s="56"/>
      <c r="QY1" s="56"/>
      <c r="QZ1" s="56"/>
      <c r="RA1" s="56"/>
      <c r="RB1" s="56"/>
      <c r="RC1" s="56"/>
      <c r="RD1" s="56"/>
      <c r="RE1" s="61"/>
      <c r="RF1" s="61"/>
      <c r="RG1" s="61"/>
      <c r="RH1" s="61"/>
      <c r="RI1" s="61"/>
      <c r="RJ1" s="61"/>
      <c r="RK1" s="61"/>
      <c r="RL1" s="61"/>
      <c r="RM1" s="61"/>
      <c r="RN1" s="61"/>
      <c r="RO1" s="61"/>
      <c r="RP1" s="61"/>
      <c r="RQ1" s="61"/>
      <c r="RR1" s="61"/>
      <c r="RS1" s="61"/>
      <c r="RT1" s="61"/>
      <c r="RU1" s="61"/>
      <c r="RV1" s="61"/>
      <c r="RW1" s="61"/>
      <c r="RX1" s="61"/>
      <c r="RY1" s="61"/>
      <c r="RZ1" s="61"/>
      <c r="SA1" s="61"/>
      <c r="SB1" s="61"/>
      <c r="SC1" s="61"/>
      <c r="SD1" s="61"/>
      <c r="SE1" s="61"/>
      <c r="SF1" s="61"/>
      <c r="SG1" s="61"/>
      <c r="SH1" s="61"/>
      <c r="SI1" s="61"/>
      <c r="SJ1" s="61"/>
      <c r="SK1" s="61"/>
      <c r="SL1" s="61"/>
      <c r="SM1" s="56"/>
      <c r="SN1" s="56"/>
      <c r="SO1" s="56"/>
      <c r="SP1" s="56"/>
      <c r="SQ1" s="56"/>
      <c r="SR1" s="56"/>
      <c r="SS1" s="56"/>
      <c r="ST1" s="56"/>
      <c r="SU1" s="56"/>
      <c r="SV1" s="56"/>
      <c r="SW1" s="56"/>
      <c r="SX1" s="56"/>
      <c r="SY1" s="56"/>
      <c r="SZ1" s="56"/>
      <c r="TA1" s="56"/>
      <c r="TB1" s="56"/>
      <c r="TC1" s="56"/>
      <c r="TD1" s="56"/>
      <c r="TE1" s="56"/>
      <c r="TF1" s="56"/>
      <c r="TG1" s="56"/>
      <c r="TH1" s="56"/>
      <c r="TI1" s="56"/>
      <c r="TJ1" s="56"/>
      <c r="TK1" s="56"/>
      <c r="TL1" s="56"/>
      <c r="TM1" s="56"/>
      <c r="TN1" s="56"/>
      <c r="TO1" s="56"/>
      <c r="TP1" s="56"/>
      <c r="TQ1" s="56"/>
      <c r="TR1" s="56"/>
      <c r="TS1" s="56"/>
      <c r="TT1" s="56"/>
      <c r="TU1" s="61"/>
      <c r="TV1" s="61"/>
      <c r="TW1" s="61"/>
      <c r="TX1" s="61"/>
      <c r="TY1" s="61"/>
      <c r="TZ1" s="61"/>
      <c r="UA1" s="61"/>
      <c r="UB1" s="61"/>
      <c r="UC1" s="61"/>
      <c r="UD1" s="61"/>
      <c r="UE1" s="61"/>
      <c r="UF1" s="61"/>
      <c r="UG1" s="61"/>
      <c r="UH1" s="61"/>
      <c r="UI1" s="61"/>
      <c r="UJ1" s="61"/>
      <c r="UK1" s="61"/>
      <c r="UL1" s="61"/>
      <c r="UM1" s="61"/>
      <c r="UN1" s="61"/>
      <c r="UO1" s="61"/>
      <c r="UP1" s="61"/>
      <c r="UQ1" s="61"/>
      <c r="UR1" s="61"/>
      <c r="US1" s="61"/>
      <c r="UT1" s="61"/>
      <c r="UU1" s="61"/>
      <c r="UV1" s="61"/>
      <c r="UW1" s="61"/>
      <c r="UX1" s="61"/>
      <c r="UY1" s="61"/>
      <c r="UZ1" s="61"/>
      <c r="VA1" s="61"/>
      <c r="VB1" s="61"/>
      <c r="VC1" s="56"/>
      <c r="VD1" s="56"/>
      <c r="VE1" s="56"/>
      <c r="VF1" s="56"/>
      <c r="VG1" s="56"/>
      <c r="VH1" s="56"/>
      <c r="VI1" s="56"/>
      <c r="VJ1" s="56"/>
      <c r="VK1" s="56"/>
      <c r="VL1" s="56"/>
      <c r="VM1" s="56"/>
      <c r="VN1" s="56"/>
      <c r="VO1" s="56"/>
      <c r="VP1" s="56"/>
      <c r="VQ1" s="56"/>
      <c r="VR1" s="56"/>
      <c r="VS1" s="56"/>
      <c r="VT1" s="56"/>
      <c r="VU1" s="56"/>
      <c r="VV1" s="56"/>
      <c r="VW1" s="56"/>
      <c r="VX1" s="56"/>
      <c r="VY1" s="56"/>
      <c r="VZ1" s="56"/>
      <c r="WA1" s="56"/>
      <c r="WB1" s="56"/>
      <c r="WC1" s="56"/>
      <c r="WD1" s="56"/>
      <c r="WE1" s="56"/>
      <c r="WF1" s="56"/>
      <c r="WG1" s="56"/>
      <c r="WH1" s="56"/>
      <c r="WI1" s="56"/>
      <c r="WJ1" s="56"/>
    </row>
    <row r="2" spans="1:608" x14ac:dyDescent="0.2">
      <c r="A2" s="57"/>
      <c r="B2" s="57"/>
      <c r="C2" s="57"/>
      <c r="D2" s="57"/>
      <c r="E2" s="57"/>
      <c r="F2" s="58"/>
      <c r="G2" s="57"/>
      <c r="H2" s="57"/>
      <c r="I2" s="57"/>
      <c r="J2" s="53"/>
      <c r="K2" s="52"/>
      <c r="L2" s="53"/>
      <c r="M2" s="52"/>
      <c r="N2" s="59"/>
      <c r="O2" s="52"/>
      <c r="P2" s="52"/>
      <c r="Q2" s="55" t="s">
        <v>17</v>
      </c>
      <c r="R2" s="55"/>
      <c r="S2" s="55"/>
      <c r="T2" s="55"/>
      <c r="U2" s="55"/>
      <c r="V2" s="55" t="s">
        <v>18</v>
      </c>
      <c r="W2" s="55"/>
      <c r="X2" s="55"/>
      <c r="Y2" s="55"/>
      <c r="Z2" s="55"/>
      <c r="AA2" s="55" t="s">
        <v>21</v>
      </c>
      <c r="AB2" s="55"/>
      <c r="AC2" s="55"/>
      <c r="AD2" s="55"/>
      <c r="AE2" s="55"/>
      <c r="AF2" s="14"/>
      <c r="AG2" s="14" t="s">
        <v>66</v>
      </c>
      <c r="AH2" s="14" t="s">
        <v>67</v>
      </c>
      <c r="AI2" s="14" t="s">
        <v>19</v>
      </c>
      <c r="AJ2" s="14" t="s">
        <v>58</v>
      </c>
      <c r="AK2" s="14" t="s">
        <v>68</v>
      </c>
      <c r="AL2" s="14" t="s">
        <v>20</v>
      </c>
      <c r="AM2" s="14" t="s">
        <v>22</v>
      </c>
      <c r="AN2" s="14" t="s">
        <v>69</v>
      </c>
      <c r="AO2" s="14" t="s">
        <v>70</v>
      </c>
      <c r="AP2" s="14" t="s">
        <v>21</v>
      </c>
      <c r="AQ2" s="14" t="s">
        <v>16</v>
      </c>
      <c r="AR2" s="60" t="s">
        <v>17</v>
      </c>
      <c r="AS2" s="60"/>
      <c r="AT2" s="60"/>
      <c r="AU2" s="60"/>
      <c r="AV2" s="60"/>
      <c r="AW2" s="60" t="s">
        <v>18</v>
      </c>
      <c r="AX2" s="60"/>
      <c r="AY2" s="60"/>
      <c r="AZ2" s="60"/>
      <c r="BA2" s="60"/>
      <c r="BB2" s="60" t="s">
        <v>21</v>
      </c>
      <c r="BC2" s="60"/>
      <c r="BD2" s="60"/>
      <c r="BE2" s="60"/>
      <c r="BF2" s="60"/>
      <c r="BG2" s="13"/>
      <c r="BH2" s="13" t="s">
        <v>66</v>
      </c>
      <c r="BI2" s="13" t="s">
        <v>67</v>
      </c>
      <c r="BJ2" s="13" t="s">
        <v>19</v>
      </c>
      <c r="BK2" s="13" t="s">
        <v>58</v>
      </c>
      <c r="BL2" s="13" t="s">
        <v>68</v>
      </c>
      <c r="BM2" s="13" t="s">
        <v>20</v>
      </c>
      <c r="BN2" s="13" t="s">
        <v>22</v>
      </c>
      <c r="BO2" s="13" t="s">
        <v>69</v>
      </c>
      <c r="BP2" s="13" t="s">
        <v>70</v>
      </c>
      <c r="BQ2" s="13" t="s">
        <v>21</v>
      </c>
      <c r="BR2" s="13" t="s">
        <v>16</v>
      </c>
      <c r="BS2" s="55" t="s">
        <v>17</v>
      </c>
      <c r="BT2" s="55"/>
      <c r="BU2" s="55"/>
      <c r="BV2" s="55"/>
      <c r="BW2" s="55"/>
      <c r="BX2" s="55" t="s">
        <v>18</v>
      </c>
      <c r="BY2" s="55"/>
      <c r="BZ2" s="55"/>
      <c r="CA2" s="55"/>
      <c r="CB2" s="55"/>
      <c r="CC2" s="55" t="s">
        <v>21</v>
      </c>
      <c r="CD2" s="55"/>
      <c r="CE2" s="55"/>
      <c r="CF2" s="55"/>
      <c r="CG2" s="55"/>
      <c r="CH2" s="14"/>
      <c r="CI2" s="14" t="s">
        <v>66</v>
      </c>
      <c r="CJ2" s="14" t="s">
        <v>67</v>
      </c>
      <c r="CK2" s="14" t="s">
        <v>19</v>
      </c>
      <c r="CL2" s="14" t="s">
        <v>58</v>
      </c>
      <c r="CM2" s="14" t="s">
        <v>68</v>
      </c>
      <c r="CN2" s="14" t="s">
        <v>20</v>
      </c>
      <c r="CO2" s="14" t="s">
        <v>22</v>
      </c>
      <c r="CP2" s="14" t="s">
        <v>69</v>
      </c>
      <c r="CQ2" s="14" t="s">
        <v>70</v>
      </c>
      <c r="CR2" s="14" t="s">
        <v>21</v>
      </c>
      <c r="CS2" s="14" t="s">
        <v>16</v>
      </c>
      <c r="CT2" s="46" t="s">
        <v>176</v>
      </c>
      <c r="CU2" s="55" t="s">
        <v>17</v>
      </c>
      <c r="CV2" s="55"/>
      <c r="CW2" s="55"/>
      <c r="CX2" s="55"/>
      <c r="CY2" s="55"/>
      <c r="CZ2" s="55" t="s">
        <v>18</v>
      </c>
      <c r="DA2" s="55"/>
      <c r="DB2" s="55"/>
      <c r="DC2" s="55"/>
      <c r="DD2" s="55"/>
      <c r="DE2" s="55" t="s">
        <v>71</v>
      </c>
      <c r="DF2" s="55"/>
      <c r="DG2" s="55"/>
      <c r="DH2" s="55"/>
      <c r="DI2" s="55"/>
      <c r="DJ2" s="55" t="s">
        <v>21</v>
      </c>
      <c r="DK2" s="55"/>
      <c r="DL2" s="55"/>
      <c r="DM2" s="55"/>
      <c r="DN2" s="55"/>
      <c r="DO2" s="14" t="s">
        <v>66</v>
      </c>
      <c r="DP2" s="14" t="s">
        <v>67</v>
      </c>
      <c r="DQ2" s="14" t="s">
        <v>19</v>
      </c>
      <c r="DR2" s="14" t="s">
        <v>58</v>
      </c>
      <c r="DS2" s="14" t="s">
        <v>68</v>
      </c>
      <c r="DT2" s="14" t="s">
        <v>20</v>
      </c>
      <c r="DU2" s="14" t="s">
        <v>22</v>
      </c>
      <c r="DV2" s="14" t="s">
        <v>72</v>
      </c>
      <c r="DW2" s="14" t="s">
        <v>73</v>
      </c>
      <c r="DX2" s="14" t="s">
        <v>71</v>
      </c>
      <c r="DY2" s="14" t="s">
        <v>69</v>
      </c>
      <c r="DZ2" s="14" t="s">
        <v>70</v>
      </c>
      <c r="EA2" s="14" t="s">
        <v>21</v>
      </c>
      <c r="EB2" s="14" t="s">
        <v>16</v>
      </c>
      <c r="EC2" s="60" t="s">
        <v>17</v>
      </c>
      <c r="ED2" s="60"/>
      <c r="EE2" s="60"/>
      <c r="EF2" s="60"/>
      <c r="EG2" s="60"/>
      <c r="EH2" s="60" t="s">
        <v>18</v>
      </c>
      <c r="EI2" s="60"/>
      <c r="EJ2" s="60"/>
      <c r="EK2" s="60"/>
      <c r="EL2" s="60"/>
      <c r="EM2" s="60" t="s">
        <v>71</v>
      </c>
      <c r="EN2" s="60"/>
      <c r="EO2" s="60"/>
      <c r="EP2" s="60"/>
      <c r="EQ2" s="60"/>
      <c r="ER2" s="60" t="s">
        <v>21</v>
      </c>
      <c r="ES2" s="60"/>
      <c r="ET2" s="60"/>
      <c r="EU2" s="60"/>
      <c r="EV2" s="60"/>
      <c r="EW2" s="13" t="s">
        <v>66</v>
      </c>
      <c r="EX2" s="13" t="s">
        <v>67</v>
      </c>
      <c r="EY2" s="13" t="s">
        <v>19</v>
      </c>
      <c r="EZ2" s="13" t="s">
        <v>58</v>
      </c>
      <c r="FA2" s="13" t="s">
        <v>68</v>
      </c>
      <c r="FB2" s="13" t="s">
        <v>20</v>
      </c>
      <c r="FC2" s="13" t="s">
        <v>22</v>
      </c>
      <c r="FD2" s="13" t="s">
        <v>72</v>
      </c>
      <c r="FE2" s="13" t="s">
        <v>73</v>
      </c>
      <c r="FF2" s="13" t="s">
        <v>71</v>
      </c>
      <c r="FG2" s="13" t="s">
        <v>69</v>
      </c>
      <c r="FH2" s="13" t="s">
        <v>70</v>
      </c>
      <c r="FI2" s="13" t="s">
        <v>21</v>
      </c>
      <c r="FJ2" s="13" t="s">
        <v>16</v>
      </c>
      <c r="FK2" s="55" t="s">
        <v>17</v>
      </c>
      <c r="FL2" s="55"/>
      <c r="FM2" s="55"/>
      <c r="FN2" s="55"/>
      <c r="FO2" s="55"/>
      <c r="FP2" s="55" t="s">
        <v>18</v>
      </c>
      <c r="FQ2" s="55"/>
      <c r="FR2" s="55"/>
      <c r="FS2" s="55"/>
      <c r="FT2" s="55"/>
      <c r="FU2" s="55" t="s">
        <v>71</v>
      </c>
      <c r="FV2" s="55"/>
      <c r="FW2" s="55"/>
      <c r="FX2" s="55"/>
      <c r="FY2" s="55"/>
      <c r="FZ2" s="55" t="s">
        <v>21</v>
      </c>
      <c r="GA2" s="55"/>
      <c r="GB2" s="55"/>
      <c r="GC2" s="55"/>
      <c r="GD2" s="55"/>
      <c r="GE2" s="14" t="s">
        <v>66</v>
      </c>
      <c r="GF2" s="14" t="s">
        <v>67</v>
      </c>
      <c r="GG2" s="14" t="s">
        <v>19</v>
      </c>
      <c r="GH2" s="14" t="s">
        <v>58</v>
      </c>
      <c r="GI2" s="14" t="s">
        <v>68</v>
      </c>
      <c r="GJ2" s="14" t="s">
        <v>20</v>
      </c>
      <c r="GK2" s="14" t="s">
        <v>22</v>
      </c>
      <c r="GL2" s="14" t="s">
        <v>72</v>
      </c>
      <c r="GM2" s="14" t="s">
        <v>73</v>
      </c>
      <c r="GN2" s="14" t="s">
        <v>71</v>
      </c>
      <c r="GO2" s="14" t="s">
        <v>69</v>
      </c>
      <c r="GP2" s="14" t="s">
        <v>70</v>
      </c>
      <c r="GQ2" s="14" t="s">
        <v>21</v>
      </c>
      <c r="GR2" s="14" t="s">
        <v>16</v>
      </c>
      <c r="GS2" s="60" t="s">
        <v>17</v>
      </c>
      <c r="GT2" s="60"/>
      <c r="GU2" s="60"/>
      <c r="GV2" s="60"/>
      <c r="GW2" s="60"/>
      <c r="GX2" s="60" t="s">
        <v>18</v>
      </c>
      <c r="GY2" s="60"/>
      <c r="GZ2" s="60"/>
      <c r="HA2" s="60"/>
      <c r="HB2" s="60"/>
      <c r="HC2" s="60" t="s">
        <v>71</v>
      </c>
      <c r="HD2" s="60"/>
      <c r="HE2" s="60"/>
      <c r="HF2" s="60"/>
      <c r="HG2" s="60"/>
      <c r="HH2" s="60" t="s">
        <v>21</v>
      </c>
      <c r="HI2" s="60"/>
      <c r="HJ2" s="60"/>
      <c r="HK2" s="60"/>
      <c r="HL2" s="60"/>
      <c r="HM2" s="13" t="s">
        <v>66</v>
      </c>
      <c r="HN2" s="13" t="s">
        <v>67</v>
      </c>
      <c r="HO2" s="13" t="s">
        <v>19</v>
      </c>
      <c r="HP2" s="13" t="s">
        <v>58</v>
      </c>
      <c r="HQ2" s="13" t="s">
        <v>68</v>
      </c>
      <c r="HR2" s="13" t="s">
        <v>20</v>
      </c>
      <c r="HS2" s="13" t="s">
        <v>22</v>
      </c>
      <c r="HT2" s="13" t="s">
        <v>72</v>
      </c>
      <c r="HU2" s="13" t="s">
        <v>73</v>
      </c>
      <c r="HV2" s="13" t="s">
        <v>71</v>
      </c>
      <c r="HW2" s="13" t="s">
        <v>69</v>
      </c>
      <c r="HX2" s="13" t="s">
        <v>70</v>
      </c>
      <c r="HY2" s="13" t="s">
        <v>21</v>
      </c>
      <c r="HZ2" s="13" t="s">
        <v>16</v>
      </c>
      <c r="IA2" s="55" t="s">
        <v>17</v>
      </c>
      <c r="IB2" s="55"/>
      <c r="IC2" s="55"/>
      <c r="ID2" s="55"/>
      <c r="IE2" s="55"/>
      <c r="IF2" s="55" t="s">
        <v>18</v>
      </c>
      <c r="IG2" s="55"/>
      <c r="IH2" s="55"/>
      <c r="II2" s="55"/>
      <c r="IJ2" s="55"/>
      <c r="IK2" s="55" t="s">
        <v>71</v>
      </c>
      <c r="IL2" s="55"/>
      <c r="IM2" s="55"/>
      <c r="IN2" s="55"/>
      <c r="IO2" s="55"/>
      <c r="IP2" s="55" t="s">
        <v>21</v>
      </c>
      <c r="IQ2" s="55"/>
      <c r="IR2" s="55"/>
      <c r="IS2" s="55"/>
      <c r="IT2" s="55"/>
      <c r="IU2" s="14" t="s">
        <v>66</v>
      </c>
      <c r="IV2" s="14" t="s">
        <v>67</v>
      </c>
      <c r="IW2" s="14" t="s">
        <v>19</v>
      </c>
      <c r="IX2" s="14" t="s">
        <v>58</v>
      </c>
      <c r="IY2" s="14" t="s">
        <v>68</v>
      </c>
      <c r="IZ2" s="14" t="s">
        <v>20</v>
      </c>
      <c r="JA2" s="14" t="s">
        <v>22</v>
      </c>
      <c r="JB2" s="14" t="s">
        <v>72</v>
      </c>
      <c r="JC2" s="14" t="s">
        <v>73</v>
      </c>
      <c r="JD2" s="14" t="s">
        <v>71</v>
      </c>
      <c r="JE2" s="14" t="s">
        <v>69</v>
      </c>
      <c r="JF2" s="14" t="s">
        <v>70</v>
      </c>
      <c r="JG2" s="14" t="s">
        <v>21</v>
      </c>
      <c r="JH2" s="14" t="s">
        <v>16</v>
      </c>
      <c r="JI2" s="60" t="s">
        <v>17</v>
      </c>
      <c r="JJ2" s="60"/>
      <c r="JK2" s="60"/>
      <c r="JL2" s="60"/>
      <c r="JM2" s="60"/>
      <c r="JN2" s="60" t="s">
        <v>18</v>
      </c>
      <c r="JO2" s="60"/>
      <c r="JP2" s="60"/>
      <c r="JQ2" s="60"/>
      <c r="JR2" s="60"/>
      <c r="JS2" s="60" t="s">
        <v>71</v>
      </c>
      <c r="JT2" s="60"/>
      <c r="JU2" s="60"/>
      <c r="JV2" s="60"/>
      <c r="JW2" s="60"/>
      <c r="JX2" s="60" t="s">
        <v>21</v>
      </c>
      <c r="JY2" s="60"/>
      <c r="JZ2" s="60"/>
      <c r="KA2" s="60"/>
      <c r="KB2" s="60"/>
      <c r="KC2" s="13" t="s">
        <v>66</v>
      </c>
      <c r="KD2" s="13" t="s">
        <v>67</v>
      </c>
      <c r="KE2" s="13" t="s">
        <v>19</v>
      </c>
      <c r="KF2" s="13" t="s">
        <v>58</v>
      </c>
      <c r="KG2" s="13" t="s">
        <v>68</v>
      </c>
      <c r="KH2" s="13" t="s">
        <v>20</v>
      </c>
      <c r="KI2" s="13" t="s">
        <v>22</v>
      </c>
      <c r="KJ2" s="13" t="s">
        <v>72</v>
      </c>
      <c r="KK2" s="13" t="s">
        <v>73</v>
      </c>
      <c r="KL2" s="13" t="s">
        <v>71</v>
      </c>
      <c r="KM2" s="13" t="s">
        <v>69</v>
      </c>
      <c r="KN2" s="13" t="s">
        <v>70</v>
      </c>
      <c r="KO2" s="13" t="s">
        <v>21</v>
      </c>
      <c r="KP2" s="13" t="s">
        <v>16</v>
      </c>
      <c r="KQ2" s="55" t="s">
        <v>17</v>
      </c>
      <c r="KR2" s="55"/>
      <c r="KS2" s="55"/>
      <c r="KT2" s="55"/>
      <c r="KU2" s="55"/>
      <c r="KV2" s="55" t="s">
        <v>18</v>
      </c>
      <c r="KW2" s="55"/>
      <c r="KX2" s="55"/>
      <c r="KY2" s="55"/>
      <c r="KZ2" s="55"/>
      <c r="LA2" s="55" t="s">
        <v>71</v>
      </c>
      <c r="LB2" s="55"/>
      <c r="LC2" s="55"/>
      <c r="LD2" s="55"/>
      <c r="LE2" s="55"/>
      <c r="LF2" s="55" t="s">
        <v>21</v>
      </c>
      <c r="LG2" s="55"/>
      <c r="LH2" s="55"/>
      <c r="LI2" s="55"/>
      <c r="LJ2" s="55"/>
      <c r="LK2" s="14" t="s">
        <v>66</v>
      </c>
      <c r="LL2" s="14" t="s">
        <v>67</v>
      </c>
      <c r="LM2" s="14" t="s">
        <v>19</v>
      </c>
      <c r="LN2" s="14" t="s">
        <v>58</v>
      </c>
      <c r="LO2" s="14" t="s">
        <v>68</v>
      </c>
      <c r="LP2" s="14" t="s">
        <v>20</v>
      </c>
      <c r="LQ2" s="14" t="s">
        <v>22</v>
      </c>
      <c r="LR2" s="14" t="s">
        <v>72</v>
      </c>
      <c r="LS2" s="14" t="s">
        <v>73</v>
      </c>
      <c r="LT2" s="14" t="s">
        <v>71</v>
      </c>
      <c r="LU2" s="14" t="s">
        <v>69</v>
      </c>
      <c r="LV2" s="14" t="s">
        <v>70</v>
      </c>
      <c r="LW2" s="14" t="s">
        <v>21</v>
      </c>
      <c r="LX2" s="14" t="s">
        <v>16</v>
      </c>
      <c r="LY2" s="60" t="s">
        <v>17</v>
      </c>
      <c r="LZ2" s="60"/>
      <c r="MA2" s="60"/>
      <c r="MB2" s="60"/>
      <c r="MC2" s="60"/>
      <c r="MD2" s="60" t="s">
        <v>18</v>
      </c>
      <c r="ME2" s="60"/>
      <c r="MF2" s="60"/>
      <c r="MG2" s="60"/>
      <c r="MH2" s="60"/>
      <c r="MI2" s="60" t="s">
        <v>71</v>
      </c>
      <c r="MJ2" s="60"/>
      <c r="MK2" s="60"/>
      <c r="ML2" s="60"/>
      <c r="MM2" s="60"/>
      <c r="MN2" s="60" t="s">
        <v>21</v>
      </c>
      <c r="MO2" s="60"/>
      <c r="MP2" s="60"/>
      <c r="MQ2" s="60"/>
      <c r="MR2" s="60"/>
      <c r="MS2" s="13" t="s">
        <v>66</v>
      </c>
      <c r="MT2" s="13" t="s">
        <v>67</v>
      </c>
      <c r="MU2" s="13" t="s">
        <v>19</v>
      </c>
      <c r="MV2" s="13" t="s">
        <v>58</v>
      </c>
      <c r="MW2" s="13" t="s">
        <v>68</v>
      </c>
      <c r="MX2" s="13" t="s">
        <v>20</v>
      </c>
      <c r="MY2" s="13" t="s">
        <v>22</v>
      </c>
      <c r="MZ2" s="13" t="s">
        <v>72</v>
      </c>
      <c r="NA2" s="13" t="s">
        <v>73</v>
      </c>
      <c r="NB2" s="13" t="s">
        <v>71</v>
      </c>
      <c r="NC2" s="13" t="s">
        <v>69</v>
      </c>
      <c r="ND2" s="13" t="s">
        <v>70</v>
      </c>
      <c r="NE2" s="13" t="s">
        <v>21</v>
      </c>
      <c r="NF2" s="13" t="s">
        <v>16</v>
      </c>
      <c r="NG2" s="55" t="s">
        <v>17</v>
      </c>
      <c r="NH2" s="55"/>
      <c r="NI2" s="55"/>
      <c r="NJ2" s="55"/>
      <c r="NK2" s="55"/>
      <c r="NL2" s="55" t="s">
        <v>18</v>
      </c>
      <c r="NM2" s="55"/>
      <c r="NN2" s="55"/>
      <c r="NO2" s="55"/>
      <c r="NP2" s="55"/>
      <c r="NQ2" s="55" t="s">
        <v>71</v>
      </c>
      <c r="NR2" s="55"/>
      <c r="NS2" s="55"/>
      <c r="NT2" s="55"/>
      <c r="NU2" s="55"/>
      <c r="NV2" s="55" t="s">
        <v>21</v>
      </c>
      <c r="NW2" s="55"/>
      <c r="NX2" s="55"/>
      <c r="NY2" s="55"/>
      <c r="NZ2" s="55"/>
      <c r="OA2" s="14" t="s">
        <v>66</v>
      </c>
      <c r="OB2" s="14" t="s">
        <v>67</v>
      </c>
      <c r="OC2" s="14" t="s">
        <v>19</v>
      </c>
      <c r="OD2" s="14" t="s">
        <v>58</v>
      </c>
      <c r="OE2" s="14" t="s">
        <v>68</v>
      </c>
      <c r="OF2" s="14" t="s">
        <v>20</v>
      </c>
      <c r="OG2" s="14" t="s">
        <v>22</v>
      </c>
      <c r="OH2" s="14" t="s">
        <v>72</v>
      </c>
      <c r="OI2" s="14" t="s">
        <v>73</v>
      </c>
      <c r="OJ2" s="14" t="s">
        <v>71</v>
      </c>
      <c r="OK2" s="14" t="s">
        <v>69</v>
      </c>
      <c r="OL2" s="14" t="s">
        <v>70</v>
      </c>
      <c r="OM2" s="14" t="s">
        <v>21</v>
      </c>
      <c r="ON2" s="14" t="s">
        <v>16</v>
      </c>
      <c r="OO2" s="60" t="s">
        <v>17</v>
      </c>
      <c r="OP2" s="60"/>
      <c r="OQ2" s="60"/>
      <c r="OR2" s="60"/>
      <c r="OS2" s="60"/>
      <c r="OT2" s="60" t="s">
        <v>18</v>
      </c>
      <c r="OU2" s="60"/>
      <c r="OV2" s="60"/>
      <c r="OW2" s="60"/>
      <c r="OX2" s="60"/>
      <c r="OY2" s="60" t="s">
        <v>71</v>
      </c>
      <c r="OZ2" s="60"/>
      <c r="PA2" s="60"/>
      <c r="PB2" s="60"/>
      <c r="PC2" s="60"/>
      <c r="PD2" s="60" t="s">
        <v>21</v>
      </c>
      <c r="PE2" s="60"/>
      <c r="PF2" s="60"/>
      <c r="PG2" s="60"/>
      <c r="PH2" s="60"/>
      <c r="PI2" s="13" t="s">
        <v>66</v>
      </c>
      <c r="PJ2" s="13" t="s">
        <v>67</v>
      </c>
      <c r="PK2" s="13" t="s">
        <v>19</v>
      </c>
      <c r="PL2" s="13" t="s">
        <v>58</v>
      </c>
      <c r="PM2" s="13" t="s">
        <v>68</v>
      </c>
      <c r="PN2" s="13" t="s">
        <v>20</v>
      </c>
      <c r="PO2" s="13" t="s">
        <v>22</v>
      </c>
      <c r="PP2" s="13" t="s">
        <v>72</v>
      </c>
      <c r="PQ2" s="13" t="s">
        <v>73</v>
      </c>
      <c r="PR2" s="13" t="s">
        <v>71</v>
      </c>
      <c r="PS2" s="13" t="s">
        <v>69</v>
      </c>
      <c r="PT2" s="13" t="s">
        <v>70</v>
      </c>
      <c r="PU2" s="13" t="s">
        <v>21</v>
      </c>
      <c r="PV2" s="13" t="s">
        <v>16</v>
      </c>
      <c r="PW2" s="55" t="s">
        <v>17</v>
      </c>
      <c r="PX2" s="55"/>
      <c r="PY2" s="55"/>
      <c r="PZ2" s="55"/>
      <c r="QA2" s="55"/>
      <c r="QB2" s="55" t="s">
        <v>18</v>
      </c>
      <c r="QC2" s="55"/>
      <c r="QD2" s="55"/>
      <c r="QE2" s="55"/>
      <c r="QF2" s="55"/>
      <c r="QG2" s="55" t="s">
        <v>71</v>
      </c>
      <c r="QH2" s="55"/>
      <c r="QI2" s="55"/>
      <c r="QJ2" s="55"/>
      <c r="QK2" s="55"/>
      <c r="QL2" s="55" t="s">
        <v>21</v>
      </c>
      <c r="QM2" s="55"/>
      <c r="QN2" s="55"/>
      <c r="QO2" s="55"/>
      <c r="QP2" s="55"/>
      <c r="QQ2" s="14" t="s">
        <v>66</v>
      </c>
      <c r="QR2" s="14" t="s">
        <v>67</v>
      </c>
      <c r="QS2" s="14" t="s">
        <v>19</v>
      </c>
      <c r="QT2" s="14" t="s">
        <v>58</v>
      </c>
      <c r="QU2" s="14" t="s">
        <v>68</v>
      </c>
      <c r="QV2" s="14" t="s">
        <v>20</v>
      </c>
      <c r="QW2" s="14" t="s">
        <v>22</v>
      </c>
      <c r="QX2" s="14" t="s">
        <v>72</v>
      </c>
      <c r="QY2" s="14" t="s">
        <v>73</v>
      </c>
      <c r="QZ2" s="14" t="s">
        <v>71</v>
      </c>
      <c r="RA2" s="14" t="s">
        <v>69</v>
      </c>
      <c r="RB2" s="14" t="s">
        <v>70</v>
      </c>
      <c r="RC2" s="14" t="s">
        <v>21</v>
      </c>
      <c r="RD2" s="14" t="s">
        <v>16</v>
      </c>
      <c r="RE2" s="60" t="s">
        <v>17</v>
      </c>
      <c r="RF2" s="60"/>
      <c r="RG2" s="60"/>
      <c r="RH2" s="60"/>
      <c r="RI2" s="60"/>
      <c r="RJ2" s="60" t="s">
        <v>18</v>
      </c>
      <c r="RK2" s="60"/>
      <c r="RL2" s="60"/>
      <c r="RM2" s="60"/>
      <c r="RN2" s="60"/>
      <c r="RO2" s="60" t="s">
        <v>71</v>
      </c>
      <c r="RP2" s="60"/>
      <c r="RQ2" s="60"/>
      <c r="RR2" s="60"/>
      <c r="RS2" s="60"/>
      <c r="RT2" s="60" t="s">
        <v>21</v>
      </c>
      <c r="RU2" s="60"/>
      <c r="RV2" s="60"/>
      <c r="RW2" s="60"/>
      <c r="RX2" s="60"/>
      <c r="RY2" s="13" t="s">
        <v>66</v>
      </c>
      <c r="RZ2" s="13" t="s">
        <v>67</v>
      </c>
      <c r="SA2" s="13" t="s">
        <v>19</v>
      </c>
      <c r="SB2" s="13" t="s">
        <v>58</v>
      </c>
      <c r="SC2" s="13" t="s">
        <v>68</v>
      </c>
      <c r="SD2" s="13" t="s">
        <v>20</v>
      </c>
      <c r="SE2" s="13" t="s">
        <v>22</v>
      </c>
      <c r="SF2" s="13" t="s">
        <v>72</v>
      </c>
      <c r="SG2" s="13" t="s">
        <v>73</v>
      </c>
      <c r="SH2" s="13" t="s">
        <v>71</v>
      </c>
      <c r="SI2" s="13" t="s">
        <v>69</v>
      </c>
      <c r="SJ2" s="13" t="s">
        <v>70</v>
      </c>
      <c r="SK2" s="13" t="s">
        <v>21</v>
      </c>
      <c r="SL2" s="13" t="s">
        <v>16</v>
      </c>
      <c r="SM2" s="55" t="s">
        <v>17</v>
      </c>
      <c r="SN2" s="55"/>
      <c r="SO2" s="55"/>
      <c r="SP2" s="55"/>
      <c r="SQ2" s="55"/>
      <c r="SR2" s="55" t="s">
        <v>18</v>
      </c>
      <c r="SS2" s="55"/>
      <c r="ST2" s="55"/>
      <c r="SU2" s="55"/>
      <c r="SV2" s="55"/>
      <c r="SW2" s="55" t="s">
        <v>71</v>
      </c>
      <c r="SX2" s="55"/>
      <c r="SY2" s="55"/>
      <c r="SZ2" s="55"/>
      <c r="TA2" s="55"/>
      <c r="TB2" s="55" t="s">
        <v>21</v>
      </c>
      <c r="TC2" s="55"/>
      <c r="TD2" s="55"/>
      <c r="TE2" s="55"/>
      <c r="TF2" s="55"/>
      <c r="TG2" s="14" t="s">
        <v>66</v>
      </c>
      <c r="TH2" s="14" t="s">
        <v>67</v>
      </c>
      <c r="TI2" s="14" t="s">
        <v>19</v>
      </c>
      <c r="TJ2" s="14" t="s">
        <v>58</v>
      </c>
      <c r="TK2" s="14" t="s">
        <v>68</v>
      </c>
      <c r="TL2" s="14" t="s">
        <v>20</v>
      </c>
      <c r="TM2" s="14" t="s">
        <v>22</v>
      </c>
      <c r="TN2" s="14" t="s">
        <v>72</v>
      </c>
      <c r="TO2" s="14" t="s">
        <v>73</v>
      </c>
      <c r="TP2" s="14" t="s">
        <v>71</v>
      </c>
      <c r="TQ2" s="14" t="s">
        <v>69</v>
      </c>
      <c r="TR2" s="14" t="s">
        <v>70</v>
      </c>
      <c r="TS2" s="14" t="s">
        <v>21</v>
      </c>
      <c r="TT2" s="14" t="s">
        <v>16</v>
      </c>
      <c r="TU2" s="60" t="s">
        <v>17</v>
      </c>
      <c r="TV2" s="60"/>
      <c r="TW2" s="60"/>
      <c r="TX2" s="60"/>
      <c r="TY2" s="60"/>
      <c r="TZ2" s="60" t="s">
        <v>18</v>
      </c>
      <c r="UA2" s="60"/>
      <c r="UB2" s="60"/>
      <c r="UC2" s="60"/>
      <c r="UD2" s="60"/>
      <c r="UE2" s="60" t="s">
        <v>71</v>
      </c>
      <c r="UF2" s="60"/>
      <c r="UG2" s="60"/>
      <c r="UH2" s="60"/>
      <c r="UI2" s="60"/>
      <c r="UJ2" s="60" t="s">
        <v>21</v>
      </c>
      <c r="UK2" s="60"/>
      <c r="UL2" s="60"/>
      <c r="UM2" s="60"/>
      <c r="UN2" s="60"/>
      <c r="UO2" s="13" t="s">
        <v>66</v>
      </c>
      <c r="UP2" s="13" t="s">
        <v>67</v>
      </c>
      <c r="UQ2" s="13" t="s">
        <v>19</v>
      </c>
      <c r="UR2" s="13" t="s">
        <v>58</v>
      </c>
      <c r="US2" s="13" t="s">
        <v>68</v>
      </c>
      <c r="UT2" s="13" t="s">
        <v>20</v>
      </c>
      <c r="UU2" s="13" t="s">
        <v>22</v>
      </c>
      <c r="UV2" s="13" t="s">
        <v>72</v>
      </c>
      <c r="UW2" s="13" t="s">
        <v>73</v>
      </c>
      <c r="UX2" s="13" t="s">
        <v>71</v>
      </c>
      <c r="UY2" s="13" t="s">
        <v>69</v>
      </c>
      <c r="UZ2" s="13" t="s">
        <v>70</v>
      </c>
      <c r="VA2" s="13" t="s">
        <v>21</v>
      </c>
      <c r="VB2" s="13" t="s">
        <v>16</v>
      </c>
      <c r="VC2" s="55" t="s">
        <v>17</v>
      </c>
      <c r="VD2" s="55"/>
      <c r="VE2" s="55"/>
      <c r="VF2" s="55"/>
      <c r="VG2" s="55"/>
      <c r="VH2" s="55" t="s">
        <v>18</v>
      </c>
      <c r="VI2" s="55"/>
      <c r="VJ2" s="55"/>
      <c r="VK2" s="55"/>
      <c r="VL2" s="55"/>
      <c r="VM2" s="55" t="s">
        <v>71</v>
      </c>
      <c r="VN2" s="55"/>
      <c r="VO2" s="55"/>
      <c r="VP2" s="55"/>
      <c r="VQ2" s="55"/>
      <c r="VR2" s="55" t="s">
        <v>21</v>
      </c>
      <c r="VS2" s="55"/>
      <c r="VT2" s="55"/>
      <c r="VU2" s="55"/>
      <c r="VV2" s="55"/>
      <c r="VW2" s="14" t="s">
        <v>66</v>
      </c>
      <c r="VX2" s="14" t="s">
        <v>67</v>
      </c>
      <c r="VY2" s="14" t="s">
        <v>19</v>
      </c>
      <c r="VZ2" s="14" t="s">
        <v>58</v>
      </c>
      <c r="WA2" s="14" t="s">
        <v>68</v>
      </c>
      <c r="WB2" s="14" t="s">
        <v>20</v>
      </c>
      <c r="WC2" s="14" t="s">
        <v>22</v>
      </c>
      <c r="WD2" s="14" t="s">
        <v>72</v>
      </c>
      <c r="WE2" s="14" t="s">
        <v>73</v>
      </c>
      <c r="WF2" s="14" t="s">
        <v>71</v>
      </c>
      <c r="WG2" s="14" t="s">
        <v>69</v>
      </c>
      <c r="WH2" s="14" t="s">
        <v>70</v>
      </c>
      <c r="WI2" s="14" t="s">
        <v>21</v>
      </c>
      <c r="WJ2" s="14" t="s">
        <v>16</v>
      </c>
    </row>
    <row r="3" spans="1:608" x14ac:dyDescent="0.2">
      <c r="A3" s="57"/>
      <c r="B3" s="57"/>
      <c r="C3" s="57"/>
      <c r="D3" s="57"/>
      <c r="E3" s="57"/>
      <c r="F3" s="58"/>
      <c r="G3" s="57"/>
      <c r="H3" s="57"/>
      <c r="I3" s="57"/>
      <c r="J3" s="53"/>
      <c r="K3" s="52"/>
      <c r="L3" s="53"/>
      <c r="M3" s="52"/>
      <c r="N3" s="59"/>
      <c r="O3" s="52"/>
      <c r="P3" s="52"/>
      <c r="Q3" s="14" t="s">
        <v>13</v>
      </c>
      <c r="R3" s="14" t="s">
        <v>14</v>
      </c>
      <c r="S3" s="14" t="s">
        <v>8</v>
      </c>
      <c r="T3" s="14" t="s">
        <v>15</v>
      </c>
      <c r="U3" s="14" t="s">
        <v>27</v>
      </c>
      <c r="V3" s="14" t="s">
        <v>13</v>
      </c>
      <c r="W3" s="14" t="s">
        <v>14</v>
      </c>
      <c r="X3" s="14" t="s">
        <v>8</v>
      </c>
      <c r="Y3" s="14" t="s">
        <v>15</v>
      </c>
      <c r="Z3" s="14" t="s">
        <v>27</v>
      </c>
      <c r="AA3" s="14" t="s">
        <v>13</v>
      </c>
      <c r="AB3" s="14" t="s">
        <v>14</v>
      </c>
      <c r="AC3" s="14" t="s">
        <v>8</v>
      </c>
      <c r="AD3" s="14" t="s">
        <v>15</v>
      </c>
      <c r="AE3" s="14" t="s">
        <v>27</v>
      </c>
      <c r="AF3" s="14" t="s">
        <v>41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13</v>
      </c>
      <c r="AS3" s="13" t="s">
        <v>14</v>
      </c>
      <c r="AT3" s="13" t="s">
        <v>8</v>
      </c>
      <c r="AU3" s="13" t="s">
        <v>15</v>
      </c>
      <c r="AV3" s="13" t="s">
        <v>27</v>
      </c>
      <c r="AW3" s="13" t="s">
        <v>13</v>
      </c>
      <c r="AX3" s="13" t="s">
        <v>14</v>
      </c>
      <c r="AY3" s="13" t="s">
        <v>8</v>
      </c>
      <c r="AZ3" s="13" t="s">
        <v>15</v>
      </c>
      <c r="BA3" s="13" t="s">
        <v>27</v>
      </c>
      <c r="BB3" s="13" t="s">
        <v>13</v>
      </c>
      <c r="BC3" s="13" t="s">
        <v>14</v>
      </c>
      <c r="BD3" s="13" t="s">
        <v>8</v>
      </c>
      <c r="BE3" s="13" t="s">
        <v>15</v>
      </c>
      <c r="BF3" s="13" t="s">
        <v>27</v>
      </c>
      <c r="BG3" s="13" t="s">
        <v>41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13</v>
      </c>
      <c r="BT3" s="14" t="s">
        <v>14</v>
      </c>
      <c r="BU3" s="14" t="s">
        <v>8</v>
      </c>
      <c r="BV3" s="14" t="s">
        <v>15</v>
      </c>
      <c r="BW3" s="14" t="s">
        <v>27</v>
      </c>
      <c r="BX3" s="14" t="s">
        <v>13</v>
      </c>
      <c r="BY3" s="14" t="s">
        <v>14</v>
      </c>
      <c r="BZ3" s="14" t="s">
        <v>8</v>
      </c>
      <c r="CA3" s="14" t="s">
        <v>15</v>
      </c>
      <c r="CB3" s="14" t="s">
        <v>27</v>
      </c>
      <c r="CC3" s="14" t="s">
        <v>13</v>
      </c>
      <c r="CD3" s="14" t="s">
        <v>14</v>
      </c>
      <c r="CE3" s="14" t="s">
        <v>8</v>
      </c>
      <c r="CF3" s="14" t="s">
        <v>15</v>
      </c>
      <c r="CG3" s="14" t="s">
        <v>27</v>
      </c>
      <c r="CH3" s="14" t="s">
        <v>41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46"/>
      <c r="CU3" s="14" t="s">
        <v>13</v>
      </c>
      <c r="CV3" s="14" t="s">
        <v>14</v>
      </c>
      <c r="CW3" s="14" t="s">
        <v>8</v>
      </c>
      <c r="CX3" s="14" t="s">
        <v>15</v>
      </c>
      <c r="CY3" s="14" t="s">
        <v>27</v>
      </c>
      <c r="CZ3" s="14" t="s">
        <v>13</v>
      </c>
      <c r="DA3" s="14" t="s">
        <v>14</v>
      </c>
      <c r="DB3" s="14" t="s">
        <v>8</v>
      </c>
      <c r="DC3" s="14" t="s">
        <v>15</v>
      </c>
      <c r="DD3" s="14" t="s">
        <v>27</v>
      </c>
      <c r="DE3" s="14" t="s">
        <v>13</v>
      </c>
      <c r="DF3" s="14" t="s">
        <v>14</v>
      </c>
      <c r="DG3" s="14" t="s">
        <v>8</v>
      </c>
      <c r="DH3" s="14" t="s">
        <v>15</v>
      </c>
      <c r="DI3" s="14" t="s">
        <v>27</v>
      </c>
      <c r="DJ3" s="14" t="s">
        <v>13</v>
      </c>
      <c r="DK3" s="14" t="s">
        <v>14</v>
      </c>
      <c r="DL3" s="14" t="s">
        <v>8</v>
      </c>
      <c r="DM3" s="14" t="s">
        <v>15</v>
      </c>
      <c r="DN3" s="14" t="s">
        <v>27</v>
      </c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14"/>
      <c r="EC3" s="13" t="s">
        <v>13</v>
      </c>
      <c r="ED3" s="13" t="s">
        <v>14</v>
      </c>
      <c r="EE3" s="13" t="s">
        <v>8</v>
      </c>
      <c r="EF3" s="13" t="s">
        <v>15</v>
      </c>
      <c r="EG3" s="13" t="s">
        <v>27</v>
      </c>
      <c r="EH3" s="13" t="s">
        <v>13</v>
      </c>
      <c r="EI3" s="13" t="s">
        <v>14</v>
      </c>
      <c r="EJ3" s="13" t="s">
        <v>8</v>
      </c>
      <c r="EK3" s="13" t="s">
        <v>15</v>
      </c>
      <c r="EL3" s="13" t="s">
        <v>27</v>
      </c>
      <c r="EM3" s="13" t="s">
        <v>13</v>
      </c>
      <c r="EN3" s="13" t="s">
        <v>14</v>
      </c>
      <c r="EO3" s="13" t="s">
        <v>8</v>
      </c>
      <c r="EP3" s="13" t="s">
        <v>15</v>
      </c>
      <c r="EQ3" s="13" t="s">
        <v>27</v>
      </c>
      <c r="ER3" s="13" t="s">
        <v>13</v>
      </c>
      <c r="ES3" s="13" t="s">
        <v>14</v>
      </c>
      <c r="ET3" s="13" t="s">
        <v>8</v>
      </c>
      <c r="EU3" s="13" t="s">
        <v>15</v>
      </c>
      <c r="EV3" s="13" t="s">
        <v>27</v>
      </c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13"/>
      <c r="FK3" s="14" t="s">
        <v>13</v>
      </c>
      <c r="FL3" s="14" t="s">
        <v>14</v>
      </c>
      <c r="FM3" s="14" t="s">
        <v>8</v>
      </c>
      <c r="FN3" s="14" t="s">
        <v>15</v>
      </c>
      <c r="FO3" s="14" t="s">
        <v>27</v>
      </c>
      <c r="FP3" s="14" t="s">
        <v>13</v>
      </c>
      <c r="FQ3" s="14" t="s">
        <v>14</v>
      </c>
      <c r="FR3" s="14" t="s">
        <v>8</v>
      </c>
      <c r="FS3" s="14" t="s">
        <v>15</v>
      </c>
      <c r="FT3" s="14" t="s">
        <v>27</v>
      </c>
      <c r="FU3" s="14" t="s">
        <v>13</v>
      </c>
      <c r="FV3" s="14" t="s">
        <v>14</v>
      </c>
      <c r="FW3" s="14" t="s">
        <v>8</v>
      </c>
      <c r="FX3" s="14" t="s">
        <v>15</v>
      </c>
      <c r="FY3" s="14" t="s">
        <v>27</v>
      </c>
      <c r="FZ3" s="14" t="s">
        <v>13</v>
      </c>
      <c r="GA3" s="14" t="s">
        <v>14</v>
      </c>
      <c r="GB3" s="14" t="s">
        <v>8</v>
      </c>
      <c r="GC3" s="14" t="s">
        <v>15</v>
      </c>
      <c r="GD3" s="14" t="s">
        <v>27</v>
      </c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14"/>
      <c r="GS3" s="13" t="s">
        <v>13</v>
      </c>
      <c r="GT3" s="13" t="s">
        <v>14</v>
      </c>
      <c r="GU3" s="13" t="s">
        <v>8</v>
      </c>
      <c r="GV3" s="13" t="s">
        <v>15</v>
      </c>
      <c r="GW3" s="13" t="s">
        <v>27</v>
      </c>
      <c r="GX3" s="13" t="s">
        <v>13</v>
      </c>
      <c r="GY3" s="13" t="s">
        <v>14</v>
      </c>
      <c r="GZ3" s="13" t="s">
        <v>8</v>
      </c>
      <c r="HA3" s="13" t="s">
        <v>15</v>
      </c>
      <c r="HB3" s="13" t="s">
        <v>27</v>
      </c>
      <c r="HC3" s="13" t="s">
        <v>13</v>
      </c>
      <c r="HD3" s="13" t="s">
        <v>14</v>
      </c>
      <c r="HE3" s="13" t="s">
        <v>8</v>
      </c>
      <c r="HF3" s="13" t="s">
        <v>15</v>
      </c>
      <c r="HG3" s="13" t="s">
        <v>27</v>
      </c>
      <c r="HH3" s="13" t="s">
        <v>13</v>
      </c>
      <c r="HI3" s="13" t="s">
        <v>14</v>
      </c>
      <c r="HJ3" s="13" t="s">
        <v>8</v>
      </c>
      <c r="HK3" s="13" t="s">
        <v>15</v>
      </c>
      <c r="HL3" s="13" t="s">
        <v>27</v>
      </c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13"/>
      <c r="IA3" s="14" t="s">
        <v>13</v>
      </c>
      <c r="IB3" s="14" t="s">
        <v>14</v>
      </c>
      <c r="IC3" s="14" t="s">
        <v>8</v>
      </c>
      <c r="ID3" s="14" t="s">
        <v>15</v>
      </c>
      <c r="IE3" s="14" t="s">
        <v>27</v>
      </c>
      <c r="IF3" s="14" t="s">
        <v>13</v>
      </c>
      <c r="IG3" s="14" t="s">
        <v>14</v>
      </c>
      <c r="IH3" s="14" t="s">
        <v>8</v>
      </c>
      <c r="II3" s="14" t="s">
        <v>15</v>
      </c>
      <c r="IJ3" s="14" t="s">
        <v>27</v>
      </c>
      <c r="IK3" s="14" t="s">
        <v>13</v>
      </c>
      <c r="IL3" s="14" t="s">
        <v>14</v>
      </c>
      <c r="IM3" s="14" t="s">
        <v>8</v>
      </c>
      <c r="IN3" s="14" t="s">
        <v>15</v>
      </c>
      <c r="IO3" s="14" t="s">
        <v>27</v>
      </c>
      <c r="IP3" s="14" t="s">
        <v>13</v>
      </c>
      <c r="IQ3" s="14" t="s">
        <v>14</v>
      </c>
      <c r="IR3" s="14" t="s">
        <v>8</v>
      </c>
      <c r="IS3" s="14" t="s">
        <v>15</v>
      </c>
      <c r="IT3" s="14" t="s">
        <v>27</v>
      </c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14"/>
      <c r="JI3" s="13" t="s">
        <v>13</v>
      </c>
      <c r="JJ3" s="13" t="s">
        <v>14</v>
      </c>
      <c r="JK3" s="13" t="s">
        <v>8</v>
      </c>
      <c r="JL3" s="13" t="s">
        <v>15</v>
      </c>
      <c r="JM3" s="13" t="s">
        <v>27</v>
      </c>
      <c r="JN3" s="13" t="s">
        <v>13</v>
      </c>
      <c r="JO3" s="13" t="s">
        <v>14</v>
      </c>
      <c r="JP3" s="13" t="s">
        <v>8</v>
      </c>
      <c r="JQ3" s="13" t="s">
        <v>15</v>
      </c>
      <c r="JR3" s="13" t="s">
        <v>27</v>
      </c>
      <c r="JS3" s="13" t="s">
        <v>13</v>
      </c>
      <c r="JT3" s="13" t="s">
        <v>14</v>
      </c>
      <c r="JU3" s="13" t="s">
        <v>8</v>
      </c>
      <c r="JV3" s="13" t="s">
        <v>15</v>
      </c>
      <c r="JW3" s="13" t="s">
        <v>27</v>
      </c>
      <c r="JX3" s="13" t="s">
        <v>13</v>
      </c>
      <c r="JY3" s="13" t="s">
        <v>14</v>
      </c>
      <c r="JZ3" s="13" t="s">
        <v>8</v>
      </c>
      <c r="KA3" s="13" t="s">
        <v>15</v>
      </c>
      <c r="KB3" s="13" t="s">
        <v>27</v>
      </c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14" t="s">
        <v>13</v>
      </c>
      <c r="KR3" s="14" t="s">
        <v>14</v>
      </c>
      <c r="KS3" s="14" t="s">
        <v>8</v>
      </c>
      <c r="KT3" s="14" t="s">
        <v>15</v>
      </c>
      <c r="KU3" s="14" t="s">
        <v>27</v>
      </c>
      <c r="KV3" s="14" t="s">
        <v>13</v>
      </c>
      <c r="KW3" s="14" t="s">
        <v>14</v>
      </c>
      <c r="KX3" s="14" t="s">
        <v>8</v>
      </c>
      <c r="KY3" s="14" t="s">
        <v>15</v>
      </c>
      <c r="KZ3" s="14" t="s">
        <v>27</v>
      </c>
      <c r="LA3" s="14" t="s">
        <v>13</v>
      </c>
      <c r="LB3" s="14" t="s">
        <v>14</v>
      </c>
      <c r="LC3" s="14" t="s">
        <v>8</v>
      </c>
      <c r="LD3" s="14" t="s">
        <v>15</v>
      </c>
      <c r="LE3" s="14" t="s">
        <v>27</v>
      </c>
      <c r="LF3" s="14" t="s">
        <v>13</v>
      </c>
      <c r="LG3" s="14" t="s">
        <v>14</v>
      </c>
      <c r="LH3" s="14" t="s">
        <v>8</v>
      </c>
      <c r="LI3" s="14" t="s">
        <v>15</v>
      </c>
      <c r="LJ3" s="14" t="s">
        <v>27</v>
      </c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13" t="s">
        <v>13</v>
      </c>
      <c r="LZ3" s="13" t="s">
        <v>14</v>
      </c>
      <c r="MA3" s="13" t="s">
        <v>8</v>
      </c>
      <c r="MB3" s="13" t="s">
        <v>15</v>
      </c>
      <c r="MC3" s="13" t="s">
        <v>27</v>
      </c>
      <c r="MD3" s="13" t="s">
        <v>13</v>
      </c>
      <c r="ME3" s="13" t="s">
        <v>14</v>
      </c>
      <c r="MF3" s="13" t="s">
        <v>8</v>
      </c>
      <c r="MG3" s="13" t="s">
        <v>15</v>
      </c>
      <c r="MH3" s="13" t="s">
        <v>27</v>
      </c>
      <c r="MI3" s="13" t="s">
        <v>13</v>
      </c>
      <c r="MJ3" s="13" t="s">
        <v>14</v>
      </c>
      <c r="MK3" s="13" t="s">
        <v>8</v>
      </c>
      <c r="ML3" s="13" t="s">
        <v>15</v>
      </c>
      <c r="MM3" s="13" t="s">
        <v>27</v>
      </c>
      <c r="MN3" s="13" t="s">
        <v>13</v>
      </c>
      <c r="MO3" s="13" t="s">
        <v>14</v>
      </c>
      <c r="MP3" s="13" t="s">
        <v>8</v>
      </c>
      <c r="MQ3" s="13" t="s">
        <v>15</v>
      </c>
      <c r="MR3" s="13" t="s">
        <v>27</v>
      </c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14" t="s">
        <v>13</v>
      </c>
      <c r="NH3" s="14" t="s">
        <v>14</v>
      </c>
      <c r="NI3" s="14" t="s">
        <v>8</v>
      </c>
      <c r="NJ3" s="14" t="s">
        <v>15</v>
      </c>
      <c r="NK3" s="14" t="s">
        <v>27</v>
      </c>
      <c r="NL3" s="14" t="s">
        <v>13</v>
      </c>
      <c r="NM3" s="14" t="s">
        <v>14</v>
      </c>
      <c r="NN3" s="14" t="s">
        <v>8</v>
      </c>
      <c r="NO3" s="14" t="s">
        <v>15</v>
      </c>
      <c r="NP3" s="14" t="s">
        <v>27</v>
      </c>
      <c r="NQ3" s="14" t="s">
        <v>13</v>
      </c>
      <c r="NR3" s="14" t="s">
        <v>14</v>
      </c>
      <c r="NS3" s="14" t="s">
        <v>8</v>
      </c>
      <c r="NT3" s="14" t="s">
        <v>15</v>
      </c>
      <c r="NU3" s="14" t="s">
        <v>27</v>
      </c>
      <c r="NV3" s="14" t="s">
        <v>13</v>
      </c>
      <c r="NW3" s="14" t="s">
        <v>14</v>
      </c>
      <c r="NX3" s="14" t="s">
        <v>8</v>
      </c>
      <c r="NY3" s="14" t="s">
        <v>15</v>
      </c>
      <c r="NZ3" s="14" t="s">
        <v>27</v>
      </c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13" t="s">
        <v>13</v>
      </c>
      <c r="OP3" s="13" t="s">
        <v>14</v>
      </c>
      <c r="OQ3" s="13" t="s">
        <v>8</v>
      </c>
      <c r="OR3" s="13" t="s">
        <v>15</v>
      </c>
      <c r="OS3" s="13" t="s">
        <v>27</v>
      </c>
      <c r="OT3" s="13" t="s">
        <v>13</v>
      </c>
      <c r="OU3" s="13" t="s">
        <v>14</v>
      </c>
      <c r="OV3" s="13" t="s">
        <v>8</v>
      </c>
      <c r="OW3" s="13" t="s">
        <v>15</v>
      </c>
      <c r="OX3" s="13" t="s">
        <v>27</v>
      </c>
      <c r="OY3" s="13" t="s">
        <v>13</v>
      </c>
      <c r="OZ3" s="13" t="s">
        <v>14</v>
      </c>
      <c r="PA3" s="13" t="s">
        <v>8</v>
      </c>
      <c r="PB3" s="13" t="s">
        <v>15</v>
      </c>
      <c r="PC3" s="13" t="s">
        <v>27</v>
      </c>
      <c r="PD3" s="13" t="s">
        <v>13</v>
      </c>
      <c r="PE3" s="13" t="s">
        <v>14</v>
      </c>
      <c r="PF3" s="13" t="s">
        <v>8</v>
      </c>
      <c r="PG3" s="13" t="s">
        <v>15</v>
      </c>
      <c r="PH3" s="13" t="s">
        <v>27</v>
      </c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14" t="s">
        <v>13</v>
      </c>
      <c r="PX3" s="14" t="s">
        <v>14</v>
      </c>
      <c r="PY3" s="14" t="s">
        <v>8</v>
      </c>
      <c r="PZ3" s="14" t="s">
        <v>15</v>
      </c>
      <c r="QA3" s="14" t="s">
        <v>27</v>
      </c>
      <c r="QB3" s="14" t="s">
        <v>13</v>
      </c>
      <c r="QC3" s="14" t="s">
        <v>14</v>
      </c>
      <c r="QD3" s="14" t="s">
        <v>8</v>
      </c>
      <c r="QE3" s="14" t="s">
        <v>15</v>
      </c>
      <c r="QF3" s="14" t="s">
        <v>27</v>
      </c>
      <c r="QG3" s="14" t="s">
        <v>13</v>
      </c>
      <c r="QH3" s="14" t="s">
        <v>14</v>
      </c>
      <c r="QI3" s="14" t="s">
        <v>8</v>
      </c>
      <c r="QJ3" s="14" t="s">
        <v>15</v>
      </c>
      <c r="QK3" s="14" t="s">
        <v>27</v>
      </c>
      <c r="QL3" s="14" t="s">
        <v>13</v>
      </c>
      <c r="QM3" s="14" t="s">
        <v>14</v>
      </c>
      <c r="QN3" s="14" t="s">
        <v>8</v>
      </c>
      <c r="QO3" s="14" t="s">
        <v>15</v>
      </c>
      <c r="QP3" s="14" t="s">
        <v>27</v>
      </c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13" t="s">
        <v>13</v>
      </c>
      <c r="RF3" s="13" t="s">
        <v>14</v>
      </c>
      <c r="RG3" s="13" t="s">
        <v>8</v>
      </c>
      <c r="RH3" s="13" t="s">
        <v>15</v>
      </c>
      <c r="RI3" s="13" t="s">
        <v>27</v>
      </c>
      <c r="RJ3" s="13" t="s">
        <v>13</v>
      </c>
      <c r="RK3" s="13" t="s">
        <v>14</v>
      </c>
      <c r="RL3" s="13" t="s">
        <v>8</v>
      </c>
      <c r="RM3" s="13" t="s">
        <v>15</v>
      </c>
      <c r="RN3" s="13" t="s">
        <v>27</v>
      </c>
      <c r="RO3" s="13" t="s">
        <v>13</v>
      </c>
      <c r="RP3" s="13" t="s">
        <v>14</v>
      </c>
      <c r="RQ3" s="13" t="s">
        <v>8</v>
      </c>
      <c r="RR3" s="13" t="s">
        <v>15</v>
      </c>
      <c r="RS3" s="13" t="s">
        <v>27</v>
      </c>
      <c r="RT3" s="13" t="s">
        <v>13</v>
      </c>
      <c r="RU3" s="13" t="s">
        <v>14</v>
      </c>
      <c r="RV3" s="13" t="s">
        <v>8</v>
      </c>
      <c r="RW3" s="13" t="s">
        <v>15</v>
      </c>
      <c r="RX3" s="13" t="s">
        <v>27</v>
      </c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14" t="s">
        <v>13</v>
      </c>
      <c r="SN3" s="14" t="s">
        <v>14</v>
      </c>
      <c r="SO3" s="14" t="s">
        <v>8</v>
      </c>
      <c r="SP3" s="14" t="s">
        <v>15</v>
      </c>
      <c r="SQ3" s="14" t="s">
        <v>27</v>
      </c>
      <c r="SR3" s="14" t="s">
        <v>13</v>
      </c>
      <c r="SS3" s="14" t="s">
        <v>14</v>
      </c>
      <c r="ST3" s="14" t="s">
        <v>8</v>
      </c>
      <c r="SU3" s="14" t="s">
        <v>15</v>
      </c>
      <c r="SV3" s="14" t="s">
        <v>27</v>
      </c>
      <c r="SW3" s="14" t="s">
        <v>13</v>
      </c>
      <c r="SX3" s="14" t="s">
        <v>14</v>
      </c>
      <c r="SY3" s="14" t="s">
        <v>8</v>
      </c>
      <c r="SZ3" s="14" t="s">
        <v>15</v>
      </c>
      <c r="TA3" s="14" t="s">
        <v>27</v>
      </c>
      <c r="TB3" s="14" t="s">
        <v>13</v>
      </c>
      <c r="TC3" s="14" t="s">
        <v>14</v>
      </c>
      <c r="TD3" s="14" t="s">
        <v>8</v>
      </c>
      <c r="TE3" s="14" t="s">
        <v>15</v>
      </c>
      <c r="TF3" s="14" t="s">
        <v>27</v>
      </c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13" t="s">
        <v>13</v>
      </c>
      <c r="TV3" s="13" t="s">
        <v>14</v>
      </c>
      <c r="TW3" s="13" t="s">
        <v>8</v>
      </c>
      <c r="TX3" s="13" t="s">
        <v>15</v>
      </c>
      <c r="TY3" s="13" t="s">
        <v>27</v>
      </c>
      <c r="TZ3" s="13" t="s">
        <v>13</v>
      </c>
      <c r="UA3" s="13" t="s">
        <v>14</v>
      </c>
      <c r="UB3" s="13" t="s">
        <v>8</v>
      </c>
      <c r="UC3" s="13" t="s">
        <v>15</v>
      </c>
      <c r="UD3" s="13" t="s">
        <v>27</v>
      </c>
      <c r="UE3" s="13" t="s">
        <v>13</v>
      </c>
      <c r="UF3" s="13" t="s">
        <v>14</v>
      </c>
      <c r="UG3" s="13" t="s">
        <v>8</v>
      </c>
      <c r="UH3" s="13" t="s">
        <v>15</v>
      </c>
      <c r="UI3" s="13" t="s">
        <v>27</v>
      </c>
      <c r="UJ3" s="13" t="s">
        <v>13</v>
      </c>
      <c r="UK3" s="13" t="s">
        <v>14</v>
      </c>
      <c r="UL3" s="13" t="s">
        <v>8</v>
      </c>
      <c r="UM3" s="13" t="s">
        <v>15</v>
      </c>
      <c r="UN3" s="13" t="s">
        <v>27</v>
      </c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14" t="s">
        <v>13</v>
      </c>
      <c r="VD3" s="14" t="s">
        <v>14</v>
      </c>
      <c r="VE3" s="14" t="s">
        <v>8</v>
      </c>
      <c r="VF3" s="14" t="s">
        <v>15</v>
      </c>
      <c r="VG3" s="14" t="s">
        <v>27</v>
      </c>
      <c r="VH3" s="14" t="s">
        <v>13</v>
      </c>
      <c r="VI3" s="14" t="s">
        <v>14</v>
      </c>
      <c r="VJ3" s="14" t="s">
        <v>8</v>
      </c>
      <c r="VK3" s="14" t="s">
        <v>15</v>
      </c>
      <c r="VL3" s="14" t="s">
        <v>27</v>
      </c>
      <c r="VM3" s="14" t="s">
        <v>13</v>
      </c>
      <c r="VN3" s="14" t="s">
        <v>14</v>
      </c>
      <c r="VO3" s="14" t="s">
        <v>8</v>
      </c>
      <c r="VP3" s="14" t="s">
        <v>15</v>
      </c>
      <c r="VQ3" s="14" t="s">
        <v>27</v>
      </c>
      <c r="VR3" s="14" t="s">
        <v>13</v>
      </c>
      <c r="VS3" s="14" t="s">
        <v>14</v>
      </c>
      <c r="VT3" s="14" t="s">
        <v>8</v>
      </c>
      <c r="VU3" s="14" t="s">
        <v>15</v>
      </c>
      <c r="VV3" s="14" t="s">
        <v>27</v>
      </c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</row>
    <row r="4" spans="1:608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98</v>
      </c>
      <c r="C4" s="4" t="s">
        <v>7</v>
      </c>
      <c r="D4" s="4" t="s">
        <v>99</v>
      </c>
      <c r="E4" s="9">
        <f t="shared" ref="E4:E20" si="0">J4+L4+N4+(J4+L4)*0.0000001+MAX(J4,L4)*0.0000000000001</f>
        <v>98.910009642004937</v>
      </c>
      <c r="F4" s="3" t="str">
        <f t="shared" ref="F4:F20" si="1"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O4&gt;=EB$23,DO4&lt;&gt;"",DQ4&gt;=EB$27,DQ4&lt;&gt;""),AND(DR4&gt;=EB$23,DR4&lt;&gt;"",DT4&gt;=EB$27,DT4&lt;&gt;""),AND(DV4&gt;=EB$23,DV4&lt;&gt;"",DX4&gt;=EB$27,DX4&lt;&gt;""),AND(DY4&gt;=EB$23,DY4&lt;&gt;"",EA4&gt;=EB$27,EA4&lt;&gt;""),AND(EW4&gt;=FJ$23,EW4&lt;&gt;"",EY4&gt;=FJ$27,EY4&lt;&gt;""),AND(EZ4&gt;=FJ$23,EZ4&lt;&gt;"",FB4&gt;=FJ$27,FB4&lt;&gt;""),AND(FD4&gt;=FJ$23,FD4&lt;&gt;"",FF4&gt;=FJ$27,FF4&lt;&gt;""),AND(FG4&gt;=FJ$23,FG4&lt;&gt;"",FI4&gt;=FJ$27,FI4&lt;&gt;""),AND(GE4&gt;=GR$23,GE4&lt;&gt;"",GG4&gt;=GR$27,GG4&lt;&gt;""),AND(GH4&gt;=GR$23,GH4&lt;&gt;"",GJ4&gt;=GR$27,GJ4&lt;&gt;""),AND(GL4&gt;=GR$23,GL4&lt;&gt;"",GN4&gt;=GR$27,GN4&lt;&gt;""),AND(GO4&gt;=GR$23,GO4&lt;&gt;"",GQ4&gt;=GR$27,GQ4&lt;&gt;""),AND(HM4&gt;=HZ$23,HM4&lt;&gt;"",HO4&gt;=HZ$27,HO4&lt;&gt;""),AND(HP4&gt;=HZ$23,HP4&lt;&gt;"",HR4&gt;=HZ$27,HR4&lt;&gt;""),AND(HT4&gt;=HZ$23,HT4&lt;&gt;"",HV4&gt;=HZ$27,HV4&lt;&gt;""),AND(HW4&gt;=HZ$23,HW4&lt;&gt;"",HY4&gt;=HZ$27,HY4&lt;&gt;""),AND(IU4&gt;=JH$23,IU4&lt;&gt;"",IW4&gt;=JH$27,IW4&lt;&gt;""),AND(IX4&gt;=JH$23,IX4&lt;&gt;"",IZ4&gt;=JH$27,IZ4&lt;&gt;""),AND(JB4&gt;=JH$23,JB4&lt;&gt;"",JD4&gt;=JH$27,JD4&lt;&gt;""),AND(JE4&gt;=JH$23,JE4&lt;&gt;"",JG4&gt;=JH$27,JG4&lt;&gt;""),AND(KC4&gt;=KP$23,KC4&lt;&gt;"",KE4&gt;=KP$27,KE4&lt;&gt;""),AND(KF4&gt;=KP$23,KF4&lt;&gt;"",KH4&gt;=KP$27,KH4&lt;&gt;""),AND(KJ4&gt;=KP$23,KJ4&lt;&gt;"",KL4&gt;=KP$27,KL4&lt;&gt;""),AND(KM4&gt;=KP$23,KM4&lt;&gt;"",KO4&gt;=KP$27,KO4&lt;&gt;""),AND(LK4&gt;=LX$23,LK4&lt;&gt;"",LM4&gt;=LX$27,LM4&lt;&gt;""),AND(LN4&gt;=LX$23,LN4&lt;&gt;"",LP4&gt;=LX$27,LP4&lt;&gt;""),AND(LR4&gt;=LX$23,LR4&lt;&gt;"",LT4&gt;=LX$27,LT4&lt;&gt;""),AND(LU4&gt;=LX$23,LU4&lt;&gt;"",LW4&gt;=LX$27,LW4&lt;&gt;""),AND(MS4&gt;=NF$23,MS4&lt;&gt;"",MU4&gt;=NF$27,MU4&lt;&gt;""),AND(MV4&gt;=NF$23,MV4&lt;&gt;"",MX4&gt;=NF$27,MX4&lt;&gt;""),AND(MZ4&gt;=NF$23,MZ4&lt;&gt;"",NB4&gt;=NF$27,NB4&lt;&gt;""),AND(NC4&gt;=NF$23,NC4&lt;&gt;"",NE4&gt;=NF$27,NE4&lt;&gt;""),AND(OA4&gt;=ON$23,OA4&lt;&gt;"",OC4&gt;=ON$27,OC4&lt;&gt;""),AND(OD4&gt;=ON$23,OD4&lt;&gt;"",OF4&gt;=ON$27,OF4&lt;&gt;""),AND(OH4&gt;=ON$23,OH4&lt;&gt;"",OJ4&gt;=ON$27,OJ4&lt;&gt;""),AND(OK4&gt;=ON$23,OK4&lt;&gt;"",OM4&gt;=ON$27,OM4&lt;&gt;""),AND(PI4&gt;=PV$23,PI4&lt;&gt;"",PK4&gt;=PV$27,PK4&lt;&gt;""),AND(PL4&gt;=PV$23,PL4&lt;&gt;"",PN4&gt;=PV$27,PN4&lt;&gt;""),AND(PP4&gt;=PV$23,PP4&lt;&gt;"",PR4&gt;=PV$27,PR4&lt;&gt;""),AND(PS4&gt;=PV$23,PS4&lt;&gt;"",PU4&gt;=PV$27,PU4&lt;&gt;""),AND(QQ4&gt;=RD$23,QQ4&lt;&gt;"",QS4&gt;=RD$27,QS4&lt;&gt;""),AND(QT4&gt;=RD$23,QT4&lt;&gt;"",QV4&gt;=RD$27,QV4&lt;&gt;""),AND(QX4&gt;=RD$23,QX4&lt;&gt;"",QZ4&gt;=RD$27,QZ4&lt;&gt;""),AND(RA4&gt;=RD$23,RA4&lt;&gt;"",RC4&gt;=RD$27,RC4&lt;&gt;""),AND(RY4&gt;=SL$23,RY4&lt;&gt;"",SA4&gt;=SL$27,SA4&lt;&gt;""),AND(SB4&gt;=SL$23,SB4&lt;&gt;"",SD4&gt;=SL$27,SD4&lt;&gt;""),AND(SF4&gt;=SL$23,SF4&lt;&gt;"",SH4&gt;=SL$27,SH4&lt;&gt;""),AND(SI4&gt;=SL$23,SI4&lt;&gt;"",SK4&gt;=SL$27,SK4&lt;&gt;""),AND(TG4&gt;=TT$23,TG4&lt;&gt;"",TI4&gt;=TT$27,TI4&lt;&gt;""),AND(TJ4&gt;=TT$23,TJ4&lt;&gt;"",TL4&gt;=TT$27,TL4&lt;&gt;""),AND(TN4&gt;=TT$23,TN4&lt;&gt;"",TP4&gt;=TT$27,TXN4&lt;&gt;""),AND(TQ4&gt;=TT$23,TQ4&lt;&gt;"",TS4&gt;=TT$27,TS4&lt;&gt;""),AND(UO4&gt;=VB$23,UO4&lt;&gt;"",UQ4&gt;=VB$27,UQ4&lt;&gt;""),AND(UR4&gt;=VB$23,UR4&lt;&gt;"",UT4&gt;=VB$27,UT4&lt;&gt;""),AND(UV4&gt;=VB$23,UV4&lt;&gt;"",UX4&gt;=VB$27,UX4&lt;&gt;""),AND(UY4&gt;=VB$23,UY4&lt;&gt;"",VA4&gt;=VB$27,VA4&lt;&gt;""),AND(VW4&gt;=WJ$23,VW4&lt;&gt;"",VY4&gt;=WJ$27,VY4&lt;&gt;""),AND(VZ4&gt;=WJ$23,VZ4&lt;&gt;"",WB4&gt;=WJ$27,WB4&lt;&gt;""),AND(WD4&gt;=WJ$23,WD4&lt;&gt;"",WF4&gt;=WJ$27,WF4&lt;&gt;""),AND(WG4&gt;=WJ$23,WG4&lt;&gt;"",WI4&gt;=WJ$27,WI4&lt;&gt;"")),"P","")</f>
        <v>P</v>
      </c>
      <c r="G4" s="3" t="str">
        <f t="shared" ref="G4:G20" si="2">IF(OR(AND(AI4&gt;=AQ$27,AI4&lt;&gt;"",AF4=""),AND(AL4&gt;=AQ$27,AL4&lt;&gt;"",AF4=""),AND(AP4&gt;=AQ$27,AP4&lt;&gt;"",AF4=""),AND(BJ4&gt;=BR$27,BJ4&lt;&gt;"",BG4=""),AND(BM4&gt;=BR$27,BM4&lt;&gt;"",BG4=""),AND(BQ4&gt;=BR$27,BQ4&lt;&gt;"",BG4=""),AND(CK4&gt;=CS$27,CK4&lt;&gt;"",CH4=""),AND(CN4&gt;=CS$27,CN4&lt;&gt;"",CH4=""),AND(CR4&gt;=CS$27,CR4&lt;&gt;"",CH4=""),AND(DQ4&gt;=EB$27,DQ4&lt;&gt;""),AND(DT4&gt;=EB$27,DT4&lt;&gt;""),AND(DX4&gt;=EB$27,DX4&lt;&gt;""),AND(EA4&gt;=EB$27,EA4&lt;&gt;""),AND(EY4&gt;=FJ$27,EY4&lt;&gt;""),AND(FB4&gt;=FJ$27,FB4&lt;&gt;""),AND(FF4&gt;=FJ$27,FF4&lt;&gt;""),AND(FI4&gt;=FJ$27,FI4&lt;&gt;""),AND(GG4&gt;=GR$27,GG4&lt;&gt;""),AND(GJ4&gt;=GR$27,GJ4&lt;&gt;""),AND(GN4&gt;=GR$27,GN4&lt;&gt;""),AND(GQ4&gt;=GR$27,GQ4&lt;&gt;""),AND(HO4&gt;=HZ$27,HO4&lt;&gt;""),AND(HR4&gt;=HZ$27,HR4&lt;&gt;""),AND(HV4&gt;=HZ$27,HV4&lt;&gt;""),AND(HY4&gt;=HZ$27,HY4&lt;&gt;""),AND(IW4&gt;=JH$27,IW4&lt;&gt;""),AND(IZ4&gt;=JH$27,IZ4&lt;&gt;""),AND(JD4&gt;=JH$27,JD4&lt;&gt;""),AND(JG4&gt;=JH$27,JG4&lt;&gt;""),AND(KE4&gt;=KP$27,KE4&lt;&gt;""),AND(KH4&gt;=KP$27,KH4&lt;&gt;""),AND(KL4&gt;=KP$27,KL4&lt;&gt;""),AND(KO4&gt;=KP$27,KO4&lt;&gt;""),AND(LM4&gt;=LX$27,LM4&lt;&gt;""),AND(LP4&gt;=LX$27,LP4&lt;&gt;""),AND(LT4&gt;=LX$27,LT4&lt;&gt;""),AND(LW4&gt;=LX$27,LW4&lt;&gt;""),AND(MU4&gt;=NF$27,MU4&lt;&gt;""),AND(MX4&gt;=NF$27,MX4&lt;&gt;""),AND(NB4&gt;=NF$27,NB4&lt;&gt;""),AND(NE4&gt;=NF$27,NE4&lt;&gt;""),AND(OC4&gt;=ON$27,OC4&lt;&gt;""),AND(OF4&gt;=ON$27,OF4&lt;&gt;""),AND(OJ4&gt;=ON$27,OJ4&lt;&gt;""),AND(OM4&gt;=ON$27,OM4&lt;&gt;""),AND(PK4&gt;=PV$27,PK4&lt;&gt;""),AND(PN4&gt;=PV$27,PN4&lt;&gt;""),AND(PR4&gt;=PV$27,PR4&lt;&gt;""),AND(PU4&gt;=PV$27,PU4&lt;&gt;""),AND(QS4&gt;=RD$27,QS4&lt;&gt;""),AND(QV4&gt;=RD$27,QV4&lt;&gt;""),AND(QZ4&gt;=RD$27,QZ4&lt;&gt;""),AND(RC4&gt;=RD$27,RC4&lt;&gt;""),AND(SA4&gt;=SL$27,SA4&lt;&gt;""),AND(SD4&gt;=SL$27,SD4&lt;&gt;""),AND(SH4&gt;=SL$27,SH4&lt;&gt;""),AND(SK4&gt;=SL$27,SK4&lt;&gt;""),AND(TI4&gt;=TT$27,TI4&lt;&gt;""),AND(TL4&gt;=TT$27,TL4&lt;&gt;""),AND(TP4&gt;=TT$27,TXN4&lt;&gt;""),AND(TS4&gt;=TT$27,TS4&lt;&gt;""),AND(UQ4&gt;=VB$27,UQ4&lt;&gt;""),AND(UT4&gt;=VB$27,UT4&lt;&gt;""),AND(UX4&gt;=VB$27,UX4&lt;&gt;""),AND(VA4&gt;=VB$27,VA4&lt;&gt;""),AND(VY4&gt;=WJ$27,VY4&lt;&gt;""),AND(WB4&gt;=WJ$27,WB4&lt;&gt;""),AND(WF4&gt;=WJ$27,WF4&lt;&gt;""),AND(WI4&gt;=WJ$27,WI4&lt;&gt;"")),"P","")</f>
        <v>P</v>
      </c>
      <c r="H4" s="32" t="str">
        <f t="shared" ref="H4:H20" si="3">IF(AND(G4="P",F4=""),"No DD",IF(OR(AND(AG4&gt;=AQ$26,AG4&lt;&gt;"",AI4&gt;=AQ$30,AI4&lt;&gt;"",AF4=""),AND(AJ4&gt;=AQ$26,AJ4&lt;&gt;"",AL4&gt;=AQ$30,AL4&lt;&gt;"",AF4=""),AND(AN4&gt;=AQ$26,AN4&lt;&gt;"",AP4&gt;=AQ$30,AP4&lt;&gt;"",AF4=""),AND(BH4&gt;=BR$26,BH4&lt;&gt;"",BJ4&gt;=BR$30,BJ4&lt;&gt;"",BG4=""),AND(BK4&gt;=BR$26,BK4&lt;&gt;"",BM4&gt;=BR$30,BM4&lt;&gt;"",BG4=""),AND(BO4&gt;=BR$26,BO4&lt;&gt;"",BQ4&gt;=BR$30,BQ4&lt;&gt;"",BG4=""),AND(CI4&gt;=CS$26,CI4&lt;&gt;"",CK4&gt;=CS$30,CK4&lt;&gt;"",CH4=""),AND(CL4&gt;=CS$26,CL4&lt;&gt;"",CN4&gt;=CS$30,CN4&lt;&gt;"",CH4=""),AND(CP4&gt;=CS$26,CP4&lt;&gt;"",CR4&gt;=CS$30,CR4&lt;&gt;"",CH4=""),AND(DO4&gt;=EB$26,DO4&lt;&gt;"",DQ4&gt;=EB$30,DQ4&lt;&gt;""),AND(DR4&gt;=EB$26,DR4&lt;&gt;"",DT4&gt;=EB$30,DT4&lt;&gt;""),AND(DV4&gt;=EB$26,DV4&lt;&gt;"",DX4&gt;=EB$30,DX4&lt;&gt;""),AND(DY4&gt;=EB$26,DY4&lt;&gt;"",EA4&gt;=EB$30,EA4&lt;&gt;""),AND(EW4&gt;=FJ$26,EW4&lt;&gt;"",EY4&gt;=FJ$30,EY4&lt;&gt;""),AND(EZ4&gt;=FJ$26,EZ4&lt;&gt;"",FB4&gt;=FJ$30,FB4&lt;&gt;""),AND(FD4&gt;=FJ$26,FD4&lt;&gt;"",FF4&gt;=FJ$30,FF4&lt;&gt;""),AND(FG4&gt;=FJ$26,FG4&lt;&gt;"",FI4&gt;=FJ$30,FI4&lt;&gt;""),AND(GE4&gt;=GR$26,GE4&lt;&gt;"",GG4&gt;=GR$30,GG4&lt;&gt;""),AND(GH4&gt;=GR$26,GH4&lt;&gt;"",GJ4&gt;=GR$30,GJ4&lt;&gt;""),AND(GL4&gt;=GR$26,GL4&lt;&gt;"",GN4&gt;=GR$30,GN4&lt;&gt;""),AND(GO4&gt;=GR$26,GO4&lt;&gt;"",GQ4&gt;=GR$30,GQ4&lt;&gt;""),AND(HM4&gt;=HZ$26,HM4&lt;&gt;"",HO4&gt;=HZ$30,HO4&lt;&gt;""),AND(HP4&gt;=HZ$26,HP4&lt;&gt;"",HR4&gt;=HZ$30,HR4&lt;&gt;""),AND(HT4&gt;=HZ$26,HT4&lt;&gt;"",HV4&gt;=HZ$30,HV4&lt;&gt;""),AND(HW4&gt;=HZ$26,HW4&lt;&gt;"",HY4&gt;=HZ$30,HY4&lt;&gt;""),AND(IU4&gt;=JH$26,IU4&lt;&gt;"",IW4&gt;=JH$30,IW4&lt;&gt;""),AND(IX4&gt;=JH$26,IX4&lt;&gt;"",IZ4&gt;=JH$30,IZ4&lt;&gt;""),AND(JB4&gt;=JH$26,JB4&lt;&gt;"",JD4&gt;=JH$30,JD4&lt;&gt;""),AND(JE4&gt;=JH$26,JE4&lt;&gt;"",JG4&gt;=JH$30,JG4&lt;&gt;""),AND(KC4&gt;=KP$26,KC4&lt;&gt;"",KE4&gt;=KP$30,KE4&lt;&gt;""),AND(KF4&gt;=KP$26,KF4&lt;&gt;"",KH4&gt;=KP$30,KH4&lt;&gt;""),AND(KJ4&gt;=KP$26,KJ4&lt;&gt;"",KL4&gt;=KP$30,KL4&lt;&gt;""),AND(KM4&gt;=KP$26,KM4&lt;&gt;"",KO4&gt;=KP$30,KO4&lt;&gt;""),AND(LK4&gt;=LX$26,LK4&lt;&gt;"",LM4&gt;=LX$30,LM4&lt;&gt;""),AND(LN4&gt;=LX$26,LN4&lt;&gt;"",LP4&gt;=LX$30,LP4&lt;&gt;""),AND(LR4&gt;=LX$26,LR4&lt;&gt;"",LT4&gt;=LX$30,LT4&lt;&gt;""),AND(LU4&gt;=LX$26,LU4&lt;&gt;"",LW4&gt;=LX$30,LW4&lt;&gt;""),AND(MS4&gt;=NF$26,MS4&lt;&gt;"",MU4&gt;=NF$30,MU4&lt;&gt;""),AND(MV4&gt;=NF$26,MV4&lt;&gt;"",MX4&gt;=NF$30,MX4&lt;&gt;""),AND(MZ4&gt;=NF$26,MZ4&lt;&gt;"",NB4&gt;=NF$30,NB4&lt;&gt;""),AND(NC4&gt;=NF$26,NC4&lt;&gt;"",NE4&gt;=NF$30,NE4&lt;&gt;""),AND(OA4&gt;=ON$26,OA4&lt;&gt;"",OC4&gt;=ON$30,OC4&lt;&gt;""),AND(OD4&gt;=ON$26,OD4&lt;&gt;"",OF4&gt;=ON$30,OF4&lt;&gt;""),AND(OH4&gt;=ON$26,OH4&lt;&gt;"",OJ4&gt;=ON$30,OJ4&lt;&gt;""),AND(OK4&gt;=ON$26,OK4&lt;&gt;"",OM4&gt;=ON$30,OM4&lt;&gt;""),AND(PI4&gt;=PV$26,PI4&lt;&gt;"",PK4&gt;=PV$30,PK4&lt;&gt;""),AND(PL4&gt;=PV$26,PL4&lt;&gt;"",PN4&gt;=PV$30,PN4&lt;&gt;""),AND(PP4&gt;=PV$26,PP4&lt;&gt;"",PR4&gt;=PV$30,PR4&lt;&gt;""),AND(PS4&gt;=PV$26,PS4&lt;&gt;"",PU4&gt;=PV$30,PU4&lt;&gt;""),AND(QQ4&gt;=RD$26,QQ4&lt;&gt;"",QS4&gt;=RD$30,QS4&lt;&gt;""),AND(QT4&gt;=RD$26,QT4&lt;&gt;"",QV4&gt;=RD$30,QV4&lt;&gt;""),AND(QX4&gt;=RD$26,QX4&lt;&gt;"",QZ4&gt;=RD$30,QZ4&lt;&gt;""),AND(RA4&gt;=RD$26,RA4&lt;&gt;"",RC4&gt;=RD$30,RC4&lt;&gt;""),AND(RY4&gt;=SL$26,RY4&lt;&gt;"",SA4&gt;=SL$30,SA4&lt;&gt;""),AND(SB4&gt;=SL$26,SB4&lt;&gt;"",SD4&gt;=SL$30,SD4&lt;&gt;""),AND(SF4&gt;=SL$26,SF4&lt;&gt;"",SH4&gt;=SL$30,SH4&lt;&gt;""),AND(SI4&gt;=SL$26,SI4&lt;&gt;"",SK4&gt;=SL$30,SK4&lt;&gt;""),AND(TG4&gt;=TT$26,TG4&lt;&gt;"",TI4&gt;=TT$30,TI4&lt;&gt;""),AND(TJ4&gt;=TT$26,TJ4&lt;&gt;"",TL4&gt;=TT$30,TL4&lt;&gt;""),AND(TN4&gt;=TT$26,TN4&lt;&gt;"",TP4&gt;=TT$350,TXN4&lt;&gt;""),AND(TQ4&gt;=TT$26,TQ4&lt;&gt;"",TS4&gt;=TT$30,TS4&lt;&gt;""),AND(UO4&gt;=VB$26,UO4&lt;&gt;"",UQ4&gt;=VB$30,UQ4&lt;&gt;""),AND(UR4&gt;=VB$26,UR4&lt;&gt;"",UT4&gt;=VB$30,UT4&lt;&gt;""),AND(UV4&gt;=VB$26,UV4&lt;&gt;"",UX4&gt;=VB$30,UX4&lt;&gt;""),AND(UY4&gt;=VB$26,UY4&lt;&gt;"",VA4&gt;=VB$30,VA4&lt;&gt;""),AND(VW4&gt;=WJ$26,VW4&lt;&gt;"",VY4&gt;=WJ$30,VY4&lt;&gt;""),AND(VZ4&gt;=WJ$26,VZ4&lt;&gt;"",WB4&gt;=WJ$30,WB4&lt;&gt;""),AND(WD4&gt;=WJ$26,WD4&lt;&gt;"",WF4&gt;=WJ$30,WF4&lt;&gt;""),AND(WG4&gt;=WJ$26,WG4&lt;&gt;"",WI4&gt;=WJ$30,WI4&lt;&gt;"")),"Merit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O4&gt;=EB$25,DO4&lt;&gt;"",DQ4&gt;=EB$29,DQ4&lt;&gt;""),AND(DR4&gt;=EB$25,DR4&lt;&gt;"",DT4&gt;=EB$29,DT4&lt;&gt;""),AND(DV4&gt;=EB$25,DV4&lt;&gt;"",DX4&gt;=EB$29,DX4&lt;&gt;""),AND(DY4&gt;=EB$25,DY4&lt;&gt;"",EA4&gt;=EB$29,EA4&lt;&gt;""),AND(EW4&gt;=FJ$25,EW4&lt;&gt;"",EY4&gt;=FJ$29,EY4&lt;&gt;""),AND(EZ4&gt;=FJ$25,EZ4&lt;&gt;"",FB4&gt;=FJ$29,FB4&lt;&gt;""),AND(FD4&gt;=FJ$25,FD4&lt;&gt;"",FF4&gt;=FJ$29,FF4&lt;&gt;""),AND(FG4&gt;=FJ$25,FG4&lt;&gt;"",FI4&gt;=FJ$29,FI4&lt;&gt;""),AND(GE4&gt;=GR$25,GE4&lt;&gt;"",GG4&gt;=GR$29,GG4&lt;&gt;""),AND(GH4&gt;=GR$25,GH4&lt;&gt;"",GJ4&gt;=GR$29,GJ4&lt;&gt;""),AND(GL4&gt;=GR$25,GL4&lt;&gt;"",GN4&gt;=GR$29,GN4&lt;&gt;""),AND(GO4&gt;=GR$25,GO4&lt;&gt;"",GQ4&gt;=GR$29,GQ4&lt;&gt;""),AND(HM4&gt;=HZ$25,HM4&lt;&gt;"",HO4&gt;=HZ$29,HO4&lt;&gt;""),AND(HP4&gt;=HZ$25,HP4&lt;&gt;"",HR4&gt;=HZ$29,HR4&lt;&gt;""),AND(HT4&gt;=HZ$25,HT4&lt;&gt;"",HV4&gt;=HZ$29,HV4&lt;&gt;""),AND(HW4&gt;=HZ$25,HW4&lt;&gt;"",HY4&gt;=HZ$29,HY4&lt;&gt;""),AND(IU4&gt;=JH$25,IU4&lt;&gt;"",IW4&gt;=JH$29,IW4&lt;&gt;""),AND(IX4&gt;=JH$25,IX4&lt;&gt;"",IZ4&gt;=JH$29,IZ4&lt;&gt;""),AND(JB4&gt;=JH$25,JB4&lt;&gt;"",JD4&gt;=JH$29,JD4&lt;&gt;""),AND(JE4&gt;=JH$25,JE4&lt;&gt;"",JG4&gt;=JH$29,JG4&lt;&gt;""),AND(KC4&gt;=KP$25,KC4&lt;&gt;"",KE4&gt;=KP$29,KE4&lt;&gt;""),AND(KF4&gt;=KP$25,KF4&lt;&gt;"",KH4&gt;=KP$29,KH4&lt;&gt;""),AND(KJ4&gt;=KP$25,KJ4&lt;&gt;"",KL4&gt;=KP$29,KL4&lt;&gt;""),AND(KM4&gt;=KP$25,KM4&lt;&gt;"",KO4&gt;=KP$29,KO4&lt;&gt;""),AND(LK4&gt;=LX$25,LK4&lt;&gt;"",LM4&gt;=LX$29,LM4&lt;&gt;""),AND(LN4&gt;=LX$25,LN4&lt;&gt;"",LP4&gt;=LX$29,LP4&lt;&gt;""),AND(LR4&gt;=LX$25,LR4&lt;&gt;"",LT4&gt;=LX$29,LT4&lt;&gt;""),AND(LU4&gt;=LX$25,LU4&lt;&gt;"",LW4&gt;=LX$29,LW4&lt;&gt;""),AND(MS4&gt;=NF$25,MS4&lt;&gt;"",MU4&gt;=NF$29,MU4&lt;&gt;""),AND(MV4&gt;=NF$25,MV4&lt;&gt;"",MX4&gt;=NF$29,MX4&lt;&gt;""),AND(MZ4&gt;=NF$25,MZ4&lt;&gt;"",NB4&gt;=NF$29,NB4&lt;&gt;""),AND(NC4&gt;=NF$25,NC4&lt;&gt;"",NE4&gt;=NF$29,NE4&lt;&gt;""),AND(OA4&gt;=ON$25,OA4&lt;&gt;"",OC4&gt;=ON$29,OC4&lt;&gt;""),AND(OD4&gt;=ON$25,OD4&lt;&gt;"",OF4&gt;=ON$29,OF4&lt;&gt;""),AND(OH4&gt;=ON$25,OH4&lt;&gt;"",OJ4&gt;=ON$29,OJ4&lt;&gt;""),AND(OK4&gt;=ON$25,OK4&lt;&gt;"",OM4&gt;=ON$29,OM4&lt;&gt;""),AND(PI4&gt;=PV$25,PI4&lt;&gt;"",PK4&gt;=PV$29,PK4&lt;&gt;""),AND(PL4&gt;=PV$25,PL4&lt;&gt;"",PN4&gt;=PV$29,PN4&lt;&gt;""),AND(PP4&gt;=PV$25,PP4&lt;&gt;"",PR4&gt;=PV$29,PR4&lt;&gt;""),AND(PS4&gt;=PV$25,PS4&lt;&gt;"",PU4&gt;=PV$29,PU4&lt;&gt;""),AND(QQ4&gt;=RD$25,QQ4&lt;&gt;"",QS4&gt;=RD$29,QS4&lt;&gt;""),AND(QT4&gt;=RD$25,QT4&lt;&gt;"",QV4&gt;=RD$29,QV4&lt;&gt;""),AND(QX4&gt;=RD$25,QX4&lt;&gt;"",QZ4&gt;=RD$29,QZ4&lt;&gt;""),AND(RA4&gt;=RD$25,RA4&lt;&gt;"",RC4&gt;=RD$29,RC4&lt;&gt;""),AND(RY4&gt;=SL$25,RY4&lt;&gt;"",SA4&gt;=SL$29,SA4&lt;&gt;""),AND(SB4&gt;=SL$25,SB4&lt;&gt;"",SD4&gt;=SL$29,SD4&lt;&gt;""),AND(SF4&gt;=SL$25,SF4&lt;&gt;"",SH4&gt;=SL$29,SH4&lt;&gt;""),AND(SI4&gt;=SL$25,SI4&lt;&gt;"",SK4&gt;=SL$29,SK4&lt;&gt;""),AND(TG4&gt;=TT$25,TG4&lt;&gt;"",TI4&gt;=TT$29,TI4&lt;&gt;""),AND(TJ4&gt;=TT$25,TJ4&lt;&gt;"",TL4&gt;=TT$29,TL4&lt;&gt;""),AND(TN4&gt;=TT$25,TN4&lt;&gt;"",TP4&gt;=TT$29,TXN4&lt;&gt;""),AND(TQ4&gt;=TT$25,TQ4&lt;&gt;"",TS4&gt;=TT$29,TS4&lt;&gt;""),AND(UO4&gt;=VB$25,UO4&lt;&gt;"",UQ4&gt;=VB$29,UQ4&lt;&gt;""),AND(UR4&gt;=VB$25,UR4&lt;&gt;"",UT4&gt;=VB$29,UT4&lt;&gt;""),AND(UV4&gt;=VB$25,UV4&lt;&gt;"",UX4&gt;=VB$29,UX4&lt;&gt;""),AND(UY4&gt;=VB$25,UY4&lt;&gt;"",VA4&gt;=VB$29,VA4&lt;&gt;""),AND(VW4&gt;=WJ$25,VW4&lt;&gt;"",VY4&gt;=WJ$29,VY4&lt;&gt;""),AND(VZ4&gt;=WJ$25,VZ4&lt;&gt;"",WB4&gt;=WJ$29,WB4&lt;&gt;""),AND(WD4&gt;=WJ$25,WD4&lt;&gt;"",WF4&gt;=WJ$29,WF4&lt;&gt;""),AND(WG4&gt;=WJ$25,WG4&lt;&gt;"",WI4&gt;=WJ$29,WI4&lt;&gt;"")),"Excellence",IF(I4="P","Worlds Team",IF(F4="P","National Team","")))))</f>
        <v>National Team</v>
      </c>
      <c r="I4" s="3" t="str">
        <f t="shared" ref="I4:I20" si="4">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O4&gt;=EB$24,DO4&lt;&gt;"",DQ4&gt;=EB$28,DQ4&lt;&gt;""),AND(DR4&gt;=EB$24,DR4&lt;&gt;"",DT4&gt;=EB$28,DT4&lt;&gt;""),AND(DV4&gt;=EB$24,DV4&lt;&gt;"",DX4&gt;=EB$28,DX4&lt;&gt;""),AND(DY4&gt;=EB$24,DY4&lt;&gt;"",EA4&gt;=EB$28,EA4&lt;&gt;""),AND(EW4&gt;=FJ$24,EW4&lt;&gt;"",EY4&gt;=FJ$28,EY4&lt;&gt;""),AND(EZ4&gt;=FJ$24,EZ4&lt;&gt;"",FB4&gt;=FJ$28,FB4&lt;&gt;""),AND(FD4&gt;=FJ$24,FD4&lt;&gt;"",FF4&gt;=FJ$28,FF4&lt;&gt;""),AND(FG4&gt;=FJ$24,FG4&lt;&gt;"",FI4&gt;=FJ$28,FI4&lt;&gt;""),AND(GE4&gt;=GR$24,GE4&lt;&gt;"",GG4&gt;=GR$28,GG4&lt;&gt;""),AND(GH4&gt;=GR$24,GH4&lt;&gt;"",GJ4&gt;=GR$28,GJ4&lt;&gt;""),AND(GL4&gt;=GR$24,GL4&lt;&gt;"",GN4&gt;=GR$28,GN4&lt;&gt;""),AND(GO4&gt;=GR$24,GO4&lt;&gt;"",GQ4&gt;=GR$28,GQ4&lt;&gt;""),AND(HM4&gt;=HZ$24,HM4&lt;&gt;"",HO4&gt;=HZ$28,HO4&lt;&gt;""),AND(HP4&gt;=HZ$24,HP4&lt;&gt;"",HR4&gt;=HZ$28,HR4&lt;&gt;""),AND(HT4&gt;=HZ$24,HT4&lt;&gt;"",HV4&gt;=HZ$28,HV4&lt;&gt;""),AND(HW4&gt;=HZ$24,HW4&lt;&gt;"",HY4&gt;=HZ$28,HY4&lt;&gt;""),AND(IU4&gt;=JH$24,IU4&lt;&gt;"",IW4&gt;=JH$28,IW4&lt;&gt;""),AND(IX4&gt;=JH$24,IX4&lt;&gt;"",IZ4&gt;=JH$28,IZ4&lt;&gt;""),AND(JB4&gt;=JH$24,JB4&lt;&gt;"",JD4&gt;=JH$28,JD4&lt;&gt;""),AND(JE4&gt;=JH$24,JE4&lt;&gt;"",JG4&gt;=JH$28,JG4&lt;&gt;""),AND(KC4&gt;=KP$24,KC4&lt;&gt;"",KE4&gt;=KP$28,KE4&lt;&gt;""),AND(KF4&gt;=KP$24,KF4&lt;&gt;"",KH4&gt;=KP$28,KH4&lt;&gt;""),AND(KJ4&gt;=KP$24,KJ4&lt;&gt;"",KL4&gt;=KP$28,KL4&lt;&gt;""),AND(KM4&gt;=KP$24,KM4&lt;&gt;"",KO4&gt;=KP$28,KO4&lt;&gt;""),AND(LK4&gt;=LX$24,LK4&lt;&gt;"",LM4&gt;=LX$28,LM4&lt;&gt;""),AND(LN4&gt;=LX$24,LN4&lt;&gt;"",LP4&gt;=LX$28,LP4&lt;&gt;""),AND(LR4&gt;=LX$24,LR4&lt;&gt;"",LT4&gt;=LX$28,LT4&lt;&gt;""),AND(LU4&gt;=LX$24,LU4&lt;&gt;"",LW4&gt;=LX$28,LW4&lt;&gt;""),AND(MS4&gt;=NF$24,MS4&lt;&gt;"",MU4&gt;=NF$28,MU4&lt;&gt;""),AND(MV4&gt;=NF$24,MV4&lt;&gt;"",MX4&gt;=NF$28,MX4&lt;&gt;""),AND(MZ4&gt;=NF$24,MZ4&lt;&gt;"",NB4&gt;=NF$28,NB4&lt;&gt;""),AND(NC4&gt;=NF$24,NC4&lt;&gt;"",NE4&gt;=NF$28,NE4&lt;&gt;""),AND(OA4&gt;=ON$24,OA4&lt;&gt;"",OC4&gt;=ON$28,OC4&lt;&gt;""),AND(OD4&gt;=ON$24,OD4&lt;&gt;"",OF4&gt;=ON$28,OF4&lt;&gt;""),AND(OH4&gt;=ON$24,OH4&lt;&gt;"",OJ4&gt;=ON$28,OJ4&lt;&gt;""),AND(OK4&gt;=ON$24,OK4&lt;&gt;"",OM4&gt;=ON$28,OM4&lt;&gt;""),AND(PI4&gt;=PV$24,PI4&lt;&gt;"",PK4&gt;=PV$28,PK4&lt;&gt;""),AND(PL4&gt;=PV$24,PL4&lt;&gt;"",PN4&gt;=PV$28,PN4&lt;&gt;""),AND(PP4&gt;=PV$24,PP4&lt;&gt;"",PR4&gt;=PV$28,PR4&lt;&gt;""),AND(PS4&gt;=PV$24,PS4&lt;&gt;"",PU4&gt;=PV$28,PU4&lt;&gt;""),AND(QQ4&gt;=RD$24,QQ4&lt;&gt;"",QS4&gt;=RD$28,QS4&lt;&gt;""),AND(QT4&gt;=RD$24,QT4&lt;&gt;"",QV4&gt;=RD$28,QV4&lt;&gt;""),AND(QX4&gt;=RD$24,QX4&lt;&gt;"",QZ4&gt;=RD$28,QZ4&lt;&gt;""),AND(RA4&gt;=RD$24,RA4&lt;&gt;"",RC4&gt;=RD$28,RC4&lt;&gt;""),AND(RY4&gt;=SL$24,RY4&lt;&gt;"",SA4&gt;=SL$28,SA4&lt;&gt;""),AND(SB4&gt;=SL$24,SB4&lt;&gt;"",SD4&gt;=SL$28,SD4&lt;&gt;""),AND(SF4&gt;=SL$24,SF4&lt;&gt;"",SH4&gt;=SL$28,SH4&lt;&gt;""),AND(SI4&gt;=SL$24,SI4&lt;&gt;"",SK4&gt;=SL$28,SK4&lt;&gt;""),AND(TG4&gt;=TT$24,TG4&lt;&gt;"",TI4&gt;=TT$28,TI4&lt;&gt;""),AND(TJ4&gt;=TT$24,TJ4&lt;&gt;"",TL4&gt;=TT$28,TL4&lt;&gt;""),AND(TN4&gt;=TT$24,TN4&lt;&gt;"",TP4&gt;=TT$28,TXN4&lt;&gt;""),AND(TQ4&gt;=TT$24,TQ4&lt;&gt;"",TS4&gt;=TT$28,TS4&lt;&gt;""),AND(UO4&gt;=VB$24,UO4&lt;&gt;"",UQ4&gt;=VB$28,UQ4&lt;&gt;""),AND(UR4&gt;=VB$24,UR4&lt;&gt;"",UT4&gt;=VB$28,UT4&lt;&gt;""),AND(UV4&gt;=VB$24,UV4&lt;&gt;"",UX4&gt;=VB$28,UX4&lt;&gt;""),AND(UY4&gt;=VB$24,UY4&lt;&gt;"",VA4&gt;=VB$28,VA4&lt;&gt;""),AND(VW4&gt;=WJ$24,VW4&lt;&gt;"",VY4&gt;=WJ$28,VY4&lt;&gt;""),AND(VZ4&gt;=WJ$24,VZ4&lt;&gt;"",WB4&gt;=WJ$28,WB4&lt;&gt;""),AND(WD4&gt;=WJ$24,WD4&lt;&gt;"",WF4&gt;=WJ$28,WF4&lt;&gt;""),AND(WG4&gt;=WJ$24,WG4&lt;&gt;"",WI4&gt;=WJ$28,WI4&lt;&gt;"")),"P","")</f>
        <v/>
      </c>
      <c r="J4" s="8">
        <f t="shared" ref="J4:J20" si="5">MAX(AI4,AL4,AP4,BJ4,BM4,BQ4,CK4,CN4,CR4)</f>
        <v>49.45</v>
      </c>
      <c r="K4" s="8" t="str">
        <f t="shared" ref="K4:K20" si="6">IF(J4="","",IF(OR(J4=CK4,J4=CN4,J4=CR4),$BS$1,IF(OR(J4=BJ4,J4=BM4,J4=BQ4),$AR$1,IF(OR(J4=AI4,J4=AL4,J4=AP4),$Q$1,""))))</f>
        <v>2026 Elite Canada</v>
      </c>
      <c r="L4" s="8">
        <f>IFERROR(LARGE((AI4,AL4,AP4,BJ4,BM4,BQ4,CK4,CN4,CR4),2),0)</f>
        <v>46.97</v>
      </c>
      <c r="M4" s="8" t="str">
        <f t="shared" ref="M4:M20" si="7">IF(L4="","",IF(OR(L4=CK4,L4=CN4,L4=CR4),$BS$1,IF(OR(L4=BJ4,L4=BM4,L4=BQ4),$AR$1,IF(OR(L4=AI4,L4=AL4,L4=AP4),$Q$1,""))))</f>
        <v>2025 Nationals</v>
      </c>
      <c r="N4" s="8">
        <f t="shared" ref="N4:N20" si="8">IF(MAX(CT4,0)&gt;0,MAX(CT4,0),0)</f>
        <v>2.4899999999999949</v>
      </c>
      <c r="O4" s="11" t="str">
        <f t="shared" ref="O4:O20" si="9">IF(N4=0,"",IF(N4=CT4,"("&amp;CT$2&amp;")"))</f>
        <v>(Any)</v>
      </c>
      <c r="P4" s="8" t="str">
        <f t="shared" ref="P4:P20" si="10">IF(N4=0,"",IF(N4+MAX(L4,0)=MAX(WC4,WF4,WI4),$VC$1,IF(N4+MAX(L4,0)=MAX(UU4,UX4,VA4),$TU$1,IF(N4+MAX(L4,0)=MAX(TM4,TP4,TS4),$SM$1,IF(N4+MAX(L4,0)=MAX(SE4,SH4,SK4),$RE$1,IF(N4+MAX(L4,0)=MAX(QW4,QZ4,RC4),$PW$1,IF(N4+MAX(L4,0)=MAX(PO4,PR4,PU4),$OO$1,IF(N4+MAX(L4,0)=MAX(OG4,OJ4,OM4),$NG$1,IF(N4+MAX(L4,0)=MAX(MY4,NB4,NE4),$LY$1,IF(N4+MAX(L4,0)=MAX(LQ4,LT4,LW4),$KQ$1,IF(N4+MAX(L4,0)=MAX(KI4,KL4,KO4),$JI$1,IF(N4+MAX(L4,0)=MAX(JA4,JD4,JG4),$IA$1,IF(N4+MAX(L4,0)=MAX(HS4,HV4,HY4),$GS$1,IF(N4+MAX(L4,0)=MAX(GK4,GN4,GQ4),$FK$1,IF(N4+MAX(L4,0)=MAX(FC4,FF4,FI4),$EC$1,IF(N4+MAX(L4,0)=MAX(DU4,DX4,EA4),$CU$1))))))))))))))))</f>
        <v>2025 World Cup POR (July 6)</v>
      </c>
      <c r="Q4" s="18">
        <v>3.28</v>
      </c>
      <c r="R4" s="18">
        <v>3.75</v>
      </c>
      <c r="S4" s="18">
        <v>5.2</v>
      </c>
      <c r="T4" s="18">
        <v>7.66</v>
      </c>
      <c r="U4" s="18">
        <v>0</v>
      </c>
      <c r="V4" s="18">
        <v>8.4499999999999993</v>
      </c>
      <c r="W4" s="18">
        <v>9.0500000000000007</v>
      </c>
      <c r="X4" s="18">
        <v>11.6</v>
      </c>
      <c r="Y4" s="18">
        <v>16.88</v>
      </c>
      <c r="Z4" s="18">
        <v>0.4</v>
      </c>
      <c r="AA4" s="18">
        <v>8.3800000000000008</v>
      </c>
      <c r="AB4" s="18">
        <v>9.35</v>
      </c>
      <c r="AC4" s="18">
        <v>11.6</v>
      </c>
      <c r="AD4" s="18">
        <v>18.04</v>
      </c>
      <c r="AE4" s="18">
        <v>0.4</v>
      </c>
      <c r="AF4" s="23"/>
      <c r="AG4" s="34">
        <f t="shared" ref="AG4:AG20" si="11">IF(S4&gt;0,S4,"")</f>
        <v>5.2</v>
      </c>
      <c r="AH4" s="34">
        <f t="shared" ref="AH4:AH20" si="12">IF(T4&gt;0,T4,"")</f>
        <v>7.66</v>
      </c>
      <c r="AI4" s="36">
        <f t="shared" ref="AI4:AI20" si="13">IF(SUM(Q4:T4)-U4&gt;0,SUM(Q4:T4)-U4,"")</f>
        <v>19.89</v>
      </c>
      <c r="AJ4" s="36">
        <f t="shared" ref="AJ4:AJ20" si="14">IF(X4&gt;0,X4,"")</f>
        <v>11.6</v>
      </c>
      <c r="AK4" s="36">
        <f t="shared" ref="AK4:AK20" si="15">IF(Y4&gt;0,Y4,"")</f>
        <v>16.88</v>
      </c>
      <c r="AL4" s="36">
        <f t="shared" ref="AL4:AL20" si="16">IF(SUM(V4:Y4)-Z4&gt;0,SUM(V4:Y4)-Z4,"")</f>
        <v>45.580000000000005</v>
      </c>
      <c r="AM4" s="36">
        <f t="shared" ref="AM4:AM20" si="17">IF(AI4="","",MAX(AI4,AL4))</f>
        <v>45.580000000000005</v>
      </c>
      <c r="AN4" s="36">
        <f t="shared" ref="AN4:AN20" si="18">IF(AC4&gt;0,AC4,"")</f>
        <v>11.6</v>
      </c>
      <c r="AO4" s="36">
        <f t="shared" ref="AO4:AO20" si="19">IF(AD4&gt;0,AD4,"")</f>
        <v>18.04</v>
      </c>
      <c r="AP4" s="36">
        <f t="shared" ref="AP4:AP20" si="20">IF(SUM(AA4:AD4)-AE4&gt;0,SUM(AA4:AD4)-AE4,"")</f>
        <v>46.97</v>
      </c>
      <c r="AQ4" s="36">
        <f t="shared" ref="AQ4:AQ20" si="21">IF(SUM(AM4,AP4)&gt;0,SUM(AM4,AP4),"")</f>
        <v>92.550000000000011</v>
      </c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4"/>
      <c r="BH4" s="35" t="str">
        <f t="shared" ref="BH4:BH20" si="22">IF(AT4&gt;0,AT4,"")</f>
        <v/>
      </c>
      <c r="BI4" s="35" t="str">
        <f t="shared" ref="BI4:BI20" si="23">IF(AU4&gt;0,AU4,"")</f>
        <v/>
      </c>
      <c r="BJ4" s="11" t="str">
        <f t="shared" ref="BJ4:BJ20" si="24">IF(SUM(AR4:AU4)-AV4&gt;0,SUM(AR4:AU4)-AV4,"")</f>
        <v/>
      </c>
      <c r="BK4" s="11" t="str">
        <f t="shared" ref="BK4:BK20" si="25">IF(AY4&gt;0,AY4,"")</f>
        <v/>
      </c>
      <c r="BL4" s="11" t="str">
        <f t="shared" ref="BL4:BL20" si="26">IF(AZ4&gt;0,AZ4,"")</f>
        <v/>
      </c>
      <c r="BM4" s="11" t="str">
        <f t="shared" ref="BM4:BM20" si="27">IF(SUM(AW4:AZ4)-BA4&gt;0,SUM(AW4:AZ4)-BA4,"")</f>
        <v/>
      </c>
      <c r="BN4" s="11" t="str">
        <f t="shared" ref="BN4:BN20" si="28">IF(BJ4="","",MAX(BJ4,BM4))</f>
        <v/>
      </c>
      <c r="BO4" s="11" t="str">
        <f t="shared" ref="BO4:BO20" si="29">IF(BD4&gt;0,BD4,"")</f>
        <v/>
      </c>
      <c r="BP4" s="11" t="str">
        <f t="shared" ref="BP4:BP20" si="30">IF(BE4&gt;0,BE4,"")</f>
        <v/>
      </c>
      <c r="BQ4" s="11" t="str">
        <f t="shared" ref="BQ4:BQ20" si="31">IF(SUM(BB4:BE4)-BF4&gt;0,SUM(BB4:BE4)-BF4,"")</f>
        <v/>
      </c>
      <c r="BR4" s="11" t="str">
        <f t="shared" ref="BR4:BR20" si="32">IF(SUM(BN4,BQ4)&gt;0,SUM(BN4,BQ4),"")</f>
        <v/>
      </c>
      <c r="BS4" s="18">
        <v>5.33</v>
      </c>
      <c r="BT4" s="18">
        <v>6.35</v>
      </c>
      <c r="BU4" s="18">
        <v>10.6</v>
      </c>
      <c r="BV4" s="18">
        <v>12.72</v>
      </c>
      <c r="BW4" s="18">
        <v>0</v>
      </c>
      <c r="BX4" s="18">
        <v>7.43</v>
      </c>
      <c r="BY4" s="18">
        <v>9.3000000000000007</v>
      </c>
      <c r="BZ4" s="18">
        <v>0</v>
      </c>
      <c r="CA4" s="18">
        <v>17.899999999999999</v>
      </c>
      <c r="CB4" s="18">
        <v>0</v>
      </c>
      <c r="CC4" s="18">
        <v>7.7</v>
      </c>
      <c r="CD4" s="18">
        <v>8.85</v>
      </c>
      <c r="CE4" s="18">
        <v>14.7</v>
      </c>
      <c r="CF4" s="18">
        <v>18.2</v>
      </c>
      <c r="CG4" s="18">
        <v>0</v>
      </c>
      <c r="CH4" s="23"/>
      <c r="CI4" s="34">
        <f t="shared" ref="CI4:CI20" si="33">IF(BU4&gt;0,BU4,"")</f>
        <v>10.6</v>
      </c>
      <c r="CJ4" s="34">
        <f t="shared" ref="CJ4:CJ20" si="34">IF(BV4&gt;0,BV4,"")</f>
        <v>12.72</v>
      </c>
      <c r="CK4" s="36">
        <f t="shared" ref="CK4:CK20" si="35">IF(SUM(BS4:BV4)-BW4&gt;0,SUM(BS4:BV4)-BW4,"")</f>
        <v>35</v>
      </c>
      <c r="CL4" s="36" t="str">
        <f t="shared" ref="CL4:CL20" si="36">IF(BZ4&gt;0,BZ4,"")</f>
        <v/>
      </c>
      <c r="CM4" s="36">
        <f t="shared" ref="CM4:CM20" si="37">IF(CA4&gt;0,CA4,"")</f>
        <v>17.899999999999999</v>
      </c>
      <c r="CN4" s="36">
        <f t="shared" ref="CN4:CN20" si="38">IF(SUM(BX4:CA4)-CB4&gt;0,SUM(BX4:CA4)-CB4,"")</f>
        <v>34.629999999999995</v>
      </c>
      <c r="CO4" s="36">
        <f t="shared" ref="CO4:CO20" si="39">IF(CK4="","",MAX(CK4,CN4))</f>
        <v>35</v>
      </c>
      <c r="CP4" s="36">
        <f t="shared" ref="CP4:CP20" si="40">IF(CE4&gt;0,CE4,"")</f>
        <v>14.7</v>
      </c>
      <c r="CQ4" s="36">
        <f t="shared" ref="CQ4:CQ20" si="41">IF(CF4&gt;0,CF4,"")</f>
        <v>18.2</v>
      </c>
      <c r="CR4" s="36">
        <f t="shared" ref="CR4:CR20" si="42">IF(SUM(CC4:CF4)-CG4&gt;0,SUM(CC4:CF4)-CG4,"")</f>
        <v>49.45</v>
      </c>
      <c r="CS4" s="36">
        <f t="shared" ref="CS4:CS20" si="43">IF(SUM(CO4,CR4)&gt;0,SUM(CO4,CR4),"")</f>
        <v>84.45</v>
      </c>
      <c r="CT4" s="47">
        <f t="shared" ref="CT4:CT20" si="44">IF(MAX(DU4,DX4,EA4,FC4,FF4,FI4,GK4,GN4,GQ4,HS4,HV4,HY4,JA4,JD4,JG4,KI4,KL4,KO4,LQ4,LT4,LW4,MY4,NB4,NE4,OG4,OJ4,OM4,PO4,PR4,PU4,QW4,QZ4,RC4,SE4,SH4,SK4,TM4,TP4,TS4,UU4,UX4,VA4,WC4,WF4,WI4)-MAX(L4,0)&gt;0.001,MAX(DU4,DX4,EA4,FC4,FF4,FI4,GK4,GN4,GQ4,HS4,HV4,HY4,JA4,JD4,JG4,KI4,KL4,KO4,LQ4,LT4,LW4,MY4,NB4,NE4,OG4,OJ4,OM4,PO4,PR4,PU4,QW4,QZ4,RC4,SE4,SH4,SK4,TM4,TP4,TS4,UU4,UX4,VA4,WC4,WF4,WI4)-MAX(L4,0),"")</f>
        <v>2.4899999999999949</v>
      </c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36" t="str">
        <f t="shared" ref="DO4:DO20" si="45">IF(CW4&gt;0,CW4,"")</f>
        <v/>
      </c>
      <c r="DP4" s="36" t="str">
        <f t="shared" ref="DP4:DP20" si="46">IF(CX4&gt;0,CX4,"")</f>
        <v/>
      </c>
      <c r="DQ4" s="36" t="str">
        <f t="shared" ref="DQ4:DQ20" si="47">IF(SUM(CU4:CX4)-CY4&gt;0,SUM(CU4:CX4)-CY4,"")</f>
        <v/>
      </c>
      <c r="DR4" s="36" t="str">
        <f t="shared" ref="DR4:DR20" si="48">IF(DB4&gt;0,DB4,"")</f>
        <v/>
      </c>
      <c r="DS4" s="36" t="str">
        <f t="shared" ref="DS4:DS20" si="49">IF(DC4&gt;0,DC4,"")</f>
        <v/>
      </c>
      <c r="DT4" s="36" t="str">
        <f t="shared" ref="DT4:DT20" si="50">IF(SUM(CZ4:DC4)-DD4&gt;0,SUM(CZ4:DC4)-DD4,"")</f>
        <v/>
      </c>
      <c r="DU4" s="36" t="str">
        <f t="shared" ref="DU4:DU20" si="51">IF(MAX(DQ4,DT4)&gt;0,MAX(DQ4,DT4),"")</f>
        <v/>
      </c>
      <c r="DV4" s="36" t="str">
        <f t="shared" ref="DV4:DV20" si="52">IF(DG4&gt;0,DG4,"")</f>
        <v/>
      </c>
      <c r="DW4" s="36" t="str">
        <f t="shared" ref="DW4:DW20" si="53">IF(DH4&gt;0,DH4,"")</f>
        <v/>
      </c>
      <c r="DX4" s="36" t="str">
        <f t="shared" ref="DX4:DX20" si="54">IF(SUM(DE4:DH4)-DI4&gt;0,SUM(DE4:DH4)-DI4,"")</f>
        <v/>
      </c>
      <c r="DY4" s="36" t="str">
        <f t="shared" ref="DY4:DY20" si="55">IF(DL4&gt;0,DL4,"")</f>
        <v/>
      </c>
      <c r="DZ4" s="36" t="str">
        <f t="shared" ref="DZ4:DZ20" si="56">IF(DM4&gt;0,DM4,"")</f>
        <v/>
      </c>
      <c r="EA4" s="36" t="str">
        <f t="shared" ref="EA4:EA20" si="57">IF(SUM(DJ4:DM4)-DN4&gt;0,SUM(DJ4:DM4)-DN4,"")</f>
        <v/>
      </c>
      <c r="EB4" s="36" t="str">
        <f t="shared" ref="EB4:EB20" si="58">IF(SUM(DU4,DX4,EA4)&gt;0,SUM(DU4,DX4,EA4),"")</f>
        <v/>
      </c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1" t="str">
        <f t="shared" ref="EW4:EW20" si="59">IF(EE4&gt;0,EE4,"")</f>
        <v/>
      </c>
      <c r="EX4" s="11" t="str">
        <f t="shared" ref="EX4:EX20" si="60">IF(EF4&gt;0,EF4,"")</f>
        <v/>
      </c>
      <c r="EY4" s="11" t="str">
        <f t="shared" ref="EY4:EY20" si="61">IF(SUM(EC4:EF4)-EG4&gt;0,SUM(EC4:EF4)-EG4,"")</f>
        <v/>
      </c>
      <c r="EZ4" s="11" t="str">
        <f t="shared" ref="EZ4:EZ20" si="62">IF(EJ4&gt;0,EJ4,"")</f>
        <v/>
      </c>
      <c r="FA4" s="11" t="str">
        <f t="shared" ref="FA4:FA20" si="63">IF(EK4&gt;0,EK4,"")</f>
        <v/>
      </c>
      <c r="FB4" s="11" t="str">
        <f t="shared" ref="FB4:FB20" si="64">IF(SUM(EH4:EK4)-EL4&gt;0,SUM(EH4:EK4)-EL4,"")</f>
        <v/>
      </c>
      <c r="FC4" s="11" t="str">
        <f t="shared" ref="FC4:FC20" si="65">IF(MAX(EY4,FB4)&gt;0,MAX(EY4,FB4),"")</f>
        <v/>
      </c>
      <c r="FD4" s="11" t="str">
        <f t="shared" ref="FD4:FD20" si="66">IF(EO4&gt;0,EO4,"")</f>
        <v/>
      </c>
      <c r="FE4" s="11" t="str">
        <f t="shared" ref="FE4:FE20" si="67">IF(EP4&gt;0,EP4,"")</f>
        <v/>
      </c>
      <c r="FF4" s="11" t="str">
        <f t="shared" ref="FF4:FF20" si="68">IF(SUM(EM4:EP4)-EQ4&gt;0,SUM(EM4:EP4)-EQ4,"")</f>
        <v/>
      </c>
      <c r="FG4" s="11" t="str">
        <f t="shared" ref="FG4:FG20" si="69">IF(ET4&gt;0,ET4,"")</f>
        <v/>
      </c>
      <c r="FH4" s="11" t="str">
        <f t="shared" ref="FH4:FH20" si="70">IF(EU4&gt;0,EU4,"")</f>
        <v/>
      </c>
      <c r="FI4" s="11" t="str">
        <f t="shared" ref="FI4:FI20" si="71">IF(SUM(ER4:EU4)-EV4&gt;0,SUM(ER4:EU4)-EV4,"")</f>
        <v/>
      </c>
      <c r="FJ4" s="11" t="str">
        <f t="shared" ref="FJ4:FJ20" si="72">IF(SUM(FC4,FF4,FI4)&gt;0,SUM(FC4,FF4,FI4),"")</f>
        <v/>
      </c>
      <c r="FK4" s="15">
        <v>7.35</v>
      </c>
      <c r="FL4" s="15">
        <v>9.15</v>
      </c>
      <c r="FM4" s="15">
        <v>14.9</v>
      </c>
      <c r="FN4" s="15">
        <v>18.059999999999999</v>
      </c>
      <c r="FO4" s="15">
        <v>0</v>
      </c>
      <c r="FP4" s="15">
        <v>0.8</v>
      </c>
      <c r="FQ4" s="15">
        <v>1</v>
      </c>
      <c r="FR4" s="15">
        <v>2</v>
      </c>
      <c r="FS4" s="15">
        <v>1.76</v>
      </c>
      <c r="FT4" s="15">
        <v>0</v>
      </c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36">
        <f t="shared" ref="GE4:GE20" si="73">IF(FM4&gt;0,FM4,"")</f>
        <v>14.9</v>
      </c>
      <c r="GF4" s="36">
        <f t="shared" ref="GF4:GF20" si="74">IF(FN4&gt;0,FN4,"")</f>
        <v>18.059999999999999</v>
      </c>
      <c r="GG4" s="36">
        <f t="shared" ref="GG4:GG20" si="75">IF(SUM(FK4:FN4)-FO4&gt;0,SUM(FK4:FN4)-FO4,"")</f>
        <v>49.459999999999994</v>
      </c>
      <c r="GH4" s="36">
        <f t="shared" ref="GH4:GH20" si="76">IF(FR4&gt;0,FR4,"")</f>
        <v>2</v>
      </c>
      <c r="GI4" s="36">
        <f t="shared" ref="GI4:GI20" si="77">IF(FS4&gt;0,FS4,"")</f>
        <v>1.76</v>
      </c>
      <c r="GJ4" s="36">
        <f t="shared" ref="GJ4:GJ20" si="78">IF(SUM(FP4:FS4)-FT4&gt;0,SUM(FP4:FS4)-FT4,"")</f>
        <v>5.56</v>
      </c>
      <c r="GK4" s="36">
        <f t="shared" ref="GK4:GK20" si="79">IF(MAX(GG4,GJ4)&gt;0,MAX(GG4,GJ4),"")</f>
        <v>49.459999999999994</v>
      </c>
      <c r="GL4" s="36" t="str">
        <f t="shared" ref="GL4:GL20" si="80">IF(FW4&gt;0,FW4,"")</f>
        <v/>
      </c>
      <c r="GM4" s="36" t="str">
        <f t="shared" ref="GM4:GM20" si="81">IF(FX4&gt;0,FX4,"")</f>
        <v/>
      </c>
      <c r="GN4" s="36" t="str">
        <f t="shared" ref="GN4:GN20" si="82">IF(SUM(FU4:FX4)-FY4&gt;0,SUM(FU4:FX4)-FY4,"")</f>
        <v/>
      </c>
      <c r="GO4" s="36" t="str">
        <f t="shared" ref="GO4:GO20" si="83">IF(GB4&gt;0,GB4,"")</f>
        <v/>
      </c>
      <c r="GP4" s="36" t="str">
        <f t="shared" ref="GP4:GP20" si="84">IF(GC4&gt;0,GC4,"")</f>
        <v/>
      </c>
      <c r="GQ4" s="36" t="str">
        <f t="shared" ref="GQ4:GQ20" si="85">IF(SUM(FZ4:GC4)-GD4&gt;0,SUM(FZ4:GC4)-GD4,"")</f>
        <v/>
      </c>
      <c r="GR4" s="36">
        <f t="shared" ref="GR4:GR20" si="86">IF(SUM(GK4,GN4,GQ4)&gt;0,SUM(GK4,GN4,GQ4),"")</f>
        <v>49.459999999999994</v>
      </c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1" t="str">
        <f t="shared" ref="HM4:HM20" si="87">IF(GU4&gt;0,GU4,"")</f>
        <v/>
      </c>
      <c r="HN4" s="11" t="str">
        <f t="shared" ref="HN4:HN20" si="88">IF(GV4&gt;0,GV4,"")</f>
        <v/>
      </c>
      <c r="HO4" s="11" t="str">
        <f t="shared" ref="HO4:HO20" si="89">IF(SUM(GS4:GV4)-GW4&gt;0,SUM(GS4:GV4)-GW4,"")</f>
        <v/>
      </c>
      <c r="HP4" s="11" t="str">
        <f t="shared" ref="HP4:HP20" si="90">IF(GZ4&gt;0,GZ4,"")</f>
        <v/>
      </c>
      <c r="HQ4" s="11" t="str">
        <f t="shared" ref="HQ4:HQ20" si="91">IF(HA4&gt;0,HA4,"")</f>
        <v/>
      </c>
      <c r="HR4" s="11" t="str">
        <f t="shared" ref="HR4:HR20" si="92">IF(SUM(GX4:HA4)-HB4&gt;0,SUM(GX4:HA4)-HB4,"")</f>
        <v/>
      </c>
      <c r="HS4" s="11" t="str">
        <f t="shared" ref="HS4:HS20" si="93">IF(MAX(HO4,HR4)&gt;0,MAX(HO4,HR4),"")</f>
        <v/>
      </c>
      <c r="HT4" s="11" t="str">
        <f t="shared" ref="HT4:HT20" si="94">IF(HE4&gt;0,HE4,"")</f>
        <v/>
      </c>
      <c r="HU4" s="11" t="str">
        <f t="shared" ref="HU4:HU20" si="95">IF(HF4&gt;0,HF4,"")</f>
        <v/>
      </c>
      <c r="HV4" s="11" t="str">
        <f t="shared" ref="HV4:HV20" si="96">IF(SUM(HC4:HF4)-HG4&gt;0,SUM(HC4:HF4)-HG4,"")</f>
        <v/>
      </c>
      <c r="HW4" s="11" t="str">
        <f t="shared" ref="HW4:HW20" si="97">IF(HJ4&gt;0,HJ4,"")</f>
        <v/>
      </c>
      <c r="HX4" s="11" t="str">
        <f t="shared" ref="HX4:HX20" si="98">IF(HK4&gt;0,HK4,"")</f>
        <v/>
      </c>
      <c r="HY4" s="11" t="str">
        <f t="shared" ref="HY4:HY20" si="99">IF(SUM(HH4:HK4)-HL4&gt;0,SUM(HH4:HK4)-HL4,"")</f>
        <v/>
      </c>
      <c r="HZ4" s="11" t="str">
        <f t="shared" ref="HZ4:HZ20" si="100">IF(SUM(HS4,HV4,HY4)&gt;0,SUM(HS4,HV4,HY4),"")</f>
        <v/>
      </c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36" t="str">
        <f t="shared" ref="IU4:IU20" si="101">IF(IC4&gt;0,IC4,"")</f>
        <v/>
      </c>
      <c r="IV4" s="36" t="str">
        <f t="shared" ref="IV4:IV20" si="102">IF(ID4&gt;0,ID4,"")</f>
        <v/>
      </c>
      <c r="IW4" s="36" t="str">
        <f t="shared" ref="IW4:IW20" si="103">IF(SUM(IA4:ID4)-IE4&gt;0,SUM(IA4:ID4)-IE4,"")</f>
        <v/>
      </c>
      <c r="IX4" s="36" t="str">
        <f t="shared" ref="IX4:IX20" si="104">IF(IH4&gt;0,IH4,"")</f>
        <v/>
      </c>
      <c r="IY4" s="36" t="str">
        <f t="shared" ref="IY4:IY20" si="105">IF(II4&gt;0,II4,"")</f>
        <v/>
      </c>
      <c r="IZ4" s="36" t="str">
        <f t="shared" ref="IZ4:IZ20" si="106">IF(SUM(IF4:II4)-IJ4&gt;0,SUM(IF4:II4)-IJ4,"")</f>
        <v/>
      </c>
      <c r="JA4" s="36" t="str">
        <f t="shared" ref="JA4:JA20" si="107">IF(MAX(IW4,IZ4)&gt;0,MAX(IW4,IZ4),"")</f>
        <v/>
      </c>
      <c r="JB4" s="36" t="str">
        <f t="shared" ref="JB4:JB20" si="108">IF(IM4&gt;0,IM4,"")</f>
        <v/>
      </c>
      <c r="JC4" s="36" t="str">
        <f t="shared" ref="JC4:JC20" si="109">IF(IN4&gt;0,IN4,"")</f>
        <v/>
      </c>
      <c r="JD4" s="36" t="str">
        <f t="shared" ref="JD4:JD20" si="110">IF(SUM(IK4:IN4)-IO4&gt;0,SUM(IK4:IN4)-IO4,"")</f>
        <v/>
      </c>
      <c r="JE4" s="36" t="str">
        <f t="shared" ref="JE4:JE20" si="111">IF(IR4&gt;0,IR4,"")</f>
        <v/>
      </c>
      <c r="JF4" s="36" t="str">
        <f t="shared" ref="JF4:JF20" si="112">IF(IS4&gt;0,IS4,"")</f>
        <v/>
      </c>
      <c r="JG4" s="36" t="str">
        <f t="shared" ref="JG4:JG20" si="113">IF(SUM(IP4:IS4)-IT4&gt;0,SUM(IP4:IS4)-IT4,"")</f>
        <v/>
      </c>
      <c r="JH4" s="36" t="str">
        <f t="shared" ref="JH4:JH20" si="114">IF(SUM(JA4,JD4,JG4)&gt;0,SUM(JA4,JD4,JG4),"")</f>
        <v/>
      </c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1" t="str">
        <f t="shared" ref="KC4:KC20" si="115">IF(JK4&gt;0,JK4,"")</f>
        <v/>
      </c>
      <c r="KD4" s="11" t="str">
        <f t="shared" ref="KD4:KD20" si="116">IF(JL4&gt;0,JL4,"")</f>
        <v/>
      </c>
      <c r="KE4" s="11" t="str">
        <f t="shared" ref="KE4:KE20" si="117">IF(SUM(JI4:JL4)-JM4&gt;0,SUM(JI4:JL4)-JM4,"")</f>
        <v/>
      </c>
      <c r="KF4" s="11" t="str">
        <f t="shared" ref="KF4:KF20" si="118">IF(JP4&gt;0,JP4,"")</f>
        <v/>
      </c>
      <c r="KG4" s="11" t="str">
        <f t="shared" ref="KG4:KG20" si="119">IF(JQ4&gt;0,JQ4,"")</f>
        <v/>
      </c>
      <c r="KH4" s="11" t="str">
        <f t="shared" ref="KH4:KH20" si="120">IF(SUM(JN4:JQ4)-JR4&gt;0,SUM(JN4:JQ4)-JR4,"")</f>
        <v/>
      </c>
      <c r="KI4" s="11" t="str">
        <f t="shared" ref="KI4:KI20" si="121">IF(MAX(KE4,KH4)&gt;0,MAX(KE4,KH4),"")</f>
        <v/>
      </c>
      <c r="KJ4" s="11" t="str">
        <f t="shared" ref="KJ4:KJ20" si="122">IF(JU4&gt;0,JU4,"")</f>
        <v/>
      </c>
      <c r="KK4" s="11" t="str">
        <f t="shared" ref="KK4:KK20" si="123">IF(JV4&gt;0,JV4,"")</f>
        <v/>
      </c>
      <c r="KL4" s="11" t="str">
        <f t="shared" ref="KL4:KL20" si="124">IF(SUM(JS4:JV4)-JW4&gt;0,SUM(JS4:JV4)-JW4,"")</f>
        <v/>
      </c>
      <c r="KM4" s="11" t="str">
        <f t="shared" ref="KM4:KM20" si="125">IF(JZ4&gt;0,JZ4,"")</f>
        <v/>
      </c>
      <c r="KN4" s="11" t="str">
        <f t="shared" ref="KN4:KN20" si="126">IF(KA4&gt;0,KA4,"")</f>
        <v/>
      </c>
      <c r="KO4" s="11" t="str">
        <f t="shared" ref="KO4:KO20" si="127">IF(SUM(JX4:KA4)-KB4&gt;0,SUM(JX4:KA4)-KB4,"")</f>
        <v/>
      </c>
      <c r="KP4" s="11" t="str">
        <f t="shared" ref="KP4:KP20" si="128">IF(SUM(KI4,KL4,KO4)&gt;0,SUM(KI4,KL4,KO4),"")</f>
        <v/>
      </c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36" t="str">
        <f t="shared" ref="LK4:LK20" si="129">IF(KS4&gt;0,KS4,"")</f>
        <v/>
      </c>
      <c r="LL4" s="36" t="str">
        <f t="shared" ref="LL4:LL20" si="130">IF(KT4&gt;0,KT4,"")</f>
        <v/>
      </c>
      <c r="LM4" s="36" t="str">
        <f t="shared" ref="LM4:LM20" si="131">IF(SUM(KQ4:KT4)-KU4&gt;0,SUM(KQ4:KT4)-KU4,"")</f>
        <v/>
      </c>
      <c r="LN4" s="36" t="str">
        <f t="shared" ref="LN4:LN20" si="132">IF(KX4&gt;0,KX4,"")</f>
        <v/>
      </c>
      <c r="LO4" s="36" t="str">
        <f t="shared" ref="LO4:LO20" si="133">IF(KY4&gt;0,KY4,"")</f>
        <v/>
      </c>
      <c r="LP4" s="36" t="str">
        <f t="shared" ref="LP4:LP20" si="134">IF(SUM(KV4:KY4)-KZ4&gt;0,SUM(KV4:KY4)-KZ4,"")</f>
        <v/>
      </c>
      <c r="LQ4" s="36" t="str">
        <f t="shared" ref="LQ4:LQ20" si="135">IF(MAX(LM4,LP4)&gt;0,MAX(LM4,LP4),"")</f>
        <v/>
      </c>
      <c r="LR4" s="36" t="str">
        <f t="shared" ref="LR4:LR20" si="136">IF(LC4&gt;0,LC4,"")</f>
        <v/>
      </c>
      <c r="LS4" s="36" t="str">
        <f t="shared" ref="LS4:LS20" si="137">IF(LD4&gt;0,LD4,"")</f>
        <v/>
      </c>
      <c r="LT4" s="36" t="str">
        <f t="shared" ref="LT4:LT20" si="138">IF(SUM(LA4:LD4)-LE4&gt;0,SUM(LA4:LD4)-LE4,"")</f>
        <v/>
      </c>
      <c r="LU4" s="36" t="str">
        <f t="shared" ref="LU4:LU20" si="139">IF(LH4&gt;0,LH4,"")</f>
        <v/>
      </c>
      <c r="LV4" s="36" t="str">
        <f t="shared" ref="LV4:LV20" si="140">IF(LI4&gt;0,LI4,"")</f>
        <v/>
      </c>
      <c r="LW4" s="36" t="str">
        <f t="shared" ref="LW4:LW20" si="141">IF(SUM(LF4:LI4)-LJ4&gt;0,SUM(LF4:LI4)-LJ4,"")</f>
        <v/>
      </c>
      <c r="LX4" s="36" t="str">
        <f t="shared" ref="LX4:LX20" si="142">IF(SUM(LQ4,LT4,LW4)&gt;0,SUM(LQ4,LT4,LW4),"")</f>
        <v/>
      </c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1" t="str">
        <f t="shared" ref="MS4:MS20" si="143">IF(MA4&gt;0,MA4,"")</f>
        <v/>
      </c>
      <c r="MT4" s="11" t="str">
        <f t="shared" ref="MT4:MT20" si="144">IF(MB4&gt;0,MB4,"")</f>
        <v/>
      </c>
      <c r="MU4" s="11" t="str">
        <f t="shared" ref="MU4:MU20" si="145">IF(SUM(LY4:MB4)-MC4&gt;0,SUM(LY4:MB4)-MC4,"")</f>
        <v/>
      </c>
      <c r="MV4" s="11" t="str">
        <f t="shared" ref="MV4:MV20" si="146">IF(MF4&gt;0,MF4,"")</f>
        <v/>
      </c>
      <c r="MW4" s="11" t="str">
        <f t="shared" ref="MW4:MW20" si="147">IF(MG4&gt;0,MG4,"")</f>
        <v/>
      </c>
      <c r="MX4" s="11" t="str">
        <f t="shared" ref="MX4:MX20" si="148">IF(SUM(MD4:MG4)-MH4&gt;0,SUM(MD4:MG4)-MH4,"")</f>
        <v/>
      </c>
      <c r="MY4" s="11" t="str">
        <f t="shared" ref="MY4:MY20" si="149">IF(MAX(MU4,MX4)&gt;0,MAX(MU4,MX4),"")</f>
        <v/>
      </c>
      <c r="MZ4" s="11" t="str">
        <f t="shared" ref="MZ4:MZ20" si="150">IF(MK4&gt;0,MK4,"")</f>
        <v/>
      </c>
      <c r="NA4" s="11" t="str">
        <f t="shared" ref="NA4:NA20" si="151">IF(ML4&gt;0,ML4,"")</f>
        <v/>
      </c>
      <c r="NB4" s="11" t="str">
        <f t="shared" ref="NB4:NB20" si="152">IF(SUM(MI4:ML4)-MM4&gt;0,SUM(MI4:ML4)-MM4,"")</f>
        <v/>
      </c>
      <c r="NC4" s="11" t="str">
        <f t="shared" ref="NC4:NC20" si="153">IF(MP4&gt;0,MP4,"")</f>
        <v/>
      </c>
      <c r="ND4" s="11" t="str">
        <f t="shared" ref="ND4:ND20" si="154">IF(MQ4&gt;0,MQ4,"")</f>
        <v/>
      </c>
      <c r="NE4" s="11" t="str">
        <f t="shared" ref="NE4:NE20" si="155">IF(SUM(MN4:MQ4)-MR4&gt;0,SUM(MN4:MQ4)-MR4,"")</f>
        <v/>
      </c>
      <c r="NF4" s="11" t="str">
        <f t="shared" ref="NF4:NF20" si="156">IF(SUM(MY4,NB4,NE4)&gt;0,SUM(MY4,NB4,NE4),"")</f>
        <v/>
      </c>
      <c r="NG4" s="15"/>
      <c r="NH4" s="15"/>
      <c r="NI4" s="15"/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36" t="str">
        <f t="shared" ref="OA4:OA20" si="157">IF(NI4&gt;0,NI4,"")</f>
        <v/>
      </c>
      <c r="OB4" s="36" t="str">
        <f t="shared" ref="OB4:OB20" si="158">IF(NJ4&gt;0,NJ4,"")</f>
        <v/>
      </c>
      <c r="OC4" s="36" t="str">
        <f t="shared" ref="OC4:OC20" si="159">IF(SUM(NG4:NJ4)-NK4&gt;0,SUM(NG4:NJ4)-NK4,"")</f>
        <v/>
      </c>
      <c r="OD4" s="36" t="str">
        <f t="shared" ref="OD4:OD20" si="160">IF(NN4&gt;0,NN4,"")</f>
        <v/>
      </c>
      <c r="OE4" s="36" t="str">
        <f t="shared" ref="OE4:OE20" si="161">IF(NO4&gt;0,NO4,"")</f>
        <v/>
      </c>
      <c r="OF4" s="36" t="str">
        <f t="shared" ref="OF4:OF20" si="162">IF(SUM(NL4:NO4)-NP4&gt;0,SUM(NL4:NO4)-NP4,"")</f>
        <v/>
      </c>
      <c r="OG4" s="36" t="str">
        <f t="shared" ref="OG4:OG20" si="163">IF(MAX(OC4,OF4)&gt;0,MAX(OC4,OF4),"")</f>
        <v/>
      </c>
      <c r="OH4" s="36" t="str">
        <f t="shared" ref="OH4:OH20" si="164">IF(NS4&gt;0,NS4,"")</f>
        <v/>
      </c>
      <c r="OI4" s="36" t="str">
        <f t="shared" ref="OI4:OI20" si="165">IF(NT4&gt;0,NT4,"")</f>
        <v/>
      </c>
      <c r="OJ4" s="36" t="str">
        <f t="shared" ref="OJ4:OJ20" si="166">IF(SUM(NQ4:NT4)-NU4&gt;0,SUM(NQ4:NT4)-NU4,"")</f>
        <v/>
      </c>
      <c r="OK4" s="36" t="str">
        <f t="shared" ref="OK4:OK20" si="167">IF(NX4&gt;0,NX4,"")</f>
        <v/>
      </c>
      <c r="OL4" s="36" t="str">
        <f t="shared" ref="OL4:OL20" si="168">IF(NY4&gt;0,NY4,"")</f>
        <v/>
      </c>
      <c r="OM4" s="36" t="str">
        <f t="shared" ref="OM4:OM20" si="169">IF(SUM(NV4:NY4)-NZ4&gt;0,SUM(NV4:NY4)-NZ4,"")</f>
        <v/>
      </c>
      <c r="ON4" s="36" t="str">
        <f t="shared" ref="ON4:ON20" si="170">IF(SUM(OG4,OJ4,OM4)&gt;0,SUM(OG4,OJ4,OM4),"")</f>
        <v/>
      </c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1" t="str">
        <f t="shared" ref="PI4:PI20" si="171">IF(OQ4&gt;0,OQ4,"")</f>
        <v/>
      </c>
      <c r="PJ4" s="11" t="str">
        <f t="shared" ref="PJ4:PJ20" si="172">IF(OR4&gt;0,OR4,"")</f>
        <v/>
      </c>
      <c r="PK4" s="11" t="str">
        <f t="shared" ref="PK4:PK20" si="173">IF(SUM(OO4:OR4)-OS4&gt;0,SUM(OO4:OR4)-OS4,"")</f>
        <v/>
      </c>
      <c r="PL4" s="11" t="str">
        <f t="shared" ref="PL4:PL20" si="174">IF(OV4&gt;0,OV4,"")</f>
        <v/>
      </c>
      <c r="PM4" s="11" t="str">
        <f t="shared" ref="PM4:PM20" si="175">IF(OW4&gt;0,OW4,"")</f>
        <v/>
      </c>
      <c r="PN4" s="11" t="str">
        <f t="shared" ref="PN4:PN20" si="176">IF(SUM(OT4:OW4)-OX4&gt;0,SUM(OT4:OW4)-OX4,"")</f>
        <v/>
      </c>
      <c r="PO4" s="11" t="str">
        <f t="shared" ref="PO4:PO20" si="177">IF(MAX(PK4,PN4)&gt;0,MAX(PK4,PN4),"")</f>
        <v/>
      </c>
      <c r="PP4" s="11" t="str">
        <f t="shared" ref="PP4:PP20" si="178">IF(PA4&gt;0,PA4,"")</f>
        <v/>
      </c>
      <c r="PQ4" s="11" t="str">
        <f t="shared" ref="PQ4:PQ20" si="179">IF(PB4&gt;0,PB4,"")</f>
        <v/>
      </c>
      <c r="PR4" s="11" t="str">
        <f t="shared" ref="PR4:PR20" si="180">IF(SUM(OY4:PB4)-PC4&gt;0,SUM(OY4:PB4)-PC4,"")</f>
        <v/>
      </c>
      <c r="PS4" s="11" t="str">
        <f t="shared" ref="PS4:PS20" si="181">IF(PF4&gt;0,PF4,"")</f>
        <v/>
      </c>
      <c r="PT4" s="11" t="str">
        <f t="shared" ref="PT4:PT20" si="182">IF(PG4&gt;0,PG4,"")</f>
        <v/>
      </c>
      <c r="PU4" s="11" t="str">
        <f t="shared" ref="PU4:PU20" si="183">IF(SUM(PD4:PG4)-PH4&gt;0,SUM(PD4:PG4)-PH4,"")</f>
        <v/>
      </c>
      <c r="PV4" s="11" t="str">
        <f t="shared" ref="PV4:PV20" si="184">IF(SUM(PO4,PR4,PU4)&gt;0,SUM(PO4,PR4,PU4),"")</f>
        <v/>
      </c>
      <c r="PW4" s="15"/>
      <c r="PX4" s="15"/>
      <c r="PY4" s="15"/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36" t="str">
        <f t="shared" ref="QQ4:QQ20" si="185">IF(PY4&gt;0,PY4,"")</f>
        <v/>
      </c>
      <c r="QR4" s="36" t="str">
        <f t="shared" ref="QR4:QR20" si="186">IF(PZ4&gt;0,PZ4,"")</f>
        <v/>
      </c>
      <c r="QS4" s="36" t="str">
        <f t="shared" ref="QS4:QS20" si="187">IF(SUM(PW4:PZ4)-QA4&gt;0,SUM(PW4:PZ4)-QA4,"")</f>
        <v/>
      </c>
      <c r="QT4" s="36" t="str">
        <f t="shared" ref="QT4:QT20" si="188">IF(QD4&gt;0,QD4,"")</f>
        <v/>
      </c>
      <c r="QU4" s="36" t="str">
        <f t="shared" ref="QU4:QU20" si="189">IF(QE4&gt;0,QE4,"")</f>
        <v/>
      </c>
      <c r="QV4" s="36" t="str">
        <f t="shared" ref="QV4:QV20" si="190">IF(SUM(QB4:QE4)-QF4&gt;0,SUM(QB4:QE4)-QF4,"")</f>
        <v/>
      </c>
      <c r="QW4" s="36" t="str">
        <f t="shared" ref="QW4:QW20" si="191">IF(MAX(QS4,QV4)&gt;0,MAX(QS4,QV4),"")</f>
        <v/>
      </c>
      <c r="QX4" s="36" t="str">
        <f t="shared" ref="QX4:QX20" si="192">IF(QI4&gt;0,QI4,"")</f>
        <v/>
      </c>
      <c r="QY4" s="36" t="str">
        <f t="shared" ref="QY4:QY20" si="193">IF(QJ4&gt;0,QJ4,"")</f>
        <v/>
      </c>
      <c r="QZ4" s="36" t="str">
        <f t="shared" ref="QZ4:QZ20" si="194">IF(SUM(QG4:QJ4)-QK4&gt;0,SUM(QG4:QJ4)-QK4,"")</f>
        <v/>
      </c>
      <c r="RA4" s="36" t="str">
        <f t="shared" ref="RA4:RA20" si="195">IF(QN4&gt;0,QN4,"")</f>
        <v/>
      </c>
      <c r="RB4" s="36" t="str">
        <f t="shared" ref="RB4:RB20" si="196">IF(QO4&gt;0,QO4,"")</f>
        <v/>
      </c>
      <c r="RC4" s="36" t="str">
        <f t="shared" ref="RC4:RC20" si="197">IF(SUM(QL4:QO4)-QP4&gt;0,SUM(QL4:QO4)-QP4,"")</f>
        <v/>
      </c>
      <c r="RD4" s="36" t="str">
        <f t="shared" ref="RD4:RD20" si="198">IF(SUM(QW4,QZ4,RC4)&gt;0,SUM(QW4,QZ4,RC4),"")</f>
        <v/>
      </c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1" t="str">
        <f t="shared" ref="RY4:RY20" si="199">IF(RG4&gt;0,RG4,"")</f>
        <v/>
      </c>
      <c r="RZ4" s="11" t="str">
        <f t="shared" ref="RZ4:RZ20" si="200">IF(RH4&gt;0,RH4,"")</f>
        <v/>
      </c>
      <c r="SA4" s="11" t="str">
        <f t="shared" ref="SA4:SA20" si="201">IF(SUM(RE4:RH4)-RI4&gt;0,SUM(RE4:RH4)-RI4,"")</f>
        <v/>
      </c>
      <c r="SB4" s="11" t="str">
        <f t="shared" ref="SB4:SB20" si="202">IF(RL4&gt;0,RL4,"")</f>
        <v/>
      </c>
      <c r="SC4" s="11" t="str">
        <f t="shared" ref="SC4:SC20" si="203">IF(RM4&gt;0,RM4,"")</f>
        <v/>
      </c>
      <c r="SD4" s="11" t="str">
        <f t="shared" ref="SD4:SD20" si="204">IF(SUM(RJ4:RM4)-RN4&gt;0,SUM(RJ4:RM4)-RN4,"")</f>
        <v/>
      </c>
      <c r="SE4" s="11" t="str">
        <f t="shared" ref="SE4:SE20" si="205">IF(MAX(SA4,SD4)&gt;0,MAX(SA4,SD4),"")</f>
        <v/>
      </c>
      <c r="SF4" s="11" t="str">
        <f t="shared" ref="SF4:SF20" si="206">IF(RQ4&gt;0,RQ4,"")</f>
        <v/>
      </c>
      <c r="SG4" s="11" t="str">
        <f t="shared" ref="SG4:SG20" si="207">IF(RR4&gt;0,RR4,"")</f>
        <v/>
      </c>
      <c r="SH4" s="11" t="str">
        <f t="shared" ref="SH4:SH20" si="208">IF(SUM(RO4:RR4)-RS4&gt;0,SUM(RO4:RR4)-RS4,"")</f>
        <v/>
      </c>
      <c r="SI4" s="11" t="str">
        <f t="shared" ref="SI4:SI20" si="209">IF(RV4&gt;0,RV4,"")</f>
        <v/>
      </c>
      <c r="SJ4" s="11" t="str">
        <f t="shared" ref="SJ4:SJ20" si="210">IF(RW4&gt;0,RW4,"")</f>
        <v/>
      </c>
      <c r="SK4" s="11" t="str">
        <f t="shared" ref="SK4:SK20" si="211">IF(SUM(RT4:RW4)-RX4&gt;0,SUM(RT4:RW4)-RX4,"")</f>
        <v/>
      </c>
      <c r="SL4" s="11" t="str">
        <f t="shared" ref="SL4:SL20" si="212">IF(SUM(SE4,SH4,SK4)&gt;0,SUM(SE4,SH4,SK4),"")</f>
        <v/>
      </c>
      <c r="SM4" s="15"/>
      <c r="SN4" s="15"/>
      <c r="SO4" s="15"/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36" t="str">
        <f t="shared" ref="TG4:TG20" si="213">IF(SO4&gt;0,SO4,"")</f>
        <v/>
      </c>
      <c r="TH4" s="36" t="str">
        <f t="shared" ref="TH4:TH20" si="214">IF(SP4&gt;0,SP4,"")</f>
        <v/>
      </c>
      <c r="TI4" s="36" t="str">
        <f t="shared" ref="TI4:TI20" si="215">IF(SUM(SM4:SP4)-SQ4&gt;0,SUM(SM4:SP4)-SQ4,"")</f>
        <v/>
      </c>
      <c r="TJ4" s="36" t="str">
        <f t="shared" ref="TJ4:TJ20" si="216">IF(ST4&gt;0,ST4,"")</f>
        <v/>
      </c>
      <c r="TK4" s="36" t="str">
        <f t="shared" ref="TK4:TK20" si="217">IF(SU4&gt;0,SU4,"")</f>
        <v/>
      </c>
      <c r="TL4" s="36" t="str">
        <f t="shared" ref="TL4:TL20" si="218">IF(SUM(SR4:SU4)-SV4&gt;0,SUM(SR4:SU4)-SV4,"")</f>
        <v/>
      </c>
      <c r="TM4" s="36" t="str">
        <f t="shared" ref="TM4:TM20" si="219">IF(MAX(TI4,TL4)&gt;0,MAX(TI4,TL4),"")</f>
        <v/>
      </c>
      <c r="TN4" s="36" t="str">
        <f t="shared" ref="TN4:TN20" si="220">IF(SY4&gt;0,SY4,"")</f>
        <v/>
      </c>
      <c r="TO4" s="36" t="str">
        <f t="shared" ref="TO4:TO20" si="221">IF(SZ4&gt;0,SZ4,"")</f>
        <v/>
      </c>
      <c r="TP4" s="36" t="str">
        <f t="shared" ref="TP4:TP20" si="222">IF(SUM(SW4:SZ4)-TA4&gt;0,SUM(SW4:SZ4)-TA4,"")</f>
        <v/>
      </c>
      <c r="TQ4" s="36" t="str">
        <f t="shared" ref="TQ4:TQ20" si="223">IF(TD4&gt;0,TD4,"")</f>
        <v/>
      </c>
      <c r="TR4" s="36" t="str">
        <f t="shared" ref="TR4:TR20" si="224">IF(TE4&gt;0,TE4,"")</f>
        <v/>
      </c>
      <c r="TS4" s="36" t="str">
        <f t="shared" ref="TS4:TS20" si="225">IF(SUM(TB4:TE4)-TF4&gt;0,SUM(TB4:TE4)-TF4,"")</f>
        <v/>
      </c>
      <c r="TT4" s="36" t="str">
        <f t="shared" ref="TT4:TT20" si="226">IF(SUM(TM4,TP4,TS4)&gt;0,SUM(TM4,TP4,TS4),"")</f>
        <v/>
      </c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1" t="str">
        <f t="shared" ref="UO4:UO20" si="227">IF(TW4&gt;0,TW4,"")</f>
        <v/>
      </c>
      <c r="UP4" s="11" t="str">
        <f t="shared" ref="UP4:UP20" si="228">IF(TX4&gt;0,TX4,"")</f>
        <v/>
      </c>
      <c r="UQ4" s="11" t="str">
        <f t="shared" ref="UQ4:UQ20" si="229">IF(SUM(TU4:TX4)-TY4&gt;0,SUM(TU4:TX4)-TY4,"")</f>
        <v/>
      </c>
      <c r="UR4" s="11" t="str">
        <f t="shared" ref="UR4:UR20" si="230">IF(UB4&gt;0,UB4,"")</f>
        <v/>
      </c>
      <c r="US4" s="11" t="str">
        <f t="shared" ref="US4:US20" si="231">IF(UC4&gt;0,UC4,"")</f>
        <v/>
      </c>
      <c r="UT4" s="11" t="str">
        <f t="shared" ref="UT4:UT20" si="232">IF(SUM(TZ4:UC4)-UD4&gt;0,SUM(TZ4:UC4)-UD4,"")</f>
        <v/>
      </c>
      <c r="UU4" s="11" t="str">
        <f t="shared" ref="UU4:UU20" si="233">IF(MAX(UQ4,UT4)&gt;0,MAX(UQ4,UT4),"")</f>
        <v/>
      </c>
      <c r="UV4" s="11" t="str">
        <f t="shared" ref="UV4:UV20" si="234">IF(UG4&gt;0,UG4,"")</f>
        <v/>
      </c>
      <c r="UW4" s="11" t="str">
        <f t="shared" ref="UW4:UW20" si="235">IF(UH4&gt;0,UH4,"")</f>
        <v/>
      </c>
      <c r="UX4" s="11" t="str">
        <f t="shared" ref="UX4:UX20" si="236">IF(SUM(UE4:UH4)-UI4&gt;0,SUM(UE4:UH4)-UI4,"")</f>
        <v/>
      </c>
      <c r="UY4" s="11" t="str">
        <f t="shared" ref="UY4:UY20" si="237">IF(UL4&gt;0,UL4,"")</f>
        <v/>
      </c>
      <c r="UZ4" s="11" t="str">
        <f t="shared" ref="UZ4:UZ20" si="238">IF(UM4&gt;0,UM4,"")</f>
        <v/>
      </c>
      <c r="VA4" s="11" t="str">
        <f t="shared" ref="VA4:VA20" si="239">IF(SUM(UJ4:UM4)-UN4&gt;0,SUM(UJ4:UM4)-UN4,"")</f>
        <v/>
      </c>
      <c r="VB4" s="11" t="str">
        <f t="shared" ref="VB4:VB20" si="240">IF(SUM(UU4,UX4,VA4)&gt;0,SUM(UU4,UX4,VA4),"")</f>
        <v/>
      </c>
      <c r="VC4" s="15"/>
      <c r="VD4" s="15"/>
      <c r="VE4" s="15"/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36" t="str">
        <f t="shared" ref="VW4:VW20" si="241">IF(VE4&gt;0,VE4,"")</f>
        <v/>
      </c>
      <c r="VX4" s="36" t="str">
        <f t="shared" ref="VX4:VX20" si="242">IF(VF4&gt;0,VF4,"")</f>
        <v/>
      </c>
      <c r="VY4" s="36" t="str">
        <f t="shared" ref="VY4:VY20" si="243">IF(SUM(VC4:VF4)-VG4&gt;0,SUM(VC4:VF4)-VG4,"")</f>
        <v/>
      </c>
      <c r="VZ4" s="36" t="str">
        <f t="shared" ref="VZ4:VZ20" si="244">IF(VJ4&gt;0,VJ4,"")</f>
        <v/>
      </c>
      <c r="WA4" s="36" t="str">
        <f t="shared" ref="WA4:WA20" si="245">IF(VK4&gt;0,VK4,"")</f>
        <v/>
      </c>
      <c r="WB4" s="36" t="str">
        <f t="shared" ref="WB4:WB20" si="246">IF(SUM(VH4:VK4)-VL4&gt;0,SUM(VH4:VK4)-VL4,"")</f>
        <v/>
      </c>
      <c r="WC4" s="36" t="str">
        <f t="shared" ref="WC4:WC20" si="247">IF(MAX(VY4,WB4)&gt;0,MAX(VY4,WB4),"")</f>
        <v/>
      </c>
      <c r="WD4" s="36" t="str">
        <f t="shared" ref="WD4:WD20" si="248">IF(VO4&gt;0,VO4,"")</f>
        <v/>
      </c>
      <c r="WE4" s="36" t="str">
        <f t="shared" ref="WE4:WE20" si="249">IF(VP4&gt;0,VP4,"")</f>
        <v/>
      </c>
      <c r="WF4" s="36" t="str">
        <f t="shared" ref="WF4:WF20" si="250">IF(SUM(VM4:VP4)-VQ4&gt;0,SUM(VM4:VP4)-VQ4,"")</f>
        <v/>
      </c>
      <c r="WG4" s="36" t="str">
        <f t="shared" ref="WG4:WG20" si="251">IF(VT4&gt;0,VT4,"")</f>
        <v/>
      </c>
      <c r="WH4" s="36" t="str">
        <f t="shared" ref="WH4:WH20" si="252">IF(VU4&gt;0,VU4,"")</f>
        <v/>
      </c>
      <c r="WI4" s="36" t="str">
        <f t="shared" ref="WI4:WI20" si="253">IF(SUM(VR4:VU4)-VV4&gt;0,SUM(VR4:VU4)-VV4,"")</f>
        <v/>
      </c>
      <c r="WJ4" s="36" t="str">
        <f t="shared" ref="WJ4:WJ20" si="254">IF(SUM(WC4,WF4,WI4)&gt;0,SUM(WC4,WF4,WI4),"")</f>
        <v/>
      </c>
    </row>
    <row r="5" spans="1:608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164</v>
      </c>
      <c r="C5" s="4" t="s">
        <v>121</v>
      </c>
      <c r="D5" s="4" t="s">
        <v>163</v>
      </c>
      <c r="E5" s="9">
        <f t="shared" si="0"/>
        <v>48.53</v>
      </c>
      <c r="F5" s="3" t="str">
        <f t="shared" si="1"/>
        <v>P</v>
      </c>
      <c r="G5" s="3" t="str">
        <f t="shared" si="2"/>
        <v>P</v>
      </c>
      <c r="H5" s="32" t="str">
        <f t="shared" si="3"/>
        <v>National Team</v>
      </c>
      <c r="I5" s="3" t="str">
        <f t="shared" si="4"/>
        <v/>
      </c>
      <c r="J5" s="8">
        <f t="shared" si="5"/>
        <v>0</v>
      </c>
      <c r="K5" s="8" t="str">
        <f t="shared" si="6"/>
        <v/>
      </c>
      <c r="L5" s="8">
        <f>IFERROR(LARGE((AI5,AL5,AP5,BJ5,BM5,BQ5,CK5,CN5,CR5),2),0)</f>
        <v>0</v>
      </c>
      <c r="M5" s="8" t="str">
        <f t="shared" si="7"/>
        <v/>
      </c>
      <c r="N5" s="8">
        <f t="shared" si="8"/>
        <v>48.53</v>
      </c>
      <c r="O5" s="11" t="str">
        <f t="shared" si="9"/>
        <v>(Any)</v>
      </c>
      <c r="P5" s="8" t="str">
        <f t="shared" si="10"/>
        <v>2025 Worlds (Nov 9)</v>
      </c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23"/>
      <c r="AG5" s="34" t="str">
        <f t="shared" si="11"/>
        <v/>
      </c>
      <c r="AH5" s="34" t="str">
        <f t="shared" si="12"/>
        <v/>
      </c>
      <c r="AI5" s="36" t="str">
        <f t="shared" si="13"/>
        <v/>
      </c>
      <c r="AJ5" s="36" t="str">
        <f t="shared" si="14"/>
        <v/>
      </c>
      <c r="AK5" s="36" t="str">
        <f t="shared" si="15"/>
        <v/>
      </c>
      <c r="AL5" s="36" t="str">
        <f t="shared" si="16"/>
        <v/>
      </c>
      <c r="AM5" s="36" t="str">
        <f t="shared" si="17"/>
        <v/>
      </c>
      <c r="AN5" s="36" t="str">
        <f t="shared" si="18"/>
        <v/>
      </c>
      <c r="AO5" s="36" t="str">
        <f t="shared" si="19"/>
        <v/>
      </c>
      <c r="AP5" s="36" t="str">
        <f t="shared" si="20"/>
        <v/>
      </c>
      <c r="AQ5" s="36" t="str">
        <f t="shared" si="21"/>
        <v/>
      </c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4"/>
      <c r="BH5" s="35" t="str">
        <f t="shared" si="22"/>
        <v/>
      </c>
      <c r="BI5" s="35" t="str">
        <f t="shared" si="23"/>
        <v/>
      </c>
      <c r="BJ5" s="11" t="str">
        <f t="shared" si="24"/>
        <v/>
      </c>
      <c r="BK5" s="11" t="str">
        <f t="shared" si="25"/>
        <v/>
      </c>
      <c r="BL5" s="11" t="str">
        <f t="shared" si="26"/>
        <v/>
      </c>
      <c r="BM5" s="11" t="str">
        <f t="shared" si="27"/>
        <v/>
      </c>
      <c r="BN5" s="11" t="str">
        <f t="shared" si="28"/>
        <v/>
      </c>
      <c r="BO5" s="11" t="str">
        <f t="shared" si="29"/>
        <v/>
      </c>
      <c r="BP5" s="11" t="str">
        <f t="shared" si="30"/>
        <v/>
      </c>
      <c r="BQ5" s="11" t="str">
        <f t="shared" si="31"/>
        <v/>
      </c>
      <c r="BR5" s="11" t="str">
        <f t="shared" si="32"/>
        <v/>
      </c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23"/>
      <c r="CI5" s="34" t="str">
        <f t="shared" si="33"/>
        <v/>
      </c>
      <c r="CJ5" s="34" t="str">
        <f t="shared" si="34"/>
        <v/>
      </c>
      <c r="CK5" s="36" t="str">
        <f t="shared" si="35"/>
        <v/>
      </c>
      <c r="CL5" s="36" t="str">
        <f t="shared" si="36"/>
        <v/>
      </c>
      <c r="CM5" s="36" t="str">
        <f t="shared" si="37"/>
        <v/>
      </c>
      <c r="CN5" s="36" t="str">
        <f t="shared" si="38"/>
        <v/>
      </c>
      <c r="CO5" s="36" t="str">
        <f t="shared" si="39"/>
        <v/>
      </c>
      <c r="CP5" s="36" t="str">
        <f t="shared" si="40"/>
        <v/>
      </c>
      <c r="CQ5" s="36" t="str">
        <f t="shared" si="41"/>
        <v/>
      </c>
      <c r="CR5" s="36" t="str">
        <f t="shared" si="42"/>
        <v/>
      </c>
      <c r="CS5" s="36" t="str">
        <f t="shared" si="43"/>
        <v/>
      </c>
      <c r="CT5" s="47">
        <f t="shared" si="44"/>
        <v>48.53</v>
      </c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36" t="str">
        <f t="shared" si="45"/>
        <v/>
      </c>
      <c r="DP5" s="36" t="str">
        <f t="shared" si="46"/>
        <v/>
      </c>
      <c r="DQ5" s="36" t="str">
        <f t="shared" si="47"/>
        <v/>
      </c>
      <c r="DR5" s="36" t="str">
        <f t="shared" si="48"/>
        <v/>
      </c>
      <c r="DS5" s="36" t="str">
        <f t="shared" si="49"/>
        <v/>
      </c>
      <c r="DT5" s="36" t="str">
        <f t="shared" si="50"/>
        <v/>
      </c>
      <c r="DU5" s="36" t="str">
        <f t="shared" si="51"/>
        <v/>
      </c>
      <c r="DV5" s="36" t="str">
        <f t="shared" si="52"/>
        <v/>
      </c>
      <c r="DW5" s="36" t="str">
        <f t="shared" si="53"/>
        <v/>
      </c>
      <c r="DX5" s="36" t="str">
        <f t="shared" si="54"/>
        <v/>
      </c>
      <c r="DY5" s="36" t="str">
        <f t="shared" si="55"/>
        <v/>
      </c>
      <c r="DZ5" s="36" t="str">
        <f t="shared" si="56"/>
        <v/>
      </c>
      <c r="EA5" s="36" t="str">
        <f t="shared" si="57"/>
        <v/>
      </c>
      <c r="EB5" s="36" t="str">
        <f t="shared" si="58"/>
        <v/>
      </c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1" t="str">
        <f t="shared" si="59"/>
        <v/>
      </c>
      <c r="EX5" s="11" t="str">
        <f t="shared" si="60"/>
        <v/>
      </c>
      <c r="EY5" s="11" t="str">
        <f t="shared" si="61"/>
        <v/>
      </c>
      <c r="EZ5" s="11" t="str">
        <f t="shared" si="62"/>
        <v/>
      </c>
      <c r="FA5" s="11" t="str">
        <f t="shared" si="63"/>
        <v/>
      </c>
      <c r="FB5" s="11" t="str">
        <f t="shared" si="64"/>
        <v/>
      </c>
      <c r="FC5" s="11" t="str">
        <f t="shared" si="65"/>
        <v/>
      </c>
      <c r="FD5" s="11" t="str">
        <f t="shared" si="66"/>
        <v/>
      </c>
      <c r="FE5" s="11" t="str">
        <f t="shared" si="67"/>
        <v/>
      </c>
      <c r="FF5" s="11" t="str">
        <f t="shared" si="68"/>
        <v/>
      </c>
      <c r="FG5" s="11" t="str">
        <f t="shared" si="69"/>
        <v/>
      </c>
      <c r="FH5" s="11" t="str">
        <f t="shared" si="70"/>
        <v/>
      </c>
      <c r="FI5" s="11" t="str">
        <f t="shared" si="71"/>
        <v/>
      </c>
      <c r="FJ5" s="11" t="str">
        <f t="shared" si="72"/>
        <v/>
      </c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36" t="str">
        <f t="shared" si="73"/>
        <v/>
      </c>
      <c r="GF5" s="36" t="str">
        <f t="shared" si="74"/>
        <v/>
      </c>
      <c r="GG5" s="36" t="str">
        <f t="shared" si="75"/>
        <v/>
      </c>
      <c r="GH5" s="36" t="str">
        <f t="shared" si="76"/>
        <v/>
      </c>
      <c r="GI5" s="36" t="str">
        <f t="shared" si="77"/>
        <v/>
      </c>
      <c r="GJ5" s="36" t="str">
        <f t="shared" si="78"/>
        <v/>
      </c>
      <c r="GK5" s="36" t="str">
        <f t="shared" si="79"/>
        <v/>
      </c>
      <c r="GL5" s="36" t="str">
        <f t="shared" si="80"/>
        <v/>
      </c>
      <c r="GM5" s="36" t="str">
        <f t="shared" si="81"/>
        <v/>
      </c>
      <c r="GN5" s="36" t="str">
        <f t="shared" si="82"/>
        <v/>
      </c>
      <c r="GO5" s="36" t="str">
        <f t="shared" si="83"/>
        <v/>
      </c>
      <c r="GP5" s="36" t="str">
        <f t="shared" si="84"/>
        <v/>
      </c>
      <c r="GQ5" s="36" t="str">
        <f t="shared" si="85"/>
        <v/>
      </c>
      <c r="GR5" s="36" t="str">
        <f t="shared" si="86"/>
        <v/>
      </c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1" t="str">
        <f t="shared" si="87"/>
        <v/>
      </c>
      <c r="HN5" s="11" t="str">
        <f t="shared" si="88"/>
        <v/>
      </c>
      <c r="HO5" s="11" t="str">
        <f t="shared" si="89"/>
        <v/>
      </c>
      <c r="HP5" s="11" t="str">
        <f t="shared" si="90"/>
        <v/>
      </c>
      <c r="HQ5" s="11" t="str">
        <f t="shared" si="91"/>
        <v/>
      </c>
      <c r="HR5" s="11" t="str">
        <f t="shared" si="92"/>
        <v/>
      </c>
      <c r="HS5" s="11" t="str">
        <f t="shared" si="93"/>
        <v/>
      </c>
      <c r="HT5" s="11" t="str">
        <f t="shared" si="94"/>
        <v/>
      </c>
      <c r="HU5" s="11" t="str">
        <f t="shared" si="95"/>
        <v/>
      </c>
      <c r="HV5" s="11" t="str">
        <f t="shared" si="96"/>
        <v/>
      </c>
      <c r="HW5" s="11" t="str">
        <f t="shared" si="97"/>
        <v/>
      </c>
      <c r="HX5" s="11" t="str">
        <f t="shared" si="98"/>
        <v/>
      </c>
      <c r="HY5" s="11" t="str">
        <f t="shared" si="99"/>
        <v/>
      </c>
      <c r="HZ5" s="11" t="str">
        <f t="shared" si="100"/>
        <v/>
      </c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36" t="str">
        <f t="shared" si="101"/>
        <v/>
      </c>
      <c r="IV5" s="36" t="str">
        <f t="shared" si="102"/>
        <v/>
      </c>
      <c r="IW5" s="36" t="str">
        <f t="shared" si="103"/>
        <v/>
      </c>
      <c r="IX5" s="36" t="str">
        <f t="shared" si="104"/>
        <v/>
      </c>
      <c r="IY5" s="36" t="str">
        <f t="shared" si="105"/>
        <v/>
      </c>
      <c r="IZ5" s="36" t="str">
        <f t="shared" si="106"/>
        <v/>
      </c>
      <c r="JA5" s="36" t="str">
        <f t="shared" si="107"/>
        <v/>
      </c>
      <c r="JB5" s="36" t="str">
        <f t="shared" si="108"/>
        <v/>
      </c>
      <c r="JC5" s="36" t="str">
        <f t="shared" si="109"/>
        <v/>
      </c>
      <c r="JD5" s="36" t="str">
        <f t="shared" si="110"/>
        <v/>
      </c>
      <c r="JE5" s="36" t="str">
        <f t="shared" si="111"/>
        <v/>
      </c>
      <c r="JF5" s="36" t="str">
        <f t="shared" si="112"/>
        <v/>
      </c>
      <c r="JG5" s="36" t="str">
        <f t="shared" si="113"/>
        <v/>
      </c>
      <c r="JH5" s="36" t="str">
        <f t="shared" si="114"/>
        <v/>
      </c>
      <c r="JI5" s="16">
        <v>3</v>
      </c>
      <c r="JJ5" s="16">
        <v>3.55</v>
      </c>
      <c r="JK5" s="16">
        <v>6.3</v>
      </c>
      <c r="JL5" s="16">
        <v>6.98</v>
      </c>
      <c r="JM5" s="16">
        <v>0</v>
      </c>
      <c r="JN5" s="16">
        <v>7.45</v>
      </c>
      <c r="JO5" s="16">
        <v>9</v>
      </c>
      <c r="JP5" s="16">
        <v>14.9</v>
      </c>
      <c r="JQ5" s="16">
        <v>16.440000000000001</v>
      </c>
      <c r="JR5" s="16">
        <v>0</v>
      </c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1">
        <f t="shared" si="115"/>
        <v>6.3</v>
      </c>
      <c r="KD5" s="11">
        <f t="shared" si="116"/>
        <v>6.98</v>
      </c>
      <c r="KE5" s="11">
        <f t="shared" si="117"/>
        <v>19.829999999999998</v>
      </c>
      <c r="KF5" s="11">
        <f t="shared" si="118"/>
        <v>14.9</v>
      </c>
      <c r="KG5" s="11">
        <f t="shared" si="119"/>
        <v>16.440000000000001</v>
      </c>
      <c r="KH5" s="11">
        <f t="shared" si="120"/>
        <v>47.790000000000006</v>
      </c>
      <c r="KI5" s="11">
        <f t="shared" si="121"/>
        <v>47.790000000000006</v>
      </c>
      <c r="KJ5" s="11" t="str">
        <f t="shared" si="122"/>
        <v/>
      </c>
      <c r="KK5" s="11" t="str">
        <f t="shared" si="123"/>
        <v/>
      </c>
      <c r="KL5" s="11" t="str">
        <f t="shared" si="124"/>
        <v/>
      </c>
      <c r="KM5" s="11" t="str">
        <f t="shared" si="125"/>
        <v/>
      </c>
      <c r="KN5" s="11" t="str">
        <f t="shared" si="126"/>
        <v/>
      </c>
      <c r="KO5" s="11" t="str">
        <f t="shared" si="127"/>
        <v/>
      </c>
      <c r="KP5" s="11">
        <f t="shared" si="128"/>
        <v>47.790000000000006</v>
      </c>
      <c r="KQ5" s="15">
        <v>7.85</v>
      </c>
      <c r="KR5" s="15">
        <v>9.4</v>
      </c>
      <c r="KS5" s="15">
        <v>14.9</v>
      </c>
      <c r="KT5" s="15">
        <v>16.78</v>
      </c>
      <c r="KU5" s="15">
        <v>0.4</v>
      </c>
      <c r="KV5" s="15">
        <v>1.6</v>
      </c>
      <c r="KW5" s="15">
        <v>1.65</v>
      </c>
      <c r="KX5" s="15">
        <v>3.5</v>
      </c>
      <c r="KY5" s="15">
        <v>2.82</v>
      </c>
      <c r="KZ5" s="15">
        <v>0</v>
      </c>
      <c r="LA5" s="15">
        <v>7.75</v>
      </c>
      <c r="LB5" s="15">
        <v>9.1</v>
      </c>
      <c r="LC5" s="15">
        <v>14.9</v>
      </c>
      <c r="LD5" s="15">
        <v>14.32</v>
      </c>
      <c r="LE5" s="15"/>
      <c r="LF5" s="15"/>
      <c r="LG5" s="15"/>
      <c r="LH5" s="15"/>
      <c r="LI5" s="15"/>
      <c r="LJ5" s="15"/>
      <c r="LK5" s="36">
        <f t="shared" si="129"/>
        <v>14.9</v>
      </c>
      <c r="LL5" s="36">
        <f t="shared" si="130"/>
        <v>16.78</v>
      </c>
      <c r="LM5" s="36">
        <f t="shared" si="131"/>
        <v>48.53</v>
      </c>
      <c r="LN5" s="36">
        <f t="shared" si="132"/>
        <v>3.5</v>
      </c>
      <c r="LO5" s="36">
        <f t="shared" si="133"/>
        <v>2.82</v>
      </c>
      <c r="LP5" s="36">
        <f t="shared" si="134"/>
        <v>9.57</v>
      </c>
      <c r="LQ5" s="36">
        <f t="shared" si="135"/>
        <v>48.53</v>
      </c>
      <c r="LR5" s="36">
        <f t="shared" si="136"/>
        <v>14.9</v>
      </c>
      <c r="LS5" s="36">
        <f t="shared" si="137"/>
        <v>14.32</v>
      </c>
      <c r="LT5" s="36">
        <f t="shared" si="138"/>
        <v>46.07</v>
      </c>
      <c r="LU5" s="36" t="str">
        <f t="shared" si="139"/>
        <v/>
      </c>
      <c r="LV5" s="36" t="str">
        <f t="shared" si="140"/>
        <v/>
      </c>
      <c r="LW5" s="36" t="str">
        <f t="shared" si="141"/>
        <v/>
      </c>
      <c r="LX5" s="36">
        <f t="shared" si="142"/>
        <v>94.6</v>
      </c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1" t="str">
        <f t="shared" si="143"/>
        <v/>
      </c>
      <c r="MT5" s="11" t="str">
        <f t="shared" si="144"/>
        <v/>
      </c>
      <c r="MU5" s="11" t="str">
        <f t="shared" si="145"/>
        <v/>
      </c>
      <c r="MV5" s="11" t="str">
        <f t="shared" si="146"/>
        <v/>
      </c>
      <c r="MW5" s="11" t="str">
        <f t="shared" si="147"/>
        <v/>
      </c>
      <c r="MX5" s="11" t="str">
        <f t="shared" si="148"/>
        <v/>
      </c>
      <c r="MY5" s="11" t="str">
        <f t="shared" si="149"/>
        <v/>
      </c>
      <c r="MZ5" s="11" t="str">
        <f t="shared" si="150"/>
        <v/>
      </c>
      <c r="NA5" s="11" t="str">
        <f t="shared" si="151"/>
        <v/>
      </c>
      <c r="NB5" s="11" t="str">
        <f t="shared" si="152"/>
        <v/>
      </c>
      <c r="NC5" s="11" t="str">
        <f t="shared" si="153"/>
        <v/>
      </c>
      <c r="ND5" s="11" t="str">
        <f t="shared" si="154"/>
        <v/>
      </c>
      <c r="NE5" s="11" t="str">
        <f t="shared" si="155"/>
        <v/>
      </c>
      <c r="NF5" s="11" t="str">
        <f t="shared" si="156"/>
        <v/>
      </c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36" t="str">
        <f t="shared" si="157"/>
        <v/>
      </c>
      <c r="OB5" s="36" t="str">
        <f t="shared" si="158"/>
        <v/>
      </c>
      <c r="OC5" s="36" t="str">
        <f t="shared" si="159"/>
        <v/>
      </c>
      <c r="OD5" s="36" t="str">
        <f t="shared" si="160"/>
        <v/>
      </c>
      <c r="OE5" s="36" t="str">
        <f t="shared" si="161"/>
        <v/>
      </c>
      <c r="OF5" s="36" t="str">
        <f t="shared" si="162"/>
        <v/>
      </c>
      <c r="OG5" s="36" t="str">
        <f t="shared" si="163"/>
        <v/>
      </c>
      <c r="OH5" s="36" t="str">
        <f t="shared" si="164"/>
        <v/>
      </c>
      <c r="OI5" s="36" t="str">
        <f t="shared" si="165"/>
        <v/>
      </c>
      <c r="OJ5" s="36" t="str">
        <f t="shared" si="166"/>
        <v/>
      </c>
      <c r="OK5" s="36" t="str">
        <f t="shared" si="167"/>
        <v/>
      </c>
      <c r="OL5" s="36" t="str">
        <f t="shared" si="168"/>
        <v/>
      </c>
      <c r="OM5" s="36" t="str">
        <f t="shared" si="169"/>
        <v/>
      </c>
      <c r="ON5" s="36" t="str">
        <f t="shared" si="170"/>
        <v/>
      </c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1" t="str">
        <f t="shared" si="171"/>
        <v/>
      </c>
      <c r="PJ5" s="11" t="str">
        <f t="shared" si="172"/>
        <v/>
      </c>
      <c r="PK5" s="11" t="str">
        <f t="shared" si="173"/>
        <v/>
      </c>
      <c r="PL5" s="11" t="str">
        <f t="shared" si="174"/>
        <v/>
      </c>
      <c r="PM5" s="11" t="str">
        <f t="shared" si="175"/>
        <v/>
      </c>
      <c r="PN5" s="11" t="str">
        <f t="shared" si="176"/>
        <v/>
      </c>
      <c r="PO5" s="11" t="str">
        <f t="shared" si="177"/>
        <v/>
      </c>
      <c r="PP5" s="11" t="str">
        <f t="shared" si="178"/>
        <v/>
      </c>
      <c r="PQ5" s="11" t="str">
        <f t="shared" si="179"/>
        <v/>
      </c>
      <c r="PR5" s="11" t="str">
        <f t="shared" si="180"/>
        <v/>
      </c>
      <c r="PS5" s="11" t="str">
        <f t="shared" si="181"/>
        <v/>
      </c>
      <c r="PT5" s="11" t="str">
        <f t="shared" si="182"/>
        <v/>
      </c>
      <c r="PU5" s="11" t="str">
        <f t="shared" si="183"/>
        <v/>
      </c>
      <c r="PV5" s="11" t="str">
        <f t="shared" si="184"/>
        <v/>
      </c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36" t="str">
        <f t="shared" si="185"/>
        <v/>
      </c>
      <c r="QR5" s="36" t="str">
        <f t="shared" si="186"/>
        <v/>
      </c>
      <c r="QS5" s="36" t="str">
        <f t="shared" si="187"/>
        <v/>
      </c>
      <c r="QT5" s="36" t="str">
        <f t="shared" si="188"/>
        <v/>
      </c>
      <c r="QU5" s="36" t="str">
        <f t="shared" si="189"/>
        <v/>
      </c>
      <c r="QV5" s="36" t="str">
        <f t="shared" si="190"/>
        <v/>
      </c>
      <c r="QW5" s="36" t="str">
        <f t="shared" si="191"/>
        <v/>
      </c>
      <c r="QX5" s="36" t="str">
        <f t="shared" si="192"/>
        <v/>
      </c>
      <c r="QY5" s="36" t="str">
        <f t="shared" si="193"/>
        <v/>
      </c>
      <c r="QZ5" s="36" t="str">
        <f t="shared" si="194"/>
        <v/>
      </c>
      <c r="RA5" s="36" t="str">
        <f t="shared" si="195"/>
        <v/>
      </c>
      <c r="RB5" s="36" t="str">
        <f t="shared" si="196"/>
        <v/>
      </c>
      <c r="RC5" s="36" t="str">
        <f t="shared" si="197"/>
        <v/>
      </c>
      <c r="RD5" s="36" t="str">
        <f t="shared" si="198"/>
        <v/>
      </c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1" t="str">
        <f t="shared" si="199"/>
        <v/>
      </c>
      <c r="RZ5" s="11" t="str">
        <f t="shared" si="200"/>
        <v/>
      </c>
      <c r="SA5" s="11" t="str">
        <f t="shared" si="201"/>
        <v/>
      </c>
      <c r="SB5" s="11" t="str">
        <f t="shared" si="202"/>
        <v/>
      </c>
      <c r="SC5" s="11" t="str">
        <f t="shared" si="203"/>
        <v/>
      </c>
      <c r="SD5" s="11" t="str">
        <f t="shared" si="204"/>
        <v/>
      </c>
      <c r="SE5" s="11" t="str">
        <f t="shared" si="205"/>
        <v/>
      </c>
      <c r="SF5" s="11" t="str">
        <f t="shared" si="206"/>
        <v/>
      </c>
      <c r="SG5" s="11" t="str">
        <f t="shared" si="207"/>
        <v/>
      </c>
      <c r="SH5" s="11" t="str">
        <f t="shared" si="208"/>
        <v/>
      </c>
      <c r="SI5" s="11" t="str">
        <f t="shared" si="209"/>
        <v/>
      </c>
      <c r="SJ5" s="11" t="str">
        <f t="shared" si="210"/>
        <v/>
      </c>
      <c r="SK5" s="11" t="str">
        <f t="shared" si="211"/>
        <v/>
      </c>
      <c r="SL5" s="11" t="str">
        <f t="shared" si="212"/>
        <v/>
      </c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36" t="str">
        <f t="shared" si="213"/>
        <v/>
      </c>
      <c r="TH5" s="36" t="str">
        <f t="shared" si="214"/>
        <v/>
      </c>
      <c r="TI5" s="36" t="str">
        <f t="shared" si="215"/>
        <v/>
      </c>
      <c r="TJ5" s="36" t="str">
        <f t="shared" si="216"/>
        <v/>
      </c>
      <c r="TK5" s="36" t="str">
        <f t="shared" si="217"/>
        <v/>
      </c>
      <c r="TL5" s="36" t="str">
        <f t="shared" si="218"/>
        <v/>
      </c>
      <c r="TM5" s="36" t="str">
        <f t="shared" si="219"/>
        <v/>
      </c>
      <c r="TN5" s="36" t="str">
        <f t="shared" si="220"/>
        <v/>
      </c>
      <c r="TO5" s="36" t="str">
        <f t="shared" si="221"/>
        <v/>
      </c>
      <c r="TP5" s="36" t="str">
        <f t="shared" si="222"/>
        <v/>
      </c>
      <c r="TQ5" s="36" t="str">
        <f t="shared" si="223"/>
        <v/>
      </c>
      <c r="TR5" s="36" t="str">
        <f t="shared" si="224"/>
        <v/>
      </c>
      <c r="TS5" s="36" t="str">
        <f t="shared" si="225"/>
        <v/>
      </c>
      <c r="TT5" s="36" t="str">
        <f t="shared" si="226"/>
        <v/>
      </c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1" t="str">
        <f t="shared" si="227"/>
        <v/>
      </c>
      <c r="UP5" s="11" t="str">
        <f t="shared" si="228"/>
        <v/>
      </c>
      <c r="UQ5" s="11" t="str">
        <f t="shared" si="229"/>
        <v/>
      </c>
      <c r="UR5" s="11" t="str">
        <f t="shared" si="230"/>
        <v/>
      </c>
      <c r="US5" s="11" t="str">
        <f t="shared" si="231"/>
        <v/>
      </c>
      <c r="UT5" s="11" t="str">
        <f t="shared" si="232"/>
        <v/>
      </c>
      <c r="UU5" s="11" t="str">
        <f t="shared" si="233"/>
        <v/>
      </c>
      <c r="UV5" s="11" t="str">
        <f t="shared" si="234"/>
        <v/>
      </c>
      <c r="UW5" s="11" t="str">
        <f t="shared" si="235"/>
        <v/>
      </c>
      <c r="UX5" s="11" t="str">
        <f t="shared" si="236"/>
        <v/>
      </c>
      <c r="UY5" s="11" t="str">
        <f t="shared" si="237"/>
        <v/>
      </c>
      <c r="UZ5" s="11" t="str">
        <f t="shared" si="238"/>
        <v/>
      </c>
      <c r="VA5" s="11" t="str">
        <f t="shared" si="239"/>
        <v/>
      </c>
      <c r="VB5" s="11" t="str">
        <f t="shared" si="240"/>
        <v/>
      </c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36" t="str">
        <f t="shared" si="241"/>
        <v/>
      </c>
      <c r="VX5" s="36" t="str">
        <f t="shared" si="242"/>
        <v/>
      </c>
      <c r="VY5" s="36" t="str">
        <f t="shared" si="243"/>
        <v/>
      </c>
      <c r="VZ5" s="36" t="str">
        <f t="shared" si="244"/>
        <v/>
      </c>
      <c r="WA5" s="36" t="str">
        <f t="shared" si="245"/>
        <v/>
      </c>
      <c r="WB5" s="36" t="str">
        <f t="shared" si="246"/>
        <v/>
      </c>
      <c r="WC5" s="36" t="str">
        <f t="shared" si="247"/>
        <v/>
      </c>
      <c r="WD5" s="36" t="str">
        <f t="shared" si="248"/>
        <v/>
      </c>
      <c r="WE5" s="36" t="str">
        <f t="shared" si="249"/>
        <v/>
      </c>
      <c r="WF5" s="36" t="str">
        <f t="shared" si="250"/>
        <v/>
      </c>
      <c r="WG5" s="36" t="str">
        <f t="shared" si="251"/>
        <v/>
      </c>
      <c r="WH5" s="36" t="str">
        <f t="shared" si="252"/>
        <v/>
      </c>
      <c r="WI5" s="36" t="str">
        <f t="shared" si="253"/>
        <v/>
      </c>
      <c r="WJ5" s="36" t="str">
        <f t="shared" si="254"/>
        <v/>
      </c>
    </row>
    <row r="6" spans="1:608" x14ac:dyDescent="0.2">
      <c r="A6" s="4" t="str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/>
      </c>
      <c r="B6" s="5" t="s">
        <v>136</v>
      </c>
      <c r="C6" s="4" t="s">
        <v>3</v>
      </c>
      <c r="D6" s="4" t="s">
        <v>135</v>
      </c>
      <c r="E6" s="9">
        <f t="shared" si="0"/>
        <v>97.030009703004879</v>
      </c>
      <c r="F6" s="3" t="str">
        <f t="shared" si="1"/>
        <v/>
      </c>
      <c r="G6" s="3" t="str">
        <f t="shared" si="2"/>
        <v/>
      </c>
      <c r="H6" s="32" t="str">
        <f t="shared" si="3"/>
        <v/>
      </c>
      <c r="I6" s="3" t="str">
        <f t="shared" si="4"/>
        <v/>
      </c>
      <c r="J6" s="8">
        <f t="shared" si="5"/>
        <v>48.8</v>
      </c>
      <c r="K6" s="8" t="str">
        <f t="shared" si="6"/>
        <v>2026 Elite Canada</v>
      </c>
      <c r="L6" s="8">
        <f>IFERROR(LARGE((AI6,AL6,AP6,BJ6,BM6,BQ6,CK6,CN6,CR6),2),0)</f>
        <v>48.23</v>
      </c>
      <c r="M6" s="8" t="str">
        <f t="shared" si="7"/>
        <v>2026 Elite Canada</v>
      </c>
      <c r="N6" s="8">
        <f t="shared" si="8"/>
        <v>0</v>
      </c>
      <c r="O6" s="11" t="str">
        <f t="shared" si="9"/>
        <v/>
      </c>
      <c r="P6" s="8" t="str">
        <f t="shared" si="10"/>
        <v/>
      </c>
      <c r="Q6" s="18">
        <v>6.73</v>
      </c>
      <c r="R6" s="18">
        <v>8.3000000000000007</v>
      </c>
      <c r="S6" s="18">
        <v>10.8</v>
      </c>
      <c r="T6" s="18">
        <v>17.04</v>
      </c>
      <c r="U6" s="18">
        <v>0</v>
      </c>
      <c r="V6" s="18">
        <v>1.5</v>
      </c>
      <c r="W6" s="18">
        <v>1.95</v>
      </c>
      <c r="X6" s="18">
        <v>2.6</v>
      </c>
      <c r="Y6" s="18">
        <v>2.44</v>
      </c>
      <c r="Z6" s="18">
        <v>0</v>
      </c>
      <c r="AA6" s="18">
        <v>2.8</v>
      </c>
      <c r="AB6" s="18">
        <v>3.7</v>
      </c>
      <c r="AC6" s="18">
        <v>5.4</v>
      </c>
      <c r="AD6" s="18">
        <v>3.9</v>
      </c>
      <c r="AE6" s="18">
        <v>0</v>
      </c>
      <c r="AF6" s="23"/>
      <c r="AG6" s="34">
        <f t="shared" si="11"/>
        <v>10.8</v>
      </c>
      <c r="AH6" s="34">
        <f t="shared" si="12"/>
        <v>17.04</v>
      </c>
      <c r="AI6" s="36">
        <f t="shared" si="13"/>
        <v>42.870000000000005</v>
      </c>
      <c r="AJ6" s="36">
        <f t="shared" si="14"/>
        <v>2.6</v>
      </c>
      <c r="AK6" s="36">
        <f t="shared" si="15"/>
        <v>2.44</v>
      </c>
      <c r="AL6" s="36">
        <f t="shared" si="16"/>
        <v>8.49</v>
      </c>
      <c r="AM6" s="36">
        <f t="shared" si="17"/>
        <v>42.870000000000005</v>
      </c>
      <c r="AN6" s="36">
        <f t="shared" si="18"/>
        <v>5.4</v>
      </c>
      <c r="AO6" s="36">
        <f t="shared" si="19"/>
        <v>3.9</v>
      </c>
      <c r="AP6" s="36">
        <f t="shared" si="20"/>
        <v>15.8</v>
      </c>
      <c r="AQ6" s="36">
        <f t="shared" si="21"/>
        <v>58.67</v>
      </c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4"/>
      <c r="BH6" s="35" t="str">
        <f t="shared" si="22"/>
        <v/>
      </c>
      <c r="BI6" s="35" t="str">
        <f t="shared" si="23"/>
        <v/>
      </c>
      <c r="BJ6" s="11" t="str">
        <f t="shared" si="24"/>
        <v/>
      </c>
      <c r="BK6" s="11" t="str">
        <f t="shared" si="25"/>
        <v/>
      </c>
      <c r="BL6" s="11" t="str">
        <f t="shared" si="26"/>
        <v/>
      </c>
      <c r="BM6" s="11" t="str">
        <f t="shared" si="27"/>
        <v/>
      </c>
      <c r="BN6" s="11" t="str">
        <f t="shared" si="28"/>
        <v/>
      </c>
      <c r="BO6" s="11" t="str">
        <f t="shared" si="29"/>
        <v/>
      </c>
      <c r="BP6" s="11" t="str">
        <f t="shared" si="30"/>
        <v/>
      </c>
      <c r="BQ6" s="11" t="str">
        <f t="shared" si="31"/>
        <v/>
      </c>
      <c r="BR6" s="11" t="str">
        <f t="shared" si="32"/>
        <v/>
      </c>
      <c r="BS6" s="18">
        <v>7.7</v>
      </c>
      <c r="BT6" s="18">
        <v>9.3000000000000007</v>
      </c>
      <c r="BU6" s="18">
        <v>12.9</v>
      </c>
      <c r="BV6" s="18">
        <v>18.899999999999999</v>
      </c>
      <c r="BW6" s="18">
        <v>0</v>
      </c>
      <c r="BX6" s="18">
        <v>0.75</v>
      </c>
      <c r="BY6" s="18">
        <v>1</v>
      </c>
      <c r="BZ6" s="18">
        <v>0</v>
      </c>
      <c r="CA6" s="18">
        <v>1.76</v>
      </c>
      <c r="CB6" s="18">
        <v>0</v>
      </c>
      <c r="CC6" s="18">
        <v>7.68</v>
      </c>
      <c r="CD6" s="18">
        <v>9.65</v>
      </c>
      <c r="CE6" s="18">
        <v>12.9</v>
      </c>
      <c r="CF6" s="18">
        <v>18</v>
      </c>
      <c r="CG6" s="18">
        <v>0</v>
      </c>
      <c r="CH6" s="23"/>
      <c r="CI6" s="34">
        <f t="shared" si="33"/>
        <v>12.9</v>
      </c>
      <c r="CJ6" s="34">
        <f t="shared" si="34"/>
        <v>18.899999999999999</v>
      </c>
      <c r="CK6" s="36">
        <f t="shared" si="35"/>
        <v>48.8</v>
      </c>
      <c r="CL6" s="36" t="str">
        <f t="shared" si="36"/>
        <v/>
      </c>
      <c r="CM6" s="36">
        <f t="shared" si="37"/>
        <v>1.76</v>
      </c>
      <c r="CN6" s="36">
        <f t="shared" si="38"/>
        <v>3.51</v>
      </c>
      <c r="CO6" s="36">
        <f t="shared" si="39"/>
        <v>48.8</v>
      </c>
      <c r="CP6" s="36">
        <f t="shared" si="40"/>
        <v>12.9</v>
      </c>
      <c r="CQ6" s="36">
        <f t="shared" si="41"/>
        <v>18</v>
      </c>
      <c r="CR6" s="36">
        <f t="shared" si="42"/>
        <v>48.23</v>
      </c>
      <c r="CS6" s="36">
        <f t="shared" si="43"/>
        <v>97.03</v>
      </c>
      <c r="CT6" s="47" t="str">
        <f t="shared" si="44"/>
        <v/>
      </c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36" t="str">
        <f t="shared" si="45"/>
        <v/>
      </c>
      <c r="DP6" s="36" t="str">
        <f t="shared" si="46"/>
        <v/>
      </c>
      <c r="DQ6" s="36" t="str">
        <f t="shared" si="47"/>
        <v/>
      </c>
      <c r="DR6" s="36" t="str">
        <f t="shared" si="48"/>
        <v/>
      </c>
      <c r="DS6" s="36" t="str">
        <f t="shared" si="49"/>
        <v/>
      </c>
      <c r="DT6" s="36" t="str">
        <f t="shared" si="50"/>
        <v/>
      </c>
      <c r="DU6" s="36" t="str">
        <f t="shared" si="51"/>
        <v/>
      </c>
      <c r="DV6" s="36" t="str">
        <f t="shared" si="52"/>
        <v/>
      </c>
      <c r="DW6" s="36" t="str">
        <f t="shared" si="53"/>
        <v/>
      </c>
      <c r="DX6" s="36" t="str">
        <f t="shared" si="54"/>
        <v/>
      </c>
      <c r="DY6" s="36" t="str">
        <f t="shared" si="55"/>
        <v/>
      </c>
      <c r="DZ6" s="36" t="str">
        <f t="shared" si="56"/>
        <v/>
      </c>
      <c r="EA6" s="36" t="str">
        <f t="shared" si="57"/>
        <v/>
      </c>
      <c r="EB6" s="36" t="str">
        <f t="shared" si="58"/>
        <v/>
      </c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1" t="str">
        <f t="shared" si="59"/>
        <v/>
      </c>
      <c r="EX6" s="11" t="str">
        <f t="shared" si="60"/>
        <v/>
      </c>
      <c r="EY6" s="11" t="str">
        <f t="shared" si="61"/>
        <v/>
      </c>
      <c r="EZ6" s="11" t="str">
        <f t="shared" si="62"/>
        <v/>
      </c>
      <c r="FA6" s="11" t="str">
        <f t="shared" si="63"/>
        <v/>
      </c>
      <c r="FB6" s="11" t="str">
        <f t="shared" si="64"/>
        <v/>
      </c>
      <c r="FC6" s="11" t="str">
        <f t="shared" si="65"/>
        <v/>
      </c>
      <c r="FD6" s="11" t="str">
        <f t="shared" si="66"/>
        <v/>
      </c>
      <c r="FE6" s="11" t="str">
        <f t="shared" si="67"/>
        <v/>
      </c>
      <c r="FF6" s="11" t="str">
        <f t="shared" si="68"/>
        <v/>
      </c>
      <c r="FG6" s="11" t="str">
        <f t="shared" si="69"/>
        <v/>
      </c>
      <c r="FH6" s="11" t="str">
        <f t="shared" si="70"/>
        <v/>
      </c>
      <c r="FI6" s="11" t="str">
        <f t="shared" si="71"/>
        <v/>
      </c>
      <c r="FJ6" s="11" t="str">
        <f t="shared" si="72"/>
        <v/>
      </c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36" t="str">
        <f t="shared" si="73"/>
        <v/>
      </c>
      <c r="GF6" s="36" t="str">
        <f t="shared" si="74"/>
        <v/>
      </c>
      <c r="GG6" s="36" t="str">
        <f t="shared" si="75"/>
        <v/>
      </c>
      <c r="GH6" s="36" t="str">
        <f t="shared" si="76"/>
        <v/>
      </c>
      <c r="GI6" s="36" t="str">
        <f t="shared" si="77"/>
        <v/>
      </c>
      <c r="GJ6" s="36" t="str">
        <f t="shared" si="78"/>
        <v/>
      </c>
      <c r="GK6" s="36" t="str">
        <f t="shared" si="79"/>
        <v/>
      </c>
      <c r="GL6" s="36" t="str">
        <f t="shared" si="80"/>
        <v/>
      </c>
      <c r="GM6" s="36" t="str">
        <f t="shared" si="81"/>
        <v/>
      </c>
      <c r="GN6" s="36" t="str">
        <f t="shared" si="82"/>
        <v/>
      </c>
      <c r="GO6" s="36" t="str">
        <f t="shared" si="83"/>
        <v/>
      </c>
      <c r="GP6" s="36" t="str">
        <f t="shared" si="84"/>
        <v/>
      </c>
      <c r="GQ6" s="36" t="str">
        <f t="shared" si="85"/>
        <v/>
      </c>
      <c r="GR6" s="36" t="str">
        <f t="shared" si="86"/>
        <v/>
      </c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1" t="str">
        <f t="shared" si="87"/>
        <v/>
      </c>
      <c r="HN6" s="11" t="str">
        <f t="shared" si="88"/>
        <v/>
      </c>
      <c r="HO6" s="11" t="str">
        <f t="shared" si="89"/>
        <v/>
      </c>
      <c r="HP6" s="11" t="str">
        <f t="shared" si="90"/>
        <v/>
      </c>
      <c r="HQ6" s="11" t="str">
        <f t="shared" si="91"/>
        <v/>
      </c>
      <c r="HR6" s="11" t="str">
        <f t="shared" si="92"/>
        <v/>
      </c>
      <c r="HS6" s="11" t="str">
        <f t="shared" si="93"/>
        <v/>
      </c>
      <c r="HT6" s="11" t="str">
        <f t="shared" si="94"/>
        <v/>
      </c>
      <c r="HU6" s="11" t="str">
        <f t="shared" si="95"/>
        <v/>
      </c>
      <c r="HV6" s="11" t="str">
        <f t="shared" si="96"/>
        <v/>
      </c>
      <c r="HW6" s="11" t="str">
        <f t="shared" si="97"/>
        <v/>
      </c>
      <c r="HX6" s="11" t="str">
        <f t="shared" si="98"/>
        <v/>
      </c>
      <c r="HY6" s="11" t="str">
        <f t="shared" si="99"/>
        <v/>
      </c>
      <c r="HZ6" s="11" t="str">
        <f t="shared" si="100"/>
        <v/>
      </c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36" t="str">
        <f t="shared" si="101"/>
        <v/>
      </c>
      <c r="IV6" s="36" t="str">
        <f t="shared" si="102"/>
        <v/>
      </c>
      <c r="IW6" s="36" t="str">
        <f t="shared" si="103"/>
        <v/>
      </c>
      <c r="IX6" s="36" t="str">
        <f t="shared" si="104"/>
        <v/>
      </c>
      <c r="IY6" s="36" t="str">
        <f t="shared" si="105"/>
        <v/>
      </c>
      <c r="IZ6" s="36" t="str">
        <f t="shared" si="106"/>
        <v/>
      </c>
      <c r="JA6" s="36" t="str">
        <f t="shared" si="107"/>
        <v/>
      </c>
      <c r="JB6" s="36" t="str">
        <f t="shared" si="108"/>
        <v/>
      </c>
      <c r="JC6" s="36" t="str">
        <f t="shared" si="109"/>
        <v/>
      </c>
      <c r="JD6" s="36" t="str">
        <f t="shared" si="110"/>
        <v/>
      </c>
      <c r="JE6" s="36" t="str">
        <f t="shared" si="111"/>
        <v/>
      </c>
      <c r="JF6" s="36" t="str">
        <f t="shared" si="112"/>
        <v/>
      </c>
      <c r="JG6" s="36" t="str">
        <f t="shared" si="113"/>
        <v/>
      </c>
      <c r="JH6" s="36" t="str">
        <f t="shared" si="114"/>
        <v/>
      </c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1" t="str">
        <f t="shared" si="115"/>
        <v/>
      </c>
      <c r="KD6" s="11" t="str">
        <f t="shared" si="116"/>
        <v/>
      </c>
      <c r="KE6" s="11" t="str">
        <f t="shared" si="117"/>
        <v/>
      </c>
      <c r="KF6" s="11" t="str">
        <f t="shared" si="118"/>
        <v/>
      </c>
      <c r="KG6" s="11" t="str">
        <f t="shared" si="119"/>
        <v/>
      </c>
      <c r="KH6" s="11" t="str">
        <f t="shared" si="120"/>
        <v/>
      </c>
      <c r="KI6" s="11" t="str">
        <f t="shared" si="121"/>
        <v/>
      </c>
      <c r="KJ6" s="11" t="str">
        <f t="shared" si="122"/>
        <v/>
      </c>
      <c r="KK6" s="11" t="str">
        <f t="shared" si="123"/>
        <v/>
      </c>
      <c r="KL6" s="11" t="str">
        <f t="shared" si="124"/>
        <v/>
      </c>
      <c r="KM6" s="11" t="str">
        <f t="shared" si="125"/>
        <v/>
      </c>
      <c r="KN6" s="11" t="str">
        <f t="shared" si="126"/>
        <v/>
      </c>
      <c r="KO6" s="11" t="str">
        <f t="shared" si="127"/>
        <v/>
      </c>
      <c r="KP6" s="11" t="str">
        <f t="shared" si="128"/>
        <v/>
      </c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36" t="str">
        <f t="shared" si="129"/>
        <v/>
      </c>
      <c r="LL6" s="36" t="str">
        <f t="shared" si="130"/>
        <v/>
      </c>
      <c r="LM6" s="36" t="str">
        <f t="shared" si="131"/>
        <v/>
      </c>
      <c r="LN6" s="36" t="str">
        <f t="shared" si="132"/>
        <v/>
      </c>
      <c r="LO6" s="36" t="str">
        <f t="shared" si="133"/>
        <v/>
      </c>
      <c r="LP6" s="36" t="str">
        <f t="shared" si="134"/>
        <v/>
      </c>
      <c r="LQ6" s="36" t="str">
        <f t="shared" si="135"/>
        <v/>
      </c>
      <c r="LR6" s="36" t="str">
        <f t="shared" si="136"/>
        <v/>
      </c>
      <c r="LS6" s="36" t="str">
        <f t="shared" si="137"/>
        <v/>
      </c>
      <c r="LT6" s="36" t="str">
        <f t="shared" si="138"/>
        <v/>
      </c>
      <c r="LU6" s="36" t="str">
        <f t="shared" si="139"/>
        <v/>
      </c>
      <c r="LV6" s="36" t="str">
        <f t="shared" si="140"/>
        <v/>
      </c>
      <c r="LW6" s="36" t="str">
        <f t="shared" si="141"/>
        <v/>
      </c>
      <c r="LX6" s="36" t="str">
        <f t="shared" si="142"/>
        <v/>
      </c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1" t="str">
        <f t="shared" si="143"/>
        <v/>
      </c>
      <c r="MT6" s="11" t="str">
        <f t="shared" si="144"/>
        <v/>
      </c>
      <c r="MU6" s="11" t="str">
        <f t="shared" si="145"/>
        <v/>
      </c>
      <c r="MV6" s="11" t="str">
        <f t="shared" si="146"/>
        <v/>
      </c>
      <c r="MW6" s="11" t="str">
        <f t="shared" si="147"/>
        <v/>
      </c>
      <c r="MX6" s="11" t="str">
        <f t="shared" si="148"/>
        <v/>
      </c>
      <c r="MY6" s="11" t="str">
        <f t="shared" si="149"/>
        <v/>
      </c>
      <c r="MZ6" s="11" t="str">
        <f t="shared" si="150"/>
        <v/>
      </c>
      <c r="NA6" s="11" t="str">
        <f t="shared" si="151"/>
        <v/>
      </c>
      <c r="NB6" s="11" t="str">
        <f t="shared" si="152"/>
        <v/>
      </c>
      <c r="NC6" s="11" t="str">
        <f t="shared" si="153"/>
        <v/>
      </c>
      <c r="ND6" s="11" t="str">
        <f t="shared" si="154"/>
        <v/>
      </c>
      <c r="NE6" s="11" t="str">
        <f t="shared" si="155"/>
        <v/>
      </c>
      <c r="NF6" s="11" t="str">
        <f t="shared" si="156"/>
        <v/>
      </c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36" t="str">
        <f t="shared" si="157"/>
        <v/>
      </c>
      <c r="OB6" s="36" t="str">
        <f t="shared" si="158"/>
        <v/>
      </c>
      <c r="OC6" s="36" t="str">
        <f t="shared" si="159"/>
        <v/>
      </c>
      <c r="OD6" s="36" t="str">
        <f t="shared" si="160"/>
        <v/>
      </c>
      <c r="OE6" s="36" t="str">
        <f t="shared" si="161"/>
        <v/>
      </c>
      <c r="OF6" s="36" t="str">
        <f t="shared" si="162"/>
        <v/>
      </c>
      <c r="OG6" s="36" t="str">
        <f t="shared" si="163"/>
        <v/>
      </c>
      <c r="OH6" s="36" t="str">
        <f t="shared" si="164"/>
        <v/>
      </c>
      <c r="OI6" s="36" t="str">
        <f t="shared" si="165"/>
        <v/>
      </c>
      <c r="OJ6" s="36" t="str">
        <f t="shared" si="166"/>
        <v/>
      </c>
      <c r="OK6" s="36" t="str">
        <f t="shared" si="167"/>
        <v/>
      </c>
      <c r="OL6" s="36" t="str">
        <f t="shared" si="168"/>
        <v/>
      </c>
      <c r="OM6" s="36" t="str">
        <f t="shared" si="169"/>
        <v/>
      </c>
      <c r="ON6" s="36" t="str">
        <f t="shared" si="170"/>
        <v/>
      </c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1" t="str">
        <f t="shared" si="171"/>
        <v/>
      </c>
      <c r="PJ6" s="11" t="str">
        <f t="shared" si="172"/>
        <v/>
      </c>
      <c r="PK6" s="11" t="str">
        <f t="shared" si="173"/>
        <v/>
      </c>
      <c r="PL6" s="11" t="str">
        <f t="shared" si="174"/>
        <v/>
      </c>
      <c r="PM6" s="11" t="str">
        <f t="shared" si="175"/>
        <v/>
      </c>
      <c r="PN6" s="11" t="str">
        <f t="shared" si="176"/>
        <v/>
      </c>
      <c r="PO6" s="11" t="str">
        <f t="shared" si="177"/>
        <v/>
      </c>
      <c r="PP6" s="11" t="str">
        <f t="shared" si="178"/>
        <v/>
      </c>
      <c r="PQ6" s="11" t="str">
        <f t="shared" si="179"/>
        <v/>
      </c>
      <c r="PR6" s="11" t="str">
        <f t="shared" si="180"/>
        <v/>
      </c>
      <c r="PS6" s="11" t="str">
        <f t="shared" si="181"/>
        <v/>
      </c>
      <c r="PT6" s="11" t="str">
        <f t="shared" si="182"/>
        <v/>
      </c>
      <c r="PU6" s="11" t="str">
        <f t="shared" si="183"/>
        <v/>
      </c>
      <c r="PV6" s="11" t="str">
        <f t="shared" si="184"/>
        <v/>
      </c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36" t="str">
        <f t="shared" si="185"/>
        <v/>
      </c>
      <c r="QR6" s="36" t="str">
        <f t="shared" si="186"/>
        <v/>
      </c>
      <c r="QS6" s="36" t="str">
        <f t="shared" si="187"/>
        <v/>
      </c>
      <c r="QT6" s="36" t="str">
        <f t="shared" si="188"/>
        <v/>
      </c>
      <c r="QU6" s="36" t="str">
        <f t="shared" si="189"/>
        <v/>
      </c>
      <c r="QV6" s="36" t="str">
        <f t="shared" si="190"/>
        <v/>
      </c>
      <c r="QW6" s="36" t="str">
        <f t="shared" si="191"/>
        <v/>
      </c>
      <c r="QX6" s="36" t="str">
        <f t="shared" si="192"/>
        <v/>
      </c>
      <c r="QY6" s="36" t="str">
        <f t="shared" si="193"/>
        <v/>
      </c>
      <c r="QZ6" s="36" t="str">
        <f t="shared" si="194"/>
        <v/>
      </c>
      <c r="RA6" s="36" t="str">
        <f t="shared" si="195"/>
        <v/>
      </c>
      <c r="RB6" s="36" t="str">
        <f t="shared" si="196"/>
        <v/>
      </c>
      <c r="RC6" s="36" t="str">
        <f t="shared" si="197"/>
        <v/>
      </c>
      <c r="RD6" s="36" t="str">
        <f t="shared" si="198"/>
        <v/>
      </c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1" t="str">
        <f t="shared" si="199"/>
        <v/>
      </c>
      <c r="RZ6" s="11" t="str">
        <f t="shared" si="200"/>
        <v/>
      </c>
      <c r="SA6" s="11" t="str">
        <f t="shared" si="201"/>
        <v/>
      </c>
      <c r="SB6" s="11" t="str">
        <f t="shared" si="202"/>
        <v/>
      </c>
      <c r="SC6" s="11" t="str">
        <f t="shared" si="203"/>
        <v/>
      </c>
      <c r="SD6" s="11" t="str">
        <f t="shared" si="204"/>
        <v/>
      </c>
      <c r="SE6" s="11" t="str">
        <f t="shared" si="205"/>
        <v/>
      </c>
      <c r="SF6" s="11" t="str">
        <f t="shared" si="206"/>
        <v/>
      </c>
      <c r="SG6" s="11" t="str">
        <f t="shared" si="207"/>
        <v/>
      </c>
      <c r="SH6" s="11" t="str">
        <f t="shared" si="208"/>
        <v/>
      </c>
      <c r="SI6" s="11" t="str">
        <f t="shared" si="209"/>
        <v/>
      </c>
      <c r="SJ6" s="11" t="str">
        <f t="shared" si="210"/>
        <v/>
      </c>
      <c r="SK6" s="11" t="str">
        <f t="shared" si="211"/>
        <v/>
      </c>
      <c r="SL6" s="11" t="str">
        <f t="shared" si="212"/>
        <v/>
      </c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36" t="str">
        <f t="shared" si="213"/>
        <v/>
      </c>
      <c r="TH6" s="36" t="str">
        <f t="shared" si="214"/>
        <v/>
      </c>
      <c r="TI6" s="36" t="str">
        <f t="shared" si="215"/>
        <v/>
      </c>
      <c r="TJ6" s="36" t="str">
        <f t="shared" si="216"/>
        <v/>
      </c>
      <c r="TK6" s="36" t="str">
        <f t="shared" si="217"/>
        <v/>
      </c>
      <c r="TL6" s="36" t="str">
        <f t="shared" si="218"/>
        <v/>
      </c>
      <c r="TM6" s="36" t="str">
        <f t="shared" si="219"/>
        <v/>
      </c>
      <c r="TN6" s="36" t="str">
        <f t="shared" si="220"/>
        <v/>
      </c>
      <c r="TO6" s="36" t="str">
        <f t="shared" si="221"/>
        <v/>
      </c>
      <c r="TP6" s="36" t="str">
        <f t="shared" si="222"/>
        <v/>
      </c>
      <c r="TQ6" s="36" t="str">
        <f t="shared" si="223"/>
        <v/>
      </c>
      <c r="TR6" s="36" t="str">
        <f t="shared" si="224"/>
        <v/>
      </c>
      <c r="TS6" s="36" t="str">
        <f t="shared" si="225"/>
        <v/>
      </c>
      <c r="TT6" s="36" t="str">
        <f t="shared" si="226"/>
        <v/>
      </c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1" t="str">
        <f t="shared" si="227"/>
        <v/>
      </c>
      <c r="UP6" s="11" t="str">
        <f t="shared" si="228"/>
        <v/>
      </c>
      <c r="UQ6" s="11" t="str">
        <f t="shared" si="229"/>
        <v/>
      </c>
      <c r="UR6" s="11" t="str">
        <f t="shared" si="230"/>
        <v/>
      </c>
      <c r="US6" s="11" t="str">
        <f t="shared" si="231"/>
        <v/>
      </c>
      <c r="UT6" s="11" t="str">
        <f t="shared" si="232"/>
        <v/>
      </c>
      <c r="UU6" s="11" t="str">
        <f t="shared" si="233"/>
        <v/>
      </c>
      <c r="UV6" s="11" t="str">
        <f t="shared" si="234"/>
        <v/>
      </c>
      <c r="UW6" s="11" t="str">
        <f t="shared" si="235"/>
        <v/>
      </c>
      <c r="UX6" s="11" t="str">
        <f t="shared" si="236"/>
        <v/>
      </c>
      <c r="UY6" s="11" t="str">
        <f t="shared" si="237"/>
        <v/>
      </c>
      <c r="UZ6" s="11" t="str">
        <f t="shared" si="238"/>
        <v/>
      </c>
      <c r="VA6" s="11" t="str">
        <f t="shared" si="239"/>
        <v/>
      </c>
      <c r="VB6" s="11" t="str">
        <f t="shared" si="240"/>
        <v/>
      </c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36" t="str">
        <f t="shared" si="241"/>
        <v/>
      </c>
      <c r="VX6" s="36" t="str">
        <f t="shared" si="242"/>
        <v/>
      </c>
      <c r="VY6" s="36" t="str">
        <f t="shared" si="243"/>
        <v/>
      </c>
      <c r="VZ6" s="36" t="str">
        <f t="shared" si="244"/>
        <v/>
      </c>
      <c r="WA6" s="36" t="str">
        <f t="shared" si="245"/>
        <v/>
      </c>
      <c r="WB6" s="36" t="str">
        <f t="shared" si="246"/>
        <v/>
      </c>
      <c r="WC6" s="36" t="str">
        <f t="shared" si="247"/>
        <v/>
      </c>
      <c r="WD6" s="36" t="str">
        <f t="shared" si="248"/>
        <v/>
      </c>
      <c r="WE6" s="36" t="str">
        <f t="shared" si="249"/>
        <v/>
      </c>
      <c r="WF6" s="36" t="str">
        <f t="shared" si="250"/>
        <v/>
      </c>
      <c r="WG6" s="36" t="str">
        <f t="shared" si="251"/>
        <v/>
      </c>
      <c r="WH6" s="36" t="str">
        <f t="shared" si="252"/>
        <v/>
      </c>
      <c r="WI6" s="36" t="str">
        <f t="shared" si="253"/>
        <v/>
      </c>
      <c r="WJ6" s="36" t="str">
        <f t="shared" si="254"/>
        <v/>
      </c>
    </row>
    <row r="7" spans="1:608" x14ac:dyDescent="0.2">
      <c r="A7" s="4" t="str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/>
      </c>
      <c r="B7" s="5" t="s">
        <v>140</v>
      </c>
      <c r="C7" s="4" t="s">
        <v>5</v>
      </c>
      <c r="D7" s="4" t="s">
        <v>139</v>
      </c>
      <c r="E7" s="9">
        <f t="shared" si="0"/>
        <v>62.680006268004533</v>
      </c>
      <c r="F7" s="3" t="str">
        <f t="shared" si="1"/>
        <v/>
      </c>
      <c r="G7" s="3" t="str">
        <f t="shared" si="2"/>
        <v/>
      </c>
      <c r="H7" s="32" t="str">
        <f t="shared" si="3"/>
        <v/>
      </c>
      <c r="I7" s="3" t="str">
        <f t="shared" si="4"/>
        <v/>
      </c>
      <c r="J7" s="8">
        <f t="shared" si="5"/>
        <v>45.35</v>
      </c>
      <c r="K7" s="8" t="str">
        <f t="shared" si="6"/>
        <v>2025 Nationals</v>
      </c>
      <c r="L7" s="8">
        <f>IFERROR(LARGE((AI7,AL7,AP7,BJ7,BM7,BQ7,CK7,CN7,CR7),2),0)</f>
        <v>17.329999999999998</v>
      </c>
      <c r="M7" s="8" t="str">
        <f t="shared" si="7"/>
        <v>2025 Nationals</v>
      </c>
      <c r="N7" s="8">
        <f t="shared" si="8"/>
        <v>0</v>
      </c>
      <c r="O7" s="11" t="str">
        <f t="shared" si="9"/>
        <v/>
      </c>
      <c r="P7" s="8" t="str">
        <f t="shared" si="10"/>
        <v/>
      </c>
      <c r="Q7" s="18">
        <v>7</v>
      </c>
      <c r="R7" s="18">
        <v>9.25</v>
      </c>
      <c r="S7" s="18">
        <v>13.2</v>
      </c>
      <c r="T7" s="18">
        <v>16.3</v>
      </c>
      <c r="U7" s="18">
        <v>0.4</v>
      </c>
      <c r="V7" s="18">
        <v>2.83</v>
      </c>
      <c r="W7" s="18">
        <v>3.5</v>
      </c>
      <c r="X7" s="18">
        <v>4.8</v>
      </c>
      <c r="Y7" s="18">
        <v>6.2</v>
      </c>
      <c r="Z7" s="18">
        <v>0</v>
      </c>
      <c r="AA7" s="18">
        <v>0.73</v>
      </c>
      <c r="AB7" s="18">
        <v>1</v>
      </c>
      <c r="AC7" s="18">
        <v>2</v>
      </c>
      <c r="AD7" s="18">
        <v>1.78</v>
      </c>
      <c r="AE7" s="18">
        <v>0</v>
      </c>
      <c r="AF7" s="23"/>
      <c r="AG7" s="34">
        <f t="shared" si="11"/>
        <v>13.2</v>
      </c>
      <c r="AH7" s="34">
        <f t="shared" si="12"/>
        <v>16.3</v>
      </c>
      <c r="AI7" s="36">
        <f t="shared" si="13"/>
        <v>45.35</v>
      </c>
      <c r="AJ7" s="36">
        <f t="shared" si="14"/>
        <v>4.8</v>
      </c>
      <c r="AK7" s="36">
        <f t="shared" si="15"/>
        <v>6.2</v>
      </c>
      <c r="AL7" s="36">
        <f t="shared" si="16"/>
        <v>17.329999999999998</v>
      </c>
      <c r="AM7" s="36">
        <f t="shared" si="17"/>
        <v>45.35</v>
      </c>
      <c r="AN7" s="36">
        <f t="shared" si="18"/>
        <v>2</v>
      </c>
      <c r="AO7" s="36">
        <f t="shared" si="19"/>
        <v>1.78</v>
      </c>
      <c r="AP7" s="36">
        <f t="shared" si="20"/>
        <v>5.51</v>
      </c>
      <c r="AQ7" s="36">
        <f t="shared" si="21"/>
        <v>50.86</v>
      </c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4"/>
      <c r="BH7" s="35" t="str">
        <f t="shared" si="22"/>
        <v/>
      </c>
      <c r="BI7" s="35" t="str">
        <f t="shared" si="23"/>
        <v/>
      </c>
      <c r="BJ7" s="11" t="str">
        <f t="shared" si="24"/>
        <v/>
      </c>
      <c r="BK7" s="11" t="str">
        <f t="shared" si="25"/>
        <v/>
      </c>
      <c r="BL7" s="11" t="str">
        <f t="shared" si="26"/>
        <v/>
      </c>
      <c r="BM7" s="11" t="str">
        <f t="shared" si="27"/>
        <v/>
      </c>
      <c r="BN7" s="11" t="str">
        <f t="shared" si="28"/>
        <v/>
      </c>
      <c r="BO7" s="11" t="str">
        <f t="shared" si="29"/>
        <v/>
      </c>
      <c r="BP7" s="11" t="str">
        <f t="shared" si="30"/>
        <v/>
      </c>
      <c r="BQ7" s="11" t="str">
        <f t="shared" si="31"/>
        <v/>
      </c>
      <c r="BR7" s="11" t="str">
        <f t="shared" si="32"/>
        <v/>
      </c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23"/>
      <c r="CI7" s="34" t="str">
        <f t="shared" si="33"/>
        <v/>
      </c>
      <c r="CJ7" s="34" t="str">
        <f t="shared" si="34"/>
        <v/>
      </c>
      <c r="CK7" s="36" t="str">
        <f t="shared" si="35"/>
        <v/>
      </c>
      <c r="CL7" s="36" t="str">
        <f t="shared" si="36"/>
        <v/>
      </c>
      <c r="CM7" s="36" t="str">
        <f t="shared" si="37"/>
        <v/>
      </c>
      <c r="CN7" s="36" t="str">
        <f t="shared" si="38"/>
        <v/>
      </c>
      <c r="CO7" s="36" t="str">
        <f t="shared" si="39"/>
        <v/>
      </c>
      <c r="CP7" s="36" t="str">
        <f t="shared" si="40"/>
        <v/>
      </c>
      <c r="CQ7" s="36" t="str">
        <f t="shared" si="41"/>
        <v/>
      </c>
      <c r="CR7" s="36" t="str">
        <f t="shared" si="42"/>
        <v/>
      </c>
      <c r="CS7" s="36" t="str">
        <f t="shared" si="43"/>
        <v/>
      </c>
      <c r="CT7" s="47" t="str">
        <f t="shared" si="44"/>
        <v/>
      </c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36" t="str">
        <f t="shared" si="45"/>
        <v/>
      </c>
      <c r="DP7" s="36" t="str">
        <f t="shared" si="46"/>
        <v/>
      </c>
      <c r="DQ7" s="36" t="str">
        <f t="shared" si="47"/>
        <v/>
      </c>
      <c r="DR7" s="36" t="str">
        <f t="shared" si="48"/>
        <v/>
      </c>
      <c r="DS7" s="36" t="str">
        <f t="shared" si="49"/>
        <v/>
      </c>
      <c r="DT7" s="36" t="str">
        <f t="shared" si="50"/>
        <v/>
      </c>
      <c r="DU7" s="36" t="str">
        <f t="shared" si="51"/>
        <v/>
      </c>
      <c r="DV7" s="36" t="str">
        <f t="shared" si="52"/>
        <v/>
      </c>
      <c r="DW7" s="36" t="str">
        <f t="shared" si="53"/>
        <v/>
      </c>
      <c r="DX7" s="36" t="str">
        <f t="shared" si="54"/>
        <v/>
      </c>
      <c r="DY7" s="36" t="str">
        <f t="shared" si="55"/>
        <v/>
      </c>
      <c r="DZ7" s="36" t="str">
        <f t="shared" si="56"/>
        <v/>
      </c>
      <c r="EA7" s="36" t="str">
        <f t="shared" si="57"/>
        <v/>
      </c>
      <c r="EB7" s="36" t="str">
        <f t="shared" si="58"/>
        <v/>
      </c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1" t="str">
        <f t="shared" si="59"/>
        <v/>
      </c>
      <c r="EX7" s="11" t="str">
        <f t="shared" si="60"/>
        <v/>
      </c>
      <c r="EY7" s="11" t="str">
        <f t="shared" si="61"/>
        <v/>
      </c>
      <c r="EZ7" s="11" t="str">
        <f t="shared" si="62"/>
        <v/>
      </c>
      <c r="FA7" s="11" t="str">
        <f t="shared" si="63"/>
        <v/>
      </c>
      <c r="FB7" s="11" t="str">
        <f t="shared" si="64"/>
        <v/>
      </c>
      <c r="FC7" s="11" t="str">
        <f t="shared" si="65"/>
        <v/>
      </c>
      <c r="FD7" s="11" t="str">
        <f t="shared" si="66"/>
        <v/>
      </c>
      <c r="FE7" s="11" t="str">
        <f t="shared" si="67"/>
        <v/>
      </c>
      <c r="FF7" s="11" t="str">
        <f t="shared" si="68"/>
        <v/>
      </c>
      <c r="FG7" s="11" t="str">
        <f t="shared" si="69"/>
        <v/>
      </c>
      <c r="FH7" s="11" t="str">
        <f t="shared" si="70"/>
        <v/>
      </c>
      <c r="FI7" s="11" t="str">
        <f t="shared" si="71"/>
        <v/>
      </c>
      <c r="FJ7" s="11" t="str">
        <f t="shared" si="72"/>
        <v/>
      </c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36" t="str">
        <f t="shared" si="73"/>
        <v/>
      </c>
      <c r="GF7" s="36" t="str">
        <f t="shared" si="74"/>
        <v/>
      </c>
      <c r="GG7" s="36" t="str">
        <f t="shared" si="75"/>
        <v/>
      </c>
      <c r="GH7" s="36" t="str">
        <f t="shared" si="76"/>
        <v/>
      </c>
      <c r="GI7" s="36" t="str">
        <f t="shared" si="77"/>
        <v/>
      </c>
      <c r="GJ7" s="36" t="str">
        <f t="shared" si="78"/>
        <v/>
      </c>
      <c r="GK7" s="36" t="str">
        <f t="shared" si="79"/>
        <v/>
      </c>
      <c r="GL7" s="36" t="str">
        <f t="shared" si="80"/>
        <v/>
      </c>
      <c r="GM7" s="36" t="str">
        <f t="shared" si="81"/>
        <v/>
      </c>
      <c r="GN7" s="36" t="str">
        <f t="shared" si="82"/>
        <v/>
      </c>
      <c r="GO7" s="36" t="str">
        <f t="shared" si="83"/>
        <v/>
      </c>
      <c r="GP7" s="36" t="str">
        <f t="shared" si="84"/>
        <v/>
      </c>
      <c r="GQ7" s="36" t="str">
        <f t="shared" si="85"/>
        <v/>
      </c>
      <c r="GR7" s="36" t="str">
        <f t="shared" si="86"/>
        <v/>
      </c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1" t="str">
        <f t="shared" si="87"/>
        <v/>
      </c>
      <c r="HN7" s="11" t="str">
        <f t="shared" si="88"/>
        <v/>
      </c>
      <c r="HO7" s="11" t="str">
        <f t="shared" si="89"/>
        <v/>
      </c>
      <c r="HP7" s="11" t="str">
        <f t="shared" si="90"/>
        <v/>
      </c>
      <c r="HQ7" s="11" t="str">
        <f t="shared" si="91"/>
        <v/>
      </c>
      <c r="HR7" s="11" t="str">
        <f t="shared" si="92"/>
        <v/>
      </c>
      <c r="HS7" s="11" t="str">
        <f t="shared" si="93"/>
        <v/>
      </c>
      <c r="HT7" s="11" t="str">
        <f t="shared" si="94"/>
        <v/>
      </c>
      <c r="HU7" s="11" t="str">
        <f t="shared" si="95"/>
        <v/>
      </c>
      <c r="HV7" s="11" t="str">
        <f t="shared" si="96"/>
        <v/>
      </c>
      <c r="HW7" s="11" t="str">
        <f t="shared" si="97"/>
        <v/>
      </c>
      <c r="HX7" s="11" t="str">
        <f t="shared" si="98"/>
        <v/>
      </c>
      <c r="HY7" s="11" t="str">
        <f t="shared" si="99"/>
        <v/>
      </c>
      <c r="HZ7" s="11" t="str">
        <f t="shared" si="100"/>
        <v/>
      </c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36" t="str">
        <f t="shared" si="101"/>
        <v/>
      </c>
      <c r="IV7" s="36" t="str">
        <f t="shared" si="102"/>
        <v/>
      </c>
      <c r="IW7" s="36" t="str">
        <f t="shared" si="103"/>
        <v/>
      </c>
      <c r="IX7" s="36" t="str">
        <f t="shared" si="104"/>
        <v/>
      </c>
      <c r="IY7" s="36" t="str">
        <f t="shared" si="105"/>
        <v/>
      </c>
      <c r="IZ7" s="36" t="str">
        <f t="shared" si="106"/>
        <v/>
      </c>
      <c r="JA7" s="36" t="str">
        <f t="shared" si="107"/>
        <v/>
      </c>
      <c r="JB7" s="36" t="str">
        <f t="shared" si="108"/>
        <v/>
      </c>
      <c r="JC7" s="36" t="str">
        <f t="shared" si="109"/>
        <v/>
      </c>
      <c r="JD7" s="36" t="str">
        <f t="shared" si="110"/>
        <v/>
      </c>
      <c r="JE7" s="36" t="str">
        <f t="shared" si="111"/>
        <v/>
      </c>
      <c r="JF7" s="36" t="str">
        <f t="shared" si="112"/>
        <v/>
      </c>
      <c r="JG7" s="36" t="str">
        <f t="shared" si="113"/>
        <v/>
      </c>
      <c r="JH7" s="36" t="str">
        <f t="shared" si="114"/>
        <v/>
      </c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1" t="str">
        <f t="shared" si="115"/>
        <v/>
      </c>
      <c r="KD7" s="11" t="str">
        <f t="shared" si="116"/>
        <v/>
      </c>
      <c r="KE7" s="11" t="str">
        <f t="shared" si="117"/>
        <v/>
      </c>
      <c r="KF7" s="11" t="str">
        <f t="shared" si="118"/>
        <v/>
      </c>
      <c r="KG7" s="11" t="str">
        <f t="shared" si="119"/>
        <v/>
      </c>
      <c r="KH7" s="11" t="str">
        <f t="shared" si="120"/>
        <v/>
      </c>
      <c r="KI7" s="11" t="str">
        <f t="shared" si="121"/>
        <v/>
      </c>
      <c r="KJ7" s="11" t="str">
        <f t="shared" si="122"/>
        <v/>
      </c>
      <c r="KK7" s="11" t="str">
        <f t="shared" si="123"/>
        <v/>
      </c>
      <c r="KL7" s="11" t="str">
        <f t="shared" si="124"/>
        <v/>
      </c>
      <c r="KM7" s="11" t="str">
        <f t="shared" si="125"/>
        <v/>
      </c>
      <c r="KN7" s="11" t="str">
        <f t="shared" si="126"/>
        <v/>
      </c>
      <c r="KO7" s="11" t="str">
        <f t="shared" si="127"/>
        <v/>
      </c>
      <c r="KP7" s="11" t="str">
        <f t="shared" si="128"/>
        <v/>
      </c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36" t="str">
        <f t="shared" si="129"/>
        <v/>
      </c>
      <c r="LL7" s="36" t="str">
        <f t="shared" si="130"/>
        <v/>
      </c>
      <c r="LM7" s="36" t="str">
        <f t="shared" si="131"/>
        <v/>
      </c>
      <c r="LN7" s="36" t="str">
        <f t="shared" si="132"/>
        <v/>
      </c>
      <c r="LO7" s="36" t="str">
        <f t="shared" si="133"/>
        <v/>
      </c>
      <c r="LP7" s="36" t="str">
        <f t="shared" si="134"/>
        <v/>
      </c>
      <c r="LQ7" s="36" t="str">
        <f t="shared" si="135"/>
        <v/>
      </c>
      <c r="LR7" s="36" t="str">
        <f t="shared" si="136"/>
        <v/>
      </c>
      <c r="LS7" s="36" t="str">
        <f t="shared" si="137"/>
        <v/>
      </c>
      <c r="LT7" s="36" t="str">
        <f t="shared" si="138"/>
        <v/>
      </c>
      <c r="LU7" s="36" t="str">
        <f t="shared" si="139"/>
        <v/>
      </c>
      <c r="LV7" s="36" t="str">
        <f t="shared" si="140"/>
        <v/>
      </c>
      <c r="LW7" s="36" t="str">
        <f t="shared" si="141"/>
        <v/>
      </c>
      <c r="LX7" s="36" t="str">
        <f t="shared" si="142"/>
        <v/>
      </c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1" t="str">
        <f t="shared" si="143"/>
        <v/>
      </c>
      <c r="MT7" s="11" t="str">
        <f t="shared" si="144"/>
        <v/>
      </c>
      <c r="MU7" s="11" t="str">
        <f t="shared" si="145"/>
        <v/>
      </c>
      <c r="MV7" s="11" t="str">
        <f t="shared" si="146"/>
        <v/>
      </c>
      <c r="MW7" s="11" t="str">
        <f t="shared" si="147"/>
        <v/>
      </c>
      <c r="MX7" s="11" t="str">
        <f t="shared" si="148"/>
        <v/>
      </c>
      <c r="MY7" s="11" t="str">
        <f t="shared" si="149"/>
        <v/>
      </c>
      <c r="MZ7" s="11" t="str">
        <f t="shared" si="150"/>
        <v/>
      </c>
      <c r="NA7" s="11" t="str">
        <f t="shared" si="151"/>
        <v/>
      </c>
      <c r="NB7" s="11" t="str">
        <f t="shared" si="152"/>
        <v/>
      </c>
      <c r="NC7" s="11" t="str">
        <f t="shared" si="153"/>
        <v/>
      </c>
      <c r="ND7" s="11" t="str">
        <f t="shared" si="154"/>
        <v/>
      </c>
      <c r="NE7" s="11" t="str">
        <f t="shared" si="155"/>
        <v/>
      </c>
      <c r="NF7" s="11" t="str">
        <f t="shared" si="156"/>
        <v/>
      </c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36" t="str">
        <f t="shared" si="157"/>
        <v/>
      </c>
      <c r="OB7" s="36" t="str">
        <f t="shared" si="158"/>
        <v/>
      </c>
      <c r="OC7" s="36" t="str">
        <f t="shared" si="159"/>
        <v/>
      </c>
      <c r="OD7" s="36" t="str">
        <f t="shared" si="160"/>
        <v/>
      </c>
      <c r="OE7" s="36" t="str">
        <f t="shared" si="161"/>
        <v/>
      </c>
      <c r="OF7" s="36" t="str">
        <f t="shared" si="162"/>
        <v/>
      </c>
      <c r="OG7" s="36" t="str">
        <f t="shared" si="163"/>
        <v/>
      </c>
      <c r="OH7" s="36" t="str">
        <f t="shared" si="164"/>
        <v/>
      </c>
      <c r="OI7" s="36" t="str">
        <f t="shared" si="165"/>
        <v/>
      </c>
      <c r="OJ7" s="36" t="str">
        <f t="shared" si="166"/>
        <v/>
      </c>
      <c r="OK7" s="36" t="str">
        <f t="shared" si="167"/>
        <v/>
      </c>
      <c r="OL7" s="36" t="str">
        <f t="shared" si="168"/>
        <v/>
      </c>
      <c r="OM7" s="36" t="str">
        <f t="shared" si="169"/>
        <v/>
      </c>
      <c r="ON7" s="36" t="str">
        <f t="shared" si="170"/>
        <v/>
      </c>
      <c r="OO7" s="16"/>
      <c r="OP7" s="16"/>
      <c r="OQ7" s="16"/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  <c r="PH7" s="16"/>
      <c r="PI7" s="11" t="str">
        <f t="shared" si="171"/>
        <v/>
      </c>
      <c r="PJ7" s="11" t="str">
        <f t="shared" si="172"/>
        <v/>
      </c>
      <c r="PK7" s="11" t="str">
        <f t="shared" si="173"/>
        <v/>
      </c>
      <c r="PL7" s="11" t="str">
        <f t="shared" si="174"/>
        <v/>
      </c>
      <c r="PM7" s="11" t="str">
        <f t="shared" si="175"/>
        <v/>
      </c>
      <c r="PN7" s="11" t="str">
        <f t="shared" si="176"/>
        <v/>
      </c>
      <c r="PO7" s="11" t="str">
        <f t="shared" si="177"/>
        <v/>
      </c>
      <c r="PP7" s="11" t="str">
        <f t="shared" si="178"/>
        <v/>
      </c>
      <c r="PQ7" s="11" t="str">
        <f t="shared" si="179"/>
        <v/>
      </c>
      <c r="PR7" s="11" t="str">
        <f t="shared" si="180"/>
        <v/>
      </c>
      <c r="PS7" s="11" t="str">
        <f t="shared" si="181"/>
        <v/>
      </c>
      <c r="PT7" s="11" t="str">
        <f t="shared" si="182"/>
        <v/>
      </c>
      <c r="PU7" s="11" t="str">
        <f t="shared" si="183"/>
        <v/>
      </c>
      <c r="PV7" s="11" t="str">
        <f t="shared" si="184"/>
        <v/>
      </c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36" t="str">
        <f t="shared" si="185"/>
        <v/>
      </c>
      <c r="QR7" s="36" t="str">
        <f t="shared" si="186"/>
        <v/>
      </c>
      <c r="QS7" s="36" t="str">
        <f t="shared" si="187"/>
        <v/>
      </c>
      <c r="QT7" s="36" t="str">
        <f t="shared" si="188"/>
        <v/>
      </c>
      <c r="QU7" s="36" t="str">
        <f t="shared" si="189"/>
        <v/>
      </c>
      <c r="QV7" s="36" t="str">
        <f t="shared" si="190"/>
        <v/>
      </c>
      <c r="QW7" s="36" t="str">
        <f t="shared" si="191"/>
        <v/>
      </c>
      <c r="QX7" s="36" t="str">
        <f t="shared" si="192"/>
        <v/>
      </c>
      <c r="QY7" s="36" t="str">
        <f t="shared" si="193"/>
        <v/>
      </c>
      <c r="QZ7" s="36" t="str">
        <f t="shared" si="194"/>
        <v/>
      </c>
      <c r="RA7" s="36" t="str">
        <f t="shared" si="195"/>
        <v/>
      </c>
      <c r="RB7" s="36" t="str">
        <f t="shared" si="196"/>
        <v/>
      </c>
      <c r="RC7" s="36" t="str">
        <f t="shared" si="197"/>
        <v/>
      </c>
      <c r="RD7" s="36" t="str">
        <f t="shared" si="198"/>
        <v/>
      </c>
      <c r="RE7" s="16"/>
      <c r="RF7" s="16"/>
      <c r="RG7" s="16"/>
      <c r="RH7" s="16"/>
      <c r="RI7" s="16"/>
      <c r="RJ7" s="16"/>
      <c r="RK7" s="16"/>
      <c r="RL7" s="16"/>
      <c r="RM7" s="16"/>
      <c r="RN7" s="16"/>
      <c r="RO7" s="16"/>
      <c r="RP7" s="16"/>
      <c r="RQ7" s="16"/>
      <c r="RR7" s="16"/>
      <c r="RS7" s="16"/>
      <c r="RT7" s="16"/>
      <c r="RU7" s="16"/>
      <c r="RV7" s="16"/>
      <c r="RW7" s="16"/>
      <c r="RX7" s="16"/>
      <c r="RY7" s="11" t="str">
        <f t="shared" si="199"/>
        <v/>
      </c>
      <c r="RZ7" s="11" t="str">
        <f t="shared" si="200"/>
        <v/>
      </c>
      <c r="SA7" s="11" t="str">
        <f t="shared" si="201"/>
        <v/>
      </c>
      <c r="SB7" s="11" t="str">
        <f t="shared" si="202"/>
        <v/>
      </c>
      <c r="SC7" s="11" t="str">
        <f t="shared" si="203"/>
        <v/>
      </c>
      <c r="SD7" s="11" t="str">
        <f t="shared" si="204"/>
        <v/>
      </c>
      <c r="SE7" s="11" t="str">
        <f t="shared" si="205"/>
        <v/>
      </c>
      <c r="SF7" s="11" t="str">
        <f t="shared" si="206"/>
        <v/>
      </c>
      <c r="SG7" s="11" t="str">
        <f t="shared" si="207"/>
        <v/>
      </c>
      <c r="SH7" s="11" t="str">
        <f t="shared" si="208"/>
        <v/>
      </c>
      <c r="SI7" s="11" t="str">
        <f t="shared" si="209"/>
        <v/>
      </c>
      <c r="SJ7" s="11" t="str">
        <f t="shared" si="210"/>
        <v/>
      </c>
      <c r="SK7" s="11" t="str">
        <f t="shared" si="211"/>
        <v/>
      </c>
      <c r="SL7" s="11" t="str">
        <f t="shared" si="212"/>
        <v/>
      </c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36" t="str">
        <f t="shared" si="213"/>
        <v/>
      </c>
      <c r="TH7" s="36" t="str">
        <f t="shared" si="214"/>
        <v/>
      </c>
      <c r="TI7" s="36" t="str">
        <f t="shared" si="215"/>
        <v/>
      </c>
      <c r="TJ7" s="36" t="str">
        <f t="shared" si="216"/>
        <v/>
      </c>
      <c r="TK7" s="36" t="str">
        <f t="shared" si="217"/>
        <v/>
      </c>
      <c r="TL7" s="36" t="str">
        <f t="shared" si="218"/>
        <v/>
      </c>
      <c r="TM7" s="36" t="str">
        <f t="shared" si="219"/>
        <v/>
      </c>
      <c r="TN7" s="36" t="str">
        <f t="shared" si="220"/>
        <v/>
      </c>
      <c r="TO7" s="36" t="str">
        <f t="shared" si="221"/>
        <v/>
      </c>
      <c r="TP7" s="36" t="str">
        <f t="shared" si="222"/>
        <v/>
      </c>
      <c r="TQ7" s="36" t="str">
        <f t="shared" si="223"/>
        <v/>
      </c>
      <c r="TR7" s="36" t="str">
        <f t="shared" si="224"/>
        <v/>
      </c>
      <c r="TS7" s="36" t="str">
        <f t="shared" si="225"/>
        <v/>
      </c>
      <c r="TT7" s="36" t="str">
        <f t="shared" si="226"/>
        <v/>
      </c>
      <c r="TU7" s="16"/>
      <c r="TV7" s="16"/>
      <c r="TW7" s="16"/>
      <c r="TX7" s="16"/>
      <c r="TY7" s="16"/>
      <c r="TZ7" s="16"/>
      <c r="UA7" s="16"/>
      <c r="UB7" s="16"/>
      <c r="UC7" s="16"/>
      <c r="UD7" s="16"/>
      <c r="UE7" s="16"/>
      <c r="UF7" s="16"/>
      <c r="UG7" s="16"/>
      <c r="UH7" s="16"/>
      <c r="UI7" s="16"/>
      <c r="UJ7" s="16"/>
      <c r="UK7" s="16"/>
      <c r="UL7" s="16"/>
      <c r="UM7" s="16"/>
      <c r="UN7" s="16"/>
      <c r="UO7" s="11" t="str">
        <f t="shared" si="227"/>
        <v/>
      </c>
      <c r="UP7" s="11" t="str">
        <f t="shared" si="228"/>
        <v/>
      </c>
      <c r="UQ7" s="11" t="str">
        <f t="shared" si="229"/>
        <v/>
      </c>
      <c r="UR7" s="11" t="str">
        <f t="shared" si="230"/>
        <v/>
      </c>
      <c r="US7" s="11" t="str">
        <f t="shared" si="231"/>
        <v/>
      </c>
      <c r="UT7" s="11" t="str">
        <f t="shared" si="232"/>
        <v/>
      </c>
      <c r="UU7" s="11" t="str">
        <f t="shared" si="233"/>
        <v/>
      </c>
      <c r="UV7" s="11" t="str">
        <f t="shared" si="234"/>
        <v/>
      </c>
      <c r="UW7" s="11" t="str">
        <f t="shared" si="235"/>
        <v/>
      </c>
      <c r="UX7" s="11" t="str">
        <f t="shared" si="236"/>
        <v/>
      </c>
      <c r="UY7" s="11" t="str">
        <f t="shared" si="237"/>
        <v/>
      </c>
      <c r="UZ7" s="11" t="str">
        <f t="shared" si="238"/>
        <v/>
      </c>
      <c r="VA7" s="11" t="str">
        <f t="shared" si="239"/>
        <v/>
      </c>
      <c r="VB7" s="11" t="str">
        <f t="shared" si="240"/>
        <v/>
      </c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36" t="str">
        <f t="shared" si="241"/>
        <v/>
      </c>
      <c r="VX7" s="36" t="str">
        <f t="shared" si="242"/>
        <v/>
      </c>
      <c r="VY7" s="36" t="str">
        <f t="shared" si="243"/>
        <v/>
      </c>
      <c r="VZ7" s="36" t="str">
        <f t="shared" si="244"/>
        <v/>
      </c>
      <c r="WA7" s="36" t="str">
        <f t="shared" si="245"/>
        <v/>
      </c>
      <c r="WB7" s="36" t="str">
        <f t="shared" si="246"/>
        <v/>
      </c>
      <c r="WC7" s="36" t="str">
        <f t="shared" si="247"/>
        <v/>
      </c>
      <c r="WD7" s="36" t="str">
        <f t="shared" si="248"/>
        <v/>
      </c>
      <c r="WE7" s="36" t="str">
        <f t="shared" si="249"/>
        <v/>
      </c>
      <c r="WF7" s="36" t="str">
        <f t="shared" si="250"/>
        <v/>
      </c>
      <c r="WG7" s="36" t="str">
        <f t="shared" si="251"/>
        <v/>
      </c>
      <c r="WH7" s="36" t="str">
        <f t="shared" si="252"/>
        <v/>
      </c>
      <c r="WI7" s="36" t="str">
        <f t="shared" si="253"/>
        <v/>
      </c>
      <c r="WJ7" s="36" t="str">
        <f t="shared" si="254"/>
        <v/>
      </c>
    </row>
    <row r="8" spans="1:608" x14ac:dyDescent="0.2">
      <c r="A8" s="4" t="str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/>
      </c>
      <c r="B8" s="5" t="s">
        <v>138</v>
      </c>
      <c r="C8" s="4" t="s">
        <v>55</v>
      </c>
      <c r="D8" s="4" t="s">
        <v>137</v>
      </c>
      <c r="E8" s="9">
        <f t="shared" si="0"/>
        <v>56.420005642003375</v>
      </c>
      <c r="F8" s="3" t="str">
        <f t="shared" si="1"/>
        <v/>
      </c>
      <c r="G8" s="3" t="str">
        <f t="shared" si="2"/>
        <v/>
      </c>
      <c r="H8" s="32" t="str">
        <f t="shared" si="3"/>
        <v/>
      </c>
      <c r="I8" s="3" t="str">
        <f t="shared" si="4"/>
        <v/>
      </c>
      <c r="J8" s="8">
        <f t="shared" si="5"/>
        <v>33.799999999999997</v>
      </c>
      <c r="K8" s="8" t="str">
        <f t="shared" si="6"/>
        <v>2025 Nationals</v>
      </c>
      <c r="L8" s="8">
        <f>IFERROR(LARGE((AI8,AL8,AP8,BJ8,BM8,BQ8,CK8,CN8,CR8),2),0)</f>
        <v>22.619999999999997</v>
      </c>
      <c r="M8" s="8" t="str">
        <f t="shared" si="7"/>
        <v>2025 Nationals</v>
      </c>
      <c r="N8" s="8">
        <f t="shared" si="8"/>
        <v>0</v>
      </c>
      <c r="O8" s="11" t="str">
        <f t="shared" si="9"/>
        <v/>
      </c>
      <c r="P8" s="8" t="str">
        <f t="shared" si="10"/>
        <v/>
      </c>
      <c r="Q8" s="18">
        <v>2.85</v>
      </c>
      <c r="R8" s="18">
        <v>3.75</v>
      </c>
      <c r="S8" s="18">
        <v>5.8</v>
      </c>
      <c r="T8" s="18">
        <v>4.3</v>
      </c>
      <c r="U8" s="18">
        <v>0</v>
      </c>
      <c r="V8" s="18">
        <v>10</v>
      </c>
      <c r="W8" s="18">
        <v>9.8000000000000007</v>
      </c>
      <c r="X8" s="18">
        <v>0</v>
      </c>
      <c r="Y8" s="18">
        <v>14</v>
      </c>
      <c r="Z8" s="18">
        <v>0</v>
      </c>
      <c r="AA8" s="18">
        <v>4.43</v>
      </c>
      <c r="AB8" s="18">
        <v>5.45</v>
      </c>
      <c r="AC8" s="18">
        <v>7</v>
      </c>
      <c r="AD8" s="18">
        <v>5.74</v>
      </c>
      <c r="AE8" s="18">
        <v>0</v>
      </c>
      <c r="AF8" s="23"/>
      <c r="AG8" s="34">
        <f t="shared" si="11"/>
        <v>5.8</v>
      </c>
      <c r="AH8" s="34">
        <f t="shared" si="12"/>
        <v>4.3</v>
      </c>
      <c r="AI8" s="36">
        <f t="shared" si="13"/>
        <v>16.7</v>
      </c>
      <c r="AJ8" s="36" t="str">
        <f t="shared" si="14"/>
        <v/>
      </c>
      <c r="AK8" s="36">
        <f t="shared" si="15"/>
        <v>14</v>
      </c>
      <c r="AL8" s="36">
        <f t="shared" si="16"/>
        <v>33.799999999999997</v>
      </c>
      <c r="AM8" s="36">
        <f t="shared" si="17"/>
        <v>33.799999999999997</v>
      </c>
      <c r="AN8" s="36">
        <f t="shared" si="18"/>
        <v>7</v>
      </c>
      <c r="AO8" s="36">
        <f t="shared" si="19"/>
        <v>5.74</v>
      </c>
      <c r="AP8" s="36">
        <f t="shared" si="20"/>
        <v>22.619999999999997</v>
      </c>
      <c r="AQ8" s="36">
        <f t="shared" si="21"/>
        <v>56.419999999999995</v>
      </c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4"/>
      <c r="BH8" s="35" t="str">
        <f t="shared" si="22"/>
        <v/>
      </c>
      <c r="BI8" s="35" t="str">
        <f t="shared" si="23"/>
        <v/>
      </c>
      <c r="BJ8" s="11" t="str">
        <f t="shared" si="24"/>
        <v/>
      </c>
      <c r="BK8" s="11" t="str">
        <f t="shared" si="25"/>
        <v/>
      </c>
      <c r="BL8" s="11" t="str">
        <f t="shared" si="26"/>
        <v/>
      </c>
      <c r="BM8" s="11" t="str">
        <f t="shared" si="27"/>
        <v/>
      </c>
      <c r="BN8" s="11" t="str">
        <f t="shared" si="28"/>
        <v/>
      </c>
      <c r="BO8" s="11" t="str">
        <f t="shared" si="29"/>
        <v/>
      </c>
      <c r="BP8" s="11" t="str">
        <f t="shared" si="30"/>
        <v/>
      </c>
      <c r="BQ8" s="11" t="str">
        <f t="shared" si="31"/>
        <v/>
      </c>
      <c r="BR8" s="11" t="str">
        <f t="shared" si="32"/>
        <v/>
      </c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23"/>
      <c r="CI8" s="34" t="str">
        <f t="shared" si="33"/>
        <v/>
      </c>
      <c r="CJ8" s="34" t="str">
        <f t="shared" si="34"/>
        <v/>
      </c>
      <c r="CK8" s="36" t="str">
        <f t="shared" si="35"/>
        <v/>
      </c>
      <c r="CL8" s="36" t="str">
        <f t="shared" si="36"/>
        <v/>
      </c>
      <c r="CM8" s="36" t="str">
        <f t="shared" si="37"/>
        <v/>
      </c>
      <c r="CN8" s="36" t="str">
        <f t="shared" si="38"/>
        <v/>
      </c>
      <c r="CO8" s="36" t="str">
        <f t="shared" si="39"/>
        <v/>
      </c>
      <c r="CP8" s="36" t="str">
        <f t="shared" si="40"/>
        <v/>
      </c>
      <c r="CQ8" s="36" t="str">
        <f t="shared" si="41"/>
        <v/>
      </c>
      <c r="CR8" s="36" t="str">
        <f t="shared" si="42"/>
        <v/>
      </c>
      <c r="CS8" s="36" t="str">
        <f t="shared" si="43"/>
        <v/>
      </c>
      <c r="CT8" s="47" t="str">
        <f t="shared" si="44"/>
        <v/>
      </c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36" t="str">
        <f t="shared" si="45"/>
        <v/>
      </c>
      <c r="DP8" s="36" t="str">
        <f t="shared" si="46"/>
        <v/>
      </c>
      <c r="DQ8" s="36" t="str">
        <f t="shared" si="47"/>
        <v/>
      </c>
      <c r="DR8" s="36" t="str">
        <f t="shared" si="48"/>
        <v/>
      </c>
      <c r="DS8" s="36" t="str">
        <f t="shared" si="49"/>
        <v/>
      </c>
      <c r="DT8" s="36" t="str">
        <f t="shared" si="50"/>
        <v/>
      </c>
      <c r="DU8" s="36" t="str">
        <f t="shared" si="51"/>
        <v/>
      </c>
      <c r="DV8" s="36" t="str">
        <f t="shared" si="52"/>
        <v/>
      </c>
      <c r="DW8" s="36" t="str">
        <f t="shared" si="53"/>
        <v/>
      </c>
      <c r="DX8" s="36" t="str">
        <f t="shared" si="54"/>
        <v/>
      </c>
      <c r="DY8" s="36" t="str">
        <f t="shared" si="55"/>
        <v/>
      </c>
      <c r="DZ8" s="36" t="str">
        <f t="shared" si="56"/>
        <v/>
      </c>
      <c r="EA8" s="36" t="str">
        <f t="shared" si="57"/>
        <v/>
      </c>
      <c r="EB8" s="36" t="str">
        <f t="shared" si="58"/>
        <v/>
      </c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1" t="str">
        <f t="shared" si="59"/>
        <v/>
      </c>
      <c r="EX8" s="11" t="str">
        <f t="shared" si="60"/>
        <v/>
      </c>
      <c r="EY8" s="11" t="str">
        <f t="shared" si="61"/>
        <v/>
      </c>
      <c r="EZ8" s="11" t="str">
        <f t="shared" si="62"/>
        <v/>
      </c>
      <c r="FA8" s="11" t="str">
        <f t="shared" si="63"/>
        <v/>
      </c>
      <c r="FB8" s="11" t="str">
        <f t="shared" si="64"/>
        <v/>
      </c>
      <c r="FC8" s="11" t="str">
        <f t="shared" si="65"/>
        <v/>
      </c>
      <c r="FD8" s="11" t="str">
        <f t="shared" si="66"/>
        <v/>
      </c>
      <c r="FE8" s="11" t="str">
        <f t="shared" si="67"/>
        <v/>
      </c>
      <c r="FF8" s="11" t="str">
        <f t="shared" si="68"/>
        <v/>
      </c>
      <c r="FG8" s="11" t="str">
        <f t="shared" si="69"/>
        <v/>
      </c>
      <c r="FH8" s="11" t="str">
        <f t="shared" si="70"/>
        <v/>
      </c>
      <c r="FI8" s="11" t="str">
        <f t="shared" si="71"/>
        <v/>
      </c>
      <c r="FJ8" s="11" t="str">
        <f t="shared" si="72"/>
        <v/>
      </c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36" t="str">
        <f t="shared" si="73"/>
        <v/>
      </c>
      <c r="GF8" s="36" t="str">
        <f t="shared" si="74"/>
        <v/>
      </c>
      <c r="GG8" s="36" t="str">
        <f t="shared" si="75"/>
        <v/>
      </c>
      <c r="GH8" s="36" t="str">
        <f t="shared" si="76"/>
        <v/>
      </c>
      <c r="GI8" s="36" t="str">
        <f t="shared" si="77"/>
        <v/>
      </c>
      <c r="GJ8" s="36" t="str">
        <f t="shared" si="78"/>
        <v/>
      </c>
      <c r="GK8" s="36" t="str">
        <f t="shared" si="79"/>
        <v/>
      </c>
      <c r="GL8" s="36" t="str">
        <f t="shared" si="80"/>
        <v/>
      </c>
      <c r="GM8" s="36" t="str">
        <f t="shared" si="81"/>
        <v/>
      </c>
      <c r="GN8" s="36" t="str">
        <f t="shared" si="82"/>
        <v/>
      </c>
      <c r="GO8" s="36" t="str">
        <f t="shared" si="83"/>
        <v/>
      </c>
      <c r="GP8" s="36" t="str">
        <f t="shared" si="84"/>
        <v/>
      </c>
      <c r="GQ8" s="36" t="str">
        <f t="shared" si="85"/>
        <v/>
      </c>
      <c r="GR8" s="36" t="str">
        <f t="shared" si="86"/>
        <v/>
      </c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1" t="str">
        <f t="shared" si="87"/>
        <v/>
      </c>
      <c r="HN8" s="11" t="str">
        <f t="shared" si="88"/>
        <v/>
      </c>
      <c r="HO8" s="11" t="str">
        <f t="shared" si="89"/>
        <v/>
      </c>
      <c r="HP8" s="11" t="str">
        <f t="shared" si="90"/>
        <v/>
      </c>
      <c r="HQ8" s="11" t="str">
        <f t="shared" si="91"/>
        <v/>
      </c>
      <c r="HR8" s="11" t="str">
        <f t="shared" si="92"/>
        <v/>
      </c>
      <c r="HS8" s="11" t="str">
        <f t="shared" si="93"/>
        <v/>
      </c>
      <c r="HT8" s="11" t="str">
        <f t="shared" si="94"/>
        <v/>
      </c>
      <c r="HU8" s="11" t="str">
        <f t="shared" si="95"/>
        <v/>
      </c>
      <c r="HV8" s="11" t="str">
        <f t="shared" si="96"/>
        <v/>
      </c>
      <c r="HW8" s="11" t="str">
        <f t="shared" si="97"/>
        <v/>
      </c>
      <c r="HX8" s="11" t="str">
        <f t="shared" si="98"/>
        <v/>
      </c>
      <c r="HY8" s="11" t="str">
        <f t="shared" si="99"/>
        <v/>
      </c>
      <c r="HZ8" s="11" t="str">
        <f t="shared" si="100"/>
        <v/>
      </c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36" t="str">
        <f t="shared" si="101"/>
        <v/>
      </c>
      <c r="IV8" s="36" t="str">
        <f t="shared" si="102"/>
        <v/>
      </c>
      <c r="IW8" s="36" t="str">
        <f t="shared" si="103"/>
        <v/>
      </c>
      <c r="IX8" s="36" t="str">
        <f t="shared" si="104"/>
        <v/>
      </c>
      <c r="IY8" s="36" t="str">
        <f t="shared" si="105"/>
        <v/>
      </c>
      <c r="IZ8" s="36" t="str">
        <f t="shared" si="106"/>
        <v/>
      </c>
      <c r="JA8" s="36" t="str">
        <f t="shared" si="107"/>
        <v/>
      </c>
      <c r="JB8" s="36" t="str">
        <f t="shared" si="108"/>
        <v/>
      </c>
      <c r="JC8" s="36" t="str">
        <f t="shared" si="109"/>
        <v/>
      </c>
      <c r="JD8" s="36" t="str">
        <f t="shared" si="110"/>
        <v/>
      </c>
      <c r="JE8" s="36" t="str">
        <f t="shared" si="111"/>
        <v/>
      </c>
      <c r="JF8" s="36" t="str">
        <f t="shared" si="112"/>
        <v/>
      </c>
      <c r="JG8" s="36" t="str">
        <f t="shared" si="113"/>
        <v/>
      </c>
      <c r="JH8" s="36" t="str">
        <f t="shared" si="114"/>
        <v/>
      </c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1" t="str">
        <f t="shared" si="115"/>
        <v/>
      </c>
      <c r="KD8" s="11" t="str">
        <f t="shared" si="116"/>
        <v/>
      </c>
      <c r="KE8" s="11" t="str">
        <f t="shared" si="117"/>
        <v/>
      </c>
      <c r="KF8" s="11" t="str">
        <f t="shared" si="118"/>
        <v/>
      </c>
      <c r="KG8" s="11" t="str">
        <f t="shared" si="119"/>
        <v/>
      </c>
      <c r="KH8" s="11" t="str">
        <f t="shared" si="120"/>
        <v/>
      </c>
      <c r="KI8" s="11" t="str">
        <f t="shared" si="121"/>
        <v/>
      </c>
      <c r="KJ8" s="11" t="str">
        <f t="shared" si="122"/>
        <v/>
      </c>
      <c r="KK8" s="11" t="str">
        <f t="shared" si="123"/>
        <v/>
      </c>
      <c r="KL8" s="11" t="str">
        <f t="shared" si="124"/>
        <v/>
      </c>
      <c r="KM8" s="11" t="str">
        <f t="shared" si="125"/>
        <v/>
      </c>
      <c r="KN8" s="11" t="str">
        <f t="shared" si="126"/>
        <v/>
      </c>
      <c r="KO8" s="11" t="str">
        <f t="shared" si="127"/>
        <v/>
      </c>
      <c r="KP8" s="11" t="str">
        <f t="shared" si="128"/>
        <v/>
      </c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36" t="str">
        <f t="shared" si="129"/>
        <v/>
      </c>
      <c r="LL8" s="36" t="str">
        <f t="shared" si="130"/>
        <v/>
      </c>
      <c r="LM8" s="36" t="str">
        <f t="shared" si="131"/>
        <v/>
      </c>
      <c r="LN8" s="36" t="str">
        <f t="shared" si="132"/>
        <v/>
      </c>
      <c r="LO8" s="36" t="str">
        <f t="shared" si="133"/>
        <v/>
      </c>
      <c r="LP8" s="36" t="str">
        <f t="shared" si="134"/>
        <v/>
      </c>
      <c r="LQ8" s="36" t="str">
        <f t="shared" si="135"/>
        <v/>
      </c>
      <c r="LR8" s="36" t="str">
        <f t="shared" si="136"/>
        <v/>
      </c>
      <c r="LS8" s="36" t="str">
        <f t="shared" si="137"/>
        <v/>
      </c>
      <c r="LT8" s="36" t="str">
        <f t="shared" si="138"/>
        <v/>
      </c>
      <c r="LU8" s="36" t="str">
        <f t="shared" si="139"/>
        <v/>
      </c>
      <c r="LV8" s="36" t="str">
        <f t="shared" si="140"/>
        <v/>
      </c>
      <c r="LW8" s="36" t="str">
        <f t="shared" si="141"/>
        <v/>
      </c>
      <c r="LX8" s="36" t="str">
        <f t="shared" si="142"/>
        <v/>
      </c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16"/>
      <c r="MP8" s="16"/>
      <c r="MQ8" s="16"/>
      <c r="MR8" s="16"/>
      <c r="MS8" s="11" t="str">
        <f t="shared" si="143"/>
        <v/>
      </c>
      <c r="MT8" s="11" t="str">
        <f t="shared" si="144"/>
        <v/>
      </c>
      <c r="MU8" s="11" t="str">
        <f t="shared" si="145"/>
        <v/>
      </c>
      <c r="MV8" s="11" t="str">
        <f t="shared" si="146"/>
        <v/>
      </c>
      <c r="MW8" s="11" t="str">
        <f t="shared" si="147"/>
        <v/>
      </c>
      <c r="MX8" s="11" t="str">
        <f t="shared" si="148"/>
        <v/>
      </c>
      <c r="MY8" s="11" t="str">
        <f t="shared" si="149"/>
        <v/>
      </c>
      <c r="MZ8" s="11" t="str">
        <f t="shared" si="150"/>
        <v/>
      </c>
      <c r="NA8" s="11" t="str">
        <f t="shared" si="151"/>
        <v/>
      </c>
      <c r="NB8" s="11" t="str">
        <f t="shared" si="152"/>
        <v/>
      </c>
      <c r="NC8" s="11" t="str">
        <f t="shared" si="153"/>
        <v/>
      </c>
      <c r="ND8" s="11" t="str">
        <f t="shared" si="154"/>
        <v/>
      </c>
      <c r="NE8" s="11" t="str">
        <f t="shared" si="155"/>
        <v/>
      </c>
      <c r="NF8" s="11" t="str">
        <f t="shared" si="156"/>
        <v/>
      </c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36" t="str">
        <f t="shared" si="157"/>
        <v/>
      </c>
      <c r="OB8" s="36" t="str">
        <f t="shared" si="158"/>
        <v/>
      </c>
      <c r="OC8" s="36" t="str">
        <f t="shared" si="159"/>
        <v/>
      </c>
      <c r="OD8" s="36" t="str">
        <f t="shared" si="160"/>
        <v/>
      </c>
      <c r="OE8" s="36" t="str">
        <f t="shared" si="161"/>
        <v/>
      </c>
      <c r="OF8" s="36" t="str">
        <f t="shared" si="162"/>
        <v/>
      </c>
      <c r="OG8" s="36" t="str">
        <f t="shared" si="163"/>
        <v/>
      </c>
      <c r="OH8" s="36" t="str">
        <f t="shared" si="164"/>
        <v/>
      </c>
      <c r="OI8" s="36" t="str">
        <f t="shared" si="165"/>
        <v/>
      </c>
      <c r="OJ8" s="36" t="str">
        <f t="shared" si="166"/>
        <v/>
      </c>
      <c r="OK8" s="36" t="str">
        <f t="shared" si="167"/>
        <v/>
      </c>
      <c r="OL8" s="36" t="str">
        <f t="shared" si="168"/>
        <v/>
      </c>
      <c r="OM8" s="36" t="str">
        <f t="shared" si="169"/>
        <v/>
      </c>
      <c r="ON8" s="36" t="str">
        <f t="shared" si="170"/>
        <v/>
      </c>
      <c r="OO8" s="16"/>
      <c r="OP8" s="16"/>
      <c r="OQ8" s="16"/>
      <c r="OR8" s="16"/>
      <c r="OS8" s="16"/>
      <c r="OT8" s="16"/>
      <c r="OU8" s="16"/>
      <c r="OV8" s="16"/>
      <c r="OW8" s="16"/>
      <c r="OX8" s="16"/>
      <c r="OY8" s="16"/>
      <c r="OZ8" s="16"/>
      <c r="PA8" s="16"/>
      <c r="PB8" s="16"/>
      <c r="PC8" s="16"/>
      <c r="PD8" s="16"/>
      <c r="PE8" s="16"/>
      <c r="PF8" s="16"/>
      <c r="PG8" s="16"/>
      <c r="PH8" s="16"/>
      <c r="PI8" s="11" t="str">
        <f t="shared" si="171"/>
        <v/>
      </c>
      <c r="PJ8" s="11" t="str">
        <f t="shared" si="172"/>
        <v/>
      </c>
      <c r="PK8" s="11" t="str">
        <f t="shared" si="173"/>
        <v/>
      </c>
      <c r="PL8" s="11" t="str">
        <f t="shared" si="174"/>
        <v/>
      </c>
      <c r="PM8" s="11" t="str">
        <f t="shared" si="175"/>
        <v/>
      </c>
      <c r="PN8" s="11" t="str">
        <f t="shared" si="176"/>
        <v/>
      </c>
      <c r="PO8" s="11" t="str">
        <f t="shared" si="177"/>
        <v/>
      </c>
      <c r="PP8" s="11" t="str">
        <f t="shared" si="178"/>
        <v/>
      </c>
      <c r="PQ8" s="11" t="str">
        <f t="shared" si="179"/>
        <v/>
      </c>
      <c r="PR8" s="11" t="str">
        <f t="shared" si="180"/>
        <v/>
      </c>
      <c r="PS8" s="11" t="str">
        <f t="shared" si="181"/>
        <v/>
      </c>
      <c r="PT8" s="11" t="str">
        <f t="shared" si="182"/>
        <v/>
      </c>
      <c r="PU8" s="11" t="str">
        <f t="shared" si="183"/>
        <v/>
      </c>
      <c r="PV8" s="11" t="str">
        <f t="shared" si="184"/>
        <v/>
      </c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36" t="str">
        <f t="shared" si="185"/>
        <v/>
      </c>
      <c r="QR8" s="36" t="str">
        <f t="shared" si="186"/>
        <v/>
      </c>
      <c r="QS8" s="36" t="str">
        <f t="shared" si="187"/>
        <v/>
      </c>
      <c r="QT8" s="36" t="str">
        <f t="shared" si="188"/>
        <v/>
      </c>
      <c r="QU8" s="36" t="str">
        <f t="shared" si="189"/>
        <v/>
      </c>
      <c r="QV8" s="36" t="str">
        <f t="shared" si="190"/>
        <v/>
      </c>
      <c r="QW8" s="36" t="str">
        <f t="shared" si="191"/>
        <v/>
      </c>
      <c r="QX8" s="36" t="str">
        <f t="shared" si="192"/>
        <v/>
      </c>
      <c r="QY8" s="36" t="str">
        <f t="shared" si="193"/>
        <v/>
      </c>
      <c r="QZ8" s="36" t="str">
        <f t="shared" si="194"/>
        <v/>
      </c>
      <c r="RA8" s="36" t="str">
        <f t="shared" si="195"/>
        <v/>
      </c>
      <c r="RB8" s="36" t="str">
        <f t="shared" si="196"/>
        <v/>
      </c>
      <c r="RC8" s="36" t="str">
        <f t="shared" si="197"/>
        <v/>
      </c>
      <c r="RD8" s="36" t="str">
        <f t="shared" si="198"/>
        <v/>
      </c>
      <c r="RE8" s="16"/>
      <c r="RF8" s="16"/>
      <c r="RG8" s="16"/>
      <c r="RH8" s="16"/>
      <c r="RI8" s="16"/>
      <c r="RJ8" s="16"/>
      <c r="RK8" s="16"/>
      <c r="RL8" s="16"/>
      <c r="RM8" s="16"/>
      <c r="RN8" s="16"/>
      <c r="RO8" s="16"/>
      <c r="RP8" s="16"/>
      <c r="RQ8" s="16"/>
      <c r="RR8" s="16"/>
      <c r="RS8" s="16"/>
      <c r="RT8" s="16"/>
      <c r="RU8" s="16"/>
      <c r="RV8" s="16"/>
      <c r="RW8" s="16"/>
      <c r="RX8" s="16"/>
      <c r="RY8" s="11" t="str">
        <f t="shared" si="199"/>
        <v/>
      </c>
      <c r="RZ8" s="11" t="str">
        <f t="shared" si="200"/>
        <v/>
      </c>
      <c r="SA8" s="11" t="str">
        <f t="shared" si="201"/>
        <v/>
      </c>
      <c r="SB8" s="11" t="str">
        <f t="shared" si="202"/>
        <v/>
      </c>
      <c r="SC8" s="11" t="str">
        <f t="shared" si="203"/>
        <v/>
      </c>
      <c r="SD8" s="11" t="str">
        <f t="shared" si="204"/>
        <v/>
      </c>
      <c r="SE8" s="11" t="str">
        <f t="shared" si="205"/>
        <v/>
      </c>
      <c r="SF8" s="11" t="str">
        <f t="shared" si="206"/>
        <v/>
      </c>
      <c r="SG8" s="11" t="str">
        <f t="shared" si="207"/>
        <v/>
      </c>
      <c r="SH8" s="11" t="str">
        <f t="shared" si="208"/>
        <v/>
      </c>
      <c r="SI8" s="11" t="str">
        <f t="shared" si="209"/>
        <v/>
      </c>
      <c r="SJ8" s="11" t="str">
        <f t="shared" si="210"/>
        <v/>
      </c>
      <c r="SK8" s="11" t="str">
        <f t="shared" si="211"/>
        <v/>
      </c>
      <c r="SL8" s="11" t="str">
        <f t="shared" si="212"/>
        <v/>
      </c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36" t="str">
        <f t="shared" si="213"/>
        <v/>
      </c>
      <c r="TH8" s="36" t="str">
        <f t="shared" si="214"/>
        <v/>
      </c>
      <c r="TI8" s="36" t="str">
        <f t="shared" si="215"/>
        <v/>
      </c>
      <c r="TJ8" s="36" t="str">
        <f t="shared" si="216"/>
        <v/>
      </c>
      <c r="TK8" s="36" t="str">
        <f t="shared" si="217"/>
        <v/>
      </c>
      <c r="TL8" s="36" t="str">
        <f t="shared" si="218"/>
        <v/>
      </c>
      <c r="TM8" s="36" t="str">
        <f t="shared" si="219"/>
        <v/>
      </c>
      <c r="TN8" s="36" t="str">
        <f t="shared" si="220"/>
        <v/>
      </c>
      <c r="TO8" s="36" t="str">
        <f t="shared" si="221"/>
        <v/>
      </c>
      <c r="TP8" s="36" t="str">
        <f t="shared" si="222"/>
        <v/>
      </c>
      <c r="TQ8" s="36" t="str">
        <f t="shared" si="223"/>
        <v/>
      </c>
      <c r="TR8" s="36" t="str">
        <f t="shared" si="224"/>
        <v/>
      </c>
      <c r="TS8" s="36" t="str">
        <f t="shared" si="225"/>
        <v/>
      </c>
      <c r="TT8" s="36" t="str">
        <f t="shared" si="226"/>
        <v/>
      </c>
      <c r="TU8" s="16"/>
      <c r="TV8" s="16"/>
      <c r="TW8" s="16"/>
      <c r="TX8" s="16"/>
      <c r="TY8" s="16"/>
      <c r="TZ8" s="16"/>
      <c r="UA8" s="16"/>
      <c r="UB8" s="16"/>
      <c r="UC8" s="16"/>
      <c r="UD8" s="16"/>
      <c r="UE8" s="16"/>
      <c r="UF8" s="16"/>
      <c r="UG8" s="16"/>
      <c r="UH8" s="16"/>
      <c r="UI8" s="16"/>
      <c r="UJ8" s="16"/>
      <c r="UK8" s="16"/>
      <c r="UL8" s="16"/>
      <c r="UM8" s="16"/>
      <c r="UN8" s="16"/>
      <c r="UO8" s="11" t="str">
        <f t="shared" si="227"/>
        <v/>
      </c>
      <c r="UP8" s="11" t="str">
        <f t="shared" si="228"/>
        <v/>
      </c>
      <c r="UQ8" s="11" t="str">
        <f t="shared" si="229"/>
        <v/>
      </c>
      <c r="UR8" s="11" t="str">
        <f t="shared" si="230"/>
        <v/>
      </c>
      <c r="US8" s="11" t="str">
        <f t="shared" si="231"/>
        <v/>
      </c>
      <c r="UT8" s="11" t="str">
        <f t="shared" si="232"/>
        <v/>
      </c>
      <c r="UU8" s="11" t="str">
        <f t="shared" si="233"/>
        <v/>
      </c>
      <c r="UV8" s="11" t="str">
        <f t="shared" si="234"/>
        <v/>
      </c>
      <c r="UW8" s="11" t="str">
        <f t="shared" si="235"/>
        <v/>
      </c>
      <c r="UX8" s="11" t="str">
        <f t="shared" si="236"/>
        <v/>
      </c>
      <c r="UY8" s="11" t="str">
        <f t="shared" si="237"/>
        <v/>
      </c>
      <c r="UZ8" s="11" t="str">
        <f t="shared" si="238"/>
        <v/>
      </c>
      <c r="VA8" s="11" t="str">
        <f t="shared" si="239"/>
        <v/>
      </c>
      <c r="VB8" s="11" t="str">
        <f t="shared" si="240"/>
        <v/>
      </c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36" t="str">
        <f t="shared" si="241"/>
        <v/>
      </c>
      <c r="VX8" s="36" t="str">
        <f t="shared" si="242"/>
        <v/>
      </c>
      <c r="VY8" s="36" t="str">
        <f t="shared" si="243"/>
        <v/>
      </c>
      <c r="VZ8" s="36" t="str">
        <f t="shared" si="244"/>
        <v/>
      </c>
      <c r="WA8" s="36" t="str">
        <f t="shared" si="245"/>
        <v/>
      </c>
      <c r="WB8" s="36" t="str">
        <f t="shared" si="246"/>
        <v/>
      </c>
      <c r="WC8" s="36" t="str">
        <f t="shared" si="247"/>
        <v/>
      </c>
      <c r="WD8" s="36" t="str">
        <f t="shared" si="248"/>
        <v/>
      </c>
      <c r="WE8" s="36" t="str">
        <f t="shared" si="249"/>
        <v/>
      </c>
      <c r="WF8" s="36" t="str">
        <f t="shared" si="250"/>
        <v/>
      </c>
      <c r="WG8" s="36" t="str">
        <f t="shared" si="251"/>
        <v/>
      </c>
      <c r="WH8" s="36" t="str">
        <f t="shared" si="252"/>
        <v/>
      </c>
      <c r="WI8" s="36" t="str">
        <f t="shared" si="253"/>
        <v/>
      </c>
      <c r="WJ8" s="36" t="str">
        <f t="shared" si="254"/>
        <v/>
      </c>
    </row>
    <row r="9" spans="1:608" x14ac:dyDescent="0.2">
      <c r="A9" s="4" t="str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/>
      </c>
      <c r="B9" s="5" t="s">
        <v>117</v>
      </c>
      <c r="C9" s="4" t="s">
        <v>7</v>
      </c>
      <c r="D9" s="4" t="s">
        <v>118</v>
      </c>
      <c r="E9" s="9">
        <f t="shared" si="0"/>
        <v>55.300005530004512</v>
      </c>
      <c r="F9" s="3" t="str">
        <f t="shared" si="1"/>
        <v/>
      </c>
      <c r="G9" s="3" t="str">
        <f t="shared" si="2"/>
        <v/>
      </c>
      <c r="H9" s="32" t="str">
        <f t="shared" si="3"/>
        <v/>
      </c>
      <c r="I9" s="3" t="str">
        <f t="shared" si="4"/>
        <v/>
      </c>
      <c r="J9" s="8">
        <f t="shared" si="5"/>
        <v>45.02</v>
      </c>
      <c r="K9" s="8" t="str">
        <f t="shared" si="6"/>
        <v>2025 Nationals</v>
      </c>
      <c r="L9" s="8">
        <f>IFERROR(LARGE((AI9,AL9,AP9,BJ9,BM9,BQ9,CK9,CN9,CR9),2),0)</f>
        <v>10.28</v>
      </c>
      <c r="M9" s="8" t="str">
        <f t="shared" si="7"/>
        <v>2025 Nationals</v>
      </c>
      <c r="N9" s="8">
        <f t="shared" si="8"/>
        <v>0</v>
      </c>
      <c r="O9" s="11" t="str">
        <f t="shared" si="9"/>
        <v/>
      </c>
      <c r="P9" s="8" t="str">
        <f t="shared" si="10"/>
        <v/>
      </c>
      <c r="Q9" s="18">
        <v>0.8</v>
      </c>
      <c r="R9" s="18">
        <v>0.95</v>
      </c>
      <c r="S9" s="18">
        <v>1.7</v>
      </c>
      <c r="T9" s="18">
        <v>1.9</v>
      </c>
      <c r="U9" s="18">
        <v>0</v>
      </c>
      <c r="V9" s="18">
        <v>7.7</v>
      </c>
      <c r="W9" s="18">
        <v>9.1</v>
      </c>
      <c r="X9" s="18">
        <v>12.8</v>
      </c>
      <c r="Y9" s="18">
        <v>15.42</v>
      </c>
      <c r="Z9" s="18">
        <v>0</v>
      </c>
      <c r="AA9" s="18">
        <v>1.58</v>
      </c>
      <c r="AB9" s="18">
        <v>2</v>
      </c>
      <c r="AC9" s="18">
        <v>2.8</v>
      </c>
      <c r="AD9" s="18">
        <v>3.9</v>
      </c>
      <c r="AE9" s="18">
        <v>0</v>
      </c>
      <c r="AF9" s="23"/>
      <c r="AG9" s="34">
        <f t="shared" si="11"/>
        <v>1.7</v>
      </c>
      <c r="AH9" s="34">
        <f t="shared" si="12"/>
        <v>1.9</v>
      </c>
      <c r="AI9" s="36">
        <f t="shared" si="13"/>
        <v>5.35</v>
      </c>
      <c r="AJ9" s="36">
        <f t="shared" si="14"/>
        <v>12.8</v>
      </c>
      <c r="AK9" s="36">
        <f t="shared" si="15"/>
        <v>15.42</v>
      </c>
      <c r="AL9" s="36">
        <f t="shared" si="16"/>
        <v>45.02</v>
      </c>
      <c r="AM9" s="36">
        <f t="shared" si="17"/>
        <v>45.02</v>
      </c>
      <c r="AN9" s="36">
        <f t="shared" si="18"/>
        <v>2.8</v>
      </c>
      <c r="AO9" s="36">
        <f t="shared" si="19"/>
        <v>3.9</v>
      </c>
      <c r="AP9" s="36">
        <f t="shared" si="20"/>
        <v>10.28</v>
      </c>
      <c r="AQ9" s="36">
        <f t="shared" si="21"/>
        <v>55.300000000000004</v>
      </c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4"/>
      <c r="BH9" s="35" t="str">
        <f t="shared" si="22"/>
        <v/>
      </c>
      <c r="BI9" s="35" t="str">
        <f t="shared" si="23"/>
        <v/>
      </c>
      <c r="BJ9" s="11" t="str">
        <f t="shared" si="24"/>
        <v/>
      </c>
      <c r="BK9" s="11" t="str">
        <f t="shared" si="25"/>
        <v/>
      </c>
      <c r="BL9" s="11" t="str">
        <f t="shared" si="26"/>
        <v/>
      </c>
      <c r="BM9" s="11" t="str">
        <f t="shared" si="27"/>
        <v/>
      </c>
      <c r="BN9" s="11" t="str">
        <f t="shared" si="28"/>
        <v/>
      </c>
      <c r="BO9" s="11" t="str">
        <f t="shared" si="29"/>
        <v/>
      </c>
      <c r="BP9" s="11" t="str">
        <f t="shared" si="30"/>
        <v/>
      </c>
      <c r="BQ9" s="11" t="str">
        <f t="shared" si="31"/>
        <v/>
      </c>
      <c r="BR9" s="11" t="str">
        <f t="shared" si="32"/>
        <v/>
      </c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23"/>
      <c r="CI9" s="34" t="str">
        <f t="shared" si="33"/>
        <v/>
      </c>
      <c r="CJ9" s="34" t="str">
        <f t="shared" si="34"/>
        <v/>
      </c>
      <c r="CK9" s="36" t="str">
        <f t="shared" si="35"/>
        <v/>
      </c>
      <c r="CL9" s="36" t="str">
        <f t="shared" si="36"/>
        <v/>
      </c>
      <c r="CM9" s="36" t="str">
        <f t="shared" si="37"/>
        <v/>
      </c>
      <c r="CN9" s="36" t="str">
        <f t="shared" si="38"/>
        <v/>
      </c>
      <c r="CO9" s="36" t="str">
        <f t="shared" si="39"/>
        <v/>
      </c>
      <c r="CP9" s="36" t="str">
        <f t="shared" si="40"/>
        <v/>
      </c>
      <c r="CQ9" s="36" t="str">
        <f t="shared" si="41"/>
        <v/>
      </c>
      <c r="CR9" s="36" t="str">
        <f t="shared" si="42"/>
        <v/>
      </c>
      <c r="CS9" s="36" t="str">
        <f t="shared" si="43"/>
        <v/>
      </c>
      <c r="CT9" s="47" t="str">
        <f t="shared" si="44"/>
        <v/>
      </c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36" t="str">
        <f t="shared" si="45"/>
        <v/>
      </c>
      <c r="DP9" s="36" t="str">
        <f t="shared" si="46"/>
        <v/>
      </c>
      <c r="DQ9" s="36" t="str">
        <f t="shared" si="47"/>
        <v/>
      </c>
      <c r="DR9" s="36" t="str">
        <f t="shared" si="48"/>
        <v/>
      </c>
      <c r="DS9" s="36" t="str">
        <f t="shared" si="49"/>
        <v/>
      </c>
      <c r="DT9" s="36" t="str">
        <f t="shared" si="50"/>
        <v/>
      </c>
      <c r="DU9" s="36" t="str">
        <f t="shared" si="51"/>
        <v/>
      </c>
      <c r="DV9" s="36" t="str">
        <f t="shared" si="52"/>
        <v/>
      </c>
      <c r="DW9" s="36" t="str">
        <f t="shared" si="53"/>
        <v/>
      </c>
      <c r="DX9" s="36" t="str">
        <f t="shared" si="54"/>
        <v/>
      </c>
      <c r="DY9" s="36" t="str">
        <f t="shared" si="55"/>
        <v/>
      </c>
      <c r="DZ9" s="36" t="str">
        <f t="shared" si="56"/>
        <v/>
      </c>
      <c r="EA9" s="36" t="str">
        <f t="shared" si="57"/>
        <v/>
      </c>
      <c r="EB9" s="36" t="str">
        <f t="shared" si="58"/>
        <v/>
      </c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1" t="str">
        <f t="shared" si="59"/>
        <v/>
      </c>
      <c r="EX9" s="11" t="str">
        <f t="shared" si="60"/>
        <v/>
      </c>
      <c r="EY9" s="11" t="str">
        <f t="shared" si="61"/>
        <v/>
      </c>
      <c r="EZ9" s="11" t="str">
        <f t="shared" si="62"/>
        <v/>
      </c>
      <c r="FA9" s="11" t="str">
        <f t="shared" si="63"/>
        <v/>
      </c>
      <c r="FB9" s="11" t="str">
        <f t="shared" si="64"/>
        <v/>
      </c>
      <c r="FC9" s="11" t="str">
        <f t="shared" si="65"/>
        <v/>
      </c>
      <c r="FD9" s="11" t="str">
        <f t="shared" si="66"/>
        <v/>
      </c>
      <c r="FE9" s="11" t="str">
        <f t="shared" si="67"/>
        <v/>
      </c>
      <c r="FF9" s="11" t="str">
        <f t="shared" si="68"/>
        <v/>
      </c>
      <c r="FG9" s="11" t="str">
        <f t="shared" si="69"/>
        <v/>
      </c>
      <c r="FH9" s="11" t="str">
        <f t="shared" si="70"/>
        <v/>
      </c>
      <c r="FI9" s="11" t="str">
        <f t="shared" si="71"/>
        <v/>
      </c>
      <c r="FJ9" s="11" t="str">
        <f t="shared" si="72"/>
        <v/>
      </c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36" t="str">
        <f t="shared" si="73"/>
        <v/>
      </c>
      <c r="GF9" s="36" t="str">
        <f t="shared" si="74"/>
        <v/>
      </c>
      <c r="GG9" s="36" t="str">
        <f t="shared" si="75"/>
        <v/>
      </c>
      <c r="GH9" s="36" t="str">
        <f t="shared" si="76"/>
        <v/>
      </c>
      <c r="GI9" s="36" t="str">
        <f t="shared" si="77"/>
        <v/>
      </c>
      <c r="GJ9" s="36" t="str">
        <f t="shared" si="78"/>
        <v/>
      </c>
      <c r="GK9" s="36" t="str">
        <f t="shared" si="79"/>
        <v/>
      </c>
      <c r="GL9" s="36" t="str">
        <f t="shared" si="80"/>
        <v/>
      </c>
      <c r="GM9" s="36" t="str">
        <f t="shared" si="81"/>
        <v/>
      </c>
      <c r="GN9" s="36" t="str">
        <f t="shared" si="82"/>
        <v/>
      </c>
      <c r="GO9" s="36" t="str">
        <f t="shared" si="83"/>
        <v/>
      </c>
      <c r="GP9" s="36" t="str">
        <f t="shared" si="84"/>
        <v/>
      </c>
      <c r="GQ9" s="36" t="str">
        <f t="shared" si="85"/>
        <v/>
      </c>
      <c r="GR9" s="36" t="str">
        <f t="shared" si="86"/>
        <v/>
      </c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1" t="str">
        <f t="shared" si="87"/>
        <v/>
      </c>
      <c r="HN9" s="11" t="str">
        <f t="shared" si="88"/>
        <v/>
      </c>
      <c r="HO9" s="11" t="str">
        <f t="shared" si="89"/>
        <v/>
      </c>
      <c r="HP9" s="11" t="str">
        <f t="shared" si="90"/>
        <v/>
      </c>
      <c r="HQ9" s="11" t="str">
        <f t="shared" si="91"/>
        <v/>
      </c>
      <c r="HR9" s="11" t="str">
        <f t="shared" si="92"/>
        <v/>
      </c>
      <c r="HS9" s="11" t="str">
        <f t="shared" si="93"/>
        <v/>
      </c>
      <c r="HT9" s="11" t="str">
        <f t="shared" si="94"/>
        <v/>
      </c>
      <c r="HU9" s="11" t="str">
        <f t="shared" si="95"/>
        <v/>
      </c>
      <c r="HV9" s="11" t="str">
        <f t="shared" si="96"/>
        <v/>
      </c>
      <c r="HW9" s="11" t="str">
        <f t="shared" si="97"/>
        <v/>
      </c>
      <c r="HX9" s="11" t="str">
        <f t="shared" si="98"/>
        <v/>
      </c>
      <c r="HY9" s="11" t="str">
        <f t="shared" si="99"/>
        <v/>
      </c>
      <c r="HZ9" s="11" t="str">
        <f t="shared" si="100"/>
        <v/>
      </c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36" t="str">
        <f t="shared" si="101"/>
        <v/>
      </c>
      <c r="IV9" s="36" t="str">
        <f t="shared" si="102"/>
        <v/>
      </c>
      <c r="IW9" s="36" t="str">
        <f t="shared" si="103"/>
        <v/>
      </c>
      <c r="IX9" s="36" t="str">
        <f t="shared" si="104"/>
        <v/>
      </c>
      <c r="IY9" s="36" t="str">
        <f t="shared" si="105"/>
        <v/>
      </c>
      <c r="IZ9" s="36" t="str">
        <f t="shared" si="106"/>
        <v/>
      </c>
      <c r="JA9" s="36" t="str">
        <f t="shared" si="107"/>
        <v/>
      </c>
      <c r="JB9" s="36" t="str">
        <f t="shared" si="108"/>
        <v/>
      </c>
      <c r="JC9" s="36" t="str">
        <f t="shared" si="109"/>
        <v/>
      </c>
      <c r="JD9" s="36" t="str">
        <f t="shared" si="110"/>
        <v/>
      </c>
      <c r="JE9" s="36" t="str">
        <f t="shared" si="111"/>
        <v/>
      </c>
      <c r="JF9" s="36" t="str">
        <f t="shared" si="112"/>
        <v/>
      </c>
      <c r="JG9" s="36" t="str">
        <f t="shared" si="113"/>
        <v/>
      </c>
      <c r="JH9" s="36" t="str">
        <f t="shared" si="114"/>
        <v/>
      </c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1" t="str">
        <f t="shared" si="115"/>
        <v/>
      </c>
      <c r="KD9" s="11" t="str">
        <f t="shared" si="116"/>
        <v/>
      </c>
      <c r="KE9" s="11" t="str">
        <f t="shared" si="117"/>
        <v/>
      </c>
      <c r="KF9" s="11" t="str">
        <f t="shared" si="118"/>
        <v/>
      </c>
      <c r="KG9" s="11" t="str">
        <f t="shared" si="119"/>
        <v/>
      </c>
      <c r="KH9" s="11" t="str">
        <f t="shared" si="120"/>
        <v/>
      </c>
      <c r="KI9" s="11" t="str">
        <f t="shared" si="121"/>
        <v/>
      </c>
      <c r="KJ9" s="11" t="str">
        <f t="shared" si="122"/>
        <v/>
      </c>
      <c r="KK9" s="11" t="str">
        <f t="shared" si="123"/>
        <v/>
      </c>
      <c r="KL9" s="11" t="str">
        <f t="shared" si="124"/>
        <v/>
      </c>
      <c r="KM9" s="11" t="str">
        <f t="shared" si="125"/>
        <v/>
      </c>
      <c r="KN9" s="11" t="str">
        <f t="shared" si="126"/>
        <v/>
      </c>
      <c r="KO9" s="11" t="str">
        <f t="shared" si="127"/>
        <v/>
      </c>
      <c r="KP9" s="11" t="str">
        <f t="shared" si="128"/>
        <v/>
      </c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36" t="str">
        <f t="shared" si="129"/>
        <v/>
      </c>
      <c r="LL9" s="36" t="str">
        <f t="shared" si="130"/>
        <v/>
      </c>
      <c r="LM9" s="36" t="str">
        <f t="shared" si="131"/>
        <v/>
      </c>
      <c r="LN9" s="36" t="str">
        <f t="shared" si="132"/>
        <v/>
      </c>
      <c r="LO9" s="36" t="str">
        <f t="shared" si="133"/>
        <v/>
      </c>
      <c r="LP9" s="36" t="str">
        <f t="shared" si="134"/>
        <v/>
      </c>
      <c r="LQ9" s="36" t="str">
        <f t="shared" si="135"/>
        <v/>
      </c>
      <c r="LR9" s="36" t="str">
        <f t="shared" si="136"/>
        <v/>
      </c>
      <c r="LS9" s="36" t="str">
        <f t="shared" si="137"/>
        <v/>
      </c>
      <c r="LT9" s="36" t="str">
        <f t="shared" si="138"/>
        <v/>
      </c>
      <c r="LU9" s="36" t="str">
        <f t="shared" si="139"/>
        <v/>
      </c>
      <c r="LV9" s="36" t="str">
        <f t="shared" si="140"/>
        <v/>
      </c>
      <c r="LW9" s="36" t="str">
        <f t="shared" si="141"/>
        <v/>
      </c>
      <c r="LX9" s="36" t="str">
        <f t="shared" si="142"/>
        <v/>
      </c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16"/>
      <c r="MP9" s="16"/>
      <c r="MQ9" s="16"/>
      <c r="MR9" s="16"/>
      <c r="MS9" s="11" t="str">
        <f t="shared" si="143"/>
        <v/>
      </c>
      <c r="MT9" s="11" t="str">
        <f t="shared" si="144"/>
        <v/>
      </c>
      <c r="MU9" s="11" t="str">
        <f t="shared" si="145"/>
        <v/>
      </c>
      <c r="MV9" s="11" t="str">
        <f t="shared" si="146"/>
        <v/>
      </c>
      <c r="MW9" s="11" t="str">
        <f t="shared" si="147"/>
        <v/>
      </c>
      <c r="MX9" s="11" t="str">
        <f t="shared" si="148"/>
        <v/>
      </c>
      <c r="MY9" s="11" t="str">
        <f t="shared" si="149"/>
        <v/>
      </c>
      <c r="MZ9" s="11" t="str">
        <f t="shared" si="150"/>
        <v/>
      </c>
      <c r="NA9" s="11" t="str">
        <f t="shared" si="151"/>
        <v/>
      </c>
      <c r="NB9" s="11" t="str">
        <f t="shared" si="152"/>
        <v/>
      </c>
      <c r="NC9" s="11" t="str">
        <f t="shared" si="153"/>
        <v/>
      </c>
      <c r="ND9" s="11" t="str">
        <f t="shared" si="154"/>
        <v/>
      </c>
      <c r="NE9" s="11" t="str">
        <f t="shared" si="155"/>
        <v/>
      </c>
      <c r="NF9" s="11" t="str">
        <f t="shared" si="156"/>
        <v/>
      </c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36" t="str">
        <f t="shared" si="157"/>
        <v/>
      </c>
      <c r="OB9" s="36" t="str">
        <f t="shared" si="158"/>
        <v/>
      </c>
      <c r="OC9" s="36" t="str">
        <f t="shared" si="159"/>
        <v/>
      </c>
      <c r="OD9" s="36" t="str">
        <f t="shared" si="160"/>
        <v/>
      </c>
      <c r="OE9" s="36" t="str">
        <f t="shared" si="161"/>
        <v/>
      </c>
      <c r="OF9" s="36" t="str">
        <f t="shared" si="162"/>
        <v/>
      </c>
      <c r="OG9" s="36" t="str">
        <f t="shared" si="163"/>
        <v/>
      </c>
      <c r="OH9" s="36" t="str">
        <f t="shared" si="164"/>
        <v/>
      </c>
      <c r="OI9" s="36" t="str">
        <f t="shared" si="165"/>
        <v/>
      </c>
      <c r="OJ9" s="36" t="str">
        <f t="shared" si="166"/>
        <v/>
      </c>
      <c r="OK9" s="36" t="str">
        <f t="shared" si="167"/>
        <v/>
      </c>
      <c r="OL9" s="36" t="str">
        <f t="shared" si="168"/>
        <v/>
      </c>
      <c r="OM9" s="36" t="str">
        <f t="shared" si="169"/>
        <v/>
      </c>
      <c r="ON9" s="36" t="str">
        <f t="shared" si="170"/>
        <v/>
      </c>
      <c r="OO9" s="16"/>
      <c r="OP9" s="16"/>
      <c r="OQ9" s="16"/>
      <c r="OR9" s="16"/>
      <c r="OS9" s="16"/>
      <c r="OT9" s="16"/>
      <c r="OU9" s="16"/>
      <c r="OV9" s="16"/>
      <c r="OW9" s="16"/>
      <c r="OX9" s="16"/>
      <c r="OY9" s="16"/>
      <c r="OZ9" s="16"/>
      <c r="PA9" s="16"/>
      <c r="PB9" s="16"/>
      <c r="PC9" s="16"/>
      <c r="PD9" s="16"/>
      <c r="PE9" s="16"/>
      <c r="PF9" s="16"/>
      <c r="PG9" s="16"/>
      <c r="PH9" s="16"/>
      <c r="PI9" s="11" t="str">
        <f t="shared" si="171"/>
        <v/>
      </c>
      <c r="PJ9" s="11" t="str">
        <f t="shared" si="172"/>
        <v/>
      </c>
      <c r="PK9" s="11" t="str">
        <f t="shared" si="173"/>
        <v/>
      </c>
      <c r="PL9" s="11" t="str">
        <f t="shared" si="174"/>
        <v/>
      </c>
      <c r="PM9" s="11" t="str">
        <f t="shared" si="175"/>
        <v/>
      </c>
      <c r="PN9" s="11" t="str">
        <f t="shared" si="176"/>
        <v/>
      </c>
      <c r="PO9" s="11" t="str">
        <f t="shared" si="177"/>
        <v/>
      </c>
      <c r="PP9" s="11" t="str">
        <f t="shared" si="178"/>
        <v/>
      </c>
      <c r="PQ9" s="11" t="str">
        <f t="shared" si="179"/>
        <v/>
      </c>
      <c r="PR9" s="11" t="str">
        <f t="shared" si="180"/>
        <v/>
      </c>
      <c r="PS9" s="11" t="str">
        <f t="shared" si="181"/>
        <v/>
      </c>
      <c r="PT9" s="11" t="str">
        <f t="shared" si="182"/>
        <v/>
      </c>
      <c r="PU9" s="11" t="str">
        <f t="shared" si="183"/>
        <v/>
      </c>
      <c r="PV9" s="11" t="str">
        <f t="shared" si="184"/>
        <v/>
      </c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36" t="str">
        <f t="shared" si="185"/>
        <v/>
      </c>
      <c r="QR9" s="36" t="str">
        <f t="shared" si="186"/>
        <v/>
      </c>
      <c r="QS9" s="36" t="str">
        <f t="shared" si="187"/>
        <v/>
      </c>
      <c r="QT9" s="36" t="str">
        <f t="shared" si="188"/>
        <v/>
      </c>
      <c r="QU9" s="36" t="str">
        <f t="shared" si="189"/>
        <v/>
      </c>
      <c r="QV9" s="36" t="str">
        <f t="shared" si="190"/>
        <v/>
      </c>
      <c r="QW9" s="36" t="str">
        <f t="shared" si="191"/>
        <v/>
      </c>
      <c r="QX9" s="36" t="str">
        <f t="shared" si="192"/>
        <v/>
      </c>
      <c r="QY9" s="36" t="str">
        <f t="shared" si="193"/>
        <v/>
      </c>
      <c r="QZ9" s="36" t="str">
        <f t="shared" si="194"/>
        <v/>
      </c>
      <c r="RA9" s="36" t="str">
        <f t="shared" si="195"/>
        <v/>
      </c>
      <c r="RB9" s="36" t="str">
        <f t="shared" si="196"/>
        <v/>
      </c>
      <c r="RC9" s="36" t="str">
        <f t="shared" si="197"/>
        <v/>
      </c>
      <c r="RD9" s="36" t="str">
        <f t="shared" si="198"/>
        <v/>
      </c>
      <c r="RE9" s="16"/>
      <c r="RF9" s="16"/>
      <c r="RG9" s="16"/>
      <c r="RH9" s="16"/>
      <c r="RI9" s="16"/>
      <c r="RJ9" s="16"/>
      <c r="RK9" s="16"/>
      <c r="RL9" s="16"/>
      <c r="RM9" s="16"/>
      <c r="RN9" s="16"/>
      <c r="RO9" s="16"/>
      <c r="RP9" s="16"/>
      <c r="RQ9" s="16"/>
      <c r="RR9" s="16"/>
      <c r="RS9" s="16"/>
      <c r="RT9" s="16"/>
      <c r="RU9" s="16"/>
      <c r="RV9" s="16"/>
      <c r="RW9" s="16"/>
      <c r="RX9" s="16"/>
      <c r="RY9" s="11" t="str">
        <f t="shared" si="199"/>
        <v/>
      </c>
      <c r="RZ9" s="11" t="str">
        <f t="shared" si="200"/>
        <v/>
      </c>
      <c r="SA9" s="11" t="str">
        <f t="shared" si="201"/>
        <v/>
      </c>
      <c r="SB9" s="11" t="str">
        <f t="shared" si="202"/>
        <v/>
      </c>
      <c r="SC9" s="11" t="str">
        <f t="shared" si="203"/>
        <v/>
      </c>
      <c r="SD9" s="11" t="str">
        <f t="shared" si="204"/>
        <v/>
      </c>
      <c r="SE9" s="11" t="str">
        <f t="shared" si="205"/>
        <v/>
      </c>
      <c r="SF9" s="11" t="str">
        <f t="shared" si="206"/>
        <v/>
      </c>
      <c r="SG9" s="11" t="str">
        <f t="shared" si="207"/>
        <v/>
      </c>
      <c r="SH9" s="11" t="str">
        <f t="shared" si="208"/>
        <v/>
      </c>
      <c r="SI9" s="11" t="str">
        <f t="shared" si="209"/>
        <v/>
      </c>
      <c r="SJ9" s="11" t="str">
        <f t="shared" si="210"/>
        <v/>
      </c>
      <c r="SK9" s="11" t="str">
        <f t="shared" si="211"/>
        <v/>
      </c>
      <c r="SL9" s="11" t="str">
        <f t="shared" si="212"/>
        <v/>
      </c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36" t="str">
        <f t="shared" si="213"/>
        <v/>
      </c>
      <c r="TH9" s="36" t="str">
        <f t="shared" si="214"/>
        <v/>
      </c>
      <c r="TI9" s="36" t="str">
        <f t="shared" si="215"/>
        <v/>
      </c>
      <c r="TJ9" s="36" t="str">
        <f t="shared" si="216"/>
        <v/>
      </c>
      <c r="TK9" s="36" t="str">
        <f t="shared" si="217"/>
        <v/>
      </c>
      <c r="TL9" s="36" t="str">
        <f t="shared" si="218"/>
        <v/>
      </c>
      <c r="TM9" s="36" t="str">
        <f t="shared" si="219"/>
        <v/>
      </c>
      <c r="TN9" s="36" t="str">
        <f t="shared" si="220"/>
        <v/>
      </c>
      <c r="TO9" s="36" t="str">
        <f t="shared" si="221"/>
        <v/>
      </c>
      <c r="TP9" s="36" t="str">
        <f t="shared" si="222"/>
        <v/>
      </c>
      <c r="TQ9" s="36" t="str">
        <f t="shared" si="223"/>
        <v/>
      </c>
      <c r="TR9" s="36" t="str">
        <f t="shared" si="224"/>
        <v/>
      </c>
      <c r="TS9" s="36" t="str">
        <f t="shared" si="225"/>
        <v/>
      </c>
      <c r="TT9" s="36" t="str">
        <f t="shared" si="226"/>
        <v/>
      </c>
      <c r="TU9" s="16"/>
      <c r="TV9" s="16"/>
      <c r="TW9" s="16"/>
      <c r="TX9" s="16"/>
      <c r="TY9" s="16"/>
      <c r="TZ9" s="16"/>
      <c r="UA9" s="16"/>
      <c r="UB9" s="16"/>
      <c r="UC9" s="16"/>
      <c r="UD9" s="16"/>
      <c r="UE9" s="16"/>
      <c r="UF9" s="16"/>
      <c r="UG9" s="16"/>
      <c r="UH9" s="16"/>
      <c r="UI9" s="16"/>
      <c r="UJ9" s="16"/>
      <c r="UK9" s="16"/>
      <c r="UL9" s="16"/>
      <c r="UM9" s="16"/>
      <c r="UN9" s="16"/>
      <c r="UO9" s="11" t="str">
        <f t="shared" si="227"/>
        <v/>
      </c>
      <c r="UP9" s="11" t="str">
        <f t="shared" si="228"/>
        <v/>
      </c>
      <c r="UQ9" s="11" t="str">
        <f t="shared" si="229"/>
        <v/>
      </c>
      <c r="UR9" s="11" t="str">
        <f t="shared" si="230"/>
        <v/>
      </c>
      <c r="US9" s="11" t="str">
        <f t="shared" si="231"/>
        <v/>
      </c>
      <c r="UT9" s="11" t="str">
        <f t="shared" si="232"/>
        <v/>
      </c>
      <c r="UU9" s="11" t="str">
        <f t="shared" si="233"/>
        <v/>
      </c>
      <c r="UV9" s="11" t="str">
        <f t="shared" si="234"/>
        <v/>
      </c>
      <c r="UW9" s="11" t="str">
        <f t="shared" si="235"/>
        <v/>
      </c>
      <c r="UX9" s="11" t="str">
        <f t="shared" si="236"/>
        <v/>
      </c>
      <c r="UY9" s="11" t="str">
        <f t="shared" si="237"/>
        <v/>
      </c>
      <c r="UZ9" s="11" t="str">
        <f t="shared" si="238"/>
        <v/>
      </c>
      <c r="VA9" s="11" t="str">
        <f t="shared" si="239"/>
        <v/>
      </c>
      <c r="VB9" s="11" t="str">
        <f t="shared" si="240"/>
        <v/>
      </c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36" t="str">
        <f t="shared" si="241"/>
        <v/>
      </c>
      <c r="VX9" s="36" t="str">
        <f t="shared" si="242"/>
        <v/>
      </c>
      <c r="VY9" s="36" t="str">
        <f t="shared" si="243"/>
        <v/>
      </c>
      <c r="VZ9" s="36" t="str">
        <f t="shared" si="244"/>
        <v/>
      </c>
      <c r="WA9" s="36" t="str">
        <f t="shared" si="245"/>
        <v/>
      </c>
      <c r="WB9" s="36" t="str">
        <f t="shared" si="246"/>
        <v/>
      </c>
      <c r="WC9" s="36" t="str">
        <f t="shared" si="247"/>
        <v/>
      </c>
      <c r="WD9" s="36" t="str">
        <f t="shared" si="248"/>
        <v/>
      </c>
      <c r="WE9" s="36" t="str">
        <f t="shared" si="249"/>
        <v/>
      </c>
      <c r="WF9" s="36" t="str">
        <f t="shared" si="250"/>
        <v/>
      </c>
      <c r="WG9" s="36" t="str">
        <f t="shared" si="251"/>
        <v/>
      </c>
      <c r="WH9" s="36" t="str">
        <f t="shared" si="252"/>
        <v/>
      </c>
      <c r="WI9" s="36" t="str">
        <f t="shared" si="253"/>
        <v/>
      </c>
      <c r="WJ9" s="36" t="str">
        <f t="shared" si="254"/>
        <v/>
      </c>
    </row>
    <row r="10" spans="1:608" x14ac:dyDescent="0.2">
      <c r="A10" s="4" t="str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/>
      </c>
      <c r="B10" s="5" t="s">
        <v>102</v>
      </c>
      <c r="C10" s="4" t="s">
        <v>5</v>
      </c>
      <c r="D10" s="4" t="s">
        <v>103</v>
      </c>
      <c r="E10" s="9">
        <f t="shared" si="0"/>
        <v>51.970005197003232</v>
      </c>
      <c r="F10" s="3" t="str">
        <f t="shared" si="1"/>
        <v/>
      </c>
      <c r="G10" s="3" t="str">
        <f t="shared" si="2"/>
        <v/>
      </c>
      <c r="H10" s="32" t="str">
        <f t="shared" si="3"/>
        <v/>
      </c>
      <c r="I10" s="3" t="str">
        <f t="shared" si="4"/>
        <v/>
      </c>
      <c r="J10" s="8">
        <f t="shared" si="5"/>
        <v>32.31</v>
      </c>
      <c r="K10" s="8" t="str">
        <f t="shared" si="6"/>
        <v>2026 Elite Canada</v>
      </c>
      <c r="L10" s="8">
        <f>IFERROR(LARGE((AI10,AL10,AP10,BJ10,BM10,BQ10,CK10,CN10,CR10),2),0)</f>
        <v>19.66</v>
      </c>
      <c r="M10" s="8" t="str">
        <f t="shared" si="7"/>
        <v>2025 Nationals</v>
      </c>
      <c r="N10" s="8">
        <f t="shared" si="8"/>
        <v>0</v>
      </c>
      <c r="O10" s="11" t="str">
        <f t="shared" si="9"/>
        <v/>
      </c>
      <c r="P10" s="8" t="str">
        <f t="shared" si="10"/>
        <v/>
      </c>
      <c r="Q10" s="18">
        <v>3.83</v>
      </c>
      <c r="R10" s="18">
        <v>4.8499999999999996</v>
      </c>
      <c r="S10" s="18">
        <v>6.4</v>
      </c>
      <c r="T10" s="18">
        <v>4.58</v>
      </c>
      <c r="U10" s="18">
        <v>0</v>
      </c>
      <c r="V10" s="18">
        <v>3.13</v>
      </c>
      <c r="W10" s="18">
        <v>2.75</v>
      </c>
      <c r="X10" s="18">
        <v>5.0999999999999996</v>
      </c>
      <c r="Y10" s="18">
        <v>4.88</v>
      </c>
      <c r="Z10" s="18">
        <v>0</v>
      </c>
      <c r="AA10" s="18">
        <v>0.7</v>
      </c>
      <c r="AB10" s="18">
        <v>0.95</v>
      </c>
      <c r="AC10" s="18">
        <v>1.7</v>
      </c>
      <c r="AD10" s="18">
        <v>1.74</v>
      </c>
      <c r="AE10" s="18">
        <v>0</v>
      </c>
      <c r="AF10" s="23"/>
      <c r="AG10" s="34">
        <f t="shared" si="11"/>
        <v>6.4</v>
      </c>
      <c r="AH10" s="34">
        <f t="shared" si="12"/>
        <v>4.58</v>
      </c>
      <c r="AI10" s="36">
        <f t="shared" si="13"/>
        <v>19.66</v>
      </c>
      <c r="AJ10" s="36">
        <f t="shared" si="14"/>
        <v>5.0999999999999996</v>
      </c>
      <c r="AK10" s="36">
        <f t="shared" si="15"/>
        <v>4.88</v>
      </c>
      <c r="AL10" s="36">
        <f t="shared" si="16"/>
        <v>15.86</v>
      </c>
      <c r="AM10" s="36">
        <f t="shared" si="17"/>
        <v>19.66</v>
      </c>
      <c r="AN10" s="36">
        <f t="shared" si="18"/>
        <v>1.7</v>
      </c>
      <c r="AO10" s="36">
        <f t="shared" si="19"/>
        <v>1.74</v>
      </c>
      <c r="AP10" s="36">
        <f t="shared" si="20"/>
        <v>5.09</v>
      </c>
      <c r="AQ10" s="36">
        <f t="shared" si="21"/>
        <v>24.75</v>
      </c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4"/>
      <c r="BH10" s="35" t="str">
        <f t="shared" si="22"/>
        <v/>
      </c>
      <c r="BI10" s="35" t="str">
        <f t="shared" si="23"/>
        <v/>
      </c>
      <c r="BJ10" s="11" t="str">
        <f t="shared" si="24"/>
        <v/>
      </c>
      <c r="BK10" s="11" t="str">
        <f t="shared" si="25"/>
        <v/>
      </c>
      <c r="BL10" s="11" t="str">
        <f t="shared" si="26"/>
        <v/>
      </c>
      <c r="BM10" s="11" t="str">
        <f t="shared" si="27"/>
        <v/>
      </c>
      <c r="BN10" s="11" t="str">
        <f t="shared" si="28"/>
        <v/>
      </c>
      <c r="BO10" s="11" t="str">
        <f t="shared" si="29"/>
        <v/>
      </c>
      <c r="BP10" s="11" t="str">
        <f t="shared" si="30"/>
        <v/>
      </c>
      <c r="BQ10" s="11" t="str">
        <f t="shared" si="31"/>
        <v/>
      </c>
      <c r="BR10" s="11" t="str">
        <f t="shared" si="32"/>
        <v/>
      </c>
      <c r="BS10" s="18">
        <v>5.0999999999999996</v>
      </c>
      <c r="BT10" s="18">
        <v>6.55</v>
      </c>
      <c r="BU10" s="18">
        <v>9.6999999999999993</v>
      </c>
      <c r="BV10" s="18">
        <v>10.96</v>
      </c>
      <c r="BW10" s="18">
        <v>0</v>
      </c>
      <c r="BX10" s="18">
        <v>1.43</v>
      </c>
      <c r="BY10" s="18">
        <v>1.9</v>
      </c>
      <c r="BZ10" s="18">
        <v>0</v>
      </c>
      <c r="CA10" s="18">
        <v>2.82</v>
      </c>
      <c r="CB10" s="18">
        <v>0</v>
      </c>
      <c r="CC10" s="18">
        <v>0.88</v>
      </c>
      <c r="CD10" s="18">
        <v>0.95</v>
      </c>
      <c r="CE10" s="18">
        <v>1.7</v>
      </c>
      <c r="CF10" s="18">
        <v>1.76</v>
      </c>
      <c r="CG10" s="18">
        <v>0</v>
      </c>
      <c r="CH10" s="23"/>
      <c r="CI10" s="34">
        <f t="shared" si="33"/>
        <v>9.6999999999999993</v>
      </c>
      <c r="CJ10" s="34">
        <f t="shared" si="34"/>
        <v>10.96</v>
      </c>
      <c r="CK10" s="36">
        <f t="shared" si="35"/>
        <v>32.31</v>
      </c>
      <c r="CL10" s="36" t="str">
        <f t="shared" si="36"/>
        <v/>
      </c>
      <c r="CM10" s="36">
        <f t="shared" si="37"/>
        <v>2.82</v>
      </c>
      <c r="CN10" s="36">
        <f t="shared" si="38"/>
        <v>6.15</v>
      </c>
      <c r="CO10" s="36">
        <f t="shared" si="39"/>
        <v>32.31</v>
      </c>
      <c r="CP10" s="36">
        <f t="shared" si="40"/>
        <v>1.7</v>
      </c>
      <c r="CQ10" s="36">
        <f t="shared" si="41"/>
        <v>1.76</v>
      </c>
      <c r="CR10" s="36">
        <f t="shared" si="42"/>
        <v>5.29</v>
      </c>
      <c r="CS10" s="36">
        <f t="shared" si="43"/>
        <v>37.6</v>
      </c>
      <c r="CT10" s="47" t="str">
        <f t="shared" si="44"/>
        <v/>
      </c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36" t="str">
        <f t="shared" si="45"/>
        <v/>
      </c>
      <c r="DP10" s="36" t="str">
        <f t="shared" si="46"/>
        <v/>
      </c>
      <c r="DQ10" s="36" t="str">
        <f t="shared" si="47"/>
        <v/>
      </c>
      <c r="DR10" s="36" t="str">
        <f t="shared" si="48"/>
        <v/>
      </c>
      <c r="DS10" s="36" t="str">
        <f t="shared" si="49"/>
        <v/>
      </c>
      <c r="DT10" s="36" t="str">
        <f t="shared" si="50"/>
        <v/>
      </c>
      <c r="DU10" s="36" t="str">
        <f t="shared" si="51"/>
        <v/>
      </c>
      <c r="DV10" s="36" t="str">
        <f t="shared" si="52"/>
        <v/>
      </c>
      <c r="DW10" s="36" t="str">
        <f t="shared" si="53"/>
        <v/>
      </c>
      <c r="DX10" s="36" t="str">
        <f t="shared" si="54"/>
        <v/>
      </c>
      <c r="DY10" s="36" t="str">
        <f t="shared" si="55"/>
        <v/>
      </c>
      <c r="DZ10" s="36" t="str">
        <f t="shared" si="56"/>
        <v/>
      </c>
      <c r="EA10" s="36" t="str">
        <f t="shared" si="57"/>
        <v/>
      </c>
      <c r="EB10" s="36" t="str">
        <f t="shared" si="58"/>
        <v/>
      </c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1" t="str">
        <f t="shared" si="59"/>
        <v/>
      </c>
      <c r="EX10" s="11" t="str">
        <f t="shared" si="60"/>
        <v/>
      </c>
      <c r="EY10" s="11" t="str">
        <f t="shared" si="61"/>
        <v/>
      </c>
      <c r="EZ10" s="11" t="str">
        <f t="shared" si="62"/>
        <v/>
      </c>
      <c r="FA10" s="11" t="str">
        <f t="shared" si="63"/>
        <v/>
      </c>
      <c r="FB10" s="11" t="str">
        <f t="shared" si="64"/>
        <v/>
      </c>
      <c r="FC10" s="11" t="str">
        <f t="shared" si="65"/>
        <v/>
      </c>
      <c r="FD10" s="11" t="str">
        <f t="shared" si="66"/>
        <v/>
      </c>
      <c r="FE10" s="11" t="str">
        <f t="shared" si="67"/>
        <v/>
      </c>
      <c r="FF10" s="11" t="str">
        <f t="shared" si="68"/>
        <v/>
      </c>
      <c r="FG10" s="11" t="str">
        <f t="shared" si="69"/>
        <v/>
      </c>
      <c r="FH10" s="11" t="str">
        <f t="shared" si="70"/>
        <v/>
      </c>
      <c r="FI10" s="11" t="str">
        <f t="shared" si="71"/>
        <v/>
      </c>
      <c r="FJ10" s="11" t="str">
        <f t="shared" si="72"/>
        <v/>
      </c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36" t="str">
        <f t="shared" si="73"/>
        <v/>
      </c>
      <c r="GF10" s="36" t="str">
        <f t="shared" si="74"/>
        <v/>
      </c>
      <c r="GG10" s="36" t="str">
        <f t="shared" si="75"/>
        <v/>
      </c>
      <c r="GH10" s="36" t="str">
        <f t="shared" si="76"/>
        <v/>
      </c>
      <c r="GI10" s="36" t="str">
        <f t="shared" si="77"/>
        <v/>
      </c>
      <c r="GJ10" s="36" t="str">
        <f t="shared" si="78"/>
        <v/>
      </c>
      <c r="GK10" s="36" t="str">
        <f t="shared" si="79"/>
        <v/>
      </c>
      <c r="GL10" s="36" t="str">
        <f t="shared" si="80"/>
        <v/>
      </c>
      <c r="GM10" s="36" t="str">
        <f t="shared" si="81"/>
        <v/>
      </c>
      <c r="GN10" s="36" t="str">
        <f t="shared" si="82"/>
        <v/>
      </c>
      <c r="GO10" s="36" t="str">
        <f t="shared" si="83"/>
        <v/>
      </c>
      <c r="GP10" s="36" t="str">
        <f t="shared" si="84"/>
        <v/>
      </c>
      <c r="GQ10" s="36" t="str">
        <f t="shared" si="85"/>
        <v/>
      </c>
      <c r="GR10" s="36" t="str">
        <f t="shared" si="86"/>
        <v/>
      </c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1" t="str">
        <f t="shared" si="87"/>
        <v/>
      </c>
      <c r="HN10" s="11" t="str">
        <f t="shared" si="88"/>
        <v/>
      </c>
      <c r="HO10" s="11" t="str">
        <f t="shared" si="89"/>
        <v/>
      </c>
      <c r="HP10" s="11" t="str">
        <f t="shared" si="90"/>
        <v/>
      </c>
      <c r="HQ10" s="11" t="str">
        <f t="shared" si="91"/>
        <v/>
      </c>
      <c r="HR10" s="11" t="str">
        <f t="shared" si="92"/>
        <v/>
      </c>
      <c r="HS10" s="11" t="str">
        <f t="shared" si="93"/>
        <v/>
      </c>
      <c r="HT10" s="11" t="str">
        <f t="shared" si="94"/>
        <v/>
      </c>
      <c r="HU10" s="11" t="str">
        <f t="shared" si="95"/>
        <v/>
      </c>
      <c r="HV10" s="11" t="str">
        <f t="shared" si="96"/>
        <v/>
      </c>
      <c r="HW10" s="11" t="str">
        <f t="shared" si="97"/>
        <v/>
      </c>
      <c r="HX10" s="11" t="str">
        <f t="shared" si="98"/>
        <v/>
      </c>
      <c r="HY10" s="11" t="str">
        <f t="shared" si="99"/>
        <v/>
      </c>
      <c r="HZ10" s="11" t="str">
        <f t="shared" si="100"/>
        <v/>
      </c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36" t="str">
        <f t="shared" si="101"/>
        <v/>
      </c>
      <c r="IV10" s="36" t="str">
        <f t="shared" si="102"/>
        <v/>
      </c>
      <c r="IW10" s="36" t="str">
        <f t="shared" si="103"/>
        <v/>
      </c>
      <c r="IX10" s="36" t="str">
        <f t="shared" si="104"/>
        <v/>
      </c>
      <c r="IY10" s="36" t="str">
        <f t="shared" si="105"/>
        <v/>
      </c>
      <c r="IZ10" s="36" t="str">
        <f t="shared" si="106"/>
        <v/>
      </c>
      <c r="JA10" s="36" t="str">
        <f t="shared" si="107"/>
        <v/>
      </c>
      <c r="JB10" s="36" t="str">
        <f t="shared" si="108"/>
        <v/>
      </c>
      <c r="JC10" s="36" t="str">
        <f t="shared" si="109"/>
        <v/>
      </c>
      <c r="JD10" s="36" t="str">
        <f t="shared" si="110"/>
        <v/>
      </c>
      <c r="JE10" s="36" t="str">
        <f t="shared" si="111"/>
        <v/>
      </c>
      <c r="JF10" s="36" t="str">
        <f t="shared" si="112"/>
        <v/>
      </c>
      <c r="JG10" s="36" t="str">
        <f t="shared" si="113"/>
        <v/>
      </c>
      <c r="JH10" s="36" t="str">
        <f t="shared" si="114"/>
        <v/>
      </c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1" t="str">
        <f t="shared" si="115"/>
        <v/>
      </c>
      <c r="KD10" s="11" t="str">
        <f t="shared" si="116"/>
        <v/>
      </c>
      <c r="KE10" s="11" t="str">
        <f t="shared" si="117"/>
        <v/>
      </c>
      <c r="KF10" s="11" t="str">
        <f t="shared" si="118"/>
        <v/>
      </c>
      <c r="KG10" s="11" t="str">
        <f t="shared" si="119"/>
        <v/>
      </c>
      <c r="KH10" s="11" t="str">
        <f t="shared" si="120"/>
        <v/>
      </c>
      <c r="KI10" s="11" t="str">
        <f t="shared" si="121"/>
        <v/>
      </c>
      <c r="KJ10" s="11" t="str">
        <f t="shared" si="122"/>
        <v/>
      </c>
      <c r="KK10" s="11" t="str">
        <f t="shared" si="123"/>
        <v/>
      </c>
      <c r="KL10" s="11" t="str">
        <f t="shared" si="124"/>
        <v/>
      </c>
      <c r="KM10" s="11" t="str">
        <f t="shared" si="125"/>
        <v/>
      </c>
      <c r="KN10" s="11" t="str">
        <f t="shared" si="126"/>
        <v/>
      </c>
      <c r="KO10" s="11" t="str">
        <f t="shared" si="127"/>
        <v/>
      </c>
      <c r="KP10" s="11" t="str">
        <f t="shared" si="128"/>
        <v/>
      </c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36" t="str">
        <f t="shared" si="129"/>
        <v/>
      </c>
      <c r="LL10" s="36" t="str">
        <f t="shared" si="130"/>
        <v/>
      </c>
      <c r="LM10" s="36" t="str">
        <f t="shared" si="131"/>
        <v/>
      </c>
      <c r="LN10" s="36" t="str">
        <f t="shared" si="132"/>
        <v/>
      </c>
      <c r="LO10" s="36" t="str">
        <f t="shared" si="133"/>
        <v/>
      </c>
      <c r="LP10" s="36" t="str">
        <f t="shared" si="134"/>
        <v/>
      </c>
      <c r="LQ10" s="36" t="str">
        <f t="shared" si="135"/>
        <v/>
      </c>
      <c r="LR10" s="36" t="str">
        <f t="shared" si="136"/>
        <v/>
      </c>
      <c r="LS10" s="36" t="str">
        <f t="shared" si="137"/>
        <v/>
      </c>
      <c r="LT10" s="36" t="str">
        <f t="shared" si="138"/>
        <v/>
      </c>
      <c r="LU10" s="36" t="str">
        <f t="shared" si="139"/>
        <v/>
      </c>
      <c r="LV10" s="36" t="str">
        <f t="shared" si="140"/>
        <v/>
      </c>
      <c r="LW10" s="36" t="str">
        <f t="shared" si="141"/>
        <v/>
      </c>
      <c r="LX10" s="36" t="str">
        <f t="shared" si="142"/>
        <v/>
      </c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1" t="str">
        <f t="shared" si="143"/>
        <v/>
      </c>
      <c r="MT10" s="11" t="str">
        <f t="shared" si="144"/>
        <v/>
      </c>
      <c r="MU10" s="11" t="str">
        <f t="shared" si="145"/>
        <v/>
      </c>
      <c r="MV10" s="11" t="str">
        <f t="shared" si="146"/>
        <v/>
      </c>
      <c r="MW10" s="11" t="str">
        <f t="shared" si="147"/>
        <v/>
      </c>
      <c r="MX10" s="11" t="str">
        <f t="shared" si="148"/>
        <v/>
      </c>
      <c r="MY10" s="11" t="str">
        <f t="shared" si="149"/>
        <v/>
      </c>
      <c r="MZ10" s="11" t="str">
        <f t="shared" si="150"/>
        <v/>
      </c>
      <c r="NA10" s="11" t="str">
        <f t="shared" si="151"/>
        <v/>
      </c>
      <c r="NB10" s="11" t="str">
        <f t="shared" si="152"/>
        <v/>
      </c>
      <c r="NC10" s="11" t="str">
        <f t="shared" si="153"/>
        <v/>
      </c>
      <c r="ND10" s="11" t="str">
        <f t="shared" si="154"/>
        <v/>
      </c>
      <c r="NE10" s="11" t="str">
        <f t="shared" si="155"/>
        <v/>
      </c>
      <c r="NF10" s="11" t="str">
        <f t="shared" si="156"/>
        <v/>
      </c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36" t="str">
        <f t="shared" si="157"/>
        <v/>
      </c>
      <c r="OB10" s="36" t="str">
        <f t="shared" si="158"/>
        <v/>
      </c>
      <c r="OC10" s="36" t="str">
        <f t="shared" si="159"/>
        <v/>
      </c>
      <c r="OD10" s="36" t="str">
        <f t="shared" si="160"/>
        <v/>
      </c>
      <c r="OE10" s="36" t="str">
        <f t="shared" si="161"/>
        <v/>
      </c>
      <c r="OF10" s="36" t="str">
        <f t="shared" si="162"/>
        <v/>
      </c>
      <c r="OG10" s="36" t="str">
        <f t="shared" si="163"/>
        <v/>
      </c>
      <c r="OH10" s="36" t="str">
        <f t="shared" si="164"/>
        <v/>
      </c>
      <c r="OI10" s="36" t="str">
        <f t="shared" si="165"/>
        <v/>
      </c>
      <c r="OJ10" s="36" t="str">
        <f t="shared" si="166"/>
        <v/>
      </c>
      <c r="OK10" s="36" t="str">
        <f t="shared" si="167"/>
        <v/>
      </c>
      <c r="OL10" s="36" t="str">
        <f t="shared" si="168"/>
        <v/>
      </c>
      <c r="OM10" s="36" t="str">
        <f t="shared" si="169"/>
        <v/>
      </c>
      <c r="ON10" s="36" t="str">
        <f t="shared" si="170"/>
        <v/>
      </c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1" t="str">
        <f t="shared" si="171"/>
        <v/>
      </c>
      <c r="PJ10" s="11" t="str">
        <f t="shared" si="172"/>
        <v/>
      </c>
      <c r="PK10" s="11" t="str">
        <f t="shared" si="173"/>
        <v/>
      </c>
      <c r="PL10" s="11" t="str">
        <f t="shared" si="174"/>
        <v/>
      </c>
      <c r="PM10" s="11" t="str">
        <f t="shared" si="175"/>
        <v/>
      </c>
      <c r="PN10" s="11" t="str">
        <f t="shared" si="176"/>
        <v/>
      </c>
      <c r="PO10" s="11" t="str">
        <f t="shared" si="177"/>
        <v/>
      </c>
      <c r="PP10" s="11" t="str">
        <f t="shared" si="178"/>
        <v/>
      </c>
      <c r="PQ10" s="11" t="str">
        <f t="shared" si="179"/>
        <v/>
      </c>
      <c r="PR10" s="11" t="str">
        <f t="shared" si="180"/>
        <v/>
      </c>
      <c r="PS10" s="11" t="str">
        <f t="shared" si="181"/>
        <v/>
      </c>
      <c r="PT10" s="11" t="str">
        <f t="shared" si="182"/>
        <v/>
      </c>
      <c r="PU10" s="11" t="str">
        <f t="shared" si="183"/>
        <v/>
      </c>
      <c r="PV10" s="11" t="str">
        <f t="shared" si="184"/>
        <v/>
      </c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36" t="str">
        <f t="shared" si="185"/>
        <v/>
      </c>
      <c r="QR10" s="36" t="str">
        <f t="shared" si="186"/>
        <v/>
      </c>
      <c r="QS10" s="36" t="str">
        <f t="shared" si="187"/>
        <v/>
      </c>
      <c r="QT10" s="36" t="str">
        <f t="shared" si="188"/>
        <v/>
      </c>
      <c r="QU10" s="36" t="str">
        <f t="shared" si="189"/>
        <v/>
      </c>
      <c r="QV10" s="36" t="str">
        <f t="shared" si="190"/>
        <v/>
      </c>
      <c r="QW10" s="36" t="str">
        <f t="shared" si="191"/>
        <v/>
      </c>
      <c r="QX10" s="36" t="str">
        <f t="shared" si="192"/>
        <v/>
      </c>
      <c r="QY10" s="36" t="str">
        <f t="shared" si="193"/>
        <v/>
      </c>
      <c r="QZ10" s="36" t="str">
        <f t="shared" si="194"/>
        <v/>
      </c>
      <c r="RA10" s="36" t="str">
        <f t="shared" si="195"/>
        <v/>
      </c>
      <c r="RB10" s="36" t="str">
        <f t="shared" si="196"/>
        <v/>
      </c>
      <c r="RC10" s="36" t="str">
        <f t="shared" si="197"/>
        <v/>
      </c>
      <c r="RD10" s="36" t="str">
        <f t="shared" si="198"/>
        <v/>
      </c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1" t="str">
        <f t="shared" si="199"/>
        <v/>
      </c>
      <c r="RZ10" s="11" t="str">
        <f t="shared" si="200"/>
        <v/>
      </c>
      <c r="SA10" s="11" t="str">
        <f t="shared" si="201"/>
        <v/>
      </c>
      <c r="SB10" s="11" t="str">
        <f t="shared" si="202"/>
        <v/>
      </c>
      <c r="SC10" s="11" t="str">
        <f t="shared" si="203"/>
        <v/>
      </c>
      <c r="SD10" s="11" t="str">
        <f t="shared" si="204"/>
        <v/>
      </c>
      <c r="SE10" s="11" t="str">
        <f t="shared" si="205"/>
        <v/>
      </c>
      <c r="SF10" s="11" t="str">
        <f t="shared" si="206"/>
        <v/>
      </c>
      <c r="SG10" s="11" t="str">
        <f t="shared" si="207"/>
        <v/>
      </c>
      <c r="SH10" s="11" t="str">
        <f t="shared" si="208"/>
        <v/>
      </c>
      <c r="SI10" s="11" t="str">
        <f t="shared" si="209"/>
        <v/>
      </c>
      <c r="SJ10" s="11" t="str">
        <f t="shared" si="210"/>
        <v/>
      </c>
      <c r="SK10" s="11" t="str">
        <f t="shared" si="211"/>
        <v/>
      </c>
      <c r="SL10" s="11" t="str">
        <f t="shared" si="212"/>
        <v/>
      </c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36" t="str">
        <f t="shared" si="213"/>
        <v/>
      </c>
      <c r="TH10" s="36" t="str">
        <f t="shared" si="214"/>
        <v/>
      </c>
      <c r="TI10" s="36" t="str">
        <f t="shared" si="215"/>
        <v/>
      </c>
      <c r="TJ10" s="36" t="str">
        <f t="shared" si="216"/>
        <v/>
      </c>
      <c r="TK10" s="36" t="str">
        <f t="shared" si="217"/>
        <v/>
      </c>
      <c r="TL10" s="36" t="str">
        <f t="shared" si="218"/>
        <v/>
      </c>
      <c r="TM10" s="36" t="str">
        <f t="shared" si="219"/>
        <v/>
      </c>
      <c r="TN10" s="36" t="str">
        <f t="shared" si="220"/>
        <v/>
      </c>
      <c r="TO10" s="36" t="str">
        <f t="shared" si="221"/>
        <v/>
      </c>
      <c r="TP10" s="36" t="str">
        <f t="shared" si="222"/>
        <v/>
      </c>
      <c r="TQ10" s="36" t="str">
        <f t="shared" si="223"/>
        <v/>
      </c>
      <c r="TR10" s="36" t="str">
        <f t="shared" si="224"/>
        <v/>
      </c>
      <c r="TS10" s="36" t="str">
        <f t="shared" si="225"/>
        <v/>
      </c>
      <c r="TT10" s="36" t="str">
        <f t="shared" si="226"/>
        <v/>
      </c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1" t="str">
        <f t="shared" si="227"/>
        <v/>
      </c>
      <c r="UP10" s="11" t="str">
        <f t="shared" si="228"/>
        <v/>
      </c>
      <c r="UQ10" s="11" t="str">
        <f t="shared" si="229"/>
        <v/>
      </c>
      <c r="UR10" s="11" t="str">
        <f t="shared" si="230"/>
        <v/>
      </c>
      <c r="US10" s="11" t="str">
        <f t="shared" si="231"/>
        <v/>
      </c>
      <c r="UT10" s="11" t="str">
        <f t="shared" si="232"/>
        <v/>
      </c>
      <c r="UU10" s="11" t="str">
        <f t="shared" si="233"/>
        <v/>
      </c>
      <c r="UV10" s="11" t="str">
        <f t="shared" si="234"/>
        <v/>
      </c>
      <c r="UW10" s="11" t="str">
        <f t="shared" si="235"/>
        <v/>
      </c>
      <c r="UX10" s="11" t="str">
        <f t="shared" si="236"/>
        <v/>
      </c>
      <c r="UY10" s="11" t="str">
        <f t="shared" si="237"/>
        <v/>
      </c>
      <c r="UZ10" s="11" t="str">
        <f t="shared" si="238"/>
        <v/>
      </c>
      <c r="VA10" s="11" t="str">
        <f t="shared" si="239"/>
        <v/>
      </c>
      <c r="VB10" s="11" t="str">
        <f t="shared" si="240"/>
        <v/>
      </c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36" t="str">
        <f t="shared" si="241"/>
        <v/>
      </c>
      <c r="VX10" s="36" t="str">
        <f t="shared" si="242"/>
        <v/>
      </c>
      <c r="VY10" s="36" t="str">
        <f t="shared" si="243"/>
        <v/>
      </c>
      <c r="VZ10" s="36" t="str">
        <f t="shared" si="244"/>
        <v/>
      </c>
      <c r="WA10" s="36" t="str">
        <f t="shared" si="245"/>
        <v/>
      </c>
      <c r="WB10" s="36" t="str">
        <f t="shared" si="246"/>
        <v/>
      </c>
      <c r="WC10" s="36" t="str">
        <f t="shared" si="247"/>
        <v/>
      </c>
      <c r="WD10" s="36" t="str">
        <f t="shared" si="248"/>
        <v/>
      </c>
      <c r="WE10" s="36" t="str">
        <f t="shared" si="249"/>
        <v/>
      </c>
      <c r="WF10" s="36" t="str">
        <f t="shared" si="250"/>
        <v/>
      </c>
      <c r="WG10" s="36" t="str">
        <f t="shared" si="251"/>
        <v/>
      </c>
      <c r="WH10" s="36" t="str">
        <f t="shared" si="252"/>
        <v/>
      </c>
      <c r="WI10" s="36" t="str">
        <f t="shared" si="253"/>
        <v/>
      </c>
      <c r="WJ10" s="36" t="str">
        <f t="shared" si="254"/>
        <v/>
      </c>
    </row>
    <row r="11" spans="1:608" x14ac:dyDescent="0.2">
      <c r="A11" s="4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>3</v>
      </c>
      <c r="B11" s="5" t="s">
        <v>149</v>
      </c>
      <c r="C11" s="4" t="s">
        <v>148</v>
      </c>
      <c r="D11" s="4" t="s">
        <v>147</v>
      </c>
      <c r="E11" s="9">
        <f t="shared" si="0"/>
        <v>48.11</v>
      </c>
      <c r="F11" s="3" t="str">
        <f t="shared" si="1"/>
        <v/>
      </c>
      <c r="G11" s="3" t="str">
        <f t="shared" si="2"/>
        <v>P</v>
      </c>
      <c r="H11" s="32" t="str">
        <f t="shared" si="3"/>
        <v>No DD</v>
      </c>
      <c r="I11" s="3" t="str">
        <f t="shared" si="4"/>
        <v/>
      </c>
      <c r="J11" s="8">
        <f t="shared" si="5"/>
        <v>0</v>
      </c>
      <c r="K11" s="8" t="str">
        <f t="shared" si="6"/>
        <v/>
      </c>
      <c r="L11" s="8">
        <f>IFERROR(LARGE((AI11,AL11,AP11,BJ11,BM11,BQ11,CK11,CN11,CR11),2),0)</f>
        <v>0</v>
      </c>
      <c r="M11" s="8" t="str">
        <f t="shared" si="7"/>
        <v/>
      </c>
      <c r="N11" s="8">
        <f t="shared" si="8"/>
        <v>48.11</v>
      </c>
      <c r="O11" s="11" t="str">
        <f t="shared" si="9"/>
        <v>(Any)</v>
      </c>
      <c r="P11" s="8" t="str">
        <f t="shared" si="10"/>
        <v>2025 Junior Pan Am Games (Aug 12)</v>
      </c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23"/>
      <c r="AG11" s="34" t="str">
        <f t="shared" si="11"/>
        <v/>
      </c>
      <c r="AH11" s="34" t="str">
        <f t="shared" si="12"/>
        <v/>
      </c>
      <c r="AI11" s="36" t="str">
        <f t="shared" si="13"/>
        <v/>
      </c>
      <c r="AJ11" s="36" t="str">
        <f t="shared" si="14"/>
        <v/>
      </c>
      <c r="AK11" s="36" t="str">
        <f t="shared" si="15"/>
        <v/>
      </c>
      <c r="AL11" s="36" t="str">
        <f t="shared" si="16"/>
        <v/>
      </c>
      <c r="AM11" s="36" t="str">
        <f t="shared" si="17"/>
        <v/>
      </c>
      <c r="AN11" s="36" t="str">
        <f t="shared" si="18"/>
        <v/>
      </c>
      <c r="AO11" s="36" t="str">
        <f t="shared" si="19"/>
        <v/>
      </c>
      <c r="AP11" s="36" t="str">
        <f t="shared" si="20"/>
        <v/>
      </c>
      <c r="AQ11" s="36" t="str">
        <f t="shared" si="21"/>
        <v/>
      </c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4"/>
      <c r="BH11" s="35" t="str">
        <f t="shared" si="22"/>
        <v/>
      </c>
      <c r="BI11" s="35" t="str">
        <f t="shared" si="23"/>
        <v/>
      </c>
      <c r="BJ11" s="11" t="str">
        <f t="shared" si="24"/>
        <v/>
      </c>
      <c r="BK11" s="11" t="str">
        <f t="shared" si="25"/>
        <v/>
      </c>
      <c r="BL11" s="11" t="str">
        <f t="shared" si="26"/>
        <v/>
      </c>
      <c r="BM11" s="11" t="str">
        <f t="shared" si="27"/>
        <v/>
      </c>
      <c r="BN11" s="11" t="str">
        <f t="shared" si="28"/>
        <v/>
      </c>
      <c r="BO11" s="11" t="str">
        <f t="shared" si="29"/>
        <v/>
      </c>
      <c r="BP11" s="11" t="str">
        <f t="shared" si="30"/>
        <v/>
      </c>
      <c r="BQ11" s="11" t="str">
        <f t="shared" si="31"/>
        <v/>
      </c>
      <c r="BR11" s="11" t="str">
        <f t="shared" si="32"/>
        <v/>
      </c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23"/>
      <c r="CI11" s="34" t="str">
        <f t="shared" si="33"/>
        <v/>
      </c>
      <c r="CJ11" s="34" t="str">
        <f t="shared" si="34"/>
        <v/>
      </c>
      <c r="CK11" s="36" t="str">
        <f t="shared" si="35"/>
        <v/>
      </c>
      <c r="CL11" s="36" t="str">
        <f t="shared" si="36"/>
        <v/>
      </c>
      <c r="CM11" s="36" t="str">
        <f t="shared" si="37"/>
        <v/>
      </c>
      <c r="CN11" s="36" t="str">
        <f t="shared" si="38"/>
        <v/>
      </c>
      <c r="CO11" s="36" t="str">
        <f t="shared" si="39"/>
        <v/>
      </c>
      <c r="CP11" s="36" t="str">
        <f t="shared" si="40"/>
        <v/>
      </c>
      <c r="CQ11" s="36" t="str">
        <f t="shared" si="41"/>
        <v/>
      </c>
      <c r="CR11" s="36" t="str">
        <f t="shared" si="42"/>
        <v/>
      </c>
      <c r="CS11" s="36" t="str">
        <f t="shared" si="43"/>
        <v/>
      </c>
      <c r="CT11" s="47">
        <f t="shared" si="44"/>
        <v>48.11</v>
      </c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36" t="str">
        <f t="shared" si="45"/>
        <v/>
      </c>
      <c r="DP11" s="36" t="str">
        <f t="shared" si="46"/>
        <v/>
      </c>
      <c r="DQ11" s="36" t="str">
        <f t="shared" si="47"/>
        <v/>
      </c>
      <c r="DR11" s="36" t="str">
        <f t="shared" si="48"/>
        <v/>
      </c>
      <c r="DS11" s="36" t="str">
        <f t="shared" si="49"/>
        <v/>
      </c>
      <c r="DT11" s="36" t="str">
        <f t="shared" si="50"/>
        <v/>
      </c>
      <c r="DU11" s="36" t="str">
        <f t="shared" si="51"/>
        <v/>
      </c>
      <c r="DV11" s="36" t="str">
        <f t="shared" si="52"/>
        <v/>
      </c>
      <c r="DW11" s="36" t="str">
        <f t="shared" si="53"/>
        <v/>
      </c>
      <c r="DX11" s="36" t="str">
        <f t="shared" si="54"/>
        <v/>
      </c>
      <c r="DY11" s="36" t="str">
        <f t="shared" si="55"/>
        <v/>
      </c>
      <c r="DZ11" s="36" t="str">
        <f t="shared" si="56"/>
        <v/>
      </c>
      <c r="EA11" s="36" t="str">
        <f t="shared" si="57"/>
        <v/>
      </c>
      <c r="EB11" s="36" t="str">
        <f t="shared" si="58"/>
        <v/>
      </c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1" t="str">
        <f t="shared" si="59"/>
        <v/>
      </c>
      <c r="EX11" s="11" t="str">
        <f t="shared" si="60"/>
        <v/>
      </c>
      <c r="EY11" s="11" t="str">
        <f t="shared" si="61"/>
        <v/>
      </c>
      <c r="EZ11" s="11" t="str">
        <f t="shared" si="62"/>
        <v/>
      </c>
      <c r="FA11" s="11" t="str">
        <f t="shared" si="63"/>
        <v/>
      </c>
      <c r="FB11" s="11" t="str">
        <f t="shared" si="64"/>
        <v/>
      </c>
      <c r="FC11" s="11" t="str">
        <f t="shared" si="65"/>
        <v/>
      </c>
      <c r="FD11" s="11" t="str">
        <f t="shared" si="66"/>
        <v/>
      </c>
      <c r="FE11" s="11" t="str">
        <f t="shared" si="67"/>
        <v/>
      </c>
      <c r="FF11" s="11" t="str">
        <f t="shared" si="68"/>
        <v/>
      </c>
      <c r="FG11" s="11" t="str">
        <f t="shared" si="69"/>
        <v/>
      </c>
      <c r="FH11" s="11" t="str">
        <f t="shared" si="70"/>
        <v/>
      </c>
      <c r="FI11" s="11" t="str">
        <f t="shared" si="71"/>
        <v/>
      </c>
      <c r="FJ11" s="11" t="str">
        <f t="shared" si="72"/>
        <v/>
      </c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36" t="str">
        <f t="shared" si="73"/>
        <v/>
      </c>
      <c r="GF11" s="36" t="str">
        <f t="shared" si="74"/>
        <v/>
      </c>
      <c r="GG11" s="36" t="str">
        <f t="shared" si="75"/>
        <v/>
      </c>
      <c r="GH11" s="36" t="str">
        <f t="shared" si="76"/>
        <v/>
      </c>
      <c r="GI11" s="36" t="str">
        <f t="shared" si="77"/>
        <v/>
      </c>
      <c r="GJ11" s="36" t="str">
        <f t="shared" si="78"/>
        <v/>
      </c>
      <c r="GK11" s="36" t="str">
        <f t="shared" si="79"/>
        <v/>
      </c>
      <c r="GL11" s="36" t="str">
        <f t="shared" si="80"/>
        <v/>
      </c>
      <c r="GM11" s="36" t="str">
        <f t="shared" si="81"/>
        <v/>
      </c>
      <c r="GN11" s="36" t="str">
        <f t="shared" si="82"/>
        <v/>
      </c>
      <c r="GO11" s="36" t="str">
        <f t="shared" si="83"/>
        <v/>
      </c>
      <c r="GP11" s="36" t="str">
        <f t="shared" si="84"/>
        <v/>
      </c>
      <c r="GQ11" s="36" t="str">
        <f t="shared" si="85"/>
        <v/>
      </c>
      <c r="GR11" s="36" t="str">
        <f t="shared" si="86"/>
        <v/>
      </c>
      <c r="GS11" s="16">
        <v>7.8</v>
      </c>
      <c r="GT11" s="16">
        <v>9.3000000000000007</v>
      </c>
      <c r="GU11" s="16">
        <v>13.3</v>
      </c>
      <c r="GV11" s="16">
        <v>14.66</v>
      </c>
      <c r="GW11" s="16">
        <v>0</v>
      </c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>
        <v>8.02</v>
      </c>
      <c r="HI11" s="16">
        <v>9.35</v>
      </c>
      <c r="HJ11" s="16">
        <v>13.3</v>
      </c>
      <c r="HK11" s="16">
        <v>17.440000000000001</v>
      </c>
      <c r="HL11" s="16">
        <v>0</v>
      </c>
      <c r="HM11" s="11">
        <f t="shared" si="87"/>
        <v>13.3</v>
      </c>
      <c r="HN11" s="11">
        <f t="shared" si="88"/>
        <v>14.66</v>
      </c>
      <c r="HO11" s="11">
        <f t="shared" si="89"/>
        <v>45.06</v>
      </c>
      <c r="HP11" s="11" t="str">
        <f t="shared" si="90"/>
        <v/>
      </c>
      <c r="HQ11" s="11" t="str">
        <f t="shared" si="91"/>
        <v/>
      </c>
      <c r="HR11" s="11" t="str">
        <f t="shared" si="92"/>
        <v/>
      </c>
      <c r="HS11" s="11">
        <f t="shared" si="93"/>
        <v>45.06</v>
      </c>
      <c r="HT11" s="11" t="str">
        <f t="shared" si="94"/>
        <v/>
      </c>
      <c r="HU11" s="11" t="str">
        <f t="shared" si="95"/>
        <v/>
      </c>
      <c r="HV11" s="11" t="str">
        <f t="shared" si="96"/>
        <v/>
      </c>
      <c r="HW11" s="11">
        <f t="shared" si="97"/>
        <v>13.3</v>
      </c>
      <c r="HX11" s="11">
        <f t="shared" si="98"/>
        <v>17.440000000000001</v>
      </c>
      <c r="HY11" s="11">
        <f t="shared" si="99"/>
        <v>48.11</v>
      </c>
      <c r="HZ11" s="11">
        <f t="shared" si="100"/>
        <v>93.17</v>
      </c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36" t="str">
        <f t="shared" si="101"/>
        <v/>
      </c>
      <c r="IV11" s="36" t="str">
        <f t="shared" si="102"/>
        <v/>
      </c>
      <c r="IW11" s="36" t="str">
        <f t="shared" si="103"/>
        <v/>
      </c>
      <c r="IX11" s="36" t="str">
        <f t="shared" si="104"/>
        <v/>
      </c>
      <c r="IY11" s="36" t="str">
        <f t="shared" si="105"/>
        <v/>
      </c>
      <c r="IZ11" s="36" t="str">
        <f t="shared" si="106"/>
        <v/>
      </c>
      <c r="JA11" s="36" t="str">
        <f t="shared" si="107"/>
        <v/>
      </c>
      <c r="JB11" s="36" t="str">
        <f t="shared" si="108"/>
        <v/>
      </c>
      <c r="JC11" s="36" t="str">
        <f t="shared" si="109"/>
        <v/>
      </c>
      <c r="JD11" s="36" t="str">
        <f t="shared" si="110"/>
        <v/>
      </c>
      <c r="JE11" s="36" t="str">
        <f t="shared" si="111"/>
        <v/>
      </c>
      <c r="JF11" s="36" t="str">
        <f t="shared" si="112"/>
        <v/>
      </c>
      <c r="JG11" s="36" t="str">
        <f t="shared" si="113"/>
        <v/>
      </c>
      <c r="JH11" s="36" t="str">
        <f t="shared" si="114"/>
        <v/>
      </c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1" t="str">
        <f t="shared" si="115"/>
        <v/>
      </c>
      <c r="KD11" s="11" t="str">
        <f t="shared" si="116"/>
        <v/>
      </c>
      <c r="KE11" s="11" t="str">
        <f t="shared" si="117"/>
        <v/>
      </c>
      <c r="KF11" s="11" t="str">
        <f t="shared" si="118"/>
        <v/>
      </c>
      <c r="KG11" s="11" t="str">
        <f t="shared" si="119"/>
        <v/>
      </c>
      <c r="KH11" s="11" t="str">
        <f t="shared" si="120"/>
        <v/>
      </c>
      <c r="KI11" s="11" t="str">
        <f t="shared" si="121"/>
        <v/>
      </c>
      <c r="KJ11" s="11" t="str">
        <f t="shared" si="122"/>
        <v/>
      </c>
      <c r="KK11" s="11" t="str">
        <f t="shared" si="123"/>
        <v/>
      </c>
      <c r="KL11" s="11" t="str">
        <f t="shared" si="124"/>
        <v/>
      </c>
      <c r="KM11" s="11" t="str">
        <f t="shared" si="125"/>
        <v/>
      </c>
      <c r="KN11" s="11" t="str">
        <f t="shared" si="126"/>
        <v/>
      </c>
      <c r="KO11" s="11" t="str">
        <f t="shared" si="127"/>
        <v/>
      </c>
      <c r="KP11" s="11" t="str">
        <f t="shared" si="128"/>
        <v/>
      </c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36" t="str">
        <f t="shared" si="129"/>
        <v/>
      </c>
      <c r="LL11" s="36" t="str">
        <f t="shared" si="130"/>
        <v/>
      </c>
      <c r="LM11" s="36" t="str">
        <f t="shared" si="131"/>
        <v/>
      </c>
      <c r="LN11" s="36" t="str">
        <f t="shared" si="132"/>
        <v/>
      </c>
      <c r="LO11" s="36" t="str">
        <f t="shared" si="133"/>
        <v/>
      </c>
      <c r="LP11" s="36" t="str">
        <f t="shared" si="134"/>
        <v/>
      </c>
      <c r="LQ11" s="36" t="str">
        <f t="shared" si="135"/>
        <v/>
      </c>
      <c r="LR11" s="36" t="str">
        <f t="shared" si="136"/>
        <v/>
      </c>
      <c r="LS11" s="36" t="str">
        <f t="shared" si="137"/>
        <v/>
      </c>
      <c r="LT11" s="36" t="str">
        <f t="shared" si="138"/>
        <v/>
      </c>
      <c r="LU11" s="36" t="str">
        <f t="shared" si="139"/>
        <v/>
      </c>
      <c r="LV11" s="36" t="str">
        <f t="shared" si="140"/>
        <v/>
      </c>
      <c r="LW11" s="36" t="str">
        <f t="shared" si="141"/>
        <v/>
      </c>
      <c r="LX11" s="36" t="str">
        <f t="shared" si="142"/>
        <v/>
      </c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1" t="str">
        <f t="shared" si="143"/>
        <v/>
      </c>
      <c r="MT11" s="11" t="str">
        <f t="shared" si="144"/>
        <v/>
      </c>
      <c r="MU11" s="11" t="str">
        <f t="shared" si="145"/>
        <v/>
      </c>
      <c r="MV11" s="11" t="str">
        <f t="shared" si="146"/>
        <v/>
      </c>
      <c r="MW11" s="11" t="str">
        <f t="shared" si="147"/>
        <v/>
      </c>
      <c r="MX11" s="11" t="str">
        <f t="shared" si="148"/>
        <v/>
      </c>
      <c r="MY11" s="11" t="str">
        <f t="shared" si="149"/>
        <v/>
      </c>
      <c r="MZ11" s="11" t="str">
        <f t="shared" si="150"/>
        <v/>
      </c>
      <c r="NA11" s="11" t="str">
        <f t="shared" si="151"/>
        <v/>
      </c>
      <c r="NB11" s="11" t="str">
        <f t="shared" si="152"/>
        <v/>
      </c>
      <c r="NC11" s="11" t="str">
        <f t="shared" si="153"/>
        <v/>
      </c>
      <c r="ND11" s="11" t="str">
        <f t="shared" si="154"/>
        <v/>
      </c>
      <c r="NE11" s="11" t="str">
        <f t="shared" si="155"/>
        <v/>
      </c>
      <c r="NF11" s="11" t="str">
        <f t="shared" si="156"/>
        <v/>
      </c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36" t="str">
        <f t="shared" si="157"/>
        <v/>
      </c>
      <c r="OB11" s="36" t="str">
        <f t="shared" si="158"/>
        <v/>
      </c>
      <c r="OC11" s="36" t="str">
        <f t="shared" si="159"/>
        <v/>
      </c>
      <c r="OD11" s="36" t="str">
        <f t="shared" si="160"/>
        <v/>
      </c>
      <c r="OE11" s="36" t="str">
        <f t="shared" si="161"/>
        <v/>
      </c>
      <c r="OF11" s="36" t="str">
        <f t="shared" si="162"/>
        <v/>
      </c>
      <c r="OG11" s="36" t="str">
        <f t="shared" si="163"/>
        <v/>
      </c>
      <c r="OH11" s="36" t="str">
        <f t="shared" si="164"/>
        <v/>
      </c>
      <c r="OI11" s="36" t="str">
        <f t="shared" si="165"/>
        <v/>
      </c>
      <c r="OJ11" s="36" t="str">
        <f t="shared" si="166"/>
        <v/>
      </c>
      <c r="OK11" s="36" t="str">
        <f t="shared" si="167"/>
        <v/>
      </c>
      <c r="OL11" s="36" t="str">
        <f t="shared" si="168"/>
        <v/>
      </c>
      <c r="OM11" s="36" t="str">
        <f t="shared" si="169"/>
        <v/>
      </c>
      <c r="ON11" s="36" t="str">
        <f t="shared" si="170"/>
        <v/>
      </c>
      <c r="OO11" s="16"/>
      <c r="OP11" s="16"/>
      <c r="OQ11" s="16"/>
      <c r="OR11" s="16"/>
      <c r="OS11" s="16"/>
      <c r="OT11" s="16"/>
      <c r="OU11" s="16"/>
      <c r="OV11" s="16"/>
      <c r="OW11" s="16"/>
      <c r="OX11" s="16"/>
      <c r="OY11" s="16"/>
      <c r="OZ11" s="16"/>
      <c r="PA11" s="16"/>
      <c r="PB11" s="16"/>
      <c r="PC11" s="16"/>
      <c r="PD11" s="16"/>
      <c r="PE11" s="16"/>
      <c r="PF11" s="16"/>
      <c r="PG11" s="16"/>
      <c r="PH11" s="16"/>
      <c r="PI11" s="11" t="str">
        <f t="shared" si="171"/>
        <v/>
      </c>
      <c r="PJ11" s="11" t="str">
        <f t="shared" si="172"/>
        <v/>
      </c>
      <c r="PK11" s="11" t="str">
        <f t="shared" si="173"/>
        <v/>
      </c>
      <c r="PL11" s="11" t="str">
        <f t="shared" si="174"/>
        <v/>
      </c>
      <c r="PM11" s="11" t="str">
        <f t="shared" si="175"/>
        <v/>
      </c>
      <c r="PN11" s="11" t="str">
        <f t="shared" si="176"/>
        <v/>
      </c>
      <c r="PO11" s="11" t="str">
        <f t="shared" si="177"/>
        <v/>
      </c>
      <c r="PP11" s="11" t="str">
        <f t="shared" si="178"/>
        <v/>
      </c>
      <c r="PQ11" s="11" t="str">
        <f t="shared" si="179"/>
        <v/>
      </c>
      <c r="PR11" s="11" t="str">
        <f t="shared" si="180"/>
        <v/>
      </c>
      <c r="PS11" s="11" t="str">
        <f t="shared" si="181"/>
        <v/>
      </c>
      <c r="PT11" s="11" t="str">
        <f t="shared" si="182"/>
        <v/>
      </c>
      <c r="PU11" s="11" t="str">
        <f t="shared" si="183"/>
        <v/>
      </c>
      <c r="PV11" s="11" t="str">
        <f t="shared" si="184"/>
        <v/>
      </c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36" t="str">
        <f t="shared" si="185"/>
        <v/>
      </c>
      <c r="QR11" s="36" t="str">
        <f t="shared" si="186"/>
        <v/>
      </c>
      <c r="QS11" s="36" t="str">
        <f t="shared" si="187"/>
        <v/>
      </c>
      <c r="QT11" s="36" t="str">
        <f t="shared" si="188"/>
        <v/>
      </c>
      <c r="QU11" s="36" t="str">
        <f t="shared" si="189"/>
        <v/>
      </c>
      <c r="QV11" s="36" t="str">
        <f t="shared" si="190"/>
        <v/>
      </c>
      <c r="QW11" s="36" t="str">
        <f t="shared" si="191"/>
        <v/>
      </c>
      <c r="QX11" s="36" t="str">
        <f t="shared" si="192"/>
        <v/>
      </c>
      <c r="QY11" s="36" t="str">
        <f t="shared" si="193"/>
        <v/>
      </c>
      <c r="QZ11" s="36" t="str">
        <f t="shared" si="194"/>
        <v/>
      </c>
      <c r="RA11" s="36" t="str">
        <f t="shared" si="195"/>
        <v/>
      </c>
      <c r="RB11" s="36" t="str">
        <f t="shared" si="196"/>
        <v/>
      </c>
      <c r="RC11" s="36" t="str">
        <f t="shared" si="197"/>
        <v/>
      </c>
      <c r="RD11" s="36" t="str">
        <f t="shared" si="198"/>
        <v/>
      </c>
      <c r="RE11" s="16"/>
      <c r="RF11" s="16"/>
      <c r="RG11" s="16"/>
      <c r="RH11" s="16"/>
      <c r="RI11" s="16"/>
      <c r="RJ11" s="16"/>
      <c r="RK11" s="16"/>
      <c r="RL11" s="16"/>
      <c r="RM11" s="16"/>
      <c r="RN11" s="16"/>
      <c r="RO11" s="16"/>
      <c r="RP11" s="16"/>
      <c r="RQ11" s="16"/>
      <c r="RR11" s="16"/>
      <c r="RS11" s="16"/>
      <c r="RT11" s="16"/>
      <c r="RU11" s="16"/>
      <c r="RV11" s="16"/>
      <c r="RW11" s="16"/>
      <c r="RX11" s="16"/>
      <c r="RY11" s="11" t="str">
        <f t="shared" si="199"/>
        <v/>
      </c>
      <c r="RZ11" s="11" t="str">
        <f t="shared" si="200"/>
        <v/>
      </c>
      <c r="SA11" s="11" t="str">
        <f t="shared" si="201"/>
        <v/>
      </c>
      <c r="SB11" s="11" t="str">
        <f t="shared" si="202"/>
        <v/>
      </c>
      <c r="SC11" s="11" t="str">
        <f t="shared" si="203"/>
        <v/>
      </c>
      <c r="SD11" s="11" t="str">
        <f t="shared" si="204"/>
        <v/>
      </c>
      <c r="SE11" s="11" t="str">
        <f t="shared" si="205"/>
        <v/>
      </c>
      <c r="SF11" s="11" t="str">
        <f t="shared" si="206"/>
        <v/>
      </c>
      <c r="SG11" s="11" t="str">
        <f t="shared" si="207"/>
        <v/>
      </c>
      <c r="SH11" s="11" t="str">
        <f t="shared" si="208"/>
        <v/>
      </c>
      <c r="SI11" s="11" t="str">
        <f t="shared" si="209"/>
        <v/>
      </c>
      <c r="SJ11" s="11" t="str">
        <f t="shared" si="210"/>
        <v/>
      </c>
      <c r="SK11" s="11" t="str">
        <f t="shared" si="211"/>
        <v/>
      </c>
      <c r="SL11" s="11" t="str">
        <f t="shared" si="212"/>
        <v/>
      </c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36" t="str">
        <f t="shared" si="213"/>
        <v/>
      </c>
      <c r="TH11" s="36" t="str">
        <f t="shared" si="214"/>
        <v/>
      </c>
      <c r="TI11" s="36" t="str">
        <f t="shared" si="215"/>
        <v/>
      </c>
      <c r="TJ11" s="36" t="str">
        <f t="shared" si="216"/>
        <v/>
      </c>
      <c r="TK11" s="36" t="str">
        <f t="shared" si="217"/>
        <v/>
      </c>
      <c r="TL11" s="36" t="str">
        <f t="shared" si="218"/>
        <v/>
      </c>
      <c r="TM11" s="36" t="str">
        <f t="shared" si="219"/>
        <v/>
      </c>
      <c r="TN11" s="36" t="str">
        <f t="shared" si="220"/>
        <v/>
      </c>
      <c r="TO11" s="36" t="str">
        <f t="shared" si="221"/>
        <v/>
      </c>
      <c r="TP11" s="36" t="str">
        <f t="shared" si="222"/>
        <v/>
      </c>
      <c r="TQ11" s="36" t="str">
        <f t="shared" si="223"/>
        <v/>
      </c>
      <c r="TR11" s="36" t="str">
        <f t="shared" si="224"/>
        <v/>
      </c>
      <c r="TS11" s="36" t="str">
        <f t="shared" si="225"/>
        <v/>
      </c>
      <c r="TT11" s="36" t="str">
        <f t="shared" si="226"/>
        <v/>
      </c>
      <c r="TU11" s="16"/>
      <c r="TV11" s="16"/>
      <c r="TW11" s="16"/>
      <c r="TX11" s="16"/>
      <c r="TY11" s="16"/>
      <c r="TZ11" s="16"/>
      <c r="UA11" s="16"/>
      <c r="UB11" s="16"/>
      <c r="UC11" s="16"/>
      <c r="UD11" s="16"/>
      <c r="UE11" s="16"/>
      <c r="UF11" s="16"/>
      <c r="UG11" s="16"/>
      <c r="UH11" s="16"/>
      <c r="UI11" s="16"/>
      <c r="UJ11" s="16"/>
      <c r="UK11" s="16"/>
      <c r="UL11" s="16"/>
      <c r="UM11" s="16"/>
      <c r="UN11" s="16"/>
      <c r="UO11" s="11" t="str">
        <f t="shared" si="227"/>
        <v/>
      </c>
      <c r="UP11" s="11" t="str">
        <f t="shared" si="228"/>
        <v/>
      </c>
      <c r="UQ11" s="11" t="str">
        <f t="shared" si="229"/>
        <v/>
      </c>
      <c r="UR11" s="11" t="str">
        <f t="shared" si="230"/>
        <v/>
      </c>
      <c r="US11" s="11" t="str">
        <f t="shared" si="231"/>
        <v/>
      </c>
      <c r="UT11" s="11" t="str">
        <f t="shared" si="232"/>
        <v/>
      </c>
      <c r="UU11" s="11" t="str">
        <f t="shared" si="233"/>
        <v/>
      </c>
      <c r="UV11" s="11" t="str">
        <f t="shared" si="234"/>
        <v/>
      </c>
      <c r="UW11" s="11" t="str">
        <f t="shared" si="235"/>
        <v/>
      </c>
      <c r="UX11" s="11" t="str">
        <f t="shared" si="236"/>
        <v/>
      </c>
      <c r="UY11" s="11" t="str">
        <f t="shared" si="237"/>
        <v/>
      </c>
      <c r="UZ11" s="11" t="str">
        <f t="shared" si="238"/>
        <v/>
      </c>
      <c r="VA11" s="11" t="str">
        <f t="shared" si="239"/>
        <v/>
      </c>
      <c r="VB11" s="11" t="str">
        <f t="shared" si="240"/>
        <v/>
      </c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36" t="str">
        <f t="shared" si="241"/>
        <v/>
      </c>
      <c r="VX11" s="36" t="str">
        <f t="shared" si="242"/>
        <v/>
      </c>
      <c r="VY11" s="36" t="str">
        <f t="shared" si="243"/>
        <v/>
      </c>
      <c r="VZ11" s="36" t="str">
        <f t="shared" si="244"/>
        <v/>
      </c>
      <c r="WA11" s="36" t="str">
        <f t="shared" si="245"/>
        <v/>
      </c>
      <c r="WB11" s="36" t="str">
        <f t="shared" si="246"/>
        <v/>
      </c>
      <c r="WC11" s="36" t="str">
        <f t="shared" si="247"/>
        <v/>
      </c>
      <c r="WD11" s="36" t="str">
        <f t="shared" si="248"/>
        <v/>
      </c>
      <c r="WE11" s="36" t="str">
        <f t="shared" si="249"/>
        <v/>
      </c>
      <c r="WF11" s="36" t="str">
        <f t="shared" si="250"/>
        <v/>
      </c>
      <c r="WG11" s="36" t="str">
        <f t="shared" si="251"/>
        <v/>
      </c>
      <c r="WH11" s="36" t="str">
        <f t="shared" si="252"/>
        <v/>
      </c>
      <c r="WI11" s="36" t="str">
        <f t="shared" si="253"/>
        <v/>
      </c>
      <c r="WJ11" s="36" t="str">
        <f t="shared" si="254"/>
        <v/>
      </c>
    </row>
    <row r="12" spans="1:608" x14ac:dyDescent="0.2">
      <c r="A12" s="4" t="str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/>
      </c>
      <c r="B12" s="5" t="s">
        <v>156</v>
      </c>
      <c r="C12" s="4" t="s">
        <v>155</v>
      </c>
      <c r="D12" s="4" t="s">
        <v>154</v>
      </c>
      <c r="E12" s="9">
        <f t="shared" si="0"/>
        <v>47.72</v>
      </c>
      <c r="F12" s="3" t="str">
        <f t="shared" si="1"/>
        <v/>
      </c>
      <c r="G12" s="3" t="str">
        <f t="shared" si="2"/>
        <v/>
      </c>
      <c r="H12" s="32" t="str">
        <f t="shared" si="3"/>
        <v/>
      </c>
      <c r="I12" s="3" t="str">
        <f t="shared" si="4"/>
        <v/>
      </c>
      <c r="J12" s="8">
        <f t="shared" si="5"/>
        <v>0</v>
      </c>
      <c r="K12" s="8" t="str">
        <f t="shared" si="6"/>
        <v/>
      </c>
      <c r="L12" s="8">
        <f>IFERROR(LARGE((AI12,AL12,AP12,BJ12,BM12,BQ12,CK12,CN12,CR12),2),0)</f>
        <v>0</v>
      </c>
      <c r="M12" s="8" t="str">
        <f t="shared" si="7"/>
        <v/>
      </c>
      <c r="N12" s="8">
        <f t="shared" si="8"/>
        <v>47.72</v>
      </c>
      <c r="O12" s="11" t="str">
        <f t="shared" si="9"/>
        <v>(Any)</v>
      </c>
      <c r="P12" s="8" t="str">
        <f t="shared" si="10"/>
        <v>2025 World Cup GER (Sept 21)</v>
      </c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23"/>
      <c r="AG12" s="34" t="str">
        <f t="shared" si="11"/>
        <v/>
      </c>
      <c r="AH12" s="34" t="str">
        <f t="shared" si="12"/>
        <v/>
      </c>
      <c r="AI12" s="36" t="str">
        <f t="shared" si="13"/>
        <v/>
      </c>
      <c r="AJ12" s="36" t="str">
        <f t="shared" si="14"/>
        <v/>
      </c>
      <c r="AK12" s="36" t="str">
        <f t="shared" si="15"/>
        <v/>
      </c>
      <c r="AL12" s="36" t="str">
        <f t="shared" si="16"/>
        <v/>
      </c>
      <c r="AM12" s="36" t="str">
        <f t="shared" si="17"/>
        <v/>
      </c>
      <c r="AN12" s="36" t="str">
        <f t="shared" si="18"/>
        <v/>
      </c>
      <c r="AO12" s="36" t="str">
        <f t="shared" si="19"/>
        <v/>
      </c>
      <c r="AP12" s="36" t="str">
        <f t="shared" si="20"/>
        <v/>
      </c>
      <c r="AQ12" s="36" t="str">
        <f t="shared" si="21"/>
        <v/>
      </c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4"/>
      <c r="BH12" s="35" t="str">
        <f t="shared" si="22"/>
        <v/>
      </c>
      <c r="BI12" s="35" t="str">
        <f t="shared" si="23"/>
        <v/>
      </c>
      <c r="BJ12" s="11" t="str">
        <f t="shared" si="24"/>
        <v/>
      </c>
      <c r="BK12" s="11" t="str">
        <f t="shared" si="25"/>
        <v/>
      </c>
      <c r="BL12" s="11" t="str">
        <f t="shared" si="26"/>
        <v/>
      </c>
      <c r="BM12" s="11" t="str">
        <f t="shared" si="27"/>
        <v/>
      </c>
      <c r="BN12" s="11" t="str">
        <f t="shared" si="28"/>
        <v/>
      </c>
      <c r="BO12" s="11" t="str">
        <f t="shared" si="29"/>
        <v/>
      </c>
      <c r="BP12" s="11" t="str">
        <f t="shared" si="30"/>
        <v/>
      </c>
      <c r="BQ12" s="11" t="str">
        <f t="shared" si="31"/>
        <v/>
      </c>
      <c r="BR12" s="11" t="str">
        <f t="shared" si="32"/>
        <v/>
      </c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23"/>
      <c r="CI12" s="34" t="str">
        <f t="shared" si="33"/>
        <v/>
      </c>
      <c r="CJ12" s="34" t="str">
        <f t="shared" si="34"/>
        <v/>
      </c>
      <c r="CK12" s="36" t="str">
        <f t="shared" si="35"/>
        <v/>
      </c>
      <c r="CL12" s="36" t="str">
        <f t="shared" si="36"/>
        <v/>
      </c>
      <c r="CM12" s="36" t="str">
        <f t="shared" si="37"/>
        <v/>
      </c>
      <c r="CN12" s="36" t="str">
        <f t="shared" si="38"/>
        <v/>
      </c>
      <c r="CO12" s="36" t="str">
        <f t="shared" si="39"/>
        <v/>
      </c>
      <c r="CP12" s="36" t="str">
        <f t="shared" si="40"/>
        <v/>
      </c>
      <c r="CQ12" s="36" t="str">
        <f t="shared" si="41"/>
        <v/>
      </c>
      <c r="CR12" s="36" t="str">
        <f t="shared" si="42"/>
        <v/>
      </c>
      <c r="CS12" s="36" t="str">
        <f t="shared" si="43"/>
        <v/>
      </c>
      <c r="CT12" s="47">
        <f t="shared" si="44"/>
        <v>47.72</v>
      </c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36" t="str">
        <f t="shared" si="45"/>
        <v/>
      </c>
      <c r="DP12" s="36" t="str">
        <f t="shared" si="46"/>
        <v/>
      </c>
      <c r="DQ12" s="36" t="str">
        <f t="shared" si="47"/>
        <v/>
      </c>
      <c r="DR12" s="36" t="str">
        <f t="shared" si="48"/>
        <v/>
      </c>
      <c r="DS12" s="36" t="str">
        <f t="shared" si="49"/>
        <v/>
      </c>
      <c r="DT12" s="36" t="str">
        <f t="shared" si="50"/>
        <v/>
      </c>
      <c r="DU12" s="36" t="str">
        <f t="shared" si="51"/>
        <v/>
      </c>
      <c r="DV12" s="36" t="str">
        <f t="shared" si="52"/>
        <v/>
      </c>
      <c r="DW12" s="36" t="str">
        <f t="shared" si="53"/>
        <v/>
      </c>
      <c r="DX12" s="36" t="str">
        <f t="shared" si="54"/>
        <v/>
      </c>
      <c r="DY12" s="36" t="str">
        <f t="shared" si="55"/>
        <v/>
      </c>
      <c r="DZ12" s="36" t="str">
        <f t="shared" si="56"/>
        <v/>
      </c>
      <c r="EA12" s="36" t="str">
        <f t="shared" si="57"/>
        <v/>
      </c>
      <c r="EB12" s="36" t="str">
        <f t="shared" si="58"/>
        <v/>
      </c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1" t="str">
        <f t="shared" si="59"/>
        <v/>
      </c>
      <c r="EX12" s="11" t="str">
        <f t="shared" si="60"/>
        <v/>
      </c>
      <c r="EY12" s="11" t="str">
        <f t="shared" si="61"/>
        <v/>
      </c>
      <c r="EZ12" s="11" t="str">
        <f t="shared" si="62"/>
        <v/>
      </c>
      <c r="FA12" s="11" t="str">
        <f t="shared" si="63"/>
        <v/>
      </c>
      <c r="FB12" s="11" t="str">
        <f t="shared" si="64"/>
        <v/>
      </c>
      <c r="FC12" s="11" t="str">
        <f t="shared" si="65"/>
        <v/>
      </c>
      <c r="FD12" s="11" t="str">
        <f t="shared" si="66"/>
        <v/>
      </c>
      <c r="FE12" s="11" t="str">
        <f t="shared" si="67"/>
        <v/>
      </c>
      <c r="FF12" s="11" t="str">
        <f t="shared" si="68"/>
        <v/>
      </c>
      <c r="FG12" s="11" t="str">
        <f t="shared" si="69"/>
        <v/>
      </c>
      <c r="FH12" s="11" t="str">
        <f t="shared" si="70"/>
        <v/>
      </c>
      <c r="FI12" s="11" t="str">
        <f t="shared" si="71"/>
        <v/>
      </c>
      <c r="FJ12" s="11" t="str">
        <f t="shared" si="72"/>
        <v/>
      </c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36" t="str">
        <f t="shared" si="73"/>
        <v/>
      </c>
      <c r="GF12" s="36" t="str">
        <f t="shared" si="74"/>
        <v/>
      </c>
      <c r="GG12" s="36" t="str">
        <f t="shared" si="75"/>
        <v/>
      </c>
      <c r="GH12" s="36" t="str">
        <f t="shared" si="76"/>
        <v/>
      </c>
      <c r="GI12" s="36" t="str">
        <f t="shared" si="77"/>
        <v/>
      </c>
      <c r="GJ12" s="36" t="str">
        <f t="shared" si="78"/>
        <v/>
      </c>
      <c r="GK12" s="36" t="str">
        <f t="shared" si="79"/>
        <v/>
      </c>
      <c r="GL12" s="36" t="str">
        <f t="shared" si="80"/>
        <v/>
      </c>
      <c r="GM12" s="36" t="str">
        <f t="shared" si="81"/>
        <v/>
      </c>
      <c r="GN12" s="36" t="str">
        <f t="shared" si="82"/>
        <v/>
      </c>
      <c r="GO12" s="36" t="str">
        <f t="shared" si="83"/>
        <v/>
      </c>
      <c r="GP12" s="36" t="str">
        <f t="shared" si="84"/>
        <v/>
      </c>
      <c r="GQ12" s="36" t="str">
        <f t="shared" si="85"/>
        <v/>
      </c>
      <c r="GR12" s="36" t="str">
        <f t="shared" si="86"/>
        <v/>
      </c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1" t="str">
        <f t="shared" si="87"/>
        <v/>
      </c>
      <c r="HN12" s="11" t="str">
        <f t="shared" si="88"/>
        <v/>
      </c>
      <c r="HO12" s="11" t="str">
        <f t="shared" si="89"/>
        <v/>
      </c>
      <c r="HP12" s="11" t="str">
        <f t="shared" si="90"/>
        <v/>
      </c>
      <c r="HQ12" s="11" t="str">
        <f t="shared" si="91"/>
        <v/>
      </c>
      <c r="HR12" s="11" t="str">
        <f t="shared" si="92"/>
        <v/>
      </c>
      <c r="HS12" s="11" t="str">
        <f t="shared" si="93"/>
        <v/>
      </c>
      <c r="HT12" s="11" t="str">
        <f t="shared" si="94"/>
        <v/>
      </c>
      <c r="HU12" s="11" t="str">
        <f t="shared" si="95"/>
        <v/>
      </c>
      <c r="HV12" s="11" t="str">
        <f t="shared" si="96"/>
        <v/>
      </c>
      <c r="HW12" s="11" t="str">
        <f t="shared" si="97"/>
        <v/>
      </c>
      <c r="HX12" s="11" t="str">
        <f t="shared" si="98"/>
        <v/>
      </c>
      <c r="HY12" s="11" t="str">
        <f t="shared" si="99"/>
        <v/>
      </c>
      <c r="HZ12" s="11" t="str">
        <f t="shared" si="100"/>
        <v/>
      </c>
      <c r="IA12" s="15">
        <v>4.7</v>
      </c>
      <c r="IB12" s="15">
        <v>5.45</v>
      </c>
      <c r="IC12" s="15">
        <v>7.6</v>
      </c>
      <c r="ID12" s="15">
        <v>10.68</v>
      </c>
      <c r="IE12" s="15">
        <v>0</v>
      </c>
      <c r="IF12" s="15">
        <v>8.3000000000000007</v>
      </c>
      <c r="IG12" s="15">
        <v>9.3000000000000007</v>
      </c>
      <c r="IH12" s="15">
        <v>13.2</v>
      </c>
      <c r="II12" s="15">
        <v>16.920000000000002</v>
      </c>
      <c r="IJ12" s="15">
        <v>0</v>
      </c>
      <c r="IK12" s="15"/>
      <c r="IL12" s="15"/>
      <c r="IM12" s="15"/>
      <c r="IN12" s="15"/>
      <c r="IO12" s="15"/>
      <c r="IP12" s="15">
        <v>0.85</v>
      </c>
      <c r="IQ12" s="15">
        <v>0.95</v>
      </c>
      <c r="IR12" s="15">
        <v>2</v>
      </c>
      <c r="IS12" s="15">
        <v>1.76</v>
      </c>
      <c r="IT12" s="15">
        <v>0</v>
      </c>
      <c r="IU12" s="36">
        <f t="shared" si="101"/>
        <v>7.6</v>
      </c>
      <c r="IV12" s="36">
        <f t="shared" si="102"/>
        <v>10.68</v>
      </c>
      <c r="IW12" s="36">
        <f t="shared" si="103"/>
        <v>28.43</v>
      </c>
      <c r="IX12" s="36">
        <f t="shared" si="104"/>
        <v>13.2</v>
      </c>
      <c r="IY12" s="36">
        <f t="shared" si="105"/>
        <v>16.920000000000002</v>
      </c>
      <c r="IZ12" s="36">
        <f t="shared" si="106"/>
        <v>47.72</v>
      </c>
      <c r="JA12" s="36">
        <f t="shared" si="107"/>
        <v>47.72</v>
      </c>
      <c r="JB12" s="36" t="str">
        <f t="shared" si="108"/>
        <v/>
      </c>
      <c r="JC12" s="36" t="str">
        <f t="shared" si="109"/>
        <v/>
      </c>
      <c r="JD12" s="36" t="str">
        <f t="shared" si="110"/>
        <v/>
      </c>
      <c r="JE12" s="36">
        <f t="shared" si="111"/>
        <v>2</v>
      </c>
      <c r="JF12" s="36">
        <f t="shared" si="112"/>
        <v>1.76</v>
      </c>
      <c r="JG12" s="36">
        <f t="shared" si="113"/>
        <v>5.56</v>
      </c>
      <c r="JH12" s="36">
        <f t="shared" si="114"/>
        <v>53.28</v>
      </c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1" t="str">
        <f t="shared" si="115"/>
        <v/>
      </c>
      <c r="KD12" s="11" t="str">
        <f t="shared" si="116"/>
        <v/>
      </c>
      <c r="KE12" s="11" t="str">
        <f t="shared" si="117"/>
        <v/>
      </c>
      <c r="KF12" s="11" t="str">
        <f t="shared" si="118"/>
        <v/>
      </c>
      <c r="KG12" s="11" t="str">
        <f t="shared" si="119"/>
        <v/>
      </c>
      <c r="KH12" s="11" t="str">
        <f t="shared" si="120"/>
        <v/>
      </c>
      <c r="KI12" s="11" t="str">
        <f t="shared" si="121"/>
        <v/>
      </c>
      <c r="KJ12" s="11" t="str">
        <f t="shared" si="122"/>
        <v/>
      </c>
      <c r="KK12" s="11" t="str">
        <f t="shared" si="123"/>
        <v/>
      </c>
      <c r="KL12" s="11" t="str">
        <f t="shared" si="124"/>
        <v/>
      </c>
      <c r="KM12" s="11" t="str">
        <f t="shared" si="125"/>
        <v/>
      </c>
      <c r="KN12" s="11" t="str">
        <f t="shared" si="126"/>
        <v/>
      </c>
      <c r="KO12" s="11" t="str">
        <f t="shared" si="127"/>
        <v/>
      </c>
      <c r="KP12" s="11" t="str">
        <f t="shared" si="128"/>
        <v/>
      </c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36" t="str">
        <f t="shared" si="129"/>
        <v/>
      </c>
      <c r="LL12" s="36" t="str">
        <f t="shared" si="130"/>
        <v/>
      </c>
      <c r="LM12" s="36" t="str">
        <f t="shared" si="131"/>
        <v/>
      </c>
      <c r="LN12" s="36" t="str">
        <f t="shared" si="132"/>
        <v/>
      </c>
      <c r="LO12" s="36" t="str">
        <f t="shared" si="133"/>
        <v/>
      </c>
      <c r="LP12" s="36" t="str">
        <f t="shared" si="134"/>
        <v/>
      </c>
      <c r="LQ12" s="36" t="str">
        <f t="shared" si="135"/>
        <v/>
      </c>
      <c r="LR12" s="36" t="str">
        <f t="shared" si="136"/>
        <v/>
      </c>
      <c r="LS12" s="36" t="str">
        <f t="shared" si="137"/>
        <v/>
      </c>
      <c r="LT12" s="36" t="str">
        <f t="shared" si="138"/>
        <v/>
      </c>
      <c r="LU12" s="36" t="str">
        <f t="shared" si="139"/>
        <v/>
      </c>
      <c r="LV12" s="36" t="str">
        <f t="shared" si="140"/>
        <v/>
      </c>
      <c r="LW12" s="36" t="str">
        <f t="shared" si="141"/>
        <v/>
      </c>
      <c r="LX12" s="36" t="str">
        <f t="shared" si="142"/>
        <v/>
      </c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1" t="str">
        <f t="shared" si="143"/>
        <v/>
      </c>
      <c r="MT12" s="11" t="str">
        <f t="shared" si="144"/>
        <v/>
      </c>
      <c r="MU12" s="11" t="str">
        <f t="shared" si="145"/>
        <v/>
      </c>
      <c r="MV12" s="11" t="str">
        <f t="shared" si="146"/>
        <v/>
      </c>
      <c r="MW12" s="11" t="str">
        <f t="shared" si="147"/>
        <v/>
      </c>
      <c r="MX12" s="11" t="str">
        <f t="shared" si="148"/>
        <v/>
      </c>
      <c r="MY12" s="11" t="str">
        <f t="shared" si="149"/>
        <v/>
      </c>
      <c r="MZ12" s="11" t="str">
        <f t="shared" si="150"/>
        <v/>
      </c>
      <c r="NA12" s="11" t="str">
        <f t="shared" si="151"/>
        <v/>
      </c>
      <c r="NB12" s="11" t="str">
        <f t="shared" si="152"/>
        <v/>
      </c>
      <c r="NC12" s="11" t="str">
        <f t="shared" si="153"/>
        <v/>
      </c>
      <c r="ND12" s="11" t="str">
        <f t="shared" si="154"/>
        <v/>
      </c>
      <c r="NE12" s="11" t="str">
        <f t="shared" si="155"/>
        <v/>
      </c>
      <c r="NF12" s="11" t="str">
        <f t="shared" si="156"/>
        <v/>
      </c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36" t="str">
        <f t="shared" si="157"/>
        <v/>
      </c>
      <c r="OB12" s="36" t="str">
        <f t="shared" si="158"/>
        <v/>
      </c>
      <c r="OC12" s="36" t="str">
        <f t="shared" si="159"/>
        <v/>
      </c>
      <c r="OD12" s="36" t="str">
        <f t="shared" si="160"/>
        <v/>
      </c>
      <c r="OE12" s="36" t="str">
        <f t="shared" si="161"/>
        <v/>
      </c>
      <c r="OF12" s="36" t="str">
        <f t="shared" si="162"/>
        <v/>
      </c>
      <c r="OG12" s="36" t="str">
        <f t="shared" si="163"/>
        <v/>
      </c>
      <c r="OH12" s="36" t="str">
        <f t="shared" si="164"/>
        <v/>
      </c>
      <c r="OI12" s="36" t="str">
        <f t="shared" si="165"/>
        <v/>
      </c>
      <c r="OJ12" s="36" t="str">
        <f t="shared" si="166"/>
        <v/>
      </c>
      <c r="OK12" s="36" t="str">
        <f t="shared" si="167"/>
        <v/>
      </c>
      <c r="OL12" s="36" t="str">
        <f t="shared" si="168"/>
        <v/>
      </c>
      <c r="OM12" s="36" t="str">
        <f t="shared" si="169"/>
        <v/>
      </c>
      <c r="ON12" s="36" t="str">
        <f t="shared" si="170"/>
        <v/>
      </c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1" t="str">
        <f t="shared" si="171"/>
        <v/>
      </c>
      <c r="PJ12" s="11" t="str">
        <f t="shared" si="172"/>
        <v/>
      </c>
      <c r="PK12" s="11" t="str">
        <f t="shared" si="173"/>
        <v/>
      </c>
      <c r="PL12" s="11" t="str">
        <f t="shared" si="174"/>
        <v/>
      </c>
      <c r="PM12" s="11" t="str">
        <f t="shared" si="175"/>
        <v/>
      </c>
      <c r="PN12" s="11" t="str">
        <f t="shared" si="176"/>
        <v/>
      </c>
      <c r="PO12" s="11" t="str">
        <f t="shared" si="177"/>
        <v/>
      </c>
      <c r="PP12" s="11" t="str">
        <f t="shared" si="178"/>
        <v/>
      </c>
      <c r="PQ12" s="11" t="str">
        <f t="shared" si="179"/>
        <v/>
      </c>
      <c r="PR12" s="11" t="str">
        <f t="shared" si="180"/>
        <v/>
      </c>
      <c r="PS12" s="11" t="str">
        <f t="shared" si="181"/>
        <v/>
      </c>
      <c r="PT12" s="11" t="str">
        <f t="shared" si="182"/>
        <v/>
      </c>
      <c r="PU12" s="11" t="str">
        <f t="shared" si="183"/>
        <v/>
      </c>
      <c r="PV12" s="11" t="str">
        <f t="shared" si="184"/>
        <v/>
      </c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36" t="str">
        <f t="shared" si="185"/>
        <v/>
      </c>
      <c r="QR12" s="36" t="str">
        <f t="shared" si="186"/>
        <v/>
      </c>
      <c r="QS12" s="36" t="str">
        <f t="shared" si="187"/>
        <v/>
      </c>
      <c r="QT12" s="36" t="str">
        <f t="shared" si="188"/>
        <v/>
      </c>
      <c r="QU12" s="36" t="str">
        <f t="shared" si="189"/>
        <v/>
      </c>
      <c r="QV12" s="36" t="str">
        <f t="shared" si="190"/>
        <v/>
      </c>
      <c r="QW12" s="36" t="str">
        <f t="shared" si="191"/>
        <v/>
      </c>
      <c r="QX12" s="36" t="str">
        <f t="shared" si="192"/>
        <v/>
      </c>
      <c r="QY12" s="36" t="str">
        <f t="shared" si="193"/>
        <v/>
      </c>
      <c r="QZ12" s="36" t="str">
        <f t="shared" si="194"/>
        <v/>
      </c>
      <c r="RA12" s="36" t="str">
        <f t="shared" si="195"/>
        <v/>
      </c>
      <c r="RB12" s="36" t="str">
        <f t="shared" si="196"/>
        <v/>
      </c>
      <c r="RC12" s="36" t="str">
        <f t="shared" si="197"/>
        <v/>
      </c>
      <c r="RD12" s="36" t="str">
        <f t="shared" si="198"/>
        <v/>
      </c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1" t="str">
        <f t="shared" si="199"/>
        <v/>
      </c>
      <c r="RZ12" s="11" t="str">
        <f t="shared" si="200"/>
        <v/>
      </c>
      <c r="SA12" s="11" t="str">
        <f t="shared" si="201"/>
        <v/>
      </c>
      <c r="SB12" s="11" t="str">
        <f t="shared" si="202"/>
        <v/>
      </c>
      <c r="SC12" s="11" t="str">
        <f t="shared" si="203"/>
        <v/>
      </c>
      <c r="SD12" s="11" t="str">
        <f t="shared" si="204"/>
        <v/>
      </c>
      <c r="SE12" s="11" t="str">
        <f t="shared" si="205"/>
        <v/>
      </c>
      <c r="SF12" s="11" t="str">
        <f t="shared" si="206"/>
        <v/>
      </c>
      <c r="SG12" s="11" t="str">
        <f t="shared" si="207"/>
        <v/>
      </c>
      <c r="SH12" s="11" t="str">
        <f t="shared" si="208"/>
        <v/>
      </c>
      <c r="SI12" s="11" t="str">
        <f t="shared" si="209"/>
        <v/>
      </c>
      <c r="SJ12" s="11" t="str">
        <f t="shared" si="210"/>
        <v/>
      </c>
      <c r="SK12" s="11" t="str">
        <f t="shared" si="211"/>
        <v/>
      </c>
      <c r="SL12" s="11" t="str">
        <f t="shared" si="212"/>
        <v/>
      </c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36" t="str">
        <f t="shared" si="213"/>
        <v/>
      </c>
      <c r="TH12" s="36" t="str">
        <f t="shared" si="214"/>
        <v/>
      </c>
      <c r="TI12" s="36" t="str">
        <f t="shared" si="215"/>
        <v/>
      </c>
      <c r="TJ12" s="36" t="str">
        <f t="shared" si="216"/>
        <v/>
      </c>
      <c r="TK12" s="36" t="str">
        <f t="shared" si="217"/>
        <v/>
      </c>
      <c r="TL12" s="36" t="str">
        <f t="shared" si="218"/>
        <v/>
      </c>
      <c r="TM12" s="36" t="str">
        <f t="shared" si="219"/>
        <v/>
      </c>
      <c r="TN12" s="36" t="str">
        <f t="shared" si="220"/>
        <v/>
      </c>
      <c r="TO12" s="36" t="str">
        <f t="shared" si="221"/>
        <v/>
      </c>
      <c r="TP12" s="36" t="str">
        <f t="shared" si="222"/>
        <v/>
      </c>
      <c r="TQ12" s="36" t="str">
        <f t="shared" si="223"/>
        <v/>
      </c>
      <c r="TR12" s="36" t="str">
        <f t="shared" si="224"/>
        <v/>
      </c>
      <c r="TS12" s="36" t="str">
        <f t="shared" si="225"/>
        <v/>
      </c>
      <c r="TT12" s="36" t="str">
        <f t="shared" si="226"/>
        <v/>
      </c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1" t="str">
        <f t="shared" si="227"/>
        <v/>
      </c>
      <c r="UP12" s="11" t="str">
        <f t="shared" si="228"/>
        <v/>
      </c>
      <c r="UQ12" s="11" t="str">
        <f t="shared" si="229"/>
        <v/>
      </c>
      <c r="UR12" s="11" t="str">
        <f t="shared" si="230"/>
        <v/>
      </c>
      <c r="US12" s="11" t="str">
        <f t="shared" si="231"/>
        <v/>
      </c>
      <c r="UT12" s="11" t="str">
        <f t="shared" si="232"/>
        <v/>
      </c>
      <c r="UU12" s="11" t="str">
        <f t="shared" si="233"/>
        <v/>
      </c>
      <c r="UV12" s="11" t="str">
        <f t="shared" si="234"/>
        <v/>
      </c>
      <c r="UW12" s="11" t="str">
        <f t="shared" si="235"/>
        <v/>
      </c>
      <c r="UX12" s="11" t="str">
        <f t="shared" si="236"/>
        <v/>
      </c>
      <c r="UY12" s="11" t="str">
        <f t="shared" si="237"/>
        <v/>
      </c>
      <c r="UZ12" s="11" t="str">
        <f t="shared" si="238"/>
        <v/>
      </c>
      <c r="VA12" s="11" t="str">
        <f t="shared" si="239"/>
        <v/>
      </c>
      <c r="VB12" s="11" t="str">
        <f t="shared" si="240"/>
        <v/>
      </c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36" t="str">
        <f t="shared" si="241"/>
        <v/>
      </c>
      <c r="VX12" s="36" t="str">
        <f t="shared" si="242"/>
        <v/>
      </c>
      <c r="VY12" s="36" t="str">
        <f t="shared" si="243"/>
        <v/>
      </c>
      <c r="VZ12" s="36" t="str">
        <f t="shared" si="244"/>
        <v/>
      </c>
      <c r="WA12" s="36" t="str">
        <f t="shared" si="245"/>
        <v/>
      </c>
      <c r="WB12" s="36" t="str">
        <f t="shared" si="246"/>
        <v/>
      </c>
      <c r="WC12" s="36" t="str">
        <f t="shared" si="247"/>
        <v/>
      </c>
      <c r="WD12" s="36" t="str">
        <f t="shared" si="248"/>
        <v/>
      </c>
      <c r="WE12" s="36" t="str">
        <f t="shared" si="249"/>
        <v/>
      </c>
      <c r="WF12" s="36" t="str">
        <f t="shared" si="250"/>
        <v/>
      </c>
      <c r="WG12" s="36" t="str">
        <f t="shared" si="251"/>
        <v/>
      </c>
      <c r="WH12" s="36" t="str">
        <f t="shared" si="252"/>
        <v/>
      </c>
      <c r="WI12" s="36" t="str">
        <f t="shared" si="253"/>
        <v/>
      </c>
      <c r="WJ12" s="36" t="str">
        <f t="shared" si="254"/>
        <v/>
      </c>
    </row>
    <row r="13" spans="1:608" x14ac:dyDescent="0.2">
      <c r="A13" s="4" t="str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/>
      </c>
      <c r="B13" s="5" t="s">
        <v>173</v>
      </c>
      <c r="C13" s="4" t="s">
        <v>172</v>
      </c>
      <c r="D13" s="4" t="s">
        <v>170</v>
      </c>
      <c r="E13" s="9">
        <f t="shared" si="0"/>
        <v>42.86</v>
      </c>
      <c r="F13" s="3" t="str">
        <f t="shared" si="1"/>
        <v/>
      </c>
      <c r="G13" s="3" t="str">
        <f t="shared" si="2"/>
        <v/>
      </c>
      <c r="H13" s="32" t="str">
        <f t="shared" si="3"/>
        <v/>
      </c>
      <c r="I13" s="3" t="str">
        <f t="shared" si="4"/>
        <v/>
      </c>
      <c r="J13" s="8">
        <f t="shared" si="5"/>
        <v>0</v>
      </c>
      <c r="K13" s="8" t="str">
        <f t="shared" si="6"/>
        <v/>
      </c>
      <c r="L13" s="8">
        <f>IFERROR(LARGE((AI13,AL13,AP13,BJ13,BM13,BQ13,CK13,CN13,CR13),2),0)</f>
        <v>0</v>
      </c>
      <c r="M13" s="8" t="str">
        <f t="shared" si="7"/>
        <v/>
      </c>
      <c r="N13" s="8">
        <f t="shared" si="8"/>
        <v>42.86</v>
      </c>
      <c r="O13" s="11" t="str">
        <f t="shared" si="9"/>
        <v>(Any)</v>
      </c>
      <c r="P13" s="8" t="str">
        <f t="shared" si="10"/>
        <v>2025 WAGC (Nov 16)</v>
      </c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23"/>
      <c r="AG13" s="34" t="str">
        <f t="shared" si="11"/>
        <v/>
      </c>
      <c r="AH13" s="34" t="str">
        <f t="shared" si="12"/>
        <v/>
      </c>
      <c r="AI13" s="36" t="str">
        <f t="shared" si="13"/>
        <v/>
      </c>
      <c r="AJ13" s="36" t="str">
        <f t="shared" si="14"/>
        <v/>
      </c>
      <c r="AK13" s="36" t="str">
        <f t="shared" si="15"/>
        <v/>
      </c>
      <c r="AL13" s="36" t="str">
        <f t="shared" si="16"/>
        <v/>
      </c>
      <c r="AM13" s="36" t="str">
        <f t="shared" si="17"/>
        <v/>
      </c>
      <c r="AN13" s="36" t="str">
        <f t="shared" si="18"/>
        <v/>
      </c>
      <c r="AO13" s="36" t="str">
        <f t="shared" si="19"/>
        <v/>
      </c>
      <c r="AP13" s="36" t="str">
        <f t="shared" si="20"/>
        <v/>
      </c>
      <c r="AQ13" s="36" t="str">
        <f t="shared" si="21"/>
        <v/>
      </c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4"/>
      <c r="BH13" s="35" t="str">
        <f t="shared" si="22"/>
        <v/>
      </c>
      <c r="BI13" s="35" t="str">
        <f t="shared" si="23"/>
        <v/>
      </c>
      <c r="BJ13" s="11" t="str">
        <f t="shared" si="24"/>
        <v/>
      </c>
      <c r="BK13" s="11" t="str">
        <f t="shared" si="25"/>
        <v/>
      </c>
      <c r="BL13" s="11" t="str">
        <f t="shared" si="26"/>
        <v/>
      </c>
      <c r="BM13" s="11" t="str">
        <f t="shared" si="27"/>
        <v/>
      </c>
      <c r="BN13" s="11" t="str">
        <f t="shared" si="28"/>
        <v/>
      </c>
      <c r="BO13" s="11" t="str">
        <f t="shared" si="29"/>
        <v/>
      </c>
      <c r="BP13" s="11" t="str">
        <f t="shared" si="30"/>
        <v/>
      </c>
      <c r="BQ13" s="11" t="str">
        <f t="shared" si="31"/>
        <v/>
      </c>
      <c r="BR13" s="11" t="str">
        <f t="shared" si="32"/>
        <v/>
      </c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23"/>
      <c r="CI13" s="34" t="str">
        <f t="shared" si="33"/>
        <v/>
      </c>
      <c r="CJ13" s="34" t="str">
        <f t="shared" si="34"/>
        <v/>
      </c>
      <c r="CK13" s="36" t="str">
        <f t="shared" si="35"/>
        <v/>
      </c>
      <c r="CL13" s="36" t="str">
        <f t="shared" si="36"/>
        <v/>
      </c>
      <c r="CM13" s="36" t="str">
        <f t="shared" si="37"/>
        <v/>
      </c>
      <c r="CN13" s="36" t="str">
        <f t="shared" si="38"/>
        <v/>
      </c>
      <c r="CO13" s="36" t="str">
        <f t="shared" si="39"/>
        <v/>
      </c>
      <c r="CP13" s="36" t="str">
        <f t="shared" si="40"/>
        <v/>
      </c>
      <c r="CQ13" s="36" t="str">
        <f t="shared" si="41"/>
        <v/>
      </c>
      <c r="CR13" s="36" t="str">
        <f t="shared" si="42"/>
        <v/>
      </c>
      <c r="CS13" s="36" t="str">
        <f t="shared" si="43"/>
        <v/>
      </c>
      <c r="CT13" s="47">
        <f t="shared" si="44"/>
        <v>42.86</v>
      </c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36" t="str">
        <f t="shared" si="45"/>
        <v/>
      </c>
      <c r="DP13" s="36" t="str">
        <f t="shared" si="46"/>
        <v/>
      </c>
      <c r="DQ13" s="36" t="str">
        <f t="shared" si="47"/>
        <v/>
      </c>
      <c r="DR13" s="36" t="str">
        <f t="shared" si="48"/>
        <v/>
      </c>
      <c r="DS13" s="36" t="str">
        <f t="shared" si="49"/>
        <v/>
      </c>
      <c r="DT13" s="36" t="str">
        <f t="shared" si="50"/>
        <v/>
      </c>
      <c r="DU13" s="36" t="str">
        <f t="shared" si="51"/>
        <v/>
      </c>
      <c r="DV13" s="36" t="str">
        <f t="shared" si="52"/>
        <v/>
      </c>
      <c r="DW13" s="36" t="str">
        <f t="shared" si="53"/>
        <v/>
      </c>
      <c r="DX13" s="36" t="str">
        <f t="shared" si="54"/>
        <v/>
      </c>
      <c r="DY13" s="36" t="str">
        <f t="shared" si="55"/>
        <v/>
      </c>
      <c r="DZ13" s="36" t="str">
        <f t="shared" si="56"/>
        <v/>
      </c>
      <c r="EA13" s="36" t="str">
        <f t="shared" si="57"/>
        <v/>
      </c>
      <c r="EB13" s="36" t="str">
        <f t="shared" si="58"/>
        <v/>
      </c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1" t="str">
        <f t="shared" si="59"/>
        <v/>
      </c>
      <c r="EX13" s="11" t="str">
        <f t="shared" si="60"/>
        <v/>
      </c>
      <c r="EY13" s="11" t="str">
        <f t="shared" si="61"/>
        <v/>
      </c>
      <c r="EZ13" s="11" t="str">
        <f t="shared" si="62"/>
        <v/>
      </c>
      <c r="FA13" s="11" t="str">
        <f t="shared" si="63"/>
        <v/>
      </c>
      <c r="FB13" s="11" t="str">
        <f t="shared" si="64"/>
        <v/>
      </c>
      <c r="FC13" s="11" t="str">
        <f t="shared" si="65"/>
        <v/>
      </c>
      <c r="FD13" s="11" t="str">
        <f t="shared" si="66"/>
        <v/>
      </c>
      <c r="FE13" s="11" t="str">
        <f t="shared" si="67"/>
        <v/>
      </c>
      <c r="FF13" s="11" t="str">
        <f t="shared" si="68"/>
        <v/>
      </c>
      <c r="FG13" s="11" t="str">
        <f t="shared" si="69"/>
        <v/>
      </c>
      <c r="FH13" s="11" t="str">
        <f t="shared" si="70"/>
        <v/>
      </c>
      <c r="FI13" s="11" t="str">
        <f t="shared" si="71"/>
        <v/>
      </c>
      <c r="FJ13" s="11" t="str">
        <f t="shared" si="72"/>
        <v/>
      </c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36" t="str">
        <f t="shared" si="73"/>
        <v/>
      </c>
      <c r="GF13" s="36" t="str">
        <f t="shared" si="74"/>
        <v/>
      </c>
      <c r="GG13" s="36" t="str">
        <f t="shared" si="75"/>
        <v/>
      </c>
      <c r="GH13" s="36" t="str">
        <f t="shared" si="76"/>
        <v/>
      </c>
      <c r="GI13" s="36" t="str">
        <f t="shared" si="77"/>
        <v/>
      </c>
      <c r="GJ13" s="36" t="str">
        <f t="shared" si="78"/>
        <v/>
      </c>
      <c r="GK13" s="36" t="str">
        <f t="shared" si="79"/>
        <v/>
      </c>
      <c r="GL13" s="36" t="str">
        <f t="shared" si="80"/>
        <v/>
      </c>
      <c r="GM13" s="36" t="str">
        <f t="shared" si="81"/>
        <v/>
      </c>
      <c r="GN13" s="36" t="str">
        <f t="shared" si="82"/>
        <v/>
      </c>
      <c r="GO13" s="36" t="str">
        <f t="shared" si="83"/>
        <v/>
      </c>
      <c r="GP13" s="36" t="str">
        <f t="shared" si="84"/>
        <v/>
      </c>
      <c r="GQ13" s="36" t="str">
        <f t="shared" si="85"/>
        <v/>
      </c>
      <c r="GR13" s="36" t="str">
        <f t="shared" si="86"/>
        <v/>
      </c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1" t="str">
        <f t="shared" si="87"/>
        <v/>
      </c>
      <c r="HN13" s="11" t="str">
        <f t="shared" si="88"/>
        <v/>
      </c>
      <c r="HO13" s="11" t="str">
        <f t="shared" si="89"/>
        <v/>
      </c>
      <c r="HP13" s="11" t="str">
        <f t="shared" si="90"/>
        <v/>
      </c>
      <c r="HQ13" s="11" t="str">
        <f t="shared" si="91"/>
        <v/>
      </c>
      <c r="HR13" s="11" t="str">
        <f t="shared" si="92"/>
        <v/>
      </c>
      <c r="HS13" s="11" t="str">
        <f t="shared" si="93"/>
        <v/>
      </c>
      <c r="HT13" s="11" t="str">
        <f t="shared" si="94"/>
        <v/>
      </c>
      <c r="HU13" s="11" t="str">
        <f t="shared" si="95"/>
        <v/>
      </c>
      <c r="HV13" s="11" t="str">
        <f t="shared" si="96"/>
        <v/>
      </c>
      <c r="HW13" s="11" t="str">
        <f t="shared" si="97"/>
        <v/>
      </c>
      <c r="HX13" s="11" t="str">
        <f t="shared" si="98"/>
        <v/>
      </c>
      <c r="HY13" s="11" t="str">
        <f t="shared" si="99"/>
        <v/>
      </c>
      <c r="HZ13" s="11" t="str">
        <f t="shared" si="100"/>
        <v/>
      </c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36" t="str">
        <f t="shared" si="101"/>
        <v/>
      </c>
      <c r="IV13" s="36" t="str">
        <f t="shared" si="102"/>
        <v/>
      </c>
      <c r="IW13" s="36" t="str">
        <f t="shared" si="103"/>
        <v/>
      </c>
      <c r="IX13" s="36" t="str">
        <f t="shared" si="104"/>
        <v/>
      </c>
      <c r="IY13" s="36" t="str">
        <f t="shared" si="105"/>
        <v/>
      </c>
      <c r="IZ13" s="36" t="str">
        <f t="shared" si="106"/>
        <v/>
      </c>
      <c r="JA13" s="36" t="str">
        <f t="shared" si="107"/>
        <v/>
      </c>
      <c r="JB13" s="36" t="str">
        <f t="shared" si="108"/>
        <v/>
      </c>
      <c r="JC13" s="36" t="str">
        <f t="shared" si="109"/>
        <v/>
      </c>
      <c r="JD13" s="36" t="str">
        <f t="shared" si="110"/>
        <v/>
      </c>
      <c r="JE13" s="36" t="str">
        <f t="shared" si="111"/>
        <v/>
      </c>
      <c r="JF13" s="36" t="str">
        <f t="shared" si="112"/>
        <v/>
      </c>
      <c r="JG13" s="36" t="str">
        <f t="shared" si="113"/>
        <v/>
      </c>
      <c r="JH13" s="36" t="str">
        <f t="shared" si="114"/>
        <v/>
      </c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1" t="str">
        <f t="shared" si="115"/>
        <v/>
      </c>
      <c r="KD13" s="11" t="str">
        <f t="shared" si="116"/>
        <v/>
      </c>
      <c r="KE13" s="11" t="str">
        <f t="shared" si="117"/>
        <v/>
      </c>
      <c r="KF13" s="11" t="str">
        <f t="shared" si="118"/>
        <v/>
      </c>
      <c r="KG13" s="11" t="str">
        <f t="shared" si="119"/>
        <v/>
      </c>
      <c r="KH13" s="11" t="str">
        <f t="shared" si="120"/>
        <v/>
      </c>
      <c r="KI13" s="11" t="str">
        <f t="shared" si="121"/>
        <v/>
      </c>
      <c r="KJ13" s="11" t="str">
        <f t="shared" si="122"/>
        <v/>
      </c>
      <c r="KK13" s="11" t="str">
        <f t="shared" si="123"/>
        <v/>
      </c>
      <c r="KL13" s="11" t="str">
        <f t="shared" si="124"/>
        <v/>
      </c>
      <c r="KM13" s="11" t="str">
        <f t="shared" si="125"/>
        <v/>
      </c>
      <c r="KN13" s="11" t="str">
        <f t="shared" si="126"/>
        <v/>
      </c>
      <c r="KO13" s="11" t="str">
        <f t="shared" si="127"/>
        <v/>
      </c>
      <c r="KP13" s="11" t="str">
        <f t="shared" si="128"/>
        <v/>
      </c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36" t="str">
        <f t="shared" si="129"/>
        <v/>
      </c>
      <c r="LL13" s="36" t="str">
        <f t="shared" si="130"/>
        <v/>
      </c>
      <c r="LM13" s="36" t="str">
        <f t="shared" si="131"/>
        <v/>
      </c>
      <c r="LN13" s="36" t="str">
        <f t="shared" si="132"/>
        <v/>
      </c>
      <c r="LO13" s="36" t="str">
        <f t="shared" si="133"/>
        <v/>
      </c>
      <c r="LP13" s="36" t="str">
        <f t="shared" si="134"/>
        <v/>
      </c>
      <c r="LQ13" s="36" t="str">
        <f t="shared" si="135"/>
        <v/>
      </c>
      <c r="LR13" s="36" t="str">
        <f t="shared" si="136"/>
        <v/>
      </c>
      <c r="LS13" s="36" t="str">
        <f t="shared" si="137"/>
        <v/>
      </c>
      <c r="LT13" s="36" t="str">
        <f t="shared" si="138"/>
        <v/>
      </c>
      <c r="LU13" s="36" t="str">
        <f t="shared" si="139"/>
        <v/>
      </c>
      <c r="LV13" s="36" t="str">
        <f t="shared" si="140"/>
        <v/>
      </c>
      <c r="LW13" s="36" t="str">
        <f t="shared" si="141"/>
        <v/>
      </c>
      <c r="LX13" s="36" t="str">
        <f t="shared" si="142"/>
        <v/>
      </c>
      <c r="LY13" s="16">
        <v>7.6</v>
      </c>
      <c r="LZ13" s="16">
        <v>9.1999999999999993</v>
      </c>
      <c r="MA13" s="16">
        <v>12.7</v>
      </c>
      <c r="MB13" s="16">
        <v>13.36</v>
      </c>
      <c r="MC13" s="16">
        <v>0</v>
      </c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1">
        <f t="shared" si="143"/>
        <v>12.7</v>
      </c>
      <c r="MT13" s="11">
        <f t="shared" si="144"/>
        <v>13.36</v>
      </c>
      <c r="MU13" s="11">
        <f t="shared" si="145"/>
        <v>42.86</v>
      </c>
      <c r="MV13" s="11" t="str">
        <f t="shared" si="146"/>
        <v/>
      </c>
      <c r="MW13" s="11" t="str">
        <f t="shared" si="147"/>
        <v/>
      </c>
      <c r="MX13" s="11" t="str">
        <f t="shared" si="148"/>
        <v/>
      </c>
      <c r="MY13" s="11">
        <f t="shared" si="149"/>
        <v>42.86</v>
      </c>
      <c r="MZ13" s="11" t="str">
        <f t="shared" si="150"/>
        <v/>
      </c>
      <c r="NA13" s="11" t="str">
        <f t="shared" si="151"/>
        <v/>
      </c>
      <c r="NB13" s="11" t="str">
        <f t="shared" si="152"/>
        <v/>
      </c>
      <c r="NC13" s="11" t="str">
        <f t="shared" si="153"/>
        <v/>
      </c>
      <c r="ND13" s="11" t="str">
        <f t="shared" si="154"/>
        <v/>
      </c>
      <c r="NE13" s="11" t="str">
        <f t="shared" si="155"/>
        <v/>
      </c>
      <c r="NF13" s="11">
        <f t="shared" si="156"/>
        <v>42.86</v>
      </c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36" t="str">
        <f t="shared" si="157"/>
        <v/>
      </c>
      <c r="OB13" s="36" t="str">
        <f t="shared" si="158"/>
        <v/>
      </c>
      <c r="OC13" s="36" t="str">
        <f t="shared" si="159"/>
        <v/>
      </c>
      <c r="OD13" s="36" t="str">
        <f t="shared" si="160"/>
        <v/>
      </c>
      <c r="OE13" s="36" t="str">
        <f t="shared" si="161"/>
        <v/>
      </c>
      <c r="OF13" s="36" t="str">
        <f t="shared" si="162"/>
        <v/>
      </c>
      <c r="OG13" s="36" t="str">
        <f t="shared" si="163"/>
        <v/>
      </c>
      <c r="OH13" s="36" t="str">
        <f t="shared" si="164"/>
        <v/>
      </c>
      <c r="OI13" s="36" t="str">
        <f t="shared" si="165"/>
        <v/>
      </c>
      <c r="OJ13" s="36" t="str">
        <f t="shared" si="166"/>
        <v/>
      </c>
      <c r="OK13" s="36" t="str">
        <f t="shared" si="167"/>
        <v/>
      </c>
      <c r="OL13" s="36" t="str">
        <f t="shared" si="168"/>
        <v/>
      </c>
      <c r="OM13" s="36" t="str">
        <f t="shared" si="169"/>
        <v/>
      </c>
      <c r="ON13" s="36" t="str">
        <f t="shared" si="170"/>
        <v/>
      </c>
      <c r="OO13" s="16"/>
      <c r="OP13" s="16"/>
      <c r="OQ13" s="16"/>
      <c r="OR13" s="16"/>
      <c r="OS13" s="16"/>
      <c r="OT13" s="16"/>
      <c r="OU13" s="16"/>
      <c r="OV13" s="16"/>
      <c r="OW13" s="16"/>
      <c r="OX13" s="16"/>
      <c r="OY13" s="16"/>
      <c r="OZ13" s="16"/>
      <c r="PA13" s="16"/>
      <c r="PB13" s="16"/>
      <c r="PC13" s="16"/>
      <c r="PD13" s="16"/>
      <c r="PE13" s="16"/>
      <c r="PF13" s="16"/>
      <c r="PG13" s="16"/>
      <c r="PH13" s="16"/>
      <c r="PI13" s="11" t="str">
        <f t="shared" si="171"/>
        <v/>
      </c>
      <c r="PJ13" s="11" t="str">
        <f t="shared" si="172"/>
        <v/>
      </c>
      <c r="PK13" s="11" t="str">
        <f t="shared" si="173"/>
        <v/>
      </c>
      <c r="PL13" s="11" t="str">
        <f t="shared" si="174"/>
        <v/>
      </c>
      <c r="PM13" s="11" t="str">
        <f t="shared" si="175"/>
        <v/>
      </c>
      <c r="PN13" s="11" t="str">
        <f t="shared" si="176"/>
        <v/>
      </c>
      <c r="PO13" s="11" t="str">
        <f t="shared" si="177"/>
        <v/>
      </c>
      <c r="PP13" s="11" t="str">
        <f t="shared" si="178"/>
        <v/>
      </c>
      <c r="PQ13" s="11" t="str">
        <f t="shared" si="179"/>
        <v/>
      </c>
      <c r="PR13" s="11" t="str">
        <f t="shared" si="180"/>
        <v/>
      </c>
      <c r="PS13" s="11" t="str">
        <f t="shared" si="181"/>
        <v/>
      </c>
      <c r="PT13" s="11" t="str">
        <f t="shared" si="182"/>
        <v/>
      </c>
      <c r="PU13" s="11" t="str">
        <f t="shared" si="183"/>
        <v/>
      </c>
      <c r="PV13" s="11" t="str">
        <f t="shared" si="184"/>
        <v/>
      </c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36" t="str">
        <f t="shared" si="185"/>
        <v/>
      </c>
      <c r="QR13" s="36" t="str">
        <f t="shared" si="186"/>
        <v/>
      </c>
      <c r="QS13" s="36" t="str">
        <f t="shared" si="187"/>
        <v/>
      </c>
      <c r="QT13" s="36" t="str">
        <f t="shared" si="188"/>
        <v/>
      </c>
      <c r="QU13" s="36" t="str">
        <f t="shared" si="189"/>
        <v/>
      </c>
      <c r="QV13" s="36" t="str">
        <f t="shared" si="190"/>
        <v/>
      </c>
      <c r="QW13" s="36" t="str">
        <f t="shared" si="191"/>
        <v/>
      </c>
      <c r="QX13" s="36" t="str">
        <f t="shared" si="192"/>
        <v/>
      </c>
      <c r="QY13" s="36" t="str">
        <f t="shared" si="193"/>
        <v/>
      </c>
      <c r="QZ13" s="36" t="str">
        <f t="shared" si="194"/>
        <v/>
      </c>
      <c r="RA13" s="36" t="str">
        <f t="shared" si="195"/>
        <v/>
      </c>
      <c r="RB13" s="36" t="str">
        <f t="shared" si="196"/>
        <v/>
      </c>
      <c r="RC13" s="36" t="str">
        <f t="shared" si="197"/>
        <v/>
      </c>
      <c r="RD13" s="36" t="str">
        <f t="shared" si="198"/>
        <v/>
      </c>
      <c r="RE13" s="16"/>
      <c r="RF13" s="16"/>
      <c r="RG13" s="16"/>
      <c r="RH13" s="16"/>
      <c r="RI13" s="16"/>
      <c r="RJ13" s="16"/>
      <c r="RK13" s="16"/>
      <c r="RL13" s="16"/>
      <c r="RM13" s="16"/>
      <c r="RN13" s="16"/>
      <c r="RO13" s="16"/>
      <c r="RP13" s="16"/>
      <c r="RQ13" s="16"/>
      <c r="RR13" s="16"/>
      <c r="RS13" s="16"/>
      <c r="RT13" s="16"/>
      <c r="RU13" s="16"/>
      <c r="RV13" s="16"/>
      <c r="RW13" s="16"/>
      <c r="RX13" s="16"/>
      <c r="RY13" s="11" t="str">
        <f t="shared" si="199"/>
        <v/>
      </c>
      <c r="RZ13" s="11" t="str">
        <f t="shared" si="200"/>
        <v/>
      </c>
      <c r="SA13" s="11" t="str">
        <f t="shared" si="201"/>
        <v/>
      </c>
      <c r="SB13" s="11" t="str">
        <f t="shared" si="202"/>
        <v/>
      </c>
      <c r="SC13" s="11" t="str">
        <f t="shared" si="203"/>
        <v/>
      </c>
      <c r="SD13" s="11" t="str">
        <f t="shared" si="204"/>
        <v/>
      </c>
      <c r="SE13" s="11" t="str">
        <f t="shared" si="205"/>
        <v/>
      </c>
      <c r="SF13" s="11" t="str">
        <f t="shared" si="206"/>
        <v/>
      </c>
      <c r="SG13" s="11" t="str">
        <f t="shared" si="207"/>
        <v/>
      </c>
      <c r="SH13" s="11" t="str">
        <f t="shared" si="208"/>
        <v/>
      </c>
      <c r="SI13" s="11" t="str">
        <f t="shared" si="209"/>
        <v/>
      </c>
      <c r="SJ13" s="11" t="str">
        <f t="shared" si="210"/>
        <v/>
      </c>
      <c r="SK13" s="11" t="str">
        <f t="shared" si="211"/>
        <v/>
      </c>
      <c r="SL13" s="11" t="str">
        <f t="shared" si="212"/>
        <v/>
      </c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36" t="str">
        <f t="shared" si="213"/>
        <v/>
      </c>
      <c r="TH13" s="36" t="str">
        <f t="shared" si="214"/>
        <v/>
      </c>
      <c r="TI13" s="36" t="str">
        <f t="shared" si="215"/>
        <v/>
      </c>
      <c r="TJ13" s="36" t="str">
        <f t="shared" si="216"/>
        <v/>
      </c>
      <c r="TK13" s="36" t="str">
        <f t="shared" si="217"/>
        <v/>
      </c>
      <c r="TL13" s="36" t="str">
        <f t="shared" si="218"/>
        <v/>
      </c>
      <c r="TM13" s="36" t="str">
        <f t="shared" si="219"/>
        <v/>
      </c>
      <c r="TN13" s="36" t="str">
        <f t="shared" si="220"/>
        <v/>
      </c>
      <c r="TO13" s="36" t="str">
        <f t="shared" si="221"/>
        <v/>
      </c>
      <c r="TP13" s="36" t="str">
        <f t="shared" si="222"/>
        <v/>
      </c>
      <c r="TQ13" s="36" t="str">
        <f t="shared" si="223"/>
        <v/>
      </c>
      <c r="TR13" s="36" t="str">
        <f t="shared" si="224"/>
        <v/>
      </c>
      <c r="TS13" s="36" t="str">
        <f t="shared" si="225"/>
        <v/>
      </c>
      <c r="TT13" s="36" t="str">
        <f t="shared" si="226"/>
        <v/>
      </c>
      <c r="TU13" s="16"/>
      <c r="TV13" s="16"/>
      <c r="TW13" s="16"/>
      <c r="TX13" s="16"/>
      <c r="TY13" s="16"/>
      <c r="TZ13" s="16"/>
      <c r="UA13" s="16"/>
      <c r="UB13" s="16"/>
      <c r="UC13" s="16"/>
      <c r="UD13" s="16"/>
      <c r="UE13" s="16"/>
      <c r="UF13" s="16"/>
      <c r="UG13" s="16"/>
      <c r="UH13" s="16"/>
      <c r="UI13" s="16"/>
      <c r="UJ13" s="16"/>
      <c r="UK13" s="16"/>
      <c r="UL13" s="16"/>
      <c r="UM13" s="16"/>
      <c r="UN13" s="16"/>
      <c r="UO13" s="11" t="str">
        <f t="shared" si="227"/>
        <v/>
      </c>
      <c r="UP13" s="11" t="str">
        <f t="shared" si="228"/>
        <v/>
      </c>
      <c r="UQ13" s="11" t="str">
        <f t="shared" si="229"/>
        <v/>
      </c>
      <c r="UR13" s="11" t="str">
        <f t="shared" si="230"/>
        <v/>
      </c>
      <c r="US13" s="11" t="str">
        <f t="shared" si="231"/>
        <v/>
      </c>
      <c r="UT13" s="11" t="str">
        <f t="shared" si="232"/>
        <v/>
      </c>
      <c r="UU13" s="11" t="str">
        <f t="shared" si="233"/>
        <v/>
      </c>
      <c r="UV13" s="11" t="str">
        <f t="shared" si="234"/>
        <v/>
      </c>
      <c r="UW13" s="11" t="str">
        <f t="shared" si="235"/>
        <v/>
      </c>
      <c r="UX13" s="11" t="str">
        <f t="shared" si="236"/>
        <v/>
      </c>
      <c r="UY13" s="11" t="str">
        <f t="shared" si="237"/>
        <v/>
      </c>
      <c r="UZ13" s="11" t="str">
        <f t="shared" si="238"/>
        <v/>
      </c>
      <c r="VA13" s="11" t="str">
        <f t="shared" si="239"/>
        <v/>
      </c>
      <c r="VB13" s="11" t="str">
        <f t="shared" si="240"/>
        <v/>
      </c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36" t="str">
        <f t="shared" si="241"/>
        <v/>
      </c>
      <c r="VX13" s="36" t="str">
        <f t="shared" si="242"/>
        <v/>
      </c>
      <c r="VY13" s="36" t="str">
        <f t="shared" si="243"/>
        <v/>
      </c>
      <c r="VZ13" s="36" t="str">
        <f t="shared" si="244"/>
        <v/>
      </c>
      <c r="WA13" s="36" t="str">
        <f t="shared" si="245"/>
        <v/>
      </c>
      <c r="WB13" s="36" t="str">
        <f t="shared" si="246"/>
        <v/>
      </c>
      <c r="WC13" s="36" t="str">
        <f t="shared" si="247"/>
        <v/>
      </c>
      <c r="WD13" s="36" t="str">
        <f t="shared" si="248"/>
        <v/>
      </c>
      <c r="WE13" s="36" t="str">
        <f t="shared" si="249"/>
        <v/>
      </c>
      <c r="WF13" s="36" t="str">
        <f t="shared" si="250"/>
        <v/>
      </c>
      <c r="WG13" s="36" t="str">
        <f t="shared" si="251"/>
        <v/>
      </c>
      <c r="WH13" s="36" t="str">
        <f t="shared" si="252"/>
        <v/>
      </c>
      <c r="WI13" s="36" t="str">
        <f t="shared" si="253"/>
        <v/>
      </c>
      <c r="WJ13" s="36" t="str">
        <f t="shared" si="254"/>
        <v/>
      </c>
    </row>
    <row r="14" spans="1:608" x14ac:dyDescent="0.2">
      <c r="A14" s="4" t="str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/>
      </c>
      <c r="B14" s="5" t="s">
        <v>94</v>
      </c>
      <c r="C14" s="4" t="s">
        <v>7</v>
      </c>
      <c r="D14" s="4" t="s">
        <v>93</v>
      </c>
      <c r="E14" s="9">
        <f t="shared" si="0"/>
        <v>42.2</v>
      </c>
      <c r="F14" s="3" t="str">
        <f t="shared" si="1"/>
        <v/>
      </c>
      <c r="G14" s="3" t="str">
        <f t="shared" si="2"/>
        <v/>
      </c>
      <c r="H14" s="32" t="str">
        <f t="shared" si="3"/>
        <v/>
      </c>
      <c r="I14" s="3" t="str">
        <f t="shared" si="4"/>
        <v/>
      </c>
      <c r="J14" s="8">
        <f t="shared" si="5"/>
        <v>0</v>
      </c>
      <c r="K14" s="8" t="str">
        <f t="shared" si="6"/>
        <v/>
      </c>
      <c r="L14" s="8">
        <f>IFERROR(LARGE((AI14,AL14,AP14,BJ14,BM14,BQ14,CK14,CN14,CR14),2),0)</f>
        <v>0</v>
      </c>
      <c r="M14" s="8" t="str">
        <f t="shared" si="7"/>
        <v/>
      </c>
      <c r="N14" s="8">
        <f t="shared" si="8"/>
        <v>42.2</v>
      </c>
      <c r="O14" s="11" t="str">
        <f t="shared" si="9"/>
        <v>(Any)</v>
      </c>
      <c r="P14" s="8" t="str">
        <f t="shared" si="10"/>
        <v>2025 World Cup ITA (April 5)</v>
      </c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23"/>
      <c r="AG14" s="34" t="str">
        <f t="shared" si="11"/>
        <v/>
      </c>
      <c r="AH14" s="34" t="str">
        <f t="shared" si="12"/>
        <v/>
      </c>
      <c r="AI14" s="36" t="str">
        <f t="shared" si="13"/>
        <v/>
      </c>
      <c r="AJ14" s="36" t="str">
        <f t="shared" si="14"/>
        <v/>
      </c>
      <c r="AK14" s="36" t="str">
        <f t="shared" si="15"/>
        <v/>
      </c>
      <c r="AL14" s="36" t="str">
        <f t="shared" si="16"/>
        <v/>
      </c>
      <c r="AM14" s="36" t="str">
        <f t="shared" si="17"/>
        <v/>
      </c>
      <c r="AN14" s="36" t="str">
        <f t="shared" si="18"/>
        <v/>
      </c>
      <c r="AO14" s="36" t="str">
        <f t="shared" si="19"/>
        <v/>
      </c>
      <c r="AP14" s="36" t="str">
        <f t="shared" si="20"/>
        <v/>
      </c>
      <c r="AQ14" s="36" t="str">
        <f t="shared" si="21"/>
        <v/>
      </c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4"/>
      <c r="BH14" s="35" t="str">
        <f t="shared" si="22"/>
        <v/>
      </c>
      <c r="BI14" s="35" t="str">
        <f t="shared" si="23"/>
        <v/>
      </c>
      <c r="BJ14" s="11" t="str">
        <f t="shared" si="24"/>
        <v/>
      </c>
      <c r="BK14" s="11" t="str">
        <f t="shared" si="25"/>
        <v/>
      </c>
      <c r="BL14" s="11" t="str">
        <f t="shared" si="26"/>
        <v/>
      </c>
      <c r="BM14" s="11" t="str">
        <f t="shared" si="27"/>
        <v/>
      </c>
      <c r="BN14" s="11" t="str">
        <f t="shared" si="28"/>
        <v/>
      </c>
      <c r="BO14" s="11" t="str">
        <f t="shared" si="29"/>
        <v/>
      </c>
      <c r="BP14" s="11" t="str">
        <f t="shared" si="30"/>
        <v/>
      </c>
      <c r="BQ14" s="11" t="str">
        <f t="shared" si="31"/>
        <v/>
      </c>
      <c r="BR14" s="11" t="str">
        <f t="shared" si="32"/>
        <v/>
      </c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23"/>
      <c r="CI14" s="34" t="str">
        <f t="shared" si="33"/>
        <v/>
      </c>
      <c r="CJ14" s="34" t="str">
        <f t="shared" si="34"/>
        <v/>
      </c>
      <c r="CK14" s="36" t="str">
        <f t="shared" si="35"/>
        <v/>
      </c>
      <c r="CL14" s="36" t="str">
        <f t="shared" si="36"/>
        <v/>
      </c>
      <c r="CM14" s="36" t="str">
        <f t="shared" si="37"/>
        <v/>
      </c>
      <c r="CN14" s="36" t="str">
        <f t="shared" si="38"/>
        <v/>
      </c>
      <c r="CO14" s="36" t="str">
        <f t="shared" si="39"/>
        <v/>
      </c>
      <c r="CP14" s="36" t="str">
        <f t="shared" si="40"/>
        <v/>
      </c>
      <c r="CQ14" s="36" t="str">
        <f t="shared" si="41"/>
        <v/>
      </c>
      <c r="CR14" s="36" t="str">
        <f t="shared" si="42"/>
        <v/>
      </c>
      <c r="CS14" s="36" t="str">
        <f t="shared" si="43"/>
        <v/>
      </c>
      <c r="CT14" s="47">
        <f t="shared" si="44"/>
        <v>42.2</v>
      </c>
      <c r="CU14" s="15">
        <v>6.6</v>
      </c>
      <c r="CV14" s="15">
        <v>8.3000000000000007</v>
      </c>
      <c r="CW14" s="15">
        <v>12.6</v>
      </c>
      <c r="CX14" s="15">
        <v>14.7</v>
      </c>
      <c r="CY14" s="15">
        <v>0</v>
      </c>
      <c r="CZ14" s="15">
        <v>2.15</v>
      </c>
      <c r="DA14" s="15">
        <v>2.8</v>
      </c>
      <c r="DB14" s="15">
        <v>4.8</v>
      </c>
      <c r="DC14" s="15">
        <v>4.96</v>
      </c>
      <c r="DD14" s="15">
        <v>0</v>
      </c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36">
        <f t="shared" si="45"/>
        <v>12.6</v>
      </c>
      <c r="DP14" s="36">
        <f t="shared" si="46"/>
        <v>14.7</v>
      </c>
      <c r="DQ14" s="36">
        <f t="shared" si="47"/>
        <v>42.2</v>
      </c>
      <c r="DR14" s="36">
        <f t="shared" si="48"/>
        <v>4.8</v>
      </c>
      <c r="DS14" s="36">
        <f t="shared" si="49"/>
        <v>4.96</v>
      </c>
      <c r="DT14" s="36">
        <f t="shared" si="50"/>
        <v>14.71</v>
      </c>
      <c r="DU14" s="36">
        <f t="shared" si="51"/>
        <v>42.2</v>
      </c>
      <c r="DV14" s="36" t="str">
        <f t="shared" si="52"/>
        <v/>
      </c>
      <c r="DW14" s="36" t="str">
        <f t="shared" si="53"/>
        <v/>
      </c>
      <c r="DX14" s="36" t="str">
        <f t="shared" si="54"/>
        <v/>
      </c>
      <c r="DY14" s="36" t="str">
        <f t="shared" si="55"/>
        <v/>
      </c>
      <c r="DZ14" s="36" t="str">
        <f t="shared" si="56"/>
        <v/>
      </c>
      <c r="EA14" s="36" t="str">
        <f t="shared" si="57"/>
        <v/>
      </c>
      <c r="EB14" s="36">
        <f t="shared" si="58"/>
        <v>42.2</v>
      </c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1" t="str">
        <f t="shared" si="59"/>
        <v/>
      </c>
      <c r="EX14" s="11" t="str">
        <f t="shared" si="60"/>
        <v/>
      </c>
      <c r="EY14" s="11" t="str">
        <f t="shared" si="61"/>
        <v/>
      </c>
      <c r="EZ14" s="11" t="str">
        <f t="shared" si="62"/>
        <v/>
      </c>
      <c r="FA14" s="11" t="str">
        <f t="shared" si="63"/>
        <v/>
      </c>
      <c r="FB14" s="11" t="str">
        <f t="shared" si="64"/>
        <v/>
      </c>
      <c r="FC14" s="11" t="str">
        <f t="shared" si="65"/>
        <v/>
      </c>
      <c r="FD14" s="11" t="str">
        <f t="shared" si="66"/>
        <v/>
      </c>
      <c r="FE14" s="11" t="str">
        <f t="shared" si="67"/>
        <v/>
      </c>
      <c r="FF14" s="11" t="str">
        <f t="shared" si="68"/>
        <v/>
      </c>
      <c r="FG14" s="11" t="str">
        <f t="shared" si="69"/>
        <v/>
      </c>
      <c r="FH14" s="11" t="str">
        <f t="shared" si="70"/>
        <v/>
      </c>
      <c r="FI14" s="11" t="str">
        <f t="shared" si="71"/>
        <v/>
      </c>
      <c r="FJ14" s="11" t="str">
        <f t="shared" si="72"/>
        <v/>
      </c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36" t="str">
        <f t="shared" si="73"/>
        <v/>
      </c>
      <c r="GF14" s="36" t="str">
        <f t="shared" si="74"/>
        <v/>
      </c>
      <c r="GG14" s="36" t="str">
        <f t="shared" si="75"/>
        <v/>
      </c>
      <c r="GH14" s="36" t="str">
        <f t="shared" si="76"/>
        <v/>
      </c>
      <c r="GI14" s="36" t="str">
        <f t="shared" si="77"/>
        <v/>
      </c>
      <c r="GJ14" s="36" t="str">
        <f t="shared" si="78"/>
        <v/>
      </c>
      <c r="GK14" s="36" t="str">
        <f t="shared" si="79"/>
        <v/>
      </c>
      <c r="GL14" s="36" t="str">
        <f t="shared" si="80"/>
        <v/>
      </c>
      <c r="GM14" s="36" t="str">
        <f t="shared" si="81"/>
        <v/>
      </c>
      <c r="GN14" s="36" t="str">
        <f t="shared" si="82"/>
        <v/>
      </c>
      <c r="GO14" s="36" t="str">
        <f t="shared" si="83"/>
        <v/>
      </c>
      <c r="GP14" s="36" t="str">
        <f t="shared" si="84"/>
        <v/>
      </c>
      <c r="GQ14" s="36" t="str">
        <f t="shared" si="85"/>
        <v/>
      </c>
      <c r="GR14" s="36" t="str">
        <f t="shared" si="86"/>
        <v/>
      </c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1" t="str">
        <f t="shared" si="87"/>
        <v/>
      </c>
      <c r="HN14" s="11" t="str">
        <f t="shared" si="88"/>
        <v/>
      </c>
      <c r="HO14" s="11" t="str">
        <f t="shared" si="89"/>
        <v/>
      </c>
      <c r="HP14" s="11" t="str">
        <f t="shared" si="90"/>
        <v/>
      </c>
      <c r="HQ14" s="11" t="str">
        <f t="shared" si="91"/>
        <v/>
      </c>
      <c r="HR14" s="11" t="str">
        <f t="shared" si="92"/>
        <v/>
      </c>
      <c r="HS14" s="11" t="str">
        <f t="shared" si="93"/>
        <v/>
      </c>
      <c r="HT14" s="11" t="str">
        <f t="shared" si="94"/>
        <v/>
      </c>
      <c r="HU14" s="11" t="str">
        <f t="shared" si="95"/>
        <v/>
      </c>
      <c r="HV14" s="11" t="str">
        <f t="shared" si="96"/>
        <v/>
      </c>
      <c r="HW14" s="11" t="str">
        <f t="shared" si="97"/>
        <v/>
      </c>
      <c r="HX14" s="11" t="str">
        <f t="shared" si="98"/>
        <v/>
      </c>
      <c r="HY14" s="11" t="str">
        <f t="shared" si="99"/>
        <v/>
      </c>
      <c r="HZ14" s="11" t="str">
        <f t="shared" si="100"/>
        <v/>
      </c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36" t="str">
        <f t="shared" si="101"/>
        <v/>
      </c>
      <c r="IV14" s="36" t="str">
        <f t="shared" si="102"/>
        <v/>
      </c>
      <c r="IW14" s="36" t="str">
        <f t="shared" si="103"/>
        <v/>
      </c>
      <c r="IX14" s="36" t="str">
        <f t="shared" si="104"/>
        <v/>
      </c>
      <c r="IY14" s="36" t="str">
        <f t="shared" si="105"/>
        <v/>
      </c>
      <c r="IZ14" s="36" t="str">
        <f t="shared" si="106"/>
        <v/>
      </c>
      <c r="JA14" s="36" t="str">
        <f t="shared" si="107"/>
        <v/>
      </c>
      <c r="JB14" s="36" t="str">
        <f t="shared" si="108"/>
        <v/>
      </c>
      <c r="JC14" s="36" t="str">
        <f t="shared" si="109"/>
        <v/>
      </c>
      <c r="JD14" s="36" t="str">
        <f t="shared" si="110"/>
        <v/>
      </c>
      <c r="JE14" s="36" t="str">
        <f t="shared" si="111"/>
        <v/>
      </c>
      <c r="JF14" s="36" t="str">
        <f t="shared" si="112"/>
        <v/>
      </c>
      <c r="JG14" s="36" t="str">
        <f t="shared" si="113"/>
        <v/>
      </c>
      <c r="JH14" s="36" t="str">
        <f t="shared" si="114"/>
        <v/>
      </c>
      <c r="JI14" s="16"/>
      <c r="JJ14" s="16"/>
      <c r="JK14" s="16"/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1" t="str">
        <f t="shared" si="115"/>
        <v/>
      </c>
      <c r="KD14" s="11" t="str">
        <f t="shared" si="116"/>
        <v/>
      </c>
      <c r="KE14" s="11" t="str">
        <f t="shared" si="117"/>
        <v/>
      </c>
      <c r="KF14" s="11" t="str">
        <f t="shared" si="118"/>
        <v/>
      </c>
      <c r="KG14" s="11" t="str">
        <f t="shared" si="119"/>
        <v/>
      </c>
      <c r="KH14" s="11" t="str">
        <f t="shared" si="120"/>
        <v/>
      </c>
      <c r="KI14" s="11" t="str">
        <f t="shared" si="121"/>
        <v/>
      </c>
      <c r="KJ14" s="11" t="str">
        <f t="shared" si="122"/>
        <v/>
      </c>
      <c r="KK14" s="11" t="str">
        <f t="shared" si="123"/>
        <v/>
      </c>
      <c r="KL14" s="11" t="str">
        <f t="shared" si="124"/>
        <v/>
      </c>
      <c r="KM14" s="11" t="str">
        <f t="shared" si="125"/>
        <v/>
      </c>
      <c r="KN14" s="11" t="str">
        <f t="shared" si="126"/>
        <v/>
      </c>
      <c r="KO14" s="11" t="str">
        <f t="shared" si="127"/>
        <v/>
      </c>
      <c r="KP14" s="11" t="str">
        <f t="shared" si="128"/>
        <v/>
      </c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36" t="str">
        <f t="shared" si="129"/>
        <v/>
      </c>
      <c r="LL14" s="36" t="str">
        <f t="shared" si="130"/>
        <v/>
      </c>
      <c r="LM14" s="36" t="str">
        <f t="shared" si="131"/>
        <v/>
      </c>
      <c r="LN14" s="36" t="str">
        <f t="shared" si="132"/>
        <v/>
      </c>
      <c r="LO14" s="36" t="str">
        <f t="shared" si="133"/>
        <v/>
      </c>
      <c r="LP14" s="36" t="str">
        <f t="shared" si="134"/>
        <v/>
      </c>
      <c r="LQ14" s="36" t="str">
        <f t="shared" si="135"/>
        <v/>
      </c>
      <c r="LR14" s="36" t="str">
        <f t="shared" si="136"/>
        <v/>
      </c>
      <c r="LS14" s="36" t="str">
        <f t="shared" si="137"/>
        <v/>
      </c>
      <c r="LT14" s="36" t="str">
        <f t="shared" si="138"/>
        <v/>
      </c>
      <c r="LU14" s="36" t="str">
        <f t="shared" si="139"/>
        <v/>
      </c>
      <c r="LV14" s="36" t="str">
        <f t="shared" si="140"/>
        <v/>
      </c>
      <c r="LW14" s="36" t="str">
        <f t="shared" si="141"/>
        <v/>
      </c>
      <c r="LX14" s="36" t="str">
        <f t="shared" si="142"/>
        <v/>
      </c>
      <c r="LY14" s="16"/>
      <c r="LZ14" s="16"/>
      <c r="MA14" s="16"/>
      <c r="MB14" s="16"/>
      <c r="MC14" s="16"/>
      <c r="MD14" s="16"/>
      <c r="ME14" s="16"/>
      <c r="MF14" s="16"/>
      <c r="MG14" s="16"/>
      <c r="MH14" s="16"/>
      <c r="MI14" s="16"/>
      <c r="MJ14" s="16"/>
      <c r="MK14" s="16"/>
      <c r="ML14" s="16"/>
      <c r="MM14" s="16"/>
      <c r="MN14" s="16"/>
      <c r="MO14" s="16"/>
      <c r="MP14" s="16"/>
      <c r="MQ14" s="16"/>
      <c r="MR14" s="16"/>
      <c r="MS14" s="11" t="str">
        <f t="shared" si="143"/>
        <v/>
      </c>
      <c r="MT14" s="11" t="str">
        <f t="shared" si="144"/>
        <v/>
      </c>
      <c r="MU14" s="11" t="str">
        <f t="shared" si="145"/>
        <v/>
      </c>
      <c r="MV14" s="11" t="str">
        <f t="shared" si="146"/>
        <v/>
      </c>
      <c r="MW14" s="11" t="str">
        <f t="shared" si="147"/>
        <v/>
      </c>
      <c r="MX14" s="11" t="str">
        <f t="shared" si="148"/>
        <v/>
      </c>
      <c r="MY14" s="11" t="str">
        <f t="shared" si="149"/>
        <v/>
      </c>
      <c r="MZ14" s="11" t="str">
        <f t="shared" si="150"/>
        <v/>
      </c>
      <c r="NA14" s="11" t="str">
        <f t="shared" si="151"/>
        <v/>
      </c>
      <c r="NB14" s="11" t="str">
        <f t="shared" si="152"/>
        <v/>
      </c>
      <c r="NC14" s="11" t="str">
        <f t="shared" si="153"/>
        <v/>
      </c>
      <c r="ND14" s="11" t="str">
        <f t="shared" si="154"/>
        <v/>
      </c>
      <c r="NE14" s="11" t="str">
        <f t="shared" si="155"/>
        <v/>
      </c>
      <c r="NF14" s="11" t="str">
        <f t="shared" si="156"/>
        <v/>
      </c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36" t="str">
        <f t="shared" si="157"/>
        <v/>
      </c>
      <c r="OB14" s="36" t="str">
        <f t="shared" si="158"/>
        <v/>
      </c>
      <c r="OC14" s="36" t="str">
        <f t="shared" si="159"/>
        <v/>
      </c>
      <c r="OD14" s="36" t="str">
        <f t="shared" si="160"/>
        <v/>
      </c>
      <c r="OE14" s="36" t="str">
        <f t="shared" si="161"/>
        <v/>
      </c>
      <c r="OF14" s="36" t="str">
        <f t="shared" si="162"/>
        <v/>
      </c>
      <c r="OG14" s="36" t="str">
        <f t="shared" si="163"/>
        <v/>
      </c>
      <c r="OH14" s="36" t="str">
        <f t="shared" si="164"/>
        <v/>
      </c>
      <c r="OI14" s="36" t="str">
        <f t="shared" si="165"/>
        <v/>
      </c>
      <c r="OJ14" s="36" t="str">
        <f t="shared" si="166"/>
        <v/>
      </c>
      <c r="OK14" s="36" t="str">
        <f t="shared" si="167"/>
        <v/>
      </c>
      <c r="OL14" s="36" t="str">
        <f t="shared" si="168"/>
        <v/>
      </c>
      <c r="OM14" s="36" t="str">
        <f t="shared" si="169"/>
        <v/>
      </c>
      <c r="ON14" s="36" t="str">
        <f t="shared" si="170"/>
        <v/>
      </c>
      <c r="OO14" s="16"/>
      <c r="OP14" s="16"/>
      <c r="OQ14" s="16"/>
      <c r="OR14" s="16"/>
      <c r="OS14" s="16"/>
      <c r="OT14" s="16"/>
      <c r="OU14" s="16"/>
      <c r="OV14" s="16"/>
      <c r="OW14" s="16"/>
      <c r="OX14" s="16"/>
      <c r="OY14" s="16"/>
      <c r="OZ14" s="16"/>
      <c r="PA14" s="16"/>
      <c r="PB14" s="16"/>
      <c r="PC14" s="16"/>
      <c r="PD14" s="16"/>
      <c r="PE14" s="16"/>
      <c r="PF14" s="16"/>
      <c r="PG14" s="16"/>
      <c r="PH14" s="16"/>
      <c r="PI14" s="11" t="str">
        <f t="shared" si="171"/>
        <v/>
      </c>
      <c r="PJ14" s="11" t="str">
        <f t="shared" si="172"/>
        <v/>
      </c>
      <c r="PK14" s="11" t="str">
        <f t="shared" si="173"/>
        <v/>
      </c>
      <c r="PL14" s="11" t="str">
        <f t="shared" si="174"/>
        <v/>
      </c>
      <c r="PM14" s="11" t="str">
        <f t="shared" si="175"/>
        <v/>
      </c>
      <c r="PN14" s="11" t="str">
        <f t="shared" si="176"/>
        <v/>
      </c>
      <c r="PO14" s="11" t="str">
        <f t="shared" si="177"/>
        <v/>
      </c>
      <c r="PP14" s="11" t="str">
        <f t="shared" si="178"/>
        <v/>
      </c>
      <c r="PQ14" s="11" t="str">
        <f t="shared" si="179"/>
        <v/>
      </c>
      <c r="PR14" s="11" t="str">
        <f t="shared" si="180"/>
        <v/>
      </c>
      <c r="PS14" s="11" t="str">
        <f t="shared" si="181"/>
        <v/>
      </c>
      <c r="PT14" s="11" t="str">
        <f t="shared" si="182"/>
        <v/>
      </c>
      <c r="PU14" s="11" t="str">
        <f t="shared" si="183"/>
        <v/>
      </c>
      <c r="PV14" s="11" t="str">
        <f t="shared" si="184"/>
        <v/>
      </c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36" t="str">
        <f t="shared" si="185"/>
        <v/>
      </c>
      <c r="QR14" s="36" t="str">
        <f t="shared" si="186"/>
        <v/>
      </c>
      <c r="QS14" s="36" t="str">
        <f t="shared" si="187"/>
        <v/>
      </c>
      <c r="QT14" s="36" t="str">
        <f t="shared" si="188"/>
        <v/>
      </c>
      <c r="QU14" s="36" t="str">
        <f t="shared" si="189"/>
        <v/>
      </c>
      <c r="QV14" s="36" t="str">
        <f t="shared" si="190"/>
        <v/>
      </c>
      <c r="QW14" s="36" t="str">
        <f t="shared" si="191"/>
        <v/>
      </c>
      <c r="QX14" s="36" t="str">
        <f t="shared" si="192"/>
        <v/>
      </c>
      <c r="QY14" s="36" t="str">
        <f t="shared" si="193"/>
        <v/>
      </c>
      <c r="QZ14" s="36" t="str">
        <f t="shared" si="194"/>
        <v/>
      </c>
      <c r="RA14" s="36" t="str">
        <f t="shared" si="195"/>
        <v/>
      </c>
      <c r="RB14" s="36" t="str">
        <f t="shared" si="196"/>
        <v/>
      </c>
      <c r="RC14" s="36" t="str">
        <f t="shared" si="197"/>
        <v/>
      </c>
      <c r="RD14" s="36" t="str">
        <f t="shared" si="198"/>
        <v/>
      </c>
      <c r="RE14" s="16"/>
      <c r="RF14" s="16"/>
      <c r="RG14" s="16"/>
      <c r="RH14" s="16"/>
      <c r="RI14" s="16"/>
      <c r="RJ14" s="16"/>
      <c r="RK14" s="16"/>
      <c r="RL14" s="16"/>
      <c r="RM14" s="16"/>
      <c r="RN14" s="16"/>
      <c r="RO14" s="16"/>
      <c r="RP14" s="16"/>
      <c r="RQ14" s="16"/>
      <c r="RR14" s="16"/>
      <c r="RS14" s="16"/>
      <c r="RT14" s="16"/>
      <c r="RU14" s="16"/>
      <c r="RV14" s="16"/>
      <c r="RW14" s="16"/>
      <c r="RX14" s="16"/>
      <c r="RY14" s="11" t="str">
        <f t="shared" si="199"/>
        <v/>
      </c>
      <c r="RZ14" s="11" t="str">
        <f t="shared" si="200"/>
        <v/>
      </c>
      <c r="SA14" s="11" t="str">
        <f t="shared" si="201"/>
        <v/>
      </c>
      <c r="SB14" s="11" t="str">
        <f t="shared" si="202"/>
        <v/>
      </c>
      <c r="SC14" s="11" t="str">
        <f t="shared" si="203"/>
        <v/>
      </c>
      <c r="SD14" s="11" t="str">
        <f t="shared" si="204"/>
        <v/>
      </c>
      <c r="SE14" s="11" t="str">
        <f t="shared" si="205"/>
        <v/>
      </c>
      <c r="SF14" s="11" t="str">
        <f t="shared" si="206"/>
        <v/>
      </c>
      <c r="SG14" s="11" t="str">
        <f t="shared" si="207"/>
        <v/>
      </c>
      <c r="SH14" s="11" t="str">
        <f t="shared" si="208"/>
        <v/>
      </c>
      <c r="SI14" s="11" t="str">
        <f t="shared" si="209"/>
        <v/>
      </c>
      <c r="SJ14" s="11" t="str">
        <f t="shared" si="210"/>
        <v/>
      </c>
      <c r="SK14" s="11" t="str">
        <f t="shared" si="211"/>
        <v/>
      </c>
      <c r="SL14" s="11" t="str">
        <f t="shared" si="212"/>
        <v/>
      </c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36" t="str">
        <f t="shared" si="213"/>
        <v/>
      </c>
      <c r="TH14" s="36" t="str">
        <f t="shared" si="214"/>
        <v/>
      </c>
      <c r="TI14" s="36" t="str">
        <f t="shared" si="215"/>
        <v/>
      </c>
      <c r="TJ14" s="36" t="str">
        <f t="shared" si="216"/>
        <v/>
      </c>
      <c r="TK14" s="36" t="str">
        <f t="shared" si="217"/>
        <v/>
      </c>
      <c r="TL14" s="36" t="str">
        <f t="shared" si="218"/>
        <v/>
      </c>
      <c r="TM14" s="36" t="str">
        <f t="shared" si="219"/>
        <v/>
      </c>
      <c r="TN14" s="36" t="str">
        <f t="shared" si="220"/>
        <v/>
      </c>
      <c r="TO14" s="36" t="str">
        <f t="shared" si="221"/>
        <v/>
      </c>
      <c r="TP14" s="36" t="str">
        <f t="shared" si="222"/>
        <v/>
      </c>
      <c r="TQ14" s="36" t="str">
        <f t="shared" si="223"/>
        <v/>
      </c>
      <c r="TR14" s="36" t="str">
        <f t="shared" si="224"/>
        <v/>
      </c>
      <c r="TS14" s="36" t="str">
        <f t="shared" si="225"/>
        <v/>
      </c>
      <c r="TT14" s="36" t="str">
        <f t="shared" si="226"/>
        <v/>
      </c>
      <c r="TU14" s="16"/>
      <c r="TV14" s="16"/>
      <c r="TW14" s="16"/>
      <c r="TX14" s="16"/>
      <c r="TY14" s="16"/>
      <c r="TZ14" s="16"/>
      <c r="UA14" s="16"/>
      <c r="UB14" s="16"/>
      <c r="UC14" s="16"/>
      <c r="UD14" s="16"/>
      <c r="UE14" s="16"/>
      <c r="UF14" s="16"/>
      <c r="UG14" s="16"/>
      <c r="UH14" s="16"/>
      <c r="UI14" s="16"/>
      <c r="UJ14" s="16"/>
      <c r="UK14" s="16"/>
      <c r="UL14" s="16"/>
      <c r="UM14" s="16"/>
      <c r="UN14" s="16"/>
      <c r="UO14" s="11" t="str">
        <f t="shared" si="227"/>
        <v/>
      </c>
      <c r="UP14" s="11" t="str">
        <f t="shared" si="228"/>
        <v/>
      </c>
      <c r="UQ14" s="11" t="str">
        <f t="shared" si="229"/>
        <v/>
      </c>
      <c r="UR14" s="11" t="str">
        <f t="shared" si="230"/>
        <v/>
      </c>
      <c r="US14" s="11" t="str">
        <f t="shared" si="231"/>
        <v/>
      </c>
      <c r="UT14" s="11" t="str">
        <f t="shared" si="232"/>
        <v/>
      </c>
      <c r="UU14" s="11" t="str">
        <f t="shared" si="233"/>
        <v/>
      </c>
      <c r="UV14" s="11" t="str">
        <f t="shared" si="234"/>
        <v/>
      </c>
      <c r="UW14" s="11" t="str">
        <f t="shared" si="235"/>
        <v/>
      </c>
      <c r="UX14" s="11" t="str">
        <f t="shared" si="236"/>
        <v/>
      </c>
      <c r="UY14" s="11" t="str">
        <f t="shared" si="237"/>
        <v/>
      </c>
      <c r="UZ14" s="11" t="str">
        <f t="shared" si="238"/>
        <v/>
      </c>
      <c r="VA14" s="11" t="str">
        <f t="shared" si="239"/>
        <v/>
      </c>
      <c r="VB14" s="11" t="str">
        <f t="shared" si="240"/>
        <v/>
      </c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36" t="str">
        <f t="shared" si="241"/>
        <v/>
      </c>
      <c r="VX14" s="36" t="str">
        <f t="shared" si="242"/>
        <v/>
      </c>
      <c r="VY14" s="36" t="str">
        <f t="shared" si="243"/>
        <v/>
      </c>
      <c r="VZ14" s="36" t="str">
        <f t="shared" si="244"/>
        <v/>
      </c>
      <c r="WA14" s="36" t="str">
        <f t="shared" si="245"/>
        <v/>
      </c>
      <c r="WB14" s="36" t="str">
        <f t="shared" si="246"/>
        <v/>
      </c>
      <c r="WC14" s="36" t="str">
        <f t="shared" si="247"/>
        <v/>
      </c>
      <c r="WD14" s="36" t="str">
        <f t="shared" si="248"/>
        <v/>
      </c>
      <c r="WE14" s="36" t="str">
        <f t="shared" si="249"/>
        <v/>
      </c>
      <c r="WF14" s="36" t="str">
        <f t="shared" si="250"/>
        <v/>
      </c>
      <c r="WG14" s="36" t="str">
        <f t="shared" si="251"/>
        <v/>
      </c>
      <c r="WH14" s="36" t="str">
        <f t="shared" si="252"/>
        <v/>
      </c>
      <c r="WI14" s="36" t="str">
        <f t="shared" si="253"/>
        <v/>
      </c>
      <c r="WJ14" s="36" t="str">
        <f t="shared" si="254"/>
        <v/>
      </c>
    </row>
    <row r="15" spans="1:608" x14ac:dyDescent="0.2">
      <c r="A15" s="4" t="str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/>
      </c>
      <c r="B15" s="5" t="s">
        <v>142</v>
      </c>
      <c r="C15" s="4" t="s">
        <v>132</v>
      </c>
      <c r="D15" s="4" t="s">
        <v>143</v>
      </c>
      <c r="E15" s="9">
        <f t="shared" si="0"/>
        <v>39.010000000000005</v>
      </c>
      <c r="F15" s="3" t="str">
        <f t="shared" si="1"/>
        <v/>
      </c>
      <c r="G15" s="3" t="str">
        <f t="shared" si="2"/>
        <v/>
      </c>
      <c r="H15" s="32" t="str">
        <f t="shared" si="3"/>
        <v/>
      </c>
      <c r="I15" s="3" t="str">
        <f t="shared" si="4"/>
        <v/>
      </c>
      <c r="J15" s="8">
        <f t="shared" si="5"/>
        <v>0</v>
      </c>
      <c r="K15" s="8" t="str">
        <f t="shared" si="6"/>
        <v/>
      </c>
      <c r="L15" s="8">
        <f>IFERROR(LARGE((AI15,AL15,AP15,BJ15,BM15,BQ15,CK15,CN15,CR15),2),0)</f>
        <v>0</v>
      </c>
      <c r="M15" s="8" t="str">
        <f t="shared" si="7"/>
        <v/>
      </c>
      <c r="N15" s="8">
        <f t="shared" si="8"/>
        <v>39.010000000000005</v>
      </c>
      <c r="O15" s="11" t="str">
        <f t="shared" si="9"/>
        <v>(Any)</v>
      </c>
      <c r="P15" s="8" t="str">
        <f t="shared" si="10"/>
        <v>2025 World Cup POR (July 6)</v>
      </c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23"/>
      <c r="AG15" s="34" t="str">
        <f t="shared" si="11"/>
        <v/>
      </c>
      <c r="AH15" s="34" t="str">
        <f t="shared" si="12"/>
        <v/>
      </c>
      <c r="AI15" s="36" t="str">
        <f t="shared" si="13"/>
        <v/>
      </c>
      <c r="AJ15" s="36" t="str">
        <f t="shared" si="14"/>
        <v/>
      </c>
      <c r="AK15" s="36" t="str">
        <f t="shared" si="15"/>
        <v/>
      </c>
      <c r="AL15" s="36" t="str">
        <f t="shared" si="16"/>
        <v/>
      </c>
      <c r="AM15" s="36" t="str">
        <f t="shared" si="17"/>
        <v/>
      </c>
      <c r="AN15" s="36" t="str">
        <f t="shared" si="18"/>
        <v/>
      </c>
      <c r="AO15" s="36" t="str">
        <f t="shared" si="19"/>
        <v/>
      </c>
      <c r="AP15" s="36" t="str">
        <f t="shared" si="20"/>
        <v/>
      </c>
      <c r="AQ15" s="36" t="str">
        <f t="shared" si="21"/>
        <v/>
      </c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4"/>
      <c r="BH15" s="35" t="str">
        <f t="shared" si="22"/>
        <v/>
      </c>
      <c r="BI15" s="35" t="str">
        <f t="shared" si="23"/>
        <v/>
      </c>
      <c r="BJ15" s="11" t="str">
        <f t="shared" si="24"/>
        <v/>
      </c>
      <c r="BK15" s="11" t="str">
        <f t="shared" si="25"/>
        <v/>
      </c>
      <c r="BL15" s="11" t="str">
        <f t="shared" si="26"/>
        <v/>
      </c>
      <c r="BM15" s="11" t="str">
        <f t="shared" si="27"/>
        <v/>
      </c>
      <c r="BN15" s="11" t="str">
        <f t="shared" si="28"/>
        <v/>
      </c>
      <c r="BO15" s="11" t="str">
        <f t="shared" si="29"/>
        <v/>
      </c>
      <c r="BP15" s="11" t="str">
        <f t="shared" si="30"/>
        <v/>
      </c>
      <c r="BQ15" s="11" t="str">
        <f t="shared" si="31"/>
        <v/>
      </c>
      <c r="BR15" s="11" t="str">
        <f t="shared" si="32"/>
        <v/>
      </c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23"/>
      <c r="CI15" s="34" t="str">
        <f t="shared" si="33"/>
        <v/>
      </c>
      <c r="CJ15" s="34" t="str">
        <f t="shared" si="34"/>
        <v/>
      </c>
      <c r="CK15" s="36" t="str">
        <f t="shared" si="35"/>
        <v/>
      </c>
      <c r="CL15" s="36" t="str">
        <f t="shared" si="36"/>
        <v/>
      </c>
      <c r="CM15" s="36" t="str">
        <f t="shared" si="37"/>
        <v/>
      </c>
      <c r="CN15" s="36" t="str">
        <f t="shared" si="38"/>
        <v/>
      </c>
      <c r="CO15" s="36" t="str">
        <f t="shared" si="39"/>
        <v/>
      </c>
      <c r="CP15" s="36" t="str">
        <f t="shared" si="40"/>
        <v/>
      </c>
      <c r="CQ15" s="36" t="str">
        <f t="shared" si="41"/>
        <v/>
      </c>
      <c r="CR15" s="36" t="str">
        <f t="shared" si="42"/>
        <v/>
      </c>
      <c r="CS15" s="36" t="str">
        <f t="shared" si="43"/>
        <v/>
      </c>
      <c r="CT15" s="47">
        <f t="shared" si="44"/>
        <v>39.010000000000005</v>
      </c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36" t="str">
        <f t="shared" si="45"/>
        <v/>
      </c>
      <c r="DP15" s="36" t="str">
        <f t="shared" si="46"/>
        <v/>
      </c>
      <c r="DQ15" s="36" t="str">
        <f t="shared" si="47"/>
        <v/>
      </c>
      <c r="DR15" s="36" t="str">
        <f t="shared" si="48"/>
        <v/>
      </c>
      <c r="DS15" s="36" t="str">
        <f t="shared" si="49"/>
        <v/>
      </c>
      <c r="DT15" s="36" t="str">
        <f t="shared" si="50"/>
        <v/>
      </c>
      <c r="DU15" s="36" t="str">
        <f t="shared" si="51"/>
        <v/>
      </c>
      <c r="DV15" s="36" t="str">
        <f t="shared" si="52"/>
        <v/>
      </c>
      <c r="DW15" s="36" t="str">
        <f t="shared" si="53"/>
        <v/>
      </c>
      <c r="DX15" s="36" t="str">
        <f t="shared" si="54"/>
        <v/>
      </c>
      <c r="DY15" s="36" t="str">
        <f t="shared" si="55"/>
        <v/>
      </c>
      <c r="DZ15" s="36" t="str">
        <f t="shared" si="56"/>
        <v/>
      </c>
      <c r="EA15" s="36" t="str">
        <f t="shared" si="57"/>
        <v/>
      </c>
      <c r="EB15" s="36" t="str">
        <f t="shared" si="58"/>
        <v/>
      </c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1" t="str">
        <f t="shared" si="59"/>
        <v/>
      </c>
      <c r="EX15" s="11" t="str">
        <f t="shared" si="60"/>
        <v/>
      </c>
      <c r="EY15" s="11" t="str">
        <f t="shared" si="61"/>
        <v/>
      </c>
      <c r="EZ15" s="11" t="str">
        <f t="shared" si="62"/>
        <v/>
      </c>
      <c r="FA15" s="11" t="str">
        <f t="shared" si="63"/>
        <v/>
      </c>
      <c r="FB15" s="11" t="str">
        <f t="shared" si="64"/>
        <v/>
      </c>
      <c r="FC15" s="11" t="str">
        <f t="shared" si="65"/>
        <v/>
      </c>
      <c r="FD15" s="11" t="str">
        <f t="shared" si="66"/>
        <v/>
      </c>
      <c r="FE15" s="11" t="str">
        <f t="shared" si="67"/>
        <v/>
      </c>
      <c r="FF15" s="11" t="str">
        <f t="shared" si="68"/>
        <v/>
      </c>
      <c r="FG15" s="11" t="str">
        <f t="shared" si="69"/>
        <v/>
      </c>
      <c r="FH15" s="11" t="str">
        <f t="shared" si="70"/>
        <v/>
      </c>
      <c r="FI15" s="11" t="str">
        <f t="shared" si="71"/>
        <v/>
      </c>
      <c r="FJ15" s="11" t="str">
        <f t="shared" si="72"/>
        <v/>
      </c>
      <c r="FK15" s="15">
        <v>5.95</v>
      </c>
      <c r="FL15" s="15">
        <v>7.4</v>
      </c>
      <c r="FM15" s="15">
        <v>12.3</v>
      </c>
      <c r="FN15" s="15">
        <v>13.36</v>
      </c>
      <c r="FO15" s="15">
        <v>0</v>
      </c>
      <c r="FP15" s="15">
        <v>1.6</v>
      </c>
      <c r="FQ15" s="15">
        <v>1.85</v>
      </c>
      <c r="FR15" s="15">
        <v>3.5</v>
      </c>
      <c r="FS15" s="15">
        <v>3.06</v>
      </c>
      <c r="FT15" s="15">
        <v>0</v>
      </c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36">
        <f t="shared" si="73"/>
        <v>12.3</v>
      </c>
      <c r="GF15" s="36">
        <f t="shared" si="74"/>
        <v>13.36</v>
      </c>
      <c r="GG15" s="36">
        <f t="shared" si="75"/>
        <v>39.010000000000005</v>
      </c>
      <c r="GH15" s="36">
        <f t="shared" si="76"/>
        <v>3.5</v>
      </c>
      <c r="GI15" s="36">
        <f t="shared" si="77"/>
        <v>3.06</v>
      </c>
      <c r="GJ15" s="36">
        <f t="shared" si="78"/>
        <v>10.01</v>
      </c>
      <c r="GK15" s="36">
        <f t="shared" si="79"/>
        <v>39.010000000000005</v>
      </c>
      <c r="GL15" s="36" t="str">
        <f t="shared" si="80"/>
        <v/>
      </c>
      <c r="GM15" s="36" t="str">
        <f t="shared" si="81"/>
        <v/>
      </c>
      <c r="GN15" s="36" t="str">
        <f t="shared" si="82"/>
        <v/>
      </c>
      <c r="GO15" s="36" t="str">
        <f t="shared" si="83"/>
        <v/>
      </c>
      <c r="GP15" s="36" t="str">
        <f t="shared" si="84"/>
        <v/>
      </c>
      <c r="GQ15" s="36" t="str">
        <f t="shared" si="85"/>
        <v/>
      </c>
      <c r="GR15" s="36">
        <f t="shared" si="86"/>
        <v>39.010000000000005</v>
      </c>
      <c r="GS15" s="16"/>
      <c r="GT15" s="16"/>
      <c r="GU15" s="16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1" t="str">
        <f t="shared" si="87"/>
        <v/>
      </c>
      <c r="HN15" s="11" t="str">
        <f t="shared" si="88"/>
        <v/>
      </c>
      <c r="HO15" s="11" t="str">
        <f t="shared" si="89"/>
        <v/>
      </c>
      <c r="HP15" s="11" t="str">
        <f t="shared" si="90"/>
        <v/>
      </c>
      <c r="HQ15" s="11" t="str">
        <f t="shared" si="91"/>
        <v/>
      </c>
      <c r="HR15" s="11" t="str">
        <f t="shared" si="92"/>
        <v/>
      </c>
      <c r="HS15" s="11" t="str">
        <f t="shared" si="93"/>
        <v/>
      </c>
      <c r="HT15" s="11" t="str">
        <f t="shared" si="94"/>
        <v/>
      </c>
      <c r="HU15" s="11" t="str">
        <f t="shared" si="95"/>
        <v/>
      </c>
      <c r="HV15" s="11" t="str">
        <f t="shared" si="96"/>
        <v/>
      </c>
      <c r="HW15" s="11" t="str">
        <f t="shared" si="97"/>
        <v/>
      </c>
      <c r="HX15" s="11" t="str">
        <f t="shared" si="98"/>
        <v/>
      </c>
      <c r="HY15" s="11" t="str">
        <f t="shared" si="99"/>
        <v/>
      </c>
      <c r="HZ15" s="11" t="str">
        <f t="shared" si="100"/>
        <v/>
      </c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36" t="str">
        <f t="shared" si="101"/>
        <v/>
      </c>
      <c r="IV15" s="36" t="str">
        <f t="shared" si="102"/>
        <v/>
      </c>
      <c r="IW15" s="36" t="str">
        <f t="shared" si="103"/>
        <v/>
      </c>
      <c r="IX15" s="36" t="str">
        <f t="shared" si="104"/>
        <v/>
      </c>
      <c r="IY15" s="36" t="str">
        <f t="shared" si="105"/>
        <v/>
      </c>
      <c r="IZ15" s="36" t="str">
        <f t="shared" si="106"/>
        <v/>
      </c>
      <c r="JA15" s="36" t="str">
        <f t="shared" si="107"/>
        <v/>
      </c>
      <c r="JB15" s="36" t="str">
        <f t="shared" si="108"/>
        <v/>
      </c>
      <c r="JC15" s="36" t="str">
        <f t="shared" si="109"/>
        <v/>
      </c>
      <c r="JD15" s="36" t="str">
        <f t="shared" si="110"/>
        <v/>
      </c>
      <c r="JE15" s="36" t="str">
        <f t="shared" si="111"/>
        <v/>
      </c>
      <c r="JF15" s="36" t="str">
        <f t="shared" si="112"/>
        <v/>
      </c>
      <c r="JG15" s="36" t="str">
        <f t="shared" si="113"/>
        <v/>
      </c>
      <c r="JH15" s="36" t="str">
        <f t="shared" si="114"/>
        <v/>
      </c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16"/>
      <c r="JX15" s="16"/>
      <c r="JY15" s="16"/>
      <c r="JZ15" s="16"/>
      <c r="KA15" s="16"/>
      <c r="KB15" s="16"/>
      <c r="KC15" s="11" t="str">
        <f t="shared" si="115"/>
        <v/>
      </c>
      <c r="KD15" s="11" t="str">
        <f t="shared" si="116"/>
        <v/>
      </c>
      <c r="KE15" s="11" t="str">
        <f t="shared" si="117"/>
        <v/>
      </c>
      <c r="KF15" s="11" t="str">
        <f t="shared" si="118"/>
        <v/>
      </c>
      <c r="KG15" s="11" t="str">
        <f t="shared" si="119"/>
        <v/>
      </c>
      <c r="KH15" s="11" t="str">
        <f t="shared" si="120"/>
        <v/>
      </c>
      <c r="KI15" s="11" t="str">
        <f t="shared" si="121"/>
        <v/>
      </c>
      <c r="KJ15" s="11" t="str">
        <f t="shared" si="122"/>
        <v/>
      </c>
      <c r="KK15" s="11" t="str">
        <f t="shared" si="123"/>
        <v/>
      </c>
      <c r="KL15" s="11" t="str">
        <f t="shared" si="124"/>
        <v/>
      </c>
      <c r="KM15" s="11" t="str">
        <f t="shared" si="125"/>
        <v/>
      </c>
      <c r="KN15" s="11" t="str">
        <f t="shared" si="126"/>
        <v/>
      </c>
      <c r="KO15" s="11" t="str">
        <f t="shared" si="127"/>
        <v/>
      </c>
      <c r="KP15" s="11" t="str">
        <f t="shared" si="128"/>
        <v/>
      </c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36" t="str">
        <f t="shared" si="129"/>
        <v/>
      </c>
      <c r="LL15" s="36" t="str">
        <f t="shared" si="130"/>
        <v/>
      </c>
      <c r="LM15" s="36" t="str">
        <f t="shared" si="131"/>
        <v/>
      </c>
      <c r="LN15" s="36" t="str">
        <f t="shared" si="132"/>
        <v/>
      </c>
      <c r="LO15" s="36" t="str">
        <f t="shared" si="133"/>
        <v/>
      </c>
      <c r="LP15" s="36" t="str">
        <f t="shared" si="134"/>
        <v/>
      </c>
      <c r="LQ15" s="36" t="str">
        <f t="shared" si="135"/>
        <v/>
      </c>
      <c r="LR15" s="36" t="str">
        <f t="shared" si="136"/>
        <v/>
      </c>
      <c r="LS15" s="36" t="str">
        <f t="shared" si="137"/>
        <v/>
      </c>
      <c r="LT15" s="36" t="str">
        <f t="shared" si="138"/>
        <v/>
      </c>
      <c r="LU15" s="36" t="str">
        <f t="shared" si="139"/>
        <v/>
      </c>
      <c r="LV15" s="36" t="str">
        <f t="shared" si="140"/>
        <v/>
      </c>
      <c r="LW15" s="36" t="str">
        <f t="shared" si="141"/>
        <v/>
      </c>
      <c r="LX15" s="36" t="str">
        <f t="shared" si="142"/>
        <v/>
      </c>
      <c r="LY15" s="16"/>
      <c r="LZ15" s="16"/>
      <c r="MA15" s="16"/>
      <c r="MB15" s="16"/>
      <c r="MC15" s="16"/>
      <c r="MD15" s="16"/>
      <c r="ME15" s="16"/>
      <c r="MF15" s="16"/>
      <c r="MG15" s="16"/>
      <c r="MH15" s="16"/>
      <c r="MI15" s="16"/>
      <c r="MJ15" s="16"/>
      <c r="MK15" s="16"/>
      <c r="ML15" s="16"/>
      <c r="MM15" s="16"/>
      <c r="MN15" s="16"/>
      <c r="MO15" s="16"/>
      <c r="MP15" s="16"/>
      <c r="MQ15" s="16"/>
      <c r="MR15" s="16"/>
      <c r="MS15" s="11" t="str">
        <f t="shared" si="143"/>
        <v/>
      </c>
      <c r="MT15" s="11" t="str">
        <f t="shared" si="144"/>
        <v/>
      </c>
      <c r="MU15" s="11" t="str">
        <f t="shared" si="145"/>
        <v/>
      </c>
      <c r="MV15" s="11" t="str">
        <f t="shared" si="146"/>
        <v/>
      </c>
      <c r="MW15" s="11" t="str">
        <f t="shared" si="147"/>
        <v/>
      </c>
      <c r="MX15" s="11" t="str">
        <f t="shared" si="148"/>
        <v/>
      </c>
      <c r="MY15" s="11" t="str">
        <f t="shared" si="149"/>
        <v/>
      </c>
      <c r="MZ15" s="11" t="str">
        <f t="shared" si="150"/>
        <v/>
      </c>
      <c r="NA15" s="11" t="str">
        <f t="shared" si="151"/>
        <v/>
      </c>
      <c r="NB15" s="11" t="str">
        <f t="shared" si="152"/>
        <v/>
      </c>
      <c r="NC15" s="11" t="str">
        <f t="shared" si="153"/>
        <v/>
      </c>
      <c r="ND15" s="11" t="str">
        <f t="shared" si="154"/>
        <v/>
      </c>
      <c r="NE15" s="11" t="str">
        <f t="shared" si="155"/>
        <v/>
      </c>
      <c r="NF15" s="11" t="str">
        <f t="shared" si="156"/>
        <v/>
      </c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36" t="str">
        <f t="shared" si="157"/>
        <v/>
      </c>
      <c r="OB15" s="36" t="str">
        <f t="shared" si="158"/>
        <v/>
      </c>
      <c r="OC15" s="36" t="str">
        <f t="shared" si="159"/>
        <v/>
      </c>
      <c r="OD15" s="36" t="str">
        <f t="shared" si="160"/>
        <v/>
      </c>
      <c r="OE15" s="36" t="str">
        <f t="shared" si="161"/>
        <v/>
      </c>
      <c r="OF15" s="36" t="str">
        <f t="shared" si="162"/>
        <v/>
      </c>
      <c r="OG15" s="36" t="str">
        <f t="shared" si="163"/>
        <v/>
      </c>
      <c r="OH15" s="36" t="str">
        <f t="shared" si="164"/>
        <v/>
      </c>
      <c r="OI15" s="36" t="str">
        <f t="shared" si="165"/>
        <v/>
      </c>
      <c r="OJ15" s="36" t="str">
        <f t="shared" si="166"/>
        <v/>
      </c>
      <c r="OK15" s="36" t="str">
        <f t="shared" si="167"/>
        <v/>
      </c>
      <c r="OL15" s="36" t="str">
        <f t="shared" si="168"/>
        <v/>
      </c>
      <c r="OM15" s="36" t="str">
        <f t="shared" si="169"/>
        <v/>
      </c>
      <c r="ON15" s="36" t="str">
        <f t="shared" si="170"/>
        <v/>
      </c>
      <c r="OO15" s="16"/>
      <c r="OP15" s="16"/>
      <c r="OQ15" s="16"/>
      <c r="OR15" s="16"/>
      <c r="OS15" s="16"/>
      <c r="OT15" s="16"/>
      <c r="OU15" s="16"/>
      <c r="OV15" s="16"/>
      <c r="OW15" s="16"/>
      <c r="OX15" s="16"/>
      <c r="OY15" s="16"/>
      <c r="OZ15" s="16"/>
      <c r="PA15" s="16"/>
      <c r="PB15" s="16"/>
      <c r="PC15" s="16"/>
      <c r="PD15" s="16"/>
      <c r="PE15" s="16"/>
      <c r="PF15" s="16"/>
      <c r="PG15" s="16"/>
      <c r="PH15" s="16"/>
      <c r="PI15" s="11" t="str">
        <f t="shared" si="171"/>
        <v/>
      </c>
      <c r="PJ15" s="11" t="str">
        <f t="shared" si="172"/>
        <v/>
      </c>
      <c r="PK15" s="11" t="str">
        <f t="shared" si="173"/>
        <v/>
      </c>
      <c r="PL15" s="11" t="str">
        <f t="shared" si="174"/>
        <v/>
      </c>
      <c r="PM15" s="11" t="str">
        <f t="shared" si="175"/>
        <v/>
      </c>
      <c r="PN15" s="11" t="str">
        <f t="shared" si="176"/>
        <v/>
      </c>
      <c r="PO15" s="11" t="str">
        <f t="shared" si="177"/>
        <v/>
      </c>
      <c r="PP15" s="11" t="str">
        <f t="shared" si="178"/>
        <v/>
      </c>
      <c r="PQ15" s="11" t="str">
        <f t="shared" si="179"/>
        <v/>
      </c>
      <c r="PR15" s="11" t="str">
        <f t="shared" si="180"/>
        <v/>
      </c>
      <c r="PS15" s="11" t="str">
        <f t="shared" si="181"/>
        <v/>
      </c>
      <c r="PT15" s="11" t="str">
        <f t="shared" si="182"/>
        <v/>
      </c>
      <c r="PU15" s="11" t="str">
        <f t="shared" si="183"/>
        <v/>
      </c>
      <c r="PV15" s="11" t="str">
        <f t="shared" si="184"/>
        <v/>
      </c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36" t="str">
        <f t="shared" si="185"/>
        <v/>
      </c>
      <c r="QR15" s="36" t="str">
        <f t="shared" si="186"/>
        <v/>
      </c>
      <c r="QS15" s="36" t="str">
        <f t="shared" si="187"/>
        <v/>
      </c>
      <c r="QT15" s="36" t="str">
        <f t="shared" si="188"/>
        <v/>
      </c>
      <c r="QU15" s="36" t="str">
        <f t="shared" si="189"/>
        <v/>
      </c>
      <c r="QV15" s="36" t="str">
        <f t="shared" si="190"/>
        <v/>
      </c>
      <c r="QW15" s="36" t="str">
        <f t="shared" si="191"/>
        <v/>
      </c>
      <c r="QX15" s="36" t="str">
        <f t="shared" si="192"/>
        <v/>
      </c>
      <c r="QY15" s="36" t="str">
        <f t="shared" si="193"/>
        <v/>
      </c>
      <c r="QZ15" s="36" t="str">
        <f t="shared" si="194"/>
        <v/>
      </c>
      <c r="RA15" s="36" t="str">
        <f t="shared" si="195"/>
        <v/>
      </c>
      <c r="RB15" s="36" t="str">
        <f t="shared" si="196"/>
        <v/>
      </c>
      <c r="RC15" s="36" t="str">
        <f t="shared" si="197"/>
        <v/>
      </c>
      <c r="RD15" s="36" t="str">
        <f t="shared" si="198"/>
        <v/>
      </c>
      <c r="RE15" s="16"/>
      <c r="RF15" s="16"/>
      <c r="RG15" s="16"/>
      <c r="RH15" s="16"/>
      <c r="RI15" s="16"/>
      <c r="RJ15" s="16"/>
      <c r="RK15" s="16"/>
      <c r="RL15" s="16"/>
      <c r="RM15" s="16"/>
      <c r="RN15" s="16"/>
      <c r="RO15" s="16"/>
      <c r="RP15" s="16"/>
      <c r="RQ15" s="16"/>
      <c r="RR15" s="16"/>
      <c r="RS15" s="16"/>
      <c r="RT15" s="16"/>
      <c r="RU15" s="16"/>
      <c r="RV15" s="16"/>
      <c r="RW15" s="16"/>
      <c r="RX15" s="16"/>
      <c r="RY15" s="11" t="str">
        <f t="shared" si="199"/>
        <v/>
      </c>
      <c r="RZ15" s="11" t="str">
        <f t="shared" si="200"/>
        <v/>
      </c>
      <c r="SA15" s="11" t="str">
        <f t="shared" si="201"/>
        <v/>
      </c>
      <c r="SB15" s="11" t="str">
        <f t="shared" si="202"/>
        <v/>
      </c>
      <c r="SC15" s="11" t="str">
        <f t="shared" si="203"/>
        <v/>
      </c>
      <c r="SD15" s="11" t="str">
        <f t="shared" si="204"/>
        <v/>
      </c>
      <c r="SE15" s="11" t="str">
        <f t="shared" si="205"/>
        <v/>
      </c>
      <c r="SF15" s="11" t="str">
        <f t="shared" si="206"/>
        <v/>
      </c>
      <c r="SG15" s="11" t="str">
        <f t="shared" si="207"/>
        <v/>
      </c>
      <c r="SH15" s="11" t="str">
        <f t="shared" si="208"/>
        <v/>
      </c>
      <c r="SI15" s="11" t="str">
        <f t="shared" si="209"/>
        <v/>
      </c>
      <c r="SJ15" s="11" t="str">
        <f t="shared" si="210"/>
        <v/>
      </c>
      <c r="SK15" s="11" t="str">
        <f t="shared" si="211"/>
        <v/>
      </c>
      <c r="SL15" s="11" t="str">
        <f t="shared" si="212"/>
        <v/>
      </c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36" t="str">
        <f t="shared" si="213"/>
        <v/>
      </c>
      <c r="TH15" s="36" t="str">
        <f t="shared" si="214"/>
        <v/>
      </c>
      <c r="TI15" s="36" t="str">
        <f t="shared" si="215"/>
        <v/>
      </c>
      <c r="TJ15" s="36" t="str">
        <f t="shared" si="216"/>
        <v/>
      </c>
      <c r="TK15" s="36" t="str">
        <f t="shared" si="217"/>
        <v/>
      </c>
      <c r="TL15" s="36" t="str">
        <f t="shared" si="218"/>
        <v/>
      </c>
      <c r="TM15" s="36" t="str">
        <f t="shared" si="219"/>
        <v/>
      </c>
      <c r="TN15" s="36" t="str">
        <f t="shared" si="220"/>
        <v/>
      </c>
      <c r="TO15" s="36" t="str">
        <f t="shared" si="221"/>
        <v/>
      </c>
      <c r="TP15" s="36" t="str">
        <f t="shared" si="222"/>
        <v/>
      </c>
      <c r="TQ15" s="36" t="str">
        <f t="shared" si="223"/>
        <v/>
      </c>
      <c r="TR15" s="36" t="str">
        <f t="shared" si="224"/>
        <v/>
      </c>
      <c r="TS15" s="36" t="str">
        <f t="shared" si="225"/>
        <v/>
      </c>
      <c r="TT15" s="36" t="str">
        <f t="shared" si="226"/>
        <v/>
      </c>
      <c r="TU15" s="16"/>
      <c r="TV15" s="16"/>
      <c r="TW15" s="16"/>
      <c r="TX15" s="16"/>
      <c r="TY15" s="16"/>
      <c r="TZ15" s="16"/>
      <c r="UA15" s="16"/>
      <c r="UB15" s="16"/>
      <c r="UC15" s="16"/>
      <c r="UD15" s="16"/>
      <c r="UE15" s="16"/>
      <c r="UF15" s="16"/>
      <c r="UG15" s="16"/>
      <c r="UH15" s="16"/>
      <c r="UI15" s="16"/>
      <c r="UJ15" s="16"/>
      <c r="UK15" s="16"/>
      <c r="UL15" s="16"/>
      <c r="UM15" s="16"/>
      <c r="UN15" s="16"/>
      <c r="UO15" s="11" t="str">
        <f t="shared" si="227"/>
        <v/>
      </c>
      <c r="UP15" s="11" t="str">
        <f t="shared" si="228"/>
        <v/>
      </c>
      <c r="UQ15" s="11" t="str">
        <f t="shared" si="229"/>
        <v/>
      </c>
      <c r="UR15" s="11" t="str">
        <f t="shared" si="230"/>
        <v/>
      </c>
      <c r="US15" s="11" t="str">
        <f t="shared" si="231"/>
        <v/>
      </c>
      <c r="UT15" s="11" t="str">
        <f t="shared" si="232"/>
        <v/>
      </c>
      <c r="UU15" s="11" t="str">
        <f t="shared" si="233"/>
        <v/>
      </c>
      <c r="UV15" s="11" t="str">
        <f t="shared" si="234"/>
        <v/>
      </c>
      <c r="UW15" s="11" t="str">
        <f t="shared" si="235"/>
        <v/>
      </c>
      <c r="UX15" s="11" t="str">
        <f t="shared" si="236"/>
        <v/>
      </c>
      <c r="UY15" s="11" t="str">
        <f t="shared" si="237"/>
        <v/>
      </c>
      <c r="UZ15" s="11" t="str">
        <f t="shared" si="238"/>
        <v/>
      </c>
      <c r="VA15" s="11" t="str">
        <f t="shared" si="239"/>
        <v/>
      </c>
      <c r="VB15" s="11" t="str">
        <f t="shared" si="240"/>
        <v/>
      </c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36" t="str">
        <f t="shared" si="241"/>
        <v/>
      </c>
      <c r="VX15" s="36" t="str">
        <f t="shared" si="242"/>
        <v/>
      </c>
      <c r="VY15" s="36" t="str">
        <f t="shared" si="243"/>
        <v/>
      </c>
      <c r="VZ15" s="36" t="str">
        <f t="shared" si="244"/>
        <v/>
      </c>
      <c r="WA15" s="36" t="str">
        <f t="shared" si="245"/>
        <v/>
      </c>
      <c r="WB15" s="36" t="str">
        <f t="shared" si="246"/>
        <v/>
      </c>
      <c r="WC15" s="36" t="str">
        <f t="shared" si="247"/>
        <v/>
      </c>
      <c r="WD15" s="36" t="str">
        <f t="shared" si="248"/>
        <v/>
      </c>
      <c r="WE15" s="36" t="str">
        <f t="shared" si="249"/>
        <v/>
      </c>
      <c r="WF15" s="36" t="str">
        <f t="shared" si="250"/>
        <v/>
      </c>
      <c r="WG15" s="36" t="str">
        <f t="shared" si="251"/>
        <v/>
      </c>
      <c r="WH15" s="36" t="str">
        <f t="shared" si="252"/>
        <v/>
      </c>
      <c r="WI15" s="36" t="str">
        <f t="shared" si="253"/>
        <v/>
      </c>
      <c r="WJ15" s="36" t="str">
        <f t="shared" si="254"/>
        <v/>
      </c>
    </row>
    <row r="16" spans="1:608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234</v>
      </c>
      <c r="C16" s="4" t="s">
        <v>233</v>
      </c>
      <c r="D16" s="4" t="s">
        <v>168</v>
      </c>
      <c r="E16" s="9">
        <f t="shared" si="0"/>
        <v>34.960003496002692</v>
      </c>
      <c r="F16" s="3" t="str">
        <f t="shared" si="1"/>
        <v/>
      </c>
      <c r="G16" s="3" t="str">
        <f t="shared" si="2"/>
        <v/>
      </c>
      <c r="H16" s="32" t="str">
        <f t="shared" si="3"/>
        <v/>
      </c>
      <c r="I16" s="3" t="str">
        <f t="shared" si="4"/>
        <v/>
      </c>
      <c r="J16" s="8">
        <f t="shared" si="5"/>
        <v>26.91</v>
      </c>
      <c r="K16" s="8" t="str">
        <f t="shared" si="6"/>
        <v>2026 Elite Canada</v>
      </c>
      <c r="L16" s="8">
        <f>IFERROR(LARGE((AI16,AL16,AP16,BJ16,BM16,BQ16,CK16,CN16,CR16),2),0)</f>
        <v>8.0500000000000007</v>
      </c>
      <c r="M16" s="8" t="str">
        <f t="shared" si="7"/>
        <v>2026 Elite Canada</v>
      </c>
      <c r="N16" s="8">
        <f t="shared" si="8"/>
        <v>0</v>
      </c>
      <c r="O16" s="11" t="str">
        <f t="shared" si="9"/>
        <v/>
      </c>
      <c r="P16" s="8" t="str">
        <f t="shared" si="10"/>
        <v/>
      </c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23"/>
      <c r="AG16" s="34" t="str">
        <f t="shared" si="11"/>
        <v/>
      </c>
      <c r="AH16" s="34" t="str">
        <f t="shared" si="12"/>
        <v/>
      </c>
      <c r="AI16" s="36" t="str">
        <f t="shared" si="13"/>
        <v/>
      </c>
      <c r="AJ16" s="36" t="str">
        <f t="shared" si="14"/>
        <v/>
      </c>
      <c r="AK16" s="36" t="str">
        <f t="shared" si="15"/>
        <v/>
      </c>
      <c r="AL16" s="36" t="str">
        <f t="shared" si="16"/>
        <v/>
      </c>
      <c r="AM16" s="36" t="str">
        <f t="shared" si="17"/>
        <v/>
      </c>
      <c r="AN16" s="36" t="str">
        <f t="shared" si="18"/>
        <v/>
      </c>
      <c r="AO16" s="36" t="str">
        <f t="shared" si="19"/>
        <v/>
      </c>
      <c r="AP16" s="36" t="str">
        <f t="shared" si="20"/>
        <v/>
      </c>
      <c r="AQ16" s="36" t="str">
        <f t="shared" si="21"/>
        <v/>
      </c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4"/>
      <c r="BH16" s="35" t="str">
        <f t="shared" si="22"/>
        <v/>
      </c>
      <c r="BI16" s="35" t="str">
        <f t="shared" si="23"/>
        <v/>
      </c>
      <c r="BJ16" s="11" t="str">
        <f t="shared" si="24"/>
        <v/>
      </c>
      <c r="BK16" s="11" t="str">
        <f t="shared" si="25"/>
        <v/>
      </c>
      <c r="BL16" s="11" t="str">
        <f t="shared" si="26"/>
        <v/>
      </c>
      <c r="BM16" s="11" t="str">
        <f t="shared" si="27"/>
        <v/>
      </c>
      <c r="BN16" s="11" t="str">
        <f t="shared" si="28"/>
        <v/>
      </c>
      <c r="BO16" s="11" t="str">
        <f t="shared" si="29"/>
        <v/>
      </c>
      <c r="BP16" s="11" t="str">
        <f t="shared" si="30"/>
        <v/>
      </c>
      <c r="BQ16" s="11" t="str">
        <f t="shared" si="31"/>
        <v/>
      </c>
      <c r="BR16" s="11" t="str">
        <f t="shared" si="32"/>
        <v/>
      </c>
      <c r="BS16" s="18">
        <v>1.7</v>
      </c>
      <c r="BT16" s="18">
        <v>1.85</v>
      </c>
      <c r="BU16" s="18">
        <v>2.2999999999999998</v>
      </c>
      <c r="BV16" s="18">
        <v>2.2000000000000002</v>
      </c>
      <c r="BW16" s="18">
        <v>0</v>
      </c>
      <c r="BX16" s="18">
        <v>6.53</v>
      </c>
      <c r="BY16" s="18">
        <v>8.1999999999999993</v>
      </c>
      <c r="BZ16" s="18">
        <v>0</v>
      </c>
      <c r="CA16" s="18">
        <v>12.38</v>
      </c>
      <c r="CB16" s="18">
        <v>0.2</v>
      </c>
      <c r="CC16" s="18">
        <v>0</v>
      </c>
      <c r="CD16" s="18">
        <v>0</v>
      </c>
      <c r="CE16" s="18">
        <v>0</v>
      </c>
      <c r="CF16" s="18">
        <v>0</v>
      </c>
      <c r="CG16" s="18">
        <v>0</v>
      </c>
      <c r="CH16" s="23"/>
      <c r="CI16" s="34">
        <f t="shared" si="33"/>
        <v>2.2999999999999998</v>
      </c>
      <c r="CJ16" s="34">
        <f t="shared" si="34"/>
        <v>2.2000000000000002</v>
      </c>
      <c r="CK16" s="36">
        <f t="shared" si="35"/>
        <v>8.0500000000000007</v>
      </c>
      <c r="CL16" s="36" t="str">
        <f t="shared" si="36"/>
        <v/>
      </c>
      <c r="CM16" s="36">
        <f t="shared" si="37"/>
        <v>12.38</v>
      </c>
      <c r="CN16" s="36">
        <f t="shared" si="38"/>
        <v>26.91</v>
      </c>
      <c r="CO16" s="36">
        <f t="shared" si="39"/>
        <v>26.91</v>
      </c>
      <c r="CP16" s="36" t="str">
        <f t="shared" si="40"/>
        <v/>
      </c>
      <c r="CQ16" s="36" t="str">
        <f t="shared" si="41"/>
        <v/>
      </c>
      <c r="CR16" s="36" t="str">
        <f t="shared" si="42"/>
        <v/>
      </c>
      <c r="CS16" s="36">
        <f t="shared" si="43"/>
        <v>26.91</v>
      </c>
      <c r="CT16" s="47" t="str">
        <f t="shared" si="44"/>
        <v/>
      </c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36" t="str">
        <f t="shared" si="45"/>
        <v/>
      </c>
      <c r="DP16" s="36" t="str">
        <f t="shared" si="46"/>
        <v/>
      </c>
      <c r="DQ16" s="36" t="str">
        <f t="shared" si="47"/>
        <v/>
      </c>
      <c r="DR16" s="36" t="str">
        <f t="shared" si="48"/>
        <v/>
      </c>
      <c r="DS16" s="36" t="str">
        <f t="shared" si="49"/>
        <v/>
      </c>
      <c r="DT16" s="36" t="str">
        <f t="shared" si="50"/>
        <v/>
      </c>
      <c r="DU16" s="36" t="str">
        <f t="shared" si="51"/>
        <v/>
      </c>
      <c r="DV16" s="36" t="str">
        <f t="shared" si="52"/>
        <v/>
      </c>
      <c r="DW16" s="36" t="str">
        <f t="shared" si="53"/>
        <v/>
      </c>
      <c r="DX16" s="36" t="str">
        <f t="shared" si="54"/>
        <v/>
      </c>
      <c r="DY16" s="36" t="str">
        <f t="shared" si="55"/>
        <v/>
      </c>
      <c r="DZ16" s="36" t="str">
        <f t="shared" si="56"/>
        <v/>
      </c>
      <c r="EA16" s="36" t="str">
        <f t="shared" si="57"/>
        <v/>
      </c>
      <c r="EB16" s="36" t="str">
        <f t="shared" si="58"/>
        <v/>
      </c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1" t="str">
        <f t="shared" si="59"/>
        <v/>
      </c>
      <c r="EX16" s="11" t="str">
        <f t="shared" si="60"/>
        <v/>
      </c>
      <c r="EY16" s="11" t="str">
        <f t="shared" si="61"/>
        <v/>
      </c>
      <c r="EZ16" s="11" t="str">
        <f t="shared" si="62"/>
        <v/>
      </c>
      <c r="FA16" s="11" t="str">
        <f t="shared" si="63"/>
        <v/>
      </c>
      <c r="FB16" s="11" t="str">
        <f t="shared" si="64"/>
        <v/>
      </c>
      <c r="FC16" s="11" t="str">
        <f t="shared" si="65"/>
        <v/>
      </c>
      <c r="FD16" s="11" t="str">
        <f t="shared" si="66"/>
        <v/>
      </c>
      <c r="FE16" s="11" t="str">
        <f t="shared" si="67"/>
        <v/>
      </c>
      <c r="FF16" s="11" t="str">
        <f t="shared" si="68"/>
        <v/>
      </c>
      <c r="FG16" s="11" t="str">
        <f t="shared" si="69"/>
        <v/>
      </c>
      <c r="FH16" s="11" t="str">
        <f t="shared" si="70"/>
        <v/>
      </c>
      <c r="FI16" s="11" t="str">
        <f t="shared" si="71"/>
        <v/>
      </c>
      <c r="FJ16" s="11" t="str">
        <f t="shared" si="72"/>
        <v/>
      </c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36" t="str">
        <f t="shared" si="73"/>
        <v/>
      </c>
      <c r="GF16" s="36" t="str">
        <f t="shared" si="74"/>
        <v/>
      </c>
      <c r="GG16" s="36" t="str">
        <f t="shared" si="75"/>
        <v/>
      </c>
      <c r="GH16" s="36" t="str">
        <f t="shared" si="76"/>
        <v/>
      </c>
      <c r="GI16" s="36" t="str">
        <f t="shared" si="77"/>
        <v/>
      </c>
      <c r="GJ16" s="36" t="str">
        <f t="shared" si="78"/>
        <v/>
      </c>
      <c r="GK16" s="36" t="str">
        <f t="shared" si="79"/>
        <v/>
      </c>
      <c r="GL16" s="36" t="str">
        <f t="shared" si="80"/>
        <v/>
      </c>
      <c r="GM16" s="36" t="str">
        <f t="shared" si="81"/>
        <v/>
      </c>
      <c r="GN16" s="36" t="str">
        <f t="shared" si="82"/>
        <v/>
      </c>
      <c r="GO16" s="36" t="str">
        <f t="shared" si="83"/>
        <v/>
      </c>
      <c r="GP16" s="36" t="str">
        <f t="shared" si="84"/>
        <v/>
      </c>
      <c r="GQ16" s="36" t="str">
        <f t="shared" si="85"/>
        <v/>
      </c>
      <c r="GR16" s="36" t="str">
        <f t="shared" si="86"/>
        <v/>
      </c>
      <c r="GS16" s="16"/>
      <c r="GT16" s="16"/>
      <c r="GU16" s="16"/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1" t="str">
        <f t="shared" si="87"/>
        <v/>
      </c>
      <c r="HN16" s="11" t="str">
        <f t="shared" si="88"/>
        <v/>
      </c>
      <c r="HO16" s="11" t="str">
        <f t="shared" si="89"/>
        <v/>
      </c>
      <c r="HP16" s="11" t="str">
        <f t="shared" si="90"/>
        <v/>
      </c>
      <c r="HQ16" s="11" t="str">
        <f t="shared" si="91"/>
        <v/>
      </c>
      <c r="HR16" s="11" t="str">
        <f t="shared" si="92"/>
        <v/>
      </c>
      <c r="HS16" s="11" t="str">
        <f t="shared" si="93"/>
        <v/>
      </c>
      <c r="HT16" s="11" t="str">
        <f t="shared" si="94"/>
        <v/>
      </c>
      <c r="HU16" s="11" t="str">
        <f t="shared" si="95"/>
        <v/>
      </c>
      <c r="HV16" s="11" t="str">
        <f t="shared" si="96"/>
        <v/>
      </c>
      <c r="HW16" s="11" t="str">
        <f t="shared" si="97"/>
        <v/>
      </c>
      <c r="HX16" s="11" t="str">
        <f t="shared" si="98"/>
        <v/>
      </c>
      <c r="HY16" s="11" t="str">
        <f t="shared" si="99"/>
        <v/>
      </c>
      <c r="HZ16" s="11" t="str">
        <f t="shared" si="100"/>
        <v/>
      </c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36" t="str">
        <f t="shared" si="101"/>
        <v/>
      </c>
      <c r="IV16" s="36" t="str">
        <f t="shared" si="102"/>
        <v/>
      </c>
      <c r="IW16" s="36" t="str">
        <f t="shared" si="103"/>
        <v/>
      </c>
      <c r="IX16" s="36" t="str">
        <f t="shared" si="104"/>
        <v/>
      </c>
      <c r="IY16" s="36" t="str">
        <f t="shared" si="105"/>
        <v/>
      </c>
      <c r="IZ16" s="36" t="str">
        <f t="shared" si="106"/>
        <v/>
      </c>
      <c r="JA16" s="36" t="str">
        <f t="shared" si="107"/>
        <v/>
      </c>
      <c r="JB16" s="36" t="str">
        <f t="shared" si="108"/>
        <v/>
      </c>
      <c r="JC16" s="36" t="str">
        <f t="shared" si="109"/>
        <v/>
      </c>
      <c r="JD16" s="36" t="str">
        <f t="shared" si="110"/>
        <v/>
      </c>
      <c r="JE16" s="36" t="str">
        <f t="shared" si="111"/>
        <v/>
      </c>
      <c r="JF16" s="36" t="str">
        <f t="shared" si="112"/>
        <v/>
      </c>
      <c r="JG16" s="36" t="str">
        <f t="shared" si="113"/>
        <v/>
      </c>
      <c r="JH16" s="36" t="str">
        <f t="shared" si="114"/>
        <v/>
      </c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16"/>
      <c r="JX16" s="16"/>
      <c r="JY16" s="16"/>
      <c r="JZ16" s="16"/>
      <c r="KA16" s="16"/>
      <c r="KB16" s="16"/>
      <c r="KC16" s="11" t="str">
        <f t="shared" si="115"/>
        <v/>
      </c>
      <c r="KD16" s="11" t="str">
        <f t="shared" si="116"/>
        <v/>
      </c>
      <c r="KE16" s="11" t="str">
        <f t="shared" si="117"/>
        <v/>
      </c>
      <c r="KF16" s="11" t="str">
        <f t="shared" si="118"/>
        <v/>
      </c>
      <c r="KG16" s="11" t="str">
        <f t="shared" si="119"/>
        <v/>
      </c>
      <c r="KH16" s="11" t="str">
        <f t="shared" si="120"/>
        <v/>
      </c>
      <c r="KI16" s="11" t="str">
        <f t="shared" si="121"/>
        <v/>
      </c>
      <c r="KJ16" s="11" t="str">
        <f t="shared" si="122"/>
        <v/>
      </c>
      <c r="KK16" s="11" t="str">
        <f t="shared" si="123"/>
        <v/>
      </c>
      <c r="KL16" s="11" t="str">
        <f t="shared" si="124"/>
        <v/>
      </c>
      <c r="KM16" s="11" t="str">
        <f t="shared" si="125"/>
        <v/>
      </c>
      <c r="KN16" s="11" t="str">
        <f t="shared" si="126"/>
        <v/>
      </c>
      <c r="KO16" s="11" t="str">
        <f t="shared" si="127"/>
        <v/>
      </c>
      <c r="KP16" s="11" t="str">
        <f t="shared" si="128"/>
        <v/>
      </c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36" t="str">
        <f t="shared" si="129"/>
        <v/>
      </c>
      <c r="LL16" s="36" t="str">
        <f t="shared" si="130"/>
        <v/>
      </c>
      <c r="LM16" s="36" t="str">
        <f t="shared" si="131"/>
        <v/>
      </c>
      <c r="LN16" s="36" t="str">
        <f t="shared" si="132"/>
        <v/>
      </c>
      <c r="LO16" s="36" t="str">
        <f t="shared" si="133"/>
        <v/>
      </c>
      <c r="LP16" s="36" t="str">
        <f t="shared" si="134"/>
        <v/>
      </c>
      <c r="LQ16" s="36" t="str">
        <f t="shared" si="135"/>
        <v/>
      </c>
      <c r="LR16" s="36" t="str">
        <f t="shared" si="136"/>
        <v/>
      </c>
      <c r="LS16" s="36" t="str">
        <f t="shared" si="137"/>
        <v/>
      </c>
      <c r="LT16" s="36" t="str">
        <f t="shared" si="138"/>
        <v/>
      </c>
      <c r="LU16" s="36" t="str">
        <f t="shared" si="139"/>
        <v/>
      </c>
      <c r="LV16" s="36" t="str">
        <f t="shared" si="140"/>
        <v/>
      </c>
      <c r="LW16" s="36" t="str">
        <f t="shared" si="141"/>
        <v/>
      </c>
      <c r="LX16" s="36" t="str">
        <f t="shared" si="142"/>
        <v/>
      </c>
      <c r="LY16" s="16"/>
      <c r="LZ16" s="16"/>
      <c r="MA16" s="16"/>
      <c r="MB16" s="16"/>
      <c r="MC16" s="16"/>
      <c r="MD16" s="16"/>
      <c r="ME16" s="16"/>
      <c r="MF16" s="16"/>
      <c r="MG16" s="16"/>
      <c r="MH16" s="16"/>
      <c r="MI16" s="16"/>
      <c r="MJ16" s="16"/>
      <c r="MK16" s="16"/>
      <c r="ML16" s="16"/>
      <c r="MM16" s="16"/>
      <c r="MN16" s="16"/>
      <c r="MO16" s="16"/>
      <c r="MP16" s="16"/>
      <c r="MQ16" s="16"/>
      <c r="MR16" s="16"/>
      <c r="MS16" s="11" t="str">
        <f t="shared" si="143"/>
        <v/>
      </c>
      <c r="MT16" s="11" t="str">
        <f t="shared" si="144"/>
        <v/>
      </c>
      <c r="MU16" s="11" t="str">
        <f t="shared" si="145"/>
        <v/>
      </c>
      <c r="MV16" s="11" t="str">
        <f t="shared" si="146"/>
        <v/>
      </c>
      <c r="MW16" s="11" t="str">
        <f t="shared" si="147"/>
        <v/>
      </c>
      <c r="MX16" s="11" t="str">
        <f t="shared" si="148"/>
        <v/>
      </c>
      <c r="MY16" s="11" t="str">
        <f t="shared" si="149"/>
        <v/>
      </c>
      <c r="MZ16" s="11" t="str">
        <f t="shared" si="150"/>
        <v/>
      </c>
      <c r="NA16" s="11" t="str">
        <f t="shared" si="151"/>
        <v/>
      </c>
      <c r="NB16" s="11" t="str">
        <f t="shared" si="152"/>
        <v/>
      </c>
      <c r="NC16" s="11" t="str">
        <f t="shared" si="153"/>
        <v/>
      </c>
      <c r="ND16" s="11" t="str">
        <f t="shared" si="154"/>
        <v/>
      </c>
      <c r="NE16" s="11" t="str">
        <f t="shared" si="155"/>
        <v/>
      </c>
      <c r="NF16" s="11" t="str">
        <f t="shared" si="156"/>
        <v/>
      </c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36" t="str">
        <f t="shared" si="157"/>
        <v/>
      </c>
      <c r="OB16" s="36" t="str">
        <f t="shared" si="158"/>
        <v/>
      </c>
      <c r="OC16" s="36" t="str">
        <f t="shared" si="159"/>
        <v/>
      </c>
      <c r="OD16" s="36" t="str">
        <f t="shared" si="160"/>
        <v/>
      </c>
      <c r="OE16" s="36" t="str">
        <f t="shared" si="161"/>
        <v/>
      </c>
      <c r="OF16" s="36" t="str">
        <f t="shared" si="162"/>
        <v/>
      </c>
      <c r="OG16" s="36" t="str">
        <f t="shared" si="163"/>
        <v/>
      </c>
      <c r="OH16" s="36" t="str">
        <f t="shared" si="164"/>
        <v/>
      </c>
      <c r="OI16" s="36" t="str">
        <f t="shared" si="165"/>
        <v/>
      </c>
      <c r="OJ16" s="36" t="str">
        <f t="shared" si="166"/>
        <v/>
      </c>
      <c r="OK16" s="36" t="str">
        <f t="shared" si="167"/>
        <v/>
      </c>
      <c r="OL16" s="36" t="str">
        <f t="shared" si="168"/>
        <v/>
      </c>
      <c r="OM16" s="36" t="str">
        <f t="shared" si="169"/>
        <v/>
      </c>
      <c r="ON16" s="36" t="str">
        <f t="shared" si="170"/>
        <v/>
      </c>
      <c r="OO16" s="16"/>
      <c r="OP16" s="16"/>
      <c r="OQ16" s="16"/>
      <c r="OR16" s="16"/>
      <c r="OS16" s="16"/>
      <c r="OT16" s="16"/>
      <c r="OU16" s="16"/>
      <c r="OV16" s="16"/>
      <c r="OW16" s="16"/>
      <c r="OX16" s="16"/>
      <c r="OY16" s="16"/>
      <c r="OZ16" s="16"/>
      <c r="PA16" s="16"/>
      <c r="PB16" s="16"/>
      <c r="PC16" s="16"/>
      <c r="PD16" s="16"/>
      <c r="PE16" s="16"/>
      <c r="PF16" s="16"/>
      <c r="PG16" s="16"/>
      <c r="PH16" s="16"/>
      <c r="PI16" s="11" t="str">
        <f t="shared" si="171"/>
        <v/>
      </c>
      <c r="PJ16" s="11" t="str">
        <f t="shared" si="172"/>
        <v/>
      </c>
      <c r="PK16" s="11" t="str">
        <f t="shared" si="173"/>
        <v/>
      </c>
      <c r="PL16" s="11" t="str">
        <f t="shared" si="174"/>
        <v/>
      </c>
      <c r="PM16" s="11" t="str">
        <f t="shared" si="175"/>
        <v/>
      </c>
      <c r="PN16" s="11" t="str">
        <f t="shared" si="176"/>
        <v/>
      </c>
      <c r="PO16" s="11" t="str">
        <f t="shared" si="177"/>
        <v/>
      </c>
      <c r="PP16" s="11" t="str">
        <f t="shared" si="178"/>
        <v/>
      </c>
      <c r="PQ16" s="11" t="str">
        <f t="shared" si="179"/>
        <v/>
      </c>
      <c r="PR16" s="11" t="str">
        <f t="shared" si="180"/>
        <v/>
      </c>
      <c r="PS16" s="11" t="str">
        <f t="shared" si="181"/>
        <v/>
      </c>
      <c r="PT16" s="11" t="str">
        <f t="shared" si="182"/>
        <v/>
      </c>
      <c r="PU16" s="11" t="str">
        <f t="shared" si="183"/>
        <v/>
      </c>
      <c r="PV16" s="11" t="str">
        <f t="shared" si="184"/>
        <v/>
      </c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36" t="str">
        <f t="shared" si="185"/>
        <v/>
      </c>
      <c r="QR16" s="36" t="str">
        <f t="shared" si="186"/>
        <v/>
      </c>
      <c r="QS16" s="36" t="str">
        <f t="shared" si="187"/>
        <v/>
      </c>
      <c r="QT16" s="36" t="str">
        <f t="shared" si="188"/>
        <v/>
      </c>
      <c r="QU16" s="36" t="str">
        <f t="shared" si="189"/>
        <v/>
      </c>
      <c r="QV16" s="36" t="str">
        <f t="shared" si="190"/>
        <v/>
      </c>
      <c r="QW16" s="36" t="str">
        <f t="shared" si="191"/>
        <v/>
      </c>
      <c r="QX16" s="36" t="str">
        <f t="shared" si="192"/>
        <v/>
      </c>
      <c r="QY16" s="36" t="str">
        <f t="shared" si="193"/>
        <v/>
      </c>
      <c r="QZ16" s="36" t="str">
        <f t="shared" si="194"/>
        <v/>
      </c>
      <c r="RA16" s="36" t="str">
        <f t="shared" si="195"/>
        <v/>
      </c>
      <c r="RB16" s="36" t="str">
        <f t="shared" si="196"/>
        <v/>
      </c>
      <c r="RC16" s="36" t="str">
        <f t="shared" si="197"/>
        <v/>
      </c>
      <c r="RD16" s="36" t="str">
        <f t="shared" si="198"/>
        <v/>
      </c>
      <c r="RE16" s="16"/>
      <c r="RF16" s="16"/>
      <c r="RG16" s="16"/>
      <c r="RH16" s="16"/>
      <c r="RI16" s="16"/>
      <c r="RJ16" s="16"/>
      <c r="RK16" s="16"/>
      <c r="RL16" s="16"/>
      <c r="RM16" s="16"/>
      <c r="RN16" s="16"/>
      <c r="RO16" s="16"/>
      <c r="RP16" s="16"/>
      <c r="RQ16" s="16"/>
      <c r="RR16" s="16"/>
      <c r="RS16" s="16"/>
      <c r="RT16" s="16"/>
      <c r="RU16" s="16"/>
      <c r="RV16" s="16"/>
      <c r="RW16" s="16"/>
      <c r="RX16" s="16"/>
      <c r="RY16" s="11" t="str">
        <f t="shared" si="199"/>
        <v/>
      </c>
      <c r="RZ16" s="11" t="str">
        <f t="shared" si="200"/>
        <v/>
      </c>
      <c r="SA16" s="11" t="str">
        <f t="shared" si="201"/>
        <v/>
      </c>
      <c r="SB16" s="11" t="str">
        <f t="shared" si="202"/>
        <v/>
      </c>
      <c r="SC16" s="11" t="str">
        <f t="shared" si="203"/>
        <v/>
      </c>
      <c r="SD16" s="11" t="str">
        <f t="shared" si="204"/>
        <v/>
      </c>
      <c r="SE16" s="11" t="str">
        <f t="shared" si="205"/>
        <v/>
      </c>
      <c r="SF16" s="11" t="str">
        <f t="shared" si="206"/>
        <v/>
      </c>
      <c r="SG16" s="11" t="str">
        <f t="shared" si="207"/>
        <v/>
      </c>
      <c r="SH16" s="11" t="str">
        <f t="shared" si="208"/>
        <v/>
      </c>
      <c r="SI16" s="11" t="str">
        <f t="shared" si="209"/>
        <v/>
      </c>
      <c r="SJ16" s="11" t="str">
        <f t="shared" si="210"/>
        <v/>
      </c>
      <c r="SK16" s="11" t="str">
        <f t="shared" si="211"/>
        <v/>
      </c>
      <c r="SL16" s="11" t="str">
        <f t="shared" si="212"/>
        <v/>
      </c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36" t="str">
        <f t="shared" si="213"/>
        <v/>
      </c>
      <c r="TH16" s="36" t="str">
        <f t="shared" si="214"/>
        <v/>
      </c>
      <c r="TI16" s="36" t="str">
        <f t="shared" si="215"/>
        <v/>
      </c>
      <c r="TJ16" s="36" t="str">
        <f t="shared" si="216"/>
        <v/>
      </c>
      <c r="TK16" s="36" t="str">
        <f t="shared" si="217"/>
        <v/>
      </c>
      <c r="TL16" s="36" t="str">
        <f t="shared" si="218"/>
        <v/>
      </c>
      <c r="TM16" s="36" t="str">
        <f t="shared" si="219"/>
        <v/>
      </c>
      <c r="TN16" s="36" t="str">
        <f t="shared" si="220"/>
        <v/>
      </c>
      <c r="TO16" s="36" t="str">
        <f t="shared" si="221"/>
        <v/>
      </c>
      <c r="TP16" s="36" t="str">
        <f t="shared" si="222"/>
        <v/>
      </c>
      <c r="TQ16" s="36" t="str">
        <f t="shared" si="223"/>
        <v/>
      </c>
      <c r="TR16" s="36" t="str">
        <f t="shared" si="224"/>
        <v/>
      </c>
      <c r="TS16" s="36" t="str">
        <f t="shared" si="225"/>
        <v/>
      </c>
      <c r="TT16" s="36" t="str">
        <f t="shared" si="226"/>
        <v/>
      </c>
      <c r="TU16" s="16"/>
      <c r="TV16" s="16"/>
      <c r="TW16" s="16"/>
      <c r="TX16" s="16"/>
      <c r="TY16" s="16"/>
      <c r="TZ16" s="16"/>
      <c r="UA16" s="16"/>
      <c r="UB16" s="16"/>
      <c r="UC16" s="16"/>
      <c r="UD16" s="16"/>
      <c r="UE16" s="16"/>
      <c r="UF16" s="16"/>
      <c r="UG16" s="16"/>
      <c r="UH16" s="16"/>
      <c r="UI16" s="16"/>
      <c r="UJ16" s="16"/>
      <c r="UK16" s="16"/>
      <c r="UL16" s="16"/>
      <c r="UM16" s="16"/>
      <c r="UN16" s="16"/>
      <c r="UO16" s="11" t="str">
        <f t="shared" si="227"/>
        <v/>
      </c>
      <c r="UP16" s="11" t="str">
        <f t="shared" si="228"/>
        <v/>
      </c>
      <c r="UQ16" s="11" t="str">
        <f t="shared" si="229"/>
        <v/>
      </c>
      <c r="UR16" s="11" t="str">
        <f t="shared" si="230"/>
        <v/>
      </c>
      <c r="US16" s="11" t="str">
        <f t="shared" si="231"/>
        <v/>
      </c>
      <c r="UT16" s="11" t="str">
        <f t="shared" si="232"/>
        <v/>
      </c>
      <c r="UU16" s="11" t="str">
        <f t="shared" si="233"/>
        <v/>
      </c>
      <c r="UV16" s="11" t="str">
        <f t="shared" si="234"/>
        <v/>
      </c>
      <c r="UW16" s="11" t="str">
        <f t="shared" si="235"/>
        <v/>
      </c>
      <c r="UX16" s="11" t="str">
        <f t="shared" si="236"/>
        <v/>
      </c>
      <c r="UY16" s="11" t="str">
        <f t="shared" si="237"/>
        <v/>
      </c>
      <c r="UZ16" s="11" t="str">
        <f t="shared" si="238"/>
        <v/>
      </c>
      <c r="VA16" s="11" t="str">
        <f t="shared" si="239"/>
        <v/>
      </c>
      <c r="VB16" s="11" t="str">
        <f t="shared" si="240"/>
        <v/>
      </c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36" t="str">
        <f t="shared" si="241"/>
        <v/>
      </c>
      <c r="VX16" s="36" t="str">
        <f t="shared" si="242"/>
        <v/>
      </c>
      <c r="VY16" s="36" t="str">
        <f t="shared" si="243"/>
        <v/>
      </c>
      <c r="VZ16" s="36" t="str">
        <f t="shared" si="244"/>
        <v/>
      </c>
      <c r="WA16" s="36" t="str">
        <f t="shared" si="245"/>
        <v/>
      </c>
      <c r="WB16" s="36" t="str">
        <f t="shared" si="246"/>
        <v/>
      </c>
      <c r="WC16" s="36" t="str">
        <f t="shared" si="247"/>
        <v/>
      </c>
      <c r="WD16" s="36" t="str">
        <f t="shared" si="248"/>
        <v/>
      </c>
      <c r="WE16" s="36" t="str">
        <f t="shared" si="249"/>
        <v/>
      </c>
      <c r="WF16" s="36" t="str">
        <f t="shared" si="250"/>
        <v/>
      </c>
      <c r="WG16" s="36" t="str">
        <f t="shared" si="251"/>
        <v/>
      </c>
      <c r="WH16" s="36" t="str">
        <f t="shared" si="252"/>
        <v/>
      </c>
      <c r="WI16" s="36" t="str">
        <f t="shared" si="253"/>
        <v/>
      </c>
      <c r="WJ16" s="36" t="str">
        <f t="shared" si="254"/>
        <v/>
      </c>
    </row>
    <row r="17" spans="1:608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235</v>
      </c>
      <c r="C17" s="4" t="s">
        <v>5</v>
      </c>
      <c r="D17" s="4" t="s">
        <v>236</v>
      </c>
      <c r="E17" s="9">
        <f t="shared" si="0"/>
        <v>29.550002955002</v>
      </c>
      <c r="F17" s="3" t="str">
        <f t="shared" si="1"/>
        <v/>
      </c>
      <c r="G17" s="3" t="str">
        <f t="shared" si="2"/>
        <v/>
      </c>
      <c r="H17" s="32" t="str">
        <f t="shared" si="3"/>
        <v/>
      </c>
      <c r="I17" s="3" t="str">
        <f t="shared" si="4"/>
        <v/>
      </c>
      <c r="J17" s="8">
        <f t="shared" si="5"/>
        <v>20.05</v>
      </c>
      <c r="K17" s="8" t="str">
        <f t="shared" si="6"/>
        <v>2026 Elite Canada</v>
      </c>
      <c r="L17" s="8">
        <f>IFERROR(LARGE((AI17,AL17,AP17,BJ17,BM17,BQ17,CK17,CN17,CR17),2),0)</f>
        <v>9.4999999999999982</v>
      </c>
      <c r="M17" s="8" t="str">
        <f t="shared" si="7"/>
        <v>2026 Elite Canada</v>
      </c>
      <c r="N17" s="8">
        <f t="shared" si="8"/>
        <v>0</v>
      </c>
      <c r="O17" s="11" t="str">
        <f t="shared" si="9"/>
        <v/>
      </c>
      <c r="P17" s="8" t="str">
        <f t="shared" si="10"/>
        <v/>
      </c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23"/>
      <c r="AG17" s="34" t="str">
        <f t="shared" si="11"/>
        <v/>
      </c>
      <c r="AH17" s="34" t="str">
        <f t="shared" si="12"/>
        <v/>
      </c>
      <c r="AI17" s="36" t="str">
        <f t="shared" si="13"/>
        <v/>
      </c>
      <c r="AJ17" s="36" t="str">
        <f t="shared" si="14"/>
        <v/>
      </c>
      <c r="AK17" s="36" t="str">
        <f t="shared" si="15"/>
        <v/>
      </c>
      <c r="AL17" s="36" t="str">
        <f t="shared" si="16"/>
        <v/>
      </c>
      <c r="AM17" s="36" t="str">
        <f t="shared" si="17"/>
        <v/>
      </c>
      <c r="AN17" s="36" t="str">
        <f t="shared" si="18"/>
        <v/>
      </c>
      <c r="AO17" s="36" t="str">
        <f t="shared" si="19"/>
        <v/>
      </c>
      <c r="AP17" s="36" t="str">
        <f t="shared" si="20"/>
        <v/>
      </c>
      <c r="AQ17" s="36" t="str">
        <f t="shared" si="21"/>
        <v/>
      </c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4"/>
      <c r="BH17" s="35" t="str">
        <f t="shared" si="22"/>
        <v/>
      </c>
      <c r="BI17" s="35" t="str">
        <f t="shared" si="23"/>
        <v/>
      </c>
      <c r="BJ17" s="11" t="str">
        <f t="shared" si="24"/>
        <v/>
      </c>
      <c r="BK17" s="11" t="str">
        <f t="shared" si="25"/>
        <v/>
      </c>
      <c r="BL17" s="11" t="str">
        <f t="shared" si="26"/>
        <v/>
      </c>
      <c r="BM17" s="11" t="str">
        <f t="shared" si="27"/>
        <v/>
      </c>
      <c r="BN17" s="11" t="str">
        <f t="shared" si="28"/>
        <v/>
      </c>
      <c r="BO17" s="11" t="str">
        <f t="shared" si="29"/>
        <v/>
      </c>
      <c r="BP17" s="11" t="str">
        <f t="shared" si="30"/>
        <v/>
      </c>
      <c r="BQ17" s="11" t="str">
        <f t="shared" si="31"/>
        <v/>
      </c>
      <c r="BR17" s="11" t="str">
        <f t="shared" si="32"/>
        <v/>
      </c>
      <c r="BS17" s="18">
        <v>2.7</v>
      </c>
      <c r="BT17" s="18">
        <v>3.95</v>
      </c>
      <c r="BU17" s="18">
        <v>5.9</v>
      </c>
      <c r="BV17" s="18">
        <v>7.5</v>
      </c>
      <c r="BW17" s="18">
        <v>0</v>
      </c>
      <c r="BX17" s="18">
        <v>1.93</v>
      </c>
      <c r="BY17" s="18">
        <v>2.75</v>
      </c>
      <c r="BZ17" s="18">
        <v>0</v>
      </c>
      <c r="CA17" s="18">
        <v>5.22</v>
      </c>
      <c r="CB17" s="18">
        <v>0.4</v>
      </c>
      <c r="CC17" s="18"/>
      <c r="CD17" s="18"/>
      <c r="CE17" s="18"/>
      <c r="CF17" s="18"/>
      <c r="CG17" s="18"/>
      <c r="CH17" s="23"/>
      <c r="CI17" s="34">
        <f t="shared" si="33"/>
        <v>5.9</v>
      </c>
      <c r="CJ17" s="34">
        <f t="shared" si="34"/>
        <v>7.5</v>
      </c>
      <c r="CK17" s="36">
        <f t="shared" si="35"/>
        <v>20.05</v>
      </c>
      <c r="CL17" s="36" t="str">
        <f t="shared" si="36"/>
        <v/>
      </c>
      <c r="CM17" s="36">
        <f t="shared" si="37"/>
        <v>5.22</v>
      </c>
      <c r="CN17" s="36">
        <f t="shared" si="38"/>
        <v>9.4999999999999982</v>
      </c>
      <c r="CO17" s="36">
        <f t="shared" si="39"/>
        <v>20.05</v>
      </c>
      <c r="CP17" s="36" t="str">
        <f t="shared" si="40"/>
        <v/>
      </c>
      <c r="CQ17" s="36" t="str">
        <f t="shared" si="41"/>
        <v/>
      </c>
      <c r="CR17" s="36" t="str">
        <f t="shared" si="42"/>
        <v/>
      </c>
      <c r="CS17" s="36">
        <f t="shared" si="43"/>
        <v>20.05</v>
      </c>
      <c r="CT17" s="47" t="str">
        <f t="shared" si="44"/>
        <v/>
      </c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36" t="str">
        <f t="shared" si="45"/>
        <v/>
      </c>
      <c r="DP17" s="36" t="str">
        <f t="shared" si="46"/>
        <v/>
      </c>
      <c r="DQ17" s="36" t="str">
        <f t="shared" si="47"/>
        <v/>
      </c>
      <c r="DR17" s="36" t="str">
        <f t="shared" si="48"/>
        <v/>
      </c>
      <c r="DS17" s="36" t="str">
        <f t="shared" si="49"/>
        <v/>
      </c>
      <c r="DT17" s="36" t="str">
        <f t="shared" si="50"/>
        <v/>
      </c>
      <c r="DU17" s="36" t="str">
        <f t="shared" si="51"/>
        <v/>
      </c>
      <c r="DV17" s="36" t="str">
        <f t="shared" si="52"/>
        <v/>
      </c>
      <c r="DW17" s="36" t="str">
        <f t="shared" si="53"/>
        <v/>
      </c>
      <c r="DX17" s="36" t="str">
        <f t="shared" si="54"/>
        <v/>
      </c>
      <c r="DY17" s="36" t="str">
        <f t="shared" si="55"/>
        <v/>
      </c>
      <c r="DZ17" s="36" t="str">
        <f t="shared" si="56"/>
        <v/>
      </c>
      <c r="EA17" s="36" t="str">
        <f t="shared" si="57"/>
        <v/>
      </c>
      <c r="EB17" s="36" t="str">
        <f t="shared" si="58"/>
        <v/>
      </c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1" t="str">
        <f t="shared" si="59"/>
        <v/>
      </c>
      <c r="EX17" s="11" t="str">
        <f t="shared" si="60"/>
        <v/>
      </c>
      <c r="EY17" s="11" t="str">
        <f t="shared" si="61"/>
        <v/>
      </c>
      <c r="EZ17" s="11" t="str">
        <f t="shared" si="62"/>
        <v/>
      </c>
      <c r="FA17" s="11" t="str">
        <f t="shared" si="63"/>
        <v/>
      </c>
      <c r="FB17" s="11" t="str">
        <f t="shared" si="64"/>
        <v/>
      </c>
      <c r="FC17" s="11" t="str">
        <f t="shared" si="65"/>
        <v/>
      </c>
      <c r="FD17" s="11" t="str">
        <f t="shared" si="66"/>
        <v/>
      </c>
      <c r="FE17" s="11" t="str">
        <f t="shared" si="67"/>
        <v/>
      </c>
      <c r="FF17" s="11" t="str">
        <f t="shared" si="68"/>
        <v/>
      </c>
      <c r="FG17" s="11" t="str">
        <f t="shared" si="69"/>
        <v/>
      </c>
      <c r="FH17" s="11" t="str">
        <f t="shared" si="70"/>
        <v/>
      </c>
      <c r="FI17" s="11" t="str">
        <f t="shared" si="71"/>
        <v/>
      </c>
      <c r="FJ17" s="11" t="str">
        <f t="shared" si="72"/>
        <v/>
      </c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36" t="str">
        <f t="shared" si="73"/>
        <v/>
      </c>
      <c r="GF17" s="36" t="str">
        <f t="shared" si="74"/>
        <v/>
      </c>
      <c r="GG17" s="36" t="str">
        <f t="shared" si="75"/>
        <v/>
      </c>
      <c r="GH17" s="36" t="str">
        <f t="shared" si="76"/>
        <v/>
      </c>
      <c r="GI17" s="36" t="str">
        <f t="shared" si="77"/>
        <v/>
      </c>
      <c r="GJ17" s="36" t="str">
        <f t="shared" si="78"/>
        <v/>
      </c>
      <c r="GK17" s="36" t="str">
        <f t="shared" si="79"/>
        <v/>
      </c>
      <c r="GL17" s="36" t="str">
        <f t="shared" si="80"/>
        <v/>
      </c>
      <c r="GM17" s="36" t="str">
        <f t="shared" si="81"/>
        <v/>
      </c>
      <c r="GN17" s="36" t="str">
        <f t="shared" si="82"/>
        <v/>
      </c>
      <c r="GO17" s="36" t="str">
        <f t="shared" si="83"/>
        <v/>
      </c>
      <c r="GP17" s="36" t="str">
        <f t="shared" si="84"/>
        <v/>
      </c>
      <c r="GQ17" s="36" t="str">
        <f t="shared" si="85"/>
        <v/>
      </c>
      <c r="GR17" s="36" t="str">
        <f t="shared" si="86"/>
        <v/>
      </c>
      <c r="GS17" s="16"/>
      <c r="GT17" s="16"/>
      <c r="GU17" s="16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1" t="str">
        <f t="shared" si="87"/>
        <v/>
      </c>
      <c r="HN17" s="11" t="str">
        <f t="shared" si="88"/>
        <v/>
      </c>
      <c r="HO17" s="11" t="str">
        <f t="shared" si="89"/>
        <v/>
      </c>
      <c r="HP17" s="11" t="str">
        <f t="shared" si="90"/>
        <v/>
      </c>
      <c r="HQ17" s="11" t="str">
        <f t="shared" si="91"/>
        <v/>
      </c>
      <c r="HR17" s="11" t="str">
        <f t="shared" si="92"/>
        <v/>
      </c>
      <c r="HS17" s="11" t="str">
        <f t="shared" si="93"/>
        <v/>
      </c>
      <c r="HT17" s="11" t="str">
        <f t="shared" si="94"/>
        <v/>
      </c>
      <c r="HU17" s="11" t="str">
        <f t="shared" si="95"/>
        <v/>
      </c>
      <c r="HV17" s="11" t="str">
        <f t="shared" si="96"/>
        <v/>
      </c>
      <c r="HW17" s="11" t="str">
        <f t="shared" si="97"/>
        <v/>
      </c>
      <c r="HX17" s="11" t="str">
        <f t="shared" si="98"/>
        <v/>
      </c>
      <c r="HY17" s="11" t="str">
        <f t="shared" si="99"/>
        <v/>
      </c>
      <c r="HZ17" s="11" t="str">
        <f t="shared" si="100"/>
        <v/>
      </c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36" t="str">
        <f t="shared" si="101"/>
        <v/>
      </c>
      <c r="IV17" s="36" t="str">
        <f t="shared" si="102"/>
        <v/>
      </c>
      <c r="IW17" s="36" t="str">
        <f t="shared" si="103"/>
        <v/>
      </c>
      <c r="IX17" s="36" t="str">
        <f t="shared" si="104"/>
        <v/>
      </c>
      <c r="IY17" s="36" t="str">
        <f t="shared" si="105"/>
        <v/>
      </c>
      <c r="IZ17" s="36" t="str">
        <f t="shared" si="106"/>
        <v/>
      </c>
      <c r="JA17" s="36" t="str">
        <f t="shared" si="107"/>
        <v/>
      </c>
      <c r="JB17" s="36" t="str">
        <f t="shared" si="108"/>
        <v/>
      </c>
      <c r="JC17" s="36" t="str">
        <f t="shared" si="109"/>
        <v/>
      </c>
      <c r="JD17" s="36" t="str">
        <f t="shared" si="110"/>
        <v/>
      </c>
      <c r="JE17" s="36" t="str">
        <f t="shared" si="111"/>
        <v/>
      </c>
      <c r="JF17" s="36" t="str">
        <f t="shared" si="112"/>
        <v/>
      </c>
      <c r="JG17" s="36" t="str">
        <f t="shared" si="113"/>
        <v/>
      </c>
      <c r="JH17" s="36" t="str">
        <f t="shared" si="114"/>
        <v/>
      </c>
      <c r="JI17" s="16"/>
      <c r="JJ17" s="16"/>
      <c r="JK17" s="16"/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16"/>
      <c r="JX17" s="16"/>
      <c r="JY17" s="16"/>
      <c r="JZ17" s="16"/>
      <c r="KA17" s="16"/>
      <c r="KB17" s="16"/>
      <c r="KC17" s="11" t="str">
        <f t="shared" si="115"/>
        <v/>
      </c>
      <c r="KD17" s="11" t="str">
        <f t="shared" si="116"/>
        <v/>
      </c>
      <c r="KE17" s="11" t="str">
        <f t="shared" si="117"/>
        <v/>
      </c>
      <c r="KF17" s="11" t="str">
        <f t="shared" si="118"/>
        <v/>
      </c>
      <c r="KG17" s="11" t="str">
        <f t="shared" si="119"/>
        <v/>
      </c>
      <c r="KH17" s="11" t="str">
        <f t="shared" si="120"/>
        <v/>
      </c>
      <c r="KI17" s="11" t="str">
        <f t="shared" si="121"/>
        <v/>
      </c>
      <c r="KJ17" s="11" t="str">
        <f t="shared" si="122"/>
        <v/>
      </c>
      <c r="KK17" s="11" t="str">
        <f t="shared" si="123"/>
        <v/>
      </c>
      <c r="KL17" s="11" t="str">
        <f t="shared" si="124"/>
        <v/>
      </c>
      <c r="KM17" s="11" t="str">
        <f t="shared" si="125"/>
        <v/>
      </c>
      <c r="KN17" s="11" t="str">
        <f t="shared" si="126"/>
        <v/>
      </c>
      <c r="KO17" s="11" t="str">
        <f t="shared" si="127"/>
        <v/>
      </c>
      <c r="KP17" s="11" t="str">
        <f t="shared" si="128"/>
        <v/>
      </c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36" t="str">
        <f t="shared" si="129"/>
        <v/>
      </c>
      <c r="LL17" s="36" t="str">
        <f t="shared" si="130"/>
        <v/>
      </c>
      <c r="LM17" s="36" t="str">
        <f t="shared" si="131"/>
        <v/>
      </c>
      <c r="LN17" s="36" t="str">
        <f t="shared" si="132"/>
        <v/>
      </c>
      <c r="LO17" s="36" t="str">
        <f t="shared" si="133"/>
        <v/>
      </c>
      <c r="LP17" s="36" t="str">
        <f t="shared" si="134"/>
        <v/>
      </c>
      <c r="LQ17" s="36" t="str">
        <f t="shared" si="135"/>
        <v/>
      </c>
      <c r="LR17" s="36" t="str">
        <f t="shared" si="136"/>
        <v/>
      </c>
      <c r="LS17" s="36" t="str">
        <f t="shared" si="137"/>
        <v/>
      </c>
      <c r="LT17" s="36" t="str">
        <f t="shared" si="138"/>
        <v/>
      </c>
      <c r="LU17" s="36" t="str">
        <f t="shared" si="139"/>
        <v/>
      </c>
      <c r="LV17" s="36" t="str">
        <f t="shared" si="140"/>
        <v/>
      </c>
      <c r="LW17" s="36" t="str">
        <f t="shared" si="141"/>
        <v/>
      </c>
      <c r="LX17" s="36" t="str">
        <f t="shared" si="142"/>
        <v/>
      </c>
      <c r="LY17" s="16"/>
      <c r="LZ17" s="16"/>
      <c r="MA17" s="16"/>
      <c r="MB17" s="16"/>
      <c r="MC17" s="16"/>
      <c r="MD17" s="16"/>
      <c r="ME17" s="16"/>
      <c r="MF17" s="16"/>
      <c r="MG17" s="16"/>
      <c r="MH17" s="16"/>
      <c r="MI17" s="16"/>
      <c r="MJ17" s="16"/>
      <c r="MK17" s="16"/>
      <c r="ML17" s="16"/>
      <c r="MM17" s="16"/>
      <c r="MN17" s="16"/>
      <c r="MO17" s="16"/>
      <c r="MP17" s="16"/>
      <c r="MQ17" s="16"/>
      <c r="MR17" s="16"/>
      <c r="MS17" s="11" t="str">
        <f t="shared" si="143"/>
        <v/>
      </c>
      <c r="MT17" s="11" t="str">
        <f t="shared" si="144"/>
        <v/>
      </c>
      <c r="MU17" s="11" t="str">
        <f t="shared" si="145"/>
        <v/>
      </c>
      <c r="MV17" s="11" t="str">
        <f t="shared" si="146"/>
        <v/>
      </c>
      <c r="MW17" s="11" t="str">
        <f t="shared" si="147"/>
        <v/>
      </c>
      <c r="MX17" s="11" t="str">
        <f t="shared" si="148"/>
        <v/>
      </c>
      <c r="MY17" s="11" t="str">
        <f t="shared" si="149"/>
        <v/>
      </c>
      <c r="MZ17" s="11" t="str">
        <f t="shared" si="150"/>
        <v/>
      </c>
      <c r="NA17" s="11" t="str">
        <f t="shared" si="151"/>
        <v/>
      </c>
      <c r="NB17" s="11" t="str">
        <f t="shared" si="152"/>
        <v/>
      </c>
      <c r="NC17" s="11" t="str">
        <f t="shared" si="153"/>
        <v/>
      </c>
      <c r="ND17" s="11" t="str">
        <f t="shared" si="154"/>
        <v/>
      </c>
      <c r="NE17" s="11" t="str">
        <f t="shared" si="155"/>
        <v/>
      </c>
      <c r="NF17" s="11" t="str">
        <f t="shared" si="156"/>
        <v/>
      </c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36" t="str">
        <f t="shared" si="157"/>
        <v/>
      </c>
      <c r="OB17" s="36" t="str">
        <f t="shared" si="158"/>
        <v/>
      </c>
      <c r="OC17" s="36" t="str">
        <f t="shared" si="159"/>
        <v/>
      </c>
      <c r="OD17" s="36" t="str">
        <f t="shared" si="160"/>
        <v/>
      </c>
      <c r="OE17" s="36" t="str">
        <f t="shared" si="161"/>
        <v/>
      </c>
      <c r="OF17" s="36" t="str">
        <f t="shared" si="162"/>
        <v/>
      </c>
      <c r="OG17" s="36" t="str">
        <f t="shared" si="163"/>
        <v/>
      </c>
      <c r="OH17" s="36" t="str">
        <f t="shared" si="164"/>
        <v/>
      </c>
      <c r="OI17" s="36" t="str">
        <f t="shared" si="165"/>
        <v/>
      </c>
      <c r="OJ17" s="36" t="str">
        <f t="shared" si="166"/>
        <v/>
      </c>
      <c r="OK17" s="36" t="str">
        <f t="shared" si="167"/>
        <v/>
      </c>
      <c r="OL17" s="36" t="str">
        <f t="shared" si="168"/>
        <v/>
      </c>
      <c r="OM17" s="36" t="str">
        <f t="shared" si="169"/>
        <v/>
      </c>
      <c r="ON17" s="36" t="str">
        <f t="shared" si="170"/>
        <v/>
      </c>
      <c r="OO17" s="16"/>
      <c r="OP17" s="16"/>
      <c r="OQ17" s="16"/>
      <c r="OR17" s="16"/>
      <c r="OS17" s="16"/>
      <c r="OT17" s="16"/>
      <c r="OU17" s="16"/>
      <c r="OV17" s="16"/>
      <c r="OW17" s="16"/>
      <c r="OX17" s="16"/>
      <c r="OY17" s="16"/>
      <c r="OZ17" s="16"/>
      <c r="PA17" s="16"/>
      <c r="PB17" s="16"/>
      <c r="PC17" s="16"/>
      <c r="PD17" s="16"/>
      <c r="PE17" s="16"/>
      <c r="PF17" s="16"/>
      <c r="PG17" s="16"/>
      <c r="PH17" s="16"/>
      <c r="PI17" s="11" t="str">
        <f t="shared" si="171"/>
        <v/>
      </c>
      <c r="PJ17" s="11" t="str">
        <f t="shared" si="172"/>
        <v/>
      </c>
      <c r="PK17" s="11" t="str">
        <f t="shared" si="173"/>
        <v/>
      </c>
      <c r="PL17" s="11" t="str">
        <f t="shared" si="174"/>
        <v/>
      </c>
      <c r="PM17" s="11" t="str">
        <f t="shared" si="175"/>
        <v/>
      </c>
      <c r="PN17" s="11" t="str">
        <f t="shared" si="176"/>
        <v/>
      </c>
      <c r="PO17" s="11" t="str">
        <f t="shared" si="177"/>
        <v/>
      </c>
      <c r="PP17" s="11" t="str">
        <f t="shared" si="178"/>
        <v/>
      </c>
      <c r="PQ17" s="11" t="str">
        <f t="shared" si="179"/>
        <v/>
      </c>
      <c r="PR17" s="11" t="str">
        <f t="shared" si="180"/>
        <v/>
      </c>
      <c r="PS17" s="11" t="str">
        <f t="shared" si="181"/>
        <v/>
      </c>
      <c r="PT17" s="11" t="str">
        <f t="shared" si="182"/>
        <v/>
      </c>
      <c r="PU17" s="11" t="str">
        <f t="shared" si="183"/>
        <v/>
      </c>
      <c r="PV17" s="11" t="str">
        <f t="shared" si="184"/>
        <v/>
      </c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36" t="str">
        <f t="shared" si="185"/>
        <v/>
      </c>
      <c r="QR17" s="36" t="str">
        <f t="shared" si="186"/>
        <v/>
      </c>
      <c r="QS17" s="36" t="str">
        <f t="shared" si="187"/>
        <v/>
      </c>
      <c r="QT17" s="36" t="str">
        <f t="shared" si="188"/>
        <v/>
      </c>
      <c r="QU17" s="36" t="str">
        <f t="shared" si="189"/>
        <v/>
      </c>
      <c r="QV17" s="36" t="str">
        <f t="shared" si="190"/>
        <v/>
      </c>
      <c r="QW17" s="36" t="str">
        <f t="shared" si="191"/>
        <v/>
      </c>
      <c r="QX17" s="36" t="str">
        <f t="shared" si="192"/>
        <v/>
      </c>
      <c r="QY17" s="36" t="str">
        <f t="shared" si="193"/>
        <v/>
      </c>
      <c r="QZ17" s="36" t="str">
        <f t="shared" si="194"/>
        <v/>
      </c>
      <c r="RA17" s="36" t="str">
        <f t="shared" si="195"/>
        <v/>
      </c>
      <c r="RB17" s="36" t="str">
        <f t="shared" si="196"/>
        <v/>
      </c>
      <c r="RC17" s="36" t="str">
        <f t="shared" si="197"/>
        <v/>
      </c>
      <c r="RD17" s="36" t="str">
        <f t="shared" si="198"/>
        <v/>
      </c>
      <c r="RE17" s="16"/>
      <c r="RF17" s="16"/>
      <c r="RG17" s="16"/>
      <c r="RH17" s="16"/>
      <c r="RI17" s="16"/>
      <c r="RJ17" s="16"/>
      <c r="RK17" s="16"/>
      <c r="RL17" s="16"/>
      <c r="RM17" s="16"/>
      <c r="RN17" s="16"/>
      <c r="RO17" s="16"/>
      <c r="RP17" s="16"/>
      <c r="RQ17" s="16"/>
      <c r="RR17" s="16"/>
      <c r="RS17" s="16"/>
      <c r="RT17" s="16"/>
      <c r="RU17" s="16"/>
      <c r="RV17" s="16"/>
      <c r="RW17" s="16"/>
      <c r="RX17" s="16"/>
      <c r="RY17" s="11" t="str">
        <f t="shared" si="199"/>
        <v/>
      </c>
      <c r="RZ17" s="11" t="str">
        <f t="shared" si="200"/>
        <v/>
      </c>
      <c r="SA17" s="11" t="str">
        <f t="shared" si="201"/>
        <v/>
      </c>
      <c r="SB17" s="11" t="str">
        <f t="shared" si="202"/>
        <v/>
      </c>
      <c r="SC17" s="11" t="str">
        <f t="shared" si="203"/>
        <v/>
      </c>
      <c r="SD17" s="11" t="str">
        <f t="shared" si="204"/>
        <v/>
      </c>
      <c r="SE17" s="11" t="str">
        <f t="shared" si="205"/>
        <v/>
      </c>
      <c r="SF17" s="11" t="str">
        <f t="shared" si="206"/>
        <v/>
      </c>
      <c r="SG17" s="11" t="str">
        <f t="shared" si="207"/>
        <v/>
      </c>
      <c r="SH17" s="11" t="str">
        <f t="shared" si="208"/>
        <v/>
      </c>
      <c r="SI17" s="11" t="str">
        <f t="shared" si="209"/>
        <v/>
      </c>
      <c r="SJ17" s="11" t="str">
        <f t="shared" si="210"/>
        <v/>
      </c>
      <c r="SK17" s="11" t="str">
        <f t="shared" si="211"/>
        <v/>
      </c>
      <c r="SL17" s="11" t="str">
        <f t="shared" si="212"/>
        <v/>
      </c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36" t="str">
        <f t="shared" si="213"/>
        <v/>
      </c>
      <c r="TH17" s="36" t="str">
        <f t="shared" si="214"/>
        <v/>
      </c>
      <c r="TI17" s="36" t="str">
        <f t="shared" si="215"/>
        <v/>
      </c>
      <c r="TJ17" s="36" t="str">
        <f t="shared" si="216"/>
        <v/>
      </c>
      <c r="TK17" s="36" t="str">
        <f t="shared" si="217"/>
        <v/>
      </c>
      <c r="TL17" s="36" t="str">
        <f t="shared" si="218"/>
        <v/>
      </c>
      <c r="TM17" s="36" t="str">
        <f t="shared" si="219"/>
        <v/>
      </c>
      <c r="TN17" s="36" t="str">
        <f t="shared" si="220"/>
        <v/>
      </c>
      <c r="TO17" s="36" t="str">
        <f t="shared" si="221"/>
        <v/>
      </c>
      <c r="TP17" s="36" t="str">
        <f t="shared" si="222"/>
        <v/>
      </c>
      <c r="TQ17" s="36" t="str">
        <f t="shared" si="223"/>
        <v/>
      </c>
      <c r="TR17" s="36" t="str">
        <f t="shared" si="224"/>
        <v/>
      </c>
      <c r="TS17" s="36" t="str">
        <f t="shared" si="225"/>
        <v/>
      </c>
      <c r="TT17" s="36" t="str">
        <f t="shared" si="226"/>
        <v/>
      </c>
      <c r="TU17" s="16"/>
      <c r="TV17" s="16"/>
      <c r="TW17" s="16"/>
      <c r="TX17" s="16"/>
      <c r="TY17" s="16"/>
      <c r="TZ17" s="16"/>
      <c r="UA17" s="16"/>
      <c r="UB17" s="16"/>
      <c r="UC17" s="16"/>
      <c r="UD17" s="16"/>
      <c r="UE17" s="16"/>
      <c r="UF17" s="16"/>
      <c r="UG17" s="16"/>
      <c r="UH17" s="16"/>
      <c r="UI17" s="16"/>
      <c r="UJ17" s="16"/>
      <c r="UK17" s="16"/>
      <c r="UL17" s="16"/>
      <c r="UM17" s="16"/>
      <c r="UN17" s="16"/>
      <c r="UO17" s="11" t="str">
        <f t="shared" si="227"/>
        <v/>
      </c>
      <c r="UP17" s="11" t="str">
        <f t="shared" si="228"/>
        <v/>
      </c>
      <c r="UQ17" s="11" t="str">
        <f t="shared" si="229"/>
        <v/>
      </c>
      <c r="UR17" s="11" t="str">
        <f t="shared" si="230"/>
        <v/>
      </c>
      <c r="US17" s="11" t="str">
        <f t="shared" si="231"/>
        <v/>
      </c>
      <c r="UT17" s="11" t="str">
        <f t="shared" si="232"/>
        <v/>
      </c>
      <c r="UU17" s="11" t="str">
        <f t="shared" si="233"/>
        <v/>
      </c>
      <c r="UV17" s="11" t="str">
        <f t="shared" si="234"/>
        <v/>
      </c>
      <c r="UW17" s="11" t="str">
        <f t="shared" si="235"/>
        <v/>
      </c>
      <c r="UX17" s="11" t="str">
        <f t="shared" si="236"/>
        <v/>
      </c>
      <c r="UY17" s="11" t="str">
        <f t="shared" si="237"/>
        <v/>
      </c>
      <c r="UZ17" s="11" t="str">
        <f t="shared" si="238"/>
        <v/>
      </c>
      <c r="VA17" s="11" t="str">
        <f t="shared" si="239"/>
        <v/>
      </c>
      <c r="VB17" s="11" t="str">
        <f t="shared" si="240"/>
        <v/>
      </c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36" t="str">
        <f t="shared" si="241"/>
        <v/>
      </c>
      <c r="VX17" s="36" t="str">
        <f t="shared" si="242"/>
        <v/>
      </c>
      <c r="VY17" s="36" t="str">
        <f t="shared" si="243"/>
        <v/>
      </c>
      <c r="VZ17" s="36" t="str">
        <f t="shared" si="244"/>
        <v/>
      </c>
      <c r="WA17" s="36" t="str">
        <f t="shared" si="245"/>
        <v/>
      </c>
      <c r="WB17" s="36" t="str">
        <f t="shared" si="246"/>
        <v/>
      </c>
      <c r="WC17" s="36" t="str">
        <f t="shared" si="247"/>
        <v/>
      </c>
      <c r="WD17" s="36" t="str">
        <f t="shared" si="248"/>
        <v/>
      </c>
      <c r="WE17" s="36" t="str">
        <f t="shared" si="249"/>
        <v/>
      </c>
      <c r="WF17" s="36" t="str">
        <f t="shared" si="250"/>
        <v/>
      </c>
      <c r="WG17" s="36" t="str">
        <f t="shared" si="251"/>
        <v/>
      </c>
      <c r="WH17" s="36" t="str">
        <f t="shared" si="252"/>
        <v/>
      </c>
      <c r="WI17" s="36" t="str">
        <f t="shared" si="253"/>
        <v/>
      </c>
      <c r="WJ17" s="36" t="str">
        <f t="shared" si="254"/>
        <v/>
      </c>
    </row>
    <row r="18" spans="1:608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130</v>
      </c>
      <c r="C18" s="4" t="s">
        <v>109</v>
      </c>
      <c r="D18" s="4" t="s">
        <v>79</v>
      </c>
      <c r="E18" s="9">
        <f t="shared" si="0"/>
        <v>23.860000000000003</v>
      </c>
      <c r="F18" s="3" t="str">
        <f t="shared" si="1"/>
        <v/>
      </c>
      <c r="G18" s="3" t="str">
        <f t="shared" si="2"/>
        <v/>
      </c>
      <c r="H18" s="32" t="str">
        <f t="shared" si="3"/>
        <v/>
      </c>
      <c r="I18" s="3" t="str">
        <f t="shared" si="4"/>
        <v/>
      </c>
      <c r="J18" s="8">
        <f t="shared" si="5"/>
        <v>0</v>
      </c>
      <c r="K18" s="8" t="str">
        <f t="shared" si="6"/>
        <v/>
      </c>
      <c r="L18" s="8">
        <f>IFERROR(LARGE((AI18,AL18,AP18,BJ18,BM18,BQ18,CK18,CN18,CR18),2),0)</f>
        <v>0</v>
      </c>
      <c r="M18" s="8" t="str">
        <f t="shared" si="7"/>
        <v/>
      </c>
      <c r="N18" s="8">
        <f t="shared" si="8"/>
        <v>23.860000000000003</v>
      </c>
      <c r="O18" s="11" t="str">
        <f t="shared" si="9"/>
        <v>(Any)</v>
      </c>
      <c r="P18" s="8" t="str">
        <f t="shared" si="10"/>
        <v>2025 Pan Am Championships (May 18)</v>
      </c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23"/>
      <c r="AG18" s="34" t="str">
        <f t="shared" si="11"/>
        <v/>
      </c>
      <c r="AH18" s="34" t="str">
        <f t="shared" si="12"/>
        <v/>
      </c>
      <c r="AI18" s="36" t="str">
        <f t="shared" si="13"/>
        <v/>
      </c>
      <c r="AJ18" s="36" t="str">
        <f t="shared" si="14"/>
        <v/>
      </c>
      <c r="AK18" s="36" t="str">
        <f t="shared" si="15"/>
        <v/>
      </c>
      <c r="AL18" s="36" t="str">
        <f t="shared" si="16"/>
        <v/>
      </c>
      <c r="AM18" s="36" t="str">
        <f t="shared" si="17"/>
        <v/>
      </c>
      <c r="AN18" s="36" t="str">
        <f t="shared" si="18"/>
        <v/>
      </c>
      <c r="AO18" s="36" t="str">
        <f t="shared" si="19"/>
        <v/>
      </c>
      <c r="AP18" s="36" t="str">
        <f t="shared" si="20"/>
        <v/>
      </c>
      <c r="AQ18" s="36" t="str">
        <f t="shared" si="21"/>
        <v/>
      </c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4"/>
      <c r="BH18" s="35" t="str">
        <f t="shared" si="22"/>
        <v/>
      </c>
      <c r="BI18" s="35" t="str">
        <f t="shared" si="23"/>
        <v/>
      </c>
      <c r="BJ18" s="11" t="str">
        <f t="shared" si="24"/>
        <v/>
      </c>
      <c r="BK18" s="11" t="str">
        <f t="shared" si="25"/>
        <v/>
      </c>
      <c r="BL18" s="11" t="str">
        <f t="shared" si="26"/>
        <v/>
      </c>
      <c r="BM18" s="11" t="str">
        <f t="shared" si="27"/>
        <v/>
      </c>
      <c r="BN18" s="11" t="str">
        <f t="shared" si="28"/>
        <v/>
      </c>
      <c r="BO18" s="11" t="str">
        <f t="shared" si="29"/>
        <v/>
      </c>
      <c r="BP18" s="11" t="str">
        <f t="shared" si="30"/>
        <v/>
      </c>
      <c r="BQ18" s="11" t="str">
        <f t="shared" si="31"/>
        <v/>
      </c>
      <c r="BR18" s="11" t="str">
        <f t="shared" si="32"/>
        <v/>
      </c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23"/>
      <c r="CI18" s="34" t="str">
        <f t="shared" si="33"/>
        <v/>
      </c>
      <c r="CJ18" s="34" t="str">
        <f t="shared" si="34"/>
        <v/>
      </c>
      <c r="CK18" s="36" t="str">
        <f t="shared" si="35"/>
        <v/>
      </c>
      <c r="CL18" s="36" t="str">
        <f t="shared" si="36"/>
        <v/>
      </c>
      <c r="CM18" s="36" t="str">
        <f t="shared" si="37"/>
        <v/>
      </c>
      <c r="CN18" s="36" t="str">
        <f t="shared" si="38"/>
        <v/>
      </c>
      <c r="CO18" s="36" t="str">
        <f t="shared" si="39"/>
        <v/>
      </c>
      <c r="CP18" s="36" t="str">
        <f t="shared" si="40"/>
        <v/>
      </c>
      <c r="CQ18" s="36" t="str">
        <f t="shared" si="41"/>
        <v/>
      </c>
      <c r="CR18" s="36" t="str">
        <f t="shared" si="42"/>
        <v/>
      </c>
      <c r="CS18" s="36" t="str">
        <f t="shared" si="43"/>
        <v/>
      </c>
      <c r="CT18" s="47">
        <f t="shared" si="44"/>
        <v>23.860000000000003</v>
      </c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36" t="str">
        <f t="shared" si="45"/>
        <v/>
      </c>
      <c r="DP18" s="36" t="str">
        <f t="shared" si="46"/>
        <v/>
      </c>
      <c r="DQ18" s="36" t="str">
        <f t="shared" si="47"/>
        <v/>
      </c>
      <c r="DR18" s="36" t="str">
        <f t="shared" si="48"/>
        <v/>
      </c>
      <c r="DS18" s="36" t="str">
        <f t="shared" si="49"/>
        <v/>
      </c>
      <c r="DT18" s="36" t="str">
        <f t="shared" si="50"/>
        <v/>
      </c>
      <c r="DU18" s="36" t="str">
        <f t="shared" si="51"/>
        <v/>
      </c>
      <c r="DV18" s="36" t="str">
        <f t="shared" si="52"/>
        <v/>
      </c>
      <c r="DW18" s="36" t="str">
        <f t="shared" si="53"/>
        <v/>
      </c>
      <c r="DX18" s="36" t="str">
        <f t="shared" si="54"/>
        <v/>
      </c>
      <c r="DY18" s="36" t="str">
        <f t="shared" si="55"/>
        <v/>
      </c>
      <c r="DZ18" s="36" t="str">
        <f t="shared" si="56"/>
        <v/>
      </c>
      <c r="EA18" s="36" t="str">
        <f t="shared" si="57"/>
        <v/>
      </c>
      <c r="EB18" s="36" t="str">
        <f t="shared" si="58"/>
        <v/>
      </c>
      <c r="EC18" s="16">
        <v>0</v>
      </c>
      <c r="ED18" s="16">
        <v>0</v>
      </c>
      <c r="EE18" s="16">
        <v>0</v>
      </c>
      <c r="EF18" s="16">
        <v>0</v>
      </c>
      <c r="EG18" s="16">
        <v>0</v>
      </c>
      <c r="EH18" s="16">
        <v>4.45</v>
      </c>
      <c r="EI18" s="16">
        <v>5.35</v>
      </c>
      <c r="EJ18" s="16">
        <v>8.9</v>
      </c>
      <c r="EK18" s="16">
        <v>5.16</v>
      </c>
      <c r="EL18" s="16">
        <v>0</v>
      </c>
      <c r="EM18" s="16"/>
      <c r="EN18" s="16"/>
      <c r="EO18" s="16"/>
      <c r="EP18" s="16"/>
      <c r="EQ18" s="16"/>
      <c r="ER18" s="16">
        <v>3.05</v>
      </c>
      <c r="ES18" s="16">
        <v>3.7</v>
      </c>
      <c r="ET18" s="16">
        <v>6.3</v>
      </c>
      <c r="EU18" s="16">
        <v>4.34</v>
      </c>
      <c r="EV18" s="16">
        <v>0</v>
      </c>
      <c r="EW18" s="11" t="str">
        <f t="shared" si="59"/>
        <v/>
      </c>
      <c r="EX18" s="11" t="str">
        <f t="shared" si="60"/>
        <v/>
      </c>
      <c r="EY18" s="11" t="str">
        <f t="shared" si="61"/>
        <v/>
      </c>
      <c r="EZ18" s="11">
        <f t="shared" si="62"/>
        <v>8.9</v>
      </c>
      <c r="FA18" s="11">
        <f t="shared" si="63"/>
        <v>5.16</v>
      </c>
      <c r="FB18" s="11">
        <f t="shared" si="64"/>
        <v>23.860000000000003</v>
      </c>
      <c r="FC18" s="11">
        <f t="shared" si="65"/>
        <v>23.860000000000003</v>
      </c>
      <c r="FD18" s="11" t="str">
        <f t="shared" si="66"/>
        <v/>
      </c>
      <c r="FE18" s="11" t="str">
        <f t="shared" si="67"/>
        <v/>
      </c>
      <c r="FF18" s="11" t="str">
        <f t="shared" si="68"/>
        <v/>
      </c>
      <c r="FG18" s="11">
        <f t="shared" si="69"/>
        <v>6.3</v>
      </c>
      <c r="FH18" s="11">
        <f t="shared" si="70"/>
        <v>4.34</v>
      </c>
      <c r="FI18" s="11">
        <f t="shared" si="71"/>
        <v>17.39</v>
      </c>
      <c r="FJ18" s="11">
        <f t="shared" si="72"/>
        <v>41.25</v>
      </c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36" t="str">
        <f t="shared" si="73"/>
        <v/>
      </c>
      <c r="GF18" s="36" t="str">
        <f t="shared" si="74"/>
        <v/>
      </c>
      <c r="GG18" s="36" t="str">
        <f t="shared" si="75"/>
        <v/>
      </c>
      <c r="GH18" s="36" t="str">
        <f t="shared" si="76"/>
        <v/>
      </c>
      <c r="GI18" s="36" t="str">
        <f t="shared" si="77"/>
        <v/>
      </c>
      <c r="GJ18" s="36" t="str">
        <f t="shared" si="78"/>
        <v/>
      </c>
      <c r="GK18" s="36" t="str">
        <f t="shared" si="79"/>
        <v/>
      </c>
      <c r="GL18" s="36" t="str">
        <f t="shared" si="80"/>
        <v/>
      </c>
      <c r="GM18" s="36" t="str">
        <f t="shared" si="81"/>
        <v/>
      </c>
      <c r="GN18" s="36" t="str">
        <f t="shared" si="82"/>
        <v/>
      </c>
      <c r="GO18" s="36" t="str">
        <f t="shared" si="83"/>
        <v/>
      </c>
      <c r="GP18" s="36" t="str">
        <f t="shared" si="84"/>
        <v/>
      </c>
      <c r="GQ18" s="36" t="str">
        <f t="shared" si="85"/>
        <v/>
      </c>
      <c r="GR18" s="36" t="str">
        <f t="shared" si="86"/>
        <v/>
      </c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1" t="str">
        <f t="shared" si="87"/>
        <v/>
      </c>
      <c r="HN18" s="11" t="str">
        <f t="shared" si="88"/>
        <v/>
      </c>
      <c r="HO18" s="11" t="str">
        <f t="shared" si="89"/>
        <v/>
      </c>
      <c r="HP18" s="11" t="str">
        <f t="shared" si="90"/>
        <v/>
      </c>
      <c r="HQ18" s="11" t="str">
        <f t="shared" si="91"/>
        <v/>
      </c>
      <c r="HR18" s="11" t="str">
        <f t="shared" si="92"/>
        <v/>
      </c>
      <c r="HS18" s="11" t="str">
        <f t="shared" si="93"/>
        <v/>
      </c>
      <c r="HT18" s="11" t="str">
        <f t="shared" si="94"/>
        <v/>
      </c>
      <c r="HU18" s="11" t="str">
        <f t="shared" si="95"/>
        <v/>
      </c>
      <c r="HV18" s="11" t="str">
        <f t="shared" si="96"/>
        <v/>
      </c>
      <c r="HW18" s="11" t="str">
        <f t="shared" si="97"/>
        <v/>
      </c>
      <c r="HX18" s="11" t="str">
        <f t="shared" si="98"/>
        <v/>
      </c>
      <c r="HY18" s="11" t="str">
        <f t="shared" si="99"/>
        <v/>
      </c>
      <c r="HZ18" s="11" t="str">
        <f t="shared" si="100"/>
        <v/>
      </c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36" t="str">
        <f t="shared" si="101"/>
        <v/>
      </c>
      <c r="IV18" s="36" t="str">
        <f t="shared" si="102"/>
        <v/>
      </c>
      <c r="IW18" s="36" t="str">
        <f t="shared" si="103"/>
        <v/>
      </c>
      <c r="IX18" s="36" t="str">
        <f t="shared" si="104"/>
        <v/>
      </c>
      <c r="IY18" s="36" t="str">
        <f t="shared" si="105"/>
        <v/>
      </c>
      <c r="IZ18" s="36" t="str">
        <f t="shared" si="106"/>
        <v/>
      </c>
      <c r="JA18" s="36" t="str">
        <f t="shared" si="107"/>
        <v/>
      </c>
      <c r="JB18" s="36" t="str">
        <f t="shared" si="108"/>
        <v/>
      </c>
      <c r="JC18" s="36" t="str">
        <f t="shared" si="109"/>
        <v/>
      </c>
      <c r="JD18" s="36" t="str">
        <f t="shared" si="110"/>
        <v/>
      </c>
      <c r="JE18" s="36" t="str">
        <f t="shared" si="111"/>
        <v/>
      </c>
      <c r="JF18" s="36" t="str">
        <f t="shared" si="112"/>
        <v/>
      </c>
      <c r="JG18" s="36" t="str">
        <f t="shared" si="113"/>
        <v/>
      </c>
      <c r="JH18" s="36" t="str">
        <f t="shared" si="114"/>
        <v/>
      </c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1" t="str">
        <f t="shared" si="115"/>
        <v/>
      </c>
      <c r="KD18" s="11" t="str">
        <f t="shared" si="116"/>
        <v/>
      </c>
      <c r="KE18" s="11" t="str">
        <f t="shared" si="117"/>
        <v/>
      </c>
      <c r="KF18" s="11" t="str">
        <f t="shared" si="118"/>
        <v/>
      </c>
      <c r="KG18" s="11" t="str">
        <f t="shared" si="119"/>
        <v/>
      </c>
      <c r="KH18" s="11" t="str">
        <f t="shared" si="120"/>
        <v/>
      </c>
      <c r="KI18" s="11" t="str">
        <f t="shared" si="121"/>
        <v/>
      </c>
      <c r="KJ18" s="11" t="str">
        <f t="shared" si="122"/>
        <v/>
      </c>
      <c r="KK18" s="11" t="str">
        <f t="shared" si="123"/>
        <v/>
      </c>
      <c r="KL18" s="11" t="str">
        <f t="shared" si="124"/>
        <v/>
      </c>
      <c r="KM18" s="11" t="str">
        <f t="shared" si="125"/>
        <v/>
      </c>
      <c r="KN18" s="11" t="str">
        <f t="shared" si="126"/>
        <v/>
      </c>
      <c r="KO18" s="11" t="str">
        <f t="shared" si="127"/>
        <v/>
      </c>
      <c r="KP18" s="11" t="str">
        <f t="shared" si="128"/>
        <v/>
      </c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36" t="str">
        <f t="shared" si="129"/>
        <v/>
      </c>
      <c r="LL18" s="36" t="str">
        <f t="shared" si="130"/>
        <v/>
      </c>
      <c r="LM18" s="36" t="str">
        <f t="shared" si="131"/>
        <v/>
      </c>
      <c r="LN18" s="36" t="str">
        <f t="shared" si="132"/>
        <v/>
      </c>
      <c r="LO18" s="36" t="str">
        <f t="shared" si="133"/>
        <v/>
      </c>
      <c r="LP18" s="36" t="str">
        <f t="shared" si="134"/>
        <v/>
      </c>
      <c r="LQ18" s="36" t="str">
        <f t="shared" si="135"/>
        <v/>
      </c>
      <c r="LR18" s="36" t="str">
        <f t="shared" si="136"/>
        <v/>
      </c>
      <c r="LS18" s="36" t="str">
        <f t="shared" si="137"/>
        <v/>
      </c>
      <c r="LT18" s="36" t="str">
        <f t="shared" si="138"/>
        <v/>
      </c>
      <c r="LU18" s="36" t="str">
        <f t="shared" si="139"/>
        <v/>
      </c>
      <c r="LV18" s="36" t="str">
        <f t="shared" si="140"/>
        <v/>
      </c>
      <c r="LW18" s="36" t="str">
        <f t="shared" si="141"/>
        <v/>
      </c>
      <c r="LX18" s="36" t="str">
        <f t="shared" si="142"/>
        <v/>
      </c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1" t="str">
        <f t="shared" si="143"/>
        <v/>
      </c>
      <c r="MT18" s="11" t="str">
        <f t="shared" si="144"/>
        <v/>
      </c>
      <c r="MU18" s="11" t="str">
        <f t="shared" si="145"/>
        <v/>
      </c>
      <c r="MV18" s="11" t="str">
        <f t="shared" si="146"/>
        <v/>
      </c>
      <c r="MW18" s="11" t="str">
        <f t="shared" si="147"/>
        <v/>
      </c>
      <c r="MX18" s="11" t="str">
        <f t="shared" si="148"/>
        <v/>
      </c>
      <c r="MY18" s="11" t="str">
        <f t="shared" si="149"/>
        <v/>
      </c>
      <c r="MZ18" s="11" t="str">
        <f t="shared" si="150"/>
        <v/>
      </c>
      <c r="NA18" s="11" t="str">
        <f t="shared" si="151"/>
        <v/>
      </c>
      <c r="NB18" s="11" t="str">
        <f t="shared" si="152"/>
        <v/>
      </c>
      <c r="NC18" s="11" t="str">
        <f t="shared" si="153"/>
        <v/>
      </c>
      <c r="ND18" s="11" t="str">
        <f t="shared" si="154"/>
        <v/>
      </c>
      <c r="NE18" s="11" t="str">
        <f t="shared" si="155"/>
        <v/>
      </c>
      <c r="NF18" s="11" t="str">
        <f t="shared" si="156"/>
        <v/>
      </c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36" t="str">
        <f t="shared" si="157"/>
        <v/>
      </c>
      <c r="OB18" s="36" t="str">
        <f t="shared" si="158"/>
        <v/>
      </c>
      <c r="OC18" s="36" t="str">
        <f t="shared" si="159"/>
        <v/>
      </c>
      <c r="OD18" s="36" t="str">
        <f t="shared" si="160"/>
        <v/>
      </c>
      <c r="OE18" s="36" t="str">
        <f t="shared" si="161"/>
        <v/>
      </c>
      <c r="OF18" s="36" t="str">
        <f t="shared" si="162"/>
        <v/>
      </c>
      <c r="OG18" s="36" t="str">
        <f t="shared" si="163"/>
        <v/>
      </c>
      <c r="OH18" s="36" t="str">
        <f t="shared" si="164"/>
        <v/>
      </c>
      <c r="OI18" s="36" t="str">
        <f t="shared" si="165"/>
        <v/>
      </c>
      <c r="OJ18" s="36" t="str">
        <f t="shared" si="166"/>
        <v/>
      </c>
      <c r="OK18" s="36" t="str">
        <f t="shared" si="167"/>
        <v/>
      </c>
      <c r="OL18" s="36" t="str">
        <f t="shared" si="168"/>
        <v/>
      </c>
      <c r="OM18" s="36" t="str">
        <f t="shared" si="169"/>
        <v/>
      </c>
      <c r="ON18" s="36" t="str">
        <f t="shared" si="170"/>
        <v/>
      </c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1" t="str">
        <f t="shared" si="171"/>
        <v/>
      </c>
      <c r="PJ18" s="11" t="str">
        <f t="shared" si="172"/>
        <v/>
      </c>
      <c r="PK18" s="11" t="str">
        <f t="shared" si="173"/>
        <v/>
      </c>
      <c r="PL18" s="11" t="str">
        <f t="shared" si="174"/>
        <v/>
      </c>
      <c r="PM18" s="11" t="str">
        <f t="shared" si="175"/>
        <v/>
      </c>
      <c r="PN18" s="11" t="str">
        <f t="shared" si="176"/>
        <v/>
      </c>
      <c r="PO18" s="11" t="str">
        <f t="shared" si="177"/>
        <v/>
      </c>
      <c r="PP18" s="11" t="str">
        <f t="shared" si="178"/>
        <v/>
      </c>
      <c r="PQ18" s="11" t="str">
        <f t="shared" si="179"/>
        <v/>
      </c>
      <c r="PR18" s="11" t="str">
        <f t="shared" si="180"/>
        <v/>
      </c>
      <c r="PS18" s="11" t="str">
        <f t="shared" si="181"/>
        <v/>
      </c>
      <c r="PT18" s="11" t="str">
        <f t="shared" si="182"/>
        <v/>
      </c>
      <c r="PU18" s="11" t="str">
        <f t="shared" si="183"/>
        <v/>
      </c>
      <c r="PV18" s="11" t="str">
        <f t="shared" si="184"/>
        <v/>
      </c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36" t="str">
        <f t="shared" si="185"/>
        <v/>
      </c>
      <c r="QR18" s="36" t="str">
        <f t="shared" si="186"/>
        <v/>
      </c>
      <c r="QS18" s="36" t="str">
        <f t="shared" si="187"/>
        <v/>
      </c>
      <c r="QT18" s="36" t="str">
        <f t="shared" si="188"/>
        <v/>
      </c>
      <c r="QU18" s="36" t="str">
        <f t="shared" si="189"/>
        <v/>
      </c>
      <c r="QV18" s="36" t="str">
        <f t="shared" si="190"/>
        <v/>
      </c>
      <c r="QW18" s="36" t="str">
        <f t="shared" si="191"/>
        <v/>
      </c>
      <c r="QX18" s="36" t="str">
        <f t="shared" si="192"/>
        <v/>
      </c>
      <c r="QY18" s="36" t="str">
        <f t="shared" si="193"/>
        <v/>
      </c>
      <c r="QZ18" s="36" t="str">
        <f t="shared" si="194"/>
        <v/>
      </c>
      <c r="RA18" s="36" t="str">
        <f t="shared" si="195"/>
        <v/>
      </c>
      <c r="RB18" s="36" t="str">
        <f t="shared" si="196"/>
        <v/>
      </c>
      <c r="RC18" s="36" t="str">
        <f t="shared" si="197"/>
        <v/>
      </c>
      <c r="RD18" s="36" t="str">
        <f t="shared" si="198"/>
        <v/>
      </c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1" t="str">
        <f t="shared" si="199"/>
        <v/>
      </c>
      <c r="RZ18" s="11" t="str">
        <f t="shared" si="200"/>
        <v/>
      </c>
      <c r="SA18" s="11" t="str">
        <f t="shared" si="201"/>
        <v/>
      </c>
      <c r="SB18" s="11" t="str">
        <f t="shared" si="202"/>
        <v/>
      </c>
      <c r="SC18" s="11" t="str">
        <f t="shared" si="203"/>
        <v/>
      </c>
      <c r="SD18" s="11" t="str">
        <f t="shared" si="204"/>
        <v/>
      </c>
      <c r="SE18" s="11" t="str">
        <f t="shared" si="205"/>
        <v/>
      </c>
      <c r="SF18" s="11" t="str">
        <f t="shared" si="206"/>
        <v/>
      </c>
      <c r="SG18" s="11" t="str">
        <f t="shared" si="207"/>
        <v/>
      </c>
      <c r="SH18" s="11" t="str">
        <f t="shared" si="208"/>
        <v/>
      </c>
      <c r="SI18" s="11" t="str">
        <f t="shared" si="209"/>
        <v/>
      </c>
      <c r="SJ18" s="11" t="str">
        <f t="shared" si="210"/>
        <v/>
      </c>
      <c r="SK18" s="11" t="str">
        <f t="shared" si="211"/>
        <v/>
      </c>
      <c r="SL18" s="11" t="str">
        <f t="shared" si="212"/>
        <v/>
      </c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36" t="str">
        <f t="shared" si="213"/>
        <v/>
      </c>
      <c r="TH18" s="36" t="str">
        <f t="shared" si="214"/>
        <v/>
      </c>
      <c r="TI18" s="36" t="str">
        <f t="shared" si="215"/>
        <v/>
      </c>
      <c r="TJ18" s="36" t="str">
        <f t="shared" si="216"/>
        <v/>
      </c>
      <c r="TK18" s="36" t="str">
        <f t="shared" si="217"/>
        <v/>
      </c>
      <c r="TL18" s="36" t="str">
        <f t="shared" si="218"/>
        <v/>
      </c>
      <c r="TM18" s="36" t="str">
        <f t="shared" si="219"/>
        <v/>
      </c>
      <c r="TN18" s="36" t="str">
        <f t="shared" si="220"/>
        <v/>
      </c>
      <c r="TO18" s="36" t="str">
        <f t="shared" si="221"/>
        <v/>
      </c>
      <c r="TP18" s="36" t="str">
        <f t="shared" si="222"/>
        <v/>
      </c>
      <c r="TQ18" s="36" t="str">
        <f t="shared" si="223"/>
        <v/>
      </c>
      <c r="TR18" s="36" t="str">
        <f t="shared" si="224"/>
        <v/>
      </c>
      <c r="TS18" s="36" t="str">
        <f t="shared" si="225"/>
        <v/>
      </c>
      <c r="TT18" s="36" t="str">
        <f t="shared" si="226"/>
        <v/>
      </c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1" t="str">
        <f t="shared" si="227"/>
        <v/>
      </c>
      <c r="UP18" s="11" t="str">
        <f t="shared" si="228"/>
        <v/>
      </c>
      <c r="UQ18" s="11" t="str">
        <f t="shared" si="229"/>
        <v/>
      </c>
      <c r="UR18" s="11" t="str">
        <f t="shared" si="230"/>
        <v/>
      </c>
      <c r="US18" s="11" t="str">
        <f t="shared" si="231"/>
        <v/>
      </c>
      <c r="UT18" s="11" t="str">
        <f t="shared" si="232"/>
        <v/>
      </c>
      <c r="UU18" s="11" t="str">
        <f t="shared" si="233"/>
        <v/>
      </c>
      <c r="UV18" s="11" t="str">
        <f t="shared" si="234"/>
        <v/>
      </c>
      <c r="UW18" s="11" t="str">
        <f t="shared" si="235"/>
        <v/>
      </c>
      <c r="UX18" s="11" t="str">
        <f t="shared" si="236"/>
        <v/>
      </c>
      <c r="UY18" s="11" t="str">
        <f t="shared" si="237"/>
        <v/>
      </c>
      <c r="UZ18" s="11" t="str">
        <f t="shared" si="238"/>
        <v/>
      </c>
      <c r="VA18" s="11" t="str">
        <f t="shared" si="239"/>
        <v/>
      </c>
      <c r="VB18" s="11" t="str">
        <f t="shared" si="240"/>
        <v/>
      </c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36" t="str">
        <f t="shared" si="241"/>
        <v/>
      </c>
      <c r="VX18" s="36" t="str">
        <f t="shared" si="242"/>
        <v/>
      </c>
      <c r="VY18" s="36" t="str">
        <f t="shared" si="243"/>
        <v/>
      </c>
      <c r="VZ18" s="36" t="str">
        <f t="shared" si="244"/>
        <v/>
      </c>
      <c r="WA18" s="36" t="str">
        <f t="shared" si="245"/>
        <v/>
      </c>
      <c r="WB18" s="36" t="str">
        <f t="shared" si="246"/>
        <v/>
      </c>
      <c r="WC18" s="36" t="str">
        <f t="shared" si="247"/>
        <v/>
      </c>
      <c r="WD18" s="36" t="str">
        <f t="shared" si="248"/>
        <v/>
      </c>
      <c r="WE18" s="36" t="str">
        <f t="shared" si="249"/>
        <v/>
      </c>
      <c r="WF18" s="36" t="str">
        <f t="shared" si="250"/>
        <v/>
      </c>
      <c r="WG18" s="36" t="str">
        <f t="shared" si="251"/>
        <v/>
      </c>
      <c r="WH18" s="36" t="str">
        <f t="shared" si="252"/>
        <v/>
      </c>
      <c r="WI18" s="36" t="str">
        <f t="shared" si="253"/>
        <v/>
      </c>
      <c r="WJ18" s="36" t="str">
        <f t="shared" si="254"/>
        <v/>
      </c>
    </row>
    <row r="19" spans="1:608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101</v>
      </c>
      <c r="C19" s="4" t="s">
        <v>5</v>
      </c>
      <c r="D19" s="4" t="s">
        <v>100</v>
      </c>
      <c r="E19" s="9">
        <f t="shared" si="0"/>
        <v>14.500001450001449</v>
      </c>
      <c r="F19" s="3" t="str">
        <f t="shared" si="1"/>
        <v/>
      </c>
      <c r="G19" s="3" t="str">
        <f t="shared" si="2"/>
        <v/>
      </c>
      <c r="H19" s="32" t="str">
        <f t="shared" si="3"/>
        <v/>
      </c>
      <c r="I19" s="3" t="str">
        <f t="shared" si="4"/>
        <v/>
      </c>
      <c r="J19" s="8">
        <f t="shared" si="5"/>
        <v>14.5</v>
      </c>
      <c r="K19" s="8" t="str">
        <f t="shared" si="6"/>
        <v>2025 Nationals</v>
      </c>
      <c r="L19" s="8">
        <f>IFERROR(LARGE((AI19,AL19,AP19,BJ19,BM19,BQ19,CK19,CN19,CR19),2),0)</f>
        <v>0</v>
      </c>
      <c r="M19" s="8" t="str">
        <f t="shared" si="7"/>
        <v/>
      </c>
      <c r="N19" s="8">
        <f t="shared" si="8"/>
        <v>0</v>
      </c>
      <c r="O19" s="11" t="str">
        <f t="shared" si="9"/>
        <v/>
      </c>
      <c r="P19" s="8" t="str">
        <f t="shared" si="10"/>
        <v/>
      </c>
      <c r="Q19" s="18">
        <v>0</v>
      </c>
      <c r="R19" s="18">
        <v>0</v>
      </c>
      <c r="S19" s="18">
        <v>0</v>
      </c>
      <c r="T19" s="18">
        <v>0</v>
      </c>
      <c r="U19" s="18">
        <v>0</v>
      </c>
      <c r="V19" s="18">
        <v>0</v>
      </c>
      <c r="W19" s="18">
        <v>0</v>
      </c>
      <c r="X19" s="18">
        <v>0</v>
      </c>
      <c r="Y19" s="18">
        <v>0</v>
      </c>
      <c r="Z19" s="18">
        <v>0</v>
      </c>
      <c r="AA19" s="18">
        <v>1.78</v>
      </c>
      <c r="AB19" s="18">
        <v>2.7</v>
      </c>
      <c r="AC19" s="18">
        <v>5</v>
      </c>
      <c r="AD19" s="18">
        <v>5.0199999999999996</v>
      </c>
      <c r="AE19" s="18">
        <v>0</v>
      </c>
      <c r="AF19" s="23"/>
      <c r="AG19" s="34" t="str">
        <f t="shared" si="11"/>
        <v/>
      </c>
      <c r="AH19" s="34" t="str">
        <f t="shared" si="12"/>
        <v/>
      </c>
      <c r="AI19" s="36" t="str">
        <f t="shared" si="13"/>
        <v/>
      </c>
      <c r="AJ19" s="36" t="str">
        <f t="shared" si="14"/>
        <v/>
      </c>
      <c r="AK19" s="36" t="str">
        <f t="shared" si="15"/>
        <v/>
      </c>
      <c r="AL19" s="36" t="str">
        <f t="shared" si="16"/>
        <v/>
      </c>
      <c r="AM19" s="36" t="str">
        <f t="shared" si="17"/>
        <v/>
      </c>
      <c r="AN19" s="36">
        <f t="shared" si="18"/>
        <v>5</v>
      </c>
      <c r="AO19" s="36">
        <f t="shared" si="19"/>
        <v>5.0199999999999996</v>
      </c>
      <c r="AP19" s="36">
        <f t="shared" si="20"/>
        <v>14.5</v>
      </c>
      <c r="AQ19" s="36">
        <f t="shared" si="21"/>
        <v>14.5</v>
      </c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4"/>
      <c r="BH19" s="35" t="str">
        <f t="shared" si="22"/>
        <v/>
      </c>
      <c r="BI19" s="35" t="str">
        <f t="shared" si="23"/>
        <v/>
      </c>
      <c r="BJ19" s="11" t="str">
        <f t="shared" si="24"/>
        <v/>
      </c>
      <c r="BK19" s="11" t="str">
        <f t="shared" si="25"/>
        <v/>
      </c>
      <c r="BL19" s="11" t="str">
        <f t="shared" si="26"/>
        <v/>
      </c>
      <c r="BM19" s="11" t="str">
        <f t="shared" si="27"/>
        <v/>
      </c>
      <c r="BN19" s="11" t="str">
        <f t="shared" si="28"/>
        <v/>
      </c>
      <c r="BO19" s="11" t="str">
        <f t="shared" si="29"/>
        <v/>
      </c>
      <c r="BP19" s="11" t="str">
        <f t="shared" si="30"/>
        <v/>
      </c>
      <c r="BQ19" s="11" t="str">
        <f t="shared" si="31"/>
        <v/>
      </c>
      <c r="BR19" s="11" t="str">
        <f t="shared" si="32"/>
        <v/>
      </c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23"/>
      <c r="CI19" s="34" t="str">
        <f t="shared" si="33"/>
        <v/>
      </c>
      <c r="CJ19" s="34" t="str">
        <f t="shared" si="34"/>
        <v/>
      </c>
      <c r="CK19" s="36" t="str">
        <f t="shared" si="35"/>
        <v/>
      </c>
      <c r="CL19" s="36" t="str">
        <f t="shared" si="36"/>
        <v/>
      </c>
      <c r="CM19" s="36" t="str">
        <f t="shared" si="37"/>
        <v/>
      </c>
      <c r="CN19" s="36" t="str">
        <f t="shared" si="38"/>
        <v/>
      </c>
      <c r="CO19" s="36" t="str">
        <f t="shared" si="39"/>
        <v/>
      </c>
      <c r="CP19" s="36" t="str">
        <f t="shared" si="40"/>
        <v/>
      </c>
      <c r="CQ19" s="36" t="str">
        <f t="shared" si="41"/>
        <v/>
      </c>
      <c r="CR19" s="36" t="str">
        <f t="shared" si="42"/>
        <v/>
      </c>
      <c r="CS19" s="36" t="str">
        <f t="shared" si="43"/>
        <v/>
      </c>
      <c r="CT19" s="47" t="str">
        <f t="shared" si="44"/>
        <v/>
      </c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36" t="str">
        <f t="shared" si="45"/>
        <v/>
      </c>
      <c r="DP19" s="36" t="str">
        <f t="shared" si="46"/>
        <v/>
      </c>
      <c r="DQ19" s="36" t="str">
        <f t="shared" si="47"/>
        <v/>
      </c>
      <c r="DR19" s="36" t="str">
        <f t="shared" si="48"/>
        <v/>
      </c>
      <c r="DS19" s="36" t="str">
        <f t="shared" si="49"/>
        <v/>
      </c>
      <c r="DT19" s="36" t="str">
        <f t="shared" si="50"/>
        <v/>
      </c>
      <c r="DU19" s="36" t="str">
        <f t="shared" si="51"/>
        <v/>
      </c>
      <c r="DV19" s="36" t="str">
        <f t="shared" si="52"/>
        <v/>
      </c>
      <c r="DW19" s="36" t="str">
        <f t="shared" si="53"/>
        <v/>
      </c>
      <c r="DX19" s="36" t="str">
        <f t="shared" si="54"/>
        <v/>
      </c>
      <c r="DY19" s="36" t="str">
        <f t="shared" si="55"/>
        <v/>
      </c>
      <c r="DZ19" s="36" t="str">
        <f t="shared" si="56"/>
        <v/>
      </c>
      <c r="EA19" s="36" t="str">
        <f t="shared" si="57"/>
        <v/>
      </c>
      <c r="EB19" s="36" t="str">
        <f t="shared" si="58"/>
        <v/>
      </c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1" t="str">
        <f t="shared" si="59"/>
        <v/>
      </c>
      <c r="EX19" s="11" t="str">
        <f t="shared" si="60"/>
        <v/>
      </c>
      <c r="EY19" s="11" t="str">
        <f t="shared" si="61"/>
        <v/>
      </c>
      <c r="EZ19" s="11" t="str">
        <f t="shared" si="62"/>
        <v/>
      </c>
      <c r="FA19" s="11" t="str">
        <f t="shared" si="63"/>
        <v/>
      </c>
      <c r="FB19" s="11" t="str">
        <f t="shared" si="64"/>
        <v/>
      </c>
      <c r="FC19" s="11" t="str">
        <f t="shared" si="65"/>
        <v/>
      </c>
      <c r="FD19" s="11" t="str">
        <f t="shared" si="66"/>
        <v/>
      </c>
      <c r="FE19" s="11" t="str">
        <f t="shared" si="67"/>
        <v/>
      </c>
      <c r="FF19" s="11" t="str">
        <f t="shared" si="68"/>
        <v/>
      </c>
      <c r="FG19" s="11" t="str">
        <f t="shared" si="69"/>
        <v/>
      </c>
      <c r="FH19" s="11" t="str">
        <f t="shared" si="70"/>
        <v/>
      </c>
      <c r="FI19" s="11" t="str">
        <f t="shared" si="71"/>
        <v/>
      </c>
      <c r="FJ19" s="11" t="str">
        <f t="shared" si="72"/>
        <v/>
      </c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36" t="str">
        <f t="shared" si="73"/>
        <v/>
      </c>
      <c r="GF19" s="36" t="str">
        <f t="shared" si="74"/>
        <v/>
      </c>
      <c r="GG19" s="36" t="str">
        <f t="shared" si="75"/>
        <v/>
      </c>
      <c r="GH19" s="36" t="str">
        <f t="shared" si="76"/>
        <v/>
      </c>
      <c r="GI19" s="36" t="str">
        <f t="shared" si="77"/>
        <v/>
      </c>
      <c r="GJ19" s="36" t="str">
        <f t="shared" si="78"/>
        <v/>
      </c>
      <c r="GK19" s="36" t="str">
        <f t="shared" si="79"/>
        <v/>
      </c>
      <c r="GL19" s="36" t="str">
        <f t="shared" si="80"/>
        <v/>
      </c>
      <c r="GM19" s="36" t="str">
        <f t="shared" si="81"/>
        <v/>
      </c>
      <c r="GN19" s="36" t="str">
        <f t="shared" si="82"/>
        <v/>
      </c>
      <c r="GO19" s="36" t="str">
        <f t="shared" si="83"/>
        <v/>
      </c>
      <c r="GP19" s="36" t="str">
        <f t="shared" si="84"/>
        <v/>
      </c>
      <c r="GQ19" s="36" t="str">
        <f t="shared" si="85"/>
        <v/>
      </c>
      <c r="GR19" s="36" t="str">
        <f t="shared" si="86"/>
        <v/>
      </c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1" t="str">
        <f t="shared" si="87"/>
        <v/>
      </c>
      <c r="HN19" s="11" t="str">
        <f t="shared" si="88"/>
        <v/>
      </c>
      <c r="HO19" s="11" t="str">
        <f t="shared" si="89"/>
        <v/>
      </c>
      <c r="HP19" s="11" t="str">
        <f t="shared" si="90"/>
        <v/>
      </c>
      <c r="HQ19" s="11" t="str">
        <f t="shared" si="91"/>
        <v/>
      </c>
      <c r="HR19" s="11" t="str">
        <f t="shared" si="92"/>
        <v/>
      </c>
      <c r="HS19" s="11" t="str">
        <f t="shared" si="93"/>
        <v/>
      </c>
      <c r="HT19" s="11" t="str">
        <f t="shared" si="94"/>
        <v/>
      </c>
      <c r="HU19" s="11" t="str">
        <f t="shared" si="95"/>
        <v/>
      </c>
      <c r="HV19" s="11" t="str">
        <f t="shared" si="96"/>
        <v/>
      </c>
      <c r="HW19" s="11" t="str">
        <f t="shared" si="97"/>
        <v/>
      </c>
      <c r="HX19" s="11" t="str">
        <f t="shared" si="98"/>
        <v/>
      </c>
      <c r="HY19" s="11" t="str">
        <f t="shared" si="99"/>
        <v/>
      </c>
      <c r="HZ19" s="11" t="str">
        <f t="shared" si="100"/>
        <v/>
      </c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36" t="str">
        <f t="shared" si="101"/>
        <v/>
      </c>
      <c r="IV19" s="36" t="str">
        <f t="shared" si="102"/>
        <v/>
      </c>
      <c r="IW19" s="36" t="str">
        <f t="shared" si="103"/>
        <v/>
      </c>
      <c r="IX19" s="36" t="str">
        <f t="shared" si="104"/>
        <v/>
      </c>
      <c r="IY19" s="36" t="str">
        <f t="shared" si="105"/>
        <v/>
      </c>
      <c r="IZ19" s="36" t="str">
        <f t="shared" si="106"/>
        <v/>
      </c>
      <c r="JA19" s="36" t="str">
        <f t="shared" si="107"/>
        <v/>
      </c>
      <c r="JB19" s="36" t="str">
        <f t="shared" si="108"/>
        <v/>
      </c>
      <c r="JC19" s="36" t="str">
        <f t="shared" si="109"/>
        <v/>
      </c>
      <c r="JD19" s="36" t="str">
        <f t="shared" si="110"/>
        <v/>
      </c>
      <c r="JE19" s="36" t="str">
        <f t="shared" si="111"/>
        <v/>
      </c>
      <c r="JF19" s="36" t="str">
        <f t="shared" si="112"/>
        <v/>
      </c>
      <c r="JG19" s="36" t="str">
        <f t="shared" si="113"/>
        <v/>
      </c>
      <c r="JH19" s="36" t="str">
        <f t="shared" si="114"/>
        <v/>
      </c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1" t="str">
        <f t="shared" si="115"/>
        <v/>
      </c>
      <c r="KD19" s="11" t="str">
        <f t="shared" si="116"/>
        <v/>
      </c>
      <c r="KE19" s="11" t="str">
        <f t="shared" si="117"/>
        <v/>
      </c>
      <c r="KF19" s="11" t="str">
        <f t="shared" si="118"/>
        <v/>
      </c>
      <c r="KG19" s="11" t="str">
        <f t="shared" si="119"/>
        <v/>
      </c>
      <c r="KH19" s="11" t="str">
        <f t="shared" si="120"/>
        <v/>
      </c>
      <c r="KI19" s="11" t="str">
        <f t="shared" si="121"/>
        <v/>
      </c>
      <c r="KJ19" s="11" t="str">
        <f t="shared" si="122"/>
        <v/>
      </c>
      <c r="KK19" s="11" t="str">
        <f t="shared" si="123"/>
        <v/>
      </c>
      <c r="KL19" s="11" t="str">
        <f t="shared" si="124"/>
        <v/>
      </c>
      <c r="KM19" s="11" t="str">
        <f t="shared" si="125"/>
        <v/>
      </c>
      <c r="KN19" s="11" t="str">
        <f t="shared" si="126"/>
        <v/>
      </c>
      <c r="KO19" s="11" t="str">
        <f t="shared" si="127"/>
        <v/>
      </c>
      <c r="KP19" s="11" t="str">
        <f t="shared" si="128"/>
        <v/>
      </c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36" t="str">
        <f t="shared" si="129"/>
        <v/>
      </c>
      <c r="LL19" s="36" t="str">
        <f t="shared" si="130"/>
        <v/>
      </c>
      <c r="LM19" s="36" t="str">
        <f t="shared" si="131"/>
        <v/>
      </c>
      <c r="LN19" s="36" t="str">
        <f t="shared" si="132"/>
        <v/>
      </c>
      <c r="LO19" s="36" t="str">
        <f t="shared" si="133"/>
        <v/>
      </c>
      <c r="LP19" s="36" t="str">
        <f t="shared" si="134"/>
        <v/>
      </c>
      <c r="LQ19" s="36" t="str">
        <f t="shared" si="135"/>
        <v/>
      </c>
      <c r="LR19" s="36" t="str">
        <f t="shared" si="136"/>
        <v/>
      </c>
      <c r="LS19" s="36" t="str">
        <f t="shared" si="137"/>
        <v/>
      </c>
      <c r="LT19" s="36" t="str">
        <f t="shared" si="138"/>
        <v/>
      </c>
      <c r="LU19" s="36" t="str">
        <f t="shared" si="139"/>
        <v/>
      </c>
      <c r="LV19" s="36" t="str">
        <f t="shared" si="140"/>
        <v/>
      </c>
      <c r="LW19" s="36" t="str">
        <f t="shared" si="141"/>
        <v/>
      </c>
      <c r="LX19" s="36" t="str">
        <f t="shared" si="142"/>
        <v/>
      </c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1" t="str">
        <f t="shared" si="143"/>
        <v/>
      </c>
      <c r="MT19" s="11" t="str">
        <f t="shared" si="144"/>
        <v/>
      </c>
      <c r="MU19" s="11" t="str">
        <f t="shared" si="145"/>
        <v/>
      </c>
      <c r="MV19" s="11" t="str">
        <f t="shared" si="146"/>
        <v/>
      </c>
      <c r="MW19" s="11" t="str">
        <f t="shared" si="147"/>
        <v/>
      </c>
      <c r="MX19" s="11" t="str">
        <f t="shared" si="148"/>
        <v/>
      </c>
      <c r="MY19" s="11" t="str">
        <f t="shared" si="149"/>
        <v/>
      </c>
      <c r="MZ19" s="11" t="str">
        <f t="shared" si="150"/>
        <v/>
      </c>
      <c r="NA19" s="11" t="str">
        <f t="shared" si="151"/>
        <v/>
      </c>
      <c r="NB19" s="11" t="str">
        <f t="shared" si="152"/>
        <v/>
      </c>
      <c r="NC19" s="11" t="str">
        <f t="shared" si="153"/>
        <v/>
      </c>
      <c r="ND19" s="11" t="str">
        <f t="shared" si="154"/>
        <v/>
      </c>
      <c r="NE19" s="11" t="str">
        <f t="shared" si="155"/>
        <v/>
      </c>
      <c r="NF19" s="11" t="str">
        <f t="shared" si="156"/>
        <v/>
      </c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36" t="str">
        <f t="shared" si="157"/>
        <v/>
      </c>
      <c r="OB19" s="36" t="str">
        <f t="shared" si="158"/>
        <v/>
      </c>
      <c r="OC19" s="36" t="str">
        <f t="shared" si="159"/>
        <v/>
      </c>
      <c r="OD19" s="36" t="str">
        <f t="shared" si="160"/>
        <v/>
      </c>
      <c r="OE19" s="36" t="str">
        <f t="shared" si="161"/>
        <v/>
      </c>
      <c r="OF19" s="36" t="str">
        <f t="shared" si="162"/>
        <v/>
      </c>
      <c r="OG19" s="36" t="str">
        <f t="shared" si="163"/>
        <v/>
      </c>
      <c r="OH19" s="36" t="str">
        <f t="shared" si="164"/>
        <v/>
      </c>
      <c r="OI19" s="36" t="str">
        <f t="shared" si="165"/>
        <v/>
      </c>
      <c r="OJ19" s="36" t="str">
        <f t="shared" si="166"/>
        <v/>
      </c>
      <c r="OK19" s="36" t="str">
        <f t="shared" si="167"/>
        <v/>
      </c>
      <c r="OL19" s="36" t="str">
        <f t="shared" si="168"/>
        <v/>
      </c>
      <c r="OM19" s="36" t="str">
        <f t="shared" si="169"/>
        <v/>
      </c>
      <c r="ON19" s="36" t="str">
        <f t="shared" si="170"/>
        <v/>
      </c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1" t="str">
        <f t="shared" si="171"/>
        <v/>
      </c>
      <c r="PJ19" s="11" t="str">
        <f t="shared" si="172"/>
        <v/>
      </c>
      <c r="PK19" s="11" t="str">
        <f t="shared" si="173"/>
        <v/>
      </c>
      <c r="PL19" s="11" t="str">
        <f t="shared" si="174"/>
        <v/>
      </c>
      <c r="PM19" s="11" t="str">
        <f t="shared" si="175"/>
        <v/>
      </c>
      <c r="PN19" s="11" t="str">
        <f t="shared" si="176"/>
        <v/>
      </c>
      <c r="PO19" s="11" t="str">
        <f t="shared" si="177"/>
        <v/>
      </c>
      <c r="PP19" s="11" t="str">
        <f t="shared" si="178"/>
        <v/>
      </c>
      <c r="PQ19" s="11" t="str">
        <f t="shared" si="179"/>
        <v/>
      </c>
      <c r="PR19" s="11" t="str">
        <f t="shared" si="180"/>
        <v/>
      </c>
      <c r="PS19" s="11" t="str">
        <f t="shared" si="181"/>
        <v/>
      </c>
      <c r="PT19" s="11" t="str">
        <f t="shared" si="182"/>
        <v/>
      </c>
      <c r="PU19" s="11" t="str">
        <f t="shared" si="183"/>
        <v/>
      </c>
      <c r="PV19" s="11" t="str">
        <f t="shared" si="184"/>
        <v/>
      </c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36" t="str">
        <f t="shared" si="185"/>
        <v/>
      </c>
      <c r="QR19" s="36" t="str">
        <f t="shared" si="186"/>
        <v/>
      </c>
      <c r="QS19" s="36" t="str">
        <f t="shared" si="187"/>
        <v/>
      </c>
      <c r="QT19" s="36" t="str">
        <f t="shared" si="188"/>
        <v/>
      </c>
      <c r="QU19" s="36" t="str">
        <f t="shared" si="189"/>
        <v/>
      </c>
      <c r="QV19" s="36" t="str">
        <f t="shared" si="190"/>
        <v/>
      </c>
      <c r="QW19" s="36" t="str">
        <f t="shared" si="191"/>
        <v/>
      </c>
      <c r="QX19" s="36" t="str">
        <f t="shared" si="192"/>
        <v/>
      </c>
      <c r="QY19" s="36" t="str">
        <f t="shared" si="193"/>
        <v/>
      </c>
      <c r="QZ19" s="36" t="str">
        <f t="shared" si="194"/>
        <v/>
      </c>
      <c r="RA19" s="36" t="str">
        <f t="shared" si="195"/>
        <v/>
      </c>
      <c r="RB19" s="36" t="str">
        <f t="shared" si="196"/>
        <v/>
      </c>
      <c r="RC19" s="36" t="str">
        <f t="shared" si="197"/>
        <v/>
      </c>
      <c r="RD19" s="36" t="str">
        <f t="shared" si="198"/>
        <v/>
      </c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1" t="str">
        <f t="shared" si="199"/>
        <v/>
      </c>
      <c r="RZ19" s="11" t="str">
        <f t="shared" si="200"/>
        <v/>
      </c>
      <c r="SA19" s="11" t="str">
        <f t="shared" si="201"/>
        <v/>
      </c>
      <c r="SB19" s="11" t="str">
        <f t="shared" si="202"/>
        <v/>
      </c>
      <c r="SC19" s="11" t="str">
        <f t="shared" si="203"/>
        <v/>
      </c>
      <c r="SD19" s="11" t="str">
        <f t="shared" si="204"/>
        <v/>
      </c>
      <c r="SE19" s="11" t="str">
        <f t="shared" si="205"/>
        <v/>
      </c>
      <c r="SF19" s="11" t="str">
        <f t="shared" si="206"/>
        <v/>
      </c>
      <c r="SG19" s="11" t="str">
        <f t="shared" si="207"/>
        <v/>
      </c>
      <c r="SH19" s="11" t="str">
        <f t="shared" si="208"/>
        <v/>
      </c>
      <c r="SI19" s="11" t="str">
        <f t="shared" si="209"/>
        <v/>
      </c>
      <c r="SJ19" s="11" t="str">
        <f t="shared" si="210"/>
        <v/>
      </c>
      <c r="SK19" s="11" t="str">
        <f t="shared" si="211"/>
        <v/>
      </c>
      <c r="SL19" s="11" t="str">
        <f t="shared" si="212"/>
        <v/>
      </c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36" t="str">
        <f t="shared" si="213"/>
        <v/>
      </c>
      <c r="TH19" s="36" t="str">
        <f t="shared" si="214"/>
        <v/>
      </c>
      <c r="TI19" s="36" t="str">
        <f t="shared" si="215"/>
        <v/>
      </c>
      <c r="TJ19" s="36" t="str">
        <f t="shared" si="216"/>
        <v/>
      </c>
      <c r="TK19" s="36" t="str">
        <f t="shared" si="217"/>
        <v/>
      </c>
      <c r="TL19" s="36" t="str">
        <f t="shared" si="218"/>
        <v/>
      </c>
      <c r="TM19" s="36" t="str">
        <f t="shared" si="219"/>
        <v/>
      </c>
      <c r="TN19" s="36" t="str">
        <f t="shared" si="220"/>
        <v/>
      </c>
      <c r="TO19" s="36" t="str">
        <f t="shared" si="221"/>
        <v/>
      </c>
      <c r="TP19" s="36" t="str">
        <f t="shared" si="222"/>
        <v/>
      </c>
      <c r="TQ19" s="36" t="str">
        <f t="shared" si="223"/>
        <v/>
      </c>
      <c r="TR19" s="36" t="str">
        <f t="shared" si="224"/>
        <v/>
      </c>
      <c r="TS19" s="36" t="str">
        <f t="shared" si="225"/>
        <v/>
      </c>
      <c r="TT19" s="36" t="str">
        <f t="shared" si="226"/>
        <v/>
      </c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1" t="str">
        <f t="shared" si="227"/>
        <v/>
      </c>
      <c r="UP19" s="11" t="str">
        <f t="shared" si="228"/>
        <v/>
      </c>
      <c r="UQ19" s="11" t="str">
        <f t="shared" si="229"/>
        <v/>
      </c>
      <c r="UR19" s="11" t="str">
        <f t="shared" si="230"/>
        <v/>
      </c>
      <c r="US19" s="11" t="str">
        <f t="shared" si="231"/>
        <v/>
      </c>
      <c r="UT19" s="11" t="str">
        <f t="shared" si="232"/>
        <v/>
      </c>
      <c r="UU19" s="11" t="str">
        <f t="shared" si="233"/>
        <v/>
      </c>
      <c r="UV19" s="11" t="str">
        <f t="shared" si="234"/>
        <v/>
      </c>
      <c r="UW19" s="11" t="str">
        <f t="shared" si="235"/>
        <v/>
      </c>
      <c r="UX19" s="11" t="str">
        <f t="shared" si="236"/>
        <v/>
      </c>
      <c r="UY19" s="11" t="str">
        <f t="shared" si="237"/>
        <v/>
      </c>
      <c r="UZ19" s="11" t="str">
        <f t="shared" si="238"/>
        <v/>
      </c>
      <c r="VA19" s="11" t="str">
        <f t="shared" si="239"/>
        <v/>
      </c>
      <c r="VB19" s="11" t="str">
        <f t="shared" si="240"/>
        <v/>
      </c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36" t="str">
        <f t="shared" si="241"/>
        <v/>
      </c>
      <c r="VX19" s="36" t="str">
        <f t="shared" si="242"/>
        <v/>
      </c>
      <c r="VY19" s="36" t="str">
        <f t="shared" si="243"/>
        <v/>
      </c>
      <c r="VZ19" s="36" t="str">
        <f t="shared" si="244"/>
        <v/>
      </c>
      <c r="WA19" s="36" t="str">
        <f t="shared" si="245"/>
        <v/>
      </c>
      <c r="WB19" s="36" t="str">
        <f t="shared" si="246"/>
        <v/>
      </c>
      <c r="WC19" s="36" t="str">
        <f t="shared" si="247"/>
        <v/>
      </c>
      <c r="WD19" s="36" t="str">
        <f t="shared" si="248"/>
        <v/>
      </c>
      <c r="WE19" s="36" t="str">
        <f t="shared" si="249"/>
        <v/>
      </c>
      <c r="WF19" s="36" t="str">
        <f t="shared" si="250"/>
        <v/>
      </c>
      <c r="WG19" s="36" t="str">
        <f t="shared" si="251"/>
        <v/>
      </c>
      <c r="WH19" s="36" t="str">
        <f t="shared" si="252"/>
        <v/>
      </c>
      <c r="WI19" s="36" t="str">
        <f t="shared" si="253"/>
        <v/>
      </c>
      <c r="WJ19" s="36" t="str">
        <f t="shared" si="254"/>
        <v/>
      </c>
    </row>
    <row r="20" spans="1:608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237</v>
      </c>
      <c r="C20" s="4" t="s">
        <v>6</v>
      </c>
      <c r="D20" s="4" t="s">
        <v>93</v>
      </c>
      <c r="E20" s="9">
        <f t="shared" si="0"/>
        <v>9.3200009320009336</v>
      </c>
      <c r="F20" s="3" t="str">
        <f t="shared" si="1"/>
        <v/>
      </c>
      <c r="G20" s="3" t="str">
        <f t="shared" si="2"/>
        <v/>
      </c>
      <c r="H20" s="32" t="str">
        <f t="shared" si="3"/>
        <v/>
      </c>
      <c r="I20" s="3" t="str">
        <f t="shared" si="4"/>
        <v/>
      </c>
      <c r="J20" s="8">
        <f t="shared" si="5"/>
        <v>9.32</v>
      </c>
      <c r="K20" s="8" t="str">
        <f t="shared" si="6"/>
        <v>2026 Elite Canada</v>
      </c>
      <c r="L20" s="8">
        <f>IFERROR(LARGE((AI20,AL20,AP20,BJ20,BM20,BQ20,CK20,CN20,CR20),2),0)</f>
        <v>0</v>
      </c>
      <c r="M20" s="8" t="str">
        <f t="shared" si="7"/>
        <v/>
      </c>
      <c r="N20" s="8">
        <f t="shared" si="8"/>
        <v>0</v>
      </c>
      <c r="O20" s="11" t="str">
        <f t="shared" si="9"/>
        <v/>
      </c>
      <c r="P20" s="8" t="str">
        <f t="shared" si="10"/>
        <v/>
      </c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23"/>
      <c r="AG20" s="34" t="str">
        <f t="shared" si="11"/>
        <v/>
      </c>
      <c r="AH20" s="34" t="str">
        <f t="shared" si="12"/>
        <v/>
      </c>
      <c r="AI20" s="36" t="str">
        <f t="shared" si="13"/>
        <v/>
      </c>
      <c r="AJ20" s="36" t="str">
        <f t="shared" si="14"/>
        <v/>
      </c>
      <c r="AK20" s="36" t="str">
        <f t="shared" si="15"/>
        <v/>
      </c>
      <c r="AL20" s="36" t="str">
        <f t="shared" si="16"/>
        <v/>
      </c>
      <c r="AM20" s="36" t="str">
        <f t="shared" si="17"/>
        <v/>
      </c>
      <c r="AN20" s="36" t="str">
        <f t="shared" si="18"/>
        <v/>
      </c>
      <c r="AO20" s="36" t="str">
        <f t="shared" si="19"/>
        <v/>
      </c>
      <c r="AP20" s="36" t="str">
        <f t="shared" si="20"/>
        <v/>
      </c>
      <c r="AQ20" s="36" t="str">
        <f t="shared" si="21"/>
        <v/>
      </c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4"/>
      <c r="BH20" s="35" t="str">
        <f t="shared" si="22"/>
        <v/>
      </c>
      <c r="BI20" s="35" t="str">
        <f t="shared" si="23"/>
        <v/>
      </c>
      <c r="BJ20" s="11" t="str">
        <f t="shared" si="24"/>
        <v/>
      </c>
      <c r="BK20" s="11" t="str">
        <f t="shared" si="25"/>
        <v/>
      </c>
      <c r="BL20" s="11" t="str">
        <f t="shared" si="26"/>
        <v/>
      </c>
      <c r="BM20" s="11" t="str">
        <f t="shared" si="27"/>
        <v/>
      </c>
      <c r="BN20" s="11" t="str">
        <f t="shared" si="28"/>
        <v/>
      </c>
      <c r="BO20" s="11" t="str">
        <f t="shared" si="29"/>
        <v/>
      </c>
      <c r="BP20" s="11" t="str">
        <f t="shared" si="30"/>
        <v/>
      </c>
      <c r="BQ20" s="11" t="str">
        <f t="shared" si="31"/>
        <v/>
      </c>
      <c r="BR20" s="11" t="str">
        <f t="shared" si="32"/>
        <v/>
      </c>
      <c r="BS20" s="18">
        <v>0</v>
      </c>
      <c r="BT20" s="18">
        <v>0</v>
      </c>
      <c r="BU20" s="18">
        <v>0</v>
      </c>
      <c r="BV20" s="18">
        <v>0</v>
      </c>
      <c r="BW20" s="18">
        <v>0</v>
      </c>
      <c r="BX20" s="18">
        <v>2</v>
      </c>
      <c r="BY20" s="18">
        <v>2.8</v>
      </c>
      <c r="BZ20" s="18">
        <v>0</v>
      </c>
      <c r="CA20" s="18">
        <v>4.5199999999999996</v>
      </c>
      <c r="CB20" s="18">
        <v>0</v>
      </c>
      <c r="CC20" s="18"/>
      <c r="CD20" s="18"/>
      <c r="CE20" s="18"/>
      <c r="CF20" s="18"/>
      <c r="CG20" s="18"/>
      <c r="CH20" s="23"/>
      <c r="CI20" s="34" t="str">
        <f t="shared" si="33"/>
        <v/>
      </c>
      <c r="CJ20" s="34" t="str">
        <f t="shared" si="34"/>
        <v/>
      </c>
      <c r="CK20" s="36" t="str">
        <f t="shared" si="35"/>
        <v/>
      </c>
      <c r="CL20" s="36" t="str">
        <f t="shared" si="36"/>
        <v/>
      </c>
      <c r="CM20" s="36">
        <f t="shared" si="37"/>
        <v>4.5199999999999996</v>
      </c>
      <c r="CN20" s="36">
        <f t="shared" si="38"/>
        <v>9.32</v>
      </c>
      <c r="CO20" s="36" t="str">
        <f t="shared" si="39"/>
        <v/>
      </c>
      <c r="CP20" s="36" t="str">
        <f t="shared" si="40"/>
        <v/>
      </c>
      <c r="CQ20" s="36" t="str">
        <f t="shared" si="41"/>
        <v/>
      </c>
      <c r="CR20" s="36" t="str">
        <f t="shared" si="42"/>
        <v/>
      </c>
      <c r="CS20" s="36" t="str">
        <f t="shared" si="43"/>
        <v/>
      </c>
      <c r="CT20" s="47" t="str">
        <f t="shared" si="44"/>
        <v/>
      </c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36" t="str">
        <f t="shared" si="45"/>
        <v/>
      </c>
      <c r="DP20" s="36" t="str">
        <f t="shared" si="46"/>
        <v/>
      </c>
      <c r="DQ20" s="36" t="str">
        <f t="shared" si="47"/>
        <v/>
      </c>
      <c r="DR20" s="36" t="str">
        <f t="shared" si="48"/>
        <v/>
      </c>
      <c r="DS20" s="36" t="str">
        <f t="shared" si="49"/>
        <v/>
      </c>
      <c r="DT20" s="36" t="str">
        <f t="shared" si="50"/>
        <v/>
      </c>
      <c r="DU20" s="36" t="str">
        <f t="shared" si="51"/>
        <v/>
      </c>
      <c r="DV20" s="36" t="str">
        <f t="shared" si="52"/>
        <v/>
      </c>
      <c r="DW20" s="36" t="str">
        <f t="shared" si="53"/>
        <v/>
      </c>
      <c r="DX20" s="36" t="str">
        <f t="shared" si="54"/>
        <v/>
      </c>
      <c r="DY20" s="36" t="str">
        <f t="shared" si="55"/>
        <v/>
      </c>
      <c r="DZ20" s="36" t="str">
        <f t="shared" si="56"/>
        <v/>
      </c>
      <c r="EA20" s="36" t="str">
        <f t="shared" si="57"/>
        <v/>
      </c>
      <c r="EB20" s="36" t="str">
        <f t="shared" si="58"/>
        <v/>
      </c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1" t="str">
        <f t="shared" si="59"/>
        <v/>
      </c>
      <c r="EX20" s="11" t="str">
        <f t="shared" si="60"/>
        <v/>
      </c>
      <c r="EY20" s="11" t="str">
        <f t="shared" si="61"/>
        <v/>
      </c>
      <c r="EZ20" s="11" t="str">
        <f t="shared" si="62"/>
        <v/>
      </c>
      <c r="FA20" s="11" t="str">
        <f t="shared" si="63"/>
        <v/>
      </c>
      <c r="FB20" s="11" t="str">
        <f t="shared" si="64"/>
        <v/>
      </c>
      <c r="FC20" s="11" t="str">
        <f t="shared" si="65"/>
        <v/>
      </c>
      <c r="FD20" s="11" t="str">
        <f t="shared" si="66"/>
        <v/>
      </c>
      <c r="FE20" s="11" t="str">
        <f t="shared" si="67"/>
        <v/>
      </c>
      <c r="FF20" s="11" t="str">
        <f t="shared" si="68"/>
        <v/>
      </c>
      <c r="FG20" s="11" t="str">
        <f t="shared" si="69"/>
        <v/>
      </c>
      <c r="FH20" s="11" t="str">
        <f t="shared" si="70"/>
        <v/>
      </c>
      <c r="FI20" s="11" t="str">
        <f t="shared" si="71"/>
        <v/>
      </c>
      <c r="FJ20" s="11" t="str">
        <f t="shared" si="72"/>
        <v/>
      </c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36" t="str">
        <f t="shared" si="73"/>
        <v/>
      </c>
      <c r="GF20" s="36" t="str">
        <f t="shared" si="74"/>
        <v/>
      </c>
      <c r="GG20" s="36" t="str">
        <f t="shared" si="75"/>
        <v/>
      </c>
      <c r="GH20" s="36" t="str">
        <f t="shared" si="76"/>
        <v/>
      </c>
      <c r="GI20" s="36" t="str">
        <f t="shared" si="77"/>
        <v/>
      </c>
      <c r="GJ20" s="36" t="str">
        <f t="shared" si="78"/>
        <v/>
      </c>
      <c r="GK20" s="36" t="str">
        <f t="shared" si="79"/>
        <v/>
      </c>
      <c r="GL20" s="36" t="str">
        <f t="shared" si="80"/>
        <v/>
      </c>
      <c r="GM20" s="36" t="str">
        <f t="shared" si="81"/>
        <v/>
      </c>
      <c r="GN20" s="36" t="str">
        <f t="shared" si="82"/>
        <v/>
      </c>
      <c r="GO20" s="36" t="str">
        <f t="shared" si="83"/>
        <v/>
      </c>
      <c r="GP20" s="36" t="str">
        <f t="shared" si="84"/>
        <v/>
      </c>
      <c r="GQ20" s="36" t="str">
        <f t="shared" si="85"/>
        <v/>
      </c>
      <c r="GR20" s="36" t="str">
        <f t="shared" si="86"/>
        <v/>
      </c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1" t="str">
        <f t="shared" si="87"/>
        <v/>
      </c>
      <c r="HN20" s="11" t="str">
        <f t="shared" si="88"/>
        <v/>
      </c>
      <c r="HO20" s="11" t="str">
        <f t="shared" si="89"/>
        <v/>
      </c>
      <c r="HP20" s="11" t="str">
        <f t="shared" si="90"/>
        <v/>
      </c>
      <c r="HQ20" s="11" t="str">
        <f t="shared" si="91"/>
        <v/>
      </c>
      <c r="HR20" s="11" t="str">
        <f t="shared" si="92"/>
        <v/>
      </c>
      <c r="HS20" s="11" t="str">
        <f t="shared" si="93"/>
        <v/>
      </c>
      <c r="HT20" s="11" t="str">
        <f t="shared" si="94"/>
        <v/>
      </c>
      <c r="HU20" s="11" t="str">
        <f t="shared" si="95"/>
        <v/>
      </c>
      <c r="HV20" s="11" t="str">
        <f t="shared" si="96"/>
        <v/>
      </c>
      <c r="HW20" s="11" t="str">
        <f t="shared" si="97"/>
        <v/>
      </c>
      <c r="HX20" s="11" t="str">
        <f t="shared" si="98"/>
        <v/>
      </c>
      <c r="HY20" s="11" t="str">
        <f t="shared" si="99"/>
        <v/>
      </c>
      <c r="HZ20" s="11" t="str">
        <f t="shared" si="100"/>
        <v/>
      </c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36" t="str">
        <f t="shared" si="101"/>
        <v/>
      </c>
      <c r="IV20" s="36" t="str">
        <f t="shared" si="102"/>
        <v/>
      </c>
      <c r="IW20" s="36" t="str">
        <f t="shared" si="103"/>
        <v/>
      </c>
      <c r="IX20" s="36" t="str">
        <f t="shared" si="104"/>
        <v/>
      </c>
      <c r="IY20" s="36" t="str">
        <f t="shared" si="105"/>
        <v/>
      </c>
      <c r="IZ20" s="36" t="str">
        <f t="shared" si="106"/>
        <v/>
      </c>
      <c r="JA20" s="36" t="str">
        <f t="shared" si="107"/>
        <v/>
      </c>
      <c r="JB20" s="36" t="str">
        <f t="shared" si="108"/>
        <v/>
      </c>
      <c r="JC20" s="36" t="str">
        <f t="shared" si="109"/>
        <v/>
      </c>
      <c r="JD20" s="36" t="str">
        <f t="shared" si="110"/>
        <v/>
      </c>
      <c r="JE20" s="36" t="str">
        <f t="shared" si="111"/>
        <v/>
      </c>
      <c r="JF20" s="36" t="str">
        <f t="shared" si="112"/>
        <v/>
      </c>
      <c r="JG20" s="36" t="str">
        <f t="shared" si="113"/>
        <v/>
      </c>
      <c r="JH20" s="36" t="str">
        <f t="shared" si="114"/>
        <v/>
      </c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1" t="str">
        <f t="shared" si="115"/>
        <v/>
      </c>
      <c r="KD20" s="11" t="str">
        <f t="shared" si="116"/>
        <v/>
      </c>
      <c r="KE20" s="11" t="str">
        <f t="shared" si="117"/>
        <v/>
      </c>
      <c r="KF20" s="11" t="str">
        <f t="shared" si="118"/>
        <v/>
      </c>
      <c r="KG20" s="11" t="str">
        <f t="shared" si="119"/>
        <v/>
      </c>
      <c r="KH20" s="11" t="str">
        <f t="shared" si="120"/>
        <v/>
      </c>
      <c r="KI20" s="11" t="str">
        <f t="shared" si="121"/>
        <v/>
      </c>
      <c r="KJ20" s="11" t="str">
        <f t="shared" si="122"/>
        <v/>
      </c>
      <c r="KK20" s="11" t="str">
        <f t="shared" si="123"/>
        <v/>
      </c>
      <c r="KL20" s="11" t="str">
        <f t="shared" si="124"/>
        <v/>
      </c>
      <c r="KM20" s="11" t="str">
        <f t="shared" si="125"/>
        <v/>
      </c>
      <c r="KN20" s="11" t="str">
        <f t="shared" si="126"/>
        <v/>
      </c>
      <c r="KO20" s="11" t="str">
        <f t="shared" si="127"/>
        <v/>
      </c>
      <c r="KP20" s="11" t="str">
        <f t="shared" si="128"/>
        <v/>
      </c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36" t="str">
        <f t="shared" si="129"/>
        <v/>
      </c>
      <c r="LL20" s="36" t="str">
        <f t="shared" si="130"/>
        <v/>
      </c>
      <c r="LM20" s="36" t="str">
        <f t="shared" si="131"/>
        <v/>
      </c>
      <c r="LN20" s="36" t="str">
        <f t="shared" si="132"/>
        <v/>
      </c>
      <c r="LO20" s="36" t="str">
        <f t="shared" si="133"/>
        <v/>
      </c>
      <c r="LP20" s="36" t="str">
        <f t="shared" si="134"/>
        <v/>
      </c>
      <c r="LQ20" s="36" t="str">
        <f t="shared" si="135"/>
        <v/>
      </c>
      <c r="LR20" s="36" t="str">
        <f t="shared" si="136"/>
        <v/>
      </c>
      <c r="LS20" s="36" t="str">
        <f t="shared" si="137"/>
        <v/>
      </c>
      <c r="LT20" s="36" t="str">
        <f t="shared" si="138"/>
        <v/>
      </c>
      <c r="LU20" s="36" t="str">
        <f t="shared" si="139"/>
        <v/>
      </c>
      <c r="LV20" s="36" t="str">
        <f t="shared" si="140"/>
        <v/>
      </c>
      <c r="LW20" s="36" t="str">
        <f t="shared" si="141"/>
        <v/>
      </c>
      <c r="LX20" s="36" t="str">
        <f t="shared" si="142"/>
        <v/>
      </c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1" t="str">
        <f t="shared" si="143"/>
        <v/>
      </c>
      <c r="MT20" s="11" t="str">
        <f t="shared" si="144"/>
        <v/>
      </c>
      <c r="MU20" s="11" t="str">
        <f t="shared" si="145"/>
        <v/>
      </c>
      <c r="MV20" s="11" t="str">
        <f t="shared" si="146"/>
        <v/>
      </c>
      <c r="MW20" s="11" t="str">
        <f t="shared" si="147"/>
        <v/>
      </c>
      <c r="MX20" s="11" t="str">
        <f t="shared" si="148"/>
        <v/>
      </c>
      <c r="MY20" s="11" t="str">
        <f t="shared" si="149"/>
        <v/>
      </c>
      <c r="MZ20" s="11" t="str">
        <f t="shared" si="150"/>
        <v/>
      </c>
      <c r="NA20" s="11" t="str">
        <f t="shared" si="151"/>
        <v/>
      </c>
      <c r="NB20" s="11" t="str">
        <f t="shared" si="152"/>
        <v/>
      </c>
      <c r="NC20" s="11" t="str">
        <f t="shared" si="153"/>
        <v/>
      </c>
      <c r="ND20" s="11" t="str">
        <f t="shared" si="154"/>
        <v/>
      </c>
      <c r="NE20" s="11" t="str">
        <f t="shared" si="155"/>
        <v/>
      </c>
      <c r="NF20" s="11" t="str">
        <f t="shared" si="156"/>
        <v/>
      </c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36" t="str">
        <f t="shared" si="157"/>
        <v/>
      </c>
      <c r="OB20" s="36" t="str">
        <f t="shared" si="158"/>
        <v/>
      </c>
      <c r="OC20" s="36" t="str">
        <f t="shared" si="159"/>
        <v/>
      </c>
      <c r="OD20" s="36" t="str">
        <f t="shared" si="160"/>
        <v/>
      </c>
      <c r="OE20" s="36" t="str">
        <f t="shared" si="161"/>
        <v/>
      </c>
      <c r="OF20" s="36" t="str">
        <f t="shared" si="162"/>
        <v/>
      </c>
      <c r="OG20" s="36" t="str">
        <f t="shared" si="163"/>
        <v/>
      </c>
      <c r="OH20" s="36" t="str">
        <f t="shared" si="164"/>
        <v/>
      </c>
      <c r="OI20" s="36" t="str">
        <f t="shared" si="165"/>
        <v/>
      </c>
      <c r="OJ20" s="36" t="str">
        <f t="shared" si="166"/>
        <v/>
      </c>
      <c r="OK20" s="36" t="str">
        <f t="shared" si="167"/>
        <v/>
      </c>
      <c r="OL20" s="36" t="str">
        <f t="shared" si="168"/>
        <v/>
      </c>
      <c r="OM20" s="36" t="str">
        <f t="shared" si="169"/>
        <v/>
      </c>
      <c r="ON20" s="36" t="str">
        <f t="shared" si="170"/>
        <v/>
      </c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1" t="str">
        <f t="shared" si="171"/>
        <v/>
      </c>
      <c r="PJ20" s="11" t="str">
        <f t="shared" si="172"/>
        <v/>
      </c>
      <c r="PK20" s="11" t="str">
        <f t="shared" si="173"/>
        <v/>
      </c>
      <c r="PL20" s="11" t="str">
        <f t="shared" si="174"/>
        <v/>
      </c>
      <c r="PM20" s="11" t="str">
        <f t="shared" si="175"/>
        <v/>
      </c>
      <c r="PN20" s="11" t="str">
        <f t="shared" si="176"/>
        <v/>
      </c>
      <c r="PO20" s="11" t="str">
        <f t="shared" si="177"/>
        <v/>
      </c>
      <c r="PP20" s="11" t="str">
        <f t="shared" si="178"/>
        <v/>
      </c>
      <c r="PQ20" s="11" t="str">
        <f t="shared" si="179"/>
        <v/>
      </c>
      <c r="PR20" s="11" t="str">
        <f t="shared" si="180"/>
        <v/>
      </c>
      <c r="PS20" s="11" t="str">
        <f t="shared" si="181"/>
        <v/>
      </c>
      <c r="PT20" s="11" t="str">
        <f t="shared" si="182"/>
        <v/>
      </c>
      <c r="PU20" s="11" t="str">
        <f t="shared" si="183"/>
        <v/>
      </c>
      <c r="PV20" s="11" t="str">
        <f t="shared" si="184"/>
        <v/>
      </c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36" t="str">
        <f t="shared" si="185"/>
        <v/>
      </c>
      <c r="QR20" s="36" t="str">
        <f t="shared" si="186"/>
        <v/>
      </c>
      <c r="QS20" s="36" t="str">
        <f t="shared" si="187"/>
        <v/>
      </c>
      <c r="QT20" s="36" t="str">
        <f t="shared" si="188"/>
        <v/>
      </c>
      <c r="QU20" s="36" t="str">
        <f t="shared" si="189"/>
        <v/>
      </c>
      <c r="QV20" s="36" t="str">
        <f t="shared" si="190"/>
        <v/>
      </c>
      <c r="QW20" s="36" t="str">
        <f t="shared" si="191"/>
        <v/>
      </c>
      <c r="QX20" s="36" t="str">
        <f t="shared" si="192"/>
        <v/>
      </c>
      <c r="QY20" s="36" t="str">
        <f t="shared" si="193"/>
        <v/>
      </c>
      <c r="QZ20" s="36" t="str">
        <f t="shared" si="194"/>
        <v/>
      </c>
      <c r="RA20" s="36" t="str">
        <f t="shared" si="195"/>
        <v/>
      </c>
      <c r="RB20" s="36" t="str">
        <f t="shared" si="196"/>
        <v/>
      </c>
      <c r="RC20" s="36" t="str">
        <f t="shared" si="197"/>
        <v/>
      </c>
      <c r="RD20" s="36" t="str">
        <f t="shared" si="198"/>
        <v/>
      </c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1" t="str">
        <f t="shared" si="199"/>
        <v/>
      </c>
      <c r="RZ20" s="11" t="str">
        <f t="shared" si="200"/>
        <v/>
      </c>
      <c r="SA20" s="11" t="str">
        <f t="shared" si="201"/>
        <v/>
      </c>
      <c r="SB20" s="11" t="str">
        <f t="shared" si="202"/>
        <v/>
      </c>
      <c r="SC20" s="11" t="str">
        <f t="shared" si="203"/>
        <v/>
      </c>
      <c r="SD20" s="11" t="str">
        <f t="shared" si="204"/>
        <v/>
      </c>
      <c r="SE20" s="11" t="str">
        <f t="shared" si="205"/>
        <v/>
      </c>
      <c r="SF20" s="11" t="str">
        <f t="shared" si="206"/>
        <v/>
      </c>
      <c r="SG20" s="11" t="str">
        <f t="shared" si="207"/>
        <v/>
      </c>
      <c r="SH20" s="11" t="str">
        <f t="shared" si="208"/>
        <v/>
      </c>
      <c r="SI20" s="11" t="str">
        <f t="shared" si="209"/>
        <v/>
      </c>
      <c r="SJ20" s="11" t="str">
        <f t="shared" si="210"/>
        <v/>
      </c>
      <c r="SK20" s="11" t="str">
        <f t="shared" si="211"/>
        <v/>
      </c>
      <c r="SL20" s="11" t="str">
        <f t="shared" si="212"/>
        <v/>
      </c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36" t="str">
        <f t="shared" si="213"/>
        <v/>
      </c>
      <c r="TH20" s="36" t="str">
        <f t="shared" si="214"/>
        <v/>
      </c>
      <c r="TI20" s="36" t="str">
        <f t="shared" si="215"/>
        <v/>
      </c>
      <c r="TJ20" s="36" t="str">
        <f t="shared" si="216"/>
        <v/>
      </c>
      <c r="TK20" s="36" t="str">
        <f t="shared" si="217"/>
        <v/>
      </c>
      <c r="TL20" s="36" t="str">
        <f t="shared" si="218"/>
        <v/>
      </c>
      <c r="TM20" s="36" t="str">
        <f t="shared" si="219"/>
        <v/>
      </c>
      <c r="TN20" s="36" t="str">
        <f t="shared" si="220"/>
        <v/>
      </c>
      <c r="TO20" s="36" t="str">
        <f t="shared" si="221"/>
        <v/>
      </c>
      <c r="TP20" s="36" t="str">
        <f t="shared" si="222"/>
        <v/>
      </c>
      <c r="TQ20" s="36" t="str">
        <f t="shared" si="223"/>
        <v/>
      </c>
      <c r="TR20" s="36" t="str">
        <f t="shared" si="224"/>
        <v/>
      </c>
      <c r="TS20" s="36" t="str">
        <f t="shared" si="225"/>
        <v/>
      </c>
      <c r="TT20" s="36" t="str">
        <f t="shared" si="226"/>
        <v/>
      </c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1" t="str">
        <f t="shared" si="227"/>
        <v/>
      </c>
      <c r="UP20" s="11" t="str">
        <f t="shared" si="228"/>
        <v/>
      </c>
      <c r="UQ20" s="11" t="str">
        <f t="shared" si="229"/>
        <v/>
      </c>
      <c r="UR20" s="11" t="str">
        <f t="shared" si="230"/>
        <v/>
      </c>
      <c r="US20" s="11" t="str">
        <f t="shared" si="231"/>
        <v/>
      </c>
      <c r="UT20" s="11" t="str">
        <f t="shared" si="232"/>
        <v/>
      </c>
      <c r="UU20" s="11" t="str">
        <f t="shared" si="233"/>
        <v/>
      </c>
      <c r="UV20" s="11" t="str">
        <f t="shared" si="234"/>
        <v/>
      </c>
      <c r="UW20" s="11" t="str">
        <f t="shared" si="235"/>
        <v/>
      </c>
      <c r="UX20" s="11" t="str">
        <f t="shared" si="236"/>
        <v/>
      </c>
      <c r="UY20" s="11" t="str">
        <f t="shared" si="237"/>
        <v/>
      </c>
      <c r="UZ20" s="11" t="str">
        <f t="shared" si="238"/>
        <v/>
      </c>
      <c r="VA20" s="11" t="str">
        <f t="shared" si="239"/>
        <v/>
      </c>
      <c r="VB20" s="11" t="str">
        <f t="shared" si="240"/>
        <v/>
      </c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36" t="str">
        <f t="shared" si="241"/>
        <v/>
      </c>
      <c r="VX20" s="36" t="str">
        <f t="shared" si="242"/>
        <v/>
      </c>
      <c r="VY20" s="36" t="str">
        <f t="shared" si="243"/>
        <v/>
      </c>
      <c r="VZ20" s="36" t="str">
        <f t="shared" si="244"/>
        <v/>
      </c>
      <c r="WA20" s="36" t="str">
        <f t="shared" si="245"/>
        <v/>
      </c>
      <c r="WB20" s="36" t="str">
        <f t="shared" si="246"/>
        <v/>
      </c>
      <c r="WC20" s="36" t="str">
        <f t="shared" si="247"/>
        <v/>
      </c>
      <c r="WD20" s="36" t="str">
        <f t="shared" si="248"/>
        <v/>
      </c>
      <c r="WE20" s="36" t="str">
        <f t="shared" si="249"/>
        <v/>
      </c>
      <c r="WF20" s="36" t="str">
        <f t="shared" si="250"/>
        <v/>
      </c>
      <c r="WG20" s="36" t="str">
        <f t="shared" si="251"/>
        <v/>
      </c>
      <c r="WH20" s="36" t="str">
        <f t="shared" si="252"/>
        <v/>
      </c>
      <c r="WI20" s="36" t="str">
        <f t="shared" si="253"/>
        <v/>
      </c>
      <c r="WJ20" s="36" t="str">
        <f t="shared" si="254"/>
        <v/>
      </c>
    </row>
    <row r="21" spans="1:608" x14ac:dyDescent="0.2">
      <c r="B21" s="5"/>
      <c r="D21" s="1"/>
    </row>
    <row r="22" spans="1:608" x14ac:dyDescent="0.2">
      <c r="G22" s="32"/>
      <c r="I22" s="32"/>
    </row>
    <row r="23" spans="1:608" x14ac:dyDescent="0.2">
      <c r="B23" s="19" t="s">
        <v>40</v>
      </c>
      <c r="C23" s="5"/>
      <c r="G23" s="3"/>
      <c r="AJ23" s="37"/>
      <c r="AK23" s="37"/>
      <c r="AL23" s="37"/>
      <c r="AN23" s="28"/>
      <c r="AO23" s="28"/>
      <c r="AQ23" s="38">
        <v>14.5</v>
      </c>
      <c r="BK23" s="37"/>
      <c r="BL23" s="37"/>
      <c r="BM23" s="37"/>
      <c r="BO23" s="28"/>
      <c r="BP23" s="28"/>
      <c r="BR23" s="38">
        <v>14.5</v>
      </c>
      <c r="CL23" s="37"/>
      <c r="CM23" s="37"/>
      <c r="CN23" s="37"/>
      <c r="CP23" s="28"/>
      <c r="CQ23" s="28"/>
      <c r="CS23" s="38">
        <v>15.3</v>
      </c>
      <c r="DO23" s="5"/>
      <c r="DP23" s="5"/>
      <c r="DY23" s="2"/>
      <c r="DZ23" s="2"/>
      <c r="EB23" s="38">
        <v>14.5</v>
      </c>
      <c r="EW23" s="5"/>
      <c r="EX23" s="5"/>
      <c r="FG23" s="2"/>
      <c r="FH23" s="2"/>
      <c r="FJ23" s="38">
        <v>14.5</v>
      </c>
      <c r="GE23" s="5"/>
      <c r="GF23" s="5"/>
      <c r="GO23" s="2"/>
      <c r="GP23" s="2"/>
      <c r="GR23" s="38">
        <v>14.5</v>
      </c>
      <c r="HM23" s="5"/>
      <c r="HN23" s="5"/>
      <c r="HW23" s="2"/>
      <c r="HX23" s="2"/>
      <c r="HZ23" s="38">
        <v>14.5</v>
      </c>
      <c r="IU23" s="5"/>
      <c r="IV23" s="5"/>
      <c r="JE23" s="2"/>
      <c r="JF23" s="2"/>
      <c r="JH23" s="38">
        <v>14.5</v>
      </c>
      <c r="KC23" s="5"/>
      <c r="KD23" s="5"/>
      <c r="KM23" s="2"/>
      <c r="KN23" s="2"/>
      <c r="KP23" s="38">
        <v>14.5</v>
      </c>
      <c r="LK23" s="5"/>
      <c r="LL23" s="5"/>
      <c r="LU23" s="2"/>
      <c r="LV23" s="2"/>
      <c r="LX23" s="38">
        <v>14.5</v>
      </c>
      <c r="MS23" s="5"/>
      <c r="MT23" s="5"/>
      <c r="NC23" s="2"/>
      <c r="ND23" s="2"/>
      <c r="NF23" s="38">
        <v>14.5</v>
      </c>
      <c r="OA23" s="5"/>
      <c r="OB23" s="5"/>
      <c r="OK23" s="2"/>
      <c r="OL23" s="2"/>
      <c r="ON23" s="38">
        <v>15.3</v>
      </c>
      <c r="PI23" s="5"/>
      <c r="PJ23" s="5"/>
      <c r="PS23" s="2"/>
      <c r="PT23" s="2"/>
      <c r="PV23" s="38">
        <v>15.3</v>
      </c>
      <c r="QQ23" s="5"/>
      <c r="QR23" s="5"/>
      <c r="RA23" s="2"/>
      <c r="RB23" s="2"/>
      <c r="RD23" s="38">
        <v>15.3</v>
      </c>
      <c r="RY23" s="5"/>
      <c r="RZ23" s="5"/>
      <c r="SI23" s="2"/>
      <c r="SJ23" s="2"/>
      <c r="SL23" s="38">
        <v>15.3</v>
      </c>
      <c r="TG23" s="5"/>
      <c r="TH23" s="5"/>
      <c r="TQ23" s="2"/>
      <c r="TR23" s="2"/>
      <c r="TT23" s="38">
        <v>15.3</v>
      </c>
      <c r="UO23" s="5"/>
      <c r="UP23" s="5"/>
      <c r="UY23" s="2"/>
      <c r="UZ23" s="2"/>
      <c r="VB23" s="38">
        <v>15.3</v>
      </c>
      <c r="VW23" s="5"/>
      <c r="VX23" s="5"/>
      <c r="WG23" s="2"/>
      <c r="WH23" s="2"/>
      <c r="WJ23" s="38">
        <v>15.3</v>
      </c>
    </row>
    <row r="24" spans="1:608" hidden="1" x14ac:dyDescent="0.2">
      <c r="B24" s="26" t="s">
        <v>39</v>
      </c>
      <c r="C24" s="5"/>
      <c r="P24" s="2"/>
      <c r="AJ24" s="37"/>
      <c r="AK24" s="37"/>
      <c r="AL24" s="37"/>
      <c r="AN24" s="28"/>
      <c r="AO24" s="28"/>
      <c r="AQ24" s="39">
        <v>1000</v>
      </c>
      <c r="BK24" s="37"/>
      <c r="BL24" s="37"/>
      <c r="BM24" s="37"/>
      <c r="BO24" s="28"/>
      <c r="BP24" s="28"/>
      <c r="BR24" s="39">
        <v>1000</v>
      </c>
      <c r="CL24" s="37"/>
      <c r="CM24" s="37"/>
      <c r="CN24" s="37"/>
      <c r="CP24" s="28"/>
      <c r="CQ24" s="28"/>
      <c r="CS24" s="39">
        <v>1000</v>
      </c>
      <c r="DO24" s="5"/>
      <c r="DP24" s="5"/>
      <c r="DY24" s="2"/>
      <c r="DZ24" s="2"/>
      <c r="EB24" s="39">
        <v>1000</v>
      </c>
      <c r="EW24" s="5"/>
      <c r="EX24" s="5"/>
      <c r="FG24" s="2"/>
      <c r="FH24" s="2"/>
      <c r="FJ24" s="39">
        <v>1000</v>
      </c>
      <c r="GE24" s="5"/>
      <c r="GF24" s="5"/>
      <c r="GO24" s="2"/>
      <c r="GP24" s="2"/>
      <c r="GR24" s="39">
        <v>1000</v>
      </c>
      <c r="HM24" s="5"/>
      <c r="HN24" s="5"/>
      <c r="HW24" s="2"/>
      <c r="HX24" s="2"/>
      <c r="HZ24" s="39">
        <v>1000</v>
      </c>
      <c r="IU24" s="5"/>
      <c r="IV24" s="5"/>
      <c r="JE24" s="2"/>
      <c r="JF24" s="2"/>
      <c r="JH24" s="39">
        <v>1000</v>
      </c>
      <c r="KC24" s="5"/>
      <c r="KD24" s="5"/>
      <c r="KM24" s="2"/>
      <c r="KN24" s="2"/>
      <c r="KP24" s="39">
        <v>1000</v>
      </c>
      <c r="LK24" s="5"/>
      <c r="LL24" s="5"/>
      <c r="LU24" s="2"/>
      <c r="LV24" s="2"/>
      <c r="LX24" s="39">
        <v>1000</v>
      </c>
      <c r="MS24" s="5"/>
      <c r="MT24" s="5"/>
      <c r="NC24" s="2"/>
      <c r="ND24" s="2"/>
      <c r="NF24" s="39">
        <v>1000</v>
      </c>
      <c r="OA24" s="5"/>
      <c r="OB24" s="5"/>
      <c r="OK24" s="2"/>
      <c r="OL24" s="2"/>
      <c r="ON24" s="39">
        <v>1000</v>
      </c>
      <c r="PI24" s="5"/>
      <c r="PJ24" s="5"/>
      <c r="PS24" s="2"/>
      <c r="PT24" s="2"/>
      <c r="PV24" s="39">
        <v>1000</v>
      </c>
      <c r="QQ24" s="5"/>
      <c r="QR24" s="5"/>
      <c r="RA24" s="2"/>
      <c r="RB24" s="2"/>
      <c r="RD24" s="39">
        <v>1000</v>
      </c>
      <c r="RY24" s="5"/>
      <c r="RZ24" s="5"/>
      <c r="SI24" s="2"/>
      <c r="SJ24" s="2"/>
      <c r="SL24" s="39">
        <v>1000</v>
      </c>
      <c r="TG24" s="5"/>
      <c r="TH24" s="5"/>
      <c r="TQ24" s="2"/>
      <c r="TR24" s="2"/>
      <c r="TT24" s="39">
        <v>1000</v>
      </c>
      <c r="UO24" s="5"/>
      <c r="UP24" s="5"/>
      <c r="UY24" s="2"/>
      <c r="UZ24" s="2"/>
      <c r="VB24" s="39">
        <v>1000</v>
      </c>
      <c r="VW24" s="5"/>
      <c r="VX24" s="5"/>
      <c r="WG24" s="2"/>
      <c r="WH24" s="2"/>
      <c r="WJ24" s="39">
        <v>1000</v>
      </c>
    </row>
    <row r="25" spans="1:608" hidden="1" x14ac:dyDescent="0.2">
      <c r="A25" s="5"/>
      <c r="B25" s="27" t="s">
        <v>50</v>
      </c>
      <c r="C25" s="5"/>
      <c r="E25" s="2"/>
      <c r="AJ25" s="37"/>
      <c r="AK25" s="37"/>
      <c r="AL25" s="37"/>
      <c r="AM25" s="28"/>
      <c r="AN25" s="28"/>
      <c r="AO25" s="28"/>
      <c r="AP25" s="28"/>
      <c r="AQ25" s="40">
        <v>1000</v>
      </c>
      <c r="BK25" s="37"/>
      <c r="BL25" s="37"/>
      <c r="BM25" s="37"/>
      <c r="BO25" s="28"/>
      <c r="BP25" s="28"/>
      <c r="BR25" s="40">
        <v>1000</v>
      </c>
      <c r="CL25" s="37"/>
      <c r="CM25" s="37"/>
      <c r="CN25" s="37"/>
      <c r="CO25" s="28"/>
      <c r="CP25" s="28"/>
      <c r="CQ25" s="28"/>
      <c r="CR25" s="28"/>
      <c r="CS25" s="40">
        <v>1000</v>
      </c>
      <c r="DO25" s="5"/>
      <c r="DP25" s="5"/>
      <c r="DY25" s="2"/>
      <c r="DZ25" s="2"/>
      <c r="EB25" s="40">
        <v>0</v>
      </c>
      <c r="EW25" s="5"/>
      <c r="EX25" s="5"/>
      <c r="FG25" s="2"/>
      <c r="FH25" s="2"/>
      <c r="FJ25" s="40">
        <v>0</v>
      </c>
      <c r="GE25" s="5"/>
      <c r="GF25" s="5"/>
      <c r="GO25" s="2"/>
      <c r="GP25" s="2"/>
      <c r="GR25" s="40">
        <v>0</v>
      </c>
      <c r="HM25" s="5"/>
      <c r="HN25" s="5"/>
      <c r="HW25" s="2"/>
      <c r="HX25" s="2"/>
      <c r="HZ25" s="40">
        <v>0</v>
      </c>
      <c r="IU25" s="5"/>
      <c r="IV25" s="5"/>
      <c r="JE25" s="2"/>
      <c r="JF25" s="2"/>
      <c r="JH25" s="40">
        <v>0</v>
      </c>
      <c r="KC25" s="5"/>
      <c r="KD25" s="5"/>
      <c r="KM25" s="2"/>
      <c r="KN25" s="2"/>
      <c r="KP25" s="40">
        <v>0</v>
      </c>
      <c r="LK25" s="5"/>
      <c r="LL25" s="5"/>
      <c r="LU25" s="2"/>
      <c r="LV25" s="2"/>
      <c r="LX25" s="40">
        <v>0</v>
      </c>
      <c r="MS25" s="5"/>
      <c r="MT25" s="5"/>
      <c r="NC25" s="2"/>
      <c r="ND25" s="2"/>
      <c r="NF25" s="40">
        <v>0</v>
      </c>
      <c r="OA25" s="5"/>
      <c r="OB25" s="5"/>
      <c r="OK25" s="2"/>
      <c r="OL25" s="2"/>
      <c r="ON25" s="40">
        <v>0</v>
      </c>
      <c r="PI25" s="5"/>
      <c r="PJ25" s="5"/>
      <c r="PS25" s="2"/>
      <c r="PT25" s="2"/>
      <c r="PV25" s="40">
        <v>0</v>
      </c>
      <c r="QQ25" s="5"/>
      <c r="QR25" s="5"/>
      <c r="RA25" s="2"/>
      <c r="RB25" s="2"/>
      <c r="RD25" s="40">
        <v>0</v>
      </c>
      <c r="RY25" s="5"/>
      <c r="RZ25" s="5"/>
      <c r="SI25" s="2"/>
      <c r="SJ25" s="2"/>
      <c r="SL25" s="40">
        <v>0</v>
      </c>
      <c r="TG25" s="5"/>
      <c r="TH25" s="5"/>
      <c r="TQ25" s="2"/>
      <c r="TR25" s="2"/>
      <c r="TT25" s="40">
        <v>0</v>
      </c>
      <c r="UO25" s="5"/>
      <c r="UP25" s="5"/>
      <c r="UY25" s="2"/>
      <c r="UZ25" s="2"/>
      <c r="VB25" s="40">
        <v>0</v>
      </c>
      <c r="VW25" s="5"/>
      <c r="VX25" s="5"/>
      <c r="WG25" s="2"/>
      <c r="WH25" s="2"/>
      <c r="WJ25" s="40">
        <v>0</v>
      </c>
    </row>
    <row r="26" spans="1:608" hidden="1" x14ac:dyDescent="0.2">
      <c r="A26" s="5"/>
      <c r="B26" s="31" t="s">
        <v>57</v>
      </c>
      <c r="C26" s="5"/>
      <c r="E26" s="2"/>
      <c r="AJ26" s="37"/>
      <c r="AK26" s="37"/>
      <c r="AL26" s="37"/>
      <c r="AM26" s="28"/>
      <c r="AN26" s="28"/>
      <c r="AO26" s="28"/>
      <c r="AP26" s="28"/>
      <c r="AQ26" s="41">
        <v>1000</v>
      </c>
      <c r="BK26" s="37"/>
      <c r="BL26" s="37"/>
      <c r="BM26" s="37"/>
      <c r="BO26" s="28"/>
      <c r="BP26" s="28"/>
      <c r="BR26" s="41">
        <v>1000</v>
      </c>
      <c r="CL26" s="37"/>
      <c r="CM26" s="37"/>
      <c r="CN26" s="37"/>
      <c r="CO26" s="28"/>
      <c r="CP26" s="28"/>
      <c r="CQ26" s="28"/>
      <c r="CR26" s="28"/>
      <c r="CS26" s="41">
        <v>1000</v>
      </c>
      <c r="DO26" s="5"/>
      <c r="DP26" s="5"/>
      <c r="DY26" s="2"/>
      <c r="DZ26" s="2"/>
      <c r="EB26" s="41">
        <v>0</v>
      </c>
      <c r="EW26" s="5"/>
      <c r="EX26" s="5"/>
      <c r="FG26" s="2"/>
      <c r="FH26" s="2"/>
      <c r="FJ26" s="41">
        <v>0</v>
      </c>
      <c r="GE26" s="5"/>
      <c r="GF26" s="5"/>
      <c r="GO26" s="2"/>
      <c r="GP26" s="2"/>
      <c r="GR26" s="41">
        <v>0</v>
      </c>
      <c r="HM26" s="5"/>
      <c r="HN26" s="5"/>
      <c r="HW26" s="2"/>
      <c r="HX26" s="2"/>
      <c r="HZ26" s="41">
        <v>0</v>
      </c>
      <c r="IU26" s="5"/>
      <c r="IV26" s="5"/>
      <c r="JE26" s="2"/>
      <c r="JF26" s="2"/>
      <c r="JH26" s="41">
        <v>0</v>
      </c>
      <c r="KC26" s="5"/>
      <c r="KD26" s="5"/>
      <c r="KM26" s="2"/>
      <c r="KN26" s="2"/>
      <c r="KP26" s="41">
        <v>0</v>
      </c>
      <c r="LK26" s="5"/>
      <c r="LL26" s="5"/>
      <c r="LU26" s="2"/>
      <c r="LV26" s="2"/>
      <c r="LX26" s="41">
        <v>0</v>
      </c>
      <c r="MS26" s="5"/>
      <c r="MT26" s="5"/>
      <c r="NC26" s="2"/>
      <c r="ND26" s="2"/>
      <c r="NF26" s="41">
        <v>0</v>
      </c>
      <c r="OA26" s="5"/>
      <c r="OB26" s="5"/>
      <c r="OK26" s="2"/>
      <c r="OL26" s="2"/>
      <c r="ON26" s="41">
        <v>0</v>
      </c>
      <c r="PI26" s="5"/>
      <c r="PJ26" s="5"/>
      <c r="PS26" s="2"/>
      <c r="PT26" s="2"/>
      <c r="PV26" s="41">
        <v>0</v>
      </c>
      <c r="QQ26" s="5"/>
      <c r="QR26" s="5"/>
      <c r="RA26" s="2"/>
      <c r="RB26" s="2"/>
      <c r="RD26" s="41">
        <v>0</v>
      </c>
      <c r="RY26" s="5"/>
      <c r="RZ26" s="5"/>
      <c r="SI26" s="2"/>
      <c r="SJ26" s="2"/>
      <c r="SL26" s="41">
        <v>0</v>
      </c>
      <c r="TG26" s="5"/>
      <c r="TH26" s="5"/>
      <c r="TQ26" s="2"/>
      <c r="TR26" s="2"/>
      <c r="TT26" s="41">
        <v>0</v>
      </c>
      <c r="UO26" s="5"/>
      <c r="UP26" s="5"/>
      <c r="UY26" s="2"/>
      <c r="UZ26" s="2"/>
      <c r="VB26" s="41">
        <v>0</v>
      </c>
      <c r="VW26" s="5"/>
      <c r="VX26" s="5"/>
      <c r="WG26" s="2"/>
      <c r="WH26" s="2"/>
      <c r="WJ26" s="41">
        <v>0</v>
      </c>
    </row>
    <row r="27" spans="1:608" x14ac:dyDescent="0.2">
      <c r="A27" s="5"/>
      <c r="B27" s="30" t="s">
        <v>37</v>
      </c>
      <c r="C27" s="5"/>
      <c r="AJ27" s="37"/>
      <c r="AK27" s="37"/>
      <c r="AL27" s="37"/>
      <c r="AM27" s="28"/>
      <c r="AN27" s="28"/>
      <c r="AO27" s="28"/>
      <c r="AP27" s="28"/>
      <c r="AQ27" s="42">
        <v>48</v>
      </c>
      <c r="BK27" s="37"/>
      <c r="BL27" s="37"/>
      <c r="BM27" s="37"/>
      <c r="BO27" s="28"/>
      <c r="BP27" s="28"/>
      <c r="BR27" s="42">
        <v>48</v>
      </c>
      <c r="CL27" s="37"/>
      <c r="CM27" s="37"/>
      <c r="CN27" s="37"/>
      <c r="CO27" s="28"/>
      <c r="CP27" s="28"/>
      <c r="CQ27" s="28"/>
      <c r="CR27" s="28"/>
      <c r="CS27" s="42">
        <v>49.2</v>
      </c>
      <c r="DO27" s="5"/>
      <c r="DP27" s="5"/>
      <c r="DY27" s="2"/>
      <c r="DZ27" s="2"/>
      <c r="EB27" s="42">
        <v>48</v>
      </c>
      <c r="EW27" s="5"/>
      <c r="EX27" s="5"/>
      <c r="FG27" s="2"/>
      <c r="FH27" s="2"/>
      <c r="FJ27" s="42">
        <v>48</v>
      </c>
      <c r="GE27" s="5"/>
      <c r="GF27" s="5"/>
      <c r="GO27" s="2"/>
      <c r="GP27" s="2"/>
      <c r="GR27" s="42">
        <v>48</v>
      </c>
      <c r="HM27" s="5"/>
      <c r="HN27" s="5"/>
      <c r="HW27" s="2"/>
      <c r="HX27" s="2"/>
      <c r="HZ27" s="42">
        <v>48</v>
      </c>
      <c r="IU27" s="5"/>
      <c r="IV27" s="5"/>
      <c r="JE27" s="2"/>
      <c r="JF27" s="2"/>
      <c r="JH27" s="42">
        <v>48</v>
      </c>
      <c r="KC27" s="5"/>
      <c r="KD27" s="5"/>
      <c r="KM27" s="2"/>
      <c r="KN27" s="2"/>
      <c r="KP27" s="42">
        <v>48</v>
      </c>
      <c r="LK27" s="5"/>
      <c r="LL27" s="5"/>
      <c r="LU27" s="2"/>
      <c r="LV27" s="2"/>
      <c r="LX27" s="42">
        <v>48</v>
      </c>
      <c r="MS27" s="5"/>
      <c r="MT27" s="5"/>
      <c r="NC27" s="2"/>
      <c r="ND27" s="2"/>
      <c r="NF27" s="42">
        <v>48</v>
      </c>
      <c r="OA27" s="5"/>
      <c r="OB27" s="5"/>
      <c r="OK27" s="2"/>
      <c r="OL27" s="2"/>
      <c r="ON27" s="42">
        <v>49.2</v>
      </c>
      <c r="PI27" s="5"/>
      <c r="PJ27" s="5"/>
      <c r="PS27" s="2"/>
      <c r="PT27" s="2"/>
      <c r="PV27" s="42">
        <v>49.2</v>
      </c>
      <c r="QQ27" s="5"/>
      <c r="QR27" s="5"/>
      <c r="RA27" s="2"/>
      <c r="RB27" s="2"/>
      <c r="RD27" s="42">
        <v>49.2</v>
      </c>
      <c r="RY27" s="5"/>
      <c r="RZ27" s="5"/>
      <c r="SI27" s="2"/>
      <c r="SJ27" s="2"/>
      <c r="SL27" s="42">
        <v>49.2</v>
      </c>
      <c r="TG27" s="5"/>
      <c r="TH27" s="5"/>
      <c r="TQ27" s="2"/>
      <c r="TR27" s="2"/>
      <c r="TT27" s="42">
        <v>49.2</v>
      </c>
      <c r="UO27" s="5"/>
      <c r="UP27" s="5"/>
      <c r="UY27" s="2"/>
      <c r="UZ27" s="2"/>
      <c r="VB27" s="42">
        <v>49.2</v>
      </c>
      <c r="VW27" s="5"/>
      <c r="VX27" s="5"/>
      <c r="WG27" s="2"/>
      <c r="WH27" s="2"/>
      <c r="WJ27" s="42">
        <v>49.2</v>
      </c>
    </row>
    <row r="28" spans="1:608" hidden="1" x14ac:dyDescent="0.2">
      <c r="A28" s="5"/>
      <c r="B28" s="20" t="s">
        <v>38</v>
      </c>
      <c r="C28" s="5"/>
      <c r="AJ28" s="37"/>
      <c r="AK28" s="37"/>
      <c r="AL28" s="37"/>
      <c r="AM28" s="28"/>
      <c r="AN28" s="28"/>
      <c r="AO28" s="28"/>
      <c r="AP28" s="28"/>
      <c r="AQ28" s="43">
        <v>1000</v>
      </c>
      <c r="BK28" s="37"/>
      <c r="BL28" s="37"/>
      <c r="BM28" s="37"/>
      <c r="BO28" s="28"/>
      <c r="BP28" s="28"/>
      <c r="BR28" s="43">
        <v>1000</v>
      </c>
      <c r="CL28" s="37"/>
      <c r="CM28" s="37"/>
      <c r="CN28" s="37"/>
      <c r="CO28" s="28"/>
      <c r="CP28" s="28"/>
      <c r="CQ28" s="28"/>
      <c r="CR28" s="28"/>
      <c r="CS28" s="43">
        <v>1000</v>
      </c>
      <c r="DO28" s="5"/>
      <c r="DP28" s="5"/>
      <c r="DY28" s="2"/>
      <c r="DZ28" s="2"/>
      <c r="EB28" s="43">
        <v>1000</v>
      </c>
      <c r="EW28" s="5"/>
      <c r="EX28" s="5"/>
      <c r="FG28" s="2"/>
      <c r="FH28" s="2"/>
      <c r="FJ28" s="43">
        <v>1000</v>
      </c>
      <c r="GE28" s="5"/>
      <c r="GF28" s="5"/>
      <c r="GO28" s="2"/>
      <c r="GP28" s="2"/>
      <c r="GR28" s="43">
        <v>1000</v>
      </c>
      <c r="HM28" s="5"/>
      <c r="HN28" s="5"/>
      <c r="HW28" s="2"/>
      <c r="HX28" s="2"/>
      <c r="HZ28" s="43">
        <v>1000</v>
      </c>
      <c r="IU28" s="5"/>
      <c r="IV28" s="5"/>
      <c r="JE28" s="2"/>
      <c r="JF28" s="2"/>
      <c r="JH28" s="43">
        <v>1000</v>
      </c>
      <c r="KC28" s="5"/>
      <c r="KD28" s="5"/>
      <c r="KM28" s="2"/>
      <c r="KN28" s="2"/>
      <c r="KP28" s="43">
        <v>1000</v>
      </c>
      <c r="LK28" s="5"/>
      <c r="LL28" s="5"/>
      <c r="LU28" s="2"/>
      <c r="LV28" s="2"/>
      <c r="LX28" s="43">
        <v>1000</v>
      </c>
      <c r="MS28" s="5"/>
      <c r="MT28" s="5"/>
      <c r="NC28" s="2"/>
      <c r="ND28" s="2"/>
      <c r="NF28" s="43">
        <v>1000</v>
      </c>
      <c r="OA28" s="5"/>
      <c r="OB28" s="5"/>
      <c r="OK28" s="2"/>
      <c r="OL28" s="2"/>
      <c r="ON28" s="43">
        <v>1000</v>
      </c>
      <c r="PI28" s="5"/>
      <c r="PJ28" s="5"/>
      <c r="PS28" s="2"/>
      <c r="PT28" s="2"/>
      <c r="PV28" s="43">
        <v>1000</v>
      </c>
      <c r="QQ28" s="5"/>
      <c r="QR28" s="5"/>
      <c r="RA28" s="2"/>
      <c r="RB28" s="2"/>
      <c r="RD28" s="43">
        <v>1000</v>
      </c>
      <c r="RY28" s="5"/>
      <c r="RZ28" s="5"/>
      <c r="SI28" s="2"/>
      <c r="SJ28" s="2"/>
      <c r="SL28" s="43">
        <v>1000</v>
      </c>
      <c r="TG28" s="5"/>
      <c r="TH28" s="5"/>
      <c r="TQ28" s="2"/>
      <c r="TR28" s="2"/>
      <c r="TT28" s="43">
        <v>1000</v>
      </c>
      <c r="UO28" s="5"/>
      <c r="UP28" s="5"/>
      <c r="UY28" s="2"/>
      <c r="UZ28" s="2"/>
      <c r="VB28" s="43">
        <v>1000</v>
      </c>
      <c r="VW28" s="5"/>
      <c r="VX28" s="5"/>
      <c r="WG28" s="2"/>
      <c r="WH28" s="2"/>
      <c r="WJ28" s="43">
        <v>1000</v>
      </c>
    </row>
    <row r="29" spans="1:608" hidden="1" x14ac:dyDescent="0.2">
      <c r="A29" s="5"/>
      <c r="B29" s="29" t="s">
        <v>49</v>
      </c>
      <c r="C29" s="5"/>
      <c r="AJ29" s="37"/>
      <c r="AK29" s="37"/>
      <c r="AL29" s="37"/>
      <c r="AM29" s="28"/>
      <c r="AN29" s="28"/>
      <c r="AO29" s="28"/>
      <c r="AP29" s="28"/>
      <c r="AQ29" s="44">
        <v>1000</v>
      </c>
      <c r="BK29" s="37"/>
      <c r="BL29" s="37"/>
      <c r="BM29" s="37"/>
      <c r="BO29" s="28"/>
      <c r="BP29" s="28"/>
      <c r="BR29" s="44">
        <v>1000</v>
      </c>
      <c r="CL29" s="37"/>
      <c r="CM29" s="37"/>
      <c r="CN29" s="37"/>
      <c r="CO29" s="28"/>
      <c r="CP29" s="28"/>
      <c r="CQ29" s="28"/>
      <c r="CR29" s="28"/>
      <c r="CS29" s="44">
        <v>1000</v>
      </c>
      <c r="DO29" s="5"/>
      <c r="DP29" s="5"/>
      <c r="DY29" s="2"/>
      <c r="DZ29" s="2"/>
      <c r="EA29" s="33"/>
      <c r="EB29" s="44">
        <v>1000</v>
      </c>
      <c r="EW29" s="5"/>
      <c r="EX29" s="5"/>
      <c r="FG29" s="2"/>
      <c r="FH29" s="2"/>
      <c r="FI29" s="33"/>
      <c r="FJ29" s="44">
        <v>1000</v>
      </c>
      <c r="GE29" s="5"/>
      <c r="GF29" s="5"/>
      <c r="GO29" s="2"/>
      <c r="GP29" s="2"/>
      <c r="GQ29" s="33"/>
      <c r="GR29" s="44">
        <v>1000</v>
      </c>
      <c r="HM29" s="5"/>
      <c r="HN29" s="5"/>
      <c r="HW29" s="2"/>
      <c r="HX29" s="2"/>
      <c r="HY29" s="33"/>
      <c r="HZ29" s="44">
        <v>1000</v>
      </c>
      <c r="IU29" s="5"/>
      <c r="IV29" s="5"/>
      <c r="JE29" s="2"/>
      <c r="JF29" s="2"/>
      <c r="JG29" s="33"/>
      <c r="JH29" s="44">
        <v>1000</v>
      </c>
      <c r="KC29" s="5"/>
      <c r="KD29" s="5"/>
      <c r="KM29" s="2"/>
      <c r="KN29" s="2"/>
      <c r="KO29" s="33"/>
      <c r="KP29" s="44">
        <v>1000</v>
      </c>
      <c r="LK29" s="5"/>
      <c r="LL29" s="5"/>
      <c r="LU29" s="2"/>
      <c r="LV29" s="2"/>
      <c r="LW29" s="33"/>
      <c r="LX29" s="44">
        <v>1000</v>
      </c>
      <c r="MS29" s="5"/>
      <c r="MT29" s="5"/>
      <c r="NC29" s="2"/>
      <c r="ND29" s="2"/>
      <c r="NE29" s="33"/>
      <c r="NF29" s="44">
        <v>1000</v>
      </c>
      <c r="OA29" s="5"/>
      <c r="OB29" s="5"/>
      <c r="OK29" s="2"/>
      <c r="OL29" s="2"/>
      <c r="OM29" s="33"/>
      <c r="ON29" s="44">
        <v>1000</v>
      </c>
      <c r="PI29" s="5"/>
      <c r="PJ29" s="5"/>
      <c r="PS29" s="2"/>
      <c r="PT29" s="2"/>
      <c r="PU29" s="33"/>
      <c r="PV29" s="44">
        <v>1000</v>
      </c>
      <c r="QQ29" s="5"/>
      <c r="QR29" s="5"/>
      <c r="RA29" s="2"/>
      <c r="RB29" s="2"/>
      <c r="RC29" s="33"/>
      <c r="RD29" s="44">
        <v>1000</v>
      </c>
      <c r="RY29" s="5"/>
      <c r="RZ29" s="5"/>
      <c r="SI29" s="2"/>
      <c r="SJ29" s="2"/>
      <c r="SK29" s="33"/>
      <c r="SL29" s="44">
        <v>1000</v>
      </c>
      <c r="TG29" s="5"/>
      <c r="TH29" s="5"/>
      <c r="TQ29" s="2"/>
      <c r="TR29" s="2"/>
      <c r="TS29" s="33"/>
      <c r="TT29" s="44">
        <v>1000</v>
      </c>
      <c r="UO29" s="5"/>
      <c r="UP29" s="5"/>
      <c r="UY29" s="2"/>
      <c r="UZ29" s="2"/>
      <c r="VA29" s="33"/>
      <c r="VB29" s="44">
        <v>1000</v>
      </c>
      <c r="VW29" s="5"/>
      <c r="VX29" s="5"/>
      <c r="WG29" s="2"/>
      <c r="WH29" s="2"/>
      <c r="WI29" s="33"/>
      <c r="WJ29" s="44">
        <v>1000</v>
      </c>
    </row>
    <row r="30" spans="1:608" hidden="1" x14ac:dyDescent="0.2">
      <c r="A30" s="5"/>
      <c r="B30" s="21" t="s">
        <v>30</v>
      </c>
      <c r="C30" s="5"/>
      <c r="AJ30" s="37"/>
      <c r="AK30" s="37"/>
      <c r="AL30" s="37"/>
      <c r="AM30" s="28"/>
      <c r="AN30" s="37"/>
      <c r="AO30" s="37"/>
      <c r="AP30" s="28"/>
      <c r="AQ30" s="45">
        <v>1000</v>
      </c>
      <c r="BK30" s="37"/>
      <c r="BL30" s="37"/>
      <c r="BM30" s="37"/>
      <c r="BO30" s="37"/>
      <c r="BP30" s="28"/>
      <c r="BR30" s="45">
        <v>1000</v>
      </c>
      <c r="CL30" s="37"/>
      <c r="CM30" s="37"/>
      <c r="CN30" s="37"/>
      <c r="CO30" s="28"/>
      <c r="CP30" s="37"/>
      <c r="CQ30" s="28"/>
      <c r="CR30" s="28"/>
      <c r="CS30" s="45">
        <v>1000</v>
      </c>
      <c r="DO30" s="5"/>
      <c r="DP30" s="5"/>
      <c r="DY30" s="37"/>
      <c r="DZ30" s="2"/>
      <c r="EB30" s="45">
        <v>1000</v>
      </c>
      <c r="EW30" s="5"/>
      <c r="EX30" s="5"/>
      <c r="FG30" s="37"/>
      <c r="FH30" s="2"/>
      <c r="FJ30" s="45">
        <v>1000</v>
      </c>
      <c r="GE30" s="5"/>
      <c r="GF30" s="5"/>
      <c r="GO30" s="2"/>
      <c r="GP30" s="2"/>
      <c r="GR30" s="45">
        <v>1000</v>
      </c>
      <c r="HM30" s="5"/>
      <c r="HN30" s="5"/>
      <c r="HW30" s="37"/>
      <c r="HX30" s="2"/>
      <c r="HZ30" s="45">
        <v>1000</v>
      </c>
      <c r="IU30" s="5"/>
      <c r="IV30" s="5"/>
      <c r="JE30" s="2"/>
      <c r="JF30" s="2"/>
      <c r="JH30" s="45">
        <v>1000</v>
      </c>
      <c r="KC30" s="5"/>
      <c r="KD30" s="5"/>
      <c r="KM30" s="2"/>
      <c r="KN30" s="2"/>
      <c r="KP30" s="45">
        <v>1000</v>
      </c>
      <c r="LK30" s="5"/>
      <c r="LL30" s="5"/>
      <c r="LU30" s="2"/>
      <c r="LV30" s="2"/>
      <c r="LX30" s="45">
        <v>1000</v>
      </c>
      <c r="MS30" s="5"/>
      <c r="MT30" s="5"/>
      <c r="NC30" s="2"/>
      <c r="ND30" s="2"/>
      <c r="NF30" s="45">
        <v>1000</v>
      </c>
      <c r="OA30" s="5"/>
      <c r="OB30" s="5"/>
      <c r="OK30" s="2"/>
      <c r="OL30" s="2"/>
      <c r="ON30" s="45">
        <v>1000</v>
      </c>
      <c r="PI30" s="5"/>
      <c r="PJ30" s="5"/>
      <c r="PS30" s="2"/>
      <c r="PT30" s="2"/>
      <c r="PV30" s="45">
        <v>1000</v>
      </c>
      <c r="QQ30" s="5"/>
      <c r="QR30" s="5"/>
      <c r="RA30" s="2"/>
      <c r="RB30" s="2"/>
      <c r="RD30" s="45">
        <v>1000</v>
      </c>
      <c r="RY30" s="5"/>
      <c r="RZ30" s="5"/>
      <c r="SI30" s="2"/>
      <c r="SJ30" s="2"/>
      <c r="SL30" s="45">
        <v>1000</v>
      </c>
      <c r="TG30" s="5"/>
      <c r="TH30" s="5"/>
      <c r="TQ30" s="2"/>
      <c r="TR30" s="2"/>
      <c r="TT30" s="45">
        <v>1000</v>
      </c>
      <c r="UO30" s="5"/>
      <c r="UP30" s="5"/>
      <c r="UY30" s="2"/>
      <c r="UZ30" s="2"/>
      <c r="VB30" s="45">
        <v>1000</v>
      </c>
      <c r="VW30" s="5"/>
      <c r="VX30" s="5"/>
      <c r="WG30" s="2"/>
      <c r="WH30" s="2"/>
      <c r="WJ30" s="45">
        <v>1000</v>
      </c>
    </row>
    <row r="31" spans="1:608" x14ac:dyDescent="0.2">
      <c r="B31" s="25" t="s">
        <v>43</v>
      </c>
      <c r="C31" s="2"/>
      <c r="AM31" s="28"/>
      <c r="AP31" s="28"/>
      <c r="CO31" s="28"/>
      <c r="CR31" s="28"/>
    </row>
    <row r="32" spans="1:608" x14ac:dyDescent="0.2">
      <c r="A32" s="5"/>
      <c r="B32" s="5"/>
      <c r="C32" s="17"/>
      <c r="AI32" s="28"/>
      <c r="AJ32" s="28"/>
      <c r="AK32" s="28"/>
      <c r="AL32" s="28"/>
      <c r="AM32" s="28"/>
      <c r="AP32" s="28"/>
      <c r="CK32" s="28"/>
      <c r="CL32" s="28"/>
      <c r="CM32" s="28"/>
      <c r="CN32" s="28"/>
      <c r="CO32" s="28"/>
      <c r="CR32" s="28"/>
    </row>
    <row r="33" spans="1:96" ht="17" x14ac:dyDescent="0.2">
      <c r="A33" s="5"/>
      <c r="B33" s="5"/>
      <c r="C33" s="17"/>
      <c r="N33" s="10"/>
      <c r="O33" s="10"/>
      <c r="AI33" s="28"/>
      <c r="AJ33" s="28"/>
      <c r="AK33" s="28"/>
      <c r="AL33" s="28"/>
      <c r="AM33" s="28"/>
      <c r="AP33" s="28"/>
      <c r="CK33" s="28"/>
      <c r="CL33" s="28"/>
      <c r="CM33" s="28"/>
      <c r="CN33" s="28"/>
      <c r="CO33" s="28"/>
      <c r="CR33" s="28"/>
    </row>
    <row r="34" spans="1:96" ht="17" x14ac:dyDescent="0.2">
      <c r="A34" s="5"/>
      <c r="B34" s="5"/>
      <c r="C34" s="17"/>
      <c r="N34" s="10"/>
      <c r="AI34" s="28"/>
      <c r="AJ34" s="28"/>
      <c r="AK34" s="28"/>
      <c r="AL34" s="28"/>
      <c r="AM34" s="28"/>
      <c r="AP34" s="28"/>
      <c r="CK34" s="28"/>
      <c r="CL34" s="28"/>
      <c r="CM34" s="28"/>
      <c r="CN34" s="28"/>
      <c r="CO34" s="28"/>
      <c r="CR34" s="28"/>
    </row>
    <row r="35" spans="1:96" ht="17" x14ac:dyDescent="0.2">
      <c r="N35" s="10"/>
      <c r="O35" s="10"/>
      <c r="AI35" s="28"/>
      <c r="AJ35" s="28"/>
      <c r="AK35" s="28"/>
      <c r="AL35" s="28"/>
      <c r="AM35" s="28"/>
      <c r="AP35" s="28"/>
      <c r="CK35" s="28"/>
      <c r="CL35" s="28"/>
      <c r="CM35" s="28"/>
      <c r="CN35" s="28"/>
      <c r="CO35" s="28"/>
      <c r="CR35" s="28"/>
    </row>
    <row r="36" spans="1:96" ht="17" x14ac:dyDescent="0.2">
      <c r="N36" s="10"/>
      <c r="O36" s="10"/>
      <c r="AI36" s="28"/>
      <c r="AJ36" s="28"/>
      <c r="AK36" s="28"/>
      <c r="AL36" s="28"/>
      <c r="AM36" s="28"/>
      <c r="AP36" s="28"/>
      <c r="CK36" s="28"/>
      <c r="CL36" s="28"/>
      <c r="CM36" s="28"/>
      <c r="CN36" s="28"/>
      <c r="CO36" s="28"/>
      <c r="CR36" s="28"/>
    </row>
    <row r="37" spans="1:96" ht="17" x14ac:dyDescent="0.2">
      <c r="N37" s="10"/>
      <c r="O37" s="10"/>
      <c r="AI37" s="28"/>
      <c r="AJ37" s="28"/>
      <c r="AK37" s="28"/>
      <c r="AL37" s="28"/>
      <c r="AM37" s="28"/>
      <c r="AP37" s="28"/>
      <c r="CK37" s="28"/>
      <c r="CL37" s="28"/>
      <c r="CM37" s="28"/>
      <c r="CN37" s="28"/>
      <c r="CO37" s="28"/>
      <c r="CR37" s="28"/>
    </row>
    <row r="38" spans="1:96" ht="17" x14ac:dyDescent="0.2">
      <c r="N38" s="10"/>
      <c r="O38" s="10"/>
      <c r="P38" s="10"/>
    </row>
    <row r="39" spans="1:96" ht="17" x14ac:dyDescent="0.2">
      <c r="N39" s="10"/>
      <c r="O39" s="10"/>
      <c r="P39" s="10"/>
    </row>
    <row r="40" spans="1:96" ht="17" x14ac:dyDescent="0.2">
      <c r="N40" s="10"/>
      <c r="O40" s="10"/>
      <c r="P40" s="10"/>
    </row>
    <row r="41" spans="1:96" ht="17" x14ac:dyDescent="0.2">
      <c r="N41" s="10"/>
      <c r="O41" s="10"/>
      <c r="P41" s="10"/>
    </row>
    <row r="42" spans="1:96" ht="17" x14ac:dyDescent="0.2">
      <c r="N42" s="10"/>
      <c r="O42" s="10"/>
      <c r="P42" s="10"/>
    </row>
    <row r="43" spans="1:96" ht="17" x14ac:dyDescent="0.2">
      <c r="N43" s="10"/>
      <c r="O43" s="10"/>
      <c r="P43" s="10"/>
    </row>
    <row r="44" spans="1:96" ht="17" x14ac:dyDescent="0.2">
      <c r="N44" s="10"/>
      <c r="O44" s="10"/>
      <c r="P44" s="10"/>
    </row>
    <row r="45" spans="1:96" ht="17" x14ac:dyDescent="0.2">
      <c r="N45" s="10"/>
      <c r="O45" s="10"/>
      <c r="P45" s="10"/>
    </row>
    <row r="46" spans="1:96" ht="17" x14ac:dyDescent="0.2">
      <c r="N46" s="10"/>
      <c r="O46" s="10"/>
      <c r="P46" s="10"/>
    </row>
    <row r="47" spans="1:96" ht="17" x14ac:dyDescent="0.2">
      <c r="N47" s="10"/>
      <c r="O47" s="10"/>
      <c r="P47" s="10"/>
    </row>
    <row r="48" spans="1:9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</sheetData>
  <sheetProtection sheet="1" formatCells="0" formatColumns="0" formatRows="0"/>
  <autoFilter ref="A1:WJ1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sortState xmlns:xlrd2="http://schemas.microsoft.com/office/spreadsheetml/2017/richdata2" ref="A6:WJ20">
      <sortCondition descending="1" ref="F1:F21"/>
    </sortState>
  </autoFilter>
  <mergeCells count="103">
    <mergeCell ref="UE2:UI2"/>
    <mergeCell ref="UJ2:UN2"/>
    <mergeCell ref="VC2:VG2"/>
    <mergeCell ref="VH2:VL2"/>
    <mergeCell ref="VM2:VQ2"/>
    <mergeCell ref="VR2:VV2"/>
    <mergeCell ref="SM2:SQ2"/>
    <mergeCell ref="SR2:SV2"/>
    <mergeCell ref="SW2:TA2"/>
    <mergeCell ref="TB2:TF2"/>
    <mergeCell ref="TU2:TY2"/>
    <mergeCell ref="TZ2:UD2"/>
    <mergeCell ref="QG2:QK2"/>
    <mergeCell ref="QL2:QP2"/>
    <mergeCell ref="RE2:RI2"/>
    <mergeCell ref="RJ2:RN2"/>
    <mergeCell ref="RO2:RS2"/>
    <mergeCell ref="RT2:RX2"/>
    <mergeCell ref="OO2:OS2"/>
    <mergeCell ref="OT2:OX2"/>
    <mergeCell ref="OY2:PC2"/>
    <mergeCell ref="PD2:PH2"/>
    <mergeCell ref="PW2:QA2"/>
    <mergeCell ref="QB2:QF2"/>
    <mergeCell ref="MI2:MM2"/>
    <mergeCell ref="MN2:MR2"/>
    <mergeCell ref="NG2:NK2"/>
    <mergeCell ref="NL2:NP2"/>
    <mergeCell ref="NQ2:NU2"/>
    <mergeCell ref="NV2:NZ2"/>
    <mergeCell ref="KQ2:KU2"/>
    <mergeCell ref="KV2:KZ2"/>
    <mergeCell ref="LA2:LE2"/>
    <mergeCell ref="LF2:LJ2"/>
    <mergeCell ref="LY2:MC2"/>
    <mergeCell ref="MD2:MH2"/>
    <mergeCell ref="IK2:IO2"/>
    <mergeCell ref="IP2:IT2"/>
    <mergeCell ref="JI2:JM2"/>
    <mergeCell ref="JN2:JR2"/>
    <mergeCell ref="JS2:JW2"/>
    <mergeCell ref="JX2:KB2"/>
    <mergeCell ref="GS2:GW2"/>
    <mergeCell ref="GX2:HB2"/>
    <mergeCell ref="HC2:HG2"/>
    <mergeCell ref="HH2:HL2"/>
    <mergeCell ref="IA2:IE2"/>
    <mergeCell ref="IF2:IJ2"/>
    <mergeCell ref="FK2:FO2"/>
    <mergeCell ref="FP2:FT2"/>
    <mergeCell ref="FU2:FY2"/>
    <mergeCell ref="FZ2:GD2"/>
    <mergeCell ref="CU2:CY2"/>
    <mergeCell ref="CZ2:DD2"/>
    <mergeCell ref="DE2:DI2"/>
    <mergeCell ref="DJ2:DN2"/>
    <mergeCell ref="EC2:EG2"/>
    <mergeCell ref="EH2:EL2"/>
    <mergeCell ref="VC1:WJ1"/>
    <mergeCell ref="Q2:U2"/>
    <mergeCell ref="V2:Z2"/>
    <mergeCell ref="AA2:AE2"/>
    <mergeCell ref="AR2:AV2"/>
    <mergeCell ref="AW2:BA2"/>
    <mergeCell ref="BB2:BF2"/>
    <mergeCell ref="BS2:BW2"/>
    <mergeCell ref="BX2:CB2"/>
    <mergeCell ref="CC2:CG2"/>
    <mergeCell ref="NG1:ON1"/>
    <mergeCell ref="OO1:PV1"/>
    <mergeCell ref="PW1:RD1"/>
    <mergeCell ref="RE1:SL1"/>
    <mergeCell ref="SM1:TT1"/>
    <mergeCell ref="TU1:VB1"/>
    <mergeCell ref="FK1:GR1"/>
    <mergeCell ref="GS1:HZ1"/>
    <mergeCell ref="IA1:JH1"/>
    <mergeCell ref="JI1:KP1"/>
    <mergeCell ref="KQ1:LX1"/>
    <mergeCell ref="LY1:NF1"/>
    <mergeCell ref="Q1:AQ1"/>
    <mergeCell ref="AR1:BR1"/>
    <mergeCell ref="A1:A3"/>
    <mergeCell ref="B1:B3"/>
    <mergeCell ref="C1:C3"/>
    <mergeCell ref="D1:D3"/>
    <mergeCell ref="E1:E3"/>
    <mergeCell ref="F1:F3"/>
    <mergeCell ref="BS1:CS1"/>
    <mergeCell ref="CU1:EB1"/>
    <mergeCell ref="EC1:FJ1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EM2:EQ2"/>
    <mergeCell ref="ER2:EV2"/>
  </mergeCells>
  <phoneticPr fontId="20" type="noConversion"/>
  <conditionalFormatting sqref="H1:H1048576">
    <cfRule type="containsText" dxfId="400" priority="129" operator="containsText" text="No DD">
      <formula>NOT(ISERROR(SEARCH("No DD",H1)))</formula>
    </cfRule>
    <cfRule type="containsText" dxfId="399" priority="130" operator="containsText" text="Merit">
      <formula>NOT(ISERROR(SEARCH("Merit",H1)))</formula>
    </cfRule>
    <cfRule type="containsText" dxfId="398" priority="131" operator="containsText" text="Excellence">
      <formula>NOT(ISERROR(SEARCH("Excellence",H1)))</formula>
    </cfRule>
    <cfRule type="containsText" dxfId="397" priority="132" operator="containsText" text="Worlds Team">
      <formula>NOT(ISERROR(SEARCH("Worlds Team",H1)))</formula>
    </cfRule>
    <cfRule type="containsText" dxfId="396" priority="133" operator="containsText" text="National Team">
      <formula>NOT(ISERROR(SEARCH("National Team",H1)))</formula>
    </cfRule>
  </conditionalFormatting>
  <conditionalFormatting sqref="Q4:AQ20">
    <cfRule type="expression" dxfId="395" priority="128" stopIfTrue="1">
      <formula>IF($AF4&lt;&gt;"",1,0)</formula>
    </cfRule>
  </conditionalFormatting>
  <conditionalFormatting sqref="AR4:BR20">
    <cfRule type="expression" dxfId="394" priority="127" stopIfTrue="1">
      <formula>IF($BG4&lt;&gt;"",1,0)</formula>
    </cfRule>
  </conditionalFormatting>
  <conditionalFormatting sqref="BS4:CS20">
    <cfRule type="expression" dxfId="393" priority="126" stopIfTrue="1">
      <formula>IF($CH4&lt;&gt;"",1,0)</formula>
    </cfRule>
  </conditionalFormatting>
  <conditionalFormatting sqref="BO31:BO1048576 BH1:BH1048576 BK1:BK1048576 BO1:BO29">
    <cfRule type="cellIs" dxfId="392" priority="122" operator="between">
      <formula>$BR$26</formula>
      <formula>1000</formula>
    </cfRule>
    <cfRule type="cellIs" dxfId="391" priority="123" operator="between">
      <formula>$BR$25</formula>
      <formula>$BR$26</formula>
    </cfRule>
    <cfRule type="cellIs" dxfId="390" priority="124" operator="between">
      <formula>$BR$24</formula>
      <formula>$BR$25</formula>
    </cfRule>
    <cfRule type="cellIs" dxfId="389" priority="125" operator="between">
      <formula>$BR$23</formula>
      <formula>$BR$24</formula>
    </cfRule>
  </conditionalFormatting>
  <conditionalFormatting sqref="CP31:CP1048576 CI1:CI1048576 CL1:CL1048576 CP1:CP29">
    <cfRule type="cellIs" dxfId="388" priority="118" operator="between">
      <formula>$CS$26</formula>
      <formula>1000</formula>
    </cfRule>
    <cfRule type="cellIs" dxfId="387" priority="119" operator="between">
      <formula>$CS$25</formula>
      <formula>$CS$26</formula>
    </cfRule>
    <cfRule type="cellIs" dxfId="386" priority="120" operator="between">
      <formula>$CS$24</formula>
      <formula>$CS$25</formula>
    </cfRule>
    <cfRule type="cellIs" dxfId="385" priority="121" operator="between">
      <formula>$CS$23</formula>
      <formula>$CS$24</formula>
    </cfRule>
  </conditionalFormatting>
  <conditionalFormatting sqref="DY31:DY1048576 DO1:DO1048576 DR1:DR1048576 DV1:DV1048576 DY1:DY29">
    <cfRule type="cellIs" dxfId="384" priority="117" operator="between">
      <formula>$EB$23</formula>
      <formula>$EB$24</formula>
    </cfRule>
  </conditionalFormatting>
  <conditionalFormatting sqref="FG31:FG1048576 EW1:EW1048576 EZ1:EZ1048576 FD1:FD1048576 FG1:FG29">
    <cfRule type="cellIs" dxfId="383" priority="116" operator="between">
      <formula>$FJ$23</formula>
      <formula>$FJ$24</formula>
    </cfRule>
  </conditionalFormatting>
  <conditionalFormatting sqref="HW31:HW1048576 HM1:HM1048576 HP1:HP1048576 HT1:HT1048576 HW1:HW29">
    <cfRule type="cellIs" dxfId="382" priority="115" operator="between">
      <formula>$HZ$23</formula>
      <formula>$HZ$24</formula>
    </cfRule>
  </conditionalFormatting>
  <conditionalFormatting sqref="AO30 AG1:AG1048576 AJ1:AJ1048576 AN1:AN1048576">
    <cfRule type="cellIs" dxfId="381" priority="111" operator="between">
      <formula>$AQ$26</formula>
      <formula>1000</formula>
    </cfRule>
    <cfRule type="cellIs" dxfId="380" priority="112" operator="between">
      <formula>$AQ$25</formula>
      <formula>$AQ$26</formula>
    </cfRule>
    <cfRule type="cellIs" dxfId="379" priority="113" operator="between">
      <formula>$AQ$24</formula>
      <formula>$AQ$25</formula>
    </cfRule>
    <cfRule type="cellIs" dxfId="378" priority="114" operator="between">
      <formula>$AQ$23</formula>
      <formula>$AQ$24</formula>
    </cfRule>
  </conditionalFormatting>
  <conditionalFormatting sqref="BO30">
    <cfRule type="cellIs" dxfId="377" priority="107" operator="between">
      <formula>$AQ$26</formula>
      <formula>1000</formula>
    </cfRule>
    <cfRule type="cellIs" dxfId="376" priority="108" operator="between">
      <formula>$AQ$25</formula>
      <formula>$AQ$26</formula>
    </cfRule>
    <cfRule type="cellIs" dxfId="375" priority="109" operator="between">
      <formula>$AQ$24</formula>
      <formula>$AQ$25</formula>
    </cfRule>
    <cfRule type="cellIs" dxfId="374" priority="110" operator="between">
      <formula>$AQ$23</formula>
      <formula>$AQ$24</formula>
    </cfRule>
  </conditionalFormatting>
  <conditionalFormatting sqref="CP30">
    <cfRule type="cellIs" dxfId="373" priority="103" operator="between">
      <formula>$AQ$26</formula>
      <formula>1000</formula>
    </cfRule>
    <cfRule type="cellIs" dxfId="372" priority="104" operator="between">
      <formula>$AQ$25</formula>
      <formula>$AQ$26</formula>
    </cfRule>
    <cfRule type="cellIs" dxfId="371" priority="105" operator="between">
      <formula>$AQ$24</formula>
      <formula>$AQ$25</formula>
    </cfRule>
    <cfRule type="cellIs" dxfId="370" priority="106" operator="between">
      <formula>$AQ$23</formula>
      <formula>$AQ$24</formula>
    </cfRule>
  </conditionalFormatting>
  <conditionalFormatting sqref="DY30">
    <cfRule type="cellIs" dxfId="369" priority="99" operator="between">
      <formula>$AQ$26</formula>
      <formula>1000</formula>
    </cfRule>
    <cfRule type="cellIs" dxfId="368" priority="100" operator="between">
      <formula>$AQ$25</formula>
      <formula>$AQ$26</formula>
    </cfRule>
    <cfRule type="cellIs" dxfId="367" priority="101" operator="between">
      <formula>$AQ$24</formula>
      <formula>$AQ$25</formula>
    </cfRule>
    <cfRule type="cellIs" dxfId="366" priority="102" operator="between">
      <formula>$AQ$23</formula>
      <formula>$AQ$24</formula>
    </cfRule>
  </conditionalFormatting>
  <conditionalFormatting sqref="FG30">
    <cfRule type="cellIs" dxfId="365" priority="95" operator="between">
      <formula>$AQ$26</formula>
      <formula>1000</formula>
    </cfRule>
    <cfRule type="cellIs" dxfId="364" priority="96" operator="between">
      <formula>$AQ$25</formula>
      <formula>$AQ$26</formula>
    </cfRule>
    <cfRule type="cellIs" dxfId="363" priority="97" operator="between">
      <formula>$AQ$24</formula>
      <formula>$AQ$25</formula>
    </cfRule>
    <cfRule type="cellIs" dxfId="362" priority="98" operator="between">
      <formula>$AQ$23</formula>
      <formula>$AQ$24</formula>
    </cfRule>
  </conditionalFormatting>
  <conditionalFormatting sqref="HW30">
    <cfRule type="cellIs" dxfId="361" priority="91" operator="between">
      <formula>$AQ$26</formula>
      <formula>1000</formula>
    </cfRule>
    <cfRule type="cellIs" dxfId="360" priority="92" operator="between">
      <formula>$AQ$25</formula>
      <formula>$AQ$26</formula>
    </cfRule>
    <cfRule type="cellIs" dxfId="359" priority="93" operator="between">
      <formula>$AQ$24</formula>
      <formula>$AQ$25</formula>
    </cfRule>
    <cfRule type="cellIs" dxfId="358" priority="94" operator="between">
      <formula>$AQ$23</formula>
      <formula>$AQ$24</formula>
    </cfRule>
  </conditionalFormatting>
  <conditionalFormatting sqref="M1:M1048576 K1:K1048576">
    <cfRule type="expression" dxfId="357" priority="88" stopIfTrue="1">
      <formula>IF(K1=$BS$1,1,0)</formula>
    </cfRule>
    <cfRule type="expression" dxfId="356" priority="89">
      <formula>IF(K1=$AR$1,1,0)</formula>
    </cfRule>
    <cfRule type="expression" dxfId="355" priority="90">
      <formula>IF(K1=$Q$1,1,0)</formula>
    </cfRule>
  </conditionalFormatting>
  <conditionalFormatting sqref="A4:A1048576">
    <cfRule type="expression" dxfId="354" priority="86">
      <formula>AND(G4&lt;&gt;"",F4="")</formula>
    </cfRule>
    <cfRule type="expression" dxfId="353" priority="87">
      <formula>IF(A4&gt;2,1,0)</formula>
    </cfRule>
  </conditionalFormatting>
  <conditionalFormatting sqref="CN1:CN1048576 AL1:AL1048576">
    <cfRule type="cellIs" dxfId="352" priority="84" operator="between">
      <formula>AQ$30</formula>
      <formula>1000</formula>
    </cfRule>
    <cfRule type="cellIs" dxfId="351" priority="85" operator="between">
      <formula>AQ$29</formula>
      <formula>AQ$30</formula>
    </cfRule>
  </conditionalFormatting>
  <conditionalFormatting sqref="DT1:DT1048576 FB1:FB1048576 GJ1:GJ1048576 HR1:HR1048576 IZ1:IZ1048576 KH1:KH1048576 LP1:LP1048576 MX1:MX1048576 OF1:OF1048576 PN1:PN1048576 QV1:QV1048576 SD1:SD1048576 TL1:TL30 UT1:UT30 WB1:WB30">
    <cfRule type="cellIs" dxfId="350" priority="82" operator="between">
      <formula>EB$30</formula>
      <formula>1000</formula>
    </cfRule>
    <cfRule type="cellIs" dxfId="349" priority="83" operator="between">
      <formula>EB$29</formula>
      <formula>EB$30</formula>
    </cfRule>
  </conditionalFormatting>
  <conditionalFormatting sqref="AI1:AI1048576 AL1:AL1048576 AP1:AP1048576">
    <cfRule type="cellIs" dxfId="348" priority="78" operator="between">
      <formula>$AQ$30</formula>
      <formula>1000</formula>
    </cfRule>
    <cfRule type="cellIs" dxfId="347" priority="79" operator="between">
      <formula>$AQ$29</formula>
      <formula>$AQ$30</formula>
    </cfRule>
    <cfRule type="cellIs" dxfId="346" priority="80" operator="between">
      <formula>$AQ$28</formula>
      <formula>$AQ$29</formula>
    </cfRule>
    <cfRule type="cellIs" dxfId="345" priority="81" operator="between">
      <formula>$AQ$27</formula>
      <formula>$AQ$28</formula>
    </cfRule>
  </conditionalFormatting>
  <conditionalFormatting sqref="BJ1:BJ1048576 BM1:BM1048576 BQ1:BQ1048576">
    <cfRule type="cellIs" dxfId="344" priority="74" operator="between">
      <formula>$BR$30</formula>
      <formula>1000</formula>
    </cfRule>
    <cfRule type="cellIs" dxfId="343" priority="75" operator="between">
      <formula>$BR$29</formula>
      <formula>$BR$30</formula>
    </cfRule>
    <cfRule type="cellIs" dxfId="342" priority="76" operator="between">
      <formula>$BR$28</formula>
      <formula>$BR$29</formula>
    </cfRule>
    <cfRule type="cellIs" dxfId="341" priority="77" operator="between">
      <formula>$BR$27</formula>
      <formula>$BR$28</formula>
    </cfRule>
  </conditionalFormatting>
  <conditionalFormatting sqref="CK1:CK1048576 CN1:CN1048576 CR1:CR1048576">
    <cfRule type="cellIs" dxfId="340" priority="70" operator="between">
      <formula>$CS$30</formula>
      <formula>1000</formula>
    </cfRule>
    <cfRule type="cellIs" dxfId="339" priority="71" operator="between">
      <formula>$CS$29</formula>
      <formula>$CS$30</formula>
    </cfRule>
    <cfRule type="cellIs" dxfId="338" priority="72" operator="between">
      <formula>$CS$28</formula>
      <formula>$CS$29</formula>
    </cfRule>
    <cfRule type="cellIs" dxfId="337" priority="73" operator="between">
      <formula>$CS$27</formula>
      <formula>$CS$28</formula>
    </cfRule>
  </conditionalFormatting>
  <conditionalFormatting sqref="MS1:MS1048576 MV1:MV1048576 MZ1:MZ1048576 NC1:NC1048576">
    <cfRule type="cellIs" dxfId="336" priority="69" operator="between">
      <formula>$NF$23</formula>
      <formula>$NF$24</formula>
    </cfRule>
  </conditionalFormatting>
  <conditionalFormatting sqref="DQ1:DQ1048576 DT1:DT1048576 DX1:DX1048576 EA1:EA1048576">
    <cfRule type="cellIs" dxfId="335" priority="65" operator="between">
      <formula>$EB$30</formula>
      <formula>1000</formula>
    </cfRule>
    <cfRule type="cellIs" dxfId="334" priority="66" operator="between">
      <formula>$EB$29</formula>
      <formula>$EB$30</formula>
    </cfRule>
    <cfRule type="cellIs" dxfId="333" priority="67" operator="between">
      <formula>$EB$28</formula>
      <formula>$EB$29</formula>
    </cfRule>
    <cfRule type="cellIs" dxfId="332" priority="68" operator="between">
      <formula>$EB$27</formula>
      <formula>$EB$28</formula>
    </cfRule>
  </conditionalFormatting>
  <conditionalFormatting sqref="EY1:EY1048576 FB1:FB1048576 FF1:FF1048576 FI1:FI1048576">
    <cfRule type="cellIs" dxfId="331" priority="61" operator="between">
      <formula>$FJ$30</formula>
      <formula>1000</formula>
    </cfRule>
    <cfRule type="cellIs" dxfId="330" priority="62" operator="between">
      <formula>$FJ$29</formula>
      <formula>$FJ$30</formula>
    </cfRule>
    <cfRule type="cellIs" dxfId="329" priority="63" operator="between">
      <formula>$FJ$28</formula>
      <formula>$FJ$29</formula>
    </cfRule>
    <cfRule type="cellIs" dxfId="328" priority="64" operator="between">
      <formula>$FJ$27</formula>
      <formula>$FJ$28</formula>
    </cfRule>
  </conditionalFormatting>
  <conditionalFormatting sqref="GE1:GE1048576 GH1:GH1048576 GL1:GL1048576 GO1:GO1048576">
    <cfRule type="cellIs" dxfId="327" priority="59" stopIfTrue="1" operator="between">
      <formula>$GR$24</formula>
      <formula>1000</formula>
    </cfRule>
    <cfRule type="cellIs" dxfId="326" priority="60" operator="between">
      <formula>$GR$23</formula>
      <formula>$GR$24</formula>
    </cfRule>
  </conditionalFormatting>
  <conditionalFormatting sqref="GG1:GG1048576 GJ1:GJ1048576 GN1:GN1048576 GQ1:GQ1048576">
    <cfRule type="cellIs" dxfId="325" priority="55" operator="between">
      <formula>$GR$30</formula>
      <formula>1000</formula>
    </cfRule>
    <cfRule type="cellIs" dxfId="324" priority="56" operator="between">
      <formula>$GR$29</formula>
      <formula>$GR$30</formula>
    </cfRule>
    <cfRule type="cellIs" dxfId="323" priority="57" operator="between">
      <formula>$GR$28</formula>
      <formula>$GR$29</formula>
    </cfRule>
    <cfRule type="cellIs" dxfId="322" priority="58" operator="between">
      <formula>$GR$27</formula>
      <formula>$GR$28</formula>
    </cfRule>
  </conditionalFormatting>
  <conditionalFormatting sqref="HO1:HO1048576 HR1:HR1048576 HV1:HV1048576 HY1:HY1048576">
    <cfRule type="cellIs" dxfId="321" priority="51" operator="between">
      <formula>$HZ$30</formula>
      <formula>1000</formula>
    </cfRule>
    <cfRule type="cellIs" dxfId="320" priority="52" operator="between">
      <formula>$HZ$29</formula>
      <formula>$HZ$30</formula>
    </cfRule>
    <cfRule type="cellIs" dxfId="319" priority="53" operator="between">
      <formula>$HZ$28</formula>
      <formula>$HZ$29</formula>
    </cfRule>
    <cfRule type="cellIs" dxfId="318" priority="54" operator="between">
      <formula>$HZ$27</formula>
      <formula>$HZ$28</formula>
    </cfRule>
  </conditionalFormatting>
  <conditionalFormatting sqref="IU1:IU1048576 IX1:IX1048576 JB1:JB1048576 JE1:JE1048576">
    <cfRule type="cellIs" dxfId="317" priority="49" stopIfTrue="1" operator="between">
      <formula>$JH$24</formula>
      <formula>1000</formula>
    </cfRule>
    <cfRule type="cellIs" dxfId="316" priority="50" operator="between">
      <formula>$JH$23</formula>
      <formula>$JH$24</formula>
    </cfRule>
  </conditionalFormatting>
  <conditionalFormatting sqref="IW1:IW1048576 IZ1:IZ1048576 JD1:JD1048576 JG1:JG1048576">
    <cfRule type="cellIs" dxfId="315" priority="45" operator="between">
      <formula>$JH$30</formula>
      <formula>1000</formula>
    </cfRule>
    <cfRule type="cellIs" dxfId="314" priority="46" operator="between">
      <formula>$JH$29</formula>
      <formula>$JH$30</formula>
    </cfRule>
    <cfRule type="cellIs" dxfId="313" priority="47" operator="between">
      <formula>$JH$28</formula>
      <formula>$JH$29</formula>
    </cfRule>
    <cfRule type="cellIs" dxfId="312" priority="48" operator="between">
      <formula>$JH$27</formula>
      <formula>$JH$28</formula>
    </cfRule>
  </conditionalFormatting>
  <conditionalFormatting sqref="KC1:KC1048576 KF1:KF1048576 KJ1:KJ1048576 KM1:KM1048576">
    <cfRule type="cellIs" dxfId="311" priority="43" stopIfTrue="1" operator="between">
      <formula>$KP$24</formula>
      <formula>1000</formula>
    </cfRule>
    <cfRule type="cellIs" dxfId="310" priority="44" operator="between">
      <formula>$KP$23</formula>
      <formula>$KP$24</formula>
    </cfRule>
  </conditionalFormatting>
  <conditionalFormatting sqref="KE1:KE1048576 KH1:KH1048576 KL1:KL1048576 KO1:KO1048576">
    <cfRule type="cellIs" dxfId="309" priority="39" operator="between">
      <formula>$KP$30</formula>
      <formula>1000</formula>
    </cfRule>
    <cfRule type="cellIs" dxfId="308" priority="40" operator="between">
      <formula>$KP$29</formula>
      <formula>$KP$30</formula>
    </cfRule>
    <cfRule type="cellIs" dxfId="307" priority="41" operator="between">
      <formula>$KP$28</formula>
      <formula>$KP$29</formula>
    </cfRule>
    <cfRule type="cellIs" dxfId="306" priority="42" operator="between">
      <formula>$KP$27</formula>
      <formula>$KP$28</formula>
    </cfRule>
  </conditionalFormatting>
  <conditionalFormatting sqref="LK1:LK1048576 LN1:LN1048576 LR1:LR1048576 LU1:LU1048576">
    <cfRule type="cellIs" dxfId="305" priority="37" stopIfTrue="1" operator="between">
      <formula>$LX$24</formula>
      <formula>1000</formula>
    </cfRule>
    <cfRule type="cellIs" dxfId="304" priority="38" operator="between">
      <formula>$LX$23</formula>
      <formula>$LX$24</formula>
    </cfRule>
  </conditionalFormatting>
  <conditionalFormatting sqref="LM1:LM1048576 LP1:LP1048576 LT1:LT1048576 LW1:LW1048576">
    <cfRule type="cellIs" dxfId="303" priority="33" operator="between">
      <formula>$LX$30</formula>
      <formula>1000</formula>
    </cfRule>
    <cfRule type="cellIs" dxfId="302" priority="34" operator="between">
      <formula>$LX$29</formula>
      <formula>$LX$30</formula>
    </cfRule>
    <cfRule type="cellIs" dxfId="301" priority="35" operator="between">
      <formula>$LX$28</formula>
      <formula>$LX$29</formula>
    </cfRule>
    <cfRule type="cellIs" dxfId="300" priority="36" operator="between">
      <formula>$LX$27</formula>
      <formula>$LX$28</formula>
    </cfRule>
  </conditionalFormatting>
  <conditionalFormatting sqref="MS1:MS1048576 MV1:MV1048576 MZ1:MZ1048576">
    <cfRule type="cellIs" dxfId="299" priority="32" operator="between">
      <formula>$NF$24</formula>
      <formula>1000</formula>
    </cfRule>
  </conditionalFormatting>
  <conditionalFormatting sqref="MU1:MU1048576 MX1:MX1048576 NB1:NB1048576 NE1:NE1048576">
    <cfRule type="cellIs" dxfId="298" priority="28" operator="between">
      <formula>$NF$30</formula>
      <formula>1000</formula>
    </cfRule>
    <cfRule type="cellIs" dxfId="297" priority="29" operator="between">
      <formula>$NF$29</formula>
      <formula>$NF$30</formula>
    </cfRule>
    <cfRule type="cellIs" dxfId="296" priority="30" operator="between">
      <formula>$NF$28</formula>
      <formula>$NF$29</formula>
    </cfRule>
    <cfRule type="cellIs" dxfId="295" priority="31" operator="between">
      <formula>$NF$27</formula>
      <formula>$NF$28</formula>
    </cfRule>
  </conditionalFormatting>
  <conditionalFormatting sqref="OA1:OA1048576 OD1:OD1048576 OH1:OH1048576 OK1:OK1048576">
    <cfRule type="cellIs" dxfId="294" priority="26" stopIfTrue="1" operator="between">
      <formula>$ON$24</formula>
      <formula>1000</formula>
    </cfRule>
    <cfRule type="cellIs" dxfId="293" priority="27" operator="between">
      <formula>$ON$23</formula>
      <formula>$ON$24</formula>
    </cfRule>
  </conditionalFormatting>
  <conditionalFormatting sqref="OC1:OC1048576 OF1:OF1048576 OJ1:OJ1048576 OM1:OM1048576">
    <cfRule type="cellIs" dxfId="292" priority="22" operator="between">
      <formula>$ON$30</formula>
      <formula>1000</formula>
    </cfRule>
    <cfRule type="cellIs" dxfId="291" priority="23" operator="between">
      <formula>$ON$29</formula>
      <formula>$ON$30</formula>
    </cfRule>
    <cfRule type="cellIs" dxfId="290" priority="24" operator="between">
      <formula>$ON$28</formula>
      <formula>$ON$29</formula>
    </cfRule>
    <cfRule type="cellIs" dxfId="289" priority="25" operator="between">
      <formula>$ON$27</formula>
      <formula>$ON$28</formula>
    </cfRule>
  </conditionalFormatting>
  <conditionalFormatting sqref="PI1:PI1048576 PL1:PL1048576 PP1:PP1048576 PS1:PS1048576">
    <cfRule type="cellIs" dxfId="288" priority="20" stopIfTrue="1" operator="between">
      <formula>$PV$24</formula>
      <formula>1000</formula>
    </cfRule>
    <cfRule type="cellIs" dxfId="287" priority="21" operator="between">
      <formula>$PV$23</formula>
      <formula>$PV$24</formula>
    </cfRule>
  </conditionalFormatting>
  <conditionalFormatting sqref="PK1:PK1048576 PN1:PN1048576 PR1:PR1048576 PU1:PU1048576">
    <cfRule type="cellIs" dxfId="286" priority="16" operator="between">
      <formula>$PV$30</formula>
      <formula>1000</formula>
    </cfRule>
    <cfRule type="cellIs" dxfId="285" priority="17" operator="between">
      <formula>$PV$29</formula>
      <formula>$PV$30</formula>
    </cfRule>
    <cfRule type="cellIs" dxfId="284" priority="18" operator="between">
      <formula>$PV$28</formula>
      <formula>$PV$29</formula>
    </cfRule>
    <cfRule type="cellIs" dxfId="283" priority="19" operator="between">
      <formula>$PV$27</formula>
      <formula>$PV$28</formula>
    </cfRule>
  </conditionalFormatting>
  <conditionalFormatting sqref="QQ1:QQ1048576 QT1:QT1048576 QX1:QX1048576 RA1:RA1048576">
    <cfRule type="cellIs" dxfId="282" priority="14" stopIfTrue="1" operator="between">
      <formula>$RD$24</formula>
      <formula>1000</formula>
    </cfRule>
    <cfRule type="cellIs" dxfId="281" priority="15" operator="between">
      <formula>$RD$23</formula>
      <formula>$RD$24</formula>
    </cfRule>
  </conditionalFormatting>
  <conditionalFormatting sqref="QS1:QS1048576 QV1:QV1048576 QZ1:QZ1048576 RC1:RC1048576">
    <cfRule type="cellIs" dxfId="280" priority="10" operator="between">
      <formula>$RD$30</formula>
      <formula>1000</formula>
    </cfRule>
    <cfRule type="cellIs" dxfId="279" priority="11" operator="between">
      <formula>$RD$29</formula>
      <formula>$RD$30</formula>
    </cfRule>
    <cfRule type="cellIs" dxfId="278" priority="12" operator="between">
      <formula>$RD$28</formula>
      <formula>$RD$29</formula>
    </cfRule>
    <cfRule type="cellIs" dxfId="277" priority="13" operator="between">
      <formula>$RD$27</formula>
      <formula>$RD$28</formula>
    </cfRule>
  </conditionalFormatting>
  <conditionalFormatting sqref="RY1:RY1048576 SB1:SB1048576 SF1:SF1048576 SI1:SI1048576 TG1:TG30 TJ1:TJ30 TN1:TN30 TQ1:TQ30 UO1:UO30 UR1:UR30 UV1:UV30 UY1:UY30 VW1:VW30 VZ1:VZ30 WD1:WD30 WG1:WG30">
    <cfRule type="cellIs" dxfId="276" priority="8" operator="between">
      <formula>$SL$24</formula>
      <formula>1000</formula>
    </cfRule>
    <cfRule type="cellIs" dxfId="275" priority="9" operator="between">
      <formula>$SL$23</formula>
      <formula>$SL$24</formula>
    </cfRule>
  </conditionalFormatting>
  <conditionalFormatting sqref="SA1:SA1048576 SD1:SD1048576 SH1:SH1048576 SK1:SK1048576 TI1:TI30 TL1:TL30 TP1:TP30 TS1:TS30 UQ1:UQ30 UT1:UT30 UX1:UX30 VA1:VA30 VY1:VY30 WB1:WB30 WF1:WF30 WI1:WI30">
    <cfRule type="cellIs" dxfId="274" priority="4" operator="between">
      <formula>$SL$30</formula>
      <formula>1000</formula>
    </cfRule>
    <cfRule type="cellIs" dxfId="273" priority="5" operator="between">
      <formula>$SL$29</formula>
      <formula>$SL$30</formula>
    </cfRule>
    <cfRule type="cellIs" dxfId="272" priority="6" operator="between">
      <formula>$SL$28</formula>
      <formula>$SL$29</formula>
    </cfRule>
    <cfRule type="cellIs" dxfId="271" priority="7" operator="between">
      <formula>$SL$27</formula>
      <formula>$SL$28</formula>
    </cfRule>
  </conditionalFormatting>
  <conditionalFormatting sqref="DY1:DY1048576 DO1:DO1048576 DR1:DR1048576 DV1:DV1048576">
    <cfRule type="cellIs" dxfId="270" priority="3" stopIfTrue="1" operator="between">
      <formula>$EB$24</formula>
      <formula>1000</formula>
    </cfRule>
  </conditionalFormatting>
  <conditionalFormatting sqref="FG1:FG1048576 EW1:EW1048576 EZ1:EZ1048576 FD1:FD1048576">
    <cfRule type="cellIs" dxfId="269" priority="2" stopIfTrue="1" operator="between">
      <formula>$FJ$24</formula>
      <formula>1000</formula>
    </cfRule>
  </conditionalFormatting>
  <conditionalFormatting sqref="HW1:HW1048576 HM1:HM1048576 HP1:HP1048576 HT1:HT1048576">
    <cfRule type="cellIs" dxfId="268" priority="1" stopIfTrue="1" operator="between">
      <formula>$HZ$24</formula>
      <formula>1000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DA5CF-E447-7843-BB0A-1186439A2812}">
  <sheetPr codeName="Sheet8"/>
  <dimension ref="A1:XT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0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hidden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2" customWidth="1"/>
    <col min="44" max="59" width="10.83203125" hidden="1" customWidth="1"/>
    <col min="60" max="70" width="10.83203125" style="32" customWidth="1"/>
    <col min="71" max="86" width="10.83203125" hidden="1" customWidth="1"/>
    <col min="87" max="97" width="10.83203125" style="32" customWidth="1"/>
    <col min="98" max="98" width="12.83203125" style="32" customWidth="1"/>
    <col min="99" max="118" width="10.83203125" hidden="1" customWidth="1"/>
    <col min="119" max="131" width="10.83203125" customWidth="1"/>
    <col min="132" max="132" width="10.83203125" style="32" customWidth="1"/>
    <col min="133" max="152" width="10.83203125" hidden="1" customWidth="1"/>
    <col min="153" max="165" width="10.83203125" customWidth="1"/>
    <col min="166" max="166" width="10.83203125" style="32" customWidth="1"/>
    <col min="167" max="186" width="10.83203125" hidden="1" customWidth="1"/>
    <col min="187" max="199" width="10.83203125" customWidth="1"/>
    <col min="200" max="200" width="10.83203125" style="32" customWidth="1"/>
    <col min="201" max="220" width="10.83203125" hidden="1" customWidth="1"/>
    <col min="221" max="233" width="10.83203125" customWidth="1"/>
    <col min="234" max="234" width="10.83203125" style="32" customWidth="1"/>
    <col min="235" max="254" width="10.83203125" hidden="1" customWidth="1"/>
    <col min="255" max="267" width="10.83203125" customWidth="1"/>
    <col min="268" max="268" width="10.83203125" style="32" customWidth="1"/>
    <col min="269" max="288" width="10.83203125" hidden="1" customWidth="1"/>
    <col min="289" max="302" width="10.83203125" customWidth="1"/>
    <col min="303" max="322" width="10.83203125" hidden="1" customWidth="1"/>
    <col min="323" max="336" width="10.83203125" customWidth="1"/>
    <col min="337" max="356" width="10.83203125" hidden="1" customWidth="1"/>
    <col min="357" max="370" width="10.83203125" customWidth="1"/>
    <col min="371" max="390" width="10.83203125" hidden="1" customWidth="1"/>
    <col min="391" max="404" width="10.83203125" customWidth="1"/>
    <col min="405" max="533" width="10.83203125" hidden="1" customWidth="1"/>
    <col min="534" max="534" width="11.83203125" hidden="1" customWidth="1"/>
    <col min="535" max="535" width="12.83203125" hidden="1" customWidth="1"/>
    <col min="536" max="567" width="10.83203125" hidden="1" customWidth="1"/>
    <col min="568" max="568" width="11.83203125" hidden="1" customWidth="1"/>
    <col min="569" max="569" width="12.83203125" hidden="1" customWidth="1"/>
    <col min="570" max="601" width="10.83203125" hidden="1" customWidth="1"/>
    <col min="602" max="602" width="11.83203125" hidden="1" customWidth="1"/>
    <col min="603" max="603" width="12.83203125" hidden="1" customWidth="1"/>
    <col min="604" max="608" width="10.83203125" hidden="1" customWidth="1"/>
  </cols>
  <sheetData>
    <row r="1" spans="1:608" x14ac:dyDescent="0.2">
      <c r="A1" s="57" t="s">
        <v>1</v>
      </c>
      <c r="B1" s="57" t="s">
        <v>26</v>
      </c>
      <c r="C1" s="57" t="s">
        <v>0</v>
      </c>
      <c r="D1" s="57" t="s">
        <v>44</v>
      </c>
      <c r="E1" s="57" t="s">
        <v>2</v>
      </c>
      <c r="F1" s="58" t="s">
        <v>177</v>
      </c>
      <c r="G1" s="57" t="s">
        <v>9</v>
      </c>
      <c r="H1" s="57" t="s">
        <v>10</v>
      </c>
      <c r="I1" s="57" t="s">
        <v>61</v>
      </c>
      <c r="J1" s="53" t="s">
        <v>74</v>
      </c>
      <c r="K1" s="52" t="s">
        <v>28</v>
      </c>
      <c r="L1" s="53" t="s">
        <v>84</v>
      </c>
      <c r="M1" s="52" t="s">
        <v>28</v>
      </c>
      <c r="N1" s="59" t="s">
        <v>12</v>
      </c>
      <c r="O1" s="52" t="s">
        <v>29</v>
      </c>
      <c r="P1" s="52" t="s">
        <v>28</v>
      </c>
      <c r="Q1" s="56" t="s">
        <v>134</v>
      </c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61" t="s">
        <v>150</v>
      </c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56" t="s">
        <v>231</v>
      </c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0"/>
      <c r="CU1" s="56" t="s">
        <v>126</v>
      </c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  <c r="DU1" s="56"/>
      <c r="DV1" s="56"/>
      <c r="DW1" s="56"/>
      <c r="DX1" s="56"/>
      <c r="DY1" s="56"/>
      <c r="DZ1" s="56"/>
      <c r="EA1" s="56"/>
      <c r="EB1" s="56"/>
      <c r="EC1" s="61" t="s">
        <v>129</v>
      </c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56" t="s">
        <v>141</v>
      </c>
      <c r="FL1" s="56"/>
      <c r="FM1" s="56"/>
      <c r="FN1" s="56"/>
      <c r="FO1" s="56"/>
      <c r="FP1" s="56"/>
      <c r="FQ1" s="56"/>
      <c r="FR1" s="56"/>
      <c r="FS1" s="56"/>
      <c r="FT1" s="56"/>
      <c r="FU1" s="56"/>
      <c r="FV1" s="56"/>
      <c r="FW1" s="56"/>
      <c r="FX1" s="56"/>
      <c r="FY1" s="56"/>
      <c r="FZ1" s="56"/>
      <c r="GA1" s="56"/>
      <c r="GB1" s="56"/>
      <c r="GC1" s="56"/>
      <c r="GD1" s="56"/>
      <c r="GE1" s="56"/>
      <c r="GF1" s="56"/>
      <c r="GG1" s="56"/>
      <c r="GH1" s="56"/>
      <c r="GI1" s="56"/>
      <c r="GJ1" s="56"/>
      <c r="GK1" s="56"/>
      <c r="GL1" s="56"/>
      <c r="GM1" s="56"/>
      <c r="GN1" s="56"/>
      <c r="GO1" s="56"/>
      <c r="GP1" s="56"/>
      <c r="GQ1" s="56"/>
      <c r="GR1" s="56"/>
      <c r="GS1" s="61" t="s">
        <v>146</v>
      </c>
      <c r="GT1" s="61"/>
      <c r="GU1" s="61"/>
      <c r="GV1" s="61"/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61"/>
      <c r="HN1" s="61"/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56" t="s">
        <v>145</v>
      </c>
      <c r="IB1" s="56"/>
      <c r="IC1" s="56"/>
      <c r="ID1" s="56"/>
      <c r="IE1" s="56"/>
      <c r="IF1" s="56"/>
      <c r="IG1" s="56"/>
      <c r="IH1" s="56"/>
      <c r="II1" s="56"/>
      <c r="IJ1" s="56"/>
      <c r="IK1" s="56"/>
      <c r="IL1" s="56"/>
      <c r="IM1" s="56"/>
      <c r="IN1" s="56"/>
      <c r="IO1" s="56"/>
      <c r="IP1" s="56"/>
      <c r="IQ1" s="56"/>
      <c r="IR1" s="56"/>
      <c r="IS1" s="56"/>
      <c r="IT1" s="56"/>
      <c r="IU1" s="56"/>
      <c r="IV1" s="56"/>
      <c r="IW1" s="56"/>
      <c r="IX1" s="56"/>
      <c r="IY1" s="56"/>
      <c r="IZ1" s="56"/>
      <c r="JA1" s="56"/>
      <c r="JB1" s="56"/>
      <c r="JC1" s="56"/>
      <c r="JD1" s="56"/>
      <c r="JE1" s="56"/>
      <c r="JF1" s="56"/>
      <c r="JG1" s="56"/>
      <c r="JH1" s="56"/>
      <c r="JI1" s="61" t="s">
        <v>153</v>
      </c>
      <c r="JJ1" s="61"/>
      <c r="JK1" s="61"/>
      <c r="JL1" s="61"/>
      <c r="JM1" s="61"/>
      <c r="JN1" s="61"/>
      <c r="JO1" s="61"/>
      <c r="JP1" s="61"/>
      <c r="JQ1" s="61"/>
      <c r="JR1" s="61"/>
      <c r="JS1" s="61"/>
      <c r="JT1" s="61"/>
      <c r="JU1" s="61"/>
      <c r="JV1" s="61"/>
      <c r="JW1" s="61"/>
      <c r="JX1" s="61"/>
      <c r="JY1" s="61"/>
      <c r="JZ1" s="61"/>
      <c r="KA1" s="61"/>
      <c r="KB1" s="61"/>
      <c r="KC1" s="61"/>
      <c r="KD1" s="61"/>
      <c r="KE1" s="61"/>
      <c r="KF1" s="61"/>
      <c r="KG1" s="61"/>
      <c r="KH1" s="61"/>
      <c r="KI1" s="61"/>
      <c r="KJ1" s="61"/>
      <c r="KK1" s="61"/>
      <c r="KL1" s="61"/>
      <c r="KM1" s="61"/>
      <c r="KN1" s="61"/>
      <c r="KO1" s="61"/>
      <c r="KP1" s="61"/>
      <c r="KQ1" s="56" t="s">
        <v>162</v>
      </c>
      <c r="KR1" s="56"/>
      <c r="KS1" s="56"/>
      <c r="KT1" s="56"/>
      <c r="KU1" s="56"/>
      <c r="KV1" s="56"/>
      <c r="KW1" s="56"/>
      <c r="KX1" s="56"/>
      <c r="KY1" s="56"/>
      <c r="KZ1" s="56"/>
      <c r="LA1" s="56"/>
      <c r="LB1" s="56"/>
      <c r="LC1" s="56"/>
      <c r="LD1" s="56"/>
      <c r="LE1" s="56"/>
      <c r="LF1" s="56"/>
      <c r="LG1" s="56"/>
      <c r="LH1" s="56"/>
      <c r="LI1" s="56"/>
      <c r="LJ1" s="56"/>
      <c r="LK1" s="56"/>
      <c r="LL1" s="56"/>
      <c r="LM1" s="56"/>
      <c r="LN1" s="56"/>
      <c r="LO1" s="56"/>
      <c r="LP1" s="56"/>
      <c r="LQ1" s="56"/>
      <c r="LR1" s="56"/>
      <c r="LS1" s="56"/>
      <c r="LT1" s="56"/>
      <c r="LU1" s="56"/>
      <c r="LV1" s="56"/>
      <c r="LW1" s="56"/>
      <c r="LX1" s="56"/>
      <c r="LY1" s="61" t="s">
        <v>165</v>
      </c>
      <c r="LZ1" s="61"/>
      <c r="MA1" s="61"/>
      <c r="MB1" s="61"/>
      <c r="MC1" s="61"/>
      <c r="MD1" s="61"/>
      <c r="ME1" s="61"/>
      <c r="MF1" s="61"/>
      <c r="MG1" s="61"/>
      <c r="MH1" s="61"/>
      <c r="MI1" s="61"/>
      <c r="MJ1" s="61"/>
      <c r="MK1" s="61"/>
      <c r="ML1" s="61"/>
      <c r="MM1" s="61"/>
      <c r="MN1" s="61"/>
      <c r="MO1" s="61"/>
      <c r="MP1" s="61"/>
      <c r="MQ1" s="61"/>
      <c r="MR1" s="61"/>
      <c r="MS1" s="61"/>
      <c r="MT1" s="61"/>
      <c r="MU1" s="61"/>
      <c r="MV1" s="61"/>
      <c r="MW1" s="61"/>
      <c r="MX1" s="61"/>
      <c r="MY1" s="61"/>
      <c r="MZ1" s="61"/>
      <c r="NA1" s="61"/>
      <c r="NB1" s="61"/>
      <c r="NC1" s="61"/>
      <c r="ND1" s="61"/>
      <c r="NE1" s="61"/>
      <c r="NF1" s="61"/>
      <c r="NG1" s="56" t="s">
        <v>171</v>
      </c>
      <c r="NH1" s="56"/>
      <c r="NI1" s="56"/>
      <c r="NJ1" s="56"/>
      <c r="NK1" s="56"/>
      <c r="NL1" s="56"/>
      <c r="NM1" s="56"/>
      <c r="NN1" s="56"/>
      <c r="NO1" s="56"/>
      <c r="NP1" s="56"/>
      <c r="NQ1" s="56"/>
      <c r="NR1" s="56"/>
      <c r="NS1" s="56"/>
      <c r="NT1" s="56"/>
      <c r="NU1" s="56"/>
      <c r="NV1" s="56"/>
      <c r="NW1" s="56"/>
      <c r="NX1" s="56"/>
      <c r="NY1" s="56"/>
      <c r="NZ1" s="56"/>
      <c r="OA1" s="56"/>
      <c r="OB1" s="56"/>
      <c r="OC1" s="56"/>
      <c r="OD1" s="56"/>
      <c r="OE1" s="56"/>
      <c r="OF1" s="56"/>
      <c r="OG1" s="56"/>
      <c r="OH1" s="56"/>
      <c r="OI1" s="56"/>
      <c r="OJ1" s="56"/>
      <c r="OK1" s="56"/>
      <c r="OL1" s="56"/>
      <c r="OM1" s="56"/>
      <c r="ON1" s="56"/>
      <c r="OO1" s="61"/>
      <c r="OP1" s="61"/>
      <c r="OQ1" s="61"/>
      <c r="OR1" s="61"/>
      <c r="OS1" s="61"/>
      <c r="OT1" s="61"/>
      <c r="OU1" s="61"/>
      <c r="OV1" s="61"/>
      <c r="OW1" s="61"/>
      <c r="OX1" s="61"/>
      <c r="OY1" s="61"/>
      <c r="OZ1" s="61"/>
      <c r="PA1" s="61"/>
      <c r="PB1" s="61"/>
      <c r="PC1" s="61"/>
      <c r="PD1" s="61"/>
      <c r="PE1" s="61"/>
      <c r="PF1" s="61"/>
      <c r="PG1" s="61"/>
      <c r="PH1" s="61"/>
      <c r="PI1" s="61"/>
      <c r="PJ1" s="61"/>
      <c r="PK1" s="61"/>
      <c r="PL1" s="61"/>
      <c r="PM1" s="61"/>
      <c r="PN1" s="61"/>
      <c r="PO1" s="61"/>
      <c r="PP1" s="61"/>
      <c r="PQ1" s="61"/>
      <c r="PR1" s="61"/>
      <c r="PS1" s="61"/>
      <c r="PT1" s="61"/>
      <c r="PU1" s="61"/>
      <c r="PV1" s="61"/>
      <c r="PW1" s="56"/>
      <c r="PX1" s="56"/>
      <c r="PY1" s="56"/>
      <c r="PZ1" s="56"/>
      <c r="QA1" s="56"/>
      <c r="QB1" s="56"/>
      <c r="QC1" s="56"/>
      <c r="QD1" s="56"/>
      <c r="QE1" s="56"/>
      <c r="QF1" s="56"/>
      <c r="QG1" s="56"/>
      <c r="QH1" s="56"/>
      <c r="QI1" s="56"/>
      <c r="QJ1" s="56"/>
      <c r="QK1" s="56"/>
      <c r="QL1" s="56"/>
      <c r="QM1" s="56"/>
      <c r="QN1" s="56"/>
      <c r="QO1" s="56"/>
      <c r="QP1" s="56"/>
      <c r="QQ1" s="56"/>
      <c r="QR1" s="56"/>
      <c r="QS1" s="56"/>
      <c r="QT1" s="56"/>
      <c r="QU1" s="56"/>
      <c r="QV1" s="56"/>
      <c r="QW1" s="56"/>
      <c r="QX1" s="56"/>
      <c r="QY1" s="56"/>
      <c r="QZ1" s="56"/>
      <c r="RA1" s="56"/>
      <c r="RB1" s="56"/>
      <c r="RC1" s="56"/>
      <c r="RD1" s="56"/>
      <c r="RE1" s="61"/>
      <c r="RF1" s="61"/>
      <c r="RG1" s="61"/>
      <c r="RH1" s="61"/>
      <c r="RI1" s="61"/>
      <c r="RJ1" s="61"/>
      <c r="RK1" s="61"/>
      <c r="RL1" s="61"/>
      <c r="RM1" s="61"/>
      <c r="RN1" s="61"/>
      <c r="RO1" s="61"/>
      <c r="RP1" s="61"/>
      <c r="RQ1" s="61"/>
      <c r="RR1" s="61"/>
      <c r="RS1" s="61"/>
      <c r="RT1" s="61"/>
      <c r="RU1" s="61"/>
      <c r="RV1" s="61"/>
      <c r="RW1" s="61"/>
      <c r="RX1" s="61"/>
      <c r="RY1" s="61"/>
      <c r="RZ1" s="61"/>
      <c r="SA1" s="61"/>
      <c r="SB1" s="61"/>
      <c r="SC1" s="61"/>
      <c r="SD1" s="61"/>
      <c r="SE1" s="61"/>
      <c r="SF1" s="61"/>
      <c r="SG1" s="61"/>
      <c r="SH1" s="61"/>
      <c r="SI1" s="61"/>
      <c r="SJ1" s="61"/>
      <c r="SK1" s="61"/>
      <c r="SL1" s="61"/>
      <c r="SM1" s="56"/>
      <c r="SN1" s="56"/>
      <c r="SO1" s="56"/>
      <c r="SP1" s="56"/>
      <c r="SQ1" s="56"/>
      <c r="SR1" s="56"/>
      <c r="SS1" s="56"/>
      <c r="ST1" s="56"/>
      <c r="SU1" s="56"/>
      <c r="SV1" s="56"/>
      <c r="SW1" s="56"/>
      <c r="SX1" s="56"/>
      <c r="SY1" s="56"/>
      <c r="SZ1" s="56"/>
      <c r="TA1" s="56"/>
      <c r="TB1" s="56"/>
      <c r="TC1" s="56"/>
      <c r="TD1" s="56"/>
      <c r="TE1" s="56"/>
      <c r="TF1" s="56"/>
      <c r="TG1" s="56"/>
      <c r="TH1" s="56"/>
      <c r="TI1" s="56"/>
      <c r="TJ1" s="56"/>
      <c r="TK1" s="56"/>
      <c r="TL1" s="56"/>
      <c r="TM1" s="56"/>
      <c r="TN1" s="56"/>
      <c r="TO1" s="56"/>
      <c r="TP1" s="56"/>
      <c r="TQ1" s="56"/>
      <c r="TR1" s="56"/>
      <c r="TS1" s="56"/>
      <c r="TT1" s="56"/>
      <c r="TU1" s="61"/>
      <c r="TV1" s="61"/>
      <c r="TW1" s="61"/>
      <c r="TX1" s="61"/>
      <c r="TY1" s="61"/>
      <c r="TZ1" s="61"/>
      <c r="UA1" s="61"/>
      <c r="UB1" s="61"/>
      <c r="UC1" s="61"/>
      <c r="UD1" s="61"/>
      <c r="UE1" s="61"/>
      <c r="UF1" s="61"/>
      <c r="UG1" s="61"/>
      <c r="UH1" s="61"/>
      <c r="UI1" s="61"/>
      <c r="UJ1" s="61"/>
      <c r="UK1" s="61"/>
      <c r="UL1" s="61"/>
      <c r="UM1" s="61"/>
      <c r="UN1" s="61"/>
      <c r="UO1" s="61"/>
      <c r="UP1" s="61"/>
      <c r="UQ1" s="61"/>
      <c r="UR1" s="61"/>
      <c r="US1" s="61"/>
      <c r="UT1" s="61"/>
      <c r="UU1" s="61"/>
      <c r="UV1" s="61"/>
      <c r="UW1" s="61"/>
      <c r="UX1" s="61"/>
      <c r="UY1" s="61"/>
      <c r="UZ1" s="61"/>
      <c r="VA1" s="61"/>
      <c r="VB1" s="61"/>
      <c r="VC1" s="56"/>
      <c r="VD1" s="56"/>
      <c r="VE1" s="56"/>
      <c r="VF1" s="56"/>
      <c r="VG1" s="56"/>
      <c r="VH1" s="56"/>
      <c r="VI1" s="56"/>
      <c r="VJ1" s="56"/>
      <c r="VK1" s="56"/>
      <c r="VL1" s="56"/>
      <c r="VM1" s="56"/>
      <c r="VN1" s="56"/>
      <c r="VO1" s="56"/>
      <c r="VP1" s="56"/>
      <c r="VQ1" s="56"/>
      <c r="VR1" s="56"/>
      <c r="VS1" s="56"/>
      <c r="VT1" s="56"/>
      <c r="VU1" s="56"/>
      <c r="VV1" s="56"/>
      <c r="VW1" s="56"/>
      <c r="VX1" s="56"/>
      <c r="VY1" s="56"/>
      <c r="VZ1" s="56"/>
      <c r="WA1" s="56"/>
      <c r="WB1" s="56"/>
      <c r="WC1" s="56"/>
      <c r="WD1" s="56"/>
      <c r="WE1" s="56"/>
      <c r="WF1" s="56"/>
      <c r="WG1" s="56"/>
      <c r="WH1" s="56"/>
      <c r="WI1" s="56"/>
      <c r="WJ1" s="56"/>
    </row>
    <row r="2" spans="1:608" x14ac:dyDescent="0.2">
      <c r="A2" s="57"/>
      <c r="B2" s="57"/>
      <c r="C2" s="57"/>
      <c r="D2" s="57"/>
      <c r="E2" s="57"/>
      <c r="F2" s="58"/>
      <c r="G2" s="57"/>
      <c r="H2" s="57"/>
      <c r="I2" s="57"/>
      <c r="J2" s="53"/>
      <c r="K2" s="52"/>
      <c r="L2" s="53"/>
      <c r="M2" s="52"/>
      <c r="N2" s="59"/>
      <c r="O2" s="52"/>
      <c r="P2" s="52"/>
      <c r="Q2" s="55" t="s">
        <v>17</v>
      </c>
      <c r="R2" s="55"/>
      <c r="S2" s="55"/>
      <c r="T2" s="55"/>
      <c r="U2" s="55"/>
      <c r="V2" s="55" t="s">
        <v>18</v>
      </c>
      <c r="W2" s="55"/>
      <c r="X2" s="55"/>
      <c r="Y2" s="55"/>
      <c r="Z2" s="55"/>
      <c r="AA2" s="55" t="s">
        <v>21</v>
      </c>
      <c r="AB2" s="55"/>
      <c r="AC2" s="55"/>
      <c r="AD2" s="55"/>
      <c r="AE2" s="55"/>
      <c r="AF2" s="14"/>
      <c r="AG2" s="14" t="s">
        <v>66</v>
      </c>
      <c r="AH2" s="14" t="s">
        <v>67</v>
      </c>
      <c r="AI2" s="14" t="s">
        <v>19</v>
      </c>
      <c r="AJ2" s="14" t="s">
        <v>58</v>
      </c>
      <c r="AK2" s="14" t="s">
        <v>68</v>
      </c>
      <c r="AL2" s="14" t="s">
        <v>20</v>
      </c>
      <c r="AM2" s="14" t="s">
        <v>22</v>
      </c>
      <c r="AN2" s="14" t="s">
        <v>69</v>
      </c>
      <c r="AO2" s="14" t="s">
        <v>70</v>
      </c>
      <c r="AP2" s="14" t="s">
        <v>21</v>
      </c>
      <c r="AQ2" s="14" t="s">
        <v>16</v>
      </c>
      <c r="AR2" s="60" t="s">
        <v>17</v>
      </c>
      <c r="AS2" s="60"/>
      <c r="AT2" s="60"/>
      <c r="AU2" s="60"/>
      <c r="AV2" s="60"/>
      <c r="AW2" s="60" t="s">
        <v>18</v>
      </c>
      <c r="AX2" s="60"/>
      <c r="AY2" s="60"/>
      <c r="AZ2" s="60"/>
      <c r="BA2" s="60"/>
      <c r="BB2" s="60" t="s">
        <v>21</v>
      </c>
      <c r="BC2" s="60"/>
      <c r="BD2" s="60"/>
      <c r="BE2" s="60"/>
      <c r="BF2" s="60"/>
      <c r="BG2" s="13"/>
      <c r="BH2" s="13" t="s">
        <v>66</v>
      </c>
      <c r="BI2" s="13" t="s">
        <v>67</v>
      </c>
      <c r="BJ2" s="13" t="s">
        <v>19</v>
      </c>
      <c r="BK2" s="13" t="s">
        <v>58</v>
      </c>
      <c r="BL2" s="13" t="s">
        <v>68</v>
      </c>
      <c r="BM2" s="13" t="s">
        <v>20</v>
      </c>
      <c r="BN2" s="13" t="s">
        <v>22</v>
      </c>
      <c r="BO2" s="13" t="s">
        <v>69</v>
      </c>
      <c r="BP2" s="13" t="s">
        <v>70</v>
      </c>
      <c r="BQ2" s="13" t="s">
        <v>21</v>
      </c>
      <c r="BR2" s="13" t="s">
        <v>16</v>
      </c>
      <c r="BS2" s="55" t="s">
        <v>17</v>
      </c>
      <c r="BT2" s="55"/>
      <c r="BU2" s="55"/>
      <c r="BV2" s="55"/>
      <c r="BW2" s="55"/>
      <c r="BX2" s="55" t="s">
        <v>18</v>
      </c>
      <c r="BY2" s="55"/>
      <c r="BZ2" s="55"/>
      <c r="CA2" s="55"/>
      <c r="CB2" s="55"/>
      <c r="CC2" s="55" t="s">
        <v>21</v>
      </c>
      <c r="CD2" s="55"/>
      <c r="CE2" s="55"/>
      <c r="CF2" s="55"/>
      <c r="CG2" s="55"/>
      <c r="CH2" s="14"/>
      <c r="CI2" s="14" t="s">
        <v>66</v>
      </c>
      <c r="CJ2" s="14" t="s">
        <v>67</v>
      </c>
      <c r="CK2" s="14" t="s">
        <v>19</v>
      </c>
      <c r="CL2" s="14" t="s">
        <v>58</v>
      </c>
      <c r="CM2" s="14" t="s">
        <v>68</v>
      </c>
      <c r="CN2" s="14" t="s">
        <v>20</v>
      </c>
      <c r="CO2" s="14" t="s">
        <v>22</v>
      </c>
      <c r="CP2" s="14" t="s">
        <v>69</v>
      </c>
      <c r="CQ2" s="14" t="s">
        <v>70</v>
      </c>
      <c r="CR2" s="14" t="s">
        <v>21</v>
      </c>
      <c r="CS2" s="14" t="s">
        <v>16</v>
      </c>
      <c r="CT2" s="46" t="s">
        <v>176</v>
      </c>
      <c r="CU2" s="55" t="s">
        <v>17</v>
      </c>
      <c r="CV2" s="55"/>
      <c r="CW2" s="55"/>
      <c r="CX2" s="55"/>
      <c r="CY2" s="55"/>
      <c r="CZ2" s="55" t="s">
        <v>18</v>
      </c>
      <c r="DA2" s="55"/>
      <c r="DB2" s="55"/>
      <c r="DC2" s="55"/>
      <c r="DD2" s="55"/>
      <c r="DE2" s="55" t="s">
        <v>71</v>
      </c>
      <c r="DF2" s="55"/>
      <c r="DG2" s="55"/>
      <c r="DH2" s="55"/>
      <c r="DI2" s="55"/>
      <c r="DJ2" s="55" t="s">
        <v>21</v>
      </c>
      <c r="DK2" s="55"/>
      <c r="DL2" s="55"/>
      <c r="DM2" s="55"/>
      <c r="DN2" s="55"/>
      <c r="DO2" s="14" t="s">
        <v>66</v>
      </c>
      <c r="DP2" s="14" t="s">
        <v>67</v>
      </c>
      <c r="DQ2" s="14" t="s">
        <v>19</v>
      </c>
      <c r="DR2" s="14" t="s">
        <v>58</v>
      </c>
      <c r="DS2" s="14" t="s">
        <v>68</v>
      </c>
      <c r="DT2" s="14" t="s">
        <v>20</v>
      </c>
      <c r="DU2" s="14" t="s">
        <v>22</v>
      </c>
      <c r="DV2" s="14" t="s">
        <v>72</v>
      </c>
      <c r="DW2" s="14" t="s">
        <v>73</v>
      </c>
      <c r="DX2" s="14" t="s">
        <v>71</v>
      </c>
      <c r="DY2" s="14" t="s">
        <v>69</v>
      </c>
      <c r="DZ2" s="14" t="s">
        <v>70</v>
      </c>
      <c r="EA2" s="14" t="s">
        <v>21</v>
      </c>
      <c r="EB2" s="14" t="s">
        <v>16</v>
      </c>
      <c r="EC2" s="60" t="s">
        <v>17</v>
      </c>
      <c r="ED2" s="60"/>
      <c r="EE2" s="60"/>
      <c r="EF2" s="60"/>
      <c r="EG2" s="60"/>
      <c r="EH2" s="60" t="s">
        <v>18</v>
      </c>
      <c r="EI2" s="60"/>
      <c r="EJ2" s="60"/>
      <c r="EK2" s="60"/>
      <c r="EL2" s="60"/>
      <c r="EM2" s="60" t="s">
        <v>71</v>
      </c>
      <c r="EN2" s="60"/>
      <c r="EO2" s="60"/>
      <c r="EP2" s="60"/>
      <c r="EQ2" s="60"/>
      <c r="ER2" s="60" t="s">
        <v>21</v>
      </c>
      <c r="ES2" s="60"/>
      <c r="ET2" s="60"/>
      <c r="EU2" s="60"/>
      <c r="EV2" s="60"/>
      <c r="EW2" s="13" t="s">
        <v>66</v>
      </c>
      <c r="EX2" s="13" t="s">
        <v>67</v>
      </c>
      <c r="EY2" s="13" t="s">
        <v>19</v>
      </c>
      <c r="EZ2" s="13" t="s">
        <v>58</v>
      </c>
      <c r="FA2" s="13" t="s">
        <v>68</v>
      </c>
      <c r="FB2" s="13" t="s">
        <v>20</v>
      </c>
      <c r="FC2" s="13" t="s">
        <v>22</v>
      </c>
      <c r="FD2" s="13" t="s">
        <v>72</v>
      </c>
      <c r="FE2" s="13" t="s">
        <v>73</v>
      </c>
      <c r="FF2" s="13" t="s">
        <v>71</v>
      </c>
      <c r="FG2" s="13" t="s">
        <v>69</v>
      </c>
      <c r="FH2" s="13" t="s">
        <v>70</v>
      </c>
      <c r="FI2" s="13" t="s">
        <v>21</v>
      </c>
      <c r="FJ2" s="13" t="s">
        <v>16</v>
      </c>
      <c r="FK2" s="55" t="s">
        <v>17</v>
      </c>
      <c r="FL2" s="55"/>
      <c r="FM2" s="55"/>
      <c r="FN2" s="55"/>
      <c r="FO2" s="55"/>
      <c r="FP2" s="55" t="s">
        <v>18</v>
      </c>
      <c r="FQ2" s="55"/>
      <c r="FR2" s="55"/>
      <c r="FS2" s="55"/>
      <c r="FT2" s="55"/>
      <c r="FU2" s="55" t="s">
        <v>71</v>
      </c>
      <c r="FV2" s="55"/>
      <c r="FW2" s="55"/>
      <c r="FX2" s="55"/>
      <c r="FY2" s="55"/>
      <c r="FZ2" s="55" t="s">
        <v>21</v>
      </c>
      <c r="GA2" s="55"/>
      <c r="GB2" s="55"/>
      <c r="GC2" s="55"/>
      <c r="GD2" s="55"/>
      <c r="GE2" s="14" t="s">
        <v>66</v>
      </c>
      <c r="GF2" s="14" t="s">
        <v>67</v>
      </c>
      <c r="GG2" s="14" t="s">
        <v>19</v>
      </c>
      <c r="GH2" s="14" t="s">
        <v>58</v>
      </c>
      <c r="GI2" s="14" t="s">
        <v>68</v>
      </c>
      <c r="GJ2" s="14" t="s">
        <v>20</v>
      </c>
      <c r="GK2" s="14" t="s">
        <v>22</v>
      </c>
      <c r="GL2" s="14" t="s">
        <v>72</v>
      </c>
      <c r="GM2" s="14" t="s">
        <v>73</v>
      </c>
      <c r="GN2" s="14" t="s">
        <v>71</v>
      </c>
      <c r="GO2" s="14" t="s">
        <v>69</v>
      </c>
      <c r="GP2" s="14" t="s">
        <v>70</v>
      </c>
      <c r="GQ2" s="14" t="s">
        <v>21</v>
      </c>
      <c r="GR2" s="14" t="s">
        <v>16</v>
      </c>
      <c r="GS2" s="60" t="s">
        <v>17</v>
      </c>
      <c r="GT2" s="60"/>
      <c r="GU2" s="60"/>
      <c r="GV2" s="60"/>
      <c r="GW2" s="60"/>
      <c r="GX2" s="60" t="s">
        <v>18</v>
      </c>
      <c r="GY2" s="60"/>
      <c r="GZ2" s="60"/>
      <c r="HA2" s="60"/>
      <c r="HB2" s="60"/>
      <c r="HC2" s="60" t="s">
        <v>71</v>
      </c>
      <c r="HD2" s="60"/>
      <c r="HE2" s="60"/>
      <c r="HF2" s="60"/>
      <c r="HG2" s="60"/>
      <c r="HH2" s="60" t="s">
        <v>21</v>
      </c>
      <c r="HI2" s="60"/>
      <c r="HJ2" s="60"/>
      <c r="HK2" s="60"/>
      <c r="HL2" s="60"/>
      <c r="HM2" s="13" t="s">
        <v>66</v>
      </c>
      <c r="HN2" s="13" t="s">
        <v>67</v>
      </c>
      <c r="HO2" s="13" t="s">
        <v>19</v>
      </c>
      <c r="HP2" s="13" t="s">
        <v>58</v>
      </c>
      <c r="HQ2" s="13" t="s">
        <v>68</v>
      </c>
      <c r="HR2" s="13" t="s">
        <v>20</v>
      </c>
      <c r="HS2" s="13" t="s">
        <v>22</v>
      </c>
      <c r="HT2" s="13" t="s">
        <v>72</v>
      </c>
      <c r="HU2" s="13" t="s">
        <v>73</v>
      </c>
      <c r="HV2" s="13" t="s">
        <v>71</v>
      </c>
      <c r="HW2" s="13" t="s">
        <v>69</v>
      </c>
      <c r="HX2" s="13" t="s">
        <v>70</v>
      </c>
      <c r="HY2" s="13" t="s">
        <v>21</v>
      </c>
      <c r="HZ2" s="13" t="s">
        <v>16</v>
      </c>
      <c r="IA2" s="55" t="s">
        <v>17</v>
      </c>
      <c r="IB2" s="55"/>
      <c r="IC2" s="55"/>
      <c r="ID2" s="55"/>
      <c r="IE2" s="55"/>
      <c r="IF2" s="55" t="s">
        <v>18</v>
      </c>
      <c r="IG2" s="55"/>
      <c r="IH2" s="55"/>
      <c r="II2" s="55"/>
      <c r="IJ2" s="55"/>
      <c r="IK2" s="55" t="s">
        <v>71</v>
      </c>
      <c r="IL2" s="55"/>
      <c r="IM2" s="55"/>
      <c r="IN2" s="55"/>
      <c r="IO2" s="55"/>
      <c r="IP2" s="55" t="s">
        <v>21</v>
      </c>
      <c r="IQ2" s="55"/>
      <c r="IR2" s="55"/>
      <c r="IS2" s="55"/>
      <c r="IT2" s="55"/>
      <c r="IU2" s="14" t="s">
        <v>66</v>
      </c>
      <c r="IV2" s="14" t="s">
        <v>67</v>
      </c>
      <c r="IW2" s="14" t="s">
        <v>19</v>
      </c>
      <c r="IX2" s="14" t="s">
        <v>58</v>
      </c>
      <c r="IY2" s="14" t="s">
        <v>68</v>
      </c>
      <c r="IZ2" s="14" t="s">
        <v>20</v>
      </c>
      <c r="JA2" s="14" t="s">
        <v>22</v>
      </c>
      <c r="JB2" s="14" t="s">
        <v>72</v>
      </c>
      <c r="JC2" s="14" t="s">
        <v>73</v>
      </c>
      <c r="JD2" s="14" t="s">
        <v>71</v>
      </c>
      <c r="JE2" s="14" t="s">
        <v>69</v>
      </c>
      <c r="JF2" s="14" t="s">
        <v>70</v>
      </c>
      <c r="JG2" s="14" t="s">
        <v>21</v>
      </c>
      <c r="JH2" s="14" t="s">
        <v>16</v>
      </c>
      <c r="JI2" s="60" t="s">
        <v>17</v>
      </c>
      <c r="JJ2" s="60"/>
      <c r="JK2" s="60"/>
      <c r="JL2" s="60"/>
      <c r="JM2" s="60"/>
      <c r="JN2" s="60" t="s">
        <v>18</v>
      </c>
      <c r="JO2" s="60"/>
      <c r="JP2" s="60"/>
      <c r="JQ2" s="60"/>
      <c r="JR2" s="60"/>
      <c r="JS2" s="60" t="s">
        <v>71</v>
      </c>
      <c r="JT2" s="60"/>
      <c r="JU2" s="60"/>
      <c r="JV2" s="60"/>
      <c r="JW2" s="60"/>
      <c r="JX2" s="60" t="s">
        <v>21</v>
      </c>
      <c r="JY2" s="60"/>
      <c r="JZ2" s="60"/>
      <c r="KA2" s="60"/>
      <c r="KB2" s="60"/>
      <c r="KC2" s="13" t="s">
        <v>66</v>
      </c>
      <c r="KD2" s="13" t="s">
        <v>67</v>
      </c>
      <c r="KE2" s="13" t="s">
        <v>19</v>
      </c>
      <c r="KF2" s="13" t="s">
        <v>58</v>
      </c>
      <c r="KG2" s="13" t="s">
        <v>68</v>
      </c>
      <c r="KH2" s="13" t="s">
        <v>20</v>
      </c>
      <c r="KI2" s="13" t="s">
        <v>22</v>
      </c>
      <c r="KJ2" s="13" t="s">
        <v>72</v>
      </c>
      <c r="KK2" s="13" t="s">
        <v>73</v>
      </c>
      <c r="KL2" s="13" t="s">
        <v>71</v>
      </c>
      <c r="KM2" s="13" t="s">
        <v>69</v>
      </c>
      <c r="KN2" s="13" t="s">
        <v>70</v>
      </c>
      <c r="KO2" s="13" t="s">
        <v>21</v>
      </c>
      <c r="KP2" s="13" t="s">
        <v>16</v>
      </c>
      <c r="KQ2" s="55" t="s">
        <v>17</v>
      </c>
      <c r="KR2" s="55"/>
      <c r="KS2" s="55"/>
      <c r="KT2" s="55"/>
      <c r="KU2" s="55"/>
      <c r="KV2" s="55" t="s">
        <v>18</v>
      </c>
      <c r="KW2" s="55"/>
      <c r="KX2" s="55"/>
      <c r="KY2" s="55"/>
      <c r="KZ2" s="55"/>
      <c r="LA2" s="55" t="s">
        <v>71</v>
      </c>
      <c r="LB2" s="55"/>
      <c r="LC2" s="55"/>
      <c r="LD2" s="55"/>
      <c r="LE2" s="55"/>
      <c r="LF2" s="55" t="s">
        <v>21</v>
      </c>
      <c r="LG2" s="55"/>
      <c r="LH2" s="55"/>
      <c r="LI2" s="55"/>
      <c r="LJ2" s="55"/>
      <c r="LK2" s="14" t="s">
        <v>66</v>
      </c>
      <c r="LL2" s="14" t="s">
        <v>67</v>
      </c>
      <c r="LM2" s="14" t="s">
        <v>19</v>
      </c>
      <c r="LN2" s="14" t="s">
        <v>58</v>
      </c>
      <c r="LO2" s="14" t="s">
        <v>68</v>
      </c>
      <c r="LP2" s="14" t="s">
        <v>20</v>
      </c>
      <c r="LQ2" s="14" t="s">
        <v>22</v>
      </c>
      <c r="LR2" s="14" t="s">
        <v>72</v>
      </c>
      <c r="LS2" s="14" t="s">
        <v>73</v>
      </c>
      <c r="LT2" s="14" t="s">
        <v>71</v>
      </c>
      <c r="LU2" s="14" t="s">
        <v>69</v>
      </c>
      <c r="LV2" s="14" t="s">
        <v>70</v>
      </c>
      <c r="LW2" s="14" t="s">
        <v>21</v>
      </c>
      <c r="LX2" s="14" t="s">
        <v>16</v>
      </c>
      <c r="LY2" s="60" t="s">
        <v>17</v>
      </c>
      <c r="LZ2" s="60"/>
      <c r="MA2" s="60"/>
      <c r="MB2" s="60"/>
      <c r="MC2" s="60"/>
      <c r="MD2" s="60" t="s">
        <v>18</v>
      </c>
      <c r="ME2" s="60"/>
      <c r="MF2" s="60"/>
      <c r="MG2" s="60"/>
      <c r="MH2" s="60"/>
      <c r="MI2" s="60" t="s">
        <v>71</v>
      </c>
      <c r="MJ2" s="60"/>
      <c r="MK2" s="60"/>
      <c r="ML2" s="60"/>
      <c r="MM2" s="60"/>
      <c r="MN2" s="60" t="s">
        <v>21</v>
      </c>
      <c r="MO2" s="60"/>
      <c r="MP2" s="60"/>
      <c r="MQ2" s="60"/>
      <c r="MR2" s="60"/>
      <c r="MS2" s="13" t="s">
        <v>66</v>
      </c>
      <c r="MT2" s="13" t="s">
        <v>67</v>
      </c>
      <c r="MU2" s="13" t="s">
        <v>19</v>
      </c>
      <c r="MV2" s="13" t="s">
        <v>58</v>
      </c>
      <c r="MW2" s="13" t="s">
        <v>68</v>
      </c>
      <c r="MX2" s="13" t="s">
        <v>20</v>
      </c>
      <c r="MY2" s="13" t="s">
        <v>22</v>
      </c>
      <c r="MZ2" s="13" t="s">
        <v>72</v>
      </c>
      <c r="NA2" s="13" t="s">
        <v>73</v>
      </c>
      <c r="NB2" s="13" t="s">
        <v>71</v>
      </c>
      <c r="NC2" s="13" t="s">
        <v>69</v>
      </c>
      <c r="ND2" s="13" t="s">
        <v>70</v>
      </c>
      <c r="NE2" s="13" t="s">
        <v>21</v>
      </c>
      <c r="NF2" s="13" t="s">
        <v>16</v>
      </c>
      <c r="NG2" s="55" t="s">
        <v>17</v>
      </c>
      <c r="NH2" s="55"/>
      <c r="NI2" s="55"/>
      <c r="NJ2" s="55"/>
      <c r="NK2" s="55"/>
      <c r="NL2" s="55" t="s">
        <v>18</v>
      </c>
      <c r="NM2" s="55"/>
      <c r="NN2" s="55"/>
      <c r="NO2" s="55"/>
      <c r="NP2" s="55"/>
      <c r="NQ2" s="55" t="s">
        <v>71</v>
      </c>
      <c r="NR2" s="55"/>
      <c r="NS2" s="55"/>
      <c r="NT2" s="55"/>
      <c r="NU2" s="55"/>
      <c r="NV2" s="55" t="s">
        <v>21</v>
      </c>
      <c r="NW2" s="55"/>
      <c r="NX2" s="55"/>
      <c r="NY2" s="55"/>
      <c r="NZ2" s="55"/>
      <c r="OA2" s="14" t="s">
        <v>66</v>
      </c>
      <c r="OB2" s="14" t="s">
        <v>67</v>
      </c>
      <c r="OC2" s="14" t="s">
        <v>19</v>
      </c>
      <c r="OD2" s="14" t="s">
        <v>58</v>
      </c>
      <c r="OE2" s="14" t="s">
        <v>68</v>
      </c>
      <c r="OF2" s="14" t="s">
        <v>20</v>
      </c>
      <c r="OG2" s="14" t="s">
        <v>22</v>
      </c>
      <c r="OH2" s="14" t="s">
        <v>72</v>
      </c>
      <c r="OI2" s="14" t="s">
        <v>73</v>
      </c>
      <c r="OJ2" s="14" t="s">
        <v>71</v>
      </c>
      <c r="OK2" s="14" t="s">
        <v>69</v>
      </c>
      <c r="OL2" s="14" t="s">
        <v>70</v>
      </c>
      <c r="OM2" s="14" t="s">
        <v>21</v>
      </c>
      <c r="ON2" s="14" t="s">
        <v>16</v>
      </c>
      <c r="OO2" s="60" t="s">
        <v>17</v>
      </c>
      <c r="OP2" s="60"/>
      <c r="OQ2" s="60"/>
      <c r="OR2" s="60"/>
      <c r="OS2" s="60"/>
      <c r="OT2" s="60" t="s">
        <v>18</v>
      </c>
      <c r="OU2" s="60"/>
      <c r="OV2" s="60"/>
      <c r="OW2" s="60"/>
      <c r="OX2" s="60"/>
      <c r="OY2" s="60" t="s">
        <v>71</v>
      </c>
      <c r="OZ2" s="60"/>
      <c r="PA2" s="60"/>
      <c r="PB2" s="60"/>
      <c r="PC2" s="60"/>
      <c r="PD2" s="60" t="s">
        <v>21</v>
      </c>
      <c r="PE2" s="60"/>
      <c r="PF2" s="60"/>
      <c r="PG2" s="60"/>
      <c r="PH2" s="60"/>
      <c r="PI2" s="13" t="s">
        <v>66</v>
      </c>
      <c r="PJ2" s="13" t="s">
        <v>67</v>
      </c>
      <c r="PK2" s="13" t="s">
        <v>19</v>
      </c>
      <c r="PL2" s="13" t="s">
        <v>58</v>
      </c>
      <c r="PM2" s="13" t="s">
        <v>68</v>
      </c>
      <c r="PN2" s="13" t="s">
        <v>20</v>
      </c>
      <c r="PO2" s="13" t="s">
        <v>22</v>
      </c>
      <c r="PP2" s="13" t="s">
        <v>72</v>
      </c>
      <c r="PQ2" s="13" t="s">
        <v>73</v>
      </c>
      <c r="PR2" s="13" t="s">
        <v>71</v>
      </c>
      <c r="PS2" s="13" t="s">
        <v>69</v>
      </c>
      <c r="PT2" s="13" t="s">
        <v>70</v>
      </c>
      <c r="PU2" s="13" t="s">
        <v>21</v>
      </c>
      <c r="PV2" s="13" t="s">
        <v>16</v>
      </c>
      <c r="PW2" s="55" t="s">
        <v>17</v>
      </c>
      <c r="PX2" s="55"/>
      <c r="PY2" s="55"/>
      <c r="PZ2" s="55"/>
      <c r="QA2" s="55"/>
      <c r="QB2" s="55" t="s">
        <v>18</v>
      </c>
      <c r="QC2" s="55"/>
      <c r="QD2" s="55"/>
      <c r="QE2" s="55"/>
      <c r="QF2" s="55"/>
      <c r="QG2" s="55" t="s">
        <v>71</v>
      </c>
      <c r="QH2" s="55"/>
      <c r="QI2" s="55"/>
      <c r="QJ2" s="55"/>
      <c r="QK2" s="55"/>
      <c r="QL2" s="55" t="s">
        <v>21</v>
      </c>
      <c r="QM2" s="55"/>
      <c r="QN2" s="55"/>
      <c r="QO2" s="55"/>
      <c r="QP2" s="55"/>
      <c r="QQ2" s="14" t="s">
        <v>66</v>
      </c>
      <c r="QR2" s="14" t="s">
        <v>67</v>
      </c>
      <c r="QS2" s="14" t="s">
        <v>19</v>
      </c>
      <c r="QT2" s="14" t="s">
        <v>58</v>
      </c>
      <c r="QU2" s="14" t="s">
        <v>68</v>
      </c>
      <c r="QV2" s="14" t="s">
        <v>20</v>
      </c>
      <c r="QW2" s="14" t="s">
        <v>22</v>
      </c>
      <c r="QX2" s="14" t="s">
        <v>72</v>
      </c>
      <c r="QY2" s="14" t="s">
        <v>73</v>
      </c>
      <c r="QZ2" s="14" t="s">
        <v>71</v>
      </c>
      <c r="RA2" s="14" t="s">
        <v>69</v>
      </c>
      <c r="RB2" s="14" t="s">
        <v>70</v>
      </c>
      <c r="RC2" s="14" t="s">
        <v>21</v>
      </c>
      <c r="RD2" s="14" t="s">
        <v>16</v>
      </c>
      <c r="RE2" s="60" t="s">
        <v>17</v>
      </c>
      <c r="RF2" s="60"/>
      <c r="RG2" s="60"/>
      <c r="RH2" s="60"/>
      <c r="RI2" s="60"/>
      <c r="RJ2" s="60" t="s">
        <v>18</v>
      </c>
      <c r="RK2" s="60"/>
      <c r="RL2" s="60"/>
      <c r="RM2" s="60"/>
      <c r="RN2" s="60"/>
      <c r="RO2" s="60" t="s">
        <v>71</v>
      </c>
      <c r="RP2" s="60"/>
      <c r="RQ2" s="60"/>
      <c r="RR2" s="60"/>
      <c r="RS2" s="60"/>
      <c r="RT2" s="60" t="s">
        <v>21</v>
      </c>
      <c r="RU2" s="60"/>
      <c r="RV2" s="60"/>
      <c r="RW2" s="60"/>
      <c r="RX2" s="60"/>
      <c r="RY2" s="13" t="s">
        <v>66</v>
      </c>
      <c r="RZ2" s="13" t="s">
        <v>67</v>
      </c>
      <c r="SA2" s="13" t="s">
        <v>19</v>
      </c>
      <c r="SB2" s="13" t="s">
        <v>58</v>
      </c>
      <c r="SC2" s="13" t="s">
        <v>68</v>
      </c>
      <c r="SD2" s="13" t="s">
        <v>20</v>
      </c>
      <c r="SE2" s="13" t="s">
        <v>22</v>
      </c>
      <c r="SF2" s="13" t="s">
        <v>72</v>
      </c>
      <c r="SG2" s="13" t="s">
        <v>73</v>
      </c>
      <c r="SH2" s="13" t="s">
        <v>71</v>
      </c>
      <c r="SI2" s="13" t="s">
        <v>69</v>
      </c>
      <c r="SJ2" s="13" t="s">
        <v>70</v>
      </c>
      <c r="SK2" s="13" t="s">
        <v>21</v>
      </c>
      <c r="SL2" s="13" t="s">
        <v>16</v>
      </c>
      <c r="SM2" s="55" t="s">
        <v>17</v>
      </c>
      <c r="SN2" s="55"/>
      <c r="SO2" s="55"/>
      <c r="SP2" s="55"/>
      <c r="SQ2" s="55"/>
      <c r="SR2" s="55" t="s">
        <v>18</v>
      </c>
      <c r="SS2" s="55"/>
      <c r="ST2" s="55"/>
      <c r="SU2" s="55"/>
      <c r="SV2" s="55"/>
      <c r="SW2" s="55" t="s">
        <v>71</v>
      </c>
      <c r="SX2" s="55"/>
      <c r="SY2" s="55"/>
      <c r="SZ2" s="55"/>
      <c r="TA2" s="55"/>
      <c r="TB2" s="55" t="s">
        <v>21</v>
      </c>
      <c r="TC2" s="55"/>
      <c r="TD2" s="55"/>
      <c r="TE2" s="55"/>
      <c r="TF2" s="55"/>
      <c r="TG2" s="14" t="s">
        <v>66</v>
      </c>
      <c r="TH2" s="14" t="s">
        <v>67</v>
      </c>
      <c r="TI2" s="14" t="s">
        <v>19</v>
      </c>
      <c r="TJ2" s="14" t="s">
        <v>58</v>
      </c>
      <c r="TK2" s="14" t="s">
        <v>68</v>
      </c>
      <c r="TL2" s="14" t="s">
        <v>20</v>
      </c>
      <c r="TM2" s="14" t="s">
        <v>22</v>
      </c>
      <c r="TN2" s="14" t="s">
        <v>72</v>
      </c>
      <c r="TO2" s="14" t="s">
        <v>73</v>
      </c>
      <c r="TP2" s="14" t="s">
        <v>71</v>
      </c>
      <c r="TQ2" s="14" t="s">
        <v>69</v>
      </c>
      <c r="TR2" s="14" t="s">
        <v>70</v>
      </c>
      <c r="TS2" s="14" t="s">
        <v>21</v>
      </c>
      <c r="TT2" s="14" t="s">
        <v>16</v>
      </c>
      <c r="TU2" s="60" t="s">
        <v>17</v>
      </c>
      <c r="TV2" s="60"/>
      <c r="TW2" s="60"/>
      <c r="TX2" s="60"/>
      <c r="TY2" s="60"/>
      <c r="TZ2" s="60" t="s">
        <v>18</v>
      </c>
      <c r="UA2" s="60"/>
      <c r="UB2" s="60"/>
      <c r="UC2" s="60"/>
      <c r="UD2" s="60"/>
      <c r="UE2" s="60" t="s">
        <v>71</v>
      </c>
      <c r="UF2" s="60"/>
      <c r="UG2" s="60"/>
      <c r="UH2" s="60"/>
      <c r="UI2" s="60"/>
      <c r="UJ2" s="60" t="s">
        <v>21</v>
      </c>
      <c r="UK2" s="60"/>
      <c r="UL2" s="60"/>
      <c r="UM2" s="60"/>
      <c r="UN2" s="60"/>
      <c r="UO2" s="13" t="s">
        <v>66</v>
      </c>
      <c r="UP2" s="13" t="s">
        <v>67</v>
      </c>
      <c r="UQ2" s="13" t="s">
        <v>19</v>
      </c>
      <c r="UR2" s="13" t="s">
        <v>58</v>
      </c>
      <c r="US2" s="13" t="s">
        <v>68</v>
      </c>
      <c r="UT2" s="13" t="s">
        <v>20</v>
      </c>
      <c r="UU2" s="13" t="s">
        <v>22</v>
      </c>
      <c r="UV2" s="13" t="s">
        <v>72</v>
      </c>
      <c r="UW2" s="13" t="s">
        <v>73</v>
      </c>
      <c r="UX2" s="13" t="s">
        <v>71</v>
      </c>
      <c r="UY2" s="13" t="s">
        <v>69</v>
      </c>
      <c r="UZ2" s="13" t="s">
        <v>70</v>
      </c>
      <c r="VA2" s="13" t="s">
        <v>21</v>
      </c>
      <c r="VB2" s="13" t="s">
        <v>16</v>
      </c>
      <c r="VC2" s="55" t="s">
        <v>17</v>
      </c>
      <c r="VD2" s="55"/>
      <c r="VE2" s="55"/>
      <c r="VF2" s="55"/>
      <c r="VG2" s="55"/>
      <c r="VH2" s="55" t="s">
        <v>18</v>
      </c>
      <c r="VI2" s="55"/>
      <c r="VJ2" s="55"/>
      <c r="VK2" s="55"/>
      <c r="VL2" s="55"/>
      <c r="VM2" s="55" t="s">
        <v>71</v>
      </c>
      <c r="VN2" s="55"/>
      <c r="VO2" s="55"/>
      <c r="VP2" s="55"/>
      <c r="VQ2" s="55"/>
      <c r="VR2" s="55" t="s">
        <v>21</v>
      </c>
      <c r="VS2" s="55"/>
      <c r="VT2" s="55"/>
      <c r="VU2" s="55"/>
      <c r="VV2" s="55"/>
      <c r="VW2" s="14" t="s">
        <v>66</v>
      </c>
      <c r="VX2" s="14" t="s">
        <v>67</v>
      </c>
      <c r="VY2" s="14" t="s">
        <v>19</v>
      </c>
      <c r="VZ2" s="14" t="s">
        <v>58</v>
      </c>
      <c r="WA2" s="14" t="s">
        <v>68</v>
      </c>
      <c r="WB2" s="14" t="s">
        <v>20</v>
      </c>
      <c r="WC2" s="14" t="s">
        <v>22</v>
      </c>
      <c r="WD2" s="14" t="s">
        <v>72</v>
      </c>
      <c r="WE2" s="14" t="s">
        <v>73</v>
      </c>
      <c r="WF2" s="14" t="s">
        <v>71</v>
      </c>
      <c r="WG2" s="14" t="s">
        <v>69</v>
      </c>
      <c r="WH2" s="14" t="s">
        <v>70</v>
      </c>
      <c r="WI2" s="14" t="s">
        <v>21</v>
      </c>
      <c r="WJ2" s="14" t="s">
        <v>16</v>
      </c>
    </row>
    <row r="3" spans="1:608" x14ac:dyDescent="0.2">
      <c r="A3" s="57"/>
      <c r="B3" s="57"/>
      <c r="C3" s="57"/>
      <c r="D3" s="57"/>
      <c r="E3" s="57"/>
      <c r="F3" s="58"/>
      <c r="G3" s="57"/>
      <c r="H3" s="57"/>
      <c r="I3" s="57"/>
      <c r="J3" s="53"/>
      <c r="K3" s="52"/>
      <c r="L3" s="53"/>
      <c r="M3" s="52"/>
      <c r="N3" s="59"/>
      <c r="O3" s="52"/>
      <c r="P3" s="52"/>
      <c r="Q3" s="14" t="s">
        <v>13</v>
      </c>
      <c r="R3" s="14" t="s">
        <v>14</v>
      </c>
      <c r="S3" s="14" t="s">
        <v>8</v>
      </c>
      <c r="T3" s="14" t="s">
        <v>15</v>
      </c>
      <c r="U3" s="14" t="s">
        <v>27</v>
      </c>
      <c r="V3" s="14" t="s">
        <v>13</v>
      </c>
      <c r="W3" s="14" t="s">
        <v>14</v>
      </c>
      <c r="X3" s="14" t="s">
        <v>8</v>
      </c>
      <c r="Y3" s="14" t="s">
        <v>15</v>
      </c>
      <c r="Z3" s="14" t="s">
        <v>27</v>
      </c>
      <c r="AA3" s="14" t="s">
        <v>13</v>
      </c>
      <c r="AB3" s="14" t="s">
        <v>14</v>
      </c>
      <c r="AC3" s="14" t="s">
        <v>8</v>
      </c>
      <c r="AD3" s="14" t="s">
        <v>15</v>
      </c>
      <c r="AE3" s="14" t="s">
        <v>27</v>
      </c>
      <c r="AF3" s="14" t="s">
        <v>41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13</v>
      </c>
      <c r="AS3" s="13" t="s">
        <v>14</v>
      </c>
      <c r="AT3" s="13" t="s">
        <v>8</v>
      </c>
      <c r="AU3" s="13" t="s">
        <v>15</v>
      </c>
      <c r="AV3" s="13" t="s">
        <v>27</v>
      </c>
      <c r="AW3" s="13" t="s">
        <v>13</v>
      </c>
      <c r="AX3" s="13" t="s">
        <v>14</v>
      </c>
      <c r="AY3" s="13" t="s">
        <v>8</v>
      </c>
      <c r="AZ3" s="13" t="s">
        <v>15</v>
      </c>
      <c r="BA3" s="13" t="s">
        <v>27</v>
      </c>
      <c r="BB3" s="13" t="s">
        <v>13</v>
      </c>
      <c r="BC3" s="13" t="s">
        <v>14</v>
      </c>
      <c r="BD3" s="13" t="s">
        <v>8</v>
      </c>
      <c r="BE3" s="13" t="s">
        <v>15</v>
      </c>
      <c r="BF3" s="13" t="s">
        <v>27</v>
      </c>
      <c r="BG3" s="13" t="s">
        <v>41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13</v>
      </c>
      <c r="BT3" s="14" t="s">
        <v>14</v>
      </c>
      <c r="BU3" s="14" t="s">
        <v>8</v>
      </c>
      <c r="BV3" s="14" t="s">
        <v>15</v>
      </c>
      <c r="BW3" s="14" t="s">
        <v>27</v>
      </c>
      <c r="BX3" s="14" t="s">
        <v>13</v>
      </c>
      <c r="BY3" s="14" t="s">
        <v>14</v>
      </c>
      <c r="BZ3" s="14" t="s">
        <v>8</v>
      </c>
      <c r="CA3" s="14" t="s">
        <v>15</v>
      </c>
      <c r="CB3" s="14" t="s">
        <v>27</v>
      </c>
      <c r="CC3" s="14" t="s">
        <v>13</v>
      </c>
      <c r="CD3" s="14" t="s">
        <v>14</v>
      </c>
      <c r="CE3" s="14" t="s">
        <v>8</v>
      </c>
      <c r="CF3" s="14" t="s">
        <v>15</v>
      </c>
      <c r="CG3" s="14" t="s">
        <v>27</v>
      </c>
      <c r="CH3" s="14" t="s">
        <v>41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46"/>
      <c r="CU3" s="14" t="s">
        <v>13</v>
      </c>
      <c r="CV3" s="14" t="s">
        <v>14</v>
      </c>
      <c r="CW3" s="14" t="s">
        <v>8</v>
      </c>
      <c r="CX3" s="14" t="s">
        <v>15</v>
      </c>
      <c r="CY3" s="14" t="s">
        <v>27</v>
      </c>
      <c r="CZ3" s="14" t="s">
        <v>13</v>
      </c>
      <c r="DA3" s="14" t="s">
        <v>14</v>
      </c>
      <c r="DB3" s="14" t="s">
        <v>8</v>
      </c>
      <c r="DC3" s="14" t="s">
        <v>15</v>
      </c>
      <c r="DD3" s="14" t="s">
        <v>27</v>
      </c>
      <c r="DE3" s="14" t="s">
        <v>13</v>
      </c>
      <c r="DF3" s="14" t="s">
        <v>14</v>
      </c>
      <c r="DG3" s="14" t="s">
        <v>8</v>
      </c>
      <c r="DH3" s="14" t="s">
        <v>15</v>
      </c>
      <c r="DI3" s="14" t="s">
        <v>27</v>
      </c>
      <c r="DJ3" s="14" t="s">
        <v>13</v>
      </c>
      <c r="DK3" s="14" t="s">
        <v>14</v>
      </c>
      <c r="DL3" s="14" t="s">
        <v>8</v>
      </c>
      <c r="DM3" s="14" t="s">
        <v>15</v>
      </c>
      <c r="DN3" s="14" t="s">
        <v>27</v>
      </c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14"/>
      <c r="EC3" s="13" t="s">
        <v>13</v>
      </c>
      <c r="ED3" s="13" t="s">
        <v>14</v>
      </c>
      <c r="EE3" s="13" t="s">
        <v>8</v>
      </c>
      <c r="EF3" s="13" t="s">
        <v>15</v>
      </c>
      <c r="EG3" s="13" t="s">
        <v>27</v>
      </c>
      <c r="EH3" s="13" t="s">
        <v>13</v>
      </c>
      <c r="EI3" s="13" t="s">
        <v>14</v>
      </c>
      <c r="EJ3" s="13" t="s">
        <v>8</v>
      </c>
      <c r="EK3" s="13" t="s">
        <v>15</v>
      </c>
      <c r="EL3" s="13" t="s">
        <v>27</v>
      </c>
      <c r="EM3" s="13" t="s">
        <v>13</v>
      </c>
      <c r="EN3" s="13" t="s">
        <v>14</v>
      </c>
      <c r="EO3" s="13" t="s">
        <v>8</v>
      </c>
      <c r="EP3" s="13" t="s">
        <v>15</v>
      </c>
      <c r="EQ3" s="13" t="s">
        <v>27</v>
      </c>
      <c r="ER3" s="13" t="s">
        <v>13</v>
      </c>
      <c r="ES3" s="13" t="s">
        <v>14</v>
      </c>
      <c r="ET3" s="13" t="s">
        <v>8</v>
      </c>
      <c r="EU3" s="13" t="s">
        <v>15</v>
      </c>
      <c r="EV3" s="13" t="s">
        <v>27</v>
      </c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13"/>
      <c r="FK3" s="14" t="s">
        <v>13</v>
      </c>
      <c r="FL3" s="14" t="s">
        <v>14</v>
      </c>
      <c r="FM3" s="14" t="s">
        <v>8</v>
      </c>
      <c r="FN3" s="14" t="s">
        <v>15</v>
      </c>
      <c r="FO3" s="14" t="s">
        <v>27</v>
      </c>
      <c r="FP3" s="14" t="s">
        <v>13</v>
      </c>
      <c r="FQ3" s="14" t="s">
        <v>14</v>
      </c>
      <c r="FR3" s="14" t="s">
        <v>8</v>
      </c>
      <c r="FS3" s="14" t="s">
        <v>15</v>
      </c>
      <c r="FT3" s="14" t="s">
        <v>27</v>
      </c>
      <c r="FU3" s="14" t="s">
        <v>13</v>
      </c>
      <c r="FV3" s="14" t="s">
        <v>14</v>
      </c>
      <c r="FW3" s="14" t="s">
        <v>8</v>
      </c>
      <c r="FX3" s="14" t="s">
        <v>15</v>
      </c>
      <c r="FY3" s="14" t="s">
        <v>27</v>
      </c>
      <c r="FZ3" s="14" t="s">
        <v>13</v>
      </c>
      <c r="GA3" s="14" t="s">
        <v>14</v>
      </c>
      <c r="GB3" s="14" t="s">
        <v>8</v>
      </c>
      <c r="GC3" s="14" t="s">
        <v>15</v>
      </c>
      <c r="GD3" s="14" t="s">
        <v>27</v>
      </c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14"/>
      <c r="GS3" s="13" t="s">
        <v>13</v>
      </c>
      <c r="GT3" s="13" t="s">
        <v>14</v>
      </c>
      <c r="GU3" s="13" t="s">
        <v>8</v>
      </c>
      <c r="GV3" s="13" t="s">
        <v>15</v>
      </c>
      <c r="GW3" s="13" t="s">
        <v>27</v>
      </c>
      <c r="GX3" s="13" t="s">
        <v>13</v>
      </c>
      <c r="GY3" s="13" t="s">
        <v>14</v>
      </c>
      <c r="GZ3" s="13" t="s">
        <v>8</v>
      </c>
      <c r="HA3" s="13" t="s">
        <v>15</v>
      </c>
      <c r="HB3" s="13" t="s">
        <v>27</v>
      </c>
      <c r="HC3" s="13" t="s">
        <v>13</v>
      </c>
      <c r="HD3" s="13" t="s">
        <v>14</v>
      </c>
      <c r="HE3" s="13" t="s">
        <v>8</v>
      </c>
      <c r="HF3" s="13" t="s">
        <v>15</v>
      </c>
      <c r="HG3" s="13" t="s">
        <v>27</v>
      </c>
      <c r="HH3" s="13" t="s">
        <v>13</v>
      </c>
      <c r="HI3" s="13" t="s">
        <v>14</v>
      </c>
      <c r="HJ3" s="13" t="s">
        <v>8</v>
      </c>
      <c r="HK3" s="13" t="s">
        <v>15</v>
      </c>
      <c r="HL3" s="13" t="s">
        <v>27</v>
      </c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13"/>
      <c r="IA3" s="14" t="s">
        <v>13</v>
      </c>
      <c r="IB3" s="14" t="s">
        <v>14</v>
      </c>
      <c r="IC3" s="14" t="s">
        <v>8</v>
      </c>
      <c r="ID3" s="14" t="s">
        <v>15</v>
      </c>
      <c r="IE3" s="14" t="s">
        <v>27</v>
      </c>
      <c r="IF3" s="14" t="s">
        <v>13</v>
      </c>
      <c r="IG3" s="14" t="s">
        <v>14</v>
      </c>
      <c r="IH3" s="14" t="s">
        <v>8</v>
      </c>
      <c r="II3" s="14" t="s">
        <v>15</v>
      </c>
      <c r="IJ3" s="14" t="s">
        <v>27</v>
      </c>
      <c r="IK3" s="14" t="s">
        <v>13</v>
      </c>
      <c r="IL3" s="14" t="s">
        <v>14</v>
      </c>
      <c r="IM3" s="14" t="s">
        <v>8</v>
      </c>
      <c r="IN3" s="14" t="s">
        <v>15</v>
      </c>
      <c r="IO3" s="14" t="s">
        <v>27</v>
      </c>
      <c r="IP3" s="14" t="s">
        <v>13</v>
      </c>
      <c r="IQ3" s="14" t="s">
        <v>14</v>
      </c>
      <c r="IR3" s="14" t="s">
        <v>8</v>
      </c>
      <c r="IS3" s="14" t="s">
        <v>15</v>
      </c>
      <c r="IT3" s="14" t="s">
        <v>27</v>
      </c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14"/>
      <c r="JI3" s="13" t="s">
        <v>13</v>
      </c>
      <c r="JJ3" s="13" t="s">
        <v>14</v>
      </c>
      <c r="JK3" s="13" t="s">
        <v>8</v>
      </c>
      <c r="JL3" s="13" t="s">
        <v>15</v>
      </c>
      <c r="JM3" s="13" t="s">
        <v>27</v>
      </c>
      <c r="JN3" s="13" t="s">
        <v>13</v>
      </c>
      <c r="JO3" s="13" t="s">
        <v>14</v>
      </c>
      <c r="JP3" s="13" t="s">
        <v>8</v>
      </c>
      <c r="JQ3" s="13" t="s">
        <v>15</v>
      </c>
      <c r="JR3" s="13" t="s">
        <v>27</v>
      </c>
      <c r="JS3" s="13" t="s">
        <v>13</v>
      </c>
      <c r="JT3" s="13" t="s">
        <v>14</v>
      </c>
      <c r="JU3" s="13" t="s">
        <v>8</v>
      </c>
      <c r="JV3" s="13" t="s">
        <v>15</v>
      </c>
      <c r="JW3" s="13" t="s">
        <v>27</v>
      </c>
      <c r="JX3" s="13" t="s">
        <v>13</v>
      </c>
      <c r="JY3" s="13" t="s">
        <v>14</v>
      </c>
      <c r="JZ3" s="13" t="s">
        <v>8</v>
      </c>
      <c r="KA3" s="13" t="s">
        <v>15</v>
      </c>
      <c r="KB3" s="13" t="s">
        <v>27</v>
      </c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14" t="s">
        <v>13</v>
      </c>
      <c r="KR3" s="14" t="s">
        <v>14</v>
      </c>
      <c r="KS3" s="14" t="s">
        <v>8</v>
      </c>
      <c r="KT3" s="14" t="s">
        <v>15</v>
      </c>
      <c r="KU3" s="14" t="s">
        <v>27</v>
      </c>
      <c r="KV3" s="14" t="s">
        <v>13</v>
      </c>
      <c r="KW3" s="14" t="s">
        <v>14</v>
      </c>
      <c r="KX3" s="14" t="s">
        <v>8</v>
      </c>
      <c r="KY3" s="14" t="s">
        <v>15</v>
      </c>
      <c r="KZ3" s="14" t="s">
        <v>27</v>
      </c>
      <c r="LA3" s="14" t="s">
        <v>13</v>
      </c>
      <c r="LB3" s="14" t="s">
        <v>14</v>
      </c>
      <c r="LC3" s="14" t="s">
        <v>8</v>
      </c>
      <c r="LD3" s="14" t="s">
        <v>15</v>
      </c>
      <c r="LE3" s="14" t="s">
        <v>27</v>
      </c>
      <c r="LF3" s="14" t="s">
        <v>13</v>
      </c>
      <c r="LG3" s="14" t="s">
        <v>14</v>
      </c>
      <c r="LH3" s="14" t="s">
        <v>8</v>
      </c>
      <c r="LI3" s="14" t="s">
        <v>15</v>
      </c>
      <c r="LJ3" s="14" t="s">
        <v>27</v>
      </c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13" t="s">
        <v>13</v>
      </c>
      <c r="LZ3" s="13" t="s">
        <v>14</v>
      </c>
      <c r="MA3" s="13" t="s">
        <v>8</v>
      </c>
      <c r="MB3" s="13" t="s">
        <v>15</v>
      </c>
      <c r="MC3" s="13" t="s">
        <v>27</v>
      </c>
      <c r="MD3" s="13" t="s">
        <v>13</v>
      </c>
      <c r="ME3" s="13" t="s">
        <v>14</v>
      </c>
      <c r="MF3" s="13" t="s">
        <v>8</v>
      </c>
      <c r="MG3" s="13" t="s">
        <v>15</v>
      </c>
      <c r="MH3" s="13" t="s">
        <v>27</v>
      </c>
      <c r="MI3" s="13" t="s">
        <v>13</v>
      </c>
      <c r="MJ3" s="13" t="s">
        <v>14</v>
      </c>
      <c r="MK3" s="13" t="s">
        <v>8</v>
      </c>
      <c r="ML3" s="13" t="s">
        <v>15</v>
      </c>
      <c r="MM3" s="13" t="s">
        <v>27</v>
      </c>
      <c r="MN3" s="13" t="s">
        <v>13</v>
      </c>
      <c r="MO3" s="13" t="s">
        <v>14</v>
      </c>
      <c r="MP3" s="13" t="s">
        <v>8</v>
      </c>
      <c r="MQ3" s="13" t="s">
        <v>15</v>
      </c>
      <c r="MR3" s="13" t="s">
        <v>27</v>
      </c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14" t="s">
        <v>13</v>
      </c>
      <c r="NH3" s="14" t="s">
        <v>14</v>
      </c>
      <c r="NI3" s="14" t="s">
        <v>8</v>
      </c>
      <c r="NJ3" s="14" t="s">
        <v>15</v>
      </c>
      <c r="NK3" s="14" t="s">
        <v>27</v>
      </c>
      <c r="NL3" s="14" t="s">
        <v>13</v>
      </c>
      <c r="NM3" s="14" t="s">
        <v>14</v>
      </c>
      <c r="NN3" s="14" t="s">
        <v>8</v>
      </c>
      <c r="NO3" s="14" t="s">
        <v>15</v>
      </c>
      <c r="NP3" s="14" t="s">
        <v>27</v>
      </c>
      <c r="NQ3" s="14" t="s">
        <v>13</v>
      </c>
      <c r="NR3" s="14" t="s">
        <v>14</v>
      </c>
      <c r="NS3" s="14" t="s">
        <v>8</v>
      </c>
      <c r="NT3" s="14" t="s">
        <v>15</v>
      </c>
      <c r="NU3" s="14" t="s">
        <v>27</v>
      </c>
      <c r="NV3" s="14" t="s">
        <v>13</v>
      </c>
      <c r="NW3" s="14" t="s">
        <v>14</v>
      </c>
      <c r="NX3" s="14" t="s">
        <v>8</v>
      </c>
      <c r="NY3" s="14" t="s">
        <v>15</v>
      </c>
      <c r="NZ3" s="14" t="s">
        <v>27</v>
      </c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13" t="s">
        <v>13</v>
      </c>
      <c r="OP3" s="13" t="s">
        <v>14</v>
      </c>
      <c r="OQ3" s="13" t="s">
        <v>8</v>
      </c>
      <c r="OR3" s="13" t="s">
        <v>15</v>
      </c>
      <c r="OS3" s="13" t="s">
        <v>27</v>
      </c>
      <c r="OT3" s="13" t="s">
        <v>13</v>
      </c>
      <c r="OU3" s="13" t="s">
        <v>14</v>
      </c>
      <c r="OV3" s="13" t="s">
        <v>8</v>
      </c>
      <c r="OW3" s="13" t="s">
        <v>15</v>
      </c>
      <c r="OX3" s="13" t="s">
        <v>27</v>
      </c>
      <c r="OY3" s="13" t="s">
        <v>13</v>
      </c>
      <c r="OZ3" s="13" t="s">
        <v>14</v>
      </c>
      <c r="PA3" s="13" t="s">
        <v>8</v>
      </c>
      <c r="PB3" s="13" t="s">
        <v>15</v>
      </c>
      <c r="PC3" s="13" t="s">
        <v>27</v>
      </c>
      <c r="PD3" s="13" t="s">
        <v>13</v>
      </c>
      <c r="PE3" s="13" t="s">
        <v>14</v>
      </c>
      <c r="PF3" s="13" t="s">
        <v>8</v>
      </c>
      <c r="PG3" s="13" t="s">
        <v>15</v>
      </c>
      <c r="PH3" s="13" t="s">
        <v>27</v>
      </c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14" t="s">
        <v>13</v>
      </c>
      <c r="PX3" s="14" t="s">
        <v>14</v>
      </c>
      <c r="PY3" s="14" t="s">
        <v>8</v>
      </c>
      <c r="PZ3" s="14" t="s">
        <v>15</v>
      </c>
      <c r="QA3" s="14" t="s">
        <v>27</v>
      </c>
      <c r="QB3" s="14" t="s">
        <v>13</v>
      </c>
      <c r="QC3" s="14" t="s">
        <v>14</v>
      </c>
      <c r="QD3" s="14" t="s">
        <v>8</v>
      </c>
      <c r="QE3" s="14" t="s">
        <v>15</v>
      </c>
      <c r="QF3" s="14" t="s">
        <v>27</v>
      </c>
      <c r="QG3" s="14" t="s">
        <v>13</v>
      </c>
      <c r="QH3" s="14" t="s">
        <v>14</v>
      </c>
      <c r="QI3" s="14" t="s">
        <v>8</v>
      </c>
      <c r="QJ3" s="14" t="s">
        <v>15</v>
      </c>
      <c r="QK3" s="14" t="s">
        <v>27</v>
      </c>
      <c r="QL3" s="14" t="s">
        <v>13</v>
      </c>
      <c r="QM3" s="14" t="s">
        <v>14</v>
      </c>
      <c r="QN3" s="14" t="s">
        <v>8</v>
      </c>
      <c r="QO3" s="14" t="s">
        <v>15</v>
      </c>
      <c r="QP3" s="14" t="s">
        <v>27</v>
      </c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13" t="s">
        <v>13</v>
      </c>
      <c r="RF3" s="13" t="s">
        <v>14</v>
      </c>
      <c r="RG3" s="13" t="s">
        <v>8</v>
      </c>
      <c r="RH3" s="13" t="s">
        <v>15</v>
      </c>
      <c r="RI3" s="13" t="s">
        <v>27</v>
      </c>
      <c r="RJ3" s="13" t="s">
        <v>13</v>
      </c>
      <c r="RK3" s="13" t="s">
        <v>14</v>
      </c>
      <c r="RL3" s="13" t="s">
        <v>8</v>
      </c>
      <c r="RM3" s="13" t="s">
        <v>15</v>
      </c>
      <c r="RN3" s="13" t="s">
        <v>27</v>
      </c>
      <c r="RO3" s="13" t="s">
        <v>13</v>
      </c>
      <c r="RP3" s="13" t="s">
        <v>14</v>
      </c>
      <c r="RQ3" s="13" t="s">
        <v>8</v>
      </c>
      <c r="RR3" s="13" t="s">
        <v>15</v>
      </c>
      <c r="RS3" s="13" t="s">
        <v>27</v>
      </c>
      <c r="RT3" s="13" t="s">
        <v>13</v>
      </c>
      <c r="RU3" s="13" t="s">
        <v>14</v>
      </c>
      <c r="RV3" s="13" t="s">
        <v>8</v>
      </c>
      <c r="RW3" s="13" t="s">
        <v>15</v>
      </c>
      <c r="RX3" s="13" t="s">
        <v>27</v>
      </c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14" t="s">
        <v>13</v>
      </c>
      <c r="SN3" s="14" t="s">
        <v>14</v>
      </c>
      <c r="SO3" s="14" t="s">
        <v>8</v>
      </c>
      <c r="SP3" s="14" t="s">
        <v>15</v>
      </c>
      <c r="SQ3" s="14" t="s">
        <v>27</v>
      </c>
      <c r="SR3" s="14" t="s">
        <v>13</v>
      </c>
      <c r="SS3" s="14" t="s">
        <v>14</v>
      </c>
      <c r="ST3" s="14" t="s">
        <v>8</v>
      </c>
      <c r="SU3" s="14" t="s">
        <v>15</v>
      </c>
      <c r="SV3" s="14" t="s">
        <v>27</v>
      </c>
      <c r="SW3" s="14" t="s">
        <v>13</v>
      </c>
      <c r="SX3" s="14" t="s">
        <v>14</v>
      </c>
      <c r="SY3" s="14" t="s">
        <v>8</v>
      </c>
      <c r="SZ3" s="14" t="s">
        <v>15</v>
      </c>
      <c r="TA3" s="14" t="s">
        <v>27</v>
      </c>
      <c r="TB3" s="14" t="s">
        <v>13</v>
      </c>
      <c r="TC3" s="14" t="s">
        <v>14</v>
      </c>
      <c r="TD3" s="14" t="s">
        <v>8</v>
      </c>
      <c r="TE3" s="14" t="s">
        <v>15</v>
      </c>
      <c r="TF3" s="14" t="s">
        <v>27</v>
      </c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13" t="s">
        <v>13</v>
      </c>
      <c r="TV3" s="13" t="s">
        <v>14</v>
      </c>
      <c r="TW3" s="13" t="s">
        <v>8</v>
      </c>
      <c r="TX3" s="13" t="s">
        <v>15</v>
      </c>
      <c r="TY3" s="13" t="s">
        <v>27</v>
      </c>
      <c r="TZ3" s="13" t="s">
        <v>13</v>
      </c>
      <c r="UA3" s="13" t="s">
        <v>14</v>
      </c>
      <c r="UB3" s="13" t="s">
        <v>8</v>
      </c>
      <c r="UC3" s="13" t="s">
        <v>15</v>
      </c>
      <c r="UD3" s="13" t="s">
        <v>27</v>
      </c>
      <c r="UE3" s="13" t="s">
        <v>13</v>
      </c>
      <c r="UF3" s="13" t="s">
        <v>14</v>
      </c>
      <c r="UG3" s="13" t="s">
        <v>8</v>
      </c>
      <c r="UH3" s="13" t="s">
        <v>15</v>
      </c>
      <c r="UI3" s="13" t="s">
        <v>27</v>
      </c>
      <c r="UJ3" s="13" t="s">
        <v>13</v>
      </c>
      <c r="UK3" s="13" t="s">
        <v>14</v>
      </c>
      <c r="UL3" s="13" t="s">
        <v>8</v>
      </c>
      <c r="UM3" s="13" t="s">
        <v>15</v>
      </c>
      <c r="UN3" s="13" t="s">
        <v>27</v>
      </c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14" t="s">
        <v>13</v>
      </c>
      <c r="VD3" s="14" t="s">
        <v>14</v>
      </c>
      <c r="VE3" s="14" t="s">
        <v>8</v>
      </c>
      <c r="VF3" s="14" t="s">
        <v>15</v>
      </c>
      <c r="VG3" s="14" t="s">
        <v>27</v>
      </c>
      <c r="VH3" s="14" t="s">
        <v>13</v>
      </c>
      <c r="VI3" s="14" t="s">
        <v>14</v>
      </c>
      <c r="VJ3" s="14" t="s">
        <v>8</v>
      </c>
      <c r="VK3" s="14" t="s">
        <v>15</v>
      </c>
      <c r="VL3" s="14" t="s">
        <v>27</v>
      </c>
      <c r="VM3" s="14" t="s">
        <v>13</v>
      </c>
      <c r="VN3" s="14" t="s">
        <v>14</v>
      </c>
      <c r="VO3" s="14" t="s">
        <v>8</v>
      </c>
      <c r="VP3" s="14" t="s">
        <v>15</v>
      </c>
      <c r="VQ3" s="14" t="s">
        <v>27</v>
      </c>
      <c r="VR3" s="14" t="s">
        <v>13</v>
      </c>
      <c r="VS3" s="14" t="s">
        <v>14</v>
      </c>
      <c r="VT3" s="14" t="s">
        <v>8</v>
      </c>
      <c r="VU3" s="14" t="s">
        <v>15</v>
      </c>
      <c r="VV3" s="14" t="s">
        <v>27</v>
      </c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</row>
    <row r="4" spans="1:608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65</v>
      </c>
      <c r="C4" s="4" t="s">
        <v>7</v>
      </c>
      <c r="D4" s="4" t="s">
        <v>114</v>
      </c>
      <c r="E4" s="9">
        <f t="shared" ref="E4:E15" si="0">J4+L4+N4+(J4+L4)*0.0000001+MAX(J4,L4)*0.0000000000001</f>
        <v>96.110008887004554</v>
      </c>
      <c r="F4" s="3" t="str">
        <f t="shared" ref="F4:F15" si="1"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O4&gt;=EB$18,DO4&lt;&gt;"",DQ4&gt;=EB$22,DQ4&lt;&gt;""),AND(DR4&gt;=EB$18,DR4&lt;&gt;"",DT4&gt;=EB$22,DT4&lt;&gt;""),AND(DV4&gt;=EB$18,DV4&lt;&gt;"",DX4&gt;=EB$22,DX4&lt;&gt;""),AND(DY4&gt;=EB$18,DY4&lt;&gt;"",EA4&gt;=EB$22,EA4&lt;&gt;""),AND(EW4&gt;=FJ$18,EW4&lt;&gt;"",EY4&gt;=FJ$22,EY4&lt;&gt;""),AND(EZ4&gt;=FJ$18,EZ4&lt;&gt;"",FB4&gt;=FJ$22,FB4&lt;&gt;""),AND(FD4&gt;=FJ$18,FD4&lt;&gt;"",FF4&gt;=FJ$22,FF4&lt;&gt;""),AND(FG4&gt;=FJ$18,FG4&lt;&gt;"",FI4&gt;=FJ$22,FI4&lt;&gt;""),AND(GE4&gt;=GR$18,GE4&lt;&gt;"",GG4&gt;=GR$22,GG4&lt;&gt;""),AND(GH4&gt;=GR$18,GH4&lt;&gt;"",GJ4&gt;=GR$22,GJ4&lt;&gt;""),AND(GL4&gt;=GR$18,GL4&lt;&gt;"",GN4&gt;=GR$22,GN4&lt;&gt;""),AND(GO4&gt;=GR$18,GO4&lt;&gt;"",GQ4&gt;=GR$22,GQ4&lt;&gt;""),AND(HM4&gt;=HZ$18,HM4&lt;&gt;"",HO4&gt;=HZ$22,HO4&lt;&gt;""),AND(HP4&gt;=HZ$18,HP4&lt;&gt;"",HR4&gt;=HZ$22,HR4&lt;&gt;""),AND(HT4&gt;=HZ$18,HT4&lt;&gt;"",HV4&gt;=HZ$22,HV4&lt;&gt;""),AND(HW4&gt;=HZ$18,HW4&lt;&gt;"",HY4&gt;=HZ$22,HY4&lt;&gt;""),AND(IU4&gt;=JH$18,IU4&lt;&gt;"",IW4&gt;=JH$22,IW4&lt;&gt;""),AND(IX4&gt;=JH$18,IX4&lt;&gt;"",IZ4&gt;=JH$22,IZ4&lt;&gt;""),AND(JB4&gt;=JH$18,JB4&lt;&gt;"",JD4&gt;=JH$22,JD4&lt;&gt;""),AND(JE4&gt;=JH$18,JE4&lt;&gt;"",JG4&gt;=JH$22,JG4&lt;&gt;""),AND(KC4&gt;=KP$18,KC4&lt;&gt;"",KE4&gt;=KP$22,KE4&lt;&gt;""),AND(KF4&gt;=KP$18,KF4&lt;&gt;"",KH4&gt;=KP$22,KH4&lt;&gt;""),AND(KJ4&gt;=KP$18,KJ4&lt;&gt;"",KL4&gt;=KP$22,KL4&lt;&gt;""),AND(KM4&gt;=KP$18,KM4&lt;&gt;"",KO4&gt;=KP$22,KO4&lt;&gt;""),AND(LK4&gt;=LX$18,LK4&lt;&gt;"",LM4&gt;=LX$22,LM4&lt;&gt;""),AND(LN4&gt;=LX$18,LN4&lt;&gt;"",LP4&gt;=LX$22,LP4&lt;&gt;""),AND(LR4&gt;=LX$18,LR4&lt;&gt;"",LT4&gt;=LX$22,LT4&lt;&gt;""),AND(LU4&gt;=LX$18,LU4&lt;&gt;"",LW4&gt;=LX$22,LW4&lt;&gt;""),AND(MS4&gt;=NF$18,MS4&lt;&gt;"",MU4&gt;=NF$22,MU4&lt;&gt;""),AND(MV4&gt;=NF$18,MV4&lt;&gt;"",MX4&gt;=NF$22,MX4&lt;&gt;""),AND(MZ4&gt;=NF$18,MZ4&lt;&gt;"",NB4&gt;=NF$22,NB4&lt;&gt;""),AND(NC4&gt;=NF$18,NC4&lt;&gt;"",NE4&gt;=NF$22,NE4&lt;&gt;""),AND(OA4&gt;=ON$18,OA4&lt;&gt;"",OC4&gt;=ON$22,OC4&lt;&gt;""),AND(OD4&gt;=ON$18,OD4&lt;&gt;"",OF4&gt;=ON$22,OF4&lt;&gt;""),AND(OH4&gt;=ON$18,OH4&lt;&gt;"",OJ4&gt;=ON$22,OJ4&lt;&gt;""),AND(OK4&gt;=ON$18,OK4&lt;&gt;"",OM4&gt;=ON$22,OM4&lt;&gt;""),AND(PI4&gt;=PV$18,PI4&lt;&gt;"",PK4&gt;=PV$22,PK4&lt;&gt;""),AND(PL4&gt;=PV$18,PL4&lt;&gt;"",PN4&gt;=PV$22,PN4&lt;&gt;""),AND(PP4&gt;=PV$18,PP4&lt;&gt;"",PR4&gt;=PV$22,PR4&lt;&gt;""),AND(PS4&gt;=PV$18,PS4&lt;&gt;"",PU4&gt;=PV$22,PU4&lt;&gt;""),AND(QQ4&gt;=RD$18,QQ4&lt;&gt;"",QS4&gt;=RD$22,QS4&lt;&gt;""),AND(QT4&gt;=RD$18,QT4&lt;&gt;"",QV4&gt;=RD$22,QV4&lt;&gt;""),AND(QX4&gt;=RD$18,QX4&lt;&gt;"",QZ4&gt;=RD$22,QZ4&lt;&gt;""),AND(RA4&gt;=RD$18,RA4&lt;&gt;"",RC4&gt;=RD$22,RC4&lt;&gt;""),AND(RY4&gt;=SL$18,RY4&lt;&gt;"",SA4&gt;=SL$22,SA4&lt;&gt;""),AND(SB4&gt;=SL$18,SB4&lt;&gt;"",SD4&gt;=SL$22,SD4&lt;&gt;""),AND(SF4&gt;=SL$18,SF4&lt;&gt;"",SH4&gt;=SL$22,SH4&lt;&gt;""),AND(SI4&gt;=SL$18,SI4&lt;&gt;"",SK4&gt;=SL$22,SK4&lt;&gt;""),AND(TG4&gt;=TT$18,TG4&lt;&gt;"",TI4&gt;=TT$22,TI4&lt;&gt;""),AND(TJ4&gt;=TT$18,TJ4&lt;&gt;"",TL4&gt;=TT$22,TL4&lt;&gt;""),AND(TN4&gt;=TT$18,TN4&lt;&gt;"",TP4&gt;=TT$22,TXN4&lt;&gt;""),AND(TQ4&gt;=TT$18,TQ4&lt;&gt;"",TS4&gt;=TT$22,TS4&lt;&gt;""),AND(UO4&gt;=VB$18,UO4&lt;&gt;"",UQ4&gt;=VB$22,UQ4&lt;&gt;""),AND(UR4&gt;=VB$18,UR4&lt;&gt;"",UT4&gt;=VB$22,UT4&lt;&gt;""),AND(UV4&gt;=VB$18,UV4&lt;&gt;"",UX4&gt;=VB$22,UX4&lt;&gt;""),AND(UY4&gt;=VB$18,UY4&lt;&gt;"",VA4&gt;=VB$22,VA4&lt;&gt;""),AND(VW4&gt;=WJ$18,VW4&lt;&gt;"",VY4&gt;=WJ$22,VY4&lt;&gt;""),AND(VZ4&gt;=WJ$18,VZ4&lt;&gt;"",WB4&gt;=WJ$22,WB4&lt;&gt;""),AND(WD4&gt;=WJ$18,WD4&lt;&gt;"",WF4&gt;=WJ$22,WF4&lt;&gt;""),AND(WG4&gt;=WJ$18,WG4&lt;&gt;"",WI4&gt;=WJ$22,WI4&lt;&gt;"")),"P","")</f>
        <v>P</v>
      </c>
      <c r="G4" s="3" t="str">
        <f t="shared" ref="G4:G15" si="2"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Q4&gt;=EB$22,DQ4&lt;&gt;""),AND(DT4&gt;=EB$22,DT4&lt;&gt;""),AND(DX4&gt;=EB$22,DX4&lt;&gt;""),AND(EA4&gt;=EB$22,EA4&lt;&gt;""),AND(EY4&gt;=FJ$22,EY4&lt;&gt;""),AND(FB4&gt;=FJ$22,FB4&lt;&gt;""),AND(FF4&gt;=FJ$22,FF4&lt;&gt;""),AND(FI4&gt;=FJ$22,FI4&lt;&gt;""),AND(GG4&gt;=GR$22,GG4&lt;&gt;""),AND(GJ4&gt;=GR$22,GJ4&lt;&gt;""),AND(GN4&gt;=GR$22,GN4&lt;&gt;""),AND(GQ4&gt;=GR$22,GQ4&lt;&gt;""),AND(HO4&gt;=HZ$22,HO4&lt;&gt;""),AND(HR4&gt;=HZ$22,HR4&lt;&gt;""),AND(HV4&gt;=HZ$22,HV4&lt;&gt;""),AND(HY4&gt;=HZ$22,HY4&lt;&gt;""),AND(IW4&gt;=JH$22,IW4&lt;&gt;""),AND(IZ4&gt;=JH$22,IZ4&lt;&gt;""),AND(JD4&gt;=JH$22,JD4&lt;&gt;""),AND(JG4&gt;=JH$22,JG4&lt;&gt;""),AND(KE4&gt;=KP$22,KE4&lt;&gt;""),AND(KH4&gt;=KP$22,KH4&lt;&gt;""),AND(KL4&gt;=KP$22,KL4&lt;&gt;""),AND(KO4&gt;=KP$22,KO4&lt;&gt;""),AND(LM4&gt;=LX$22,LM4&lt;&gt;""),AND(LP4&gt;=LX$22,LP4&lt;&gt;""),AND(LT4&gt;=LX$22,LT4&lt;&gt;""),AND(LW4&gt;=LX$22,LW4&lt;&gt;""),AND(MU4&gt;=NF$22,MU4&lt;&gt;""),AND(MX4&gt;=NF$22,MX4&lt;&gt;""),AND(NB4&gt;=NF$22,NB4&lt;&gt;""),AND(NE4&gt;=NF$22,NE4&lt;&gt;""),AND(OC4&gt;=ON$22,OC4&lt;&gt;""),AND(OF4&gt;=ON$22,OF4&lt;&gt;""),AND(OJ4&gt;=ON$22,OJ4&lt;&gt;""),AND(OM4&gt;=ON$22,OM4&lt;&gt;""),AND(PK4&gt;=PV$22,PK4&lt;&gt;""),AND(PN4&gt;=PV$22,PN4&lt;&gt;""),AND(PR4&gt;=PV$22,PR4&lt;&gt;""),AND(PU4&gt;=PV$22,PU4&lt;&gt;""),AND(QS4&gt;=RD$22,QS4&lt;&gt;""),AND(QV4&gt;=RD$22,QV4&lt;&gt;""),AND(QZ4&gt;=RD$22,QZ4&lt;&gt;""),AND(RC4&gt;=RD$22,RC4&lt;&gt;""),AND(SA4&gt;=SL$22,SA4&lt;&gt;""),AND(SD4&gt;=SL$22,SD4&lt;&gt;""),AND(SH4&gt;=SL$22,SH4&lt;&gt;""),AND(SK4&gt;=SL$22,SK4&lt;&gt;""),AND(TI4&gt;=TT$22,TI4&lt;&gt;""),AND(TL4&gt;=TT$22,TL4&lt;&gt;""),AND(TP4&gt;=TT$22,TXN4&lt;&gt;""),AND(TS4&gt;=TT$22,TS4&lt;&gt;""),AND(UQ4&gt;=VB$22,UQ4&lt;&gt;""),AND(UT4&gt;=VB$22,UT4&lt;&gt;""),AND(UX4&gt;=VB$22,UX4&lt;&gt;""),AND(VA4&gt;=VB$22,VA4&lt;&gt;""),AND(VY4&gt;=WJ$22,VY4&lt;&gt;""),AND(WB4&gt;=WJ$22,WB4&lt;&gt;""),AND(WF4&gt;=WJ$22,WF4&lt;&gt;""),AND(WI4&gt;=WJ$22,WI4&lt;&gt;"")),"P","")</f>
        <v>P</v>
      </c>
      <c r="H4" s="32" t="str">
        <f t="shared" ref="H4:H15" si="3"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O4&gt;=EB$21,DO4&lt;&gt;"",DQ4&gt;=EB$25,DQ4&lt;&gt;""),AND(DR4&gt;=EB$21,DR4&lt;&gt;"",DT4&gt;=EB$25,DT4&lt;&gt;""),AND(DV4&gt;=EB$21,DV4&lt;&gt;"",DX4&gt;=EB$25,DX4&lt;&gt;""),AND(DY4&gt;=EB$21,DY4&lt;&gt;"",EA4&gt;=EB$25,EA4&lt;&gt;""),AND(EW4&gt;=FJ$21,EW4&lt;&gt;"",EY4&gt;=FJ$25,EY4&lt;&gt;""),AND(EZ4&gt;=FJ$21,EZ4&lt;&gt;"",FB4&gt;=FJ$25,FB4&lt;&gt;""),AND(FD4&gt;=FJ$21,FD4&lt;&gt;"",FF4&gt;=FJ$25,FF4&lt;&gt;""),AND(FG4&gt;=FJ$21,FG4&lt;&gt;"",FI4&gt;=FJ$25,FI4&lt;&gt;""),AND(GE4&gt;=GR$21,GE4&lt;&gt;"",GG4&gt;=GR$25,GG4&lt;&gt;""),AND(GH4&gt;=GR$21,GH4&lt;&gt;"",GJ4&gt;=GR$25,GJ4&lt;&gt;""),AND(GL4&gt;=GR$21,GL4&lt;&gt;"",GN4&gt;=GR$25,GN4&lt;&gt;""),AND(GO4&gt;=GR$21,GO4&lt;&gt;"",GQ4&gt;=GR$25,GQ4&lt;&gt;""),AND(HM4&gt;=HZ$21,HM4&lt;&gt;"",HO4&gt;=HZ$25,HO4&lt;&gt;""),AND(HP4&gt;=HZ$21,HP4&lt;&gt;"",HR4&gt;=HZ$25,HR4&lt;&gt;""),AND(HT4&gt;=HZ$21,HT4&lt;&gt;"",HV4&gt;=HZ$25,HV4&lt;&gt;""),AND(HW4&gt;=HZ$21,HW4&lt;&gt;"",HY4&gt;=HZ$25,HY4&lt;&gt;""),AND(IU4&gt;=JH$21,IU4&lt;&gt;"",IW4&gt;=JH$25,IW4&lt;&gt;""),AND(IX4&gt;=JH$21,IX4&lt;&gt;"",IZ4&gt;=JH$25,IZ4&lt;&gt;""),AND(JB4&gt;=JH$21,JB4&lt;&gt;"",JD4&gt;=JH$25,JD4&lt;&gt;""),AND(JE4&gt;=JH$21,JE4&lt;&gt;"",JG4&gt;=JH$25,JG4&lt;&gt;""),AND(KC4&gt;=KP$21,KC4&lt;&gt;"",KE4&gt;=KP$25,KE4&lt;&gt;""),AND(KF4&gt;=KP$21,KF4&lt;&gt;"",KH4&gt;=KP$25,KH4&lt;&gt;""),AND(KJ4&gt;=KP$21,KJ4&lt;&gt;"",KL4&gt;=KP$25,KL4&lt;&gt;""),AND(KM4&gt;=KP$21,KM4&lt;&gt;"",KO4&gt;=KP$25,KO4&lt;&gt;""),AND(LK4&gt;=LX$21,LK4&lt;&gt;"",LM4&gt;=LX$25,LM4&lt;&gt;""),AND(LN4&gt;=LX$21,LN4&lt;&gt;"",LP4&gt;=LX$25,LP4&lt;&gt;""),AND(LR4&gt;=LX$21,LR4&lt;&gt;"",LT4&gt;=LX$25,LT4&lt;&gt;""),AND(LU4&gt;=LX$21,LU4&lt;&gt;"",LW4&gt;=LX$25,LW4&lt;&gt;""),AND(MS4&gt;=NF$21,MS4&lt;&gt;"",MU4&gt;=NF$25,MU4&lt;&gt;""),AND(MV4&gt;=NF$21,MV4&lt;&gt;"",MX4&gt;=NF$25,MX4&lt;&gt;""),AND(MZ4&gt;=NF$21,MZ4&lt;&gt;"",NB4&gt;=NF$25,NB4&lt;&gt;""),AND(NC4&gt;=NF$21,NC4&lt;&gt;"",NE4&gt;=NF$25,NE4&lt;&gt;""),AND(OA4&gt;=ON$21,OA4&lt;&gt;"",OC4&gt;=ON$25,OC4&lt;&gt;""),AND(OD4&gt;=ON$21,OD4&lt;&gt;"",OF4&gt;=ON$25,OF4&lt;&gt;""),AND(OH4&gt;=ON$21,OH4&lt;&gt;"",OJ4&gt;=ON$25,OJ4&lt;&gt;""),AND(OK4&gt;=ON$21,OK4&lt;&gt;"",OM4&gt;=ON$25,OM4&lt;&gt;""),AND(PI4&gt;=PV$21,PI4&lt;&gt;"",PK4&gt;=PV$25,PK4&lt;&gt;""),AND(PL4&gt;=PV$21,PL4&lt;&gt;"",PN4&gt;=PV$25,PN4&lt;&gt;""),AND(PP4&gt;=PV$21,PP4&lt;&gt;"",PR4&gt;=PV$25,PR4&lt;&gt;""),AND(PS4&gt;=PV$21,PS4&lt;&gt;"",PU4&gt;=PV$25,PU4&lt;&gt;""),AND(QQ4&gt;=RD$21,QQ4&lt;&gt;"",QS4&gt;=RD$25,QS4&lt;&gt;""),AND(QT4&gt;=RD$21,QT4&lt;&gt;"",QV4&gt;=RD$25,QV4&lt;&gt;""),AND(QX4&gt;=RD$21,QX4&lt;&gt;"",QZ4&gt;=RD$25,QZ4&lt;&gt;""),AND(RA4&gt;=RD$21,RA4&lt;&gt;"",RC4&gt;=RD$25,RC4&lt;&gt;""),AND(RY4&gt;=SL$21,RY4&lt;&gt;"",SA4&gt;=SL$25,SA4&lt;&gt;""),AND(SB4&gt;=SL$21,SB4&lt;&gt;"",SD4&gt;=SL$25,SD4&lt;&gt;""),AND(SF4&gt;=SL$21,SF4&lt;&gt;"",SH4&gt;=SL$25,SH4&lt;&gt;""),AND(SI4&gt;=SL$21,SI4&lt;&gt;"",SK4&gt;=SL$25,SK4&lt;&gt;""),AND(TG4&gt;=TT$21,TG4&lt;&gt;"",TI4&gt;=TT$25,TI4&lt;&gt;""),AND(TJ4&gt;=TT$21,TJ4&lt;&gt;"",TL4&gt;=TT$25,TL4&lt;&gt;""),AND(TN4&gt;=TT$21,TN4&lt;&gt;"",TP4&gt;=TT$345,TXN4&lt;&gt;""),AND(TQ4&gt;=TT$21,TQ4&lt;&gt;"",TS4&gt;=TT$25,TS4&lt;&gt;""),AND(UO4&gt;=VB$21,UO4&lt;&gt;"",UQ4&gt;=VB$25,UQ4&lt;&gt;""),AND(UR4&gt;=VB$21,UR4&lt;&gt;"",UT4&gt;=VB$25,UT4&lt;&gt;""),AND(UV4&gt;=VB$21,UV4&lt;&gt;"",UX4&gt;=VB$25,UX4&lt;&gt;""),AND(UY4&gt;=VB$21,UY4&lt;&gt;"",VA4&gt;=VB$25,VA4&lt;&gt;""),AND(VW4&gt;=WJ$21,VW4&lt;&gt;"",VY4&gt;=WJ$25,VY4&lt;&gt;""),AND(VZ4&gt;=WJ$21,VZ4&lt;&gt;"",WB4&gt;=WJ$25,WB4&lt;&gt;""),AND(WD4&gt;=WJ$21,WD4&lt;&gt;"",WF4&gt;=WJ$25,WF4&lt;&gt;""),AND(WG4&gt;=WJ$21,WG4&lt;&gt;"",WI4&gt;=WJ$25,WI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O4&gt;=EB$20,DO4&lt;&gt;"",DQ4&gt;=EB$24,DQ4&lt;&gt;""),AND(DR4&gt;=EB$20,DR4&lt;&gt;"",DT4&gt;=EB$24,DT4&lt;&gt;""),AND(DV4&gt;=EB$20,DV4&lt;&gt;"",DX4&gt;=EB$24,DX4&lt;&gt;""),AND(DY4&gt;=EB$20,DY4&lt;&gt;"",EA4&gt;=EB$24,EA4&lt;&gt;""),AND(EW4&gt;=FJ$20,EW4&lt;&gt;"",EY4&gt;=FJ$24,EY4&lt;&gt;""),AND(EZ4&gt;=FJ$20,EZ4&lt;&gt;"",FB4&gt;=FJ$24,FB4&lt;&gt;""),AND(FD4&gt;=FJ$20,FD4&lt;&gt;"",FF4&gt;=FJ$24,FF4&lt;&gt;""),AND(FG4&gt;=FJ$20,FG4&lt;&gt;"",FI4&gt;=FJ$24,FI4&lt;&gt;""),AND(GE4&gt;=GR$20,GE4&lt;&gt;"",GG4&gt;=GR$24,GG4&lt;&gt;""),AND(GH4&gt;=GR$20,GH4&lt;&gt;"",GJ4&gt;=GR$24,GJ4&lt;&gt;""),AND(GL4&gt;=GR$20,GL4&lt;&gt;"",GN4&gt;=GR$24,GN4&lt;&gt;""),AND(GO4&gt;=GR$20,GO4&lt;&gt;"",GQ4&gt;=GR$24,GQ4&lt;&gt;""),AND(HM4&gt;=HZ$20,HM4&lt;&gt;"",HO4&gt;=HZ$24,HO4&lt;&gt;""),AND(HP4&gt;=HZ$20,HP4&lt;&gt;"",HR4&gt;=HZ$24,HR4&lt;&gt;""),AND(HT4&gt;=HZ$20,HT4&lt;&gt;"",HV4&gt;=HZ$24,HV4&lt;&gt;""),AND(HW4&gt;=HZ$20,HW4&lt;&gt;"",HY4&gt;=HZ$24,HY4&lt;&gt;""),AND(IU4&gt;=JH$20,IU4&lt;&gt;"",IW4&gt;=JH$24,IW4&lt;&gt;""),AND(IX4&gt;=JH$20,IX4&lt;&gt;"",IZ4&gt;=JH$24,IZ4&lt;&gt;""),AND(JB4&gt;=JH$20,JB4&lt;&gt;"",JD4&gt;=JH$24,JD4&lt;&gt;""),AND(JE4&gt;=JH$20,JE4&lt;&gt;"",JG4&gt;=JH$24,JG4&lt;&gt;""),AND(KC4&gt;=KP$20,KC4&lt;&gt;"",KE4&gt;=KP$24,KE4&lt;&gt;""),AND(KF4&gt;=KP$20,KF4&lt;&gt;"",KH4&gt;=KP$24,KH4&lt;&gt;""),AND(KJ4&gt;=KP$20,KJ4&lt;&gt;"",KL4&gt;=KP$24,KL4&lt;&gt;""),AND(KM4&gt;=KP$20,KM4&lt;&gt;"",KO4&gt;=KP$24,KO4&lt;&gt;""),AND(LK4&gt;=LX$20,LK4&lt;&gt;"",LM4&gt;=LX$24,LM4&lt;&gt;""),AND(LN4&gt;=LX$20,LN4&lt;&gt;"",LP4&gt;=LX$24,LP4&lt;&gt;""),AND(LR4&gt;=LX$20,LR4&lt;&gt;"",LT4&gt;=LX$24,LT4&lt;&gt;""),AND(LU4&gt;=LX$20,LU4&lt;&gt;"",LW4&gt;=LX$24,LW4&lt;&gt;""),AND(MS4&gt;=NF$20,MS4&lt;&gt;"",MU4&gt;=NF$24,MU4&lt;&gt;""),AND(MV4&gt;=NF$20,MV4&lt;&gt;"",MX4&gt;=NF$24,MX4&lt;&gt;""),AND(MZ4&gt;=NF$20,MZ4&lt;&gt;"",NB4&gt;=NF$24,NB4&lt;&gt;""),AND(NC4&gt;=NF$20,NC4&lt;&gt;"",NE4&gt;=NF$24,NE4&lt;&gt;""),AND(OA4&gt;=ON$20,OA4&lt;&gt;"",OC4&gt;=ON$24,OC4&lt;&gt;""),AND(OD4&gt;=ON$20,OD4&lt;&gt;"",OF4&gt;=ON$24,OF4&lt;&gt;""),AND(OH4&gt;=ON$20,OH4&lt;&gt;"",OJ4&gt;=ON$24,OJ4&lt;&gt;""),AND(OK4&gt;=ON$20,OK4&lt;&gt;"",OM4&gt;=ON$24,OM4&lt;&gt;""),AND(PI4&gt;=PV$20,PI4&lt;&gt;"",PK4&gt;=PV$24,PK4&lt;&gt;""),AND(PL4&gt;=PV$20,PL4&lt;&gt;"",PN4&gt;=PV$24,PN4&lt;&gt;""),AND(PP4&gt;=PV$20,PP4&lt;&gt;"",PR4&gt;=PV$24,PR4&lt;&gt;""),AND(PS4&gt;=PV$20,PS4&lt;&gt;"",PU4&gt;=PV$24,PU4&lt;&gt;""),AND(QQ4&gt;=RD$20,QQ4&lt;&gt;"",QS4&gt;=RD$24,QS4&lt;&gt;""),AND(QT4&gt;=RD$20,QT4&lt;&gt;"",QV4&gt;=RD$24,QV4&lt;&gt;""),AND(QX4&gt;=RD$20,QX4&lt;&gt;"",QZ4&gt;=RD$24,QZ4&lt;&gt;""),AND(RA4&gt;=RD$20,RA4&lt;&gt;"",RC4&gt;=RD$24,RC4&lt;&gt;""),AND(RY4&gt;=SL$20,RY4&lt;&gt;"",SA4&gt;=SL$24,SA4&lt;&gt;""),AND(SB4&gt;=SL$20,SB4&lt;&gt;"",SD4&gt;=SL$24,SD4&lt;&gt;""),AND(SF4&gt;=SL$20,SF4&lt;&gt;"",SH4&gt;=SL$24,SH4&lt;&gt;""),AND(SI4&gt;=SL$20,SI4&lt;&gt;"",SK4&gt;=SL$24,SK4&lt;&gt;""),AND(TG4&gt;=TT$20,TG4&lt;&gt;"",TI4&gt;=TT$24,TI4&lt;&gt;""),AND(TJ4&gt;=TT$20,TJ4&lt;&gt;"",TL4&gt;=TT$24,TL4&lt;&gt;""),AND(TN4&gt;=TT$20,TN4&lt;&gt;"",TP4&gt;=TT$24,TXN4&lt;&gt;""),AND(TQ4&gt;=TT$20,TQ4&lt;&gt;"",TS4&gt;=TT$24,TS4&lt;&gt;""),AND(UO4&gt;=VB$20,UO4&lt;&gt;"",UQ4&gt;=VB$24,UQ4&lt;&gt;""),AND(UR4&gt;=VB$20,UR4&lt;&gt;"",UT4&gt;=VB$24,UT4&lt;&gt;""),AND(UV4&gt;=VB$20,UV4&lt;&gt;"",UX4&gt;=VB$24,UX4&lt;&gt;""),AND(UY4&gt;=VB$20,UY4&lt;&gt;"",VA4&gt;=VB$24,VA4&lt;&gt;""),AND(VW4&gt;=WJ$20,VW4&lt;&gt;"",VY4&gt;=WJ$24,VY4&lt;&gt;""),AND(VZ4&gt;=WJ$20,VZ4&lt;&gt;"",WB4&gt;=WJ$24,WB4&lt;&gt;""),AND(WD4&gt;=WJ$20,WD4&lt;&gt;"",WF4&gt;=WJ$24,WF4&lt;&gt;""),AND(WG4&gt;=WJ$20,WG4&lt;&gt;"",WI4&gt;=WJ$24,WI4&lt;&gt;"")),"Excellence",IF(I4="P","Worlds Team",IF(F4="P","National Team","")))))</f>
        <v>National Team</v>
      </c>
      <c r="I4" s="3" t="str">
        <f t="shared" ref="I4:I15" si="4"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O4&gt;=EB$19,DO4&lt;&gt;"",DQ4&gt;=EB$23,DQ4&lt;&gt;""),AND(DR4&gt;=EB$19,DR4&lt;&gt;"",DT4&gt;=EB$23,DT4&lt;&gt;""),AND(DV4&gt;=EB$19,DV4&lt;&gt;"",DX4&gt;=EB$23,DX4&lt;&gt;""),AND(DY4&gt;=EB$19,DY4&lt;&gt;"",EA4&gt;=EB$23,EA4&lt;&gt;""),AND(EW4&gt;=FJ$19,EW4&lt;&gt;"",EY4&gt;=FJ$23,EY4&lt;&gt;""),AND(EZ4&gt;=FJ$19,EZ4&lt;&gt;"",FB4&gt;=FJ$23,FB4&lt;&gt;""),AND(FD4&gt;=FJ$19,FD4&lt;&gt;"",FF4&gt;=FJ$23,FF4&lt;&gt;""),AND(FG4&gt;=FJ$19,FG4&lt;&gt;"",FI4&gt;=FJ$23,FI4&lt;&gt;""),AND(GE4&gt;=GR$19,GE4&lt;&gt;"",GG4&gt;=GR$23,GG4&lt;&gt;""),AND(GH4&gt;=GR$19,GH4&lt;&gt;"",GJ4&gt;=GR$23,GJ4&lt;&gt;""),AND(GL4&gt;=GR$19,GL4&lt;&gt;"",GN4&gt;=GR$23,GN4&lt;&gt;""),AND(GO4&gt;=GR$19,GO4&lt;&gt;"",GQ4&gt;=GR$23,GQ4&lt;&gt;""),AND(HM4&gt;=HZ$19,HM4&lt;&gt;"",HO4&gt;=HZ$23,HO4&lt;&gt;""),AND(HP4&gt;=HZ$19,HP4&lt;&gt;"",HR4&gt;=HZ$23,HR4&lt;&gt;""),AND(HT4&gt;=HZ$19,HT4&lt;&gt;"",HV4&gt;=HZ$23,HV4&lt;&gt;""),AND(HW4&gt;=HZ$19,HW4&lt;&gt;"",HY4&gt;=HZ$23,HY4&lt;&gt;""),AND(IU4&gt;=JH$19,IU4&lt;&gt;"",IW4&gt;=JH$23,IW4&lt;&gt;""),AND(IX4&gt;=JH$19,IX4&lt;&gt;"",IZ4&gt;=JH$23,IZ4&lt;&gt;""),AND(JB4&gt;=JH$19,JB4&lt;&gt;"",JD4&gt;=JH$23,JD4&lt;&gt;""),AND(JE4&gt;=JH$19,JE4&lt;&gt;"",JG4&gt;=JH$23,JG4&lt;&gt;""),AND(KC4&gt;=KP$19,KC4&lt;&gt;"",KE4&gt;=KP$23,KE4&lt;&gt;""),AND(KF4&gt;=KP$19,KF4&lt;&gt;"",KH4&gt;=KP$23,KH4&lt;&gt;""),AND(KJ4&gt;=KP$19,KJ4&lt;&gt;"",KL4&gt;=KP$23,KL4&lt;&gt;""),AND(KM4&gt;=KP$19,KM4&lt;&gt;"",KO4&gt;=KP$23,KO4&lt;&gt;""),AND(LK4&gt;=LX$19,LK4&lt;&gt;"",LM4&gt;=LX$23,LM4&lt;&gt;""),AND(LN4&gt;=LX$19,LN4&lt;&gt;"",LP4&gt;=LX$23,LP4&lt;&gt;""),AND(LR4&gt;=LX$19,LR4&lt;&gt;"",LT4&gt;=LX$23,LT4&lt;&gt;""),AND(LU4&gt;=LX$19,LU4&lt;&gt;"",LW4&gt;=LX$23,LW4&lt;&gt;""),AND(MS4&gt;=NF$19,MS4&lt;&gt;"",MU4&gt;=NF$23,MU4&lt;&gt;""),AND(MV4&gt;=NF$19,MV4&lt;&gt;"",MX4&gt;=NF$23,MX4&lt;&gt;""),AND(MZ4&gt;=NF$19,MZ4&lt;&gt;"",NB4&gt;=NF$23,NB4&lt;&gt;""),AND(NC4&gt;=NF$19,NC4&lt;&gt;"",NE4&gt;=NF$23,NE4&lt;&gt;""),AND(OA4&gt;=ON$19,OA4&lt;&gt;"",OC4&gt;=ON$23,OC4&lt;&gt;""),AND(OD4&gt;=ON$19,OD4&lt;&gt;"",OF4&gt;=ON$23,OF4&lt;&gt;""),AND(OH4&gt;=ON$19,OH4&lt;&gt;"",OJ4&gt;=ON$23,OJ4&lt;&gt;""),AND(OK4&gt;=ON$19,OK4&lt;&gt;"",OM4&gt;=ON$23,OM4&lt;&gt;""),AND(PI4&gt;=PV$19,PI4&lt;&gt;"",PK4&gt;=PV$23,PK4&lt;&gt;""),AND(PL4&gt;=PV$19,PL4&lt;&gt;"",PN4&gt;=PV$23,PN4&lt;&gt;""),AND(PP4&gt;=PV$19,PP4&lt;&gt;"",PR4&gt;=PV$23,PR4&lt;&gt;""),AND(PS4&gt;=PV$19,PS4&lt;&gt;"",PU4&gt;=PV$23,PU4&lt;&gt;""),AND(QQ4&gt;=RD$19,QQ4&lt;&gt;"",QS4&gt;=RD$23,QS4&lt;&gt;""),AND(QT4&gt;=RD$19,QT4&lt;&gt;"",QV4&gt;=RD$23,QV4&lt;&gt;""),AND(QX4&gt;=RD$19,QX4&lt;&gt;"",QZ4&gt;=RD$23,QZ4&lt;&gt;""),AND(RA4&gt;=RD$19,RA4&lt;&gt;"",RC4&gt;=RD$23,RC4&lt;&gt;""),AND(RY4&gt;=SL$19,RY4&lt;&gt;"",SA4&gt;=SL$23,SA4&lt;&gt;""),AND(SB4&gt;=SL$19,SB4&lt;&gt;"",SD4&gt;=SL$23,SD4&lt;&gt;""),AND(SF4&gt;=SL$19,SF4&lt;&gt;"",SH4&gt;=SL$23,SH4&lt;&gt;""),AND(SI4&gt;=SL$19,SI4&lt;&gt;"",SK4&gt;=SL$23,SK4&lt;&gt;""),AND(TG4&gt;=TT$19,TG4&lt;&gt;"",TI4&gt;=TT$23,TI4&lt;&gt;""),AND(TJ4&gt;=TT$19,TJ4&lt;&gt;"",TL4&gt;=TT$23,TL4&lt;&gt;""),AND(TN4&gt;=TT$19,TN4&lt;&gt;"",TP4&gt;=TT$23,TXN4&lt;&gt;""),AND(TQ4&gt;=TT$19,TQ4&lt;&gt;"",TS4&gt;=TT$23,TS4&lt;&gt;""),AND(UO4&gt;=VB$19,UO4&lt;&gt;"",UQ4&gt;=VB$23,UQ4&lt;&gt;""),AND(UR4&gt;=VB$19,UR4&lt;&gt;"",UT4&gt;=VB$23,UT4&lt;&gt;""),AND(UV4&gt;=VB$19,UV4&lt;&gt;"",UX4&gt;=VB$23,UX4&lt;&gt;""),AND(UY4&gt;=VB$19,UY4&lt;&gt;"",VA4&gt;=VB$23,VA4&lt;&gt;""),AND(VW4&gt;=WJ$19,VW4&lt;&gt;"",VY4&gt;=WJ$23,VY4&lt;&gt;""),AND(VZ4&gt;=WJ$19,VZ4&lt;&gt;"",WB4&gt;=WJ$23,WB4&lt;&gt;""),AND(WD4&gt;=WJ$19,WD4&lt;&gt;"",WF4&gt;=WJ$23,WF4&lt;&gt;""),AND(WG4&gt;=WJ$19,WG4&lt;&gt;"",WI4&gt;=WJ$23,WI4&lt;&gt;"")),"P","")</f>
        <v/>
      </c>
      <c r="J4" s="8">
        <f t="shared" ref="J4:J15" si="5">MAX(AI4,AL4,AP4,BJ4,BM4,BQ4,CK4,CN4,CR4)</f>
        <v>45.42</v>
      </c>
      <c r="K4" s="8" t="str">
        <f t="shared" ref="K4:K15" si="6">IF(J4="","",IF(OR(J4=CK4,J4=CN4,J4=CR4),$BS$1,IF(OR(J4=BJ4,J4=BM4,J4=BQ4),$AR$1,IF(OR(J4=AI4,J4=AL4,J4=AP4),$Q$1,""))))</f>
        <v>2025 Nationals</v>
      </c>
      <c r="L4" s="8">
        <f>IFERROR(LARGE((AI4,AL4,AP4,BJ4,BM4,BQ4,CK4,CN4,CR4),2),0)</f>
        <v>43.45</v>
      </c>
      <c r="M4" s="8" t="str">
        <f t="shared" ref="M4:M15" si="7">IF(L4="","",IF(OR(L4=CK4,L4=CN4,L4=CR4),$BS$1,IF(OR(L4=BJ4,L4=BM4,L4=BQ4),$AR$1,IF(OR(L4=AI4,L4=AL4,L4=AP4),$Q$1,""))))</f>
        <v>2026 Elite Canada</v>
      </c>
      <c r="N4" s="8">
        <f t="shared" ref="N4:N15" si="8">IF(MAX(CT4,0)&gt;0,MAX(CT4,0),0)</f>
        <v>7.2399999999999949</v>
      </c>
      <c r="O4" s="11" t="str">
        <f t="shared" ref="O4:O15" si="9">IF(N4=0,"",IF(N4=CT4,"("&amp;CT$2&amp;")"))</f>
        <v>(Any)</v>
      </c>
      <c r="P4" s="8" t="str">
        <f t="shared" ref="P4:P15" si="10">IF(N4=0,"",IF(N4+MAX(L4,0)=MAX(WC4,WF4,WI4),$VC$1,IF(N4+MAX(L4,0)=MAX(UU4,UX4,VA4),$TU$1,IF(N4+MAX(L4,0)=MAX(TM4,TP4,TS4),$SM$1,IF(N4+MAX(L4,0)=MAX(SE4,SH4,SK4),$RE$1,IF(N4+MAX(L4,0)=MAX(QW4,QZ4,RC4),$PW$1,IF(N4+MAX(L4,0)=MAX(PO4,PR4,PU4),$OO$1,IF(N4+MAX(L4,0)=MAX(OG4,OJ4,OM4),$NG$1,IF(N4+MAX(L4,0)=MAX(MY4,NB4,NE4),$LY$1,IF(N4+MAX(L4,0)=MAX(LQ4,LT4,LW4),$KQ$1,IF(N4+MAX(L4,0)=MAX(KI4,KL4,KO4),$JI$1,IF(N4+MAX(L4,0)=MAX(JA4,JD4,JG4),$IA$1,IF(N4+MAX(L4,0)=MAX(HS4,HV4,HY4),$GS$1,IF(N4+MAX(L4,0)=MAX(GK4,GN4,GQ4),$FK$1,IF(N4+MAX(L4,0)=MAX(FC4,FF4,FI4),$EC$1,IF(N4+MAX(L4,0)=MAX(DU4,DX4,EA4),$CU$1))))))))))))))))</f>
        <v>2025 World Cup GER (Sept 21)</v>
      </c>
      <c r="Q4" s="18">
        <v>4.04</v>
      </c>
      <c r="R4" s="18">
        <v>4.8</v>
      </c>
      <c r="S4" s="18">
        <v>7.1</v>
      </c>
      <c r="T4" s="18">
        <v>8.7200000000000006</v>
      </c>
      <c r="U4" s="18">
        <v>0</v>
      </c>
      <c r="V4" s="18">
        <v>0.75</v>
      </c>
      <c r="W4" s="18">
        <v>0.9</v>
      </c>
      <c r="X4" s="18">
        <v>1.7</v>
      </c>
      <c r="Y4" s="18">
        <v>1.48</v>
      </c>
      <c r="Z4" s="18">
        <v>0</v>
      </c>
      <c r="AA4" s="18">
        <v>8.19</v>
      </c>
      <c r="AB4" s="18">
        <v>8.9499999999999993</v>
      </c>
      <c r="AC4" s="18">
        <v>14</v>
      </c>
      <c r="AD4" s="18">
        <v>14.28</v>
      </c>
      <c r="AE4" s="18">
        <v>0</v>
      </c>
      <c r="AF4" s="23"/>
      <c r="AG4" s="34">
        <f t="shared" ref="AG4:AG15" si="11">IF(S4&gt;0,S4,"")</f>
        <v>7.1</v>
      </c>
      <c r="AH4" s="34">
        <f t="shared" ref="AH4:AH15" si="12">IF(T4&gt;0,T4,"")</f>
        <v>8.7200000000000006</v>
      </c>
      <c r="AI4" s="36">
        <f t="shared" ref="AI4:AI15" si="13">IF(SUM(Q4:T4)-U4&gt;0,SUM(Q4:T4)-U4,"")</f>
        <v>24.66</v>
      </c>
      <c r="AJ4" s="36">
        <f t="shared" ref="AJ4:AJ15" si="14">IF(X4&gt;0,X4,"")</f>
        <v>1.7</v>
      </c>
      <c r="AK4" s="36">
        <f t="shared" ref="AK4:AK15" si="15">IF(Y4&gt;0,Y4,"")</f>
        <v>1.48</v>
      </c>
      <c r="AL4" s="36">
        <f t="shared" ref="AL4:AL15" si="16">IF(SUM(V4:Y4)-Z4&gt;0,SUM(V4:Y4)-Z4,"")</f>
        <v>4.83</v>
      </c>
      <c r="AM4" s="36">
        <f t="shared" ref="AM4:AM15" si="17">IF(AI4="","",MAX(AI4,AL4))</f>
        <v>24.66</v>
      </c>
      <c r="AN4" s="36">
        <f t="shared" ref="AN4:AN15" si="18">IF(AC4&gt;0,AC4,"")</f>
        <v>14</v>
      </c>
      <c r="AO4" s="36">
        <f t="shared" ref="AO4:AO15" si="19">IF(AD4&gt;0,AD4,"")</f>
        <v>14.28</v>
      </c>
      <c r="AP4" s="36">
        <f t="shared" ref="AP4:AP15" si="20">IF(SUM(AA4:AD4)-AE4&gt;0,SUM(AA4:AD4)-AE4,"")</f>
        <v>45.42</v>
      </c>
      <c r="AQ4" s="36">
        <f t="shared" ref="AQ4:AQ15" si="21">IF(SUM(AM4,AP4)&gt;0,SUM(AM4,AP4),"")</f>
        <v>70.08</v>
      </c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4"/>
      <c r="BH4" s="35" t="str">
        <f t="shared" ref="BH4:BH15" si="22">IF(AT4&gt;0,AT4,"")</f>
        <v/>
      </c>
      <c r="BI4" s="35" t="str">
        <f t="shared" ref="BI4:BI15" si="23">IF(AU4&gt;0,AU4,"")</f>
        <v/>
      </c>
      <c r="BJ4" s="11" t="str">
        <f t="shared" ref="BJ4:BJ15" si="24">IF(SUM(AR4:AU4)-AV4&gt;0,SUM(AR4:AU4)-AV4,"")</f>
        <v/>
      </c>
      <c r="BK4" s="11" t="str">
        <f t="shared" ref="BK4:BK15" si="25">IF(AY4&gt;0,AY4,"")</f>
        <v/>
      </c>
      <c r="BL4" s="11" t="str">
        <f t="shared" ref="BL4:BL15" si="26">IF(AZ4&gt;0,AZ4,"")</f>
        <v/>
      </c>
      <c r="BM4" s="11" t="str">
        <f t="shared" ref="BM4:BM15" si="27">IF(SUM(AW4:AZ4)-BA4&gt;0,SUM(AW4:AZ4)-BA4,"")</f>
        <v/>
      </c>
      <c r="BN4" s="11" t="str">
        <f t="shared" ref="BN4:BN15" si="28">IF(BJ4="","",MAX(BJ4,BM4))</f>
        <v/>
      </c>
      <c r="BO4" s="11" t="str">
        <f t="shared" ref="BO4:BO15" si="29">IF(BD4&gt;0,BD4,"")</f>
        <v/>
      </c>
      <c r="BP4" s="11" t="str">
        <f t="shared" ref="BP4:BP15" si="30">IF(BE4&gt;0,BE4,"")</f>
        <v/>
      </c>
      <c r="BQ4" s="11" t="str">
        <f t="shared" ref="BQ4:BQ15" si="31">IF(SUM(BB4:BE4)-BF4&gt;0,SUM(BB4:BE4)-BF4,"")</f>
        <v/>
      </c>
      <c r="BR4" s="11" t="str">
        <f t="shared" ref="BR4:BR15" si="32">IF(SUM(BN4,BQ4)&gt;0,SUM(BN4,BQ4),"")</f>
        <v/>
      </c>
      <c r="BS4" s="18">
        <v>7.2</v>
      </c>
      <c r="BT4" s="18">
        <v>8.35</v>
      </c>
      <c r="BU4" s="18">
        <v>12.3</v>
      </c>
      <c r="BV4" s="18">
        <v>15.6</v>
      </c>
      <c r="BW4" s="18">
        <v>0</v>
      </c>
      <c r="BX4" s="18">
        <v>0</v>
      </c>
      <c r="BY4" s="18">
        <v>0</v>
      </c>
      <c r="BZ4" s="18">
        <v>0</v>
      </c>
      <c r="CA4" s="18">
        <v>0</v>
      </c>
      <c r="CB4" s="18">
        <v>0</v>
      </c>
      <c r="CC4" s="18">
        <v>0</v>
      </c>
      <c r="CD4" s="18">
        <v>0</v>
      </c>
      <c r="CE4" s="18">
        <v>0</v>
      </c>
      <c r="CF4" s="18">
        <v>0</v>
      </c>
      <c r="CG4" s="18">
        <v>0</v>
      </c>
      <c r="CH4" s="23"/>
      <c r="CI4" s="34">
        <f t="shared" ref="CI4:CI15" si="33">IF(BU4&gt;0,BU4,"")</f>
        <v>12.3</v>
      </c>
      <c r="CJ4" s="34">
        <f t="shared" ref="CJ4:CJ15" si="34">IF(BV4&gt;0,BV4,"")</f>
        <v>15.6</v>
      </c>
      <c r="CK4" s="36">
        <f t="shared" ref="CK4:CK15" si="35">IF(SUM(BS4:BV4)-BW4&gt;0,SUM(BS4:BV4)-BW4,"")</f>
        <v>43.45</v>
      </c>
      <c r="CL4" s="36" t="str">
        <f t="shared" ref="CL4:CL15" si="36">IF(BZ4&gt;0,BZ4,"")</f>
        <v/>
      </c>
      <c r="CM4" s="36" t="str">
        <f t="shared" ref="CM4:CM15" si="37">IF(CA4&gt;0,CA4,"")</f>
        <v/>
      </c>
      <c r="CN4" s="36" t="str">
        <f t="shared" ref="CN4:CN15" si="38">IF(SUM(BX4:CA4)-CB4&gt;0,SUM(BX4:CA4)-CB4,"")</f>
        <v/>
      </c>
      <c r="CO4" s="36">
        <f t="shared" ref="CO4:CO15" si="39">IF(CK4="","",MAX(CK4,CN4))</f>
        <v>43.45</v>
      </c>
      <c r="CP4" s="36" t="str">
        <f t="shared" ref="CP4:CP15" si="40">IF(CE4&gt;0,CE4,"")</f>
        <v/>
      </c>
      <c r="CQ4" s="36" t="str">
        <f t="shared" ref="CQ4:CQ15" si="41">IF(CF4&gt;0,CF4,"")</f>
        <v/>
      </c>
      <c r="CR4" s="36" t="str">
        <f t="shared" ref="CR4:CR15" si="42">IF(SUM(CC4:CF4)-CG4&gt;0,SUM(CC4:CF4)-CG4,"")</f>
        <v/>
      </c>
      <c r="CS4" s="36">
        <f t="shared" ref="CS4:CS15" si="43">IF(SUM(CO4,CR4)&gt;0,SUM(CO4,CR4),"")</f>
        <v>43.45</v>
      </c>
      <c r="CT4" s="47">
        <f t="shared" ref="CT4:CT15" si="44">IF(MAX(DU4,DX4,EA4,FC4,FF4,FI4,GK4,GN4,GQ4,HS4,HV4,HY4,JA4,JD4,JG4,KI4,KL4,KO4,LQ4,LT4,LW4,MY4,NB4,NE4,OG4,OJ4,OM4,PO4,PR4,PU4,QW4,QZ4,RC4,SE4,SH4,SK4,TM4,TP4,TS4,UU4,UX4,VA4,WC4,WF4,WI4)-MAX(L4,0)&gt;0.001,MAX(DU4,DX4,EA4,FC4,FF4,FI4,GK4,GN4,GQ4,HS4,HV4,HY4,JA4,JD4,JG4,KI4,KL4,KO4,LQ4,LT4,LW4,MY4,NB4,NE4,OG4,OJ4,OM4,PO4,PR4,PU4,QW4,QZ4,RC4,SE4,SH4,SK4,TM4,TP4,TS4,UU4,UX4,VA4,WC4,WF4,WI4)-MAX(L4,0),"")</f>
        <v>7.2399999999999949</v>
      </c>
      <c r="CU4" s="15">
        <v>8.1999999999999993</v>
      </c>
      <c r="CV4" s="15">
        <v>9.6</v>
      </c>
      <c r="CW4" s="15">
        <v>12.2</v>
      </c>
      <c r="CX4" s="15">
        <v>18.38</v>
      </c>
      <c r="CY4" s="15">
        <v>0</v>
      </c>
      <c r="CZ4" s="15">
        <v>8</v>
      </c>
      <c r="DA4" s="15">
        <v>9.15</v>
      </c>
      <c r="DB4" s="15">
        <v>14</v>
      </c>
      <c r="DC4" s="15">
        <v>17.88</v>
      </c>
      <c r="DD4" s="15">
        <v>0</v>
      </c>
      <c r="DE4" s="15"/>
      <c r="DF4" s="15"/>
      <c r="DG4" s="15"/>
      <c r="DH4" s="15"/>
      <c r="DI4" s="15"/>
      <c r="DJ4" s="15">
        <v>4.2</v>
      </c>
      <c r="DK4" s="15">
        <v>4.55</v>
      </c>
      <c r="DL4" s="15">
        <v>7.1</v>
      </c>
      <c r="DM4" s="15">
        <v>9.1999999999999993</v>
      </c>
      <c r="DN4" s="15">
        <v>0</v>
      </c>
      <c r="DO4" s="36">
        <f t="shared" ref="DO4:DO15" si="45">IF(CW4&gt;0,CW4,"")</f>
        <v>12.2</v>
      </c>
      <c r="DP4" s="36">
        <f t="shared" ref="DP4:DP15" si="46">IF(CX4&gt;0,CX4,"")</f>
        <v>18.38</v>
      </c>
      <c r="DQ4" s="36">
        <f t="shared" ref="DQ4:DQ15" si="47">IF(SUM(CU4:CX4)-CY4&gt;0,SUM(CU4:CX4)-CY4,"")</f>
        <v>48.379999999999995</v>
      </c>
      <c r="DR4" s="36">
        <f t="shared" ref="DR4:DR15" si="48">IF(DB4&gt;0,DB4,"")</f>
        <v>14</v>
      </c>
      <c r="DS4" s="36">
        <f t="shared" ref="DS4:DS15" si="49">IF(DC4&gt;0,DC4,"")</f>
        <v>17.88</v>
      </c>
      <c r="DT4" s="36">
        <f t="shared" ref="DT4:DT15" si="50">IF(SUM(CZ4:DC4)-DD4&gt;0,SUM(CZ4:DC4)-DD4,"")</f>
        <v>49.03</v>
      </c>
      <c r="DU4" s="36">
        <f t="shared" ref="DU4:DU15" si="51">IF(MAX(DQ4,DT4)&gt;0,MAX(DQ4,DT4),"")</f>
        <v>49.03</v>
      </c>
      <c r="DV4" s="36" t="str">
        <f t="shared" ref="DV4:DV15" si="52">IF(DG4&gt;0,DG4,"")</f>
        <v/>
      </c>
      <c r="DW4" s="36" t="str">
        <f t="shared" ref="DW4:DW15" si="53">IF(DH4&gt;0,DH4,"")</f>
        <v/>
      </c>
      <c r="DX4" s="36" t="str">
        <f t="shared" ref="DX4:DX15" si="54">IF(SUM(DE4:DH4)-DI4&gt;0,SUM(DE4:DH4)-DI4,"")</f>
        <v/>
      </c>
      <c r="DY4" s="36">
        <f t="shared" ref="DY4:DY15" si="55">IF(DL4&gt;0,DL4,"")</f>
        <v>7.1</v>
      </c>
      <c r="DZ4" s="36">
        <f t="shared" ref="DZ4:DZ15" si="56">IF(DM4&gt;0,DM4,"")</f>
        <v>9.1999999999999993</v>
      </c>
      <c r="EA4" s="36">
        <f t="shared" ref="EA4:EA15" si="57">IF(SUM(DJ4:DM4)-DN4&gt;0,SUM(DJ4:DM4)-DN4,"")</f>
        <v>25.049999999999997</v>
      </c>
      <c r="EB4" s="36">
        <f t="shared" ref="EB4:EB15" si="58">IF(SUM(DU4,DX4,EA4)&gt;0,SUM(DU4,DX4,EA4),"")</f>
        <v>74.08</v>
      </c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1" t="str">
        <f t="shared" ref="EW4:EW15" si="59">IF(EE4&gt;0,EE4,"")</f>
        <v/>
      </c>
      <c r="EX4" s="11" t="str">
        <f t="shared" ref="EX4:EX15" si="60">IF(EF4&gt;0,EF4,"")</f>
        <v/>
      </c>
      <c r="EY4" s="11" t="str">
        <f t="shared" ref="EY4:EY15" si="61">IF(SUM(EC4:EF4)-EG4&gt;0,SUM(EC4:EF4)-EG4,"")</f>
        <v/>
      </c>
      <c r="EZ4" s="11" t="str">
        <f t="shared" ref="EZ4:EZ15" si="62">IF(EJ4&gt;0,EJ4,"")</f>
        <v/>
      </c>
      <c r="FA4" s="11" t="str">
        <f t="shared" ref="FA4:FA15" si="63">IF(EK4&gt;0,EK4,"")</f>
        <v/>
      </c>
      <c r="FB4" s="11" t="str">
        <f t="shared" ref="FB4:FB15" si="64">IF(SUM(EH4:EK4)-EL4&gt;0,SUM(EH4:EK4)-EL4,"")</f>
        <v/>
      </c>
      <c r="FC4" s="11" t="str">
        <f t="shared" ref="FC4:FC15" si="65">IF(MAX(EY4,FB4)&gt;0,MAX(EY4,FB4),"")</f>
        <v/>
      </c>
      <c r="FD4" s="11" t="str">
        <f t="shared" ref="FD4:FD15" si="66">IF(EO4&gt;0,EO4,"")</f>
        <v/>
      </c>
      <c r="FE4" s="11" t="str">
        <f t="shared" ref="FE4:FE15" si="67">IF(EP4&gt;0,EP4,"")</f>
        <v/>
      </c>
      <c r="FF4" s="11" t="str">
        <f t="shared" ref="FF4:FF15" si="68">IF(SUM(EM4:EP4)-EQ4&gt;0,SUM(EM4:EP4)-EQ4,"")</f>
        <v/>
      </c>
      <c r="FG4" s="11" t="str">
        <f t="shared" ref="FG4:FG15" si="69">IF(ET4&gt;0,ET4,"")</f>
        <v/>
      </c>
      <c r="FH4" s="11" t="str">
        <f t="shared" ref="FH4:FH15" si="70">IF(EU4&gt;0,EU4,"")</f>
        <v/>
      </c>
      <c r="FI4" s="11" t="str">
        <f t="shared" ref="FI4:FI15" si="71">IF(SUM(ER4:EU4)-EV4&gt;0,SUM(ER4:EU4)-EV4,"")</f>
        <v/>
      </c>
      <c r="FJ4" s="11" t="str">
        <f t="shared" ref="FJ4:FJ15" si="72">IF(SUM(FC4,FF4,FI4)&gt;0,SUM(FC4,FF4,FI4),"")</f>
        <v/>
      </c>
      <c r="FK4" s="15">
        <v>7.5</v>
      </c>
      <c r="FL4" s="15">
        <v>9.25</v>
      </c>
      <c r="FM4" s="15">
        <v>14</v>
      </c>
      <c r="FN4" s="15">
        <v>17.739999999999998</v>
      </c>
      <c r="FO4" s="15">
        <v>0.2</v>
      </c>
      <c r="FP4" s="15">
        <v>7.55</v>
      </c>
      <c r="FQ4" s="15">
        <v>9.4</v>
      </c>
      <c r="FR4" s="15">
        <v>14</v>
      </c>
      <c r="FS4" s="15">
        <v>15.78</v>
      </c>
      <c r="FT4" s="15">
        <v>0</v>
      </c>
      <c r="FU4" s="15"/>
      <c r="FV4" s="15"/>
      <c r="FW4" s="15"/>
      <c r="FX4" s="15"/>
      <c r="FY4" s="15"/>
      <c r="FZ4" s="15">
        <v>8</v>
      </c>
      <c r="GA4" s="15">
        <v>9.3000000000000007</v>
      </c>
      <c r="GB4" s="15">
        <v>14</v>
      </c>
      <c r="GC4" s="15">
        <v>17.28</v>
      </c>
      <c r="GD4" s="15">
        <v>0</v>
      </c>
      <c r="GE4" s="36">
        <f t="shared" ref="GE4:GE15" si="73">IF(FM4&gt;0,FM4,"")</f>
        <v>14</v>
      </c>
      <c r="GF4" s="36">
        <f t="shared" ref="GF4:GF15" si="74">IF(FN4&gt;0,FN4,"")</f>
        <v>17.739999999999998</v>
      </c>
      <c r="GG4" s="36">
        <f t="shared" ref="GG4:GG15" si="75">IF(SUM(FK4:FN4)-FO4&gt;0,SUM(FK4:FN4)-FO4,"")</f>
        <v>48.289999999999992</v>
      </c>
      <c r="GH4" s="36">
        <f t="shared" ref="GH4:GH15" si="76">IF(FR4&gt;0,FR4,"")</f>
        <v>14</v>
      </c>
      <c r="GI4" s="36">
        <f t="shared" ref="GI4:GI15" si="77">IF(FS4&gt;0,FS4,"")</f>
        <v>15.78</v>
      </c>
      <c r="GJ4" s="36">
        <f t="shared" ref="GJ4:GJ15" si="78">IF(SUM(FP4:FS4)-FT4&gt;0,SUM(FP4:FS4)-FT4,"")</f>
        <v>46.73</v>
      </c>
      <c r="GK4" s="36">
        <f t="shared" ref="GK4:GK15" si="79">IF(MAX(GG4,GJ4)&gt;0,MAX(GG4,GJ4),"")</f>
        <v>48.289999999999992</v>
      </c>
      <c r="GL4" s="36" t="str">
        <f t="shared" ref="GL4:GL15" si="80">IF(FW4&gt;0,FW4,"")</f>
        <v/>
      </c>
      <c r="GM4" s="36" t="str">
        <f t="shared" ref="GM4:GM15" si="81">IF(FX4&gt;0,FX4,"")</f>
        <v/>
      </c>
      <c r="GN4" s="36" t="str">
        <f t="shared" ref="GN4:GN15" si="82">IF(SUM(FU4:FX4)-FY4&gt;0,SUM(FU4:FX4)-FY4,"")</f>
        <v/>
      </c>
      <c r="GO4" s="36">
        <f t="shared" ref="GO4:GO15" si="83">IF(GB4&gt;0,GB4,"")</f>
        <v>14</v>
      </c>
      <c r="GP4" s="36">
        <f t="shared" ref="GP4:GP15" si="84">IF(GC4&gt;0,GC4,"")</f>
        <v>17.28</v>
      </c>
      <c r="GQ4" s="36">
        <f t="shared" ref="GQ4:GQ15" si="85">IF(SUM(FZ4:GC4)-GD4&gt;0,SUM(FZ4:GC4)-GD4,"")</f>
        <v>48.58</v>
      </c>
      <c r="GR4" s="36">
        <f t="shared" ref="GR4:GR15" si="86">IF(SUM(GK4,GN4,GQ4)&gt;0,SUM(GK4,GN4,GQ4),"")</f>
        <v>96.86999999999999</v>
      </c>
      <c r="GS4" s="16">
        <v>7.65</v>
      </c>
      <c r="GT4" s="16">
        <v>9.15</v>
      </c>
      <c r="GU4" s="16">
        <v>14</v>
      </c>
      <c r="GV4" s="16">
        <v>18.079999999999998</v>
      </c>
      <c r="GW4" s="16">
        <v>0.4</v>
      </c>
      <c r="GX4" s="16">
        <v>7.45</v>
      </c>
      <c r="GY4" s="16">
        <v>9.4499999999999993</v>
      </c>
      <c r="GZ4" s="16">
        <v>14</v>
      </c>
      <c r="HA4" s="16">
        <v>17.28</v>
      </c>
      <c r="HB4" s="16">
        <v>0</v>
      </c>
      <c r="HC4" s="16">
        <v>3.15</v>
      </c>
      <c r="HD4" s="16">
        <v>3.6</v>
      </c>
      <c r="HE4" s="16">
        <v>5.6</v>
      </c>
      <c r="HF4" s="16">
        <v>7.5</v>
      </c>
      <c r="HG4" s="16">
        <v>0</v>
      </c>
      <c r="HH4" s="16">
        <v>7.5</v>
      </c>
      <c r="HI4" s="16">
        <v>9.4</v>
      </c>
      <c r="HJ4" s="16">
        <v>14</v>
      </c>
      <c r="HK4" s="16">
        <v>16.84</v>
      </c>
      <c r="HL4" s="16">
        <v>0</v>
      </c>
      <c r="HM4" s="11">
        <f t="shared" ref="HM4:HM15" si="87">IF(GU4&gt;0,GU4,"")</f>
        <v>14</v>
      </c>
      <c r="HN4" s="11">
        <f t="shared" ref="HN4:HN15" si="88">IF(GV4&gt;0,GV4,"")</f>
        <v>18.079999999999998</v>
      </c>
      <c r="HO4" s="11">
        <f t="shared" ref="HO4:HO15" si="89">IF(SUM(GS4:GV4)-GW4&gt;0,SUM(GS4:GV4)-GW4,"")</f>
        <v>48.48</v>
      </c>
      <c r="HP4" s="11">
        <f t="shared" ref="HP4:HP15" si="90">IF(GZ4&gt;0,GZ4,"")</f>
        <v>14</v>
      </c>
      <c r="HQ4" s="11">
        <f t="shared" ref="HQ4:HQ15" si="91">IF(HA4&gt;0,HA4,"")</f>
        <v>17.28</v>
      </c>
      <c r="HR4" s="11">
        <f t="shared" ref="HR4:HR15" si="92">IF(SUM(GX4:HA4)-HB4&gt;0,SUM(GX4:HA4)-HB4,"")</f>
        <v>48.18</v>
      </c>
      <c r="HS4" s="11">
        <f t="shared" ref="HS4:HS15" si="93">IF(MAX(HO4,HR4)&gt;0,MAX(HO4,HR4),"")</f>
        <v>48.48</v>
      </c>
      <c r="HT4" s="11">
        <f t="shared" ref="HT4:HT15" si="94">IF(HE4&gt;0,HE4,"")</f>
        <v>5.6</v>
      </c>
      <c r="HU4" s="11">
        <f t="shared" ref="HU4:HU15" si="95">IF(HF4&gt;0,HF4,"")</f>
        <v>7.5</v>
      </c>
      <c r="HV4" s="11">
        <f t="shared" ref="HV4:HV15" si="96">IF(SUM(HC4:HF4)-HG4&gt;0,SUM(HC4:HF4)-HG4,"")</f>
        <v>19.850000000000001</v>
      </c>
      <c r="HW4" s="11">
        <f t="shared" ref="HW4:HW15" si="97">IF(HJ4&gt;0,HJ4,"")</f>
        <v>14</v>
      </c>
      <c r="HX4" s="11">
        <f t="shared" ref="HX4:HX15" si="98">IF(HK4&gt;0,HK4,"")</f>
        <v>16.84</v>
      </c>
      <c r="HY4" s="11">
        <f t="shared" ref="HY4:HY15" si="99">IF(SUM(HH4:HK4)-HL4&gt;0,SUM(HH4:HK4)-HL4,"")</f>
        <v>47.739999999999995</v>
      </c>
      <c r="HZ4" s="11">
        <f t="shared" ref="HZ4:HZ15" si="100">IF(SUM(HS4,HV4,HY4)&gt;0,SUM(HS4,HV4,HY4),"")</f>
        <v>116.07</v>
      </c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36" t="str">
        <f t="shared" ref="IU4:IU15" si="101">IF(IC4&gt;0,IC4,"")</f>
        <v/>
      </c>
      <c r="IV4" s="36" t="str">
        <f t="shared" ref="IV4:IV15" si="102">IF(ID4&gt;0,ID4,"")</f>
        <v/>
      </c>
      <c r="IW4" s="36" t="str">
        <f t="shared" ref="IW4:IW15" si="103">IF(SUM(IA4:ID4)-IE4&gt;0,SUM(IA4:ID4)-IE4,"")</f>
        <v/>
      </c>
      <c r="IX4" s="36" t="str">
        <f t="shared" ref="IX4:IX15" si="104">IF(IH4&gt;0,IH4,"")</f>
        <v/>
      </c>
      <c r="IY4" s="36" t="str">
        <f t="shared" ref="IY4:IY15" si="105">IF(II4&gt;0,II4,"")</f>
        <v/>
      </c>
      <c r="IZ4" s="36" t="str">
        <f t="shared" ref="IZ4:IZ15" si="106">IF(SUM(IF4:II4)-IJ4&gt;0,SUM(IF4:II4)-IJ4,"")</f>
        <v/>
      </c>
      <c r="JA4" s="36" t="str">
        <f t="shared" ref="JA4:JA15" si="107">IF(MAX(IW4,IZ4)&gt;0,MAX(IW4,IZ4),"")</f>
        <v/>
      </c>
      <c r="JB4" s="36" t="str">
        <f t="shared" ref="JB4:JB15" si="108">IF(IM4&gt;0,IM4,"")</f>
        <v/>
      </c>
      <c r="JC4" s="36" t="str">
        <f t="shared" ref="JC4:JC15" si="109">IF(IN4&gt;0,IN4,"")</f>
        <v/>
      </c>
      <c r="JD4" s="36" t="str">
        <f t="shared" ref="JD4:JD15" si="110">IF(SUM(IK4:IN4)-IO4&gt;0,SUM(IK4:IN4)-IO4,"")</f>
        <v/>
      </c>
      <c r="JE4" s="36" t="str">
        <f t="shared" ref="JE4:JE15" si="111">IF(IR4&gt;0,IR4,"")</f>
        <v/>
      </c>
      <c r="JF4" s="36" t="str">
        <f t="shared" ref="JF4:JF15" si="112">IF(IS4&gt;0,IS4,"")</f>
        <v/>
      </c>
      <c r="JG4" s="36" t="str">
        <f t="shared" ref="JG4:JG15" si="113">IF(SUM(IP4:IS4)-IT4&gt;0,SUM(IP4:IS4)-IT4,"")</f>
        <v/>
      </c>
      <c r="JH4" s="36" t="str">
        <f t="shared" ref="JH4:JH15" si="114">IF(SUM(JA4,JD4,JG4)&gt;0,SUM(JA4,JD4,JG4),"")</f>
        <v/>
      </c>
      <c r="JI4" s="16">
        <v>6.95</v>
      </c>
      <c r="JJ4" s="16">
        <v>8.3000000000000007</v>
      </c>
      <c r="JK4" s="16">
        <v>12.3</v>
      </c>
      <c r="JL4" s="16">
        <v>10.96</v>
      </c>
      <c r="JM4" s="16">
        <v>0</v>
      </c>
      <c r="JN4" s="16">
        <v>8.35</v>
      </c>
      <c r="JO4" s="16">
        <v>9.4</v>
      </c>
      <c r="JP4" s="16">
        <v>14</v>
      </c>
      <c r="JQ4" s="16">
        <v>18.940000000000001</v>
      </c>
      <c r="JR4" s="16">
        <v>0</v>
      </c>
      <c r="JS4" s="16"/>
      <c r="JT4" s="16"/>
      <c r="JU4" s="16"/>
      <c r="JV4" s="16"/>
      <c r="JW4" s="16"/>
      <c r="JX4" s="16">
        <v>8.15</v>
      </c>
      <c r="JY4" s="16">
        <v>9.25</v>
      </c>
      <c r="JZ4" s="16">
        <v>14</v>
      </c>
      <c r="KA4" s="16">
        <v>17.739999999999998</v>
      </c>
      <c r="KB4" s="16">
        <v>0</v>
      </c>
      <c r="KC4" s="11">
        <f t="shared" ref="KC4:KC15" si="115">IF(JK4&gt;0,JK4,"")</f>
        <v>12.3</v>
      </c>
      <c r="KD4" s="11">
        <f t="shared" ref="KD4:KD15" si="116">IF(JL4&gt;0,JL4,"")</f>
        <v>10.96</v>
      </c>
      <c r="KE4" s="11">
        <f t="shared" ref="KE4:KE15" si="117">IF(SUM(JI4:JL4)-JM4&gt;0,SUM(JI4:JL4)-JM4,"")</f>
        <v>38.510000000000005</v>
      </c>
      <c r="KF4" s="11">
        <f t="shared" ref="KF4:KF15" si="118">IF(JP4&gt;0,JP4,"")</f>
        <v>14</v>
      </c>
      <c r="KG4" s="11">
        <f t="shared" ref="KG4:KG15" si="119">IF(JQ4&gt;0,JQ4,"")</f>
        <v>18.940000000000001</v>
      </c>
      <c r="KH4" s="11">
        <f t="shared" ref="KH4:KH15" si="120">IF(SUM(JN4:JQ4)-JR4&gt;0,SUM(JN4:JQ4)-JR4,"")</f>
        <v>50.69</v>
      </c>
      <c r="KI4" s="11">
        <f t="shared" ref="KI4:KI15" si="121">IF(MAX(KE4,KH4)&gt;0,MAX(KE4,KH4),"")</f>
        <v>50.69</v>
      </c>
      <c r="KJ4" s="11" t="str">
        <f t="shared" ref="KJ4:KJ15" si="122">IF(JU4&gt;0,JU4,"")</f>
        <v/>
      </c>
      <c r="KK4" s="11" t="str">
        <f t="shared" ref="KK4:KK15" si="123">IF(JV4&gt;0,JV4,"")</f>
        <v/>
      </c>
      <c r="KL4" s="11" t="str">
        <f t="shared" ref="KL4:KL15" si="124">IF(SUM(JS4:JV4)-JW4&gt;0,SUM(JS4:JV4)-JW4,"")</f>
        <v/>
      </c>
      <c r="KM4" s="11">
        <f t="shared" ref="KM4:KM15" si="125">IF(JZ4&gt;0,JZ4,"")</f>
        <v>14</v>
      </c>
      <c r="KN4" s="11">
        <f t="shared" ref="KN4:KN15" si="126">IF(KA4&gt;0,KA4,"")</f>
        <v>17.739999999999998</v>
      </c>
      <c r="KO4" s="11">
        <f t="shared" ref="KO4:KO15" si="127">IF(SUM(JX4:KA4)-KB4&gt;0,SUM(JX4:KA4)-KB4,"")</f>
        <v>49.14</v>
      </c>
      <c r="KP4" s="11">
        <f t="shared" ref="KP4:KP15" si="128">IF(SUM(KI4,KL4,KO4)&gt;0,SUM(KI4,KL4,KO4),"")</f>
        <v>99.83</v>
      </c>
      <c r="KQ4" s="15">
        <v>7.85</v>
      </c>
      <c r="KR4" s="15">
        <v>9.25</v>
      </c>
      <c r="KS4" s="15">
        <v>14</v>
      </c>
      <c r="KT4" s="15">
        <v>16.7</v>
      </c>
      <c r="KU4" s="15">
        <v>0</v>
      </c>
      <c r="KV4" s="15">
        <v>7.8</v>
      </c>
      <c r="KW4" s="15">
        <v>9.35</v>
      </c>
      <c r="KX4" s="15">
        <v>14</v>
      </c>
      <c r="KY4" s="15">
        <v>18.12</v>
      </c>
      <c r="KZ4" s="15">
        <v>0</v>
      </c>
      <c r="LA4" s="15"/>
      <c r="LB4" s="15"/>
      <c r="LC4" s="15"/>
      <c r="LD4" s="15"/>
      <c r="LE4" s="15"/>
      <c r="LF4" s="15">
        <v>7.9</v>
      </c>
      <c r="LG4" s="15">
        <v>9.4499999999999993</v>
      </c>
      <c r="LH4" s="15">
        <v>14</v>
      </c>
      <c r="LI4" s="15">
        <v>18.88</v>
      </c>
      <c r="LJ4" s="15">
        <v>0</v>
      </c>
      <c r="LK4" s="36">
        <f t="shared" ref="LK4:LK15" si="129">IF(KS4&gt;0,KS4,"")</f>
        <v>14</v>
      </c>
      <c r="LL4" s="36">
        <f t="shared" ref="LL4:LL15" si="130">IF(KT4&gt;0,KT4,"")</f>
        <v>16.7</v>
      </c>
      <c r="LM4" s="36">
        <f t="shared" ref="LM4:LM15" si="131">IF(SUM(KQ4:KT4)-KU4&gt;0,SUM(KQ4:KT4)-KU4,"")</f>
        <v>47.8</v>
      </c>
      <c r="LN4" s="36">
        <f t="shared" ref="LN4:LN15" si="132">IF(KX4&gt;0,KX4,"")</f>
        <v>14</v>
      </c>
      <c r="LO4" s="36">
        <f t="shared" ref="LO4:LO15" si="133">IF(KY4&gt;0,KY4,"")</f>
        <v>18.12</v>
      </c>
      <c r="LP4" s="36">
        <f t="shared" ref="LP4:LP15" si="134">IF(SUM(KV4:KY4)-KZ4&gt;0,SUM(KV4:KY4)-KZ4,"")</f>
        <v>49.269999999999996</v>
      </c>
      <c r="LQ4" s="36">
        <f t="shared" ref="LQ4:LQ15" si="135">IF(MAX(LM4,LP4)&gt;0,MAX(LM4,LP4),"")</f>
        <v>49.269999999999996</v>
      </c>
      <c r="LR4" s="36" t="str">
        <f t="shared" ref="LR4:LR15" si="136">IF(LC4&gt;0,LC4,"")</f>
        <v/>
      </c>
      <c r="LS4" s="36" t="str">
        <f t="shared" ref="LS4:LS15" si="137">IF(LD4&gt;0,LD4,"")</f>
        <v/>
      </c>
      <c r="LT4" s="36" t="str">
        <f t="shared" ref="LT4:LT15" si="138">IF(SUM(LA4:LD4)-LE4&gt;0,SUM(LA4:LD4)-LE4,"")</f>
        <v/>
      </c>
      <c r="LU4" s="36">
        <f t="shared" ref="LU4:LU15" si="139">IF(LH4&gt;0,LH4,"")</f>
        <v>14</v>
      </c>
      <c r="LV4" s="36">
        <f t="shared" ref="LV4:LV15" si="140">IF(LI4&gt;0,LI4,"")</f>
        <v>18.88</v>
      </c>
      <c r="LW4" s="36">
        <f t="shared" ref="LW4:LW15" si="141">IF(SUM(LF4:LI4)-LJ4&gt;0,SUM(LF4:LI4)-LJ4,"")</f>
        <v>50.230000000000004</v>
      </c>
      <c r="LX4" s="36">
        <f t="shared" ref="LX4:LX15" si="142">IF(SUM(LQ4,LT4,LW4)&gt;0,SUM(LQ4,LT4,LW4),"")</f>
        <v>99.5</v>
      </c>
      <c r="LY4" s="16">
        <v>3.95</v>
      </c>
      <c r="LZ4" s="16">
        <v>4.6500000000000004</v>
      </c>
      <c r="MA4" s="16">
        <v>7.1</v>
      </c>
      <c r="MB4" s="16">
        <v>7.88</v>
      </c>
      <c r="MC4" s="16">
        <v>0</v>
      </c>
      <c r="MD4" s="16">
        <v>4.0999999999999996</v>
      </c>
      <c r="ME4" s="16">
        <v>4.6500000000000004</v>
      </c>
      <c r="MF4" s="16">
        <v>7.1</v>
      </c>
      <c r="MG4" s="16">
        <v>8.6999999999999993</v>
      </c>
      <c r="MH4" s="16">
        <v>0.2</v>
      </c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1">
        <f t="shared" ref="MS4:MS15" si="143">IF(MA4&gt;0,MA4,"")</f>
        <v>7.1</v>
      </c>
      <c r="MT4" s="11">
        <f t="shared" ref="MT4:MT15" si="144">IF(MB4&gt;0,MB4,"")</f>
        <v>7.88</v>
      </c>
      <c r="MU4" s="11">
        <f t="shared" ref="MU4:MU15" si="145">IF(SUM(LY4:MB4)-MC4&gt;0,SUM(LY4:MB4)-MC4,"")</f>
        <v>23.580000000000002</v>
      </c>
      <c r="MV4" s="11">
        <f t="shared" ref="MV4:MV15" si="146">IF(MF4&gt;0,MF4,"")</f>
        <v>7.1</v>
      </c>
      <c r="MW4" s="11">
        <f t="shared" ref="MW4:MW15" si="147">IF(MG4&gt;0,MG4,"")</f>
        <v>8.6999999999999993</v>
      </c>
      <c r="MX4" s="11">
        <f t="shared" ref="MX4:MX15" si="148">IF(SUM(MD4:MG4)-MH4&gt;0,SUM(MD4:MG4)-MH4,"")</f>
        <v>24.349999999999998</v>
      </c>
      <c r="MY4" s="11">
        <f t="shared" ref="MY4:MY15" si="149">IF(MAX(MU4,MX4)&gt;0,MAX(MU4,MX4),"")</f>
        <v>24.349999999999998</v>
      </c>
      <c r="MZ4" s="11" t="str">
        <f t="shared" ref="MZ4:MZ15" si="150">IF(MK4&gt;0,MK4,"")</f>
        <v/>
      </c>
      <c r="NA4" s="11" t="str">
        <f t="shared" ref="NA4:NA15" si="151">IF(ML4&gt;0,ML4,"")</f>
        <v/>
      </c>
      <c r="NB4" s="11" t="str">
        <f t="shared" ref="NB4:NB15" si="152">IF(SUM(MI4:ML4)-MM4&gt;0,SUM(MI4:ML4)-MM4,"")</f>
        <v/>
      </c>
      <c r="NC4" s="11" t="str">
        <f t="shared" ref="NC4:NC15" si="153">IF(MP4&gt;0,MP4,"")</f>
        <v/>
      </c>
      <c r="ND4" s="11" t="str">
        <f t="shared" ref="ND4:ND15" si="154">IF(MQ4&gt;0,MQ4,"")</f>
        <v/>
      </c>
      <c r="NE4" s="11" t="str">
        <f t="shared" ref="NE4:NE15" si="155">IF(SUM(MN4:MQ4)-MR4&gt;0,SUM(MN4:MQ4)-MR4,"")</f>
        <v/>
      </c>
      <c r="NF4" s="11">
        <f t="shared" ref="NF4:NF15" si="156">IF(SUM(MY4,NB4,NE4)&gt;0,SUM(MY4,NB4,NE4),"")</f>
        <v>24.349999999999998</v>
      </c>
      <c r="NG4" s="15"/>
      <c r="NH4" s="15"/>
      <c r="NI4" s="15"/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36" t="str">
        <f t="shared" ref="OA4:OA15" si="157">IF(NI4&gt;0,NI4,"")</f>
        <v/>
      </c>
      <c r="OB4" s="36" t="str">
        <f t="shared" ref="OB4:OB15" si="158">IF(NJ4&gt;0,NJ4,"")</f>
        <v/>
      </c>
      <c r="OC4" s="36" t="str">
        <f t="shared" ref="OC4:OC15" si="159">IF(SUM(NG4:NJ4)-NK4&gt;0,SUM(NG4:NJ4)-NK4,"")</f>
        <v/>
      </c>
      <c r="OD4" s="36" t="str">
        <f t="shared" ref="OD4:OD15" si="160">IF(NN4&gt;0,NN4,"")</f>
        <v/>
      </c>
      <c r="OE4" s="36" t="str">
        <f t="shared" ref="OE4:OE15" si="161">IF(NO4&gt;0,NO4,"")</f>
        <v/>
      </c>
      <c r="OF4" s="36" t="str">
        <f t="shared" ref="OF4:OF15" si="162">IF(SUM(NL4:NO4)-NP4&gt;0,SUM(NL4:NO4)-NP4,"")</f>
        <v/>
      </c>
      <c r="OG4" s="36" t="str">
        <f t="shared" ref="OG4:OG15" si="163">IF(MAX(OC4,OF4)&gt;0,MAX(OC4,OF4),"")</f>
        <v/>
      </c>
      <c r="OH4" s="36" t="str">
        <f t="shared" ref="OH4:OH15" si="164">IF(NS4&gt;0,NS4,"")</f>
        <v/>
      </c>
      <c r="OI4" s="36" t="str">
        <f t="shared" ref="OI4:OI15" si="165">IF(NT4&gt;0,NT4,"")</f>
        <v/>
      </c>
      <c r="OJ4" s="36" t="str">
        <f t="shared" ref="OJ4:OJ15" si="166">IF(SUM(NQ4:NT4)-NU4&gt;0,SUM(NQ4:NT4)-NU4,"")</f>
        <v/>
      </c>
      <c r="OK4" s="36" t="str">
        <f t="shared" ref="OK4:OK15" si="167">IF(NX4&gt;0,NX4,"")</f>
        <v/>
      </c>
      <c r="OL4" s="36" t="str">
        <f t="shared" ref="OL4:OL15" si="168">IF(NY4&gt;0,NY4,"")</f>
        <v/>
      </c>
      <c r="OM4" s="36" t="str">
        <f t="shared" ref="OM4:OM15" si="169">IF(SUM(NV4:NY4)-NZ4&gt;0,SUM(NV4:NY4)-NZ4,"")</f>
        <v/>
      </c>
      <c r="ON4" s="36" t="str">
        <f t="shared" ref="ON4:ON15" si="170">IF(SUM(OG4,OJ4,OM4)&gt;0,SUM(OG4,OJ4,OM4),"")</f>
        <v/>
      </c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1" t="str">
        <f t="shared" ref="PI4:PI15" si="171">IF(OQ4&gt;0,OQ4,"")</f>
        <v/>
      </c>
      <c r="PJ4" s="11" t="str">
        <f t="shared" ref="PJ4:PJ15" si="172">IF(OR4&gt;0,OR4,"")</f>
        <v/>
      </c>
      <c r="PK4" s="11" t="str">
        <f t="shared" ref="PK4:PK15" si="173">IF(SUM(OO4:OR4)-OS4&gt;0,SUM(OO4:OR4)-OS4,"")</f>
        <v/>
      </c>
      <c r="PL4" s="11" t="str">
        <f t="shared" ref="PL4:PL15" si="174">IF(OV4&gt;0,OV4,"")</f>
        <v/>
      </c>
      <c r="PM4" s="11" t="str">
        <f t="shared" ref="PM4:PM15" si="175">IF(OW4&gt;0,OW4,"")</f>
        <v/>
      </c>
      <c r="PN4" s="11" t="str">
        <f t="shared" ref="PN4:PN15" si="176">IF(SUM(OT4:OW4)-OX4&gt;0,SUM(OT4:OW4)-OX4,"")</f>
        <v/>
      </c>
      <c r="PO4" s="11" t="str">
        <f t="shared" ref="PO4:PO15" si="177">IF(MAX(PK4,PN4)&gt;0,MAX(PK4,PN4),"")</f>
        <v/>
      </c>
      <c r="PP4" s="11" t="str">
        <f t="shared" ref="PP4:PP15" si="178">IF(PA4&gt;0,PA4,"")</f>
        <v/>
      </c>
      <c r="PQ4" s="11" t="str">
        <f t="shared" ref="PQ4:PQ15" si="179">IF(PB4&gt;0,PB4,"")</f>
        <v/>
      </c>
      <c r="PR4" s="11" t="str">
        <f t="shared" ref="PR4:PR15" si="180">IF(SUM(OY4:PB4)-PC4&gt;0,SUM(OY4:PB4)-PC4,"")</f>
        <v/>
      </c>
      <c r="PS4" s="11" t="str">
        <f t="shared" ref="PS4:PS15" si="181">IF(PF4&gt;0,PF4,"")</f>
        <v/>
      </c>
      <c r="PT4" s="11" t="str">
        <f t="shared" ref="PT4:PT15" si="182">IF(PG4&gt;0,PG4,"")</f>
        <v/>
      </c>
      <c r="PU4" s="11" t="str">
        <f t="shared" ref="PU4:PU15" si="183">IF(SUM(PD4:PG4)-PH4&gt;0,SUM(PD4:PG4)-PH4,"")</f>
        <v/>
      </c>
      <c r="PV4" s="11" t="str">
        <f t="shared" ref="PV4:PV15" si="184">IF(SUM(PO4,PR4,PU4)&gt;0,SUM(PO4,PR4,PU4),"")</f>
        <v/>
      </c>
      <c r="PW4" s="15"/>
      <c r="PX4" s="15"/>
      <c r="PY4" s="15"/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36" t="str">
        <f t="shared" ref="QQ4:QQ15" si="185">IF(PY4&gt;0,PY4,"")</f>
        <v/>
      </c>
      <c r="QR4" s="36" t="str">
        <f t="shared" ref="QR4:QR15" si="186">IF(PZ4&gt;0,PZ4,"")</f>
        <v/>
      </c>
      <c r="QS4" s="36" t="str">
        <f t="shared" ref="QS4:QS15" si="187">IF(SUM(PW4:PZ4)-QA4&gt;0,SUM(PW4:PZ4)-QA4,"")</f>
        <v/>
      </c>
      <c r="QT4" s="36" t="str">
        <f t="shared" ref="QT4:QT15" si="188">IF(QD4&gt;0,QD4,"")</f>
        <v/>
      </c>
      <c r="QU4" s="36" t="str">
        <f t="shared" ref="QU4:QU15" si="189">IF(QE4&gt;0,QE4,"")</f>
        <v/>
      </c>
      <c r="QV4" s="36" t="str">
        <f t="shared" ref="QV4:QV15" si="190">IF(SUM(QB4:QE4)-QF4&gt;0,SUM(QB4:QE4)-QF4,"")</f>
        <v/>
      </c>
      <c r="QW4" s="36" t="str">
        <f t="shared" ref="QW4:QW15" si="191">IF(MAX(QS4,QV4)&gt;0,MAX(QS4,QV4),"")</f>
        <v/>
      </c>
      <c r="QX4" s="36" t="str">
        <f t="shared" ref="QX4:QX15" si="192">IF(QI4&gt;0,QI4,"")</f>
        <v/>
      </c>
      <c r="QY4" s="36" t="str">
        <f t="shared" ref="QY4:QY15" si="193">IF(QJ4&gt;0,QJ4,"")</f>
        <v/>
      </c>
      <c r="QZ4" s="36" t="str">
        <f t="shared" ref="QZ4:QZ15" si="194">IF(SUM(QG4:QJ4)-QK4&gt;0,SUM(QG4:QJ4)-QK4,"")</f>
        <v/>
      </c>
      <c r="RA4" s="36" t="str">
        <f t="shared" ref="RA4:RA15" si="195">IF(QN4&gt;0,QN4,"")</f>
        <v/>
      </c>
      <c r="RB4" s="36" t="str">
        <f t="shared" ref="RB4:RB15" si="196">IF(QO4&gt;0,QO4,"")</f>
        <v/>
      </c>
      <c r="RC4" s="36" t="str">
        <f t="shared" ref="RC4:RC15" si="197">IF(SUM(QL4:QO4)-QP4&gt;0,SUM(QL4:QO4)-QP4,"")</f>
        <v/>
      </c>
      <c r="RD4" s="36" t="str">
        <f t="shared" ref="RD4:RD15" si="198">IF(SUM(QW4,QZ4,RC4)&gt;0,SUM(QW4,QZ4,RC4),"")</f>
        <v/>
      </c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1" t="str">
        <f t="shared" ref="RY4:RY15" si="199">IF(RG4&gt;0,RG4,"")</f>
        <v/>
      </c>
      <c r="RZ4" s="11" t="str">
        <f t="shared" ref="RZ4:RZ15" si="200">IF(RH4&gt;0,RH4,"")</f>
        <v/>
      </c>
      <c r="SA4" s="11" t="str">
        <f t="shared" ref="SA4:SA15" si="201">IF(SUM(RE4:RH4)-RI4&gt;0,SUM(RE4:RH4)-RI4,"")</f>
        <v/>
      </c>
      <c r="SB4" s="11" t="str">
        <f t="shared" ref="SB4:SB15" si="202">IF(RL4&gt;0,RL4,"")</f>
        <v/>
      </c>
      <c r="SC4" s="11" t="str">
        <f t="shared" ref="SC4:SC15" si="203">IF(RM4&gt;0,RM4,"")</f>
        <v/>
      </c>
      <c r="SD4" s="11" t="str">
        <f t="shared" ref="SD4:SD15" si="204">IF(SUM(RJ4:RM4)-RN4&gt;0,SUM(RJ4:RM4)-RN4,"")</f>
        <v/>
      </c>
      <c r="SE4" s="11" t="str">
        <f t="shared" ref="SE4:SE15" si="205">IF(MAX(SA4,SD4)&gt;0,MAX(SA4,SD4),"")</f>
        <v/>
      </c>
      <c r="SF4" s="11" t="str">
        <f t="shared" ref="SF4:SF15" si="206">IF(RQ4&gt;0,RQ4,"")</f>
        <v/>
      </c>
      <c r="SG4" s="11" t="str">
        <f t="shared" ref="SG4:SG15" si="207">IF(RR4&gt;0,RR4,"")</f>
        <v/>
      </c>
      <c r="SH4" s="11" t="str">
        <f t="shared" ref="SH4:SH15" si="208">IF(SUM(RO4:RR4)-RS4&gt;0,SUM(RO4:RR4)-RS4,"")</f>
        <v/>
      </c>
      <c r="SI4" s="11" t="str">
        <f t="shared" ref="SI4:SI15" si="209">IF(RV4&gt;0,RV4,"")</f>
        <v/>
      </c>
      <c r="SJ4" s="11" t="str">
        <f t="shared" ref="SJ4:SJ15" si="210">IF(RW4&gt;0,RW4,"")</f>
        <v/>
      </c>
      <c r="SK4" s="11" t="str">
        <f t="shared" ref="SK4:SK15" si="211">IF(SUM(RT4:RW4)-RX4&gt;0,SUM(RT4:RW4)-RX4,"")</f>
        <v/>
      </c>
      <c r="SL4" s="11" t="str">
        <f t="shared" ref="SL4:SL15" si="212">IF(SUM(SE4,SH4,SK4)&gt;0,SUM(SE4,SH4,SK4),"")</f>
        <v/>
      </c>
      <c r="SM4" s="15"/>
      <c r="SN4" s="15"/>
      <c r="SO4" s="15"/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36" t="str">
        <f t="shared" ref="TG4:TG15" si="213">IF(SO4&gt;0,SO4,"")</f>
        <v/>
      </c>
      <c r="TH4" s="36" t="str">
        <f t="shared" ref="TH4:TH15" si="214">IF(SP4&gt;0,SP4,"")</f>
        <v/>
      </c>
      <c r="TI4" s="36" t="str">
        <f t="shared" ref="TI4:TI15" si="215">IF(SUM(SM4:SP4)-SQ4&gt;0,SUM(SM4:SP4)-SQ4,"")</f>
        <v/>
      </c>
      <c r="TJ4" s="36" t="str">
        <f t="shared" ref="TJ4:TJ15" si="216">IF(ST4&gt;0,ST4,"")</f>
        <v/>
      </c>
      <c r="TK4" s="36" t="str">
        <f t="shared" ref="TK4:TK15" si="217">IF(SU4&gt;0,SU4,"")</f>
        <v/>
      </c>
      <c r="TL4" s="36" t="str">
        <f t="shared" ref="TL4:TL15" si="218">IF(SUM(SR4:SU4)-SV4&gt;0,SUM(SR4:SU4)-SV4,"")</f>
        <v/>
      </c>
      <c r="TM4" s="36" t="str">
        <f t="shared" ref="TM4:TM15" si="219">IF(MAX(TI4,TL4)&gt;0,MAX(TI4,TL4),"")</f>
        <v/>
      </c>
      <c r="TN4" s="36" t="str">
        <f t="shared" ref="TN4:TN15" si="220">IF(SY4&gt;0,SY4,"")</f>
        <v/>
      </c>
      <c r="TO4" s="36" t="str">
        <f t="shared" ref="TO4:TO15" si="221">IF(SZ4&gt;0,SZ4,"")</f>
        <v/>
      </c>
      <c r="TP4" s="36" t="str">
        <f t="shared" ref="TP4:TP15" si="222">IF(SUM(SW4:SZ4)-TA4&gt;0,SUM(SW4:SZ4)-TA4,"")</f>
        <v/>
      </c>
      <c r="TQ4" s="36" t="str">
        <f t="shared" ref="TQ4:TQ15" si="223">IF(TD4&gt;0,TD4,"")</f>
        <v/>
      </c>
      <c r="TR4" s="36" t="str">
        <f t="shared" ref="TR4:TR15" si="224">IF(TE4&gt;0,TE4,"")</f>
        <v/>
      </c>
      <c r="TS4" s="36" t="str">
        <f t="shared" ref="TS4:TS15" si="225">IF(SUM(TB4:TE4)-TF4&gt;0,SUM(TB4:TE4)-TF4,"")</f>
        <v/>
      </c>
      <c r="TT4" s="36" t="str">
        <f t="shared" ref="TT4:TT15" si="226">IF(SUM(TM4,TP4,TS4)&gt;0,SUM(TM4,TP4,TS4),"")</f>
        <v/>
      </c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1" t="str">
        <f t="shared" ref="UO4:UO15" si="227">IF(TW4&gt;0,TW4,"")</f>
        <v/>
      </c>
      <c r="UP4" s="11" t="str">
        <f t="shared" ref="UP4:UP15" si="228">IF(TX4&gt;0,TX4,"")</f>
        <v/>
      </c>
      <c r="UQ4" s="11" t="str">
        <f t="shared" ref="UQ4:UQ15" si="229">IF(SUM(TU4:TX4)-TY4&gt;0,SUM(TU4:TX4)-TY4,"")</f>
        <v/>
      </c>
      <c r="UR4" s="11" t="str">
        <f t="shared" ref="UR4:UR15" si="230">IF(UB4&gt;0,UB4,"")</f>
        <v/>
      </c>
      <c r="US4" s="11" t="str">
        <f t="shared" ref="US4:US15" si="231">IF(UC4&gt;0,UC4,"")</f>
        <v/>
      </c>
      <c r="UT4" s="11" t="str">
        <f t="shared" ref="UT4:UT15" si="232">IF(SUM(TZ4:UC4)-UD4&gt;0,SUM(TZ4:UC4)-UD4,"")</f>
        <v/>
      </c>
      <c r="UU4" s="11" t="str">
        <f t="shared" ref="UU4:UU15" si="233">IF(MAX(UQ4,UT4)&gt;0,MAX(UQ4,UT4),"")</f>
        <v/>
      </c>
      <c r="UV4" s="11" t="str">
        <f t="shared" ref="UV4:UV15" si="234">IF(UG4&gt;0,UG4,"")</f>
        <v/>
      </c>
      <c r="UW4" s="11" t="str">
        <f t="shared" ref="UW4:UW15" si="235">IF(UH4&gt;0,UH4,"")</f>
        <v/>
      </c>
      <c r="UX4" s="11" t="str">
        <f t="shared" ref="UX4:UX15" si="236">IF(SUM(UE4:UH4)-UI4&gt;0,SUM(UE4:UH4)-UI4,"")</f>
        <v/>
      </c>
      <c r="UY4" s="11" t="str">
        <f t="shared" ref="UY4:UY15" si="237">IF(UL4&gt;0,UL4,"")</f>
        <v/>
      </c>
      <c r="UZ4" s="11" t="str">
        <f t="shared" ref="UZ4:UZ15" si="238">IF(UM4&gt;0,UM4,"")</f>
        <v/>
      </c>
      <c r="VA4" s="11" t="str">
        <f t="shared" ref="VA4:VA15" si="239">IF(SUM(UJ4:UM4)-UN4&gt;0,SUM(UJ4:UM4)-UN4,"")</f>
        <v/>
      </c>
      <c r="VB4" s="11" t="str">
        <f t="shared" ref="VB4:VB15" si="240">IF(SUM(UU4,UX4,VA4)&gt;0,SUM(UU4,UX4,VA4),"")</f>
        <v/>
      </c>
      <c r="VC4" s="15"/>
      <c r="VD4" s="15"/>
      <c r="VE4" s="15"/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36" t="str">
        <f t="shared" ref="VW4:VW15" si="241">IF(VE4&gt;0,VE4,"")</f>
        <v/>
      </c>
      <c r="VX4" s="36" t="str">
        <f t="shared" ref="VX4:VX15" si="242">IF(VF4&gt;0,VF4,"")</f>
        <v/>
      </c>
      <c r="VY4" s="36" t="str">
        <f t="shared" ref="VY4:VY15" si="243">IF(SUM(VC4:VF4)-VG4&gt;0,SUM(VC4:VF4)-VG4,"")</f>
        <v/>
      </c>
      <c r="VZ4" s="36" t="str">
        <f t="shared" ref="VZ4:VZ15" si="244">IF(VJ4&gt;0,VJ4,"")</f>
        <v/>
      </c>
      <c r="WA4" s="36" t="str">
        <f t="shared" ref="WA4:WA15" si="245">IF(VK4&gt;0,VK4,"")</f>
        <v/>
      </c>
      <c r="WB4" s="36" t="str">
        <f t="shared" ref="WB4:WB15" si="246">IF(SUM(VH4:VK4)-VL4&gt;0,SUM(VH4:VK4)-VL4,"")</f>
        <v/>
      </c>
      <c r="WC4" s="36" t="str">
        <f t="shared" ref="WC4:WC15" si="247">IF(MAX(VY4,WB4)&gt;0,MAX(VY4,WB4),"")</f>
        <v/>
      </c>
      <c r="WD4" s="36" t="str">
        <f t="shared" ref="WD4:WD15" si="248">IF(VO4&gt;0,VO4,"")</f>
        <v/>
      </c>
      <c r="WE4" s="36" t="str">
        <f t="shared" ref="WE4:WE15" si="249">IF(VP4&gt;0,VP4,"")</f>
        <v/>
      </c>
      <c r="WF4" s="36" t="str">
        <f t="shared" ref="WF4:WF15" si="250">IF(SUM(VM4:VP4)-VQ4&gt;0,SUM(VM4:VP4)-VQ4,"")</f>
        <v/>
      </c>
      <c r="WG4" s="36" t="str">
        <f t="shared" ref="WG4:WG15" si="251">IF(VT4&gt;0,VT4,"")</f>
        <v/>
      </c>
      <c r="WH4" s="36" t="str">
        <f t="shared" ref="WH4:WH15" si="252">IF(VU4&gt;0,VU4,"")</f>
        <v/>
      </c>
      <c r="WI4" s="36" t="str">
        <f t="shared" ref="WI4:WI15" si="253">IF(SUM(VR4:VU4)-VV4&gt;0,SUM(VR4:VU4)-VV4,"")</f>
        <v/>
      </c>
      <c r="WJ4" s="36" t="str">
        <f t="shared" ref="WJ4:WJ15" si="254">IF(SUM(WC4,WF4,WI4)&gt;0,SUM(WC4,WF4,WI4),"")</f>
        <v/>
      </c>
    </row>
    <row r="5" spans="1:608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80</v>
      </c>
      <c r="C5" s="4" t="s">
        <v>6</v>
      </c>
      <c r="D5" s="4" t="s">
        <v>79</v>
      </c>
      <c r="E5" s="9">
        <f t="shared" si="0"/>
        <v>94.720009472004776</v>
      </c>
      <c r="F5" s="3" t="str">
        <f t="shared" si="1"/>
        <v>P</v>
      </c>
      <c r="G5" s="3" t="str">
        <f t="shared" si="2"/>
        <v>P</v>
      </c>
      <c r="H5" s="32" t="str">
        <f t="shared" si="3"/>
        <v>National Team</v>
      </c>
      <c r="I5" s="3" t="str">
        <f t="shared" si="4"/>
        <v/>
      </c>
      <c r="J5" s="8">
        <f t="shared" si="5"/>
        <v>47.78</v>
      </c>
      <c r="K5" s="8" t="str">
        <f t="shared" si="6"/>
        <v>2025 Nationals</v>
      </c>
      <c r="L5" s="8">
        <f>IFERROR(LARGE((AI5,AL5,AP5,BJ5,BM5,BQ5,CK5,CN5,CR5),2),0)</f>
        <v>46.94</v>
      </c>
      <c r="M5" s="8" t="str">
        <f t="shared" si="7"/>
        <v>2025 Nationals</v>
      </c>
      <c r="N5" s="8">
        <f t="shared" si="8"/>
        <v>0</v>
      </c>
      <c r="O5" s="11" t="str">
        <f t="shared" si="9"/>
        <v/>
      </c>
      <c r="P5" s="8" t="str">
        <f t="shared" si="10"/>
        <v/>
      </c>
      <c r="Q5" s="18">
        <v>7.83</v>
      </c>
      <c r="R5" s="18">
        <v>9.35</v>
      </c>
      <c r="S5" s="18">
        <v>11.8</v>
      </c>
      <c r="T5" s="18">
        <v>17.96</v>
      </c>
      <c r="U5" s="18">
        <v>0</v>
      </c>
      <c r="V5" s="18">
        <v>7.45</v>
      </c>
      <c r="W5" s="18">
        <v>9.25</v>
      </c>
      <c r="X5" s="18">
        <v>11.8</v>
      </c>
      <c r="Y5" s="18">
        <v>15.94</v>
      </c>
      <c r="Z5" s="18">
        <v>0</v>
      </c>
      <c r="AA5" s="18">
        <v>8.15</v>
      </c>
      <c r="AB5" s="18">
        <v>9.35</v>
      </c>
      <c r="AC5" s="18">
        <v>11.8</v>
      </c>
      <c r="AD5" s="18">
        <v>18.48</v>
      </c>
      <c r="AE5" s="18">
        <v>0</v>
      </c>
      <c r="AF5" s="23"/>
      <c r="AG5" s="34">
        <f t="shared" si="11"/>
        <v>11.8</v>
      </c>
      <c r="AH5" s="34">
        <f t="shared" si="12"/>
        <v>17.96</v>
      </c>
      <c r="AI5" s="36">
        <f t="shared" si="13"/>
        <v>46.94</v>
      </c>
      <c r="AJ5" s="36">
        <f t="shared" si="14"/>
        <v>11.8</v>
      </c>
      <c r="AK5" s="36">
        <f t="shared" si="15"/>
        <v>15.94</v>
      </c>
      <c r="AL5" s="36">
        <f t="shared" si="16"/>
        <v>44.44</v>
      </c>
      <c r="AM5" s="36">
        <f t="shared" si="17"/>
        <v>46.94</v>
      </c>
      <c r="AN5" s="36">
        <f t="shared" si="18"/>
        <v>11.8</v>
      </c>
      <c r="AO5" s="36">
        <f t="shared" si="19"/>
        <v>18.48</v>
      </c>
      <c r="AP5" s="36">
        <f t="shared" si="20"/>
        <v>47.78</v>
      </c>
      <c r="AQ5" s="36">
        <f t="shared" si="21"/>
        <v>94.72</v>
      </c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4"/>
      <c r="BH5" s="35" t="str">
        <f t="shared" si="22"/>
        <v/>
      </c>
      <c r="BI5" s="35" t="str">
        <f t="shared" si="23"/>
        <v/>
      </c>
      <c r="BJ5" s="11" t="str">
        <f t="shared" si="24"/>
        <v/>
      </c>
      <c r="BK5" s="11" t="str">
        <f t="shared" si="25"/>
        <v/>
      </c>
      <c r="BL5" s="11" t="str">
        <f t="shared" si="26"/>
        <v/>
      </c>
      <c r="BM5" s="11" t="str">
        <f t="shared" si="27"/>
        <v/>
      </c>
      <c r="BN5" s="11" t="str">
        <f t="shared" si="28"/>
        <v/>
      </c>
      <c r="BO5" s="11" t="str">
        <f t="shared" si="29"/>
        <v/>
      </c>
      <c r="BP5" s="11" t="str">
        <f t="shared" si="30"/>
        <v/>
      </c>
      <c r="BQ5" s="11" t="str">
        <f t="shared" si="31"/>
        <v/>
      </c>
      <c r="BR5" s="11" t="str">
        <f t="shared" si="32"/>
        <v/>
      </c>
      <c r="BS5" s="18">
        <v>6.58</v>
      </c>
      <c r="BT5" s="18">
        <v>8.25</v>
      </c>
      <c r="BU5" s="18">
        <v>11.2</v>
      </c>
      <c r="BV5" s="18">
        <v>15.26</v>
      </c>
      <c r="BW5" s="18">
        <v>0</v>
      </c>
      <c r="BX5" s="18">
        <v>4.33</v>
      </c>
      <c r="BY5" s="18">
        <v>5.3</v>
      </c>
      <c r="BZ5" s="18">
        <v>0</v>
      </c>
      <c r="CA5" s="18">
        <v>9.6</v>
      </c>
      <c r="CB5" s="18">
        <v>0</v>
      </c>
      <c r="CC5" s="18">
        <v>6.95</v>
      </c>
      <c r="CD5" s="18">
        <v>9.15</v>
      </c>
      <c r="CE5" s="18">
        <v>12.9</v>
      </c>
      <c r="CF5" s="18">
        <v>14.52</v>
      </c>
      <c r="CG5" s="18">
        <v>0</v>
      </c>
      <c r="CH5" s="23"/>
      <c r="CI5" s="34">
        <f t="shared" si="33"/>
        <v>11.2</v>
      </c>
      <c r="CJ5" s="34">
        <f t="shared" si="34"/>
        <v>15.26</v>
      </c>
      <c r="CK5" s="36">
        <f t="shared" si="35"/>
        <v>41.29</v>
      </c>
      <c r="CL5" s="36" t="str">
        <f t="shared" si="36"/>
        <v/>
      </c>
      <c r="CM5" s="36">
        <f t="shared" si="37"/>
        <v>9.6</v>
      </c>
      <c r="CN5" s="36">
        <f t="shared" si="38"/>
        <v>19.229999999999997</v>
      </c>
      <c r="CO5" s="36">
        <f t="shared" si="39"/>
        <v>41.29</v>
      </c>
      <c r="CP5" s="36">
        <f t="shared" si="40"/>
        <v>12.9</v>
      </c>
      <c r="CQ5" s="36">
        <f t="shared" si="41"/>
        <v>14.52</v>
      </c>
      <c r="CR5" s="36">
        <f t="shared" si="42"/>
        <v>43.519999999999996</v>
      </c>
      <c r="CS5" s="36">
        <f t="shared" si="43"/>
        <v>84.81</v>
      </c>
      <c r="CT5" s="47" t="str">
        <f t="shared" si="44"/>
        <v/>
      </c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36" t="str">
        <f t="shared" si="45"/>
        <v/>
      </c>
      <c r="DP5" s="36" t="str">
        <f t="shared" si="46"/>
        <v/>
      </c>
      <c r="DQ5" s="36" t="str">
        <f t="shared" si="47"/>
        <v/>
      </c>
      <c r="DR5" s="36" t="str">
        <f t="shared" si="48"/>
        <v/>
      </c>
      <c r="DS5" s="36" t="str">
        <f t="shared" si="49"/>
        <v/>
      </c>
      <c r="DT5" s="36" t="str">
        <f t="shared" si="50"/>
        <v/>
      </c>
      <c r="DU5" s="36" t="str">
        <f t="shared" si="51"/>
        <v/>
      </c>
      <c r="DV5" s="36" t="str">
        <f t="shared" si="52"/>
        <v/>
      </c>
      <c r="DW5" s="36" t="str">
        <f t="shared" si="53"/>
        <v/>
      </c>
      <c r="DX5" s="36" t="str">
        <f t="shared" si="54"/>
        <v/>
      </c>
      <c r="DY5" s="36" t="str">
        <f t="shared" si="55"/>
        <v/>
      </c>
      <c r="DZ5" s="36" t="str">
        <f t="shared" si="56"/>
        <v/>
      </c>
      <c r="EA5" s="36" t="str">
        <f t="shared" si="57"/>
        <v/>
      </c>
      <c r="EB5" s="36" t="str">
        <f t="shared" si="58"/>
        <v/>
      </c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1" t="str">
        <f t="shared" si="59"/>
        <v/>
      </c>
      <c r="EX5" s="11" t="str">
        <f t="shared" si="60"/>
        <v/>
      </c>
      <c r="EY5" s="11" t="str">
        <f t="shared" si="61"/>
        <v/>
      </c>
      <c r="EZ5" s="11" t="str">
        <f t="shared" si="62"/>
        <v/>
      </c>
      <c r="FA5" s="11" t="str">
        <f t="shared" si="63"/>
        <v/>
      </c>
      <c r="FB5" s="11" t="str">
        <f t="shared" si="64"/>
        <v/>
      </c>
      <c r="FC5" s="11" t="str">
        <f t="shared" si="65"/>
        <v/>
      </c>
      <c r="FD5" s="11" t="str">
        <f t="shared" si="66"/>
        <v/>
      </c>
      <c r="FE5" s="11" t="str">
        <f t="shared" si="67"/>
        <v/>
      </c>
      <c r="FF5" s="11" t="str">
        <f t="shared" si="68"/>
        <v/>
      </c>
      <c r="FG5" s="11" t="str">
        <f t="shared" si="69"/>
        <v/>
      </c>
      <c r="FH5" s="11" t="str">
        <f t="shared" si="70"/>
        <v/>
      </c>
      <c r="FI5" s="11" t="str">
        <f t="shared" si="71"/>
        <v/>
      </c>
      <c r="FJ5" s="11" t="str">
        <f t="shared" si="72"/>
        <v/>
      </c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36" t="str">
        <f t="shared" si="73"/>
        <v/>
      </c>
      <c r="GF5" s="36" t="str">
        <f t="shared" si="74"/>
        <v/>
      </c>
      <c r="GG5" s="36" t="str">
        <f t="shared" si="75"/>
        <v/>
      </c>
      <c r="GH5" s="36" t="str">
        <f t="shared" si="76"/>
        <v/>
      </c>
      <c r="GI5" s="36" t="str">
        <f t="shared" si="77"/>
        <v/>
      </c>
      <c r="GJ5" s="36" t="str">
        <f t="shared" si="78"/>
        <v/>
      </c>
      <c r="GK5" s="36" t="str">
        <f t="shared" si="79"/>
        <v/>
      </c>
      <c r="GL5" s="36" t="str">
        <f t="shared" si="80"/>
        <v/>
      </c>
      <c r="GM5" s="36" t="str">
        <f t="shared" si="81"/>
        <v/>
      </c>
      <c r="GN5" s="36" t="str">
        <f t="shared" si="82"/>
        <v/>
      </c>
      <c r="GO5" s="36" t="str">
        <f t="shared" si="83"/>
        <v/>
      </c>
      <c r="GP5" s="36" t="str">
        <f t="shared" si="84"/>
        <v/>
      </c>
      <c r="GQ5" s="36" t="str">
        <f t="shared" si="85"/>
        <v/>
      </c>
      <c r="GR5" s="36" t="str">
        <f t="shared" si="86"/>
        <v/>
      </c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1" t="str">
        <f t="shared" si="87"/>
        <v/>
      </c>
      <c r="HN5" s="11" t="str">
        <f t="shared" si="88"/>
        <v/>
      </c>
      <c r="HO5" s="11" t="str">
        <f t="shared" si="89"/>
        <v/>
      </c>
      <c r="HP5" s="11" t="str">
        <f t="shared" si="90"/>
        <v/>
      </c>
      <c r="HQ5" s="11" t="str">
        <f t="shared" si="91"/>
        <v/>
      </c>
      <c r="HR5" s="11" t="str">
        <f t="shared" si="92"/>
        <v/>
      </c>
      <c r="HS5" s="11" t="str">
        <f t="shared" si="93"/>
        <v/>
      </c>
      <c r="HT5" s="11" t="str">
        <f t="shared" si="94"/>
        <v/>
      </c>
      <c r="HU5" s="11" t="str">
        <f t="shared" si="95"/>
        <v/>
      </c>
      <c r="HV5" s="11" t="str">
        <f t="shared" si="96"/>
        <v/>
      </c>
      <c r="HW5" s="11" t="str">
        <f t="shared" si="97"/>
        <v/>
      </c>
      <c r="HX5" s="11" t="str">
        <f t="shared" si="98"/>
        <v/>
      </c>
      <c r="HY5" s="11" t="str">
        <f t="shared" si="99"/>
        <v/>
      </c>
      <c r="HZ5" s="11" t="str">
        <f t="shared" si="100"/>
        <v/>
      </c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36" t="str">
        <f t="shared" si="101"/>
        <v/>
      </c>
      <c r="IV5" s="36" t="str">
        <f t="shared" si="102"/>
        <v/>
      </c>
      <c r="IW5" s="36" t="str">
        <f t="shared" si="103"/>
        <v/>
      </c>
      <c r="IX5" s="36" t="str">
        <f t="shared" si="104"/>
        <v/>
      </c>
      <c r="IY5" s="36" t="str">
        <f t="shared" si="105"/>
        <v/>
      </c>
      <c r="IZ5" s="36" t="str">
        <f t="shared" si="106"/>
        <v/>
      </c>
      <c r="JA5" s="36" t="str">
        <f t="shared" si="107"/>
        <v/>
      </c>
      <c r="JB5" s="36" t="str">
        <f t="shared" si="108"/>
        <v/>
      </c>
      <c r="JC5" s="36" t="str">
        <f t="shared" si="109"/>
        <v/>
      </c>
      <c r="JD5" s="36" t="str">
        <f t="shared" si="110"/>
        <v/>
      </c>
      <c r="JE5" s="36" t="str">
        <f t="shared" si="111"/>
        <v/>
      </c>
      <c r="JF5" s="36" t="str">
        <f t="shared" si="112"/>
        <v/>
      </c>
      <c r="JG5" s="36" t="str">
        <f t="shared" si="113"/>
        <v/>
      </c>
      <c r="JH5" s="36" t="str">
        <f t="shared" si="114"/>
        <v/>
      </c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1" t="str">
        <f t="shared" si="115"/>
        <v/>
      </c>
      <c r="KD5" s="11" t="str">
        <f t="shared" si="116"/>
        <v/>
      </c>
      <c r="KE5" s="11" t="str">
        <f t="shared" si="117"/>
        <v/>
      </c>
      <c r="KF5" s="11" t="str">
        <f t="shared" si="118"/>
        <v/>
      </c>
      <c r="KG5" s="11" t="str">
        <f t="shared" si="119"/>
        <v/>
      </c>
      <c r="KH5" s="11" t="str">
        <f t="shared" si="120"/>
        <v/>
      </c>
      <c r="KI5" s="11" t="str">
        <f t="shared" si="121"/>
        <v/>
      </c>
      <c r="KJ5" s="11" t="str">
        <f t="shared" si="122"/>
        <v/>
      </c>
      <c r="KK5" s="11" t="str">
        <f t="shared" si="123"/>
        <v/>
      </c>
      <c r="KL5" s="11" t="str">
        <f t="shared" si="124"/>
        <v/>
      </c>
      <c r="KM5" s="11" t="str">
        <f t="shared" si="125"/>
        <v/>
      </c>
      <c r="KN5" s="11" t="str">
        <f t="shared" si="126"/>
        <v/>
      </c>
      <c r="KO5" s="11" t="str">
        <f t="shared" si="127"/>
        <v/>
      </c>
      <c r="KP5" s="11" t="str">
        <f t="shared" si="128"/>
        <v/>
      </c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36" t="str">
        <f t="shared" si="129"/>
        <v/>
      </c>
      <c r="LL5" s="36" t="str">
        <f t="shared" si="130"/>
        <v/>
      </c>
      <c r="LM5" s="36" t="str">
        <f t="shared" si="131"/>
        <v/>
      </c>
      <c r="LN5" s="36" t="str">
        <f t="shared" si="132"/>
        <v/>
      </c>
      <c r="LO5" s="36" t="str">
        <f t="shared" si="133"/>
        <v/>
      </c>
      <c r="LP5" s="36" t="str">
        <f t="shared" si="134"/>
        <v/>
      </c>
      <c r="LQ5" s="36" t="str">
        <f t="shared" si="135"/>
        <v/>
      </c>
      <c r="LR5" s="36" t="str">
        <f t="shared" si="136"/>
        <v/>
      </c>
      <c r="LS5" s="36" t="str">
        <f t="shared" si="137"/>
        <v/>
      </c>
      <c r="LT5" s="36" t="str">
        <f t="shared" si="138"/>
        <v/>
      </c>
      <c r="LU5" s="36" t="str">
        <f t="shared" si="139"/>
        <v/>
      </c>
      <c r="LV5" s="36" t="str">
        <f t="shared" si="140"/>
        <v/>
      </c>
      <c r="LW5" s="36" t="str">
        <f t="shared" si="141"/>
        <v/>
      </c>
      <c r="LX5" s="36" t="str">
        <f t="shared" si="142"/>
        <v/>
      </c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1" t="str">
        <f t="shared" si="143"/>
        <v/>
      </c>
      <c r="MT5" s="11" t="str">
        <f t="shared" si="144"/>
        <v/>
      </c>
      <c r="MU5" s="11" t="str">
        <f t="shared" si="145"/>
        <v/>
      </c>
      <c r="MV5" s="11" t="str">
        <f t="shared" si="146"/>
        <v/>
      </c>
      <c r="MW5" s="11" t="str">
        <f t="shared" si="147"/>
        <v/>
      </c>
      <c r="MX5" s="11" t="str">
        <f t="shared" si="148"/>
        <v/>
      </c>
      <c r="MY5" s="11" t="str">
        <f t="shared" si="149"/>
        <v/>
      </c>
      <c r="MZ5" s="11" t="str">
        <f t="shared" si="150"/>
        <v/>
      </c>
      <c r="NA5" s="11" t="str">
        <f t="shared" si="151"/>
        <v/>
      </c>
      <c r="NB5" s="11" t="str">
        <f t="shared" si="152"/>
        <v/>
      </c>
      <c r="NC5" s="11" t="str">
        <f t="shared" si="153"/>
        <v/>
      </c>
      <c r="ND5" s="11" t="str">
        <f t="shared" si="154"/>
        <v/>
      </c>
      <c r="NE5" s="11" t="str">
        <f t="shared" si="155"/>
        <v/>
      </c>
      <c r="NF5" s="11" t="str">
        <f t="shared" si="156"/>
        <v/>
      </c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36" t="str">
        <f t="shared" si="157"/>
        <v/>
      </c>
      <c r="OB5" s="36" t="str">
        <f t="shared" si="158"/>
        <v/>
      </c>
      <c r="OC5" s="36" t="str">
        <f t="shared" si="159"/>
        <v/>
      </c>
      <c r="OD5" s="36" t="str">
        <f t="shared" si="160"/>
        <v/>
      </c>
      <c r="OE5" s="36" t="str">
        <f t="shared" si="161"/>
        <v/>
      </c>
      <c r="OF5" s="36" t="str">
        <f t="shared" si="162"/>
        <v/>
      </c>
      <c r="OG5" s="36" t="str">
        <f t="shared" si="163"/>
        <v/>
      </c>
      <c r="OH5" s="36" t="str">
        <f t="shared" si="164"/>
        <v/>
      </c>
      <c r="OI5" s="36" t="str">
        <f t="shared" si="165"/>
        <v/>
      </c>
      <c r="OJ5" s="36" t="str">
        <f t="shared" si="166"/>
        <v/>
      </c>
      <c r="OK5" s="36" t="str">
        <f t="shared" si="167"/>
        <v/>
      </c>
      <c r="OL5" s="36" t="str">
        <f t="shared" si="168"/>
        <v/>
      </c>
      <c r="OM5" s="36" t="str">
        <f t="shared" si="169"/>
        <v/>
      </c>
      <c r="ON5" s="36" t="str">
        <f t="shared" si="170"/>
        <v/>
      </c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1" t="str">
        <f t="shared" si="171"/>
        <v/>
      </c>
      <c r="PJ5" s="11" t="str">
        <f t="shared" si="172"/>
        <v/>
      </c>
      <c r="PK5" s="11" t="str">
        <f t="shared" si="173"/>
        <v/>
      </c>
      <c r="PL5" s="11" t="str">
        <f t="shared" si="174"/>
        <v/>
      </c>
      <c r="PM5" s="11" t="str">
        <f t="shared" si="175"/>
        <v/>
      </c>
      <c r="PN5" s="11" t="str">
        <f t="shared" si="176"/>
        <v/>
      </c>
      <c r="PO5" s="11" t="str">
        <f t="shared" si="177"/>
        <v/>
      </c>
      <c r="PP5" s="11" t="str">
        <f t="shared" si="178"/>
        <v/>
      </c>
      <c r="PQ5" s="11" t="str">
        <f t="shared" si="179"/>
        <v/>
      </c>
      <c r="PR5" s="11" t="str">
        <f t="shared" si="180"/>
        <v/>
      </c>
      <c r="PS5" s="11" t="str">
        <f t="shared" si="181"/>
        <v/>
      </c>
      <c r="PT5" s="11" t="str">
        <f t="shared" si="182"/>
        <v/>
      </c>
      <c r="PU5" s="11" t="str">
        <f t="shared" si="183"/>
        <v/>
      </c>
      <c r="PV5" s="11" t="str">
        <f t="shared" si="184"/>
        <v/>
      </c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36" t="str">
        <f t="shared" si="185"/>
        <v/>
      </c>
      <c r="QR5" s="36" t="str">
        <f t="shared" si="186"/>
        <v/>
      </c>
      <c r="QS5" s="36" t="str">
        <f t="shared" si="187"/>
        <v/>
      </c>
      <c r="QT5" s="36" t="str">
        <f t="shared" si="188"/>
        <v/>
      </c>
      <c r="QU5" s="36" t="str">
        <f t="shared" si="189"/>
        <v/>
      </c>
      <c r="QV5" s="36" t="str">
        <f t="shared" si="190"/>
        <v/>
      </c>
      <c r="QW5" s="36" t="str">
        <f t="shared" si="191"/>
        <v/>
      </c>
      <c r="QX5" s="36" t="str">
        <f t="shared" si="192"/>
        <v/>
      </c>
      <c r="QY5" s="36" t="str">
        <f t="shared" si="193"/>
        <v/>
      </c>
      <c r="QZ5" s="36" t="str">
        <f t="shared" si="194"/>
        <v/>
      </c>
      <c r="RA5" s="36" t="str">
        <f t="shared" si="195"/>
        <v/>
      </c>
      <c r="RB5" s="36" t="str">
        <f t="shared" si="196"/>
        <v/>
      </c>
      <c r="RC5" s="36" t="str">
        <f t="shared" si="197"/>
        <v/>
      </c>
      <c r="RD5" s="36" t="str">
        <f t="shared" si="198"/>
        <v/>
      </c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1" t="str">
        <f t="shared" si="199"/>
        <v/>
      </c>
      <c r="RZ5" s="11" t="str">
        <f t="shared" si="200"/>
        <v/>
      </c>
      <c r="SA5" s="11" t="str">
        <f t="shared" si="201"/>
        <v/>
      </c>
      <c r="SB5" s="11" t="str">
        <f t="shared" si="202"/>
        <v/>
      </c>
      <c r="SC5" s="11" t="str">
        <f t="shared" si="203"/>
        <v/>
      </c>
      <c r="SD5" s="11" t="str">
        <f t="shared" si="204"/>
        <v/>
      </c>
      <c r="SE5" s="11" t="str">
        <f t="shared" si="205"/>
        <v/>
      </c>
      <c r="SF5" s="11" t="str">
        <f t="shared" si="206"/>
        <v/>
      </c>
      <c r="SG5" s="11" t="str">
        <f t="shared" si="207"/>
        <v/>
      </c>
      <c r="SH5" s="11" t="str">
        <f t="shared" si="208"/>
        <v/>
      </c>
      <c r="SI5" s="11" t="str">
        <f t="shared" si="209"/>
        <v/>
      </c>
      <c r="SJ5" s="11" t="str">
        <f t="shared" si="210"/>
        <v/>
      </c>
      <c r="SK5" s="11" t="str">
        <f t="shared" si="211"/>
        <v/>
      </c>
      <c r="SL5" s="11" t="str">
        <f t="shared" si="212"/>
        <v/>
      </c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36" t="str">
        <f t="shared" si="213"/>
        <v/>
      </c>
      <c r="TH5" s="36" t="str">
        <f t="shared" si="214"/>
        <v/>
      </c>
      <c r="TI5" s="36" t="str">
        <f t="shared" si="215"/>
        <v/>
      </c>
      <c r="TJ5" s="36" t="str">
        <f t="shared" si="216"/>
        <v/>
      </c>
      <c r="TK5" s="36" t="str">
        <f t="shared" si="217"/>
        <v/>
      </c>
      <c r="TL5" s="36" t="str">
        <f t="shared" si="218"/>
        <v/>
      </c>
      <c r="TM5" s="36" t="str">
        <f t="shared" si="219"/>
        <v/>
      </c>
      <c r="TN5" s="36" t="str">
        <f t="shared" si="220"/>
        <v/>
      </c>
      <c r="TO5" s="36" t="str">
        <f t="shared" si="221"/>
        <v/>
      </c>
      <c r="TP5" s="36" t="str">
        <f t="shared" si="222"/>
        <v/>
      </c>
      <c r="TQ5" s="36" t="str">
        <f t="shared" si="223"/>
        <v/>
      </c>
      <c r="TR5" s="36" t="str">
        <f t="shared" si="224"/>
        <v/>
      </c>
      <c r="TS5" s="36" t="str">
        <f t="shared" si="225"/>
        <v/>
      </c>
      <c r="TT5" s="36" t="str">
        <f t="shared" si="226"/>
        <v/>
      </c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1" t="str">
        <f t="shared" si="227"/>
        <v/>
      </c>
      <c r="UP5" s="11" t="str">
        <f t="shared" si="228"/>
        <v/>
      </c>
      <c r="UQ5" s="11" t="str">
        <f t="shared" si="229"/>
        <v/>
      </c>
      <c r="UR5" s="11" t="str">
        <f t="shared" si="230"/>
        <v/>
      </c>
      <c r="US5" s="11" t="str">
        <f t="shared" si="231"/>
        <v/>
      </c>
      <c r="UT5" s="11" t="str">
        <f t="shared" si="232"/>
        <v/>
      </c>
      <c r="UU5" s="11" t="str">
        <f t="shared" si="233"/>
        <v/>
      </c>
      <c r="UV5" s="11" t="str">
        <f t="shared" si="234"/>
        <v/>
      </c>
      <c r="UW5" s="11" t="str">
        <f t="shared" si="235"/>
        <v/>
      </c>
      <c r="UX5" s="11" t="str">
        <f t="shared" si="236"/>
        <v/>
      </c>
      <c r="UY5" s="11" t="str">
        <f t="shared" si="237"/>
        <v/>
      </c>
      <c r="UZ5" s="11" t="str">
        <f t="shared" si="238"/>
        <v/>
      </c>
      <c r="VA5" s="11" t="str">
        <f t="shared" si="239"/>
        <v/>
      </c>
      <c r="VB5" s="11" t="str">
        <f t="shared" si="240"/>
        <v/>
      </c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36" t="str">
        <f t="shared" si="241"/>
        <v/>
      </c>
      <c r="VX5" s="36" t="str">
        <f t="shared" si="242"/>
        <v/>
      </c>
      <c r="VY5" s="36" t="str">
        <f t="shared" si="243"/>
        <v/>
      </c>
      <c r="VZ5" s="36" t="str">
        <f t="shared" si="244"/>
        <v/>
      </c>
      <c r="WA5" s="36" t="str">
        <f t="shared" si="245"/>
        <v/>
      </c>
      <c r="WB5" s="36" t="str">
        <f t="shared" si="246"/>
        <v/>
      </c>
      <c r="WC5" s="36" t="str">
        <f t="shared" si="247"/>
        <v/>
      </c>
      <c r="WD5" s="36" t="str">
        <f t="shared" si="248"/>
        <v/>
      </c>
      <c r="WE5" s="36" t="str">
        <f t="shared" si="249"/>
        <v/>
      </c>
      <c r="WF5" s="36" t="str">
        <f t="shared" si="250"/>
        <v/>
      </c>
      <c r="WG5" s="36" t="str">
        <f t="shared" si="251"/>
        <v/>
      </c>
      <c r="WH5" s="36" t="str">
        <f t="shared" si="252"/>
        <v/>
      </c>
      <c r="WI5" s="36" t="str">
        <f t="shared" si="253"/>
        <v/>
      </c>
      <c r="WJ5" s="36" t="str">
        <f t="shared" si="254"/>
        <v/>
      </c>
    </row>
    <row r="6" spans="1:608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112</v>
      </c>
      <c r="C6" s="4" t="s">
        <v>104</v>
      </c>
      <c r="D6" s="4" t="s">
        <v>111</v>
      </c>
      <c r="E6" s="9">
        <f t="shared" si="0"/>
        <v>94.390009350004661</v>
      </c>
      <c r="F6" s="3" t="str">
        <f t="shared" si="1"/>
        <v>P</v>
      </c>
      <c r="G6" s="3" t="str">
        <f t="shared" si="2"/>
        <v>P</v>
      </c>
      <c r="H6" s="32" t="str">
        <f t="shared" si="3"/>
        <v>National Team</v>
      </c>
      <c r="I6" s="3" t="str">
        <f t="shared" si="4"/>
        <v/>
      </c>
      <c r="J6" s="8">
        <f t="shared" si="5"/>
        <v>46.790000000000006</v>
      </c>
      <c r="K6" s="8" t="str">
        <f t="shared" si="6"/>
        <v>2025 Nationals</v>
      </c>
      <c r="L6" s="8">
        <f>IFERROR(LARGE((AI6,AL6,AP6,BJ6,BM6,BQ6,CK6,CN6,CR6),2),0)</f>
        <v>46.71</v>
      </c>
      <c r="M6" s="8" t="str">
        <f t="shared" si="7"/>
        <v>2025 Nationals</v>
      </c>
      <c r="N6" s="8">
        <f t="shared" si="8"/>
        <v>0.88999999999999346</v>
      </c>
      <c r="O6" s="11" t="str">
        <f t="shared" si="9"/>
        <v>(Any)</v>
      </c>
      <c r="P6" s="8" t="str">
        <f t="shared" si="10"/>
        <v>2025 Junior Pan Am Games (Aug 12)</v>
      </c>
      <c r="Q6" s="18">
        <v>7.4</v>
      </c>
      <c r="R6" s="18">
        <v>9.5500000000000007</v>
      </c>
      <c r="S6" s="18">
        <v>11.8</v>
      </c>
      <c r="T6" s="18">
        <v>18.04</v>
      </c>
      <c r="U6" s="18">
        <v>0</v>
      </c>
      <c r="V6" s="18">
        <v>1.99</v>
      </c>
      <c r="W6" s="18">
        <v>2.7</v>
      </c>
      <c r="X6" s="18">
        <v>4.0999999999999996</v>
      </c>
      <c r="Y6" s="18">
        <v>5.76</v>
      </c>
      <c r="Z6" s="18">
        <v>0</v>
      </c>
      <c r="AA6" s="18">
        <v>7.55</v>
      </c>
      <c r="AB6" s="18">
        <v>9.4</v>
      </c>
      <c r="AC6" s="18">
        <v>11.8</v>
      </c>
      <c r="AD6" s="18">
        <v>17.96</v>
      </c>
      <c r="AE6" s="18">
        <v>0</v>
      </c>
      <c r="AF6" s="23"/>
      <c r="AG6" s="34">
        <f t="shared" si="11"/>
        <v>11.8</v>
      </c>
      <c r="AH6" s="34">
        <f t="shared" si="12"/>
        <v>18.04</v>
      </c>
      <c r="AI6" s="36">
        <f t="shared" si="13"/>
        <v>46.790000000000006</v>
      </c>
      <c r="AJ6" s="36">
        <f t="shared" si="14"/>
        <v>4.0999999999999996</v>
      </c>
      <c r="AK6" s="36">
        <f t="shared" si="15"/>
        <v>5.76</v>
      </c>
      <c r="AL6" s="36">
        <f t="shared" si="16"/>
        <v>14.549999999999999</v>
      </c>
      <c r="AM6" s="36">
        <f t="shared" si="17"/>
        <v>46.790000000000006</v>
      </c>
      <c r="AN6" s="36">
        <f t="shared" si="18"/>
        <v>11.8</v>
      </c>
      <c r="AO6" s="36">
        <f t="shared" si="19"/>
        <v>17.96</v>
      </c>
      <c r="AP6" s="36">
        <f t="shared" si="20"/>
        <v>46.71</v>
      </c>
      <c r="AQ6" s="36">
        <f t="shared" si="21"/>
        <v>93.5</v>
      </c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4"/>
      <c r="BH6" s="35" t="str">
        <f t="shared" si="22"/>
        <v/>
      </c>
      <c r="BI6" s="35" t="str">
        <f t="shared" si="23"/>
        <v/>
      </c>
      <c r="BJ6" s="11" t="str">
        <f t="shared" si="24"/>
        <v/>
      </c>
      <c r="BK6" s="11" t="str">
        <f t="shared" si="25"/>
        <v/>
      </c>
      <c r="BL6" s="11" t="str">
        <f t="shared" si="26"/>
        <v/>
      </c>
      <c r="BM6" s="11" t="str">
        <f t="shared" si="27"/>
        <v/>
      </c>
      <c r="BN6" s="11" t="str">
        <f t="shared" si="28"/>
        <v/>
      </c>
      <c r="BO6" s="11" t="str">
        <f t="shared" si="29"/>
        <v/>
      </c>
      <c r="BP6" s="11" t="str">
        <f t="shared" si="30"/>
        <v/>
      </c>
      <c r="BQ6" s="11" t="str">
        <f t="shared" si="31"/>
        <v/>
      </c>
      <c r="BR6" s="11" t="str">
        <f t="shared" si="32"/>
        <v/>
      </c>
      <c r="BS6" s="18">
        <v>0</v>
      </c>
      <c r="BT6" s="18">
        <v>0</v>
      </c>
      <c r="BU6" s="18">
        <v>0</v>
      </c>
      <c r="BV6" s="18">
        <v>0</v>
      </c>
      <c r="BW6" s="18">
        <v>0</v>
      </c>
      <c r="BX6" s="18">
        <v>0</v>
      </c>
      <c r="BY6" s="18">
        <v>0</v>
      </c>
      <c r="BZ6" s="18">
        <v>0</v>
      </c>
      <c r="CA6" s="18">
        <v>0</v>
      </c>
      <c r="CB6" s="18">
        <v>0</v>
      </c>
      <c r="CC6" s="18"/>
      <c r="CD6" s="18"/>
      <c r="CE6" s="18"/>
      <c r="CF6" s="18"/>
      <c r="CG6" s="18"/>
      <c r="CH6" s="23"/>
      <c r="CI6" s="34" t="str">
        <f t="shared" si="33"/>
        <v/>
      </c>
      <c r="CJ6" s="34" t="str">
        <f t="shared" si="34"/>
        <v/>
      </c>
      <c r="CK6" s="36" t="str">
        <f t="shared" si="35"/>
        <v/>
      </c>
      <c r="CL6" s="36" t="str">
        <f t="shared" si="36"/>
        <v/>
      </c>
      <c r="CM6" s="36" t="str">
        <f t="shared" si="37"/>
        <v/>
      </c>
      <c r="CN6" s="36" t="str">
        <f t="shared" si="38"/>
        <v/>
      </c>
      <c r="CO6" s="36" t="str">
        <f t="shared" si="39"/>
        <v/>
      </c>
      <c r="CP6" s="36" t="str">
        <f t="shared" si="40"/>
        <v/>
      </c>
      <c r="CQ6" s="36" t="str">
        <f t="shared" si="41"/>
        <v/>
      </c>
      <c r="CR6" s="36" t="str">
        <f t="shared" si="42"/>
        <v/>
      </c>
      <c r="CS6" s="36" t="str">
        <f t="shared" si="43"/>
        <v/>
      </c>
      <c r="CT6" s="47">
        <f t="shared" si="44"/>
        <v>0.88999999999999346</v>
      </c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36" t="str">
        <f t="shared" si="45"/>
        <v/>
      </c>
      <c r="DP6" s="36" t="str">
        <f t="shared" si="46"/>
        <v/>
      </c>
      <c r="DQ6" s="36" t="str">
        <f t="shared" si="47"/>
        <v/>
      </c>
      <c r="DR6" s="36" t="str">
        <f t="shared" si="48"/>
        <v/>
      </c>
      <c r="DS6" s="36" t="str">
        <f t="shared" si="49"/>
        <v/>
      </c>
      <c r="DT6" s="36" t="str">
        <f t="shared" si="50"/>
        <v/>
      </c>
      <c r="DU6" s="36" t="str">
        <f t="shared" si="51"/>
        <v/>
      </c>
      <c r="DV6" s="36" t="str">
        <f t="shared" si="52"/>
        <v/>
      </c>
      <c r="DW6" s="36" t="str">
        <f t="shared" si="53"/>
        <v/>
      </c>
      <c r="DX6" s="36" t="str">
        <f t="shared" si="54"/>
        <v/>
      </c>
      <c r="DY6" s="36" t="str">
        <f t="shared" si="55"/>
        <v/>
      </c>
      <c r="DZ6" s="36" t="str">
        <f t="shared" si="56"/>
        <v/>
      </c>
      <c r="EA6" s="36" t="str">
        <f t="shared" si="57"/>
        <v/>
      </c>
      <c r="EB6" s="36" t="str">
        <f t="shared" si="58"/>
        <v/>
      </c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1" t="str">
        <f t="shared" si="59"/>
        <v/>
      </c>
      <c r="EX6" s="11" t="str">
        <f t="shared" si="60"/>
        <v/>
      </c>
      <c r="EY6" s="11" t="str">
        <f t="shared" si="61"/>
        <v/>
      </c>
      <c r="EZ6" s="11" t="str">
        <f t="shared" si="62"/>
        <v/>
      </c>
      <c r="FA6" s="11" t="str">
        <f t="shared" si="63"/>
        <v/>
      </c>
      <c r="FB6" s="11" t="str">
        <f t="shared" si="64"/>
        <v/>
      </c>
      <c r="FC6" s="11" t="str">
        <f t="shared" si="65"/>
        <v/>
      </c>
      <c r="FD6" s="11" t="str">
        <f t="shared" si="66"/>
        <v/>
      </c>
      <c r="FE6" s="11" t="str">
        <f t="shared" si="67"/>
        <v/>
      </c>
      <c r="FF6" s="11" t="str">
        <f t="shared" si="68"/>
        <v/>
      </c>
      <c r="FG6" s="11" t="str">
        <f t="shared" si="69"/>
        <v/>
      </c>
      <c r="FH6" s="11" t="str">
        <f t="shared" si="70"/>
        <v/>
      </c>
      <c r="FI6" s="11" t="str">
        <f t="shared" si="71"/>
        <v/>
      </c>
      <c r="FJ6" s="11" t="str">
        <f t="shared" si="72"/>
        <v/>
      </c>
      <c r="FK6" s="15">
        <v>6.95</v>
      </c>
      <c r="FL6" s="15">
        <v>9.25</v>
      </c>
      <c r="FM6" s="15">
        <v>12.9</v>
      </c>
      <c r="FN6" s="15">
        <v>18.18</v>
      </c>
      <c r="FO6" s="15">
        <v>0</v>
      </c>
      <c r="FP6" s="15">
        <v>7.2</v>
      </c>
      <c r="FQ6" s="15">
        <v>9</v>
      </c>
      <c r="FR6" s="15">
        <v>12.9</v>
      </c>
      <c r="FS6" s="15">
        <v>18.100000000000001</v>
      </c>
      <c r="FT6" s="15">
        <v>0</v>
      </c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36">
        <f t="shared" si="73"/>
        <v>12.9</v>
      </c>
      <c r="GF6" s="36">
        <f t="shared" si="74"/>
        <v>18.18</v>
      </c>
      <c r="GG6" s="36">
        <f t="shared" si="75"/>
        <v>47.28</v>
      </c>
      <c r="GH6" s="36">
        <f t="shared" si="76"/>
        <v>12.9</v>
      </c>
      <c r="GI6" s="36">
        <f t="shared" si="77"/>
        <v>18.100000000000001</v>
      </c>
      <c r="GJ6" s="36">
        <f t="shared" si="78"/>
        <v>47.2</v>
      </c>
      <c r="GK6" s="36">
        <f t="shared" si="79"/>
        <v>47.28</v>
      </c>
      <c r="GL6" s="36" t="str">
        <f t="shared" si="80"/>
        <v/>
      </c>
      <c r="GM6" s="36" t="str">
        <f t="shared" si="81"/>
        <v/>
      </c>
      <c r="GN6" s="36" t="str">
        <f t="shared" si="82"/>
        <v/>
      </c>
      <c r="GO6" s="36" t="str">
        <f t="shared" si="83"/>
        <v/>
      </c>
      <c r="GP6" s="36" t="str">
        <f t="shared" si="84"/>
        <v/>
      </c>
      <c r="GQ6" s="36" t="str">
        <f t="shared" si="85"/>
        <v/>
      </c>
      <c r="GR6" s="36">
        <f t="shared" si="86"/>
        <v>47.28</v>
      </c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1" t="str">
        <f t="shared" si="87"/>
        <v/>
      </c>
      <c r="HN6" s="11" t="str">
        <f t="shared" si="88"/>
        <v/>
      </c>
      <c r="HO6" s="11" t="str">
        <f t="shared" si="89"/>
        <v/>
      </c>
      <c r="HP6" s="11" t="str">
        <f t="shared" si="90"/>
        <v/>
      </c>
      <c r="HQ6" s="11" t="str">
        <f t="shared" si="91"/>
        <v/>
      </c>
      <c r="HR6" s="11" t="str">
        <f t="shared" si="92"/>
        <v/>
      </c>
      <c r="HS6" s="11" t="str">
        <f t="shared" si="93"/>
        <v/>
      </c>
      <c r="HT6" s="11" t="str">
        <f t="shared" si="94"/>
        <v/>
      </c>
      <c r="HU6" s="11" t="str">
        <f t="shared" si="95"/>
        <v/>
      </c>
      <c r="HV6" s="11" t="str">
        <f t="shared" si="96"/>
        <v/>
      </c>
      <c r="HW6" s="11" t="str">
        <f t="shared" si="97"/>
        <v/>
      </c>
      <c r="HX6" s="11" t="str">
        <f t="shared" si="98"/>
        <v/>
      </c>
      <c r="HY6" s="11" t="str">
        <f t="shared" si="99"/>
        <v/>
      </c>
      <c r="HZ6" s="11" t="str">
        <f t="shared" si="100"/>
        <v/>
      </c>
      <c r="IA6" s="15">
        <v>2.75</v>
      </c>
      <c r="IB6" s="15">
        <v>3.65</v>
      </c>
      <c r="IC6" s="15">
        <v>5.4</v>
      </c>
      <c r="ID6" s="15">
        <v>7.64</v>
      </c>
      <c r="IE6" s="15">
        <v>0</v>
      </c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>
        <v>7.27</v>
      </c>
      <c r="IQ6" s="15">
        <v>9.4499999999999993</v>
      </c>
      <c r="IR6" s="15">
        <v>11.8</v>
      </c>
      <c r="IS6" s="15">
        <v>19.079999999999998</v>
      </c>
      <c r="IT6" s="15">
        <v>0</v>
      </c>
      <c r="IU6" s="36">
        <f t="shared" si="101"/>
        <v>5.4</v>
      </c>
      <c r="IV6" s="36">
        <f t="shared" si="102"/>
        <v>7.64</v>
      </c>
      <c r="IW6" s="36">
        <f t="shared" si="103"/>
        <v>19.440000000000001</v>
      </c>
      <c r="IX6" s="36" t="str">
        <f t="shared" si="104"/>
        <v/>
      </c>
      <c r="IY6" s="36" t="str">
        <f t="shared" si="105"/>
        <v/>
      </c>
      <c r="IZ6" s="36" t="str">
        <f t="shared" si="106"/>
        <v/>
      </c>
      <c r="JA6" s="36">
        <f t="shared" si="107"/>
        <v>19.440000000000001</v>
      </c>
      <c r="JB6" s="36" t="str">
        <f t="shared" si="108"/>
        <v/>
      </c>
      <c r="JC6" s="36" t="str">
        <f t="shared" si="109"/>
        <v/>
      </c>
      <c r="JD6" s="36" t="str">
        <f t="shared" si="110"/>
        <v/>
      </c>
      <c r="JE6" s="36">
        <f t="shared" si="111"/>
        <v>11.8</v>
      </c>
      <c r="JF6" s="36">
        <f t="shared" si="112"/>
        <v>19.079999999999998</v>
      </c>
      <c r="JG6" s="36">
        <f t="shared" si="113"/>
        <v>47.599999999999994</v>
      </c>
      <c r="JH6" s="36">
        <f t="shared" si="114"/>
        <v>67.039999999999992</v>
      </c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1" t="str">
        <f t="shared" si="115"/>
        <v/>
      </c>
      <c r="KD6" s="11" t="str">
        <f t="shared" si="116"/>
        <v/>
      </c>
      <c r="KE6" s="11" t="str">
        <f t="shared" si="117"/>
        <v/>
      </c>
      <c r="KF6" s="11" t="str">
        <f t="shared" si="118"/>
        <v/>
      </c>
      <c r="KG6" s="11" t="str">
        <f t="shared" si="119"/>
        <v/>
      </c>
      <c r="KH6" s="11" t="str">
        <f t="shared" si="120"/>
        <v/>
      </c>
      <c r="KI6" s="11" t="str">
        <f t="shared" si="121"/>
        <v/>
      </c>
      <c r="KJ6" s="11" t="str">
        <f t="shared" si="122"/>
        <v/>
      </c>
      <c r="KK6" s="11" t="str">
        <f t="shared" si="123"/>
        <v/>
      </c>
      <c r="KL6" s="11" t="str">
        <f t="shared" si="124"/>
        <v/>
      </c>
      <c r="KM6" s="11" t="str">
        <f t="shared" si="125"/>
        <v/>
      </c>
      <c r="KN6" s="11" t="str">
        <f t="shared" si="126"/>
        <v/>
      </c>
      <c r="KO6" s="11" t="str">
        <f t="shared" si="127"/>
        <v/>
      </c>
      <c r="KP6" s="11" t="str">
        <f t="shared" si="128"/>
        <v/>
      </c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36" t="str">
        <f t="shared" si="129"/>
        <v/>
      </c>
      <c r="LL6" s="36" t="str">
        <f t="shared" si="130"/>
        <v/>
      </c>
      <c r="LM6" s="36" t="str">
        <f t="shared" si="131"/>
        <v/>
      </c>
      <c r="LN6" s="36" t="str">
        <f t="shared" si="132"/>
        <v/>
      </c>
      <c r="LO6" s="36" t="str">
        <f t="shared" si="133"/>
        <v/>
      </c>
      <c r="LP6" s="36" t="str">
        <f t="shared" si="134"/>
        <v/>
      </c>
      <c r="LQ6" s="36" t="str">
        <f t="shared" si="135"/>
        <v/>
      </c>
      <c r="LR6" s="36" t="str">
        <f t="shared" si="136"/>
        <v/>
      </c>
      <c r="LS6" s="36" t="str">
        <f t="shared" si="137"/>
        <v/>
      </c>
      <c r="LT6" s="36" t="str">
        <f t="shared" si="138"/>
        <v/>
      </c>
      <c r="LU6" s="36" t="str">
        <f t="shared" si="139"/>
        <v/>
      </c>
      <c r="LV6" s="36" t="str">
        <f t="shared" si="140"/>
        <v/>
      </c>
      <c r="LW6" s="36" t="str">
        <f t="shared" si="141"/>
        <v/>
      </c>
      <c r="LX6" s="36" t="str">
        <f t="shared" si="142"/>
        <v/>
      </c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1" t="str">
        <f t="shared" si="143"/>
        <v/>
      </c>
      <c r="MT6" s="11" t="str">
        <f t="shared" si="144"/>
        <v/>
      </c>
      <c r="MU6" s="11" t="str">
        <f t="shared" si="145"/>
        <v/>
      </c>
      <c r="MV6" s="11" t="str">
        <f t="shared" si="146"/>
        <v/>
      </c>
      <c r="MW6" s="11" t="str">
        <f t="shared" si="147"/>
        <v/>
      </c>
      <c r="MX6" s="11" t="str">
        <f t="shared" si="148"/>
        <v/>
      </c>
      <c r="MY6" s="11" t="str">
        <f t="shared" si="149"/>
        <v/>
      </c>
      <c r="MZ6" s="11" t="str">
        <f t="shared" si="150"/>
        <v/>
      </c>
      <c r="NA6" s="11" t="str">
        <f t="shared" si="151"/>
        <v/>
      </c>
      <c r="NB6" s="11" t="str">
        <f t="shared" si="152"/>
        <v/>
      </c>
      <c r="NC6" s="11" t="str">
        <f t="shared" si="153"/>
        <v/>
      </c>
      <c r="ND6" s="11" t="str">
        <f t="shared" si="154"/>
        <v/>
      </c>
      <c r="NE6" s="11" t="str">
        <f t="shared" si="155"/>
        <v/>
      </c>
      <c r="NF6" s="11" t="str">
        <f t="shared" si="156"/>
        <v/>
      </c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36" t="str">
        <f t="shared" si="157"/>
        <v/>
      </c>
      <c r="OB6" s="36" t="str">
        <f t="shared" si="158"/>
        <v/>
      </c>
      <c r="OC6" s="36" t="str">
        <f t="shared" si="159"/>
        <v/>
      </c>
      <c r="OD6" s="36" t="str">
        <f t="shared" si="160"/>
        <v/>
      </c>
      <c r="OE6" s="36" t="str">
        <f t="shared" si="161"/>
        <v/>
      </c>
      <c r="OF6" s="36" t="str">
        <f t="shared" si="162"/>
        <v/>
      </c>
      <c r="OG6" s="36" t="str">
        <f t="shared" si="163"/>
        <v/>
      </c>
      <c r="OH6" s="36" t="str">
        <f t="shared" si="164"/>
        <v/>
      </c>
      <c r="OI6" s="36" t="str">
        <f t="shared" si="165"/>
        <v/>
      </c>
      <c r="OJ6" s="36" t="str">
        <f t="shared" si="166"/>
        <v/>
      </c>
      <c r="OK6" s="36" t="str">
        <f t="shared" si="167"/>
        <v/>
      </c>
      <c r="OL6" s="36" t="str">
        <f t="shared" si="168"/>
        <v/>
      </c>
      <c r="OM6" s="36" t="str">
        <f t="shared" si="169"/>
        <v/>
      </c>
      <c r="ON6" s="36" t="str">
        <f t="shared" si="170"/>
        <v/>
      </c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1" t="str">
        <f t="shared" si="171"/>
        <v/>
      </c>
      <c r="PJ6" s="11" t="str">
        <f t="shared" si="172"/>
        <v/>
      </c>
      <c r="PK6" s="11" t="str">
        <f t="shared" si="173"/>
        <v/>
      </c>
      <c r="PL6" s="11" t="str">
        <f t="shared" si="174"/>
        <v/>
      </c>
      <c r="PM6" s="11" t="str">
        <f t="shared" si="175"/>
        <v/>
      </c>
      <c r="PN6" s="11" t="str">
        <f t="shared" si="176"/>
        <v/>
      </c>
      <c r="PO6" s="11" t="str">
        <f t="shared" si="177"/>
        <v/>
      </c>
      <c r="PP6" s="11" t="str">
        <f t="shared" si="178"/>
        <v/>
      </c>
      <c r="PQ6" s="11" t="str">
        <f t="shared" si="179"/>
        <v/>
      </c>
      <c r="PR6" s="11" t="str">
        <f t="shared" si="180"/>
        <v/>
      </c>
      <c r="PS6" s="11" t="str">
        <f t="shared" si="181"/>
        <v/>
      </c>
      <c r="PT6" s="11" t="str">
        <f t="shared" si="182"/>
        <v/>
      </c>
      <c r="PU6" s="11" t="str">
        <f t="shared" si="183"/>
        <v/>
      </c>
      <c r="PV6" s="11" t="str">
        <f t="shared" si="184"/>
        <v/>
      </c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36" t="str">
        <f t="shared" si="185"/>
        <v/>
      </c>
      <c r="QR6" s="36" t="str">
        <f t="shared" si="186"/>
        <v/>
      </c>
      <c r="QS6" s="36" t="str">
        <f t="shared" si="187"/>
        <v/>
      </c>
      <c r="QT6" s="36" t="str">
        <f t="shared" si="188"/>
        <v/>
      </c>
      <c r="QU6" s="36" t="str">
        <f t="shared" si="189"/>
        <v/>
      </c>
      <c r="QV6" s="36" t="str">
        <f t="shared" si="190"/>
        <v/>
      </c>
      <c r="QW6" s="36" t="str">
        <f t="shared" si="191"/>
        <v/>
      </c>
      <c r="QX6" s="36" t="str">
        <f t="shared" si="192"/>
        <v/>
      </c>
      <c r="QY6" s="36" t="str">
        <f t="shared" si="193"/>
        <v/>
      </c>
      <c r="QZ6" s="36" t="str">
        <f t="shared" si="194"/>
        <v/>
      </c>
      <c r="RA6" s="36" t="str">
        <f t="shared" si="195"/>
        <v/>
      </c>
      <c r="RB6" s="36" t="str">
        <f t="shared" si="196"/>
        <v/>
      </c>
      <c r="RC6" s="36" t="str">
        <f t="shared" si="197"/>
        <v/>
      </c>
      <c r="RD6" s="36" t="str">
        <f t="shared" si="198"/>
        <v/>
      </c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1" t="str">
        <f t="shared" si="199"/>
        <v/>
      </c>
      <c r="RZ6" s="11" t="str">
        <f t="shared" si="200"/>
        <v/>
      </c>
      <c r="SA6" s="11" t="str">
        <f t="shared" si="201"/>
        <v/>
      </c>
      <c r="SB6" s="11" t="str">
        <f t="shared" si="202"/>
        <v/>
      </c>
      <c r="SC6" s="11" t="str">
        <f t="shared" si="203"/>
        <v/>
      </c>
      <c r="SD6" s="11" t="str">
        <f t="shared" si="204"/>
        <v/>
      </c>
      <c r="SE6" s="11" t="str">
        <f t="shared" si="205"/>
        <v/>
      </c>
      <c r="SF6" s="11" t="str">
        <f t="shared" si="206"/>
        <v/>
      </c>
      <c r="SG6" s="11" t="str">
        <f t="shared" si="207"/>
        <v/>
      </c>
      <c r="SH6" s="11" t="str">
        <f t="shared" si="208"/>
        <v/>
      </c>
      <c r="SI6" s="11" t="str">
        <f t="shared" si="209"/>
        <v/>
      </c>
      <c r="SJ6" s="11" t="str">
        <f t="shared" si="210"/>
        <v/>
      </c>
      <c r="SK6" s="11" t="str">
        <f t="shared" si="211"/>
        <v/>
      </c>
      <c r="SL6" s="11" t="str">
        <f t="shared" si="212"/>
        <v/>
      </c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36" t="str">
        <f t="shared" si="213"/>
        <v/>
      </c>
      <c r="TH6" s="36" t="str">
        <f t="shared" si="214"/>
        <v/>
      </c>
      <c r="TI6" s="36" t="str">
        <f t="shared" si="215"/>
        <v/>
      </c>
      <c r="TJ6" s="36" t="str">
        <f t="shared" si="216"/>
        <v/>
      </c>
      <c r="TK6" s="36" t="str">
        <f t="shared" si="217"/>
        <v/>
      </c>
      <c r="TL6" s="36" t="str">
        <f t="shared" si="218"/>
        <v/>
      </c>
      <c r="TM6" s="36" t="str">
        <f t="shared" si="219"/>
        <v/>
      </c>
      <c r="TN6" s="36" t="str">
        <f t="shared" si="220"/>
        <v/>
      </c>
      <c r="TO6" s="36" t="str">
        <f t="shared" si="221"/>
        <v/>
      </c>
      <c r="TP6" s="36" t="str">
        <f t="shared" si="222"/>
        <v/>
      </c>
      <c r="TQ6" s="36" t="str">
        <f t="shared" si="223"/>
        <v/>
      </c>
      <c r="TR6" s="36" t="str">
        <f t="shared" si="224"/>
        <v/>
      </c>
      <c r="TS6" s="36" t="str">
        <f t="shared" si="225"/>
        <v/>
      </c>
      <c r="TT6" s="36" t="str">
        <f t="shared" si="226"/>
        <v/>
      </c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1" t="str">
        <f t="shared" si="227"/>
        <v/>
      </c>
      <c r="UP6" s="11" t="str">
        <f t="shared" si="228"/>
        <v/>
      </c>
      <c r="UQ6" s="11" t="str">
        <f t="shared" si="229"/>
        <v/>
      </c>
      <c r="UR6" s="11" t="str">
        <f t="shared" si="230"/>
        <v/>
      </c>
      <c r="US6" s="11" t="str">
        <f t="shared" si="231"/>
        <v/>
      </c>
      <c r="UT6" s="11" t="str">
        <f t="shared" si="232"/>
        <v/>
      </c>
      <c r="UU6" s="11" t="str">
        <f t="shared" si="233"/>
        <v/>
      </c>
      <c r="UV6" s="11" t="str">
        <f t="shared" si="234"/>
        <v/>
      </c>
      <c r="UW6" s="11" t="str">
        <f t="shared" si="235"/>
        <v/>
      </c>
      <c r="UX6" s="11" t="str">
        <f t="shared" si="236"/>
        <v/>
      </c>
      <c r="UY6" s="11" t="str">
        <f t="shared" si="237"/>
        <v/>
      </c>
      <c r="UZ6" s="11" t="str">
        <f t="shared" si="238"/>
        <v/>
      </c>
      <c r="VA6" s="11" t="str">
        <f t="shared" si="239"/>
        <v/>
      </c>
      <c r="VB6" s="11" t="str">
        <f t="shared" si="240"/>
        <v/>
      </c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36" t="str">
        <f t="shared" si="241"/>
        <v/>
      </c>
      <c r="VX6" s="36" t="str">
        <f t="shared" si="242"/>
        <v/>
      </c>
      <c r="VY6" s="36" t="str">
        <f t="shared" si="243"/>
        <v/>
      </c>
      <c r="VZ6" s="36" t="str">
        <f t="shared" si="244"/>
        <v/>
      </c>
      <c r="WA6" s="36" t="str">
        <f t="shared" si="245"/>
        <v/>
      </c>
      <c r="WB6" s="36" t="str">
        <f t="shared" si="246"/>
        <v/>
      </c>
      <c r="WC6" s="36" t="str">
        <f t="shared" si="247"/>
        <v/>
      </c>
      <c r="WD6" s="36" t="str">
        <f t="shared" si="248"/>
        <v/>
      </c>
      <c r="WE6" s="36" t="str">
        <f t="shared" si="249"/>
        <v/>
      </c>
      <c r="WF6" s="36" t="str">
        <f t="shared" si="250"/>
        <v/>
      </c>
      <c r="WG6" s="36" t="str">
        <f t="shared" si="251"/>
        <v/>
      </c>
      <c r="WH6" s="36" t="str">
        <f t="shared" si="252"/>
        <v/>
      </c>
      <c r="WI6" s="36" t="str">
        <f t="shared" si="253"/>
        <v/>
      </c>
      <c r="WJ6" s="36" t="str">
        <f t="shared" si="254"/>
        <v/>
      </c>
    </row>
    <row r="7" spans="1:608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110</v>
      </c>
      <c r="C7" s="4" t="s">
        <v>3</v>
      </c>
      <c r="D7" s="4" t="s">
        <v>91</v>
      </c>
      <c r="E7" s="9">
        <f t="shared" si="0"/>
        <v>65.880006588004704</v>
      </c>
      <c r="F7" s="3" t="str">
        <f t="shared" si="1"/>
        <v>P</v>
      </c>
      <c r="G7" s="3" t="str">
        <f t="shared" si="2"/>
        <v>P</v>
      </c>
      <c r="H7" s="32" t="str">
        <f t="shared" si="3"/>
        <v>National Team</v>
      </c>
      <c r="I7" s="3" t="str">
        <f t="shared" si="4"/>
        <v/>
      </c>
      <c r="J7" s="8">
        <f t="shared" si="5"/>
        <v>47.099999999999994</v>
      </c>
      <c r="K7" s="8" t="str">
        <f t="shared" si="6"/>
        <v>2025 Nationals</v>
      </c>
      <c r="L7" s="8">
        <f>IFERROR(LARGE((AI7,AL7,AP7,BJ7,BM7,BQ7,CK7,CN7,CR7),2),0)</f>
        <v>18.78</v>
      </c>
      <c r="M7" s="8" t="str">
        <f t="shared" si="7"/>
        <v>2025 Nationals</v>
      </c>
      <c r="N7" s="8">
        <f t="shared" si="8"/>
        <v>0</v>
      </c>
      <c r="O7" s="11" t="str">
        <f t="shared" si="9"/>
        <v/>
      </c>
      <c r="P7" s="8" t="str">
        <f t="shared" si="10"/>
        <v/>
      </c>
      <c r="Q7" s="18">
        <v>2.85</v>
      </c>
      <c r="R7" s="18">
        <v>3.55</v>
      </c>
      <c r="S7" s="18">
        <v>5.6</v>
      </c>
      <c r="T7" s="18">
        <v>6.78</v>
      </c>
      <c r="U7" s="18">
        <v>0</v>
      </c>
      <c r="V7" s="18">
        <v>0.7</v>
      </c>
      <c r="W7" s="18">
        <v>0.9</v>
      </c>
      <c r="X7" s="18">
        <v>1.5</v>
      </c>
      <c r="Y7" s="18">
        <v>1.7</v>
      </c>
      <c r="Z7" s="18">
        <v>0</v>
      </c>
      <c r="AA7" s="18">
        <v>7.88</v>
      </c>
      <c r="AB7" s="18">
        <v>9.1</v>
      </c>
      <c r="AC7" s="18">
        <v>13.6</v>
      </c>
      <c r="AD7" s="18">
        <v>16.52</v>
      </c>
      <c r="AE7" s="18">
        <v>0</v>
      </c>
      <c r="AF7" s="23"/>
      <c r="AG7" s="34">
        <f t="shared" si="11"/>
        <v>5.6</v>
      </c>
      <c r="AH7" s="34">
        <f t="shared" si="12"/>
        <v>6.78</v>
      </c>
      <c r="AI7" s="36">
        <f t="shared" si="13"/>
        <v>18.78</v>
      </c>
      <c r="AJ7" s="36">
        <f t="shared" si="14"/>
        <v>1.5</v>
      </c>
      <c r="AK7" s="36">
        <f t="shared" si="15"/>
        <v>1.7</v>
      </c>
      <c r="AL7" s="36">
        <f t="shared" si="16"/>
        <v>4.8</v>
      </c>
      <c r="AM7" s="36">
        <f t="shared" si="17"/>
        <v>18.78</v>
      </c>
      <c r="AN7" s="36">
        <f t="shared" si="18"/>
        <v>13.6</v>
      </c>
      <c r="AO7" s="36">
        <f t="shared" si="19"/>
        <v>16.52</v>
      </c>
      <c r="AP7" s="36">
        <f t="shared" si="20"/>
        <v>47.099999999999994</v>
      </c>
      <c r="AQ7" s="36">
        <f t="shared" si="21"/>
        <v>65.88</v>
      </c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4"/>
      <c r="BH7" s="35" t="str">
        <f t="shared" si="22"/>
        <v/>
      </c>
      <c r="BI7" s="35" t="str">
        <f t="shared" si="23"/>
        <v/>
      </c>
      <c r="BJ7" s="11" t="str">
        <f t="shared" si="24"/>
        <v/>
      </c>
      <c r="BK7" s="11" t="str">
        <f t="shared" si="25"/>
        <v/>
      </c>
      <c r="BL7" s="11" t="str">
        <f t="shared" si="26"/>
        <v/>
      </c>
      <c r="BM7" s="11" t="str">
        <f t="shared" si="27"/>
        <v/>
      </c>
      <c r="BN7" s="11" t="str">
        <f t="shared" si="28"/>
        <v/>
      </c>
      <c r="BO7" s="11" t="str">
        <f t="shared" si="29"/>
        <v/>
      </c>
      <c r="BP7" s="11" t="str">
        <f t="shared" si="30"/>
        <v/>
      </c>
      <c r="BQ7" s="11" t="str">
        <f t="shared" si="31"/>
        <v/>
      </c>
      <c r="BR7" s="11" t="str">
        <f t="shared" si="32"/>
        <v/>
      </c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23"/>
      <c r="CI7" s="34" t="str">
        <f t="shared" si="33"/>
        <v/>
      </c>
      <c r="CJ7" s="34" t="str">
        <f t="shared" si="34"/>
        <v/>
      </c>
      <c r="CK7" s="36" t="str">
        <f t="shared" si="35"/>
        <v/>
      </c>
      <c r="CL7" s="36" t="str">
        <f t="shared" si="36"/>
        <v/>
      </c>
      <c r="CM7" s="36" t="str">
        <f t="shared" si="37"/>
        <v/>
      </c>
      <c r="CN7" s="36" t="str">
        <f t="shared" si="38"/>
        <v/>
      </c>
      <c r="CO7" s="36" t="str">
        <f t="shared" si="39"/>
        <v/>
      </c>
      <c r="CP7" s="36" t="str">
        <f t="shared" si="40"/>
        <v/>
      </c>
      <c r="CQ7" s="36" t="str">
        <f t="shared" si="41"/>
        <v/>
      </c>
      <c r="CR7" s="36" t="str">
        <f t="shared" si="42"/>
        <v/>
      </c>
      <c r="CS7" s="36" t="str">
        <f t="shared" si="43"/>
        <v/>
      </c>
      <c r="CT7" s="47" t="str">
        <f t="shared" si="44"/>
        <v/>
      </c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36" t="str">
        <f t="shared" si="45"/>
        <v/>
      </c>
      <c r="DP7" s="36" t="str">
        <f t="shared" si="46"/>
        <v/>
      </c>
      <c r="DQ7" s="36" t="str">
        <f t="shared" si="47"/>
        <v/>
      </c>
      <c r="DR7" s="36" t="str">
        <f t="shared" si="48"/>
        <v/>
      </c>
      <c r="DS7" s="36" t="str">
        <f t="shared" si="49"/>
        <v/>
      </c>
      <c r="DT7" s="36" t="str">
        <f t="shared" si="50"/>
        <v/>
      </c>
      <c r="DU7" s="36" t="str">
        <f t="shared" si="51"/>
        <v/>
      </c>
      <c r="DV7" s="36" t="str">
        <f t="shared" si="52"/>
        <v/>
      </c>
      <c r="DW7" s="36" t="str">
        <f t="shared" si="53"/>
        <v/>
      </c>
      <c r="DX7" s="36" t="str">
        <f t="shared" si="54"/>
        <v/>
      </c>
      <c r="DY7" s="36" t="str">
        <f t="shared" si="55"/>
        <v/>
      </c>
      <c r="DZ7" s="36" t="str">
        <f t="shared" si="56"/>
        <v/>
      </c>
      <c r="EA7" s="36" t="str">
        <f t="shared" si="57"/>
        <v/>
      </c>
      <c r="EB7" s="36" t="str">
        <f t="shared" si="58"/>
        <v/>
      </c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1" t="str">
        <f t="shared" si="59"/>
        <v/>
      </c>
      <c r="EX7" s="11" t="str">
        <f t="shared" si="60"/>
        <v/>
      </c>
      <c r="EY7" s="11" t="str">
        <f t="shared" si="61"/>
        <v/>
      </c>
      <c r="EZ7" s="11" t="str">
        <f t="shared" si="62"/>
        <v/>
      </c>
      <c r="FA7" s="11" t="str">
        <f t="shared" si="63"/>
        <v/>
      </c>
      <c r="FB7" s="11" t="str">
        <f t="shared" si="64"/>
        <v/>
      </c>
      <c r="FC7" s="11" t="str">
        <f t="shared" si="65"/>
        <v/>
      </c>
      <c r="FD7" s="11" t="str">
        <f t="shared" si="66"/>
        <v/>
      </c>
      <c r="FE7" s="11" t="str">
        <f t="shared" si="67"/>
        <v/>
      </c>
      <c r="FF7" s="11" t="str">
        <f t="shared" si="68"/>
        <v/>
      </c>
      <c r="FG7" s="11" t="str">
        <f t="shared" si="69"/>
        <v/>
      </c>
      <c r="FH7" s="11" t="str">
        <f t="shared" si="70"/>
        <v/>
      </c>
      <c r="FI7" s="11" t="str">
        <f t="shared" si="71"/>
        <v/>
      </c>
      <c r="FJ7" s="11" t="str">
        <f t="shared" si="72"/>
        <v/>
      </c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36" t="str">
        <f t="shared" si="73"/>
        <v/>
      </c>
      <c r="GF7" s="36" t="str">
        <f t="shared" si="74"/>
        <v/>
      </c>
      <c r="GG7" s="36" t="str">
        <f t="shared" si="75"/>
        <v/>
      </c>
      <c r="GH7" s="36" t="str">
        <f t="shared" si="76"/>
        <v/>
      </c>
      <c r="GI7" s="36" t="str">
        <f t="shared" si="77"/>
        <v/>
      </c>
      <c r="GJ7" s="36" t="str">
        <f t="shared" si="78"/>
        <v/>
      </c>
      <c r="GK7" s="36" t="str">
        <f t="shared" si="79"/>
        <v/>
      </c>
      <c r="GL7" s="36" t="str">
        <f t="shared" si="80"/>
        <v/>
      </c>
      <c r="GM7" s="36" t="str">
        <f t="shared" si="81"/>
        <v/>
      </c>
      <c r="GN7" s="36" t="str">
        <f t="shared" si="82"/>
        <v/>
      </c>
      <c r="GO7" s="36" t="str">
        <f t="shared" si="83"/>
        <v/>
      </c>
      <c r="GP7" s="36" t="str">
        <f t="shared" si="84"/>
        <v/>
      </c>
      <c r="GQ7" s="36" t="str">
        <f t="shared" si="85"/>
        <v/>
      </c>
      <c r="GR7" s="36" t="str">
        <f t="shared" si="86"/>
        <v/>
      </c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1" t="str">
        <f t="shared" si="87"/>
        <v/>
      </c>
      <c r="HN7" s="11" t="str">
        <f t="shared" si="88"/>
        <v/>
      </c>
      <c r="HO7" s="11" t="str">
        <f t="shared" si="89"/>
        <v/>
      </c>
      <c r="HP7" s="11" t="str">
        <f t="shared" si="90"/>
        <v/>
      </c>
      <c r="HQ7" s="11" t="str">
        <f t="shared" si="91"/>
        <v/>
      </c>
      <c r="HR7" s="11" t="str">
        <f t="shared" si="92"/>
        <v/>
      </c>
      <c r="HS7" s="11" t="str">
        <f t="shared" si="93"/>
        <v/>
      </c>
      <c r="HT7" s="11" t="str">
        <f t="shared" si="94"/>
        <v/>
      </c>
      <c r="HU7" s="11" t="str">
        <f t="shared" si="95"/>
        <v/>
      </c>
      <c r="HV7" s="11" t="str">
        <f t="shared" si="96"/>
        <v/>
      </c>
      <c r="HW7" s="11" t="str">
        <f t="shared" si="97"/>
        <v/>
      </c>
      <c r="HX7" s="11" t="str">
        <f t="shared" si="98"/>
        <v/>
      </c>
      <c r="HY7" s="11" t="str">
        <f t="shared" si="99"/>
        <v/>
      </c>
      <c r="HZ7" s="11" t="str">
        <f t="shared" si="100"/>
        <v/>
      </c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36" t="str">
        <f t="shared" si="101"/>
        <v/>
      </c>
      <c r="IV7" s="36" t="str">
        <f t="shared" si="102"/>
        <v/>
      </c>
      <c r="IW7" s="36" t="str">
        <f t="shared" si="103"/>
        <v/>
      </c>
      <c r="IX7" s="36" t="str">
        <f t="shared" si="104"/>
        <v/>
      </c>
      <c r="IY7" s="36" t="str">
        <f t="shared" si="105"/>
        <v/>
      </c>
      <c r="IZ7" s="36" t="str">
        <f t="shared" si="106"/>
        <v/>
      </c>
      <c r="JA7" s="36" t="str">
        <f t="shared" si="107"/>
        <v/>
      </c>
      <c r="JB7" s="36" t="str">
        <f t="shared" si="108"/>
        <v/>
      </c>
      <c r="JC7" s="36" t="str">
        <f t="shared" si="109"/>
        <v/>
      </c>
      <c r="JD7" s="36" t="str">
        <f t="shared" si="110"/>
        <v/>
      </c>
      <c r="JE7" s="36" t="str">
        <f t="shared" si="111"/>
        <v/>
      </c>
      <c r="JF7" s="36" t="str">
        <f t="shared" si="112"/>
        <v/>
      </c>
      <c r="JG7" s="36" t="str">
        <f t="shared" si="113"/>
        <v/>
      </c>
      <c r="JH7" s="36" t="str">
        <f t="shared" si="114"/>
        <v/>
      </c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1" t="str">
        <f t="shared" si="115"/>
        <v/>
      </c>
      <c r="KD7" s="11" t="str">
        <f t="shared" si="116"/>
        <v/>
      </c>
      <c r="KE7" s="11" t="str">
        <f t="shared" si="117"/>
        <v/>
      </c>
      <c r="KF7" s="11" t="str">
        <f t="shared" si="118"/>
        <v/>
      </c>
      <c r="KG7" s="11" t="str">
        <f t="shared" si="119"/>
        <v/>
      </c>
      <c r="KH7" s="11" t="str">
        <f t="shared" si="120"/>
        <v/>
      </c>
      <c r="KI7" s="11" t="str">
        <f t="shared" si="121"/>
        <v/>
      </c>
      <c r="KJ7" s="11" t="str">
        <f t="shared" si="122"/>
        <v/>
      </c>
      <c r="KK7" s="11" t="str">
        <f t="shared" si="123"/>
        <v/>
      </c>
      <c r="KL7" s="11" t="str">
        <f t="shared" si="124"/>
        <v/>
      </c>
      <c r="KM7" s="11" t="str">
        <f t="shared" si="125"/>
        <v/>
      </c>
      <c r="KN7" s="11" t="str">
        <f t="shared" si="126"/>
        <v/>
      </c>
      <c r="KO7" s="11" t="str">
        <f t="shared" si="127"/>
        <v/>
      </c>
      <c r="KP7" s="11" t="str">
        <f t="shared" si="128"/>
        <v/>
      </c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36" t="str">
        <f t="shared" si="129"/>
        <v/>
      </c>
      <c r="LL7" s="36" t="str">
        <f t="shared" si="130"/>
        <v/>
      </c>
      <c r="LM7" s="36" t="str">
        <f t="shared" si="131"/>
        <v/>
      </c>
      <c r="LN7" s="36" t="str">
        <f t="shared" si="132"/>
        <v/>
      </c>
      <c r="LO7" s="36" t="str">
        <f t="shared" si="133"/>
        <v/>
      </c>
      <c r="LP7" s="36" t="str">
        <f t="shared" si="134"/>
        <v/>
      </c>
      <c r="LQ7" s="36" t="str">
        <f t="shared" si="135"/>
        <v/>
      </c>
      <c r="LR7" s="36" t="str">
        <f t="shared" si="136"/>
        <v/>
      </c>
      <c r="LS7" s="36" t="str">
        <f t="shared" si="137"/>
        <v/>
      </c>
      <c r="LT7" s="36" t="str">
        <f t="shared" si="138"/>
        <v/>
      </c>
      <c r="LU7" s="36" t="str">
        <f t="shared" si="139"/>
        <v/>
      </c>
      <c r="LV7" s="36" t="str">
        <f t="shared" si="140"/>
        <v/>
      </c>
      <c r="LW7" s="36" t="str">
        <f t="shared" si="141"/>
        <v/>
      </c>
      <c r="LX7" s="36" t="str">
        <f t="shared" si="142"/>
        <v/>
      </c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1" t="str">
        <f t="shared" si="143"/>
        <v/>
      </c>
      <c r="MT7" s="11" t="str">
        <f t="shared" si="144"/>
        <v/>
      </c>
      <c r="MU7" s="11" t="str">
        <f t="shared" si="145"/>
        <v/>
      </c>
      <c r="MV7" s="11" t="str">
        <f t="shared" si="146"/>
        <v/>
      </c>
      <c r="MW7" s="11" t="str">
        <f t="shared" si="147"/>
        <v/>
      </c>
      <c r="MX7" s="11" t="str">
        <f t="shared" si="148"/>
        <v/>
      </c>
      <c r="MY7" s="11" t="str">
        <f t="shared" si="149"/>
        <v/>
      </c>
      <c r="MZ7" s="11" t="str">
        <f t="shared" si="150"/>
        <v/>
      </c>
      <c r="NA7" s="11" t="str">
        <f t="shared" si="151"/>
        <v/>
      </c>
      <c r="NB7" s="11" t="str">
        <f t="shared" si="152"/>
        <v/>
      </c>
      <c r="NC7" s="11" t="str">
        <f t="shared" si="153"/>
        <v/>
      </c>
      <c r="ND7" s="11" t="str">
        <f t="shared" si="154"/>
        <v/>
      </c>
      <c r="NE7" s="11" t="str">
        <f t="shared" si="155"/>
        <v/>
      </c>
      <c r="NF7" s="11" t="str">
        <f t="shared" si="156"/>
        <v/>
      </c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36" t="str">
        <f t="shared" si="157"/>
        <v/>
      </c>
      <c r="OB7" s="36" t="str">
        <f t="shared" si="158"/>
        <v/>
      </c>
      <c r="OC7" s="36" t="str">
        <f t="shared" si="159"/>
        <v/>
      </c>
      <c r="OD7" s="36" t="str">
        <f t="shared" si="160"/>
        <v/>
      </c>
      <c r="OE7" s="36" t="str">
        <f t="shared" si="161"/>
        <v/>
      </c>
      <c r="OF7" s="36" t="str">
        <f t="shared" si="162"/>
        <v/>
      </c>
      <c r="OG7" s="36" t="str">
        <f t="shared" si="163"/>
        <v/>
      </c>
      <c r="OH7" s="36" t="str">
        <f t="shared" si="164"/>
        <v/>
      </c>
      <c r="OI7" s="36" t="str">
        <f t="shared" si="165"/>
        <v/>
      </c>
      <c r="OJ7" s="36" t="str">
        <f t="shared" si="166"/>
        <v/>
      </c>
      <c r="OK7" s="36" t="str">
        <f t="shared" si="167"/>
        <v/>
      </c>
      <c r="OL7" s="36" t="str">
        <f t="shared" si="168"/>
        <v/>
      </c>
      <c r="OM7" s="36" t="str">
        <f t="shared" si="169"/>
        <v/>
      </c>
      <c r="ON7" s="36" t="str">
        <f t="shared" si="170"/>
        <v/>
      </c>
      <c r="OO7" s="16"/>
      <c r="OP7" s="16"/>
      <c r="OQ7" s="16"/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  <c r="PH7" s="16"/>
      <c r="PI7" s="11" t="str">
        <f t="shared" si="171"/>
        <v/>
      </c>
      <c r="PJ7" s="11" t="str">
        <f t="shared" si="172"/>
        <v/>
      </c>
      <c r="PK7" s="11" t="str">
        <f t="shared" si="173"/>
        <v/>
      </c>
      <c r="PL7" s="11" t="str">
        <f t="shared" si="174"/>
        <v/>
      </c>
      <c r="PM7" s="11" t="str">
        <f t="shared" si="175"/>
        <v/>
      </c>
      <c r="PN7" s="11" t="str">
        <f t="shared" si="176"/>
        <v/>
      </c>
      <c r="PO7" s="11" t="str">
        <f t="shared" si="177"/>
        <v/>
      </c>
      <c r="PP7" s="11" t="str">
        <f t="shared" si="178"/>
        <v/>
      </c>
      <c r="PQ7" s="11" t="str">
        <f t="shared" si="179"/>
        <v/>
      </c>
      <c r="PR7" s="11" t="str">
        <f t="shared" si="180"/>
        <v/>
      </c>
      <c r="PS7" s="11" t="str">
        <f t="shared" si="181"/>
        <v/>
      </c>
      <c r="PT7" s="11" t="str">
        <f t="shared" si="182"/>
        <v/>
      </c>
      <c r="PU7" s="11" t="str">
        <f t="shared" si="183"/>
        <v/>
      </c>
      <c r="PV7" s="11" t="str">
        <f t="shared" si="184"/>
        <v/>
      </c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36" t="str">
        <f t="shared" si="185"/>
        <v/>
      </c>
      <c r="QR7" s="36" t="str">
        <f t="shared" si="186"/>
        <v/>
      </c>
      <c r="QS7" s="36" t="str">
        <f t="shared" si="187"/>
        <v/>
      </c>
      <c r="QT7" s="36" t="str">
        <f t="shared" si="188"/>
        <v/>
      </c>
      <c r="QU7" s="36" t="str">
        <f t="shared" si="189"/>
        <v/>
      </c>
      <c r="QV7" s="36" t="str">
        <f t="shared" si="190"/>
        <v/>
      </c>
      <c r="QW7" s="36" t="str">
        <f t="shared" si="191"/>
        <v/>
      </c>
      <c r="QX7" s="36" t="str">
        <f t="shared" si="192"/>
        <v/>
      </c>
      <c r="QY7" s="36" t="str">
        <f t="shared" si="193"/>
        <v/>
      </c>
      <c r="QZ7" s="36" t="str">
        <f t="shared" si="194"/>
        <v/>
      </c>
      <c r="RA7" s="36" t="str">
        <f t="shared" si="195"/>
        <v/>
      </c>
      <c r="RB7" s="36" t="str">
        <f t="shared" si="196"/>
        <v/>
      </c>
      <c r="RC7" s="36" t="str">
        <f t="shared" si="197"/>
        <v/>
      </c>
      <c r="RD7" s="36" t="str">
        <f t="shared" si="198"/>
        <v/>
      </c>
      <c r="RE7" s="16"/>
      <c r="RF7" s="16"/>
      <c r="RG7" s="16"/>
      <c r="RH7" s="16"/>
      <c r="RI7" s="16"/>
      <c r="RJ7" s="16"/>
      <c r="RK7" s="16"/>
      <c r="RL7" s="16"/>
      <c r="RM7" s="16"/>
      <c r="RN7" s="16"/>
      <c r="RO7" s="16"/>
      <c r="RP7" s="16"/>
      <c r="RQ7" s="16"/>
      <c r="RR7" s="16"/>
      <c r="RS7" s="16"/>
      <c r="RT7" s="16"/>
      <c r="RU7" s="16"/>
      <c r="RV7" s="16"/>
      <c r="RW7" s="16"/>
      <c r="RX7" s="16"/>
      <c r="RY7" s="11" t="str">
        <f t="shared" si="199"/>
        <v/>
      </c>
      <c r="RZ7" s="11" t="str">
        <f t="shared" si="200"/>
        <v/>
      </c>
      <c r="SA7" s="11" t="str">
        <f t="shared" si="201"/>
        <v/>
      </c>
      <c r="SB7" s="11" t="str">
        <f t="shared" si="202"/>
        <v/>
      </c>
      <c r="SC7" s="11" t="str">
        <f t="shared" si="203"/>
        <v/>
      </c>
      <c r="SD7" s="11" t="str">
        <f t="shared" si="204"/>
        <v/>
      </c>
      <c r="SE7" s="11" t="str">
        <f t="shared" si="205"/>
        <v/>
      </c>
      <c r="SF7" s="11" t="str">
        <f t="shared" si="206"/>
        <v/>
      </c>
      <c r="SG7" s="11" t="str">
        <f t="shared" si="207"/>
        <v/>
      </c>
      <c r="SH7" s="11" t="str">
        <f t="shared" si="208"/>
        <v/>
      </c>
      <c r="SI7" s="11" t="str">
        <f t="shared" si="209"/>
        <v/>
      </c>
      <c r="SJ7" s="11" t="str">
        <f t="shared" si="210"/>
        <v/>
      </c>
      <c r="SK7" s="11" t="str">
        <f t="shared" si="211"/>
        <v/>
      </c>
      <c r="SL7" s="11" t="str">
        <f t="shared" si="212"/>
        <v/>
      </c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36" t="str">
        <f t="shared" si="213"/>
        <v/>
      </c>
      <c r="TH7" s="36" t="str">
        <f t="shared" si="214"/>
        <v/>
      </c>
      <c r="TI7" s="36" t="str">
        <f t="shared" si="215"/>
        <v/>
      </c>
      <c r="TJ7" s="36" t="str">
        <f t="shared" si="216"/>
        <v/>
      </c>
      <c r="TK7" s="36" t="str">
        <f t="shared" si="217"/>
        <v/>
      </c>
      <c r="TL7" s="36" t="str">
        <f t="shared" si="218"/>
        <v/>
      </c>
      <c r="TM7" s="36" t="str">
        <f t="shared" si="219"/>
        <v/>
      </c>
      <c r="TN7" s="36" t="str">
        <f t="shared" si="220"/>
        <v/>
      </c>
      <c r="TO7" s="36" t="str">
        <f t="shared" si="221"/>
        <v/>
      </c>
      <c r="TP7" s="36" t="str">
        <f t="shared" si="222"/>
        <v/>
      </c>
      <c r="TQ7" s="36" t="str">
        <f t="shared" si="223"/>
        <v/>
      </c>
      <c r="TR7" s="36" t="str">
        <f t="shared" si="224"/>
        <v/>
      </c>
      <c r="TS7" s="36" t="str">
        <f t="shared" si="225"/>
        <v/>
      </c>
      <c r="TT7" s="36" t="str">
        <f t="shared" si="226"/>
        <v/>
      </c>
      <c r="TU7" s="16"/>
      <c r="TV7" s="16"/>
      <c r="TW7" s="16"/>
      <c r="TX7" s="16"/>
      <c r="TY7" s="16"/>
      <c r="TZ7" s="16"/>
      <c r="UA7" s="16"/>
      <c r="UB7" s="16"/>
      <c r="UC7" s="16"/>
      <c r="UD7" s="16"/>
      <c r="UE7" s="16"/>
      <c r="UF7" s="16"/>
      <c r="UG7" s="16"/>
      <c r="UH7" s="16"/>
      <c r="UI7" s="16"/>
      <c r="UJ7" s="16"/>
      <c r="UK7" s="16"/>
      <c r="UL7" s="16"/>
      <c r="UM7" s="16"/>
      <c r="UN7" s="16"/>
      <c r="UO7" s="11" t="str">
        <f t="shared" si="227"/>
        <v/>
      </c>
      <c r="UP7" s="11" t="str">
        <f t="shared" si="228"/>
        <v/>
      </c>
      <c r="UQ7" s="11" t="str">
        <f t="shared" si="229"/>
        <v/>
      </c>
      <c r="UR7" s="11" t="str">
        <f t="shared" si="230"/>
        <v/>
      </c>
      <c r="US7" s="11" t="str">
        <f t="shared" si="231"/>
        <v/>
      </c>
      <c r="UT7" s="11" t="str">
        <f t="shared" si="232"/>
        <v/>
      </c>
      <c r="UU7" s="11" t="str">
        <f t="shared" si="233"/>
        <v/>
      </c>
      <c r="UV7" s="11" t="str">
        <f t="shared" si="234"/>
        <v/>
      </c>
      <c r="UW7" s="11" t="str">
        <f t="shared" si="235"/>
        <v/>
      </c>
      <c r="UX7" s="11" t="str">
        <f t="shared" si="236"/>
        <v/>
      </c>
      <c r="UY7" s="11" t="str">
        <f t="shared" si="237"/>
        <v/>
      </c>
      <c r="UZ7" s="11" t="str">
        <f t="shared" si="238"/>
        <v/>
      </c>
      <c r="VA7" s="11" t="str">
        <f t="shared" si="239"/>
        <v/>
      </c>
      <c r="VB7" s="11" t="str">
        <f t="shared" si="240"/>
        <v/>
      </c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36" t="str">
        <f t="shared" si="241"/>
        <v/>
      </c>
      <c r="VX7" s="36" t="str">
        <f t="shared" si="242"/>
        <v/>
      </c>
      <c r="VY7" s="36" t="str">
        <f t="shared" si="243"/>
        <v/>
      </c>
      <c r="VZ7" s="36" t="str">
        <f t="shared" si="244"/>
        <v/>
      </c>
      <c r="WA7" s="36" t="str">
        <f t="shared" si="245"/>
        <v/>
      </c>
      <c r="WB7" s="36" t="str">
        <f t="shared" si="246"/>
        <v/>
      </c>
      <c r="WC7" s="36" t="str">
        <f t="shared" si="247"/>
        <v/>
      </c>
      <c r="WD7" s="36" t="str">
        <f t="shared" si="248"/>
        <v/>
      </c>
      <c r="WE7" s="36" t="str">
        <f t="shared" si="249"/>
        <v/>
      </c>
      <c r="WF7" s="36" t="str">
        <f t="shared" si="250"/>
        <v/>
      </c>
      <c r="WG7" s="36" t="str">
        <f t="shared" si="251"/>
        <v/>
      </c>
      <c r="WH7" s="36" t="str">
        <f t="shared" si="252"/>
        <v/>
      </c>
      <c r="WI7" s="36" t="str">
        <f t="shared" si="253"/>
        <v/>
      </c>
      <c r="WJ7" s="36" t="str">
        <f t="shared" si="254"/>
        <v/>
      </c>
    </row>
    <row r="8" spans="1:608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167</v>
      </c>
      <c r="C8" s="4" t="s">
        <v>3</v>
      </c>
      <c r="D8" s="4" t="s">
        <v>168</v>
      </c>
      <c r="E8" s="9">
        <f t="shared" si="0"/>
        <v>47.67</v>
      </c>
      <c r="F8" s="3" t="str">
        <f t="shared" si="1"/>
        <v>P</v>
      </c>
      <c r="G8" s="3" t="str">
        <f t="shared" si="2"/>
        <v>P</v>
      </c>
      <c r="H8" s="32" t="str">
        <f t="shared" si="3"/>
        <v>National Team</v>
      </c>
      <c r="I8" s="3" t="str">
        <f t="shared" si="4"/>
        <v/>
      </c>
      <c r="J8" s="8">
        <f t="shared" si="5"/>
        <v>0</v>
      </c>
      <c r="K8" s="8" t="str">
        <f t="shared" si="6"/>
        <v/>
      </c>
      <c r="L8" s="8">
        <f>IFERROR(LARGE((AI8,AL8,AP8,BJ8,BM8,BQ8,CK8,CN8,CR8),2),0)</f>
        <v>0</v>
      </c>
      <c r="M8" s="8" t="str">
        <f t="shared" si="7"/>
        <v/>
      </c>
      <c r="N8" s="8">
        <f t="shared" si="8"/>
        <v>47.67</v>
      </c>
      <c r="O8" s="11" t="str">
        <f t="shared" si="9"/>
        <v>(Any)</v>
      </c>
      <c r="P8" s="8" t="str">
        <f t="shared" si="10"/>
        <v>2025 Worlds (Nov 9)</v>
      </c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23"/>
      <c r="AG8" s="34" t="str">
        <f t="shared" si="11"/>
        <v/>
      </c>
      <c r="AH8" s="34" t="str">
        <f t="shared" si="12"/>
        <v/>
      </c>
      <c r="AI8" s="36" t="str">
        <f t="shared" si="13"/>
        <v/>
      </c>
      <c r="AJ8" s="36" t="str">
        <f t="shared" si="14"/>
        <v/>
      </c>
      <c r="AK8" s="36" t="str">
        <f t="shared" si="15"/>
        <v/>
      </c>
      <c r="AL8" s="36" t="str">
        <f t="shared" si="16"/>
        <v/>
      </c>
      <c r="AM8" s="36" t="str">
        <f t="shared" si="17"/>
        <v/>
      </c>
      <c r="AN8" s="36" t="str">
        <f t="shared" si="18"/>
        <v/>
      </c>
      <c r="AO8" s="36" t="str">
        <f t="shared" si="19"/>
        <v/>
      </c>
      <c r="AP8" s="36" t="str">
        <f t="shared" si="20"/>
        <v/>
      </c>
      <c r="AQ8" s="36" t="str">
        <f t="shared" si="21"/>
        <v/>
      </c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4"/>
      <c r="BH8" s="35" t="str">
        <f t="shared" si="22"/>
        <v/>
      </c>
      <c r="BI8" s="35" t="str">
        <f t="shared" si="23"/>
        <v/>
      </c>
      <c r="BJ8" s="11" t="str">
        <f t="shared" si="24"/>
        <v/>
      </c>
      <c r="BK8" s="11" t="str">
        <f t="shared" si="25"/>
        <v/>
      </c>
      <c r="BL8" s="11" t="str">
        <f t="shared" si="26"/>
        <v/>
      </c>
      <c r="BM8" s="11" t="str">
        <f t="shared" si="27"/>
        <v/>
      </c>
      <c r="BN8" s="11" t="str">
        <f t="shared" si="28"/>
        <v/>
      </c>
      <c r="BO8" s="11" t="str">
        <f t="shared" si="29"/>
        <v/>
      </c>
      <c r="BP8" s="11" t="str">
        <f t="shared" si="30"/>
        <v/>
      </c>
      <c r="BQ8" s="11" t="str">
        <f t="shared" si="31"/>
        <v/>
      </c>
      <c r="BR8" s="11" t="str">
        <f t="shared" si="32"/>
        <v/>
      </c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23"/>
      <c r="CI8" s="34" t="str">
        <f t="shared" si="33"/>
        <v/>
      </c>
      <c r="CJ8" s="34" t="str">
        <f t="shared" si="34"/>
        <v/>
      </c>
      <c r="CK8" s="36" t="str">
        <f t="shared" si="35"/>
        <v/>
      </c>
      <c r="CL8" s="36" t="str">
        <f t="shared" si="36"/>
        <v/>
      </c>
      <c r="CM8" s="36" t="str">
        <f t="shared" si="37"/>
        <v/>
      </c>
      <c r="CN8" s="36" t="str">
        <f t="shared" si="38"/>
        <v/>
      </c>
      <c r="CO8" s="36" t="str">
        <f t="shared" si="39"/>
        <v/>
      </c>
      <c r="CP8" s="36" t="str">
        <f t="shared" si="40"/>
        <v/>
      </c>
      <c r="CQ8" s="36" t="str">
        <f t="shared" si="41"/>
        <v/>
      </c>
      <c r="CR8" s="36" t="str">
        <f t="shared" si="42"/>
        <v/>
      </c>
      <c r="CS8" s="36" t="str">
        <f t="shared" si="43"/>
        <v/>
      </c>
      <c r="CT8" s="47">
        <f t="shared" si="44"/>
        <v>47.67</v>
      </c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36" t="str">
        <f t="shared" si="45"/>
        <v/>
      </c>
      <c r="DP8" s="36" t="str">
        <f t="shared" si="46"/>
        <v/>
      </c>
      <c r="DQ8" s="36" t="str">
        <f t="shared" si="47"/>
        <v/>
      </c>
      <c r="DR8" s="36" t="str">
        <f t="shared" si="48"/>
        <v/>
      </c>
      <c r="DS8" s="36" t="str">
        <f t="shared" si="49"/>
        <v/>
      </c>
      <c r="DT8" s="36" t="str">
        <f t="shared" si="50"/>
        <v/>
      </c>
      <c r="DU8" s="36" t="str">
        <f t="shared" si="51"/>
        <v/>
      </c>
      <c r="DV8" s="36" t="str">
        <f t="shared" si="52"/>
        <v/>
      </c>
      <c r="DW8" s="36" t="str">
        <f t="shared" si="53"/>
        <v/>
      </c>
      <c r="DX8" s="36" t="str">
        <f t="shared" si="54"/>
        <v/>
      </c>
      <c r="DY8" s="36" t="str">
        <f t="shared" si="55"/>
        <v/>
      </c>
      <c r="DZ8" s="36" t="str">
        <f t="shared" si="56"/>
        <v/>
      </c>
      <c r="EA8" s="36" t="str">
        <f t="shared" si="57"/>
        <v/>
      </c>
      <c r="EB8" s="36" t="str">
        <f t="shared" si="58"/>
        <v/>
      </c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1" t="str">
        <f t="shared" si="59"/>
        <v/>
      </c>
      <c r="EX8" s="11" t="str">
        <f t="shared" si="60"/>
        <v/>
      </c>
      <c r="EY8" s="11" t="str">
        <f t="shared" si="61"/>
        <v/>
      </c>
      <c r="EZ8" s="11" t="str">
        <f t="shared" si="62"/>
        <v/>
      </c>
      <c r="FA8" s="11" t="str">
        <f t="shared" si="63"/>
        <v/>
      </c>
      <c r="FB8" s="11" t="str">
        <f t="shared" si="64"/>
        <v/>
      </c>
      <c r="FC8" s="11" t="str">
        <f t="shared" si="65"/>
        <v/>
      </c>
      <c r="FD8" s="11" t="str">
        <f t="shared" si="66"/>
        <v/>
      </c>
      <c r="FE8" s="11" t="str">
        <f t="shared" si="67"/>
        <v/>
      </c>
      <c r="FF8" s="11" t="str">
        <f t="shared" si="68"/>
        <v/>
      </c>
      <c r="FG8" s="11" t="str">
        <f t="shared" si="69"/>
        <v/>
      </c>
      <c r="FH8" s="11" t="str">
        <f t="shared" si="70"/>
        <v/>
      </c>
      <c r="FI8" s="11" t="str">
        <f t="shared" si="71"/>
        <v/>
      </c>
      <c r="FJ8" s="11" t="str">
        <f t="shared" si="72"/>
        <v/>
      </c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36" t="str">
        <f t="shared" si="73"/>
        <v/>
      </c>
      <c r="GF8" s="36" t="str">
        <f t="shared" si="74"/>
        <v/>
      </c>
      <c r="GG8" s="36" t="str">
        <f t="shared" si="75"/>
        <v/>
      </c>
      <c r="GH8" s="36" t="str">
        <f t="shared" si="76"/>
        <v/>
      </c>
      <c r="GI8" s="36" t="str">
        <f t="shared" si="77"/>
        <v/>
      </c>
      <c r="GJ8" s="36" t="str">
        <f t="shared" si="78"/>
        <v/>
      </c>
      <c r="GK8" s="36" t="str">
        <f t="shared" si="79"/>
        <v/>
      </c>
      <c r="GL8" s="36" t="str">
        <f t="shared" si="80"/>
        <v/>
      </c>
      <c r="GM8" s="36" t="str">
        <f t="shared" si="81"/>
        <v/>
      </c>
      <c r="GN8" s="36" t="str">
        <f t="shared" si="82"/>
        <v/>
      </c>
      <c r="GO8" s="36" t="str">
        <f t="shared" si="83"/>
        <v/>
      </c>
      <c r="GP8" s="36" t="str">
        <f t="shared" si="84"/>
        <v/>
      </c>
      <c r="GQ8" s="36" t="str">
        <f t="shared" si="85"/>
        <v/>
      </c>
      <c r="GR8" s="36" t="str">
        <f t="shared" si="86"/>
        <v/>
      </c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1" t="str">
        <f t="shared" si="87"/>
        <v/>
      </c>
      <c r="HN8" s="11" t="str">
        <f t="shared" si="88"/>
        <v/>
      </c>
      <c r="HO8" s="11" t="str">
        <f t="shared" si="89"/>
        <v/>
      </c>
      <c r="HP8" s="11" t="str">
        <f t="shared" si="90"/>
        <v/>
      </c>
      <c r="HQ8" s="11" t="str">
        <f t="shared" si="91"/>
        <v/>
      </c>
      <c r="HR8" s="11" t="str">
        <f t="shared" si="92"/>
        <v/>
      </c>
      <c r="HS8" s="11" t="str">
        <f t="shared" si="93"/>
        <v/>
      </c>
      <c r="HT8" s="11" t="str">
        <f t="shared" si="94"/>
        <v/>
      </c>
      <c r="HU8" s="11" t="str">
        <f t="shared" si="95"/>
        <v/>
      </c>
      <c r="HV8" s="11" t="str">
        <f t="shared" si="96"/>
        <v/>
      </c>
      <c r="HW8" s="11" t="str">
        <f t="shared" si="97"/>
        <v/>
      </c>
      <c r="HX8" s="11" t="str">
        <f t="shared" si="98"/>
        <v/>
      </c>
      <c r="HY8" s="11" t="str">
        <f t="shared" si="99"/>
        <v/>
      </c>
      <c r="HZ8" s="11" t="str">
        <f t="shared" si="100"/>
        <v/>
      </c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36" t="str">
        <f t="shared" si="101"/>
        <v/>
      </c>
      <c r="IV8" s="36" t="str">
        <f t="shared" si="102"/>
        <v/>
      </c>
      <c r="IW8" s="36" t="str">
        <f t="shared" si="103"/>
        <v/>
      </c>
      <c r="IX8" s="36" t="str">
        <f t="shared" si="104"/>
        <v/>
      </c>
      <c r="IY8" s="36" t="str">
        <f t="shared" si="105"/>
        <v/>
      </c>
      <c r="IZ8" s="36" t="str">
        <f t="shared" si="106"/>
        <v/>
      </c>
      <c r="JA8" s="36" t="str">
        <f t="shared" si="107"/>
        <v/>
      </c>
      <c r="JB8" s="36" t="str">
        <f t="shared" si="108"/>
        <v/>
      </c>
      <c r="JC8" s="36" t="str">
        <f t="shared" si="109"/>
        <v/>
      </c>
      <c r="JD8" s="36" t="str">
        <f t="shared" si="110"/>
        <v/>
      </c>
      <c r="JE8" s="36" t="str">
        <f t="shared" si="111"/>
        <v/>
      </c>
      <c r="JF8" s="36" t="str">
        <f t="shared" si="112"/>
        <v/>
      </c>
      <c r="JG8" s="36" t="str">
        <f t="shared" si="113"/>
        <v/>
      </c>
      <c r="JH8" s="36" t="str">
        <f t="shared" si="114"/>
        <v/>
      </c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1" t="str">
        <f t="shared" si="115"/>
        <v/>
      </c>
      <c r="KD8" s="11" t="str">
        <f t="shared" si="116"/>
        <v/>
      </c>
      <c r="KE8" s="11" t="str">
        <f t="shared" si="117"/>
        <v/>
      </c>
      <c r="KF8" s="11" t="str">
        <f t="shared" si="118"/>
        <v/>
      </c>
      <c r="KG8" s="11" t="str">
        <f t="shared" si="119"/>
        <v/>
      </c>
      <c r="KH8" s="11" t="str">
        <f t="shared" si="120"/>
        <v/>
      </c>
      <c r="KI8" s="11" t="str">
        <f t="shared" si="121"/>
        <v/>
      </c>
      <c r="KJ8" s="11" t="str">
        <f t="shared" si="122"/>
        <v/>
      </c>
      <c r="KK8" s="11" t="str">
        <f t="shared" si="123"/>
        <v/>
      </c>
      <c r="KL8" s="11" t="str">
        <f t="shared" si="124"/>
        <v/>
      </c>
      <c r="KM8" s="11" t="str">
        <f t="shared" si="125"/>
        <v/>
      </c>
      <c r="KN8" s="11" t="str">
        <f t="shared" si="126"/>
        <v/>
      </c>
      <c r="KO8" s="11" t="str">
        <f t="shared" si="127"/>
        <v/>
      </c>
      <c r="KP8" s="11" t="str">
        <f t="shared" si="128"/>
        <v/>
      </c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36" t="str">
        <f t="shared" si="129"/>
        <v/>
      </c>
      <c r="LL8" s="36" t="str">
        <f t="shared" si="130"/>
        <v/>
      </c>
      <c r="LM8" s="36" t="str">
        <f t="shared" si="131"/>
        <v/>
      </c>
      <c r="LN8" s="36" t="str">
        <f t="shared" si="132"/>
        <v/>
      </c>
      <c r="LO8" s="36" t="str">
        <f t="shared" si="133"/>
        <v/>
      </c>
      <c r="LP8" s="36" t="str">
        <f t="shared" si="134"/>
        <v/>
      </c>
      <c r="LQ8" s="36" t="str">
        <f t="shared" si="135"/>
        <v/>
      </c>
      <c r="LR8" s="36" t="str">
        <f t="shared" si="136"/>
        <v/>
      </c>
      <c r="LS8" s="36" t="str">
        <f t="shared" si="137"/>
        <v/>
      </c>
      <c r="LT8" s="36" t="str">
        <f t="shared" si="138"/>
        <v/>
      </c>
      <c r="LU8" s="36" t="str">
        <f t="shared" si="139"/>
        <v/>
      </c>
      <c r="LV8" s="36" t="str">
        <f t="shared" si="140"/>
        <v/>
      </c>
      <c r="LW8" s="36" t="str">
        <f t="shared" si="141"/>
        <v/>
      </c>
      <c r="LX8" s="36" t="str">
        <f t="shared" si="142"/>
        <v/>
      </c>
      <c r="LY8" s="16">
        <v>6.95</v>
      </c>
      <c r="LZ8" s="16">
        <v>8.9499999999999993</v>
      </c>
      <c r="MA8" s="16">
        <v>12.7</v>
      </c>
      <c r="MB8" s="16">
        <v>16.36</v>
      </c>
      <c r="MC8" s="16">
        <v>0</v>
      </c>
      <c r="MD8" s="16">
        <v>7.35</v>
      </c>
      <c r="ME8" s="16">
        <v>9.1999999999999993</v>
      </c>
      <c r="MF8" s="16">
        <v>12.7</v>
      </c>
      <c r="MG8" s="16">
        <v>18.420000000000002</v>
      </c>
      <c r="MH8" s="16">
        <v>0</v>
      </c>
      <c r="MI8" s="16">
        <v>7.25</v>
      </c>
      <c r="MJ8" s="16">
        <v>9.35</v>
      </c>
      <c r="MK8" s="16">
        <v>12.7</v>
      </c>
      <c r="ML8" s="16">
        <v>18.12</v>
      </c>
      <c r="MM8" s="16">
        <v>0</v>
      </c>
      <c r="MN8" s="16">
        <v>6.8</v>
      </c>
      <c r="MO8" s="16">
        <v>9.5</v>
      </c>
      <c r="MP8" s="16">
        <v>13.8</v>
      </c>
      <c r="MQ8" s="16">
        <v>17.28</v>
      </c>
      <c r="MR8" s="16">
        <v>0</v>
      </c>
      <c r="MS8" s="11">
        <f t="shared" si="143"/>
        <v>12.7</v>
      </c>
      <c r="MT8" s="11">
        <f t="shared" si="144"/>
        <v>16.36</v>
      </c>
      <c r="MU8" s="11">
        <f t="shared" si="145"/>
        <v>44.959999999999994</v>
      </c>
      <c r="MV8" s="11">
        <f t="shared" si="146"/>
        <v>12.7</v>
      </c>
      <c r="MW8" s="11">
        <f t="shared" si="147"/>
        <v>18.420000000000002</v>
      </c>
      <c r="MX8" s="11">
        <f t="shared" si="148"/>
        <v>47.67</v>
      </c>
      <c r="MY8" s="11">
        <f t="shared" si="149"/>
        <v>47.67</v>
      </c>
      <c r="MZ8" s="11">
        <f t="shared" si="150"/>
        <v>12.7</v>
      </c>
      <c r="NA8" s="11">
        <f t="shared" si="151"/>
        <v>18.12</v>
      </c>
      <c r="NB8" s="11">
        <f t="shared" si="152"/>
        <v>47.42</v>
      </c>
      <c r="NC8" s="11">
        <f t="shared" si="153"/>
        <v>13.8</v>
      </c>
      <c r="ND8" s="11">
        <f t="shared" si="154"/>
        <v>17.28</v>
      </c>
      <c r="NE8" s="11">
        <f t="shared" si="155"/>
        <v>47.38</v>
      </c>
      <c r="NF8" s="11">
        <f t="shared" si="156"/>
        <v>142.47</v>
      </c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36" t="str">
        <f t="shared" si="157"/>
        <v/>
      </c>
      <c r="OB8" s="36" t="str">
        <f t="shared" si="158"/>
        <v/>
      </c>
      <c r="OC8" s="36" t="str">
        <f t="shared" si="159"/>
        <v/>
      </c>
      <c r="OD8" s="36" t="str">
        <f t="shared" si="160"/>
        <v/>
      </c>
      <c r="OE8" s="36" t="str">
        <f t="shared" si="161"/>
        <v/>
      </c>
      <c r="OF8" s="36" t="str">
        <f t="shared" si="162"/>
        <v/>
      </c>
      <c r="OG8" s="36" t="str">
        <f t="shared" si="163"/>
        <v/>
      </c>
      <c r="OH8" s="36" t="str">
        <f t="shared" si="164"/>
        <v/>
      </c>
      <c r="OI8" s="36" t="str">
        <f t="shared" si="165"/>
        <v/>
      </c>
      <c r="OJ8" s="36" t="str">
        <f t="shared" si="166"/>
        <v/>
      </c>
      <c r="OK8" s="36" t="str">
        <f t="shared" si="167"/>
        <v/>
      </c>
      <c r="OL8" s="36" t="str">
        <f t="shared" si="168"/>
        <v/>
      </c>
      <c r="OM8" s="36" t="str">
        <f t="shared" si="169"/>
        <v/>
      </c>
      <c r="ON8" s="36" t="str">
        <f t="shared" si="170"/>
        <v/>
      </c>
      <c r="OO8" s="16"/>
      <c r="OP8" s="16"/>
      <c r="OQ8" s="16"/>
      <c r="OR8" s="16"/>
      <c r="OS8" s="16"/>
      <c r="OT8" s="16"/>
      <c r="OU8" s="16"/>
      <c r="OV8" s="16"/>
      <c r="OW8" s="16"/>
      <c r="OX8" s="16"/>
      <c r="OY8" s="16"/>
      <c r="OZ8" s="16"/>
      <c r="PA8" s="16"/>
      <c r="PB8" s="16"/>
      <c r="PC8" s="16"/>
      <c r="PD8" s="16"/>
      <c r="PE8" s="16"/>
      <c r="PF8" s="16"/>
      <c r="PG8" s="16"/>
      <c r="PH8" s="16"/>
      <c r="PI8" s="11" t="str">
        <f t="shared" si="171"/>
        <v/>
      </c>
      <c r="PJ8" s="11" t="str">
        <f t="shared" si="172"/>
        <v/>
      </c>
      <c r="PK8" s="11" t="str">
        <f t="shared" si="173"/>
        <v/>
      </c>
      <c r="PL8" s="11" t="str">
        <f t="shared" si="174"/>
        <v/>
      </c>
      <c r="PM8" s="11" t="str">
        <f t="shared" si="175"/>
        <v/>
      </c>
      <c r="PN8" s="11" t="str">
        <f t="shared" si="176"/>
        <v/>
      </c>
      <c r="PO8" s="11" t="str">
        <f t="shared" si="177"/>
        <v/>
      </c>
      <c r="PP8" s="11" t="str">
        <f t="shared" si="178"/>
        <v/>
      </c>
      <c r="PQ8" s="11" t="str">
        <f t="shared" si="179"/>
        <v/>
      </c>
      <c r="PR8" s="11" t="str">
        <f t="shared" si="180"/>
        <v/>
      </c>
      <c r="PS8" s="11" t="str">
        <f t="shared" si="181"/>
        <v/>
      </c>
      <c r="PT8" s="11" t="str">
        <f t="shared" si="182"/>
        <v/>
      </c>
      <c r="PU8" s="11" t="str">
        <f t="shared" si="183"/>
        <v/>
      </c>
      <c r="PV8" s="11" t="str">
        <f t="shared" si="184"/>
        <v/>
      </c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36" t="str">
        <f t="shared" si="185"/>
        <v/>
      </c>
      <c r="QR8" s="36" t="str">
        <f t="shared" si="186"/>
        <v/>
      </c>
      <c r="QS8" s="36" t="str">
        <f t="shared" si="187"/>
        <v/>
      </c>
      <c r="QT8" s="36" t="str">
        <f t="shared" si="188"/>
        <v/>
      </c>
      <c r="QU8" s="36" t="str">
        <f t="shared" si="189"/>
        <v/>
      </c>
      <c r="QV8" s="36" t="str">
        <f t="shared" si="190"/>
        <v/>
      </c>
      <c r="QW8" s="36" t="str">
        <f t="shared" si="191"/>
        <v/>
      </c>
      <c r="QX8" s="36" t="str">
        <f t="shared" si="192"/>
        <v/>
      </c>
      <c r="QY8" s="36" t="str">
        <f t="shared" si="193"/>
        <v/>
      </c>
      <c r="QZ8" s="36" t="str">
        <f t="shared" si="194"/>
        <v/>
      </c>
      <c r="RA8" s="36" t="str">
        <f t="shared" si="195"/>
        <v/>
      </c>
      <c r="RB8" s="36" t="str">
        <f t="shared" si="196"/>
        <v/>
      </c>
      <c r="RC8" s="36" t="str">
        <f t="shared" si="197"/>
        <v/>
      </c>
      <c r="RD8" s="36" t="str">
        <f t="shared" si="198"/>
        <v/>
      </c>
      <c r="RE8" s="16"/>
      <c r="RF8" s="16"/>
      <c r="RG8" s="16"/>
      <c r="RH8" s="16"/>
      <c r="RI8" s="16"/>
      <c r="RJ8" s="16"/>
      <c r="RK8" s="16"/>
      <c r="RL8" s="16"/>
      <c r="RM8" s="16"/>
      <c r="RN8" s="16"/>
      <c r="RO8" s="16"/>
      <c r="RP8" s="16"/>
      <c r="RQ8" s="16"/>
      <c r="RR8" s="16"/>
      <c r="RS8" s="16"/>
      <c r="RT8" s="16"/>
      <c r="RU8" s="16"/>
      <c r="RV8" s="16"/>
      <c r="RW8" s="16"/>
      <c r="RX8" s="16"/>
      <c r="RY8" s="11" t="str">
        <f t="shared" si="199"/>
        <v/>
      </c>
      <c r="RZ8" s="11" t="str">
        <f t="shared" si="200"/>
        <v/>
      </c>
      <c r="SA8" s="11" t="str">
        <f t="shared" si="201"/>
        <v/>
      </c>
      <c r="SB8" s="11" t="str">
        <f t="shared" si="202"/>
        <v/>
      </c>
      <c r="SC8" s="11" t="str">
        <f t="shared" si="203"/>
        <v/>
      </c>
      <c r="SD8" s="11" t="str">
        <f t="shared" si="204"/>
        <v/>
      </c>
      <c r="SE8" s="11" t="str">
        <f t="shared" si="205"/>
        <v/>
      </c>
      <c r="SF8" s="11" t="str">
        <f t="shared" si="206"/>
        <v/>
      </c>
      <c r="SG8" s="11" t="str">
        <f t="shared" si="207"/>
        <v/>
      </c>
      <c r="SH8" s="11" t="str">
        <f t="shared" si="208"/>
        <v/>
      </c>
      <c r="SI8" s="11" t="str">
        <f t="shared" si="209"/>
        <v/>
      </c>
      <c r="SJ8" s="11" t="str">
        <f t="shared" si="210"/>
        <v/>
      </c>
      <c r="SK8" s="11" t="str">
        <f t="shared" si="211"/>
        <v/>
      </c>
      <c r="SL8" s="11" t="str">
        <f t="shared" si="212"/>
        <v/>
      </c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36" t="str">
        <f t="shared" si="213"/>
        <v/>
      </c>
      <c r="TH8" s="36" t="str">
        <f t="shared" si="214"/>
        <v/>
      </c>
      <c r="TI8" s="36" t="str">
        <f t="shared" si="215"/>
        <v/>
      </c>
      <c r="TJ8" s="36" t="str">
        <f t="shared" si="216"/>
        <v/>
      </c>
      <c r="TK8" s="36" t="str">
        <f t="shared" si="217"/>
        <v/>
      </c>
      <c r="TL8" s="36" t="str">
        <f t="shared" si="218"/>
        <v/>
      </c>
      <c r="TM8" s="36" t="str">
        <f t="shared" si="219"/>
        <v/>
      </c>
      <c r="TN8" s="36" t="str">
        <f t="shared" si="220"/>
        <v/>
      </c>
      <c r="TO8" s="36" t="str">
        <f t="shared" si="221"/>
        <v/>
      </c>
      <c r="TP8" s="36" t="str">
        <f t="shared" si="222"/>
        <v/>
      </c>
      <c r="TQ8" s="36" t="str">
        <f t="shared" si="223"/>
        <v/>
      </c>
      <c r="TR8" s="36" t="str">
        <f t="shared" si="224"/>
        <v/>
      </c>
      <c r="TS8" s="36" t="str">
        <f t="shared" si="225"/>
        <v/>
      </c>
      <c r="TT8" s="36" t="str">
        <f t="shared" si="226"/>
        <v/>
      </c>
      <c r="TU8" s="16"/>
      <c r="TV8" s="16"/>
      <c r="TW8" s="16"/>
      <c r="TX8" s="16"/>
      <c r="TY8" s="16"/>
      <c r="TZ8" s="16"/>
      <c r="UA8" s="16"/>
      <c r="UB8" s="16"/>
      <c r="UC8" s="16"/>
      <c r="UD8" s="16"/>
      <c r="UE8" s="16"/>
      <c r="UF8" s="16"/>
      <c r="UG8" s="16"/>
      <c r="UH8" s="16"/>
      <c r="UI8" s="16"/>
      <c r="UJ8" s="16"/>
      <c r="UK8" s="16"/>
      <c r="UL8" s="16"/>
      <c r="UM8" s="16"/>
      <c r="UN8" s="16"/>
      <c r="UO8" s="11" t="str">
        <f t="shared" si="227"/>
        <v/>
      </c>
      <c r="UP8" s="11" t="str">
        <f t="shared" si="228"/>
        <v/>
      </c>
      <c r="UQ8" s="11" t="str">
        <f t="shared" si="229"/>
        <v/>
      </c>
      <c r="UR8" s="11" t="str">
        <f t="shared" si="230"/>
        <v/>
      </c>
      <c r="US8" s="11" t="str">
        <f t="shared" si="231"/>
        <v/>
      </c>
      <c r="UT8" s="11" t="str">
        <f t="shared" si="232"/>
        <v/>
      </c>
      <c r="UU8" s="11" t="str">
        <f t="shared" si="233"/>
        <v/>
      </c>
      <c r="UV8" s="11" t="str">
        <f t="shared" si="234"/>
        <v/>
      </c>
      <c r="UW8" s="11" t="str">
        <f t="shared" si="235"/>
        <v/>
      </c>
      <c r="UX8" s="11" t="str">
        <f t="shared" si="236"/>
        <v/>
      </c>
      <c r="UY8" s="11" t="str">
        <f t="shared" si="237"/>
        <v/>
      </c>
      <c r="UZ8" s="11" t="str">
        <f t="shared" si="238"/>
        <v/>
      </c>
      <c r="VA8" s="11" t="str">
        <f t="shared" si="239"/>
        <v/>
      </c>
      <c r="VB8" s="11" t="str">
        <f t="shared" si="240"/>
        <v/>
      </c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36" t="str">
        <f t="shared" si="241"/>
        <v/>
      </c>
      <c r="VX8" s="36" t="str">
        <f t="shared" si="242"/>
        <v/>
      </c>
      <c r="VY8" s="36" t="str">
        <f t="shared" si="243"/>
        <v/>
      </c>
      <c r="VZ8" s="36" t="str">
        <f t="shared" si="244"/>
        <v/>
      </c>
      <c r="WA8" s="36" t="str">
        <f t="shared" si="245"/>
        <v/>
      </c>
      <c r="WB8" s="36" t="str">
        <f t="shared" si="246"/>
        <v/>
      </c>
      <c r="WC8" s="36" t="str">
        <f t="shared" si="247"/>
        <v/>
      </c>
      <c r="WD8" s="36" t="str">
        <f t="shared" si="248"/>
        <v/>
      </c>
      <c r="WE8" s="36" t="str">
        <f t="shared" si="249"/>
        <v/>
      </c>
      <c r="WF8" s="36" t="str">
        <f t="shared" si="250"/>
        <v/>
      </c>
      <c r="WG8" s="36" t="str">
        <f t="shared" si="251"/>
        <v/>
      </c>
      <c r="WH8" s="36" t="str">
        <f t="shared" si="252"/>
        <v/>
      </c>
      <c r="WI8" s="36" t="str">
        <f t="shared" si="253"/>
        <v/>
      </c>
      <c r="WJ8" s="36" t="str">
        <f t="shared" si="254"/>
        <v/>
      </c>
    </row>
    <row r="9" spans="1:608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157</v>
      </c>
      <c r="C9" s="4" t="s">
        <v>155</v>
      </c>
      <c r="D9" s="4">
        <v>2001</v>
      </c>
      <c r="E9" s="9">
        <f t="shared" si="0"/>
        <v>47.180000000000007</v>
      </c>
      <c r="F9" s="3" t="str">
        <f t="shared" si="1"/>
        <v>P</v>
      </c>
      <c r="G9" s="3" t="str">
        <f t="shared" si="2"/>
        <v>P</v>
      </c>
      <c r="H9" s="32" t="str">
        <f t="shared" si="3"/>
        <v>National Team</v>
      </c>
      <c r="I9" s="3" t="str">
        <f t="shared" si="4"/>
        <v/>
      </c>
      <c r="J9" s="8">
        <f t="shared" si="5"/>
        <v>0</v>
      </c>
      <c r="K9" s="8" t="str">
        <f t="shared" si="6"/>
        <v/>
      </c>
      <c r="L9" s="8">
        <f>IFERROR(LARGE((AI9,AL9,AP9,BJ9,BM9,BQ9,CK9,CN9,CR9),2),0)</f>
        <v>0</v>
      </c>
      <c r="M9" s="8" t="str">
        <f t="shared" si="7"/>
        <v/>
      </c>
      <c r="N9" s="8">
        <f t="shared" si="8"/>
        <v>47.180000000000007</v>
      </c>
      <c r="O9" s="11" t="str">
        <f t="shared" si="9"/>
        <v>(Any)</v>
      </c>
      <c r="P9" s="8" t="str">
        <f t="shared" si="10"/>
        <v>2025 World Cup FRA (Oct 5)</v>
      </c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23"/>
      <c r="AG9" s="34" t="str">
        <f t="shared" si="11"/>
        <v/>
      </c>
      <c r="AH9" s="34" t="str">
        <f t="shared" si="12"/>
        <v/>
      </c>
      <c r="AI9" s="36" t="str">
        <f t="shared" si="13"/>
        <v/>
      </c>
      <c r="AJ9" s="36" t="str">
        <f t="shared" si="14"/>
        <v/>
      </c>
      <c r="AK9" s="36" t="str">
        <f t="shared" si="15"/>
        <v/>
      </c>
      <c r="AL9" s="36" t="str">
        <f t="shared" si="16"/>
        <v/>
      </c>
      <c r="AM9" s="36" t="str">
        <f t="shared" si="17"/>
        <v/>
      </c>
      <c r="AN9" s="36" t="str">
        <f t="shared" si="18"/>
        <v/>
      </c>
      <c r="AO9" s="36" t="str">
        <f t="shared" si="19"/>
        <v/>
      </c>
      <c r="AP9" s="36" t="str">
        <f t="shared" si="20"/>
        <v/>
      </c>
      <c r="AQ9" s="36" t="str">
        <f t="shared" si="21"/>
        <v/>
      </c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4"/>
      <c r="BH9" s="35" t="str">
        <f t="shared" si="22"/>
        <v/>
      </c>
      <c r="BI9" s="35" t="str">
        <f t="shared" si="23"/>
        <v/>
      </c>
      <c r="BJ9" s="11" t="str">
        <f t="shared" si="24"/>
        <v/>
      </c>
      <c r="BK9" s="11" t="str">
        <f t="shared" si="25"/>
        <v/>
      </c>
      <c r="BL9" s="11" t="str">
        <f t="shared" si="26"/>
        <v/>
      </c>
      <c r="BM9" s="11" t="str">
        <f t="shared" si="27"/>
        <v/>
      </c>
      <c r="BN9" s="11" t="str">
        <f t="shared" si="28"/>
        <v/>
      </c>
      <c r="BO9" s="11" t="str">
        <f t="shared" si="29"/>
        <v/>
      </c>
      <c r="BP9" s="11" t="str">
        <f t="shared" si="30"/>
        <v/>
      </c>
      <c r="BQ9" s="11" t="str">
        <f t="shared" si="31"/>
        <v/>
      </c>
      <c r="BR9" s="11" t="str">
        <f t="shared" si="32"/>
        <v/>
      </c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23"/>
      <c r="CI9" s="34" t="str">
        <f t="shared" si="33"/>
        <v/>
      </c>
      <c r="CJ9" s="34" t="str">
        <f t="shared" si="34"/>
        <v/>
      </c>
      <c r="CK9" s="36" t="str">
        <f t="shared" si="35"/>
        <v/>
      </c>
      <c r="CL9" s="36" t="str">
        <f t="shared" si="36"/>
        <v/>
      </c>
      <c r="CM9" s="36" t="str">
        <f t="shared" si="37"/>
        <v/>
      </c>
      <c r="CN9" s="36" t="str">
        <f t="shared" si="38"/>
        <v/>
      </c>
      <c r="CO9" s="36" t="str">
        <f t="shared" si="39"/>
        <v/>
      </c>
      <c r="CP9" s="36" t="str">
        <f t="shared" si="40"/>
        <v/>
      </c>
      <c r="CQ9" s="36" t="str">
        <f t="shared" si="41"/>
        <v/>
      </c>
      <c r="CR9" s="36" t="str">
        <f t="shared" si="42"/>
        <v/>
      </c>
      <c r="CS9" s="36" t="str">
        <f t="shared" si="43"/>
        <v/>
      </c>
      <c r="CT9" s="47">
        <f t="shared" si="44"/>
        <v>47.180000000000007</v>
      </c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36" t="str">
        <f t="shared" si="45"/>
        <v/>
      </c>
      <c r="DP9" s="36" t="str">
        <f t="shared" si="46"/>
        <v/>
      </c>
      <c r="DQ9" s="36" t="str">
        <f t="shared" si="47"/>
        <v/>
      </c>
      <c r="DR9" s="36" t="str">
        <f t="shared" si="48"/>
        <v/>
      </c>
      <c r="DS9" s="36" t="str">
        <f t="shared" si="49"/>
        <v/>
      </c>
      <c r="DT9" s="36" t="str">
        <f t="shared" si="50"/>
        <v/>
      </c>
      <c r="DU9" s="36" t="str">
        <f t="shared" si="51"/>
        <v/>
      </c>
      <c r="DV9" s="36" t="str">
        <f t="shared" si="52"/>
        <v/>
      </c>
      <c r="DW9" s="36" t="str">
        <f t="shared" si="53"/>
        <v/>
      </c>
      <c r="DX9" s="36" t="str">
        <f t="shared" si="54"/>
        <v/>
      </c>
      <c r="DY9" s="36" t="str">
        <f t="shared" si="55"/>
        <v/>
      </c>
      <c r="DZ9" s="36" t="str">
        <f t="shared" si="56"/>
        <v/>
      </c>
      <c r="EA9" s="36" t="str">
        <f t="shared" si="57"/>
        <v/>
      </c>
      <c r="EB9" s="36" t="str">
        <f t="shared" si="58"/>
        <v/>
      </c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1" t="str">
        <f t="shared" si="59"/>
        <v/>
      </c>
      <c r="EX9" s="11" t="str">
        <f t="shared" si="60"/>
        <v/>
      </c>
      <c r="EY9" s="11" t="str">
        <f t="shared" si="61"/>
        <v/>
      </c>
      <c r="EZ9" s="11" t="str">
        <f t="shared" si="62"/>
        <v/>
      </c>
      <c r="FA9" s="11" t="str">
        <f t="shared" si="63"/>
        <v/>
      </c>
      <c r="FB9" s="11" t="str">
        <f t="shared" si="64"/>
        <v/>
      </c>
      <c r="FC9" s="11" t="str">
        <f t="shared" si="65"/>
        <v/>
      </c>
      <c r="FD9" s="11" t="str">
        <f t="shared" si="66"/>
        <v/>
      </c>
      <c r="FE9" s="11" t="str">
        <f t="shared" si="67"/>
        <v/>
      </c>
      <c r="FF9" s="11" t="str">
        <f t="shared" si="68"/>
        <v/>
      </c>
      <c r="FG9" s="11" t="str">
        <f t="shared" si="69"/>
        <v/>
      </c>
      <c r="FH9" s="11" t="str">
        <f t="shared" si="70"/>
        <v/>
      </c>
      <c r="FI9" s="11" t="str">
        <f t="shared" si="71"/>
        <v/>
      </c>
      <c r="FJ9" s="11" t="str">
        <f t="shared" si="72"/>
        <v/>
      </c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36" t="str">
        <f t="shared" si="73"/>
        <v/>
      </c>
      <c r="GF9" s="36" t="str">
        <f t="shared" si="74"/>
        <v/>
      </c>
      <c r="GG9" s="36" t="str">
        <f t="shared" si="75"/>
        <v/>
      </c>
      <c r="GH9" s="36" t="str">
        <f t="shared" si="76"/>
        <v/>
      </c>
      <c r="GI9" s="36" t="str">
        <f t="shared" si="77"/>
        <v/>
      </c>
      <c r="GJ9" s="36" t="str">
        <f t="shared" si="78"/>
        <v/>
      </c>
      <c r="GK9" s="36" t="str">
        <f t="shared" si="79"/>
        <v/>
      </c>
      <c r="GL9" s="36" t="str">
        <f t="shared" si="80"/>
        <v/>
      </c>
      <c r="GM9" s="36" t="str">
        <f t="shared" si="81"/>
        <v/>
      </c>
      <c r="GN9" s="36" t="str">
        <f t="shared" si="82"/>
        <v/>
      </c>
      <c r="GO9" s="36" t="str">
        <f t="shared" si="83"/>
        <v/>
      </c>
      <c r="GP9" s="36" t="str">
        <f t="shared" si="84"/>
        <v/>
      </c>
      <c r="GQ9" s="36" t="str">
        <f t="shared" si="85"/>
        <v/>
      </c>
      <c r="GR9" s="36" t="str">
        <f t="shared" si="86"/>
        <v/>
      </c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1" t="str">
        <f t="shared" si="87"/>
        <v/>
      </c>
      <c r="HN9" s="11" t="str">
        <f t="shared" si="88"/>
        <v/>
      </c>
      <c r="HO9" s="11" t="str">
        <f t="shared" si="89"/>
        <v/>
      </c>
      <c r="HP9" s="11" t="str">
        <f t="shared" si="90"/>
        <v/>
      </c>
      <c r="HQ9" s="11" t="str">
        <f t="shared" si="91"/>
        <v/>
      </c>
      <c r="HR9" s="11" t="str">
        <f t="shared" si="92"/>
        <v/>
      </c>
      <c r="HS9" s="11" t="str">
        <f t="shared" si="93"/>
        <v/>
      </c>
      <c r="HT9" s="11" t="str">
        <f t="shared" si="94"/>
        <v/>
      </c>
      <c r="HU9" s="11" t="str">
        <f t="shared" si="95"/>
        <v/>
      </c>
      <c r="HV9" s="11" t="str">
        <f t="shared" si="96"/>
        <v/>
      </c>
      <c r="HW9" s="11" t="str">
        <f t="shared" si="97"/>
        <v/>
      </c>
      <c r="HX9" s="11" t="str">
        <f t="shared" si="98"/>
        <v/>
      </c>
      <c r="HY9" s="11" t="str">
        <f t="shared" si="99"/>
        <v/>
      </c>
      <c r="HZ9" s="11" t="str">
        <f t="shared" si="100"/>
        <v/>
      </c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36" t="str">
        <f t="shared" si="101"/>
        <v/>
      </c>
      <c r="IV9" s="36" t="str">
        <f t="shared" si="102"/>
        <v/>
      </c>
      <c r="IW9" s="36" t="str">
        <f t="shared" si="103"/>
        <v/>
      </c>
      <c r="IX9" s="36" t="str">
        <f t="shared" si="104"/>
        <v/>
      </c>
      <c r="IY9" s="36" t="str">
        <f t="shared" si="105"/>
        <v/>
      </c>
      <c r="IZ9" s="36" t="str">
        <f t="shared" si="106"/>
        <v/>
      </c>
      <c r="JA9" s="36" t="str">
        <f t="shared" si="107"/>
        <v/>
      </c>
      <c r="JB9" s="36" t="str">
        <f t="shared" si="108"/>
        <v/>
      </c>
      <c r="JC9" s="36" t="str">
        <f t="shared" si="109"/>
        <v/>
      </c>
      <c r="JD9" s="36" t="str">
        <f t="shared" si="110"/>
        <v/>
      </c>
      <c r="JE9" s="36" t="str">
        <f t="shared" si="111"/>
        <v/>
      </c>
      <c r="JF9" s="36" t="str">
        <f t="shared" si="112"/>
        <v/>
      </c>
      <c r="JG9" s="36" t="str">
        <f t="shared" si="113"/>
        <v/>
      </c>
      <c r="JH9" s="36" t="str">
        <f t="shared" si="114"/>
        <v/>
      </c>
      <c r="JI9" s="16">
        <v>3.05</v>
      </c>
      <c r="JJ9" s="16">
        <v>3.5</v>
      </c>
      <c r="JK9" s="16">
        <v>4.8</v>
      </c>
      <c r="JL9" s="16">
        <v>6.36</v>
      </c>
      <c r="JM9" s="16">
        <v>0</v>
      </c>
      <c r="JN9" s="16">
        <v>5.9</v>
      </c>
      <c r="JO9" s="16">
        <v>7.7</v>
      </c>
      <c r="JP9" s="16">
        <v>9.8000000000000007</v>
      </c>
      <c r="JQ9" s="16">
        <v>12.64</v>
      </c>
      <c r="JR9" s="16">
        <v>0</v>
      </c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1">
        <f t="shared" si="115"/>
        <v>4.8</v>
      </c>
      <c r="KD9" s="11">
        <f t="shared" si="116"/>
        <v>6.36</v>
      </c>
      <c r="KE9" s="11">
        <f t="shared" si="117"/>
        <v>17.71</v>
      </c>
      <c r="KF9" s="11">
        <f t="shared" si="118"/>
        <v>9.8000000000000007</v>
      </c>
      <c r="KG9" s="11">
        <f t="shared" si="119"/>
        <v>12.64</v>
      </c>
      <c r="KH9" s="11">
        <f t="shared" si="120"/>
        <v>36.040000000000006</v>
      </c>
      <c r="KI9" s="11">
        <f t="shared" si="121"/>
        <v>36.040000000000006</v>
      </c>
      <c r="KJ9" s="11" t="str">
        <f t="shared" si="122"/>
        <v/>
      </c>
      <c r="KK9" s="11" t="str">
        <f t="shared" si="123"/>
        <v/>
      </c>
      <c r="KL9" s="11" t="str">
        <f t="shared" si="124"/>
        <v/>
      </c>
      <c r="KM9" s="11" t="str">
        <f t="shared" si="125"/>
        <v/>
      </c>
      <c r="KN9" s="11" t="str">
        <f t="shared" si="126"/>
        <v/>
      </c>
      <c r="KO9" s="11" t="str">
        <f t="shared" si="127"/>
        <v/>
      </c>
      <c r="KP9" s="11">
        <f t="shared" si="128"/>
        <v>36.040000000000006</v>
      </c>
      <c r="KQ9" s="15">
        <v>7.15</v>
      </c>
      <c r="KR9" s="15">
        <v>9.4499999999999993</v>
      </c>
      <c r="KS9" s="15">
        <v>12.6</v>
      </c>
      <c r="KT9" s="15">
        <v>17.98</v>
      </c>
      <c r="KU9" s="15">
        <v>0</v>
      </c>
      <c r="KV9" s="15">
        <v>2.8</v>
      </c>
      <c r="KW9" s="15">
        <v>3.7</v>
      </c>
      <c r="KX9" s="15">
        <v>6.3</v>
      </c>
      <c r="KY9" s="15">
        <v>6.32</v>
      </c>
      <c r="KZ9" s="15">
        <v>0</v>
      </c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36">
        <f t="shared" si="129"/>
        <v>12.6</v>
      </c>
      <c r="LL9" s="36">
        <f t="shared" si="130"/>
        <v>17.98</v>
      </c>
      <c r="LM9" s="36">
        <f t="shared" si="131"/>
        <v>47.180000000000007</v>
      </c>
      <c r="LN9" s="36">
        <f t="shared" si="132"/>
        <v>6.3</v>
      </c>
      <c r="LO9" s="36">
        <f t="shared" si="133"/>
        <v>6.32</v>
      </c>
      <c r="LP9" s="36">
        <f t="shared" si="134"/>
        <v>19.12</v>
      </c>
      <c r="LQ9" s="36">
        <f t="shared" si="135"/>
        <v>47.180000000000007</v>
      </c>
      <c r="LR9" s="36" t="str">
        <f t="shared" si="136"/>
        <v/>
      </c>
      <c r="LS9" s="36" t="str">
        <f t="shared" si="137"/>
        <v/>
      </c>
      <c r="LT9" s="36" t="str">
        <f t="shared" si="138"/>
        <v/>
      </c>
      <c r="LU9" s="36" t="str">
        <f t="shared" si="139"/>
        <v/>
      </c>
      <c r="LV9" s="36" t="str">
        <f t="shared" si="140"/>
        <v/>
      </c>
      <c r="LW9" s="36" t="str">
        <f t="shared" si="141"/>
        <v/>
      </c>
      <c r="LX9" s="36">
        <f t="shared" si="142"/>
        <v>47.180000000000007</v>
      </c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16"/>
      <c r="MP9" s="16"/>
      <c r="MQ9" s="16"/>
      <c r="MR9" s="16"/>
      <c r="MS9" s="11" t="str">
        <f t="shared" si="143"/>
        <v/>
      </c>
      <c r="MT9" s="11" t="str">
        <f t="shared" si="144"/>
        <v/>
      </c>
      <c r="MU9" s="11" t="str">
        <f t="shared" si="145"/>
        <v/>
      </c>
      <c r="MV9" s="11" t="str">
        <f t="shared" si="146"/>
        <v/>
      </c>
      <c r="MW9" s="11" t="str">
        <f t="shared" si="147"/>
        <v/>
      </c>
      <c r="MX9" s="11" t="str">
        <f t="shared" si="148"/>
        <v/>
      </c>
      <c r="MY9" s="11" t="str">
        <f t="shared" si="149"/>
        <v/>
      </c>
      <c r="MZ9" s="11" t="str">
        <f t="shared" si="150"/>
        <v/>
      </c>
      <c r="NA9" s="11" t="str">
        <f t="shared" si="151"/>
        <v/>
      </c>
      <c r="NB9" s="11" t="str">
        <f t="shared" si="152"/>
        <v/>
      </c>
      <c r="NC9" s="11" t="str">
        <f t="shared" si="153"/>
        <v/>
      </c>
      <c r="ND9" s="11" t="str">
        <f t="shared" si="154"/>
        <v/>
      </c>
      <c r="NE9" s="11" t="str">
        <f t="shared" si="155"/>
        <v/>
      </c>
      <c r="NF9" s="11" t="str">
        <f t="shared" si="156"/>
        <v/>
      </c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36" t="str">
        <f t="shared" si="157"/>
        <v/>
      </c>
      <c r="OB9" s="36" t="str">
        <f t="shared" si="158"/>
        <v/>
      </c>
      <c r="OC9" s="36" t="str">
        <f t="shared" si="159"/>
        <v/>
      </c>
      <c r="OD9" s="36" t="str">
        <f t="shared" si="160"/>
        <v/>
      </c>
      <c r="OE9" s="36" t="str">
        <f t="shared" si="161"/>
        <v/>
      </c>
      <c r="OF9" s="36" t="str">
        <f t="shared" si="162"/>
        <v/>
      </c>
      <c r="OG9" s="36" t="str">
        <f t="shared" si="163"/>
        <v/>
      </c>
      <c r="OH9" s="36" t="str">
        <f t="shared" si="164"/>
        <v/>
      </c>
      <c r="OI9" s="36" t="str">
        <f t="shared" si="165"/>
        <v/>
      </c>
      <c r="OJ9" s="36" t="str">
        <f t="shared" si="166"/>
        <v/>
      </c>
      <c r="OK9" s="36" t="str">
        <f t="shared" si="167"/>
        <v/>
      </c>
      <c r="OL9" s="36" t="str">
        <f t="shared" si="168"/>
        <v/>
      </c>
      <c r="OM9" s="36" t="str">
        <f t="shared" si="169"/>
        <v/>
      </c>
      <c r="ON9" s="36" t="str">
        <f t="shared" si="170"/>
        <v/>
      </c>
      <c r="OO9" s="16"/>
      <c r="OP9" s="16"/>
      <c r="OQ9" s="16"/>
      <c r="OR9" s="16"/>
      <c r="OS9" s="16"/>
      <c r="OT9" s="16"/>
      <c r="OU9" s="16"/>
      <c r="OV9" s="16"/>
      <c r="OW9" s="16"/>
      <c r="OX9" s="16"/>
      <c r="OY9" s="16"/>
      <c r="OZ9" s="16"/>
      <c r="PA9" s="16"/>
      <c r="PB9" s="16"/>
      <c r="PC9" s="16"/>
      <c r="PD9" s="16"/>
      <c r="PE9" s="16"/>
      <c r="PF9" s="16"/>
      <c r="PG9" s="16"/>
      <c r="PH9" s="16"/>
      <c r="PI9" s="11" t="str">
        <f t="shared" si="171"/>
        <v/>
      </c>
      <c r="PJ9" s="11" t="str">
        <f t="shared" si="172"/>
        <v/>
      </c>
      <c r="PK9" s="11" t="str">
        <f t="shared" si="173"/>
        <v/>
      </c>
      <c r="PL9" s="11" t="str">
        <f t="shared" si="174"/>
        <v/>
      </c>
      <c r="PM9" s="11" t="str">
        <f t="shared" si="175"/>
        <v/>
      </c>
      <c r="PN9" s="11" t="str">
        <f t="shared" si="176"/>
        <v/>
      </c>
      <c r="PO9" s="11" t="str">
        <f t="shared" si="177"/>
        <v/>
      </c>
      <c r="PP9" s="11" t="str">
        <f t="shared" si="178"/>
        <v/>
      </c>
      <c r="PQ9" s="11" t="str">
        <f t="shared" si="179"/>
        <v/>
      </c>
      <c r="PR9" s="11" t="str">
        <f t="shared" si="180"/>
        <v/>
      </c>
      <c r="PS9" s="11" t="str">
        <f t="shared" si="181"/>
        <v/>
      </c>
      <c r="PT9" s="11" t="str">
        <f t="shared" si="182"/>
        <v/>
      </c>
      <c r="PU9" s="11" t="str">
        <f t="shared" si="183"/>
        <v/>
      </c>
      <c r="PV9" s="11" t="str">
        <f t="shared" si="184"/>
        <v/>
      </c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36" t="str">
        <f t="shared" si="185"/>
        <v/>
      </c>
      <c r="QR9" s="36" t="str">
        <f t="shared" si="186"/>
        <v/>
      </c>
      <c r="QS9" s="36" t="str">
        <f t="shared" si="187"/>
        <v/>
      </c>
      <c r="QT9" s="36" t="str">
        <f t="shared" si="188"/>
        <v/>
      </c>
      <c r="QU9" s="36" t="str">
        <f t="shared" si="189"/>
        <v/>
      </c>
      <c r="QV9" s="36" t="str">
        <f t="shared" si="190"/>
        <v/>
      </c>
      <c r="QW9" s="36" t="str">
        <f t="shared" si="191"/>
        <v/>
      </c>
      <c r="QX9" s="36" t="str">
        <f t="shared" si="192"/>
        <v/>
      </c>
      <c r="QY9" s="36" t="str">
        <f t="shared" si="193"/>
        <v/>
      </c>
      <c r="QZ9" s="36" t="str">
        <f t="shared" si="194"/>
        <v/>
      </c>
      <c r="RA9" s="36" t="str">
        <f t="shared" si="195"/>
        <v/>
      </c>
      <c r="RB9" s="36" t="str">
        <f t="shared" si="196"/>
        <v/>
      </c>
      <c r="RC9" s="36" t="str">
        <f t="shared" si="197"/>
        <v/>
      </c>
      <c r="RD9" s="36" t="str">
        <f t="shared" si="198"/>
        <v/>
      </c>
      <c r="RE9" s="16"/>
      <c r="RF9" s="16"/>
      <c r="RG9" s="16"/>
      <c r="RH9" s="16"/>
      <c r="RI9" s="16"/>
      <c r="RJ9" s="16"/>
      <c r="RK9" s="16"/>
      <c r="RL9" s="16"/>
      <c r="RM9" s="16"/>
      <c r="RN9" s="16"/>
      <c r="RO9" s="16"/>
      <c r="RP9" s="16"/>
      <c r="RQ9" s="16"/>
      <c r="RR9" s="16"/>
      <c r="RS9" s="16"/>
      <c r="RT9" s="16"/>
      <c r="RU9" s="16"/>
      <c r="RV9" s="16"/>
      <c r="RW9" s="16"/>
      <c r="RX9" s="16"/>
      <c r="RY9" s="11" t="str">
        <f t="shared" si="199"/>
        <v/>
      </c>
      <c r="RZ9" s="11" t="str">
        <f t="shared" si="200"/>
        <v/>
      </c>
      <c r="SA9" s="11" t="str">
        <f t="shared" si="201"/>
        <v/>
      </c>
      <c r="SB9" s="11" t="str">
        <f t="shared" si="202"/>
        <v/>
      </c>
      <c r="SC9" s="11" t="str">
        <f t="shared" si="203"/>
        <v/>
      </c>
      <c r="SD9" s="11" t="str">
        <f t="shared" si="204"/>
        <v/>
      </c>
      <c r="SE9" s="11" t="str">
        <f t="shared" si="205"/>
        <v/>
      </c>
      <c r="SF9" s="11" t="str">
        <f t="shared" si="206"/>
        <v/>
      </c>
      <c r="SG9" s="11" t="str">
        <f t="shared" si="207"/>
        <v/>
      </c>
      <c r="SH9" s="11" t="str">
        <f t="shared" si="208"/>
        <v/>
      </c>
      <c r="SI9" s="11" t="str">
        <f t="shared" si="209"/>
        <v/>
      </c>
      <c r="SJ9" s="11" t="str">
        <f t="shared" si="210"/>
        <v/>
      </c>
      <c r="SK9" s="11" t="str">
        <f t="shared" si="211"/>
        <v/>
      </c>
      <c r="SL9" s="11" t="str">
        <f t="shared" si="212"/>
        <v/>
      </c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36" t="str">
        <f t="shared" si="213"/>
        <v/>
      </c>
      <c r="TH9" s="36" t="str">
        <f t="shared" si="214"/>
        <v/>
      </c>
      <c r="TI9" s="36" t="str">
        <f t="shared" si="215"/>
        <v/>
      </c>
      <c r="TJ9" s="36" t="str">
        <f t="shared" si="216"/>
        <v/>
      </c>
      <c r="TK9" s="36" t="str">
        <f t="shared" si="217"/>
        <v/>
      </c>
      <c r="TL9" s="36" t="str">
        <f t="shared" si="218"/>
        <v/>
      </c>
      <c r="TM9" s="36" t="str">
        <f t="shared" si="219"/>
        <v/>
      </c>
      <c r="TN9" s="36" t="str">
        <f t="shared" si="220"/>
        <v/>
      </c>
      <c r="TO9" s="36" t="str">
        <f t="shared" si="221"/>
        <v/>
      </c>
      <c r="TP9" s="36" t="str">
        <f t="shared" si="222"/>
        <v/>
      </c>
      <c r="TQ9" s="36" t="str">
        <f t="shared" si="223"/>
        <v/>
      </c>
      <c r="TR9" s="36" t="str">
        <f t="shared" si="224"/>
        <v/>
      </c>
      <c r="TS9" s="36" t="str">
        <f t="shared" si="225"/>
        <v/>
      </c>
      <c r="TT9" s="36" t="str">
        <f t="shared" si="226"/>
        <v/>
      </c>
      <c r="TU9" s="16"/>
      <c r="TV9" s="16"/>
      <c r="TW9" s="16"/>
      <c r="TX9" s="16"/>
      <c r="TY9" s="16"/>
      <c r="TZ9" s="16"/>
      <c r="UA9" s="16"/>
      <c r="UB9" s="16"/>
      <c r="UC9" s="16"/>
      <c r="UD9" s="16"/>
      <c r="UE9" s="16"/>
      <c r="UF9" s="16"/>
      <c r="UG9" s="16"/>
      <c r="UH9" s="16"/>
      <c r="UI9" s="16"/>
      <c r="UJ9" s="16"/>
      <c r="UK9" s="16"/>
      <c r="UL9" s="16"/>
      <c r="UM9" s="16"/>
      <c r="UN9" s="16"/>
      <c r="UO9" s="11" t="str">
        <f t="shared" si="227"/>
        <v/>
      </c>
      <c r="UP9" s="11" t="str">
        <f t="shared" si="228"/>
        <v/>
      </c>
      <c r="UQ9" s="11" t="str">
        <f t="shared" si="229"/>
        <v/>
      </c>
      <c r="UR9" s="11" t="str">
        <f t="shared" si="230"/>
        <v/>
      </c>
      <c r="US9" s="11" t="str">
        <f t="shared" si="231"/>
        <v/>
      </c>
      <c r="UT9" s="11" t="str">
        <f t="shared" si="232"/>
        <v/>
      </c>
      <c r="UU9" s="11" t="str">
        <f t="shared" si="233"/>
        <v/>
      </c>
      <c r="UV9" s="11" t="str">
        <f t="shared" si="234"/>
        <v/>
      </c>
      <c r="UW9" s="11" t="str">
        <f t="shared" si="235"/>
        <v/>
      </c>
      <c r="UX9" s="11" t="str">
        <f t="shared" si="236"/>
        <v/>
      </c>
      <c r="UY9" s="11" t="str">
        <f t="shared" si="237"/>
        <v/>
      </c>
      <c r="UZ9" s="11" t="str">
        <f t="shared" si="238"/>
        <v/>
      </c>
      <c r="VA9" s="11" t="str">
        <f t="shared" si="239"/>
        <v/>
      </c>
      <c r="VB9" s="11" t="str">
        <f t="shared" si="240"/>
        <v/>
      </c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36" t="str">
        <f t="shared" si="241"/>
        <v/>
      </c>
      <c r="VX9" s="36" t="str">
        <f t="shared" si="242"/>
        <v/>
      </c>
      <c r="VY9" s="36" t="str">
        <f t="shared" si="243"/>
        <v/>
      </c>
      <c r="VZ9" s="36" t="str">
        <f t="shared" si="244"/>
        <v/>
      </c>
      <c r="WA9" s="36" t="str">
        <f t="shared" si="245"/>
        <v/>
      </c>
      <c r="WB9" s="36" t="str">
        <f t="shared" si="246"/>
        <v/>
      </c>
      <c r="WC9" s="36" t="str">
        <f t="shared" si="247"/>
        <v/>
      </c>
      <c r="WD9" s="36" t="str">
        <f t="shared" si="248"/>
        <v/>
      </c>
      <c r="WE9" s="36" t="str">
        <f t="shared" si="249"/>
        <v/>
      </c>
      <c r="WF9" s="36" t="str">
        <f t="shared" si="250"/>
        <v/>
      </c>
      <c r="WG9" s="36" t="str">
        <f t="shared" si="251"/>
        <v/>
      </c>
      <c r="WH9" s="36" t="str">
        <f t="shared" si="252"/>
        <v/>
      </c>
      <c r="WI9" s="36" t="str">
        <f t="shared" si="253"/>
        <v/>
      </c>
      <c r="WJ9" s="36" t="str">
        <f t="shared" si="254"/>
        <v/>
      </c>
    </row>
    <row r="10" spans="1:608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108</v>
      </c>
      <c r="C10" s="4" t="s">
        <v>77</v>
      </c>
      <c r="D10" s="4" t="s">
        <v>82</v>
      </c>
      <c r="E10" s="9">
        <f t="shared" si="0"/>
        <v>46.21</v>
      </c>
      <c r="F10" s="3" t="str">
        <f t="shared" si="1"/>
        <v>P</v>
      </c>
      <c r="G10" s="3" t="str">
        <f t="shared" si="2"/>
        <v>P</v>
      </c>
      <c r="H10" s="32" t="str">
        <f t="shared" si="3"/>
        <v>National Team</v>
      </c>
      <c r="I10" s="3" t="str">
        <f t="shared" si="4"/>
        <v/>
      </c>
      <c r="J10" s="8">
        <f t="shared" si="5"/>
        <v>0</v>
      </c>
      <c r="K10" s="8" t="str">
        <f t="shared" si="6"/>
        <v/>
      </c>
      <c r="L10" s="8">
        <f>IFERROR(LARGE((AI10,AL10,AP10,BJ10,BM10,BQ10,CK10,CN10,CR10),2),0)</f>
        <v>0</v>
      </c>
      <c r="M10" s="8" t="str">
        <f t="shared" si="7"/>
        <v/>
      </c>
      <c r="N10" s="8">
        <f t="shared" si="8"/>
        <v>46.21</v>
      </c>
      <c r="O10" s="11" t="str">
        <f t="shared" si="9"/>
        <v>(Any)</v>
      </c>
      <c r="P10" s="8" t="str">
        <f t="shared" si="10"/>
        <v>2025 World Cup ITA (April 6)</v>
      </c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23"/>
      <c r="AG10" s="34" t="str">
        <f t="shared" si="11"/>
        <v/>
      </c>
      <c r="AH10" s="34" t="str">
        <f t="shared" si="12"/>
        <v/>
      </c>
      <c r="AI10" s="36" t="str">
        <f t="shared" si="13"/>
        <v/>
      </c>
      <c r="AJ10" s="36" t="str">
        <f t="shared" si="14"/>
        <v/>
      </c>
      <c r="AK10" s="36" t="str">
        <f t="shared" si="15"/>
        <v/>
      </c>
      <c r="AL10" s="36" t="str">
        <f t="shared" si="16"/>
        <v/>
      </c>
      <c r="AM10" s="36" t="str">
        <f t="shared" si="17"/>
        <v/>
      </c>
      <c r="AN10" s="36" t="str">
        <f t="shared" si="18"/>
        <v/>
      </c>
      <c r="AO10" s="36" t="str">
        <f t="shared" si="19"/>
        <v/>
      </c>
      <c r="AP10" s="36" t="str">
        <f t="shared" si="20"/>
        <v/>
      </c>
      <c r="AQ10" s="36" t="str">
        <f t="shared" si="21"/>
        <v/>
      </c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4"/>
      <c r="BH10" s="35" t="str">
        <f t="shared" si="22"/>
        <v/>
      </c>
      <c r="BI10" s="35" t="str">
        <f t="shared" si="23"/>
        <v/>
      </c>
      <c r="BJ10" s="11" t="str">
        <f t="shared" si="24"/>
        <v/>
      </c>
      <c r="BK10" s="11" t="str">
        <f t="shared" si="25"/>
        <v/>
      </c>
      <c r="BL10" s="11" t="str">
        <f t="shared" si="26"/>
        <v/>
      </c>
      <c r="BM10" s="11" t="str">
        <f t="shared" si="27"/>
        <v/>
      </c>
      <c r="BN10" s="11" t="str">
        <f t="shared" si="28"/>
        <v/>
      </c>
      <c r="BO10" s="11" t="str">
        <f t="shared" si="29"/>
        <v/>
      </c>
      <c r="BP10" s="11" t="str">
        <f t="shared" si="30"/>
        <v/>
      </c>
      <c r="BQ10" s="11" t="str">
        <f t="shared" si="31"/>
        <v/>
      </c>
      <c r="BR10" s="11" t="str">
        <f t="shared" si="32"/>
        <v/>
      </c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23"/>
      <c r="CI10" s="34" t="str">
        <f t="shared" si="33"/>
        <v/>
      </c>
      <c r="CJ10" s="34" t="str">
        <f t="shared" si="34"/>
        <v/>
      </c>
      <c r="CK10" s="36" t="str">
        <f t="shared" si="35"/>
        <v/>
      </c>
      <c r="CL10" s="36" t="str">
        <f t="shared" si="36"/>
        <v/>
      </c>
      <c r="CM10" s="36" t="str">
        <f t="shared" si="37"/>
        <v/>
      </c>
      <c r="CN10" s="36" t="str">
        <f t="shared" si="38"/>
        <v/>
      </c>
      <c r="CO10" s="36" t="str">
        <f t="shared" si="39"/>
        <v/>
      </c>
      <c r="CP10" s="36" t="str">
        <f t="shared" si="40"/>
        <v/>
      </c>
      <c r="CQ10" s="36" t="str">
        <f t="shared" si="41"/>
        <v/>
      </c>
      <c r="CR10" s="36" t="str">
        <f t="shared" si="42"/>
        <v/>
      </c>
      <c r="CS10" s="36" t="str">
        <f t="shared" si="43"/>
        <v/>
      </c>
      <c r="CT10" s="47">
        <f t="shared" si="44"/>
        <v>46.21</v>
      </c>
      <c r="CU10" s="15">
        <v>7.45</v>
      </c>
      <c r="CV10" s="15">
        <v>9.1</v>
      </c>
      <c r="CW10" s="15">
        <v>11.8</v>
      </c>
      <c r="CX10" s="15">
        <v>17.86</v>
      </c>
      <c r="CY10" s="15">
        <v>0</v>
      </c>
      <c r="CZ10" s="15">
        <v>0.7</v>
      </c>
      <c r="DA10" s="15">
        <v>1</v>
      </c>
      <c r="DB10" s="15">
        <v>1.5</v>
      </c>
      <c r="DC10" s="15">
        <v>1.7</v>
      </c>
      <c r="DD10" s="15">
        <v>0</v>
      </c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36">
        <f t="shared" si="45"/>
        <v>11.8</v>
      </c>
      <c r="DP10" s="36">
        <f t="shared" si="46"/>
        <v>17.86</v>
      </c>
      <c r="DQ10" s="36">
        <f t="shared" si="47"/>
        <v>46.21</v>
      </c>
      <c r="DR10" s="36">
        <f t="shared" si="48"/>
        <v>1.5</v>
      </c>
      <c r="DS10" s="36">
        <f t="shared" si="49"/>
        <v>1.7</v>
      </c>
      <c r="DT10" s="36">
        <f t="shared" si="50"/>
        <v>4.9000000000000004</v>
      </c>
      <c r="DU10" s="36">
        <f t="shared" si="51"/>
        <v>46.21</v>
      </c>
      <c r="DV10" s="36" t="str">
        <f t="shared" si="52"/>
        <v/>
      </c>
      <c r="DW10" s="36" t="str">
        <f t="shared" si="53"/>
        <v/>
      </c>
      <c r="DX10" s="36" t="str">
        <f t="shared" si="54"/>
        <v/>
      </c>
      <c r="DY10" s="36" t="str">
        <f t="shared" si="55"/>
        <v/>
      </c>
      <c r="DZ10" s="36" t="str">
        <f t="shared" si="56"/>
        <v/>
      </c>
      <c r="EA10" s="36" t="str">
        <f t="shared" si="57"/>
        <v/>
      </c>
      <c r="EB10" s="36">
        <f t="shared" si="58"/>
        <v>46.21</v>
      </c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1" t="str">
        <f t="shared" si="59"/>
        <v/>
      </c>
      <c r="EX10" s="11" t="str">
        <f t="shared" si="60"/>
        <v/>
      </c>
      <c r="EY10" s="11" t="str">
        <f t="shared" si="61"/>
        <v/>
      </c>
      <c r="EZ10" s="11" t="str">
        <f t="shared" si="62"/>
        <v/>
      </c>
      <c r="FA10" s="11" t="str">
        <f t="shared" si="63"/>
        <v/>
      </c>
      <c r="FB10" s="11" t="str">
        <f t="shared" si="64"/>
        <v/>
      </c>
      <c r="FC10" s="11" t="str">
        <f t="shared" si="65"/>
        <v/>
      </c>
      <c r="FD10" s="11" t="str">
        <f t="shared" si="66"/>
        <v/>
      </c>
      <c r="FE10" s="11" t="str">
        <f t="shared" si="67"/>
        <v/>
      </c>
      <c r="FF10" s="11" t="str">
        <f t="shared" si="68"/>
        <v/>
      </c>
      <c r="FG10" s="11" t="str">
        <f t="shared" si="69"/>
        <v/>
      </c>
      <c r="FH10" s="11" t="str">
        <f t="shared" si="70"/>
        <v/>
      </c>
      <c r="FI10" s="11" t="str">
        <f t="shared" si="71"/>
        <v/>
      </c>
      <c r="FJ10" s="11" t="str">
        <f t="shared" si="72"/>
        <v/>
      </c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36" t="str">
        <f t="shared" si="73"/>
        <v/>
      </c>
      <c r="GF10" s="36" t="str">
        <f t="shared" si="74"/>
        <v/>
      </c>
      <c r="GG10" s="36" t="str">
        <f t="shared" si="75"/>
        <v/>
      </c>
      <c r="GH10" s="36" t="str">
        <f t="shared" si="76"/>
        <v/>
      </c>
      <c r="GI10" s="36" t="str">
        <f t="shared" si="77"/>
        <v/>
      </c>
      <c r="GJ10" s="36" t="str">
        <f t="shared" si="78"/>
        <v/>
      </c>
      <c r="GK10" s="36" t="str">
        <f t="shared" si="79"/>
        <v/>
      </c>
      <c r="GL10" s="36" t="str">
        <f t="shared" si="80"/>
        <v/>
      </c>
      <c r="GM10" s="36" t="str">
        <f t="shared" si="81"/>
        <v/>
      </c>
      <c r="GN10" s="36" t="str">
        <f t="shared" si="82"/>
        <v/>
      </c>
      <c r="GO10" s="36" t="str">
        <f t="shared" si="83"/>
        <v/>
      </c>
      <c r="GP10" s="36" t="str">
        <f t="shared" si="84"/>
        <v/>
      </c>
      <c r="GQ10" s="36" t="str">
        <f t="shared" si="85"/>
        <v/>
      </c>
      <c r="GR10" s="36" t="str">
        <f t="shared" si="86"/>
        <v/>
      </c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1" t="str">
        <f t="shared" si="87"/>
        <v/>
      </c>
      <c r="HN10" s="11" t="str">
        <f t="shared" si="88"/>
        <v/>
      </c>
      <c r="HO10" s="11" t="str">
        <f t="shared" si="89"/>
        <v/>
      </c>
      <c r="HP10" s="11" t="str">
        <f t="shared" si="90"/>
        <v/>
      </c>
      <c r="HQ10" s="11" t="str">
        <f t="shared" si="91"/>
        <v/>
      </c>
      <c r="HR10" s="11" t="str">
        <f t="shared" si="92"/>
        <v/>
      </c>
      <c r="HS10" s="11" t="str">
        <f t="shared" si="93"/>
        <v/>
      </c>
      <c r="HT10" s="11" t="str">
        <f t="shared" si="94"/>
        <v/>
      </c>
      <c r="HU10" s="11" t="str">
        <f t="shared" si="95"/>
        <v/>
      </c>
      <c r="HV10" s="11" t="str">
        <f t="shared" si="96"/>
        <v/>
      </c>
      <c r="HW10" s="11" t="str">
        <f t="shared" si="97"/>
        <v/>
      </c>
      <c r="HX10" s="11" t="str">
        <f t="shared" si="98"/>
        <v/>
      </c>
      <c r="HY10" s="11" t="str">
        <f t="shared" si="99"/>
        <v/>
      </c>
      <c r="HZ10" s="11" t="str">
        <f t="shared" si="100"/>
        <v/>
      </c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36" t="str">
        <f t="shared" si="101"/>
        <v/>
      </c>
      <c r="IV10" s="36" t="str">
        <f t="shared" si="102"/>
        <v/>
      </c>
      <c r="IW10" s="36" t="str">
        <f t="shared" si="103"/>
        <v/>
      </c>
      <c r="IX10" s="36" t="str">
        <f t="shared" si="104"/>
        <v/>
      </c>
      <c r="IY10" s="36" t="str">
        <f t="shared" si="105"/>
        <v/>
      </c>
      <c r="IZ10" s="36" t="str">
        <f t="shared" si="106"/>
        <v/>
      </c>
      <c r="JA10" s="36" t="str">
        <f t="shared" si="107"/>
        <v/>
      </c>
      <c r="JB10" s="36" t="str">
        <f t="shared" si="108"/>
        <v/>
      </c>
      <c r="JC10" s="36" t="str">
        <f t="shared" si="109"/>
        <v/>
      </c>
      <c r="JD10" s="36" t="str">
        <f t="shared" si="110"/>
        <v/>
      </c>
      <c r="JE10" s="36" t="str">
        <f t="shared" si="111"/>
        <v/>
      </c>
      <c r="JF10" s="36" t="str">
        <f t="shared" si="112"/>
        <v/>
      </c>
      <c r="JG10" s="36" t="str">
        <f t="shared" si="113"/>
        <v/>
      </c>
      <c r="JH10" s="36" t="str">
        <f t="shared" si="114"/>
        <v/>
      </c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1" t="str">
        <f t="shared" si="115"/>
        <v/>
      </c>
      <c r="KD10" s="11" t="str">
        <f t="shared" si="116"/>
        <v/>
      </c>
      <c r="KE10" s="11" t="str">
        <f t="shared" si="117"/>
        <v/>
      </c>
      <c r="KF10" s="11" t="str">
        <f t="shared" si="118"/>
        <v/>
      </c>
      <c r="KG10" s="11" t="str">
        <f t="shared" si="119"/>
        <v/>
      </c>
      <c r="KH10" s="11" t="str">
        <f t="shared" si="120"/>
        <v/>
      </c>
      <c r="KI10" s="11" t="str">
        <f t="shared" si="121"/>
        <v/>
      </c>
      <c r="KJ10" s="11" t="str">
        <f t="shared" si="122"/>
        <v/>
      </c>
      <c r="KK10" s="11" t="str">
        <f t="shared" si="123"/>
        <v/>
      </c>
      <c r="KL10" s="11" t="str">
        <f t="shared" si="124"/>
        <v/>
      </c>
      <c r="KM10" s="11" t="str">
        <f t="shared" si="125"/>
        <v/>
      </c>
      <c r="KN10" s="11" t="str">
        <f t="shared" si="126"/>
        <v/>
      </c>
      <c r="KO10" s="11" t="str">
        <f t="shared" si="127"/>
        <v/>
      </c>
      <c r="KP10" s="11" t="str">
        <f t="shared" si="128"/>
        <v/>
      </c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36" t="str">
        <f t="shared" si="129"/>
        <v/>
      </c>
      <c r="LL10" s="36" t="str">
        <f t="shared" si="130"/>
        <v/>
      </c>
      <c r="LM10" s="36" t="str">
        <f t="shared" si="131"/>
        <v/>
      </c>
      <c r="LN10" s="36" t="str">
        <f t="shared" si="132"/>
        <v/>
      </c>
      <c r="LO10" s="36" t="str">
        <f t="shared" si="133"/>
        <v/>
      </c>
      <c r="LP10" s="36" t="str">
        <f t="shared" si="134"/>
        <v/>
      </c>
      <c r="LQ10" s="36" t="str">
        <f t="shared" si="135"/>
        <v/>
      </c>
      <c r="LR10" s="36" t="str">
        <f t="shared" si="136"/>
        <v/>
      </c>
      <c r="LS10" s="36" t="str">
        <f t="shared" si="137"/>
        <v/>
      </c>
      <c r="LT10" s="36" t="str">
        <f t="shared" si="138"/>
        <v/>
      </c>
      <c r="LU10" s="36" t="str">
        <f t="shared" si="139"/>
        <v/>
      </c>
      <c r="LV10" s="36" t="str">
        <f t="shared" si="140"/>
        <v/>
      </c>
      <c r="LW10" s="36" t="str">
        <f t="shared" si="141"/>
        <v/>
      </c>
      <c r="LX10" s="36" t="str">
        <f t="shared" si="142"/>
        <v/>
      </c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1" t="str">
        <f t="shared" si="143"/>
        <v/>
      </c>
      <c r="MT10" s="11" t="str">
        <f t="shared" si="144"/>
        <v/>
      </c>
      <c r="MU10" s="11" t="str">
        <f t="shared" si="145"/>
        <v/>
      </c>
      <c r="MV10" s="11" t="str">
        <f t="shared" si="146"/>
        <v/>
      </c>
      <c r="MW10" s="11" t="str">
        <f t="shared" si="147"/>
        <v/>
      </c>
      <c r="MX10" s="11" t="str">
        <f t="shared" si="148"/>
        <v/>
      </c>
      <c r="MY10" s="11" t="str">
        <f t="shared" si="149"/>
        <v/>
      </c>
      <c r="MZ10" s="11" t="str">
        <f t="shared" si="150"/>
        <v/>
      </c>
      <c r="NA10" s="11" t="str">
        <f t="shared" si="151"/>
        <v/>
      </c>
      <c r="NB10" s="11" t="str">
        <f t="shared" si="152"/>
        <v/>
      </c>
      <c r="NC10" s="11" t="str">
        <f t="shared" si="153"/>
        <v/>
      </c>
      <c r="ND10" s="11" t="str">
        <f t="shared" si="154"/>
        <v/>
      </c>
      <c r="NE10" s="11" t="str">
        <f t="shared" si="155"/>
        <v/>
      </c>
      <c r="NF10" s="11" t="str">
        <f t="shared" si="156"/>
        <v/>
      </c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36" t="str">
        <f t="shared" si="157"/>
        <v/>
      </c>
      <c r="OB10" s="36" t="str">
        <f t="shared" si="158"/>
        <v/>
      </c>
      <c r="OC10" s="36" t="str">
        <f t="shared" si="159"/>
        <v/>
      </c>
      <c r="OD10" s="36" t="str">
        <f t="shared" si="160"/>
        <v/>
      </c>
      <c r="OE10" s="36" t="str">
        <f t="shared" si="161"/>
        <v/>
      </c>
      <c r="OF10" s="36" t="str">
        <f t="shared" si="162"/>
        <v/>
      </c>
      <c r="OG10" s="36" t="str">
        <f t="shared" si="163"/>
        <v/>
      </c>
      <c r="OH10" s="36" t="str">
        <f t="shared" si="164"/>
        <v/>
      </c>
      <c r="OI10" s="36" t="str">
        <f t="shared" si="165"/>
        <v/>
      </c>
      <c r="OJ10" s="36" t="str">
        <f t="shared" si="166"/>
        <v/>
      </c>
      <c r="OK10" s="36" t="str">
        <f t="shared" si="167"/>
        <v/>
      </c>
      <c r="OL10" s="36" t="str">
        <f t="shared" si="168"/>
        <v/>
      </c>
      <c r="OM10" s="36" t="str">
        <f t="shared" si="169"/>
        <v/>
      </c>
      <c r="ON10" s="36" t="str">
        <f t="shared" si="170"/>
        <v/>
      </c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1" t="str">
        <f t="shared" si="171"/>
        <v/>
      </c>
      <c r="PJ10" s="11" t="str">
        <f t="shared" si="172"/>
        <v/>
      </c>
      <c r="PK10" s="11" t="str">
        <f t="shared" si="173"/>
        <v/>
      </c>
      <c r="PL10" s="11" t="str">
        <f t="shared" si="174"/>
        <v/>
      </c>
      <c r="PM10" s="11" t="str">
        <f t="shared" si="175"/>
        <v/>
      </c>
      <c r="PN10" s="11" t="str">
        <f t="shared" si="176"/>
        <v/>
      </c>
      <c r="PO10" s="11" t="str">
        <f t="shared" si="177"/>
        <v/>
      </c>
      <c r="PP10" s="11" t="str">
        <f t="shared" si="178"/>
        <v/>
      </c>
      <c r="PQ10" s="11" t="str">
        <f t="shared" si="179"/>
        <v/>
      </c>
      <c r="PR10" s="11" t="str">
        <f t="shared" si="180"/>
        <v/>
      </c>
      <c r="PS10" s="11" t="str">
        <f t="shared" si="181"/>
        <v/>
      </c>
      <c r="PT10" s="11" t="str">
        <f t="shared" si="182"/>
        <v/>
      </c>
      <c r="PU10" s="11" t="str">
        <f t="shared" si="183"/>
        <v/>
      </c>
      <c r="PV10" s="11" t="str">
        <f t="shared" si="184"/>
        <v/>
      </c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36" t="str">
        <f t="shared" si="185"/>
        <v/>
      </c>
      <c r="QR10" s="36" t="str">
        <f t="shared" si="186"/>
        <v/>
      </c>
      <c r="QS10" s="36" t="str">
        <f t="shared" si="187"/>
        <v/>
      </c>
      <c r="QT10" s="36" t="str">
        <f t="shared" si="188"/>
        <v/>
      </c>
      <c r="QU10" s="36" t="str">
        <f t="shared" si="189"/>
        <v/>
      </c>
      <c r="QV10" s="36" t="str">
        <f t="shared" si="190"/>
        <v/>
      </c>
      <c r="QW10" s="36" t="str">
        <f t="shared" si="191"/>
        <v/>
      </c>
      <c r="QX10" s="36" t="str">
        <f t="shared" si="192"/>
        <v/>
      </c>
      <c r="QY10" s="36" t="str">
        <f t="shared" si="193"/>
        <v/>
      </c>
      <c r="QZ10" s="36" t="str">
        <f t="shared" si="194"/>
        <v/>
      </c>
      <c r="RA10" s="36" t="str">
        <f t="shared" si="195"/>
        <v/>
      </c>
      <c r="RB10" s="36" t="str">
        <f t="shared" si="196"/>
        <v/>
      </c>
      <c r="RC10" s="36" t="str">
        <f t="shared" si="197"/>
        <v/>
      </c>
      <c r="RD10" s="36" t="str">
        <f t="shared" si="198"/>
        <v/>
      </c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1" t="str">
        <f t="shared" si="199"/>
        <v/>
      </c>
      <c r="RZ10" s="11" t="str">
        <f t="shared" si="200"/>
        <v/>
      </c>
      <c r="SA10" s="11" t="str">
        <f t="shared" si="201"/>
        <v/>
      </c>
      <c r="SB10" s="11" t="str">
        <f t="shared" si="202"/>
        <v/>
      </c>
      <c r="SC10" s="11" t="str">
        <f t="shared" si="203"/>
        <v/>
      </c>
      <c r="SD10" s="11" t="str">
        <f t="shared" si="204"/>
        <v/>
      </c>
      <c r="SE10" s="11" t="str">
        <f t="shared" si="205"/>
        <v/>
      </c>
      <c r="SF10" s="11" t="str">
        <f t="shared" si="206"/>
        <v/>
      </c>
      <c r="SG10" s="11" t="str">
        <f t="shared" si="207"/>
        <v/>
      </c>
      <c r="SH10" s="11" t="str">
        <f t="shared" si="208"/>
        <v/>
      </c>
      <c r="SI10" s="11" t="str">
        <f t="shared" si="209"/>
        <v/>
      </c>
      <c r="SJ10" s="11" t="str">
        <f t="shared" si="210"/>
        <v/>
      </c>
      <c r="SK10" s="11" t="str">
        <f t="shared" si="211"/>
        <v/>
      </c>
      <c r="SL10" s="11" t="str">
        <f t="shared" si="212"/>
        <v/>
      </c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36" t="str">
        <f t="shared" si="213"/>
        <v/>
      </c>
      <c r="TH10" s="36" t="str">
        <f t="shared" si="214"/>
        <v/>
      </c>
      <c r="TI10" s="36" t="str">
        <f t="shared" si="215"/>
        <v/>
      </c>
      <c r="TJ10" s="36" t="str">
        <f t="shared" si="216"/>
        <v/>
      </c>
      <c r="TK10" s="36" t="str">
        <f t="shared" si="217"/>
        <v/>
      </c>
      <c r="TL10" s="36" t="str">
        <f t="shared" si="218"/>
        <v/>
      </c>
      <c r="TM10" s="36" t="str">
        <f t="shared" si="219"/>
        <v/>
      </c>
      <c r="TN10" s="36" t="str">
        <f t="shared" si="220"/>
        <v/>
      </c>
      <c r="TO10" s="36" t="str">
        <f t="shared" si="221"/>
        <v/>
      </c>
      <c r="TP10" s="36" t="str">
        <f t="shared" si="222"/>
        <v/>
      </c>
      <c r="TQ10" s="36" t="str">
        <f t="shared" si="223"/>
        <v/>
      </c>
      <c r="TR10" s="36" t="str">
        <f t="shared" si="224"/>
        <v/>
      </c>
      <c r="TS10" s="36" t="str">
        <f t="shared" si="225"/>
        <v/>
      </c>
      <c r="TT10" s="36" t="str">
        <f t="shared" si="226"/>
        <v/>
      </c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1" t="str">
        <f t="shared" si="227"/>
        <v/>
      </c>
      <c r="UP10" s="11" t="str">
        <f t="shared" si="228"/>
        <v/>
      </c>
      <c r="UQ10" s="11" t="str">
        <f t="shared" si="229"/>
        <v/>
      </c>
      <c r="UR10" s="11" t="str">
        <f t="shared" si="230"/>
        <v/>
      </c>
      <c r="US10" s="11" t="str">
        <f t="shared" si="231"/>
        <v/>
      </c>
      <c r="UT10" s="11" t="str">
        <f t="shared" si="232"/>
        <v/>
      </c>
      <c r="UU10" s="11" t="str">
        <f t="shared" si="233"/>
        <v/>
      </c>
      <c r="UV10" s="11" t="str">
        <f t="shared" si="234"/>
        <v/>
      </c>
      <c r="UW10" s="11" t="str">
        <f t="shared" si="235"/>
        <v/>
      </c>
      <c r="UX10" s="11" t="str">
        <f t="shared" si="236"/>
        <v/>
      </c>
      <c r="UY10" s="11" t="str">
        <f t="shared" si="237"/>
        <v/>
      </c>
      <c r="UZ10" s="11" t="str">
        <f t="shared" si="238"/>
        <v/>
      </c>
      <c r="VA10" s="11" t="str">
        <f t="shared" si="239"/>
        <v/>
      </c>
      <c r="VB10" s="11" t="str">
        <f t="shared" si="240"/>
        <v/>
      </c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36" t="str">
        <f t="shared" si="241"/>
        <v/>
      </c>
      <c r="VX10" s="36" t="str">
        <f t="shared" si="242"/>
        <v/>
      </c>
      <c r="VY10" s="36" t="str">
        <f t="shared" si="243"/>
        <v/>
      </c>
      <c r="VZ10" s="36" t="str">
        <f t="shared" si="244"/>
        <v/>
      </c>
      <c r="WA10" s="36" t="str">
        <f t="shared" si="245"/>
        <v/>
      </c>
      <c r="WB10" s="36" t="str">
        <f t="shared" si="246"/>
        <v/>
      </c>
      <c r="WC10" s="36" t="str">
        <f t="shared" si="247"/>
        <v/>
      </c>
      <c r="WD10" s="36" t="str">
        <f t="shared" si="248"/>
        <v/>
      </c>
      <c r="WE10" s="36" t="str">
        <f t="shared" si="249"/>
        <v/>
      </c>
      <c r="WF10" s="36" t="str">
        <f t="shared" si="250"/>
        <v/>
      </c>
      <c r="WG10" s="36" t="str">
        <f t="shared" si="251"/>
        <v/>
      </c>
      <c r="WH10" s="36" t="str">
        <f t="shared" si="252"/>
        <v/>
      </c>
      <c r="WI10" s="36" t="str">
        <f t="shared" si="253"/>
        <v/>
      </c>
      <c r="WJ10" s="36" t="str">
        <f t="shared" si="254"/>
        <v/>
      </c>
    </row>
    <row r="11" spans="1:608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239</v>
      </c>
      <c r="C11" s="4" t="s">
        <v>238</v>
      </c>
      <c r="D11" s="4">
        <v>2009</v>
      </c>
      <c r="E11" s="9">
        <f t="shared" si="0"/>
        <v>88.310008831004552</v>
      </c>
      <c r="F11" s="3" t="str">
        <f t="shared" si="1"/>
        <v/>
      </c>
      <c r="G11" s="3" t="str">
        <f t="shared" si="2"/>
        <v/>
      </c>
      <c r="H11" s="32" t="str">
        <f t="shared" si="3"/>
        <v/>
      </c>
      <c r="I11" s="3" t="str">
        <f t="shared" si="4"/>
        <v/>
      </c>
      <c r="J11" s="8">
        <f t="shared" si="5"/>
        <v>45.51</v>
      </c>
      <c r="K11" s="8" t="str">
        <f t="shared" si="6"/>
        <v>2026 Elite Canada</v>
      </c>
      <c r="L11" s="8">
        <f>IFERROR(LARGE((AI11,AL11,AP11,BJ11,BM11,BQ11,CK11,CN11,CR11),2),0)</f>
        <v>42.8</v>
      </c>
      <c r="M11" s="8" t="str">
        <f t="shared" si="7"/>
        <v>2026 Elite Canada</v>
      </c>
      <c r="N11" s="8">
        <f t="shared" si="8"/>
        <v>0</v>
      </c>
      <c r="O11" s="11" t="str">
        <f t="shared" si="9"/>
        <v/>
      </c>
      <c r="P11" s="8" t="str">
        <f t="shared" si="10"/>
        <v/>
      </c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23"/>
      <c r="AG11" s="34" t="str">
        <f t="shared" si="11"/>
        <v/>
      </c>
      <c r="AH11" s="34" t="str">
        <f t="shared" si="12"/>
        <v/>
      </c>
      <c r="AI11" s="36" t="str">
        <f t="shared" si="13"/>
        <v/>
      </c>
      <c r="AJ11" s="36" t="str">
        <f t="shared" si="14"/>
        <v/>
      </c>
      <c r="AK11" s="36" t="str">
        <f t="shared" si="15"/>
        <v/>
      </c>
      <c r="AL11" s="36" t="str">
        <f t="shared" si="16"/>
        <v/>
      </c>
      <c r="AM11" s="36" t="str">
        <f t="shared" si="17"/>
        <v/>
      </c>
      <c r="AN11" s="36" t="str">
        <f t="shared" si="18"/>
        <v/>
      </c>
      <c r="AO11" s="36" t="str">
        <f t="shared" si="19"/>
        <v/>
      </c>
      <c r="AP11" s="36" t="str">
        <f t="shared" si="20"/>
        <v/>
      </c>
      <c r="AQ11" s="36" t="str">
        <f t="shared" si="21"/>
        <v/>
      </c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4"/>
      <c r="BH11" s="35" t="str">
        <f t="shared" si="22"/>
        <v/>
      </c>
      <c r="BI11" s="35" t="str">
        <f t="shared" si="23"/>
        <v/>
      </c>
      <c r="BJ11" s="11" t="str">
        <f t="shared" si="24"/>
        <v/>
      </c>
      <c r="BK11" s="11" t="str">
        <f t="shared" si="25"/>
        <v/>
      </c>
      <c r="BL11" s="11" t="str">
        <f t="shared" si="26"/>
        <v/>
      </c>
      <c r="BM11" s="11" t="str">
        <f t="shared" si="27"/>
        <v/>
      </c>
      <c r="BN11" s="11" t="str">
        <f t="shared" si="28"/>
        <v/>
      </c>
      <c r="BO11" s="11" t="str">
        <f t="shared" si="29"/>
        <v/>
      </c>
      <c r="BP11" s="11" t="str">
        <f t="shared" si="30"/>
        <v/>
      </c>
      <c r="BQ11" s="11" t="str">
        <f t="shared" si="31"/>
        <v/>
      </c>
      <c r="BR11" s="11" t="str">
        <f t="shared" si="32"/>
        <v/>
      </c>
      <c r="BS11" s="18">
        <v>7.45</v>
      </c>
      <c r="BT11" s="18">
        <v>9.35</v>
      </c>
      <c r="BU11" s="18">
        <v>10.7</v>
      </c>
      <c r="BV11" s="18">
        <v>15.3</v>
      </c>
      <c r="BW11" s="18">
        <v>0</v>
      </c>
      <c r="BX11" s="18">
        <v>7.03</v>
      </c>
      <c r="BY11" s="18">
        <v>9.15</v>
      </c>
      <c r="BZ11" s="18">
        <v>0</v>
      </c>
      <c r="CA11" s="18">
        <v>17.04</v>
      </c>
      <c r="CB11" s="18">
        <v>0</v>
      </c>
      <c r="CC11" s="18">
        <v>8.08</v>
      </c>
      <c r="CD11" s="18">
        <v>9.35</v>
      </c>
      <c r="CE11" s="18">
        <v>10.7</v>
      </c>
      <c r="CF11" s="18">
        <v>17.38</v>
      </c>
      <c r="CG11" s="18">
        <v>0</v>
      </c>
      <c r="CH11" s="23"/>
      <c r="CI11" s="34">
        <f t="shared" si="33"/>
        <v>10.7</v>
      </c>
      <c r="CJ11" s="34">
        <f t="shared" si="34"/>
        <v>15.3</v>
      </c>
      <c r="CK11" s="36">
        <f t="shared" si="35"/>
        <v>42.8</v>
      </c>
      <c r="CL11" s="36" t="str">
        <f t="shared" si="36"/>
        <v/>
      </c>
      <c r="CM11" s="36">
        <f t="shared" si="37"/>
        <v>17.04</v>
      </c>
      <c r="CN11" s="36">
        <f t="shared" si="38"/>
        <v>33.22</v>
      </c>
      <c r="CO11" s="36">
        <f t="shared" si="39"/>
        <v>42.8</v>
      </c>
      <c r="CP11" s="36">
        <f t="shared" si="40"/>
        <v>10.7</v>
      </c>
      <c r="CQ11" s="36">
        <f t="shared" si="41"/>
        <v>17.38</v>
      </c>
      <c r="CR11" s="36">
        <f t="shared" si="42"/>
        <v>45.51</v>
      </c>
      <c r="CS11" s="36">
        <f t="shared" si="43"/>
        <v>88.31</v>
      </c>
      <c r="CT11" s="47" t="str">
        <f t="shared" si="44"/>
        <v/>
      </c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36" t="str">
        <f t="shared" si="45"/>
        <v/>
      </c>
      <c r="DP11" s="36" t="str">
        <f t="shared" si="46"/>
        <v/>
      </c>
      <c r="DQ11" s="36" t="str">
        <f t="shared" si="47"/>
        <v/>
      </c>
      <c r="DR11" s="36" t="str">
        <f t="shared" si="48"/>
        <v/>
      </c>
      <c r="DS11" s="36" t="str">
        <f t="shared" si="49"/>
        <v/>
      </c>
      <c r="DT11" s="36" t="str">
        <f t="shared" si="50"/>
        <v/>
      </c>
      <c r="DU11" s="36" t="str">
        <f t="shared" si="51"/>
        <v/>
      </c>
      <c r="DV11" s="36" t="str">
        <f t="shared" si="52"/>
        <v/>
      </c>
      <c r="DW11" s="36" t="str">
        <f t="shared" si="53"/>
        <v/>
      </c>
      <c r="DX11" s="36" t="str">
        <f t="shared" si="54"/>
        <v/>
      </c>
      <c r="DY11" s="36" t="str">
        <f t="shared" si="55"/>
        <v/>
      </c>
      <c r="DZ11" s="36" t="str">
        <f t="shared" si="56"/>
        <v/>
      </c>
      <c r="EA11" s="36" t="str">
        <f t="shared" si="57"/>
        <v/>
      </c>
      <c r="EB11" s="36" t="str">
        <f t="shared" si="58"/>
        <v/>
      </c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1" t="str">
        <f t="shared" si="59"/>
        <v/>
      </c>
      <c r="EX11" s="11" t="str">
        <f t="shared" si="60"/>
        <v/>
      </c>
      <c r="EY11" s="11" t="str">
        <f t="shared" si="61"/>
        <v/>
      </c>
      <c r="EZ11" s="11" t="str">
        <f t="shared" si="62"/>
        <v/>
      </c>
      <c r="FA11" s="11" t="str">
        <f t="shared" si="63"/>
        <v/>
      </c>
      <c r="FB11" s="11" t="str">
        <f t="shared" si="64"/>
        <v/>
      </c>
      <c r="FC11" s="11" t="str">
        <f t="shared" si="65"/>
        <v/>
      </c>
      <c r="FD11" s="11" t="str">
        <f t="shared" si="66"/>
        <v/>
      </c>
      <c r="FE11" s="11" t="str">
        <f t="shared" si="67"/>
        <v/>
      </c>
      <c r="FF11" s="11" t="str">
        <f t="shared" si="68"/>
        <v/>
      </c>
      <c r="FG11" s="11" t="str">
        <f t="shared" si="69"/>
        <v/>
      </c>
      <c r="FH11" s="11" t="str">
        <f t="shared" si="70"/>
        <v/>
      </c>
      <c r="FI11" s="11" t="str">
        <f t="shared" si="71"/>
        <v/>
      </c>
      <c r="FJ11" s="11" t="str">
        <f t="shared" si="72"/>
        <v/>
      </c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36" t="str">
        <f t="shared" si="73"/>
        <v/>
      </c>
      <c r="GF11" s="36" t="str">
        <f t="shared" si="74"/>
        <v/>
      </c>
      <c r="GG11" s="36" t="str">
        <f t="shared" si="75"/>
        <v/>
      </c>
      <c r="GH11" s="36" t="str">
        <f t="shared" si="76"/>
        <v/>
      </c>
      <c r="GI11" s="36" t="str">
        <f t="shared" si="77"/>
        <v/>
      </c>
      <c r="GJ11" s="36" t="str">
        <f t="shared" si="78"/>
        <v/>
      </c>
      <c r="GK11" s="36" t="str">
        <f t="shared" si="79"/>
        <v/>
      </c>
      <c r="GL11" s="36" t="str">
        <f t="shared" si="80"/>
        <v/>
      </c>
      <c r="GM11" s="36" t="str">
        <f t="shared" si="81"/>
        <v/>
      </c>
      <c r="GN11" s="36" t="str">
        <f t="shared" si="82"/>
        <v/>
      </c>
      <c r="GO11" s="36" t="str">
        <f t="shared" si="83"/>
        <v/>
      </c>
      <c r="GP11" s="36" t="str">
        <f t="shared" si="84"/>
        <v/>
      </c>
      <c r="GQ11" s="36" t="str">
        <f t="shared" si="85"/>
        <v/>
      </c>
      <c r="GR11" s="36" t="str">
        <f t="shared" si="86"/>
        <v/>
      </c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1" t="str">
        <f t="shared" si="87"/>
        <v/>
      </c>
      <c r="HN11" s="11" t="str">
        <f t="shared" si="88"/>
        <v/>
      </c>
      <c r="HO11" s="11" t="str">
        <f t="shared" si="89"/>
        <v/>
      </c>
      <c r="HP11" s="11" t="str">
        <f t="shared" si="90"/>
        <v/>
      </c>
      <c r="HQ11" s="11" t="str">
        <f t="shared" si="91"/>
        <v/>
      </c>
      <c r="HR11" s="11" t="str">
        <f t="shared" si="92"/>
        <v/>
      </c>
      <c r="HS11" s="11" t="str">
        <f t="shared" si="93"/>
        <v/>
      </c>
      <c r="HT11" s="11" t="str">
        <f t="shared" si="94"/>
        <v/>
      </c>
      <c r="HU11" s="11" t="str">
        <f t="shared" si="95"/>
        <v/>
      </c>
      <c r="HV11" s="11" t="str">
        <f t="shared" si="96"/>
        <v/>
      </c>
      <c r="HW11" s="11" t="str">
        <f t="shared" si="97"/>
        <v/>
      </c>
      <c r="HX11" s="11" t="str">
        <f t="shared" si="98"/>
        <v/>
      </c>
      <c r="HY11" s="11" t="str">
        <f t="shared" si="99"/>
        <v/>
      </c>
      <c r="HZ11" s="11" t="str">
        <f t="shared" si="100"/>
        <v/>
      </c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36" t="str">
        <f t="shared" si="101"/>
        <v/>
      </c>
      <c r="IV11" s="36" t="str">
        <f t="shared" si="102"/>
        <v/>
      </c>
      <c r="IW11" s="36" t="str">
        <f t="shared" si="103"/>
        <v/>
      </c>
      <c r="IX11" s="36" t="str">
        <f t="shared" si="104"/>
        <v/>
      </c>
      <c r="IY11" s="36" t="str">
        <f t="shared" si="105"/>
        <v/>
      </c>
      <c r="IZ11" s="36" t="str">
        <f t="shared" si="106"/>
        <v/>
      </c>
      <c r="JA11" s="36" t="str">
        <f t="shared" si="107"/>
        <v/>
      </c>
      <c r="JB11" s="36" t="str">
        <f t="shared" si="108"/>
        <v/>
      </c>
      <c r="JC11" s="36" t="str">
        <f t="shared" si="109"/>
        <v/>
      </c>
      <c r="JD11" s="36" t="str">
        <f t="shared" si="110"/>
        <v/>
      </c>
      <c r="JE11" s="36" t="str">
        <f t="shared" si="111"/>
        <v/>
      </c>
      <c r="JF11" s="36" t="str">
        <f t="shared" si="112"/>
        <v/>
      </c>
      <c r="JG11" s="36" t="str">
        <f t="shared" si="113"/>
        <v/>
      </c>
      <c r="JH11" s="36" t="str">
        <f t="shared" si="114"/>
        <v/>
      </c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1" t="str">
        <f t="shared" si="115"/>
        <v/>
      </c>
      <c r="KD11" s="11" t="str">
        <f t="shared" si="116"/>
        <v/>
      </c>
      <c r="KE11" s="11" t="str">
        <f t="shared" si="117"/>
        <v/>
      </c>
      <c r="KF11" s="11" t="str">
        <f t="shared" si="118"/>
        <v/>
      </c>
      <c r="KG11" s="11" t="str">
        <f t="shared" si="119"/>
        <v/>
      </c>
      <c r="KH11" s="11" t="str">
        <f t="shared" si="120"/>
        <v/>
      </c>
      <c r="KI11" s="11" t="str">
        <f t="shared" si="121"/>
        <v/>
      </c>
      <c r="KJ11" s="11" t="str">
        <f t="shared" si="122"/>
        <v/>
      </c>
      <c r="KK11" s="11" t="str">
        <f t="shared" si="123"/>
        <v/>
      </c>
      <c r="KL11" s="11" t="str">
        <f t="shared" si="124"/>
        <v/>
      </c>
      <c r="KM11" s="11" t="str">
        <f t="shared" si="125"/>
        <v/>
      </c>
      <c r="KN11" s="11" t="str">
        <f t="shared" si="126"/>
        <v/>
      </c>
      <c r="KO11" s="11" t="str">
        <f t="shared" si="127"/>
        <v/>
      </c>
      <c r="KP11" s="11" t="str">
        <f t="shared" si="128"/>
        <v/>
      </c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36" t="str">
        <f t="shared" si="129"/>
        <v/>
      </c>
      <c r="LL11" s="36" t="str">
        <f t="shared" si="130"/>
        <v/>
      </c>
      <c r="LM11" s="36" t="str">
        <f t="shared" si="131"/>
        <v/>
      </c>
      <c r="LN11" s="36" t="str">
        <f t="shared" si="132"/>
        <v/>
      </c>
      <c r="LO11" s="36" t="str">
        <f t="shared" si="133"/>
        <v/>
      </c>
      <c r="LP11" s="36" t="str">
        <f t="shared" si="134"/>
        <v/>
      </c>
      <c r="LQ11" s="36" t="str">
        <f t="shared" si="135"/>
        <v/>
      </c>
      <c r="LR11" s="36" t="str">
        <f t="shared" si="136"/>
        <v/>
      </c>
      <c r="LS11" s="36" t="str">
        <f t="shared" si="137"/>
        <v/>
      </c>
      <c r="LT11" s="36" t="str">
        <f t="shared" si="138"/>
        <v/>
      </c>
      <c r="LU11" s="36" t="str">
        <f t="shared" si="139"/>
        <v/>
      </c>
      <c r="LV11" s="36" t="str">
        <f t="shared" si="140"/>
        <v/>
      </c>
      <c r="LW11" s="36" t="str">
        <f t="shared" si="141"/>
        <v/>
      </c>
      <c r="LX11" s="36" t="str">
        <f t="shared" si="142"/>
        <v/>
      </c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1" t="str">
        <f t="shared" si="143"/>
        <v/>
      </c>
      <c r="MT11" s="11" t="str">
        <f t="shared" si="144"/>
        <v/>
      </c>
      <c r="MU11" s="11" t="str">
        <f t="shared" si="145"/>
        <v/>
      </c>
      <c r="MV11" s="11" t="str">
        <f t="shared" si="146"/>
        <v/>
      </c>
      <c r="MW11" s="11" t="str">
        <f t="shared" si="147"/>
        <v/>
      </c>
      <c r="MX11" s="11" t="str">
        <f t="shared" si="148"/>
        <v/>
      </c>
      <c r="MY11" s="11" t="str">
        <f t="shared" si="149"/>
        <v/>
      </c>
      <c r="MZ11" s="11" t="str">
        <f t="shared" si="150"/>
        <v/>
      </c>
      <c r="NA11" s="11" t="str">
        <f t="shared" si="151"/>
        <v/>
      </c>
      <c r="NB11" s="11" t="str">
        <f t="shared" si="152"/>
        <v/>
      </c>
      <c r="NC11" s="11" t="str">
        <f t="shared" si="153"/>
        <v/>
      </c>
      <c r="ND11" s="11" t="str">
        <f t="shared" si="154"/>
        <v/>
      </c>
      <c r="NE11" s="11" t="str">
        <f t="shared" si="155"/>
        <v/>
      </c>
      <c r="NF11" s="11" t="str">
        <f t="shared" si="156"/>
        <v/>
      </c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36" t="str">
        <f t="shared" si="157"/>
        <v/>
      </c>
      <c r="OB11" s="36" t="str">
        <f t="shared" si="158"/>
        <v/>
      </c>
      <c r="OC11" s="36" t="str">
        <f t="shared" si="159"/>
        <v/>
      </c>
      <c r="OD11" s="36" t="str">
        <f t="shared" si="160"/>
        <v/>
      </c>
      <c r="OE11" s="36" t="str">
        <f t="shared" si="161"/>
        <v/>
      </c>
      <c r="OF11" s="36" t="str">
        <f t="shared" si="162"/>
        <v/>
      </c>
      <c r="OG11" s="36" t="str">
        <f t="shared" si="163"/>
        <v/>
      </c>
      <c r="OH11" s="36" t="str">
        <f t="shared" si="164"/>
        <v/>
      </c>
      <c r="OI11" s="36" t="str">
        <f t="shared" si="165"/>
        <v/>
      </c>
      <c r="OJ11" s="36" t="str">
        <f t="shared" si="166"/>
        <v/>
      </c>
      <c r="OK11" s="36" t="str">
        <f t="shared" si="167"/>
        <v/>
      </c>
      <c r="OL11" s="36" t="str">
        <f t="shared" si="168"/>
        <v/>
      </c>
      <c r="OM11" s="36" t="str">
        <f t="shared" si="169"/>
        <v/>
      </c>
      <c r="ON11" s="36" t="str">
        <f t="shared" si="170"/>
        <v/>
      </c>
      <c r="OO11" s="16"/>
      <c r="OP11" s="16"/>
      <c r="OQ11" s="16"/>
      <c r="OR11" s="16"/>
      <c r="OS11" s="16"/>
      <c r="OT11" s="16"/>
      <c r="OU11" s="16"/>
      <c r="OV11" s="16"/>
      <c r="OW11" s="16"/>
      <c r="OX11" s="16"/>
      <c r="OY11" s="16"/>
      <c r="OZ11" s="16"/>
      <c r="PA11" s="16"/>
      <c r="PB11" s="16"/>
      <c r="PC11" s="16"/>
      <c r="PD11" s="16"/>
      <c r="PE11" s="16"/>
      <c r="PF11" s="16"/>
      <c r="PG11" s="16"/>
      <c r="PH11" s="16"/>
      <c r="PI11" s="11" t="str">
        <f t="shared" si="171"/>
        <v/>
      </c>
      <c r="PJ11" s="11" t="str">
        <f t="shared" si="172"/>
        <v/>
      </c>
      <c r="PK11" s="11" t="str">
        <f t="shared" si="173"/>
        <v/>
      </c>
      <c r="PL11" s="11" t="str">
        <f t="shared" si="174"/>
        <v/>
      </c>
      <c r="PM11" s="11" t="str">
        <f t="shared" si="175"/>
        <v/>
      </c>
      <c r="PN11" s="11" t="str">
        <f t="shared" si="176"/>
        <v/>
      </c>
      <c r="PO11" s="11" t="str">
        <f t="shared" si="177"/>
        <v/>
      </c>
      <c r="PP11" s="11" t="str">
        <f t="shared" si="178"/>
        <v/>
      </c>
      <c r="PQ11" s="11" t="str">
        <f t="shared" si="179"/>
        <v/>
      </c>
      <c r="PR11" s="11" t="str">
        <f t="shared" si="180"/>
        <v/>
      </c>
      <c r="PS11" s="11" t="str">
        <f t="shared" si="181"/>
        <v/>
      </c>
      <c r="PT11" s="11" t="str">
        <f t="shared" si="182"/>
        <v/>
      </c>
      <c r="PU11" s="11" t="str">
        <f t="shared" si="183"/>
        <v/>
      </c>
      <c r="PV11" s="11" t="str">
        <f t="shared" si="184"/>
        <v/>
      </c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36" t="str">
        <f t="shared" si="185"/>
        <v/>
      </c>
      <c r="QR11" s="36" t="str">
        <f t="shared" si="186"/>
        <v/>
      </c>
      <c r="QS11" s="36" t="str">
        <f t="shared" si="187"/>
        <v/>
      </c>
      <c r="QT11" s="36" t="str">
        <f t="shared" si="188"/>
        <v/>
      </c>
      <c r="QU11" s="36" t="str">
        <f t="shared" si="189"/>
        <v/>
      </c>
      <c r="QV11" s="36" t="str">
        <f t="shared" si="190"/>
        <v/>
      </c>
      <c r="QW11" s="36" t="str">
        <f t="shared" si="191"/>
        <v/>
      </c>
      <c r="QX11" s="36" t="str">
        <f t="shared" si="192"/>
        <v/>
      </c>
      <c r="QY11" s="36" t="str">
        <f t="shared" si="193"/>
        <v/>
      </c>
      <c r="QZ11" s="36" t="str">
        <f t="shared" si="194"/>
        <v/>
      </c>
      <c r="RA11" s="36" t="str">
        <f t="shared" si="195"/>
        <v/>
      </c>
      <c r="RB11" s="36" t="str">
        <f t="shared" si="196"/>
        <v/>
      </c>
      <c r="RC11" s="36" t="str">
        <f t="shared" si="197"/>
        <v/>
      </c>
      <c r="RD11" s="36" t="str">
        <f t="shared" si="198"/>
        <v/>
      </c>
      <c r="RE11" s="16"/>
      <c r="RF11" s="16"/>
      <c r="RG11" s="16"/>
      <c r="RH11" s="16"/>
      <c r="RI11" s="16"/>
      <c r="RJ11" s="16"/>
      <c r="RK11" s="16"/>
      <c r="RL11" s="16"/>
      <c r="RM11" s="16"/>
      <c r="RN11" s="16"/>
      <c r="RO11" s="16"/>
      <c r="RP11" s="16"/>
      <c r="RQ11" s="16"/>
      <c r="RR11" s="16"/>
      <c r="RS11" s="16"/>
      <c r="RT11" s="16"/>
      <c r="RU11" s="16"/>
      <c r="RV11" s="16"/>
      <c r="RW11" s="16"/>
      <c r="RX11" s="16"/>
      <c r="RY11" s="11" t="str">
        <f t="shared" si="199"/>
        <v/>
      </c>
      <c r="RZ11" s="11" t="str">
        <f t="shared" si="200"/>
        <v/>
      </c>
      <c r="SA11" s="11" t="str">
        <f t="shared" si="201"/>
        <v/>
      </c>
      <c r="SB11" s="11" t="str">
        <f t="shared" si="202"/>
        <v/>
      </c>
      <c r="SC11" s="11" t="str">
        <f t="shared" si="203"/>
        <v/>
      </c>
      <c r="SD11" s="11" t="str">
        <f t="shared" si="204"/>
        <v/>
      </c>
      <c r="SE11" s="11" t="str">
        <f t="shared" si="205"/>
        <v/>
      </c>
      <c r="SF11" s="11" t="str">
        <f t="shared" si="206"/>
        <v/>
      </c>
      <c r="SG11" s="11" t="str">
        <f t="shared" si="207"/>
        <v/>
      </c>
      <c r="SH11" s="11" t="str">
        <f t="shared" si="208"/>
        <v/>
      </c>
      <c r="SI11" s="11" t="str">
        <f t="shared" si="209"/>
        <v/>
      </c>
      <c r="SJ11" s="11" t="str">
        <f t="shared" si="210"/>
        <v/>
      </c>
      <c r="SK11" s="11" t="str">
        <f t="shared" si="211"/>
        <v/>
      </c>
      <c r="SL11" s="11" t="str">
        <f t="shared" si="212"/>
        <v/>
      </c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36" t="str">
        <f t="shared" si="213"/>
        <v/>
      </c>
      <c r="TH11" s="36" t="str">
        <f t="shared" si="214"/>
        <v/>
      </c>
      <c r="TI11" s="36" t="str">
        <f t="shared" si="215"/>
        <v/>
      </c>
      <c r="TJ11" s="36" t="str">
        <f t="shared" si="216"/>
        <v/>
      </c>
      <c r="TK11" s="36" t="str">
        <f t="shared" si="217"/>
        <v/>
      </c>
      <c r="TL11" s="36" t="str">
        <f t="shared" si="218"/>
        <v/>
      </c>
      <c r="TM11" s="36" t="str">
        <f t="shared" si="219"/>
        <v/>
      </c>
      <c r="TN11" s="36" t="str">
        <f t="shared" si="220"/>
        <v/>
      </c>
      <c r="TO11" s="36" t="str">
        <f t="shared" si="221"/>
        <v/>
      </c>
      <c r="TP11" s="36" t="str">
        <f t="shared" si="222"/>
        <v/>
      </c>
      <c r="TQ11" s="36" t="str">
        <f t="shared" si="223"/>
        <v/>
      </c>
      <c r="TR11" s="36" t="str">
        <f t="shared" si="224"/>
        <v/>
      </c>
      <c r="TS11" s="36" t="str">
        <f t="shared" si="225"/>
        <v/>
      </c>
      <c r="TT11" s="36" t="str">
        <f t="shared" si="226"/>
        <v/>
      </c>
      <c r="TU11" s="16"/>
      <c r="TV11" s="16"/>
      <c r="TW11" s="16"/>
      <c r="TX11" s="16"/>
      <c r="TY11" s="16"/>
      <c r="TZ11" s="16"/>
      <c r="UA11" s="16"/>
      <c r="UB11" s="16"/>
      <c r="UC11" s="16"/>
      <c r="UD11" s="16"/>
      <c r="UE11" s="16"/>
      <c r="UF11" s="16"/>
      <c r="UG11" s="16"/>
      <c r="UH11" s="16"/>
      <c r="UI11" s="16"/>
      <c r="UJ11" s="16"/>
      <c r="UK11" s="16"/>
      <c r="UL11" s="16"/>
      <c r="UM11" s="16"/>
      <c r="UN11" s="16"/>
      <c r="UO11" s="11" t="str">
        <f t="shared" si="227"/>
        <v/>
      </c>
      <c r="UP11" s="11" t="str">
        <f t="shared" si="228"/>
        <v/>
      </c>
      <c r="UQ11" s="11" t="str">
        <f t="shared" si="229"/>
        <v/>
      </c>
      <c r="UR11" s="11" t="str">
        <f t="shared" si="230"/>
        <v/>
      </c>
      <c r="US11" s="11" t="str">
        <f t="shared" si="231"/>
        <v/>
      </c>
      <c r="UT11" s="11" t="str">
        <f t="shared" si="232"/>
        <v/>
      </c>
      <c r="UU11" s="11" t="str">
        <f t="shared" si="233"/>
        <v/>
      </c>
      <c r="UV11" s="11" t="str">
        <f t="shared" si="234"/>
        <v/>
      </c>
      <c r="UW11" s="11" t="str">
        <f t="shared" si="235"/>
        <v/>
      </c>
      <c r="UX11" s="11" t="str">
        <f t="shared" si="236"/>
        <v/>
      </c>
      <c r="UY11" s="11" t="str">
        <f t="shared" si="237"/>
        <v/>
      </c>
      <c r="UZ11" s="11" t="str">
        <f t="shared" si="238"/>
        <v/>
      </c>
      <c r="VA11" s="11" t="str">
        <f t="shared" si="239"/>
        <v/>
      </c>
      <c r="VB11" s="11" t="str">
        <f t="shared" si="240"/>
        <v/>
      </c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36" t="str">
        <f t="shared" si="241"/>
        <v/>
      </c>
      <c r="VX11" s="36" t="str">
        <f t="shared" si="242"/>
        <v/>
      </c>
      <c r="VY11" s="36" t="str">
        <f t="shared" si="243"/>
        <v/>
      </c>
      <c r="VZ11" s="36" t="str">
        <f t="shared" si="244"/>
        <v/>
      </c>
      <c r="WA11" s="36" t="str">
        <f t="shared" si="245"/>
        <v/>
      </c>
      <c r="WB11" s="36" t="str">
        <f t="shared" si="246"/>
        <v/>
      </c>
      <c r="WC11" s="36" t="str">
        <f t="shared" si="247"/>
        <v/>
      </c>
      <c r="WD11" s="36" t="str">
        <f t="shared" si="248"/>
        <v/>
      </c>
      <c r="WE11" s="36" t="str">
        <f t="shared" si="249"/>
        <v/>
      </c>
      <c r="WF11" s="36" t="str">
        <f t="shared" si="250"/>
        <v/>
      </c>
      <c r="WG11" s="36" t="str">
        <f t="shared" si="251"/>
        <v/>
      </c>
      <c r="WH11" s="36" t="str">
        <f t="shared" si="252"/>
        <v/>
      </c>
      <c r="WI11" s="36" t="str">
        <f t="shared" si="253"/>
        <v/>
      </c>
      <c r="WJ11" s="36" t="str">
        <f t="shared" si="254"/>
        <v/>
      </c>
    </row>
    <row r="12" spans="1:608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105</v>
      </c>
      <c r="C12" s="4" t="s">
        <v>6</v>
      </c>
      <c r="D12" s="4" t="s">
        <v>106</v>
      </c>
      <c r="E12" s="9">
        <f t="shared" si="0"/>
        <v>61.950006195003986</v>
      </c>
      <c r="F12" s="3" t="str">
        <f t="shared" si="1"/>
        <v/>
      </c>
      <c r="G12" s="3" t="str">
        <f t="shared" si="2"/>
        <v/>
      </c>
      <c r="H12" s="32" t="str">
        <f t="shared" si="3"/>
        <v/>
      </c>
      <c r="I12" s="3" t="str">
        <f t="shared" si="4"/>
        <v/>
      </c>
      <c r="J12" s="8">
        <f t="shared" si="5"/>
        <v>39.86</v>
      </c>
      <c r="K12" s="8" t="str">
        <f t="shared" si="6"/>
        <v>2025 Nationals</v>
      </c>
      <c r="L12" s="8">
        <f>IFERROR(LARGE((AI12,AL12,AP12,BJ12,BM12,BQ12,CK12,CN12,CR12),2),0)</f>
        <v>22.09</v>
      </c>
      <c r="M12" s="8" t="str">
        <f t="shared" si="7"/>
        <v>2025 Nationals</v>
      </c>
      <c r="N12" s="8">
        <f t="shared" si="8"/>
        <v>0</v>
      </c>
      <c r="O12" s="11" t="str">
        <f t="shared" si="9"/>
        <v/>
      </c>
      <c r="P12" s="8" t="str">
        <f t="shared" si="10"/>
        <v/>
      </c>
      <c r="Q12" s="18">
        <v>6.35</v>
      </c>
      <c r="R12" s="18">
        <v>8.25</v>
      </c>
      <c r="S12" s="18">
        <v>9.4</v>
      </c>
      <c r="T12" s="18">
        <v>15.86</v>
      </c>
      <c r="U12" s="18">
        <v>0</v>
      </c>
      <c r="V12" s="18">
        <v>3.83</v>
      </c>
      <c r="W12" s="18">
        <v>0</v>
      </c>
      <c r="X12" s="18">
        <v>4.9000000000000004</v>
      </c>
      <c r="Y12" s="18">
        <v>0</v>
      </c>
      <c r="Z12" s="18">
        <v>0</v>
      </c>
      <c r="AA12" s="18">
        <v>4.04</v>
      </c>
      <c r="AB12" s="18">
        <v>4.55</v>
      </c>
      <c r="AC12" s="18">
        <v>4.9000000000000004</v>
      </c>
      <c r="AD12" s="18">
        <v>8.6</v>
      </c>
      <c r="AE12" s="18">
        <v>0</v>
      </c>
      <c r="AF12" s="23"/>
      <c r="AG12" s="34">
        <f t="shared" si="11"/>
        <v>9.4</v>
      </c>
      <c r="AH12" s="34">
        <f t="shared" si="12"/>
        <v>15.86</v>
      </c>
      <c r="AI12" s="36">
        <f t="shared" si="13"/>
        <v>39.86</v>
      </c>
      <c r="AJ12" s="36">
        <f t="shared" si="14"/>
        <v>4.9000000000000004</v>
      </c>
      <c r="AK12" s="36" t="str">
        <f t="shared" si="15"/>
        <v/>
      </c>
      <c r="AL12" s="36">
        <f t="shared" si="16"/>
        <v>8.73</v>
      </c>
      <c r="AM12" s="36">
        <f t="shared" si="17"/>
        <v>39.86</v>
      </c>
      <c r="AN12" s="36">
        <f t="shared" si="18"/>
        <v>4.9000000000000004</v>
      </c>
      <c r="AO12" s="36">
        <f t="shared" si="19"/>
        <v>8.6</v>
      </c>
      <c r="AP12" s="36">
        <f t="shared" si="20"/>
        <v>22.09</v>
      </c>
      <c r="AQ12" s="36">
        <f t="shared" si="21"/>
        <v>61.95</v>
      </c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4"/>
      <c r="BH12" s="35" t="str">
        <f t="shared" si="22"/>
        <v/>
      </c>
      <c r="BI12" s="35" t="str">
        <f t="shared" si="23"/>
        <v/>
      </c>
      <c r="BJ12" s="11" t="str">
        <f t="shared" si="24"/>
        <v/>
      </c>
      <c r="BK12" s="11" t="str">
        <f t="shared" si="25"/>
        <v/>
      </c>
      <c r="BL12" s="11" t="str">
        <f t="shared" si="26"/>
        <v/>
      </c>
      <c r="BM12" s="11" t="str">
        <f t="shared" si="27"/>
        <v/>
      </c>
      <c r="BN12" s="11" t="str">
        <f t="shared" si="28"/>
        <v/>
      </c>
      <c r="BO12" s="11" t="str">
        <f t="shared" si="29"/>
        <v/>
      </c>
      <c r="BP12" s="11" t="str">
        <f t="shared" si="30"/>
        <v/>
      </c>
      <c r="BQ12" s="11" t="str">
        <f t="shared" si="31"/>
        <v/>
      </c>
      <c r="BR12" s="11" t="str">
        <f t="shared" si="32"/>
        <v/>
      </c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23"/>
      <c r="CI12" s="34" t="str">
        <f t="shared" si="33"/>
        <v/>
      </c>
      <c r="CJ12" s="34" t="str">
        <f t="shared" si="34"/>
        <v/>
      </c>
      <c r="CK12" s="36" t="str">
        <f t="shared" si="35"/>
        <v/>
      </c>
      <c r="CL12" s="36" t="str">
        <f t="shared" si="36"/>
        <v/>
      </c>
      <c r="CM12" s="36" t="str">
        <f t="shared" si="37"/>
        <v/>
      </c>
      <c r="CN12" s="36" t="str">
        <f t="shared" si="38"/>
        <v/>
      </c>
      <c r="CO12" s="36" t="str">
        <f t="shared" si="39"/>
        <v/>
      </c>
      <c r="CP12" s="36" t="str">
        <f t="shared" si="40"/>
        <v/>
      </c>
      <c r="CQ12" s="36" t="str">
        <f t="shared" si="41"/>
        <v/>
      </c>
      <c r="CR12" s="36" t="str">
        <f t="shared" si="42"/>
        <v/>
      </c>
      <c r="CS12" s="36" t="str">
        <f t="shared" si="43"/>
        <v/>
      </c>
      <c r="CT12" s="47" t="str">
        <f t="shared" si="44"/>
        <v/>
      </c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36" t="str">
        <f t="shared" si="45"/>
        <v/>
      </c>
      <c r="DP12" s="36" t="str">
        <f t="shared" si="46"/>
        <v/>
      </c>
      <c r="DQ12" s="36" t="str">
        <f t="shared" si="47"/>
        <v/>
      </c>
      <c r="DR12" s="36" t="str">
        <f t="shared" si="48"/>
        <v/>
      </c>
      <c r="DS12" s="36" t="str">
        <f t="shared" si="49"/>
        <v/>
      </c>
      <c r="DT12" s="36" t="str">
        <f t="shared" si="50"/>
        <v/>
      </c>
      <c r="DU12" s="36" t="str">
        <f t="shared" si="51"/>
        <v/>
      </c>
      <c r="DV12" s="36" t="str">
        <f t="shared" si="52"/>
        <v/>
      </c>
      <c r="DW12" s="36" t="str">
        <f t="shared" si="53"/>
        <v/>
      </c>
      <c r="DX12" s="36" t="str">
        <f t="shared" si="54"/>
        <v/>
      </c>
      <c r="DY12" s="36" t="str">
        <f t="shared" si="55"/>
        <v/>
      </c>
      <c r="DZ12" s="36" t="str">
        <f t="shared" si="56"/>
        <v/>
      </c>
      <c r="EA12" s="36" t="str">
        <f t="shared" si="57"/>
        <v/>
      </c>
      <c r="EB12" s="36" t="str">
        <f t="shared" si="58"/>
        <v/>
      </c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1" t="str">
        <f t="shared" si="59"/>
        <v/>
      </c>
      <c r="EX12" s="11" t="str">
        <f t="shared" si="60"/>
        <v/>
      </c>
      <c r="EY12" s="11" t="str">
        <f t="shared" si="61"/>
        <v/>
      </c>
      <c r="EZ12" s="11" t="str">
        <f t="shared" si="62"/>
        <v/>
      </c>
      <c r="FA12" s="11" t="str">
        <f t="shared" si="63"/>
        <v/>
      </c>
      <c r="FB12" s="11" t="str">
        <f t="shared" si="64"/>
        <v/>
      </c>
      <c r="FC12" s="11" t="str">
        <f t="shared" si="65"/>
        <v/>
      </c>
      <c r="FD12" s="11" t="str">
        <f t="shared" si="66"/>
        <v/>
      </c>
      <c r="FE12" s="11" t="str">
        <f t="shared" si="67"/>
        <v/>
      </c>
      <c r="FF12" s="11" t="str">
        <f t="shared" si="68"/>
        <v/>
      </c>
      <c r="FG12" s="11" t="str">
        <f t="shared" si="69"/>
        <v/>
      </c>
      <c r="FH12" s="11" t="str">
        <f t="shared" si="70"/>
        <v/>
      </c>
      <c r="FI12" s="11" t="str">
        <f t="shared" si="71"/>
        <v/>
      </c>
      <c r="FJ12" s="11" t="str">
        <f t="shared" si="72"/>
        <v/>
      </c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36" t="str">
        <f t="shared" si="73"/>
        <v/>
      </c>
      <c r="GF12" s="36" t="str">
        <f t="shared" si="74"/>
        <v/>
      </c>
      <c r="GG12" s="36" t="str">
        <f t="shared" si="75"/>
        <v/>
      </c>
      <c r="GH12" s="36" t="str">
        <f t="shared" si="76"/>
        <v/>
      </c>
      <c r="GI12" s="36" t="str">
        <f t="shared" si="77"/>
        <v/>
      </c>
      <c r="GJ12" s="36" t="str">
        <f t="shared" si="78"/>
        <v/>
      </c>
      <c r="GK12" s="36" t="str">
        <f t="shared" si="79"/>
        <v/>
      </c>
      <c r="GL12" s="36" t="str">
        <f t="shared" si="80"/>
        <v/>
      </c>
      <c r="GM12" s="36" t="str">
        <f t="shared" si="81"/>
        <v/>
      </c>
      <c r="GN12" s="36" t="str">
        <f t="shared" si="82"/>
        <v/>
      </c>
      <c r="GO12" s="36" t="str">
        <f t="shared" si="83"/>
        <v/>
      </c>
      <c r="GP12" s="36" t="str">
        <f t="shared" si="84"/>
        <v/>
      </c>
      <c r="GQ12" s="36" t="str">
        <f t="shared" si="85"/>
        <v/>
      </c>
      <c r="GR12" s="36" t="str">
        <f t="shared" si="86"/>
        <v/>
      </c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1" t="str">
        <f t="shared" si="87"/>
        <v/>
      </c>
      <c r="HN12" s="11" t="str">
        <f t="shared" si="88"/>
        <v/>
      </c>
      <c r="HO12" s="11" t="str">
        <f t="shared" si="89"/>
        <v/>
      </c>
      <c r="HP12" s="11" t="str">
        <f t="shared" si="90"/>
        <v/>
      </c>
      <c r="HQ12" s="11" t="str">
        <f t="shared" si="91"/>
        <v/>
      </c>
      <c r="HR12" s="11" t="str">
        <f t="shared" si="92"/>
        <v/>
      </c>
      <c r="HS12" s="11" t="str">
        <f t="shared" si="93"/>
        <v/>
      </c>
      <c r="HT12" s="11" t="str">
        <f t="shared" si="94"/>
        <v/>
      </c>
      <c r="HU12" s="11" t="str">
        <f t="shared" si="95"/>
        <v/>
      </c>
      <c r="HV12" s="11" t="str">
        <f t="shared" si="96"/>
        <v/>
      </c>
      <c r="HW12" s="11" t="str">
        <f t="shared" si="97"/>
        <v/>
      </c>
      <c r="HX12" s="11" t="str">
        <f t="shared" si="98"/>
        <v/>
      </c>
      <c r="HY12" s="11" t="str">
        <f t="shared" si="99"/>
        <v/>
      </c>
      <c r="HZ12" s="11" t="str">
        <f t="shared" si="100"/>
        <v/>
      </c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36" t="str">
        <f t="shared" si="101"/>
        <v/>
      </c>
      <c r="IV12" s="36" t="str">
        <f t="shared" si="102"/>
        <v/>
      </c>
      <c r="IW12" s="36" t="str">
        <f t="shared" si="103"/>
        <v/>
      </c>
      <c r="IX12" s="36" t="str">
        <f t="shared" si="104"/>
        <v/>
      </c>
      <c r="IY12" s="36" t="str">
        <f t="shared" si="105"/>
        <v/>
      </c>
      <c r="IZ12" s="36" t="str">
        <f t="shared" si="106"/>
        <v/>
      </c>
      <c r="JA12" s="36" t="str">
        <f t="shared" si="107"/>
        <v/>
      </c>
      <c r="JB12" s="36" t="str">
        <f t="shared" si="108"/>
        <v/>
      </c>
      <c r="JC12" s="36" t="str">
        <f t="shared" si="109"/>
        <v/>
      </c>
      <c r="JD12" s="36" t="str">
        <f t="shared" si="110"/>
        <v/>
      </c>
      <c r="JE12" s="36" t="str">
        <f t="shared" si="111"/>
        <v/>
      </c>
      <c r="JF12" s="36" t="str">
        <f t="shared" si="112"/>
        <v/>
      </c>
      <c r="JG12" s="36" t="str">
        <f t="shared" si="113"/>
        <v/>
      </c>
      <c r="JH12" s="36" t="str">
        <f t="shared" si="114"/>
        <v/>
      </c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1" t="str">
        <f t="shared" si="115"/>
        <v/>
      </c>
      <c r="KD12" s="11" t="str">
        <f t="shared" si="116"/>
        <v/>
      </c>
      <c r="KE12" s="11" t="str">
        <f t="shared" si="117"/>
        <v/>
      </c>
      <c r="KF12" s="11" t="str">
        <f t="shared" si="118"/>
        <v/>
      </c>
      <c r="KG12" s="11" t="str">
        <f t="shared" si="119"/>
        <v/>
      </c>
      <c r="KH12" s="11" t="str">
        <f t="shared" si="120"/>
        <v/>
      </c>
      <c r="KI12" s="11" t="str">
        <f t="shared" si="121"/>
        <v/>
      </c>
      <c r="KJ12" s="11" t="str">
        <f t="shared" si="122"/>
        <v/>
      </c>
      <c r="KK12" s="11" t="str">
        <f t="shared" si="123"/>
        <v/>
      </c>
      <c r="KL12" s="11" t="str">
        <f t="shared" si="124"/>
        <v/>
      </c>
      <c r="KM12" s="11" t="str">
        <f t="shared" si="125"/>
        <v/>
      </c>
      <c r="KN12" s="11" t="str">
        <f t="shared" si="126"/>
        <v/>
      </c>
      <c r="KO12" s="11" t="str">
        <f t="shared" si="127"/>
        <v/>
      </c>
      <c r="KP12" s="11" t="str">
        <f t="shared" si="128"/>
        <v/>
      </c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36" t="str">
        <f t="shared" si="129"/>
        <v/>
      </c>
      <c r="LL12" s="36" t="str">
        <f t="shared" si="130"/>
        <v/>
      </c>
      <c r="LM12" s="36" t="str">
        <f t="shared" si="131"/>
        <v/>
      </c>
      <c r="LN12" s="36" t="str">
        <f t="shared" si="132"/>
        <v/>
      </c>
      <c r="LO12" s="36" t="str">
        <f t="shared" si="133"/>
        <v/>
      </c>
      <c r="LP12" s="36" t="str">
        <f t="shared" si="134"/>
        <v/>
      </c>
      <c r="LQ12" s="36" t="str">
        <f t="shared" si="135"/>
        <v/>
      </c>
      <c r="LR12" s="36" t="str">
        <f t="shared" si="136"/>
        <v/>
      </c>
      <c r="LS12" s="36" t="str">
        <f t="shared" si="137"/>
        <v/>
      </c>
      <c r="LT12" s="36" t="str">
        <f t="shared" si="138"/>
        <v/>
      </c>
      <c r="LU12" s="36" t="str">
        <f t="shared" si="139"/>
        <v/>
      </c>
      <c r="LV12" s="36" t="str">
        <f t="shared" si="140"/>
        <v/>
      </c>
      <c r="LW12" s="36" t="str">
        <f t="shared" si="141"/>
        <v/>
      </c>
      <c r="LX12" s="36" t="str">
        <f t="shared" si="142"/>
        <v/>
      </c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1" t="str">
        <f t="shared" si="143"/>
        <v/>
      </c>
      <c r="MT12" s="11" t="str">
        <f t="shared" si="144"/>
        <v/>
      </c>
      <c r="MU12" s="11" t="str">
        <f t="shared" si="145"/>
        <v/>
      </c>
      <c r="MV12" s="11" t="str">
        <f t="shared" si="146"/>
        <v/>
      </c>
      <c r="MW12" s="11" t="str">
        <f t="shared" si="147"/>
        <v/>
      </c>
      <c r="MX12" s="11" t="str">
        <f t="shared" si="148"/>
        <v/>
      </c>
      <c r="MY12" s="11" t="str">
        <f t="shared" si="149"/>
        <v/>
      </c>
      <c r="MZ12" s="11" t="str">
        <f t="shared" si="150"/>
        <v/>
      </c>
      <c r="NA12" s="11" t="str">
        <f t="shared" si="151"/>
        <v/>
      </c>
      <c r="NB12" s="11" t="str">
        <f t="shared" si="152"/>
        <v/>
      </c>
      <c r="NC12" s="11" t="str">
        <f t="shared" si="153"/>
        <v/>
      </c>
      <c r="ND12" s="11" t="str">
        <f t="shared" si="154"/>
        <v/>
      </c>
      <c r="NE12" s="11" t="str">
        <f t="shared" si="155"/>
        <v/>
      </c>
      <c r="NF12" s="11" t="str">
        <f t="shared" si="156"/>
        <v/>
      </c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36" t="str">
        <f t="shared" si="157"/>
        <v/>
      </c>
      <c r="OB12" s="36" t="str">
        <f t="shared" si="158"/>
        <v/>
      </c>
      <c r="OC12" s="36" t="str">
        <f t="shared" si="159"/>
        <v/>
      </c>
      <c r="OD12" s="36" t="str">
        <f t="shared" si="160"/>
        <v/>
      </c>
      <c r="OE12" s="36" t="str">
        <f t="shared" si="161"/>
        <v/>
      </c>
      <c r="OF12" s="36" t="str">
        <f t="shared" si="162"/>
        <v/>
      </c>
      <c r="OG12" s="36" t="str">
        <f t="shared" si="163"/>
        <v/>
      </c>
      <c r="OH12" s="36" t="str">
        <f t="shared" si="164"/>
        <v/>
      </c>
      <c r="OI12" s="36" t="str">
        <f t="shared" si="165"/>
        <v/>
      </c>
      <c r="OJ12" s="36" t="str">
        <f t="shared" si="166"/>
        <v/>
      </c>
      <c r="OK12" s="36" t="str">
        <f t="shared" si="167"/>
        <v/>
      </c>
      <c r="OL12" s="36" t="str">
        <f t="shared" si="168"/>
        <v/>
      </c>
      <c r="OM12" s="36" t="str">
        <f t="shared" si="169"/>
        <v/>
      </c>
      <c r="ON12" s="36" t="str">
        <f t="shared" si="170"/>
        <v/>
      </c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1" t="str">
        <f t="shared" si="171"/>
        <v/>
      </c>
      <c r="PJ12" s="11" t="str">
        <f t="shared" si="172"/>
        <v/>
      </c>
      <c r="PK12" s="11" t="str">
        <f t="shared" si="173"/>
        <v/>
      </c>
      <c r="PL12" s="11" t="str">
        <f t="shared" si="174"/>
        <v/>
      </c>
      <c r="PM12" s="11" t="str">
        <f t="shared" si="175"/>
        <v/>
      </c>
      <c r="PN12" s="11" t="str">
        <f t="shared" si="176"/>
        <v/>
      </c>
      <c r="PO12" s="11" t="str">
        <f t="shared" si="177"/>
        <v/>
      </c>
      <c r="PP12" s="11" t="str">
        <f t="shared" si="178"/>
        <v/>
      </c>
      <c r="PQ12" s="11" t="str">
        <f t="shared" si="179"/>
        <v/>
      </c>
      <c r="PR12" s="11" t="str">
        <f t="shared" si="180"/>
        <v/>
      </c>
      <c r="PS12" s="11" t="str">
        <f t="shared" si="181"/>
        <v/>
      </c>
      <c r="PT12" s="11" t="str">
        <f t="shared" si="182"/>
        <v/>
      </c>
      <c r="PU12" s="11" t="str">
        <f t="shared" si="183"/>
        <v/>
      </c>
      <c r="PV12" s="11" t="str">
        <f t="shared" si="184"/>
        <v/>
      </c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36" t="str">
        <f t="shared" si="185"/>
        <v/>
      </c>
      <c r="QR12" s="36" t="str">
        <f t="shared" si="186"/>
        <v/>
      </c>
      <c r="QS12" s="36" t="str">
        <f t="shared" si="187"/>
        <v/>
      </c>
      <c r="QT12" s="36" t="str">
        <f t="shared" si="188"/>
        <v/>
      </c>
      <c r="QU12" s="36" t="str">
        <f t="shared" si="189"/>
        <v/>
      </c>
      <c r="QV12" s="36" t="str">
        <f t="shared" si="190"/>
        <v/>
      </c>
      <c r="QW12" s="36" t="str">
        <f t="shared" si="191"/>
        <v/>
      </c>
      <c r="QX12" s="36" t="str">
        <f t="shared" si="192"/>
        <v/>
      </c>
      <c r="QY12" s="36" t="str">
        <f t="shared" si="193"/>
        <v/>
      </c>
      <c r="QZ12" s="36" t="str">
        <f t="shared" si="194"/>
        <v/>
      </c>
      <c r="RA12" s="36" t="str">
        <f t="shared" si="195"/>
        <v/>
      </c>
      <c r="RB12" s="36" t="str">
        <f t="shared" si="196"/>
        <v/>
      </c>
      <c r="RC12" s="36" t="str">
        <f t="shared" si="197"/>
        <v/>
      </c>
      <c r="RD12" s="36" t="str">
        <f t="shared" si="198"/>
        <v/>
      </c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1" t="str">
        <f t="shared" si="199"/>
        <v/>
      </c>
      <c r="RZ12" s="11" t="str">
        <f t="shared" si="200"/>
        <v/>
      </c>
      <c r="SA12" s="11" t="str">
        <f t="shared" si="201"/>
        <v/>
      </c>
      <c r="SB12" s="11" t="str">
        <f t="shared" si="202"/>
        <v/>
      </c>
      <c r="SC12" s="11" t="str">
        <f t="shared" si="203"/>
        <v/>
      </c>
      <c r="SD12" s="11" t="str">
        <f t="shared" si="204"/>
        <v/>
      </c>
      <c r="SE12" s="11" t="str">
        <f t="shared" si="205"/>
        <v/>
      </c>
      <c r="SF12" s="11" t="str">
        <f t="shared" si="206"/>
        <v/>
      </c>
      <c r="SG12" s="11" t="str">
        <f t="shared" si="207"/>
        <v/>
      </c>
      <c r="SH12" s="11" t="str">
        <f t="shared" si="208"/>
        <v/>
      </c>
      <c r="SI12" s="11" t="str">
        <f t="shared" si="209"/>
        <v/>
      </c>
      <c r="SJ12" s="11" t="str">
        <f t="shared" si="210"/>
        <v/>
      </c>
      <c r="SK12" s="11" t="str">
        <f t="shared" si="211"/>
        <v/>
      </c>
      <c r="SL12" s="11" t="str">
        <f t="shared" si="212"/>
        <v/>
      </c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36" t="str">
        <f t="shared" si="213"/>
        <v/>
      </c>
      <c r="TH12" s="36" t="str">
        <f t="shared" si="214"/>
        <v/>
      </c>
      <c r="TI12" s="36" t="str">
        <f t="shared" si="215"/>
        <v/>
      </c>
      <c r="TJ12" s="36" t="str">
        <f t="shared" si="216"/>
        <v/>
      </c>
      <c r="TK12" s="36" t="str">
        <f t="shared" si="217"/>
        <v/>
      </c>
      <c r="TL12" s="36" t="str">
        <f t="shared" si="218"/>
        <v/>
      </c>
      <c r="TM12" s="36" t="str">
        <f t="shared" si="219"/>
        <v/>
      </c>
      <c r="TN12" s="36" t="str">
        <f t="shared" si="220"/>
        <v/>
      </c>
      <c r="TO12" s="36" t="str">
        <f t="shared" si="221"/>
        <v/>
      </c>
      <c r="TP12" s="36" t="str">
        <f t="shared" si="222"/>
        <v/>
      </c>
      <c r="TQ12" s="36" t="str">
        <f t="shared" si="223"/>
        <v/>
      </c>
      <c r="TR12" s="36" t="str">
        <f t="shared" si="224"/>
        <v/>
      </c>
      <c r="TS12" s="36" t="str">
        <f t="shared" si="225"/>
        <v/>
      </c>
      <c r="TT12" s="36" t="str">
        <f t="shared" si="226"/>
        <v/>
      </c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1" t="str">
        <f t="shared" si="227"/>
        <v/>
      </c>
      <c r="UP12" s="11" t="str">
        <f t="shared" si="228"/>
        <v/>
      </c>
      <c r="UQ12" s="11" t="str">
        <f t="shared" si="229"/>
        <v/>
      </c>
      <c r="UR12" s="11" t="str">
        <f t="shared" si="230"/>
        <v/>
      </c>
      <c r="US12" s="11" t="str">
        <f t="shared" si="231"/>
        <v/>
      </c>
      <c r="UT12" s="11" t="str">
        <f t="shared" si="232"/>
        <v/>
      </c>
      <c r="UU12" s="11" t="str">
        <f t="shared" si="233"/>
        <v/>
      </c>
      <c r="UV12" s="11" t="str">
        <f t="shared" si="234"/>
        <v/>
      </c>
      <c r="UW12" s="11" t="str">
        <f t="shared" si="235"/>
        <v/>
      </c>
      <c r="UX12" s="11" t="str">
        <f t="shared" si="236"/>
        <v/>
      </c>
      <c r="UY12" s="11" t="str">
        <f t="shared" si="237"/>
        <v/>
      </c>
      <c r="UZ12" s="11" t="str">
        <f t="shared" si="238"/>
        <v/>
      </c>
      <c r="VA12" s="11" t="str">
        <f t="shared" si="239"/>
        <v/>
      </c>
      <c r="VB12" s="11" t="str">
        <f t="shared" si="240"/>
        <v/>
      </c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36" t="str">
        <f t="shared" si="241"/>
        <v/>
      </c>
      <c r="VX12" s="36" t="str">
        <f t="shared" si="242"/>
        <v/>
      </c>
      <c r="VY12" s="36" t="str">
        <f t="shared" si="243"/>
        <v/>
      </c>
      <c r="VZ12" s="36" t="str">
        <f t="shared" si="244"/>
        <v/>
      </c>
      <c r="WA12" s="36" t="str">
        <f t="shared" si="245"/>
        <v/>
      </c>
      <c r="WB12" s="36" t="str">
        <f t="shared" si="246"/>
        <v/>
      </c>
      <c r="WC12" s="36" t="str">
        <f t="shared" si="247"/>
        <v/>
      </c>
      <c r="WD12" s="36" t="str">
        <f t="shared" si="248"/>
        <v/>
      </c>
      <c r="WE12" s="36" t="str">
        <f t="shared" si="249"/>
        <v/>
      </c>
      <c r="WF12" s="36" t="str">
        <f t="shared" si="250"/>
        <v/>
      </c>
      <c r="WG12" s="36" t="str">
        <f t="shared" si="251"/>
        <v/>
      </c>
      <c r="WH12" s="36" t="str">
        <f t="shared" si="252"/>
        <v/>
      </c>
      <c r="WI12" s="36" t="str">
        <f t="shared" si="253"/>
        <v/>
      </c>
      <c r="WJ12" s="36" t="str">
        <f t="shared" si="254"/>
        <v/>
      </c>
    </row>
    <row r="13" spans="1:608" x14ac:dyDescent="0.2">
      <c r="A13" s="4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>8</v>
      </c>
      <c r="B13" s="5" t="s">
        <v>169</v>
      </c>
      <c r="C13" s="4" t="s">
        <v>121</v>
      </c>
      <c r="D13" s="4" t="s">
        <v>170</v>
      </c>
      <c r="E13" s="9">
        <f t="shared" si="0"/>
        <v>46.01</v>
      </c>
      <c r="F13" s="3" t="str">
        <f t="shared" si="1"/>
        <v/>
      </c>
      <c r="G13" s="3" t="str">
        <f t="shared" si="2"/>
        <v>P</v>
      </c>
      <c r="H13" s="32" t="str">
        <f t="shared" si="3"/>
        <v>No DD</v>
      </c>
      <c r="I13" s="3" t="str">
        <f t="shared" si="4"/>
        <v/>
      </c>
      <c r="J13" s="8">
        <f t="shared" si="5"/>
        <v>0</v>
      </c>
      <c r="K13" s="8" t="str">
        <f t="shared" si="6"/>
        <v/>
      </c>
      <c r="L13" s="8">
        <f>IFERROR(LARGE((AI13,AL13,AP13,BJ13,BM13,BQ13,CK13,CN13,CR13),2),0)</f>
        <v>0</v>
      </c>
      <c r="M13" s="8" t="str">
        <f t="shared" si="7"/>
        <v/>
      </c>
      <c r="N13" s="8">
        <f t="shared" si="8"/>
        <v>46.01</v>
      </c>
      <c r="O13" s="11" t="str">
        <f t="shared" si="9"/>
        <v>(Any)</v>
      </c>
      <c r="P13" s="8" t="str">
        <f t="shared" si="10"/>
        <v>2025 WAGC (Nov 16)</v>
      </c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23"/>
      <c r="AG13" s="34" t="str">
        <f t="shared" si="11"/>
        <v/>
      </c>
      <c r="AH13" s="34" t="str">
        <f t="shared" si="12"/>
        <v/>
      </c>
      <c r="AI13" s="36" t="str">
        <f t="shared" si="13"/>
        <v/>
      </c>
      <c r="AJ13" s="36" t="str">
        <f t="shared" si="14"/>
        <v/>
      </c>
      <c r="AK13" s="36" t="str">
        <f t="shared" si="15"/>
        <v/>
      </c>
      <c r="AL13" s="36" t="str">
        <f t="shared" si="16"/>
        <v/>
      </c>
      <c r="AM13" s="36" t="str">
        <f t="shared" si="17"/>
        <v/>
      </c>
      <c r="AN13" s="36" t="str">
        <f t="shared" si="18"/>
        <v/>
      </c>
      <c r="AO13" s="36" t="str">
        <f t="shared" si="19"/>
        <v/>
      </c>
      <c r="AP13" s="36" t="str">
        <f t="shared" si="20"/>
        <v/>
      </c>
      <c r="AQ13" s="36" t="str">
        <f t="shared" si="21"/>
        <v/>
      </c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4"/>
      <c r="BH13" s="35" t="str">
        <f t="shared" si="22"/>
        <v/>
      </c>
      <c r="BI13" s="35" t="str">
        <f t="shared" si="23"/>
        <v/>
      </c>
      <c r="BJ13" s="11" t="str">
        <f t="shared" si="24"/>
        <v/>
      </c>
      <c r="BK13" s="11" t="str">
        <f t="shared" si="25"/>
        <v/>
      </c>
      <c r="BL13" s="11" t="str">
        <f t="shared" si="26"/>
        <v/>
      </c>
      <c r="BM13" s="11" t="str">
        <f t="shared" si="27"/>
        <v/>
      </c>
      <c r="BN13" s="11" t="str">
        <f t="shared" si="28"/>
        <v/>
      </c>
      <c r="BO13" s="11" t="str">
        <f t="shared" si="29"/>
        <v/>
      </c>
      <c r="BP13" s="11" t="str">
        <f t="shared" si="30"/>
        <v/>
      </c>
      <c r="BQ13" s="11" t="str">
        <f t="shared" si="31"/>
        <v/>
      </c>
      <c r="BR13" s="11" t="str">
        <f t="shared" si="32"/>
        <v/>
      </c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23"/>
      <c r="CI13" s="34" t="str">
        <f t="shared" si="33"/>
        <v/>
      </c>
      <c r="CJ13" s="34" t="str">
        <f t="shared" si="34"/>
        <v/>
      </c>
      <c r="CK13" s="36" t="str">
        <f t="shared" si="35"/>
        <v/>
      </c>
      <c r="CL13" s="36" t="str">
        <f t="shared" si="36"/>
        <v/>
      </c>
      <c r="CM13" s="36" t="str">
        <f t="shared" si="37"/>
        <v/>
      </c>
      <c r="CN13" s="36" t="str">
        <f t="shared" si="38"/>
        <v/>
      </c>
      <c r="CO13" s="36" t="str">
        <f t="shared" si="39"/>
        <v/>
      </c>
      <c r="CP13" s="36" t="str">
        <f t="shared" si="40"/>
        <v/>
      </c>
      <c r="CQ13" s="36" t="str">
        <f t="shared" si="41"/>
        <v/>
      </c>
      <c r="CR13" s="36" t="str">
        <f t="shared" si="42"/>
        <v/>
      </c>
      <c r="CS13" s="36" t="str">
        <f t="shared" si="43"/>
        <v/>
      </c>
      <c r="CT13" s="47">
        <f t="shared" si="44"/>
        <v>46.01</v>
      </c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36" t="str">
        <f t="shared" si="45"/>
        <v/>
      </c>
      <c r="DP13" s="36" t="str">
        <f t="shared" si="46"/>
        <v/>
      </c>
      <c r="DQ13" s="36" t="str">
        <f t="shared" si="47"/>
        <v/>
      </c>
      <c r="DR13" s="36" t="str">
        <f t="shared" si="48"/>
        <v/>
      </c>
      <c r="DS13" s="36" t="str">
        <f t="shared" si="49"/>
        <v/>
      </c>
      <c r="DT13" s="36" t="str">
        <f t="shared" si="50"/>
        <v/>
      </c>
      <c r="DU13" s="36" t="str">
        <f t="shared" si="51"/>
        <v/>
      </c>
      <c r="DV13" s="36" t="str">
        <f t="shared" si="52"/>
        <v/>
      </c>
      <c r="DW13" s="36" t="str">
        <f t="shared" si="53"/>
        <v/>
      </c>
      <c r="DX13" s="36" t="str">
        <f t="shared" si="54"/>
        <v/>
      </c>
      <c r="DY13" s="36" t="str">
        <f t="shared" si="55"/>
        <v/>
      </c>
      <c r="DZ13" s="36" t="str">
        <f t="shared" si="56"/>
        <v/>
      </c>
      <c r="EA13" s="36" t="str">
        <f t="shared" si="57"/>
        <v/>
      </c>
      <c r="EB13" s="36" t="str">
        <f t="shared" si="58"/>
        <v/>
      </c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1" t="str">
        <f t="shared" si="59"/>
        <v/>
      </c>
      <c r="EX13" s="11" t="str">
        <f t="shared" si="60"/>
        <v/>
      </c>
      <c r="EY13" s="11" t="str">
        <f t="shared" si="61"/>
        <v/>
      </c>
      <c r="EZ13" s="11" t="str">
        <f t="shared" si="62"/>
        <v/>
      </c>
      <c r="FA13" s="11" t="str">
        <f t="shared" si="63"/>
        <v/>
      </c>
      <c r="FB13" s="11" t="str">
        <f t="shared" si="64"/>
        <v/>
      </c>
      <c r="FC13" s="11" t="str">
        <f t="shared" si="65"/>
        <v/>
      </c>
      <c r="FD13" s="11" t="str">
        <f t="shared" si="66"/>
        <v/>
      </c>
      <c r="FE13" s="11" t="str">
        <f t="shared" si="67"/>
        <v/>
      </c>
      <c r="FF13" s="11" t="str">
        <f t="shared" si="68"/>
        <v/>
      </c>
      <c r="FG13" s="11" t="str">
        <f t="shared" si="69"/>
        <v/>
      </c>
      <c r="FH13" s="11" t="str">
        <f t="shared" si="70"/>
        <v/>
      </c>
      <c r="FI13" s="11" t="str">
        <f t="shared" si="71"/>
        <v/>
      </c>
      <c r="FJ13" s="11" t="str">
        <f t="shared" si="72"/>
        <v/>
      </c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36" t="str">
        <f t="shared" si="73"/>
        <v/>
      </c>
      <c r="GF13" s="36" t="str">
        <f t="shared" si="74"/>
        <v/>
      </c>
      <c r="GG13" s="36" t="str">
        <f t="shared" si="75"/>
        <v/>
      </c>
      <c r="GH13" s="36" t="str">
        <f t="shared" si="76"/>
        <v/>
      </c>
      <c r="GI13" s="36" t="str">
        <f t="shared" si="77"/>
        <v/>
      </c>
      <c r="GJ13" s="36" t="str">
        <f t="shared" si="78"/>
        <v/>
      </c>
      <c r="GK13" s="36" t="str">
        <f t="shared" si="79"/>
        <v/>
      </c>
      <c r="GL13" s="36" t="str">
        <f t="shared" si="80"/>
        <v/>
      </c>
      <c r="GM13" s="36" t="str">
        <f t="shared" si="81"/>
        <v/>
      </c>
      <c r="GN13" s="36" t="str">
        <f t="shared" si="82"/>
        <v/>
      </c>
      <c r="GO13" s="36" t="str">
        <f t="shared" si="83"/>
        <v/>
      </c>
      <c r="GP13" s="36" t="str">
        <f t="shared" si="84"/>
        <v/>
      </c>
      <c r="GQ13" s="36" t="str">
        <f t="shared" si="85"/>
        <v/>
      </c>
      <c r="GR13" s="36" t="str">
        <f t="shared" si="86"/>
        <v/>
      </c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1" t="str">
        <f t="shared" si="87"/>
        <v/>
      </c>
      <c r="HN13" s="11" t="str">
        <f t="shared" si="88"/>
        <v/>
      </c>
      <c r="HO13" s="11" t="str">
        <f t="shared" si="89"/>
        <v/>
      </c>
      <c r="HP13" s="11" t="str">
        <f t="shared" si="90"/>
        <v/>
      </c>
      <c r="HQ13" s="11" t="str">
        <f t="shared" si="91"/>
        <v/>
      </c>
      <c r="HR13" s="11" t="str">
        <f t="shared" si="92"/>
        <v/>
      </c>
      <c r="HS13" s="11" t="str">
        <f t="shared" si="93"/>
        <v/>
      </c>
      <c r="HT13" s="11" t="str">
        <f t="shared" si="94"/>
        <v/>
      </c>
      <c r="HU13" s="11" t="str">
        <f t="shared" si="95"/>
        <v/>
      </c>
      <c r="HV13" s="11" t="str">
        <f t="shared" si="96"/>
        <v/>
      </c>
      <c r="HW13" s="11" t="str">
        <f t="shared" si="97"/>
        <v/>
      </c>
      <c r="HX13" s="11" t="str">
        <f t="shared" si="98"/>
        <v/>
      </c>
      <c r="HY13" s="11" t="str">
        <f t="shared" si="99"/>
        <v/>
      </c>
      <c r="HZ13" s="11" t="str">
        <f t="shared" si="100"/>
        <v/>
      </c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36" t="str">
        <f t="shared" si="101"/>
        <v/>
      </c>
      <c r="IV13" s="36" t="str">
        <f t="shared" si="102"/>
        <v/>
      </c>
      <c r="IW13" s="36" t="str">
        <f t="shared" si="103"/>
        <v/>
      </c>
      <c r="IX13" s="36" t="str">
        <f t="shared" si="104"/>
        <v/>
      </c>
      <c r="IY13" s="36" t="str">
        <f t="shared" si="105"/>
        <v/>
      </c>
      <c r="IZ13" s="36" t="str">
        <f t="shared" si="106"/>
        <v/>
      </c>
      <c r="JA13" s="36" t="str">
        <f t="shared" si="107"/>
        <v/>
      </c>
      <c r="JB13" s="36" t="str">
        <f t="shared" si="108"/>
        <v/>
      </c>
      <c r="JC13" s="36" t="str">
        <f t="shared" si="109"/>
        <v/>
      </c>
      <c r="JD13" s="36" t="str">
        <f t="shared" si="110"/>
        <v/>
      </c>
      <c r="JE13" s="36" t="str">
        <f t="shared" si="111"/>
        <v/>
      </c>
      <c r="JF13" s="36" t="str">
        <f t="shared" si="112"/>
        <v/>
      </c>
      <c r="JG13" s="36" t="str">
        <f t="shared" si="113"/>
        <v/>
      </c>
      <c r="JH13" s="36" t="str">
        <f t="shared" si="114"/>
        <v/>
      </c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1" t="str">
        <f t="shared" si="115"/>
        <v/>
      </c>
      <c r="KD13" s="11" t="str">
        <f t="shared" si="116"/>
        <v/>
      </c>
      <c r="KE13" s="11" t="str">
        <f t="shared" si="117"/>
        <v/>
      </c>
      <c r="KF13" s="11" t="str">
        <f t="shared" si="118"/>
        <v/>
      </c>
      <c r="KG13" s="11" t="str">
        <f t="shared" si="119"/>
        <v/>
      </c>
      <c r="KH13" s="11" t="str">
        <f t="shared" si="120"/>
        <v/>
      </c>
      <c r="KI13" s="11" t="str">
        <f t="shared" si="121"/>
        <v/>
      </c>
      <c r="KJ13" s="11" t="str">
        <f t="shared" si="122"/>
        <v/>
      </c>
      <c r="KK13" s="11" t="str">
        <f t="shared" si="123"/>
        <v/>
      </c>
      <c r="KL13" s="11" t="str">
        <f t="shared" si="124"/>
        <v/>
      </c>
      <c r="KM13" s="11" t="str">
        <f t="shared" si="125"/>
        <v/>
      </c>
      <c r="KN13" s="11" t="str">
        <f t="shared" si="126"/>
        <v/>
      </c>
      <c r="KO13" s="11" t="str">
        <f t="shared" si="127"/>
        <v/>
      </c>
      <c r="KP13" s="11" t="str">
        <f t="shared" si="128"/>
        <v/>
      </c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36" t="str">
        <f t="shared" si="129"/>
        <v/>
      </c>
      <c r="LL13" s="36" t="str">
        <f t="shared" si="130"/>
        <v/>
      </c>
      <c r="LM13" s="36" t="str">
        <f t="shared" si="131"/>
        <v/>
      </c>
      <c r="LN13" s="36" t="str">
        <f t="shared" si="132"/>
        <v/>
      </c>
      <c r="LO13" s="36" t="str">
        <f t="shared" si="133"/>
        <v/>
      </c>
      <c r="LP13" s="36" t="str">
        <f t="shared" si="134"/>
        <v/>
      </c>
      <c r="LQ13" s="36" t="str">
        <f t="shared" si="135"/>
        <v/>
      </c>
      <c r="LR13" s="36" t="str">
        <f t="shared" si="136"/>
        <v/>
      </c>
      <c r="LS13" s="36" t="str">
        <f t="shared" si="137"/>
        <v/>
      </c>
      <c r="LT13" s="36" t="str">
        <f t="shared" si="138"/>
        <v/>
      </c>
      <c r="LU13" s="36" t="str">
        <f t="shared" si="139"/>
        <v/>
      </c>
      <c r="LV13" s="36" t="str">
        <f t="shared" si="140"/>
        <v/>
      </c>
      <c r="LW13" s="36" t="str">
        <f t="shared" si="141"/>
        <v/>
      </c>
      <c r="LX13" s="36" t="str">
        <f t="shared" si="142"/>
        <v/>
      </c>
      <c r="LY13" s="16"/>
      <c r="LZ13" s="16"/>
      <c r="MA13" s="16"/>
      <c r="MB13" s="16"/>
      <c r="MC13" s="16"/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1" t="str">
        <f t="shared" si="143"/>
        <v/>
      </c>
      <c r="MT13" s="11" t="str">
        <f t="shared" si="144"/>
        <v/>
      </c>
      <c r="MU13" s="11" t="str">
        <f t="shared" si="145"/>
        <v/>
      </c>
      <c r="MV13" s="11" t="str">
        <f t="shared" si="146"/>
        <v/>
      </c>
      <c r="MW13" s="11" t="str">
        <f t="shared" si="147"/>
        <v/>
      </c>
      <c r="MX13" s="11" t="str">
        <f t="shared" si="148"/>
        <v/>
      </c>
      <c r="MY13" s="11" t="str">
        <f t="shared" si="149"/>
        <v/>
      </c>
      <c r="MZ13" s="11" t="str">
        <f t="shared" si="150"/>
        <v/>
      </c>
      <c r="NA13" s="11" t="str">
        <f t="shared" si="151"/>
        <v/>
      </c>
      <c r="NB13" s="11" t="str">
        <f t="shared" si="152"/>
        <v/>
      </c>
      <c r="NC13" s="11" t="str">
        <f t="shared" si="153"/>
        <v/>
      </c>
      <c r="ND13" s="11" t="str">
        <f t="shared" si="154"/>
        <v/>
      </c>
      <c r="NE13" s="11" t="str">
        <f t="shared" si="155"/>
        <v/>
      </c>
      <c r="NF13" s="11" t="str">
        <f t="shared" si="156"/>
        <v/>
      </c>
      <c r="NG13" s="15">
        <v>7.6</v>
      </c>
      <c r="NH13" s="15">
        <v>9.4499999999999993</v>
      </c>
      <c r="NI13" s="15">
        <v>9.6</v>
      </c>
      <c r="NJ13" s="15">
        <v>19.36</v>
      </c>
      <c r="NK13" s="15">
        <v>0</v>
      </c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36">
        <f t="shared" si="157"/>
        <v>9.6</v>
      </c>
      <c r="OB13" s="36">
        <f t="shared" si="158"/>
        <v>19.36</v>
      </c>
      <c r="OC13" s="36">
        <f t="shared" si="159"/>
        <v>46.01</v>
      </c>
      <c r="OD13" s="36" t="str">
        <f t="shared" si="160"/>
        <v/>
      </c>
      <c r="OE13" s="36" t="str">
        <f t="shared" si="161"/>
        <v/>
      </c>
      <c r="OF13" s="36" t="str">
        <f t="shared" si="162"/>
        <v/>
      </c>
      <c r="OG13" s="36">
        <f t="shared" si="163"/>
        <v>46.01</v>
      </c>
      <c r="OH13" s="36" t="str">
        <f t="shared" si="164"/>
        <v/>
      </c>
      <c r="OI13" s="36" t="str">
        <f t="shared" si="165"/>
        <v/>
      </c>
      <c r="OJ13" s="36" t="str">
        <f t="shared" si="166"/>
        <v/>
      </c>
      <c r="OK13" s="36" t="str">
        <f t="shared" si="167"/>
        <v/>
      </c>
      <c r="OL13" s="36" t="str">
        <f t="shared" si="168"/>
        <v/>
      </c>
      <c r="OM13" s="36" t="str">
        <f t="shared" si="169"/>
        <v/>
      </c>
      <c r="ON13" s="36">
        <f t="shared" si="170"/>
        <v>46.01</v>
      </c>
      <c r="OO13" s="16"/>
      <c r="OP13" s="16"/>
      <c r="OQ13" s="16"/>
      <c r="OR13" s="16"/>
      <c r="OS13" s="16"/>
      <c r="OT13" s="16"/>
      <c r="OU13" s="16"/>
      <c r="OV13" s="16"/>
      <c r="OW13" s="16"/>
      <c r="OX13" s="16"/>
      <c r="OY13" s="16"/>
      <c r="OZ13" s="16"/>
      <c r="PA13" s="16"/>
      <c r="PB13" s="16"/>
      <c r="PC13" s="16"/>
      <c r="PD13" s="16"/>
      <c r="PE13" s="16"/>
      <c r="PF13" s="16"/>
      <c r="PG13" s="16"/>
      <c r="PH13" s="16"/>
      <c r="PI13" s="11" t="str">
        <f t="shared" si="171"/>
        <v/>
      </c>
      <c r="PJ13" s="11" t="str">
        <f t="shared" si="172"/>
        <v/>
      </c>
      <c r="PK13" s="11" t="str">
        <f t="shared" si="173"/>
        <v/>
      </c>
      <c r="PL13" s="11" t="str">
        <f t="shared" si="174"/>
        <v/>
      </c>
      <c r="PM13" s="11" t="str">
        <f t="shared" si="175"/>
        <v/>
      </c>
      <c r="PN13" s="11" t="str">
        <f t="shared" si="176"/>
        <v/>
      </c>
      <c r="PO13" s="11" t="str">
        <f t="shared" si="177"/>
        <v/>
      </c>
      <c r="PP13" s="11" t="str">
        <f t="shared" si="178"/>
        <v/>
      </c>
      <c r="PQ13" s="11" t="str">
        <f t="shared" si="179"/>
        <v/>
      </c>
      <c r="PR13" s="11" t="str">
        <f t="shared" si="180"/>
        <v/>
      </c>
      <c r="PS13" s="11" t="str">
        <f t="shared" si="181"/>
        <v/>
      </c>
      <c r="PT13" s="11" t="str">
        <f t="shared" si="182"/>
        <v/>
      </c>
      <c r="PU13" s="11" t="str">
        <f t="shared" si="183"/>
        <v/>
      </c>
      <c r="PV13" s="11" t="str">
        <f t="shared" si="184"/>
        <v/>
      </c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36" t="str">
        <f t="shared" si="185"/>
        <v/>
      </c>
      <c r="QR13" s="36" t="str">
        <f t="shared" si="186"/>
        <v/>
      </c>
      <c r="QS13" s="36" t="str">
        <f t="shared" si="187"/>
        <v/>
      </c>
      <c r="QT13" s="36" t="str">
        <f t="shared" si="188"/>
        <v/>
      </c>
      <c r="QU13" s="36" t="str">
        <f t="shared" si="189"/>
        <v/>
      </c>
      <c r="QV13" s="36" t="str">
        <f t="shared" si="190"/>
        <v/>
      </c>
      <c r="QW13" s="36" t="str">
        <f t="shared" si="191"/>
        <v/>
      </c>
      <c r="QX13" s="36" t="str">
        <f t="shared" si="192"/>
        <v/>
      </c>
      <c r="QY13" s="36" t="str">
        <f t="shared" si="193"/>
        <v/>
      </c>
      <c r="QZ13" s="36" t="str">
        <f t="shared" si="194"/>
        <v/>
      </c>
      <c r="RA13" s="36" t="str">
        <f t="shared" si="195"/>
        <v/>
      </c>
      <c r="RB13" s="36" t="str">
        <f t="shared" si="196"/>
        <v/>
      </c>
      <c r="RC13" s="36" t="str">
        <f t="shared" si="197"/>
        <v/>
      </c>
      <c r="RD13" s="36" t="str">
        <f t="shared" si="198"/>
        <v/>
      </c>
      <c r="RE13" s="16"/>
      <c r="RF13" s="16"/>
      <c r="RG13" s="16"/>
      <c r="RH13" s="16"/>
      <c r="RI13" s="16"/>
      <c r="RJ13" s="16"/>
      <c r="RK13" s="16"/>
      <c r="RL13" s="16"/>
      <c r="RM13" s="16"/>
      <c r="RN13" s="16"/>
      <c r="RO13" s="16"/>
      <c r="RP13" s="16"/>
      <c r="RQ13" s="16"/>
      <c r="RR13" s="16"/>
      <c r="RS13" s="16"/>
      <c r="RT13" s="16"/>
      <c r="RU13" s="16"/>
      <c r="RV13" s="16"/>
      <c r="RW13" s="16"/>
      <c r="RX13" s="16"/>
      <c r="RY13" s="11" t="str">
        <f t="shared" si="199"/>
        <v/>
      </c>
      <c r="RZ13" s="11" t="str">
        <f t="shared" si="200"/>
        <v/>
      </c>
      <c r="SA13" s="11" t="str">
        <f t="shared" si="201"/>
        <v/>
      </c>
      <c r="SB13" s="11" t="str">
        <f t="shared" si="202"/>
        <v/>
      </c>
      <c r="SC13" s="11" t="str">
        <f t="shared" si="203"/>
        <v/>
      </c>
      <c r="SD13" s="11" t="str">
        <f t="shared" si="204"/>
        <v/>
      </c>
      <c r="SE13" s="11" t="str">
        <f t="shared" si="205"/>
        <v/>
      </c>
      <c r="SF13" s="11" t="str">
        <f t="shared" si="206"/>
        <v/>
      </c>
      <c r="SG13" s="11" t="str">
        <f t="shared" si="207"/>
        <v/>
      </c>
      <c r="SH13" s="11" t="str">
        <f t="shared" si="208"/>
        <v/>
      </c>
      <c r="SI13" s="11" t="str">
        <f t="shared" si="209"/>
        <v/>
      </c>
      <c r="SJ13" s="11" t="str">
        <f t="shared" si="210"/>
        <v/>
      </c>
      <c r="SK13" s="11" t="str">
        <f t="shared" si="211"/>
        <v/>
      </c>
      <c r="SL13" s="11" t="str">
        <f t="shared" si="212"/>
        <v/>
      </c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36" t="str">
        <f t="shared" si="213"/>
        <v/>
      </c>
      <c r="TH13" s="36" t="str">
        <f t="shared" si="214"/>
        <v/>
      </c>
      <c r="TI13" s="36" t="str">
        <f t="shared" si="215"/>
        <v/>
      </c>
      <c r="TJ13" s="36" t="str">
        <f t="shared" si="216"/>
        <v/>
      </c>
      <c r="TK13" s="36" t="str">
        <f t="shared" si="217"/>
        <v/>
      </c>
      <c r="TL13" s="36" t="str">
        <f t="shared" si="218"/>
        <v/>
      </c>
      <c r="TM13" s="36" t="str">
        <f t="shared" si="219"/>
        <v/>
      </c>
      <c r="TN13" s="36" t="str">
        <f t="shared" si="220"/>
        <v/>
      </c>
      <c r="TO13" s="36" t="str">
        <f t="shared" si="221"/>
        <v/>
      </c>
      <c r="TP13" s="36" t="str">
        <f t="shared" si="222"/>
        <v/>
      </c>
      <c r="TQ13" s="36" t="str">
        <f t="shared" si="223"/>
        <v/>
      </c>
      <c r="TR13" s="36" t="str">
        <f t="shared" si="224"/>
        <v/>
      </c>
      <c r="TS13" s="36" t="str">
        <f t="shared" si="225"/>
        <v/>
      </c>
      <c r="TT13" s="36" t="str">
        <f t="shared" si="226"/>
        <v/>
      </c>
      <c r="TU13" s="16"/>
      <c r="TV13" s="16"/>
      <c r="TW13" s="16"/>
      <c r="TX13" s="16"/>
      <c r="TY13" s="16"/>
      <c r="TZ13" s="16"/>
      <c r="UA13" s="16"/>
      <c r="UB13" s="16"/>
      <c r="UC13" s="16"/>
      <c r="UD13" s="16"/>
      <c r="UE13" s="16"/>
      <c r="UF13" s="16"/>
      <c r="UG13" s="16"/>
      <c r="UH13" s="16"/>
      <c r="UI13" s="16"/>
      <c r="UJ13" s="16"/>
      <c r="UK13" s="16"/>
      <c r="UL13" s="16"/>
      <c r="UM13" s="16"/>
      <c r="UN13" s="16"/>
      <c r="UO13" s="11" t="str">
        <f t="shared" si="227"/>
        <v/>
      </c>
      <c r="UP13" s="11" t="str">
        <f t="shared" si="228"/>
        <v/>
      </c>
      <c r="UQ13" s="11" t="str">
        <f t="shared" si="229"/>
        <v/>
      </c>
      <c r="UR13" s="11" t="str">
        <f t="shared" si="230"/>
        <v/>
      </c>
      <c r="US13" s="11" t="str">
        <f t="shared" si="231"/>
        <v/>
      </c>
      <c r="UT13" s="11" t="str">
        <f t="shared" si="232"/>
        <v/>
      </c>
      <c r="UU13" s="11" t="str">
        <f t="shared" si="233"/>
        <v/>
      </c>
      <c r="UV13" s="11" t="str">
        <f t="shared" si="234"/>
        <v/>
      </c>
      <c r="UW13" s="11" t="str">
        <f t="shared" si="235"/>
        <v/>
      </c>
      <c r="UX13" s="11" t="str">
        <f t="shared" si="236"/>
        <v/>
      </c>
      <c r="UY13" s="11" t="str">
        <f t="shared" si="237"/>
        <v/>
      </c>
      <c r="UZ13" s="11" t="str">
        <f t="shared" si="238"/>
        <v/>
      </c>
      <c r="VA13" s="11" t="str">
        <f t="shared" si="239"/>
        <v/>
      </c>
      <c r="VB13" s="11" t="str">
        <f t="shared" si="240"/>
        <v/>
      </c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36" t="str">
        <f t="shared" si="241"/>
        <v/>
      </c>
      <c r="VX13" s="36" t="str">
        <f t="shared" si="242"/>
        <v/>
      </c>
      <c r="VY13" s="36" t="str">
        <f t="shared" si="243"/>
        <v/>
      </c>
      <c r="VZ13" s="36" t="str">
        <f t="shared" si="244"/>
        <v/>
      </c>
      <c r="WA13" s="36" t="str">
        <f t="shared" si="245"/>
        <v/>
      </c>
      <c r="WB13" s="36" t="str">
        <f t="shared" si="246"/>
        <v/>
      </c>
      <c r="WC13" s="36" t="str">
        <f t="shared" si="247"/>
        <v/>
      </c>
      <c r="WD13" s="36" t="str">
        <f t="shared" si="248"/>
        <v/>
      </c>
      <c r="WE13" s="36" t="str">
        <f t="shared" si="249"/>
        <v/>
      </c>
      <c r="WF13" s="36" t="str">
        <f t="shared" si="250"/>
        <v/>
      </c>
      <c r="WG13" s="36" t="str">
        <f t="shared" si="251"/>
        <v/>
      </c>
      <c r="WH13" s="36" t="str">
        <f t="shared" si="252"/>
        <v/>
      </c>
      <c r="WI13" s="36" t="str">
        <f t="shared" si="253"/>
        <v/>
      </c>
      <c r="WJ13" s="36" t="str">
        <f t="shared" si="254"/>
        <v/>
      </c>
    </row>
    <row r="14" spans="1:608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9</v>
      </c>
      <c r="B14" s="5" t="s">
        <v>131</v>
      </c>
      <c r="C14" s="4" t="s">
        <v>132</v>
      </c>
      <c r="D14" s="4" t="s">
        <v>133</v>
      </c>
      <c r="E14" s="9">
        <f t="shared" si="0"/>
        <v>44.92</v>
      </c>
      <c r="F14" s="3" t="str">
        <f t="shared" si="1"/>
        <v/>
      </c>
      <c r="G14" s="3" t="str">
        <f t="shared" si="2"/>
        <v>P</v>
      </c>
      <c r="H14" s="32" t="str">
        <f t="shared" si="3"/>
        <v>No DD</v>
      </c>
      <c r="I14" s="3" t="str">
        <f t="shared" si="4"/>
        <v/>
      </c>
      <c r="J14" s="8">
        <f t="shared" si="5"/>
        <v>0</v>
      </c>
      <c r="K14" s="8" t="str">
        <f t="shared" si="6"/>
        <v/>
      </c>
      <c r="L14" s="8">
        <f>IFERROR(LARGE((AI14,AL14,AP14,BJ14,BM14,BQ14,CK14,CN14,CR14),2),0)</f>
        <v>0</v>
      </c>
      <c r="M14" s="8" t="str">
        <f t="shared" si="7"/>
        <v/>
      </c>
      <c r="N14" s="8">
        <f t="shared" si="8"/>
        <v>44.92</v>
      </c>
      <c r="O14" s="11" t="str">
        <f t="shared" si="9"/>
        <v>(Any)</v>
      </c>
      <c r="P14" s="8" t="str">
        <f t="shared" si="10"/>
        <v>2025 Pan Am Championships (May 18)</v>
      </c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23"/>
      <c r="AG14" s="34" t="str">
        <f t="shared" si="11"/>
        <v/>
      </c>
      <c r="AH14" s="34" t="str">
        <f t="shared" si="12"/>
        <v/>
      </c>
      <c r="AI14" s="36" t="str">
        <f t="shared" si="13"/>
        <v/>
      </c>
      <c r="AJ14" s="36" t="str">
        <f t="shared" si="14"/>
        <v/>
      </c>
      <c r="AK14" s="36" t="str">
        <f t="shared" si="15"/>
        <v/>
      </c>
      <c r="AL14" s="36" t="str">
        <f t="shared" si="16"/>
        <v/>
      </c>
      <c r="AM14" s="36" t="str">
        <f t="shared" si="17"/>
        <v/>
      </c>
      <c r="AN14" s="36" t="str">
        <f t="shared" si="18"/>
        <v/>
      </c>
      <c r="AO14" s="36" t="str">
        <f t="shared" si="19"/>
        <v/>
      </c>
      <c r="AP14" s="36" t="str">
        <f t="shared" si="20"/>
        <v/>
      </c>
      <c r="AQ14" s="36" t="str">
        <f t="shared" si="21"/>
        <v/>
      </c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4"/>
      <c r="BH14" s="35" t="str">
        <f t="shared" si="22"/>
        <v/>
      </c>
      <c r="BI14" s="35" t="str">
        <f t="shared" si="23"/>
        <v/>
      </c>
      <c r="BJ14" s="11" t="str">
        <f t="shared" si="24"/>
        <v/>
      </c>
      <c r="BK14" s="11" t="str">
        <f t="shared" si="25"/>
        <v/>
      </c>
      <c r="BL14" s="11" t="str">
        <f t="shared" si="26"/>
        <v/>
      </c>
      <c r="BM14" s="11" t="str">
        <f t="shared" si="27"/>
        <v/>
      </c>
      <c r="BN14" s="11" t="str">
        <f t="shared" si="28"/>
        <v/>
      </c>
      <c r="BO14" s="11" t="str">
        <f t="shared" si="29"/>
        <v/>
      </c>
      <c r="BP14" s="11" t="str">
        <f t="shared" si="30"/>
        <v/>
      </c>
      <c r="BQ14" s="11" t="str">
        <f t="shared" si="31"/>
        <v/>
      </c>
      <c r="BR14" s="11" t="str">
        <f t="shared" si="32"/>
        <v/>
      </c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23"/>
      <c r="CI14" s="34" t="str">
        <f t="shared" si="33"/>
        <v/>
      </c>
      <c r="CJ14" s="34" t="str">
        <f t="shared" si="34"/>
        <v/>
      </c>
      <c r="CK14" s="36" t="str">
        <f t="shared" si="35"/>
        <v/>
      </c>
      <c r="CL14" s="36" t="str">
        <f t="shared" si="36"/>
        <v/>
      </c>
      <c r="CM14" s="36" t="str">
        <f t="shared" si="37"/>
        <v/>
      </c>
      <c r="CN14" s="36" t="str">
        <f t="shared" si="38"/>
        <v/>
      </c>
      <c r="CO14" s="36" t="str">
        <f t="shared" si="39"/>
        <v/>
      </c>
      <c r="CP14" s="36" t="str">
        <f t="shared" si="40"/>
        <v/>
      </c>
      <c r="CQ14" s="36" t="str">
        <f t="shared" si="41"/>
        <v/>
      </c>
      <c r="CR14" s="36" t="str">
        <f t="shared" si="42"/>
        <v/>
      </c>
      <c r="CS14" s="36" t="str">
        <f t="shared" si="43"/>
        <v/>
      </c>
      <c r="CT14" s="47">
        <f t="shared" si="44"/>
        <v>44.92</v>
      </c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36" t="str">
        <f t="shared" si="45"/>
        <v/>
      </c>
      <c r="DP14" s="36" t="str">
        <f t="shared" si="46"/>
        <v/>
      </c>
      <c r="DQ14" s="36" t="str">
        <f t="shared" si="47"/>
        <v/>
      </c>
      <c r="DR14" s="36" t="str">
        <f t="shared" si="48"/>
        <v/>
      </c>
      <c r="DS14" s="36" t="str">
        <f t="shared" si="49"/>
        <v/>
      </c>
      <c r="DT14" s="36" t="str">
        <f t="shared" si="50"/>
        <v/>
      </c>
      <c r="DU14" s="36" t="str">
        <f t="shared" si="51"/>
        <v/>
      </c>
      <c r="DV14" s="36" t="str">
        <f t="shared" si="52"/>
        <v/>
      </c>
      <c r="DW14" s="36" t="str">
        <f t="shared" si="53"/>
        <v/>
      </c>
      <c r="DX14" s="36" t="str">
        <f t="shared" si="54"/>
        <v/>
      </c>
      <c r="DY14" s="36" t="str">
        <f t="shared" si="55"/>
        <v/>
      </c>
      <c r="DZ14" s="36" t="str">
        <f t="shared" si="56"/>
        <v/>
      </c>
      <c r="EA14" s="36" t="str">
        <f t="shared" si="57"/>
        <v/>
      </c>
      <c r="EB14" s="36" t="str">
        <f t="shared" si="58"/>
        <v/>
      </c>
      <c r="EC14" s="16">
        <v>5.5</v>
      </c>
      <c r="ED14" s="16">
        <v>6.6</v>
      </c>
      <c r="EE14" s="16">
        <v>7.2</v>
      </c>
      <c r="EF14" s="16">
        <v>11.7</v>
      </c>
      <c r="EG14" s="16">
        <v>0</v>
      </c>
      <c r="EH14" s="16">
        <v>7.2</v>
      </c>
      <c r="EI14" s="16">
        <v>9.3000000000000007</v>
      </c>
      <c r="EJ14" s="16">
        <v>10.9</v>
      </c>
      <c r="EK14" s="16">
        <v>17.5</v>
      </c>
      <c r="EL14" s="16">
        <v>0</v>
      </c>
      <c r="EM14" s="16"/>
      <c r="EN14" s="16"/>
      <c r="EO14" s="16"/>
      <c r="EP14" s="16"/>
      <c r="EQ14" s="16"/>
      <c r="ER14" s="16">
        <v>7.55</v>
      </c>
      <c r="ES14" s="16">
        <v>9.15</v>
      </c>
      <c r="ET14" s="16">
        <v>10.9</v>
      </c>
      <c r="EU14" s="16">
        <v>17.32</v>
      </c>
      <c r="EV14" s="16">
        <v>0</v>
      </c>
      <c r="EW14" s="11">
        <f t="shared" si="59"/>
        <v>7.2</v>
      </c>
      <c r="EX14" s="11">
        <f t="shared" si="60"/>
        <v>11.7</v>
      </c>
      <c r="EY14" s="11">
        <f t="shared" si="61"/>
        <v>31</v>
      </c>
      <c r="EZ14" s="11">
        <f t="shared" si="62"/>
        <v>10.9</v>
      </c>
      <c r="FA14" s="11">
        <f t="shared" si="63"/>
        <v>17.5</v>
      </c>
      <c r="FB14" s="11">
        <f t="shared" si="64"/>
        <v>44.9</v>
      </c>
      <c r="FC14" s="11">
        <f t="shared" si="65"/>
        <v>44.9</v>
      </c>
      <c r="FD14" s="11" t="str">
        <f t="shared" si="66"/>
        <v/>
      </c>
      <c r="FE14" s="11" t="str">
        <f t="shared" si="67"/>
        <v/>
      </c>
      <c r="FF14" s="11" t="str">
        <f t="shared" si="68"/>
        <v/>
      </c>
      <c r="FG14" s="11">
        <f t="shared" si="69"/>
        <v>10.9</v>
      </c>
      <c r="FH14" s="11">
        <f t="shared" si="70"/>
        <v>17.32</v>
      </c>
      <c r="FI14" s="11">
        <f t="shared" si="71"/>
        <v>44.92</v>
      </c>
      <c r="FJ14" s="11">
        <f t="shared" si="72"/>
        <v>89.82</v>
      </c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36" t="str">
        <f t="shared" si="73"/>
        <v/>
      </c>
      <c r="GF14" s="36" t="str">
        <f t="shared" si="74"/>
        <v/>
      </c>
      <c r="GG14" s="36" t="str">
        <f t="shared" si="75"/>
        <v/>
      </c>
      <c r="GH14" s="36" t="str">
        <f t="shared" si="76"/>
        <v/>
      </c>
      <c r="GI14" s="36" t="str">
        <f t="shared" si="77"/>
        <v/>
      </c>
      <c r="GJ14" s="36" t="str">
        <f t="shared" si="78"/>
        <v/>
      </c>
      <c r="GK14" s="36" t="str">
        <f t="shared" si="79"/>
        <v/>
      </c>
      <c r="GL14" s="36" t="str">
        <f t="shared" si="80"/>
        <v/>
      </c>
      <c r="GM14" s="36" t="str">
        <f t="shared" si="81"/>
        <v/>
      </c>
      <c r="GN14" s="36" t="str">
        <f t="shared" si="82"/>
        <v/>
      </c>
      <c r="GO14" s="36" t="str">
        <f t="shared" si="83"/>
        <v/>
      </c>
      <c r="GP14" s="36" t="str">
        <f t="shared" si="84"/>
        <v/>
      </c>
      <c r="GQ14" s="36" t="str">
        <f t="shared" si="85"/>
        <v/>
      </c>
      <c r="GR14" s="36" t="str">
        <f t="shared" si="86"/>
        <v/>
      </c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1" t="str">
        <f t="shared" si="87"/>
        <v/>
      </c>
      <c r="HN14" s="11" t="str">
        <f t="shared" si="88"/>
        <v/>
      </c>
      <c r="HO14" s="11" t="str">
        <f t="shared" si="89"/>
        <v/>
      </c>
      <c r="HP14" s="11" t="str">
        <f t="shared" si="90"/>
        <v/>
      </c>
      <c r="HQ14" s="11" t="str">
        <f t="shared" si="91"/>
        <v/>
      </c>
      <c r="HR14" s="11" t="str">
        <f t="shared" si="92"/>
        <v/>
      </c>
      <c r="HS14" s="11" t="str">
        <f t="shared" si="93"/>
        <v/>
      </c>
      <c r="HT14" s="11" t="str">
        <f t="shared" si="94"/>
        <v/>
      </c>
      <c r="HU14" s="11" t="str">
        <f t="shared" si="95"/>
        <v/>
      </c>
      <c r="HV14" s="11" t="str">
        <f t="shared" si="96"/>
        <v/>
      </c>
      <c r="HW14" s="11" t="str">
        <f t="shared" si="97"/>
        <v/>
      </c>
      <c r="HX14" s="11" t="str">
        <f t="shared" si="98"/>
        <v/>
      </c>
      <c r="HY14" s="11" t="str">
        <f t="shared" si="99"/>
        <v/>
      </c>
      <c r="HZ14" s="11" t="str">
        <f t="shared" si="100"/>
        <v/>
      </c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36" t="str">
        <f t="shared" si="101"/>
        <v/>
      </c>
      <c r="IV14" s="36" t="str">
        <f t="shared" si="102"/>
        <v/>
      </c>
      <c r="IW14" s="36" t="str">
        <f t="shared" si="103"/>
        <v/>
      </c>
      <c r="IX14" s="36" t="str">
        <f t="shared" si="104"/>
        <v/>
      </c>
      <c r="IY14" s="36" t="str">
        <f t="shared" si="105"/>
        <v/>
      </c>
      <c r="IZ14" s="36" t="str">
        <f t="shared" si="106"/>
        <v/>
      </c>
      <c r="JA14" s="36" t="str">
        <f t="shared" si="107"/>
        <v/>
      </c>
      <c r="JB14" s="36" t="str">
        <f t="shared" si="108"/>
        <v/>
      </c>
      <c r="JC14" s="36" t="str">
        <f t="shared" si="109"/>
        <v/>
      </c>
      <c r="JD14" s="36" t="str">
        <f t="shared" si="110"/>
        <v/>
      </c>
      <c r="JE14" s="36" t="str">
        <f t="shared" si="111"/>
        <v/>
      </c>
      <c r="JF14" s="36" t="str">
        <f t="shared" si="112"/>
        <v/>
      </c>
      <c r="JG14" s="36" t="str">
        <f t="shared" si="113"/>
        <v/>
      </c>
      <c r="JH14" s="36" t="str">
        <f t="shared" si="114"/>
        <v/>
      </c>
      <c r="JI14" s="16"/>
      <c r="JJ14" s="16"/>
      <c r="JK14" s="16"/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1" t="str">
        <f t="shared" si="115"/>
        <v/>
      </c>
      <c r="KD14" s="11" t="str">
        <f t="shared" si="116"/>
        <v/>
      </c>
      <c r="KE14" s="11" t="str">
        <f t="shared" si="117"/>
        <v/>
      </c>
      <c r="KF14" s="11" t="str">
        <f t="shared" si="118"/>
        <v/>
      </c>
      <c r="KG14" s="11" t="str">
        <f t="shared" si="119"/>
        <v/>
      </c>
      <c r="KH14" s="11" t="str">
        <f t="shared" si="120"/>
        <v/>
      </c>
      <c r="KI14" s="11" t="str">
        <f t="shared" si="121"/>
        <v/>
      </c>
      <c r="KJ14" s="11" t="str">
        <f t="shared" si="122"/>
        <v/>
      </c>
      <c r="KK14" s="11" t="str">
        <f t="shared" si="123"/>
        <v/>
      </c>
      <c r="KL14" s="11" t="str">
        <f t="shared" si="124"/>
        <v/>
      </c>
      <c r="KM14" s="11" t="str">
        <f t="shared" si="125"/>
        <v/>
      </c>
      <c r="KN14" s="11" t="str">
        <f t="shared" si="126"/>
        <v/>
      </c>
      <c r="KO14" s="11" t="str">
        <f t="shared" si="127"/>
        <v/>
      </c>
      <c r="KP14" s="11" t="str">
        <f t="shared" si="128"/>
        <v/>
      </c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36" t="str">
        <f t="shared" si="129"/>
        <v/>
      </c>
      <c r="LL14" s="36" t="str">
        <f t="shared" si="130"/>
        <v/>
      </c>
      <c r="LM14" s="36" t="str">
        <f t="shared" si="131"/>
        <v/>
      </c>
      <c r="LN14" s="36" t="str">
        <f t="shared" si="132"/>
        <v/>
      </c>
      <c r="LO14" s="36" t="str">
        <f t="shared" si="133"/>
        <v/>
      </c>
      <c r="LP14" s="36" t="str">
        <f t="shared" si="134"/>
        <v/>
      </c>
      <c r="LQ14" s="36" t="str">
        <f t="shared" si="135"/>
        <v/>
      </c>
      <c r="LR14" s="36" t="str">
        <f t="shared" si="136"/>
        <v/>
      </c>
      <c r="LS14" s="36" t="str">
        <f t="shared" si="137"/>
        <v/>
      </c>
      <c r="LT14" s="36" t="str">
        <f t="shared" si="138"/>
        <v/>
      </c>
      <c r="LU14" s="36" t="str">
        <f t="shared" si="139"/>
        <v/>
      </c>
      <c r="LV14" s="36" t="str">
        <f t="shared" si="140"/>
        <v/>
      </c>
      <c r="LW14" s="36" t="str">
        <f t="shared" si="141"/>
        <v/>
      </c>
      <c r="LX14" s="36" t="str">
        <f t="shared" si="142"/>
        <v/>
      </c>
      <c r="LY14" s="16"/>
      <c r="LZ14" s="16"/>
      <c r="MA14" s="16"/>
      <c r="MB14" s="16"/>
      <c r="MC14" s="16"/>
      <c r="MD14" s="16"/>
      <c r="ME14" s="16"/>
      <c r="MF14" s="16"/>
      <c r="MG14" s="16"/>
      <c r="MH14" s="16"/>
      <c r="MI14" s="16"/>
      <c r="MJ14" s="16"/>
      <c r="MK14" s="16"/>
      <c r="ML14" s="16"/>
      <c r="MM14" s="16"/>
      <c r="MN14" s="16"/>
      <c r="MO14" s="16"/>
      <c r="MP14" s="16"/>
      <c r="MQ14" s="16"/>
      <c r="MR14" s="16"/>
      <c r="MS14" s="11" t="str">
        <f t="shared" si="143"/>
        <v/>
      </c>
      <c r="MT14" s="11" t="str">
        <f t="shared" si="144"/>
        <v/>
      </c>
      <c r="MU14" s="11" t="str">
        <f t="shared" si="145"/>
        <v/>
      </c>
      <c r="MV14" s="11" t="str">
        <f t="shared" si="146"/>
        <v/>
      </c>
      <c r="MW14" s="11" t="str">
        <f t="shared" si="147"/>
        <v/>
      </c>
      <c r="MX14" s="11" t="str">
        <f t="shared" si="148"/>
        <v/>
      </c>
      <c r="MY14" s="11" t="str">
        <f t="shared" si="149"/>
        <v/>
      </c>
      <c r="MZ14" s="11" t="str">
        <f t="shared" si="150"/>
        <v/>
      </c>
      <c r="NA14" s="11" t="str">
        <f t="shared" si="151"/>
        <v/>
      </c>
      <c r="NB14" s="11" t="str">
        <f t="shared" si="152"/>
        <v/>
      </c>
      <c r="NC14" s="11" t="str">
        <f t="shared" si="153"/>
        <v/>
      </c>
      <c r="ND14" s="11" t="str">
        <f t="shared" si="154"/>
        <v/>
      </c>
      <c r="NE14" s="11" t="str">
        <f t="shared" si="155"/>
        <v/>
      </c>
      <c r="NF14" s="11" t="str">
        <f t="shared" si="156"/>
        <v/>
      </c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36" t="str">
        <f t="shared" si="157"/>
        <v/>
      </c>
      <c r="OB14" s="36" t="str">
        <f t="shared" si="158"/>
        <v/>
      </c>
      <c r="OC14" s="36" t="str">
        <f t="shared" si="159"/>
        <v/>
      </c>
      <c r="OD14" s="36" t="str">
        <f t="shared" si="160"/>
        <v/>
      </c>
      <c r="OE14" s="36" t="str">
        <f t="shared" si="161"/>
        <v/>
      </c>
      <c r="OF14" s="36" t="str">
        <f t="shared" si="162"/>
        <v/>
      </c>
      <c r="OG14" s="36" t="str">
        <f t="shared" si="163"/>
        <v/>
      </c>
      <c r="OH14" s="36" t="str">
        <f t="shared" si="164"/>
        <v/>
      </c>
      <c r="OI14" s="36" t="str">
        <f t="shared" si="165"/>
        <v/>
      </c>
      <c r="OJ14" s="36" t="str">
        <f t="shared" si="166"/>
        <v/>
      </c>
      <c r="OK14" s="36" t="str">
        <f t="shared" si="167"/>
        <v/>
      </c>
      <c r="OL14" s="36" t="str">
        <f t="shared" si="168"/>
        <v/>
      </c>
      <c r="OM14" s="36" t="str">
        <f t="shared" si="169"/>
        <v/>
      </c>
      <c r="ON14" s="36" t="str">
        <f t="shared" si="170"/>
        <v/>
      </c>
      <c r="OO14" s="16"/>
      <c r="OP14" s="16"/>
      <c r="OQ14" s="16"/>
      <c r="OR14" s="16"/>
      <c r="OS14" s="16"/>
      <c r="OT14" s="16"/>
      <c r="OU14" s="16"/>
      <c r="OV14" s="16"/>
      <c r="OW14" s="16"/>
      <c r="OX14" s="16"/>
      <c r="OY14" s="16"/>
      <c r="OZ14" s="16"/>
      <c r="PA14" s="16"/>
      <c r="PB14" s="16"/>
      <c r="PC14" s="16"/>
      <c r="PD14" s="16"/>
      <c r="PE14" s="16"/>
      <c r="PF14" s="16"/>
      <c r="PG14" s="16"/>
      <c r="PH14" s="16"/>
      <c r="PI14" s="11" t="str">
        <f t="shared" si="171"/>
        <v/>
      </c>
      <c r="PJ14" s="11" t="str">
        <f t="shared" si="172"/>
        <v/>
      </c>
      <c r="PK14" s="11" t="str">
        <f t="shared" si="173"/>
        <v/>
      </c>
      <c r="PL14" s="11" t="str">
        <f t="shared" si="174"/>
        <v/>
      </c>
      <c r="PM14" s="11" t="str">
        <f t="shared" si="175"/>
        <v/>
      </c>
      <c r="PN14" s="11" t="str">
        <f t="shared" si="176"/>
        <v/>
      </c>
      <c r="PO14" s="11" t="str">
        <f t="shared" si="177"/>
        <v/>
      </c>
      <c r="PP14" s="11" t="str">
        <f t="shared" si="178"/>
        <v/>
      </c>
      <c r="PQ14" s="11" t="str">
        <f t="shared" si="179"/>
        <v/>
      </c>
      <c r="PR14" s="11" t="str">
        <f t="shared" si="180"/>
        <v/>
      </c>
      <c r="PS14" s="11" t="str">
        <f t="shared" si="181"/>
        <v/>
      </c>
      <c r="PT14" s="11" t="str">
        <f t="shared" si="182"/>
        <v/>
      </c>
      <c r="PU14" s="11" t="str">
        <f t="shared" si="183"/>
        <v/>
      </c>
      <c r="PV14" s="11" t="str">
        <f t="shared" si="184"/>
        <v/>
      </c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36" t="str">
        <f t="shared" si="185"/>
        <v/>
      </c>
      <c r="QR14" s="36" t="str">
        <f t="shared" si="186"/>
        <v/>
      </c>
      <c r="QS14" s="36" t="str">
        <f t="shared" si="187"/>
        <v/>
      </c>
      <c r="QT14" s="36" t="str">
        <f t="shared" si="188"/>
        <v/>
      </c>
      <c r="QU14" s="36" t="str">
        <f t="shared" si="189"/>
        <v/>
      </c>
      <c r="QV14" s="36" t="str">
        <f t="shared" si="190"/>
        <v/>
      </c>
      <c r="QW14" s="36" t="str">
        <f t="shared" si="191"/>
        <v/>
      </c>
      <c r="QX14" s="36" t="str">
        <f t="shared" si="192"/>
        <v/>
      </c>
      <c r="QY14" s="36" t="str">
        <f t="shared" si="193"/>
        <v/>
      </c>
      <c r="QZ14" s="36" t="str">
        <f t="shared" si="194"/>
        <v/>
      </c>
      <c r="RA14" s="36" t="str">
        <f t="shared" si="195"/>
        <v/>
      </c>
      <c r="RB14" s="36" t="str">
        <f t="shared" si="196"/>
        <v/>
      </c>
      <c r="RC14" s="36" t="str">
        <f t="shared" si="197"/>
        <v/>
      </c>
      <c r="RD14" s="36" t="str">
        <f t="shared" si="198"/>
        <v/>
      </c>
      <c r="RE14" s="16"/>
      <c r="RF14" s="16"/>
      <c r="RG14" s="16"/>
      <c r="RH14" s="16"/>
      <c r="RI14" s="16"/>
      <c r="RJ14" s="16"/>
      <c r="RK14" s="16"/>
      <c r="RL14" s="16"/>
      <c r="RM14" s="16"/>
      <c r="RN14" s="16"/>
      <c r="RO14" s="16"/>
      <c r="RP14" s="16"/>
      <c r="RQ14" s="16"/>
      <c r="RR14" s="16"/>
      <c r="RS14" s="16"/>
      <c r="RT14" s="16"/>
      <c r="RU14" s="16"/>
      <c r="RV14" s="16"/>
      <c r="RW14" s="16"/>
      <c r="RX14" s="16"/>
      <c r="RY14" s="11" t="str">
        <f t="shared" si="199"/>
        <v/>
      </c>
      <c r="RZ14" s="11" t="str">
        <f t="shared" si="200"/>
        <v/>
      </c>
      <c r="SA14" s="11" t="str">
        <f t="shared" si="201"/>
        <v/>
      </c>
      <c r="SB14" s="11" t="str">
        <f t="shared" si="202"/>
        <v/>
      </c>
      <c r="SC14" s="11" t="str">
        <f t="shared" si="203"/>
        <v/>
      </c>
      <c r="SD14" s="11" t="str">
        <f t="shared" si="204"/>
        <v/>
      </c>
      <c r="SE14" s="11" t="str">
        <f t="shared" si="205"/>
        <v/>
      </c>
      <c r="SF14" s="11" t="str">
        <f t="shared" si="206"/>
        <v/>
      </c>
      <c r="SG14" s="11" t="str">
        <f t="shared" si="207"/>
        <v/>
      </c>
      <c r="SH14" s="11" t="str">
        <f t="shared" si="208"/>
        <v/>
      </c>
      <c r="SI14" s="11" t="str">
        <f t="shared" si="209"/>
        <v/>
      </c>
      <c r="SJ14" s="11" t="str">
        <f t="shared" si="210"/>
        <v/>
      </c>
      <c r="SK14" s="11" t="str">
        <f t="shared" si="211"/>
        <v/>
      </c>
      <c r="SL14" s="11" t="str">
        <f t="shared" si="212"/>
        <v/>
      </c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36" t="str">
        <f t="shared" si="213"/>
        <v/>
      </c>
      <c r="TH14" s="36" t="str">
        <f t="shared" si="214"/>
        <v/>
      </c>
      <c r="TI14" s="36" t="str">
        <f t="shared" si="215"/>
        <v/>
      </c>
      <c r="TJ14" s="36" t="str">
        <f t="shared" si="216"/>
        <v/>
      </c>
      <c r="TK14" s="36" t="str">
        <f t="shared" si="217"/>
        <v/>
      </c>
      <c r="TL14" s="36" t="str">
        <f t="shared" si="218"/>
        <v/>
      </c>
      <c r="TM14" s="36" t="str">
        <f t="shared" si="219"/>
        <v/>
      </c>
      <c r="TN14" s="36" t="str">
        <f t="shared" si="220"/>
        <v/>
      </c>
      <c r="TO14" s="36" t="str">
        <f t="shared" si="221"/>
        <v/>
      </c>
      <c r="TP14" s="36" t="str">
        <f t="shared" si="222"/>
        <v/>
      </c>
      <c r="TQ14" s="36" t="str">
        <f t="shared" si="223"/>
        <v/>
      </c>
      <c r="TR14" s="36" t="str">
        <f t="shared" si="224"/>
        <v/>
      </c>
      <c r="TS14" s="36" t="str">
        <f t="shared" si="225"/>
        <v/>
      </c>
      <c r="TT14" s="36" t="str">
        <f t="shared" si="226"/>
        <v/>
      </c>
      <c r="TU14" s="16"/>
      <c r="TV14" s="16"/>
      <c r="TW14" s="16"/>
      <c r="TX14" s="16"/>
      <c r="TY14" s="16"/>
      <c r="TZ14" s="16"/>
      <c r="UA14" s="16"/>
      <c r="UB14" s="16"/>
      <c r="UC14" s="16"/>
      <c r="UD14" s="16"/>
      <c r="UE14" s="16"/>
      <c r="UF14" s="16"/>
      <c r="UG14" s="16"/>
      <c r="UH14" s="16"/>
      <c r="UI14" s="16"/>
      <c r="UJ14" s="16"/>
      <c r="UK14" s="16"/>
      <c r="UL14" s="16"/>
      <c r="UM14" s="16"/>
      <c r="UN14" s="16"/>
      <c r="UO14" s="11" t="str">
        <f t="shared" si="227"/>
        <v/>
      </c>
      <c r="UP14" s="11" t="str">
        <f t="shared" si="228"/>
        <v/>
      </c>
      <c r="UQ14" s="11" t="str">
        <f t="shared" si="229"/>
        <v/>
      </c>
      <c r="UR14" s="11" t="str">
        <f t="shared" si="230"/>
        <v/>
      </c>
      <c r="US14" s="11" t="str">
        <f t="shared" si="231"/>
        <v/>
      </c>
      <c r="UT14" s="11" t="str">
        <f t="shared" si="232"/>
        <v/>
      </c>
      <c r="UU14" s="11" t="str">
        <f t="shared" si="233"/>
        <v/>
      </c>
      <c r="UV14" s="11" t="str">
        <f t="shared" si="234"/>
        <v/>
      </c>
      <c r="UW14" s="11" t="str">
        <f t="shared" si="235"/>
        <v/>
      </c>
      <c r="UX14" s="11" t="str">
        <f t="shared" si="236"/>
        <v/>
      </c>
      <c r="UY14" s="11" t="str">
        <f t="shared" si="237"/>
        <v/>
      </c>
      <c r="UZ14" s="11" t="str">
        <f t="shared" si="238"/>
        <v/>
      </c>
      <c r="VA14" s="11" t="str">
        <f t="shared" si="239"/>
        <v/>
      </c>
      <c r="VB14" s="11" t="str">
        <f t="shared" si="240"/>
        <v/>
      </c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36" t="str">
        <f t="shared" si="241"/>
        <v/>
      </c>
      <c r="VX14" s="36" t="str">
        <f t="shared" si="242"/>
        <v/>
      </c>
      <c r="VY14" s="36" t="str">
        <f t="shared" si="243"/>
        <v/>
      </c>
      <c r="VZ14" s="36" t="str">
        <f t="shared" si="244"/>
        <v/>
      </c>
      <c r="WA14" s="36" t="str">
        <f t="shared" si="245"/>
        <v/>
      </c>
      <c r="WB14" s="36" t="str">
        <f t="shared" si="246"/>
        <v/>
      </c>
      <c r="WC14" s="36" t="str">
        <f t="shared" si="247"/>
        <v/>
      </c>
      <c r="WD14" s="36" t="str">
        <f t="shared" si="248"/>
        <v/>
      </c>
      <c r="WE14" s="36" t="str">
        <f t="shared" si="249"/>
        <v/>
      </c>
      <c r="WF14" s="36" t="str">
        <f t="shared" si="250"/>
        <v/>
      </c>
      <c r="WG14" s="36" t="str">
        <f t="shared" si="251"/>
        <v/>
      </c>
      <c r="WH14" s="36" t="str">
        <f t="shared" si="252"/>
        <v/>
      </c>
      <c r="WI14" s="36" t="str">
        <f t="shared" si="253"/>
        <v/>
      </c>
      <c r="WJ14" s="36" t="str">
        <f t="shared" si="254"/>
        <v/>
      </c>
    </row>
    <row r="15" spans="1:608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83</v>
      </c>
      <c r="C15" s="4" t="s">
        <v>5</v>
      </c>
      <c r="D15" s="4" t="s">
        <v>82</v>
      </c>
      <c r="E15" s="9">
        <f t="shared" si="0"/>
        <v>39.440003944003024</v>
      </c>
      <c r="F15" s="3" t="str">
        <f t="shared" si="1"/>
        <v/>
      </c>
      <c r="G15" s="3" t="str">
        <f t="shared" si="2"/>
        <v/>
      </c>
      <c r="H15" s="32" t="str">
        <f t="shared" si="3"/>
        <v/>
      </c>
      <c r="I15" s="3" t="str">
        <f t="shared" si="4"/>
        <v/>
      </c>
      <c r="J15" s="8">
        <f t="shared" si="5"/>
        <v>30.29</v>
      </c>
      <c r="K15" s="8" t="str">
        <f t="shared" si="6"/>
        <v>2025 Nationals</v>
      </c>
      <c r="L15" s="8">
        <f>IFERROR(LARGE((AI15,AL15,AP15,BJ15,BM15,BQ15,CK15,CN15,CR15),2),0)</f>
        <v>9.15</v>
      </c>
      <c r="M15" s="8" t="str">
        <f t="shared" si="7"/>
        <v>2025 Nationals</v>
      </c>
      <c r="N15" s="8">
        <f t="shared" si="8"/>
        <v>0</v>
      </c>
      <c r="O15" s="11" t="str">
        <f t="shared" si="9"/>
        <v/>
      </c>
      <c r="P15" s="8" t="str">
        <f t="shared" si="10"/>
        <v/>
      </c>
      <c r="Q15" s="18">
        <v>1.49</v>
      </c>
      <c r="R15" s="18">
        <v>1.9</v>
      </c>
      <c r="S15" s="18">
        <v>2.1</v>
      </c>
      <c r="T15" s="18">
        <v>3.66</v>
      </c>
      <c r="U15" s="18">
        <v>0</v>
      </c>
      <c r="V15" s="18">
        <v>5.0999999999999996</v>
      </c>
      <c r="W15" s="18">
        <v>6.55</v>
      </c>
      <c r="X15" s="18">
        <v>7.8</v>
      </c>
      <c r="Y15" s="18">
        <v>10.84</v>
      </c>
      <c r="Z15" s="18">
        <v>0</v>
      </c>
      <c r="AA15" s="18">
        <v>0.73</v>
      </c>
      <c r="AB15" s="18">
        <v>1</v>
      </c>
      <c r="AC15" s="18">
        <v>1.5</v>
      </c>
      <c r="AD15" s="18">
        <v>1.7</v>
      </c>
      <c r="AE15" s="18">
        <v>0</v>
      </c>
      <c r="AF15" s="23"/>
      <c r="AG15" s="34">
        <f t="shared" si="11"/>
        <v>2.1</v>
      </c>
      <c r="AH15" s="34">
        <f t="shared" si="12"/>
        <v>3.66</v>
      </c>
      <c r="AI15" s="36">
        <f t="shared" si="13"/>
        <v>9.15</v>
      </c>
      <c r="AJ15" s="36">
        <f t="shared" si="14"/>
        <v>7.8</v>
      </c>
      <c r="AK15" s="36">
        <f t="shared" si="15"/>
        <v>10.84</v>
      </c>
      <c r="AL15" s="36">
        <f t="shared" si="16"/>
        <v>30.29</v>
      </c>
      <c r="AM15" s="36">
        <f t="shared" si="17"/>
        <v>30.29</v>
      </c>
      <c r="AN15" s="36">
        <f t="shared" si="18"/>
        <v>1.5</v>
      </c>
      <c r="AO15" s="36">
        <f t="shared" si="19"/>
        <v>1.7</v>
      </c>
      <c r="AP15" s="36">
        <f t="shared" si="20"/>
        <v>4.93</v>
      </c>
      <c r="AQ15" s="36">
        <f t="shared" si="21"/>
        <v>35.22</v>
      </c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4"/>
      <c r="BH15" s="35" t="str">
        <f t="shared" si="22"/>
        <v/>
      </c>
      <c r="BI15" s="35" t="str">
        <f t="shared" si="23"/>
        <v/>
      </c>
      <c r="BJ15" s="11" t="str">
        <f t="shared" si="24"/>
        <v/>
      </c>
      <c r="BK15" s="11" t="str">
        <f t="shared" si="25"/>
        <v/>
      </c>
      <c r="BL15" s="11" t="str">
        <f t="shared" si="26"/>
        <v/>
      </c>
      <c r="BM15" s="11" t="str">
        <f t="shared" si="27"/>
        <v/>
      </c>
      <c r="BN15" s="11" t="str">
        <f t="shared" si="28"/>
        <v/>
      </c>
      <c r="BO15" s="11" t="str">
        <f t="shared" si="29"/>
        <v/>
      </c>
      <c r="BP15" s="11" t="str">
        <f t="shared" si="30"/>
        <v/>
      </c>
      <c r="BQ15" s="11" t="str">
        <f t="shared" si="31"/>
        <v/>
      </c>
      <c r="BR15" s="11" t="str">
        <f t="shared" si="32"/>
        <v/>
      </c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23"/>
      <c r="CI15" s="34" t="str">
        <f t="shared" si="33"/>
        <v/>
      </c>
      <c r="CJ15" s="34" t="str">
        <f t="shared" si="34"/>
        <v/>
      </c>
      <c r="CK15" s="36" t="str">
        <f t="shared" si="35"/>
        <v/>
      </c>
      <c r="CL15" s="36" t="str">
        <f t="shared" si="36"/>
        <v/>
      </c>
      <c r="CM15" s="36" t="str">
        <f t="shared" si="37"/>
        <v/>
      </c>
      <c r="CN15" s="36" t="str">
        <f t="shared" si="38"/>
        <v/>
      </c>
      <c r="CO15" s="36" t="str">
        <f t="shared" si="39"/>
        <v/>
      </c>
      <c r="CP15" s="36" t="str">
        <f t="shared" si="40"/>
        <v/>
      </c>
      <c r="CQ15" s="36" t="str">
        <f t="shared" si="41"/>
        <v/>
      </c>
      <c r="CR15" s="36" t="str">
        <f t="shared" si="42"/>
        <v/>
      </c>
      <c r="CS15" s="36" t="str">
        <f t="shared" si="43"/>
        <v/>
      </c>
      <c r="CT15" s="47" t="str">
        <f t="shared" si="44"/>
        <v/>
      </c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36" t="str">
        <f t="shared" si="45"/>
        <v/>
      </c>
      <c r="DP15" s="36" t="str">
        <f t="shared" si="46"/>
        <v/>
      </c>
      <c r="DQ15" s="36" t="str">
        <f t="shared" si="47"/>
        <v/>
      </c>
      <c r="DR15" s="36" t="str">
        <f t="shared" si="48"/>
        <v/>
      </c>
      <c r="DS15" s="36" t="str">
        <f t="shared" si="49"/>
        <v/>
      </c>
      <c r="DT15" s="36" t="str">
        <f t="shared" si="50"/>
        <v/>
      </c>
      <c r="DU15" s="36" t="str">
        <f t="shared" si="51"/>
        <v/>
      </c>
      <c r="DV15" s="36" t="str">
        <f t="shared" si="52"/>
        <v/>
      </c>
      <c r="DW15" s="36" t="str">
        <f t="shared" si="53"/>
        <v/>
      </c>
      <c r="DX15" s="36" t="str">
        <f t="shared" si="54"/>
        <v/>
      </c>
      <c r="DY15" s="36" t="str">
        <f t="shared" si="55"/>
        <v/>
      </c>
      <c r="DZ15" s="36" t="str">
        <f t="shared" si="56"/>
        <v/>
      </c>
      <c r="EA15" s="36" t="str">
        <f t="shared" si="57"/>
        <v/>
      </c>
      <c r="EB15" s="36" t="str">
        <f t="shared" si="58"/>
        <v/>
      </c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1" t="str">
        <f t="shared" si="59"/>
        <v/>
      </c>
      <c r="EX15" s="11" t="str">
        <f t="shared" si="60"/>
        <v/>
      </c>
      <c r="EY15" s="11" t="str">
        <f t="shared" si="61"/>
        <v/>
      </c>
      <c r="EZ15" s="11" t="str">
        <f t="shared" si="62"/>
        <v/>
      </c>
      <c r="FA15" s="11" t="str">
        <f t="shared" si="63"/>
        <v/>
      </c>
      <c r="FB15" s="11" t="str">
        <f t="shared" si="64"/>
        <v/>
      </c>
      <c r="FC15" s="11" t="str">
        <f t="shared" si="65"/>
        <v/>
      </c>
      <c r="FD15" s="11" t="str">
        <f t="shared" si="66"/>
        <v/>
      </c>
      <c r="FE15" s="11" t="str">
        <f t="shared" si="67"/>
        <v/>
      </c>
      <c r="FF15" s="11" t="str">
        <f t="shared" si="68"/>
        <v/>
      </c>
      <c r="FG15" s="11" t="str">
        <f t="shared" si="69"/>
        <v/>
      </c>
      <c r="FH15" s="11" t="str">
        <f t="shared" si="70"/>
        <v/>
      </c>
      <c r="FI15" s="11" t="str">
        <f t="shared" si="71"/>
        <v/>
      </c>
      <c r="FJ15" s="11" t="str">
        <f t="shared" si="72"/>
        <v/>
      </c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36" t="str">
        <f t="shared" si="73"/>
        <v/>
      </c>
      <c r="GF15" s="36" t="str">
        <f t="shared" si="74"/>
        <v/>
      </c>
      <c r="GG15" s="36" t="str">
        <f t="shared" si="75"/>
        <v/>
      </c>
      <c r="GH15" s="36" t="str">
        <f t="shared" si="76"/>
        <v/>
      </c>
      <c r="GI15" s="36" t="str">
        <f t="shared" si="77"/>
        <v/>
      </c>
      <c r="GJ15" s="36" t="str">
        <f t="shared" si="78"/>
        <v/>
      </c>
      <c r="GK15" s="36" t="str">
        <f t="shared" si="79"/>
        <v/>
      </c>
      <c r="GL15" s="36" t="str">
        <f t="shared" si="80"/>
        <v/>
      </c>
      <c r="GM15" s="36" t="str">
        <f t="shared" si="81"/>
        <v/>
      </c>
      <c r="GN15" s="36" t="str">
        <f t="shared" si="82"/>
        <v/>
      </c>
      <c r="GO15" s="36" t="str">
        <f t="shared" si="83"/>
        <v/>
      </c>
      <c r="GP15" s="36" t="str">
        <f t="shared" si="84"/>
        <v/>
      </c>
      <c r="GQ15" s="36" t="str">
        <f t="shared" si="85"/>
        <v/>
      </c>
      <c r="GR15" s="36" t="str">
        <f t="shared" si="86"/>
        <v/>
      </c>
      <c r="GS15" s="16"/>
      <c r="GT15" s="16"/>
      <c r="GU15" s="16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1" t="str">
        <f t="shared" si="87"/>
        <v/>
      </c>
      <c r="HN15" s="11" t="str">
        <f t="shared" si="88"/>
        <v/>
      </c>
      <c r="HO15" s="11" t="str">
        <f t="shared" si="89"/>
        <v/>
      </c>
      <c r="HP15" s="11" t="str">
        <f t="shared" si="90"/>
        <v/>
      </c>
      <c r="HQ15" s="11" t="str">
        <f t="shared" si="91"/>
        <v/>
      </c>
      <c r="HR15" s="11" t="str">
        <f t="shared" si="92"/>
        <v/>
      </c>
      <c r="HS15" s="11" t="str">
        <f t="shared" si="93"/>
        <v/>
      </c>
      <c r="HT15" s="11" t="str">
        <f t="shared" si="94"/>
        <v/>
      </c>
      <c r="HU15" s="11" t="str">
        <f t="shared" si="95"/>
        <v/>
      </c>
      <c r="HV15" s="11" t="str">
        <f t="shared" si="96"/>
        <v/>
      </c>
      <c r="HW15" s="11" t="str">
        <f t="shared" si="97"/>
        <v/>
      </c>
      <c r="HX15" s="11" t="str">
        <f t="shared" si="98"/>
        <v/>
      </c>
      <c r="HY15" s="11" t="str">
        <f t="shared" si="99"/>
        <v/>
      </c>
      <c r="HZ15" s="11" t="str">
        <f t="shared" si="100"/>
        <v/>
      </c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36" t="str">
        <f t="shared" si="101"/>
        <v/>
      </c>
      <c r="IV15" s="36" t="str">
        <f t="shared" si="102"/>
        <v/>
      </c>
      <c r="IW15" s="36" t="str">
        <f t="shared" si="103"/>
        <v/>
      </c>
      <c r="IX15" s="36" t="str">
        <f t="shared" si="104"/>
        <v/>
      </c>
      <c r="IY15" s="36" t="str">
        <f t="shared" si="105"/>
        <v/>
      </c>
      <c r="IZ15" s="36" t="str">
        <f t="shared" si="106"/>
        <v/>
      </c>
      <c r="JA15" s="36" t="str">
        <f t="shared" si="107"/>
        <v/>
      </c>
      <c r="JB15" s="36" t="str">
        <f t="shared" si="108"/>
        <v/>
      </c>
      <c r="JC15" s="36" t="str">
        <f t="shared" si="109"/>
        <v/>
      </c>
      <c r="JD15" s="36" t="str">
        <f t="shared" si="110"/>
        <v/>
      </c>
      <c r="JE15" s="36" t="str">
        <f t="shared" si="111"/>
        <v/>
      </c>
      <c r="JF15" s="36" t="str">
        <f t="shared" si="112"/>
        <v/>
      </c>
      <c r="JG15" s="36" t="str">
        <f t="shared" si="113"/>
        <v/>
      </c>
      <c r="JH15" s="36" t="str">
        <f t="shared" si="114"/>
        <v/>
      </c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16"/>
      <c r="JX15" s="16"/>
      <c r="JY15" s="16"/>
      <c r="JZ15" s="16"/>
      <c r="KA15" s="16"/>
      <c r="KB15" s="16"/>
      <c r="KC15" s="11" t="str">
        <f t="shared" si="115"/>
        <v/>
      </c>
      <c r="KD15" s="11" t="str">
        <f t="shared" si="116"/>
        <v/>
      </c>
      <c r="KE15" s="11" t="str">
        <f t="shared" si="117"/>
        <v/>
      </c>
      <c r="KF15" s="11" t="str">
        <f t="shared" si="118"/>
        <v/>
      </c>
      <c r="KG15" s="11" t="str">
        <f t="shared" si="119"/>
        <v/>
      </c>
      <c r="KH15" s="11" t="str">
        <f t="shared" si="120"/>
        <v/>
      </c>
      <c r="KI15" s="11" t="str">
        <f t="shared" si="121"/>
        <v/>
      </c>
      <c r="KJ15" s="11" t="str">
        <f t="shared" si="122"/>
        <v/>
      </c>
      <c r="KK15" s="11" t="str">
        <f t="shared" si="123"/>
        <v/>
      </c>
      <c r="KL15" s="11" t="str">
        <f t="shared" si="124"/>
        <v/>
      </c>
      <c r="KM15" s="11" t="str">
        <f t="shared" si="125"/>
        <v/>
      </c>
      <c r="KN15" s="11" t="str">
        <f t="shared" si="126"/>
        <v/>
      </c>
      <c r="KO15" s="11" t="str">
        <f t="shared" si="127"/>
        <v/>
      </c>
      <c r="KP15" s="11" t="str">
        <f t="shared" si="128"/>
        <v/>
      </c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36" t="str">
        <f t="shared" si="129"/>
        <v/>
      </c>
      <c r="LL15" s="36" t="str">
        <f t="shared" si="130"/>
        <v/>
      </c>
      <c r="LM15" s="36" t="str">
        <f t="shared" si="131"/>
        <v/>
      </c>
      <c r="LN15" s="36" t="str">
        <f t="shared" si="132"/>
        <v/>
      </c>
      <c r="LO15" s="36" t="str">
        <f t="shared" si="133"/>
        <v/>
      </c>
      <c r="LP15" s="36" t="str">
        <f t="shared" si="134"/>
        <v/>
      </c>
      <c r="LQ15" s="36" t="str">
        <f t="shared" si="135"/>
        <v/>
      </c>
      <c r="LR15" s="36" t="str">
        <f t="shared" si="136"/>
        <v/>
      </c>
      <c r="LS15" s="36" t="str">
        <f t="shared" si="137"/>
        <v/>
      </c>
      <c r="LT15" s="36" t="str">
        <f t="shared" si="138"/>
        <v/>
      </c>
      <c r="LU15" s="36" t="str">
        <f t="shared" si="139"/>
        <v/>
      </c>
      <c r="LV15" s="36" t="str">
        <f t="shared" si="140"/>
        <v/>
      </c>
      <c r="LW15" s="36" t="str">
        <f t="shared" si="141"/>
        <v/>
      </c>
      <c r="LX15" s="36" t="str">
        <f t="shared" si="142"/>
        <v/>
      </c>
      <c r="LY15" s="16"/>
      <c r="LZ15" s="16"/>
      <c r="MA15" s="16"/>
      <c r="MB15" s="16"/>
      <c r="MC15" s="16"/>
      <c r="MD15" s="16"/>
      <c r="ME15" s="16"/>
      <c r="MF15" s="16"/>
      <c r="MG15" s="16"/>
      <c r="MH15" s="16"/>
      <c r="MI15" s="16"/>
      <c r="MJ15" s="16"/>
      <c r="MK15" s="16"/>
      <c r="ML15" s="16"/>
      <c r="MM15" s="16"/>
      <c r="MN15" s="16"/>
      <c r="MO15" s="16"/>
      <c r="MP15" s="16"/>
      <c r="MQ15" s="16"/>
      <c r="MR15" s="16"/>
      <c r="MS15" s="11" t="str">
        <f t="shared" si="143"/>
        <v/>
      </c>
      <c r="MT15" s="11" t="str">
        <f t="shared" si="144"/>
        <v/>
      </c>
      <c r="MU15" s="11" t="str">
        <f t="shared" si="145"/>
        <v/>
      </c>
      <c r="MV15" s="11" t="str">
        <f t="shared" si="146"/>
        <v/>
      </c>
      <c r="MW15" s="11" t="str">
        <f t="shared" si="147"/>
        <v/>
      </c>
      <c r="MX15" s="11" t="str">
        <f t="shared" si="148"/>
        <v/>
      </c>
      <c r="MY15" s="11" t="str">
        <f t="shared" si="149"/>
        <v/>
      </c>
      <c r="MZ15" s="11" t="str">
        <f t="shared" si="150"/>
        <v/>
      </c>
      <c r="NA15" s="11" t="str">
        <f t="shared" si="151"/>
        <v/>
      </c>
      <c r="NB15" s="11" t="str">
        <f t="shared" si="152"/>
        <v/>
      </c>
      <c r="NC15" s="11" t="str">
        <f t="shared" si="153"/>
        <v/>
      </c>
      <c r="ND15" s="11" t="str">
        <f t="shared" si="154"/>
        <v/>
      </c>
      <c r="NE15" s="11" t="str">
        <f t="shared" si="155"/>
        <v/>
      </c>
      <c r="NF15" s="11" t="str">
        <f t="shared" si="156"/>
        <v/>
      </c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36" t="str">
        <f t="shared" si="157"/>
        <v/>
      </c>
      <c r="OB15" s="36" t="str">
        <f t="shared" si="158"/>
        <v/>
      </c>
      <c r="OC15" s="36" t="str">
        <f t="shared" si="159"/>
        <v/>
      </c>
      <c r="OD15" s="36" t="str">
        <f t="shared" si="160"/>
        <v/>
      </c>
      <c r="OE15" s="36" t="str">
        <f t="shared" si="161"/>
        <v/>
      </c>
      <c r="OF15" s="36" t="str">
        <f t="shared" si="162"/>
        <v/>
      </c>
      <c r="OG15" s="36" t="str">
        <f t="shared" si="163"/>
        <v/>
      </c>
      <c r="OH15" s="36" t="str">
        <f t="shared" si="164"/>
        <v/>
      </c>
      <c r="OI15" s="36" t="str">
        <f t="shared" si="165"/>
        <v/>
      </c>
      <c r="OJ15" s="36" t="str">
        <f t="shared" si="166"/>
        <v/>
      </c>
      <c r="OK15" s="36" t="str">
        <f t="shared" si="167"/>
        <v/>
      </c>
      <c r="OL15" s="36" t="str">
        <f t="shared" si="168"/>
        <v/>
      </c>
      <c r="OM15" s="36" t="str">
        <f t="shared" si="169"/>
        <v/>
      </c>
      <c r="ON15" s="36" t="str">
        <f t="shared" si="170"/>
        <v/>
      </c>
      <c r="OO15" s="16"/>
      <c r="OP15" s="16"/>
      <c r="OQ15" s="16"/>
      <c r="OR15" s="16"/>
      <c r="OS15" s="16"/>
      <c r="OT15" s="16"/>
      <c r="OU15" s="16"/>
      <c r="OV15" s="16"/>
      <c r="OW15" s="16"/>
      <c r="OX15" s="16"/>
      <c r="OY15" s="16"/>
      <c r="OZ15" s="16"/>
      <c r="PA15" s="16"/>
      <c r="PB15" s="16"/>
      <c r="PC15" s="16"/>
      <c r="PD15" s="16"/>
      <c r="PE15" s="16"/>
      <c r="PF15" s="16"/>
      <c r="PG15" s="16"/>
      <c r="PH15" s="16"/>
      <c r="PI15" s="11" t="str">
        <f t="shared" si="171"/>
        <v/>
      </c>
      <c r="PJ15" s="11" t="str">
        <f t="shared" si="172"/>
        <v/>
      </c>
      <c r="PK15" s="11" t="str">
        <f t="shared" si="173"/>
        <v/>
      </c>
      <c r="PL15" s="11" t="str">
        <f t="shared" si="174"/>
        <v/>
      </c>
      <c r="PM15" s="11" t="str">
        <f t="shared" si="175"/>
        <v/>
      </c>
      <c r="PN15" s="11" t="str">
        <f t="shared" si="176"/>
        <v/>
      </c>
      <c r="PO15" s="11" t="str">
        <f t="shared" si="177"/>
        <v/>
      </c>
      <c r="PP15" s="11" t="str">
        <f t="shared" si="178"/>
        <v/>
      </c>
      <c r="PQ15" s="11" t="str">
        <f t="shared" si="179"/>
        <v/>
      </c>
      <c r="PR15" s="11" t="str">
        <f t="shared" si="180"/>
        <v/>
      </c>
      <c r="PS15" s="11" t="str">
        <f t="shared" si="181"/>
        <v/>
      </c>
      <c r="PT15" s="11" t="str">
        <f t="shared" si="182"/>
        <v/>
      </c>
      <c r="PU15" s="11" t="str">
        <f t="shared" si="183"/>
        <v/>
      </c>
      <c r="PV15" s="11" t="str">
        <f t="shared" si="184"/>
        <v/>
      </c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36" t="str">
        <f t="shared" si="185"/>
        <v/>
      </c>
      <c r="QR15" s="36" t="str">
        <f t="shared" si="186"/>
        <v/>
      </c>
      <c r="QS15" s="36" t="str">
        <f t="shared" si="187"/>
        <v/>
      </c>
      <c r="QT15" s="36" t="str">
        <f t="shared" si="188"/>
        <v/>
      </c>
      <c r="QU15" s="36" t="str">
        <f t="shared" si="189"/>
        <v/>
      </c>
      <c r="QV15" s="36" t="str">
        <f t="shared" si="190"/>
        <v/>
      </c>
      <c r="QW15" s="36" t="str">
        <f t="shared" si="191"/>
        <v/>
      </c>
      <c r="QX15" s="36" t="str">
        <f t="shared" si="192"/>
        <v/>
      </c>
      <c r="QY15" s="36" t="str">
        <f t="shared" si="193"/>
        <v/>
      </c>
      <c r="QZ15" s="36" t="str">
        <f t="shared" si="194"/>
        <v/>
      </c>
      <c r="RA15" s="36" t="str">
        <f t="shared" si="195"/>
        <v/>
      </c>
      <c r="RB15" s="36" t="str">
        <f t="shared" si="196"/>
        <v/>
      </c>
      <c r="RC15" s="36" t="str">
        <f t="shared" si="197"/>
        <v/>
      </c>
      <c r="RD15" s="36" t="str">
        <f t="shared" si="198"/>
        <v/>
      </c>
      <c r="RE15" s="16"/>
      <c r="RF15" s="16"/>
      <c r="RG15" s="16"/>
      <c r="RH15" s="16"/>
      <c r="RI15" s="16"/>
      <c r="RJ15" s="16"/>
      <c r="RK15" s="16"/>
      <c r="RL15" s="16"/>
      <c r="RM15" s="16"/>
      <c r="RN15" s="16"/>
      <c r="RO15" s="16"/>
      <c r="RP15" s="16"/>
      <c r="RQ15" s="16"/>
      <c r="RR15" s="16"/>
      <c r="RS15" s="16"/>
      <c r="RT15" s="16"/>
      <c r="RU15" s="16"/>
      <c r="RV15" s="16"/>
      <c r="RW15" s="16"/>
      <c r="RX15" s="16"/>
      <c r="RY15" s="11" t="str">
        <f t="shared" si="199"/>
        <v/>
      </c>
      <c r="RZ15" s="11" t="str">
        <f t="shared" si="200"/>
        <v/>
      </c>
      <c r="SA15" s="11" t="str">
        <f t="shared" si="201"/>
        <v/>
      </c>
      <c r="SB15" s="11" t="str">
        <f t="shared" si="202"/>
        <v/>
      </c>
      <c r="SC15" s="11" t="str">
        <f t="shared" si="203"/>
        <v/>
      </c>
      <c r="SD15" s="11" t="str">
        <f t="shared" si="204"/>
        <v/>
      </c>
      <c r="SE15" s="11" t="str">
        <f t="shared" si="205"/>
        <v/>
      </c>
      <c r="SF15" s="11" t="str">
        <f t="shared" si="206"/>
        <v/>
      </c>
      <c r="SG15" s="11" t="str">
        <f t="shared" si="207"/>
        <v/>
      </c>
      <c r="SH15" s="11" t="str">
        <f t="shared" si="208"/>
        <v/>
      </c>
      <c r="SI15" s="11" t="str">
        <f t="shared" si="209"/>
        <v/>
      </c>
      <c r="SJ15" s="11" t="str">
        <f t="shared" si="210"/>
        <v/>
      </c>
      <c r="SK15" s="11" t="str">
        <f t="shared" si="211"/>
        <v/>
      </c>
      <c r="SL15" s="11" t="str">
        <f t="shared" si="212"/>
        <v/>
      </c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36" t="str">
        <f t="shared" si="213"/>
        <v/>
      </c>
      <c r="TH15" s="36" t="str">
        <f t="shared" si="214"/>
        <v/>
      </c>
      <c r="TI15" s="36" t="str">
        <f t="shared" si="215"/>
        <v/>
      </c>
      <c r="TJ15" s="36" t="str">
        <f t="shared" si="216"/>
        <v/>
      </c>
      <c r="TK15" s="36" t="str">
        <f t="shared" si="217"/>
        <v/>
      </c>
      <c r="TL15" s="36" t="str">
        <f t="shared" si="218"/>
        <v/>
      </c>
      <c r="TM15" s="36" t="str">
        <f t="shared" si="219"/>
        <v/>
      </c>
      <c r="TN15" s="36" t="str">
        <f t="shared" si="220"/>
        <v/>
      </c>
      <c r="TO15" s="36" t="str">
        <f t="shared" si="221"/>
        <v/>
      </c>
      <c r="TP15" s="36" t="str">
        <f t="shared" si="222"/>
        <v/>
      </c>
      <c r="TQ15" s="36" t="str">
        <f t="shared" si="223"/>
        <v/>
      </c>
      <c r="TR15" s="36" t="str">
        <f t="shared" si="224"/>
        <v/>
      </c>
      <c r="TS15" s="36" t="str">
        <f t="shared" si="225"/>
        <v/>
      </c>
      <c r="TT15" s="36" t="str">
        <f t="shared" si="226"/>
        <v/>
      </c>
      <c r="TU15" s="16"/>
      <c r="TV15" s="16"/>
      <c r="TW15" s="16"/>
      <c r="TX15" s="16"/>
      <c r="TY15" s="16"/>
      <c r="TZ15" s="16"/>
      <c r="UA15" s="16"/>
      <c r="UB15" s="16"/>
      <c r="UC15" s="16"/>
      <c r="UD15" s="16"/>
      <c r="UE15" s="16"/>
      <c r="UF15" s="16"/>
      <c r="UG15" s="16"/>
      <c r="UH15" s="16"/>
      <c r="UI15" s="16"/>
      <c r="UJ15" s="16"/>
      <c r="UK15" s="16"/>
      <c r="UL15" s="16"/>
      <c r="UM15" s="16"/>
      <c r="UN15" s="16"/>
      <c r="UO15" s="11" t="str">
        <f t="shared" si="227"/>
        <v/>
      </c>
      <c r="UP15" s="11" t="str">
        <f t="shared" si="228"/>
        <v/>
      </c>
      <c r="UQ15" s="11" t="str">
        <f t="shared" si="229"/>
        <v/>
      </c>
      <c r="UR15" s="11" t="str">
        <f t="shared" si="230"/>
        <v/>
      </c>
      <c r="US15" s="11" t="str">
        <f t="shared" si="231"/>
        <v/>
      </c>
      <c r="UT15" s="11" t="str">
        <f t="shared" si="232"/>
        <v/>
      </c>
      <c r="UU15" s="11" t="str">
        <f t="shared" si="233"/>
        <v/>
      </c>
      <c r="UV15" s="11" t="str">
        <f t="shared" si="234"/>
        <v/>
      </c>
      <c r="UW15" s="11" t="str">
        <f t="shared" si="235"/>
        <v/>
      </c>
      <c r="UX15" s="11" t="str">
        <f t="shared" si="236"/>
        <v/>
      </c>
      <c r="UY15" s="11" t="str">
        <f t="shared" si="237"/>
        <v/>
      </c>
      <c r="UZ15" s="11" t="str">
        <f t="shared" si="238"/>
        <v/>
      </c>
      <c r="VA15" s="11" t="str">
        <f t="shared" si="239"/>
        <v/>
      </c>
      <c r="VB15" s="11" t="str">
        <f t="shared" si="240"/>
        <v/>
      </c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36" t="str">
        <f t="shared" si="241"/>
        <v/>
      </c>
      <c r="VX15" s="36" t="str">
        <f t="shared" si="242"/>
        <v/>
      </c>
      <c r="VY15" s="36" t="str">
        <f t="shared" si="243"/>
        <v/>
      </c>
      <c r="VZ15" s="36" t="str">
        <f t="shared" si="244"/>
        <v/>
      </c>
      <c r="WA15" s="36" t="str">
        <f t="shared" si="245"/>
        <v/>
      </c>
      <c r="WB15" s="36" t="str">
        <f t="shared" si="246"/>
        <v/>
      </c>
      <c r="WC15" s="36" t="str">
        <f t="shared" si="247"/>
        <v/>
      </c>
      <c r="WD15" s="36" t="str">
        <f t="shared" si="248"/>
        <v/>
      </c>
      <c r="WE15" s="36" t="str">
        <f t="shared" si="249"/>
        <v/>
      </c>
      <c r="WF15" s="36" t="str">
        <f t="shared" si="250"/>
        <v/>
      </c>
      <c r="WG15" s="36" t="str">
        <f t="shared" si="251"/>
        <v/>
      </c>
      <c r="WH15" s="36" t="str">
        <f t="shared" si="252"/>
        <v/>
      </c>
      <c r="WI15" s="36" t="str">
        <f t="shared" si="253"/>
        <v/>
      </c>
      <c r="WJ15" s="36" t="str">
        <f t="shared" si="254"/>
        <v/>
      </c>
    </row>
    <row r="16" spans="1:608" x14ac:dyDescent="0.2">
      <c r="B16" s="5"/>
      <c r="D16" s="1"/>
    </row>
    <row r="17" spans="1:644" x14ac:dyDescent="0.2">
      <c r="G17" s="32"/>
      <c r="I17" s="32"/>
    </row>
    <row r="18" spans="1:644" x14ac:dyDescent="0.2">
      <c r="B18" s="19" t="s">
        <v>40</v>
      </c>
      <c r="C18" s="5"/>
      <c r="G18" s="3"/>
      <c r="AJ18" s="37"/>
      <c r="AK18" s="37"/>
      <c r="AL18" s="37"/>
      <c r="AN18" s="28"/>
      <c r="AO18" s="28"/>
      <c r="AQ18" s="38">
        <v>11</v>
      </c>
      <c r="BK18" s="37"/>
      <c r="BL18" s="37"/>
      <c r="BM18" s="37"/>
      <c r="BO18" s="28"/>
      <c r="BP18" s="28"/>
      <c r="BR18" s="38">
        <v>11</v>
      </c>
      <c r="CL18" s="37"/>
      <c r="CM18" s="37"/>
      <c r="CN18" s="37"/>
      <c r="CP18" s="28"/>
      <c r="CQ18" s="28"/>
      <c r="CS18" s="38">
        <v>12.4</v>
      </c>
      <c r="DO18" s="5"/>
      <c r="DP18" s="5"/>
      <c r="DY18" s="2"/>
      <c r="DZ18" s="2"/>
      <c r="EB18" s="38">
        <v>11</v>
      </c>
      <c r="EW18" s="5"/>
      <c r="EX18" s="5"/>
      <c r="FG18" s="2"/>
      <c r="FH18" s="2"/>
      <c r="FJ18" s="38">
        <v>11</v>
      </c>
      <c r="GE18" s="5"/>
      <c r="GF18" s="5"/>
      <c r="GO18" s="2"/>
      <c r="GP18" s="2"/>
      <c r="GR18" s="38">
        <v>11</v>
      </c>
      <c r="HM18" s="5"/>
      <c r="HN18" s="5"/>
      <c r="HW18" s="2"/>
      <c r="HX18" s="2"/>
      <c r="HZ18" s="38">
        <v>11</v>
      </c>
      <c r="IU18" s="5"/>
      <c r="IV18" s="5"/>
      <c r="JE18" s="2"/>
      <c r="JF18" s="2"/>
      <c r="JH18" s="38">
        <v>11</v>
      </c>
      <c r="KC18" s="5"/>
      <c r="KD18" s="5"/>
      <c r="KM18" s="2"/>
      <c r="KN18" s="2"/>
      <c r="KP18" s="38">
        <v>11</v>
      </c>
      <c r="LK18" s="5"/>
      <c r="LL18" s="5"/>
      <c r="LU18" s="2"/>
      <c r="LV18" s="2"/>
      <c r="LX18" s="38">
        <v>11</v>
      </c>
      <c r="MS18" s="5"/>
      <c r="MT18" s="5"/>
      <c r="NC18" s="2"/>
      <c r="ND18" s="2"/>
      <c r="NF18" s="38">
        <v>11</v>
      </c>
      <c r="OA18" s="5"/>
      <c r="OB18" s="5"/>
      <c r="OK18" s="2"/>
      <c r="OL18" s="2"/>
      <c r="ON18" s="38">
        <v>11</v>
      </c>
      <c r="PI18" s="5"/>
      <c r="PJ18" s="5"/>
      <c r="PS18" s="2"/>
      <c r="PT18" s="2"/>
      <c r="PV18" s="38">
        <v>12.4</v>
      </c>
      <c r="QQ18" s="5"/>
      <c r="QR18" s="5"/>
      <c r="RA18" s="2"/>
      <c r="RB18" s="2"/>
      <c r="RD18" s="38">
        <v>12.4</v>
      </c>
      <c r="RY18" s="5"/>
      <c r="RZ18" s="5"/>
      <c r="SI18" s="2"/>
      <c r="SJ18" s="2"/>
      <c r="SL18" s="38">
        <v>12.4</v>
      </c>
      <c r="TG18" s="5"/>
      <c r="TH18" s="5"/>
      <c r="TQ18" s="2"/>
      <c r="TR18" s="2"/>
      <c r="TT18" s="38">
        <v>12.4</v>
      </c>
      <c r="UO18" s="5"/>
      <c r="UP18" s="5"/>
      <c r="UY18" s="2"/>
      <c r="UZ18" s="2"/>
      <c r="VB18" s="38">
        <v>12.4</v>
      </c>
      <c r="VW18" s="5"/>
      <c r="VX18" s="5"/>
      <c r="WG18" s="2"/>
      <c r="WH18" s="2"/>
      <c r="WJ18" s="38">
        <v>12.4</v>
      </c>
    </row>
    <row r="19" spans="1:644" hidden="1" x14ac:dyDescent="0.2">
      <c r="B19" s="26" t="s">
        <v>39</v>
      </c>
      <c r="C19" s="5"/>
      <c r="P19" s="2"/>
      <c r="AJ19" s="37"/>
      <c r="AK19" s="37"/>
      <c r="AL19" s="37"/>
      <c r="AN19" s="28"/>
      <c r="AO19" s="28"/>
      <c r="AQ19" s="39">
        <v>1000</v>
      </c>
      <c r="BK19" s="37"/>
      <c r="BL19" s="37"/>
      <c r="BM19" s="37"/>
      <c r="BO19" s="28"/>
      <c r="BP19" s="28"/>
      <c r="BR19" s="39">
        <v>1000</v>
      </c>
      <c r="CL19" s="37"/>
      <c r="CM19" s="37"/>
      <c r="CN19" s="37"/>
      <c r="CP19" s="28"/>
      <c r="CQ19" s="28"/>
      <c r="CS19" s="39">
        <v>1000</v>
      </c>
      <c r="DO19" s="5"/>
      <c r="DP19" s="5"/>
      <c r="DY19" s="2"/>
      <c r="DZ19" s="2"/>
      <c r="EB19" s="39">
        <v>1000</v>
      </c>
      <c r="EW19" s="5"/>
      <c r="EX19" s="5"/>
      <c r="FG19" s="2"/>
      <c r="FH19" s="2"/>
      <c r="FJ19" s="39">
        <v>1000</v>
      </c>
      <c r="GE19" s="5"/>
      <c r="GF19" s="5"/>
      <c r="GO19" s="2"/>
      <c r="GP19" s="2"/>
      <c r="GR19" s="39">
        <v>1000</v>
      </c>
      <c r="HM19" s="5"/>
      <c r="HN19" s="5"/>
      <c r="HW19" s="2"/>
      <c r="HX19" s="2"/>
      <c r="HZ19" s="39">
        <v>1000</v>
      </c>
      <c r="IU19" s="5"/>
      <c r="IV19" s="5"/>
      <c r="JE19" s="2"/>
      <c r="JF19" s="2"/>
      <c r="JH19" s="39">
        <v>1000</v>
      </c>
      <c r="KC19" s="5"/>
      <c r="KD19" s="5"/>
      <c r="KM19" s="2"/>
      <c r="KN19" s="2"/>
      <c r="KP19" s="39">
        <v>1000</v>
      </c>
      <c r="LK19" s="5"/>
      <c r="LL19" s="5"/>
      <c r="LU19" s="2"/>
      <c r="LV19" s="2"/>
      <c r="LX19" s="39">
        <v>1000</v>
      </c>
      <c r="MS19" s="5"/>
      <c r="MT19" s="5"/>
      <c r="NC19" s="2"/>
      <c r="ND19" s="2"/>
      <c r="NF19" s="39">
        <v>1000</v>
      </c>
      <c r="OA19" s="5"/>
      <c r="OB19" s="5"/>
      <c r="OK19" s="2"/>
      <c r="OL19" s="2"/>
      <c r="ON19" s="39">
        <v>1000</v>
      </c>
      <c r="PI19" s="5"/>
      <c r="PJ19" s="5"/>
      <c r="PS19" s="2"/>
      <c r="PT19" s="2"/>
      <c r="PV19" s="39">
        <v>1000</v>
      </c>
      <c r="QQ19" s="5"/>
      <c r="QR19" s="5"/>
      <c r="RA19" s="2"/>
      <c r="RB19" s="2"/>
      <c r="RD19" s="39">
        <v>1000</v>
      </c>
      <c r="RY19" s="5"/>
      <c r="RZ19" s="5"/>
      <c r="SI19" s="2"/>
      <c r="SJ19" s="2"/>
      <c r="SL19" s="39">
        <v>1000</v>
      </c>
      <c r="TG19" s="5"/>
      <c r="TH19" s="5"/>
      <c r="TQ19" s="2"/>
      <c r="TR19" s="2"/>
      <c r="TT19" s="39">
        <v>1000</v>
      </c>
      <c r="UO19" s="5"/>
      <c r="UP19" s="5"/>
      <c r="UY19" s="2"/>
      <c r="UZ19" s="2"/>
      <c r="VB19" s="39">
        <v>1000</v>
      </c>
      <c r="VW19" s="5"/>
      <c r="VX19" s="5"/>
      <c r="WG19" s="2"/>
      <c r="WH19" s="2"/>
      <c r="WJ19" s="39">
        <v>1000</v>
      </c>
    </row>
    <row r="20" spans="1:644" hidden="1" x14ac:dyDescent="0.2">
      <c r="A20" s="5"/>
      <c r="B20" s="27" t="s">
        <v>50</v>
      </c>
      <c r="C20" s="5"/>
      <c r="E20" s="2"/>
      <c r="AJ20" s="37"/>
      <c r="AK20" s="37"/>
      <c r="AL20" s="37"/>
      <c r="AM20" s="28"/>
      <c r="AN20" s="28"/>
      <c r="AO20" s="28"/>
      <c r="AP20" s="28"/>
      <c r="AQ20" s="40">
        <v>1000</v>
      </c>
      <c r="BK20" s="37"/>
      <c r="BL20" s="37"/>
      <c r="BM20" s="37"/>
      <c r="BO20" s="28"/>
      <c r="BP20" s="28"/>
      <c r="BR20" s="40">
        <v>1000</v>
      </c>
      <c r="CL20" s="37"/>
      <c r="CM20" s="37"/>
      <c r="CN20" s="37"/>
      <c r="CO20" s="28"/>
      <c r="CP20" s="28"/>
      <c r="CQ20" s="28"/>
      <c r="CR20" s="28"/>
      <c r="CS20" s="40">
        <v>1000</v>
      </c>
      <c r="DO20" s="5"/>
      <c r="DP20" s="5"/>
      <c r="DY20" s="2"/>
      <c r="DZ20" s="2"/>
      <c r="EB20" s="40">
        <v>0</v>
      </c>
      <c r="EW20" s="5"/>
      <c r="EX20" s="5"/>
      <c r="FG20" s="2"/>
      <c r="FH20" s="2"/>
      <c r="FJ20" s="40">
        <v>0</v>
      </c>
      <c r="GE20" s="5"/>
      <c r="GF20" s="5"/>
      <c r="GO20" s="2"/>
      <c r="GP20" s="2"/>
      <c r="GR20" s="40">
        <v>0</v>
      </c>
      <c r="HM20" s="5"/>
      <c r="HN20" s="5"/>
      <c r="HW20" s="2"/>
      <c r="HX20" s="2"/>
      <c r="HZ20" s="40">
        <v>0</v>
      </c>
      <c r="IU20" s="5"/>
      <c r="IV20" s="5"/>
      <c r="JE20" s="2"/>
      <c r="JF20" s="2"/>
      <c r="JH20" s="40">
        <v>0</v>
      </c>
      <c r="KC20" s="5"/>
      <c r="KD20" s="5"/>
      <c r="KM20" s="2"/>
      <c r="KN20" s="2"/>
      <c r="KP20" s="40">
        <v>0</v>
      </c>
      <c r="LK20" s="5"/>
      <c r="LL20" s="5"/>
      <c r="LU20" s="2"/>
      <c r="LV20" s="2"/>
      <c r="LX20" s="40">
        <v>0</v>
      </c>
      <c r="MS20" s="5"/>
      <c r="MT20" s="5"/>
      <c r="NC20" s="2"/>
      <c r="ND20" s="2"/>
      <c r="NF20" s="40">
        <v>0</v>
      </c>
      <c r="OA20" s="5"/>
      <c r="OB20" s="5"/>
      <c r="OK20" s="2"/>
      <c r="OL20" s="2"/>
      <c r="ON20" s="40">
        <v>0</v>
      </c>
      <c r="PI20" s="5"/>
      <c r="PJ20" s="5"/>
      <c r="PS20" s="2"/>
      <c r="PT20" s="2"/>
      <c r="PV20" s="40">
        <v>0</v>
      </c>
      <c r="QQ20" s="5"/>
      <c r="QR20" s="5"/>
      <c r="RA20" s="2"/>
      <c r="RB20" s="2"/>
      <c r="RD20" s="40">
        <v>0</v>
      </c>
      <c r="RY20" s="5"/>
      <c r="RZ20" s="5"/>
      <c r="SI20" s="2"/>
      <c r="SJ20" s="2"/>
      <c r="SL20" s="40">
        <v>0</v>
      </c>
      <c r="TG20" s="5"/>
      <c r="TH20" s="5"/>
      <c r="TQ20" s="2"/>
      <c r="TR20" s="2"/>
      <c r="TT20" s="40">
        <v>0</v>
      </c>
      <c r="UO20" s="5"/>
      <c r="UP20" s="5"/>
      <c r="UY20" s="2"/>
      <c r="UZ20" s="2"/>
      <c r="VB20" s="40">
        <v>0</v>
      </c>
      <c r="VW20" s="5"/>
      <c r="VX20" s="5"/>
      <c r="WG20" s="2"/>
      <c r="WH20" s="2"/>
      <c r="WJ20" s="40">
        <v>0</v>
      </c>
    </row>
    <row r="21" spans="1:644" hidden="1" x14ac:dyDescent="0.2">
      <c r="A21" s="5"/>
      <c r="B21" s="31" t="s">
        <v>57</v>
      </c>
      <c r="C21" s="5"/>
      <c r="E21" s="2"/>
      <c r="AJ21" s="37"/>
      <c r="AK21" s="37"/>
      <c r="AL21" s="37"/>
      <c r="AM21" s="28"/>
      <c r="AN21" s="28"/>
      <c r="AO21" s="28"/>
      <c r="AP21" s="28"/>
      <c r="AQ21" s="41">
        <v>1000</v>
      </c>
      <c r="BK21" s="37"/>
      <c r="BL21" s="37"/>
      <c r="BM21" s="37"/>
      <c r="BO21" s="28"/>
      <c r="BP21" s="28"/>
      <c r="BR21" s="41">
        <v>1000</v>
      </c>
      <c r="CL21" s="37"/>
      <c r="CM21" s="37"/>
      <c r="CN21" s="37"/>
      <c r="CO21" s="28"/>
      <c r="CP21" s="28"/>
      <c r="CQ21" s="28"/>
      <c r="CR21" s="28"/>
      <c r="CS21" s="41">
        <v>1000</v>
      </c>
      <c r="DO21" s="5"/>
      <c r="DP21" s="5"/>
      <c r="DY21" s="2"/>
      <c r="DZ21" s="2"/>
      <c r="EB21" s="41">
        <v>0</v>
      </c>
      <c r="EW21" s="5"/>
      <c r="EX21" s="5"/>
      <c r="FG21" s="2"/>
      <c r="FH21" s="2"/>
      <c r="FJ21" s="41">
        <v>0</v>
      </c>
      <c r="GE21" s="5"/>
      <c r="GF21" s="5"/>
      <c r="GO21" s="2"/>
      <c r="GP21" s="2"/>
      <c r="GR21" s="41">
        <v>0</v>
      </c>
      <c r="HM21" s="5"/>
      <c r="HN21" s="5"/>
      <c r="HW21" s="2"/>
      <c r="HX21" s="2"/>
      <c r="HZ21" s="41">
        <v>0</v>
      </c>
      <c r="IU21" s="5"/>
      <c r="IV21" s="5"/>
      <c r="JE21" s="2"/>
      <c r="JF21" s="2"/>
      <c r="JH21" s="41">
        <v>0</v>
      </c>
      <c r="KC21" s="5"/>
      <c r="KD21" s="5"/>
      <c r="KM21" s="2"/>
      <c r="KN21" s="2"/>
      <c r="KP21" s="41">
        <v>0</v>
      </c>
      <c r="LK21" s="5"/>
      <c r="LL21" s="5"/>
      <c r="LU21" s="2"/>
      <c r="LV21" s="2"/>
      <c r="LX21" s="41">
        <v>0</v>
      </c>
      <c r="MS21" s="5"/>
      <c r="MT21" s="5"/>
      <c r="NC21" s="2"/>
      <c r="ND21" s="2"/>
      <c r="NF21" s="41">
        <v>0</v>
      </c>
      <c r="OA21" s="5"/>
      <c r="OB21" s="5"/>
      <c r="OK21" s="2"/>
      <c r="OL21" s="2"/>
      <c r="ON21" s="41">
        <v>0</v>
      </c>
      <c r="PI21" s="5"/>
      <c r="PJ21" s="5"/>
      <c r="PS21" s="2"/>
      <c r="PT21" s="2"/>
      <c r="PV21" s="41">
        <v>0</v>
      </c>
      <c r="QQ21" s="5"/>
      <c r="QR21" s="5"/>
      <c r="RA21" s="2"/>
      <c r="RB21" s="2"/>
      <c r="RD21" s="41">
        <v>0</v>
      </c>
      <c r="RY21" s="5"/>
      <c r="RZ21" s="5"/>
      <c r="SI21" s="2"/>
      <c r="SJ21" s="2"/>
      <c r="SL21" s="41">
        <v>0</v>
      </c>
      <c r="TG21" s="5"/>
      <c r="TH21" s="5"/>
      <c r="TQ21" s="2"/>
      <c r="TR21" s="2"/>
      <c r="TT21" s="41">
        <v>0</v>
      </c>
      <c r="UO21" s="5"/>
      <c r="UP21" s="5"/>
      <c r="UY21" s="2"/>
      <c r="UZ21" s="2"/>
      <c r="VB21" s="41">
        <v>0</v>
      </c>
      <c r="VW21" s="5"/>
      <c r="VX21" s="5"/>
      <c r="WG21" s="2"/>
      <c r="WH21" s="2"/>
      <c r="WJ21" s="41">
        <v>0</v>
      </c>
    </row>
    <row r="22" spans="1:644" x14ac:dyDescent="0.2">
      <c r="A22" s="5"/>
      <c r="B22" s="30" t="s">
        <v>37</v>
      </c>
      <c r="C22" s="5"/>
      <c r="AJ22" s="37"/>
      <c r="AK22" s="37"/>
      <c r="AL22" s="37"/>
      <c r="AM22" s="28"/>
      <c r="AN22" s="28"/>
      <c r="AO22" s="28"/>
      <c r="AP22" s="28"/>
      <c r="AQ22" s="42">
        <v>43.7</v>
      </c>
      <c r="BK22" s="37"/>
      <c r="BL22" s="37"/>
      <c r="BM22" s="37"/>
      <c r="BO22" s="28"/>
      <c r="BP22" s="28"/>
      <c r="BR22" s="42">
        <v>43.7</v>
      </c>
      <c r="CL22" s="37"/>
      <c r="CM22" s="37"/>
      <c r="CN22" s="37"/>
      <c r="CO22" s="28"/>
      <c r="CP22" s="28"/>
      <c r="CQ22" s="28"/>
      <c r="CR22" s="28"/>
      <c r="CS22" s="42">
        <v>47.1</v>
      </c>
      <c r="DO22" s="5"/>
      <c r="DP22" s="5"/>
      <c r="DY22" s="2"/>
      <c r="DZ22" s="2"/>
      <c r="EB22" s="42">
        <v>43.7</v>
      </c>
      <c r="EW22" s="5"/>
      <c r="EX22" s="5"/>
      <c r="FG22" s="2"/>
      <c r="FH22" s="2"/>
      <c r="FJ22" s="42">
        <v>43.7</v>
      </c>
      <c r="GE22" s="5"/>
      <c r="GF22" s="5"/>
      <c r="GO22" s="2"/>
      <c r="GP22" s="2"/>
      <c r="GR22" s="42">
        <v>43.7</v>
      </c>
      <c r="HM22" s="5"/>
      <c r="HN22" s="5"/>
      <c r="HW22" s="2"/>
      <c r="HX22" s="2"/>
      <c r="HZ22" s="42">
        <v>43.7</v>
      </c>
      <c r="IU22" s="5"/>
      <c r="IV22" s="5"/>
      <c r="JE22" s="2"/>
      <c r="JF22" s="2"/>
      <c r="JH22" s="42">
        <v>43.7</v>
      </c>
      <c r="KC22" s="5"/>
      <c r="KD22" s="5"/>
      <c r="KM22" s="2"/>
      <c r="KN22" s="2"/>
      <c r="KP22" s="42">
        <v>43.7</v>
      </c>
      <c r="LK22" s="5"/>
      <c r="LL22" s="5"/>
      <c r="LU22" s="2"/>
      <c r="LV22" s="2"/>
      <c r="LX22" s="42">
        <v>43.7</v>
      </c>
      <c r="MS22" s="5"/>
      <c r="MT22" s="5"/>
      <c r="NC22" s="2"/>
      <c r="ND22" s="2"/>
      <c r="NF22" s="42">
        <v>43.7</v>
      </c>
      <c r="OA22" s="5"/>
      <c r="OB22" s="5"/>
      <c r="OK22" s="2"/>
      <c r="OL22" s="2"/>
      <c r="ON22" s="42">
        <v>43.7</v>
      </c>
      <c r="PI22" s="5"/>
      <c r="PJ22" s="5"/>
      <c r="PS22" s="2"/>
      <c r="PT22" s="2"/>
      <c r="PV22" s="42">
        <v>47.1</v>
      </c>
      <c r="QQ22" s="5"/>
      <c r="QR22" s="5"/>
      <c r="RA22" s="2"/>
      <c r="RB22" s="2"/>
      <c r="RD22" s="42">
        <v>47.1</v>
      </c>
      <c r="RY22" s="5"/>
      <c r="RZ22" s="5"/>
      <c r="SI22" s="2"/>
      <c r="SJ22" s="2"/>
      <c r="SL22" s="42">
        <v>47.1</v>
      </c>
      <c r="TG22" s="5"/>
      <c r="TH22" s="5"/>
      <c r="TQ22" s="2"/>
      <c r="TR22" s="2"/>
      <c r="TT22" s="42">
        <v>47.1</v>
      </c>
      <c r="UO22" s="5"/>
      <c r="UP22" s="5"/>
      <c r="UY22" s="2"/>
      <c r="UZ22" s="2"/>
      <c r="VB22" s="42">
        <v>47.1</v>
      </c>
      <c r="VW22" s="5"/>
      <c r="VX22" s="5"/>
      <c r="WG22" s="2"/>
      <c r="WH22" s="2"/>
      <c r="WJ22" s="42">
        <v>47.1</v>
      </c>
    </row>
    <row r="23" spans="1:644" hidden="1" x14ac:dyDescent="0.2">
      <c r="A23" s="5"/>
      <c r="B23" s="20" t="s">
        <v>38</v>
      </c>
      <c r="C23" s="5"/>
      <c r="AJ23" s="37"/>
      <c r="AK23" s="37"/>
      <c r="AL23" s="37"/>
      <c r="AM23" s="28"/>
      <c r="AN23" s="28"/>
      <c r="AO23" s="28"/>
      <c r="AP23" s="28"/>
      <c r="AQ23" s="43">
        <v>1000</v>
      </c>
      <c r="BK23" s="37"/>
      <c r="BL23" s="37"/>
      <c r="BM23" s="37"/>
      <c r="BO23" s="28"/>
      <c r="BP23" s="28"/>
      <c r="BR23" s="43">
        <v>1000</v>
      </c>
      <c r="CL23" s="37"/>
      <c r="CM23" s="37"/>
      <c r="CN23" s="37"/>
      <c r="CO23" s="28"/>
      <c r="CP23" s="28"/>
      <c r="CQ23" s="28"/>
      <c r="CR23" s="28"/>
      <c r="CS23" s="43">
        <v>1000</v>
      </c>
      <c r="DO23" s="5"/>
      <c r="DP23" s="5"/>
      <c r="DY23" s="2"/>
      <c r="DZ23" s="2"/>
      <c r="EB23" s="43">
        <v>1000</v>
      </c>
      <c r="EW23" s="5"/>
      <c r="EX23" s="5"/>
      <c r="FG23" s="2"/>
      <c r="FH23" s="2"/>
      <c r="FJ23" s="43">
        <v>1000</v>
      </c>
      <c r="GE23" s="5"/>
      <c r="GF23" s="5"/>
      <c r="GO23" s="2"/>
      <c r="GP23" s="2"/>
      <c r="GR23" s="43">
        <v>1000</v>
      </c>
      <c r="HM23" s="5"/>
      <c r="HN23" s="5"/>
      <c r="HW23" s="2"/>
      <c r="HX23" s="2"/>
      <c r="HZ23" s="43">
        <v>1000</v>
      </c>
      <c r="IU23" s="5"/>
      <c r="IV23" s="5"/>
      <c r="JE23" s="2"/>
      <c r="JF23" s="2"/>
      <c r="JH23" s="43">
        <v>1000</v>
      </c>
      <c r="KC23" s="5"/>
      <c r="KD23" s="5"/>
      <c r="KM23" s="2"/>
      <c r="KN23" s="2"/>
      <c r="KP23" s="43">
        <v>1000</v>
      </c>
      <c r="LK23" s="5"/>
      <c r="LL23" s="5"/>
      <c r="LU23" s="2"/>
      <c r="LV23" s="2"/>
      <c r="LX23" s="43">
        <v>1000</v>
      </c>
      <c r="MS23" s="5"/>
      <c r="MT23" s="5"/>
      <c r="NC23" s="2"/>
      <c r="ND23" s="2"/>
      <c r="NF23" s="43">
        <v>1000</v>
      </c>
      <c r="OA23" s="5"/>
      <c r="OB23" s="5"/>
      <c r="OK23" s="2"/>
      <c r="OL23" s="2"/>
      <c r="ON23" s="43">
        <v>1000</v>
      </c>
      <c r="PI23" s="5"/>
      <c r="PJ23" s="5"/>
      <c r="PS23" s="2"/>
      <c r="PT23" s="2"/>
      <c r="PV23" s="43">
        <v>1000</v>
      </c>
      <c r="QQ23" s="5"/>
      <c r="QR23" s="5"/>
      <c r="RA23" s="2"/>
      <c r="RB23" s="2"/>
      <c r="RD23" s="43">
        <v>1000</v>
      </c>
      <c r="RY23" s="5"/>
      <c r="RZ23" s="5"/>
      <c r="SI23" s="2"/>
      <c r="SJ23" s="2"/>
      <c r="SL23" s="43">
        <v>1000</v>
      </c>
      <c r="TG23" s="5"/>
      <c r="TH23" s="5"/>
      <c r="TQ23" s="2"/>
      <c r="TR23" s="2"/>
      <c r="TT23" s="43">
        <v>1000</v>
      </c>
      <c r="UO23" s="5"/>
      <c r="UP23" s="5"/>
      <c r="UY23" s="2"/>
      <c r="UZ23" s="2"/>
      <c r="VB23" s="43">
        <v>1000</v>
      </c>
      <c r="VW23" s="5"/>
      <c r="VX23" s="5"/>
      <c r="WG23" s="2"/>
      <c r="WH23" s="2"/>
      <c r="WJ23" s="43">
        <v>1000</v>
      </c>
    </row>
    <row r="24" spans="1:644" hidden="1" x14ac:dyDescent="0.2">
      <c r="A24" s="5"/>
      <c r="B24" s="29" t="s">
        <v>49</v>
      </c>
      <c r="C24" s="5"/>
      <c r="AJ24" s="37"/>
      <c r="AK24" s="37"/>
      <c r="AL24" s="37"/>
      <c r="AM24" s="28"/>
      <c r="AN24" s="28"/>
      <c r="AO24" s="28"/>
      <c r="AP24" s="28"/>
      <c r="AQ24" s="44">
        <v>1000</v>
      </c>
      <c r="BK24" s="37"/>
      <c r="BL24" s="37"/>
      <c r="BM24" s="37"/>
      <c r="BO24" s="28"/>
      <c r="BP24" s="28"/>
      <c r="BR24" s="44">
        <v>1000</v>
      </c>
      <c r="CL24" s="37"/>
      <c r="CM24" s="37"/>
      <c r="CN24" s="37"/>
      <c r="CO24" s="28"/>
      <c r="CP24" s="28"/>
      <c r="CQ24" s="28"/>
      <c r="CR24" s="28"/>
      <c r="CS24" s="44">
        <v>1000</v>
      </c>
      <c r="DO24" s="5"/>
      <c r="DP24" s="5"/>
      <c r="DY24" s="2"/>
      <c r="DZ24" s="2"/>
      <c r="EA24" s="33"/>
      <c r="EB24" s="44">
        <v>1000</v>
      </c>
      <c r="EW24" s="5"/>
      <c r="EX24" s="5"/>
      <c r="FG24" s="2"/>
      <c r="FH24" s="2"/>
      <c r="FI24" s="33"/>
      <c r="FJ24" s="44">
        <v>1000</v>
      </c>
      <c r="GE24" s="5"/>
      <c r="GF24" s="5"/>
      <c r="GO24" s="2"/>
      <c r="GP24" s="2"/>
      <c r="GQ24" s="33"/>
      <c r="GR24" s="44">
        <v>1000</v>
      </c>
      <c r="HM24" s="5"/>
      <c r="HN24" s="5"/>
      <c r="HW24" s="2"/>
      <c r="HX24" s="2"/>
      <c r="HY24" s="33"/>
      <c r="HZ24" s="44">
        <v>1000</v>
      </c>
      <c r="IU24" s="5"/>
      <c r="IV24" s="5"/>
      <c r="JE24" s="2"/>
      <c r="JF24" s="2"/>
      <c r="JG24" s="33"/>
      <c r="JH24" s="44">
        <v>1000</v>
      </c>
      <c r="KC24" s="5"/>
      <c r="KD24" s="5"/>
      <c r="KM24" s="2"/>
      <c r="KN24" s="2"/>
      <c r="KO24" s="33"/>
      <c r="KP24" s="44">
        <v>1000</v>
      </c>
      <c r="LK24" s="5"/>
      <c r="LL24" s="5"/>
      <c r="LU24" s="2"/>
      <c r="LV24" s="2"/>
      <c r="LW24" s="33"/>
      <c r="LX24" s="44">
        <v>1000</v>
      </c>
      <c r="MS24" s="5"/>
      <c r="MT24" s="5"/>
      <c r="NC24" s="2"/>
      <c r="ND24" s="2"/>
      <c r="NE24" s="33"/>
      <c r="NF24" s="44">
        <v>1000</v>
      </c>
      <c r="OA24" s="5"/>
      <c r="OB24" s="5"/>
      <c r="OK24" s="2"/>
      <c r="OL24" s="2"/>
      <c r="OM24" s="33"/>
      <c r="ON24" s="44">
        <v>1000</v>
      </c>
      <c r="PI24" s="5"/>
      <c r="PJ24" s="5"/>
      <c r="PS24" s="2"/>
      <c r="PT24" s="2"/>
      <c r="PU24" s="33"/>
      <c r="PV24" s="44">
        <v>1000</v>
      </c>
      <c r="QQ24" s="5"/>
      <c r="QR24" s="5"/>
      <c r="RA24" s="2"/>
      <c r="RB24" s="2"/>
      <c r="RC24" s="33"/>
      <c r="RD24" s="44">
        <v>1000</v>
      </c>
      <c r="RY24" s="5"/>
      <c r="RZ24" s="5"/>
      <c r="SI24" s="2"/>
      <c r="SJ24" s="2"/>
      <c r="SK24" s="33"/>
      <c r="SL24" s="44">
        <v>1000</v>
      </c>
      <c r="TG24" s="5"/>
      <c r="TH24" s="5"/>
      <c r="TQ24" s="2"/>
      <c r="TR24" s="2"/>
      <c r="TS24" s="33"/>
      <c r="TT24" s="44">
        <v>1000</v>
      </c>
      <c r="UO24" s="5"/>
      <c r="UP24" s="5"/>
      <c r="UY24" s="2"/>
      <c r="UZ24" s="2"/>
      <c r="VA24" s="33"/>
      <c r="VB24" s="44">
        <v>1000</v>
      </c>
      <c r="VW24" s="5"/>
      <c r="VX24" s="5"/>
      <c r="WG24" s="2"/>
      <c r="WH24" s="2"/>
      <c r="WI24" s="33"/>
      <c r="WJ24" s="44">
        <v>1000</v>
      </c>
    </row>
    <row r="25" spans="1:644" hidden="1" x14ac:dyDescent="0.2">
      <c r="A25" s="5"/>
      <c r="B25" s="21" t="s">
        <v>30</v>
      </c>
      <c r="C25" s="5"/>
      <c r="AJ25" s="37"/>
      <c r="AK25" s="37"/>
      <c r="AL25" s="37"/>
      <c r="AM25" s="28"/>
      <c r="AN25" s="37"/>
      <c r="AO25" s="37"/>
      <c r="AP25" s="28"/>
      <c r="AQ25" s="45">
        <v>1000</v>
      </c>
      <c r="BK25" s="37"/>
      <c r="BL25" s="37"/>
      <c r="BM25" s="37"/>
      <c r="BO25" s="37"/>
      <c r="BP25" s="28"/>
      <c r="BR25" s="45">
        <v>1000</v>
      </c>
      <c r="CL25" s="37"/>
      <c r="CM25" s="37"/>
      <c r="CN25" s="37"/>
      <c r="CO25" s="28"/>
      <c r="CP25" s="37"/>
      <c r="CQ25" s="28"/>
      <c r="CR25" s="28"/>
      <c r="CS25" s="45">
        <v>1000</v>
      </c>
      <c r="DO25" s="5"/>
      <c r="DP25" s="5"/>
      <c r="DY25" s="37"/>
      <c r="DZ25" s="2"/>
      <c r="EB25" s="45">
        <v>1000</v>
      </c>
      <c r="EW25" s="5"/>
      <c r="EX25" s="5"/>
      <c r="FG25" s="37"/>
      <c r="FH25" s="2"/>
      <c r="FJ25" s="45">
        <v>1000</v>
      </c>
      <c r="GE25" s="5"/>
      <c r="GF25" s="5"/>
      <c r="GO25" s="2"/>
      <c r="GP25" s="2"/>
      <c r="GR25" s="45">
        <v>1000</v>
      </c>
      <c r="HM25" s="5"/>
      <c r="HN25" s="5"/>
      <c r="HW25" s="37"/>
      <c r="HX25" s="2"/>
      <c r="HZ25" s="45">
        <v>1000</v>
      </c>
      <c r="IU25" s="5"/>
      <c r="IV25" s="5"/>
      <c r="JE25" s="2"/>
      <c r="JF25" s="2"/>
      <c r="JH25" s="45">
        <v>1000</v>
      </c>
      <c r="KC25" s="5"/>
      <c r="KD25" s="5"/>
      <c r="KM25" s="2"/>
      <c r="KN25" s="2"/>
      <c r="KP25" s="45">
        <v>1000</v>
      </c>
      <c r="LK25" s="5"/>
      <c r="LL25" s="5"/>
      <c r="LU25" s="2"/>
      <c r="LV25" s="2"/>
      <c r="LX25" s="45">
        <v>1000</v>
      </c>
      <c r="MS25" s="5"/>
      <c r="MT25" s="5"/>
      <c r="NC25" s="2"/>
      <c r="ND25" s="2"/>
      <c r="NF25" s="45">
        <v>1000</v>
      </c>
      <c r="OA25" s="5"/>
      <c r="OB25" s="5"/>
      <c r="OK25" s="2"/>
      <c r="OL25" s="2"/>
      <c r="ON25" s="45">
        <v>1000</v>
      </c>
      <c r="PI25" s="5"/>
      <c r="PJ25" s="5"/>
      <c r="PS25" s="2"/>
      <c r="PT25" s="2"/>
      <c r="PV25" s="45">
        <v>1000</v>
      </c>
      <c r="QQ25" s="5"/>
      <c r="QR25" s="5"/>
      <c r="RA25" s="2"/>
      <c r="RB25" s="2"/>
      <c r="RD25" s="45">
        <v>1000</v>
      </c>
      <c r="RY25" s="5"/>
      <c r="RZ25" s="5"/>
      <c r="SI25" s="2"/>
      <c r="SJ25" s="2"/>
      <c r="SL25" s="45">
        <v>1000</v>
      </c>
      <c r="TG25" s="5"/>
      <c r="TH25" s="5"/>
      <c r="TQ25" s="2"/>
      <c r="TR25" s="2"/>
      <c r="TT25" s="45">
        <v>1000</v>
      </c>
      <c r="UO25" s="5"/>
      <c r="UP25" s="5"/>
      <c r="UY25" s="2"/>
      <c r="UZ25" s="2"/>
      <c r="VB25" s="45">
        <v>1000</v>
      </c>
      <c r="VW25" s="5"/>
      <c r="VX25" s="5"/>
      <c r="WG25" s="2"/>
      <c r="WH25" s="2"/>
      <c r="WJ25" s="45">
        <v>1000</v>
      </c>
    </row>
    <row r="26" spans="1:644" x14ac:dyDescent="0.2">
      <c r="B26" s="25" t="s">
        <v>43</v>
      </c>
      <c r="C26" s="2"/>
      <c r="AM26" s="28"/>
      <c r="AP26" s="28"/>
      <c r="CO26" s="28"/>
      <c r="CR26" s="28"/>
    </row>
    <row r="27" spans="1:644" x14ac:dyDescent="0.2">
      <c r="A27" s="5"/>
      <c r="B27" s="5"/>
      <c r="C27" s="17"/>
      <c r="AI27" s="28"/>
      <c r="AJ27" s="28"/>
      <c r="AK27" s="28"/>
      <c r="AL27" s="28"/>
      <c r="AM27" s="28"/>
      <c r="AP27" s="28"/>
      <c r="CK27" s="28"/>
      <c r="CL27" s="28"/>
      <c r="CM27" s="28"/>
      <c r="CN27" s="28"/>
      <c r="CO27" s="28"/>
      <c r="CR27" s="28"/>
    </row>
    <row r="28" spans="1:644" ht="17" x14ac:dyDescent="0.2">
      <c r="A28" s="5"/>
      <c r="B28" s="5"/>
      <c r="C28" s="17"/>
      <c r="N28" s="10"/>
      <c r="O28" s="10"/>
      <c r="AI28" s="28"/>
      <c r="AJ28" s="28"/>
      <c r="AK28" s="28"/>
      <c r="AL28" s="28"/>
      <c r="AM28" s="28"/>
      <c r="AP28" s="28"/>
      <c r="CK28" s="28"/>
      <c r="CL28" s="28"/>
      <c r="CM28" s="28"/>
      <c r="CN28" s="28"/>
      <c r="CO28" s="28"/>
      <c r="CR28" s="28"/>
    </row>
    <row r="29" spans="1:644" s="32" customFormat="1" ht="17" x14ac:dyDescent="0.2">
      <c r="A29" s="5"/>
      <c r="B29" s="5"/>
      <c r="C29" s="17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28"/>
      <c r="AJ29" s="28"/>
      <c r="AK29" s="28"/>
      <c r="AL29" s="28"/>
      <c r="AM29" s="28"/>
      <c r="AP29" s="28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28"/>
      <c r="CL29" s="28"/>
      <c r="CM29" s="28"/>
      <c r="CN29" s="28"/>
      <c r="CO29" s="28"/>
      <c r="CR29" s="28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</row>
    <row r="30" spans="1:644" s="32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28"/>
      <c r="AJ30" s="28"/>
      <c r="AK30" s="28"/>
      <c r="AL30" s="28"/>
      <c r="AM30" s="28"/>
      <c r="AP30" s="28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28"/>
      <c r="CL30" s="28"/>
      <c r="CM30" s="28"/>
      <c r="CN30" s="28"/>
      <c r="CO30" s="28"/>
      <c r="CR30" s="28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</row>
    <row r="31" spans="1:644" s="32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28"/>
      <c r="AJ31" s="28"/>
      <c r="AK31" s="28"/>
      <c r="AL31" s="28"/>
      <c r="AM31" s="28"/>
      <c r="AP31" s="28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28"/>
      <c r="CL31" s="28"/>
      <c r="CM31" s="28"/>
      <c r="CN31" s="28"/>
      <c r="CO31" s="28"/>
      <c r="CR31" s="28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</row>
    <row r="32" spans="1:644" s="32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28"/>
      <c r="AJ32" s="28"/>
      <c r="AK32" s="28"/>
      <c r="AL32" s="28"/>
      <c r="AM32" s="28"/>
      <c r="AP32" s="28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28"/>
      <c r="CL32" s="28"/>
      <c r="CM32" s="28"/>
      <c r="CN32" s="28"/>
      <c r="CO32" s="28"/>
      <c r="CR32" s="28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</row>
    <row r="33" spans="1:644" s="32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</row>
    <row r="34" spans="1:644" s="32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</row>
    <row r="35" spans="1:644" s="32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</row>
    <row r="36" spans="1:644" s="32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</row>
    <row r="37" spans="1:644" s="32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</row>
    <row r="38" spans="1:644" s="32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</row>
    <row r="39" spans="1:644" s="32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</row>
    <row r="40" spans="1:644" s="32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</row>
    <row r="41" spans="1:644" s="32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</row>
    <row r="42" spans="1:644" s="32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</row>
    <row r="43" spans="1:644" s="32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</row>
    <row r="44" spans="1:644" s="32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</row>
    <row r="45" spans="1:644" ht="17" x14ac:dyDescent="0.2">
      <c r="N45" s="10"/>
      <c r="O45" s="10"/>
      <c r="P45" s="10"/>
    </row>
    <row r="46" spans="1:644" ht="17" x14ac:dyDescent="0.2">
      <c r="N46" s="10"/>
      <c r="O46" s="10"/>
      <c r="P46" s="10"/>
    </row>
    <row r="47" spans="1:644" ht="17" x14ac:dyDescent="0.2">
      <c r="N47" s="10"/>
      <c r="O47" s="10"/>
      <c r="P47" s="10"/>
    </row>
  </sheetData>
  <sheetProtection sheet="1" formatCells="0" formatColumns="0" formatRows="0"/>
  <autoFilter ref="A1:WJ1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sortState xmlns:xlrd2="http://schemas.microsoft.com/office/spreadsheetml/2017/richdata2" ref="A6:WJ15">
      <sortCondition descending="1" ref="F1:F16"/>
    </sortState>
  </autoFilter>
  <mergeCells count="103">
    <mergeCell ref="VH2:VL2"/>
    <mergeCell ref="VM2:VQ2"/>
    <mergeCell ref="VR2:VV2"/>
    <mergeCell ref="TB2:TF2"/>
    <mergeCell ref="TU2:TY2"/>
    <mergeCell ref="TZ2:UD2"/>
    <mergeCell ref="UE2:UI2"/>
    <mergeCell ref="UJ2:UN2"/>
    <mergeCell ref="VC2:VG2"/>
    <mergeCell ref="RT2:RX2"/>
    <mergeCell ref="SM2:SQ2"/>
    <mergeCell ref="SR2:SV2"/>
    <mergeCell ref="SW2:TA2"/>
    <mergeCell ref="PD2:PH2"/>
    <mergeCell ref="PW2:QA2"/>
    <mergeCell ref="QB2:QF2"/>
    <mergeCell ref="QG2:QK2"/>
    <mergeCell ref="QL2:QP2"/>
    <mergeCell ref="RE2:RI2"/>
    <mergeCell ref="OY2:PC2"/>
    <mergeCell ref="LF2:LJ2"/>
    <mergeCell ref="LY2:MC2"/>
    <mergeCell ref="MD2:MH2"/>
    <mergeCell ref="MI2:MM2"/>
    <mergeCell ref="MN2:MR2"/>
    <mergeCell ref="NG2:NK2"/>
    <mergeCell ref="RJ2:RN2"/>
    <mergeCell ref="RO2:RS2"/>
    <mergeCell ref="IF2:IJ2"/>
    <mergeCell ref="IK2:IO2"/>
    <mergeCell ref="IP2:IT2"/>
    <mergeCell ref="JI2:JM2"/>
    <mergeCell ref="NL2:NP2"/>
    <mergeCell ref="NQ2:NU2"/>
    <mergeCell ref="NV2:NZ2"/>
    <mergeCell ref="OO2:OS2"/>
    <mergeCell ref="OT2:OX2"/>
    <mergeCell ref="DE2:DI2"/>
    <mergeCell ref="RE1:SL1"/>
    <mergeCell ref="SM1:TT1"/>
    <mergeCell ref="TU1:VB1"/>
    <mergeCell ref="FP2:FT2"/>
    <mergeCell ref="FU2:FY2"/>
    <mergeCell ref="FZ2:GD2"/>
    <mergeCell ref="GS2:GW2"/>
    <mergeCell ref="GX2:HB2"/>
    <mergeCell ref="HC2:HG2"/>
    <mergeCell ref="DJ2:DN2"/>
    <mergeCell ref="EC2:EG2"/>
    <mergeCell ref="EH2:EL2"/>
    <mergeCell ref="EM2:EQ2"/>
    <mergeCell ref="ER2:EV2"/>
    <mergeCell ref="FK2:FO2"/>
    <mergeCell ref="JN2:JR2"/>
    <mergeCell ref="JS2:JW2"/>
    <mergeCell ref="JX2:KB2"/>
    <mergeCell ref="KQ2:KU2"/>
    <mergeCell ref="KV2:KZ2"/>
    <mergeCell ref="LA2:LE2"/>
    <mergeCell ref="HH2:HL2"/>
    <mergeCell ref="IA2:IE2"/>
    <mergeCell ref="VC1:WJ1"/>
    <mergeCell ref="Q2:U2"/>
    <mergeCell ref="V2:Z2"/>
    <mergeCell ref="AA2:AE2"/>
    <mergeCell ref="AR2:AV2"/>
    <mergeCell ref="AW2:BA2"/>
    <mergeCell ref="BB2:BF2"/>
    <mergeCell ref="JI1:KP1"/>
    <mergeCell ref="KQ1:LX1"/>
    <mergeCell ref="LY1:NF1"/>
    <mergeCell ref="NG1:ON1"/>
    <mergeCell ref="OO1:PV1"/>
    <mergeCell ref="PW1:RD1"/>
    <mergeCell ref="BS1:CS1"/>
    <mergeCell ref="CU1:EB1"/>
    <mergeCell ref="EC1:FJ1"/>
    <mergeCell ref="FK1:GR1"/>
    <mergeCell ref="GS1:HZ1"/>
    <mergeCell ref="IA1:JH1"/>
    <mergeCell ref="BS2:BW2"/>
    <mergeCell ref="BX2:CB2"/>
    <mergeCell ref="CC2:CG2"/>
    <mergeCell ref="CU2:CY2"/>
    <mergeCell ref="CZ2:DD2"/>
    <mergeCell ref="P1:P3"/>
    <mergeCell ref="Q1:AQ1"/>
    <mergeCell ref="AR1:BR1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phoneticPr fontId="20" type="noConversion"/>
  <conditionalFormatting sqref="H1:H1048576">
    <cfRule type="containsText" dxfId="267" priority="129" operator="containsText" text="No DD">
      <formula>NOT(ISERROR(SEARCH("No DD",H1)))</formula>
    </cfRule>
    <cfRule type="containsText" dxfId="266" priority="130" operator="containsText" text="Merit">
      <formula>NOT(ISERROR(SEARCH("Merit",H1)))</formula>
    </cfRule>
    <cfRule type="containsText" dxfId="265" priority="131" operator="containsText" text="Excellence">
      <formula>NOT(ISERROR(SEARCH("Excellence",H1)))</formula>
    </cfRule>
    <cfRule type="containsText" dxfId="264" priority="132" operator="containsText" text="Worlds Team">
      <formula>NOT(ISERROR(SEARCH("Worlds Team",H1)))</formula>
    </cfRule>
    <cfRule type="containsText" dxfId="263" priority="133" operator="containsText" text="National Team">
      <formula>NOT(ISERROR(SEARCH("National Team",H1)))</formula>
    </cfRule>
  </conditionalFormatting>
  <conditionalFormatting sqref="Q4:AQ15">
    <cfRule type="expression" dxfId="262" priority="128" stopIfTrue="1">
      <formula>IF($AF4&lt;&gt;"",1,0)</formula>
    </cfRule>
  </conditionalFormatting>
  <conditionalFormatting sqref="AR4:BR15">
    <cfRule type="expression" dxfId="261" priority="127" stopIfTrue="1">
      <formula>IF($BG4&lt;&gt;"",1,0)</formula>
    </cfRule>
  </conditionalFormatting>
  <conditionalFormatting sqref="BS4:CS15">
    <cfRule type="expression" dxfId="260" priority="126" stopIfTrue="1">
      <formula>IF($CH4&lt;&gt;"",1,0)</formula>
    </cfRule>
  </conditionalFormatting>
  <conditionalFormatting sqref="BO26:BO1048576 BH1:BH1048576 BK1:BK1048576 BO1:BO24">
    <cfRule type="cellIs" dxfId="259" priority="122" operator="between">
      <formula>$BR$21</formula>
      <formula>1000</formula>
    </cfRule>
    <cfRule type="cellIs" dxfId="258" priority="123" operator="between">
      <formula>$BR$20</formula>
      <formula>$BR$21</formula>
    </cfRule>
    <cfRule type="cellIs" dxfId="257" priority="124" operator="between">
      <formula>$BR$19</formula>
      <formula>$BR$20</formula>
    </cfRule>
    <cfRule type="cellIs" dxfId="256" priority="125" operator="between">
      <formula>$BR$18</formula>
      <formula>$BR$19</formula>
    </cfRule>
  </conditionalFormatting>
  <conditionalFormatting sqref="CP26:CP1048576 CI1:CI1048576 CL1:CL1048576 CP1:CP24">
    <cfRule type="cellIs" dxfId="255" priority="118" operator="between">
      <formula>$CS$21</formula>
      <formula>1000</formula>
    </cfRule>
    <cfRule type="cellIs" dxfId="254" priority="119" operator="between">
      <formula>$CS$20</formula>
      <formula>$CS$21</formula>
    </cfRule>
    <cfRule type="cellIs" dxfId="253" priority="120" operator="between">
      <formula>$CS$19</formula>
      <formula>$CS$20</formula>
    </cfRule>
    <cfRule type="cellIs" dxfId="252" priority="121" operator="between">
      <formula>$CS$18</formula>
      <formula>$CS$19</formula>
    </cfRule>
  </conditionalFormatting>
  <conditionalFormatting sqref="DY26:DY1048576 DO1:DO1048576 DR1:DR1048576 DV1:DV1048576 DY1:DY24">
    <cfRule type="cellIs" dxfId="251" priority="117" operator="between">
      <formula>$EB$18</formula>
      <formula>$EB$19</formula>
    </cfRule>
  </conditionalFormatting>
  <conditionalFormatting sqref="FG26:FG1048576 EW1:EW1048576 EZ1:EZ1048576 FD1:FD1048576 FG1:FG24">
    <cfRule type="cellIs" dxfId="250" priority="116" operator="between">
      <formula>$FJ$18</formula>
      <formula>$FJ$19</formula>
    </cfRule>
  </conditionalFormatting>
  <conditionalFormatting sqref="HW26:HW1048576 HM1:HM1048576 HP1:HP1048576 HT1:HT1048576 HW1:HW24">
    <cfRule type="cellIs" dxfId="249" priority="115" operator="between">
      <formula>$HZ$18</formula>
      <formula>$HZ$19</formula>
    </cfRule>
  </conditionalFormatting>
  <conditionalFormatting sqref="AO25 AG1:AG1048576 AJ1:AJ1048576 AN1:AN1048576">
    <cfRule type="cellIs" dxfId="248" priority="111" operator="between">
      <formula>$AQ$21</formula>
      <formula>1000</formula>
    </cfRule>
    <cfRule type="cellIs" dxfId="247" priority="112" operator="between">
      <formula>$AQ$20</formula>
      <formula>$AQ$21</formula>
    </cfRule>
    <cfRule type="cellIs" dxfId="246" priority="113" operator="between">
      <formula>$AQ$19</formula>
      <formula>$AQ$20</formula>
    </cfRule>
    <cfRule type="cellIs" dxfId="245" priority="114" operator="between">
      <formula>$AQ$18</formula>
      <formula>$AQ$19</formula>
    </cfRule>
  </conditionalFormatting>
  <conditionalFormatting sqref="BO25">
    <cfRule type="cellIs" dxfId="244" priority="107" operator="between">
      <formula>$AQ$21</formula>
      <formula>1000</formula>
    </cfRule>
    <cfRule type="cellIs" dxfId="243" priority="108" operator="between">
      <formula>$AQ$20</formula>
      <formula>$AQ$21</formula>
    </cfRule>
    <cfRule type="cellIs" dxfId="242" priority="109" operator="between">
      <formula>$AQ$19</formula>
      <formula>$AQ$20</formula>
    </cfRule>
    <cfRule type="cellIs" dxfId="241" priority="110" operator="between">
      <formula>$AQ$18</formula>
      <formula>$AQ$19</formula>
    </cfRule>
  </conditionalFormatting>
  <conditionalFormatting sqref="CP25">
    <cfRule type="cellIs" dxfId="240" priority="103" operator="between">
      <formula>$AQ$21</formula>
      <formula>1000</formula>
    </cfRule>
    <cfRule type="cellIs" dxfId="239" priority="104" operator="between">
      <formula>$AQ$20</formula>
      <formula>$AQ$21</formula>
    </cfRule>
    <cfRule type="cellIs" dxfId="238" priority="105" operator="between">
      <formula>$AQ$19</formula>
      <formula>$AQ$20</formula>
    </cfRule>
    <cfRule type="cellIs" dxfId="237" priority="106" operator="between">
      <formula>$AQ$18</formula>
      <formula>$AQ$19</formula>
    </cfRule>
  </conditionalFormatting>
  <conditionalFormatting sqref="DY25">
    <cfRule type="cellIs" dxfId="236" priority="99" operator="between">
      <formula>$AQ$21</formula>
      <formula>1000</formula>
    </cfRule>
    <cfRule type="cellIs" dxfId="235" priority="100" operator="between">
      <formula>$AQ$20</formula>
      <formula>$AQ$21</formula>
    </cfRule>
    <cfRule type="cellIs" dxfId="234" priority="101" operator="between">
      <formula>$AQ$19</formula>
      <formula>$AQ$20</formula>
    </cfRule>
    <cfRule type="cellIs" dxfId="233" priority="102" operator="between">
      <formula>$AQ$18</formula>
      <formula>$AQ$19</formula>
    </cfRule>
  </conditionalFormatting>
  <conditionalFormatting sqref="FG25">
    <cfRule type="cellIs" dxfId="232" priority="95" operator="between">
      <formula>$AQ$21</formula>
      <formula>1000</formula>
    </cfRule>
    <cfRule type="cellIs" dxfId="231" priority="96" operator="between">
      <formula>$AQ$20</formula>
      <formula>$AQ$21</formula>
    </cfRule>
    <cfRule type="cellIs" dxfId="230" priority="97" operator="between">
      <formula>$AQ$19</formula>
      <formula>$AQ$20</formula>
    </cfRule>
    <cfRule type="cellIs" dxfId="229" priority="98" operator="between">
      <formula>$AQ$18</formula>
      <formula>$AQ$19</formula>
    </cfRule>
  </conditionalFormatting>
  <conditionalFormatting sqref="HW25">
    <cfRule type="cellIs" dxfId="228" priority="91" operator="between">
      <formula>$AQ$21</formula>
      <formula>1000</formula>
    </cfRule>
    <cfRule type="cellIs" dxfId="227" priority="92" operator="between">
      <formula>$AQ$20</formula>
      <formula>$AQ$21</formula>
    </cfRule>
    <cfRule type="cellIs" dxfId="226" priority="93" operator="between">
      <formula>$AQ$19</formula>
      <formula>$AQ$20</formula>
    </cfRule>
    <cfRule type="cellIs" dxfId="225" priority="94" operator="between">
      <formula>$AQ$18</formula>
      <formula>$AQ$19</formula>
    </cfRule>
  </conditionalFormatting>
  <conditionalFormatting sqref="M1:M1048576 K1:K1048576">
    <cfRule type="expression" dxfId="224" priority="88" stopIfTrue="1">
      <formula>IF(K1=$BS$1,1,0)</formula>
    </cfRule>
    <cfRule type="expression" dxfId="223" priority="89">
      <formula>IF(K1=$AR$1,1,0)</formula>
    </cfRule>
    <cfRule type="expression" dxfId="222" priority="90">
      <formula>IF(K1=$Q$1,1,0)</formula>
    </cfRule>
  </conditionalFormatting>
  <conditionalFormatting sqref="A4:A1048576">
    <cfRule type="expression" dxfId="221" priority="86" stopIfTrue="1">
      <formula>AND(G4&lt;&gt;"",F4="")</formula>
    </cfRule>
    <cfRule type="expression" dxfId="220" priority="87" stopIfTrue="1">
      <formula>IF(A4&gt;2,1,0)</formula>
    </cfRule>
  </conditionalFormatting>
  <conditionalFormatting sqref="CN1:CN1048576 AL1:AL1048576">
    <cfRule type="cellIs" dxfId="219" priority="170697" operator="between">
      <formula>AQ$25</formula>
      <formula>1000</formula>
    </cfRule>
    <cfRule type="cellIs" dxfId="218" priority="170698" operator="between">
      <formula>AQ$24</formula>
      <formula>AQ$25</formula>
    </cfRule>
  </conditionalFormatting>
  <conditionalFormatting sqref="DT1:DT1048576 FB1:FB1048576 GJ1:GJ1048576 HR1:HR1048576 IZ1:IZ1048576 KH1:KH1048576 LP1:LP1048576 MX1:MX1048576 OF1:OF1048576 PN1:PN1048576 QV1:QV1048576 SD1:SD1048576 TL1:TL25 UT1:UT25 WB1:WB25">
    <cfRule type="cellIs" dxfId="217" priority="170709" operator="between">
      <formula>EB$25</formula>
      <formula>1000</formula>
    </cfRule>
    <cfRule type="cellIs" dxfId="216" priority="170710" operator="between">
      <formula>EB$24</formula>
      <formula>EB$25</formula>
    </cfRule>
  </conditionalFormatting>
  <conditionalFormatting sqref="AI1:AI1048576 AL1:AL1048576 AP1:AP1048576">
    <cfRule type="cellIs" dxfId="215" priority="170793" operator="between">
      <formula>$AQ$25</formula>
      <formula>1000</formula>
    </cfRule>
    <cfRule type="cellIs" dxfId="214" priority="170794" operator="between">
      <formula>$AQ$24</formula>
      <formula>$AQ$25</formula>
    </cfRule>
    <cfRule type="cellIs" dxfId="213" priority="170795" operator="between">
      <formula>$AQ$23</formula>
      <formula>$AQ$24</formula>
    </cfRule>
    <cfRule type="cellIs" dxfId="212" priority="170796" operator="between">
      <formula>$AQ$22</formula>
      <formula>$AQ$23</formula>
    </cfRule>
  </conditionalFormatting>
  <conditionalFormatting sqref="BJ1:BJ1048576 BM1:BM1048576 BQ1:BQ1048576">
    <cfRule type="cellIs" dxfId="211" priority="170829" operator="between">
      <formula>$BR$25</formula>
      <formula>1000</formula>
    </cfRule>
    <cfRule type="cellIs" dxfId="210" priority="170830" operator="between">
      <formula>$BR$24</formula>
      <formula>$BR$25</formula>
    </cfRule>
    <cfRule type="cellIs" dxfId="209" priority="170831" operator="between">
      <formula>$BR$23</formula>
      <formula>$BR$24</formula>
    </cfRule>
    <cfRule type="cellIs" dxfId="208" priority="170832" operator="between">
      <formula>$BR$22</formula>
      <formula>$BR$23</formula>
    </cfRule>
  </conditionalFormatting>
  <conditionalFormatting sqref="CK1:CK1048576 CN1:CN1048576 CR1:CR1048576">
    <cfRule type="cellIs" dxfId="207" priority="170865" operator="between">
      <formula>$CS$25</formula>
      <formula>1000</formula>
    </cfRule>
    <cfRule type="cellIs" dxfId="206" priority="170866" operator="between">
      <formula>$CS$24</formula>
      <formula>$CS$25</formula>
    </cfRule>
    <cfRule type="cellIs" dxfId="205" priority="170867" operator="between">
      <formula>$CS$23</formula>
      <formula>$CS$24</formula>
    </cfRule>
    <cfRule type="cellIs" dxfId="204" priority="170868" operator="between">
      <formula>$CS$22</formula>
      <formula>$CS$23</formula>
    </cfRule>
  </conditionalFormatting>
  <conditionalFormatting sqref="MS1:MS1048576 MV1:MV1048576 MZ1:MZ1048576 NC1:NC1048576">
    <cfRule type="cellIs" dxfId="203" priority="170901" operator="between">
      <formula>$NF$18</formula>
      <formula>$NF$19</formula>
    </cfRule>
  </conditionalFormatting>
  <conditionalFormatting sqref="DQ1:DQ1048576 DT1:DT1048576 DX1:DX1048576 EA1:EA1048576">
    <cfRule type="cellIs" dxfId="202" priority="170913" operator="between">
      <formula>$EB$25</formula>
      <formula>1000</formula>
    </cfRule>
    <cfRule type="cellIs" dxfId="201" priority="170914" operator="between">
      <formula>$EB$24</formula>
      <formula>$EB$25</formula>
    </cfRule>
    <cfRule type="cellIs" dxfId="200" priority="170915" operator="between">
      <formula>$EB$23</formula>
      <formula>$EB$24</formula>
    </cfRule>
    <cfRule type="cellIs" dxfId="199" priority="170916" operator="between">
      <formula>$EB$22</formula>
      <formula>$EB$23</formula>
    </cfRule>
  </conditionalFormatting>
  <conditionalFormatting sqref="EY1:EY1048576 FB1:FB1048576 FF1:FF1048576 FI1:FI1048576">
    <cfRule type="cellIs" dxfId="198" priority="170961" operator="between">
      <formula>$FJ$25</formula>
      <formula>1000</formula>
    </cfRule>
    <cfRule type="cellIs" dxfId="197" priority="170962" operator="between">
      <formula>$FJ$24</formula>
      <formula>$FJ$25</formula>
    </cfRule>
    <cfRule type="cellIs" dxfId="196" priority="170963" operator="between">
      <formula>$FJ$23</formula>
      <formula>$FJ$24</formula>
    </cfRule>
    <cfRule type="cellIs" dxfId="195" priority="170964" operator="between">
      <formula>$FJ$22</formula>
      <formula>$FJ$23</formula>
    </cfRule>
  </conditionalFormatting>
  <conditionalFormatting sqref="GE1:GE1048576 GH1:GH1048576 GL1:GL1048576 GO1:GO1048576">
    <cfRule type="cellIs" dxfId="194" priority="171009" stopIfTrue="1" operator="between">
      <formula>$GR$19</formula>
      <formula>1000</formula>
    </cfRule>
    <cfRule type="cellIs" dxfId="193" priority="171010" operator="between">
      <formula>$GR$18</formula>
      <formula>$GR$19</formula>
    </cfRule>
  </conditionalFormatting>
  <conditionalFormatting sqref="GG1:GG1048576 GJ1:GJ1048576 GN1:GN1048576 GQ1:GQ1048576">
    <cfRule type="cellIs" dxfId="192" priority="171033" operator="between">
      <formula>$GR$25</formula>
      <formula>1000</formula>
    </cfRule>
    <cfRule type="cellIs" dxfId="191" priority="171034" operator="between">
      <formula>$GR$24</formula>
      <formula>$GR$25</formula>
    </cfRule>
    <cfRule type="cellIs" dxfId="190" priority="171035" operator="between">
      <formula>$GR$23</formula>
      <formula>$GR$24</formula>
    </cfRule>
    <cfRule type="cellIs" dxfId="189" priority="171036" operator="between">
      <formula>$GR$22</formula>
      <formula>$GR$23</formula>
    </cfRule>
  </conditionalFormatting>
  <conditionalFormatting sqref="HO1:HO1048576 HR1:HR1048576 HV1:HV1048576 HY1:HY1048576">
    <cfRule type="cellIs" dxfId="188" priority="171081" operator="between">
      <formula>$HZ$25</formula>
      <formula>1000</formula>
    </cfRule>
    <cfRule type="cellIs" dxfId="187" priority="171082" operator="between">
      <formula>$HZ$24</formula>
      <formula>$HZ$25</formula>
    </cfRule>
    <cfRule type="cellIs" dxfId="186" priority="171083" operator="between">
      <formula>$HZ$23</formula>
      <formula>$HZ$24</formula>
    </cfRule>
    <cfRule type="cellIs" dxfId="185" priority="171084" operator="between">
      <formula>$HZ$22</formula>
      <formula>$HZ$23</formula>
    </cfRule>
  </conditionalFormatting>
  <conditionalFormatting sqref="IU1:IU1048576 IX1:IX1048576 JB1:JB1048576 JE1:JE1048576">
    <cfRule type="cellIs" dxfId="184" priority="171129" stopIfTrue="1" operator="between">
      <formula>$JH$19</formula>
      <formula>1000</formula>
    </cfRule>
    <cfRule type="cellIs" dxfId="183" priority="171130" operator="between">
      <formula>$JH$18</formula>
      <formula>$JH$19</formula>
    </cfRule>
  </conditionalFormatting>
  <conditionalFormatting sqref="IW1:IW1048576 IZ1:IZ1048576 JD1:JD1048576 JG1:JG1048576">
    <cfRule type="cellIs" dxfId="182" priority="171153" operator="between">
      <formula>$JH$25</formula>
      <formula>1000</formula>
    </cfRule>
    <cfRule type="cellIs" dxfId="181" priority="171154" operator="between">
      <formula>$JH$24</formula>
      <formula>$JH$25</formula>
    </cfRule>
    <cfRule type="cellIs" dxfId="180" priority="171155" operator="between">
      <formula>$JH$23</formula>
      <formula>$JH$24</formula>
    </cfRule>
    <cfRule type="cellIs" dxfId="179" priority="171156" operator="between">
      <formula>$JH$22</formula>
      <formula>$JH$23</formula>
    </cfRule>
  </conditionalFormatting>
  <conditionalFormatting sqref="KC1:KC1048576 KF1:KF1048576 KJ1:KJ1048576 KM1:KM1048576">
    <cfRule type="cellIs" dxfId="178" priority="171201" stopIfTrue="1" operator="between">
      <formula>$KP$19</formula>
      <formula>1000</formula>
    </cfRule>
    <cfRule type="cellIs" dxfId="177" priority="171202" operator="between">
      <formula>$KP$18</formula>
      <formula>$KP$19</formula>
    </cfRule>
  </conditionalFormatting>
  <conditionalFormatting sqref="KE1:KE1048576 KH1:KH1048576 KL1:KL1048576 KO1:KO1048576">
    <cfRule type="cellIs" dxfId="176" priority="171225" operator="between">
      <formula>$KP$25</formula>
      <formula>1000</formula>
    </cfRule>
    <cfRule type="cellIs" dxfId="175" priority="171226" operator="between">
      <formula>$KP$24</formula>
      <formula>$KP$25</formula>
    </cfRule>
    <cfRule type="cellIs" dxfId="174" priority="171227" operator="between">
      <formula>$KP$23</formula>
      <formula>$KP$24</formula>
    </cfRule>
    <cfRule type="cellIs" dxfId="173" priority="171228" operator="between">
      <formula>$KP$22</formula>
      <formula>$KP$23</formula>
    </cfRule>
  </conditionalFormatting>
  <conditionalFormatting sqref="LK1:LK1048576 LN1:LN1048576 LR1:LR1048576 LU1:LU1048576">
    <cfRule type="cellIs" dxfId="172" priority="171273" stopIfTrue="1" operator="between">
      <formula>$LX$19</formula>
      <formula>1000</formula>
    </cfRule>
    <cfRule type="cellIs" dxfId="171" priority="171274" operator="between">
      <formula>$LX$18</formula>
      <formula>$LX$19</formula>
    </cfRule>
  </conditionalFormatting>
  <conditionalFormatting sqref="LM1:LM1048576 LP1:LP1048576 LT1:LT1048576 LW1:LW1048576">
    <cfRule type="cellIs" dxfId="170" priority="171297" operator="between">
      <formula>$LX$25</formula>
      <formula>1000</formula>
    </cfRule>
    <cfRule type="cellIs" dxfId="169" priority="171298" operator="between">
      <formula>$LX$24</formula>
      <formula>$LX$25</formula>
    </cfRule>
    <cfRule type="cellIs" dxfId="168" priority="171299" operator="between">
      <formula>$LX$23</formula>
      <formula>$LX$24</formula>
    </cfRule>
    <cfRule type="cellIs" dxfId="167" priority="171300" operator="between">
      <formula>$LX$22</formula>
      <formula>$LX$23</formula>
    </cfRule>
  </conditionalFormatting>
  <conditionalFormatting sqref="MS1:MS1048576 MV1:MV1048576 MZ1:MZ1048576">
    <cfRule type="cellIs" dxfId="166" priority="171345" operator="between">
      <formula>$NF$19</formula>
      <formula>1000</formula>
    </cfRule>
  </conditionalFormatting>
  <conditionalFormatting sqref="MU1:MU1048576 MX1:MX1048576 NB1:NB1048576 NE1:NE1048576">
    <cfRule type="cellIs" dxfId="165" priority="171354" operator="between">
      <formula>$NF$25</formula>
      <formula>1000</formula>
    </cfRule>
    <cfRule type="cellIs" dxfId="164" priority="171355" operator="between">
      <formula>$NF$24</formula>
      <formula>$NF$25</formula>
    </cfRule>
    <cfRule type="cellIs" dxfId="163" priority="171356" operator="between">
      <formula>$NF$23</formula>
      <formula>$NF$24</formula>
    </cfRule>
    <cfRule type="cellIs" dxfId="162" priority="171357" operator="between">
      <formula>$NF$22</formula>
      <formula>$NF$23</formula>
    </cfRule>
  </conditionalFormatting>
  <conditionalFormatting sqref="OA1:OA1048576 OD1:OD1048576 OH1:OH1048576 OK1:OK1048576">
    <cfRule type="cellIs" dxfId="161" priority="171402" stopIfTrue="1" operator="between">
      <formula>$ON$19</formula>
      <formula>1000</formula>
    </cfRule>
    <cfRule type="cellIs" dxfId="160" priority="171403" operator="between">
      <formula>$ON$18</formula>
      <formula>$ON$19</formula>
    </cfRule>
  </conditionalFormatting>
  <conditionalFormatting sqref="OC1:OC1048576 OF1:OF1048576 OJ1:OJ1048576 OM1:OM1048576">
    <cfRule type="cellIs" dxfId="159" priority="171426" operator="between">
      <formula>$ON$25</formula>
      <formula>1000</formula>
    </cfRule>
    <cfRule type="cellIs" dxfId="158" priority="171427" operator="between">
      <formula>$ON$24</formula>
      <formula>$ON$25</formula>
    </cfRule>
    <cfRule type="cellIs" dxfId="157" priority="171428" operator="between">
      <formula>$ON$23</formula>
      <formula>$ON$24</formula>
    </cfRule>
    <cfRule type="cellIs" dxfId="156" priority="171429" operator="between">
      <formula>$ON$22</formula>
      <formula>$ON$23</formula>
    </cfRule>
  </conditionalFormatting>
  <conditionalFormatting sqref="PI1:PI1048576 PL1:PL1048576 PP1:PP1048576 PS1:PS1048576">
    <cfRule type="cellIs" dxfId="155" priority="171474" stopIfTrue="1" operator="between">
      <formula>$PV$19</formula>
      <formula>1000</formula>
    </cfRule>
    <cfRule type="cellIs" dxfId="154" priority="171475" operator="between">
      <formula>$PV$18</formula>
      <formula>$PV$19</formula>
    </cfRule>
  </conditionalFormatting>
  <conditionalFormatting sqref="PK1:PK1048576 PN1:PN1048576 PR1:PR1048576 PU1:PU1048576">
    <cfRule type="cellIs" dxfId="153" priority="171498" operator="between">
      <formula>$PV$25</formula>
      <formula>1000</formula>
    </cfRule>
    <cfRule type="cellIs" dxfId="152" priority="171499" operator="between">
      <formula>$PV$24</formula>
      <formula>$PV$25</formula>
    </cfRule>
    <cfRule type="cellIs" dxfId="151" priority="171500" operator="between">
      <formula>$PV$23</formula>
      <formula>$PV$24</formula>
    </cfRule>
    <cfRule type="cellIs" dxfId="150" priority="171501" operator="between">
      <formula>$PV$22</formula>
      <formula>$PV$23</formula>
    </cfRule>
  </conditionalFormatting>
  <conditionalFormatting sqref="QQ1:QQ1048576 QT1:QT1048576 QX1:QX1048576 RA1:RA1048576">
    <cfRule type="cellIs" dxfId="149" priority="171546" stopIfTrue="1" operator="between">
      <formula>$RD$19</formula>
      <formula>1000</formula>
    </cfRule>
    <cfRule type="cellIs" dxfId="148" priority="171547" operator="between">
      <formula>$RD$18</formula>
      <formula>$RD$19</formula>
    </cfRule>
  </conditionalFormatting>
  <conditionalFormatting sqref="QS1:QS1048576 QV1:QV1048576 QZ1:QZ1048576 RC1:RC1048576">
    <cfRule type="cellIs" dxfId="147" priority="171570" operator="between">
      <formula>$RD$25</formula>
      <formula>1000</formula>
    </cfRule>
    <cfRule type="cellIs" dxfId="146" priority="171571" operator="between">
      <formula>$RD$24</formula>
      <formula>$RD$25</formula>
    </cfRule>
    <cfRule type="cellIs" dxfId="145" priority="171572" operator="between">
      <formula>$RD$23</formula>
      <formula>$RD$24</formula>
    </cfRule>
    <cfRule type="cellIs" dxfId="144" priority="171573" operator="between">
      <formula>$RD$22</formula>
      <formula>$RD$23</formula>
    </cfRule>
  </conditionalFormatting>
  <conditionalFormatting sqref="RY1:RY1048576 SB1:SB1048576 SF1:SF1048576 SI1:SI1048576 TG1:TG25 TJ1:TJ25 TN1:TN25 TQ1:TQ25 UO1:UO25 UR1:UR25 UV1:UV25 UY1:UY25 VW1:VW25 VZ1:VZ25 WD1:WD25 WG1:WG25">
    <cfRule type="cellIs" dxfId="143" priority="171618" operator="between">
      <formula>$SL$19</formula>
      <formula>1000</formula>
    </cfRule>
    <cfRule type="cellIs" dxfId="142" priority="171619" operator="between">
      <formula>$SL$18</formula>
      <formula>$SL$19</formula>
    </cfRule>
  </conditionalFormatting>
  <conditionalFormatting sqref="SA1:SA1048576 SD1:SD1048576 SH1:SH1048576 SK1:SK1048576 TI1:TI25 TL1:TL25 TP1:TP25 TS1:TS25 UQ1:UQ25 UT1:UT25 UX1:UX25 VA1:VA25 VY1:VY25 WB1:WB25 WF1:WF25 WI1:WI25">
    <cfRule type="cellIs" dxfId="141" priority="171690" operator="between">
      <formula>$SL$25</formula>
      <formula>1000</formula>
    </cfRule>
    <cfRule type="cellIs" dxfId="140" priority="171691" operator="between">
      <formula>$SL$24</formula>
      <formula>$SL$25</formula>
    </cfRule>
    <cfRule type="cellIs" dxfId="139" priority="171692" operator="between">
      <formula>$SL$23</formula>
      <formula>$SL$24</formula>
    </cfRule>
    <cfRule type="cellIs" dxfId="138" priority="171693" operator="between">
      <formula>$SL$22</formula>
      <formula>$SL$23</formula>
    </cfRule>
  </conditionalFormatting>
  <conditionalFormatting sqref="DY1:DY1048576 DO1:DO1048576 DR1:DR1048576 DV1:DV1048576">
    <cfRule type="cellIs" dxfId="137" priority="171834" stopIfTrue="1" operator="between">
      <formula>$EB$19</formula>
      <formula>1000</formula>
    </cfRule>
  </conditionalFormatting>
  <conditionalFormatting sqref="FG1:FG1048576 EW1:EW1048576 EZ1:EZ1048576 FD1:FD1048576">
    <cfRule type="cellIs" dxfId="136" priority="171846" stopIfTrue="1" operator="between">
      <formula>$FJ$19</formula>
      <formula>1000</formula>
    </cfRule>
  </conditionalFormatting>
  <conditionalFormatting sqref="HW1:HW1048576 HM1:HM1048576 HP1:HP1048576 HT1:HT1048576">
    <cfRule type="cellIs" dxfId="135" priority="171858" stopIfTrue="1" operator="between">
      <formula>$HZ$19</formula>
      <formula>1000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C9AA7-679C-504C-8D78-FE94EB4E25E6}">
  <sheetPr codeName="Sheet10"/>
  <dimension ref="A1:XT4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hidden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2" customWidth="1"/>
    <col min="44" max="59" width="10.83203125" hidden="1" customWidth="1"/>
    <col min="60" max="70" width="10.83203125" style="32" customWidth="1"/>
    <col min="71" max="86" width="10.83203125" hidden="1" customWidth="1"/>
    <col min="87" max="97" width="10.83203125" style="32" customWidth="1"/>
    <col min="98" max="98" width="12.83203125" style="32" customWidth="1"/>
    <col min="99" max="118" width="10.83203125" hidden="1" customWidth="1"/>
    <col min="119" max="131" width="10.83203125" customWidth="1"/>
    <col min="132" max="132" width="10.83203125" style="32" customWidth="1"/>
    <col min="133" max="152" width="10.83203125" hidden="1" customWidth="1"/>
    <col min="153" max="165" width="10.83203125" customWidth="1"/>
    <col min="166" max="166" width="10.83203125" style="32" customWidth="1"/>
    <col min="167" max="186" width="10.83203125" hidden="1" customWidth="1"/>
    <col min="187" max="199" width="10.83203125" customWidth="1"/>
    <col min="200" max="200" width="10.83203125" style="32" customWidth="1"/>
    <col min="201" max="233" width="10.83203125" hidden="1" customWidth="1"/>
    <col min="234" max="234" width="10.83203125" style="32" hidden="1" customWidth="1"/>
    <col min="235" max="267" width="10.83203125" hidden="1" customWidth="1"/>
    <col min="268" max="268" width="10.83203125" style="32" hidden="1" customWidth="1"/>
    <col min="269" max="533" width="10.83203125" hidden="1" customWidth="1"/>
    <col min="534" max="534" width="11.83203125" hidden="1" customWidth="1"/>
    <col min="535" max="535" width="12.83203125" hidden="1" customWidth="1"/>
    <col min="536" max="567" width="10.83203125" hidden="1" customWidth="1"/>
    <col min="568" max="568" width="11.83203125" hidden="1" customWidth="1"/>
    <col min="569" max="569" width="12.83203125" hidden="1" customWidth="1"/>
    <col min="570" max="601" width="10.83203125" hidden="1" customWidth="1"/>
    <col min="602" max="602" width="11.83203125" hidden="1" customWidth="1"/>
    <col min="603" max="603" width="12.83203125" hidden="1" customWidth="1"/>
    <col min="604" max="608" width="10.83203125" hidden="1" customWidth="1"/>
  </cols>
  <sheetData>
    <row r="1" spans="1:608" x14ac:dyDescent="0.2">
      <c r="A1" s="57" t="s">
        <v>1</v>
      </c>
      <c r="B1" s="57" t="s">
        <v>26</v>
      </c>
      <c r="C1" s="57" t="s">
        <v>0</v>
      </c>
      <c r="D1" s="57" t="s">
        <v>44</v>
      </c>
      <c r="E1" s="57" t="s">
        <v>2</v>
      </c>
      <c r="F1" s="58" t="s">
        <v>177</v>
      </c>
      <c r="G1" s="57" t="s">
        <v>9</v>
      </c>
      <c r="H1" s="57" t="s">
        <v>10</v>
      </c>
      <c r="I1" s="57" t="s">
        <v>61</v>
      </c>
      <c r="J1" s="53" t="s">
        <v>74</v>
      </c>
      <c r="K1" s="52" t="s">
        <v>28</v>
      </c>
      <c r="L1" s="53" t="s">
        <v>84</v>
      </c>
      <c r="M1" s="52" t="s">
        <v>28</v>
      </c>
      <c r="N1" s="59" t="s">
        <v>12</v>
      </c>
      <c r="O1" s="52" t="s">
        <v>29</v>
      </c>
      <c r="P1" s="52" t="s">
        <v>28</v>
      </c>
      <c r="Q1" s="56" t="s">
        <v>134</v>
      </c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61" t="s">
        <v>150</v>
      </c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56" t="s">
        <v>231</v>
      </c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0"/>
      <c r="CU1" s="56" t="s">
        <v>127</v>
      </c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  <c r="DU1" s="56"/>
      <c r="DV1" s="56"/>
      <c r="DW1" s="56"/>
      <c r="DX1" s="56"/>
      <c r="DY1" s="56"/>
      <c r="DZ1" s="56"/>
      <c r="EA1" s="56"/>
      <c r="EB1" s="56"/>
      <c r="EC1" s="61" t="s">
        <v>153</v>
      </c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56" t="s">
        <v>165</v>
      </c>
      <c r="FL1" s="56"/>
      <c r="FM1" s="56"/>
      <c r="FN1" s="56"/>
      <c r="FO1" s="56"/>
      <c r="FP1" s="56"/>
      <c r="FQ1" s="56"/>
      <c r="FR1" s="56"/>
      <c r="FS1" s="56"/>
      <c r="FT1" s="56"/>
      <c r="FU1" s="56"/>
      <c r="FV1" s="56"/>
      <c r="FW1" s="56"/>
      <c r="FX1" s="56"/>
      <c r="FY1" s="56"/>
      <c r="FZ1" s="56"/>
      <c r="GA1" s="56"/>
      <c r="GB1" s="56"/>
      <c r="GC1" s="56"/>
      <c r="GD1" s="56"/>
      <c r="GE1" s="56"/>
      <c r="GF1" s="56"/>
      <c r="GG1" s="56"/>
      <c r="GH1" s="56"/>
      <c r="GI1" s="56"/>
      <c r="GJ1" s="56"/>
      <c r="GK1" s="56"/>
      <c r="GL1" s="56"/>
      <c r="GM1" s="56"/>
      <c r="GN1" s="56"/>
      <c r="GO1" s="56"/>
      <c r="GP1" s="56"/>
      <c r="GQ1" s="56"/>
      <c r="GR1" s="56"/>
      <c r="GS1" s="61"/>
      <c r="GT1" s="61"/>
      <c r="GU1" s="61"/>
      <c r="GV1" s="61"/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61"/>
      <c r="HN1" s="61"/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56"/>
      <c r="IB1" s="56"/>
      <c r="IC1" s="56"/>
      <c r="ID1" s="56"/>
      <c r="IE1" s="56"/>
      <c r="IF1" s="56"/>
      <c r="IG1" s="56"/>
      <c r="IH1" s="56"/>
      <c r="II1" s="56"/>
      <c r="IJ1" s="56"/>
      <c r="IK1" s="56"/>
      <c r="IL1" s="56"/>
      <c r="IM1" s="56"/>
      <c r="IN1" s="56"/>
      <c r="IO1" s="56"/>
      <c r="IP1" s="56"/>
      <c r="IQ1" s="56"/>
      <c r="IR1" s="56"/>
      <c r="IS1" s="56"/>
      <c r="IT1" s="56"/>
      <c r="IU1" s="56"/>
      <c r="IV1" s="56"/>
      <c r="IW1" s="56"/>
      <c r="IX1" s="56"/>
      <c r="IY1" s="56"/>
      <c r="IZ1" s="56"/>
      <c r="JA1" s="56"/>
      <c r="JB1" s="56"/>
      <c r="JC1" s="56"/>
      <c r="JD1" s="56"/>
      <c r="JE1" s="56"/>
      <c r="JF1" s="56"/>
      <c r="JG1" s="56"/>
      <c r="JH1" s="56"/>
      <c r="JI1" s="61"/>
      <c r="JJ1" s="61"/>
      <c r="JK1" s="61"/>
      <c r="JL1" s="61"/>
      <c r="JM1" s="61"/>
      <c r="JN1" s="61"/>
      <c r="JO1" s="61"/>
      <c r="JP1" s="61"/>
      <c r="JQ1" s="61"/>
      <c r="JR1" s="61"/>
      <c r="JS1" s="61"/>
      <c r="JT1" s="61"/>
      <c r="JU1" s="61"/>
      <c r="JV1" s="61"/>
      <c r="JW1" s="61"/>
      <c r="JX1" s="61"/>
      <c r="JY1" s="61"/>
      <c r="JZ1" s="61"/>
      <c r="KA1" s="61"/>
      <c r="KB1" s="61"/>
      <c r="KC1" s="61"/>
      <c r="KD1" s="61"/>
      <c r="KE1" s="61"/>
      <c r="KF1" s="61"/>
      <c r="KG1" s="61"/>
      <c r="KH1" s="61"/>
      <c r="KI1" s="61"/>
      <c r="KJ1" s="61"/>
      <c r="KK1" s="61"/>
      <c r="KL1" s="61"/>
      <c r="KM1" s="61"/>
      <c r="KN1" s="61"/>
      <c r="KO1" s="61"/>
      <c r="KP1" s="61"/>
      <c r="KQ1" s="56"/>
      <c r="KR1" s="56"/>
      <c r="KS1" s="56"/>
      <c r="KT1" s="56"/>
      <c r="KU1" s="56"/>
      <c r="KV1" s="56"/>
      <c r="KW1" s="56"/>
      <c r="KX1" s="56"/>
      <c r="KY1" s="56"/>
      <c r="KZ1" s="56"/>
      <c r="LA1" s="56"/>
      <c r="LB1" s="56"/>
      <c r="LC1" s="56"/>
      <c r="LD1" s="56"/>
      <c r="LE1" s="56"/>
      <c r="LF1" s="56"/>
      <c r="LG1" s="56"/>
      <c r="LH1" s="56"/>
      <c r="LI1" s="56"/>
      <c r="LJ1" s="56"/>
      <c r="LK1" s="56"/>
      <c r="LL1" s="56"/>
      <c r="LM1" s="56"/>
      <c r="LN1" s="56"/>
      <c r="LO1" s="56"/>
      <c r="LP1" s="56"/>
      <c r="LQ1" s="56"/>
      <c r="LR1" s="56"/>
      <c r="LS1" s="56"/>
      <c r="LT1" s="56"/>
      <c r="LU1" s="56"/>
      <c r="LV1" s="56"/>
      <c r="LW1" s="56"/>
      <c r="LX1" s="56"/>
      <c r="LY1" s="61"/>
      <c r="LZ1" s="61"/>
      <c r="MA1" s="61"/>
      <c r="MB1" s="61"/>
      <c r="MC1" s="61"/>
      <c r="MD1" s="61"/>
      <c r="ME1" s="61"/>
      <c r="MF1" s="61"/>
      <c r="MG1" s="61"/>
      <c r="MH1" s="61"/>
      <c r="MI1" s="61"/>
      <c r="MJ1" s="61"/>
      <c r="MK1" s="61"/>
      <c r="ML1" s="61"/>
      <c r="MM1" s="61"/>
      <c r="MN1" s="61"/>
      <c r="MO1" s="61"/>
      <c r="MP1" s="61"/>
      <c r="MQ1" s="61"/>
      <c r="MR1" s="61"/>
      <c r="MS1" s="61"/>
      <c r="MT1" s="61"/>
      <c r="MU1" s="61"/>
      <c r="MV1" s="61"/>
      <c r="MW1" s="61"/>
      <c r="MX1" s="61"/>
      <c r="MY1" s="61"/>
      <c r="MZ1" s="61"/>
      <c r="NA1" s="61"/>
      <c r="NB1" s="61"/>
      <c r="NC1" s="61"/>
      <c r="ND1" s="61"/>
      <c r="NE1" s="61"/>
      <c r="NF1" s="61"/>
      <c r="NG1" s="56"/>
      <c r="NH1" s="56"/>
      <c r="NI1" s="56"/>
      <c r="NJ1" s="56"/>
      <c r="NK1" s="56"/>
      <c r="NL1" s="56"/>
      <c r="NM1" s="56"/>
      <c r="NN1" s="56"/>
      <c r="NO1" s="56"/>
      <c r="NP1" s="56"/>
      <c r="NQ1" s="56"/>
      <c r="NR1" s="56"/>
      <c r="NS1" s="56"/>
      <c r="NT1" s="56"/>
      <c r="NU1" s="56"/>
      <c r="NV1" s="56"/>
      <c r="NW1" s="56"/>
      <c r="NX1" s="56"/>
      <c r="NY1" s="56"/>
      <c r="NZ1" s="56"/>
      <c r="OA1" s="56"/>
      <c r="OB1" s="56"/>
      <c r="OC1" s="56"/>
      <c r="OD1" s="56"/>
      <c r="OE1" s="56"/>
      <c r="OF1" s="56"/>
      <c r="OG1" s="56"/>
      <c r="OH1" s="56"/>
      <c r="OI1" s="56"/>
      <c r="OJ1" s="56"/>
      <c r="OK1" s="56"/>
      <c r="OL1" s="56"/>
      <c r="OM1" s="56"/>
      <c r="ON1" s="56"/>
      <c r="OO1" s="61"/>
      <c r="OP1" s="61"/>
      <c r="OQ1" s="61"/>
      <c r="OR1" s="61"/>
      <c r="OS1" s="61"/>
      <c r="OT1" s="61"/>
      <c r="OU1" s="61"/>
      <c r="OV1" s="61"/>
      <c r="OW1" s="61"/>
      <c r="OX1" s="61"/>
      <c r="OY1" s="61"/>
      <c r="OZ1" s="61"/>
      <c r="PA1" s="61"/>
      <c r="PB1" s="61"/>
      <c r="PC1" s="61"/>
      <c r="PD1" s="61"/>
      <c r="PE1" s="61"/>
      <c r="PF1" s="61"/>
      <c r="PG1" s="61"/>
      <c r="PH1" s="61"/>
      <c r="PI1" s="61"/>
      <c r="PJ1" s="61"/>
      <c r="PK1" s="61"/>
      <c r="PL1" s="61"/>
      <c r="PM1" s="61"/>
      <c r="PN1" s="61"/>
      <c r="PO1" s="61"/>
      <c r="PP1" s="61"/>
      <c r="PQ1" s="61"/>
      <c r="PR1" s="61"/>
      <c r="PS1" s="61"/>
      <c r="PT1" s="61"/>
      <c r="PU1" s="61"/>
      <c r="PV1" s="61"/>
      <c r="PW1" s="56"/>
      <c r="PX1" s="56"/>
      <c r="PY1" s="56"/>
      <c r="PZ1" s="56"/>
      <c r="QA1" s="56"/>
      <c r="QB1" s="56"/>
      <c r="QC1" s="56"/>
      <c r="QD1" s="56"/>
      <c r="QE1" s="56"/>
      <c r="QF1" s="56"/>
      <c r="QG1" s="56"/>
      <c r="QH1" s="56"/>
      <c r="QI1" s="56"/>
      <c r="QJ1" s="56"/>
      <c r="QK1" s="56"/>
      <c r="QL1" s="56"/>
      <c r="QM1" s="56"/>
      <c r="QN1" s="56"/>
      <c r="QO1" s="56"/>
      <c r="QP1" s="56"/>
      <c r="QQ1" s="56"/>
      <c r="QR1" s="56"/>
      <c r="QS1" s="56"/>
      <c r="QT1" s="56"/>
      <c r="QU1" s="56"/>
      <c r="QV1" s="56"/>
      <c r="QW1" s="56"/>
      <c r="QX1" s="56"/>
      <c r="QY1" s="56"/>
      <c r="QZ1" s="56"/>
      <c r="RA1" s="56"/>
      <c r="RB1" s="56"/>
      <c r="RC1" s="56"/>
      <c r="RD1" s="56"/>
      <c r="RE1" s="61"/>
      <c r="RF1" s="61"/>
      <c r="RG1" s="61"/>
      <c r="RH1" s="61"/>
      <c r="RI1" s="61"/>
      <c r="RJ1" s="61"/>
      <c r="RK1" s="61"/>
      <c r="RL1" s="61"/>
      <c r="RM1" s="61"/>
      <c r="RN1" s="61"/>
      <c r="RO1" s="61"/>
      <c r="RP1" s="61"/>
      <c r="RQ1" s="61"/>
      <c r="RR1" s="61"/>
      <c r="RS1" s="61"/>
      <c r="RT1" s="61"/>
      <c r="RU1" s="61"/>
      <c r="RV1" s="61"/>
      <c r="RW1" s="61"/>
      <c r="RX1" s="61"/>
      <c r="RY1" s="61"/>
      <c r="RZ1" s="61"/>
      <c r="SA1" s="61"/>
      <c r="SB1" s="61"/>
      <c r="SC1" s="61"/>
      <c r="SD1" s="61"/>
      <c r="SE1" s="61"/>
      <c r="SF1" s="61"/>
      <c r="SG1" s="61"/>
      <c r="SH1" s="61"/>
      <c r="SI1" s="61"/>
      <c r="SJ1" s="61"/>
      <c r="SK1" s="61"/>
      <c r="SL1" s="61"/>
      <c r="SM1" s="56"/>
      <c r="SN1" s="56"/>
      <c r="SO1" s="56"/>
      <c r="SP1" s="56"/>
      <c r="SQ1" s="56"/>
      <c r="SR1" s="56"/>
      <c r="SS1" s="56"/>
      <c r="ST1" s="56"/>
      <c r="SU1" s="56"/>
      <c r="SV1" s="56"/>
      <c r="SW1" s="56"/>
      <c r="SX1" s="56"/>
      <c r="SY1" s="56"/>
      <c r="SZ1" s="56"/>
      <c r="TA1" s="56"/>
      <c r="TB1" s="56"/>
      <c r="TC1" s="56"/>
      <c r="TD1" s="56"/>
      <c r="TE1" s="56"/>
      <c r="TF1" s="56"/>
      <c r="TG1" s="56"/>
      <c r="TH1" s="56"/>
      <c r="TI1" s="56"/>
      <c r="TJ1" s="56"/>
      <c r="TK1" s="56"/>
      <c r="TL1" s="56"/>
      <c r="TM1" s="56"/>
      <c r="TN1" s="56"/>
      <c r="TO1" s="56"/>
      <c r="TP1" s="56"/>
      <c r="TQ1" s="56"/>
      <c r="TR1" s="56"/>
      <c r="TS1" s="56"/>
      <c r="TT1" s="56"/>
      <c r="TU1" s="61"/>
      <c r="TV1" s="61"/>
      <c r="TW1" s="61"/>
      <c r="TX1" s="61"/>
      <c r="TY1" s="61"/>
      <c r="TZ1" s="61"/>
      <c r="UA1" s="61"/>
      <c r="UB1" s="61"/>
      <c r="UC1" s="61"/>
      <c r="UD1" s="61"/>
      <c r="UE1" s="61"/>
      <c r="UF1" s="61"/>
      <c r="UG1" s="61"/>
      <c r="UH1" s="61"/>
      <c r="UI1" s="61"/>
      <c r="UJ1" s="61"/>
      <c r="UK1" s="61"/>
      <c r="UL1" s="61"/>
      <c r="UM1" s="61"/>
      <c r="UN1" s="61"/>
      <c r="UO1" s="61"/>
      <c r="UP1" s="61"/>
      <c r="UQ1" s="61"/>
      <c r="UR1" s="61"/>
      <c r="US1" s="61"/>
      <c r="UT1" s="61"/>
      <c r="UU1" s="61"/>
      <c r="UV1" s="61"/>
      <c r="UW1" s="61"/>
      <c r="UX1" s="61"/>
      <c r="UY1" s="61"/>
      <c r="UZ1" s="61"/>
      <c r="VA1" s="61"/>
      <c r="VB1" s="61"/>
      <c r="VC1" s="56"/>
      <c r="VD1" s="56"/>
      <c r="VE1" s="56"/>
      <c r="VF1" s="56"/>
      <c r="VG1" s="56"/>
      <c r="VH1" s="56"/>
      <c r="VI1" s="56"/>
      <c r="VJ1" s="56"/>
      <c r="VK1" s="56"/>
      <c r="VL1" s="56"/>
      <c r="VM1" s="56"/>
      <c r="VN1" s="56"/>
      <c r="VO1" s="56"/>
      <c r="VP1" s="56"/>
      <c r="VQ1" s="56"/>
      <c r="VR1" s="56"/>
      <c r="VS1" s="56"/>
      <c r="VT1" s="56"/>
      <c r="VU1" s="56"/>
      <c r="VV1" s="56"/>
      <c r="VW1" s="56"/>
      <c r="VX1" s="56"/>
      <c r="VY1" s="56"/>
      <c r="VZ1" s="56"/>
      <c r="WA1" s="56"/>
      <c r="WB1" s="56"/>
      <c r="WC1" s="56"/>
      <c r="WD1" s="56"/>
      <c r="WE1" s="56"/>
      <c r="WF1" s="56"/>
      <c r="WG1" s="56"/>
      <c r="WH1" s="56"/>
      <c r="WI1" s="56"/>
      <c r="WJ1" s="56"/>
    </row>
    <row r="2" spans="1:608" x14ac:dyDescent="0.2">
      <c r="A2" s="57"/>
      <c r="B2" s="57"/>
      <c r="C2" s="57"/>
      <c r="D2" s="57"/>
      <c r="E2" s="57"/>
      <c r="F2" s="58"/>
      <c r="G2" s="57"/>
      <c r="H2" s="57"/>
      <c r="I2" s="57"/>
      <c r="J2" s="53"/>
      <c r="K2" s="52"/>
      <c r="L2" s="53"/>
      <c r="M2" s="52"/>
      <c r="N2" s="59"/>
      <c r="O2" s="52"/>
      <c r="P2" s="52"/>
      <c r="Q2" s="55" t="s">
        <v>17</v>
      </c>
      <c r="R2" s="55"/>
      <c r="S2" s="55"/>
      <c r="T2" s="55"/>
      <c r="U2" s="55"/>
      <c r="V2" s="55" t="s">
        <v>18</v>
      </c>
      <c r="W2" s="55"/>
      <c r="X2" s="55"/>
      <c r="Y2" s="55"/>
      <c r="Z2" s="55"/>
      <c r="AA2" s="55" t="s">
        <v>21</v>
      </c>
      <c r="AB2" s="55"/>
      <c r="AC2" s="55"/>
      <c r="AD2" s="55"/>
      <c r="AE2" s="55"/>
      <c r="AF2" s="14"/>
      <c r="AG2" s="14" t="s">
        <v>66</v>
      </c>
      <c r="AH2" s="14" t="s">
        <v>67</v>
      </c>
      <c r="AI2" s="14" t="s">
        <v>19</v>
      </c>
      <c r="AJ2" s="14" t="s">
        <v>58</v>
      </c>
      <c r="AK2" s="14" t="s">
        <v>68</v>
      </c>
      <c r="AL2" s="14" t="s">
        <v>20</v>
      </c>
      <c r="AM2" s="14" t="s">
        <v>22</v>
      </c>
      <c r="AN2" s="14" t="s">
        <v>69</v>
      </c>
      <c r="AO2" s="14" t="s">
        <v>70</v>
      </c>
      <c r="AP2" s="14" t="s">
        <v>21</v>
      </c>
      <c r="AQ2" s="14" t="s">
        <v>16</v>
      </c>
      <c r="AR2" s="60" t="s">
        <v>17</v>
      </c>
      <c r="AS2" s="60"/>
      <c r="AT2" s="60"/>
      <c r="AU2" s="60"/>
      <c r="AV2" s="60"/>
      <c r="AW2" s="60" t="s">
        <v>18</v>
      </c>
      <c r="AX2" s="60"/>
      <c r="AY2" s="60"/>
      <c r="AZ2" s="60"/>
      <c r="BA2" s="60"/>
      <c r="BB2" s="60" t="s">
        <v>21</v>
      </c>
      <c r="BC2" s="60"/>
      <c r="BD2" s="60"/>
      <c r="BE2" s="60"/>
      <c r="BF2" s="60"/>
      <c r="BG2" s="13"/>
      <c r="BH2" s="13" t="s">
        <v>66</v>
      </c>
      <c r="BI2" s="13" t="s">
        <v>67</v>
      </c>
      <c r="BJ2" s="13" t="s">
        <v>19</v>
      </c>
      <c r="BK2" s="13" t="s">
        <v>58</v>
      </c>
      <c r="BL2" s="13" t="s">
        <v>68</v>
      </c>
      <c r="BM2" s="13" t="s">
        <v>20</v>
      </c>
      <c r="BN2" s="13" t="s">
        <v>22</v>
      </c>
      <c r="BO2" s="13" t="s">
        <v>69</v>
      </c>
      <c r="BP2" s="13" t="s">
        <v>70</v>
      </c>
      <c r="BQ2" s="13" t="s">
        <v>21</v>
      </c>
      <c r="BR2" s="13" t="s">
        <v>16</v>
      </c>
      <c r="BS2" s="55" t="s">
        <v>17</v>
      </c>
      <c r="BT2" s="55"/>
      <c r="BU2" s="55"/>
      <c r="BV2" s="55"/>
      <c r="BW2" s="55"/>
      <c r="BX2" s="55" t="s">
        <v>18</v>
      </c>
      <c r="BY2" s="55"/>
      <c r="BZ2" s="55"/>
      <c r="CA2" s="55"/>
      <c r="CB2" s="55"/>
      <c r="CC2" s="55" t="s">
        <v>21</v>
      </c>
      <c r="CD2" s="55"/>
      <c r="CE2" s="55"/>
      <c r="CF2" s="55"/>
      <c r="CG2" s="55"/>
      <c r="CH2" s="14"/>
      <c r="CI2" s="14" t="s">
        <v>66</v>
      </c>
      <c r="CJ2" s="14" t="s">
        <v>67</v>
      </c>
      <c r="CK2" s="14" t="s">
        <v>19</v>
      </c>
      <c r="CL2" s="14" t="s">
        <v>58</v>
      </c>
      <c r="CM2" s="14" t="s">
        <v>68</v>
      </c>
      <c r="CN2" s="14" t="s">
        <v>20</v>
      </c>
      <c r="CO2" s="14" t="s">
        <v>22</v>
      </c>
      <c r="CP2" s="14" t="s">
        <v>69</v>
      </c>
      <c r="CQ2" s="14" t="s">
        <v>70</v>
      </c>
      <c r="CR2" s="14" t="s">
        <v>21</v>
      </c>
      <c r="CS2" s="14" t="s">
        <v>16</v>
      </c>
      <c r="CT2" s="46" t="s">
        <v>176</v>
      </c>
      <c r="CU2" s="55" t="s">
        <v>17</v>
      </c>
      <c r="CV2" s="55"/>
      <c r="CW2" s="55"/>
      <c r="CX2" s="55"/>
      <c r="CY2" s="55"/>
      <c r="CZ2" s="55" t="s">
        <v>18</v>
      </c>
      <c r="DA2" s="55"/>
      <c r="DB2" s="55"/>
      <c r="DC2" s="55"/>
      <c r="DD2" s="55"/>
      <c r="DE2" s="55" t="s">
        <v>71</v>
      </c>
      <c r="DF2" s="55"/>
      <c r="DG2" s="55"/>
      <c r="DH2" s="55"/>
      <c r="DI2" s="55"/>
      <c r="DJ2" s="55" t="s">
        <v>21</v>
      </c>
      <c r="DK2" s="55"/>
      <c r="DL2" s="55"/>
      <c r="DM2" s="55"/>
      <c r="DN2" s="55"/>
      <c r="DO2" s="14" t="s">
        <v>66</v>
      </c>
      <c r="DP2" s="14" t="s">
        <v>67</v>
      </c>
      <c r="DQ2" s="14" t="s">
        <v>19</v>
      </c>
      <c r="DR2" s="14" t="s">
        <v>58</v>
      </c>
      <c r="DS2" s="14" t="s">
        <v>68</v>
      </c>
      <c r="DT2" s="14" t="s">
        <v>20</v>
      </c>
      <c r="DU2" s="14" t="s">
        <v>22</v>
      </c>
      <c r="DV2" s="14" t="s">
        <v>72</v>
      </c>
      <c r="DW2" s="14" t="s">
        <v>73</v>
      </c>
      <c r="DX2" s="14" t="s">
        <v>71</v>
      </c>
      <c r="DY2" s="14" t="s">
        <v>69</v>
      </c>
      <c r="DZ2" s="14" t="s">
        <v>70</v>
      </c>
      <c r="EA2" s="14" t="s">
        <v>21</v>
      </c>
      <c r="EB2" s="14" t="s">
        <v>16</v>
      </c>
      <c r="EC2" s="60" t="s">
        <v>17</v>
      </c>
      <c r="ED2" s="60"/>
      <c r="EE2" s="60"/>
      <c r="EF2" s="60"/>
      <c r="EG2" s="60"/>
      <c r="EH2" s="60" t="s">
        <v>18</v>
      </c>
      <c r="EI2" s="60"/>
      <c r="EJ2" s="60"/>
      <c r="EK2" s="60"/>
      <c r="EL2" s="60"/>
      <c r="EM2" s="60" t="s">
        <v>71</v>
      </c>
      <c r="EN2" s="60"/>
      <c r="EO2" s="60"/>
      <c r="EP2" s="60"/>
      <c r="EQ2" s="60"/>
      <c r="ER2" s="60" t="s">
        <v>21</v>
      </c>
      <c r="ES2" s="60"/>
      <c r="ET2" s="60"/>
      <c r="EU2" s="60"/>
      <c r="EV2" s="60"/>
      <c r="EW2" s="13" t="s">
        <v>66</v>
      </c>
      <c r="EX2" s="13" t="s">
        <v>67</v>
      </c>
      <c r="EY2" s="13" t="s">
        <v>19</v>
      </c>
      <c r="EZ2" s="13" t="s">
        <v>58</v>
      </c>
      <c r="FA2" s="13" t="s">
        <v>68</v>
      </c>
      <c r="FB2" s="13" t="s">
        <v>20</v>
      </c>
      <c r="FC2" s="13" t="s">
        <v>22</v>
      </c>
      <c r="FD2" s="13" t="s">
        <v>72</v>
      </c>
      <c r="FE2" s="13" t="s">
        <v>73</v>
      </c>
      <c r="FF2" s="13" t="s">
        <v>71</v>
      </c>
      <c r="FG2" s="13" t="s">
        <v>69</v>
      </c>
      <c r="FH2" s="13" t="s">
        <v>70</v>
      </c>
      <c r="FI2" s="13" t="s">
        <v>21</v>
      </c>
      <c r="FJ2" s="13" t="s">
        <v>16</v>
      </c>
      <c r="FK2" s="55" t="s">
        <v>17</v>
      </c>
      <c r="FL2" s="55"/>
      <c r="FM2" s="55"/>
      <c r="FN2" s="55"/>
      <c r="FO2" s="55"/>
      <c r="FP2" s="55" t="s">
        <v>18</v>
      </c>
      <c r="FQ2" s="55"/>
      <c r="FR2" s="55"/>
      <c r="FS2" s="55"/>
      <c r="FT2" s="55"/>
      <c r="FU2" s="55" t="s">
        <v>71</v>
      </c>
      <c r="FV2" s="55"/>
      <c r="FW2" s="55"/>
      <c r="FX2" s="55"/>
      <c r="FY2" s="55"/>
      <c r="FZ2" s="55" t="s">
        <v>21</v>
      </c>
      <c r="GA2" s="55"/>
      <c r="GB2" s="55"/>
      <c r="GC2" s="55"/>
      <c r="GD2" s="55"/>
      <c r="GE2" s="14" t="s">
        <v>66</v>
      </c>
      <c r="GF2" s="14" t="s">
        <v>67</v>
      </c>
      <c r="GG2" s="14" t="s">
        <v>19</v>
      </c>
      <c r="GH2" s="14" t="s">
        <v>58</v>
      </c>
      <c r="GI2" s="14" t="s">
        <v>68</v>
      </c>
      <c r="GJ2" s="14" t="s">
        <v>20</v>
      </c>
      <c r="GK2" s="14" t="s">
        <v>22</v>
      </c>
      <c r="GL2" s="14" t="s">
        <v>72</v>
      </c>
      <c r="GM2" s="14" t="s">
        <v>73</v>
      </c>
      <c r="GN2" s="14" t="s">
        <v>71</v>
      </c>
      <c r="GO2" s="14" t="s">
        <v>69</v>
      </c>
      <c r="GP2" s="14" t="s">
        <v>70</v>
      </c>
      <c r="GQ2" s="14" t="s">
        <v>21</v>
      </c>
      <c r="GR2" s="14" t="s">
        <v>16</v>
      </c>
      <c r="GS2" s="60" t="s">
        <v>17</v>
      </c>
      <c r="GT2" s="60"/>
      <c r="GU2" s="60"/>
      <c r="GV2" s="60"/>
      <c r="GW2" s="60"/>
      <c r="GX2" s="60" t="s">
        <v>18</v>
      </c>
      <c r="GY2" s="60"/>
      <c r="GZ2" s="60"/>
      <c r="HA2" s="60"/>
      <c r="HB2" s="60"/>
      <c r="HC2" s="60" t="s">
        <v>71</v>
      </c>
      <c r="HD2" s="60"/>
      <c r="HE2" s="60"/>
      <c r="HF2" s="60"/>
      <c r="HG2" s="60"/>
      <c r="HH2" s="60" t="s">
        <v>21</v>
      </c>
      <c r="HI2" s="60"/>
      <c r="HJ2" s="60"/>
      <c r="HK2" s="60"/>
      <c r="HL2" s="60"/>
      <c r="HM2" s="13" t="s">
        <v>66</v>
      </c>
      <c r="HN2" s="13" t="s">
        <v>67</v>
      </c>
      <c r="HO2" s="13" t="s">
        <v>19</v>
      </c>
      <c r="HP2" s="13" t="s">
        <v>58</v>
      </c>
      <c r="HQ2" s="13" t="s">
        <v>68</v>
      </c>
      <c r="HR2" s="13" t="s">
        <v>20</v>
      </c>
      <c r="HS2" s="13" t="s">
        <v>22</v>
      </c>
      <c r="HT2" s="13" t="s">
        <v>72</v>
      </c>
      <c r="HU2" s="13" t="s">
        <v>73</v>
      </c>
      <c r="HV2" s="13" t="s">
        <v>71</v>
      </c>
      <c r="HW2" s="13" t="s">
        <v>69</v>
      </c>
      <c r="HX2" s="13" t="s">
        <v>70</v>
      </c>
      <c r="HY2" s="13" t="s">
        <v>21</v>
      </c>
      <c r="HZ2" s="13" t="s">
        <v>16</v>
      </c>
      <c r="IA2" s="55" t="s">
        <v>17</v>
      </c>
      <c r="IB2" s="55"/>
      <c r="IC2" s="55"/>
      <c r="ID2" s="55"/>
      <c r="IE2" s="55"/>
      <c r="IF2" s="55" t="s">
        <v>18</v>
      </c>
      <c r="IG2" s="55"/>
      <c r="IH2" s="55"/>
      <c r="II2" s="55"/>
      <c r="IJ2" s="55"/>
      <c r="IK2" s="55" t="s">
        <v>71</v>
      </c>
      <c r="IL2" s="55"/>
      <c r="IM2" s="55"/>
      <c r="IN2" s="55"/>
      <c r="IO2" s="55"/>
      <c r="IP2" s="55" t="s">
        <v>21</v>
      </c>
      <c r="IQ2" s="55"/>
      <c r="IR2" s="55"/>
      <c r="IS2" s="55"/>
      <c r="IT2" s="55"/>
      <c r="IU2" s="14" t="s">
        <v>66</v>
      </c>
      <c r="IV2" s="14" t="s">
        <v>67</v>
      </c>
      <c r="IW2" s="14" t="s">
        <v>19</v>
      </c>
      <c r="IX2" s="14" t="s">
        <v>58</v>
      </c>
      <c r="IY2" s="14" t="s">
        <v>68</v>
      </c>
      <c r="IZ2" s="14" t="s">
        <v>20</v>
      </c>
      <c r="JA2" s="14" t="s">
        <v>22</v>
      </c>
      <c r="JB2" s="14" t="s">
        <v>72</v>
      </c>
      <c r="JC2" s="14" t="s">
        <v>73</v>
      </c>
      <c r="JD2" s="14" t="s">
        <v>71</v>
      </c>
      <c r="JE2" s="14" t="s">
        <v>69</v>
      </c>
      <c r="JF2" s="14" t="s">
        <v>70</v>
      </c>
      <c r="JG2" s="14" t="s">
        <v>21</v>
      </c>
      <c r="JH2" s="14" t="s">
        <v>16</v>
      </c>
      <c r="JI2" s="60" t="s">
        <v>17</v>
      </c>
      <c r="JJ2" s="60"/>
      <c r="JK2" s="60"/>
      <c r="JL2" s="60"/>
      <c r="JM2" s="60"/>
      <c r="JN2" s="60" t="s">
        <v>18</v>
      </c>
      <c r="JO2" s="60"/>
      <c r="JP2" s="60"/>
      <c r="JQ2" s="60"/>
      <c r="JR2" s="60"/>
      <c r="JS2" s="60" t="s">
        <v>71</v>
      </c>
      <c r="JT2" s="60"/>
      <c r="JU2" s="60"/>
      <c r="JV2" s="60"/>
      <c r="JW2" s="60"/>
      <c r="JX2" s="60" t="s">
        <v>21</v>
      </c>
      <c r="JY2" s="60"/>
      <c r="JZ2" s="60"/>
      <c r="KA2" s="60"/>
      <c r="KB2" s="60"/>
      <c r="KC2" s="13" t="s">
        <v>66</v>
      </c>
      <c r="KD2" s="13" t="s">
        <v>67</v>
      </c>
      <c r="KE2" s="13" t="s">
        <v>19</v>
      </c>
      <c r="KF2" s="13" t="s">
        <v>58</v>
      </c>
      <c r="KG2" s="13" t="s">
        <v>68</v>
      </c>
      <c r="KH2" s="13" t="s">
        <v>20</v>
      </c>
      <c r="KI2" s="13" t="s">
        <v>22</v>
      </c>
      <c r="KJ2" s="13" t="s">
        <v>72</v>
      </c>
      <c r="KK2" s="13" t="s">
        <v>73</v>
      </c>
      <c r="KL2" s="13" t="s">
        <v>71</v>
      </c>
      <c r="KM2" s="13" t="s">
        <v>69</v>
      </c>
      <c r="KN2" s="13" t="s">
        <v>70</v>
      </c>
      <c r="KO2" s="13" t="s">
        <v>21</v>
      </c>
      <c r="KP2" s="13" t="s">
        <v>16</v>
      </c>
      <c r="KQ2" s="55" t="s">
        <v>17</v>
      </c>
      <c r="KR2" s="55"/>
      <c r="KS2" s="55"/>
      <c r="KT2" s="55"/>
      <c r="KU2" s="55"/>
      <c r="KV2" s="55" t="s">
        <v>18</v>
      </c>
      <c r="KW2" s="55"/>
      <c r="KX2" s="55"/>
      <c r="KY2" s="55"/>
      <c r="KZ2" s="55"/>
      <c r="LA2" s="55" t="s">
        <v>71</v>
      </c>
      <c r="LB2" s="55"/>
      <c r="LC2" s="55"/>
      <c r="LD2" s="55"/>
      <c r="LE2" s="55"/>
      <c r="LF2" s="55" t="s">
        <v>21</v>
      </c>
      <c r="LG2" s="55"/>
      <c r="LH2" s="55"/>
      <c r="LI2" s="55"/>
      <c r="LJ2" s="55"/>
      <c r="LK2" s="14" t="s">
        <v>66</v>
      </c>
      <c r="LL2" s="14" t="s">
        <v>67</v>
      </c>
      <c r="LM2" s="14" t="s">
        <v>19</v>
      </c>
      <c r="LN2" s="14" t="s">
        <v>58</v>
      </c>
      <c r="LO2" s="14" t="s">
        <v>68</v>
      </c>
      <c r="LP2" s="14" t="s">
        <v>20</v>
      </c>
      <c r="LQ2" s="14" t="s">
        <v>22</v>
      </c>
      <c r="LR2" s="14" t="s">
        <v>72</v>
      </c>
      <c r="LS2" s="14" t="s">
        <v>73</v>
      </c>
      <c r="LT2" s="14" t="s">
        <v>71</v>
      </c>
      <c r="LU2" s="14" t="s">
        <v>69</v>
      </c>
      <c r="LV2" s="14" t="s">
        <v>70</v>
      </c>
      <c r="LW2" s="14" t="s">
        <v>21</v>
      </c>
      <c r="LX2" s="14" t="s">
        <v>16</v>
      </c>
      <c r="LY2" s="60" t="s">
        <v>17</v>
      </c>
      <c r="LZ2" s="60"/>
      <c r="MA2" s="60"/>
      <c r="MB2" s="60"/>
      <c r="MC2" s="60"/>
      <c r="MD2" s="60" t="s">
        <v>18</v>
      </c>
      <c r="ME2" s="60"/>
      <c r="MF2" s="60"/>
      <c r="MG2" s="60"/>
      <c r="MH2" s="60"/>
      <c r="MI2" s="60" t="s">
        <v>71</v>
      </c>
      <c r="MJ2" s="60"/>
      <c r="MK2" s="60"/>
      <c r="ML2" s="60"/>
      <c r="MM2" s="60"/>
      <c r="MN2" s="60" t="s">
        <v>21</v>
      </c>
      <c r="MO2" s="60"/>
      <c r="MP2" s="60"/>
      <c r="MQ2" s="60"/>
      <c r="MR2" s="60"/>
      <c r="MS2" s="13" t="s">
        <v>66</v>
      </c>
      <c r="MT2" s="13" t="s">
        <v>67</v>
      </c>
      <c r="MU2" s="13" t="s">
        <v>19</v>
      </c>
      <c r="MV2" s="13" t="s">
        <v>58</v>
      </c>
      <c r="MW2" s="13" t="s">
        <v>68</v>
      </c>
      <c r="MX2" s="13" t="s">
        <v>20</v>
      </c>
      <c r="MY2" s="13" t="s">
        <v>22</v>
      </c>
      <c r="MZ2" s="13" t="s">
        <v>72</v>
      </c>
      <c r="NA2" s="13" t="s">
        <v>73</v>
      </c>
      <c r="NB2" s="13" t="s">
        <v>71</v>
      </c>
      <c r="NC2" s="13" t="s">
        <v>69</v>
      </c>
      <c r="ND2" s="13" t="s">
        <v>70</v>
      </c>
      <c r="NE2" s="13" t="s">
        <v>21</v>
      </c>
      <c r="NF2" s="13" t="s">
        <v>16</v>
      </c>
      <c r="NG2" s="55" t="s">
        <v>17</v>
      </c>
      <c r="NH2" s="55"/>
      <c r="NI2" s="55"/>
      <c r="NJ2" s="55"/>
      <c r="NK2" s="55"/>
      <c r="NL2" s="55" t="s">
        <v>18</v>
      </c>
      <c r="NM2" s="55"/>
      <c r="NN2" s="55"/>
      <c r="NO2" s="55"/>
      <c r="NP2" s="55"/>
      <c r="NQ2" s="55" t="s">
        <v>71</v>
      </c>
      <c r="NR2" s="55"/>
      <c r="NS2" s="55"/>
      <c r="NT2" s="55"/>
      <c r="NU2" s="55"/>
      <c r="NV2" s="55" t="s">
        <v>21</v>
      </c>
      <c r="NW2" s="55"/>
      <c r="NX2" s="55"/>
      <c r="NY2" s="55"/>
      <c r="NZ2" s="55"/>
      <c r="OA2" s="14" t="s">
        <v>66</v>
      </c>
      <c r="OB2" s="14" t="s">
        <v>67</v>
      </c>
      <c r="OC2" s="14" t="s">
        <v>19</v>
      </c>
      <c r="OD2" s="14" t="s">
        <v>58</v>
      </c>
      <c r="OE2" s="14" t="s">
        <v>68</v>
      </c>
      <c r="OF2" s="14" t="s">
        <v>20</v>
      </c>
      <c r="OG2" s="14" t="s">
        <v>22</v>
      </c>
      <c r="OH2" s="14" t="s">
        <v>72</v>
      </c>
      <c r="OI2" s="14" t="s">
        <v>73</v>
      </c>
      <c r="OJ2" s="14" t="s">
        <v>71</v>
      </c>
      <c r="OK2" s="14" t="s">
        <v>69</v>
      </c>
      <c r="OL2" s="14" t="s">
        <v>70</v>
      </c>
      <c r="OM2" s="14" t="s">
        <v>21</v>
      </c>
      <c r="ON2" s="14" t="s">
        <v>16</v>
      </c>
      <c r="OO2" s="60" t="s">
        <v>17</v>
      </c>
      <c r="OP2" s="60"/>
      <c r="OQ2" s="60"/>
      <c r="OR2" s="60"/>
      <c r="OS2" s="60"/>
      <c r="OT2" s="60" t="s">
        <v>18</v>
      </c>
      <c r="OU2" s="60"/>
      <c r="OV2" s="60"/>
      <c r="OW2" s="60"/>
      <c r="OX2" s="60"/>
      <c r="OY2" s="60" t="s">
        <v>71</v>
      </c>
      <c r="OZ2" s="60"/>
      <c r="PA2" s="60"/>
      <c r="PB2" s="60"/>
      <c r="PC2" s="60"/>
      <c r="PD2" s="60" t="s">
        <v>21</v>
      </c>
      <c r="PE2" s="60"/>
      <c r="PF2" s="60"/>
      <c r="PG2" s="60"/>
      <c r="PH2" s="60"/>
      <c r="PI2" s="13" t="s">
        <v>66</v>
      </c>
      <c r="PJ2" s="13" t="s">
        <v>67</v>
      </c>
      <c r="PK2" s="13" t="s">
        <v>19</v>
      </c>
      <c r="PL2" s="13" t="s">
        <v>58</v>
      </c>
      <c r="PM2" s="13" t="s">
        <v>68</v>
      </c>
      <c r="PN2" s="13" t="s">
        <v>20</v>
      </c>
      <c r="PO2" s="13" t="s">
        <v>22</v>
      </c>
      <c r="PP2" s="13" t="s">
        <v>72</v>
      </c>
      <c r="PQ2" s="13" t="s">
        <v>73</v>
      </c>
      <c r="PR2" s="13" t="s">
        <v>71</v>
      </c>
      <c r="PS2" s="13" t="s">
        <v>69</v>
      </c>
      <c r="PT2" s="13" t="s">
        <v>70</v>
      </c>
      <c r="PU2" s="13" t="s">
        <v>21</v>
      </c>
      <c r="PV2" s="13" t="s">
        <v>16</v>
      </c>
      <c r="PW2" s="55" t="s">
        <v>17</v>
      </c>
      <c r="PX2" s="55"/>
      <c r="PY2" s="55"/>
      <c r="PZ2" s="55"/>
      <c r="QA2" s="55"/>
      <c r="QB2" s="55" t="s">
        <v>18</v>
      </c>
      <c r="QC2" s="55"/>
      <c r="QD2" s="55"/>
      <c r="QE2" s="55"/>
      <c r="QF2" s="55"/>
      <c r="QG2" s="55" t="s">
        <v>71</v>
      </c>
      <c r="QH2" s="55"/>
      <c r="QI2" s="55"/>
      <c r="QJ2" s="55"/>
      <c r="QK2" s="55"/>
      <c r="QL2" s="55" t="s">
        <v>21</v>
      </c>
      <c r="QM2" s="55"/>
      <c r="QN2" s="55"/>
      <c r="QO2" s="55"/>
      <c r="QP2" s="55"/>
      <c r="QQ2" s="14" t="s">
        <v>66</v>
      </c>
      <c r="QR2" s="14" t="s">
        <v>67</v>
      </c>
      <c r="QS2" s="14" t="s">
        <v>19</v>
      </c>
      <c r="QT2" s="14" t="s">
        <v>58</v>
      </c>
      <c r="QU2" s="14" t="s">
        <v>68</v>
      </c>
      <c r="QV2" s="14" t="s">
        <v>20</v>
      </c>
      <c r="QW2" s="14" t="s">
        <v>22</v>
      </c>
      <c r="QX2" s="14" t="s">
        <v>72</v>
      </c>
      <c r="QY2" s="14" t="s">
        <v>73</v>
      </c>
      <c r="QZ2" s="14" t="s">
        <v>71</v>
      </c>
      <c r="RA2" s="14" t="s">
        <v>69</v>
      </c>
      <c r="RB2" s="14" t="s">
        <v>70</v>
      </c>
      <c r="RC2" s="14" t="s">
        <v>21</v>
      </c>
      <c r="RD2" s="14" t="s">
        <v>16</v>
      </c>
      <c r="RE2" s="60" t="s">
        <v>17</v>
      </c>
      <c r="RF2" s="60"/>
      <c r="RG2" s="60"/>
      <c r="RH2" s="60"/>
      <c r="RI2" s="60"/>
      <c r="RJ2" s="60" t="s">
        <v>18</v>
      </c>
      <c r="RK2" s="60"/>
      <c r="RL2" s="60"/>
      <c r="RM2" s="60"/>
      <c r="RN2" s="60"/>
      <c r="RO2" s="60" t="s">
        <v>71</v>
      </c>
      <c r="RP2" s="60"/>
      <c r="RQ2" s="60"/>
      <c r="RR2" s="60"/>
      <c r="RS2" s="60"/>
      <c r="RT2" s="60" t="s">
        <v>21</v>
      </c>
      <c r="RU2" s="60"/>
      <c r="RV2" s="60"/>
      <c r="RW2" s="60"/>
      <c r="RX2" s="60"/>
      <c r="RY2" s="13" t="s">
        <v>66</v>
      </c>
      <c r="RZ2" s="13" t="s">
        <v>67</v>
      </c>
      <c r="SA2" s="13" t="s">
        <v>19</v>
      </c>
      <c r="SB2" s="13" t="s">
        <v>58</v>
      </c>
      <c r="SC2" s="13" t="s">
        <v>68</v>
      </c>
      <c r="SD2" s="13" t="s">
        <v>20</v>
      </c>
      <c r="SE2" s="13" t="s">
        <v>22</v>
      </c>
      <c r="SF2" s="13" t="s">
        <v>72</v>
      </c>
      <c r="SG2" s="13" t="s">
        <v>73</v>
      </c>
      <c r="SH2" s="13" t="s">
        <v>71</v>
      </c>
      <c r="SI2" s="13" t="s">
        <v>69</v>
      </c>
      <c r="SJ2" s="13" t="s">
        <v>70</v>
      </c>
      <c r="SK2" s="13" t="s">
        <v>21</v>
      </c>
      <c r="SL2" s="13" t="s">
        <v>16</v>
      </c>
      <c r="SM2" s="55" t="s">
        <v>17</v>
      </c>
      <c r="SN2" s="55"/>
      <c r="SO2" s="55"/>
      <c r="SP2" s="55"/>
      <c r="SQ2" s="55"/>
      <c r="SR2" s="55" t="s">
        <v>18</v>
      </c>
      <c r="SS2" s="55"/>
      <c r="ST2" s="55"/>
      <c r="SU2" s="55"/>
      <c r="SV2" s="55"/>
      <c r="SW2" s="55" t="s">
        <v>71</v>
      </c>
      <c r="SX2" s="55"/>
      <c r="SY2" s="55"/>
      <c r="SZ2" s="55"/>
      <c r="TA2" s="55"/>
      <c r="TB2" s="55" t="s">
        <v>21</v>
      </c>
      <c r="TC2" s="55"/>
      <c r="TD2" s="55"/>
      <c r="TE2" s="55"/>
      <c r="TF2" s="55"/>
      <c r="TG2" s="14" t="s">
        <v>66</v>
      </c>
      <c r="TH2" s="14" t="s">
        <v>67</v>
      </c>
      <c r="TI2" s="14" t="s">
        <v>19</v>
      </c>
      <c r="TJ2" s="14" t="s">
        <v>58</v>
      </c>
      <c r="TK2" s="14" t="s">
        <v>68</v>
      </c>
      <c r="TL2" s="14" t="s">
        <v>20</v>
      </c>
      <c r="TM2" s="14" t="s">
        <v>22</v>
      </c>
      <c r="TN2" s="14" t="s">
        <v>72</v>
      </c>
      <c r="TO2" s="14" t="s">
        <v>73</v>
      </c>
      <c r="TP2" s="14" t="s">
        <v>71</v>
      </c>
      <c r="TQ2" s="14" t="s">
        <v>69</v>
      </c>
      <c r="TR2" s="14" t="s">
        <v>70</v>
      </c>
      <c r="TS2" s="14" t="s">
        <v>21</v>
      </c>
      <c r="TT2" s="14" t="s">
        <v>16</v>
      </c>
      <c r="TU2" s="60" t="s">
        <v>17</v>
      </c>
      <c r="TV2" s="60"/>
      <c r="TW2" s="60"/>
      <c r="TX2" s="60"/>
      <c r="TY2" s="60"/>
      <c r="TZ2" s="60" t="s">
        <v>18</v>
      </c>
      <c r="UA2" s="60"/>
      <c r="UB2" s="60"/>
      <c r="UC2" s="60"/>
      <c r="UD2" s="60"/>
      <c r="UE2" s="60" t="s">
        <v>71</v>
      </c>
      <c r="UF2" s="60"/>
      <c r="UG2" s="60"/>
      <c r="UH2" s="60"/>
      <c r="UI2" s="60"/>
      <c r="UJ2" s="60" t="s">
        <v>21</v>
      </c>
      <c r="UK2" s="60"/>
      <c r="UL2" s="60"/>
      <c r="UM2" s="60"/>
      <c r="UN2" s="60"/>
      <c r="UO2" s="13" t="s">
        <v>66</v>
      </c>
      <c r="UP2" s="13" t="s">
        <v>67</v>
      </c>
      <c r="UQ2" s="13" t="s">
        <v>19</v>
      </c>
      <c r="UR2" s="13" t="s">
        <v>58</v>
      </c>
      <c r="US2" s="13" t="s">
        <v>68</v>
      </c>
      <c r="UT2" s="13" t="s">
        <v>20</v>
      </c>
      <c r="UU2" s="13" t="s">
        <v>22</v>
      </c>
      <c r="UV2" s="13" t="s">
        <v>72</v>
      </c>
      <c r="UW2" s="13" t="s">
        <v>73</v>
      </c>
      <c r="UX2" s="13" t="s">
        <v>71</v>
      </c>
      <c r="UY2" s="13" t="s">
        <v>69</v>
      </c>
      <c r="UZ2" s="13" t="s">
        <v>70</v>
      </c>
      <c r="VA2" s="13" t="s">
        <v>21</v>
      </c>
      <c r="VB2" s="13" t="s">
        <v>16</v>
      </c>
      <c r="VC2" s="55" t="s">
        <v>17</v>
      </c>
      <c r="VD2" s="55"/>
      <c r="VE2" s="55"/>
      <c r="VF2" s="55"/>
      <c r="VG2" s="55"/>
      <c r="VH2" s="55" t="s">
        <v>18</v>
      </c>
      <c r="VI2" s="55"/>
      <c r="VJ2" s="55"/>
      <c r="VK2" s="55"/>
      <c r="VL2" s="55"/>
      <c r="VM2" s="55" t="s">
        <v>71</v>
      </c>
      <c r="VN2" s="55"/>
      <c r="VO2" s="55"/>
      <c r="VP2" s="55"/>
      <c r="VQ2" s="55"/>
      <c r="VR2" s="55" t="s">
        <v>21</v>
      </c>
      <c r="VS2" s="55"/>
      <c r="VT2" s="55"/>
      <c r="VU2" s="55"/>
      <c r="VV2" s="55"/>
      <c r="VW2" s="14" t="s">
        <v>66</v>
      </c>
      <c r="VX2" s="14" t="s">
        <v>67</v>
      </c>
      <c r="VY2" s="14" t="s">
        <v>19</v>
      </c>
      <c r="VZ2" s="14" t="s">
        <v>58</v>
      </c>
      <c r="WA2" s="14" t="s">
        <v>68</v>
      </c>
      <c r="WB2" s="14" t="s">
        <v>20</v>
      </c>
      <c r="WC2" s="14" t="s">
        <v>22</v>
      </c>
      <c r="WD2" s="14" t="s">
        <v>72</v>
      </c>
      <c r="WE2" s="14" t="s">
        <v>73</v>
      </c>
      <c r="WF2" s="14" t="s">
        <v>71</v>
      </c>
      <c r="WG2" s="14" t="s">
        <v>69</v>
      </c>
      <c r="WH2" s="14" t="s">
        <v>70</v>
      </c>
      <c r="WI2" s="14" t="s">
        <v>21</v>
      </c>
      <c r="WJ2" s="14" t="s">
        <v>16</v>
      </c>
    </row>
    <row r="3" spans="1:608" x14ac:dyDescent="0.2">
      <c r="A3" s="57"/>
      <c r="B3" s="57"/>
      <c r="C3" s="57"/>
      <c r="D3" s="57"/>
      <c r="E3" s="57"/>
      <c r="F3" s="58"/>
      <c r="G3" s="57"/>
      <c r="H3" s="57"/>
      <c r="I3" s="57"/>
      <c r="J3" s="53"/>
      <c r="K3" s="52"/>
      <c r="L3" s="53"/>
      <c r="M3" s="52"/>
      <c r="N3" s="59"/>
      <c r="O3" s="52"/>
      <c r="P3" s="52"/>
      <c r="Q3" s="14" t="s">
        <v>13</v>
      </c>
      <c r="R3" s="14" t="s">
        <v>14</v>
      </c>
      <c r="S3" s="14" t="s">
        <v>8</v>
      </c>
      <c r="T3" s="14" t="s">
        <v>15</v>
      </c>
      <c r="U3" s="14" t="s">
        <v>27</v>
      </c>
      <c r="V3" s="14" t="s">
        <v>13</v>
      </c>
      <c r="W3" s="14" t="s">
        <v>14</v>
      </c>
      <c r="X3" s="14" t="s">
        <v>8</v>
      </c>
      <c r="Y3" s="14" t="s">
        <v>15</v>
      </c>
      <c r="Z3" s="14" t="s">
        <v>27</v>
      </c>
      <c r="AA3" s="14" t="s">
        <v>13</v>
      </c>
      <c r="AB3" s="14" t="s">
        <v>14</v>
      </c>
      <c r="AC3" s="14" t="s">
        <v>8</v>
      </c>
      <c r="AD3" s="14" t="s">
        <v>15</v>
      </c>
      <c r="AE3" s="14" t="s">
        <v>27</v>
      </c>
      <c r="AF3" s="14" t="s">
        <v>41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13</v>
      </c>
      <c r="AS3" s="13" t="s">
        <v>14</v>
      </c>
      <c r="AT3" s="13" t="s">
        <v>8</v>
      </c>
      <c r="AU3" s="13" t="s">
        <v>15</v>
      </c>
      <c r="AV3" s="13" t="s">
        <v>27</v>
      </c>
      <c r="AW3" s="13" t="s">
        <v>13</v>
      </c>
      <c r="AX3" s="13" t="s">
        <v>14</v>
      </c>
      <c r="AY3" s="13" t="s">
        <v>8</v>
      </c>
      <c r="AZ3" s="13" t="s">
        <v>15</v>
      </c>
      <c r="BA3" s="13" t="s">
        <v>27</v>
      </c>
      <c r="BB3" s="13" t="s">
        <v>13</v>
      </c>
      <c r="BC3" s="13" t="s">
        <v>14</v>
      </c>
      <c r="BD3" s="13" t="s">
        <v>8</v>
      </c>
      <c r="BE3" s="13" t="s">
        <v>15</v>
      </c>
      <c r="BF3" s="13" t="s">
        <v>27</v>
      </c>
      <c r="BG3" s="13" t="s">
        <v>41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13</v>
      </c>
      <c r="BT3" s="14" t="s">
        <v>14</v>
      </c>
      <c r="BU3" s="14" t="s">
        <v>8</v>
      </c>
      <c r="BV3" s="14" t="s">
        <v>15</v>
      </c>
      <c r="BW3" s="14" t="s">
        <v>27</v>
      </c>
      <c r="BX3" s="14" t="s">
        <v>13</v>
      </c>
      <c r="BY3" s="14" t="s">
        <v>14</v>
      </c>
      <c r="BZ3" s="14" t="s">
        <v>8</v>
      </c>
      <c r="CA3" s="14" t="s">
        <v>15</v>
      </c>
      <c r="CB3" s="14" t="s">
        <v>27</v>
      </c>
      <c r="CC3" s="14" t="s">
        <v>13</v>
      </c>
      <c r="CD3" s="14" t="s">
        <v>14</v>
      </c>
      <c r="CE3" s="14" t="s">
        <v>8</v>
      </c>
      <c r="CF3" s="14" t="s">
        <v>15</v>
      </c>
      <c r="CG3" s="14" t="s">
        <v>27</v>
      </c>
      <c r="CH3" s="14" t="s">
        <v>41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46"/>
      <c r="CU3" s="14" t="s">
        <v>13</v>
      </c>
      <c r="CV3" s="14" t="s">
        <v>14</v>
      </c>
      <c r="CW3" s="14" t="s">
        <v>8</v>
      </c>
      <c r="CX3" s="14" t="s">
        <v>15</v>
      </c>
      <c r="CY3" s="14" t="s">
        <v>27</v>
      </c>
      <c r="CZ3" s="14" t="s">
        <v>13</v>
      </c>
      <c r="DA3" s="14" t="s">
        <v>14</v>
      </c>
      <c r="DB3" s="14" t="s">
        <v>8</v>
      </c>
      <c r="DC3" s="14" t="s">
        <v>15</v>
      </c>
      <c r="DD3" s="14" t="s">
        <v>27</v>
      </c>
      <c r="DE3" s="14" t="s">
        <v>13</v>
      </c>
      <c r="DF3" s="14" t="s">
        <v>14</v>
      </c>
      <c r="DG3" s="14" t="s">
        <v>8</v>
      </c>
      <c r="DH3" s="14" t="s">
        <v>15</v>
      </c>
      <c r="DI3" s="14" t="s">
        <v>27</v>
      </c>
      <c r="DJ3" s="14" t="s">
        <v>13</v>
      </c>
      <c r="DK3" s="14" t="s">
        <v>14</v>
      </c>
      <c r="DL3" s="14" t="s">
        <v>8</v>
      </c>
      <c r="DM3" s="14" t="s">
        <v>15</v>
      </c>
      <c r="DN3" s="14" t="s">
        <v>27</v>
      </c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14"/>
      <c r="EC3" s="13" t="s">
        <v>13</v>
      </c>
      <c r="ED3" s="13" t="s">
        <v>14</v>
      </c>
      <c r="EE3" s="13" t="s">
        <v>8</v>
      </c>
      <c r="EF3" s="13" t="s">
        <v>15</v>
      </c>
      <c r="EG3" s="13" t="s">
        <v>27</v>
      </c>
      <c r="EH3" s="13" t="s">
        <v>13</v>
      </c>
      <c r="EI3" s="13" t="s">
        <v>14</v>
      </c>
      <c r="EJ3" s="13" t="s">
        <v>8</v>
      </c>
      <c r="EK3" s="13" t="s">
        <v>15</v>
      </c>
      <c r="EL3" s="13" t="s">
        <v>27</v>
      </c>
      <c r="EM3" s="13" t="s">
        <v>13</v>
      </c>
      <c r="EN3" s="13" t="s">
        <v>14</v>
      </c>
      <c r="EO3" s="13" t="s">
        <v>8</v>
      </c>
      <c r="EP3" s="13" t="s">
        <v>15</v>
      </c>
      <c r="EQ3" s="13" t="s">
        <v>27</v>
      </c>
      <c r="ER3" s="13" t="s">
        <v>13</v>
      </c>
      <c r="ES3" s="13" t="s">
        <v>14</v>
      </c>
      <c r="ET3" s="13" t="s">
        <v>8</v>
      </c>
      <c r="EU3" s="13" t="s">
        <v>15</v>
      </c>
      <c r="EV3" s="13" t="s">
        <v>27</v>
      </c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13"/>
      <c r="FK3" s="14" t="s">
        <v>13</v>
      </c>
      <c r="FL3" s="14" t="s">
        <v>14</v>
      </c>
      <c r="FM3" s="14" t="s">
        <v>8</v>
      </c>
      <c r="FN3" s="14" t="s">
        <v>15</v>
      </c>
      <c r="FO3" s="14" t="s">
        <v>27</v>
      </c>
      <c r="FP3" s="14" t="s">
        <v>13</v>
      </c>
      <c r="FQ3" s="14" t="s">
        <v>14</v>
      </c>
      <c r="FR3" s="14" t="s">
        <v>8</v>
      </c>
      <c r="FS3" s="14" t="s">
        <v>15</v>
      </c>
      <c r="FT3" s="14" t="s">
        <v>27</v>
      </c>
      <c r="FU3" s="14" t="s">
        <v>13</v>
      </c>
      <c r="FV3" s="14" t="s">
        <v>14</v>
      </c>
      <c r="FW3" s="14" t="s">
        <v>8</v>
      </c>
      <c r="FX3" s="14" t="s">
        <v>15</v>
      </c>
      <c r="FY3" s="14" t="s">
        <v>27</v>
      </c>
      <c r="FZ3" s="14" t="s">
        <v>13</v>
      </c>
      <c r="GA3" s="14" t="s">
        <v>14</v>
      </c>
      <c r="GB3" s="14" t="s">
        <v>8</v>
      </c>
      <c r="GC3" s="14" t="s">
        <v>15</v>
      </c>
      <c r="GD3" s="14" t="s">
        <v>27</v>
      </c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14"/>
      <c r="GS3" s="13" t="s">
        <v>13</v>
      </c>
      <c r="GT3" s="13" t="s">
        <v>14</v>
      </c>
      <c r="GU3" s="13" t="s">
        <v>8</v>
      </c>
      <c r="GV3" s="13" t="s">
        <v>15</v>
      </c>
      <c r="GW3" s="13" t="s">
        <v>27</v>
      </c>
      <c r="GX3" s="13" t="s">
        <v>13</v>
      </c>
      <c r="GY3" s="13" t="s">
        <v>14</v>
      </c>
      <c r="GZ3" s="13" t="s">
        <v>8</v>
      </c>
      <c r="HA3" s="13" t="s">
        <v>15</v>
      </c>
      <c r="HB3" s="13" t="s">
        <v>27</v>
      </c>
      <c r="HC3" s="13" t="s">
        <v>13</v>
      </c>
      <c r="HD3" s="13" t="s">
        <v>14</v>
      </c>
      <c r="HE3" s="13" t="s">
        <v>8</v>
      </c>
      <c r="HF3" s="13" t="s">
        <v>15</v>
      </c>
      <c r="HG3" s="13" t="s">
        <v>27</v>
      </c>
      <c r="HH3" s="13" t="s">
        <v>13</v>
      </c>
      <c r="HI3" s="13" t="s">
        <v>14</v>
      </c>
      <c r="HJ3" s="13" t="s">
        <v>8</v>
      </c>
      <c r="HK3" s="13" t="s">
        <v>15</v>
      </c>
      <c r="HL3" s="13" t="s">
        <v>27</v>
      </c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13"/>
      <c r="IA3" s="14" t="s">
        <v>13</v>
      </c>
      <c r="IB3" s="14" t="s">
        <v>14</v>
      </c>
      <c r="IC3" s="14" t="s">
        <v>8</v>
      </c>
      <c r="ID3" s="14" t="s">
        <v>15</v>
      </c>
      <c r="IE3" s="14" t="s">
        <v>27</v>
      </c>
      <c r="IF3" s="14" t="s">
        <v>13</v>
      </c>
      <c r="IG3" s="14" t="s">
        <v>14</v>
      </c>
      <c r="IH3" s="14" t="s">
        <v>8</v>
      </c>
      <c r="II3" s="14" t="s">
        <v>15</v>
      </c>
      <c r="IJ3" s="14" t="s">
        <v>27</v>
      </c>
      <c r="IK3" s="14" t="s">
        <v>13</v>
      </c>
      <c r="IL3" s="14" t="s">
        <v>14</v>
      </c>
      <c r="IM3" s="14" t="s">
        <v>8</v>
      </c>
      <c r="IN3" s="14" t="s">
        <v>15</v>
      </c>
      <c r="IO3" s="14" t="s">
        <v>27</v>
      </c>
      <c r="IP3" s="14" t="s">
        <v>13</v>
      </c>
      <c r="IQ3" s="14" t="s">
        <v>14</v>
      </c>
      <c r="IR3" s="14" t="s">
        <v>8</v>
      </c>
      <c r="IS3" s="14" t="s">
        <v>15</v>
      </c>
      <c r="IT3" s="14" t="s">
        <v>27</v>
      </c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14"/>
      <c r="JI3" s="13" t="s">
        <v>13</v>
      </c>
      <c r="JJ3" s="13" t="s">
        <v>14</v>
      </c>
      <c r="JK3" s="13" t="s">
        <v>8</v>
      </c>
      <c r="JL3" s="13" t="s">
        <v>15</v>
      </c>
      <c r="JM3" s="13" t="s">
        <v>27</v>
      </c>
      <c r="JN3" s="13" t="s">
        <v>13</v>
      </c>
      <c r="JO3" s="13" t="s">
        <v>14</v>
      </c>
      <c r="JP3" s="13" t="s">
        <v>8</v>
      </c>
      <c r="JQ3" s="13" t="s">
        <v>15</v>
      </c>
      <c r="JR3" s="13" t="s">
        <v>27</v>
      </c>
      <c r="JS3" s="13" t="s">
        <v>13</v>
      </c>
      <c r="JT3" s="13" t="s">
        <v>14</v>
      </c>
      <c r="JU3" s="13" t="s">
        <v>8</v>
      </c>
      <c r="JV3" s="13" t="s">
        <v>15</v>
      </c>
      <c r="JW3" s="13" t="s">
        <v>27</v>
      </c>
      <c r="JX3" s="13" t="s">
        <v>13</v>
      </c>
      <c r="JY3" s="13" t="s">
        <v>14</v>
      </c>
      <c r="JZ3" s="13" t="s">
        <v>8</v>
      </c>
      <c r="KA3" s="13" t="s">
        <v>15</v>
      </c>
      <c r="KB3" s="13" t="s">
        <v>27</v>
      </c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14" t="s">
        <v>13</v>
      </c>
      <c r="KR3" s="14" t="s">
        <v>14</v>
      </c>
      <c r="KS3" s="14" t="s">
        <v>8</v>
      </c>
      <c r="KT3" s="14" t="s">
        <v>15</v>
      </c>
      <c r="KU3" s="14" t="s">
        <v>27</v>
      </c>
      <c r="KV3" s="14" t="s">
        <v>13</v>
      </c>
      <c r="KW3" s="14" t="s">
        <v>14</v>
      </c>
      <c r="KX3" s="14" t="s">
        <v>8</v>
      </c>
      <c r="KY3" s="14" t="s">
        <v>15</v>
      </c>
      <c r="KZ3" s="14" t="s">
        <v>27</v>
      </c>
      <c r="LA3" s="14" t="s">
        <v>13</v>
      </c>
      <c r="LB3" s="14" t="s">
        <v>14</v>
      </c>
      <c r="LC3" s="14" t="s">
        <v>8</v>
      </c>
      <c r="LD3" s="14" t="s">
        <v>15</v>
      </c>
      <c r="LE3" s="14" t="s">
        <v>27</v>
      </c>
      <c r="LF3" s="14" t="s">
        <v>13</v>
      </c>
      <c r="LG3" s="14" t="s">
        <v>14</v>
      </c>
      <c r="LH3" s="14" t="s">
        <v>8</v>
      </c>
      <c r="LI3" s="14" t="s">
        <v>15</v>
      </c>
      <c r="LJ3" s="14" t="s">
        <v>27</v>
      </c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13" t="s">
        <v>13</v>
      </c>
      <c r="LZ3" s="13" t="s">
        <v>14</v>
      </c>
      <c r="MA3" s="13" t="s">
        <v>8</v>
      </c>
      <c r="MB3" s="13" t="s">
        <v>15</v>
      </c>
      <c r="MC3" s="13" t="s">
        <v>27</v>
      </c>
      <c r="MD3" s="13" t="s">
        <v>13</v>
      </c>
      <c r="ME3" s="13" t="s">
        <v>14</v>
      </c>
      <c r="MF3" s="13" t="s">
        <v>8</v>
      </c>
      <c r="MG3" s="13" t="s">
        <v>15</v>
      </c>
      <c r="MH3" s="13" t="s">
        <v>27</v>
      </c>
      <c r="MI3" s="13" t="s">
        <v>13</v>
      </c>
      <c r="MJ3" s="13" t="s">
        <v>14</v>
      </c>
      <c r="MK3" s="13" t="s">
        <v>8</v>
      </c>
      <c r="ML3" s="13" t="s">
        <v>15</v>
      </c>
      <c r="MM3" s="13" t="s">
        <v>27</v>
      </c>
      <c r="MN3" s="13" t="s">
        <v>13</v>
      </c>
      <c r="MO3" s="13" t="s">
        <v>14</v>
      </c>
      <c r="MP3" s="13" t="s">
        <v>8</v>
      </c>
      <c r="MQ3" s="13" t="s">
        <v>15</v>
      </c>
      <c r="MR3" s="13" t="s">
        <v>27</v>
      </c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14" t="s">
        <v>13</v>
      </c>
      <c r="NH3" s="14" t="s">
        <v>14</v>
      </c>
      <c r="NI3" s="14" t="s">
        <v>8</v>
      </c>
      <c r="NJ3" s="14" t="s">
        <v>15</v>
      </c>
      <c r="NK3" s="14" t="s">
        <v>27</v>
      </c>
      <c r="NL3" s="14" t="s">
        <v>13</v>
      </c>
      <c r="NM3" s="14" t="s">
        <v>14</v>
      </c>
      <c r="NN3" s="14" t="s">
        <v>8</v>
      </c>
      <c r="NO3" s="14" t="s">
        <v>15</v>
      </c>
      <c r="NP3" s="14" t="s">
        <v>27</v>
      </c>
      <c r="NQ3" s="14" t="s">
        <v>13</v>
      </c>
      <c r="NR3" s="14" t="s">
        <v>14</v>
      </c>
      <c r="NS3" s="14" t="s">
        <v>8</v>
      </c>
      <c r="NT3" s="14" t="s">
        <v>15</v>
      </c>
      <c r="NU3" s="14" t="s">
        <v>27</v>
      </c>
      <c r="NV3" s="14" t="s">
        <v>13</v>
      </c>
      <c r="NW3" s="14" t="s">
        <v>14</v>
      </c>
      <c r="NX3" s="14" t="s">
        <v>8</v>
      </c>
      <c r="NY3" s="14" t="s">
        <v>15</v>
      </c>
      <c r="NZ3" s="14" t="s">
        <v>27</v>
      </c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13" t="s">
        <v>13</v>
      </c>
      <c r="OP3" s="13" t="s">
        <v>14</v>
      </c>
      <c r="OQ3" s="13" t="s">
        <v>8</v>
      </c>
      <c r="OR3" s="13" t="s">
        <v>15</v>
      </c>
      <c r="OS3" s="13" t="s">
        <v>27</v>
      </c>
      <c r="OT3" s="13" t="s">
        <v>13</v>
      </c>
      <c r="OU3" s="13" t="s">
        <v>14</v>
      </c>
      <c r="OV3" s="13" t="s">
        <v>8</v>
      </c>
      <c r="OW3" s="13" t="s">
        <v>15</v>
      </c>
      <c r="OX3" s="13" t="s">
        <v>27</v>
      </c>
      <c r="OY3" s="13" t="s">
        <v>13</v>
      </c>
      <c r="OZ3" s="13" t="s">
        <v>14</v>
      </c>
      <c r="PA3" s="13" t="s">
        <v>8</v>
      </c>
      <c r="PB3" s="13" t="s">
        <v>15</v>
      </c>
      <c r="PC3" s="13" t="s">
        <v>27</v>
      </c>
      <c r="PD3" s="13" t="s">
        <v>13</v>
      </c>
      <c r="PE3" s="13" t="s">
        <v>14</v>
      </c>
      <c r="PF3" s="13" t="s">
        <v>8</v>
      </c>
      <c r="PG3" s="13" t="s">
        <v>15</v>
      </c>
      <c r="PH3" s="13" t="s">
        <v>27</v>
      </c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14" t="s">
        <v>13</v>
      </c>
      <c r="PX3" s="14" t="s">
        <v>14</v>
      </c>
      <c r="PY3" s="14" t="s">
        <v>8</v>
      </c>
      <c r="PZ3" s="14" t="s">
        <v>15</v>
      </c>
      <c r="QA3" s="14" t="s">
        <v>27</v>
      </c>
      <c r="QB3" s="14" t="s">
        <v>13</v>
      </c>
      <c r="QC3" s="14" t="s">
        <v>14</v>
      </c>
      <c r="QD3" s="14" t="s">
        <v>8</v>
      </c>
      <c r="QE3" s="14" t="s">
        <v>15</v>
      </c>
      <c r="QF3" s="14" t="s">
        <v>27</v>
      </c>
      <c r="QG3" s="14" t="s">
        <v>13</v>
      </c>
      <c r="QH3" s="14" t="s">
        <v>14</v>
      </c>
      <c r="QI3" s="14" t="s">
        <v>8</v>
      </c>
      <c r="QJ3" s="14" t="s">
        <v>15</v>
      </c>
      <c r="QK3" s="14" t="s">
        <v>27</v>
      </c>
      <c r="QL3" s="14" t="s">
        <v>13</v>
      </c>
      <c r="QM3" s="14" t="s">
        <v>14</v>
      </c>
      <c r="QN3" s="14" t="s">
        <v>8</v>
      </c>
      <c r="QO3" s="14" t="s">
        <v>15</v>
      </c>
      <c r="QP3" s="14" t="s">
        <v>27</v>
      </c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13" t="s">
        <v>13</v>
      </c>
      <c r="RF3" s="13" t="s">
        <v>14</v>
      </c>
      <c r="RG3" s="13" t="s">
        <v>8</v>
      </c>
      <c r="RH3" s="13" t="s">
        <v>15</v>
      </c>
      <c r="RI3" s="13" t="s">
        <v>27</v>
      </c>
      <c r="RJ3" s="13" t="s">
        <v>13</v>
      </c>
      <c r="RK3" s="13" t="s">
        <v>14</v>
      </c>
      <c r="RL3" s="13" t="s">
        <v>8</v>
      </c>
      <c r="RM3" s="13" t="s">
        <v>15</v>
      </c>
      <c r="RN3" s="13" t="s">
        <v>27</v>
      </c>
      <c r="RO3" s="13" t="s">
        <v>13</v>
      </c>
      <c r="RP3" s="13" t="s">
        <v>14</v>
      </c>
      <c r="RQ3" s="13" t="s">
        <v>8</v>
      </c>
      <c r="RR3" s="13" t="s">
        <v>15</v>
      </c>
      <c r="RS3" s="13" t="s">
        <v>27</v>
      </c>
      <c r="RT3" s="13" t="s">
        <v>13</v>
      </c>
      <c r="RU3" s="13" t="s">
        <v>14</v>
      </c>
      <c r="RV3" s="13" t="s">
        <v>8</v>
      </c>
      <c r="RW3" s="13" t="s">
        <v>15</v>
      </c>
      <c r="RX3" s="13" t="s">
        <v>27</v>
      </c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14" t="s">
        <v>13</v>
      </c>
      <c r="SN3" s="14" t="s">
        <v>14</v>
      </c>
      <c r="SO3" s="14" t="s">
        <v>8</v>
      </c>
      <c r="SP3" s="14" t="s">
        <v>15</v>
      </c>
      <c r="SQ3" s="14" t="s">
        <v>27</v>
      </c>
      <c r="SR3" s="14" t="s">
        <v>13</v>
      </c>
      <c r="SS3" s="14" t="s">
        <v>14</v>
      </c>
      <c r="ST3" s="14" t="s">
        <v>8</v>
      </c>
      <c r="SU3" s="14" t="s">
        <v>15</v>
      </c>
      <c r="SV3" s="14" t="s">
        <v>27</v>
      </c>
      <c r="SW3" s="14" t="s">
        <v>13</v>
      </c>
      <c r="SX3" s="14" t="s">
        <v>14</v>
      </c>
      <c r="SY3" s="14" t="s">
        <v>8</v>
      </c>
      <c r="SZ3" s="14" t="s">
        <v>15</v>
      </c>
      <c r="TA3" s="14" t="s">
        <v>27</v>
      </c>
      <c r="TB3" s="14" t="s">
        <v>13</v>
      </c>
      <c r="TC3" s="14" t="s">
        <v>14</v>
      </c>
      <c r="TD3" s="14" t="s">
        <v>8</v>
      </c>
      <c r="TE3" s="14" t="s">
        <v>15</v>
      </c>
      <c r="TF3" s="14" t="s">
        <v>27</v>
      </c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13" t="s">
        <v>13</v>
      </c>
      <c r="TV3" s="13" t="s">
        <v>14</v>
      </c>
      <c r="TW3" s="13" t="s">
        <v>8</v>
      </c>
      <c r="TX3" s="13" t="s">
        <v>15</v>
      </c>
      <c r="TY3" s="13" t="s">
        <v>27</v>
      </c>
      <c r="TZ3" s="13" t="s">
        <v>13</v>
      </c>
      <c r="UA3" s="13" t="s">
        <v>14</v>
      </c>
      <c r="UB3" s="13" t="s">
        <v>8</v>
      </c>
      <c r="UC3" s="13" t="s">
        <v>15</v>
      </c>
      <c r="UD3" s="13" t="s">
        <v>27</v>
      </c>
      <c r="UE3" s="13" t="s">
        <v>13</v>
      </c>
      <c r="UF3" s="13" t="s">
        <v>14</v>
      </c>
      <c r="UG3" s="13" t="s">
        <v>8</v>
      </c>
      <c r="UH3" s="13" t="s">
        <v>15</v>
      </c>
      <c r="UI3" s="13" t="s">
        <v>27</v>
      </c>
      <c r="UJ3" s="13" t="s">
        <v>13</v>
      </c>
      <c r="UK3" s="13" t="s">
        <v>14</v>
      </c>
      <c r="UL3" s="13" t="s">
        <v>8</v>
      </c>
      <c r="UM3" s="13" t="s">
        <v>15</v>
      </c>
      <c r="UN3" s="13" t="s">
        <v>27</v>
      </c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14" t="s">
        <v>13</v>
      </c>
      <c r="VD3" s="14" t="s">
        <v>14</v>
      </c>
      <c r="VE3" s="14" t="s">
        <v>8</v>
      </c>
      <c r="VF3" s="14" t="s">
        <v>15</v>
      </c>
      <c r="VG3" s="14" t="s">
        <v>27</v>
      </c>
      <c r="VH3" s="14" t="s">
        <v>13</v>
      </c>
      <c r="VI3" s="14" t="s">
        <v>14</v>
      </c>
      <c r="VJ3" s="14" t="s">
        <v>8</v>
      </c>
      <c r="VK3" s="14" t="s">
        <v>15</v>
      </c>
      <c r="VL3" s="14" t="s">
        <v>27</v>
      </c>
      <c r="VM3" s="14" t="s">
        <v>13</v>
      </c>
      <c r="VN3" s="14" t="s">
        <v>14</v>
      </c>
      <c r="VO3" s="14" t="s">
        <v>8</v>
      </c>
      <c r="VP3" s="14" t="s">
        <v>15</v>
      </c>
      <c r="VQ3" s="14" t="s">
        <v>27</v>
      </c>
      <c r="VR3" s="14" t="s">
        <v>13</v>
      </c>
      <c r="VS3" s="14" t="s">
        <v>14</v>
      </c>
      <c r="VT3" s="14" t="s">
        <v>8</v>
      </c>
      <c r="VU3" s="14" t="s">
        <v>15</v>
      </c>
      <c r="VV3" s="14" t="s">
        <v>27</v>
      </c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</row>
    <row r="4" spans="1:608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125</v>
      </c>
      <c r="C4" s="4" t="s">
        <v>6</v>
      </c>
      <c r="D4" s="4" t="s">
        <v>124</v>
      </c>
      <c r="E4" s="9">
        <f t="shared" ref="E4:E11" si="0">J4+L4+N4+(J4+L4)*0.0000001+MAX(J4,L4)*0.0000000000001</f>
        <v>92.640009264004732</v>
      </c>
      <c r="F4" s="3" t="str">
        <f t="shared" ref="F4:F11" si="1"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O4&gt;=EB$14,DO4&lt;&gt;"",DQ4&gt;=EB$18,DQ4&lt;&gt;""),AND(DR4&gt;=EB$14,DR4&lt;&gt;"",DT4&gt;=EB$18,DT4&lt;&gt;""),AND(DV4&gt;=EB$14,DV4&lt;&gt;"",DX4&gt;=EB$18,DX4&lt;&gt;""),AND(DY4&gt;=EB$14,DY4&lt;&gt;"",EA4&gt;=EB$18,EA4&lt;&gt;""),AND(EW4&gt;=FJ$14,EW4&lt;&gt;"",EY4&gt;=FJ$18,EY4&lt;&gt;""),AND(EZ4&gt;=FJ$14,EZ4&lt;&gt;"",FB4&gt;=FJ$18,FB4&lt;&gt;""),AND(FD4&gt;=FJ$14,FD4&lt;&gt;"",FF4&gt;=FJ$18,FF4&lt;&gt;""),AND(FG4&gt;=FJ$14,FG4&lt;&gt;"",FI4&gt;=FJ$18,FI4&lt;&gt;""),AND(GE4&gt;=GR$14,GE4&lt;&gt;"",GG4&gt;=GR$18,GG4&lt;&gt;""),AND(GH4&gt;=GR$14,GH4&lt;&gt;"",GJ4&gt;=GR$18,GJ4&lt;&gt;""),AND(GL4&gt;=GR$14,GL4&lt;&gt;"",GN4&gt;=GR$18,GN4&lt;&gt;""),AND(GO4&gt;=GR$14,GO4&lt;&gt;"",GQ4&gt;=GR$18,GQ4&lt;&gt;""),AND(HM4&gt;=HZ$14,HM4&lt;&gt;"",HO4&gt;=HZ$18,HO4&lt;&gt;""),AND(HP4&gt;=HZ$14,HP4&lt;&gt;"",HR4&gt;=HZ$18,HR4&lt;&gt;""),AND(HT4&gt;=HZ$14,HT4&lt;&gt;"",HV4&gt;=HZ$18,HV4&lt;&gt;""),AND(HW4&gt;=HZ$14,HW4&lt;&gt;"",HY4&gt;=HZ$18,HY4&lt;&gt;""),AND(IU4&gt;=JH$14,IU4&lt;&gt;"",IW4&gt;=JH$18,IW4&lt;&gt;""),AND(IX4&gt;=JH$14,IX4&lt;&gt;"",IZ4&gt;=JH$18,IZ4&lt;&gt;""),AND(JB4&gt;=JH$14,JB4&lt;&gt;"",JD4&gt;=JH$18,JD4&lt;&gt;""),AND(JE4&gt;=JH$14,JE4&lt;&gt;"",JG4&gt;=JH$18,JG4&lt;&gt;""),AND(KC4&gt;=KP$14,KC4&lt;&gt;"",KE4&gt;=KP$18,KE4&lt;&gt;""),AND(KF4&gt;=KP$14,KF4&lt;&gt;"",KH4&gt;=KP$18,KH4&lt;&gt;""),AND(KJ4&gt;=KP$14,KJ4&lt;&gt;"",KL4&gt;=KP$18,KL4&lt;&gt;""),AND(KM4&gt;=KP$14,KM4&lt;&gt;"",KO4&gt;=KP$18,KO4&lt;&gt;""),AND(LK4&gt;=LX$14,LK4&lt;&gt;"",LM4&gt;=LX$18,LM4&lt;&gt;""),AND(LN4&gt;=LX$14,LN4&lt;&gt;"",LP4&gt;=LX$18,LP4&lt;&gt;""),AND(LR4&gt;=LX$14,LR4&lt;&gt;"",LT4&gt;=LX$18,LT4&lt;&gt;""),AND(LU4&gt;=LX$14,LU4&lt;&gt;"",LW4&gt;=LX$18,LW4&lt;&gt;""),AND(MS4&gt;=NF$14,MS4&lt;&gt;"",MU4&gt;=NF$18,MU4&lt;&gt;""),AND(MV4&gt;=NF$14,MV4&lt;&gt;"",MX4&gt;=NF$18,MX4&lt;&gt;""),AND(MZ4&gt;=NF$14,MZ4&lt;&gt;"",NB4&gt;=NF$18,NB4&lt;&gt;""),AND(NC4&gt;=NF$14,NC4&lt;&gt;"",NE4&gt;=NF$18,NE4&lt;&gt;""),AND(OA4&gt;=ON$14,OA4&lt;&gt;"",OC4&gt;=ON$18,OC4&lt;&gt;""),AND(OD4&gt;=ON$14,OD4&lt;&gt;"",OF4&gt;=ON$18,OF4&lt;&gt;""),AND(OH4&gt;=ON$14,OH4&lt;&gt;"",OJ4&gt;=ON$18,OJ4&lt;&gt;""),AND(OK4&gt;=ON$14,OK4&lt;&gt;"",OM4&gt;=ON$18,OM4&lt;&gt;""),AND(PI4&gt;=PV$14,PI4&lt;&gt;"",PK4&gt;=PV$18,PK4&lt;&gt;""),AND(PL4&gt;=PV$14,PL4&lt;&gt;"",PN4&gt;=PV$18,PN4&lt;&gt;""),AND(PP4&gt;=PV$14,PP4&lt;&gt;"",PR4&gt;=PV$18,PR4&lt;&gt;""),AND(PS4&gt;=PV$14,PS4&lt;&gt;"",PU4&gt;=PV$18,PU4&lt;&gt;""),AND(QQ4&gt;=RD$14,QQ4&lt;&gt;"",QS4&gt;=RD$18,QS4&lt;&gt;""),AND(QT4&gt;=RD$14,QT4&lt;&gt;"",QV4&gt;=RD$18,QV4&lt;&gt;""),AND(QX4&gt;=RD$14,QX4&lt;&gt;"",QZ4&gt;=RD$18,QZ4&lt;&gt;""),AND(RA4&gt;=RD$14,RA4&lt;&gt;"",RC4&gt;=RD$18,RC4&lt;&gt;""),AND(RY4&gt;=SL$14,RY4&lt;&gt;"",SA4&gt;=SL$18,SA4&lt;&gt;""),AND(SB4&gt;=SL$14,SB4&lt;&gt;"",SD4&gt;=SL$18,SD4&lt;&gt;""),AND(SF4&gt;=SL$14,SF4&lt;&gt;"",SH4&gt;=SL$18,SH4&lt;&gt;""),AND(SI4&gt;=SL$14,SI4&lt;&gt;"",SK4&gt;=SL$18,SK4&lt;&gt;""),AND(TG4&gt;=TT$14,TG4&lt;&gt;"",TI4&gt;=TT$18,TI4&lt;&gt;""),AND(TJ4&gt;=TT$14,TJ4&lt;&gt;"",TL4&gt;=TT$18,TL4&lt;&gt;""),AND(TN4&gt;=TT$14,TN4&lt;&gt;"",TP4&gt;=TT$18,TXN4&lt;&gt;""),AND(TQ4&gt;=TT$14,TQ4&lt;&gt;"",TS4&gt;=TT$18,TS4&lt;&gt;""),AND(UO4&gt;=VB$14,UO4&lt;&gt;"",UQ4&gt;=VB$18,UQ4&lt;&gt;""),AND(UR4&gt;=VB$14,UR4&lt;&gt;"",UT4&gt;=VB$18,UT4&lt;&gt;""),AND(UV4&gt;=VB$14,UV4&lt;&gt;"",UX4&gt;=VB$18,UX4&lt;&gt;""),AND(UY4&gt;=VB$14,UY4&lt;&gt;"",VA4&gt;=VB$18,VA4&lt;&gt;""),AND(VW4&gt;=WJ$14,VW4&lt;&gt;"",VY4&gt;=WJ$18,VY4&lt;&gt;""),AND(VZ4&gt;=WJ$14,VZ4&lt;&gt;"",WB4&gt;=WJ$18,WB4&lt;&gt;""),AND(WD4&gt;=WJ$14,WD4&lt;&gt;"",WF4&gt;=WJ$18,WF4&lt;&gt;""),AND(WG4&gt;=WJ$14,WG4&lt;&gt;"",WI4&gt;=WJ$18,WI4&lt;&gt;"")),"P","")</f>
        <v>P</v>
      </c>
      <c r="G4" s="3" t="str">
        <f t="shared" ref="G4:G11" si="2"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Q4&gt;=EB$18,DQ4&lt;&gt;""),AND(DT4&gt;=EB$18,DT4&lt;&gt;""),AND(DX4&gt;=EB$18,DX4&lt;&gt;""),AND(EA4&gt;=EB$18,EA4&lt;&gt;""),AND(EY4&gt;=FJ$18,EY4&lt;&gt;""),AND(FB4&gt;=FJ$18,FB4&lt;&gt;""),AND(FF4&gt;=FJ$18,FF4&lt;&gt;""),AND(FI4&gt;=FJ$18,FI4&lt;&gt;""),AND(GG4&gt;=GR$18,GG4&lt;&gt;""),AND(GJ4&gt;=GR$18,GJ4&lt;&gt;""),AND(GN4&gt;=GR$18,GN4&lt;&gt;""),AND(GQ4&gt;=GR$18,GQ4&lt;&gt;""),AND(HO4&gt;=HZ$18,HO4&lt;&gt;""),AND(HR4&gt;=HZ$18,HR4&lt;&gt;""),AND(HV4&gt;=HZ$18,HV4&lt;&gt;""),AND(HY4&gt;=HZ$18,HY4&lt;&gt;""),AND(IW4&gt;=JH$18,IW4&lt;&gt;""),AND(IZ4&gt;=JH$18,IZ4&lt;&gt;""),AND(JD4&gt;=JH$18,JD4&lt;&gt;""),AND(JG4&gt;=JH$18,JG4&lt;&gt;""),AND(KE4&gt;=KP$18,KE4&lt;&gt;""),AND(KH4&gt;=KP$18,KH4&lt;&gt;""),AND(KL4&gt;=KP$18,KL4&lt;&gt;""),AND(KO4&gt;=KP$18,KO4&lt;&gt;""),AND(LM4&gt;=LX$18,LM4&lt;&gt;""),AND(LP4&gt;=LX$18,LP4&lt;&gt;""),AND(LT4&gt;=LX$18,LT4&lt;&gt;""),AND(LW4&gt;=LX$18,LW4&lt;&gt;""),AND(MU4&gt;=NF$18,MU4&lt;&gt;""),AND(MX4&gt;=NF$18,MX4&lt;&gt;""),AND(NB4&gt;=NF$18,NB4&lt;&gt;""),AND(NE4&gt;=NF$18,NE4&lt;&gt;""),AND(OC4&gt;=ON$18,OC4&lt;&gt;""),AND(OF4&gt;=ON$18,OF4&lt;&gt;""),AND(OJ4&gt;=ON$18,OJ4&lt;&gt;""),AND(OM4&gt;=ON$18,OM4&lt;&gt;""),AND(PK4&gt;=PV$18,PK4&lt;&gt;""),AND(PN4&gt;=PV$18,PN4&lt;&gt;""),AND(PR4&gt;=PV$18,PR4&lt;&gt;""),AND(PU4&gt;=PV$18,PU4&lt;&gt;""),AND(QS4&gt;=RD$18,QS4&lt;&gt;""),AND(QV4&gt;=RD$18,QV4&lt;&gt;""),AND(QZ4&gt;=RD$18,QZ4&lt;&gt;""),AND(RC4&gt;=RD$18,RC4&lt;&gt;""),AND(SA4&gt;=SL$18,SA4&lt;&gt;""),AND(SD4&gt;=SL$18,SD4&lt;&gt;""),AND(SH4&gt;=SL$18,SH4&lt;&gt;""),AND(SK4&gt;=SL$18,SK4&lt;&gt;""),AND(TI4&gt;=TT$18,TI4&lt;&gt;""),AND(TL4&gt;=TT$18,TL4&lt;&gt;""),AND(TP4&gt;=TT$18,TXN4&lt;&gt;""),AND(TS4&gt;=TT$18,TS4&lt;&gt;""),AND(UQ4&gt;=VB$18,UQ4&lt;&gt;""),AND(UT4&gt;=VB$18,UT4&lt;&gt;""),AND(UX4&gt;=VB$18,UX4&lt;&gt;""),AND(VA4&gt;=VB$18,VA4&lt;&gt;""),AND(VY4&gt;=WJ$18,VY4&lt;&gt;""),AND(WB4&gt;=WJ$18,WB4&lt;&gt;""),AND(WF4&gt;=WJ$18,WF4&lt;&gt;""),AND(WI4&gt;=WJ$18,WI4&lt;&gt;"")),"P","")</f>
        <v>P</v>
      </c>
      <c r="H4" s="32" t="str">
        <f t="shared" ref="H4:H11" si="3"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O4&gt;=EB$17,DO4&lt;&gt;"",DQ4&gt;=EB$21,DQ4&lt;&gt;""),AND(DR4&gt;=EB$17,DR4&lt;&gt;"",DT4&gt;=EB$21,DT4&lt;&gt;""),AND(DV4&gt;=EB$17,DV4&lt;&gt;"",DX4&gt;=EB$21,DX4&lt;&gt;""),AND(DY4&gt;=EB$17,DY4&lt;&gt;"",EA4&gt;=EB$21,EA4&lt;&gt;""),AND(EW4&gt;=FJ$17,EW4&lt;&gt;"",EY4&gt;=FJ$21,EY4&lt;&gt;""),AND(EZ4&gt;=FJ$17,EZ4&lt;&gt;"",FB4&gt;=FJ$21,FB4&lt;&gt;""),AND(FD4&gt;=FJ$17,FD4&lt;&gt;"",FF4&gt;=FJ$21,FF4&lt;&gt;""),AND(FG4&gt;=FJ$17,FG4&lt;&gt;"",FI4&gt;=FJ$21,FI4&lt;&gt;""),AND(GE4&gt;=GR$17,GE4&lt;&gt;"",GG4&gt;=GR$21,GG4&lt;&gt;""),AND(GH4&gt;=GR$17,GH4&lt;&gt;"",GJ4&gt;=GR$21,GJ4&lt;&gt;""),AND(GL4&gt;=GR$17,GL4&lt;&gt;"",GN4&gt;=GR$21,GN4&lt;&gt;""),AND(GO4&gt;=GR$17,GO4&lt;&gt;"",GQ4&gt;=GR$21,GQ4&lt;&gt;""),AND(HM4&gt;=HZ$17,HM4&lt;&gt;"",HO4&gt;=HZ$21,HO4&lt;&gt;""),AND(HP4&gt;=HZ$17,HP4&lt;&gt;"",HR4&gt;=HZ$21,HR4&lt;&gt;""),AND(HT4&gt;=HZ$17,HT4&lt;&gt;"",HV4&gt;=HZ$21,HV4&lt;&gt;""),AND(HW4&gt;=HZ$17,HW4&lt;&gt;"",HY4&gt;=HZ$21,HY4&lt;&gt;""),AND(IU4&gt;=JH$17,IU4&lt;&gt;"",IW4&gt;=JH$21,IW4&lt;&gt;""),AND(IX4&gt;=JH$17,IX4&lt;&gt;"",IZ4&gt;=JH$21,IZ4&lt;&gt;""),AND(JB4&gt;=JH$17,JB4&lt;&gt;"",JD4&gt;=JH$21,JD4&lt;&gt;""),AND(JE4&gt;=JH$17,JE4&lt;&gt;"",JG4&gt;=JH$21,JG4&lt;&gt;""),AND(KC4&gt;=KP$17,KC4&lt;&gt;"",KE4&gt;=KP$21,KE4&lt;&gt;""),AND(KF4&gt;=KP$17,KF4&lt;&gt;"",KH4&gt;=KP$21,KH4&lt;&gt;""),AND(KJ4&gt;=KP$17,KJ4&lt;&gt;"",KL4&gt;=KP$21,KL4&lt;&gt;""),AND(KM4&gt;=KP$17,KM4&lt;&gt;"",KO4&gt;=KP$21,KO4&lt;&gt;""),AND(LK4&gt;=LX$17,LK4&lt;&gt;"",LM4&gt;=LX$21,LM4&lt;&gt;""),AND(LN4&gt;=LX$17,LN4&lt;&gt;"",LP4&gt;=LX$21,LP4&lt;&gt;""),AND(LR4&gt;=LX$17,LR4&lt;&gt;"",LT4&gt;=LX$21,LT4&lt;&gt;""),AND(LU4&gt;=LX$17,LU4&lt;&gt;"",LW4&gt;=LX$21,LW4&lt;&gt;""),AND(MS4&gt;=NF$17,MS4&lt;&gt;"",MU4&gt;=NF$21,MU4&lt;&gt;""),AND(MV4&gt;=NF$17,MV4&lt;&gt;"",MX4&gt;=NF$21,MX4&lt;&gt;""),AND(MZ4&gt;=NF$17,MZ4&lt;&gt;"",NB4&gt;=NF$21,NB4&lt;&gt;""),AND(NC4&gt;=NF$17,NC4&lt;&gt;"",NE4&gt;=NF$21,NE4&lt;&gt;""),AND(OA4&gt;=ON$17,OA4&lt;&gt;"",OC4&gt;=ON$21,OC4&lt;&gt;""),AND(OD4&gt;=ON$17,OD4&lt;&gt;"",OF4&gt;=ON$21,OF4&lt;&gt;""),AND(OH4&gt;=ON$17,OH4&lt;&gt;"",OJ4&gt;=ON$21,OJ4&lt;&gt;""),AND(OK4&gt;=ON$17,OK4&lt;&gt;"",OM4&gt;=ON$21,OM4&lt;&gt;""),AND(PI4&gt;=PV$17,PI4&lt;&gt;"",PK4&gt;=PV$21,PK4&lt;&gt;""),AND(PL4&gt;=PV$17,PL4&lt;&gt;"",PN4&gt;=PV$21,PN4&lt;&gt;""),AND(PP4&gt;=PV$17,PP4&lt;&gt;"",PR4&gt;=PV$21,PR4&lt;&gt;""),AND(PS4&gt;=PV$17,PS4&lt;&gt;"",PU4&gt;=PV$21,PU4&lt;&gt;""),AND(QQ4&gt;=RD$17,QQ4&lt;&gt;"",QS4&gt;=RD$21,QS4&lt;&gt;""),AND(QT4&gt;=RD$17,QT4&lt;&gt;"",QV4&gt;=RD$21,QV4&lt;&gt;""),AND(QX4&gt;=RD$17,QX4&lt;&gt;"",QZ4&gt;=RD$21,QZ4&lt;&gt;""),AND(RA4&gt;=RD$17,RA4&lt;&gt;"",RC4&gt;=RD$21,RC4&lt;&gt;""),AND(RY4&gt;=SL$17,RY4&lt;&gt;"",SA4&gt;=SL$21,SA4&lt;&gt;""),AND(SB4&gt;=SL$17,SB4&lt;&gt;"",SD4&gt;=SL$21,SD4&lt;&gt;""),AND(SF4&gt;=SL$17,SF4&lt;&gt;"",SH4&gt;=SL$21,SH4&lt;&gt;""),AND(SI4&gt;=SL$17,SI4&lt;&gt;"",SK4&gt;=SL$21,SK4&lt;&gt;""),AND(TG4&gt;=TT$17,TG4&lt;&gt;"",TI4&gt;=TT$21,TI4&lt;&gt;""),AND(TJ4&gt;=TT$17,TJ4&lt;&gt;"",TL4&gt;=TT$21,TL4&lt;&gt;""),AND(TN4&gt;=TT$17,TN4&lt;&gt;"",TP4&gt;=TT$341,TXN4&lt;&gt;""),AND(TQ4&gt;=TT$17,TQ4&lt;&gt;"",TS4&gt;=TT$21,TS4&lt;&gt;""),AND(UO4&gt;=VB$17,UO4&lt;&gt;"",UQ4&gt;=VB$21,UQ4&lt;&gt;""),AND(UR4&gt;=VB$17,UR4&lt;&gt;"",UT4&gt;=VB$21,UT4&lt;&gt;""),AND(UV4&gt;=VB$17,UV4&lt;&gt;"",UX4&gt;=VB$21,UX4&lt;&gt;""),AND(UY4&gt;=VB$17,UY4&lt;&gt;"",VA4&gt;=VB$21,VA4&lt;&gt;""),AND(VW4&gt;=WJ$17,VW4&lt;&gt;"",VY4&gt;=WJ$21,VY4&lt;&gt;""),AND(VZ4&gt;=WJ$17,VZ4&lt;&gt;"",WB4&gt;=WJ$21,WB4&lt;&gt;""),AND(WD4&gt;=WJ$17,WD4&lt;&gt;"",WF4&gt;=WJ$21,WF4&lt;&gt;""),AND(WG4&gt;=WJ$17,WG4&lt;&gt;"",WI4&gt;=WJ$21,WI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O4&gt;=EB$16,DO4&lt;&gt;"",DQ4&gt;=EB$20,DQ4&lt;&gt;""),AND(DR4&gt;=EB$16,DR4&lt;&gt;"",DT4&gt;=EB$20,DT4&lt;&gt;""),AND(DV4&gt;=EB$16,DV4&lt;&gt;"",DX4&gt;=EB$20,DX4&lt;&gt;""),AND(DY4&gt;=EB$16,DY4&lt;&gt;"",EA4&gt;=EB$20,EA4&lt;&gt;""),AND(EW4&gt;=FJ$16,EW4&lt;&gt;"",EY4&gt;=FJ$20,EY4&lt;&gt;""),AND(EZ4&gt;=FJ$16,EZ4&lt;&gt;"",FB4&gt;=FJ$20,FB4&lt;&gt;""),AND(FD4&gt;=FJ$16,FD4&lt;&gt;"",FF4&gt;=FJ$20,FF4&lt;&gt;""),AND(FG4&gt;=FJ$16,FG4&lt;&gt;"",FI4&gt;=FJ$20,FI4&lt;&gt;""),AND(GE4&gt;=GR$16,GE4&lt;&gt;"",GG4&gt;=GR$20,GG4&lt;&gt;""),AND(GH4&gt;=GR$16,GH4&lt;&gt;"",GJ4&gt;=GR$20,GJ4&lt;&gt;""),AND(GL4&gt;=GR$16,GL4&lt;&gt;"",GN4&gt;=GR$20,GN4&lt;&gt;""),AND(GO4&gt;=GR$16,GO4&lt;&gt;"",GQ4&gt;=GR$20,GQ4&lt;&gt;""),AND(HM4&gt;=HZ$16,HM4&lt;&gt;"",HO4&gt;=HZ$20,HO4&lt;&gt;""),AND(HP4&gt;=HZ$16,HP4&lt;&gt;"",HR4&gt;=HZ$20,HR4&lt;&gt;""),AND(HT4&gt;=HZ$16,HT4&lt;&gt;"",HV4&gt;=HZ$20,HV4&lt;&gt;""),AND(HW4&gt;=HZ$16,HW4&lt;&gt;"",HY4&gt;=HZ$20,HY4&lt;&gt;""),AND(IU4&gt;=JH$16,IU4&lt;&gt;"",IW4&gt;=JH$20,IW4&lt;&gt;""),AND(IX4&gt;=JH$16,IX4&lt;&gt;"",IZ4&gt;=JH$20,IZ4&lt;&gt;""),AND(JB4&gt;=JH$16,JB4&lt;&gt;"",JD4&gt;=JH$20,JD4&lt;&gt;""),AND(JE4&gt;=JH$16,JE4&lt;&gt;"",JG4&gt;=JH$20,JG4&lt;&gt;""),AND(KC4&gt;=KP$16,KC4&lt;&gt;"",KE4&gt;=KP$20,KE4&lt;&gt;""),AND(KF4&gt;=KP$16,KF4&lt;&gt;"",KH4&gt;=KP$20,KH4&lt;&gt;""),AND(KJ4&gt;=KP$16,KJ4&lt;&gt;"",KL4&gt;=KP$20,KL4&lt;&gt;""),AND(KM4&gt;=KP$16,KM4&lt;&gt;"",KO4&gt;=KP$20,KO4&lt;&gt;""),AND(LK4&gt;=LX$16,LK4&lt;&gt;"",LM4&gt;=LX$20,LM4&lt;&gt;""),AND(LN4&gt;=LX$16,LN4&lt;&gt;"",LP4&gt;=LX$20,LP4&lt;&gt;""),AND(LR4&gt;=LX$16,LR4&lt;&gt;"",LT4&gt;=LX$20,LT4&lt;&gt;""),AND(LU4&gt;=LX$16,LU4&lt;&gt;"",LW4&gt;=LX$20,LW4&lt;&gt;""),AND(MS4&gt;=NF$16,MS4&lt;&gt;"",MU4&gt;=NF$20,MU4&lt;&gt;""),AND(MV4&gt;=NF$16,MV4&lt;&gt;"",MX4&gt;=NF$20,MX4&lt;&gt;""),AND(MZ4&gt;=NF$16,MZ4&lt;&gt;"",NB4&gt;=NF$20,NB4&lt;&gt;""),AND(NC4&gt;=NF$16,NC4&lt;&gt;"",NE4&gt;=NF$20,NE4&lt;&gt;""),AND(OA4&gt;=ON$16,OA4&lt;&gt;"",OC4&gt;=ON$20,OC4&lt;&gt;""),AND(OD4&gt;=ON$16,OD4&lt;&gt;"",OF4&gt;=ON$20,OF4&lt;&gt;""),AND(OH4&gt;=ON$16,OH4&lt;&gt;"",OJ4&gt;=ON$20,OJ4&lt;&gt;""),AND(OK4&gt;=ON$16,OK4&lt;&gt;"",OM4&gt;=ON$20,OM4&lt;&gt;""),AND(PI4&gt;=PV$16,PI4&lt;&gt;"",PK4&gt;=PV$20,PK4&lt;&gt;""),AND(PL4&gt;=PV$16,PL4&lt;&gt;"",PN4&gt;=PV$20,PN4&lt;&gt;""),AND(PP4&gt;=PV$16,PP4&lt;&gt;"",PR4&gt;=PV$20,PR4&lt;&gt;""),AND(PS4&gt;=PV$16,PS4&lt;&gt;"",PU4&gt;=PV$20,PU4&lt;&gt;""),AND(QQ4&gt;=RD$16,QQ4&lt;&gt;"",QS4&gt;=RD$20,QS4&lt;&gt;""),AND(QT4&gt;=RD$16,QT4&lt;&gt;"",QV4&gt;=RD$20,QV4&lt;&gt;""),AND(QX4&gt;=RD$16,QX4&lt;&gt;"",QZ4&gt;=RD$20,QZ4&lt;&gt;""),AND(RA4&gt;=RD$16,RA4&lt;&gt;"",RC4&gt;=RD$20,RC4&lt;&gt;""),AND(RY4&gt;=SL$16,RY4&lt;&gt;"",SA4&gt;=SL$20,SA4&lt;&gt;""),AND(SB4&gt;=SL$16,SB4&lt;&gt;"",SD4&gt;=SL$20,SD4&lt;&gt;""),AND(SF4&gt;=SL$16,SF4&lt;&gt;"",SH4&gt;=SL$20,SH4&lt;&gt;""),AND(SI4&gt;=SL$16,SI4&lt;&gt;"",SK4&gt;=SL$20,SK4&lt;&gt;""),AND(TG4&gt;=TT$16,TG4&lt;&gt;"",TI4&gt;=TT$20,TI4&lt;&gt;""),AND(TJ4&gt;=TT$16,TJ4&lt;&gt;"",TL4&gt;=TT$20,TL4&lt;&gt;""),AND(TN4&gt;=TT$16,TN4&lt;&gt;"",TP4&gt;=TT$20,TXN4&lt;&gt;""),AND(TQ4&gt;=TT$16,TQ4&lt;&gt;"",TS4&gt;=TT$20,TS4&lt;&gt;""),AND(UO4&gt;=VB$16,UO4&lt;&gt;"",UQ4&gt;=VB$20,UQ4&lt;&gt;""),AND(UR4&gt;=VB$16,UR4&lt;&gt;"",UT4&gt;=VB$20,UT4&lt;&gt;""),AND(UV4&gt;=VB$16,UV4&lt;&gt;"",UX4&gt;=VB$20,UX4&lt;&gt;""),AND(UY4&gt;=VB$16,UY4&lt;&gt;"",VA4&gt;=VB$20,VA4&lt;&gt;""),AND(VW4&gt;=WJ$16,VW4&lt;&gt;"",VY4&gt;=WJ$20,VY4&lt;&gt;""),AND(VZ4&gt;=WJ$16,VZ4&lt;&gt;"",WB4&gt;=WJ$20,WB4&lt;&gt;""),AND(WD4&gt;=WJ$16,WD4&lt;&gt;"",WF4&gt;=WJ$20,WF4&lt;&gt;""),AND(WG4&gt;=WJ$16,WG4&lt;&gt;"",WI4&gt;=WJ$20,WI4&lt;&gt;"")),"Excellence",IF(I4="P","Worlds Team",IF(F4="P","National Team","")))))</f>
        <v>National Team</v>
      </c>
      <c r="I4" s="3" t="str">
        <f t="shared" ref="I4:I11" si="4"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O4&gt;=EB$15,DO4&lt;&gt;"",DQ4&gt;=EB$19,DQ4&lt;&gt;""),AND(DR4&gt;=EB$15,DR4&lt;&gt;"",DT4&gt;=EB$19,DT4&lt;&gt;""),AND(DV4&gt;=EB$15,DV4&lt;&gt;"",DX4&gt;=EB$19,DX4&lt;&gt;""),AND(DY4&gt;=EB$15,DY4&lt;&gt;"",EA4&gt;=EB$19,EA4&lt;&gt;""),AND(EW4&gt;=FJ$15,EW4&lt;&gt;"",EY4&gt;=FJ$19,EY4&lt;&gt;""),AND(EZ4&gt;=FJ$15,EZ4&lt;&gt;"",FB4&gt;=FJ$19,FB4&lt;&gt;""),AND(FD4&gt;=FJ$15,FD4&lt;&gt;"",FF4&gt;=FJ$19,FF4&lt;&gt;""),AND(FG4&gt;=FJ$15,FG4&lt;&gt;"",FI4&gt;=FJ$19,FI4&lt;&gt;""),AND(GE4&gt;=GR$15,GE4&lt;&gt;"",GG4&gt;=GR$19,GG4&lt;&gt;""),AND(GH4&gt;=GR$15,GH4&lt;&gt;"",GJ4&gt;=GR$19,GJ4&lt;&gt;""),AND(GL4&gt;=GR$15,GL4&lt;&gt;"",GN4&gt;=GR$19,GN4&lt;&gt;""),AND(GO4&gt;=GR$15,GO4&lt;&gt;"",GQ4&gt;=GR$19,GQ4&lt;&gt;""),AND(HM4&gt;=HZ$15,HM4&lt;&gt;"",HO4&gt;=HZ$19,HO4&lt;&gt;""),AND(HP4&gt;=HZ$15,HP4&lt;&gt;"",HR4&gt;=HZ$19,HR4&lt;&gt;""),AND(HT4&gt;=HZ$15,HT4&lt;&gt;"",HV4&gt;=HZ$19,HV4&lt;&gt;""),AND(HW4&gt;=HZ$15,HW4&lt;&gt;"",HY4&gt;=HZ$19,HY4&lt;&gt;""),AND(IU4&gt;=JH$15,IU4&lt;&gt;"",IW4&gt;=JH$19,IW4&lt;&gt;""),AND(IX4&gt;=JH$15,IX4&lt;&gt;"",IZ4&gt;=JH$19,IZ4&lt;&gt;""),AND(JB4&gt;=JH$15,JB4&lt;&gt;"",JD4&gt;=JH$19,JD4&lt;&gt;""),AND(JE4&gt;=JH$15,JE4&lt;&gt;"",JG4&gt;=JH$19,JG4&lt;&gt;""),AND(KC4&gt;=KP$15,KC4&lt;&gt;"",KE4&gt;=KP$19,KE4&lt;&gt;""),AND(KF4&gt;=KP$15,KF4&lt;&gt;"",KH4&gt;=KP$19,KH4&lt;&gt;""),AND(KJ4&gt;=KP$15,KJ4&lt;&gt;"",KL4&gt;=KP$19,KL4&lt;&gt;""),AND(KM4&gt;=KP$15,KM4&lt;&gt;"",KO4&gt;=KP$19,KO4&lt;&gt;""),AND(LK4&gt;=LX$15,LK4&lt;&gt;"",LM4&gt;=LX$19,LM4&lt;&gt;""),AND(LN4&gt;=LX$15,LN4&lt;&gt;"",LP4&gt;=LX$19,LP4&lt;&gt;""),AND(LR4&gt;=LX$15,LR4&lt;&gt;"",LT4&gt;=LX$19,LT4&lt;&gt;""),AND(LU4&gt;=LX$15,LU4&lt;&gt;"",LW4&gt;=LX$19,LW4&lt;&gt;""),AND(MS4&gt;=NF$15,MS4&lt;&gt;"",MU4&gt;=NF$19,MU4&lt;&gt;""),AND(MV4&gt;=NF$15,MV4&lt;&gt;"",MX4&gt;=NF$19,MX4&lt;&gt;""),AND(MZ4&gt;=NF$15,MZ4&lt;&gt;"",NB4&gt;=NF$19,NB4&lt;&gt;""),AND(NC4&gt;=NF$15,NC4&lt;&gt;"",NE4&gt;=NF$19,NE4&lt;&gt;""),AND(OA4&gt;=ON$15,OA4&lt;&gt;"",OC4&gt;=ON$19,OC4&lt;&gt;""),AND(OD4&gt;=ON$15,OD4&lt;&gt;"",OF4&gt;=ON$19,OF4&lt;&gt;""),AND(OH4&gt;=ON$15,OH4&lt;&gt;"",OJ4&gt;=ON$19,OJ4&lt;&gt;""),AND(OK4&gt;=ON$15,OK4&lt;&gt;"",OM4&gt;=ON$19,OM4&lt;&gt;""),AND(PI4&gt;=PV$15,PI4&lt;&gt;"",PK4&gt;=PV$19,PK4&lt;&gt;""),AND(PL4&gt;=PV$15,PL4&lt;&gt;"",PN4&gt;=PV$19,PN4&lt;&gt;""),AND(PP4&gt;=PV$15,PP4&lt;&gt;"",PR4&gt;=PV$19,PR4&lt;&gt;""),AND(PS4&gt;=PV$15,PS4&lt;&gt;"",PU4&gt;=PV$19,PU4&lt;&gt;""),AND(QQ4&gt;=RD$15,QQ4&lt;&gt;"",QS4&gt;=RD$19,QS4&lt;&gt;""),AND(QT4&gt;=RD$15,QT4&lt;&gt;"",QV4&gt;=RD$19,QV4&lt;&gt;""),AND(QX4&gt;=RD$15,QX4&lt;&gt;"",QZ4&gt;=RD$19,QZ4&lt;&gt;""),AND(RA4&gt;=RD$15,RA4&lt;&gt;"",RC4&gt;=RD$19,RC4&lt;&gt;""),AND(RY4&gt;=SL$15,RY4&lt;&gt;"",SA4&gt;=SL$19,SA4&lt;&gt;""),AND(SB4&gt;=SL$15,SB4&lt;&gt;"",SD4&gt;=SL$19,SD4&lt;&gt;""),AND(SF4&gt;=SL$15,SF4&lt;&gt;"",SH4&gt;=SL$19,SH4&lt;&gt;""),AND(SI4&gt;=SL$15,SI4&lt;&gt;"",SK4&gt;=SL$19,SK4&lt;&gt;""),AND(TG4&gt;=TT$15,TG4&lt;&gt;"",TI4&gt;=TT$19,TI4&lt;&gt;""),AND(TJ4&gt;=TT$15,TJ4&lt;&gt;"",TL4&gt;=TT$19,TL4&lt;&gt;""),AND(TN4&gt;=TT$15,TN4&lt;&gt;"",TP4&gt;=TT$19,TXN4&lt;&gt;""),AND(TQ4&gt;=TT$15,TQ4&lt;&gt;"",TS4&gt;=TT$19,TS4&lt;&gt;""),AND(UO4&gt;=VB$15,UO4&lt;&gt;"",UQ4&gt;=VB$19,UQ4&lt;&gt;""),AND(UR4&gt;=VB$15,UR4&lt;&gt;"",UT4&gt;=VB$19,UT4&lt;&gt;""),AND(UV4&gt;=VB$15,UV4&lt;&gt;"",UX4&gt;=VB$19,UX4&lt;&gt;""),AND(UY4&gt;=VB$15,UY4&lt;&gt;"",VA4&gt;=VB$19,VA4&lt;&gt;""),AND(VW4&gt;=WJ$15,VW4&lt;&gt;"",VY4&gt;=WJ$19,VY4&lt;&gt;""),AND(VZ4&gt;=WJ$15,VZ4&lt;&gt;"",WB4&gt;=WJ$19,WB4&lt;&gt;""),AND(WD4&gt;=WJ$15,WD4&lt;&gt;"",WF4&gt;=WJ$19,WF4&lt;&gt;""),AND(WG4&gt;=WJ$15,WG4&lt;&gt;"",WI4&gt;=WJ$19,WI4&lt;&gt;"")),"P","")</f>
        <v/>
      </c>
      <c r="J4" s="8">
        <f t="shared" ref="J4:J11" si="5">MAX(AI4,AL4,AP4,BJ4,BM4,BQ4,CK4,CN4,CR4)</f>
        <v>47.36</v>
      </c>
      <c r="K4" s="8" t="str">
        <f t="shared" ref="K4:K11" si="6">IF(J4="","",IF(OR(J4=CK4,J4=CN4,J4=CR4),$BS$1,IF(OR(J4=BJ4,J4=BM4,J4=BQ4),$AR$1,IF(OR(J4=AI4,J4=AL4,J4=AP4),$Q$1,""))))</f>
        <v>2025 Nationals</v>
      </c>
      <c r="L4" s="8">
        <f>IFERROR(LARGE((AI4,AL4,AP4,BJ4,BM4,BQ4,CK4,CN4,CR4),2),0)</f>
        <v>45.28</v>
      </c>
      <c r="M4" s="8" t="str">
        <f t="shared" ref="M4:M11" si="7">IF(L4="","",IF(OR(L4=CK4,L4=CN4,L4=CR4),$BS$1,IF(OR(L4=BJ4,L4=BM4,L4=BQ4),$AR$1,IF(OR(L4=AI4,L4=AL4,L4=AP4),$Q$1,""))))</f>
        <v>2025 Nationals</v>
      </c>
      <c r="N4" s="8">
        <f t="shared" ref="N4:N11" si="8">IF(MAX(CT4,0)&gt;0,MAX(CT4,0),0)</f>
        <v>0</v>
      </c>
      <c r="O4" s="11" t="str">
        <f t="shared" ref="O4:O11" si="9">IF(N4=0,"",IF(N4=CT4,"("&amp;CT$2&amp;")"))</f>
        <v/>
      </c>
      <c r="P4" s="8" t="str">
        <f t="shared" ref="P4:P11" si="10">IF(N4=0,"",IF(N4+MAX(L4,0)=MAX(WC4,WF4,WI4),$VC$1,IF(N4+MAX(L4,0)=MAX(UU4,UX4,VA4),$TU$1,IF(N4+MAX(L4,0)=MAX(TM4,TP4,TS4),$SM$1,IF(N4+MAX(L4,0)=MAX(SE4,SH4,SK4),$RE$1,IF(N4+MAX(L4,0)=MAX(QW4,QZ4,RC4),$PW$1,IF(N4+MAX(L4,0)=MAX(PO4,PR4,PU4),$OO$1,IF(N4+MAX(L4,0)=MAX(OG4,OJ4,OM4),$NG$1,IF(N4+MAX(L4,0)=MAX(MY4,NB4,NE4),$LY$1,IF(N4+MAX(L4,0)=MAX(LQ4,LT4,LW4),$KQ$1,IF(N4+MAX(L4,0)=MAX(KI4,KL4,KO4),$JI$1,IF(N4+MAX(L4,0)=MAX(JA4,JD4,JG4),$IA$1,IF(N4+MAX(L4,0)=MAX(HS4,HV4,HY4),$GS$1,IF(N4+MAX(L4,0)=MAX(GK4,GN4,GQ4),$FK$1,IF(N4+MAX(L4,0)=MAX(FC4,FF4,FI4),$EC$1,IF(N4+MAX(L4,0)=MAX(DU4,DX4,EA4),$CU$1))))))))))))))))</f>
        <v/>
      </c>
      <c r="Q4" s="18">
        <v>7.63</v>
      </c>
      <c r="R4" s="18">
        <v>9.4</v>
      </c>
      <c r="S4" s="18">
        <v>11.7</v>
      </c>
      <c r="T4" s="18">
        <v>15.94</v>
      </c>
      <c r="U4" s="18">
        <v>0</v>
      </c>
      <c r="V4" s="18">
        <v>7.35</v>
      </c>
      <c r="W4" s="18">
        <v>9.15</v>
      </c>
      <c r="X4" s="18">
        <v>11.7</v>
      </c>
      <c r="Y4" s="18">
        <v>17.079999999999998</v>
      </c>
      <c r="Z4" s="18">
        <v>0</v>
      </c>
      <c r="AA4" s="18">
        <v>8.0500000000000007</v>
      </c>
      <c r="AB4" s="18">
        <v>9.5500000000000007</v>
      </c>
      <c r="AC4" s="18">
        <v>11.7</v>
      </c>
      <c r="AD4" s="18">
        <v>18.059999999999999</v>
      </c>
      <c r="AE4" s="18">
        <v>0</v>
      </c>
      <c r="AF4" s="23"/>
      <c r="AG4" s="34">
        <f t="shared" ref="AG4:AH11" si="11">IF(S4&gt;0,S4,"")</f>
        <v>11.7</v>
      </c>
      <c r="AH4" s="34">
        <f t="shared" si="11"/>
        <v>15.94</v>
      </c>
      <c r="AI4" s="36">
        <f t="shared" ref="AI4:AI11" si="12">IF(SUM(Q4:T4)-U4&gt;0,SUM(Q4:T4)-U4,"")</f>
        <v>44.67</v>
      </c>
      <c r="AJ4" s="36">
        <f t="shared" ref="AJ4:AK11" si="13">IF(X4&gt;0,X4,"")</f>
        <v>11.7</v>
      </c>
      <c r="AK4" s="36">
        <f t="shared" si="13"/>
        <v>17.079999999999998</v>
      </c>
      <c r="AL4" s="36">
        <f t="shared" ref="AL4:AL11" si="14">IF(SUM(V4:Y4)-Z4&gt;0,SUM(V4:Y4)-Z4,"")</f>
        <v>45.28</v>
      </c>
      <c r="AM4" s="36">
        <f t="shared" ref="AM4:AM11" si="15">IF(AI4="","",MAX(AI4,AL4))</f>
        <v>45.28</v>
      </c>
      <c r="AN4" s="36">
        <f t="shared" ref="AN4:AO11" si="16">IF(AC4&gt;0,AC4,"")</f>
        <v>11.7</v>
      </c>
      <c r="AO4" s="36">
        <f t="shared" si="16"/>
        <v>18.059999999999999</v>
      </c>
      <c r="AP4" s="36">
        <f t="shared" ref="AP4:AP11" si="17">IF(SUM(AA4:AD4)-AE4&gt;0,SUM(AA4:AD4)-AE4,"")</f>
        <v>47.36</v>
      </c>
      <c r="AQ4" s="36">
        <f t="shared" ref="AQ4:AQ11" si="18">IF(SUM(AM4,AP4)&gt;0,SUM(AM4,AP4),"")</f>
        <v>92.64</v>
      </c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4"/>
      <c r="BH4" s="35" t="str">
        <f t="shared" ref="BH4:BI11" si="19">IF(AT4&gt;0,AT4,"")</f>
        <v/>
      </c>
      <c r="BI4" s="35" t="str">
        <f t="shared" si="19"/>
        <v/>
      </c>
      <c r="BJ4" s="11" t="str">
        <f t="shared" ref="BJ4:BJ11" si="20">IF(SUM(AR4:AU4)-AV4&gt;0,SUM(AR4:AU4)-AV4,"")</f>
        <v/>
      </c>
      <c r="BK4" s="11" t="str">
        <f t="shared" ref="BK4:BL11" si="21">IF(AY4&gt;0,AY4,"")</f>
        <v/>
      </c>
      <c r="BL4" s="11" t="str">
        <f t="shared" si="21"/>
        <v/>
      </c>
      <c r="BM4" s="11" t="str">
        <f t="shared" ref="BM4:BM11" si="22">IF(SUM(AW4:AZ4)-BA4&gt;0,SUM(AW4:AZ4)-BA4,"")</f>
        <v/>
      </c>
      <c r="BN4" s="11" t="str">
        <f t="shared" ref="BN4:BN11" si="23">IF(BJ4="","",MAX(BJ4,BM4))</f>
        <v/>
      </c>
      <c r="BO4" s="11" t="str">
        <f t="shared" ref="BO4:BP11" si="24">IF(BD4&gt;0,BD4,"")</f>
        <v/>
      </c>
      <c r="BP4" s="11" t="str">
        <f t="shared" si="24"/>
        <v/>
      </c>
      <c r="BQ4" s="11" t="str">
        <f t="shared" ref="BQ4:BQ11" si="25">IF(SUM(BB4:BE4)-BF4&gt;0,SUM(BB4:BE4)-BF4,"")</f>
        <v/>
      </c>
      <c r="BR4" s="11" t="str">
        <f t="shared" ref="BR4:BR11" si="26">IF(SUM(BN4,BQ4)&gt;0,SUM(BN4,BQ4),"")</f>
        <v/>
      </c>
      <c r="BS4" s="18">
        <v>1.53</v>
      </c>
      <c r="BT4" s="18">
        <v>1.7</v>
      </c>
      <c r="BU4" s="18">
        <v>3.5</v>
      </c>
      <c r="BV4" s="18">
        <v>3.58</v>
      </c>
      <c r="BW4" s="18">
        <v>0.4</v>
      </c>
      <c r="BX4" s="18">
        <v>3.13</v>
      </c>
      <c r="BY4" s="18">
        <v>3.6</v>
      </c>
      <c r="BZ4" s="18">
        <v>0</v>
      </c>
      <c r="CA4" s="18">
        <v>6.32</v>
      </c>
      <c r="CB4" s="18">
        <v>0</v>
      </c>
      <c r="CC4" s="18"/>
      <c r="CD4" s="18"/>
      <c r="CE4" s="18"/>
      <c r="CF4" s="18"/>
      <c r="CG4" s="18"/>
      <c r="CH4" s="23"/>
      <c r="CI4" s="34">
        <f t="shared" ref="CI4:CJ11" si="27">IF(BU4&gt;0,BU4,"")</f>
        <v>3.5</v>
      </c>
      <c r="CJ4" s="34">
        <f t="shared" si="27"/>
        <v>3.58</v>
      </c>
      <c r="CK4" s="36">
        <f t="shared" ref="CK4:CK11" si="28">IF(SUM(BS4:BV4)-BW4&gt;0,SUM(BS4:BV4)-BW4,"")</f>
        <v>9.91</v>
      </c>
      <c r="CL4" s="36" t="str">
        <f t="shared" ref="CL4:CM11" si="29">IF(BZ4&gt;0,BZ4,"")</f>
        <v/>
      </c>
      <c r="CM4" s="36">
        <f t="shared" si="29"/>
        <v>6.32</v>
      </c>
      <c r="CN4" s="36">
        <f t="shared" ref="CN4:CN11" si="30">IF(SUM(BX4:CA4)-CB4&gt;0,SUM(BX4:CA4)-CB4,"")</f>
        <v>13.05</v>
      </c>
      <c r="CO4" s="36">
        <f t="shared" ref="CO4:CO11" si="31">IF(CK4="","",MAX(CK4,CN4))</f>
        <v>13.05</v>
      </c>
      <c r="CP4" s="36" t="str">
        <f t="shared" ref="CP4:CQ11" si="32">IF(CE4&gt;0,CE4,"")</f>
        <v/>
      </c>
      <c r="CQ4" s="36" t="str">
        <f t="shared" si="32"/>
        <v/>
      </c>
      <c r="CR4" s="36" t="str">
        <f t="shared" ref="CR4:CR11" si="33">IF(SUM(CC4:CF4)-CG4&gt;0,SUM(CC4:CF4)-CG4,"")</f>
        <v/>
      </c>
      <c r="CS4" s="36">
        <f t="shared" ref="CS4:CS11" si="34">IF(SUM(CO4,CR4)&gt;0,SUM(CO4,CR4),"")</f>
        <v>13.05</v>
      </c>
      <c r="CT4" s="47" t="str">
        <f t="shared" ref="CT4:CT11" si="35">IF(MAX(DU4,DX4,EA4,FC4,FF4,FI4,GK4,GN4,GQ4,HS4,HV4,HY4,JA4,JD4,JG4,KI4,KL4,KO4,LQ4,LT4,LW4,MY4,NB4,NE4,OG4,OJ4,OM4,PO4,PR4,PU4,QW4,QZ4,RC4,SE4,SH4,SK4,TM4,TP4,TS4,UU4,UX4,VA4,WC4,WF4,WI4)-MAX(L4,0)&gt;0.001,MAX(DU4,DX4,EA4,FC4,FF4,FI4,GK4,GN4,GQ4,HS4,HV4,HY4,JA4,JD4,JG4,KI4,KL4,KO4,LQ4,LT4,LW4,MY4,NB4,NE4,OG4,OJ4,OM4,PO4,PR4,PU4,QW4,QZ4,RC4,SE4,SH4,SK4,TM4,TP4,TS4,UU4,UX4,VA4,WC4,WF4,WI4)-MAX(L4,0),"")</f>
        <v/>
      </c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36" t="str">
        <f t="shared" ref="DO4:DP11" si="36">IF(CW4&gt;0,CW4,"")</f>
        <v/>
      </c>
      <c r="DP4" s="36" t="str">
        <f t="shared" si="36"/>
        <v/>
      </c>
      <c r="DQ4" s="36" t="str">
        <f t="shared" ref="DQ4:DQ11" si="37">IF(SUM(CU4:CX4)-CY4&gt;0,SUM(CU4:CX4)-CY4,"")</f>
        <v/>
      </c>
      <c r="DR4" s="36" t="str">
        <f t="shared" ref="DR4:DS11" si="38">IF(DB4&gt;0,DB4,"")</f>
        <v/>
      </c>
      <c r="DS4" s="36" t="str">
        <f t="shared" si="38"/>
        <v/>
      </c>
      <c r="DT4" s="36" t="str">
        <f t="shared" ref="DT4:DT11" si="39">IF(SUM(CZ4:DC4)-DD4&gt;0,SUM(CZ4:DC4)-DD4,"")</f>
        <v/>
      </c>
      <c r="DU4" s="36" t="str">
        <f t="shared" ref="DU4:DU11" si="40">IF(MAX(DQ4,DT4)&gt;0,MAX(DQ4,DT4),"")</f>
        <v/>
      </c>
      <c r="DV4" s="36" t="str">
        <f t="shared" ref="DV4:DW11" si="41">IF(DG4&gt;0,DG4,"")</f>
        <v/>
      </c>
      <c r="DW4" s="36" t="str">
        <f t="shared" si="41"/>
        <v/>
      </c>
      <c r="DX4" s="36" t="str">
        <f t="shared" ref="DX4:DX11" si="42">IF(SUM(DE4:DH4)-DI4&gt;0,SUM(DE4:DH4)-DI4,"")</f>
        <v/>
      </c>
      <c r="DY4" s="36" t="str">
        <f t="shared" ref="DY4:DZ11" si="43">IF(DL4&gt;0,DL4,"")</f>
        <v/>
      </c>
      <c r="DZ4" s="36" t="str">
        <f t="shared" si="43"/>
        <v/>
      </c>
      <c r="EA4" s="36" t="str">
        <f t="shared" ref="EA4:EA11" si="44">IF(SUM(DJ4:DM4)-DN4&gt;0,SUM(DJ4:DM4)-DN4,"")</f>
        <v/>
      </c>
      <c r="EB4" s="36" t="str">
        <f t="shared" ref="EB4:EB11" si="45">IF(SUM(DU4,DX4,EA4)&gt;0,SUM(DU4,DX4,EA4),"")</f>
        <v/>
      </c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1" t="str">
        <f t="shared" ref="EW4:EX11" si="46">IF(EE4&gt;0,EE4,"")</f>
        <v/>
      </c>
      <c r="EX4" s="11" t="str">
        <f t="shared" si="46"/>
        <v/>
      </c>
      <c r="EY4" s="11" t="str">
        <f t="shared" ref="EY4:EY11" si="47">IF(SUM(EC4:EF4)-EG4&gt;0,SUM(EC4:EF4)-EG4,"")</f>
        <v/>
      </c>
      <c r="EZ4" s="11" t="str">
        <f t="shared" ref="EZ4:FA11" si="48">IF(EJ4&gt;0,EJ4,"")</f>
        <v/>
      </c>
      <c r="FA4" s="11" t="str">
        <f t="shared" si="48"/>
        <v/>
      </c>
      <c r="FB4" s="11" t="str">
        <f t="shared" ref="FB4:FB11" si="49">IF(SUM(EH4:EK4)-EL4&gt;0,SUM(EH4:EK4)-EL4,"")</f>
        <v/>
      </c>
      <c r="FC4" s="11" t="str">
        <f t="shared" ref="FC4:FC11" si="50">IF(MAX(EY4,FB4)&gt;0,MAX(EY4,FB4),"")</f>
        <v/>
      </c>
      <c r="FD4" s="11" t="str">
        <f t="shared" ref="FD4:FE11" si="51">IF(EO4&gt;0,EO4,"")</f>
        <v/>
      </c>
      <c r="FE4" s="11" t="str">
        <f t="shared" si="51"/>
        <v/>
      </c>
      <c r="FF4" s="11" t="str">
        <f t="shared" ref="FF4:FF11" si="52">IF(SUM(EM4:EP4)-EQ4&gt;0,SUM(EM4:EP4)-EQ4,"")</f>
        <v/>
      </c>
      <c r="FG4" s="11" t="str">
        <f t="shared" ref="FG4:FH11" si="53">IF(ET4&gt;0,ET4,"")</f>
        <v/>
      </c>
      <c r="FH4" s="11" t="str">
        <f t="shared" si="53"/>
        <v/>
      </c>
      <c r="FI4" s="11" t="str">
        <f t="shared" ref="FI4:FI11" si="54">IF(SUM(ER4:EU4)-EV4&gt;0,SUM(ER4:EU4)-EV4,"")</f>
        <v/>
      </c>
      <c r="FJ4" s="11" t="str">
        <f t="shared" ref="FJ4:FJ11" si="55">IF(SUM(FC4,FF4,FI4)&gt;0,SUM(FC4,FF4,FI4),"")</f>
        <v/>
      </c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36" t="str">
        <f t="shared" ref="GE4:GF11" si="56">IF(FM4&gt;0,FM4,"")</f>
        <v/>
      </c>
      <c r="GF4" s="36" t="str">
        <f t="shared" si="56"/>
        <v/>
      </c>
      <c r="GG4" s="36" t="str">
        <f t="shared" ref="GG4:GG11" si="57">IF(SUM(FK4:FN4)-FO4&gt;0,SUM(FK4:FN4)-FO4,"")</f>
        <v/>
      </c>
      <c r="GH4" s="36" t="str">
        <f t="shared" ref="GH4:GI11" si="58">IF(FR4&gt;0,FR4,"")</f>
        <v/>
      </c>
      <c r="GI4" s="36" t="str">
        <f t="shared" si="58"/>
        <v/>
      </c>
      <c r="GJ4" s="36" t="str">
        <f t="shared" ref="GJ4:GJ11" si="59">IF(SUM(FP4:FS4)-FT4&gt;0,SUM(FP4:FS4)-FT4,"")</f>
        <v/>
      </c>
      <c r="GK4" s="36" t="str">
        <f t="shared" ref="GK4:GK11" si="60">IF(MAX(GG4,GJ4)&gt;0,MAX(GG4,GJ4),"")</f>
        <v/>
      </c>
      <c r="GL4" s="36" t="str">
        <f t="shared" ref="GL4:GM11" si="61">IF(FW4&gt;0,FW4,"")</f>
        <v/>
      </c>
      <c r="GM4" s="36" t="str">
        <f t="shared" si="61"/>
        <v/>
      </c>
      <c r="GN4" s="36" t="str">
        <f t="shared" ref="GN4:GN11" si="62">IF(SUM(FU4:FX4)-FY4&gt;0,SUM(FU4:FX4)-FY4,"")</f>
        <v/>
      </c>
      <c r="GO4" s="36" t="str">
        <f t="shared" ref="GO4:GP11" si="63">IF(GB4&gt;0,GB4,"")</f>
        <v/>
      </c>
      <c r="GP4" s="36" t="str">
        <f t="shared" si="63"/>
        <v/>
      </c>
      <c r="GQ4" s="36" t="str">
        <f t="shared" ref="GQ4:GQ11" si="64">IF(SUM(FZ4:GC4)-GD4&gt;0,SUM(FZ4:GC4)-GD4,"")</f>
        <v/>
      </c>
      <c r="GR4" s="36" t="str">
        <f t="shared" ref="GR4:GR11" si="65">IF(SUM(GK4,GN4,GQ4)&gt;0,SUM(GK4,GN4,GQ4),"")</f>
        <v/>
      </c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1" t="str">
        <f t="shared" ref="HM4:HN11" si="66">IF(GU4&gt;0,GU4,"")</f>
        <v/>
      </c>
      <c r="HN4" s="11" t="str">
        <f t="shared" si="66"/>
        <v/>
      </c>
      <c r="HO4" s="11" t="str">
        <f t="shared" ref="HO4:HO11" si="67">IF(SUM(GS4:GV4)-GW4&gt;0,SUM(GS4:GV4)-GW4,"")</f>
        <v/>
      </c>
      <c r="HP4" s="11" t="str">
        <f t="shared" ref="HP4:HQ11" si="68">IF(GZ4&gt;0,GZ4,"")</f>
        <v/>
      </c>
      <c r="HQ4" s="11" t="str">
        <f t="shared" si="68"/>
        <v/>
      </c>
      <c r="HR4" s="11" t="str">
        <f t="shared" ref="HR4:HR11" si="69">IF(SUM(GX4:HA4)-HB4&gt;0,SUM(GX4:HA4)-HB4,"")</f>
        <v/>
      </c>
      <c r="HS4" s="11" t="str">
        <f t="shared" ref="HS4:HS11" si="70">IF(MAX(HO4,HR4)&gt;0,MAX(HO4,HR4),"")</f>
        <v/>
      </c>
      <c r="HT4" s="11" t="str">
        <f t="shared" ref="HT4:HU11" si="71">IF(HE4&gt;0,HE4,"")</f>
        <v/>
      </c>
      <c r="HU4" s="11" t="str">
        <f t="shared" si="71"/>
        <v/>
      </c>
      <c r="HV4" s="11" t="str">
        <f t="shared" ref="HV4:HV11" si="72">IF(SUM(HC4:HF4)-HG4&gt;0,SUM(HC4:HF4)-HG4,"")</f>
        <v/>
      </c>
      <c r="HW4" s="11" t="str">
        <f t="shared" ref="HW4:HX11" si="73">IF(HJ4&gt;0,HJ4,"")</f>
        <v/>
      </c>
      <c r="HX4" s="11" t="str">
        <f t="shared" si="73"/>
        <v/>
      </c>
      <c r="HY4" s="11" t="str">
        <f t="shared" ref="HY4:HY11" si="74">IF(SUM(HH4:HK4)-HL4&gt;0,SUM(HH4:HK4)-HL4,"")</f>
        <v/>
      </c>
      <c r="HZ4" s="11" t="str">
        <f t="shared" ref="HZ4:HZ11" si="75">IF(SUM(HS4,HV4,HY4)&gt;0,SUM(HS4,HV4,HY4),"")</f>
        <v/>
      </c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36" t="str">
        <f t="shared" ref="IU4:IV11" si="76">IF(IC4&gt;0,IC4,"")</f>
        <v/>
      </c>
      <c r="IV4" s="36" t="str">
        <f t="shared" si="76"/>
        <v/>
      </c>
      <c r="IW4" s="36" t="str">
        <f t="shared" ref="IW4:IW11" si="77">IF(SUM(IA4:ID4)-IE4&gt;0,SUM(IA4:ID4)-IE4,"")</f>
        <v/>
      </c>
      <c r="IX4" s="36" t="str">
        <f t="shared" ref="IX4:IY11" si="78">IF(IH4&gt;0,IH4,"")</f>
        <v/>
      </c>
      <c r="IY4" s="36" t="str">
        <f t="shared" si="78"/>
        <v/>
      </c>
      <c r="IZ4" s="36" t="str">
        <f t="shared" ref="IZ4:IZ11" si="79">IF(SUM(IF4:II4)-IJ4&gt;0,SUM(IF4:II4)-IJ4,"")</f>
        <v/>
      </c>
      <c r="JA4" s="36" t="str">
        <f t="shared" ref="JA4:JA11" si="80">IF(MAX(IW4,IZ4)&gt;0,MAX(IW4,IZ4),"")</f>
        <v/>
      </c>
      <c r="JB4" s="36" t="str">
        <f t="shared" ref="JB4:JC11" si="81">IF(IM4&gt;0,IM4,"")</f>
        <v/>
      </c>
      <c r="JC4" s="36" t="str">
        <f t="shared" si="81"/>
        <v/>
      </c>
      <c r="JD4" s="36" t="str">
        <f t="shared" ref="JD4:JD11" si="82">IF(SUM(IK4:IN4)-IO4&gt;0,SUM(IK4:IN4)-IO4,"")</f>
        <v/>
      </c>
      <c r="JE4" s="36" t="str">
        <f t="shared" ref="JE4:JF11" si="83">IF(IR4&gt;0,IR4,"")</f>
        <v/>
      </c>
      <c r="JF4" s="36" t="str">
        <f t="shared" si="83"/>
        <v/>
      </c>
      <c r="JG4" s="36" t="str">
        <f t="shared" ref="JG4:JG11" si="84">IF(SUM(IP4:IS4)-IT4&gt;0,SUM(IP4:IS4)-IT4,"")</f>
        <v/>
      </c>
      <c r="JH4" s="36" t="str">
        <f t="shared" ref="JH4:JH11" si="85">IF(SUM(JA4,JD4,JG4)&gt;0,SUM(JA4,JD4,JG4),"")</f>
        <v/>
      </c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1" t="str">
        <f t="shared" ref="KC4:KD11" si="86">IF(JK4&gt;0,JK4,"")</f>
        <v/>
      </c>
      <c r="KD4" s="11" t="str">
        <f t="shared" si="86"/>
        <v/>
      </c>
      <c r="KE4" s="11" t="str">
        <f t="shared" ref="KE4:KE11" si="87">IF(SUM(JI4:JL4)-JM4&gt;0,SUM(JI4:JL4)-JM4,"")</f>
        <v/>
      </c>
      <c r="KF4" s="11" t="str">
        <f t="shared" ref="KF4:KG11" si="88">IF(JP4&gt;0,JP4,"")</f>
        <v/>
      </c>
      <c r="KG4" s="11" t="str">
        <f t="shared" si="88"/>
        <v/>
      </c>
      <c r="KH4" s="11" t="str">
        <f t="shared" ref="KH4:KH11" si="89">IF(SUM(JN4:JQ4)-JR4&gt;0,SUM(JN4:JQ4)-JR4,"")</f>
        <v/>
      </c>
      <c r="KI4" s="11" t="str">
        <f t="shared" ref="KI4:KI11" si="90">IF(MAX(KE4,KH4)&gt;0,MAX(KE4,KH4),"")</f>
        <v/>
      </c>
      <c r="KJ4" s="11" t="str">
        <f t="shared" ref="KJ4:KK11" si="91">IF(JU4&gt;0,JU4,"")</f>
        <v/>
      </c>
      <c r="KK4" s="11" t="str">
        <f t="shared" si="91"/>
        <v/>
      </c>
      <c r="KL4" s="11" t="str">
        <f t="shared" ref="KL4:KL11" si="92">IF(SUM(JS4:JV4)-JW4&gt;0,SUM(JS4:JV4)-JW4,"")</f>
        <v/>
      </c>
      <c r="KM4" s="11" t="str">
        <f t="shared" ref="KM4:KN11" si="93">IF(JZ4&gt;0,JZ4,"")</f>
        <v/>
      </c>
      <c r="KN4" s="11" t="str">
        <f t="shared" si="93"/>
        <v/>
      </c>
      <c r="KO4" s="11" t="str">
        <f t="shared" ref="KO4:KO11" si="94">IF(SUM(JX4:KA4)-KB4&gt;0,SUM(JX4:KA4)-KB4,"")</f>
        <v/>
      </c>
      <c r="KP4" s="11" t="str">
        <f t="shared" ref="KP4:KP11" si="95">IF(SUM(KI4,KL4,KO4)&gt;0,SUM(KI4,KL4,KO4),"")</f>
        <v/>
      </c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36" t="str">
        <f t="shared" ref="LK4:LL11" si="96">IF(KS4&gt;0,KS4,"")</f>
        <v/>
      </c>
      <c r="LL4" s="36" t="str">
        <f t="shared" si="96"/>
        <v/>
      </c>
      <c r="LM4" s="36" t="str">
        <f t="shared" ref="LM4:LM11" si="97">IF(SUM(KQ4:KT4)-KU4&gt;0,SUM(KQ4:KT4)-KU4,"")</f>
        <v/>
      </c>
      <c r="LN4" s="36" t="str">
        <f t="shared" ref="LN4:LO11" si="98">IF(KX4&gt;0,KX4,"")</f>
        <v/>
      </c>
      <c r="LO4" s="36" t="str">
        <f t="shared" si="98"/>
        <v/>
      </c>
      <c r="LP4" s="36" t="str">
        <f t="shared" ref="LP4:LP11" si="99">IF(SUM(KV4:KY4)-KZ4&gt;0,SUM(KV4:KY4)-KZ4,"")</f>
        <v/>
      </c>
      <c r="LQ4" s="36" t="str">
        <f t="shared" ref="LQ4:LQ11" si="100">IF(MAX(LM4,LP4)&gt;0,MAX(LM4,LP4),"")</f>
        <v/>
      </c>
      <c r="LR4" s="36" t="str">
        <f t="shared" ref="LR4:LS11" si="101">IF(LC4&gt;0,LC4,"")</f>
        <v/>
      </c>
      <c r="LS4" s="36" t="str">
        <f t="shared" si="101"/>
        <v/>
      </c>
      <c r="LT4" s="36" t="str">
        <f t="shared" ref="LT4:LT11" si="102">IF(SUM(LA4:LD4)-LE4&gt;0,SUM(LA4:LD4)-LE4,"")</f>
        <v/>
      </c>
      <c r="LU4" s="36" t="str">
        <f t="shared" ref="LU4:LV11" si="103">IF(LH4&gt;0,LH4,"")</f>
        <v/>
      </c>
      <c r="LV4" s="36" t="str">
        <f t="shared" si="103"/>
        <v/>
      </c>
      <c r="LW4" s="36" t="str">
        <f t="shared" ref="LW4:LW11" si="104">IF(SUM(LF4:LI4)-LJ4&gt;0,SUM(LF4:LI4)-LJ4,"")</f>
        <v/>
      </c>
      <c r="LX4" s="36" t="str">
        <f t="shared" ref="LX4:LX11" si="105">IF(SUM(LQ4,LT4,LW4)&gt;0,SUM(LQ4,LT4,LW4),"")</f>
        <v/>
      </c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1" t="str">
        <f t="shared" ref="MS4:MT11" si="106">IF(MA4&gt;0,MA4,"")</f>
        <v/>
      </c>
      <c r="MT4" s="11" t="str">
        <f t="shared" si="106"/>
        <v/>
      </c>
      <c r="MU4" s="11" t="str">
        <f t="shared" ref="MU4:MU11" si="107">IF(SUM(LY4:MB4)-MC4&gt;0,SUM(LY4:MB4)-MC4,"")</f>
        <v/>
      </c>
      <c r="MV4" s="11" t="str">
        <f t="shared" ref="MV4:MW11" si="108">IF(MF4&gt;0,MF4,"")</f>
        <v/>
      </c>
      <c r="MW4" s="11" t="str">
        <f t="shared" si="108"/>
        <v/>
      </c>
      <c r="MX4" s="11" t="str">
        <f t="shared" ref="MX4:MX11" si="109">IF(SUM(MD4:MG4)-MH4&gt;0,SUM(MD4:MG4)-MH4,"")</f>
        <v/>
      </c>
      <c r="MY4" s="11" t="str">
        <f t="shared" ref="MY4:MY11" si="110">IF(MAX(MU4,MX4)&gt;0,MAX(MU4,MX4),"")</f>
        <v/>
      </c>
      <c r="MZ4" s="11" t="str">
        <f t="shared" ref="MZ4:NA11" si="111">IF(MK4&gt;0,MK4,"")</f>
        <v/>
      </c>
      <c r="NA4" s="11" t="str">
        <f t="shared" si="111"/>
        <v/>
      </c>
      <c r="NB4" s="11" t="str">
        <f t="shared" ref="NB4:NB11" si="112">IF(SUM(MI4:ML4)-MM4&gt;0,SUM(MI4:ML4)-MM4,"")</f>
        <v/>
      </c>
      <c r="NC4" s="11" t="str">
        <f t="shared" ref="NC4:ND11" si="113">IF(MP4&gt;0,MP4,"")</f>
        <v/>
      </c>
      <c r="ND4" s="11" t="str">
        <f t="shared" si="113"/>
        <v/>
      </c>
      <c r="NE4" s="11" t="str">
        <f t="shared" ref="NE4:NE11" si="114">IF(SUM(MN4:MQ4)-MR4&gt;0,SUM(MN4:MQ4)-MR4,"")</f>
        <v/>
      </c>
      <c r="NF4" s="11" t="str">
        <f t="shared" ref="NF4:NF11" si="115">IF(SUM(MY4,NB4,NE4)&gt;0,SUM(MY4,NB4,NE4),"")</f>
        <v/>
      </c>
      <c r="NG4" s="15"/>
      <c r="NH4" s="15"/>
      <c r="NI4" s="15"/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36" t="str">
        <f t="shared" ref="OA4:OB11" si="116">IF(NI4&gt;0,NI4,"")</f>
        <v/>
      </c>
      <c r="OB4" s="36" t="str">
        <f t="shared" si="116"/>
        <v/>
      </c>
      <c r="OC4" s="36" t="str">
        <f t="shared" ref="OC4:OC11" si="117">IF(SUM(NG4:NJ4)-NK4&gt;0,SUM(NG4:NJ4)-NK4,"")</f>
        <v/>
      </c>
      <c r="OD4" s="36" t="str">
        <f t="shared" ref="OD4:OE11" si="118">IF(NN4&gt;0,NN4,"")</f>
        <v/>
      </c>
      <c r="OE4" s="36" t="str">
        <f t="shared" si="118"/>
        <v/>
      </c>
      <c r="OF4" s="36" t="str">
        <f t="shared" ref="OF4:OF11" si="119">IF(SUM(NL4:NO4)-NP4&gt;0,SUM(NL4:NO4)-NP4,"")</f>
        <v/>
      </c>
      <c r="OG4" s="36" t="str">
        <f t="shared" ref="OG4:OG11" si="120">IF(MAX(OC4,OF4)&gt;0,MAX(OC4,OF4),"")</f>
        <v/>
      </c>
      <c r="OH4" s="36" t="str">
        <f t="shared" ref="OH4:OI11" si="121">IF(NS4&gt;0,NS4,"")</f>
        <v/>
      </c>
      <c r="OI4" s="36" t="str">
        <f t="shared" si="121"/>
        <v/>
      </c>
      <c r="OJ4" s="36" t="str">
        <f t="shared" ref="OJ4:OJ11" si="122">IF(SUM(NQ4:NT4)-NU4&gt;0,SUM(NQ4:NT4)-NU4,"")</f>
        <v/>
      </c>
      <c r="OK4" s="36" t="str">
        <f t="shared" ref="OK4:OL11" si="123">IF(NX4&gt;0,NX4,"")</f>
        <v/>
      </c>
      <c r="OL4" s="36" t="str">
        <f t="shared" si="123"/>
        <v/>
      </c>
      <c r="OM4" s="36" t="str">
        <f t="shared" ref="OM4:OM11" si="124">IF(SUM(NV4:NY4)-NZ4&gt;0,SUM(NV4:NY4)-NZ4,"")</f>
        <v/>
      </c>
      <c r="ON4" s="36" t="str">
        <f t="shared" ref="ON4:ON11" si="125">IF(SUM(OG4,OJ4,OM4)&gt;0,SUM(OG4,OJ4,OM4),"")</f>
        <v/>
      </c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1" t="str">
        <f t="shared" ref="PI4:PJ11" si="126">IF(OQ4&gt;0,OQ4,"")</f>
        <v/>
      </c>
      <c r="PJ4" s="11" t="str">
        <f t="shared" si="126"/>
        <v/>
      </c>
      <c r="PK4" s="11" t="str">
        <f t="shared" ref="PK4:PK11" si="127">IF(SUM(OO4:OR4)-OS4&gt;0,SUM(OO4:OR4)-OS4,"")</f>
        <v/>
      </c>
      <c r="PL4" s="11" t="str">
        <f t="shared" ref="PL4:PM11" si="128">IF(OV4&gt;0,OV4,"")</f>
        <v/>
      </c>
      <c r="PM4" s="11" t="str">
        <f t="shared" si="128"/>
        <v/>
      </c>
      <c r="PN4" s="11" t="str">
        <f t="shared" ref="PN4:PN11" si="129">IF(SUM(OT4:OW4)-OX4&gt;0,SUM(OT4:OW4)-OX4,"")</f>
        <v/>
      </c>
      <c r="PO4" s="11" t="str">
        <f t="shared" ref="PO4:PO11" si="130">IF(MAX(PK4,PN4)&gt;0,MAX(PK4,PN4),"")</f>
        <v/>
      </c>
      <c r="PP4" s="11" t="str">
        <f t="shared" ref="PP4:PQ11" si="131">IF(PA4&gt;0,PA4,"")</f>
        <v/>
      </c>
      <c r="PQ4" s="11" t="str">
        <f t="shared" si="131"/>
        <v/>
      </c>
      <c r="PR4" s="11" t="str">
        <f t="shared" ref="PR4:PR11" si="132">IF(SUM(OY4:PB4)-PC4&gt;0,SUM(OY4:PB4)-PC4,"")</f>
        <v/>
      </c>
      <c r="PS4" s="11" t="str">
        <f t="shared" ref="PS4:PT11" si="133">IF(PF4&gt;0,PF4,"")</f>
        <v/>
      </c>
      <c r="PT4" s="11" t="str">
        <f t="shared" si="133"/>
        <v/>
      </c>
      <c r="PU4" s="11" t="str">
        <f t="shared" ref="PU4:PU11" si="134">IF(SUM(PD4:PG4)-PH4&gt;0,SUM(PD4:PG4)-PH4,"")</f>
        <v/>
      </c>
      <c r="PV4" s="11" t="str">
        <f t="shared" ref="PV4:PV11" si="135">IF(SUM(PO4,PR4,PU4)&gt;0,SUM(PO4,PR4,PU4),"")</f>
        <v/>
      </c>
      <c r="PW4" s="15"/>
      <c r="PX4" s="15"/>
      <c r="PY4" s="15"/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36" t="str">
        <f t="shared" ref="QQ4:QR11" si="136">IF(PY4&gt;0,PY4,"")</f>
        <v/>
      </c>
      <c r="QR4" s="36" t="str">
        <f t="shared" si="136"/>
        <v/>
      </c>
      <c r="QS4" s="36" t="str">
        <f t="shared" ref="QS4:QS11" si="137">IF(SUM(PW4:PZ4)-QA4&gt;0,SUM(PW4:PZ4)-QA4,"")</f>
        <v/>
      </c>
      <c r="QT4" s="36" t="str">
        <f t="shared" ref="QT4:QU11" si="138">IF(QD4&gt;0,QD4,"")</f>
        <v/>
      </c>
      <c r="QU4" s="36" t="str">
        <f t="shared" si="138"/>
        <v/>
      </c>
      <c r="QV4" s="36" t="str">
        <f t="shared" ref="QV4:QV11" si="139">IF(SUM(QB4:QE4)-QF4&gt;0,SUM(QB4:QE4)-QF4,"")</f>
        <v/>
      </c>
      <c r="QW4" s="36" t="str">
        <f t="shared" ref="QW4:QW11" si="140">IF(MAX(QS4,QV4)&gt;0,MAX(QS4,QV4),"")</f>
        <v/>
      </c>
      <c r="QX4" s="36" t="str">
        <f t="shared" ref="QX4:QY11" si="141">IF(QI4&gt;0,QI4,"")</f>
        <v/>
      </c>
      <c r="QY4" s="36" t="str">
        <f t="shared" si="141"/>
        <v/>
      </c>
      <c r="QZ4" s="36" t="str">
        <f t="shared" ref="QZ4:QZ11" si="142">IF(SUM(QG4:QJ4)-QK4&gt;0,SUM(QG4:QJ4)-QK4,"")</f>
        <v/>
      </c>
      <c r="RA4" s="36" t="str">
        <f t="shared" ref="RA4:RB11" si="143">IF(QN4&gt;0,QN4,"")</f>
        <v/>
      </c>
      <c r="RB4" s="36" t="str">
        <f t="shared" si="143"/>
        <v/>
      </c>
      <c r="RC4" s="36" t="str">
        <f t="shared" ref="RC4:RC11" si="144">IF(SUM(QL4:QO4)-QP4&gt;0,SUM(QL4:QO4)-QP4,"")</f>
        <v/>
      </c>
      <c r="RD4" s="36" t="str">
        <f t="shared" ref="RD4:RD11" si="145">IF(SUM(QW4,QZ4,RC4)&gt;0,SUM(QW4,QZ4,RC4),"")</f>
        <v/>
      </c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1" t="str">
        <f t="shared" ref="RY4:RZ11" si="146">IF(RG4&gt;0,RG4,"")</f>
        <v/>
      </c>
      <c r="RZ4" s="11" t="str">
        <f t="shared" si="146"/>
        <v/>
      </c>
      <c r="SA4" s="11" t="str">
        <f t="shared" ref="SA4:SA11" si="147">IF(SUM(RE4:RH4)-RI4&gt;0,SUM(RE4:RH4)-RI4,"")</f>
        <v/>
      </c>
      <c r="SB4" s="11" t="str">
        <f t="shared" ref="SB4:SC11" si="148">IF(RL4&gt;0,RL4,"")</f>
        <v/>
      </c>
      <c r="SC4" s="11" t="str">
        <f t="shared" si="148"/>
        <v/>
      </c>
      <c r="SD4" s="11" t="str">
        <f t="shared" ref="SD4:SD11" si="149">IF(SUM(RJ4:RM4)-RN4&gt;0,SUM(RJ4:RM4)-RN4,"")</f>
        <v/>
      </c>
      <c r="SE4" s="11" t="str">
        <f t="shared" ref="SE4:SE11" si="150">IF(MAX(SA4,SD4)&gt;0,MAX(SA4,SD4),"")</f>
        <v/>
      </c>
      <c r="SF4" s="11" t="str">
        <f t="shared" ref="SF4:SG11" si="151">IF(RQ4&gt;0,RQ4,"")</f>
        <v/>
      </c>
      <c r="SG4" s="11" t="str">
        <f t="shared" si="151"/>
        <v/>
      </c>
      <c r="SH4" s="11" t="str">
        <f t="shared" ref="SH4:SH11" si="152">IF(SUM(RO4:RR4)-RS4&gt;0,SUM(RO4:RR4)-RS4,"")</f>
        <v/>
      </c>
      <c r="SI4" s="11" t="str">
        <f t="shared" ref="SI4:SJ11" si="153">IF(RV4&gt;0,RV4,"")</f>
        <v/>
      </c>
      <c r="SJ4" s="11" t="str">
        <f t="shared" si="153"/>
        <v/>
      </c>
      <c r="SK4" s="11" t="str">
        <f t="shared" ref="SK4:SK11" si="154">IF(SUM(RT4:RW4)-RX4&gt;0,SUM(RT4:RW4)-RX4,"")</f>
        <v/>
      </c>
      <c r="SL4" s="11" t="str">
        <f t="shared" ref="SL4:SL11" si="155">IF(SUM(SE4,SH4,SK4)&gt;0,SUM(SE4,SH4,SK4),"")</f>
        <v/>
      </c>
      <c r="SM4" s="15"/>
      <c r="SN4" s="15"/>
      <c r="SO4" s="15"/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36" t="str">
        <f t="shared" ref="TG4:TH11" si="156">IF(SO4&gt;0,SO4,"")</f>
        <v/>
      </c>
      <c r="TH4" s="36" t="str">
        <f t="shared" si="156"/>
        <v/>
      </c>
      <c r="TI4" s="36" t="str">
        <f t="shared" ref="TI4:TI11" si="157">IF(SUM(SM4:SP4)-SQ4&gt;0,SUM(SM4:SP4)-SQ4,"")</f>
        <v/>
      </c>
      <c r="TJ4" s="36" t="str">
        <f t="shared" ref="TJ4:TK11" si="158">IF(ST4&gt;0,ST4,"")</f>
        <v/>
      </c>
      <c r="TK4" s="36" t="str">
        <f t="shared" si="158"/>
        <v/>
      </c>
      <c r="TL4" s="36" t="str">
        <f t="shared" ref="TL4:TL11" si="159">IF(SUM(SR4:SU4)-SV4&gt;0,SUM(SR4:SU4)-SV4,"")</f>
        <v/>
      </c>
      <c r="TM4" s="36" t="str">
        <f t="shared" ref="TM4:TM11" si="160">IF(MAX(TI4,TL4)&gt;0,MAX(TI4,TL4),"")</f>
        <v/>
      </c>
      <c r="TN4" s="36" t="str">
        <f t="shared" ref="TN4:TO11" si="161">IF(SY4&gt;0,SY4,"")</f>
        <v/>
      </c>
      <c r="TO4" s="36" t="str">
        <f t="shared" si="161"/>
        <v/>
      </c>
      <c r="TP4" s="36" t="str">
        <f t="shared" ref="TP4:TP11" si="162">IF(SUM(SW4:SZ4)-TA4&gt;0,SUM(SW4:SZ4)-TA4,"")</f>
        <v/>
      </c>
      <c r="TQ4" s="36" t="str">
        <f t="shared" ref="TQ4:TR11" si="163">IF(TD4&gt;0,TD4,"")</f>
        <v/>
      </c>
      <c r="TR4" s="36" t="str">
        <f t="shared" si="163"/>
        <v/>
      </c>
      <c r="TS4" s="36" t="str">
        <f t="shared" ref="TS4:TS11" si="164">IF(SUM(TB4:TE4)-TF4&gt;0,SUM(TB4:TE4)-TF4,"")</f>
        <v/>
      </c>
      <c r="TT4" s="36" t="str">
        <f t="shared" ref="TT4:TT11" si="165">IF(SUM(TM4,TP4,TS4)&gt;0,SUM(TM4,TP4,TS4),"")</f>
        <v/>
      </c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1" t="str">
        <f t="shared" ref="UO4:UP11" si="166">IF(TW4&gt;0,TW4,"")</f>
        <v/>
      </c>
      <c r="UP4" s="11" t="str">
        <f t="shared" si="166"/>
        <v/>
      </c>
      <c r="UQ4" s="11" t="str">
        <f t="shared" ref="UQ4:UQ11" si="167">IF(SUM(TU4:TX4)-TY4&gt;0,SUM(TU4:TX4)-TY4,"")</f>
        <v/>
      </c>
      <c r="UR4" s="11" t="str">
        <f t="shared" ref="UR4:US11" si="168">IF(UB4&gt;0,UB4,"")</f>
        <v/>
      </c>
      <c r="US4" s="11" t="str">
        <f t="shared" si="168"/>
        <v/>
      </c>
      <c r="UT4" s="11" t="str">
        <f t="shared" ref="UT4:UT11" si="169">IF(SUM(TZ4:UC4)-UD4&gt;0,SUM(TZ4:UC4)-UD4,"")</f>
        <v/>
      </c>
      <c r="UU4" s="11" t="str">
        <f t="shared" ref="UU4:UU11" si="170">IF(MAX(UQ4,UT4)&gt;0,MAX(UQ4,UT4),"")</f>
        <v/>
      </c>
      <c r="UV4" s="11" t="str">
        <f t="shared" ref="UV4:UW11" si="171">IF(UG4&gt;0,UG4,"")</f>
        <v/>
      </c>
      <c r="UW4" s="11" t="str">
        <f t="shared" si="171"/>
        <v/>
      </c>
      <c r="UX4" s="11" t="str">
        <f t="shared" ref="UX4:UX11" si="172">IF(SUM(UE4:UH4)-UI4&gt;0,SUM(UE4:UH4)-UI4,"")</f>
        <v/>
      </c>
      <c r="UY4" s="11" t="str">
        <f t="shared" ref="UY4:UZ11" si="173">IF(UL4&gt;0,UL4,"")</f>
        <v/>
      </c>
      <c r="UZ4" s="11" t="str">
        <f t="shared" si="173"/>
        <v/>
      </c>
      <c r="VA4" s="11" t="str">
        <f t="shared" ref="VA4:VA11" si="174">IF(SUM(UJ4:UM4)-UN4&gt;0,SUM(UJ4:UM4)-UN4,"")</f>
        <v/>
      </c>
      <c r="VB4" s="11" t="str">
        <f t="shared" ref="VB4:VB11" si="175">IF(SUM(UU4,UX4,VA4)&gt;0,SUM(UU4,UX4,VA4),"")</f>
        <v/>
      </c>
      <c r="VC4" s="15"/>
      <c r="VD4" s="15"/>
      <c r="VE4" s="15"/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36" t="str">
        <f t="shared" ref="VW4:VX11" si="176">IF(VE4&gt;0,VE4,"")</f>
        <v/>
      </c>
      <c r="VX4" s="36" t="str">
        <f t="shared" si="176"/>
        <v/>
      </c>
      <c r="VY4" s="36" t="str">
        <f t="shared" ref="VY4:VY11" si="177">IF(SUM(VC4:VF4)-VG4&gt;0,SUM(VC4:VF4)-VG4,"")</f>
        <v/>
      </c>
      <c r="VZ4" s="36" t="str">
        <f t="shared" ref="VZ4:WA11" si="178">IF(VJ4&gt;0,VJ4,"")</f>
        <v/>
      </c>
      <c r="WA4" s="36" t="str">
        <f t="shared" si="178"/>
        <v/>
      </c>
      <c r="WB4" s="36" t="str">
        <f t="shared" ref="WB4:WB11" si="179">IF(SUM(VH4:VK4)-VL4&gt;0,SUM(VH4:VK4)-VL4,"")</f>
        <v/>
      </c>
      <c r="WC4" s="36" t="str">
        <f t="shared" ref="WC4:WC11" si="180">IF(MAX(VY4,WB4)&gt;0,MAX(VY4,WB4),"")</f>
        <v/>
      </c>
      <c r="WD4" s="36" t="str">
        <f t="shared" ref="WD4:WE11" si="181">IF(VO4&gt;0,VO4,"")</f>
        <v/>
      </c>
      <c r="WE4" s="36" t="str">
        <f t="shared" si="181"/>
        <v/>
      </c>
      <c r="WF4" s="36" t="str">
        <f t="shared" ref="WF4:WF11" si="182">IF(SUM(VM4:VP4)-VQ4&gt;0,SUM(VM4:VP4)-VQ4,"")</f>
        <v/>
      </c>
      <c r="WG4" s="36" t="str">
        <f t="shared" ref="WG4:WH11" si="183">IF(VT4&gt;0,VT4,"")</f>
        <v/>
      </c>
      <c r="WH4" s="36" t="str">
        <f t="shared" si="183"/>
        <v/>
      </c>
      <c r="WI4" s="36" t="str">
        <f t="shared" ref="WI4:WI11" si="184">IF(SUM(VR4:VU4)-VV4&gt;0,SUM(VR4:VU4)-VV4,"")</f>
        <v/>
      </c>
      <c r="WJ4" s="36" t="str">
        <f t="shared" ref="WJ4:WJ11" si="185">IF(SUM(WC4,WF4,WI4)&gt;0,SUM(WC4,WF4,WI4),"")</f>
        <v/>
      </c>
    </row>
    <row r="5" spans="1:608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119</v>
      </c>
      <c r="C5" s="4" t="s">
        <v>3</v>
      </c>
      <c r="D5" s="4" t="s">
        <v>122</v>
      </c>
      <c r="E5" s="9">
        <f t="shared" si="0"/>
        <v>77.79000777900464</v>
      </c>
      <c r="F5" s="3" t="str">
        <f t="shared" si="1"/>
        <v>P</v>
      </c>
      <c r="G5" s="3" t="str">
        <f t="shared" si="2"/>
        <v>P</v>
      </c>
      <c r="H5" s="32" t="str">
        <f t="shared" si="3"/>
        <v>National Team</v>
      </c>
      <c r="I5" s="3" t="str">
        <f t="shared" si="4"/>
        <v/>
      </c>
      <c r="J5" s="8">
        <f t="shared" si="5"/>
        <v>46.38</v>
      </c>
      <c r="K5" s="8" t="str">
        <f t="shared" si="6"/>
        <v>2025 Nationals</v>
      </c>
      <c r="L5" s="8">
        <f>IFERROR(LARGE((AI5,AL5,AP5,BJ5,BM5,BQ5,CK5,CN5,CR5),2),0)</f>
        <v>31.410000000000004</v>
      </c>
      <c r="M5" s="8" t="str">
        <f t="shared" si="7"/>
        <v>2025 Nationals</v>
      </c>
      <c r="N5" s="8">
        <f t="shared" si="8"/>
        <v>0</v>
      </c>
      <c r="O5" s="11" t="str">
        <f t="shared" si="9"/>
        <v/>
      </c>
      <c r="P5" s="8" t="str">
        <f t="shared" si="10"/>
        <v/>
      </c>
      <c r="Q5" s="18">
        <v>5.48</v>
      </c>
      <c r="R5" s="18">
        <v>7.05</v>
      </c>
      <c r="S5" s="18">
        <v>9</v>
      </c>
      <c r="T5" s="18">
        <v>9.8800000000000008</v>
      </c>
      <c r="U5" s="18">
        <v>0</v>
      </c>
      <c r="V5" s="18">
        <v>1.35</v>
      </c>
      <c r="W5" s="18">
        <v>1.9</v>
      </c>
      <c r="X5" s="18">
        <v>2.6</v>
      </c>
      <c r="Y5" s="18">
        <v>3.26</v>
      </c>
      <c r="Z5" s="18">
        <v>0</v>
      </c>
      <c r="AA5" s="18">
        <v>7.2</v>
      </c>
      <c r="AB5" s="18">
        <v>9.1</v>
      </c>
      <c r="AC5" s="18">
        <v>11.8</v>
      </c>
      <c r="AD5" s="18">
        <v>18.28</v>
      </c>
      <c r="AE5" s="18">
        <v>0</v>
      </c>
      <c r="AF5" s="23"/>
      <c r="AG5" s="34">
        <f t="shared" si="11"/>
        <v>9</v>
      </c>
      <c r="AH5" s="34">
        <f t="shared" si="11"/>
        <v>9.8800000000000008</v>
      </c>
      <c r="AI5" s="36">
        <f t="shared" si="12"/>
        <v>31.410000000000004</v>
      </c>
      <c r="AJ5" s="36">
        <f t="shared" si="13"/>
        <v>2.6</v>
      </c>
      <c r="AK5" s="36">
        <f t="shared" si="13"/>
        <v>3.26</v>
      </c>
      <c r="AL5" s="36">
        <f t="shared" si="14"/>
        <v>9.11</v>
      </c>
      <c r="AM5" s="36">
        <f t="shared" si="15"/>
        <v>31.410000000000004</v>
      </c>
      <c r="AN5" s="36">
        <f t="shared" si="16"/>
        <v>11.8</v>
      </c>
      <c r="AO5" s="36">
        <f t="shared" si="16"/>
        <v>18.28</v>
      </c>
      <c r="AP5" s="36">
        <f t="shared" si="17"/>
        <v>46.38</v>
      </c>
      <c r="AQ5" s="36">
        <f t="shared" si="18"/>
        <v>77.790000000000006</v>
      </c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4"/>
      <c r="BH5" s="35" t="str">
        <f t="shared" si="19"/>
        <v/>
      </c>
      <c r="BI5" s="35" t="str">
        <f t="shared" si="19"/>
        <v/>
      </c>
      <c r="BJ5" s="11" t="str">
        <f t="shared" si="20"/>
        <v/>
      </c>
      <c r="BK5" s="11" t="str">
        <f t="shared" si="21"/>
        <v/>
      </c>
      <c r="BL5" s="11" t="str">
        <f t="shared" si="21"/>
        <v/>
      </c>
      <c r="BM5" s="11" t="str">
        <f t="shared" si="22"/>
        <v/>
      </c>
      <c r="BN5" s="11" t="str">
        <f t="shared" si="23"/>
        <v/>
      </c>
      <c r="BO5" s="11" t="str">
        <f t="shared" si="24"/>
        <v/>
      </c>
      <c r="BP5" s="11" t="str">
        <f t="shared" si="24"/>
        <v/>
      </c>
      <c r="BQ5" s="11" t="str">
        <f t="shared" si="25"/>
        <v/>
      </c>
      <c r="BR5" s="11" t="str">
        <f t="shared" si="26"/>
        <v/>
      </c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23"/>
      <c r="CI5" s="34" t="str">
        <f t="shared" si="27"/>
        <v/>
      </c>
      <c r="CJ5" s="34" t="str">
        <f t="shared" si="27"/>
        <v/>
      </c>
      <c r="CK5" s="36" t="str">
        <f t="shared" si="28"/>
        <v/>
      </c>
      <c r="CL5" s="36" t="str">
        <f t="shared" si="29"/>
        <v/>
      </c>
      <c r="CM5" s="36" t="str">
        <f t="shared" si="29"/>
        <v/>
      </c>
      <c r="CN5" s="36" t="str">
        <f t="shared" si="30"/>
        <v/>
      </c>
      <c r="CO5" s="36" t="str">
        <f t="shared" si="31"/>
        <v/>
      </c>
      <c r="CP5" s="36" t="str">
        <f t="shared" si="32"/>
        <v/>
      </c>
      <c r="CQ5" s="36" t="str">
        <f t="shared" si="32"/>
        <v/>
      </c>
      <c r="CR5" s="36" t="str">
        <f t="shared" si="33"/>
        <v/>
      </c>
      <c r="CS5" s="36" t="str">
        <f t="shared" si="34"/>
        <v/>
      </c>
      <c r="CT5" s="47" t="str">
        <f t="shared" si="35"/>
        <v/>
      </c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36" t="str">
        <f t="shared" si="36"/>
        <v/>
      </c>
      <c r="DP5" s="36" t="str">
        <f t="shared" si="36"/>
        <v/>
      </c>
      <c r="DQ5" s="36" t="str">
        <f t="shared" si="37"/>
        <v/>
      </c>
      <c r="DR5" s="36" t="str">
        <f t="shared" si="38"/>
        <v/>
      </c>
      <c r="DS5" s="36" t="str">
        <f t="shared" si="38"/>
        <v/>
      </c>
      <c r="DT5" s="36" t="str">
        <f t="shared" si="39"/>
        <v/>
      </c>
      <c r="DU5" s="36" t="str">
        <f t="shared" si="40"/>
        <v/>
      </c>
      <c r="DV5" s="36" t="str">
        <f t="shared" si="41"/>
        <v/>
      </c>
      <c r="DW5" s="36" t="str">
        <f t="shared" si="41"/>
        <v/>
      </c>
      <c r="DX5" s="36" t="str">
        <f t="shared" si="42"/>
        <v/>
      </c>
      <c r="DY5" s="36" t="str">
        <f t="shared" si="43"/>
        <v/>
      </c>
      <c r="DZ5" s="36" t="str">
        <f t="shared" si="43"/>
        <v/>
      </c>
      <c r="EA5" s="36" t="str">
        <f t="shared" si="44"/>
        <v/>
      </c>
      <c r="EB5" s="36" t="str">
        <f t="shared" si="45"/>
        <v/>
      </c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1" t="str">
        <f t="shared" si="46"/>
        <v/>
      </c>
      <c r="EX5" s="11" t="str">
        <f t="shared" si="46"/>
        <v/>
      </c>
      <c r="EY5" s="11" t="str">
        <f t="shared" si="47"/>
        <v/>
      </c>
      <c r="EZ5" s="11" t="str">
        <f t="shared" si="48"/>
        <v/>
      </c>
      <c r="FA5" s="11" t="str">
        <f t="shared" si="48"/>
        <v/>
      </c>
      <c r="FB5" s="11" t="str">
        <f t="shared" si="49"/>
        <v/>
      </c>
      <c r="FC5" s="11" t="str">
        <f t="shared" si="50"/>
        <v/>
      </c>
      <c r="FD5" s="11" t="str">
        <f t="shared" si="51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36" t="str">
        <f t="shared" si="56"/>
        <v/>
      </c>
      <c r="GF5" s="36" t="str">
        <f t="shared" si="56"/>
        <v/>
      </c>
      <c r="GG5" s="36" t="str">
        <f t="shared" si="57"/>
        <v/>
      </c>
      <c r="GH5" s="36" t="str">
        <f t="shared" si="58"/>
        <v/>
      </c>
      <c r="GI5" s="36" t="str">
        <f t="shared" si="58"/>
        <v/>
      </c>
      <c r="GJ5" s="36" t="str">
        <f t="shared" si="59"/>
        <v/>
      </c>
      <c r="GK5" s="36" t="str">
        <f t="shared" si="60"/>
        <v/>
      </c>
      <c r="GL5" s="36" t="str">
        <f t="shared" si="61"/>
        <v/>
      </c>
      <c r="GM5" s="36" t="str">
        <f t="shared" si="61"/>
        <v/>
      </c>
      <c r="GN5" s="36" t="str">
        <f t="shared" si="62"/>
        <v/>
      </c>
      <c r="GO5" s="36" t="str">
        <f t="shared" si="63"/>
        <v/>
      </c>
      <c r="GP5" s="36" t="str">
        <f t="shared" si="63"/>
        <v/>
      </c>
      <c r="GQ5" s="36" t="str">
        <f t="shared" si="64"/>
        <v/>
      </c>
      <c r="GR5" s="36" t="str">
        <f t="shared" si="65"/>
        <v/>
      </c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1" t="str">
        <f t="shared" si="66"/>
        <v/>
      </c>
      <c r="HN5" s="11" t="str">
        <f t="shared" si="66"/>
        <v/>
      </c>
      <c r="HO5" s="11" t="str">
        <f t="shared" si="67"/>
        <v/>
      </c>
      <c r="HP5" s="11" t="str">
        <f t="shared" si="68"/>
        <v/>
      </c>
      <c r="HQ5" s="11" t="str">
        <f t="shared" si="68"/>
        <v/>
      </c>
      <c r="HR5" s="11" t="str">
        <f t="shared" si="69"/>
        <v/>
      </c>
      <c r="HS5" s="11" t="str">
        <f t="shared" si="70"/>
        <v/>
      </c>
      <c r="HT5" s="11" t="str">
        <f t="shared" si="71"/>
        <v/>
      </c>
      <c r="HU5" s="11" t="str">
        <f t="shared" si="71"/>
        <v/>
      </c>
      <c r="HV5" s="11" t="str">
        <f t="shared" si="72"/>
        <v/>
      </c>
      <c r="HW5" s="11" t="str">
        <f t="shared" si="73"/>
        <v/>
      </c>
      <c r="HX5" s="11" t="str">
        <f t="shared" si="73"/>
        <v/>
      </c>
      <c r="HY5" s="11" t="str">
        <f t="shared" si="74"/>
        <v/>
      </c>
      <c r="HZ5" s="11" t="str">
        <f t="shared" si="75"/>
        <v/>
      </c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36" t="str">
        <f t="shared" si="76"/>
        <v/>
      </c>
      <c r="IV5" s="36" t="str">
        <f t="shared" si="76"/>
        <v/>
      </c>
      <c r="IW5" s="36" t="str">
        <f t="shared" si="77"/>
        <v/>
      </c>
      <c r="IX5" s="36" t="str">
        <f t="shared" si="78"/>
        <v/>
      </c>
      <c r="IY5" s="36" t="str">
        <f t="shared" si="78"/>
        <v/>
      </c>
      <c r="IZ5" s="36" t="str">
        <f t="shared" si="79"/>
        <v/>
      </c>
      <c r="JA5" s="36" t="str">
        <f t="shared" si="80"/>
        <v/>
      </c>
      <c r="JB5" s="36" t="str">
        <f t="shared" si="81"/>
        <v/>
      </c>
      <c r="JC5" s="36" t="str">
        <f t="shared" si="81"/>
        <v/>
      </c>
      <c r="JD5" s="36" t="str">
        <f t="shared" si="82"/>
        <v/>
      </c>
      <c r="JE5" s="36" t="str">
        <f t="shared" si="83"/>
        <v/>
      </c>
      <c r="JF5" s="36" t="str">
        <f t="shared" si="83"/>
        <v/>
      </c>
      <c r="JG5" s="36" t="str">
        <f t="shared" si="84"/>
        <v/>
      </c>
      <c r="JH5" s="36" t="str">
        <f t="shared" si="85"/>
        <v/>
      </c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1" t="str">
        <f t="shared" si="86"/>
        <v/>
      </c>
      <c r="KD5" s="11" t="str">
        <f t="shared" si="86"/>
        <v/>
      </c>
      <c r="KE5" s="11" t="str">
        <f t="shared" si="87"/>
        <v/>
      </c>
      <c r="KF5" s="11" t="str">
        <f t="shared" si="88"/>
        <v/>
      </c>
      <c r="KG5" s="11" t="str">
        <f t="shared" si="88"/>
        <v/>
      </c>
      <c r="KH5" s="11" t="str">
        <f t="shared" si="89"/>
        <v/>
      </c>
      <c r="KI5" s="11" t="str">
        <f t="shared" si="90"/>
        <v/>
      </c>
      <c r="KJ5" s="11" t="str">
        <f t="shared" si="91"/>
        <v/>
      </c>
      <c r="KK5" s="11" t="str">
        <f t="shared" si="91"/>
        <v/>
      </c>
      <c r="KL5" s="11" t="str">
        <f t="shared" si="92"/>
        <v/>
      </c>
      <c r="KM5" s="11" t="str">
        <f t="shared" si="93"/>
        <v/>
      </c>
      <c r="KN5" s="11" t="str">
        <f t="shared" si="93"/>
        <v/>
      </c>
      <c r="KO5" s="11" t="str">
        <f t="shared" si="94"/>
        <v/>
      </c>
      <c r="KP5" s="11" t="str">
        <f t="shared" si="95"/>
        <v/>
      </c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36" t="str">
        <f t="shared" si="96"/>
        <v/>
      </c>
      <c r="LL5" s="36" t="str">
        <f t="shared" si="96"/>
        <v/>
      </c>
      <c r="LM5" s="36" t="str">
        <f t="shared" si="97"/>
        <v/>
      </c>
      <c r="LN5" s="36" t="str">
        <f t="shared" si="98"/>
        <v/>
      </c>
      <c r="LO5" s="36" t="str">
        <f t="shared" si="98"/>
        <v/>
      </c>
      <c r="LP5" s="36" t="str">
        <f t="shared" si="99"/>
        <v/>
      </c>
      <c r="LQ5" s="36" t="str">
        <f t="shared" si="100"/>
        <v/>
      </c>
      <c r="LR5" s="36" t="str">
        <f t="shared" si="101"/>
        <v/>
      </c>
      <c r="LS5" s="36" t="str">
        <f t="shared" si="101"/>
        <v/>
      </c>
      <c r="LT5" s="36" t="str">
        <f t="shared" si="102"/>
        <v/>
      </c>
      <c r="LU5" s="36" t="str">
        <f t="shared" si="103"/>
        <v/>
      </c>
      <c r="LV5" s="36" t="str">
        <f t="shared" si="103"/>
        <v/>
      </c>
      <c r="LW5" s="36" t="str">
        <f t="shared" si="104"/>
        <v/>
      </c>
      <c r="LX5" s="36" t="str">
        <f t="shared" si="105"/>
        <v/>
      </c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1" t="str">
        <f t="shared" si="106"/>
        <v/>
      </c>
      <c r="MT5" s="11" t="str">
        <f t="shared" si="106"/>
        <v/>
      </c>
      <c r="MU5" s="11" t="str">
        <f t="shared" si="107"/>
        <v/>
      </c>
      <c r="MV5" s="11" t="str">
        <f t="shared" si="108"/>
        <v/>
      </c>
      <c r="MW5" s="11" t="str">
        <f t="shared" si="108"/>
        <v/>
      </c>
      <c r="MX5" s="11" t="str">
        <f t="shared" si="109"/>
        <v/>
      </c>
      <c r="MY5" s="11" t="str">
        <f t="shared" si="110"/>
        <v/>
      </c>
      <c r="MZ5" s="11" t="str">
        <f t="shared" si="111"/>
        <v/>
      </c>
      <c r="NA5" s="11" t="str">
        <f t="shared" si="111"/>
        <v/>
      </c>
      <c r="NB5" s="11" t="str">
        <f t="shared" si="112"/>
        <v/>
      </c>
      <c r="NC5" s="11" t="str">
        <f t="shared" si="113"/>
        <v/>
      </c>
      <c r="ND5" s="11" t="str">
        <f t="shared" si="113"/>
        <v/>
      </c>
      <c r="NE5" s="11" t="str">
        <f t="shared" si="114"/>
        <v/>
      </c>
      <c r="NF5" s="11" t="str">
        <f t="shared" si="115"/>
        <v/>
      </c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36" t="str">
        <f t="shared" si="116"/>
        <v/>
      </c>
      <c r="OB5" s="36" t="str">
        <f t="shared" si="116"/>
        <v/>
      </c>
      <c r="OC5" s="36" t="str">
        <f t="shared" si="117"/>
        <v/>
      </c>
      <c r="OD5" s="36" t="str">
        <f t="shared" si="118"/>
        <v/>
      </c>
      <c r="OE5" s="36" t="str">
        <f t="shared" si="118"/>
        <v/>
      </c>
      <c r="OF5" s="36" t="str">
        <f t="shared" si="119"/>
        <v/>
      </c>
      <c r="OG5" s="36" t="str">
        <f t="shared" si="120"/>
        <v/>
      </c>
      <c r="OH5" s="36" t="str">
        <f t="shared" si="121"/>
        <v/>
      </c>
      <c r="OI5" s="36" t="str">
        <f t="shared" si="121"/>
        <v/>
      </c>
      <c r="OJ5" s="36" t="str">
        <f t="shared" si="122"/>
        <v/>
      </c>
      <c r="OK5" s="36" t="str">
        <f t="shared" si="123"/>
        <v/>
      </c>
      <c r="OL5" s="36" t="str">
        <f t="shared" si="123"/>
        <v/>
      </c>
      <c r="OM5" s="36" t="str">
        <f t="shared" si="124"/>
        <v/>
      </c>
      <c r="ON5" s="36" t="str">
        <f t="shared" si="125"/>
        <v/>
      </c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1" t="str">
        <f t="shared" si="126"/>
        <v/>
      </c>
      <c r="PJ5" s="11" t="str">
        <f t="shared" si="126"/>
        <v/>
      </c>
      <c r="PK5" s="11" t="str">
        <f t="shared" si="127"/>
        <v/>
      </c>
      <c r="PL5" s="11" t="str">
        <f t="shared" si="128"/>
        <v/>
      </c>
      <c r="PM5" s="11" t="str">
        <f t="shared" si="128"/>
        <v/>
      </c>
      <c r="PN5" s="11" t="str">
        <f t="shared" si="129"/>
        <v/>
      </c>
      <c r="PO5" s="11" t="str">
        <f t="shared" si="130"/>
        <v/>
      </c>
      <c r="PP5" s="11" t="str">
        <f t="shared" si="131"/>
        <v/>
      </c>
      <c r="PQ5" s="11" t="str">
        <f t="shared" si="131"/>
        <v/>
      </c>
      <c r="PR5" s="11" t="str">
        <f t="shared" si="132"/>
        <v/>
      </c>
      <c r="PS5" s="11" t="str">
        <f t="shared" si="133"/>
        <v/>
      </c>
      <c r="PT5" s="11" t="str">
        <f t="shared" si="133"/>
        <v/>
      </c>
      <c r="PU5" s="11" t="str">
        <f t="shared" si="134"/>
        <v/>
      </c>
      <c r="PV5" s="11" t="str">
        <f t="shared" si="135"/>
        <v/>
      </c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36" t="str">
        <f t="shared" si="136"/>
        <v/>
      </c>
      <c r="QR5" s="36" t="str">
        <f t="shared" si="136"/>
        <v/>
      </c>
      <c r="QS5" s="36" t="str">
        <f t="shared" si="137"/>
        <v/>
      </c>
      <c r="QT5" s="36" t="str">
        <f t="shared" si="138"/>
        <v/>
      </c>
      <c r="QU5" s="36" t="str">
        <f t="shared" si="138"/>
        <v/>
      </c>
      <c r="QV5" s="36" t="str">
        <f t="shared" si="139"/>
        <v/>
      </c>
      <c r="QW5" s="36" t="str">
        <f t="shared" si="140"/>
        <v/>
      </c>
      <c r="QX5" s="36" t="str">
        <f t="shared" si="141"/>
        <v/>
      </c>
      <c r="QY5" s="36" t="str">
        <f t="shared" si="141"/>
        <v/>
      </c>
      <c r="QZ5" s="36" t="str">
        <f t="shared" si="142"/>
        <v/>
      </c>
      <c r="RA5" s="36" t="str">
        <f t="shared" si="143"/>
        <v/>
      </c>
      <c r="RB5" s="36" t="str">
        <f t="shared" si="143"/>
        <v/>
      </c>
      <c r="RC5" s="36" t="str">
        <f t="shared" si="144"/>
        <v/>
      </c>
      <c r="RD5" s="36" t="str">
        <f t="shared" si="145"/>
        <v/>
      </c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1" t="str">
        <f t="shared" si="146"/>
        <v/>
      </c>
      <c r="RZ5" s="11" t="str">
        <f t="shared" si="146"/>
        <v/>
      </c>
      <c r="SA5" s="11" t="str">
        <f t="shared" si="147"/>
        <v/>
      </c>
      <c r="SB5" s="11" t="str">
        <f t="shared" si="148"/>
        <v/>
      </c>
      <c r="SC5" s="11" t="str">
        <f t="shared" si="148"/>
        <v/>
      </c>
      <c r="SD5" s="11" t="str">
        <f t="shared" si="149"/>
        <v/>
      </c>
      <c r="SE5" s="11" t="str">
        <f t="shared" si="150"/>
        <v/>
      </c>
      <c r="SF5" s="11" t="str">
        <f t="shared" si="151"/>
        <v/>
      </c>
      <c r="SG5" s="11" t="str">
        <f t="shared" si="151"/>
        <v/>
      </c>
      <c r="SH5" s="11" t="str">
        <f t="shared" si="152"/>
        <v/>
      </c>
      <c r="SI5" s="11" t="str">
        <f t="shared" si="153"/>
        <v/>
      </c>
      <c r="SJ5" s="11" t="str">
        <f t="shared" si="153"/>
        <v/>
      </c>
      <c r="SK5" s="11" t="str">
        <f t="shared" si="154"/>
        <v/>
      </c>
      <c r="SL5" s="11" t="str">
        <f t="shared" si="155"/>
        <v/>
      </c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36" t="str">
        <f t="shared" si="156"/>
        <v/>
      </c>
      <c r="TH5" s="36" t="str">
        <f t="shared" si="156"/>
        <v/>
      </c>
      <c r="TI5" s="36" t="str">
        <f t="shared" si="157"/>
        <v/>
      </c>
      <c r="TJ5" s="36" t="str">
        <f t="shared" si="158"/>
        <v/>
      </c>
      <c r="TK5" s="36" t="str">
        <f t="shared" si="158"/>
        <v/>
      </c>
      <c r="TL5" s="36" t="str">
        <f t="shared" si="159"/>
        <v/>
      </c>
      <c r="TM5" s="36" t="str">
        <f t="shared" si="160"/>
        <v/>
      </c>
      <c r="TN5" s="36" t="str">
        <f t="shared" si="161"/>
        <v/>
      </c>
      <c r="TO5" s="36" t="str">
        <f t="shared" si="161"/>
        <v/>
      </c>
      <c r="TP5" s="36" t="str">
        <f t="shared" si="162"/>
        <v/>
      </c>
      <c r="TQ5" s="36" t="str">
        <f t="shared" si="163"/>
        <v/>
      </c>
      <c r="TR5" s="36" t="str">
        <f t="shared" si="163"/>
        <v/>
      </c>
      <c r="TS5" s="36" t="str">
        <f t="shared" si="164"/>
        <v/>
      </c>
      <c r="TT5" s="36" t="str">
        <f t="shared" si="165"/>
        <v/>
      </c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1" t="str">
        <f t="shared" si="166"/>
        <v/>
      </c>
      <c r="UP5" s="11" t="str">
        <f t="shared" si="166"/>
        <v/>
      </c>
      <c r="UQ5" s="11" t="str">
        <f t="shared" si="167"/>
        <v/>
      </c>
      <c r="UR5" s="11" t="str">
        <f t="shared" si="168"/>
        <v/>
      </c>
      <c r="US5" s="11" t="str">
        <f t="shared" si="168"/>
        <v/>
      </c>
      <c r="UT5" s="11" t="str">
        <f t="shared" si="169"/>
        <v/>
      </c>
      <c r="UU5" s="11" t="str">
        <f t="shared" si="170"/>
        <v/>
      </c>
      <c r="UV5" s="11" t="str">
        <f t="shared" si="171"/>
        <v/>
      </c>
      <c r="UW5" s="11" t="str">
        <f t="shared" si="171"/>
        <v/>
      </c>
      <c r="UX5" s="11" t="str">
        <f t="shared" si="172"/>
        <v/>
      </c>
      <c r="UY5" s="11" t="str">
        <f t="shared" si="173"/>
        <v/>
      </c>
      <c r="UZ5" s="11" t="str">
        <f t="shared" si="173"/>
        <v/>
      </c>
      <c r="VA5" s="11" t="str">
        <f t="shared" si="174"/>
        <v/>
      </c>
      <c r="VB5" s="11" t="str">
        <f t="shared" si="175"/>
        <v/>
      </c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36" t="str">
        <f t="shared" si="176"/>
        <v/>
      </c>
      <c r="VX5" s="36" t="str">
        <f t="shared" si="176"/>
        <v/>
      </c>
      <c r="VY5" s="36" t="str">
        <f t="shared" si="177"/>
        <v/>
      </c>
      <c r="VZ5" s="36" t="str">
        <f t="shared" si="178"/>
        <v/>
      </c>
      <c r="WA5" s="36" t="str">
        <f t="shared" si="178"/>
        <v/>
      </c>
      <c r="WB5" s="36" t="str">
        <f t="shared" si="179"/>
        <v/>
      </c>
      <c r="WC5" s="36" t="str">
        <f t="shared" si="180"/>
        <v/>
      </c>
      <c r="WD5" s="36" t="str">
        <f t="shared" si="181"/>
        <v/>
      </c>
      <c r="WE5" s="36" t="str">
        <f t="shared" si="181"/>
        <v/>
      </c>
      <c r="WF5" s="36" t="str">
        <f t="shared" si="182"/>
        <v/>
      </c>
      <c r="WG5" s="36" t="str">
        <f t="shared" si="183"/>
        <v/>
      </c>
      <c r="WH5" s="36" t="str">
        <f t="shared" si="183"/>
        <v/>
      </c>
      <c r="WI5" s="36" t="str">
        <f t="shared" si="184"/>
        <v/>
      </c>
      <c r="WJ5" s="36" t="str">
        <f t="shared" si="185"/>
        <v/>
      </c>
    </row>
    <row r="6" spans="1:608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120</v>
      </c>
      <c r="C6" s="4" t="s">
        <v>121</v>
      </c>
      <c r="D6" s="4" t="s">
        <v>123</v>
      </c>
      <c r="E6" s="9">
        <f t="shared" si="0"/>
        <v>67.945004020502381</v>
      </c>
      <c r="F6" s="3" t="str">
        <f t="shared" si="1"/>
        <v>P</v>
      </c>
      <c r="G6" s="3" t="str">
        <f t="shared" si="2"/>
        <v>P</v>
      </c>
      <c r="H6" s="32" t="str">
        <f t="shared" si="3"/>
        <v>National Team</v>
      </c>
      <c r="I6" s="3" t="str">
        <f t="shared" si="4"/>
        <v/>
      </c>
      <c r="J6" s="8">
        <f t="shared" si="5"/>
        <v>23.935000000000002</v>
      </c>
      <c r="K6" s="8" t="str">
        <f t="shared" si="6"/>
        <v>2025 Nationals</v>
      </c>
      <c r="L6" s="8">
        <f>IFERROR(LARGE((AI6,AL6,AP6,BJ6,BM6,BQ6,CK6,CN6,CR6),2),0)</f>
        <v>16.27</v>
      </c>
      <c r="M6" s="8" t="str">
        <f t="shared" si="7"/>
        <v>2025 Nationals</v>
      </c>
      <c r="N6" s="8">
        <f t="shared" si="8"/>
        <v>27.74</v>
      </c>
      <c r="O6" s="11" t="str">
        <f t="shared" si="9"/>
        <v>(Any)</v>
      </c>
      <c r="P6" s="8" t="str">
        <f t="shared" si="10"/>
        <v>2025 World Cup ITA (April 5)</v>
      </c>
      <c r="Q6" s="18">
        <v>2.7250000000000001</v>
      </c>
      <c r="R6" s="18">
        <v>3.125</v>
      </c>
      <c r="S6" s="18">
        <v>4.8499999999999996</v>
      </c>
      <c r="T6" s="18">
        <v>5.57</v>
      </c>
      <c r="U6" s="18">
        <v>0</v>
      </c>
      <c r="V6" s="18">
        <v>4.0250000000000004</v>
      </c>
      <c r="W6" s="18">
        <v>4.7</v>
      </c>
      <c r="X6" s="18">
        <v>6.7</v>
      </c>
      <c r="Y6" s="18">
        <v>8.51</v>
      </c>
      <c r="Z6" s="18">
        <v>0</v>
      </c>
      <c r="AA6" s="18">
        <v>0</v>
      </c>
      <c r="AB6" s="18">
        <v>0</v>
      </c>
      <c r="AC6" s="18">
        <v>0</v>
      </c>
      <c r="AD6" s="18">
        <v>0</v>
      </c>
      <c r="AE6" s="18">
        <v>0</v>
      </c>
      <c r="AF6" s="23" t="s">
        <v>42</v>
      </c>
      <c r="AG6" s="34">
        <f t="shared" si="11"/>
        <v>4.8499999999999996</v>
      </c>
      <c r="AH6" s="34">
        <f t="shared" si="11"/>
        <v>5.57</v>
      </c>
      <c r="AI6" s="36">
        <f t="shared" si="12"/>
        <v>16.27</v>
      </c>
      <c r="AJ6" s="36">
        <f t="shared" si="13"/>
        <v>6.7</v>
      </c>
      <c r="AK6" s="36">
        <f t="shared" si="13"/>
        <v>8.51</v>
      </c>
      <c r="AL6" s="36">
        <f t="shared" si="14"/>
        <v>23.935000000000002</v>
      </c>
      <c r="AM6" s="36">
        <f t="shared" si="15"/>
        <v>23.935000000000002</v>
      </c>
      <c r="AN6" s="36" t="str">
        <f t="shared" si="16"/>
        <v/>
      </c>
      <c r="AO6" s="36" t="str">
        <f t="shared" si="16"/>
        <v/>
      </c>
      <c r="AP6" s="36" t="str">
        <f t="shared" si="17"/>
        <v/>
      </c>
      <c r="AQ6" s="36">
        <f t="shared" si="18"/>
        <v>23.935000000000002</v>
      </c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4"/>
      <c r="BH6" s="35" t="str">
        <f t="shared" si="19"/>
        <v/>
      </c>
      <c r="BI6" s="35" t="str">
        <f t="shared" si="19"/>
        <v/>
      </c>
      <c r="BJ6" s="11" t="str">
        <f t="shared" si="20"/>
        <v/>
      </c>
      <c r="BK6" s="11" t="str">
        <f t="shared" si="21"/>
        <v/>
      </c>
      <c r="BL6" s="11" t="str">
        <f t="shared" si="21"/>
        <v/>
      </c>
      <c r="BM6" s="11" t="str">
        <f t="shared" si="22"/>
        <v/>
      </c>
      <c r="BN6" s="11" t="str">
        <f t="shared" si="23"/>
        <v/>
      </c>
      <c r="BO6" s="11" t="str">
        <f t="shared" si="24"/>
        <v/>
      </c>
      <c r="BP6" s="11" t="str">
        <f t="shared" si="24"/>
        <v/>
      </c>
      <c r="BQ6" s="11" t="str">
        <f t="shared" si="25"/>
        <v/>
      </c>
      <c r="BR6" s="11" t="str">
        <f t="shared" si="26"/>
        <v/>
      </c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23"/>
      <c r="CI6" s="34" t="str">
        <f t="shared" si="27"/>
        <v/>
      </c>
      <c r="CJ6" s="34" t="str">
        <f t="shared" si="27"/>
        <v/>
      </c>
      <c r="CK6" s="36" t="str">
        <f t="shared" si="28"/>
        <v/>
      </c>
      <c r="CL6" s="36" t="str">
        <f t="shared" si="29"/>
        <v/>
      </c>
      <c r="CM6" s="36" t="str">
        <f t="shared" si="29"/>
        <v/>
      </c>
      <c r="CN6" s="36" t="str">
        <f t="shared" si="30"/>
        <v/>
      </c>
      <c r="CO6" s="36" t="str">
        <f t="shared" si="31"/>
        <v/>
      </c>
      <c r="CP6" s="36" t="str">
        <f t="shared" si="32"/>
        <v/>
      </c>
      <c r="CQ6" s="36" t="str">
        <f t="shared" si="32"/>
        <v/>
      </c>
      <c r="CR6" s="36" t="str">
        <f t="shared" si="33"/>
        <v/>
      </c>
      <c r="CS6" s="36" t="str">
        <f t="shared" si="34"/>
        <v/>
      </c>
      <c r="CT6" s="47">
        <f t="shared" si="35"/>
        <v>27.74</v>
      </c>
      <c r="CU6" s="15">
        <v>4.2</v>
      </c>
      <c r="CV6" s="15">
        <v>5.7</v>
      </c>
      <c r="CW6" s="15">
        <v>8.4</v>
      </c>
      <c r="CX6" s="15">
        <v>10.6</v>
      </c>
      <c r="CY6" s="15">
        <v>0</v>
      </c>
      <c r="CZ6" s="15">
        <v>6.7</v>
      </c>
      <c r="DA6" s="15">
        <v>8.5500000000000007</v>
      </c>
      <c r="DB6" s="15">
        <v>11.9</v>
      </c>
      <c r="DC6" s="15">
        <v>16.86</v>
      </c>
      <c r="DD6" s="15">
        <v>0</v>
      </c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36">
        <f t="shared" si="36"/>
        <v>8.4</v>
      </c>
      <c r="DP6" s="36">
        <f t="shared" si="36"/>
        <v>10.6</v>
      </c>
      <c r="DQ6" s="36">
        <f t="shared" si="37"/>
        <v>28.9</v>
      </c>
      <c r="DR6" s="36">
        <f t="shared" si="38"/>
        <v>11.9</v>
      </c>
      <c r="DS6" s="36">
        <f t="shared" si="38"/>
        <v>16.86</v>
      </c>
      <c r="DT6" s="36">
        <f t="shared" si="39"/>
        <v>44.01</v>
      </c>
      <c r="DU6" s="36">
        <f t="shared" si="40"/>
        <v>44.01</v>
      </c>
      <c r="DV6" s="36" t="str">
        <f t="shared" si="41"/>
        <v/>
      </c>
      <c r="DW6" s="36" t="str">
        <f t="shared" si="41"/>
        <v/>
      </c>
      <c r="DX6" s="36" t="str">
        <f t="shared" si="42"/>
        <v/>
      </c>
      <c r="DY6" s="36" t="str">
        <f t="shared" si="43"/>
        <v/>
      </c>
      <c r="DZ6" s="36" t="str">
        <f t="shared" si="43"/>
        <v/>
      </c>
      <c r="EA6" s="36" t="str">
        <f t="shared" si="44"/>
        <v/>
      </c>
      <c r="EB6" s="36">
        <f t="shared" si="45"/>
        <v>44.01</v>
      </c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1" t="str">
        <f t="shared" si="46"/>
        <v/>
      </c>
      <c r="EX6" s="11" t="str">
        <f t="shared" si="46"/>
        <v/>
      </c>
      <c r="EY6" s="11" t="str">
        <f t="shared" si="47"/>
        <v/>
      </c>
      <c r="EZ6" s="11" t="str">
        <f t="shared" si="48"/>
        <v/>
      </c>
      <c r="FA6" s="11" t="str">
        <f t="shared" si="48"/>
        <v/>
      </c>
      <c r="FB6" s="11" t="str">
        <f t="shared" si="49"/>
        <v/>
      </c>
      <c r="FC6" s="11" t="str">
        <f t="shared" si="50"/>
        <v/>
      </c>
      <c r="FD6" s="11" t="str">
        <f t="shared" si="51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36" t="str">
        <f t="shared" si="56"/>
        <v/>
      </c>
      <c r="GF6" s="36" t="str">
        <f t="shared" si="56"/>
        <v/>
      </c>
      <c r="GG6" s="36" t="str">
        <f t="shared" si="57"/>
        <v/>
      </c>
      <c r="GH6" s="36" t="str">
        <f t="shared" si="58"/>
        <v/>
      </c>
      <c r="GI6" s="36" t="str">
        <f t="shared" si="58"/>
        <v/>
      </c>
      <c r="GJ6" s="36" t="str">
        <f t="shared" si="59"/>
        <v/>
      </c>
      <c r="GK6" s="36" t="str">
        <f t="shared" si="60"/>
        <v/>
      </c>
      <c r="GL6" s="36" t="str">
        <f t="shared" si="61"/>
        <v/>
      </c>
      <c r="GM6" s="36" t="str">
        <f t="shared" si="61"/>
        <v/>
      </c>
      <c r="GN6" s="36" t="str">
        <f t="shared" si="62"/>
        <v/>
      </c>
      <c r="GO6" s="36" t="str">
        <f t="shared" si="63"/>
        <v/>
      </c>
      <c r="GP6" s="36" t="str">
        <f t="shared" si="63"/>
        <v/>
      </c>
      <c r="GQ6" s="36" t="str">
        <f t="shared" si="64"/>
        <v/>
      </c>
      <c r="GR6" s="36" t="str">
        <f t="shared" si="65"/>
        <v/>
      </c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1" t="str">
        <f t="shared" si="66"/>
        <v/>
      </c>
      <c r="HN6" s="11" t="str">
        <f t="shared" si="66"/>
        <v/>
      </c>
      <c r="HO6" s="11" t="str">
        <f t="shared" si="67"/>
        <v/>
      </c>
      <c r="HP6" s="11" t="str">
        <f t="shared" si="68"/>
        <v/>
      </c>
      <c r="HQ6" s="11" t="str">
        <f t="shared" si="68"/>
        <v/>
      </c>
      <c r="HR6" s="11" t="str">
        <f t="shared" si="69"/>
        <v/>
      </c>
      <c r="HS6" s="11" t="str">
        <f t="shared" si="70"/>
        <v/>
      </c>
      <c r="HT6" s="11" t="str">
        <f t="shared" si="71"/>
        <v/>
      </c>
      <c r="HU6" s="11" t="str">
        <f t="shared" si="71"/>
        <v/>
      </c>
      <c r="HV6" s="11" t="str">
        <f t="shared" si="72"/>
        <v/>
      </c>
      <c r="HW6" s="11" t="str">
        <f t="shared" si="73"/>
        <v/>
      </c>
      <c r="HX6" s="11" t="str">
        <f t="shared" si="73"/>
        <v/>
      </c>
      <c r="HY6" s="11" t="str">
        <f t="shared" si="74"/>
        <v/>
      </c>
      <c r="HZ6" s="11" t="str">
        <f t="shared" si="75"/>
        <v/>
      </c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36" t="str">
        <f t="shared" si="76"/>
        <v/>
      </c>
      <c r="IV6" s="36" t="str">
        <f t="shared" si="76"/>
        <v/>
      </c>
      <c r="IW6" s="36" t="str">
        <f t="shared" si="77"/>
        <v/>
      </c>
      <c r="IX6" s="36" t="str">
        <f t="shared" si="78"/>
        <v/>
      </c>
      <c r="IY6" s="36" t="str">
        <f t="shared" si="78"/>
        <v/>
      </c>
      <c r="IZ6" s="36" t="str">
        <f t="shared" si="79"/>
        <v/>
      </c>
      <c r="JA6" s="36" t="str">
        <f t="shared" si="80"/>
        <v/>
      </c>
      <c r="JB6" s="36" t="str">
        <f t="shared" si="81"/>
        <v/>
      </c>
      <c r="JC6" s="36" t="str">
        <f t="shared" si="81"/>
        <v/>
      </c>
      <c r="JD6" s="36" t="str">
        <f t="shared" si="82"/>
        <v/>
      </c>
      <c r="JE6" s="36" t="str">
        <f t="shared" si="83"/>
        <v/>
      </c>
      <c r="JF6" s="36" t="str">
        <f t="shared" si="83"/>
        <v/>
      </c>
      <c r="JG6" s="36" t="str">
        <f t="shared" si="84"/>
        <v/>
      </c>
      <c r="JH6" s="36" t="str">
        <f t="shared" si="85"/>
        <v/>
      </c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1" t="str">
        <f t="shared" si="86"/>
        <v/>
      </c>
      <c r="KD6" s="11" t="str">
        <f t="shared" si="86"/>
        <v/>
      </c>
      <c r="KE6" s="11" t="str">
        <f t="shared" si="87"/>
        <v/>
      </c>
      <c r="KF6" s="11" t="str">
        <f t="shared" si="88"/>
        <v/>
      </c>
      <c r="KG6" s="11" t="str">
        <f t="shared" si="88"/>
        <v/>
      </c>
      <c r="KH6" s="11" t="str">
        <f t="shared" si="89"/>
        <v/>
      </c>
      <c r="KI6" s="11" t="str">
        <f t="shared" si="90"/>
        <v/>
      </c>
      <c r="KJ6" s="11" t="str">
        <f t="shared" si="91"/>
        <v/>
      </c>
      <c r="KK6" s="11" t="str">
        <f t="shared" si="91"/>
        <v/>
      </c>
      <c r="KL6" s="11" t="str">
        <f t="shared" si="92"/>
        <v/>
      </c>
      <c r="KM6" s="11" t="str">
        <f t="shared" si="93"/>
        <v/>
      </c>
      <c r="KN6" s="11" t="str">
        <f t="shared" si="93"/>
        <v/>
      </c>
      <c r="KO6" s="11" t="str">
        <f t="shared" si="94"/>
        <v/>
      </c>
      <c r="KP6" s="11" t="str">
        <f t="shared" si="95"/>
        <v/>
      </c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36" t="str">
        <f t="shared" si="96"/>
        <v/>
      </c>
      <c r="LL6" s="36" t="str">
        <f t="shared" si="96"/>
        <v/>
      </c>
      <c r="LM6" s="36" t="str">
        <f t="shared" si="97"/>
        <v/>
      </c>
      <c r="LN6" s="36" t="str">
        <f t="shared" si="98"/>
        <v/>
      </c>
      <c r="LO6" s="36" t="str">
        <f t="shared" si="98"/>
        <v/>
      </c>
      <c r="LP6" s="36" t="str">
        <f t="shared" si="99"/>
        <v/>
      </c>
      <c r="LQ6" s="36" t="str">
        <f t="shared" si="100"/>
        <v/>
      </c>
      <c r="LR6" s="36" t="str">
        <f t="shared" si="101"/>
        <v/>
      </c>
      <c r="LS6" s="36" t="str">
        <f t="shared" si="101"/>
        <v/>
      </c>
      <c r="LT6" s="36" t="str">
        <f t="shared" si="102"/>
        <v/>
      </c>
      <c r="LU6" s="36" t="str">
        <f t="shared" si="103"/>
        <v/>
      </c>
      <c r="LV6" s="36" t="str">
        <f t="shared" si="103"/>
        <v/>
      </c>
      <c r="LW6" s="36" t="str">
        <f t="shared" si="104"/>
        <v/>
      </c>
      <c r="LX6" s="36" t="str">
        <f t="shared" si="105"/>
        <v/>
      </c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1" t="str">
        <f t="shared" si="106"/>
        <v/>
      </c>
      <c r="MT6" s="11" t="str">
        <f t="shared" si="106"/>
        <v/>
      </c>
      <c r="MU6" s="11" t="str">
        <f t="shared" si="107"/>
        <v/>
      </c>
      <c r="MV6" s="11" t="str">
        <f t="shared" si="108"/>
        <v/>
      </c>
      <c r="MW6" s="11" t="str">
        <f t="shared" si="108"/>
        <v/>
      </c>
      <c r="MX6" s="11" t="str">
        <f t="shared" si="109"/>
        <v/>
      </c>
      <c r="MY6" s="11" t="str">
        <f t="shared" si="110"/>
        <v/>
      </c>
      <c r="MZ6" s="11" t="str">
        <f t="shared" si="111"/>
        <v/>
      </c>
      <c r="NA6" s="11" t="str">
        <f t="shared" si="111"/>
        <v/>
      </c>
      <c r="NB6" s="11" t="str">
        <f t="shared" si="112"/>
        <v/>
      </c>
      <c r="NC6" s="11" t="str">
        <f t="shared" si="113"/>
        <v/>
      </c>
      <c r="ND6" s="11" t="str">
        <f t="shared" si="113"/>
        <v/>
      </c>
      <c r="NE6" s="11" t="str">
        <f t="shared" si="114"/>
        <v/>
      </c>
      <c r="NF6" s="11" t="str">
        <f t="shared" si="115"/>
        <v/>
      </c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36" t="str">
        <f t="shared" si="116"/>
        <v/>
      </c>
      <c r="OB6" s="36" t="str">
        <f t="shared" si="116"/>
        <v/>
      </c>
      <c r="OC6" s="36" t="str">
        <f t="shared" si="117"/>
        <v/>
      </c>
      <c r="OD6" s="36" t="str">
        <f t="shared" si="118"/>
        <v/>
      </c>
      <c r="OE6" s="36" t="str">
        <f t="shared" si="118"/>
        <v/>
      </c>
      <c r="OF6" s="36" t="str">
        <f t="shared" si="119"/>
        <v/>
      </c>
      <c r="OG6" s="36" t="str">
        <f t="shared" si="120"/>
        <v/>
      </c>
      <c r="OH6" s="36" t="str">
        <f t="shared" si="121"/>
        <v/>
      </c>
      <c r="OI6" s="36" t="str">
        <f t="shared" si="121"/>
        <v/>
      </c>
      <c r="OJ6" s="36" t="str">
        <f t="shared" si="122"/>
        <v/>
      </c>
      <c r="OK6" s="36" t="str">
        <f t="shared" si="123"/>
        <v/>
      </c>
      <c r="OL6" s="36" t="str">
        <f t="shared" si="123"/>
        <v/>
      </c>
      <c r="OM6" s="36" t="str">
        <f t="shared" si="124"/>
        <v/>
      </c>
      <c r="ON6" s="36" t="str">
        <f t="shared" si="125"/>
        <v/>
      </c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1" t="str">
        <f t="shared" si="126"/>
        <v/>
      </c>
      <c r="PJ6" s="11" t="str">
        <f t="shared" si="126"/>
        <v/>
      </c>
      <c r="PK6" s="11" t="str">
        <f t="shared" si="127"/>
        <v/>
      </c>
      <c r="PL6" s="11" t="str">
        <f t="shared" si="128"/>
        <v/>
      </c>
      <c r="PM6" s="11" t="str">
        <f t="shared" si="128"/>
        <v/>
      </c>
      <c r="PN6" s="11" t="str">
        <f t="shared" si="129"/>
        <v/>
      </c>
      <c r="PO6" s="11" t="str">
        <f t="shared" si="130"/>
        <v/>
      </c>
      <c r="PP6" s="11" t="str">
        <f t="shared" si="131"/>
        <v/>
      </c>
      <c r="PQ6" s="11" t="str">
        <f t="shared" si="131"/>
        <v/>
      </c>
      <c r="PR6" s="11" t="str">
        <f t="shared" si="132"/>
        <v/>
      </c>
      <c r="PS6" s="11" t="str">
        <f t="shared" si="133"/>
        <v/>
      </c>
      <c r="PT6" s="11" t="str">
        <f t="shared" si="133"/>
        <v/>
      </c>
      <c r="PU6" s="11" t="str">
        <f t="shared" si="134"/>
        <v/>
      </c>
      <c r="PV6" s="11" t="str">
        <f t="shared" si="135"/>
        <v/>
      </c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36" t="str">
        <f t="shared" si="136"/>
        <v/>
      </c>
      <c r="QR6" s="36" t="str">
        <f t="shared" si="136"/>
        <v/>
      </c>
      <c r="QS6" s="36" t="str">
        <f t="shared" si="137"/>
        <v/>
      </c>
      <c r="QT6" s="36" t="str">
        <f t="shared" si="138"/>
        <v/>
      </c>
      <c r="QU6" s="36" t="str">
        <f t="shared" si="138"/>
        <v/>
      </c>
      <c r="QV6" s="36" t="str">
        <f t="shared" si="139"/>
        <v/>
      </c>
      <c r="QW6" s="36" t="str">
        <f t="shared" si="140"/>
        <v/>
      </c>
      <c r="QX6" s="36" t="str">
        <f t="shared" si="141"/>
        <v/>
      </c>
      <c r="QY6" s="36" t="str">
        <f t="shared" si="141"/>
        <v/>
      </c>
      <c r="QZ6" s="36" t="str">
        <f t="shared" si="142"/>
        <v/>
      </c>
      <c r="RA6" s="36" t="str">
        <f t="shared" si="143"/>
        <v/>
      </c>
      <c r="RB6" s="36" t="str">
        <f t="shared" si="143"/>
        <v/>
      </c>
      <c r="RC6" s="36" t="str">
        <f t="shared" si="144"/>
        <v/>
      </c>
      <c r="RD6" s="36" t="str">
        <f t="shared" si="145"/>
        <v/>
      </c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1" t="str">
        <f t="shared" si="146"/>
        <v/>
      </c>
      <c r="RZ6" s="11" t="str">
        <f t="shared" si="146"/>
        <v/>
      </c>
      <c r="SA6" s="11" t="str">
        <f t="shared" si="147"/>
        <v/>
      </c>
      <c r="SB6" s="11" t="str">
        <f t="shared" si="148"/>
        <v/>
      </c>
      <c r="SC6" s="11" t="str">
        <f t="shared" si="148"/>
        <v/>
      </c>
      <c r="SD6" s="11" t="str">
        <f t="shared" si="149"/>
        <v/>
      </c>
      <c r="SE6" s="11" t="str">
        <f t="shared" si="150"/>
        <v/>
      </c>
      <c r="SF6" s="11" t="str">
        <f t="shared" si="151"/>
        <v/>
      </c>
      <c r="SG6" s="11" t="str">
        <f t="shared" si="151"/>
        <v/>
      </c>
      <c r="SH6" s="11" t="str">
        <f t="shared" si="152"/>
        <v/>
      </c>
      <c r="SI6" s="11" t="str">
        <f t="shared" si="153"/>
        <v/>
      </c>
      <c r="SJ6" s="11" t="str">
        <f t="shared" si="153"/>
        <v/>
      </c>
      <c r="SK6" s="11" t="str">
        <f t="shared" si="154"/>
        <v/>
      </c>
      <c r="SL6" s="11" t="str">
        <f t="shared" si="155"/>
        <v/>
      </c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36" t="str">
        <f t="shared" si="156"/>
        <v/>
      </c>
      <c r="TH6" s="36" t="str">
        <f t="shared" si="156"/>
        <v/>
      </c>
      <c r="TI6" s="36" t="str">
        <f t="shared" si="157"/>
        <v/>
      </c>
      <c r="TJ6" s="36" t="str">
        <f t="shared" si="158"/>
        <v/>
      </c>
      <c r="TK6" s="36" t="str">
        <f t="shared" si="158"/>
        <v/>
      </c>
      <c r="TL6" s="36" t="str">
        <f t="shared" si="159"/>
        <v/>
      </c>
      <c r="TM6" s="36" t="str">
        <f t="shared" si="160"/>
        <v/>
      </c>
      <c r="TN6" s="36" t="str">
        <f t="shared" si="161"/>
        <v/>
      </c>
      <c r="TO6" s="36" t="str">
        <f t="shared" si="161"/>
        <v/>
      </c>
      <c r="TP6" s="36" t="str">
        <f t="shared" si="162"/>
        <v/>
      </c>
      <c r="TQ6" s="36" t="str">
        <f t="shared" si="163"/>
        <v/>
      </c>
      <c r="TR6" s="36" t="str">
        <f t="shared" si="163"/>
        <v/>
      </c>
      <c r="TS6" s="36" t="str">
        <f t="shared" si="164"/>
        <v/>
      </c>
      <c r="TT6" s="36" t="str">
        <f t="shared" si="165"/>
        <v/>
      </c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1" t="str">
        <f t="shared" si="166"/>
        <v/>
      </c>
      <c r="UP6" s="11" t="str">
        <f t="shared" si="166"/>
        <v/>
      </c>
      <c r="UQ6" s="11" t="str">
        <f t="shared" si="167"/>
        <v/>
      </c>
      <c r="UR6" s="11" t="str">
        <f t="shared" si="168"/>
        <v/>
      </c>
      <c r="US6" s="11" t="str">
        <f t="shared" si="168"/>
        <v/>
      </c>
      <c r="UT6" s="11" t="str">
        <f t="shared" si="169"/>
        <v/>
      </c>
      <c r="UU6" s="11" t="str">
        <f t="shared" si="170"/>
        <v/>
      </c>
      <c r="UV6" s="11" t="str">
        <f t="shared" si="171"/>
        <v/>
      </c>
      <c r="UW6" s="11" t="str">
        <f t="shared" si="171"/>
        <v/>
      </c>
      <c r="UX6" s="11" t="str">
        <f t="shared" si="172"/>
        <v/>
      </c>
      <c r="UY6" s="11" t="str">
        <f t="shared" si="173"/>
        <v/>
      </c>
      <c r="UZ6" s="11" t="str">
        <f t="shared" si="173"/>
        <v/>
      </c>
      <c r="VA6" s="11" t="str">
        <f t="shared" si="174"/>
        <v/>
      </c>
      <c r="VB6" s="11" t="str">
        <f t="shared" si="175"/>
        <v/>
      </c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36" t="str">
        <f t="shared" si="176"/>
        <v/>
      </c>
      <c r="VX6" s="36" t="str">
        <f t="shared" si="176"/>
        <v/>
      </c>
      <c r="VY6" s="36" t="str">
        <f t="shared" si="177"/>
        <v/>
      </c>
      <c r="VZ6" s="36" t="str">
        <f t="shared" si="178"/>
        <v/>
      </c>
      <c r="WA6" s="36" t="str">
        <f t="shared" si="178"/>
        <v/>
      </c>
      <c r="WB6" s="36" t="str">
        <f t="shared" si="179"/>
        <v/>
      </c>
      <c r="WC6" s="36" t="str">
        <f t="shared" si="180"/>
        <v/>
      </c>
      <c r="WD6" s="36" t="str">
        <f t="shared" si="181"/>
        <v/>
      </c>
      <c r="WE6" s="36" t="str">
        <f t="shared" si="181"/>
        <v/>
      </c>
      <c r="WF6" s="36" t="str">
        <f t="shared" si="182"/>
        <v/>
      </c>
      <c r="WG6" s="36" t="str">
        <f t="shared" si="183"/>
        <v/>
      </c>
      <c r="WH6" s="36" t="str">
        <f t="shared" si="183"/>
        <v/>
      </c>
      <c r="WI6" s="36" t="str">
        <f t="shared" si="184"/>
        <v/>
      </c>
      <c r="WJ6" s="36" t="str">
        <f t="shared" si="185"/>
        <v/>
      </c>
    </row>
    <row r="7" spans="1:608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159</v>
      </c>
      <c r="C7" s="4" t="s">
        <v>121</v>
      </c>
      <c r="D7" s="4" t="s">
        <v>158</v>
      </c>
      <c r="E7" s="9">
        <f t="shared" si="0"/>
        <v>48.08</v>
      </c>
      <c r="F7" s="3" t="str">
        <f t="shared" si="1"/>
        <v>P</v>
      </c>
      <c r="G7" s="3" t="str">
        <f t="shared" si="2"/>
        <v>P</v>
      </c>
      <c r="H7" s="32" t="str">
        <f t="shared" si="3"/>
        <v>National Team</v>
      </c>
      <c r="I7" s="3" t="str">
        <f t="shared" si="4"/>
        <v/>
      </c>
      <c r="J7" s="8">
        <f t="shared" si="5"/>
        <v>0</v>
      </c>
      <c r="K7" s="8" t="str">
        <f t="shared" si="6"/>
        <v/>
      </c>
      <c r="L7" s="8">
        <f>IFERROR(LARGE((AI7,AL7,AP7,BJ7,BM7,BQ7,CK7,CN7,CR7),2),0)</f>
        <v>0</v>
      </c>
      <c r="M7" s="8" t="str">
        <f t="shared" si="7"/>
        <v/>
      </c>
      <c r="N7" s="8">
        <f t="shared" si="8"/>
        <v>48.08</v>
      </c>
      <c r="O7" s="11" t="str">
        <f t="shared" si="9"/>
        <v>(Any)</v>
      </c>
      <c r="P7" s="8" t="str">
        <f t="shared" si="10"/>
        <v>2025 World Cup GER (Sept 21)</v>
      </c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23"/>
      <c r="AG7" s="34" t="str">
        <f t="shared" si="11"/>
        <v/>
      </c>
      <c r="AH7" s="34" t="str">
        <f t="shared" si="11"/>
        <v/>
      </c>
      <c r="AI7" s="36" t="str">
        <f t="shared" si="12"/>
        <v/>
      </c>
      <c r="AJ7" s="36" t="str">
        <f t="shared" si="13"/>
        <v/>
      </c>
      <c r="AK7" s="36" t="str">
        <f t="shared" si="13"/>
        <v/>
      </c>
      <c r="AL7" s="36" t="str">
        <f t="shared" si="14"/>
        <v/>
      </c>
      <c r="AM7" s="36" t="str">
        <f t="shared" si="15"/>
        <v/>
      </c>
      <c r="AN7" s="36" t="str">
        <f t="shared" si="16"/>
        <v/>
      </c>
      <c r="AO7" s="36" t="str">
        <f t="shared" si="16"/>
        <v/>
      </c>
      <c r="AP7" s="36" t="str">
        <f t="shared" si="17"/>
        <v/>
      </c>
      <c r="AQ7" s="36" t="str">
        <f t="shared" si="18"/>
        <v/>
      </c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4"/>
      <c r="BH7" s="35" t="str">
        <f t="shared" si="19"/>
        <v/>
      </c>
      <c r="BI7" s="35" t="str">
        <f t="shared" si="19"/>
        <v/>
      </c>
      <c r="BJ7" s="11" t="str">
        <f t="shared" si="20"/>
        <v/>
      </c>
      <c r="BK7" s="11" t="str">
        <f t="shared" si="21"/>
        <v/>
      </c>
      <c r="BL7" s="11" t="str">
        <f t="shared" si="21"/>
        <v/>
      </c>
      <c r="BM7" s="11" t="str">
        <f t="shared" si="22"/>
        <v/>
      </c>
      <c r="BN7" s="11" t="str">
        <f t="shared" si="23"/>
        <v/>
      </c>
      <c r="BO7" s="11" t="str">
        <f t="shared" si="24"/>
        <v/>
      </c>
      <c r="BP7" s="11" t="str">
        <f t="shared" si="24"/>
        <v/>
      </c>
      <c r="BQ7" s="11" t="str">
        <f t="shared" si="25"/>
        <v/>
      </c>
      <c r="BR7" s="11" t="str">
        <f t="shared" si="26"/>
        <v/>
      </c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23"/>
      <c r="CI7" s="34" t="str">
        <f t="shared" si="27"/>
        <v/>
      </c>
      <c r="CJ7" s="34" t="str">
        <f t="shared" si="27"/>
        <v/>
      </c>
      <c r="CK7" s="36" t="str">
        <f t="shared" si="28"/>
        <v/>
      </c>
      <c r="CL7" s="36" t="str">
        <f t="shared" si="29"/>
        <v/>
      </c>
      <c r="CM7" s="36" t="str">
        <f t="shared" si="29"/>
        <v/>
      </c>
      <c r="CN7" s="36" t="str">
        <f t="shared" si="30"/>
        <v/>
      </c>
      <c r="CO7" s="36" t="str">
        <f t="shared" si="31"/>
        <v/>
      </c>
      <c r="CP7" s="36" t="str">
        <f t="shared" si="32"/>
        <v/>
      </c>
      <c r="CQ7" s="36" t="str">
        <f t="shared" si="32"/>
        <v/>
      </c>
      <c r="CR7" s="36" t="str">
        <f t="shared" si="33"/>
        <v/>
      </c>
      <c r="CS7" s="36" t="str">
        <f t="shared" si="34"/>
        <v/>
      </c>
      <c r="CT7" s="47">
        <f t="shared" si="35"/>
        <v>48.08</v>
      </c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36" t="str">
        <f t="shared" si="36"/>
        <v/>
      </c>
      <c r="DP7" s="36" t="str">
        <f t="shared" si="36"/>
        <v/>
      </c>
      <c r="DQ7" s="36" t="str">
        <f t="shared" si="37"/>
        <v/>
      </c>
      <c r="DR7" s="36" t="str">
        <f t="shared" si="38"/>
        <v/>
      </c>
      <c r="DS7" s="36" t="str">
        <f t="shared" si="38"/>
        <v/>
      </c>
      <c r="DT7" s="36" t="str">
        <f t="shared" si="39"/>
        <v/>
      </c>
      <c r="DU7" s="36" t="str">
        <f t="shared" si="40"/>
        <v/>
      </c>
      <c r="DV7" s="36" t="str">
        <f t="shared" si="41"/>
        <v/>
      </c>
      <c r="DW7" s="36" t="str">
        <f t="shared" si="41"/>
        <v/>
      </c>
      <c r="DX7" s="36" t="str">
        <f t="shared" si="42"/>
        <v/>
      </c>
      <c r="DY7" s="36" t="str">
        <f t="shared" si="43"/>
        <v/>
      </c>
      <c r="DZ7" s="36" t="str">
        <f t="shared" si="43"/>
        <v/>
      </c>
      <c r="EA7" s="36" t="str">
        <f t="shared" si="44"/>
        <v/>
      </c>
      <c r="EB7" s="36" t="str">
        <f t="shared" si="45"/>
        <v/>
      </c>
      <c r="EC7" s="16">
        <v>7.8</v>
      </c>
      <c r="ED7" s="16">
        <v>9.25</v>
      </c>
      <c r="EE7" s="16">
        <v>13.6</v>
      </c>
      <c r="EF7" s="16">
        <v>17.420000000000002</v>
      </c>
      <c r="EG7" s="16">
        <v>0</v>
      </c>
      <c r="EH7" s="16">
        <v>1.45</v>
      </c>
      <c r="EI7" s="16">
        <v>1.85</v>
      </c>
      <c r="EJ7" s="16">
        <v>3.5</v>
      </c>
      <c r="EK7" s="16">
        <v>3.24</v>
      </c>
      <c r="EL7" s="16">
        <v>0</v>
      </c>
      <c r="EM7" s="16"/>
      <c r="EN7" s="16"/>
      <c r="EO7" s="16"/>
      <c r="EP7" s="16"/>
      <c r="EQ7" s="16"/>
      <c r="ER7" s="16">
        <v>7.7</v>
      </c>
      <c r="ES7" s="16">
        <v>9.1999999999999993</v>
      </c>
      <c r="ET7" s="16">
        <v>13.6</v>
      </c>
      <c r="EU7" s="16">
        <v>17.579999999999998</v>
      </c>
      <c r="EV7" s="16">
        <v>0</v>
      </c>
      <c r="EW7" s="11">
        <f t="shared" si="46"/>
        <v>13.6</v>
      </c>
      <c r="EX7" s="11">
        <f t="shared" si="46"/>
        <v>17.420000000000002</v>
      </c>
      <c r="EY7" s="11">
        <f t="shared" si="47"/>
        <v>48.07</v>
      </c>
      <c r="EZ7" s="11">
        <f t="shared" si="48"/>
        <v>3.5</v>
      </c>
      <c r="FA7" s="11">
        <f t="shared" si="48"/>
        <v>3.24</v>
      </c>
      <c r="FB7" s="11">
        <f t="shared" si="49"/>
        <v>10.039999999999999</v>
      </c>
      <c r="FC7" s="11">
        <f t="shared" si="50"/>
        <v>48.07</v>
      </c>
      <c r="FD7" s="11" t="str">
        <f t="shared" si="51"/>
        <v/>
      </c>
      <c r="FE7" s="11" t="str">
        <f t="shared" si="51"/>
        <v/>
      </c>
      <c r="FF7" s="11" t="str">
        <f t="shared" si="52"/>
        <v/>
      </c>
      <c r="FG7" s="11">
        <f t="shared" si="53"/>
        <v>13.6</v>
      </c>
      <c r="FH7" s="11">
        <f t="shared" si="53"/>
        <v>17.579999999999998</v>
      </c>
      <c r="FI7" s="11">
        <f t="shared" si="54"/>
        <v>48.08</v>
      </c>
      <c r="FJ7" s="11">
        <f t="shared" si="55"/>
        <v>96.15</v>
      </c>
      <c r="FK7" s="15">
        <v>2.15</v>
      </c>
      <c r="FL7" s="15">
        <v>2.75</v>
      </c>
      <c r="FM7" s="15">
        <v>4.5</v>
      </c>
      <c r="FN7" s="15">
        <v>5.74</v>
      </c>
      <c r="FO7" s="15">
        <v>0</v>
      </c>
      <c r="FP7" s="15">
        <v>2.2000000000000002</v>
      </c>
      <c r="FQ7" s="15">
        <v>2.85</v>
      </c>
      <c r="FR7" s="15">
        <v>4.5</v>
      </c>
      <c r="FS7" s="15">
        <v>4.0199999999999996</v>
      </c>
      <c r="FT7" s="15">
        <v>0</v>
      </c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36">
        <f t="shared" si="56"/>
        <v>4.5</v>
      </c>
      <c r="GF7" s="36">
        <f t="shared" si="56"/>
        <v>5.74</v>
      </c>
      <c r="GG7" s="36">
        <f t="shared" si="57"/>
        <v>15.14</v>
      </c>
      <c r="GH7" s="36">
        <f t="shared" si="58"/>
        <v>4.5</v>
      </c>
      <c r="GI7" s="36">
        <f t="shared" si="58"/>
        <v>4.0199999999999996</v>
      </c>
      <c r="GJ7" s="36">
        <f t="shared" si="59"/>
        <v>13.57</v>
      </c>
      <c r="GK7" s="36">
        <f t="shared" si="60"/>
        <v>15.14</v>
      </c>
      <c r="GL7" s="36" t="str">
        <f t="shared" si="61"/>
        <v/>
      </c>
      <c r="GM7" s="36" t="str">
        <f t="shared" si="61"/>
        <v/>
      </c>
      <c r="GN7" s="36" t="str">
        <f t="shared" si="62"/>
        <v/>
      </c>
      <c r="GO7" s="36" t="str">
        <f t="shared" si="63"/>
        <v/>
      </c>
      <c r="GP7" s="36" t="str">
        <f t="shared" si="63"/>
        <v/>
      </c>
      <c r="GQ7" s="36" t="str">
        <f t="shared" si="64"/>
        <v/>
      </c>
      <c r="GR7" s="36">
        <f t="shared" si="65"/>
        <v>15.14</v>
      </c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1" t="str">
        <f t="shared" si="66"/>
        <v/>
      </c>
      <c r="HN7" s="11" t="str">
        <f t="shared" si="66"/>
        <v/>
      </c>
      <c r="HO7" s="11" t="str">
        <f t="shared" si="67"/>
        <v/>
      </c>
      <c r="HP7" s="11" t="str">
        <f t="shared" si="68"/>
        <v/>
      </c>
      <c r="HQ7" s="11" t="str">
        <f t="shared" si="68"/>
        <v/>
      </c>
      <c r="HR7" s="11" t="str">
        <f t="shared" si="69"/>
        <v/>
      </c>
      <c r="HS7" s="11" t="str">
        <f t="shared" si="70"/>
        <v/>
      </c>
      <c r="HT7" s="11" t="str">
        <f t="shared" si="71"/>
        <v/>
      </c>
      <c r="HU7" s="11" t="str">
        <f t="shared" si="71"/>
        <v/>
      </c>
      <c r="HV7" s="11" t="str">
        <f t="shared" si="72"/>
        <v/>
      </c>
      <c r="HW7" s="11" t="str">
        <f t="shared" si="73"/>
        <v/>
      </c>
      <c r="HX7" s="11" t="str">
        <f t="shared" si="73"/>
        <v/>
      </c>
      <c r="HY7" s="11" t="str">
        <f t="shared" si="74"/>
        <v/>
      </c>
      <c r="HZ7" s="11" t="str">
        <f t="shared" si="75"/>
        <v/>
      </c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36" t="str">
        <f t="shared" si="76"/>
        <v/>
      </c>
      <c r="IV7" s="36" t="str">
        <f t="shared" si="76"/>
        <v/>
      </c>
      <c r="IW7" s="36" t="str">
        <f t="shared" si="77"/>
        <v/>
      </c>
      <c r="IX7" s="36" t="str">
        <f t="shared" si="78"/>
        <v/>
      </c>
      <c r="IY7" s="36" t="str">
        <f t="shared" si="78"/>
        <v/>
      </c>
      <c r="IZ7" s="36" t="str">
        <f t="shared" si="79"/>
        <v/>
      </c>
      <c r="JA7" s="36" t="str">
        <f t="shared" si="80"/>
        <v/>
      </c>
      <c r="JB7" s="36" t="str">
        <f t="shared" si="81"/>
        <v/>
      </c>
      <c r="JC7" s="36" t="str">
        <f t="shared" si="81"/>
        <v/>
      </c>
      <c r="JD7" s="36" t="str">
        <f t="shared" si="82"/>
        <v/>
      </c>
      <c r="JE7" s="36" t="str">
        <f t="shared" si="83"/>
        <v/>
      </c>
      <c r="JF7" s="36" t="str">
        <f t="shared" si="83"/>
        <v/>
      </c>
      <c r="JG7" s="36" t="str">
        <f t="shared" si="84"/>
        <v/>
      </c>
      <c r="JH7" s="36" t="str">
        <f t="shared" si="85"/>
        <v/>
      </c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1" t="str">
        <f t="shared" si="86"/>
        <v/>
      </c>
      <c r="KD7" s="11" t="str">
        <f t="shared" si="86"/>
        <v/>
      </c>
      <c r="KE7" s="11" t="str">
        <f t="shared" si="87"/>
        <v/>
      </c>
      <c r="KF7" s="11" t="str">
        <f t="shared" si="88"/>
        <v/>
      </c>
      <c r="KG7" s="11" t="str">
        <f t="shared" si="88"/>
        <v/>
      </c>
      <c r="KH7" s="11" t="str">
        <f t="shared" si="89"/>
        <v/>
      </c>
      <c r="KI7" s="11" t="str">
        <f t="shared" si="90"/>
        <v/>
      </c>
      <c r="KJ7" s="11" t="str">
        <f t="shared" si="91"/>
        <v/>
      </c>
      <c r="KK7" s="11" t="str">
        <f t="shared" si="91"/>
        <v/>
      </c>
      <c r="KL7" s="11" t="str">
        <f t="shared" si="92"/>
        <v/>
      </c>
      <c r="KM7" s="11" t="str">
        <f t="shared" si="93"/>
        <v/>
      </c>
      <c r="KN7" s="11" t="str">
        <f t="shared" si="93"/>
        <v/>
      </c>
      <c r="KO7" s="11" t="str">
        <f t="shared" si="94"/>
        <v/>
      </c>
      <c r="KP7" s="11" t="str">
        <f t="shared" si="95"/>
        <v/>
      </c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36" t="str">
        <f t="shared" si="96"/>
        <v/>
      </c>
      <c r="LL7" s="36" t="str">
        <f t="shared" si="96"/>
        <v/>
      </c>
      <c r="LM7" s="36" t="str">
        <f t="shared" si="97"/>
        <v/>
      </c>
      <c r="LN7" s="36" t="str">
        <f t="shared" si="98"/>
        <v/>
      </c>
      <c r="LO7" s="36" t="str">
        <f t="shared" si="98"/>
        <v/>
      </c>
      <c r="LP7" s="36" t="str">
        <f t="shared" si="99"/>
        <v/>
      </c>
      <c r="LQ7" s="36" t="str">
        <f t="shared" si="100"/>
        <v/>
      </c>
      <c r="LR7" s="36" t="str">
        <f t="shared" si="101"/>
        <v/>
      </c>
      <c r="LS7" s="36" t="str">
        <f t="shared" si="101"/>
        <v/>
      </c>
      <c r="LT7" s="36" t="str">
        <f t="shared" si="102"/>
        <v/>
      </c>
      <c r="LU7" s="36" t="str">
        <f t="shared" si="103"/>
        <v/>
      </c>
      <c r="LV7" s="36" t="str">
        <f t="shared" si="103"/>
        <v/>
      </c>
      <c r="LW7" s="36" t="str">
        <f t="shared" si="104"/>
        <v/>
      </c>
      <c r="LX7" s="36" t="str">
        <f t="shared" si="105"/>
        <v/>
      </c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1" t="str">
        <f t="shared" si="106"/>
        <v/>
      </c>
      <c r="MT7" s="11" t="str">
        <f t="shared" si="106"/>
        <v/>
      </c>
      <c r="MU7" s="11" t="str">
        <f t="shared" si="107"/>
        <v/>
      </c>
      <c r="MV7" s="11" t="str">
        <f t="shared" si="108"/>
        <v/>
      </c>
      <c r="MW7" s="11" t="str">
        <f t="shared" si="108"/>
        <v/>
      </c>
      <c r="MX7" s="11" t="str">
        <f t="shared" si="109"/>
        <v/>
      </c>
      <c r="MY7" s="11" t="str">
        <f t="shared" si="110"/>
        <v/>
      </c>
      <c r="MZ7" s="11" t="str">
        <f t="shared" si="111"/>
        <v/>
      </c>
      <c r="NA7" s="11" t="str">
        <f t="shared" si="111"/>
        <v/>
      </c>
      <c r="NB7" s="11" t="str">
        <f t="shared" si="112"/>
        <v/>
      </c>
      <c r="NC7" s="11" t="str">
        <f t="shared" si="113"/>
        <v/>
      </c>
      <c r="ND7" s="11" t="str">
        <f t="shared" si="113"/>
        <v/>
      </c>
      <c r="NE7" s="11" t="str">
        <f t="shared" si="114"/>
        <v/>
      </c>
      <c r="NF7" s="11" t="str">
        <f t="shared" si="115"/>
        <v/>
      </c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36" t="str">
        <f t="shared" si="116"/>
        <v/>
      </c>
      <c r="OB7" s="36" t="str">
        <f t="shared" si="116"/>
        <v/>
      </c>
      <c r="OC7" s="36" t="str">
        <f t="shared" si="117"/>
        <v/>
      </c>
      <c r="OD7" s="36" t="str">
        <f t="shared" si="118"/>
        <v/>
      </c>
      <c r="OE7" s="36" t="str">
        <f t="shared" si="118"/>
        <v/>
      </c>
      <c r="OF7" s="36" t="str">
        <f t="shared" si="119"/>
        <v/>
      </c>
      <c r="OG7" s="36" t="str">
        <f t="shared" si="120"/>
        <v/>
      </c>
      <c r="OH7" s="36" t="str">
        <f t="shared" si="121"/>
        <v/>
      </c>
      <c r="OI7" s="36" t="str">
        <f t="shared" si="121"/>
        <v/>
      </c>
      <c r="OJ7" s="36" t="str">
        <f t="shared" si="122"/>
        <v/>
      </c>
      <c r="OK7" s="36" t="str">
        <f t="shared" si="123"/>
        <v/>
      </c>
      <c r="OL7" s="36" t="str">
        <f t="shared" si="123"/>
        <v/>
      </c>
      <c r="OM7" s="36" t="str">
        <f t="shared" si="124"/>
        <v/>
      </c>
      <c r="ON7" s="36" t="str">
        <f t="shared" si="125"/>
        <v/>
      </c>
      <c r="OO7" s="16"/>
      <c r="OP7" s="16"/>
      <c r="OQ7" s="16"/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  <c r="PH7" s="16"/>
      <c r="PI7" s="11" t="str">
        <f t="shared" si="126"/>
        <v/>
      </c>
      <c r="PJ7" s="11" t="str">
        <f t="shared" si="126"/>
        <v/>
      </c>
      <c r="PK7" s="11" t="str">
        <f t="shared" si="127"/>
        <v/>
      </c>
      <c r="PL7" s="11" t="str">
        <f t="shared" si="128"/>
        <v/>
      </c>
      <c r="PM7" s="11" t="str">
        <f t="shared" si="128"/>
        <v/>
      </c>
      <c r="PN7" s="11" t="str">
        <f t="shared" si="129"/>
        <v/>
      </c>
      <c r="PO7" s="11" t="str">
        <f t="shared" si="130"/>
        <v/>
      </c>
      <c r="PP7" s="11" t="str">
        <f t="shared" si="131"/>
        <v/>
      </c>
      <c r="PQ7" s="11" t="str">
        <f t="shared" si="131"/>
        <v/>
      </c>
      <c r="PR7" s="11" t="str">
        <f t="shared" si="132"/>
        <v/>
      </c>
      <c r="PS7" s="11" t="str">
        <f t="shared" si="133"/>
        <v/>
      </c>
      <c r="PT7" s="11" t="str">
        <f t="shared" si="133"/>
        <v/>
      </c>
      <c r="PU7" s="11" t="str">
        <f t="shared" si="134"/>
        <v/>
      </c>
      <c r="PV7" s="11" t="str">
        <f t="shared" si="135"/>
        <v/>
      </c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36" t="str">
        <f t="shared" si="136"/>
        <v/>
      </c>
      <c r="QR7" s="36" t="str">
        <f t="shared" si="136"/>
        <v/>
      </c>
      <c r="QS7" s="36" t="str">
        <f t="shared" si="137"/>
        <v/>
      </c>
      <c r="QT7" s="36" t="str">
        <f t="shared" si="138"/>
        <v/>
      </c>
      <c r="QU7" s="36" t="str">
        <f t="shared" si="138"/>
        <v/>
      </c>
      <c r="QV7" s="36" t="str">
        <f t="shared" si="139"/>
        <v/>
      </c>
      <c r="QW7" s="36" t="str">
        <f t="shared" si="140"/>
        <v/>
      </c>
      <c r="QX7" s="36" t="str">
        <f t="shared" si="141"/>
        <v/>
      </c>
      <c r="QY7" s="36" t="str">
        <f t="shared" si="141"/>
        <v/>
      </c>
      <c r="QZ7" s="36" t="str">
        <f t="shared" si="142"/>
        <v/>
      </c>
      <c r="RA7" s="36" t="str">
        <f t="shared" si="143"/>
        <v/>
      </c>
      <c r="RB7" s="36" t="str">
        <f t="shared" si="143"/>
        <v/>
      </c>
      <c r="RC7" s="36" t="str">
        <f t="shared" si="144"/>
        <v/>
      </c>
      <c r="RD7" s="36" t="str">
        <f t="shared" si="145"/>
        <v/>
      </c>
      <c r="RE7" s="16"/>
      <c r="RF7" s="16"/>
      <c r="RG7" s="16"/>
      <c r="RH7" s="16"/>
      <c r="RI7" s="16"/>
      <c r="RJ7" s="16"/>
      <c r="RK7" s="16"/>
      <c r="RL7" s="16"/>
      <c r="RM7" s="16"/>
      <c r="RN7" s="16"/>
      <c r="RO7" s="16"/>
      <c r="RP7" s="16"/>
      <c r="RQ7" s="16"/>
      <c r="RR7" s="16"/>
      <c r="RS7" s="16"/>
      <c r="RT7" s="16"/>
      <c r="RU7" s="16"/>
      <c r="RV7" s="16"/>
      <c r="RW7" s="16"/>
      <c r="RX7" s="16"/>
      <c r="RY7" s="11" t="str">
        <f t="shared" si="146"/>
        <v/>
      </c>
      <c r="RZ7" s="11" t="str">
        <f t="shared" si="146"/>
        <v/>
      </c>
      <c r="SA7" s="11" t="str">
        <f t="shared" si="147"/>
        <v/>
      </c>
      <c r="SB7" s="11" t="str">
        <f t="shared" si="148"/>
        <v/>
      </c>
      <c r="SC7" s="11" t="str">
        <f t="shared" si="148"/>
        <v/>
      </c>
      <c r="SD7" s="11" t="str">
        <f t="shared" si="149"/>
        <v/>
      </c>
      <c r="SE7" s="11" t="str">
        <f t="shared" si="150"/>
        <v/>
      </c>
      <c r="SF7" s="11" t="str">
        <f t="shared" si="151"/>
        <v/>
      </c>
      <c r="SG7" s="11" t="str">
        <f t="shared" si="151"/>
        <v/>
      </c>
      <c r="SH7" s="11" t="str">
        <f t="shared" si="152"/>
        <v/>
      </c>
      <c r="SI7" s="11" t="str">
        <f t="shared" si="153"/>
        <v/>
      </c>
      <c r="SJ7" s="11" t="str">
        <f t="shared" si="153"/>
        <v/>
      </c>
      <c r="SK7" s="11" t="str">
        <f t="shared" si="154"/>
        <v/>
      </c>
      <c r="SL7" s="11" t="str">
        <f t="shared" si="155"/>
        <v/>
      </c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36" t="str">
        <f t="shared" si="156"/>
        <v/>
      </c>
      <c r="TH7" s="36" t="str">
        <f t="shared" si="156"/>
        <v/>
      </c>
      <c r="TI7" s="36" t="str">
        <f t="shared" si="157"/>
        <v/>
      </c>
      <c r="TJ7" s="36" t="str">
        <f t="shared" si="158"/>
        <v/>
      </c>
      <c r="TK7" s="36" t="str">
        <f t="shared" si="158"/>
        <v/>
      </c>
      <c r="TL7" s="36" t="str">
        <f t="shared" si="159"/>
        <v/>
      </c>
      <c r="TM7" s="36" t="str">
        <f t="shared" si="160"/>
        <v/>
      </c>
      <c r="TN7" s="36" t="str">
        <f t="shared" si="161"/>
        <v/>
      </c>
      <c r="TO7" s="36" t="str">
        <f t="shared" si="161"/>
        <v/>
      </c>
      <c r="TP7" s="36" t="str">
        <f t="shared" si="162"/>
        <v/>
      </c>
      <c r="TQ7" s="36" t="str">
        <f t="shared" si="163"/>
        <v/>
      </c>
      <c r="TR7" s="36" t="str">
        <f t="shared" si="163"/>
        <v/>
      </c>
      <c r="TS7" s="36" t="str">
        <f t="shared" si="164"/>
        <v/>
      </c>
      <c r="TT7" s="36" t="str">
        <f t="shared" si="165"/>
        <v/>
      </c>
      <c r="TU7" s="16"/>
      <c r="TV7" s="16"/>
      <c r="TW7" s="16"/>
      <c r="TX7" s="16"/>
      <c r="TY7" s="16"/>
      <c r="TZ7" s="16"/>
      <c r="UA7" s="16"/>
      <c r="UB7" s="16"/>
      <c r="UC7" s="16"/>
      <c r="UD7" s="16"/>
      <c r="UE7" s="16"/>
      <c r="UF7" s="16"/>
      <c r="UG7" s="16"/>
      <c r="UH7" s="16"/>
      <c r="UI7" s="16"/>
      <c r="UJ7" s="16"/>
      <c r="UK7" s="16"/>
      <c r="UL7" s="16"/>
      <c r="UM7" s="16"/>
      <c r="UN7" s="16"/>
      <c r="UO7" s="11" t="str">
        <f t="shared" si="166"/>
        <v/>
      </c>
      <c r="UP7" s="11" t="str">
        <f t="shared" si="166"/>
        <v/>
      </c>
      <c r="UQ7" s="11" t="str">
        <f t="shared" si="167"/>
        <v/>
      </c>
      <c r="UR7" s="11" t="str">
        <f t="shared" si="168"/>
        <v/>
      </c>
      <c r="US7" s="11" t="str">
        <f t="shared" si="168"/>
        <v/>
      </c>
      <c r="UT7" s="11" t="str">
        <f t="shared" si="169"/>
        <v/>
      </c>
      <c r="UU7" s="11" t="str">
        <f t="shared" si="170"/>
        <v/>
      </c>
      <c r="UV7" s="11" t="str">
        <f t="shared" si="171"/>
        <v/>
      </c>
      <c r="UW7" s="11" t="str">
        <f t="shared" si="171"/>
        <v/>
      </c>
      <c r="UX7" s="11" t="str">
        <f t="shared" si="172"/>
        <v/>
      </c>
      <c r="UY7" s="11" t="str">
        <f t="shared" si="173"/>
        <v/>
      </c>
      <c r="UZ7" s="11" t="str">
        <f t="shared" si="173"/>
        <v/>
      </c>
      <c r="VA7" s="11" t="str">
        <f t="shared" si="174"/>
        <v/>
      </c>
      <c r="VB7" s="11" t="str">
        <f t="shared" si="175"/>
        <v/>
      </c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36" t="str">
        <f t="shared" si="176"/>
        <v/>
      </c>
      <c r="VX7" s="36" t="str">
        <f t="shared" si="176"/>
        <v/>
      </c>
      <c r="VY7" s="36" t="str">
        <f t="shared" si="177"/>
        <v/>
      </c>
      <c r="VZ7" s="36" t="str">
        <f t="shared" si="178"/>
        <v/>
      </c>
      <c r="WA7" s="36" t="str">
        <f t="shared" si="178"/>
        <v/>
      </c>
      <c r="WB7" s="36" t="str">
        <f t="shared" si="179"/>
        <v/>
      </c>
      <c r="WC7" s="36" t="str">
        <f t="shared" si="180"/>
        <v/>
      </c>
      <c r="WD7" s="36" t="str">
        <f t="shared" si="181"/>
        <v/>
      </c>
      <c r="WE7" s="36" t="str">
        <f t="shared" si="181"/>
        <v/>
      </c>
      <c r="WF7" s="36" t="str">
        <f t="shared" si="182"/>
        <v/>
      </c>
      <c r="WG7" s="36" t="str">
        <f t="shared" si="183"/>
        <v/>
      </c>
      <c r="WH7" s="36" t="str">
        <f t="shared" si="183"/>
        <v/>
      </c>
      <c r="WI7" s="36" t="str">
        <f t="shared" si="184"/>
        <v/>
      </c>
      <c r="WJ7" s="36" t="str">
        <f t="shared" si="185"/>
        <v/>
      </c>
    </row>
    <row r="8" spans="1:608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128</v>
      </c>
      <c r="C8" s="4" t="s">
        <v>104</v>
      </c>
      <c r="D8" s="4" t="s">
        <v>89</v>
      </c>
      <c r="E8" s="9">
        <f t="shared" si="0"/>
        <v>46.94</v>
      </c>
      <c r="F8" s="3" t="str">
        <f t="shared" si="1"/>
        <v>P</v>
      </c>
      <c r="G8" s="3" t="str">
        <f t="shared" si="2"/>
        <v>P</v>
      </c>
      <c r="H8" s="32" t="str">
        <f t="shared" si="3"/>
        <v>National Team</v>
      </c>
      <c r="I8" s="3" t="str">
        <f t="shared" si="4"/>
        <v/>
      </c>
      <c r="J8" s="8">
        <f t="shared" si="5"/>
        <v>0</v>
      </c>
      <c r="K8" s="8" t="str">
        <f t="shared" si="6"/>
        <v/>
      </c>
      <c r="L8" s="8">
        <f>IFERROR(LARGE((AI8,AL8,AP8,BJ8,BM8,BQ8,CK8,CN8,CR8),2),0)</f>
        <v>0</v>
      </c>
      <c r="M8" s="8" t="str">
        <f t="shared" si="7"/>
        <v/>
      </c>
      <c r="N8" s="8">
        <f t="shared" si="8"/>
        <v>46.94</v>
      </c>
      <c r="O8" s="11" t="str">
        <f t="shared" si="9"/>
        <v>(Any)</v>
      </c>
      <c r="P8" s="8" t="str">
        <f t="shared" si="10"/>
        <v>2025 World Cup ITA (April 5)</v>
      </c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23"/>
      <c r="AG8" s="34" t="str">
        <f t="shared" si="11"/>
        <v/>
      </c>
      <c r="AH8" s="34" t="str">
        <f t="shared" si="11"/>
        <v/>
      </c>
      <c r="AI8" s="36" t="str">
        <f t="shared" si="12"/>
        <v/>
      </c>
      <c r="AJ8" s="36" t="str">
        <f t="shared" si="13"/>
        <v/>
      </c>
      <c r="AK8" s="36" t="str">
        <f t="shared" si="13"/>
        <v/>
      </c>
      <c r="AL8" s="36" t="str">
        <f t="shared" si="14"/>
        <v/>
      </c>
      <c r="AM8" s="36" t="str">
        <f t="shared" si="15"/>
        <v/>
      </c>
      <c r="AN8" s="36" t="str">
        <f t="shared" si="16"/>
        <v/>
      </c>
      <c r="AO8" s="36" t="str">
        <f t="shared" si="16"/>
        <v/>
      </c>
      <c r="AP8" s="36" t="str">
        <f t="shared" si="17"/>
        <v/>
      </c>
      <c r="AQ8" s="36" t="str">
        <f t="shared" si="18"/>
        <v/>
      </c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4"/>
      <c r="BH8" s="35" t="str">
        <f t="shared" si="19"/>
        <v/>
      </c>
      <c r="BI8" s="35" t="str">
        <f t="shared" si="19"/>
        <v/>
      </c>
      <c r="BJ8" s="11" t="str">
        <f t="shared" si="20"/>
        <v/>
      </c>
      <c r="BK8" s="11" t="str">
        <f t="shared" si="21"/>
        <v/>
      </c>
      <c r="BL8" s="11" t="str">
        <f t="shared" si="21"/>
        <v/>
      </c>
      <c r="BM8" s="11" t="str">
        <f t="shared" si="22"/>
        <v/>
      </c>
      <c r="BN8" s="11" t="str">
        <f t="shared" si="23"/>
        <v/>
      </c>
      <c r="BO8" s="11" t="str">
        <f t="shared" si="24"/>
        <v/>
      </c>
      <c r="BP8" s="11" t="str">
        <f t="shared" si="24"/>
        <v/>
      </c>
      <c r="BQ8" s="11" t="str">
        <f t="shared" si="25"/>
        <v/>
      </c>
      <c r="BR8" s="11" t="str">
        <f t="shared" si="26"/>
        <v/>
      </c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23"/>
      <c r="CI8" s="34" t="str">
        <f t="shared" si="27"/>
        <v/>
      </c>
      <c r="CJ8" s="34" t="str">
        <f t="shared" si="27"/>
        <v/>
      </c>
      <c r="CK8" s="36" t="str">
        <f t="shared" si="28"/>
        <v/>
      </c>
      <c r="CL8" s="36" t="str">
        <f t="shared" si="29"/>
        <v/>
      </c>
      <c r="CM8" s="36" t="str">
        <f t="shared" si="29"/>
        <v/>
      </c>
      <c r="CN8" s="36" t="str">
        <f t="shared" si="30"/>
        <v/>
      </c>
      <c r="CO8" s="36" t="str">
        <f t="shared" si="31"/>
        <v/>
      </c>
      <c r="CP8" s="36" t="str">
        <f t="shared" si="32"/>
        <v/>
      </c>
      <c r="CQ8" s="36" t="str">
        <f t="shared" si="32"/>
        <v/>
      </c>
      <c r="CR8" s="36" t="str">
        <f t="shared" si="33"/>
        <v/>
      </c>
      <c r="CS8" s="36" t="str">
        <f t="shared" si="34"/>
        <v/>
      </c>
      <c r="CT8" s="47">
        <f t="shared" si="35"/>
        <v>46.94</v>
      </c>
      <c r="CU8" s="15">
        <v>7.85</v>
      </c>
      <c r="CV8" s="15">
        <v>9</v>
      </c>
      <c r="CW8" s="15">
        <v>11.8</v>
      </c>
      <c r="CX8" s="15">
        <v>18.34</v>
      </c>
      <c r="CY8" s="15">
        <v>0.4</v>
      </c>
      <c r="CZ8" s="15">
        <v>8</v>
      </c>
      <c r="DA8" s="15">
        <v>8.9</v>
      </c>
      <c r="DB8" s="15">
        <v>11.8</v>
      </c>
      <c r="DC8" s="15">
        <v>18.239999999999998</v>
      </c>
      <c r="DD8" s="15">
        <v>0</v>
      </c>
      <c r="DE8" s="15"/>
      <c r="DF8" s="15"/>
      <c r="DG8" s="15"/>
      <c r="DH8" s="15"/>
      <c r="DI8" s="15"/>
      <c r="DJ8" s="15">
        <v>7.7</v>
      </c>
      <c r="DK8" s="15">
        <v>8.9499999999999993</v>
      </c>
      <c r="DL8" s="15">
        <v>11.8</v>
      </c>
      <c r="DM8" s="15">
        <v>16.32</v>
      </c>
      <c r="DN8" s="15">
        <v>0</v>
      </c>
      <c r="DO8" s="36">
        <f t="shared" si="36"/>
        <v>11.8</v>
      </c>
      <c r="DP8" s="36">
        <f t="shared" si="36"/>
        <v>18.34</v>
      </c>
      <c r="DQ8" s="36">
        <f t="shared" si="37"/>
        <v>46.59</v>
      </c>
      <c r="DR8" s="36">
        <f t="shared" si="38"/>
        <v>11.8</v>
      </c>
      <c r="DS8" s="36">
        <f t="shared" si="38"/>
        <v>18.239999999999998</v>
      </c>
      <c r="DT8" s="36">
        <f t="shared" si="39"/>
        <v>46.94</v>
      </c>
      <c r="DU8" s="36">
        <f t="shared" si="40"/>
        <v>46.94</v>
      </c>
      <c r="DV8" s="36" t="str">
        <f t="shared" si="41"/>
        <v/>
      </c>
      <c r="DW8" s="36" t="str">
        <f t="shared" si="41"/>
        <v/>
      </c>
      <c r="DX8" s="36" t="str">
        <f t="shared" si="42"/>
        <v/>
      </c>
      <c r="DY8" s="36">
        <f t="shared" si="43"/>
        <v>11.8</v>
      </c>
      <c r="DZ8" s="36">
        <f t="shared" si="43"/>
        <v>16.32</v>
      </c>
      <c r="EA8" s="36">
        <f t="shared" si="44"/>
        <v>44.769999999999996</v>
      </c>
      <c r="EB8" s="36">
        <f t="shared" si="45"/>
        <v>91.71</v>
      </c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1" t="str">
        <f t="shared" si="46"/>
        <v/>
      </c>
      <c r="EX8" s="11" t="str">
        <f t="shared" si="46"/>
        <v/>
      </c>
      <c r="EY8" s="11" t="str">
        <f t="shared" si="47"/>
        <v/>
      </c>
      <c r="EZ8" s="11" t="str">
        <f t="shared" si="48"/>
        <v/>
      </c>
      <c r="FA8" s="11" t="str">
        <f t="shared" si="48"/>
        <v/>
      </c>
      <c r="FB8" s="11" t="str">
        <f t="shared" si="49"/>
        <v/>
      </c>
      <c r="FC8" s="11" t="str">
        <f t="shared" si="50"/>
        <v/>
      </c>
      <c r="FD8" s="11" t="str">
        <f t="shared" si="51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36" t="str">
        <f t="shared" si="56"/>
        <v/>
      </c>
      <c r="GF8" s="36" t="str">
        <f t="shared" si="56"/>
        <v/>
      </c>
      <c r="GG8" s="36" t="str">
        <f t="shared" si="57"/>
        <v/>
      </c>
      <c r="GH8" s="36" t="str">
        <f t="shared" si="58"/>
        <v/>
      </c>
      <c r="GI8" s="36" t="str">
        <f t="shared" si="58"/>
        <v/>
      </c>
      <c r="GJ8" s="36" t="str">
        <f t="shared" si="59"/>
        <v/>
      </c>
      <c r="GK8" s="36" t="str">
        <f t="shared" si="60"/>
        <v/>
      </c>
      <c r="GL8" s="36" t="str">
        <f t="shared" si="61"/>
        <v/>
      </c>
      <c r="GM8" s="36" t="str">
        <f t="shared" si="61"/>
        <v/>
      </c>
      <c r="GN8" s="36" t="str">
        <f t="shared" si="62"/>
        <v/>
      </c>
      <c r="GO8" s="36" t="str">
        <f t="shared" si="63"/>
        <v/>
      </c>
      <c r="GP8" s="36" t="str">
        <f t="shared" si="63"/>
        <v/>
      </c>
      <c r="GQ8" s="36" t="str">
        <f t="shared" si="64"/>
        <v/>
      </c>
      <c r="GR8" s="36" t="str">
        <f t="shared" si="65"/>
        <v/>
      </c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1" t="str">
        <f t="shared" si="66"/>
        <v/>
      </c>
      <c r="HN8" s="11" t="str">
        <f t="shared" si="66"/>
        <v/>
      </c>
      <c r="HO8" s="11" t="str">
        <f t="shared" si="67"/>
        <v/>
      </c>
      <c r="HP8" s="11" t="str">
        <f t="shared" si="68"/>
        <v/>
      </c>
      <c r="HQ8" s="11" t="str">
        <f t="shared" si="68"/>
        <v/>
      </c>
      <c r="HR8" s="11" t="str">
        <f t="shared" si="69"/>
        <v/>
      </c>
      <c r="HS8" s="11" t="str">
        <f t="shared" si="70"/>
        <v/>
      </c>
      <c r="HT8" s="11" t="str">
        <f t="shared" si="71"/>
        <v/>
      </c>
      <c r="HU8" s="11" t="str">
        <f t="shared" si="71"/>
        <v/>
      </c>
      <c r="HV8" s="11" t="str">
        <f t="shared" si="72"/>
        <v/>
      </c>
      <c r="HW8" s="11" t="str">
        <f t="shared" si="73"/>
        <v/>
      </c>
      <c r="HX8" s="11" t="str">
        <f t="shared" si="73"/>
        <v/>
      </c>
      <c r="HY8" s="11" t="str">
        <f t="shared" si="74"/>
        <v/>
      </c>
      <c r="HZ8" s="11" t="str">
        <f t="shared" si="75"/>
        <v/>
      </c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36" t="str">
        <f t="shared" si="76"/>
        <v/>
      </c>
      <c r="IV8" s="36" t="str">
        <f t="shared" si="76"/>
        <v/>
      </c>
      <c r="IW8" s="36" t="str">
        <f t="shared" si="77"/>
        <v/>
      </c>
      <c r="IX8" s="36" t="str">
        <f t="shared" si="78"/>
        <v/>
      </c>
      <c r="IY8" s="36" t="str">
        <f t="shared" si="78"/>
        <v/>
      </c>
      <c r="IZ8" s="36" t="str">
        <f t="shared" si="79"/>
        <v/>
      </c>
      <c r="JA8" s="36" t="str">
        <f t="shared" si="80"/>
        <v/>
      </c>
      <c r="JB8" s="36" t="str">
        <f t="shared" si="81"/>
        <v/>
      </c>
      <c r="JC8" s="36" t="str">
        <f t="shared" si="81"/>
        <v/>
      </c>
      <c r="JD8" s="36" t="str">
        <f t="shared" si="82"/>
        <v/>
      </c>
      <c r="JE8" s="36" t="str">
        <f t="shared" si="83"/>
        <v/>
      </c>
      <c r="JF8" s="36" t="str">
        <f t="shared" si="83"/>
        <v/>
      </c>
      <c r="JG8" s="36" t="str">
        <f t="shared" si="84"/>
        <v/>
      </c>
      <c r="JH8" s="36" t="str">
        <f t="shared" si="85"/>
        <v/>
      </c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1" t="str">
        <f t="shared" si="86"/>
        <v/>
      </c>
      <c r="KD8" s="11" t="str">
        <f t="shared" si="86"/>
        <v/>
      </c>
      <c r="KE8" s="11" t="str">
        <f t="shared" si="87"/>
        <v/>
      </c>
      <c r="KF8" s="11" t="str">
        <f t="shared" si="88"/>
        <v/>
      </c>
      <c r="KG8" s="11" t="str">
        <f t="shared" si="88"/>
        <v/>
      </c>
      <c r="KH8" s="11" t="str">
        <f t="shared" si="89"/>
        <v/>
      </c>
      <c r="KI8" s="11" t="str">
        <f t="shared" si="90"/>
        <v/>
      </c>
      <c r="KJ8" s="11" t="str">
        <f t="shared" si="91"/>
        <v/>
      </c>
      <c r="KK8" s="11" t="str">
        <f t="shared" si="91"/>
        <v/>
      </c>
      <c r="KL8" s="11" t="str">
        <f t="shared" si="92"/>
        <v/>
      </c>
      <c r="KM8" s="11" t="str">
        <f t="shared" si="93"/>
        <v/>
      </c>
      <c r="KN8" s="11" t="str">
        <f t="shared" si="93"/>
        <v/>
      </c>
      <c r="KO8" s="11" t="str">
        <f t="shared" si="94"/>
        <v/>
      </c>
      <c r="KP8" s="11" t="str">
        <f t="shared" si="95"/>
        <v/>
      </c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36" t="str">
        <f t="shared" si="96"/>
        <v/>
      </c>
      <c r="LL8" s="36" t="str">
        <f t="shared" si="96"/>
        <v/>
      </c>
      <c r="LM8" s="36" t="str">
        <f t="shared" si="97"/>
        <v/>
      </c>
      <c r="LN8" s="36" t="str">
        <f t="shared" si="98"/>
        <v/>
      </c>
      <c r="LO8" s="36" t="str">
        <f t="shared" si="98"/>
        <v/>
      </c>
      <c r="LP8" s="36" t="str">
        <f t="shared" si="99"/>
        <v/>
      </c>
      <c r="LQ8" s="36" t="str">
        <f t="shared" si="100"/>
        <v/>
      </c>
      <c r="LR8" s="36" t="str">
        <f t="shared" si="101"/>
        <v/>
      </c>
      <c r="LS8" s="36" t="str">
        <f t="shared" si="101"/>
        <v/>
      </c>
      <c r="LT8" s="36" t="str">
        <f t="shared" si="102"/>
        <v/>
      </c>
      <c r="LU8" s="36" t="str">
        <f t="shared" si="103"/>
        <v/>
      </c>
      <c r="LV8" s="36" t="str">
        <f t="shared" si="103"/>
        <v/>
      </c>
      <c r="LW8" s="36" t="str">
        <f t="shared" si="104"/>
        <v/>
      </c>
      <c r="LX8" s="36" t="str">
        <f t="shared" si="105"/>
        <v/>
      </c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16"/>
      <c r="MP8" s="16"/>
      <c r="MQ8" s="16"/>
      <c r="MR8" s="16"/>
      <c r="MS8" s="11" t="str">
        <f t="shared" si="106"/>
        <v/>
      </c>
      <c r="MT8" s="11" t="str">
        <f t="shared" si="106"/>
        <v/>
      </c>
      <c r="MU8" s="11" t="str">
        <f t="shared" si="107"/>
        <v/>
      </c>
      <c r="MV8" s="11" t="str">
        <f t="shared" si="108"/>
        <v/>
      </c>
      <c r="MW8" s="11" t="str">
        <f t="shared" si="108"/>
        <v/>
      </c>
      <c r="MX8" s="11" t="str">
        <f t="shared" si="109"/>
        <v/>
      </c>
      <c r="MY8" s="11" t="str">
        <f t="shared" si="110"/>
        <v/>
      </c>
      <c r="MZ8" s="11" t="str">
        <f t="shared" si="111"/>
        <v/>
      </c>
      <c r="NA8" s="11" t="str">
        <f t="shared" si="111"/>
        <v/>
      </c>
      <c r="NB8" s="11" t="str">
        <f t="shared" si="112"/>
        <v/>
      </c>
      <c r="NC8" s="11" t="str">
        <f t="shared" si="113"/>
        <v/>
      </c>
      <c r="ND8" s="11" t="str">
        <f t="shared" si="113"/>
        <v/>
      </c>
      <c r="NE8" s="11" t="str">
        <f t="shared" si="114"/>
        <v/>
      </c>
      <c r="NF8" s="11" t="str">
        <f t="shared" si="115"/>
        <v/>
      </c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36" t="str">
        <f t="shared" si="116"/>
        <v/>
      </c>
      <c r="OB8" s="36" t="str">
        <f t="shared" si="116"/>
        <v/>
      </c>
      <c r="OC8" s="36" t="str">
        <f t="shared" si="117"/>
        <v/>
      </c>
      <c r="OD8" s="36" t="str">
        <f t="shared" si="118"/>
        <v/>
      </c>
      <c r="OE8" s="36" t="str">
        <f t="shared" si="118"/>
        <v/>
      </c>
      <c r="OF8" s="36" t="str">
        <f t="shared" si="119"/>
        <v/>
      </c>
      <c r="OG8" s="36" t="str">
        <f t="shared" si="120"/>
        <v/>
      </c>
      <c r="OH8" s="36" t="str">
        <f t="shared" si="121"/>
        <v/>
      </c>
      <c r="OI8" s="36" t="str">
        <f t="shared" si="121"/>
        <v/>
      </c>
      <c r="OJ8" s="36" t="str">
        <f t="shared" si="122"/>
        <v/>
      </c>
      <c r="OK8" s="36" t="str">
        <f t="shared" si="123"/>
        <v/>
      </c>
      <c r="OL8" s="36" t="str">
        <f t="shared" si="123"/>
        <v/>
      </c>
      <c r="OM8" s="36" t="str">
        <f t="shared" si="124"/>
        <v/>
      </c>
      <c r="ON8" s="36" t="str">
        <f t="shared" si="125"/>
        <v/>
      </c>
      <c r="OO8" s="16"/>
      <c r="OP8" s="16"/>
      <c r="OQ8" s="16"/>
      <c r="OR8" s="16"/>
      <c r="OS8" s="16"/>
      <c r="OT8" s="16"/>
      <c r="OU8" s="16"/>
      <c r="OV8" s="16"/>
      <c r="OW8" s="16"/>
      <c r="OX8" s="16"/>
      <c r="OY8" s="16"/>
      <c r="OZ8" s="16"/>
      <c r="PA8" s="16"/>
      <c r="PB8" s="16"/>
      <c r="PC8" s="16"/>
      <c r="PD8" s="16"/>
      <c r="PE8" s="16"/>
      <c r="PF8" s="16"/>
      <c r="PG8" s="16"/>
      <c r="PH8" s="16"/>
      <c r="PI8" s="11" t="str">
        <f t="shared" si="126"/>
        <v/>
      </c>
      <c r="PJ8" s="11" t="str">
        <f t="shared" si="126"/>
        <v/>
      </c>
      <c r="PK8" s="11" t="str">
        <f t="shared" si="127"/>
        <v/>
      </c>
      <c r="PL8" s="11" t="str">
        <f t="shared" si="128"/>
        <v/>
      </c>
      <c r="PM8" s="11" t="str">
        <f t="shared" si="128"/>
        <v/>
      </c>
      <c r="PN8" s="11" t="str">
        <f t="shared" si="129"/>
        <v/>
      </c>
      <c r="PO8" s="11" t="str">
        <f t="shared" si="130"/>
        <v/>
      </c>
      <c r="PP8" s="11" t="str">
        <f t="shared" si="131"/>
        <v/>
      </c>
      <c r="PQ8" s="11" t="str">
        <f t="shared" si="131"/>
        <v/>
      </c>
      <c r="PR8" s="11" t="str">
        <f t="shared" si="132"/>
        <v/>
      </c>
      <c r="PS8" s="11" t="str">
        <f t="shared" si="133"/>
        <v/>
      </c>
      <c r="PT8" s="11" t="str">
        <f t="shared" si="133"/>
        <v/>
      </c>
      <c r="PU8" s="11" t="str">
        <f t="shared" si="134"/>
        <v/>
      </c>
      <c r="PV8" s="11" t="str">
        <f t="shared" si="135"/>
        <v/>
      </c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36" t="str">
        <f t="shared" si="136"/>
        <v/>
      </c>
      <c r="QR8" s="36" t="str">
        <f t="shared" si="136"/>
        <v/>
      </c>
      <c r="QS8" s="36" t="str">
        <f t="shared" si="137"/>
        <v/>
      </c>
      <c r="QT8" s="36" t="str">
        <f t="shared" si="138"/>
        <v/>
      </c>
      <c r="QU8" s="36" t="str">
        <f t="shared" si="138"/>
        <v/>
      </c>
      <c r="QV8" s="36" t="str">
        <f t="shared" si="139"/>
        <v/>
      </c>
      <c r="QW8" s="36" t="str">
        <f t="shared" si="140"/>
        <v/>
      </c>
      <c r="QX8" s="36" t="str">
        <f t="shared" si="141"/>
        <v/>
      </c>
      <c r="QY8" s="36" t="str">
        <f t="shared" si="141"/>
        <v/>
      </c>
      <c r="QZ8" s="36" t="str">
        <f t="shared" si="142"/>
        <v/>
      </c>
      <c r="RA8" s="36" t="str">
        <f t="shared" si="143"/>
        <v/>
      </c>
      <c r="RB8" s="36" t="str">
        <f t="shared" si="143"/>
        <v/>
      </c>
      <c r="RC8" s="36" t="str">
        <f t="shared" si="144"/>
        <v/>
      </c>
      <c r="RD8" s="36" t="str">
        <f t="shared" si="145"/>
        <v/>
      </c>
      <c r="RE8" s="16"/>
      <c r="RF8" s="16"/>
      <c r="RG8" s="16"/>
      <c r="RH8" s="16"/>
      <c r="RI8" s="16"/>
      <c r="RJ8" s="16"/>
      <c r="RK8" s="16"/>
      <c r="RL8" s="16"/>
      <c r="RM8" s="16"/>
      <c r="RN8" s="16"/>
      <c r="RO8" s="16"/>
      <c r="RP8" s="16"/>
      <c r="RQ8" s="16"/>
      <c r="RR8" s="16"/>
      <c r="RS8" s="16"/>
      <c r="RT8" s="16"/>
      <c r="RU8" s="16"/>
      <c r="RV8" s="16"/>
      <c r="RW8" s="16"/>
      <c r="RX8" s="16"/>
      <c r="RY8" s="11" t="str">
        <f t="shared" si="146"/>
        <v/>
      </c>
      <c r="RZ8" s="11" t="str">
        <f t="shared" si="146"/>
        <v/>
      </c>
      <c r="SA8" s="11" t="str">
        <f t="shared" si="147"/>
        <v/>
      </c>
      <c r="SB8" s="11" t="str">
        <f t="shared" si="148"/>
        <v/>
      </c>
      <c r="SC8" s="11" t="str">
        <f t="shared" si="148"/>
        <v/>
      </c>
      <c r="SD8" s="11" t="str">
        <f t="shared" si="149"/>
        <v/>
      </c>
      <c r="SE8" s="11" t="str">
        <f t="shared" si="150"/>
        <v/>
      </c>
      <c r="SF8" s="11" t="str">
        <f t="shared" si="151"/>
        <v/>
      </c>
      <c r="SG8" s="11" t="str">
        <f t="shared" si="151"/>
        <v/>
      </c>
      <c r="SH8" s="11" t="str">
        <f t="shared" si="152"/>
        <v/>
      </c>
      <c r="SI8" s="11" t="str">
        <f t="shared" si="153"/>
        <v/>
      </c>
      <c r="SJ8" s="11" t="str">
        <f t="shared" si="153"/>
        <v/>
      </c>
      <c r="SK8" s="11" t="str">
        <f t="shared" si="154"/>
        <v/>
      </c>
      <c r="SL8" s="11" t="str">
        <f t="shared" si="155"/>
        <v/>
      </c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36" t="str">
        <f t="shared" si="156"/>
        <v/>
      </c>
      <c r="TH8" s="36" t="str">
        <f t="shared" si="156"/>
        <v/>
      </c>
      <c r="TI8" s="36" t="str">
        <f t="shared" si="157"/>
        <v/>
      </c>
      <c r="TJ8" s="36" t="str">
        <f t="shared" si="158"/>
        <v/>
      </c>
      <c r="TK8" s="36" t="str">
        <f t="shared" si="158"/>
        <v/>
      </c>
      <c r="TL8" s="36" t="str">
        <f t="shared" si="159"/>
        <v/>
      </c>
      <c r="TM8" s="36" t="str">
        <f t="shared" si="160"/>
        <v/>
      </c>
      <c r="TN8" s="36" t="str">
        <f t="shared" si="161"/>
        <v/>
      </c>
      <c r="TO8" s="36" t="str">
        <f t="shared" si="161"/>
        <v/>
      </c>
      <c r="TP8" s="36" t="str">
        <f t="shared" si="162"/>
        <v/>
      </c>
      <c r="TQ8" s="36" t="str">
        <f t="shared" si="163"/>
        <v/>
      </c>
      <c r="TR8" s="36" t="str">
        <f t="shared" si="163"/>
        <v/>
      </c>
      <c r="TS8" s="36" t="str">
        <f t="shared" si="164"/>
        <v/>
      </c>
      <c r="TT8" s="36" t="str">
        <f t="shared" si="165"/>
        <v/>
      </c>
      <c r="TU8" s="16"/>
      <c r="TV8" s="16"/>
      <c r="TW8" s="16"/>
      <c r="TX8" s="16"/>
      <c r="TY8" s="16"/>
      <c r="TZ8" s="16"/>
      <c r="UA8" s="16"/>
      <c r="UB8" s="16"/>
      <c r="UC8" s="16"/>
      <c r="UD8" s="16"/>
      <c r="UE8" s="16"/>
      <c r="UF8" s="16"/>
      <c r="UG8" s="16"/>
      <c r="UH8" s="16"/>
      <c r="UI8" s="16"/>
      <c r="UJ8" s="16"/>
      <c r="UK8" s="16"/>
      <c r="UL8" s="16"/>
      <c r="UM8" s="16"/>
      <c r="UN8" s="16"/>
      <c r="UO8" s="11" t="str">
        <f t="shared" si="166"/>
        <v/>
      </c>
      <c r="UP8" s="11" t="str">
        <f t="shared" si="166"/>
        <v/>
      </c>
      <c r="UQ8" s="11" t="str">
        <f t="shared" si="167"/>
        <v/>
      </c>
      <c r="UR8" s="11" t="str">
        <f t="shared" si="168"/>
        <v/>
      </c>
      <c r="US8" s="11" t="str">
        <f t="shared" si="168"/>
        <v/>
      </c>
      <c r="UT8" s="11" t="str">
        <f t="shared" si="169"/>
        <v/>
      </c>
      <c r="UU8" s="11" t="str">
        <f t="shared" si="170"/>
        <v/>
      </c>
      <c r="UV8" s="11" t="str">
        <f t="shared" si="171"/>
        <v/>
      </c>
      <c r="UW8" s="11" t="str">
        <f t="shared" si="171"/>
        <v/>
      </c>
      <c r="UX8" s="11" t="str">
        <f t="shared" si="172"/>
        <v/>
      </c>
      <c r="UY8" s="11" t="str">
        <f t="shared" si="173"/>
        <v/>
      </c>
      <c r="UZ8" s="11" t="str">
        <f t="shared" si="173"/>
        <v/>
      </c>
      <c r="VA8" s="11" t="str">
        <f t="shared" si="174"/>
        <v/>
      </c>
      <c r="VB8" s="11" t="str">
        <f t="shared" si="175"/>
        <v/>
      </c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36" t="str">
        <f t="shared" si="176"/>
        <v/>
      </c>
      <c r="VX8" s="36" t="str">
        <f t="shared" si="176"/>
        <v/>
      </c>
      <c r="VY8" s="36" t="str">
        <f t="shared" si="177"/>
        <v/>
      </c>
      <c r="VZ8" s="36" t="str">
        <f t="shared" si="178"/>
        <v/>
      </c>
      <c r="WA8" s="36" t="str">
        <f t="shared" si="178"/>
        <v/>
      </c>
      <c r="WB8" s="36" t="str">
        <f t="shared" si="179"/>
        <v/>
      </c>
      <c r="WC8" s="36" t="str">
        <f t="shared" si="180"/>
        <v/>
      </c>
      <c r="WD8" s="36" t="str">
        <f t="shared" si="181"/>
        <v/>
      </c>
      <c r="WE8" s="36" t="str">
        <f t="shared" si="181"/>
        <v/>
      </c>
      <c r="WF8" s="36" t="str">
        <f t="shared" si="182"/>
        <v/>
      </c>
      <c r="WG8" s="36" t="str">
        <f t="shared" si="183"/>
        <v/>
      </c>
      <c r="WH8" s="36" t="str">
        <f t="shared" si="183"/>
        <v/>
      </c>
      <c r="WI8" s="36" t="str">
        <f t="shared" si="184"/>
        <v/>
      </c>
      <c r="WJ8" s="36" t="str">
        <f t="shared" si="185"/>
        <v/>
      </c>
    </row>
    <row r="9" spans="1:608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161</v>
      </c>
      <c r="C9" s="4" t="s">
        <v>160</v>
      </c>
      <c r="D9" s="4" t="s">
        <v>79</v>
      </c>
      <c r="E9" s="9">
        <f t="shared" si="0"/>
        <v>44.150000000000006</v>
      </c>
      <c r="F9" s="3" t="str">
        <f t="shared" si="1"/>
        <v>P</v>
      </c>
      <c r="G9" s="3" t="str">
        <f t="shared" si="2"/>
        <v>P</v>
      </c>
      <c r="H9" s="32" t="str">
        <f t="shared" si="3"/>
        <v>National Team</v>
      </c>
      <c r="I9" s="3" t="str">
        <f t="shared" si="4"/>
        <v/>
      </c>
      <c r="J9" s="8">
        <f t="shared" si="5"/>
        <v>0</v>
      </c>
      <c r="K9" s="8" t="str">
        <f t="shared" si="6"/>
        <v/>
      </c>
      <c r="L9" s="8">
        <f>IFERROR(LARGE((AI9,AL9,AP9,BJ9,BM9,BQ9,CK9,CN9,CR9),2),0)</f>
        <v>0</v>
      </c>
      <c r="M9" s="8" t="str">
        <f t="shared" si="7"/>
        <v/>
      </c>
      <c r="N9" s="8">
        <f t="shared" si="8"/>
        <v>44.150000000000006</v>
      </c>
      <c r="O9" s="11" t="str">
        <f t="shared" si="9"/>
        <v>(Any)</v>
      </c>
      <c r="P9" s="8" t="str">
        <f t="shared" si="10"/>
        <v>2025 World Cup GER (Sept 21)</v>
      </c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23"/>
      <c r="AG9" s="34" t="str">
        <f t="shared" si="11"/>
        <v/>
      </c>
      <c r="AH9" s="34" t="str">
        <f t="shared" si="11"/>
        <v/>
      </c>
      <c r="AI9" s="36" t="str">
        <f t="shared" si="12"/>
        <v/>
      </c>
      <c r="AJ9" s="36" t="str">
        <f t="shared" si="13"/>
        <v/>
      </c>
      <c r="AK9" s="36" t="str">
        <f t="shared" si="13"/>
        <v/>
      </c>
      <c r="AL9" s="36" t="str">
        <f t="shared" si="14"/>
        <v/>
      </c>
      <c r="AM9" s="36" t="str">
        <f t="shared" si="15"/>
        <v/>
      </c>
      <c r="AN9" s="36" t="str">
        <f t="shared" si="16"/>
        <v/>
      </c>
      <c r="AO9" s="36" t="str">
        <f t="shared" si="16"/>
        <v/>
      </c>
      <c r="AP9" s="36" t="str">
        <f t="shared" si="17"/>
        <v/>
      </c>
      <c r="AQ9" s="36" t="str">
        <f t="shared" si="18"/>
        <v/>
      </c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4"/>
      <c r="BH9" s="35" t="str">
        <f t="shared" si="19"/>
        <v/>
      </c>
      <c r="BI9" s="35" t="str">
        <f t="shared" si="19"/>
        <v/>
      </c>
      <c r="BJ9" s="11" t="str">
        <f t="shared" si="20"/>
        <v/>
      </c>
      <c r="BK9" s="11" t="str">
        <f t="shared" si="21"/>
        <v/>
      </c>
      <c r="BL9" s="11" t="str">
        <f t="shared" si="21"/>
        <v/>
      </c>
      <c r="BM9" s="11" t="str">
        <f t="shared" si="22"/>
        <v/>
      </c>
      <c r="BN9" s="11" t="str">
        <f t="shared" si="23"/>
        <v/>
      </c>
      <c r="BO9" s="11" t="str">
        <f t="shared" si="24"/>
        <v/>
      </c>
      <c r="BP9" s="11" t="str">
        <f t="shared" si="24"/>
        <v/>
      </c>
      <c r="BQ9" s="11" t="str">
        <f t="shared" si="25"/>
        <v/>
      </c>
      <c r="BR9" s="11" t="str">
        <f t="shared" si="26"/>
        <v/>
      </c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23"/>
      <c r="CI9" s="34" t="str">
        <f t="shared" si="27"/>
        <v/>
      </c>
      <c r="CJ9" s="34" t="str">
        <f t="shared" si="27"/>
        <v/>
      </c>
      <c r="CK9" s="36" t="str">
        <f t="shared" si="28"/>
        <v/>
      </c>
      <c r="CL9" s="36" t="str">
        <f t="shared" si="29"/>
        <v/>
      </c>
      <c r="CM9" s="36" t="str">
        <f t="shared" si="29"/>
        <v/>
      </c>
      <c r="CN9" s="36" t="str">
        <f t="shared" si="30"/>
        <v/>
      </c>
      <c r="CO9" s="36" t="str">
        <f t="shared" si="31"/>
        <v/>
      </c>
      <c r="CP9" s="36" t="str">
        <f t="shared" si="32"/>
        <v/>
      </c>
      <c r="CQ9" s="36" t="str">
        <f t="shared" si="32"/>
        <v/>
      </c>
      <c r="CR9" s="36" t="str">
        <f t="shared" si="33"/>
        <v/>
      </c>
      <c r="CS9" s="36" t="str">
        <f t="shared" si="34"/>
        <v/>
      </c>
      <c r="CT9" s="47">
        <f t="shared" si="35"/>
        <v>44.150000000000006</v>
      </c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36" t="str">
        <f t="shared" si="36"/>
        <v/>
      </c>
      <c r="DP9" s="36" t="str">
        <f t="shared" si="36"/>
        <v/>
      </c>
      <c r="DQ9" s="36" t="str">
        <f t="shared" si="37"/>
        <v/>
      </c>
      <c r="DR9" s="36" t="str">
        <f t="shared" si="38"/>
        <v/>
      </c>
      <c r="DS9" s="36" t="str">
        <f t="shared" si="38"/>
        <v/>
      </c>
      <c r="DT9" s="36" t="str">
        <f t="shared" si="39"/>
        <v/>
      </c>
      <c r="DU9" s="36" t="str">
        <f t="shared" si="40"/>
        <v/>
      </c>
      <c r="DV9" s="36" t="str">
        <f t="shared" si="41"/>
        <v/>
      </c>
      <c r="DW9" s="36" t="str">
        <f t="shared" si="41"/>
        <v/>
      </c>
      <c r="DX9" s="36" t="str">
        <f t="shared" si="42"/>
        <v/>
      </c>
      <c r="DY9" s="36" t="str">
        <f t="shared" si="43"/>
        <v/>
      </c>
      <c r="DZ9" s="36" t="str">
        <f t="shared" si="43"/>
        <v/>
      </c>
      <c r="EA9" s="36" t="str">
        <f t="shared" si="44"/>
        <v/>
      </c>
      <c r="EB9" s="36" t="str">
        <f t="shared" si="45"/>
        <v/>
      </c>
      <c r="EC9" s="16">
        <v>7.1</v>
      </c>
      <c r="ED9" s="16">
        <v>9.25</v>
      </c>
      <c r="EE9" s="16">
        <v>12.6</v>
      </c>
      <c r="EF9" s="16">
        <v>15.2</v>
      </c>
      <c r="EG9" s="16">
        <v>0</v>
      </c>
      <c r="EH9" s="16">
        <v>7.5</v>
      </c>
      <c r="EI9" s="16">
        <v>9.1999999999999993</v>
      </c>
      <c r="EJ9" s="16">
        <v>12.6</v>
      </c>
      <c r="EK9" s="16">
        <v>14.56</v>
      </c>
      <c r="EL9" s="16">
        <v>0</v>
      </c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1">
        <f t="shared" si="46"/>
        <v>12.6</v>
      </c>
      <c r="EX9" s="11">
        <f t="shared" si="46"/>
        <v>15.2</v>
      </c>
      <c r="EY9" s="11">
        <f t="shared" si="47"/>
        <v>44.150000000000006</v>
      </c>
      <c r="EZ9" s="11">
        <f t="shared" si="48"/>
        <v>12.6</v>
      </c>
      <c r="FA9" s="11">
        <f t="shared" si="48"/>
        <v>14.56</v>
      </c>
      <c r="FB9" s="11">
        <f t="shared" si="49"/>
        <v>43.86</v>
      </c>
      <c r="FC9" s="11">
        <f t="shared" si="50"/>
        <v>44.150000000000006</v>
      </c>
      <c r="FD9" s="11" t="str">
        <f t="shared" si="51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1" t="str">
        <f t="shared" si="53"/>
        <v/>
      </c>
      <c r="FI9" s="11" t="str">
        <f t="shared" si="54"/>
        <v/>
      </c>
      <c r="FJ9" s="11">
        <f t="shared" si="55"/>
        <v>44.150000000000006</v>
      </c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36" t="str">
        <f t="shared" si="56"/>
        <v/>
      </c>
      <c r="GF9" s="36" t="str">
        <f t="shared" si="56"/>
        <v/>
      </c>
      <c r="GG9" s="36" t="str">
        <f t="shared" si="57"/>
        <v/>
      </c>
      <c r="GH9" s="36" t="str">
        <f t="shared" si="58"/>
        <v/>
      </c>
      <c r="GI9" s="36" t="str">
        <f t="shared" si="58"/>
        <v/>
      </c>
      <c r="GJ9" s="36" t="str">
        <f t="shared" si="59"/>
        <v/>
      </c>
      <c r="GK9" s="36" t="str">
        <f t="shared" si="60"/>
        <v/>
      </c>
      <c r="GL9" s="36" t="str">
        <f t="shared" si="61"/>
        <v/>
      </c>
      <c r="GM9" s="36" t="str">
        <f t="shared" si="61"/>
        <v/>
      </c>
      <c r="GN9" s="36" t="str">
        <f t="shared" si="62"/>
        <v/>
      </c>
      <c r="GO9" s="36" t="str">
        <f t="shared" si="63"/>
        <v/>
      </c>
      <c r="GP9" s="36" t="str">
        <f t="shared" si="63"/>
        <v/>
      </c>
      <c r="GQ9" s="36" t="str">
        <f t="shared" si="64"/>
        <v/>
      </c>
      <c r="GR9" s="36" t="str">
        <f t="shared" si="65"/>
        <v/>
      </c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1" t="str">
        <f t="shared" si="66"/>
        <v/>
      </c>
      <c r="HN9" s="11" t="str">
        <f t="shared" si="66"/>
        <v/>
      </c>
      <c r="HO9" s="11" t="str">
        <f t="shared" si="67"/>
        <v/>
      </c>
      <c r="HP9" s="11" t="str">
        <f t="shared" si="68"/>
        <v/>
      </c>
      <c r="HQ9" s="11" t="str">
        <f t="shared" si="68"/>
        <v/>
      </c>
      <c r="HR9" s="11" t="str">
        <f t="shared" si="69"/>
        <v/>
      </c>
      <c r="HS9" s="11" t="str">
        <f t="shared" si="70"/>
        <v/>
      </c>
      <c r="HT9" s="11" t="str">
        <f t="shared" si="71"/>
        <v/>
      </c>
      <c r="HU9" s="11" t="str">
        <f t="shared" si="71"/>
        <v/>
      </c>
      <c r="HV9" s="11" t="str">
        <f t="shared" si="72"/>
        <v/>
      </c>
      <c r="HW9" s="11" t="str">
        <f t="shared" si="73"/>
        <v/>
      </c>
      <c r="HX9" s="11" t="str">
        <f t="shared" si="73"/>
        <v/>
      </c>
      <c r="HY9" s="11" t="str">
        <f t="shared" si="74"/>
        <v/>
      </c>
      <c r="HZ9" s="11" t="str">
        <f t="shared" si="75"/>
        <v/>
      </c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36" t="str">
        <f t="shared" si="76"/>
        <v/>
      </c>
      <c r="IV9" s="36" t="str">
        <f t="shared" si="76"/>
        <v/>
      </c>
      <c r="IW9" s="36" t="str">
        <f t="shared" si="77"/>
        <v/>
      </c>
      <c r="IX9" s="36" t="str">
        <f t="shared" si="78"/>
        <v/>
      </c>
      <c r="IY9" s="36" t="str">
        <f t="shared" si="78"/>
        <v/>
      </c>
      <c r="IZ9" s="36" t="str">
        <f t="shared" si="79"/>
        <v/>
      </c>
      <c r="JA9" s="36" t="str">
        <f t="shared" si="80"/>
        <v/>
      </c>
      <c r="JB9" s="36" t="str">
        <f t="shared" si="81"/>
        <v/>
      </c>
      <c r="JC9" s="36" t="str">
        <f t="shared" si="81"/>
        <v/>
      </c>
      <c r="JD9" s="36" t="str">
        <f t="shared" si="82"/>
        <v/>
      </c>
      <c r="JE9" s="36" t="str">
        <f t="shared" si="83"/>
        <v/>
      </c>
      <c r="JF9" s="36" t="str">
        <f t="shared" si="83"/>
        <v/>
      </c>
      <c r="JG9" s="36" t="str">
        <f t="shared" si="84"/>
        <v/>
      </c>
      <c r="JH9" s="36" t="str">
        <f t="shared" si="85"/>
        <v/>
      </c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1" t="str">
        <f t="shared" si="86"/>
        <v/>
      </c>
      <c r="KD9" s="11" t="str">
        <f t="shared" si="86"/>
        <v/>
      </c>
      <c r="KE9" s="11" t="str">
        <f t="shared" si="87"/>
        <v/>
      </c>
      <c r="KF9" s="11" t="str">
        <f t="shared" si="88"/>
        <v/>
      </c>
      <c r="KG9" s="11" t="str">
        <f t="shared" si="88"/>
        <v/>
      </c>
      <c r="KH9" s="11" t="str">
        <f t="shared" si="89"/>
        <v/>
      </c>
      <c r="KI9" s="11" t="str">
        <f t="shared" si="90"/>
        <v/>
      </c>
      <c r="KJ9" s="11" t="str">
        <f t="shared" si="91"/>
        <v/>
      </c>
      <c r="KK9" s="11" t="str">
        <f t="shared" si="91"/>
        <v/>
      </c>
      <c r="KL9" s="11" t="str">
        <f t="shared" si="92"/>
        <v/>
      </c>
      <c r="KM9" s="11" t="str">
        <f t="shared" si="93"/>
        <v/>
      </c>
      <c r="KN9" s="11" t="str">
        <f t="shared" si="93"/>
        <v/>
      </c>
      <c r="KO9" s="11" t="str">
        <f t="shared" si="94"/>
        <v/>
      </c>
      <c r="KP9" s="11" t="str">
        <f t="shared" si="95"/>
        <v/>
      </c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36" t="str">
        <f t="shared" si="96"/>
        <v/>
      </c>
      <c r="LL9" s="36" t="str">
        <f t="shared" si="96"/>
        <v/>
      </c>
      <c r="LM9" s="36" t="str">
        <f t="shared" si="97"/>
        <v/>
      </c>
      <c r="LN9" s="36" t="str">
        <f t="shared" si="98"/>
        <v/>
      </c>
      <c r="LO9" s="36" t="str">
        <f t="shared" si="98"/>
        <v/>
      </c>
      <c r="LP9" s="36" t="str">
        <f t="shared" si="99"/>
        <v/>
      </c>
      <c r="LQ9" s="36" t="str">
        <f t="shared" si="100"/>
        <v/>
      </c>
      <c r="LR9" s="36" t="str">
        <f t="shared" si="101"/>
        <v/>
      </c>
      <c r="LS9" s="36" t="str">
        <f t="shared" si="101"/>
        <v/>
      </c>
      <c r="LT9" s="36" t="str">
        <f t="shared" si="102"/>
        <v/>
      </c>
      <c r="LU9" s="36" t="str">
        <f t="shared" si="103"/>
        <v/>
      </c>
      <c r="LV9" s="36" t="str">
        <f t="shared" si="103"/>
        <v/>
      </c>
      <c r="LW9" s="36" t="str">
        <f t="shared" si="104"/>
        <v/>
      </c>
      <c r="LX9" s="36" t="str">
        <f t="shared" si="105"/>
        <v/>
      </c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16"/>
      <c r="MP9" s="16"/>
      <c r="MQ9" s="16"/>
      <c r="MR9" s="16"/>
      <c r="MS9" s="11" t="str">
        <f t="shared" si="106"/>
        <v/>
      </c>
      <c r="MT9" s="11" t="str">
        <f t="shared" si="106"/>
        <v/>
      </c>
      <c r="MU9" s="11" t="str">
        <f t="shared" si="107"/>
        <v/>
      </c>
      <c r="MV9" s="11" t="str">
        <f t="shared" si="108"/>
        <v/>
      </c>
      <c r="MW9" s="11" t="str">
        <f t="shared" si="108"/>
        <v/>
      </c>
      <c r="MX9" s="11" t="str">
        <f t="shared" si="109"/>
        <v/>
      </c>
      <c r="MY9" s="11" t="str">
        <f t="shared" si="110"/>
        <v/>
      </c>
      <c r="MZ9" s="11" t="str">
        <f t="shared" si="111"/>
        <v/>
      </c>
      <c r="NA9" s="11" t="str">
        <f t="shared" si="111"/>
        <v/>
      </c>
      <c r="NB9" s="11" t="str">
        <f t="shared" si="112"/>
        <v/>
      </c>
      <c r="NC9" s="11" t="str">
        <f t="shared" si="113"/>
        <v/>
      </c>
      <c r="ND9" s="11" t="str">
        <f t="shared" si="113"/>
        <v/>
      </c>
      <c r="NE9" s="11" t="str">
        <f t="shared" si="114"/>
        <v/>
      </c>
      <c r="NF9" s="11" t="str">
        <f t="shared" si="115"/>
        <v/>
      </c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36" t="str">
        <f t="shared" si="116"/>
        <v/>
      </c>
      <c r="OB9" s="36" t="str">
        <f t="shared" si="116"/>
        <v/>
      </c>
      <c r="OC9" s="36" t="str">
        <f t="shared" si="117"/>
        <v/>
      </c>
      <c r="OD9" s="36" t="str">
        <f t="shared" si="118"/>
        <v/>
      </c>
      <c r="OE9" s="36" t="str">
        <f t="shared" si="118"/>
        <v/>
      </c>
      <c r="OF9" s="36" t="str">
        <f t="shared" si="119"/>
        <v/>
      </c>
      <c r="OG9" s="36" t="str">
        <f t="shared" si="120"/>
        <v/>
      </c>
      <c r="OH9" s="36" t="str">
        <f t="shared" si="121"/>
        <v/>
      </c>
      <c r="OI9" s="36" t="str">
        <f t="shared" si="121"/>
        <v/>
      </c>
      <c r="OJ9" s="36" t="str">
        <f t="shared" si="122"/>
        <v/>
      </c>
      <c r="OK9" s="36" t="str">
        <f t="shared" si="123"/>
        <v/>
      </c>
      <c r="OL9" s="36" t="str">
        <f t="shared" si="123"/>
        <v/>
      </c>
      <c r="OM9" s="36" t="str">
        <f t="shared" si="124"/>
        <v/>
      </c>
      <c r="ON9" s="36" t="str">
        <f t="shared" si="125"/>
        <v/>
      </c>
      <c r="OO9" s="16"/>
      <c r="OP9" s="16"/>
      <c r="OQ9" s="16"/>
      <c r="OR9" s="16"/>
      <c r="OS9" s="16"/>
      <c r="OT9" s="16"/>
      <c r="OU9" s="16"/>
      <c r="OV9" s="16"/>
      <c r="OW9" s="16"/>
      <c r="OX9" s="16"/>
      <c r="OY9" s="16"/>
      <c r="OZ9" s="16"/>
      <c r="PA9" s="16"/>
      <c r="PB9" s="16"/>
      <c r="PC9" s="16"/>
      <c r="PD9" s="16"/>
      <c r="PE9" s="16"/>
      <c r="PF9" s="16"/>
      <c r="PG9" s="16"/>
      <c r="PH9" s="16"/>
      <c r="PI9" s="11" t="str">
        <f t="shared" si="126"/>
        <v/>
      </c>
      <c r="PJ9" s="11" t="str">
        <f t="shared" si="126"/>
        <v/>
      </c>
      <c r="PK9" s="11" t="str">
        <f t="shared" si="127"/>
        <v/>
      </c>
      <c r="PL9" s="11" t="str">
        <f t="shared" si="128"/>
        <v/>
      </c>
      <c r="PM9" s="11" t="str">
        <f t="shared" si="128"/>
        <v/>
      </c>
      <c r="PN9" s="11" t="str">
        <f t="shared" si="129"/>
        <v/>
      </c>
      <c r="PO9" s="11" t="str">
        <f t="shared" si="130"/>
        <v/>
      </c>
      <c r="PP9" s="11" t="str">
        <f t="shared" si="131"/>
        <v/>
      </c>
      <c r="PQ9" s="11" t="str">
        <f t="shared" si="131"/>
        <v/>
      </c>
      <c r="PR9" s="11" t="str">
        <f t="shared" si="132"/>
        <v/>
      </c>
      <c r="PS9" s="11" t="str">
        <f t="shared" si="133"/>
        <v/>
      </c>
      <c r="PT9" s="11" t="str">
        <f t="shared" si="133"/>
        <v/>
      </c>
      <c r="PU9" s="11" t="str">
        <f t="shared" si="134"/>
        <v/>
      </c>
      <c r="PV9" s="11" t="str">
        <f t="shared" si="135"/>
        <v/>
      </c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36" t="str">
        <f t="shared" si="136"/>
        <v/>
      </c>
      <c r="QR9" s="36" t="str">
        <f t="shared" si="136"/>
        <v/>
      </c>
      <c r="QS9" s="36" t="str">
        <f t="shared" si="137"/>
        <v/>
      </c>
      <c r="QT9" s="36" t="str">
        <f t="shared" si="138"/>
        <v/>
      </c>
      <c r="QU9" s="36" t="str">
        <f t="shared" si="138"/>
        <v/>
      </c>
      <c r="QV9" s="36" t="str">
        <f t="shared" si="139"/>
        <v/>
      </c>
      <c r="QW9" s="36" t="str">
        <f t="shared" si="140"/>
        <v/>
      </c>
      <c r="QX9" s="36" t="str">
        <f t="shared" si="141"/>
        <v/>
      </c>
      <c r="QY9" s="36" t="str">
        <f t="shared" si="141"/>
        <v/>
      </c>
      <c r="QZ9" s="36" t="str">
        <f t="shared" si="142"/>
        <v/>
      </c>
      <c r="RA9" s="36" t="str">
        <f t="shared" si="143"/>
        <v/>
      </c>
      <c r="RB9" s="36" t="str">
        <f t="shared" si="143"/>
        <v/>
      </c>
      <c r="RC9" s="36" t="str">
        <f t="shared" si="144"/>
        <v/>
      </c>
      <c r="RD9" s="36" t="str">
        <f t="shared" si="145"/>
        <v/>
      </c>
      <c r="RE9" s="16"/>
      <c r="RF9" s="16"/>
      <c r="RG9" s="16"/>
      <c r="RH9" s="16"/>
      <c r="RI9" s="16"/>
      <c r="RJ9" s="16"/>
      <c r="RK9" s="16"/>
      <c r="RL9" s="16"/>
      <c r="RM9" s="16"/>
      <c r="RN9" s="16"/>
      <c r="RO9" s="16"/>
      <c r="RP9" s="16"/>
      <c r="RQ9" s="16"/>
      <c r="RR9" s="16"/>
      <c r="RS9" s="16"/>
      <c r="RT9" s="16"/>
      <c r="RU9" s="16"/>
      <c r="RV9" s="16"/>
      <c r="RW9" s="16"/>
      <c r="RX9" s="16"/>
      <c r="RY9" s="11" t="str">
        <f t="shared" si="146"/>
        <v/>
      </c>
      <c r="RZ9" s="11" t="str">
        <f t="shared" si="146"/>
        <v/>
      </c>
      <c r="SA9" s="11" t="str">
        <f t="shared" si="147"/>
        <v/>
      </c>
      <c r="SB9" s="11" t="str">
        <f t="shared" si="148"/>
        <v/>
      </c>
      <c r="SC9" s="11" t="str">
        <f t="shared" si="148"/>
        <v/>
      </c>
      <c r="SD9" s="11" t="str">
        <f t="shared" si="149"/>
        <v/>
      </c>
      <c r="SE9" s="11" t="str">
        <f t="shared" si="150"/>
        <v/>
      </c>
      <c r="SF9" s="11" t="str">
        <f t="shared" si="151"/>
        <v/>
      </c>
      <c r="SG9" s="11" t="str">
        <f t="shared" si="151"/>
        <v/>
      </c>
      <c r="SH9" s="11" t="str">
        <f t="shared" si="152"/>
        <v/>
      </c>
      <c r="SI9" s="11" t="str">
        <f t="shared" si="153"/>
        <v/>
      </c>
      <c r="SJ9" s="11" t="str">
        <f t="shared" si="153"/>
        <v/>
      </c>
      <c r="SK9" s="11" t="str">
        <f t="shared" si="154"/>
        <v/>
      </c>
      <c r="SL9" s="11" t="str">
        <f t="shared" si="155"/>
        <v/>
      </c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36" t="str">
        <f t="shared" si="156"/>
        <v/>
      </c>
      <c r="TH9" s="36" t="str">
        <f t="shared" si="156"/>
        <v/>
      </c>
      <c r="TI9" s="36" t="str">
        <f t="shared" si="157"/>
        <v/>
      </c>
      <c r="TJ9" s="36" t="str">
        <f t="shared" si="158"/>
        <v/>
      </c>
      <c r="TK9" s="36" t="str">
        <f t="shared" si="158"/>
        <v/>
      </c>
      <c r="TL9" s="36" t="str">
        <f t="shared" si="159"/>
        <v/>
      </c>
      <c r="TM9" s="36" t="str">
        <f t="shared" si="160"/>
        <v/>
      </c>
      <c r="TN9" s="36" t="str">
        <f t="shared" si="161"/>
        <v/>
      </c>
      <c r="TO9" s="36" t="str">
        <f t="shared" si="161"/>
        <v/>
      </c>
      <c r="TP9" s="36" t="str">
        <f t="shared" si="162"/>
        <v/>
      </c>
      <c r="TQ9" s="36" t="str">
        <f t="shared" si="163"/>
        <v/>
      </c>
      <c r="TR9" s="36" t="str">
        <f t="shared" si="163"/>
        <v/>
      </c>
      <c r="TS9" s="36" t="str">
        <f t="shared" si="164"/>
        <v/>
      </c>
      <c r="TT9" s="36" t="str">
        <f t="shared" si="165"/>
        <v/>
      </c>
      <c r="TU9" s="16"/>
      <c r="TV9" s="16"/>
      <c r="TW9" s="16"/>
      <c r="TX9" s="16"/>
      <c r="TY9" s="16"/>
      <c r="TZ9" s="16"/>
      <c r="UA9" s="16"/>
      <c r="UB9" s="16"/>
      <c r="UC9" s="16"/>
      <c r="UD9" s="16"/>
      <c r="UE9" s="16"/>
      <c r="UF9" s="16"/>
      <c r="UG9" s="16"/>
      <c r="UH9" s="16"/>
      <c r="UI9" s="16"/>
      <c r="UJ9" s="16"/>
      <c r="UK9" s="16"/>
      <c r="UL9" s="16"/>
      <c r="UM9" s="16"/>
      <c r="UN9" s="16"/>
      <c r="UO9" s="11" t="str">
        <f t="shared" si="166"/>
        <v/>
      </c>
      <c r="UP9" s="11" t="str">
        <f t="shared" si="166"/>
        <v/>
      </c>
      <c r="UQ9" s="11" t="str">
        <f t="shared" si="167"/>
        <v/>
      </c>
      <c r="UR9" s="11" t="str">
        <f t="shared" si="168"/>
        <v/>
      </c>
      <c r="US9" s="11" t="str">
        <f t="shared" si="168"/>
        <v/>
      </c>
      <c r="UT9" s="11" t="str">
        <f t="shared" si="169"/>
        <v/>
      </c>
      <c r="UU9" s="11" t="str">
        <f t="shared" si="170"/>
        <v/>
      </c>
      <c r="UV9" s="11" t="str">
        <f t="shared" si="171"/>
        <v/>
      </c>
      <c r="UW9" s="11" t="str">
        <f t="shared" si="171"/>
        <v/>
      </c>
      <c r="UX9" s="11" t="str">
        <f t="shared" si="172"/>
        <v/>
      </c>
      <c r="UY9" s="11" t="str">
        <f t="shared" si="173"/>
        <v/>
      </c>
      <c r="UZ9" s="11" t="str">
        <f t="shared" si="173"/>
        <v/>
      </c>
      <c r="VA9" s="11" t="str">
        <f t="shared" si="174"/>
        <v/>
      </c>
      <c r="VB9" s="11" t="str">
        <f t="shared" si="175"/>
        <v/>
      </c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36" t="str">
        <f t="shared" si="176"/>
        <v/>
      </c>
      <c r="VX9" s="36" t="str">
        <f t="shared" si="176"/>
        <v/>
      </c>
      <c r="VY9" s="36" t="str">
        <f t="shared" si="177"/>
        <v/>
      </c>
      <c r="VZ9" s="36" t="str">
        <f t="shared" si="178"/>
        <v/>
      </c>
      <c r="WA9" s="36" t="str">
        <f t="shared" si="178"/>
        <v/>
      </c>
      <c r="WB9" s="36" t="str">
        <f t="shared" si="179"/>
        <v/>
      </c>
      <c r="WC9" s="36" t="str">
        <f t="shared" si="180"/>
        <v/>
      </c>
      <c r="WD9" s="36" t="str">
        <f t="shared" si="181"/>
        <v/>
      </c>
      <c r="WE9" s="36" t="str">
        <f t="shared" si="181"/>
        <v/>
      </c>
      <c r="WF9" s="36" t="str">
        <f t="shared" si="182"/>
        <v/>
      </c>
      <c r="WG9" s="36" t="str">
        <f t="shared" si="183"/>
        <v/>
      </c>
      <c r="WH9" s="36" t="str">
        <f t="shared" si="183"/>
        <v/>
      </c>
      <c r="WI9" s="36" t="str">
        <f t="shared" si="184"/>
        <v/>
      </c>
      <c r="WJ9" s="36" t="str">
        <f t="shared" si="185"/>
        <v/>
      </c>
    </row>
    <row r="10" spans="1:608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240</v>
      </c>
      <c r="C10" s="4" t="s">
        <v>7</v>
      </c>
      <c r="D10" s="4" t="s">
        <v>241</v>
      </c>
      <c r="E10" s="9">
        <f t="shared" si="0"/>
        <v>91.030009103004673</v>
      </c>
      <c r="F10" s="3" t="str">
        <f t="shared" si="1"/>
        <v/>
      </c>
      <c r="G10" s="3" t="str">
        <f t="shared" si="2"/>
        <v/>
      </c>
      <c r="H10" s="32" t="str">
        <f t="shared" si="3"/>
        <v/>
      </c>
      <c r="I10" s="3" t="str">
        <f t="shared" si="4"/>
        <v/>
      </c>
      <c r="J10" s="8">
        <f t="shared" si="5"/>
        <v>46.78</v>
      </c>
      <c r="K10" s="8" t="str">
        <f t="shared" si="6"/>
        <v>2026 Elite Canada</v>
      </c>
      <c r="L10" s="8">
        <f>IFERROR(LARGE((AI10,AL10,AP10,BJ10,BM10,BQ10,CK10,CN10,CR10),2),0)</f>
        <v>44.25</v>
      </c>
      <c r="M10" s="8" t="str">
        <f t="shared" si="7"/>
        <v>2026 Elite Canada</v>
      </c>
      <c r="N10" s="8">
        <f t="shared" si="8"/>
        <v>0</v>
      </c>
      <c r="O10" s="11" t="str">
        <f t="shared" si="9"/>
        <v/>
      </c>
      <c r="P10" s="8" t="str">
        <f t="shared" si="10"/>
        <v/>
      </c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23"/>
      <c r="AG10" s="34" t="str">
        <f t="shared" si="11"/>
        <v/>
      </c>
      <c r="AH10" s="34" t="str">
        <f t="shared" si="11"/>
        <v/>
      </c>
      <c r="AI10" s="36" t="str">
        <f t="shared" si="12"/>
        <v/>
      </c>
      <c r="AJ10" s="36" t="str">
        <f t="shared" si="13"/>
        <v/>
      </c>
      <c r="AK10" s="36" t="str">
        <f t="shared" si="13"/>
        <v/>
      </c>
      <c r="AL10" s="36" t="str">
        <f t="shared" si="14"/>
        <v/>
      </c>
      <c r="AM10" s="36" t="str">
        <f t="shared" si="15"/>
        <v/>
      </c>
      <c r="AN10" s="36" t="str">
        <f t="shared" si="16"/>
        <v/>
      </c>
      <c r="AO10" s="36" t="str">
        <f t="shared" si="16"/>
        <v/>
      </c>
      <c r="AP10" s="36" t="str">
        <f t="shared" si="17"/>
        <v/>
      </c>
      <c r="AQ10" s="36" t="str">
        <f t="shared" si="18"/>
        <v/>
      </c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4"/>
      <c r="BH10" s="35" t="str">
        <f t="shared" si="19"/>
        <v/>
      </c>
      <c r="BI10" s="35" t="str">
        <f t="shared" si="19"/>
        <v/>
      </c>
      <c r="BJ10" s="11" t="str">
        <f t="shared" si="20"/>
        <v/>
      </c>
      <c r="BK10" s="11" t="str">
        <f t="shared" si="21"/>
        <v/>
      </c>
      <c r="BL10" s="11" t="str">
        <f t="shared" si="21"/>
        <v/>
      </c>
      <c r="BM10" s="11" t="str">
        <f t="shared" si="22"/>
        <v/>
      </c>
      <c r="BN10" s="11" t="str">
        <f t="shared" si="23"/>
        <v/>
      </c>
      <c r="BO10" s="11" t="str">
        <f t="shared" si="24"/>
        <v/>
      </c>
      <c r="BP10" s="11" t="str">
        <f t="shared" si="24"/>
        <v/>
      </c>
      <c r="BQ10" s="11" t="str">
        <f t="shared" si="25"/>
        <v/>
      </c>
      <c r="BR10" s="11" t="str">
        <f t="shared" si="26"/>
        <v/>
      </c>
      <c r="BS10" s="18">
        <v>8.1</v>
      </c>
      <c r="BT10" s="18">
        <v>9.3000000000000007</v>
      </c>
      <c r="BU10" s="18">
        <v>11.1</v>
      </c>
      <c r="BV10" s="18">
        <v>18.28</v>
      </c>
      <c r="BW10" s="18">
        <v>0</v>
      </c>
      <c r="BX10" s="18">
        <v>7.53</v>
      </c>
      <c r="BY10" s="18">
        <v>8.25</v>
      </c>
      <c r="BZ10" s="18">
        <v>0</v>
      </c>
      <c r="CA10" s="18">
        <v>12</v>
      </c>
      <c r="CB10" s="18">
        <v>0</v>
      </c>
      <c r="CC10" s="18">
        <v>7.93</v>
      </c>
      <c r="CD10" s="18">
        <v>9.5</v>
      </c>
      <c r="CE10" s="18">
        <v>11.1</v>
      </c>
      <c r="CF10" s="18">
        <v>15.72</v>
      </c>
      <c r="CG10" s="18">
        <v>0</v>
      </c>
      <c r="CH10" s="23"/>
      <c r="CI10" s="34">
        <f t="shared" si="27"/>
        <v>11.1</v>
      </c>
      <c r="CJ10" s="34">
        <f t="shared" si="27"/>
        <v>18.28</v>
      </c>
      <c r="CK10" s="36">
        <f t="shared" si="28"/>
        <v>46.78</v>
      </c>
      <c r="CL10" s="36" t="str">
        <f t="shared" si="29"/>
        <v/>
      </c>
      <c r="CM10" s="36">
        <f t="shared" si="29"/>
        <v>12</v>
      </c>
      <c r="CN10" s="36">
        <f t="shared" si="30"/>
        <v>27.78</v>
      </c>
      <c r="CO10" s="36">
        <f t="shared" si="31"/>
        <v>46.78</v>
      </c>
      <c r="CP10" s="36">
        <f t="shared" si="32"/>
        <v>11.1</v>
      </c>
      <c r="CQ10" s="36">
        <f t="shared" si="32"/>
        <v>15.72</v>
      </c>
      <c r="CR10" s="36">
        <f t="shared" si="33"/>
        <v>44.25</v>
      </c>
      <c r="CS10" s="36">
        <f t="shared" si="34"/>
        <v>91.03</v>
      </c>
      <c r="CT10" s="47" t="str">
        <f t="shared" si="35"/>
        <v/>
      </c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36" t="str">
        <f t="shared" si="36"/>
        <v/>
      </c>
      <c r="DP10" s="36" t="str">
        <f t="shared" si="36"/>
        <v/>
      </c>
      <c r="DQ10" s="36" t="str">
        <f t="shared" si="37"/>
        <v/>
      </c>
      <c r="DR10" s="36" t="str">
        <f t="shared" si="38"/>
        <v/>
      </c>
      <c r="DS10" s="36" t="str">
        <f t="shared" si="38"/>
        <v/>
      </c>
      <c r="DT10" s="36" t="str">
        <f t="shared" si="39"/>
        <v/>
      </c>
      <c r="DU10" s="36" t="str">
        <f t="shared" si="40"/>
        <v/>
      </c>
      <c r="DV10" s="36" t="str">
        <f t="shared" si="41"/>
        <v/>
      </c>
      <c r="DW10" s="36" t="str">
        <f t="shared" si="41"/>
        <v/>
      </c>
      <c r="DX10" s="36" t="str">
        <f t="shared" si="42"/>
        <v/>
      </c>
      <c r="DY10" s="36" t="str">
        <f t="shared" si="43"/>
        <v/>
      </c>
      <c r="DZ10" s="36" t="str">
        <f t="shared" si="43"/>
        <v/>
      </c>
      <c r="EA10" s="36" t="str">
        <f t="shared" si="44"/>
        <v/>
      </c>
      <c r="EB10" s="36" t="str">
        <f t="shared" si="45"/>
        <v/>
      </c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1" t="str">
        <f t="shared" si="46"/>
        <v/>
      </c>
      <c r="EX10" s="11" t="str">
        <f t="shared" si="46"/>
        <v/>
      </c>
      <c r="EY10" s="11" t="str">
        <f t="shared" si="47"/>
        <v/>
      </c>
      <c r="EZ10" s="11" t="str">
        <f t="shared" si="48"/>
        <v/>
      </c>
      <c r="FA10" s="11" t="str">
        <f t="shared" si="48"/>
        <v/>
      </c>
      <c r="FB10" s="11" t="str">
        <f t="shared" si="49"/>
        <v/>
      </c>
      <c r="FC10" s="11" t="str">
        <f t="shared" si="50"/>
        <v/>
      </c>
      <c r="FD10" s="11" t="str">
        <f t="shared" si="51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36" t="str">
        <f t="shared" si="56"/>
        <v/>
      </c>
      <c r="GF10" s="36" t="str">
        <f t="shared" si="56"/>
        <v/>
      </c>
      <c r="GG10" s="36" t="str">
        <f t="shared" si="57"/>
        <v/>
      </c>
      <c r="GH10" s="36" t="str">
        <f t="shared" si="58"/>
        <v/>
      </c>
      <c r="GI10" s="36" t="str">
        <f t="shared" si="58"/>
        <v/>
      </c>
      <c r="GJ10" s="36" t="str">
        <f t="shared" si="59"/>
        <v/>
      </c>
      <c r="GK10" s="36" t="str">
        <f t="shared" si="60"/>
        <v/>
      </c>
      <c r="GL10" s="36" t="str">
        <f t="shared" si="61"/>
        <v/>
      </c>
      <c r="GM10" s="36" t="str">
        <f t="shared" si="61"/>
        <v/>
      </c>
      <c r="GN10" s="36" t="str">
        <f t="shared" si="62"/>
        <v/>
      </c>
      <c r="GO10" s="36" t="str">
        <f t="shared" si="63"/>
        <v/>
      </c>
      <c r="GP10" s="36" t="str">
        <f t="shared" si="63"/>
        <v/>
      </c>
      <c r="GQ10" s="36" t="str">
        <f t="shared" si="64"/>
        <v/>
      </c>
      <c r="GR10" s="36" t="str">
        <f t="shared" si="65"/>
        <v/>
      </c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1" t="str">
        <f t="shared" si="66"/>
        <v/>
      </c>
      <c r="HN10" s="11" t="str">
        <f t="shared" si="66"/>
        <v/>
      </c>
      <c r="HO10" s="11" t="str">
        <f t="shared" si="67"/>
        <v/>
      </c>
      <c r="HP10" s="11" t="str">
        <f t="shared" si="68"/>
        <v/>
      </c>
      <c r="HQ10" s="11" t="str">
        <f t="shared" si="68"/>
        <v/>
      </c>
      <c r="HR10" s="11" t="str">
        <f t="shared" si="69"/>
        <v/>
      </c>
      <c r="HS10" s="11" t="str">
        <f t="shared" si="70"/>
        <v/>
      </c>
      <c r="HT10" s="11" t="str">
        <f t="shared" si="71"/>
        <v/>
      </c>
      <c r="HU10" s="11" t="str">
        <f t="shared" si="71"/>
        <v/>
      </c>
      <c r="HV10" s="11" t="str">
        <f t="shared" si="72"/>
        <v/>
      </c>
      <c r="HW10" s="11" t="str">
        <f t="shared" si="73"/>
        <v/>
      </c>
      <c r="HX10" s="11" t="str">
        <f t="shared" si="73"/>
        <v/>
      </c>
      <c r="HY10" s="11" t="str">
        <f t="shared" si="74"/>
        <v/>
      </c>
      <c r="HZ10" s="11" t="str">
        <f t="shared" si="75"/>
        <v/>
      </c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36" t="str">
        <f t="shared" si="76"/>
        <v/>
      </c>
      <c r="IV10" s="36" t="str">
        <f t="shared" si="76"/>
        <v/>
      </c>
      <c r="IW10" s="36" t="str">
        <f t="shared" si="77"/>
        <v/>
      </c>
      <c r="IX10" s="36" t="str">
        <f t="shared" si="78"/>
        <v/>
      </c>
      <c r="IY10" s="36" t="str">
        <f t="shared" si="78"/>
        <v/>
      </c>
      <c r="IZ10" s="36" t="str">
        <f t="shared" si="79"/>
        <v/>
      </c>
      <c r="JA10" s="36" t="str">
        <f t="shared" si="80"/>
        <v/>
      </c>
      <c r="JB10" s="36" t="str">
        <f t="shared" si="81"/>
        <v/>
      </c>
      <c r="JC10" s="36" t="str">
        <f t="shared" si="81"/>
        <v/>
      </c>
      <c r="JD10" s="36" t="str">
        <f t="shared" si="82"/>
        <v/>
      </c>
      <c r="JE10" s="36" t="str">
        <f t="shared" si="83"/>
        <v/>
      </c>
      <c r="JF10" s="36" t="str">
        <f t="shared" si="83"/>
        <v/>
      </c>
      <c r="JG10" s="36" t="str">
        <f t="shared" si="84"/>
        <v/>
      </c>
      <c r="JH10" s="36" t="str">
        <f t="shared" si="85"/>
        <v/>
      </c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1" t="str">
        <f t="shared" si="86"/>
        <v/>
      </c>
      <c r="KD10" s="11" t="str">
        <f t="shared" si="86"/>
        <v/>
      </c>
      <c r="KE10" s="11" t="str">
        <f t="shared" si="87"/>
        <v/>
      </c>
      <c r="KF10" s="11" t="str">
        <f t="shared" si="88"/>
        <v/>
      </c>
      <c r="KG10" s="11" t="str">
        <f t="shared" si="88"/>
        <v/>
      </c>
      <c r="KH10" s="11" t="str">
        <f t="shared" si="89"/>
        <v/>
      </c>
      <c r="KI10" s="11" t="str">
        <f t="shared" si="90"/>
        <v/>
      </c>
      <c r="KJ10" s="11" t="str">
        <f t="shared" si="91"/>
        <v/>
      </c>
      <c r="KK10" s="11" t="str">
        <f t="shared" si="91"/>
        <v/>
      </c>
      <c r="KL10" s="11" t="str">
        <f t="shared" si="92"/>
        <v/>
      </c>
      <c r="KM10" s="11" t="str">
        <f t="shared" si="93"/>
        <v/>
      </c>
      <c r="KN10" s="11" t="str">
        <f t="shared" si="93"/>
        <v/>
      </c>
      <c r="KO10" s="11" t="str">
        <f t="shared" si="94"/>
        <v/>
      </c>
      <c r="KP10" s="11" t="str">
        <f t="shared" si="95"/>
        <v/>
      </c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36" t="str">
        <f t="shared" si="96"/>
        <v/>
      </c>
      <c r="LL10" s="36" t="str">
        <f t="shared" si="96"/>
        <v/>
      </c>
      <c r="LM10" s="36" t="str">
        <f t="shared" si="97"/>
        <v/>
      </c>
      <c r="LN10" s="36" t="str">
        <f t="shared" si="98"/>
        <v/>
      </c>
      <c r="LO10" s="36" t="str">
        <f t="shared" si="98"/>
        <v/>
      </c>
      <c r="LP10" s="36" t="str">
        <f t="shared" si="99"/>
        <v/>
      </c>
      <c r="LQ10" s="36" t="str">
        <f t="shared" si="100"/>
        <v/>
      </c>
      <c r="LR10" s="36" t="str">
        <f t="shared" si="101"/>
        <v/>
      </c>
      <c r="LS10" s="36" t="str">
        <f t="shared" si="101"/>
        <v/>
      </c>
      <c r="LT10" s="36" t="str">
        <f t="shared" si="102"/>
        <v/>
      </c>
      <c r="LU10" s="36" t="str">
        <f t="shared" si="103"/>
        <v/>
      </c>
      <c r="LV10" s="36" t="str">
        <f t="shared" si="103"/>
        <v/>
      </c>
      <c r="LW10" s="36" t="str">
        <f t="shared" si="104"/>
        <v/>
      </c>
      <c r="LX10" s="36" t="str">
        <f t="shared" si="105"/>
        <v/>
      </c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1" t="str">
        <f t="shared" si="106"/>
        <v/>
      </c>
      <c r="MT10" s="11" t="str">
        <f t="shared" si="106"/>
        <v/>
      </c>
      <c r="MU10" s="11" t="str">
        <f t="shared" si="107"/>
        <v/>
      </c>
      <c r="MV10" s="11" t="str">
        <f t="shared" si="108"/>
        <v/>
      </c>
      <c r="MW10" s="11" t="str">
        <f t="shared" si="108"/>
        <v/>
      </c>
      <c r="MX10" s="11" t="str">
        <f t="shared" si="109"/>
        <v/>
      </c>
      <c r="MY10" s="11" t="str">
        <f t="shared" si="110"/>
        <v/>
      </c>
      <c r="MZ10" s="11" t="str">
        <f t="shared" si="111"/>
        <v/>
      </c>
      <c r="NA10" s="11" t="str">
        <f t="shared" si="111"/>
        <v/>
      </c>
      <c r="NB10" s="11" t="str">
        <f t="shared" si="112"/>
        <v/>
      </c>
      <c r="NC10" s="11" t="str">
        <f t="shared" si="113"/>
        <v/>
      </c>
      <c r="ND10" s="11" t="str">
        <f t="shared" si="113"/>
        <v/>
      </c>
      <c r="NE10" s="11" t="str">
        <f t="shared" si="114"/>
        <v/>
      </c>
      <c r="NF10" s="11" t="str">
        <f t="shared" si="115"/>
        <v/>
      </c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36" t="str">
        <f t="shared" si="116"/>
        <v/>
      </c>
      <c r="OB10" s="36" t="str">
        <f t="shared" si="116"/>
        <v/>
      </c>
      <c r="OC10" s="36" t="str">
        <f t="shared" si="117"/>
        <v/>
      </c>
      <c r="OD10" s="36" t="str">
        <f t="shared" si="118"/>
        <v/>
      </c>
      <c r="OE10" s="36" t="str">
        <f t="shared" si="118"/>
        <v/>
      </c>
      <c r="OF10" s="36" t="str">
        <f t="shared" si="119"/>
        <v/>
      </c>
      <c r="OG10" s="36" t="str">
        <f t="shared" si="120"/>
        <v/>
      </c>
      <c r="OH10" s="36" t="str">
        <f t="shared" si="121"/>
        <v/>
      </c>
      <c r="OI10" s="36" t="str">
        <f t="shared" si="121"/>
        <v/>
      </c>
      <c r="OJ10" s="36" t="str">
        <f t="shared" si="122"/>
        <v/>
      </c>
      <c r="OK10" s="36" t="str">
        <f t="shared" si="123"/>
        <v/>
      </c>
      <c r="OL10" s="36" t="str">
        <f t="shared" si="123"/>
        <v/>
      </c>
      <c r="OM10" s="36" t="str">
        <f t="shared" si="124"/>
        <v/>
      </c>
      <c r="ON10" s="36" t="str">
        <f t="shared" si="125"/>
        <v/>
      </c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1" t="str">
        <f t="shared" si="126"/>
        <v/>
      </c>
      <c r="PJ10" s="11" t="str">
        <f t="shared" si="126"/>
        <v/>
      </c>
      <c r="PK10" s="11" t="str">
        <f t="shared" si="127"/>
        <v/>
      </c>
      <c r="PL10" s="11" t="str">
        <f t="shared" si="128"/>
        <v/>
      </c>
      <c r="PM10" s="11" t="str">
        <f t="shared" si="128"/>
        <v/>
      </c>
      <c r="PN10" s="11" t="str">
        <f t="shared" si="129"/>
        <v/>
      </c>
      <c r="PO10" s="11" t="str">
        <f t="shared" si="130"/>
        <v/>
      </c>
      <c r="PP10" s="11" t="str">
        <f t="shared" si="131"/>
        <v/>
      </c>
      <c r="PQ10" s="11" t="str">
        <f t="shared" si="131"/>
        <v/>
      </c>
      <c r="PR10" s="11" t="str">
        <f t="shared" si="132"/>
        <v/>
      </c>
      <c r="PS10" s="11" t="str">
        <f t="shared" si="133"/>
        <v/>
      </c>
      <c r="PT10" s="11" t="str">
        <f t="shared" si="133"/>
        <v/>
      </c>
      <c r="PU10" s="11" t="str">
        <f t="shared" si="134"/>
        <v/>
      </c>
      <c r="PV10" s="11" t="str">
        <f t="shared" si="135"/>
        <v/>
      </c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36" t="str">
        <f t="shared" si="136"/>
        <v/>
      </c>
      <c r="QR10" s="36" t="str">
        <f t="shared" si="136"/>
        <v/>
      </c>
      <c r="QS10" s="36" t="str">
        <f t="shared" si="137"/>
        <v/>
      </c>
      <c r="QT10" s="36" t="str">
        <f t="shared" si="138"/>
        <v/>
      </c>
      <c r="QU10" s="36" t="str">
        <f t="shared" si="138"/>
        <v/>
      </c>
      <c r="QV10" s="36" t="str">
        <f t="shared" si="139"/>
        <v/>
      </c>
      <c r="QW10" s="36" t="str">
        <f t="shared" si="140"/>
        <v/>
      </c>
      <c r="QX10" s="36" t="str">
        <f t="shared" si="141"/>
        <v/>
      </c>
      <c r="QY10" s="36" t="str">
        <f t="shared" si="141"/>
        <v/>
      </c>
      <c r="QZ10" s="36" t="str">
        <f t="shared" si="142"/>
        <v/>
      </c>
      <c r="RA10" s="36" t="str">
        <f t="shared" si="143"/>
        <v/>
      </c>
      <c r="RB10" s="36" t="str">
        <f t="shared" si="143"/>
        <v/>
      </c>
      <c r="RC10" s="36" t="str">
        <f t="shared" si="144"/>
        <v/>
      </c>
      <c r="RD10" s="36" t="str">
        <f t="shared" si="145"/>
        <v/>
      </c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1" t="str">
        <f t="shared" si="146"/>
        <v/>
      </c>
      <c r="RZ10" s="11" t="str">
        <f t="shared" si="146"/>
        <v/>
      </c>
      <c r="SA10" s="11" t="str">
        <f t="shared" si="147"/>
        <v/>
      </c>
      <c r="SB10" s="11" t="str">
        <f t="shared" si="148"/>
        <v/>
      </c>
      <c r="SC10" s="11" t="str">
        <f t="shared" si="148"/>
        <v/>
      </c>
      <c r="SD10" s="11" t="str">
        <f t="shared" si="149"/>
        <v/>
      </c>
      <c r="SE10" s="11" t="str">
        <f t="shared" si="150"/>
        <v/>
      </c>
      <c r="SF10" s="11" t="str">
        <f t="shared" si="151"/>
        <v/>
      </c>
      <c r="SG10" s="11" t="str">
        <f t="shared" si="151"/>
        <v/>
      </c>
      <c r="SH10" s="11" t="str">
        <f t="shared" si="152"/>
        <v/>
      </c>
      <c r="SI10" s="11" t="str">
        <f t="shared" si="153"/>
        <v/>
      </c>
      <c r="SJ10" s="11" t="str">
        <f t="shared" si="153"/>
        <v/>
      </c>
      <c r="SK10" s="11" t="str">
        <f t="shared" si="154"/>
        <v/>
      </c>
      <c r="SL10" s="11" t="str">
        <f t="shared" si="155"/>
        <v/>
      </c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36" t="str">
        <f t="shared" si="156"/>
        <v/>
      </c>
      <c r="TH10" s="36" t="str">
        <f t="shared" si="156"/>
        <v/>
      </c>
      <c r="TI10" s="36" t="str">
        <f t="shared" si="157"/>
        <v/>
      </c>
      <c r="TJ10" s="36" t="str">
        <f t="shared" si="158"/>
        <v/>
      </c>
      <c r="TK10" s="36" t="str">
        <f t="shared" si="158"/>
        <v/>
      </c>
      <c r="TL10" s="36" t="str">
        <f t="shared" si="159"/>
        <v/>
      </c>
      <c r="TM10" s="36" t="str">
        <f t="shared" si="160"/>
        <v/>
      </c>
      <c r="TN10" s="36" t="str">
        <f t="shared" si="161"/>
        <v/>
      </c>
      <c r="TO10" s="36" t="str">
        <f t="shared" si="161"/>
        <v/>
      </c>
      <c r="TP10" s="36" t="str">
        <f t="shared" si="162"/>
        <v/>
      </c>
      <c r="TQ10" s="36" t="str">
        <f t="shared" si="163"/>
        <v/>
      </c>
      <c r="TR10" s="36" t="str">
        <f t="shared" si="163"/>
        <v/>
      </c>
      <c r="TS10" s="36" t="str">
        <f t="shared" si="164"/>
        <v/>
      </c>
      <c r="TT10" s="36" t="str">
        <f t="shared" si="165"/>
        <v/>
      </c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1" t="str">
        <f t="shared" si="166"/>
        <v/>
      </c>
      <c r="UP10" s="11" t="str">
        <f t="shared" si="166"/>
        <v/>
      </c>
      <c r="UQ10" s="11" t="str">
        <f t="shared" si="167"/>
        <v/>
      </c>
      <c r="UR10" s="11" t="str">
        <f t="shared" si="168"/>
        <v/>
      </c>
      <c r="US10" s="11" t="str">
        <f t="shared" si="168"/>
        <v/>
      </c>
      <c r="UT10" s="11" t="str">
        <f t="shared" si="169"/>
        <v/>
      </c>
      <c r="UU10" s="11" t="str">
        <f t="shared" si="170"/>
        <v/>
      </c>
      <c r="UV10" s="11" t="str">
        <f t="shared" si="171"/>
        <v/>
      </c>
      <c r="UW10" s="11" t="str">
        <f t="shared" si="171"/>
        <v/>
      </c>
      <c r="UX10" s="11" t="str">
        <f t="shared" si="172"/>
        <v/>
      </c>
      <c r="UY10" s="11" t="str">
        <f t="shared" si="173"/>
        <v/>
      </c>
      <c r="UZ10" s="11" t="str">
        <f t="shared" si="173"/>
        <v/>
      </c>
      <c r="VA10" s="11" t="str">
        <f t="shared" si="174"/>
        <v/>
      </c>
      <c r="VB10" s="11" t="str">
        <f t="shared" si="175"/>
        <v/>
      </c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36" t="str">
        <f t="shared" si="176"/>
        <v/>
      </c>
      <c r="VX10" s="36" t="str">
        <f t="shared" si="176"/>
        <v/>
      </c>
      <c r="VY10" s="36" t="str">
        <f t="shared" si="177"/>
        <v/>
      </c>
      <c r="VZ10" s="36" t="str">
        <f t="shared" si="178"/>
        <v/>
      </c>
      <c r="WA10" s="36" t="str">
        <f t="shared" si="178"/>
        <v/>
      </c>
      <c r="WB10" s="36" t="str">
        <f t="shared" si="179"/>
        <v/>
      </c>
      <c r="WC10" s="36" t="str">
        <f t="shared" si="180"/>
        <v/>
      </c>
      <c r="WD10" s="36" t="str">
        <f t="shared" si="181"/>
        <v/>
      </c>
      <c r="WE10" s="36" t="str">
        <f t="shared" si="181"/>
        <v/>
      </c>
      <c r="WF10" s="36" t="str">
        <f t="shared" si="182"/>
        <v/>
      </c>
      <c r="WG10" s="36" t="str">
        <f t="shared" si="183"/>
        <v/>
      </c>
      <c r="WH10" s="36" t="str">
        <f t="shared" si="183"/>
        <v/>
      </c>
      <c r="WI10" s="36" t="str">
        <f t="shared" si="184"/>
        <v/>
      </c>
      <c r="WJ10" s="36" t="str">
        <f t="shared" si="185"/>
        <v/>
      </c>
    </row>
    <row r="11" spans="1:608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242</v>
      </c>
      <c r="C11" s="4" t="s">
        <v>77</v>
      </c>
      <c r="D11" s="4">
        <v>2004</v>
      </c>
      <c r="E11" s="9">
        <f t="shared" si="0"/>
        <v>89.820008982004524</v>
      </c>
      <c r="F11" s="3" t="str">
        <f t="shared" si="1"/>
        <v/>
      </c>
      <c r="G11" s="3" t="str">
        <f t="shared" si="2"/>
        <v/>
      </c>
      <c r="H11" s="32" t="str">
        <f t="shared" si="3"/>
        <v/>
      </c>
      <c r="I11" s="3" t="str">
        <f t="shared" si="4"/>
        <v/>
      </c>
      <c r="J11" s="8">
        <f t="shared" si="5"/>
        <v>45.3</v>
      </c>
      <c r="K11" s="8" t="str">
        <f t="shared" si="6"/>
        <v>2026 Elite Canada</v>
      </c>
      <c r="L11" s="8">
        <f>IFERROR(LARGE((AI11,AL11,AP11,BJ11,BM11,BQ11,CK11,CN11,CR11),2),0)</f>
        <v>44.519999999999996</v>
      </c>
      <c r="M11" s="8" t="str">
        <f t="shared" si="7"/>
        <v>2026 Elite Canada</v>
      </c>
      <c r="N11" s="8">
        <f t="shared" si="8"/>
        <v>0</v>
      </c>
      <c r="O11" s="11" t="str">
        <f t="shared" si="9"/>
        <v/>
      </c>
      <c r="P11" s="8" t="str">
        <f t="shared" si="10"/>
        <v/>
      </c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23"/>
      <c r="AG11" s="34" t="str">
        <f t="shared" si="11"/>
        <v/>
      </c>
      <c r="AH11" s="34" t="str">
        <f t="shared" si="11"/>
        <v/>
      </c>
      <c r="AI11" s="36" t="str">
        <f t="shared" si="12"/>
        <v/>
      </c>
      <c r="AJ11" s="36" t="str">
        <f t="shared" si="13"/>
        <v/>
      </c>
      <c r="AK11" s="36" t="str">
        <f t="shared" si="13"/>
        <v/>
      </c>
      <c r="AL11" s="36" t="str">
        <f t="shared" si="14"/>
        <v/>
      </c>
      <c r="AM11" s="36" t="str">
        <f t="shared" si="15"/>
        <v/>
      </c>
      <c r="AN11" s="36" t="str">
        <f t="shared" si="16"/>
        <v/>
      </c>
      <c r="AO11" s="36" t="str">
        <f t="shared" si="16"/>
        <v/>
      </c>
      <c r="AP11" s="36" t="str">
        <f t="shared" si="17"/>
        <v/>
      </c>
      <c r="AQ11" s="36" t="str">
        <f t="shared" si="18"/>
        <v/>
      </c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4"/>
      <c r="BH11" s="35" t="str">
        <f t="shared" si="19"/>
        <v/>
      </c>
      <c r="BI11" s="35" t="str">
        <f t="shared" si="19"/>
        <v/>
      </c>
      <c r="BJ11" s="11" t="str">
        <f t="shared" si="20"/>
        <v/>
      </c>
      <c r="BK11" s="11" t="str">
        <f t="shared" si="21"/>
        <v/>
      </c>
      <c r="BL11" s="11" t="str">
        <f t="shared" si="21"/>
        <v/>
      </c>
      <c r="BM11" s="11" t="str">
        <f t="shared" si="22"/>
        <v/>
      </c>
      <c r="BN11" s="11" t="str">
        <f t="shared" si="23"/>
        <v/>
      </c>
      <c r="BO11" s="11" t="str">
        <f t="shared" si="24"/>
        <v/>
      </c>
      <c r="BP11" s="11" t="str">
        <f t="shared" si="24"/>
        <v/>
      </c>
      <c r="BQ11" s="11" t="str">
        <f t="shared" si="25"/>
        <v/>
      </c>
      <c r="BR11" s="11" t="str">
        <f t="shared" si="26"/>
        <v/>
      </c>
      <c r="BS11" s="18">
        <v>6.5</v>
      </c>
      <c r="BT11" s="18">
        <v>9.4</v>
      </c>
      <c r="BU11" s="18">
        <v>13.6</v>
      </c>
      <c r="BV11" s="18">
        <v>15.02</v>
      </c>
      <c r="BW11" s="18">
        <v>0</v>
      </c>
      <c r="BX11" s="18">
        <v>1.43</v>
      </c>
      <c r="BY11" s="18">
        <v>1.9</v>
      </c>
      <c r="BZ11" s="18">
        <v>0</v>
      </c>
      <c r="CA11" s="18">
        <v>3.54</v>
      </c>
      <c r="CB11" s="18">
        <v>0</v>
      </c>
      <c r="CC11" s="18">
        <v>6.93</v>
      </c>
      <c r="CD11" s="18">
        <v>9.4499999999999993</v>
      </c>
      <c r="CE11" s="18">
        <v>12</v>
      </c>
      <c r="CF11" s="18">
        <v>16.920000000000002</v>
      </c>
      <c r="CG11" s="18">
        <v>0</v>
      </c>
      <c r="CH11" s="23"/>
      <c r="CI11" s="34">
        <f t="shared" si="27"/>
        <v>13.6</v>
      </c>
      <c r="CJ11" s="34">
        <f t="shared" si="27"/>
        <v>15.02</v>
      </c>
      <c r="CK11" s="36">
        <f t="shared" si="28"/>
        <v>44.519999999999996</v>
      </c>
      <c r="CL11" s="36" t="str">
        <f t="shared" si="29"/>
        <v/>
      </c>
      <c r="CM11" s="36">
        <f t="shared" si="29"/>
        <v>3.54</v>
      </c>
      <c r="CN11" s="36">
        <f t="shared" si="30"/>
        <v>6.87</v>
      </c>
      <c r="CO11" s="36">
        <f t="shared" si="31"/>
        <v>44.519999999999996</v>
      </c>
      <c r="CP11" s="36">
        <f t="shared" si="32"/>
        <v>12</v>
      </c>
      <c r="CQ11" s="36">
        <f t="shared" si="32"/>
        <v>16.920000000000002</v>
      </c>
      <c r="CR11" s="36">
        <f t="shared" si="33"/>
        <v>45.3</v>
      </c>
      <c r="CS11" s="36">
        <f t="shared" si="34"/>
        <v>89.82</v>
      </c>
      <c r="CT11" s="47" t="str">
        <f t="shared" si="35"/>
        <v/>
      </c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36" t="str">
        <f t="shared" si="36"/>
        <v/>
      </c>
      <c r="DP11" s="36" t="str">
        <f t="shared" si="36"/>
        <v/>
      </c>
      <c r="DQ11" s="36" t="str">
        <f t="shared" si="37"/>
        <v/>
      </c>
      <c r="DR11" s="36" t="str">
        <f t="shared" si="38"/>
        <v/>
      </c>
      <c r="DS11" s="36" t="str">
        <f t="shared" si="38"/>
        <v/>
      </c>
      <c r="DT11" s="36" t="str">
        <f t="shared" si="39"/>
        <v/>
      </c>
      <c r="DU11" s="36" t="str">
        <f t="shared" si="40"/>
        <v/>
      </c>
      <c r="DV11" s="36" t="str">
        <f t="shared" si="41"/>
        <v/>
      </c>
      <c r="DW11" s="36" t="str">
        <f t="shared" si="41"/>
        <v/>
      </c>
      <c r="DX11" s="36" t="str">
        <f t="shared" si="42"/>
        <v/>
      </c>
      <c r="DY11" s="36" t="str">
        <f t="shared" si="43"/>
        <v/>
      </c>
      <c r="DZ11" s="36" t="str">
        <f t="shared" si="43"/>
        <v/>
      </c>
      <c r="EA11" s="36" t="str">
        <f t="shared" si="44"/>
        <v/>
      </c>
      <c r="EB11" s="36" t="str">
        <f t="shared" si="45"/>
        <v/>
      </c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1" t="str">
        <f t="shared" si="46"/>
        <v/>
      </c>
      <c r="EX11" s="11" t="str">
        <f t="shared" si="46"/>
        <v/>
      </c>
      <c r="EY11" s="11" t="str">
        <f t="shared" si="47"/>
        <v/>
      </c>
      <c r="EZ11" s="11" t="str">
        <f t="shared" si="48"/>
        <v/>
      </c>
      <c r="FA11" s="11" t="str">
        <f t="shared" si="48"/>
        <v/>
      </c>
      <c r="FB11" s="11" t="str">
        <f t="shared" si="49"/>
        <v/>
      </c>
      <c r="FC11" s="11" t="str">
        <f t="shared" si="50"/>
        <v/>
      </c>
      <c r="FD11" s="11" t="str">
        <f t="shared" si="51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36" t="str">
        <f t="shared" si="56"/>
        <v/>
      </c>
      <c r="GF11" s="36" t="str">
        <f t="shared" si="56"/>
        <v/>
      </c>
      <c r="GG11" s="36" t="str">
        <f t="shared" si="57"/>
        <v/>
      </c>
      <c r="GH11" s="36" t="str">
        <f t="shared" si="58"/>
        <v/>
      </c>
      <c r="GI11" s="36" t="str">
        <f t="shared" si="58"/>
        <v/>
      </c>
      <c r="GJ11" s="36" t="str">
        <f t="shared" si="59"/>
        <v/>
      </c>
      <c r="GK11" s="36" t="str">
        <f t="shared" si="60"/>
        <v/>
      </c>
      <c r="GL11" s="36" t="str">
        <f t="shared" si="61"/>
        <v/>
      </c>
      <c r="GM11" s="36" t="str">
        <f t="shared" si="61"/>
        <v/>
      </c>
      <c r="GN11" s="36" t="str">
        <f t="shared" si="62"/>
        <v/>
      </c>
      <c r="GO11" s="36" t="str">
        <f t="shared" si="63"/>
        <v/>
      </c>
      <c r="GP11" s="36" t="str">
        <f t="shared" si="63"/>
        <v/>
      </c>
      <c r="GQ11" s="36" t="str">
        <f t="shared" si="64"/>
        <v/>
      </c>
      <c r="GR11" s="36" t="str">
        <f t="shared" si="65"/>
        <v/>
      </c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1" t="str">
        <f t="shared" si="66"/>
        <v/>
      </c>
      <c r="HN11" s="11" t="str">
        <f t="shared" si="66"/>
        <v/>
      </c>
      <c r="HO11" s="11" t="str">
        <f t="shared" si="67"/>
        <v/>
      </c>
      <c r="HP11" s="11" t="str">
        <f t="shared" si="68"/>
        <v/>
      </c>
      <c r="HQ11" s="11" t="str">
        <f t="shared" si="68"/>
        <v/>
      </c>
      <c r="HR11" s="11" t="str">
        <f t="shared" si="69"/>
        <v/>
      </c>
      <c r="HS11" s="11" t="str">
        <f t="shared" si="70"/>
        <v/>
      </c>
      <c r="HT11" s="11" t="str">
        <f t="shared" si="71"/>
        <v/>
      </c>
      <c r="HU11" s="11" t="str">
        <f t="shared" si="71"/>
        <v/>
      </c>
      <c r="HV11" s="11" t="str">
        <f t="shared" si="72"/>
        <v/>
      </c>
      <c r="HW11" s="11" t="str">
        <f t="shared" si="73"/>
        <v/>
      </c>
      <c r="HX11" s="11" t="str">
        <f t="shared" si="73"/>
        <v/>
      </c>
      <c r="HY11" s="11" t="str">
        <f t="shared" si="74"/>
        <v/>
      </c>
      <c r="HZ11" s="11" t="str">
        <f t="shared" si="75"/>
        <v/>
      </c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36" t="str">
        <f t="shared" si="76"/>
        <v/>
      </c>
      <c r="IV11" s="36" t="str">
        <f t="shared" si="76"/>
        <v/>
      </c>
      <c r="IW11" s="36" t="str">
        <f t="shared" si="77"/>
        <v/>
      </c>
      <c r="IX11" s="36" t="str">
        <f t="shared" si="78"/>
        <v/>
      </c>
      <c r="IY11" s="36" t="str">
        <f t="shared" si="78"/>
        <v/>
      </c>
      <c r="IZ11" s="36" t="str">
        <f t="shared" si="79"/>
        <v/>
      </c>
      <c r="JA11" s="36" t="str">
        <f t="shared" si="80"/>
        <v/>
      </c>
      <c r="JB11" s="36" t="str">
        <f t="shared" si="81"/>
        <v/>
      </c>
      <c r="JC11" s="36" t="str">
        <f t="shared" si="81"/>
        <v/>
      </c>
      <c r="JD11" s="36" t="str">
        <f t="shared" si="82"/>
        <v/>
      </c>
      <c r="JE11" s="36" t="str">
        <f t="shared" si="83"/>
        <v/>
      </c>
      <c r="JF11" s="36" t="str">
        <f t="shared" si="83"/>
        <v/>
      </c>
      <c r="JG11" s="36" t="str">
        <f t="shared" si="84"/>
        <v/>
      </c>
      <c r="JH11" s="36" t="str">
        <f t="shared" si="85"/>
        <v/>
      </c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1" t="str">
        <f t="shared" si="86"/>
        <v/>
      </c>
      <c r="KD11" s="11" t="str">
        <f t="shared" si="86"/>
        <v/>
      </c>
      <c r="KE11" s="11" t="str">
        <f t="shared" si="87"/>
        <v/>
      </c>
      <c r="KF11" s="11" t="str">
        <f t="shared" si="88"/>
        <v/>
      </c>
      <c r="KG11" s="11" t="str">
        <f t="shared" si="88"/>
        <v/>
      </c>
      <c r="KH11" s="11" t="str">
        <f t="shared" si="89"/>
        <v/>
      </c>
      <c r="KI11" s="11" t="str">
        <f t="shared" si="90"/>
        <v/>
      </c>
      <c r="KJ11" s="11" t="str">
        <f t="shared" si="91"/>
        <v/>
      </c>
      <c r="KK11" s="11" t="str">
        <f t="shared" si="91"/>
        <v/>
      </c>
      <c r="KL11" s="11" t="str">
        <f t="shared" si="92"/>
        <v/>
      </c>
      <c r="KM11" s="11" t="str">
        <f t="shared" si="93"/>
        <v/>
      </c>
      <c r="KN11" s="11" t="str">
        <f t="shared" si="93"/>
        <v/>
      </c>
      <c r="KO11" s="11" t="str">
        <f t="shared" si="94"/>
        <v/>
      </c>
      <c r="KP11" s="11" t="str">
        <f t="shared" si="95"/>
        <v/>
      </c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36" t="str">
        <f t="shared" si="96"/>
        <v/>
      </c>
      <c r="LL11" s="36" t="str">
        <f t="shared" si="96"/>
        <v/>
      </c>
      <c r="LM11" s="36" t="str">
        <f t="shared" si="97"/>
        <v/>
      </c>
      <c r="LN11" s="36" t="str">
        <f t="shared" si="98"/>
        <v/>
      </c>
      <c r="LO11" s="36" t="str">
        <f t="shared" si="98"/>
        <v/>
      </c>
      <c r="LP11" s="36" t="str">
        <f t="shared" si="99"/>
        <v/>
      </c>
      <c r="LQ11" s="36" t="str">
        <f t="shared" si="100"/>
        <v/>
      </c>
      <c r="LR11" s="36" t="str">
        <f t="shared" si="101"/>
        <v/>
      </c>
      <c r="LS11" s="36" t="str">
        <f t="shared" si="101"/>
        <v/>
      </c>
      <c r="LT11" s="36" t="str">
        <f t="shared" si="102"/>
        <v/>
      </c>
      <c r="LU11" s="36" t="str">
        <f t="shared" si="103"/>
        <v/>
      </c>
      <c r="LV11" s="36" t="str">
        <f t="shared" si="103"/>
        <v/>
      </c>
      <c r="LW11" s="36" t="str">
        <f t="shared" si="104"/>
        <v/>
      </c>
      <c r="LX11" s="36" t="str">
        <f t="shared" si="105"/>
        <v/>
      </c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1" t="str">
        <f t="shared" si="106"/>
        <v/>
      </c>
      <c r="MT11" s="11" t="str">
        <f t="shared" si="106"/>
        <v/>
      </c>
      <c r="MU11" s="11" t="str">
        <f t="shared" si="107"/>
        <v/>
      </c>
      <c r="MV11" s="11" t="str">
        <f t="shared" si="108"/>
        <v/>
      </c>
      <c r="MW11" s="11" t="str">
        <f t="shared" si="108"/>
        <v/>
      </c>
      <c r="MX11" s="11" t="str">
        <f t="shared" si="109"/>
        <v/>
      </c>
      <c r="MY11" s="11" t="str">
        <f t="shared" si="110"/>
        <v/>
      </c>
      <c r="MZ11" s="11" t="str">
        <f t="shared" si="111"/>
        <v/>
      </c>
      <c r="NA11" s="11" t="str">
        <f t="shared" si="111"/>
        <v/>
      </c>
      <c r="NB11" s="11" t="str">
        <f t="shared" si="112"/>
        <v/>
      </c>
      <c r="NC11" s="11" t="str">
        <f t="shared" si="113"/>
        <v/>
      </c>
      <c r="ND11" s="11" t="str">
        <f t="shared" si="113"/>
        <v/>
      </c>
      <c r="NE11" s="11" t="str">
        <f t="shared" si="114"/>
        <v/>
      </c>
      <c r="NF11" s="11" t="str">
        <f t="shared" si="115"/>
        <v/>
      </c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36" t="str">
        <f t="shared" si="116"/>
        <v/>
      </c>
      <c r="OB11" s="36" t="str">
        <f t="shared" si="116"/>
        <v/>
      </c>
      <c r="OC11" s="36" t="str">
        <f t="shared" si="117"/>
        <v/>
      </c>
      <c r="OD11" s="36" t="str">
        <f t="shared" si="118"/>
        <v/>
      </c>
      <c r="OE11" s="36" t="str">
        <f t="shared" si="118"/>
        <v/>
      </c>
      <c r="OF11" s="36" t="str">
        <f t="shared" si="119"/>
        <v/>
      </c>
      <c r="OG11" s="36" t="str">
        <f t="shared" si="120"/>
        <v/>
      </c>
      <c r="OH11" s="36" t="str">
        <f t="shared" si="121"/>
        <v/>
      </c>
      <c r="OI11" s="36" t="str">
        <f t="shared" si="121"/>
        <v/>
      </c>
      <c r="OJ11" s="36" t="str">
        <f t="shared" si="122"/>
        <v/>
      </c>
      <c r="OK11" s="36" t="str">
        <f t="shared" si="123"/>
        <v/>
      </c>
      <c r="OL11" s="36" t="str">
        <f t="shared" si="123"/>
        <v/>
      </c>
      <c r="OM11" s="36" t="str">
        <f t="shared" si="124"/>
        <v/>
      </c>
      <c r="ON11" s="36" t="str">
        <f t="shared" si="125"/>
        <v/>
      </c>
      <c r="OO11" s="16"/>
      <c r="OP11" s="16"/>
      <c r="OQ11" s="16"/>
      <c r="OR11" s="16"/>
      <c r="OS11" s="16"/>
      <c r="OT11" s="16"/>
      <c r="OU11" s="16"/>
      <c r="OV11" s="16"/>
      <c r="OW11" s="16"/>
      <c r="OX11" s="16"/>
      <c r="OY11" s="16"/>
      <c r="OZ11" s="16"/>
      <c r="PA11" s="16"/>
      <c r="PB11" s="16"/>
      <c r="PC11" s="16"/>
      <c r="PD11" s="16"/>
      <c r="PE11" s="16"/>
      <c r="PF11" s="16"/>
      <c r="PG11" s="16"/>
      <c r="PH11" s="16"/>
      <c r="PI11" s="11" t="str">
        <f t="shared" si="126"/>
        <v/>
      </c>
      <c r="PJ11" s="11" t="str">
        <f t="shared" si="126"/>
        <v/>
      </c>
      <c r="PK11" s="11" t="str">
        <f t="shared" si="127"/>
        <v/>
      </c>
      <c r="PL11" s="11" t="str">
        <f t="shared" si="128"/>
        <v/>
      </c>
      <c r="PM11" s="11" t="str">
        <f t="shared" si="128"/>
        <v/>
      </c>
      <c r="PN11" s="11" t="str">
        <f t="shared" si="129"/>
        <v/>
      </c>
      <c r="PO11" s="11" t="str">
        <f t="shared" si="130"/>
        <v/>
      </c>
      <c r="PP11" s="11" t="str">
        <f t="shared" si="131"/>
        <v/>
      </c>
      <c r="PQ11" s="11" t="str">
        <f t="shared" si="131"/>
        <v/>
      </c>
      <c r="PR11" s="11" t="str">
        <f t="shared" si="132"/>
        <v/>
      </c>
      <c r="PS11" s="11" t="str">
        <f t="shared" si="133"/>
        <v/>
      </c>
      <c r="PT11" s="11" t="str">
        <f t="shared" si="133"/>
        <v/>
      </c>
      <c r="PU11" s="11" t="str">
        <f t="shared" si="134"/>
        <v/>
      </c>
      <c r="PV11" s="11" t="str">
        <f t="shared" si="135"/>
        <v/>
      </c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36" t="str">
        <f t="shared" si="136"/>
        <v/>
      </c>
      <c r="QR11" s="36" t="str">
        <f t="shared" si="136"/>
        <v/>
      </c>
      <c r="QS11" s="36" t="str">
        <f t="shared" si="137"/>
        <v/>
      </c>
      <c r="QT11" s="36" t="str">
        <f t="shared" si="138"/>
        <v/>
      </c>
      <c r="QU11" s="36" t="str">
        <f t="shared" si="138"/>
        <v/>
      </c>
      <c r="QV11" s="36" t="str">
        <f t="shared" si="139"/>
        <v/>
      </c>
      <c r="QW11" s="36" t="str">
        <f t="shared" si="140"/>
        <v/>
      </c>
      <c r="QX11" s="36" t="str">
        <f t="shared" si="141"/>
        <v/>
      </c>
      <c r="QY11" s="36" t="str">
        <f t="shared" si="141"/>
        <v/>
      </c>
      <c r="QZ11" s="36" t="str">
        <f t="shared" si="142"/>
        <v/>
      </c>
      <c r="RA11" s="36" t="str">
        <f t="shared" si="143"/>
        <v/>
      </c>
      <c r="RB11" s="36" t="str">
        <f t="shared" si="143"/>
        <v/>
      </c>
      <c r="RC11" s="36" t="str">
        <f t="shared" si="144"/>
        <v/>
      </c>
      <c r="RD11" s="36" t="str">
        <f t="shared" si="145"/>
        <v/>
      </c>
      <c r="RE11" s="16"/>
      <c r="RF11" s="16"/>
      <c r="RG11" s="16"/>
      <c r="RH11" s="16"/>
      <c r="RI11" s="16"/>
      <c r="RJ11" s="16"/>
      <c r="RK11" s="16"/>
      <c r="RL11" s="16"/>
      <c r="RM11" s="16"/>
      <c r="RN11" s="16"/>
      <c r="RO11" s="16"/>
      <c r="RP11" s="16"/>
      <c r="RQ11" s="16"/>
      <c r="RR11" s="16"/>
      <c r="RS11" s="16"/>
      <c r="RT11" s="16"/>
      <c r="RU11" s="16"/>
      <c r="RV11" s="16"/>
      <c r="RW11" s="16"/>
      <c r="RX11" s="16"/>
      <c r="RY11" s="11" t="str">
        <f t="shared" si="146"/>
        <v/>
      </c>
      <c r="RZ11" s="11" t="str">
        <f t="shared" si="146"/>
        <v/>
      </c>
      <c r="SA11" s="11" t="str">
        <f t="shared" si="147"/>
        <v/>
      </c>
      <c r="SB11" s="11" t="str">
        <f t="shared" si="148"/>
        <v/>
      </c>
      <c r="SC11" s="11" t="str">
        <f t="shared" si="148"/>
        <v/>
      </c>
      <c r="SD11" s="11" t="str">
        <f t="shared" si="149"/>
        <v/>
      </c>
      <c r="SE11" s="11" t="str">
        <f t="shared" si="150"/>
        <v/>
      </c>
      <c r="SF11" s="11" t="str">
        <f t="shared" si="151"/>
        <v/>
      </c>
      <c r="SG11" s="11" t="str">
        <f t="shared" si="151"/>
        <v/>
      </c>
      <c r="SH11" s="11" t="str">
        <f t="shared" si="152"/>
        <v/>
      </c>
      <c r="SI11" s="11" t="str">
        <f t="shared" si="153"/>
        <v/>
      </c>
      <c r="SJ11" s="11" t="str">
        <f t="shared" si="153"/>
        <v/>
      </c>
      <c r="SK11" s="11" t="str">
        <f t="shared" si="154"/>
        <v/>
      </c>
      <c r="SL11" s="11" t="str">
        <f t="shared" si="155"/>
        <v/>
      </c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36" t="str">
        <f t="shared" si="156"/>
        <v/>
      </c>
      <c r="TH11" s="36" t="str">
        <f t="shared" si="156"/>
        <v/>
      </c>
      <c r="TI11" s="36" t="str">
        <f t="shared" si="157"/>
        <v/>
      </c>
      <c r="TJ11" s="36" t="str">
        <f t="shared" si="158"/>
        <v/>
      </c>
      <c r="TK11" s="36" t="str">
        <f t="shared" si="158"/>
        <v/>
      </c>
      <c r="TL11" s="36" t="str">
        <f t="shared" si="159"/>
        <v/>
      </c>
      <c r="TM11" s="36" t="str">
        <f t="shared" si="160"/>
        <v/>
      </c>
      <c r="TN11" s="36" t="str">
        <f t="shared" si="161"/>
        <v/>
      </c>
      <c r="TO11" s="36" t="str">
        <f t="shared" si="161"/>
        <v/>
      </c>
      <c r="TP11" s="36" t="str">
        <f t="shared" si="162"/>
        <v/>
      </c>
      <c r="TQ11" s="36" t="str">
        <f t="shared" si="163"/>
        <v/>
      </c>
      <c r="TR11" s="36" t="str">
        <f t="shared" si="163"/>
        <v/>
      </c>
      <c r="TS11" s="36" t="str">
        <f t="shared" si="164"/>
        <v/>
      </c>
      <c r="TT11" s="36" t="str">
        <f t="shared" si="165"/>
        <v/>
      </c>
      <c r="TU11" s="16"/>
      <c r="TV11" s="16"/>
      <c r="TW11" s="16"/>
      <c r="TX11" s="16"/>
      <c r="TY11" s="16"/>
      <c r="TZ11" s="16"/>
      <c r="UA11" s="16"/>
      <c r="UB11" s="16"/>
      <c r="UC11" s="16"/>
      <c r="UD11" s="16"/>
      <c r="UE11" s="16"/>
      <c r="UF11" s="16"/>
      <c r="UG11" s="16"/>
      <c r="UH11" s="16"/>
      <c r="UI11" s="16"/>
      <c r="UJ11" s="16"/>
      <c r="UK11" s="16"/>
      <c r="UL11" s="16"/>
      <c r="UM11" s="16"/>
      <c r="UN11" s="16"/>
      <c r="UO11" s="11" t="str">
        <f t="shared" si="166"/>
        <v/>
      </c>
      <c r="UP11" s="11" t="str">
        <f t="shared" si="166"/>
        <v/>
      </c>
      <c r="UQ11" s="11" t="str">
        <f t="shared" si="167"/>
        <v/>
      </c>
      <c r="UR11" s="11" t="str">
        <f t="shared" si="168"/>
        <v/>
      </c>
      <c r="US11" s="11" t="str">
        <f t="shared" si="168"/>
        <v/>
      </c>
      <c r="UT11" s="11" t="str">
        <f t="shared" si="169"/>
        <v/>
      </c>
      <c r="UU11" s="11" t="str">
        <f t="shared" si="170"/>
        <v/>
      </c>
      <c r="UV11" s="11" t="str">
        <f t="shared" si="171"/>
        <v/>
      </c>
      <c r="UW11" s="11" t="str">
        <f t="shared" si="171"/>
        <v/>
      </c>
      <c r="UX11" s="11" t="str">
        <f t="shared" si="172"/>
        <v/>
      </c>
      <c r="UY11" s="11" t="str">
        <f t="shared" si="173"/>
        <v/>
      </c>
      <c r="UZ11" s="11" t="str">
        <f t="shared" si="173"/>
        <v/>
      </c>
      <c r="VA11" s="11" t="str">
        <f t="shared" si="174"/>
        <v/>
      </c>
      <c r="VB11" s="11" t="str">
        <f t="shared" si="175"/>
        <v/>
      </c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36" t="str">
        <f t="shared" si="176"/>
        <v/>
      </c>
      <c r="VX11" s="36" t="str">
        <f t="shared" si="176"/>
        <v/>
      </c>
      <c r="VY11" s="36" t="str">
        <f t="shared" si="177"/>
        <v/>
      </c>
      <c r="VZ11" s="36" t="str">
        <f t="shared" si="178"/>
        <v/>
      </c>
      <c r="WA11" s="36" t="str">
        <f t="shared" si="178"/>
        <v/>
      </c>
      <c r="WB11" s="36" t="str">
        <f t="shared" si="179"/>
        <v/>
      </c>
      <c r="WC11" s="36" t="str">
        <f t="shared" si="180"/>
        <v/>
      </c>
      <c r="WD11" s="36" t="str">
        <f t="shared" si="181"/>
        <v/>
      </c>
      <c r="WE11" s="36" t="str">
        <f t="shared" si="181"/>
        <v/>
      </c>
      <c r="WF11" s="36" t="str">
        <f t="shared" si="182"/>
        <v/>
      </c>
      <c r="WG11" s="36" t="str">
        <f t="shared" si="183"/>
        <v/>
      </c>
      <c r="WH11" s="36" t="str">
        <f t="shared" si="183"/>
        <v/>
      </c>
      <c r="WI11" s="36" t="str">
        <f t="shared" si="184"/>
        <v/>
      </c>
      <c r="WJ11" s="36" t="str">
        <f t="shared" si="185"/>
        <v/>
      </c>
    </row>
    <row r="12" spans="1:608" x14ac:dyDescent="0.2">
      <c r="B12" s="5"/>
      <c r="D12" s="1"/>
    </row>
    <row r="13" spans="1:608" x14ac:dyDescent="0.2">
      <c r="G13" s="32"/>
      <c r="I13" s="32"/>
    </row>
    <row r="14" spans="1:608" x14ac:dyDescent="0.2">
      <c r="B14" s="19" t="s">
        <v>40</v>
      </c>
      <c r="C14" s="5"/>
      <c r="G14" s="3"/>
      <c r="AJ14" s="37"/>
      <c r="AK14" s="37"/>
      <c r="AL14" s="37"/>
      <c r="AN14" s="28"/>
      <c r="AO14" s="28"/>
      <c r="AQ14" s="38">
        <v>11</v>
      </c>
      <c r="BK14" s="37"/>
      <c r="BL14" s="37"/>
      <c r="BM14" s="37"/>
      <c r="BO14" s="28"/>
      <c r="BP14" s="28"/>
      <c r="BR14" s="38">
        <v>11</v>
      </c>
      <c r="CL14" s="37"/>
      <c r="CM14" s="37"/>
      <c r="CN14" s="37"/>
      <c r="CP14" s="28"/>
      <c r="CQ14" s="28"/>
      <c r="CS14" s="38">
        <v>12.8</v>
      </c>
      <c r="DO14" s="5"/>
      <c r="DP14" s="5"/>
      <c r="DY14" s="2"/>
      <c r="DZ14" s="2"/>
      <c r="EB14" s="38">
        <v>11</v>
      </c>
      <c r="EW14" s="5"/>
      <c r="EX14" s="5"/>
      <c r="FG14" s="2"/>
      <c r="FH14" s="2"/>
      <c r="FJ14" s="38">
        <v>11</v>
      </c>
      <c r="GE14" s="5"/>
      <c r="GF14" s="5"/>
      <c r="GO14" s="2"/>
      <c r="GP14" s="2"/>
      <c r="GR14" s="38">
        <v>11</v>
      </c>
      <c r="HM14" s="5"/>
      <c r="HN14" s="5"/>
      <c r="HW14" s="2"/>
      <c r="HX14" s="2"/>
      <c r="HZ14" s="38">
        <v>12.8</v>
      </c>
      <c r="IU14" s="5"/>
      <c r="IV14" s="5"/>
      <c r="JE14" s="2"/>
      <c r="JF14" s="2"/>
      <c r="JH14" s="38">
        <v>12.8</v>
      </c>
      <c r="KC14" s="5"/>
      <c r="KD14" s="5"/>
      <c r="KM14" s="2"/>
      <c r="KN14" s="2"/>
      <c r="KP14" s="38">
        <v>12.8</v>
      </c>
      <c r="LK14" s="5"/>
      <c r="LL14" s="5"/>
      <c r="LU14" s="2"/>
      <c r="LV14" s="2"/>
      <c r="LX14" s="38">
        <v>12.8</v>
      </c>
      <c r="MS14" s="5"/>
      <c r="MT14" s="5"/>
      <c r="NC14" s="2"/>
      <c r="ND14" s="2"/>
      <c r="NF14" s="38">
        <v>12.8</v>
      </c>
      <c r="OA14" s="5"/>
      <c r="OB14" s="5"/>
      <c r="OK14" s="2"/>
      <c r="OL14" s="2"/>
      <c r="ON14" s="38">
        <v>12.8</v>
      </c>
      <c r="PI14" s="5"/>
      <c r="PJ14" s="5"/>
      <c r="PS14" s="2"/>
      <c r="PT14" s="2"/>
      <c r="PV14" s="38">
        <v>12.8</v>
      </c>
      <c r="QQ14" s="5"/>
      <c r="QR14" s="5"/>
      <c r="RA14" s="2"/>
      <c r="RB14" s="2"/>
      <c r="RD14" s="38">
        <v>12.8</v>
      </c>
      <c r="RY14" s="5"/>
      <c r="RZ14" s="5"/>
      <c r="SI14" s="2"/>
      <c r="SJ14" s="2"/>
      <c r="SL14" s="38">
        <v>12.8</v>
      </c>
      <c r="TG14" s="5"/>
      <c r="TH14" s="5"/>
      <c r="TQ14" s="2"/>
      <c r="TR14" s="2"/>
      <c r="TT14" s="38">
        <v>12.8</v>
      </c>
      <c r="UO14" s="5"/>
      <c r="UP14" s="5"/>
      <c r="UY14" s="2"/>
      <c r="UZ14" s="2"/>
      <c r="VB14" s="38">
        <v>12.8</v>
      </c>
      <c r="VW14" s="5"/>
      <c r="VX14" s="5"/>
      <c r="WG14" s="2"/>
      <c r="WH14" s="2"/>
      <c r="WJ14" s="38">
        <v>12.8</v>
      </c>
    </row>
    <row r="15" spans="1:608" hidden="1" x14ac:dyDescent="0.2">
      <c r="B15" s="26" t="s">
        <v>39</v>
      </c>
      <c r="C15" s="5"/>
      <c r="P15" s="2"/>
      <c r="AJ15" s="37"/>
      <c r="AK15" s="37"/>
      <c r="AL15" s="37"/>
      <c r="AN15" s="28"/>
      <c r="AO15" s="28"/>
      <c r="AQ15" s="39">
        <v>1000</v>
      </c>
      <c r="BK15" s="37"/>
      <c r="BL15" s="37"/>
      <c r="BM15" s="37"/>
      <c r="BO15" s="28"/>
      <c r="BP15" s="28"/>
      <c r="BR15" s="39">
        <v>1000</v>
      </c>
      <c r="CL15" s="37"/>
      <c r="CM15" s="37"/>
      <c r="CN15" s="37"/>
      <c r="CP15" s="28"/>
      <c r="CQ15" s="28"/>
      <c r="CS15" s="39">
        <v>1000</v>
      </c>
      <c r="DO15" s="5"/>
      <c r="DP15" s="5"/>
      <c r="DY15" s="2"/>
      <c r="DZ15" s="2"/>
      <c r="EB15" s="39">
        <v>1000</v>
      </c>
      <c r="EW15" s="5"/>
      <c r="EX15" s="5"/>
      <c r="FG15" s="2"/>
      <c r="FH15" s="2"/>
      <c r="FJ15" s="39">
        <v>1000</v>
      </c>
      <c r="GE15" s="5"/>
      <c r="GF15" s="5"/>
      <c r="GO15" s="2"/>
      <c r="GP15" s="2"/>
      <c r="GR15" s="39">
        <v>1000</v>
      </c>
      <c r="HM15" s="5"/>
      <c r="HN15" s="5"/>
      <c r="HW15" s="2"/>
      <c r="HX15" s="2"/>
      <c r="HZ15" s="39">
        <v>1000</v>
      </c>
      <c r="IU15" s="5"/>
      <c r="IV15" s="5"/>
      <c r="JE15" s="2"/>
      <c r="JF15" s="2"/>
      <c r="JH15" s="39">
        <v>1000</v>
      </c>
      <c r="KC15" s="5"/>
      <c r="KD15" s="5"/>
      <c r="KM15" s="2"/>
      <c r="KN15" s="2"/>
      <c r="KP15" s="39">
        <v>1000</v>
      </c>
      <c r="LK15" s="5"/>
      <c r="LL15" s="5"/>
      <c r="LU15" s="2"/>
      <c r="LV15" s="2"/>
      <c r="LX15" s="39">
        <v>1000</v>
      </c>
      <c r="MS15" s="5"/>
      <c r="MT15" s="5"/>
      <c r="NC15" s="2"/>
      <c r="ND15" s="2"/>
      <c r="NF15" s="39">
        <v>1000</v>
      </c>
      <c r="OA15" s="5"/>
      <c r="OB15" s="5"/>
      <c r="OK15" s="2"/>
      <c r="OL15" s="2"/>
      <c r="ON15" s="39">
        <v>1000</v>
      </c>
      <c r="PI15" s="5"/>
      <c r="PJ15" s="5"/>
      <c r="PS15" s="2"/>
      <c r="PT15" s="2"/>
      <c r="PV15" s="39">
        <v>1000</v>
      </c>
      <c r="QQ15" s="5"/>
      <c r="QR15" s="5"/>
      <c r="RA15" s="2"/>
      <c r="RB15" s="2"/>
      <c r="RD15" s="39">
        <v>1000</v>
      </c>
      <c r="RY15" s="5"/>
      <c r="RZ15" s="5"/>
      <c r="SI15" s="2"/>
      <c r="SJ15" s="2"/>
      <c r="SL15" s="39">
        <v>1000</v>
      </c>
      <c r="TG15" s="5"/>
      <c r="TH15" s="5"/>
      <c r="TQ15" s="2"/>
      <c r="TR15" s="2"/>
      <c r="TT15" s="39">
        <v>1000</v>
      </c>
      <c r="UO15" s="5"/>
      <c r="UP15" s="5"/>
      <c r="UY15" s="2"/>
      <c r="UZ15" s="2"/>
      <c r="VB15" s="39">
        <v>1000</v>
      </c>
      <c r="VW15" s="5"/>
      <c r="VX15" s="5"/>
      <c r="WG15" s="2"/>
      <c r="WH15" s="2"/>
      <c r="WJ15" s="39">
        <v>1000</v>
      </c>
    </row>
    <row r="16" spans="1:608" hidden="1" x14ac:dyDescent="0.2">
      <c r="A16" s="5"/>
      <c r="B16" s="27" t="s">
        <v>50</v>
      </c>
      <c r="C16" s="5"/>
      <c r="E16" s="2"/>
      <c r="AJ16" s="37"/>
      <c r="AK16" s="37"/>
      <c r="AL16" s="37"/>
      <c r="AM16" s="28"/>
      <c r="AN16" s="28"/>
      <c r="AO16" s="28"/>
      <c r="AP16" s="28"/>
      <c r="AQ16" s="40">
        <v>1000</v>
      </c>
      <c r="BK16" s="37"/>
      <c r="BL16" s="37"/>
      <c r="BM16" s="37"/>
      <c r="BO16" s="28"/>
      <c r="BP16" s="28"/>
      <c r="BR16" s="40">
        <v>1000</v>
      </c>
      <c r="CL16" s="37"/>
      <c r="CM16" s="37"/>
      <c r="CN16" s="37"/>
      <c r="CO16" s="28"/>
      <c r="CP16" s="28"/>
      <c r="CQ16" s="28"/>
      <c r="CR16" s="28"/>
      <c r="CS16" s="40">
        <v>1000</v>
      </c>
      <c r="DO16" s="5"/>
      <c r="DP16" s="5"/>
      <c r="DY16" s="2"/>
      <c r="DZ16" s="2"/>
      <c r="EB16" s="40">
        <v>0</v>
      </c>
      <c r="EW16" s="5"/>
      <c r="EX16" s="5"/>
      <c r="FG16" s="2"/>
      <c r="FH16" s="2"/>
      <c r="FJ16" s="40">
        <v>0</v>
      </c>
      <c r="GE16" s="5"/>
      <c r="GF16" s="5"/>
      <c r="GO16" s="2"/>
      <c r="GP16" s="2"/>
      <c r="GR16" s="40">
        <v>0</v>
      </c>
      <c r="HM16" s="5"/>
      <c r="HN16" s="5"/>
      <c r="HW16" s="2"/>
      <c r="HX16" s="2"/>
      <c r="HZ16" s="40">
        <v>0</v>
      </c>
      <c r="IU16" s="5"/>
      <c r="IV16" s="5"/>
      <c r="JE16" s="2"/>
      <c r="JF16" s="2"/>
      <c r="JH16" s="40">
        <v>0</v>
      </c>
      <c r="KC16" s="5"/>
      <c r="KD16" s="5"/>
      <c r="KM16" s="2"/>
      <c r="KN16" s="2"/>
      <c r="KP16" s="40">
        <v>0</v>
      </c>
      <c r="LK16" s="5"/>
      <c r="LL16" s="5"/>
      <c r="LU16" s="2"/>
      <c r="LV16" s="2"/>
      <c r="LX16" s="40">
        <v>0</v>
      </c>
      <c r="MS16" s="5"/>
      <c r="MT16" s="5"/>
      <c r="NC16" s="2"/>
      <c r="ND16" s="2"/>
      <c r="NF16" s="40">
        <v>0</v>
      </c>
      <c r="OA16" s="5"/>
      <c r="OB16" s="5"/>
      <c r="OK16" s="2"/>
      <c r="OL16" s="2"/>
      <c r="ON16" s="40">
        <v>0</v>
      </c>
      <c r="PI16" s="5"/>
      <c r="PJ16" s="5"/>
      <c r="PS16" s="2"/>
      <c r="PT16" s="2"/>
      <c r="PV16" s="40">
        <v>0</v>
      </c>
      <c r="QQ16" s="5"/>
      <c r="QR16" s="5"/>
      <c r="RA16" s="2"/>
      <c r="RB16" s="2"/>
      <c r="RD16" s="40">
        <v>0</v>
      </c>
      <c r="RY16" s="5"/>
      <c r="RZ16" s="5"/>
      <c r="SI16" s="2"/>
      <c r="SJ16" s="2"/>
      <c r="SL16" s="40">
        <v>0</v>
      </c>
      <c r="TG16" s="5"/>
      <c r="TH16" s="5"/>
      <c r="TQ16" s="2"/>
      <c r="TR16" s="2"/>
      <c r="TT16" s="40">
        <v>0</v>
      </c>
      <c r="UO16" s="5"/>
      <c r="UP16" s="5"/>
      <c r="UY16" s="2"/>
      <c r="UZ16" s="2"/>
      <c r="VB16" s="40">
        <v>0</v>
      </c>
      <c r="VW16" s="5"/>
      <c r="VX16" s="5"/>
      <c r="WG16" s="2"/>
      <c r="WH16" s="2"/>
      <c r="WJ16" s="40">
        <v>0</v>
      </c>
    </row>
    <row r="17" spans="1:644" hidden="1" x14ac:dyDescent="0.2">
      <c r="A17" s="5"/>
      <c r="B17" s="31" t="s">
        <v>57</v>
      </c>
      <c r="C17" s="5"/>
      <c r="E17" s="2"/>
      <c r="AJ17" s="37"/>
      <c r="AK17" s="37"/>
      <c r="AL17" s="37"/>
      <c r="AM17" s="28"/>
      <c r="AN17" s="28"/>
      <c r="AO17" s="28"/>
      <c r="AP17" s="28"/>
      <c r="AQ17" s="41">
        <v>1000</v>
      </c>
      <c r="BK17" s="37"/>
      <c r="BL17" s="37"/>
      <c r="BM17" s="37"/>
      <c r="BO17" s="28"/>
      <c r="BP17" s="28"/>
      <c r="BR17" s="41">
        <v>1000</v>
      </c>
      <c r="CL17" s="37"/>
      <c r="CM17" s="37"/>
      <c r="CN17" s="37"/>
      <c r="CO17" s="28"/>
      <c r="CP17" s="28"/>
      <c r="CQ17" s="28"/>
      <c r="CR17" s="28"/>
      <c r="CS17" s="41">
        <v>1000</v>
      </c>
      <c r="DO17" s="5"/>
      <c r="DP17" s="5"/>
      <c r="DY17" s="2"/>
      <c r="DZ17" s="2"/>
      <c r="EB17" s="41">
        <v>0</v>
      </c>
      <c r="EW17" s="5"/>
      <c r="EX17" s="5"/>
      <c r="FG17" s="2"/>
      <c r="FH17" s="2"/>
      <c r="FJ17" s="41">
        <v>0</v>
      </c>
      <c r="GE17" s="5"/>
      <c r="GF17" s="5"/>
      <c r="GO17" s="2"/>
      <c r="GP17" s="2"/>
      <c r="GR17" s="41">
        <v>0</v>
      </c>
      <c r="HM17" s="5"/>
      <c r="HN17" s="5"/>
      <c r="HW17" s="2"/>
      <c r="HX17" s="2"/>
      <c r="HZ17" s="41">
        <v>0</v>
      </c>
      <c r="IU17" s="5"/>
      <c r="IV17" s="5"/>
      <c r="JE17" s="2"/>
      <c r="JF17" s="2"/>
      <c r="JH17" s="41">
        <v>0</v>
      </c>
      <c r="KC17" s="5"/>
      <c r="KD17" s="5"/>
      <c r="KM17" s="2"/>
      <c r="KN17" s="2"/>
      <c r="KP17" s="41">
        <v>0</v>
      </c>
      <c r="LK17" s="5"/>
      <c r="LL17" s="5"/>
      <c r="LU17" s="2"/>
      <c r="LV17" s="2"/>
      <c r="LX17" s="41">
        <v>0</v>
      </c>
      <c r="MS17" s="5"/>
      <c r="MT17" s="5"/>
      <c r="NC17" s="2"/>
      <c r="ND17" s="2"/>
      <c r="NF17" s="41">
        <v>0</v>
      </c>
      <c r="OA17" s="5"/>
      <c r="OB17" s="5"/>
      <c r="OK17" s="2"/>
      <c r="OL17" s="2"/>
      <c r="ON17" s="41">
        <v>0</v>
      </c>
      <c r="PI17" s="5"/>
      <c r="PJ17" s="5"/>
      <c r="PS17" s="2"/>
      <c r="PT17" s="2"/>
      <c r="PV17" s="41">
        <v>0</v>
      </c>
      <c r="QQ17" s="5"/>
      <c r="QR17" s="5"/>
      <c r="RA17" s="2"/>
      <c r="RB17" s="2"/>
      <c r="RD17" s="41">
        <v>0</v>
      </c>
      <c r="RY17" s="5"/>
      <c r="RZ17" s="5"/>
      <c r="SI17" s="2"/>
      <c r="SJ17" s="2"/>
      <c r="SL17" s="41">
        <v>0</v>
      </c>
      <c r="TG17" s="5"/>
      <c r="TH17" s="5"/>
      <c r="TQ17" s="2"/>
      <c r="TR17" s="2"/>
      <c r="TT17" s="41">
        <v>0</v>
      </c>
      <c r="UO17" s="5"/>
      <c r="UP17" s="5"/>
      <c r="UY17" s="2"/>
      <c r="UZ17" s="2"/>
      <c r="VB17" s="41">
        <v>0</v>
      </c>
      <c r="VW17" s="5"/>
      <c r="VX17" s="5"/>
      <c r="WG17" s="2"/>
      <c r="WH17" s="2"/>
      <c r="WJ17" s="41">
        <v>0</v>
      </c>
    </row>
    <row r="18" spans="1:644" x14ac:dyDescent="0.2">
      <c r="A18" s="5"/>
      <c r="B18" s="30" t="s">
        <v>37</v>
      </c>
      <c r="C18" s="5"/>
      <c r="AJ18" s="37"/>
      <c r="AK18" s="37"/>
      <c r="AL18" s="37"/>
      <c r="AM18" s="28"/>
      <c r="AN18" s="28"/>
      <c r="AO18" s="28"/>
      <c r="AP18" s="28"/>
      <c r="AQ18" s="42">
        <v>43.7</v>
      </c>
      <c r="BK18" s="37"/>
      <c r="BL18" s="37"/>
      <c r="BM18" s="37"/>
      <c r="BO18" s="28"/>
      <c r="BP18" s="28"/>
      <c r="BR18" s="42">
        <v>43.7</v>
      </c>
      <c r="CL18" s="37"/>
      <c r="CM18" s="37"/>
      <c r="CN18" s="37"/>
      <c r="CO18" s="28"/>
      <c r="CP18" s="28"/>
      <c r="CQ18" s="28"/>
      <c r="CR18" s="28"/>
      <c r="CS18" s="42">
        <v>48.5</v>
      </c>
      <c r="DO18" s="5"/>
      <c r="DP18" s="5"/>
      <c r="DY18" s="2"/>
      <c r="DZ18" s="2"/>
      <c r="EB18" s="42">
        <v>43.7</v>
      </c>
      <c r="EW18" s="5"/>
      <c r="EX18" s="5"/>
      <c r="FG18" s="2"/>
      <c r="FH18" s="2"/>
      <c r="FJ18" s="42">
        <v>43.7</v>
      </c>
      <c r="GE18" s="5"/>
      <c r="GF18" s="5"/>
      <c r="GO18" s="2"/>
      <c r="GP18" s="2"/>
      <c r="GR18" s="42">
        <v>43.7</v>
      </c>
      <c r="HM18" s="5"/>
      <c r="HN18" s="5"/>
      <c r="HW18" s="2"/>
      <c r="HX18" s="2"/>
      <c r="HZ18" s="42">
        <v>48.5</v>
      </c>
      <c r="IU18" s="5"/>
      <c r="IV18" s="5"/>
      <c r="JE18" s="2"/>
      <c r="JF18" s="2"/>
      <c r="JH18" s="42">
        <v>48.5</v>
      </c>
      <c r="KC18" s="5"/>
      <c r="KD18" s="5"/>
      <c r="KM18" s="2"/>
      <c r="KN18" s="2"/>
      <c r="KP18" s="42">
        <v>48.5</v>
      </c>
      <c r="LK18" s="5"/>
      <c r="LL18" s="5"/>
      <c r="LU18" s="2"/>
      <c r="LV18" s="2"/>
      <c r="LX18" s="42">
        <v>48.5</v>
      </c>
      <c r="MS18" s="5"/>
      <c r="MT18" s="5"/>
      <c r="NC18" s="2"/>
      <c r="ND18" s="2"/>
      <c r="NF18" s="42">
        <v>48.5</v>
      </c>
      <c r="OA18" s="5"/>
      <c r="OB18" s="5"/>
      <c r="OK18" s="2"/>
      <c r="OL18" s="2"/>
      <c r="ON18" s="42">
        <v>48.5</v>
      </c>
      <c r="PI18" s="5"/>
      <c r="PJ18" s="5"/>
      <c r="PS18" s="2"/>
      <c r="PT18" s="2"/>
      <c r="PV18" s="42">
        <v>48.5</v>
      </c>
      <c r="QQ18" s="5"/>
      <c r="QR18" s="5"/>
      <c r="RA18" s="2"/>
      <c r="RB18" s="2"/>
      <c r="RD18" s="42">
        <v>48.5</v>
      </c>
      <c r="RY18" s="5"/>
      <c r="RZ18" s="5"/>
      <c r="SI18" s="2"/>
      <c r="SJ18" s="2"/>
      <c r="SL18" s="42">
        <v>48.5</v>
      </c>
      <c r="TG18" s="5"/>
      <c r="TH18" s="5"/>
      <c r="TQ18" s="2"/>
      <c r="TR18" s="2"/>
      <c r="TT18" s="42">
        <v>48.5</v>
      </c>
      <c r="UO18" s="5"/>
      <c r="UP18" s="5"/>
      <c r="UY18" s="2"/>
      <c r="UZ18" s="2"/>
      <c r="VB18" s="42">
        <v>48.5</v>
      </c>
      <c r="VW18" s="5"/>
      <c r="VX18" s="5"/>
      <c r="WG18" s="2"/>
      <c r="WH18" s="2"/>
      <c r="WJ18" s="42">
        <v>48.5</v>
      </c>
    </row>
    <row r="19" spans="1:644" hidden="1" x14ac:dyDescent="0.2">
      <c r="A19" s="5"/>
      <c r="B19" s="20" t="s">
        <v>38</v>
      </c>
      <c r="C19" s="5"/>
      <c r="AJ19" s="37"/>
      <c r="AK19" s="37"/>
      <c r="AL19" s="37"/>
      <c r="AM19" s="28"/>
      <c r="AN19" s="28"/>
      <c r="AO19" s="28"/>
      <c r="AP19" s="28"/>
      <c r="AQ19" s="43">
        <v>1000</v>
      </c>
      <c r="BK19" s="37"/>
      <c r="BL19" s="37"/>
      <c r="BM19" s="37"/>
      <c r="BO19" s="28"/>
      <c r="BP19" s="28"/>
      <c r="BR19" s="43">
        <v>1000</v>
      </c>
      <c r="CL19" s="37"/>
      <c r="CM19" s="37"/>
      <c r="CN19" s="37"/>
      <c r="CO19" s="28"/>
      <c r="CP19" s="28"/>
      <c r="CQ19" s="28"/>
      <c r="CR19" s="28"/>
      <c r="CS19" s="43">
        <v>1000</v>
      </c>
      <c r="DO19" s="5"/>
      <c r="DP19" s="5"/>
      <c r="DY19" s="2"/>
      <c r="DZ19" s="2"/>
      <c r="EB19" s="43">
        <v>1000</v>
      </c>
      <c r="EW19" s="5"/>
      <c r="EX19" s="5"/>
      <c r="FG19" s="2"/>
      <c r="FH19" s="2"/>
      <c r="FJ19" s="43">
        <v>1000</v>
      </c>
      <c r="GE19" s="5"/>
      <c r="GF19" s="5"/>
      <c r="GO19" s="2"/>
      <c r="GP19" s="2"/>
      <c r="GR19" s="43">
        <v>1000</v>
      </c>
      <c r="HM19" s="5"/>
      <c r="HN19" s="5"/>
      <c r="HW19" s="2"/>
      <c r="HX19" s="2"/>
      <c r="HZ19" s="43">
        <v>1000</v>
      </c>
      <c r="IU19" s="5"/>
      <c r="IV19" s="5"/>
      <c r="JE19" s="2"/>
      <c r="JF19" s="2"/>
      <c r="JH19" s="43">
        <v>1000</v>
      </c>
      <c r="KC19" s="5"/>
      <c r="KD19" s="5"/>
      <c r="KM19" s="2"/>
      <c r="KN19" s="2"/>
      <c r="KP19" s="43">
        <v>1000</v>
      </c>
      <c r="LK19" s="5"/>
      <c r="LL19" s="5"/>
      <c r="LU19" s="2"/>
      <c r="LV19" s="2"/>
      <c r="LX19" s="43">
        <v>1000</v>
      </c>
      <c r="MS19" s="5"/>
      <c r="MT19" s="5"/>
      <c r="NC19" s="2"/>
      <c r="ND19" s="2"/>
      <c r="NF19" s="43">
        <v>1000</v>
      </c>
      <c r="OA19" s="5"/>
      <c r="OB19" s="5"/>
      <c r="OK19" s="2"/>
      <c r="OL19" s="2"/>
      <c r="ON19" s="43">
        <v>1000</v>
      </c>
      <c r="PI19" s="5"/>
      <c r="PJ19" s="5"/>
      <c r="PS19" s="2"/>
      <c r="PT19" s="2"/>
      <c r="PV19" s="43">
        <v>1000</v>
      </c>
      <c r="QQ19" s="5"/>
      <c r="QR19" s="5"/>
      <c r="RA19" s="2"/>
      <c r="RB19" s="2"/>
      <c r="RD19" s="43">
        <v>1000</v>
      </c>
      <c r="RY19" s="5"/>
      <c r="RZ19" s="5"/>
      <c r="SI19" s="2"/>
      <c r="SJ19" s="2"/>
      <c r="SL19" s="43">
        <v>1000</v>
      </c>
      <c r="TG19" s="5"/>
      <c r="TH19" s="5"/>
      <c r="TQ19" s="2"/>
      <c r="TR19" s="2"/>
      <c r="TT19" s="43">
        <v>1000</v>
      </c>
      <c r="UO19" s="5"/>
      <c r="UP19" s="5"/>
      <c r="UY19" s="2"/>
      <c r="UZ19" s="2"/>
      <c r="VB19" s="43">
        <v>1000</v>
      </c>
      <c r="VW19" s="5"/>
      <c r="VX19" s="5"/>
      <c r="WG19" s="2"/>
      <c r="WH19" s="2"/>
      <c r="WJ19" s="43">
        <v>1000</v>
      </c>
    </row>
    <row r="20" spans="1:644" hidden="1" x14ac:dyDescent="0.2">
      <c r="A20" s="5"/>
      <c r="B20" s="29" t="s">
        <v>49</v>
      </c>
      <c r="C20" s="5"/>
      <c r="AJ20" s="37"/>
      <c r="AK20" s="37"/>
      <c r="AL20" s="37"/>
      <c r="AM20" s="28"/>
      <c r="AN20" s="28"/>
      <c r="AO20" s="28"/>
      <c r="AP20" s="28"/>
      <c r="AQ20" s="44">
        <v>1000</v>
      </c>
      <c r="BK20" s="37"/>
      <c r="BL20" s="37"/>
      <c r="BM20" s="37"/>
      <c r="BO20" s="28"/>
      <c r="BP20" s="28"/>
      <c r="BR20" s="44">
        <v>1000</v>
      </c>
      <c r="CL20" s="37"/>
      <c r="CM20" s="37"/>
      <c r="CN20" s="37"/>
      <c r="CO20" s="28"/>
      <c r="CP20" s="28"/>
      <c r="CQ20" s="28"/>
      <c r="CR20" s="28"/>
      <c r="CS20" s="44">
        <v>1000</v>
      </c>
      <c r="DO20" s="5"/>
      <c r="DP20" s="5"/>
      <c r="DY20" s="2"/>
      <c r="DZ20" s="2"/>
      <c r="EA20" s="33"/>
      <c r="EB20" s="44">
        <v>1000</v>
      </c>
      <c r="EW20" s="5"/>
      <c r="EX20" s="5"/>
      <c r="FG20" s="2"/>
      <c r="FH20" s="2"/>
      <c r="FI20" s="33"/>
      <c r="FJ20" s="44">
        <v>1000</v>
      </c>
      <c r="GE20" s="5"/>
      <c r="GF20" s="5"/>
      <c r="GO20" s="2"/>
      <c r="GP20" s="2"/>
      <c r="GQ20" s="33"/>
      <c r="GR20" s="44">
        <v>1000</v>
      </c>
      <c r="HM20" s="5"/>
      <c r="HN20" s="5"/>
      <c r="HW20" s="2"/>
      <c r="HX20" s="2"/>
      <c r="HY20" s="33"/>
      <c r="HZ20" s="44">
        <v>1000</v>
      </c>
      <c r="IU20" s="5"/>
      <c r="IV20" s="5"/>
      <c r="JE20" s="2"/>
      <c r="JF20" s="2"/>
      <c r="JG20" s="33"/>
      <c r="JH20" s="44">
        <v>1000</v>
      </c>
      <c r="KC20" s="5"/>
      <c r="KD20" s="5"/>
      <c r="KM20" s="2"/>
      <c r="KN20" s="2"/>
      <c r="KO20" s="33"/>
      <c r="KP20" s="44">
        <v>1000</v>
      </c>
      <c r="LK20" s="5"/>
      <c r="LL20" s="5"/>
      <c r="LU20" s="2"/>
      <c r="LV20" s="2"/>
      <c r="LW20" s="33"/>
      <c r="LX20" s="44">
        <v>1000</v>
      </c>
      <c r="MS20" s="5"/>
      <c r="MT20" s="5"/>
      <c r="NC20" s="2"/>
      <c r="ND20" s="2"/>
      <c r="NE20" s="33"/>
      <c r="NF20" s="44">
        <v>1000</v>
      </c>
      <c r="OA20" s="5"/>
      <c r="OB20" s="5"/>
      <c r="OK20" s="2"/>
      <c r="OL20" s="2"/>
      <c r="OM20" s="33"/>
      <c r="ON20" s="44">
        <v>1000</v>
      </c>
      <c r="PI20" s="5"/>
      <c r="PJ20" s="5"/>
      <c r="PS20" s="2"/>
      <c r="PT20" s="2"/>
      <c r="PU20" s="33"/>
      <c r="PV20" s="44">
        <v>1000</v>
      </c>
      <c r="QQ20" s="5"/>
      <c r="QR20" s="5"/>
      <c r="RA20" s="2"/>
      <c r="RB20" s="2"/>
      <c r="RC20" s="33"/>
      <c r="RD20" s="44">
        <v>1000</v>
      </c>
      <c r="RY20" s="5"/>
      <c r="RZ20" s="5"/>
      <c r="SI20" s="2"/>
      <c r="SJ20" s="2"/>
      <c r="SK20" s="33"/>
      <c r="SL20" s="44">
        <v>1000</v>
      </c>
      <c r="TG20" s="5"/>
      <c r="TH20" s="5"/>
      <c r="TQ20" s="2"/>
      <c r="TR20" s="2"/>
      <c r="TS20" s="33"/>
      <c r="TT20" s="44">
        <v>1000</v>
      </c>
      <c r="UO20" s="5"/>
      <c r="UP20" s="5"/>
      <c r="UY20" s="2"/>
      <c r="UZ20" s="2"/>
      <c r="VA20" s="33"/>
      <c r="VB20" s="44">
        <v>1000</v>
      </c>
      <c r="VW20" s="5"/>
      <c r="VX20" s="5"/>
      <c r="WG20" s="2"/>
      <c r="WH20" s="2"/>
      <c r="WI20" s="33"/>
      <c r="WJ20" s="44">
        <v>1000</v>
      </c>
    </row>
    <row r="21" spans="1:644" hidden="1" x14ac:dyDescent="0.2">
      <c r="A21" s="5"/>
      <c r="B21" s="21" t="s">
        <v>30</v>
      </c>
      <c r="C21" s="5"/>
      <c r="AJ21" s="37"/>
      <c r="AK21" s="37"/>
      <c r="AL21" s="37"/>
      <c r="AM21" s="28"/>
      <c r="AN21" s="37"/>
      <c r="AO21" s="37"/>
      <c r="AP21" s="28"/>
      <c r="AQ21" s="45">
        <v>1000</v>
      </c>
      <c r="BK21" s="37"/>
      <c r="BL21" s="37"/>
      <c r="BM21" s="37"/>
      <c r="BO21" s="37"/>
      <c r="BP21" s="28"/>
      <c r="BR21" s="45">
        <v>1000</v>
      </c>
      <c r="CL21" s="37"/>
      <c r="CM21" s="37"/>
      <c r="CN21" s="37"/>
      <c r="CO21" s="28"/>
      <c r="CP21" s="37"/>
      <c r="CQ21" s="28"/>
      <c r="CR21" s="28"/>
      <c r="CS21" s="45">
        <v>1000</v>
      </c>
      <c r="DO21" s="5"/>
      <c r="DP21" s="5"/>
      <c r="DY21" s="37"/>
      <c r="DZ21" s="2"/>
      <c r="EB21" s="45">
        <v>1000</v>
      </c>
      <c r="EW21" s="5"/>
      <c r="EX21" s="5"/>
      <c r="FG21" s="37"/>
      <c r="FH21" s="2"/>
      <c r="FJ21" s="45">
        <v>1000</v>
      </c>
      <c r="GE21" s="5"/>
      <c r="GF21" s="5"/>
      <c r="GO21" s="2"/>
      <c r="GP21" s="2"/>
      <c r="GR21" s="45">
        <v>1000</v>
      </c>
      <c r="HM21" s="5"/>
      <c r="HN21" s="5"/>
      <c r="HW21" s="37"/>
      <c r="HX21" s="2"/>
      <c r="HZ21" s="45">
        <v>1000</v>
      </c>
      <c r="IU21" s="5"/>
      <c r="IV21" s="5"/>
      <c r="JE21" s="2"/>
      <c r="JF21" s="2"/>
      <c r="JH21" s="45">
        <v>1000</v>
      </c>
      <c r="KC21" s="5"/>
      <c r="KD21" s="5"/>
      <c r="KM21" s="2"/>
      <c r="KN21" s="2"/>
      <c r="KP21" s="45">
        <v>1000</v>
      </c>
      <c r="LK21" s="5"/>
      <c r="LL21" s="5"/>
      <c r="LU21" s="2"/>
      <c r="LV21" s="2"/>
      <c r="LX21" s="45">
        <v>1000</v>
      </c>
      <c r="MS21" s="5"/>
      <c r="MT21" s="5"/>
      <c r="NC21" s="2"/>
      <c r="ND21" s="2"/>
      <c r="NF21" s="45">
        <v>1000</v>
      </c>
      <c r="OA21" s="5"/>
      <c r="OB21" s="5"/>
      <c r="OK21" s="2"/>
      <c r="OL21" s="2"/>
      <c r="ON21" s="45">
        <v>1000</v>
      </c>
      <c r="PI21" s="5"/>
      <c r="PJ21" s="5"/>
      <c r="PS21" s="2"/>
      <c r="PT21" s="2"/>
      <c r="PV21" s="45">
        <v>1000</v>
      </c>
      <c r="QQ21" s="5"/>
      <c r="QR21" s="5"/>
      <c r="RA21" s="2"/>
      <c r="RB21" s="2"/>
      <c r="RD21" s="45">
        <v>1000</v>
      </c>
      <c r="RY21" s="5"/>
      <c r="RZ21" s="5"/>
      <c r="SI21" s="2"/>
      <c r="SJ21" s="2"/>
      <c r="SL21" s="45">
        <v>1000</v>
      </c>
      <c r="TG21" s="5"/>
      <c r="TH21" s="5"/>
      <c r="TQ21" s="2"/>
      <c r="TR21" s="2"/>
      <c r="TT21" s="45">
        <v>1000</v>
      </c>
      <c r="UO21" s="5"/>
      <c r="UP21" s="5"/>
      <c r="UY21" s="2"/>
      <c r="UZ21" s="2"/>
      <c r="VB21" s="45">
        <v>1000</v>
      </c>
      <c r="VW21" s="5"/>
      <c r="VX21" s="5"/>
      <c r="WG21" s="2"/>
      <c r="WH21" s="2"/>
      <c r="WJ21" s="45">
        <v>1000</v>
      </c>
    </row>
    <row r="22" spans="1:644" x14ac:dyDescent="0.2">
      <c r="B22" s="25" t="s">
        <v>43</v>
      </c>
      <c r="C22" s="2"/>
      <c r="AM22" s="28"/>
      <c r="AP22" s="28"/>
      <c r="CO22" s="28"/>
      <c r="CR22" s="28"/>
    </row>
    <row r="23" spans="1:644" x14ac:dyDescent="0.2">
      <c r="A23" s="5"/>
      <c r="B23" s="5"/>
      <c r="C23" s="17"/>
      <c r="AI23" s="28"/>
      <c r="AJ23" s="28"/>
      <c r="AK23" s="28"/>
      <c r="AL23" s="28"/>
      <c r="AM23" s="28"/>
      <c r="AP23" s="28"/>
      <c r="CK23" s="28"/>
      <c r="CL23" s="28"/>
      <c r="CM23" s="28"/>
      <c r="CN23" s="28"/>
      <c r="CO23" s="28"/>
      <c r="CR23" s="28"/>
    </row>
    <row r="24" spans="1:644" ht="17" x14ac:dyDescent="0.2">
      <c r="A24" s="5"/>
      <c r="B24" s="5"/>
      <c r="C24" s="17"/>
      <c r="N24" s="10"/>
      <c r="O24" s="10"/>
      <c r="AI24" s="28"/>
      <c r="AJ24" s="28"/>
      <c r="AK24" s="28"/>
      <c r="AL24" s="28"/>
      <c r="AM24" s="28"/>
      <c r="AP24" s="28"/>
      <c r="CK24" s="28"/>
      <c r="CL24" s="28"/>
      <c r="CM24" s="28"/>
      <c r="CN24" s="28"/>
      <c r="CO24" s="28"/>
      <c r="CR24" s="28"/>
    </row>
    <row r="25" spans="1:644" s="32" customFormat="1" ht="17" x14ac:dyDescent="0.2">
      <c r="A25" s="5"/>
      <c r="B25" s="5"/>
      <c r="C25" s="17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28"/>
      <c r="AJ25" s="28"/>
      <c r="AK25" s="28"/>
      <c r="AL25" s="28"/>
      <c r="AM25" s="28"/>
      <c r="AP25" s="28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28"/>
      <c r="CL25" s="28"/>
      <c r="CM25" s="28"/>
      <c r="CN25" s="28"/>
      <c r="CO25" s="28"/>
      <c r="CR25" s="28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</row>
    <row r="26" spans="1:644" s="32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28"/>
      <c r="AJ26" s="28"/>
      <c r="AK26" s="28"/>
      <c r="AL26" s="28"/>
      <c r="AM26" s="28"/>
      <c r="AP26" s="28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28"/>
      <c r="CL26" s="28"/>
      <c r="CM26" s="28"/>
      <c r="CN26" s="28"/>
      <c r="CO26" s="28"/>
      <c r="CR26" s="28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</row>
    <row r="27" spans="1:644" s="32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28"/>
      <c r="AJ27" s="28"/>
      <c r="AK27" s="28"/>
      <c r="AL27" s="28"/>
      <c r="AM27" s="28"/>
      <c r="AP27" s="28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28"/>
      <c r="CL27" s="28"/>
      <c r="CM27" s="28"/>
      <c r="CN27" s="28"/>
      <c r="CO27" s="28"/>
      <c r="CR27" s="28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</row>
    <row r="28" spans="1:644" s="32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28"/>
      <c r="AJ28" s="28"/>
      <c r="AK28" s="28"/>
      <c r="AL28" s="28"/>
      <c r="AM28" s="28"/>
      <c r="AP28" s="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28"/>
      <c r="CL28" s="28"/>
      <c r="CM28" s="28"/>
      <c r="CN28" s="28"/>
      <c r="CO28" s="28"/>
      <c r="CR28" s="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</row>
    <row r="29" spans="1:644" s="32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</row>
    <row r="30" spans="1:644" s="32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</row>
    <row r="31" spans="1:644" s="32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</row>
    <row r="32" spans="1:644" s="32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</row>
    <row r="33" spans="1:644" s="32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</row>
    <row r="34" spans="1:644" s="32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</row>
    <row r="35" spans="1:644" s="32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</row>
    <row r="36" spans="1:644" s="32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</row>
    <row r="37" spans="1:644" s="32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</row>
    <row r="38" spans="1:644" s="32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</row>
    <row r="39" spans="1:644" s="32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</row>
    <row r="40" spans="1:644" s="32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</row>
    <row r="41" spans="1:644" ht="17" x14ac:dyDescent="0.2">
      <c r="N41" s="10"/>
      <c r="O41" s="10"/>
      <c r="P41" s="10"/>
    </row>
    <row r="42" spans="1:644" ht="17" x14ac:dyDescent="0.2">
      <c r="N42" s="10"/>
      <c r="O42" s="10"/>
      <c r="P42" s="10"/>
    </row>
    <row r="43" spans="1:644" ht="17" x14ac:dyDescent="0.2">
      <c r="N43" s="10"/>
      <c r="O43" s="10"/>
      <c r="P43" s="10"/>
    </row>
  </sheetData>
  <sheetProtection sheet="1" formatCells="0" formatColumns="0" formatRows="0"/>
  <autoFilter ref="A1:WJ1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sortState xmlns:xlrd2="http://schemas.microsoft.com/office/spreadsheetml/2017/richdata2" ref="A6:WJ11">
      <sortCondition descending="1" ref="F1:F12"/>
    </sortState>
  </autoFilter>
  <mergeCells count="103">
    <mergeCell ref="VH2:VL2"/>
    <mergeCell ref="VM2:VQ2"/>
    <mergeCell ref="VR2:VV2"/>
    <mergeCell ref="TB2:TF2"/>
    <mergeCell ref="TU2:TY2"/>
    <mergeCell ref="TZ2:UD2"/>
    <mergeCell ref="UE2:UI2"/>
    <mergeCell ref="UJ2:UN2"/>
    <mergeCell ref="VC2:VG2"/>
    <mergeCell ref="RT2:RX2"/>
    <mergeCell ref="SM2:SQ2"/>
    <mergeCell ref="SR2:SV2"/>
    <mergeCell ref="SW2:TA2"/>
    <mergeCell ref="PD2:PH2"/>
    <mergeCell ref="PW2:QA2"/>
    <mergeCell ref="QB2:QF2"/>
    <mergeCell ref="QG2:QK2"/>
    <mergeCell ref="QL2:QP2"/>
    <mergeCell ref="RE2:RI2"/>
    <mergeCell ref="OY2:PC2"/>
    <mergeCell ref="LF2:LJ2"/>
    <mergeCell ref="LY2:MC2"/>
    <mergeCell ref="MD2:MH2"/>
    <mergeCell ref="MI2:MM2"/>
    <mergeCell ref="MN2:MR2"/>
    <mergeCell ref="NG2:NK2"/>
    <mergeCell ref="RJ2:RN2"/>
    <mergeCell ref="RO2:RS2"/>
    <mergeCell ref="IF2:IJ2"/>
    <mergeCell ref="IK2:IO2"/>
    <mergeCell ref="IP2:IT2"/>
    <mergeCell ref="JI2:JM2"/>
    <mergeCell ref="NL2:NP2"/>
    <mergeCell ref="NQ2:NU2"/>
    <mergeCell ref="NV2:NZ2"/>
    <mergeCell ref="OO2:OS2"/>
    <mergeCell ref="OT2:OX2"/>
    <mergeCell ref="DE2:DI2"/>
    <mergeCell ref="RE1:SL1"/>
    <mergeCell ref="SM1:TT1"/>
    <mergeCell ref="TU1:VB1"/>
    <mergeCell ref="FP2:FT2"/>
    <mergeCell ref="FU2:FY2"/>
    <mergeCell ref="FZ2:GD2"/>
    <mergeCell ref="GS2:GW2"/>
    <mergeCell ref="GX2:HB2"/>
    <mergeCell ref="HC2:HG2"/>
    <mergeCell ref="DJ2:DN2"/>
    <mergeCell ref="EC2:EG2"/>
    <mergeCell ref="EH2:EL2"/>
    <mergeCell ref="EM2:EQ2"/>
    <mergeCell ref="ER2:EV2"/>
    <mergeCell ref="FK2:FO2"/>
    <mergeCell ref="JN2:JR2"/>
    <mergeCell ref="JS2:JW2"/>
    <mergeCell ref="JX2:KB2"/>
    <mergeCell ref="KQ2:KU2"/>
    <mergeCell ref="KV2:KZ2"/>
    <mergeCell ref="LA2:LE2"/>
    <mergeCell ref="HH2:HL2"/>
    <mergeCell ref="IA2:IE2"/>
    <mergeCell ref="VC1:WJ1"/>
    <mergeCell ref="Q2:U2"/>
    <mergeCell ref="V2:Z2"/>
    <mergeCell ref="AA2:AE2"/>
    <mergeCell ref="AR2:AV2"/>
    <mergeCell ref="AW2:BA2"/>
    <mergeCell ref="BB2:BF2"/>
    <mergeCell ref="JI1:KP1"/>
    <mergeCell ref="KQ1:LX1"/>
    <mergeCell ref="LY1:NF1"/>
    <mergeCell ref="NG1:ON1"/>
    <mergeCell ref="OO1:PV1"/>
    <mergeCell ref="PW1:RD1"/>
    <mergeCell ref="BS1:CS1"/>
    <mergeCell ref="CU1:EB1"/>
    <mergeCell ref="EC1:FJ1"/>
    <mergeCell ref="FK1:GR1"/>
    <mergeCell ref="GS1:HZ1"/>
    <mergeCell ref="IA1:JH1"/>
    <mergeCell ref="BS2:BW2"/>
    <mergeCell ref="BX2:CB2"/>
    <mergeCell ref="CC2:CG2"/>
    <mergeCell ref="CU2:CY2"/>
    <mergeCell ref="CZ2:DD2"/>
    <mergeCell ref="P1:P3"/>
    <mergeCell ref="Q1:AQ1"/>
    <mergeCell ref="AR1:BR1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H1:H1048576">
    <cfRule type="containsText" dxfId="134" priority="129" operator="containsText" text="No DD">
      <formula>NOT(ISERROR(SEARCH("No DD",H1)))</formula>
    </cfRule>
    <cfRule type="containsText" dxfId="133" priority="130" operator="containsText" text="Merit">
      <formula>NOT(ISERROR(SEARCH("Merit",H1)))</formula>
    </cfRule>
    <cfRule type="containsText" dxfId="132" priority="131" operator="containsText" text="Excellence">
      <formula>NOT(ISERROR(SEARCH("Excellence",H1)))</formula>
    </cfRule>
    <cfRule type="containsText" dxfId="131" priority="132" operator="containsText" text="Worlds Team">
      <formula>NOT(ISERROR(SEARCH("Worlds Team",H1)))</formula>
    </cfRule>
    <cfRule type="containsText" dxfId="130" priority="133" operator="containsText" text="National Team">
      <formula>NOT(ISERROR(SEARCH("National Team",H1)))</formula>
    </cfRule>
  </conditionalFormatting>
  <conditionalFormatting sqref="Q4:AQ11">
    <cfRule type="expression" dxfId="129" priority="128" stopIfTrue="1">
      <formula>IF($AF4&lt;&gt;"",1,0)</formula>
    </cfRule>
  </conditionalFormatting>
  <conditionalFormatting sqref="AR4:BR11">
    <cfRule type="expression" dxfId="128" priority="127" stopIfTrue="1">
      <formula>IF($BG4&lt;&gt;"",1,0)</formula>
    </cfRule>
  </conditionalFormatting>
  <conditionalFormatting sqref="BS4:CS11">
    <cfRule type="expression" dxfId="127" priority="126" stopIfTrue="1">
      <formula>IF($CH4&lt;&gt;"",1,0)</formula>
    </cfRule>
  </conditionalFormatting>
  <conditionalFormatting sqref="BO22:BO1048576 BH1:BH1048576 BK1:BK1048576 BO1:BO20">
    <cfRule type="cellIs" dxfId="126" priority="122" operator="between">
      <formula>$BR$17</formula>
      <formula>1000</formula>
    </cfRule>
    <cfRule type="cellIs" dxfId="125" priority="123" operator="between">
      <formula>$BR$16</formula>
      <formula>$BR$17</formula>
    </cfRule>
    <cfRule type="cellIs" dxfId="124" priority="124" operator="between">
      <formula>$BR$15</formula>
      <formula>$BR$16</formula>
    </cfRule>
    <cfRule type="cellIs" dxfId="123" priority="125" operator="between">
      <formula>$BR$14</formula>
      <formula>$BR$15</formula>
    </cfRule>
  </conditionalFormatting>
  <conditionalFormatting sqref="CP22:CP1048576 CI1:CI1048576 CL1:CL1048576 CP1:CP20">
    <cfRule type="cellIs" dxfId="122" priority="118" operator="between">
      <formula>$CS$17</formula>
      <formula>1000</formula>
    </cfRule>
    <cfRule type="cellIs" dxfId="121" priority="119" operator="between">
      <formula>$CS$16</formula>
      <formula>$CS$17</formula>
    </cfRule>
    <cfRule type="cellIs" dxfId="120" priority="120" operator="between">
      <formula>$CS$15</formula>
      <formula>$CS$16</formula>
    </cfRule>
    <cfRule type="cellIs" dxfId="119" priority="121" operator="between">
      <formula>$CS$14</formula>
      <formula>$CS$15</formula>
    </cfRule>
  </conditionalFormatting>
  <conditionalFormatting sqref="DY22:DY1048576 DO1:DO1048576 DR1:DR1048576 DV1:DV1048576 DY1:DY20">
    <cfRule type="cellIs" dxfId="118" priority="117" operator="between">
      <formula>$EB$14</formula>
      <formula>$EB$15</formula>
    </cfRule>
  </conditionalFormatting>
  <conditionalFormatting sqref="FG22:FG1048576 EW1:EW1048576 EZ1:EZ1048576 FD1:FD1048576 FG1:FG20">
    <cfRule type="cellIs" dxfId="117" priority="116" operator="between">
      <formula>$FJ$14</formula>
      <formula>$FJ$15</formula>
    </cfRule>
  </conditionalFormatting>
  <conditionalFormatting sqref="HW22:HW1048576 HM1:HM1048576 HP1:HP1048576 HT1:HT1048576 HW1:HW20">
    <cfRule type="cellIs" dxfId="116" priority="115" operator="between">
      <formula>$HZ$14</formula>
      <formula>$HZ$15</formula>
    </cfRule>
  </conditionalFormatting>
  <conditionalFormatting sqref="AO21 AG1:AG1048576 AJ1:AJ1048576 AN1:AN1048576">
    <cfRule type="cellIs" dxfId="115" priority="111" operator="between">
      <formula>$AQ$17</formula>
      <formula>1000</formula>
    </cfRule>
    <cfRule type="cellIs" dxfId="114" priority="112" operator="between">
      <formula>$AQ$16</formula>
      <formula>$AQ$17</formula>
    </cfRule>
    <cfRule type="cellIs" dxfId="113" priority="113" operator="between">
      <formula>$AQ$15</formula>
      <formula>$AQ$16</formula>
    </cfRule>
    <cfRule type="cellIs" dxfId="112" priority="114" operator="between">
      <formula>$AQ$14</formula>
      <formula>$AQ$15</formula>
    </cfRule>
  </conditionalFormatting>
  <conditionalFormatting sqref="BO21">
    <cfRule type="cellIs" dxfId="111" priority="107" operator="between">
      <formula>$AQ$17</formula>
      <formula>1000</formula>
    </cfRule>
    <cfRule type="cellIs" dxfId="110" priority="108" operator="between">
      <formula>$AQ$16</formula>
      <formula>$AQ$17</formula>
    </cfRule>
    <cfRule type="cellIs" dxfId="109" priority="109" operator="between">
      <formula>$AQ$15</formula>
      <formula>$AQ$16</formula>
    </cfRule>
    <cfRule type="cellIs" dxfId="108" priority="110" operator="between">
      <formula>$AQ$14</formula>
      <formula>$AQ$15</formula>
    </cfRule>
  </conditionalFormatting>
  <conditionalFormatting sqref="CP21">
    <cfRule type="cellIs" dxfId="107" priority="103" operator="between">
      <formula>$AQ$17</formula>
      <formula>1000</formula>
    </cfRule>
    <cfRule type="cellIs" dxfId="106" priority="104" operator="between">
      <formula>$AQ$16</formula>
      <formula>$AQ$17</formula>
    </cfRule>
    <cfRule type="cellIs" dxfId="105" priority="105" operator="between">
      <formula>$AQ$15</formula>
      <formula>$AQ$16</formula>
    </cfRule>
    <cfRule type="cellIs" dxfId="104" priority="106" operator="between">
      <formula>$AQ$14</formula>
      <formula>$AQ$15</formula>
    </cfRule>
  </conditionalFormatting>
  <conditionalFormatting sqref="DY21">
    <cfRule type="cellIs" dxfId="103" priority="99" operator="between">
      <formula>$AQ$17</formula>
      <formula>1000</formula>
    </cfRule>
    <cfRule type="cellIs" dxfId="102" priority="100" operator="between">
      <formula>$AQ$16</formula>
      <formula>$AQ$17</formula>
    </cfRule>
    <cfRule type="cellIs" dxfId="101" priority="101" operator="between">
      <formula>$AQ$15</formula>
      <formula>$AQ$16</formula>
    </cfRule>
    <cfRule type="cellIs" dxfId="100" priority="102" operator="between">
      <formula>$AQ$14</formula>
      <formula>$AQ$15</formula>
    </cfRule>
  </conditionalFormatting>
  <conditionalFormatting sqref="FG21">
    <cfRule type="cellIs" dxfId="99" priority="95" operator="between">
      <formula>$AQ$17</formula>
      <formula>1000</formula>
    </cfRule>
    <cfRule type="cellIs" dxfId="98" priority="96" operator="between">
      <formula>$AQ$16</formula>
      <formula>$AQ$17</formula>
    </cfRule>
    <cfRule type="cellIs" dxfId="97" priority="97" operator="between">
      <formula>$AQ$15</formula>
      <formula>$AQ$16</formula>
    </cfRule>
    <cfRule type="cellIs" dxfId="96" priority="98" operator="between">
      <formula>$AQ$14</formula>
      <formula>$AQ$15</formula>
    </cfRule>
  </conditionalFormatting>
  <conditionalFormatting sqref="HW21">
    <cfRule type="cellIs" dxfId="95" priority="91" operator="between">
      <formula>$AQ$17</formula>
      <formula>1000</formula>
    </cfRule>
    <cfRule type="cellIs" dxfId="94" priority="92" operator="between">
      <formula>$AQ$16</formula>
      <formula>$AQ$17</formula>
    </cfRule>
    <cfRule type="cellIs" dxfId="93" priority="93" operator="between">
      <formula>$AQ$15</formula>
      <formula>$AQ$16</formula>
    </cfRule>
    <cfRule type="cellIs" dxfId="92" priority="94" operator="between">
      <formula>$AQ$14</formula>
      <formula>$AQ$15</formula>
    </cfRule>
  </conditionalFormatting>
  <conditionalFormatting sqref="M1:M1048576 K1:K1048576">
    <cfRule type="expression" dxfId="91" priority="88" stopIfTrue="1">
      <formula>IF(K1=$BS$1,1,0)</formula>
    </cfRule>
    <cfRule type="expression" dxfId="90" priority="89">
      <formula>IF(K1=$AR$1,1,0)</formula>
    </cfRule>
    <cfRule type="expression" dxfId="89" priority="90">
      <formula>IF(K1=$Q$1,1,0)</formula>
    </cfRule>
  </conditionalFormatting>
  <conditionalFormatting sqref="A4:A1048576">
    <cfRule type="expression" dxfId="88" priority="86">
      <formula>AND(G4&lt;&gt;"",F4="")</formula>
    </cfRule>
    <cfRule type="expression" dxfId="87" priority="87">
      <formula>IF(A4&gt;2,1,0)</formula>
    </cfRule>
  </conditionalFormatting>
  <conditionalFormatting sqref="CN1:CN1048576 AL1:AL1048576">
    <cfRule type="cellIs" dxfId="86" priority="172037" operator="between">
      <formula>AQ$21</formula>
      <formula>1000</formula>
    </cfRule>
    <cfRule type="cellIs" dxfId="85" priority="172038" operator="between">
      <formula>AQ$20</formula>
      <formula>AQ$21</formula>
    </cfRule>
  </conditionalFormatting>
  <conditionalFormatting sqref="DT1:DT1048576 FB1:FB1048576 GJ1:GJ1048576 HR1:HR1048576 IZ1:IZ1048576 KH1:KH1048576 LP1:LP1048576 MX1:MX1048576 OF1:OF1048576 PN1:PN1048576 QV1:QV1048576 SD1:SD1048576 TL1:TL21 UT1:UT21 WB1:WB21">
    <cfRule type="cellIs" dxfId="84" priority="172049" operator="between">
      <formula>EB$21</formula>
      <formula>1000</formula>
    </cfRule>
    <cfRule type="cellIs" dxfId="83" priority="172050" operator="between">
      <formula>EB$20</formula>
      <formula>EB$21</formula>
    </cfRule>
  </conditionalFormatting>
  <conditionalFormatting sqref="AI1:AI1048576 AL1:AL1048576 AP1:AP1048576">
    <cfRule type="cellIs" dxfId="82" priority="172133" operator="between">
      <formula>$AQ$21</formula>
      <formula>1000</formula>
    </cfRule>
    <cfRule type="cellIs" dxfId="81" priority="172134" operator="between">
      <formula>$AQ$20</formula>
      <formula>$AQ$21</formula>
    </cfRule>
    <cfRule type="cellIs" dxfId="80" priority="172135" operator="between">
      <formula>$AQ$19</formula>
      <formula>$AQ$20</formula>
    </cfRule>
    <cfRule type="cellIs" dxfId="79" priority="172136" operator="between">
      <formula>$AQ$18</formula>
      <formula>$AQ$19</formula>
    </cfRule>
  </conditionalFormatting>
  <conditionalFormatting sqref="BJ1:BJ1048576 BM1:BM1048576 BQ1:BQ1048576">
    <cfRule type="cellIs" dxfId="78" priority="172169" operator="between">
      <formula>$BR$21</formula>
      <formula>1000</formula>
    </cfRule>
    <cfRule type="cellIs" dxfId="77" priority="172170" operator="between">
      <formula>$BR$20</formula>
      <formula>$BR$21</formula>
    </cfRule>
    <cfRule type="cellIs" dxfId="76" priority="172171" operator="between">
      <formula>$BR$19</formula>
      <formula>$BR$20</formula>
    </cfRule>
    <cfRule type="cellIs" dxfId="75" priority="172172" operator="between">
      <formula>$BR$18</formula>
      <formula>$BR$19</formula>
    </cfRule>
  </conditionalFormatting>
  <conditionalFormatting sqref="CK1:CK1048576 CN1:CN1048576 CR1:CR1048576">
    <cfRule type="cellIs" dxfId="74" priority="172205" operator="between">
      <formula>$CS$21</formula>
      <formula>1000</formula>
    </cfRule>
    <cfRule type="cellIs" dxfId="73" priority="172206" operator="between">
      <formula>$CS$20</formula>
      <formula>$CS$21</formula>
    </cfRule>
    <cfRule type="cellIs" dxfId="72" priority="172207" operator="between">
      <formula>$CS$19</formula>
      <formula>$CS$20</formula>
    </cfRule>
    <cfRule type="cellIs" dxfId="71" priority="172208" operator="between">
      <formula>$CS$18</formula>
      <formula>$CS$19</formula>
    </cfRule>
  </conditionalFormatting>
  <conditionalFormatting sqref="MS1:MS1048576 MV1:MV1048576 MZ1:MZ1048576 NC1:NC1048576">
    <cfRule type="cellIs" dxfId="70" priority="172241" operator="between">
      <formula>$NF$14</formula>
      <formula>$NF$15</formula>
    </cfRule>
  </conditionalFormatting>
  <conditionalFormatting sqref="DQ1:DQ1048576 DT1:DT1048576 DX1:DX1048576 EA1:EA1048576">
    <cfRule type="cellIs" dxfId="69" priority="172253" operator="between">
      <formula>$EB$21</formula>
      <formula>1000</formula>
    </cfRule>
    <cfRule type="cellIs" dxfId="68" priority="172254" operator="between">
      <formula>$EB$20</formula>
      <formula>$EB$21</formula>
    </cfRule>
    <cfRule type="cellIs" dxfId="67" priority="172255" operator="between">
      <formula>$EB$19</formula>
      <formula>$EB$20</formula>
    </cfRule>
    <cfRule type="cellIs" dxfId="66" priority="172256" operator="between">
      <formula>$EB$18</formula>
      <formula>$EB$19</formula>
    </cfRule>
  </conditionalFormatting>
  <conditionalFormatting sqref="EY1:EY1048576 FB1:FB1048576 FF1:FF1048576 FI1:FI1048576">
    <cfRule type="cellIs" dxfId="65" priority="172301" operator="between">
      <formula>$FJ$21</formula>
      <formula>1000</formula>
    </cfRule>
    <cfRule type="cellIs" dxfId="64" priority="172302" operator="between">
      <formula>$FJ$20</formula>
      <formula>$FJ$21</formula>
    </cfRule>
    <cfRule type="cellIs" dxfId="63" priority="172303" operator="between">
      <formula>$FJ$19</formula>
      <formula>$FJ$20</formula>
    </cfRule>
    <cfRule type="cellIs" dxfId="62" priority="172304" operator="between">
      <formula>$FJ$18</formula>
      <formula>$FJ$19</formula>
    </cfRule>
  </conditionalFormatting>
  <conditionalFormatting sqref="GE1:GE1048576 GH1:GH1048576 GL1:GL1048576 GO1:GO1048576">
    <cfRule type="cellIs" dxfId="61" priority="172349" stopIfTrue="1" operator="between">
      <formula>$GR$15</formula>
      <formula>1000</formula>
    </cfRule>
    <cfRule type="cellIs" dxfId="60" priority="172350" operator="between">
      <formula>$GR$14</formula>
      <formula>$GR$15</formula>
    </cfRule>
  </conditionalFormatting>
  <conditionalFormatting sqref="GG1:GG1048576 GJ1:GJ1048576 GN1:GN1048576 GQ1:GQ1048576">
    <cfRule type="cellIs" dxfId="59" priority="172373" operator="between">
      <formula>$GR$21</formula>
      <formula>1000</formula>
    </cfRule>
    <cfRule type="cellIs" dxfId="58" priority="172374" operator="between">
      <formula>$GR$20</formula>
      <formula>$GR$21</formula>
    </cfRule>
    <cfRule type="cellIs" dxfId="57" priority="172375" operator="between">
      <formula>$GR$19</formula>
      <formula>$GR$20</formula>
    </cfRule>
    <cfRule type="cellIs" dxfId="56" priority="172376" operator="between">
      <formula>$GR$18</formula>
      <formula>$GR$19</formula>
    </cfRule>
  </conditionalFormatting>
  <conditionalFormatting sqref="HO1:HO1048576 HR1:HR1048576 HV1:HV1048576 HY1:HY1048576">
    <cfRule type="cellIs" dxfId="55" priority="172421" operator="between">
      <formula>$HZ$21</formula>
      <formula>1000</formula>
    </cfRule>
    <cfRule type="cellIs" dxfId="54" priority="172422" operator="between">
      <formula>$HZ$20</formula>
      <formula>$HZ$21</formula>
    </cfRule>
    <cfRule type="cellIs" dxfId="53" priority="172423" operator="between">
      <formula>$HZ$19</formula>
      <formula>$HZ$20</formula>
    </cfRule>
    <cfRule type="cellIs" dxfId="52" priority="172424" operator="between">
      <formula>$HZ$18</formula>
      <formula>$HZ$19</formula>
    </cfRule>
  </conditionalFormatting>
  <conditionalFormatting sqref="IU1:IU1048576 IX1:IX1048576 JB1:JB1048576 JE1:JE1048576">
    <cfRule type="cellIs" dxfId="51" priority="172469" stopIfTrue="1" operator="between">
      <formula>$JH$15</formula>
      <formula>1000</formula>
    </cfRule>
    <cfRule type="cellIs" dxfId="50" priority="172470" operator="between">
      <formula>$JH$14</formula>
      <formula>$JH$15</formula>
    </cfRule>
  </conditionalFormatting>
  <conditionalFormatting sqref="IW1:IW1048576 IZ1:IZ1048576 JD1:JD1048576 JG1:JG1048576">
    <cfRule type="cellIs" dxfId="49" priority="172493" operator="between">
      <formula>$JH$21</formula>
      <formula>1000</formula>
    </cfRule>
    <cfRule type="cellIs" dxfId="48" priority="172494" operator="between">
      <formula>$JH$20</formula>
      <formula>$JH$21</formula>
    </cfRule>
    <cfRule type="cellIs" dxfId="47" priority="172495" operator="between">
      <formula>$JH$19</formula>
      <formula>$JH$20</formula>
    </cfRule>
    <cfRule type="cellIs" dxfId="46" priority="172496" operator="between">
      <formula>$JH$18</formula>
      <formula>$JH$19</formula>
    </cfRule>
  </conditionalFormatting>
  <conditionalFormatting sqref="KC1:KC1048576 KF1:KF1048576 KJ1:KJ1048576 KM1:KM1048576">
    <cfRule type="cellIs" dxfId="45" priority="172541" stopIfTrue="1" operator="between">
      <formula>$KP$15</formula>
      <formula>1000</formula>
    </cfRule>
    <cfRule type="cellIs" dxfId="44" priority="172542" operator="between">
      <formula>$KP$14</formula>
      <formula>$KP$15</formula>
    </cfRule>
  </conditionalFormatting>
  <conditionalFormatting sqref="KE1:KE1048576 KH1:KH1048576 KL1:KL1048576 KO1:KO1048576">
    <cfRule type="cellIs" dxfId="43" priority="172565" operator="between">
      <formula>$KP$21</formula>
      <formula>1000</formula>
    </cfRule>
    <cfRule type="cellIs" dxfId="42" priority="172566" operator="between">
      <formula>$KP$20</formula>
      <formula>$KP$21</formula>
    </cfRule>
    <cfRule type="cellIs" dxfId="41" priority="172567" operator="between">
      <formula>$KP$19</formula>
      <formula>$KP$20</formula>
    </cfRule>
    <cfRule type="cellIs" dxfId="40" priority="172568" operator="between">
      <formula>$KP$18</formula>
      <formula>$KP$19</formula>
    </cfRule>
  </conditionalFormatting>
  <conditionalFormatting sqref="LK1:LK1048576 LN1:LN1048576 LR1:LR1048576 LU1:LU1048576">
    <cfRule type="cellIs" dxfId="39" priority="172613" stopIfTrue="1" operator="between">
      <formula>$LX$15</formula>
      <formula>1000</formula>
    </cfRule>
    <cfRule type="cellIs" dxfId="38" priority="172614" operator="between">
      <formula>$LX$14</formula>
      <formula>$LX$15</formula>
    </cfRule>
  </conditionalFormatting>
  <conditionalFormatting sqref="LM1:LM1048576 LP1:LP1048576 LT1:LT1048576 LW1:LW1048576">
    <cfRule type="cellIs" dxfId="37" priority="172637" operator="between">
      <formula>$LX$21</formula>
      <formula>1000</formula>
    </cfRule>
    <cfRule type="cellIs" dxfId="36" priority="172638" operator="between">
      <formula>$LX$20</formula>
      <formula>$LX$21</formula>
    </cfRule>
    <cfRule type="cellIs" dxfId="35" priority="172639" operator="between">
      <formula>$LX$19</formula>
      <formula>$LX$20</formula>
    </cfRule>
    <cfRule type="cellIs" dxfId="34" priority="172640" operator="between">
      <formula>$LX$18</formula>
      <formula>$LX$19</formula>
    </cfRule>
  </conditionalFormatting>
  <conditionalFormatting sqref="MS1:MS1048576 MV1:MV1048576 MZ1:MZ1048576">
    <cfRule type="cellIs" dxfId="33" priority="172685" operator="between">
      <formula>$NF$15</formula>
      <formula>1000</formula>
    </cfRule>
  </conditionalFormatting>
  <conditionalFormatting sqref="MU1:MU1048576 MX1:MX1048576 NB1:NB1048576 NE1:NE1048576">
    <cfRule type="cellIs" dxfId="32" priority="172694" operator="between">
      <formula>$NF$21</formula>
      <formula>1000</formula>
    </cfRule>
    <cfRule type="cellIs" dxfId="31" priority="172695" operator="between">
      <formula>$NF$20</formula>
      <formula>$NF$21</formula>
    </cfRule>
    <cfRule type="cellIs" dxfId="30" priority="172696" operator="between">
      <formula>$NF$19</formula>
      <formula>$NF$20</formula>
    </cfRule>
    <cfRule type="cellIs" dxfId="29" priority="172697" operator="between">
      <formula>$NF$18</formula>
      <formula>$NF$19</formula>
    </cfRule>
  </conditionalFormatting>
  <conditionalFormatting sqref="OA1:OA1048576 OD1:OD1048576 OH1:OH1048576 OK1:OK1048576">
    <cfRule type="cellIs" dxfId="28" priority="172742" stopIfTrue="1" operator="between">
      <formula>$ON$15</formula>
      <formula>1000</formula>
    </cfRule>
    <cfRule type="cellIs" dxfId="27" priority="172743" operator="between">
      <formula>$ON$14</formula>
      <formula>$ON$15</formula>
    </cfRule>
  </conditionalFormatting>
  <conditionalFormatting sqref="OC1:OC1048576 OF1:OF1048576 OJ1:OJ1048576 OM1:OM1048576">
    <cfRule type="cellIs" dxfId="26" priority="172766" operator="between">
      <formula>$ON$21</formula>
      <formula>1000</formula>
    </cfRule>
    <cfRule type="cellIs" dxfId="25" priority="172767" operator="between">
      <formula>$ON$20</formula>
      <formula>$ON$21</formula>
    </cfRule>
    <cfRule type="cellIs" dxfId="24" priority="172768" operator="between">
      <formula>$ON$19</formula>
      <formula>$ON$20</formula>
    </cfRule>
    <cfRule type="cellIs" dxfId="23" priority="172769" operator="between">
      <formula>$ON$18</formula>
      <formula>$ON$19</formula>
    </cfRule>
  </conditionalFormatting>
  <conditionalFormatting sqref="PI1:PI1048576 PL1:PL1048576 PP1:PP1048576 PS1:PS1048576">
    <cfRule type="cellIs" dxfId="22" priority="172814" stopIfTrue="1" operator="between">
      <formula>$PV$15</formula>
      <formula>1000</formula>
    </cfRule>
    <cfRule type="cellIs" dxfId="21" priority="172815" operator="between">
      <formula>$PV$14</formula>
      <formula>$PV$15</formula>
    </cfRule>
  </conditionalFormatting>
  <conditionalFormatting sqref="PK1:PK1048576 PN1:PN1048576 PR1:PR1048576 PU1:PU1048576">
    <cfRule type="cellIs" dxfId="20" priority="172838" operator="between">
      <formula>$PV$21</formula>
      <formula>1000</formula>
    </cfRule>
    <cfRule type="cellIs" dxfId="19" priority="172839" operator="between">
      <formula>$PV$20</formula>
      <formula>$PV$21</formula>
    </cfRule>
    <cfRule type="cellIs" dxfId="18" priority="172840" operator="between">
      <formula>$PV$19</formula>
      <formula>$PV$20</formula>
    </cfRule>
    <cfRule type="cellIs" dxfId="17" priority="172841" operator="between">
      <formula>$PV$18</formula>
      <formula>$PV$19</formula>
    </cfRule>
  </conditionalFormatting>
  <conditionalFormatting sqref="QQ1:QQ1048576 QT1:QT1048576 QX1:QX1048576 RA1:RA1048576">
    <cfRule type="cellIs" dxfId="16" priority="172886" stopIfTrue="1" operator="between">
      <formula>$RD$15</formula>
      <formula>1000</formula>
    </cfRule>
    <cfRule type="cellIs" dxfId="15" priority="172887" operator="between">
      <formula>$RD$14</formula>
      <formula>$RD$15</formula>
    </cfRule>
  </conditionalFormatting>
  <conditionalFormatting sqref="QS1:QS1048576 QV1:QV1048576 QZ1:QZ1048576 RC1:RC1048576">
    <cfRule type="cellIs" dxfId="14" priority="172910" operator="between">
      <formula>$RD$21</formula>
      <formula>1000</formula>
    </cfRule>
    <cfRule type="cellIs" dxfId="13" priority="172911" operator="between">
      <formula>$RD$20</formula>
      <formula>$RD$21</formula>
    </cfRule>
    <cfRule type="cellIs" dxfId="12" priority="172912" operator="between">
      <formula>$RD$19</formula>
      <formula>$RD$20</formula>
    </cfRule>
    <cfRule type="cellIs" dxfId="11" priority="172913" operator="between">
      <formula>$RD$18</formula>
      <formula>$RD$19</formula>
    </cfRule>
  </conditionalFormatting>
  <conditionalFormatting sqref="RY1:RY1048576 SB1:SB1048576 SF1:SF1048576 SI1:SI1048576 TG1:TG21 TJ1:TJ21 TN1:TN21 TQ1:TQ21 UO1:UO21 UR1:UR21 UV1:UV21 UY1:UY21 VW1:VW21 VZ1:VZ21 WD1:WD21 WG1:WG21">
    <cfRule type="cellIs" dxfId="10" priority="172958" operator="between">
      <formula>$SL$15</formula>
      <formula>1000</formula>
    </cfRule>
    <cfRule type="cellIs" dxfId="9" priority="172959" operator="between">
      <formula>$SL$14</formula>
      <formula>$SL$15</formula>
    </cfRule>
  </conditionalFormatting>
  <conditionalFormatting sqref="SA1:SA1048576 SD1:SD1048576 SH1:SH1048576 SK1:SK1048576 TI1:TI21 TL1:TL21 TP1:TP21 TS1:TS21 UQ1:UQ21 UT1:UT21 UX1:UX21 VA1:VA21 VY1:VY21 WB1:WB21 WF1:WF21 WI1:WI21">
    <cfRule type="cellIs" dxfId="8" priority="173030" operator="between">
      <formula>$SL$21</formula>
      <formula>1000</formula>
    </cfRule>
    <cfRule type="cellIs" dxfId="7" priority="173031" operator="between">
      <formula>$SL$20</formula>
      <formula>$SL$21</formula>
    </cfRule>
    <cfRule type="cellIs" dxfId="6" priority="173032" operator="between">
      <formula>$SL$19</formula>
      <formula>$SL$20</formula>
    </cfRule>
    <cfRule type="cellIs" dxfId="5" priority="173033" operator="between">
      <formula>$SL$18</formula>
      <formula>$SL$19</formula>
    </cfRule>
  </conditionalFormatting>
  <conditionalFormatting sqref="DY1:DY1048576 DO1:DO1048576 DR1:DR1048576 DV1:DV1048576">
    <cfRule type="cellIs" dxfId="4" priority="173174" stopIfTrue="1" operator="between">
      <formula>$EB$15</formula>
      <formula>1000</formula>
    </cfRule>
  </conditionalFormatting>
  <conditionalFormatting sqref="FG1:FG1048576 EW1:EW1048576 EZ1:EZ1048576 FD1:FD1048576">
    <cfRule type="cellIs" dxfId="3" priority="173186" stopIfTrue="1" operator="between">
      <formula>$FJ$15</formula>
      <formula>1000</formula>
    </cfRule>
  </conditionalFormatting>
  <conditionalFormatting sqref="HW1:HW1048576 HM1:HM1048576 HP1:HP1048576 HT1:HT1048576">
    <cfRule type="cellIs" dxfId="2" priority="173198" stopIfTrue="1" operator="between">
      <formula>$HZ$15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Senior-M</vt:lpstr>
      <vt:lpstr>Senior-W</vt:lpstr>
      <vt:lpstr>Development-M</vt:lpstr>
      <vt:lpstr>Development-W</vt:lpstr>
      <vt:lpstr>Junior-M</vt:lpstr>
      <vt:lpstr>Junior-W</vt:lpstr>
      <vt:lpstr>TRS-M</vt:lpstr>
      <vt:lpstr>TRS-W</vt:lpstr>
      <vt:lpstr>TRS-X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2026-03-18T01:18:07Z</dcterms:modified>
</cp:coreProperties>
</file>