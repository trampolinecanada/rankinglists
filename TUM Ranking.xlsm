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6D0D6A7E-1D60-0541-B1D9-11D114A90F3F}" xr6:coauthVersionLast="47" xr6:coauthVersionMax="47" xr10:uidLastSave="{00000000-0000-0000-0000-000000000000}"/>
  <bookViews>
    <workbookView xWindow="0" yWindow="660" windowWidth="30240" windowHeight="18980" tabRatio="500" xr2:uid="{00000000-000D-0000-FFFF-FFFF00000000}"/>
  </bookViews>
  <sheets>
    <sheet name="Info" sheetId="11" r:id="rId1"/>
    <sheet name="Senior-M" sheetId="47" r:id="rId2"/>
    <sheet name="Senior-W" sheetId="48" r:id="rId3"/>
    <sheet name="Development-M" sheetId="49" r:id="rId4"/>
    <sheet name="Development-W" sheetId="50" r:id="rId5"/>
    <sheet name="Junior-M" sheetId="51" r:id="rId6"/>
    <sheet name="Junior-W" sheetId="52" r:id="rId7"/>
  </sheets>
  <definedNames>
    <definedName name="_xlnm._FilterDatabase" localSheetId="3" hidden="1">'Development-M'!$A$1:$FX$3</definedName>
    <definedName name="_xlnm._FilterDatabase" localSheetId="4" hidden="1">'Development-W'!$A$1:$FP$1</definedName>
    <definedName name="_xlnm._FilterDatabase" localSheetId="5" hidden="1">'Junior-M'!$A$1:$FP$1</definedName>
    <definedName name="_xlnm._FilterDatabase" localSheetId="6" hidden="1">'Junior-W'!$A$1:$FP$1</definedName>
    <definedName name="_xlnm._FilterDatabase" localSheetId="1" hidden="1">'Senior-M'!$A$1:$FP$1</definedName>
    <definedName name="_xlnm._FilterDatabase" localSheetId="2" hidden="1">'Senior-W'!$A$1:$FP$1</definedName>
    <definedName name="_xleta.LARGE" hidden="1" xlm="1">#NAME?</definedName>
    <definedName name="_xleta.MAX" hidden="1" xlm="1">#NAME?</definedName>
    <definedName name="_xleta.MIN" hidden="1" xlm="1">#NAME?</definedName>
    <definedName name="_xleta.N" hidden="1" xlm="1">#NAME?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5" i="50" l="1"/>
  <c r="I6" i="50"/>
  <c r="I7" i="50"/>
  <c r="I8" i="50"/>
  <c r="I9" i="50"/>
  <c r="I10" i="50"/>
  <c r="I11" i="50"/>
  <c r="I12" i="50"/>
  <c r="I13" i="50"/>
  <c r="I14" i="50"/>
  <c r="I15" i="50"/>
  <c r="I16" i="50"/>
  <c r="I17" i="50"/>
  <c r="I4" i="50"/>
  <c r="I8" i="49"/>
  <c r="I9" i="49"/>
  <c r="I16" i="49"/>
  <c r="I17" i="49"/>
  <c r="I18" i="49"/>
  <c r="I13" i="49"/>
  <c r="I14" i="49"/>
  <c r="I15" i="49"/>
  <c r="I10" i="49"/>
  <c r="I11" i="49"/>
  <c r="I12" i="49"/>
  <c r="I4" i="49"/>
  <c r="I5" i="49"/>
  <c r="I6" i="49"/>
  <c r="I7" i="49"/>
  <c r="AJ16" i="50" l="1"/>
  <c r="AK16" i="50"/>
  <c r="AL16" i="50"/>
  <c r="AM16" i="50"/>
  <c r="AN16" i="50"/>
  <c r="AP16" i="50"/>
  <c r="AQ16" i="50"/>
  <c r="AR16" i="50"/>
  <c r="AS16" i="50"/>
  <c r="AT16" i="50"/>
  <c r="BN16" i="50"/>
  <c r="EV16" i="50" s="1"/>
  <c r="BO16" i="50"/>
  <c r="BP16" i="50"/>
  <c r="EX16" i="50" s="1"/>
  <c r="BQ16" i="50"/>
  <c r="EY16" i="50" s="1"/>
  <c r="BR16" i="50"/>
  <c r="EZ16" i="50" s="1"/>
  <c r="FN16" i="50" s="1"/>
  <c r="BT16" i="50"/>
  <c r="FB16" i="50" s="1"/>
  <c r="BU16" i="50"/>
  <c r="FC16" i="50" s="1"/>
  <c r="BV16" i="50"/>
  <c r="FD16" i="50" s="1"/>
  <c r="BW16" i="50"/>
  <c r="FE16" i="50" s="1"/>
  <c r="BX16" i="50"/>
  <c r="FF16" i="50" s="1"/>
  <c r="CW16" i="50"/>
  <c r="DA16" i="50" s="1"/>
  <c r="CX16" i="50"/>
  <c r="DB16" i="50" s="1"/>
  <c r="DK16" i="50" s="1"/>
  <c r="CY16" i="50"/>
  <c r="CZ16" i="50"/>
  <c r="DC16" i="50"/>
  <c r="DD16" i="50"/>
  <c r="DE16" i="50"/>
  <c r="DI16" i="50" s="1"/>
  <c r="DF16" i="50"/>
  <c r="DJ16" i="50" s="1"/>
  <c r="DG16" i="50"/>
  <c r="DH16" i="50"/>
  <c r="EF16" i="50"/>
  <c r="EG16" i="50"/>
  <c r="EH16" i="50"/>
  <c r="EI16" i="50"/>
  <c r="EL16" i="50"/>
  <c r="EM16" i="50"/>
  <c r="EN16" i="50"/>
  <c r="ER16" i="50" s="1"/>
  <c r="EO16" i="50"/>
  <c r="EP16" i="50"/>
  <c r="EQ16" i="50"/>
  <c r="ES16" i="50"/>
  <c r="EU16" i="50"/>
  <c r="AJ13" i="50"/>
  <c r="AK13" i="50"/>
  <c r="AL13" i="50"/>
  <c r="AM13" i="50"/>
  <c r="AN13" i="50"/>
  <c r="AP13" i="50"/>
  <c r="AQ13" i="50"/>
  <c r="AR13" i="50"/>
  <c r="AS13" i="50"/>
  <c r="AT13" i="50"/>
  <c r="AU13" i="50"/>
  <c r="BN13" i="50"/>
  <c r="EV13" i="50" s="1"/>
  <c r="FL13" i="50" s="1"/>
  <c r="BO13" i="50"/>
  <c r="EW13" i="50" s="1"/>
  <c r="BP13" i="50"/>
  <c r="EX13" i="50" s="1"/>
  <c r="BQ13" i="50"/>
  <c r="EY13" i="50" s="1"/>
  <c r="BR13" i="50"/>
  <c r="EZ13" i="50" s="1"/>
  <c r="FN13" i="50" s="1"/>
  <c r="BT13" i="50"/>
  <c r="FB13" i="50" s="1"/>
  <c r="BU13" i="50"/>
  <c r="BV13" i="50"/>
  <c r="FD13" i="50" s="1"/>
  <c r="BW13" i="50"/>
  <c r="FE13" i="50" s="1"/>
  <c r="BX13" i="50"/>
  <c r="FF13" i="50" s="1"/>
  <c r="CW13" i="50"/>
  <c r="CX13" i="50"/>
  <c r="DB13" i="50" s="1"/>
  <c r="DK13" i="50" s="1"/>
  <c r="CY13" i="50"/>
  <c r="CZ13" i="50"/>
  <c r="DA13" i="50"/>
  <c r="DC13" i="50"/>
  <c r="DD13" i="50"/>
  <c r="DE13" i="50"/>
  <c r="DI13" i="50" s="1"/>
  <c r="DF13" i="50"/>
  <c r="DJ13" i="50" s="1"/>
  <c r="DG13" i="50"/>
  <c r="DH13" i="50"/>
  <c r="EF13" i="50"/>
  <c r="EJ13" i="50" s="1"/>
  <c r="EG13" i="50"/>
  <c r="EH13" i="50"/>
  <c r="EI13" i="50"/>
  <c r="EK13" i="50"/>
  <c r="ET13" i="50" s="1"/>
  <c r="EL13" i="50"/>
  <c r="EM13" i="50"/>
  <c r="EN13" i="50"/>
  <c r="ER13" i="50" s="1"/>
  <c r="EO13" i="50"/>
  <c r="ES13" i="50" s="1"/>
  <c r="EP13" i="50"/>
  <c r="EQ13" i="50"/>
  <c r="EU13" i="50"/>
  <c r="AJ16" i="49"/>
  <c r="AK16" i="49"/>
  <c r="AL16" i="49"/>
  <c r="AM16" i="49"/>
  <c r="AN16" i="49"/>
  <c r="AP16" i="49"/>
  <c r="AQ16" i="49"/>
  <c r="AR16" i="49"/>
  <c r="AS16" i="49"/>
  <c r="AT16" i="49"/>
  <c r="BN16" i="49"/>
  <c r="EV16" i="49" s="1"/>
  <c r="FL16" i="49" s="1"/>
  <c r="BO16" i="49"/>
  <c r="EW16" i="49" s="1"/>
  <c r="BP16" i="49"/>
  <c r="EX16" i="49" s="1"/>
  <c r="BQ16" i="49"/>
  <c r="EY16" i="49" s="1"/>
  <c r="BR16" i="49"/>
  <c r="EZ16" i="49" s="1"/>
  <c r="FN16" i="49" s="1"/>
  <c r="BT16" i="49"/>
  <c r="FB16" i="49" s="1"/>
  <c r="BU16" i="49"/>
  <c r="BV16" i="49"/>
  <c r="FD16" i="49" s="1"/>
  <c r="BW16" i="49"/>
  <c r="FE16" i="49" s="1"/>
  <c r="BX16" i="49"/>
  <c r="FF16" i="49" s="1"/>
  <c r="CW16" i="49"/>
  <c r="CX16" i="49"/>
  <c r="DB16" i="49" s="1"/>
  <c r="DK16" i="49" s="1"/>
  <c r="CY16" i="49"/>
  <c r="CZ16" i="49"/>
  <c r="DA16" i="49"/>
  <c r="DC16" i="49"/>
  <c r="DD16" i="49"/>
  <c r="DE16" i="49"/>
  <c r="DI16" i="49" s="1"/>
  <c r="DF16" i="49"/>
  <c r="DJ16" i="49" s="1"/>
  <c r="DG16" i="49"/>
  <c r="DH16" i="49"/>
  <c r="EF16" i="49"/>
  <c r="EJ16" i="49" s="1"/>
  <c r="EG16" i="49"/>
  <c r="EK16" i="49" s="1"/>
  <c r="ET16" i="49" s="1"/>
  <c r="EH16" i="49"/>
  <c r="EI16" i="49"/>
  <c r="EL16" i="49"/>
  <c r="EM16" i="49"/>
  <c r="EN16" i="49"/>
  <c r="ER16" i="49" s="1"/>
  <c r="EO16" i="49"/>
  <c r="ES16" i="49" s="1"/>
  <c r="EP16" i="49"/>
  <c r="EQ16" i="49"/>
  <c r="EU16" i="49"/>
  <c r="AO16" i="50" l="1"/>
  <c r="BY16" i="49"/>
  <c r="FG16" i="49" s="1"/>
  <c r="EK16" i="50"/>
  <c r="ET16" i="50" s="1"/>
  <c r="EJ16" i="50"/>
  <c r="AU16" i="50"/>
  <c r="BS16" i="49"/>
  <c r="FA16" i="49" s="1"/>
  <c r="FC16" i="49"/>
  <c r="BY16" i="50"/>
  <c r="FG16" i="50" s="1"/>
  <c r="AO13" i="50"/>
  <c r="AU16" i="49"/>
  <c r="FM13" i="50"/>
  <c r="BS13" i="50"/>
  <c r="FA13" i="50" s="1"/>
  <c r="FO13" i="50" s="1"/>
  <c r="AV16" i="50"/>
  <c r="BY13" i="50"/>
  <c r="FG13" i="50" s="1"/>
  <c r="FC13" i="50"/>
  <c r="BS16" i="50"/>
  <c r="J16" i="50" s="1"/>
  <c r="EW16" i="50"/>
  <c r="FM16" i="50" s="1"/>
  <c r="FL16" i="50"/>
  <c r="FP16" i="50"/>
  <c r="FP13" i="50"/>
  <c r="AO16" i="49"/>
  <c r="J16" i="49" s="1"/>
  <c r="FM16" i="49"/>
  <c r="FP16" i="49"/>
  <c r="FO16" i="49"/>
  <c r="BZ16" i="49" l="1"/>
  <c r="FH16" i="49" s="1"/>
  <c r="J13" i="50"/>
  <c r="AV13" i="50"/>
  <c r="BZ13" i="50"/>
  <c r="FH13" i="50" s="1"/>
  <c r="G16" i="49"/>
  <c r="F16" i="49"/>
  <c r="AV16" i="49"/>
  <c r="K16" i="50"/>
  <c r="L16" i="50"/>
  <c r="M16" i="50" s="1"/>
  <c r="N16" i="50"/>
  <c r="CA16" i="50"/>
  <c r="L13" i="50"/>
  <c r="M13" i="50" s="1"/>
  <c r="N13" i="50"/>
  <c r="CA13" i="50"/>
  <c r="K13" i="50"/>
  <c r="FA16" i="50"/>
  <c r="FO16" i="50" s="1"/>
  <c r="BZ16" i="50"/>
  <c r="FH16" i="50" s="1"/>
  <c r="F16" i="50"/>
  <c r="G13" i="50"/>
  <c r="G16" i="50"/>
  <c r="F13" i="50"/>
  <c r="CA16" i="49"/>
  <c r="N16" i="49"/>
  <c r="L16" i="49"/>
  <c r="M16" i="49" s="1"/>
  <c r="K16" i="49"/>
  <c r="H13" i="50" l="1"/>
  <c r="A13" i="50" s="1" a="1"/>
  <c r="A13" i="50" s="1"/>
  <c r="H16" i="49"/>
  <c r="FI16" i="50"/>
  <c r="O16" i="50"/>
  <c r="CB16" i="50"/>
  <c r="FJ16" i="50" s="1"/>
  <c r="FI13" i="50"/>
  <c r="O13" i="50"/>
  <c r="CB13" i="50"/>
  <c r="FJ13" i="50" s="1"/>
  <c r="CB16" i="49"/>
  <c r="FJ16" i="49" s="1"/>
  <c r="O16" i="49"/>
  <c r="FI16" i="49"/>
  <c r="P16" i="49" l="1"/>
  <c r="E16" i="49" s="1"/>
  <c r="P16" i="50"/>
  <c r="E16" i="50" s="1"/>
  <c r="P13" i="50"/>
  <c r="E13" i="50" s="1"/>
  <c r="R16" i="50" l="1"/>
  <c r="R16" i="49"/>
  <c r="Q16" i="49"/>
  <c r="Q16" i="50"/>
  <c r="Q13" i="50"/>
  <c r="R13" i="50"/>
  <c r="EU5" i="52" l="1"/>
  <c r="EQ5" i="52"/>
  <c r="EP5" i="52"/>
  <c r="EO5" i="52"/>
  <c r="ES5" i="52" s="1"/>
  <c r="EN5" i="52"/>
  <c r="ER5" i="52" s="1"/>
  <c r="EM5" i="52"/>
  <c r="EL5" i="52"/>
  <c r="EI5" i="52"/>
  <c r="EH5" i="52"/>
  <c r="EG5" i="52"/>
  <c r="EK5" i="52" s="1"/>
  <c r="ET5" i="52" s="1"/>
  <c r="EF5" i="52"/>
  <c r="EJ5" i="52" s="1"/>
  <c r="DH5" i="52"/>
  <c r="DG5" i="52"/>
  <c r="DF5" i="52"/>
  <c r="DJ5" i="52" s="1"/>
  <c r="DE5" i="52"/>
  <c r="DI5" i="52" s="1"/>
  <c r="DD5" i="52"/>
  <c r="DC5" i="52"/>
  <c r="CZ5" i="52"/>
  <c r="CY5" i="52"/>
  <c r="CX5" i="52"/>
  <c r="DB5" i="52" s="1"/>
  <c r="CW5" i="52"/>
  <c r="DA5" i="52" s="1"/>
  <c r="BX5" i="52"/>
  <c r="FF5" i="52" s="1"/>
  <c r="BW5" i="52"/>
  <c r="FE5" i="52" s="1"/>
  <c r="BV5" i="52"/>
  <c r="FD5" i="52" s="1"/>
  <c r="BU5" i="52"/>
  <c r="FC5" i="52" s="1"/>
  <c r="BT5" i="52"/>
  <c r="FB5" i="52" s="1"/>
  <c r="BR5" i="52"/>
  <c r="EZ5" i="52" s="1"/>
  <c r="FN5" i="52" s="1"/>
  <c r="BQ5" i="52"/>
  <c r="EY5" i="52" s="1"/>
  <c r="BP5" i="52"/>
  <c r="EX5" i="52" s="1"/>
  <c r="BO5" i="52"/>
  <c r="EW5" i="52" s="1"/>
  <c r="BN5" i="52"/>
  <c r="EV5" i="52" s="1"/>
  <c r="FL5" i="52" s="1"/>
  <c r="AT5" i="52"/>
  <c r="AS5" i="52"/>
  <c r="AR5" i="52"/>
  <c r="AQ5" i="52"/>
  <c r="AP5" i="52"/>
  <c r="AN5" i="52"/>
  <c r="AM5" i="52"/>
  <c r="AL5" i="52"/>
  <c r="AK5" i="52"/>
  <c r="AJ5" i="52"/>
  <c r="EU4" i="52"/>
  <c r="EQ4" i="52"/>
  <c r="EP4" i="52"/>
  <c r="EO4" i="52"/>
  <c r="ES4" i="52" s="1"/>
  <c r="EN4" i="52"/>
  <c r="ER4" i="52" s="1"/>
  <c r="EM4" i="52"/>
  <c r="EL4" i="52"/>
  <c r="EI4" i="52"/>
  <c r="EH4" i="52"/>
  <c r="EG4" i="52"/>
  <c r="EK4" i="52" s="1"/>
  <c r="ET4" i="52" s="1"/>
  <c r="EF4" i="52"/>
  <c r="EJ4" i="52" s="1"/>
  <c r="DH4" i="52"/>
  <c r="DG4" i="52"/>
  <c r="DF4" i="52"/>
  <c r="DJ4" i="52" s="1"/>
  <c r="DE4" i="52"/>
  <c r="DI4" i="52" s="1"/>
  <c r="DD4" i="52"/>
  <c r="DC4" i="52"/>
  <c r="CZ4" i="52"/>
  <c r="CY4" i="52"/>
  <c r="CX4" i="52"/>
  <c r="DB4" i="52" s="1"/>
  <c r="DK4" i="52" s="1"/>
  <c r="CW4" i="52"/>
  <c r="DA4" i="52" s="1"/>
  <c r="BX4" i="52"/>
  <c r="FF4" i="52" s="1"/>
  <c r="BW4" i="52"/>
  <c r="FE4" i="52" s="1"/>
  <c r="BV4" i="52"/>
  <c r="FD4" i="52" s="1"/>
  <c r="BU4" i="52"/>
  <c r="FC4" i="52" s="1"/>
  <c r="BT4" i="52"/>
  <c r="FB4" i="52" s="1"/>
  <c r="BR4" i="52"/>
  <c r="EZ4" i="52" s="1"/>
  <c r="FN4" i="52" s="1"/>
  <c r="BQ4" i="52"/>
  <c r="EY4" i="52" s="1"/>
  <c r="BP4" i="52"/>
  <c r="EX4" i="52" s="1"/>
  <c r="BO4" i="52"/>
  <c r="EW4" i="52" s="1"/>
  <c r="BN4" i="52"/>
  <c r="EV4" i="52" s="1"/>
  <c r="AT4" i="52"/>
  <c r="AS4" i="52"/>
  <c r="AR4" i="52"/>
  <c r="AQ4" i="52"/>
  <c r="AP4" i="52"/>
  <c r="AN4" i="52"/>
  <c r="AM4" i="52"/>
  <c r="AL4" i="52"/>
  <c r="AK4" i="52"/>
  <c r="AJ4" i="52"/>
  <c r="EU5" i="51"/>
  <c r="EQ5" i="51"/>
  <c r="EP5" i="51"/>
  <c r="EO5" i="51"/>
  <c r="ES5" i="51" s="1"/>
  <c r="EN5" i="51"/>
  <c r="ER5" i="51" s="1"/>
  <c r="EM5" i="51"/>
  <c r="EL5" i="51"/>
  <c r="EI5" i="51"/>
  <c r="EH5" i="51"/>
  <c r="EG5" i="51"/>
  <c r="EK5" i="51" s="1"/>
  <c r="ET5" i="51" s="1"/>
  <c r="EF5" i="51"/>
  <c r="EJ5" i="51" s="1"/>
  <c r="DH5" i="51"/>
  <c r="DG5" i="51"/>
  <c r="DF5" i="51"/>
  <c r="DJ5" i="51" s="1"/>
  <c r="DE5" i="51"/>
  <c r="DI5" i="51" s="1"/>
  <c r="DD5" i="51"/>
  <c r="DC5" i="51"/>
  <c r="CZ5" i="51"/>
  <c r="CY5" i="51"/>
  <c r="CX5" i="51"/>
  <c r="DB5" i="51" s="1"/>
  <c r="CW5" i="51"/>
  <c r="DA5" i="51" s="1"/>
  <c r="BX5" i="51"/>
  <c r="FF5" i="51" s="1"/>
  <c r="BW5" i="51"/>
  <c r="FE5" i="51" s="1"/>
  <c r="BV5" i="51"/>
  <c r="FD5" i="51" s="1"/>
  <c r="FR5" i="51" s="1"/>
  <c r="BU5" i="51"/>
  <c r="FC5" i="51" s="1"/>
  <c r="BT5" i="51"/>
  <c r="FB5" i="51" s="1"/>
  <c r="BR5" i="51"/>
  <c r="EZ5" i="51" s="1"/>
  <c r="FN5" i="51" s="1"/>
  <c r="BQ5" i="51"/>
  <c r="EY5" i="51" s="1"/>
  <c r="BP5" i="51"/>
  <c r="EX5" i="51" s="1"/>
  <c r="BO5" i="51"/>
  <c r="BN5" i="51"/>
  <c r="EV5" i="51" s="1"/>
  <c r="AT5" i="51"/>
  <c r="AS5" i="51"/>
  <c r="AR5" i="51"/>
  <c r="AQ5" i="51"/>
  <c r="AP5" i="51"/>
  <c r="AN5" i="51"/>
  <c r="AM5" i="51"/>
  <c r="AL5" i="51"/>
  <c r="AK5" i="51"/>
  <c r="AJ5" i="51"/>
  <c r="EU4" i="51"/>
  <c r="EQ4" i="51"/>
  <c r="EP4" i="51"/>
  <c r="EO4" i="51"/>
  <c r="ES4" i="51" s="1"/>
  <c r="EN4" i="51"/>
  <c r="ER4" i="51" s="1"/>
  <c r="EM4" i="51"/>
  <c r="EL4" i="51"/>
  <c r="EI4" i="51"/>
  <c r="EH4" i="51"/>
  <c r="EG4" i="51"/>
  <c r="EK4" i="51" s="1"/>
  <c r="ET4" i="51" s="1"/>
  <c r="EF4" i="51"/>
  <c r="EJ4" i="51" s="1"/>
  <c r="DH4" i="51"/>
  <c r="DG4" i="51"/>
  <c r="DF4" i="51"/>
  <c r="DJ4" i="51" s="1"/>
  <c r="DE4" i="51"/>
  <c r="DI4" i="51" s="1"/>
  <c r="DD4" i="51"/>
  <c r="DC4" i="51"/>
  <c r="CZ4" i="51"/>
  <c r="CY4" i="51"/>
  <c r="CX4" i="51"/>
  <c r="CW4" i="51"/>
  <c r="BX4" i="51"/>
  <c r="FF4" i="51" s="1"/>
  <c r="BW4" i="51"/>
  <c r="FE4" i="51" s="1"/>
  <c r="BV4" i="51"/>
  <c r="FD4" i="51" s="1"/>
  <c r="FR4" i="51" s="1"/>
  <c r="BU4" i="51"/>
  <c r="BT4" i="51"/>
  <c r="FB4" i="51" s="1"/>
  <c r="BR4" i="51"/>
  <c r="EZ4" i="51" s="1"/>
  <c r="FN4" i="51" s="1"/>
  <c r="BQ4" i="51"/>
  <c r="EY4" i="51" s="1"/>
  <c r="BP4" i="51"/>
  <c r="EX4" i="51" s="1"/>
  <c r="BO4" i="51"/>
  <c r="BN4" i="51"/>
  <c r="EV4" i="51" s="1"/>
  <c r="FL4" i="51" s="1"/>
  <c r="AT4" i="51"/>
  <c r="AS4" i="51"/>
  <c r="AR4" i="51"/>
  <c r="AQ4" i="51"/>
  <c r="AP4" i="51"/>
  <c r="AN4" i="51"/>
  <c r="AM4" i="51"/>
  <c r="AL4" i="51"/>
  <c r="AK4" i="51"/>
  <c r="AJ4" i="51"/>
  <c r="EU17" i="50"/>
  <c r="EQ17" i="50"/>
  <c r="EP17" i="50"/>
  <c r="EO17" i="50"/>
  <c r="ES17" i="50" s="1"/>
  <c r="EN17" i="50"/>
  <c r="ER17" i="50" s="1"/>
  <c r="EM17" i="50"/>
  <c r="EL17" i="50"/>
  <c r="EI17" i="50"/>
  <c r="EH17" i="50"/>
  <c r="EG17" i="50"/>
  <c r="EK17" i="50" s="1"/>
  <c r="ET17" i="50" s="1"/>
  <c r="EF17" i="50"/>
  <c r="EJ17" i="50" s="1"/>
  <c r="DH17" i="50"/>
  <c r="DG17" i="50"/>
  <c r="DF17" i="50"/>
  <c r="DJ17" i="50" s="1"/>
  <c r="DE17" i="50"/>
  <c r="DI17" i="50" s="1"/>
  <c r="DD17" i="50"/>
  <c r="DC17" i="50"/>
  <c r="CZ17" i="50"/>
  <c r="CY17" i="50"/>
  <c r="CX17" i="50"/>
  <c r="DB17" i="50" s="1"/>
  <c r="DK17" i="50" s="1"/>
  <c r="CW17" i="50"/>
  <c r="DA17" i="50" s="1"/>
  <c r="BX17" i="50"/>
  <c r="FF17" i="50" s="1"/>
  <c r="BW17" i="50"/>
  <c r="FE17" i="50" s="1"/>
  <c r="BV17" i="50"/>
  <c r="FD17" i="50" s="1"/>
  <c r="BU17" i="50"/>
  <c r="BT17" i="50"/>
  <c r="FB17" i="50" s="1"/>
  <c r="BR17" i="50"/>
  <c r="EZ17" i="50" s="1"/>
  <c r="FN17" i="50" s="1"/>
  <c r="BQ17" i="50"/>
  <c r="EY17" i="50" s="1"/>
  <c r="BP17" i="50"/>
  <c r="EX17" i="50" s="1"/>
  <c r="BO17" i="50"/>
  <c r="BN17" i="50"/>
  <c r="EV17" i="50" s="1"/>
  <c r="AT17" i="50"/>
  <c r="AS17" i="50"/>
  <c r="AR17" i="50"/>
  <c r="AQ17" i="50"/>
  <c r="AU17" i="50" s="1"/>
  <c r="AP17" i="50"/>
  <c r="AN17" i="50"/>
  <c r="AM17" i="50"/>
  <c r="AL17" i="50"/>
  <c r="AK17" i="50"/>
  <c r="AJ17" i="50"/>
  <c r="FR15" i="50"/>
  <c r="EU10" i="50"/>
  <c r="EQ10" i="50"/>
  <c r="EP10" i="50"/>
  <c r="EO10" i="50"/>
  <c r="ES10" i="50" s="1"/>
  <c r="EN10" i="50"/>
  <c r="ER10" i="50" s="1"/>
  <c r="EM10" i="50"/>
  <c r="EL10" i="50"/>
  <c r="EI10" i="50"/>
  <c r="EH10" i="50"/>
  <c r="EG10" i="50"/>
  <c r="EK10" i="50" s="1"/>
  <c r="ET10" i="50" s="1"/>
  <c r="EF10" i="50"/>
  <c r="EJ10" i="50" s="1"/>
  <c r="DH10" i="50"/>
  <c r="DG10" i="50"/>
  <c r="DF10" i="50"/>
  <c r="DJ10" i="50" s="1"/>
  <c r="DE10" i="50"/>
  <c r="DI10" i="50" s="1"/>
  <c r="DD10" i="50"/>
  <c r="DC10" i="50"/>
  <c r="CZ10" i="50"/>
  <c r="CY10" i="50"/>
  <c r="CX10" i="50"/>
  <c r="DB10" i="50" s="1"/>
  <c r="DK10" i="50" s="1"/>
  <c r="CW10" i="50"/>
  <c r="DA10" i="50" s="1"/>
  <c r="BX10" i="50"/>
  <c r="FF10" i="50" s="1"/>
  <c r="BW10" i="50"/>
  <c r="FE10" i="50" s="1"/>
  <c r="BV10" i="50"/>
  <c r="FD10" i="50" s="1"/>
  <c r="BU10" i="50"/>
  <c r="FC10" i="50" s="1"/>
  <c r="BT10" i="50"/>
  <c r="FB10" i="50" s="1"/>
  <c r="BR10" i="50"/>
  <c r="EZ10" i="50" s="1"/>
  <c r="FN10" i="50" s="1"/>
  <c r="BQ10" i="50"/>
  <c r="EY10" i="50" s="1"/>
  <c r="BP10" i="50"/>
  <c r="EX10" i="50" s="1"/>
  <c r="BO10" i="50"/>
  <c r="BN10" i="50"/>
  <c r="EV10" i="50" s="1"/>
  <c r="AT10" i="50"/>
  <c r="AS10" i="50"/>
  <c r="AR10" i="50"/>
  <c r="AQ10" i="50"/>
  <c r="AP10" i="50"/>
  <c r="AN10" i="50"/>
  <c r="AM10" i="50"/>
  <c r="AL10" i="50"/>
  <c r="AK10" i="50"/>
  <c r="AJ10" i="50"/>
  <c r="EU15" i="50"/>
  <c r="EQ15" i="50"/>
  <c r="EP15" i="50"/>
  <c r="EO15" i="50"/>
  <c r="ES15" i="50" s="1"/>
  <c r="EN15" i="50"/>
  <c r="ER15" i="50" s="1"/>
  <c r="EM15" i="50"/>
  <c r="EL15" i="50"/>
  <c r="EI15" i="50"/>
  <c r="EH15" i="50"/>
  <c r="EG15" i="50"/>
  <c r="EF15" i="50"/>
  <c r="DH15" i="50"/>
  <c r="DG15" i="50"/>
  <c r="DF15" i="50"/>
  <c r="DJ15" i="50" s="1"/>
  <c r="DE15" i="50"/>
  <c r="DI15" i="50" s="1"/>
  <c r="DD15" i="50"/>
  <c r="DC15" i="50"/>
  <c r="CZ15" i="50"/>
  <c r="CY15" i="50"/>
  <c r="CX15" i="50"/>
  <c r="DB15" i="50" s="1"/>
  <c r="DK15" i="50" s="1"/>
  <c r="CW15" i="50"/>
  <c r="DA15" i="50" s="1"/>
  <c r="BX15" i="50"/>
  <c r="FF15" i="50" s="1"/>
  <c r="BW15" i="50"/>
  <c r="FE15" i="50" s="1"/>
  <c r="BV15" i="50"/>
  <c r="FD15" i="50" s="1"/>
  <c r="BU15" i="50"/>
  <c r="BT15" i="50"/>
  <c r="FB15" i="50" s="1"/>
  <c r="BR15" i="50"/>
  <c r="EZ15" i="50" s="1"/>
  <c r="FN15" i="50" s="1"/>
  <c r="BQ15" i="50"/>
  <c r="EY15" i="50" s="1"/>
  <c r="BP15" i="50"/>
  <c r="EX15" i="50" s="1"/>
  <c r="BO15" i="50"/>
  <c r="BN15" i="50"/>
  <c r="EV15" i="50" s="1"/>
  <c r="AT15" i="50"/>
  <c r="AS15" i="50"/>
  <c r="AR15" i="50"/>
  <c r="AQ15" i="50"/>
  <c r="AP15" i="50"/>
  <c r="AN15" i="50"/>
  <c r="AM15" i="50"/>
  <c r="AL15" i="50"/>
  <c r="AK15" i="50"/>
  <c r="AJ15" i="50"/>
  <c r="EU12" i="50"/>
  <c r="EQ12" i="50"/>
  <c r="EP12" i="50"/>
  <c r="EO12" i="50"/>
  <c r="ES12" i="50" s="1"/>
  <c r="EN12" i="50"/>
  <c r="ER12" i="50" s="1"/>
  <c r="EM12" i="50"/>
  <c r="EL12" i="50"/>
  <c r="EI12" i="50"/>
  <c r="EH12" i="50"/>
  <c r="EG12" i="50"/>
  <c r="EF12" i="50"/>
  <c r="DH12" i="50"/>
  <c r="DG12" i="50"/>
  <c r="DF12" i="50"/>
  <c r="DJ12" i="50" s="1"/>
  <c r="DE12" i="50"/>
  <c r="DI12" i="50" s="1"/>
  <c r="DD12" i="50"/>
  <c r="DC12" i="50"/>
  <c r="CZ12" i="50"/>
  <c r="CY12" i="50"/>
  <c r="CX12" i="50"/>
  <c r="DB12" i="50" s="1"/>
  <c r="DK12" i="50" s="1"/>
  <c r="CW12" i="50"/>
  <c r="DA12" i="50" s="1"/>
  <c r="BX12" i="50"/>
  <c r="FF12" i="50" s="1"/>
  <c r="BW12" i="50"/>
  <c r="BV12" i="50"/>
  <c r="FD12" i="50" s="1"/>
  <c r="BU12" i="50"/>
  <c r="FC12" i="50" s="1"/>
  <c r="BT12" i="50"/>
  <c r="FB12" i="50" s="1"/>
  <c r="BR12" i="50"/>
  <c r="EZ12" i="50" s="1"/>
  <c r="FN12" i="50" s="1"/>
  <c r="BQ12" i="50"/>
  <c r="EY12" i="50" s="1"/>
  <c r="BP12" i="50"/>
  <c r="EX12" i="50" s="1"/>
  <c r="BO12" i="50"/>
  <c r="EW12" i="50" s="1"/>
  <c r="BN12" i="50"/>
  <c r="EV12" i="50" s="1"/>
  <c r="AT12" i="50"/>
  <c r="AS12" i="50"/>
  <c r="AR12" i="50"/>
  <c r="AQ12" i="50"/>
  <c r="AP12" i="50"/>
  <c r="AN12" i="50"/>
  <c r="AM12" i="50"/>
  <c r="AL12" i="50"/>
  <c r="AK12" i="50"/>
  <c r="AJ12" i="50"/>
  <c r="EU11" i="50"/>
  <c r="EQ11" i="50"/>
  <c r="EP11" i="50"/>
  <c r="EO11" i="50"/>
  <c r="ES11" i="50" s="1"/>
  <c r="EN11" i="50"/>
  <c r="ER11" i="50" s="1"/>
  <c r="EM11" i="50"/>
  <c r="EL11" i="50"/>
  <c r="EI11" i="50"/>
  <c r="EH11" i="50"/>
  <c r="EG11" i="50"/>
  <c r="EF11" i="50"/>
  <c r="DH11" i="50"/>
  <c r="DG11" i="50"/>
  <c r="DF11" i="50"/>
  <c r="DJ11" i="50" s="1"/>
  <c r="DE11" i="50"/>
  <c r="DI11" i="50" s="1"/>
  <c r="DD11" i="50"/>
  <c r="DC11" i="50"/>
  <c r="CZ11" i="50"/>
  <c r="CY11" i="50"/>
  <c r="CX11" i="50"/>
  <c r="DB11" i="50" s="1"/>
  <c r="DK11" i="50" s="1"/>
  <c r="CW11" i="50"/>
  <c r="DA11" i="50" s="1"/>
  <c r="BX11" i="50"/>
  <c r="FF11" i="50" s="1"/>
  <c r="BW11" i="50"/>
  <c r="FE11" i="50" s="1"/>
  <c r="BV11" i="50"/>
  <c r="FD11" i="50" s="1"/>
  <c r="FR11" i="50" s="1"/>
  <c r="BU11" i="50"/>
  <c r="BT11" i="50"/>
  <c r="FB11" i="50" s="1"/>
  <c r="BR11" i="50"/>
  <c r="EZ11" i="50" s="1"/>
  <c r="FN11" i="50" s="1"/>
  <c r="BQ11" i="50"/>
  <c r="EY11" i="50" s="1"/>
  <c r="BP11" i="50"/>
  <c r="EX11" i="50" s="1"/>
  <c r="BO11" i="50"/>
  <c r="BN11" i="50"/>
  <c r="EV11" i="50" s="1"/>
  <c r="AT11" i="50"/>
  <c r="AS11" i="50"/>
  <c r="AR11" i="50"/>
  <c r="AQ11" i="50"/>
  <c r="AP11" i="50"/>
  <c r="AN11" i="50"/>
  <c r="AM11" i="50"/>
  <c r="AL11" i="50"/>
  <c r="AK11" i="50"/>
  <c r="AJ11" i="50"/>
  <c r="EU9" i="50"/>
  <c r="EQ9" i="50"/>
  <c r="EP9" i="50"/>
  <c r="EO9" i="50"/>
  <c r="ES9" i="50" s="1"/>
  <c r="EN9" i="50"/>
  <c r="ER9" i="50" s="1"/>
  <c r="EM9" i="50"/>
  <c r="EL9" i="50"/>
  <c r="EI9" i="50"/>
  <c r="EH9" i="50"/>
  <c r="EG9" i="50"/>
  <c r="EF9" i="50"/>
  <c r="DH9" i="50"/>
  <c r="DG9" i="50"/>
  <c r="DF9" i="50"/>
  <c r="DJ9" i="50" s="1"/>
  <c r="DE9" i="50"/>
  <c r="DI9" i="50" s="1"/>
  <c r="DD9" i="50"/>
  <c r="DC9" i="50"/>
  <c r="CZ9" i="50"/>
  <c r="CY9" i="50"/>
  <c r="CX9" i="50"/>
  <c r="DB9" i="50" s="1"/>
  <c r="DK9" i="50" s="1"/>
  <c r="CW9" i="50"/>
  <c r="DA9" i="50" s="1"/>
  <c r="BX9" i="50"/>
  <c r="FF9" i="50" s="1"/>
  <c r="BW9" i="50"/>
  <c r="FE9" i="50" s="1"/>
  <c r="BV9" i="50"/>
  <c r="FD9" i="50" s="1"/>
  <c r="BU9" i="50"/>
  <c r="FC9" i="50" s="1"/>
  <c r="BT9" i="50"/>
  <c r="FB9" i="50" s="1"/>
  <c r="BR9" i="50"/>
  <c r="EZ9" i="50" s="1"/>
  <c r="FN9" i="50" s="1"/>
  <c r="BQ9" i="50"/>
  <c r="EY9" i="50" s="1"/>
  <c r="BP9" i="50"/>
  <c r="EX9" i="50" s="1"/>
  <c r="BO9" i="50"/>
  <c r="BN9" i="50"/>
  <c r="EV9" i="50" s="1"/>
  <c r="AT9" i="50"/>
  <c r="AS9" i="50"/>
  <c r="AR9" i="50"/>
  <c r="AQ9" i="50"/>
  <c r="AP9" i="50"/>
  <c r="AN9" i="50"/>
  <c r="AM9" i="50"/>
  <c r="AL9" i="50"/>
  <c r="AK9" i="50"/>
  <c r="AJ9" i="50"/>
  <c r="EU14" i="50"/>
  <c r="EQ14" i="50"/>
  <c r="EP14" i="50"/>
  <c r="EO14" i="50"/>
  <c r="ES14" i="50" s="1"/>
  <c r="EN14" i="50"/>
  <c r="ER14" i="50" s="1"/>
  <c r="EM14" i="50"/>
  <c r="EL14" i="50"/>
  <c r="EI14" i="50"/>
  <c r="EH14" i="50"/>
  <c r="EG14" i="50"/>
  <c r="EF14" i="50"/>
  <c r="DH14" i="50"/>
  <c r="DG14" i="50"/>
  <c r="DF14" i="50"/>
  <c r="DJ14" i="50" s="1"/>
  <c r="DE14" i="50"/>
  <c r="DI14" i="50" s="1"/>
  <c r="DD14" i="50"/>
  <c r="DC14" i="50"/>
  <c r="CZ14" i="50"/>
  <c r="CY14" i="50"/>
  <c r="CX14" i="50"/>
  <c r="DB14" i="50" s="1"/>
  <c r="DK14" i="50" s="1"/>
  <c r="CW14" i="50"/>
  <c r="DA14" i="50" s="1"/>
  <c r="BX14" i="50"/>
  <c r="FF14" i="50" s="1"/>
  <c r="BW14" i="50"/>
  <c r="FE14" i="50" s="1"/>
  <c r="BV14" i="50"/>
  <c r="FD14" i="50" s="1"/>
  <c r="BU14" i="50"/>
  <c r="FC14" i="50" s="1"/>
  <c r="BT14" i="50"/>
  <c r="FB14" i="50" s="1"/>
  <c r="BR14" i="50"/>
  <c r="EZ14" i="50" s="1"/>
  <c r="FN14" i="50" s="1"/>
  <c r="BQ14" i="50"/>
  <c r="EY14" i="50" s="1"/>
  <c r="BP14" i="50"/>
  <c r="EX14" i="50" s="1"/>
  <c r="BO14" i="50"/>
  <c r="BN14" i="50"/>
  <c r="EV14" i="50" s="1"/>
  <c r="FL14" i="50" s="1"/>
  <c r="AT14" i="50"/>
  <c r="AS14" i="50"/>
  <c r="AR14" i="50"/>
  <c r="AQ14" i="50"/>
  <c r="AP14" i="50"/>
  <c r="AN14" i="50"/>
  <c r="AM14" i="50"/>
  <c r="AL14" i="50"/>
  <c r="AK14" i="50"/>
  <c r="AJ14" i="50"/>
  <c r="EU8" i="50"/>
  <c r="EQ8" i="50"/>
  <c r="EP8" i="50"/>
  <c r="EO8" i="50"/>
  <c r="EN8" i="50"/>
  <c r="EM8" i="50"/>
  <c r="EL8" i="50"/>
  <c r="EI8" i="50"/>
  <c r="EH8" i="50"/>
  <c r="EG8" i="50"/>
  <c r="EF8" i="50"/>
  <c r="DH8" i="50"/>
  <c r="DG8" i="50"/>
  <c r="DF8" i="50"/>
  <c r="DJ8" i="50" s="1"/>
  <c r="DE8" i="50"/>
  <c r="DI8" i="50" s="1"/>
  <c r="DD8" i="50"/>
  <c r="DC8" i="50"/>
  <c r="CZ8" i="50"/>
  <c r="CY8" i="50"/>
  <c r="CX8" i="50"/>
  <c r="DB8" i="50" s="1"/>
  <c r="DK8" i="50" s="1"/>
  <c r="CW8" i="50"/>
  <c r="DA8" i="50" s="1"/>
  <c r="BX8" i="50"/>
  <c r="FF8" i="50" s="1"/>
  <c r="BW8" i="50"/>
  <c r="FE8" i="50" s="1"/>
  <c r="BV8" i="50"/>
  <c r="FD8" i="50" s="1"/>
  <c r="FR8" i="50" s="1"/>
  <c r="BU8" i="50"/>
  <c r="BT8" i="50"/>
  <c r="FB8" i="50" s="1"/>
  <c r="BR8" i="50"/>
  <c r="EZ8" i="50" s="1"/>
  <c r="FN8" i="50" s="1"/>
  <c r="BQ8" i="50"/>
  <c r="EY8" i="50" s="1"/>
  <c r="BP8" i="50"/>
  <c r="EX8" i="50" s="1"/>
  <c r="BO8" i="50"/>
  <c r="EW8" i="50" s="1"/>
  <c r="BN8" i="50"/>
  <c r="EV8" i="50" s="1"/>
  <c r="AT8" i="50"/>
  <c r="AS8" i="50"/>
  <c r="AR8" i="50"/>
  <c r="AQ8" i="50"/>
  <c r="AP8" i="50"/>
  <c r="AN8" i="50"/>
  <c r="AM8" i="50"/>
  <c r="AL8" i="50"/>
  <c r="AK8" i="50"/>
  <c r="AJ8" i="50"/>
  <c r="EU5" i="50"/>
  <c r="EQ5" i="50"/>
  <c r="EP5" i="50"/>
  <c r="EO5" i="50"/>
  <c r="ES5" i="50" s="1"/>
  <c r="EN5" i="50"/>
  <c r="ER5" i="50" s="1"/>
  <c r="EM5" i="50"/>
  <c r="EL5" i="50"/>
  <c r="EI5" i="50"/>
  <c r="EH5" i="50"/>
  <c r="EG5" i="50"/>
  <c r="EF5" i="50"/>
  <c r="DH5" i="50"/>
  <c r="DG5" i="50"/>
  <c r="DF5" i="50"/>
  <c r="DJ5" i="50" s="1"/>
  <c r="DE5" i="50"/>
  <c r="DI5" i="50" s="1"/>
  <c r="DD5" i="50"/>
  <c r="DC5" i="50"/>
  <c r="CZ5" i="50"/>
  <c r="CY5" i="50"/>
  <c r="CX5" i="50"/>
  <c r="DB5" i="50" s="1"/>
  <c r="CW5" i="50"/>
  <c r="DA5" i="50" s="1"/>
  <c r="BX5" i="50"/>
  <c r="FF5" i="50" s="1"/>
  <c r="BW5" i="50"/>
  <c r="BV5" i="50"/>
  <c r="FD5" i="50" s="1"/>
  <c r="BU5" i="50"/>
  <c r="FC5" i="50" s="1"/>
  <c r="BT5" i="50"/>
  <c r="FB5" i="50" s="1"/>
  <c r="BR5" i="50"/>
  <c r="EZ5" i="50" s="1"/>
  <c r="FN5" i="50" s="1"/>
  <c r="BQ5" i="50"/>
  <c r="EY5" i="50" s="1"/>
  <c r="BP5" i="50"/>
  <c r="EX5" i="50" s="1"/>
  <c r="BO5" i="50"/>
  <c r="BN5" i="50"/>
  <c r="EV5" i="50" s="1"/>
  <c r="FL5" i="50" s="1"/>
  <c r="AT5" i="50"/>
  <c r="AS5" i="50"/>
  <c r="AR5" i="50"/>
  <c r="AQ5" i="50"/>
  <c r="AP5" i="50"/>
  <c r="AN5" i="50"/>
  <c r="AM5" i="50"/>
  <c r="AL5" i="50"/>
  <c r="AK5" i="50"/>
  <c r="AJ5" i="50"/>
  <c r="EU6" i="50"/>
  <c r="EQ6" i="50"/>
  <c r="EP6" i="50"/>
  <c r="EO6" i="50"/>
  <c r="ES6" i="50" s="1"/>
  <c r="EN6" i="50"/>
  <c r="ER6" i="50" s="1"/>
  <c r="EM6" i="50"/>
  <c r="EL6" i="50"/>
  <c r="EI6" i="50"/>
  <c r="EH6" i="50"/>
  <c r="EG6" i="50"/>
  <c r="EK6" i="50" s="1"/>
  <c r="EF6" i="50"/>
  <c r="EJ6" i="50" s="1"/>
  <c r="DH6" i="50"/>
  <c r="DG6" i="50"/>
  <c r="DF6" i="50"/>
  <c r="DJ6" i="50" s="1"/>
  <c r="DE6" i="50"/>
  <c r="DI6" i="50" s="1"/>
  <c r="DD6" i="50"/>
  <c r="DC6" i="50"/>
  <c r="CZ6" i="50"/>
  <c r="CY6" i="50"/>
  <c r="CX6" i="50"/>
  <c r="DB6" i="50" s="1"/>
  <c r="DK6" i="50" s="1"/>
  <c r="CW6" i="50"/>
  <c r="BX6" i="50"/>
  <c r="FF6" i="50" s="1"/>
  <c r="BW6" i="50"/>
  <c r="FE6" i="50" s="1"/>
  <c r="BV6" i="50"/>
  <c r="FD6" i="50" s="1"/>
  <c r="FR6" i="50" s="1"/>
  <c r="BU6" i="50"/>
  <c r="FC6" i="50" s="1"/>
  <c r="BT6" i="50"/>
  <c r="FB6" i="50" s="1"/>
  <c r="BR6" i="50"/>
  <c r="EZ6" i="50" s="1"/>
  <c r="FN6" i="50" s="1"/>
  <c r="BQ6" i="50"/>
  <c r="EY6" i="50" s="1"/>
  <c r="BP6" i="50"/>
  <c r="EX6" i="50" s="1"/>
  <c r="BO6" i="50"/>
  <c r="BN6" i="50"/>
  <c r="EV6" i="50" s="1"/>
  <c r="FL6" i="50" s="1"/>
  <c r="AT6" i="50"/>
  <c r="AS6" i="50"/>
  <c r="AR6" i="50"/>
  <c r="AQ6" i="50"/>
  <c r="AP6" i="50"/>
  <c r="AN6" i="50"/>
  <c r="AM6" i="50"/>
  <c r="AL6" i="50"/>
  <c r="AK6" i="50"/>
  <c r="AJ6" i="50"/>
  <c r="EU4" i="50"/>
  <c r="EQ4" i="50"/>
  <c r="EP4" i="50"/>
  <c r="EO4" i="50"/>
  <c r="ES4" i="50" s="1"/>
  <c r="EN4" i="50"/>
  <c r="ER4" i="50" s="1"/>
  <c r="EM4" i="50"/>
  <c r="EL4" i="50"/>
  <c r="EI4" i="50"/>
  <c r="EH4" i="50"/>
  <c r="EG4" i="50"/>
  <c r="EK4" i="50" s="1"/>
  <c r="ET4" i="50" s="1"/>
  <c r="EF4" i="50"/>
  <c r="EJ4" i="50" s="1"/>
  <c r="DH4" i="50"/>
  <c r="DG4" i="50"/>
  <c r="DF4" i="50"/>
  <c r="DJ4" i="50" s="1"/>
  <c r="DE4" i="50"/>
  <c r="DI4" i="50" s="1"/>
  <c r="DD4" i="50"/>
  <c r="DC4" i="50"/>
  <c r="CZ4" i="50"/>
  <c r="CY4" i="50"/>
  <c r="CX4" i="50"/>
  <c r="CW4" i="50"/>
  <c r="BX4" i="50"/>
  <c r="FF4" i="50" s="1"/>
  <c r="BW4" i="50"/>
  <c r="FE4" i="50" s="1"/>
  <c r="BV4" i="50"/>
  <c r="FD4" i="50" s="1"/>
  <c r="BU4" i="50"/>
  <c r="FC4" i="50" s="1"/>
  <c r="BT4" i="50"/>
  <c r="FB4" i="50" s="1"/>
  <c r="BR4" i="50"/>
  <c r="EZ4" i="50" s="1"/>
  <c r="FN4" i="50" s="1"/>
  <c r="BQ4" i="50"/>
  <c r="EY4" i="50" s="1"/>
  <c r="BP4" i="50"/>
  <c r="EX4" i="50" s="1"/>
  <c r="BO4" i="50"/>
  <c r="BN4" i="50"/>
  <c r="EV4" i="50" s="1"/>
  <c r="AT4" i="50"/>
  <c r="AS4" i="50"/>
  <c r="AR4" i="50"/>
  <c r="AQ4" i="50"/>
  <c r="AP4" i="50"/>
  <c r="AN4" i="50"/>
  <c r="AM4" i="50"/>
  <c r="AL4" i="50"/>
  <c r="AK4" i="50"/>
  <c r="AJ4" i="50"/>
  <c r="EU7" i="50"/>
  <c r="EQ7" i="50"/>
  <c r="EP7" i="50"/>
  <c r="EO7" i="50"/>
  <c r="EN7" i="50"/>
  <c r="EM7" i="50"/>
  <c r="EL7" i="50"/>
  <c r="EI7" i="50"/>
  <c r="EH7" i="50"/>
  <c r="EG7" i="50"/>
  <c r="EF7" i="50"/>
  <c r="DH7" i="50"/>
  <c r="DG7" i="50"/>
  <c r="DF7" i="50"/>
  <c r="DJ7" i="50" s="1"/>
  <c r="DE7" i="50"/>
  <c r="DI7" i="50" s="1"/>
  <c r="DD7" i="50"/>
  <c r="DC7" i="50"/>
  <c r="CZ7" i="50"/>
  <c r="CY7" i="50"/>
  <c r="CX7" i="50"/>
  <c r="DB7" i="50" s="1"/>
  <c r="DK7" i="50" s="1"/>
  <c r="CW7" i="50"/>
  <c r="DA7" i="50" s="1"/>
  <c r="BX7" i="50"/>
  <c r="FF7" i="50" s="1"/>
  <c r="BW7" i="50"/>
  <c r="FE7" i="50" s="1"/>
  <c r="BV7" i="50"/>
  <c r="FD7" i="50" s="1"/>
  <c r="BU7" i="50"/>
  <c r="BT7" i="50"/>
  <c r="FB7" i="50" s="1"/>
  <c r="BR7" i="50"/>
  <c r="EZ7" i="50" s="1"/>
  <c r="BQ7" i="50"/>
  <c r="EY7" i="50" s="1"/>
  <c r="BP7" i="50"/>
  <c r="EX7" i="50" s="1"/>
  <c r="BO7" i="50"/>
  <c r="EW7" i="50" s="1"/>
  <c r="BN7" i="50"/>
  <c r="EV7" i="50" s="1"/>
  <c r="FL7" i="50" s="1"/>
  <c r="AT7" i="50"/>
  <c r="AS7" i="50"/>
  <c r="AR7" i="50"/>
  <c r="AQ7" i="50"/>
  <c r="AP7" i="50"/>
  <c r="AN7" i="50"/>
  <c r="AM7" i="50"/>
  <c r="AL7" i="50"/>
  <c r="AK7" i="50"/>
  <c r="AJ7" i="50"/>
  <c r="EU17" i="49"/>
  <c r="EQ17" i="49"/>
  <c r="EP17" i="49"/>
  <c r="EO17" i="49"/>
  <c r="ES17" i="49" s="1"/>
  <c r="EN17" i="49"/>
  <c r="ER17" i="49" s="1"/>
  <c r="EM17" i="49"/>
  <c r="EL17" i="49"/>
  <c r="EI17" i="49"/>
  <c r="EH17" i="49"/>
  <c r="EG17" i="49"/>
  <c r="EK17" i="49" s="1"/>
  <c r="ET17" i="49" s="1"/>
  <c r="EF17" i="49"/>
  <c r="EJ17" i="49" s="1"/>
  <c r="DH17" i="49"/>
  <c r="DG17" i="49"/>
  <c r="DF17" i="49"/>
  <c r="DJ17" i="49" s="1"/>
  <c r="DE17" i="49"/>
  <c r="DI17" i="49" s="1"/>
  <c r="DD17" i="49"/>
  <c r="DC17" i="49"/>
  <c r="CZ17" i="49"/>
  <c r="CY17" i="49"/>
  <c r="CX17" i="49"/>
  <c r="DB17" i="49" s="1"/>
  <c r="DK17" i="49" s="1"/>
  <c r="CW17" i="49"/>
  <c r="DA17" i="49" s="1"/>
  <c r="BX17" i="49"/>
  <c r="FF17" i="49" s="1"/>
  <c r="BW17" i="49"/>
  <c r="FE17" i="49" s="1"/>
  <c r="BV17" i="49"/>
  <c r="FD17" i="49" s="1"/>
  <c r="BU17" i="49"/>
  <c r="FC17" i="49" s="1"/>
  <c r="BT17" i="49"/>
  <c r="FB17" i="49" s="1"/>
  <c r="BR17" i="49"/>
  <c r="EZ17" i="49" s="1"/>
  <c r="FN17" i="49" s="1"/>
  <c r="BQ17" i="49"/>
  <c r="BP17" i="49"/>
  <c r="EX17" i="49" s="1"/>
  <c r="BO17" i="49"/>
  <c r="EW17" i="49" s="1"/>
  <c r="BN17" i="49"/>
  <c r="EV17" i="49" s="1"/>
  <c r="AT17" i="49"/>
  <c r="AS17" i="49"/>
  <c r="AR17" i="49"/>
  <c r="AQ17" i="49"/>
  <c r="AP17" i="49"/>
  <c r="AN17" i="49"/>
  <c r="AM17" i="49"/>
  <c r="AL17" i="49"/>
  <c r="AK17" i="49"/>
  <c r="AJ17" i="49"/>
  <c r="EU15" i="49"/>
  <c r="EQ15" i="49"/>
  <c r="EP15" i="49"/>
  <c r="EO15" i="49"/>
  <c r="ES15" i="49" s="1"/>
  <c r="EN15" i="49"/>
  <c r="ER15" i="49" s="1"/>
  <c r="EM15" i="49"/>
  <c r="EL15" i="49"/>
  <c r="EI15" i="49"/>
  <c r="EH15" i="49"/>
  <c r="EG15" i="49"/>
  <c r="EK15" i="49" s="1"/>
  <c r="ET15" i="49" s="1"/>
  <c r="EF15" i="49"/>
  <c r="EJ15" i="49" s="1"/>
  <c r="DH15" i="49"/>
  <c r="DG15" i="49"/>
  <c r="DF15" i="49"/>
  <c r="DJ15" i="49" s="1"/>
  <c r="DE15" i="49"/>
  <c r="DI15" i="49" s="1"/>
  <c r="DD15" i="49"/>
  <c r="DC15" i="49"/>
  <c r="CZ15" i="49"/>
  <c r="CY15" i="49"/>
  <c r="CX15" i="49"/>
  <c r="DB15" i="49" s="1"/>
  <c r="DK15" i="49" s="1"/>
  <c r="CW15" i="49"/>
  <c r="DA15" i="49" s="1"/>
  <c r="BX15" i="49"/>
  <c r="FF15" i="49" s="1"/>
  <c r="BW15" i="49"/>
  <c r="FE15" i="49" s="1"/>
  <c r="BV15" i="49"/>
  <c r="FD15" i="49" s="1"/>
  <c r="BU15" i="49"/>
  <c r="BT15" i="49"/>
  <c r="FB15" i="49" s="1"/>
  <c r="BR15" i="49"/>
  <c r="EZ15" i="49" s="1"/>
  <c r="FN15" i="49" s="1"/>
  <c r="BQ15" i="49"/>
  <c r="EY15" i="49" s="1"/>
  <c r="BP15" i="49"/>
  <c r="EX15" i="49" s="1"/>
  <c r="BO15" i="49"/>
  <c r="BN15" i="49"/>
  <c r="EV15" i="49" s="1"/>
  <c r="AT15" i="49"/>
  <c r="AS15" i="49"/>
  <c r="AR15" i="49"/>
  <c r="AQ15" i="49"/>
  <c r="AP15" i="49"/>
  <c r="AN15" i="49"/>
  <c r="AM15" i="49"/>
  <c r="AL15" i="49"/>
  <c r="AK15" i="49"/>
  <c r="AJ15" i="49"/>
  <c r="EU12" i="49"/>
  <c r="EQ12" i="49"/>
  <c r="EP12" i="49"/>
  <c r="EO12" i="49"/>
  <c r="ES12" i="49" s="1"/>
  <c r="EN12" i="49"/>
  <c r="ER12" i="49" s="1"/>
  <c r="EM12" i="49"/>
  <c r="EL12" i="49"/>
  <c r="EI12" i="49"/>
  <c r="EH12" i="49"/>
  <c r="EG12" i="49"/>
  <c r="EK12" i="49" s="1"/>
  <c r="EF12" i="49"/>
  <c r="EJ12" i="49" s="1"/>
  <c r="DH12" i="49"/>
  <c r="DG12" i="49"/>
  <c r="DF12" i="49"/>
  <c r="DJ12" i="49" s="1"/>
  <c r="DE12" i="49"/>
  <c r="DI12" i="49" s="1"/>
  <c r="DD12" i="49"/>
  <c r="DC12" i="49"/>
  <c r="CZ12" i="49"/>
  <c r="CY12" i="49"/>
  <c r="CX12" i="49"/>
  <c r="DB12" i="49" s="1"/>
  <c r="DK12" i="49" s="1"/>
  <c r="CW12" i="49"/>
  <c r="DA12" i="49" s="1"/>
  <c r="BX12" i="49"/>
  <c r="FF12" i="49" s="1"/>
  <c r="BW12" i="49"/>
  <c r="FE12" i="49" s="1"/>
  <c r="BV12" i="49"/>
  <c r="FD12" i="49" s="1"/>
  <c r="BU12" i="49"/>
  <c r="BT12" i="49"/>
  <c r="FB12" i="49" s="1"/>
  <c r="BR12" i="49"/>
  <c r="EZ12" i="49" s="1"/>
  <c r="FN12" i="49" s="1"/>
  <c r="BQ12" i="49"/>
  <c r="EY12" i="49" s="1"/>
  <c r="BP12" i="49"/>
  <c r="EX12" i="49" s="1"/>
  <c r="BO12" i="49"/>
  <c r="EW12" i="49" s="1"/>
  <c r="BN12" i="49"/>
  <c r="EV12" i="49" s="1"/>
  <c r="AT12" i="49"/>
  <c r="AS12" i="49"/>
  <c r="AR12" i="49"/>
  <c r="AQ12" i="49"/>
  <c r="AP12" i="49"/>
  <c r="AN12" i="49"/>
  <c r="AM12" i="49"/>
  <c r="AL12" i="49"/>
  <c r="AK12" i="49"/>
  <c r="AJ12" i="49"/>
  <c r="EU18" i="49"/>
  <c r="EQ18" i="49"/>
  <c r="EP18" i="49"/>
  <c r="EO18" i="49"/>
  <c r="ES18" i="49" s="1"/>
  <c r="EN18" i="49"/>
  <c r="ER18" i="49" s="1"/>
  <c r="EM18" i="49"/>
  <c r="EL18" i="49"/>
  <c r="EI18" i="49"/>
  <c r="EH18" i="49"/>
  <c r="EG18" i="49"/>
  <c r="EK18" i="49" s="1"/>
  <c r="ET18" i="49" s="1"/>
  <c r="EF18" i="49"/>
  <c r="EJ18" i="49" s="1"/>
  <c r="DH18" i="49"/>
  <c r="DG18" i="49"/>
  <c r="DF18" i="49"/>
  <c r="DJ18" i="49" s="1"/>
  <c r="DE18" i="49"/>
  <c r="DI18" i="49" s="1"/>
  <c r="DD18" i="49"/>
  <c r="DC18" i="49"/>
  <c r="CZ18" i="49"/>
  <c r="CY18" i="49"/>
  <c r="CX18" i="49"/>
  <c r="DB18" i="49" s="1"/>
  <c r="DK18" i="49" s="1"/>
  <c r="CW18" i="49"/>
  <c r="DA18" i="49" s="1"/>
  <c r="BX18" i="49"/>
  <c r="FF18" i="49" s="1"/>
  <c r="BW18" i="49"/>
  <c r="FE18" i="49" s="1"/>
  <c r="BV18" i="49"/>
  <c r="FD18" i="49" s="1"/>
  <c r="BU18" i="49"/>
  <c r="FC18" i="49" s="1"/>
  <c r="BT18" i="49"/>
  <c r="FB18" i="49" s="1"/>
  <c r="BR18" i="49"/>
  <c r="EZ18" i="49" s="1"/>
  <c r="FN18" i="49" s="1"/>
  <c r="BQ18" i="49"/>
  <c r="BP18" i="49"/>
  <c r="EX18" i="49" s="1"/>
  <c r="BO18" i="49"/>
  <c r="EW18" i="49" s="1"/>
  <c r="BN18" i="49"/>
  <c r="EV18" i="49" s="1"/>
  <c r="AT18" i="49"/>
  <c r="AS18" i="49"/>
  <c r="AR18" i="49"/>
  <c r="AQ18" i="49"/>
  <c r="AP18" i="49"/>
  <c r="AN18" i="49"/>
  <c r="AM18" i="49"/>
  <c r="AL18" i="49"/>
  <c r="AK18" i="49"/>
  <c r="AJ18" i="49"/>
  <c r="EU11" i="49"/>
  <c r="EQ11" i="49"/>
  <c r="EP11" i="49"/>
  <c r="EO11" i="49"/>
  <c r="ES11" i="49" s="1"/>
  <c r="EN11" i="49"/>
  <c r="ER11" i="49" s="1"/>
  <c r="EM11" i="49"/>
  <c r="EL11" i="49"/>
  <c r="EI11" i="49"/>
  <c r="EH11" i="49"/>
  <c r="EG11" i="49"/>
  <c r="EF11" i="49"/>
  <c r="EJ11" i="49" s="1"/>
  <c r="DH11" i="49"/>
  <c r="DG11" i="49"/>
  <c r="DF11" i="49"/>
  <c r="DJ11" i="49" s="1"/>
  <c r="DE11" i="49"/>
  <c r="DI11" i="49" s="1"/>
  <c r="DD11" i="49"/>
  <c r="DC11" i="49"/>
  <c r="CZ11" i="49"/>
  <c r="CY11" i="49"/>
  <c r="CX11" i="49"/>
  <c r="DB11" i="49" s="1"/>
  <c r="DK11" i="49" s="1"/>
  <c r="CW11" i="49"/>
  <c r="DA11" i="49" s="1"/>
  <c r="BX11" i="49"/>
  <c r="FF11" i="49" s="1"/>
  <c r="BW11" i="49"/>
  <c r="FE11" i="49" s="1"/>
  <c r="BV11" i="49"/>
  <c r="FD11" i="49" s="1"/>
  <c r="BU11" i="49"/>
  <c r="FC11" i="49" s="1"/>
  <c r="BT11" i="49"/>
  <c r="FB11" i="49" s="1"/>
  <c r="BR11" i="49"/>
  <c r="EZ11" i="49" s="1"/>
  <c r="BQ11" i="49"/>
  <c r="EY11" i="49" s="1"/>
  <c r="BP11" i="49"/>
  <c r="EX11" i="49" s="1"/>
  <c r="BO11" i="49"/>
  <c r="BN11" i="49"/>
  <c r="EV11" i="49" s="1"/>
  <c r="FL11" i="49" s="1"/>
  <c r="AT11" i="49"/>
  <c r="AS11" i="49"/>
  <c r="AR11" i="49"/>
  <c r="AQ11" i="49"/>
  <c r="AP11" i="49"/>
  <c r="AN11" i="49"/>
  <c r="AM11" i="49"/>
  <c r="AL11" i="49"/>
  <c r="AK11" i="49"/>
  <c r="AJ11" i="49"/>
  <c r="EU7" i="49"/>
  <c r="EQ7" i="49"/>
  <c r="EP7" i="49"/>
  <c r="EO7" i="49"/>
  <c r="ES7" i="49" s="1"/>
  <c r="EN7" i="49"/>
  <c r="EM7" i="49"/>
  <c r="EL7" i="49"/>
  <c r="EI7" i="49"/>
  <c r="EH7" i="49"/>
  <c r="EG7" i="49"/>
  <c r="EF7" i="49"/>
  <c r="DH7" i="49"/>
  <c r="DG7" i="49"/>
  <c r="DF7" i="49"/>
  <c r="DJ7" i="49" s="1"/>
  <c r="DE7" i="49"/>
  <c r="DI7" i="49" s="1"/>
  <c r="DD7" i="49"/>
  <c r="DC7" i="49"/>
  <c r="CZ7" i="49"/>
  <c r="CY7" i="49"/>
  <c r="CX7" i="49"/>
  <c r="DB7" i="49" s="1"/>
  <c r="DK7" i="49" s="1"/>
  <c r="CW7" i="49"/>
  <c r="DA7" i="49" s="1"/>
  <c r="BX7" i="49"/>
  <c r="FF7" i="49" s="1"/>
  <c r="BW7" i="49"/>
  <c r="FE7" i="49" s="1"/>
  <c r="BV7" i="49"/>
  <c r="FD7" i="49" s="1"/>
  <c r="BU7" i="49"/>
  <c r="BT7" i="49"/>
  <c r="FB7" i="49" s="1"/>
  <c r="BR7" i="49"/>
  <c r="EZ7" i="49" s="1"/>
  <c r="FN7" i="49" s="1"/>
  <c r="BQ7" i="49"/>
  <c r="BP7" i="49"/>
  <c r="EX7" i="49" s="1"/>
  <c r="BO7" i="49"/>
  <c r="EW7" i="49" s="1"/>
  <c r="BN7" i="49"/>
  <c r="EV7" i="49" s="1"/>
  <c r="FL7" i="49" s="1"/>
  <c r="AT7" i="49"/>
  <c r="AS7" i="49"/>
  <c r="AR7" i="49"/>
  <c r="AQ7" i="49"/>
  <c r="AP7" i="49"/>
  <c r="AN7" i="49"/>
  <c r="AM7" i="49"/>
  <c r="AL7" i="49"/>
  <c r="AK7" i="49"/>
  <c r="AJ7" i="49"/>
  <c r="EU14" i="49"/>
  <c r="EQ14" i="49"/>
  <c r="EP14" i="49"/>
  <c r="EO14" i="49"/>
  <c r="ES14" i="49" s="1"/>
  <c r="EN14" i="49"/>
  <c r="ER14" i="49" s="1"/>
  <c r="EM14" i="49"/>
  <c r="EL14" i="49"/>
  <c r="EI14" i="49"/>
  <c r="EH14" i="49"/>
  <c r="EG14" i="49"/>
  <c r="EK14" i="49" s="1"/>
  <c r="ET14" i="49" s="1"/>
  <c r="EF14" i="49"/>
  <c r="EJ14" i="49" s="1"/>
  <c r="DH14" i="49"/>
  <c r="DG14" i="49"/>
  <c r="DF14" i="49"/>
  <c r="DJ14" i="49" s="1"/>
  <c r="DE14" i="49"/>
  <c r="DI14" i="49" s="1"/>
  <c r="DD14" i="49"/>
  <c r="DC14" i="49"/>
  <c r="CZ14" i="49"/>
  <c r="CY14" i="49"/>
  <c r="CX14" i="49"/>
  <c r="DB14" i="49" s="1"/>
  <c r="DK14" i="49" s="1"/>
  <c r="CW14" i="49"/>
  <c r="DA14" i="49" s="1"/>
  <c r="BX14" i="49"/>
  <c r="FF14" i="49" s="1"/>
  <c r="BW14" i="49"/>
  <c r="BV14" i="49"/>
  <c r="FD14" i="49" s="1"/>
  <c r="BU14" i="49"/>
  <c r="FC14" i="49" s="1"/>
  <c r="BT14" i="49"/>
  <c r="FB14" i="49" s="1"/>
  <c r="BR14" i="49"/>
  <c r="EZ14" i="49" s="1"/>
  <c r="FN14" i="49" s="1"/>
  <c r="BQ14" i="49"/>
  <c r="EY14" i="49" s="1"/>
  <c r="BP14" i="49"/>
  <c r="EX14" i="49" s="1"/>
  <c r="BO14" i="49"/>
  <c r="EW14" i="49" s="1"/>
  <c r="BN14" i="49"/>
  <c r="EV14" i="49" s="1"/>
  <c r="FL14" i="49" s="1"/>
  <c r="AT14" i="49"/>
  <c r="AS14" i="49"/>
  <c r="AR14" i="49"/>
  <c r="AQ14" i="49"/>
  <c r="AP14" i="49"/>
  <c r="AN14" i="49"/>
  <c r="AM14" i="49"/>
  <c r="AL14" i="49"/>
  <c r="AK14" i="49"/>
  <c r="AJ14" i="49"/>
  <c r="EU9" i="49"/>
  <c r="EQ9" i="49"/>
  <c r="EP9" i="49"/>
  <c r="EO9" i="49"/>
  <c r="ES9" i="49" s="1"/>
  <c r="EN9" i="49"/>
  <c r="ER9" i="49" s="1"/>
  <c r="EM9" i="49"/>
  <c r="EL9" i="49"/>
  <c r="EI9" i="49"/>
  <c r="EH9" i="49"/>
  <c r="EG9" i="49"/>
  <c r="EF9" i="49"/>
  <c r="DH9" i="49"/>
  <c r="DG9" i="49"/>
  <c r="DF9" i="49"/>
  <c r="DJ9" i="49" s="1"/>
  <c r="DE9" i="49"/>
  <c r="DI9" i="49" s="1"/>
  <c r="DD9" i="49"/>
  <c r="DC9" i="49"/>
  <c r="CZ9" i="49"/>
  <c r="CY9" i="49"/>
  <c r="CX9" i="49"/>
  <c r="DB9" i="49" s="1"/>
  <c r="DK9" i="49" s="1"/>
  <c r="CW9" i="49"/>
  <c r="DA9" i="49" s="1"/>
  <c r="BX9" i="49"/>
  <c r="FF9" i="49" s="1"/>
  <c r="BW9" i="49"/>
  <c r="FE9" i="49" s="1"/>
  <c r="BV9" i="49"/>
  <c r="FD9" i="49" s="1"/>
  <c r="BU9" i="49"/>
  <c r="BT9" i="49"/>
  <c r="FB9" i="49" s="1"/>
  <c r="BR9" i="49"/>
  <c r="EZ9" i="49" s="1"/>
  <c r="FN9" i="49" s="1"/>
  <c r="BQ9" i="49"/>
  <c r="EY9" i="49" s="1"/>
  <c r="BP9" i="49"/>
  <c r="EX9" i="49" s="1"/>
  <c r="BO9" i="49"/>
  <c r="EW9" i="49" s="1"/>
  <c r="BN9" i="49"/>
  <c r="EV9" i="49" s="1"/>
  <c r="AT9" i="49"/>
  <c r="AS9" i="49"/>
  <c r="AR9" i="49"/>
  <c r="AQ9" i="49"/>
  <c r="AP9" i="49"/>
  <c r="AN9" i="49"/>
  <c r="AM9" i="49"/>
  <c r="AL9" i="49"/>
  <c r="AK9" i="49"/>
  <c r="AJ9" i="49"/>
  <c r="EU6" i="49"/>
  <c r="EQ6" i="49"/>
  <c r="EP6" i="49"/>
  <c r="EO6" i="49"/>
  <c r="ES6" i="49" s="1"/>
  <c r="EN6" i="49"/>
  <c r="ER6" i="49" s="1"/>
  <c r="EM6" i="49"/>
  <c r="EL6" i="49"/>
  <c r="EJ6" i="49"/>
  <c r="EI6" i="49"/>
  <c r="EH6" i="49"/>
  <c r="EG6" i="49"/>
  <c r="EF6" i="49"/>
  <c r="DH6" i="49"/>
  <c r="DG6" i="49"/>
  <c r="DF6" i="49"/>
  <c r="DJ6" i="49" s="1"/>
  <c r="DE6" i="49"/>
  <c r="DI6" i="49" s="1"/>
  <c r="DD6" i="49"/>
  <c r="DC6" i="49"/>
  <c r="CZ6" i="49"/>
  <c r="CY6" i="49"/>
  <c r="CX6" i="49"/>
  <c r="DB6" i="49" s="1"/>
  <c r="DK6" i="49" s="1"/>
  <c r="CW6" i="49"/>
  <c r="BX6" i="49"/>
  <c r="FF6" i="49" s="1"/>
  <c r="BW6" i="49"/>
  <c r="FE6" i="49" s="1"/>
  <c r="BV6" i="49"/>
  <c r="FD6" i="49" s="1"/>
  <c r="BU6" i="49"/>
  <c r="FC6" i="49" s="1"/>
  <c r="BT6" i="49"/>
  <c r="FB6" i="49" s="1"/>
  <c r="BR6" i="49"/>
  <c r="EZ6" i="49" s="1"/>
  <c r="FN6" i="49" s="1"/>
  <c r="BQ6" i="49"/>
  <c r="EY6" i="49" s="1"/>
  <c r="BP6" i="49"/>
  <c r="EX6" i="49" s="1"/>
  <c r="BO6" i="49"/>
  <c r="BN6" i="49"/>
  <c r="EV6" i="49" s="1"/>
  <c r="FL6" i="49" s="1"/>
  <c r="AT6" i="49"/>
  <c r="AS6" i="49"/>
  <c r="AR6" i="49"/>
  <c r="AQ6" i="49"/>
  <c r="AP6" i="49"/>
  <c r="AN6" i="49"/>
  <c r="AM6" i="49"/>
  <c r="AL6" i="49"/>
  <c r="AK6" i="49"/>
  <c r="AJ6" i="49"/>
  <c r="EU13" i="49"/>
  <c r="EQ13" i="49"/>
  <c r="EP13" i="49"/>
  <c r="EO13" i="49"/>
  <c r="EN13" i="49"/>
  <c r="ER13" i="49" s="1"/>
  <c r="EM13" i="49"/>
  <c r="EL13" i="49"/>
  <c r="EI13" i="49"/>
  <c r="EH13" i="49"/>
  <c r="EG13" i="49"/>
  <c r="EF13" i="49"/>
  <c r="DH13" i="49"/>
  <c r="DG13" i="49"/>
  <c r="DF13" i="49"/>
  <c r="DJ13" i="49" s="1"/>
  <c r="DE13" i="49"/>
  <c r="DI13" i="49" s="1"/>
  <c r="DD13" i="49"/>
  <c r="DC13" i="49"/>
  <c r="CZ13" i="49"/>
  <c r="CY13" i="49"/>
  <c r="CX13" i="49"/>
  <c r="DB13" i="49" s="1"/>
  <c r="DK13" i="49" s="1"/>
  <c r="CW13" i="49"/>
  <c r="DA13" i="49" s="1"/>
  <c r="BX13" i="49"/>
  <c r="FF13" i="49" s="1"/>
  <c r="BW13" i="49"/>
  <c r="FE13" i="49" s="1"/>
  <c r="BV13" i="49"/>
  <c r="FD13" i="49" s="1"/>
  <c r="BU13" i="49"/>
  <c r="BT13" i="49"/>
  <c r="FB13" i="49" s="1"/>
  <c r="BR13" i="49"/>
  <c r="EZ13" i="49" s="1"/>
  <c r="FN13" i="49" s="1"/>
  <c r="BQ13" i="49"/>
  <c r="EY13" i="49" s="1"/>
  <c r="BP13" i="49"/>
  <c r="EX13" i="49" s="1"/>
  <c r="BO13" i="49"/>
  <c r="BN13" i="49"/>
  <c r="EV13" i="49" s="1"/>
  <c r="AT13" i="49"/>
  <c r="AS13" i="49"/>
  <c r="AR13" i="49"/>
  <c r="AQ13" i="49"/>
  <c r="AP13" i="49"/>
  <c r="AN13" i="49"/>
  <c r="AM13" i="49"/>
  <c r="AL13" i="49"/>
  <c r="AK13" i="49"/>
  <c r="AJ13" i="49"/>
  <c r="EU8" i="49"/>
  <c r="EQ8" i="49"/>
  <c r="EP8" i="49"/>
  <c r="EO8" i="49"/>
  <c r="ES8" i="49" s="1"/>
  <c r="EN8" i="49"/>
  <c r="ER8" i="49" s="1"/>
  <c r="EM8" i="49"/>
  <c r="EL8" i="49"/>
  <c r="EI8" i="49"/>
  <c r="EH8" i="49"/>
  <c r="EG8" i="49"/>
  <c r="EF8" i="49"/>
  <c r="DH8" i="49"/>
  <c r="DG8" i="49"/>
  <c r="DF8" i="49"/>
  <c r="DJ8" i="49" s="1"/>
  <c r="DE8" i="49"/>
  <c r="DI8" i="49" s="1"/>
  <c r="DD8" i="49"/>
  <c r="DC8" i="49"/>
  <c r="CZ8" i="49"/>
  <c r="CY8" i="49"/>
  <c r="CX8" i="49"/>
  <c r="DB8" i="49" s="1"/>
  <c r="CW8" i="49"/>
  <c r="BX8" i="49"/>
  <c r="FF8" i="49" s="1"/>
  <c r="BW8" i="49"/>
  <c r="FE8" i="49" s="1"/>
  <c r="BV8" i="49"/>
  <c r="FD8" i="49" s="1"/>
  <c r="BU8" i="49"/>
  <c r="FC8" i="49" s="1"/>
  <c r="BT8" i="49"/>
  <c r="FB8" i="49" s="1"/>
  <c r="BR8" i="49"/>
  <c r="EZ8" i="49" s="1"/>
  <c r="FN8" i="49" s="1"/>
  <c r="BQ8" i="49"/>
  <c r="BP8" i="49"/>
  <c r="EX8" i="49" s="1"/>
  <c r="BO8" i="49"/>
  <c r="EW8" i="49" s="1"/>
  <c r="BN8" i="49"/>
  <c r="EV8" i="49" s="1"/>
  <c r="FL8" i="49" s="1"/>
  <c r="AT8" i="49"/>
  <c r="AS8" i="49"/>
  <c r="AR8" i="49"/>
  <c r="AQ8" i="49"/>
  <c r="AP8" i="49"/>
  <c r="AN8" i="49"/>
  <c r="AM8" i="49"/>
  <c r="AL8" i="49"/>
  <c r="AK8" i="49"/>
  <c r="AJ8" i="49"/>
  <c r="EU10" i="49"/>
  <c r="EQ10" i="49"/>
  <c r="EP10" i="49"/>
  <c r="EO10" i="49"/>
  <c r="ES10" i="49" s="1"/>
  <c r="EN10" i="49"/>
  <c r="ER10" i="49" s="1"/>
  <c r="EM10" i="49"/>
  <c r="EL10" i="49"/>
  <c r="EI10" i="49"/>
  <c r="EH10" i="49"/>
  <c r="EG10" i="49"/>
  <c r="EF10" i="49"/>
  <c r="DH10" i="49"/>
  <c r="DG10" i="49"/>
  <c r="DF10" i="49"/>
  <c r="DJ10" i="49" s="1"/>
  <c r="DE10" i="49"/>
  <c r="DI10" i="49" s="1"/>
  <c r="DD10" i="49"/>
  <c r="DC10" i="49"/>
  <c r="CZ10" i="49"/>
  <c r="CY10" i="49"/>
  <c r="CX10" i="49"/>
  <c r="CW10" i="49"/>
  <c r="BX10" i="49"/>
  <c r="FF10" i="49" s="1"/>
  <c r="BW10" i="49"/>
  <c r="FE10" i="49" s="1"/>
  <c r="BV10" i="49"/>
  <c r="FD10" i="49" s="1"/>
  <c r="BU10" i="49"/>
  <c r="BT10" i="49"/>
  <c r="FB10" i="49" s="1"/>
  <c r="BR10" i="49"/>
  <c r="EZ10" i="49" s="1"/>
  <c r="BQ10" i="49"/>
  <c r="EY10" i="49" s="1"/>
  <c r="BP10" i="49"/>
  <c r="EX10" i="49" s="1"/>
  <c r="BO10" i="49"/>
  <c r="BN10" i="49"/>
  <c r="EV10" i="49" s="1"/>
  <c r="FL10" i="49" s="1"/>
  <c r="AT10" i="49"/>
  <c r="AS10" i="49"/>
  <c r="AR10" i="49"/>
  <c r="AQ10" i="49"/>
  <c r="AP10" i="49"/>
  <c r="AN10" i="49"/>
  <c r="AM10" i="49"/>
  <c r="AL10" i="49"/>
  <c r="AK10" i="49"/>
  <c r="AJ10" i="49"/>
  <c r="EU5" i="49"/>
  <c r="EQ5" i="49"/>
  <c r="EP5" i="49"/>
  <c r="EO5" i="49"/>
  <c r="ES5" i="49" s="1"/>
  <c r="EN5" i="49"/>
  <c r="ER5" i="49" s="1"/>
  <c r="EM5" i="49"/>
  <c r="EL5" i="49"/>
  <c r="EI5" i="49"/>
  <c r="EH5" i="49"/>
  <c r="EG5" i="49"/>
  <c r="EK5" i="49" s="1"/>
  <c r="ET5" i="49" s="1"/>
  <c r="EF5" i="49"/>
  <c r="EJ5" i="49" s="1"/>
  <c r="DH5" i="49"/>
  <c r="DG5" i="49"/>
  <c r="DF5" i="49"/>
  <c r="DJ5" i="49" s="1"/>
  <c r="DE5" i="49"/>
  <c r="DI5" i="49" s="1"/>
  <c r="DD5" i="49"/>
  <c r="DC5" i="49"/>
  <c r="CZ5" i="49"/>
  <c r="CY5" i="49"/>
  <c r="CX5" i="49"/>
  <c r="CW5" i="49"/>
  <c r="BX5" i="49"/>
  <c r="FF5" i="49" s="1"/>
  <c r="BW5" i="49"/>
  <c r="FE5" i="49" s="1"/>
  <c r="BV5" i="49"/>
  <c r="FD5" i="49" s="1"/>
  <c r="BU5" i="49"/>
  <c r="FC5" i="49" s="1"/>
  <c r="BT5" i="49"/>
  <c r="FB5" i="49" s="1"/>
  <c r="BR5" i="49"/>
  <c r="EZ5" i="49" s="1"/>
  <c r="BQ5" i="49"/>
  <c r="EY5" i="49" s="1"/>
  <c r="BP5" i="49"/>
  <c r="EX5" i="49" s="1"/>
  <c r="BO5" i="49"/>
  <c r="BN5" i="49"/>
  <c r="EV5" i="49" s="1"/>
  <c r="AT5" i="49"/>
  <c r="AS5" i="49"/>
  <c r="AR5" i="49"/>
  <c r="AQ5" i="49"/>
  <c r="AP5" i="49"/>
  <c r="AN5" i="49"/>
  <c r="AM5" i="49"/>
  <c r="AL5" i="49"/>
  <c r="AK5" i="49"/>
  <c r="AJ5" i="49"/>
  <c r="EU4" i="49"/>
  <c r="EQ4" i="49"/>
  <c r="EP4" i="49"/>
  <c r="EO4" i="49"/>
  <c r="ES4" i="49" s="1"/>
  <c r="EN4" i="49"/>
  <c r="ER4" i="49" s="1"/>
  <c r="EM4" i="49"/>
  <c r="EL4" i="49"/>
  <c r="EI4" i="49"/>
  <c r="EH4" i="49"/>
  <c r="EG4" i="49"/>
  <c r="EK4" i="49" s="1"/>
  <c r="ET4" i="49" s="1"/>
  <c r="EF4" i="49"/>
  <c r="EJ4" i="49" s="1"/>
  <c r="DH4" i="49"/>
  <c r="DG4" i="49"/>
  <c r="DF4" i="49"/>
  <c r="DE4" i="49"/>
  <c r="DD4" i="49"/>
  <c r="DC4" i="49"/>
  <c r="CZ4" i="49"/>
  <c r="CY4" i="49"/>
  <c r="CX4" i="49"/>
  <c r="CW4" i="49"/>
  <c r="BX4" i="49"/>
  <c r="FF4" i="49" s="1"/>
  <c r="BW4" i="49"/>
  <c r="FE4" i="49" s="1"/>
  <c r="BV4" i="49"/>
  <c r="FD4" i="49" s="1"/>
  <c r="BU4" i="49"/>
  <c r="FC4" i="49" s="1"/>
  <c r="BT4" i="49"/>
  <c r="FB4" i="49" s="1"/>
  <c r="BR4" i="49"/>
  <c r="EZ4" i="49" s="1"/>
  <c r="FN4" i="49" s="1"/>
  <c r="BQ4" i="49"/>
  <c r="EY4" i="49" s="1"/>
  <c r="BP4" i="49"/>
  <c r="EX4" i="49" s="1"/>
  <c r="BO4" i="49"/>
  <c r="EW4" i="49" s="1"/>
  <c r="BN4" i="49"/>
  <c r="EV4" i="49" s="1"/>
  <c r="FL4" i="49" s="1"/>
  <c r="AT4" i="49"/>
  <c r="AS4" i="49"/>
  <c r="AR4" i="49"/>
  <c r="AQ4" i="49"/>
  <c r="AP4" i="49"/>
  <c r="AN4" i="49"/>
  <c r="AM4" i="49"/>
  <c r="AL4" i="49"/>
  <c r="AK4" i="49"/>
  <c r="AJ4" i="49"/>
  <c r="EU17" i="48"/>
  <c r="EQ17" i="48"/>
  <c r="EP17" i="48"/>
  <c r="EO17" i="48"/>
  <c r="ES17" i="48" s="1"/>
  <c r="EN17" i="48"/>
  <c r="ER17" i="48" s="1"/>
  <c r="EM17" i="48"/>
  <c r="EL17" i="48"/>
  <c r="EI17" i="48"/>
  <c r="EH17" i="48"/>
  <c r="EG17" i="48"/>
  <c r="EF17" i="48"/>
  <c r="DH17" i="48"/>
  <c r="DG17" i="48"/>
  <c r="DF17" i="48"/>
  <c r="DJ17" i="48" s="1"/>
  <c r="DE17" i="48"/>
  <c r="DI17" i="48" s="1"/>
  <c r="DD17" i="48"/>
  <c r="DC17" i="48"/>
  <c r="CZ17" i="48"/>
  <c r="CY17" i="48"/>
  <c r="CX17" i="48"/>
  <c r="DB17" i="48" s="1"/>
  <c r="DK17" i="48" s="1"/>
  <c r="CW17" i="48"/>
  <c r="DA17" i="48" s="1"/>
  <c r="BX17" i="48"/>
  <c r="FF17" i="48" s="1"/>
  <c r="BW17" i="48"/>
  <c r="FE17" i="48" s="1"/>
  <c r="BV17" i="48"/>
  <c r="FD17" i="48" s="1"/>
  <c r="BU17" i="48"/>
  <c r="FC17" i="48" s="1"/>
  <c r="BT17" i="48"/>
  <c r="FB17" i="48" s="1"/>
  <c r="BR17" i="48"/>
  <c r="EZ17" i="48" s="1"/>
  <c r="FN17" i="48" s="1"/>
  <c r="BQ17" i="48"/>
  <c r="EY17" i="48" s="1"/>
  <c r="BP17" i="48"/>
  <c r="EX17" i="48" s="1"/>
  <c r="BO17" i="48"/>
  <c r="EW17" i="48" s="1"/>
  <c r="BN17" i="48"/>
  <c r="EV17" i="48" s="1"/>
  <c r="AT17" i="48"/>
  <c r="AS17" i="48"/>
  <c r="AR17" i="48"/>
  <c r="AQ17" i="48"/>
  <c r="AP17" i="48"/>
  <c r="AN17" i="48"/>
  <c r="AM17" i="48"/>
  <c r="AL17" i="48"/>
  <c r="AK17" i="48"/>
  <c r="AJ17" i="48"/>
  <c r="EU15" i="48"/>
  <c r="EQ15" i="48"/>
  <c r="EP15" i="48"/>
  <c r="EO15" i="48"/>
  <c r="ES15" i="48" s="1"/>
  <c r="EN15" i="48"/>
  <c r="ER15" i="48" s="1"/>
  <c r="EM15" i="48"/>
  <c r="EL15" i="48"/>
  <c r="EI15" i="48"/>
  <c r="EH15" i="48"/>
  <c r="EG15" i="48"/>
  <c r="EF15" i="48"/>
  <c r="DH15" i="48"/>
  <c r="DG15" i="48"/>
  <c r="DF15" i="48"/>
  <c r="DJ15" i="48" s="1"/>
  <c r="DE15" i="48"/>
  <c r="DI15" i="48" s="1"/>
  <c r="DD15" i="48"/>
  <c r="DC15" i="48"/>
  <c r="CZ15" i="48"/>
  <c r="CY15" i="48"/>
  <c r="CX15" i="48"/>
  <c r="DB15" i="48" s="1"/>
  <c r="DK15" i="48" s="1"/>
  <c r="CW15" i="48"/>
  <c r="DA15" i="48" s="1"/>
  <c r="BX15" i="48"/>
  <c r="FF15" i="48" s="1"/>
  <c r="BW15" i="48"/>
  <c r="FE15" i="48" s="1"/>
  <c r="BV15" i="48"/>
  <c r="FD15" i="48" s="1"/>
  <c r="BU15" i="48"/>
  <c r="BT15" i="48"/>
  <c r="FB15" i="48" s="1"/>
  <c r="BR15" i="48"/>
  <c r="EZ15" i="48" s="1"/>
  <c r="FN15" i="48" s="1"/>
  <c r="BQ15" i="48"/>
  <c r="EY15" i="48" s="1"/>
  <c r="BP15" i="48"/>
  <c r="EX15" i="48" s="1"/>
  <c r="BO15" i="48"/>
  <c r="EW15" i="48" s="1"/>
  <c r="BN15" i="48"/>
  <c r="EV15" i="48" s="1"/>
  <c r="AT15" i="48"/>
  <c r="AS15" i="48"/>
  <c r="AR15" i="48"/>
  <c r="AQ15" i="48"/>
  <c r="AP15" i="48"/>
  <c r="AN15" i="48"/>
  <c r="AM15" i="48"/>
  <c r="AL15" i="48"/>
  <c r="AK15" i="48"/>
  <c r="AJ15" i="48"/>
  <c r="EU10" i="48"/>
  <c r="EQ10" i="48"/>
  <c r="EP10" i="48"/>
  <c r="EO10" i="48"/>
  <c r="ES10" i="48" s="1"/>
  <c r="EN10" i="48"/>
  <c r="ER10" i="48" s="1"/>
  <c r="EM10" i="48"/>
  <c r="EL10" i="48"/>
  <c r="EI10" i="48"/>
  <c r="EH10" i="48"/>
  <c r="EG10" i="48"/>
  <c r="EK10" i="48" s="1"/>
  <c r="EF10" i="48"/>
  <c r="EJ10" i="48" s="1"/>
  <c r="DH10" i="48"/>
  <c r="DG10" i="48"/>
  <c r="DF10" i="48"/>
  <c r="DJ10" i="48" s="1"/>
  <c r="DE10" i="48"/>
  <c r="DI10" i="48" s="1"/>
  <c r="DD10" i="48"/>
  <c r="DC10" i="48"/>
  <c r="CZ10" i="48"/>
  <c r="CY10" i="48"/>
  <c r="CX10" i="48"/>
  <c r="DB10" i="48" s="1"/>
  <c r="DK10" i="48" s="1"/>
  <c r="CW10" i="48"/>
  <c r="DA10" i="48" s="1"/>
  <c r="BX10" i="48"/>
  <c r="FF10" i="48" s="1"/>
  <c r="BW10" i="48"/>
  <c r="FE10" i="48" s="1"/>
  <c r="BV10" i="48"/>
  <c r="FD10" i="48" s="1"/>
  <c r="BU10" i="48"/>
  <c r="BT10" i="48"/>
  <c r="FB10" i="48" s="1"/>
  <c r="BR10" i="48"/>
  <c r="EZ10" i="48" s="1"/>
  <c r="FN10" i="48" s="1"/>
  <c r="BQ10" i="48"/>
  <c r="EY10" i="48" s="1"/>
  <c r="BP10" i="48"/>
  <c r="EX10" i="48" s="1"/>
  <c r="BO10" i="48"/>
  <c r="EW10" i="48" s="1"/>
  <c r="BN10" i="48"/>
  <c r="EV10" i="48" s="1"/>
  <c r="AT10" i="48"/>
  <c r="AS10" i="48"/>
  <c r="AR10" i="48"/>
  <c r="AQ10" i="48"/>
  <c r="AP10" i="48"/>
  <c r="AN10" i="48"/>
  <c r="AM10" i="48"/>
  <c r="AL10" i="48"/>
  <c r="AK10" i="48"/>
  <c r="AJ10" i="48"/>
  <c r="EU18" i="48"/>
  <c r="ER18" i="48"/>
  <c r="EQ18" i="48"/>
  <c r="EP18" i="48"/>
  <c r="EO18" i="48"/>
  <c r="ES18" i="48" s="1"/>
  <c r="EN18" i="48"/>
  <c r="EM18" i="48"/>
  <c r="EL18" i="48"/>
  <c r="EI18" i="48"/>
  <c r="EH18" i="48"/>
  <c r="EG18" i="48"/>
  <c r="EF18" i="48"/>
  <c r="DH18" i="48"/>
  <c r="DG18" i="48"/>
  <c r="DF18" i="48"/>
  <c r="DJ18" i="48" s="1"/>
  <c r="DE18" i="48"/>
  <c r="DI18" i="48" s="1"/>
  <c r="DD18" i="48"/>
  <c r="DC18" i="48"/>
  <c r="CZ18" i="48"/>
  <c r="CY18" i="48"/>
  <c r="CX18" i="48"/>
  <c r="DB18" i="48" s="1"/>
  <c r="DK18" i="48" s="1"/>
  <c r="CW18" i="48"/>
  <c r="DA18" i="48" s="1"/>
  <c r="BX18" i="48"/>
  <c r="FF18" i="48" s="1"/>
  <c r="BW18" i="48"/>
  <c r="FE18" i="48" s="1"/>
  <c r="BV18" i="48"/>
  <c r="FD18" i="48" s="1"/>
  <c r="BU18" i="48"/>
  <c r="FC18" i="48" s="1"/>
  <c r="BT18" i="48"/>
  <c r="FB18" i="48" s="1"/>
  <c r="BR18" i="48"/>
  <c r="EZ18" i="48" s="1"/>
  <c r="FN18" i="48" s="1"/>
  <c r="BQ18" i="48"/>
  <c r="EY18" i="48" s="1"/>
  <c r="BP18" i="48"/>
  <c r="EX18" i="48" s="1"/>
  <c r="BO18" i="48"/>
  <c r="EW18" i="48" s="1"/>
  <c r="BN18" i="48"/>
  <c r="EV18" i="48" s="1"/>
  <c r="AT18" i="48"/>
  <c r="AS18" i="48"/>
  <c r="AR18" i="48"/>
  <c r="AQ18" i="48"/>
  <c r="AP18" i="48"/>
  <c r="AN18" i="48"/>
  <c r="AM18" i="48"/>
  <c r="AL18" i="48"/>
  <c r="AK18" i="48"/>
  <c r="AJ18" i="48"/>
  <c r="EU12" i="48"/>
  <c r="EQ12" i="48"/>
  <c r="EP12" i="48"/>
  <c r="EO12" i="48"/>
  <c r="EN12" i="48"/>
  <c r="EM12" i="48"/>
  <c r="EL12" i="48"/>
  <c r="EI12" i="48"/>
  <c r="EH12" i="48"/>
  <c r="EG12" i="48"/>
  <c r="EF12" i="48"/>
  <c r="DH12" i="48"/>
  <c r="DG12" i="48"/>
  <c r="DF12" i="48"/>
  <c r="DJ12" i="48" s="1"/>
  <c r="DE12" i="48"/>
  <c r="DI12" i="48" s="1"/>
  <c r="DD12" i="48"/>
  <c r="DC12" i="48"/>
  <c r="CZ12" i="48"/>
  <c r="CY12" i="48"/>
  <c r="CX12" i="48"/>
  <c r="DB12" i="48" s="1"/>
  <c r="DK12" i="48" s="1"/>
  <c r="CW12" i="48"/>
  <c r="DA12" i="48" s="1"/>
  <c r="BX12" i="48"/>
  <c r="FF12" i="48" s="1"/>
  <c r="BW12" i="48"/>
  <c r="FE12" i="48" s="1"/>
  <c r="BV12" i="48"/>
  <c r="FD12" i="48" s="1"/>
  <c r="BU12" i="48"/>
  <c r="FC12" i="48" s="1"/>
  <c r="BT12" i="48"/>
  <c r="FB12" i="48" s="1"/>
  <c r="BR12" i="48"/>
  <c r="EZ12" i="48" s="1"/>
  <c r="FN12" i="48" s="1"/>
  <c r="BQ12" i="48"/>
  <c r="EY12" i="48" s="1"/>
  <c r="BP12" i="48"/>
  <c r="EX12" i="48" s="1"/>
  <c r="BO12" i="48"/>
  <c r="EW12" i="48" s="1"/>
  <c r="BN12" i="48"/>
  <c r="EV12" i="48" s="1"/>
  <c r="AT12" i="48"/>
  <c r="AS12" i="48"/>
  <c r="AR12" i="48"/>
  <c r="AQ12" i="48"/>
  <c r="AP12" i="48"/>
  <c r="AN12" i="48"/>
  <c r="AM12" i="48"/>
  <c r="AL12" i="48"/>
  <c r="AK12" i="48"/>
  <c r="AJ12" i="48"/>
  <c r="EU14" i="48"/>
  <c r="EQ14" i="48"/>
  <c r="EP14" i="48"/>
  <c r="EO14" i="48"/>
  <c r="ES14" i="48" s="1"/>
  <c r="EN14" i="48"/>
  <c r="ER14" i="48" s="1"/>
  <c r="EM14" i="48"/>
  <c r="EL14" i="48"/>
  <c r="EI14" i="48"/>
  <c r="EH14" i="48"/>
  <c r="EG14" i="48"/>
  <c r="EK14" i="48" s="1"/>
  <c r="ET14" i="48" s="1"/>
  <c r="EF14" i="48"/>
  <c r="EJ14" i="48" s="1"/>
  <c r="DH14" i="48"/>
  <c r="DG14" i="48"/>
  <c r="DF14" i="48"/>
  <c r="DJ14" i="48" s="1"/>
  <c r="DE14" i="48"/>
  <c r="DI14" i="48" s="1"/>
  <c r="DD14" i="48"/>
  <c r="DC14" i="48"/>
  <c r="CZ14" i="48"/>
  <c r="CY14" i="48"/>
  <c r="CX14" i="48"/>
  <c r="DB14" i="48" s="1"/>
  <c r="DK14" i="48" s="1"/>
  <c r="CW14" i="48"/>
  <c r="DA14" i="48" s="1"/>
  <c r="BX14" i="48"/>
  <c r="FF14" i="48" s="1"/>
  <c r="BW14" i="48"/>
  <c r="BV14" i="48"/>
  <c r="FD14" i="48" s="1"/>
  <c r="BU14" i="48"/>
  <c r="FC14" i="48" s="1"/>
  <c r="BT14" i="48"/>
  <c r="FB14" i="48" s="1"/>
  <c r="BR14" i="48"/>
  <c r="EZ14" i="48" s="1"/>
  <c r="FN14" i="48" s="1"/>
  <c r="BQ14" i="48"/>
  <c r="BP14" i="48"/>
  <c r="EX14" i="48" s="1"/>
  <c r="BO14" i="48"/>
  <c r="EW14" i="48" s="1"/>
  <c r="BN14" i="48"/>
  <c r="EV14" i="48" s="1"/>
  <c r="AT14" i="48"/>
  <c r="AS14" i="48"/>
  <c r="AR14" i="48"/>
  <c r="AQ14" i="48"/>
  <c r="AP14" i="48"/>
  <c r="AN14" i="48"/>
  <c r="AM14" i="48"/>
  <c r="AL14" i="48"/>
  <c r="AK14" i="48"/>
  <c r="AJ14" i="48"/>
  <c r="EU16" i="48"/>
  <c r="EQ16" i="48"/>
  <c r="EP16" i="48"/>
  <c r="EO16" i="48"/>
  <c r="ES16" i="48" s="1"/>
  <c r="EN16" i="48"/>
  <c r="ER16" i="48" s="1"/>
  <c r="EM16" i="48"/>
  <c r="EL16" i="48"/>
  <c r="EI16" i="48"/>
  <c r="EH16" i="48"/>
  <c r="EG16" i="48"/>
  <c r="EK16" i="48" s="1"/>
  <c r="ET16" i="48" s="1"/>
  <c r="EF16" i="48"/>
  <c r="EJ16" i="48" s="1"/>
  <c r="DH16" i="48"/>
  <c r="DG16" i="48"/>
  <c r="DF16" i="48"/>
  <c r="DJ16" i="48" s="1"/>
  <c r="DE16" i="48"/>
  <c r="DI16" i="48" s="1"/>
  <c r="DD16" i="48"/>
  <c r="DC16" i="48"/>
  <c r="CZ16" i="48"/>
  <c r="CY16" i="48"/>
  <c r="CX16" i="48"/>
  <c r="DB16" i="48" s="1"/>
  <c r="DK16" i="48" s="1"/>
  <c r="CW16" i="48"/>
  <c r="DA16" i="48" s="1"/>
  <c r="BX16" i="48"/>
  <c r="FF16" i="48" s="1"/>
  <c r="BW16" i="48"/>
  <c r="FE16" i="48" s="1"/>
  <c r="BV16" i="48"/>
  <c r="FD16" i="48" s="1"/>
  <c r="BU16" i="48"/>
  <c r="FC16" i="48" s="1"/>
  <c r="BT16" i="48"/>
  <c r="FB16" i="48" s="1"/>
  <c r="BR16" i="48"/>
  <c r="EZ16" i="48" s="1"/>
  <c r="FN16" i="48" s="1"/>
  <c r="BQ16" i="48"/>
  <c r="EY16" i="48" s="1"/>
  <c r="BP16" i="48"/>
  <c r="EX16" i="48" s="1"/>
  <c r="BO16" i="48"/>
  <c r="BN16" i="48"/>
  <c r="EV16" i="48" s="1"/>
  <c r="FL16" i="48" s="1"/>
  <c r="AT16" i="48"/>
  <c r="AS16" i="48"/>
  <c r="AR16" i="48"/>
  <c r="AQ16" i="48"/>
  <c r="AP16" i="48"/>
  <c r="AN16" i="48"/>
  <c r="AM16" i="48"/>
  <c r="AL16" i="48"/>
  <c r="AK16" i="48"/>
  <c r="AJ16" i="48"/>
  <c r="EU11" i="48"/>
  <c r="EQ11" i="48"/>
  <c r="EP11" i="48"/>
  <c r="EO11" i="48"/>
  <c r="ES11" i="48" s="1"/>
  <c r="EN11" i="48"/>
  <c r="ER11" i="48" s="1"/>
  <c r="EM11" i="48"/>
  <c r="EL11" i="48"/>
  <c r="EI11" i="48"/>
  <c r="EH11" i="48"/>
  <c r="EG11" i="48"/>
  <c r="EK11" i="48" s="1"/>
  <c r="ET11" i="48" s="1"/>
  <c r="EF11" i="48"/>
  <c r="EJ11" i="48" s="1"/>
  <c r="DH11" i="48"/>
  <c r="DG11" i="48"/>
  <c r="DF11" i="48"/>
  <c r="DJ11" i="48" s="1"/>
  <c r="DE11" i="48"/>
  <c r="DI11" i="48" s="1"/>
  <c r="DD11" i="48"/>
  <c r="DC11" i="48"/>
  <c r="CZ11" i="48"/>
  <c r="CY11" i="48"/>
  <c r="CX11" i="48"/>
  <c r="DB11" i="48" s="1"/>
  <c r="DK11" i="48" s="1"/>
  <c r="CW11" i="48"/>
  <c r="DA11" i="48" s="1"/>
  <c r="BX11" i="48"/>
  <c r="FF11" i="48" s="1"/>
  <c r="BW11" i="48"/>
  <c r="FE11" i="48" s="1"/>
  <c r="BV11" i="48"/>
  <c r="FD11" i="48" s="1"/>
  <c r="BU11" i="48"/>
  <c r="BT11" i="48"/>
  <c r="FB11" i="48" s="1"/>
  <c r="BR11" i="48"/>
  <c r="EZ11" i="48" s="1"/>
  <c r="FN11" i="48" s="1"/>
  <c r="BQ11" i="48"/>
  <c r="EY11" i="48" s="1"/>
  <c r="BP11" i="48"/>
  <c r="EX11" i="48" s="1"/>
  <c r="BO11" i="48"/>
  <c r="BN11" i="48"/>
  <c r="EV11" i="48" s="1"/>
  <c r="FL11" i="48" s="1"/>
  <c r="AT11" i="48"/>
  <c r="AS11" i="48"/>
  <c r="AR11" i="48"/>
  <c r="AQ11" i="48"/>
  <c r="AP11" i="48"/>
  <c r="AN11" i="48"/>
  <c r="AM11" i="48"/>
  <c r="AL11" i="48"/>
  <c r="AK11" i="48"/>
  <c r="AJ11" i="48"/>
  <c r="EU8" i="48"/>
  <c r="EQ8" i="48"/>
  <c r="EP8" i="48"/>
  <c r="EO8" i="48"/>
  <c r="ES8" i="48" s="1"/>
  <c r="EN8" i="48"/>
  <c r="ER8" i="48" s="1"/>
  <c r="EM8" i="48"/>
  <c r="EL8" i="48"/>
  <c r="EI8" i="48"/>
  <c r="EH8" i="48"/>
  <c r="EG8" i="48"/>
  <c r="EK8" i="48" s="1"/>
  <c r="ET8" i="48" s="1"/>
  <c r="EF8" i="48"/>
  <c r="EJ8" i="48" s="1"/>
  <c r="DH8" i="48"/>
  <c r="DG8" i="48"/>
  <c r="DF8" i="48"/>
  <c r="DJ8" i="48" s="1"/>
  <c r="DE8" i="48"/>
  <c r="DI8" i="48" s="1"/>
  <c r="DD8" i="48"/>
  <c r="DC8" i="48"/>
  <c r="CZ8" i="48"/>
  <c r="CY8" i="48"/>
  <c r="CX8" i="48"/>
  <c r="DB8" i="48" s="1"/>
  <c r="DK8" i="48" s="1"/>
  <c r="CW8" i="48"/>
  <c r="DA8" i="48" s="1"/>
  <c r="BX8" i="48"/>
  <c r="FF8" i="48" s="1"/>
  <c r="BW8" i="48"/>
  <c r="FE8" i="48" s="1"/>
  <c r="BV8" i="48"/>
  <c r="FD8" i="48" s="1"/>
  <c r="BU8" i="48"/>
  <c r="BT8" i="48"/>
  <c r="FB8" i="48" s="1"/>
  <c r="BR8" i="48"/>
  <c r="EZ8" i="48" s="1"/>
  <c r="BQ8" i="48"/>
  <c r="EY8" i="48" s="1"/>
  <c r="BP8" i="48"/>
  <c r="EX8" i="48" s="1"/>
  <c r="BO8" i="48"/>
  <c r="EW8" i="48" s="1"/>
  <c r="BN8" i="48"/>
  <c r="EV8" i="48" s="1"/>
  <c r="FL8" i="48" s="1"/>
  <c r="AT8" i="48"/>
  <c r="AS8" i="48"/>
  <c r="AR8" i="48"/>
  <c r="AQ8" i="48"/>
  <c r="AP8" i="48"/>
  <c r="AN8" i="48"/>
  <c r="AM8" i="48"/>
  <c r="AL8" i="48"/>
  <c r="AK8" i="48"/>
  <c r="AJ8" i="48"/>
  <c r="EU13" i="48"/>
  <c r="EQ13" i="48"/>
  <c r="EP13" i="48"/>
  <c r="EO13" i="48"/>
  <c r="ES13" i="48" s="1"/>
  <c r="EN13" i="48"/>
  <c r="ER13" i="48" s="1"/>
  <c r="EM13" i="48"/>
  <c r="EL13" i="48"/>
  <c r="EI13" i="48"/>
  <c r="EH13" i="48"/>
  <c r="EG13" i="48"/>
  <c r="EF13" i="48"/>
  <c r="EJ13" i="48" s="1"/>
  <c r="DH13" i="48"/>
  <c r="DG13" i="48"/>
  <c r="DF13" i="48"/>
  <c r="DJ13" i="48" s="1"/>
  <c r="DE13" i="48"/>
  <c r="DI13" i="48" s="1"/>
  <c r="DD13" i="48"/>
  <c r="DC13" i="48"/>
  <c r="CZ13" i="48"/>
  <c r="CY13" i="48"/>
  <c r="CX13" i="48"/>
  <c r="DB13" i="48" s="1"/>
  <c r="DK13" i="48" s="1"/>
  <c r="CW13" i="48"/>
  <c r="DA13" i="48" s="1"/>
  <c r="BX13" i="48"/>
  <c r="FF13" i="48" s="1"/>
  <c r="BW13" i="48"/>
  <c r="FE13" i="48" s="1"/>
  <c r="BV13" i="48"/>
  <c r="FD13" i="48" s="1"/>
  <c r="BU13" i="48"/>
  <c r="BT13" i="48"/>
  <c r="FB13" i="48" s="1"/>
  <c r="BR13" i="48"/>
  <c r="EZ13" i="48" s="1"/>
  <c r="BQ13" i="48"/>
  <c r="EY13" i="48" s="1"/>
  <c r="BP13" i="48"/>
  <c r="EX13" i="48" s="1"/>
  <c r="BO13" i="48"/>
  <c r="EW13" i="48" s="1"/>
  <c r="BN13" i="48"/>
  <c r="EV13" i="48" s="1"/>
  <c r="FL13" i="48" s="1"/>
  <c r="AT13" i="48"/>
  <c r="AS13" i="48"/>
  <c r="AR13" i="48"/>
  <c r="AQ13" i="48"/>
  <c r="AP13" i="48"/>
  <c r="AN13" i="48"/>
  <c r="AM13" i="48"/>
  <c r="AL13" i="48"/>
  <c r="AK13" i="48"/>
  <c r="AJ13" i="48"/>
  <c r="EU9" i="48"/>
  <c r="EQ9" i="48"/>
  <c r="EP9" i="48"/>
  <c r="EO9" i="48"/>
  <c r="ES9" i="48" s="1"/>
  <c r="EN9" i="48"/>
  <c r="ER9" i="48" s="1"/>
  <c r="EM9" i="48"/>
  <c r="EL9" i="48"/>
  <c r="EI9" i="48"/>
  <c r="EH9" i="48"/>
  <c r="EG9" i="48"/>
  <c r="EF9" i="48"/>
  <c r="DH9" i="48"/>
  <c r="DG9" i="48"/>
  <c r="DF9" i="48"/>
  <c r="DJ9" i="48" s="1"/>
  <c r="DE9" i="48"/>
  <c r="DI9" i="48" s="1"/>
  <c r="DD9" i="48"/>
  <c r="DC9" i="48"/>
  <c r="CZ9" i="48"/>
  <c r="CY9" i="48"/>
  <c r="CX9" i="48"/>
  <c r="DB9" i="48" s="1"/>
  <c r="DK9" i="48" s="1"/>
  <c r="CW9" i="48"/>
  <c r="DA9" i="48" s="1"/>
  <c r="BX9" i="48"/>
  <c r="FF9" i="48" s="1"/>
  <c r="BW9" i="48"/>
  <c r="FE9" i="48" s="1"/>
  <c r="BV9" i="48"/>
  <c r="FD9" i="48" s="1"/>
  <c r="BU9" i="48"/>
  <c r="BT9" i="48"/>
  <c r="FB9" i="48" s="1"/>
  <c r="BR9" i="48"/>
  <c r="EZ9" i="48" s="1"/>
  <c r="FN9" i="48" s="1"/>
  <c r="BQ9" i="48"/>
  <c r="EY9" i="48" s="1"/>
  <c r="BP9" i="48"/>
  <c r="EX9" i="48" s="1"/>
  <c r="BO9" i="48"/>
  <c r="BN9" i="48"/>
  <c r="EV9" i="48" s="1"/>
  <c r="FL9" i="48" s="1"/>
  <c r="AT9" i="48"/>
  <c r="AS9" i="48"/>
  <c r="AR9" i="48"/>
  <c r="AQ9" i="48"/>
  <c r="AP9" i="48"/>
  <c r="AN9" i="48"/>
  <c r="AM9" i="48"/>
  <c r="AL9" i="48"/>
  <c r="AK9" i="48"/>
  <c r="AJ9" i="48"/>
  <c r="EU5" i="48"/>
  <c r="EQ5" i="48"/>
  <c r="EP5" i="48"/>
  <c r="EO5" i="48"/>
  <c r="ES5" i="48" s="1"/>
  <c r="EN5" i="48"/>
  <c r="ER5" i="48" s="1"/>
  <c r="EM5" i="48"/>
  <c r="EL5" i="48"/>
  <c r="EI5" i="48"/>
  <c r="EH5" i="48"/>
  <c r="EG5" i="48"/>
  <c r="EK5" i="48" s="1"/>
  <c r="ET5" i="48" s="1"/>
  <c r="EF5" i="48"/>
  <c r="EJ5" i="48" s="1"/>
  <c r="DH5" i="48"/>
  <c r="DG5" i="48"/>
  <c r="DF5" i="48"/>
  <c r="DJ5" i="48" s="1"/>
  <c r="DE5" i="48"/>
  <c r="DI5" i="48" s="1"/>
  <c r="DD5" i="48"/>
  <c r="DC5" i="48"/>
  <c r="CZ5" i="48"/>
  <c r="CY5" i="48"/>
  <c r="CX5" i="48"/>
  <c r="CW5" i="48"/>
  <c r="BX5" i="48"/>
  <c r="FF5" i="48" s="1"/>
  <c r="BW5" i="48"/>
  <c r="BV5" i="48"/>
  <c r="FD5" i="48" s="1"/>
  <c r="BU5" i="48"/>
  <c r="FC5" i="48" s="1"/>
  <c r="BT5" i="48"/>
  <c r="FB5" i="48" s="1"/>
  <c r="BR5" i="48"/>
  <c r="EZ5" i="48" s="1"/>
  <c r="FN5" i="48" s="1"/>
  <c r="BQ5" i="48"/>
  <c r="EY5" i="48" s="1"/>
  <c r="BP5" i="48"/>
  <c r="EX5" i="48" s="1"/>
  <c r="BO5" i="48"/>
  <c r="BN5" i="48"/>
  <c r="EV5" i="48" s="1"/>
  <c r="FL5" i="48" s="1"/>
  <c r="AT5" i="48"/>
  <c r="AS5" i="48"/>
  <c r="AR5" i="48"/>
  <c r="AQ5" i="48"/>
  <c r="AP5" i="48"/>
  <c r="AN5" i="48"/>
  <c r="AM5" i="48"/>
  <c r="AL5" i="48"/>
  <c r="AK5" i="48"/>
  <c r="AJ5" i="48"/>
  <c r="EU6" i="48"/>
  <c r="EQ6" i="48"/>
  <c r="EP6" i="48"/>
  <c r="EO6" i="48"/>
  <c r="ES6" i="48" s="1"/>
  <c r="EN6" i="48"/>
  <c r="ER6" i="48" s="1"/>
  <c r="EM6" i="48"/>
  <c r="EL6" i="48"/>
  <c r="EI6" i="48"/>
  <c r="EH6" i="48"/>
  <c r="EG6" i="48"/>
  <c r="EK6" i="48" s="1"/>
  <c r="ET6" i="48" s="1"/>
  <c r="EF6" i="48"/>
  <c r="EJ6" i="48" s="1"/>
  <c r="DH6" i="48"/>
  <c r="DG6" i="48"/>
  <c r="DF6" i="48"/>
  <c r="DJ6" i="48" s="1"/>
  <c r="DE6" i="48"/>
  <c r="DI6" i="48" s="1"/>
  <c r="DD6" i="48"/>
  <c r="DC6" i="48"/>
  <c r="CZ6" i="48"/>
  <c r="CY6" i="48"/>
  <c r="CX6" i="48"/>
  <c r="CW6" i="48"/>
  <c r="BX6" i="48"/>
  <c r="FF6" i="48" s="1"/>
  <c r="BW6" i="48"/>
  <c r="FE6" i="48" s="1"/>
  <c r="BV6" i="48"/>
  <c r="FD6" i="48" s="1"/>
  <c r="FR6" i="48" s="1"/>
  <c r="BU6" i="48"/>
  <c r="BT6" i="48"/>
  <c r="FB6" i="48" s="1"/>
  <c r="BR6" i="48"/>
  <c r="EZ6" i="48" s="1"/>
  <c r="FN6" i="48" s="1"/>
  <c r="BQ6" i="48"/>
  <c r="BP6" i="48"/>
  <c r="EX6" i="48" s="1"/>
  <c r="BO6" i="48"/>
  <c r="EW6" i="48" s="1"/>
  <c r="BN6" i="48"/>
  <c r="EV6" i="48" s="1"/>
  <c r="AT6" i="48"/>
  <c r="AS6" i="48"/>
  <c r="AR6" i="48"/>
  <c r="AQ6" i="48"/>
  <c r="AP6" i="48"/>
  <c r="AN6" i="48"/>
  <c r="AM6" i="48"/>
  <c r="AL6" i="48"/>
  <c r="AK6" i="48"/>
  <c r="AJ6" i="48"/>
  <c r="EU7" i="48"/>
  <c r="EQ7" i="48"/>
  <c r="EP7" i="48"/>
  <c r="EO7" i="48"/>
  <c r="ES7" i="48" s="1"/>
  <c r="EN7" i="48"/>
  <c r="ER7" i="48" s="1"/>
  <c r="EM7" i="48"/>
  <c r="EL7" i="48"/>
  <c r="EI7" i="48"/>
  <c r="EH7" i="48"/>
  <c r="EG7" i="48"/>
  <c r="EK7" i="48" s="1"/>
  <c r="ET7" i="48" s="1"/>
  <c r="EF7" i="48"/>
  <c r="EJ7" i="48" s="1"/>
  <c r="DH7" i="48"/>
  <c r="DG7" i="48"/>
  <c r="DF7" i="48"/>
  <c r="DE7" i="48"/>
  <c r="DI7" i="48" s="1"/>
  <c r="DD7" i="48"/>
  <c r="DC7" i="48"/>
  <c r="CZ7" i="48"/>
  <c r="CY7" i="48"/>
  <c r="CX7" i="48"/>
  <c r="CW7" i="48"/>
  <c r="BX7" i="48"/>
  <c r="FF7" i="48" s="1"/>
  <c r="BW7" i="48"/>
  <c r="FE7" i="48" s="1"/>
  <c r="BV7" i="48"/>
  <c r="FD7" i="48" s="1"/>
  <c r="BU7" i="48"/>
  <c r="FC7" i="48" s="1"/>
  <c r="BT7" i="48"/>
  <c r="FB7" i="48" s="1"/>
  <c r="BR7" i="48"/>
  <c r="EZ7" i="48" s="1"/>
  <c r="FN7" i="48" s="1"/>
  <c r="BQ7" i="48"/>
  <c r="EY7" i="48" s="1"/>
  <c r="BP7" i="48"/>
  <c r="EX7" i="48" s="1"/>
  <c r="BO7" i="48"/>
  <c r="BN7" i="48"/>
  <c r="EV7" i="48" s="1"/>
  <c r="AT7" i="48"/>
  <c r="AS7" i="48"/>
  <c r="AR7" i="48"/>
  <c r="AQ7" i="48"/>
  <c r="AP7" i="48"/>
  <c r="AN7" i="48"/>
  <c r="AM7" i="48"/>
  <c r="AL7" i="48"/>
  <c r="AK7" i="48"/>
  <c r="AJ7" i="48"/>
  <c r="EU4" i="48"/>
  <c r="EQ4" i="48"/>
  <c r="EP4" i="48"/>
  <c r="EO4" i="48"/>
  <c r="ES4" i="48" s="1"/>
  <c r="EN4" i="48"/>
  <c r="ER4" i="48" s="1"/>
  <c r="EM4" i="48"/>
  <c r="EL4" i="48"/>
  <c r="EI4" i="48"/>
  <c r="EH4" i="48"/>
  <c r="EG4" i="48"/>
  <c r="EK4" i="48" s="1"/>
  <c r="ET4" i="48" s="1"/>
  <c r="EF4" i="48"/>
  <c r="EJ4" i="48" s="1"/>
  <c r="DH4" i="48"/>
  <c r="DG4" i="48"/>
  <c r="DF4" i="48"/>
  <c r="DJ4" i="48" s="1"/>
  <c r="DE4" i="48"/>
  <c r="DI4" i="48" s="1"/>
  <c r="DD4" i="48"/>
  <c r="DC4" i="48"/>
  <c r="CZ4" i="48"/>
  <c r="CY4" i="48"/>
  <c r="CX4" i="48"/>
  <c r="CW4" i="48"/>
  <c r="DA4" i="48" s="1"/>
  <c r="BX4" i="48"/>
  <c r="FF4" i="48" s="1"/>
  <c r="BW4" i="48"/>
  <c r="FE4" i="48" s="1"/>
  <c r="BV4" i="48"/>
  <c r="FD4" i="48" s="1"/>
  <c r="FR4" i="48" s="1"/>
  <c r="BU4" i="48"/>
  <c r="BT4" i="48"/>
  <c r="FB4" i="48" s="1"/>
  <c r="BR4" i="48"/>
  <c r="EZ4" i="48" s="1"/>
  <c r="FN4" i="48" s="1"/>
  <c r="BQ4" i="48"/>
  <c r="EY4" i="48" s="1"/>
  <c r="BP4" i="48"/>
  <c r="EX4" i="48" s="1"/>
  <c r="BO4" i="48"/>
  <c r="EW4" i="48" s="1"/>
  <c r="BN4" i="48"/>
  <c r="EV4" i="48" s="1"/>
  <c r="AT4" i="48"/>
  <c r="AS4" i="48"/>
  <c r="AR4" i="48"/>
  <c r="AQ4" i="48"/>
  <c r="AP4" i="48"/>
  <c r="AN4" i="48"/>
  <c r="AM4" i="48"/>
  <c r="AL4" i="48"/>
  <c r="AK4" i="48"/>
  <c r="AJ4" i="48"/>
  <c r="FR10" i="49" l="1"/>
  <c r="AO4" i="52"/>
  <c r="DK5" i="52"/>
  <c r="EJ5" i="50"/>
  <c r="EK9" i="50"/>
  <c r="DA6" i="49"/>
  <c r="FR9" i="49"/>
  <c r="DB7" i="48"/>
  <c r="EJ9" i="48"/>
  <c r="EK9" i="48"/>
  <c r="ET9" i="48" s="1"/>
  <c r="DK5" i="51"/>
  <c r="DA4" i="51"/>
  <c r="ET6" i="50"/>
  <c r="AO9" i="50"/>
  <c r="BY11" i="50"/>
  <c r="FG11" i="50" s="1"/>
  <c r="EK12" i="50"/>
  <c r="ET12" i="50" s="1"/>
  <c r="ES7" i="50"/>
  <c r="EK8" i="49"/>
  <c r="ET8" i="49" s="1"/>
  <c r="EJ8" i="49"/>
  <c r="DI4" i="49"/>
  <c r="DJ4" i="49"/>
  <c r="BS5" i="49"/>
  <c r="FA5" i="49" s="1"/>
  <c r="BS11" i="49"/>
  <c r="FA11" i="49" s="1"/>
  <c r="FO11" i="49" s="1"/>
  <c r="AO6" i="49"/>
  <c r="FR14" i="49"/>
  <c r="AO7" i="49"/>
  <c r="AU5" i="49"/>
  <c r="DA5" i="49"/>
  <c r="BS18" i="49"/>
  <c r="DA4" i="49"/>
  <c r="DB5" i="49"/>
  <c r="DK5" i="49" s="1"/>
  <c r="DB4" i="49"/>
  <c r="DK4" i="49" s="1"/>
  <c r="AO18" i="49"/>
  <c r="FR5" i="49"/>
  <c r="EJ17" i="48"/>
  <c r="EK17" i="48"/>
  <c r="ET17" i="48" s="1"/>
  <c r="ET10" i="48"/>
  <c r="FR17" i="48"/>
  <c r="FR5" i="48"/>
  <c r="AO9" i="48"/>
  <c r="DB4" i="48"/>
  <c r="DK4" i="48" s="1"/>
  <c r="FR18" i="48"/>
  <c r="EK18" i="48"/>
  <c r="ET18" i="48" s="1"/>
  <c r="EK15" i="48"/>
  <c r="ET15" i="48" s="1"/>
  <c r="ER12" i="48"/>
  <c r="BY6" i="48"/>
  <c r="FG6" i="48" s="1"/>
  <c r="AO5" i="52"/>
  <c r="FS5" i="52"/>
  <c r="AU4" i="52"/>
  <c r="AV4" i="52" s="1"/>
  <c r="AO4" i="51"/>
  <c r="AO15" i="50"/>
  <c r="EJ7" i="50"/>
  <c r="FR5" i="50"/>
  <c r="ER7" i="50"/>
  <c r="AO17" i="50"/>
  <c r="AV17" i="50" s="1"/>
  <c r="FR17" i="50"/>
  <c r="BS5" i="50"/>
  <c r="FA5" i="50" s="1"/>
  <c r="FO5" i="50" s="1"/>
  <c r="BS7" i="50"/>
  <c r="FA7" i="50" s="1"/>
  <c r="FO7" i="50" s="1"/>
  <c r="AO4" i="50"/>
  <c r="FR4" i="50"/>
  <c r="ET9" i="50"/>
  <c r="EJ11" i="50"/>
  <c r="AU7" i="50"/>
  <c r="AU4" i="50"/>
  <c r="DA4" i="50"/>
  <c r="BS17" i="50"/>
  <c r="BZ17" i="50" s="1"/>
  <c r="FH17" i="50" s="1"/>
  <c r="FT16" i="50" s="1"/>
  <c r="AU11" i="50"/>
  <c r="AU12" i="50"/>
  <c r="FR14" i="50"/>
  <c r="EK10" i="49"/>
  <c r="ET10" i="49" s="1"/>
  <c r="BY13" i="49"/>
  <c r="FG13" i="49" s="1"/>
  <c r="FR15" i="49"/>
  <c r="EJ7" i="49"/>
  <c r="AO10" i="49"/>
  <c r="EK7" i="49"/>
  <c r="ET7" i="49" s="1"/>
  <c r="EJ10" i="49"/>
  <c r="AU17" i="49"/>
  <c r="FR6" i="49"/>
  <c r="AO8" i="49"/>
  <c r="FR8" i="49"/>
  <c r="EK6" i="49"/>
  <c r="ET6" i="49" s="1"/>
  <c r="BS7" i="49"/>
  <c r="FA7" i="49" s="1"/>
  <c r="BY18" i="49"/>
  <c r="FG18" i="49" s="1"/>
  <c r="FR16" i="49"/>
  <c r="ET12" i="49"/>
  <c r="BY14" i="49"/>
  <c r="FG14" i="49" s="1"/>
  <c r="AU6" i="49"/>
  <c r="EK9" i="49"/>
  <c r="ET9" i="49" s="1"/>
  <c r="BY7" i="49"/>
  <c r="FG7" i="49" s="1"/>
  <c r="AO17" i="49"/>
  <c r="AU14" i="49"/>
  <c r="FR18" i="49"/>
  <c r="EW11" i="49"/>
  <c r="FM11" i="49" s="1"/>
  <c r="AO18" i="48"/>
  <c r="BY16" i="48"/>
  <c r="FG16" i="48" s="1"/>
  <c r="FR13" i="48"/>
  <c r="DA7" i="48"/>
  <c r="BS14" i="48"/>
  <c r="FA14" i="48" s="1"/>
  <c r="DJ7" i="48"/>
  <c r="AU12" i="48"/>
  <c r="AU18" i="48"/>
  <c r="BS11" i="48"/>
  <c r="FA11" i="48" s="1"/>
  <c r="FO11" i="48" s="1"/>
  <c r="BS13" i="48"/>
  <c r="FA13" i="48" s="1"/>
  <c r="FO13" i="48" s="1"/>
  <c r="FR7" i="48"/>
  <c r="FR12" i="48"/>
  <c r="FP7" i="48"/>
  <c r="BY5" i="48"/>
  <c r="FG5" i="48" s="1"/>
  <c r="EK13" i="48"/>
  <c r="ET13" i="48" s="1"/>
  <c r="FR15" i="48"/>
  <c r="DK7" i="48"/>
  <c r="EK12" i="48"/>
  <c r="ET12" i="48" s="1"/>
  <c r="FR16" i="48"/>
  <c r="EJ18" i="48"/>
  <c r="AU5" i="52"/>
  <c r="FS4" i="52"/>
  <c r="BS4" i="52"/>
  <c r="FA4" i="52" s="1"/>
  <c r="FO4" i="52" s="1"/>
  <c r="FM5" i="52"/>
  <c r="DB4" i="51"/>
  <c r="DK4" i="51" s="1"/>
  <c r="FS5" i="51"/>
  <c r="AU5" i="51"/>
  <c r="BY5" i="51"/>
  <c r="FG5" i="51" s="1"/>
  <c r="BY4" i="51"/>
  <c r="FG4" i="51" s="1"/>
  <c r="AO5" i="51"/>
  <c r="EK11" i="50"/>
  <c r="ET11" i="50" s="1"/>
  <c r="EJ12" i="50"/>
  <c r="EK7" i="50"/>
  <c r="ET7" i="50" s="1"/>
  <c r="EK5" i="50"/>
  <c r="ET5" i="50" s="1"/>
  <c r="EJ8" i="50"/>
  <c r="EJ14" i="50"/>
  <c r="EK8" i="50"/>
  <c r="ET8" i="50" s="1"/>
  <c r="EK14" i="50"/>
  <c r="ET14" i="50" s="1"/>
  <c r="EJ9" i="50"/>
  <c r="DB4" i="50"/>
  <c r="DK4" i="50" s="1"/>
  <c r="FM12" i="50"/>
  <c r="EW17" i="50"/>
  <c r="FM17" i="50" s="1"/>
  <c r="AO5" i="50"/>
  <c r="AU5" i="50"/>
  <c r="AV5" i="50" s="1"/>
  <c r="AO8" i="50"/>
  <c r="AO14" i="50"/>
  <c r="AO11" i="50"/>
  <c r="AV11" i="50" s="1"/>
  <c r="AO7" i="50"/>
  <c r="J7" i="50" s="1"/>
  <c r="AO10" i="50"/>
  <c r="AO6" i="50"/>
  <c r="FP5" i="50"/>
  <c r="ER8" i="50"/>
  <c r="BS15" i="50"/>
  <c r="FA15" i="50" s="1"/>
  <c r="FO15" i="50" s="1"/>
  <c r="AU10" i="50"/>
  <c r="FS6" i="50"/>
  <c r="ES8" i="50"/>
  <c r="BY4" i="50"/>
  <c r="FG4" i="50" s="1"/>
  <c r="AU6" i="50"/>
  <c r="AV6" i="50" s="1"/>
  <c r="DA6" i="50"/>
  <c r="AU14" i="50"/>
  <c r="FC11" i="50"/>
  <c r="FS11" i="50" s="1"/>
  <c r="BS10" i="50"/>
  <c r="FA10" i="50" s="1"/>
  <c r="FO10" i="50" s="1"/>
  <c r="AU8" i="50"/>
  <c r="EJ15" i="50"/>
  <c r="AU15" i="50"/>
  <c r="EK15" i="50"/>
  <c r="ET15" i="50" s="1"/>
  <c r="BY17" i="50"/>
  <c r="FG17" i="50" s="1"/>
  <c r="BS4" i="50"/>
  <c r="FA4" i="50" s="1"/>
  <c r="FO4" i="50" s="1"/>
  <c r="BS14" i="50"/>
  <c r="FA14" i="50" s="1"/>
  <c r="FO14" i="50" s="1"/>
  <c r="AO12" i="50"/>
  <c r="BY10" i="50"/>
  <c r="FG10" i="50" s="1"/>
  <c r="AU9" i="50"/>
  <c r="ER7" i="49"/>
  <c r="ES13" i="49"/>
  <c r="EK13" i="49"/>
  <c r="ET13" i="49" s="1"/>
  <c r="EK11" i="49"/>
  <c r="ET11" i="49" s="1"/>
  <c r="EJ9" i="49"/>
  <c r="DA8" i="49"/>
  <c r="FC13" i="49"/>
  <c r="BS17" i="49"/>
  <c r="FA17" i="49" s="1"/>
  <c r="BY10" i="49"/>
  <c r="FG10" i="49" s="1"/>
  <c r="BS8" i="49"/>
  <c r="EY7" i="49"/>
  <c r="BS4" i="49"/>
  <c r="FA4" i="49" s="1"/>
  <c r="FO4" i="49" s="1"/>
  <c r="FP10" i="49"/>
  <c r="BY5" i="49"/>
  <c r="FG5" i="49" s="1"/>
  <c r="EW5" i="49"/>
  <c r="FM5" i="49" s="1"/>
  <c r="BS6" i="49"/>
  <c r="FA6" i="49" s="1"/>
  <c r="FO6" i="49" s="1"/>
  <c r="AU7" i="49"/>
  <c r="FM17" i="49"/>
  <c r="AO12" i="49"/>
  <c r="AU13" i="49"/>
  <c r="AU12" i="49"/>
  <c r="AO15" i="49"/>
  <c r="FL5" i="49"/>
  <c r="AU4" i="49"/>
  <c r="FE14" i="49"/>
  <c r="FS17" i="49" s="1"/>
  <c r="FC7" i="49"/>
  <c r="FS7" i="49" s="1"/>
  <c r="FC10" i="49"/>
  <c r="AO9" i="49"/>
  <c r="DK8" i="49"/>
  <c r="AO13" i="49"/>
  <c r="EW6" i="49"/>
  <c r="FM6" i="49" s="1"/>
  <c r="FM9" i="49"/>
  <c r="AU15" i="49"/>
  <c r="BY6" i="49"/>
  <c r="BS14" i="49"/>
  <c r="FA14" i="49" s="1"/>
  <c r="FO14" i="49" s="1"/>
  <c r="FS11" i="49"/>
  <c r="DB10" i="49"/>
  <c r="DK10" i="49" s="1"/>
  <c r="AU9" i="49"/>
  <c r="BY17" i="49"/>
  <c r="FG17" i="49" s="1"/>
  <c r="EJ13" i="49"/>
  <c r="AO11" i="49"/>
  <c r="AO4" i="49"/>
  <c r="BY8" i="49"/>
  <c r="FG8" i="49" s="1"/>
  <c r="AO5" i="49"/>
  <c r="EY8" i="49"/>
  <c r="AU18" i="49"/>
  <c r="AU8" i="49"/>
  <c r="BS12" i="49"/>
  <c r="FA12" i="49" s="1"/>
  <c r="FO12" i="49" s="1"/>
  <c r="FM4" i="49"/>
  <c r="FP6" i="49"/>
  <c r="BY11" i="49"/>
  <c r="FG11" i="49" s="1"/>
  <c r="BY4" i="49"/>
  <c r="FG4" i="49" s="1"/>
  <c r="ES12" i="48"/>
  <c r="EJ12" i="48"/>
  <c r="EJ15" i="48"/>
  <c r="BY9" i="48"/>
  <c r="FG9" i="48" s="1"/>
  <c r="BS15" i="48"/>
  <c r="FA15" i="48" s="1"/>
  <c r="FO15" i="48" s="1"/>
  <c r="EW11" i="48"/>
  <c r="FM11" i="48" s="1"/>
  <c r="FC6" i="48"/>
  <c r="FS6" i="48" s="1"/>
  <c r="FE5" i="48"/>
  <c r="FS7" i="48" s="1"/>
  <c r="BS10" i="48"/>
  <c r="FA10" i="48" s="1"/>
  <c r="FO10" i="48" s="1"/>
  <c r="AU16" i="48"/>
  <c r="AO14" i="48"/>
  <c r="AU11" i="48"/>
  <c r="AO7" i="48"/>
  <c r="AU15" i="48"/>
  <c r="AO13" i="48"/>
  <c r="FM18" i="48"/>
  <c r="AU14" i="48"/>
  <c r="AO16" i="48"/>
  <c r="AU5" i="48"/>
  <c r="FP13" i="48"/>
  <c r="AU7" i="48"/>
  <c r="FN13" i="48"/>
  <c r="AO10" i="48"/>
  <c r="AV10" i="48" s="1"/>
  <c r="AO11" i="48"/>
  <c r="FL17" i="48"/>
  <c r="FP17" i="48"/>
  <c r="FN8" i="48"/>
  <c r="FP8" i="48"/>
  <c r="AO6" i="48"/>
  <c r="EY14" i="48"/>
  <c r="BS18" i="48"/>
  <c r="FA18" i="48" s="1"/>
  <c r="FO18" i="48" s="1"/>
  <c r="FM15" i="48"/>
  <c r="DB6" i="48"/>
  <c r="DK6" i="48" s="1"/>
  <c r="FM13" i="48"/>
  <c r="AU8" i="48"/>
  <c r="DA5" i="48"/>
  <c r="AO12" i="48"/>
  <c r="AV12" i="48" s="1"/>
  <c r="AO4" i="48"/>
  <c r="DA6" i="48"/>
  <c r="DB5" i="48"/>
  <c r="DK5" i="48" s="1"/>
  <c r="AU13" i="48"/>
  <c r="AU10" i="48"/>
  <c r="AO17" i="48"/>
  <c r="FM12" i="48"/>
  <c r="BS8" i="48"/>
  <c r="BY12" i="48"/>
  <c r="FG12" i="48" s="1"/>
  <c r="AU4" i="48"/>
  <c r="AU9" i="48"/>
  <c r="AV9" i="48" s="1"/>
  <c r="FP9" i="48"/>
  <c r="AO5" i="48"/>
  <c r="FP11" i="48"/>
  <c r="AO15" i="48"/>
  <c r="BY5" i="52"/>
  <c r="FG5" i="52" s="1"/>
  <c r="FR4" i="52"/>
  <c r="FM4" i="52"/>
  <c r="FP5" i="52"/>
  <c r="FR5" i="52"/>
  <c r="FP4" i="52"/>
  <c r="FL4" i="52"/>
  <c r="BS5" i="52"/>
  <c r="BY4" i="52"/>
  <c r="FG4" i="52" s="1"/>
  <c r="FP5" i="51"/>
  <c r="FL5" i="51"/>
  <c r="BS5" i="51"/>
  <c r="EW5" i="51"/>
  <c r="FM5" i="51" s="1"/>
  <c r="FP4" i="51"/>
  <c r="BS4" i="51"/>
  <c r="EW4" i="51"/>
  <c r="FM4" i="51" s="1"/>
  <c r="AU4" i="51"/>
  <c r="FC4" i="51"/>
  <c r="FS4" i="51" s="1"/>
  <c r="FP7" i="50"/>
  <c r="FN7" i="50"/>
  <c r="FR9" i="50"/>
  <c r="FS9" i="50"/>
  <c r="FP4" i="50"/>
  <c r="FL4" i="50"/>
  <c r="FS10" i="50"/>
  <c r="FR7" i="50"/>
  <c r="FR10" i="50"/>
  <c r="FL10" i="50"/>
  <c r="EW6" i="50"/>
  <c r="FM6" i="50" s="1"/>
  <c r="BS6" i="50"/>
  <c r="J6" i="50" s="1"/>
  <c r="FE5" i="50"/>
  <c r="BY5" i="50"/>
  <c r="FM8" i="50"/>
  <c r="FL8" i="50"/>
  <c r="FS14" i="50"/>
  <c r="EW10" i="50"/>
  <c r="FM10" i="50" s="1"/>
  <c r="FL11" i="50"/>
  <c r="FP11" i="50"/>
  <c r="FM7" i="50"/>
  <c r="BY9" i="50"/>
  <c r="FG9" i="50" s="1"/>
  <c r="EW4" i="50"/>
  <c r="FM4" i="50" s="1"/>
  <c r="FP6" i="50"/>
  <c r="FC8" i="50"/>
  <c r="FS8" i="50" s="1"/>
  <c r="BY8" i="50"/>
  <c r="FG8" i="50" s="1"/>
  <c r="FC17" i="50"/>
  <c r="FS16" i="50" s="1"/>
  <c r="BS12" i="50"/>
  <c r="BY15" i="50"/>
  <c r="FG15" i="50" s="1"/>
  <c r="FC15" i="50"/>
  <c r="FS15" i="50" s="1"/>
  <c r="FP9" i="50"/>
  <c r="FL9" i="50"/>
  <c r="FP10" i="50"/>
  <c r="FC7" i="50"/>
  <c r="FS4" i="50" s="1"/>
  <c r="BY7" i="50"/>
  <c r="FG7" i="50" s="1"/>
  <c r="FR13" i="50"/>
  <c r="BY6" i="50"/>
  <c r="FG6" i="50" s="1"/>
  <c r="DK5" i="50"/>
  <c r="EW9" i="50"/>
  <c r="FM9" i="50" s="1"/>
  <c r="BS9" i="50"/>
  <c r="FP12" i="50"/>
  <c r="FL12" i="50"/>
  <c r="FR16" i="50"/>
  <c r="FP14" i="50"/>
  <c r="FR12" i="50"/>
  <c r="FP8" i="50"/>
  <c r="FE12" i="50"/>
  <c r="BY12" i="50"/>
  <c r="FG12" i="50" s="1"/>
  <c r="FP15" i="50"/>
  <c r="FL15" i="50"/>
  <c r="FL17" i="50"/>
  <c r="FP17" i="50"/>
  <c r="BY14" i="50"/>
  <c r="EW11" i="50"/>
  <c r="FM11" i="50" s="1"/>
  <c r="BS11" i="50"/>
  <c r="EW15" i="50"/>
  <c r="FM15" i="50" s="1"/>
  <c r="EW14" i="50"/>
  <c r="FM14" i="50" s="1"/>
  <c r="EW5" i="50"/>
  <c r="FM5" i="50" s="1"/>
  <c r="BS8" i="50"/>
  <c r="FP5" i="49"/>
  <c r="FO5" i="49"/>
  <c r="FN5" i="49"/>
  <c r="FR12" i="49"/>
  <c r="FP12" i="49"/>
  <c r="FM12" i="49"/>
  <c r="FC9" i="49"/>
  <c r="BY9" i="49"/>
  <c r="FG9" i="49" s="1"/>
  <c r="FR4" i="49"/>
  <c r="FP18" i="49"/>
  <c r="FM18" i="49"/>
  <c r="FL18" i="49"/>
  <c r="FP14" i="49"/>
  <c r="FN10" i="49"/>
  <c r="FR17" i="49"/>
  <c r="FP11" i="49"/>
  <c r="FN11" i="49"/>
  <c r="EY18" i="49"/>
  <c r="FL12" i="49"/>
  <c r="FP8" i="49"/>
  <c r="FM14" i="49"/>
  <c r="FR11" i="49"/>
  <c r="BS9" i="49"/>
  <c r="FP9" i="49"/>
  <c r="FL9" i="49"/>
  <c r="FP13" i="49"/>
  <c r="FL13" i="49"/>
  <c r="FP4" i="49"/>
  <c r="FR13" i="49"/>
  <c r="FP15" i="49"/>
  <c r="FL15" i="49"/>
  <c r="EW13" i="49"/>
  <c r="FM13" i="49" s="1"/>
  <c r="BS13" i="49"/>
  <c r="AU10" i="49"/>
  <c r="FM8" i="49"/>
  <c r="FR7" i="49"/>
  <c r="AO14" i="49"/>
  <c r="FC12" i="49"/>
  <c r="FS8" i="49" s="1"/>
  <c r="BY12" i="49"/>
  <c r="FG12" i="49" s="1"/>
  <c r="EW15" i="49"/>
  <c r="FM15" i="49" s="1"/>
  <c r="BS15" i="49"/>
  <c r="FM7" i="49"/>
  <c r="FP7" i="49"/>
  <c r="FP17" i="49"/>
  <c r="FL17" i="49"/>
  <c r="DA10" i="49"/>
  <c r="EW10" i="49"/>
  <c r="FM10" i="49" s="1"/>
  <c r="BS10" i="49"/>
  <c r="AU11" i="49"/>
  <c r="EY17" i="49"/>
  <c r="FC15" i="49"/>
  <c r="FS9" i="49" s="1"/>
  <c r="BY15" i="49"/>
  <c r="FG15" i="49" s="1"/>
  <c r="FR11" i="48"/>
  <c r="FR8" i="48"/>
  <c r="FP6" i="48"/>
  <c r="FL6" i="48"/>
  <c r="BS4" i="48"/>
  <c r="FC10" i="48"/>
  <c r="FS17" i="48" s="1"/>
  <c r="BY10" i="48"/>
  <c r="FG10" i="48" s="1"/>
  <c r="BS16" i="48"/>
  <c r="EW16" i="48"/>
  <c r="FM16" i="48" s="1"/>
  <c r="FM10" i="48"/>
  <c r="FL10" i="48"/>
  <c r="FP10" i="48"/>
  <c r="FP14" i="48"/>
  <c r="FM14" i="48"/>
  <c r="FL14" i="48"/>
  <c r="FC9" i="48"/>
  <c r="FR10" i="48"/>
  <c r="FC11" i="48"/>
  <c r="BY11" i="48"/>
  <c r="FP16" i="48"/>
  <c r="BS5" i="48"/>
  <c r="EW5" i="48"/>
  <c r="FM5" i="48" s="1"/>
  <c r="FP15" i="48"/>
  <c r="FL15" i="48"/>
  <c r="BS7" i="48"/>
  <c r="J7" i="48" s="1"/>
  <c r="EW7" i="48"/>
  <c r="FM7" i="48" s="1"/>
  <c r="FM6" i="48"/>
  <c r="FC13" i="48"/>
  <c r="FS9" i="48" s="1"/>
  <c r="BY13" i="48"/>
  <c r="FG13" i="48" s="1"/>
  <c r="FR14" i="48"/>
  <c r="FP12" i="48"/>
  <c r="FL12" i="48"/>
  <c r="FC8" i="48"/>
  <c r="BY8" i="48"/>
  <c r="FG8" i="48" s="1"/>
  <c r="FR9" i="48"/>
  <c r="FL7" i="48"/>
  <c r="FP4" i="48"/>
  <c r="FL4" i="48"/>
  <c r="FC4" i="48"/>
  <c r="FS4" i="48" s="1"/>
  <c r="BY4" i="48"/>
  <c r="FG4" i="48" s="1"/>
  <c r="EY6" i="48"/>
  <c r="BS6" i="48"/>
  <c r="FM8" i="48"/>
  <c r="FE14" i="48"/>
  <c r="FS14" i="48" s="1"/>
  <c r="BY14" i="48"/>
  <c r="FG14" i="48" s="1"/>
  <c r="FM4" i="48"/>
  <c r="BY7" i="48"/>
  <c r="FG7" i="48" s="1"/>
  <c r="FP18" i="48"/>
  <c r="FL18" i="48"/>
  <c r="AU17" i="48"/>
  <c r="FM17" i="48"/>
  <c r="FP5" i="48"/>
  <c r="BS9" i="48"/>
  <c r="J9" i="48" s="1"/>
  <c r="EW9" i="48"/>
  <c r="FM9" i="48" s="1"/>
  <c r="AU6" i="48"/>
  <c r="BY17" i="48"/>
  <c r="FG17" i="48" s="1"/>
  <c r="BS12" i="48"/>
  <c r="AO8" i="48"/>
  <c r="BY18" i="48"/>
  <c r="FC15" i="48"/>
  <c r="FS18" i="48" s="1"/>
  <c r="BY15" i="48"/>
  <c r="FG15" i="48" s="1"/>
  <c r="BS17" i="48"/>
  <c r="EF7" i="47"/>
  <c r="EJ7" i="47" s="1"/>
  <c r="EG7" i="47"/>
  <c r="EK7" i="47" s="1"/>
  <c r="ET7" i="47" s="1"/>
  <c r="EH7" i="47"/>
  <c r="EI7" i="47"/>
  <c r="EL7" i="47"/>
  <c r="EM7" i="47"/>
  <c r="EN7" i="47"/>
  <c r="ER7" i="47" s="1"/>
  <c r="EO7" i="47"/>
  <c r="ES7" i="47" s="1"/>
  <c r="EP7" i="47"/>
  <c r="EQ7" i="47"/>
  <c r="EF6" i="47"/>
  <c r="EJ6" i="47" s="1"/>
  <c r="EG6" i="47"/>
  <c r="EK6" i="47" s="1"/>
  <c r="ET6" i="47" s="1"/>
  <c r="EH6" i="47"/>
  <c r="EI6" i="47"/>
  <c r="EL6" i="47"/>
  <c r="EM6" i="47"/>
  <c r="EN6" i="47"/>
  <c r="ER6" i="47" s="1"/>
  <c r="EO6" i="47"/>
  <c r="ES6" i="47" s="1"/>
  <c r="EP6" i="47"/>
  <c r="EQ6" i="47"/>
  <c r="EF8" i="47"/>
  <c r="EG8" i="47"/>
  <c r="EK8" i="47" s="1"/>
  <c r="EH8" i="47"/>
  <c r="EI8" i="47"/>
  <c r="EL8" i="47"/>
  <c r="EM8" i="47"/>
  <c r="EN8" i="47"/>
  <c r="ER8" i="47" s="1"/>
  <c r="EO8" i="47"/>
  <c r="ES8" i="47" s="1"/>
  <c r="EP8" i="47"/>
  <c r="EQ8" i="47"/>
  <c r="EF5" i="47"/>
  <c r="EG5" i="47"/>
  <c r="EH5" i="47"/>
  <c r="EI5" i="47"/>
  <c r="EL5" i="47"/>
  <c r="EM5" i="47"/>
  <c r="EN5" i="47"/>
  <c r="EO5" i="47"/>
  <c r="EP5" i="47"/>
  <c r="EQ5" i="47"/>
  <c r="EF13" i="47"/>
  <c r="EG13" i="47"/>
  <c r="EH13" i="47"/>
  <c r="EI13" i="47"/>
  <c r="EL13" i="47"/>
  <c r="EM13" i="47"/>
  <c r="EN13" i="47"/>
  <c r="ER13" i="47" s="1"/>
  <c r="EO13" i="47"/>
  <c r="ES13" i="47" s="1"/>
  <c r="EP13" i="47"/>
  <c r="EQ13" i="47"/>
  <c r="EF10" i="47"/>
  <c r="EJ10" i="47" s="1"/>
  <c r="EG10" i="47"/>
  <c r="EK10" i="47" s="1"/>
  <c r="ET10" i="47" s="1"/>
  <c r="EH10" i="47"/>
  <c r="EI10" i="47"/>
  <c r="EL10" i="47"/>
  <c r="EM10" i="47"/>
  <c r="EN10" i="47"/>
  <c r="ER10" i="47" s="1"/>
  <c r="EO10" i="47"/>
  <c r="ES10" i="47" s="1"/>
  <c r="EP10" i="47"/>
  <c r="EQ10" i="47"/>
  <c r="EF9" i="47"/>
  <c r="EG9" i="47"/>
  <c r="EH9" i="47"/>
  <c r="EI9" i="47"/>
  <c r="EL9" i="47"/>
  <c r="EM9" i="47"/>
  <c r="EN9" i="47"/>
  <c r="ER9" i="47" s="1"/>
  <c r="EO9" i="47"/>
  <c r="ES9" i="47" s="1"/>
  <c r="EP9" i="47"/>
  <c r="EQ9" i="47"/>
  <c r="EF11" i="47"/>
  <c r="EG11" i="47"/>
  <c r="EH11" i="47"/>
  <c r="EI11" i="47"/>
  <c r="EL11" i="47"/>
  <c r="EM11" i="47"/>
  <c r="EN11" i="47"/>
  <c r="ER11" i="47" s="1"/>
  <c r="EO11" i="47"/>
  <c r="ES11" i="47" s="1"/>
  <c r="EP11" i="47"/>
  <c r="EQ11" i="47"/>
  <c r="EF12" i="47"/>
  <c r="EJ12" i="47" s="1"/>
  <c r="EG12" i="47"/>
  <c r="EK12" i="47" s="1"/>
  <c r="ET12" i="47" s="1"/>
  <c r="EH12" i="47"/>
  <c r="EI12" i="47"/>
  <c r="EL12" i="47"/>
  <c r="EM12" i="47"/>
  <c r="EN12" i="47"/>
  <c r="ER12" i="47" s="1"/>
  <c r="EO12" i="47"/>
  <c r="ES12" i="47" s="1"/>
  <c r="EP12" i="47"/>
  <c r="EQ12" i="47"/>
  <c r="EF14" i="47"/>
  <c r="EJ14" i="47" s="1"/>
  <c r="EG14" i="47"/>
  <c r="EK14" i="47" s="1"/>
  <c r="ET14" i="47" s="1"/>
  <c r="EH14" i="47"/>
  <c r="EI14" i="47"/>
  <c r="EL14" i="47"/>
  <c r="EM14" i="47"/>
  <c r="EN14" i="47"/>
  <c r="ER14" i="47" s="1"/>
  <c r="EO14" i="47"/>
  <c r="ES14" i="47" s="1"/>
  <c r="EP14" i="47"/>
  <c r="EQ14" i="47"/>
  <c r="CW7" i="47"/>
  <c r="CX7" i="47"/>
  <c r="CY7" i="47"/>
  <c r="CZ7" i="47"/>
  <c r="DC7" i="47"/>
  <c r="DD7" i="47"/>
  <c r="DE7" i="47"/>
  <c r="DI7" i="47" s="1"/>
  <c r="DF7" i="47"/>
  <c r="DJ7" i="47" s="1"/>
  <c r="DG7" i="47"/>
  <c r="DH7" i="47"/>
  <c r="CW6" i="47"/>
  <c r="CX6" i="47"/>
  <c r="CY6" i="47"/>
  <c r="CZ6" i="47"/>
  <c r="DC6" i="47"/>
  <c r="DD6" i="47"/>
  <c r="DE6" i="47"/>
  <c r="DI6" i="47" s="1"/>
  <c r="DF6" i="47"/>
  <c r="DJ6" i="47" s="1"/>
  <c r="DG6" i="47"/>
  <c r="DH6" i="47"/>
  <c r="CW8" i="47"/>
  <c r="CX8" i="47"/>
  <c r="CY8" i="47"/>
  <c r="CZ8" i="47"/>
  <c r="DC8" i="47"/>
  <c r="DD8" i="47"/>
  <c r="DE8" i="47"/>
  <c r="DI8" i="47" s="1"/>
  <c r="DF8" i="47"/>
  <c r="DJ8" i="47" s="1"/>
  <c r="DG8" i="47"/>
  <c r="DH8" i="47"/>
  <c r="CW5" i="47"/>
  <c r="CX5" i="47"/>
  <c r="CY5" i="47"/>
  <c r="CZ5" i="47"/>
  <c r="DC5" i="47"/>
  <c r="DD5" i="47"/>
  <c r="DE5" i="47"/>
  <c r="DI5" i="47" s="1"/>
  <c r="DF5" i="47"/>
  <c r="DJ5" i="47" s="1"/>
  <c r="DG5" i="47"/>
  <c r="DH5" i="47"/>
  <c r="CW13" i="47"/>
  <c r="DA13" i="47" s="1"/>
  <c r="CX13" i="47"/>
  <c r="DB13" i="47" s="1"/>
  <c r="CY13" i="47"/>
  <c r="CZ13" i="47"/>
  <c r="DC13" i="47"/>
  <c r="DD13" i="47"/>
  <c r="DE13" i="47"/>
  <c r="DI13" i="47" s="1"/>
  <c r="DF13" i="47"/>
  <c r="DJ13" i="47" s="1"/>
  <c r="DG13" i="47"/>
  <c r="DH13" i="47"/>
  <c r="CW10" i="47"/>
  <c r="DA10" i="47" s="1"/>
  <c r="CX10" i="47"/>
  <c r="DB10" i="47" s="1"/>
  <c r="CY10" i="47"/>
  <c r="CZ10" i="47"/>
  <c r="DC10" i="47"/>
  <c r="DD10" i="47"/>
  <c r="DE10" i="47"/>
  <c r="DI10" i="47" s="1"/>
  <c r="DF10" i="47"/>
  <c r="DJ10" i="47" s="1"/>
  <c r="DG10" i="47"/>
  <c r="DH10" i="47"/>
  <c r="CW9" i="47"/>
  <c r="DA9" i="47" s="1"/>
  <c r="CX9" i="47"/>
  <c r="DB9" i="47" s="1"/>
  <c r="CY9" i="47"/>
  <c r="CZ9" i="47"/>
  <c r="DC9" i="47"/>
  <c r="DD9" i="47"/>
  <c r="DE9" i="47"/>
  <c r="DI9" i="47" s="1"/>
  <c r="DF9" i="47"/>
  <c r="DJ9" i="47" s="1"/>
  <c r="DG9" i="47"/>
  <c r="DH9" i="47"/>
  <c r="CW11" i="47"/>
  <c r="DA11" i="47" s="1"/>
  <c r="CX11" i="47"/>
  <c r="DB11" i="47" s="1"/>
  <c r="CY11" i="47"/>
  <c r="CZ11" i="47"/>
  <c r="DC11" i="47"/>
  <c r="DD11" i="47"/>
  <c r="DE11" i="47"/>
  <c r="DI11" i="47" s="1"/>
  <c r="DF11" i="47"/>
  <c r="DJ11" i="47" s="1"/>
  <c r="DG11" i="47"/>
  <c r="DH11" i="47"/>
  <c r="CW12" i="47"/>
  <c r="DA12" i="47" s="1"/>
  <c r="CX12" i="47"/>
  <c r="DB12" i="47" s="1"/>
  <c r="CY12" i="47"/>
  <c r="CZ12" i="47"/>
  <c r="DC12" i="47"/>
  <c r="DD12" i="47"/>
  <c r="DE12" i="47"/>
  <c r="DI12" i="47" s="1"/>
  <c r="DF12" i="47"/>
  <c r="DJ12" i="47" s="1"/>
  <c r="DG12" i="47"/>
  <c r="DH12" i="47"/>
  <c r="CW14" i="47"/>
  <c r="DA14" i="47" s="1"/>
  <c r="CX14" i="47"/>
  <c r="DB14" i="47" s="1"/>
  <c r="CY14" i="47"/>
  <c r="CZ14" i="47"/>
  <c r="DC14" i="47"/>
  <c r="DD14" i="47"/>
  <c r="DE14" i="47"/>
  <c r="DI14" i="47" s="1"/>
  <c r="DF14" i="47"/>
  <c r="DJ14" i="47" s="1"/>
  <c r="DG14" i="47"/>
  <c r="DH14" i="47"/>
  <c r="EQ4" i="47"/>
  <c r="EP4" i="47"/>
  <c r="EO4" i="47"/>
  <c r="ES4" i="47" s="1"/>
  <c r="EN4" i="47"/>
  <c r="ER4" i="47" s="1"/>
  <c r="EM4" i="47"/>
  <c r="EL4" i="47"/>
  <c r="EI4" i="47"/>
  <c r="EH4" i="47"/>
  <c r="EG4" i="47"/>
  <c r="EK4" i="47" s="1"/>
  <c r="ET4" i="47" s="1"/>
  <c r="EF4" i="47"/>
  <c r="EJ4" i="47" s="1"/>
  <c r="CZ4" i="47"/>
  <c r="DD4" i="47"/>
  <c r="DF4" i="47"/>
  <c r="DH4" i="47"/>
  <c r="DG4" i="47"/>
  <c r="DE4" i="47"/>
  <c r="DI4" i="47" s="1"/>
  <c r="DC4" i="47"/>
  <c r="CY4" i="47"/>
  <c r="CX4" i="47"/>
  <c r="CW4" i="47"/>
  <c r="BN4" i="47"/>
  <c r="EV4" i="47" s="1"/>
  <c r="FL4" i="47" s="1"/>
  <c r="EU4" i="47"/>
  <c r="EU7" i="47"/>
  <c r="EU6" i="47"/>
  <c r="EU8" i="47"/>
  <c r="EU5" i="47"/>
  <c r="EU13" i="47"/>
  <c r="EU10" i="47"/>
  <c r="EU9" i="47"/>
  <c r="EU11" i="47"/>
  <c r="EU12" i="47"/>
  <c r="EU14" i="47"/>
  <c r="AJ7" i="47"/>
  <c r="AK7" i="47"/>
  <c r="AL7" i="47"/>
  <c r="AM7" i="47"/>
  <c r="AN7" i="47"/>
  <c r="AP7" i="47"/>
  <c r="AQ7" i="47"/>
  <c r="AR7" i="47"/>
  <c r="AS7" i="47"/>
  <c r="AT7" i="47"/>
  <c r="AJ6" i="47"/>
  <c r="AK6" i="47"/>
  <c r="AL6" i="47"/>
  <c r="AM6" i="47"/>
  <c r="AN6" i="47"/>
  <c r="AP6" i="47"/>
  <c r="AQ6" i="47"/>
  <c r="AR6" i="47"/>
  <c r="AS6" i="47"/>
  <c r="AT6" i="47"/>
  <c r="AJ8" i="47"/>
  <c r="AK8" i="47"/>
  <c r="AL8" i="47"/>
  <c r="AM8" i="47"/>
  <c r="AN8" i="47"/>
  <c r="AP8" i="47"/>
  <c r="AQ8" i="47"/>
  <c r="AR8" i="47"/>
  <c r="AS8" i="47"/>
  <c r="AT8" i="47"/>
  <c r="AJ5" i="47"/>
  <c r="AK5" i="47"/>
  <c r="AL5" i="47"/>
  <c r="AM5" i="47"/>
  <c r="AN5" i="47"/>
  <c r="AP5" i="47"/>
  <c r="AQ5" i="47"/>
  <c r="AR5" i="47"/>
  <c r="AS5" i="47"/>
  <c r="AT5" i="47"/>
  <c r="AJ13" i="47"/>
  <c r="AK13" i="47"/>
  <c r="AL13" i="47"/>
  <c r="AM13" i="47"/>
  <c r="AN13" i="47"/>
  <c r="AP13" i="47"/>
  <c r="AQ13" i="47"/>
  <c r="AR13" i="47"/>
  <c r="AS13" i="47"/>
  <c r="AT13" i="47"/>
  <c r="AJ10" i="47"/>
  <c r="AK10" i="47"/>
  <c r="AL10" i="47"/>
  <c r="AM10" i="47"/>
  <c r="AN10" i="47"/>
  <c r="AP10" i="47"/>
  <c r="AQ10" i="47"/>
  <c r="AR10" i="47"/>
  <c r="AS10" i="47"/>
  <c r="AT10" i="47"/>
  <c r="AJ9" i="47"/>
  <c r="AK9" i="47"/>
  <c r="AL9" i="47"/>
  <c r="AM9" i="47"/>
  <c r="AN9" i="47"/>
  <c r="AP9" i="47"/>
  <c r="AQ9" i="47"/>
  <c r="AR9" i="47"/>
  <c r="AS9" i="47"/>
  <c r="AT9" i="47"/>
  <c r="AJ11" i="47"/>
  <c r="AK11" i="47"/>
  <c r="AL11" i="47"/>
  <c r="AM11" i="47"/>
  <c r="AN11" i="47"/>
  <c r="AP11" i="47"/>
  <c r="AQ11" i="47"/>
  <c r="AR11" i="47"/>
  <c r="AS11" i="47"/>
  <c r="AT11" i="47"/>
  <c r="AJ12" i="47"/>
  <c r="AK12" i="47"/>
  <c r="AL12" i="47"/>
  <c r="AM12" i="47"/>
  <c r="AN12" i="47"/>
  <c r="AP12" i="47"/>
  <c r="AQ12" i="47"/>
  <c r="AR12" i="47"/>
  <c r="AS12" i="47"/>
  <c r="AT12" i="47"/>
  <c r="AJ14" i="47"/>
  <c r="AK14" i="47"/>
  <c r="AL14" i="47"/>
  <c r="AM14" i="47"/>
  <c r="AN14" i="47"/>
  <c r="AP14" i="47"/>
  <c r="AQ14" i="47"/>
  <c r="AR14" i="47"/>
  <c r="AS14" i="47"/>
  <c r="AT14" i="47"/>
  <c r="AT4" i="47"/>
  <c r="AS4" i="47"/>
  <c r="AR4" i="47"/>
  <c r="AQ4" i="47"/>
  <c r="AP4" i="47"/>
  <c r="AN4" i="47"/>
  <c r="AM4" i="47"/>
  <c r="AL4" i="47"/>
  <c r="AK4" i="47"/>
  <c r="AJ4" i="47"/>
  <c r="BX4" i="47"/>
  <c r="FF4" i="47" s="1"/>
  <c r="BR4" i="47"/>
  <c r="EZ4" i="47" s="1"/>
  <c r="FN4" i="47" s="1"/>
  <c r="BN7" i="47"/>
  <c r="EV7" i="47" s="1"/>
  <c r="FL7" i="47" s="1"/>
  <c r="BO7" i="47"/>
  <c r="EW7" i="47" s="1"/>
  <c r="BP7" i="47"/>
  <c r="EX7" i="47" s="1"/>
  <c r="BQ7" i="47"/>
  <c r="EY7" i="47" s="1"/>
  <c r="BR7" i="47"/>
  <c r="EZ7" i="47" s="1"/>
  <c r="FN7" i="47" s="1"/>
  <c r="BT7" i="47"/>
  <c r="FB7" i="47" s="1"/>
  <c r="BU7" i="47"/>
  <c r="FC7" i="47" s="1"/>
  <c r="BV7" i="47"/>
  <c r="FD7" i="47" s="1"/>
  <c r="BW7" i="47"/>
  <c r="FE7" i="47" s="1"/>
  <c r="BX7" i="47"/>
  <c r="FF7" i="47" s="1"/>
  <c r="BN6" i="47"/>
  <c r="EV6" i="47" s="1"/>
  <c r="BO6" i="47"/>
  <c r="EW6" i="47" s="1"/>
  <c r="BP6" i="47"/>
  <c r="EX6" i="47" s="1"/>
  <c r="BQ6" i="47"/>
  <c r="EY6" i="47" s="1"/>
  <c r="BR6" i="47"/>
  <c r="EZ6" i="47" s="1"/>
  <c r="FN6" i="47" s="1"/>
  <c r="BT6" i="47"/>
  <c r="FB6" i="47" s="1"/>
  <c r="BU6" i="47"/>
  <c r="FC6" i="47" s="1"/>
  <c r="BV6" i="47"/>
  <c r="FD6" i="47" s="1"/>
  <c r="BW6" i="47"/>
  <c r="FE6" i="47" s="1"/>
  <c r="BX6" i="47"/>
  <c r="FF6" i="47" s="1"/>
  <c r="BN8" i="47"/>
  <c r="EV8" i="47" s="1"/>
  <c r="FL8" i="47" s="1"/>
  <c r="BO8" i="47"/>
  <c r="EW8" i="47" s="1"/>
  <c r="BP8" i="47"/>
  <c r="EX8" i="47" s="1"/>
  <c r="BQ8" i="47"/>
  <c r="EY8" i="47" s="1"/>
  <c r="BR8" i="47"/>
  <c r="EZ8" i="47" s="1"/>
  <c r="FN8" i="47" s="1"/>
  <c r="BT8" i="47"/>
  <c r="FB8" i="47" s="1"/>
  <c r="BU8" i="47"/>
  <c r="FC8" i="47" s="1"/>
  <c r="BV8" i="47"/>
  <c r="FD8" i="47" s="1"/>
  <c r="BW8" i="47"/>
  <c r="FE8" i="47" s="1"/>
  <c r="BX8" i="47"/>
  <c r="FF8" i="47" s="1"/>
  <c r="BN5" i="47"/>
  <c r="EV5" i="47" s="1"/>
  <c r="FL5" i="47" s="1"/>
  <c r="BO5" i="47"/>
  <c r="EW5" i="47" s="1"/>
  <c r="BP5" i="47"/>
  <c r="EX5" i="47" s="1"/>
  <c r="BQ5" i="47"/>
  <c r="EY5" i="47" s="1"/>
  <c r="BR5" i="47"/>
  <c r="EZ5" i="47" s="1"/>
  <c r="FN5" i="47" s="1"/>
  <c r="BT5" i="47"/>
  <c r="FB5" i="47" s="1"/>
  <c r="BU5" i="47"/>
  <c r="FC5" i="47" s="1"/>
  <c r="BV5" i="47"/>
  <c r="FD5" i="47" s="1"/>
  <c r="BW5" i="47"/>
  <c r="FE5" i="47" s="1"/>
  <c r="BX5" i="47"/>
  <c r="FF5" i="47" s="1"/>
  <c r="BN13" i="47"/>
  <c r="EV13" i="47" s="1"/>
  <c r="BO13" i="47"/>
  <c r="EW13" i="47" s="1"/>
  <c r="BP13" i="47"/>
  <c r="EX13" i="47" s="1"/>
  <c r="BQ13" i="47"/>
  <c r="BR13" i="47"/>
  <c r="EZ13" i="47" s="1"/>
  <c r="FN13" i="47" s="1"/>
  <c r="BT13" i="47"/>
  <c r="FB13" i="47" s="1"/>
  <c r="BU13" i="47"/>
  <c r="FC13" i="47" s="1"/>
  <c r="BV13" i="47"/>
  <c r="FD13" i="47" s="1"/>
  <c r="BW13" i="47"/>
  <c r="FE13" i="47" s="1"/>
  <c r="BX13" i="47"/>
  <c r="FF13" i="47" s="1"/>
  <c r="BN10" i="47"/>
  <c r="EV10" i="47" s="1"/>
  <c r="FL10" i="47" s="1"/>
  <c r="BO10" i="47"/>
  <c r="EW10" i="47" s="1"/>
  <c r="BP10" i="47"/>
  <c r="EX10" i="47" s="1"/>
  <c r="BQ10" i="47"/>
  <c r="EY10" i="47" s="1"/>
  <c r="BR10" i="47"/>
  <c r="EZ10" i="47" s="1"/>
  <c r="FN10" i="47" s="1"/>
  <c r="BT10" i="47"/>
  <c r="FB10" i="47" s="1"/>
  <c r="BU10" i="47"/>
  <c r="FC10" i="47" s="1"/>
  <c r="BV10" i="47"/>
  <c r="FD10" i="47" s="1"/>
  <c r="BW10" i="47"/>
  <c r="BX10" i="47"/>
  <c r="FF10" i="47" s="1"/>
  <c r="BN9" i="47"/>
  <c r="EV9" i="47" s="1"/>
  <c r="BO9" i="47"/>
  <c r="EW9" i="47" s="1"/>
  <c r="BP9" i="47"/>
  <c r="EX9" i="47" s="1"/>
  <c r="BQ9" i="47"/>
  <c r="EY9" i="47" s="1"/>
  <c r="BR9" i="47"/>
  <c r="EZ9" i="47" s="1"/>
  <c r="FN9" i="47" s="1"/>
  <c r="BT9" i="47"/>
  <c r="FB9" i="47" s="1"/>
  <c r="BU9" i="47"/>
  <c r="FC9" i="47" s="1"/>
  <c r="BV9" i="47"/>
  <c r="FD9" i="47" s="1"/>
  <c r="FR11" i="47" s="1"/>
  <c r="BW9" i="47"/>
  <c r="FE9" i="47" s="1"/>
  <c r="BX9" i="47"/>
  <c r="FF9" i="47" s="1"/>
  <c r="BN11" i="47"/>
  <c r="EV11" i="47" s="1"/>
  <c r="BO11" i="47"/>
  <c r="EW11" i="47" s="1"/>
  <c r="BP11" i="47"/>
  <c r="EX11" i="47" s="1"/>
  <c r="BQ11" i="47"/>
  <c r="EY11" i="47" s="1"/>
  <c r="BR11" i="47"/>
  <c r="EZ11" i="47" s="1"/>
  <c r="FN11" i="47" s="1"/>
  <c r="BT11" i="47"/>
  <c r="FB11" i="47" s="1"/>
  <c r="BU11" i="47"/>
  <c r="FC11" i="47" s="1"/>
  <c r="BV11" i="47"/>
  <c r="FD11" i="47" s="1"/>
  <c r="FR12" i="47" s="1"/>
  <c r="BW11" i="47"/>
  <c r="FE11" i="47" s="1"/>
  <c r="BX11" i="47"/>
  <c r="FF11" i="47" s="1"/>
  <c r="BN12" i="47"/>
  <c r="EV12" i="47" s="1"/>
  <c r="FL12" i="47" s="1"/>
  <c r="BO12" i="47"/>
  <c r="EW12" i="47" s="1"/>
  <c r="BP12" i="47"/>
  <c r="EX12" i="47" s="1"/>
  <c r="BQ12" i="47"/>
  <c r="EY12" i="47" s="1"/>
  <c r="BR12" i="47"/>
  <c r="EZ12" i="47" s="1"/>
  <c r="FN12" i="47" s="1"/>
  <c r="BT12" i="47"/>
  <c r="FB12" i="47" s="1"/>
  <c r="BU12" i="47"/>
  <c r="FC12" i="47" s="1"/>
  <c r="BV12" i="47"/>
  <c r="FD12" i="47" s="1"/>
  <c r="BW12" i="47"/>
  <c r="FE12" i="47" s="1"/>
  <c r="BX12" i="47"/>
  <c r="FF12" i="47" s="1"/>
  <c r="BN14" i="47"/>
  <c r="EV14" i="47" s="1"/>
  <c r="FL14" i="47" s="1"/>
  <c r="BO14" i="47"/>
  <c r="EW14" i="47" s="1"/>
  <c r="BP14" i="47"/>
  <c r="EX14" i="47" s="1"/>
  <c r="BQ14" i="47"/>
  <c r="EY14" i="47" s="1"/>
  <c r="BR14" i="47"/>
  <c r="EZ14" i="47" s="1"/>
  <c r="FN14" i="47" s="1"/>
  <c r="BT14" i="47"/>
  <c r="FB14" i="47" s="1"/>
  <c r="BU14" i="47"/>
  <c r="FC14" i="47" s="1"/>
  <c r="BV14" i="47"/>
  <c r="FD14" i="47" s="1"/>
  <c r="BW14" i="47"/>
  <c r="FE14" i="47" s="1"/>
  <c r="BX14" i="47"/>
  <c r="FF14" i="47" s="1"/>
  <c r="BV4" i="47"/>
  <c r="FD4" i="47" s="1"/>
  <c r="BT4" i="47"/>
  <c r="FB4" i="47" s="1"/>
  <c r="BP4" i="47"/>
  <c r="EX4" i="47" s="1"/>
  <c r="BO4" i="47"/>
  <c r="EW4" i="47" s="1"/>
  <c r="BW4" i="47"/>
  <c r="FE4" i="47" s="1"/>
  <c r="BU4" i="47"/>
  <c r="FC4" i="47" s="1"/>
  <c r="BQ4" i="47"/>
  <c r="EY4" i="47" s="1"/>
  <c r="FS12" i="49" l="1"/>
  <c r="FS10" i="49"/>
  <c r="AV6" i="49"/>
  <c r="AV7" i="49"/>
  <c r="G4" i="52"/>
  <c r="AV9" i="50"/>
  <c r="FS7" i="50"/>
  <c r="AV10" i="50"/>
  <c r="AV12" i="50"/>
  <c r="J17" i="50"/>
  <c r="L17" i="50" s="1"/>
  <c r="M17" i="50" s="1"/>
  <c r="AV7" i="50"/>
  <c r="FA17" i="50"/>
  <c r="FO17" i="50" s="1"/>
  <c r="FQ17" i="50" s="1"/>
  <c r="BZ18" i="49"/>
  <c r="FH18" i="49" s="1"/>
  <c r="J18" i="49"/>
  <c r="K18" i="49" s="1"/>
  <c r="FS6" i="49"/>
  <c r="FS15" i="49"/>
  <c r="FS13" i="49"/>
  <c r="FS10" i="48"/>
  <c r="FS13" i="48"/>
  <c r="FS8" i="48"/>
  <c r="AV4" i="48"/>
  <c r="EJ8" i="47"/>
  <c r="EJ11" i="47"/>
  <c r="FR14" i="47"/>
  <c r="DA4" i="47"/>
  <c r="AV5" i="52"/>
  <c r="J4" i="52"/>
  <c r="CA4" i="52" s="1"/>
  <c r="J4" i="51"/>
  <c r="L4" i="51" s="1"/>
  <c r="M4" i="51" s="1"/>
  <c r="J11" i="50"/>
  <c r="K11" i="50" s="1"/>
  <c r="FS13" i="50"/>
  <c r="J14" i="50"/>
  <c r="K14" i="50" s="1"/>
  <c r="G4" i="50"/>
  <c r="AV15" i="50"/>
  <c r="FS17" i="50"/>
  <c r="F17" i="50"/>
  <c r="BZ7" i="50"/>
  <c r="FH7" i="50" s="1"/>
  <c r="FS16" i="49"/>
  <c r="FO17" i="49"/>
  <c r="FQ17" i="49" s="1"/>
  <c r="J17" i="49"/>
  <c r="CA17" i="49" s="1"/>
  <c r="AV8" i="49"/>
  <c r="FA18" i="49"/>
  <c r="FO18" i="49" s="1"/>
  <c r="FQ18" i="49" s="1"/>
  <c r="BZ7" i="49"/>
  <c r="FH7" i="49" s="1"/>
  <c r="AV18" i="49"/>
  <c r="J10" i="49"/>
  <c r="N10" i="49" s="1"/>
  <c r="AV12" i="49"/>
  <c r="AV5" i="49"/>
  <c r="G4" i="49"/>
  <c r="AV17" i="49"/>
  <c r="FS4" i="49"/>
  <c r="G5" i="49"/>
  <c r="BZ14" i="49"/>
  <c r="FH14" i="49" s="1"/>
  <c r="J5" i="49"/>
  <c r="N5" i="49" s="1"/>
  <c r="J6" i="49"/>
  <c r="L6" i="49" s="1"/>
  <c r="M6" i="49" s="1"/>
  <c r="BZ8" i="49"/>
  <c r="FH8" i="49" s="1"/>
  <c r="AV7" i="48"/>
  <c r="FS5" i="48"/>
  <c r="AV18" i="48"/>
  <c r="ET8" i="47"/>
  <c r="EK9" i="47"/>
  <c r="ET9" i="47" s="1"/>
  <c r="EJ9" i="47"/>
  <c r="EK11" i="47"/>
  <c r="ET11" i="47" s="1"/>
  <c r="DJ4" i="47"/>
  <c r="DA5" i="47"/>
  <c r="DB5" i="47"/>
  <c r="DA7" i="47"/>
  <c r="G14" i="50"/>
  <c r="J4" i="50"/>
  <c r="G17" i="50"/>
  <c r="F7" i="50"/>
  <c r="J15" i="50"/>
  <c r="N15" i="50" s="1"/>
  <c r="F12" i="50"/>
  <c r="FS12" i="50"/>
  <c r="AV8" i="50"/>
  <c r="FS5" i="50"/>
  <c r="J5" i="50"/>
  <c r="L5" i="50" s="1"/>
  <c r="M5" i="50" s="1"/>
  <c r="AV4" i="50"/>
  <c r="G5" i="50"/>
  <c r="AV13" i="49"/>
  <c r="AV9" i="49"/>
  <c r="FA8" i="49"/>
  <c r="FO8" i="49" s="1"/>
  <c r="FO7" i="49"/>
  <c r="J12" i="49"/>
  <c r="K12" i="49" s="1"/>
  <c r="F7" i="49"/>
  <c r="F5" i="49"/>
  <c r="F8" i="49"/>
  <c r="G7" i="49"/>
  <c r="J4" i="49"/>
  <c r="L4" i="49" s="1"/>
  <c r="M4" i="49" s="1"/>
  <c r="J7" i="49"/>
  <c r="K7" i="49" s="1"/>
  <c r="FS5" i="49"/>
  <c r="BZ17" i="49"/>
  <c r="FH17" i="49" s="1"/>
  <c r="BZ5" i="49"/>
  <c r="FH5" i="49" s="1"/>
  <c r="BZ4" i="49"/>
  <c r="FH4" i="49" s="1"/>
  <c r="FS18" i="49"/>
  <c r="FS14" i="49"/>
  <c r="FS16" i="48"/>
  <c r="J15" i="48"/>
  <c r="N15" i="48" s="1"/>
  <c r="AV14" i="48"/>
  <c r="AV5" i="48"/>
  <c r="J11" i="48"/>
  <c r="CA11" i="48" s="1"/>
  <c r="FI11" i="48" s="1"/>
  <c r="AV16" i="48"/>
  <c r="AV13" i="48"/>
  <c r="J16" i="48"/>
  <c r="L16" i="48" s="1"/>
  <c r="M16" i="48" s="1"/>
  <c r="J5" i="48"/>
  <c r="K5" i="48" s="1"/>
  <c r="G11" i="48"/>
  <c r="J4" i="48"/>
  <c r="K4" i="48" s="1"/>
  <c r="J14" i="48"/>
  <c r="L14" i="48" s="1"/>
  <c r="M14" i="48" s="1"/>
  <c r="FS11" i="48"/>
  <c r="FS12" i="48"/>
  <c r="BZ10" i="48"/>
  <c r="FH10" i="48" s="1"/>
  <c r="FT10" i="48" s="1"/>
  <c r="FS15" i="48"/>
  <c r="AV11" i="48"/>
  <c r="FR13" i="47"/>
  <c r="FM6" i="47"/>
  <c r="FR10" i="47"/>
  <c r="FR7" i="47"/>
  <c r="FR8" i="47"/>
  <c r="FR5" i="47"/>
  <c r="G5" i="52"/>
  <c r="I5" i="51"/>
  <c r="F5" i="51"/>
  <c r="G5" i="51"/>
  <c r="AV5" i="51"/>
  <c r="I4" i="51"/>
  <c r="G15" i="50"/>
  <c r="J10" i="50"/>
  <c r="N10" i="50" s="1"/>
  <c r="BZ10" i="50"/>
  <c r="FH10" i="50" s="1"/>
  <c r="BZ15" i="50"/>
  <c r="FH15" i="50" s="1"/>
  <c r="FQ15" i="50"/>
  <c r="F10" i="50"/>
  <c r="G10" i="50"/>
  <c r="F8" i="50"/>
  <c r="F14" i="50"/>
  <c r="FV16" i="50"/>
  <c r="G11" i="50"/>
  <c r="AV14" i="50"/>
  <c r="F11" i="50"/>
  <c r="FQ16" i="50"/>
  <c r="G7" i="50"/>
  <c r="F4" i="50"/>
  <c r="BZ4" i="50"/>
  <c r="FH4" i="50" s="1"/>
  <c r="FQ7" i="50"/>
  <c r="G8" i="50"/>
  <c r="G17" i="49"/>
  <c r="FQ11" i="49"/>
  <c r="F17" i="49"/>
  <c r="J8" i="49"/>
  <c r="N8" i="49" s="1"/>
  <c r="G8" i="49"/>
  <c r="F18" i="49"/>
  <c r="G18" i="49"/>
  <c r="AV15" i="49"/>
  <c r="AV11" i="49"/>
  <c r="FQ5" i="49"/>
  <c r="FQ7" i="49"/>
  <c r="BZ6" i="49"/>
  <c r="FH6" i="49" s="1"/>
  <c r="FG6" i="49"/>
  <c r="J11" i="49"/>
  <c r="K11" i="49" s="1"/>
  <c r="F9" i="49"/>
  <c r="F11" i="49"/>
  <c r="AV4" i="49"/>
  <c r="F6" i="49"/>
  <c r="G11" i="49"/>
  <c r="F4" i="49"/>
  <c r="G6" i="49"/>
  <c r="BZ11" i="49"/>
  <c r="FH11" i="49" s="1"/>
  <c r="F12" i="49"/>
  <c r="F6" i="48"/>
  <c r="G5" i="48"/>
  <c r="J18" i="48"/>
  <c r="L18" i="48" s="1"/>
  <c r="M18" i="48" s="1"/>
  <c r="BZ8" i="48"/>
  <c r="FH8" i="48" s="1"/>
  <c r="FQ18" i="48"/>
  <c r="FO14" i="48"/>
  <c r="BZ14" i="48"/>
  <c r="FH14" i="48" s="1"/>
  <c r="I18" i="48"/>
  <c r="J13" i="48"/>
  <c r="CA13" i="48" s="1"/>
  <c r="AV15" i="48"/>
  <c r="J10" i="48"/>
  <c r="CA10" i="48" s="1"/>
  <c r="F15" i="48"/>
  <c r="G15" i="48"/>
  <c r="I6" i="48"/>
  <c r="F5" i="48"/>
  <c r="AV6" i="48"/>
  <c r="I5" i="48"/>
  <c r="G18" i="48"/>
  <c r="I10" i="48"/>
  <c r="BZ13" i="48"/>
  <c r="FH13" i="48" s="1"/>
  <c r="F18" i="48"/>
  <c r="F11" i="48"/>
  <c r="BZ11" i="48"/>
  <c r="FH11" i="48" s="1"/>
  <c r="FV10" i="48" s="1"/>
  <c r="F10" i="48"/>
  <c r="G10" i="48"/>
  <c r="FA8" i="48"/>
  <c r="FO8" i="48" s="1"/>
  <c r="FQ10" i="48" s="1"/>
  <c r="G16" i="48"/>
  <c r="F12" i="48"/>
  <c r="G6" i="48"/>
  <c r="F13" i="48"/>
  <c r="I16" i="48"/>
  <c r="G13" i="48"/>
  <c r="F5" i="52"/>
  <c r="F4" i="52"/>
  <c r="FQ4" i="52"/>
  <c r="I4" i="52"/>
  <c r="I5" i="52"/>
  <c r="J5" i="52"/>
  <c r="BZ4" i="52"/>
  <c r="FH4" i="52" s="1"/>
  <c r="BZ5" i="52"/>
  <c r="FH5" i="52" s="1"/>
  <c r="FA5" i="52"/>
  <c r="FO5" i="52" s="1"/>
  <c r="FQ5" i="52" s="1"/>
  <c r="FA5" i="51"/>
  <c r="FO5" i="51" s="1"/>
  <c r="FQ5" i="51" s="1"/>
  <c r="BZ5" i="51"/>
  <c r="FH5" i="51" s="1"/>
  <c r="J5" i="51"/>
  <c r="F4" i="51"/>
  <c r="BZ4" i="51"/>
  <c r="FH4" i="51" s="1"/>
  <c r="FA4" i="51"/>
  <c r="FO4" i="51" s="1"/>
  <c r="FQ4" i="51" s="1"/>
  <c r="AV4" i="51"/>
  <c r="G4" i="51"/>
  <c r="N7" i="50"/>
  <c r="CA7" i="50"/>
  <c r="K7" i="50"/>
  <c r="L7" i="50"/>
  <c r="M7" i="50" s="1"/>
  <c r="FQ5" i="50"/>
  <c r="BZ12" i="50"/>
  <c r="FH12" i="50" s="1"/>
  <c r="FV13" i="50" s="1"/>
  <c r="FA12" i="50"/>
  <c r="FO12" i="50" s="1"/>
  <c r="FQ12" i="50" s="1"/>
  <c r="G12" i="50"/>
  <c r="N4" i="50"/>
  <c r="L4" i="50"/>
  <c r="M4" i="50" s="1"/>
  <c r="K4" i="50"/>
  <c r="CA4" i="50"/>
  <c r="J12" i="50"/>
  <c r="N6" i="50"/>
  <c r="CA6" i="50"/>
  <c r="L6" i="50"/>
  <c r="M6" i="50" s="1"/>
  <c r="K6" i="50"/>
  <c r="CA17" i="50"/>
  <c r="N17" i="50"/>
  <c r="K17" i="50"/>
  <c r="BZ8" i="50"/>
  <c r="FH8" i="50" s="1"/>
  <c r="J8" i="50"/>
  <c r="FA8" i="50"/>
  <c r="FO8" i="50" s="1"/>
  <c r="FQ8" i="50" s="1"/>
  <c r="FG14" i="50"/>
  <c r="BZ14" i="50"/>
  <c r="FH14" i="50" s="1"/>
  <c r="FA9" i="50"/>
  <c r="FO9" i="50" s="1"/>
  <c r="FQ10" i="50" s="1"/>
  <c r="BZ9" i="50"/>
  <c r="FH9" i="50" s="1"/>
  <c r="J9" i="50"/>
  <c r="F9" i="50"/>
  <c r="FA11" i="50"/>
  <c r="FO11" i="50" s="1"/>
  <c r="FQ11" i="50" s="1"/>
  <c r="BZ11" i="50"/>
  <c r="FH11" i="50" s="1"/>
  <c r="G9" i="50"/>
  <c r="F5" i="50"/>
  <c r="F6" i="50"/>
  <c r="FQ14" i="50"/>
  <c r="F15" i="50"/>
  <c r="BZ6" i="50"/>
  <c r="FH6" i="50" s="1"/>
  <c r="FA6" i="50"/>
  <c r="FO6" i="50" s="1"/>
  <c r="FQ6" i="50" s="1"/>
  <c r="N11" i="50"/>
  <c r="FQ4" i="50"/>
  <c r="FG5" i="50"/>
  <c r="BZ5" i="50"/>
  <c r="FH5" i="50" s="1"/>
  <c r="G6" i="50"/>
  <c r="CA10" i="49"/>
  <c r="K10" i="49"/>
  <c r="L10" i="49"/>
  <c r="M10" i="49" s="1"/>
  <c r="FA13" i="49"/>
  <c r="FO13" i="49" s="1"/>
  <c r="BZ13" i="49"/>
  <c r="FH13" i="49" s="1"/>
  <c r="FV4" i="49" s="1"/>
  <c r="J13" i="49"/>
  <c r="F15" i="49"/>
  <c r="AV10" i="49"/>
  <c r="BZ15" i="49"/>
  <c r="FH15" i="49" s="1"/>
  <c r="FA15" i="49"/>
  <c r="FO15" i="49" s="1"/>
  <c r="J15" i="49"/>
  <c r="G15" i="49"/>
  <c r="BZ9" i="49"/>
  <c r="FH9" i="49" s="1"/>
  <c r="J9" i="49"/>
  <c r="FA9" i="49"/>
  <c r="FO9" i="49" s="1"/>
  <c r="F13" i="49"/>
  <c r="BZ10" i="49"/>
  <c r="FH10" i="49" s="1"/>
  <c r="FA10" i="49"/>
  <c r="FO10" i="49" s="1"/>
  <c r="FQ12" i="49" s="1"/>
  <c r="G10" i="49"/>
  <c r="J14" i="49"/>
  <c r="G14" i="49"/>
  <c r="AV14" i="49"/>
  <c r="F14" i="49"/>
  <c r="G13" i="49"/>
  <c r="G9" i="49"/>
  <c r="BZ12" i="49"/>
  <c r="FH12" i="49" s="1"/>
  <c r="F10" i="49"/>
  <c r="G12" i="49"/>
  <c r="I14" i="48"/>
  <c r="G14" i="48"/>
  <c r="CA9" i="48"/>
  <c r="N9" i="48"/>
  <c r="L9" i="48"/>
  <c r="M9" i="48" s="1"/>
  <c r="K9" i="48"/>
  <c r="N5" i="48"/>
  <c r="CA5" i="48"/>
  <c r="BZ6" i="48"/>
  <c r="FH6" i="48" s="1"/>
  <c r="FA6" i="48"/>
  <c r="FO6" i="48" s="1"/>
  <c r="FQ6" i="48" s="1"/>
  <c r="J6" i="48"/>
  <c r="I7" i="48"/>
  <c r="FA5" i="48"/>
  <c r="FO5" i="48" s="1"/>
  <c r="BZ5" i="48"/>
  <c r="FH5" i="48" s="1"/>
  <c r="FA16" i="48"/>
  <c r="FO16" i="48" s="1"/>
  <c r="FQ16" i="48" s="1"/>
  <c r="BZ16" i="48"/>
  <c r="FH16" i="48" s="1"/>
  <c r="F4" i="48"/>
  <c r="G17" i="48"/>
  <c r="AV17" i="48"/>
  <c r="N4" i="48"/>
  <c r="L4" i="48"/>
  <c r="M4" i="48" s="1"/>
  <c r="FA17" i="48"/>
  <c r="FO17" i="48" s="1"/>
  <c r="FQ17" i="48" s="1"/>
  <c r="BZ17" i="48"/>
  <c r="FH17" i="48" s="1"/>
  <c r="FV17" i="48" s="1"/>
  <c r="J17" i="48"/>
  <c r="G4" i="48"/>
  <c r="BZ12" i="48"/>
  <c r="FH12" i="48" s="1"/>
  <c r="FA12" i="48"/>
  <c r="FO12" i="48" s="1"/>
  <c r="FQ12" i="48" s="1"/>
  <c r="J12" i="48"/>
  <c r="CA14" i="48"/>
  <c r="N14" i="48"/>
  <c r="I12" i="48"/>
  <c r="F17" i="48"/>
  <c r="I17" i="48"/>
  <c r="FA9" i="48"/>
  <c r="FO9" i="48" s="1"/>
  <c r="BZ9" i="48"/>
  <c r="FH9" i="48" s="1"/>
  <c r="L7" i="48"/>
  <c r="M7" i="48" s="1"/>
  <c r="K7" i="48"/>
  <c r="CA7" i="48"/>
  <c r="N7" i="48"/>
  <c r="G9" i="48"/>
  <c r="F7" i="48"/>
  <c r="BZ7" i="48"/>
  <c r="FH7" i="48" s="1"/>
  <c r="FA7" i="48"/>
  <c r="FO7" i="48" s="1"/>
  <c r="FG11" i="48"/>
  <c r="I11" i="48"/>
  <c r="G12" i="48"/>
  <c r="F14" i="48"/>
  <c r="FG18" i="48"/>
  <c r="BZ18" i="48"/>
  <c r="FH18" i="48" s="1"/>
  <c r="J8" i="48"/>
  <c r="F8" i="48"/>
  <c r="AV8" i="48"/>
  <c r="I8" i="48"/>
  <c r="G8" i="48"/>
  <c r="G7" i="48"/>
  <c r="I9" i="48"/>
  <c r="I15" i="48"/>
  <c r="BZ15" i="48"/>
  <c r="FH15" i="48" s="1"/>
  <c r="I13" i="48"/>
  <c r="I4" i="48"/>
  <c r="K18" i="48"/>
  <c r="CA18" i="48"/>
  <c r="F9" i="48"/>
  <c r="F16" i="48"/>
  <c r="BZ4" i="48"/>
  <c r="FH4" i="48" s="1"/>
  <c r="FA4" i="48"/>
  <c r="FO4" i="48" s="1"/>
  <c r="FQ4" i="48" s="1"/>
  <c r="ES5" i="47"/>
  <c r="ER5" i="47"/>
  <c r="FP13" i="47"/>
  <c r="FM4" i="47"/>
  <c r="FS13" i="47"/>
  <c r="FP11" i="47"/>
  <c r="FS7" i="47"/>
  <c r="EK5" i="47"/>
  <c r="ET5" i="47" s="1"/>
  <c r="FM11" i="47"/>
  <c r="FM8" i="47"/>
  <c r="DK12" i="47"/>
  <c r="FL13" i="47"/>
  <c r="EJ13" i="47"/>
  <c r="EJ5" i="47"/>
  <c r="FP8" i="47"/>
  <c r="EK13" i="47"/>
  <c r="ET13" i="47" s="1"/>
  <c r="FM7" i="47"/>
  <c r="FP6" i="47"/>
  <c r="DK11" i="47"/>
  <c r="DB6" i="47"/>
  <c r="FP4" i="47"/>
  <c r="DK13" i="47"/>
  <c r="DK5" i="47"/>
  <c r="DK9" i="47"/>
  <c r="DK14" i="47"/>
  <c r="DK10" i="47"/>
  <c r="FS5" i="47"/>
  <c r="FM14" i="47"/>
  <c r="FM10" i="47"/>
  <c r="DB7" i="47"/>
  <c r="FP12" i="47"/>
  <c r="FM12" i="47"/>
  <c r="FM13" i="47"/>
  <c r="FL11" i="47"/>
  <c r="FL6" i="47"/>
  <c r="FS14" i="47"/>
  <c r="FS11" i="47"/>
  <c r="DB4" i="47"/>
  <c r="FS8" i="47"/>
  <c r="FS12" i="47"/>
  <c r="FP14" i="47"/>
  <c r="FS6" i="47"/>
  <c r="FM5" i="47"/>
  <c r="DA8" i="47"/>
  <c r="DA6" i="47"/>
  <c r="DB8" i="47"/>
  <c r="FR9" i="47"/>
  <c r="FM9" i="47"/>
  <c r="FL9" i="47"/>
  <c r="FP9" i="47"/>
  <c r="FS4" i="47"/>
  <c r="FR4" i="47"/>
  <c r="FR6" i="47"/>
  <c r="FP10" i="47"/>
  <c r="FP5" i="47"/>
  <c r="FP7" i="47"/>
  <c r="AO7" i="47"/>
  <c r="BY10" i="47"/>
  <c r="FG10" i="47" s="1"/>
  <c r="AU4" i="47"/>
  <c r="BS13" i="47"/>
  <c r="FA13" i="47" s="1"/>
  <c r="AO14" i="47"/>
  <c r="AU8" i="47"/>
  <c r="AU9" i="47"/>
  <c r="EY13" i="47"/>
  <c r="AO12" i="47"/>
  <c r="AU5" i="47"/>
  <c r="AU11" i="47"/>
  <c r="AU7" i="47"/>
  <c r="AU13" i="47"/>
  <c r="FE10" i="47"/>
  <c r="FS10" i="47" s="1"/>
  <c r="BS11" i="47"/>
  <c r="FA11" i="47" s="1"/>
  <c r="FO11" i="47" s="1"/>
  <c r="AU12" i="47"/>
  <c r="AU6" i="47"/>
  <c r="AO6" i="47"/>
  <c r="AO9" i="47"/>
  <c r="AO10" i="47"/>
  <c r="AO11" i="47"/>
  <c r="AO8" i="47"/>
  <c r="AO4" i="47"/>
  <c r="AU14" i="47"/>
  <c r="AO13" i="47"/>
  <c r="AU10" i="47"/>
  <c r="AO5" i="47"/>
  <c r="BY12" i="47"/>
  <c r="FG12" i="47" s="1"/>
  <c r="BS14" i="47"/>
  <c r="BY6" i="47"/>
  <c r="FG6" i="47" s="1"/>
  <c r="BY9" i="47"/>
  <c r="FG9" i="47" s="1"/>
  <c r="BS10" i="47"/>
  <c r="BS4" i="47"/>
  <c r="FA4" i="47" s="1"/>
  <c r="FO4" i="47" s="1"/>
  <c r="BY14" i="47"/>
  <c r="FG14" i="47" s="1"/>
  <c r="BY5" i="47"/>
  <c r="FG5" i="47" s="1"/>
  <c r="BY11" i="47"/>
  <c r="FG11" i="47" s="1"/>
  <c r="BY7" i="47"/>
  <c r="FG7" i="47" s="1"/>
  <c r="BS9" i="47"/>
  <c r="FA9" i="47" s="1"/>
  <c r="FO9" i="47" s="1"/>
  <c r="BY13" i="47"/>
  <c r="BS12" i="47"/>
  <c r="FA12" i="47" s="1"/>
  <c r="FO12" i="47" s="1"/>
  <c r="BS5" i="47"/>
  <c r="FA5" i="47" s="1"/>
  <c r="FO5" i="47" s="1"/>
  <c r="BS7" i="47"/>
  <c r="FA7" i="47" s="1"/>
  <c r="FO7" i="47" s="1"/>
  <c r="BS8" i="47"/>
  <c r="FA8" i="47" s="1"/>
  <c r="FO8" i="47" s="1"/>
  <c r="BY8" i="47"/>
  <c r="FG8" i="47" s="1"/>
  <c r="BS6" i="47"/>
  <c r="FA6" i="47" s="1"/>
  <c r="FO6" i="47" s="1"/>
  <c r="BY4" i="47"/>
  <c r="FT17" i="49" l="1"/>
  <c r="N18" i="49"/>
  <c r="CA18" i="49"/>
  <c r="L18" i="49"/>
  <c r="M18" i="49" s="1"/>
  <c r="FQ15" i="49"/>
  <c r="FT13" i="49"/>
  <c r="FT10" i="49"/>
  <c r="FT11" i="49"/>
  <c r="FV7" i="49"/>
  <c r="H15" i="49"/>
  <c r="FQ10" i="49"/>
  <c r="FV6" i="49"/>
  <c r="K4" i="52"/>
  <c r="L4" i="52"/>
  <c r="M4" i="52" s="1"/>
  <c r="N4" i="52"/>
  <c r="CA4" i="51"/>
  <c r="N4" i="51"/>
  <c r="K4" i="51"/>
  <c r="L11" i="50"/>
  <c r="M11" i="50" s="1"/>
  <c r="CA11" i="50"/>
  <c r="FQ9" i="50"/>
  <c r="H15" i="50"/>
  <c r="CA14" i="50"/>
  <c r="CA5" i="50"/>
  <c r="FI5" i="50" s="1"/>
  <c r="H12" i="50"/>
  <c r="L14" i="50"/>
  <c r="M14" i="50" s="1"/>
  <c r="L17" i="49"/>
  <c r="M17" i="49" s="1"/>
  <c r="CA12" i="49"/>
  <c r="FI12" i="49" s="1"/>
  <c r="N17" i="49"/>
  <c r="CB17" i="49" s="1"/>
  <c r="FJ17" i="49" s="1"/>
  <c r="N12" i="49"/>
  <c r="CB12" i="49" s="1"/>
  <c r="FJ12" i="49" s="1"/>
  <c r="K17" i="49"/>
  <c r="FT6" i="49"/>
  <c r="FQ8" i="49"/>
  <c r="FQ9" i="49"/>
  <c r="FT18" i="49"/>
  <c r="FQ6" i="49"/>
  <c r="N6" i="49"/>
  <c r="O6" i="49" s="1"/>
  <c r="FQ13" i="49"/>
  <c r="CA6" i="49"/>
  <c r="FI6" i="49" s="1"/>
  <c r="L12" i="49"/>
  <c r="M12" i="49" s="1"/>
  <c r="CA15" i="48"/>
  <c r="L15" i="48"/>
  <c r="M15" i="48" s="1"/>
  <c r="K15" i="48"/>
  <c r="FQ8" i="48"/>
  <c r="N11" i="48"/>
  <c r="CB11" i="48" s="1"/>
  <c r="FJ11" i="48" s="1"/>
  <c r="FQ9" i="48"/>
  <c r="L11" i="48"/>
  <c r="M11" i="48" s="1"/>
  <c r="FQ6" i="47"/>
  <c r="H9" i="50"/>
  <c r="N14" i="50"/>
  <c r="H14" i="50"/>
  <c r="FV5" i="50"/>
  <c r="H5" i="50"/>
  <c r="H11" i="50"/>
  <c r="H10" i="50"/>
  <c r="A10" i="50" s="1" a="1"/>
  <c r="A10" i="50" s="1"/>
  <c r="K8" i="49"/>
  <c r="CA8" i="49"/>
  <c r="FI8" i="49" s="1"/>
  <c r="N4" i="49"/>
  <c r="O4" i="49" s="1"/>
  <c r="CA4" i="49"/>
  <c r="FI4" i="49" s="1"/>
  <c r="H12" i="49"/>
  <c r="FV11" i="49"/>
  <c r="FV18" i="49"/>
  <c r="K6" i="49"/>
  <c r="K5" i="49"/>
  <c r="L5" i="49"/>
  <c r="M5" i="49" s="1"/>
  <c r="CA5" i="49"/>
  <c r="FI5" i="49" s="1"/>
  <c r="H10" i="49"/>
  <c r="FQ14" i="49"/>
  <c r="FV13" i="49"/>
  <c r="FV10" i="49"/>
  <c r="H13" i="49"/>
  <c r="H11" i="49"/>
  <c r="A11" i="49" s="1" a="1"/>
  <c r="A11" i="49" s="1"/>
  <c r="H17" i="49"/>
  <c r="A17" i="49" s="1" a="1"/>
  <c r="A17" i="49" s="1"/>
  <c r="L7" i="49"/>
  <c r="M7" i="49" s="1"/>
  <c r="H14" i="49"/>
  <c r="FV17" i="49"/>
  <c r="L8" i="49"/>
  <c r="M8" i="49" s="1"/>
  <c r="K4" i="49"/>
  <c r="L5" i="48"/>
  <c r="M5" i="48" s="1"/>
  <c r="O11" i="48"/>
  <c r="FQ13" i="48"/>
  <c r="H16" i="48"/>
  <c r="A16" i="48" s="1" a="1"/>
  <c r="A16" i="48" s="1"/>
  <c r="FS9" i="47"/>
  <c r="AV7" i="47"/>
  <c r="FV4" i="50"/>
  <c r="K15" i="50"/>
  <c r="FQ13" i="50"/>
  <c r="FT4" i="50"/>
  <c r="L15" i="50"/>
  <c r="M15" i="50" s="1"/>
  <c r="CA15" i="50"/>
  <c r="FI15" i="50" s="1"/>
  <c r="L10" i="50"/>
  <c r="M10" i="50" s="1"/>
  <c r="N5" i="50"/>
  <c r="K10" i="50"/>
  <c r="FT13" i="50"/>
  <c r="CA10" i="50"/>
  <c r="K5" i="50"/>
  <c r="L11" i="49"/>
  <c r="M11" i="49" s="1"/>
  <c r="N11" i="49"/>
  <c r="CB11" i="49" s="1"/>
  <c r="FJ11" i="49" s="1"/>
  <c r="CA11" i="49"/>
  <c r="FI11" i="49" s="1"/>
  <c r="CA7" i="49"/>
  <c r="FI7" i="49" s="1"/>
  <c r="N7" i="49"/>
  <c r="CB7" i="49" s="1"/>
  <c r="FJ7" i="49" s="1"/>
  <c r="FQ16" i="49"/>
  <c r="FQ4" i="49"/>
  <c r="FT4" i="49"/>
  <c r="FT7" i="49"/>
  <c r="FQ14" i="48"/>
  <c r="CA16" i="48"/>
  <c r="FI16" i="48" s="1"/>
  <c r="K16" i="48"/>
  <c r="N16" i="48"/>
  <c r="O16" i="48" s="1"/>
  <c r="K11" i="48"/>
  <c r="N18" i="48"/>
  <c r="FQ5" i="48"/>
  <c r="FT11" i="48"/>
  <c r="FQ11" i="48"/>
  <c r="K14" i="48"/>
  <c r="K10" i="48"/>
  <c r="FT14" i="48"/>
  <c r="CA4" i="48"/>
  <c r="FI4" i="48" s="1"/>
  <c r="N10" i="48"/>
  <c r="CB10" i="48" s="1"/>
  <c r="FJ10" i="48" s="1"/>
  <c r="FQ15" i="48"/>
  <c r="FQ7" i="48"/>
  <c r="FT17" i="48"/>
  <c r="H5" i="52"/>
  <c r="H4" i="52"/>
  <c r="H5" i="51"/>
  <c r="H4" i="51"/>
  <c r="A4" i="51" s="1" a="1"/>
  <c r="A4" i="51" s="1"/>
  <c r="FT15" i="50"/>
  <c r="FV15" i="50"/>
  <c r="FT5" i="50"/>
  <c r="FT5" i="49"/>
  <c r="FV5" i="49"/>
  <c r="FT15" i="49"/>
  <c r="FV15" i="49"/>
  <c r="H6" i="48"/>
  <c r="H10" i="48"/>
  <c r="H18" i="48"/>
  <c r="A18" i="48" s="1" a="1"/>
  <c r="A18" i="48" s="1"/>
  <c r="H17" i="50" s="1"/>
  <c r="A17" i="50" s="1" a="1"/>
  <c r="A17" i="50" s="1"/>
  <c r="H15" i="48"/>
  <c r="A15" i="48" s="1" a="1"/>
  <c r="A15" i="48" s="1"/>
  <c r="K13" i="48"/>
  <c r="N13" i="48"/>
  <c r="CB13" i="48" s="1"/>
  <c r="FJ13" i="48" s="1"/>
  <c r="FV14" i="48"/>
  <c r="L13" i="48"/>
  <c r="M13" i="48" s="1"/>
  <c r="P11" i="48"/>
  <c r="Q11" i="48" s="1"/>
  <c r="H5" i="48"/>
  <c r="L10" i="48"/>
  <c r="M10" i="48" s="1"/>
  <c r="H13" i="48"/>
  <c r="H7" i="48"/>
  <c r="FT9" i="48"/>
  <c r="FV9" i="48"/>
  <c r="FV11" i="48"/>
  <c r="H11" i="48"/>
  <c r="H12" i="48"/>
  <c r="H8" i="48"/>
  <c r="H9" i="48"/>
  <c r="L5" i="52"/>
  <c r="M5" i="52" s="1"/>
  <c r="K5" i="52"/>
  <c r="N5" i="52"/>
  <c r="CA5" i="52"/>
  <c r="O4" i="52"/>
  <c r="CB4" i="52"/>
  <c r="FJ4" i="52" s="1"/>
  <c r="FI4" i="52"/>
  <c r="FT5" i="52"/>
  <c r="FV5" i="52"/>
  <c r="FT4" i="52"/>
  <c r="FV4" i="52"/>
  <c r="O4" i="51"/>
  <c r="CB4" i="51"/>
  <c r="FJ4" i="51" s="1"/>
  <c r="FT4" i="51"/>
  <c r="FV4" i="51"/>
  <c r="FT5" i="51"/>
  <c r="FV5" i="51"/>
  <c r="K5" i="51"/>
  <c r="N5" i="51"/>
  <c r="L5" i="51"/>
  <c r="M5" i="51" s="1"/>
  <c r="CA5" i="51"/>
  <c r="FI4" i="51"/>
  <c r="O11" i="50"/>
  <c r="CB11" i="50"/>
  <c r="FJ11" i="50" s="1"/>
  <c r="CB14" i="50"/>
  <c r="FJ14" i="50" s="1"/>
  <c r="O14" i="50"/>
  <c r="FT14" i="50"/>
  <c r="FV14" i="50"/>
  <c r="O15" i="50"/>
  <c r="CB15" i="50"/>
  <c r="FJ15" i="50" s="1"/>
  <c r="CA12" i="50"/>
  <c r="N12" i="50"/>
  <c r="L12" i="50"/>
  <c r="M12" i="50" s="1"/>
  <c r="K12" i="50"/>
  <c r="FT11" i="50"/>
  <c r="FV11" i="50"/>
  <c r="N9" i="50"/>
  <c r="L9" i="50"/>
  <c r="M9" i="50" s="1"/>
  <c r="CA9" i="50"/>
  <c r="K9" i="50"/>
  <c r="CA8" i="50"/>
  <c r="N8" i="50"/>
  <c r="L8" i="50"/>
  <c r="M8" i="50" s="1"/>
  <c r="K8" i="50"/>
  <c r="FI14" i="50"/>
  <c r="FT10" i="50"/>
  <c r="FV10" i="50"/>
  <c r="FT8" i="50"/>
  <c r="FV8" i="50"/>
  <c r="FI6" i="50"/>
  <c r="FT12" i="50"/>
  <c r="FV12" i="50"/>
  <c r="FI7" i="50"/>
  <c r="CB10" i="50"/>
  <c r="FJ10" i="50" s="1"/>
  <c r="O10" i="50"/>
  <c r="FT7" i="50"/>
  <c r="FV7" i="50"/>
  <c r="CB17" i="50"/>
  <c r="FJ17" i="50" s="1"/>
  <c r="O17" i="50"/>
  <c r="FI17" i="50"/>
  <c r="FT17" i="50"/>
  <c r="FV17" i="50"/>
  <c r="CB6" i="50"/>
  <c r="FJ6" i="50" s="1"/>
  <c r="O6" i="50"/>
  <c r="CB7" i="50"/>
  <c r="FJ7" i="50" s="1"/>
  <c r="O7" i="50"/>
  <c r="FI11" i="50"/>
  <c r="FT9" i="50"/>
  <c r="FV9" i="50"/>
  <c r="FT6" i="50"/>
  <c r="FV6" i="50"/>
  <c r="FI4" i="50"/>
  <c r="FI10" i="50"/>
  <c r="CB4" i="50"/>
  <c r="FJ4" i="50" s="1"/>
  <c r="O4" i="50"/>
  <c r="FT12" i="49"/>
  <c r="FV12" i="49"/>
  <c r="FT8" i="49"/>
  <c r="FV8" i="49"/>
  <c r="CB18" i="49"/>
  <c r="FJ18" i="49" s="1"/>
  <c r="O18" i="49"/>
  <c r="CB8" i="49"/>
  <c r="FJ8" i="49" s="1"/>
  <c r="O8" i="49"/>
  <c r="L13" i="49"/>
  <c r="M13" i="49" s="1"/>
  <c r="N13" i="49"/>
  <c r="K13" i="49"/>
  <c r="CA13" i="49"/>
  <c r="FT14" i="49"/>
  <c r="FV14" i="49"/>
  <c r="FI18" i="49"/>
  <c r="FT9" i="49"/>
  <c r="FV9" i="49"/>
  <c r="FI17" i="49"/>
  <c r="N15" i="49"/>
  <c r="L15" i="49"/>
  <c r="M15" i="49" s="1"/>
  <c r="K15" i="49"/>
  <c r="CA15" i="49"/>
  <c r="CA9" i="49"/>
  <c r="K9" i="49"/>
  <c r="N9" i="49"/>
  <c r="L9" i="49"/>
  <c r="M9" i="49" s="1"/>
  <c r="CB5" i="49"/>
  <c r="FJ5" i="49" s="1"/>
  <c r="O5" i="49"/>
  <c r="FT16" i="49"/>
  <c r="FV16" i="49"/>
  <c r="FI10" i="49"/>
  <c r="CB10" i="49"/>
  <c r="FJ10" i="49" s="1"/>
  <c r="O10" i="49"/>
  <c r="L14" i="49"/>
  <c r="M14" i="49" s="1"/>
  <c r="K14" i="49"/>
  <c r="N14" i="49"/>
  <c r="CA14" i="49"/>
  <c r="FT7" i="48"/>
  <c r="FV7" i="48"/>
  <c r="N8" i="48"/>
  <c r="CA8" i="48"/>
  <c r="L8" i="48"/>
  <c r="M8" i="48" s="1"/>
  <c r="K8" i="48"/>
  <c r="FV5" i="48"/>
  <c r="FT5" i="48"/>
  <c r="FI5" i="48"/>
  <c r="FT16" i="48"/>
  <c r="FV16" i="48"/>
  <c r="FT8" i="48"/>
  <c r="FV8" i="48"/>
  <c r="O4" i="48"/>
  <c r="CB4" i="48"/>
  <c r="FJ4" i="48" s="1"/>
  <c r="CB5" i="48"/>
  <c r="FJ5" i="48" s="1"/>
  <c r="O5" i="48"/>
  <c r="FI15" i="48"/>
  <c r="FI9" i="48"/>
  <c r="FI7" i="48"/>
  <c r="FT12" i="48"/>
  <c r="FV12" i="48"/>
  <c r="FI14" i="48"/>
  <c r="FI13" i="48"/>
  <c r="O18" i="48"/>
  <c r="CB18" i="48"/>
  <c r="FJ18" i="48" s="1"/>
  <c r="FV15" i="48"/>
  <c r="FT15" i="48"/>
  <c r="FI10" i="48"/>
  <c r="O14" i="48"/>
  <c r="CB14" i="48"/>
  <c r="FJ14" i="48" s="1"/>
  <c r="H4" i="48"/>
  <c r="H17" i="48"/>
  <c r="A17" i="48" s="1" a="1"/>
  <c r="A17" i="48" s="1"/>
  <c r="CA6" i="48"/>
  <c r="L6" i="48"/>
  <c r="M6" i="48" s="1"/>
  <c r="N6" i="48"/>
  <c r="K6" i="48"/>
  <c r="O7" i="48"/>
  <c r="CB7" i="48"/>
  <c r="FJ7" i="48" s="1"/>
  <c r="N12" i="48"/>
  <c r="K12" i="48"/>
  <c r="L12" i="48"/>
  <c r="M12" i="48" s="1"/>
  <c r="CA12" i="48"/>
  <c r="FV4" i="48"/>
  <c r="FT4" i="48"/>
  <c r="FT13" i="48"/>
  <c r="FV13" i="48"/>
  <c r="FT18" i="48"/>
  <c r="FV18" i="48"/>
  <c r="K17" i="48"/>
  <c r="CA17" i="48"/>
  <c r="N17" i="48"/>
  <c r="L17" i="48"/>
  <c r="M17" i="48" s="1"/>
  <c r="O13" i="48"/>
  <c r="O9" i="48"/>
  <c r="CB9" i="48"/>
  <c r="FJ9" i="48" s="1"/>
  <c r="FI18" i="48"/>
  <c r="O15" i="48"/>
  <c r="CB15" i="48"/>
  <c r="FJ15" i="48" s="1"/>
  <c r="FV6" i="48"/>
  <c r="FT6" i="48"/>
  <c r="H14" i="48"/>
  <c r="I5" i="47"/>
  <c r="F5" i="47"/>
  <c r="I9" i="47"/>
  <c r="F9" i="47"/>
  <c r="I12" i="47"/>
  <c r="F12" i="47"/>
  <c r="I10" i="47"/>
  <c r="F10" i="47"/>
  <c r="I4" i="47"/>
  <c r="F4" i="47"/>
  <c r="F14" i="47"/>
  <c r="I14" i="47"/>
  <c r="I8" i="47"/>
  <c r="F8" i="47"/>
  <c r="I13" i="47"/>
  <c r="F13" i="47"/>
  <c r="I6" i="47"/>
  <c r="F6" i="47"/>
  <c r="F11" i="47"/>
  <c r="I11" i="47"/>
  <c r="F7" i="47"/>
  <c r="I7" i="47"/>
  <c r="FQ4" i="47"/>
  <c r="FQ7" i="47"/>
  <c r="FQ5" i="47"/>
  <c r="FQ8" i="47"/>
  <c r="FQ12" i="47"/>
  <c r="G14" i="47"/>
  <c r="G7" i="47"/>
  <c r="G5" i="47"/>
  <c r="G12" i="47"/>
  <c r="G6" i="47"/>
  <c r="FO13" i="47"/>
  <c r="DK6" i="47"/>
  <c r="DK7" i="47"/>
  <c r="DK8" i="47"/>
  <c r="G8" i="47"/>
  <c r="G13" i="47"/>
  <c r="G4" i="47"/>
  <c r="DK4" i="47"/>
  <c r="G10" i="47"/>
  <c r="G9" i="47"/>
  <c r="G11" i="47"/>
  <c r="FQ11" i="47"/>
  <c r="AV10" i="47"/>
  <c r="J13" i="47"/>
  <c r="AV8" i="47"/>
  <c r="AV14" i="47"/>
  <c r="AV11" i="47"/>
  <c r="AV12" i="47"/>
  <c r="AV13" i="47"/>
  <c r="J9" i="47"/>
  <c r="AV5" i="47"/>
  <c r="AV9" i="47"/>
  <c r="BZ4" i="47"/>
  <c r="FH4" i="47" s="1"/>
  <c r="FG4" i="47"/>
  <c r="J14" i="47"/>
  <c r="FA14" i="47"/>
  <c r="FO14" i="47" s="1"/>
  <c r="BZ10" i="47"/>
  <c r="FH10" i="47" s="1"/>
  <c r="FA10" i="47"/>
  <c r="FO10" i="47" s="1"/>
  <c r="FQ10" i="47" s="1"/>
  <c r="BZ13" i="47"/>
  <c r="FH13" i="47" s="1"/>
  <c r="FG13" i="47"/>
  <c r="AV6" i="47"/>
  <c r="J6" i="47"/>
  <c r="CA6" i="47" s="1"/>
  <c r="J11" i="47"/>
  <c r="AV4" i="47"/>
  <c r="J4" i="47"/>
  <c r="CA4" i="47" s="1"/>
  <c r="BZ11" i="47"/>
  <c r="FH11" i="47" s="1"/>
  <c r="BZ14" i="47"/>
  <c r="FH14" i="47" s="1"/>
  <c r="J7" i="47"/>
  <c r="CA7" i="47" s="1"/>
  <c r="J8" i="47"/>
  <c r="BZ12" i="47"/>
  <c r="FH12" i="47" s="1"/>
  <c r="J10" i="47"/>
  <c r="BZ7" i="47"/>
  <c r="FH7" i="47" s="1"/>
  <c r="BZ9" i="47"/>
  <c r="FH9" i="47" s="1"/>
  <c r="J5" i="47"/>
  <c r="J12" i="47"/>
  <c r="BZ8" i="47"/>
  <c r="FH8" i="47" s="1"/>
  <c r="BZ5" i="47"/>
  <c r="FH5" i="47" s="1"/>
  <c r="BZ6" i="47"/>
  <c r="FH6" i="47" s="1"/>
  <c r="O17" i="49" l="1"/>
  <c r="CB4" i="49"/>
  <c r="FJ4" i="49" s="1"/>
  <c r="O12" i="49"/>
  <c r="CB6" i="49"/>
  <c r="FJ6" i="49" s="1"/>
  <c r="A15" i="50" a="1"/>
  <c r="A15" i="50" s="1"/>
  <c r="H16" i="50"/>
  <c r="A16" i="50" s="1" a="1"/>
  <c r="A16" i="50" s="1"/>
  <c r="O10" i="48"/>
  <c r="CB16" i="48"/>
  <c r="FJ16" i="48" s="1"/>
  <c r="FU16" i="48" s="1"/>
  <c r="FW16" i="48" s="1"/>
  <c r="FX16" i="48" s="1"/>
  <c r="H14" i="47"/>
  <c r="A14" i="47" s="1" a="1"/>
  <c r="A14" i="47" s="1"/>
  <c r="O11" i="49"/>
  <c r="O7" i="49"/>
  <c r="A14" i="49" a="1"/>
  <c r="A14" i="49" s="1"/>
  <c r="R11" i="48"/>
  <c r="E11" i="48"/>
  <c r="H6" i="47"/>
  <c r="FU4" i="52"/>
  <c r="FW4" i="52" s="1"/>
  <c r="FX4" i="52" s="1"/>
  <c r="O5" i="50"/>
  <c r="CB5" i="50"/>
  <c r="FU4" i="48"/>
  <c r="FW4" i="48" s="1"/>
  <c r="FX4" i="48" s="1"/>
  <c r="P14" i="48"/>
  <c r="Q14" i="48" s="1"/>
  <c r="FQ9" i="47"/>
  <c r="H12" i="47"/>
  <c r="H13" i="47"/>
  <c r="FQ13" i="47"/>
  <c r="FQ14" i="47"/>
  <c r="P4" i="51"/>
  <c r="E4" i="51" s="1"/>
  <c r="FU4" i="51"/>
  <c r="FW4" i="51" s="1"/>
  <c r="FX4" i="51" s="1"/>
  <c r="P15" i="50"/>
  <c r="R15" i="50" s="1"/>
  <c r="P4" i="50"/>
  <c r="E4" i="50" s="1"/>
  <c r="E15" i="50"/>
  <c r="P17" i="50"/>
  <c r="Q17" i="50" s="1"/>
  <c r="FU11" i="50"/>
  <c r="FW11" i="50" s="1"/>
  <c r="FX11" i="50" s="1"/>
  <c r="FU4" i="50"/>
  <c r="FW4" i="50" s="1"/>
  <c r="FX4" i="50" s="1"/>
  <c r="FU6" i="50"/>
  <c r="FW6" i="50" s="1"/>
  <c r="FX6" i="50" s="1"/>
  <c r="P11" i="50"/>
  <c r="R11" i="50" s="1"/>
  <c r="FU15" i="50"/>
  <c r="FW15" i="50" s="1"/>
  <c r="FX15" i="50" s="1"/>
  <c r="FU14" i="50"/>
  <c r="FW14" i="50" s="1"/>
  <c r="FX14" i="50" s="1"/>
  <c r="P11" i="49"/>
  <c r="FU8" i="49"/>
  <c r="FW8" i="49" s="1"/>
  <c r="FX8" i="49" s="1"/>
  <c r="FU12" i="49"/>
  <c r="FW12" i="49" s="1"/>
  <c r="FX12" i="49" s="1"/>
  <c r="FU7" i="49"/>
  <c r="FW7" i="49" s="1"/>
  <c r="FX7" i="49" s="1"/>
  <c r="P7" i="49"/>
  <c r="E7" i="49" s="1"/>
  <c r="P5" i="49"/>
  <c r="E5" i="49" s="1"/>
  <c r="P10" i="49"/>
  <c r="E10" i="49" s="1"/>
  <c r="FU5" i="48"/>
  <c r="FW5" i="48" s="1"/>
  <c r="FX5" i="48" s="1"/>
  <c r="FU9" i="48"/>
  <c r="FW9" i="48" s="1"/>
  <c r="FX9" i="48" s="1"/>
  <c r="FU7" i="48"/>
  <c r="FW7" i="48" s="1"/>
  <c r="FX7" i="48" s="1"/>
  <c r="P15" i="48"/>
  <c r="Q15" i="48" s="1"/>
  <c r="P4" i="48"/>
  <c r="R4" i="48" s="1"/>
  <c r="P7" i="48"/>
  <c r="E7" i="48" s="1"/>
  <c r="CB5" i="52"/>
  <c r="FJ5" i="52" s="1"/>
  <c r="O5" i="52"/>
  <c r="P4" i="52"/>
  <c r="FI5" i="52"/>
  <c r="O5" i="51"/>
  <c r="CB5" i="51"/>
  <c r="FJ5" i="51" s="1"/>
  <c r="FI5" i="51"/>
  <c r="P14" i="50"/>
  <c r="E14" i="50" s="1"/>
  <c r="FI9" i="50"/>
  <c r="P7" i="50"/>
  <c r="E7" i="50" s="1"/>
  <c r="O9" i="50"/>
  <c r="CB9" i="50"/>
  <c r="FJ9" i="50" s="1"/>
  <c r="FU9" i="50" s="1"/>
  <c r="FW9" i="50" s="1"/>
  <c r="FX9" i="50" s="1"/>
  <c r="CB12" i="50"/>
  <c r="FJ12" i="50" s="1"/>
  <c r="O12" i="50"/>
  <c r="FI8" i="50"/>
  <c r="P10" i="50"/>
  <c r="E10" i="50" s="1"/>
  <c r="FI12" i="50"/>
  <c r="FU16" i="50"/>
  <c r="FW16" i="50" s="1"/>
  <c r="FX16" i="50" s="1"/>
  <c r="P6" i="50"/>
  <c r="O8" i="50"/>
  <c r="CB8" i="50"/>
  <c r="FJ8" i="50" s="1"/>
  <c r="P17" i="49"/>
  <c r="FU11" i="49"/>
  <c r="FW11" i="49" s="1"/>
  <c r="FX11" i="49" s="1"/>
  <c r="P8" i="49"/>
  <c r="FI13" i="49"/>
  <c r="FI15" i="49"/>
  <c r="O15" i="49"/>
  <c r="CB15" i="49"/>
  <c r="FJ15" i="49" s="1"/>
  <c r="FU6" i="49" s="1"/>
  <c r="FW6" i="49" s="1"/>
  <c r="FX6" i="49" s="1"/>
  <c r="P18" i="49"/>
  <c r="CB14" i="49"/>
  <c r="FJ14" i="49" s="1"/>
  <c r="O14" i="49"/>
  <c r="O9" i="49"/>
  <c r="CB9" i="49"/>
  <c r="FJ9" i="49" s="1"/>
  <c r="P12" i="49"/>
  <c r="FU10" i="49"/>
  <c r="FW10" i="49" s="1"/>
  <c r="FX10" i="49" s="1"/>
  <c r="O13" i="49"/>
  <c r="CB13" i="49"/>
  <c r="FJ13" i="49" s="1"/>
  <c r="FI14" i="49"/>
  <c r="FI9" i="49"/>
  <c r="P9" i="48"/>
  <c r="E9" i="48" s="1"/>
  <c r="O6" i="48"/>
  <c r="CB6" i="48"/>
  <c r="FJ6" i="48" s="1"/>
  <c r="FI8" i="48"/>
  <c r="FU8" i="48" s="1"/>
  <c r="FW8" i="48" s="1"/>
  <c r="FX8" i="48" s="1"/>
  <c r="O8" i="48"/>
  <c r="CB8" i="48"/>
  <c r="FJ8" i="48" s="1"/>
  <c r="FI6" i="48"/>
  <c r="FI17" i="48"/>
  <c r="P5" i="48"/>
  <c r="E5" i="48" s="1"/>
  <c r="FU18" i="48"/>
  <c r="FW18" i="48" s="1"/>
  <c r="FX18" i="48" s="1"/>
  <c r="FI12" i="48"/>
  <c r="FU14" i="48" s="1"/>
  <c r="FW14" i="48" s="1"/>
  <c r="FX14" i="48" s="1"/>
  <c r="P13" i="48"/>
  <c r="E13" i="48" s="1"/>
  <c r="P10" i="48"/>
  <c r="O17" i="48"/>
  <c r="CB17" i="48"/>
  <c r="FJ17" i="48" s="1"/>
  <c r="P18" i="48"/>
  <c r="E18" i="48" s="1"/>
  <c r="O12" i="48"/>
  <c r="CB12" i="48"/>
  <c r="FJ12" i="48" s="1"/>
  <c r="A15" i="49" a="1"/>
  <c r="A15" i="49" s="1"/>
  <c r="H5" i="47"/>
  <c r="H9" i="47"/>
  <c r="H11" i="47"/>
  <c r="H8" i="47"/>
  <c r="H10" i="47"/>
  <c r="H7" i="47"/>
  <c r="H4" i="47"/>
  <c r="N10" i="47"/>
  <c r="L10" i="47"/>
  <c r="M10" i="47" s="1"/>
  <c r="CA10" i="47"/>
  <c r="FI10" i="47" s="1"/>
  <c r="N6" i="47"/>
  <c r="L6" i="47"/>
  <c r="M6" i="47" s="1"/>
  <c r="L4" i="47"/>
  <c r="M4" i="47" s="1"/>
  <c r="N4" i="47"/>
  <c r="N9" i="47"/>
  <c r="L9" i="47"/>
  <c r="M9" i="47" s="1"/>
  <c r="CA9" i="47"/>
  <c r="FI9" i="47" s="1"/>
  <c r="N14" i="47"/>
  <c r="L14" i="47"/>
  <c r="M14" i="47" s="1"/>
  <c r="CA14" i="47"/>
  <c r="FI14" i="47" s="1"/>
  <c r="N12" i="47"/>
  <c r="L12" i="47"/>
  <c r="M12" i="47" s="1"/>
  <c r="CA12" i="47"/>
  <c r="FI12" i="47" s="1"/>
  <c r="N5" i="47"/>
  <c r="L5" i="47"/>
  <c r="M5" i="47" s="1"/>
  <c r="CA5" i="47"/>
  <c r="FI5" i="47" s="1"/>
  <c r="N8" i="47"/>
  <c r="L8" i="47"/>
  <c r="M8" i="47" s="1"/>
  <c r="N7" i="47"/>
  <c r="L7" i="47"/>
  <c r="M7" i="47" s="1"/>
  <c r="CA8" i="47"/>
  <c r="FI8" i="47" s="1"/>
  <c r="N13" i="47"/>
  <c r="L13" i="47"/>
  <c r="M13" i="47" s="1"/>
  <c r="CA13" i="47"/>
  <c r="FI13" i="47" s="1"/>
  <c r="N11" i="47"/>
  <c r="L11" i="47"/>
  <c r="M11" i="47" s="1"/>
  <c r="CA11" i="47"/>
  <c r="FI11" i="47" s="1"/>
  <c r="K8" i="47"/>
  <c r="FT8" i="47"/>
  <c r="FV8" i="47"/>
  <c r="K14" i="47"/>
  <c r="FT4" i="47"/>
  <c r="FV4" i="47"/>
  <c r="FT7" i="47"/>
  <c r="FV7" i="47"/>
  <c r="FT9" i="47"/>
  <c r="FV9" i="47"/>
  <c r="K9" i="47"/>
  <c r="FT11" i="47"/>
  <c r="FV11" i="47"/>
  <c r="FT5" i="47"/>
  <c r="FV5" i="47"/>
  <c r="FT12" i="47"/>
  <c r="FV12" i="47"/>
  <c r="FT13" i="47"/>
  <c r="FV13" i="47"/>
  <c r="FT10" i="47"/>
  <c r="FV10" i="47"/>
  <c r="FT14" i="47"/>
  <c r="FV14" i="47"/>
  <c r="K6" i="47"/>
  <c r="FI6" i="47"/>
  <c r="K7" i="47"/>
  <c r="FI7" i="47"/>
  <c r="K12" i="47"/>
  <c r="K11" i="47"/>
  <c r="K4" i="47"/>
  <c r="FI4" i="47"/>
  <c r="FT6" i="47"/>
  <c r="FV6" i="47"/>
  <c r="K5" i="47"/>
  <c r="K10" i="47"/>
  <c r="K13" i="47"/>
  <c r="P6" i="49" l="1"/>
  <c r="E11" i="49"/>
  <c r="FU13" i="49"/>
  <c r="FW13" i="49" s="1"/>
  <c r="FX13" i="49" s="1"/>
  <c r="P4" i="49"/>
  <c r="E4" i="49" s="1"/>
  <c r="Q11" i="50"/>
  <c r="Q15" i="50"/>
  <c r="FU15" i="49"/>
  <c r="FW15" i="49" s="1"/>
  <c r="FX15" i="49" s="1"/>
  <c r="FU5" i="49"/>
  <c r="FW5" i="49" s="1"/>
  <c r="FX5" i="49" s="1"/>
  <c r="P16" i="48"/>
  <c r="FU17" i="48"/>
  <c r="FW17" i="48" s="1"/>
  <c r="FX17" i="48" s="1"/>
  <c r="FU13" i="50"/>
  <c r="FW13" i="50" s="1"/>
  <c r="FX13" i="50" s="1"/>
  <c r="P9" i="50"/>
  <c r="E9" i="50" s="1"/>
  <c r="FU4" i="49"/>
  <c r="FW4" i="49" s="1"/>
  <c r="FX4" i="49" s="1"/>
  <c r="E14" i="48"/>
  <c r="R14" i="48"/>
  <c r="FU13" i="48"/>
  <c r="FW13" i="48" s="1"/>
  <c r="FX13" i="48" s="1"/>
  <c r="Q4" i="51"/>
  <c r="R4" i="51"/>
  <c r="Q4" i="50"/>
  <c r="R4" i="50"/>
  <c r="FJ5" i="50"/>
  <c r="P5" i="50"/>
  <c r="E5" i="50"/>
  <c r="Q11" i="49"/>
  <c r="R11" i="49"/>
  <c r="FU18" i="49"/>
  <c r="FW18" i="49" s="1"/>
  <c r="FX18" i="49" s="1"/>
  <c r="FU10" i="48"/>
  <c r="FW10" i="48" s="1"/>
  <c r="FX10" i="48" s="1"/>
  <c r="FU11" i="48"/>
  <c r="FW11" i="48" s="1"/>
  <c r="FX11" i="48" s="1"/>
  <c r="P5" i="52"/>
  <c r="E5" i="52" s="1"/>
  <c r="FU5" i="51"/>
  <c r="FW5" i="51" s="1"/>
  <c r="FX5" i="51" s="1"/>
  <c r="E17" i="50"/>
  <c r="R17" i="50"/>
  <c r="FU12" i="50"/>
  <c r="FW12" i="50" s="1"/>
  <c r="FX12" i="50" s="1"/>
  <c r="FU17" i="50"/>
  <c r="FW17" i="50" s="1"/>
  <c r="FX17" i="50" s="1"/>
  <c r="P12" i="50"/>
  <c r="E12" i="50" s="1"/>
  <c r="FU10" i="50"/>
  <c r="FW10" i="50" s="1"/>
  <c r="FX10" i="50" s="1"/>
  <c r="E11" i="50"/>
  <c r="P8" i="50"/>
  <c r="R8" i="50" s="1"/>
  <c r="P14" i="49"/>
  <c r="E14" i="49" s="1"/>
  <c r="R5" i="49"/>
  <c r="Q5" i="49"/>
  <c r="Q10" i="49"/>
  <c r="R10" i="49"/>
  <c r="R7" i="49"/>
  <c r="P9" i="49"/>
  <c r="Q9" i="49" s="1"/>
  <c r="FU9" i="49"/>
  <c r="FW9" i="49" s="1"/>
  <c r="FX9" i="49" s="1"/>
  <c r="P13" i="49"/>
  <c r="E13" i="49" s="1"/>
  <c r="Q7" i="49"/>
  <c r="E4" i="48"/>
  <c r="E15" i="48"/>
  <c r="R15" i="48"/>
  <c r="Q4" i="48"/>
  <c r="FU6" i="48"/>
  <c r="FW6" i="48" s="1"/>
  <c r="FX6" i="48" s="1"/>
  <c r="Q7" i="48"/>
  <c r="R7" i="48"/>
  <c r="FU15" i="48"/>
  <c r="FW15" i="48" s="1"/>
  <c r="FX15" i="48" s="1"/>
  <c r="P17" i="48"/>
  <c r="E17" i="48" s="1"/>
  <c r="P8" i="48"/>
  <c r="E8" i="48" s="1"/>
  <c r="Q4" i="52"/>
  <c r="R4" i="52"/>
  <c r="E4" i="52"/>
  <c r="FU5" i="52"/>
  <c r="FW5" i="52" s="1"/>
  <c r="FX5" i="52" s="1"/>
  <c r="P5" i="51"/>
  <c r="R7" i="50"/>
  <c r="Q7" i="50"/>
  <c r="R6" i="50"/>
  <c r="Q6" i="50"/>
  <c r="R9" i="50"/>
  <c r="R10" i="50"/>
  <c r="Q10" i="50"/>
  <c r="Q14" i="50"/>
  <c r="R14" i="50"/>
  <c r="FU8" i="50"/>
  <c r="FW8" i="50" s="1"/>
  <c r="FX8" i="50" s="1"/>
  <c r="E6" i="50"/>
  <c r="FU14" i="49"/>
  <c r="FW14" i="49" s="1"/>
  <c r="FX14" i="49" s="1"/>
  <c r="FU16" i="49"/>
  <c r="FW16" i="49" s="1"/>
  <c r="FX16" i="49" s="1"/>
  <c r="P15" i="49"/>
  <c r="Q12" i="49"/>
  <c r="R12" i="49"/>
  <c r="E12" i="49"/>
  <c r="R6" i="49"/>
  <c r="Q6" i="49"/>
  <c r="R17" i="49"/>
  <c r="Q17" i="49"/>
  <c r="R8" i="49"/>
  <c r="Q8" i="49"/>
  <c r="E8" i="49"/>
  <c r="E6" i="49"/>
  <c r="E17" i="49"/>
  <c r="FU17" i="49"/>
  <c r="FW17" i="49" s="1"/>
  <c r="FX17" i="49" s="1"/>
  <c r="R18" i="49"/>
  <c r="Q18" i="49"/>
  <c r="E18" i="49"/>
  <c r="R5" i="48"/>
  <c r="Q5" i="48"/>
  <c r="R16" i="48"/>
  <c r="Q16" i="48"/>
  <c r="Q9" i="48"/>
  <c r="R9" i="48"/>
  <c r="R10" i="48"/>
  <c r="Q10" i="48"/>
  <c r="E10" i="48"/>
  <c r="R18" i="48"/>
  <c r="Q18" i="48"/>
  <c r="Q13" i="48"/>
  <c r="R13" i="48"/>
  <c r="FU12" i="48"/>
  <c r="FW12" i="48" s="1"/>
  <c r="FX12" i="48" s="1"/>
  <c r="E16" i="48"/>
  <c r="P6" i="48"/>
  <c r="P12" i="48"/>
  <c r="CB7" i="47"/>
  <c r="O7" i="47"/>
  <c r="CB8" i="47"/>
  <c r="O8" i="47"/>
  <c r="CB4" i="47"/>
  <c r="FJ4" i="47" s="1"/>
  <c r="FU4" i="47" s="1"/>
  <c r="FW4" i="47" s="1"/>
  <c r="FX4" i="47" s="1"/>
  <c r="O4" i="47"/>
  <c r="CB12" i="47"/>
  <c r="FJ12" i="47" s="1"/>
  <c r="O12" i="47"/>
  <c r="CB13" i="47"/>
  <c r="FJ13" i="47" s="1"/>
  <c r="FU13" i="47" s="1"/>
  <c r="FW13" i="47" s="1"/>
  <c r="FX13" i="47" s="1"/>
  <c r="O13" i="47"/>
  <c r="CB9" i="47"/>
  <c r="P9" i="47" s="1"/>
  <c r="R9" i="47" s="1"/>
  <c r="O9" i="47"/>
  <c r="CB10" i="47"/>
  <c r="FJ10" i="47" s="1"/>
  <c r="FU10" i="47" s="1"/>
  <c r="FW10" i="47" s="1"/>
  <c r="FX10" i="47" s="1"/>
  <c r="O10" i="47"/>
  <c r="CB14" i="47"/>
  <c r="FJ14" i="47" s="1"/>
  <c r="O14" i="47"/>
  <c r="CB6" i="47"/>
  <c r="O6" i="47"/>
  <c r="CB11" i="47"/>
  <c r="FJ11" i="47" s="1"/>
  <c r="O11" i="47"/>
  <c r="CB5" i="47"/>
  <c r="O5" i="47"/>
  <c r="Q4" i="49" l="1"/>
  <c r="R4" i="49"/>
  <c r="FU7" i="50"/>
  <c r="FW7" i="50" s="1"/>
  <c r="FX7" i="50" s="1"/>
  <c r="FU5" i="50"/>
  <c r="FW5" i="50" s="1"/>
  <c r="FX5" i="50" s="1"/>
  <c r="R17" i="48"/>
  <c r="FU12" i="47"/>
  <c r="FW12" i="47" s="1"/>
  <c r="FX12" i="47" s="1"/>
  <c r="A12" i="50" a="1"/>
  <c r="A12" i="50" s="1"/>
  <c r="Q9" i="50"/>
  <c r="Q14" i="49"/>
  <c r="R14" i="49"/>
  <c r="Q5" i="52"/>
  <c r="R5" i="52"/>
  <c r="R5" i="50"/>
  <c r="Q5" i="50"/>
  <c r="FU14" i="47"/>
  <c r="FW14" i="47" s="1"/>
  <c r="FX14" i="47" s="1"/>
  <c r="FU9" i="47"/>
  <c r="FW9" i="47" s="1"/>
  <c r="FX9" i="47" s="1"/>
  <c r="R12" i="50"/>
  <c r="Q12" i="50"/>
  <c r="Q8" i="50"/>
  <c r="E8" i="50"/>
  <c r="Q13" i="49"/>
  <c r="R13" i="49"/>
  <c r="R9" i="49"/>
  <c r="E9" i="49"/>
  <c r="A12" i="49" s="1" a="1"/>
  <c r="A12" i="49" s="1"/>
  <c r="Q17" i="48"/>
  <c r="R8" i="48"/>
  <c r="Q8" i="48"/>
  <c r="A5" i="52" a="1"/>
  <c r="A5" i="52" s="1"/>
  <c r="Q5" i="51"/>
  <c r="R5" i="51"/>
  <c r="E5" i="51"/>
  <c r="Q15" i="49"/>
  <c r="R15" i="49"/>
  <c r="E15" i="49"/>
  <c r="R6" i="48"/>
  <c r="Q6" i="48"/>
  <c r="Q12" i="48"/>
  <c r="R12" i="48"/>
  <c r="E12" i="48"/>
  <c r="A12" i="48" s="1" a="1"/>
  <c r="A12" i="48" s="1"/>
  <c r="H8" i="50" s="1"/>
  <c r="E6" i="48"/>
  <c r="FJ9" i="47"/>
  <c r="FU11" i="47" s="1"/>
  <c r="FW11" i="47" s="1"/>
  <c r="FX11" i="47" s="1"/>
  <c r="P10" i="47"/>
  <c r="R10" i="47" s="1"/>
  <c r="P12" i="47"/>
  <c r="E12" i="47" s="1"/>
  <c r="P13" i="47"/>
  <c r="R13" i="47" s="1"/>
  <c r="P11" i="47"/>
  <c r="R11" i="47" s="1"/>
  <c r="E13" i="47"/>
  <c r="FJ5" i="47"/>
  <c r="P5" i="47"/>
  <c r="FJ7" i="47"/>
  <c r="P7" i="47"/>
  <c r="E7" i="47" s="1"/>
  <c r="FJ6" i="47"/>
  <c r="FU6" i="47" s="1"/>
  <c r="FW6" i="47" s="1"/>
  <c r="FX6" i="47" s="1"/>
  <c r="P6" i="47"/>
  <c r="FJ8" i="47"/>
  <c r="P8" i="47"/>
  <c r="P4" i="47"/>
  <c r="R4" i="47" s="1"/>
  <c r="P14" i="47"/>
  <c r="R14" i="47" s="1"/>
  <c r="R12" i="47"/>
  <c r="Q12" i="47"/>
  <c r="Q9" i="47"/>
  <c r="E9" i="47"/>
  <c r="A13" i="47" a="1"/>
  <c r="A13" i="47" s="1"/>
  <c r="H18" i="49" s="1"/>
  <c r="A18" i="49" s="1" a="1"/>
  <c r="A18" i="49" s="1"/>
  <c r="A13" i="49" a="1"/>
  <c r="A13" i="49" s="1"/>
  <c r="Q13" i="47" l="1"/>
  <c r="FU5" i="47"/>
  <c r="FW5" i="47" s="1"/>
  <c r="FX5" i="47" s="1"/>
  <c r="A10" i="48" a="1"/>
  <c r="A10" i="48" s="1"/>
  <c r="H6" i="50" s="1"/>
  <c r="A7" i="48" a="1"/>
  <c r="A7" i="48" s="1"/>
  <c r="A13" i="48" a="1"/>
  <c r="A13" i="48" s="1"/>
  <c r="E10" i="47"/>
  <c r="Q10" i="47"/>
  <c r="FU8" i="47"/>
  <c r="FW8" i="47" s="1"/>
  <c r="FX8" i="47" s="1"/>
  <c r="FU7" i="47"/>
  <c r="FW7" i="47" s="1"/>
  <c r="FX7" i="47" s="1"/>
  <c r="A4" i="52" a="1"/>
  <c r="A4" i="52" s="1"/>
  <c r="A5" i="51" a="1"/>
  <c r="A5" i="51" s="1"/>
  <c r="A6" i="48" a="1"/>
  <c r="A6" i="48" s="1"/>
  <c r="A4" i="48" a="1"/>
  <c r="A4" i="48" s="1"/>
  <c r="H4" i="50" s="1"/>
  <c r="A11" i="48" a="1"/>
  <c r="A11" i="48" s="1"/>
  <c r="H7" i="50" s="1"/>
  <c r="A14" i="48" a="1"/>
  <c r="A14" i="48" s="1"/>
  <c r="A8" i="48" a="1"/>
  <c r="A8" i="48" s="1"/>
  <c r="A5" i="48" a="1"/>
  <c r="A5" i="48" s="1"/>
  <c r="A9" i="48" a="1"/>
  <c r="A9" i="48" s="1"/>
  <c r="E4" i="47"/>
  <c r="E11" i="47"/>
  <c r="Q11" i="47"/>
  <c r="R5" i="47"/>
  <c r="Q5" i="47"/>
  <c r="R8" i="47"/>
  <c r="Q8" i="47"/>
  <c r="R6" i="47"/>
  <c r="Q6" i="47"/>
  <c r="Q4" i="47"/>
  <c r="E5" i="47"/>
  <c r="E14" i="47"/>
  <c r="R7" i="47"/>
  <c r="Q7" i="47"/>
  <c r="E8" i="47"/>
  <c r="Q14" i="47"/>
  <c r="E6" i="47"/>
  <c r="A5" i="50" l="1" a="1"/>
  <c r="A5" i="50" s="1"/>
  <c r="A6" i="50" a="1"/>
  <c r="A6" i="50" s="1"/>
  <c r="A4" i="50" a="1"/>
  <c r="A4" i="50" s="1"/>
  <c r="A7" i="50" a="1"/>
  <c r="A7" i="50" s="1"/>
  <c r="A11" i="50" a="1"/>
  <c r="A11" i="50" s="1"/>
  <c r="A9" i="50" a="1"/>
  <c r="A9" i="50" s="1"/>
  <c r="A8" i="50" a="1"/>
  <c r="A8" i="50" s="1"/>
  <c r="A14" i="50" a="1"/>
  <c r="A14" i="50" s="1"/>
  <c r="A11" i="47" a="1"/>
  <c r="A11" i="47" s="1"/>
  <c r="H7" i="49" s="1"/>
  <c r="A6" i="47" a="1"/>
  <c r="A6" i="47" s="1"/>
  <c r="C35" i="11"/>
  <c r="D35" i="11"/>
  <c r="D34" i="11"/>
  <c r="C36" i="11"/>
  <c r="D36" i="11"/>
  <c r="C37" i="11"/>
  <c r="D37" i="11"/>
  <c r="C34" i="11"/>
  <c r="C31" i="11"/>
  <c r="D30" i="11"/>
  <c r="D31" i="11"/>
  <c r="C30" i="11"/>
  <c r="C32" i="11"/>
  <c r="D32" i="11"/>
  <c r="C33" i="11"/>
  <c r="D33" i="11"/>
  <c r="C15" i="11"/>
  <c r="D15" i="11"/>
  <c r="C16" i="11"/>
  <c r="D16" i="11"/>
  <c r="C17" i="11"/>
  <c r="D17" i="11"/>
  <c r="C11" i="11"/>
  <c r="D10" i="11"/>
  <c r="D11" i="11"/>
  <c r="C10" i="11"/>
  <c r="C12" i="11"/>
  <c r="D12" i="11"/>
  <c r="C13" i="11"/>
  <c r="D13" i="11"/>
  <c r="C14" i="11"/>
  <c r="D14" i="11"/>
  <c r="A10" i="47" a="1"/>
  <c r="A10" i="47" s="1"/>
  <c r="A4" i="47" a="1"/>
  <c r="A4" i="47" s="1"/>
  <c r="H4" i="49" s="1"/>
  <c r="A8" i="47" a="1"/>
  <c r="A8" i="47" s="1"/>
  <c r="H8" i="49" s="1"/>
  <c r="A5" i="47" a="1"/>
  <c r="A5" i="47" s="1"/>
  <c r="H5" i="49" s="1"/>
  <c r="A9" i="47" a="1"/>
  <c r="A9" i="47" s="1"/>
  <c r="H9" i="49" s="1"/>
  <c r="A7" i="47" a="1"/>
  <c r="A7" i="47" s="1"/>
  <c r="A12" i="47" a="1"/>
  <c r="A12" i="47" s="1"/>
  <c r="A16" i="49" l="1" a="1"/>
  <c r="A16" i="49" s="1"/>
  <c r="H6" i="49"/>
  <c r="A7" i="49" s="1" a="1"/>
  <c r="A7" i="49" s="1"/>
  <c r="A10" i="49" a="1"/>
  <c r="A10" i="49" s="1"/>
  <c r="D29" i="11"/>
  <c r="C27" i="11"/>
  <c r="D25" i="11"/>
  <c r="C26" i="11"/>
  <c r="C25" i="11"/>
  <c r="C24" i="11"/>
  <c r="D26" i="11"/>
  <c r="D24" i="11"/>
  <c r="C29" i="11"/>
  <c r="D28" i="11"/>
  <c r="C28" i="11"/>
  <c r="D27" i="11"/>
  <c r="C3" i="11"/>
  <c r="D2" i="11"/>
  <c r="D3" i="11"/>
  <c r="C2" i="11"/>
  <c r="C4" i="11"/>
  <c r="D4" i="11"/>
  <c r="C5" i="11"/>
  <c r="D5" i="11"/>
  <c r="C6" i="11"/>
  <c r="D6" i="11"/>
  <c r="C7" i="11"/>
  <c r="D7" i="11"/>
  <c r="C8" i="11"/>
  <c r="D8" i="11"/>
  <c r="C9" i="11"/>
  <c r="D9" i="11"/>
  <c r="A9" i="49" l="1" a="1"/>
  <c r="A9" i="49" s="1"/>
  <c r="A8" i="49" a="1"/>
  <c r="A8" i="49" s="1"/>
  <c r="A4" i="49" a="1"/>
  <c r="A4" i="49" s="1"/>
  <c r="A6" i="49" a="1"/>
  <c r="A6" i="49" s="1"/>
  <c r="A5" i="49" a="1"/>
  <c r="A5" i="49" s="1"/>
  <c r="C18" i="11" l="1"/>
  <c r="C19" i="11"/>
  <c r="C22" i="11"/>
  <c r="D19" i="11"/>
  <c r="D21" i="11"/>
  <c r="C23" i="11"/>
  <c r="D20" i="11"/>
  <c r="D18" i="11"/>
  <c r="D22" i="11"/>
  <c r="C21" i="11"/>
  <c r="C20" i="11"/>
  <c r="D2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<sst xmlns="http://schemas.openxmlformats.org/spreadsheetml/2006/main" count="1495" uniqueCount="128">
  <si>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</si>
  <si>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</si>
  <si>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</si>
  <si>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</si>
  <si>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</si>
  <si>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</si>
  <si>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</si>
  <si>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</si>
  <si>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</si>
  <si>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</si>
  <si>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International Difference</t>
  </si>
  <si>
    <t>EX</t>
  </si>
  <si>
    <t>Total</t>
  </si>
  <si>
    <t>Prelim</t>
  </si>
  <si>
    <t>Athlete</t>
  </si>
  <si>
    <t>Penalty</t>
  </si>
  <si>
    <t>Location</t>
  </si>
  <si>
    <t>Routine</t>
  </si>
  <si>
    <t>Show data entry cells</t>
  </si>
  <si>
    <t>Hide data entry cells</t>
  </si>
  <si>
    <t>Sort names into correct order</t>
  </si>
  <si>
    <t>Team Members:</t>
  </si>
  <si>
    <t>Member</t>
  </si>
  <si>
    <t>Last Updated: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</si>
  <si>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</si>
  <si>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</si>
  <si>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</si>
  <si>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</si>
  <si>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</si>
  <si>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</si>
  <si>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</si>
  <si>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</si>
  <si>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</si>
  <si>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</si>
  <si>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</si>
  <si>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Remove athlete:</t>
  </si>
  <si>
    <t>Delete oldest international competitions</t>
  </si>
  <si>
    <t>ZUREK, Nolan</t>
  </si>
  <si>
    <t>Worlds Eligible</t>
  </si>
  <si>
    <t>VIAU, Nathan</t>
  </si>
  <si>
    <t>MALLAIS, Rylan</t>
  </si>
  <si>
    <t>2025 Nationals</t>
  </si>
  <si>
    <t>2025 3rd Domestic Trial</t>
  </si>
  <si>
    <t>2025 Worlds (Nov 9)</t>
  </si>
  <si>
    <t>2025 WAGC (Nov 16)</t>
  </si>
  <si>
    <t>Elite Canada Preparation</t>
  </si>
  <si>
    <t>Senior-M</t>
  </si>
  <si>
    <t>Senior-W</t>
  </si>
  <si>
    <t>BLOOM, Tristan</t>
  </si>
  <si>
    <t>COUTURE, Joey</t>
  </si>
  <si>
    <t>On Senior Team</t>
  </si>
  <si>
    <t>Development-M</t>
  </si>
  <si>
    <t>Development-W</t>
  </si>
  <si>
    <t>Junior-M</t>
  </si>
  <si>
    <t>Junior-W</t>
  </si>
  <si>
    <t>RENOU, Brayden</t>
  </si>
  <si>
    <t>ROBERTSON, Griffyn</t>
  </si>
  <si>
    <t>GIBBS, Gavin</t>
  </si>
  <si>
    <t>HARBO, Owen</t>
  </si>
  <si>
    <t>NEUFELD, Simon</t>
  </si>
  <si>
    <t>CANN, Jackson</t>
  </si>
  <si>
    <t>PEDERSEN, Mitchel</t>
  </si>
  <si>
    <t>PINSK, Benjamin</t>
  </si>
  <si>
    <t>MB</t>
  </si>
  <si>
    <t>National Team DD and Score</t>
  </si>
  <si>
    <t>Best Prelim</t>
  </si>
  <si>
    <t>Best International Diff</t>
  </si>
  <si>
    <t>Potential Injury Score</t>
  </si>
  <si>
    <t>Q1 Pass 1</t>
  </si>
  <si>
    <t>Q1 Pass 2</t>
  </si>
  <si>
    <t>F1</t>
  </si>
  <si>
    <t>F2</t>
  </si>
  <si>
    <t>Prelim DD</t>
  </si>
  <si>
    <t>Finals DD</t>
  </si>
  <si>
    <t>Finals</t>
  </si>
  <si>
    <t>Q1</t>
  </si>
  <si>
    <t>Q2</t>
  </si>
  <si>
    <t>Q1 DD</t>
  </si>
  <si>
    <t>Bonus</t>
  </si>
  <si>
    <t>Best Pass</t>
  </si>
  <si>
    <t>2nd Best
Pass</t>
  </si>
  <si>
    <t>Pass 1</t>
  </si>
  <si>
    <t>Pass 2</t>
  </si>
  <si>
    <t>Pass 3</t>
  </si>
  <si>
    <t>Pass 4</t>
  </si>
  <si>
    <t>Pass 1 DD</t>
  </si>
  <si>
    <t>Pass 2 DD</t>
  </si>
  <si>
    <t>Pass 3 DD</t>
  </si>
  <si>
    <t>Pass 4 DD</t>
  </si>
  <si>
    <t>Pass</t>
  </si>
  <si>
    <t>Q2 DD</t>
  </si>
  <si>
    <t>F1 DD</t>
  </si>
  <si>
    <t>F2 DD</t>
  </si>
  <si>
    <t>Performance Score</t>
  </si>
  <si>
    <t>Performance DD</t>
  </si>
  <si>
    <t>HOWELL, Kayla</t>
  </si>
  <si>
    <t>OLSEN, Brooklyn</t>
  </si>
  <si>
    <t>DODD, Kristina</t>
  </si>
  <si>
    <t>DALGETTY, McKayla</t>
  </si>
  <si>
    <t>BERG, Katie</t>
  </si>
  <si>
    <t>JEAN-LOUIS, Jayda</t>
  </si>
  <si>
    <t>MATTHEWS, Jared</t>
  </si>
  <si>
    <t>CANUEL, Victor</t>
  </si>
  <si>
    <t>STANNARD, Adam</t>
  </si>
  <si>
    <t>LOISELLE, Hector</t>
  </si>
  <si>
    <t>JACKSON, Claire</t>
  </si>
  <si>
    <t>BERGER, Ophélie</t>
  </si>
  <si>
    <t>PILLINGER, Taylor</t>
  </si>
  <si>
    <t>IBACH, Sam</t>
  </si>
  <si>
    <t>BOWDITCH, Courtney</t>
  </si>
  <si>
    <t>MOORE, Sara</t>
  </si>
  <si>
    <t>NEWMAN, Olivia</t>
  </si>
  <si>
    <t>SARTISON, Torrance</t>
  </si>
  <si>
    <t>BASTIEN, Rose</t>
  </si>
  <si>
    <t>PECK, Rachel</t>
  </si>
  <si>
    <t>STIMERS, Natalie</t>
  </si>
  <si>
    <t>NATH, Zander</t>
  </si>
  <si>
    <t>BISSONNETTE, Emeric</t>
  </si>
  <si>
    <t>LADEROUTE, Sam</t>
  </si>
  <si>
    <t>BERGERON, Ella</t>
  </si>
  <si>
    <t>DUNKLEY, Olivia</t>
  </si>
  <si>
    <t>BEIRAM, Évita</t>
  </si>
  <si>
    <t>KAUFMANN, Vivian</t>
  </si>
  <si>
    <t>BURKHART, Sofia</t>
  </si>
  <si>
    <t>LEWIS, Jordyn</t>
  </si>
  <si>
    <t>MCFARLANE, Michael</t>
  </si>
  <si>
    <t>HUGHES, Arya</t>
  </si>
  <si>
    <t>MOSIER, Bella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</si>
</sst>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1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60">
    <xf numFmtId="0" fontId="0" fillId="0" borderId="0" xfId="0"/>
    <xf numFmtId="16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8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4" fillId="0" borderId="0" xfId="0" applyNumberFormat="1" applyFont="1"/>
    <xf numFmtId="0" fontId="12" fillId="5" borderId="0" xfId="0" applyFont="1" applyFill="1"/>
    <xf numFmtId="0" fontId="7" fillId="6" borderId="0" xfId="0" applyFont="1" applyFill="1"/>
    <xf numFmtId="164" fontId="13" fillId="2" borderId="1" xfId="0" applyNumberFormat="1" applyFont="1" applyFill="1" applyBorder="1" applyAlignment="1" applyProtection="1">
      <alignment horizontal="center"/>
      <protection locked="0"/>
    </xf>
    <xf numFmtId="164" fontId="13" fillId="3" borderId="1" xfId="0" applyNumberFormat="1" applyFont="1" applyFill="1" applyBorder="1" applyAlignment="1" applyProtection="1">
      <alignment horizontal="center"/>
      <protection locked="0"/>
    </xf>
    <xf numFmtId="0" fontId="11" fillId="0" borderId="0" xfId="0" applyFont="1"/>
    <xf numFmtId="0" fontId="14" fillId="8" borderId="0" xfId="0" applyFont="1" applyFill="1"/>
    <xf numFmtId="0" fontId="1" fillId="9" borderId="0" xfId="0" applyFont="1" applyFill="1"/>
    <xf numFmtId="0" fontId="15" fillId="10" borderId="0" xfId="0" applyFont="1" applyFill="1"/>
    <xf numFmtId="0" fontId="16" fillId="4" borderId="0" xfId="0" applyFont="1" applyFill="1"/>
    <xf numFmtId="0" fontId="0" fillId="0" borderId="0" xfId="0" applyAlignment="1">
      <alignment horizontal="center"/>
    </xf>
    <xf numFmtId="164" fontId="0" fillId="2" borderId="0" xfId="0" applyNumberFormat="1" applyFill="1" applyAlignment="1">
      <alignment horizontal="center"/>
    </xf>
    <xf numFmtId="164" fontId="12" fillId="5" borderId="0" xfId="0" applyNumberFormat="1" applyFont="1" applyFill="1" applyAlignment="1" applyProtection="1">
      <alignment horizontal="center"/>
      <protection locked="0"/>
    </xf>
    <xf numFmtId="164" fontId="1" fillId="9" borderId="0" xfId="0" applyNumberFormat="1" applyFont="1" applyFill="1" applyAlignment="1" applyProtection="1">
      <alignment horizontal="center"/>
      <protection locked="0"/>
    </xf>
    <xf numFmtId="164" fontId="16" fillId="4" borderId="0" xfId="0" applyNumberFormat="1" applyFont="1" applyFill="1" applyAlignment="1" applyProtection="1">
      <alignment horizontal="center"/>
      <protection locked="0"/>
    </xf>
    <xf numFmtId="164" fontId="7" fillId="6" borderId="0" xfId="0" applyNumberFormat="1" applyFont="1" applyFill="1" applyAlignment="1" applyProtection="1">
      <alignment horizontal="center"/>
      <protection locked="0"/>
    </xf>
    <xf numFmtId="164" fontId="15" fillId="10" borderId="0" xfId="0" applyNumberFormat="1" applyFont="1" applyFill="1" applyAlignment="1" applyProtection="1">
      <alignment horizontal="center"/>
      <protection locked="0"/>
    </xf>
    <xf numFmtId="0" fontId="0" fillId="7" borderId="0" xfId="0" applyFill="1" applyAlignment="1">
      <alignment horizontal="center"/>
    </xf>
    <xf numFmtId="164" fontId="0" fillId="7" borderId="0" xfId="0" applyNumberFormat="1" applyFill="1" applyAlignment="1">
      <alignment horizontal="center"/>
    </xf>
    <xf numFmtId="0" fontId="17" fillId="11" borderId="0" xfId="0" applyFont="1" applyFill="1" applyAlignment="1">
      <alignment horizontal="center"/>
    </xf>
    <xf numFmtId="0" fontId="17" fillId="3" borderId="0" xfId="0" applyFont="1" applyFill="1" applyAlignment="1">
      <alignment horizontal="center"/>
    </xf>
    <xf numFmtId="0" fontId="17" fillId="2" borderId="0" xfId="0" applyFont="1" applyFill="1" applyAlignment="1">
      <alignment horizontal="center"/>
    </xf>
    <xf numFmtId="0" fontId="17" fillId="12" borderId="0" xfId="0" applyFont="1" applyFill="1" applyAlignment="1">
      <alignment horizontal="center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14" fillId="8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4" fillId="2" borderId="0" xfId="0" applyNumberFormat="1" applyFont="1" applyFill="1" applyAlignment="1">
      <alignment horizontal="center"/>
    </xf>
    <xf numFmtId="164" fontId="4" fillId="3" borderId="0" xfId="0" applyNumberFormat="1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/>
    </xf>
    <xf numFmtId="165" fontId="0" fillId="0" borderId="0" xfId="0" applyNumberFormat="1" applyAlignment="1">
      <alignment horizontal="left"/>
    </xf>
    <xf numFmtId="0" fontId="2" fillId="3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>
      <alignment vertic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7" fillId="11" borderId="0" xfId="0" applyFont="1" applyFill="1" applyAlignment="1">
      <alignment horizontal="center"/>
    </xf>
    <xf numFmtId="0" fontId="17" fillId="3" borderId="0" xfId="0" applyFont="1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7" borderId="0" xfId="0" applyFont="1" applyFill="1" applyAlignment="1" applyProtection="1">
      <alignment horizontal="center"/>
      <protection locked="0"/>
    </xf>
    <xf numFmtId="0" fontId="17" fillId="2" borderId="0" xfId="0" applyFont="1" applyFill="1" applyAlignment="1">
      <alignment horizontal="center"/>
    </xf>
    <xf numFmtId="0" fontId="17" fillId="1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262"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E6C6FB"/>
      <color rgb="FFB4C6E7"/>
      <color rgb="FFFFF3CC"/>
      <color rgb="FFFFD1AD"/>
      <color rgb="FFFF03FD"/>
      <color rgb="FFFFBFFE"/>
      <color rgb="FFFFB5B7"/>
      <color rgb="FFFF7000"/>
      <color rgb="FF9C0006"/>
      <color rgb="FFFFA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38</xdr:row>
          <xdr:rowOff>25400</xdr:rowOff>
        </xdr:from>
        <xdr:to>
          <xdr:col>0</xdr:col>
          <xdr:colOff>965200</xdr:colOff>
          <xdr:row>38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39</xdr:row>
          <xdr:rowOff>25400</xdr:rowOff>
        </xdr:from>
        <xdr:to>
          <xdr:col>0</xdr:col>
          <xdr:colOff>965200</xdr:colOff>
          <xdr:row>39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40</xdr:row>
          <xdr:rowOff>38100</xdr:rowOff>
        </xdr:from>
        <xdr:to>
          <xdr:col>0</xdr:col>
          <xdr:colOff>965200</xdr:colOff>
          <xdr:row>40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41</xdr:row>
          <xdr:rowOff>25400</xdr:rowOff>
        </xdr:from>
        <xdr:to>
          <xdr:col>0</xdr:col>
          <xdr:colOff>977900</xdr:colOff>
          <xdr:row>41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43</xdr:row>
          <xdr:rowOff>25400</xdr:rowOff>
        </xdr:from>
        <xdr:to>
          <xdr:col>0</xdr:col>
          <xdr:colOff>977900</xdr:colOff>
          <xdr:row>43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44</xdr:row>
          <xdr:rowOff>25400</xdr:rowOff>
        </xdr:from>
        <xdr:to>
          <xdr:col>0</xdr:col>
          <xdr:colOff>965200</xdr:colOff>
          <xdr:row>44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42</xdr:row>
          <xdr:rowOff>25400</xdr:rowOff>
        </xdr:from>
        <xdr:to>
          <xdr:col>0</xdr:col>
          <xdr:colOff>977900</xdr:colOff>
          <xdr:row>42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43</xdr:row>
          <xdr:rowOff>12700</xdr:rowOff>
        </xdr:from>
        <xdr:to>
          <xdr:col>4</xdr:col>
          <xdr:colOff>495300</xdr:colOff>
          <xdr:row>43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4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21</v>
      </c>
      <c r="B1" t="s">
        <v>1</v>
      </c>
      <c r="C1" t="s">
        <v>22</v>
      </c>
      <c r="D1" s="26" t="s">
        <v>9</v>
      </c>
    </row>
    <row r="2" spans="1:6" x14ac:dyDescent="0.2">
      <c r="A2" s="5" t="s">
        <v>46</v>
      </c>
      <c r="B2" s="5">
        <v>1</v>
      </c>
      <c r="C2" s="5" t="str">
        <f>IF(B2&gt;MAX('Senior-M'!A:A),"",INDEX('Senior-M'!B:B,MATCH(B2,'Senior-M'!A:A,0)))</f>
        <v>MATTHEWS, Jared</v>
      </c>
      <c r="D2" s="13" t="str">
        <f>IF(B2&gt;MAX('Senior-M'!A:A),"",INDEX('Senior-M'!H:H,MATCH(B2,'Senior-M'!A:A,0)))</f>
        <v>Worlds Team</v>
      </c>
      <c r="E2" s="11"/>
      <c r="F2" s="11"/>
    </row>
    <row r="3" spans="1:6" x14ac:dyDescent="0.2">
      <c r="A3" s="5"/>
      <c r="B3" s="5">
        <v>2</v>
      </c>
      <c r="C3" s="5" t="str">
        <f>IF(B3&gt;MAX('Senior-M'!A:A),"",INDEX('Senior-M'!B:B,MATCH(B3,'Senior-M'!A:A,0)))</f>
        <v>CANUEL, Victor</v>
      </c>
      <c r="D3" s="13" t="str">
        <f>IF(B3&gt;MAX('Senior-M'!A:A),"",INDEX('Senior-M'!H:H,MATCH(B3,'Senior-M'!A:A,0)))</f>
        <v>Worlds Team</v>
      </c>
      <c r="E3" s="11"/>
      <c r="F3" s="11"/>
    </row>
    <row r="4" spans="1:6" x14ac:dyDescent="0.2">
      <c r="A4" s="5"/>
      <c r="B4" s="5">
        <v>3</v>
      </c>
      <c r="C4" s="5" t="str">
        <f>IF(B4&gt;MAX('Senior-M'!A:A),"",INDEX('Senior-M'!B:B,MATCH(B4,'Senior-M'!A:A,0)))</f>
        <v>PEDERSEN, Mitchel</v>
      </c>
      <c r="D4" s="13" t="str">
        <f>IF(B4&gt;MAX('Senior-M'!A:A),"",INDEX('Senior-M'!H:H,MATCH(B4,'Senior-M'!A:A,0)))</f>
        <v>Worlds Team</v>
      </c>
      <c r="E4" s="11"/>
      <c r="F4" s="11"/>
    </row>
    <row r="5" spans="1:6" x14ac:dyDescent="0.2">
      <c r="A5" s="5"/>
      <c r="B5" s="5">
        <v>4</v>
      </c>
      <c r="C5" s="5" t="str">
        <f>IF(B5&gt;MAX('Senior-M'!A:A),"",INDEX('Senior-M'!B:B,MATCH(B5,'Senior-M'!A:A,0)))</f>
        <v>PINSK, Benjamin</v>
      </c>
      <c r="D5" s="13" t="str">
        <f>IF(B5&gt;MAX('Senior-M'!A:A),"",INDEX('Senior-M'!H:H,MATCH(B5,'Senior-M'!A:A,0)))</f>
        <v>National Team</v>
      </c>
    </row>
    <row r="6" spans="1:6" hidden="1" x14ac:dyDescent="0.2">
      <c r="A6" s="5"/>
      <c r="B6" s="5">
        <v>5</v>
      </c>
      <c r="C6" s="5" t="str">
        <f>IF(B6&gt;MAX('Senior-M'!A:A),"",INDEX('Senior-M'!B:B,MATCH(B6,'Senior-M'!A:A,0)))</f>
        <v/>
      </c>
      <c r="D6" s="13" t="str">
        <f>IF(B6&gt;MAX('Senior-M'!A:A),"",INDEX('Senior-M'!H:H,MATCH(B6,'Senior-M'!A:A,0)))</f>
        <v/>
      </c>
    </row>
    <row r="7" spans="1:6" hidden="1" x14ac:dyDescent="0.2">
      <c r="A7" s="5"/>
      <c r="B7" s="5">
        <v>6</v>
      </c>
      <c r="C7" s="5" t="str">
        <f>IF(B7&gt;MAX('Senior-M'!A:A),"",INDEX('Senior-M'!B:B,MATCH(B7,'Senior-M'!A:A,0)))</f>
        <v/>
      </c>
      <c r="D7" s="13" t="str">
        <f>IF(B7&gt;MAX('Senior-M'!A:A),"",INDEX('Senior-M'!H:H,MATCH(B7,'Senior-M'!A:A,0)))</f>
        <v/>
      </c>
    </row>
    <row r="8" spans="1:6" hidden="1" x14ac:dyDescent="0.2">
      <c r="A8" s="5"/>
      <c r="B8" s="5">
        <v>7</v>
      </c>
      <c r="C8" s="5" t="str">
        <f>IF(B8&gt;MAX('Senior-M'!A:A),"",INDEX('Senior-M'!B:B,MATCH(B8,'Senior-M'!A:A,0)))</f>
        <v/>
      </c>
      <c r="D8" s="13" t="str">
        <f>IF(B8&gt;MAX('Senior-M'!A:A),"",INDEX('Senior-M'!H:H,MATCH(B8,'Senior-M'!A:A,0)))</f>
        <v/>
      </c>
    </row>
    <row r="9" spans="1:6" hidden="1" x14ac:dyDescent="0.2">
      <c r="A9" s="5"/>
      <c r="B9" s="5">
        <v>8</v>
      </c>
      <c r="C9" s="5" t="str">
        <f>IF(B9&gt;MAX('Senior-M'!A:A),"",INDEX('Senior-M'!B:B,MATCH(B9,'Senior-M'!A:A,0)))</f>
        <v/>
      </c>
      <c r="D9" s="13" t="str">
        <f>IF(B9&gt;MAX('Senior-M'!A:A),"",INDEX('Senior-M'!H:H,MATCH(B9,'Senior-M'!A:A,0)))</f>
        <v/>
      </c>
    </row>
    <row r="10" spans="1:6" x14ac:dyDescent="0.2">
      <c r="A10" s="6" t="s">
        <v>47</v>
      </c>
      <c r="B10" s="6">
        <v>1</v>
      </c>
      <c r="C10" s="6" t="str">
        <f>IF(B2&gt;MAX('Senior-W'!A:A),"",INDEX('Senior-W'!B:B,MATCH(B2,'Senior-W'!A:A,0)))</f>
        <v>JACKSON, Claire</v>
      </c>
      <c r="D10" s="12" t="str">
        <f>IF(B2&gt;MAX('Senior-W'!A:A),"",INDEX('Senior-W'!H:H,MATCH(B2,'Senior-W'!A:A,0)))</f>
        <v>Worlds Team</v>
      </c>
    </row>
    <row r="11" spans="1:6" x14ac:dyDescent="0.2">
      <c r="A11" s="6"/>
      <c r="B11" s="6">
        <v>2</v>
      </c>
      <c r="C11" s="6" t="str">
        <f>IF(B3&gt;MAX('Senior-W'!A:A),"",INDEX('Senior-W'!B:B,MATCH(B3,'Senior-W'!A:A,0)))</f>
        <v>BERGER, Ophélie</v>
      </c>
      <c r="D11" s="12" t="str">
        <f>IF(B3&gt;MAX('Senior-W'!A:A),"",INDEX('Senior-W'!H:H,MATCH(B3,'Senior-W'!A:A,0)))</f>
        <v>Worlds Team</v>
      </c>
    </row>
    <row r="12" spans="1:6" x14ac:dyDescent="0.2">
      <c r="A12" s="6"/>
      <c r="B12" s="6">
        <v>3</v>
      </c>
      <c r="C12" s="6" t="str">
        <f>IF(B4&gt;MAX('Senior-W'!A:A),"",INDEX('Senior-W'!B:B,MATCH(B4,'Senior-W'!A:A,0)))</f>
        <v>PILLINGER, Taylor</v>
      </c>
      <c r="D12" s="12" t="str">
        <f>IF(B4&gt;MAX('Senior-W'!A:A),"",INDEX('Senior-W'!H:H,MATCH(B4,'Senior-W'!A:A,0)))</f>
        <v>Worlds Team</v>
      </c>
    </row>
    <row r="13" spans="1:6" x14ac:dyDescent="0.2">
      <c r="A13" s="6"/>
      <c r="B13" s="6">
        <v>4</v>
      </c>
      <c r="C13" s="6" t="str">
        <f>IF(B5&gt;MAX('Senior-W'!A:A),"",INDEX('Senior-W'!B:B,MATCH(B5,'Senior-W'!A:A,0)))</f>
        <v>IBACH, Sam</v>
      </c>
      <c r="D13" s="12" t="str">
        <f>IF(B5&gt;MAX('Senior-W'!A:A),"",INDEX('Senior-W'!H:H,MATCH(B5,'Senior-W'!A:A,0)))</f>
        <v>Worlds Team</v>
      </c>
    </row>
    <row r="14" spans="1:6" x14ac:dyDescent="0.2">
      <c r="A14" s="6"/>
      <c r="B14" s="6">
        <v>5</v>
      </c>
      <c r="C14" s="6" t="str">
        <f>IF(B6&gt;MAX('Senior-W'!A:A),"",INDEX('Senior-W'!B:B,MATCH(B6,'Senior-W'!A:A,0)))</f>
        <v>SARTISON, Torrance</v>
      </c>
      <c r="D14" s="12" t="str">
        <f>IF(B6&gt;MAX('Senior-W'!A:A),"",INDEX('Senior-W'!H:H,MATCH(B6,'Senior-W'!A:A,0)))</f>
        <v>National Team</v>
      </c>
    </row>
    <row r="15" spans="1:6" hidden="1" x14ac:dyDescent="0.2">
      <c r="A15" s="6"/>
      <c r="B15" s="6">
        <v>6</v>
      </c>
      <c r="C15" s="6" t="str">
        <f>IF(B7&gt;MAX('Senior-W'!A:A),"",INDEX('Senior-W'!B:B,MATCH(B7,'Senior-W'!A:A,0)))</f>
        <v/>
      </c>
      <c r="D15" s="12" t="str">
        <f>IF(B7&gt;MAX('Senior-W'!A:A),"",INDEX('Senior-W'!H:H,MATCH(B7,'Senior-W'!A:A,0)))</f>
        <v/>
      </c>
    </row>
    <row r="16" spans="1:6" hidden="1" x14ac:dyDescent="0.2">
      <c r="A16" s="6"/>
      <c r="B16" s="6">
        <v>7</v>
      </c>
      <c r="C16" s="6" t="str">
        <f>IF(B8&gt;MAX('Senior-W'!A:A),"",INDEX('Senior-W'!B:B,MATCH(B8,'Senior-W'!A:A,0)))</f>
        <v/>
      </c>
      <c r="D16" s="12" t="str">
        <f>IF(B8&gt;MAX('Senior-W'!A:A),"",INDEX('Senior-W'!H:H,MATCH(B8,'Senior-W'!A:A,0)))</f>
        <v/>
      </c>
    </row>
    <row r="17" spans="1:4" hidden="1" x14ac:dyDescent="0.2">
      <c r="A17" s="6"/>
      <c r="B17" s="6">
        <v>8</v>
      </c>
      <c r="C17" s="6" t="str">
        <f>IF(B9&gt;MAX('Senior-W'!A:A),"",INDEX('Senior-W'!B:B,MATCH(B9,'Senior-W'!A:A,0)))</f>
        <v/>
      </c>
      <c r="D17" s="12" t="str">
        <f>IF(B9&gt;MAX('Senior-W'!A:A),"",INDEX('Senior-W'!H:H,MATCH(B9,'Senior-W'!A:A,0)))</f>
        <v/>
      </c>
    </row>
    <row r="18" spans="1:4" x14ac:dyDescent="0.2">
      <c r="A18" s="5" t="s">
        <v>51</v>
      </c>
      <c r="B18" s="5">
        <v>1</v>
      </c>
      <c r="C18" s="5" t="str">
        <f>IF(B2&gt;MAX('Development-M'!A:A),"",INDEX('Development-M'!B:B,MATCH(B2,'Development-M'!A:A,0)))</f>
        <v>COUTURE, Joey</v>
      </c>
      <c r="D18" s="13" t="str">
        <f>IF(B2&gt;MAX('Development-M'!A:A),"",INDEX('Development-M'!H:H,MATCH(B2,'Development-M'!A:A,0)))</f>
        <v>National Team</v>
      </c>
    </row>
    <row r="19" spans="1:4" x14ac:dyDescent="0.2">
      <c r="A19" s="5"/>
      <c r="B19" s="5">
        <v>2</v>
      </c>
      <c r="C19" s="5" t="str">
        <f>IF(B3&gt;MAX('Development-M'!A:A),"",INDEX('Development-M'!B:B,MATCH(B3,'Development-M'!A:A,0)))</f>
        <v>VIAU, Nathan</v>
      </c>
      <c r="D19" s="13" t="str">
        <f>IF(B3&gt;MAX('Development-M'!A:A),"",INDEX('Development-M'!H:H,MATCH(B3,'Development-M'!A:A,0)))</f>
        <v>National Team</v>
      </c>
    </row>
    <row r="20" spans="1:4" x14ac:dyDescent="0.2">
      <c r="A20" s="5"/>
      <c r="B20" s="5">
        <v>3</v>
      </c>
      <c r="C20" s="5" t="str">
        <f>IF(B4&gt;MAX('Development-M'!A:A),"",INDEX('Development-M'!B:B,MATCH(B4,'Development-M'!A:A,0)))</f>
        <v>GIBBS, Gavin</v>
      </c>
      <c r="D20" s="13" t="str">
        <f>IF(B4&gt;MAX('Development-M'!A:A),"",INDEX('Development-M'!H:H,MATCH(B4,'Development-M'!A:A,0)))</f>
        <v>National Team</v>
      </c>
    </row>
    <row r="21" spans="1:4" hidden="1" x14ac:dyDescent="0.2">
      <c r="A21" s="5"/>
      <c r="B21" s="5">
        <v>4</v>
      </c>
      <c r="C21" s="5" t="str">
        <f>IF(B5&gt;MAX('Development-M'!A:A),"",INDEX('Development-M'!B:B,MATCH(B5,'Development-M'!A:A,0)))</f>
        <v/>
      </c>
      <c r="D21" s="13" t="str">
        <f>IF(B5&gt;MAX('Development-M'!A:A),"",INDEX('Development-M'!H:H,MATCH(B5,'Development-M'!A:A,0)))</f>
        <v/>
      </c>
    </row>
    <row r="22" spans="1:4" hidden="1" x14ac:dyDescent="0.2">
      <c r="A22" s="5"/>
      <c r="B22" s="5">
        <v>5</v>
      </c>
      <c r="C22" s="5" t="str">
        <f>IF(B6&gt;MAX('Development-M'!A:A),"",INDEX('Development-M'!B:B,MATCH(B6,'Development-M'!A:A,0)))</f>
        <v/>
      </c>
      <c r="D22" s="13" t="str">
        <f>IF(B6&gt;MAX('Development-M'!A:A),"",INDEX('Development-M'!H:H,MATCH(B6,'Development-M'!A:A,0)))</f>
        <v/>
      </c>
    </row>
    <row r="23" spans="1:4" hidden="1" x14ac:dyDescent="0.2">
      <c r="A23" s="5"/>
      <c r="B23" s="5">
        <v>6</v>
      </c>
      <c r="C23" s="5" t="str">
        <f>IF(B7&gt;MAX('Development-M'!A:A),"",INDEX('Development-M'!B:B,MATCH(B7,'Development-M'!A:A,0)))</f>
        <v/>
      </c>
      <c r="D23" s="13" t="str">
        <f>IF(B7&gt;MAX('Development-M'!A:A),"",INDEX('Development-M'!H:H,MATCH(B7,'Development-M'!A:A,0)))</f>
        <v/>
      </c>
    </row>
    <row r="24" spans="1:4" hidden="1" x14ac:dyDescent="0.2">
      <c r="A24" s="6" t="s">
        <v>52</v>
      </c>
      <c r="B24" s="6">
        <v>1</v>
      </c>
      <c r="C24" s="6" t="str">
        <f>IF(B2&gt;MAX('Development-W'!A:A),"",INDEX('Development-W'!B:B,MATCH(B2,'Development-W'!A:A,0)))</f>
        <v/>
      </c>
      <c r="D24" s="12" t="str">
        <f>IF(B2&gt;MAX('Development-W'!A:A),"",INDEX('Development-W'!H:H,MATCH(B2,'Development-W'!A:A,0)))</f>
        <v/>
      </c>
    </row>
    <row r="25" spans="1:4" hidden="1" x14ac:dyDescent="0.2">
      <c r="A25" s="6"/>
      <c r="B25" s="6">
        <v>2</v>
      </c>
      <c r="C25" s="6" t="str">
        <f>IF(B3&gt;MAX('Development-W'!A:A),"",INDEX('Development-W'!B:B,MATCH(B3,'Development-W'!A:A,0)))</f>
        <v/>
      </c>
      <c r="D25" s="12" t="str">
        <f>IF(B3&gt;MAX('Development-W'!A:A),"",INDEX('Development-W'!H:H,MATCH(B3,'Development-W'!A:A,0)))</f>
        <v/>
      </c>
    </row>
    <row r="26" spans="1:4" hidden="1" x14ac:dyDescent="0.2">
      <c r="A26" s="6"/>
      <c r="B26" s="6">
        <v>3</v>
      </c>
      <c r="C26" s="6" t="str">
        <f>IF(B4&gt;MAX('Development-W'!A:A),"",INDEX('Development-W'!B:B,MATCH(B4,'Development-W'!A:A,0)))</f>
        <v/>
      </c>
      <c r="D26" s="12" t="str">
        <f>IF(B4&gt;MAX('Development-W'!A:A),"",INDEX('Development-W'!H:H,MATCH(B4,'Development-W'!A:A,0)))</f>
        <v/>
      </c>
    </row>
    <row r="27" spans="1:4" hidden="1" x14ac:dyDescent="0.2">
      <c r="A27" s="6"/>
      <c r="B27" s="6">
        <v>4</v>
      </c>
      <c r="C27" s="6" t="str">
        <f>IF(B5&gt;MAX('Development-W'!A:A),"",INDEX('Development-W'!B:B,MATCH(B5,'Development-W'!A:A,0)))</f>
        <v/>
      </c>
      <c r="D27" s="12" t="str">
        <f>IF(B5&gt;MAX('Development-W'!A:A),"",INDEX('Development-W'!H:H,MATCH(B5,'Development-W'!A:A,0)))</f>
        <v/>
      </c>
    </row>
    <row r="28" spans="1:4" hidden="1" x14ac:dyDescent="0.2">
      <c r="A28" s="6"/>
      <c r="B28" s="6">
        <v>5</v>
      </c>
      <c r="C28" s="6" t="str">
        <f>IF(B6&gt;MAX('Development-W'!A:A),"",INDEX('Development-W'!B:B,MATCH(B6,'Development-W'!A:A,0)))</f>
        <v/>
      </c>
      <c r="D28" s="12" t="str">
        <f>IF(B6&gt;MAX('Development-W'!A:A),"",INDEX('Development-W'!H:H,MATCH(B6,'Development-W'!A:A,0)))</f>
        <v/>
      </c>
    </row>
    <row r="29" spans="1:4" hidden="1" x14ac:dyDescent="0.2">
      <c r="A29" s="6"/>
      <c r="B29" s="6">
        <v>6</v>
      </c>
      <c r="C29" s="6" t="str">
        <f>IF(B7&gt;MAX('Development-W'!A:A),"",INDEX('Development-W'!B:B,MATCH(B7,'Development-W'!A:A,0)))</f>
        <v/>
      </c>
      <c r="D29" s="12" t="str">
        <f>IF(B7&gt;MAX('Development-W'!A:A),"",INDEX('Development-W'!H:H,MATCH(B7,'Development-W'!A:A,0)))</f>
        <v/>
      </c>
    </row>
    <row r="30" spans="1:4" hidden="1" x14ac:dyDescent="0.2">
      <c r="A30" s="5" t="s">
        <v>53</v>
      </c>
      <c r="B30" s="5">
        <v>1</v>
      </c>
      <c r="C30" s="5" t="str">
        <f>IF(B2&gt;MAX('Junior-M'!A:A),"",INDEX('Junior-M'!B:B,MATCH(B2,'Junior-M'!A:A,0)))</f>
        <v/>
      </c>
      <c r="D30" s="13" t="str">
        <f>IF(B2&gt;MAX('Junior-M'!A:A),"",INDEX('Junior-M'!H:H,MATCH(B2,'Junior-M'!A:A,0)))</f>
        <v/>
      </c>
    </row>
    <row r="31" spans="1:4" hidden="1" x14ac:dyDescent="0.2">
      <c r="A31" s="5"/>
      <c r="B31" s="5">
        <v>2</v>
      </c>
      <c r="C31" s="5" t="str">
        <f>IF(B3&gt;MAX('Junior-M'!A:A),"",INDEX('Junior-M'!B:B,MATCH(B3,'Junior-M'!A:A,0)))</f>
        <v/>
      </c>
      <c r="D31" s="13" t="str">
        <f>IF(B3&gt;MAX('Junior-M'!A:A),"",INDEX('Junior-M'!H:H,MATCH(B3,'Junior-M'!A:A,0)))</f>
        <v/>
      </c>
    </row>
    <row r="32" spans="1:4" hidden="1" x14ac:dyDescent="0.2">
      <c r="A32" s="5"/>
      <c r="B32" s="5">
        <v>3</v>
      </c>
      <c r="C32" s="5" t="str">
        <f>IF(B4&gt;MAX('Junior-M'!A:A),"",INDEX('Junior-M'!B:B,MATCH(B4,'Junior-M'!A:A,0)))</f>
        <v/>
      </c>
      <c r="D32" s="13" t="str">
        <f>IF(B4&gt;MAX('Junior-M'!A:A),"",INDEX('Junior-M'!H:H,MATCH(B4,'Junior-M'!A:A,0)))</f>
        <v/>
      </c>
    </row>
    <row r="33" spans="1:5" hidden="1" x14ac:dyDescent="0.2">
      <c r="A33" s="5"/>
      <c r="B33" s="5">
        <v>4</v>
      </c>
      <c r="C33" s="5" t="str">
        <f>IF(B5&gt;MAX('Junior-M'!A:A),"",INDEX('Junior-M'!B:B,MATCH(B5,'Junior-M'!A:A,0)))</f>
        <v/>
      </c>
      <c r="D33" s="13" t="str">
        <f>IF(B5&gt;MAX('Junior-M'!A:A),"",INDEX('Junior-M'!H:H,MATCH(B5,'Junior-M'!A:A,0)))</f>
        <v/>
      </c>
    </row>
    <row r="34" spans="1:5" x14ac:dyDescent="0.2">
      <c r="A34" s="6" t="s">
        <v>54</v>
      </c>
      <c r="B34" s="6">
        <v>1</v>
      </c>
      <c r="C34" s="6" t="str">
        <f>IF(B2&gt;MAX('Junior-W'!A:A),"",INDEX('Junior-W'!B:B,MATCH(B2,'Junior-W'!A:A,0)))</f>
        <v>HUGHES, Arya</v>
      </c>
      <c r="D34" s="12" t="str">
        <f>IF(B2&gt;MAX('Junior-W'!A:A),"",INDEX('Junior-W'!H:H,MATCH(B2,'Junior-W'!A:A,0)))</f>
        <v>National Team</v>
      </c>
    </row>
    <row r="35" spans="1:5" hidden="1" x14ac:dyDescent="0.2">
      <c r="A35" s="6"/>
      <c r="B35" s="6">
        <v>2</v>
      </c>
      <c r="C35" s="6" t="str">
        <f>IF(B3&gt;MAX('Junior-W'!A:A),"",INDEX('Junior-W'!B:B,MATCH(B3,'Junior-W'!A:A,0)))</f>
        <v/>
      </c>
      <c r="D35" s="12" t="str">
        <f>IF(B3&gt;MAX('Junior-W'!A:A),"",INDEX('Junior-W'!H:H,MATCH(B3,'Junior-W'!A:A,0)))</f>
        <v/>
      </c>
    </row>
    <row r="36" spans="1:5" hidden="1" x14ac:dyDescent="0.2">
      <c r="A36" s="6"/>
      <c r="B36" s="6">
        <v>3</v>
      </c>
      <c r="C36" s="6" t="str">
        <f>IF(B4&gt;MAX('Junior-W'!A:A),"",INDEX('Junior-W'!B:B,MATCH(B4,'Junior-W'!A:A,0)))</f>
        <v/>
      </c>
      <c r="D36" s="12" t="str">
        <f>IF(B4&gt;MAX('Junior-W'!A:A),"",INDEX('Junior-W'!H:H,MATCH(B4,'Junior-W'!A:A,0)))</f>
        <v/>
      </c>
    </row>
    <row r="37" spans="1:5" hidden="1" x14ac:dyDescent="0.2">
      <c r="A37" s="6"/>
      <c r="B37" s="6">
        <v>4</v>
      </c>
      <c r="C37" s="6" t="str">
        <f>IF(B5&gt;MAX('Junior-W'!A:A),"",INDEX('Junior-W'!B:B,MATCH(B5,'Junior-W'!A:A,0)))</f>
        <v/>
      </c>
      <c r="D37" s="12" t="str">
        <f>IF(B5&gt;MAX('Junior-W'!A:A),"",INDEX('Junior-W'!H:H,MATCH(B5,'Junior-W'!A:A,0)))</f>
        <v/>
      </c>
    </row>
    <row r="38" spans="1:5" x14ac:dyDescent="0.2">
      <c r="D38" s="26"/>
    </row>
    <row r="39" spans="1:5" x14ac:dyDescent="0.2">
      <c r="B39" t="s">
        <v>20</v>
      </c>
    </row>
    <row r="40" spans="1:5" x14ac:dyDescent="0.2">
      <c r="B40" t="s">
        <v>18</v>
      </c>
    </row>
    <row r="41" spans="1:5" x14ac:dyDescent="0.2">
      <c r="B41" t="s">
        <v>19</v>
      </c>
    </row>
    <row r="42" spans="1:5" x14ac:dyDescent="0.2">
      <c r="B42" s="11" t="s">
        <v>34</v>
      </c>
      <c r="D42" t="s">
        <v>32</v>
      </c>
    </row>
    <row r="43" spans="1:5" x14ac:dyDescent="0.2">
      <c r="B43" s="11" t="s">
        <v>35</v>
      </c>
      <c r="D43" t="s">
        <v>32</v>
      </c>
      <c r="E43" t="s">
        <v>32</v>
      </c>
    </row>
    <row r="44" spans="1:5" x14ac:dyDescent="0.2">
      <c r="B44" t="s">
        <v>33</v>
      </c>
    </row>
    <row r="45" spans="1:5" x14ac:dyDescent="0.2">
      <c r="B45" t="s">
        <v>36</v>
      </c>
    </row>
    <row r="46" spans="1:5" x14ac:dyDescent="0.2">
      <c r="A46" t="s">
        <v>23</v>
      </c>
      <c r="B46" s="45">
        <v>46094</v>
      </c>
      <c r="C46" s="45"/>
    </row>
    <row r="47" spans="1:5" x14ac:dyDescent="0.2">
      <c r="B47" t="s">
        <v>45</v>
      </c>
    </row>
  </sheetData>
  <sheetProtection formatCells="0" formatColumns="0" formatRows="0"/>
  <mergeCells count="1">
    <mergeCell ref="B46:C46"/>
  </mergeCells>
  <conditionalFormatting sqref="D2:D37">
    <cfRule type="containsText" dxfId="261" priority="1" operator="containsText" text="No DD">
      <formula>NOT(ISERROR(SEARCH("No DD",D2)))</formula>
    </cfRule>
    <cfRule type="containsText" dxfId="260" priority="5" operator="containsText" text="Performance">
      <formula>NOT(ISERROR(SEARCH("Performance",D2)))</formula>
    </cfRule>
    <cfRule type="containsText" dxfId="259" priority="6" operator="containsText" text="Worlds Team">
      <formula>NOT(ISERROR(SEARCH("Worlds Team",D2)))</formula>
    </cfRule>
    <cfRule type="containsText" dxfId="258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42:D43" xr:uid="{D08F591B-E1ED-7A40-99FD-CEC4A428C792}">
      <formula1>"Select,Senior-M, Senior-W,Development-M,Development-W,Junior-M,Junior-W"</formula1>
    </dataValidation>
    <dataValidation type="list" allowBlank="1" showInputMessage="1" showErrorMessage="1" sqref="E43" xr:uid="{34EE6C87-AAA8-A345-8399-C87931D9699B}">
      <formula1>IF($D$43="Select",D43,INDIRECT("'"&amp;$D$43&amp;"'!"&amp;"B4:B"&amp;MATCH(TRUE,INDEX(INDIRECT("'"&amp;$D$43&amp;"'!"&amp;"B4:B100")="",0),0)+2))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38</xdr:row>
                    <xdr:rowOff>25400</xdr:rowOff>
                  </from>
                  <to>
                    <xdr:col>0</xdr:col>
                    <xdr:colOff>965200</xdr:colOff>
                    <xdr:row>38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39</xdr:row>
                    <xdr:rowOff>25400</xdr:rowOff>
                  </from>
                  <to>
                    <xdr:col>0</xdr:col>
                    <xdr:colOff>965200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40</xdr:row>
                    <xdr:rowOff>38100</xdr:rowOff>
                  </from>
                  <to>
                    <xdr:col>0</xdr:col>
                    <xdr:colOff>965200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41</xdr:row>
                    <xdr:rowOff>25400</xdr:rowOff>
                  </from>
                  <to>
                    <xdr:col>0</xdr:col>
                    <xdr:colOff>977900</xdr:colOff>
                    <xdr:row>41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43</xdr:row>
                    <xdr:rowOff>25400</xdr:rowOff>
                  </from>
                  <to>
                    <xdr:col>0</xdr:col>
                    <xdr:colOff>977900</xdr:colOff>
                    <xdr:row>43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44</xdr:row>
                    <xdr:rowOff>25400</xdr:rowOff>
                  </from>
                  <to>
                    <xdr:col>0</xdr:col>
                    <xdr:colOff>965200</xdr:colOff>
                    <xdr:row>44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42</xdr:row>
                    <xdr:rowOff>25400</xdr:rowOff>
                  </from>
                  <to>
                    <xdr:col>0</xdr:col>
                    <xdr:colOff>977900</xdr:colOff>
                    <xdr:row>42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43</xdr:row>
                    <xdr:rowOff>12700</xdr:rowOff>
                  </from>
                  <to>
                    <xdr:col>4</xdr:col>
                    <xdr:colOff>495300</xdr:colOff>
                    <xdr:row>43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B3599-E056-F84C-847B-86A479E28074}">
  <sheetPr codeName="Sheet19"/>
  <dimension ref="A1:FX3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2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5" width="10.83203125" hidden="1" customWidth="1"/>
    <col min="36" max="39" width="10.83203125" customWidth="1"/>
    <col min="40" max="48" width="10.83203125" style="26" customWidth="1"/>
    <col min="49" max="65" width="10.83203125" hidden="1" customWidth="1"/>
    <col min="66" max="69" width="10.83203125" customWidth="1"/>
    <col min="70" max="80" width="10.83203125" style="26" customWidth="1"/>
    <col min="81" max="100" width="10.83203125" hidden="1" customWidth="1"/>
    <col min="101" max="115" width="10.83203125" style="26" customWidth="1"/>
    <col min="116" max="135" width="10.83203125" hidden="1" customWidth="1"/>
    <col min="136" max="150" width="10.83203125" style="26" customWidth="1"/>
    <col min="151" max="180" width="10.83203125" hidden="1" customWidth="1"/>
    <col min="181" max="182" width="10.83203125" customWidth="1"/>
  </cols>
  <sheetData>
    <row r="1" spans="1:180" ht="16" customHeight="1" x14ac:dyDescent="0.2">
      <c r="A1" s="47" t="s">
        <v>1</v>
      </c>
      <c r="B1" s="47" t="s">
        <v>14</v>
      </c>
      <c r="C1" s="47" t="s">
        <v>0</v>
      </c>
      <c r="D1" s="47" t="s">
        <v>31</v>
      </c>
      <c r="E1" s="47" t="s">
        <v>2</v>
      </c>
      <c r="F1" s="48" t="s">
        <v>64</v>
      </c>
      <c r="G1" s="48" t="s">
        <v>8</v>
      </c>
      <c r="H1" s="47" t="s">
        <v>9</v>
      </c>
      <c r="I1" s="48" t="s">
        <v>38</v>
      </c>
      <c r="J1" s="46" t="s">
        <v>65</v>
      </c>
      <c r="K1" s="49" t="s">
        <v>16</v>
      </c>
      <c r="L1" s="46" t="s">
        <v>79</v>
      </c>
      <c r="M1" s="49" t="s">
        <v>16</v>
      </c>
      <c r="N1" s="46" t="s">
        <v>80</v>
      </c>
      <c r="O1" s="49" t="s">
        <v>16</v>
      </c>
      <c r="P1" s="51" t="s">
        <v>10</v>
      </c>
      <c r="Q1" s="49" t="s">
        <v>17</v>
      </c>
      <c r="R1" s="49" t="s">
        <v>16</v>
      </c>
      <c r="S1" s="56" t="s">
        <v>41</v>
      </c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0" t="s">
        <v>42</v>
      </c>
      <c r="AX1" s="50"/>
      <c r="AY1" s="50"/>
      <c r="AZ1" s="50"/>
      <c r="BA1" s="50"/>
      <c r="BB1" s="50"/>
      <c r="BC1" s="50"/>
      <c r="BD1" s="50"/>
      <c r="BE1" s="50"/>
      <c r="BF1" s="50"/>
      <c r="BG1" s="50"/>
      <c r="BH1" s="50"/>
      <c r="BI1" s="50"/>
      <c r="BJ1" s="50"/>
      <c r="BK1" s="50"/>
      <c r="BL1" s="50"/>
      <c r="BM1" s="50"/>
      <c r="BN1" s="50"/>
      <c r="BO1" s="50"/>
      <c r="BP1" s="50"/>
      <c r="BQ1" s="50"/>
      <c r="BR1" s="50"/>
      <c r="BS1" s="50"/>
      <c r="BT1" s="50"/>
      <c r="BU1" s="50"/>
      <c r="BV1" s="50"/>
      <c r="BW1" s="50"/>
      <c r="BX1" s="50"/>
      <c r="BY1" s="50"/>
      <c r="BZ1" s="50"/>
      <c r="CA1" s="57" t="s">
        <v>66</v>
      </c>
      <c r="CB1" s="57"/>
      <c r="CC1" s="56" t="s">
        <v>43</v>
      </c>
      <c r="CD1" s="56"/>
      <c r="CE1" s="56"/>
      <c r="CF1" s="56"/>
      <c r="CG1" s="56"/>
      <c r="CH1" s="56"/>
      <c r="CI1" s="56"/>
      <c r="CJ1" s="56"/>
      <c r="CK1" s="56"/>
      <c r="CL1" s="56"/>
      <c r="CM1" s="56"/>
      <c r="CN1" s="56"/>
      <c r="CO1" s="56"/>
      <c r="CP1" s="56"/>
      <c r="CQ1" s="56"/>
      <c r="CR1" s="56"/>
      <c r="CS1" s="56"/>
      <c r="CT1" s="56"/>
      <c r="CU1" s="56"/>
      <c r="CV1" s="56"/>
      <c r="CW1" s="56"/>
      <c r="CX1" s="56"/>
      <c r="CY1" s="56"/>
      <c r="CZ1" s="56"/>
      <c r="DA1" s="56"/>
      <c r="DB1" s="56"/>
      <c r="DC1" s="56"/>
      <c r="DD1" s="56"/>
      <c r="DE1" s="56"/>
      <c r="DF1" s="56"/>
      <c r="DG1" s="56"/>
      <c r="DH1" s="56"/>
      <c r="DI1" s="56"/>
      <c r="DJ1" s="56"/>
      <c r="DK1" s="56"/>
      <c r="DL1" s="50" t="s">
        <v>44</v>
      </c>
      <c r="DM1" s="50"/>
      <c r="DN1" s="50"/>
      <c r="DO1" s="50"/>
      <c r="DP1" s="50"/>
      <c r="DQ1" s="50"/>
      <c r="DR1" s="50"/>
      <c r="DS1" s="50"/>
      <c r="DT1" s="50"/>
      <c r="DU1" s="50"/>
      <c r="DV1" s="50"/>
      <c r="DW1" s="50"/>
      <c r="DX1" s="50"/>
      <c r="DY1" s="50"/>
      <c r="DZ1" s="50"/>
      <c r="EA1" s="50"/>
      <c r="EB1" s="50"/>
      <c r="EC1" s="50"/>
      <c r="ED1" s="50"/>
      <c r="EE1" s="50"/>
      <c r="EF1" s="50"/>
      <c r="EG1" s="50"/>
      <c r="EH1" s="50"/>
      <c r="EI1" s="50"/>
      <c r="EJ1" s="50"/>
      <c r="EK1" s="50"/>
      <c r="EL1" s="50"/>
      <c r="EM1" s="50"/>
      <c r="EN1" s="50"/>
      <c r="EO1" s="50"/>
      <c r="EP1" s="50"/>
      <c r="EQ1" s="50"/>
      <c r="ER1" s="50"/>
      <c r="ES1" s="50"/>
      <c r="ET1" s="50"/>
      <c r="EU1" s="50" t="s">
        <v>67</v>
      </c>
      <c r="EV1" s="50"/>
      <c r="EW1" s="50"/>
      <c r="EX1" s="50"/>
      <c r="EY1" s="50"/>
      <c r="EZ1" s="50"/>
      <c r="FA1" s="50"/>
      <c r="FB1" s="50"/>
      <c r="FC1" s="50"/>
      <c r="FD1" s="50"/>
      <c r="FE1" s="50"/>
      <c r="FF1" s="50"/>
      <c r="FG1" s="50"/>
      <c r="FH1" s="50"/>
      <c r="FI1" s="50"/>
      <c r="FJ1" s="50"/>
      <c r="FK1" s="50"/>
      <c r="FL1" s="50"/>
      <c r="FM1" s="50"/>
      <c r="FN1" s="50"/>
      <c r="FO1" s="50"/>
      <c r="FP1" s="50"/>
      <c r="FQ1" s="12"/>
      <c r="FR1" s="12"/>
      <c r="FS1" s="12"/>
      <c r="FT1" s="12"/>
      <c r="FU1" s="12"/>
      <c r="FV1" s="12"/>
      <c r="FW1" s="12"/>
      <c r="FX1" s="12"/>
    </row>
    <row r="2" spans="1:180" x14ac:dyDescent="0.2">
      <c r="A2" s="47"/>
      <c r="B2" s="47"/>
      <c r="C2" s="47"/>
      <c r="D2" s="47"/>
      <c r="E2" s="47"/>
      <c r="F2" s="48"/>
      <c r="G2" s="48"/>
      <c r="H2" s="47"/>
      <c r="I2" s="48"/>
      <c r="J2" s="46"/>
      <c r="K2" s="49"/>
      <c r="L2" s="46"/>
      <c r="M2" s="49"/>
      <c r="N2" s="49"/>
      <c r="O2" s="49"/>
      <c r="P2" s="51"/>
      <c r="Q2" s="49"/>
      <c r="R2" s="49"/>
      <c r="S2" s="53" t="s">
        <v>68</v>
      </c>
      <c r="T2" s="53"/>
      <c r="U2" s="53"/>
      <c r="V2" s="53"/>
      <c r="W2" s="53" t="s">
        <v>69</v>
      </c>
      <c r="X2" s="53"/>
      <c r="Y2" s="53"/>
      <c r="Z2" s="53"/>
      <c r="AA2" s="53" t="s">
        <v>70</v>
      </c>
      <c r="AB2" s="53"/>
      <c r="AC2" s="53"/>
      <c r="AD2" s="53"/>
      <c r="AE2" s="54" t="s">
        <v>71</v>
      </c>
      <c r="AF2" s="54"/>
      <c r="AG2" s="54"/>
      <c r="AH2" s="54"/>
      <c r="AI2" s="13"/>
      <c r="AJ2" s="13" t="s">
        <v>85</v>
      </c>
      <c r="AK2" s="13" t="s">
        <v>81</v>
      </c>
      <c r="AL2" s="13" t="s">
        <v>86</v>
      </c>
      <c r="AM2" s="13" t="s">
        <v>82</v>
      </c>
      <c r="AN2" s="13" t="s">
        <v>72</v>
      </c>
      <c r="AO2" s="13" t="s">
        <v>13</v>
      </c>
      <c r="AP2" s="13" t="s">
        <v>87</v>
      </c>
      <c r="AQ2" s="13" t="s">
        <v>83</v>
      </c>
      <c r="AR2" s="13" t="s">
        <v>88</v>
      </c>
      <c r="AS2" s="13" t="s">
        <v>84</v>
      </c>
      <c r="AT2" s="13" t="s">
        <v>73</v>
      </c>
      <c r="AU2" s="13" t="s">
        <v>74</v>
      </c>
      <c r="AV2" s="13" t="s">
        <v>12</v>
      </c>
      <c r="AW2" s="52" t="s">
        <v>68</v>
      </c>
      <c r="AX2" s="52"/>
      <c r="AY2" s="52"/>
      <c r="AZ2" s="52"/>
      <c r="BA2" s="52" t="s">
        <v>69</v>
      </c>
      <c r="BB2" s="52"/>
      <c r="BC2" s="52"/>
      <c r="BD2" s="52"/>
      <c r="BE2" s="52" t="s">
        <v>70</v>
      </c>
      <c r="BF2" s="52"/>
      <c r="BG2" s="52"/>
      <c r="BH2" s="52"/>
      <c r="BI2" s="55" t="s">
        <v>71</v>
      </c>
      <c r="BJ2" s="55"/>
      <c r="BK2" s="55"/>
      <c r="BL2" s="55"/>
      <c r="BM2" s="12"/>
      <c r="BN2" s="12" t="s">
        <v>85</v>
      </c>
      <c r="BO2" s="12" t="s">
        <v>81</v>
      </c>
      <c r="BP2" s="12" t="s">
        <v>86</v>
      </c>
      <c r="BQ2" s="12" t="s">
        <v>82</v>
      </c>
      <c r="BR2" s="12" t="s">
        <v>72</v>
      </c>
      <c r="BS2" s="12" t="s">
        <v>13</v>
      </c>
      <c r="BT2" s="12" t="s">
        <v>87</v>
      </c>
      <c r="BU2" s="12" t="s">
        <v>83</v>
      </c>
      <c r="BV2" s="12" t="s">
        <v>88</v>
      </c>
      <c r="BW2" s="12" t="s">
        <v>84</v>
      </c>
      <c r="BX2" s="12" t="s">
        <v>73</v>
      </c>
      <c r="BY2" s="12" t="s">
        <v>74</v>
      </c>
      <c r="BZ2" s="12" t="s">
        <v>12</v>
      </c>
      <c r="CA2" s="33" t="s">
        <v>75</v>
      </c>
      <c r="CB2" s="33" t="s">
        <v>89</v>
      </c>
      <c r="CC2" s="53" t="s">
        <v>68</v>
      </c>
      <c r="CD2" s="53"/>
      <c r="CE2" s="53"/>
      <c r="CF2" s="53"/>
      <c r="CG2" s="53" t="s">
        <v>69</v>
      </c>
      <c r="CH2" s="53"/>
      <c r="CI2" s="53"/>
      <c r="CJ2" s="53"/>
      <c r="CK2" s="53" t="s">
        <v>76</v>
      </c>
      <c r="CL2" s="53"/>
      <c r="CM2" s="53"/>
      <c r="CN2" s="53"/>
      <c r="CO2" s="53" t="s">
        <v>70</v>
      </c>
      <c r="CP2" s="53"/>
      <c r="CQ2" s="53"/>
      <c r="CR2" s="53"/>
      <c r="CS2" s="58" t="s">
        <v>71</v>
      </c>
      <c r="CT2" s="58"/>
      <c r="CU2" s="58"/>
      <c r="CV2" s="58"/>
      <c r="CW2" s="13" t="s">
        <v>85</v>
      </c>
      <c r="CX2" s="13" t="s">
        <v>81</v>
      </c>
      <c r="CY2" s="13" t="s">
        <v>86</v>
      </c>
      <c r="CZ2" s="13" t="s">
        <v>82</v>
      </c>
      <c r="DA2" s="13" t="s">
        <v>77</v>
      </c>
      <c r="DB2" s="13" t="s">
        <v>75</v>
      </c>
      <c r="DC2" s="13" t="s">
        <v>90</v>
      </c>
      <c r="DD2" s="13" t="s">
        <v>76</v>
      </c>
      <c r="DE2" s="13" t="s">
        <v>91</v>
      </c>
      <c r="DF2" s="13" t="s">
        <v>70</v>
      </c>
      <c r="DG2" s="13" t="s">
        <v>92</v>
      </c>
      <c r="DH2" s="13" t="s">
        <v>71</v>
      </c>
      <c r="DI2" s="13" t="s">
        <v>73</v>
      </c>
      <c r="DJ2" s="13" t="s">
        <v>74</v>
      </c>
      <c r="DK2" s="13" t="s">
        <v>12</v>
      </c>
      <c r="DL2" s="52" t="s">
        <v>68</v>
      </c>
      <c r="DM2" s="52"/>
      <c r="DN2" s="52"/>
      <c r="DO2" s="52"/>
      <c r="DP2" s="52" t="s">
        <v>69</v>
      </c>
      <c r="DQ2" s="52"/>
      <c r="DR2" s="52"/>
      <c r="DS2" s="52"/>
      <c r="DT2" s="52" t="s">
        <v>76</v>
      </c>
      <c r="DU2" s="52"/>
      <c r="DV2" s="52"/>
      <c r="DW2" s="52"/>
      <c r="DX2" s="52" t="s">
        <v>70</v>
      </c>
      <c r="DY2" s="52"/>
      <c r="DZ2" s="52"/>
      <c r="EA2" s="52"/>
      <c r="EB2" s="55" t="s">
        <v>71</v>
      </c>
      <c r="EC2" s="55"/>
      <c r="ED2" s="55"/>
      <c r="EE2" s="55"/>
      <c r="EF2" s="12" t="s">
        <v>85</v>
      </c>
      <c r="EG2" s="12" t="s">
        <v>81</v>
      </c>
      <c r="EH2" s="12" t="s">
        <v>86</v>
      </c>
      <c r="EI2" s="12" t="s">
        <v>82</v>
      </c>
      <c r="EJ2" s="12" t="s">
        <v>77</v>
      </c>
      <c r="EK2" s="12" t="s">
        <v>75</v>
      </c>
      <c r="EL2" s="12" t="s">
        <v>90</v>
      </c>
      <c r="EM2" s="12" t="s">
        <v>76</v>
      </c>
      <c r="EN2" s="12" t="s">
        <v>91</v>
      </c>
      <c r="EO2" s="12" t="s">
        <v>70</v>
      </c>
      <c r="EP2" s="12" t="s">
        <v>92</v>
      </c>
      <c r="EQ2" s="12" t="s">
        <v>71</v>
      </c>
      <c r="ER2" s="12" t="s">
        <v>73</v>
      </c>
      <c r="ES2" s="12" t="s">
        <v>74</v>
      </c>
      <c r="ET2" s="12" t="s">
        <v>12</v>
      </c>
      <c r="EU2" s="52" t="s">
        <v>68</v>
      </c>
      <c r="EV2" s="52"/>
      <c r="EW2" s="52"/>
      <c r="EX2" s="52"/>
      <c r="EY2" s="52" t="s">
        <v>69</v>
      </c>
      <c r="EZ2" s="52"/>
      <c r="FA2" s="52"/>
      <c r="FB2" s="52"/>
      <c r="FC2" s="52" t="s">
        <v>70</v>
      </c>
      <c r="FD2" s="52"/>
      <c r="FE2" s="52"/>
      <c r="FF2" s="52"/>
      <c r="FG2" s="59" t="s">
        <v>71</v>
      </c>
      <c r="FH2" s="59"/>
      <c r="FI2" s="59"/>
      <c r="FJ2" s="59"/>
      <c r="FK2" s="12"/>
      <c r="FL2" s="12" t="s">
        <v>85</v>
      </c>
      <c r="FM2" s="12" t="s">
        <v>81</v>
      </c>
      <c r="FN2" s="12" t="s">
        <v>86</v>
      </c>
      <c r="FO2" s="12" t="s">
        <v>82</v>
      </c>
      <c r="FP2" s="12" t="s">
        <v>72</v>
      </c>
      <c r="FQ2" s="12" t="s">
        <v>13</v>
      </c>
      <c r="FR2" s="12" t="s">
        <v>87</v>
      </c>
      <c r="FS2" s="12" t="s">
        <v>83</v>
      </c>
      <c r="FT2" s="12" t="s">
        <v>88</v>
      </c>
      <c r="FU2" s="12" t="s">
        <v>84</v>
      </c>
      <c r="FV2" s="12" t="s">
        <v>73</v>
      </c>
      <c r="FW2" s="12" t="s">
        <v>74</v>
      </c>
      <c r="FX2" s="12" t="s">
        <v>12</v>
      </c>
    </row>
    <row r="3" spans="1:180" x14ac:dyDescent="0.2">
      <c r="A3" s="47"/>
      <c r="B3" s="47"/>
      <c r="C3" s="47"/>
      <c r="D3" s="47"/>
      <c r="E3" s="47"/>
      <c r="F3" s="48"/>
      <c r="G3" s="48"/>
      <c r="H3" s="47"/>
      <c r="I3" s="48"/>
      <c r="J3" s="46"/>
      <c r="K3" s="49"/>
      <c r="L3" s="46"/>
      <c r="M3" s="49"/>
      <c r="N3" s="49"/>
      <c r="O3" s="49"/>
      <c r="P3" s="51"/>
      <c r="Q3" s="49"/>
      <c r="R3" s="49"/>
      <c r="S3" s="13" t="s">
        <v>11</v>
      </c>
      <c r="T3" s="13" t="s">
        <v>7</v>
      </c>
      <c r="U3" s="13" t="s">
        <v>15</v>
      </c>
      <c r="V3" s="13" t="s">
        <v>78</v>
      </c>
      <c r="W3" s="13" t="s">
        <v>11</v>
      </c>
      <c r="X3" s="13" t="s">
        <v>7</v>
      </c>
      <c r="Y3" s="13" t="s">
        <v>15</v>
      </c>
      <c r="Z3" s="13" t="s">
        <v>78</v>
      </c>
      <c r="AA3" s="13" t="s">
        <v>11</v>
      </c>
      <c r="AB3" s="13" t="s">
        <v>7</v>
      </c>
      <c r="AC3" s="13" t="s">
        <v>15</v>
      </c>
      <c r="AD3" s="13" t="s">
        <v>78</v>
      </c>
      <c r="AE3" s="35" t="s">
        <v>11</v>
      </c>
      <c r="AF3" s="35" t="s">
        <v>7</v>
      </c>
      <c r="AG3" s="35" t="s">
        <v>15</v>
      </c>
      <c r="AH3" s="35" t="s">
        <v>78</v>
      </c>
      <c r="AI3" s="13" t="s">
        <v>28</v>
      </c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2" t="s">
        <v>11</v>
      </c>
      <c r="AX3" s="12" t="s">
        <v>7</v>
      </c>
      <c r="AY3" s="12" t="s">
        <v>15</v>
      </c>
      <c r="AZ3" s="12" t="s">
        <v>78</v>
      </c>
      <c r="BA3" s="12" t="s">
        <v>11</v>
      </c>
      <c r="BB3" s="12" t="s">
        <v>7</v>
      </c>
      <c r="BC3" s="12" t="s">
        <v>15</v>
      </c>
      <c r="BD3" s="12" t="s">
        <v>78</v>
      </c>
      <c r="BE3" s="12" t="s">
        <v>11</v>
      </c>
      <c r="BF3" s="12" t="s">
        <v>7</v>
      </c>
      <c r="BG3" s="12" t="s">
        <v>15</v>
      </c>
      <c r="BH3" s="12" t="s">
        <v>78</v>
      </c>
      <c r="BI3" s="36" t="s">
        <v>11</v>
      </c>
      <c r="BJ3" s="36" t="s">
        <v>7</v>
      </c>
      <c r="BK3" s="36" t="s">
        <v>15</v>
      </c>
      <c r="BL3" s="36" t="s">
        <v>78</v>
      </c>
      <c r="BM3" s="12" t="s">
        <v>28</v>
      </c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33"/>
      <c r="CB3" s="33"/>
      <c r="CC3" s="13" t="s">
        <v>11</v>
      </c>
      <c r="CD3" s="13" t="s">
        <v>7</v>
      </c>
      <c r="CE3" s="13" t="s">
        <v>15</v>
      </c>
      <c r="CF3" s="13" t="s">
        <v>78</v>
      </c>
      <c r="CG3" s="13" t="s">
        <v>11</v>
      </c>
      <c r="CH3" s="13" t="s">
        <v>7</v>
      </c>
      <c r="CI3" s="13" t="s">
        <v>15</v>
      </c>
      <c r="CJ3" s="13" t="s">
        <v>78</v>
      </c>
      <c r="CK3" s="13" t="s">
        <v>11</v>
      </c>
      <c r="CL3" s="13" t="s">
        <v>7</v>
      </c>
      <c r="CM3" s="13" t="s">
        <v>15</v>
      </c>
      <c r="CN3" s="13" t="s">
        <v>78</v>
      </c>
      <c r="CO3" s="13" t="s">
        <v>11</v>
      </c>
      <c r="CP3" s="13" t="s">
        <v>7</v>
      </c>
      <c r="CQ3" s="13" t="s">
        <v>15</v>
      </c>
      <c r="CR3" s="13" t="s">
        <v>78</v>
      </c>
      <c r="CS3" s="37" t="s">
        <v>11</v>
      </c>
      <c r="CT3" s="37" t="s">
        <v>7</v>
      </c>
      <c r="CU3" s="37" t="s">
        <v>15</v>
      </c>
      <c r="CV3" s="37" t="s">
        <v>78</v>
      </c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2" t="s">
        <v>11</v>
      </c>
      <c r="DM3" s="12" t="s">
        <v>7</v>
      </c>
      <c r="DN3" s="12" t="s">
        <v>15</v>
      </c>
      <c r="DO3" s="12" t="s">
        <v>78</v>
      </c>
      <c r="DP3" s="12" t="s">
        <v>11</v>
      </c>
      <c r="DQ3" s="12" t="s">
        <v>7</v>
      </c>
      <c r="DR3" s="12" t="s">
        <v>15</v>
      </c>
      <c r="DS3" s="12" t="s">
        <v>78</v>
      </c>
      <c r="DT3" s="12" t="s">
        <v>11</v>
      </c>
      <c r="DU3" s="12" t="s">
        <v>7</v>
      </c>
      <c r="DV3" s="12" t="s">
        <v>15</v>
      </c>
      <c r="DW3" s="12" t="s">
        <v>78</v>
      </c>
      <c r="DX3" s="12" t="s">
        <v>11</v>
      </c>
      <c r="DY3" s="12" t="s">
        <v>7</v>
      </c>
      <c r="DZ3" s="12" t="s">
        <v>15</v>
      </c>
      <c r="EA3" s="12" t="s">
        <v>78</v>
      </c>
      <c r="EB3" s="36" t="s">
        <v>11</v>
      </c>
      <c r="EC3" s="36" t="s">
        <v>7</v>
      </c>
      <c r="ED3" s="36" t="s">
        <v>15</v>
      </c>
      <c r="EE3" s="36" t="s">
        <v>78</v>
      </c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 t="s">
        <v>11</v>
      </c>
      <c r="EV3" s="12" t="s">
        <v>7</v>
      </c>
      <c r="EW3" s="12" t="s">
        <v>15</v>
      </c>
      <c r="EX3" s="12" t="s">
        <v>78</v>
      </c>
      <c r="EY3" s="12" t="s">
        <v>11</v>
      </c>
      <c r="EZ3" s="12" t="s">
        <v>7</v>
      </c>
      <c r="FA3" s="12" t="s">
        <v>15</v>
      </c>
      <c r="FB3" s="12" t="s">
        <v>78</v>
      </c>
      <c r="FC3" s="12" t="s">
        <v>11</v>
      </c>
      <c r="FD3" s="12" t="s">
        <v>7</v>
      </c>
      <c r="FE3" s="12" t="s">
        <v>15</v>
      </c>
      <c r="FF3" s="12" t="s">
        <v>78</v>
      </c>
      <c r="FG3" s="38" t="s">
        <v>11</v>
      </c>
      <c r="FH3" s="38" t="s">
        <v>7</v>
      </c>
      <c r="FI3" s="38" t="s">
        <v>15</v>
      </c>
      <c r="FJ3" s="38" t="s">
        <v>78</v>
      </c>
      <c r="FK3" s="12" t="s">
        <v>28</v>
      </c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</row>
    <row r="4" spans="1:180" x14ac:dyDescent="0.2">
      <c r="A4" s="3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>1</v>
      </c>
      <c r="B4" s="4" t="s">
        <v>101</v>
      </c>
      <c r="C4" s="3" t="s">
        <v>3</v>
      </c>
      <c r="D4" s="3">
        <v>2006</v>
      </c>
      <c r="E4" s="8">
        <f t="shared" ref="E4:E14" si="0">SUM(J4:P4)+SUM(J4:M4)*0.0000001+SUM(J4)*0.0000000000001</f>
        <v>109.10000779000505</v>
      </c>
      <c r="F4" s="2" t="str">
        <f t="shared" ref="F4:F14" si="1">IF(OR(AND(AO4&lt;&gt;"",AO4&gt;=AV$20,AN4&gt;=AV$17),AND(AU4&lt;&gt;"",AU4&gt;=AV$20,AT4&gt;=AV$17),AND(BS4&lt;&gt;"",BS4&gt;=BZ$20,BR4&gt;=BZ$17),AND(BY4&lt;&gt;"",BY4&gt;=BZ$20,BX4&gt;=BZ$17),AND(DB4&lt;&gt;"",DB4&gt;=DK$20,DA4&gt;=DK$17),AND(DJ4&lt;&gt;"",DJ4&gt;=DK$20,DI4&gt;=DK$17),AND(EK4&lt;&gt;"",EK4&gt;=ET$20,EJ4&gt;=ET$17),AND(ES4&lt;&gt;"",ES4&gt;=ET$20,ER4&gt;=ET$17)),"P","")</f>
        <v>P</v>
      </c>
      <c r="G4" s="2" t="str">
        <f t="shared" ref="G4:G14" si="2">IF(OR(AND(AO4&lt;&gt;"",AO4&gt;=AV$20),AND(AU4&lt;&gt;"",AU4&gt;=AV$20),AND(BS4&lt;&gt;"",BS4&gt;=BZ$20),AND(BY4&lt;&gt;"",BY4&gt;=BZ$20),AND(DB4&lt;&gt;"",DB4&gt;=DK$20),AND(DJ4&lt;&gt;"",DJ4&gt;=DK$20),AND(EK4&lt;&gt;"",EK4&gt;=ET$20),AND(ES4&lt;&gt;"",ES4&gt;=ET$20)),"P","")</f>
        <v>P</v>
      </c>
      <c r="H4" s="26" t="str">
        <f t="shared" ref="H4:H14" si="3">IF(AND(G4="P",F4=""),"No DD",IF(OR(AND(AK4&lt;&gt;"",AK4&gt;=AV$22,AJ4&gt;=AV$19),AND(AM4&lt;&gt;"",AM4&gt;=AV$22,AL4&gt;=AV$19),AND(AQ4&lt;&gt;"",AQ4&gt;=AV$22,AP4&gt;=AV$19),AND(AS4&lt;&gt;"",AS4&gt;=AV$22,AR4&gt;=AV$19),AND(BO4&lt;&gt;"",BO4&gt;=BZ$22,BN4&gt;=BZ$19),AND(BQ4&lt;&gt;"",BQ4&gt;=BZ$22,BP4&gt;=BZ$19),AND(BV4&lt;&gt;"",BV4&gt;=BZ$22,BU4&gt;=BZ$19),AND(BX4&lt;&gt;"",BX4&gt;=BZ$22,BW4&gt;=BZ$19),AND(CX4&lt;&gt;"",CX4&gt;=DK$22,CW4&gt;=DK$19),AND(CZ4&lt;&gt;"",CZ4&gt;=DK$22,CY4&gt;=DK$19),AND(DD4&lt;&gt;"",DD4&gt;=DK$22,DC4&gt;=DK$19),AND(DF4&lt;&gt;"",DF4&gt;=DK$22,DE4&gt;=DK$19),AND(DH4&lt;&gt;"",DH4&gt;=DK$22,DG4&gt;=DK$19),AND(EG4&lt;&gt;"",EG4&gt;=ET$22,EF4&gt;=ET$19),AND(EI4&lt;&gt;"",EI4&gt;=ET$22,EH4&gt;=ET$19),AND(EM4&lt;&gt;"",EM4&gt;=ET$22,EL4&gt;=ET$19),AND(EO4&lt;&gt;"",EO4&gt;=ET$22,EN4&gt;=ET$19),AND(EQ4&lt;&gt;"",EQ4&gt;=ET$22,EP4&gt;=ET$19)),"Performance",IF(I4="P","Worlds Team",IF(F4="P","National Team",""))))</f>
        <v>Worlds Team</v>
      </c>
      <c r="I4" s="2" t="str">
        <f t="shared" ref="I4:I14" si="4">IF(OR(AND(AO4&lt;&gt;"",AO4&gt;=AV$21,AN4&gt;=AV$18),AND(AU4&lt;&gt;"",AU4&gt;=AV$21,AT4&gt;=AV$18),AND(BS4&lt;&gt;"",BS4&gt;=BZ$21,BR4&gt;=BZ$18),AND(BY4&lt;&gt;"",BY4&gt;=BZ$21,BX4&gt;=BZ$18),AND(DB4&lt;&gt;"",DB4&gt;=DK$21,DA4&gt;=DK$18),AND(DJ4&lt;&gt;"",DJ4&gt;=DK$21,DI4&gt;=DK$18),AND(EK4&lt;&gt;"",EK4&gt;=ET$21,EJ4&gt;=ET$18),AND(ES4&lt;&gt;"",ES4&gt;=ET$21,ER4&gt;=ET$18)),"P","")</f>
        <v>P</v>
      </c>
      <c r="J4" s="7">
        <f t="shared" ref="J4:J14" si="5">IF(COUNT(AO4,BS4)&gt;0,MAX(AO4,BS4),0)</f>
        <v>50.5</v>
      </c>
      <c r="K4" s="7" t="str">
        <f t="shared" ref="K4:K14" si="6">IF(J4=0,"",IF(J4=BS4,$AW$1,IF(J4=AO4,$S$1,"")))</f>
        <v>2025 Nationals</v>
      </c>
      <c r="L4" s="7">
        <f>IF(J4=AO4,IF(COUNT(AQ4,AS4,BO4,BQ4,BU4,BW4)&gt;1,LARGE((AQ4,AS4,BO4,BQ4,BU4,BW4),1),0),IF(COUNT(AK4,AM4,AQ4,AS4,BU4,BW4)&gt;1,LARGE((AK4,AM4,AQ4,AS4,BU4,BW4),1),0))</f>
        <v>27.400000000000002</v>
      </c>
      <c r="M4" s="7" t="str">
        <f t="shared" ref="M4:M14" si="7">IF(L4=0,"",IF(OR(L4=BO4,L4=BQ4,L4=BU4,L4=BW4),$AW$1,IF(OR(L4=AK4,L4=AM4,L4=AQ4,L4=AS4),$S$1,"")))</f>
        <v>2025 Nationals</v>
      </c>
      <c r="N4" s="7">
        <f>IF(J4=AO4,IF(COUNT(AQ4,AS4,BO4,BQ4,BU4,BW4)&gt;1,LARGE((AQ4,AS4,BO4,BQ4,BU4,BW4),2),0),IF(COUNT(AK4,AM4,AQ4,AS4,BU4,BW4)&gt;1,LARGE((AK4,AM4,AQ4,AS4,BU4,BW4),2),0))</f>
        <v>27.400000000000002</v>
      </c>
      <c r="O4" s="7" t="str">
        <f t="shared" ref="O4:O14" si="8">IF(N4=0,"",IF(OR(N4=BO4,N4=BQ4,N4=BU4,N4=BW4),$AW$1,IF(OR(N4=AK4,N4=AM4,N4=AQ4,N4=AS4),$S$1,"")))</f>
        <v>2025 Nationals</v>
      </c>
      <c r="P4" s="7">
        <f t="shared" ref="P4:P14" si="9">IF(MAX(CA4:CB4)&gt;0,MAX(CA4:CB4),"")</f>
        <v>3.7999999999999972</v>
      </c>
      <c r="Q4" s="10" t="str">
        <f t="shared" ref="Q4:Q14" si="10">IF(P4="","",IF(P4=CA4,"("&amp;CA$2&amp;")",IF(P4=CB4,"("&amp;CB$2&amp;")")))</f>
        <v>(Q1)</v>
      </c>
      <c r="R4" s="7" t="str">
        <f t="shared" ref="R4:R14" si="11">IF(P4="","",IF(P4=CA4,IF(P4+MAX(J4,0)=EK4,$DL$1,IF(P4+MAX(J4,0)=DB4,$CC$1)),IF(P4=CB4,IF(P4+MAX(N4,0)=MAX(EG4,EI4,EM4,EO4,EQ4),$DL$1,IF(P4+MAX(N4,0)=MAX(CX4,CZ4,DD4,DF4,DH4),$CC$1)))))</f>
        <v>2025 Worlds (Nov 9)</v>
      </c>
      <c r="S4" s="39">
        <v>18.399999999999999</v>
      </c>
      <c r="T4" s="39">
        <v>7.3</v>
      </c>
      <c r="U4" s="39">
        <v>0</v>
      </c>
      <c r="V4" s="39">
        <v>0</v>
      </c>
      <c r="W4" s="39">
        <v>17.899999999999999</v>
      </c>
      <c r="X4" s="39">
        <v>6.9</v>
      </c>
      <c r="Y4" s="39">
        <v>0</v>
      </c>
      <c r="Z4" s="39">
        <v>0</v>
      </c>
      <c r="AA4" s="39">
        <v>18.600000000000001</v>
      </c>
      <c r="AB4" s="39">
        <v>8.8000000000000007</v>
      </c>
      <c r="AC4" s="39">
        <v>0</v>
      </c>
      <c r="AD4" s="39">
        <v>0</v>
      </c>
      <c r="AE4" s="39">
        <v>18.100000000000001</v>
      </c>
      <c r="AF4" s="39">
        <v>9.3000000000000007</v>
      </c>
      <c r="AG4" s="39">
        <v>0</v>
      </c>
      <c r="AH4" s="39">
        <v>0</v>
      </c>
      <c r="AI4" s="19"/>
      <c r="AJ4" s="42">
        <f t="shared" ref="AJ4:AJ14" si="12">IF(T4="","",T4)</f>
        <v>7.3</v>
      </c>
      <c r="AK4" s="42">
        <f t="shared" ref="AK4:AK14" si="13">IF(S4="","",S4+T4+V4-U4)</f>
        <v>25.7</v>
      </c>
      <c r="AL4" s="42">
        <f t="shared" ref="AL4:AL14" si="14">IF(X4="","",X4)</f>
        <v>6.9</v>
      </c>
      <c r="AM4" s="42">
        <f t="shared" ref="AM4:AM14" si="15">IF(W4="","",W4+X4+Z4-Y4)</f>
        <v>24.799999999999997</v>
      </c>
      <c r="AN4" s="27">
        <f t="shared" ref="AN4:AN14" si="16">IF(SUM(T4,X4)&gt;0,SUM(T4,X4),"")</f>
        <v>14.2</v>
      </c>
      <c r="AO4" s="27">
        <f t="shared" ref="AO4:AO14" si="17">IF(SUM(AK4,AM4)&gt;0,SUM(AK4,AM4),"")</f>
        <v>50.5</v>
      </c>
      <c r="AP4" s="27">
        <f t="shared" ref="AP4:AP14" si="18">IF(AB4="","",AB4)</f>
        <v>8.8000000000000007</v>
      </c>
      <c r="AQ4" s="27">
        <f t="shared" ref="AQ4:AQ14" si="19">IF(AA4="","",AA4+AB4+AD4-AC4)</f>
        <v>27.400000000000002</v>
      </c>
      <c r="AR4" s="27">
        <f t="shared" ref="AR4:AR14" si="20">IF(AF4="","",AF4)</f>
        <v>9.3000000000000007</v>
      </c>
      <c r="AS4" s="27">
        <f t="shared" ref="AS4:AS14" si="21">IF(AE4="","",AE4+AF4+AH4-AG4)</f>
        <v>27.400000000000002</v>
      </c>
      <c r="AT4" s="27">
        <f t="shared" ref="AT4:AT14" si="22">IF(SUM(AB4,AF4)&gt;0,SUM(AB4,AF4),"")</f>
        <v>18.100000000000001</v>
      </c>
      <c r="AU4" s="27">
        <f t="shared" ref="AU4:AU14" si="23">IF(SUM(AQ4,AS4)&gt;0,SUM(AQ4,AS4),"")</f>
        <v>54.800000000000004</v>
      </c>
      <c r="AV4" s="27">
        <f t="shared" ref="AV4:AV14" si="24">IF(SUM(AO4,AU4)&gt;0,SUM(AO4,AU4),"")</f>
        <v>105.30000000000001</v>
      </c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20"/>
      <c r="BN4" s="43" t="str">
        <f t="shared" ref="BN4:BN14" si="25">IF(AX4="","",AX4)</f>
        <v/>
      </c>
      <c r="BO4" s="43" t="str">
        <f t="shared" ref="BO4:BO14" si="26">IF(AW4="","",AW4+AX4+AZ4-AY4)</f>
        <v/>
      </c>
      <c r="BP4" s="43" t="str">
        <f t="shared" ref="BP4:BP14" si="27">IF(BB4="","",BB4)</f>
        <v/>
      </c>
      <c r="BQ4" s="43" t="str">
        <f t="shared" ref="BQ4:BQ14" si="28">IF(BA4="","",BA4+BB4+BD4-BC4)</f>
        <v/>
      </c>
      <c r="BR4" s="10" t="str">
        <f t="shared" ref="BR4:BR14" si="29">IF(SUM(AX4,BB4)&gt;0,SUM(AX4,BB4),"")</f>
        <v/>
      </c>
      <c r="BS4" s="10" t="str">
        <f t="shared" ref="BS4:BS14" si="30">IF(SUM(BO4,BQ4)&gt;0,SUM(BO4,BQ4),"")</f>
        <v/>
      </c>
      <c r="BT4" s="10" t="str">
        <f t="shared" ref="BT4:BT14" si="31">IF(BF4="","",BF4)</f>
        <v/>
      </c>
      <c r="BU4" s="10" t="str">
        <f t="shared" ref="BU4:BU14" si="32">IF(BE4="","",BE4+BF4+BH4-BG4)</f>
        <v/>
      </c>
      <c r="BV4" s="10" t="str">
        <f t="shared" ref="BV4:BV14" si="33">IF(BJ4="","",BJ4)</f>
        <v/>
      </c>
      <c r="BW4" s="10" t="str">
        <f t="shared" ref="BW4:BW14" si="34">IF(BI4="","",BI4+BJ4+BL4-BK4)</f>
        <v/>
      </c>
      <c r="BX4" s="10" t="str">
        <f t="shared" ref="BX4:BX14" si="35">IF(SUM(BF4,BJ4)&gt;0,SUM(BF4,BJ4),"")</f>
        <v/>
      </c>
      <c r="BY4" s="10" t="str">
        <f t="shared" ref="BY4:BY14" si="36">IF(SUM(BU4,BW4)&gt;0,SUM(BU4,BW4),"")</f>
        <v/>
      </c>
      <c r="BZ4" s="10" t="str">
        <f t="shared" ref="BZ4:BZ14" si="37">IF(SUM(BS4,BY4)&gt;0,SUM(BS4,BY4),"")</f>
        <v/>
      </c>
      <c r="CA4" s="34">
        <f t="shared" ref="CA4:CA14" si="38">IF(MAX(DB4,EK4)-IF(J4="",0,J4)&gt;0.001,MAX(DB4,EK4)-IF(J4="",0,J4),"")</f>
        <v>3.7999999999999972</v>
      </c>
      <c r="CB4" s="34">
        <f t="shared" ref="CB4:CB14" si="39">IF(MAX(CX4,CZ4,DD4,DF4,DH4,EG4,EI4,EM4,EO4)-IF(N4="",0,N4)&gt;0.001,MAX(CX4,CZ4,DD4,DF4,DH4,EG4,EI4,EM4,EO4)-IF(N4="",0,N4),"")</f>
        <v>0.29999999999999716</v>
      </c>
      <c r="CC4" s="14">
        <v>17.8</v>
      </c>
      <c r="CD4" s="14">
        <v>8.8000000000000007</v>
      </c>
      <c r="CE4" s="14">
        <v>0</v>
      </c>
      <c r="CF4" s="14">
        <v>0</v>
      </c>
      <c r="CG4" s="14">
        <v>18.399999999999999</v>
      </c>
      <c r="CH4" s="14">
        <v>9.3000000000000007</v>
      </c>
      <c r="CI4" s="14">
        <v>0</v>
      </c>
      <c r="CJ4" s="14">
        <v>0</v>
      </c>
      <c r="CK4" s="14">
        <v>18.100000000000001</v>
      </c>
      <c r="CL4" s="14">
        <v>9.3000000000000007</v>
      </c>
      <c r="CM4" s="14">
        <v>0</v>
      </c>
      <c r="CN4" s="14">
        <v>0</v>
      </c>
      <c r="CO4" s="14">
        <v>18</v>
      </c>
      <c r="CP4" s="14">
        <v>9.6</v>
      </c>
      <c r="CQ4" s="14">
        <v>0</v>
      </c>
      <c r="CR4" s="14">
        <v>0</v>
      </c>
      <c r="CS4" s="14"/>
      <c r="CT4" s="14"/>
      <c r="CU4" s="14"/>
      <c r="CV4" s="14"/>
      <c r="CW4" s="27">
        <f t="shared" ref="CW4:CW14" si="40">IF(CD4="","",CD4)</f>
        <v>8.8000000000000007</v>
      </c>
      <c r="CX4" s="27">
        <f t="shared" ref="CX4:CX14" si="41">IF(CC4="","",CC4+CD4+CF4-CE4)</f>
        <v>26.6</v>
      </c>
      <c r="CY4" s="27">
        <f t="shared" ref="CY4:CY14" si="42">IF(CH4="","",CH4)</f>
        <v>9.3000000000000007</v>
      </c>
      <c r="CZ4" s="27">
        <f t="shared" ref="CZ4:CZ14" si="43">IF(CG4="","",CG4+CH4+CJ4-CI4)</f>
        <v>27.7</v>
      </c>
      <c r="DA4" s="27">
        <f t="shared" ref="DA4:DA14" si="44">IF(CW4="","",SUM(CW4,CY4))</f>
        <v>18.100000000000001</v>
      </c>
      <c r="DB4" s="27">
        <f t="shared" ref="DB4:DB14" si="45">IF(CX4="","",SUM(CX4,CZ4))</f>
        <v>54.3</v>
      </c>
      <c r="DC4" s="27">
        <f t="shared" ref="DC4:DC14" si="46">IF(CL4="","",CL4)</f>
        <v>9.3000000000000007</v>
      </c>
      <c r="DD4" s="27">
        <f t="shared" ref="DD4:DD14" si="47">IF(CK4="","",CK4+CL4+CN4-CM4)</f>
        <v>27.400000000000002</v>
      </c>
      <c r="DE4" s="27">
        <f t="shared" ref="DE4:DE14" si="48">IF(CP4="","",CP4)</f>
        <v>9.6</v>
      </c>
      <c r="DF4" s="27">
        <f t="shared" ref="DF4:DF14" si="49">IF(CO4="","",CO4+CP4+CR4-CQ4)</f>
        <v>27.6</v>
      </c>
      <c r="DG4" s="27" t="str">
        <f t="shared" ref="DG4:DG14" si="50">IF(CT4="","",CT4)</f>
        <v/>
      </c>
      <c r="DH4" s="27" t="str">
        <f t="shared" ref="DH4:DH14" si="51">IF(CS4="","",CS4+CT4+CV4-CU4)</f>
        <v/>
      </c>
      <c r="DI4" s="27">
        <f t="shared" ref="DI4:DI14" si="52">IF(DE4="","",SUM(DE4,DG4))</f>
        <v>9.6</v>
      </c>
      <c r="DJ4" s="27">
        <f t="shared" ref="DJ4:DJ14" si="53">IF(DF4="","",SUM(DF4,DH4))</f>
        <v>27.6</v>
      </c>
      <c r="DK4" s="27">
        <f t="shared" ref="DK4:DK14" si="54">IF(DB4="","",SUM(DB4,DD4,DH4))</f>
        <v>81.7</v>
      </c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0" t="str">
        <f t="shared" ref="EF4:EF14" si="55">IF(DM4="","",DM4)</f>
        <v/>
      </c>
      <c r="EG4" s="10" t="str">
        <f t="shared" ref="EG4:EG14" si="56">IF(DL4="","",DL4+DM4+DO4-DN4)</f>
        <v/>
      </c>
      <c r="EH4" s="10" t="str">
        <f t="shared" ref="EH4:EH14" si="57">IF(DQ4="","",DQ4)</f>
        <v/>
      </c>
      <c r="EI4" s="10" t="str">
        <f t="shared" ref="EI4:EI14" si="58">IF(DP4="","",DP4+DQ4+DS4-DR4)</f>
        <v/>
      </c>
      <c r="EJ4" s="10" t="str">
        <f t="shared" ref="EJ4:EJ14" si="59">IF(EF4="","",SUM(EF4,EH4))</f>
        <v/>
      </c>
      <c r="EK4" s="10" t="str">
        <f t="shared" ref="EK4:EK14" si="60">IF(EG4="","",SUM(EG4,EI4))</f>
        <v/>
      </c>
      <c r="EL4" s="10" t="str">
        <f t="shared" ref="EL4:EL14" si="61">IF(DU4="","",DU4)</f>
        <v/>
      </c>
      <c r="EM4" s="10" t="str">
        <f t="shared" ref="EM4:EM14" si="62">IF(DT4="","",DT4+DU4+DW4-DV4)</f>
        <v/>
      </c>
      <c r="EN4" s="10" t="str">
        <f t="shared" ref="EN4:EN14" si="63">IF(DY4="","",DY4)</f>
        <v/>
      </c>
      <c r="EO4" s="10" t="str">
        <f t="shared" ref="EO4:EO14" si="64">IF(DX4="","",DX4+DY4+EA4-DZ4)</f>
        <v/>
      </c>
      <c r="EP4" s="10" t="str">
        <f t="shared" ref="EP4:EP14" si="65">IF(EC4="","",EC4)</f>
        <v/>
      </c>
      <c r="EQ4" s="10" t="str">
        <f t="shared" ref="EQ4:EQ14" si="66">IF(EB4="","",EB4+EC4+EE4-ED4)</f>
        <v/>
      </c>
      <c r="ER4" s="10" t="str">
        <f t="shared" ref="ER4:ER14" si="67">IF(EN4="","",SUM(EN4,EP4))</f>
        <v/>
      </c>
      <c r="ES4" s="10" t="str">
        <f t="shared" ref="ES4:ES14" si="68">IF(EO4="","",SUM(EO4,EQ4))</f>
        <v/>
      </c>
      <c r="ET4" s="10" t="str">
        <f t="shared" ref="ET4:ET14" si="69">IF(EK4="","",SUM(EK4,EM4,EQ4))</f>
        <v/>
      </c>
      <c r="EU4" s="44">
        <f t="shared" ref="EU4:EU14" si="70">IF(BM4="P",IF(AI4="P",AW4,AW4*0.8),(S4+AW4)/2)</f>
        <v>9.1999999999999993</v>
      </c>
      <c r="EV4" s="44">
        <f t="shared" ref="EV4:EV14" si="71">IF(BN4="P",IF(AJ4="P",AX4,AX4*0.8),(T4+AX4)/2)</f>
        <v>3.65</v>
      </c>
      <c r="EW4" s="44">
        <f t="shared" ref="EW4:EW14" si="72">IF(BO4="P",IF(AK4="P",AY4,AY4*0.8),(U4+AY4)/2)</f>
        <v>0</v>
      </c>
      <c r="EX4" s="44">
        <f t="shared" ref="EX4:EX14" si="73">IF(BP4="P",IF(AL4="P",AZ4,AZ4*0.8),(V4+AZ4)/2)</f>
        <v>0</v>
      </c>
      <c r="EY4" s="44">
        <f t="shared" ref="EY4:EY14" si="74">IF(BQ4="P",IF(AM4="P",BA4,BA4*0.8),(W4+BA4)/2)</f>
        <v>8.9499999999999993</v>
      </c>
      <c r="EZ4" s="44">
        <f t="shared" ref="EZ4:EZ14" si="75">IF(BR4="P",IF(AN4="P",BB4,BB4*0.8),(X4+BB4)/2)</f>
        <v>3.45</v>
      </c>
      <c r="FA4" s="44">
        <f t="shared" ref="FA4:FA14" si="76">IF(BS4="P",IF(AO4="P",BC4,BC4*0.8),(Y4+BC4)/2)</f>
        <v>0</v>
      </c>
      <c r="FB4" s="44">
        <f t="shared" ref="FB4:FB14" si="77">IF(BT4="P",IF(AP4="P",BD4,BD4*0.8),(Z4+BD4)/2)</f>
        <v>0</v>
      </c>
      <c r="FC4" s="44">
        <f t="shared" ref="FC4:FC14" si="78">IF(BU4="P",IF(AQ4="P",BE4,BE4*0.8),(AA4+BE4)/2)</f>
        <v>9.3000000000000007</v>
      </c>
      <c r="FD4" s="44">
        <f t="shared" ref="FD4:FD14" si="79">IF(BV4="P",IF(AR4="P",BF4,BF4*0.8),(AB4+BF4)/2)</f>
        <v>4.4000000000000004</v>
      </c>
      <c r="FE4" s="44">
        <f t="shared" ref="FE4:FE14" si="80">IF(BW4="P",IF(AS4="P",BG4,BG4*0.8),(AC4+BG4)/2)</f>
        <v>0</v>
      </c>
      <c r="FF4" s="44">
        <f t="shared" ref="FF4:FF14" si="81">IF(BX4="P",IF(AT4="P",BH4,BH4*0.8),(AD4+BH4)/2)</f>
        <v>0</v>
      </c>
      <c r="FG4" s="44">
        <f t="shared" ref="FG4:FG14" si="82">IF(BY4="P",IF(AU4="P",BI4,BI4*0.8),(AE4+BI4)/2)</f>
        <v>9.0500000000000007</v>
      </c>
      <c r="FH4" s="44">
        <f t="shared" ref="FH4:FH14" si="83">IF(BZ4="P",IF(AV4="P",BJ4,BJ4*0.8),(AF4+BJ4)/2)</f>
        <v>4.6500000000000004</v>
      </c>
      <c r="FI4" s="44">
        <f t="shared" ref="FI4:FI14" si="84">IF(CA4="P",IF(AW4="P",BK4,BK4*0.8),(AG4+BK4)/2)</f>
        <v>0</v>
      </c>
      <c r="FJ4" s="44">
        <f t="shared" ref="FJ4:FJ14" si="85">IF(CB4="P",IF(AX4="P",BL4,BL4*0.8),(AH4+BL4)/2)</f>
        <v>0</v>
      </c>
      <c r="FK4" s="20" t="s">
        <v>29</v>
      </c>
      <c r="FL4" s="10">
        <f t="shared" ref="FL4:FL14" si="86">IF(EV4="","",EV4)</f>
        <v>3.65</v>
      </c>
      <c r="FM4" s="10">
        <f t="shared" ref="FM4:FM14" si="87">IF(EU4="","",EU4+EV4+EX4-EW4)</f>
        <v>12.85</v>
      </c>
      <c r="FN4" s="10">
        <f t="shared" ref="FN4:FN14" si="88">IF(EZ4="","",EZ4)</f>
        <v>3.45</v>
      </c>
      <c r="FO4" s="10">
        <f t="shared" ref="FO4:FO14" si="89">IF(EY4="","",EY4+EZ4+FB4-FA4)</f>
        <v>12.399999999999999</v>
      </c>
      <c r="FP4" s="10">
        <f t="shared" ref="FP4:FP14" si="90">IF(SUM(EV4,EZ4)&gt;0,SUM(EV4,EZ4),"")</f>
        <v>7.1</v>
      </c>
      <c r="FQ4" s="10">
        <f>IF(SUM(FM4,FO4)&gt;0,SUM(FM4,FO4),"")</f>
        <v>25.25</v>
      </c>
      <c r="FR4" s="10">
        <f>IF(FD4="","",FD4)</f>
        <v>4.4000000000000004</v>
      </c>
      <c r="FS4" s="10">
        <f>IF(FC4="","",FC4+FD4+FF4-FE4)</f>
        <v>13.700000000000001</v>
      </c>
      <c r="FT4" s="10">
        <f>IF(FH4="","",FH4)</f>
        <v>4.6500000000000004</v>
      </c>
      <c r="FU4" s="10">
        <f>IF(FG4="","",FG4+FH4+FJ4-FI4)</f>
        <v>13.700000000000001</v>
      </c>
      <c r="FV4" s="10">
        <f>IF(SUM(FD4,FH4)&gt;0,SUM(FD4,FH4),"")</f>
        <v>9.0500000000000007</v>
      </c>
      <c r="FW4" s="10">
        <f t="shared" ref="FW4:FW14" si="91">IF(SUM(FS4,FU4)&gt;0,SUM(FS4,FU4),"")</f>
        <v>27.400000000000002</v>
      </c>
      <c r="FX4" s="10">
        <f t="shared" ref="FX4:FX14" si="92">IF(SUM(FQ4,FW4)&gt;0,SUM(FQ4,FW4),"")</f>
        <v>52.650000000000006</v>
      </c>
    </row>
    <row r="5" spans="1:180" x14ac:dyDescent="0.2">
      <c r="A5" s="3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>2</v>
      </c>
      <c r="B5" s="4" t="s">
        <v>102</v>
      </c>
      <c r="C5" s="3" t="s">
        <v>6</v>
      </c>
      <c r="D5" s="3">
        <v>2006</v>
      </c>
      <c r="E5" s="8">
        <f t="shared" si="0"/>
        <v>103.40000772000516</v>
      </c>
      <c r="F5" s="2" t="str">
        <f t="shared" si="1"/>
        <v>P</v>
      </c>
      <c r="G5" s="2" t="str">
        <f t="shared" si="2"/>
        <v>P</v>
      </c>
      <c r="H5" s="26" t="str">
        <f t="shared" si="3"/>
        <v>Worlds Team</v>
      </c>
      <c r="I5" s="2" t="str">
        <f t="shared" si="4"/>
        <v>P</v>
      </c>
      <c r="J5" s="7">
        <f t="shared" si="5"/>
        <v>51.6</v>
      </c>
      <c r="K5" s="7" t="str">
        <f t="shared" si="6"/>
        <v>2025 Nationals</v>
      </c>
      <c r="L5" s="7">
        <f>IF(J5=AO5,IF(COUNT(AQ5,AS5,BO5,BQ5,BU5,BW5)&gt;1,LARGE((AQ5,AS5,BO5,BQ5,BU5,BW5),1),0),IF(COUNT(AK5,AM5,AQ5,AS5,BU5,BW5)&gt;1,LARGE((AK5,AM5,AQ5,AS5,BU5,BW5),1),0))</f>
        <v>25.6</v>
      </c>
      <c r="M5" s="7" t="str">
        <f t="shared" si="7"/>
        <v>2025 3rd Domestic Trial</v>
      </c>
      <c r="N5" s="7">
        <f>IF(J5=AO5,IF(COUNT(AQ5,AS5,BO5,BQ5,BU5,BW5)&gt;1,LARGE((AQ5,AS5,BO5,BQ5,BU5,BW5),2),0),IF(COUNT(AK5,AM5,AQ5,AS5,BU5,BW5)&gt;1,LARGE((AK5,AM5,AQ5,AS5,BU5,BW5),2),0))</f>
        <v>25.5</v>
      </c>
      <c r="O5" s="7" t="str">
        <f t="shared" si="8"/>
        <v>2025 Nationals</v>
      </c>
      <c r="P5" s="7">
        <f t="shared" si="9"/>
        <v>0.69999999999999929</v>
      </c>
      <c r="Q5" s="10" t="str">
        <f t="shared" si="10"/>
        <v>(Pass)</v>
      </c>
      <c r="R5" s="7" t="str">
        <f t="shared" si="11"/>
        <v>2025 Worlds (Nov 9)</v>
      </c>
      <c r="S5" s="39">
        <v>18.399999999999999</v>
      </c>
      <c r="T5" s="39">
        <v>6.5</v>
      </c>
      <c r="U5" s="39">
        <v>0</v>
      </c>
      <c r="V5" s="39">
        <v>0</v>
      </c>
      <c r="W5" s="39">
        <v>18.8</v>
      </c>
      <c r="X5" s="39">
        <v>7.9</v>
      </c>
      <c r="Y5" s="39">
        <v>0</v>
      </c>
      <c r="Z5" s="39">
        <v>0</v>
      </c>
      <c r="AA5" s="39">
        <v>16.600000000000001</v>
      </c>
      <c r="AB5" s="39">
        <v>4.5</v>
      </c>
      <c r="AC5" s="39">
        <v>0</v>
      </c>
      <c r="AD5" s="39">
        <v>0</v>
      </c>
      <c r="AE5" s="39">
        <v>17.2</v>
      </c>
      <c r="AF5" s="39">
        <v>8.3000000000000007</v>
      </c>
      <c r="AG5" s="39">
        <v>0</v>
      </c>
      <c r="AH5" s="39">
        <v>0</v>
      </c>
      <c r="AI5" s="19"/>
      <c r="AJ5" s="42">
        <f t="shared" si="12"/>
        <v>6.5</v>
      </c>
      <c r="AK5" s="42">
        <f t="shared" si="13"/>
        <v>24.9</v>
      </c>
      <c r="AL5" s="42">
        <f t="shared" si="14"/>
        <v>7.9</v>
      </c>
      <c r="AM5" s="42">
        <f t="shared" si="15"/>
        <v>26.700000000000003</v>
      </c>
      <c r="AN5" s="27">
        <f t="shared" si="16"/>
        <v>14.4</v>
      </c>
      <c r="AO5" s="27">
        <f t="shared" si="17"/>
        <v>51.6</v>
      </c>
      <c r="AP5" s="27">
        <f t="shared" si="18"/>
        <v>4.5</v>
      </c>
      <c r="AQ5" s="27">
        <f t="shared" si="19"/>
        <v>21.1</v>
      </c>
      <c r="AR5" s="27">
        <f t="shared" si="20"/>
        <v>8.3000000000000007</v>
      </c>
      <c r="AS5" s="27">
        <f t="shared" si="21"/>
        <v>25.5</v>
      </c>
      <c r="AT5" s="27">
        <f t="shared" si="22"/>
        <v>12.8</v>
      </c>
      <c r="AU5" s="27">
        <f t="shared" si="23"/>
        <v>46.6</v>
      </c>
      <c r="AV5" s="27">
        <f t="shared" si="24"/>
        <v>98.2</v>
      </c>
      <c r="AW5" s="15">
        <v>17.600000000000001</v>
      </c>
      <c r="AX5" s="15">
        <v>7.7</v>
      </c>
      <c r="AY5" s="15">
        <v>0</v>
      </c>
      <c r="AZ5" s="15">
        <v>0</v>
      </c>
      <c r="BA5" s="15">
        <v>11.1</v>
      </c>
      <c r="BB5" s="15">
        <v>3.1</v>
      </c>
      <c r="BC5" s="15">
        <v>0</v>
      </c>
      <c r="BD5" s="15">
        <v>0</v>
      </c>
      <c r="BE5" s="15">
        <v>17.2</v>
      </c>
      <c r="BF5" s="15">
        <v>7.7</v>
      </c>
      <c r="BG5" s="15">
        <v>0</v>
      </c>
      <c r="BH5" s="15">
        <v>0</v>
      </c>
      <c r="BI5" s="15">
        <v>18.100000000000001</v>
      </c>
      <c r="BJ5" s="15">
        <v>7.5</v>
      </c>
      <c r="BK5" s="15">
        <v>0</v>
      </c>
      <c r="BL5" s="15">
        <v>0</v>
      </c>
      <c r="BM5" s="20"/>
      <c r="BN5" s="43">
        <f t="shared" si="25"/>
        <v>7.7</v>
      </c>
      <c r="BO5" s="43">
        <f t="shared" si="26"/>
        <v>25.3</v>
      </c>
      <c r="BP5" s="43">
        <f t="shared" si="27"/>
        <v>3.1</v>
      </c>
      <c r="BQ5" s="43">
        <f t="shared" si="28"/>
        <v>14.2</v>
      </c>
      <c r="BR5" s="10">
        <f t="shared" si="29"/>
        <v>10.8</v>
      </c>
      <c r="BS5" s="10">
        <f t="shared" si="30"/>
        <v>39.5</v>
      </c>
      <c r="BT5" s="10">
        <f t="shared" si="31"/>
        <v>7.7</v>
      </c>
      <c r="BU5" s="10">
        <f t="shared" si="32"/>
        <v>24.9</v>
      </c>
      <c r="BV5" s="10">
        <f t="shared" si="33"/>
        <v>7.5</v>
      </c>
      <c r="BW5" s="10">
        <f t="shared" si="34"/>
        <v>25.6</v>
      </c>
      <c r="BX5" s="10">
        <f t="shared" si="35"/>
        <v>15.2</v>
      </c>
      <c r="BY5" s="10">
        <f t="shared" si="36"/>
        <v>50.5</v>
      </c>
      <c r="BZ5" s="10">
        <f t="shared" si="37"/>
        <v>90</v>
      </c>
      <c r="CA5" s="34" t="str">
        <f t="shared" si="38"/>
        <v/>
      </c>
      <c r="CB5" s="34">
        <f t="shared" si="39"/>
        <v>0.69999999999999929</v>
      </c>
      <c r="CC5" s="14">
        <v>17.7</v>
      </c>
      <c r="CD5" s="14">
        <v>8.6999999999999993</v>
      </c>
      <c r="CE5" s="14">
        <v>0.2</v>
      </c>
      <c r="CF5" s="14">
        <v>0</v>
      </c>
      <c r="CG5" s="14">
        <v>17.899999999999999</v>
      </c>
      <c r="CH5" s="14">
        <v>7.5</v>
      </c>
      <c r="CI5" s="14">
        <v>0</v>
      </c>
      <c r="CJ5" s="14">
        <v>0</v>
      </c>
      <c r="CK5" s="14">
        <v>17</v>
      </c>
      <c r="CL5" s="14">
        <v>4.5</v>
      </c>
      <c r="CM5" s="14">
        <v>0</v>
      </c>
      <c r="CN5" s="14">
        <v>0</v>
      </c>
      <c r="CO5" s="14"/>
      <c r="CP5" s="14"/>
      <c r="CQ5" s="14"/>
      <c r="CR5" s="14"/>
      <c r="CS5" s="14"/>
      <c r="CT5" s="14"/>
      <c r="CU5" s="14"/>
      <c r="CV5" s="14"/>
      <c r="CW5" s="27">
        <f t="shared" si="40"/>
        <v>8.6999999999999993</v>
      </c>
      <c r="CX5" s="27">
        <f t="shared" si="41"/>
        <v>26.2</v>
      </c>
      <c r="CY5" s="27">
        <f t="shared" si="42"/>
        <v>7.5</v>
      </c>
      <c r="CZ5" s="27">
        <f t="shared" si="43"/>
        <v>25.4</v>
      </c>
      <c r="DA5" s="27">
        <f t="shared" si="44"/>
        <v>16.2</v>
      </c>
      <c r="DB5" s="27">
        <f t="shared" si="45"/>
        <v>51.599999999999994</v>
      </c>
      <c r="DC5" s="27">
        <f t="shared" si="46"/>
        <v>4.5</v>
      </c>
      <c r="DD5" s="27">
        <f t="shared" si="47"/>
        <v>21.5</v>
      </c>
      <c r="DE5" s="27" t="str">
        <f t="shared" si="48"/>
        <v/>
      </c>
      <c r="DF5" s="27" t="str">
        <f t="shared" si="49"/>
        <v/>
      </c>
      <c r="DG5" s="27" t="str">
        <f t="shared" si="50"/>
        <v/>
      </c>
      <c r="DH5" s="27" t="str">
        <f t="shared" si="51"/>
        <v/>
      </c>
      <c r="DI5" s="27" t="str">
        <f t="shared" si="52"/>
        <v/>
      </c>
      <c r="DJ5" s="27" t="str">
        <f t="shared" si="53"/>
        <v/>
      </c>
      <c r="DK5" s="27">
        <f t="shared" si="54"/>
        <v>73.099999999999994</v>
      </c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0" t="str">
        <f t="shared" si="55"/>
        <v/>
      </c>
      <c r="EG5" s="10" t="str">
        <f t="shared" si="56"/>
        <v/>
      </c>
      <c r="EH5" s="10" t="str">
        <f t="shared" si="57"/>
        <v/>
      </c>
      <c r="EI5" s="10" t="str">
        <f t="shared" si="58"/>
        <v/>
      </c>
      <c r="EJ5" s="10" t="str">
        <f t="shared" si="59"/>
        <v/>
      </c>
      <c r="EK5" s="10" t="str">
        <f t="shared" si="60"/>
        <v/>
      </c>
      <c r="EL5" s="10" t="str">
        <f t="shared" si="61"/>
        <v/>
      </c>
      <c r="EM5" s="10" t="str">
        <f t="shared" si="62"/>
        <v/>
      </c>
      <c r="EN5" s="10" t="str">
        <f t="shared" si="63"/>
        <v/>
      </c>
      <c r="EO5" s="10" t="str">
        <f t="shared" si="64"/>
        <v/>
      </c>
      <c r="EP5" s="10" t="str">
        <f t="shared" si="65"/>
        <v/>
      </c>
      <c r="EQ5" s="10" t="str">
        <f t="shared" si="66"/>
        <v/>
      </c>
      <c r="ER5" s="10" t="str">
        <f t="shared" si="67"/>
        <v/>
      </c>
      <c r="ES5" s="10" t="str">
        <f t="shared" si="68"/>
        <v/>
      </c>
      <c r="ET5" s="10" t="str">
        <f t="shared" si="69"/>
        <v/>
      </c>
      <c r="EU5" s="44">
        <f t="shared" si="70"/>
        <v>18</v>
      </c>
      <c r="EV5" s="44">
        <f t="shared" si="71"/>
        <v>7.1</v>
      </c>
      <c r="EW5" s="44">
        <f t="shared" si="72"/>
        <v>0</v>
      </c>
      <c r="EX5" s="44">
        <f t="shared" si="73"/>
        <v>0</v>
      </c>
      <c r="EY5" s="44">
        <f t="shared" si="74"/>
        <v>14.95</v>
      </c>
      <c r="EZ5" s="44">
        <f t="shared" si="75"/>
        <v>5.5</v>
      </c>
      <c r="FA5" s="44">
        <f t="shared" si="76"/>
        <v>0</v>
      </c>
      <c r="FB5" s="44">
        <f t="shared" si="77"/>
        <v>0</v>
      </c>
      <c r="FC5" s="44">
        <f t="shared" si="78"/>
        <v>16.899999999999999</v>
      </c>
      <c r="FD5" s="44">
        <f t="shared" si="79"/>
        <v>6.1</v>
      </c>
      <c r="FE5" s="44">
        <f t="shared" si="80"/>
        <v>0</v>
      </c>
      <c r="FF5" s="44">
        <f t="shared" si="81"/>
        <v>0</v>
      </c>
      <c r="FG5" s="44">
        <f t="shared" si="82"/>
        <v>17.649999999999999</v>
      </c>
      <c r="FH5" s="44">
        <f t="shared" si="83"/>
        <v>7.9</v>
      </c>
      <c r="FI5" s="44">
        <f t="shared" si="84"/>
        <v>0</v>
      </c>
      <c r="FJ5" s="44">
        <f t="shared" si="85"/>
        <v>0</v>
      </c>
      <c r="FK5" s="20" t="s">
        <v>29</v>
      </c>
      <c r="FL5" s="10">
        <f t="shared" si="86"/>
        <v>7.1</v>
      </c>
      <c r="FM5" s="10">
        <f t="shared" si="87"/>
        <v>25.1</v>
      </c>
      <c r="FN5" s="10">
        <f t="shared" si="88"/>
        <v>5.5</v>
      </c>
      <c r="FO5" s="10">
        <f t="shared" si="89"/>
        <v>20.45</v>
      </c>
      <c r="FP5" s="10">
        <f t="shared" si="90"/>
        <v>12.6</v>
      </c>
      <c r="FQ5" s="10">
        <f t="shared" ref="FQ5:FQ14" si="93">IF(SUM(FM5,FO5)&gt;0,SUM(FM5,FO5),"")</f>
        <v>45.55</v>
      </c>
      <c r="FR5" s="10">
        <f t="shared" ref="FR5:FR14" si="94">IF(FD5="","",FD5)</f>
        <v>6.1</v>
      </c>
      <c r="FS5" s="10">
        <f t="shared" ref="FS5:FS14" si="95">IF(FC5="","",FC5+FD5+FF5-FE5)</f>
        <v>23</v>
      </c>
      <c r="FT5" s="10">
        <f t="shared" ref="FT5:FT14" si="96">IF(FH5="","",FH5)</f>
        <v>7.9</v>
      </c>
      <c r="FU5" s="10">
        <f t="shared" ref="FU5:FU14" si="97">IF(FG5="","",FG5+FH5+FJ5-FI5)</f>
        <v>25.549999999999997</v>
      </c>
      <c r="FV5" s="10">
        <f t="shared" ref="FV5:FV14" si="98">IF(SUM(FD5,FH5)&gt;0,SUM(FD5,FH5),"")</f>
        <v>14</v>
      </c>
      <c r="FW5" s="10">
        <f t="shared" si="91"/>
        <v>48.55</v>
      </c>
      <c r="FX5" s="10">
        <f t="shared" si="92"/>
        <v>94.1</v>
      </c>
    </row>
    <row r="6" spans="1:180" x14ac:dyDescent="0.2">
      <c r="A6" s="3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>3</v>
      </c>
      <c r="B6" s="4" t="s">
        <v>61</v>
      </c>
      <c r="C6" s="3" t="s">
        <v>4</v>
      </c>
      <c r="D6" s="3">
        <v>2002</v>
      </c>
      <c r="E6" s="8">
        <f t="shared" si="0"/>
        <v>95.200007090004647</v>
      </c>
      <c r="F6" s="2" t="str">
        <f t="shared" si="1"/>
        <v>P</v>
      </c>
      <c r="G6" s="2" t="str">
        <f t="shared" si="2"/>
        <v>P</v>
      </c>
      <c r="H6" s="26" t="str">
        <f t="shared" si="3"/>
        <v>Worlds Team</v>
      </c>
      <c r="I6" s="2" t="str">
        <f t="shared" si="4"/>
        <v>P</v>
      </c>
      <c r="J6" s="7">
        <f t="shared" si="5"/>
        <v>46.5</v>
      </c>
      <c r="K6" s="7" t="str">
        <f t="shared" si="6"/>
        <v>2025 3rd Domestic Trial</v>
      </c>
      <c r="L6" s="7">
        <f>IF(J6=AO6,IF(COUNT(AQ6,AS6,BO6,BQ6,BU6,BW6)&gt;1,LARGE((AQ6,AS6,BO6,BQ6,BU6,BW6),1),0),IF(COUNT(AK6,AM6,AQ6,AS6,BU6,BW6)&gt;1,LARGE((AK6,AM6,AQ6,AS6,BU6,BW6),1),0))</f>
        <v>24.400000000000002</v>
      </c>
      <c r="M6" s="7" t="str">
        <f t="shared" si="7"/>
        <v>2025 Nationals</v>
      </c>
      <c r="N6" s="7">
        <f>IF(J6=AO6,IF(COUNT(AQ6,AS6,BO6,BQ6,BU6,BW6)&gt;1,LARGE((AQ6,AS6,BO6,BQ6,BU6,BW6),2),0),IF(COUNT(AK6,AM6,AQ6,AS6,BU6,BW6)&gt;1,LARGE((AK6,AM6,AQ6,AS6,BU6,BW6),2),0))</f>
        <v>24.299999999999997</v>
      </c>
      <c r="O6" s="7" t="str">
        <f t="shared" si="8"/>
        <v>2025 Nationals</v>
      </c>
      <c r="P6" s="7" t="str">
        <f t="shared" si="9"/>
        <v/>
      </c>
      <c r="Q6" s="10" t="str">
        <f t="shared" si="10"/>
        <v/>
      </c>
      <c r="R6" s="7" t="str">
        <f t="shared" si="11"/>
        <v/>
      </c>
      <c r="S6" s="39">
        <v>15.6</v>
      </c>
      <c r="T6" s="39">
        <v>3.3</v>
      </c>
      <c r="U6" s="39">
        <v>0</v>
      </c>
      <c r="V6" s="39">
        <v>0</v>
      </c>
      <c r="W6" s="39">
        <v>16.3</v>
      </c>
      <c r="X6" s="39">
        <v>6.1</v>
      </c>
      <c r="Y6" s="39">
        <v>0.2</v>
      </c>
      <c r="Z6" s="39">
        <v>0</v>
      </c>
      <c r="AA6" s="39">
        <v>18.100000000000001</v>
      </c>
      <c r="AB6" s="39">
        <v>6.5</v>
      </c>
      <c r="AC6" s="39">
        <v>0.2</v>
      </c>
      <c r="AD6" s="39">
        <v>0</v>
      </c>
      <c r="AE6" s="39">
        <v>18.2</v>
      </c>
      <c r="AF6" s="39">
        <v>6.1</v>
      </c>
      <c r="AG6" s="39">
        <v>0</v>
      </c>
      <c r="AH6" s="39">
        <v>0</v>
      </c>
      <c r="AI6" s="19"/>
      <c r="AJ6" s="42">
        <f t="shared" si="12"/>
        <v>3.3</v>
      </c>
      <c r="AK6" s="42">
        <f t="shared" si="13"/>
        <v>18.899999999999999</v>
      </c>
      <c r="AL6" s="42">
        <f t="shared" si="14"/>
        <v>6.1</v>
      </c>
      <c r="AM6" s="42">
        <f t="shared" si="15"/>
        <v>22.2</v>
      </c>
      <c r="AN6" s="27">
        <f t="shared" si="16"/>
        <v>9.3999999999999986</v>
      </c>
      <c r="AO6" s="27">
        <f t="shared" si="17"/>
        <v>41.099999999999994</v>
      </c>
      <c r="AP6" s="27">
        <f t="shared" si="18"/>
        <v>6.5</v>
      </c>
      <c r="AQ6" s="27">
        <f t="shared" si="19"/>
        <v>24.400000000000002</v>
      </c>
      <c r="AR6" s="27">
        <f t="shared" si="20"/>
        <v>6.1</v>
      </c>
      <c r="AS6" s="27">
        <f t="shared" si="21"/>
        <v>24.299999999999997</v>
      </c>
      <c r="AT6" s="27">
        <f t="shared" si="22"/>
        <v>12.6</v>
      </c>
      <c r="AU6" s="27">
        <f t="shared" si="23"/>
        <v>48.7</v>
      </c>
      <c r="AV6" s="27">
        <f t="shared" si="24"/>
        <v>89.8</v>
      </c>
      <c r="AW6" s="15">
        <v>17</v>
      </c>
      <c r="AX6" s="15">
        <v>5.8</v>
      </c>
      <c r="AY6" s="15">
        <v>0</v>
      </c>
      <c r="AZ6" s="15">
        <v>0</v>
      </c>
      <c r="BA6" s="15">
        <v>17.2</v>
      </c>
      <c r="BB6" s="15">
        <v>6.5</v>
      </c>
      <c r="BC6" s="15">
        <v>0</v>
      </c>
      <c r="BD6" s="15">
        <v>0</v>
      </c>
      <c r="BE6" s="15">
        <v>17.600000000000001</v>
      </c>
      <c r="BF6" s="15">
        <v>5.6</v>
      </c>
      <c r="BG6" s="15">
        <v>0</v>
      </c>
      <c r="BH6" s="15">
        <v>0</v>
      </c>
      <c r="BI6" s="15">
        <v>11.7</v>
      </c>
      <c r="BJ6" s="15">
        <v>3.4</v>
      </c>
      <c r="BK6" s="15">
        <v>0</v>
      </c>
      <c r="BL6" s="15">
        <v>0</v>
      </c>
      <c r="BM6" s="20"/>
      <c r="BN6" s="43">
        <f t="shared" si="25"/>
        <v>5.8</v>
      </c>
      <c r="BO6" s="43">
        <f t="shared" si="26"/>
        <v>22.8</v>
      </c>
      <c r="BP6" s="43">
        <f t="shared" si="27"/>
        <v>6.5</v>
      </c>
      <c r="BQ6" s="43">
        <f t="shared" si="28"/>
        <v>23.7</v>
      </c>
      <c r="BR6" s="10">
        <f t="shared" si="29"/>
        <v>12.3</v>
      </c>
      <c r="BS6" s="10">
        <f t="shared" si="30"/>
        <v>46.5</v>
      </c>
      <c r="BT6" s="10">
        <f t="shared" si="31"/>
        <v>5.6</v>
      </c>
      <c r="BU6" s="10">
        <f t="shared" si="32"/>
        <v>23.200000000000003</v>
      </c>
      <c r="BV6" s="10">
        <f t="shared" si="33"/>
        <v>3.4</v>
      </c>
      <c r="BW6" s="10">
        <f t="shared" si="34"/>
        <v>15.1</v>
      </c>
      <c r="BX6" s="10">
        <f t="shared" si="35"/>
        <v>9</v>
      </c>
      <c r="BY6" s="10">
        <f t="shared" si="36"/>
        <v>38.300000000000004</v>
      </c>
      <c r="BZ6" s="10">
        <f t="shared" si="37"/>
        <v>84.800000000000011</v>
      </c>
      <c r="CA6" s="34" t="str">
        <f t="shared" si="38"/>
        <v/>
      </c>
      <c r="CB6" s="34" t="str">
        <f t="shared" si="39"/>
        <v/>
      </c>
      <c r="CC6" s="14">
        <v>17.2</v>
      </c>
      <c r="CD6" s="14">
        <v>6.1</v>
      </c>
      <c r="CE6" s="14">
        <v>0</v>
      </c>
      <c r="CF6" s="14">
        <v>0</v>
      </c>
      <c r="CG6" s="14">
        <v>16.7</v>
      </c>
      <c r="CH6" s="14">
        <v>5.9</v>
      </c>
      <c r="CI6" s="14">
        <v>0</v>
      </c>
      <c r="CJ6" s="14">
        <v>0</v>
      </c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27">
        <f t="shared" si="40"/>
        <v>6.1</v>
      </c>
      <c r="CX6" s="27">
        <f t="shared" si="41"/>
        <v>23.299999999999997</v>
      </c>
      <c r="CY6" s="27">
        <f t="shared" si="42"/>
        <v>5.9</v>
      </c>
      <c r="CZ6" s="27">
        <f t="shared" si="43"/>
        <v>22.6</v>
      </c>
      <c r="DA6" s="27">
        <f t="shared" si="44"/>
        <v>12</v>
      </c>
      <c r="DB6" s="27">
        <f t="shared" si="45"/>
        <v>45.9</v>
      </c>
      <c r="DC6" s="27" t="str">
        <f t="shared" si="46"/>
        <v/>
      </c>
      <c r="DD6" s="27" t="str">
        <f t="shared" si="47"/>
        <v/>
      </c>
      <c r="DE6" s="27" t="str">
        <f t="shared" si="48"/>
        <v/>
      </c>
      <c r="DF6" s="27" t="str">
        <f t="shared" si="49"/>
        <v/>
      </c>
      <c r="DG6" s="27" t="str">
        <f t="shared" si="50"/>
        <v/>
      </c>
      <c r="DH6" s="27" t="str">
        <f t="shared" si="51"/>
        <v/>
      </c>
      <c r="DI6" s="27" t="str">
        <f t="shared" si="52"/>
        <v/>
      </c>
      <c r="DJ6" s="27" t="str">
        <f t="shared" si="53"/>
        <v/>
      </c>
      <c r="DK6" s="27">
        <f t="shared" si="54"/>
        <v>45.9</v>
      </c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0" t="str">
        <f t="shared" si="55"/>
        <v/>
      </c>
      <c r="EG6" s="10" t="str">
        <f t="shared" si="56"/>
        <v/>
      </c>
      <c r="EH6" s="10" t="str">
        <f t="shared" si="57"/>
        <v/>
      </c>
      <c r="EI6" s="10" t="str">
        <f t="shared" si="58"/>
        <v/>
      </c>
      <c r="EJ6" s="10" t="str">
        <f t="shared" si="59"/>
        <v/>
      </c>
      <c r="EK6" s="10" t="str">
        <f t="shared" si="60"/>
        <v/>
      </c>
      <c r="EL6" s="10" t="str">
        <f t="shared" si="61"/>
        <v/>
      </c>
      <c r="EM6" s="10" t="str">
        <f t="shared" si="62"/>
        <v/>
      </c>
      <c r="EN6" s="10" t="str">
        <f t="shared" si="63"/>
        <v/>
      </c>
      <c r="EO6" s="10" t="str">
        <f t="shared" si="64"/>
        <v/>
      </c>
      <c r="EP6" s="10" t="str">
        <f t="shared" si="65"/>
        <v/>
      </c>
      <c r="EQ6" s="10" t="str">
        <f t="shared" si="66"/>
        <v/>
      </c>
      <c r="ER6" s="10" t="str">
        <f t="shared" si="67"/>
        <v/>
      </c>
      <c r="ES6" s="10" t="str">
        <f t="shared" si="68"/>
        <v/>
      </c>
      <c r="ET6" s="10" t="str">
        <f t="shared" si="69"/>
        <v/>
      </c>
      <c r="EU6" s="44">
        <f t="shared" si="70"/>
        <v>16.3</v>
      </c>
      <c r="EV6" s="44">
        <f t="shared" si="71"/>
        <v>4.55</v>
      </c>
      <c r="EW6" s="44">
        <f t="shared" si="72"/>
        <v>0</v>
      </c>
      <c r="EX6" s="44">
        <f t="shared" si="73"/>
        <v>0</v>
      </c>
      <c r="EY6" s="44">
        <f t="shared" si="74"/>
        <v>16.75</v>
      </c>
      <c r="EZ6" s="44">
        <f t="shared" si="75"/>
        <v>6.3</v>
      </c>
      <c r="FA6" s="44">
        <f t="shared" si="76"/>
        <v>0.1</v>
      </c>
      <c r="FB6" s="44">
        <f t="shared" si="77"/>
        <v>0</v>
      </c>
      <c r="FC6" s="44">
        <f t="shared" si="78"/>
        <v>17.850000000000001</v>
      </c>
      <c r="FD6" s="44">
        <f t="shared" si="79"/>
        <v>6.05</v>
      </c>
      <c r="FE6" s="44">
        <f t="shared" si="80"/>
        <v>0.1</v>
      </c>
      <c r="FF6" s="44">
        <f t="shared" si="81"/>
        <v>0</v>
      </c>
      <c r="FG6" s="44">
        <f t="shared" si="82"/>
        <v>14.95</v>
      </c>
      <c r="FH6" s="44">
        <f t="shared" si="83"/>
        <v>4.75</v>
      </c>
      <c r="FI6" s="44">
        <f t="shared" si="84"/>
        <v>0</v>
      </c>
      <c r="FJ6" s="44">
        <f t="shared" si="85"/>
        <v>0</v>
      </c>
      <c r="FK6" s="20" t="s">
        <v>29</v>
      </c>
      <c r="FL6" s="10">
        <f t="shared" si="86"/>
        <v>4.55</v>
      </c>
      <c r="FM6" s="10">
        <f t="shared" si="87"/>
        <v>20.85</v>
      </c>
      <c r="FN6" s="10">
        <f t="shared" si="88"/>
        <v>6.3</v>
      </c>
      <c r="FO6" s="10">
        <f t="shared" si="89"/>
        <v>22.95</v>
      </c>
      <c r="FP6" s="10">
        <f t="shared" si="90"/>
        <v>10.85</v>
      </c>
      <c r="FQ6" s="10">
        <f t="shared" si="93"/>
        <v>43.8</v>
      </c>
      <c r="FR6" s="10">
        <f t="shared" si="94"/>
        <v>6.05</v>
      </c>
      <c r="FS6" s="10">
        <f t="shared" si="95"/>
        <v>23.8</v>
      </c>
      <c r="FT6" s="10">
        <f t="shared" si="96"/>
        <v>4.75</v>
      </c>
      <c r="FU6" s="10">
        <f t="shared" si="97"/>
        <v>19.7</v>
      </c>
      <c r="FV6" s="10">
        <f t="shared" si="98"/>
        <v>10.8</v>
      </c>
      <c r="FW6" s="10">
        <f t="shared" si="91"/>
        <v>43.5</v>
      </c>
      <c r="FX6" s="10">
        <f t="shared" si="92"/>
        <v>87.3</v>
      </c>
    </row>
    <row r="7" spans="1:180" x14ac:dyDescent="0.2">
      <c r="A7" s="3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>4</v>
      </c>
      <c r="B7" s="4" t="s">
        <v>62</v>
      </c>
      <c r="C7" s="3" t="s">
        <v>63</v>
      </c>
      <c r="D7" s="3">
        <v>2005</v>
      </c>
      <c r="E7" s="8">
        <f t="shared" si="0"/>
        <v>91.900006530004049</v>
      </c>
      <c r="F7" s="2" t="str">
        <f t="shared" si="1"/>
        <v>P</v>
      </c>
      <c r="G7" s="2" t="str">
        <f t="shared" si="2"/>
        <v>P</v>
      </c>
      <c r="H7" s="26" t="str">
        <f t="shared" si="3"/>
        <v>National Team</v>
      </c>
      <c r="I7" s="2" t="str">
        <f t="shared" si="4"/>
        <v/>
      </c>
      <c r="J7" s="7">
        <f t="shared" si="5"/>
        <v>40.5</v>
      </c>
      <c r="K7" s="7" t="str">
        <f t="shared" si="6"/>
        <v>2025 3rd Domestic Trial</v>
      </c>
      <c r="L7" s="7">
        <f>IF(J7=AO7,IF(COUNT(AQ7,AS7,BO7,BQ7,BU7,BW7)&gt;1,LARGE((AQ7,AS7,BO7,BQ7,BU7,BW7),1),0),IF(COUNT(AK7,AM7,AQ7,AS7,BU7,BW7)&gt;1,LARGE((AK7,AM7,AQ7,AS7,BU7,BW7),1),0))</f>
        <v>24.8</v>
      </c>
      <c r="M7" s="7" t="str">
        <f t="shared" si="7"/>
        <v>2025 Nationals</v>
      </c>
      <c r="N7" s="7">
        <f>IF(J7=AO7,IF(COUNT(AQ7,AS7,BO7,BQ7,BU7,BW7)&gt;1,LARGE((AQ7,AS7,BO7,BQ7,BU7,BW7),2),0),IF(COUNT(AK7,AM7,AQ7,AS7,BU7,BW7)&gt;1,LARGE((AK7,AM7,AQ7,AS7,BU7,BW7),2),0))</f>
        <v>22</v>
      </c>
      <c r="O7" s="7" t="str">
        <f t="shared" si="8"/>
        <v>2025 Nationals</v>
      </c>
      <c r="P7" s="7">
        <f t="shared" si="9"/>
        <v>4.6000000000000014</v>
      </c>
      <c r="Q7" s="10" t="str">
        <f t="shared" si="10"/>
        <v>(Q1)</v>
      </c>
      <c r="R7" s="7" t="str">
        <f t="shared" si="11"/>
        <v>2025 Worlds (Nov 9)</v>
      </c>
      <c r="S7" s="39">
        <v>13.7</v>
      </c>
      <c r="T7" s="39">
        <v>5.0999999999999996</v>
      </c>
      <c r="U7" s="39">
        <v>2.4</v>
      </c>
      <c r="V7" s="39">
        <v>0</v>
      </c>
      <c r="W7" s="39">
        <v>15.1</v>
      </c>
      <c r="X7" s="39">
        <v>6.5</v>
      </c>
      <c r="Y7" s="39">
        <v>0.2</v>
      </c>
      <c r="Z7" s="39">
        <v>0</v>
      </c>
      <c r="AA7" s="39">
        <v>18.3</v>
      </c>
      <c r="AB7" s="39">
        <v>6.5</v>
      </c>
      <c r="AC7" s="39">
        <v>0</v>
      </c>
      <c r="AD7" s="39">
        <v>0</v>
      </c>
      <c r="AE7" s="39">
        <v>16.899999999999999</v>
      </c>
      <c r="AF7" s="39">
        <v>5.0999999999999996</v>
      </c>
      <c r="AG7" s="39">
        <v>0</v>
      </c>
      <c r="AH7" s="39">
        <v>0</v>
      </c>
      <c r="AI7" s="19"/>
      <c r="AJ7" s="42">
        <f t="shared" si="12"/>
        <v>5.0999999999999996</v>
      </c>
      <c r="AK7" s="42">
        <f t="shared" si="13"/>
        <v>16.399999999999999</v>
      </c>
      <c r="AL7" s="42">
        <f t="shared" si="14"/>
        <v>6.5</v>
      </c>
      <c r="AM7" s="42">
        <f t="shared" si="15"/>
        <v>21.400000000000002</v>
      </c>
      <c r="AN7" s="27">
        <f t="shared" si="16"/>
        <v>11.6</v>
      </c>
      <c r="AO7" s="27">
        <f t="shared" si="17"/>
        <v>37.799999999999997</v>
      </c>
      <c r="AP7" s="27">
        <f t="shared" si="18"/>
        <v>6.5</v>
      </c>
      <c r="AQ7" s="27">
        <f t="shared" si="19"/>
        <v>24.8</v>
      </c>
      <c r="AR7" s="27">
        <f t="shared" si="20"/>
        <v>5.0999999999999996</v>
      </c>
      <c r="AS7" s="27">
        <f t="shared" si="21"/>
        <v>22</v>
      </c>
      <c r="AT7" s="27">
        <f t="shared" si="22"/>
        <v>11.6</v>
      </c>
      <c r="AU7" s="27">
        <f t="shared" si="23"/>
        <v>46.8</v>
      </c>
      <c r="AV7" s="27">
        <f t="shared" si="24"/>
        <v>84.6</v>
      </c>
      <c r="AW7" s="15">
        <v>16.899999999999999</v>
      </c>
      <c r="AX7" s="15">
        <v>6.3</v>
      </c>
      <c r="AY7" s="15">
        <v>0</v>
      </c>
      <c r="AZ7" s="15">
        <v>0</v>
      </c>
      <c r="BA7" s="15">
        <v>16.7</v>
      </c>
      <c r="BB7" s="15">
        <v>3.6</v>
      </c>
      <c r="BC7" s="15">
        <v>3</v>
      </c>
      <c r="BD7" s="15">
        <v>0</v>
      </c>
      <c r="BE7" s="15">
        <v>15.9</v>
      </c>
      <c r="BF7" s="15">
        <v>3.1</v>
      </c>
      <c r="BG7" s="15">
        <v>0</v>
      </c>
      <c r="BH7" s="15">
        <v>0</v>
      </c>
      <c r="BI7" s="15">
        <v>14.5</v>
      </c>
      <c r="BJ7" s="15">
        <v>3.6</v>
      </c>
      <c r="BK7" s="15">
        <v>3</v>
      </c>
      <c r="BL7" s="15">
        <v>0</v>
      </c>
      <c r="BM7" s="20"/>
      <c r="BN7" s="43">
        <f t="shared" si="25"/>
        <v>6.3</v>
      </c>
      <c r="BO7" s="43">
        <f t="shared" si="26"/>
        <v>23.2</v>
      </c>
      <c r="BP7" s="43">
        <f t="shared" si="27"/>
        <v>3.6</v>
      </c>
      <c r="BQ7" s="43">
        <f t="shared" si="28"/>
        <v>17.3</v>
      </c>
      <c r="BR7" s="10">
        <f t="shared" si="29"/>
        <v>9.9</v>
      </c>
      <c r="BS7" s="10">
        <f t="shared" si="30"/>
        <v>40.5</v>
      </c>
      <c r="BT7" s="10">
        <f t="shared" si="31"/>
        <v>3.1</v>
      </c>
      <c r="BU7" s="10">
        <f t="shared" si="32"/>
        <v>19</v>
      </c>
      <c r="BV7" s="10">
        <f t="shared" si="33"/>
        <v>3.6</v>
      </c>
      <c r="BW7" s="10">
        <f t="shared" si="34"/>
        <v>15.100000000000001</v>
      </c>
      <c r="BX7" s="10">
        <f t="shared" si="35"/>
        <v>6.7</v>
      </c>
      <c r="BY7" s="10">
        <f t="shared" si="36"/>
        <v>34.1</v>
      </c>
      <c r="BZ7" s="10">
        <f t="shared" si="37"/>
        <v>74.599999999999994</v>
      </c>
      <c r="CA7" s="34">
        <f t="shared" si="38"/>
        <v>4.6000000000000014</v>
      </c>
      <c r="CB7" s="34">
        <f t="shared" si="39"/>
        <v>1.5</v>
      </c>
      <c r="CC7" s="14">
        <v>17.2</v>
      </c>
      <c r="CD7" s="14">
        <v>6.5</v>
      </c>
      <c r="CE7" s="14">
        <v>0.2</v>
      </c>
      <c r="CF7" s="14">
        <v>0</v>
      </c>
      <c r="CG7" s="14">
        <v>16.5</v>
      </c>
      <c r="CH7" s="14">
        <v>5.0999999999999996</v>
      </c>
      <c r="CI7" s="14">
        <v>0</v>
      </c>
      <c r="CJ7" s="14">
        <v>0</v>
      </c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27">
        <f t="shared" si="40"/>
        <v>6.5</v>
      </c>
      <c r="CX7" s="27">
        <f t="shared" si="41"/>
        <v>23.5</v>
      </c>
      <c r="CY7" s="27">
        <f t="shared" si="42"/>
        <v>5.0999999999999996</v>
      </c>
      <c r="CZ7" s="27">
        <f t="shared" si="43"/>
        <v>21.6</v>
      </c>
      <c r="DA7" s="27">
        <f t="shared" si="44"/>
        <v>11.6</v>
      </c>
      <c r="DB7" s="27">
        <f t="shared" si="45"/>
        <v>45.1</v>
      </c>
      <c r="DC7" s="27" t="str">
        <f t="shared" si="46"/>
        <v/>
      </c>
      <c r="DD7" s="27" t="str">
        <f t="shared" si="47"/>
        <v/>
      </c>
      <c r="DE7" s="27" t="str">
        <f t="shared" si="48"/>
        <v/>
      </c>
      <c r="DF7" s="27" t="str">
        <f t="shared" si="49"/>
        <v/>
      </c>
      <c r="DG7" s="27" t="str">
        <f t="shared" si="50"/>
        <v/>
      </c>
      <c r="DH7" s="27" t="str">
        <f t="shared" si="51"/>
        <v/>
      </c>
      <c r="DI7" s="27" t="str">
        <f t="shared" si="52"/>
        <v/>
      </c>
      <c r="DJ7" s="27" t="str">
        <f t="shared" si="53"/>
        <v/>
      </c>
      <c r="DK7" s="27">
        <f t="shared" si="54"/>
        <v>45.1</v>
      </c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0" t="str">
        <f t="shared" si="55"/>
        <v/>
      </c>
      <c r="EG7" s="10" t="str">
        <f t="shared" si="56"/>
        <v/>
      </c>
      <c r="EH7" s="10" t="str">
        <f t="shared" si="57"/>
        <v/>
      </c>
      <c r="EI7" s="10" t="str">
        <f t="shared" si="58"/>
        <v/>
      </c>
      <c r="EJ7" s="10" t="str">
        <f t="shared" si="59"/>
        <v/>
      </c>
      <c r="EK7" s="10" t="str">
        <f t="shared" si="60"/>
        <v/>
      </c>
      <c r="EL7" s="10" t="str">
        <f t="shared" si="61"/>
        <v/>
      </c>
      <c r="EM7" s="10" t="str">
        <f t="shared" si="62"/>
        <v/>
      </c>
      <c r="EN7" s="10" t="str">
        <f t="shared" si="63"/>
        <v/>
      </c>
      <c r="EO7" s="10" t="str">
        <f t="shared" si="64"/>
        <v/>
      </c>
      <c r="EP7" s="10" t="str">
        <f t="shared" si="65"/>
        <v/>
      </c>
      <c r="EQ7" s="10" t="str">
        <f t="shared" si="66"/>
        <v/>
      </c>
      <c r="ER7" s="10" t="str">
        <f t="shared" si="67"/>
        <v/>
      </c>
      <c r="ES7" s="10" t="str">
        <f t="shared" si="68"/>
        <v/>
      </c>
      <c r="ET7" s="10" t="str">
        <f t="shared" si="69"/>
        <v/>
      </c>
      <c r="EU7" s="44">
        <f t="shared" si="70"/>
        <v>15.299999999999999</v>
      </c>
      <c r="EV7" s="44">
        <f t="shared" si="71"/>
        <v>5.6999999999999993</v>
      </c>
      <c r="EW7" s="44">
        <f t="shared" si="72"/>
        <v>1.2</v>
      </c>
      <c r="EX7" s="44">
        <f t="shared" si="73"/>
        <v>0</v>
      </c>
      <c r="EY7" s="44">
        <f t="shared" si="74"/>
        <v>15.899999999999999</v>
      </c>
      <c r="EZ7" s="44">
        <f t="shared" si="75"/>
        <v>5.05</v>
      </c>
      <c r="FA7" s="44">
        <f t="shared" si="76"/>
        <v>1.6</v>
      </c>
      <c r="FB7" s="44">
        <f t="shared" si="77"/>
        <v>0</v>
      </c>
      <c r="FC7" s="44">
        <f t="shared" si="78"/>
        <v>17.100000000000001</v>
      </c>
      <c r="FD7" s="44">
        <f t="shared" si="79"/>
        <v>4.8</v>
      </c>
      <c r="FE7" s="44">
        <f t="shared" si="80"/>
        <v>0</v>
      </c>
      <c r="FF7" s="44">
        <f t="shared" si="81"/>
        <v>0</v>
      </c>
      <c r="FG7" s="44">
        <f t="shared" si="82"/>
        <v>15.7</v>
      </c>
      <c r="FH7" s="44">
        <f t="shared" si="83"/>
        <v>4.3499999999999996</v>
      </c>
      <c r="FI7" s="44">
        <f t="shared" si="84"/>
        <v>1.5</v>
      </c>
      <c r="FJ7" s="44">
        <f t="shared" si="85"/>
        <v>0</v>
      </c>
      <c r="FK7" s="20" t="s">
        <v>29</v>
      </c>
      <c r="FL7" s="10">
        <f t="shared" si="86"/>
        <v>5.6999999999999993</v>
      </c>
      <c r="FM7" s="10">
        <f t="shared" si="87"/>
        <v>19.8</v>
      </c>
      <c r="FN7" s="10">
        <f t="shared" si="88"/>
        <v>5.05</v>
      </c>
      <c r="FO7" s="10">
        <f t="shared" si="89"/>
        <v>19.349999999999998</v>
      </c>
      <c r="FP7" s="10">
        <f t="shared" si="90"/>
        <v>10.75</v>
      </c>
      <c r="FQ7" s="10">
        <f t="shared" si="93"/>
        <v>39.15</v>
      </c>
      <c r="FR7" s="10">
        <f t="shared" si="94"/>
        <v>4.8</v>
      </c>
      <c r="FS7" s="10">
        <f t="shared" si="95"/>
        <v>21.900000000000002</v>
      </c>
      <c r="FT7" s="10">
        <f t="shared" si="96"/>
        <v>4.3499999999999996</v>
      </c>
      <c r="FU7" s="10">
        <f t="shared" si="97"/>
        <v>18.549999999999997</v>
      </c>
      <c r="FV7" s="10">
        <f t="shared" si="98"/>
        <v>9.1499999999999986</v>
      </c>
      <c r="FW7" s="10">
        <f t="shared" si="91"/>
        <v>40.450000000000003</v>
      </c>
      <c r="FX7" s="10">
        <f t="shared" si="92"/>
        <v>79.599999999999994</v>
      </c>
    </row>
    <row r="8" spans="1:180" x14ac:dyDescent="0.2">
      <c r="A8" s="3" t="str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/>
      </c>
      <c r="B8" s="4" t="s">
        <v>39</v>
      </c>
      <c r="C8" s="3" t="s">
        <v>6</v>
      </c>
      <c r="D8" s="3">
        <v>2006</v>
      </c>
      <c r="E8" s="8">
        <f t="shared" si="0"/>
        <v>90.000006630004407</v>
      </c>
      <c r="F8" s="2" t="str">
        <f t="shared" si="1"/>
        <v/>
      </c>
      <c r="G8" s="2" t="str">
        <f t="shared" si="2"/>
        <v/>
      </c>
      <c r="H8" s="26" t="str">
        <f t="shared" si="3"/>
        <v/>
      </c>
      <c r="I8" s="2" t="str">
        <f t="shared" si="4"/>
        <v/>
      </c>
      <c r="J8" s="7">
        <f t="shared" si="5"/>
        <v>44</v>
      </c>
      <c r="K8" s="7" t="str">
        <f t="shared" si="6"/>
        <v>2025 3rd Domestic Trial</v>
      </c>
      <c r="L8" s="7">
        <f>IF(J8=AO8,IF(COUNT(AQ8,AS8,BO8,BQ8,BU8,BW8)&gt;1,LARGE((AQ8,AS8,BO8,BQ8,BU8,BW8),1),0),IF(COUNT(AK8,AM8,AQ8,AS8,BU8,BW8)&gt;1,LARGE((AK8,AM8,AQ8,AS8,BU8,BW8),1),0))</f>
        <v>22.3</v>
      </c>
      <c r="M8" s="7" t="str">
        <f t="shared" si="7"/>
        <v>2025 3rd Domestic Trial</v>
      </c>
      <c r="N8" s="7">
        <f>IF(J8=AO8,IF(COUNT(AQ8,AS8,BO8,BQ8,BU8,BW8)&gt;1,LARGE((AQ8,AS8,BO8,BQ8,BU8,BW8),2),0),IF(COUNT(AK8,AM8,AQ8,AS8,BU8,BW8)&gt;1,LARGE((AK8,AM8,AQ8,AS8,BU8,BW8),2),0))</f>
        <v>22.299999999999997</v>
      </c>
      <c r="O8" s="7" t="str">
        <f t="shared" si="8"/>
        <v>2025 3rd Domestic Trial</v>
      </c>
      <c r="P8" s="7">
        <f t="shared" si="9"/>
        <v>1.3999999999999986</v>
      </c>
      <c r="Q8" s="10" t="str">
        <f t="shared" si="10"/>
        <v>(Q1)</v>
      </c>
      <c r="R8" s="7" t="str">
        <f t="shared" si="11"/>
        <v>2025 WAGC (Nov 16)</v>
      </c>
      <c r="S8" s="39">
        <v>14.4</v>
      </c>
      <c r="T8" s="39">
        <v>6.1</v>
      </c>
      <c r="U8" s="39">
        <v>0.2</v>
      </c>
      <c r="V8" s="39">
        <v>0</v>
      </c>
      <c r="W8" s="39">
        <v>17.2</v>
      </c>
      <c r="X8" s="39">
        <v>5.2</v>
      </c>
      <c r="Y8" s="39">
        <v>0.1</v>
      </c>
      <c r="Z8" s="39">
        <v>0</v>
      </c>
      <c r="AA8" s="39">
        <v>16.7</v>
      </c>
      <c r="AB8" s="39">
        <v>5.3</v>
      </c>
      <c r="AC8" s="39">
        <v>0.2</v>
      </c>
      <c r="AD8" s="39">
        <v>0</v>
      </c>
      <c r="AE8" s="39">
        <v>17.7</v>
      </c>
      <c r="AF8" s="39">
        <v>3.2</v>
      </c>
      <c r="AG8" s="39">
        <v>1</v>
      </c>
      <c r="AH8" s="39">
        <v>0</v>
      </c>
      <c r="AI8" s="19"/>
      <c r="AJ8" s="42">
        <f t="shared" si="12"/>
        <v>6.1</v>
      </c>
      <c r="AK8" s="42">
        <f t="shared" si="13"/>
        <v>20.3</v>
      </c>
      <c r="AL8" s="42">
        <f t="shared" si="14"/>
        <v>5.2</v>
      </c>
      <c r="AM8" s="42">
        <f t="shared" si="15"/>
        <v>22.299999999999997</v>
      </c>
      <c r="AN8" s="27">
        <f t="shared" si="16"/>
        <v>11.3</v>
      </c>
      <c r="AO8" s="27">
        <f t="shared" si="17"/>
        <v>42.599999999999994</v>
      </c>
      <c r="AP8" s="27">
        <f t="shared" si="18"/>
        <v>5.3</v>
      </c>
      <c r="AQ8" s="27">
        <f t="shared" si="19"/>
        <v>21.8</v>
      </c>
      <c r="AR8" s="27">
        <f t="shared" si="20"/>
        <v>3.2</v>
      </c>
      <c r="AS8" s="27">
        <f t="shared" si="21"/>
        <v>19.899999999999999</v>
      </c>
      <c r="AT8" s="27">
        <f t="shared" si="22"/>
        <v>8.5</v>
      </c>
      <c r="AU8" s="27">
        <f t="shared" si="23"/>
        <v>41.7</v>
      </c>
      <c r="AV8" s="27">
        <f t="shared" si="24"/>
        <v>84.3</v>
      </c>
      <c r="AW8" s="15">
        <v>16.7</v>
      </c>
      <c r="AX8" s="15">
        <v>5.8</v>
      </c>
      <c r="AY8" s="15">
        <v>0</v>
      </c>
      <c r="AZ8" s="15">
        <v>0</v>
      </c>
      <c r="BA8" s="15">
        <v>15.8</v>
      </c>
      <c r="BB8" s="15">
        <v>5.7</v>
      </c>
      <c r="BC8" s="15">
        <v>0</v>
      </c>
      <c r="BD8" s="15">
        <v>0</v>
      </c>
      <c r="BE8" s="15">
        <v>16.5</v>
      </c>
      <c r="BF8" s="15">
        <v>5.8</v>
      </c>
      <c r="BG8" s="15">
        <v>0</v>
      </c>
      <c r="BH8" s="15">
        <v>0</v>
      </c>
      <c r="BI8" s="15">
        <v>15.6</v>
      </c>
      <c r="BJ8" s="15">
        <v>5.7</v>
      </c>
      <c r="BK8" s="15">
        <v>0</v>
      </c>
      <c r="BL8" s="15">
        <v>0</v>
      </c>
      <c r="BM8" s="20"/>
      <c r="BN8" s="43">
        <f t="shared" si="25"/>
        <v>5.8</v>
      </c>
      <c r="BO8" s="43">
        <f t="shared" si="26"/>
        <v>22.5</v>
      </c>
      <c r="BP8" s="43">
        <f t="shared" si="27"/>
        <v>5.7</v>
      </c>
      <c r="BQ8" s="43">
        <f t="shared" si="28"/>
        <v>21.5</v>
      </c>
      <c r="BR8" s="10">
        <f t="shared" si="29"/>
        <v>11.5</v>
      </c>
      <c r="BS8" s="10">
        <f t="shared" si="30"/>
        <v>44</v>
      </c>
      <c r="BT8" s="10">
        <f t="shared" si="31"/>
        <v>5.8</v>
      </c>
      <c r="BU8" s="10">
        <f t="shared" si="32"/>
        <v>22.3</v>
      </c>
      <c r="BV8" s="10">
        <f t="shared" si="33"/>
        <v>5.7</v>
      </c>
      <c r="BW8" s="10">
        <f t="shared" si="34"/>
        <v>21.3</v>
      </c>
      <c r="BX8" s="10">
        <f t="shared" si="35"/>
        <v>11.5</v>
      </c>
      <c r="BY8" s="10">
        <f t="shared" si="36"/>
        <v>43.6</v>
      </c>
      <c r="BZ8" s="10">
        <f t="shared" si="37"/>
        <v>87.6</v>
      </c>
      <c r="CA8" s="34">
        <f t="shared" si="38"/>
        <v>1.3999999999999986</v>
      </c>
      <c r="CB8" s="34">
        <f t="shared" si="39"/>
        <v>0.80000000000000426</v>
      </c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27" t="str">
        <f t="shared" si="40"/>
        <v/>
      </c>
      <c r="CX8" s="27" t="str">
        <f t="shared" si="41"/>
        <v/>
      </c>
      <c r="CY8" s="27" t="str">
        <f t="shared" si="42"/>
        <v/>
      </c>
      <c r="CZ8" s="27" t="str">
        <f t="shared" si="43"/>
        <v/>
      </c>
      <c r="DA8" s="27" t="str">
        <f t="shared" si="44"/>
        <v/>
      </c>
      <c r="DB8" s="27" t="str">
        <f t="shared" si="45"/>
        <v/>
      </c>
      <c r="DC8" s="27" t="str">
        <f t="shared" si="46"/>
        <v/>
      </c>
      <c r="DD8" s="27" t="str">
        <f t="shared" si="47"/>
        <v/>
      </c>
      <c r="DE8" s="27" t="str">
        <f t="shared" si="48"/>
        <v/>
      </c>
      <c r="DF8" s="27" t="str">
        <f t="shared" si="49"/>
        <v/>
      </c>
      <c r="DG8" s="27" t="str">
        <f t="shared" si="50"/>
        <v/>
      </c>
      <c r="DH8" s="27" t="str">
        <f t="shared" si="51"/>
        <v/>
      </c>
      <c r="DI8" s="27" t="str">
        <f t="shared" si="52"/>
        <v/>
      </c>
      <c r="DJ8" s="27" t="str">
        <f t="shared" si="53"/>
        <v/>
      </c>
      <c r="DK8" s="27" t="str">
        <f t="shared" si="54"/>
        <v/>
      </c>
      <c r="DL8" s="15">
        <v>17.3</v>
      </c>
      <c r="DM8" s="15">
        <v>5.8</v>
      </c>
      <c r="DN8" s="15">
        <v>0</v>
      </c>
      <c r="DO8" s="15">
        <v>0</v>
      </c>
      <c r="DP8" s="15">
        <v>16.399999999999999</v>
      </c>
      <c r="DQ8" s="15">
        <v>5.9</v>
      </c>
      <c r="DR8" s="15">
        <v>0</v>
      </c>
      <c r="DS8" s="15">
        <v>0</v>
      </c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0">
        <f t="shared" si="55"/>
        <v>5.8</v>
      </c>
      <c r="EG8" s="10">
        <f t="shared" si="56"/>
        <v>23.1</v>
      </c>
      <c r="EH8" s="10">
        <f t="shared" si="57"/>
        <v>5.9</v>
      </c>
      <c r="EI8" s="10">
        <f t="shared" si="58"/>
        <v>22.299999999999997</v>
      </c>
      <c r="EJ8" s="10">
        <f t="shared" si="59"/>
        <v>11.7</v>
      </c>
      <c r="EK8" s="10">
        <f t="shared" si="60"/>
        <v>45.4</v>
      </c>
      <c r="EL8" s="10" t="str">
        <f t="shared" si="61"/>
        <v/>
      </c>
      <c r="EM8" s="10" t="str">
        <f t="shared" si="62"/>
        <v/>
      </c>
      <c r="EN8" s="10" t="str">
        <f t="shared" si="63"/>
        <v/>
      </c>
      <c r="EO8" s="10" t="str">
        <f t="shared" si="64"/>
        <v/>
      </c>
      <c r="EP8" s="10" t="str">
        <f t="shared" si="65"/>
        <v/>
      </c>
      <c r="EQ8" s="10" t="str">
        <f t="shared" si="66"/>
        <v/>
      </c>
      <c r="ER8" s="10" t="str">
        <f t="shared" si="67"/>
        <v/>
      </c>
      <c r="ES8" s="10" t="str">
        <f t="shared" si="68"/>
        <v/>
      </c>
      <c r="ET8" s="10">
        <f t="shared" si="69"/>
        <v>45.4</v>
      </c>
      <c r="EU8" s="44">
        <f t="shared" si="70"/>
        <v>15.55</v>
      </c>
      <c r="EV8" s="44">
        <f t="shared" si="71"/>
        <v>5.9499999999999993</v>
      </c>
      <c r="EW8" s="44">
        <f t="shared" si="72"/>
        <v>0.1</v>
      </c>
      <c r="EX8" s="44">
        <f t="shared" si="73"/>
        <v>0</v>
      </c>
      <c r="EY8" s="44">
        <f t="shared" si="74"/>
        <v>16.5</v>
      </c>
      <c r="EZ8" s="44">
        <f t="shared" si="75"/>
        <v>5.45</v>
      </c>
      <c r="FA8" s="44">
        <f t="shared" si="76"/>
        <v>0.05</v>
      </c>
      <c r="FB8" s="44">
        <f t="shared" si="77"/>
        <v>0</v>
      </c>
      <c r="FC8" s="44">
        <f t="shared" si="78"/>
        <v>16.600000000000001</v>
      </c>
      <c r="FD8" s="44">
        <f t="shared" si="79"/>
        <v>5.55</v>
      </c>
      <c r="FE8" s="44">
        <f t="shared" si="80"/>
        <v>0.1</v>
      </c>
      <c r="FF8" s="44">
        <f t="shared" si="81"/>
        <v>0</v>
      </c>
      <c r="FG8" s="44">
        <f t="shared" si="82"/>
        <v>16.649999999999999</v>
      </c>
      <c r="FH8" s="44">
        <f t="shared" si="83"/>
        <v>4.45</v>
      </c>
      <c r="FI8" s="44">
        <f t="shared" si="84"/>
        <v>0.5</v>
      </c>
      <c r="FJ8" s="44">
        <f t="shared" si="85"/>
        <v>0</v>
      </c>
      <c r="FK8" s="20" t="s">
        <v>29</v>
      </c>
      <c r="FL8" s="10">
        <f t="shared" si="86"/>
        <v>5.9499999999999993</v>
      </c>
      <c r="FM8" s="10">
        <f t="shared" si="87"/>
        <v>21.4</v>
      </c>
      <c r="FN8" s="10">
        <f t="shared" si="88"/>
        <v>5.45</v>
      </c>
      <c r="FO8" s="10">
        <f t="shared" si="89"/>
        <v>21.9</v>
      </c>
      <c r="FP8" s="10">
        <f t="shared" si="90"/>
        <v>11.399999999999999</v>
      </c>
      <c r="FQ8" s="10">
        <f t="shared" si="93"/>
        <v>43.3</v>
      </c>
      <c r="FR8" s="10">
        <f t="shared" si="94"/>
        <v>5.55</v>
      </c>
      <c r="FS8" s="10">
        <f t="shared" si="95"/>
        <v>22.05</v>
      </c>
      <c r="FT8" s="10">
        <f t="shared" si="96"/>
        <v>4.45</v>
      </c>
      <c r="FU8" s="10">
        <f t="shared" si="97"/>
        <v>20.599999999999998</v>
      </c>
      <c r="FV8" s="10">
        <f t="shared" si="98"/>
        <v>10</v>
      </c>
      <c r="FW8" s="10">
        <f t="shared" si="91"/>
        <v>42.65</v>
      </c>
      <c r="FX8" s="10">
        <f t="shared" si="92"/>
        <v>85.949999999999989</v>
      </c>
    </row>
    <row r="9" spans="1:180" x14ac:dyDescent="0.2">
      <c r="A9" s="3" t="str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/>
      </c>
      <c r="B9" s="4" t="s">
        <v>57</v>
      </c>
      <c r="C9" s="3" t="s">
        <v>4</v>
      </c>
      <c r="D9" s="3">
        <v>2008</v>
      </c>
      <c r="E9" s="8">
        <f t="shared" si="0"/>
        <v>89.70000671000443</v>
      </c>
      <c r="F9" s="2" t="str">
        <f t="shared" si="1"/>
        <v/>
      </c>
      <c r="G9" s="2" t="str">
        <f t="shared" si="2"/>
        <v/>
      </c>
      <c r="H9" s="26" t="str">
        <f t="shared" si="3"/>
        <v/>
      </c>
      <c r="I9" s="2" t="str">
        <f t="shared" si="4"/>
        <v/>
      </c>
      <c r="J9" s="7">
        <f t="shared" si="5"/>
        <v>44.3</v>
      </c>
      <c r="K9" s="7" t="str">
        <f t="shared" si="6"/>
        <v>2025 Nationals</v>
      </c>
      <c r="L9" s="7">
        <f>IF(J9=AO9,IF(COUNT(AQ9,AS9,BO9,BQ9,BU9,BW9)&gt;1,LARGE((AQ9,AS9,BO9,BQ9,BU9,BW9),1),0),IF(COUNT(AK9,AM9,AQ9,AS9,BU9,BW9)&gt;1,LARGE((AK9,AM9,AQ9,AS9,BU9,BW9),1),0))</f>
        <v>22.8</v>
      </c>
      <c r="M9" s="7" t="str">
        <f t="shared" si="7"/>
        <v>2025 Nationals</v>
      </c>
      <c r="N9" s="7">
        <f>IF(J9=AO9,IF(COUNT(AQ9,AS9,BO9,BQ9,BU9,BW9)&gt;1,LARGE((AQ9,AS9,BO9,BQ9,BU9,BW9),2),0),IF(COUNT(AK9,AM9,AQ9,AS9,BU9,BW9)&gt;1,LARGE((AK9,AM9,AQ9,AS9,BU9,BW9),2),0))</f>
        <v>22.2</v>
      </c>
      <c r="O9" s="7" t="str">
        <f t="shared" si="8"/>
        <v>2025 Nationals</v>
      </c>
      <c r="P9" s="7">
        <f t="shared" si="9"/>
        <v>0.40000000000000213</v>
      </c>
      <c r="Q9" s="10" t="str">
        <f t="shared" si="10"/>
        <v>(Pass)</v>
      </c>
      <c r="R9" s="7" t="str">
        <f t="shared" si="11"/>
        <v>2025 WAGC (Nov 16)</v>
      </c>
      <c r="S9" s="39">
        <v>16.399999999999999</v>
      </c>
      <c r="T9" s="39">
        <v>5.7</v>
      </c>
      <c r="U9" s="39">
        <v>0</v>
      </c>
      <c r="V9" s="39">
        <v>0</v>
      </c>
      <c r="W9" s="39">
        <v>15.6</v>
      </c>
      <c r="X9" s="39">
        <v>6.6</v>
      </c>
      <c r="Y9" s="39">
        <v>0</v>
      </c>
      <c r="Z9" s="39">
        <v>0</v>
      </c>
      <c r="AA9" s="39">
        <v>16.5</v>
      </c>
      <c r="AB9" s="39">
        <v>5.7</v>
      </c>
      <c r="AC9" s="39">
        <v>0</v>
      </c>
      <c r="AD9" s="39">
        <v>0</v>
      </c>
      <c r="AE9" s="39">
        <v>16</v>
      </c>
      <c r="AF9" s="39">
        <v>6.8</v>
      </c>
      <c r="AG9" s="39">
        <v>0</v>
      </c>
      <c r="AH9" s="39">
        <v>0</v>
      </c>
      <c r="AI9" s="19"/>
      <c r="AJ9" s="42">
        <f t="shared" si="12"/>
        <v>5.7</v>
      </c>
      <c r="AK9" s="42">
        <f t="shared" si="13"/>
        <v>22.099999999999998</v>
      </c>
      <c r="AL9" s="42">
        <f t="shared" si="14"/>
        <v>6.6</v>
      </c>
      <c r="AM9" s="42">
        <f t="shared" si="15"/>
        <v>22.2</v>
      </c>
      <c r="AN9" s="27">
        <f t="shared" si="16"/>
        <v>12.3</v>
      </c>
      <c r="AO9" s="27">
        <f t="shared" si="17"/>
        <v>44.3</v>
      </c>
      <c r="AP9" s="27">
        <f t="shared" si="18"/>
        <v>5.7</v>
      </c>
      <c r="AQ9" s="27">
        <f t="shared" si="19"/>
        <v>22.2</v>
      </c>
      <c r="AR9" s="27">
        <f t="shared" si="20"/>
        <v>6.8</v>
      </c>
      <c r="AS9" s="27">
        <f t="shared" si="21"/>
        <v>22.8</v>
      </c>
      <c r="AT9" s="27">
        <f t="shared" si="22"/>
        <v>12.5</v>
      </c>
      <c r="AU9" s="27">
        <f t="shared" si="23"/>
        <v>45</v>
      </c>
      <c r="AV9" s="27">
        <f t="shared" si="24"/>
        <v>89.3</v>
      </c>
      <c r="AW9" s="15">
        <v>15.8</v>
      </c>
      <c r="AX9" s="15">
        <v>6.3</v>
      </c>
      <c r="AY9" s="15">
        <v>0</v>
      </c>
      <c r="AZ9" s="15">
        <v>0</v>
      </c>
      <c r="BA9" s="15">
        <v>15.4</v>
      </c>
      <c r="BB9" s="15">
        <v>4.7</v>
      </c>
      <c r="BC9" s="15">
        <v>1</v>
      </c>
      <c r="BD9" s="15">
        <v>0</v>
      </c>
      <c r="BE9" s="15">
        <v>16</v>
      </c>
      <c r="BF9" s="15">
        <v>5.8</v>
      </c>
      <c r="BG9" s="15">
        <v>0</v>
      </c>
      <c r="BH9" s="15">
        <v>0</v>
      </c>
      <c r="BI9" s="15">
        <v>15.1</v>
      </c>
      <c r="BJ9" s="15">
        <v>5.9</v>
      </c>
      <c r="BK9" s="15">
        <v>2</v>
      </c>
      <c r="BL9" s="15">
        <v>0</v>
      </c>
      <c r="BM9" s="20"/>
      <c r="BN9" s="43">
        <f t="shared" si="25"/>
        <v>6.3</v>
      </c>
      <c r="BO9" s="43">
        <f t="shared" si="26"/>
        <v>22.1</v>
      </c>
      <c r="BP9" s="43">
        <f t="shared" si="27"/>
        <v>4.7</v>
      </c>
      <c r="BQ9" s="43">
        <f t="shared" si="28"/>
        <v>19.100000000000001</v>
      </c>
      <c r="BR9" s="10">
        <f t="shared" si="29"/>
        <v>11</v>
      </c>
      <c r="BS9" s="10">
        <f t="shared" si="30"/>
        <v>41.2</v>
      </c>
      <c r="BT9" s="10">
        <f t="shared" si="31"/>
        <v>5.8</v>
      </c>
      <c r="BU9" s="10">
        <f t="shared" si="32"/>
        <v>21.8</v>
      </c>
      <c r="BV9" s="10">
        <f t="shared" si="33"/>
        <v>5.9</v>
      </c>
      <c r="BW9" s="10">
        <f t="shared" si="34"/>
        <v>19</v>
      </c>
      <c r="BX9" s="10">
        <f t="shared" si="35"/>
        <v>11.7</v>
      </c>
      <c r="BY9" s="10">
        <f t="shared" si="36"/>
        <v>40.799999999999997</v>
      </c>
      <c r="BZ9" s="10">
        <f t="shared" si="37"/>
        <v>82</v>
      </c>
      <c r="CA9" s="34" t="str">
        <f t="shared" si="38"/>
        <v/>
      </c>
      <c r="CB9" s="34">
        <f t="shared" si="39"/>
        <v>0.40000000000000213</v>
      </c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27" t="str">
        <f t="shared" si="40"/>
        <v/>
      </c>
      <c r="CX9" s="27" t="str">
        <f t="shared" si="41"/>
        <v/>
      </c>
      <c r="CY9" s="27" t="str">
        <f t="shared" si="42"/>
        <v/>
      </c>
      <c r="CZ9" s="27" t="str">
        <f t="shared" si="43"/>
        <v/>
      </c>
      <c r="DA9" s="27" t="str">
        <f t="shared" si="44"/>
        <v/>
      </c>
      <c r="DB9" s="27" t="str">
        <f t="shared" si="45"/>
        <v/>
      </c>
      <c r="DC9" s="27" t="str">
        <f t="shared" si="46"/>
        <v/>
      </c>
      <c r="DD9" s="27" t="str">
        <f t="shared" si="47"/>
        <v/>
      </c>
      <c r="DE9" s="27" t="str">
        <f t="shared" si="48"/>
        <v/>
      </c>
      <c r="DF9" s="27" t="str">
        <f t="shared" si="49"/>
        <v/>
      </c>
      <c r="DG9" s="27" t="str">
        <f t="shared" si="50"/>
        <v/>
      </c>
      <c r="DH9" s="27" t="str">
        <f t="shared" si="51"/>
        <v/>
      </c>
      <c r="DI9" s="27" t="str">
        <f t="shared" si="52"/>
        <v/>
      </c>
      <c r="DJ9" s="27" t="str">
        <f t="shared" si="53"/>
        <v/>
      </c>
      <c r="DK9" s="27" t="str">
        <f t="shared" si="54"/>
        <v/>
      </c>
      <c r="DL9" s="15">
        <v>16.8</v>
      </c>
      <c r="DM9" s="15">
        <v>5.8</v>
      </c>
      <c r="DN9" s="15">
        <v>0</v>
      </c>
      <c r="DO9" s="15">
        <v>0</v>
      </c>
      <c r="DP9" s="15">
        <v>16.100000000000001</v>
      </c>
      <c r="DQ9" s="15">
        <v>5.8</v>
      </c>
      <c r="DR9" s="15">
        <v>0.4</v>
      </c>
      <c r="DS9" s="15">
        <v>0</v>
      </c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0">
        <f t="shared" si="55"/>
        <v>5.8</v>
      </c>
      <c r="EG9" s="10">
        <f t="shared" si="56"/>
        <v>22.6</v>
      </c>
      <c r="EH9" s="10">
        <f t="shared" si="57"/>
        <v>5.8</v>
      </c>
      <c r="EI9" s="10">
        <f t="shared" si="58"/>
        <v>21.500000000000004</v>
      </c>
      <c r="EJ9" s="10">
        <f t="shared" si="59"/>
        <v>11.6</v>
      </c>
      <c r="EK9" s="10">
        <f t="shared" si="60"/>
        <v>44.100000000000009</v>
      </c>
      <c r="EL9" s="10" t="str">
        <f t="shared" si="61"/>
        <v/>
      </c>
      <c r="EM9" s="10" t="str">
        <f t="shared" si="62"/>
        <v/>
      </c>
      <c r="EN9" s="10" t="str">
        <f t="shared" si="63"/>
        <v/>
      </c>
      <c r="EO9" s="10" t="str">
        <f t="shared" si="64"/>
        <v/>
      </c>
      <c r="EP9" s="10" t="str">
        <f t="shared" si="65"/>
        <v/>
      </c>
      <c r="EQ9" s="10" t="str">
        <f t="shared" si="66"/>
        <v/>
      </c>
      <c r="ER9" s="10" t="str">
        <f t="shared" si="67"/>
        <v/>
      </c>
      <c r="ES9" s="10" t="str">
        <f t="shared" si="68"/>
        <v/>
      </c>
      <c r="ET9" s="10">
        <f t="shared" si="69"/>
        <v>44.100000000000009</v>
      </c>
      <c r="EU9" s="44">
        <f t="shared" si="70"/>
        <v>16.100000000000001</v>
      </c>
      <c r="EV9" s="44">
        <f t="shared" si="71"/>
        <v>6</v>
      </c>
      <c r="EW9" s="44">
        <f t="shared" si="72"/>
        <v>0</v>
      </c>
      <c r="EX9" s="44">
        <f t="shared" si="73"/>
        <v>0</v>
      </c>
      <c r="EY9" s="44">
        <f t="shared" si="74"/>
        <v>15.5</v>
      </c>
      <c r="EZ9" s="44">
        <f t="shared" si="75"/>
        <v>5.65</v>
      </c>
      <c r="FA9" s="44">
        <f t="shared" si="76"/>
        <v>0.5</v>
      </c>
      <c r="FB9" s="44">
        <f t="shared" si="77"/>
        <v>0</v>
      </c>
      <c r="FC9" s="44">
        <f t="shared" si="78"/>
        <v>16.25</v>
      </c>
      <c r="FD9" s="44">
        <f t="shared" si="79"/>
        <v>5.75</v>
      </c>
      <c r="FE9" s="44">
        <f t="shared" si="80"/>
        <v>0</v>
      </c>
      <c r="FF9" s="44">
        <f t="shared" si="81"/>
        <v>0</v>
      </c>
      <c r="FG9" s="44">
        <f t="shared" si="82"/>
        <v>15.55</v>
      </c>
      <c r="FH9" s="44">
        <f t="shared" si="83"/>
        <v>6.35</v>
      </c>
      <c r="FI9" s="44">
        <f t="shared" si="84"/>
        <v>1</v>
      </c>
      <c r="FJ9" s="44">
        <f t="shared" si="85"/>
        <v>0</v>
      </c>
      <c r="FK9" s="20" t="s">
        <v>29</v>
      </c>
      <c r="FL9" s="10">
        <f t="shared" si="86"/>
        <v>6</v>
      </c>
      <c r="FM9" s="10">
        <f t="shared" si="87"/>
        <v>22.1</v>
      </c>
      <c r="FN9" s="10">
        <f t="shared" si="88"/>
        <v>5.65</v>
      </c>
      <c r="FO9" s="10">
        <f t="shared" si="89"/>
        <v>20.65</v>
      </c>
      <c r="FP9" s="10">
        <f t="shared" si="90"/>
        <v>11.65</v>
      </c>
      <c r="FQ9" s="10">
        <f t="shared" si="93"/>
        <v>42.75</v>
      </c>
      <c r="FR9" s="10">
        <f t="shared" si="94"/>
        <v>5.75</v>
      </c>
      <c r="FS9" s="10">
        <f t="shared" si="95"/>
        <v>22</v>
      </c>
      <c r="FT9" s="10">
        <f t="shared" si="96"/>
        <v>6.35</v>
      </c>
      <c r="FU9" s="10">
        <f t="shared" si="97"/>
        <v>20.9</v>
      </c>
      <c r="FV9" s="10">
        <f t="shared" si="98"/>
        <v>12.1</v>
      </c>
      <c r="FW9" s="10">
        <f t="shared" si="91"/>
        <v>42.9</v>
      </c>
      <c r="FX9" s="10">
        <f t="shared" si="92"/>
        <v>85.65</v>
      </c>
    </row>
    <row r="10" spans="1:180" x14ac:dyDescent="0.2">
      <c r="A10" s="3" t="str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/>
      </c>
      <c r="B10" s="4" t="s">
        <v>103</v>
      </c>
      <c r="C10" s="3" t="s">
        <v>4</v>
      </c>
      <c r="D10" s="3">
        <v>2003</v>
      </c>
      <c r="E10" s="8">
        <f t="shared" si="0"/>
        <v>89.150006705004358</v>
      </c>
      <c r="F10" s="2" t="str">
        <f t="shared" si="1"/>
        <v/>
      </c>
      <c r="G10" s="2" t="str">
        <f t="shared" si="2"/>
        <v/>
      </c>
      <c r="H10" s="26" t="str">
        <f t="shared" si="3"/>
        <v/>
      </c>
      <c r="I10" s="2" t="str">
        <f t="shared" si="4"/>
        <v/>
      </c>
      <c r="J10" s="7">
        <f t="shared" si="5"/>
        <v>43.5</v>
      </c>
      <c r="K10" s="7" t="str">
        <f t="shared" si="6"/>
        <v>2025 Nationals</v>
      </c>
      <c r="L10" s="7">
        <f>IF(J10=AO10,IF(COUNT(AQ10,AS10,BO10,BQ10,BU10,BW10)&gt;1,LARGE((AQ10,AS10,BO10,BQ10,BU10,BW10),1),0),IF(COUNT(AK10,AM10,AQ10,AS10,BU10,BW10)&gt;1,LARGE((AK10,AM10,AQ10,AS10,BU10,BW10),1),0))</f>
        <v>23.55</v>
      </c>
      <c r="M10" s="7" t="str">
        <f t="shared" si="7"/>
        <v>2025 Nationals</v>
      </c>
      <c r="N10" s="7">
        <f>IF(J10=AO10,IF(COUNT(AQ10,AS10,BO10,BQ10,BU10,BW10)&gt;1,LARGE((AQ10,AS10,BO10,BQ10,BU10,BW10),2),0),IF(COUNT(AK10,AM10,AQ10,AS10,BU10,BW10)&gt;1,LARGE((AK10,AM10,AQ10,AS10,BU10,BW10),2),0))</f>
        <v>22.1</v>
      </c>
      <c r="O10" s="7" t="str">
        <f t="shared" si="8"/>
        <v>2025 3rd Domestic Trial</v>
      </c>
      <c r="P10" s="7" t="str">
        <f t="shared" si="9"/>
        <v/>
      </c>
      <c r="Q10" s="10" t="str">
        <f t="shared" si="10"/>
        <v/>
      </c>
      <c r="R10" s="7" t="str">
        <f t="shared" si="11"/>
        <v/>
      </c>
      <c r="S10" s="39">
        <v>17.850000000000001</v>
      </c>
      <c r="T10" s="39">
        <v>6.9</v>
      </c>
      <c r="U10" s="39">
        <v>0</v>
      </c>
      <c r="V10" s="39">
        <v>0</v>
      </c>
      <c r="W10" s="39">
        <v>14.100000000000001</v>
      </c>
      <c r="X10" s="39">
        <v>4.6500000000000004</v>
      </c>
      <c r="Y10" s="39">
        <v>0</v>
      </c>
      <c r="Z10" s="39">
        <v>0</v>
      </c>
      <c r="AA10" s="39">
        <v>16.350000000000001</v>
      </c>
      <c r="AB10" s="39">
        <v>5.0500000000000007</v>
      </c>
      <c r="AC10" s="39">
        <v>0</v>
      </c>
      <c r="AD10" s="39">
        <v>0</v>
      </c>
      <c r="AE10" s="39">
        <v>17.350000000000001</v>
      </c>
      <c r="AF10" s="39">
        <v>6.2</v>
      </c>
      <c r="AG10" s="39">
        <v>0</v>
      </c>
      <c r="AH10" s="39">
        <v>0</v>
      </c>
      <c r="AI10" s="19" t="s">
        <v>29</v>
      </c>
      <c r="AJ10" s="42">
        <f t="shared" si="12"/>
        <v>6.9</v>
      </c>
      <c r="AK10" s="42">
        <f t="shared" si="13"/>
        <v>24.75</v>
      </c>
      <c r="AL10" s="42">
        <f t="shared" si="14"/>
        <v>4.6500000000000004</v>
      </c>
      <c r="AM10" s="42">
        <f t="shared" si="15"/>
        <v>18.75</v>
      </c>
      <c r="AN10" s="27">
        <f t="shared" si="16"/>
        <v>11.55</v>
      </c>
      <c r="AO10" s="27">
        <f t="shared" si="17"/>
        <v>43.5</v>
      </c>
      <c r="AP10" s="27">
        <f t="shared" si="18"/>
        <v>5.0500000000000007</v>
      </c>
      <c r="AQ10" s="27">
        <f t="shared" si="19"/>
        <v>21.400000000000002</v>
      </c>
      <c r="AR10" s="27">
        <f t="shared" si="20"/>
        <v>6.2</v>
      </c>
      <c r="AS10" s="27">
        <f t="shared" si="21"/>
        <v>23.55</v>
      </c>
      <c r="AT10" s="27">
        <f t="shared" si="22"/>
        <v>11.25</v>
      </c>
      <c r="AU10" s="27">
        <f t="shared" si="23"/>
        <v>44.95</v>
      </c>
      <c r="AV10" s="27">
        <f t="shared" si="24"/>
        <v>88.45</v>
      </c>
      <c r="AW10" s="15">
        <v>14.9</v>
      </c>
      <c r="AX10" s="15">
        <v>3.5</v>
      </c>
      <c r="AY10" s="15">
        <v>3</v>
      </c>
      <c r="AZ10" s="15">
        <v>0</v>
      </c>
      <c r="BA10" s="15">
        <v>17.2</v>
      </c>
      <c r="BB10" s="15">
        <v>4.7</v>
      </c>
      <c r="BC10" s="15">
        <v>0.6</v>
      </c>
      <c r="BD10" s="15">
        <v>0</v>
      </c>
      <c r="BE10" s="15">
        <v>16.600000000000001</v>
      </c>
      <c r="BF10" s="15">
        <v>5.5</v>
      </c>
      <c r="BG10" s="15">
        <v>0</v>
      </c>
      <c r="BH10" s="15">
        <v>0</v>
      </c>
      <c r="BI10" s="15">
        <v>17</v>
      </c>
      <c r="BJ10" s="15">
        <v>4.7</v>
      </c>
      <c r="BK10" s="15">
        <v>0.6</v>
      </c>
      <c r="BL10" s="15">
        <v>0</v>
      </c>
      <c r="BM10" s="20"/>
      <c r="BN10" s="43">
        <f t="shared" si="25"/>
        <v>3.5</v>
      </c>
      <c r="BO10" s="43">
        <f t="shared" si="26"/>
        <v>15.399999999999999</v>
      </c>
      <c r="BP10" s="43">
        <f t="shared" si="27"/>
        <v>4.7</v>
      </c>
      <c r="BQ10" s="43">
        <f t="shared" si="28"/>
        <v>21.299999999999997</v>
      </c>
      <c r="BR10" s="10">
        <f t="shared" si="29"/>
        <v>8.1999999999999993</v>
      </c>
      <c r="BS10" s="10">
        <f t="shared" si="30"/>
        <v>36.699999999999996</v>
      </c>
      <c r="BT10" s="10">
        <f t="shared" si="31"/>
        <v>5.5</v>
      </c>
      <c r="BU10" s="10">
        <f t="shared" si="32"/>
        <v>22.1</v>
      </c>
      <c r="BV10" s="10">
        <f t="shared" si="33"/>
        <v>4.7</v>
      </c>
      <c r="BW10" s="10">
        <f t="shared" si="34"/>
        <v>21.099999999999998</v>
      </c>
      <c r="BX10" s="10">
        <f t="shared" si="35"/>
        <v>10.199999999999999</v>
      </c>
      <c r="BY10" s="10">
        <f t="shared" si="36"/>
        <v>43.2</v>
      </c>
      <c r="BZ10" s="10">
        <f t="shared" si="37"/>
        <v>79.900000000000006</v>
      </c>
      <c r="CA10" s="34" t="str">
        <f t="shared" si="38"/>
        <v/>
      </c>
      <c r="CB10" s="34" t="str">
        <f t="shared" si="39"/>
        <v/>
      </c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27" t="str">
        <f t="shared" si="40"/>
        <v/>
      </c>
      <c r="CX10" s="27" t="str">
        <f t="shared" si="41"/>
        <v/>
      </c>
      <c r="CY10" s="27" t="str">
        <f t="shared" si="42"/>
        <v/>
      </c>
      <c r="CZ10" s="27" t="str">
        <f t="shared" si="43"/>
        <v/>
      </c>
      <c r="DA10" s="27" t="str">
        <f t="shared" si="44"/>
        <v/>
      </c>
      <c r="DB10" s="27" t="str">
        <f t="shared" si="45"/>
        <v/>
      </c>
      <c r="DC10" s="27" t="str">
        <f t="shared" si="46"/>
        <v/>
      </c>
      <c r="DD10" s="27" t="str">
        <f t="shared" si="47"/>
        <v/>
      </c>
      <c r="DE10" s="27" t="str">
        <f t="shared" si="48"/>
        <v/>
      </c>
      <c r="DF10" s="27" t="str">
        <f t="shared" si="49"/>
        <v/>
      </c>
      <c r="DG10" s="27" t="str">
        <f t="shared" si="50"/>
        <v/>
      </c>
      <c r="DH10" s="27" t="str">
        <f t="shared" si="51"/>
        <v/>
      </c>
      <c r="DI10" s="27" t="str">
        <f t="shared" si="52"/>
        <v/>
      </c>
      <c r="DJ10" s="27" t="str">
        <f t="shared" si="53"/>
        <v/>
      </c>
      <c r="DK10" s="27" t="str">
        <f t="shared" si="54"/>
        <v/>
      </c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0" t="str">
        <f t="shared" si="55"/>
        <v/>
      </c>
      <c r="EG10" s="10" t="str">
        <f t="shared" si="56"/>
        <v/>
      </c>
      <c r="EH10" s="10" t="str">
        <f t="shared" si="57"/>
        <v/>
      </c>
      <c r="EI10" s="10" t="str">
        <f t="shared" si="58"/>
        <v/>
      </c>
      <c r="EJ10" s="10" t="str">
        <f t="shared" si="59"/>
        <v/>
      </c>
      <c r="EK10" s="10" t="str">
        <f t="shared" si="60"/>
        <v/>
      </c>
      <c r="EL10" s="10" t="str">
        <f t="shared" si="61"/>
        <v/>
      </c>
      <c r="EM10" s="10" t="str">
        <f t="shared" si="62"/>
        <v/>
      </c>
      <c r="EN10" s="10" t="str">
        <f t="shared" si="63"/>
        <v/>
      </c>
      <c r="EO10" s="10" t="str">
        <f t="shared" si="64"/>
        <v/>
      </c>
      <c r="EP10" s="10" t="str">
        <f t="shared" si="65"/>
        <v/>
      </c>
      <c r="EQ10" s="10" t="str">
        <f t="shared" si="66"/>
        <v/>
      </c>
      <c r="ER10" s="10" t="str">
        <f t="shared" si="67"/>
        <v/>
      </c>
      <c r="ES10" s="10" t="str">
        <f t="shared" si="68"/>
        <v/>
      </c>
      <c r="ET10" s="10" t="str">
        <f t="shared" si="69"/>
        <v/>
      </c>
      <c r="EU10" s="44">
        <f t="shared" si="70"/>
        <v>16.375</v>
      </c>
      <c r="EV10" s="44">
        <f t="shared" si="71"/>
        <v>5.2</v>
      </c>
      <c r="EW10" s="44">
        <f t="shared" si="72"/>
        <v>1.5</v>
      </c>
      <c r="EX10" s="44">
        <f t="shared" si="73"/>
        <v>0</v>
      </c>
      <c r="EY10" s="44">
        <f t="shared" si="74"/>
        <v>15.65</v>
      </c>
      <c r="EZ10" s="44">
        <f t="shared" si="75"/>
        <v>4.6750000000000007</v>
      </c>
      <c r="FA10" s="44">
        <f t="shared" si="76"/>
        <v>0.3</v>
      </c>
      <c r="FB10" s="44">
        <f t="shared" si="77"/>
        <v>0</v>
      </c>
      <c r="FC10" s="44">
        <f t="shared" si="78"/>
        <v>16.475000000000001</v>
      </c>
      <c r="FD10" s="44">
        <f t="shared" si="79"/>
        <v>5.2750000000000004</v>
      </c>
      <c r="FE10" s="44">
        <f t="shared" si="80"/>
        <v>0</v>
      </c>
      <c r="FF10" s="44">
        <f t="shared" si="81"/>
        <v>0</v>
      </c>
      <c r="FG10" s="44">
        <f t="shared" si="82"/>
        <v>17.175000000000001</v>
      </c>
      <c r="FH10" s="44">
        <f t="shared" si="83"/>
        <v>5.45</v>
      </c>
      <c r="FI10" s="44">
        <f t="shared" si="84"/>
        <v>0.3</v>
      </c>
      <c r="FJ10" s="44">
        <f t="shared" si="85"/>
        <v>0</v>
      </c>
      <c r="FK10" s="20" t="s">
        <v>29</v>
      </c>
      <c r="FL10" s="10">
        <f t="shared" si="86"/>
        <v>5.2</v>
      </c>
      <c r="FM10" s="10">
        <f t="shared" si="87"/>
        <v>20.074999999999999</v>
      </c>
      <c r="FN10" s="10">
        <f t="shared" si="88"/>
        <v>4.6750000000000007</v>
      </c>
      <c r="FO10" s="10">
        <f t="shared" si="89"/>
        <v>20.025000000000002</v>
      </c>
      <c r="FP10" s="10">
        <f t="shared" si="90"/>
        <v>9.875</v>
      </c>
      <c r="FQ10" s="10">
        <f t="shared" si="93"/>
        <v>40.1</v>
      </c>
      <c r="FR10" s="10">
        <f t="shared" si="94"/>
        <v>5.2750000000000004</v>
      </c>
      <c r="FS10" s="10">
        <f t="shared" si="95"/>
        <v>21.75</v>
      </c>
      <c r="FT10" s="10">
        <f t="shared" si="96"/>
        <v>5.45</v>
      </c>
      <c r="FU10" s="10">
        <f t="shared" si="97"/>
        <v>22.324999999999999</v>
      </c>
      <c r="FV10" s="10">
        <f t="shared" si="98"/>
        <v>10.725000000000001</v>
      </c>
      <c r="FW10" s="10">
        <f t="shared" si="91"/>
        <v>44.075000000000003</v>
      </c>
      <c r="FX10" s="10">
        <f t="shared" si="92"/>
        <v>84.175000000000011</v>
      </c>
    </row>
    <row r="11" spans="1:180" x14ac:dyDescent="0.2">
      <c r="A11" s="3" t="str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/>
      </c>
      <c r="B11" s="4" t="s">
        <v>49</v>
      </c>
      <c r="C11" s="3" t="s">
        <v>4</v>
      </c>
      <c r="D11" s="3">
        <v>2005</v>
      </c>
      <c r="E11" s="8">
        <f t="shared" si="0"/>
        <v>84.100005970003735</v>
      </c>
      <c r="F11" s="2" t="str">
        <f t="shared" si="1"/>
        <v/>
      </c>
      <c r="G11" s="2" t="str">
        <f t="shared" si="2"/>
        <v/>
      </c>
      <c r="H11" s="26" t="str">
        <f t="shared" si="3"/>
        <v/>
      </c>
      <c r="I11" s="2" t="str">
        <f t="shared" si="4"/>
        <v/>
      </c>
      <c r="J11" s="7">
        <f t="shared" si="5"/>
        <v>37.400000000000006</v>
      </c>
      <c r="K11" s="7" t="str">
        <f t="shared" si="6"/>
        <v>2025 3rd Domestic Trial</v>
      </c>
      <c r="L11" s="7">
        <f>IF(J11=AO11,IF(COUNT(AQ11,AS11,BO11,BQ11,BU11,BW11)&gt;1,LARGE((AQ11,AS11,BO11,BQ11,BU11,BW11),1),0),IF(COUNT(AK11,AM11,AQ11,AS11,BU11,BW11)&gt;1,LARGE((AK11,AM11,AQ11,AS11,BU11,BW11),1),0))</f>
        <v>22.3</v>
      </c>
      <c r="M11" s="7" t="str">
        <f t="shared" si="7"/>
        <v>2025 3rd Domestic Trial</v>
      </c>
      <c r="N11" s="7">
        <f>IF(J11=AO11,IF(COUNT(AQ11,AS11,BO11,BQ11,BU11,BW11)&gt;1,LARGE((AQ11,AS11,BO11,BQ11,BU11,BW11),2),0),IF(COUNT(AK11,AM11,AQ11,AS11,BU11,BW11)&gt;1,LARGE((AK11,AM11,AQ11,AS11,BU11,BW11),2),0))</f>
        <v>20.3</v>
      </c>
      <c r="O11" s="7" t="str">
        <f t="shared" si="8"/>
        <v>2025 3rd Domestic Trial</v>
      </c>
      <c r="P11" s="7">
        <f t="shared" si="9"/>
        <v>4.0999999999999943</v>
      </c>
      <c r="Q11" s="10" t="str">
        <f t="shared" si="10"/>
        <v>(Q1)</v>
      </c>
      <c r="R11" s="7" t="str">
        <f t="shared" si="11"/>
        <v>2025 WAGC (Nov 16)</v>
      </c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19"/>
      <c r="AJ11" s="42" t="str">
        <f t="shared" si="12"/>
        <v/>
      </c>
      <c r="AK11" s="42" t="str">
        <f t="shared" si="13"/>
        <v/>
      </c>
      <c r="AL11" s="42" t="str">
        <f t="shared" si="14"/>
        <v/>
      </c>
      <c r="AM11" s="42" t="str">
        <f t="shared" si="15"/>
        <v/>
      </c>
      <c r="AN11" s="27" t="str">
        <f t="shared" si="16"/>
        <v/>
      </c>
      <c r="AO11" s="27" t="str">
        <f t="shared" si="17"/>
        <v/>
      </c>
      <c r="AP11" s="27" t="str">
        <f t="shared" si="18"/>
        <v/>
      </c>
      <c r="AQ11" s="27" t="str">
        <f t="shared" si="19"/>
        <v/>
      </c>
      <c r="AR11" s="27" t="str">
        <f t="shared" si="20"/>
        <v/>
      </c>
      <c r="AS11" s="27" t="str">
        <f t="shared" si="21"/>
        <v/>
      </c>
      <c r="AT11" s="27" t="str">
        <f t="shared" si="22"/>
        <v/>
      </c>
      <c r="AU11" s="27" t="str">
        <f t="shared" si="23"/>
        <v/>
      </c>
      <c r="AV11" s="27" t="str">
        <f t="shared" si="24"/>
        <v/>
      </c>
      <c r="AW11" s="15">
        <v>11.8</v>
      </c>
      <c r="AX11" s="15">
        <v>3</v>
      </c>
      <c r="AY11" s="15">
        <v>0</v>
      </c>
      <c r="AZ11" s="15">
        <v>0</v>
      </c>
      <c r="BA11" s="15">
        <v>17.100000000000001</v>
      </c>
      <c r="BB11" s="15">
        <v>5.5</v>
      </c>
      <c r="BC11" s="15">
        <v>0</v>
      </c>
      <c r="BD11" s="15">
        <v>0</v>
      </c>
      <c r="BE11" s="15">
        <v>16.600000000000001</v>
      </c>
      <c r="BF11" s="15">
        <v>5.7</v>
      </c>
      <c r="BG11" s="15">
        <v>0</v>
      </c>
      <c r="BH11" s="15">
        <v>0</v>
      </c>
      <c r="BI11" s="15">
        <v>15.4</v>
      </c>
      <c r="BJ11" s="15">
        <v>5.0999999999999996</v>
      </c>
      <c r="BK11" s="15">
        <v>0.2</v>
      </c>
      <c r="BL11" s="15">
        <v>0</v>
      </c>
      <c r="BM11" s="20"/>
      <c r="BN11" s="43">
        <f t="shared" si="25"/>
        <v>3</v>
      </c>
      <c r="BO11" s="43">
        <f t="shared" si="26"/>
        <v>14.8</v>
      </c>
      <c r="BP11" s="43">
        <f t="shared" si="27"/>
        <v>5.5</v>
      </c>
      <c r="BQ11" s="43">
        <f t="shared" si="28"/>
        <v>22.6</v>
      </c>
      <c r="BR11" s="10">
        <f t="shared" si="29"/>
        <v>8.5</v>
      </c>
      <c r="BS11" s="10">
        <f t="shared" si="30"/>
        <v>37.400000000000006</v>
      </c>
      <c r="BT11" s="10">
        <f t="shared" si="31"/>
        <v>5.7</v>
      </c>
      <c r="BU11" s="10">
        <f t="shared" si="32"/>
        <v>22.3</v>
      </c>
      <c r="BV11" s="10">
        <f t="shared" si="33"/>
        <v>5.0999999999999996</v>
      </c>
      <c r="BW11" s="10">
        <f t="shared" si="34"/>
        <v>20.3</v>
      </c>
      <c r="BX11" s="10">
        <f t="shared" si="35"/>
        <v>10.8</v>
      </c>
      <c r="BY11" s="10">
        <f t="shared" si="36"/>
        <v>42.6</v>
      </c>
      <c r="BZ11" s="10">
        <f t="shared" si="37"/>
        <v>80</v>
      </c>
      <c r="CA11" s="34">
        <f t="shared" si="38"/>
        <v>4.0999999999999943</v>
      </c>
      <c r="CB11" s="34">
        <f t="shared" si="39"/>
        <v>2.4000000000000021</v>
      </c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27" t="str">
        <f t="shared" si="40"/>
        <v/>
      </c>
      <c r="CX11" s="27" t="str">
        <f t="shared" si="41"/>
        <v/>
      </c>
      <c r="CY11" s="27" t="str">
        <f t="shared" si="42"/>
        <v/>
      </c>
      <c r="CZ11" s="27" t="str">
        <f t="shared" si="43"/>
        <v/>
      </c>
      <c r="DA11" s="27" t="str">
        <f t="shared" si="44"/>
        <v/>
      </c>
      <c r="DB11" s="27" t="str">
        <f t="shared" si="45"/>
        <v/>
      </c>
      <c r="DC11" s="27" t="str">
        <f t="shared" si="46"/>
        <v/>
      </c>
      <c r="DD11" s="27" t="str">
        <f t="shared" si="47"/>
        <v/>
      </c>
      <c r="DE11" s="27" t="str">
        <f t="shared" si="48"/>
        <v/>
      </c>
      <c r="DF11" s="27" t="str">
        <f t="shared" si="49"/>
        <v/>
      </c>
      <c r="DG11" s="27" t="str">
        <f t="shared" si="50"/>
        <v/>
      </c>
      <c r="DH11" s="27" t="str">
        <f t="shared" si="51"/>
        <v/>
      </c>
      <c r="DI11" s="27" t="str">
        <f t="shared" si="52"/>
        <v/>
      </c>
      <c r="DJ11" s="27" t="str">
        <f t="shared" si="53"/>
        <v/>
      </c>
      <c r="DK11" s="27" t="str">
        <f t="shared" si="54"/>
        <v/>
      </c>
      <c r="DL11" s="15">
        <v>16.8</v>
      </c>
      <c r="DM11" s="15">
        <v>5.9</v>
      </c>
      <c r="DN11" s="15">
        <v>0</v>
      </c>
      <c r="DO11" s="15">
        <v>0</v>
      </c>
      <c r="DP11" s="15">
        <v>15.7</v>
      </c>
      <c r="DQ11" s="15">
        <v>3.1</v>
      </c>
      <c r="DR11" s="15">
        <v>0</v>
      </c>
      <c r="DS11" s="15">
        <v>0</v>
      </c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0">
        <f t="shared" si="55"/>
        <v>5.9</v>
      </c>
      <c r="EG11" s="10">
        <f t="shared" si="56"/>
        <v>22.700000000000003</v>
      </c>
      <c r="EH11" s="10">
        <f t="shared" si="57"/>
        <v>3.1</v>
      </c>
      <c r="EI11" s="10">
        <f t="shared" si="58"/>
        <v>18.8</v>
      </c>
      <c r="EJ11" s="10">
        <f t="shared" si="59"/>
        <v>9</v>
      </c>
      <c r="EK11" s="10">
        <f t="shared" si="60"/>
        <v>41.5</v>
      </c>
      <c r="EL11" s="10" t="str">
        <f t="shared" si="61"/>
        <v/>
      </c>
      <c r="EM11" s="10" t="str">
        <f t="shared" si="62"/>
        <v/>
      </c>
      <c r="EN11" s="10" t="str">
        <f t="shared" si="63"/>
        <v/>
      </c>
      <c r="EO11" s="10" t="str">
        <f t="shared" si="64"/>
        <v/>
      </c>
      <c r="EP11" s="10" t="str">
        <f t="shared" si="65"/>
        <v/>
      </c>
      <c r="EQ11" s="10" t="str">
        <f t="shared" si="66"/>
        <v/>
      </c>
      <c r="ER11" s="10" t="str">
        <f t="shared" si="67"/>
        <v/>
      </c>
      <c r="ES11" s="10" t="str">
        <f t="shared" si="68"/>
        <v/>
      </c>
      <c r="ET11" s="10">
        <f t="shared" si="69"/>
        <v>41.5</v>
      </c>
      <c r="EU11" s="44">
        <f t="shared" si="70"/>
        <v>5.9</v>
      </c>
      <c r="EV11" s="44">
        <f t="shared" si="71"/>
        <v>1.5</v>
      </c>
      <c r="EW11" s="44">
        <f t="shared" si="72"/>
        <v>0</v>
      </c>
      <c r="EX11" s="44">
        <f t="shared" si="73"/>
        <v>0</v>
      </c>
      <c r="EY11" s="44">
        <f t="shared" si="74"/>
        <v>8.5500000000000007</v>
      </c>
      <c r="EZ11" s="44">
        <f t="shared" si="75"/>
        <v>2.75</v>
      </c>
      <c r="FA11" s="44">
        <f t="shared" si="76"/>
        <v>0</v>
      </c>
      <c r="FB11" s="44">
        <f t="shared" si="77"/>
        <v>0</v>
      </c>
      <c r="FC11" s="44">
        <f t="shared" si="78"/>
        <v>8.3000000000000007</v>
      </c>
      <c r="FD11" s="44">
        <f t="shared" si="79"/>
        <v>2.85</v>
      </c>
      <c r="FE11" s="44">
        <f t="shared" si="80"/>
        <v>0</v>
      </c>
      <c r="FF11" s="44">
        <f t="shared" si="81"/>
        <v>0</v>
      </c>
      <c r="FG11" s="44">
        <f t="shared" si="82"/>
        <v>7.7</v>
      </c>
      <c r="FH11" s="44">
        <f t="shared" si="83"/>
        <v>2.5499999999999998</v>
      </c>
      <c r="FI11" s="44">
        <f t="shared" si="84"/>
        <v>0.1</v>
      </c>
      <c r="FJ11" s="44">
        <f t="shared" si="85"/>
        <v>0</v>
      </c>
      <c r="FK11" s="20" t="s">
        <v>29</v>
      </c>
      <c r="FL11" s="10">
        <f t="shared" si="86"/>
        <v>1.5</v>
      </c>
      <c r="FM11" s="10">
        <f t="shared" si="87"/>
        <v>7.4</v>
      </c>
      <c r="FN11" s="10">
        <f t="shared" si="88"/>
        <v>2.75</v>
      </c>
      <c r="FO11" s="10">
        <f t="shared" si="89"/>
        <v>11.3</v>
      </c>
      <c r="FP11" s="10">
        <f t="shared" si="90"/>
        <v>4.25</v>
      </c>
      <c r="FQ11" s="10">
        <f t="shared" si="93"/>
        <v>18.700000000000003</v>
      </c>
      <c r="FR11" s="10">
        <f t="shared" si="94"/>
        <v>2.85</v>
      </c>
      <c r="FS11" s="10">
        <f t="shared" si="95"/>
        <v>11.15</v>
      </c>
      <c r="FT11" s="10">
        <f t="shared" si="96"/>
        <v>2.5499999999999998</v>
      </c>
      <c r="FU11" s="10">
        <f t="shared" si="97"/>
        <v>10.15</v>
      </c>
      <c r="FV11" s="10">
        <f t="shared" si="98"/>
        <v>5.4</v>
      </c>
      <c r="FW11" s="10">
        <f t="shared" si="91"/>
        <v>21.3</v>
      </c>
      <c r="FX11" s="10">
        <f t="shared" si="92"/>
        <v>40</v>
      </c>
    </row>
    <row r="12" spans="1:180" x14ac:dyDescent="0.2">
      <c r="A12" s="3" t="str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/>
      </c>
      <c r="B12" s="4" t="s">
        <v>59</v>
      </c>
      <c r="C12" s="3" t="s">
        <v>4</v>
      </c>
      <c r="D12" s="3">
        <v>2004</v>
      </c>
      <c r="E12" s="8">
        <f t="shared" si="0"/>
        <v>48.900003680002442</v>
      </c>
      <c r="F12" s="2" t="str">
        <f t="shared" si="1"/>
        <v/>
      </c>
      <c r="G12" s="2" t="str">
        <f t="shared" si="2"/>
        <v/>
      </c>
      <c r="H12" s="26" t="str">
        <f t="shared" si="3"/>
        <v/>
      </c>
      <c r="I12" s="2" t="str">
        <f t="shared" si="4"/>
        <v/>
      </c>
      <c r="J12" s="7">
        <f t="shared" si="5"/>
        <v>24.45</v>
      </c>
      <c r="K12" s="7" t="str">
        <f t="shared" si="6"/>
        <v>2025 3rd Domestic Trial</v>
      </c>
      <c r="L12" s="7">
        <f>IF(J12=AO12,IF(COUNT(AQ12,AS12,BO12,BQ12,BU12,BW12)&gt;1,LARGE((AQ12,AS12,BO12,BQ12,BU12,BW12),1),0),IF(COUNT(AK12,AM12,AQ12,AS12,BU12,BW12)&gt;1,LARGE((AK12,AM12,AQ12,AS12,BU12,BW12),1),0))</f>
        <v>12.35</v>
      </c>
      <c r="M12" s="7" t="str">
        <f t="shared" si="7"/>
        <v>2025 3rd Domestic Trial</v>
      </c>
      <c r="N12" s="7">
        <f>IF(J12=AO12,IF(COUNT(AQ12,AS12,BO12,BQ12,BU12,BW12)&gt;1,LARGE((AQ12,AS12,BO12,BQ12,BU12,BW12),2),0),IF(COUNT(AK12,AM12,AQ12,AS12,BU12,BW12)&gt;1,LARGE((AK12,AM12,AQ12,AS12,BU12,BW12),2),0))</f>
        <v>12.1</v>
      </c>
      <c r="O12" s="7" t="str">
        <f t="shared" si="8"/>
        <v>2025 3rd Domestic Trial</v>
      </c>
      <c r="P12" s="7" t="str">
        <f t="shared" si="9"/>
        <v/>
      </c>
      <c r="Q12" s="10" t="str">
        <f t="shared" si="10"/>
        <v/>
      </c>
      <c r="R12" s="7" t="str">
        <f t="shared" si="11"/>
        <v/>
      </c>
      <c r="S12" s="39">
        <v>8.85</v>
      </c>
      <c r="T12" s="39">
        <v>3.25</v>
      </c>
      <c r="U12" s="39">
        <v>0</v>
      </c>
      <c r="V12" s="39">
        <v>0</v>
      </c>
      <c r="W12" s="39">
        <v>8.6999999999999993</v>
      </c>
      <c r="X12" s="39">
        <v>3.65</v>
      </c>
      <c r="Y12" s="39">
        <v>0</v>
      </c>
      <c r="Z12" s="39">
        <v>0</v>
      </c>
      <c r="AA12" s="39">
        <v>0</v>
      </c>
      <c r="AB12" s="39">
        <v>0</v>
      </c>
      <c r="AC12" s="39">
        <v>0</v>
      </c>
      <c r="AD12" s="39">
        <v>0</v>
      </c>
      <c r="AE12" s="39">
        <v>0</v>
      </c>
      <c r="AF12" s="39">
        <v>0</v>
      </c>
      <c r="AG12" s="39">
        <v>0</v>
      </c>
      <c r="AH12" s="39">
        <v>0</v>
      </c>
      <c r="AI12" s="19" t="s">
        <v>29</v>
      </c>
      <c r="AJ12" s="42">
        <f t="shared" si="12"/>
        <v>3.25</v>
      </c>
      <c r="AK12" s="42">
        <f t="shared" si="13"/>
        <v>12.1</v>
      </c>
      <c r="AL12" s="42">
        <f t="shared" si="14"/>
        <v>3.65</v>
      </c>
      <c r="AM12" s="42">
        <f t="shared" si="15"/>
        <v>12.35</v>
      </c>
      <c r="AN12" s="27">
        <f t="shared" si="16"/>
        <v>6.9</v>
      </c>
      <c r="AO12" s="27">
        <f t="shared" si="17"/>
        <v>24.45</v>
      </c>
      <c r="AP12" s="27">
        <f t="shared" si="18"/>
        <v>0</v>
      </c>
      <c r="AQ12" s="27">
        <f t="shared" si="19"/>
        <v>0</v>
      </c>
      <c r="AR12" s="27">
        <f t="shared" si="20"/>
        <v>0</v>
      </c>
      <c r="AS12" s="27">
        <f t="shared" si="21"/>
        <v>0</v>
      </c>
      <c r="AT12" s="27" t="str">
        <f t="shared" si="22"/>
        <v/>
      </c>
      <c r="AU12" s="27" t="str">
        <f t="shared" si="23"/>
        <v/>
      </c>
      <c r="AV12" s="27">
        <f t="shared" si="24"/>
        <v>24.45</v>
      </c>
      <c r="AW12" s="15">
        <v>8.85</v>
      </c>
      <c r="AX12" s="15">
        <v>3.25</v>
      </c>
      <c r="AY12" s="15">
        <v>0</v>
      </c>
      <c r="AZ12" s="15">
        <v>0</v>
      </c>
      <c r="BA12" s="15">
        <v>8.6999999999999993</v>
      </c>
      <c r="BB12" s="15">
        <v>3.65</v>
      </c>
      <c r="BC12" s="15">
        <v>0</v>
      </c>
      <c r="BD12" s="15">
        <v>0</v>
      </c>
      <c r="BE12" s="15">
        <v>0</v>
      </c>
      <c r="BF12" s="15">
        <v>0</v>
      </c>
      <c r="BG12" s="15">
        <v>0</v>
      </c>
      <c r="BH12" s="15">
        <v>0</v>
      </c>
      <c r="BI12" s="15">
        <v>0</v>
      </c>
      <c r="BJ12" s="15">
        <v>0</v>
      </c>
      <c r="BK12" s="15">
        <v>0</v>
      </c>
      <c r="BL12" s="15">
        <v>0</v>
      </c>
      <c r="BM12" s="20" t="s">
        <v>29</v>
      </c>
      <c r="BN12" s="43">
        <f t="shared" si="25"/>
        <v>3.25</v>
      </c>
      <c r="BO12" s="43">
        <f t="shared" si="26"/>
        <v>12.1</v>
      </c>
      <c r="BP12" s="43">
        <f t="shared" si="27"/>
        <v>3.65</v>
      </c>
      <c r="BQ12" s="43">
        <f t="shared" si="28"/>
        <v>12.35</v>
      </c>
      <c r="BR12" s="10">
        <f t="shared" si="29"/>
        <v>6.9</v>
      </c>
      <c r="BS12" s="10">
        <f t="shared" si="30"/>
        <v>24.45</v>
      </c>
      <c r="BT12" s="10">
        <f t="shared" si="31"/>
        <v>0</v>
      </c>
      <c r="BU12" s="10">
        <f t="shared" si="32"/>
        <v>0</v>
      </c>
      <c r="BV12" s="10">
        <f t="shared" si="33"/>
        <v>0</v>
      </c>
      <c r="BW12" s="10">
        <f t="shared" si="34"/>
        <v>0</v>
      </c>
      <c r="BX12" s="10" t="str">
        <f t="shared" si="35"/>
        <v/>
      </c>
      <c r="BY12" s="10" t="str">
        <f t="shared" si="36"/>
        <v/>
      </c>
      <c r="BZ12" s="10">
        <f t="shared" si="37"/>
        <v>24.45</v>
      </c>
      <c r="CA12" s="34" t="str">
        <f t="shared" si="38"/>
        <v/>
      </c>
      <c r="CB12" s="34" t="str">
        <f t="shared" si="39"/>
        <v/>
      </c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27" t="str">
        <f t="shared" si="40"/>
        <v/>
      </c>
      <c r="CX12" s="27" t="str">
        <f t="shared" si="41"/>
        <v/>
      </c>
      <c r="CY12" s="27" t="str">
        <f t="shared" si="42"/>
        <v/>
      </c>
      <c r="CZ12" s="27" t="str">
        <f t="shared" si="43"/>
        <v/>
      </c>
      <c r="DA12" s="27" t="str">
        <f t="shared" si="44"/>
        <v/>
      </c>
      <c r="DB12" s="27" t="str">
        <f t="shared" si="45"/>
        <v/>
      </c>
      <c r="DC12" s="27" t="str">
        <f t="shared" si="46"/>
        <v/>
      </c>
      <c r="DD12" s="27" t="str">
        <f t="shared" si="47"/>
        <v/>
      </c>
      <c r="DE12" s="27" t="str">
        <f t="shared" si="48"/>
        <v/>
      </c>
      <c r="DF12" s="27" t="str">
        <f t="shared" si="49"/>
        <v/>
      </c>
      <c r="DG12" s="27" t="str">
        <f t="shared" si="50"/>
        <v/>
      </c>
      <c r="DH12" s="27" t="str">
        <f t="shared" si="51"/>
        <v/>
      </c>
      <c r="DI12" s="27" t="str">
        <f t="shared" si="52"/>
        <v/>
      </c>
      <c r="DJ12" s="27" t="str">
        <f t="shared" si="53"/>
        <v/>
      </c>
      <c r="DK12" s="27" t="str">
        <f t="shared" si="54"/>
        <v/>
      </c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0" t="str">
        <f t="shared" si="55"/>
        <v/>
      </c>
      <c r="EG12" s="10" t="str">
        <f t="shared" si="56"/>
        <v/>
      </c>
      <c r="EH12" s="10" t="str">
        <f t="shared" si="57"/>
        <v/>
      </c>
      <c r="EI12" s="10" t="str">
        <f t="shared" si="58"/>
        <v/>
      </c>
      <c r="EJ12" s="10" t="str">
        <f t="shared" si="59"/>
        <v/>
      </c>
      <c r="EK12" s="10" t="str">
        <f t="shared" si="60"/>
        <v/>
      </c>
      <c r="EL12" s="10" t="str">
        <f t="shared" si="61"/>
        <v/>
      </c>
      <c r="EM12" s="10" t="str">
        <f t="shared" si="62"/>
        <v/>
      </c>
      <c r="EN12" s="10" t="str">
        <f t="shared" si="63"/>
        <v/>
      </c>
      <c r="EO12" s="10" t="str">
        <f t="shared" si="64"/>
        <v/>
      </c>
      <c r="EP12" s="10" t="str">
        <f t="shared" si="65"/>
        <v/>
      </c>
      <c r="EQ12" s="10" t="str">
        <f t="shared" si="66"/>
        <v/>
      </c>
      <c r="ER12" s="10" t="str">
        <f t="shared" si="67"/>
        <v/>
      </c>
      <c r="ES12" s="10" t="str">
        <f t="shared" si="68"/>
        <v/>
      </c>
      <c r="ET12" s="10" t="str">
        <f t="shared" si="69"/>
        <v/>
      </c>
      <c r="EU12" s="44">
        <f t="shared" si="70"/>
        <v>8.85</v>
      </c>
      <c r="EV12" s="44">
        <f t="shared" si="71"/>
        <v>3.25</v>
      </c>
      <c r="EW12" s="44">
        <f t="shared" si="72"/>
        <v>0</v>
      </c>
      <c r="EX12" s="44">
        <f t="shared" si="73"/>
        <v>0</v>
      </c>
      <c r="EY12" s="44">
        <f t="shared" si="74"/>
        <v>8.6999999999999993</v>
      </c>
      <c r="EZ12" s="44">
        <f t="shared" si="75"/>
        <v>3.65</v>
      </c>
      <c r="FA12" s="44">
        <f t="shared" si="76"/>
        <v>0</v>
      </c>
      <c r="FB12" s="44">
        <f t="shared" si="77"/>
        <v>0</v>
      </c>
      <c r="FC12" s="44">
        <f t="shared" si="78"/>
        <v>0</v>
      </c>
      <c r="FD12" s="44">
        <f t="shared" si="79"/>
        <v>0</v>
      </c>
      <c r="FE12" s="44">
        <f t="shared" si="80"/>
        <v>0</v>
      </c>
      <c r="FF12" s="44">
        <f t="shared" si="81"/>
        <v>0</v>
      </c>
      <c r="FG12" s="44">
        <f t="shared" si="82"/>
        <v>0</v>
      </c>
      <c r="FH12" s="44">
        <f t="shared" si="83"/>
        <v>0</v>
      </c>
      <c r="FI12" s="44">
        <f t="shared" si="84"/>
        <v>0</v>
      </c>
      <c r="FJ12" s="44">
        <f t="shared" si="85"/>
        <v>0</v>
      </c>
      <c r="FK12" s="20" t="s">
        <v>29</v>
      </c>
      <c r="FL12" s="10">
        <f t="shared" si="86"/>
        <v>3.25</v>
      </c>
      <c r="FM12" s="10">
        <f t="shared" si="87"/>
        <v>12.1</v>
      </c>
      <c r="FN12" s="10">
        <f t="shared" si="88"/>
        <v>3.65</v>
      </c>
      <c r="FO12" s="10">
        <f t="shared" si="89"/>
        <v>12.35</v>
      </c>
      <c r="FP12" s="10">
        <f t="shared" si="90"/>
        <v>6.9</v>
      </c>
      <c r="FQ12" s="10">
        <f t="shared" si="93"/>
        <v>24.45</v>
      </c>
      <c r="FR12" s="10">
        <f t="shared" si="94"/>
        <v>0</v>
      </c>
      <c r="FS12" s="10">
        <f t="shared" si="95"/>
        <v>0</v>
      </c>
      <c r="FT12" s="10">
        <f t="shared" si="96"/>
        <v>0</v>
      </c>
      <c r="FU12" s="10">
        <f t="shared" si="97"/>
        <v>0</v>
      </c>
      <c r="FV12" s="10" t="str">
        <f t="shared" si="98"/>
        <v/>
      </c>
      <c r="FW12" s="10" t="str">
        <f t="shared" si="91"/>
        <v/>
      </c>
      <c r="FX12" s="10">
        <f t="shared" si="92"/>
        <v>24.45</v>
      </c>
    </row>
    <row r="13" spans="1:180" x14ac:dyDescent="0.2">
      <c r="A13" s="3" t="str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/>
      </c>
      <c r="B13" s="4" t="s">
        <v>104</v>
      </c>
      <c r="C13" s="3" t="s">
        <v>3</v>
      </c>
      <c r="D13" s="3">
        <v>2008</v>
      </c>
      <c r="E13" s="8">
        <f t="shared" si="0"/>
        <v>0</v>
      </c>
      <c r="F13" s="2" t="str">
        <f t="shared" si="1"/>
        <v/>
      </c>
      <c r="G13" s="2" t="str">
        <f t="shared" si="2"/>
        <v/>
      </c>
      <c r="H13" s="26" t="str">
        <f t="shared" si="3"/>
        <v/>
      </c>
      <c r="I13" s="2" t="str">
        <f t="shared" si="4"/>
        <v/>
      </c>
      <c r="J13" s="7">
        <f t="shared" si="5"/>
        <v>0</v>
      </c>
      <c r="K13" s="7" t="str">
        <f t="shared" si="6"/>
        <v/>
      </c>
      <c r="L13" s="7">
        <f>IF(J13=AO13,IF(COUNT(AQ13,AS13,BO13,BQ13,BU13,BW13)&gt;1,LARGE((AQ13,AS13,BO13,BQ13,BU13,BW13),1),0),IF(COUNT(AK13,AM13,AQ13,AS13,BU13,BW13)&gt;1,LARGE((AK13,AM13,AQ13,AS13,BU13,BW13),1),0))</f>
        <v>0</v>
      </c>
      <c r="M13" s="7" t="str">
        <f t="shared" si="7"/>
        <v/>
      </c>
      <c r="N13" s="7">
        <f>IF(J13=AO13,IF(COUNT(AQ13,AS13,BO13,BQ13,BU13,BW13)&gt;1,LARGE((AQ13,AS13,BO13,BQ13,BU13,BW13),2),0),IF(COUNT(AK13,AM13,AQ13,AS13,BU13,BW13)&gt;1,LARGE((AK13,AM13,AQ13,AS13,BU13,BW13),2),0))</f>
        <v>0</v>
      </c>
      <c r="O13" s="7" t="str">
        <f t="shared" si="8"/>
        <v/>
      </c>
      <c r="P13" s="7" t="str">
        <f t="shared" si="9"/>
        <v/>
      </c>
      <c r="Q13" s="10" t="str">
        <f t="shared" si="10"/>
        <v/>
      </c>
      <c r="R13" s="7" t="str">
        <f t="shared" si="11"/>
        <v/>
      </c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19"/>
      <c r="AJ13" s="42" t="str">
        <f t="shared" si="12"/>
        <v/>
      </c>
      <c r="AK13" s="42" t="str">
        <f t="shared" si="13"/>
        <v/>
      </c>
      <c r="AL13" s="42" t="str">
        <f t="shared" si="14"/>
        <v/>
      </c>
      <c r="AM13" s="42" t="str">
        <f t="shared" si="15"/>
        <v/>
      </c>
      <c r="AN13" s="27" t="str">
        <f t="shared" si="16"/>
        <v/>
      </c>
      <c r="AO13" s="27" t="str">
        <f t="shared" si="17"/>
        <v/>
      </c>
      <c r="AP13" s="27" t="str">
        <f t="shared" si="18"/>
        <v/>
      </c>
      <c r="AQ13" s="27" t="str">
        <f t="shared" si="19"/>
        <v/>
      </c>
      <c r="AR13" s="27" t="str">
        <f t="shared" si="20"/>
        <v/>
      </c>
      <c r="AS13" s="27" t="str">
        <f t="shared" si="21"/>
        <v/>
      </c>
      <c r="AT13" s="27" t="str">
        <f t="shared" si="22"/>
        <v/>
      </c>
      <c r="AU13" s="27" t="str">
        <f t="shared" si="23"/>
        <v/>
      </c>
      <c r="AV13" s="27" t="str">
        <f t="shared" si="24"/>
        <v/>
      </c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20"/>
      <c r="BN13" s="43" t="str">
        <f t="shared" si="25"/>
        <v/>
      </c>
      <c r="BO13" s="43" t="str">
        <f t="shared" si="26"/>
        <v/>
      </c>
      <c r="BP13" s="43" t="str">
        <f t="shared" si="27"/>
        <v/>
      </c>
      <c r="BQ13" s="43" t="str">
        <f t="shared" si="28"/>
        <v/>
      </c>
      <c r="BR13" s="10" t="str">
        <f t="shared" si="29"/>
        <v/>
      </c>
      <c r="BS13" s="10" t="str">
        <f t="shared" si="30"/>
        <v/>
      </c>
      <c r="BT13" s="10" t="str">
        <f t="shared" si="31"/>
        <v/>
      </c>
      <c r="BU13" s="10" t="str">
        <f t="shared" si="32"/>
        <v/>
      </c>
      <c r="BV13" s="10" t="str">
        <f t="shared" si="33"/>
        <v/>
      </c>
      <c r="BW13" s="10" t="str">
        <f t="shared" si="34"/>
        <v/>
      </c>
      <c r="BX13" s="10" t="str">
        <f t="shared" si="35"/>
        <v/>
      </c>
      <c r="BY13" s="10" t="str">
        <f t="shared" si="36"/>
        <v/>
      </c>
      <c r="BZ13" s="10" t="str">
        <f t="shared" si="37"/>
        <v/>
      </c>
      <c r="CA13" s="34" t="str">
        <f t="shared" si="38"/>
        <v/>
      </c>
      <c r="CB13" s="34" t="str">
        <f t="shared" si="39"/>
        <v/>
      </c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27" t="str">
        <f t="shared" si="40"/>
        <v/>
      </c>
      <c r="CX13" s="27" t="str">
        <f t="shared" si="41"/>
        <v/>
      </c>
      <c r="CY13" s="27" t="str">
        <f t="shared" si="42"/>
        <v/>
      </c>
      <c r="CZ13" s="27" t="str">
        <f t="shared" si="43"/>
        <v/>
      </c>
      <c r="DA13" s="27" t="str">
        <f t="shared" si="44"/>
        <v/>
      </c>
      <c r="DB13" s="27" t="str">
        <f t="shared" si="45"/>
        <v/>
      </c>
      <c r="DC13" s="27" t="str">
        <f t="shared" si="46"/>
        <v/>
      </c>
      <c r="DD13" s="27" t="str">
        <f t="shared" si="47"/>
        <v/>
      </c>
      <c r="DE13" s="27" t="str">
        <f t="shared" si="48"/>
        <v/>
      </c>
      <c r="DF13" s="27" t="str">
        <f t="shared" si="49"/>
        <v/>
      </c>
      <c r="DG13" s="27" t="str">
        <f t="shared" si="50"/>
        <v/>
      </c>
      <c r="DH13" s="27" t="str">
        <f t="shared" si="51"/>
        <v/>
      </c>
      <c r="DI13" s="27" t="str">
        <f t="shared" si="52"/>
        <v/>
      </c>
      <c r="DJ13" s="27" t="str">
        <f t="shared" si="53"/>
        <v/>
      </c>
      <c r="DK13" s="27" t="str">
        <f t="shared" si="54"/>
        <v/>
      </c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0" t="str">
        <f t="shared" si="55"/>
        <v/>
      </c>
      <c r="EG13" s="10" t="str">
        <f t="shared" si="56"/>
        <v/>
      </c>
      <c r="EH13" s="10" t="str">
        <f t="shared" si="57"/>
        <v/>
      </c>
      <c r="EI13" s="10" t="str">
        <f t="shared" si="58"/>
        <v/>
      </c>
      <c r="EJ13" s="10" t="str">
        <f t="shared" si="59"/>
        <v/>
      </c>
      <c r="EK13" s="10" t="str">
        <f t="shared" si="60"/>
        <v/>
      </c>
      <c r="EL13" s="10" t="str">
        <f t="shared" si="61"/>
        <v/>
      </c>
      <c r="EM13" s="10" t="str">
        <f t="shared" si="62"/>
        <v/>
      </c>
      <c r="EN13" s="10" t="str">
        <f t="shared" si="63"/>
        <v/>
      </c>
      <c r="EO13" s="10" t="str">
        <f t="shared" si="64"/>
        <v/>
      </c>
      <c r="EP13" s="10" t="str">
        <f t="shared" si="65"/>
        <v/>
      </c>
      <c r="EQ13" s="10" t="str">
        <f t="shared" si="66"/>
        <v/>
      </c>
      <c r="ER13" s="10" t="str">
        <f t="shared" si="67"/>
        <v/>
      </c>
      <c r="ES13" s="10" t="str">
        <f t="shared" si="68"/>
        <v/>
      </c>
      <c r="ET13" s="10" t="str">
        <f t="shared" si="69"/>
        <v/>
      </c>
      <c r="EU13" s="44">
        <f t="shared" si="70"/>
        <v>0</v>
      </c>
      <c r="EV13" s="44">
        <f t="shared" si="71"/>
        <v>0</v>
      </c>
      <c r="EW13" s="44">
        <f t="shared" si="72"/>
        <v>0</v>
      </c>
      <c r="EX13" s="44">
        <f t="shared" si="73"/>
        <v>0</v>
      </c>
      <c r="EY13" s="44">
        <f t="shared" si="74"/>
        <v>0</v>
      </c>
      <c r="EZ13" s="44">
        <f t="shared" si="75"/>
        <v>0</v>
      </c>
      <c r="FA13" s="44">
        <f t="shared" si="76"/>
        <v>0</v>
      </c>
      <c r="FB13" s="44">
        <f t="shared" si="77"/>
        <v>0</v>
      </c>
      <c r="FC13" s="44">
        <f t="shared" si="78"/>
        <v>0</v>
      </c>
      <c r="FD13" s="44">
        <f t="shared" si="79"/>
        <v>0</v>
      </c>
      <c r="FE13" s="44">
        <f t="shared" si="80"/>
        <v>0</v>
      </c>
      <c r="FF13" s="44">
        <f t="shared" si="81"/>
        <v>0</v>
      </c>
      <c r="FG13" s="44">
        <f t="shared" si="82"/>
        <v>0</v>
      </c>
      <c r="FH13" s="44">
        <f t="shared" si="83"/>
        <v>0</v>
      </c>
      <c r="FI13" s="44">
        <f t="shared" si="84"/>
        <v>0</v>
      </c>
      <c r="FJ13" s="44">
        <f t="shared" si="85"/>
        <v>0</v>
      </c>
      <c r="FK13" s="20" t="s">
        <v>29</v>
      </c>
      <c r="FL13" s="10">
        <f t="shared" si="86"/>
        <v>0</v>
      </c>
      <c r="FM13" s="10">
        <f t="shared" si="87"/>
        <v>0</v>
      </c>
      <c r="FN13" s="10">
        <f t="shared" si="88"/>
        <v>0</v>
      </c>
      <c r="FO13" s="10">
        <f t="shared" si="89"/>
        <v>0</v>
      </c>
      <c r="FP13" s="10" t="str">
        <f t="shared" si="90"/>
        <v/>
      </c>
      <c r="FQ13" s="10" t="str">
        <f t="shared" si="93"/>
        <v/>
      </c>
      <c r="FR13" s="10">
        <f t="shared" si="94"/>
        <v>0</v>
      </c>
      <c r="FS13" s="10">
        <f t="shared" si="95"/>
        <v>0</v>
      </c>
      <c r="FT13" s="10">
        <f t="shared" si="96"/>
        <v>0</v>
      </c>
      <c r="FU13" s="10">
        <f t="shared" si="97"/>
        <v>0</v>
      </c>
      <c r="FV13" s="10" t="str">
        <f t="shared" si="98"/>
        <v/>
      </c>
      <c r="FW13" s="10" t="str">
        <f t="shared" si="91"/>
        <v/>
      </c>
      <c r="FX13" s="10" t="str">
        <f t="shared" si="92"/>
        <v/>
      </c>
    </row>
    <row r="14" spans="1:180" x14ac:dyDescent="0.2">
      <c r="A14" s="3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4" t="s">
        <v>37</v>
      </c>
      <c r="C14" s="3" t="s">
        <v>4</v>
      </c>
      <c r="D14" s="3">
        <v>2003</v>
      </c>
      <c r="E14" s="8">
        <f t="shared" si="0"/>
        <v>0</v>
      </c>
      <c r="F14" s="2" t="str">
        <f t="shared" si="1"/>
        <v/>
      </c>
      <c r="G14" s="2" t="str">
        <f t="shared" si="2"/>
        <v/>
      </c>
      <c r="H14" s="26" t="str">
        <f t="shared" si="3"/>
        <v/>
      </c>
      <c r="I14" s="2" t="str">
        <f t="shared" si="4"/>
        <v/>
      </c>
      <c r="J14" s="7">
        <f t="shared" si="5"/>
        <v>0</v>
      </c>
      <c r="K14" s="7" t="str">
        <f t="shared" si="6"/>
        <v/>
      </c>
      <c r="L14" s="7">
        <f>IF(J14=AO14,IF(COUNT(AQ14,AS14,BO14,BQ14,BU14,BW14)&gt;1,LARGE((AQ14,AS14,BO14,BQ14,BU14,BW14),1),0),IF(COUNT(AK14,AM14,AQ14,AS14,BU14,BW14)&gt;1,LARGE((AK14,AM14,AQ14,AS14,BU14,BW14),1),0))</f>
        <v>0</v>
      </c>
      <c r="M14" s="7" t="str">
        <f t="shared" si="7"/>
        <v/>
      </c>
      <c r="N14" s="7">
        <f>IF(J14=AO14,IF(COUNT(AQ14,AS14,BO14,BQ14,BU14,BW14)&gt;1,LARGE((AQ14,AS14,BO14,BQ14,BU14,BW14),2),0),IF(COUNT(AK14,AM14,AQ14,AS14,BU14,BW14)&gt;1,LARGE((AK14,AM14,AQ14,AS14,BU14,BW14),2),0))</f>
        <v>0</v>
      </c>
      <c r="O14" s="7" t="str">
        <f t="shared" si="8"/>
        <v/>
      </c>
      <c r="P14" s="7" t="str">
        <f t="shared" si="9"/>
        <v/>
      </c>
      <c r="Q14" s="10" t="str">
        <f t="shared" si="10"/>
        <v/>
      </c>
      <c r="R14" s="7" t="str">
        <f t="shared" si="11"/>
        <v/>
      </c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19"/>
      <c r="AJ14" s="42" t="str">
        <f t="shared" si="12"/>
        <v/>
      </c>
      <c r="AK14" s="42" t="str">
        <f t="shared" si="13"/>
        <v/>
      </c>
      <c r="AL14" s="42" t="str">
        <f t="shared" si="14"/>
        <v/>
      </c>
      <c r="AM14" s="42" t="str">
        <f t="shared" si="15"/>
        <v/>
      </c>
      <c r="AN14" s="27" t="str">
        <f t="shared" si="16"/>
        <v/>
      </c>
      <c r="AO14" s="27" t="str">
        <f t="shared" si="17"/>
        <v/>
      </c>
      <c r="AP14" s="27" t="str">
        <f t="shared" si="18"/>
        <v/>
      </c>
      <c r="AQ14" s="27" t="str">
        <f t="shared" si="19"/>
        <v/>
      </c>
      <c r="AR14" s="27" t="str">
        <f t="shared" si="20"/>
        <v/>
      </c>
      <c r="AS14" s="27" t="str">
        <f t="shared" si="21"/>
        <v/>
      </c>
      <c r="AT14" s="27" t="str">
        <f t="shared" si="22"/>
        <v/>
      </c>
      <c r="AU14" s="27" t="str">
        <f t="shared" si="23"/>
        <v/>
      </c>
      <c r="AV14" s="27" t="str">
        <f t="shared" si="24"/>
        <v/>
      </c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20"/>
      <c r="BN14" s="43" t="str">
        <f t="shared" si="25"/>
        <v/>
      </c>
      <c r="BO14" s="43" t="str">
        <f t="shared" si="26"/>
        <v/>
      </c>
      <c r="BP14" s="43" t="str">
        <f t="shared" si="27"/>
        <v/>
      </c>
      <c r="BQ14" s="43" t="str">
        <f t="shared" si="28"/>
        <v/>
      </c>
      <c r="BR14" s="10" t="str">
        <f t="shared" si="29"/>
        <v/>
      </c>
      <c r="BS14" s="10" t="str">
        <f t="shared" si="30"/>
        <v/>
      </c>
      <c r="BT14" s="10" t="str">
        <f t="shared" si="31"/>
        <v/>
      </c>
      <c r="BU14" s="10" t="str">
        <f t="shared" si="32"/>
        <v/>
      </c>
      <c r="BV14" s="10" t="str">
        <f t="shared" si="33"/>
        <v/>
      </c>
      <c r="BW14" s="10" t="str">
        <f t="shared" si="34"/>
        <v/>
      </c>
      <c r="BX14" s="10" t="str">
        <f t="shared" si="35"/>
        <v/>
      </c>
      <c r="BY14" s="10" t="str">
        <f t="shared" si="36"/>
        <v/>
      </c>
      <c r="BZ14" s="10" t="str">
        <f t="shared" si="37"/>
        <v/>
      </c>
      <c r="CA14" s="34" t="str">
        <f t="shared" si="38"/>
        <v/>
      </c>
      <c r="CB14" s="34" t="str">
        <f t="shared" si="39"/>
        <v/>
      </c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27" t="str">
        <f t="shared" si="40"/>
        <v/>
      </c>
      <c r="CX14" s="27" t="str">
        <f t="shared" si="41"/>
        <v/>
      </c>
      <c r="CY14" s="27" t="str">
        <f t="shared" si="42"/>
        <v/>
      </c>
      <c r="CZ14" s="27" t="str">
        <f t="shared" si="43"/>
        <v/>
      </c>
      <c r="DA14" s="27" t="str">
        <f t="shared" si="44"/>
        <v/>
      </c>
      <c r="DB14" s="27" t="str">
        <f t="shared" si="45"/>
        <v/>
      </c>
      <c r="DC14" s="27" t="str">
        <f t="shared" si="46"/>
        <v/>
      </c>
      <c r="DD14" s="27" t="str">
        <f t="shared" si="47"/>
        <v/>
      </c>
      <c r="DE14" s="27" t="str">
        <f t="shared" si="48"/>
        <v/>
      </c>
      <c r="DF14" s="27" t="str">
        <f t="shared" si="49"/>
        <v/>
      </c>
      <c r="DG14" s="27" t="str">
        <f t="shared" si="50"/>
        <v/>
      </c>
      <c r="DH14" s="27" t="str">
        <f t="shared" si="51"/>
        <v/>
      </c>
      <c r="DI14" s="27" t="str">
        <f t="shared" si="52"/>
        <v/>
      </c>
      <c r="DJ14" s="27" t="str">
        <f t="shared" si="53"/>
        <v/>
      </c>
      <c r="DK14" s="27" t="str">
        <f t="shared" si="54"/>
        <v/>
      </c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0" t="str">
        <f t="shared" si="55"/>
        <v/>
      </c>
      <c r="EG14" s="10" t="str">
        <f t="shared" si="56"/>
        <v/>
      </c>
      <c r="EH14" s="10" t="str">
        <f t="shared" si="57"/>
        <v/>
      </c>
      <c r="EI14" s="10" t="str">
        <f t="shared" si="58"/>
        <v/>
      </c>
      <c r="EJ14" s="10" t="str">
        <f t="shared" si="59"/>
        <v/>
      </c>
      <c r="EK14" s="10" t="str">
        <f t="shared" si="60"/>
        <v/>
      </c>
      <c r="EL14" s="10" t="str">
        <f t="shared" si="61"/>
        <v/>
      </c>
      <c r="EM14" s="10" t="str">
        <f t="shared" si="62"/>
        <v/>
      </c>
      <c r="EN14" s="10" t="str">
        <f t="shared" si="63"/>
        <v/>
      </c>
      <c r="EO14" s="10" t="str">
        <f t="shared" si="64"/>
        <v/>
      </c>
      <c r="EP14" s="10" t="str">
        <f t="shared" si="65"/>
        <v/>
      </c>
      <c r="EQ14" s="10" t="str">
        <f t="shared" si="66"/>
        <v/>
      </c>
      <c r="ER14" s="10" t="str">
        <f t="shared" si="67"/>
        <v/>
      </c>
      <c r="ES14" s="10" t="str">
        <f t="shared" si="68"/>
        <v/>
      </c>
      <c r="ET14" s="10" t="str">
        <f t="shared" si="69"/>
        <v/>
      </c>
      <c r="EU14" s="44">
        <f t="shared" si="70"/>
        <v>0</v>
      </c>
      <c r="EV14" s="44">
        <f t="shared" si="71"/>
        <v>0</v>
      </c>
      <c r="EW14" s="44">
        <f t="shared" si="72"/>
        <v>0</v>
      </c>
      <c r="EX14" s="44">
        <f t="shared" si="73"/>
        <v>0</v>
      </c>
      <c r="EY14" s="44">
        <f t="shared" si="74"/>
        <v>0</v>
      </c>
      <c r="EZ14" s="44">
        <f t="shared" si="75"/>
        <v>0</v>
      </c>
      <c r="FA14" s="44">
        <f t="shared" si="76"/>
        <v>0</v>
      </c>
      <c r="FB14" s="44">
        <f t="shared" si="77"/>
        <v>0</v>
      </c>
      <c r="FC14" s="44">
        <f t="shared" si="78"/>
        <v>0</v>
      </c>
      <c r="FD14" s="44">
        <f t="shared" si="79"/>
        <v>0</v>
      </c>
      <c r="FE14" s="44">
        <f t="shared" si="80"/>
        <v>0</v>
      </c>
      <c r="FF14" s="44">
        <f t="shared" si="81"/>
        <v>0</v>
      </c>
      <c r="FG14" s="44">
        <f t="shared" si="82"/>
        <v>0</v>
      </c>
      <c r="FH14" s="44">
        <f t="shared" si="83"/>
        <v>0</v>
      </c>
      <c r="FI14" s="44">
        <f t="shared" si="84"/>
        <v>0</v>
      </c>
      <c r="FJ14" s="44">
        <f t="shared" si="85"/>
        <v>0</v>
      </c>
      <c r="FK14" s="20" t="s">
        <v>29</v>
      </c>
      <c r="FL14" s="10">
        <f t="shared" si="86"/>
        <v>0</v>
      </c>
      <c r="FM14" s="10">
        <f t="shared" si="87"/>
        <v>0</v>
      </c>
      <c r="FN14" s="10">
        <f t="shared" si="88"/>
        <v>0</v>
      </c>
      <c r="FO14" s="10">
        <f t="shared" si="89"/>
        <v>0</v>
      </c>
      <c r="FP14" s="10" t="str">
        <f t="shared" si="90"/>
        <v/>
      </c>
      <c r="FQ14" s="10" t="str">
        <f t="shared" si="93"/>
        <v/>
      </c>
      <c r="FR14" s="10">
        <f t="shared" si="94"/>
        <v>0</v>
      </c>
      <c r="FS14" s="10">
        <f t="shared" si="95"/>
        <v>0</v>
      </c>
      <c r="FT14" s="10">
        <f t="shared" si="96"/>
        <v>0</v>
      </c>
      <c r="FU14" s="10">
        <f t="shared" si="97"/>
        <v>0</v>
      </c>
      <c r="FV14" s="10" t="str">
        <f t="shared" si="98"/>
        <v/>
      </c>
      <c r="FW14" s="10" t="str">
        <f t="shared" si="91"/>
        <v/>
      </c>
      <c r="FX14" s="10" t="str">
        <f t="shared" si="92"/>
        <v/>
      </c>
    </row>
    <row r="15" spans="1:180" ht="17" x14ac:dyDescent="0.2">
      <c r="P15" s="9"/>
      <c r="Q15" s="9"/>
      <c r="R15" s="9"/>
    </row>
    <row r="16" spans="1:180" ht="17" x14ac:dyDescent="0.2">
      <c r="P16" s="9"/>
      <c r="Q16" s="9"/>
      <c r="R16" s="9"/>
    </row>
    <row r="17" spans="1:150" ht="17" x14ac:dyDescent="0.2">
      <c r="B17" s="17" t="s">
        <v>27</v>
      </c>
      <c r="P17" s="9"/>
      <c r="Q17" s="9"/>
      <c r="R17" s="9"/>
      <c r="AV17" s="28">
        <v>11.4</v>
      </c>
      <c r="BZ17" s="28">
        <v>11.4</v>
      </c>
      <c r="CW17" s="3"/>
      <c r="CX17" s="3"/>
      <c r="CY17" s="3"/>
      <c r="CZ17" s="3"/>
      <c r="DA17" s="3"/>
      <c r="DK17" s="28">
        <v>11.4</v>
      </c>
      <c r="EF17" s="3"/>
      <c r="EG17" s="3"/>
      <c r="EH17" s="3"/>
      <c r="EI17" s="3"/>
      <c r="EJ17" s="3"/>
      <c r="EK17" s="3"/>
      <c r="EL17" s="3"/>
      <c r="ET17" s="28">
        <v>11.4</v>
      </c>
    </row>
    <row r="18" spans="1:150" ht="17" x14ac:dyDescent="0.2">
      <c r="B18" s="22" t="s">
        <v>26</v>
      </c>
      <c r="P18" s="9"/>
      <c r="Q18" s="9"/>
      <c r="R18" s="9"/>
      <c r="AV18" s="40">
        <v>12.4</v>
      </c>
      <c r="BZ18" s="40">
        <v>12.4</v>
      </c>
      <c r="CW18" s="3"/>
      <c r="CX18" s="3"/>
      <c r="CY18" s="3"/>
      <c r="CZ18" s="3"/>
      <c r="DA18" s="3"/>
      <c r="DK18" s="40">
        <v>12.4</v>
      </c>
      <c r="EF18" s="3"/>
      <c r="EG18" s="3"/>
      <c r="EH18" s="3"/>
      <c r="EI18" s="3"/>
      <c r="EJ18" s="3"/>
      <c r="EK18" s="3"/>
      <c r="EL18" s="3"/>
      <c r="ET18" s="40">
        <v>12.4</v>
      </c>
    </row>
    <row r="19" spans="1:150" ht="17" x14ac:dyDescent="0.2">
      <c r="A19" s="4"/>
      <c r="B19" s="23" t="s">
        <v>94</v>
      </c>
      <c r="C19" s="16"/>
      <c r="P19" s="9"/>
      <c r="Q19" s="9"/>
      <c r="R19" s="9"/>
      <c r="AV19" s="29">
        <v>15</v>
      </c>
      <c r="BZ19" s="29">
        <v>15</v>
      </c>
      <c r="CW19" s="3"/>
      <c r="CX19" s="3"/>
      <c r="CY19" s="3"/>
      <c r="CZ19" s="3"/>
      <c r="DA19" s="3"/>
      <c r="DK19" s="29">
        <v>15</v>
      </c>
      <c r="EF19" s="3"/>
      <c r="EG19" s="3"/>
      <c r="EH19" s="3"/>
      <c r="EI19" s="3"/>
      <c r="EJ19" s="3"/>
      <c r="EK19" s="3"/>
      <c r="EL19" s="3"/>
      <c r="ET19" s="29">
        <v>15</v>
      </c>
    </row>
    <row r="20" spans="1:150" ht="17" x14ac:dyDescent="0.2">
      <c r="A20" s="4"/>
      <c r="B20" s="25" t="s">
        <v>24</v>
      </c>
      <c r="C20" s="16"/>
      <c r="P20" s="9"/>
      <c r="Q20" s="9"/>
      <c r="R20" s="9"/>
      <c r="AV20" s="30">
        <v>46.6</v>
      </c>
      <c r="BZ20" s="30">
        <v>46.6</v>
      </c>
      <c r="CW20" s="3"/>
      <c r="CX20" s="3"/>
      <c r="CY20" s="3"/>
      <c r="CZ20" s="3"/>
      <c r="DA20" s="3"/>
      <c r="DK20" s="30">
        <v>46.6</v>
      </c>
      <c r="EF20" s="3"/>
      <c r="EG20" s="3"/>
      <c r="EH20" s="3"/>
      <c r="EI20" s="3"/>
      <c r="EJ20" s="3"/>
      <c r="EK20" s="3"/>
      <c r="EL20" s="3"/>
      <c r="ET20" s="30">
        <v>46.6</v>
      </c>
    </row>
    <row r="21" spans="1:150" ht="17" x14ac:dyDescent="0.2">
      <c r="A21" s="4"/>
      <c r="B21" s="18" t="s">
        <v>25</v>
      </c>
      <c r="C21" s="16"/>
      <c r="P21" s="9"/>
      <c r="Q21" s="9"/>
      <c r="R21" s="9"/>
      <c r="AV21" s="31">
        <v>47.6</v>
      </c>
      <c r="BZ21" s="31">
        <v>47.6</v>
      </c>
      <c r="CW21" s="3"/>
      <c r="CX21" s="3"/>
      <c r="CY21" s="3"/>
      <c r="CZ21" s="3"/>
      <c r="DA21" s="3"/>
      <c r="DK21" s="31">
        <v>47.6</v>
      </c>
      <c r="EF21" s="3"/>
      <c r="EG21" s="3"/>
      <c r="EH21" s="3"/>
      <c r="EI21" s="3"/>
      <c r="EJ21" s="3"/>
      <c r="EK21" s="3"/>
      <c r="EL21" s="3"/>
      <c r="ET21" s="31">
        <v>47.6</v>
      </c>
    </row>
    <row r="22" spans="1:150" ht="17" x14ac:dyDescent="0.2">
      <c r="A22" s="4"/>
      <c r="B22" s="24" t="s">
        <v>93</v>
      </c>
      <c r="C22" s="16"/>
      <c r="P22" s="9"/>
      <c r="Q22" s="9"/>
      <c r="R22" s="9"/>
      <c r="AV22" s="32">
        <v>50.2</v>
      </c>
      <c r="BZ22" s="32">
        <v>50.2</v>
      </c>
      <c r="CW22" s="3"/>
      <c r="CX22" s="3"/>
      <c r="CY22" s="3"/>
      <c r="CZ22" s="3"/>
      <c r="DA22" s="3"/>
      <c r="DK22" s="32">
        <v>50.2</v>
      </c>
      <c r="EF22" s="3"/>
      <c r="EG22" s="3"/>
      <c r="EH22" s="3"/>
      <c r="EI22" s="3"/>
      <c r="EJ22" s="3"/>
      <c r="EK22" s="3"/>
      <c r="EL22" s="3"/>
      <c r="ET22" s="32">
        <v>50.2</v>
      </c>
    </row>
    <row r="23" spans="1:150" x14ac:dyDescent="0.2">
      <c r="B23" s="21" t="s">
        <v>30</v>
      </c>
      <c r="C23" s="1"/>
    </row>
    <row r="24" spans="1:150" x14ac:dyDescent="0.2">
      <c r="A24" s="4"/>
      <c r="B24" s="4"/>
      <c r="C24" s="16"/>
    </row>
    <row r="25" spans="1:150" x14ac:dyDescent="0.2">
      <c r="A25" s="4"/>
      <c r="B25" s="4"/>
      <c r="C25" s="16"/>
    </row>
    <row r="26" spans="1:150" x14ac:dyDescent="0.2">
      <c r="A26" s="4"/>
      <c r="B26" s="4"/>
      <c r="C26" s="16"/>
    </row>
    <row r="27" spans="1:150" x14ac:dyDescent="0.2">
      <c r="A27" s="4"/>
      <c r="B27" s="4"/>
      <c r="C27" s="4"/>
    </row>
    <row r="30" spans="1:150" x14ac:dyDescent="0.2">
      <c r="B30" s="41"/>
    </row>
  </sheetData>
  <sheetProtection sheet="1" formatCells="0" formatColumns="0" formatRows="0"/>
  <autoFilter ref="A1:FP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hiddenButton="1" showButton="0"/>
    <filterColumn colId="36" hiddenButton="1" showButton="0"/>
    <filterColumn colId="37" hiddenButton="1" showButton="0"/>
    <filterColumn colId="38" hiddenButton="1" showButton="0"/>
    <filterColumn colId="39" showButton="0"/>
    <filterColumn colId="40" showButton="0"/>
    <filterColumn colId="41" hiddenButton="1" showButton="0"/>
    <filterColumn colId="42" hiddenButton="1" showButton="0"/>
    <filterColumn colId="43" hiddenButton="1" showButton="0"/>
    <filterColumn colId="44" hiddenButton="1" showButton="0"/>
    <filterColumn colId="45" showButton="0"/>
    <filterColumn colId="46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hiddenButton="1" showButton="0"/>
    <filterColumn colId="66" hiddenButton="1" showButton="0"/>
    <filterColumn colId="67" hiddenButton="1" showButton="0"/>
    <filterColumn colId="68" hiddenButton="1" showButton="0"/>
    <filterColumn colId="69" showButton="0"/>
    <filterColumn colId="70" showButton="0"/>
    <filterColumn colId="71" hiddenButton="1" showButton="0"/>
    <filterColumn colId="72" hiddenButton="1" showButton="0"/>
    <filterColumn colId="73" hiddenButton="1" showButton="0"/>
    <filterColumn colId="74" hiddenButton="1" showButton="0"/>
    <filterColumn colId="75" showButton="0"/>
    <filterColumn colId="76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hiddenButton="1" showButton="0"/>
    <filterColumn colId="102" hiddenButton="1" showButton="0"/>
    <filterColumn colId="103" hiddenButton="1" showButton="0"/>
    <filterColumn colId="104" hiddenButton="1" showButton="0"/>
    <filterColumn colId="105" showButton="0"/>
    <filterColumn colId="106" showButton="0"/>
    <filterColumn colId="107" showButton="0"/>
    <filterColumn colId="108" hiddenButton="1" showButton="0"/>
    <filterColumn colId="109" hiddenButton="1" showButton="0"/>
    <filterColumn colId="110" showButton="0"/>
    <filterColumn colId="111" showButton="0"/>
    <filterColumn colId="112" hiddenButton="1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hiddenButton="1" showButton="0"/>
    <filterColumn colId="137" hiddenButton="1" showButton="0"/>
    <filterColumn colId="138" hiddenButton="1" showButton="0"/>
    <filterColumn colId="139" hiddenButton="1" showButton="0"/>
    <filterColumn colId="140" hiddenButton="1" showButton="0"/>
    <filterColumn colId="141" hiddenButton="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hiddenButton="1" showButton="0"/>
    <filterColumn colId="148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sortState xmlns:xlrd2="http://schemas.microsoft.com/office/spreadsheetml/2017/richdata2" ref="A6:FP14">
      <sortCondition descending="1" ref="F1:F15"/>
    </sortState>
  </autoFilter>
  <mergeCells count="46">
    <mergeCell ref="EU2:EX2"/>
    <mergeCell ref="EY2:FB2"/>
    <mergeCell ref="FC2:FF2"/>
    <mergeCell ref="FG2:FJ2"/>
    <mergeCell ref="DX2:EA2"/>
    <mergeCell ref="EB2:EE2"/>
    <mergeCell ref="EU1:FP1"/>
    <mergeCell ref="S2:V2"/>
    <mergeCell ref="W2:Z2"/>
    <mergeCell ref="AA2:AD2"/>
    <mergeCell ref="AE2:AH2"/>
    <mergeCell ref="AW2:AZ2"/>
    <mergeCell ref="BA2:BD2"/>
    <mergeCell ref="BE2:BH2"/>
    <mergeCell ref="BI2:BL2"/>
    <mergeCell ref="S1:AV1"/>
    <mergeCell ref="AW1:BZ1"/>
    <mergeCell ref="CA1:CB1"/>
    <mergeCell ref="CC1:DK1"/>
    <mergeCell ref="CK2:CN2"/>
    <mergeCell ref="CO2:CR2"/>
    <mergeCell ref="CS2:CV2"/>
    <mergeCell ref="DL1:ET1"/>
    <mergeCell ref="M1:M3"/>
    <mergeCell ref="N1:N3"/>
    <mergeCell ref="O1:O3"/>
    <mergeCell ref="P1:P3"/>
    <mergeCell ref="Q1:Q3"/>
    <mergeCell ref="R1:R3"/>
    <mergeCell ref="DT2:DW2"/>
    <mergeCell ref="CC2:CF2"/>
    <mergeCell ref="CG2:CJ2"/>
    <mergeCell ref="DL2:DO2"/>
    <mergeCell ref="DP2:DS2"/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</mergeCells>
  <conditionalFormatting sqref="A4:A1048576">
    <cfRule type="expression" dxfId="257" priority="34" stopIfTrue="1">
      <formula>IF(A4&gt;8,1,0)</formula>
    </cfRule>
    <cfRule type="expression" dxfId="256" priority="35" stopIfTrue="1">
      <formula>AND(G4="P",F4="")</formula>
    </cfRule>
  </conditionalFormatting>
  <conditionalFormatting sqref="H1:H1048576">
    <cfRule type="containsText" dxfId="255" priority="36" stopIfTrue="1" operator="containsText" text="National Team">
      <formula>NOT(ISERROR(SEARCH("National Team",H1)))</formula>
    </cfRule>
    <cfRule type="containsText" dxfId="254" priority="37" stopIfTrue="1" operator="containsText" text="Worlds Team">
      <formula>NOT(ISERROR(SEARCH("Worlds Team",H1)))</formula>
    </cfRule>
    <cfRule type="containsText" dxfId="253" priority="38" operator="containsText" text="Performance">
      <formula>NOT(ISERROR(SEARCH("Performance",H1)))</formula>
    </cfRule>
    <cfRule type="containsText" dxfId="252" priority="64" stopIfTrue="1" operator="containsText" text="No DD">
      <formula>NOT(ISERROR(SEARCH("No DD",H1)))</formula>
    </cfRule>
  </conditionalFormatting>
  <conditionalFormatting sqref="S4:AV14">
    <cfRule type="expression" dxfId="251" priority="65" stopIfTrue="1">
      <formula>IF($AI4&lt;&gt;"",1,0)</formula>
    </cfRule>
  </conditionalFormatting>
  <conditionalFormatting sqref="AW4:BZ14">
    <cfRule type="expression" dxfId="250" priority="69" stopIfTrue="1">
      <formula>IF($BM4&lt;&gt;"",1,0)</formula>
    </cfRule>
  </conditionalFormatting>
  <conditionalFormatting sqref="M1:M1048576 O1:O1048576 K1:K1048576">
    <cfRule type="expression" dxfId="249" priority="176055" stopIfTrue="1">
      <formula>IF(K1=$AW$1,1,0)</formula>
    </cfRule>
    <cfRule type="expression" dxfId="248" priority="176056" stopIfTrue="1">
      <formula>IF(K1=$S$1,1,0)</formula>
    </cfRule>
  </conditionalFormatting>
  <conditionalFormatting sqref="AJ1:AJ1048576 BN1:BN1048576 CY1:CY1048576 EH1:EH1048576">
    <cfRule type="cellIs" dxfId="247" priority="177039" stopIfTrue="1" operator="between">
      <formula>AV$19-0.00001</formula>
      <formula>1000</formula>
    </cfRule>
  </conditionalFormatting>
  <conditionalFormatting sqref="AN1:AN1048576 BR1:BR1048576">
    <cfRule type="cellIs" dxfId="246" priority="177045" operator="between">
      <formula>AV$17-0.00001</formula>
      <formula>AV$18-0.00001</formula>
    </cfRule>
    <cfRule type="cellIs" dxfId="245" priority="177046" operator="between">
      <formula>AV$18-0.00001</formula>
      <formula>1000</formula>
    </cfRule>
  </conditionalFormatting>
  <conditionalFormatting sqref="AT1:AT1048576 BX1:BX1048576">
    <cfRule type="cellIs" dxfId="244" priority="177057" operator="between">
      <formula>AV$18-0.00001</formula>
      <formula>1000</formula>
    </cfRule>
    <cfRule type="cellIs" dxfId="243" priority="177058" stopIfTrue="1" operator="between">
      <formula>AV$17-0.00001</formula>
      <formula>AV$18-0.00001</formula>
    </cfRule>
  </conditionalFormatting>
  <conditionalFormatting sqref="AL1:AL1048576 BP1:BP1048576">
    <cfRule type="cellIs" dxfId="242" priority="177069" operator="between">
      <formula>AV$19-0.00001</formula>
      <formula>1000</formula>
    </cfRule>
  </conditionalFormatting>
  <conditionalFormatting sqref="AP1:AP1048576 BT1:BT1048576 DE1:DE1048576 EN1:EN1048576">
    <cfRule type="cellIs" dxfId="241" priority="177075" operator="between">
      <formula>AV$19-0.00001</formula>
      <formula>1000</formula>
    </cfRule>
  </conditionalFormatting>
  <conditionalFormatting sqref="AR1:AR1048576 BV1:BV1048576">
    <cfRule type="cellIs" dxfId="240" priority="177081" operator="between">
      <formula>AV$19-0.00001</formula>
      <formula>1000</formula>
    </cfRule>
  </conditionalFormatting>
  <conditionalFormatting sqref="AK1:AK1048576 BO1:BO1048576">
    <cfRule type="cellIs" dxfId="239" priority="177087" operator="between">
      <formula>AV$22-0.00001</formula>
      <formula>1000</formula>
    </cfRule>
  </conditionalFormatting>
  <conditionalFormatting sqref="AO1:AO1048576 BS1:BS1048576">
    <cfRule type="cellIs" dxfId="238" priority="177093" operator="between">
      <formula>AV$20-0.00001</formula>
      <formula>AV$21-0.00001</formula>
    </cfRule>
    <cfRule type="cellIs" dxfId="237" priority="177094" operator="between">
      <formula>AV$21-0.00001</formula>
      <formula>1000</formula>
    </cfRule>
  </conditionalFormatting>
  <conditionalFormatting sqref="AU1:AU1048576 BY1:BY1048576">
    <cfRule type="cellIs" dxfId="236" priority="177105" stopIfTrue="1" operator="between">
      <formula>AV$21-0.00001</formula>
      <formula>1000</formula>
    </cfRule>
    <cfRule type="cellIs" dxfId="235" priority="177106" operator="between">
      <formula>AV$20-0.00001</formula>
      <formula>AV$21-0.00001</formula>
    </cfRule>
  </conditionalFormatting>
  <conditionalFormatting sqref="AM1:AM1048576 BQ1:BQ1048576">
    <cfRule type="cellIs" dxfId="234" priority="177117" stopIfTrue="1" operator="between">
      <formula>AV$22-0.00001</formula>
      <formula>1000</formula>
    </cfRule>
    <cfRule type="cellIs" dxfId="233" priority="177118" operator="between">
      <formula>AT$22-0.00001</formula>
      <formula>#REF!-0.00001</formula>
    </cfRule>
  </conditionalFormatting>
  <conditionalFormatting sqref="AQ1:AQ1048576 BU1:BU1048576">
    <cfRule type="cellIs" dxfId="232" priority="177129" stopIfTrue="1" operator="between">
      <formula>AV$22-0.00001</formula>
      <formula>1000</formula>
    </cfRule>
  </conditionalFormatting>
  <conditionalFormatting sqref="AS1:AS1048576 BW1:BW1048576">
    <cfRule type="cellIs" dxfId="231" priority="177135" stopIfTrue="1" operator="between">
      <formula>AV$22-0.00001</formula>
      <formula>1000</formula>
    </cfRule>
  </conditionalFormatting>
  <conditionalFormatting sqref="CW1:CW1048576 EF1:EF1048576">
    <cfRule type="cellIs" dxfId="230" priority="177141" operator="between">
      <formula>DK$19-0.00001</formula>
      <formula>1000</formula>
    </cfRule>
  </conditionalFormatting>
  <conditionalFormatting sqref="CX1:CX1048576 EG1:EG1048576">
    <cfRule type="cellIs" dxfId="229" priority="177147" operator="between">
      <formula>DK$22-0.00001</formula>
      <formula>1000</formula>
    </cfRule>
  </conditionalFormatting>
  <conditionalFormatting sqref="DA1:DA1048576 EJ1:EJ1048576">
    <cfRule type="cellIs" dxfId="228" priority="177153" stopIfTrue="1" operator="between">
      <formula>DK$17-0.00001</formula>
      <formula>DK$18-0.00001</formula>
    </cfRule>
    <cfRule type="cellIs" dxfId="227" priority="177154" operator="between">
      <formula>DK$18-0.00001</formula>
      <formula>1000</formula>
    </cfRule>
  </conditionalFormatting>
  <conditionalFormatting sqref="DB1:DB1048576 EK1:EK1048576">
    <cfRule type="cellIs" dxfId="226" priority="177165" operator="between">
      <formula>DK$20-0.00001</formula>
      <formula>DK$21-0.00001</formula>
    </cfRule>
    <cfRule type="cellIs" dxfId="225" priority="177166" stopIfTrue="1" operator="between">
      <formula>DK$21-0.00001</formula>
      <formula>1000</formula>
    </cfRule>
  </conditionalFormatting>
  <conditionalFormatting sqref="DC1:DC1048576 EL1:EL1048576">
    <cfRule type="cellIs" dxfId="224" priority="177183" operator="between">
      <formula>DK$19-0.00001</formula>
      <formula>1000</formula>
    </cfRule>
  </conditionalFormatting>
  <conditionalFormatting sqref="DG1:DG1048576 EP1:EP1048576">
    <cfRule type="cellIs" dxfId="223" priority="177195" stopIfTrue="1" operator="between">
      <formula>DK$19-0.00001</formula>
      <formula>1000</formula>
    </cfRule>
  </conditionalFormatting>
  <conditionalFormatting sqref="CZ1:CZ1048576 EI1:EI1048576">
    <cfRule type="cellIs" dxfId="222" priority="177201" stopIfTrue="1" operator="between">
      <formula>DK$22-0.00001</formula>
      <formula>1000</formula>
    </cfRule>
  </conditionalFormatting>
  <conditionalFormatting sqref="DD1:DD1048576 EM1:EM1048576">
    <cfRule type="cellIs" dxfId="221" priority="177207" operator="between">
      <formula>DK$22-0.00001</formula>
      <formula>1000</formula>
    </cfRule>
  </conditionalFormatting>
  <conditionalFormatting sqref="DF1:DF1048576 EO1:EO1048576">
    <cfRule type="cellIs" dxfId="220" priority="177213" operator="between">
      <formula>DK$22-0.00001</formula>
      <formula>1000</formula>
    </cfRule>
  </conditionalFormatting>
  <conditionalFormatting sqref="DH1:DH1048576 EQ1:EQ1048576">
    <cfRule type="cellIs" dxfId="219" priority="177219" operator="between">
      <formula>DK$22-0.00001</formula>
      <formula>1000</formula>
    </cfRule>
  </conditionalFormatting>
  <conditionalFormatting sqref="DI1:DI1048576 ER1:ER1048576">
    <cfRule type="cellIs" dxfId="218" priority="177225" operator="between">
      <formula>DK$18-0.00001</formula>
      <formula>1000</formula>
    </cfRule>
    <cfRule type="cellIs" dxfId="217" priority="177226" operator="between">
      <formula>DK$17-0.00001</formula>
      <formula>DK$18-0.00001</formula>
    </cfRule>
  </conditionalFormatting>
  <conditionalFormatting sqref="DJ1:DJ1048576 ES1:ES1048576">
    <cfRule type="cellIs" dxfId="216" priority="177237" operator="between">
      <formula>DK$20-0.00001</formula>
      <formula>DK$21-0.00001</formula>
    </cfRule>
    <cfRule type="cellIs" dxfId="215" priority="177238" operator="between">
      <formula>DK$21-0.00001</formula>
      <formula>1000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DB541-C0DC-3E49-A43F-A3040ECF78F9}">
  <sheetPr codeName="Sheet20"/>
  <dimension ref="A1:FX3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2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5" width="10.83203125" hidden="1" customWidth="1"/>
    <col min="36" max="39" width="10.83203125" customWidth="1"/>
    <col min="40" max="48" width="10.83203125" style="26" customWidth="1"/>
    <col min="49" max="65" width="10.83203125" hidden="1" customWidth="1"/>
    <col min="66" max="69" width="10.83203125" customWidth="1"/>
    <col min="70" max="80" width="10.83203125" style="26" customWidth="1"/>
    <col min="81" max="100" width="10.83203125" hidden="1" customWidth="1"/>
    <col min="101" max="115" width="10.83203125" style="26" customWidth="1"/>
    <col min="116" max="135" width="10.83203125" hidden="1" customWidth="1"/>
    <col min="136" max="150" width="10.83203125" style="26" customWidth="1"/>
    <col min="151" max="180" width="10.83203125" hidden="1" customWidth="1"/>
    <col min="181" max="182" width="10.83203125" customWidth="1"/>
  </cols>
  <sheetData>
    <row r="1" spans="1:180" ht="16" customHeight="1" x14ac:dyDescent="0.2">
      <c r="A1" s="47" t="s">
        <v>1</v>
      </c>
      <c r="B1" s="47" t="s">
        <v>14</v>
      </c>
      <c r="C1" s="47" t="s">
        <v>0</v>
      </c>
      <c r="D1" s="47" t="s">
        <v>31</v>
      </c>
      <c r="E1" s="47" t="s">
        <v>2</v>
      </c>
      <c r="F1" s="48" t="s">
        <v>64</v>
      </c>
      <c r="G1" s="48" t="s">
        <v>8</v>
      </c>
      <c r="H1" s="47" t="s">
        <v>9</v>
      </c>
      <c r="I1" s="48" t="s">
        <v>38</v>
      </c>
      <c r="J1" s="46" t="s">
        <v>65</v>
      </c>
      <c r="K1" s="49" t="s">
        <v>16</v>
      </c>
      <c r="L1" s="46" t="s">
        <v>79</v>
      </c>
      <c r="M1" s="49" t="s">
        <v>16</v>
      </c>
      <c r="N1" s="46" t="s">
        <v>80</v>
      </c>
      <c r="O1" s="49" t="s">
        <v>16</v>
      </c>
      <c r="P1" s="51" t="s">
        <v>10</v>
      </c>
      <c r="Q1" s="49" t="s">
        <v>17</v>
      </c>
      <c r="R1" s="49" t="s">
        <v>16</v>
      </c>
      <c r="S1" s="56" t="s">
        <v>41</v>
      </c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0" t="s">
        <v>42</v>
      </c>
      <c r="AX1" s="50"/>
      <c r="AY1" s="50"/>
      <c r="AZ1" s="50"/>
      <c r="BA1" s="50"/>
      <c r="BB1" s="50"/>
      <c r="BC1" s="50"/>
      <c r="BD1" s="50"/>
      <c r="BE1" s="50"/>
      <c r="BF1" s="50"/>
      <c r="BG1" s="50"/>
      <c r="BH1" s="50"/>
      <c r="BI1" s="50"/>
      <c r="BJ1" s="50"/>
      <c r="BK1" s="50"/>
      <c r="BL1" s="50"/>
      <c r="BM1" s="50"/>
      <c r="BN1" s="50"/>
      <c r="BO1" s="50"/>
      <c r="BP1" s="50"/>
      <c r="BQ1" s="50"/>
      <c r="BR1" s="50"/>
      <c r="BS1" s="50"/>
      <c r="BT1" s="50"/>
      <c r="BU1" s="50"/>
      <c r="BV1" s="50"/>
      <c r="BW1" s="50"/>
      <c r="BX1" s="50"/>
      <c r="BY1" s="50"/>
      <c r="BZ1" s="50"/>
      <c r="CA1" s="57" t="s">
        <v>66</v>
      </c>
      <c r="CB1" s="57"/>
      <c r="CC1" s="56" t="s">
        <v>43</v>
      </c>
      <c r="CD1" s="56"/>
      <c r="CE1" s="56"/>
      <c r="CF1" s="56"/>
      <c r="CG1" s="56"/>
      <c r="CH1" s="56"/>
      <c r="CI1" s="56"/>
      <c r="CJ1" s="56"/>
      <c r="CK1" s="56"/>
      <c r="CL1" s="56"/>
      <c r="CM1" s="56"/>
      <c r="CN1" s="56"/>
      <c r="CO1" s="56"/>
      <c r="CP1" s="56"/>
      <c r="CQ1" s="56"/>
      <c r="CR1" s="56"/>
      <c r="CS1" s="56"/>
      <c r="CT1" s="56"/>
      <c r="CU1" s="56"/>
      <c r="CV1" s="56"/>
      <c r="CW1" s="56"/>
      <c r="CX1" s="56"/>
      <c r="CY1" s="56"/>
      <c r="CZ1" s="56"/>
      <c r="DA1" s="56"/>
      <c r="DB1" s="56"/>
      <c r="DC1" s="56"/>
      <c r="DD1" s="56"/>
      <c r="DE1" s="56"/>
      <c r="DF1" s="56"/>
      <c r="DG1" s="56"/>
      <c r="DH1" s="56"/>
      <c r="DI1" s="56"/>
      <c r="DJ1" s="56"/>
      <c r="DK1" s="56"/>
      <c r="DL1" s="50" t="s">
        <v>44</v>
      </c>
      <c r="DM1" s="50"/>
      <c r="DN1" s="50"/>
      <c r="DO1" s="50"/>
      <c r="DP1" s="50"/>
      <c r="DQ1" s="50"/>
      <c r="DR1" s="50"/>
      <c r="DS1" s="50"/>
      <c r="DT1" s="50"/>
      <c r="DU1" s="50"/>
      <c r="DV1" s="50"/>
      <c r="DW1" s="50"/>
      <c r="DX1" s="50"/>
      <c r="DY1" s="50"/>
      <c r="DZ1" s="50"/>
      <c r="EA1" s="50"/>
      <c r="EB1" s="50"/>
      <c r="EC1" s="50"/>
      <c r="ED1" s="50"/>
      <c r="EE1" s="50"/>
      <c r="EF1" s="50"/>
      <c r="EG1" s="50"/>
      <c r="EH1" s="50"/>
      <c r="EI1" s="50"/>
      <c r="EJ1" s="50"/>
      <c r="EK1" s="50"/>
      <c r="EL1" s="50"/>
      <c r="EM1" s="50"/>
      <c r="EN1" s="50"/>
      <c r="EO1" s="50"/>
      <c r="EP1" s="50"/>
      <c r="EQ1" s="50"/>
      <c r="ER1" s="50"/>
      <c r="ES1" s="50"/>
      <c r="ET1" s="50"/>
      <c r="EU1" s="50" t="s">
        <v>67</v>
      </c>
      <c r="EV1" s="50"/>
      <c r="EW1" s="50"/>
      <c r="EX1" s="50"/>
      <c r="EY1" s="50"/>
      <c r="EZ1" s="50"/>
      <c r="FA1" s="50"/>
      <c r="FB1" s="50"/>
      <c r="FC1" s="50"/>
      <c r="FD1" s="50"/>
      <c r="FE1" s="50"/>
      <c r="FF1" s="50"/>
      <c r="FG1" s="50"/>
      <c r="FH1" s="50"/>
      <c r="FI1" s="50"/>
      <c r="FJ1" s="50"/>
      <c r="FK1" s="50"/>
      <c r="FL1" s="50"/>
      <c r="FM1" s="50"/>
      <c r="FN1" s="50"/>
      <c r="FO1" s="50"/>
      <c r="FP1" s="50"/>
      <c r="FQ1" s="12"/>
      <c r="FR1" s="12"/>
      <c r="FS1" s="12"/>
      <c r="FT1" s="12"/>
      <c r="FU1" s="12"/>
      <c r="FV1" s="12"/>
      <c r="FW1" s="12"/>
      <c r="FX1" s="12"/>
    </row>
    <row r="2" spans="1:180" x14ac:dyDescent="0.2">
      <c r="A2" s="47"/>
      <c r="B2" s="47"/>
      <c r="C2" s="47"/>
      <c r="D2" s="47"/>
      <c r="E2" s="47"/>
      <c r="F2" s="48"/>
      <c r="G2" s="48"/>
      <c r="H2" s="47"/>
      <c r="I2" s="48"/>
      <c r="J2" s="46"/>
      <c r="K2" s="49"/>
      <c r="L2" s="46"/>
      <c r="M2" s="49"/>
      <c r="N2" s="49"/>
      <c r="O2" s="49"/>
      <c r="P2" s="51"/>
      <c r="Q2" s="49"/>
      <c r="R2" s="49"/>
      <c r="S2" s="53" t="s">
        <v>68</v>
      </c>
      <c r="T2" s="53"/>
      <c r="U2" s="53"/>
      <c r="V2" s="53"/>
      <c r="W2" s="53" t="s">
        <v>69</v>
      </c>
      <c r="X2" s="53"/>
      <c r="Y2" s="53"/>
      <c r="Z2" s="53"/>
      <c r="AA2" s="53" t="s">
        <v>70</v>
      </c>
      <c r="AB2" s="53"/>
      <c r="AC2" s="53"/>
      <c r="AD2" s="53"/>
      <c r="AE2" s="54" t="s">
        <v>71</v>
      </c>
      <c r="AF2" s="54"/>
      <c r="AG2" s="54"/>
      <c r="AH2" s="54"/>
      <c r="AI2" s="13"/>
      <c r="AJ2" s="13" t="s">
        <v>85</v>
      </c>
      <c r="AK2" s="13" t="s">
        <v>81</v>
      </c>
      <c r="AL2" s="13" t="s">
        <v>86</v>
      </c>
      <c r="AM2" s="13" t="s">
        <v>82</v>
      </c>
      <c r="AN2" s="13" t="s">
        <v>72</v>
      </c>
      <c r="AO2" s="13" t="s">
        <v>13</v>
      </c>
      <c r="AP2" s="13" t="s">
        <v>87</v>
      </c>
      <c r="AQ2" s="13" t="s">
        <v>83</v>
      </c>
      <c r="AR2" s="13" t="s">
        <v>88</v>
      </c>
      <c r="AS2" s="13" t="s">
        <v>84</v>
      </c>
      <c r="AT2" s="13" t="s">
        <v>73</v>
      </c>
      <c r="AU2" s="13" t="s">
        <v>74</v>
      </c>
      <c r="AV2" s="13" t="s">
        <v>12</v>
      </c>
      <c r="AW2" s="52" t="s">
        <v>68</v>
      </c>
      <c r="AX2" s="52"/>
      <c r="AY2" s="52"/>
      <c r="AZ2" s="52"/>
      <c r="BA2" s="52" t="s">
        <v>69</v>
      </c>
      <c r="BB2" s="52"/>
      <c r="BC2" s="52"/>
      <c r="BD2" s="52"/>
      <c r="BE2" s="52" t="s">
        <v>70</v>
      </c>
      <c r="BF2" s="52"/>
      <c r="BG2" s="52"/>
      <c r="BH2" s="52"/>
      <c r="BI2" s="55" t="s">
        <v>71</v>
      </c>
      <c r="BJ2" s="55"/>
      <c r="BK2" s="55"/>
      <c r="BL2" s="55"/>
      <c r="BM2" s="12"/>
      <c r="BN2" s="12" t="s">
        <v>85</v>
      </c>
      <c r="BO2" s="12" t="s">
        <v>81</v>
      </c>
      <c r="BP2" s="12" t="s">
        <v>86</v>
      </c>
      <c r="BQ2" s="12" t="s">
        <v>82</v>
      </c>
      <c r="BR2" s="12" t="s">
        <v>72</v>
      </c>
      <c r="BS2" s="12" t="s">
        <v>13</v>
      </c>
      <c r="BT2" s="12" t="s">
        <v>87</v>
      </c>
      <c r="BU2" s="12" t="s">
        <v>83</v>
      </c>
      <c r="BV2" s="12" t="s">
        <v>88</v>
      </c>
      <c r="BW2" s="12" t="s">
        <v>84</v>
      </c>
      <c r="BX2" s="12" t="s">
        <v>73</v>
      </c>
      <c r="BY2" s="12" t="s">
        <v>74</v>
      </c>
      <c r="BZ2" s="12" t="s">
        <v>12</v>
      </c>
      <c r="CA2" s="33" t="s">
        <v>75</v>
      </c>
      <c r="CB2" s="33" t="s">
        <v>89</v>
      </c>
      <c r="CC2" s="53" t="s">
        <v>68</v>
      </c>
      <c r="CD2" s="53"/>
      <c r="CE2" s="53"/>
      <c r="CF2" s="53"/>
      <c r="CG2" s="53" t="s">
        <v>69</v>
      </c>
      <c r="CH2" s="53"/>
      <c r="CI2" s="53"/>
      <c r="CJ2" s="53"/>
      <c r="CK2" s="53" t="s">
        <v>76</v>
      </c>
      <c r="CL2" s="53"/>
      <c r="CM2" s="53"/>
      <c r="CN2" s="53"/>
      <c r="CO2" s="53" t="s">
        <v>70</v>
      </c>
      <c r="CP2" s="53"/>
      <c r="CQ2" s="53"/>
      <c r="CR2" s="53"/>
      <c r="CS2" s="58" t="s">
        <v>71</v>
      </c>
      <c r="CT2" s="58"/>
      <c r="CU2" s="58"/>
      <c r="CV2" s="58"/>
      <c r="CW2" s="13" t="s">
        <v>85</v>
      </c>
      <c r="CX2" s="13" t="s">
        <v>81</v>
      </c>
      <c r="CY2" s="13" t="s">
        <v>86</v>
      </c>
      <c r="CZ2" s="13" t="s">
        <v>82</v>
      </c>
      <c r="DA2" s="13" t="s">
        <v>77</v>
      </c>
      <c r="DB2" s="13" t="s">
        <v>75</v>
      </c>
      <c r="DC2" s="13" t="s">
        <v>90</v>
      </c>
      <c r="DD2" s="13" t="s">
        <v>76</v>
      </c>
      <c r="DE2" s="13" t="s">
        <v>91</v>
      </c>
      <c r="DF2" s="13" t="s">
        <v>70</v>
      </c>
      <c r="DG2" s="13" t="s">
        <v>92</v>
      </c>
      <c r="DH2" s="13" t="s">
        <v>71</v>
      </c>
      <c r="DI2" s="13" t="s">
        <v>73</v>
      </c>
      <c r="DJ2" s="13" t="s">
        <v>74</v>
      </c>
      <c r="DK2" s="13" t="s">
        <v>12</v>
      </c>
      <c r="DL2" s="52" t="s">
        <v>68</v>
      </c>
      <c r="DM2" s="52"/>
      <c r="DN2" s="52"/>
      <c r="DO2" s="52"/>
      <c r="DP2" s="52" t="s">
        <v>69</v>
      </c>
      <c r="DQ2" s="52"/>
      <c r="DR2" s="52"/>
      <c r="DS2" s="52"/>
      <c r="DT2" s="52" t="s">
        <v>76</v>
      </c>
      <c r="DU2" s="52"/>
      <c r="DV2" s="52"/>
      <c r="DW2" s="52"/>
      <c r="DX2" s="52" t="s">
        <v>70</v>
      </c>
      <c r="DY2" s="52"/>
      <c r="DZ2" s="52"/>
      <c r="EA2" s="52"/>
      <c r="EB2" s="55" t="s">
        <v>71</v>
      </c>
      <c r="EC2" s="55"/>
      <c r="ED2" s="55"/>
      <c r="EE2" s="55"/>
      <c r="EF2" s="12" t="s">
        <v>85</v>
      </c>
      <c r="EG2" s="12" t="s">
        <v>81</v>
      </c>
      <c r="EH2" s="12" t="s">
        <v>86</v>
      </c>
      <c r="EI2" s="12" t="s">
        <v>82</v>
      </c>
      <c r="EJ2" s="12" t="s">
        <v>77</v>
      </c>
      <c r="EK2" s="12" t="s">
        <v>75</v>
      </c>
      <c r="EL2" s="12" t="s">
        <v>90</v>
      </c>
      <c r="EM2" s="12" t="s">
        <v>76</v>
      </c>
      <c r="EN2" s="12" t="s">
        <v>91</v>
      </c>
      <c r="EO2" s="12" t="s">
        <v>70</v>
      </c>
      <c r="EP2" s="12" t="s">
        <v>92</v>
      </c>
      <c r="EQ2" s="12" t="s">
        <v>71</v>
      </c>
      <c r="ER2" s="12" t="s">
        <v>73</v>
      </c>
      <c r="ES2" s="12" t="s">
        <v>74</v>
      </c>
      <c r="ET2" s="12" t="s">
        <v>12</v>
      </c>
      <c r="EU2" s="52" t="s">
        <v>68</v>
      </c>
      <c r="EV2" s="52"/>
      <c r="EW2" s="52"/>
      <c r="EX2" s="52"/>
      <c r="EY2" s="52" t="s">
        <v>69</v>
      </c>
      <c r="EZ2" s="52"/>
      <c r="FA2" s="52"/>
      <c r="FB2" s="52"/>
      <c r="FC2" s="52" t="s">
        <v>70</v>
      </c>
      <c r="FD2" s="52"/>
      <c r="FE2" s="52"/>
      <c r="FF2" s="52"/>
      <c r="FG2" s="59" t="s">
        <v>71</v>
      </c>
      <c r="FH2" s="59"/>
      <c r="FI2" s="59"/>
      <c r="FJ2" s="59"/>
      <c r="FK2" s="12"/>
      <c r="FL2" s="12" t="s">
        <v>85</v>
      </c>
      <c r="FM2" s="12" t="s">
        <v>81</v>
      </c>
      <c r="FN2" s="12" t="s">
        <v>86</v>
      </c>
      <c r="FO2" s="12" t="s">
        <v>82</v>
      </c>
      <c r="FP2" s="12" t="s">
        <v>72</v>
      </c>
      <c r="FQ2" s="12" t="s">
        <v>13</v>
      </c>
      <c r="FR2" s="12" t="s">
        <v>87</v>
      </c>
      <c r="FS2" s="12" t="s">
        <v>83</v>
      </c>
      <c r="FT2" s="12" t="s">
        <v>88</v>
      </c>
      <c r="FU2" s="12" t="s">
        <v>84</v>
      </c>
      <c r="FV2" s="12" t="s">
        <v>73</v>
      </c>
      <c r="FW2" s="12" t="s">
        <v>74</v>
      </c>
      <c r="FX2" s="12" t="s">
        <v>12</v>
      </c>
    </row>
    <row r="3" spans="1:180" x14ac:dyDescent="0.2">
      <c r="A3" s="47"/>
      <c r="B3" s="47"/>
      <c r="C3" s="47"/>
      <c r="D3" s="47"/>
      <c r="E3" s="47"/>
      <c r="F3" s="48"/>
      <c r="G3" s="48"/>
      <c r="H3" s="47"/>
      <c r="I3" s="48"/>
      <c r="J3" s="46"/>
      <c r="K3" s="49"/>
      <c r="L3" s="46"/>
      <c r="M3" s="49"/>
      <c r="N3" s="49"/>
      <c r="O3" s="49"/>
      <c r="P3" s="51"/>
      <c r="Q3" s="49"/>
      <c r="R3" s="49"/>
      <c r="S3" s="13" t="s">
        <v>11</v>
      </c>
      <c r="T3" s="13" t="s">
        <v>7</v>
      </c>
      <c r="U3" s="13" t="s">
        <v>15</v>
      </c>
      <c r="V3" s="13" t="s">
        <v>78</v>
      </c>
      <c r="W3" s="13" t="s">
        <v>11</v>
      </c>
      <c r="X3" s="13" t="s">
        <v>7</v>
      </c>
      <c r="Y3" s="13" t="s">
        <v>15</v>
      </c>
      <c r="Z3" s="13" t="s">
        <v>78</v>
      </c>
      <c r="AA3" s="13" t="s">
        <v>11</v>
      </c>
      <c r="AB3" s="13" t="s">
        <v>7</v>
      </c>
      <c r="AC3" s="13" t="s">
        <v>15</v>
      </c>
      <c r="AD3" s="13" t="s">
        <v>78</v>
      </c>
      <c r="AE3" s="35" t="s">
        <v>11</v>
      </c>
      <c r="AF3" s="35" t="s">
        <v>7</v>
      </c>
      <c r="AG3" s="35" t="s">
        <v>15</v>
      </c>
      <c r="AH3" s="35" t="s">
        <v>78</v>
      </c>
      <c r="AI3" s="13" t="s">
        <v>28</v>
      </c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2" t="s">
        <v>11</v>
      </c>
      <c r="AX3" s="12" t="s">
        <v>7</v>
      </c>
      <c r="AY3" s="12" t="s">
        <v>15</v>
      </c>
      <c r="AZ3" s="12" t="s">
        <v>78</v>
      </c>
      <c r="BA3" s="12" t="s">
        <v>11</v>
      </c>
      <c r="BB3" s="12" t="s">
        <v>7</v>
      </c>
      <c r="BC3" s="12" t="s">
        <v>15</v>
      </c>
      <c r="BD3" s="12" t="s">
        <v>78</v>
      </c>
      <c r="BE3" s="12" t="s">
        <v>11</v>
      </c>
      <c r="BF3" s="12" t="s">
        <v>7</v>
      </c>
      <c r="BG3" s="12" t="s">
        <v>15</v>
      </c>
      <c r="BH3" s="12" t="s">
        <v>78</v>
      </c>
      <c r="BI3" s="36" t="s">
        <v>11</v>
      </c>
      <c r="BJ3" s="36" t="s">
        <v>7</v>
      </c>
      <c r="BK3" s="36" t="s">
        <v>15</v>
      </c>
      <c r="BL3" s="36" t="s">
        <v>78</v>
      </c>
      <c r="BM3" s="12" t="s">
        <v>28</v>
      </c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33"/>
      <c r="CB3" s="33"/>
      <c r="CC3" s="13" t="s">
        <v>11</v>
      </c>
      <c r="CD3" s="13" t="s">
        <v>7</v>
      </c>
      <c r="CE3" s="13" t="s">
        <v>15</v>
      </c>
      <c r="CF3" s="13" t="s">
        <v>78</v>
      </c>
      <c r="CG3" s="13" t="s">
        <v>11</v>
      </c>
      <c r="CH3" s="13" t="s">
        <v>7</v>
      </c>
      <c r="CI3" s="13" t="s">
        <v>15</v>
      </c>
      <c r="CJ3" s="13" t="s">
        <v>78</v>
      </c>
      <c r="CK3" s="13" t="s">
        <v>11</v>
      </c>
      <c r="CL3" s="13" t="s">
        <v>7</v>
      </c>
      <c r="CM3" s="13" t="s">
        <v>15</v>
      </c>
      <c r="CN3" s="13" t="s">
        <v>78</v>
      </c>
      <c r="CO3" s="13" t="s">
        <v>11</v>
      </c>
      <c r="CP3" s="13" t="s">
        <v>7</v>
      </c>
      <c r="CQ3" s="13" t="s">
        <v>15</v>
      </c>
      <c r="CR3" s="13" t="s">
        <v>78</v>
      </c>
      <c r="CS3" s="37" t="s">
        <v>11</v>
      </c>
      <c r="CT3" s="37" t="s">
        <v>7</v>
      </c>
      <c r="CU3" s="37" t="s">
        <v>15</v>
      </c>
      <c r="CV3" s="37" t="s">
        <v>78</v>
      </c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2" t="s">
        <v>11</v>
      </c>
      <c r="DM3" s="12" t="s">
        <v>7</v>
      </c>
      <c r="DN3" s="12" t="s">
        <v>15</v>
      </c>
      <c r="DO3" s="12" t="s">
        <v>78</v>
      </c>
      <c r="DP3" s="12" t="s">
        <v>11</v>
      </c>
      <c r="DQ3" s="12" t="s">
        <v>7</v>
      </c>
      <c r="DR3" s="12" t="s">
        <v>15</v>
      </c>
      <c r="DS3" s="12" t="s">
        <v>78</v>
      </c>
      <c r="DT3" s="12" t="s">
        <v>11</v>
      </c>
      <c r="DU3" s="12" t="s">
        <v>7</v>
      </c>
      <c r="DV3" s="12" t="s">
        <v>15</v>
      </c>
      <c r="DW3" s="12" t="s">
        <v>78</v>
      </c>
      <c r="DX3" s="12" t="s">
        <v>11</v>
      </c>
      <c r="DY3" s="12" t="s">
        <v>7</v>
      </c>
      <c r="DZ3" s="12" t="s">
        <v>15</v>
      </c>
      <c r="EA3" s="12" t="s">
        <v>78</v>
      </c>
      <c r="EB3" s="36" t="s">
        <v>11</v>
      </c>
      <c r="EC3" s="36" t="s">
        <v>7</v>
      </c>
      <c r="ED3" s="36" t="s">
        <v>15</v>
      </c>
      <c r="EE3" s="36" t="s">
        <v>78</v>
      </c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 t="s">
        <v>11</v>
      </c>
      <c r="EV3" s="12" t="s">
        <v>7</v>
      </c>
      <c r="EW3" s="12" t="s">
        <v>15</v>
      </c>
      <c r="EX3" s="12" t="s">
        <v>78</v>
      </c>
      <c r="EY3" s="12" t="s">
        <v>11</v>
      </c>
      <c r="EZ3" s="12" t="s">
        <v>7</v>
      </c>
      <c r="FA3" s="12" t="s">
        <v>15</v>
      </c>
      <c r="FB3" s="12" t="s">
        <v>78</v>
      </c>
      <c r="FC3" s="12" t="s">
        <v>11</v>
      </c>
      <c r="FD3" s="12" t="s">
        <v>7</v>
      </c>
      <c r="FE3" s="12" t="s">
        <v>15</v>
      </c>
      <c r="FF3" s="12" t="s">
        <v>78</v>
      </c>
      <c r="FG3" s="38" t="s">
        <v>11</v>
      </c>
      <c r="FH3" s="38" t="s">
        <v>7</v>
      </c>
      <c r="FI3" s="38" t="s">
        <v>15</v>
      </c>
      <c r="FJ3" s="38" t="s">
        <v>78</v>
      </c>
      <c r="FK3" s="12" t="s">
        <v>28</v>
      </c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</row>
    <row r="4" spans="1:180" x14ac:dyDescent="0.2">
      <c r="A4" s="3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4" t="s">
        <v>105</v>
      </c>
      <c r="C4" s="3" t="s">
        <v>4</v>
      </c>
      <c r="D4" s="3">
        <v>2001</v>
      </c>
      <c r="E4" s="8">
        <f t="shared" ref="E4:E18" si="0">SUM(J4:P4)+SUM(J4:M4)*0.0000001+SUM(J4)*0.0000000000001</f>
        <v>93.350006975004604</v>
      </c>
      <c r="F4" s="2" t="str">
        <f t="shared" ref="F4:F18" si="1">IF(OR(AND(AO4&lt;&gt;"",AO4&gt;=AV$24,AN4&gt;=AV$21),AND(AU4&lt;&gt;"",AU4&gt;=AV$24,AT4&gt;=AV$21),AND(BS4&lt;&gt;"",BS4&gt;=BZ$24,BR4&gt;=BZ$21),AND(BY4&lt;&gt;"",BY4&gt;=BZ$24,BX4&gt;=BZ$21),AND(DB4&lt;&gt;"",DB4&gt;=DK$24,DA4&gt;=DK$21),AND(DJ4&lt;&gt;"",DJ4&gt;=DK$24,DI4&gt;=DK$21),AND(EK4&lt;&gt;"",EK4&gt;=ET$24,EJ4&gt;=ET$21),AND(ES4&lt;&gt;"",ES4&gt;=ET$24,ER4&gt;=ET$21)),"P","")</f>
        <v>P</v>
      </c>
      <c r="G4" s="2" t="str">
        <f t="shared" ref="G4:G18" si="2">IF(OR(AND(AO4&lt;&gt;"",AO4&gt;=AV$24),AND(AU4&lt;&gt;"",AU4&gt;=AV$24),AND(BS4&lt;&gt;"",BS4&gt;=BZ$24),AND(BY4&lt;&gt;"",BY4&gt;=BZ$24),AND(DB4&lt;&gt;"",DB4&gt;=DK$24),AND(DJ4&lt;&gt;"",DJ4&gt;=DK$24),AND(EK4&lt;&gt;"",EK4&gt;=ET$24),AND(ES4&lt;&gt;"",ES4&gt;=ET$24)),"P","")</f>
        <v>P</v>
      </c>
      <c r="H4" s="26" t="str">
        <f t="shared" ref="H4:H18" si="3">IF(AND(G4="P",F4=""),"No DD",IF(OR(AND(AK4&lt;&gt;"",AK4&gt;=AV$26,AJ4&gt;=AV$23),AND(AM4&lt;&gt;"",AM4&gt;=AV$26,AL4&gt;=AV$23),AND(AQ4&lt;&gt;"",AQ4&gt;=AV$26,AP4&gt;=AV$23),AND(AS4&lt;&gt;"",AS4&gt;=AV$26,AR4&gt;=AV$23),AND(BO4&lt;&gt;"",BO4&gt;=BZ$26,BN4&gt;=BZ$23),AND(BQ4&lt;&gt;"",BQ4&gt;=BZ$26,BP4&gt;=BZ$23),AND(BV4&lt;&gt;"",BV4&gt;=BZ$26,BU4&gt;=BZ$23),AND(BX4&lt;&gt;"",BX4&gt;=BZ$26,BW4&gt;=BZ$23),AND(CX4&lt;&gt;"",CX4&gt;=DK$26,CW4&gt;=DK$23),AND(CZ4&lt;&gt;"",CZ4&gt;=DK$26,CY4&gt;=DK$23),AND(DD4&lt;&gt;"",DD4&gt;=DK$26,DC4&gt;=DK$23),AND(DF4&lt;&gt;"",DF4&gt;=DK$26,DE4&gt;=DK$23),AND(DH4&lt;&gt;"",DH4&gt;=DK$26,DG4&gt;=DK$23),AND(EG4&lt;&gt;"",EG4&gt;=ET$26,EF4&gt;=ET$23),AND(EI4&lt;&gt;"",EI4&gt;=ET$26,EH4&gt;=ET$23),AND(EM4&lt;&gt;"",EM4&gt;=ET$26,EL4&gt;=ET$23),AND(EO4&lt;&gt;"",EO4&gt;=ET$26,EN4&gt;=ET$23),AND(EQ4&lt;&gt;"",EQ4&gt;=ET$26,EP4&gt;=ET$23)),"Performance",IF(I4="P","Worlds Team",IF(F4="P","National Team",""))))</f>
        <v>Worlds Team</v>
      </c>
      <c r="I4" s="2" t="str">
        <f t="shared" ref="I4:I18" si="4">IF(OR(AND(AO4&lt;&gt;"",AO4&gt;=AV$25,AN4&gt;=AV$22),AND(AU4&lt;&gt;"",AU4&gt;=AV$25,AT4&gt;=AV$22),AND(BS4&lt;&gt;"",BS4&gt;=BZ$25,BR4&gt;=BZ$22),AND(BY4&lt;&gt;"",BY4&gt;=BZ$25,BX4&gt;=BZ$22),AND(DB4&lt;&gt;"",DB4&gt;=DK$25,DA4&gt;=DK$22),AND(DJ4&lt;&gt;"",DJ4&gt;=DK$25,DI4&gt;=DK$22),AND(EK4&lt;&gt;"",EK4&gt;=ET$25,EJ4&gt;=ET$22),AND(ES4&lt;&gt;"",ES4&gt;=ET$25,ER4&gt;=ET$22)),"P","")</f>
        <v>P</v>
      </c>
      <c r="J4" s="7">
        <f t="shared" ref="J4:J18" si="5">IF(COUNT(AO4,BS4)&gt;0,MAX(AO4,BS4),0)</f>
        <v>46.099999999999994</v>
      </c>
      <c r="K4" s="7" t="str">
        <f t="shared" ref="K4:K18" si="6">IF(J4=0,"",IF(J4=BS4,$AW$1,IF(J4=AO4,$S$1,"")))</f>
        <v>2025 Nationals</v>
      </c>
      <c r="L4" s="7">
        <f>IF(J4=AO4,IF(COUNT(AQ4,AS4,BO4,BQ4,BU4,BW4)&gt;1,LARGE((AQ4,AS4,BO4,BQ4,BU4,BW4),1),0),IF(COUNT(AK4,AM4,AQ4,AS4,BU4,BW4)&gt;1,LARGE((AK4,AM4,AQ4,AS4,BU4,BW4),1),0))</f>
        <v>23.650000000000002</v>
      </c>
      <c r="M4" s="7" t="str">
        <f t="shared" ref="M4:M18" si="7">IF(L4=0,"",IF(OR(L4=BO4,L4=BQ4,L4=BU4,L4=BW4),$AW$1,IF(OR(L4=AK4,L4=AM4,L4=AQ4,L4=AS4),$S$1,"")))</f>
        <v>2025 3rd Domestic Trial</v>
      </c>
      <c r="N4" s="7">
        <f>IF(J4=AO4,IF(COUNT(AQ4,AS4,BO4,BQ4,BU4,BW4)&gt;1,LARGE((AQ4,AS4,BO4,BQ4,BU4,BW4),2),0),IF(COUNT(AK4,AM4,AQ4,AS4,BU4,BW4)&gt;1,LARGE((AK4,AM4,AQ4,AS4,BU4,BW4),2),0))</f>
        <v>23.599999999999998</v>
      </c>
      <c r="O4" s="7" t="str">
        <f t="shared" ref="O4:O18" si="8">IF(N4=0,"",IF(OR(N4=BO4,N4=BQ4,N4=BU4,N4=BW4),$AW$1,IF(OR(N4=AK4,N4=AM4,N4=AQ4,N4=AS4),$S$1,"")))</f>
        <v>2025 Nationals</v>
      </c>
      <c r="P4" s="7" t="str">
        <f t="shared" ref="P4:P18" si="9">IF(MAX(CA4:CB4)&gt;0,MAX(CA4:CB4),"")</f>
        <v/>
      </c>
      <c r="Q4" s="10" t="str">
        <f t="shared" ref="Q4:Q18" si="10">IF(P4="","",IF(P4=CA4,"("&amp;CA$2&amp;")",IF(P4=CB4,"("&amp;CB$2&amp;")")))</f>
        <v/>
      </c>
      <c r="R4" s="7" t="str">
        <f t="shared" ref="R4:R18" si="11">IF(P4="","",IF(P4=CA4,IF(P4+MAX(J4,0)=EK4,$DL$1,IF(P4+MAX(J4,0)=DB4,$CC$1)),IF(P4=CB4,IF(P4+MAX(N4,0)=MAX(EG4,EI4,EM4,EO4,EQ4),$DL$1,IF(P4+MAX(N4,0)=MAX(CX4,CZ4,DD4,DF4,DH4),$CC$1)))))</f>
        <v/>
      </c>
      <c r="S4" s="39">
        <v>17.5</v>
      </c>
      <c r="T4" s="39">
        <v>4.3</v>
      </c>
      <c r="U4" s="39">
        <v>0</v>
      </c>
      <c r="V4" s="39">
        <v>0.7</v>
      </c>
      <c r="W4" s="39">
        <v>16.8</v>
      </c>
      <c r="X4" s="39">
        <v>6.1</v>
      </c>
      <c r="Y4" s="39">
        <v>0</v>
      </c>
      <c r="Z4" s="39">
        <v>0.7</v>
      </c>
      <c r="AA4" s="39">
        <v>17.7</v>
      </c>
      <c r="AB4" s="39">
        <v>4.3</v>
      </c>
      <c r="AC4" s="39">
        <v>0</v>
      </c>
      <c r="AD4" s="39">
        <v>0.7</v>
      </c>
      <c r="AE4" s="39">
        <v>16.8</v>
      </c>
      <c r="AF4" s="39">
        <v>6.1</v>
      </c>
      <c r="AG4" s="39">
        <v>0</v>
      </c>
      <c r="AH4" s="39">
        <v>0.7</v>
      </c>
      <c r="AI4" s="19"/>
      <c r="AJ4" s="42">
        <f t="shared" ref="AJ4:AJ18" si="12">IF(T4="","",T4)</f>
        <v>4.3</v>
      </c>
      <c r="AK4" s="42">
        <f t="shared" ref="AK4:AK18" si="13">IF(S4="","",S4+T4+V4-U4)</f>
        <v>22.5</v>
      </c>
      <c r="AL4" s="42">
        <f t="shared" ref="AL4:AL18" si="14">IF(X4="","",X4)</f>
        <v>6.1</v>
      </c>
      <c r="AM4" s="42">
        <f t="shared" ref="AM4:AM18" si="15">IF(W4="","",W4+X4+Z4-Y4)</f>
        <v>23.599999999999998</v>
      </c>
      <c r="AN4" s="27">
        <f t="shared" ref="AN4:AN18" si="16">IF(SUM(T4,X4)&gt;0,SUM(T4,X4),"")</f>
        <v>10.399999999999999</v>
      </c>
      <c r="AO4" s="27">
        <f t="shared" ref="AO4:AO18" si="17">IF(SUM(AK4,AM4)&gt;0,SUM(AK4,AM4),"")</f>
        <v>46.099999999999994</v>
      </c>
      <c r="AP4" s="27">
        <f t="shared" ref="AP4:AP18" si="18">IF(AB4="","",AB4)</f>
        <v>4.3</v>
      </c>
      <c r="AQ4" s="27">
        <f t="shared" ref="AQ4:AQ18" si="19">IF(AA4="","",AA4+AB4+AD4-AC4)</f>
        <v>22.7</v>
      </c>
      <c r="AR4" s="27">
        <f t="shared" ref="AR4:AR18" si="20">IF(AF4="","",AF4)</f>
        <v>6.1</v>
      </c>
      <c r="AS4" s="27">
        <f t="shared" ref="AS4:AS18" si="21">IF(AE4="","",AE4+AF4+AH4-AG4)</f>
        <v>23.599999999999998</v>
      </c>
      <c r="AT4" s="27">
        <f t="shared" ref="AT4:AT18" si="22">IF(SUM(AB4,AF4)&gt;0,SUM(AB4,AF4),"")</f>
        <v>10.399999999999999</v>
      </c>
      <c r="AU4" s="27">
        <f t="shared" ref="AU4:AU18" si="23">IF(SUM(AQ4,AS4)&gt;0,SUM(AQ4,AS4),"")</f>
        <v>46.3</v>
      </c>
      <c r="AV4" s="27">
        <f t="shared" ref="AV4:AV18" si="24">IF(SUM(AO4,AU4)&gt;0,SUM(AO4,AU4),"")</f>
        <v>92.399999999999991</v>
      </c>
      <c r="AW4" s="15">
        <v>17.600000000000001</v>
      </c>
      <c r="AX4" s="15">
        <v>4.3</v>
      </c>
      <c r="AY4" s="15">
        <v>0</v>
      </c>
      <c r="AZ4" s="15">
        <v>0.7</v>
      </c>
      <c r="BA4" s="15">
        <v>16.149999999999999</v>
      </c>
      <c r="BB4" s="15">
        <v>6.1</v>
      </c>
      <c r="BC4" s="15">
        <v>0</v>
      </c>
      <c r="BD4" s="15">
        <v>0.7</v>
      </c>
      <c r="BE4" s="15">
        <v>17.899999999999999</v>
      </c>
      <c r="BF4" s="15">
        <v>4.3</v>
      </c>
      <c r="BG4" s="15">
        <v>0</v>
      </c>
      <c r="BH4" s="15">
        <v>0.7</v>
      </c>
      <c r="BI4" s="15">
        <v>16.850000000000001</v>
      </c>
      <c r="BJ4" s="15">
        <v>6.1</v>
      </c>
      <c r="BK4" s="15">
        <v>0</v>
      </c>
      <c r="BL4" s="15">
        <v>0.7</v>
      </c>
      <c r="BM4" s="20" t="s">
        <v>29</v>
      </c>
      <c r="BN4" s="43">
        <f t="shared" ref="BN4:BN18" si="25">IF(AX4="","",AX4)</f>
        <v>4.3</v>
      </c>
      <c r="BO4" s="43">
        <f t="shared" ref="BO4:BO18" si="26">IF(AW4="","",AW4+AX4+AZ4-AY4)</f>
        <v>22.6</v>
      </c>
      <c r="BP4" s="43">
        <f t="shared" ref="BP4:BP18" si="27">IF(BB4="","",BB4)</f>
        <v>6.1</v>
      </c>
      <c r="BQ4" s="43">
        <f t="shared" ref="BQ4:BQ18" si="28">IF(BA4="","",BA4+BB4+BD4-BC4)</f>
        <v>22.95</v>
      </c>
      <c r="BR4" s="10">
        <f t="shared" ref="BR4:BR18" si="29">IF(SUM(AX4,BB4)&gt;0,SUM(AX4,BB4),"")</f>
        <v>10.399999999999999</v>
      </c>
      <c r="BS4" s="10">
        <f t="shared" ref="BS4:BS18" si="30">IF(SUM(BO4,BQ4)&gt;0,SUM(BO4,BQ4),"")</f>
        <v>45.55</v>
      </c>
      <c r="BT4" s="10">
        <f t="shared" ref="BT4:BT18" si="31">IF(BF4="","",BF4)</f>
        <v>4.3</v>
      </c>
      <c r="BU4" s="10">
        <f t="shared" ref="BU4:BU18" si="32">IF(BE4="","",BE4+BF4+BH4-BG4)</f>
        <v>22.9</v>
      </c>
      <c r="BV4" s="10">
        <f t="shared" ref="BV4:BV18" si="33">IF(BJ4="","",BJ4)</f>
        <v>6.1</v>
      </c>
      <c r="BW4" s="10">
        <f t="shared" ref="BW4:BW18" si="34">IF(BI4="","",BI4+BJ4+BL4-BK4)</f>
        <v>23.650000000000002</v>
      </c>
      <c r="BX4" s="10">
        <f t="shared" ref="BX4:BX18" si="35">IF(SUM(BF4,BJ4)&gt;0,SUM(BF4,BJ4),"")</f>
        <v>10.399999999999999</v>
      </c>
      <c r="BY4" s="10">
        <f t="shared" ref="BY4:BY18" si="36">IF(SUM(BU4,BW4)&gt;0,SUM(BU4,BW4),"")</f>
        <v>46.55</v>
      </c>
      <c r="BZ4" s="10">
        <f t="shared" ref="BZ4:BZ18" si="37">IF(SUM(BS4,BY4)&gt;0,SUM(BS4,BY4),"")</f>
        <v>92.1</v>
      </c>
      <c r="CA4" s="34" t="str">
        <f t="shared" ref="CA4:CA18" si="38">IF(MAX(DB4,EK4)-IF(J4="",0,J4)&gt;0.001,MAX(DB4,EK4)-IF(J4="",0,J4),"")</f>
        <v/>
      </c>
      <c r="CB4" s="34" t="str">
        <f t="shared" ref="CB4:CB18" si="39">IF(MAX(CX4,CZ4,DD4,DF4,DH4,EG4,EI4,EM4,EO4)-IF(N4="",0,N4)&gt;0.001,MAX(CX4,CZ4,DD4,DF4,DH4,EG4,EI4,EM4,EO4)-IF(N4="",0,N4),"")</f>
        <v/>
      </c>
      <c r="CC4" s="14">
        <v>17.5</v>
      </c>
      <c r="CD4" s="14">
        <v>4.3</v>
      </c>
      <c r="CE4" s="14">
        <v>0</v>
      </c>
      <c r="CF4" s="14">
        <v>0</v>
      </c>
      <c r="CG4" s="14">
        <v>16.899999999999999</v>
      </c>
      <c r="CH4" s="14">
        <v>6.1</v>
      </c>
      <c r="CI4" s="14">
        <v>0</v>
      </c>
      <c r="CJ4" s="14">
        <v>0</v>
      </c>
      <c r="CK4" s="14">
        <v>16.899999999999999</v>
      </c>
      <c r="CL4" s="14">
        <v>6.1</v>
      </c>
      <c r="CM4" s="14">
        <v>0</v>
      </c>
      <c r="CN4" s="14">
        <v>0</v>
      </c>
      <c r="CO4" s="14"/>
      <c r="CP4" s="14"/>
      <c r="CQ4" s="14"/>
      <c r="CR4" s="14"/>
      <c r="CS4" s="14"/>
      <c r="CT4" s="14"/>
      <c r="CU4" s="14"/>
      <c r="CV4" s="14"/>
      <c r="CW4" s="27">
        <f t="shared" ref="CW4:CW18" si="40">IF(CD4="","",CD4)</f>
        <v>4.3</v>
      </c>
      <c r="CX4" s="27">
        <f t="shared" ref="CX4:CX18" si="41">IF(CC4="","",CC4+CD4+CF4-CE4)</f>
        <v>21.8</v>
      </c>
      <c r="CY4" s="27">
        <f t="shared" ref="CY4:CY18" si="42">IF(CH4="","",CH4)</f>
        <v>6.1</v>
      </c>
      <c r="CZ4" s="27">
        <f t="shared" ref="CZ4:CZ18" si="43">IF(CG4="","",CG4+CH4+CJ4-CI4)</f>
        <v>23</v>
      </c>
      <c r="DA4" s="27">
        <f t="shared" ref="DA4:DA18" si="44">IF(CW4="","",SUM(CW4,CY4))</f>
        <v>10.399999999999999</v>
      </c>
      <c r="DB4" s="27">
        <f t="shared" ref="DB4:DB18" si="45">IF(CX4="","",SUM(CX4,CZ4))</f>
        <v>44.8</v>
      </c>
      <c r="DC4" s="27">
        <f t="shared" ref="DC4:DC18" si="46">IF(CL4="","",CL4)</f>
        <v>6.1</v>
      </c>
      <c r="DD4" s="27">
        <f t="shared" ref="DD4:DD18" si="47">IF(CK4="","",CK4+CL4+CN4-CM4)</f>
        <v>23</v>
      </c>
      <c r="DE4" s="27" t="str">
        <f t="shared" ref="DE4:DE18" si="48">IF(CP4="","",CP4)</f>
        <v/>
      </c>
      <c r="DF4" s="27" t="str">
        <f t="shared" ref="DF4:DF18" si="49">IF(CO4="","",CO4+CP4+CR4-CQ4)</f>
        <v/>
      </c>
      <c r="DG4" s="27" t="str">
        <f t="shared" ref="DG4:DG18" si="50">IF(CT4="","",CT4)</f>
        <v/>
      </c>
      <c r="DH4" s="27" t="str">
        <f t="shared" ref="DH4:DH18" si="51">IF(CS4="","",CS4+CT4+CV4-CU4)</f>
        <v/>
      </c>
      <c r="DI4" s="27" t="str">
        <f t="shared" ref="DI4:DI18" si="52">IF(DE4="","",SUM(DE4,DG4))</f>
        <v/>
      </c>
      <c r="DJ4" s="27" t="str">
        <f t="shared" ref="DJ4:DJ18" si="53">IF(DF4="","",SUM(DF4,DH4))</f>
        <v/>
      </c>
      <c r="DK4" s="27">
        <f t="shared" ref="DK4:DK18" si="54">IF(DB4="","",SUM(DB4,DD4,DH4))</f>
        <v>67.8</v>
      </c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0" t="str">
        <f t="shared" ref="EF4:EF18" si="55">IF(DM4="","",DM4)</f>
        <v/>
      </c>
      <c r="EG4" s="10" t="str">
        <f t="shared" ref="EG4:EG18" si="56">IF(DL4="","",DL4+DM4+DO4-DN4)</f>
        <v/>
      </c>
      <c r="EH4" s="10" t="str">
        <f t="shared" ref="EH4:EH18" si="57">IF(DQ4="","",DQ4)</f>
        <v/>
      </c>
      <c r="EI4" s="10" t="str">
        <f t="shared" ref="EI4:EI18" si="58">IF(DP4="","",DP4+DQ4+DS4-DR4)</f>
        <v/>
      </c>
      <c r="EJ4" s="10" t="str">
        <f t="shared" ref="EJ4:EJ18" si="59">IF(EF4="","",SUM(EF4,EH4))</f>
        <v/>
      </c>
      <c r="EK4" s="10" t="str">
        <f t="shared" ref="EK4:EK18" si="60">IF(EG4="","",SUM(EG4,EI4))</f>
        <v/>
      </c>
      <c r="EL4" s="10" t="str">
        <f t="shared" ref="EL4:EL18" si="61">IF(DU4="","",DU4)</f>
        <v/>
      </c>
      <c r="EM4" s="10" t="str">
        <f t="shared" ref="EM4:EM18" si="62">IF(DT4="","",DT4+DU4+DW4-DV4)</f>
        <v/>
      </c>
      <c r="EN4" s="10" t="str">
        <f t="shared" ref="EN4:EN18" si="63">IF(DY4="","",DY4)</f>
        <v/>
      </c>
      <c r="EO4" s="10" t="str">
        <f t="shared" ref="EO4:EO18" si="64">IF(DX4="","",DX4+DY4+EA4-DZ4)</f>
        <v/>
      </c>
      <c r="EP4" s="10" t="str">
        <f t="shared" ref="EP4:EP18" si="65">IF(EC4="","",EC4)</f>
        <v/>
      </c>
      <c r="EQ4" s="10" t="str">
        <f t="shared" ref="EQ4:EQ18" si="66">IF(EB4="","",EB4+EC4+EE4-ED4)</f>
        <v/>
      </c>
      <c r="ER4" s="10" t="str">
        <f t="shared" ref="ER4:ER18" si="67">IF(EN4="","",SUM(EN4,EP4))</f>
        <v/>
      </c>
      <c r="ES4" s="10" t="str">
        <f t="shared" ref="ES4:ES18" si="68">IF(EO4="","",SUM(EO4,EQ4))</f>
        <v/>
      </c>
      <c r="ET4" s="10" t="str">
        <f t="shared" ref="ET4:ET18" si="69">IF(EK4="","",SUM(EK4,EM4,EQ4))</f>
        <v/>
      </c>
      <c r="EU4" s="44">
        <f t="shared" ref="EU4:EU18" si="70">IF(BM4="P",IF(AI4="P",AW4,AW4*0.8),(S4+AW4)/2)</f>
        <v>14.080000000000002</v>
      </c>
      <c r="EV4" s="44">
        <f t="shared" ref="EV4:EV18" si="71">IF(BN4="P",IF(AJ4="P",AX4,AX4*0.8),(T4+AX4)/2)</f>
        <v>4.3</v>
      </c>
      <c r="EW4" s="44">
        <f t="shared" ref="EW4:EW18" si="72">IF(BO4="P",IF(AK4="P",AY4,AY4*0.8),(U4+AY4)/2)</f>
        <v>0</v>
      </c>
      <c r="EX4" s="44">
        <f t="shared" ref="EX4:EX18" si="73">IF(BP4="P",IF(AL4="P",AZ4,AZ4*0.8),(V4+AZ4)/2)</f>
        <v>0.7</v>
      </c>
      <c r="EY4" s="44">
        <f t="shared" ref="EY4:EY18" si="74">IF(BQ4="P",IF(AM4="P",BA4,BA4*0.8),(W4+BA4)/2)</f>
        <v>16.475000000000001</v>
      </c>
      <c r="EZ4" s="44">
        <f t="shared" ref="EZ4:EZ18" si="75">IF(BR4="P",IF(AN4="P",BB4,BB4*0.8),(X4+BB4)/2)</f>
        <v>6.1</v>
      </c>
      <c r="FA4" s="44">
        <f t="shared" ref="FA4:FA18" si="76">IF(BS4="P",IF(AO4="P",BC4,BC4*0.8),(Y4+BC4)/2)</f>
        <v>0</v>
      </c>
      <c r="FB4" s="44">
        <f t="shared" ref="FB4:FB18" si="77">IF(BT4="P",IF(AP4="P",BD4,BD4*0.8),(Z4+BD4)/2)</f>
        <v>0.7</v>
      </c>
      <c r="FC4" s="44">
        <f t="shared" ref="FC4:FC18" si="78">IF(BU4="P",IF(AQ4="P",BE4,BE4*0.8),(AA4+BE4)/2)</f>
        <v>17.799999999999997</v>
      </c>
      <c r="FD4" s="44">
        <f t="shared" ref="FD4:FD18" si="79">IF(BV4="P",IF(AR4="P",BF4,BF4*0.8),(AB4+BF4)/2)</f>
        <v>4.3</v>
      </c>
      <c r="FE4" s="44">
        <f t="shared" ref="FE4:FE18" si="80">IF(BW4="P",IF(AS4="P",BG4,BG4*0.8),(AC4+BG4)/2)</f>
        <v>0</v>
      </c>
      <c r="FF4" s="44">
        <f t="shared" ref="FF4:FF18" si="81">IF(BX4="P",IF(AT4="P",BH4,BH4*0.8),(AD4+BH4)/2)</f>
        <v>0.7</v>
      </c>
      <c r="FG4" s="44">
        <f t="shared" ref="FG4:FG18" si="82">IF(BY4="P",IF(AU4="P",BI4,BI4*0.8),(AE4+BI4)/2)</f>
        <v>16.825000000000003</v>
      </c>
      <c r="FH4" s="44">
        <f t="shared" ref="FH4:FH18" si="83">IF(BZ4="P",IF(AV4="P",BJ4,BJ4*0.8),(AF4+BJ4)/2)</f>
        <v>6.1</v>
      </c>
      <c r="FI4" s="44">
        <f t="shared" ref="FI4:FI18" si="84">IF(CA4="P",IF(AW4="P",BK4,BK4*0.8),(AG4+BK4)/2)</f>
        <v>0</v>
      </c>
      <c r="FJ4" s="44">
        <f t="shared" ref="FJ4:FJ18" si="85">IF(CB4="P",IF(AX4="P",BL4,BL4*0.8),(AH4+BL4)/2)</f>
        <v>0.7</v>
      </c>
      <c r="FK4" s="20" t="s">
        <v>29</v>
      </c>
      <c r="FL4" s="10">
        <f t="shared" ref="FL4:FL18" si="86">IF(EV4="","",EV4)</f>
        <v>4.3</v>
      </c>
      <c r="FM4" s="10">
        <f t="shared" ref="FM4:FM18" si="87">IF(EU4="","",EU4+EV4+EX4-EW4)</f>
        <v>19.080000000000002</v>
      </c>
      <c r="FN4" s="10">
        <f t="shared" ref="FN4:FN18" si="88">IF(EZ4="","",EZ4)</f>
        <v>6.1</v>
      </c>
      <c r="FO4" s="10">
        <f t="shared" ref="FO4:FO18" si="89">IF(EY4="","",EY4+EZ4+FB4-FA4)</f>
        <v>23.275000000000002</v>
      </c>
      <c r="FP4" s="10">
        <f t="shared" ref="FP4:FP18" si="90">IF(SUM(EV4,EZ4)&gt;0,SUM(EV4,EZ4),"")</f>
        <v>10.399999999999999</v>
      </c>
      <c r="FQ4" s="10">
        <f>IF(SUM(FM4,FO4)&gt;0,SUM(FM4,FO4),"")</f>
        <v>42.355000000000004</v>
      </c>
      <c r="FR4" s="10">
        <f>IF(FD4="","",FD4)</f>
        <v>4.3</v>
      </c>
      <c r="FS4" s="10">
        <f>IF(FC4="","",FC4+FD4+FF4-FE4)</f>
        <v>22.799999999999997</v>
      </c>
      <c r="FT4" s="10">
        <f>IF(FH4="","",FH4)</f>
        <v>6.1</v>
      </c>
      <c r="FU4" s="10">
        <f>IF(FG4="","",FG4+FH4+FJ4-FI4)</f>
        <v>23.625000000000004</v>
      </c>
      <c r="FV4" s="10">
        <f>IF(SUM(FD4,FH4)&gt;0,SUM(FD4,FH4),"")</f>
        <v>10.399999999999999</v>
      </c>
      <c r="FW4" s="10">
        <f t="shared" ref="FW4:FW18" si="91">IF(SUM(FS4,FU4)&gt;0,SUM(FS4,FU4),"")</f>
        <v>46.424999999999997</v>
      </c>
      <c r="FX4" s="10">
        <f t="shared" ref="FX4:FX18" si="92">IF(SUM(FQ4,FW4)&gt;0,SUM(FQ4,FW4),"")</f>
        <v>88.78</v>
      </c>
    </row>
    <row r="5" spans="1:180" x14ac:dyDescent="0.2">
      <c r="A5" s="3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4" t="s">
        <v>106</v>
      </c>
      <c r="C5" s="3" t="s">
        <v>6</v>
      </c>
      <c r="D5" s="3">
        <v>1999</v>
      </c>
      <c r="E5" s="8">
        <f t="shared" si="0"/>
        <v>91.70000692000454</v>
      </c>
      <c r="F5" s="2" t="str">
        <f t="shared" si="1"/>
        <v>P</v>
      </c>
      <c r="G5" s="2" t="str">
        <f t="shared" si="2"/>
        <v>P</v>
      </c>
      <c r="H5" s="26" t="str">
        <f t="shared" si="3"/>
        <v>Worlds Team</v>
      </c>
      <c r="I5" s="2" t="str">
        <f t="shared" si="4"/>
        <v>P</v>
      </c>
      <c r="J5" s="7">
        <f t="shared" si="5"/>
        <v>45.2</v>
      </c>
      <c r="K5" s="7" t="str">
        <f t="shared" si="6"/>
        <v>2025 Nationals</v>
      </c>
      <c r="L5" s="7">
        <f>IF(J5=AO5,IF(COUNT(AQ5,AS5,BO5,BQ5,BU5,BW5)&gt;1,LARGE((AQ5,AS5,BO5,BQ5,BU5,BW5),1),0),IF(COUNT(AK5,AM5,AQ5,AS5,BU5,BW5)&gt;1,LARGE((AK5,AM5,AQ5,AS5,BU5,BW5),1),0))</f>
        <v>23.999999999999996</v>
      </c>
      <c r="M5" s="7" t="str">
        <f t="shared" si="7"/>
        <v>2025 Nationals</v>
      </c>
      <c r="N5" s="7">
        <f>IF(J5=AO5,IF(COUNT(AQ5,AS5,BO5,BQ5,BU5,BW5)&gt;1,LARGE((AQ5,AS5,BO5,BQ5,BU5,BW5),2),0),IF(COUNT(AK5,AM5,AQ5,AS5,BU5,BW5)&gt;1,LARGE((AK5,AM5,AQ5,AS5,BU5,BW5),2),0))</f>
        <v>20.7</v>
      </c>
      <c r="O5" s="7" t="str">
        <f t="shared" si="8"/>
        <v>2025 Nationals</v>
      </c>
      <c r="P5" s="7">
        <f t="shared" si="9"/>
        <v>1.8000000000000043</v>
      </c>
      <c r="Q5" s="10" t="str">
        <f t="shared" si="10"/>
        <v>(Pass)</v>
      </c>
      <c r="R5" s="7" t="str">
        <f t="shared" si="11"/>
        <v>2025 Worlds (Nov 9)</v>
      </c>
      <c r="S5" s="39">
        <v>16.7</v>
      </c>
      <c r="T5" s="39">
        <v>6.5</v>
      </c>
      <c r="U5" s="39">
        <v>0.4</v>
      </c>
      <c r="V5" s="39">
        <v>0.7</v>
      </c>
      <c r="W5" s="39">
        <v>17.2</v>
      </c>
      <c r="X5" s="39">
        <v>3.8</v>
      </c>
      <c r="Y5" s="39">
        <v>0</v>
      </c>
      <c r="Z5" s="39">
        <v>0.7</v>
      </c>
      <c r="AA5" s="39">
        <v>16.2</v>
      </c>
      <c r="AB5" s="39">
        <v>4.2</v>
      </c>
      <c r="AC5" s="39">
        <v>0.4</v>
      </c>
      <c r="AD5" s="39">
        <v>0.7</v>
      </c>
      <c r="AE5" s="39">
        <v>17.2</v>
      </c>
      <c r="AF5" s="39">
        <v>6.1</v>
      </c>
      <c r="AG5" s="39">
        <v>0</v>
      </c>
      <c r="AH5" s="39">
        <v>0.7</v>
      </c>
      <c r="AI5" s="19"/>
      <c r="AJ5" s="42">
        <f t="shared" si="12"/>
        <v>6.5</v>
      </c>
      <c r="AK5" s="42">
        <f t="shared" si="13"/>
        <v>23.5</v>
      </c>
      <c r="AL5" s="42">
        <f t="shared" si="14"/>
        <v>3.8</v>
      </c>
      <c r="AM5" s="42">
        <f t="shared" si="15"/>
        <v>21.7</v>
      </c>
      <c r="AN5" s="27">
        <f t="shared" si="16"/>
        <v>10.3</v>
      </c>
      <c r="AO5" s="27">
        <f t="shared" si="17"/>
        <v>45.2</v>
      </c>
      <c r="AP5" s="27">
        <f t="shared" si="18"/>
        <v>4.2</v>
      </c>
      <c r="AQ5" s="27">
        <f t="shared" si="19"/>
        <v>20.7</v>
      </c>
      <c r="AR5" s="27">
        <f t="shared" si="20"/>
        <v>6.1</v>
      </c>
      <c r="AS5" s="27">
        <f t="shared" si="21"/>
        <v>23.999999999999996</v>
      </c>
      <c r="AT5" s="27">
        <f t="shared" si="22"/>
        <v>10.3</v>
      </c>
      <c r="AU5" s="27">
        <f t="shared" si="23"/>
        <v>44.699999999999996</v>
      </c>
      <c r="AV5" s="27">
        <f t="shared" si="24"/>
        <v>89.9</v>
      </c>
      <c r="AW5" s="15">
        <v>15</v>
      </c>
      <c r="AX5" s="15">
        <v>2.9</v>
      </c>
      <c r="AY5" s="15">
        <v>0</v>
      </c>
      <c r="AZ5" s="15">
        <v>0.7</v>
      </c>
      <c r="BA5" s="15">
        <v>11.8</v>
      </c>
      <c r="BB5" s="15">
        <v>2.9</v>
      </c>
      <c r="BC5" s="15">
        <v>0</v>
      </c>
      <c r="BD5" s="15">
        <v>0.7</v>
      </c>
      <c r="BE5" s="15">
        <v>14.5</v>
      </c>
      <c r="BF5" s="15">
        <v>3.9</v>
      </c>
      <c r="BG5" s="15">
        <v>0.2</v>
      </c>
      <c r="BH5" s="15">
        <v>0</v>
      </c>
      <c r="BI5" s="15">
        <v>16.399999999999999</v>
      </c>
      <c r="BJ5" s="15">
        <v>4.0999999999999996</v>
      </c>
      <c r="BK5" s="15">
        <v>0</v>
      </c>
      <c r="BL5" s="15">
        <v>0</v>
      </c>
      <c r="BM5" s="20"/>
      <c r="BN5" s="43">
        <f t="shared" si="25"/>
        <v>2.9</v>
      </c>
      <c r="BO5" s="43">
        <f t="shared" si="26"/>
        <v>18.599999999999998</v>
      </c>
      <c r="BP5" s="43">
        <f t="shared" si="27"/>
        <v>2.9</v>
      </c>
      <c r="BQ5" s="43">
        <f t="shared" si="28"/>
        <v>15.4</v>
      </c>
      <c r="BR5" s="10">
        <f t="shared" si="29"/>
        <v>5.8</v>
      </c>
      <c r="BS5" s="10">
        <f t="shared" si="30"/>
        <v>34</v>
      </c>
      <c r="BT5" s="10">
        <f t="shared" si="31"/>
        <v>3.9</v>
      </c>
      <c r="BU5" s="10">
        <f t="shared" si="32"/>
        <v>18.2</v>
      </c>
      <c r="BV5" s="10">
        <f t="shared" si="33"/>
        <v>4.0999999999999996</v>
      </c>
      <c r="BW5" s="10">
        <f t="shared" si="34"/>
        <v>20.5</v>
      </c>
      <c r="BX5" s="10">
        <f t="shared" si="35"/>
        <v>8</v>
      </c>
      <c r="BY5" s="10">
        <f t="shared" si="36"/>
        <v>38.700000000000003</v>
      </c>
      <c r="BZ5" s="10">
        <f t="shared" si="37"/>
        <v>72.7</v>
      </c>
      <c r="CA5" s="34" t="str">
        <f t="shared" si="38"/>
        <v/>
      </c>
      <c r="CB5" s="34">
        <f t="shared" si="39"/>
        <v>1.8000000000000043</v>
      </c>
      <c r="CC5" s="14">
        <v>15.1</v>
      </c>
      <c r="CD5" s="14">
        <v>4.2</v>
      </c>
      <c r="CE5" s="14">
        <v>0.4</v>
      </c>
      <c r="CF5" s="14">
        <v>0</v>
      </c>
      <c r="CG5" s="14">
        <v>16.600000000000001</v>
      </c>
      <c r="CH5" s="14">
        <v>6.3</v>
      </c>
      <c r="CI5" s="14">
        <v>0.4</v>
      </c>
      <c r="CJ5" s="14">
        <v>0</v>
      </c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27">
        <f t="shared" si="40"/>
        <v>4.2</v>
      </c>
      <c r="CX5" s="27">
        <f t="shared" si="41"/>
        <v>18.900000000000002</v>
      </c>
      <c r="CY5" s="27">
        <f t="shared" si="42"/>
        <v>6.3</v>
      </c>
      <c r="CZ5" s="27">
        <f t="shared" si="43"/>
        <v>22.500000000000004</v>
      </c>
      <c r="DA5" s="27">
        <f t="shared" si="44"/>
        <v>10.5</v>
      </c>
      <c r="DB5" s="27">
        <f t="shared" si="45"/>
        <v>41.400000000000006</v>
      </c>
      <c r="DC5" s="27" t="str">
        <f t="shared" si="46"/>
        <v/>
      </c>
      <c r="DD5" s="27" t="str">
        <f t="shared" si="47"/>
        <v/>
      </c>
      <c r="DE5" s="27" t="str">
        <f t="shared" si="48"/>
        <v/>
      </c>
      <c r="DF5" s="27" t="str">
        <f t="shared" si="49"/>
        <v/>
      </c>
      <c r="DG5" s="27" t="str">
        <f t="shared" si="50"/>
        <v/>
      </c>
      <c r="DH5" s="27" t="str">
        <f t="shared" si="51"/>
        <v/>
      </c>
      <c r="DI5" s="27" t="str">
        <f t="shared" si="52"/>
        <v/>
      </c>
      <c r="DJ5" s="27" t="str">
        <f t="shared" si="53"/>
        <v/>
      </c>
      <c r="DK5" s="27">
        <f t="shared" si="54"/>
        <v>41.400000000000006</v>
      </c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0" t="str">
        <f t="shared" si="55"/>
        <v/>
      </c>
      <c r="EG5" s="10" t="str">
        <f t="shared" si="56"/>
        <v/>
      </c>
      <c r="EH5" s="10" t="str">
        <f t="shared" si="57"/>
        <v/>
      </c>
      <c r="EI5" s="10" t="str">
        <f t="shared" si="58"/>
        <v/>
      </c>
      <c r="EJ5" s="10" t="str">
        <f t="shared" si="59"/>
        <v/>
      </c>
      <c r="EK5" s="10" t="str">
        <f t="shared" si="60"/>
        <v/>
      </c>
      <c r="EL5" s="10" t="str">
        <f t="shared" si="61"/>
        <v/>
      </c>
      <c r="EM5" s="10" t="str">
        <f t="shared" si="62"/>
        <v/>
      </c>
      <c r="EN5" s="10" t="str">
        <f t="shared" si="63"/>
        <v/>
      </c>
      <c r="EO5" s="10" t="str">
        <f t="shared" si="64"/>
        <v/>
      </c>
      <c r="EP5" s="10" t="str">
        <f t="shared" si="65"/>
        <v/>
      </c>
      <c r="EQ5" s="10" t="str">
        <f t="shared" si="66"/>
        <v/>
      </c>
      <c r="ER5" s="10" t="str">
        <f t="shared" si="67"/>
        <v/>
      </c>
      <c r="ES5" s="10" t="str">
        <f t="shared" si="68"/>
        <v/>
      </c>
      <c r="ET5" s="10" t="str">
        <f t="shared" si="69"/>
        <v/>
      </c>
      <c r="EU5" s="44">
        <f t="shared" si="70"/>
        <v>15.85</v>
      </c>
      <c r="EV5" s="44">
        <f t="shared" si="71"/>
        <v>4.7</v>
      </c>
      <c r="EW5" s="44">
        <f t="shared" si="72"/>
        <v>0.2</v>
      </c>
      <c r="EX5" s="44">
        <f t="shared" si="73"/>
        <v>0.7</v>
      </c>
      <c r="EY5" s="44">
        <f t="shared" si="74"/>
        <v>14.5</v>
      </c>
      <c r="EZ5" s="44">
        <f t="shared" si="75"/>
        <v>3.3499999999999996</v>
      </c>
      <c r="FA5" s="44">
        <f t="shared" si="76"/>
        <v>0</v>
      </c>
      <c r="FB5" s="44">
        <f t="shared" si="77"/>
        <v>0.7</v>
      </c>
      <c r="FC5" s="44">
        <f t="shared" si="78"/>
        <v>15.35</v>
      </c>
      <c r="FD5" s="44">
        <f t="shared" si="79"/>
        <v>4.05</v>
      </c>
      <c r="FE5" s="44">
        <f t="shared" si="80"/>
        <v>0.30000000000000004</v>
      </c>
      <c r="FF5" s="44">
        <f t="shared" si="81"/>
        <v>0.35</v>
      </c>
      <c r="FG5" s="44">
        <f t="shared" si="82"/>
        <v>16.799999999999997</v>
      </c>
      <c r="FH5" s="44">
        <f t="shared" si="83"/>
        <v>5.0999999999999996</v>
      </c>
      <c r="FI5" s="44">
        <f t="shared" si="84"/>
        <v>0</v>
      </c>
      <c r="FJ5" s="44">
        <f t="shared" si="85"/>
        <v>0.35</v>
      </c>
      <c r="FK5" s="20" t="s">
        <v>29</v>
      </c>
      <c r="FL5" s="10">
        <f t="shared" si="86"/>
        <v>4.7</v>
      </c>
      <c r="FM5" s="10">
        <f t="shared" si="87"/>
        <v>21.05</v>
      </c>
      <c r="FN5" s="10">
        <f t="shared" si="88"/>
        <v>3.3499999999999996</v>
      </c>
      <c r="FO5" s="10">
        <f t="shared" si="89"/>
        <v>18.55</v>
      </c>
      <c r="FP5" s="10">
        <f t="shared" si="90"/>
        <v>8.0500000000000007</v>
      </c>
      <c r="FQ5" s="10">
        <f t="shared" ref="FQ5:FQ18" si="93">IF(SUM(FM5,FO5)&gt;0,SUM(FM5,FO5),"")</f>
        <v>39.6</v>
      </c>
      <c r="FR5" s="10">
        <f t="shared" ref="FR5:FR18" si="94">IF(FD5="","",FD5)</f>
        <v>4.05</v>
      </c>
      <c r="FS5" s="10">
        <f t="shared" ref="FS5:FS18" si="95">IF(FC5="","",FC5+FD5+FF5-FE5)</f>
        <v>19.45</v>
      </c>
      <c r="FT5" s="10">
        <f t="shared" ref="FT5:FT18" si="96">IF(FH5="","",FH5)</f>
        <v>5.0999999999999996</v>
      </c>
      <c r="FU5" s="10">
        <f t="shared" ref="FU5:FU18" si="97">IF(FG5="","",FG5+FH5+FJ5-FI5)</f>
        <v>22.25</v>
      </c>
      <c r="FV5" s="10">
        <f t="shared" ref="FV5:FV18" si="98">IF(SUM(FD5,FH5)&gt;0,SUM(FD5,FH5),"")</f>
        <v>9.1499999999999986</v>
      </c>
      <c r="FW5" s="10">
        <f t="shared" si="91"/>
        <v>41.7</v>
      </c>
      <c r="FX5" s="10">
        <f t="shared" si="92"/>
        <v>81.300000000000011</v>
      </c>
    </row>
    <row r="6" spans="1:180" x14ac:dyDescent="0.2">
      <c r="A6" s="3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4" t="s">
        <v>107</v>
      </c>
      <c r="C6" s="3" t="s">
        <v>5</v>
      </c>
      <c r="D6" s="3">
        <v>2007</v>
      </c>
      <c r="E6" s="8">
        <f t="shared" si="0"/>
        <v>91.300006810004476</v>
      </c>
      <c r="F6" s="2" t="str">
        <f t="shared" si="1"/>
        <v>P</v>
      </c>
      <c r="G6" s="2" t="str">
        <f t="shared" si="2"/>
        <v>P</v>
      </c>
      <c r="H6" s="26" t="str">
        <f t="shared" si="3"/>
        <v>Worlds Team</v>
      </c>
      <c r="I6" s="2" t="str">
        <f t="shared" si="4"/>
        <v>P</v>
      </c>
      <c r="J6" s="7">
        <f t="shared" si="5"/>
        <v>44.8</v>
      </c>
      <c r="K6" s="7" t="str">
        <f t="shared" si="6"/>
        <v>2025 3rd Domestic Trial</v>
      </c>
      <c r="L6" s="7">
        <f>IF(J6=AO6,IF(COUNT(AQ6,AS6,BO6,BQ6,BU6,BW6)&gt;1,LARGE((AQ6,AS6,BO6,BQ6,BU6,BW6),1),0),IF(COUNT(AK6,AM6,AQ6,AS6,BU6,BW6)&gt;1,LARGE((AK6,AM6,AQ6,AS6,BU6,BW6),1),0))</f>
        <v>23.299999999999997</v>
      </c>
      <c r="M6" s="7" t="str">
        <f t="shared" si="7"/>
        <v>2025 Nationals</v>
      </c>
      <c r="N6" s="7">
        <f>IF(J6=AO6,IF(COUNT(AQ6,AS6,BO6,BQ6,BU6,BW6)&gt;1,LARGE((AQ6,AS6,BO6,BQ6,BU6,BW6),2),0),IF(COUNT(AK6,AM6,AQ6,AS6,BU6,BW6)&gt;1,LARGE((AK6,AM6,AQ6,AS6,BU6,BW6),2),0))</f>
        <v>23.2</v>
      </c>
      <c r="O6" s="7" t="str">
        <f t="shared" si="8"/>
        <v>2025 Nationals</v>
      </c>
      <c r="P6" s="7" t="str">
        <f t="shared" si="9"/>
        <v/>
      </c>
      <c r="Q6" s="10" t="str">
        <f t="shared" si="10"/>
        <v/>
      </c>
      <c r="R6" s="7" t="str">
        <f t="shared" si="11"/>
        <v/>
      </c>
      <c r="S6" s="39">
        <v>14.9</v>
      </c>
      <c r="T6" s="39">
        <v>5</v>
      </c>
      <c r="U6" s="39">
        <v>0.2</v>
      </c>
      <c r="V6" s="39">
        <v>0.7</v>
      </c>
      <c r="W6" s="39">
        <v>16.8</v>
      </c>
      <c r="X6" s="39">
        <v>5.2</v>
      </c>
      <c r="Y6" s="39">
        <v>0</v>
      </c>
      <c r="Z6" s="39">
        <v>0.7</v>
      </c>
      <c r="AA6" s="39">
        <v>17.5</v>
      </c>
      <c r="AB6" s="39">
        <v>5</v>
      </c>
      <c r="AC6" s="39">
        <v>0</v>
      </c>
      <c r="AD6" s="39">
        <v>0.7</v>
      </c>
      <c r="AE6" s="39">
        <v>17.399999999999999</v>
      </c>
      <c r="AF6" s="39">
        <v>5.2</v>
      </c>
      <c r="AG6" s="39">
        <v>0</v>
      </c>
      <c r="AH6" s="39">
        <v>0.7</v>
      </c>
      <c r="AI6" s="19"/>
      <c r="AJ6" s="42">
        <f t="shared" si="12"/>
        <v>5</v>
      </c>
      <c r="AK6" s="42">
        <f t="shared" si="13"/>
        <v>20.399999999999999</v>
      </c>
      <c r="AL6" s="42">
        <f t="shared" si="14"/>
        <v>5.2</v>
      </c>
      <c r="AM6" s="42">
        <f t="shared" si="15"/>
        <v>22.7</v>
      </c>
      <c r="AN6" s="27">
        <f t="shared" si="16"/>
        <v>10.199999999999999</v>
      </c>
      <c r="AO6" s="27">
        <f t="shared" si="17"/>
        <v>43.099999999999994</v>
      </c>
      <c r="AP6" s="27">
        <f t="shared" si="18"/>
        <v>5</v>
      </c>
      <c r="AQ6" s="27">
        <f t="shared" si="19"/>
        <v>23.2</v>
      </c>
      <c r="AR6" s="27">
        <f t="shared" si="20"/>
        <v>5.2</v>
      </c>
      <c r="AS6" s="27">
        <f t="shared" si="21"/>
        <v>23.299999999999997</v>
      </c>
      <c r="AT6" s="27">
        <f t="shared" si="22"/>
        <v>10.199999999999999</v>
      </c>
      <c r="AU6" s="27">
        <f t="shared" si="23"/>
        <v>46.5</v>
      </c>
      <c r="AV6" s="27">
        <f t="shared" si="24"/>
        <v>89.6</v>
      </c>
      <c r="AW6" s="15">
        <v>16.5</v>
      </c>
      <c r="AX6" s="15">
        <v>5</v>
      </c>
      <c r="AY6" s="15">
        <v>0</v>
      </c>
      <c r="AZ6" s="15">
        <v>0.7</v>
      </c>
      <c r="BA6" s="15">
        <v>16.7</v>
      </c>
      <c r="BB6" s="15">
        <v>5.2</v>
      </c>
      <c r="BC6" s="15">
        <v>0</v>
      </c>
      <c r="BD6" s="15">
        <v>0.7</v>
      </c>
      <c r="BE6" s="15">
        <v>16.3</v>
      </c>
      <c r="BF6" s="15">
        <v>5</v>
      </c>
      <c r="BG6" s="15">
        <v>0</v>
      </c>
      <c r="BH6" s="15">
        <v>0.7</v>
      </c>
      <c r="BI6" s="15">
        <v>14.5</v>
      </c>
      <c r="BJ6" s="15">
        <v>5.2</v>
      </c>
      <c r="BK6" s="15">
        <v>0</v>
      </c>
      <c r="BL6" s="15">
        <v>0.7</v>
      </c>
      <c r="BM6" s="20"/>
      <c r="BN6" s="43">
        <f t="shared" si="25"/>
        <v>5</v>
      </c>
      <c r="BO6" s="43">
        <f t="shared" si="26"/>
        <v>22.2</v>
      </c>
      <c r="BP6" s="43">
        <f t="shared" si="27"/>
        <v>5.2</v>
      </c>
      <c r="BQ6" s="43">
        <f t="shared" si="28"/>
        <v>22.599999999999998</v>
      </c>
      <c r="BR6" s="10">
        <f t="shared" si="29"/>
        <v>10.199999999999999</v>
      </c>
      <c r="BS6" s="10">
        <f t="shared" si="30"/>
        <v>44.8</v>
      </c>
      <c r="BT6" s="10">
        <f t="shared" si="31"/>
        <v>5</v>
      </c>
      <c r="BU6" s="10">
        <f t="shared" si="32"/>
        <v>22</v>
      </c>
      <c r="BV6" s="10">
        <f t="shared" si="33"/>
        <v>5.2</v>
      </c>
      <c r="BW6" s="10">
        <f t="shared" si="34"/>
        <v>20.399999999999999</v>
      </c>
      <c r="BX6" s="10">
        <f t="shared" si="35"/>
        <v>10.199999999999999</v>
      </c>
      <c r="BY6" s="10">
        <f t="shared" si="36"/>
        <v>42.4</v>
      </c>
      <c r="BZ6" s="10">
        <f t="shared" si="37"/>
        <v>87.199999999999989</v>
      </c>
      <c r="CA6" s="34" t="str">
        <f t="shared" si="38"/>
        <v/>
      </c>
      <c r="CB6" s="34" t="str">
        <f t="shared" si="39"/>
        <v/>
      </c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27" t="str">
        <f t="shared" si="40"/>
        <v/>
      </c>
      <c r="CX6" s="27" t="str">
        <f t="shared" si="41"/>
        <v/>
      </c>
      <c r="CY6" s="27" t="str">
        <f t="shared" si="42"/>
        <v/>
      </c>
      <c r="CZ6" s="27" t="str">
        <f t="shared" si="43"/>
        <v/>
      </c>
      <c r="DA6" s="27" t="str">
        <f t="shared" si="44"/>
        <v/>
      </c>
      <c r="DB6" s="27" t="str">
        <f t="shared" si="45"/>
        <v/>
      </c>
      <c r="DC6" s="27" t="str">
        <f t="shared" si="46"/>
        <v/>
      </c>
      <c r="DD6" s="27" t="str">
        <f t="shared" si="47"/>
        <v/>
      </c>
      <c r="DE6" s="27" t="str">
        <f t="shared" si="48"/>
        <v/>
      </c>
      <c r="DF6" s="27" t="str">
        <f t="shared" si="49"/>
        <v/>
      </c>
      <c r="DG6" s="27" t="str">
        <f t="shared" si="50"/>
        <v/>
      </c>
      <c r="DH6" s="27" t="str">
        <f t="shared" si="51"/>
        <v/>
      </c>
      <c r="DI6" s="27" t="str">
        <f t="shared" si="52"/>
        <v/>
      </c>
      <c r="DJ6" s="27" t="str">
        <f t="shared" si="53"/>
        <v/>
      </c>
      <c r="DK6" s="27" t="str">
        <f t="shared" si="54"/>
        <v/>
      </c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0" t="str">
        <f t="shared" si="55"/>
        <v/>
      </c>
      <c r="EG6" s="10" t="str">
        <f t="shared" si="56"/>
        <v/>
      </c>
      <c r="EH6" s="10" t="str">
        <f t="shared" si="57"/>
        <v/>
      </c>
      <c r="EI6" s="10" t="str">
        <f t="shared" si="58"/>
        <v/>
      </c>
      <c r="EJ6" s="10" t="str">
        <f t="shared" si="59"/>
        <v/>
      </c>
      <c r="EK6" s="10" t="str">
        <f t="shared" si="60"/>
        <v/>
      </c>
      <c r="EL6" s="10" t="str">
        <f t="shared" si="61"/>
        <v/>
      </c>
      <c r="EM6" s="10" t="str">
        <f t="shared" si="62"/>
        <v/>
      </c>
      <c r="EN6" s="10" t="str">
        <f t="shared" si="63"/>
        <v/>
      </c>
      <c r="EO6" s="10" t="str">
        <f t="shared" si="64"/>
        <v/>
      </c>
      <c r="EP6" s="10" t="str">
        <f t="shared" si="65"/>
        <v/>
      </c>
      <c r="EQ6" s="10" t="str">
        <f t="shared" si="66"/>
        <v/>
      </c>
      <c r="ER6" s="10" t="str">
        <f t="shared" si="67"/>
        <v/>
      </c>
      <c r="ES6" s="10" t="str">
        <f t="shared" si="68"/>
        <v/>
      </c>
      <c r="ET6" s="10" t="str">
        <f t="shared" si="69"/>
        <v/>
      </c>
      <c r="EU6" s="44">
        <f t="shared" si="70"/>
        <v>15.7</v>
      </c>
      <c r="EV6" s="44">
        <f t="shared" si="71"/>
        <v>5</v>
      </c>
      <c r="EW6" s="44">
        <f t="shared" si="72"/>
        <v>0.1</v>
      </c>
      <c r="EX6" s="44">
        <f t="shared" si="73"/>
        <v>0.7</v>
      </c>
      <c r="EY6" s="44">
        <f t="shared" si="74"/>
        <v>16.75</v>
      </c>
      <c r="EZ6" s="44">
        <f t="shared" si="75"/>
        <v>5.2</v>
      </c>
      <c r="FA6" s="44">
        <f t="shared" si="76"/>
        <v>0</v>
      </c>
      <c r="FB6" s="44">
        <f t="shared" si="77"/>
        <v>0.7</v>
      </c>
      <c r="FC6" s="44">
        <f t="shared" si="78"/>
        <v>16.899999999999999</v>
      </c>
      <c r="FD6" s="44">
        <f t="shared" si="79"/>
        <v>5</v>
      </c>
      <c r="FE6" s="44">
        <f t="shared" si="80"/>
        <v>0</v>
      </c>
      <c r="FF6" s="44">
        <f t="shared" si="81"/>
        <v>0.7</v>
      </c>
      <c r="FG6" s="44">
        <f t="shared" si="82"/>
        <v>15.95</v>
      </c>
      <c r="FH6" s="44">
        <f t="shared" si="83"/>
        <v>5.2</v>
      </c>
      <c r="FI6" s="44">
        <f t="shared" si="84"/>
        <v>0</v>
      </c>
      <c r="FJ6" s="44">
        <f t="shared" si="85"/>
        <v>0.7</v>
      </c>
      <c r="FK6" s="20" t="s">
        <v>29</v>
      </c>
      <c r="FL6" s="10">
        <f t="shared" si="86"/>
        <v>5</v>
      </c>
      <c r="FM6" s="10">
        <f t="shared" si="87"/>
        <v>21.299999999999997</v>
      </c>
      <c r="FN6" s="10">
        <f t="shared" si="88"/>
        <v>5.2</v>
      </c>
      <c r="FO6" s="10">
        <f t="shared" si="89"/>
        <v>22.65</v>
      </c>
      <c r="FP6" s="10">
        <f t="shared" si="90"/>
        <v>10.199999999999999</v>
      </c>
      <c r="FQ6" s="10">
        <f t="shared" si="93"/>
        <v>43.949999999999996</v>
      </c>
      <c r="FR6" s="10">
        <f t="shared" si="94"/>
        <v>5</v>
      </c>
      <c r="FS6" s="10">
        <f t="shared" si="95"/>
        <v>22.599999999999998</v>
      </c>
      <c r="FT6" s="10">
        <f t="shared" si="96"/>
        <v>5.2</v>
      </c>
      <c r="FU6" s="10">
        <f t="shared" si="97"/>
        <v>21.849999999999998</v>
      </c>
      <c r="FV6" s="10">
        <f t="shared" si="98"/>
        <v>10.199999999999999</v>
      </c>
      <c r="FW6" s="10">
        <f t="shared" si="91"/>
        <v>44.449999999999996</v>
      </c>
      <c r="FX6" s="10">
        <f t="shared" si="92"/>
        <v>88.399999999999991</v>
      </c>
    </row>
    <row r="7" spans="1:180" x14ac:dyDescent="0.2">
      <c r="A7" s="3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4" t="s">
        <v>108</v>
      </c>
      <c r="C7" s="3" t="s">
        <v>4</v>
      </c>
      <c r="D7" s="3">
        <v>2004</v>
      </c>
      <c r="E7" s="8">
        <f t="shared" si="0"/>
        <v>90.900006800004448</v>
      </c>
      <c r="F7" s="2" t="str">
        <f t="shared" si="1"/>
        <v>P</v>
      </c>
      <c r="G7" s="2" t="str">
        <f t="shared" si="2"/>
        <v>P</v>
      </c>
      <c r="H7" s="26" t="str">
        <f t="shared" si="3"/>
        <v>Worlds Team</v>
      </c>
      <c r="I7" s="2" t="str">
        <f t="shared" si="4"/>
        <v>P</v>
      </c>
      <c r="J7" s="7">
        <f t="shared" si="5"/>
        <v>44.5</v>
      </c>
      <c r="K7" s="7" t="str">
        <f t="shared" si="6"/>
        <v>2025 3rd Domestic Trial</v>
      </c>
      <c r="L7" s="7">
        <f>IF(J7=AO7,IF(COUNT(AQ7,AS7,BO7,BQ7,BU7,BW7)&gt;1,LARGE((AQ7,AS7,BO7,BQ7,BU7,BW7),1),0),IF(COUNT(AK7,AM7,AQ7,AS7,BU7,BW7)&gt;1,LARGE((AK7,AM7,AQ7,AS7,BU7,BW7),1),0))</f>
        <v>23.499999999999996</v>
      </c>
      <c r="M7" s="7" t="str">
        <f t="shared" si="7"/>
        <v>2025 Nationals</v>
      </c>
      <c r="N7" s="7">
        <f>IF(J7=AO7,IF(COUNT(AQ7,AS7,BO7,BQ7,BU7,BW7)&gt;1,LARGE((AQ7,AS7,BO7,BQ7,BU7,BW7),2),0),IF(COUNT(AK7,AM7,AQ7,AS7,BU7,BW7)&gt;1,LARGE((AK7,AM7,AQ7,AS7,BU7,BW7),2),0))</f>
        <v>22.900000000000002</v>
      </c>
      <c r="O7" s="7" t="str">
        <f t="shared" si="8"/>
        <v>2025 3rd Domestic Trial</v>
      </c>
      <c r="P7" s="7" t="str">
        <f t="shared" si="9"/>
        <v/>
      </c>
      <c r="Q7" s="10" t="str">
        <f t="shared" si="10"/>
        <v/>
      </c>
      <c r="R7" s="7" t="str">
        <f t="shared" si="11"/>
        <v/>
      </c>
      <c r="S7" s="39">
        <v>14</v>
      </c>
      <c r="T7" s="39">
        <v>2.9</v>
      </c>
      <c r="U7" s="39">
        <v>0</v>
      </c>
      <c r="V7" s="39">
        <v>0.7</v>
      </c>
      <c r="W7" s="39">
        <v>17.399999999999999</v>
      </c>
      <c r="X7" s="39">
        <v>3.6</v>
      </c>
      <c r="Y7" s="39">
        <v>0.2</v>
      </c>
      <c r="Z7" s="39">
        <v>0.7</v>
      </c>
      <c r="AA7" s="39">
        <v>16.7</v>
      </c>
      <c r="AB7" s="39">
        <v>6.1</v>
      </c>
      <c r="AC7" s="39">
        <v>0</v>
      </c>
      <c r="AD7" s="39">
        <v>0.7</v>
      </c>
      <c r="AE7" s="39">
        <v>17.600000000000001</v>
      </c>
      <c r="AF7" s="39">
        <v>3.6</v>
      </c>
      <c r="AG7" s="39">
        <v>0</v>
      </c>
      <c r="AH7" s="39">
        <v>0.7</v>
      </c>
      <c r="AI7" s="19"/>
      <c r="AJ7" s="42">
        <f t="shared" si="12"/>
        <v>2.9</v>
      </c>
      <c r="AK7" s="42">
        <f t="shared" si="13"/>
        <v>17.599999999999998</v>
      </c>
      <c r="AL7" s="42">
        <f t="shared" si="14"/>
        <v>3.6</v>
      </c>
      <c r="AM7" s="42">
        <f t="shared" si="15"/>
        <v>21.5</v>
      </c>
      <c r="AN7" s="27">
        <f t="shared" si="16"/>
        <v>6.5</v>
      </c>
      <c r="AO7" s="27">
        <f t="shared" si="17"/>
        <v>39.099999999999994</v>
      </c>
      <c r="AP7" s="27">
        <f t="shared" si="18"/>
        <v>6.1</v>
      </c>
      <c r="AQ7" s="27">
        <f t="shared" si="19"/>
        <v>23.499999999999996</v>
      </c>
      <c r="AR7" s="27">
        <f t="shared" si="20"/>
        <v>3.6</v>
      </c>
      <c r="AS7" s="27">
        <f t="shared" si="21"/>
        <v>21.900000000000002</v>
      </c>
      <c r="AT7" s="27">
        <f t="shared" si="22"/>
        <v>9.6999999999999993</v>
      </c>
      <c r="AU7" s="27">
        <f t="shared" si="23"/>
        <v>45.4</v>
      </c>
      <c r="AV7" s="27">
        <f t="shared" si="24"/>
        <v>84.5</v>
      </c>
      <c r="AW7" s="15">
        <v>16</v>
      </c>
      <c r="AX7" s="15">
        <v>6.1</v>
      </c>
      <c r="AY7" s="15">
        <v>0</v>
      </c>
      <c r="AZ7" s="15">
        <v>0.7</v>
      </c>
      <c r="BA7" s="15">
        <v>16.7</v>
      </c>
      <c r="BB7" s="15">
        <v>4.3</v>
      </c>
      <c r="BC7" s="15">
        <v>0</v>
      </c>
      <c r="BD7" s="15">
        <v>0.7</v>
      </c>
      <c r="BE7" s="15">
        <v>16.100000000000001</v>
      </c>
      <c r="BF7" s="15">
        <v>6.1</v>
      </c>
      <c r="BG7" s="15">
        <v>0</v>
      </c>
      <c r="BH7" s="15">
        <v>0.7</v>
      </c>
      <c r="BI7" s="15">
        <v>16.399999999999999</v>
      </c>
      <c r="BJ7" s="15">
        <v>4.3</v>
      </c>
      <c r="BK7" s="15">
        <v>0</v>
      </c>
      <c r="BL7" s="15">
        <v>0.7</v>
      </c>
      <c r="BM7" s="20"/>
      <c r="BN7" s="43">
        <f t="shared" si="25"/>
        <v>6.1</v>
      </c>
      <c r="BO7" s="43">
        <f t="shared" si="26"/>
        <v>22.8</v>
      </c>
      <c r="BP7" s="43">
        <f t="shared" si="27"/>
        <v>4.3</v>
      </c>
      <c r="BQ7" s="43">
        <f t="shared" si="28"/>
        <v>21.7</v>
      </c>
      <c r="BR7" s="10">
        <f t="shared" si="29"/>
        <v>10.399999999999999</v>
      </c>
      <c r="BS7" s="10">
        <f t="shared" si="30"/>
        <v>44.5</v>
      </c>
      <c r="BT7" s="10">
        <f t="shared" si="31"/>
        <v>6.1</v>
      </c>
      <c r="BU7" s="10">
        <f t="shared" si="32"/>
        <v>22.900000000000002</v>
      </c>
      <c r="BV7" s="10">
        <f t="shared" si="33"/>
        <v>4.3</v>
      </c>
      <c r="BW7" s="10">
        <f t="shared" si="34"/>
        <v>21.4</v>
      </c>
      <c r="BX7" s="10">
        <f t="shared" si="35"/>
        <v>10.399999999999999</v>
      </c>
      <c r="BY7" s="10">
        <f t="shared" si="36"/>
        <v>44.3</v>
      </c>
      <c r="BZ7" s="10">
        <f t="shared" si="37"/>
        <v>88.8</v>
      </c>
      <c r="CA7" s="34" t="str">
        <f t="shared" si="38"/>
        <v/>
      </c>
      <c r="CB7" s="34" t="str">
        <f t="shared" si="39"/>
        <v/>
      </c>
      <c r="CC7" s="14">
        <v>15.2</v>
      </c>
      <c r="CD7" s="14">
        <v>6.1</v>
      </c>
      <c r="CE7" s="14">
        <v>0</v>
      </c>
      <c r="CF7" s="14">
        <v>0</v>
      </c>
      <c r="CG7" s="14">
        <v>16.899999999999999</v>
      </c>
      <c r="CH7" s="14">
        <v>4.3</v>
      </c>
      <c r="CI7" s="14">
        <v>0</v>
      </c>
      <c r="CJ7" s="14">
        <v>0</v>
      </c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27">
        <f t="shared" si="40"/>
        <v>6.1</v>
      </c>
      <c r="CX7" s="27">
        <f t="shared" si="41"/>
        <v>21.299999999999997</v>
      </c>
      <c r="CY7" s="27">
        <f t="shared" si="42"/>
        <v>4.3</v>
      </c>
      <c r="CZ7" s="27">
        <f t="shared" si="43"/>
        <v>21.2</v>
      </c>
      <c r="DA7" s="27">
        <f t="shared" si="44"/>
        <v>10.399999999999999</v>
      </c>
      <c r="DB7" s="27">
        <f t="shared" si="45"/>
        <v>42.5</v>
      </c>
      <c r="DC7" s="27" t="str">
        <f t="shared" si="46"/>
        <v/>
      </c>
      <c r="DD7" s="27" t="str">
        <f t="shared" si="47"/>
        <v/>
      </c>
      <c r="DE7" s="27" t="str">
        <f t="shared" si="48"/>
        <v/>
      </c>
      <c r="DF7" s="27" t="str">
        <f t="shared" si="49"/>
        <v/>
      </c>
      <c r="DG7" s="27" t="str">
        <f t="shared" si="50"/>
        <v/>
      </c>
      <c r="DH7" s="27" t="str">
        <f t="shared" si="51"/>
        <v/>
      </c>
      <c r="DI7" s="27" t="str">
        <f t="shared" si="52"/>
        <v/>
      </c>
      <c r="DJ7" s="27" t="str">
        <f t="shared" si="53"/>
        <v/>
      </c>
      <c r="DK7" s="27">
        <f t="shared" si="54"/>
        <v>42.5</v>
      </c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0" t="str">
        <f t="shared" si="55"/>
        <v/>
      </c>
      <c r="EG7" s="10" t="str">
        <f t="shared" si="56"/>
        <v/>
      </c>
      <c r="EH7" s="10" t="str">
        <f t="shared" si="57"/>
        <v/>
      </c>
      <c r="EI7" s="10" t="str">
        <f t="shared" si="58"/>
        <v/>
      </c>
      <c r="EJ7" s="10" t="str">
        <f t="shared" si="59"/>
        <v/>
      </c>
      <c r="EK7" s="10" t="str">
        <f t="shared" si="60"/>
        <v/>
      </c>
      <c r="EL7" s="10" t="str">
        <f t="shared" si="61"/>
        <v/>
      </c>
      <c r="EM7" s="10" t="str">
        <f t="shared" si="62"/>
        <v/>
      </c>
      <c r="EN7" s="10" t="str">
        <f t="shared" si="63"/>
        <v/>
      </c>
      <c r="EO7" s="10" t="str">
        <f t="shared" si="64"/>
        <v/>
      </c>
      <c r="EP7" s="10" t="str">
        <f t="shared" si="65"/>
        <v/>
      </c>
      <c r="EQ7" s="10" t="str">
        <f t="shared" si="66"/>
        <v/>
      </c>
      <c r="ER7" s="10" t="str">
        <f t="shared" si="67"/>
        <v/>
      </c>
      <c r="ES7" s="10" t="str">
        <f t="shared" si="68"/>
        <v/>
      </c>
      <c r="ET7" s="10" t="str">
        <f t="shared" si="69"/>
        <v/>
      </c>
      <c r="EU7" s="44">
        <f t="shared" si="70"/>
        <v>15</v>
      </c>
      <c r="EV7" s="44">
        <f t="shared" si="71"/>
        <v>4.5</v>
      </c>
      <c r="EW7" s="44">
        <f t="shared" si="72"/>
        <v>0</v>
      </c>
      <c r="EX7" s="44">
        <f t="shared" si="73"/>
        <v>0.7</v>
      </c>
      <c r="EY7" s="44">
        <f t="shared" si="74"/>
        <v>17.049999999999997</v>
      </c>
      <c r="EZ7" s="44">
        <f t="shared" si="75"/>
        <v>3.95</v>
      </c>
      <c r="FA7" s="44">
        <f t="shared" si="76"/>
        <v>0.1</v>
      </c>
      <c r="FB7" s="44">
        <f t="shared" si="77"/>
        <v>0.7</v>
      </c>
      <c r="FC7" s="44">
        <f t="shared" si="78"/>
        <v>16.399999999999999</v>
      </c>
      <c r="FD7" s="44">
        <f t="shared" si="79"/>
        <v>6.1</v>
      </c>
      <c r="FE7" s="44">
        <f t="shared" si="80"/>
        <v>0</v>
      </c>
      <c r="FF7" s="44">
        <f t="shared" si="81"/>
        <v>0.7</v>
      </c>
      <c r="FG7" s="44">
        <f t="shared" si="82"/>
        <v>17</v>
      </c>
      <c r="FH7" s="44">
        <f t="shared" si="83"/>
        <v>3.95</v>
      </c>
      <c r="FI7" s="44">
        <f t="shared" si="84"/>
        <v>0</v>
      </c>
      <c r="FJ7" s="44">
        <f t="shared" si="85"/>
        <v>0.7</v>
      </c>
      <c r="FK7" s="20" t="s">
        <v>29</v>
      </c>
      <c r="FL7" s="10">
        <f t="shared" si="86"/>
        <v>4.5</v>
      </c>
      <c r="FM7" s="10">
        <f t="shared" si="87"/>
        <v>20.2</v>
      </c>
      <c r="FN7" s="10">
        <f t="shared" si="88"/>
        <v>3.95</v>
      </c>
      <c r="FO7" s="10">
        <f t="shared" si="89"/>
        <v>21.599999999999994</v>
      </c>
      <c r="FP7" s="10">
        <f t="shared" si="90"/>
        <v>8.4499999999999993</v>
      </c>
      <c r="FQ7" s="10">
        <f t="shared" si="93"/>
        <v>41.8</v>
      </c>
      <c r="FR7" s="10">
        <f t="shared" si="94"/>
        <v>6.1</v>
      </c>
      <c r="FS7" s="10">
        <f t="shared" si="95"/>
        <v>23.2</v>
      </c>
      <c r="FT7" s="10">
        <f t="shared" si="96"/>
        <v>3.95</v>
      </c>
      <c r="FU7" s="10">
        <f t="shared" si="97"/>
        <v>21.65</v>
      </c>
      <c r="FV7" s="10">
        <f t="shared" si="98"/>
        <v>10.050000000000001</v>
      </c>
      <c r="FW7" s="10">
        <f t="shared" si="91"/>
        <v>44.849999999999994</v>
      </c>
      <c r="FX7" s="10">
        <f t="shared" si="92"/>
        <v>86.649999999999991</v>
      </c>
    </row>
    <row r="8" spans="1:180" x14ac:dyDescent="0.2">
      <c r="A8" s="3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4" t="s">
        <v>112</v>
      </c>
      <c r="C8" s="3" t="s">
        <v>4</v>
      </c>
      <c r="D8" s="3">
        <v>1999</v>
      </c>
      <c r="E8" s="8">
        <f t="shared" si="0"/>
        <v>90.300006690004338</v>
      </c>
      <c r="F8" s="2" t="str">
        <f t="shared" si="1"/>
        <v>P</v>
      </c>
      <c r="G8" s="2" t="str">
        <f t="shared" si="2"/>
        <v>P</v>
      </c>
      <c r="H8" s="26" t="str">
        <f t="shared" si="3"/>
        <v>National Team</v>
      </c>
      <c r="I8" s="2" t="str">
        <f t="shared" si="4"/>
        <v/>
      </c>
      <c r="J8" s="7">
        <f t="shared" si="5"/>
        <v>43.2</v>
      </c>
      <c r="K8" s="7" t="str">
        <f t="shared" si="6"/>
        <v>2025 3rd Domestic Trial</v>
      </c>
      <c r="L8" s="7">
        <f>IF(J8=AO8,IF(COUNT(AQ8,AS8,BO8,BQ8,BU8,BW8)&gt;1,LARGE((AQ8,AS8,BO8,BQ8,BU8,BW8),1),0),IF(COUNT(AK8,AM8,AQ8,AS8,BU8,BW8)&gt;1,LARGE((AK8,AM8,AQ8,AS8,BU8,BW8),1),0))</f>
        <v>23.7</v>
      </c>
      <c r="M8" s="7" t="str">
        <f t="shared" si="7"/>
        <v>2025 Nationals</v>
      </c>
      <c r="N8" s="7">
        <f>IF(J8=AO8,IF(COUNT(AQ8,AS8,BO8,BQ8,BU8,BW8)&gt;1,LARGE((AQ8,AS8,BO8,BQ8,BU8,BW8),2),0),IF(COUNT(AK8,AM8,AQ8,AS8,BU8,BW8)&gt;1,LARGE((AK8,AM8,AQ8,AS8,BU8,BW8),2),0))</f>
        <v>23.400000000000002</v>
      </c>
      <c r="O8" s="7" t="str">
        <f t="shared" si="8"/>
        <v>2025 Nationals</v>
      </c>
      <c r="P8" s="7" t="str">
        <f t="shared" si="9"/>
        <v/>
      </c>
      <c r="Q8" s="10" t="str">
        <f t="shared" si="10"/>
        <v/>
      </c>
      <c r="R8" s="7" t="str">
        <f t="shared" si="11"/>
        <v/>
      </c>
      <c r="S8" s="39">
        <v>16.600000000000001</v>
      </c>
      <c r="T8" s="39">
        <v>6.1</v>
      </c>
      <c r="U8" s="39">
        <v>0</v>
      </c>
      <c r="V8" s="39">
        <v>0.7</v>
      </c>
      <c r="W8" s="39">
        <v>17.100000000000001</v>
      </c>
      <c r="X8" s="39">
        <v>2.1</v>
      </c>
      <c r="Y8" s="39">
        <v>3</v>
      </c>
      <c r="Z8" s="39">
        <v>0</v>
      </c>
      <c r="AA8" s="39">
        <v>16.899999999999999</v>
      </c>
      <c r="AB8" s="39">
        <v>6.1</v>
      </c>
      <c r="AC8" s="39">
        <v>0</v>
      </c>
      <c r="AD8" s="39">
        <v>0.7</v>
      </c>
      <c r="AE8" s="39">
        <v>17.5</v>
      </c>
      <c r="AF8" s="39">
        <v>2.1</v>
      </c>
      <c r="AG8" s="39">
        <v>1.2</v>
      </c>
      <c r="AH8" s="39">
        <v>0</v>
      </c>
      <c r="AI8" s="19"/>
      <c r="AJ8" s="42">
        <f t="shared" si="12"/>
        <v>6.1</v>
      </c>
      <c r="AK8" s="42">
        <f t="shared" si="13"/>
        <v>23.400000000000002</v>
      </c>
      <c r="AL8" s="42">
        <f t="shared" si="14"/>
        <v>2.1</v>
      </c>
      <c r="AM8" s="42">
        <f t="shared" si="15"/>
        <v>16.200000000000003</v>
      </c>
      <c r="AN8" s="27">
        <f t="shared" si="16"/>
        <v>8.1999999999999993</v>
      </c>
      <c r="AO8" s="27">
        <f t="shared" si="17"/>
        <v>39.600000000000009</v>
      </c>
      <c r="AP8" s="27">
        <f t="shared" si="18"/>
        <v>6.1</v>
      </c>
      <c r="AQ8" s="27">
        <f t="shared" si="19"/>
        <v>23.7</v>
      </c>
      <c r="AR8" s="27">
        <f t="shared" si="20"/>
        <v>2.1</v>
      </c>
      <c r="AS8" s="27">
        <f t="shared" si="21"/>
        <v>18.400000000000002</v>
      </c>
      <c r="AT8" s="27">
        <f t="shared" si="22"/>
        <v>8.1999999999999993</v>
      </c>
      <c r="AU8" s="27">
        <f t="shared" si="23"/>
        <v>42.1</v>
      </c>
      <c r="AV8" s="27">
        <f t="shared" si="24"/>
        <v>81.700000000000017</v>
      </c>
      <c r="AW8" s="15">
        <v>15.9</v>
      </c>
      <c r="AX8" s="15">
        <v>6.1</v>
      </c>
      <c r="AY8" s="15">
        <v>0</v>
      </c>
      <c r="AZ8" s="15">
        <v>0.7</v>
      </c>
      <c r="BA8" s="15">
        <v>15.6</v>
      </c>
      <c r="BB8" s="15">
        <v>4.2</v>
      </c>
      <c r="BC8" s="15">
        <v>0</v>
      </c>
      <c r="BD8" s="15">
        <v>0.7</v>
      </c>
      <c r="BE8" s="15">
        <v>16.3</v>
      </c>
      <c r="BF8" s="15">
        <v>6.1</v>
      </c>
      <c r="BG8" s="15">
        <v>0</v>
      </c>
      <c r="BH8" s="15">
        <v>0.7</v>
      </c>
      <c r="BI8" s="15">
        <v>13.5</v>
      </c>
      <c r="BJ8" s="15">
        <v>3.9</v>
      </c>
      <c r="BK8" s="15">
        <v>0</v>
      </c>
      <c r="BL8" s="15">
        <v>0.7</v>
      </c>
      <c r="BM8" s="20"/>
      <c r="BN8" s="43">
        <f t="shared" si="25"/>
        <v>6.1</v>
      </c>
      <c r="BO8" s="43">
        <f t="shared" si="26"/>
        <v>22.7</v>
      </c>
      <c r="BP8" s="43">
        <f t="shared" si="27"/>
        <v>4.2</v>
      </c>
      <c r="BQ8" s="43">
        <f t="shared" si="28"/>
        <v>20.5</v>
      </c>
      <c r="BR8" s="10">
        <f t="shared" si="29"/>
        <v>10.3</v>
      </c>
      <c r="BS8" s="10">
        <f t="shared" si="30"/>
        <v>43.2</v>
      </c>
      <c r="BT8" s="10">
        <f t="shared" si="31"/>
        <v>6.1</v>
      </c>
      <c r="BU8" s="10">
        <f t="shared" si="32"/>
        <v>23.099999999999998</v>
      </c>
      <c r="BV8" s="10">
        <f t="shared" si="33"/>
        <v>3.9</v>
      </c>
      <c r="BW8" s="10">
        <f t="shared" si="34"/>
        <v>18.099999999999998</v>
      </c>
      <c r="BX8" s="10">
        <f t="shared" si="35"/>
        <v>10</v>
      </c>
      <c r="BY8" s="10">
        <f t="shared" si="36"/>
        <v>41.199999999999996</v>
      </c>
      <c r="BZ8" s="10">
        <f t="shared" si="37"/>
        <v>84.4</v>
      </c>
      <c r="CA8" s="34" t="str">
        <f t="shared" si="38"/>
        <v/>
      </c>
      <c r="CB8" s="34" t="str">
        <f t="shared" si="39"/>
        <v/>
      </c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27" t="str">
        <f t="shared" si="40"/>
        <v/>
      </c>
      <c r="CX8" s="27" t="str">
        <f t="shared" si="41"/>
        <v/>
      </c>
      <c r="CY8" s="27" t="str">
        <f t="shared" si="42"/>
        <v/>
      </c>
      <c r="CZ8" s="27" t="str">
        <f t="shared" si="43"/>
        <v/>
      </c>
      <c r="DA8" s="27" t="str">
        <f t="shared" si="44"/>
        <v/>
      </c>
      <c r="DB8" s="27" t="str">
        <f t="shared" si="45"/>
        <v/>
      </c>
      <c r="DC8" s="27" t="str">
        <f t="shared" si="46"/>
        <v/>
      </c>
      <c r="DD8" s="27" t="str">
        <f t="shared" si="47"/>
        <v/>
      </c>
      <c r="DE8" s="27" t="str">
        <f t="shared" si="48"/>
        <v/>
      </c>
      <c r="DF8" s="27" t="str">
        <f t="shared" si="49"/>
        <v/>
      </c>
      <c r="DG8" s="27" t="str">
        <f t="shared" si="50"/>
        <v/>
      </c>
      <c r="DH8" s="27" t="str">
        <f t="shared" si="51"/>
        <v/>
      </c>
      <c r="DI8" s="27" t="str">
        <f t="shared" si="52"/>
        <v/>
      </c>
      <c r="DJ8" s="27" t="str">
        <f t="shared" si="53"/>
        <v/>
      </c>
      <c r="DK8" s="27" t="str">
        <f t="shared" si="54"/>
        <v/>
      </c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0" t="str">
        <f t="shared" si="55"/>
        <v/>
      </c>
      <c r="EG8" s="10" t="str">
        <f t="shared" si="56"/>
        <v/>
      </c>
      <c r="EH8" s="10" t="str">
        <f t="shared" si="57"/>
        <v/>
      </c>
      <c r="EI8" s="10" t="str">
        <f t="shared" si="58"/>
        <v/>
      </c>
      <c r="EJ8" s="10" t="str">
        <f t="shared" si="59"/>
        <v/>
      </c>
      <c r="EK8" s="10" t="str">
        <f t="shared" si="60"/>
        <v/>
      </c>
      <c r="EL8" s="10" t="str">
        <f t="shared" si="61"/>
        <v/>
      </c>
      <c r="EM8" s="10" t="str">
        <f t="shared" si="62"/>
        <v/>
      </c>
      <c r="EN8" s="10" t="str">
        <f t="shared" si="63"/>
        <v/>
      </c>
      <c r="EO8" s="10" t="str">
        <f t="shared" si="64"/>
        <v/>
      </c>
      <c r="EP8" s="10" t="str">
        <f t="shared" si="65"/>
        <v/>
      </c>
      <c r="EQ8" s="10" t="str">
        <f t="shared" si="66"/>
        <v/>
      </c>
      <c r="ER8" s="10" t="str">
        <f t="shared" si="67"/>
        <v/>
      </c>
      <c r="ES8" s="10" t="str">
        <f t="shared" si="68"/>
        <v/>
      </c>
      <c r="ET8" s="10" t="str">
        <f t="shared" si="69"/>
        <v/>
      </c>
      <c r="EU8" s="44">
        <f t="shared" si="70"/>
        <v>16.25</v>
      </c>
      <c r="EV8" s="44">
        <f t="shared" si="71"/>
        <v>6.1</v>
      </c>
      <c r="EW8" s="44">
        <f t="shared" si="72"/>
        <v>0</v>
      </c>
      <c r="EX8" s="44">
        <f t="shared" si="73"/>
        <v>0.7</v>
      </c>
      <c r="EY8" s="44">
        <f t="shared" si="74"/>
        <v>16.350000000000001</v>
      </c>
      <c r="EZ8" s="44">
        <f t="shared" si="75"/>
        <v>3.1500000000000004</v>
      </c>
      <c r="FA8" s="44">
        <f t="shared" si="76"/>
        <v>1.5</v>
      </c>
      <c r="FB8" s="44">
        <f t="shared" si="77"/>
        <v>0.35</v>
      </c>
      <c r="FC8" s="44">
        <f t="shared" si="78"/>
        <v>16.600000000000001</v>
      </c>
      <c r="FD8" s="44">
        <f t="shared" si="79"/>
        <v>6.1</v>
      </c>
      <c r="FE8" s="44">
        <f t="shared" si="80"/>
        <v>0</v>
      </c>
      <c r="FF8" s="44">
        <f t="shared" si="81"/>
        <v>0.7</v>
      </c>
      <c r="FG8" s="44">
        <f t="shared" si="82"/>
        <v>15.5</v>
      </c>
      <c r="FH8" s="44">
        <f t="shared" si="83"/>
        <v>3</v>
      </c>
      <c r="FI8" s="44">
        <f t="shared" si="84"/>
        <v>0.6</v>
      </c>
      <c r="FJ8" s="44">
        <f t="shared" si="85"/>
        <v>0.35</v>
      </c>
      <c r="FK8" s="20" t="s">
        <v>29</v>
      </c>
      <c r="FL8" s="10">
        <f t="shared" si="86"/>
        <v>6.1</v>
      </c>
      <c r="FM8" s="10">
        <f t="shared" si="87"/>
        <v>23.05</v>
      </c>
      <c r="FN8" s="10">
        <f t="shared" si="88"/>
        <v>3.1500000000000004</v>
      </c>
      <c r="FO8" s="10">
        <f t="shared" si="89"/>
        <v>18.350000000000001</v>
      </c>
      <c r="FP8" s="10">
        <f t="shared" si="90"/>
        <v>9.25</v>
      </c>
      <c r="FQ8" s="10">
        <f t="shared" si="93"/>
        <v>41.400000000000006</v>
      </c>
      <c r="FR8" s="10">
        <f t="shared" si="94"/>
        <v>6.1</v>
      </c>
      <c r="FS8" s="10">
        <f t="shared" si="95"/>
        <v>23.400000000000002</v>
      </c>
      <c r="FT8" s="10">
        <f t="shared" si="96"/>
        <v>3</v>
      </c>
      <c r="FU8" s="10">
        <f t="shared" si="97"/>
        <v>18.25</v>
      </c>
      <c r="FV8" s="10">
        <f t="shared" si="98"/>
        <v>9.1</v>
      </c>
      <c r="FW8" s="10">
        <f t="shared" si="91"/>
        <v>41.650000000000006</v>
      </c>
      <c r="FX8" s="10">
        <f t="shared" si="92"/>
        <v>83.050000000000011</v>
      </c>
    </row>
    <row r="9" spans="1:180" x14ac:dyDescent="0.2">
      <c r="A9" s="3" t="str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/>
      </c>
      <c r="B9" s="4" t="s">
        <v>109</v>
      </c>
      <c r="C9" s="3" t="s">
        <v>3</v>
      </c>
      <c r="D9" s="3">
        <v>2008</v>
      </c>
      <c r="E9" s="8">
        <f t="shared" si="0"/>
        <v>85.300006350004153</v>
      </c>
      <c r="F9" s="2" t="str">
        <f t="shared" si="1"/>
        <v/>
      </c>
      <c r="G9" s="2" t="str">
        <f t="shared" si="2"/>
        <v/>
      </c>
      <c r="H9" s="26" t="str">
        <f t="shared" si="3"/>
        <v/>
      </c>
      <c r="I9" s="2" t="str">
        <f t="shared" si="4"/>
        <v/>
      </c>
      <c r="J9" s="7">
        <f t="shared" si="5"/>
        <v>41.5</v>
      </c>
      <c r="K9" s="7" t="str">
        <f t="shared" si="6"/>
        <v>2025 3rd Domestic Trial</v>
      </c>
      <c r="L9" s="7">
        <f>IF(J9=AO9,IF(COUNT(AQ9,AS9,BO9,BQ9,BU9,BW9)&gt;1,LARGE((AQ9,AS9,BO9,BQ9,BU9,BW9),1),0),IF(COUNT(AK9,AM9,AQ9,AS9,BU9,BW9)&gt;1,LARGE((AK9,AM9,AQ9,AS9,BU9,BW9),1),0))</f>
        <v>22</v>
      </c>
      <c r="M9" s="7" t="str">
        <f t="shared" si="7"/>
        <v>2025 Nationals</v>
      </c>
      <c r="N9" s="7">
        <f>IF(J9=AO9,IF(COUNT(AQ9,AS9,BO9,BQ9,BU9,BW9)&gt;1,LARGE((AQ9,AS9,BO9,BQ9,BU9,BW9),2),0),IF(COUNT(AK9,AM9,AQ9,AS9,BU9,BW9)&gt;1,LARGE((AK9,AM9,AQ9,AS9,BU9,BW9),2),0))</f>
        <v>21.799999999999997</v>
      </c>
      <c r="O9" s="7" t="str">
        <f t="shared" si="8"/>
        <v>2025 3rd Domestic Trial</v>
      </c>
      <c r="P9" s="7" t="str">
        <f t="shared" si="9"/>
        <v/>
      </c>
      <c r="Q9" s="10" t="str">
        <f t="shared" si="10"/>
        <v/>
      </c>
      <c r="R9" s="7" t="str">
        <f t="shared" si="11"/>
        <v/>
      </c>
      <c r="S9" s="39">
        <v>15.4</v>
      </c>
      <c r="T9" s="39">
        <v>1.9</v>
      </c>
      <c r="U9" s="39">
        <v>0</v>
      </c>
      <c r="V9" s="39">
        <v>0</v>
      </c>
      <c r="W9" s="39">
        <v>16.7</v>
      </c>
      <c r="X9" s="39">
        <v>4.3</v>
      </c>
      <c r="Y9" s="39">
        <v>0</v>
      </c>
      <c r="Z9" s="39">
        <v>0.7</v>
      </c>
      <c r="AA9" s="39">
        <v>15.6</v>
      </c>
      <c r="AB9" s="39">
        <v>1.9</v>
      </c>
      <c r="AC9" s="39">
        <v>0</v>
      </c>
      <c r="AD9" s="39">
        <v>0</v>
      </c>
      <c r="AE9" s="39">
        <v>17.7</v>
      </c>
      <c r="AF9" s="39">
        <v>3.6</v>
      </c>
      <c r="AG9" s="39">
        <v>0</v>
      </c>
      <c r="AH9" s="39">
        <v>0.7</v>
      </c>
      <c r="AI9" s="19"/>
      <c r="AJ9" s="42">
        <f t="shared" si="12"/>
        <v>1.9</v>
      </c>
      <c r="AK9" s="42">
        <f t="shared" si="13"/>
        <v>17.3</v>
      </c>
      <c r="AL9" s="42">
        <f t="shared" si="14"/>
        <v>4.3</v>
      </c>
      <c r="AM9" s="42">
        <f t="shared" si="15"/>
        <v>21.7</v>
      </c>
      <c r="AN9" s="27">
        <f t="shared" si="16"/>
        <v>6.1999999999999993</v>
      </c>
      <c r="AO9" s="27">
        <f t="shared" si="17"/>
        <v>39</v>
      </c>
      <c r="AP9" s="27">
        <f t="shared" si="18"/>
        <v>1.9</v>
      </c>
      <c r="AQ9" s="27">
        <f t="shared" si="19"/>
        <v>17.5</v>
      </c>
      <c r="AR9" s="27">
        <f t="shared" si="20"/>
        <v>3.6</v>
      </c>
      <c r="AS9" s="27">
        <f t="shared" si="21"/>
        <v>22</v>
      </c>
      <c r="AT9" s="27">
        <f t="shared" si="22"/>
        <v>5.5</v>
      </c>
      <c r="AU9" s="27">
        <f t="shared" si="23"/>
        <v>39.5</v>
      </c>
      <c r="AV9" s="27">
        <f t="shared" si="24"/>
        <v>78.5</v>
      </c>
      <c r="AW9" s="15">
        <v>15.899999999999999</v>
      </c>
      <c r="AX9" s="15">
        <v>3.0999999999999996</v>
      </c>
      <c r="AY9" s="15">
        <v>0.1</v>
      </c>
      <c r="AZ9" s="15">
        <v>0.35</v>
      </c>
      <c r="BA9" s="15">
        <v>17.149999999999999</v>
      </c>
      <c r="BB9" s="15">
        <v>4.4000000000000004</v>
      </c>
      <c r="BC9" s="15">
        <v>0</v>
      </c>
      <c r="BD9" s="15">
        <v>0.7</v>
      </c>
      <c r="BE9" s="15">
        <v>16.649999999999999</v>
      </c>
      <c r="BF9" s="15">
        <v>3.2</v>
      </c>
      <c r="BG9" s="15">
        <v>0</v>
      </c>
      <c r="BH9" s="15">
        <v>0.35</v>
      </c>
      <c r="BI9" s="15">
        <v>17.25</v>
      </c>
      <c r="BJ9" s="15">
        <v>3.95</v>
      </c>
      <c r="BK9" s="15">
        <v>0.1</v>
      </c>
      <c r="BL9" s="15">
        <v>0.7</v>
      </c>
      <c r="BM9" s="20" t="s">
        <v>29</v>
      </c>
      <c r="BN9" s="43">
        <f t="shared" si="25"/>
        <v>3.0999999999999996</v>
      </c>
      <c r="BO9" s="43">
        <f t="shared" si="26"/>
        <v>19.25</v>
      </c>
      <c r="BP9" s="43">
        <f t="shared" si="27"/>
        <v>4.4000000000000004</v>
      </c>
      <c r="BQ9" s="43">
        <f t="shared" si="28"/>
        <v>22.249999999999996</v>
      </c>
      <c r="BR9" s="10">
        <f t="shared" si="29"/>
        <v>7.5</v>
      </c>
      <c r="BS9" s="10">
        <f t="shared" si="30"/>
        <v>41.5</v>
      </c>
      <c r="BT9" s="10">
        <f t="shared" si="31"/>
        <v>3.2</v>
      </c>
      <c r="BU9" s="10">
        <f t="shared" si="32"/>
        <v>20.2</v>
      </c>
      <c r="BV9" s="10">
        <f t="shared" si="33"/>
        <v>3.95</v>
      </c>
      <c r="BW9" s="10">
        <f t="shared" si="34"/>
        <v>21.799999999999997</v>
      </c>
      <c r="BX9" s="10">
        <f t="shared" si="35"/>
        <v>7.15</v>
      </c>
      <c r="BY9" s="10">
        <f t="shared" si="36"/>
        <v>42</v>
      </c>
      <c r="BZ9" s="10">
        <f t="shared" si="37"/>
        <v>83.5</v>
      </c>
      <c r="CA9" s="34" t="str">
        <f t="shared" si="38"/>
        <v/>
      </c>
      <c r="CB9" s="34" t="str">
        <f t="shared" si="39"/>
        <v/>
      </c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27" t="str">
        <f t="shared" si="40"/>
        <v/>
      </c>
      <c r="CX9" s="27" t="str">
        <f t="shared" si="41"/>
        <v/>
      </c>
      <c r="CY9" s="27" t="str">
        <f t="shared" si="42"/>
        <v/>
      </c>
      <c r="CZ9" s="27" t="str">
        <f t="shared" si="43"/>
        <v/>
      </c>
      <c r="DA9" s="27" t="str">
        <f t="shared" si="44"/>
        <v/>
      </c>
      <c r="DB9" s="27" t="str">
        <f t="shared" si="45"/>
        <v/>
      </c>
      <c r="DC9" s="27" t="str">
        <f t="shared" si="46"/>
        <v/>
      </c>
      <c r="DD9" s="27" t="str">
        <f t="shared" si="47"/>
        <v/>
      </c>
      <c r="DE9" s="27" t="str">
        <f t="shared" si="48"/>
        <v/>
      </c>
      <c r="DF9" s="27" t="str">
        <f t="shared" si="49"/>
        <v/>
      </c>
      <c r="DG9" s="27" t="str">
        <f t="shared" si="50"/>
        <v/>
      </c>
      <c r="DH9" s="27" t="str">
        <f t="shared" si="51"/>
        <v/>
      </c>
      <c r="DI9" s="27" t="str">
        <f t="shared" si="52"/>
        <v/>
      </c>
      <c r="DJ9" s="27" t="str">
        <f t="shared" si="53"/>
        <v/>
      </c>
      <c r="DK9" s="27" t="str">
        <f t="shared" si="54"/>
        <v/>
      </c>
      <c r="DL9" s="15">
        <v>15.5</v>
      </c>
      <c r="DM9" s="15">
        <v>3.9</v>
      </c>
      <c r="DN9" s="15">
        <v>0.2</v>
      </c>
      <c r="DO9" s="15">
        <v>0</v>
      </c>
      <c r="DP9" s="15">
        <v>16.8</v>
      </c>
      <c r="DQ9" s="15">
        <v>4.3</v>
      </c>
      <c r="DR9" s="15">
        <v>0</v>
      </c>
      <c r="DS9" s="15">
        <v>0</v>
      </c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0">
        <f t="shared" si="55"/>
        <v>3.9</v>
      </c>
      <c r="EG9" s="10">
        <f t="shared" si="56"/>
        <v>19.2</v>
      </c>
      <c r="EH9" s="10">
        <f t="shared" si="57"/>
        <v>4.3</v>
      </c>
      <c r="EI9" s="10">
        <f t="shared" si="58"/>
        <v>21.1</v>
      </c>
      <c r="EJ9" s="10">
        <f t="shared" si="59"/>
        <v>8.1999999999999993</v>
      </c>
      <c r="EK9" s="10">
        <f t="shared" si="60"/>
        <v>40.299999999999997</v>
      </c>
      <c r="EL9" s="10" t="str">
        <f t="shared" si="61"/>
        <v/>
      </c>
      <c r="EM9" s="10" t="str">
        <f t="shared" si="62"/>
        <v/>
      </c>
      <c r="EN9" s="10" t="str">
        <f t="shared" si="63"/>
        <v/>
      </c>
      <c r="EO9" s="10" t="str">
        <f t="shared" si="64"/>
        <v/>
      </c>
      <c r="EP9" s="10" t="str">
        <f t="shared" si="65"/>
        <v/>
      </c>
      <c r="EQ9" s="10" t="str">
        <f t="shared" si="66"/>
        <v/>
      </c>
      <c r="ER9" s="10" t="str">
        <f t="shared" si="67"/>
        <v/>
      </c>
      <c r="ES9" s="10" t="str">
        <f t="shared" si="68"/>
        <v/>
      </c>
      <c r="ET9" s="10">
        <f t="shared" si="69"/>
        <v>40.299999999999997</v>
      </c>
      <c r="EU9" s="44">
        <f t="shared" si="70"/>
        <v>12.719999999999999</v>
      </c>
      <c r="EV9" s="44">
        <f t="shared" si="71"/>
        <v>2.5</v>
      </c>
      <c r="EW9" s="44">
        <f t="shared" si="72"/>
        <v>0.05</v>
      </c>
      <c r="EX9" s="44">
        <f t="shared" si="73"/>
        <v>0.17499999999999999</v>
      </c>
      <c r="EY9" s="44">
        <f t="shared" si="74"/>
        <v>16.924999999999997</v>
      </c>
      <c r="EZ9" s="44">
        <f t="shared" si="75"/>
        <v>4.3499999999999996</v>
      </c>
      <c r="FA9" s="44">
        <f t="shared" si="76"/>
        <v>0</v>
      </c>
      <c r="FB9" s="44">
        <f t="shared" si="77"/>
        <v>0.7</v>
      </c>
      <c r="FC9" s="44">
        <f t="shared" si="78"/>
        <v>16.125</v>
      </c>
      <c r="FD9" s="44">
        <f t="shared" si="79"/>
        <v>2.5499999999999998</v>
      </c>
      <c r="FE9" s="44">
        <f t="shared" si="80"/>
        <v>0</v>
      </c>
      <c r="FF9" s="44">
        <f t="shared" si="81"/>
        <v>0.17499999999999999</v>
      </c>
      <c r="FG9" s="44">
        <f t="shared" si="82"/>
        <v>17.475000000000001</v>
      </c>
      <c r="FH9" s="44">
        <f t="shared" si="83"/>
        <v>3.7750000000000004</v>
      </c>
      <c r="FI9" s="44">
        <f t="shared" si="84"/>
        <v>0.05</v>
      </c>
      <c r="FJ9" s="44">
        <f t="shared" si="85"/>
        <v>0.7</v>
      </c>
      <c r="FK9" s="20" t="s">
        <v>29</v>
      </c>
      <c r="FL9" s="10">
        <f t="shared" si="86"/>
        <v>2.5</v>
      </c>
      <c r="FM9" s="10">
        <f t="shared" si="87"/>
        <v>15.344999999999999</v>
      </c>
      <c r="FN9" s="10">
        <f t="shared" si="88"/>
        <v>4.3499999999999996</v>
      </c>
      <c r="FO9" s="10">
        <f t="shared" si="89"/>
        <v>21.974999999999998</v>
      </c>
      <c r="FP9" s="10">
        <f t="shared" si="90"/>
        <v>6.85</v>
      </c>
      <c r="FQ9" s="10">
        <f t="shared" si="93"/>
        <v>37.319999999999993</v>
      </c>
      <c r="FR9" s="10">
        <f t="shared" si="94"/>
        <v>2.5499999999999998</v>
      </c>
      <c r="FS9" s="10">
        <f t="shared" si="95"/>
        <v>18.850000000000001</v>
      </c>
      <c r="FT9" s="10">
        <f t="shared" si="96"/>
        <v>3.7750000000000004</v>
      </c>
      <c r="FU9" s="10">
        <f t="shared" si="97"/>
        <v>21.9</v>
      </c>
      <c r="FV9" s="10">
        <f t="shared" si="98"/>
        <v>6.3250000000000002</v>
      </c>
      <c r="FW9" s="10">
        <f t="shared" si="91"/>
        <v>40.75</v>
      </c>
      <c r="FX9" s="10">
        <f t="shared" si="92"/>
        <v>78.069999999999993</v>
      </c>
    </row>
    <row r="10" spans="1:180" x14ac:dyDescent="0.2">
      <c r="A10" s="3" t="str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/>
      </c>
      <c r="B10" s="4" t="s">
        <v>113</v>
      </c>
      <c r="C10" s="3" t="s">
        <v>6</v>
      </c>
      <c r="D10" s="3">
        <v>2003</v>
      </c>
      <c r="E10" s="8">
        <f t="shared" si="0"/>
        <v>84.700006360004224</v>
      </c>
      <c r="F10" s="2" t="str">
        <f t="shared" si="1"/>
        <v/>
      </c>
      <c r="G10" s="2" t="str">
        <f t="shared" si="2"/>
        <v/>
      </c>
      <c r="H10" s="26" t="str">
        <f t="shared" si="3"/>
        <v/>
      </c>
      <c r="I10" s="2" t="str">
        <f t="shared" si="4"/>
        <v/>
      </c>
      <c r="J10" s="7">
        <f t="shared" si="5"/>
        <v>42.3</v>
      </c>
      <c r="K10" s="7" t="str">
        <f t="shared" si="6"/>
        <v>2025 Nationals</v>
      </c>
      <c r="L10" s="7">
        <f>IF(J10=AO10,IF(COUNT(AQ10,AS10,BO10,BQ10,BU10,BW10)&gt;1,LARGE((AQ10,AS10,BO10,BQ10,BU10,BW10),1),0),IF(COUNT(AK10,AM10,AQ10,AS10,BU10,BW10)&gt;1,LARGE((AK10,AM10,AQ10,AS10,BU10,BW10),1),0))</f>
        <v>21.3</v>
      </c>
      <c r="M10" s="7" t="str">
        <f t="shared" si="7"/>
        <v>2025 Nationals</v>
      </c>
      <c r="N10" s="7">
        <f>IF(J10=AO10,IF(COUNT(AQ10,AS10,BO10,BQ10,BU10,BW10)&gt;1,LARGE((AQ10,AS10,BO10,BQ10,BU10,BW10),2),0),IF(COUNT(AK10,AM10,AQ10,AS10,BU10,BW10)&gt;1,LARGE((AK10,AM10,AQ10,AS10,BU10,BW10),2),0))</f>
        <v>21.1</v>
      </c>
      <c r="O10" s="7" t="str">
        <f t="shared" si="8"/>
        <v>2025 Nationals</v>
      </c>
      <c r="P10" s="7" t="str">
        <f t="shared" si="9"/>
        <v/>
      </c>
      <c r="Q10" s="10" t="str">
        <f t="shared" si="10"/>
        <v/>
      </c>
      <c r="R10" s="7" t="str">
        <f t="shared" si="11"/>
        <v/>
      </c>
      <c r="S10" s="39">
        <v>16.899999999999999</v>
      </c>
      <c r="T10" s="39">
        <v>4.0999999999999996</v>
      </c>
      <c r="U10" s="39">
        <v>0</v>
      </c>
      <c r="V10" s="39">
        <v>0</v>
      </c>
      <c r="W10" s="39">
        <v>16.7</v>
      </c>
      <c r="X10" s="39">
        <v>4.5999999999999996</v>
      </c>
      <c r="Y10" s="39">
        <v>0</v>
      </c>
      <c r="Z10" s="39">
        <v>0</v>
      </c>
      <c r="AA10" s="39">
        <v>16.5</v>
      </c>
      <c r="AB10" s="39">
        <v>4.8</v>
      </c>
      <c r="AC10" s="39">
        <v>0</v>
      </c>
      <c r="AD10" s="39">
        <v>0</v>
      </c>
      <c r="AE10" s="39">
        <v>16.5</v>
      </c>
      <c r="AF10" s="39">
        <v>4.5999999999999996</v>
      </c>
      <c r="AG10" s="39">
        <v>0</v>
      </c>
      <c r="AH10" s="39">
        <v>0</v>
      </c>
      <c r="AI10" s="19"/>
      <c r="AJ10" s="42">
        <f t="shared" si="12"/>
        <v>4.0999999999999996</v>
      </c>
      <c r="AK10" s="42">
        <f t="shared" si="13"/>
        <v>21</v>
      </c>
      <c r="AL10" s="42">
        <f t="shared" si="14"/>
        <v>4.5999999999999996</v>
      </c>
      <c r="AM10" s="42">
        <f t="shared" si="15"/>
        <v>21.299999999999997</v>
      </c>
      <c r="AN10" s="27">
        <f t="shared" si="16"/>
        <v>8.6999999999999993</v>
      </c>
      <c r="AO10" s="27">
        <f t="shared" si="17"/>
        <v>42.3</v>
      </c>
      <c r="AP10" s="27">
        <f t="shared" si="18"/>
        <v>4.8</v>
      </c>
      <c r="AQ10" s="27">
        <f t="shared" si="19"/>
        <v>21.3</v>
      </c>
      <c r="AR10" s="27">
        <f t="shared" si="20"/>
        <v>4.5999999999999996</v>
      </c>
      <c r="AS10" s="27">
        <f t="shared" si="21"/>
        <v>21.1</v>
      </c>
      <c r="AT10" s="27">
        <f t="shared" si="22"/>
        <v>9.3999999999999986</v>
      </c>
      <c r="AU10" s="27">
        <f t="shared" si="23"/>
        <v>42.400000000000006</v>
      </c>
      <c r="AV10" s="27">
        <f t="shared" si="24"/>
        <v>84.7</v>
      </c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20"/>
      <c r="BN10" s="43" t="str">
        <f t="shared" si="25"/>
        <v/>
      </c>
      <c r="BO10" s="43" t="str">
        <f t="shared" si="26"/>
        <v/>
      </c>
      <c r="BP10" s="43" t="str">
        <f t="shared" si="27"/>
        <v/>
      </c>
      <c r="BQ10" s="43" t="str">
        <f t="shared" si="28"/>
        <v/>
      </c>
      <c r="BR10" s="10" t="str">
        <f t="shared" si="29"/>
        <v/>
      </c>
      <c r="BS10" s="10" t="str">
        <f t="shared" si="30"/>
        <v/>
      </c>
      <c r="BT10" s="10" t="str">
        <f t="shared" si="31"/>
        <v/>
      </c>
      <c r="BU10" s="10" t="str">
        <f t="shared" si="32"/>
        <v/>
      </c>
      <c r="BV10" s="10" t="str">
        <f t="shared" si="33"/>
        <v/>
      </c>
      <c r="BW10" s="10" t="str">
        <f t="shared" si="34"/>
        <v/>
      </c>
      <c r="BX10" s="10" t="str">
        <f t="shared" si="35"/>
        <v/>
      </c>
      <c r="BY10" s="10" t="str">
        <f t="shared" si="36"/>
        <v/>
      </c>
      <c r="BZ10" s="10" t="str">
        <f t="shared" si="37"/>
        <v/>
      </c>
      <c r="CA10" s="34" t="str">
        <f t="shared" si="38"/>
        <v/>
      </c>
      <c r="CB10" s="34" t="str">
        <f t="shared" si="39"/>
        <v/>
      </c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27" t="str">
        <f t="shared" si="40"/>
        <v/>
      </c>
      <c r="CX10" s="27" t="str">
        <f t="shared" si="41"/>
        <v/>
      </c>
      <c r="CY10" s="27" t="str">
        <f t="shared" si="42"/>
        <v/>
      </c>
      <c r="CZ10" s="27" t="str">
        <f t="shared" si="43"/>
        <v/>
      </c>
      <c r="DA10" s="27" t="str">
        <f t="shared" si="44"/>
        <v/>
      </c>
      <c r="DB10" s="27" t="str">
        <f t="shared" si="45"/>
        <v/>
      </c>
      <c r="DC10" s="27" t="str">
        <f t="shared" si="46"/>
        <v/>
      </c>
      <c r="DD10" s="27" t="str">
        <f t="shared" si="47"/>
        <v/>
      </c>
      <c r="DE10" s="27" t="str">
        <f t="shared" si="48"/>
        <v/>
      </c>
      <c r="DF10" s="27" t="str">
        <f t="shared" si="49"/>
        <v/>
      </c>
      <c r="DG10" s="27" t="str">
        <f t="shared" si="50"/>
        <v/>
      </c>
      <c r="DH10" s="27" t="str">
        <f t="shared" si="51"/>
        <v/>
      </c>
      <c r="DI10" s="27" t="str">
        <f t="shared" si="52"/>
        <v/>
      </c>
      <c r="DJ10" s="27" t="str">
        <f t="shared" si="53"/>
        <v/>
      </c>
      <c r="DK10" s="27" t="str">
        <f t="shared" si="54"/>
        <v/>
      </c>
      <c r="DL10" s="15">
        <v>16.600000000000001</v>
      </c>
      <c r="DM10" s="15">
        <v>4.0999999999999996</v>
      </c>
      <c r="DN10" s="15">
        <v>0</v>
      </c>
      <c r="DO10" s="15">
        <v>0</v>
      </c>
      <c r="DP10" s="15">
        <v>16.899999999999999</v>
      </c>
      <c r="DQ10" s="15">
        <v>3.9</v>
      </c>
      <c r="DR10" s="15">
        <v>0</v>
      </c>
      <c r="DS10" s="15">
        <v>0</v>
      </c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0">
        <f t="shared" si="55"/>
        <v>4.0999999999999996</v>
      </c>
      <c r="EG10" s="10">
        <f t="shared" si="56"/>
        <v>20.700000000000003</v>
      </c>
      <c r="EH10" s="10">
        <f t="shared" si="57"/>
        <v>3.9</v>
      </c>
      <c r="EI10" s="10">
        <f t="shared" si="58"/>
        <v>20.799999999999997</v>
      </c>
      <c r="EJ10" s="10">
        <f t="shared" si="59"/>
        <v>8</v>
      </c>
      <c r="EK10" s="10">
        <f t="shared" si="60"/>
        <v>41.5</v>
      </c>
      <c r="EL10" s="10" t="str">
        <f t="shared" si="61"/>
        <v/>
      </c>
      <c r="EM10" s="10" t="str">
        <f t="shared" si="62"/>
        <v/>
      </c>
      <c r="EN10" s="10" t="str">
        <f t="shared" si="63"/>
        <v/>
      </c>
      <c r="EO10" s="10" t="str">
        <f t="shared" si="64"/>
        <v/>
      </c>
      <c r="EP10" s="10" t="str">
        <f t="shared" si="65"/>
        <v/>
      </c>
      <c r="EQ10" s="10" t="str">
        <f t="shared" si="66"/>
        <v/>
      </c>
      <c r="ER10" s="10" t="str">
        <f t="shared" si="67"/>
        <v/>
      </c>
      <c r="ES10" s="10" t="str">
        <f t="shared" si="68"/>
        <v/>
      </c>
      <c r="ET10" s="10">
        <f t="shared" si="69"/>
        <v>41.5</v>
      </c>
      <c r="EU10" s="44">
        <f t="shared" si="70"/>
        <v>8.4499999999999993</v>
      </c>
      <c r="EV10" s="44">
        <f t="shared" si="71"/>
        <v>2.0499999999999998</v>
      </c>
      <c r="EW10" s="44">
        <f t="shared" si="72"/>
        <v>0</v>
      </c>
      <c r="EX10" s="44">
        <f t="shared" si="73"/>
        <v>0</v>
      </c>
      <c r="EY10" s="44">
        <f t="shared" si="74"/>
        <v>8.35</v>
      </c>
      <c r="EZ10" s="44">
        <f t="shared" si="75"/>
        <v>2.2999999999999998</v>
      </c>
      <c r="FA10" s="44">
        <f t="shared" si="76"/>
        <v>0</v>
      </c>
      <c r="FB10" s="44">
        <f t="shared" si="77"/>
        <v>0</v>
      </c>
      <c r="FC10" s="44">
        <f t="shared" si="78"/>
        <v>8.25</v>
      </c>
      <c r="FD10" s="44">
        <f t="shared" si="79"/>
        <v>2.4</v>
      </c>
      <c r="FE10" s="44">
        <f t="shared" si="80"/>
        <v>0</v>
      </c>
      <c r="FF10" s="44">
        <f t="shared" si="81"/>
        <v>0</v>
      </c>
      <c r="FG10" s="44">
        <f t="shared" si="82"/>
        <v>8.25</v>
      </c>
      <c r="FH10" s="44">
        <f t="shared" si="83"/>
        <v>2.2999999999999998</v>
      </c>
      <c r="FI10" s="44">
        <f t="shared" si="84"/>
        <v>0</v>
      </c>
      <c r="FJ10" s="44">
        <f t="shared" si="85"/>
        <v>0</v>
      </c>
      <c r="FK10" s="20" t="s">
        <v>29</v>
      </c>
      <c r="FL10" s="10">
        <f t="shared" si="86"/>
        <v>2.0499999999999998</v>
      </c>
      <c r="FM10" s="10">
        <f t="shared" si="87"/>
        <v>10.5</v>
      </c>
      <c r="FN10" s="10">
        <f t="shared" si="88"/>
        <v>2.2999999999999998</v>
      </c>
      <c r="FO10" s="10">
        <f t="shared" si="89"/>
        <v>10.649999999999999</v>
      </c>
      <c r="FP10" s="10">
        <f t="shared" si="90"/>
        <v>4.3499999999999996</v>
      </c>
      <c r="FQ10" s="10">
        <f t="shared" si="93"/>
        <v>21.15</v>
      </c>
      <c r="FR10" s="10">
        <f t="shared" si="94"/>
        <v>2.4</v>
      </c>
      <c r="FS10" s="10">
        <f t="shared" si="95"/>
        <v>10.65</v>
      </c>
      <c r="FT10" s="10">
        <f t="shared" si="96"/>
        <v>2.2999999999999998</v>
      </c>
      <c r="FU10" s="10">
        <f t="shared" si="97"/>
        <v>10.55</v>
      </c>
      <c r="FV10" s="10">
        <f t="shared" si="98"/>
        <v>4.6999999999999993</v>
      </c>
      <c r="FW10" s="10">
        <f t="shared" si="91"/>
        <v>21.200000000000003</v>
      </c>
      <c r="FX10" s="10">
        <f t="shared" si="92"/>
        <v>42.35</v>
      </c>
    </row>
    <row r="11" spans="1:180" x14ac:dyDescent="0.2">
      <c r="A11" s="3" t="str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/>
      </c>
      <c r="B11" s="4" t="s">
        <v>111</v>
      </c>
      <c r="C11" s="3" t="s">
        <v>4</v>
      </c>
      <c r="D11" s="3">
        <v>2002</v>
      </c>
      <c r="E11" s="8">
        <f t="shared" si="0"/>
        <v>83.900006260004105</v>
      </c>
      <c r="F11" s="2" t="str">
        <f t="shared" si="1"/>
        <v/>
      </c>
      <c r="G11" s="2" t="str">
        <f t="shared" si="2"/>
        <v/>
      </c>
      <c r="H11" s="26" t="str">
        <f t="shared" si="3"/>
        <v/>
      </c>
      <c r="I11" s="2" t="str">
        <f t="shared" si="4"/>
        <v/>
      </c>
      <c r="J11" s="7">
        <f t="shared" si="5"/>
        <v>41</v>
      </c>
      <c r="K11" s="7" t="str">
        <f t="shared" si="6"/>
        <v>2025 Nationals</v>
      </c>
      <c r="L11" s="7">
        <f>IF(J11=AO11,IF(COUNT(AQ11,AS11,BO11,BQ11,BU11,BW11)&gt;1,LARGE((AQ11,AS11,BO11,BQ11,BU11,BW11),1),0),IF(COUNT(AK11,AM11,AQ11,AS11,BU11,BW11)&gt;1,LARGE((AK11,AM11,AQ11,AS11,BU11,BW11),1),0))</f>
        <v>21.599999999999998</v>
      </c>
      <c r="M11" s="7" t="str">
        <f t="shared" si="7"/>
        <v>2025 Nationals</v>
      </c>
      <c r="N11" s="7">
        <f>IF(J11=AO11,IF(COUNT(AQ11,AS11,BO11,BQ11,BU11,BW11)&gt;1,LARGE((AQ11,AS11,BO11,BQ11,BU11,BW11),2),0),IF(COUNT(AK11,AM11,AQ11,AS11,BU11,BW11)&gt;1,LARGE((AK11,AM11,AQ11,AS11,BU11,BW11),2),0))</f>
        <v>21.3</v>
      </c>
      <c r="O11" s="7" t="str">
        <f t="shared" si="8"/>
        <v>2025 3rd Domestic Trial</v>
      </c>
      <c r="P11" s="7" t="str">
        <f t="shared" si="9"/>
        <v/>
      </c>
      <c r="Q11" s="10" t="str">
        <f t="shared" si="10"/>
        <v/>
      </c>
      <c r="R11" s="7" t="str">
        <f t="shared" si="11"/>
        <v/>
      </c>
      <c r="S11" s="39">
        <v>15.5</v>
      </c>
      <c r="T11" s="39">
        <v>3.4</v>
      </c>
      <c r="U11" s="39">
        <v>0.2</v>
      </c>
      <c r="V11" s="39">
        <v>0.7</v>
      </c>
      <c r="W11" s="39">
        <v>17.100000000000001</v>
      </c>
      <c r="X11" s="39">
        <v>3.8</v>
      </c>
      <c r="Y11" s="39">
        <v>0</v>
      </c>
      <c r="Z11" s="39">
        <v>0.7</v>
      </c>
      <c r="AA11" s="39">
        <v>14.8</v>
      </c>
      <c r="AB11" s="39">
        <v>6.1</v>
      </c>
      <c r="AC11" s="39">
        <v>0</v>
      </c>
      <c r="AD11" s="39">
        <v>0.7</v>
      </c>
      <c r="AE11" s="39">
        <v>16.100000000000001</v>
      </c>
      <c r="AF11" s="39">
        <v>1.2</v>
      </c>
      <c r="AG11" s="39">
        <v>0</v>
      </c>
      <c r="AH11" s="39">
        <v>0</v>
      </c>
      <c r="AI11" s="19"/>
      <c r="AJ11" s="42">
        <f t="shared" si="12"/>
        <v>3.4</v>
      </c>
      <c r="AK11" s="42">
        <f t="shared" si="13"/>
        <v>19.399999999999999</v>
      </c>
      <c r="AL11" s="42">
        <f t="shared" si="14"/>
        <v>3.8</v>
      </c>
      <c r="AM11" s="42">
        <f t="shared" si="15"/>
        <v>21.6</v>
      </c>
      <c r="AN11" s="27">
        <f t="shared" si="16"/>
        <v>7.1999999999999993</v>
      </c>
      <c r="AO11" s="27">
        <f t="shared" si="17"/>
        <v>41</v>
      </c>
      <c r="AP11" s="27">
        <f t="shared" si="18"/>
        <v>6.1</v>
      </c>
      <c r="AQ11" s="27">
        <f t="shared" si="19"/>
        <v>21.599999999999998</v>
      </c>
      <c r="AR11" s="27">
        <f t="shared" si="20"/>
        <v>1.2</v>
      </c>
      <c r="AS11" s="27">
        <f t="shared" si="21"/>
        <v>17.3</v>
      </c>
      <c r="AT11" s="27">
        <f t="shared" si="22"/>
        <v>7.3</v>
      </c>
      <c r="AU11" s="27">
        <f t="shared" si="23"/>
        <v>38.9</v>
      </c>
      <c r="AV11" s="27">
        <f t="shared" si="24"/>
        <v>79.900000000000006</v>
      </c>
      <c r="AW11" s="15">
        <v>16.600000000000001</v>
      </c>
      <c r="AX11" s="15">
        <v>3.4</v>
      </c>
      <c r="AY11" s="15">
        <v>0.2</v>
      </c>
      <c r="AZ11" s="15">
        <v>0</v>
      </c>
      <c r="BA11" s="15">
        <v>14.5</v>
      </c>
      <c r="BB11" s="15">
        <v>2.9</v>
      </c>
      <c r="BC11" s="15">
        <v>0</v>
      </c>
      <c r="BD11" s="15">
        <v>0.7</v>
      </c>
      <c r="BE11" s="15">
        <v>17.2</v>
      </c>
      <c r="BF11" s="15">
        <v>3.6</v>
      </c>
      <c r="BG11" s="15">
        <v>0.2</v>
      </c>
      <c r="BH11" s="15">
        <v>0.7</v>
      </c>
      <c r="BI11" s="15">
        <v>16.5</v>
      </c>
      <c r="BJ11" s="15">
        <v>3.8</v>
      </c>
      <c r="BK11" s="15">
        <v>0.4</v>
      </c>
      <c r="BL11" s="15">
        <v>0.7</v>
      </c>
      <c r="BM11" s="20"/>
      <c r="BN11" s="43">
        <f t="shared" si="25"/>
        <v>3.4</v>
      </c>
      <c r="BO11" s="43">
        <f t="shared" si="26"/>
        <v>19.8</v>
      </c>
      <c r="BP11" s="43">
        <f t="shared" si="27"/>
        <v>2.9</v>
      </c>
      <c r="BQ11" s="43">
        <f t="shared" si="28"/>
        <v>18.099999999999998</v>
      </c>
      <c r="BR11" s="10">
        <f t="shared" si="29"/>
        <v>6.3</v>
      </c>
      <c r="BS11" s="10">
        <f t="shared" si="30"/>
        <v>37.9</v>
      </c>
      <c r="BT11" s="10">
        <f t="shared" si="31"/>
        <v>3.6</v>
      </c>
      <c r="BU11" s="10">
        <f t="shared" si="32"/>
        <v>21.3</v>
      </c>
      <c r="BV11" s="10">
        <f t="shared" si="33"/>
        <v>3.8</v>
      </c>
      <c r="BW11" s="10">
        <f t="shared" si="34"/>
        <v>20.6</v>
      </c>
      <c r="BX11" s="10">
        <f t="shared" si="35"/>
        <v>7.4</v>
      </c>
      <c r="BY11" s="10">
        <f t="shared" si="36"/>
        <v>41.900000000000006</v>
      </c>
      <c r="BZ11" s="10">
        <f t="shared" si="37"/>
        <v>79.800000000000011</v>
      </c>
      <c r="CA11" s="34" t="str">
        <f t="shared" si="38"/>
        <v/>
      </c>
      <c r="CB11" s="34" t="str">
        <f t="shared" si="39"/>
        <v/>
      </c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27" t="str">
        <f t="shared" si="40"/>
        <v/>
      </c>
      <c r="CX11" s="27" t="str">
        <f t="shared" si="41"/>
        <v/>
      </c>
      <c r="CY11" s="27" t="str">
        <f t="shared" si="42"/>
        <v/>
      </c>
      <c r="CZ11" s="27" t="str">
        <f t="shared" si="43"/>
        <v/>
      </c>
      <c r="DA11" s="27" t="str">
        <f t="shared" si="44"/>
        <v/>
      </c>
      <c r="DB11" s="27" t="str">
        <f t="shared" si="45"/>
        <v/>
      </c>
      <c r="DC11" s="27" t="str">
        <f t="shared" si="46"/>
        <v/>
      </c>
      <c r="DD11" s="27" t="str">
        <f t="shared" si="47"/>
        <v/>
      </c>
      <c r="DE11" s="27" t="str">
        <f t="shared" si="48"/>
        <v/>
      </c>
      <c r="DF11" s="27" t="str">
        <f t="shared" si="49"/>
        <v/>
      </c>
      <c r="DG11" s="27" t="str">
        <f t="shared" si="50"/>
        <v/>
      </c>
      <c r="DH11" s="27" t="str">
        <f t="shared" si="51"/>
        <v/>
      </c>
      <c r="DI11" s="27" t="str">
        <f t="shared" si="52"/>
        <v/>
      </c>
      <c r="DJ11" s="27" t="str">
        <f t="shared" si="53"/>
        <v/>
      </c>
      <c r="DK11" s="27" t="str">
        <f t="shared" si="54"/>
        <v/>
      </c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0" t="str">
        <f t="shared" si="55"/>
        <v/>
      </c>
      <c r="EG11" s="10" t="str">
        <f t="shared" si="56"/>
        <v/>
      </c>
      <c r="EH11" s="10" t="str">
        <f t="shared" si="57"/>
        <v/>
      </c>
      <c r="EI11" s="10" t="str">
        <f t="shared" si="58"/>
        <v/>
      </c>
      <c r="EJ11" s="10" t="str">
        <f t="shared" si="59"/>
        <v/>
      </c>
      <c r="EK11" s="10" t="str">
        <f t="shared" si="60"/>
        <v/>
      </c>
      <c r="EL11" s="10" t="str">
        <f t="shared" si="61"/>
        <v/>
      </c>
      <c r="EM11" s="10" t="str">
        <f t="shared" si="62"/>
        <v/>
      </c>
      <c r="EN11" s="10" t="str">
        <f t="shared" si="63"/>
        <v/>
      </c>
      <c r="EO11" s="10" t="str">
        <f t="shared" si="64"/>
        <v/>
      </c>
      <c r="EP11" s="10" t="str">
        <f t="shared" si="65"/>
        <v/>
      </c>
      <c r="EQ11" s="10" t="str">
        <f t="shared" si="66"/>
        <v/>
      </c>
      <c r="ER11" s="10" t="str">
        <f t="shared" si="67"/>
        <v/>
      </c>
      <c r="ES11" s="10" t="str">
        <f t="shared" si="68"/>
        <v/>
      </c>
      <c r="ET11" s="10" t="str">
        <f t="shared" si="69"/>
        <v/>
      </c>
      <c r="EU11" s="44">
        <f t="shared" si="70"/>
        <v>16.05</v>
      </c>
      <c r="EV11" s="44">
        <f t="shared" si="71"/>
        <v>3.4</v>
      </c>
      <c r="EW11" s="44">
        <f t="shared" si="72"/>
        <v>0.2</v>
      </c>
      <c r="EX11" s="44">
        <f t="shared" si="73"/>
        <v>0.35</v>
      </c>
      <c r="EY11" s="44">
        <f t="shared" si="74"/>
        <v>15.8</v>
      </c>
      <c r="EZ11" s="44">
        <f t="shared" si="75"/>
        <v>3.3499999999999996</v>
      </c>
      <c r="FA11" s="44">
        <f t="shared" si="76"/>
        <v>0</v>
      </c>
      <c r="FB11" s="44">
        <f t="shared" si="77"/>
        <v>0.7</v>
      </c>
      <c r="FC11" s="44">
        <f t="shared" si="78"/>
        <v>16</v>
      </c>
      <c r="FD11" s="44">
        <f t="shared" si="79"/>
        <v>4.8499999999999996</v>
      </c>
      <c r="FE11" s="44">
        <f t="shared" si="80"/>
        <v>0.1</v>
      </c>
      <c r="FF11" s="44">
        <f t="shared" si="81"/>
        <v>0.7</v>
      </c>
      <c r="FG11" s="44">
        <f t="shared" si="82"/>
        <v>16.3</v>
      </c>
      <c r="FH11" s="44">
        <f t="shared" si="83"/>
        <v>2.5</v>
      </c>
      <c r="FI11" s="44">
        <f t="shared" si="84"/>
        <v>0.2</v>
      </c>
      <c r="FJ11" s="44">
        <f t="shared" si="85"/>
        <v>0.35</v>
      </c>
      <c r="FK11" s="20" t="s">
        <v>29</v>
      </c>
      <c r="FL11" s="10">
        <f t="shared" si="86"/>
        <v>3.4</v>
      </c>
      <c r="FM11" s="10">
        <f t="shared" si="87"/>
        <v>19.600000000000001</v>
      </c>
      <c r="FN11" s="10">
        <f t="shared" si="88"/>
        <v>3.3499999999999996</v>
      </c>
      <c r="FO11" s="10">
        <f t="shared" si="89"/>
        <v>19.849999999999998</v>
      </c>
      <c r="FP11" s="10">
        <f t="shared" si="90"/>
        <v>6.75</v>
      </c>
      <c r="FQ11" s="10">
        <f t="shared" si="93"/>
        <v>39.450000000000003</v>
      </c>
      <c r="FR11" s="10">
        <f t="shared" si="94"/>
        <v>4.8499999999999996</v>
      </c>
      <c r="FS11" s="10">
        <f t="shared" si="95"/>
        <v>21.45</v>
      </c>
      <c r="FT11" s="10">
        <f t="shared" si="96"/>
        <v>2.5</v>
      </c>
      <c r="FU11" s="10">
        <f t="shared" si="97"/>
        <v>18.950000000000003</v>
      </c>
      <c r="FV11" s="10">
        <f t="shared" si="98"/>
        <v>7.35</v>
      </c>
      <c r="FW11" s="10">
        <f t="shared" si="91"/>
        <v>40.400000000000006</v>
      </c>
      <c r="FX11" s="10">
        <f t="shared" si="92"/>
        <v>79.850000000000009</v>
      </c>
    </row>
    <row r="12" spans="1:180" x14ac:dyDescent="0.2">
      <c r="A12" s="3" t="str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/>
      </c>
      <c r="B12" s="4" t="s">
        <v>114</v>
      </c>
      <c r="C12" s="3" t="s">
        <v>3</v>
      </c>
      <c r="D12" s="3">
        <v>2008</v>
      </c>
      <c r="E12" s="8">
        <f t="shared" si="0"/>
        <v>83.600006340004185</v>
      </c>
      <c r="F12" s="2" t="str">
        <f t="shared" si="1"/>
        <v/>
      </c>
      <c r="G12" s="2" t="str">
        <f t="shared" si="2"/>
        <v/>
      </c>
      <c r="H12" s="26" t="str">
        <f t="shared" si="3"/>
        <v/>
      </c>
      <c r="I12" s="2" t="str">
        <f t="shared" si="4"/>
        <v/>
      </c>
      <c r="J12" s="7">
        <f t="shared" si="5"/>
        <v>41.9</v>
      </c>
      <c r="K12" s="7" t="str">
        <f t="shared" si="6"/>
        <v>2025 Nationals</v>
      </c>
      <c r="L12" s="7">
        <f>IF(J12=AO12,IF(COUNT(AQ12,AS12,BO12,BQ12,BU12,BW12)&gt;1,LARGE((AQ12,AS12,BO12,BQ12,BU12,BW12),1),0),IF(COUNT(AK12,AM12,AQ12,AS12,BU12,BW12)&gt;1,LARGE((AK12,AM12,AQ12,AS12,BU12,BW12),1),0))</f>
        <v>21.5</v>
      </c>
      <c r="M12" s="7" t="str">
        <f t="shared" si="7"/>
        <v>2025 Nationals</v>
      </c>
      <c r="N12" s="7">
        <f>IF(J12=AO12,IF(COUNT(AQ12,AS12,BO12,BQ12,BU12,BW12)&gt;1,LARGE((AQ12,AS12,BO12,BQ12,BU12,BW12),2),0),IF(COUNT(AK12,AM12,AQ12,AS12,BU12,BW12)&gt;1,LARGE((AK12,AM12,AQ12,AS12,BU12,BW12),2),0))</f>
        <v>20.2</v>
      </c>
      <c r="O12" s="7" t="str">
        <f t="shared" si="8"/>
        <v>2025 Nationals</v>
      </c>
      <c r="P12" s="7" t="str">
        <f t="shared" si="9"/>
        <v/>
      </c>
      <c r="Q12" s="10" t="str">
        <f t="shared" si="10"/>
        <v/>
      </c>
      <c r="R12" s="7" t="str">
        <f t="shared" si="11"/>
        <v/>
      </c>
      <c r="S12" s="39">
        <v>16.399999999999999</v>
      </c>
      <c r="T12" s="39">
        <v>4.2</v>
      </c>
      <c r="U12" s="39">
        <v>0</v>
      </c>
      <c r="V12" s="39">
        <v>0.7</v>
      </c>
      <c r="W12" s="39">
        <v>16</v>
      </c>
      <c r="X12" s="39">
        <v>4.5999999999999996</v>
      </c>
      <c r="Y12" s="39">
        <v>0</v>
      </c>
      <c r="Z12" s="39">
        <v>0</v>
      </c>
      <c r="AA12" s="39">
        <v>16.2</v>
      </c>
      <c r="AB12" s="39">
        <v>3.3</v>
      </c>
      <c r="AC12" s="39">
        <v>0</v>
      </c>
      <c r="AD12" s="39">
        <v>0.7</v>
      </c>
      <c r="AE12" s="39">
        <v>16.7</v>
      </c>
      <c r="AF12" s="39">
        <v>4.8</v>
      </c>
      <c r="AG12" s="39">
        <v>0</v>
      </c>
      <c r="AH12" s="39">
        <v>0</v>
      </c>
      <c r="AI12" s="19"/>
      <c r="AJ12" s="42">
        <f t="shared" si="12"/>
        <v>4.2</v>
      </c>
      <c r="AK12" s="42">
        <f t="shared" si="13"/>
        <v>21.299999999999997</v>
      </c>
      <c r="AL12" s="42">
        <f t="shared" si="14"/>
        <v>4.5999999999999996</v>
      </c>
      <c r="AM12" s="42">
        <f t="shared" si="15"/>
        <v>20.6</v>
      </c>
      <c r="AN12" s="27">
        <f t="shared" si="16"/>
        <v>8.8000000000000007</v>
      </c>
      <c r="AO12" s="27">
        <f t="shared" si="17"/>
        <v>41.9</v>
      </c>
      <c r="AP12" s="27">
        <f t="shared" si="18"/>
        <v>3.3</v>
      </c>
      <c r="AQ12" s="27">
        <f t="shared" si="19"/>
        <v>20.2</v>
      </c>
      <c r="AR12" s="27">
        <f t="shared" si="20"/>
        <v>4.8</v>
      </c>
      <c r="AS12" s="27">
        <f t="shared" si="21"/>
        <v>21.5</v>
      </c>
      <c r="AT12" s="27">
        <f t="shared" si="22"/>
        <v>8.1</v>
      </c>
      <c r="AU12" s="27">
        <f t="shared" si="23"/>
        <v>41.7</v>
      </c>
      <c r="AV12" s="27">
        <f t="shared" si="24"/>
        <v>83.6</v>
      </c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20"/>
      <c r="BN12" s="43" t="str">
        <f t="shared" si="25"/>
        <v/>
      </c>
      <c r="BO12" s="43" t="str">
        <f t="shared" si="26"/>
        <v/>
      </c>
      <c r="BP12" s="43" t="str">
        <f t="shared" si="27"/>
        <v/>
      </c>
      <c r="BQ12" s="43" t="str">
        <f t="shared" si="28"/>
        <v/>
      </c>
      <c r="BR12" s="10" t="str">
        <f t="shared" si="29"/>
        <v/>
      </c>
      <c r="BS12" s="10" t="str">
        <f t="shared" si="30"/>
        <v/>
      </c>
      <c r="BT12" s="10" t="str">
        <f t="shared" si="31"/>
        <v/>
      </c>
      <c r="BU12" s="10" t="str">
        <f t="shared" si="32"/>
        <v/>
      </c>
      <c r="BV12" s="10" t="str">
        <f t="shared" si="33"/>
        <v/>
      </c>
      <c r="BW12" s="10" t="str">
        <f t="shared" si="34"/>
        <v/>
      </c>
      <c r="BX12" s="10" t="str">
        <f t="shared" si="35"/>
        <v/>
      </c>
      <c r="BY12" s="10" t="str">
        <f t="shared" si="36"/>
        <v/>
      </c>
      <c r="BZ12" s="10" t="str">
        <f t="shared" si="37"/>
        <v/>
      </c>
      <c r="CA12" s="34" t="str">
        <f t="shared" si="38"/>
        <v/>
      </c>
      <c r="CB12" s="34" t="str">
        <f t="shared" si="39"/>
        <v/>
      </c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27" t="str">
        <f t="shared" si="40"/>
        <v/>
      </c>
      <c r="CX12" s="27" t="str">
        <f t="shared" si="41"/>
        <v/>
      </c>
      <c r="CY12" s="27" t="str">
        <f t="shared" si="42"/>
        <v/>
      </c>
      <c r="CZ12" s="27" t="str">
        <f t="shared" si="43"/>
        <v/>
      </c>
      <c r="DA12" s="27" t="str">
        <f t="shared" si="44"/>
        <v/>
      </c>
      <c r="DB12" s="27" t="str">
        <f t="shared" si="45"/>
        <v/>
      </c>
      <c r="DC12" s="27" t="str">
        <f t="shared" si="46"/>
        <v/>
      </c>
      <c r="DD12" s="27" t="str">
        <f t="shared" si="47"/>
        <v/>
      </c>
      <c r="DE12" s="27" t="str">
        <f t="shared" si="48"/>
        <v/>
      </c>
      <c r="DF12" s="27" t="str">
        <f t="shared" si="49"/>
        <v/>
      </c>
      <c r="DG12" s="27" t="str">
        <f t="shared" si="50"/>
        <v/>
      </c>
      <c r="DH12" s="27" t="str">
        <f t="shared" si="51"/>
        <v/>
      </c>
      <c r="DI12" s="27" t="str">
        <f t="shared" si="52"/>
        <v/>
      </c>
      <c r="DJ12" s="27" t="str">
        <f t="shared" si="53"/>
        <v/>
      </c>
      <c r="DK12" s="27" t="str">
        <f t="shared" si="54"/>
        <v/>
      </c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0" t="str">
        <f t="shared" si="55"/>
        <v/>
      </c>
      <c r="EG12" s="10" t="str">
        <f t="shared" si="56"/>
        <v/>
      </c>
      <c r="EH12" s="10" t="str">
        <f t="shared" si="57"/>
        <v/>
      </c>
      <c r="EI12" s="10" t="str">
        <f t="shared" si="58"/>
        <v/>
      </c>
      <c r="EJ12" s="10" t="str">
        <f t="shared" si="59"/>
        <v/>
      </c>
      <c r="EK12" s="10" t="str">
        <f t="shared" si="60"/>
        <v/>
      </c>
      <c r="EL12" s="10" t="str">
        <f t="shared" si="61"/>
        <v/>
      </c>
      <c r="EM12" s="10" t="str">
        <f t="shared" si="62"/>
        <v/>
      </c>
      <c r="EN12" s="10" t="str">
        <f t="shared" si="63"/>
        <v/>
      </c>
      <c r="EO12" s="10" t="str">
        <f t="shared" si="64"/>
        <v/>
      </c>
      <c r="EP12" s="10" t="str">
        <f t="shared" si="65"/>
        <v/>
      </c>
      <c r="EQ12" s="10" t="str">
        <f t="shared" si="66"/>
        <v/>
      </c>
      <c r="ER12" s="10" t="str">
        <f t="shared" si="67"/>
        <v/>
      </c>
      <c r="ES12" s="10" t="str">
        <f t="shared" si="68"/>
        <v/>
      </c>
      <c r="ET12" s="10" t="str">
        <f t="shared" si="69"/>
        <v/>
      </c>
      <c r="EU12" s="44">
        <f t="shared" si="70"/>
        <v>8.1999999999999993</v>
      </c>
      <c r="EV12" s="44">
        <f t="shared" si="71"/>
        <v>2.1</v>
      </c>
      <c r="EW12" s="44">
        <f t="shared" si="72"/>
        <v>0</v>
      </c>
      <c r="EX12" s="44">
        <f t="shared" si="73"/>
        <v>0.35</v>
      </c>
      <c r="EY12" s="44">
        <f t="shared" si="74"/>
        <v>8</v>
      </c>
      <c r="EZ12" s="44">
        <f t="shared" si="75"/>
        <v>2.2999999999999998</v>
      </c>
      <c r="FA12" s="44">
        <f t="shared" si="76"/>
        <v>0</v>
      </c>
      <c r="FB12" s="44">
        <f t="shared" si="77"/>
        <v>0</v>
      </c>
      <c r="FC12" s="44">
        <f t="shared" si="78"/>
        <v>8.1</v>
      </c>
      <c r="FD12" s="44">
        <f t="shared" si="79"/>
        <v>1.65</v>
      </c>
      <c r="FE12" s="44">
        <f t="shared" si="80"/>
        <v>0</v>
      </c>
      <c r="FF12" s="44">
        <f t="shared" si="81"/>
        <v>0.35</v>
      </c>
      <c r="FG12" s="44">
        <f t="shared" si="82"/>
        <v>8.35</v>
      </c>
      <c r="FH12" s="44">
        <f t="shared" si="83"/>
        <v>2.4</v>
      </c>
      <c r="FI12" s="44">
        <f t="shared" si="84"/>
        <v>0</v>
      </c>
      <c r="FJ12" s="44">
        <f t="shared" si="85"/>
        <v>0</v>
      </c>
      <c r="FK12" s="20" t="s">
        <v>29</v>
      </c>
      <c r="FL12" s="10">
        <f t="shared" si="86"/>
        <v>2.1</v>
      </c>
      <c r="FM12" s="10">
        <f t="shared" si="87"/>
        <v>10.649999999999999</v>
      </c>
      <c r="FN12" s="10">
        <f t="shared" si="88"/>
        <v>2.2999999999999998</v>
      </c>
      <c r="FO12" s="10">
        <f t="shared" si="89"/>
        <v>10.3</v>
      </c>
      <c r="FP12" s="10">
        <f t="shared" si="90"/>
        <v>4.4000000000000004</v>
      </c>
      <c r="FQ12" s="10">
        <f t="shared" si="93"/>
        <v>20.95</v>
      </c>
      <c r="FR12" s="10">
        <f t="shared" si="94"/>
        <v>1.65</v>
      </c>
      <c r="FS12" s="10">
        <f t="shared" si="95"/>
        <v>10.1</v>
      </c>
      <c r="FT12" s="10">
        <f t="shared" si="96"/>
        <v>2.4</v>
      </c>
      <c r="FU12" s="10">
        <f t="shared" si="97"/>
        <v>10.75</v>
      </c>
      <c r="FV12" s="10">
        <f t="shared" si="98"/>
        <v>4.05</v>
      </c>
      <c r="FW12" s="10">
        <f t="shared" si="91"/>
        <v>20.85</v>
      </c>
      <c r="FX12" s="10">
        <f t="shared" si="92"/>
        <v>41.8</v>
      </c>
    </row>
    <row r="13" spans="1:180" x14ac:dyDescent="0.2">
      <c r="A13" s="3" t="str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/>
      </c>
      <c r="B13" s="4" t="s">
        <v>110</v>
      </c>
      <c r="C13" s="3" t="s">
        <v>4</v>
      </c>
      <c r="D13" s="3">
        <v>2005</v>
      </c>
      <c r="E13" s="8">
        <f t="shared" si="0"/>
        <v>83.05000630500426</v>
      </c>
      <c r="F13" s="2" t="str">
        <f t="shared" si="1"/>
        <v/>
      </c>
      <c r="G13" s="2" t="str">
        <f t="shared" si="2"/>
        <v/>
      </c>
      <c r="H13" s="26" t="str">
        <f t="shared" si="3"/>
        <v/>
      </c>
      <c r="I13" s="2" t="str">
        <f t="shared" si="4"/>
        <v/>
      </c>
      <c r="J13" s="7">
        <f t="shared" si="5"/>
        <v>42.45</v>
      </c>
      <c r="K13" s="7" t="str">
        <f t="shared" si="6"/>
        <v>2025 Nationals</v>
      </c>
      <c r="L13" s="7">
        <f>IF(J13=AO13,IF(COUNT(AQ13,AS13,BO13,BQ13,BU13,BW13)&gt;1,LARGE((AQ13,AS13,BO13,BQ13,BU13,BW13),1),0),IF(COUNT(AK13,AM13,AQ13,AS13,BU13,BW13)&gt;1,LARGE((AK13,AM13,AQ13,AS13,BU13,BW13),1),0))</f>
        <v>20.6</v>
      </c>
      <c r="M13" s="7" t="str">
        <f t="shared" si="7"/>
        <v>2025 3rd Domestic Trial</v>
      </c>
      <c r="N13" s="7">
        <f>IF(J13=AO13,IF(COUNT(AQ13,AS13,BO13,BQ13,BU13,BW13)&gt;1,LARGE((AQ13,AS13,BO13,BQ13,BU13,BW13),2),0),IF(COUNT(AK13,AM13,AQ13,AS13,BU13,BW13)&gt;1,LARGE((AK13,AM13,AQ13,AS13,BU13,BW13),2),0))</f>
        <v>20.000000000000004</v>
      </c>
      <c r="O13" s="7" t="str">
        <f t="shared" si="8"/>
        <v>2025 Nationals</v>
      </c>
      <c r="P13" s="7" t="str">
        <f t="shared" si="9"/>
        <v/>
      </c>
      <c r="Q13" s="10" t="str">
        <f t="shared" si="10"/>
        <v/>
      </c>
      <c r="R13" s="7" t="str">
        <f t="shared" si="11"/>
        <v/>
      </c>
      <c r="S13" s="39">
        <v>16.55</v>
      </c>
      <c r="T13" s="39">
        <v>4.45</v>
      </c>
      <c r="U13" s="39">
        <v>0.1</v>
      </c>
      <c r="V13" s="39">
        <v>0</v>
      </c>
      <c r="W13" s="39">
        <v>16.100000000000001</v>
      </c>
      <c r="X13" s="39">
        <v>5.15</v>
      </c>
      <c r="Y13" s="39">
        <v>0</v>
      </c>
      <c r="Z13" s="39">
        <v>0.3</v>
      </c>
      <c r="AA13" s="39">
        <v>16.600000000000001</v>
      </c>
      <c r="AB13" s="39">
        <v>3.5999999999999996</v>
      </c>
      <c r="AC13" s="39">
        <v>0.5</v>
      </c>
      <c r="AD13" s="39">
        <v>0.3</v>
      </c>
      <c r="AE13" s="39">
        <v>15.9</v>
      </c>
      <c r="AF13" s="39">
        <v>3.5999999999999996</v>
      </c>
      <c r="AG13" s="39">
        <v>0</v>
      </c>
      <c r="AH13" s="39">
        <v>0.3</v>
      </c>
      <c r="AI13" s="19" t="s">
        <v>29</v>
      </c>
      <c r="AJ13" s="42">
        <f t="shared" si="12"/>
        <v>4.45</v>
      </c>
      <c r="AK13" s="42">
        <f t="shared" si="13"/>
        <v>20.9</v>
      </c>
      <c r="AL13" s="42">
        <f t="shared" si="14"/>
        <v>5.15</v>
      </c>
      <c r="AM13" s="42">
        <f t="shared" si="15"/>
        <v>21.55</v>
      </c>
      <c r="AN13" s="27">
        <f t="shared" si="16"/>
        <v>9.6000000000000014</v>
      </c>
      <c r="AO13" s="27">
        <f t="shared" si="17"/>
        <v>42.45</v>
      </c>
      <c r="AP13" s="27">
        <f t="shared" si="18"/>
        <v>3.5999999999999996</v>
      </c>
      <c r="AQ13" s="27">
        <f t="shared" si="19"/>
        <v>20.000000000000004</v>
      </c>
      <c r="AR13" s="27">
        <f t="shared" si="20"/>
        <v>3.5999999999999996</v>
      </c>
      <c r="AS13" s="27">
        <f t="shared" si="21"/>
        <v>19.8</v>
      </c>
      <c r="AT13" s="27">
        <f t="shared" si="22"/>
        <v>7.1999999999999993</v>
      </c>
      <c r="AU13" s="27">
        <f t="shared" si="23"/>
        <v>39.800000000000004</v>
      </c>
      <c r="AV13" s="27">
        <f t="shared" si="24"/>
        <v>82.25</v>
      </c>
      <c r="AW13" s="15">
        <v>14.6</v>
      </c>
      <c r="AX13" s="15">
        <v>3.5</v>
      </c>
      <c r="AY13" s="15">
        <v>0.5</v>
      </c>
      <c r="AZ13" s="15">
        <v>0.7</v>
      </c>
      <c r="BA13" s="15">
        <v>15.8</v>
      </c>
      <c r="BB13" s="15">
        <v>4.8</v>
      </c>
      <c r="BC13" s="15">
        <v>0</v>
      </c>
      <c r="BD13" s="15">
        <v>0</v>
      </c>
      <c r="BE13" s="15">
        <v>15.1</v>
      </c>
      <c r="BF13" s="15">
        <v>3</v>
      </c>
      <c r="BG13" s="15">
        <v>0</v>
      </c>
      <c r="BH13" s="15">
        <v>0.7</v>
      </c>
      <c r="BI13" s="15">
        <v>13.8</v>
      </c>
      <c r="BJ13" s="15">
        <v>3.1</v>
      </c>
      <c r="BK13" s="15">
        <v>2.5</v>
      </c>
      <c r="BL13" s="15">
        <v>0</v>
      </c>
      <c r="BM13" s="20"/>
      <c r="BN13" s="43">
        <f t="shared" si="25"/>
        <v>3.5</v>
      </c>
      <c r="BO13" s="43">
        <f t="shared" si="26"/>
        <v>18.3</v>
      </c>
      <c r="BP13" s="43">
        <f t="shared" si="27"/>
        <v>4.8</v>
      </c>
      <c r="BQ13" s="43">
        <f t="shared" si="28"/>
        <v>20.6</v>
      </c>
      <c r="BR13" s="10">
        <f t="shared" si="29"/>
        <v>8.3000000000000007</v>
      </c>
      <c r="BS13" s="10">
        <f t="shared" si="30"/>
        <v>38.900000000000006</v>
      </c>
      <c r="BT13" s="10">
        <f t="shared" si="31"/>
        <v>3</v>
      </c>
      <c r="BU13" s="10">
        <f t="shared" si="32"/>
        <v>18.8</v>
      </c>
      <c r="BV13" s="10">
        <f t="shared" si="33"/>
        <v>3.1</v>
      </c>
      <c r="BW13" s="10">
        <f t="shared" si="34"/>
        <v>14.400000000000002</v>
      </c>
      <c r="BX13" s="10">
        <f t="shared" si="35"/>
        <v>6.1</v>
      </c>
      <c r="BY13" s="10">
        <f t="shared" si="36"/>
        <v>33.200000000000003</v>
      </c>
      <c r="BZ13" s="10">
        <f t="shared" si="37"/>
        <v>72.100000000000009</v>
      </c>
      <c r="CA13" s="34" t="str">
        <f t="shared" si="38"/>
        <v/>
      </c>
      <c r="CB13" s="34" t="str">
        <f t="shared" si="39"/>
        <v/>
      </c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27" t="str">
        <f t="shared" si="40"/>
        <v/>
      </c>
      <c r="CX13" s="27" t="str">
        <f t="shared" si="41"/>
        <v/>
      </c>
      <c r="CY13" s="27" t="str">
        <f t="shared" si="42"/>
        <v/>
      </c>
      <c r="CZ13" s="27" t="str">
        <f t="shared" si="43"/>
        <v/>
      </c>
      <c r="DA13" s="27" t="str">
        <f t="shared" si="44"/>
        <v/>
      </c>
      <c r="DB13" s="27" t="str">
        <f t="shared" si="45"/>
        <v/>
      </c>
      <c r="DC13" s="27" t="str">
        <f t="shared" si="46"/>
        <v/>
      </c>
      <c r="DD13" s="27" t="str">
        <f t="shared" si="47"/>
        <v/>
      </c>
      <c r="DE13" s="27" t="str">
        <f t="shared" si="48"/>
        <v/>
      </c>
      <c r="DF13" s="27" t="str">
        <f t="shared" si="49"/>
        <v/>
      </c>
      <c r="DG13" s="27" t="str">
        <f t="shared" si="50"/>
        <v/>
      </c>
      <c r="DH13" s="27" t="str">
        <f t="shared" si="51"/>
        <v/>
      </c>
      <c r="DI13" s="27" t="str">
        <f t="shared" si="52"/>
        <v/>
      </c>
      <c r="DJ13" s="27" t="str">
        <f t="shared" si="53"/>
        <v/>
      </c>
      <c r="DK13" s="27" t="str">
        <f t="shared" si="54"/>
        <v/>
      </c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0" t="str">
        <f t="shared" si="55"/>
        <v/>
      </c>
      <c r="EG13" s="10" t="str">
        <f t="shared" si="56"/>
        <v/>
      </c>
      <c r="EH13" s="10" t="str">
        <f t="shared" si="57"/>
        <v/>
      </c>
      <c r="EI13" s="10" t="str">
        <f t="shared" si="58"/>
        <v/>
      </c>
      <c r="EJ13" s="10" t="str">
        <f t="shared" si="59"/>
        <v/>
      </c>
      <c r="EK13" s="10" t="str">
        <f t="shared" si="60"/>
        <v/>
      </c>
      <c r="EL13" s="10" t="str">
        <f t="shared" si="61"/>
        <v/>
      </c>
      <c r="EM13" s="10" t="str">
        <f t="shared" si="62"/>
        <v/>
      </c>
      <c r="EN13" s="10" t="str">
        <f t="shared" si="63"/>
        <v/>
      </c>
      <c r="EO13" s="10" t="str">
        <f t="shared" si="64"/>
        <v/>
      </c>
      <c r="EP13" s="10" t="str">
        <f t="shared" si="65"/>
        <v/>
      </c>
      <c r="EQ13" s="10" t="str">
        <f t="shared" si="66"/>
        <v/>
      </c>
      <c r="ER13" s="10" t="str">
        <f t="shared" si="67"/>
        <v/>
      </c>
      <c r="ES13" s="10" t="str">
        <f t="shared" si="68"/>
        <v/>
      </c>
      <c r="ET13" s="10" t="str">
        <f t="shared" si="69"/>
        <v/>
      </c>
      <c r="EU13" s="44">
        <f t="shared" si="70"/>
        <v>15.574999999999999</v>
      </c>
      <c r="EV13" s="44">
        <f t="shared" si="71"/>
        <v>3.9750000000000001</v>
      </c>
      <c r="EW13" s="44">
        <f t="shared" si="72"/>
        <v>0.3</v>
      </c>
      <c r="EX13" s="44">
        <f t="shared" si="73"/>
        <v>0.35</v>
      </c>
      <c r="EY13" s="44">
        <f t="shared" si="74"/>
        <v>15.950000000000001</v>
      </c>
      <c r="EZ13" s="44">
        <f t="shared" si="75"/>
        <v>4.9749999999999996</v>
      </c>
      <c r="FA13" s="44">
        <f t="shared" si="76"/>
        <v>0</v>
      </c>
      <c r="FB13" s="44">
        <f t="shared" si="77"/>
        <v>0.15</v>
      </c>
      <c r="FC13" s="44">
        <f t="shared" si="78"/>
        <v>15.850000000000001</v>
      </c>
      <c r="FD13" s="44">
        <f t="shared" si="79"/>
        <v>3.3</v>
      </c>
      <c r="FE13" s="44">
        <f t="shared" si="80"/>
        <v>0.25</v>
      </c>
      <c r="FF13" s="44">
        <f t="shared" si="81"/>
        <v>0.5</v>
      </c>
      <c r="FG13" s="44">
        <f t="shared" si="82"/>
        <v>14.850000000000001</v>
      </c>
      <c r="FH13" s="44">
        <f t="shared" si="83"/>
        <v>3.3499999999999996</v>
      </c>
      <c r="FI13" s="44">
        <f t="shared" si="84"/>
        <v>1.25</v>
      </c>
      <c r="FJ13" s="44">
        <f t="shared" si="85"/>
        <v>0.15</v>
      </c>
      <c r="FK13" s="20" t="s">
        <v>29</v>
      </c>
      <c r="FL13" s="10">
        <f t="shared" si="86"/>
        <v>3.9750000000000001</v>
      </c>
      <c r="FM13" s="10">
        <f t="shared" si="87"/>
        <v>19.600000000000001</v>
      </c>
      <c r="FN13" s="10">
        <f t="shared" si="88"/>
        <v>4.9749999999999996</v>
      </c>
      <c r="FO13" s="10">
        <f t="shared" si="89"/>
        <v>21.074999999999999</v>
      </c>
      <c r="FP13" s="10">
        <f t="shared" si="90"/>
        <v>8.9499999999999993</v>
      </c>
      <c r="FQ13" s="10">
        <f t="shared" si="93"/>
        <v>40.674999999999997</v>
      </c>
      <c r="FR13" s="10">
        <f t="shared" si="94"/>
        <v>3.3</v>
      </c>
      <c r="FS13" s="10">
        <f t="shared" si="95"/>
        <v>19.400000000000002</v>
      </c>
      <c r="FT13" s="10">
        <f t="shared" si="96"/>
        <v>3.3499999999999996</v>
      </c>
      <c r="FU13" s="10">
        <f t="shared" si="97"/>
        <v>17.100000000000001</v>
      </c>
      <c r="FV13" s="10">
        <f t="shared" si="98"/>
        <v>6.6499999999999995</v>
      </c>
      <c r="FW13" s="10">
        <f t="shared" si="91"/>
        <v>36.5</v>
      </c>
      <c r="FX13" s="10">
        <f t="shared" si="92"/>
        <v>77.174999999999997</v>
      </c>
    </row>
    <row r="14" spans="1:180" x14ac:dyDescent="0.2">
      <c r="A14" s="3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4" t="s">
        <v>95</v>
      </c>
      <c r="C14" s="3" t="s">
        <v>5</v>
      </c>
      <c r="D14" s="3">
        <v>2003</v>
      </c>
      <c r="E14" s="8">
        <f t="shared" si="0"/>
        <v>82.900006270004127</v>
      </c>
      <c r="F14" s="2" t="str">
        <f t="shared" si="1"/>
        <v/>
      </c>
      <c r="G14" s="2" t="str">
        <f t="shared" si="2"/>
        <v/>
      </c>
      <c r="H14" s="26" t="str">
        <f t="shared" si="3"/>
        <v/>
      </c>
      <c r="I14" s="2" t="str">
        <f t="shared" si="4"/>
        <v/>
      </c>
      <c r="J14" s="7">
        <f t="shared" si="5"/>
        <v>41.2</v>
      </c>
      <c r="K14" s="7" t="str">
        <f t="shared" si="6"/>
        <v>2025 3rd Domestic Trial</v>
      </c>
      <c r="L14" s="7">
        <f>IF(J14=AO14,IF(COUNT(AQ14,AS14,BO14,BQ14,BU14,BW14)&gt;1,LARGE((AQ14,AS14,BO14,BQ14,BU14,BW14),1),0),IF(COUNT(AK14,AM14,AQ14,AS14,BU14,BW14)&gt;1,LARGE((AK14,AM14,AQ14,AS14,BU14,BW14),1),0))</f>
        <v>21.5</v>
      </c>
      <c r="M14" s="7" t="str">
        <f t="shared" si="7"/>
        <v>2025 3rd Domestic Trial</v>
      </c>
      <c r="N14" s="7">
        <f>IF(J14=AO14,IF(COUNT(AQ14,AS14,BO14,BQ14,BU14,BW14)&gt;1,LARGE((AQ14,AS14,BO14,BQ14,BU14,BW14),2),0),IF(COUNT(AK14,AM14,AQ14,AS14,BU14,BW14)&gt;1,LARGE((AK14,AM14,AQ14,AS14,BU14,BW14),2),0))</f>
        <v>20.200000000000003</v>
      </c>
      <c r="O14" s="7" t="str">
        <f t="shared" si="8"/>
        <v>2025 Nationals</v>
      </c>
      <c r="P14" s="7" t="str">
        <f t="shared" si="9"/>
        <v/>
      </c>
      <c r="Q14" s="10" t="str">
        <f t="shared" si="10"/>
        <v/>
      </c>
      <c r="R14" s="7" t="str">
        <f t="shared" si="11"/>
        <v/>
      </c>
      <c r="S14" s="39">
        <v>16.100000000000001</v>
      </c>
      <c r="T14" s="39">
        <v>3.8</v>
      </c>
      <c r="U14" s="39">
        <v>0.4</v>
      </c>
      <c r="V14" s="39">
        <v>0.7</v>
      </c>
      <c r="W14" s="39">
        <v>15.5</v>
      </c>
      <c r="X14" s="39">
        <v>1.9</v>
      </c>
      <c r="Y14" s="39">
        <v>0</v>
      </c>
      <c r="Z14" s="39">
        <v>0</v>
      </c>
      <c r="AA14" s="39"/>
      <c r="AB14" s="39"/>
      <c r="AC14" s="39"/>
      <c r="AD14" s="39"/>
      <c r="AE14" s="39"/>
      <c r="AF14" s="39"/>
      <c r="AG14" s="39"/>
      <c r="AH14" s="39"/>
      <c r="AI14" s="19"/>
      <c r="AJ14" s="42">
        <f t="shared" si="12"/>
        <v>3.8</v>
      </c>
      <c r="AK14" s="42">
        <f t="shared" si="13"/>
        <v>20.200000000000003</v>
      </c>
      <c r="AL14" s="42">
        <f t="shared" si="14"/>
        <v>1.9</v>
      </c>
      <c r="AM14" s="42">
        <f t="shared" si="15"/>
        <v>17.399999999999999</v>
      </c>
      <c r="AN14" s="27">
        <f t="shared" si="16"/>
        <v>5.6999999999999993</v>
      </c>
      <c r="AO14" s="27">
        <f t="shared" si="17"/>
        <v>37.6</v>
      </c>
      <c r="AP14" s="27" t="str">
        <f t="shared" si="18"/>
        <v/>
      </c>
      <c r="AQ14" s="27" t="str">
        <f t="shared" si="19"/>
        <v/>
      </c>
      <c r="AR14" s="27" t="str">
        <f t="shared" si="20"/>
        <v/>
      </c>
      <c r="AS14" s="27" t="str">
        <f t="shared" si="21"/>
        <v/>
      </c>
      <c r="AT14" s="27" t="str">
        <f t="shared" si="22"/>
        <v/>
      </c>
      <c r="AU14" s="27" t="str">
        <f t="shared" si="23"/>
        <v/>
      </c>
      <c r="AV14" s="27">
        <f t="shared" si="24"/>
        <v>37.6</v>
      </c>
      <c r="AW14" s="15">
        <v>16.8</v>
      </c>
      <c r="AX14" s="15">
        <v>3.6</v>
      </c>
      <c r="AY14" s="15">
        <v>0.2</v>
      </c>
      <c r="AZ14" s="15">
        <v>0.7</v>
      </c>
      <c r="BA14" s="15">
        <v>16</v>
      </c>
      <c r="BB14" s="15">
        <v>3.8</v>
      </c>
      <c r="BC14" s="15">
        <v>0.2</v>
      </c>
      <c r="BD14" s="15">
        <v>0.7</v>
      </c>
      <c r="BE14" s="15">
        <v>17.2</v>
      </c>
      <c r="BF14" s="15">
        <v>3.6</v>
      </c>
      <c r="BG14" s="15">
        <v>0</v>
      </c>
      <c r="BH14" s="15">
        <v>0.7</v>
      </c>
      <c r="BI14" s="15">
        <v>17</v>
      </c>
      <c r="BJ14" s="15">
        <v>2.2999999999999998</v>
      </c>
      <c r="BK14" s="15">
        <v>1</v>
      </c>
      <c r="BL14" s="15">
        <v>0</v>
      </c>
      <c r="BM14" s="20"/>
      <c r="BN14" s="43">
        <f t="shared" si="25"/>
        <v>3.6</v>
      </c>
      <c r="BO14" s="43">
        <f t="shared" si="26"/>
        <v>20.900000000000002</v>
      </c>
      <c r="BP14" s="43">
        <f t="shared" si="27"/>
        <v>3.8</v>
      </c>
      <c r="BQ14" s="43">
        <f t="shared" si="28"/>
        <v>20.3</v>
      </c>
      <c r="BR14" s="10">
        <f t="shared" si="29"/>
        <v>7.4</v>
      </c>
      <c r="BS14" s="10">
        <f t="shared" si="30"/>
        <v>41.2</v>
      </c>
      <c r="BT14" s="10">
        <f t="shared" si="31"/>
        <v>3.6</v>
      </c>
      <c r="BU14" s="10">
        <f t="shared" si="32"/>
        <v>21.5</v>
      </c>
      <c r="BV14" s="10">
        <f t="shared" si="33"/>
        <v>2.2999999999999998</v>
      </c>
      <c r="BW14" s="10">
        <f t="shared" si="34"/>
        <v>18.3</v>
      </c>
      <c r="BX14" s="10">
        <f t="shared" si="35"/>
        <v>5.9</v>
      </c>
      <c r="BY14" s="10">
        <f t="shared" si="36"/>
        <v>39.799999999999997</v>
      </c>
      <c r="BZ14" s="10">
        <f t="shared" si="37"/>
        <v>81</v>
      </c>
      <c r="CA14" s="34" t="str">
        <f t="shared" si="38"/>
        <v/>
      </c>
      <c r="CB14" s="34" t="str">
        <f t="shared" si="39"/>
        <v/>
      </c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27" t="str">
        <f t="shared" si="40"/>
        <v/>
      </c>
      <c r="CX14" s="27" t="str">
        <f t="shared" si="41"/>
        <v/>
      </c>
      <c r="CY14" s="27" t="str">
        <f t="shared" si="42"/>
        <v/>
      </c>
      <c r="CZ14" s="27" t="str">
        <f t="shared" si="43"/>
        <v/>
      </c>
      <c r="DA14" s="27" t="str">
        <f t="shared" si="44"/>
        <v/>
      </c>
      <c r="DB14" s="27" t="str">
        <f t="shared" si="45"/>
        <v/>
      </c>
      <c r="DC14" s="27" t="str">
        <f t="shared" si="46"/>
        <v/>
      </c>
      <c r="DD14" s="27" t="str">
        <f t="shared" si="47"/>
        <v/>
      </c>
      <c r="DE14" s="27" t="str">
        <f t="shared" si="48"/>
        <v/>
      </c>
      <c r="DF14" s="27" t="str">
        <f t="shared" si="49"/>
        <v/>
      </c>
      <c r="DG14" s="27" t="str">
        <f t="shared" si="50"/>
        <v/>
      </c>
      <c r="DH14" s="27" t="str">
        <f t="shared" si="51"/>
        <v/>
      </c>
      <c r="DI14" s="27" t="str">
        <f t="shared" si="52"/>
        <v/>
      </c>
      <c r="DJ14" s="27" t="str">
        <f t="shared" si="53"/>
        <v/>
      </c>
      <c r="DK14" s="27" t="str">
        <f t="shared" si="54"/>
        <v/>
      </c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0" t="str">
        <f t="shared" si="55"/>
        <v/>
      </c>
      <c r="EG14" s="10" t="str">
        <f t="shared" si="56"/>
        <v/>
      </c>
      <c r="EH14" s="10" t="str">
        <f t="shared" si="57"/>
        <v/>
      </c>
      <c r="EI14" s="10" t="str">
        <f t="shared" si="58"/>
        <v/>
      </c>
      <c r="EJ14" s="10" t="str">
        <f t="shared" si="59"/>
        <v/>
      </c>
      <c r="EK14" s="10" t="str">
        <f t="shared" si="60"/>
        <v/>
      </c>
      <c r="EL14" s="10" t="str">
        <f t="shared" si="61"/>
        <v/>
      </c>
      <c r="EM14" s="10" t="str">
        <f t="shared" si="62"/>
        <v/>
      </c>
      <c r="EN14" s="10" t="str">
        <f t="shared" si="63"/>
        <v/>
      </c>
      <c r="EO14" s="10" t="str">
        <f t="shared" si="64"/>
        <v/>
      </c>
      <c r="EP14" s="10" t="str">
        <f t="shared" si="65"/>
        <v/>
      </c>
      <c r="EQ14" s="10" t="str">
        <f t="shared" si="66"/>
        <v/>
      </c>
      <c r="ER14" s="10" t="str">
        <f t="shared" si="67"/>
        <v/>
      </c>
      <c r="ES14" s="10" t="str">
        <f t="shared" si="68"/>
        <v/>
      </c>
      <c r="ET14" s="10" t="str">
        <f t="shared" si="69"/>
        <v/>
      </c>
      <c r="EU14" s="44">
        <f t="shared" si="70"/>
        <v>16.450000000000003</v>
      </c>
      <c r="EV14" s="44">
        <f t="shared" si="71"/>
        <v>3.7</v>
      </c>
      <c r="EW14" s="44">
        <f t="shared" si="72"/>
        <v>0.30000000000000004</v>
      </c>
      <c r="EX14" s="44">
        <f t="shared" si="73"/>
        <v>0.7</v>
      </c>
      <c r="EY14" s="44">
        <f t="shared" si="74"/>
        <v>15.75</v>
      </c>
      <c r="EZ14" s="44">
        <f t="shared" si="75"/>
        <v>2.8499999999999996</v>
      </c>
      <c r="FA14" s="44">
        <f t="shared" si="76"/>
        <v>0.1</v>
      </c>
      <c r="FB14" s="44">
        <f t="shared" si="77"/>
        <v>0.35</v>
      </c>
      <c r="FC14" s="44">
        <f t="shared" si="78"/>
        <v>8.6</v>
      </c>
      <c r="FD14" s="44">
        <f t="shared" si="79"/>
        <v>1.8</v>
      </c>
      <c r="FE14" s="44">
        <f t="shared" si="80"/>
        <v>0</v>
      </c>
      <c r="FF14" s="44">
        <f t="shared" si="81"/>
        <v>0.35</v>
      </c>
      <c r="FG14" s="44">
        <f t="shared" si="82"/>
        <v>8.5</v>
      </c>
      <c r="FH14" s="44">
        <f t="shared" si="83"/>
        <v>1.1499999999999999</v>
      </c>
      <c r="FI14" s="44">
        <f t="shared" si="84"/>
        <v>0.5</v>
      </c>
      <c r="FJ14" s="44">
        <f t="shared" si="85"/>
        <v>0</v>
      </c>
      <c r="FK14" s="20" t="s">
        <v>29</v>
      </c>
      <c r="FL14" s="10">
        <f t="shared" si="86"/>
        <v>3.7</v>
      </c>
      <c r="FM14" s="10">
        <f t="shared" si="87"/>
        <v>20.55</v>
      </c>
      <c r="FN14" s="10">
        <f t="shared" si="88"/>
        <v>2.8499999999999996</v>
      </c>
      <c r="FO14" s="10">
        <f t="shared" si="89"/>
        <v>18.850000000000001</v>
      </c>
      <c r="FP14" s="10">
        <f t="shared" si="90"/>
        <v>6.55</v>
      </c>
      <c r="FQ14" s="10">
        <f t="shared" si="93"/>
        <v>39.400000000000006</v>
      </c>
      <c r="FR14" s="10">
        <f t="shared" si="94"/>
        <v>1.8</v>
      </c>
      <c r="FS14" s="10">
        <f t="shared" si="95"/>
        <v>10.75</v>
      </c>
      <c r="FT14" s="10">
        <f t="shared" si="96"/>
        <v>1.1499999999999999</v>
      </c>
      <c r="FU14" s="10">
        <f t="shared" si="97"/>
        <v>9.15</v>
      </c>
      <c r="FV14" s="10">
        <f t="shared" si="98"/>
        <v>2.95</v>
      </c>
      <c r="FW14" s="10">
        <f t="shared" si="91"/>
        <v>19.899999999999999</v>
      </c>
      <c r="FX14" s="10">
        <f t="shared" si="92"/>
        <v>59.300000000000004</v>
      </c>
    </row>
    <row r="15" spans="1:180" x14ac:dyDescent="0.2">
      <c r="A15" s="3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4" t="s">
        <v>98</v>
      </c>
      <c r="C15" s="3" t="s">
        <v>4</v>
      </c>
      <c r="D15" s="3">
        <v>2005</v>
      </c>
      <c r="E15" s="8">
        <f t="shared" si="0"/>
        <v>75.200005740003846</v>
      </c>
      <c r="F15" s="2" t="str">
        <f t="shared" si="1"/>
        <v/>
      </c>
      <c r="G15" s="2" t="str">
        <f t="shared" si="2"/>
        <v/>
      </c>
      <c r="H15" s="26" t="str">
        <f t="shared" si="3"/>
        <v/>
      </c>
      <c r="I15" s="2" t="str">
        <f t="shared" si="4"/>
        <v/>
      </c>
      <c r="J15" s="7">
        <f t="shared" si="5"/>
        <v>38.4</v>
      </c>
      <c r="K15" s="7" t="str">
        <f t="shared" si="6"/>
        <v>2025 Nationals</v>
      </c>
      <c r="L15" s="7">
        <f>IF(J15=AO15,IF(COUNT(AQ15,AS15,BO15,BQ15,BU15,BW15)&gt;1,LARGE((AQ15,AS15,BO15,BQ15,BU15,BW15),1),0),IF(COUNT(AK15,AM15,AQ15,AS15,BU15,BW15)&gt;1,LARGE((AK15,AM15,AQ15,AS15,BU15,BW15),1),0))</f>
        <v>19</v>
      </c>
      <c r="M15" s="7" t="str">
        <f t="shared" si="7"/>
        <v>2025 Nationals</v>
      </c>
      <c r="N15" s="7">
        <f>IF(J15=AO15,IF(COUNT(AQ15,AS15,BO15,BQ15,BU15,BW15)&gt;1,LARGE((AQ15,AS15,BO15,BQ15,BU15,BW15),2),0),IF(COUNT(AK15,AM15,AQ15,AS15,BU15,BW15)&gt;1,LARGE((AK15,AM15,AQ15,AS15,BU15,BW15),2),0))</f>
        <v>17.8</v>
      </c>
      <c r="O15" s="7" t="str">
        <f t="shared" si="8"/>
        <v>2025 Nationals</v>
      </c>
      <c r="P15" s="7" t="str">
        <f t="shared" si="9"/>
        <v/>
      </c>
      <c r="Q15" s="10" t="str">
        <f t="shared" si="10"/>
        <v/>
      </c>
      <c r="R15" s="7" t="str">
        <f t="shared" si="11"/>
        <v/>
      </c>
      <c r="S15" s="39">
        <v>15.8</v>
      </c>
      <c r="T15" s="39">
        <v>1.9</v>
      </c>
      <c r="U15" s="39">
        <v>0</v>
      </c>
      <c r="V15" s="39">
        <v>0</v>
      </c>
      <c r="W15" s="39">
        <v>16.8</v>
      </c>
      <c r="X15" s="39">
        <v>3.9</v>
      </c>
      <c r="Y15" s="39">
        <v>0</v>
      </c>
      <c r="Z15" s="39">
        <v>0</v>
      </c>
      <c r="AA15" s="39">
        <v>15.9</v>
      </c>
      <c r="AB15" s="39">
        <v>1.9</v>
      </c>
      <c r="AC15" s="39">
        <v>0</v>
      </c>
      <c r="AD15" s="39">
        <v>0</v>
      </c>
      <c r="AE15" s="39">
        <v>17.5</v>
      </c>
      <c r="AF15" s="39">
        <v>2.5</v>
      </c>
      <c r="AG15" s="39">
        <v>1</v>
      </c>
      <c r="AH15" s="39">
        <v>0</v>
      </c>
      <c r="AI15" s="19"/>
      <c r="AJ15" s="42">
        <f t="shared" si="12"/>
        <v>1.9</v>
      </c>
      <c r="AK15" s="42">
        <f t="shared" si="13"/>
        <v>17.7</v>
      </c>
      <c r="AL15" s="42">
        <f t="shared" si="14"/>
        <v>3.9</v>
      </c>
      <c r="AM15" s="42">
        <f t="shared" si="15"/>
        <v>20.7</v>
      </c>
      <c r="AN15" s="27">
        <f t="shared" si="16"/>
        <v>5.8</v>
      </c>
      <c r="AO15" s="27">
        <f t="shared" si="17"/>
        <v>38.4</v>
      </c>
      <c r="AP15" s="27">
        <f t="shared" si="18"/>
        <v>1.9</v>
      </c>
      <c r="AQ15" s="27">
        <f t="shared" si="19"/>
        <v>17.8</v>
      </c>
      <c r="AR15" s="27">
        <f t="shared" si="20"/>
        <v>2.5</v>
      </c>
      <c r="AS15" s="27">
        <f t="shared" si="21"/>
        <v>19</v>
      </c>
      <c r="AT15" s="27">
        <f t="shared" si="22"/>
        <v>4.4000000000000004</v>
      </c>
      <c r="AU15" s="27">
        <f t="shared" si="23"/>
        <v>36.799999999999997</v>
      </c>
      <c r="AV15" s="27">
        <f t="shared" si="24"/>
        <v>75.199999999999989</v>
      </c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20"/>
      <c r="BN15" s="43" t="str">
        <f t="shared" si="25"/>
        <v/>
      </c>
      <c r="BO15" s="43" t="str">
        <f t="shared" si="26"/>
        <v/>
      </c>
      <c r="BP15" s="43" t="str">
        <f t="shared" si="27"/>
        <v/>
      </c>
      <c r="BQ15" s="43" t="str">
        <f t="shared" si="28"/>
        <v/>
      </c>
      <c r="BR15" s="10" t="str">
        <f t="shared" si="29"/>
        <v/>
      </c>
      <c r="BS15" s="10" t="str">
        <f t="shared" si="30"/>
        <v/>
      </c>
      <c r="BT15" s="10" t="str">
        <f t="shared" si="31"/>
        <v/>
      </c>
      <c r="BU15" s="10" t="str">
        <f t="shared" si="32"/>
        <v/>
      </c>
      <c r="BV15" s="10" t="str">
        <f t="shared" si="33"/>
        <v/>
      </c>
      <c r="BW15" s="10" t="str">
        <f t="shared" si="34"/>
        <v/>
      </c>
      <c r="BX15" s="10" t="str">
        <f t="shared" si="35"/>
        <v/>
      </c>
      <c r="BY15" s="10" t="str">
        <f t="shared" si="36"/>
        <v/>
      </c>
      <c r="BZ15" s="10" t="str">
        <f t="shared" si="37"/>
        <v/>
      </c>
      <c r="CA15" s="34" t="str">
        <f t="shared" si="38"/>
        <v/>
      </c>
      <c r="CB15" s="34" t="str">
        <f t="shared" si="39"/>
        <v/>
      </c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27" t="str">
        <f t="shared" si="40"/>
        <v/>
      </c>
      <c r="CX15" s="27" t="str">
        <f t="shared" si="41"/>
        <v/>
      </c>
      <c r="CY15" s="27" t="str">
        <f t="shared" si="42"/>
        <v/>
      </c>
      <c r="CZ15" s="27" t="str">
        <f t="shared" si="43"/>
        <v/>
      </c>
      <c r="DA15" s="27" t="str">
        <f t="shared" si="44"/>
        <v/>
      </c>
      <c r="DB15" s="27" t="str">
        <f t="shared" si="45"/>
        <v/>
      </c>
      <c r="DC15" s="27" t="str">
        <f t="shared" si="46"/>
        <v/>
      </c>
      <c r="DD15" s="27" t="str">
        <f t="shared" si="47"/>
        <v/>
      </c>
      <c r="DE15" s="27" t="str">
        <f t="shared" si="48"/>
        <v/>
      </c>
      <c r="DF15" s="27" t="str">
        <f t="shared" si="49"/>
        <v/>
      </c>
      <c r="DG15" s="27" t="str">
        <f t="shared" si="50"/>
        <v/>
      </c>
      <c r="DH15" s="27" t="str">
        <f t="shared" si="51"/>
        <v/>
      </c>
      <c r="DI15" s="27" t="str">
        <f t="shared" si="52"/>
        <v/>
      </c>
      <c r="DJ15" s="27" t="str">
        <f t="shared" si="53"/>
        <v/>
      </c>
      <c r="DK15" s="27" t="str">
        <f t="shared" si="54"/>
        <v/>
      </c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0" t="str">
        <f t="shared" si="55"/>
        <v/>
      </c>
      <c r="EG15" s="10" t="str">
        <f t="shared" si="56"/>
        <v/>
      </c>
      <c r="EH15" s="10" t="str">
        <f t="shared" si="57"/>
        <v/>
      </c>
      <c r="EI15" s="10" t="str">
        <f t="shared" si="58"/>
        <v/>
      </c>
      <c r="EJ15" s="10" t="str">
        <f t="shared" si="59"/>
        <v/>
      </c>
      <c r="EK15" s="10" t="str">
        <f t="shared" si="60"/>
        <v/>
      </c>
      <c r="EL15" s="10" t="str">
        <f t="shared" si="61"/>
        <v/>
      </c>
      <c r="EM15" s="10" t="str">
        <f t="shared" si="62"/>
        <v/>
      </c>
      <c r="EN15" s="10" t="str">
        <f t="shared" si="63"/>
        <v/>
      </c>
      <c r="EO15" s="10" t="str">
        <f t="shared" si="64"/>
        <v/>
      </c>
      <c r="EP15" s="10" t="str">
        <f t="shared" si="65"/>
        <v/>
      </c>
      <c r="EQ15" s="10" t="str">
        <f t="shared" si="66"/>
        <v/>
      </c>
      <c r="ER15" s="10" t="str">
        <f t="shared" si="67"/>
        <v/>
      </c>
      <c r="ES15" s="10" t="str">
        <f t="shared" si="68"/>
        <v/>
      </c>
      <c r="ET15" s="10" t="str">
        <f t="shared" si="69"/>
        <v/>
      </c>
      <c r="EU15" s="44">
        <f t="shared" si="70"/>
        <v>7.9</v>
      </c>
      <c r="EV15" s="44">
        <f t="shared" si="71"/>
        <v>0.95</v>
      </c>
      <c r="EW15" s="44">
        <f t="shared" si="72"/>
        <v>0</v>
      </c>
      <c r="EX15" s="44">
        <f t="shared" si="73"/>
        <v>0</v>
      </c>
      <c r="EY15" s="44">
        <f t="shared" si="74"/>
        <v>8.4</v>
      </c>
      <c r="EZ15" s="44">
        <f t="shared" si="75"/>
        <v>1.95</v>
      </c>
      <c r="FA15" s="44">
        <f t="shared" si="76"/>
        <v>0</v>
      </c>
      <c r="FB15" s="44">
        <f t="shared" si="77"/>
        <v>0</v>
      </c>
      <c r="FC15" s="44">
        <f t="shared" si="78"/>
        <v>7.95</v>
      </c>
      <c r="FD15" s="44">
        <f t="shared" si="79"/>
        <v>0.95</v>
      </c>
      <c r="FE15" s="44">
        <f t="shared" si="80"/>
        <v>0</v>
      </c>
      <c r="FF15" s="44">
        <f t="shared" si="81"/>
        <v>0</v>
      </c>
      <c r="FG15" s="44">
        <f t="shared" si="82"/>
        <v>8.75</v>
      </c>
      <c r="FH15" s="44">
        <f t="shared" si="83"/>
        <v>1.25</v>
      </c>
      <c r="FI15" s="44">
        <f t="shared" si="84"/>
        <v>0.5</v>
      </c>
      <c r="FJ15" s="44">
        <f t="shared" si="85"/>
        <v>0</v>
      </c>
      <c r="FK15" s="20" t="s">
        <v>29</v>
      </c>
      <c r="FL15" s="10">
        <f t="shared" si="86"/>
        <v>0.95</v>
      </c>
      <c r="FM15" s="10">
        <f t="shared" si="87"/>
        <v>8.85</v>
      </c>
      <c r="FN15" s="10">
        <f t="shared" si="88"/>
        <v>1.95</v>
      </c>
      <c r="FO15" s="10">
        <f t="shared" si="89"/>
        <v>10.35</v>
      </c>
      <c r="FP15" s="10">
        <f t="shared" si="90"/>
        <v>2.9</v>
      </c>
      <c r="FQ15" s="10">
        <f t="shared" si="93"/>
        <v>19.2</v>
      </c>
      <c r="FR15" s="10">
        <f t="shared" si="94"/>
        <v>0.95</v>
      </c>
      <c r="FS15" s="10">
        <f t="shared" si="95"/>
        <v>8.9</v>
      </c>
      <c r="FT15" s="10">
        <f t="shared" si="96"/>
        <v>1.25</v>
      </c>
      <c r="FU15" s="10">
        <f t="shared" si="97"/>
        <v>9.5</v>
      </c>
      <c r="FV15" s="10">
        <f t="shared" si="98"/>
        <v>2.2000000000000002</v>
      </c>
      <c r="FW15" s="10">
        <f t="shared" si="91"/>
        <v>18.399999999999999</v>
      </c>
      <c r="FX15" s="10">
        <f t="shared" si="92"/>
        <v>37.599999999999994</v>
      </c>
    </row>
    <row r="16" spans="1:180" x14ac:dyDescent="0.2">
      <c r="A16" s="3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4" t="s">
        <v>97</v>
      </c>
      <c r="C16" s="3" t="s">
        <v>5</v>
      </c>
      <c r="D16" s="3">
        <v>2001</v>
      </c>
      <c r="E16" s="8">
        <f t="shared" si="0"/>
        <v>72.300005560003797</v>
      </c>
      <c r="F16" s="2" t="str">
        <f t="shared" si="1"/>
        <v/>
      </c>
      <c r="G16" s="2" t="str">
        <f t="shared" si="2"/>
        <v/>
      </c>
      <c r="H16" s="26" t="str">
        <f t="shared" si="3"/>
        <v/>
      </c>
      <c r="I16" s="2" t="str">
        <f t="shared" si="4"/>
        <v/>
      </c>
      <c r="J16" s="7">
        <f t="shared" si="5"/>
        <v>37.9</v>
      </c>
      <c r="K16" s="7" t="str">
        <f t="shared" si="6"/>
        <v>2025 3rd Domestic Trial</v>
      </c>
      <c r="L16" s="7">
        <f>IF(J16=AO16,IF(COUNT(AQ16,AS16,BO16,BQ16,BU16,BW16)&gt;1,LARGE((AQ16,AS16,BO16,BQ16,BU16,BW16),1),0),IF(COUNT(AK16,AM16,AQ16,AS16,BU16,BW16)&gt;1,LARGE((AK16,AM16,AQ16,AS16,BU16,BW16),1),0))</f>
        <v>17.7</v>
      </c>
      <c r="M16" s="7" t="str">
        <f t="shared" si="7"/>
        <v>2025 Nationals</v>
      </c>
      <c r="N16" s="7">
        <f>IF(J16=AO16,IF(COUNT(AQ16,AS16,BO16,BQ16,BU16,BW16)&gt;1,LARGE((AQ16,AS16,BO16,BQ16,BU16,BW16),2),0),IF(COUNT(AK16,AM16,AQ16,AS16,BU16,BW16)&gt;1,LARGE((AK16,AM16,AQ16,AS16,BU16,BW16),2),0))</f>
        <v>16.7</v>
      </c>
      <c r="O16" s="7" t="str">
        <f t="shared" si="8"/>
        <v>2025 Nationals</v>
      </c>
      <c r="P16" s="7" t="str">
        <f t="shared" si="9"/>
        <v/>
      </c>
      <c r="Q16" s="10" t="str">
        <f t="shared" si="10"/>
        <v/>
      </c>
      <c r="R16" s="7" t="str">
        <f t="shared" si="11"/>
        <v/>
      </c>
      <c r="S16" s="39">
        <v>16.899999999999999</v>
      </c>
      <c r="T16" s="39">
        <v>3.2</v>
      </c>
      <c r="U16" s="39">
        <v>2.4</v>
      </c>
      <c r="V16" s="39">
        <v>0</v>
      </c>
      <c r="W16" s="39">
        <v>16.7</v>
      </c>
      <c r="X16" s="39">
        <v>2.8</v>
      </c>
      <c r="Y16" s="39">
        <v>2.8</v>
      </c>
      <c r="Z16" s="39">
        <v>0</v>
      </c>
      <c r="AA16" s="39"/>
      <c r="AB16" s="39"/>
      <c r="AC16" s="39"/>
      <c r="AD16" s="39"/>
      <c r="AE16" s="39"/>
      <c r="AF16" s="39"/>
      <c r="AG16" s="39"/>
      <c r="AH16" s="39"/>
      <c r="AI16" s="19"/>
      <c r="AJ16" s="42">
        <f t="shared" si="12"/>
        <v>3.2</v>
      </c>
      <c r="AK16" s="42">
        <f t="shared" si="13"/>
        <v>17.7</v>
      </c>
      <c r="AL16" s="42">
        <f t="shared" si="14"/>
        <v>2.8</v>
      </c>
      <c r="AM16" s="42">
        <f t="shared" si="15"/>
        <v>16.7</v>
      </c>
      <c r="AN16" s="27">
        <f t="shared" si="16"/>
        <v>6</v>
      </c>
      <c r="AO16" s="27">
        <f t="shared" si="17"/>
        <v>34.4</v>
      </c>
      <c r="AP16" s="27" t="str">
        <f t="shared" si="18"/>
        <v/>
      </c>
      <c r="AQ16" s="27" t="str">
        <f t="shared" si="19"/>
        <v/>
      </c>
      <c r="AR16" s="27" t="str">
        <f t="shared" si="20"/>
        <v/>
      </c>
      <c r="AS16" s="27" t="str">
        <f t="shared" si="21"/>
        <v/>
      </c>
      <c r="AT16" s="27" t="str">
        <f t="shared" si="22"/>
        <v/>
      </c>
      <c r="AU16" s="27" t="str">
        <f t="shared" si="23"/>
        <v/>
      </c>
      <c r="AV16" s="27">
        <f t="shared" si="24"/>
        <v>34.4</v>
      </c>
      <c r="AW16" s="15">
        <v>16.600000000000001</v>
      </c>
      <c r="AX16" s="15">
        <v>3.65</v>
      </c>
      <c r="AY16" s="15">
        <v>1.2</v>
      </c>
      <c r="AZ16" s="15">
        <v>0</v>
      </c>
      <c r="BA16" s="15">
        <v>16.549999999999997</v>
      </c>
      <c r="BB16" s="15">
        <v>3.6999999999999997</v>
      </c>
      <c r="BC16" s="15">
        <v>1.4</v>
      </c>
      <c r="BD16" s="15">
        <v>0</v>
      </c>
      <c r="BE16" s="15">
        <v>8.1999999999999993</v>
      </c>
      <c r="BF16" s="15">
        <v>2.4</v>
      </c>
      <c r="BG16" s="15">
        <v>0</v>
      </c>
      <c r="BH16" s="15">
        <v>0</v>
      </c>
      <c r="BI16" s="15">
        <v>7.8</v>
      </c>
      <c r="BJ16" s="15">
        <v>2.2999999999999998</v>
      </c>
      <c r="BK16" s="15">
        <v>0</v>
      </c>
      <c r="BL16" s="15">
        <v>0</v>
      </c>
      <c r="BM16" s="20" t="s">
        <v>29</v>
      </c>
      <c r="BN16" s="43">
        <f t="shared" si="25"/>
        <v>3.65</v>
      </c>
      <c r="BO16" s="43">
        <f t="shared" si="26"/>
        <v>19.05</v>
      </c>
      <c r="BP16" s="43">
        <f t="shared" si="27"/>
        <v>3.6999999999999997</v>
      </c>
      <c r="BQ16" s="43">
        <f t="shared" si="28"/>
        <v>18.849999999999998</v>
      </c>
      <c r="BR16" s="10">
        <f t="shared" si="29"/>
        <v>7.35</v>
      </c>
      <c r="BS16" s="10">
        <f t="shared" si="30"/>
        <v>37.9</v>
      </c>
      <c r="BT16" s="10">
        <f t="shared" si="31"/>
        <v>2.4</v>
      </c>
      <c r="BU16" s="10">
        <f t="shared" si="32"/>
        <v>10.6</v>
      </c>
      <c r="BV16" s="10">
        <f t="shared" si="33"/>
        <v>2.2999999999999998</v>
      </c>
      <c r="BW16" s="10">
        <f t="shared" si="34"/>
        <v>10.1</v>
      </c>
      <c r="BX16" s="10">
        <f t="shared" si="35"/>
        <v>4.6999999999999993</v>
      </c>
      <c r="BY16" s="10">
        <f t="shared" si="36"/>
        <v>20.7</v>
      </c>
      <c r="BZ16" s="10">
        <f t="shared" si="37"/>
        <v>58.599999999999994</v>
      </c>
      <c r="CA16" s="34" t="str">
        <f t="shared" si="38"/>
        <v/>
      </c>
      <c r="CB16" s="34" t="str">
        <f t="shared" si="39"/>
        <v/>
      </c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27" t="str">
        <f t="shared" si="40"/>
        <v/>
      </c>
      <c r="CX16" s="27" t="str">
        <f t="shared" si="41"/>
        <v/>
      </c>
      <c r="CY16" s="27" t="str">
        <f t="shared" si="42"/>
        <v/>
      </c>
      <c r="CZ16" s="27" t="str">
        <f t="shared" si="43"/>
        <v/>
      </c>
      <c r="DA16" s="27" t="str">
        <f t="shared" si="44"/>
        <v/>
      </c>
      <c r="DB16" s="27" t="str">
        <f t="shared" si="45"/>
        <v/>
      </c>
      <c r="DC16" s="27" t="str">
        <f t="shared" si="46"/>
        <v/>
      </c>
      <c r="DD16" s="27" t="str">
        <f t="shared" si="47"/>
        <v/>
      </c>
      <c r="DE16" s="27" t="str">
        <f t="shared" si="48"/>
        <v/>
      </c>
      <c r="DF16" s="27" t="str">
        <f t="shared" si="49"/>
        <v/>
      </c>
      <c r="DG16" s="27" t="str">
        <f t="shared" si="50"/>
        <v/>
      </c>
      <c r="DH16" s="27" t="str">
        <f t="shared" si="51"/>
        <v/>
      </c>
      <c r="DI16" s="27" t="str">
        <f t="shared" si="52"/>
        <v/>
      </c>
      <c r="DJ16" s="27" t="str">
        <f t="shared" si="53"/>
        <v/>
      </c>
      <c r="DK16" s="27" t="str">
        <f t="shared" si="54"/>
        <v/>
      </c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0" t="str">
        <f t="shared" si="55"/>
        <v/>
      </c>
      <c r="EG16" s="10" t="str">
        <f t="shared" si="56"/>
        <v/>
      </c>
      <c r="EH16" s="10" t="str">
        <f t="shared" si="57"/>
        <v/>
      </c>
      <c r="EI16" s="10" t="str">
        <f t="shared" si="58"/>
        <v/>
      </c>
      <c r="EJ16" s="10" t="str">
        <f t="shared" si="59"/>
        <v/>
      </c>
      <c r="EK16" s="10" t="str">
        <f t="shared" si="60"/>
        <v/>
      </c>
      <c r="EL16" s="10" t="str">
        <f t="shared" si="61"/>
        <v/>
      </c>
      <c r="EM16" s="10" t="str">
        <f t="shared" si="62"/>
        <v/>
      </c>
      <c r="EN16" s="10" t="str">
        <f t="shared" si="63"/>
        <v/>
      </c>
      <c r="EO16" s="10" t="str">
        <f t="shared" si="64"/>
        <v/>
      </c>
      <c r="EP16" s="10" t="str">
        <f t="shared" si="65"/>
        <v/>
      </c>
      <c r="EQ16" s="10" t="str">
        <f t="shared" si="66"/>
        <v/>
      </c>
      <c r="ER16" s="10" t="str">
        <f t="shared" si="67"/>
        <v/>
      </c>
      <c r="ES16" s="10" t="str">
        <f t="shared" si="68"/>
        <v/>
      </c>
      <c r="ET16" s="10" t="str">
        <f t="shared" si="69"/>
        <v/>
      </c>
      <c r="EU16" s="44">
        <f t="shared" si="70"/>
        <v>13.280000000000001</v>
      </c>
      <c r="EV16" s="44">
        <f t="shared" si="71"/>
        <v>3.4249999999999998</v>
      </c>
      <c r="EW16" s="44">
        <f t="shared" si="72"/>
        <v>1.7999999999999998</v>
      </c>
      <c r="EX16" s="44">
        <f t="shared" si="73"/>
        <v>0</v>
      </c>
      <c r="EY16" s="44">
        <f t="shared" si="74"/>
        <v>16.625</v>
      </c>
      <c r="EZ16" s="44">
        <f t="shared" si="75"/>
        <v>3.25</v>
      </c>
      <c r="FA16" s="44">
        <f t="shared" si="76"/>
        <v>2.0999999999999996</v>
      </c>
      <c r="FB16" s="44">
        <f t="shared" si="77"/>
        <v>0</v>
      </c>
      <c r="FC16" s="44">
        <f t="shared" si="78"/>
        <v>4.0999999999999996</v>
      </c>
      <c r="FD16" s="44">
        <f t="shared" si="79"/>
        <v>1.2</v>
      </c>
      <c r="FE16" s="44">
        <f t="shared" si="80"/>
        <v>0</v>
      </c>
      <c r="FF16" s="44">
        <f t="shared" si="81"/>
        <v>0</v>
      </c>
      <c r="FG16" s="44">
        <f t="shared" si="82"/>
        <v>3.9</v>
      </c>
      <c r="FH16" s="44">
        <f t="shared" si="83"/>
        <v>1.1499999999999999</v>
      </c>
      <c r="FI16" s="44">
        <f t="shared" si="84"/>
        <v>0</v>
      </c>
      <c r="FJ16" s="44">
        <f t="shared" si="85"/>
        <v>0</v>
      </c>
      <c r="FK16" s="20" t="s">
        <v>29</v>
      </c>
      <c r="FL16" s="10">
        <f t="shared" si="86"/>
        <v>3.4249999999999998</v>
      </c>
      <c r="FM16" s="10">
        <f t="shared" si="87"/>
        <v>14.905000000000001</v>
      </c>
      <c r="FN16" s="10">
        <f t="shared" si="88"/>
        <v>3.25</v>
      </c>
      <c r="FO16" s="10">
        <f t="shared" si="89"/>
        <v>17.774999999999999</v>
      </c>
      <c r="FP16" s="10">
        <f t="shared" si="90"/>
        <v>6.6749999999999998</v>
      </c>
      <c r="FQ16" s="10">
        <f t="shared" si="93"/>
        <v>32.68</v>
      </c>
      <c r="FR16" s="10">
        <f t="shared" si="94"/>
        <v>1.2</v>
      </c>
      <c r="FS16" s="10">
        <f t="shared" si="95"/>
        <v>5.3</v>
      </c>
      <c r="FT16" s="10">
        <f t="shared" si="96"/>
        <v>1.1499999999999999</v>
      </c>
      <c r="FU16" s="10">
        <f t="shared" si="97"/>
        <v>5.05</v>
      </c>
      <c r="FV16" s="10">
        <f t="shared" si="98"/>
        <v>2.3499999999999996</v>
      </c>
      <c r="FW16" s="10">
        <f t="shared" si="91"/>
        <v>10.35</v>
      </c>
      <c r="FX16" s="10">
        <f t="shared" si="92"/>
        <v>43.03</v>
      </c>
    </row>
    <row r="17" spans="1:180" x14ac:dyDescent="0.2">
      <c r="A17" s="3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4" t="s">
        <v>96</v>
      </c>
      <c r="C17" s="3" t="s">
        <v>4</v>
      </c>
      <c r="D17" s="3">
        <v>2005</v>
      </c>
      <c r="E17" s="8">
        <f t="shared" si="0"/>
        <v>39.900000000000006</v>
      </c>
      <c r="F17" s="2" t="str">
        <f t="shared" si="1"/>
        <v/>
      </c>
      <c r="G17" s="2" t="str">
        <f t="shared" si="2"/>
        <v/>
      </c>
      <c r="H17" s="26" t="str">
        <f t="shared" si="3"/>
        <v/>
      </c>
      <c r="I17" s="2" t="str">
        <f t="shared" si="4"/>
        <v/>
      </c>
      <c r="J17" s="7">
        <f t="shared" si="5"/>
        <v>0</v>
      </c>
      <c r="K17" s="7" t="str">
        <f t="shared" si="6"/>
        <v/>
      </c>
      <c r="L17" s="7">
        <f>IF(J17=AO17,IF(COUNT(AQ17,AS17,BO17,BQ17,BU17,BW17)&gt;1,LARGE((AQ17,AS17,BO17,BQ17,BU17,BW17),1),0),IF(COUNT(AK17,AM17,AQ17,AS17,BU17,BW17)&gt;1,LARGE((AK17,AM17,AQ17,AS17,BU17,BW17),1),0))</f>
        <v>0</v>
      </c>
      <c r="M17" s="7" t="str">
        <f t="shared" si="7"/>
        <v/>
      </c>
      <c r="N17" s="7">
        <f>IF(J17=AO17,IF(COUNT(AQ17,AS17,BO17,BQ17,BU17,BW17)&gt;1,LARGE((AQ17,AS17,BO17,BQ17,BU17,BW17),2),0),IF(COUNT(AK17,AM17,AQ17,AS17,BU17,BW17)&gt;1,LARGE((AK17,AM17,AQ17,AS17,BU17,BW17),2),0))</f>
        <v>0</v>
      </c>
      <c r="O17" s="7" t="str">
        <f t="shared" si="8"/>
        <v/>
      </c>
      <c r="P17" s="7">
        <f t="shared" si="9"/>
        <v>39.900000000000006</v>
      </c>
      <c r="Q17" s="10" t="str">
        <f t="shared" si="10"/>
        <v>(Q1)</v>
      </c>
      <c r="R17" s="7" t="str">
        <f t="shared" si="11"/>
        <v>2025 WAGC (Nov 16)</v>
      </c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19"/>
      <c r="AJ17" s="42" t="str">
        <f t="shared" si="12"/>
        <v/>
      </c>
      <c r="AK17" s="42" t="str">
        <f t="shared" si="13"/>
        <v/>
      </c>
      <c r="AL17" s="42" t="str">
        <f t="shared" si="14"/>
        <v/>
      </c>
      <c r="AM17" s="42" t="str">
        <f t="shared" si="15"/>
        <v/>
      </c>
      <c r="AN17" s="27" t="str">
        <f t="shared" si="16"/>
        <v/>
      </c>
      <c r="AO17" s="27" t="str">
        <f t="shared" si="17"/>
        <v/>
      </c>
      <c r="AP17" s="27" t="str">
        <f t="shared" si="18"/>
        <v/>
      </c>
      <c r="AQ17" s="27" t="str">
        <f t="shared" si="19"/>
        <v/>
      </c>
      <c r="AR17" s="27" t="str">
        <f t="shared" si="20"/>
        <v/>
      </c>
      <c r="AS17" s="27" t="str">
        <f t="shared" si="21"/>
        <v/>
      </c>
      <c r="AT17" s="27" t="str">
        <f t="shared" si="22"/>
        <v/>
      </c>
      <c r="AU17" s="27" t="str">
        <f t="shared" si="23"/>
        <v/>
      </c>
      <c r="AV17" s="27" t="str">
        <f t="shared" si="24"/>
        <v/>
      </c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20"/>
      <c r="BN17" s="43" t="str">
        <f t="shared" si="25"/>
        <v/>
      </c>
      <c r="BO17" s="43" t="str">
        <f t="shared" si="26"/>
        <v/>
      </c>
      <c r="BP17" s="43" t="str">
        <f t="shared" si="27"/>
        <v/>
      </c>
      <c r="BQ17" s="43" t="str">
        <f t="shared" si="28"/>
        <v/>
      </c>
      <c r="BR17" s="10" t="str">
        <f t="shared" si="29"/>
        <v/>
      </c>
      <c r="BS17" s="10" t="str">
        <f t="shared" si="30"/>
        <v/>
      </c>
      <c r="BT17" s="10" t="str">
        <f t="shared" si="31"/>
        <v/>
      </c>
      <c r="BU17" s="10" t="str">
        <f t="shared" si="32"/>
        <v/>
      </c>
      <c r="BV17" s="10" t="str">
        <f t="shared" si="33"/>
        <v/>
      </c>
      <c r="BW17" s="10" t="str">
        <f t="shared" si="34"/>
        <v/>
      </c>
      <c r="BX17" s="10" t="str">
        <f t="shared" si="35"/>
        <v/>
      </c>
      <c r="BY17" s="10" t="str">
        <f t="shared" si="36"/>
        <v/>
      </c>
      <c r="BZ17" s="10" t="str">
        <f t="shared" si="37"/>
        <v/>
      </c>
      <c r="CA17" s="34">
        <f t="shared" si="38"/>
        <v>39.900000000000006</v>
      </c>
      <c r="CB17" s="34">
        <f t="shared" si="39"/>
        <v>20.100000000000001</v>
      </c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27" t="str">
        <f t="shared" si="40"/>
        <v/>
      </c>
      <c r="CX17" s="27" t="str">
        <f t="shared" si="41"/>
        <v/>
      </c>
      <c r="CY17" s="27" t="str">
        <f t="shared" si="42"/>
        <v/>
      </c>
      <c r="CZ17" s="27" t="str">
        <f t="shared" si="43"/>
        <v/>
      </c>
      <c r="DA17" s="27" t="str">
        <f t="shared" si="44"/>
        <v/>
      </c>
      <c r="DB17" s="27" t="str">
        <f t="shared" si="45"/>
        <v/>
      </c>
      <c r="DC17" s="27" t="str">
        <f t="shared" si="46"/>
        <v/>
      </c>
      <c r="DD17" s="27" t="str">
        <f t="shared" si="47"/>
        <v/>
      </c>
      <c r="DE17" s="27" t="str">
        <f t="shared" si="48"/>
        <v/>
      </c>
      <c r="DF17" s="27" t="str">
        <f t="shared" si="49"/>
        <v/>
      </c>
      <c r="DG17" s="27" t="str">
        <f t="shared" si="50"/>
        <v/>
      </c>
      <c r="DH17" s="27" t="str">
        <f t="shared" si="51"/>
        <v/>
      </c>
      <c r="DI17" s="27" t="str">
        <f t="shared" si="52"/>
        <v/>
      </c>
      <c r="DJ17" s="27" t="str">
        <f t="shared" si="53"/>
        <v/>
      </c>
      <c r="DK17" s="27" t="str">
        <f t="shared" si="54"/>
        <v/>
      </c>
      <c r="DL17" s="15">
        <v>15.9</v>
      </c>
      <c r="DM17" s="15">
        <v>3.9</v>
      </c>
      <c r="DN17" s="15">
        <v>0</v>
      </c>
      <c r="DO17" s="15">
        <v>0</v>
      </c>
      <c r="DP17" s="15">
        <v>16</v>
      </c>
      <c r="DQ17" s="15">
        <v>4.0999999999999996</v>
      </c>
      <c r="DR17" s="15">
        <v>0</v>
      </c>
      <c r="DS17" s="15">
        <v>0</v>
      </c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0">
        <f t="shared" si="55"/>
        <v>3.9</v>
      </c>
      <c r="EG17" s="10">
        <f t="shared" si="56"/>
        <v>19.8</v>
      </c>
      <c r="EH17" s="10">
        <f t="shared" si="57"/>
        <v>4.0999999999999996</v>
      </c>
      <c r="EI17" s="10">
        <f t="shared" si="58"/>
        <v>20.100000000000001</v>
      </c>
      <c r="EJ17" s="10">
        <f t="shared" si="59"/>
        <v>8</v>
      </c>
      <c r="EK17" s="10">
        <f t="shared" si="60"/>
        <v>39.900000000000006</v>
      </c>
      <c r="EL17" s="10" t="str">
        <f t="shared" si="61"/>
        <v/>
      </c>
      <c r="EM17" s="10" t="str">
        <f t="shared" si="62"/>
        <v/>
      </c>
      <c r="EN17" s="10" t="str">
        <f t="shared" si="63"/>
        <v/>
      </c>
      <c r="EO17" s="10" t="str">
        <f t="shared" si="64"/>
        <v/>
      </c>
      <c r="EP17" s="10" t="str">
        <f t="shared" si="65"/>
        <v/>
      </c>
      <c r="EQ17" s="10" t="str">
        <f t="shared" si="66"/>
        <v/>
      </c>
      <c r="ER17" s="10" t="str">
        <f t="shared" si="67"/>
        <v/>
      </c>
      <c r="ES17" s="10" t="str">
        <f t="shared" si="68"/>
        <v/>
      </c>
      <c r="ET17" s="10">
        <f t="shared" si="69"/>
        <v>39.900000000000006</v>
      </c>
      <c r="EU17" s="44">
        <f t="shared" si="70"/>
        <v>0</v>
      </c>
      <c r="EV17" s="44">
        <f t="shared" si="71"/>
        <v>0</v>
      </c>
      <c r="EW17" s="44">
        <f t="shared" si="72"/>
        <v>0</v>
      </c>
      <c r="EX17" s="44">
        <f t="shared" si="73"/>
        <v>0</v>
      </c>
      <c r="EY17" s="44">
        <f t="shared" si="74"/>
        <v>0</v>
      </c>
      <c r="EZ17" s="44">
        <f t="shared" si="75"/>
        <v>0</v>
      </c>
      <c r="FA17" s="44">
        <f t="shared" si="76"/>
        <v>0</v>
      </c>
      <c r="FB17" s="44">
        <f t="shared" si="77"/>
        <v>0</v>
      </c>
      <c r="FC17" s="44">
        <f t="shared" si="78"/>
        <v>0</v>
      </c>
      <c r="FD17" s="44">
        <f t="shared" si="79"/>
        <v>0</v>
      </c>
      <c r="FE17" s="44">
        <f t="shared" si="80"/>
        <v>0</v>
      </c>
      <c r="FF17" s="44">
        <f t="shared" si="81"/>
        <v>0</v>
      </c>
      <c r="FG17" s="44">
        <f t="shared" si="82"/>
        <v>0</v>
      </c>
      <c r="FH17" s="44">
        <f t="shared" si="83"/>
        <v>0</v>
      </c>
      <c r="FI17" s="44">
        <f t="shared" si="84"/>
        <v>0</v>
      </c>
      <c r="FJ17" s="44">
        <f t="shared" si="85"/>
        <v>0</v>
      </c>
      <c r="FK17" s="20" t="s">
        <v>29</v>
      </c>
      <c r="FL17" s="10">
        <f t="shared" si="86"/>
        <v>0</v>
      </c>
      <c r="FM17" s="10">
        <f t="shared" si="87"/>
        <v>0</v>
      </c>
      <c r="FN17" s="10">
        <f t="shared" si="88"/>
        <v>0</v>
      </c>
      <c r="FO17" s="10">
        <f t="shared" si="89"/>
        <v>0</v>
      </c>
      <c r="FP17" s="10" t="str">
        <f t="shared" si="90"/>
        <v/>
      </c>
      <c r="FQ17" s="10" t="str">
        <f t="shared" si="93"/>
        <v/>
      </c>
      <c r="FR17" s="10">
        <f t="shared" si="94"/>
        <v>0</v>
      </c>
      <c r="FS17" s="10">
        <f t="shared" si="95"/>
        <v>0</v>
      </c>
      <c r="FT17" s="10">
        <f t="shared" si="96"/>
        <v>0</v>
      </c>
      <c r="FU17" s="10">
        <f t="shared" si="97"/>
        <v>0</v>
      </c>
      <c r="FV17" s="10" t="str">
        <f t="shared" si="98"/>
        <v/>
      </c>
      <c r="FW17" s="10" t="str">
        <f t="shared" si="91"/>
        <v/>
      </c>
      <c r="FX17" s="10" t="str">
        <f t="shared" si="92"/>
        <v/>
      </c>
    </row>
    <row r="18" spans="1:180" x14ac:dyDescent="0.2">
      <c r="A18" s="3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4" t="s">
        <v>115</v>
      </c>
      <c r="C18" s="3" t="s">
        <v>3</v>
      </c>
      <c r="D18" s="3">
        <v>2008</v>
      </c>
      <c r="E18" s="8">
        <f t="shared" si="0"/>
        <v>0</v>
      </c>
      <c r="F18" s="2" t="str">
        <f t="shared" si="1"/>
        <v/>
      </c>
      <c r="G18" s="2" t="str">
        <f t="shared" si="2"/>
        <v/>
      </c>
      <c r="H18" s="26" t="str">
        <f t="shared" si="3"/>
        <v/>
      </c>
      <c r="I18" s="2" t="str">
        <f t="shared" si="4"/>
        <v/>
      </c>
      <c r="J18" s="7">
        <f t="shared" si="5"/>
        <v>0</v>
      </c>
      <c r="K18" s="7" t="str">
        <f t="shared" si="6"/>
        <v/>
      </c>
      <c r="L18" s="7">
        <f>IF(J18=AO18,IF(COUNT(AQ18,AS18,BO18,BQ18,BU18,BW18)&gt;1,LARGE((AQ18,AS18,BO18,BQ18,BU18,BW18),1),0),IF(COUNT(AK18,AM18,AQ18,AS18,BU18,BW18)&gt;1,LARGE((AK18,AM18,AQ18,AS18,BU18,BW18),1),0))</f>
        <v>0</v>
      </c>
      <c r="M18" s="7" t="str">
        <f t="shared" si="7"/>
        <v/>
      </c>
      <c r="N18" s="7">
        <f>IF(J18=AO18,IF(COUNT(AQ18,AS18,BO18,BQ18,BU18,BW18)&gt;1,LARGE((AQ18,AS18,BO18,BQ18,BU18,BW18),2),0),IF(COUNT(AK18,AM18,AQ18,AS18,BU18,BW18)&gt;1,LARGE((AK18,AM18,AQ18,AS18,BU18,BW18),2),0))</f>
        <v>0</v>
      </c>
      <c r="O18" s="7" t="str">
        <f t="shared" si="8"/>
        <v/>
      </c>
      <c r="P18" s="7" t="str">
        <f t="shared" si="9"/>
        <v/>
      </c>
      <c r="Q18" s="10" t="str">
        <f t="shared" si="10"/>
        <v/>
      </c>
      <c r="R18" s="7" t="str">
        <f t="shared" si="11"/>
        <v/>
      </c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19"/>
      <c r="AJ18" s="42" t="str">
        <f t="shared" si="12"/>
        <v/>
      </c>
      <c r="AK18" s="42" t="str">
        <f t="shared" si="13"/>
        <v/>
      </c>
      <c r="AL18" s="42" t="str">
        <f t="shared" si="14"/>
        <v/>
      </c>
      <c r="AM18" s="42" t="str">
        <f t="shared" si="15"/>
        <v/>
      </c>
      <c r="AN18" s="27" t="str">
        <f t="shared" si="16"/>
        <v/>
      </c>
      <c r="AO18" s="27" t="str">
        <f t="shared" si="17"/>
        <v/>
      </c>
      <c r="AP18" s="27" t="str">
        <f t="shared" si="18"/>
        <v/>
      </c>
      <c r="AQ18" s="27" t="str">
        <f t="shared" si="19"/>
        <v/>
      </c>
      <c r="AR18" s="27" t="str">
        <f t="shared" si="20"/>
        <v/>
      </c>
      <c r="AS18" s="27" t="str">
        <f t="shared" si="21"/>
        <v/>
      </c>
      <c r="AT18" s="27" t="str">
        <f t="shared" si="22"/>
        <v/>
      </c>
      <c r="AU18" s="27" t="str">
        <f t="shared" si="23"/>
        <v/>
      </c>
      <c r="AV18" s="27" t="str">
        <f t="shared" si="24"/>
        <v/>
      </c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20"/>
      <c r="BN18" s="43" t="str">
        <f t="shared" si="25"/>
        <v/>
      </c>
      <c r="BO18" s="43" t="str">
        <f t="shared" si="26"/>
        <v/>
      </c>
      <c r="BP18" s="43" t="str">
        <f t="shared" si="27"/>
        <v/>
      </c>
      <c r="BQ18" s="43" t="str">
        <f t="shared" si="28"/>
        <v/>
      </c>
      <c r="BR18" s="10" t="str">
        <f t="shared" si="29"/>
        <v/>
      </c>
      <c r="BS18" s="10" t="str">
        <f t="shared" si="30"/>
        <v/>
      </c>
      <c r="BT18" s="10" t="str">
        <f t="shared" si="31"/>
        <v/>
      </c>
      <c r="BU18" s="10" t="str">
        <f t="shared" si="32"/>
        <v/>
      </c>
      <c r="BV18" s="10" t="str">
        <f t="shared" si="33"/>
        <v/>
      </c>
      <c r="BW18" s="10" t="str">
        <f t="shared" si="34"/>
        <v/>
      </c>
      <c r="BX18" s="10" t="str">
        <f t="shared" si="35"/>
        <v/>
      </c>
      <c r="BY18" s="10" t="str">
        <f t="shared" si="36"/>
        <v/>
      </c>
      <c r="BZ18" s="10" t="str">
        <f t="shared" si="37"/>
        <v/>
      </c>
      <c r="CA18" s="34" t="str">
        <f t="shared" si="38"/>
        <v/>
      </c>
      <c r="CB18" s="34" t="str">
        <f t="shared" si="39"/>
        <v/>
      </c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27" t="str">
        <f t="shared" si="40"/>
        <v/>
      </c>
      <c r="CX18" s="27" t="str">
        <f t="shared" si="41"/>
        <v/>
      </c>
      <c r="CY18" s="27" t="str">
        <f t="shared" si="42"/>
        <v/>
      </c>
      <c r="CZ18" s="27" t="str">
        <f t="shared" si="43"/>
        <v/>
      </c>
      <c r="DA18" s="27" t="str">
        <f t="shared" si="44"/>
        <v/>
      </c>
      <c r="DB18" s="27" t="str">
        <f t="shared" si="45"/>
        <v/>
      </c>
      <c r="DC18" s="27" t="str">
        <f t="shared" si="46"/>
        <v/>
      </c>
      <c r="DD18" s="27" t="str">
        <f t="shared" si="47"/>
        <v/>
      </c>
      <c r="DE18" s="27" t="str">
        <f t="shared" si="48"/>
        <v/>
      </c>
      <c r="DF18" s="27" t="str">
        <f t="shared" si="49"/>
        <v/>
      </c>
      <c r="DG18" s="27" t="str">
        <f t="shared" si="50"/>
        <v/>
      </c>
      <c r="DH18" s="27" t="str">
        <f t="shared" si="51"/>
        <v/>
      </c>
      <c r="DI18" s="27" t="str">
        <f t="shared" si="52"/>
        <v/>
      </c>
      <c r="DJ18" s="27" t="str">
        <f t="shared" si="53"/>
        <v/>
      </c>
      <c r="DK18" s="27" t="str">
        <f t="shared" si="54"/>
        <v/>
      </c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0" t="str">
        <f t="shared" si="55"/>
        <v/>
      </c>
      <c r="EG18" s="10" t="str">
        <f t="shared" si="56"/>
        <v/>
      </c>
      <c r="EH18" s="10" t="str">
        <f t="shared" si="57"/>
        <v/>
      </c>
      <c r="EI18" s="10" t="str">
        <f t="shared" si="58"/>
        <v/>
      </c>
      <c r="EJ18" s="10" t="str">
        <f t="shared" si="59"/>
        <v/>
      </c>
      <c r="EK18" s="10" t="str">
        <f t="shared" si="60"/>
        <v/>
      </c>
      <c r="EL18" s="10" t="str">
        <f t="shared" si="61"/>
        <v/>
      </c>
      <c r="EM18" s="10" t="str">
        <f t="shared" si="62"/>
        <v/>
      </c>
      <c r="EN18" s="10" t="str">
        <f t="shared" si="63"/>
        <v/>
      </c>
      <c r="EO18" s="10" t="str">
        <f t="shared" si="64"/>
        <v/>
      </c>
      <c r="EP18" s="10" t="str">
        <f t="shared" si="65"/>
        <v/>
      </c>
      <c r="EQ18" s="10" t="str">
        <f t="shared" si="66"/>
        <v/>
      </c>
      <c r="ER18" s="10" t="str">
        <f t="shared" si="67"/>
        <v/>
      </c>
      <c r="ES18" s="10" t="str">
        <f t="shared" si="68"/>
        <v/>
      </c>
      <c r="ET18" s="10" t="str">
        <f t="shared" si="69"/>
        <v/>
      </c>
      <c r="EU18" s="44">
        <f t="shared" si="70"/>
        <v>0</v>
      </c>
      <c r="EV18" s="44">
        <f t="shared" si="71"/>
        <v>0</v>
      </c>
      <c r="EW18" s="44">
        <f t="shared" si="72"/>
        <v>0</v>
      </c>
      <c r="EX18" s="44">
        <f t="shared" si="73"/>
        <v>0</v>
      </c>
      <c r="EY18" s="44">
        <f t="shared" si="74"/>
        <v>0</v>
      </c>
      <c r="EZ18" s="44">
        <f t="shared" si="75"/>
        <v>0</v>
      </c>
      <c r="FA18" s="44">
        <f t="shared" si="76"/>
        <v>0</v>
      </c>
      <c r="FB18" s="44">
        <f t="shared" si="77"/>
        <v>0</v>
      </c>
      <c r="FC18" s="44">
        <f t="shared" si="78"/>
        <v>0</v>
      </c>
      <c r="FD18" s="44">
        <f t="shared" si="79"/>
        <v>0</v>
      </c>
      <c r="FE18" s="44">
        <f t="shared" si="80"/>
        <v>0</v>
      </c>
      <c r="FF18" s="44">
        <f t="shared" si="81"/>
        <v>0</v>
      </c>
      <c r="FG18" s="44">
        <f t="shared" si="82"/>
        <v>0</v>
      </c>
      <c r="FH18" s="44">
        <f t="shared" si="83"/>
        <v>0</v>
      </c>
      <c r="FI18" s="44">
        <f t="shared" si="84"/>
        <v>0</v>
      </c>
      <c r="FJ18" s="44">
        <f t="shared" si="85"/>
        <v>0</v>
      </c>
      <c r="FK18" s="20" t="s">
        <v>29</v>
      </c>
      <c r="FL18" s="10">
        <f t="shared" si="86"/>
        <v>0</v>
      </c>
      <c r="FM18" s="10">
        <f t="shared" si="87"/>
        <v>0</v>
      </c>
      <c r="FN18" s="10">
        <f t="shared" si="88"/>
        <v>0</v>
      </c>
      <c r="FO18" s="10">
        <f t="shared" si="89"/>
        <v>0</v>
      </c>
      <c r="FP18" s="10" t="str">
        <f t="shared" si="90"/>
        <v/>
      </c>
      <c r="FQ18" s="10" t="str">
        <f t="shared" si="93"/>
        <v/>
      </c>
      <c r="FR18" s="10">
        <f t="shared" si="94"/>
        <v>0</v>
      </c>
      <c r="FS18" s="10">
        <f t="shared" si="95"/>
        <v>0</v>
      </c>
      <c r="FT18" s="10">
        <f t="shared" si="96"/>
        <v>0</v>
      </c>
      <c r="FU18" s="10">
        <f t="shared" si="97"/>
        <v>0</v>
      </c>
      <c r="FV18" s="10" t="str">
        <f t="shared" si="98"/>
        <v/>
      </c>
      <c r="FW18" s="10" t="str">
        <f t="shared" si="91"/>
        <v/>
      </c>
      <c r="FX18" s="10" t="str">
        <f t="shared" si="92"/>
        <v/>
      </c>
    </row>
    <row r="19" spans="1:180" ht="17" x14ac:dyDescent="0.2">
      <c r="P19" s="9"/>
      <c r="Q19" s="9"/>
      <c r="R19" s="9"/>
    </row>
    <row r="20" spans="1:180" ht="17" x14ac:dyDescent="0.2">
      <c r="P20" s="9"/>
      <c r="Q20" s="9"/>
      <c r="R20" s="9"/>
    </row>
    <row r="21" spans="1:180" ht="17" x14ac:dyDescent="0.2">
      <c r="B21" s="17" t="s">
        <v>27</v>
      </c>
      <c r="P21" s="9"/>
      <c r="Q21" s="9"/>
      <c r="R21" s="9"/>
      <c r="AV21" s="28">
        <v>8.6</v>
      </c>
      <c r="BZ21" s="28">
        <v>8.6</v>
      </c>
      <c r="CW21" s="3"/>
      <c r="CX21" s="3"/>
      <c r="CY21" s="3"/>
      <c r="CZ21" s="3"/>
      <c r="DA21" s="3"/>
      <c r="DK21" s="28">
        <v>8.6</v>
      </c>
      <c r="EF21" s="3"/>
      <c r="EG21" s="3"/>
      <c r="EH21" s="3"/>
      <c r="EI21" s="3"/>
      <c r="EJ21" s="3"/>
      <c r="EK21" s="3"/>
      <c r="EL21" s="3"/>
      <c r="ET21" s="28">
        <v>8.6</v>
      </c>
    </row>
    <row r="22" spans="1:180" ht="17" x14ac:dyDescent="0.2">
      <c r="B22" s="22" t="s">
        <v>26</v>
      </c>
      <c r="P22" s="9"/>
      <c r="Q22" s="9"/>
      <c r="R22" s="9"/>
      <c r="AV22" s="40">
        <v>8.6</v>
      </c>
      <c r="BZ22" s="40">
        <v>8.6</v>
      </c>
      <c r="CW22" s="3"/>
      <c r="CX22" s="3"/>
      <c r="CY22" s="3"/>
      <c r="CZ22" s="3"/>
      <c r="DA22" s="3"/>
      <c r="DK22" s="40">
        <v>8.6</v>
      </c>
      <c r="EF22" s="3"/>
      <c r="EG22" s="3"/>
      <c r="EH22" s="3"/>
      <c r="EI22" s="3"/>
      <c r="EJ22" s="3"/>
      <c r="EK22" s="3"/>
      <c r="EL22" s="3"/>
      <c r="ET22" s="40">
        <v>8.6</v>
      </c>
    </row>
    <row r="23" spans="1:180" ht="17" x14ac:dyDescent="0.2">
      <c r="A23" s="4"/>
      <c r="B23" s="23" t="s">
        <v>94</v>
      </c>
      <c r="C23" s="16"/>
      <c r="P23" s="9"/>
      <c r="Q23" s="9"/>
      <c r="R23" s="9"/>
      <c r="AV23" s="29">
        <v>10.4</v>
      </c>
      <c r="BZ23" s="29">
        <v>10.4</v>
      </c>
      <c r="CW23" s="3"/>
      <c r="CX23" s="3"/>
      <c r="CY23" s="3"/>
      <c r="CZ23" s="3"/>
      <c r="DA23" s="3"/>
      <c r="DK23" s="29">
        <v>10.4</v>
      </c>
      <c r="EF23" s="3"/>
      <c r="EG23" s="3"/>
      <c r="EH23" s="3"/>
      <c r="EI23" s="3"/>
      <c r="EJ23" s="3"/>
      <c r="EK23" s="3"/>
      <c r="EL23" s="3"/>
      <c r="ET23" s="29">
        <v>10.4</v>
      </c>
    </row>
    <row r="24" spans="1:180" ht="17" x14ac:dyDescent="0.2">
      <c r="A24" s="4"/>
      <c r="B24" s="25" t="s">
        <v>24</v>
      </c>
      <c r="C24" s="16"/>
      <c r="P24" s="9"/>
      <c r="Q24" s="9"/>
      <c r="R24" s="9"/>
      <c r="AV24" s="30">
        <v>43</v>
      </c>
      <c r="BZ24" s="30">
        <v>43</v>
      </c>
      <c r="CW24" s="3"/>
      <c r="CX24" s="3"/>
      <c r="CY24" s="3"/>
      <c r="CZ24" s="3"/>
      <c r="DA24" s="3"/>
      <c r="DK24" s="30">
        <v>43</v>
      </c>
      <c r="EF24" s="3"/>
      <c r="EG24" s="3"/>
      <c r="EH24" s="3"/>
      <c r="EI24" s="3"/>
      <c r="EJ24" s="3"/>
      <c r="EK24" s="3"/>
      <c r="EL24" s="3"/>
      <c r="ET24" s="30">
        <v>43</v>
      </c>
    </row>
    <row r="25" spans="1:180" ht="17" x14ac:dyDescent="0.2">
      <c r="A25" s="4"/>
      <c r="B25" s="18" t="s">
        <v>25</v>
      </c>
      <c r="C25" s="16"/>
      <c r="P25" s="9"/>
      <c r="Q25" s="9"/>
      <c r="R25" s="9"/>
      <c r="AV25" s="31">
        <v>43.8</v>
      </c>
      <c r="BZ25" s="31">
        <v>43.8</v>
      </c>
      <c r="CW25" s="3"/>
      <c r="CX25" s="3"/>
      <c r="CY25" s="3"/>
      <c r="CZ25" s="3"/>
      <c r="DA25" s="3"/>
      <c r="DK25" s="31">
        <v>43.8</v>
      </c>
      <c r="EF25" s="3"/>
      <c r="EG25" s="3"/>
      <c r="EH25" s="3"/>
      <c r="EI25" s="3"/>
      <c r="EJ25" s="3"/>
      <c r="EK25" s="3"/>
      <c r="EL25" s="3"/>
      <c r="ET25" s="31">
        <v>43.8</v>
      </c>
    </row>
    <row r="26" spans="1:180" ht="17" x14ac:dyDescent="0.2">
      <c r="A26" s="4"/>
      <c r="B26" s="24" t="s">
        <v>93</v>
      </c>
      <c r="C26" s="16"/>
      <c r="P26" s="9"/>
      <c r="Q26" s="9"/>
      <c r="R26" s="9"/>
      <c r="AV26" s="32">
        <v>44.8</v>
      </c>
      <c r="BZ26" s="32">
        <v>44.8</v>
      </c>
      <c r="CW26" s="3"/>
      <c r="CX26" s="3"/>
      <c r="CY26" s="3"/>
      <c r="CZ26" s="3"/>
      <c r="DA26" s="3"/>
      <c r="DK26" s="32">
        <v>44.8</v>
      </c>
      <c r="EF26" s="3"/>
      <c r="EG26" s="3"/>
      <c r="EH26" s="3"/>
      <c r="EI26" s="3"/>
      <c r="EJ26" s="3"/>
      <c r="EK26" s="3"/>
      <c r="EL26" s="3"/>
      <c r="ET26" s="32">
        <v>44.8</v>
      </c>
    </row>
    <row r="27" spans="1:180" x14ac:dyDescent="0.2">
      <c r="B27" s="21" t="s">
        <v>30</v>
      </c>
      <c r="C27" s="1"/>
    </row>
    <row r="28" spans="1:180" x14ac:dyDescent="0.2">
      <c r="A28" s="4"/>
      <c r="B28" s="4"/>
      <c r="C28" s="16"/>
    </row>
    <row r="29" spans="1:180" x14ac:dyDescent="0.2">
      <c r="A29" s="4"/>
      <c r="B29" s="4"/>
      <c r="C29" s="16"/>
    </row>
    <row r="30" spans="1:180" x14ac:dyDescent="0.2">
      <c r="A30" s="4"/>
      <c r="B30" s="4"/>
      <c r="C30" s="16"/>
    </row>
    <row r="31" spans="1:180" x14ac:dyDescent="0.2">
      <c r="A31" s="4"/>
      <c r="B31" s="4"/>
      <c r="C31" s="4"/>
    </row>
    <row r="34" spans="2:2" x14ac:dyDescent="0.2">
      <c r="B34" s="41"/>
    </row>
  </sheetData>
  <sheetProtection sheet="1" formatCells="0" formatColumns="0" formatRows="0"/>
  <autoFilter ref="A1:FP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hiddenButton="1" showButton="0"/>
    <filterColumn colId="36" hiddenButton="1" showButton="0"/>
    <filterColumn colId="37" hiddenButton="1" showButton="0"/>
    <filterColumn colId="38" hiddenButton="1" showButton="0"/>
    <filterColumn colId="39" showButton="0"/>
    <filterColumn colId="40" showButton="0"/>
    <filterColumn colId="41" hiddenButton="1" showButton="0"/>
    <filterColumn colId="42" hiddenButton="1" showButton="0"/>
    <filterColumn colId="43" hiddenButton="1" showButton="0"/>
    <filterColumn colId="44" hiddenButton="1" showButton="0"/>
    <filterColumn colId="45" showButton="0"/>
    <filterColumn colId="46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hiddenButton="1" showButton="0"/>
    <filterColumn colId="66" hiddenButton="1" showButton="0"/>
    <filterColumn colId="67" hiddenButton="1" showButton="0"/>
    <filterColumn colId="68" hiddenButton="1" showButton="0"/>
    <filterColumn colId="69" showButton="0"/>
    <filterColumn colId="70" showButton="0"/>
    <filterColumn colId="71" hiddenButton="1" showButton="0"/>
    <filterColumn colId="72" hiddenButton="1" showButton="0"/>
    <filterColumn colId="73" hiddenButton="1" showButton="0"/>
    <filterColumn colId="74" hiddenButton="1" showButton="0"/>
    <filterColumn colId="75" showButton="0"/>
    <filterColumn colId="76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hiddenButton="1" showButton="0"/>
    <filterColumn colId="102" hiddenButton="1" showButton="0"/>
    <filterColumn colId="103" hiddenButton="1" showButton="0"/>
    <filterColumn colId="104" hiddenButton="1" showButton="0"/>
    <filterColumn colId="105" showButton="0"/>
    <filterColumn colId="106" showButton="0"/>
    <filterColumn colId="107" showButton="0"/>
    <filterColumn colId="108" hiddenButton="1" showButton="0"/>
    <filterColumn colId="109" hiddenButton="1" showButton="0"/>
    <filterColumn colId="110" showButton="0"/>
    <filterColumn colId="111" showButton="0"/>
    <filterColumn colId="112" hiddenButton="1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hiddenButton="1" showButton="0"/>
    <filterColumn colId="137" hiddenButton="1" showButton="0"/>
    <filterColumn colId="138" hiddenButton="1" showButton="0"/>
    <filterColumn colId="139" hiddenButton="1" showButton="0"/>
    <filterColumn colId="140" hiddenButton="1" showButton="0"/>
    <filterColumn colId="141" hiddenButton="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hiddenButton="1" showButton="0"/>
    <filterColumn colId="148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sortState xmlns:xlrd2="http://schemas.microsoft.com/office/spreadsheetml/2017/richdata2" ref="A6:FP18">
      <sortCondition descending="1" ref="F1:F19"/>
    </sortState>
  </autoFilter>
  <mergeCells count="46">
    <mergeCell ref="FC2:FF2"/>
    <mergeCell ref="FG2:FJ2"/>
    <mergeCell ref="CS2:CV2"/>
    <mergeCell ref="DL2:DO2"/>
    <mergeCell ref="DP2:DS2"/>
    <mergeCell ref="DT2:DW2"/>
    <mergeCell ref="DX2:EA2"/>
    <mergeCell ref="EB2:EE2"/>
    <mergeCell ref="CC2:CF2"/>
    <mergeCell ref="CG2:CJ2"/>
    <mergeCell ref="CK2:CN2"/>
    <mergeCell ref="EU2:EX2"/>
    <mergeCell ref="EY2:FB2"/>
    <mergeCell ref="AE2:AH2"/>
    <mergeCell ref="AW2:AZ2"/>
    <mergeCell ref="BA2:BD2"/>
    <mergeCell ref="BE2:BH2"/>
    <mergeCell ref="BI2:BL2"/>
    <mergeCell ref="EU1:FP1"/>
    <mergeCell ref="M1:M3"/>
    <mergeCell ref="N1:N3"/>
    <mergeCell ref="O1:O3"/>
    <mergeCell ref="P1:P3"/>
    <mergeCell ref="Q1:Q3"/>
    <mergeCell ref="R1:R3"/>
    <mergeCell ref="S1:AV1"/>
    <mergeCell ref="AW1:BZ1"/>
    <mergeCell ref="CA1:CB1"/>
    <mergeCell ref="CC1:DK1"/>
    <mergeCell ref="DL1:ET1"/>
    <mergeCell ref="CO2:CR2"/>
    <mergeCell ref="S2:V2"/>
    <mergeCell ref="W2:Z2"/>
    <mergeCell ref="AA2:AD2"/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</mergeCells>
  <conditionalFormatting sqref="A4:A1048576">
    <cfRule type="expression" dxfId="214" priority="44" stopIfTrue="1">
      <formula>IF(A4&gt;8,1,0)</formula>
    </cfRule>
    <cfRule type="expression" dxfId="213" priority="45" stopIfTrue="1">
      <formula>AND(G4="P",F4="")</formula>
    </cfRule>
  </conditionalFormatting>
  <conditionalFormatting sqref="H1:H1048576">
    <cfRule type="containsText" dxfId="212" priority="40" stopIfTrue="1" operator="containsText" text="National Team">
      <formula>NOT(ISERROR(SEARCH("National Team",H1)))</formula>
    </cfRule>
    <cfRule type="containsText" dxfId="211" priority="41" stopIfTrue="1" operator="containsText" text="Worlds Team">
      <formula>NOT(ISERROR(SEARCH("Worlds Team",H1)))</formula>
    </cfRule>
    <cfRule type="containsText" dxfId="210" priority="42" operator="containsText" text="Performance">
      <formula>NOT(ISERROR(SEARCH("Performance",H1)))</formula>
    </cfRule>
    <cfRule type="containsText" dxfId="209" priority="43" stopIfTrue="1" operator="containsText" text="No DD">
      <formula>NOT(ISERROR(SEARCH("No DD",H1)))</formula>
    </cfRule>
  </conditionalFormatting>
  <conditionalFormatting sqref="S4:AV18">
    <cfRule type="expression" dxfId="208" priority="39" stopIfTrue="1">
      <formula>IF($AI4&lt;&gt;"",1,0)</formula>
    </cfRule>
  </conditionalFormatting>
  <conditionalFormatting sqref="AW4:BZ18">
    <cfRule type="expression" dxfId="207" priority="38" stopIfTrue="1">
      <formula>IF($BM4&lt;&gt;"",1,0)</formula>
    </cfRule>
  </conditionalFormatting>
  <conditionalFormatting sqref="M1:M1048576 O1:O1048576 K1:K1048576">
    <cfRule type="expression" dxfId="206" priority="36" stopIfTrue="1">
      <formula>IF(K1=$AW$1,1,0)</formula>
    </cfRule>
    <cfRule type="expression" dxfId="205" priority="37" stopIfTrue="1">
      <formula>IF(K1=$S$1,1,0)</formula>
    </cfRule>
  </conditionalFormatting>
  <conditionalFormatting sqref="AJ1:AJ1048576 BN1:BN1048576 CY1:CY1048576 EH1:EH1048576">
    <cfRule type="cellIs" dxfId="204" priority="177277" stopIfTrue="1" operator="between">
      <formula>AV$23-0.00001</formula>
      <formula>1000</formula>
    </cfRule>
  </conditionalFormatting>
  <conditionalFormatting sqref="AN1:AN1048576 BR1:BR1048576">
    <cfRule type="cellIs" dxfId="203" priority="177289" operator="between">
      <formula>AV$21-0.00001</formula>
      <formula>AV$22-0.00001</formula>
    </cfRule>
    <cfRule type="cellIs" dxfId="202" priority="177290" operator="between">
      <formula>AV$22-0.00001</formula>
      <formula>1000</formula>
    </cfRule>
  </conditionalFormatting>
  <conditionalFormatting sqref="AT1:AT1048576 BX1:BX1048576">
    <cfRule type="cellIs" dxfId="201" priority="177301" operator="between">
      <formula>AV$22-0.00001</formula>
      <formula>1000</formula>
    </cfRule>
    <cfRule type="cellIs" dxfId="200" priority="177302" stopIfTrue="1" operator="between">
      <formula>AV$21-0.00001</formula>
      <formula>AV$22-0.00001</formula>
    </cfRule>
  </conditionalFormatting>
  <conditionalFormatting sqref="AL1:AL1048576 BP1:BP1048576">
    <cfRule type="cellIs" dxfId="199" priority="177313" operator="between">
      <formula>AV$23-0.00001</formula>
      <formula>1000</formula>
    </cfRule>
  </conditionalFormatting>
  <conditionalFormatting sqref="AP1:AP1048576 BT1:BT1048576 DE1:DE1048576 EN1:EN1048576">
    <cfRule type="cellIs" dxfId="198" priority="177319" operator="between">
      <formula>AV$23-0.00001</formula>
      <formula>1000</formula>
    </cfRule>
  </conditionalFormatting>
  <conditionalFormatting sqref="AR1:AR1048576 BV1:BV1048576">
    <cfRule type="cellIs" dxfId="197" priority="177331" operator="between">
      <formula>AV$23-0.00001</formula>
      <formula>1000</formula>
    </cfRule>
  </conditionalFormatting>
  <conditionalFormatting sqref="AK1:AK1048576 BO1:BO1048576">
    <cfRule type="cellIs" dxfId="196" priority="177337" operator="between">
      <formula>AV$26-0.00001</formula>
      <formula>1000</formula>
    </cfRule>
  </conditionalFormatting>
  <conditionalFormatting sqref="AO1:AO1048576 BS1:BS1048576">
    <cfRule type="cellIs" dxfId="195" priority="177343" operator="between">
      <formula>AV$24-0.00001</formula>
      <formula>AV$25-0.00001</formula>
    </cfRule>
    <cfRule type="cellIs" dxfId="194" priority="177344" operator="between">
      <formula>AV$25-0.00001</formula>
      <formula>1000</formula>
    </cfRule>
  </conditionalFormatting>
  <conditionalFormatting sqref="AU1:AU1048576 BY1:BY1048576">
    <cfRule type="cellIs" dxfId="193" priority="177355" stopIfTrue="1" operator="between">
      <formula>AV$25-0.00001</formula>
      <formula>1000</formula>
    </cfRule>
    <cfRule type="cellIs" dxfId="192" priority="177356" operator="between">
      <formula>AV$24-0.00001</formula>
      <formula>AV$25-0.00001</formula>
    </cfRule>
  </conditionalFormatting>
  <conditionalFormatting sqref="AM1:AM1048576 BQ1:BQ1048576">
    <cfRule type="cellIs" dxfId="191" priority="177367" stopIfTrue="1" operator="between">
      <formula>AV$26-0.00001</formula>
      <formula>1000</formula>
    </cfRule>
    <cfRule type="cellIs" dxfId="190" priority="177368" operator="between">
      <formula>AT$26-0.00001</formula>
      <formula>#REF!-0.00001</formula>
    </cfRule>
  </conditionalFormatting>
  <conditionalFormatting sqref="AQ1:AQ1048576 BU1:BU1048576">
    <cfRule type="cellIs" dxfId="189" priority="177379" stopIfTrue="1" operator="between">
      <formula>AV$26-0.00001</formula>
      <formula>1000</formula>
    </cfRule>
  </conditionalFormatting>
  <conditionalFormatting sqref="AS1:AS1048576 BW1:BW1048576">
    <cfRule type="cellIs" dxfId="188" priority="177385" stopIfTrue="1" operator="between">
      <formula>AV$26-0.00001</formula>
      <formula>1000</formula>
    </cfRule>
  </conditionalFormatting>
  <conditionalFormatting sqref="CW1:CW1048576 EF1:EF1048576">
    <cfRule type="cellIs" dxfId="187" priority="177391" operator="between">
      <formula>DK$23-0.00001</formula>
      <formula>1000</formula>
    </cfRule>
  </conditionalFormatting>
  <conditionalFormatting sqref="CX1:CX1048576 EG1:EG1048576">
    <cfRule type="cellIs" dxfId="186" priority="177397" operator="between">
      <formula>DK$26-0.00001</formula>
      <formula>1000</formula>
    </cfRule>
  </conditionalFormatting>
  <conditionalFormatting sqref="DA1:DA1048576 EJ1:EJ1048576">
    <cfRule type="cellIs" dxfId="185" priority="177403" stopIfTrue="1" operator="between">
      <formula>DK$21-0.00001</formula>
      <formula>DK$22-0.00001</formula>
    </cfRule>
    <cfRule type="cellIs" dxfId="184" priority="177404" operator="between">
      <formula>DK$22-0.00001</formula>
      <formula>1000</formula>
    </cfRule>
  </conditionalFormatting>
  <conditionalFormatting sqref="DB1:DB1048576 EK1:EK1048576">
    <cfRule type="cellIs" dxfId="183" priority="177415" operator="between">
      <formula>DK$24-0.00001</formula>
      <formula>DK$25-0.00001</formula>
    </cfRule>
    <cfRule type="cellIs" dxfId="182" priority="177416" stopIfTrue="1" operator="between">
      <formula>DK$25-0.00001</formula>
      <formula>1000</formula>
    </cfRule>
  </conditionalFormatting>
  <conditionalFormatting sqref="DC1:DC1048576 EL1:EL1048576">
    <cfRule type="cellIs" dxfId="181" priority="177427" operator="between">
      <formula>DK$23-0.00001</formula>
      <formula>1000</formula>
    </cfRule>
  </conditionalFormatting>
  <conditionalFormatting sqref="DG1:DG1048576 EP1:EP1048576">
    <cfRule type="cellIs" dxfId="180" priority="177433" stopIfTrue="1" operator="between">
      <formula>DK$23-0.00001</formula>
      <formula>1000</formula>
    </cfRule>
  </conditionalFormatting>
  <conditionalFormatting sqref="CZ1:CZ1048576 EI1:EI1048576">
    <cfRule type="cellIs" dxfId="179" priority="177439" stopIfTrue="1" operator="between">
      <formula>DK$26-0.00001</formula>
      <formula>1000</formula>
    </cfRule>
  </conditionalFormatting>
  <conditionalFormatting sqref="DD1:DD1048576 EM1:EM1048576">
    <cfRule type="cellIs" dxfId="178" priority="177445" operator="between">
      <formula>DK$26-0.00001</formula>
      <formula>1000</formula>
    </cfRule>
  </conditionalFormatting>
  <conditionalFormatting sqref="DF1:DF1048576 EO1:EO1048576">
    <cfRule type="cellIs" dxfId="177" priority="177451" operator="between">
      <formula>DK$26-0.00001</formula>
      <formula>1000</formula>
    </cfRule>
  </conditionalFormatting>
  <conditionalFormatting sqref="DH1:DH1048576 EQ1:EQ1048576">
    <cfRule type="cellIs" dxfId="176" priority="177457" operator="between">
      <formula>DK$26-0.00001</formula>
      <formula>1000</formula>
    </cfRule>
  </conditionalFormatting>
  <conditionalFormatting sqref="DI1:DI1048576 ER1:ER1048576">
    <cfRule type="cellIs" dxfId="175" priority="177463" operator="between">
      <formula>DK$22-0.00001</formula>
      <formula>1000</formula>
    </cfRule>
    <cfRule type="cellIs" dxfId="174" priority="177464" operator="between">
      <formula>DK$21-0.00001</formula>
      <formula>DK$22-0.00001</formula>
    </cfRule>
  </conditionalFormatting>
  <conditionalFormatting sqref="DJ1:DJ1048576 ES1:ES1048576">
    <cfRule type="cellIs" dxfId="173" priority="177475" operator="between">
      <formula>DK$24-0.00001</formula>
      <formula>DK$25-0.00001</formula>
    </cfRule>
    <cfRule type="cellIs" dxfId="172" priority="177476" operator="between">
      <formula>DK$25-0.00001</formula>
      <formula>1000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959D3-23FC-5449-AFC3-E6652BF290CD}">
  <sheetPr codeName="Sheet21"/>
  <dimension ref="A1:FX3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2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5" width="10.83203125" hidden="1" customWidth="1"/>
    <col min="36" max="39" width="10.83203125" customWidth="1"/>
    <col min="40" max="48" width="10.83203125" style="26" customWidth="1"/>
    <col min="49" max="65" width="10.83203125" hidden="1" customWidth="1"/>
    <col min="66" max="69" width="10.83203125" customWidth="1"/>
    <col min="70" max="80" width="10.83203125" style="26" customWidth="1"/>
    <col min="81" max="100" width="10.83203125" hidden="1" customWidth="1"/>
    <col min="101" max="115" width="10.83203125" style="26" customWidth="1"/>
    <col min="116" max="135" width="10.83203125" hidden="1" customWidth="1"/>
    <col min="136" max="150" width="10.83203125" style="26" customWidth="1"/>
    <col min="151" max="180" width="10.83203125" hidden="1" customWidth="1"/>
    <col min="181" max="182" width="10.83203125" customWidth="1"/>
  </cols>
  <sheetData>
    <row r="1" spans="1:180" ht="16" customHeight="1" x14ac:dyDescent="0.2">
      <c r="A1" s="47" t="s">
        <v>1</v>
      </c>
      <c r="B1" s="47" t="s">
        <v>14</v>
      </c>
      <c r="C1" s="47" t="s">
        <v>0</v>
      </c>
      <c r="D1" s="47" t="s">
        <v>31</v>
      </c>
      <c r="E1" s="47" t="s">
        <v>2</v>
      </c>
      <c r="F1" s="48" t="s">
        <v>64</v>
      </c>
      <c r="G1" s="48" t="s">
        <v>8</v>
      </c>
      <c r="H1" s="47" t="s">
        <v>9</v>
      </c>
      <c r="I1" s="48" t="s">
        <v>50</v>
      </c>
      <c r="J1" s="46" t="s">
        <v>65</v>
      </c>
      <c r="K1" s="49" t="s">
        <v>16</v>
      </c>
      <c r="L1" s="46" t="s">
        <v>79</v>
      </c>
      <c r="M1" s="49" t="s">
        <v>16</v>
      </c>
      <c r="N1" s="46" t="s">
        <v>80</v>
      </c>
      <c r="O1" s="49" t="s">
        <v>16</v>
      </c>
      <c r="P1" s="51" t="s">
        <v>10</v>
      </c>
      <c r="Q1" s="49" t="s">
        <v>17</v>
      </c>
      <c r="R1" s="49" t="s">
        <v>16</v>
      </c>
      <c r="S1" s="56" t="s">
        <v>41</v>
      </c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0" t="s">
        <v>42</v>
      </c>
      <c r="AX1" s="50"/>
      <c r="AY1" s="50"/>
      <c r="AZ1" s="50"/>
      <c r="BA1" s="50"/>
      <c r="BB1" s="50"/>
      <c r="BC1" s="50"/>
      <c r="BD1" s="50"/>
      <c r="BE1" s="50"/>
      <c r="BF1" s="50"/>
      <c r="BG1" s="50"/>
      <c r="BH1" s="50"/>
      <c r="BI1" s="50"/>
      <c r="BJ1" s="50"/>
      <c r="BK1" s="50"/>
      <c r="BL1" s="50"/>
      <c r="BM1" s="50"/>
      <c r="BN1" s="50"/>
      <c r="BO1" s="50"/>
      <c r="BP1" s="50"/>
      <c r="BQ1" s="50"/>
      <c r="BR1" s="50"/>
      <c r="BS1" s="50"/>
      <c r="BT1" s="50"/>
      <c r="BU1" s="50"/>
      <c r="BV1" s="50"/>
      <c r="BW1" s="50"/>
      <c r="BX1" s="50"/>
      <c r="BY1" s="50"/>
      <c r="BZ1" s="50"/>
      <c r="CA1" s="57" t="s">
        <v>66</v>
      </c>
      <c r="CB1" s="57"/>
      <c r="CC1" s="56" t="s">
        <v>43</v>
      </c>
      <c r="CD1" s="56"/>
      <c r="CE1" s="56"/>
      <c r="CF1" s="56"/>
      <c r="CG1" s="56"/>
      <c r="CH1" s="56"/>
      <c r="CI1" s="56"/>
      <c r="CJ1" s="56"/>
      <c r="CK1" s="56"/>
      <c r="CL1" s="56"/>
      <c r="CM1" s="56"/>
      <c r="CN1" s="56"/>
      <c r="CO1" s="56"/>
      <c r="CP1" s="56"/>
      <c r="CQ1" s="56"/>
      <c r="CR1" s="56"/>
      <c r="CS1" s="56"/>
      <c r="CT1" s="56"/>
      <c r="CU1" s="56"/>
      <c r="CV1" s="56"/>
      <c r="CW1" s="56"/>
      <c r="CX1" s="56"/>
      <c r="CY1" s="56"/>
      <c r="CZ1" s="56"/>
      <c r="DA1" s="56"/>
      <c r="DB1" s="56"/>
      <c r="DC1" s="56"/>
      <c r="DD1" s="56"/>
      <c r="DE1" s="56"/>
      <c r="DF1" s="56"/>
      <c r="DG1" s="56"/>
      <c r="DH1" s="56"/>
      <c r="DI1" s="56"/>
      <c r="DJ1" s="56"/>
      <c r="DK1" s="56"/>
      <c r="DL1" s="50" t="s">
        <v>44</v>
      </c>
      <c r="DM1" s="50"/>
      <c r="DN1" s="50"/>
      <c r="DO1" s="50"/>
      <c r="DP1" s="50"/>
      <c r="DQ1" s="50"/>
      <c r="DR1" s="50"/>
      <c r="DS1" s="50"/>
      <c r="DT1" s="50"/>
      <c r="DU1" s="50"/>
      <c r="DV1" s="50"/>
      <c r="DW1" s="50"/>
      <c r="DX1" s="50"/>
      <c r="DY1" s="50"/>
      <c r="DZ1" s="50"/>
      <c r="EA1" s="50"/>
      <c r="EB1" s="50"/>
      <c r="EC1" s="50"/>
      <c r="ED1" s="50"/>
      <c r="EE1" s="50"/>
      <c r="EF1" s="50"/>
      <c r="EG1" s="50"/>
      <c r="EH1" s="50"/>
      <c r="EI1" s="50"/>
      <c r="EJ1" s="50"/>
      <c r="EK1" s="50"/>
      <c r="EL1" s="50"/>
      <c r="EM1" s="50"/>
      <c r="EN1" s="50"/>
      <c r="EO1" s="50"/>
      <c r="EP1" s="50"/>
      <c r="EQ1" s="50"/>
      <c r="ER1" s="50"/>
      <c r="ES1" s="50"/>
      <c r="ET1" s="50"/>
      <c r="EU1" s="50" t="s">
        <v>67</v>
      </c>
      <c r="EV1" s="50"/>
      <c r="EW1" s="50"/>
      <c r="EX1" s="50"/>
      <c r="EY1" s="50"/>
      <c r="EZ1" s="50"/>
      <c r="FA1" s="50"/>
      <c r="FB1" s="50"/>
      <c r="FC1" s="50"/>
      <c r="FD1" s="50"/>
      <c r="FE1" s="50"/>
      <c r="FF1" s="50"/>
      <c r="FG1" s="50"/>
      <c r="FH1" s="50"/>
      <c r="FI1" s="50"/>
      <c r="FJ1" s="50"/>
      <c r="FK1" s="50"/>
      <c r="FL1" s="50"/>
      <c r="FM1" s="50"/>
      <c r="FN1" s="50"/>
      <c r="FO1" s="50"/>
      <c r="FP1" s="50"/>
      <c r="FQ1" s="12"/>
      <c r="FR1" s="12"/>
      <c r="FS1" s="12"/>
      <c r="FT1" s="12"/>
      <c r="FU1" s="12"/>
      <c r="FV1" s="12"/>
      <c r="FW1" s="12"/>
      <c r="FX1" s="12"/>
    </row>
    <row r="2" spans="1:180" x14ac:dyDescent="0.2">
      <c r="A2" s="47"/>
      <c r="B2" s="47"/>
      <c r="C2" s="47"/>
      <c r="D2" s="47"/>
      <c r="E2" s="47"/>
      <c r="F2" s="48"/>
      <c r="G2" s="48"/>
      <c r="H2" s="47"/>
      <c r="I2" s="48"/>
      <c r="J2" s="46"/>
      <c r="K2" s="49"/>
      <c r="L2" s="46"/>
      <c r="M2" s="49"/>
      <c r="N2" s="49"/>
      <c r="O2" s="49"/>
      <c r="P2" s="51"/>
      <c r="Q2" s="49"/>
      <c r="R2" s="49"/>
      <c r="S2" s="53" t="s">
        <v>68</v>
      </c>
      <c r="T2" s="53"/>
      <c r="U2" s="53"/>
      <c r="V2" s="53"/>
      <c r="W2" s="53" t="s">
        <v>69</v>
      </c>
      <c r="X2" s="53"/>
      <c r="Y2" s="53"/>
      <c r="Z2" s="53"/>
      <c r="AA2" s="53" t="s">
        <v>70</v>
      </c>
      <c r="AB2" s="53"/>
      <c r="AC2" s="53"/>
      <c r="AD2" s="53"/>
      <c r="AE2" s="54" t="s">
        <v>71</v>
      </c>
      <c r="AF2" s="54"/>
      <c r="AG2" s="54"/>
      <c r="AH2" s="54"/>
      <c r="AI2" s="13"/>
      <c r="AJ2" s="13" t="s">
        <v>85</v>
      </c>
      <c r="AK2" s="13" t="s">
        <v>81</v>
      </c>
      <c r="AL2" s="13" t="s">
        <v>86</v>
      </c>
      <c r="AM2" s="13" t="s">
        <v>82</v>
      </c>
      <c r="AN2" s="13" t="s">
        <v>72</v>
      </c>
      <c r="AO2" s="13" t="s">
        <v>13</v>
      </c>
      <c r="AP2" s="13" t="s">
        <v>87</v>
      </c>
      <c r="AQ2" s="13" t="s">
        <v>83</v>
      </c>
      <c r="AR2" s="13" t="s">
        <v>88</v>
      </c>
      <c r="AS2" s="13" t="s">
        <v>84</v>
      </c>
      <c r="AT2" s="13" t="s">
        <v>73</v>
      </c>
      <c r="AU2" s="13" t="s">
        <v>74</v>
      </c>
      <c r="AV2" s="13" t="s">
        <v>12</v>
      </c>
      <c r="AW2" s="52" t="s">
        <v>68</v>
      </c>
      <c r="AX2" s="52"/>
      <c r="AY2" s="52"/>
      <c r="AZ2" s="52"/>
      <c r="BA2" s="52" t="s">
        <v>69</v>
      </c>
      <c r="BB2" s="52"/>
      <c r="BC2" s="52"/>
      <c r="BD2" s="52"/>
      <c r="BE2" s="52" t="s">
        <v>70</v>
      </c>
      <c r="BF2" s="52"/>
      <c r="BG2" s="52"/>
      <c r="BH2" s="52"/>
      <c r="BI2" s="55" t="s">
        <v>71</v>
      </c>
      <c r="BJ2" s="55"/>
      <c r="BK2" s="55"/>
      <c r="BL2" s="55"/>
      <c r="BM2" s="12"/>
      <c r="BN2" s="12" t="s">
        <v>85</v>
      </c>
      <c r="BO2" s="12" t="s">
        <v>81</v>
      </c>
      <c r="BP2" s="12" t="s">
        <v>86</v>
      </c>
      <c r="BQ2" s="12" t="s">
        <v>82</v>
      </c>
      <c r="BR2" s="12" t="s">
        <v>72</v>
      </c>
      <c r="BS2" s="12" t="s">
        <v>13</v>
      </c>
      <c r="BT2" s="12" t="s">
        <v>87</v>
      </c>
      <c r="BU2" s="12" t="s">
        <v>83</v>
      </c>
      <c r="BV2" s="12" t="s">
        <v>88</v>
      </c>
      <c r="BW2" s="12" t="s">
        <v>84</v>
      </c>
      <c r="BX2" s="12" t="s">
        <v>73</v>
      </c>
      <c r="BY2" s="12" t="s">
        <v>74</v>
      </c>
      <c r="BZ2" s="12" t="s">
        <v>12</v>
      </c>
      <c r="CA2" s="33" t="s">
        <v>75</v>
      </c>
      <c r="CB2" s="33" t="s">
        <v>89</v>
      </c>
      <c r="CC2" s="53" t="s">
        <v>68</v>
      </c>
      <c r="CD2" s="53"/>
      <c r="CE2" s="53"/>
      <c r="CF2" s="53"/>
      <c r="CG2" s="53" t="s">
        <v>69</v>
      </c>
      <c r="CH2" s="53"/>
      <c r="CI2" s="53"/>
      <c r="CJ2" s="53"/>
      <c r="CK2" s="53" t="s">
        <v>76</v>
      </c>
      <c r="CL2" s="53"/>
      <c r="CM2" s="53"/>
      <c r="CN2" s="53"/>
      <c r="CO2" s="53" t="s">
        <v>70</v>
      </c>
      <c r="CP2" s="53"/>
      <c r="CQ2" s="53"/>
      <c r="CR2" s="53"/>
      <c r="CS2" s="58" t="s">
        <v>71</v>
      </c>
      <c r="CT2" s="58"/>
      <c r="CU2" s="58"/>
      <c r="CV2" s="58"/>
      <c r="CW2" s="13" t="s">
        <v>85</v>
      </c>
      <c r="CX2" s="13" t="s">
        <v>81</v>
      </c>
      <c r="CY2" s="13" t="s">
        <v>86</v>
      </c>
      <c r="CZ2" s="13" t="s">
        <v>82</v>
      </c>
      <c r="DA2" s="13" t="s">
        <v>77</v>
      </c>
      <c r="DB2" s="13" t="s">
        <v>75</v>
      </c>
      <c r="DC2" s="13" t="s">
        <v>90</v>
      </c>
      <c r="DD2" s="13" t="s">
        <v>76</v>
      </c>
      <c r="DE2" s="13" t="s">
        <v>91</v>
      </c>
      <c r="DF2" s="13" t="s">
        <v>70</v>
      </c>
      <c r="DG2" s="13" t="s">
        <v>92</v>
      </c>
      <c r="DH2" s="13" t="s">
        <v>71</v>
      </c>
      <c r="DI2" s="13" t="s">
        <v>73</v>
      </c>
      <c r="DJ2" s="13" t="s">
        <v>74</v>
      </c>
      <c r="DK2" s="13" t="s">
        <v>12</v>
      </c>
      <c r="DL2" s="52" t="s">
        <v>68</v>
      </c>
      <c r="DM2" s="52"/>
      <c r="DN2" s="52"/>
      <c r="DO2" s="52"/>
      <c r="DP2" s="52" t="s">
        <v>69</v>
      </c>
      <c r="DQ2" s="52"/>
      <c r="DR2" s="52"/>
      <c r="DS2" s="52"/>
      <c r="DT2" s="52" t="s">
        <v>76</v>
      </c>
      <c r="DU2" s="52"/>
      <c r="DV2" s="52"/>
      <c r="DW2" s="52"/>
      <c r="DX2" s="52" t="s">
        <v>70</v>
      </c>
      <c r="DY2" s="52"/>
      <c r="DZ2" s="52"/>
      <c r="EA2" s="52"/>
      <c r="EB2" s="55" t="s">
        <v>71</v>
      </c>
      <c r="EC2" s="55"/>
      <c r="ED2" s="55"/>
      <c r="EE2" s="55"/>
      <c r="EF2" s="12" t="s">
        <v>85</v>
      </c>
      <c r="EG2" s="12" t="s">
        <v>81</v>
      </c>
      <c r="EH2" s="12" t="s">
        <v>86</v>
      </c>
      <c r="EI2" s="12" t="s">
        <v>82</v>
      </c>
      <c r="EJ2" s="12" t="s">
        <v>77</v>
      </c>
      <c r="EK2" s="12" t="s">
        <v>75</v>
      </c>
      <c r="EL2" s="12" t="s">
        <v>90</v>
      </c>
      <c r="EM2" s="12" t="s">
        <v>76</v>
      </c>
      <c r="EN2" s="12" t="s">
        <v>91</v>
      </c>
      <c r="EO2" s="12" t="s">
        <v>70</v>
      </c>
      <c r="EP2" s="12" t="s">
        <v>92</v>
      </c>
      <c r="EQ2" s="12" t="s">
        <v>71</v>
      </c>
      <c r="ER2" s="12" t="s">
        <v>73</v>
      </c>
      <c r="ES2" s="12" t="s">
        <v>74</v>
      </c>
      <c r="ET2" s="12" t="s">
        <v>12</v>
      </c>
      <c r="EU2" s="52" t="s">
        <v>68</v>
      </c>
      <c r="EV2" s="52"/>
      <c r="EW2" s="52"/>
      <c r="EX2" s="52"/>
      <c r="EY2" s="52" t="s">
        <v>69</v>
      </c>
      <c r="EZ2" s="52"/>
      <c r="FA2" s="52"/>
      <c r="FB2" s="52"/>
      <c r="FC2" s="52" t="s">
        <v>70</v>
      </c>
      <c r="FD2" s="52"/>
      <c r="FE2" s="52"/>
      <c r="FF2" s="52"/>
      <c r="FG2" s="59" t="s">
        <v>71</v>
      </c>
      <c r="FH2" s="59"/>
      <c r="FI2" s="59"/>
      <c r="FJ2" s="59"/>
      <c r="FK2" s="12"/>
      <c r="FL2" s="12" t="s">
        <v>85</v>
      </c>
      <c r="FM2" s="12" t="s">
        <v>81</v>
      </c>
      <c r="FN2" s="12" t="s">
        <v>86</v>
      </c>
      <c r="FO2" s="12" t="s">
        <v>82</v>
      </c>
      <c r="FP2" s="12" t="s">
        <v>72</v>
      </c>
      <c r="FQ2" s="12" t="s">
        <v>13</v>
      </c>
      <c r="FR2" s="12" t="s">
        <v>87</v>
      </c>
      <c r="FS2" s="12" t="s">
        <v>83</v>
      </c>
      <c r="FT2" s="12" t="s">
        <v>88</v>
      </c>
      <c r="FU2" s="12" t="s">
        <v>84</v>
      </c>
      <c r="FV2" s="12" t="s">
        <v>73</v>
      </c>
      <c r="FW2" s="12" t="s">
        <v>74</v>
      </c>
      <c r="FX2" s="12" t="s">
        <v>12</v>
      </c>
    </row>
    <row r="3" spans="1:180" x14ac:dyDescent="0.2">
      <c r="A3" s="47"/>
      <c r="B3" s="47"/>
      <c r="C3" s="47"/>
      <c r="D3" s="47"/>
      <c r="E3" s="47"/>
      <c r="F3" s="48"/>
      <c r="G3" s="48"/>
      <c r="H3" s="47"/>
      <c r="I3" s="48"/>
      <c r="J3" s="46"/>
      <c r="K3" s="49"/>
      <c r="L3" s="46"/>
      <c r="M3" s="49"/>
      <c r="N3" s="49"/>
      <c r="O3" s="49"/>
      <c r="P3" s="51"/>
      <c r="Q3" s="49"/>
      <c r="R3" s="49"/>
      <c r="S3" s="13" t="s">
        <v>11</v>
      </c>
      <c r="T3" s="13" t="s">
        <v>7</v>
      </c>
      <c r="U3" s="13" t="s">
        <v>15</v>
      </c>
      <c r="V3" s="13" t="s">
        <v>78</v>
      </c>
      <c r="W3" s="13" t="s">
        <v>11</v>
      </c>
      <c r="X3" s="13" t="s">
        <v>7</v>
      </c>
      <c r="Y3" s="13" t="s">
        <v>15</v>
      </c>
      <c r="Z3" s="13" t="s">
        <v>78</v>
      </c>
      <c r="AA3" s="13" t="s">
        <v>11</v>
      </c>
      <c r="AB3" s="13" t="s">
        <v>7</v>
      </c>
      <c r="AC3" s="13" t="s">
        <v>15</v>
      </c>
      <c r="AD3" s="13" t="s">
        <v>78</v>
      </c>
      <c r="AE3" s="35" t="s">
        <v>11</v>
      </c>
      <c r="AF3" s="35" t="s">
        <v>7</v>
      </c>
      <c r="AG3" s="35" t="s">
        <v>15</v>
      </c>
      <c r="AH3" s="35" t="s">
        <v>78</v>
      </c>
      <c r="AI3" s="13" t="s">
        <v>28</v>
      </c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2" t="s">
        <v>11</v>
      </c>
      <c r="AX3" s="12" t="s">
        <v>7</v>
      </c>
      <c r="AY3" s="12" t="s">
        <v>15</v>
      </c>
      <c r="AZ3" s="12" t="s">
        <v>78</v>
      </c>
      <c r="BA3" s="12" t="s">
        <v>11</v>
      </c>
      <c r="BB3" s="12" t="s">
        <v>7</v>
      </c>
      <c r="BC3" s="12" t="s">
        <v>15</v>
      </c>
      <c r="BD3" s="12" t="s">
        <v>78</v>
      </c>
      <c r="BE3" s="12" t="s">
        <v>11</v>
      </c>
      <c r="BF3" s="12" t="s">
        <v>7</v>
      </c>
      <c r="BG3" s="12" t="s">
        <v>15</v>
      </c>
      <c r="BH3" s="12" t="s">
        <v>78</v>
      </c>
      <c r="BI3" s="36" t="s">
        <v>11</v>
      </c>
      <c r="BJ3" s="36" t="s">
        <v>7</v>
      </c>
      <c r="BK3" s="36" t="s">
        <v>15</v>
      </c>
      <c r="BL3" s="36" t="s">
        <v>78</v>
      </c>
      <c r="BM3" s="12" t="s">
        <v>28</v>
      </c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33"/>
      <c r="CB3" s="33"/>
      <c r="CC3" s="13" t="s">
        <v>11</v>
      </c>
      <c r="CD3" s="13" t="s">
        <v>7</v>
      </c>
      <c r="CE3" s="13" t="s">
        <v>15</v>
      </c>
      <c r="CF3" s="13" t="s">
        <v>78</v>
      </c>
      <c r="CG3" s="13" t="s">
        <v>11</v>
      </c>
      <c r="CH3" s="13" t="s">
        <v>7</v>
      </c>
      <c r="CI3" s="13" t="s">
        <v>15</v>
      </c>
      <c r="CJ3" s="13" t="s">
        <v>78</v>
      </c>
      <c r="CK3" s="13" t="s">
        <v>11</v>
      </c>
      <c r="CL3" s="13" t="s">
        <v>7</v>
      </c>
      <c r="CM3" s="13" t="s">
        <v>15</v>
      </c>
      <c r="CN3" s="13" t="s">
        <v>78</v>
      </c>
      <c r="CO3" s="13" t="s">
        <v>11</v>
      </c>
      <c r="CP3" s="13" t="s">
        <v>7</v>
      </c>
      <c r="CQ3" s="13" t="s">
        <v>15</v>
      </c>
      <c r="CR3" s="13" t="s">
        <v>78</v>
      </c>
      <c r="CS3" s="37" t="s">
        <v>11</v>
      </c>
      <c r="CT3" s="37" t="s">
        <v>7</v>
      </c>
      <c r="CU3" s="37" t="s">
        <v>15</v>
      </c>
      <c r="CV3" s="37" t="s">
        <v>78</v>
      </c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2" t="s">
        <v>11</v>
      </c>
      <c r="DM3" s="12" t="s">
        <v>7</v>
      </c>
      <c r="DN3" s="12" t="s">
        <v>15</v>
      </c>
      <c r="DO3" s="12" t="s">
        <v>78</v>
      </c>
      <c r="DP3" s="12" t="s">
        <v>11</v>
      </c>
      <c r="DQ3" s="12" t="s">
        <v>7</v>
      </c>
      <c r="DR3" s="12" t="s">
        <v>15</v>
      </c>
      <c r="DS3" s="12" t="s">
        <v>78</v>
      </c>
      <c r="DT3" s="12" t="s">
        <v>11</v>
      </c>
      <c r="DU3" s="12" t="s">
        <v>7</v>
      </c>
      <c r="DV3" s="12" t="s">
        <v>15</v>
      </c>
      <c r="DW3" s="12" t="s">
        <v>78</v>
      </c>
      <c r="DX3" s="12" t="s">
        <v>11</v>
      </c>
      <c r="DY3" s="12" t="s">
        <v>7</v>
      </c>
      <c r="DZ3" s="12" t="s">
        <v>15</v>
      </c>
      <c r="EA3" s="12" t="s">
        <v>78</v>
      </c>
      <c r="EB3" s="36" t="s">
        <v>11</v>
      </c>
      <c r="EC3" s="36" t="s">
        <v>7</v>
      </c>
      <c r="ED3" s="36" t="s">
        <v>15</v>
      </c>
      <c r="EE3" s="36" t="s">
        <v>78</v>
      </c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 t="s">
        <v>11</v>
      </c>
      <c r="EV3" s="12" t="s">
        <v>7</v>
      </c>
      <c r="EW3" s="12" t="s">
        <v>15</v>
      </c>
      <c r="EX3" s="12" t="s">
        <v>78</v>
      </c>
      <c r="EY3" s="12" t="s">
        <v>11</v>
      </c>
      <c r="EZ3" s="12" t="s">
        <v>7</v>
      </c>
      <c r="FA3" s="12" t="s">
        <v>15</v>
      </c>
      <c r="FB3" s="12" t="s">
        <v>78</v>
      </c>
      <c r="FC3" s="12" t="s">
        <v>11</v>
      </c>
      <c r="FD3" s="12" t="s">
        <v>7</v>
      </c>
      <c r="FE3" s="12" t="s">
        <v>15</v>
      </c>
      <c r="FF3" s="12" t="s">
        <v>78</v>
      </c>
      <c r="FG3" s="38" t="s">
        <v>11</v>
      </c>
      <c r="FH3" s="38" t="s">
        <v>7</v>
      </c>
      <c r="FI3" s="38" t="s">
        <v>15</v>
      </c>
      <c r="FJ3" s="38" t="s">
        <v>78</v>
      </c>
      <c r="FK3" s="12" t="s">
        <v>28</v>
      </c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</row>
    <row r="4" spans="1:180" x14ac:dyDescent="0.2">
      <c r="A4" s="3" t="str" cm="1">
        <f t="array" ref="A4">IF(AND(H4&lt;&gt;"",H4&lt;&gt;"No DD",I4&lt;&gt;"P"),SUMPRODUCT((H$4:H$19&lt;&gt;"")*(H$4:H$19&lt;&gt;"No DD")*(I$4:I$19&lt;&gt;"P")*(E$4:E$19&gt;E4))+1,IF(H4="No DD",SUMPRODUCT((H$4:H$19="No DD")*(I$4:I$19&lt;&gt;"P")*(E$4:E$19&gt;E4))+1+SUMPRODUCT((H$4:H$19&lt;&gt;"")*(I$4:I$19&lt;&gt;"P")*(H$4:H$19&lt;&gt;"No DD")),""))</f>
        <v/>
      </c>
      <c r="B4" s="4" t="s">
        <v>101</v>
      </c>
      <c r="C4" s="3" t="s">
        <v>3</v>
      </c>
      <c r="D4" s="3">
        <v>2006</v>
      </c>
      <c r="E4" s="8">
        <f t="shared" ref="E4:E18" si="0">SUM(J4:P4)+SUM(J4:M4)*0.0000001+SUM(J4)*0.0000000000001</f>
        <v>109.10000779000505</v>
      </c>
      <c r="F4" s="2" t="str">
        <f t="shared" ref="F4:F18" si="1">IF(OR(AND(AO4&lt;&gt;"",AO4&gt;=AV$24,AN4&gt;=AV$21),AND(AU4&lt;&gt;"",AU4&gt;=AV$24,AT4&gt;=AV$21),AND(BS4&lt;&gt;"",BS4&gt;=BZ$24,BR4&gt;=BZ$21),AND(BY4&lt;&gt;"",BY4&gt;=BZ$24,BX4&gt;=BZ$21),AND(DB4&lt;&gt;"",DB4&gt;=DK$24,DA4&gt;=DK$21),AND(DJ4&lt;&gt;"",DJ4&gt;=DK$24,DI4&gt;=DK$21),AND(EK4&lt;&gt;"",EK4&gt;=ET$24,EJ4&gt;=ET$21),AND(ES4&lt;&gt;"",ES4&gt;=ET$24,ER4&gt;=ET$21)),"P","")</f>
        <v>P</v>
      </c>
      <c r="G4" s="2" t="str">
        <f t="shared" ref="G4:G18" si="2">IF(OR(AND(AO4&lt;&gt;"",AO4&gt;=AV$24),AND(AU4&lt;&gt;"",AU4&gt;=AV$24),AND(BS4&lt;&gt;"",BS4&gt;=BZ$24),AND(BY4&lt;&gt;"",BY4&gt;=BZ$24),AND(DB4&lt;&gt;"",DB4&gt;=DK$24),AND(DJ4&lt;&gt;"",DJ4&gt;=DK$24),AND(EK4&lt;&gt;"",EK4&gt;=ET$24),AND(ES4&lt;&gt;"",ES4&gt;=ET$24)),"P","")</f>
        <v>P</v>
      </c>
      <c r="H4" s="26" t="str">
        <f t="shared" ref="H4:H18" si="3">IF(AND(G4="P",F4=""),"No DD",IF(OR(AND(AK4&lt;&gt;"",AK4&gt;=AV$26,AJ4&gt;=AV$23),AND(AM4&lt;&gt;"",AM4&gt;=AV$26,AL4&gt;=AV$23),AND(AQ4&lt;&gt;"",AQ4&gt;=AV$26,AP4&gt;=AV$23),AND(AS4&lt;&gt;"",AS4&gt;=AV$26,AR4&gt;=AV$23),AND(BO4&lt;&gt;"",BO4&gt;=BZ$26,BN4&gt;=BZ$23),AND(BQ4&lt;&gt;"",BQ4&gt;=BZ$26,BP4&gt;=BZ$23),AND(BV4&lt;&gt;"",BV4&gt;=BZ$26,BU4&gt;=BZ$23),AND(BX4&lt;&gt;"",BX4&gt;=BZ$26,BW4&gt;=BZ$23),AND(CX4&lt;&gt;"",CX4&gt;=DK$26,CW4&gt;=DK$23),AND(CZ4&lt;&gt;"",CZ4&gt;=DK$26,CY4&gt;=DK$23),AND(DD4&lt;&gt;"",DD4&gt;=DK$26,DC4&gt;=DK$23),AND(DF4&lt;&gt;"",DF4&gt;=DK$26,DE4&gt;=DK$23),AND(DH4&lt;&gt;"",DH4&gt;=DK$26,DG4&gt;=DK$23),AND(EG4&lt;&gt;"",EG4&gt;=ET$26,EF4&gt;=ET$23),AND(EI4&lt;&gt;"",EI4&gt;=ET$26,EH4&gt;=ET$23),AND(EM4&lt;&gt;"",EM4&gt;=ET$26,EL4&gt;=ET$23),AND(EO4&lt;&gt;"",EO4&gt;=ET$26,EN4&gt;=ET$23),AND(EQ4&lt;&gt;"",EQ4&gt;=ET$26,EP4&gt;=ET$23)),"Performance",IF(I4="P","National Team",IF(F4="P","National Team",""))))</f>
        <v>National Team</v>
      </c>
      <c r="I4" s="2" t="str">
        <f>IF(COUNTIFS('Senior-M'!B:B,B4,'Senior-M'!A:A,"&lt;9",'Senior-M'!H:H,"&lt;&gt;"&amp;"No DD"),"P","")</f>
        <v>P</v>
      </c>
      <c r="J4" s="7">
        <f t="shared" ref="J4:J18" si="4">IF(COUNT(AO4,BS4)&gt;0,MAX(AO4,BS4),0)</f>
        <v>50.5</v>
      </c>
      <c r="K4" s="7" t="str">
        <f t="shared" ref="K4:K18" si="5">IF(J4=0,"",IF(J4=BS4,$AW$1,IF(J4=AO4,$S$1,"")))</f>
        <v>2025 Nationals</v>
      </c>
      <c r="L4" s="7">
        <f>IF(J4=AO4,IF(COUNT(AQ4,AS4,BO4,BQ4,BU4,BW4)&gt;1,LARGE((AQ4,AS4,BO4,BQ4,BU4,BW4),1),0),IF(COUNT(AK4,AM4,AQ4,AS4,BU4,BW4)&gt;1,LARGE((AK4,AM4,AQ4,AS4,BU4,BW4),1),0))</f>
        <v>27.400000000000002</v>
      </c>
      <c r="M4" s="7" t="str">
        <f t="shared" ref="M4:M18" si="6">IF(L4=0,"",IF(OR(L4=BO4,L4=BQ4,L4=BU4,L4=BW4),$AW$1,IF(OR(L4=AK4,L4=AM4,L4=AQ4,L4=AS4),$S$1,"")))</f>
        <v>2025 Nationals</v>
      </c>
      <c r="N4" s="7">
        <f>IF(J4=AO4,IF(COUNT(AQ4,AS4,BO4,BQ4,BU4,BW4)&gt;1,LARGE((AQ4,AS4,BO4,BQ4,BU4,BW4),2),0),IF(COUNT(AK4,AM4,AQ4,AS4,BU4,BW4)&gt;1,LARGE((AK4,AM4,AQ4,AS4,BU4,BW4),2),0))</f>
        <v>27.400000000000002</v>
      </c>
      <c r="O4" s="7" t="str">
        <f t="shared" ref="O4:O18" si="7">IF(N4=0,"",IF(OR(N4=BO4,N4=BQ4,N4=BU4,N4=BW4),$AW$1,IF(OR(N4=AK4,N4=AM4,N4=AQ4,N4=AS4),$S$1,"")))</f>
        <v>2025 Nationals</v>
      </c>
      <c r="P4" s="7">
        <f t="shared" ref="P4:P18" si="8">IF(MAX(CA4:CB4)&gt;0,MAX(CA4:CB4),"")</f>
        <v>3.7999999999999972</v>
      </c>
      <c r="Q4" s="10" t="str">
        <f t="shared" ref="Q4:Q18" si="9">IF(P4="","",IF(P4=CA4,"("&amp;CA$2&amp;")",IF(P4=CB4,"("&amp;CB$2&amp;")")))</f>
        <v>(Q1)</v>
      </c>
      <c r="R4" s="7" t="str">
        <f t="shared" ref="R4:R18" si="10">IF(P4="","",IF(P4=CA4,IF(P4+MAX(J4,0)=EK4,$DL$1,IF(P4+MAX(J4,0)=DB4,$CC$1)),IF(P4=CB4,IF(P4+MAX(N4,0)=MAX(EG4,EI4,EM4,EO4,EQ4),$DL$1,IF(P4+MAX(N4,0)=MAX(CX4,CZ4,DD4,DF4,DH4),$CC$1)))))</f>
        <v>2025 Worlds (Nov 9)</v>
      </c>
      <c r="S4" s="39">
        <v>18.399999999999999</v>
      </c>
      <c r="T4" s="39">
        <v>7.3</v>
      </c>
      <c r="U4" s="39">
        <v>0</v>
      </c>
      <c r="V4" s="39">
        <v>0</v>
      </c>
      <c r="W4" s="39">
        <v>17.899999999999999</v>
      </c>
      <c r="X4" s="39">
        <v>6.9</v>
      </c>
      <c r="Y4" s="39">
        <v>0</v>
      </c>
      <c r="Z4" s="39">
        <v>0</v>
      </c>
      <c r="AA4" s="39">
        <v>18.600000000000001</v>
      </c>
      <c r="AB4" s="39">
        <v>8.8000000000000007</v>
      </c>
      <c r="AC4" s="39">
        <v>0</v>
      </c>
      <c r="AD4" s="39">
        <v>0</v>
      </c>
      <c r="AE4" s="39">
        <v>18.100000000000001</v>
      </c>
      <c r="AF4" s="39">
        <v>9.3000000000000007</v>
      </c>
      <c r="AG4" s="39">
        <v>0</v>
      </c>
      <c r="AH4" s="39">
        <v>0</v>
      </c>
      <c r="AI4" s="19"/>
      <c r="AJ4" s="42">
        <f t="shared" ref="AJ4:AJ18" si="11">IF(T4="","",T4)</f>
        <v>7.3</v>
      </c>
      <c r="AK4" s="42">
        <f t="shared" ref="AK4:AK18" si="12">IF(S4="","",S4+T4+V4-U4)</f>
        <v>25.7</v>
      </c>
      <c r="AL4" s="42">
        <f t="shared" ref="AL4:AL18" si="13">IF(X4="","",X4)</f>
        <v>6.9</v>
      </c>
      <c r="AM4" s="42">
        <f t="shared" ref="AM4:AM18" si="14">IF(W4="","",W4+X4+Z4-Y4)</f>
        <v>24.799999999999997</v>
      </c>
      <c r="AN4" s="27">
        <f t="shared" ref="AN4:AN18" si="15">IF(SUM(T4,X4)&gt;0,SUM(T4,X4),"")</f>
        <v>14.2</v>
      </c>
      <c r="AO4" s="27">
        <f t="shared" ref="AO4:AO18" si="16">IF(SUM(AK4,AM4)&gt;0,SUM(AK4,AM4),"")</f>
        <v>50.5</v>
      </c>
      <c r="AP4" s="27">
        <f t="shared" ref="AP4:AP18" si="17">IF(AB4="","",AB4)</f>
        <v>8.8000000000000007</v>
      </c>
      <c r="AQ4" s="27">
        <f t="shared" ref="AQ4:AQ18" si="18">IF(AA4="","",AA4+AB4+AD4-AC4)</f>
        <v>27.400000000000002</v>
      </c>
      <c r="AR4" s="27">
        <f t="shared" ref="AR4:AR18" si="19">IF(AF4="","",AF4)</f>
        <v>9.3000000000000007</v>
      </c>
      <c r="AS4" s="27">
        <f t="shared" ref="AS4:AS18" si="20">IF(AE4="","",AE4+AF4+AH4-AG4)</f>
        <v>27.400000000000002</v>
      </c>
      <c r="AT4" s="27">
        <f t="shared" ref="AT4:AT18" si="21">IF(SUM(AB4,AF4)&gt;0,SUM(AB4,AF4),"")</f>
        <v>18.100000000000001</v>
      </c>
      <c r="AU4" s="27">
        <f t="shared" ref="AU4:AU18" si="22">IF(SUM(AQ4,AS4)&gt;0,SUM(AQ4,AS4),"")</f>
        <v>54.800000000000004</v>
      </c>
      <c r="AV4" s="27">
        <f t="shared" ref="AV4:AV18" si="23">IF(SUM(AO4,AU4)&gt;0,SUM(AO4,AU4),"")</f>
        <v>105.30000000000001</v>
      </c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20"/>
      <c r="BN4" s="43" t="str">
        <f t="shared" ref="BN4:BN18" si="24">IF(AX4="","",AX4)</f>
        <v/>
      </c>
      <c r="BO4" s="43" t="str">
        <f t="shared" ref="BO4:BO18" si="25">IF(AW4="","",AW4+AX4+AZ4-AY4)</f>
        <v/>
      </c>
      <c r="BP4" s="43" t="str">
        <f t="shared" ref="BP4:BP18" si="26">IF(BB4="","",BB4)</f>
        <v/>
      </c>
      <c r="BQ4" s="43" t="str">
        <f t="shared" ref="BQ4:BQ18" si="27">IF(BA4="","",BA4+BB4+BD4-BC4)</f>
        <v/>
      </c>
      <c r="BR4" s="10" t="str">
        <f t="shared" ref="BR4:BR18" si="28">IF(SUM(AX4,BB4)&gt;0,SUM(AX4,BB4),"")</f>
        <v/>
      </c>
      <c r="BS4" s="10" t="str">
        <f t="shared" ref="BS4:BS18" si="29">IF(SUM(BO4,BQ4)&gt;0,SUM(BO4,BQ4),"")</f>
        <v/>
      </c>
      <c r="BT4" s="10" t="str">
        <f t="shared" ref="BT4:BT18" si="30">IF(BF4="","",BF4)</f>
        <v/>
      </c>
      <c r="BU4" s="10" t="str">
        <f t="shared" ref="BU4:BU18" si="31">IF(BE4="","",BE4+BF4+BH4-BG4)</f>
        <v/>
      </c>
      <c r="BV4" s="10" t="str">
        <f t="shared" ref="BV4:BV18" si="32">IF(BJ4="","",BJ4)</f>
        <v/>
      </c>
      <c r="BW4" s="10" t="str">
        <f t="shared" ref="BW4:BW18" si="33">IF(BI4="","",BI4+BJ4+BL4-BK4)</f>
        <v/>
      </c>
      <c r="BX4" s="10" t="str">
        <f t="shared" ref="BX4:BX18" si="34">IF(SUM(BF4,BJ4)&gt;0,SUM(BF4,BJ4),"")</f>
        <v/>
      </c>
      <c r="BY4" s="10" t="str">
        <f t="shared" ref="BY4:BY18" si="35">IF(SUM(BU4,BW4)&gt;0,SUM(BU4,BW4),"")</f>
        <v/>
      </c>
      <c r="BZ4" s="10" t="str">
        <f t="shared" ref="BZ4:BZ18" si="36">IF(SUM(BS4,BY4)&gt;0,SUM(BS4,BY4),"")</f>
        <v/>
      </c>
      <c r="CA4" s="34">
        <f t="shared" ref="CA4:CA18" si="37">IF(MAX(DB4,EK4)-IF(J4="",0,J4)&gt;0.001,MAX(DB4,EK4)-IF(J4="",0,J4),"")</f>
        <v>3.7999999999999972</v>
      </c>
      <c r="CB4" s="34">
        <f t="shared" ref="CB4:CB18" si="38">IF(MAX(CX4,CZ4,DD4,DF4,DH4,EG4,EI4,EM4,EO4)-IF(N4="",0,N4)&gt;0.001,MAX(CX4,CZ4,DD4,DF4,DH4,EG4,EI4,EM4,EO4)-IF(N4="",0,N4),"")</f>
        <v>0.29999999999999716</v>
      </c>
      <c r="CC4" s="14">
        <v>17.8</v>
      </c>
      <c r="CD4" s="14">
        <v>8.8000000000000007</v>
      </c>
      <c r="CE4" s="14">
        <v>0</v>
      </c>
      <c r="CF4" s="14">
        <v>0</v>
      </c>
      <c r="CG4" s="14">
        <v>18.399999999999999</v>
      </c>
      <c r="CH4" s="14">
        <v>9.3000000000000007</v>
      </c>
      <c r="CI4" s="14">
        <v>0</v>
      </c>
      <c r="CJ4" s="14">
        <v>0</v>
      </c>
      <c r="CK4" s="14">
        <v>18.100000000000001</v>
      </c>
      <c r="CL4" s="14">
        <v>9.3000000000000007</v>
      </c>
      <c r="CM4" s="14">
        <v>0</v>
      </c>
      <c r="CN4" s="14">
        <v>0</v>
      </c>
      <c r="CO4" s="14">
        <v>18</v>
      </c>
      <c r="CP4" s="14">
        <v>9.6</v>
      </c>
      <c r="CQ4" s="14">
        <v>0</v>
      </c>
      <c r="CR4" s="14">
        <v>0</v>
      </c>
      <c r="CS4" s="14"/>
      <c r="CT4" s="14"/>
      <c r="CU4" s="14"/>
      <c r="CV4" s="14"/>
      <c r="CW4" s="27">
        <f t="shared" ref="CW4:CW18" si="39">IF(CD4="","",CD4)</f>
        <v>8.8000000000000007</v>
      </c>
      <c r="CX4" s="27">
        <f t="shared" ref="CX4:CX18" si="40">IF(CC4="","",CC4+CD4+CF4-CE4)</f>
        <v>26.6</v>
      </c>
      <c r="CY4" s="27">
        <f t="shared" ref="CY4:CY18" si="41">IF(CH4="","",CH4)</f>
        <v>9.3000000000000007</v>
      </c>
      <c r="CZ4" s="27">
        <f t="shared" ref="CZ4:CZ18" si="42">IF(CG4="","",CG4+CH4+CJ4-CI4)</f>
        <v>27.7</v>
      </c>
      <c r="DA4" s="27">
        <f t="shared" ref="DA4:DA18" si="43">IF(CW4="","",SUM(CW4,CY4))</f>
        <v>18.100000000000001</v>
      </c>
      <c r="DB4" s="27">
        <f t="shared" ref="DB4:DB18" si="44">IF(CX4="","",SUM(CX4,CZ4))</f>
        <v>54.3</v>
      </c>
      <c r="DC4" s="27">
        <f t="shared" ref="DC4:DC18" si="45">IF(CL4="","",CL4)</f>
        <v>9.3000000000000007</v>
      </c>
      <c r="DD4" s="27">
        <f t="shared" ref="DD4:DD18" si="46">IF(CK4="","",CK4+CL4+CN4-CM4)</f>
        <v>27.400000000000002</v>
      </c>
      <c r="DE4" s="27">
        <f t="shared" ref="DE4:DE18" si="47">IF(CP4="","",CP4)</f>
        <v>9.6</v>
      </c>
      <c r="DF4" s="27">
        <f t="shared" ref="DF4:DF18" si="48">IF(CO4="","",CO4+CP4+CR4-CQ4)</f>
        <v>27.6</v>
      </c>
      <c r="DG4" s="27" t="str">
        <f t="shared" ref="DG4:DG18" si="49">IF(CT4="","",CT4)</f>
        <v/>
      </c>
      <c r="DH4" s="27" t="str">
        <f t="shared" ref="DH4:DH18" si="50">IF(CS4="","",CS4+CT4+CV4-CU4)</f>
        <v/>
      </c>
      <c r="DI4" s="27">
        <f t="shared" ref="DI4:DI18" si="51">IF(DE4="","",SUM(DE4,DG4))</f>
        <v>9.6</v>
      </c>
      <c r="DJ4" s="27">
        <f t="shared" ref="DJ4:DJ18" si="52">IF(DF4="","",SUM(DF4,DH4))</f>
        <v>27.6</v>
      </c>
      <c r="DK4" s="27">
        <f t="shared" ref="DK4:DK18" si="53">IF(DB4="","",SUM(DB4,DD4,DH4))</f>
        <v>81.7</v>
      </c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0" t="str">
        <f t="shared" ref="EF4:EF18" si="54">IF(DM4="","",DM4)</f>
        <v/>
      </c>
      <c r="EG4" s="10" t="str">
        <f t="shared" ref="EG4:EG18" si="55">IF(DL4="","",DL4+DM4+DO4-DN4)</f>
        <v/>
      </c>
      <c r="EH4" s="10" t="str">
        <f t="shared" ref="EH4:EH18" si="56">IF(DQ4="","",DQ4)</f>
        <v/>
      </c>
      <c r="EI4" s="10" t="str">
        <f t="shared" ref="EI4:EI18" si="57">IF(DP4="","",DP4+DQ4+DS4-DR4)</f>
        <v/>
      </c>
      <c r="EJ4" s="10" t="str">
        <f t="shared" ref="EJ4:EJ18" si="58">IF(EF4="","",SUM(EF4,EH4))</f>
        <v/>
      </c>
      <c r="EK4" s="10" t="str">
        <f t="shared" ref="EK4:EK18" si="59">IF(EG4="","",SUM(EG4,EI4))</f>
        <v/>
      </c>
      <c r="EL4" s="10" t="str">
        <f t="shared" ref="EL4:EL18" si="60">IF(DU4="","",DU4)</f>
        <v/>
      </c>
      <c r="EM4" s="10" t="str">
        <f t="shared" ref="EM4:EM18" si="61">IF(DT4="","",DT4+DU4+DW4-DV4)</f>
        <v/>
      </c>
      <c r="EN4" s="10" t="str">
        <f t="shared" ref="EN4:EN18" si="62">IF(DY4="","",DY4)</f>
        <v/>
      </c>
      <c r="EO4" s="10" t="str">
        <f t="shared" ref="EO4:EO18" si="63">IF(DX4="","",DX4+DY4+EA4-DZ4)</f>
        <v/>
      </c>
      <c r="EP4" s="10" t="str">
        <f t="shared" ref="EP4:EP18" si="64">IF(EC4="","",EC4)</f>
        <v/>
      </c>
      <c r="EQ4" s="10" t="str">
        <f t="shared" ref="EQ4:EQ18" si="65">IF(EB4="","",EB4+EC4+EE4-ED4)</f>
        <v/>
      </c>
      <c r="ER4" s="10" t="str">
        <f t="shared" ref="ER4:ER18" si="66">IF(EN4="","",SUM(EN4,EP4))</f>
        <v/>
      </c>
      <c r="ES4" s="10" t="str">
        <f t="shared" ref="ES4:ES18" si="67">IF(EO4="","",SUM(EO4,EQ4))</f>
        <v/>
      </c>
      <c r="ET4" s="10" t="str">
        <f t="shared" ref="ET4:ET18" si="68">IF(EK4="","",SUM(EK4,EM4,EQ4))</f>
        <v/>
      </c>
      <c r="EU4" s="44">
        <f t="shared" ref="EU4:EU18" si="69">IF(BM4="P",IF(AI4="P",AW4,AW4*0.8),(S4+AW4)/2)</f>
        <v>9.1999999999999993</v>
      </c>
      <c r="EV4" s="44">
        <f t="shared" ref="EV4:EV18" si="70">IF(BN4="P",IF(AJ4="P",AX4,AX4*0.8),(T4+AX4)/2)</f>
        <v>3.65</v>
      </c>
      <c r="EW4" s="44">
        <f t="shared" ref="EW4:EW18" si="71">IF(BO4="P",IF(AK4="P",AY4,AY4*0.8),(U4+AY4)/2)</f>
        <v>0</v>
      </c>
      <c r="EX4" s="44">
        <f t="shared" ref="EX4:EX18" si="72">IF(BP4="P",IF(AL4="P",AZ4,AZ4*0.8),(V4+AZ4)/2)</f>
        <v>0</v>
      </c>
      <c r="EY4" s="44">
        <f t="shared" ref="EY4:EY18" si="73">IF(BQ4="P",IF(AM4="P",BA4,BA4*0.8),(W4+BA4)/2)</f>
        <v>8.9499999999999993</v>
      </c>
      <c r="EZ4" s="44">
        <f t="shared" ref="EZ4:EZ18" si="74">IF(BR4="P",IF(AN4="P",BB4,BB4*0.8),(X4+BB4)/2)</f>
        <v>3.45</v>
      </c>
      <c r="FA4" s="44">
        <f t="shared" ref="FA4:FA18" si="75">IF(BS4="P",IF(AO4="P",BC4,BC4*0.8),(Y4+BC4)/2)</f>
        <v>0</v>
      </c>
      <c r="FB4" s="44">
        <f t="shared" ref="FB4:FB18" si="76">IF(BT4="P",IF(AP4="P",BD4,BD4*0.8),(Z4+BD4)/2)</f>
        <v>0</v>
      </c>
      <c r="FC4" s="44">
        <f t="shared" ref="FC4:FC18" si="77">IF(BU4="P",IF(AQ4="P",BE4,BE4*0.8),(AA4+BE4)/2)</f>
        <v>9.3000000000000007</v>
      </c>
      <c r="FD4" s="44">
        <f t="shared" ref="FD4:FD18" si="78">IF(BV4="P",IF(AR4="P",BF4,BF4*0.8),(AB4+BF4)/2)</f>
        <v>4.4000000000000004</v>
      </c>
      <c r="FE4" s="44">
        <f t="shared" ref="FE4:FE18" si="79">IF(BW4="P",IF(AS4="P",BG4,BG4*0.8),(AC4+BG4)/2)</f>
        <v>0</v>
      </c>
      <c r="FF4" s="44">
        <f t="shared" ref="FF4:FF18" si="80">IF(BX4="P",IF(AT4="P",BH4,BH4*0.8),(AD4+BH4)/2)</f>
        <v>0</v>
      </c>
      <c r="FG4" s="44">
        <f t="shared" ref="FG4:FG18" si="81">IF(BY4="P",IF(AU4="P",BI4,BI4*0.8),(AE4+BI4)/2)</f>
        <v>9.0500000000000007</v>
      </c>
      <c r="FH4" s="44">
        <f t="shared" ref="FH4:FH18" si="82">IF(BZ4="P",IF(AV4="P",BJ4,BJ4*0.8),(AF4+BJ4)/2)</f>
        <v>4.6500000000000004</v>
      </c>
      <c r="FI4" s="44">
        <f t="shared" ref="FI4:FI18" si="83">IF(CA4="P",IF(AW4="P",BK4,BK4*0.8),(AG4+BK4)/2)</f>
        <v>0</v>
      </c>
      <c r="FJ4" s="44">
        <f t="shared" ref="FJ4:FJ18" si="84">IF(CB4="P",IF(AX4="P",BL4,BL4*0.8),(AH4+BL4)/2)</f>
        <v>0</v>
      </c>
      <c r="FK4" s="20" t="s">
        <v>29</v>
      </c>
      <c r="FL4" s="10">
        <f t="shared" ref="FL4:FL18" si="85">IF(EV4="","",EV4)</f>
        <v>3.65</v>
      </c>
      <c r="FM4" s="10">
        <f t="shared" ref="FM4:FM18" si="86">IF(EU4="","",EU4+EV4+EX4-EW4)</f>
        <v>12.85</v>
      </c>
      <c r="FN4" s="10">
        <f t="shared" ref="FN4:FN18" si="87">IF(EZ4="","",EZ4)</f>
        <v>3.45</v>
      </c>
      <c r="FO4" s="10">
        <f t="shared" ref="FO4:FO18" si="88">IF(EY4="","",EY4+EZ4+FB4-FA4)</f>
        <v>12.399999999999999</v>
      </c>
      <c r="FP4" s="10">
        <f t="shared" ref="FP4:FP18" si="89">IF(SUM(EV4,EZ4)&gt;0,SUM(EV4,EZ4),"")</f>
        <v>7.1</v>
      </c>
      <c r="FQ4" s="10">
        <f t="shared" ref="FQ4:FQ18" si="90">IF(SUM(FM4,FO4)&gt;0,SUM(FM4,FO4),"")</f>
        <v>25.25</v>
      </c>
      <c r="FR4" s="10">
        <f t="shared" ref="FR4:FR18" si="91">IF(FD4="","",FD4)</f>
        <v>4.4000000000000004</v>
      </c>
      <c r="FS4" s="10">
        <f t="shared" ref="FS4:FS18" si="92">IF(FC4="","",FC4+FD4+FF4-FE4)</f>
        <v>13.700000000000001</v>
      </c>
      <c r="FT4" s="10">
        <f t="shared" ref="FT4:FT18" si="93">IF(FH4="","",FH4)</f>
        <v>4.6500000000000004</v>
      </c>
      <c r="FU4" s="10">
        <f t="shared" ref="FU4:FU18" si="94">IF(FG4="","",FG4+FH4+FJ4-FI4)</f>
        <v>13.700000000000001</v>
      </c>
      <c r="FV4" s="10">
        <f t="shared" ref="FV4:FV18" si="95">IF(SUM(FD4,FH4)&gt;0,SUM(FD4,FH4),"")</f>
        <v>9.0500000000000007</v>
      </c>
      <c r="FW4" s="10">
        <f t="shared" ref="FW4:FW18" si="96">IF(SUM(FS4,FU4)&gt;0,SUM(FS4,FU4),"")</f>
        <v>27.400000000000002</v>
      </c>
      <c r="FX4" s="10">
        <f t="shared" ref="FX4:FX18" si="97">IF(SUM(FQ4,FW4)&gt;0,SUM(FQ4,FW4),"")</f>
        <v>52.650000000000006</v>
      </c>
    </row>
    <row r="5" spans="1:180" x14ac:dyDescent="0.2">
      <c r="A5" s="3" t="str" cm="1">
        <f t="array" ref="A5">IF(AND(H5&lt;&gt;"",H5&lt;&gt;"No DD",I5&lt;&gt;"P"),SUMPRODUCT((H$4:H$19&lt;&gt;"")*(H$4:H$19&lt;&gt;"No DD")*(I$4:I$19&lt;&gt;"P")*(E$4:E$19&gt;E5))+1,IF(H5="No DD",SUMPRODUCT((H$4:H$19="No DD")*(I$4:I$19&lt;&gt;"P")*(E$4:E$19&gt;E5))+1+SUMPRODUCT((H$4:H$19&lt;&gt;"")*(I$4:I$19&lt;&gt;"P")*(H$4:H$19&lt;&gt;"No DD")),""))</f>
        <v/>
      </c>
      <c r="B5" s="4" t="s">
        <v>102</v>
      </c>
      <c r="C5" s="3" t="s">
        <v>6</v>
      </c>
      <c r="D5" s="3">
        <v>2006</v>
      </c>
      <c r="E5" s="8">
        <f t="shared" si="0"/>
        <v>103.40000772000516</v>
      </c>
      <c r="F5" s="2" t="str">
        <f t="shared" si="1"/>
        <v>P</v>
      </c>
      <c r="G5" s="2" t="str">
        <f t="shared" si="2"/>
        <v>P</v>
      </c>
      <c r="H5" s="26" t="str">
        <f t="shared" si="3"/>
        <v>National Team</v>
      </c>
      <c r="I5" s="2" t="str">
        <f>IF(COUNTIFS('Senior-M'!B:B,B5,'Senior-M'!A:A,"&lt;9",'Senior-M'!H:H,"&lt;&gt;"&amp;"No DD"),"P","")</f>
        <v>P</v>
      </c>
      <c r="J5" s="7">
        <f t="shared" si="4"/>
        <v>51.6</v>
      </c>
      <c r="K5" s="7" t="str">
        <f t="shared" si="5"/>
        <v>2025 Nationals</v>
      </c>
      <c r="L5" s="7">
        <f>IF(J5=AO5,IF(COUNT(AQ5,AS5,BO5,BQ5,BU5,BW5)&gt;1,LARGE((AQ5,AS5,BO5,BQ5,BU5,BW5),1),0),IF(COUNT(AK5,AM5,AQ5,AS5,BU5,BW5)&gt;1,LARGE((AK5,AM5,AQ5,AS5,BU5,BW5),1),0))</f>
        <v>25.6</v>
      </c>
      <c r="M5" s="7" t="str">
        <f t="shared" si="6"/>
        <v>2025 3rd Domestic Trial</v>
      </c>
      <c r="N5" s="7">
        <f>IF(J5=AO5,IF(COUNT(AQ5,AS5,BO5,BQ5,BU5,BW5)&gt;1,LARGE((AQ5,AS5,BO5,BQ5,BU5,BW5),2),0),IF(COUNT(AK5,AM5,AQ5,AS5,BU5,BW5)&gt;1,LARGE((AK5,AM5,AQ5,AS5,BU5,BW5),2),0))</f>
        <v>25.5</v>
      </c>
      <c r="O5" s="7" t="str">
        <f t="shared" si="7"/>
        <v>2025 Nationals</v>
      </c>
      <c r="P5" s="7">
        <f t="shared" si="8"/>
        <v>0.69999999999999929</v>
      </c>
      <c r="Q5" s="10" t="str">
        <f t="shared" si="9"/>
        <v>(Pass)</v>
      </c>
      <c r="R5" s="7" t="str">
        <f t="shared" si="10"/>
        <v>2025 Worlds (Nov 9)</v>
      </c>
      <c r="S5" s="39">
        <v>18.399999999999999</v>
      </c>
      <c r="T5" s="39">
        <v>6.5</v>
      </c>
      <c r="U5" s="39">
        <v>0</v>
      </c>
      <c r="V5" s="39">
        <v>0</v>
      </c>
      <c r="W5" s="39">
        <v>18.8</v>
      </c>
      <c r="X5" s="39">
        <v>7.9</v>
      </c>
      <c r="Y5" s="39">
        <v>0</v>
      </c>
      <c r="Z5" s="39">
        <v>0</v>
      </c>
      <c r="AA5" s="39">
        <v>16.600000000000001</v>
      </c>
      <c r="AB5" s="39">
        <v>4.5</v>
      </c>
      <c r="AC5" s="39">
        <v>0</v>
      </c>
      <c r="AD5" s="39">
        <v>0</v>
      </c>
      <c r="AE5" s="39">
        <v>17.2</v>
      </c>
      <c r="AF5" s="39">
        <v>8.3000000000000007</v>
      </c>
      <c r="AG5" s="39">
        <v>0</v>
      </c>
      <c r="AH5" s="39">
        <v>0</v>
      </c>
      <c r="AI5" s="19"/>
      <c r="AJ5" s="42">
        <f t="shared" si="11"/>
        <v>6.5</v>
      </c>
      <c r="AK5" s="42">
        <f t="shared" si="12"/>
        <v>24.9</v>
      </c>
      <c r="AL5" s="42">
        <f t="shared" si="13"/>
        <v>7.9</v>
      </c>
      <c r="AM5" s="42">
        <f t="shared" si="14"/>
        <v>26.700000000000003</v>
      </c>
      <c r="AN5" s="27">
        <f t="shared" si="15"/>
        <v>14.4</v>
      </c>
      <c r="AO5" s="27">
        <f t="shared" si="16"/>
        <v>51.6</v>
      </c>
      <c r="AP5" s="27">
        <f t="shared" si="17"/>
        <v>4.5</v>
      </c>
      <c r="AQ5" s="27">
        <f t="shared" si="18"/>
        <v>21.1</v>
      </c>
      <c r="AR5" s="27">
        <f t="shared" si="19"/>
        <v>8.3000000000000007</v>
      </c>
      <c r="AS5" s="27">
        <f t="shared" si="20"/>
        <v>25.5</v>
      </c>
      <c r="AT5" s="27">
        <f t="shared" si="21"/>
        <v>12.8</v>
      </c>
      <c r="AU5" s="27">
        <f t="shared" si="22"/>
        <v>46.6</v>
      </c>
      <c r="AV5" s="27">
        <f t="shared" si="23"/>
        <v>98.2</v>
      </c>
      <c r="AW5" s="15">
        <v>17.600000000000001</v>
      </c>
      <c r="AX5" s="15">
        <v>7.7</v>
      </c>
      <c r="AY5" s="15">
        <v>0</v>
      </c>
      <c r="AZ5" s="15">
        <v>0</v>
      </c>
      <c r="BA5" s="15">
        <v>11.1</v>
      </c>
      <c r="BB5" s="15">
        <v>3.1</v>
      </c>
      <c r="BC5" s="15">
        <v>0</v>
      </c>
      <c r="BD5" s="15">
        <v>0</v>
      </c>
      <c r="BE5" s="15">
        <v>17.2</v>
      </c>
      <c r="BF5" s="15">
        <v>7.7</v>
      </c>
      <c r="BG5" s="15">
        <v>0</v>
      </c>
      <c r="BH5" s="15">
        <v>0</v>
      </c>
      <c r="BI5" s="15">
        <v>18.100000000000001</v>
      </c>
      <c r="BJ5" s="15">
        <v>7.5</v>
      </c>
      <c r="BK5" s="15">
        <v>0</v>
      </c>
      <c r="BL5" s="15">
        <v>0</v>
      </c>
      <c r="BM5" s="20"/>
      <c r="BN5" s="43">
        <f t="shared" si="24"/>
        <v>7.7</v>
      </c>
      <c r="BO5" s="43">
        <f t="shared" si="25"/>
        <v>25.3</v>
      </c>
      <c r="BP5" s="43">
        <f t="shared" si="26"/>
        <v>3.1</v>
      </c>
      <c r="BQ5" s="43">
        <f t="shared" si="27"/>
        <v>14.2</v>
      </c>
      <c r="BR5" s="10">
        <f t="shared" si="28"/>
        <v>10.8</v>
      </c>
      <c r="BS5" s="10">
        <f t="shared" si="29"/>
        <v>39.5</v>
      </c>
      <c r="BT5" s="10">
        <f t="shared" si="30"/>
        <v>7.7</v>
      </c>
      <c r="BU5" s="10">
        <f t="shared" si="31"/>
        <v>24.9</v>
      </c>
      <c r="BV5" s="10">
        <f t="shared" si="32"/>
        <v>7.5</v>
      </c>
      <c r="BW5" s="10">
        <f t="shared" si="33"/>
        <v>25.6</v>
      </c>
      <c r="BX5" s="10">
        <f t="shared" si="34"/>
        <v>15.2</v>
      </c>
      <c r="BY5" s="10">
        <f t="shared" si="35"/>
        <v>50.5</v>
      </c>
      <c r="BZ5" s="10">
        <f t="shared" si="36"/>
        <v>90</v>
      </c>
      <c r="CA5" s="34" t="str">
        <f t="shared" si="37"/>
        <v/>
      </c>
      <c r="CB5" s="34">
        <f t="shared" si="38"/>
        <v>0.69999999999999929</v>
      </c>
      <c r="CC5" s="14">
        <v>17.7</v>
      </c>
      <c r="CD5" s="14">
        <v>8.6999999999999993</v>
      </c>
      <c r="CE5" s="14">
        <v>0.2</v>
      </c>
      <c r="CF5" s="14">
        <v>0</v>
      </c>
      <c r="CG5" s="14">
        <v>17.899999999999999</v>
      </c>
      <c r="CH5" s="14">
        <v>7.5</v>
      </c>
      <c r="CI5" s="14">
        <v>0</v>
      </c>
      <c r="CJ5" s="14">
        <v>0</v>
      </c>
      <c r="CK5" s="14">
        <v>17</v>
      </c>
      <c r="CL5" s="14">
        <v>4.5</v>
      </c>
      <c r="CM5" s="14">
        <v>0</v>
      </c>
      <c r="CN5" s="14">
        <v>0</v>
      </c>
      <c r="CO5" s="14"/>
      <c r="CP5" s="14"/>
      <c r="CQ5" s="14"/>
      <c r="CR5" s="14"/>
      <c r="CS5" s="14"/>
      <c r="CT5" s="14"/>
      <c r="CU5" s="14"/>
      <c r="CV5" s="14"/>
      <c r="CW5" s="27">
        <f t="shared" si="39"/>
        <v>8.6999999999999993</v>
      </c>
      <c r="CX5" s="27">
        <f t="shared" si="40"/>
        <v>26.2</v>
      </c>
      <c r="CY5" s="27">
        <f t="shared" si="41"/>
        <v>7.5</v>
      </c>
      <c r="CZ5" s="27">
        <f t="shared" si="42"/>
        <v>25.4</v>
      </c>
      <c r="DA5" s="27">
        <f t="shared" si="43"/>
        <v>16.2</v>
      </c>
      <c r="DB5" s="27">
        <f t="shared" si="44"/>
        <v>51.599999999999994</v>
      </c>
      <c r="DC5" s="27">
        <f t="shared" si="45"/>
        <v>4.5</v>
      </c>
      <c r="DD5" s="27">
        <f t="shared" si="46"/>
        <v>21.5</v>
      </c>
      <c r="DE5" s="27" t="str">
        <f t="shared" si="47"/>
        <v/>
      </c>
      <c r="DF5" s="27" t="str">
        <f t="shared" si="48"/>
        <v/>
      </c>
      <c r="DG5" s="27" t="str">
        <f t="shared" si="49"/>
        <v/>
      </c>
      <c r="DH5" s="27" t="str">
        <f t="shared" si="50"/>
        <v/>
      </c>
      <c r="DI5" s="27" t="str">
        <f t="shared" si="51"/>
        <v/>
      </c>
      <c r="DJ5" s="27" t="str">
        <f t="shared" si="52"/>
        <v/>
      </c>
      <c r="DK5" s="27">
        <f t="shared" si="53"/>
        <v>73.099999999999994</v>
      </c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0" t="str">
        <f t="shared" si="54"/>
        <v/>
      </c>
      <c r="EG5" s="10" t="str">
        <f t="shared" si="55"/>
        <v/>
      </c>
      <c r="EH5" s="10" t="str">
        <f t="shared" si="56"/>
        <v/>
      </c>
      <c r="EI5" s="10" t="str">
        <f t="shared" si="57"/>
        <v/>
      </c>
      <c r="EJ5" s="10" t="str">
        <f t="shared" si="58"/>
        <v/>
      </c>
      <c r="EK5" s="10" t="str">
        <f t="shared" si="59"/>
        <v/>
      </c>
      <c r="EL5" s="10" t="str">
        <f t="shared" si="60"/>
        <v/>
      </c>
      <c r="EM5" s="10" t="str">
        <f t="shared" si="61"/>
        <v/>
      </c>
      <c r="EN5" s="10" t="str">
        <f t="shared" si="62"/>
        <v/>
      </c>
      <c r="EO5" s="10" t="str">
        <f t="shared" si="63"/>
        <v/>
      </c>
      <c r="EP5" s="10" t="str">
        <f t="shared" si="64"/>
        <v/>
      </c>
      <c r="EQ5" s="10" t="str">
        <f t="shared" si="65"/>
        <v/>
      </c>
      <c r="ER5" s="10" t="str">
        <f t="shared" si="66"/>
        <v/>
      </c>
      <c r="ES5" s="10" t="str">
        <f t="shared" si="67"/>
        <v/>
      </c>
      <c r="ET5" s="10" t="str">
        <f t="shared" si="68"/>
        <v/>
      </c>
      <c r="EU5" s="44">
        <f t="shared" si="69"/>
        <v>18</v>
      </c>
      <c r="EV5" s="44">
        <f t="shared" si="70"/>
        <v>7.1</v>
      </c>
      <c r="EW5" s="44">
        <f t="shared" si="71"/>
        <v>0</v>
      </c>
      <c r="EX5" s="44">
        <f t="shared" si="72"/>
        <v>0</v>
      </c>
      <c r="EY5" s="44">
        <f t="shared" si="73"/>
        <v>14.95</v>
      </c>
      <c r="EZ5" s="44">
        <f t="shared" si="74"/>
        <v>5.5</v>
      </c>
      <c r="FA5" s="44">
        <f t="shared" si="75"/>
        <v>0</v>
      </c>
      <c r="FB5" s="44">
        <f t="shared" si="76"/>
        <v>0</v>
      </c>
      <c r="FC5" s="44">
        <f t="shared" si="77"/>
        <v>16.899999999999999</v>
      </c>
      <c r="FD5" s="44">
        <f t="shared" si="78"/>
        <v>6.1</v>
      </c>
      <c r="FE5" s="44">
        <f t="shared" si="79"/>
        <v>0</v>
      </c>
      <c r="FF5" s="44">
        <f t="shared" si="80"/>
        <v>0</v>
      </c>
      <c r="FG5" s="44">
        <f t="shared" si="81"/>
        <v>17.649999999999999</v>
      </c>
      <c r="FH5" s="44">
        <f t="shared" si="82"/>
        <v>7.9</v>
      </c>
      <c r="FI5" s="44">
        <f t="shared" si="83"/>
        <v>0</v>
      </c>
      <c r="FJ5" s="44">
        <f t="shared" si="84"/>
        <v>0</v>
      </c>
      <c r="FK5" s="20" t="s">
        <v>29</v>
      </c>
      <c r="FL5" s="10">
        <f t="shared" si="85"/>
        <v>7.1</v>
      </c>
      <c r="FM5" s="10">
        <f t="shared" si="86"/>
        <v>25.1</v>
      </c>
      <c r="FN5" s="10">
        <f t="shared" si="87"/>
        <v>5.5</v>
      </c>
      <c r="FO5" s="10">
        <f t="shared" si="88"/>
        <v>20.45</v>
      </c>
      <c r="FP5" s="10">
        <f t="shared" si="89"/>
        <v>12.6</v>
      </c>
      <c r="FQ5" s="10">
        <f t="shared" si="90"/>
        <v>45.55</v>
      </c>
      <c r="FR5" s="10">
        <f t="shared" si="91"/>
        <v>6.1</v>
      </c>
      <c r="FS5" s="10">
        <f t="shared" si="92"/>
        <v>23</v>
      </c>
      <c r="FT5" s="10">
        <f t="shared" si="93"/>
        <v>7.9</v>
      </c>
      <c r="FU5" s="10">
        <f t="shared" si="94"/>
        <v>25.549999999999997</v>
      </c>
      <c r="FV5" s="10">
        <f t="shared" si="95"/>
        <v>14</v>
      </c>
      <c r="FW5" s="10">
        <f t="shared" si="96"/>
        <v>48.55</v>
      </c>
      <c r="FX5" s="10">
        <f t="shared" si="97"/>
        <v>94.1</v>
      </c>
    </row>
    <row r="6" spans="1:180" x14ac:dyDescent="0.2">
      <c r="A6" s="3" t="str" cm="1">
        <f t="array" ref="A6">IF(AND(H6&lt;&gt;"",H6&lt;&gt;"No DD",I6&lt;&gt;"P"),SUMPRODUCT((H$4:H$19&lt;&gt;"")*(H$4:H$19&lt;&gt;"No DD")*(I$4:I$19&lt;&gt;"P")*(E$4:E$19&gt;E6))+1,IF(H6="No DD",SUMPRODUCT((H$4:H$19="No DD")*(I$4:I$19&lt;&gt;"P")*(E$4:E$19&gt;E6))+1+SUMPRODUCT((H$4:H$19&lt;&gt;"")*(I$4:I$19&lt;&gt;"P")*(H$4:H$19&lt;&gt;"No DD")),""))</f>
        <v/>
      </c>
      <c r="B6" s="4" t="s">
        <v>62</v>
      </c>
      <c r="C6" s="3" t="s">
        <v>63</v>
      </c>
      <c r="D6" s="3">
        <v>2005</v>
      </c>
      <c r="E6" s="8">
        <f t="shared" si="0"/>
        <v>91.900006530004049</v>
      </c>
      <c r="F6" s="2" t="str">
        <f t="shared" si="1"/>
        <v>P</v>
      </c>
      <c r="G6" s="2" t="str">
        <f t="shared" si="2"/>
        <v>P</v>
      </c>
      <c r="H6" s="26" t="str">
        <f t="shared" si="3"/>
        <v>National Team</v>
      </c>
      <c r="I6" s="2" t="str">
        <f>IF(COUNTIFS('Senior-M'!B:B,B6,'Senior-M'!A:A,"&lt;9",'Senior-M'!H:H,"&lt;&gt;"&amp;"No DD"),"P","")</f>
        <v>P</v>
      </c>
      <c r="J6" s="7">
        <f t="shared" si="4"/>
        <v>40.5</v>
      </c>
      <c r="K6" s="7" t="str">
        <f t="shared" si="5"/>
        <v>2025 3rd Domestic Trial</v>
      </c>
      <c r="L6" s="7">
        <f>IF(J6=AO6,IF(COUNT(AQ6,AS6,BO6,BQ6,BU6,BW6)&gt;1,LARGE((AQ6,AS6,BO6,BQ6,BU6,BW6),1),0),IF(COUNT(AK6,AM6,AQ6,AS6,BU6,BW6)&gt;1,LARGE((AK6,AM6,AQ6,AS6,BU6,BW6),1),0))</f>
        <v>24.8</v>
      </c>
      <c r="M6" s="7" t="str">
        <f t="shared" si="6"/>
        <v>2025 Nationals</v>
      </c>
      <c r="N6" s="7">
        <f>IF(J6=AO6,IF(COUNT(AQ6,AS6,BO6,BQ6,BU6,BW6)&gt;1,LARGE((AQ6,AS6,BO6,BQ6,BU6,BW6),2),0),IF(COUNT(AK6,AM6,AQ6,AS6,BU6,BW6)&gt;1,LARGE((AK6,AM6,AQ6,AS6,BU6,BW6),2),0))</f>
        <v>22</v>
      </c>
      <c r="O6" s="7" t="str">
        <f t="shared" si="7"/>
        <v>2025 Nationals</v>
      </c>
      <c r="P6" s="7">
        <f t="shared" si="8"/>
        <v>4.6000000000000014</v>
      </c>
      <c r="Q6" s="10" t="str">
        <f t="shared" si="9"/>
        <v>(Q1)</v>
      </c>
      <c r="R6" s="7" t="str">
        <f t="shared" si="10"/>
        <v>2025 Worlds (Nov 9)</v>
      </c>
      <c r="S6" s="39">
        <v>13.7</v>
      </c>
      <c r="T6" s="39">
        <v>5.0999999999999996</v>
      </c>
      <c r="U6" s="39">
        <v>2.4</v>
      </c>
      <c r="V6" s="39">
        <v>0</v>
      </c>
      <c r="W6" s="39">
        <v>15.1</v>
      </c>
      <c r="X6" s="39">
        <v>6.5</v>
      </c>
      <c r="Y6" s="39">
        <v>0.2</v>
      </c>
      <c r="Z6" s="39">
        <v>0</v>
      </c>
      <c r="AA6" s="39">
        <v>18.3</v>
      </c>
      <c r="AB6" s="39">
        <v>6.5</v>
      </c>
      <c r="AC6" s="39">
        <v>0</v>
      </c>
      <c r="AD6" s="39">
        <v>0</v>
      </c>
      <c r="AE6" s="39">
        <v>16.899999999999999</v>
      </c>
      <c r="AF6" s="39">
        <v>5.0999999999999996</v>
      </c>
      <c r="AG6" s="39">
        <v>0</v>
      </c>
      <c r="AH6" s="39">
        <v>0</v>
      </c>
      <c r="AI6" s="19"/>
      <c r="AJ6" s="42">
        <f t="shared" si="11"/>
        <v>5.0999999999999996</v>
      </c>
      <c r="AK6" s="42">
        <f t="shared" si="12"/>
        <v>16.399999999999999</v>
      </c>
      <c r="AL6" s="42">
        <f t="shared" si="13"/>
        <v>6.5</v>
      </c>
      <c r="AM6" s="42">
        <f t="shared" si="14"/>
        <v>21.400000000000002</v>
      </c>
      <c r="AN6" s="27">
        <f t="shared" si="15"/>
        <v>11.6</v>
      </c>
      <c r="AO6" s="27">
        <f t="shared" si="16"/>
        <v>37.799999999999997</v>
      </c>
      <c r="AP6" s="27">
        <f t="shared" si="17"/>
        <v>6.5</v>
      </c>
      <c r="AQ6" s="27">
        <f t="shared" si="18"/>
        <v>24.8</v>
      </c>
      <c r="AR6" s="27">
        <f t="shared" si="19"/>
        <v>5.0999999999999996</v>
      </c>
      <c r="AS6" s="27">
        <f t="shared" si="20"/>
        <v>22</v>
      </c>
      <c r="AT6" s="27">
        <f t="shared" si="21"/>
        <v>11.6</v>
      </c>
      <c r="AU6" s="27">
        <f t="shared" si="22"/>
        <v>46.8</v>
      </c>
      <c r="AV6" s="27">
        <f t="shared" si="23"/>
        <v>84.6</v>
      </c>
      <c r="AW6" s="15">
        <v>16.899999999999999</v>
      </c>
      <c r="AX6" s="15">
        <v>6.3</v>
      </c>
      <c r="AY6" s="15">
        <v>0</v>
      </c>
      <c r="AZ6" s="15">
        <v>0</v>
      </c>
      <c r="BA6" s="15">
        <v>16.7</v>
      </c>
      <c r="BB6" s="15">
        <v>3.6</v>
      </c>
      <c r="BC6" s="15">
        <v>3</v>
      </c>
      <c r="BD6" s="15">
        <v>0</v>
      </c>
      <c r="BE6" s="15">
        <v>15.9</v>
      </c>
      <c r="BF6" s="15">
        <v>3.1</v>
      </c>
      <c r="BG6" s="15">
        <v>0</v>
      </c>
      <c r="BH6" s="15">
        <v>0</v>
      </c>
      <c r="BI6" s="15">
        <v>14.5</v>
      </c>
      <c r="BJ6" s="15">
        <v>3.6</v>
      </c>
      <c r="BK6" s="15">
        <v>3</v>
      </c>
      <c r="BL6" s="15">
        <v>0</v>
      </c>
      <c r="BM6" s="20"/>
      <c r="BN6" s="43">
        <f t="shared" si="24"/>
        <v>6.3</v>
      </c>
      <c r="BO6" s="43">
        <f t="shared" si="25"/>
        <v>23.2</v>
      </c>
      <c r="BP6" s="43">
        <f t="shared" si="26"/>
        <v>3.6</v>
      </c>
      <c r="BQ6" s="43">
        <f t="shared" si="27"/>
        <v>17.3</v>
      </c>
      <c r="BR6" s="10">
        <f t="shared" si="28"/>
        <v>9.9</v>
      </c>
      <c r="BS6" s="10">
        <f t="shared" si="29"/>
        <v>40.5</v>
      </c>
      <c r="BT6" s="10">
        <f t="shared" si="30"/>
        <v>3.1</v>
      </c>
      <c r="BU6" s="10">
        <f t="shared" si="31"/>
        <v>19</v>
      </c>
      <c r="BV6" s="10">
        <f t="shared" si="32"/>
        <v>3.6</v>
      </c>
      <c r="BW6" s="10">
        <f t="shared" si="33"/>
        <v>15.100000000000001</v>
      </c>
      <c r="BX6" s="10">
        <f t="shared" si="34"/>
        <v>6.7</v>
      </c>
      <c r="BY6" s="10">
        <f t="shared" si="35"/>
        <v>34.1</v>
      </c>
      <c r="BZ6" s="10">
        <f t="shared" si="36"/>
        <v>74.599999999999994</v>
      </c>
      <c r="CA6" s="34">
        <f t="shared" si="37"/>
        <v>4.6000000000000014</v>
      </c>
      <c r="CB6" s="34">
        <f t="shared" si="38"/>
        <v>1.5</v>
      </c>
      <c r="CC6" s="14">
        <v>17.2</v>
      </c>
      <c r="CD6" s="14">
        <v>6.5</v>
      </c>
      <c r="CE6" s="14">
        <v>0.2</v>
      </c>
      <c r="CF6" s="14">
        <v>0</v>
      </c>
      <c r="CG6" s="14">
        <v>16.5</v>
      </c>
      <c r="CH6" s="14">
        <v>5.0999999999999996</v>
      </c>
      <c r="CI6" s="14">
        <v>0</v>
      </c>
      <c r="CJ6" s="14">
        <v>0</v>
      </c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27">
        <f t="shared" si="39"/>
        <v>6.5</v>
      </c>
      <c r="CX6" s="27">
        <f t="shared" si="40"/>
        <v>23.5</v>
      </c>
      <c r="CY6" s="27">
        <f t="shared" si="41"/>
        <v>5.0999999999999996</v>
      </c>
      <c r="CZ6" s="27">
        <f t="shared" si="42"/>
        <v>21.6</v>
      </c>
      <c r="DA6" s="27">
        <f t="shared" si="43"/>
        <v>11.6</v>
      </c>
      <c r="DB6" s="27">
        <f t="shared" si="44"/>
        <v>45.1</v>
      </c>
      <c r="DC6" s="27" t="str">
        <f t="shared" si="45"/>
        <v/>
      </c>
      <c r="DD6" s="27" t="str">
        <f t="shared" si="46"/>
        <v/>
      </c>
      <c r="DE6" s="27" t="str">
        <f t="shared" si="47"/>
        <v/>
      </c>
      <c r="DF6" s="27" t="str">
        <f t="shared" si="48"/>
        <v/>
      </c>
      <c r="DG6" s="27" t="str">
        <f t="shared" si="49"/>
        <v/>
      </c>
      <c r="DH6" s="27" t="str">
        <f t="shared" si="50"/>
        <v/>
      </c>
      <c r="DI6" s="27" t="str">
        <f t="shared" si="51"/>
        <v/>
      </c>
      <c r="DJ6" s="27" t="str">
        <f t="shared" si="52"/>
        <v/>
      </c>
      <c r="DK6" s="27">
        <f t="shared" si="53"/>
        <v>45.1</v>
      </c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0" t="str">
        <f t="shared" si="54"/>
        <v/>
      </c>
      <c r="EG6" s="10" t="str">
        <f t="shared" si="55"/>
        <v/>
      </c>
      <c r="EH6" s="10" t="str">
        <f t="shared" si="56"/>
        <v/>
      </c>
      <c r="EI6" s="10" t="str">
        <f t="shared" si="57"/>
        <v/>
      </c>
      <c r="EJ6" s="10" t="str">
        <f t="shared" si="58"/>
        <v/>
      </c>
      <c r="EK6" s="10" t="str">
        <f t="shared" si="59"/>
        <v/>
      </c>
      <c r="EL6" s="10" t="str">
        <f t="shared" si="60"/>
        <v/>
      </c>
      <c r="EM6" s="10" t="str">
        <f t="shared" si="61"/>
        <v/>
      </c>
      <c r="EN6" s="10" t="str">
        <f t="shared" si="62"/>
        <v/>
      </c>
      <c r="EO6" s="10" t="str">
        <f t="shared" si="63"/>
        <v/>
      </c>
      <c r="EP6" s="10" t="str">
        <f t="shared" si="64"/>
        <v/>
      </c>
      <c r="EQ6" s="10" t="str">
        <f t="shared" si="65"/>
        <v/>
      </c>
      <c r="ER6" s="10" t="str">
        <f t="shared" si="66"/>
        <v/>
      </c>
      <c r="ES6" s="10" t="str">
        <f t="shared" si="67"/>
        <v/>
      </c>
      <c r="ET6" s="10" t="str">
        <f t="shared" si="68"/>
        <v/>
      </c>
      <c r="EU6" s="44">
        <f t="shared" si="69"/>
        <v>15.299999999999999</v>
      </c>
      <c r="EV6" s="44">
        <f t="shared" si="70"/>
        <v>5.6999999999999993</v>
      </c>
      <c r="EW6" s="44">
        <f t="shared" si="71"/>
        <v>1.2</v>
      </c>
      <c r="EX6" s="44">
        <f t="shared" si="72"/>
        <v>0</v>
      </c>
      <c r="EY6" s="44">
        <f t="shared" si="73"/>
        <v>15.899999999999999</v>
      </c>
      <c r="EZ6" s="44">
        <f t="shared" si="74"/>
        <v>5.05</v>
      </c>
      <c r="FA6" s="44">
        <f t="shared" si="75"/>
        <v>1.6</v>
      </c>
      <c r="FB6" s="44">
        <f t="shared" si="76"/>
        <v>0</v>
      </c>
      <c r="FC6" s="44">
        <f t="shared" si="77"/>
        <v>17.100000000000001</v>
      </c>
      <c r="FD6" s="44">
        <f t="shared" si="78"/>
        <v>4.8</v>
      </c>
      <c r="FE6" s="44">
        <f t="shared" si="79"/>
        <v>0</v>
      </c>
      <c r="FF6" s="44">
        <f t="shared" si="80"/>
        <v>0</v>
      </c>
      <c r="FG6" s="44">
        <f t="shared" si="81"/>
        <v>15.7</v>
      </c>
      <c r="FH6" s="44">
        <f t="shared" si="82"/>
        <v>4.3499999999999996</v>
      </c>
      <c r="FI6" s="44">
        <f t="shared" si="83"/>
        <v>1.5</v>
      </c>
      <c r="FJ6" s="44">
        <f t="shared" si="84"/>
        <v>0</v>
      </c>
      <c r="FK6" s="20" t="s">
        <v>29</v>
      </c>
      <c r="FL6" s="10">
        <f t="shared" si="85"/>
        <v>5.6999999999999993</v>
      </c>
      <c r="FM6" s="10">
        <f t="shared" si="86"/>
        <v>19.8</v>
      </c>
      <c r="FN6" s="10">
        <f t="shared" si="87"/>
        <v>5.05</v>
      </c>
      <c r="FO6" s="10">
        <f t="shared" si="88"/>
        <v>19.349999999999998</v>
      </c>
      <c r="FP6" s="10">
        <f t="shared" si="89"/>
        <v>10.75</v>
      </c>
      <c r="FQ6" s="10">
        <f t="shared" si="90"/>
        <v>39.15</v>
      </c>
      <c r="FR6" s="10">
        <f t="shared" si="91"/>
        <v>4.8</v>
      </c>
      <c r="FS6" s="10">
        <f t="shared" si="92"/>
        <v>21.900000000000002</v>
      </c>
      <c r="FT6" s="10">
        <f t="shared" si="93"/>
        <v>4.3499999999999996</v>
      </c>
      <c r="FU6" s="10">
        <f t="shared" si="94"/>
        <v>18.549999999999997</v>
      </c>
      <c r="FV6" s="10">
        <f t="shared" si="95"/>
        <v>9.1499999999999986</v>
      </c>
      <c r="FW6" s="10">
        <f t="shared" si="96"/>
        <v>40.450000000000003</v>
      </c>
      <c r="FX6" s="10">
        <f t="shared" si="97"/>
        <v>79.599999999999994</v>
      </c>
    </row>
    <row r="7" spans="1:180" x14ac:dyDescent="0.2">
      <c r="A7" s="3" cm="1">
        <f t="array" ref="A7">IF(AND(H7&lt;&gt;"",H7&lt;&gt;"No DD",I7&lt;&gt;"P"),SUMPRODUCT((H$4:H$19&lt;&gt;"")*(H$4:H$19&lt;&gt;"No DD")*(I$4:I$19&lt;&gt;"P")*(E$4:E$19&gt;E7))+1,IF(H7="No DD",SUMPRODUCT((H$4:H$19="No DD")*(I$4:I$19&lt;&gt;"P")*(E$4:E$19&gt;E7))+1+SUMPRODUCT((H$4:H$19&lt;&gt;"")*(I$4:I$19&lt;&gt;"P")*(H$4:H$19&lt;&gt;"No DD")),""))</f>
        <v>1</v>
      </c>
      <c r="B7" s="4" t="s">
        <v>49</v>
      </c>
      <c r="C7" s="3" t="s">
        <v>4</v>
      </c>
      <c r="D7" s="3">
        <v>2005</v>
      </c>
      <c r="E7" s="8">
        <f t="shared" si="0"/>
        <v>91.300006860004586</v>
      </c>
      <c r="F7" s="2" t="str">
        <f t="shared" si="1"/>
        <v>P</v>
      </c>
      <c r="G7" s="2" t="str">
        <f t="shared" si="2"/>
        <v>P</v>
      </c>
      <c r="H7" s="26" t="str">
        <f t="shared" si="3"/>
        <v>National Team</v>
      </c>
      <c r="I7" s="2" t="str">
        <f>IF(COUNTIFS('Senior-M'!B:B,B7,'Senior-M'!A:A,"&lt;9",'Senior-M'!H:H,"&lt;&gt;"&amp;"No DD"),"P","")</f>
        <v/>
      </c>
      <c r="J7" s="7">
        <f t="shared" si="4"/>
        <v>46</v>
      </c>
      <c r="K7" s="7" t="str">
        <f t="shared" si="5"/>
        <v>2025 Nationals</v>
      </c>
      <c r="L7" s="7">
        <f>IF(J7=AO7,IF(COUNT(AQ7,AS7,BO7,BQ7,BU7,BW7)&gt;1,LARGE((AQ7,AS7,BO7,BQ7,BU7,BW7),1),0),IF(COUNT(AK7,AM7,AQ7,AS7,BU7,BW7)&gt;1,LARGE((AK7,AM7,AQ7,AS7,BU7,BW7),1),0))</f>
        <v>22.6</v>
      </c>
      <c r="M7" s="7" t="str">
        <f t="shared" si="6"/>
        <v>2025 3rd Domestic Trial</v>
      </c>
      <c r="N7" s="7">
        <f>IF(J7=AO7,IF(COUNT(AQ7,AS7,BO7,BQ7,BU7,BW7)&gt;1,LARGE((AQ7,AS7,BO7,BQ7,BU7,BW7),2),0),IF(COUNT(AK7,AM7,AQ7,AS7,BU7,BW7)&gt;1,LARGE((AK7,AM7,AQ7,AS7,BU7,BW7),2),0))</f>
        <v>22.6</v>
      </c>
      <c r="O7" s="7" t="str">
        <f t="shared" si="7"/>
        <v>2025 3rd Domestic Trial</v>
      </c>
      <c r="P7" s="7">
        <f t="shared" si="8"/>
        <v>0.10000000000000142</v>
      </c>
      <c r="Q7" s="10" t="str">
        <f t="shared" si="9"/>
        <v>(Pass)</v>
      </c>
      <c r="R7" s="7" t="str">
        <f t="shared" si="10"/>
        <v>2025 WAGC (Nov 16)</v>
      </c>
      <c r="S7" s="39">
        <v>16.8</v>
      </c>
      <c r="T7" s="39">
        <v>5.7</v>
      </c>
      <c r="U7" s="39">
        <v>0</v>
      </c>
      <c r="V7" s="39">
        <v>0.7</v>
      </c>
      <c r="W7" s="39">
        <v>16.8</v>
      </c>
      <c r="X7" s="39">
        <v>5.3</v>
      </c>
      <c r="Y7" s="39">
        <v>0</v>
      </c>
      <c r="Z7" s="39">
        <v>0.7</v>
      </c>
      <c r="AA7" s="39">
        <v>15.8</v>
      </c>
      <c r="AB7" s="39">
        <v>3.1</v>
      </c>
      <c r="AC7" s="39">
        <v>0</v>
      </c>
      <c r="AD7" s="39">
        <v>0.7</v>
      </c>
      <c r="AE7" s="39">
        <v>16.600000000000001</v>
      </c>
      <c r="AF7" s="39">
        <v>5.3</v>
      </c>
      <c r="AG7" s="39">
        <v>0</v>
      </c>
      <c r="AH7" s="39">
        <v>0.7</v>
      </c>
      <c r="AI7" s="19"/>
      <c r="AJ7" s="42">
        <f t="shared" si="11"/>
        <v>5.7</v>
      </c>
      <c r="AK7" s="42">
        <f t="shared" si="12"/>
        <v>23.2</v>
      </c>
      <c r="AL7" s="42">
        <f t="shared" si="13"/>
        <v>5.3</v>
      </c>
      <c r="AM7" s="42">
        <f t="shared" si="14"/>
        <v>22.8</v>
      </c>
      <c r="AN7" s="27">
        <f t="shared" si="15"/>
        <v>11</v>
      </c>
      <c r="AO7" s="27">
        <f t="shared" si="16"/>
        <v>46</v>
      </c>
      <c r="AP7" s="27">
        <f t="shared" si="17"/>
        <v>3.1</v>
      </c>
      <c r="AQ7" s="27">
        <f t="shared" si="18"/>
        <v>19.600000000000001</v>
      </c>
      <c r="AR7" s="27">
        <f t="shared" si="19"/>
        <v>5.3</v>
      </c>
      <c r="AS7" s="27">
        <f t="shared" si="20"/>
        <v>22.6</v>
      </c>
      <c r="AT7" s="27">
        <f t="shared" si="21"/>
        <v>8.4</v>
      </c>
      <c r="AU7" s="27">
        <f t="shared" si="22"/>
        <v>42.2</v>
      </c>
      <c r="AV7" s="27">
        <f t="shared" si="23"/>
        <v>88.2</v>
      </c>
      <c r="AW7" s="15">
        <v>11.8</v>
      </c>
      <c r="AX7" s="15">
        <v>3</v>
      </c>
      <c r="AY7" s="15">
        <v>0</v>
      </c>
      <c r="AZ7" s="15">
        <v>0</v>
      </c>
      <c r="BA7" s="15">
        <v>17.100000000000001</v>
      </c>
      <c r="BB7" s="15">
        <v>5.5</v>
      </c>
      <c r="BC7" s="15">
        <v>0</v>
      </c>
      <c r="BD7" s="15">
        <v>0</v>
      </c>
      <c r="BE7" s="15">
        <v>16.600000000000001</v>
      </c>
      <c r="BF7" s="15">
        <v>5.7</v>
      </c>
      <c r="BG7" s="15">
        <v>0</v>
      </c>
      <c r="BH7" s="15">
        <v>0</v>
      </c>
      <c r="BI7" s="15">
        <v>15.4</v>
      </c>
      <c r="BJ7" s="15">
        <v>5.0999999999999996</v>
      </c>
      <c r="BK7" s="15">
        <v>0.2</v>
      </c>
      <c r="BL7" s="15">
        <v>0</v>
      </c>
      <c r="BM7" s="20"/>
      <c r="BN7" s="43">
        <f t="shared" si="24"/>
        <v>3</v>
      </c>
      <c r="BO7" s="43">
        <f t="shared" si="25"/>
        <v>14.8</v>
      </c>
      <c r="BP7" s="43">
        <f t="shared" si="26"/>
        <v>5.5</v>
      </c>
      <c r="BQ7" s="43">
        <f t="shared" si="27"/>
        <v>22.6</v>
      </c>
      <c r="BR7" s="10">
        <f t="shared" si="28"/>
        <v>8.5</v>
      </c>
      <c r="BS7" s="10">
        <f t="shared" si="29"/>
        <v>37.400000000000006</v>
      </c>
      <c r="BT7" s="10">
        <f t="shared" si="30"/>
        <v>5.7</v>
      </c>
      <c r="BU7" s="10">
        <f t="shared" si="31"/>
        <v>22.3</v>
      </c>
      <c r="BV7" s="10">
        <f t="shared" si="32"/>
        <v>5.0999999999999996</v>
      </c>
      <c r="BW7" s="10">
        <f t="shared" si="33"/>
        <v>20.3</v>
      </c>
      <c r="BX7" s="10">
        <f t="shared" si="34"/>
        <v>10.8</v>
      </c>
      <c r="BY7" s="10">
        <f t="shared" si="35"/>
        <v>42.6</v>
      </c>
      <c r="BZ7" s="10">
        <f t="shared" si="36"/>
        <v>80</v>
      </c>
      <c r="CA7" s="34" t="str">
        <f t="shared" si="37"/>
        <v/>
      </c>
      <c r="CB7" s="34">
        <f t="shared" si="38"/>
        <v>0.10000000000000142</v>
      </c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27" t="str">
        <f t="shared" si="39"/>
        <v/>
      </c>
      <c r="CX7" s="27" t="str">
        <f t="shared" si="40"/>
        <v/>
      </c>
      <c r="CY7" s="27" t="str">
        <f t="shared" si="41"/>
        <v/>
      </c>
      <c r="CZ7" s="27" t="str">
        <f t="shared" si="42"/>
        <v/>
      </c>
      <c r="DA7" s="27" t="str">
        <f t="shared" si="43"/>
        <v/>
      </c>
      <c r="DB7" s="27" t="str">
        <f t="shared" si="44"/>
        <v/>
      </c>
      <c r="DC7" s="27" t="str">
        <f t="shared" si="45"/>
        <v/>
      </c>
      <c r="DD7" s="27" t="str">
        <f t="shared" si="46"/>
        <v/>
      </c>
      <c r="DE7" s="27" t="str">
        <f t="shared" si="47"/>
        <v/>
      </c>
      <c r="DF7" s="27" t="str">
        <f t="shared" si="48"/>
        <v/>
      </c>
      <c r="DG7" s="27" t="str">
        <f t="shared" si="49"/>
        <v/>
      </c>
      <c r="DH7" s="27" t="str">
        <f t="shared" si="50"/>
        <v/>
      </c>
      <c r="DI7" s="27" t="str">
        <f t="shared" si="51"/>
        <v/>
      </c>
      <c r="DJ7" s="27" t="str">
        <f t="shared" si="52"/>
        <v/>
      </c>
      <c r="DK7" s="27" t="str">
        <f t="shared" si="53"/>
        <v/>
      </c>
      <c r="DL7" s="15">
        <v>16.8</v>
      </c>
      <c r="DM7" s="15">
        <v>5.9</v>
      </c>
      <c r="DN7" s="15">
        <v>0</v>
      </c>
      <c r="DO7" s="15">
        <v>0</v>
      </c>
      <c r="DP7" s="15">
        <v>15.7</v>
      </c>
      <c r="DQ7" s="15">
        <v>3.1</v>
      </c>
      <c r="DR7" s="15">
        <v>0</v>
      </c>
      <c r="DS7" s="15">
        <v>0</v>
      </c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0">
        <f t="shared" si="54"/>
        <v>5.9</v>
      </c>
      <c r="EG7" s="10">
        <f t="shared" si="55"/>
        <v>22.700000000000003</v>
      </c>
      <c r="EH7" s="10">
        <f t="shared" si="56"/>
        <v>3.1</v>
      </c>
      <c r="EI7" s="10">
        <f t="shared" si="57"/>
        <v>18.8</v>
      </c>
      <c r="EJ7" s="10">
        <f t="shared" si="58"/>
        <v>9</v>
      </c>
      <c r="EK7" s="10">
        <f t="shared" si="59"/>
        <v>41.5</v>
      </c>
      <c r="EL7" s="10" t="str">
        <f t="shared" si="60"/>
        <v/>
      </c>
      <c r="EM7" s="10" t="str">
        <f t="shared" si="61"/>
        <v/>
      </c>
      <c r="EN7" s="10" t="str">
        <f t="shared" si="62"/>
        <v/>
      </c>
      <c r="EO7" s="10" t="str">
        <f t="shared" si="63"/>
        <v/>
      </c>
      <c r="EP7" s="10" t="str">
        <f t="shared" si="64"/>
        <v/>
      </c>
      <c r="EQ7" s="10" t="str">
        <f t="shared" si="65"/>
        <v/>
      </c>
      <c r="ER7" s="10" t="str">
        <f t="shared" si="66"/>
        <v/>
      </c>
      <c r="ES7" s="10" t="str">
        <f t="shared" si="67"/>
        <v/>
      </c>
      <c r="ET7" s="10">
        <f t="shared" si="68"/>
        <v>41.5</v>
      </c>
      <c r="EU7" s="44">
        <f t="shared" si="69"/>
        <v>14.3</v>
      </c>
      <c r="EV7" s="44">
        <f t="shared" si="70"/>
        <v>4.3499999999999996</v>
      </c>
      <c r="EW7" s="44">
        <f t="shared" si="71"/>
        <v>0</v>
      </c>
      <c r="EX7" s="44">
        <f t="shared" si="72"/>
        <v>0.35</v>
      </c>
      <c r="EY7" s="44">
        <f t="shared" si="73"/>
        <v>16.950000000000003</v>
      </c>
      <c r="EZ7" s="44">
        <f t="shared" si="74"/>
        <v>5.4</v>
      </c>
      <c r="FA7" s="44">
        <f t="shared" si="75"/>
        <v>0</v>
      </c>
      <c r="FB7" s="44">
        <f t="shared" si="76"/>
        <v>0.35</v>
      </c>
      <c r="FC7" s="44">
        <f t="shared" si="77"/>
        <v>16.200000000000003</v>
      </c>
      <c r="FD7" s="44">
        <f t="shared" si="78"/>
        <v>4.4000000000000004</v>
      </c>
      <c r="FE7" s="44">
        <f t="shared" si="79"/>
        <v>0</v>
      </c>
      <c r="FF7" s="44">
        <f t="shared" si="80"/>
        <v>0.35</v>
      </c>
      <c r="FG7" s="44">
        <f t="shared" si="81"/>
        <v>16</v>
      </c>
      <c r="FH7" s="44">
        <f t="shared" si="82"/>
        <v>5.1999999999999993</v>
      </c>
      <c r="FI7" s="44">
        <f t="shared" si="83"/>
        <v>0.1</v>
      </c>
      <c r="FJ7" s="44">
        <f t="shared" si="84"/>
        <v>0.35</v>
      </c>
      <c r="FK7" s="20" t="s">
        <v>29</v>
      </c>
      <c r="FL7" s="10">
        <f t="shared" si="85"/>
        <v>4.3499999999999996</v>
      </c>
      <c r="FM7" s="10">
        <f t="shared" si="86"/>
        <v>19</v>
      </c>
      <c r="FN7" s="10">
        <f t="shared" si="87"/>
        <v>5.4</v>
      </c>
      <c r="FO7" s="10">
        <f t="shared" si="88"/>
        <v>22.700000000000003</v>
      </c>
      <c r="FP7" s="10">
        <f t="shared" si="89"/>
        <v>9.75</v>
      </c>
      <c r="FQ7" s="10">
        <f t="shared" si="90"/>
        <v>41.7</v>
      </c>
      <c r="FR7" s="10">
        <f t="shared" si="91"/>
        <v>4.4000000000000004</v>
      </c>
      <c r="FS7" s="10">
        <f t="shared" si="92"/>
        <v>20.950000000000003</v>
      </c>
      <c r="FT7" s="10">
        <f t="shared" si="93"/>
        <v>5.1999999999999993</v>
      </c>
      <c r="FU7" s="10">
        <f t="shared" si="94"/>
        <v>21.45</v>
      </c>
      <c r="FV7" s="10">
        <f t="shared" si="95"/>
        <v>9.6</v>
      </c>
      <c r="FW7" s="10">
        <f t="shared" si="96"/>
        <v>42.400000000000006</v>
      </c>
      <c r="FX7" s="10">
        <f t="shared" si="97"/>
        <v>84.100000000000009</v>
      </c>
    </row>
    <row r="8" spans="1:180" x14ac:dyDescent="0.2">
      <c r="A8" s="3" cm="1">
        <f t="array" ref="A8">IF(AND(H8&lt;&gt;"",H8&lt;&gt;"No DD",I8&lt;&gt;"P"),SUMPRODUCT((H$4:H$19&lt;&gt;"")*(H$4:H$19&lt;&gt;"No DD")*(I$4:I$19&lt;&gt;"P")*(E$4:E$19&gt;E8))+1,IF(H8="No DD",SUMPRODUCT((H$4:H$19="No DD")*(I$4:I$19&lt;&gt;"P")*(E$4:E$19&gt;E8))+1+SUMPRODUCT((H$4:H$19&lt;&gt;"")*(I$4:I$19&lt;&gt;"P")*(H$4:H$19&lt;&gt;"No DD")),""))</f>
        <v>2</v>
      </c>
      <c r="B8" s="4" t="s">
        <v>39</v>
      </c>
      <c r="C8" s="3" t="s">
        <v>6</v>
      </c>
      <c r="D8" s="3">
        <v>2006</v>
      </c>
      <c r="E8" s="8">
        <f t="shared" si="0"/>
        <v>90.000006630004407</v>
      </c>
      <c r="F8" s="2" t="str">
        <f t="shared" si="1"/>
        <v>P</v>
      </c>
      <c r="G8" s="2" t="str">
        <f t="shared" si="2"/>
        <v>P</v>
      </c>
      <c r="H8" s="26" t="str">
        <f t="shared" si="3"/>
        <v>National Team</v>
      </c>
      <c r="I8" s="2" t="str">
        <f>IF(COUNTIFS('Senior-M'!B:B,B8,'Senior-M'!A:A,"&lt;9",'Senior-M'!H:H,"&lt;&gt;"&amp;"No DD"),"P","")</f>
        <v/>
      </c>
      <c r="J8" s="7">
        <f t="shared" si="4"/>
        <v>44</v>
      </c>
      <c r="K8" s="7" t="str">
        <f t="shared" si="5"/>
        <v>2025 3rd Domestic Trial</v>
      </c>
      <c r="L8" s="7">
        <f>IF(J8=AO8,IF(COUNT(AQ8,AS8,BO8,BQ8,BU8,BW8)&gt;1,LARGE((AQ8,AS8,BO8,BQ8,BU8,BW8),1),0),IF(COUNT(AK8,AM8,AQ8,AS8,BU8,BW8)&gt;1,LARGE((AK8,AM8,AQ8,AS8,BU8,BW8),1),0))</f>
        <v>22.3</v>
      </c>
      <c r="M8" s="7" t="str">
        <f t="shared" si="6"/>
        <v>2025 3rd Domestic Trial</v>
      </c>
      <c r="N8" s="7">
        <f>IF(J8=AO8,IF(COUNT(AQ8,AS8,BO8,BQ8,BU8,BW8)&gt;1,LARGE((AQ8,AS8,BO8,BQ8,BU8,BW8),2),0),IF(COUNT(AK8,AM8,AQ8,AS8,BU8,BW8)&gt;1,LARGE((AK8,AM8,AQ8,AS8,BU8,BW8),2),0))</f>
        <v>22.299999999999997</v>
      </c>
      <c r="O8" s="7" t="str">
        <f t="shared" si="7"/>
        <v>2025 3rd Domestic Trial</v>
      </c>
      <c r="P8" s="7">
        <f t="shared" si="8"/>
        <v>1.3999999999999986</v>
      </c>
      <c r="Q8" s="10" t="str">
        <f t="shared" si="9"/>
        <v>(Q1)</v>
      </c>
      <c r="R8" s="7" t="str">
        <f t="shared" si="10"/>
        <v>2025 WAGC (Nov 16)</v>
      </c>
      <c r="S8" s="39">
        <v>14.4</v>
      </c>
      <c r="T8" s="39">
        <v>6.1</v>
      </c>
      <c r="U8" s="39">
        <v>0.2</v>
      </c>
      <c r="V8" s="39">
        <v>0</v>
      </c>
      <c r="W8" s="39">
        <v>17.2</v>
      </c>
      <c r="X8" s="39">
        <v>5.2</v>
      </c>
      <c r="Y8" s="39">
        <v>0.1</v>
      </c>
      <c r="Z8" s="39">
        <v>0</v>
      </c>
      <c r="AA8" s="39">
        <v>16.7</v>
      </c>
      <c r="AB8" s="39">
        <v>5.3</v>
      </c>
      <c r="AC8" s="39">
        <v>0.2</v>
      </c>
      <c r="AD8" s="39">
        <v>0</v>
      </c>
      <c r="AE8" s="39">
        <v>17.7</v>
      </c>
      <c r="AF8" s="39">
        <v>3.2</v>
      </c>
      <c r="AG8" s="39">
        <v>1</v>
      </c>
      <c r="AH8" s="39">
        <v>0</v>
      </c>
      <c r="AI8" s="19"/>
      <c r="AJ8" s="42">
        <f t="shared" si="11"/>
        <v>6.1</v>
      </c>
      <c r="AK8" s="42">
        <f t="shared" si="12"/>
        <v>20.3</v>
      </c>
      <c r="AL8" s="42">
        <f t="shared" si="13"/>
        <v>5.2</v>
      </c>
      <c r="AM8" s="42">
        <f t="shared" si="14"/>
        <v>22.299999999999997</v>
      </c>
      <c r="AN8" s="27">
        <f t="shared" si="15"/>
        <v>11.3</v>
      </c>
      <c r="AO8" s="27">
        <f t="shared" si="16"/>
        <v>42.599999999999994</v>
      </c>
      <c r="AP8" s="27">
        <f t="shared" si="17"/>
        <v>5.3</v>
      </c>
      <c r="AQ8" s="27">
        <f t="shared" si="18"/>
        <v>21.8</v>
      </c>
      <c r="AR8" s="27">
        <f t="shared" si="19"/>
        <v>3.2</v>
      </c>
      <c r="AS8" s="27">
        <f t="shared" si="20"/>
        <v>19.899999999999999</v>
      </c>
      <c r="AT8" s="27">
        <f t="shared" si="21"/>
        <v>8.5</v>
      </c>
      <c r="AU8" s="27">
        <f t="shared" si="22"/>
        <v>41.7</v>
      </c>
      <c r="AV8" s="27">
        <f t="shared" si="23"/>
        <v>84.3</v>
      </c>
      <c r="AW8" s="15">
        <v>16.7</v>
      </c>
      <c r="AX8" s="15">
        <v>5.8</v>
      </c>
      <c r="AY8" s="15">
        <v>0</v>
      </c>
      <c r="AZ8" s="15">
        <v>0</v>
      </c>
      <c r="BA8" s="15">
        <v>15.8</v>
      </c>
      <c r="BB8" s="15">
        <v>5.7</v>
      </c>
      <c r="BC8" s="15">
        <v>0</v>
      </c>
      <c r="BD8" s="15">
        <v>0</v>
      </c>
      <c r="BE8" s="15">
        <v>16.5</v>
      </c>
      <c r="BF8" s="15">
        <v>5.8</v>
      </c>
      <c r="BG8" s="15">
        <v>0</v>
      </c>
      <c r="BH8" s="15">
        <v>0</v>
      </c>
      <c r="BI8" s="15">
        <v>15.6</v>
      </c>
      <c r="BJ8" s="15">
        <v>5.7</v>
      </c>
      <c r="BK8" s="15">
        <v>0</v>
      </c>
      <c r="BL8" s="15">
        <v>0</v>
      </c>
      <c r="BM8" s="20"/>
      <c r="BN8" s="43">
        <f t="shared" si="24"/>
        <v>5.8</v>
      </c>
      <c r="BO8" s="43">
        <f t="shared" si="25"/>
        <v>22.5</v>
      </c>
      <c r="BP8" s="43">
        <f t="shared" si="26"/>
        <v>5.7</v>
      </c>
      <c r="BQ8" s="43">
        <f t="shared" si="27"/>
        <v>21.5</v>
      </c>
      <c r="BR8" s="10">
        <f t="shared" si="28"/>
        <v>11.5</v>
      </c>
      <c r="BS8" s="10">
        <f t="shared" si="29"/>
        <v>44</v>
      </c>
      <c r="BT8" s="10">
        <f t="shared" si="30"/>
        <v>5.8</v>
      </c>
      <c r="BU8" s="10">
        <f t="shared" si="31"/>
        <v>22.3</v>
      </c>
      <c r="BV8" s="10">
        <f t="shared" si="32"/>
        <v>5.7</v>
      </c>
      <c r="BW8" s="10">
        <f t="shared" si="33"/>
        <v>21.3</v>
      </c>
      <c r="BX8" s="10">
        <f t="shared" si="34"/>
        <v>11.5</v>
      </c>
      <c r="BY8" s="10">
        <f t="shared" si="35"/>
        <v>43.6</v>
      </c>
      <c r="BZ8" s="10">
        <f t="shared" si="36"/>
        <v>87.6</v>
      </c>
      <c r="CA8" s="34">
        <f t="shared" si="37"/>
        <v>1.3999999999999986</v>
      </c>
      <c r="CB8" s="34">
        <f t="shared" si="38"/>
        <v>0.80000000000000426</v>
      </c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27" t="str">
        <f t="shared" si="39"/>
        <v/>
      </c>
      <c r="CX8" s="27" t="str">
        <f t="shared" si="40"/>
        <v/>
      </c>
      <c r="CY8" s="27" t="str">
        <f t="shared" si="41"/>
        <v/>
      </c>
      <c r="CZ8" s="27" t="str">
        <f t="shared" si="42"/>
        <v/>
      </c>
      <c r="DA8" s="27" t="str">
        <f t="shared" si="43"/>
        <v/>
      </c>
      <c r="DB8" s="27" t="str">
        <f t="shared" si="44"/>
        <v/>
      </c>
      <c r="DC8" s="27" t="str">
        <f t="shared" si="45"/>
        <v/>
      </c>
      <c r="DD8" s="27" t="str">
        <f t="shared" si="46"/>
        <v/>
      </c>
      <c r="DE8" s="27" t="str">
        <f t="shared" si="47"/>
        <v/>
      </c>
      <c r="DF8" s="27" t="str">
        <f t="shared" si="48"/>
        <v/>
      </c>
      <c r="DG8" s="27" t="str">
        <f t="shared" si="49"/>
        <v/>
      </c>
      <c r="DH8" s="27" t="str">
        <f t="shared" si="50"/>
        <v/>
      </c>
      <c r="DI8" s="27" t="str">
        <f t="shared" si="51"/>
        <v/>
      </c>
      <c r="DJ8" s="27" t="str">
        <f t="shared" si="52"/>
        <v/>
      </c>
      <c r="DK8" s="27" t="str">
        <f t="shared" si="53"/>
        <v/>
      </c>
      <c r="DL8" s="15">
        <v>17.3</v>
      </c>
      <c r="DM8" s="15">
        <v>5.8</v>
      </c>
      <c r="DN8" s="15">
        <v>0</v>
      </c>
      <c r="DO8" s="15">
        <v>0</v>
      </c>
      <c r="DP8" s="15">
        <v>16.399999999999999</v>
      </c>
      <c r="DQ8" s="15">
        <v>5.9</v>
      </c>
      <c r="DR8" s="15">
        <v>0</v>
      </c>
      <c r="DS8" s="15">
        <v>0</v>
      </c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0">
        <f t="shared" si="54"/>
        <v>5.8</v>
      </c>
      <c r="EG8" s="10">
        <f t="shared" si="55"/>
        <v>23.1</v>
      </c>
      <c r="EH8" s="10">
        <f t="shared" si="56"/>
        <v>5.9</v>
      </c>
      <c r="EI8" s="10">
        <f t="shared" si="57"/>
        <v>22.299999999999997</v>
      </c>
      <c r="EJ8" s="10">
        <f t="shared" si="58"/>
        <v>11.7</v>
      </c>
      <c r="EK8" s="10">
        <f t="shared" si="59"/>
        <v>45.4</v>
      </c>
      <c r="EL8" s="10" t="str">
        <f t="shared" si="60"/>
        <v/>
      </c>
      <c r="EM8" s="10" t="str">
        <f t="shared" si="61"/>
        <v/>
      </c>
      <c r="EN8" s="10" t="str">
        <f t="shared" si="62"/>
        <v/>
      </c>
      <c r="EO8" s="10" t="str">
        <f t="shared" si="63"/>
        <v/>
      </c>
      <c r="EP8" s="10" t="str">
        <f t="shared" si="64"/>
        <v/>
      </c>
      <c r="EQ8" s="10" t="str">
        <f t="shared" si="65"/>
        <v/>
      </c>
      <c r="ER8" s="10" t="str">
        <f t="shared" si="66"/>
        <v/>
      </c>
      <c r="ES8" s="10" t="str">
        <f t="shared" si="67"/>
        <v/>
      </c>
      <c r="ET8" s="10">
        <f t="shared" si="68"/>
        <v>45.4</v>
      </c>
      <c r="EU8" s="44">
        <f t="shared" si="69"/>
        <v>15.55</v>
      </c>
      <c r="EV8" s="44">
        <f t="shared" si="70"/>
        <v>5.9499999999999993</v>
      </c>
      <c r="EW8" s="44">
        <f t="shared" si="71"/>
        <v>0.1</v>
      </c>
      <c r="EX8" s="44">
        <f t="shared" si="72"/>
        <v>0</v>
      </c>
      <c r="EY8" s="44">
        <f t="shared" si="73"/>
        <v>16.5</v>
      </c>
      <c r="EZ8" s="44">
        <f t="shared" si="74"/>
        <v>5.45</v>
      </c>
      <c r="FA8" s="44">
        <f t="shared" si="75"/>
        <v>0.05</v>
      </c>
      <c r="FB8" s="44">
        <f t="shared" si="76"/>
        <v>0</v>
      </c>
      <c r="FC8" s="44">
        <f t="shared" si="77"/>
        <v>16.600000000000001</v>
      </c>
      <c r="FD8" s="44">
        <f t="shared" si="78"/>
        <v>5.55</v>
      </c>
      <c r="FE8" s="44">
        <f t="shared" si="79"/>
        <v>0.1</v>
      </c>
      <c r="FF8" s="44">
        <f t="shared" si="80"/>
        <v>0</v>
      </c>
      <c r="FG8" s="44">
        <f t="shared" si="81"/>
        <v>16.649999999999999</v>
      </c>
      <c r="FH8" s="44">
        <f t="shared" si="82"/>
        <v>4.45</v>
      </c>
      <c r="FI8" s="44">
        <f t="shared" si="83"/>
        <v>0.5</v>
      </c>
      <c r="FJ8" s="44">
        <f t="shared" si="84"/>
        <v>0</v>
      </c>
      <c r="FK8" s="20" t="s">
        <v>29</v>
      </c>
      <c r="FL8" s="10">
        <f t="shared" si="85"/>
        <v>5.9499999999999993</v>
      </c>
      <c r="FM8" s="10">
        <f t="shared" si="86"/>
        <v>21.4</v>
      </c>
      <c r="FN8" s="10">
        <f t="shared" si="87"/>
        <v>5.45</v>
      </c>
      <c r="FO8" s="10">
        <f t="shared" si="88"/>
        <v>21.9</v>
      </c>
      <c r="FP8" s="10">
        <f t="shared" si="89"/>
        <v>11.399999999999999</v>
      </c>
      <c r="FQ8" s="10">
        <f t="shared" si="90"/>
        <v>43.3</v>
      </c>
      <c r="FR8" s="10">
        <f t="shared" si="91"/>
        <v>5.55</v>
      </c>
      <c r="FS8" s="10">
        <f t="shared" si="92"/>
        <v>22.05</v>
      </c>
      <c r="FT8" s="10">
        <f t="shared" si="93"/>
        <v>4.45</v>
      </c>
      <c r="FU8" s="10">
        <f t="shared" si="94"/>
        <v>20.599999999999998</v>
      </c>
      <c r="FV8" s="10">
        <f t="shared" si="95"/>
        <v>10</v>
      </c>
      <c r="FW8" s="10">
        <f t="shared" si="96"/>
        <v>42.65</v>
      </c>
      <c r="FX8" s="10">
        <f t="shared" si="97"/>
        <v>85.949999999999989</v>
      </c>
    </row>
    <row r="9" spans="1:180" x14ac:dyDescent="0.2">
      <c r="A9" s="3" cm="1">
        <f t="array" ref="A9">IF(AND(H9&lt;&gt;"",H9&lt;&gt;"No DD",I9&lt;&gt;"P"),SUMPRODUCT((H$4:H$19&lt;&gt;"")*(H$4:H$19&lt;&gt;"No DD")*(I$4:I$19&lt;&gt;"P")*(E$4:E$19&gt;E9))+1,IF(H9="No DD",SUMPRODUCT((H$4:H$19="No DD")*(I$4:I$19&lt;&gt;"P")*(E$4:E$19&gt;E9))+1+SUMPRODUCT((H$4:H$19&lt;&gt;"")*(I$4:I$19&lt;&gt;"P")*(H$4:H$19&lt;&gt;"No DD")),""))</f>
        <v>3</v>
      </c>
      <c r="B9" s="4" t="s">
        <v>57</v>
      </c>
      <c r="C9" s="3" t="s">
        <v>4</v>
      </c>
      <c r="D9" s="3">
        <v>2008</v>
      </c>
      <c r="E9" s="8">
        <f t="shared" si="0"/>
        <v>89.70000671000443</v>
      </c>
      <c r="F9" s="2" t="str">
        <f t="shared" si="1"/>
        <v>P</v>
      </c>
      <c r="G9" s="2" t="str">
        <f t="shared" si="2"/>
        <v>P</v>
      </c>
      <c r="H9" s="26" t="str">
        <f t="shared" si="3"/>
        <v>National Team</v>
      </c>
      <c r="I9" s="2" t="str">
        <f>IF(COUNTIFS('Senior-M'!B:B,B9,'Senior-M'!A:A,"&lt;9",'Senior-M'!H:H,"&lt;&gt;"&amp;"No DD"),"P","")</f>
        <v/>
      </c>
      <c r="J9" s="7">
        <f t="shared" si="4"/>
        <v>44.3</v>
      </c>
      <c r="K9" s="7" t="str">
        <f t="shared" si="5"/>
        <v>2025 Nationals</v>
      </c>
      <c r="L9" s="7">
        <f>IF(J9=AO9,IF(COUNT(AQ9,AS9,BO9,BQ9,BU9,BW9)&gt;1,LARGE((AQ9,AS9,BO9,BQ9,BU9,BW9),1),0),IF(COUNT(AK9,AM9,AQ9,AS9,BU9,BW9)&gt;1,LARGE((AK9,AM9,AQ9,AS9,BU9,BW9),1),0))</f>
        <v>22.8</v>
      </c>
      <c r="M9" s="7" t="str">
        <f t="shared" si="6"/>
        <v>2025 Nationals</v>
      </c>
      <c r="N9" s="7">
        <f>IF(J9=AO9,IF(COUNT(AQ9,AS9,BO9,BQ9,BU9,BW9)&gt;1,LARGE((AQ9,AS9,BO9,BQ9,BU9,BW9),2),0),IF(COUNT(AK9,AM9,AQ9,AS9,BU9,BW9)&gt;1,LARGE((AK9,AM9,AQ9,AS9,BU9,BW9),2),0))</f>
        <v>22.2</v>
      </c>
      <c r="O9" s="7" t="str">
        <f t="shared" si="7"/>
        <v>2025 Nationals</v>
      </c>
      <c r="P9" s="7">
        <f t="shared" si="8"/>
        <v>0.40000000000000213</v>
      </c>
      <c r="Q9" s="10" t="str">
        <f t="shared" si="9"/>
        <v>(Pass)</v>
      </c>
      <c r="R9" s="7" t="str">
        <f t="shared" si="10"/>
        <v>2025 WAGC (Nov 16)</v>
      </c>
      <c r="S9" s="39">
        <v>16.399999999999999</v>
      </c>
      <c r="T9" s="39">
        <v>5.7</v>
      </c>
      <c r="U9" s="39">
        <v>0</v>
      </c>
      <c r="V9" s="39">
        <v>0</v>
      </c>
      <c r="W9" s="39">
        <v>15.6</v>
      </c>
      <c r="X9" s="39">
        <v>6.6</v>
      </c>
      <c r="Y9" s="39">
        <v>0</v>
      </c>
      <c r="Z9" s="39">
        <v>0</v>
      </c>
      <c r="AA9" s="39">
        <v>16.5</v>
      </c>
      <c r="AB9" s="39">
        <v>5.7</v>
      </c>
      <c r="AC9" s="39">
        <v>0</v>
      </c>
      <c r="AD9" s="39">
        <v>0</v>
      </c>
      <c r="AE9" s="39">
        <v>16</v>
      </c>
      <c r="AF9" s="39">
        <v>6.8</v>
      </c>
      <c r="AG9" s="39">
        <v>0</v>
      </c>
      <c r="AH9" s="39">
        <v>0</v>
      </c>
      <c r="AI9" s="19"/>
      <c r="AJ9" s="42">
        <f t="shared" si="11"/>
        <v>5.7</v>
      </c>
      <c r="AK9" s="42">
        <f t="shared" si="12"/>
        <v>22.099999999999998</v>
      </c>
      <c r="AL9" s="42">
        <f t="shared" si="13"/>
        <v>6.6</v>
      </c>
      <c r="AM9" s="42">
        <f t="shared" si="14"/>
        <v>22.2</v>
      </c>
      <c r="AN9" s="27">
        <f t="shared" si="15"/>
        <v>12.3</v>
      </c>
      <c r="AO9" s="27">
        <f t="shared" si="16"/>
        <v>44.3</v>
      </c>
      <c r="AP9" s="27">
        <f t="shared" si="17"/>
        <v>5.7</v>
      </c>
      <c r="AQ9" s="27">
        <f t="shared" si="18"/>
        <v>22.2</v>
      </c>
      <c r="AR9" s="27">
        <f t="shared" si="19"/>
        <v>6.8</v>
      </c>
      <c r="AS9" s="27">
        <f t="shared" si="20"/>
        <v>22.8</v>
      </c>
      <c r="AT9" s="27">
        <f t="shared" si="21"/>
        <v>12.5</v>
      </c>
      <c r="AU9" s="27">
        <f t="shared" si="22"/>
        <v>45</v>
      </c>
      <c r="AV9" s="27">
        <f t="shared" si="23"/>
        <v>89.3</v>
      </c>
      <c r="AW9" s="15">
        <v>15.8</v>
      </c>
      <c r="AX9" s="15">
        <v>6.3</v>
      </c>
      <c r="AY9" s="15">
        <v>0</v>
      </c>
      <c r="AZ9" s="15">
        <v>0</v>
      </c>
      <c r="BA9" s="15">
        <v>15.4</v>
      </c>
      <c r="BB9" s="15">
        <v>4.7</v>
      </c>
      <c r="BC9" s="15">
        <v>1</v>
      </c>
      <c r="BD9" s="15">
        <v>0</v>
      </c>
      <c r="BE9" s="15">
        <v>16</v>
      </c>
      <c r="BF9" s="15">
        <v>5.8</v>
      </c>
      <c r="BG9" s="15">
        <v>0</v>
      </c>
      <c r="BH9" s="15">
        <v>0</v>
      </c>
      <c r="BI9" s="15">
        <v>15.1</v>
      </c>
      <c r="BJ9" s="15">
        <v>5.9</v>
      </c>
      <c r="BK9" s="15">
        <v>2</v>
      </c>
      <c r="BL9" s="15">
        <v>0</v>
      </c>
      <c r="BM9" s="20"/>
      <c r="BN9" s="43">
        <f t="shared" si="24"/>
        <v>6.3</v>
      </c>
      <c r="BO9" s="43">
        <f t="shared" si="25"/>
        <v>22.1</v>
      </c>
      <c r="BP9" s="43">
        <f t="shared" si="26"/>
        <v>4.7</v>
      </c>
      <c r="BQ9" s="43">
        <f t="shared" si="27"/>
        <v>19.100000000000001</v>
      </c>
      <c r="BR9" s="10">
        <f t="shared" si="28"/>
        <v>11</v>
      </c>
      <c r="BS9" s="10">
        <f t="shared" si="29"/>
        <v>41.2</v>
      </c>
      <c r="BT9" s="10">
        <f t="shared" si="30"/>
        <v>5.8</v>
      </c>
      <c r="BU9" s="10">
        <f t="shared" si="31"/>
        <v>21.8</v>
      </c>
      <c r="BV9" s="10">
        <f t="shared" si="32"/>
        <v>5.9</v>
      </c>
      <c r="BW9" s="10">
        <f t="shared" si="33"/>
        <v>19</v>
      </c>
      <c r="BX9" s="10">
        <f t="shared" si="34"/>
        <v>11.7</v>
      </c>
      <c r="BY9" s="10">
        <f t="shared" si="35"/>
        <v>40.799999999999997</v>
      </c>
      <c r="BZ9" s="10">
        <f t="shared" si="36"/>
        <v>82</v>
      </c>
      <c r="CA9" s="34" t="str">
        <f t="shared" si="37"/>
        <v/>
      </c>
      <c r="CB9" s="34">
        <f t="shared" si="38"/>
        <v>0.40000000000000213</v>
      </c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27" t="str">
        <f t="shared" si="39"/>
        <v/>
      </c>
      <c r="CX9" s="27" t="str">
        <f t="shared" si="40"/>
        <v/>
      </c>
      <c r="CY9" s="27" t="str">
        <f t="shared" si="41"/>
        <v/>
      </c>
      <c r="CZ9" s="27" t="str">
        <f t="shared" si="42"/>
        <v/>
      </c>
      <c r="DA9" s="27" t="str">
        <f t="shared" si="43"/>
        <v/>
      </c>
      <c r="DB9" s="27" t="str">
        <f t="shared" si="44"/>
        <v/>
      </c>
      <c r="DC9" s="27" t="str">
        <f t="shared" si="45"/>
        <v/>
      </c>
      <c r="DD9" s="27" t="str">
        <f t="shared" si="46"/>
        <v/>
      </c>
      <c r="DE9" s="27" t="str">
        <f t="shared" si="47"/>
        <v/>
      </c>
      <c r="DF9" s="27" t="str">
        <f t="shared" si="48"/>
        <v/>
      </c>
      <c r="DG9" s="27" t="str">
        <f t="shared" si="49"/>
        <v/>
      </c>
      <c r="DH9" s="27" t="str">
        <f t="shared" si="50"/>
        <v/>
      </c>
      <c r="DI9" s="27" t="str">
        <f t="shared" si="51"/>
        <v/>
      </c>
      <c r="DJ9" s="27" t="str">
        <f t="shared" si="52"/>
        <v/>
      </c>
      <c r="DK9" s="27" t="str">
        <f t="shared" si="53"/>
        <v/>
      </c>
      <c r="DL9" s="15">
        <v>16.8</v>
      </c>
      <c r="DM9" s="15">
        <v>5.8</v>
      </c>
      <c r="DN9" s="15">
        <v>0</v>
      </c>
      <c r="DO9" s="15">
        <v>0</v>
      </c>
      <c r="DP9" s="15">
        <v>16.100000000000001</v>
      </c>
      <c r="DQ9" s="15">
        <v>5.8</v>
      </c>
      <c r="DR9" s="15">
        <v>0.4</v>
      </c>
      <c r="DS9" s="15">
        <v>0</v>
      </c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0">
        <f t="shared" si="54"/>
        <v>5.8</v>
      </c>
      <c r="EG9" s="10">
        <f t="shared" si="55"/>
        <v>22.6</v>
      </c>
      <c r="EH9" s="10">
        <f t="shared" si="56"/>
        <v>5.8</v>
      </c>
      <c r="EI9" s="10">
        <f t="shared" si="57"/>
        <v>21.500000000000004</v>
      </c>
      <c r="EJ9" s="10">
        <f t="shared" si="58"/>
        <v>11.6</v>
      </c>
      <c r="EK9" s="10">
        <f t="shared" si="59"/>
        <v>44.100000000000009</v>
      </c>
      <c r="EL9" s="10" t="str">
        <f t="shared" si="60"/>
        <v/>
      </c>
      <c r="EM9" s="10" t="str">
        <f t="shared" si="61"/>
        <v/>
      </c>
      <c r="EN9" s="10" t="str">
        <f t="shared" si="62"/>
        <v/>
      </c>
      <c r="EO9" s="10" t="str">
        <f t="shared" si="63"/>
        <v/>
      </c>
      <c r="EP9" s="10" t="str">
        <f t="shared" si="64"/>
        <v/>
      </c>
      <c r="EQ9" s="10" t="str">
        <f t="shared" si="65"/>
        <v/>
      </c>
      <c r="ER9" s="10" t="str">
        <f t="shared" si="66"/>
        <v/>
      </c>
      <c r="ES9" s="10" t="str">
        <f t="shared" si="67"/>
        <v/>
      </c>
      <c r="ET9" s="10">
        <f t="shared" si="68"/>
        <v>44.100000000000009</v>
      </c>
      <c r="EU9" s="44">
        <f t="shared" si="69"/>
        <v>16.100000000000001</v>
      </c>
      <c r="EV9" s="44">
        <f t="shared" si="70"/>
        <v>6</v>
      </c>
      <c r="EW9" s="44">
        <f t="shared" si="71"/>
        <v>0</v>
      </c>
      <c r="EX9" s="44">
        <f t="shared" si="72"/>
        <v>0</v>
      </c>
      <c r="EY9" s="44">
        <f t="shared" si="73"/>
        <v>15.5</v>
      </c>
      <c r="EZ9" s="44">
        <f t="shared" si="74"/>
        <v>5.65</v>
      </c>
      <c r="FA9" s="44">
        <f t="shared" si="75"/>
        <v>0.5</v>
      </c>
      <c r="FB9" s="44">
        <f t="shared" si="76"/>
        <v>0</v>
      </c>
      <c r="FC9" s="44">
        <f t="shared" si="77"/>
        <v>16.25</v>
      </c>
      <c r="FD9" s="44">
        <f t="shared" si="78"/>
        <v>5.75</v>
      </c>
      <c r="FE9" s="44">
        <f t="shared" si="79"/>
        <v>0</v>
      </c>
      <c r="FF9" s="44">
        <f t="shared" si="80"/>
        <v>0</v>
      </c>
      <c r="FG9" s="44">
        <f t="shared" si="81"/>
        <v>15.55</v>
      </c>
      <c r="FH9" s="44">
        <f t="shared" si="82"/>
        <v>6.35</v>
      </c>
      <c r="FI9" s="44">
        <f t="shared" si="83"/>
        <v>1</v>
      </c>
      <c r="FJ9" s="44">
        <f t="shared" si="84"/>
        <v>0</v>
      </c>
      <c r="FK9" s="20" t="s">
        <v>29</v>
      </c>
      <c r="FL9" s="10">
        <f t="shared" si="85"/>
        <v>6</v>
      </c>
      <c r="FM9" s="10">
        <f t="shared" si="86"/>
        <v>22.1</v>
      </c>
      <c r="FN9" s="10">
        <f t="shared" si="87"/>
        <v>5.65</v>
      </c>
      <c r="FO9" s="10">
        <f t="shared" si="88"/>
        <v>20.65</v>
      </c>
      <c r="FP9" s="10">
        <f t="shared" si="89"/>
        <v>11.65</v>
      </c>
      <c r="FQ9" s="10">
        <f t="shared" si="90"/>
        <v>42.75</v>
      </c>
      <c r="FR9" s="10">
        <f t="shared" si="91"/>
        <v>5.75</v>
      </c>
      <c r="FS9" s="10">
        <f t="shared" si="92"/>
        <v>22</v>
      </c>
      <c r="FT9" s="10">
        <f t="shared" si="93"/>
        <v>6.35</v>
      </c>
      <c r="FU9" s="10">
        <f t="shared" si="94"/>
        <v>20.9</v>
      </c>
      <c r="FV9" s="10">
        <f t="shared" si="95"/>
        <v>12.1</v>
      </c>
      <c r="FW9" s="10">
        <f t="shared" si="96"/>
        <v>42.9</v>
      </c>
      <c r="FX9" s="10">
        <f t="shared" si="97"/>
        <v>85.65</v>
      </c>
    </row>
    <row r="10" spans="1:180" x14ac:dyDescent="0.2">
      <c r="A10" s="3" t="str" cm="1">
        <f t="array" ref="A10">IF(AND(H10&lt;&gt;"",H10&lt;&gt;"No DD",I10&lt;&gt;"P"),SUMPRODUCT((H$4:H$19&lt;&gt;"")*(H$4:H$19&lt;&gt;"No DD")*(I$4:I$19&lt;&gt;"P")*(E$4:E$19&gt;E10))+1,IF(H10="No DD",SUMPRODUCT((H$4:H$19="No DD")*(I$4:I$19&lt;&gt;"P")*(E$4:E$19&gt;E10))+1+SUMPRODUCT((H$4:H$19&lt;&gt;"")*(I$4:I$19&lt;&gt;"P")*(H$4:H$19&lt;&gt;"No DD")),""))</f>
        <v/>
      </c>
      <c r="B10" s="4" t="s">
        <v>48</v>
      </c>
      <c r="C10" s="3" t="s">
        <v>4</v>
      </c>
      <c r="D10" s="3">
        <v>2008</v>
      </c>
      <c r="E10" s="8">
        <f t="shared" si="0"/>
        <v>87.400006580004387</v>
      </c>
      <c r="F10" s="2" t="str">
        <f t="shared" si="1"/>
        <v/>
      </c>
      <c r="G10" s="2" t="str">
        <f t="shared" si="2"/>
        <v/>
      </c>
      <c r="H10" s="26" t="str">
        <f t="shared" si="3"/>
        <v/>
      </c>
      <c r="I10" s="2" t="str">
        <f>IF(COUNTIFS('Senior-M'!B:B,B10,'Senior-M'!A:A,"&lt;9",'Senior-M'!H:H,"&lt;&gt;"&amp;"No DD"),"P","")</f>
        <v/>
      </c>
      <c r="J10" s="7">
        <f t="shared" si="4"/>
        <v>43.8</v>
      </c>
      <c r="K10" s="7" t="str">
        <f t="shared" si="5"/>
        <v>2025 Nationals</v>
      </c>
      <c r="L10" s="7">
        <f>IF(J10=AO10,IF(COUNT(AQ10,AS10,BO10,BQ10,BU10,BW10)&gt;1,LARGE((AQ10,AS10,BO10,BQ10,BU10,BW10),1),0),IF(COUNT(AK10,AM10,AQ10,AS10,BU10,BW10)&gt;1,LARGE((AK10,AM10,AQ10,AS10,BU10,BW10),1),0))</f>
        <v>22</v>
      </c>
      <c r="M10" s="7" t="str">
        <f t="shared" si="6"/>
        <v>2025 Nationals</v>
      </c>
      <c r="N10" s="7">
        <f>IF(J10=AO10,IF(COUNT(AQ10,AS10,BO10,BQ10,BU10,BW10)&gt;1,LARGE((AQ10,AS10,BO10,BQ10,BU10,BW10),2),0),IF(COUNT(AK10,AM10,AQ10,AS10,BU10,BW10)&gt;1,LARGE((AK10,AM10,AQ10,AS10,BU10,BW10),2),0))</f>
        <v>21.6</v>
      </c>
      <c r="O10" s="7" t="str">
        <f t="shared" si="7"/>
        <v>2025 3rd Domestic Trial</v>
      </c>
      <c r="P10" s="7" t="str">
        <f t="shared" si="8"/>
        <v/>
      </c>
      <c r="Q10" s="10" t="str">
        <f t="shared" si="9"/>
        <v/>
      </c>
      <c r="R10" s="7" t="str">
        <f t="shared" si="10"/>
        <v/>
      </c>
      <c r="S10" s="39">
        <v>15.9</v>
      </c>
      <c r="T10" s="39">
        <v>5.4</v>
      </c>
      <c r="U10" s="39">
        <v>0</v>
      </c>
      <c r="V10" s="39">
        <v>0</v>
      </c>
      <c r="W10" s="39">
        <v>16.2</v>
      </c>
      <c r="X10" s="39">
        <v>6.3</v>
      </c>
      <c r="Y10" s="39">
        <v>0</v>
      </c>
      <c r="Z10" s="39">
        <v>0</v>
      </c>
      <c r="AA10" s="39">
        <v>15.2</v>
      </c>
      <c r="AB10" s="39">
        <v>6.5</v>
      </c>
      <c r="AC10" s="39">
        <v>0.4</v>
      </c>
      <c r="AD10" s="39">
        <v>0.7</v>
      </c>
      <c r="AE10" s="39">
        <v>15.3</v>
      </c>
      <c r="AF10" s="39">
        <v>6.3</v>
      </c>
      <c r="AG10" s="39">
        <v>0.2</v>
      </c>
      <c r="AH10" s="39">
        <v>0</v>
      </c>
      <c r="AI10" s="19"/>
      <c r="AJ10" s="42">
        <f t="shared" si="11"/>
        <v>5.4</v>
      </c>
      <c r="AK10" s="42">
        <f t="shared" si="12"/>
        <v>21.3</v>
      </c>
      <c r="AL10" s="42">
        <f t="shared" si="13"/>
        <v>6.3</v>
      </c>
      <c r="AM10" s="42">
        <f t="shared" si="14"/>
        <v>22.5</v>
      </c>
      <c r="AN10" s="27">
        <f t="shared" si="15"/>
        <v>11.7</v>
      </c>
      <c r="AO10" s="27">
        <f t="shared" si="16"/>
        <v>43.8</v>
      </c>
      <c r="AP10" s="27">
        <f t="shared" si="17"/>
        <v>6.5</v>
      </c>
      <c r="AQ10" s="27">
        <f t="shared" si="18"/>
        <v>22</v>
      </c>
      <c r="AR10" s="27">
        <f t="shared" si="19"/>
        <v>6.3</v>
      </c>
      <c r="AS10" s="27">
        <f t="shared" si="20"/>
        <v>21.400000000000002</v>
      </c>
      <c r="AT10" s="27">
        <f t="shared" si="21"/>
        <v>12.8</v>
      </c>
      <c r="AU10" s="27">
        <f t="shared" si="22"/>
        <v>43.400000000000006</v>
      </c>
      <c r="AV10" s="27">
        <f t="shared" si="23"/>
        <v>87.2</v>
      </c>
      <c r="AW10" s="15">
        <v>15.9</v>
      </c>
      <c r="AX10" s="15">
        <v>5.4</v>
      </c>
      <c r="AY10" s="15">
        <v>0</v>
      </c>
      <c r="AZ10" s="15">
        <v>0</v>
      </c>
      <c r="BA10" s="15">
        <v>13.7</v>
      </c>
      <c r="BB10" s="15">
        <v>6.3</v>
      </c>
      <c r="BC10" s="15">
        <v>0</v>
      </c>
      <c r="BD10" s="15">
        <v>0</v>
      </c>
      <c r="BE10" s="15">
        <v>15.6</v>
      </c>
      <c r="BF10" s="15">
        <v>5.4</v>
      </c>
      <c r="BG10" s="15">
        <v>0</v>
      </c>
      <c r="BH10" s="15">
        <v>0</v>
      </c>
      <c r="BI10" s="15">
        <v>15.3</v>
      </c>
      <c r="BJ10" s="15">
        <v>6.3</v>
      </c>
      <c r="BK10" s="15">
        <v>0</v>
      </c>
      <c r="BL10" s="15">
        <v>0</v>
      </c>
      <c r="BM10" s="20"/>
      <c r="BN10" s="43">
        <f t="shared" si="24"/>
        <v>5.4</v>
      </c>
      <c r="BO10" s="43">
        <f t="shared" si="25"/>
        <v>21.3</v>
      </c>
      <c r="BP10" s="43">
        <f t="shared" si="26"/>
        <v>6.3</v>
      </c>
      <c r="BQ10" s="43">
        <f t="shared" si="27"/>
        <v>20</v>
      </c>
      <c r="BR10" s="10">
        <f t="shared" si="28"/>
        <v>11.7</v>
      </c>
      <c r="BS10" s="10">
        <f t="shared" si="29"/>
        <v>41.3</v>
      </c>
      <c r="BT10" s="10">
        <f t="shared" si="30"/>
        <v>5.4</v>
      </c>
      <c r="BU10" s="10">
        <f t="shared" si="31"/>
        <v>21</v>
      </c>
      <c r="BV10" s="10">
        <f t="shared" si="32"/>
        <v>6.3</v>
      </c>
      <c r="BW10" s="10">
        <f t="shared" si="33"/>
        <v>21.6</v>
      </c>
      <c r="BX10" s="10">
        <f t="shared" si="34"/>
        <v>11.7</v>
      </c>
      <c r="BY10" s="10">
        <f t="shared" si="35"/>
        <v>42.6</v>
      </c>
      <c r="BZ10" s="10">
        <f t="shared" si="36"/>
        <v>83.9</v>
      </c>
      <c r="CA10" s="34" t="str">
        <f t="shared" si="37"/>
        <v/>
      </c>
      <c r="CB10" s="34" t="str">
        <f t="shared" si="38"/>
        <v/>
      </c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27" t="str">
        <f t="shared" si="39"/>
        <v/>
      </c>
      <c r="CX10" s="27" t="str">
        <f t="shared" si="40"/>
        <v/>
      </c>
      <c r="CY10" s="27" t="str">
        <f t="shared" si="41"/>
        <v/>
      </c>
      <c r="CZ10" s="27" t="str">
        <f t="shared" si="42"/>
        <v/>
      </c>
      <c r="DA10" s="27" t="str">
        <f t="shared" si="43"/>
        <v/>
      </c>
      <c r="DB10" s="27" t="str">
        <f t="shared" si="44"/>
        <v/>
      </c>
      <c r="DC10" s="27" t="str">
        <f t="shared" si="45"/>
        <v/>
      </c>
      <c r="DD10" s="27" t="str">
        <f t="shared" si="46"/>
        <v/>
      </c>
      <c r="DE10" s="27" t="str">
        <f t="shared" si="47"/>
        <v/>
      </c>
      <c r="DF10" s="27" t="str">
        <f t="shared" si="48"/>
        <v/>
      </c>
      <c r="DG10" s="27" t="str">
        <f t="shared" si="49"/>
        <v/>
      </c>
      <c r="DH10" s="27" t="str">
        <f t="shared" si="50"/>
        <v/>
      </c>
      <c r="DI10" s="27" t="str">
        <f t="shared" si="51"/>
        <v/>
      </c>
      <c r="DJ10" s="27" t="str">
        <f t="shared" si="52"/>
        <v/>
      </c>
      <c r="DK10" s="27" t="str">
        <f t="shared" si="53"/>
        <v/>
      </c>
      <c r="DL10" s="15">
        <v>16</v>
      </c>
      <c r="DM10" s="15">
        <v>5.4</v>
      </c>
      <c r="DN10" s="15">
        <v>0</v>
      </c>
      <c r="DO10" s="15">
        <v>0</v>
      </c>
      <c r="DP10" s="15">
        <v>15.6</v>
      </c>
      <c r="DQ10" s="15">
        <v>4.0999999999999996</v>
      </c>
      <c r="DR10" s="15">
        <v>0</v>
      </c>
      <c r="DS10" s="15">
        <v>0</v>
      </c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0">
        <f t="shared" si="54"/>
        <v>5.4</v>
      </c>
      <c r="EG10" s="10">
        <f t="shared" si="55"/>
        <v>21.4</v>
      </c>
      <c r="EH10" s="10">
        <f t="shared" si="56"/>
        <v>4.0999999999999996</v>
      </c>
      <c r="EI10" s="10">
        <f t="shared" si="57"/>
        <v>19.7</v>
      </c>
      <c r="EJ10" s="10">
        <f t="shared" si="58"/>
        <v>9.5</v>
      </c>
      <c r="EK10" s="10">
        <f t="shared" si="59"/>
        <v>41.099999999999994</v>
      </c>
      <c r="EL10" s="10" t="str">
        <f t="shared" si="60"/>
        <v/>
      </c>
      <c r="EM10" s="10" t="str">
        <f t="shared" si="61"/>
        <v/>
      </c>
      <c r="EN10" s="10" t="str">
        <f t="shared" si="62"/>
        <v/>
      </c>
      <c r="EO10" s="10" t="str">
        <f t="shared" si="63"/>
        <v/>
      </c>
      <c r="EP10" s="10" t="str">
        <f t="shared" si="64"/>
        <v/>
      </c>
      <c r="EQ10" s="10" t="str">
        <f t="shared" si="65"/>
        <v/>
      </c>
      <c r="ER10" s="10" t="str">
        <f t="shared" si="66"/>
        <v/>
      </c>
      <c r="ES10" s="10" t="str">
        <f t="shared" si="67"/>
        <v/>
      </c>
      <c r="ET10" s="10">
        <f t="shared" si="68"/>
        <v>41.099999999999994</v>
      </c>
      <c r="EU10" s="44">
        <f t="shared" si="69"/>
        <v>15.9</v>
      </c>
      <c r="EV10" s="44">
        <f t="shared" si="70"/>
        <v>5.4</v>
      </c>
      <c r="EW10" s="44">
        <f t="shared" si="71"/>
        <v>0</v>
      </c>
      <c r="EX10" s="44">
        <f t="shared" si="72"/>
        <v>0</v>
      </c>
      <c r="EY10" s="44">
        <f t="shared" si="73"/>
        <v>14.95</v>
      </c>
      <c r="EZ10" s="44">
        <f t="shared" si="74"/>
        <v>6.3</v>
      </c>
      <c r="FA10" s="44">
        <f t="shared" si="75"/>
        <v>0</v>
      </c>
      <c r="FB10" s="44">
        <f t="shared" si="76"/>
        <v>0</v>
      </c>
      <c r="FC10" s="44">
        <f t="shared" si="77"/>
        <v>15.399999999999999</v>
      </c>
      <c r="FD10" s="44">
        <f t="shared" si="78"/>
        <v>5.95</v>
      </c>
      <c r="FE10" s="44">
        <f t="shared" si="79"/>
        <v>0.2</v>
      </c>
      <c r="FF10" s="44">
        <f t="shared" si="80"/>
        <v>0.35</v>
      </c>
      <c r="FG10" s="44">
        <f t="shared" si="81"/>
        <v>15.3</v>
      </c>
      <c r="FH10" s="44">
        <f t="shared" si="82"/>
        <v>6.3</v>
      </c>
      <c r="FI10" s="44">
        <f t="shared" si="83"/>
        <v>0.1</v>
      </c>
      <c r="FJ10" s="44">
        <f t="shared" si="84"/>
        <v>0</v>
      </c>
      <c r="FK10" s="20" t="s">
        <v>29</v>
      </c>
      <c r="FL10" s="10">
        <f t="shared" si="85"/>
        <v>5.4</v>
      </c>
      <c r="FM10" s="10">
        <f t="shared" si="86"/>
        <v>21.3</v>
      </c>
      <c r="FN10" s="10">
        <f t="shared" si="87"/>
        <v>6.3</v>
      </c>
      <c r="FO10" s="10">
        <f t="shared" si="88"/>
        <v>21.25</v>
      </c>
      <c r="FP10" s="10">
        <f t="shared" si="89"/>
        <v>11.7</v>
      </c>
      <c r="FQ10" s="10">
        <f t="shared" si="90"/>
        <v>42.55</v>
      </c>
      <c r="FR10" s="10">
        <f t="shared" si="91"/>
        <v>5.95</v>
      </c>
      <c r="FS10" s="10">
        <f t="shared" si="92"/>
        <v>21.5</v>
      </c>
      <c r="FT10" s="10">
        <f t="shared" si="93"/>
        <v>6.3</v>
      </c>
      <c r="FU10" s="10">
        <f t="shared" si="94"/>
        <v>21.5</v>
      </c>
      <c r="FV10" s="10">
        <f t="shared" si="95"/>
        <v>12.25</v>
      </c>
      <c r="FW10" s="10">
        <f t="shared" si="96"/>
        <v>43</v>
      </c>
      <c r="FX10" s="10">
        <f t="shared" si="97"/>
        <v>85.55</v>
      </c>
    </row>
    <row r="11" spans="1:180" x14ac:dyDescent="0.2">
      <c r="A11" s="3" t="str" cm="1">
        <f t="array" ref="A11">IF(AND(H11&lt;&gt;"",H11&lt;&gt;"No DD",I11&lt;&gt;"P"),SUMPRODUCT((H$4:H$19&lt;&gt;"")*(H$4:H$19&lt;&gt;"No DD")*(I$4:I$19&lt;&gt;"P")*(E$4:E$19&gt;E11))+1,IF(H11="No DD",SUMPRODUCT((H$4:H$19="No DD")*(I$4:I$19&lt;&gt;"P")*(E$4:E$19&gt;E11))+1+SUMPRODUCT((H$4:H$19&lt;&gt;"")*(I$4:I$19&lt;&gt;"P")*(H$4:H$19&lt;&gt;"No DD")),""))</f>
        <v/>
      </c>
      <c r="B11" s="4" t="s">
        <v>58</v>
      </c>
      <c r="C11" s="3" t="s">
        <v>5</v>
      </c>
      <c r="D11" s="3">
        <v>2007</v>
      </c>
      <c r="E11" s="8">
        <f t="shared" si="0"/>
        <v>86.500006460004258</v>
      </c>
      <c r="F11" s="2" t="str">
        <f t="shared" si="1"/>
        <v/>
      </c>
      <c r="G11" s="2" t="str">
        <f t="shared" si="2"/>
        <v/>
      </c>
      <c r="H11" s="26" t="str">
        <f t="shared" si="3"/>
        <v/>
      </c>
      <c r="I11" s="2" t="str">
        <f>IF(COUNTIFS('Senior-M'!B:B,B11,'Senior-M'!A:A,"&lt;9",'Senior-M'!H:H,"&lt;&gt;"&amp;"No DD"),"P","")</f>
        <v/>
      </c>
      <c r="J11" s="7">
        <f t="shared" si="4"/>
        <v>42.7</v>
      </c>
      <c r="K11" s="7" t="str">
        <f t="shared" si="5"/>
        <v>2025 Nationals</v>
      </c>
      <c r="L11" s="7">
        <f>IF(J11=AO11,IF(COUNT(AQ11,AS11,BO11,BQ11,BU11,BW11)&gt;1,LARGE((AQ11,AS11,BO11,BQ11,BU11,BW11),1),0),IF(COUNT(AK11,AM11,AQ11,AS11,BU11,BW11)&gt;1,LARGE((AK11,AM11,AQ11,AS11,BU11,BW11),1),0))</f>
        <v>21.9</v>
      </c>
      <c r="M11" s="7" t="str">
        <f t="shared" si="6"/>
        <v>2025 3rd Domestic Trial</v>
      </c>
      <c r="N11" s="7">
        <f>IF(J11=AO11,IF(COUNT(AQ11,AS11,BO11,BQ11,BU11,BW11)&gt;1,LARGE((AQ11,AS11,BO11,BQ11,BU11,BW11),2),0),IF(COUNT(AK11,AM11,AQ11,AS11,BU11,BW11)&gt;1,LARGE((AK11,AM11,AQ11,AS11,BU11,BW11),2),0))</f>
        <v>21.9</v>
      </c>
      <c r="O11" s="7" t="str">
        <f t="shared" si="7"/>
        <v>2025 3rd Domestic Trial</v>
      </c>
      <c r="P11" s="7" t="str">
        <f t="shared" si="8"/>
        <v/>
      </c>
      <c r="Q11" s="10" t="str">
        <f t="shared" si="9"/>
        <v/>
      </c>
      <c r="R11" s="7" t="str">
        <f t="shared" si="10"/>
        <v/>
      </c>
      <c r="S11" s="39">
        <v>16.100000000000001</v>
      </c>
      <c r="T11" s="39">
        <v>3.3</v>
      </c>
      <c r="U11" s="39">
        <v>0</v>
      </c>
      <c r="V11" s="39">
        <v>0.7</v>
      </c>
      <c r="W11" s="39">
        <v>16.8</v>
      </c>
      <c r="X11" s="39">
        <v>5.0999999999999996</v>
      </c>
      <c r="Y11" s="39">
        <v>0</v>
      </c>
      <c r="Z11" s="39">
        <v>0.7</v>
      </c>
      <c r="AA11" s="39">
        <v>15.9</v>
      </c>
      <c r="AB11" s="39">
        <v>5.0999999999999996</v>
      </c>
      <c r="AC11" s="39">
        <v>0</v>
      </c>
      <c r="AD11" s="39">
        <v>0.7</v>
      </c>
      <c r="AE11" s="39">
        <v>17</v>
      </c>
      <c r="AF11" s="39">
        <v>4.2</v>
      </c>
      <c r="AG11" s="39">
        <v>0</v>
      </c>
      <c r="AH11" s="39">
        <v>0.7</v>
      </c>
      <c r="AI11" s="19"/>
      <c r="AJ11" s="42">
        <f t="shared" si="11"/>
        <v>3.3</v>
      </c>
      <c r="AK11" s="42">
        <f t="shared" si="12"/>
        <v>20.100000000000001</v>
      </c>
      <c r="AL11" s="42">
        <f t="shared" si="13"/>
        <v>5.0999999999999996</v>
      </c>
      <c r="AM11" s="42">
        <f t="shared" si="14"/>
        <v>22.599999999999998</v>
      </c>
      <c r="AN11" s="27">
        <f t="shared" si="15"/>
        <v>8.3999999999999986</v>
      </c>
      <c r="AO11" s="27">
        <f t="shared" si="16"/>
        <v>42.7</v>
      </c>
      <c r="AP11" s="27">
        <f t="shared" si="17"/>
        <v>5.0999999999999996</v>
      </c>
      <c r="AQ11" s="27">
        <f t="shared" si="18"/>
        <v>21.7</v>
      </c>
      <c r="AR11" s="27">
        <f t="shared" si="19"/>
        <v>4.2</v>
      </c>
      <c r="AS11" s="27">
        <f t="shared" si="20"/>
        <v>21.9</v>
      </c>
      <c r="AT11" s="27">
        <f t="shared" si="21"/>
        <v>9.3000000000000007</v>
      </c>
      <c r="AU11" s="27">
        <f t="shared" si="22"/>
        <v>43.599999999999994</v>
      </c>
      <c r="AV11" s="27">
        <f t="shared" si="23"/>
        <v>86.3</v>
      </c>
      <c r="AW11" s="15">
        <v>15.9</v>
      </c>
      <c r="AX11" s="15">
        <v>5.5</v>
      </c>
      <c r="AY11" s="15">
        <v>0.2</v>
      </c>
      <c r="AZ11" s="15">
        <v>0.7</v>
      </c>
      <c r="BA11" s="15">
        <v>15.1</v>
      </c>
      <c r="BB11" s="15">
        <v>3.7</v>
      </c>
      <c r="BC11" s="15">
        <v>0.2</v>
      </c>
      <c r="BD11" s="15">
        <v>0.7</v>
      </c>
      <c r="BE11" s="15">
        <v>15.8</v>
      </c>
      <c r="BF11" s="15">
        <v>3.3</v>
      </c>
      <c r="BG11" s="15">
        <v>0.2</v>
      </c>
      <c r="BH11" s="15">
        <v>0.7</v>
      </c>
      <c r="BI11" s="15">
        <v>15.6</v>
      </c>
      <c r="BJ11" s="15">
        <v>5.5</v>
      </c>
      <c r="BK11" s="15">
        <v>0.2</v>
      </c>
      <c r="BL11" s="15">
        <v>0.7</v>
      </c>
      <c r="BM11" s="20"/>
      <c r="BN11" s="43">
        <f t="shared" si="24"/>
        <v>5.5</v>
      </c>
      <c r="BO11" s="43">
        <f t="shared" si="25"/>
        <v>21.9</v>
      </c>
      <c r="BP11" s="43">
        <f t="shared" si="26"/>
        <v>3.7</v>
      </c>
      <c r="BQ11" s="43">
        <f t="shared" si="27"/>
        <v>19.3</v>
      </c>
      <c r="BR11" s="10">
        <f t="shared" si="28"/>
        <v>9.1999999999999993</v>
      </c>
      <c r="BS11" s="10">
        <f t="shared" si="29"/>
        <v>41.2</v>
      </c>
      <c r="BT11" s="10">
        <f t="shared" si="30"/>
        <v>3.3</v>
      </c>
      <c r="BU11" s="10">
        <f t="shared" si="31"/>
        <v>19.600000000000001</v>
      </c>
      <c r="BV11" s="10">
        <f t="shared" si="32"/>
        <v>5.5</v>
      </c>
      <c r="BW11" s="10">
        <f t="shared" si="33"/>
        <v>21.6</v>
      </c>
      <c r="BX11" s="10">
        <f t="shared" si="34"/>
        <v>8.8000000000000007</v>
      </c>
      <c r="BY11" s="10">
        <f t="shared" si="35"/>
        <v>41.2</v>
      </c>
      <c r="BZ11" s="10">
        <f t="shared" si="36"/>
        <v>82.4</v>
      </c>
      <c r="CA11" s="34" t="str">
        <f t="shared" si="37"/>
        <v/>
      </c>
      <c r="CB11" s="34" t="str">
        <f t="shared" si="38"/>
        <v/>
      </c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27" t="str">
        <f t="shared" si="39"/>
        <v/>
      </c>
      <c r="CX11" s="27" t="str">
        <f t="shared" si="40"/>
        <v/>
      </c>
      <c r="CY11" s="27" t="str">
        <f t="shared" si="41"/>
        <v/>
      </c>
      <c r="CZ11" s="27" t="str">
        <f t="shared" si="42"/>
        <v/>
      </c>
      <c r="DA11" s="27" t="str">
        <f t="shared" si="43"/>
        <v/>
      </c>
      <c r="DB11" s="27" t="str">
        <f t="shared" si="44"/>
        <v/>
      </c>
      <c r="DC11" s="27" t="str">
        <f t="shared" si="45"/>
        <v/>
      </c>
      <c r="DD11" s="27" t="str">
        <f t="shared" si="46"/>
        <v/>
      </c>
      <c r="DE11" s="27" t="str">
        <f t="shared" si="47"/>
        <v/>
      </c>
      <c r="DF11" s="27" t="str">
        <f t="shared" si="48"/>
        <v/>
      </c>
      <c r="DG11" s="27" t="str">
        <f t="shared" si="49"/>
        <v/>
      </c>
      <c r="DH11" s="27" t="str">
        <f t="shared" si="50"/>
        <v/>
      </c>
      <c r="DI11" s="27" t="str">
        <f t="shared" si="51"/>
        <v/>
      </c>
      <c r="DJ11" s="27" t="str">
        <f t="shared" si="52"/>
        <v/>
      </c>
      <c r="DK11" s="27" t="str">
        <f t="shared" si="53"/>
        <v/>
      </c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0" t="str">
        <f t="shared" si="54"/>
        <v/>
      </c>
      <c r="EG11" s="10" t="str">
        <f t="shared" si="55"/>
        <v/>
      </c>
      <c r="EH11" s="10" t="str">
        <f t="shared" si="56"/>
        <v/>
      </c>
      <c r="EI11" s="10" t="str">
        <f t="shared" si="57"/>
        <v/>
      </c>
      <c r="EJ11" s="10" t="str">
        <f t="shared" si="58"/>
        <v/>
      </c>
      <c r="EK11" s="10" t="str">
        <f t="shared" si="59"/>
        <v/>
      </c>
      <c r="EL11" s="10" t="str">
        <f t="shared" si="60"/>
        <v/>
      </c>
      <c r="EM11" s="10" t="str">
        <f t="shared" si="61"/>
        <v/>
      </c>
      <c r="EN11" s="10" t="str">
        <f t="shared" si="62"/>
        <v/>
      </c>
      <c r="EO11" s="10" t="str">
        <f t="shared" si="63"/>
        <v/>
      </c>
      <c r="EP11" s="10" t="str">
        <f t="shared" si="64"/>
        <v/>
      </c>
      <c r="EQ11" s="10" t="str">
        <f t="shared" si="65"/>
        <v/>
      </c>
      <c r="ER11" s="10" t="str">
        <f t="shared" si="66"/>
        <v/>
      </c>
      <c r="ES11" s="10" t="str">
        <f t="shared" si="67"/>
        <v/>
      </c>
      <c r="ET11" s="10" t="str">
        <f t="shared" si="68"/>
        <v/>
      </c>
      <c r="EU11" s="44">
        <f t="shared" si="69"/>
        <v>16</v>
      </c>
      <c r="EV11" s="44">
        <f t="shared" si="70"/>
        <v>4.4000000000000004</v>
      </c>
      <c r="EW11" s="44">
        <f t="shared" si="71"/>
        <v>0.1</v>
      </c>
      <c r="EX11" s="44">
        <f t="shared" si="72"/>
        <v>0.7</v>
      </c>
      <c r="EY11" s="44">
        <f t="shared" si="73"/>
        <v>15.95</v>
      </c>
      <c r="EZ11" s="44">
        <f t="shared" si="74"/>
        <v>4.4000000000000004</v>
      </c>
      <c r="FA11" s="44">
        <f t="shared" si="75"/>
        <v>0.1</v>
      </c>
      <c r="FB11" s="44">
        <f t="shared" si="76"/>
        <v>0.7</v>
      </c>
      <c r="FC11" s="44">
        <f t="shared" si="77"/>
        <v>15.850000000000001</v>
      </c>
      <c r="FD11" s="44">
        <f t="shared" si="78"/>
        <v>4.1999999999999993</v>
      </c>
      <c r="FE11" s="44">
        <f t="shared" si="79"/>
        <v>0.1</v>
      </c>
      <c r="FF11" s="44">
        <f t="shared" si="80"/>
        <v>0.7</v>
      </c>
      <c r="FG11" s="44">
        <f t="shared" si="81"/>
        <v>16.3</v>
      </c>
      <c r="FH11" s="44">
        <f t="shared" si="82"/>
        <v>4.8499999999999996</v>
      </c>
      <c r="FI11" s="44">
        <f t="shared" si="83"/>
        <v>0.1</v>
      </c>
      <c r="FJ11" s="44">
        <f t="shared" si="84"/>
        <v>0.7</v>
      </c>
      <c r="FK11" s="20" t="s">
        <v>29</v>
      </c>
      <c r="FL11" s="10">
        <f t="shared" si="85"/>
        <v>4.4000000000000004</v>
      </c>
      <c r="FM11" s="10">
        <f t="shared" si="86"/>
        <v>20.999999999999996</v>
      </c>
      <c r="FN11" s="10">
        <f t="shared" si="87"/>
        <v>4.4000000000000004</v>
      </c>
      <c r="FO11" s="10">
        <f t="shared" si="88"/>
        <v>20.95</v>
      </c>
      <c r="FP11" s="10">
        <f t="shared" si="89"/>
        <v>8.8000000000000007</v>
      </c>
      <c r="FQ11" s="10">
        <f t="shared" si="90"/>
        <v>41.949999999999996</v>
      </c>
      <c r="FR11" s="10">
        <f t="shared" si="91"/>
        <v>4.1999999999999993</v>
      </c>
      <c r="FS11" s="10">
        <f t="shared" si="92"/>
        <v>20.65</v>
      </c>
      <c r="FT11" s="10">
        <f t="shared" si="93"/>
        <v>4.8499999999999996</v>
      </c>
      <c r="FU11" s="10">
        <f t="shared" si="94"/>
        <v>21.749999999999996</v>
      </c>
      <c r="FV11" s="10">
        <f t="shared" si="95"/>
        <v>9.0499999999999989</v>
      </c>
      <c r="FW11" s="10">
        <f t="shared" si="96"/>
        <v>42.399999999999991</v>
      </c>
      <c r="FX11" s="10">
        <f t="shared" si="97"/>
        <v>84.35</v>
      </c>
    </row>
    <row r="12" spans="1:180" x14ac:dyDescent="0.2">
      <c r="A12" s="3" t="str" cm="1">
        <f t="array" ref="A12">IF(AND(H12&lt;&gt;"",H12&lt;&gt;"No DD",I12&lt;&gt;"P"),SUMPRODUCT((H$4:H$19&lt;&gt;"")*(H$4:H$19&lt;&gt;"No DD")*(I$4:I$19&lt;&gt;"P")*(E$4:E$19&gt;E12))+1,IF(H12="No DD",SUMPRODUCT((H$4:H$19="No DD")*(I$4:I$19&lt;&gt;"P")*(E$4:E$19&gt;E12))+1+SUMPRODUCT((H$4:H$19&lt;&gt;"")*(I$4:I$19&lt;&gt;"P")*(H$4:H$19&lt;&gt;"No DD")),""))</f>
        <v/>
      </c>
      <c r="B12" s="4" t="s">
        <v>40</v>
      </c>
      <c r="C12" s="3" t="s">
        <v>5</v>
      </c>
      <c r="D12" s="3">
        <v>2005</v>
      </c>
      <c r="E12" s="8">
        <f t="shared" si="0"/>
        <v>84.700006580004413</v>
      </c>
      <c r="F12" s="2" t="str">
        <f t="shared" si="1"/>
        <v/>
      </c>
      <c r="G12" s="2" t="str">
        <f t="shared" si="2"/>
        <v/>
      </c>
      <c r="H12" s="26" t="str">
        <f t="shared" si="3"/>
        <v/>
      </c>
      <c r="I12" s="2" t="str">
        <f>IF(COUNTIFS('Senior-M'!B:B,B12,'Senior-M'!A:A,"&lt;9",'Senior-M'!H:H,"&lt;&gt;"&amp;"No DD"),"P","")</f>
        <v/>
      </c>
      <c r="J12" s="7">
        <f t="shared" si="4"/>
        <v>44.099999999999994</v>
      </c>
      <c r="K12" s="7" t="str">
        <f t="shared" si="5"/>
        <v>2025 Nationals</v>
      </c>
      <c r="L12" s="7">
        <f>IF(J12=AO12,IF(COUNT(AQ12,AS12,BO12,BQ12,BU12,BW12)&gt;1,LARGE((AQ12,AS12,BO12,BQ12,BU12,BW12),1),0),IF(COUNT(AK12,AM12,AQ12,AS12,BU12,BW12)&gt;1,LARGE((AK12,AM12,AQ12,AS12,BU12,BW12),1),0))</f>
        <v>21.7</v>
      </c>
      <c r="M12" s="7" t="str">
        <f t="shared" si="6"/>
        <v>2025 Nationals</v>
      </c>
      <c r="N12" s="7">
        <f>IF(J12=AO12,IF(COUNT(AQ12,AS12,BO12,BQ12,BU12,BW12)&gt;1,LARGE((AQ12,AS12,BO12,BQ12,BU12,BW12),2),0),IF(COUNT(AK12,AM12,AQ12,AS12,BU12,BW12)&gt;1,LARGE((AK12,AM12,AQ12,AS12,BU12,BW12),2),0))</f>
        <v>18.900000000000002</v>
      </c>
      <c r="O12" s="7" t="str">
        <f t="shared" si="7"/>
        <v>2025 Nationals</v>
      </c>
      <c r="P12" s="7" t="str">
        <f t="shared" si="8"/>
        <v/>
      </c>
      <c r="Q12" s="10" t="str">
        <f t="shared" si="9"/>
        <v/>
      </c>
      <c r="R12" s="7" t="str">
        <f t="shared" si="10"/>
        <v/>
      </c>
      <c r="S12" s="39">
        <v>15.9</v>
      </c>
      <c r="T12" s="39">
        <v>6</v>
      </c>
      <c r="U12" s="39">
        <v>0</v>
      </c>
      <c r="V12" s="39">
        <v>0.7</v>
      </c>
      <c r="W12" s="39">
        <v>15.3</v>
      </c>
      <c r="X12" s="39">
        <v>5.5</v>
      </c>
      <c r="Y12" s="39">
        <v>0</v>
      </c>
      <c r="Z12" s="39">
        <v>0.7</v>
      </c>
      <c r="AA12" s="39">
        <v>15.3</v>
      </c>
      <c r="AB12" s="39">
        <v>5.7</v>
      </c>
      <c r="AC12" s="39">
        <v>0</v>
      </c>
      <c r="AD12" s="39">
        <v>0.7</v>
      </c>
      <c r="AE12" s="39">
        <v>14</v>
      </c>
      <c r="AF12" s="39">
        <v>4.5999999999999996</v>
      </c>
      <c r="AG12" s="39">
        <v>0.4</v>
      </c>
      <c r="AH12" s="39">
        <v>0.7</v>
      </c>
      <c r="AI12" s="19"/>
      <c r="AJ12" s="42">
        <f t="shared" si="11"/>
        <v>6</v>
      </c>
      <c r="AK12" s="42">
        <f t="shared" si="12"/>
        <v>22.599999999999998</v>
      </c>
      <c r="AL12" s="42">
        <f t="shared" si="13"/>
        <v>5.5</v>
      </c>
      <c r="AM12" s="42">
        <f t="shared" si="14"/>
        <v>21.5</v>
      </c>
      <c r="AN12" s="27">
        <f t="shared" si="15"/>
        <v>11.5</v>
      </c>
      <c r="AO12" s="27">
        <f t="shared" si="16"/>
        <v>44.099999999999994</v>
      </c>
      <c r="AP12" s="27">
        <f t="shared" si="17"/>
        <v>5.7</v>
      </c>
      <c r="AQ12" s="27">
        <f t="shared" si="18"/>
        <v>21.7</v>
      </c>
      <c r="AR12" s="27">
        <f t="shared" si="19"/>
        <v>4.5999999999999996</v>
      </c>
      <c r="AS12" s="27">
        <f t="shared" si="20"/>
        <v>18.900000000000002</v>
      </c>
      <c r="AT12" s="27">
        <f t="shared" si="21"/>
        <v>10.3</v>
      </c>
      <c r="AU12" s="27">
        <f t="shared" si="22"/>
        <v>40.6</v>
      </c>
      <c r="AV12" s="27">
        <f t="shared" si="23"/>
        <v>84.699999999999989</v>
      </c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20"/>
      <c r="BN12" s="43" t="str">
        <f t="shared" si="24"/>
        <v/>
      </c>
      <c r="BO12" s="43" t="str">
        <f t="shared" si="25"/>
        <v/>
      </c>
      <c r="BP12" s="43" t="str">
        <f t="shared" si="26"/>
        <v/>
      </c>
      <c r="BQ12" s="43" t="str">
        <f t="shared" si="27"/>
        <v/>
      </c>
      <c r="BR12" s="10" t="str">
        <f t="shared" si="28"/>
        <v/>
      </c>
      <c r="BS12" s="10" t="str">
        <f t="shared" si="29"/>
        <v/>
      </c>
      <c r="BT12" s="10" t="str">
        <f t="shared" si="30"/>
        <v/>
      </c>
      <c r="BU12" s="10" t="str">
        <f t="shared" si="31"/>
        <v/>
      </c>
      <c r="BV12" s="10" t="str">
        <f t="shared" si="32"/>
        <v/>
      </c>
      <c r="BW12" s="10" t="str">
        <f t="shared" si="33"/>
        <v/>
      </c>
      <c r="BX12" s="10" t="str">
        <f t="shared" si="34"/>
        <v/>
      </c>
      <c r="BY12" s="10" t="str">
        <f t="shared" si="35"/>
        <v/>
      </c>
      <c r="BZ12" s="10" t="str">
        <f t="shared" si="36"/>
        <v/>
      </c>
      <c r="CA12" s="34" t="str">
        <f t="shared" si="37"/>
        <v/>
      </c>
      <c r="CB12" s="34" t="str">
        <f t="shared" si="38"/>
        <v/>
      </c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27" t="str">
        <f t="shared" si="39"/>
        <v/>
      </c>
      <c r="CX12" s="27" t="str">
        <f t="shared" si="40"/>
        <v/>
      </c>
      <c r="CY12" s="27" t="str">
        <f t="shared" si="41"/>
        <v/>
      </c>
      <c r="CZ12" s="27" t="str">
        <f t="shared" si="42"/>
        <v/>
      </c>
      <c r="DA12" s="27" t="str">
        <f t="shared" si="43"/>
        <v/>
      </c>
      <c r="DB12" s="27" t="str">
        <f t="shared" si="44"/>
        <v/>
      </c>
      <c r="DC12" s="27" t="str">
        <f t="shared" si="45"/>
        <v/>
      </c>
      <c r="DD12" s="27" t="str">
        <f t="shared" si="46"/>
        <v/>
      </c>
      <c r="DE12" s="27" t="str">
        <f t="shared" si="47"/>
        <v/>
      </c>
      <c r="DF12" s="27" t="str">
        <f t="shared" si="48"/>
        <v/>
      </c>
      <c r="DG12" s="27" t="str">
        <f t="shared" si="49"/>
        <v/>
      </c>
      <c r="DH12" s="27" t="str">
        <f t="shared" si="50"/>
        <v/>
      </c>
      <c r="DI12" s="27" t="str">
        <f t="shared" si="51"/>
        <v/>
      </c>
      <c r="DJ12" s="27" t="str">
        <f t="shared" si="52"/>
        <v/>
      </c>
      <c r="DK12" s="27" t="str">
        <f t="shared" si="53"/>
        <v/>
      </c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0" t="str">
        <f t="shared" si="54"/>
        <v/>
      </c>
      <c r="EG12" s="10" t="str">
        <f t="shared" si="55"/>
        <v/>
      </c>
      <c r="EH12" s="10" t="str">
        <f t="shared" si="56"/>
        <v/>
      </c>
      <c r="EI12" s="10" t="str">
        <f t="shared" si="57"/>
        <v/>
      </c>
      <c r="EJ12" s="10" t="str">
        <f t="shared" si="58"/>
        <v/>
      </c>
      <c r="EK12" s="10" t="str">
        <f t="shared" si="59"/>
        <v/>
      </c>
      <c r="EL12" s="10" t="str">
        <f t="shared" si="60"/>
        <v/>
      </c>
      <c r="EM12" s="10" t="str">
        <f t="shared" si="61"/>
        <v/>
      </c>
      <c r="EN12" s="10" t="str">
        <f t="shared" si="62"/>
        <v/>
      </c>
      <c r="EO12" s="10" t="str">
        <f t="shared" si="63"/>
        <v/>
      </c>
      <c r="EP12" s="10" t="str">
        <f t="shared" si="64"/>
        <v/>
      </c>
      <c r="EQ12" s="10" t="str">
        <f t="shared" si="65"/>
        <v/>
      </c>
      <c r="ER12" s="10" t="str">
        <f t="shared" si="66"/>
        <v/>
      </c>
      <c r="ES12" s="10" t="str">
        <f t="shared" si="67"/>
        <v/>
      </c>
      <c r="ET12" s="10" t="str">
        <f t="shared" si="68"/>
        <v/>
      </c>
      <c r="EU12" s="44">
        <f t="shared" si="69"/>
        <v>7.95</v>
      </c>
      <c r="EV12" s="44">
        <f t="shared" si="70"/>
        <v>3</v>
      </c>
      <c r="EW12" s="44">
        <f t="shared" si="71"/>
        <v>0</v>
      </c>
      <c r="EX12" s="44">
        <f t="shared" si="72"/>
        <v>0.35</v>
      </c>
      <c r="EY12" s="44">
        <f t="shared" si="73"/>
        <v>7.65</v>
      </c>
      <c r="EZ12" s="44">
        <f t="shared" si="74"/>
        <v>2.75</v>
      </c>
      <c r="FA12" s="44">
        <f t="shared" si="75"/>
        <v>0</v>
      </c>
      <c r="FB12" s="44">
        <f t="shared" si="76"/>
        <v>0.35</v>
      </c>
      <c r="FC12" s="44">
        <f t="shared" si="77"/>
        <v>7.65</v>
      </c>
      <c r="FD12" s="44">
        <f t="shared" si="78"/>
        <v>2.85</v>
      </c>
      <c r="FE12" s="44">
        <f t="shared" si="79"/>
        <v>0</v>
      </c>
      <c r="FF12" s="44">
        <f t="shared" si="80"/>
        <v>0.35</v>
      </c>
      <c r="FG12" s="44">
        <f t="shared" si="81"/>
        <v>7</v>
      </c>
      <c r="FH12" s="44">
        <f t="shared" si="82"/>
        <v>2.2999999999999998</v>
      </c>
      <c r="FI12" s="44">
        <f t="shared" si="83"/>
        <v>0.2</v>
      </c>
      <c r="FJ12" s="44">
        <f t="shared" si="84"/>
        <v>0.35</v>
      </c>
      <c r="FK12" s="20" t="s">
        <v>29</v>
      </c>
      <c r="FL12" s="10">
        <f t="shared" si="85"/>
        <v>3</v>
      </c>
      <c r="FM12" s="10">
        <f t="shared" si="86"/>
        <v>11.299999999999999</v>
      </c>
      <c r="FN12" s="10">
        <f t="shared" si="87"/>
        <v>2.75</v>
      </c>
      <c r="FO12" s="10">
        <f t="shared" si="88"/>
        <v>10.75</v>
      </c>
      <c r="FP12" s="10">
        <f t="shared" si="89"/>
        <v>5.75</v>
      </c>
      <c r="FQ12" s="10">
        <f t="shared" si="90"/>
        <v>22.049999999999997</v>
      </c>
      <c r="FR12" s="10">
        <f t="shared" si="91"/>
        <v>2.85</v>
      </c>
      <c r="FS12" s="10">
        <f t="shared" si="92"/>
        <v>10.85</v>
      </c>
      <c r="FT12" s="10">
        <f t="shared" si="93"/>
        <v>2.2999999999999998</v>
      </c>
      <c r="FU12" s="10">
        <f t="shared" si="94"/>
        <v>9.4500000000000011</v>
      </c>
      <c r="FV12" s="10">
        <f t="shared" si="95"/>
        <v>5.15</v>
      </c>
      <c r="FW12" s="10">
        <f t="shared" si="96"/>
        <v>20.3</v>
      </c>
      <c r="FX12" s="10">
        <f t="shared" si="97"/>
        <v>42.349999999999994</v>
      </c>
    </row>
    <row r="13" spans="1:180" x14ac:dyDescent="0.2">
      <c r="A13" s="3" t="str" cm="1">
        <f t="array" ref="A13">IF(AND(H13&lt;&gt;"",H13&lt;&gt;"No DD",I13&lt;&gt;"P"),SUMPRODUCT((H$4:H$19&lt;&gt;"")*(H$4:H$19&lt;&gt;"No DD")*(I$4:I$19&lt;&gt;"P")*(E$4:E$19&gt;E13))+1,IF(H13="No DD",SUMPRODUCT((H$4:H$19="No DD")*(I$4:I$19&lt;&gt;"P")*(E$4:E$19&gt;E13))+1+SUMPRODUCT((H$4:H$19&lt;&gt;"")*(I$4:I$19&lt;&gt;"P")*(H$4:H$19&lt;&gt;"No DD")),""))</f>
        <v/>
      </c>
      <c r="B13" s="4" t="s">
        <v>56</v>
      </c>
      <c r="C13" s="3" t="s">
        <v>4</v>
      </c>
      <c r="D13" s="3">
        <v>2007</v>
      </c>
      <c r="E13" s="8">
        <f t="shared" si="0"/>
        <v>84.70000638000424</v>
      </c>
      <c r="F13" s="2" t="str">
        <f t="shared" si="1"/>
        <v/>
      </c>
      <c r="G13" s="2" t="str">
        <f t="shared" si="2"/>
        <v/>
      </c>
      <c r="H13" s="26" t="str">
        <f t="shared" si="3"/>
        <v/>
      </c>
      <c r="I13" s="2" t="str">
        <f>IF(COUNTIFS('Senior-M'!B:B,B13,'Senior-M'!A:A,"&lt;9",'Senior-M'!H:H,"&lt;&gt;"&amp;"No DD"),"P","")</f>
        <v/>
      </c>
      <c r="J13" s="7">
        <f t="shared" si="4"/>
        <v>42.5</v>
      </c>
      <c r="K13" s="7" t="str">
        <f t="shared" si="5"/>
        <v>2025 3rd Domestic Trial</v>
      </c>
      <c r="L13" s="7">
        <f>IF(J13=AO13,IF(COUNT(AQ13,AS13,BO13,BQ13,BU13,BW13)&gt;1,LARGE((AQ13,AS13,BO13,BQ13,BU13,BW13),1),0),IF(COUNT(AK13,AM13,AQ13,AS13,BU13,BW13)&gt;1,LARGE((AK13,AM13,AQ13,AS13,BU13,BW13),1),0))</f>
        <v>21.3</v>
      </c>
      <c r="M13" s="7" t="str">
        <f t="shared" si="6"/>
        <v>2025 3rd Domestic Trial</v>
      </c>
      <c r="N13" s="7">
        <f>IF(J13=AO13,IF(COUNT(AQ13,AS13,BO13,BQ13,BU13,BW13)&gt;1,LARGE((AQ13,AS13,BO13,BQ13,BU13,BW13),2),0),IF(COUNT(AK13,AM13,AQ13,AS13,BU13,BW13)&gt;1,LARGE((AK13,AM13,AQ13,AS13,BU13,BW13),2),0))</f>
        <v>20.9</v>
      </c>
      <c r="O13" s="7" t="str">
        <f t="shared" si="7"/>
        <v>2025 Nationals</v>
      </c>
      <c r="P13" s="7" t="str">
        <f t="shared" si="8"/>
        <v/>
      </c>
      <c r="Q13" s="10" t="str">
        <f t="shared" si="9"/>
        <v/>
      </c>
      <c r="R13" s="7" t="str">
        <f t="shared" si="10"/>
        <v/>
      </c>
      <c r="S13" s="39">
        <v>16</v>
      </c>
      <c r="T13" s="39">
        <v>4.8</v>
      </c>
      <c r="U13" s="39">
        <v>0</v>
      </c>
      <c r="V13" s="39">
        <v>0</v>
      </c>
      <c r="W13" s="39">
        <v>15.5</v>
      </c>
      <c r="X13" s="39">
        <v>5.3</v>
      </c>
      <c r="Y13" s="39">
        <v>0</v>
      </c>
      <c r="Z13" s="39">
        <v>0</v>
      </c>
      <c r="AA13" s="39">
        <v>15.7</v>
      </c>
      <c r="AB13" s="39">
        <v>4.8</v>
      </c>
      <c r="AC13" s="39">
        <v>0.2</v>
      </c>
      <c r="AD13" s="39">
        <v>0</v>
      </c>
      <c r="AE13" s="39">
        <v>15.6</v>
      </c>
      <c r="AF13" s="39">
        <v>5.3</v>
      </c>
      <c r="AG13" s="39">
        <v>0</v>
      </c>
      <c r="AH13" s="39">
        <v>0</v>
      </c>
      <c r="AI13" s="19"/>
      <c r="AJ13" s="42">
        <f t="shared" si="11"/>
        <v>4.8</v>
      </c>
      <c r="AK13" s="42">
        <f t="shared" si="12"/>
        <v>20.8</v>
      </c>
      <c r="AL13" s="42">
        <f t="shared" si="13"/>
        <v>5.3</v>
      </c>
      <c r="AM13" s="42">
        <f t="shared" si="14"/>
        <v>20.8</v>
      </c>
      <c r="AN13" s="27">
        <f t="shared" si="15"/>
        <v>10.1</v>
      </c>
      <c r="AO13" s="27">
        <f t="shared" si="16"/>
        <v>41.6</v>
      </c>
      <c r="AP13" s="27">
        <f t="shared" si="17"/>
        <v>4.8</v>
      </c>
      <c r="AQ13" s="27">
        <f t="shared" si="18"/>
        <v>20.3</v>
      </c>
      <c r="AR13" s="27">
        <f t="shared" si="19"/>
        <v>5.3</v>
      </c>
      <c r="AS13" s="27">
        <f t="shared" si="20"/>
        <v>20.9</v>
      </c>
      <c r="AT13" s="27">
        <f t="shared" si="21"/>
        <v>10.1</v>
      </c>
      <c r="AU13" s="27">
        <f t="shared" si="22"/>
        <v>41.2</v>
      </c>
      <c r="AV13" s="27">
        <f t="shared" si="23"/>
        <v>82.800000000000011</v>
      </c>
      <c r="AW13" s="15">
        <v>15.9</v>
      </c>
      <c r="AX13" s="15">
        <v>5.5</v>
      </c>
      <c r="AY13" s="15">
        <v>0</v>
      </c>
      <c r="AZ13" s="15">
        <v>0</v>
      </c>
      <c r="BA13" s="15">
        <v>15.8</v>
      </c>
      <c r="BB13" s="15">
        <v>5.3</v>
      </c>
      <c r="BC13" s="15">
        <v>0</v>
      </c>
      <c r="BD13" s="15">
        <v>0</v>
      </c>
      <c r="BE13" s="15">
        <v>15.8</v>
      </c>
      <c r="BF13" s="15">
        <v>5.5</v>
      </c>
      <c r="BG13" s="15">
        <v>0</v>
      </c>
      <c r="BH13" s="15">
        <v>0</v>
      </c>
      <c r="BI13" s="15">
        <v>15.5</v>
      </c>
      <c r="BJ13" s="15">
        <v>5.3</v>
      </c>
      <c r="BK13" s="15">
        <v>0</v>
      </c>
      <c r="BL13" s="15">
        <v>0</v>
      </c>
      <c r="BM13" s="20"/>
      <c r="BN13" s="43">
        <f t="shared" si="24"/>
        <v>5.5</v>
      </c>
      <c r="BO13" s="43">
        <f t="shared" si="25"/>
        <v>21.4</v>
      </c>
      <c r="BP13" s="43">
        <f t="shared" si="26"/>
        <v>5.3</v>
      </c>
      <c r="BQ13" s="43">
        <f t="shared" si="27"/>
        <v>21.1</v>
      </c>
      <c r="BR13" s="10">
        <f t="shared" si="28"/>
        <v>10.8</v>
      </c>
      <c r="BS13" s="10">
        <f t="shared" si="29"/>
        <v>42.5</v>
      </c>
      <c r="BT13" s="10">
        <f t="shared" si="30"/>
        <v>5.5</v>
      </c>
      <c r="BU13" s="10">
        <f t="shared" si="31"/>
        <v>21.3</v>
      </c>
      <c r="BV13" s="10">
        <f t="shared" si="32"/>
        <v>5.3</v>
      </c>
      <c r="BW13" s="10">
        <f t="shared" si="33"/>
        <v>20.8</v>
      </c>
      <c r="BX13" s="10">
        <f t="shared" si="34"/>
        <v>10.8</v>
      </c>
      <c r="BY13" s="10">
        <f t="shared" si="35"/>
        <v>42.1</v>
      </c>
      <c r="BZ13" s="10">
        <f t="shared" si="36"/>
        <v>84.6</v>
      </c>
      <c r="CA13" s="34" t="str">
        <f t="shared" si="37"/>
        <v/>
      </c>
      <c r="CB13" s="34" t="str">
        <f t="shared" si="38"/>
        <v/>
      </c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27" t="str">
        <f t="shared" si="39"/>
        <v/>
      </c>
      <c r="CX13" s="27" t="str">
        <f t="shared" si="40"/>
        <v/>
      </c>
      <c r="CY13" s="27" t="str">
        <f t="shared" si="41"/>
        <v/>
      </c>
      <c r="CZ13" s="27" t="str">
        <f t="shared" si="42"/>
        <v/>
      </c>
      <c r="DA13" s="27" t="str">
        <f t="shared" si="43"/>
        <v/>
      </c>
      <c r="DB13" s="27" t="str">
        <f t="shared" si="44"/>
        <v/>
      </c>
      <c r="DC13" s="27" t="str">
        <f t="shared" si="45"/>
        <v/>
      </c>
      <c r="DD13" s="27" t="str">
        <f t="shared" si="46"/>
        <v/>
      </c>
      <c r="DE13" s="27" t="str">
        <f t="shared" si="47"/>
        <v/>
      </c>
      <c r="DF13" s="27" t="str">
        <f t="shared" si="48"/>
        <v/>
      </c>
      <c r="DG13" s="27" t="str">
        <f t="shared" si="49"/>
        <v/>
      </c>
      <c r="DH13" s="27" t="str">
        <f t="shared" si="50"/>
        <v/>
      </c>
      <c r="DI13" s="27" t="str">
        <f t="shared" si="51"/>
        <v/>
      </c>
      <c r="DJ13" s="27" t="str">
        <f t="shared" si="52"/>
        <v/>
      </c>
      <c r="DK13" s="27" t="str">
        <f t="shared" si="53"/>
        <v/>
      </c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0" t="str">
        <f t="shared" si="54"/>
        <v/>
      </c>
      <c r="EG13" s="10" t="str">
        <f t="shared" si="55"/>
        <v/>
      </c>
      <c r="EH13" s="10" t="str">
        <f t="shared" si="56"/>
        <v/>
      </c>
      <c r="EI13" s="10" t="str">
        <f t="shared" si="57"/>
        <v/>
      </c>
      <c r="EJ13" s="10" t="str">
        <f t="shared" si="58"/>
        <v/>
      </c>
      <c r="EK13" s="10" t="str">
        <f t="shared" si="59"/>
        <v/>
      </c>
      <c r="EL13" s="10" t="str">
        <f t="shared" si="60"/>
        <v/>
      </c>
      <c r="EM13" s="10" t="str">
        <f t="shared" si="61"/>
        <v/>
      </c>
      <c r="EN13" s="10" t="str">
        <f t="shared" si="62"/>
        <v/>
      </c>
      <c r="EO13" s="10" t="str">
        <f t="shared" si="63"/>
        <v/>
      </c>
      <c r="EP13" s="10" t="str">
        <f t="shared" si="64"/>
        <v/>
      </c>
      <c r="EQ13" s="10" t="str">
        <f t="shared" si="65"/>
        <v/>
      </c>
      <c r="ER13" s="10" t="str">
        <f t="shared" si="66"/>
        <v/>
      </c>
      <c r="ES13" s="10" t="str">
        <f t="shared" si="67"/>
        <v/>
      </c>
      <c r="ET13" s="10" t="str">
        <f t="shared" si="68"/>
        <v/>
      </c>
      <c r="EU13" s="44">
        <f t="shared" si="69"/>
        <v>15.95</v>
      </c>
      <c r="EV13" s="44">
        <f t="shared" si="70"/>
        <v>5.15</v>
      </c>
      <c r="EW13" s="44">
        <f t="shared" si="71"/>
        <v>0</v>
      </c>
      <c r="EX13" s="44">
        <f t="shared" si="72"/>
        <v>0</v>
      </c>
      <c r="EY13" s="44">
        <f t="shared" si="73"/>
        <v>15.65</v>
      </c>
      <c r="EZ13" s="44">
        <f t="shared" si="74"/>
        <v>5.3</v>
      </c>
      <c r="FA13" s="44">
        <f t="shared" si="75"/>
        <v>0</v>
      </c>
      <c r="FB13" s="44">
        <f t="shared" si="76"/>
        <v>0</v>
      </c>
      <c r="FC13" s="44">
        <f t="shared" si="77"/>
        <v>15.75</v>
      </c>
      <c r="FD13" s="44">
        <f t="shared" si="78"/>
        <v>5.15</v>
      </c>
      <c r="FE13" s="44">
        <f t="shared" si="79"/>
        <v>0.1</v>
      </c>
      <c r="FF13" s="44">
        <f t="shared" si="80"/>
        <v>0</v>
      </c>
      <c r="FG13" s="44">
        <f t="shared" si="81"/>
        <v>15.55</v>
      </c>
      <c r="FH13" s="44">
        <f t="shared" si="82"/>
        <v>5.3</v>
      </c>
      <c r="FI13" s="44">
        <f t="shared" si="83"/>
        <v>0</v>
      </c>
      <c r="FJ13" s="44">
        <f t="shared" si="84"/>
        <v>0</v>
      </c>
      <c r="FK13" s="20" t="s">
        <v>29</v>
      </c>
      <c r="FL13" s="10">
        <f t="shared" si="85"/>
        <v>5.15</v>
      </c>
      <c r="FM13" s="10">
        <f t="shared" si="86"/>
        <v>21.1</v>
      </c>
      <c r="FN13" s="10">
        <f t="shared" si="87"/>
        <v>5.3</v>
      </c>
      <c r="FO13" s="10">
        <f t="shared" si="88"/>
        <v>20.95</v>
      </c>
      <c r="FP13" s="10">
        <f t="shared" si="89"/>
        <v>10.45</v>
      </c>
      <c r="FQ13" s="10">
        <f t="shared" si="90"/>
        <v>42.05</v>
      </c>
      <c r="FR13" s="10">
        <f t="shared" si="91"/>
        <v>5.15</v>
      </c>
      <c r="FS13" s="10">
        <f t="shared" si="92"/>
        <v>20.799999999999997</v>
      </c>
      <c r="FT13" s="10">
        <f t="shared" si="93"/>
        <v>5.3</v>
      </c>
      <c r="FU13" s="10">
        <f t="shared" si="94"/>
        <v>20.85</v>
      </c>
      <c r="FV13" s="10">
        <f t="shared" si="95"/>
        <v>10.45</v>
      </c>
      <c r="FW13" s="10">
        <f t="shared" si="96"/>
        <v>41.65</v>
      </c>
      <c r="FX13" s="10">
        <f t="shared" si="97"/>
        <v>83.699999999999989</v>
      </c>
    </row>
    <row r="14" spans="1:180" x14ac:dyDescent="0.2">
      <c r="A14" s="3" t="str" cm="1">
        <f t="array" ref="A14">IF(AND(H14&lt;&gt;"",H14&lt;&gt;"No DD",I14&lt;&gt;"P"),SUMPRODUCT((H$4:H$19&lt;&gt;"")*(H$4:H$19&lt;&gt;"No DD")*(I$4:I$19&lt;&gt;"P")*(E$4:E$19&gt;E14))+1,IF(H14="No DD",SUMPRODUCT((H$4:H$19="No DD")*(I$4:I$19&lt;&gt;"P")*(E$4:E$19&gt;E14))+1+SUMPRODUCT((H$4:H$19&lt;&gt;"")*(I$4:I$19&lt;&gt;"P")*(H$4:H$19&lt;&gt;"No DD")),""))</f>
        <v/>
      </c>
      <c r="B14" s="4" t="s">
        <v>116</v>
      </c>
      <c r="C14" s="3" t="s">
        <v>3</v>
      </c>
      <c r="D14" s="3">
        <v>2007</v>
      </c>
      <c r="E14" s="8">
        <f t="shared" si="0"/>
        <v>82.700006180004024</v>
      </c>
      <c r="F14" s="2" t="str">
        <f t="shared" si="1"/>
        <v/>
      </c>
      <c r="G14" s="2" t="str">
        <f t="shared" si="2"/>
        <v/>
      </c>
      <c r="H14" s="26" t="str">
        <f t="shared" si="3"/>
        <v/>
      </c>
      <c r="I14" s="2" t="str">
        <f>IF(COUNTIFS('Senior-M'!B:B,B14,'Senior-M'!A:A,"&lt;9",'Senior-M'!H:H,"&lt;&gt;"&amp;"No DD"),"P","")</f>
        <v/>
      </c>
      <c r="J14" s="7">
        <f t="shared" si="4"/>
        <v>40.4</v>
      </c>
      <c r="K14" s="7" t="str">
        <f t="shared" si="5"/>
        <v>2025 Nationals</v>
      </c>
      <c r="L14" s="7">
        <f>IF(J14=AO14,IF(COUNT(AQ14,AS14,BO14,BQ14,BU14,BW14)&gt;1,LARGE((AQ14,AS14,BO14,BQ14,BU14,BW14),1),0),IF(COUNT(AK14,AM14,AQ14,AS14,BU14,BW14)&gt;1,LARGE((AK14,AM14,AQ14,AS14,BU14,BW14),1),0))</f>
        <v>21.4</v>
      </c>
      <c r="M14" s="7" t="str">
        <f t="shared" si="6"/>
        <v>2025 Nationals</v>
      </c>
      <c r="N14" s="7">
        <f>IF(J14=AO14,IF(COUNT(AQ14,AS14,BO14,BQ14,BU14,BW14)&gt;1,LARGE((AQ14,AS14,BO14,BQ14,BU14,BW14),2),0),IF(COUNT(AK14,AM14,AQ14,AS14,BU14,BW14)&gt;1,LARGE((AK14,AM14,AQ14,AS14,BU14,BW14),2),0))</f>
        <v>20.9</v>
      </c>
      <c r="O14" s="7" t="str">
        <f t="shared" si="7"/>
        <v>2025 Nationals</v>
      </c>
      <c r="P14" s="7" t="str">
        <f t="shared" si="8"/>
        <v/>
      </c>
      <c r="Q14" s="10" t="str">
        <f t="shared" si="9"/>
        <v/>
      </c>
      <c r="R14" s="7" t="str">
        <f t="shared" si="10"/>
        <v/>
      </c>
      <c r="S14" s="39">
        <v>15.7</v>
      </c>
      <c r="T14" s="39">
        <v>3.4</v>
      </c>
      <c r="U14" s="39">
        <v>0</v>
      </c>
      <c r="V14" s="39">
        <v>0</v>
      </c>
      <c r="W14" s="39">
        <v>15.9</v>
      </c>
      <c r="X14" s="39">
        <v>5.4</v>
      </c>
      <c r="Y14" s="39">
        <v>0</v>
      </c>
      <c r="Z14" s="39">
        <v>0</v>
      </c>
      <c r="AA14" s="39">
        <v>16.5</v>
      </c>
      <c r="AB14" s="39">
        <v>4.9000000000000004</v>
      </c>
      <c r="AC14" s="39">
        <v>0</v>
      </c>
      <c r="AD14" s="39">
        <v>0</v>
      </c>
      <c r="AE14" s="39">
        <v>16.5</v>
      </c>
      <c r="AF14" s="39">
        <v>4.4000000000000004</v>
      </c>
      <c r="AG14" s="39">
        <v>0</v>
      </c>
      <c r="AH14" s="39">
        <v>0</v>
      </c>
      <c r="AI14" s="19"/>
      <c r="AJ14" s="42">
        <f t="shared" si="11"/>
        <v>3.4</v>
      </c>
      <c r="AK14" s="42">
        <f t="shared" si="12"/>
        <v>19.099999999999998</v>
      </c>
      <c r="AL14" s="42">
        <f t="shared" si="13"/>
        <v>5.4</v>
      </c>
      <c r="AM14" s="42">
        <f t="shared" si="14"/>
        <v>21.3</v>
      </c>
      <c r="AN14" s="27">
        <f t="shared" si="15"/>
        <v>8.8000000000000007</v>
      </c>
      <c r="AO14" s="27">
        <f t="shared" si="16"/>
        <v>40.4</v>
      </c>
      <c r="AP14" s="27">
        <f t="shared" si="17"/>
        <v>4.9000000000000004</v>
      </c>
      <c r="AQ14" s="27">
        <f t="shared" si="18"/>
        <v>21.4</v>
      </c>
      <c r="AR14" s="27">
        <f t="shared" si="19"/>
        <v>4.4000000000000004</v>
      </c>
      <c r="AS14" s="27">
        <f t="shared" si="20"/>
        <v>20.9</v>
      </c>
      <c r="AT14" s="27">
        <f t="shared" si="21"/>
        <v>9.3000000000000007</v>
      </c>
      <c r="AU14" s="27">
        <f t="shared" si="22"/>
        <v>42.3</v>
      </c>
      <c r="AV14" s="27">
        <f t="shared" si="23"/>
        <v>82.699999999999989</v>
      </c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20"/>
      <c r="BN14" s="43" t="str">
        <f t="shared" si="24"/>
        <v/>
      </c>
      <c r="BO14" s="43" t="str">
        <f t="shared" si="25"/>
        <v/>
      </c>
      <c r="BP14" s="43" t="str">
        <f t="shared" si="26"/>
        <v/>
      </c>
      <c r="BQ14" s="43" t="str">
        <f t="shared" si="27"/>
        <v/>
      </c>
      <c r="BR14" s="10" t="str">
        <f t="shared" si="28"/>
        <v/>
      </c>
      <c r="BS14" s="10" t="str">
        <f t="shared" si="29"/>
        <v/>
      </c>
      <c r="BT14" s="10" t="str">
        <f t="shared" si="30"/>
        <v/>
      </c>
      <c r="BU14" s="10" t="str">
        <f t="shared" si="31"/>
        <v/>
      </c>
      <c r="BV14" s="10" t="str">
        <f t="shared" si="32"/>
        <v/>
      </c>
      <c r="BW14" s="10" t="str">
        <f t="shared" si="33"/>
        <v/>
      </c>
      <c r="BX14" s="10" t="str">
        <f t="shared" si="34"/>
        <v/>
      </c>
      <c r="BY14" s="10" t="str">
        <f t="shared" si="35"/>
        <v/>
      </c>
      <c r="BZ14" s="10" t="str">
        <f t="shared" si="36"/>
        <v/>
      </c>
      <c r="CA14" s="34" t="str">
        <f t="shared" si="37"/>
        <v/>
      </c>
      <c r="CB14" s="34" t="str">
        <f t="shared" si="38"/>
        <v/>
      </c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27" t="str">
        <f t="shared" si="39"/>
        <v/>
      </c>
      <c r="CX14" s="27" t="str">
        <f t="shared" si="40"/>
        <v/>
      </c>
      <c r="CY14" s="27" t="str">
        <f t="shared" si="41"/>
        <v/>
      </c>
      <c r="CZ14" s="27" t="str">
        <f t="shared" si="42"/>
        <v/>
      </c>
      <c r="DA14" s="27" t="str">
        <f t="shared" si="43"/>
        <v/>
      </c>
      <c r="DB14" s="27" t="str">
        <f t="shared" si="44"/>
        <v/>
      </c>
      <c r="DC14" s="27" t="str">
        <f t="shared" si="45"/>
        <v/>
      </c>
      <c r="DD14" s="27" t="str">
        <f t="shared" si="46"/>
        <v/>
      </c>
      <c r="DE14" s="27" t="str">
        <f t="shared" si="47"/>
        <v/>
      </c>
      <c r="DF14" s="27" t="str">
        <f t="shared" si="48"/>
        <v/>
      </c>
      <c r="DG14" s="27" t="str">
        <f t="shared" si="49"/>
        <v/>
      </c>
      <c r="DH14" s="27" t="str">
        <f t="shared" si="50"/>
        <v/>
      </c>
      <c r="DI14" s="27" t="str">
        <f t="shared" si="51"/>
        <v/>
      </c>
      <c r="DJ14" s="27" t="str">
        <f t="shared" si="52"/>
        <v/>
      </c>
      <c r="DK14" s="27" t="str">
        <f t="shared" si="53"/>
        <v/>
      </c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0" t="str">
        <f t="shared" si="54"/>
        <v/>
      </c>
      <c r="EG14" s="10" t="str">
        <f t="shared" si="55"/>
        <v/>
      </c>
      <c r="EH14" s="10" t="str">
        <f t="shared" si="56"/>
        <v/>
      </c>
      <c r="EI14" s="10" t="str">
        <f t="shared" si="57"/>
        <v/>
      </c>
      <c r="EJ14" s="10" t="str">
        <f t="shared" si="58"/>
        <v/>
      </c>
      <c r="EK14" s="10" t="str">
        <f t="shared" si="59"/>
        <v/>
      </c>
      <c r="EL14" s="10" t="str">
        <f t="shared" si="60"/>
        <v/>
      </c>
      <c r="EM14" s="10" t="str">
        <f t="shared" si="61"/>
        <v/>
      </c>
      <c r="EN14" s="10" t="str">
        <f t="shared" si="62"/>
        <v/>
      </c>
      <c r="EO14" s="10" t="str">
        <f t="shared" si="63"/>
        <v/>
      </c>
      <c r="EP14" s="10" t="str">
        <f t="shared" si="64"/>
        <v/>
      </c>
      <c r="EQ14" s="10" t="str">
        <f t="shared" si="65"/>
        <v/>
      </c>
      <c r="ER14" s="10" t="str">
        <f t="shared" si="66"/>
        <v/>
      </c>
      <c r="ES14" s="10" t="str">
        <f t="shared" si="67"/>
        <v/>
      </c>
      <c r="ET14" s="10" t="str">
        <f t="shared" si="68"/>
        <v/>
      </c>
      <c r="EU14" s="44">
        <f t="shared" si="69"/>
        <v>7.85</v>
      </c>
      <c r="EV14" s="44">
        <f t="shared" si="70"/>
        <v>1.7</v>
      </c>
      <c r="EW14" s="44">
        <f t="shared" si="71"/>
        <v>0</v>
      </c>
      <c r="EX14" s="44">
        <f t="shared" si="72"/>
        <v>0</v>
      </c>
      <c r="EY14" s="44">
        <f t="shared" si="73"/>
        <v>7.95</v>
      </c>
      <c r="EZ14" s="44">
        <f t="shared" si="74"/>
        <v>2.7</v>
      </c>
      <c r="FA14" s="44">
        <f t="shared" si="75"/>
        <v>0</v>
      </c>
      <c r="FB14" s="44">
        <f t="shared" si="76"/>
        <v>0</v>
      </c>
      <c r="FC14" s="44">
        <f t="shared" si="77"/>
        <v>8.25</v>
      </c>
      <c r="FD14" s="44">
        <f t="shared" si="78"/>
        <v>2.4500000000000002</v>
      </c>
      <c r="FE14" s="44">
        <f t="shared" si="79"/>
        <v>0</v>
      </c>
      <c r="FF14" s="44">
        <f t="shared" si="80"/>
        <v>0</v>
      </c>
      <c r="FG14" s="44">
        <f t="shared" si="81"/>
        <v>8.25</v>
      </c>
      <c r="FH14" s="44">
        <f t="shared" si="82"/>
        <v>2.2000000000000002</v>
      </c>
      <c r="FI14" s="44">
        <f t="shared" si="83"/>
        <v>0</v>
      </c>
      <c r="FJ14" s="44">
        <f t="shared" si="84"/>
        <v>0</v>
      </c>
      <c r="FK14" s="20" t="s">
        <v>29</v>
      </c>
      <c r="FL14" s="10">
        <f t="shared" si="85"/>
        <v>1.7</v>
      </c>
      <c r="FM14" s="10">
        <f t="shared" si="86"/>
        <v>9.5499999999999989</v>
      </c>
      <c r="FN14" s="10">
        <f t="shared" si="87"/>
        <v>2.7</v>
      </c>
      <c r="FO14" s="10">
        <f t="shared" si="88"/>
        <v>10.65</v>
      </c>
      <c r="FP14" s="10">
        <f t="shared" si="89"/>
        <v>4.4000000000000004</v>
      </c>
      <c r="FQ14" s="10">
        <f t="shared" si="90"/>
        <v>20.2</v>
      </c>
      <c r="FR14" s="10">
        <f t="shared" si="91"/>
        <v>2.4500000000000002</v>
      </c>
      <c r="FS14" s="10">
        <f t="shared" si="92"/>
        <v>10.7</v>
      </c>
      <c r="FT14" s="10">
        <f t="shared" si="93"/>
        <v>2.2000000000000002</v>
      </c>
      <c r="FU14" s="10">
        <f t="shared" si="94"/>
        <v>10.45</v>
      </c>
      <c r="FV14" s="10">
        <f t="shared" si="95"/>
        <v>4.6500000000000004</v>
      </c>
      <c r="FW14" s="10">
        <f t="shared" si="96"/>
        <v>21.15</v>
      </c>
      <c r="FX14" s="10">
        <f t="shared" si="97"/>
        <v>41.349999999999994</v>
      </c>
    </row>
    <row r="15" spans="1:180" x14ac:dyDescent="0.2">
      <c r="A15" s="3" t="str" cm="1">
        <f t="array" ref="A15">IF(AND(H15&lt;&gt;"",H15&lt;&gt;"No DD",I15&lt;&gt;"P"),SUMPRODUCT((H$4:H$19&lt;&gt;"")*(H$4:H$19&lt;&gt;"No DD")*(I$4:I$19&lt;&gt;"P")*(E$4:E$19&gt;E15))+1,IF(H15="No DD",SUMPRODUCT((H$4:H$19="No DD")*(I$4:I$19&lt;&gt;"P")*(E$4:E$19&gt;E15))+1+SUMPRODUCT((H$4:H$19&lt;&gt;"")*(I$4:I$19&lt;&gt;"P")*(H$4:H$19&lt;&gt;"No DD")),""))</f>
        <v/>
      </c>
      <c r="B15" s="4" t="s">
        <v>118</v>
      </c>
      <c r="C15" s="3" t="s">
        <v>4</v>
      </c>
      <c r="D15" s="3">
        <v>2005</v>
      </c>
      <c r="E15" s="8">
        <f t="shared" si="0"/>
        <v>80.700005980003908</v>
      </c>
      <c r="F15" s="2" t="str">
        <f t="shared" si="1"/>
        <v/>
      </c>
      <c r="G15" s="2" t="str">
        <f t="shared" si="2"/>
        <v/>
      </c>
      <c r="H15" s="26" t="str">
        <f t="shared" si="3"/>
        <v/>
      </c>
      <c r="I15" s="2" t="str">
        <f>IF(COUNTIFS('Senior-M'!B:B,B15,'Senior-M'!A:A,"&lt;9",'Senior-M'!H:H,"&lt;&gt;"&amp;"No DD"),"P","")</f>
        <v/>
      </c>
      <c r="J15" s="7">
        <f t="shared" si="4"/>
        <v>38.900000000000006</v>
      </c>
      <c r="K15" s="7" t="str">
        <f t="shared" si="5"/>
        <v>2025 Nationals</v>
      </c>
      <c r="L15" s="7">
        <f>IF(J15=AO15,IF(COUNT(AQ15,AS15,BO15,BQ15,BU15,BW15)&gt;1,LARGE((AQ15,AS15,BO15,BQ15,BU15,BW15),1),0),IF(COUNT(AK15,AM15,AQ15,AS15,BU15,BW15)&gt;1,LARGE((AK15,AM15,AQ15,AS15,BU15,BW15),1),0))</f>
        <v>20.900000000000002</v>
      </c>
      <c r="M15" s="7" t="str">
        <f t="shared" si="6"/>
        <v>2025 Nationals</v>
      </c>
      <c r="N15" s="7">
        <f>IF(J15=AO15,IF(COUNT(AQ15,AS15,BO15,BQ15,BU15,BW15)&gt;1,LARGE((AQ15,AS15,BO15,BQ15,BU15,BW15),2),0),IF(COUNT(AK15,AM15,AQ15,AS15,BU15,BW15)&gt;1,LARGE((AK15,AM15,AQ15,AS15,BU15,BW15),2),0))</f>
        <v>20.9</v>
      </c>
      <c r="O15" s="7" t="str">
        <f t="shared" si="7"/>
        <v>2025 Nationals</v>
      </c>
      <c r="P15" s="7" t="str">
        <f t="shared" si="8"/>
        <v/>
      </c>
      <c r="Q15" s="10" t="str">
        <f t="shared" si="9"/>
        <v/>
      </c>
      <c r="R15" s="7" t="str">
        <f t="shared" si="10"/>
        <v/>
      </c>
      <c r="S15" s="39">
        <v>15.7</v>
      </c>
      <c r="T15" s="39">
        <v>4.8</v>
      </c>
      <c r="U15" s="39">
        <v>0.2</v>
      </c>
      <c r="V15" s="39">
        <v>0</v>
      </c>
      <c r="W15" s="39">
        <v>14.4</v>
      </c>
      <c r="X15" s="39">
        <v>4.2</v>
      </c>
      <c r="Y15" s="39">
        <v>0</v>
      </c>
      <c r="Z15" s="39">
        <v>0</v>
      </c>
      <c r="AA15" s="39">
        <v>16.100000000000001</v>
      </c>
      <c r="AB15" s="39">
        <v>4.8</v>
      </c>
      <c r="AC15" s="39">
        <v>0</v>
      </c>
      <c r="AD15" s="39">
        <v>0</v>
      </c>
      <c r="AE15" s="39">
        <v>15.6</v>
      </c>
      <c r="AF15" s="39">
        <v>5.3</v>
      </c>
      <c r="AG15" s="39">
        <v>0</v>
      </c>
      <c r="AH15" s="39">
        <v>0</v>
      </c>
      <c r="AI15" s="19"/>
      <c r="AJ15" s="42">
        <f t="shared" si="11"/>
        <v>4.8</v>
      </c>
      <c r="AK15" s="42">
        <f t="shared" si="12"/>
        <v>20.3</v>
      </c>
      <c r="AL15" s="42">
        <f t="shared" si="13"/>
        <v>4.2</v>
      </c>
      <c r="AM15" s="42">
        <f t="shared" si="14"/>
        <v>18.600000000000001</v>
      </c>
      <c r="AN15" s="27">
        <f t="shared" si="15"/>
        <v>9</v>
      </c>
      <c r="AO15" s="27">
        <f t="shared" si="16"/>
        <v>38.900000000000006</v>
      </c>
      <c r="AP15" s="27">
        <f t="shared" si="17"/>
        <v>4.8</v>
      </c>
      <c r="AQ15" s="27">
        <f t="shared" si="18"/>
        <v>20.900000000000002</v>
      </c>
      <c r="AR15" s="27">
        <f t="shared" si="19"/>
        <v>5.3</v>
      </c>
      <c r="AS15" s="27">
        <f t="shared" si="20"/>
        <v>20.9</v>
      </c>
      <c r="AT15" s="27">
        <f t="shared" si="21"/>
        <v>10.1</v>
      </c>
      <c r="AU15" s="27">
        <f t="shared" si="22"/>
        <v>41.8</v>
      </c>
      <c r="AV15" s="27">
        <f t="shared" si="23"/>
        <v>80.7</v>
      </c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20"/>
      <c r="BN15" s="43" t="str">
        <f t="shared" si="24"/>
        <v/>
      </c>
      <c r="BO15" s="43" t="str">
        <f t="shared" si="25"/>
        <v/>
      </c>
      <c r="BP15" s="43" t="str">
        <f t="shared" si="26"/>
        <v/>
      </c>
      <c r="BQ15" s="43" t="str">
        <f t="shared" si="27"/>
        <v/>
      </c>
      <c r="BR15" s="10" t="str">
        <f t="shared" si="28"/>
        <v/>
      </c>
      <c r="BS15" s="10" t="str">
        <f t="shared" si="29"/>
        <v/>
      </c>
      <c r="BT15" s="10" t="str">
        <f t="shared" si="30"/>
        <v/>
      </c>
      <c r="BU15" s="10" t="str">
        <f t="shared" si="31"/>
        <v/>
      </c>
      <c r="BV15" s="10" t="str">
        <f t="shared" si="32"/>
        <v/>
      </c>
      <c r="BW15" s="10" t="str">
        <f t="shared" si="33"/>
        <v/>
      </c>
      <c r="BX15" s="10" t="str">
        <f t="shared" si="34"/>
        <v/>
      </c>
      <c r="BY15" s="10" t="str">
        <f t="shared" si="35"/>
        <v/>
      </c>
      <c r="BZ15" s="10" t="str">
        <f t="shared" si="36"/>
        <v/>
      </c>
      <c r="CA15" s="34" t="str">
        <f t="shared" si="37"/>
        <v/>
      </c>
      <c r="CB15" s="34" t="str">
        <f t="shared" si="38"/>
        <v/>
      </c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27" t="str">
        <f t="shared" si="39"/>
        <v/>
      </c>
      <c r="CX15" s="27" t="str">
        <f t="shared" si="40"/>
        <v/>
      </c>
      <c r="CY15" s="27" t="str">
        <f t="shared" si="41"/>
        <v/>
      </c>
      <c r="CZ15" s="27" t="str">
        <f t="shared" si="42"/>
        <v/>
      </c>
      <c r="DA15" s="27" t="str">
        <f t="shared" si="43"/>
        <v/>
      </c>
      <c r="DB15" s="27" t="str">
        <f t="shared" si="44"/>
        <v/>
      </c>
      <c r="DC15" s="27" t="str">
        <f t="shared" si="45"/>
        <v/>
      </c>
      <c r="DD15" s="27" t="str">
        <f t="shared" si="46"/>
        <v/>
      </c>
      <c r="DE15" s="27" t="str">
        <f t="shared" si="47"/>
        <v/>
      </c>
      <c r="DF15" s="27" t="str">
        <f t="shared" si="48"/>
        <v/>
      </c>
      <c r="DG15" s="27" t="str">
        <f t="shared" si="49"/>
        <v/>
      </c>
      <c r="DH15" s="27" t="str">
        <f t="shared" si="50"/>
        <v/>
      </c>
      <c r="DI15" s="27" t="str">
        <f t="shared" si="51"/>
        <v/>
      </c>
      <c r="DJ15" s="27" t="str">
        <f t="shared" si="52"/>
        <v/>
      </c>
      <c r="DK15" s="27" t="str">
        <f t="shared" si="53"/>
        <v/>
      </c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0" t="str">
        <f t="shared" si="54"/>
        <v/>
      </c>
      <c r="EG15" s="10" t="str">
        <f t="shared" si="55"/>
        <v/>
      </c>
      <c r="EH15" s="10" t="str">
        <f t="shared" si="56"/>
        <v/>
      </c>
      <c r="EI15" s="10" t="str">
        <f t="shared" si="57"/>
        <v/>
      </c>
      <c r="EJ15" s="10" t="str">
        <f t="shared" si="58"/>
        <v/>
      </c>
      <c r="EK15" s="10" t="str">
        <f t="shared" si="59"/>
        <v/>
      </c>
      <c r="EL15" s="10" t="str">
        <f t="shared" si="60"/>
        <v/>
      </c>
      <c r="EM15" s="10" t="str">
        <f t="shared" si="61"/>
        <v/>
      </c>
      <c r="EN15" s="10" t="str">
        <f t="shared" si="62"/>
        <v/>
      </c>
      <c r="EO15" s="10" t="str">
        <f t="shared" si="63"/>
        <v/>
      </c>
      <c r="EP15" s="10" t="str">
        <f t="shared" si="64"/>
        <v/>
      </c>
      <c r="EQ15" s="10" t="str">
        <f t="shared" si="65"/>
        <v/>
      </c>
      <c r="ER15" s="10" t="str">
        <f t="shared" si="66"/>
        <v/>
      </c>
      <c r="ES15" s="10" t="str">
        <f t="shared" si="67"/>
        <v/>
      </c>
      <c r="ET15" s="10" t="str">
        <f t="shared" si="68"/>
        <v/>
      </c>
      <c r="EU15" s="44">
        <f t="shared" si="69"/>
        <v>7.85</v>
      </c>
      <c r="EV15" s="44">
        <f t="shared" si="70"/>
        <v>2.4</v>
      </c>
      <c r="EW15" s="44">
        <f t="shared" si="71"/>
        <v>0.1</v>
      </c>
      <c r="EX15" s="44">
        <f t="shared" si="72"/>
        <v>0</v>
      </c>
      <c r="EY15" s="44">
        <f t="shared" si="73"/>
        <v>7.2</v>
      </c>
      <c r="EZ15" s="44">
        <f t="shared" si="74"/>
        <v>2.1</v>
      </c>
      <c r="FA15" s="44">
        <f t="shared" si="75"/>
        <v>0</v>
      </c>
      <c r="FB15" s="44">
        <f t="shared" si="76"/>
        <v>0</v>
      </c>
      <c r="FC15" s="44">
        <f t="shared" si="77"/>
        <v>8.0500000000000007</v>
      </c>
      <c r="FD15" s="44">
        <f t="shared" si="78"/>
        <v>2.4</v>
      </c>
      <c r="FE15" s="44">
        <f t="shared" si="79"/>
        <v>0</v>
      </c>
      <c r="FF15" s="44">
        <f t="shared" si="80"/>
        <v>0</v>
      </c>
      <c r="FG15" s="44">
        <f t="shared" si="81"/>
        <v>7.8</v>
      </c>
      <c r="FH15" s="44">
        <f t="shared" si="82"/>
        <v>2.65</v>
      </c>
      <c r="FI15" s="44">
        <f t="shared" si="83"/>
        <v>0</v>
      </c>
      <c r="FJ15" s="44">
        <f t="shared" si="84"/>
        <v>0</v>
      </c>
      <c r="FK15" s="20" t="s">
        <v>29</v>
      </c>
      <c r="FL15" s="10">
        <f t="shared" si="85"/>
        <v>2.4</v>
      </c>
      <c r="FM15" s="10">
        <f t="shared" si="86"/>
        <v>10.15</v>
      </c>
      <c r="FN15" s="10">
        <f t="shared" si="87"/>
        <v>2.1</v>
      </c>
      <c r="FO15" s="10">
        <f t="shared" si="88"/>
        <v>9.3000000000000007</v>
      </c>
      <c r="FP15" s="10">
        <f t="shared" si="89"/>
        <v>4.5</v>
      </c>
      <c r="FQ15" s="10">
        <f t="shared" si="90"/>
        <v>19.450000000000003</v>
      </c>
      <c r="FR15" s="10">
        <f t="shared" si="91"/>
        <v>2.4</v>
      </c>
      <c r="FS15" s="10">
        <f t="shared" si="92"/>
        <v>10.450000000000001</v>
      </c>
      <c r="FT15" s="10">
        <f t="shared" si="93"/>
        <v>2.65</v>
      </c>
      <c r="FU15" s="10">
        <f t="shared" si="94"/>
        <v>10.45</v>
      </c>
      <c r="FV15" s="10">
        <f t="shared" si="95"/>
        <v>5.05</v>
      </c>
      <c r="FW15" s="10">
        <f t="shared" si="96"/>
        <v>20.9</v>
      </c>
      <c r="FX15" s="10">
        <f t="shared" si="97"/>
        <v>40.35</v>
      </c>
    </row>
    <row r="16" spans="1:180" x14ac:dyDescent="0.2">
      <c r="A16" s="3" t="str" cm="1">
        <f t="array" ref="A16">IF(AND(H16&lt;&gt;"",H16&lt;&gt;"No DD",I16&lt;&gt;"P"),SUMPRODUCT((H$4:H$19&lt;&gt;"")*(H$4:H$19&lt;&gt;"No DD")*(I$4:I$19&lt;&gt;"P")*(E$4:E$19&gt;E16))+1,IF(H16="No DD",SUMPRODUCT((H$4:H$19="No DD")*(I$4:I$19&lt;&gt;"P")*(E$4:E$19&gt;E16))+1+SUMPRODUCT((H$4:H$19&lt;&gt;"")*(I$4:I$19&lt;&gt;"P")*(H$4:H$19&lt;&gt;"No DD")),""))</f>
        <v/>
      </c>
      <c r="B16" s="4" t="s">
        <v>60</v>
      </c>
      <c r="C16" s="3" t="s">
        <v>5</v>
      </c>
      <c r="D16" s="3">
        <v>2007</v>
      </c>
      <c r="E16" s="8">
        <f t="shared" si="0"/>
        <v>76.900005880003846</v>
      </c>
      <c r="F16" s="2" t="str">
        <f t="shared" si="1"/>
        <v/>
      </c>
      <c r="G16" s="2" t="str">
        <f t="shared" si="2"/>
        <v/>
      </c>
      <c r="H16" s="26" t="str">
        <f t="shared" si="3"/>
        <v/>
      </c>
      <c r="I16" s="2" t="str">
        <f>IF(COUNTIFS('Senior-M'!B:B,B16,'Senior-M'!A:A,"&lt;9",'Senior-M'!H:H,"&lt;&gt;"&amp;"No DD"),"P","")</f>
        <v/>
      </c>
      <c r="J16" s="7">
        <f t="shared" si="4"/>
        <v>38.4</v>
      </c>
      <c r="K16" s="7" t="str">
        <f t="shared" si="5"/>
        <v>2025 Nationals</v>
      </c>
      <c r="L16" s="7">
        <f>IF(J16=AO16,IF(COUNT(AQ16,AS16,BO16,BQ16,BU16,BW16)&gt;1,LARGE((AQ16,AS16,BO16,BQ16,BU16,BW16),1),0),IF(COUNT(AK16,AM16,AQ16,AS16,BU16,BW16)&gt;1,LARGE((AK16,AM16,AQ16,AS16,BU16,BW16),1),0))</f>
        <v>20.399999999999999</v>
      </c>
      <c r="M16" s="7" t="str">
        <f t="shared" si="6"/>
        <v>2025 Nationals</v>
      </c>
      <c r="N16" s="7">
        <f>IF(J16=AO16,IF(COUNT(AQ16,AS16,BO16,BQ16,BU16,BW16)&gt;1,LARGE((AQ16,AS16,BO16,BQ16,BU16,BW16),2),0),IF(COUNT(AK16,AM16,AQ16,AS16,BU16,BW16)&gt;1,LARGE((AK16,AM16,AQ16,AS16,BU16,BW16),2),0))</f>
        <v>18.100000000000001</v>
      </c>
      <c r="O16" s="7" t="str">
        <f t="shared" si="7"/>
        <v>2025 Nationals</v>
      </c>
      <c r="P16" s="7" t="str">
        <f t="shared" si="8"/>
        <v/>
      </c>
      <c r="Q16" s="10" t="str">
        <f t="shared" si="9"/>
        <v/>
      </c>
      <c r="R16" s="7" t="str">
        <f t="shared" si="10"/>
        <v/>
      </c>
      <c r="S16" s="39">
        <v>15.7</v>
      </c>
      <c r="T16" s="39">
        <v>2</v>
      </c>
      <c r="U16" s="39">
        <v>0</v>
      </c>
      <c r="V16" s="39">
        <v>0</v>
      </c>
      <c r="W16" s="39">
        <v>16.7</v>
      </c>
      <c r="X16" s="39">
        <v>4</v>
      </c>
      <c r="Y16" s="39">
        <v>0</v>
      </c>
      <c r="Z16" s="39">
        <v>0</v>
      </c>
      <c r="AA16" s="39">
        <v>16.2</v>
      </c>
      <c r="AB16" s="39">
        <v>4.2</v>
      </c>
      <c r="AC16" s="39">
        <v>0</v>
      </c>
      <c r="AD16" s="39">
        <v>0</v>
      </c>
      <c r="AE16" s="39">
        <v>14.3</v>
      </c>
      <c r="AF16" s="39">
        <v>4</v>
      </c>
      <c r="AG16" s="39">
        <v>0.2</v>
      </c>
      <c r="AH16" s="39">
        <v>0</v>
      </c>
      <c r="AI16" s="19"/>
      <c r="AJ16" s="42">
        <f t="shared" si="11"/>
        <v>2</v>
      </c>
      <c r="AK16" s="42">
        <f t="shared" si="12"/>
        <v>17.7</v>
      </c>
      <c r="AL16" s="42">
        <f t="shared" si="13"/>
        <v>4</v>
      </c>
      <c r="AM16" s="42">
        <f t="shared" si="14"/>
        <v>20.7</v>
      </c>
      <c r="AN16" s="27">
        <f t="shared" si="15"/>
        <v>6</v>
      </c>
      <c r="AO16" s="27">
        <f t="shared" si="16"/>
        <v>38.4</v>
      </c>
      <c r="AP16" s="27">
        <f t="shared" si="17"/>
        <v>4.2</v>
      </c>
      <c r="AQ16" s="27">
        <f t="shared" si="18"/>
        <v>20.399999999999999</v>
      </c>
      <c r="AR16" s="27">
        <f t="shared" si="19"/>
        <v>4</v>
      </c>
      <c r="AS16" s="27">
        <f t="shared" si="20"/>
        <v>18.100000000000001</v>
      </c>
      <c r="AT16" s="27">
        <f t="shared" si="21"/>
        <v>8.1999999999999993</v>
      </c>
      <c r="AU16" s="27">
        <f t="shared" si="22"/>
        <v>38.5</v>
      </c>
      <c r="AV16" s="27">
        <f t="shared" si="23"/>
        <v>76.900000000000006</v>
      </c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20"/>
      <c r="BN16" s="43" t="str">
        <f t="shared" si="24"/>
        <v/>
      </c>
      <c r="BO16" s="43" t="str">
        <f t="shared" si="25"/>
        <v/>
      </c>
      <c r="BP16" s="43" t="str">
        <f t="shared" si="26"/>
        <v/>
      </c>
      <c r="BQ16" s="43" t="str">
        <f t="shared" si="27"/>
        <v/>
      </c>
      <c r="BR16" s="10" t="str">
        <f t="shared" si="28"/>
        <v/>
      </c>
      <c r="BS16" s="10" t="str">
        <f t="shared" si="29"/>
        <v/>
      </c>
      <c r="BT16" s="10" t="str">
        <f t="shared" si="30"/>
        <v/>
      </c>
      <c r="BU16" s="10" t="str">
        <f t="shared" si="31"/>
        <v/>
      </c>
      <c r="BV16" s="10" t="str">
        <f t="shared" si="32"/>
        <v/>
      </c>
      <c r="BW16" s="10" t="str">
        <f t="shared" si="33"/>
        <v/>
      </c>
      <c r="BX16" s="10" t="str">
        <f t="shared" si="34"/>
        <v/>
      </c>
      <c r="BY16" s="10" t="str">
        <f t="shared" si="35"/>
        <v/>
      </c>
      <c r="BZ16" s="10" t="str">
        <f t="shared" si="36"/>
        <v/>
      </c>
      <c r="CA16" s="34" t="str">
        <f t="shared" si="37"/>
        <v/>
      </c>
      <c r="CB16" s="34" t="str">
        <f t="shared" si="38"/>
        <v/>
      </c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27" t="str">
        <f t="shared" si="39"/>
        <v/>
      </c>
      <c r="CX16" s="27" t="str">
        <f t="shared" si="40"/>
        <v/>
      </c>
      <c r="CY16" s="27" t="str">
        <f t="shared" si="41"/>
        <v/>
      </c>
      <c r="CZ16" s="27" t="str">
        <f t="shared" si="42"/>
        <v/>
      </c>
      <c r="DA16" s="27" t="str">
        <f t="shared" si="43"/>
        <v/>
      </c>
      <c r="DB16" s="27" t="str">
        <f t="shared" si="44"/>
        <v/>
      </c>
      <c r="DC16" s="27" t="str">
        <f t="shared" si="45"/>
        <v/>
      </c>
      <c r="DD16" s="27" t="str">
        <f t="shared" si="46"/>
        <v/>
      </c>
      <c r="DE16" s="27" t="str">
        <f t="shared" si="47"/>
        <v/>
      </c>
      <c r="DF16" s="27" t="str">
        <f t="shared" si="48"/>
        <v/>
      </c>
      <c r="DG16" s="27" t="str">
        <f t="shared" si="49"/>
        <v/>
      </c>
      <c r="DH16" s="27" t="str">
        <f t="shared" si="50"/>
        <v/>
      </c>
      <c r="DI16" s="27" t="str">
        <f t="shared" si="51"/>
        <v/>
      </c>
      <c r="DJ16" s="27" t="str">
        <f t="shared" si="52"/>
        <v/>
      </c>
      <c r="DK16" s="27" t="str">
        <f t="shared" si="53"/>
        <v/>
      </c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0" t="str">
        <f t="shared" si="54"/>
        <v/>
      </c>
      <c r="EG16" s="10" t="str">
        <f t="shared" si="55"/>
        <v/>
      </c>
      <c r="EH16" s="10" t="str">
        <f t="shared" si="56"/>
        <v/>
      </c>
      <c r="EI16" s="10" t="str">
        <f t="shared" si="57"/>
        <v/>
      </c>
      <c r="EJ16" s="10" t="str">
        <f t="shared" si="58"/>
        <v/>
      </c>
      <c r="EK16" s="10" t="str">
        <f t="shared" si="59"/>
        <v/>
      </c>
      <c r="EL16" s="10" t="str">
        <f t="shared" si="60"/>
        <v/>
      </c>
      <c r="EM16" s="10" t="str">
        <f t="shared" si="61"/>
        <v/>
      </c>
      <c r="EN16" s="10" t="str">
        <f t="shared" si="62"/>
        <v/>
      </c>
      <c r="EO16" s="10" t="str">
        <f t="shared" si="63"/>
        <v/>
      </c>
      <c r="EP16" s="10" t="str">
        <f t="shared" si="64"/>
        <v/>
      </c>
      <c r="EQ16" s="10" t="str">
        <f t="shared" si="65"/>
        <v/>
      </c>
      <c r="ER16" s="10" t="str">
        <f t="shared" si="66"/>
        <v/>
      </c>
      <c r="ES16" s="10" t="str">
        <f t="shared" si="67"/>
        <v/>
      </c>
      <c r="ET16" s="10" t="str">
        <f t="shared" si="68"/>
        <v/>
      </c>
      <c r="EU16" s="44">
        <f t="shared" si="69"/>
        <v>7.85</v>
      </c>
      <c r="EV16" s="44">
        <f t="shared" si="70"/>
        <v>1</v>
      </c>
      <c r="EW16" s="44">
        <f t="shared" si="71"/>
        <v>0</v>
      </c>
      <c r="EX16" s="44">
        <f t="shared" si="72"/>
        <v>0</v>
      </c>
      <c r="EY16" s="44">
        <f t="shared" si="73"/>
        <v>8.35</v>
      </c>
      <c r="EZ16" s="44">
        <f t="shared" si="74"/>
        <v>2</v>
      </c>
      <c r="FA16" s="44">
        <f t="shared" si="75"/>
        <v>0</v>
      </c>
      <c r="FB16" s="44">
        <f t="shared" si="76"/>
        <v>0</v>
      </c>
      <c r="FC16" s="44">
        <f t="shared" si="77"/>
        <v>8.1</v>
      </c>
      <c r="FD16" s="44">
        <f t="shared" si="78"/>
        <v>2.1</v>
      </c>
      <c r="FE16" s="44">
        <f t="shared" si="79"/>
        <v>0</v>
      </c>
      <c r="FF16" s="44">
        <f t="shared" si="80"/>
        <v>0</v>
      </c>
      <c r="FG16" s="44">
        <f t="shared" si="81"/>
        <v>7.15</v>
      </c>
      <c r="FH16" s="44">
        <f t="shared" si="82"/>
        <v>2</v>
      </c>
      <c r="FI16" s="44">
        <f t="shared" si="83"/>
        <v>0.1</v>
      </c>
      <c r="FJ16" s="44">
        <f t="shared" si="84"/>
        <v>0</v>
      </c>
      <c r="FK16" s="20" t="s">
        <v>29</v>
      </c>
      <c r="FL16" s="10">
        <f t="shared" si="85"/>
        <v>1</v>
      </c>
      <c r="FM16" s="10">
        <f t="shared" si="86"/>
        <v>8.85</v>
      </c>
      <c r="FN16" s="10">
        <f t="shared" si="87"/>
        <v>2</v>
      </c>
      <c r="FO16" s="10">
        <f t="shared" si="88"/>
        <v>10.35</v>
      </c>
      <c r="FP16" s="10">
        <f t="shared" si="89"/>
        <v>3</v>
      </c>
      <c r="FQ16" s="10">
        <f t="shared" si="90"/>
        <v>19.2</v>
      </c>
      <c r="FR16" s="10">
        <f t="shared" si="91"/>
        <v>2.1</v>
      </c>
      <c r="FS16" s="10">
        <f t="shared" si="92"/>
        <v>10.199999999999999</v>
      </c>
      <c r="FT16" s="10">
        <f t="shared" si="93"/>
        <v>2</v>
      </c>
      <c r="FU16" s="10">
        <f t="shared" si="94"/>
        <v>9.0500000000000007</v>
      </c>
      <c r="FV16" s="10">
        <f t="shared" si="95"/>
        <v>4.0999999999999996</v>
      </c>
      <c r="FW16" s="10">
        <f t="shared" si="96"/>
        <v>19.25</v>
      </c>
      <c r="FX16" s="10">
        <f t="shared" si="97"/>
        <v>38.450000000000003</v>
      </c>
    </row>
    <row r="17" spans="1:180" x14ac:dyDescent="0.2">
      <c r="A17" s="3" t="str" cm="1">
        <f t="array" ref="A17">IF(AND(H17&lt;&gt;"",H17&lt;&gt;"No DD",I17&lt;&gt;"P"),SUMPRODUCT((H$4:H$19&lt;&gt;"")*(H$4:H$19&lt;&gt;"No DD")*(I$4:I$19&lt;&gt;"P")*(E$4:E$19&gt;E17))+1,IF(H17="No DD",SUMPRODUCT((H$4:H$19="No DD")*(I$4:I$19&lt;&gt;"P")*(E$4:E$19&gt;E17))+1+SUMPRODUCT((H$4:H$19&lt;&gt;"")*(I$4:I$19&lt;&gt;"P")*(H$4:H$19&lt;&gt;"No DD")),""))</f>
        <v/>
      </c>
      <c r="B17" s="4" t="s">
        <v>117</v>
      </c>
      <c r="C17" s="3" t="s">
        <v>6</v>
      </c>
      <c r="D17" s="3">
        <v>2007</v>
      </c>
      <c r="E17" s="8">
        <f t="shared" si="0"/>
        <v>0</v>
      </c>
      <c r="F17" s="2" t="str">
        <f t="shared" si="1"/>
        <v/>
      </c>
      <c r="G17" s="2" t="str">
        <f t="shared" si="2"/>
        <v/>
      </c>
      <c r="H17" s="26" t="str">
        <f t="shared" si="3"/>
        <v/>
      </c>
      <c r="I17" s="2" t="str">
        <f>IF(COUNTIFS('Senior-M'!B:B,B17,'Senior-M'!A:A,"&lt;9",'Senior-M'!H:H,"&lt;&gt;"&amp;"No DD"),"P","")</f>
        <v/>
      </c>
      <c r="J17" s="7">
        <f t="shared" si="4"/>
        <v>0</v>
      </c>
      <c r="K17" s="7" t="str">
        <f t="shared" si="5"/>
        <v/>
      </c>
      <c r="L17" s="7">
        <f>IF(J17=AO17,IF(COUNT(AQ17,AS17,BO17,BQ17,BU17,BW17)&gt;1,LARGE((AQ17,AS17,BO17,BQ17,BU17,BW17),1),0),IF(COUNT(AK17,AM17,AQ17,AS17,BU17,BW17)&gt;1,LARGE((AK17,AM17,AQ17,AS17,BU17,BW17),1),0))</f>
        <v>0</v>
      </c>
      <c r="M17" s="7" t="str">
        <f t="shared" si="6"/>
        <v/>
      </c>
      <c r="N17" s="7">
        <f>IF(J17=AO17,IF(COUNT(AQ17,AS17,BO17,BQ17,BU17,BW17)&gt;1,LARGE((AQ17,AS17,BO17,BQ17,BU17,BW17),2),0),IF(COUNT(AK17,AM17,AQ17,AS17,BU17,BW17)&gt;1,LARGE((AK17,AM17,AQ17,AS17,BU17,BW17),2),0))</f>
        <v>0</v>
      </c>
      <c r="O17" s="7" t="str">
        <f t="shared" si="7"/>
        <v/>
      </c>
      <c r="P17" s="7" t="str">
        <f t="shared" si="8"/>
        <v/>
      </c>
      <c r="Q17" s="10" t="str">
        <f t="shared" si="9"/>
        <v/>
      </c>
      <c r="R17" s="7" t="str">
        <f t="shared" si="10"/>
        <v/>
      </c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19"/>
      <c r="AJ17" s="42" t="str">
        <f t="shared" si="11"/>
        <v/>
      </c>
      <c r="AK17" s="42" t="str">
        <f t="shared" si="12"/>
        <v/>
      </c>
      <c r="AL17" s="42" t="str">
        <f t="shared" si="13"/>
        <v/>
      </c>
      <c r="AM17" s="42" t="str">
        <f t="shared" si="14"/>
        <v/>
      </c>
      <c r="AN17" s="27" t="str">
        <f t="shared" si="15"/>
        <v/>
      </c>
      <c r="AO17" s="27" t="str">
        <f t="shared" si="16"/>
        <v/>
      </c>
      <c r="AP17" s="27" t="str">
        <f t="shared" si="17"/>
        <v/>
      </c>
      <c r="AQ17" s="27" t="str">
        <f t="shared" si="18"/>
        <v/>
      </c>
      <c r="AR17" s="27" t="str">
        <f t="shared" si="19"/>
        <v/>
      </c>
      <c r="AS17" s="27" t="str">
        <f t="shared" si="20"/>
        <v/>
      </c>
      <c r="AT17" s="27" t="str">
        <f t="shared" si="21"/>
        <v/>
      </c>
      <c r="AU17" s="27" t="str">
        <f t="shared" si="22"/>
        <v/>
      </c>
      <c r="AV17" s="27" t="str">
        <f t="shared" si="23"/>
        <v/>
      </c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20"/>
      <c r="BN17" s="43" t="str">
        <f t="shared" si="24"/>
        <v/>
      </c>
      <c r="BO17" s="43" t="str">
        <f t="shared" si="25"/>
        <v/>
      </c>
      <c r="BP17" s="43" t="str">
        <f t="shared" si="26"/>
        <v/>
      </c>
      <c r="BQ17" s="43" t="str">
        <f t="shared" si="27"/>
        <v/>
      </c>
      <c r="BR17" s="10" t="str">
        <f t="shared" si="28"/>
        <v/>
      </c>
      <c r="BS17" s="10" t="str">
        <f t="shared" si="29"/>
        <v/>
      </c>
      <c r="BT17" s="10" t="str">
        <f t="shared" si="30"/>
        <v/>
      </c>
      <c r="BU17" s="10" t="str">
        <f t="shared" si="31"/>
        <v/>
      </c>
      <c r="BV17" s="10" t="str">
        <f t="shared" si="32"/>
        <v/>
      </c>
      <c r="BW17" s="10" t="str">
        <f t="shared" si="33"/>
        <v/>
      </c>
      <c r="BX17" s="10" t="str">
        <f t="shared" si="34"/>
        <v/>
      </c>
      <c r="BY17" s="10" t="str">
        <f t="shared" si="35"/>
        <v/>
      </c>
      <c r="BZ17" s="10" t="str">
        <f t="shared" si="36"/>
        <v/>
      </c>
      <c r="CA17" s="34" t="str">
        <f t="shared" si="37"/>
        <v/>
      </c>
      <c r="CB17" s="34" t="str">
        <f t="shared" si="38"/>
        <v/>
      </c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27" t="str">
        <f t="shared" si="39"/>
        <v/>
      </c>
      <c r="CX17" s="27" t="str">
        <f t="shared" si="40"/>
        <v/>
      </c>
      <c r="CY17" s="27" t="str">
        <f t="shared" si="41"/>
        <v/>
      </c>
      <c r="CZ17" s="27" t="str">
        <f t="shared" si="42"/>
        <v/>
      </c>
      <c r="DA17" s="27" t="str">
        <f t="shared" si="43"/>
        <v/>
      </c>
      <c r="DB17" s="27" t="str">
        <f t="shared" si="44"/>
        <v/>
      </c>
      <c r="DC17" s="27" t="str">
        <f t="shared" si="45"/>
        <v/>
      </c>
      <c r="DD17" s="27" t="str">
        <f t="shared" si="46"/>
        <v/>
      </c>
      <c r="DE17" s="27" t="str">
        <f t="shared" si="47"/>
        <v/>
      </c>
      <c r="DF17" s="27" t="str">
        <f t="shared" si="48"/>
        <v/>
      </c>
      <c r="DG17" s="27" t="str">
        <f t="shared" si="49"/>
        <v/>
      </c>
      <c r="DH17" s="27" t="str">
        <f t="shared" si="50"/>
        <v/>
      </c>
      <c r="DI17" s="27" t="str">
        <f t="shared" si="51"/>
        <v/>
      </c>
      <c r="DJ17" s="27" t="str">
        <f t="shared" si="52"/>
        <v/>
      </c>
      <c r="DK17" s="27" t="str">
        <f t="shared" si="53"/>
        <v/>
      </c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0" t="str">
        <f t="shared" si="54"/>
        <v/>
      </c>
      <c r="EG17" s="10" t="str">
        <f t="shared" si="55"/>
        <v/>
      </c>
      <c r="EH17" s="10" t="str">
        <f t="shared" si="56"/>
        <v/>
      </c>
      <c r="EI17" s="10" t="str">
        <f t="shared" si="57"/>
        <v/>
      </c>
      <c r="EJ17" s="10" t="str">
        <f t="shared" si="58"/>
        <v/>
      </c>
      <c r="EK17" s="10" t="str">
        <f t="shared" si="59"/>
        <v/>
      </c>
      <c r="EL17" s="10" t="str">
        <f t="shared" si="60"/>
        <v/>
      </c>
      <c r="EM17" s="10" t="str">
        <f t="shared" si="61"/>
        <v/>
      </c>
      <c r="EN17" s="10" t="str">
        <f t="shared" si="62"/>
        <v/>
      </c>
      <c r="EO17" s="10" t="str">
        <f t="shared" si="63"/>
        <v/>
      </c>
      <c r="EP17" s="10" t="str">
        <f t="shared" si="64"/>
        <v/>
      </c>
      <c r="EQ17" s="10" t="str">
        <f t="shared" si="65"/>
        <v/>
      </c>
      <c r="ER17" s="10" t="str">
        <f t="shared" si="66"/>
        <v/>
      </c>
      <c r="ES17" s="10" t="str">
        <f t="shared" si="67"/>
        <v/>
      </c>
      <c r="ET17" s="10" t="str">
        <f t="shared" si="68"/>
        <v/>
      </c>
      <c r="EU17" s="44">
        <f t="shared" si="69"/>
        <v>0</v>
      </c>
      <c r="EV17" s="44">
        <f t="shared" si="70"/>
        <v>0</v>
      </c>
      <c r="EW17" s="44">
        <f t="shared" si="71"/>
        <v>0</v>
      </c>
      <c r="EX17" s="44">
        <f t="shared" si="72"/>
        <v>0</v>
      </c>
      <c r="EY17" s="44">
        <f t="shared" si="73"/>
        <v>0</v>
      </c>
      <c r="EZ17" s="44">
        <f t="shared" si="74"/>
        <v>0</v>
      </c>
      <c r="FA17" s="44">
        <f t="shared" si="75"/>
        <v>0</v>
      </c>
      <c r="FB17" s="44">
        <f t="shared" si="76"/>
        <v>0</v>
      </c>
      <c r="FC17" s="44">
        <f t="shared" si="77"/>
        <v>0</v>
      </c>
      <c r="FD17" s="44">
        <f t="shared" si="78"/>
        <v>0</v>
      </c>
      <c r="FE17" s="44">
        <f t="shared" si="79"/>
        <v>0</v>
      </c>
      <c r="FF17" s="44">
        <f t="shared" si="80"/>
        <v>0</v>
      </c>
      <c r="FG17" s="44">
        <f t="shared" si="81"/>
        <v>0</v>
      </c>
      <c r="FH17" s="44">
        <f t="shared" si="82"/>
        <v>0</v>
      </c>
      <c r="FI17" s="44">
        <f t="shared" si="83"/>
        <v>0</v>
      </c>
      <c r="FJ17" s="44">
        <f t="shared" si="84"/>
        <v>0</v>
      </c>
      <c r="FK17" s="20" t="s">
        <v>29</v>
      </c>
      <c r="FL17" s="10">
        <f t="shared" si="85"/>
        <v>0</v>
      </c>
      <c r="FM17" s="10">
        <f t="shared" si="86"/>
        <v>0</v>
      </c>
      <c r="FN17" s="10">
        <f t="shared" si="87"/>
        <v>0</v>
      </c>
      <c r="FO17" s="10">
        <f t="shared" si="88"/>
        <v>0</v>
      </c>
      <c r="FP17" s="10" t="str">
        <f t="shared" si="89"/>
        <v/>
      </c>
      <c r="FQ17" s="10" t="str">
        <f t="shared" si="90"/>
        <v/>
      </c>
      <c r="FR17" s="10">
        <f t="shared" si="91"/>
        <v>0</v>
      </c>
      <c r="FS17" s="10">
        <f t="shared" si="92"/>
        <v>0</v>
      </c>
      <c r="FT17" s="10">
        <f t="shared" si="93"/>
        <v>0</v>
      </c>
      <c r="FU17" s="10">
        <f t="shared" si="94"/>
        <v>0</v>
      </c>
      <c r="FV17" s="10" t="str">
        <f t="shared" si="95"/>
        <v/>
      </c>
      <c r="FW17" s="10" t="str">
        <f t="shared" si="96"/>
        <v/>
      </c>
      <c r="FX17" s="10" t="str">
        <f t="shared" si="97"/>
        <v/>
      </c>
    </row>
    <row r="18" spans="1:180" x14ac:dyDescent="0.2">
      <c r="A18" s="3" t="str" cm="1">
        <f t="array" ref="A18">IF(AND(H18&lt;&gt;"",H18&lt;&gt;"No DD",I18&lt;&gt;"P"),SUMPRODUCT((H$4:H$19&lt;&gt;"")*(H$4:H$19&lt;&gt;"No DD")*(I$4:I$19&lt;&gt;"P")*(E$4:E$19&gt;E18))+1,IF(H18="No DD",SUMPRODUCT((H$4:H$19="No DD")*(I$4:I$19&lt;&gt;"P")*(E$4:E$19&gt;E18))+1+SUMPRODUCT((H$4:H$19&lt;&gt;"")*(I$4:I$19&lt;&gt;"P")*(H$4:H$19&lt;&gt;"No DD")),""))</f>
        <v/>
      </c>
      <c r="B18" s="4" t="s">
        <v>104</v>
      </c>
      <c r="C18" s="3" t="s">
        <v>3</v>
      </c>
      <c r="D18" s="3">
        <v>2008</v>
      </c>
      <c r="E18" s="8">
        <f t="shared" si="0"/>
        <v>0</v>
      </c>
      <c r="F18" s="2" t="str">
        <f t="shared" si="1"/>
        <v/>
      </c>
      <c r="G18" s="2" t="str">
        <f t="shared" si="2"/>
        <v/>
      </c>
      <c r="H18" s="26" t="str">
        <f t="shared" si="3"/>
        <v/>
      </c>
      <c r="I18" s="2" t="str">
        <f>IF(COUNTIFS('Senior-M'!B:B,B18,'Senior-M'!A:A,"&lt;9",'Senior-M'!H:H,"&lt;&gt;"&amp;"No DD"),"P","")</f>
        <v/>
      </c>
      <c r="J18" s="7">
        <f t="shared" si="4"/>
        <v>0</v>
      </c>
      <c r="K18" s="7" t="str">
        <f t="shared" si="5"/>
        <v/>
      </c>
      <c r="L18" s="7">
        <f>IF(J18=AO18,IF(COUNT(AQ18,AS18,BO18,BQ18,BU18,BW18)&gt;1,LARGE((AQ18,AS18,BO18,BQ18,BU18,BW18),1),0),IF(COUNT(AK18,AM18,AQ18,AS18,BU18,BW18)&gt;1,LARGE((AK18,AM18,AQ18,AS18,BU18,BW18),1),0))</f>
        <v>0</v>
      </c>
      <c r="M18" s="7" t="str">
        <f t="shared" si="6"/>
        <v/>
      </c>
      <c r="N18" s="7">
        <f>IF(J18=AO18,IF(COUNT(AQ18,AS18,BO18,BQ18,BU18,BW18)&gt;1,LARGE((AQ18,AS18,BO18,BQ18,BU18,BW18),2),0),IF(COUNT(AK18,AM18,AQ18,AS18,BU18,BW18)&gt;1,LARGE((AK18,AM18,AQ18,AS18,BU18,BW18),2),0))</f>
        <v>0</v>
      </c>
      <c r="O18" s="7" t="str">
        <f t="shared" si="7"/>
        <v/>
      </c>
      <c r="P18" s="7" t="str">
        <f t="shared" si="8"/>
        <v/>
      </c>
      <c r="Q18" s="10" t="str">
        <f t="shared" si="9"/>
        <v/>
      </c>
      <c r="R18" s="7" t="str">
        <f t="shared" si="10"/>
        <v/>
      </c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19"/>
      <c r="AJ18" s="42" t="str">
        <f t="shared" si="11"/>
        <v/>
      </c>
      <c r="AK18" s="42" t="str">
        <f t="shared" si="12"/>
        <v/>
      </c>
      <c r="AL18" s="42" t="str">
        <f t="shared" si="13"/>
        <v/>
      </c>
      <c r="AM18" s="42" t="str">
        <f t="shared" si="14"/>
        <v/>
      </c>
      <c r="AN18" s="27" t="str">
        <f t="shared" si="15"/>
        <v/>
      </c>
      <c r="AO18" s="27" t="str">
        <f t="shared" si="16"/>
        <v/>
      </c>
      <c r="AP18" s="27" t="str">
        <f t="shared" si="17"/>
        <v/>
      </c>
      <c r="AQ18" s="27" t="str">
        <f t="shared" si="18"/>
        <v/>
      </c>
      <c r="AR18" s="27" t="str">
        <f t="shared" si="19"/>
        <v/>
      </c>
      <c r="AS18" s="27" t="str">
        <f t="shared" si="20"/>
        <v/>
      </c>
      <c r="AT18" s="27" t="str">
        <f t="shared" si="21"/>
        <v/>
      </c>
      <c r="AU18" s="27" t="str">
        <f t="shared" si="22"/>
        <v/>
      </c>
      <c r="AV18" s="27" t="str">
        <f t="shared" si="23"/>
        <v/>
      </c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20"/>
      <c r="BN18" s="43" t="str">
        <f t="shared" si="24"/>
        <v/>
      </c>
      <c r="BO18" s="43" t="str">
        <f t="shared" si="25"/>
        <v/>
      </c>
      <c r="BP18" s="43" t="str">
        <f t="shared" si="26"/>
        <v/>
      </c>
      <c r="BQ18" s="43" t="str">
        <f t="shared" si="27"/>
        <v/>
      </c>
      <c r="BR18" s="10" t="str">
        <f t="shared" si="28"/>
        <v/>
      </c>
      <c r="BS18" s="10" t="str">
        <f t="shared" si="29"/>
        <v/>
      </c>
      <c r="BT18" s="10" t="str">
        <f t="shared" si="30"/>
        <v/>
      </c>
      <c r="BU18" s="10" t="str">
        <f t="shared" si="31"/>
        <v/>
      </c>
      <c r="BV18" s="10" t="str">
        <f t="shared" si="32"/>
        <v/>
      </c>
      <c r="BW18" s="10" t="str">
        <f t="shared" si="33"/>
        <v/>
      </c>
      <c r="BX18" s="10" t="str">
        <f t="shared" si="34"/>
        <v/>
      </c>
      <c r="BY18" s="10" t="str">
        <f t="shared" si="35"/>
        <v/>
      </c>
      <c r="BZ18" s="10" t="str">
        <f t="shared" si="36"/>
        <v/>
      </c>
      <c r="CA18" s="34" t="str">
        <f t="shared" si="37"/>
        <v/>
      </c>
      <c r="CB18" s="34" t="str">
        <f t="shared" si="38"/>
        <v/>
      </c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27" t="str">
        <f t="shared" si="39"/>
        <v/>
      </c>
      <c r="CX18" s="27" t="str">
        <f t="shared" si="40"/>
        <v/>
      </c>
      <c r="CY18" s="27" t="str">
        <f t="shared" si="41"/>
        <v/>
      </c>
      <c r="CZ18" s="27" t="str">
        <f t="shared" si="42"/>
        <v/>
      </c>
      <c r="DA18" s="27" t="str">
        <f t="shared" si="43"/>
        <v/>
      </c>
      <c r="DB18" s="27" t="str">
        <f t="shared" si="44"/>
        <v/>
      </c>
      <c r="DC18" s="27" t="str">
        <f t="shared" si="45"/>
        <v/>
      </c>
      <c r="DD18" s="27" t="str">
        <f t="shared" si="46"/>
        <v/>
      </c>
      <c r="DE18" s="27" t="str">
        <f t="shared" si="47"/>
        <v/>
      </c>
      <c r="DF18" s="27" t="str">
        <f t="shared" si="48"/>
        <v/>
      </c>
      <c r="DG18" s="27" t="str">
        <f t="shared" si="49"/>
        <v/>
      </c>
      <c r="DH18" s="27" t="str">
        <f t="shared" si="50"/>
        <v/>
      </c>
      <c r="DI18" s="27" t="str">
        <f t="shared" si="51"/>
        <v/>
      </c>
      <c r="DJ18" s="27" t="str">
        <f t="shared" si="52"/>
        <v/>
      </c>
      <c r="DK18" s="27" t="str">
        <f t="shared" si="53"/>
        <v/>
      </c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0" t="str">
        <f t="shared" si="54"/>
        <v/>
      </c>
      <c r="EG18" s="10" t="str">
        <f t="shared" si="55"/>
        <v/>
      </c>
      <c r="EH18" s="10" t="str">
        <f t="shared" si="56"/>
        <v/>
      </c>
      <c r="EI18" s="10" t="str">
        <f t="shared" si="57"/>
        <v/>
      </c>
      <c r="EJ18" s="10" t="str">
        <f t="shared" si="58"/>
        <v/>
      </c>
      <c r="EK18" s="10" t="str">
        <f t="shared" si="59"/>
        <v/>
      </c>
      <c r="EL18" s="10" t="str">
        <f t="shared" si="60"/>
        <v/>
      </c>
      <c r="EM18" s="10" t="str">
        <f t="shared" si="61"/>
        <v/>
      </c>
      <c r="EN18" s="10" t="str">
        <f t="shared" si="62"/>
        <v/>
      </c>
      <c r="EO18" s="10" t="str">
        <f t="shared" si="63"/>
        <v/>
      </c>
      <c r="EP18" s="10" t="str">
        <f t="shared" si="64"/>
        <v/>
      </c>
      <c r="EQ18" s="10" t="str">
        <f t="shared" si="65"/>
        <v/>
      </c>
      <c r="ER18" s="10" t="str">
        <f t="shared" si="66"/>
        <v/>
      </c>
      <c r="ES18" s="10" t="str">
        <f t="shared" si="67"/>
        <v/>
      </c>
      <c r="ET18" s="10" t="str">
        <f t="shared" si="68"/>
        <v/>
      </c>
      <c r="EU18" s="44">
        <f t="shared" si="69"/>
        <v>0</v>
      </c>
      <c r="EV18" s="44">
        <f t="shared" si="70"/>
        <v>0</v>
      </c>
      <c r="EW18" s="44">
        <f t="shared" si="71"/>
        <v>0</v>
      </c>
      <c r="EX18" s="44">
        <f t="shared" si="72"/>
        <v>0</v>
      </c>
      <c r="EY18" s="44">
        <f t="shared" si="73"/>
        <v>0</v>
      </c>
      <c r="EZ18" s="44">
        <f t="shared" si="74"/>
        <v>0</v>
      </c>
      <c r="FA18" s="44">
        <f t="shared" si="75"/>
        <v>0</v>
      </c>
      <c r="FB18" s="44">
        <f t="shared" si="76"/>
        <v>0</v>
      </c>
      <c r="FC18" s="44">
        <f t="shared" si="77"/>
        <v>0</v>
      </c>
      <c r="FD18" s="44">
        <f t="shared" si="78"/>
        <v>0</v>
      </c>
      <c r="FE18" s="44">
        <f t="shared" si="79"/>
        <v>0</v>
      </c>
      <c r="FF18" s="44">
        <f t="shared" si="80"/>
        <v>0</v>
      </c>
      <c r="FG18" s="44">
        <f t="shared" si="81"/>
        <v>0</v>
      </c>
      <c r="FH18" s="44">
        <f t="shared" si="82"/>
        <v>0</v>
      </c>
      <c r="FI18" s="44">
        <f t="shared" si="83"/>
        <v>0</v>
      </c>
      <c r="FJ18" s="44">
        <f t="shared" si="84"/>
        <v>0</v>
      </c>
      <c r="FK18" s="20" t="s">
        <v>29</v>
      </c>
      <c r="FL18" s="10">
        <f t="shared" si="85"/>
        <v>0</v>
      </c>
      <c r="FM18" s="10">
        <f t="shared" si="86"/>
        <v>0</v>
      </c>
      <c r="FN18" s="10">
        <f t="shared" si="87"/>
        <v>0</v>
      </c>
      <c r="FO18" s="10">
        <f t="shared" si="88"/>
        <v>0</v>
      </c>
      <c r="FP18" s="10" t="str">
        <f t="shared" si="89"/>
        <v/>
      </c>
      <c r="FQ18" s="10" t="str">
        <f t="shared" si="90"/>
        <v/>
      </c>
      <c r="FR18" s="10">
        <f t="shared" si="91"/>
        <v>0</v>
      </c>
      <c r="FS18" s="10">
        <f t="shared" si="92"/>
        <v>0</v>
      </c>
      <c r="FT18" s="10">
        <f t="shared" si="93"/>
        <v>0</v>
      </c>
      <c r="FU18" s="10">
        <f t="shared" si="94"/>
        <v>0</v>
      </c>
      <c r="FV18" s="10" t="str">
        <f t="shared" si="95"/>
        <v/>
      </c>
      <c r="FW18" s="10" t="str">
        <f t="shared" si="96"/>
        <v/>
      </c>
      <c r="FX18" s="10" t="str">
        <f t="shared" si="97"/>
        <v/>
      </c>
    </row>
    <row r="19" spans="1:180" ht="17" x14ac:dyDescent="0.2">
      <c r="P19" s="9"/>
      <c r="Q19" s="9"/>
      <c r="R19" s="9"/>
    </row>
    <row r="20" spans="1:180" ht="17" x14ac:dyDescent="0.2">
      <c r="P20" s="9"/>
      <c r="Q20" s="9"/>
      <c r="R20" s="9"/>
    </row>
    <row r="21" spans="1:180" ht="17" x14ac:dyDescent="0.2">
      <c r="B21" s="17" t="s">
        <v>27</v>
      </c>
      <c r="P21" s="9"/>
      <c r="Q21" s="9"/>
      <c r="R21" s="9"/>
      <c r="AV21" s="28">
        <v>10.4</v>
      </c>
      <c r="BZ21" s="28">
        <v>10.4</v>
      </c>
      <c r="CW21" s="3"/>
      <c r="CX21" s="3"/>
      <c r="CY21" s="3"/>
      <c r="CZ21" s="3"/>
      <c r="DA21" s="3"/>
      <c r="DK21" s="28">
        <v>10.4</v>
      </c>
      <c r="EF21" s="3"/>
      <c r="EG21" s="3"/>
      <c r="EH21" s="3"/>
      <c r="EI21" s="3"/>
      <c r="EJ21" s="3"/>
      <c r="EK21" s="3"/>
      <c r="EL21" s="3"/>
      <c r="ET21" s="28">
        <v>10.4</v>
      </c>
    </row>
    <row r="22" spans="1:180" ht="17" hidden="1" x14ac:dyDescent="0.2">
      <c r="B22" s="22" t="s">
        <v>26</v>
      </c>
      <c r="P22" s="9"/>
      <c r="Q22" s="9"/>
      <c r="R22" s="9"/>
      <c r="AV22" s="40">
        <v>1000</v>
      </c>
      <c r="BZ22" s="40">
        <v>1000</v>
      </c>
      <c r="CW22" s="3"/>
      <c r="CX22" s="3"/>
      <c r="CY22" s="3"/>
      <c r="CZ22" s="3"/>
      <c r="DA22" s="3"/>
      <c r="DK22" s="40">
        <v>1000</v>
      </c>
      <c r="EF22" s="3"/>
      <c r="EG22" s="3"/>
      <c r="EH22" s="3"/>
      <c r="EI22" s="3"/>
      <c r="EJ22" s="3"/>
      <c r="EK22" s="3"/>
      <c r="EL22" s="3"/>
      <c r="ET22" s="40">
        <v>1000</v>
      </c>
    </row>
    <row r="23" spans="1:180" ht="17" hidden="1" x14ac:dyDescent="0.2">
      <c r="A23" s="4"/>
      <c r="B23" s="23" t="s">
        <v>94</v>
      </c>
      <c r="C23" s="16"/>
      <c r="P23" s="9"/>
      <c r="Q23" s="9"/>
      <c r="R23" s="9"/>
      <c r="AV23" s="29">
        <v>1000</v>
      </c>
      <c r="BZ23" s="29">
        <v>1000</v>
      </c>
      <c r="CW23" s="3"/>
      <c r="CX23" s="3"/>
      <c r="CY23" s="3"/>
      <c r="CZ23" s="3"/>
      <c r="DA23" s="3"/>
      <c r="DK23" s="29">
        <v>1000</v>
      </c>
      <c r="EF23" s="3"/>
      <c r="EG23" s="3"/>
      <c r="EH23" s="3"/>
      <c r="EI23" s="3"/>
      <c r="EJ23" s="3"/>
      <c r="EK23" s="3"/>
      <c r="EL23" s="3"/>
      <c r="ET23" s="29">
        <v>1000</v>
      </c>
    </row>
    <row r="24" spans="1:180" ht="17" x14ac:dyDescent="0.2">
      <c r="A24" s="4"/>
      <c r="B24" s="25" t="s">
        <v>24</v>
      </c>
      <c r="C24" s="16"/>
      <c r="P24" s="9"/>
      <c r="Q24" s="9"/>
      <c r="R24" s="9"/>
      <c r="AV24" s="30">
        <v>44.8</v>
      </c>
      <c r="BZ24" s="30">
        <v>44.8</v>
      </c>
      <c r="CW24" s="3"/>
      <c r="CX24" s="3"/>
      <c r="CY24" s="3"/>
      <c r="CZ24" s="3"/>
      <c r="DA24" s="3"/>
      <c r="DK24" s="30">
        <v>44.8</v>
      </c>
      <c r="EF24" s="3"/>
      <c r="EG24" s="3"/>
      <c r="EH24" s="3"/>
      <c r="EI24" s="3"/>
      <c r="EJ24" s="3"/>
      <c r="EK24" s="3"/>
      <c r="EL24" s="3"/>
      <c r="ET24" s="30">
        <v>44.8</v>
      </c>
    </row>
    <row r="25" spans="1:180" ht="17" hidden="1" x14ac:dyDescent="0.2">
      <c r="A25" s="4"/>
      <c r="B25" s="18" t="s">
        <v>25</v>
      </c>
      <c r="C25" s="16"/>
      <c r="P25" s="9"/>
      <c r="Q25" s="9"/>
      <c r="R25" s="9"/>
      <c r="AV25" s="31">
        <v>1000</v>
      </c>
      <c r="BZ25" s="31">
        <v>1000</v>
      </c>
      <c r="CW25" s="3"/>
      <c r="CX25" s="3"/>
      <c r="CY25" s="3"/>
      <c r="CZ25" s="3"/>
      <c r="DA25" s="3"/>
      <c r="DK25" s="31">
        <v>1000</v>
      </c>
      <c r="EF25" s="3"/>
      <c r="EG25" s="3"/>
      <c r="EH25" s="3"/>
      <c r="EI25" s="3"/>
      <c r="EJ25" s="3"/>
      <c r="EK25" s="3"/>
      <c r="EL25" s="3"/>
      <c r="ET25" s="31">
        <v>1000</v>
      </c>
    </row>
    <row r="26" spans="1:180" ht="17" hidden="1" x14ac:dyDescent="0.2">
      <c r="A26" s="4"/>
      <c r="B26" s="24" t="s">
        <v>93</v>
      </c>
      <c r="C26" s="16"/>
      <c r="P26" s="9"/>
      <c r="Q26" s="9"/>
      <c r="R26" s="9"/>
      <c r="AV26" s="32">
        <v>1000</v>
      </c>
      <c r="BZ26" s="32">
        <v>1000</v>
      </c>
      <c r="CW26" s="3"/>
      <c r="CX26" s="3"/>
      <c r="CY26" s="3"/>
      <c r="CZ26" s="3"/>
      <c r="DA26" s="3"/>
      <c r="DK26" s="32">
        <v>1000</v>
      </c>
      <c r="EF26" s="3"/>
      <c r="EG26" s="3"/>
      <c r="EH26" s="3"/>
      <c r="EI26" s="3"/>
      <c r="EJ26" s="3"/>
      <c r="EK26" s="3"/>
      <c r="EL26" s="3"/>
      <c r="ET26" s="32">
        <v>1000</v>
      </c>
    </row>
    <row r="27" spans="1:180" x14ac:dyDescent="0.2">
      <c r="B27" s="21" t="s">
        <v>30</v>
      </c>
      <c r="C27" s="1"/>
    </row>
    <row r="28" spans="1:180" x14ac:dyDescent="0.2">
      <c r="A28" s="4"/>
      <c r="B28" s="4"/>
      <c r="C28" s="16"/>
    </row>
    <row r="29" spans="1:180" x14ac:dyDescent="0.2">
      <c r="A29" s="4"/>
      <c r="B29" s="4"/>
      <c r="C29" s="16"/>
    </row>
    <row r="30" spans="1:180" x14ac:dyDescent="0.2">
      <c r="A30" s="4"/>
      <c r="B30" s="4"/>
      <c r="C30" s="16"/>
    </row>
    <row r="31" spans="1:180" x14ac:dyDescent="0.2">
      <c r="A31" s="4"/>
      <c r="B31" s="4"/>
      <c r="C31" s="4"/>
    </row>
    <row r="34" spans="2:2" x14ac:dyDescent="0.2">
      <c r="B34" s="41"/>
    </row>
  </sheetData>
  <sheetProtection sheet="1" formatCells="0" formatColumns="0" formatRows="0"/>
  <autoFilter ref="A1:FX3" xr:uid="{4C1959D3-23FC-5449-AFC3-E6652BF290CD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sortState xmlns:xlrd2="http://schemas.microsoft.com/office/spreadsheetml/2017/richdata2" ref="A6:FX18">
      <sortCondition descending="1" ref="E1:E18"/>
    </sortState>
  </autoFilter>
  <mergeCells count="46">
    <mergeCell ref="FC2:FF2"/>
    <mergeCell ref="FG2:FJ2"/>
    <mergeCell ref="CS2:CV2"/>
    <mergeCell ref="DL2:DO2"/>
    <mergeCell ref="DP2:DS2"/>
    <mergeCell ref="DT2:DW2"/>
    <mergeCell ref="DX2:EA2"/>
    <mergeCell ref="EB2:EE2"/>
    <mergeCell ref="CC2:CF2"/>
    <mergeCell ref="CG2:CJ2"/>
    <mergeCell ref="CK2:CN2"/>
    <mergeCell ref="EU2:EX2"/>
    <mergeCell ref="EY2:FB2"/>
    <mergeCell ref="AE2:AH2"/>
    <mergeCell ref="AW2:AZ2"/>
    <mergeCell ref="BA2:BD2"/>
    <mergeCell ref="BE2:BH2"/>
    <mergeCell ref="BI2:BL2"/>
    <mergeCell ref="EU1:FP1"/>
    <mergeCell ref="M1:M3"/>
    <mergeCell ref="N1:N3"/>
    <mergeCell ref="O1:O3"/>
    <mergeCell ref="P1:P3"/>
    <mergeCell ref="Q1:Q3"/>
    <mergeCell ref="R1:R3"/>
    <mergeCell ref="S1:AV1"/>
    <mergeCell ref="AW1:BZ1"/>
    <mergeCell ref="CA1:CB1"/>
    <mergeCell ref="CC1:DK1"/>
    <mergeCell ref="DL1:ET1"/>
    <mergeCell ref="CO2:CR2"/>
    <mergeCell ref="S2:V2"/>
    <mergeCell ref="W2:Z2"/>
    <mergeCell ref="AA2:AD2"/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</mergeCells>
  <conditionalFormatting sqref="A4:A1048576">
    <cfRule type="expression" dxfId="171" priority="44">
      <formula>IF(A4&gt;6,1,0)</formula>
    </cfRule>
    <cfRule type="expression" dxfId="170" priority="45" stopIfTrue="1">
      <formula>AND(G4="P",F4="")</formula>
    </cfRule>
  </conditionalFormatting>
  <conditionalFormatting sqref="H1:H1048576">
    <cfRule type="containsText" dxfId="169" priority="40" stopIfTrue="1" operator="containsText" text="National Team">
      <formula>NOT(ISERROR(SEARCH("National Team",H1)))</formula>
    </cfRule>
    <cfRule type="containsText" dxfId="168" priority="41" stopIfTrue="1" operator="containsText" text="Worlds Team">
      <formula>NOT(ISERROR(SEARCH("Worlds Team",H1)))</formula>
    </cfRule>
    <cfRule type="containsText" dxfId="167" priority="42" operator="containsText" text="Performance">
      <formula>NOT(ISERROR(SEARCH("Performance",H1)))</formula>
    </cfRule>
    <cfRule type="containsText" dxfId="166" priority="43" stopIfTrue="1" operator="containsText" text="No DD">
      <formula>NOT(ISERROR(SEARCH("No DD",H1)))</formula>
    </cfRule>
  </conditionalFormatting>
  <conditionalFormatting sqref="S4:AV18">
    <cfRule type="expression" dxfId="165" priority="39" stopIfTrue="1">
      <formula>IF($AI4&lt;&gt;"",1,0)</formula>
    </cfRule>
  </conditionalFormatting>
  <conditionalFormatting sqref="AW4:BZ18">
    <cfRule type="expression" dxfId="164" priority="38" stopIfTrue="1">
      <formula>IF($BM4&lt;&gt;"",1,0)</formula>
    </cfRule>
  </conditionalFormatting>
  <conditionalFormatting sqref="M1:M1048576 O1:O1048576 K1:K1048576">
    <cfRule type="expression" dxfId="163" priority="36" stopIfTrue="1">
      <formula>IF(K1=$AW$1,1,0)</formula>
    </cfRule>
    <cfRule type="expression" dxfId="162" priority="37" stopIfTrue="1">
      <formula>IF(K1=$S$1,1,0)</formula>
    </cfRule>
  </conditionalFormatting>
  <conditionalFormatting sqref="AJ1:AJ1048576 BN1:BN1048576 EH1:EH1048576 CY1:CY1048576">
    <cfRule type="cellIs" dxfId="161" priority="177753" stopIfTrue="1" operator="between">
      <formula>AV$23-0.00001</formula>
      <formula>1000</formula>
    </cfRule>
  </conditionalFormatting>
  <conditionalFormatting sqref="AN1:AN1048576 BR1:BR1048576">
    <cfRule type="cellIs" dxfId="160" priority="177765" operator="between">
      <formula>AV$21-0.00001</formula>
      <formula>AV$22-0.00001</formula>
    </cfRule>
    <cfRule type="cellIs" dxfId="159" priority="177766" operator="between">
      <formula>AV$22-0.00001</formula>
      <formula>1000</formula>
    </cfRule>
  </conditionalFormatting>
  <conditionalFormatting sqref="AT1:AT1048576 BX1:BX1048576">
    <cfRule type="cellIs" dxfId="158" priority="177777" operator="between">
      <formula>AV$22-0.00001</formula>
      <formula>1000</formula>
    </cfRule>
    <cfRule type="cellIs" dxfId="157" priority="177778" stopIfTrue="1" operator="between">
      <formula>AV$21-0.00001</formula>
      <formula>AV$22-0.00001</formula>
    </cfRule>
  </conditionalFormatting>
  <conditionalFormatting sqref="AL1:AL1048576 BP1:BP1048576">
    <cfRule type="cellIs" dxfId="156" priority="177789" operator="between">
      <formula>AV$23-0.00001</formula>
      <formula>1000</formula>
    </cfRule>
  </conditionalFormatting>
  <conditionalFormatting sqref="AP1:AP1048576 BT1:BT1048576 EN1:EN1048576 DE1:DE1048576">
    <cfRule type="cellIs" dxfId="155" priority="177795" operator="between">
      <formula>AV$23-0.00001</formula>
      <formula>1000</formula>
    </cfRule>
  </conditionalFormatting>
  <conditionalFormatting sqref="AR1:AR1048576 BV1:BV1048576">
    <cfRule type="cellIs" dxfId="154" priority="177807" operator="between">
      <formula>AV$23-0.00001</formula>
      <formula>1000</formula>
    </cfRule>
  </conditionalFormatting>
  <conditionalFormatting sqref="AK1:AK1048576 BO1:BO1048576">
    <cfRule type="cellIs" dxfId="153" priority="177813" operator="between">
      <formula>AV$26-0.00001</formula>
      <formula>1000</formula>
    </cfRule>
  </conditionalFormatting>
  <conditionalFormatting sqref="AO1:AO1048576 BS1:BS1048576">
    <cfRule type="cellIs" dxfId="152" priority="177819" operator="between">
      <formula>AV$24-0.00001</formula>
      <formula>AV$25-0.00001</formula>
    </cfRule>
    <cfRule type="cellIs" dxfId="151" priority="177820" operator="between">
      <formula>AV$25-0.00001</formula>
      <formula>1000</formula>
    </cfRule>
  </conditionalFormatting>
  <conditionalFormatting sqref="AU1:AU1048576 BY1:BY1048576">
    <cfRule type="cellIs" dxfId="150" priority="177831" stopIfTrue="1" operator="between">
      <formula>AV$25-0.00001</formula>
      <formula>1000</formula>
    </cfRule>
    <cfRule type="cellIs" dxfId="149" priority="177832" operator="between">
      <formula>AV$24-0.00001</formula>
      <formula>AV$25-0.00001</formula>
    </cfRule>
  </conditionalFormatting>
  <conditionalFormatting sqref="AM1:AM1048576 BQ1:BQ1048576">
    <cfRule type="cellIs" dxfId="148" priority="177843" stopIfTrue="1" operator="between">
      <formula>AV$26-0.00001</formula>
      <formula>1000</formula>
    </cfRule>
    <cfRule type="cellIs" dxfId="147" priority="177844" operator="between">
      <formula>AT$26-0.00001</formula>
      <formula>#REF!-0.00001</formula>
    </cfRule>
  </conditionalFormatting>
  <conditionalFormatting sqref="AQ1:AQ1048576 BU1:BU1048576">
    <cfRule type="cellIs" dxfId="146" priority="177855" stopIfTrue="1" operator="between">
      <formula>AV$26-0.00001</formula>
      <formula>1000</formula>
    </cfRule>
  </conditionalFormatting>
  <conditionalFormatting sqref="AS1:AS1048576 BW1:BW1048576">
    <cfRule type="cellIs" dxfId="145" priority="177861" stopIfTrue="1" operator="between">
      <formula>AV$26-0.00001</formula>
      <formula>1000</formula>
    </cfRule>
  </conditionalFormatting>
  <conditionalFormatting sqref="CW1:CW1048576 EF1:EF1048576">
    <cfRule type="cellIs" dxfId="144" priority="177867" operator="between">
      <formula>DK$23-0.00001</formula>
      <formula>1000</formula>
    </cfRule>
  </conditionalFormatting>
  <conditionalFormatting sqref="CX1:CX1048576 EG1:EG1048576">
    <cfRule type="cellIs" dxfId="143" priority="177873" operator="between">
      <formula>DK$26-0.00001</formula>
      <formula>1000</formula>
    </cfRule>
  </conditionalFormatting>
  <conditionalFormatting sqref="DA1:DA1048576 EJ1:EJ1048576">
    <cfRule type="cellIs" dxfId="142" priority="177879" stopIfTrue="1" operator="between">
      <formula>DK$21-0.00001</formula>
      <formula>DK$22-0.00001</formula>
    </cfRule>
    <cfRule type="cellIs" dxfId="141" priority="177880" operator="between">
      <formula>DK$22-0.00001</formula>
      <formula>1000</formula>
    </cfRule>
  </conditionalFormatting>
  <conditionalFormatting sqref="DB1:DB1048576 EK1:EK1048576">
    <cfRule type="cellIs" dxfId="140" priority="177891" operator="between">
      <formula>DK$24-0.00001</formula>
      <formula>DK$25-0.00001</formula>
    </cfRule>
    <cfRule type="cellIs" dxfId="139" priority="177892" stopIfTrue="1" operator="between">
      <formula>DK$25-0.00001</formula>
      <formula>1000</formula>
    </cfRule>
  </conditionalFormatting>
  <conditionalFormatting sqref="DC1:DC1048576 EL1:EL1048576">
    <cfRule type="cellIs" dxfId="138" priority="177903" operator="between">
      <formula>DK$23-0.00001</formula>
      <formula>1000</formula>
    </cfRule>
  </conditionalFormatting>
  <conditionalFormatting sqref="DG1:DG1048576 EP1:EP1048576">
    <cfRule type="cellIs" dxfId="137" priority="177909" stopIfTrue="1" operator="between">
      <formula>DK$23-0.00001</formula>
      <formula>1000</formula>
    </cfRule>
  </conditionalFormatting>
  <conditionalFormatting sqref="CZ1:CZ1048576 EI1:EI1048576">
    <cfRule type="cellIs" dxfId="136" priority="177915" stopIfTrue="1" operator="between">
      <formula>DK$26-0.00001</formula>
      <formula>1000</formula>
    </cfRule>
  </conditionalFormatting>
  <conditionalFormatting sqref="DD1:DD1048576 EM1:EM1048576">
    <cfRule type="cellIs" dxfId="135" priority="177921" operator="between">
      <formula>DK$26-0.00001</formula>
      <formula>1000</formula>
    </cfRule>
  </conditionalFormatting>
  <conditionalFormatting sqref="DF1:DF1048576 EO1:EO1048576">
    <cfRule type="cellIs" dxfId="134" priority="177927" operator="between">
      <formula>DK$26-0.00001</formula>
      <formula>1000</formula>
    </cfRule>
  </conditionalFormatting>
  <conditionalFormatting sqref="DH1:DH1048576 EQ1:EQ1048576">
    <cfRule type="cellIs" dxfId="133" priority="177933" operator="between">
      <formula>DK$26-0.00001</formula>
      <formula>1000</formula>
    </cfRule>
  </conditionalFormatting>
  <conditionalFormatting sqref="DI1:DI1048576 ER1:ER1048576">
    <cfRule type="cellIs" dxfId="132" priority="177939" operator="between">
      <formula>DK$22-0.00001</formula>
      <formula>1000</formula>
    </cfRule>
    <cfRule type="cellIs" dxfId="131" priority="177940" operator="between">
      <formula>DK$21-0.00001</formula>
      <formula>DK$22-0.00001</formula>
    </cfRule>
  </conditionalFormatting>
  <conditionalFormatting sqref="DJ1:DJ1048576 ES1:ES1048576">
    <cfRule type="cellIs" dxfId="130" priority="177951" operator="between">
      <formula>DK$24-0.00001</formula>
      <formula>DK$25-0.00001</formula>
    </cfRule>
    <cfRule type="cellIs" dxfId="129" priority="177952" operator="between">
      <formula>DK$25-0.00001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C66B4-D18D-3E4D-B48E-36123D811D13}">
  <sheetPr codeName="Sheet22"/>
  <dimension ref="A1:FX3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8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2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5" width="10.83203125" hidden="1" customWidth="1"/>
    <col min="36" max="39" width="10.83203125" customWidth="1"/>
    <col min="40" max="48" width="10.83203125" style="26" customWidth="1"/>
    <col min="49" max="65" width="10.83203125" hidden="1" customWidth="1"/>
    <col min="66" max="69" width="10.83203125" customWidth="1"/>
    <col min="70" max="80" width="10.83203125" style="26" customWidth="1"/>
    <col min="81" max="100" width="10.83203125" hidden="1" customWidth="1"/>
    <col min="101" max="115" width="10.83203125" style="26" customWidth="1"/>
    <col min="116" max="135" width="10.83203125" hidden="1" customWidth="1"/>
    <col min="136" max="150" width="10.83203125" style="26" customWidth="1"/>
    <col min="151" max="180" width="10.83203125" hidden="1" customWidth="1"/>
    <col min="181" max="182" width="10.83203125" customWidth="1"/>
  </cols>
  <sheetData>
    <row r="1" spans="1:180" ht="16" customHeight="1" x14ac:dyDescent="0.2">
      <c r="A1" s="47" t="s">
        <v>1</v>
      </c>
      <c r="B1" s="47" t="s">
        <v>14</v>
      </c>
      <c r="C1" s="47" t="s">
        <v>0</v>
      </c>
      <c r="D1" s="47" t="s">
        <v>31</v>
      </c>
      <c r="E1" s="47" t="s">
        <v>2</v>
      </c>
      <c r="F1" s="48" t="s">
        <v>64</v>
      </c>
      <c r="G1" s="48" t="s">
        <v>8</v>
      </c>
      <c r="H1" s="47" t="s">
        <v>9</v>
      </c>
      <c r="I1" s="48" t="s">
        <v>50</v>
      </c>
      <c r="J1" s="46" t="s">
        <v>65</v>
      </c>
      <c r="K1" s="49" t="s">
        <v>16</v>
      </c>
      <c r="L1" s="46" t="s">
        <v>79</v>
      </c>
      <c r="M1" s="49" t="s">
        <v>16</v>
      </c>
      <c r="N1" s="46" t="s">
        <v>80</v>
      </c>
      <c r="O1" s="49" t="s">
        <v>16</v>
      </c>
      <c r="P1" s="51" t="s">
        <v>10</v>
      </c>
      <c r="Q1" s="49" t="s">
        <v>17</v>
      </c>
      <c r="R1" s="49" t="s">
        <v>16</v>
      </c>
      <c r="S1" s="56" t="s">
        <v>41</v>
      </c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0" t="s">
        <v>42</v>
      </c>
      <c r="AX1" s="50"/>
      <c r="AY1" s="50"/>
      <c r="AZ1" s="50"/>
      <c r="BA1" s="50"/>
      <c r="BB1" s="50"/>
      <c r="BC1" s="50"/>
      <c r="BD1" s="50"/>
      <c r="BE1" s="50"/>
      <c r="BF1" s="50"/>
      <c r="BG1" s="50"/>
      <c r="BH1" s="50"/>
      <c r="BI1" s="50"/>
      <c r="BJ1" s="50"/>
      <c r="BK1" s="50"/>
      <c r="BL1" s="50"/>
      <c r="BM1" s="50"/>
      <c r="BN1" s="50"/>
      <c r="BO1" s="50"/>
      <c r="BP1" s="50"/>
      <c r="BQ1" s="50"/>
      <c r="BR1" s="50"/>
      <c r="BS1" s="50"/>
      <c r="BT1" s="50"/>
      <c r="BU1" s="50"/>
      <c r="BV1" s="50"/>
      <c r="BW1" s="50"/>
      <c r="BX1" s="50"/>
      <c r="BY1" s="50"/>
      <c r="BZ1" s="50"/>
      <c r="CA1" s="57" t="s">
        <v>66</v>
      </c>
      <c r="CB1" s="57"/>
      <c r="CC1" s="56" t="s">
        <v>43</v>
      </c>
      <c r="CD1" s="56"/>
      <c r="CE1" s="56"/>
      <c r="CF1" s="56"/>
      <c r="CG1" s="56"/>
      <c r="CH1" s="56"/>
      <c r="CI1" s="56"/>
      <c r="CJ1" s="56"/>
      <c r="CK1" s="56"/>
      <c r="CL1" s="56"/>
      <c r="CM1" s="56"/>
      <c r="CN1" s="56"/>
      <c r="CO1" s="56"/>
      <c r="CP1" s="56"/>
      <c r="CQ1" s="56"/>
      <c r="CR1" s="56"/>
      <c r="CS1" s="56"/>
      <c r="CT1" s="56"/>
      <c r="CU1" s="56"/>
      <c r="CV1" s="56"/>
      <c r="CW1" s="56"/>
      <c r="CX1" s="56"/>
      <c r="CY1" s="56"/>
      <c r="CZ1" s="56"/>
      <c r="DA1" s="56"/>
      <c r="DB1" s="56"/>
      <c r="DC1" s="56"/>
      <c r="DD1" s="56"/>
      <c r="DE1" s="56"/>
      <c r="DF1" s="56"/>
      <c r="DG1" s="56"/>
      <c r="DH1" s="56"/>
      <c r="DI1" s="56"/>
      <c r="DJ1" s="56"/>
      <c r="DK1" s="56"/>
      <c r="DL1" s="50" t="s">
        <v>44</v>
      </c>
      <c r="DM1" s="50"/>
      <c r="DN1" s="50"/>
      <c r="DO1" s="50"/>
      <c r="DP1" s="50"/>
      <c r="DQ1" s="50"/>
      <c r="DR1" s="50"/>
      <c r="DS1" s="50"/>
      <c r="DT1" s="50"/>
      <c r="DU1" s="50"/>
      <c r="DV1" s="50"/>
      <c r="DW1" s="50"/>
      <c r="DX1" s="50"/>
      <c r="DY1" s="50"/>
      <c r="DZ1" s="50"/>
      <c r="EA1" s="50"/>
      <c r="EB1" s="50"/>
      <c r="EC1" s="50"/>
      <c r="ED1" s="50"/>
      <c r="EE1" s="50"/>
      <c r="EF1" s="50"/>
      <c r="EG1" s="50"/>
      <c r="EH1" s="50"/>
      <c r="EI1" s="50"/>
      <c r="EJ1" s="50"/>
      <c r="EK1" s="50"/>
      <c r="EL1" s="50"/>
      <c r="EM1" s="50"/>
      <c r="EN1" s="50"/>
      <c r="EO1" s="50"/>
      <c r="EP1" s="50"/>
      <c r="EQ1" s="50"/>
      <c r="ER1" s="50"/>
      <c r="ES1" s="50"/>
      <c r="ET1" s="50"/>
      <c r="EU1" s="50" t="s">
        <v>67</v>
      </c>
      <c r="EV1" s="50"/>
      <c r="EW1" s="50"/>
      <c r="EX1" s="50"/>
      <c r="EY1" s="50"/>
      <c r="EZ1" s="50"/>
      <c r="FA1" s="50"/>
      <c r="FB1" s="50"/>
      <c r="FC1" s="50"/>
      <c r="FD1" s="50"/>
      <c r="FE1" s="50"/>
      <c r="FF1" s="50"/>
      <c r="FG1" s="50"/>
      <c r="FH1" s="50"/>
      <c r="FI1" s="50"/>
      <c r="FJ1" s="50"/>
      <c r="FK1" s="50"/>
      <c r="FL1" s="50"/>
      <c r="FM1" s="50"/>
      <c r="FN1" s="50"/>
      <c r="FO1" s="50"/>
      <c r="FP1" s="50"/>
      <c r="FQ1" s="12"/>
      <c r="FR1" s="12"/>
      <c r="FS1" s="12"/>
      <c r="FT1" s="12"/>
      <c r="FU1" s="12"/>
      <c r="FV1" s="12"/>
      <c r="FW1" s="12"/>
      <c r="FX1" s="12"/>
    </row>
    <row r="2" spans="1:180" x14ac:dyDescent="0.2">
      <c r="A2" s="47"/>
      <c r="B2" s="47"/>
      <c r="C2" s="47"/>
      <c r="D2" s="47"/>
      <c r="E2" s="47"/>
      <c r="F2" s="48"/>
      <c r="G2" s="48"/>
      <c r="H2" s="47"/>
      <c r="I2" s="48"/>
      <c r="J2" s="46"/>
      <c r="K2" s="49"/>
      <c r="L2" s="46"/>
      <c r="M2" s="49"/>
      <c r="N2" s="49"/>
      <c r="O2" s="49"/>
      <c r="P2" s="51"/>
      <c r="Q2" s="49"/>
      <c r="R2" s="49"/>
      <c r="S2" s="53" t="s">
        <v>68</v>
      </c>
      <c r="T2" s="53"/>
      <c r="U2" s="53"/>
      <c r="V2" s="53"/>
      <c r="W2" s="53" t="s">
        <v>69</v>
      </c>
      <c r="X2" s="53"/>
      <c r="Y2" s="53"/>
      <c r="Z2" s="53"/>
      <c r="AA2" s="53" t="s">
        <v>70</v>
      </c>
      <c r="AB2" s="53"/>
      <c r="AC2" s="53"/>
      <c r="AD2" s="53"/>
      <c r="AE2" s="54" t="s">
        <v>71</v>
      </c>
      <c r="AF2" s="54"/>
      <c r="AG2" s="54"/>
      <c r="AH2" s="54"/>
      <c r="AI2" s="13"/>
      <c r="AJ2" s="13" t="s">
        <v>85</v>
      </c>
      <c r="AK2" s="13" t="s">
        <v>81</v>
      </c>
      <c r="AL2" s="13" t="s">
        <v>86</v>
      </c>
      <c r="AM2" s="13" t="s">
        <v>82</v>
      </c>
      <c r="AN2" s="13" t="s">
        <v>72</v>
      </c>
      <c r="AO2" s="13" t="s">
        <v>13</v>
      </c>
      <c r="AP2" s="13" t="s">
        <v>87</v>
      </c>
      <c r="AQ2" s="13" t="s">
        <v>83</v>
      </c>
      <c r="AR2" s="13" t="s">
        <v>88</v>
      </c>
      <c r="AS2" s="13" t="s">
        <v>84</v>
      </c>
      <c r="AT2" s="13" t="s">
        <v>73</v>
      </c>
      <c r="AU2" s="13" t="s">
        <v>74</v>
      </c>
      <c r="AV2" s="13" t="s">
        <v>12</v>
      </c>
      <c r="AW2" s="52" t="s">
        <v>68</v>
      </c>
      <c r="AX2" s="52"/>
      <c r="AY2" s="52"/>
      <c r="AZ2" s="52"/>
      <c r="BA2" s="52" t="s">
        <v>69</v>
      </c>
      <c r="BB2" s="52"/>
      <c r="BC2" s="52"/>
      <c r="BD2" s="52"/>
      <c r="BE2" s="52" t="s">
        <v>70</v>
      </c>
      <c r="BF2" s="52"/>
      <c r="BG2" s="52"/>
      <c r="BH2" s="52"/>
      <c r="BI2" s="55" t="s">
        <v>71</v>
      </c>
      <c r="BJ2" s="55"/>
      <c r="BK2" s="55"/>
      <c r="BL2" s="55"/>
      <c r="BM2" s="12"/>
      <c r="BN2" s="12" t="s">
        <v>85</v>
      </c>
      <c r="BO2" s="12" t="s">
        <v>81</v>
      </c>
      <c r="BP2" s="12" t="s">
        <v>86</v>
      </c>
      <c r="BQ2" s="12" t="s">
        <v>82</v>
      </c>
      <c r="BR2" s="12" t="s">
        <v>72</v>
      </c>
      <c r="BS2" s="12" t="s">
        <v>13</v>
      </c>
      <c r="BT2" s="12" t="s">
        <v>87</v>
      </c>
      <c r="BU2" s="12" t="s">
        <v>83</v>
      </c>
      <c r="BV2" s="12" t="s">
        <v>88</v>
      </c>
      <c r="BW2" s="12" t="s">
        <v>84</v>
      </c>
      <c r="BX2" s="12" t="s">
        <v>73</v>
      </c>
      <c r="BY2" s="12" t="s">
        <v>74</v>
      </c>
      <c r="BZ2" s="12" t="s">
        <v>12</v>
      </c>
      <c r="CA2" s="33" t="s">
        <v>75</v>
      </c>
      <c r="CB2" s="33" t="s">
        <v>89</v>
      </c>
      <c r="CC2" s="53" t="s">
        <v>68</v>
      </c>
      <c r="CD2" s="53"/>
      <c r="CE2" s="53"/>
      <c r="CF2" s="53"/>
      <c r="CG2" s="53" t="s">
        <v>69</v>
      </c>
      <c r="CH2" s="53"/>
      <c r="CI2" s="53"/>
      <c r="CJ2" s="53"/>
      <c r="CK2" s="53" t="s">
        <v>76</v>
      </c>
      <c r="CL2" s="53"/>
      <c r="CM2" s="53"/>
      <c r="CN2" s="53"/>
      <c r="CO2" s="53" t="s">
        <v>70</v>
      </c>
      <c r="CP2" s="53"/>
      <c r="CQ2" s="53"/>
      <c r="CR2" s="53"/>
      <c r="CS2" s="58" t="s">
        <v>71</v>
      </c>
      <c r="CT2" s="58"/>
      <c r="CU2" s="58"/>
      <c r="CV2" s="58"/>
      <c r="CW2" s="13" t="s">
        <v>85</v>
      </c>
      <c r="CX2" s="13" t="s">
        <v>81</v>
      </c>
      <c r="CY2" s="13" t="s">
        <v>86</v>
      </c>
      <c r="CZ2" s="13" t="s">
        <v>82</v>
      </c>
      <c r="DA2" s="13" t="s">
        <v>77</v>
      </c>
      <c r="DB2" s="13" t="s">
        <v>75</v>
      </c>
      <c r="DC2" s="13" t="s">
        <v>90</v>
      </c>
      <c r="DD2" s="13" t="s">
        <v>76</v>
      </c>
      <c r="DE2" s="13" t="s">
        <v>91</v>
      </c>
      <c r="DF2" s="13" t="s">
        <v>70</v>
      </c>
      <c r="DG2" s="13" t="s">
        <v>92</v>
      </c>
      <c r="DH2" s="13" t="s">
        <v>71</v>
      </c>
      <c r="DI2" s="13" t="s">
        <v>73</v>
      </c>
      <c r="DJ2" s="13" t="s">
        <v>74</v>
      </c>
      <c r="DK2" s="13" t="s">
        <v>12</v>
      </c>
      <c r="DL2" s="52" t="s">
        <v>68</v>
      </c>
      <c r="DM2" s="52"/>
      <c r="DN2" s="52"/>
      <c r="DO2" s="52"/>
      <c r="DP2" s="52" t="s">
        <v>69</v>
      </c>
      <c r="DQ2" s="52"/>
      <c r="DR2" s="52"/>
      <c r="DS2" s="52"/>
      <c r="DT2" s="52" t="s">
        <v>76</v>
      </c>
      <c r="DU2" s="52"/>
      <c r="DV2" s="52"/>
      <c r="DW2" s="52"/>
      <c r="DX2" s="52" t="s">
        <v>70</v>
      </c>
      <c r="DY2" s="52"/>
      <c r="DZ2" s="52"/>
      <c r="EA2" s="52"/>
      <c r="EB2" s="55" t="s">
        <v>71</v>
      </c>
      <c r="EC2" s="55"/>
      <c r="ED2" s="55"/>
      <c r="EE2" s="55"/>
      <c r="EF2" s="12" t="s">
        <v>85</v>
      </c>
      <c r="EG2" s="12" t="s">
        <v>81</v>
      </c>
      <c r="EH2" s="12" t="s">
        <v>86</v>
      </c>
      <c r="EI2" s="12" t="s">
        <v>82</v>
      </c>
      <c r="EJ2" s="12" t="s">
        <v>77</v>
      </c>
      <c r="EK2" s="12" t="s">
        <v>75</v>
      </c>
      <c r="EL2" s="12" t="s">
        <v>90</v>
      </c>
      <c r="EM2" s="12" t="s">
        <v>76</v>
      </c>
      <c r="EN2" s="12" t="s">
        <v>91</v>
      </c>
      <c r="EO2" s="12" t="s">
        <v>70</v>
      </c>
      <c r="EP2" s="12" t="s">
        <v>92</v>
      </c>
      <c r="EQ2" s="12" t="s">
        <v>71</v>
      </c>
      <c r="ER2" s="12" t="s">
        <v>73</v>
      </c>
      <c r="ES2" s="12" t="s">
        <v>74</v>
      </c>
      <c r="ET2" s="12" t="s">
        <v>12</v>
      </c>
      <c r="EU2" s="52" t="s">
        <v>68</v>
      </c>
      <c r="EV2" s="52"/>
      <c r="EW2" s="52"/>
      <c r="EX2" s="52"/>
      <c r="EY2" s="52" t="s">
        <v>69</v>
      </c>
      <c r="EZ2" s="52"/>
      <c r="FA2" s="52"/>
      <c r="FB2" s="52"/>
      <c r="FC2" s="52" t="s">
        <v>70</v>
      </c>
      <c r="FD2" s="52"/>
      <c r="FE2" s="52"/>
      <c r="FF2" s="52"/>
      <c r="FG2" s="59" t="s">
        <v>71</v>
      </c>
      <c r="FH2" s="59"/>
      <c r="FI2" s="59"/>
      <c r="FJ2" s="59"/>
      <c r="FK2" s="12"/>
      <c r="FL2" s="12" t="s">
        <v>85</v>
      </c>
      <c r="FM2" s="12" t="s">
        <v>81</v>
      </c>
      <c r="FN2" s="12" t="s">
        <v>86</v>
      </c>
      <c r="FO2" s="12" t="s">
        <v>82</v>
      </c>
      <c r="FP2" s="12" t="s">
        <v>72</v>
      </c>
      <c r="FQ2" s="12" t="s">
        <v>13</v>
      </c>
      <c r="FR2" s="12" t="s">
        <v>87</v>
      </c>
      <c r="FS2" s="12" t="s">
        <v>83</v>
      </c>
      <c r="FT2" s="12" t="s">
        <v>88</v>
      </c>
      <c r="FU2" s="12" t="s">
        <v>84</v>
      </c>
      <c r="FV2" s="12" t="s">
        <v>73</v>
      </c>
      <c r="FW2" s="12" t="s">
        <v>74</v>
      </c>
      <c r="FX2" s="12" t="s">
        <v>12</v>
      </c>
    </row>
    <row r="3" spans="1:180" x14ac:dyDescent="0.2">
      <c r="A3" s="47"/>
      <c r="B3" s="47"/>
      <c r="C3" s="47"/>
      <c r="D3" s="47"/>
      <c r="E3" s="47"/>
      <c r="F3" s="48"/>
      <c r="G3" s="48"/>
      <c r="H3" s="47"/>
      <c r="I3" s="48"/>
      <c r="J3" s="46"/>
      <c r="K3" s="49"/>
      <c r="L3" s="46"/>
      <c r="M3" s="49"/>
      <c r="N3" s="49"/>
      <c r="O3" s="49"/>
      <c r="P3" s="51"/>
      <c r="Q3" s="49"/>
      <c r="R3" s="49"/>
      <c r="S3" s="13" t="s">
        <v>11</v>
      </c>
      <c r="T3" s="13" t="s">
        <v>7</v>
      </c>
      <c r="U3" s="13" t="s">
        <v>15</v>
      </c>
      <c r="V3" s="13" t="s">
        <v>78</v>
      </c>
      <c r="W3" s="13" t="s">
        <v>11</v>
      </c>
      <c r="X3" s="13" t="s">
        <v>7</v>
      </c>
      <c r="Y3" s="13" t="s">
        <v>15</v>
      </c>
      <c r="Z3" s="13" t="s">
        <v>78</v>
      </c>
      <c r="AA3" s="13" t="s">
        <v>11</v>
      </c>
      <c r="AB3" s="13" t="s">
        <v>7</v>
      </c>
      <c r="AC3" s="13" t="s">
        <v>15</v>
      </c>
      <c r="AD3" s="13" t="s">
        <v>78</v>
      </c>
      <c r="AE3" s="35" t="s">
        <v>11</v>
      </c>
      <c r="AF3" s="35" t="s">
        <v>7</v>
      </c>
      <c r="AG3" s="35" t="s">
        <v>15</v>
      </c>
      <c r="AH3" s="35" t="s">
        <v>78</v>
      </c>
      <c r="AI3" s="13" t="s">
        <v>28</v>
      </c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2" t="s">
        <v>11</v>
      </c>
      <c r="AX3" s="12" t="s">
        <v>7</v>
      </c>
      <c r="AY3" s="12" t="s">
        <v>15</v>
      </c>
      <c r="AZ3" s="12" t="s">
        <v>78</v>
      </c>
      <c r="BA3" s="12" t="s">
        <v>11</v>
      </c>
      <c r="BB3" s="12" t="s">
        <v>7</v>
      </c>
      <c r="BC3" s="12" t="s">
        <v>15</v>
      </c>
      <c r="BD3" s="12" t="s">
        <v>78</v>
      </c>
      <c r="BE3" s="12" t="s">
        <v>11</v>
      </c>
      <c r="BF3" s="12" t="s">
        <v>7</v>
      </c>
      <c r="BG3" s="12" t="s">
        <v>15</v>
      </c>
      <c r="BH3" s="12" t="s">
        <v>78</v>
      </c>
      <c r="BI3" s="36" t="s">
        <v>11</v>
      </c>
      <c r="BJ3" s="36" t="s">
        <v>7</v>
      </c>
      <c r="BK3" s="36" t="s">
        <v>15</v>
      </c>
      <c r="BL3" s="36" t="s">
        <v>78</v>
      </c>
      <c r="BM3" s="12" t="s">
        <v>28</v>
      </c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33"/>
      <c r="CB3" s="33"/>
      <c r="CC3" s="13" t="s">
        <v>11</v>
      </c>
      <c r="CD3" s="13" t="s">
        <v>7</v>
      </c>
      <c r="CE3" s="13" t="s">
        <v>15</v>
      </c>
      <c r="CF3" s="13" t="s">
        <v>78</v>
      </c>
      <c r="CG3" s="13" t="s">
        <v>11</v>
      </c>
      <c r="CH3" s="13" t="s">
        <v>7</v>
      </c>
      <c r="CI3" s="13" t="s">
        <v>15</v>
      </c>
      <c r="CJ3" s="13" t="s">
        <v>78</v>
      </c>
      <c r="CK3" s="13" t="s">
        <v>11</v>
      </c>
      <c r="CL3" s="13" t="s">
        <v>7</v>
      </c>
      <c r="CM3" s="13" t="s">
        <v>15</v>
      </c>
      <c r="CN3" s="13" t="s">
        <v>78</v>
      </c>
      <c r="CO3" s="13" t="s">
        <v>11</v>
      </c>
      <c r="CP3" s="13" t="s">
        <v>7</v>
      </c>
      <c r="CQ3" s="13" t="s">
        <v>15</v>
      </c>
      <c r="CR3" s="13" t="s">
        <v>78</v>
      </c>
      <c r="CS3" s="37" t="s">
        <v>11</v>
      </c>
      <c r="CT3" s="37" t="s">
        <v>7</v>
      </c>
      <c r="CU3" s="37" t="s">
        <v>15</v>
      </c>
      <c r="CV3" s="37" t="s">
        <v>78</v>
      </c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2" t="s">
        <v>11</v>
      </c>
      <c r="DM3" s="12" t="s">
        <v>7</v>
      </c>
      <c r="DN3" s="12" t="s">
        <v>15</v>
      </c>
      <c r="DO3" s="12" t="s">
        <v>78</v>
      </c>
      <c r="DP3" s="12" t="s">
        <v>11</v>
      </c>
      <c r="DQ3" s="12" t="s">
        <v>7</v>
      </c>
      <c r="DR3" s="12" t="s">
        <v>15</v>
      </c>
      <c r="DS3" s="12" t="s">
        <v>78</v>
      </c>
      <c r="DT3" s="12" t="s">
        <v>11</v>
      </c>
      <c r="DU3" s="12" t="s">
        <v>7</v>
      </c>
      <c r="DV3" s="12" t="s">
        <v>15</v>
      </c>
      <c r="DW3" s="12" t="s">
        <v>78</v>
      </c>
      <c r="DX3" s="12" t="s">
        <v>11</v>
      </c>
      <c r="DY3" s="12" t="s">
        <v>7</v>
      </c>
      <c r="DZ3" s="12" t="s">
        <v>15</v>
      </c>
      <c r="EA3" s="12" t="s">
        <v>78</v>
      </c>
      <c r="EB3" s="36" t="s">
        <v>11</v>
      </c>
      <c r="EC3" s="36" t="s">
        <v>7</v>
      </c>
      <c r="ED3" s="36" t="s">
        <v>15</v>
      </c>
      <c r="EE3" s="36" t="s">
        <v>78</v>
      </c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 t="s">
        <v>11</v>
      </c>
      <c r="EV3" s="12" t="s">
        <v>7</v>
      </c>
      <c r="EW3" s="12" t="s">
        <v>15</v>
      </c>
      <c r="EX3" s="12" t="s">
        <v>78</v>
      </c>
      <c r="EY3" s="12" t="s">
        <v>11</v>
      </c>
      <c r="EZ3" s="12" t="s">
        <v>7</v>
      </c>
      <c r="FA3" s="12" t="s">
        <v>15</v>
      </c>
      <c r="FB3" s="12" t="s">
        <v>78</v>
      </c>
      <c r="FC3" s="12" t="s">
        <v>11</v>
      </c>
      <c r="FD3" s="12" t="s">
        <v>7</v>
      </c>
      <c r="FE3" s="12" t="s">
        <v>15</v>
      </c>
      <c r="FF3" s="12" t="s">
        <v>78</v>
      </c>
      <c r="FG3" s="38" t="s">
        <v>11</v>
      </c>
      <c r="FH3" s="38" t="s">
        <v>7</v>
      </c>
      <c r="FI3" s="38" t="s">
        <v>15</v>
      </c>
      <c r="FJ3" s="38" t="s">
        <v>78</v>
      </c>
      <c r="FK3" s="12" t="s">
        <v>28</v>
      </c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</row>
    <row r="4" spans="1:180" x14ac:dyDescent="0.2">
      <c r="A4" s="3" t="str" cm="1">
        <f t="array" ref="A4">IF(AND(H4&lt;&gt;"",H4&lt;&gt;"No DD",I4&lt;&gt;"P"),SUMPRODUCT((H$4:H$18&lt;&gt;"")*(H$4:H$18&lt;&gt;"No DD")*(I$4:I$18&lt;&gt;"P")*(E$4:E$18&gt;E4))+1,IF(H4="No DD",SUMPRODUCT((H$4:H$18="No DD")*(I$4:I$18&lt;&gt;"P")*(E$4:E$18&gt;E4))+1+SUMPRODUCT((H$4:H$18&lt;&gt;"")*(I$4:I$18&lt;&gt;"P")*(H$4:H$18&lt;&gt;"No DD")),""))</f>
        <v/>
      </c>
      <c r="B4" s="4" t="s">
        <v>105</v>
      </c>
      <c r="C4" s="3" t="s">
        <v>4</v>
      </c>
      <c r="D4" s="3">
        <v>2006</v>
      </c>
      <c r="E4" s="8">
        <f t="shared" ref="E4:E17" si="0">SUM(J4:P4)+SUM(J4:M4)*0.0000001+SUM(J4)*0.0000000000001</f>
        <v>93.350006975004604</v>
      </c>
      <c r="F4" s="2" t="str">
        <f t="shared" ref="F4:F17" si="1">IF(OR(AND(AO4&lt;&gt;"",AO4&gt;=AV$23,AN4&gt;=AV$20),AND(AU4&lt;&gt;"",AU4&gt;=AV$23,AT4&gt;=AV$20),AND(BS4&lt;&gt;"",BS4&gt;=BZ$23,BR4&gt;=BZ$20),AND(BY4&lt;&gt;"",BY4&gt;=BZ$23,BX4&gt;=BZ$20),AND(DB4&lt;&gt;"",DB4&gt;=DK$23,DA4&gt;=DK$20),AND(DJ4&lt;&gt;"",DJ4&gt;=DK$23,DI4&gt;=DK$20),AND(EK4&lt;&gt;"",EK4&gt;=ET$23,EJ4&gt;=ET$20),AND(ES4&lt;&gt;"",ES4&gt;=ET$23,ER4&gt;=ET$20)),"P","")</f>
        <v>P</v>
      </c>
      <c r="G4" s="2" t="str">
        <f t="shared" ref="G4:G17" si="2">IF(OR(AND(AO4&lt;&gt;"",AO4&gt;=AV$23),AND(AU4&lt;&gt;"",AU4&gt;=AV$23),AND(BS4&lt;&gt;"",BS4&gt;=BZ$23),AND(BY4&lt;&gt;"",BY4&gt;=BZ$23),AND(DB4&lt;&gt;"",DB4&gt;=DK$23),AND(DJ4&lt;&gt;"",DJ4&gt;=DK$23),AND(EK4&lt;&gt;"",EK4&gt;=ET$23),AND(ES4&lt;&gt;"",ES4&gt;=ET$23)),"P","")</f>
        <v>P</v>
      </c>
      <c r="H4" s="26" t="str">
        <f t="shared" ref="H4:H17" si="3">IF(AND(G4="P",F4=""),"No DD",IF(OR(AND(AK4&lt;&gt;"",AK4&gt;=AV$25,AJ4&gt;=AV$22),AND(AM4&lt;&gt;"",AM4&gt;=AV$25,AL4&gt;=AV$22),AND(AQ4&lt;&gt;"",AQ4&gt;=AV$25,AP4&gt;=AV$22),AND(AS4&lt;&gt;"",AS4&gt;=AV$25,AR4&gt;=AV$22),AND(BO4&lt;&gt;"",BO4&gt;=BZ$25,BN4&gt;=BZ$22),AND(BQ4&lt;&gt;"",BQ4&gt;=BZ$25,BP4&gt;=BZ$22),AND(BV4&lt;&gt;"",BV4&gt;=BZ$25,BU4&gt;=BZ$22),AND(BX4&lt;&gt;"",BX4&gt;=BZ$25,BW4&gt;=BZ$22),AND(CX4&lt;&gt;"",CX4&gt;=DK$25,CW4&gt;=DK$22),AND(CZ4&lt;&gt;"",CZ4&gt;=DK$25,CY4&gt;=DK$22),AND(DD4&lt;&gt;"",DD4&gt;=DK$25,DC4&gt;=DK$22),AND(DF4&lt;&gt;"",DF4&gt;=DK$25,DE4&gt;=DK$22),AND(DH4&lt;&gt;"",DH4&gt;=DK$25,DG4&gt;=DK$22),AND(EG4&lt;&gt;"",EG4&gt;=ET$25,EF4&gt;=ET$22),AND(EI4&lt;&gt;"",EI4&gt;=ET$25,EH4&gt;=ET$22),AND(EM4&lt;&gt;"",EM4&gt;=ET$25,EL4&gt;=ET$22),AND(EO4&lt;&gt;"",EO4&gt;=ET$25,EN4&gt;=ET$22),AND(EQ4&lt;&gt;"",EQ4&gt;=ET$25,EP4&gt;=ET$22)),"Performance",IF(I4="P","National Team",IF(F4="P","National Team",""))))</f>
        <v>National Team</v>
      </c>
      <c r="I4" s="2" t="str">
        <f>IF(COUNTIFS('Senior-W'!B:B,B4,'Senior-W'!A:A,"&lt;9",'Senior-W'!H:H,"&lt;&gt;"&amp;"No DD"),"P","")</f>
        <v>P</v>
      </c>
      <c r="J4" s="7">
        <f t="shared" ref="J4:J17" si="4">IF(COUNT(AO4,BS4)&gt;0,MAX(AO4,BS4),0)</f>
        <v>46.099999999999994</v>
      </c>
      <c r="K4" s="7" t="str">
        <f t="shared" ref="K4:K17" si="5">IF(J4=0,"",IF(J4=BS4,$AW$1,IF(J4=AO4,$S$1,"")))</f>
        <v>2025 Nationals</v>
      </c>
      <c r="L4" s="7">
        <f>IF(J4=AO4,IF(COUNT(AQ4,AS4,BO4,BQ4,BU4,BW4)&gt;1,LARGE((AQ4,AS4,BO4,BQ4,BU4,BW4),1),0),IF(COUNT(AK4,AM4,AQ4,AS4,BU4,BW4)&gt;1,LARGE((AK4,AM4,AQ4,AS4,BU4,BW4),1),0))</f>
        <v>23.650000000000002</v>
      </c>
      <c r="M4" s="7" t="str">
        <f t="shared" ref="M4:M17" si="6">IF(L4=0,"",IF(OR(L4=BO4,L4=BQ4,L4=BU4,L4=BW4),$AW$1,IF(OR(L4=AK4,L4=AM4,L4=AQ4,L4=AS4),$S$1,"")))</f>
        <v>2025 3rd Domestic Trial</v>
      </c>
      <c r="N4" s="7">
        <f>IF(J4=AO4,IF(COUNT(AQ4,AS4,BO4,BQ4,BU4,BW4)&gt;1,LARGE((AQ4,AS4,BO4,BQ4,BU4,BW4),2),0),IF(COUNT(AK4,AM4,AQ4,AS4,BU4,BW4)&gt;1,LARGE((AK4,AM4,AQ4,AS4,BU4,BW4),2),0))</f>
        <v>23.599999999999998</v>
      </c>
      <c r="O4" s="7" t="str">
        <f t="shared" ref="O4:O17" si="7">IF(N4=0,"",IF(OR(N4=BO4,N4=BQ4,N4=BU4,N4=BW4),$AW$1,IF(OR(N4=AK4,N4=AM4,N4=AQ4,N4=AS4),$S$1,"")))</f>
        <v>2025 Nationals</v>
      </c>
      <c r="P4" s="7" t="str">
        <f t="shared" ref="P4:P17" si="8">IF(MAX(CA4:CB4)&gt;0,MAX(CA4:CB4),"")</f>
        <v/>
      </c>
      <c r="Q4" s="10" t="str">
        <f t="shared" ref="Q4:Q17" si="9">IF(P4="","",IF(P4=CA4,"("&amp;CA$2&amp;")",IF(P4=CB4,"("&amp;CB$2&amp;")")))</f>
        <v/>
      </c>
      <c r="R4" s="7" t="str">
        <f t="shared" ref="R4:R17" si="10">IF(P4="","",IF(P4=CA4,IF(P4+MAX(J4,0)=EK4,$DL$1,IF(P4+MAX(J4,0)=DB4,$CC$1)),IF(P4=CB4,IF(P4+MAX(N4,0)=MAX(EG4,EI4,EM4,EO4,EQ4),$DL$1,IF(P4+MAX(N4,0)=MAX(CX4,CZ4,DD4,DF4,DH4),$CC$1)))))</f>
        <v/>
      </c>
      <c r="S4" s="39">
        <v>17.5</v>
      </c>
      <c r="T4" s="39">
        <v>4.3</v>
      </c>
      <c r="U4" s="39">
        <v>0</v>
      </c>
      <c r="V4" s="39">
        <v>0.7</v>
      </c>
      <c r="W4" s="39">
        <v>16.8</v>
      </c>
      <c r="X4" s="39">
        <v>6.1</v>
      </c>
      <c r="Y4" s="39">
        <v>0</v>
      </c>
      <c r="Z4" s="39">
        <v>0.7</v>
      </c>
      <c r="AA4" s="39">
        <v>17.7</v>
      </c>
      <c r="AB4" s="39">
        <v>4.3</v>
      </c>
      <c r="AC4" s="39">
        <v>0</v>
      </c>
      <c r="AD4" s="39">
        <v>0.7</v>
      </c>
      <c r="AE4" s="39">
        <v>16.8</v>
      </c>
      <c r="AF4" s="39">
        <v>6.1</v>
      </c>
      <c r="AG4" s="39">
        <v>0</v>
      </c>
      <c r="AH4" s="39">
        <v>0.7</v>
      </c>
      <c r="AI4" s="19"/>
      <c r="AJ4" s="42">
        <f t="shared" ref="AJ4:AJ17" si="11">IF(T4="","",T4)</f>
        <v>4.3</v>
      </c>
      <c r="AK4" s="42">
        <f t="shared" ref="AK4:AK17" si="12">IF(S4="","",S4+T4+V4-U4)</f>
        <v>22.5</v>
      </c>
      <c r="AL4" s="42">
        <f t="shared" ref="AL4:AL17" si="13">IF(X4="","",X4)</f>
        <v>6.1</v>
      </c>
      <c r="AM4" s="42">
        <f t="shared" ref="AM4:AM17" si="14">IF(W4="","",W4+X4+Z4-Y4)</f>
        <v>23.599999999999998</v>
      </c>
      <c r="AN4" s="27">
        <f t="shared" ref="AN4:AN17" si="15">IF(SUM(T4,X4)&gt;0,SUM(T4,X4),"")</f>
        <v>10.399999999999999</v>
      </c>
      <c r="AO4" s="27">
        <f t="shared" ref="AO4:AO17" si="16">IF(SUM(AK4,AM4)&gt;0,SUM(AK4,AM4),"")</f>
        <v>46.099999999999994</v>
      </c>
      <c r="AP4" s="27">
        <f t="shared" ref="AP4:AP17" si="17">IF(AB4="","",AB4)</f>
        <v>4.3</v>
      </c>
      <c r="AQ4" s="27">
        <f t="shared" ref="AQ4:AQ17" si="18">IF(AA4="","",AA4+AB4+AD4-AC4)</f>
        <v>22.7</v>
      </c>
      <c r="AR4" s="27">
        <f t="shared" ref="AR4:AR17" si="19">IF(AF4="","",AF4)</f>
        <v>6.1</v>
      </c>
      <c r="AS4" s="27">
        <f t="shared" ref="AS4:AS17" si="20">IF(AE4="","",AE4+AF4+AH4-AG4)</f>
        <v>23.599999999999998</v>
      </c>
      <c r="AT4" s="27">
        <f t="shared" ref="AT4:AT17" si="21">IF(SUM(AB4,AF4)&gt;0,SUM(AB4,AF4),"")</f>
        <v>10.399999999999999</v>
      </c>
      <c r="AU4" s="27">
        <f t="shared" ref="AU4:AU17" si="22">IF(SUM(AQ4,AS4)&gt;0,SUM(AQ4,AS4),"")</f>
        <v>46.3</v>
      </c>
      <c r="AV4" s="27">
        <f t="shared" ref="AV4:AV17" si="23">IF(SUM(AO4,AU4)&gt;0,SUM(AO4,AU4),"")</f>
        <v>92.399999999999991</v>
      </c>
      <c r="AW4" s="15">
        <v>17.600000000000001</v>
      </c>
      <c r="AX4" s="15">
        <v>4.3</v>
      </c>
      <c r="AY4" s="15">
        <v>0</v>
      </c>
      <c r="AZ4" s="15">
        <v>0.7</v>
      </c>
      <c r="BA4" s="15">
        <v>16.149999999999999</v>
      </c>
      <c r="BB4" s="15">
        <v>6.1</v>
      </c>
      <c r="BC4" s="15">
        <v>0</v>
      </c>
      <c r="BD4" s="15">
        <v>0.7</v>
      </c>
      <c r="BE4" s="15">
        <v>17.899999999999999</v>
      </c>
      <c r="BF4" s="15">
        <v>4.3</v>
      </c>
      <c r="BG4" s="15">
        <v>0</v>
      </c>
      <c r="BH4" s="15">
        <v>0.7</v>
      </c>
      <c r="BI4" s="15">
        <v>16.850000000000001</v>
      </c>
      <c r="BJ4" s="15">
        <v>6.1</v>
      </c>
      <c r="BK4" s="15">
        <v>0</v>
      </c>
      <c r="BL4" s="15">
        <v>0.7</v>
      </c>
      <c r="BM4" s="20" t="s">
        <v>29</v>
      </c>
      <c r="BN4" s="43">
        <f t="shared" ref="BN4:BN17" si="24">IF(AX4="","",AX4)</f>
        <v>4.3</v>
      </c>
      <c r="BO4" s="43">
        <f t="shared" ref="BO4:BO17" si="25">IF(AW4="","",AW4+AX4+AZ4-AY4)</f>
        <v>22.6</v>
      </c>
      <c r="BP4" s="43">
        <f t="shared" ref="BP4:BP17" si="26">IF(BB4="","",BB4)</f>
        <v>6.1</v>
      </c>
      <c r="BQ4" s="43">
        <f t="shared" ref="BQ4:BQ17" si="27">IF(BA4="","",BA4+BB4+BD4-BC4)</f>
        <v>22.95</v>
      </c>
      <c r="BR4" s="10">
        <f t="shared" ref="BR4:BR17" si="28">IF(SUM(AX4,BB4)&gt;0,SUM(AX4,BB4),"")</f>
        <v>10.399999999999999</v>
      </c>
      <c r="BS4" s="10">
        <f t="shared" ref="BS4:BS17" si="29">IF(SUM(BO4,BQ4)&gt;0,SUM(BO4,BQ4),"")</f>
        <v>45.55</v>
      </c>
      <c r="BT4" s="10">
        <f t="shared" ref="BT4:BT17" si="30">IF(BF4="","",BF4)</f>
        <v>4.3</v>
      </c>
      <c r="BU4" s="10">
        <f t="shared" ref="BU4:BU17" si="31">IF(BE4="","",BE4+BF4+BH4-BG4)</f>
        <v>22.9</v>
      </c>
      <c r="BV4" s="10">
        <f t="shared" ref="BV4:BV17" si="32">IF(BJ4="","",BJ4)</f>
        <v>6.1</v>
      </c>
      <c r="BW4" s="10">
        <f t="shared" ref="BW4:BW17" si="33">IF(BI4="","",BI4+BJ4+BL4-BK4)</f>
        <v>23.650000000000002</v>
      </c>
      <c r="BX4" s="10">
        <f t="shared" ref="BX4:BX17" si="34">IF(SUM(BF4,BJ4)&gt;0,SUM(BF4,BJ4),"")</f>
        <v>10.399999999999999</v>
      </c>
      <c r="BY4" s="10">
        <f t="shared" ref="BY4:BY17" si="35">IF(SUM(BU4,BW4)&gt;0,SUM(BU4,BW4),"")</f>
        <v>46.55</v>
      </c>
      <c r="BZ4" s="10">
        <f t="shared" ref="BZ4:BZ17" si="36">IF(SUM(BS4,BY4)&gt;0,SUM(BS4,BY4),"")</f>
        <v>92.1</v>
      </c>
      <c r="CA4" s="34" t="str">
        <f t="shared" ref="CA4:CA17" si="37">IF(MAX(DB4,EK4)-IF(J4="",0,J4)&gt;0.001,MAX(DB4,EK4)-IF(J4="",0,J4),"")</f>
        <v/>
      </c>
      <c r="CB4" s="34" t="str">
        <f t="shared" ref="CB4:CB17" si="38">IF(MAX(CX4,CZ4,DD4,DF4,DH4,EG4,EI4,EM4,EO4)-IF(N4="",0,N4)&gt;0.001,MAX(CX4,CZ4,DD4,DF4,DH4,EG4,EI4,EM4,EO4)-IF(N4="",0,N4),"")</f>
        <v/>
      </c>
      <c r="CC4" s="14">
        <v>17.5</v>
      </c>
      <c r="CD4" s="14">
        <v>4.3</v>
      </c>
      <c r="CE4" s="14">
        <v>0</v>
      </c>
      <c r="CF4" s="14">
        <v>0</v>
      </c>
      <c r="CG4" s="14">
        <v>16.899999999999999</v>
      </c>
      <c r="CH4" s="14">
        <v>6.1</v>
      </c>
      <c r="CI4" s="14">
        <v>0</v>
      </c>
      <c r="CJ4" s="14">
        <v>0</v>
      </c>
      <c r="CK4" s="14">
        <v>16.899999999999999</v>
      </c>
      <c r="CL4" s="14">
        <v>6.1</v>
      </c>
      <c r="CM4" s="14">
        <v>0</v>
      </c>
      <c r="CN4" s="14">
        <v>0</v>
      </c>
      <c r="CO4" s="14"/>
      <c r="CP4" s="14"/>
      <c r="CQ4" s="14"/>
      <c r="CR4" s="14"/>
      <c r="CS4" s="14"/>
      <c r="CT4" s="14"/>
      <c r="CU4" s="14"/>
      <c r="CV4" s="14"/>
      <c r="CW4" s="27">
        <f t="shared" ref="CW4:CW17" si="39">IF(CD4="","",CD4)</f>
        <v>4.3</v>
      </c>
      <c r="CX4" s="27">
        <f t="shared" ref="CX4:CX17" si="40">IF(CC4="","",CC4+CD4+CF4-CE4)</f>
        <v>21.8</v>
      </c>
      <c r="CY4" s="27">
        <f t="shared" ref="CY4:CY17" si="41">IF(CH4="","",CH4)</f>
        <v>6.1</v>
      </c>
      <c r="CZ4" s="27">
        <f t="shared" ref="CZ4:CZ17" si="42">IF(CG4="","",CG4+CH4+CJ4-CI4)</f>
        <v>23</v>
      </c>
      <c r="DA4" s="27">
        <f t="shared" ref="DA4:DA17" si="43">IF(CW4="","",SUM(CW4,CY4))</f>
        <v>10.399999999999999</v>
      </c>
      <c r="DB4" s="27">
        <f t="shared" ref="DB4:DB17" si="44">IF(CX4="","",SUM(CX4,CZ4))</f>
        <v>44.8</v>
      </c>
      <c r="DC4" s="27">
        <f t="shared" ref="DC4:DC17" si="45">IF(CL4="","",CL4)</f>
        <v>6.1</v>
      </c>
      <c r="DD4" s="27">
        <f t="shared" ref="DD4:DD17" si="46">IF(CK4="","",CK4+CL4+CN4-CM4)</f>
        <v>23</v>
      </c>
      <c r="DE4" s="27" t="str">
        <f t="shared" ref="DE4:DE17" si="47">IF(CP4="","",CP4)</f>
        <v/>
      </c>
      <c r="DF4" s="27" t="str">
        <f t="shared" ref="DF4:DF17" si="48">IF(CO4="","",CO4+CP4+CR4-CQ4)</f>
        <v/>
      </c>
      <c r="DG4" s="27" t="str">
        <f t="shared" ref="DG4:DG17" si="49">IF(CT4="","",CT4)</f>
        <v/>
      </c>
      <c r="DH4" s="27" t="str">
        <f t="shared" ref="DH4:DH17" si="50">IF(CS4="","",CS4+CT4+CV4-CU4)</f>
        <v/>
      </c>
      <c r="DI4" s="27" t="str">
        <f t="shared" ref="DI4:DI17" si="51">IF(DE4="","",SUM(DE4,DG4))</f>
        <v/>
      </c>
      <c r="DJ4" s="27" t="str">
        <f t="shared" ref="DJ4:DJ17" si="52">IF(DF4="","",SUM(DF4,DH4))</f>
        <v/>
      </c>
      <c r="DK4" s="27">
        <f t="shared" ref="DK4:DK17" si="53">IF(DB4="","",SUM(DB4,DD4,DH4))</f>
        <v>67.8</v>
      </c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0" t="str">
        <f t="shared" ref="EF4:EF17" si="54">IF(DM4="","",DM4)</f>
        <v/>
      </c>
      <c r="EG4" s="10" t="str">
        <f t="shared" ref="EG4:EG17" si="55">IF(DL4="","",DL4+DM4+DO4-DN4)</f>
        <v/>
      </c>
      <c r="EH4" s="10" t="str">
        <f t="shared" ref="EH4:EH17" si="56">IF(DQ4="","",DQ4)</f>
        <v/>
      </c>
      <c r="EI4" s="10" t="str">
        <f t="shared" ref="EI4:EI17" si="57">IF(DP4="","",DP4+DQ4+DS4-DR4)</f>
        <v/>
      </c>
      <c r="EJ4" s="10" t="str">
        <f t="shared" ref="EJ4:EJ17" si="58">IF(EF4="","",SUM(EF4,EH4))</f>
        <v/>
      </c>
      <c r="EK4" s="10" t="str">
        <f t="shared" ref="EK4:EK17" si="59">IF(EG4="","",SUM(EG4,EI4))</f>
        <v/>
      </c>
      <c r="EL4" s="10" t="str">
        <f t="shared" ref="EL4:EL17" si="60">IF(DU4="","",DU4)</f>
        <v/>
      </c>
      <c r="EM4" s="10" t="str">
        <f t="shared" ref="EM4:EM17" si="61">IF(DT4="","",DT4+DU4+DW4-DV4)</f>
        <v/>
      </c>
      <c r="EN4" s="10" t="str">
        <f t="shared" ref="EN4:EN17" si="62">IF(DY4="","",DY4)</f>
        <v/>
      </c>
      <c r="EO4" s="10" t="str">
        <f t="shared" ref="EO4:EO17" si="63">IF(DX4="","",DX4+DY4+EA4-DZ4)</f>
        <v/>
      </c>
      <c r="EP4" s="10" t="str">
        <f t="shared" ref="EP4:EP17" si="64">IF(EC4="","",EC4)</f>
        <v/>
      </c>
      <c r="EQ4" s="10" t="str">
        <f t="shared" ref="EQ4:EQ17" si="65">IF(EB4="","",EB4+EC4+EE4-ED4)</f>
        <v/>
      </c>
      <c r="ER4" s="10" t="str">
        <f t="shared" ref="ER4:ER17" si="66">IF(EN4="","",SUM(EN4,EP4))</f>
        <v/>
      </c>
      <c r="ES4" s="10" t="str">
        <f t="shared" ref="ES4:ES17" si="67">IF(EO4="","",SUM(EO4,EQ4))</f>
        <v/>
      </c>
      <c r="ET4" s="10" t="str">
        <f t="shared" ref="ET4:ET17" si="68">IF(EK4="","",SUM(EK4,EM4,EQ4))</f>
        <v/>
      </c>
      <c r="EU4" s="44">
        <f t="shared" ref="EU4:EU17" si="69">IF(BM4="P",IF(AI4="P",AW4,AW4*0.8),(S4+AW4)/2)</f>
        <v>14.080000000000002</v>
      </c>
      <c r="EV4" s="44">
        <f t="shared" ref="EV4:EV17" si="70">IF(BN4="P",IF(AJ4="P",AX4,AX4*0.8),(T4+AX4)/2)</f>
        <v>4.3</v>
      </c>
      <c r="EW4" s="44">
        <f t="shared" ref="EW4:EW17" si="71">IF(BO4="P",IF(AK4="P",AY4,AY4*0.8),(U4+AY4)/2)</f>
        <v>0</v>
      </c>
      <c r="EX4" s="44">
        <f t="shared" ref="EX4:EX17" si="72">IF(BP4="P",IF(AL4="P",AZ4,AZ4*0.8),(V4+AZ4)/2)</f>
        <v>0.7</v>
      </c>
      <c r="EY4" s="44">
        <f t="shared" ref="EY4:EY17" si="73">IF(BQ4="P",IF(AM4="P",BA4,BA4*0.8),(W4+BA4)/2)</f>
        <v>16.475000000000001</v>
      </c>
      <c r="EZ4" s="44">
        <f t="shared" ref="EZ4:EZ17" si="74">IF(BR4="P",IF(AN4="P",BB4,BB4*0.8),(X4+BB4)/2)</f>
        <v>6.1</v>
      </c>
      <c r="FA4" s="44">
        <f t="shared" ref="FA4:FA17" si="75">IF(BS4="P",IF(AO4="P",BC4,BC4*0.8),(Y4+BC4)/2)</f>
        <v>0</v>
      </c>
      <c r="FB4" s="44">
        <f t="shared" ref="FB4:FB17" si="76">IF(BT4="P",IF(AP4="P",BD4,BD4*0.8),(Z4+BD4)/2)</f>
        <v>0.7</v>
      </c>
      <c r="FC4" s="44">
        <f t="shared" ref="FC4:FC17" si="77">IF(BU4="P",IF(AQ4="P",BE4,BE4*0.8),(AA4+BE4)/2)</f>
        <v>17.799999999999997</v>
      </c>
      <c r="FD4" s="44">
        <f t="shared" ref="FD4:FD17" si="78">IF(BV4="P",IF(AR4="P",BF4,BF4*0.8),(AB4+BF4)/2)</f>
        <v>4.3</v>
      </c>
      <c r="FE4" s="44">
        <f t="shared" ref="FE4:FE17" si="79">IF(BW4="P",IF(AS4="P",BG4,BG4*0.8),(AC4+BG4)/2)</f>
        <v>0</v>
      </c>
      <c r="FF4" s="44">
        <f t="shared" ref="FF4:FF17" si="80">IF(BX4="P",IF(AT4="P",BH4,BH4*0.8),(AD4+BH4)/2)</f>
        <v>0.7</v>
      </c>
      <c r="FG4" s="44">
        <f t="shared" ref="FG4:FG17" si="81">IF(BY4="P",IF(AU4="P",BI4,BI4*0.8),(AE4+BI4)/2)</f>
        <v>16.825000000000003</v>
      </c>
      <c r="FH4" s="44">
        <f t="shared" ref="FH4:FH17" si="82">IF(BZ4="P",IF(AV4="P",BJ4,BJ4*0.8),(AF4+BJ4)/2)</f>
        <v>6.1</v>
      </c>
      <c r="FI4" s="44">
        <f t="shared" ref="FI4:FI17" si="83">IF(CA4="P",IF(AW4="P",BK4,BK4*0.8),(AG4+BK4)/2)</f>
        <v>0</v>
      </c>
      <c r="FJ4" s="44">
        <f t="shared" ref="FJ4:FJ17" si="84">IF(CB4="P",IF(AX4="P",BL4,BL4*0.8),(AH4+BL4)/2)</f>
        <v>0.7</v>
      </c>
      <c r="FK4" s="20" t="s">
        <v>29</v>
      </c>
      <c r="FL4" s="10">
        <f t="shared" ref="FL4:FL17" si="85">IF(EV4="","",EV4)</f>
        <v>4.3</v>
      </c>
      <c r="FM4" s="10">
        <f t="shared" ref="FM4:FM17" si="86">IF(EU4="","",EU4+EV4+EX4-EW4)</f>
        <v>19.080000000000002</v>
      </c>
      <c r="FN4" s="10">
        <f t="shared" ref="FN4:FN17" si="87">IF(EZ4="","",EZ4)</f>
        <v>6.1</v>
      </c>
      <c r="FO4" s="10">
        <f t="shared" ref="FO4:FO17" si="88">IF(EY4="","",EY4+EZ4+FB4-FA4)</f>
        <v>23.275000000000002</v>
      </c>
      <c r="FP4" s="10">
        <f t="shared" ref="FP4:FP17" si="89">IF(SUM(EV4,EZ4)&gt;0,SUM(EV4,EZ4),"")</f>
        <v>10.399999999999999</v>
      </c>
      <c r="FQ4" s="10">
        <f>IF(SUM(FM4,FO4)&gt;0,SUM(FM4,FO4),"")</f>
        <v>42.355000000000004</v>
      </c>
      <c r="FR4" s="10">
        <f>IF(FD4="","",FD4)</f>
        <v>4.3</v>
      </c>
      <c r="FS4" s="10">
        <f>IF(FC4="","",FC4+FD4+FF4-FE4)</f>
        <v>22.799999999999997</v>
      </c>
      <c r="FT4" s="10">
        <f>IF(FH4="","",FH4)</f>
        <v>6.1</v>
      </c>
      <c r="FU4" s="10">
        <f>IF(FG4="","",FG4+FH4+FJ4-FI4)</f>
        <v>23.625000000000004</v>
      </c>
      <c r="FV4" s="10">
        <f>IF(SUM(FD4,FH4)&gt;0,SUM(FD4,FH4),"")</f>
        <v>10.399999999999999</v>
      </c>
      <c r="FW4" s="10">
        <f t="shared" ref="FW4:FW17" si="90">IF(SUM(FS4,FU4)&gt;0,SUM(FS4,FU4),"")</f>
        <v>46.424999999999997</v>
      </c>
      <c r="FX4" s="10">
        <f t="shared" ref="FX4:FX17" si="91">IF(SUM(FQ4,FW4)&gt;0,SUM(FQ4,FW4),"")</f>
        <v>88.78</v>
      </c>
    </row>
    <row r="5" spans="1:180" x14ac:dyDescent="0.2">
      <c r="A5" s="3" t="str" cm="1">
        <f t="array" ref="A5">IF(AND(H5&lt;&gt;"",H5&lt;&gt;"No DD",I5&lt;&gt;"P"),SUMPRODUCT((H$4:H$18&lt;&gt;"")*(H$4:H$18&lt;&gt;"No DD")*(I$4:I$18&lt;&gt;"P")*(E$4:E$18&gt;E5))+1,IF(H5="No DD",SUMPRODUCT((H$4:H$18="No DD")*(I$4:I$18&lt;&gt;"P")*(E$4:E$18&gt;E5))+1+SUMPRODUCT((H$4:H$18&lt;&gt;"")*(I$4:I$18&lt;&gt;"P")*(H$4:H$18&lt;&gt;"No DD")),""))</f>
        <v/>
      </c>
      <c r="B5" s="4" t="s">
        <v>119</v>
      </c>
      <c r="C5" s="3" t="s">
        <v>3</v>
      </c>
      <c r="D5" s="3">
        <v>2005</v>
      </c>
      <c r="E5" s="8">
        <f t="shared" si="0"/>
        <v>85.000006280004129</v>
      </c>
      <c r="F5" s="2" t="str">
        <f t="shared" si="1"/>
        <v/>
      </c>
      <c r="G5" s="2" t="str">
        <f t="shared" si="2"/>
        <v/>
      </c>
      <c r="H5" s="26" t="str">
        <f t="shared" si="3"/>
        <v/>
      </c>
      <c r="I5" s="2" t="str">
        <f>IF(COUNTIFS('Senior-W'!B:B,B5,'Senior-W'!A:A,"&lt;9",'Senior-W'!H:H,"&lt;&gt;"&amp;"No DD"),"P","")</f>
        <v/>
      </c>
      <c r="J5" s="7">
        <f t="shared" si="4"/>
        <v>41.4</v>
      </c>
      <c r="K5" s="7" t="str">
        <f t="shared" si="5"/>
        <v>2025 3rd Domestic Trial</v>
      </c>
      <c r="L5" s="7">
        <f>IF(J5=AO5,IF(COUNT(AQ5,AS5,BO5,BQ5,BU5,BW5)&gt;1,LARGE((AQ5,AS5,BO5,BQ5,BU5,BW5),1),0),IF(COUNT(AK5,AM5,AQ5,AS5,BU5,BW5)&gt;1,LARGE((AK5,AM5,AQ5,AS5,BU5,BW5),1),0))</f>
        <v>21.400000000000002</v>
      </c>
      <c r="M5" s="7" t="str">
        <f t="shared" si="6"/>
        <v>2025 Nationals</v>
      </c>
      <c r="N5" s="7">
        <f>IF(J5=AO5,IF(COUNT(AQ5,AS5,BO5,BQ5,BU5,BW5)&gt;1,LARGE((AQ5,AS5,BO5,BQ5,BU5,BW5),2),0),IF(COUNT(AK5,AM5,AQ5,AS5,BU5,BW5)&gt;1,LARGE((AK5,AM5,AQ5,AS5,BU5,BW5),2),0))</f>
        <v>21</v>
      </c>
      <c r="O5" s="7" t="str">
        <f t="shared" si="7"/>
        <v>2025 3rd Domestic Trial</v>
      </c>
      <c r="P5" s="7">
        <f t="shared" si="8"/>
        <v>1.2000000000000099</v>
      </c>
      <c r="Q5" s="10" t="str">
        <f t="shared" si="9"/>
        <v>(Q1)</v>
      </c>
      <c r="R5" s="7" t="str">
        <f t="shared" si="10"/>
        <v>2025 WAGC (Nov 16)</v>
      </c>
      <c r="S5" s="39">
        <v>14.5</v>
      </c>
      <c r="T5" s="39">
        <v>4.5999999999999996</v>
      </c>
      <c r="U5" s="39">
        <v>0</v>
      </c>
      <c r="V5" s="39">
        <v>0</v>
      </c>
      <c r="W5" s="39">
        <v>14.5</v>
      </c>
      <c r="X5" s="39">
        <v>4.8</v>
      </c>
      <c r="Y5" s="39">
        <v>0</v>
      </c>
      <c r="Z5" s="39">
        <v>0</v>
      </c>
      <c r="AA5" s="39">
        <v>16.399999999999999</v>
      </c>
      <c r="AB5" s="39">
        <v>4.5999999999999996</v>
      </c>
      <c r="AC5" s="39">
        <v>0</v>
      </c>
      <c r="AD5" s="39">
        <v>0</v>
      </c>
      <c r="AE5" s="39">
        <v>16.600000000000001</v>
      </c>
      <c r="AF5" s="39">
        <v>4.8</v>
      </c>
      <c r="AG5" s="39">
        <v>0</v>
      </c>
      <c r="AH5" s="39">
        <v>0</v>
      </c>
      <c r="AI5" s="19"/>
      <c r="AJ5" s="42">
        <f t="shared" si="11"/>
        <v>4.5999999999999996</v>
      </c>
      <c r="AK5" s="42">
        <f t="shared" si="12"/>
        <v>19.100000000000001</v>
      </c>
      <c r="AL5" s="42">
        <f t="shared" si="13"/>
        <v>4.8</v>
      </c>
      <c r="AM5" s="42">
        <f t="shared" si="14"/>
        <v>19.3</v>
      </c>
      <c r="AN5" s="27">
        <f t="shared" si="15"/>
        <v>9.3999999999999986</v>
      </c>
      <c r="AO5" s="27">
        <f t="shared" si="16"/>
        <v>38.400000000000006</v>
      </c>
      <c r="AP5" s="27">
        <f t="shared" si="17"/>
        <v>4.5999999999999996</v>
      </c>
      <c r="AQ5" s="27">
        <f t="shared" si="18"/>
        <v>21</v>
      </c>
      <c r="AR5" s="27">
        <f t="shared" si="19"/>
        <v>4.8</v>
      </c>
      <c r="AS5" s="27">
        <f t="shared" si="20"/>
        <v>21.400000000000002</v>
      </c>
      <c r="AT5" s="27">
        <f t="shared" si="21"/>
        <v>9.3999999999999986</v>
      </c>
      <c r="AU5" s="27">
        <f t="shared" si="22"/>
        <v>42.400000000000006</v>
      </c>
      <c r="AV5" s="27">
        <f t="shared" si="23"/>
        <v>80.800000000000011</v>
      </c>
      <c r="AW5" s="15">
        <v>16.2</v>
      </c>
      <c r="AX5" s="15">
        <v>4.5999999999999996</v>
      </c>
      <c r="AY5" s="15">
        <v>0</v>
      </c>
      <c r="AZ5" s="15">
        <v>0</v>
      </c>
      <c r="BA5" s="15">
        <v>16</v>
      </c>
      <c r="BB5" s="15">
        <v>4.8</v>
      </c>
      <c r="BC5" s="15">
        <v>0.2</v>
      </c>
      <c r="BD5" s="15">
        <v>0</v>
      </c>
      <c r="BE5" s="15">
        <v>16.100000000000001</v>
      </c>
      <c r="BF5" s="15">
        <v>4.5999999999999996</v>
      </c>
      <c r="BG5" s="15">
        <v>0</v>
      </c>
      <c r="BH5" s="15">
        <v>0</v>
      </c>
      <c r="BI5" s="15">
        <v>16.2</v>
      </c>
      <c r="BJ5" s="15">
        <v>4.8</v>
      </c>
      <c r="BK5" s="15">
        <v>0</v>
      </c>
      <c r="BL5" s="15">
        <v>0</v>
      </c>
      <c r="BM5" s="20"/>
      <c r="BN5" s="43">
        <f t="shared" si="24"/>
        <v>4.5999999999999996</v>
      </c>
      <c r="BO5" s="43">
        <f t="shared" si="25"/>
        <v>20.799999999999997</v>
      </c>
      <c r="BP5" s="43">
        <f t="shared" si="26"/>
        <v>4.8</v>
      </c>
      <c r="BQ5" s="43">
        <f t="shared" si="27"/>
        <v>20.6</v>
      </c>
      <c r="BR5" s="10">
        <f t="shared" si="28"/>
        <v>9.3999999999999986</v>
      </c>
      <c r="BS5" s="10">
        <f t="shared" si="29"/>
        <v>41.4</v>
      </c>
      <c r="BT5" s="10">
        <f t="shared" si="30"/>
        <v>4.5999999999999996</v>
      </c>
      <c r="BU5" s="10">
        <f t="shared" si="31"/>
        <v>20.700000000000003</v>
      </c>
      <c r="BV5" s="10">
        <f t="shared" si="32"/>
        <v>4.8</v>
      </c>
      <c r="BW5" s="10">
        <f t="shared" si="33"/>
        <v>21</v>
      </c>
      <c r="BX5" s="10">
        <f t="shared" si="34"/>
        <v>9.3999999999999986</v>
      </c>
      <c r="BY5" s="10">
        <f t="shared" si="35"/>
        <v>41.7</v>
      </c>
      <c r="BZ5" s="10">
        <f t="shared" si="36"/>
        <v>83.1</v>
      </c>
      <c r="CA5" s="34">
        <f t="shared" si="37"/>
        <v>1.2000000000000099</v>
      </c>
      <c r="CB5" s="34">
        <f t="shared" si="38"/>
        <v>0.40000000000000213</v>
      </c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27" t="str">
        <f t="shared" si="39"/>
        <v/>
      </c>
      <c r="CX5" s="27" t="str">
        <f t="shared" si="40"/>
        <v/>
      </c>
      <c r="CY5" s="27" t="str">
        <f t="shared" si="41"/>
        <v/>
      </c>
      <c r="CZ5" s="27" t="str">
        <f t="shared" si="42"/>
        <v/>
      </c>
      <c r="DA5" s="27" t="str">
        <f t="shared" si="43"/>
        <v/>
      </c>
      <c r="DB5" s="27" t="str">
        <f t="shared" si="44"/>
        <v/>
      </c>
      <c r="DC5" s="27" t="str">
        <f t="shared" si="45"/>
        <v/>
      </c>
      <c r="DD5" s="27" t="str">
        <f t="shared" si="46"/>
        <v/>
      </c>
      <c r="DE5" s="27" t="str">
        <f t="shared" si="47"/>
        <v/>
      </c>
      <c r="DF5" s="27" t="str">
        <f t="shared" si="48"/>
        <v/>
      </c>
      <c r="DG5" s="27" t="str">
        <f t="shared" si="49"/>
        <v/>
      </c>
      <c r="DH5" s="27" t="str">
        <f t="shared" si="50"/>
        <v/>
      </c>
      <c r="DI5" s="27" t="str">
        <f t="shared" si="51"/>
        <v/>
      </c>
      <c r="DJ5" s="27" t="str">
        <f t="shared" si="52"/>
        <v/>
      </c>
      <c r="DK5" s="27" t="str">
        <f t="shared" si="53"/>
        <v/>
      </c>
      <c r="DL5" s="15">
        <v>16.600000000000001</v>
      </c>
      <c r="DM5" s="15">
        <v>4.5999999999999996</v>
      </c>
      <c r="DN5" s="15">
        <v>0</v>
      </c>
      <c r="DO5" s="15">
        <v>0</v>
      </c>
      <c r="DP5" s="15">
        <v>16.600000000000001</v>
      </c>
      <c r="DQ5" s="15">
        <v>4.8</v>
      </c>
      <c r="DR5" s="15">
        <v>0</v>
      </c>
      <c r="DS5" s="15">
        <v>0</v>
      </c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0">
        <f t="shared" si="54"/>
        <v>4.5999999999999996</v>
      </c>
      <c r="EG5" s="10">
        <f t="shared" si="55"/>
        <v>21.200000000000003</v>
      </c>
      <c r="EH5" s="10">
        <f t="shared" si="56"/>
        <v>4.8</v>
      </c>
      <c r="EI5" s="10">
        <f t="shared" si="57"/>
        <v>21.400000000000002</v>
      </c>
      <c r="EJ5" s="10">
        <f t="shared" si="58"/>
        <v>9.3999999999999986</v>
      </c>
      <c r="EK5" s="10">
        <f t="shared" si="59"/>
        <v>42.600000000000009</v>
      </c>
      <c r="EL5" s="10" t="str">
        <f t="shared" si="60"/>
        <v/>
      </c>
      <c r="EM5" s="10" t="str">
        <f t="shared" si="61"/>
        <v/>
      </c>
      <c r="EN5" s="10" t="str">
        <f t="shared" si="62"/>
        <v/>
      </c>
      <c r="EO5" s="10" t="str">
        <f t="shared" si="63"/>
        <v/>
      </c>
      <c r="EP5" s="10" t="str">
        <f t="shared" si="64"/>
        <v/>
      </c>
      <c r="EQ5" s="10" t="str">
        <f t="shared" si="65"/>
        <v/>
      </c>
      <c r="ER5" s="10" t="str">
        <f t="shared" si="66"/>
        <v/>
      </c>
      <c r="ES5" s="10" t="str">
        <f t="shared" si="67"/>
        <v/>
      </c>
      <c r="ET5" s="10">
        <f t="shared" si="68"/>
        <v>42.600000000000009</v>
      </c>
      <c r="EU5" s="44">
        <f t="shared" si="69"/>
        <v>15.35</v>
      </c>
      <c r="EV5" s="44">
        <f t="shared" si="70"/>
        <v>4.5999999999999996</v>
      </c>
      <c r="EW5" s="44">
        <f t="shared" si="71"/>
        <v>0</v>
      </c>
      <c r="EX5" s="44">
        <f t="shared" si="72"/>
        <v>0</v>
      </c>
      <c r="EY5" s="44">
        <f t="shared" si="73"/>
        <v>15.25</v>
      </c>
      <c r="EZ5" s="44">
        <f t="shared" si="74"/>
        <v>4.8</v>
      </c>
      <c r="FA5" s="44">
        <f t="shared" si="75"/>
        <v>0.1</v>
      </c>
      <c r="FB5" s="44">
        <f t="shared" si="76"/>
        <v>0</v>
      </c>
      <c r="FC5" s="44">
        <f t="shared" si="77"/>
        <v>16.25</v>
      </c>
      <c r="FD5" s="44">
        <f t="shared" si="78"/>
        <v>4.5999999999999996</v>
      </c>
      <c r="FE5" s="44">
        <f t="shared" si="79"/>
        <v>0</v>
      </c>
      <c r="FF5" s="44">
        <f t="shared" si="80"/>
        <v>0</v>
      </c>
      <c r="FG5" s="44">
        <f t="shared" si="81"/>
        <v>16.399999999999999</v>
      </c>
      <c r="FH5" s="44">
        <f t="shared" si="82"/>
        <v>4.8</v>
      </c>
      <c r="FI5" s="44">
        <f t="shared" si="83"/>
        <v>0</v>
      </c>
      <c r="FJ5" s="44">
        <f t="shared" si="84"/>
        <v>0</v>
      </c>
      <c r="FK5" s="20" t="s">
        <v>29</v>
      </c>
      <c r="FL5" s="10">
        <f t="shared" si="85"/>
        <v>4.5999999999999996</v>
      </c>
      <c r="FM5" s="10">
        <f t="shared" si="86"/>
        <v>19.95</v>
      </c>
      <c r="FN5" s="10">
        <f t="shared" si="87"/>
        <v>4.8</v>
      </c>
      <c r="FO5" s="10">
        <f t="shared" si="88"/>
        <v>19.95</v>
      </c>
      <c r="FP5" s="10">
        <f t="shared" si="89"/>
        <v>9.3999999999999986</v>
      </c>
      <c r="FQ5" s="10">
        <f t="shared" ref="FQ5:FQ17" si="92">IF(SUM(FM5,FO5)&gt;0,SUM(FM5,FO5),"")</f>
        <v>39.9</v>
      </c>
      <c r="FR5" s="10">
        <f t="shared" ref="FR5:FR17" si="93">IF(FD5="","",FD5)</f>
        <v>4.5999999999999996</v>
      </c>
      <c r="FS5" s="10">
        <f t="shared" ref="FS5:FS17" si="94">IF(FC5="","",FC5+FD5+FF5-FE5)</f>
        <v>20.85</v>
      </c>
      <c r="FT5" s="10">
        <f t="shared" ref="FT5:FT17" si="95">IF(FH5="","",FH5)</f>
        <v>4.8</v>
      </c>
      <c r="FU5" s="10">
        <f t="shared" ref="FU5:FU17" si="96">IF(FG5="","",FG5+FH5+FJ5-FI5)</f>
        <v>21.2</v>
      </c>
      <c r="FV5" s="10">
        <f t="shared" ref="FV5:FV17" si="97">IF(SUM(FD5,FH5)&gt;0,SUM(FD5,FH5),"")</f>
        <v>9.3999999999999986</v>
      </c>
      <c r="FW5" s="10">
        <f t="shared" si="90"/>
        <v>42.05</v>
      </c>
      <c r="FX5" s="10">
        <f t="shared" si="91"/>
        <v>81.949999999999989</v>
      </c>
    </row>
    <row r="6" spans="1:180" x14ac:dyDescent="0.2">
      <c r="A6" s="3" t="str" cm="1">
        <f t="array" ref="A6">IF(AND(H6&lt;&gt;"",H6&lt;&gt;"No DD",I6&lt;&gt;"P"),SUMPRODUCT((H$4:H$18&lt;&gt;"")*(H$4:H$18&lt;&gt;"No DD")*(I$4:I$18&lt;&gt;"P")*(E$4:E$18&gt;E6))+1,IF(H6="No DD",SUMPRODUCT((H$4:H$18="No DD")*(I$4:I$18&lt;&gt;"P")*(E$4:E$18&gt;E6))+1+SUMPRODUCT((H$4:H$18&lt;&gt;"")*(I$4:I$18&lt;&gt;"P")*(H$4:H$18&lt;&gt;"No DD")),""))</f>
        <v/>
      </c>
      <c r="B6" s="4" t="s">
        <v>113</v>
      </c>
      <c r="C6" s="3" t="s">
        <v>6</v>
      </c>
      <c r="D6" s="3">
        <v>2005</v>
      </c>
      <c r="E6" s="8">
        <f t="shared" si="0"/>
        <v>84.700006360004224</v>
      </c>
      <c r="F6" s="2" t="str">
        <f t="shared" si="1"/>
        <v/>
      </c>
      <c r="G6" s="2" t="str">
        <f t="shared" si="2"/>
        <v/>
      </c>
      <c r="H6" s="26" t="str">
        <f t="shared" si="3"/>
        <v/>
      </c>
      <c r="I6" s="2" t="str">
        <f>IF(COUNTIFS('Senior-W'!B:B,B6,'Senior-W'!A:A,"&lt;9",'Senior-W'!H:H,"&lt;&gt;"&amp;"No DD"),"P","")</f>
        <v/>
      </c>
      <c r="J6" s="7">
        <f t="shared" si="4"/>
        <v>42.3</v>
      </c>
      <c r="K6" s="7" t="str">
        <f t="shared" si="5"/>
        <v>2025 Nationals</v>
      </c>
      <c r="L6" s="7">
        <f>IF(J6=AO6,IF(COUNT(AQ6,AS6,BO6,BQ6,BU6,BW6)&gt;1,LARGE((AQ6,AS6,BO6,BQ6,BU6,BW6),1),0),IF(COUNT(AK6,AM6,AQ6,AS6,BU6,BW6)&gt;1,LARGE((AK6,AM6,AQ6,AS6,BU6,BW6),1),0))</f>
        <v>21.3</v>
      </c>
      <c r="M6" s="7" t="str">
        <f t="shared" si="6"/>
        <v>2025 Nationals</v>
      </c>
      <c r="N6" s="7">
        <f>IF(J6=AO6,IF(COUNT(AQ6,AS6,BO6,BQ6,BU6,BW6)&gt;1,LARGE((AQ6,AS6,BO6,BQ6,BU6,BW6),2),0),IF(COUNT(AK6,AM6,AQ6,AS6,BU6,BW6)&gt;1,LARGE((AK6,AM6,AQ6,AS6,BU6,BW6),2),0))</f>
        <v>21.1</v>
      </c>
      <c r="O6" s="7" t="str">
        <f t="shared" si="7"/>
        <v>2025 Nationals</v>
      </c>
      <c r="P6" s="7" t="str">
        <f t="shared" si="8"/>
        <v/>
      </c>
      <c r="Q6" s="10" t="str">
        <f t="shared" si="9"/>
        <v/>
      </c>
      <c r="R6" s="7" t="str">
        <f t="shared" si="10"/>
        <v/>
      </c>
      <c r="S6" s="39">
        <v>16.899999999999999</v>
      </c>
      <c r="T6" s="39">
        <v>4.0999999999999996</v>
      </c>
      <c r="U6" s="39">
        <v>0</v>
      </c>
      <c r="V6" s="39">
        <v>0</v>
      </c>
      <c r="W6" s="39">
        <v>16.7</v>
      </c>
      <c r="X6" s="39">
        <v>4.5999999999999996</v>
      </c>
      <c r="Y6" s="39">
        <v>0</v>
      </c>
      <c r="Z6" s="39">
        <v>0</v>
      </c>
      <c r="AA6" s="39">
        <v>16.5</v>
      </c>
      <c r="AB6" s="39">
        <v>4.8</v>
      </c>
      <c r="AC6" s="39">
        <v>0</v>
      </c>
      <c r="AD6" s="39">
        <v>0</v>
      </c>
      <c r="AE6" s="39">
        <v>16.5</v>
      </c>
      <c r="AF6" s="39">
        <v>4.5999999999999996</v>
      </c>
      <c r="AG6" s="39">
        <v>0</v>
      </c>
      <c r="AH6" s="39">
        <v>0</v>
      </c>
      <c r="AI6" s="19"/>
      <c r="AJ6" s="42">
        <f t="shared" si="11"/>
        <v>4.0999999999999996</v>
      </c>
      <c r="AK6" s="42">
        <f t="shared" si="12"/>
        <v>21</v>
      </c>
      <c r="AL6" s="42">
        <f t="shared" si="13"/>
        <v>4.5999999999999996</v>
      </c>
      <c r="AM6" s="42">
        <f t="shared" si="14"/>
        <v>21.299999999999997</v>
      </c>
      <c r="AN6" s="27">
        <f t="shared" si="15"/>
        <v>8.6999999999999993</v>
      </c>
      <c r="AO6" s="27">
        <f t="shared" si="16"/>
        <v>42.3</v>
      </c>
      <c r="AP6" s="27">
        <f t="shared" si="17"/>
        <v>4.8</v>
      </c>
      <c r="AQ6" s="27">
        <f t="shared" si="18"/>
        <v>21.3</v>
      </c>
      <c r="AR6" s="27">
        <f t="shared" si="19"/>
        <v>4.5999999999999996</v>
      </c>
      <c r="AS6" s="27">
        <f t="shared" si="20"/>
        <v>21.1</v>
      </c>
      <c r="AT6" s="27">
        <f t="shared" si="21"/>
        <v>9.3999999999999986</v>
      </c>
      <c r="AU6" s="27">
        <f t="shared" si="22"/>
        <v>42.400000000000006</v>
      </c>
      <c r="AV6" s="27">
        <f t="shared" si="23"/>
        <v>84.7</v>
      </c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20"/>
      <c r="BN6" s="43" t="str">
        <f t="shared" si="24"/>
        <v/>
      </c>
      <c r="BO6" s="43" t="str">
        <f t="shared" si="25"/>
        <v/>
      </c>
      <c r="BP6" s="43" t="str">
        <f t="shared" si="26"/>
        <v/>
      </c>
      <c r="BQ6" s="43" t="str">
        <f t="shared" si="27"/>
        <v/>
      </c>
      <c r="BR6" s="10" t="str">
        <f t="shared" si="28"/>
        <v/>
      </c>
      <c r="BS6" s="10" t="str">
        <f t="shared" si="29"/>
        <v/>
      </c>
      <c r="BT6" s="10" t="str">
        <f t="shared" si="30"/>
        <v/>
      </c>
      <c r="BU6" s="10" t="str">
        <f t="shared" si="31"/>
        <v/>
      </c>
      <c r="BV6" s="10" t="str">
        <f t="shared" si="32"/>
        <v/>
      </c>
      <c r="BW6" s="10" t="str">
        <f t="shared" si="33"/>
        <v/>
      </c>
      <c r="BX6" s="10" t="str">
        <f t="shared" si="34"/>
        <v/>
      </c>
      <c r="BY6" s="10" t="str">
        <f t="shared" si="35"/>
        <v/>
      </c>
      <c r="BZ6" s="10" t="str">
        <f t="shared" si="36"/>
        <v/>
      </c>
      <c r="CA6" s="34" t="str">
        <f t="shared" si="37"/>
        <v/>
      </c>
      <c r="CB6" s="34" t="str">
        <f t="shared" si="38"/>
        <v/>
      </c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27" t="str">
        <f t="shared" si="39"/>
        <v/>
      </c>
      <c r="CX6" s="27" t="str">
        <f t="shared" si="40"/>
        <v/>
      </c>
      <c r="CY6" s="27" t="str">
        <f t="shared" si="41"/>
        <v/>
      </c>
      <c r="CZ6" s="27" t="str">
        <f t="shared" si="42"/>
        <v/>
      </c>
      <c r="DA6" s="27" t="str">
        <f t="shared" si="43"/>
        <v/>
      </c>
      <c r="DB6" s="27" t="str">
        <f t="shared" si="44"/>
        <v/>
      </c>
      <c r="DC6" s="27" t="str">
        <f t="shared" si="45"/>
        <v/>
      </c>
      <c r="DD6" s="27" t="str">
        <f t="shared" si="46"/>
        <v/>
      </c>
      <c r="DE6" s="27" t="str">
        <f t="shared" si="47"/>
        <v/>
      </c>
      <c r="DF6" s="27" t="str">
        <f t="shared" si="48"/>
        <v/>
      </c>
      <c r="DG6" s="27" t="str">
        <f t="shared" si="49"/>
        <v/>
      </c>
      <c r="DH6" s="27" t="str">
        <f t="shared" si="50"/>
        <v/>
      </c>
      <c r="DI6" s="27" t="str">
        <f t="shared" si="51"/>
        <v/>
      </c>
      <c r="DJ6" s="27" t="str">
        <f t="shared" si="52"/>
        <v/>
      </c>
      <c r="DK6" s="27" t="str">
        <f t="shared" si="53"/>
        <v/>
      </c>
      <c r="DL6" s="15">
        <v>16.600000000000001</v>
      </c>
      <c r="DM6" s="15">
        <v>4.0999999999999996</v>
      </c>
      <c r="DN6" s="15">
        <v>0</v>
      </c>
      <c r="DO6" s="15">
        <v>0</v>
      </c>
      <c r="DP6" s="15">
        <v>16.899999999999999</v>
      </c>
      <c r="DQ6" s="15">
        <v>3.9</v>
      </c>
      <c r="DR6" s="15">
        <v>0</v>
      </c>
      <c r="DS6" s="15">
        <v>0</v>
      </c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0">
        <f t="shared" si="54"/>
        <v>4.0999999999999996</v>
      </c>
      <c r="EG6" s="10">
        <f t="shared" si="55"/>
        <v>20.700000000000003</v>
      </c>
      <c r="EH6" s="10">
        <f t="shared" si="56"/>
        <v>3.9</v>
      </c>
      <c r="EI6" s="10">
        <f t="shared" si="57"/>
        <v>20.799999999999997</v>
      </c>
      <c r="EJ6" s="10">
        <f t="shared" si="58"/>
        <v>8</v>
      </c>
      <c r="EK6" s="10">
        <f t="shared" si="59"/>
        <v>41.5</v>
      </c>
      <c r="EL6" s="10" t="str">
        <f t="shared" si="60"/>
        <v/>
      </c>
      <c r="EM6" s="10" t="str">
        <f t="shared" si="61"/>
        <v/>
      </c>
      <c r="EN6" s="10" t="str">
        <f t="shared" si="62"/>
        <v/>
      </c>
      <c r="EO6" s="10" t="str">
        <f t="shared" si="63"/>
        <v/>
      </c>
      <c r="EP6" s="10" t="str">
        <f t="shared" si="64"/>
        <v/>
      </c>
      <c r="EQ6" s="10" t="str">
        <f t="shared" si="65"/>
        <v/>
      </c>
      <c r="ER6" s="10" t="str">
        <f t="shared" si="66"/>
        <v/>
      </c>
      <c r="ES6" s="10" t="str">
        <f t="shared" si="67"/>
        <v/>
      </c>
      <c r="ET6" s="10">
        <f t="shared" si="68"/>
        <v>41.5</v>
      </c>
      <c r="EU6" s="44">
        <f t="shared" si="69"/>
        <v>8.4499999999999993</v>
      </c>
      <c r="EV6" s="44">
        <f t="shared" si="70"/>
        <v>2.0499999999999998</v>
      </c>
      <c r="EW6" s="44">
        <f t="shared" si="71"/>
        <v>0</v>
      </c>
      <c r="EX6" s="44">
        <f t="shared" si="72"/>
        <v>0</v>
      </c>
      <c r="EY6" s="44">
        <f t="shared" si="73"/>
        <v>8.35</v>
      </c>
      <c r="EZ6" s="44">
        <f t="shared" si="74"/>
        <v>2.2999999999999998</v>
      </c>
      <c r="FA6" s="44">
        <f t="shared" si="75"/>
        <v>0</v>
      </c>
      <c r="FB6" s="44">
        <f t="shared" si="76"/>
        <v>0</v>
      </c>
      <c r="FC6" s="44">
        <f t="shared" si="77"/>
        <v>8.25</v>
      </c>
      <c r="FD6" s="44">
        <f t="shared" si="78"/>
        <v>2.4</v>
      </c>
      <c r="FE6" s="44">
        <f t="shared" si="79"/>
        <v>0</v>
      </c>
      <c r="FF6" s="44">
        <f t="shared" si="80"/>
        <v>0</v>
      </c>
      <c r="FG6" s="44">
        <f t="shared" si="81"/>
        <v>8.25</v>
      </c>
      <c r="FH6" s="44">
        <f t="shared" si="82"/>
        <v>2.2999999999999998</v>
      </c>
      <c r="FI6" s="44">
        <f t="shared" si="83"/>
        <v>0</v>
      </c>
      <c r="FJ6" s="44">
        <f t="shared" si="84"/>
        <v>0</v>
      </c>
      <c r="FK6" s="20" t="s">
        <v>29</v>
      </c>
      <c r="FL6" s="10">
        <f t="shared" si="85"/>
        <v>2.0499999999999998</v>
      </c>
      <c r="FM6" s="10">
        <f t="shared" si="86"/>
        <v>10.5</v>
      </c>
      <c r="FN6" s="10">
        <f t="shared" si="87"/>
        <v>2.2999999999999998</v>
      </c>
      <c r="FO6" s="10">
        <f t="shared" si="88"/>
        <v>10.649999999999999</v>
      </c>
      <c r="FP6" s="10">
        <f t="shared" si="89"/>
        <v>4.3499999999999996</v>
      </c>
      <c r="FQ6" s="10">
        <f t="shared" si="92"/>
        <v>21.15</v>
      </c>
      <c r="FR6" s="10">
        <f t="shared" si="93"/>
        <v>2.4</v>
      </c>
      <c r="FS6" s="10">
        <f t="shared" si="94"/>
        <v>10.65</v>
      </c>
      <c r="FT6" s="10">
        <f t="shared" si="95"/>
        <v>2.2999999999999998</v>
      </c>
      <c r="FU6" s="10">
        <f t="shared" si="96"/>
        <v>10.55</v>
      </c>
      <c r="FV6" s="10">
        <f t="shared" si="97"/>
        <v>4.6999999999999993</v>
      </c>
      <c r="FW6" s="10">
        <f t="shared" si="90"/>
        <v>21.200000000000003</v>
      </c>
      <c r="FX6" s="10">
        <f t="shared" si="91"/>
        <v>42.35</v>
      </c>
    </row>
    <row r="7" spans="1:180" x14ac:dyDescent="0.2">
      <c r="A7" s="3" t="str" cm="1">
        <f t="array" ref="A7">IF(AND(H7&lt;&gt;"",H7&lt;&gt;"No DD",I7&lt;&gt;"P"),SUMPRODUCT((H$4:H$18&lt;&gt;"")*(H$4:H$18&lt;&gt;"No DD")*(I$4:I$18&lt;&gt;"P")*(E$4:E$18&gt;E7))+1,IF(H7="No DD",SUMPRODUCT((H$4:H$18="No DD")*(I$4:I$18&lt;&gt;"P")*(E$4:E$18&gt;E7))+1+SUMPRODUCT((H$4:H$18&lt;&gt;"")*(I$4:I$18&lt;&gt;"P")*(H$4:H$18&lt;&gt;"No DD")),""))</f>
        <v/>
      </c>
      <c r="B7" s="4" t="s">
        <v>111</v>
      </c>
      <c r="C7" s="3" t="s">
        <v>4</v>
      </c>
      <c r="D7" s="3">
        <v>2008</v>
      </c>
      <c r="E7" s="8">
        <f t="shared" si="0"/>
        <v>83.900006260004105</v>
      </c>
      <c r="F7" s="2" t="str">
        <f t="shared" si="1"/>
        <v/>
      </c>
      <c r="G7" s="2" t="str">
        <f t="shared" si="2"/>
        <v/>
      </c>
      <c r="H7" s="26" t="str">
        <f t="shared" si="3"/>
        <v/>
      </c>
      <c r="I7" s="2" t="str">
        <f>IF(COUNTIFS('Senior-W'!B:B,B7,'Senior-W'!A:A,"&lt;9",'Senior-W'!H:H,"&lt;&gt;"&amp;"No DD"),"P","")</f>
        <v/>
      </c>
      <c r="J7" s="7">
        <f t="shared" si="4"/>
        <v>41</v>
      </c>
      <c r="K7" s="7" t="str">
        <f t="shared" si="5"/>
        <v>2025 Nationals</v>
      </c>
      <c r="L7" s="7">
        <f>IF(J7=AO7,IF(COUNT(AQ7,AS7,BO7,BQ7,BU7,BW7)&gt;1,LARGE((AQ7,AS7,BO7,BQ7,BU7,BW7),1),0),IF(COUNT(AK7,AM7,AQ7,AS7,BU7,BW7)&gt;1,LARGE((AK7,AM7,AQ7,AS7,BU7,BW7),1),0))</f>
        <v>21.599999999999998</v>
      </c>
      <c r="M7" s="7" t="str">
        <f t="shared" si="6"/>
        <v>2025 Nationals</v>
      </c>
      <c r="N7" s="7">
        <f>IF(J7=AO7,IF(COUNT(AQ7,AS7,BO7,BQ7,BU7,BW7)&gt;1,LARGE((AQ7,AS7,BO7,BQ7,BU7,BW7),2),0),IF(COUNT(AK7,AM7,AQ7,AS7,BU7,BW7)&gt;1,LARGE((AK7,AM7,AQ7,AS7,BU7,BW7),2),0))</f>
        <v>21.3</v>
      </c>
      <c r="O7" s="7" t="str">
        <f t="shared" si="7"/>
        <v>2025 3rd Domestic Trial</v>
      </c>
      <c r="P7" s="7" t="str">
        <f t="shared" si="8"/>
        <v/>
      </c>
      <c r="Q7" s="10" t="str">
        <f t="shared" si="9"/>
        <v/>
      </c>
      <c r="R7" s="7" t="str">
        <f t="shared" si="10"/>
        <v/>
      </c>
      <c r="S7" s="39">
        <v>15.5</v>
      </c>
      <c r="T7" s="39">
        <v>3.4</v>
      </c>
      <c r="U7" s="39">
        <v>0.2</v>
      </c>
      <c r="V7" s="39">
        <v>0.7</v>
      </c>
      <c r="W7" s="39">
        <v>17.100000000000001</v>
      </c>
      <c r="X7" s="39">
        <v>3.8</v>
      </c>
      <c r="Y7" s="39">
        <v>0</v>
      </c>
      <c r="Z7" s="39">
        <v>0.7</v>
      </c>
      <c r="AA7" s="39">
        <v>14.8</v>
      </c>
      <c r="AB7" s="39">
        <v>6.1</v>
      </c>
      <c r="AC7" s="39">
        <v>0</v>
      </c>
      <c r="AD7" s="39">
        <v>0.7</v>
      </c>
      <c r="AE7" s="39">
        <v>16.100000000000001</v>
      </c>
      <c r="AF7" s="39">
        <v>1.2</v>
      </c>
      <c r="AG7" s="39">
        <v>0</v>
      </c>
      <c r="AH7" s="39">
        <v>0</v>
      </c>
      <c r="AI7" s="19"/>
      <c r="AJ7" s="42">
        <f t="shared" si="11"/>
        <v>3.4</v>
      </c>
      <c r="AK7" s="42">
        <f t="shared" si="12"/>
        <v>19.399999999999999</v>
      </c>
      <c r="AL7" s="42">
        <f t="shared" si="13"/>
        <v>3.8</v>
      </c>
      <c r="AM7" s="42">
        <f t="shared" si="14"/>
        <v>21.6</v>
      </c>
      <c r="AN7" s="27">
        <f t="shared" si="15"/>
        <v>7.1999999999999993</v>
      </c>
      <c r="AO7" s="27">
        <f t="shared" si="16"/>
        <v>41</v>
      </c>
      <c r="AP7" s="27">
        <f t="shared" si="17"/>
        <v>6.1</v>
      </c>
      <c r="AQ7" s="27">
        <f t="shared" si="18"/>
        <v>21.599999999999998</v>
      </c>
      <c r="AR7" s="27">
        <f t="shared" si="19"/>
        <v>1.2</v>
      </c>
      <c r="AS7" s="27">
        <f t="shared" si="20"/>
        <v>17.3</v>
      </c>
      <c r="AT7" s="27">
        <f t="shared" si="21"/>
        <v>7.3</v>
      </c>
      <c r="AU7" s="27">
        <f t="shared" si="22"/>
        <v>38.9</v>
      </c>
      <c r="AV7" s="27">
        <f t="shared" si="23"/>
        <v>79.900000000000006</v>
      </c>
      <c r="AW7" s="15">
        <v>16.600000000000001</v>
      </c>
      <c r="AX7" s="15">
        <v>3.4</v>
      </c>
      <c r="AY7" s="15">
        <v>0.2</v>
      </c>
      <c r="AZ7" s="15">
        <v>0</v>
      </c>
      <c r="BA7" s="15">
        <v>14.5</v>
      </c>
      <c r="BB7" s="15">
        <v>2.9</v>
      </c>
      <c r="BC7" s="15">
        <v>0</v>
      </c>
      <c r="BD7" s="15">
        <v>0.7</v>
      </c>
      <c r="BE7" s="15">
        <v>17.2</v>
      </c>
      <c r="BF7" s="15">
        <v>3.6</v>
      </c>
      <c r="BG7" s="15">
        <v>0.2</v>
      </c>
      <c r="BH7" s="15">
        <v>0.7</v>
      </c>
      <c r="BI7" s="15">
        <v>16.5</v>
      </c>
      <c r="BJ7" s="15">
        <v>3.8</v>
      </c>
      <c r="BK7" s="15">
        <v>0.4</v>
      </c>
      <c r="BL7" s="15">
        <v>0.7</v>
      </c>
      <c r="BM7" s="20"/>
      <c r="BN7" s="43">
        <f t="shared" si="24"/>
        <v>3.4</v>
      </c>
      <c r="BO7" s="43">
        <f t="shared" si="25"/>
        <v>19.8</v>
      </c>
      <c r="BP7" s="43">
        <f t="shared" si="26"/>
        <v>2.9</v>
      </c>
      <c r="BQ7" s="43">
        <f t="shared" si="27"/>
        <v>18.099999999999998</v>
      </c>
      <c r="BR7" s="10">
        <f t="shared" si="28"/>
        <v>6.3</v>
      </c>
      <c r="BS7" s="10">
        <f t="shared" si="29"/>
        <v>37.9</v>
      </c>
      <c r="BT7" s="10">
        <f t="shared" si="30"/>
        <v>3.6</v>
      </c>
      <c r="BU7" s="10">
        <f t="shared" si="31"/>
        <v>21.3</v>
      </c>
      <c r="BV7" s="10">
        <f t="shared" si="32"/>
        <v>3.8</v>
      </c>
      <c r="BW7" s="10">
        <f t="shared" si="33"/>
        <v>20.6</v>
      </c>
      <c r="BX7" s="10">
        <f t="shared" si="34"/>
        <v>7.4</v>
      </c>
      <c r="BY7" s="10">
        <f t="shared" si="35"/>
        <v>41.900000000000006</v>
      </c>
      <c r="BZ7" s="10">
        <f t="shared" si="36"/>
        <v>79.800000000000011</v>
      </c>
      <c r="CA7" s="34" t="str">
        <f t="shared" si="37"/>
        <v/>
      </c>
      <c r="CB7" s="34" t="str">
        <f t="shared" si="38"/>
        <v/>
      </c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27" t="str">
        <f t="shared" si="39"/>
        <v/>
      </c>
      <c r="CX7" s="27" t="str">
        <f t="shared" si="40"/>
        <v/>
      </c>
      <c r="CY7" s="27" t="str">
        <f t="shared" si="41"/>
        <v/>
      </c>
      <c r="CZ7" s="27" t="str">
        <f t="shared" si="42"/>
        <v/>
      </c>
      <c r="DA7" s="27" t="str">
        <f t="shared" si="43"/>
        <v/>
      </c>
      <c r="DB7" s="27" t="str">
        <f t="shared" si="44"/>
        <v/>
      </c>
      <c r="DC7" s="27" t="str">
        <f t="shared" si="45"/>
        <v/>
      </c>
      <c r="DD7" s="27" t="str">
        <f t="shared" si="46"/>
        <v/>
      </c>
      <c r="DE7" s="27" t="str">
        <f t="shared" si="47"/>
        <v/>
      </c>
      <c r="DF7" s="27" t="str">
        <f t="shared" si="48"/>
        <v/>
      </c>
      <c r="DG7" s="27" t="str">
        <f t="shared" si="49"/>
        <v/>
      </c>
      <c r="DH7" s="27" t="str">
        <f t="shared" si="50"/>
        <v/>
      </c>
      <c r="DI7" s="27" t="str">
        <f t="shared" si="51"/>
        <v/>
      </c>
      <c r="DJ7" s="27" t="str">
        <f t="shared" si="52"/>
        <v/>
      </c>
      <c r="DK7" s="27" t="str">
        <f t="shared" si="53"/>
        <v/>
      </c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0" t="str">
        <f t="shared" si="54"/>
        <v/>
      </c>
      <c r="EG7" s="10" t="str">
        <f t="shared" si="55"/>
        <v/>
      </c>
      <c r="EH7" s="10" t="str">
        <f t="shared" si="56"/>
        <v/>
      </c>
      <c r="EI7" s="10" t="str">
        <f t="shared" si="57"/>
        <v/>
      </c>
      <c r="EJ7" s="10" t="str">
        <f t="shared" si="58"/>
        <v/>
      </c>
      <c r="EK7" s="10" t="str">
        <f t="shared" si="59"/>
        <v/>
      </c>
      <c r="EL7" s="10" t="str">
        <f t="shared" si="60"/>
        <v/>
      </c>
      <c r="EM7" s="10" t="str">
        <f t="shared" si="61"/>
        <v/>
      </c>
      <c r="EN7" s="10" t="str">
        <f t="shared" si="62"/>
        <v/>
      </c>
      <c r="EO7" s="10" t="str">
        <f t="shared" si="63"/>
        <v/>
      </c>
      <c r="EP7" s="10" t="str">
        <f t="shared" si="64"/>
        <v/>
      </c>
      <c r="EQ7" s="10" t="str">
        <f t="shared" si="65"/>
        <v/>
      </c>
      <c r="ER7" s="10" t="str">
        <f t="shared" si="66"/>
        <v/>
      </c>
      <c r="ES7" s="10" t="str">
        <f t="shared" si="67"/>
        <v/>
      </c>
      <c r="ET7" s="10" t="str">
        <f t="shared" si="68"/>
        <v/>
      </c>
      <c r="EU7" s="44">
        <f t="shared" si="69"/>
        <v>16.05</v>
      </c>
      <c r="EV7" s="44">
        <f t="shared" si="70"/>
        <v>3.4</v>
      </c>
      <c r="EW7" s="44">
        <f t="shared" si="71"/>
        <v>0.2</v>
      </c>
      <c r="EX7" s="44">
        <f t="shared" si="72"/>
        <v>0.35</v>
      </c>
      <c r="EY7" s="44">
        <f t="shared" si="73"/>
        <v>15.8</v>
      </c>
      <c r="EZ7" s="44">
        <f t="shared" si="74"/>
        <v>3.3499999999999996</v>
      </c>
      <c r="FA7" s="44">
        <f t="shared" si="75"/>
        <v>0</v>
      </c>
      <c r="FB7" s="44">
        <f t="shared" si="76"/>
        <v>0.7</v>
      </c>
      <c r="FC7" s="44">
        <f t="shared" si="77"/>
        <v>16</v>
      </c>
      <c r="FD7" s="44">
        <f t="shared" si="78"/>
        <v>4.8499999999999996</v>
      </c>
      <c r="FE7" s="44">
        <f t="shared" si="79"/>
        <v>0.1</v>
      </c>
      <c r="FF7" s="44">
        <f t="shared" si="80"/>
        <v>0.7</v>
      </c>
      <c r="FG7" s="44">
        <f t="shared" si="81"/>
        <v>16.3</v>
      </c>
      <c r="FH7" s="44">
        <f t="shared" si="82"/>
        <v>2.5</v>
      </c>
      <c r="FI7" s="44">
        <f t="shared" si="83"/>
        <v>0.2</v>
      </c>
      <c r="FJ7" s="44">
        <f t="shared" si="84"/>
        <v>0.35</v>
      </c>
      <c r="FK7" s="20" t="s">
        <v>29</v>
      </c>
      <c r="FL7" s="10">
        <f t="shared" si="85"/>
        <v>3.4</v>
      </c>
      <c r="FM7" s="10">
        <f t="shared" si="86"/>
        <v>19.600000000000001</v>
      </c>
      <c r="FN7" s="10">
        <f t="shared" si="87"/>
        <v>3.3499999999999996</v>
      </c>
      <c r="FO7" s="10">
        <f t="shared" si="88"/>
        <v>19.849999999999998</v>
      </c>
      <c r="FP7" s="10">
        <f t="shared" si="89"/>
        <v>6.75</v>
      </c>
      <c r="FQ7" s="10">
        <f t="shared" si="92"/>
        <v>39.450000000000003</v>
      </c>
      <c r="FR7" s="10">
        <f t="shared" si="93"/>
        <v>4.8499999999999996</v>
      </c>
      <c r="FS7" s="10">
        <f t="shared" si="94"/>
        <v>21.45</v>
      </c>
      <c r="FT7" s="10">
        <f t="shared" si="95"/>
        <v>2.5</v>
      </c>
      <c r="FU7" s="10">
        <f t="shared" si="96"/>
        <v>18.950000000000003</v>
      </c>
      <c r="FV7" s="10">
        <f t="shared" si="97"/>
        <v>7.35</v>
      </c>
      <c r="FW7" s="10">
        <f t="shared" si="90"/>
        <v>40.400000000000006</v>
      </c>
      <c r="FX7" s="10">
        <f t="shared" si="91"/>
        <v>79.850000000000009</v>
      </c>
    </row>
    <row r="8" spans="1:180" x14ac:dyDescent="0.2">
      <c r="A8" s="3" t="str" cm="1">
        <f t="array" ref="A8">IF(AND(H8&lt;&gt;"",H8&lt;&gt;"No DD",I8&lt;&gt;"P"),SUMPRODUCT((H$4:H$18&lt;&gt;"")*(H$4:H$18&lt;&gt;"No DD")*(I$4:I$18&lt;&gt;"P")*(E$4:E$18&gt;E8))+1,IF(H8="No DD",SUMPRODUCT((H$4:H$18="No DD")*(I$4:I$18&lt;&gt;"P")*(E$4:E$18&gt;E8))+1+SUMPRODUCT((H$4:H$18&lt;&gt;"")*(I$4:I$18&lt;&gt;"P")*(H$4:H$18&lt;&gt;"No DD")),""))</f>
        <v/>
      </c>
      <c r="B8" s="4" t="s">
        <v>114</v>
      </c>
      <c r="C8" s="3" t="s">
        <v>3</v>
      </c>
      <c r="D8" s="3">
        <v>2007</v>
      </c>
      <c r="E8" s="8">
        <f t="shared" si="0"/>
        <v>83.600006340004185</v>
      </c>
      <c r="F8" s="2" t="str">
        <f t="shared" si="1"/>
        <v/>
      </c>
      <c r="G8" s="2" t="str">
        <f t="shared" si="2"/>
        <v/>
      </c>
      <c r="H8" s="26" t="str">
        <f t="shared" si="3"/>
        <v/>
      </c>
      <c r="I8" s="2" t="str">
        <f>IF(COUNTIFS('Senior-W'!B:B,B8,'Senior-W'!A:A,"&lt;9",'Senior-W'!H:H,"&lt;&gt;"&amp;"No DD"),"P","")</f>
        <v/>
      </c>
      <c r="J8" s="7">
        <f t="shared" si="4"/>
        <v>41.9</v>
      </c>
      <c r="K8" s="7" t="str">
        <f t="shared" si="5"/>
        <v>2025 Nationals</v>
      </c>
      <c r="L8" s="7">
        <f>IF(J8=AO8,IF(COUNT(AQ8,AS8,BO8,BQ8,BU8,BW8)&gt;1,LARGE((AQ8,AS8,BO8,BQ8,BU8,BW8),1),0),IF(COUNT(AK8,AM8,AQ8,AS8,BU8,BW8)&gt;1,LARGE((AK8,AM8,AQ8,AS8,BU8,BW8),1),0))</f>
        <v>21.5</v>
      </c>
      <c r="M8" s="7" t="str">
        <f t="shared" si="6"/>
        <v>2025 Nationals</v>
      </c>
      <c r="N8" s="7">
        <f>IF(J8=AO8,IF(COUNT(AQ8,AS8,BO8,BQ8,BU8,BW8)&gt;1,LARGE((AQ8,AS8,BO8,BQ8,BU8,BW8),2),0),IF(COUNT(AK8,AM8,AQ8,AS8,BU8,BW8)&gt;1,LARGE((AK8,AM8,AQ8,AS8,BU8,BW8),2),0))</f>
        <v>20.2</v>
      </c>
      <c r="O8" s="7" t="str">
        <f t="shared" si="7"/>
        <v>2025 Nationals</v>
      </c>
      <c r="P8" s="7" t="str">
        <f t="shared" si="8"/>
        <v/>
      </c>
      <c r="Q8" s="10" t="str">
        <f t="shared" si="9"/>
        <v/>
      </c>
      <c r="R8" s="7" t="str">
        <f t="shared" si="10"/>
        <v/>
      </c>
      <c r="S8" s="39">
        <v>16.399999999999999</v>
      </c>
      <c r="T8" s="39">
        <v>4.2</v>
      </c>
      <c r="U8" s="39">
        <v>0</v>
      </c>
      <c r="V8" s="39">
        <v>0.7</v>
      </c>
      <c r="W8" s="39">
        <v>16</v>
      </c>
      <c r="X8" s="39">
        <v>4.5999999999999996</v>
      </c>
      <c r="Y8" s="39">
        <v>0</v>
      </c>
      <c r="Z8" s="39">
        <v>0</v>
      </c>
      <c r="AA8" s="39">
        <v>16.2</v>
      </c>
      <c r="AB8" s="39">
        <v>3.3</v>
      </c>
      <c r="AC8" s="39">
        <v>0</v>
      </c>
      <c r="AD8" s="39">
        <v>0.7</v>
      </c>
      <c r="AE8" s="39">
        <v>16.7</v>
      </c>
      <c r="AF8" s="39">
        <v>4.8</v>
      </c>
      <c r="AG8" s="39">
        <v>0</v>
      </c>
      <c r="AH8" s="39">
        <v>0</v>
      </c>
      <c r="AI8" s="19"/>
      <c r="AJ8" s="42">
        <f t="shared" si="11"/>
        <v>4.2</v>
      </c>
      <c r="AK8" s="42">
        <f t="shared" si="12"/>
        <v>21.299999999999997</v>
      </c>
      <c r="AL8" s="42">
        <f t="shared" si="13"/>
        <v>4.5999999999999996</v>
      </c>
      <c r="AM8" s="42">
        <f t="shared" si="14"/>
        <v>20.6</v>
      </c>
      <c r="AN8" s="27">
        <f t="shared" si="15"/>
        <v>8.8000000000000007</v>
      </c>
      <c r="AO8" s="27">
        <f t="shared" si="16"/>
        <v>41.9</v>
      </c>
      <c r="AP8" s="27">
        <f t="shared" si="17"/>
        <v>3.3</v>
      </c>
      <c r="AQ8" s="27">
        <f t="shared" si="18"/>
        <v>20.2</v>
      </c>
      <c r="AR8" s="27">
        <f t="shared" si="19"/>
        <v>4.8</v>
      </c>
      <c r="AS8" s="27">
        <f t="shared" si="20"/>
        <v>21.5</v>
      </c>
      <c r="AT8" s="27">
        <f t="shared" si="21"/>
        <v>8.1</v>
      </c>
      <c r="AU8" s="27">
        <f t="shared" si="22"/>
        <v>41.7</v>
      </c>
      <c r="AV8" s="27">
        <f t="shared" si="23"/>
        <v>83.6</v>
      </c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20"/>
      <c r="BN8" s="43" t="str">
        <f t="shared" si="24"/>
        <v/>
      </c>
      <c r="BO8" s="43" t="str">
        <f t="shared" si="25"/>
        <v/>
      </c>
      <c r="BP8" s="43" t="str">
        <f t="shared" si="26"/>
        <v/>
      </c>
      <c r="BQ8" s="43" t="str">
        <f t="shared" si="27"/>
        <v/>
      </c>
      <c r="BR8" s="10" t="str">
        <f t="shared" si="28"/>
        <v/>
      </c>
      <c r="BS8" s="10" t="str">
        <f t="shared" si="29"/>
        <v/>
      </c>
      <c r="BT8" s="10" t="str">
        <f t="shared" si="30"/>
        <v/>
      </c>
      <c r="BU8" s="10" t="str">
        <f t="shared" si="31"/>
        <v/>
      </c>
      <c r="BV8" s="10" t="str">
        <f t="shared" si="32"/>
        <v/>
      </c>
      <c r="BW8" s="10" t="str">
        <f t="shared" si="33"/>
        <v/>
      </c>
      <c r="BX8" s="10" t="str">
        <f t="shared" si="34"/>
        <v/>
      </c>
      <c r="BY8" s="10" t="str">
        <f t="shared" si="35"/>
        <v/>
      </c>
      <c r="BZ8" s="10" t="str">
        <f t="shared" si="36"/>
        <v/>
      </c>
      <c r="CA8" s="34" t="str">
        <f t="shared" si="37"/>
        <v/>
      </c>
      <c r="CB8" s="34" t="str">
        <f t="shared" si="38"/>
        <v/>
      </c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27" t="str">
        <f t="shared" si="39"/>
        <v/>
      </c>
      <c r="CX8" s="27" t="str">
        <f t="shared" si="40"/>
        <v/>
      </c>
      <c r="CY8" s="27" t="str">
        <f t="shared" si="41"/>
        <v/>
      </c>
      <c r="CZ8" s="27" t="str">
        <f t="shared" si="42"/>
        <v/>
      </c>
      <c r="DA8" s="27" t="str">
        <f t="shared" si="43"/>
        <v/>
      </c>
      <c r="DB8" s="27" t="str">
        <f t="shared" si="44"/>
        <v/>
      </c>
      <c r="DC8" s="27" t="str">
        <f t="shared" si="45"/>
        <v/>
      </c>
      <c r="DD8" s="27" t="str">
        <f t="shared" si="46"/>
        <v/>
      </c>
      <c r="DE8" s="27" t="str">
        <f t="shared" si="47"/>
        <v/>
      </c>
      <c r="DF8" s="27" t="str">
        <f t="shared" si="48"/>
        <v/>
      </c>
      <c r="DG8" s="27" t="str">
        <f t="shared" si="49"/>
        <v/>
      </c>
      <c r="DH8" s="27" t="str">
        <f t="shared" si="50"/>
        <v/>
      </c>
      <c r="DI8" s="27" t="str">
        <f t="shared" si="51"/>
        <v/>
      </c>
      <c r="DJ8" s="27" t="str">
        <f t="shared" si="52"/>
        <v/>
      </c>
      <c r="DK8" s="27" t="str">
        <f t="shared" si="53"/>
        <v/>
      </c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0" t="str">
        <f t="shared" si="54"/>
        <v/>
      </c>
      <c r="EG8" s="10" t="str">
        <f t="shared" si="55"/>
        <v/>
      </c>
      <c r="EH8" s="10" t="str">
        <f t="shared" si="56"/>
        <v/>
      </c>
      <c r="EI8" s="10" t="str">
        <f t="shared" si="57"/>
        <v/>
      </c>
      <c r="EJ8" s="10" t="str">
        <f t="shared" si="58"/>
        <v/>
      </c>
      <c r="EK8" s="10" t="str">
        <f t="shared" si="59"/>
        <v/>
      </c>
      <c r="EL8" s="10" t="str">
        <f t="shared" si="60"/>
        <v/>
      </c>
      <c r="EM8" s="10" t="str">
        <f t="shared" si="61"/>
        <v/>
      </c>
      <c r="EN8" s="10" t="str">
        <f t="shared" si="62"/>
        <v/>
      </c>
      <c r="EO8" s="10" t="str">
        <f t="shared" si="63"/>
        <v/>
      </c>
      <c r="EP8" s="10" t="str">
        <f t="shared" si="64"/>
        <v/>
      </c>
      <c r="EQ8" s="10" t="str">
        <f t="shared" si="65"/>
        <v/>
      </c>
      <c r="ER8" s="10" t="str">
        <f t="shared" si="66"/>
        <v/>
      </c>
      <c r="ES8" s="10" t="str">
        <f t="shared" si="67"/>
        <v/>
      </c>
      <c r="ET8" s="10" t="str">
        <f t="shared" si="68"/>
        <v/>
      </c>
      <c r="EU8" s="44">
        <f t="shared" si="69"/>
        <v>8.1999999999999993</v>
      </c>
      <c r="EV8" s="44">
        <f t="shared" si="70"/>
        <v>2.1</v>
      </c>
      <c r="EW8" s="44">
        <f t="shared" si="71"/>
        <v>0</v>
      </c>
      <c r="EX8" s="44">
        <f t="shared" si="72"/>
        <v>0.35</v>
      </c>
      <c r="EY8" s="44">
        <f t="shared" si="73"/>
        <v>8</v>
      </c>
      <c r="EZ8" s="44">
        <f t="shared" si="74"/>
        <v>2.2999999999999998</v>
      </c>
      <c r="FA8" s="44">
        <f t="shared" si="75"/>
        <v>0</v>
      </c>
      <c r="FB8" s="44">
        <f t="shared" si="76"/>
        <v>0</v>
      </c>
      <c r="FC8" s="44">
        <f t="shared" si="77"/>
        <v>8.1</v>
      </c>
      <c r="FD8" s="44">
        <f t="shared" si="78"/>
        <v>1.65</v>
      </c>
      <c r="FE8" s="44">
        <f t="shared" si="79"/>
        <v>0</v>
      </c>
      <c r="FF8" s="44">
        <f t="shared" si="80"/>
        <v>0.35</v>
      </c>
      <c r="FG8" s="44">
        <f t="shared" si="81"/>
        <v>8.35</v>
      </c>
      <c r="FH8" s="44">
        <f t="shared" si="82"/>
        <v>2.4</v>
      </c>
      <c r="FI8" s="44">
        <f t="shared" si="83"/>
        <v>0</v>
      </c>
      <c r="FJ8" s="44">
        <f t="shared" si="84"/>
        <v>0</v>
      </c>
      <c r="FK8" s="20" t="s">
        <v>29</v>
      </c>
      <c r="FL8" s="10">
        <f t="shared" si="85"/>
        <v>2.1</v>
      </c>
      <c r="FM8" s="10">
        <f t="shared" si="86"/>
        <v>10.649999999999999</v>
      </c>
      <c r="FN8" s="10">
        <f t="shared" si="87"/>
        <v>2.2999999999999998</v>
      </c>
      <c r="FO8" s="10">
        <f t="shared" si="88"/>
        <v>10.3</v>
      </c>
      <c r="FP8" s="10">
        <f t="shared" si="89"/>
        <v>4.4000000000000004</v>
      </c>
      <c r="FQ8" s="10">
        <f t="shared" si="92"/>
        <v>20.95</v>
      </c>
      <c r="FR8" s="10">
        <f t="shared" si="93"/>
        <v>1.65</v>
      </c>
      <c r="FS8" s="10">
        <f t="shared" si="94"/>
        <v>10.1</v>
      </c>
      <c r="FT8" s="10">
        <f t="shared" si="95"/>
        <v>2.4</v>
      </c>
      <c r="FU8" s="10">
        <f t="shared" si="96"/>
        <v>10.75</v>
      </c>
      <c r="FV8" s="10">
        <f t="shared" si="97"/>
        <v>4.05</v>
      </c>
      <c r="FW8" s="10">
        <f t="shared" si="90"/>
        <v>20.85</v>
      </c>
      <c r="FX8" s="10">
        <f t="shared" si="91"/>
        <v>41.8</v>
      </c>
    </row>
    <row r="9" spans="1:180" x14ac:dyDescent="0.2">
      <c r="A9" s="3" t="str" cm="1">
        <f t="array" ref="A9">IF(AND(H9&lt;&gt;"",H9&lt;&gt;"No DD",I9&lt;&gt;"P"),SUMPRODUCT((H$4:H$18&lt;&gt;"")*(H$4:H$18&lt;&gt;"No DD")*(I$4:I$18&lt;&gt;"P")*(E$4:E$18&gt;E9))+1,IF(H9="No DD",SUMPRODUCT((H$4:H$18="No DD")*(I$4:I$18&lt;&gt;"P")*(E$4:E$18&gt;E9))+1+SUMPRODUCT((H$4:H$18&lt;&gt;"")*(I$4:I$18&lt;&gt;"P")*(H$4:H$18&lt;&gt;"No DD")),""))</f>
        <v/>
      </c>
      <c r="B9" s="4" t="s">
        <v>121</v>
      </c>
      <c r="C9" s="3" t="s">
        <v>6</v>
      </c>
      <c r="D9" s="3">
        <v>2009</v>
      </c>
      <c r="E9" s="8">
        <f t="shared" si="0"/>
        <v>81.400005910003827</v>
      </c>
      <c r="F9" s="2" t="str">
        <f t="shared" si="1"/>
        <v/>
      </c>
      <c r="G9" s="2" t="str">
        <f t="shared" si="2"/>
        <v/>
      </c>
      <c r="H9" s="26" t="str">
        <f t="shared" si="3"/>
        <v/>
      </c>
      <c r="I9" s="2" t="str">
        <f>IF(COUNTIFS('Senior-W'!B:B,B9,'Senior-W'!A:A,"&lt;9",'Senior-W'!H:H,"&lt;&gt;"&amp;"No DD"),"P","")</f>
        <v/>
      </c>
      <c r="J9" s="7">
        <f t="shared" si="4"/>
        <v>38.299999999999997</v>
      </c>
      <c r="K9" s="7" t="str">
        <f t="shared" si="5"/>
        <v>2025 Nationals</v>
      </c>
      <c r="L9" s="7">
        <f>IF(J9=AO9,IF(COUNT(AQ9,AS9,BO9,BQ9,BU9,BW9)&gt;1,LARGE((AQ9,AS9,BO9,BQ9,BU9,BW9),1),0),IF(COUNT(AK9,AM9,AQ9,AS9,BU9,BW9)&gt;1,LARGE((AK9,AM9,AQ9,AS9,BU9,BW9),1),0))</f>
        <v>20.799999999999997</v>
      </c>
      <c r="M9" s="7" t="str">
        <f t="shared" si="6"/>
        <v>2025 Nationals</v>
      </c>
      <c r="N9" s="7">
        <f>IF(J9=AO9,IF(COUNT(AQ9,AS9,BO9,BQ9,BU9,BW9)&gt;1,LARGE((AQ9,AS9,BO9,BQ9,BU9,BW9),2),0),IF(COUNT(AK9,AM9,AQ9,AS9,BU9,BW9)&gt;1,LARGE((AK9,AM9,AQ9,AS9,BU9,BW9),2),0))</f>
        <v>20.799999999999997</v>
      </c>
      <c r="O9" s="7" t="str">
        <f t="shared" si="7"/>
        <v>2025 Nationals</v>
      </c>
      <c r="P9" s="7">
        <f t="shared" si="8"/>
        <v>1.5</v>
      </c>
      <c r="Q9" s="10" t="str">
        <f t="shared" si="9"/>
        <v>(Q1)</v>
      </c>
      <c r="R9" s="7" t="str">
        <f t="shared" si="10"/>
        <v>2025 WAGC (Nov 16)</v>
      </c>
      <c r="S9" s="39">
        <v>16.600000000000001</v>
      </c>
      <c r="T9" s="39">
        <v>3.9</v>
      </c>
      <c r="U9" s="39">
        <v>0</v>
      </c>
      <c r="V9" s="39">
        <v>0</v>
      </c>
      <c r="W9" s="39">
        <v>15.9</v>
      </c>
      <c r="X9" s="39">
        <v>1.9</v>
      </c>
      <c r="Y9" s="39">
        <v>0</v>
      </c>
      <c r="Z9" s="39">
        <v>0</v>
      </c>
      <c r="AA9" s="39">
        <v>16.899999999999999</v>
      </c>
      <c r="AB9" s="39">
        <v>3.9</v>
      </c>
      <c r="AC9" s="39">
        <v>0</v>
      </c>
      <c r="AD9" s="39">
        <v>0</v>
      </c>
      <c r="AE9" s="39">
        <v>16.7</v>
      </c>
      <c r="AF9" s="39">
        <v>4.0999999999999996</v>
      </c>
      <c r="AG9" s="39">
        <v>0</v>
      </c>
      <c r="AH9" s="39">
        <v>0</v>
      </c>
      <c r="AI9" s="19"/>
      <c r="AJ9" s="42">
        <f t="shared" si="11"/>
        <v>3.9</v>
      </c>
      <c r="AK9" s="42">
        <f t="shared" si="12"/>
        <v>20.5</v>
      </c>
      <c r="AL9" s="42">
        <f t="shared" si="13"/>
        <v>1.9</v>
      </c>
      <c r="AM9" s="42">
        <f t="shared" si="14"/>
        <v>17.8</v>
      </c>
      <c r="AN9" s="27">
        <f t="shared" si="15"/>
        <v>5.8</v>
      </c>
      <c r="AO9" s="27">
        <f t="shared" si="16"/>
        <v>38.299999999999997</v>
      </c>
      <c r="AP9" s="27">
        <f t="shared" si="17"/>
        <v>3.9</v>
      </c>
      <c r="AQ9" s="27">
        <f t="shared" si="18"/>
        <v>20.799999999999997</v>
      </c>
      <c r="AR9" s="27">
        <f t="shared" si="19"/>
        <v>4.0999999999999996</v>
      </c>
      <c r="AS9" s="27">
        <f t="shared" si="20"/>
        <v>20.799999999999997</v>
      </c>
      <c r="AT9" s="27">
        <f t="shared" si="21"/>
        <v>8</v>
      </c>
      <c r="AU9" s="27">
        <f t="shared" si="22"/>
        <v>41.599999999999994</v>
      </c>
      <c r="AV9" s="27">
        <f t="shared" si="23"/>
        <v>79.899999999999991</v>
      </c>
      <c r="AW9" s="15">
        <v>16.3</v>
      </c>
      <c r="AX9" s="15">
        <v>3.9</v>
      </c>
      <c r="AY9" s="15">
        <v>0.4</v>
      </c>
      <c r="AZ9" s="15">
        <v>0</v>
      </c>
      <c r="BA9" s="15">
        <v>15.8</v>
      </c>
      <c r="BB9" s="15">
        <v>1.9</v>
      </c>
      <c r="BC9" s="15">
        <v>0.2</v>
      </c>
      <c r="BD9" s="15">
        <v>0</v>
      </c>
      <c r="BE9" s="15">
        <v>15.7</v>
      </c>
      <c r="BF9" s="15">
        <v>1.9</v>
      </c>
      <c r="BG9" s="15">
        <v>0.2</v>
      </c>
      <c r="BH9" s="15">
        <v>0</v>
      </c>
      <c r="BI9" s="15">
        <v>14.6</v>
      </c>
      <c r="BJ9" s="15">
        <v>2.9</v>
      </c>
      <c r="BK9" s="15">
        <v>1.3</v>
      </c>
      <c r="BL9" s="15">
        <v>0</v>
      </c>
      <c r="BM9" s="20"/>
      <c r="BN9" s="43">
        <f t="shared" si="24"/>
        <v>3.9</v>
      </c>
      <c r="BO9" s="43">
        <f t="shared" si="25"/>
        <v>19.8</v>
      </c>
      <c r="BP9" s="43">
        <f t="shared" si="26"/>
        <v>1.9</v>
      </c>
      <c r="BQ9" s="43">
        <f t="shared" si="27"/>
        <v>17.5</v>
      </c>
      <c r="BR9" s="10">
        <f t="shared" si="28"/>
        <v>5.8</v>
      </c>
      <c r="BS9" s="10">
        <f t="shared" si="29"/>
        <v>37.299999999999997</v>
      </c>
      <c r="BT9" s="10">
        <f t="shared" si="30"/>
        <v>1.9</v>
      </c>
      <c r="BU9" s="10">
        <f t="shared" si="31"/>
        <v>17.399999999999999</v>
      </c>
      <c r="BV9" s="10">
        <f t="shared" si="32"/>
        <v>2.9</v>
      </c>
      <c r="BW9" s="10">
        <f t="shared" si="33"/>
        <v>16.2</v>
      </c>
      <c r="BX9" s="10">
        <f t="shared" si="34"/>
        <v>4.8</v>
      </c>
      <c r="BY9" s="10">
        <f t="shared" si="35"/>
        <v>33.599999999999994</v>
      </c>
      <c r="BZ9" s="10">
        <f t="shared" si="36"/>
        <v>70.899999999999991</v>
      </c>
      <c r="CA9" s="34">
        <f t="shared" si="37"/>
        <v>1.5</v>
      </c>
      <c r="CB9" s="34" t="str">
        <f t="shared" si="38"/>
        <v/>
      </c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27" t="str">
        <f t="shared" si="39"/>
        <v/>
      </c>
      <c r="CX9" s="27" t="str">
        <f t="shared" si="40"/>
        <v/>
      </c>
      <c r="CY9" s="27" t="str">
        <f t="shared" si="41"/>
        <v/>
      </c>
      <c r="CZ9" s="27" t="str">
        <f t="shared" si="42"/>
        <v/>
      </c>
      <c r="DA9" s="27" t="str">
        <f t="shared" si="43"/>
        <v/>
      </c>
      <c r="DB9" s="27" t="str">
        <f t="shared" si="44"/>
        <v/>
      </c>
      <c r="DC9" s="27" t="str">
        <f t="shared" si="45"/>
        <v/>
      </c>
      <c r="DD9" s="27" t="str">
        <f t="shared" si="46"/>
        <v/>
      </c>
      <c r="DE9" s="27" t="str">
        <f t="shared" si="47"/>
        <v/>
      </c>
      <c r="DF9" s="27" t="str">
        <f t="shared" si="48"/>
        <v/>
      </c>
      <c r="DG9" s="27" t="str">
        <f t="shared" si="49"/>
        <v/>
      </c>
      <c r="DH9" s="27" t="str">
        <f t="shared" si="50"/>
        <v/>
      </c>
      <c r="DI9" s="27" t="str">
        <f t="shared" si="51"/>
        <v/>
      </c>
      <c r="DJ9" s="27" t="str">
        <f t="shared" si="52"/>
        <v/>
      </c>
      <c r="DK9" s="27" t="str">
        <f t="shared" si="53"/>
        <v/>
      </c>
      <c r="DL9" s="15">
        <v>16.399999999999999</v>
      </c>
      <c r="DM9" s="15">
        <v>4.0999999999999996</v>
      </c>
      <c r="DN9" s="15">
        <v>0</v>
      </c>
      <c r="DO9" s="15">
        <v>0</v>
      </c>
      <c r="DP9" s="15">
        <v>15.9</v>
      </c>
      <c r="DQ9" s="15">
        <v>3.6</v>
      </c>
      <c r="DR9" s="15">
        <v>0.2</v>
      </c>
      <c r="DS9" s="15">
        <v>0</v>
      </c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0">
        <f t="shared" si="54"/>
        <v>4.0999999999999996</v>
      </c>
      <c r="EG9" s="10">
        <f t="shared" si="55"/>
        <v>20.5</v>
      </c>
      <c r="EH9" s="10">
        <f t="shared" si="56"/>
        <v>3.6</v>
      </c>
      <c r="EI9" s="10">
        <f t="shared" si="57"/>
        <v>19.3</v>
      </c>
      <c r="EJ9" s="10">
        <f t="shared" si="58"/>
        <v>7.6999999999999993</v>
      </c>
      <c r="EK9" s="10">
        <f t="shared" si="59"/>
        <v>39.799999999999997</v>
      </c>
      <c r="EL9" s="10" t="str">
        <f t="shared" si="60"/>
        <v/>
      </c>
      <c r="EM9" s="10" t="str">
        <f t="shared" si="61"/>
        <v/>
      </c>
      <c r="EN9" s="10" t="str">
        <f t="shared" si="62"/>
        <v/>
      </c>
      <c r="EO9" s="10" t="str">
        <f t="shared" si="63"/>
        <v/>
      </c>
      <c r="EP9" s="10" t="str">
        <f t="shared" si="64"/>
        <v/>
      </c>
      <c r="EQ9" s="10" t="str">
        <f t="shared" si="65"/>
        <v/>
      </c>
      <c r="ER9" s="10" t="str">
        <f t="shared" si="66"/>
        <v/>
      </c>
      <c r="ES9" s="10" t="str">
        <f t="shared" si="67"/>
        <v/>
      </c>
      <c r="ET9" s="10">
        <f t="shared" si="68"/>
        <v>39.799999999999997</v>
      </c>
      <c r="EU9" s="44">
        <f t="shared" si="69"/>
        <v>16.450000000000003</v>
      </c>
      <c r="EV9" s="44">
        <f t="shared" si="70"/>
        <v>3.9</v>
      </c>
      <c r="EW9" s="44">
        <f t="shared" si="71"/>
        <v>0.2</v>
      </c>
      <c r="EX9" s="44">
        <f t="shared" si="72"/>
        <v>0</v>
      </c>
      <c r="EY9" s="44">
        <f t="shared" si="73"/>
        <v>15.850000000000001</v>
      </c>
      <c r="EZ9" s="44">
        <f t="shared" si="74"/>
        <v>1.9</v>
      </c>
      <c r="FA9" s="44">
        <f t="shared" si="75"/>
        <v>0.1</v>
      </c>
      <c r="FB9" s="44">
        <f t="shared" si="76"/>
        <v>0</v>
      </c>
      <c r="FC9" s="44">
        <f t="shared" si="77"/>
        <v>16.299999999999997</v>
      </c>
      <c r="FD9" s="44">
        <f t="shared" si="78"/>
        <v>2.9</v>
      </c>
      <c r="FE9" s="44">
        <f t="shared" si="79"/>
        <v>0.1</v>
      </c>
      <c r="FF9" s="44">
        <f t="shared" si="80"/>
        <v>0</v>
      </c>
      <c r="FG9" s="44">
        <f t="shared" si="81"/>
        <v>15.649999999999999</v>
      </c>
      <c r="FH9" s="44">
        <f t="shared" si="82"/>
        <v>3.5</v>
      </c>
      <c r="FI9" s="44">
        <f t="shared" si="83"/>
        <v>0.65</v>
      </c>
      <c r="FJ9" s="44">
        <f t="shared" si="84"/>
        <v>0</v>
      </c>
      <c r="FK9" s="20" t="s">
        <v>29</v>
      </c>
      <c r="FL9" s="10">
        <f t="shared" si="85"/>
        <v>3.9</v>
      </c>
      <c r="FM9" s="10">
        <f t="shared" si="86"/>
        <v>20.150000000000002</v>
      </c>
      <c r="FN9" s="10">
        <f t="shared" si="87"/>
        <v>1.9</v>
      </c>
      <c r="FO9" s="10">
        <f t="shared" si="88"/>
        <v>17.649999999999999</v>
      </c>
      <c r="FP9" s="10">
        <f t="shared" si="89"/>
        <v>5.8</v>
      </c>
      <c r="FQ9" s="10">
        <f t="shared" si="92"/>
        <v>37.799999999999997</v>
      </c>
      <c r="FR9" s="10">
        <f t="shared" si="93"/>
        <v>2.9</v>
      </c>
      <c r="FS9" s="10">
        <f t="shared" si="94"/>
        <v>19.099999999999994</v>
      </c>
      <c r="FT9" s="10">
        <f t="shared" si="95"/>
        <v>3.5</v>
      </c>
      <c r="FU9" s="10">
        <f t="shared" si="96"/>
        <v>18.5</v>
      </c>
      <c r="FV9" s="10">
        <f t="shared" si="97"/>
        <v>6.4</v>
      </c>
      <c r="FW9" s="10">
        <f t="shared" si="90"/>
        <v>37.599999999999994</v>
      </c>
      <c r="FX9" s="10">
        <f t="shared" si="91"/>
        <v>75.399999999999991</v>
      </c>
    </row>
    <row r="10" spans="1:180" x14ac:dyDescent="0.2">
      <c r="A10" s="3" t="str" cm="1">
        <f t="array" ref="A10">IF(AND(H10&lt;&gt;"",H10&lt;&gt;"No DD",I10&lt;&gt;"P"),SUMPRODUCT((H$4:H$18&lt;&gt;"")*(H$4:H$18&lt;&gt;"No DD")*(I$4:I$18&lt;&gt;"P")*(E$4:E$18&gt;E10))+1,IF(H10="No DD",SUMPRODUCT((H$4:H$18="No DD")*(I$4:I$18&lt;&gt;"P")*(E$4:E$18&gt;E10))+1+SUMPRODUCT((H$4:H$18&lt;&gt;"")*(I$4:I$18&lt;&gt;"P")*(H$4:H$18&lt;&gt;"No DD")),""))</f>
        <v/>
      </c>
      <c r="B10" s="4" t="s">
        <v>123</v>
      </c>
      <c r="C10" s="3" t="s">
        <v>3</v>
      </c>
      <c r="D10" s="3">
        <v>2007</v>
      </c>
      <c r="E10" s="8">
        <f t="shared" si="0"/>
        <v>80.400006030003965</v>
      </c>
      <c r="F10" s="2" t="str">
        <f t="shared" si="1"/>
        <v/>
      </c>
      <c r="G10" s="2" t="str">
        <f t="shared" si="2"/>
        <v/>
      </c>
      <c r="H10" s="26" t="str">
        <f t="shared" si="3"/>
        <v/>
      </c>
      <c r="I10" s="2" t="str">
        <f>IF(COUNTIFS('Senior-W'!B:B,B10,'Senior-W'!A:A,"&lt;9",'Senior-W'!H:H,"&lt;&gt;"&amp;"No DD"),"P","")</f>
        <v/>
      </c>
      <c r="J10" s="7">
        <f t="shared" si="4"/>
        <v>39.799999999999997</v>
      </c>
      <c r="K10" s="7" t="str">
        <f t="shared" si="5"/>
        <v>2025 Nationals</v>
      </c>
      <c r="L10" s="7">
        <f>IF(J10=AO10,IF(COUNT(AQ10,AS10,BO10,BQ10,BU10,BW10)&gt;1,LARGE((AQ10,AS10,BO10,BQ10,BU10,BW10),1),0),IF(COUNT(AK10,AM10,AQ10,AS10,BU10,BW10)&gt;1,LARGE((AK10,AM10,AQ10,AS10,BU10,BW10),1),0))</f>
        <v>20.5</v>
      </c>
      <c r="M10" s="7" t="str">
        <f t="shared" si="6"/>
        <v>2025 Nationals</v>
      </c>
      <c r="N10" s="7">
        <f>IF(J10=AO10,IF(COUNT(AQ10,AS10,BO10,BQ10,BU10,BW10)&gt;1,LARGE((AQ10,AS10,BO10,BQ10,BU10,BW10),2),0),IF(COUNT(AK10,AM10,AQ10,AS10,BU10,BW10)&gt;1,LARGE((AK10,AM10,AQ10,AS10,BU10,BW10),2),0))</f>
        <v>20.099999999999998</v>
      </c>
      <c r="O10" s="7" t="str">
        <f t="shared" si="7"/>
        <v>2025 Nationals</v>
      </c>
      <c r="P10" s="7" t="str">
        <f t="shared" si="8"/>
        <v/>
      </c>
      <c r="Q10" s="10" t="str">
        <f t="shared" si="9"/>
        <v/>
      </c>
      <c r="R10" s="7" t="str">
        <f t="shared" si="10"/>
        <v/>
      </c>
      <c r="S10" s="39">
        <v>16.7</v>
      </c>
      <c r="T10" s="39">
        <v>3.4</v>
      </c>
      <c r="U10" s="39">
        <v>0.2</v>
      </c>
      <c r="V10" s="39">
        <v>0</v>
      </c>
      <c r="W10" s="39">
        <v>16.8</v>
      </c>
      <c r="X10" s="39">
        <v>3.1</v>
      </c>
      <c r="Y10" s="39">
        <v>0</v>
      </c>
      <c r="Z10" s="39">
        <v>0</v>
      </c>
      <c r="AA10" s="39">
        <v>17.100000000000001</v>
      </c>
      <c r="AB10" s="39">
        <v>3.4</v>
      </c>
      <c r="AC10" s="39">
        <v>0</v>
      </c>
      <c r="AD10" s="39">
        <v>0</v>
      </c>
      <c r="AE10" s="39">
        <v>17.3</v>
      </c>
      <c r="AF10" s="39">
        <v>2.9</v>
      </c>
      <c r="AG10" s="39">
        <v>0.1</v>
      </c>
      <c r="AH10" s="39">
        <v>0</v>
      </c>
      <c r="AI10" s="19"/>
      <c r="AJ10" s="42">
        <f t="shared" si="11"/>
        <v>3.4</v>
      </c>
      <c r="AK10" s="42">
        <f t="shared" si="12"/>
        <v>19.899999999999999</v>
      </c>
      <c r="AL10" s="42">
        <f t="shared" si="13"/>
        <v>3.1</v>
      </c>
      <c r="AM10" s="42">
        <f t="shared" si="14"/>
        <v>19.900000000000002</v>
      </c>
      <c r="AN10" s="27">
        <f t="shared" si="15"/>
        <v>6.5</v>
      </c>
      <c r="AO10" s="27">
        <f t="shared" si="16"/>
        <v>39.799999999999997</v>
      </c>
      <c r="AP10" s="27">
        <f t="shared" si="17"/>
        <v>3.4</v>
      </c>
      <c r="AQ10" s="27">
        <f t="shared" si="18"/>
        <v>20.5</v>
      </c>
      <c r="AR10" s="27">
        <f t="shared" si="19"/>
        <v>2.9</v>
      </c>
      <c r="AS10" s="27">
        <f t="shared" si="20"/>
        <v>20.099999999999998</v>
      </c>
      <c r="AT10" s="27">
        <f t="shared" si="21"/>
        <v>6.3</v>
      </c>
      <c r="AU10" s="27">
        <f t="shared" si="22"/>
        <v>40.599999999999994</v>
      </c>
      <c r="AV10" s="27">
        <f t="shared" si="23"/>
        <v>80.399999999999991</v>
      </c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20"/>
      <c r="BN10" s="43" t="str">
        <f t="shared" si="24"/>
        <v/>
      </c>
      <c r="BO10" s="43" t="str">
        <f t="shared" si="25"/>
        <v/>
      </c>
      <c r="BP10" s="43" t="str">
        <f t="shared" si="26"/>
        <v/>
      </c>
      <c r="BQ10" s="43" t="str">
        <f t="shared" si="27"/>
        <v/>
      </c>
      <c r="BR10" s="10" t="str">
        <f t="shared" si="28"/>
        <v/>
      </c>
      <c r="BS10" s="10" t="str">
        <f t="shared" si="29"/>
        <v/>
      </c>
      <c r="BT10" s="10" t="str">
        <f t="shared" si="30"/>
        <v/>
      </c>
      <c r="BU10" s="10" t="str">
        <f t="shared" si="31"/>
        <v/>
      </c>
      <c r="BV10" s="10" t="str">
        <f t="shared" si="32"/>
        <v/>
      </c>
      <c r="BW10" s="10" t="str">
        <f t="shared" si="33"/>
        <v/>
      </c>
      <c r="BX10" s="10" t="str">
        <f t="shared" si="34"/>
        <v/>
      </c>
      <c r="BY10" s="10" t="str">
        <f t="shared" si="35"/>
        <v/>
      </c>
      <c r="BZ10" s="10" t="str">
        <f t="shared" si="36"/>
        <v/>
      </c>
      <c r="CA10" s="34" t="str">
        <f t="shared" si="37"/>
        <v/>
      </c>
      <c r="CB10" s="34" t="str">
        <f t="shared" si="38"/>
        <v/>
      </c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27" t="str">
        <f t="shared" si="39"/>
        <v/>
      </c>
      <c r="CX10" s="27" t="str">
        <f t="shared" si="40"/>
        <v/>
      </c>
      <c r="CY10" s="27" t="str">
        <f t="shared" si="41"/>
        <v/>
      </c>
      <c r="CZ10" s="27" t="str">
        <f t="shared" si="42"/>
        <v/>
      </c>
      <c r="DA10" s="27" t="str">
        <f t="shared" si="43"/>
        <v/>
      </c>
      <c r="DB10" s="27" t="str">
        <f t="shared" si="44"/>
        <v/>
      </c>
      <c r="DC10" s="27" t="str">
        <f t="shared" si="45"/>
        <v/>
      </c>
      <c r="DD10" s="27" t="str">
        <f t="shared" si="46"/>
        <v/>
      </c>
      <c r="DE10" s="27" t="str">
        <f t="shared" si="47"/>
        <v/>
      </c>
      <c r="DF10" s="27" t="str">
        <f t="shared" si="48"/>
        <v/>
      </c>
      <c r="DG10" s="27" t="str">
        <f t="shared" si="49"/>
        <v/>
      </c>
      <c r="DH10" s="27" t="str">
        <f t="shared" si="50"/>
        <v/>
      </c>
      <c r="DI10" s="27" t="str">
        <f t="shared" si="51"/>
        <v/>
      </c>
      <c r="DJ10" s="27" t="str">
        <f t="shared" si="52"/>
        <v/>
      </c>
      <c r="DK10" s="27" t="str">
        <f t="shared" si="53"/>
        <v/>
      </c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0" t="str">
        <f t="shared" si="54"/>
        <v/>
      </c>
      <c r="EG10" s="10" t="str">
        <f t="shared" si="55"/>
        <v/>
      </c>
      <c r="EH10" s="10" t="str">
        <f t="shared" si="56"/>
        <v/>
      </c>
      <c r="EI10" s="10" t="str">
        <f t="shared" si="57"/>
        <v/>
      </c>
      <c r="EJ10" s="10" t="str">
        <f t="shared" si="58"/>
        <v/>
      </c>
      <c r="EK10" s="10" t="str">
        <f t="shared" si="59"/>
        <v/>
      </c>
      <c r="EL10" s="10" t="str">
        <f t="shared" si="60"/>
        <v/>
      </c>
      <c r="EM10" s="10" t="str">
        <f t="shared" si="61"/>
        <v/>
      </c>
      <c r="EN10" s="10" t="str">
        <f t="shared" si="62"/>
        <v/>
      </c>
      <c r="EO10" s="10" t="str">
        <f t="shared" si="63"/>
        <v/>
      </c>
      <c r="EP10" s="10" t="str">
        <f t="shared" si="64"/>
        <v/>
      </c>
      <c r="EQ10" s="10" t="str">
        <f t="shared" si="65"/>
        <v/>
      </c>
      <c r="ER10" s="10" t="str">
        <f t="shared" si="66"/>
        <v/>
      </c>
      <c r="ES10" s="10" t="str">
        <f t="shared" si="67"/>
        <v/>
      </c>
      <c r="ET10" s="10" t="str">
        <f t="shared" si="68"/>
        <v/>
      </c>
      <c r="EU10" s="44">
        <f t="shared" si="69"/>
        <v>8.35</v>
      </c>
      <c r="EV10" s="44">
        <f t="shared" si="70"/>
        <v>1.7</v>
      </c>
      <c r="EW10" s="44">
        <f t="shared" si="71"/>
        <v>0.1</v>
      </c>
      <c r="EX10" s="44">
        <f t="shared" si="72"/>
        <v>0</v>
      </c>
      <c r="EY10" s="44">
        <f t="shared" si="73"/>
        <v>8.4</v>
      </c>
      <c r="EZ10" s="44">
        <f t="shared" si="74"/>
        <v>1.55</v>
      </c>
      <c r="FA10" s="44">
        <f t="shared" si="75"/>
        <v>0</v>
      </c>
      <c r="FB10" s="44">
        <f t="shared" si="76"/>
        <v>0</v>
      </c>
      <c r="FC10" s="44">
        <f t="shared" si="77"/>
        <v>8.5500000000000007</v>
      </c>
      <c r="FD10" s="44">
        <f t="shared" si="78"/>
        <v>1.7</v>
      </c>
      <c r="FE10" s="44">
        <f t="shared" si="79"/>
        <v>0</v>
      </c>
      <c r="FF10" s="44">
        <f t="shared" si="80"/>
        <v>0</v>
      </c>
      <c r="FG10" s="44">
        <f t="shared" si="81"/>
        <v>8.65</v>
      </c>
      <c r="FH10" s="44">
        <f t="shared" si="82"/>
        <v>1.45</v>
      </c>
      <c r="FI10" s="44">
        <f t="shared" si="83"/>
        <v>0.05</v>
      </c>
      <c r="FJ10" s="44">
        <f t="shared" si="84"/>
        <v>0</v>
      </c>
      <c r="FK10" s="20" t="s">
        <v>29</v>
      </c>
      <c r="FL10" s="10">
        <f t="shared" si="85"/>
        <v>1.7</v>
      </c>
      <c r="FM10" s="10">
        <f t="shared" si="86"/>
        <v>9.9499999999999993</v>
      </c>
      <c r="FN10" s="10">
        <f t="shared" si="87"/>
        <v>1.55</v>
      </c>
      <c r="FO10" s="10">
        <f t="shared" si="88"/>
        <v>9.9500000000000011</v>
      </c>
      <c r="FP10" s="10">
        <f t="shared" si="89"/>
        <v>3.25</v>
      </c>
      <c r="FQ10" s="10">
        <f t="shared" si="92"/>
        <v>19.899999999999999</v>
      </c>
      <c r="FR10" s="10">
        <f t="shared" si="93"/>
        <v>1.7</v>
      </c>
      <c r="FS10" s="10">
        <f t="shared" si="94"/>
        <v>10.25</v>
      </c>
      <c r="FT10" s="10">
        <f t="shared" si="95"/>
        <v>1.45</v>
      </c>
      <c r="FU10" s="10">
        <f t="shared" si="96"/>
        <v>10.049999999999999</v>
      </c>
      <c r="FV10" s="10">
        <f t="shared" si="97"/>
        <v>3.15</v>
      </c>
      <c r="FW10" s="10">
        <f t="shared" si="90"/>
        <v>20.299999999999997</v>
      </c>
      <c r="FX10" s="10">
        <f t="shared" si="91"/>
        <v>40.199999999999996</v>
      </c>
    </row>
    <row r="11" spans="1:180" x14ac:dyDescent="0.2">
      <c r="A11" s="3" t="str" cm="1">
        <f t="array" ref="A11">IF(AND(H11&lt;&gt;"",H11&lt;&gt;"No DD",I11&lt;&gt;"P"),SUMPRODUCT((H$4:H$18&lt;&gt;"")*(H$4:H$18&lt;&gt;"No DD")*(I$4:I$18&lt;&gt;"P")*(E$4:E$18&gt;E11))+1,IF(H11="No DD",SUMPRODUCT((H$4:H$18="No DD")*(I$4:I$18&lt;&gt;"P")*(E$4:E$18&gt;E11))+1+SUMPRODUCT((H$4:H$18&lt;&gt;"")*(I$4:I$18&lt;&gt;"P")*(H$4:H$18&lt;&gt;"No DD")),""))</f>
        <v/>
      </c>
      <c r="B11" s="4" t="s">
        <v>99</v>
      </c>
      <c r="C11" s="3" t="s">
        <v>4</v>
      </c>
      <c r="D11" s="3">
        <v>2005</v>
      </c>
      <c r="E11" s="8">
        <f t="shared" si="0"/>
        <v>78.800005990003967</v>
      </c>
      <c r="F11" s="2" t="str">
        <f t="shared" si="1"/>
        <v/>
      </c>
      <c r="G11" s="2" t="str">
        <f t="shared" si="2"/>
        <v/>
      </c>
      <c r="H11" s="26" t="str">
        <f t="shared" si="3"/>
        <v/>
      </c>
      <c r="I11" s="2" t="str">
        <f>IF(COUNTIFS('Senior-W'!B:B,B11,'Senior-W'!A:A,"&lt;9",'Senior-W'!H:H,"&lt;&gt;"&amp;"No DD"),"P","")</f>
        <v/>
      </c>
      <c r="J11" s="7">
        <f t="shared" si="4"/>
        <v>39.6</v>
      </c>
      <c r="K11" s="7" t="str">
        <f t="shared" si="5"/>
        <v>2025 Nationals</v>
      </c>
      <c r="L11" s="7">
        <f>IF(J11=AO11,IF(COUNT(AQ11,AS11,BO11,BQ11,BU11,BW11)&gt;1,LARGE((AQ11,AS11,BO11,BQ11,BU11,BW11),1),0),IF(COUNT(AK11,AM11,AQ11,AS11,BU11,BW11)&gt;1,LARGE((AK11,AM11,AQ11,AS11,BU11,BW11),1),0))</f>
        <v>20.299999999999997</v>
      </c>
      <c r="M11" s="7" t="str">
        <f t="shared" si="6"/>
        <v>2025 Nationals</v>
      </c>
      <c r="N11" s="7">
        <f>IF(J11=AO11,IF(COUNT(AQ11,AS11,BO11,BQ11,BU11,BW11)&gt;1,LARGE((AQ11,AS11,BO11,BQ11,BU11,BW11),2),0),IF(COUNT(AK11,AM11,AQ11,AS11,BU11,BW11)&gt;1,LARGE((AK11,AM11,AQ11,AS11,BU11,BW11),2),0))</f>
        <v>18.900000000000002</v>
      </c>
      <c r="O11" s="7" t="str">
        <f t="shared" si="7"/>
        <v>2025 3rd Domestic Trial</v>
      </c>
      <c r="P11" s="7" t="str">
        <f t="shared" si="8"/>
        <v/>
      </c>
      <c r="Q11" s="10" t="str">
        <f t="shared" si="9"/>
        <v/>
      </c>
      <c r="R11" s="7" t="str">
        <f t="shared" si="10"/>
        <v/>
      </c>
      <c r="S11" s="39">
        <v>16.5</v>
      </c>
      <c r="T11" s="39">
        <v>3.9</v>
      </c>
      <c r="U11" s="39">
        <v>0</v>
      </c>
      <c r="V11" s="39">
        <v>0</v>
      </c>
      <c r="W11" s="39">
        <v>16.600000000000001</v>
      </c>
      <c r="X11" s="39">
        <v>2.8</v>
      </c>
      <c r="Y11" s="39">
        <v>0.2</v>
      </c>
      <c r="Z11" s="39">
        <v>0</v>
      </c>
      <c r="AA11" s="39">
        <v>16.399999999999999</v>
      </c>
      <c r="AB11" s="39">
        <v>3.9</v>
      </c>
      <c r="AC11" s="39">
        <v>0</v>
      </c>
      <c r="AD11" s="39">
        <v>0</v>
      </c>
      <c r="AE11" s="39">
        <v>15.7</v>
      </c>
      <c r="AF11" s="39">
        <v>1.9</v>
      </c>
      <c r="AG11" s="39">
        <v>0</v>
      </c>
      <c r="AH11" s="39">
        <v>0</v>
      </c>
      <c r="AI11" s="19"/>
      <c r="AJ11" s="42">
        <f t="shared" si="11"/>
        <v>3.9</v>
      </c>
      <c r="AK11" s="42">
        <f t="shared" si="12"/>
        <v>20.399999999999999</v>
      </c>
      <c r="AL11" s="42">
        <f t="shared" si="13"/>
        <v>2.8</v>
      </c>
      <c r="AM11" s="42">
        <f t="shared" si="14"/>
        <v>19.200000000000003</v>
      </c>
      <c r="AN11" s="27">
        <f t="shared" si="15"/>
        <v>6.6999999999999993</v>
      </c>
      <c r="AO11" s="27">
        <f t="shared" si="16"/>
        <v>39.6</v>
      </c>
      <c r="AP11" s="27">
        <f t="shared" si="17"/>
        <v>3.9</v>
      </c>
      <c r="AQ11" s="27">
        <f t="shared" si="18"/>
        <v>20.299999999999997</v>
      </c>
      <c r="AR11" s="27">
        <f t="shared" si="19"/>
        <v>1.9</v>
      </c>
      <c r="AS11" s="27">
        <f t="shared" si="20"/>
        <v>17.599999999999998</v>
      </c>
      <c r="AT11" s="27">
        <f t="shared" si="21"/>
        <v>5.8</v>
      </c>
      <c r="AU11" s="27">
        <f t="shared" si="22"/>
        <v>37.899999999999991</v>
      </c>
      <c r="AV11" s="27">
        <f t="shared" si="23"/>
        <v>77.5</v>
      </c>
      <c r="AW11" s="15">
        <v>15.6</v>
      </c>
      <c r="AX11" s="15">
        <v>1.9</v>
      </c>
      <c r="AY11" s="15">
        <v>0</v>
      </c>
      <c r="AZ11" s="15">
        <v>0</v>
      </c>
      <c r="BA11" s="15">
        <v>16.3</v>
      </c>
      <c r="BB11" s="15">
        <v>2.8</v>
      </c>
      <c r="BC11" s="15">
        <v>0.2</v>
      </c>
      <c r="BD11" s="15">
        <v>0</v>
      </c>
      <c r="BE11" s="15"/>
      <c r="BF11" s="15"/>
      <c r="BG11" s="15"/>
      <c r="BH11" s="15"/>
      <c r="BI11" s="15"/>
      <c r="BJ11" s="15"/>
      <c r="BK11" s="15"/>
      <c r="BL11" s="15"/>
      <c r="BM11" s="20"/>
      <c r="BN11" s="43">
        <f t="shared" si="24"/>
        <v>1.9</v>
      </c>
      <c r="BO11" s="43">
        <f t="shared" si="25"/>
        <v>17.5</v>
      </c>
      <c r="BP11" s="43">
        <f t="shared" si="26"/>
        <v>2.8</v>
      </c>
      <c r="BQ11" s="43">
        <f t="shared" si="27"/>
        <v>18.900000000000002</v>
      </c>
      <c r="BR11" s="10">
        <f t="shared" si="28"/>
        <v>4.6999999999999993</v>
      </c>
      <c r="BS11" s="10">
        <f t="shared" si="29"/>
        <v>36.400000000000006</v>
      </c>
      <c r="BT11" s="10" t="str">
        <f t="shared" si="30"/>
        <v/>
      </c>
      <c r="BU11" s="10" t="str">
        <f t="shared" si="31"/>
        <v/>
      </c>
      <c r="BV11" s="10" t="str">
        <f t="shared" si="32"/>
        <v/>
      </c>
      <c r="BW11" s="10" t="str">
        <f t="shared" si="33"/>
        <v/>
      </c>
      <c r="BX11" s="10" t="str">
        <f t="shared" si="34"/>
        <v/>
      </c>
      <c r="BY11" s="10" t="str">
        <f t="shared" si="35"/>
        <v/>
      </c>
      <c r="BZ11" s="10">
        <f t="shared" si="36"/>
        <v>36.400000000000006</v>
      </c>
      <c r="CA11" s="34" t="str">
        <f t="shared" si="37"/>
        <v/>
      </c>
      <c r="CB11" s="34" t="str">
        <f t="shared" si="38"/>
        <v/>
      </c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27" t="str">
        <f t="shared" si="39"/>
        <v/>
      </c>
      <c r="CX11" s="27" t="str">
        <f t="shared" si="40"/>
        <v/>
      </c>
      <c r="CY11" s="27" t="str">
        <f t="shared" si="41"/>
        <v/>
      </c>
      <c r="CZ11" s="27" t="str">
        <f t="shared" si="42"/>
        <v/>
      </c>
      <c r="DA11" s="27" t="str">
        <f t="shared" si="43"/>
        <v/>
      </c>
      <c r="DB11" s="27" t="str">
        <f t="shared" si="44"/>
        <v/>
      </c>
      <c r="DC11" s="27" t="str">
        <f t="shared" si="45"/>
        <v/>
      </c>
      <c r="DD11" s="27" t="str">
        <f t="shared" si="46"/>
        <v/>
      </c>
      <c r="DE11" s="27" t="str">
        <f t="shared" si="47"/>
        <v/>
      </c>
      <c r="DF11" s="27" t="str">
        <f t="shared" si="48"/>
        <v/>
      </c>
      <c r="DG11" s="27" t="str">
        <f t="shared" si="49"/>
        <v/>
      </c>
      <c r="DH11" s="27" t="str">
        <f t="shared" si="50"/>
        <v/>
      </c>
      <c r="DI11" s="27" t="str">
        <f t="shared" si="51"/>
        <v/>
      </c>
      <c r="DJ11" s="27" t="str">
        <f t="shared" si="52"/>
        <v/>
      </c>
      <c r="DK11" s="27" t="str">
        <f t="shared" si="53"/>
        <v/>
      </c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0" t="str">
        <f t="shared" si="54"/>
        <v/>
      </c>
      <c r="EG11" s="10" t="str">
        <f t="shared" si="55"/>
        <v/>
      </c>
      <c r="EH11" s="10" t="str">
        <f t="shared" si="56"/>
        <v/>
      </c>
      <c r="EI11" s="10" t="str">
        <f t="shared" si="57"/>
        <v/>
      </c>
      <c r="EJ11" s="10" t="str">
        <f t="shared" si="58"/>
        <v/>
      </c>
      <c r="EK11" s="10" t="str">
        <f t="shared" si="59"/>
        <v/>
      </c>
      <c r="EL11" s="10" t="str">
        <f t="shared" si="60"/>
        <v/>
      </c>
      <c r="EM11" s="10" t="str">
        <f t="shared" si="61"/>
        <v/>
      </c>
      <c r="EN11" s="10" t="str">
        <f t="shared" si="62"/>
        <v/>
      </c>
      <c r="EO11" s="10" t="str">
        <f t="shared" si="63"/>
        <v/>
      </c>
      <c r="EP11" s="10" t="str">
        <f t="shared" si="64"/>
        <v/>
      </c>
      <c r="EQ11" s="10" t="str">
        <f t="shared" si="65"/>
        <v/>
      </c>
      <c r="ER11" s="10" t="str">
        <f t="shared" si="66"/>
        <v/>
      </c>
      <c r="ES11" s="10" t="str">
        <f t="shared" si="67"/>
        <v/>
      </c>
      <c r="ET11" s="10" t="str">
        <f t="shared" si="68"/>
        <v/>
      </c>
      <c r="EU11" s="44">
        <f t="shared" si="69"/>
        <v>16.05</v>
      </c>
      <c r="EV11" s="44">
        <f t="shared" si="70"/>
        <v>2.9</v>
      </c>
      <c r="EW11" s="44">
        <f t="shared" si="71"/>
        <v>0</v>
      </c>
      <c r="EX11" s="44">
        <f t="shared" si="72"/>
        <v>0</v>
      </c>
      <c r="EY11" s="44">
        <f t="shared" si="73"/>
        <v>16.450000000000003</v>
      </c>
      <c r="EZ11" s="44">
        <f t="shared" si="74"/>
        <v>2.8</v>
      </c>
      <c r="FA11" s="44">
        <f t="shared" si="75"/>
        <v>0.2</v>
      </c>
      <c r="FB11" s="44">
        <f t="shared" si="76"/>
        <v>0</v>
      </c>
      <c r="FC11" s="44">
        <f t="shared" si="77"/>
        <v>8.1999999999999993</v>
      </c>
      <c r="FD11" s="44">
        <f t="shared" si="78"/>
        <v>1.95</v>
      </c>
      <c r="FE11" s="44">
        <f t="shared" si="79"/>
        <v>0</v>
      </c>
      <c r="FF11" s="44">
        <f t="shared" si="80"/>
        <v>0</v>
      </c>
      <c r="FG11" s="44">
        <f t="shared" si="81"/>
        <v>7.85</v>
      </c>
      <c r="FH11" s="44">
        <f t="shared" si="82"/>
        <v>0.95</v>
      </c>
      <c r="FI11" s="44">
        <f t="shared" si="83"/>
        <v>0</v>
      </c>
      <c r="FJ11" s="44">
        <f t="shared" si="84"/>
        <v>0</v>
      </c>
      <c r="FK11" s="20" t="s">
        <v>29</v>
      </c>
      <c r="FL11" s="10">
        <f t="shared" si="85"/>
        <v>2.9</v>
      </c>
      <c r="FM11" s="10">
        <f t="shared" si="86"/>
        <v>18.95</v>
      </c>
      <c r="FN11" s="10">
        <f t="shared" si="87"/>
        <v>2.8</v>
      </c>
      <c r="FO11" s="10">
        <f t="shared" si="88"/>
        <v>19.050000000000004</v>
      </c>
      <c r="FP11" s="10">
        <f t="shared" si="89"/>
        <v>5.6999999999999993</v>
      </c>
      <c r="FQ11" s="10">
        <f t="shared" si="92"/>
        <v>38</v>
      </c>
      <c r="FR11" s="10">
        <f t="shared" si="93"/>
        <v>1.95</v>
      </c>
      <c r="FS11" s="10">
        <f t="shared" si="94"/>
        <v>10.149999999999999</v>
      </c>
      <c r="FT11" s="10">
        <f t="shared" si="95"/>
        <v>0.95</v>
      </c>
      <c r="FU11" s="10">
        <f t="shared" si="96"/>
        <v>8.7999999999999989</v>
      </c>
      <c r="FV11" s="10">
        <f t="shared" si="97"/>
        <v>2.9</v>
      </c>
      <c r="FW11" s="10">
        <f t="shared" si="90"/>
        <v>18.949999999999996</v>
      </c>
      <c r="FX11" s="10">
        <f t="shared" si="91"/>
        <v>56.949999999999996</v>
      </c>
    </row>
    <row r="12" spans="1:180" x14ac:dyDescent="0.2">
      <c r="A12" s="3" t="str" cm="1">
        <f t="array" ref="A12">IF(AND(H12&lt;&gt;"",H12&lt;&gt;"No DD",I12&lt;&gt;"P"),SUMPRODUCT((H$4:H$18&lt;&gt;"")*(H$4:H$18&lt;&gt;"No DD")*(I$4:I$18&lt;&gt;"P")*(E$4:E$18&gt;E12))+1,IF(H12="No DD",SUMPRODUCT((H$4:H$18="No DD")*(I$4:I$18&lt;&gt;"P")*(E$4:E$18&gt;E12))+1+SUMPRODUCT((H$4:H$18&lt;&gt;"")*(I$4:I$18&lt;&gt;"P")*(H$4:H$18&lt;&gt;"No DD")),""))</f>
        <v/>
      </c>
      <c r="B12" s="4" t="s">
        <v>100</v>
      </c>
      <c r="C12" s="3" t="s">
        <v>4</v>
      </c>
      <c r="D12" s="3">
        <v>2009</v>
      </c>
      <c r="E12" s="8">
        <f t="shared" si="0"/>
        <v>78.200005900003887</v>
      </c>
      <c r="F12" s="2" t="str">
        <f t="shared" si="1"/>
        <v/>
      </c>
      <c r="G12" s="2" t="str">
        <f t="shared" si="2"/>
        <v/>
      </c>
      <c r="H12" s="26" t="str">
        <f t="shared" si="3"/>
        <v/>
      </c>
      <c r="I12" s="2" t="str">
        <f>IF(COUNTIFS('Senior-W'!B:B,B12,'Senior-W'!A:A,"&lt;9",'Senior-W'!H:H,"&lt;&gt;"&amp;"No DD"),"P","")</f>
        <v/>
      </c>
      <c r="J12" s="7">
        <f t="shared" si="4"/>
        <v>38.799999999999997</v>
      </c>
      <c r="K12" s="7" t="str">
        <f t="shared" si="5"/>
        <v>2025 Nationals</v>
      </c>
      <c r="L12" s="7">
        <f>IF(J12=AO12,IF(COUNT(AQ12,AS12,BO12,BQ12,BU12,BW12)&gt;1,LARGE((AQ12,AS12,BO12,BQ12,BU12,BW12),1),0),IF(COUNT(AK12,AM12,AQ12,AS12,BU12,BW12)&gt;1,LARGE((AK12,AM12,AQ12,AS12,BU12,BW12),1),0))</f>
        <v>20.2</v>
      </c>
      <c r="M12" s="7" t="str">
        <f t="shared" si="6"/>
        <v>2025 Nationals</v>
      </c>
      <c r="N12" s="7">
        <f>IF(J12=AO12,IF(COUNT(AQ12,AS12,BO12,BQ12,BU12,BW12)&gt;1,LARGE((AQ12,AS12,BO12,BQ12,BU12,BW12),2),0),IF(COUNT(AK12,AM12,AQ12,AS12,BU12,BW12)&gt;1,LARGE((AK12,AM12,AQ12,AS12,BU12,BW12),2),0))</f>
        <v>17.2</v>
      </c>
      <c r="O12" s="7" t="str">
        <f t="shared" si="7"/>
        <v>2025 Nationals</v>
      </c>
      <c r="P12" s="7">
        <f t="shared" si="8"/>
        <v>2.0000000000000036</v>
      </c>
      <c r="Q12" s="10" t="str">
        <f t="shared" si="9"/>
        <v>(Pass)</v>
      </c>
      <c r="R12" s="7" t="str">
        <f t="shared" si="10"/>
        <v>2025 WAGC (Nov 16)</v>
      </c>
      <c r="S12" s="39">
        <v>16.399999999999999</v>
      </c>
      <c r="T12" s="39">
        <v>3.2</v>
      </c>
      <c r="U12" s="39">
        <v>0</v>
      </c>
      <c r="V12" s="39">
        <v>0</v>
      </c>
      <c r="W12" s="39">
        <v>16.399999999999999</v>
      </c>
      <c r="X12" s="39">
        <v>2.9</v>
      </c>
      <c r="Y12" s="39">
        <v>0.1</v>
      </c>
      <c r="Z12" s="39">
        <v>0</v>
      </c>
      <c r="AA12" s="39">
        <v>15.8</v>
      </c>
      <c r="AB12" s="39">
        <v>2.2000000000000002</v>
      </c>
      <c r="AC12" s="39">
        <v>0.8</v>
      </c>
      <c r="AD12" s="39">
        <v>0</v>
      </c>
      <c r="AE12" s="39">
        <v>16.3</v>
      </c>
      <c r="AF12" s="39">
        <v>3.9</v>
      </c>
      <c r="AG12" s="39">
        <v>0</v>
      </c>
      <c r="AH12" s="39">
        <v>0</v>
      </c>
      <c r="AI12" s="19"/>
      <c r="AJ12" s="42">
        <f t="shared" si="11"/>
        <v>3.2</v>
      </c>
      <c r="AK12" s="42">
        <f t="shared" si="12"/>
        <v>19.599999999999998</v>
      </c>
      <c r="AL12" s="42">
        <f t="shared" si="13"/>
        <v>2.9</v>
      </c>
      <c r="AM12" s="42">
        <f t="shared" si="14"/>
        <v>19.199999999999996</v>
      </c>
      <c r="AN12" s="27">
        <f t="shared" si="15"/>
        <v>6.1</v>
      </c>
      <c r="AO12" s="27">
        <f t="shared" si="16"/>
        <v>38.799999999999997</v>
      </c>
      <c r="AP12" s="27">
        <f t="shared" si="17"/>
        <v>2.2000000000000002</v>
      </c>
      <c r="AQ12" s="27">
        <f t="shared" si="18"/>
        <v>17.2</v>
      </c>
      <c r="AR12" s="27">
        <f t="shared" si="19"/>
        <v>3.9</v>
      </c>
      <c r="AS12" s="27">
        <f t="shared" si="20"/>
        <v>20.2</v>
      </c>
      <c r="AT12" s="27">
        <f t="shared" si="21"/>
        <v>6.1</v>
      </c>
      <c r="AU12" s="27">
        <f t="shared" si="22"/>
        <v>37.4</v>
      </c>
      <c r="AV12" s="27">
        <f t="shared" si="23"/>
        <v>76.199999999999989</v>
      </c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20"/>
      <c r="BN12" s="43" t="str">
        <f t="shared" si="24"/>
        <v/>
      </c>
      <c r="BO12" s="43" t="str">
        <f t="shared" si="25"/>
        <v/>
      </c>
      <c r="BP12" s="43" t="str">
        <f t="shared" si="26"/>
        <v/>
      </c>
      <c r="BQ12" s="43" t="str">
        <f t="shared" si="27"/>
        <v/>
      </c>
      <c r="BR12" s="10" t="str">
        <f t="shared" si="28"/>
        <v/>
      </c>
      <c r="BS12" s="10" t="str">
        <f t="shared" si="29"/>
        <v/>
      </c>
      <c r="BT12" s="10" t="str">
        <f t="shared" si="30"/>
        <v/>
      </c>
      <c r="BU12" s="10" t="str">
        <f t="shared" si="31"/>
        <v/>
      </c>
      <c r="BV12" s="10" t="str">
        <f t="shared" si="32"/>
        <v/>
      </c>
      <c r="BW12" s="10" t="str">
        <f t="shared" si="33"/>
        <v/>
      </c>
      <c r="BX12" s="10" t="str">
        <f t="shared" si="34"/>
        <v/>
      </c>
      <c r="BY12" s="10" t="str">
        <f t="shared" si="35"/>
        <v/>
      </c>
      <c r="BZ12" s="10" t="str">
        <f t="shared" si="36"/>
        <v/>
      </c>
      <c r="CA12" s="34" t="str">
        <f t="shared" si="37"/>
        <v/>
      </c>
      <c r="CB12" s="34">
        <f t="shared" si="38"/>
        <v>2.0000000000000036</v>
      </c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27" t="str">
        <f t="shared" si="39"/>
        <v/>
      </c>
      <c r="CX12" s="27" t="str">
        <f t="shared" si="40"/>
        <v/>
      </c>
      <c r="CY12" s="27" t="str">
        <f t="shared" si="41"/>
        <v/>
      </c>
      <c r="CZ12" s="27" t="str">
        <f t="shared" si="42"/>
        <v/>
      </c>
      <c r="DA12" s="27" t="str">
        <f t="shared" si="43"/>
        <v/>
      </c>
      <c r="DB12" s="27" t="str">
        <f t="shared" si="44"/>
        <v/>
      </c>
      <c r="DC12" s="27" t="str">
        <f t="shared" si="45"/>
        <v/>
      </c>
      <c r="DD12" s="27" t="str">
        <f t="shared" si="46"/>
        <v/>
      </c>
      <c r="DE12" s="27" t="str">
        <f t="shared" si="47"/>
        <v/>
      </c>
      <c r="DF12" s="27" t="str">
        <f t="shared" si="48"/>
        <v/>
      </c>
      <c r="DG12" s="27" t="str">
        <f t="shared" si="49"/>
        <v/>
      </c>
      <c r="DH12" s="27" t="str">
        <f t="shared" si="50"/>
        <v/>
      </c>
      <c r="DI12" s="27" t="str">
        <f t="shared" si="51"/>
        <v/>
      </c>
      <c r="DJ12" s="27" t="str">
        <f t="shared" si="52"/>
        <v/>
      </c>
      <c r="DK12" s="27" t="str">
        <f t="shared" si="53"/>
        <v/>
      </c>
      <c r="DL12" s="15">
        <v>15.8</v>
      </c>
      <c r="DM12" s="15">
        <v>3.8</v>
      </c>
      <c r="DN12" s="15">
        <v>0.4</v>
      </c>
      <c r="DO12" s="15">
        <v>0</v>
      </c>
      <c r="DP12" s="15">
        <v>15.3</v>
      </c>
      <c r="DQ12" s="15">
        <v>3.4</v>
      </c>
      <c r="DR12" s="15">
        <v>0.2</v>
      </c>
      <c r="DS12" s="15">
        <v>0</v>
      </c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0">
        <f t="shared" si="54"/>
        <v>3.8</v>
      </c>
      <c r="EG12" s="10">
        <f t="shared" si="55"/>
        <v>19.200000000000003</v>
      </c>
      <c r="EH12" s="10">
        <f t="shared" si="56"/>
        <v>3.4</v>
      </c>
      <c r="EI12" s="10">
        <f t="shared" si="57"/>
        <v>18.5</v>
      </c>
      <c r="EJ12" s="10">
        <f t="shared" si="58"/>
        <v>7.1999999999999993</v>
      </c>
      <c r="EK12" s="10">
        <f t="shared" si="59"/>
        <v>37.700000000000003</v>
      </c>
      <c r="EL12" s="10" t="str">
        <f t="shared" si="60"/>
        <v/>
      </c>
      <c r="EM12" s="10" t="str">
        <f t="shared" si="61"/>
        <v/>
      </c>
      <c r="EN12" s="10" t="str">
        <f t="shared" si="62"/>
        <v/>
      </c>
      <c r="EO12" s="10" t="str">
        <f t="shared" si="63"/>
        <v/>
      </c>
      <c r="EP12" s="10" t="str">
        <f t="shared" si="64"/>
        <v/>
      </c>
      <c r="EQ12" s="10" t="str">
        <f t="shared" si="65"/>
        <v/>
      </c>
      <c r="ER12" s="10" t="str">
        <f t="shared" si="66"/>
        <v/>
      </c>
      <c r="ES12" s="10" t="str">
        <f t="shared" si="67"/>
        <v/>
      </c>
      <c r="ET12" s="10">
        <f t="shared" si="68"/>
        <v>37.700000000000003</v>
      </c>
      <c r="EU12" s="44">
        <f t="shared" si="69"/>
        <v>8.1999999999999993</v>
      </c>
      <c r="EV12" s="44">
        <f t="shared" si="70"/>
        <v>1.6</v>
      </c>
      <c r="EW12" s="44">
        <f t="shared" si="71"/>
        <v>0</v>
      </c>
      <c r="EX12" s="44">
        <f t="shared" si="72"/>
        <v>0</v>
      </c>
      <c r="EY12" s="44">
        <f t="shared" si="73"/>
        <v>8.1999999999999993</v>
      </c>
      <c r="EZ12" s="44">
        <f t="shared" si="74"/>
        <v>1.45</v>
      </c>
      <c r="FA12" s="44">
        <f t="shared" si="75"/>
        <v>0.05</v>
      </c>
      <c r="FB12" s="44">
        <f t="shared" si="76"/>
        <v>0</v>
      </c>
      <c r="FC12" s="44">
        <f t="shared" si="77"/>
        <v>7.9</v>
      </c>
      <c r="FD12" s="44">
        <f t="shared" si="78"/>
        <v>1.1000000000000001</v>
      </c>
      <c r="FE12" s="44">
        <f t="shared" si="79"/>
        <v>0.4</v>
      </c>
      <c r="FF12" s="44">
        <f t="shared" si="80"/>
        <v>0</v>
      </c>
      <c r="FG12" s="44">
        <f t="shared" si="81"/>
        <v>8.15</v>
      </c>
      <c r="FH12" s="44">
        <f t="shared" si="82"/>
        <v>1.95</v>
      </c>
      <c r="FI12" s="44">
        <f t="shared" si="83"/>
        <v>0</v>
      </c>
      <c r="FJ12" s="44">
        <f t="shared" si="84"/>
        <v>0</v>
      </c>
      <c r="FK12" s="20" t="s">
        <v>29</v>
      </c>
      <c r="FL12" s="10">
        <f t="shared" si="85"/>
        <v>1.6</v>
      </c>
      <c r="FM12" s="10">
        <f t="shared" si="86"/>
        <v>9.7999999999999989</v>
      </c>
      <c r="FN12" s="10">
        <f t="shared" si="87"/>
        <v>1.45</v>
      </c>
      <c r="FO12" s="10">
        <f t="shared" si="88"/>
        <v>9.5999999999999979</v>
      </c>
      <c r="FP12" s="10">
        <f t="shared" si="89"/>
        <v>3.05</v>
      </c>
      <c r="FQ12" s="10">
        <f t="shared" si="92"/>
        <v>19.399999999999999</v>
      </c>
      <c r="FR12" s="10">
        <f t="shared" si="93"/>
        <v>1.1000000000000001</v>
      </c>
      <c r="FS12" s="10">
        <f t="shared" si="94"/>
        <v>8.6</v>
      </c>
      <c r="FT12" s="10">
        <f t="shared" si="95"/>
        <v>1.95</v>
      </c>
      <c r="FU12" s="10">
        <f t="shared" si="96"/>
        <v>10.1</v>
      </c>
      <c r="FV12" s="10">
        <f t="shared" si="97"/>
        <v>3.05</v>
      </c>
      <c r="FW12" s="10">
        <f t="shared" si="90"/>
        <v>18.7</v>
      </c>
      <c r="FX12" s="10">
        <f t="shared" si="91"/>
        <v>38.099999999999994</v>
      </c>
    </row>
    <row r="13" spans="1:180" x14ac:dyDescent="0.2">
      <c r="A13" s="3" t="str" cm="1">
        <f t="array" ref="A13">IF(AND(H13&lt;&gt;"",H13&lt;&gt;"No DD",I13&lt;&gt;"P"),SUMPRODUCT((H$4:H$18&lt;&gt;"")*(H$4:H$18&lt;&gt;"No DD")*(I$4:I$18&lt;&gt;"P")*(E$4:E$18&gt;E13))+1,IF(H13="No DD",SUMPRODUCT((H$4:H$18="No DD")*(I$4:I$18&lt;&gt;"P")*(E$4:E$18&gt;E13))+1+SUMPRODUCT((H$4:H$18&lt;&gt;"")*(I$4:I$18&lt;&gt;"P")*(H$4:H$18&lt;&gt;"No DD")),""))</f>
        <v/>
      </c>
      <c r="B13" s="4" t="s">
        <v>124</v>
      </c>
      <c r="C13" s="3" t="s">
        <v>3</v>
      </c>
      <c r="D13" s="3">
        <v>2009</v>
      </c>
      <c r="E13" s="8">
        <f t="shared" si="0"/>
        <v>74.200005650003675</v>
      </c>
      <c r="F13" s="2" t="str">
        <f t="shared" si="1"/>
        <v/>
      </c>
      <c r="G13" s="2" t="str">
        <f t="shared" si="2"/>
        <v/>
      </c>
      <c r="H13" s="26" t="str">
        <f t="shared" si="3"/>
        <v/>
      </c>
      <c r="I13" s="2" t="str">
        <f>IF(COUNTIFS('Senior-W'!B:B,B13,'Senior-W'!A:A,"&lt;9",'Senior-W'!H:H,"&lt;&gt;"&amp;"No DD"),"P","")</f>
        <v/>
      </c>
      <c r="J13" s="7">
        <f t="shared" si="4"/>
        <v>36.6</v>
      </c>
      <c r="K13" s="7" t="str">
        <f t="shared" si="5"/>
        <v>2025 Nationals</v>
      </c>
      <c r="L13" s="7">
        <f>IF(J13=AO13,IF(COUNT(AQ13,AS13,BO13,BQ13,BU13,BW13)&gt;1,LARGE((AQ13,AS13,BO13,BQ13,BU13,BW13),1),0),IF(COUNT(AK13,AM13,AQ13,AS13,BU13,BW13)&gt;1,LARGE((AK13,AM13,AQ13,AS13,BU13,BW13),1),0))</f>
        <v>19.900000000000002</v>
      </c>
      <c r="M13" s="7" t="str">
        <f t="shared" si="6"/>
        <v>2025 Nationals</v>
      </c>
      <c r="N13" s="7">
        <f>IF(J13=AO13,IF(COUNT(AQ13,AS13,BO13,BQ13,BU13,BW13)&gt;1,LARGE((AQ13,AS13,BO13,BQ13,BU13,BW13),2),0),IF(COUNT(AK13,AM13,AQ13,AS13,BU13,BW13)&gt;1,LARGE((AK13,AM13,AQ13,AS13,BU13,BW13),2),0))</f>
        <v>17.7</v>
      </c>
      <c r="O13" s="7" t="str">
        <f t="shared" si="7"/>
        <v>2025 Nationals</v>
      </c>
      <c r="P13" s="7" t="str">
        <f t="shared" si="8"/>
        <v/>
      </c>
      <c r="Q13" s="10" t="str">
        <f t="shared" si="9"/>
        <v/>
      </c>
      <c r="R13" s="7" t="str">
        <f t="shared" si="10"/>
        <v/>
      </c>
      <c r="S13" s="39">
        <v>16</v>
      </c>
      <c r="T13" s="39">
        <v>1.2</v>
      </c>
      <c r="U13" s="39">
        <v>0</v>
      </c>
      <c r="V13" s="39">
        <v>0</v>
      </c>
      <c r="W13" s="39">
        <v>16.8</v>
      </c>
      <c r="X13" s="39">
        <v>2.8</v>
      </c>
      <c r="Y13" s="39">
        <v>0.2</v>
      </c>
      <c r="Z13" s="39">
        <v>0</v>
      </c>
      <c r="AA13" s="39">
        <v>17.3</v>
      </c>
      <c r="AB13" s="39">
        <v>2.8</v>
      </c>
      <c r="AC13" s="39">
        <v>0.2</v>
      </c>
      <c r="AD13" s="39">
        <v>0</v>
      </c>
      <c r="AE13" s="39">
        <v>16.5</v>
      </c>
      <c r="AF13" s="39">
        <v>1.2</v>
      </c>
      <c r="AG13" s="39">
        <v>0</v>
      </c>
      <c r="AH13" s="39">
        <v>0</v>
      </c>
      <c r="AI13" s="19"/>
      <c r="AJ13" s="42">
        <f t="shared" si="11"/>
        <v>1.2</v>
      </c>
      <c r="AK13" s="42">
        <f t="shared" si="12"/>
        <v>17.2</v>
      </c>
      <c r="AL13" s="42">
        <f t="shared" si="13"/>
        <v>2.8</v>
      </c>
      <c r="AM13" s="42">
        <f t="shared" si="14"/>
        <v>19.400000000000002</v>
      </c>
      <c r="AN13" s="27">
        <f t="shared" si="15"/>
        <v>4</v>
      </c>
      <c r="AO13" s="27">
        <f t="shared" si="16"/>
        <v>36.6</v>
      </c>
      <c r="AP13" s="27">
        <f t="shared" si="17"/>
        <v>2.8</v>
      </c>
      <c r="AQ13" s="27">
        <f t="shared" si="18"/>
        <v>19.900000000000002</v>
      </c>
      <c r="AR13" s="27">
        <f t="shared" si="19"/>
        <v>1.2</v>
      </c>
      <c r="AS13" s="27">
        <f t="shared" si="20"/>
        <v>17.7</v>
      </c>
      <c r="AT13" s="27">
        <f t="shared" si="21"/>
        <v>4</v>
      </c>
      <c r="AU13" s="27">
        <f t="shared" si="22"/>
        <v>37.6</v>
      </c>
      <c r="AV13" s="27">
        <f t="shared" si="23"/>
        <v>74.2</v>
      </c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20"/>
      <c r="BN13" s="43" t="str">
        <f t="shared" si="24"/>
        <v/>
      </c>
      <c r="BO13" s="43" t="str">
        <f t="shared" si="25"/>
        <v/>
      </c>
      <c r="BP13" s="43" t="str">
        <f t="shared" si="26"/>
        <v/>
      </c>
      <c r="BQ13" s="43" t="str">
        <f t="shared" si="27"/>
        <v/>
      </c>
      <c r="BR13" s="10" t="str">
        <f t="shared" si="28"/>
        <v/>
      </c>
      <c r="BS13" s="10" t="str">
        <f t="shared" si="29"/>
        <v/>
      </c>
      <c r="BT13" s="10" t="str">
        <f t="shared" si="30"/>
        <v/>
      </c>
      <c r="BU13" s="10" t="str">
        <f t="shared" si="31"/>
        <v/>
      </c>
      <c r="BV13" s="10" t="str">
        <f t="shared" si="32"/>
        <v/>
      </c>
      <c r="BW13" s="10" t="str">
        <f t="shared" si="33"/>
        <v/>
      </c>
      <c r="BX13" s="10" t="str">
        <f t="shared" si="34"/>
        <v/>
      </c>
      <c r="BY13" s="10" t="str">
        <f t="shared" si="35"/>
        <v/>
      </c>
      <c r="BZ13" s="10" t="str">
        <f t="shared" si="36"/>
        <v/>
      </c>
      <c r="CA13" s="34" t="str">
        <f t="shared" si="37"/>
        <v/>
      </c>
      <c r="CB13" s="34" t="str">
        <f t="shared" si="38"/>
        <v/>
      </c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27" t="str">
        <f t="shared" si="39"/>
        <v/>
      </c>
      <c r="CX13" s="27" t="str">
        <f t="shared" si="40"/>
        <v/>
      </c>
      <c r="CY13" s="27" t="str">
        <f t="shared" si="41"/>
        <v/>
      </c>
      <c r="CZ13" s="27" t="str">
        <f t="shared" si="42"/>
        <v/>
      </c>
      <c r="DA13" s="27" t="str">
        <f t="shared" si="43"/>
        <v/>
      </c>
      <c r="DB13" s="27" t="str">
        <f t="shared" si="44"/>
        <v/>
      </c>
      <c r="DC13" s="27" t="str">
        <f t="shared" si="45"/>
        <v/>
      </c>
      <c r="DD13" s="27" t="str">
        <f t="shared" si="46"/>
        <v/>
      </c>
      <c r="DE13" s="27" t="str">
        <f t="shared" si="47"/>
        <v/>
      </c>
      <c r="DF13" s="27" t="str">
        <f t="shared" si="48"/>
        <v/>
      </c>
      <c r="DG13" s="27" t="str">
        <f t="shared" si="49"/>
        <v/>
      </c>
      <c r="DH13" s="27" t="str">
        <f t="shared" si="50"/>
        <v/>
      </c>
      <c r="DI13" s="27" t="str">
        <f t="shared" si="51"/>
        <v/>
      </c>
      <c r="DJ13" s="27" t="str">
        <f t="shared" si="52"/>
        <v/>
      </c>
      <c r="DK13" s="27" t="str">
        <f t="shared" si="53"/>
        <v/>
      </c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0" t="str">
        <f t="shared" si="54"/>
        <v/>
      </c>
      <c r="EG13" s="10" t="str">
        <f t="shared" si="55"/>
        <v/>
      </c>
      <c r="EH13" s="10" t="str">
        <f t="shared" si="56"/>
        <v/>
      </c>
      <c r="EI13" s="10" t="str">
        <f t="shared" si="57"/>
        <v/>
      </c>
      <c r="EJ13" s="10" t="str">
        <f t="shared" si="58"/>
        <v/>
      </c>
      <c r="EK13" s="10" t="str">
        <f t="shared" si="59"/>
        <v/>
      </c>
      <c r="EL13" s="10" t="str">
        <f t="shared" si="60"/>
        <v/>
      </c>
      <c r="EM13" s="10" t="str">
        <f t="shared" si="61"/>
        <v/>
      </c>
      <c r="EN13" s="10" t="str">
        <f t="shared" si="62"/>
        <v/>
      </c>
      <c r="EO13" s="10" t="str">
        <f t="shared" si="63"/>
        <v/>
      </c>
      <c r="EP13" s="10" t="str">
        <f t="shared" si="64"/>
        <v/>
      </c>
      <c r="EQ13" s="10" t="str">
        <f t="shared" si="65"/>
        <v/>
      </c>
      <c r="ER13" s="10" t="str">
        <f t="shared" si="66"/>
        <v/>
      </c>
      <c r="ES13" s="10" t="str">
        <f t="shared" si="67"/>
        <v/>
      </c>
      <c r="ET13" s="10" t="str">
        <f t="shared" si="68"/>
        <v/>
      </c>
      <c r="EU13" s="44">
        <f t="shared" si="69"/>
        <v>8</v>
      </c>
      <c r="EV13" s="44">
        <f t="shared" si="70"/>
        <v>0.6</v>
      </c>
      <c r="EW13" s="44">
        <f t="shared" si="71"/>
        <v>0</v>
      </c>
      <c r="EX13" s="44">
        <f t="shared" si="72"/>
        <v>0</v>
      </c>
      <c r="EY13" s="44">
        <f t="shared" si="73"/>
        <v>8.4</v>
      </c>
      <c r="EZ13" s="44">
        <f t="shared" si="74"/>
        <v>1.4</v>
      </c>
      <c r="FA13" s="44">
        <f t="shared" si="75"/>
        <v>0.1</v>
      </c>
      <c r="FB13" s="44">
        <f t="shared" si="76"/>
        <v>0</v>
      </c>
      <c r="FC13" s="44">
        <f t="shared" si="77"/>
        <v>8.65</v>
      </c>
      <c r="FD13" s="44">
        <f t="shared" si="78"/>
        <v>1.4</v>
      </c>
      <c r="FE13" s="44">
        <f t="shared" si="79"/>
        <v>0.1</v>
      </c>
      <c r="FF13" s="44">
        <f t="shared" si="80"/>
        <v>0</v>
      </c>
      <c r="FG13" s="44">
        <f t="shared" si="81"/>
        <v>8.25</v>
      </c>
      <c r="FH13" s="44">
        <f t="shared" si="82"/>
        <v>0.6</v>
      </c>
      <c r="FI13" s="44">
        <f t="shared" si="83"/>
        <v>0</v>
      </c>
      <c r="FJ13" s="44">
        <f t="shared" si="84"/>
        <v>0</v>
      </c>
      <c r="FK13" s="20" t="s">
        <v>29</v>
      </c>
      <c r="FL13" s="10">
        <f t="shared" si="85"/>
        <v>0.6</v>
      </c>
      <c r="FM13" s="10">
        <f t="shared" si="86"/>
        <v>8.6</v>
      </c>
      <c r="FN13" s="10">
        <f t="shared" si="87"/>
        <v>1.4</v>
      </c>
      <c r="FO13" s="10">
        <f t="shared" si="88"/>
        <v>9.7000000000000011</v>
      </c>
      <c r="FP13" s="10">
        <f t="shared" si="89"/>
        <v>2</v>
      </c>
      <c r="FQ13" s="10">
        <f t="shared" si="92"/>
        <v>18.3</v>
      </c>
      <c r="FR13" s="10">
        <f t="shared" si="93"/>
        <v>1.4</v>
      </c>
      <c r="FS13" s="10">
        <f t="shared" si="94"/>
        <v>9.9500000000000011</v>
      </c>
      <c r="FT13" s="10">
        <f t="shared" si="95"/>
        <v>0.6</v>
      </c>
      <c r="FU13" s="10">
        <f t="shared" si="96"/>
        <v>8.85</v>
      </c>
      <c r="FV13" s="10">
        <f t="shared" si="97"/>
        <v>2</v>
      </c>
      <c r="FW13" s="10">
        <f t="shared" si="90"/>
        <v>18.8</v>
      </c>
      <c r="FX13" s="10">
        <f t="shared" si="91"/>
        <v>37.1</v>
      </c>
    </row>
    <row r="14" spans="1:180" x14ac:dyDescent="0.2">
      <c r="A14" s="3" t="str" cm="1">
        <f t="array" ref="A14">IF(AND(H14&lt;&gt;"",H14&lt;&gt;"No DD",I14&lt;&gt;"P"),SUMPRODUCT((H$4:H$18&lt;&gt;"")*(H$4:H$18&lt;&gt;"No DD")*(I$4:I$18&lt;&gt;"P")*(E$4:E$18&gt;E14))+1,IF(H14="No DD",SUMPRODUCT((H$4:H$18="No DD")*(I$4:I$18&lt;&gt;"P")*(E$4:E$18&gt;E14))+1+SUMPRODUCT((H$4:H$18&lt;&gt;"")*(I$4:I$18&lt;&gt;"P")*(H$4:H$18&lt;&gt;"No DD")),""))</f>
        <v/>
      </c>
      <c r="B14" s="4" t="s">
        <v>120</v>
      </c>
      <c r="C14" s="3" t="s">
        <v>6</v>
      </c>
      <c r="D14" s="3">
        <v>2006</v>
      </c>
      <c r="E14" s="8">
        <f t="shared" si="0"/>
        <v>73.700005820004122</v>
      </c>
      <c r="F14" s="2" t="str">
        <f t="shared" si="1"/>
        <v/>
      </c>
      <c r="G14" s="2" t="str">
        <f t="shared" si="2"/>
        <v/>
      </c>
      <c r="H14" s="26" t="str">
        <f t="shared" si="3"/>
        <v/>
      </c>
      <c r="I14" s="2" t="str">
        <f>IF(COUNTIFS('Senior-W'!B:B,B14,'Senior-W'!A:A,"&lt;9",'Senior-W'!H:H,"&lt;&gt;"&amp;"No DD"),"P","")</f>
        <v/>
      </c>
      <c r="J14" s="7">
        <f t="shared" si="4"/>
        <v>41.4</v>
      </c>
      <c r="K14" s="7" t="str">
        <f t="shared" si="5"/>
        <v>2025 Nationals</v>
      </c>
      <c r="L14" s="7">
        <f>IF(J14=AO14,IF(COUNT(AQ14,AS14,BO14,BQ14,BU14,BW14)&gt;1,LARGE((AQ14,AS14,BO14,BQ14,BU14,BW14),1),0),IF(COUNT(AK14,AM14,AQ14,AS14,BU14,BW14)&gt;1,LARGE((AK14,AM14,AQ14,AS14,BU14,BW14),1),0))</f>
        <v>16.799999999999997</v>
      </c>
      <c r="M14" s="7" t="str">
        <f t="shared" si="6"/>
        <v>2025 Nationals</v>
      </c>
      <c r="N14" s="7">
        <f>IF(J14=AO14,IF(COUNT(AQ14,AS14,BO14,BQ14,BU14,BW14)&gt;1,LARGE((AQ14,AS14,BO14,BQ14,BU14,BW14),2),0),IF(COUNT(AK14,AM14,AQ14,AS14,BU14,BW14)&gt;1,LARGE((AK14,AM14,AQ14,AS14,BU14,BW14),2),0))</f>
        <v>15.5</v>
      </c>
      <c r="O14" s="7" t="str">
        <f t="shared" si="7"/>
        <v>2025 Nationals</v>
      </c>
      <c r="P14" s="7" t="str">
        <f t="shared" si="8"/>
        <v/>
      </c>
      <c r="Q14" s="10" t="str">
        <f t="shared" si="9"/>
        <v/>
      </c>
      <c r="R14" s="7" t="str">
        <f t="shared" si="10"/>
        <v/>
      </c>
      <c r="S14" s="39">
        <v>16.3</v>
      </c>
      <c r="T14" s="39">
        <v>4.0999999999999996</v>
      </c>
      <c r="U14" s="39">
        <v>0</v>
      </c>
      <c r="V14" s="39">
        <v>0</v>
      </c>
      <c r="W14" s="39">
        <v>17.100000000000001</v>
      </c>
      <c r="X14" s="39">
        <v>3.9</v>
      </c>
      <c r="Y14" s="39">
        <v>0</v>
      </c>
      <c r="Z14" s="39">
        <v>0</v>
      </c>
      <c r="AA14" s="39">
        <v>13.7</v>
      </c>
      <c r="AB14" s="39">
        <v>1.8</v>
      </c>
      <c r="AC14" s="39">
        <v>0</v>
      </c>
      <c r="AD14" s="39">
        <v>0</v>
      </c>
      <c r="AE14" s="39">
        <v>14.6</v>
      </c>
      <c r="AF14" s="39">
        <v>2.8</v>
      </c>
      <c r="AG14" s="39">
        <v>0.6</v>
      </c>
      <c r="AH14" s="39">
        <v>0</v>
      </c>
      <c r="AI14" s="19"/>
      <c r="AJ14" s="42">
        <f t="shared" si="11"/>
        <v>4.0999999999999996</v>
      </c>
      <c r="AK14" s="42">
        <f t="shared" si="12"/>
        <v>20.399999999999999</v>
      </c>
      <c r="AL14" s="42">
        <f t="shared" si="13"/>
        <v>3.9</v>
      </c>
      <c r="AM14" s="42">
        <f t="shared" si="14"/>
        <v>21</v>
      </c>
      <c r="AN14" s="27">
        <f t="shared" si="15"/>
        <v>8</v>
      </c>
      <c r="AO14" s="27">
        <f t="shared" si="16"/>
        <v>41.4</v>
      </c>
      <c r="AP14" s="27">
        <f t="shared" si="17"/>
        <v>1.8</v>
      </c>
      <c r="AQ14" s="27">
        <f t="shared" si="18"/>
        <v>15.5</v>
      </c>
      <c r="AR14" s="27">
        <f t="shared" si="19"/>
        <v>2.8</v>
      </c>
      <c r="AS14" s="27">
        <f t="shared" si="20"/>
        <v>16.799999999999997</v>
      </c>
      <c r="AT14" s="27">
        <f t="shared" si="21"/>
        <v>4.5999999999999996</v>
      </c>
      <c r="AU14" s="27">
        <f t="shared" si="22"/>
        <v>32.299999999999997</v>
      </c>
      <c r="AV14" s="27">
        <f t="shared" si="23"/>
        <v>73.699999999999989</v>
      </c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20"/>
      <c r="BN14" s="43" t="str">
        <f t="shared" si="24"/>
        <v/>
      </c>
      <c r="BO14" s="43" t="str">
        <f t="shared" si="25"/>
        <v/>
      </c>
      <c r="BP14" s="43" t="str">
        <f t="shared" si="26"/>
        <v/>
      </c>
      <c r="BQ14" s="43" t="str">
        <f t="shared" si="27"/>
        <v/>
      </c>
      <c r="BR14" s="10" t="str">
        <f t="shared" si="28"/>
        <v/>
      </c>
      <c r="BS14" s="10" t="str">
        <f t="shared" si="29"/>
        <v/>
      </c>
      <c r="BT14" s="10" t="str">
        <f t="shared" si="30"/>
        <v/>
      </c>
      <c r="BU14" s="10" t="str">
        <f t="shared" si="31"/>
        <v/>
      </c>
      <c r="BV14" s="10" t="str">
        <f t="shared" si="32"/>
        <v/>
      </c>
      <c r="BW14" s="10" t="str">
        <f t="shared" si="33"/>
        <v/>
      </c>
      <c r="BX14" s="10" t="str">
        <f t="shared" si="34"/>
        <v/>
      </c>
      <c r="BY14" s="10" t="str">
        <f t="shared" si="35"/>
        <v/>
      </c>
      <c r="BZ14" s="10" t="str">
        <f t="shared" si="36"/>
        <v/>
      </c>
      <c r="CA14" s="34" t="str">
        <f t="shared" si="37"/>
        <v/>
      </c>
      <c r="CB14" s="34" t="str">
        <f t="shared" si="38"/>
        <v/>
      </c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27" t="str">
        <f t="shared" si="39"/>
        <v/>
      </c>
      <c r="CX14" s="27" t="str">
        <f t="shared" si="40"/>
        <v/>
      </c>
      <c r="CY14" s="27" t="str">
        <f t="shared" si="41"/>
        <v/>
      </c>
      <c r="CZ14" s="27" t="str">
        <f t="shared" si="42"/>
        <v/>
      </c>
      <c r="DA14" s="27" t="str">
        <f t="shared" si="43"/>
        <v/>
      </c>
      <c r="DB14" s="27" t="str">
        <f t="shared" si="44"/>
        <v/>
      </c>
      <c r="DC14" s="27" t="str">
        <f t="shared" si="45"/>
        <v/>
      </c>
      <c r="DD14" s="27" t="str">
        <f t="shared" si="46"/>
        <v/>
      </c>
      <c r="DE14" s="27" t="str">
        <f t="shared" si="47"/>
        <v/>
      </c>
      <c r="DF14" s="27" t="str">
        <f t="shared" si="48"/>
        <v/>
      </c>
      <c r="DG14" s="27" t="str">
        <f t="shared" si="49"/>
        <v/>
      </c>
      <c r="DH14" s="27" t="str">
        <f t="shared" si="50"/>
        <v/>
      </c>
      <c r="DI14" s="27" t="str">
        <f t="shared" si="51"/>
        <v/>
      </c>
      <c r="DJ14" s="27" t="str">
        <f t="shared" si="52"/>
        <v/>
      </c>
      <c r="DK14" s="27" t="str">
        <f t="shared" si="53"/>
        <v/>
      </c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0" t="str">
        <f t="shared" si="54"/>
        <v/>
      </c>
      <c r="EG14" s="10" t="str">
        <f t="shared" si="55"/>
        <v/>
      </c>
      <c r="EH14" s="10" t="str">
        <f t="shared" si="56"/>
        <v/>
      </c>
      <c r="EI14" s="10" t="str">
        <f t="shared" si="57"/>
        <v/>
      </c>
      <c r="EJ14" s="10" t="str">
        <f t="shared" si="58"/>
        <v/>
      </c>
      <c r="EK14" s="10" t="str">
        <f t="shared" si="59"/>
        <v/>
      </c>
      <c r="EL14" s="10" t="str">
        <f t="shared" si="60"/>
        <v/>
      </c>
      <c r="EM14" s="10" t="str">
        <f t="shared" si="61"/>
        <v/>
      </c>
      <c r="EN14" s="10" t="str">
        <f t="shared" si="62"/>
        <v/>
      </c>
      <c r="EO14" s="10" t="str">
        <f t="shared" si="63"/>
        <v/>
      </c>
      <c r="EP14" s="10" t="str">
        <f t="shared" si="64"/>
        <v/>
      </c>
      <c r="EQ14" s="10" t="str">
        <f t="shared" si="65"/>
        <v/>
      </c>
      <c r="ER14" s="10" t="str">
        <f t="shared" si="66"/>
        <v/>
      </c>
      <c r="ES14" s="10" t="str">
        <f t="shared" si="67"/>
        <v/>
      </c>
      <c r="ET14" s="10" t="str">
        <f t="shared" si="68"/>
        <v/>
      </c>
      <c r="EU14" s="44">
        <f t="shared" si="69"/>
        <v>8.15</v>
      </c>
      <c r="EV14" s="44">
        <f t="shared" si="70"/>
        <v>2.0499999999999998</v>
      </c>
      <c r="EW14" s="44">
        <f t="shared" si="71"/>
        <v>0</v>
      </c>
      <c r="EX14" s="44">
        <f t="shared" si="72"/>
        <v>0</v>
      </c>
      <c r="EY14" s="44">
        <f t="shared" si="73"/>
        <v>8.5500000000000007</v>
      </c>
      <c r="EZ14" s="44">
        <f t="shared" si="74"/>
        <v>1.95</v>
      </c>
      <c r="FA14" s="44">
        <f t="shared" si="75"/>
        <v>0</v>
      </c>
      <c r="FB14" s="44">
        <f t="shared" si="76"/>
        <v>0</v>
      </c>
      <c r="FC14" s="44">
        <f t="shared" si="77"/>
        <v>6.85</v>
      </c>
      <c r="FD14" s="44">
        <f t="shared" si="78"/>
        <v>0.9</v>
      </c>
      <c r="FE14" s="44">
        <f t="shared" si="79"/>
        <v>0</v>
      </c>
      <c r="FF14" s="44">
        <f t="shared" si="80"/>
        <v>0</v>
      </c>
      <c r="FG14" s="44">
        <f t="shared" si="81"/>
        <v>7.3</v>
      </c>
      <c r="FH14" s="44">
        <f t="shared" si="82"/>
        <v>1.4</v>
      </c>
      <c r="FI14" s="44">
        <f t="shared" si="83"/>
        <v>0.3</v>
      </c>
      <c r="FJ14" s="44">
        <f t="shared" si="84"/>
        <v>0</v>
      </c>
      <c r="FK14" s="20" t="s">
        <v>29</v>
      </c>
      <c r="FL14" s="10">
        <f t="shared" si="85"/>
        <v>2.0499999999999998</v>
      </c>
      <c r="FM14" s="10">
        <f t="shared" si="86"/>
        <v>10.199999999999999</v>
      </c>
      <c r="FN14" s="10">
        <f t="shared" si="87"/>
        <v>1.95</v>
      </c>
      <c r="FO14" s="10">
        <f t="shared" si="88"/>
        <v>10.5</v>
      </c>
      <c r="FP14" s="10">
        <f t="shared" si="89"/>
        <v>4</v>
      </c>
      <c r="FQ14" s="10">
        <f t="shared" si="92"/>
        <v>20.7</v>
      </c>
      <c r="FR14" s="10">
        <f t="shared" si="93"/>
        <v>0.9</v>
      </c>
      <c r="FS14" s="10">
        <f t="shared" si="94"/>
        <v>7.75</v>
      </c>
      <c r="FT14" s="10">
        <f t="shared" si="95"/>
        <v>1.4</v>
      </c>
      <c r="FU14" s="10">
        <f t="shared" si="96"/>
        <v>8.3999999999999986</v>
      </c>
      <c r="FV14" s="10">
        <f t="shared" si="97"/>
        <v>2.2999999999999998</v>
      </c>
      <c r="FW14" s="10">
        <f t="shared" si="90"/>
        <v>16.149999999999999</v>
      </c>
      <c r="FX14" s="10">
        <f t="shared" si="91"/>
        <v>36.849999999999994</v>
      </c>
    </row>
    <row r="15" spans="1:180" x14ac:dyDescent="0.2">
      <c r="A15" s="3" t="str" cm="1">
        <f t="array" ref="A15">IF(AND(H15&lt;&gt;"",H15&lt;&gt;"No DD",I15&lt;&gt;"P"),SUMPRODUCT((H$4:H$18&lt;&gt;"")*(H$4:H$18&lt;&gt;"No DD")*(I$4:I$18&lt;&gt;"P")*(E$4:E$18&gt;E15))+1,IF(H15="No DD",SUMPRODUCT((H$4:H$18="No DD")*(I$4:I$18&lt;&gt;"P")*(E$4:E$18&gt;E15))+1+SUMPRODUCT((H$4:H$18&lt;&gt;"")*(I$4:I$18&lt;&gt;"P")*(H$4:H$18&lt;&gt;"No DD")),""))</f>
        <v/>
      </c>
      <c r="B15" s="4" t="s">
        <v>122</v>
      </c>
      <c r="C15" s="3" t="s">
        <v>4</v>
      </c>
      <c r="D15" s="3">
        <v>2008</v>
      </c>
      <c r="E15" s="8">
        <f t="shared" si="0"/>
        <v>72.000005420003617</v>
      </c>
      <c r="F15" s="2" t="str">
        <f t="shared" si="1"/>
        <v/>
      </c>
      <c r="G15" s="2" t="str">
        <f t="shared" si="2"/>
        <v/>
      </c>
      <c r="H15" s="26" t="str">
        <f t="shared" si="3"/>
        <v/>
      </c>
      <c r="I15" s="2" t="str">
        <f>IF(COUNTIFS('Senior-W'!B:B,B15,'Senior-W'!A:A,"&lt;9",'Senior-W'!H:H,"&lt;&gt;"&amp;"No DD"),"P","")</f>
        <v/>
      </c>
      <c r="J15" s="7">
        <f t="shared" si="4"/>
        <v>36.200000000000003</v>
      </c>
      <c r="K15" s="7" t="str">
        <f t="shared" si="5"/>
        <v>2025 Nationals</v>
      </c>
      <c r="L15" s="7">
        <f>IF(J15=AO15,IF(COUNT(AQ15,AS15,BO15,BQ15,BU15,BW15)&gt;1,LARGE((AQ15,AS15,BO15,BQ15,BU15,BW15),1),0),IF(COUNT(AK15,AM15,AQ15,AS15,BU15,BW15)&gt;1,LARGE((AK15,AM15,AQ15,AS15,BU15,BW15),1),0))</f>
        <v>18</v>
      </c>
      <c r="M15" s="7" t="str">
        <f t="shared" si="6"/>
        <v>2025 Nationals</v>
      </c>
      <c r="N15" s="7">
        <f>IF(J15=AO15,IF(COUNT(AQ15,AS15,BO15,BQ15,BU15,BW15)&gt;1,LARGE((AQ15,AS15,BO15,BQ15,BU15,BW15),2),0),IF(COUNT(AK15,AM15,AQ15,AS15,BU15,BW15)&gt;1,LARGE((AK15,AM15,AQ15,AS15,BU15,BW15),2),0))</f>
        <v>17.8</v>
      </c>
      <c r="O15" s="7" t="str">
        <f t="shared" si="7"/>
        <v>2025 Nationals</v>
      </c>
      <c r="P15" s="7" t="str">
        <f t="shared" si="8"/>
        <v/>
      </c>
      <c r="Q15" s="10" t="str">
        <f t="shared" si="9"/>
        <v/>
      </c>
      <c r="R15" s="7" t="str">
        <f t="shared" si="10"/>
        <v/>
      </c>
      <c r="S15" s="39">
        <v>15.6</v>
      </c>
      <c r="T15" s="39">
        <v>1.2</v>
      </c>
      <c r="U15" s="39">
        <v>0</v>
      </c>
      <c r="V15" s="39">
        <v>0</v>
      </c>
      <c r="W15" s="39">
        <v>15</v>
      </c>
      <c r="X15" s="39">
        <v>4.5999999999999996</v>
      </c>
      <c r="Y15" s="39">
        <v>0.2</v>
      </c>
      <c r="Z15" s="39">
        <v>0</v>
      </c>
      <c r="AA15" s="39">
        <v>14.6</v>
      </c>
      <c r="AB15" s="39">
        <v>3.4</v>
      </c>
      <c r="AC15" s="39">
        <v>0</v>
      </c>
      <c r="AD15" s="39">
        <v>0</v>
      </c>
      <c r="AE15" s="39">
        <v>15.2</v>
      </c>
      <c r="AF15" s="39">
        <v>2.6</v>
      </c>
      <c r="AG15" s="39">
        <v>0</v>
      </c>
      <c r="AH15" s="39">
        <v>0</v>
      </c>
      <c r="AI15" s="19"/>
      <c r="AJ15" s="42">
        <f t="shared" si="11"/>
        <v>1.2</v>
      </c>
      <c r="AK15" s="42">
        <f t="shared" si="12"/>
        <v>16.8</v>
      </c>
      <c r="AL15" s="42">
        <f t="shared" si="13"/>
        <v>4.5999999999999996</v>
      </c>
      <c r="AM15" s="42">
        <f t="shared" si="14"/>
        <v>19.400000000000002</v>
      </c>
      <c r="AN15" s="27">
        <f t="shared" si="15"/>
        <v>5.8</v>
      </c>
      <c r="AO15" s="27">
        <f t="shared" si="16"/>
        <v>36.200000000000003</v>
      </c>
      <c r="AP15" s="27">
        <f t="shared" si="17"/>
        <v>3.4</v>
      </c>
      <c r="AQ15" s="27">
        <f t="shared" si="18"/>
        <v>18</v>
      </c>
      <c r="AR15" s="27">
        <f t="shared" si="19"/>
        <v>2.6</v>
      </c>
      <c r="AS15" s="27">
        <f t="shared" si="20"/>
        <v>17.8</v>
      </c>
      <c r="AT15" s="27">
        <f t="shared" si="21"/>
        <v>6</v>
      </c>
      <c r="AU15" s="27">
        <f t="shared" si="22"/>
        <v>35.799999999999997</v>
      </c>
      <c r="AV15" s="27">
        <f t="shared" si="23"/>
        <v>72</v>
      </c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20"/>
      <c r="BN15" s="43" t="str">
        <f t="shared" si="24"/>
        <v/>
      </c>
      <c r="BO15" s="43" t="str">
        <f t="shared" si="25"/>
        <v/>
      </c>
      <c r="BP15" s="43" t="str">
        <f t="shared" si="26"/>
        <v/>
      </c>
      <c r="BQ15" s="43" t="str">
        <f t="shared" si="27"/>
        <v/>
      </c>
      <c r="BR15" s="10" t="str">
        <f t="shared" si="28"/>
        <v/>
      </c>
      <c r="BS15" s="10" t="str">
        <f t="shared" si="29"/>
        <v/>
      </c>
      <c r="BT15" s="10" t="str">
        <f t="shared" si="30"/>
        <v/>
      </c>
      <c r="BU15" s="10" t="str">
        <f t="shared" si="31"/>
        <v/>
      </c>
      <c r="BV15" s="10" t="str">
        <f t="shared" si="32"/>
        <v/>
      </c>
      <c r="BW15" s="10" t="str">
        <f t="shared" si="33"/>
        <v/>
      </c>
      <c r="BX15" s="10" t="str">
        <f t="shared" si="34"/>
        <v/>
      </c>
      <c r="BY15" s="10" t="str">
        <f t="shared" si="35"/>
        <v/>
      </c>
      <c r="BZ15" s="10" t="str">
        <f t="shared" si="36"/>
        <v/>
      </c>
      <c r="CA15" s="34" t="str">
        <f t="shared" si="37"/>
        <v/>
      </c>
      <c r="CB15" s="34" t="str">
        <f t="shared" si="38"/>
        <v/>
      </c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27" t="str">
        <f t="shared" si="39"/>
        <v/>
      </c>
      <c r="CX15" s="27" t="str">
        <f t="shared" si="40"/>
        <v/>
      </c>
      <c r="CY15" s="27" t="str">
        <f t="shared" si="41"/>
        <v/>
      </c>
      <c r="CZ15" s="27" t="str">
        <f t="shared" si="42"/>
        <v/>
      </c>
      <c r="DA15" s="27" t="str">
        <f t="shared" si="43"/>
        <v/>
      </c>
      <c r="DB15" s="27" t="str">
        <f t="shared" si="44"/>
        <v/>
      </c>
      <c r="DC15" s="27" t="str">
        <f t="shared" si="45"/>
        <v/>
      </c>
      <c r="DD15" s="27" t="str">
        <f t="shared" si="46"/>
        <v/>
      </c>
      <c r="DE15" s="27" t="str">
        <f t="shared" si="47"/>
        <v/>
      </c>
      <c r="DF15" s="27" t="str">
        <f t="shared" si="48"/>
        <v/>
      </c>
      <c r="DG15" s="27" t="str">
        <f t="shared" si="49"/>
        <v/>
      </c>
      <c r="DH15" s="27" t="str">
        <f t="shared" si="50"/>
        <v/>
      </c>
      <c r="DI15" s="27" t="str">
        <f t="shared" si="51"/>
        <v/>
      </c>
      <c r="DJ15" s="27" t="str">
        <f t="shared" si="52"/>
        <v/>
      </c>
      <c r="DK15" s="27" t="str">
        <f t="shared" si="53"/>
        <v/>
      </c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0" t="str">
        <f t="shared" si="54"/>
        <v/>
      </c>
      <c r="EG15" s="10" t="str">
        <f t="shared" si="55"/>
        <v/>
      </c>
      <c r="EH15" s="10" t="str">
        <f t="shared" si="56"/>
        <v/>
      </c>
      <c r="EI15" s="10" t="str">
        <f t="shared" si="57"/>
        <v/>
      </c>
      <c r="EJ15" s="10" t="str">
        <f t="shared" si="58"/>
        <v/>
      </c>
      <c r="EK15" s="10" t="str">
        <f t="shared" si="59"/>
        <v/>
      </c>
      <c r="EL15" s="10" t="str">
        <f t="shared" si="60"/>
        <v/>
      </c>
      <c r="EM15" s="10" t="str">
        <f t="shared" si="61"/>
        <v/>
      </c>
      <c r="EN15" s="10" t="str">
        <f t="shared" si="62"/>
        <v/>
      </c>
      <c r="EO15" s="10" t="str">
        <f t="shared" si="63"/>
        <v/>
      </c>
      <c r="EP15" s="10" t="str">
        <f t="shared" si="64"/>
        <v/>
      </c>
      <c r="EQ15" s="10" t="str">
        <f t="shared" si="65"/>
        <v/>
      </c>
      <c r="ER15" s="10" t="str">
        <f t="shared" si="66"/>
        <v/>
      </c>
      <c r="ES15" s="10" t="str">
        <f t="shared" si="67"/>
        <v/>
      </c>
      <c r="ET15" s="10" t="str">
        <f t="shared" si="68"/>
        <v/>
      </c>
      <c r="EU15" s="44">
        <f t="shared" si="69"/>
        <v>7.8</v>
      </c>
      <c r="EV15" s="44">
        <f t="shared" si="70"/>
        <v>0.6</v>
      </c>
      <c r="EW15" s="44">
        <f t="shared" si="71"/>
        <v>0</v>
      </c>
      <c r="EX15" s="44">
        <f t="shared" si="72"/>
        <v>0</v>
      </c>
      <c r="EY15" s="44">
        <f t="shared" si="73"/>
        <v>7.5</v>
      </c>
      <c r="EZ15" s="44">
        <f t="shared" si="74"/>
        <v>2.2999999999999998</v>
      </c>
      <c r="FA15" s="44">
        <f t="shared" si="75"/>
        <v>0.1</v>
      </c>
      <c r="FB15" s="44">
        <f t="shared" si="76"/>
        <v>0</v>
      </c>
      <c r="FC15" s="44">
        <f t="shared" si="77"/>
        <v>7.3</v>
      </c>
      <c r="FD15" s="44">
        <f t="shared" si="78"/>
        <v>1.7</v>
      </c>
      <c r="FE15" s="44">
        <f t="shared" si="79"/>
        <v>0</v>
      </c>
      <c r="FF15" s="44">
        <f t="shared" si="80"/>
        <v>0</v>
      </c>
      <c r="FG15" s="44">
        <f t="shared" si="81"/>
        <v>7.6</v>
      </c>
      <c r="FH15" s="44">
        <f t="shared" si="82"/>
        <v>1.3</v>
      </c>
      <c r="FI15" s="44">
        <f t="shared" si="83"/>
        <v>0</v>
      </c>
      <c r="FJ15" s="44">
        <f t="shared" si="84"/>
        <v>0</v>
      </c>
      <c r="FK15" s="20" t="s">
        <v>29</v>
      </c>
      <c r="FL15" s="10">
        <f t="shared" si="85"/>
        <v>0.6</v>
      </c>
      <c r="FM15" s="10">
        <f t="shared" si="86"/>
        <v>8.4</v>
      </c>
      <c r="FN15" s="10">
        <f t="shared" si="87"/>
        <v>2.2999999999999998</v>
      </c>
      <c r="FO15" s="10">
        <f t="shared" si="88"/>
        <v>9.7000000000000011</v>
      </c>
      <c r="FP15" s="10">
        <f t="shared" si="89"/>
        <v>2.9</v>
      </c>
      <c r="FQ15" s="10">
        <f t="shared" si="92"/>
        <v>18.100000000000001</v>
      </c>
      <c r="FR15" s="10">
        <f t="shared" si="93"/>
        <v>1.7</v>
      </c>
      <c r="FS15" s="10">
        <f t="shared" si="94"/>
        <v>9</v>
      </c>
      <c r="FT15" s="10">
        <f t="shared" si="95"/>
        <v>1.3</v>
      </c>
      <c r="FU15" s="10">
        <f t="shared" si="96"/>
        <v>8.9</v>
      </c>
      <c r="FV15" s="10">
        <f t="shared" si="97"/>
        <v>3</v>
      </c>
      <c r="FW15" s="10">
        <f t="shared" si="90"/>
        <v>17.899999999999999</v>
      </c>
      <c r="FX15" s="10">
        <f t="shared" si="91"/>
        <v>36</v>
      </c>
    </row>
    <row r="16" spans="1:180" x14ac:dyDescent="0.2">
      <c r="A16" s="3" t="str" cm="1">
        <f t="array" ref="A16">IF(AND(H16&lt;&gt;"",H16&lt;&gt;"No DD",I16&lt;&gt;"P"),SUMPRODUCT((H$4:H$18&lt;&gt;"")*(H$4:H$18&lt;&gt;"No DD")*(I$4:I$18&lt;&gt;"P")*(E$4:E$18&gt;E16))+1,IF(H16="No DD",SUMPRODUCT((H$4:H$18="No DD")*(I$4:I$18&lt;&gt;"P")*(E$4:E$18&gt;E16))+1+SUMPRODUCT((H$4:H$18&lt;&gt;"")*(I$4:I$18&lt;&gt;"P")*(H$4:H$18&lt;&gt;"No DD")),""))</f>
        <v/>
      </c>
      <c r="B16" s="4" t="s">
        <v>96</v>
      </c>
      <c r="C16" s="3" t="s">
        <v>4</v>
      </c>
      <c r="D16" s="3">
        <v>2005</v>
      </c>
      <c r="E16" s="8">
        <f t="shared" si="0"/>
        <v>39.900000000000006</v>
      </c>
      <c r="F16" s="2" t="str">
        <f t="shared" si="1"/>
        <v/>
      </c>
      <c r="G16" s="2" t="str">
        <f t="shared" si="2"/>
        <v/>
      </c>
      <c r="H16" s="26" t="str">
        <f t="shared" si="3"/>
        <v/>
      </c>
      <c r="I16" s="2" t="str">
        <f>IF(COUNTIFS('Senior-W'!B:B,B16,'Senior-W'!A:A,"&lt;9",'Senior-W'!H:H,"&lt;&gt;"&amp;"No DD"),"P","")</f>
        <v/>
      </c>
      <c r="J16" s="7">
        <f t="shared" si="4"/>
        <v>0</v>
      </c>
      <c r="K16" s="7" t="str">
        <f t="shared" si="5"/>
        <v/>
      </c>
      <c r="L16" s="7">
        <f>IF(J16=AO16,IF(COUNT(AQ16,AS16,BO16,BQ16,BU16,BW16)&gt;1,LARGE((AQ16,AS16,BO16,BQ16,BU16,BW16),1),0),IF(COUNT(AK16,AM16,AQ16,AS16,BU16,BW16)&gt;1,LARGE((AK16,AM16,AQ16,AS16,BU16,BW16),1),0))</f>
        <v>0</v>
      </c>
      <c r="M16" s="7" t="str">
        <f t="shared" si="6"/>
        <v/>
      </c>
      <c r="N16" s="7">
        <f>IF(J16=AO16,IF(COUNT(AQ16,AS16,BO16,BQ16,BU16,BW16)&gt;1,LARGE((AQ16,AS16,BO16,BQ16,BU16,BW16),2),0),IF(COUNT(AK16,AM16,AQ16,AS16,BU16,BW16)&gt;1,LARGE((AK16,AM16,AQ16,AS16,BU16,BW16),2),0))</f>
        <v>0</v>
      </c>
      <c r="O16" s="7" t="str">
        <f t="shared" si="7"/>
        <v/>
      </c>
      <c r="P16" s="7">
        <f t="shared" si="8"/>
        <v>39.900000000000006</v>
      </c>
      <c r="Q16" s="10" t="str">
        <f t="shared" si="9"/>
        <v>(Q1)</v>
      </c>
      <c r="R16" s="7" t="str">
        <f t="shared" si="10"/>
        <v>2025 WAGC (Nov 16)</v>
      </c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19"/>
      <c r="AJ16" s="42" t="str">
        <f t="shared" si="11"/>
        <v/>
      </c>
      <c r="AK16" s="42" t="str">
        <f t="shared" si="12"/>
        <v/>
      </c>
      <c r="AL16" s="42" t="str">
        <f t="shared" si="13"/>
        <v/>
      </c>
      <c r="AM16" s="42" t="str">
        <f t="shared" si="14"/>
        <v/>
      </c>
      <c r="AN16" s="27" t="str">
        <f t="shared" si="15"/>
        <v/>
      </c>
      <c r="AO16" s="27" t="str">
        <f t="shared" si="16"/>
        <v/>
      </c>
      <c r="AP16" s="27" t="str">
        <f t="shared" si="17"/>
        <v/>
      </c>
      <c r="AQ16" s="27" t="str">
        <f t="shared" si="18"/>
        <v/>
      </c>
      <c r="AR16" s="27" t="str">
        <f t="shared" si="19"/>
        <v/>
      </c>
      <c r="AS16" s="27" t="str">
        <f t="shared" si="20"/>
        <v/>
      </c>
      <c r="AT16" s="27" t="str">
        <f t="shared" si="21"/>
        <v/>
      </c>
      <c r="AU16" s="27" t="str">
        <f t="shared" si="22"/>
        <v/>
      </c>
      <c r="AV16" s="27" t="str">
        <f t="shared" si="23"/>
        <v/>
      </c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20"/>
      <c r="BN16" s="43" t="str">
        <f t="shared" si="24"/>
        <v/>
      </c>
      <c r="BO16" s="43" t="str">
        <f t="shared" si="25"/>
        <v/>
      </c>
      <c r="BP16" s="43" t="str">
        <f t="shared" si="26"/>
        <v/>
      </c>
      <c r="BQ16" s="43" t="str">
        <f t="shared" si="27"/>
        <v/>
      </c>
      <c r="BR16" s="10" t="str">
        <f t="shared" si="28"/>
        <v/>
      </c>
      <c r="BS16" s="10" t="str">
        <f t="shared" si="29"/>
        <v/>
      </c>
      <c r="BT16" s="10" t="str">
        <f t="shared" si="30"/>
        <v/>
      </c>
      <c r="BU16" s="10" t="str">
        <f t="shared" si="31"/>
        <v/>
      </c>
      <c r="BV16" s="10" t="str">
        <f t="shared" si="32"/>
        <v/>
      </c>
      <c r="BW16" s="10" t="str">
        <f t="shared" si="33"/>
        <v/>
      </c>
      <c r="BX16" s="10" t="str">
        <f t="shared" si="34"/>
        <v/>
      </c>
      <c r="BY16" s="10" t="str">
        <f t="shared" si="35"/>
        <v/>
      </c>
      <c r="BZ16" s="10" t="str">
        <f t="shared" si="36"/>
        <v/>
      </c>
      <c r="CA16" s="34">
        <f t="shared" si="37"/>
        <v>39.900000000000006</v>
      </c>
      <c r="CB16" s="34">
        <f t="shared" si="38"/>
        <v>20.100000000000001</v>
      </c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27" t="str">
        <f t="shared" si="39"/>
        <v/>
      </c>
      <c r="CX16" s="27" t="str">
        <f t="shared" si="40"/>
        <v/>
      </c>
      <c r="CY16" s="27" t="str">
        <f t="shared" si="41"/>
        <v/>
      </c>
      <c r="CZ16" s="27" t="str">
        <f t="shared" si="42"/>
        <v/>
      </c>
      <c r="DA16" s="27" t="str">
        <f t="shared" si="43"/>
        <v/>
      </c>
      <c r="DB16" s="27" t="str">
        <f t="shared" si="44"/>
        <v/>
      </c>
      <c r="DC16" s="27" t="str">
        <f t="shared" si="45"/>
        <v/>
      </c>
      <c r="DD16" s="27" t="str">
        <f t="shared" si="46"/>
        <v/>
      </c>
      <c r="DE16" s="27" t="str">
        <f t="shared" si="47"/>
        <v/>
      </c>
      <c r="DF16" s="27" t="str">
        <f t="shared" si="48"/>
        <v/>
      </c>
      <c r="DG16" s="27" t="str">
        <f t="shared" si="49"/>
        <v/>
      </c>
      <c r="DH16" s="27" t="str">
        <f t="shared" si="50"/>
        <v/>
      </c>
      <c r="DI16" s="27" t="str">
        <f t="shared" si="51"/>
        <v/>
      </c>
      <c r="DJ16" s="27" t="str">
        <f t="shared" si="52"/>
        <v/>
      </c>
      <c r="DK16" s="27" t="str">
        <f t="shared" si="53"/>
        <v/>
      </c>
      <c r="DL16" s="15">
        <v>15.9</v>
      </c>
      <c r="DM16" s="15">
        <v>3.9</v>
      </c>
      <c r="DN16" s="15">
        <v>0</v>
      </c>
      <c r="DO16" s="15">
        <v>0</v>
      </c>
      <c r="DP16" s="15">
        <v>16</v>
      </c>
      <c r="DQ16" s="15">
        <v>4.0999999999999996</v>
      </c>
      <c r="DR16" s="15">
        <v>0</v>
      </c>
      <c r="DS16" s="15">
        <v>0</v>
      </c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0">
        <f t="shared" si="54"/>
        <v>3.9</v>
      </c>
      <c r="EG16" s="10">
        <f t="shared" si="55"/>
        <v>19.8</v>
      </c>
      <c r="EH16" s="10">
        <f t="shared" si="56"/>
        <v>4.0999999999999996</v>
      </c>
      <c r="EI16" s="10">
        <f t="shared" si="57"/>
        <v>20.100000000000001</v>
      </c>
      <c r="EJ16" s="10">
        <f t="shared" si="58"/>
        <v>8</v>
      </c>
      <c r="EK16" s="10">
        <f t="shared" si="59"/>
        <v>39.900000000000006</v>
      </c>
      <c r="EL16" s="10" t="str">
        <f t="shared" si="60"/>
        <v/>
      </c>
      <c r="EM16" s="10" t="str">
        <f t="shared" si="61"/>
        <v/>
      </c>
      <c r="EN16" s="10" t="str">
        <f t="shared" si="62"/>
        <v/>
      </c>
      <c r="EO16" s="10" t="str">
        <f t="shared" si="63"/>
        <v/>
      </c>
      <c r="EP16" s="10" t="str">
        <f t="shared" si="64"/>
        <v/>
      </c>
      <c r="EQ16" s="10" t="str">
        <f t="shared" si="65"/>
        <v/>
      </c>
      <c r="ER16" s="10" t="str">
        <f t="shared" si="66"/>
        <v/>
      </c>
      <c r="ES16" s="10" t="str">
        <f t="shared" si="67"/>
        <v/>
      </c>
      <c r="ET16" s="10">
        <f t="shared" si="68"/>
        <v>39.900000000000006</v>
      </c>
      <c r="EU16" s="44">
        <f t="shared" si="69"/>
        <v>0</v>
      </c>
      <c r="EV16" s="44">
        <f t="shared" si="70"/>
        <v>0</v>
      </c>
      <c r="EW16" s="44">
        <f t="shared" si="71"/>
        <v>0</v>
      </c>
      <c r="EX16" s="44">
        <f t="shared" si="72"/>
        <v>0</v>
      </c>
      <c r="EY16" s="44">
        <f t="shared" si="73"/>
        <v>0</v>
      </c>
      <c r="EZ16" s="44">
        <f t="shared" si="74"/>
        <v>0</v>
      </c>
      <c r="FA16" s="44">
        <f t="shared" si="75"/>
        <v>0</v>
      </c>
      <c r="FB16" s="44">
        <f t="shared" si="76"/>
        <v>0</v>
      </c>
      <c r="FC16" s="44">
        <f t="shared" si="77"/>
        <v>0</v>
      </c>
      <c r="FD16" s="44">
        <f t="shared" si="78"/>
        <v>0</v>
      </c>
      <c r="FE16" s="44">
        <f t="shared" si="79"/>
        <v>0</v>
      </c>
      <c r="FF16" s="44">
        <f t="shared" si="80"/>
        <v>0</v>
      </c>
      <c r="FG16" s="44">
        <f t="shared" si="81"/>
        <v>0</v>
      </c>
      <c r="FH16" s="44">
        <f t="shared" si="82"/>
        <v>0</v>
      </c>
      <c r="FI16" s="44">
        <f t="shared" si="83"/>
        <v>0</v>
      </c>
      <c r="FJ16" s="44">
        <f t="shared" si="84"/>
        <v>0</v>
      </c>
      <c r="FK16" s="20" t="s">
        <v>29</v>
      </c>
      <c r="FL16" s="10">
        <f t="shared" si="85"/>
        <v>0</v>
      </c>
      <c r="FM16" s="10">
        <f t="shared" si="86"/>
        <v>0</v>
      </c>
      <c r="FN16" s="10">
        <f t="shared" si="87"/>
        <v>0</v>
      </c>
      <c r="FO16" s="10">
        <f t="shared" si="88"/>
        <v>0</v>
      </c>
      <c r="FP16" s="10" t="str">
        <f t="shared" si="89"/>
        <v/>
      </c>
      <c r="FQ16" s="10" t="str">
        <f t="shared" si="92"/>
        <v/>
      </c>
      <c r="FR16" s="10">
        <f t="shared" si="93"/>
        <v>0</v>
      </c>
      <c r="FS16" s="10">
        <f t="shared" si="94"/>
        <v>0</v>
      </c>
      <c r="FT16" s="10">
        <f t="shared" si="95"/>
        <v>0</v>
      </c>
      <c r="FU16" s="10">
        <f t="shared" si="96"/>
        <v>0</v>
      </c>
      <c r="FV16" s="10" t="str">
        <f t="shared" si="97"/>
        <v/>
      </c>
      <c r="FW16" s="10" t="str">
        <f t="shared" si="90"/>
        <v/>
      </c>
      <c r="FX16" s="10" t="str">
        <f t="shared" si="91"/>
        <v/>
      </c>
    </row>
    <row r="17" spans="1:180" x14ac:dyDescent="0.2">
      <c r="A17" s="3" t="str" cm="1">
        <f t="array" ref="A17">IF(AND(H17&lt;&gt;"",H17&lt;&gt;"No DD",I17&lt;&gt;"P"),SUMPRODUCT((H$4:H$18&lt;&gt;"")*(H$4:H$18&lt;&gt;"No DD")*(I$4:I$18&lt;&gt;"P")*(E$4:E$18&gt;E17))+1,IF(H17="No DD",SUMPRODUCT((H$4:H$18="No DD")*(I$4:I$18&lt;&gt;"P")*(E$4:E$18&gt;E17))+1+SUMPRODUCT((H$4:H$18&lt;&gt;"")*(I$4:I$18&lt;&gt;"P")*(H$4:H$18&lt;&gt;"No DD")),""))</f>
        <v/>
      </c>
      <c r="B17" s="4" t="s">
        <v>115</v>
      </c>
      <c r="C17" s="3" t="s">
        <v>3</v>
      </c>
      <c r="D17" s="3">
        <v>2008</v>
      </c>
      <c r="E17" s="8">
        <f t="shared" si="0"/>
        <v>0</v>
      </c>
      <c r="F17" s="2" t="str">
        <f t="shared" si="1"/>
        <v/>
      </c>
      <c r="G17" s="2" t="str">
        <f t="shared" si="2"/>
        <v/>
      </c>
      <c r="H17" s="26" t="str">
        <f t="shared" si="3"/>
        <v/>
      </c>
      <c r="I17" s="2" t="str">
        <f>IF(COUNTIFS('Senior-W'!B:B,B17,'Senior-W'!A:A,"&lt;9",'Senior-W'!H:H,"&lt;&gt;"&amp;"No DD"),"P","")</f>
        <v/>
      </c>
      <c r="J17" s="7">
        <f t="shared" si="4"/>
        <v>0</v>
      </c>
      <c r="K17" s="7" t="str">
        <f t="shared" si="5"/>
        <v/>
      </c>
      <c r="L17" s="7">
        <f>IF(J17=AO17,IF(COUNT(AQ17,AS17,BO17,BQ17,BU17,BW17)&gt;1,LARGE((AQ17,AS17,BO17,BQ17,BU17,BW17),1),0),IF(COUNT(AK17,AM17,AQ17,AS17,BU17,BW17)&gt;1,LARGE((AK17,AM17,AQ17,AS17,BU17,BW17),1),0))</f>
        <v>0</v>
      </c>
      <c r="M17" s="7" t="str">
        <f t="shared" si="6"/>
        <v/>
      </c>
      <c r="N17" s="7">
        <f>IF(J17=AO17,IF(COUNT(AQ17,AS17,BO17,BQ17,BU17,BW17)&gt;1,LARGE((AQ17,AS17,BO17,BQ17,BU17,BW17),2),0),IF(COUNT(AK17,AM17,AQ17,AS17,BU17,BW17)&gt;1,LARGE((AK17,AM17,AQ17,AS17,BU17,BW17),2),0))</f>
        <v>0</v>
      </c>
      <c r="O17" s="7" t="str">
        <f t="shared" si="7"/>
        <v/>
      </c>
      <c r="P17" s="7" t="str">
        <f t="shared" si="8"/>
        <v/>
      </c>
      <c r="Q17" s="10" t="str">
        <f t="shared" si="9"/>
        <v/>
      </c>
      <c r="R17" s="7" t="str">
        <f t="shared" si="10"/>
        <v/>
      </c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19"/>
      <c r="AJ17" s="42" t="str">
        <f t="shared" si="11"/>
        <v/>
      </c>
      <c r="AK17" s="42" t="str">
        <f t="shared" si="12"/>
        <v/>
      </c>
      <c r="AL17" s="42" t="str">
        <f t="shared" si="13"/>
        <v/>
      </c>
      <c r="AM17" s="42" t="str">
        <f t="shared" si="14"/>
        <v/>
      </c>
      <c r="AN17" s="27" t="str">
        <f t="shared" si="15"/>
        <v/>
      </c>
      <c r="AO17" s="27" t="str">
        <f t="shared" si="16"/>
        <v/>
      </c>
      <c r="AP17" s="27" t="str">
        <f t="shared" si="17"/>
        <v/>
      </c>
      <c r="AQ17" s="27" t="str">
        <f t="shared" si="18"/>
        <v/>
      </c>
      <c r="AR17" s="27" t="str">
        <f t="shared" si="19"/>
        <v/>
      </c>
      <c r="AS17" s="27" t="str">
        <f t="shared" si="20"/>
        <v/>
      </c>
      <c r="AT17" s="27" t="str">
        <f t="shared" si="21"/>
        <v/>
      </c>
      <c r="AU17" s="27" t="str">
        <f t="shared" si="22"/>
        <v/>
      </c>
      <c r="AV17" s="27" t="str">
        <f t="shared" si="23"/>
        <v/>
      </c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20"/>
      <c r="BN17" s="43" t="str">
        <f t="shared" si="24"/>
        <v/>
      </c>
      <c r="BO17" s="43" t="str">
        <f t="shared" si="25"/>
        <v/>
      </c>
      <c r="BP17" s="43" t="str">
        <f t="shared" si="26"/>
        <v/>
      </c>
      <c r="BQ17" s="43" t="str">
        <f t="shared" si="27"/>
        <v/>
      </c>
      <c r="BR17" s="10" t="str">
        <f t="shared" si="28"/>
        <v/>
      </c>
      <c r="BS17" s="10" t="str">
        <f t="shared" si="29"/>
        <v/>
      </c>
      <c r="BT17" s="10" t="str">
        <f t="shared" si="30"/>
        <v/>
      </c>
      <c r="BU17" s="10" t="str">
        <f t="shared" si="31"/>
        <v/>
      </c>
      <c r="BV17" s="10" t="str">
        <f t="shared" si="32"/>
        <v/>
      </c>
      <c r="BW17" s="10" t="str">
        <f t="shared" si="33"/>
        <v/>
      </c>
      <c r="BX17" s="10" t="str">
        <f t="shared" si="34"/>
        <v/>
      </c>
      <c r="BY17" s="10" t="str">
        <f t="shared" si="35"/>
        <v/>
      </c>
      <c r="BZ17" s="10" t="str">
        <f t="shared" si="36"/>
        <v/>
      </c>
      <c r="CA17" s="34" t="str">
        <f t="shared" si="37"/>
        <v/>
      </c>
      <c r="CB17" s="34" t="str">
        <f t="shared" si="38"/>
        <v/>
      </c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27" t="str">
        <f t="shared" si="39"/>
        <v/>
      </c>
      <c r="CX17" s="27" t="str">
        <f t="shared" si="40"/>
        <v/>
      </c>
      <c r="CY17" s="27" t="str">
        <f t="shared" si="41"/>
        <v/>
      </c>
      <c r="CZ17" s="27" t="str">
        <f t="shared" si="42"/>
        <v/>
      </c>
      <c r="DA17" s="27" t="str">
        <f t="shared" si="43"/>
        <v/>
      </c>
      <c r="DB17" s="27" t="str">
        <f t="shared" si="44"/>
        <v/>
      </c>
      <c r="DC17" s="27" t="str">
        <f t="shared" si="45"/>
        <v/>
      </c>
      <c r="DD17" s="27" t="str">
        <f t="shared" si="46"/>
        <v/>
      </c>
      <c r="DE17" s="27" t="str">
        <f t="shared" si="47"/>
        <v/>
      </c>
      <c r="DF17" s="27" t="str">
        <f t="shared" si="48"/>
        <v/>
      </c>
      <c r="DG17" s="27" t="str">
        <f t="shared" si="49"/>
        <v/>
      </c>
      <c r="DH17" s="27" t="str">
        <f t="shared" si="50"/>
        <v/>
      </c>
      <c r="DI17" s="27" t="str">
        <f t="shared" si="51"/>
        <v/>
      </c>
      <c r="DJ17" s="27" t="str">
        <f t="shared" si="52"/>
        <v/>
      </c>
      <c r="DK17" s="27" t="str">
        <f t="shared" si="53"/>
        <v/>
      </c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0" t="str">
        <f t="shared" si="54"/>
        <v/>
      </c>
      <c r="EG17" s="10" t="str">
        <f t="shared" si="55"/>
        <v/>
      </c>
      <c r="EH17" s="10" t="str">
        <f t="shared" si="56"/>
        <v/>
      </c>
      <c r="EI17" s="10" t="str">
        <f t="shared" si="57"/>
        <v/>
      </c>
      <c r="EJ17" s="10" t="str">
        <f t="shared" si="58"/>
        <v/>
      </c>
      <c r="EK17" s="10" t="str">
        <f t="shared" si="59"/>
        <v/>
      </c>
      <c r="EL17" s="10" t="str">
        <f t="shared" si="60"/>
        <v/>
      </c>
      <c r="EM17" s="10" t="str">
        <f t="shared" si="61"/>
        <v/>
      </c>
      <c r="EN17" s="10" t="str">
        <f t="shared" si="62"/>
        <v/>
      </c>
      <c r="EO17" s="10" t="str">
        <f t="shared" si="63"/>
        <v/>
      </c>
      <c r="EP17" s="10" t="str">
        <f t="shared" si="64"/>
        <v/>
      </c>
      <c r="EQ17" s="10" t="str">
        <f t="shared" si="65"/>
        <v/>
      </c>
      <c r="ER17" s="10" t="str">
        <f t="shared" si="66"/>
        <v/>
      </c>
      <c r="ES17" s="10" t="str">
        <f t="shared" si="67"/>
        <v/>
      </c>
      <c r="ET17" s="10" t="str">
        <f t="shared" si="68"/>
        <v/>
      </c>
      <c r="EU17" s="44">
        <f t="shared" si="69"/>
        <v>0</v>
      </c>
      <c r="EV17" s="44">
        <f t="shared" si="70"/>
        <v>0</v>
      </c>
      <c r="EW17" s="44">
        <f t="shared" si="71"/>
        <v>0</v>
      </c>
      <c r="EX17" s="44">
        <f t="shared" si="72"/>
        <v>0</v>
      </c>
      <c r="EY17" s="44">
        <f t="shared" si="73"/>
        <v>0</v>
      </c>
      <c r="EZ17" s="44">
        <f t="shared" si="74"/>
        <v>0</v>
      </c>
      <c r="FA17" s="44">
        <f t="shared" si="75"/>
        <v>0</v>
      </c>
      <c r="FB17" s="44">
        <f t="shared" si="76"/>
        <v>0</v>
      </c>
      <c r="FC17" s="44">
        <f t="shared" si="77"/>
        <v>0</v>
      </c>
      <c r="FD17" s="44">
        <f t="shared" si="78"/>
        <v>0</v>
      </c>
      <c r="FE17" s="44">
        <f t="shared" si="79"/>
        <v>0</v>
      </c>
      <c r="FF17" s="44">
        <f t="shared" si="80"/>
        <v>0</v>
      </c>
      <c r="FG17" s="44">
        <f t="shared" si="81"/>
        <v>0</v>
      </c>
      <c r="FH17" s="44">
        <f t="shared" si="82"/>
        <v>0</v>
      </c>
      <c r="FI17" s="44">
        <f t="shared" si="83"/>
        <v>0</v>
      </c>
      <c r="FJ17" s="44">
        <f t="shared" si="84"/>
        <v>0</v>
      </c>
      <c r="FK17" s="20" t="s">
        <v>29</v>
      </c>
      <c r="FL17" s="10">
        <f t="shared" si="85"/>
        <v>0</v>
      </c>
      <c r="FM17" s="10">
        <f t="shared" si="86"/>
        <v>0</v>
      </c>
      <c r="FN17" s="10">
        <f t="shared" si="87"/>
        <v>0</v>
      </c>
      <c r="FO17" s="10">
        <f t="shared" si="88"/>
        <v>0</v>
      </c>
      <c r="FP17" s="10" t="str">
        <f t="shared" si="89"/>
        <v/>
      </c>
      <c r="FQ17" s="10" t="str">
        <f t="shared" si="92"/>
        <v/>
      </c>
      <c r="FR17" s="10">
        <f t="shared" si="93"/>
        <v>0</v>
      </c>
      <c r="FS17" s="10">
        <f t="shared" si="94"/>
        <v>0</v>
      </c>
      <c r="FT17" s="10">
        <f t="shared" si="95"/>
        <v>0</v>
      </c>
      <c r="FU17" s="10">
        <f t="shared" si="96"/>
        <v>0</v>
      </c>
      <c r="FV17" s="10" t="str">
        <f t="shared" si="97"/>
        <v/>
      </c>
      <c r="FW17" s="10" t="str">
        <f t="shared" si="90"/>
        <v/>
      </c>
      <c r="FX17" s="10" t="str">
        <f t="shared" si="91"/>
        <v/>
      </c>
    </row>
    <row r="18" spans="1:180" ht="17" x14ac:dyDescent="0.2">
      <c r="P18" s="9"/>
      <c r="Q18" s="9"/>
      <c r="R18" s="9"/>
    </row>
    <row r="19" spans="1:180" ht="17" x14ac:dyDescent="0.2">
      <c r="P19" s="9"/>
      <c r="Q19" s="9"/>
      <c r="R19" s="9"/>
    </row>
    <row r="20" spans="1:180" ht="17" x14ac:dyDescent="0.2">
      <c r="B20" s="17" t="s">
        <v>27</v>
      </c>
      <c r="P20" s="9"/>
      <c r="Q20" s="9"/>
      <c r="R20" s="9"/>
      <c r="AV20" s="28">
        <v>8.4</v>
      </c>
      <c r="BZ20" s="28">
        <v>8.4</v>
      </c>
      <c r="CW20" s="3"/>
      <c r="CX20" s="3"/>
      <c r="CY20" s="3"/>
      <c r="CZ20" s="3"/>
      <c r="DA20" s="3"/>
      <c r="DK20" s="28">
        <v>8.4</v>
      </c>
      <c r="EF20" s="3"/>
      <c r="EG20" s="3"/>
      <c r="EH20" s="3"/>
      <c r="EI20" s="3"/>
      <c r="EJ20" s="3"/>
      <c r="EK20" s="3"/>
      <c r="EL20" s="3"/>
      <c r="ET20" s="28">
        <v>8.4</v>
      </c>
    </row>
    <row r="21" spans="1:180" ht="17" hidden="1" x14ac:dyDescent="0.2">
      <c r="B21" s="22" t="s">
        <v>26</v>
      </c>
      <c r="P21" s="9"/>
      <c r="Q21" s="9"/>
      <c r="R21" s="9"/>
      <c r="AV21" s="40">
        <v>1000</v>
      </c>
      <c r="BZ21" s="40">
        <v>1000</v>
      </c>
      <c r="CW21" s="3"/>
      <c r="CX21" s="3"/>
      <c r="CY21" s="3"/>
      <c r="CZ21" s="3"/>
      <c r="DA21" s="3"/>
      <c r="DK21" s="40">
        <v>1000</v>
      </c>
      <c r="EF21" s="3"/>
      <c r="EG21" s="3"/>
      <c r="EH21" s="3"/>
      <c r="EI21" s="3"/>
      <c r="EJ21" s="3"/>
      <c r="EK21" s="3"/>
      <c r="EL21" s="3"/>
      <c r="ET21" s="40">
        <v>1000</v>
      </c>
    </row>
    <row r="22" spans="1:180" ht="17" hidden="1" x14ac:dyDescent="0.2">
      <c r="A22" s="4"/>
      <c r="B22" s="23" t="s">
        <v>94</v>
      </c>
      <c r="C22" s="16"/>
      <c r="P22" s="9"/>
      <c r="Q22" s="9"/>
      <c r="R22" s="9"/>
      <c r="AV22" s="29">
        <v>1000</v>
      </c>
      <c r="BZ22" s="29">
        <v>1000</v>
      </c>
      <c r="CW22" s="3"/>
      <c r="CX22" s="3"/>
      <c r="CY22" s="3"/>
      <c r="CZ22" s="3"/>
      <c r="DA22" s="3"/>
      <c r="DK22" s="29">
        <v>1000</v>
      </c>
      <c r="EF22" s="3"/>
      <c r="EG22" s="3"/>
      <c r="EH22" s="3"/>
      <c r="EI22" s="3"/>
      <c r="EJ22" s="3"/>
      <c r="EK22" s="3"/>
      <c r="EL22" s="3"/>
      <c r="ET22" s="29">
        <v>1000</v>
      </c>
    </row>
    <row r="23" spans="1:180" ht="17" x14ac:dyDescent="0.2">
      <c r="A23" s="4"/>
      <c r="B23" s="25" t="s">
        <v>24</v>
      </c>
      <c r="C23" s="16"/>
      <c r="P23" s="9"/>
      <c r="Q23" s="9"/>
      <c r="R23" s="9"/>
      <c r="AV23" s="30">
        <v>42.8</v>
      </c>
      <c r="BZ23" s="30">
        <v>42.8</v>
      </c>
      <c r="CW23" s="3"/>
      <c r="CX23" s="3"/>
      <c r="CY23" s="3"/>
      <c r="CZ23" s="3"/>
      <c r="DA23" s="3"/>
      <c r="DK23" s="30">
        <v>42.8</v>
      </c>
      <c r="EF23" s="3"/>
      <c r="EG23" s="3"/>
      <c r="EH23" s="3"/>
      <c r="EI23" s="3"/>
      <c r="EJ23" s="3"/>
      <c r="EK23" s="3"/>
      <c r="EL23" s="3"/>
      <c r="ET23" s="30">
        <v>42.8</v>
      </c>
    </row>
    <row r="24" spans="1:180" ht="17" hidden="1" x14ac:dyDescent="0.2">
      <c r="A24" s="4"/>
      <c r="B24" s="18" t="s">
        <v>25</v>
      </c>
      <c r="C24" s="16"/>
      <c r="P24" s="9"/>
      <c r="Q24" s="9"/>
      <c r="R24" s="9"/>
      <c r="AV24" s="31">
        <v>1000</v>
      </c>
      <c r="BZ24" s="31">
        <v>1000</v>
      </c>
      <c r="CW24" s="3"/>
      <c r="CX24" s="3"/>
      <c r="CY24" s="3"/>
      <c r="CZ24" s="3"/>
      <c r="DA24" s="3"/>
      <c r="DK24" s="31">
        <v>1000</v>
      </c>
      <c r="EF24" s="3"/>
      <c r="EG24" s="3"/>
      <c r="EH24" s="3"/>
      <c r="EI24" s="3"/>
      <c r="EJ24" s="3"/>
      <c r="EK24" s="3"/>
      <c r="EL24" s="3"/>
      <c r="ET24" s="31">
        <v>1000</v>
      </c>
    </row>
    <row r="25" spans="1:180" ht="17" hidden="1" x14ac:dyDescent="0.2">
      <c r="A25" s="4"/>
      <c r="B25" s="24" t="s">
        <v>93</v>
      </c>
      <c r="C25" s="16"/>
      <c r="P25" s="9"/>
      <c r="Q25" s="9"/>
      <c r="R25" s="9"/>
      <c r="AV25" s="32">
        <v>1000</v>
      </c>
      <c r="BZ25" s="32">
        <v>1000</v>
      </c>
      <c r="CW25" s="3"/>
      <c r="CX25" s="3"/>
      <c r="CY25" s="3"/>
      <c r="CZ25" s="3"/>
      <c r="DA25" s="3"/>
      <c r="DK25" s="32">
        <v>1000</v>
      </c>
      <c r="EF25" s="3"/>
      <c r="EG25" s="3"/>
      <c r="EH25" s="3"/>
      <c r="EI25" s="3"/>
      <c r="EJ25" s="3"/>
      <c r="EK25" s="3"/>
      <c r="EL25" s="3"/>
      <c r="ET25" s="32">
        <v>1000</v>
      </c>
    </row>
    <row r="26" spans="1:180" x14ac:dyDescent="0.2">
      <c r="B26" s="21" t="s">
        <v>30</v>
      </c>
      <c r="C26" s="1"/>
    </row>
    <row r="27" spans="1:180" x14ac:dyDescent="0.2">
      <c r="A27" s="4"/>
      <c r="B27" s="4"/>
      <c r="C27" s="16"/>
    </row>
    <row r="28" spans="1:180" x14ac:dyDescent="0.2">
      <c r="A28" s="4"/>
      <c r="B28" s="4"/>
      <c r="C28" s="16"/>
    </row>
    <row r="29" spans="1:180" x14ac:dyDescent="0.2">
      <c r="A29" s="4"/>
      <c r="B29" s="4"/>
      <c r="C29" s="16"/>
    </row>
    <row r="30" spans="1:180" x14ac:dyDescent="0.2">
      <c r="A30" s="4"/>
      <c r="B30" s="4"/>
      <c r="C30" s="4"/>
    </row>
    <row r="33" spans="2:2" x14ac:dyDescent="0.2">
      <c r="B33" s="41"/>
    </row>
  </sheetData>
  <sheetProtection sheet="1" formatCells="0" formatColumns="0" formatRows="0"/>
  <autoFilter ref="A1:FP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hiddenButton="1" showButton="0"/>
    <filterColumn colId="36" hiddenButton="1" showButton="0"/>
    <filterColumn colId="37" hiddenButton="1" showButton="0"/>
    <filterColumn colId="38" hiddenButton="1" showButton="0"/>
    <filterColumn colId="39" showButton="0"/>
    <filterColumn colId="40" showButton="0"/>
    <filterColumn colId="41" hiddenButton="1" showButton="0"/>
    <filterColumn colId="42" hiddenButton="1" showButton="0"/>
    <filterColumn colId="43" hiddenButton="1" showButton="0"/>
    <filterColumn colId="44" hiddenButton="1" showButton="0"/>
    <filterColumn colId="45" showButton="0"/>
    <filterColumn colId="46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hiddenButton="1" showButton="0"/>
    <filterColumn colId="66" hiddenButton="1" showButton="0"/>
    <filterColumn colId="67" hiddenButton="1" showButton="0"/>
    <filterColumn colId="68" hiddenButton="1" showButton="0"/>
    <filterColumn colId="69" showButton="0"/>
    <filterColumn colId="70" showButton="0"/>
    <filterColumn colId="71" hiddenButton="1" showButton="0"/>
    <filterColumn colId="72" hiddenButton="1" showButton="0"/>
    <filterColumn colId="73" hiddenButton="1" showButton="0"/>
    <filterColumn colId="74" hiddenButton="1" showButton="0"/>
    <filterColumn colId="75" showButton="0"/>
    <filterColumn colId="76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hiddenButton="1" showButton="0"/>
    <filterColumn colId="102" hiddenButton="1" showButton="0"/>
    <filterColumn colId="103" hiddenButton="1" showButton="0"/>
    <filterColumn colId="104" hiddenButton="1" showButton="0"/>
    <filterColumn colId="105" showButton="0"/>
    <filterColumn colId="106" showButton="0"/>
    <filterColumn colId="107" showButton="0"/>
    <filterColumn colId="108" hiddenButton="1" showButton="0"/>
    <filterColumn colId="109" hiddenButton="1" showButton="0"/>
    <filterColumn colId="110" showButton="0"/>
    <filterColumn colId="111" showButton="0"/>
    <filterColumn colId="112" hiddenButton="1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hiddenButton="1" showButton="0"/>
    <filterColumn colId="137" hiddenButton="1" showButton="0"/>
    <filterColumn colId="138" hiddenButton="1" showButton="0"/>
    <filterColumn colId="139" hiddenButton="1" showButton="0"/>
    <filterColumn colId="140" hiddenButton="1" showButton="0"/>
    <filterColumn colId="141" hiddenButton="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hiddenButton="1" showButton="0"/>
    <filterColumn colId="148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sortState xmlns:xlrd2="http://schemas.microsoft.com/office/spreadsheetml/2017/richdata2" ref="A6:FP17">
      <sortCondition descending="1" ref="F1:F18"/>
    </sortState>
  </autoFilter>
  <mergeCells count="46">
    <mergeCell ref="FC2:FF2"/>
    <mergeCell ref="FG2:FJ2"/>
    <mergeCell ref="CS2:CV2"/>
    <mergeCell ref="DL2:DO2"/>
    <mergeCell ref="DP2:DS2"/>
    <mergeCell ref="DT2:DW2"/>
    <mergeCell ref="DX2:EA2"/>
    <mergeCell ref="EB2:EE2"/>
    <mergeCell ref="CC2:CF2"/>
    <mergeCell ref="CG2:CJ2"/>
    <mergeCell ref="CK2:CN2"/>
    <mergeCell ref="EU2:EX2"/>
    <mergeCell ref="EY2:FB2"/>
    <mergeCell ref="AE2:AH2"/>
    <mergeCell ref="AW2:AZ2"/>
    <mergeCell ref="BA2:BD2"/>
    <mergeCell ref="BE2:BH2"/>
    <mergeCell ref="BI2:BL2"/>
    <mergeCell ref="EU1:FP1"/>
    <mergeCell ref="M1:M3"/>
    <mergeCell ref="N1:N3"/>
    <mergeCell ref="O1:O3"/>
    <mergeCell ref="P1:P3"/>
    <mergeCell ref="Q1:Q3"/>
    <mergeCell ref="R1:R3"/>
    <mergeCell ref="S1:AV1"/>
    <mergeCell ref="AW1:BZ1"/>
    <mergeCell ref="CA1:CB1"/>
    <mergeCell ref="CC1:DK1"/>
    <mergeCell ref="DL1:ET1"/>
    <mergeCell ref="CO2:CR2"/>
    <mergeCell ref="S2:V2"/>
    <mergeCell ref="W2:Z2"/>
    <mergeCell ref="AA2:AD2"/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</mergeCells>
  <conditionalFormatting sqref="A4:A1048576">
    <cfRule type="expression" dxfId="128" priority="44">
      <formula>IF(A4&gt;6,1,0)</formula>
    </cfRule>
    <cfRule type="expression" dxfId="127" priority="45" stopIfTrue="1">
      <formula>AND(G4="P",F4="")</formula>
    </cfRule>
  </conditionalFormatting>
  <conditionalFormatting sqref="H1:H1048576">
    <cfRule type="containsText" dxfId="126" priority="40" stopIfTrue="1" operator="containsText" text="National Team">
      <formula>NOT(ISERROR(SEARCH("National Team",H1)))</formula>
    </cfRule>
    <cfRule type="containsText" dxfId="125" priority="41" stopIfTrue="1" operator="containsText" text="Worlds Team">
      <formula>NOT(ISERROR(SEARCH("Worlds Team",H1)))</formula>
    </cfRule>
    <cfRule type="containsText" dxfId="124" priority="42" operator="containsText" text="Performance">
      <formula>NOT(ISERROR(SEARCH("Performance",H1)))</formula>
    </cfRule>
    <cfRule type="containsText" dxfId="123" priority="43" stopIfTrue="1" operator="containsText" text="No DD">
      <formula>NOT(ISERROR(SEARCH("No DD",H1)))</formula>
    </cfRule>
  </conditionalFormatting>
  <conditionalFormatting sqref="S4:AV17">
    <cfRule type="expression" dxfId="122" priority="39" stopIfTrue="1">
      <formula>IF($AI4&lt;&gt;"",1,0)</formula>
    </cfRule>
  </conditionalFormatting>
  <conditionalFormatting sqref="AW4:BZ17">
    <cfRule type="expression" dxfId="121" priority="38" stopIfTrue="1">
      <formula>IF($BM4&lt;&gt;"",1,0)</formula>
    </cfRule>
  </conditionalFormatting>
  <conditionalFormatting sqref="M1:M1048576 O1:O1048576 K1:K1048576">
    <cfRule type="expression" dxfId="120" priority="36" stopIfTrue="1">
      <formula>IF(K1=$AW$1,1,0)</formula>
    </cfRule>
    <cfRule type="expression" dxfId="119" priority="37" stopIfTrue="1">
      <formula>IF(K1=$S$1,1,0)</formula>
    </cfRule>
  </conditionalFormatting>
  <conditionalFormatting sqref="AJ1:AJ1048576 BN1:BN1048576 EH1:EH1048576 CY1:CY1048576">
    <cfRule type="cellIs" dxfId="118" priority="177991" stopIfTrue="1" operator="between">
      <formula>AV$22-0.00001</formula>
      <formula>1000</formula>
    </cfRule>
  </conditionalFormatting>
  <conditionalFormatting sqref="AN1:AN1048576 BR1:BR1048576">
    <cfRule type="cellIs" dxfId="117" priority="178000" operator="between">
      <formula>AV$20-0.00001</formula>
      <formula>AV$21-0.00001</formula>
    </cfRule>
    <cfRule type="cellIs" dxfId="116" priority="178001" operator="between">
      <formula>AV$21-0.00001</formula>
      <formula>1000</formula>
    </cfRule>
  </conditionalFormatting>
  <conditionalFormatting sqref="AT1:AT1048576 BX1:BX1048576">
    <cfRule type="cellIs" dxfId="115" priority="178012" operator="between">
      <formula>AV$21-0.00001</formula>
      <formula>1000</formula>
    </cfRule>
    <cfRule type="cellIs" dxfId="114" priority="178013" stopIfTrue="1" operator="between">
      <formula>AV$20-0.00001</formula>
      <formula>AV$21-0.00001</formula>
    </cfRule>
  </conditionalFormatting>
  <conditionalFormatting sqref="AL1:AL1048576 BP1:BP1048576">
    <cfRule type="cellIs" dxfId="113" priority="178024" operator="between">
      <formula>AV$22-0.00001</formula>
      <formula>1000</formula>
    </cfRule>
  </conditionalFormatting>
  <conditionalFormatting sqref="AP1:AP1048576 BT1:BT1048576 EN1:EN1048576 DE1:DE1048576">
    <cfRule type="cellIs" dxfId="112" priority="178030" operator="between">
      <formula>AV$22-0.00001</formula>
      <formula>1000</formula>
    </cfRule>
  </conditionalFormatting>
  <conditionalFormatting sqref="AR1:AR1048576 BV1:BV1048576">
    <cfRule type="cellIs" dxfId="111" priority="178039" operator="between">
      <formula>AV$22-0.00001</formula>
      <formula>1000</formula>
    </cfRule>
  </conditionalFormatting>
  <conditionalFormatting sqref="AK1:AK1048576 BO1:BO1048576">
    <cfRule type="cellIs" dxfId="110" priority="178045" operator="between">
      <formula>AV$25-0.00001</formula>
      <formula>1000</formula>
    </cfRule>
  </conditionalFormatting>
  <conditionalFormatting sqref="AO1:AO1048576 BS1:BS1048576">
    <cfRule type="cellIs" dxfId="109" priority="178051" operator="between">
      <formula>AV$23-0.00001</formula>
      <formula>AV$24-0.00001</formula>
    </cfRule>
    <cfRule type="cellIs" dxfId="108" priority="178052" operator="between">
      <formula>AV$24-0.00001</formula>
      <formula>1000</formula>
    </cfRule>
  </conditionalFormatting>
  <conditionalFormatting sqref="AU1:AU1048576 BY1:BY1048576">
    <cfRule type="cellIs" dxfId="107" priority="178063" stopIfTrue="1" operator="between">
      <formula>AV$24-0.00001</formula>
      <formula>1000</formula>
    </cfRule>
    <cfRule type="cellIs" dxfId="106" priority="178064" operator="between">
      <formula>AV$23-0.00001</formula>
      <formula>AV$24-0.00001</formula>
    </cfRule>
  </conditionalFormatting>
  <conditionalFormatting sqref="AM1:AM1048576 BQ1:BQ1048576">
    <cfRule type="cellIs" dxfId="105" priority="178075" stopIfTrue="1" operator="between">
      <formula>AV$25-0.00001</formula>
      <formula>1000</formula>
    </cfRule>
    <cfRule type="cellIs" dxfId="104" priority="178076" operator="between">
      <formula>AT$25-0.00001</formula>
      <formula>#REF!-0.00001</formula>
    </cfRule>
  </conditionalFormatting>
  <conditionalFormatting sqref="AQ1:AQ1048576 BU1:BU1048576">
    <cfRule type="cellIs" dxfId="103" priority="178087" stopIfTrue="1" operator="between">
      <formula>AV$25-0.00001</formula>
      <formula>1000</formula>
    </cfRule>
  </conditionalFormatting>
  <conditionalFormatting sqref="AS1:AS1048576 BW1:BW1048576">
    <cfRule type="cellIs" dxfId="102" priority="178093" stopIfTrue="1" operator="between">
      <formula>AV$25-0.00001</formula>
      <formula>1000</formula>
    </cfRule>
  </conditionalFormatting>
  <conditionalFormatting sqref="CW1:CW1048576 EF1:EF1048576">
    <cfRule type="cellIs" dxfId="101" priority="178099" operator="between">
      <formula>DK$22-0.00001</formula>
      <formula>1000</formula>
    </cfRule>
  </conditionalFormatting>
  <conditionalFormatting sqref="CX1:CX1048576 EG1:EG1048576">
    <cfRule type="cellIs" dxfId="100" priority="178105" operator="between">
      <formula>DK$25-0.00001</formula>
      <formula>1000</formula>
    </cfRule>
  </conditionalFormatting>
  <conditionalFormatting sqref="DA1:DA1048576 EJ1:EJ1048576">
    <cfRule type="cellIs" dxfId="99" priority="178111" stopIfTrue="1" operator="between">
      <formula>DK$20-0.00001</formula>
      <formula>DK$21-0.00001</formula>
    </cfRule>
    <cfRule type="cellIs" dxfId="98" priority="178112" operator="between">
      <formula>DK$21-0.00001</formula>
      <formula>1000</formula>
    </cfRule>
  </conditionalFormatting>
  <conditionalFormatting sqref="DB1:DB1048576 EK1:EK1048576">
    <cfRule type="cellIs" dxfId="97" priority="178123" operator="between">
      <formula>DK$23-0.00001</formula>
      <formula>DK$24-0.00001</formula>
    </cfRule>
    <cfRule type="cellIs" dxfId="96" priority="178124" stopIfTrue="1" operator="between">
      <formula>DK$24-0.00001</formula>
      <formula>1000</formula>
    </cfRule>
  </conditionalFormatting>
  <conditionalFormatting sqref="DC1:DC1048576 EL1:EL1048576">
    <cfRule type="cellIs" dxfId="95" priority="178138" operator="between">
      <formula>DK$22-0.00001</formula>
      <formula>1000</formula>
    </cfRule>
  </conditionalFormatting>
  <conditionalFormatting sqref="DG1:DG1048576 EP1:EP1048576">
    <cfRule type="cellIs" dxfId="94" priority="178147" stopIfTrue="1" operator="between">
      <formula>DK$22-0.00001</formula>
      <formula>1000</formula>
    </cfRule>
  </conditionalFormatting>
  <conditionalFormatting sqref="CZ1:CZ1048576 EI1:EI1048576">
    <cfRule type="cellIs" dxfId="93" priority="178153" stopIfTrue="1" operator="between">
      <formula>DK$25-0.00001</formula>
      <formula>1000</formula>
    </cfRule>
  </conditionalFormatting>
  <conditionalFormatting sqref="DD1:DD1048576 EM1:EM1048576">
    <cfRule type="cellIs" dxfId="92" priority="178159" operator="between">
      <formula>DK$25-0.00001</formula>
      <formula>1000</formula>
    </cfRule>
  </conditionalFormatting>
  <conditionalFormatting sqref="DF1:DF1048576 EO1:EO1048576">
    <cfRule type="cellIs" dxfId="91" priority="178165" operator="between">
      <formula>DK$25-0.00001</formula>
      <formula>1000</formula>
    </cfRule>
  </conditionalFormatting>
  <conditionalFormatting sqref="DH1:DH1048576 EQ1:EQ1048576">
    <cfRule type="cellIs" dxfId="90" priority="178171" operator="between">
      <formula>DK$25-0.00001</formula>
      <formula>1000</formula>
    </cfRule>
  </conditionalFormatting>
  <conditionalFormatting sqref="DI1:DI1048576 ER1:ER1048576">
    <cfRule type="cellIs" dxfId="89" priority="178177" operator="between">
      <formula>DK$21-0.00001</formula>
      <formula>1000</formula>
    </cfRule>
    <cfRule type="cellIs" dxfId="88" priority="178178" operator="between">
      <formula>DK$20-0.00001</formula>
      <formula>DK$21-0.00001</formula>
    </cfRule>
  </conditionalFormatting>
  <conditionalFormatting sqref="DJ1:DJ1048576 ES1:ES1048576">
    <cfRule type="cellIs" dxfId="87" priority="178189" operator="between">
      <formula>DK$23-0.00001</formula>
      <formula>DK$24-0.00001</formula>
    </cfRule>
    <cfRule type="cellIs" dxfId="86" priority="178190" operator="between">
      <formula>DK$24-0.00001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0A22F-6653-954C-A0CD-D0FA164BD66C}">
  <sheetPr codeName="Sheet23"/>
  <dimension ref="A1:FX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26" bestFit="1" customWidth="1"/>
    <col min="9" max="9" width="15.33203125" hidden="1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5" width="10.83203125" hidden="1" customWidth="1"/>
    <col min="36" max="39" width="10.83203125" customWidth="1"/>
    <col min="40" max="48" width="10.83203125" style="26" customWidth="1"/>
    <col min="49" max="65" width="10.83203125" hidden="1" customWidth="1"/>
    <col min="66" max="69" width="10.83203125" customWidth="1"/>
    <col min="70" max="80" width="10.83203125" style="26" customWidth="1"/>
    <col min="81" max="100" width="10.83203125" hidden="1" customWidth="1"/>
    <col min="101" max="115" width="10.83203125" style="26" customWidth="1"/>
    <col min="116" max="135" width="10.83203125" hidden="1" customWidth="1"/>
    <col min="136" max="150" width="10.83203125" style="26" hidden="1" customWidth="1"/>
    <col min="151" max="180" width="10.83203125" hidden="1" customWidth="1"/>
    <col min="181" max="182" width="10.83203125" customWidth="1"/>
  </cols>
  <sheetData>
    <row r="1" spans="1:180" ht="16" customHeight="1" x14ac:dyDescent="0.2">
      <c r="A1" s="47" t="s">
        <v>1</v>
      </c>
      <c r="B1" s="47" t="s">
        <v>14</v>
      </c>
      <c r="C1" s="47" t="s">
        <v>0</v>
      </c>
      <c r="D1" s="47" t="s">
        <v>31</v>
      </c>
      <c r="E1" s="47" t="s">
        <v>2</v>
      </c>
      <c r="F1" s="48" t="s">
        <v>64</v>
      </c>
      <c r="G1" s="48" t="s">
        <v>8</v>
      </c>
      <c r="H1" s="47" t="s">
        <v>9</v>
      </c>
      <c r="I1" s="48" t="s">
        <v>38</v>
      </c>
      <c r="J1" s="46" t="s">
        <v>65</v>
      </c>
      <c r="K1" s="49" t="s">
        <v>16</v>
      </c>
      <c r="L1" s="46" t="s">
        <v>79</v>
      </c>
      <c r="M1" s="49" t="s">
        <v>16</v>
      </c>
      <c r="N1" s="46" t="s">
        <v>80</v>
      </c>
      <c r="O1" s="49" t="s">
        <v>16</v>
      </c>
      <c r="P1" s="51" t="s">
        <v>10</v>
      </c>
      <c r="Q1" s="49" t="s">
        <v>17</v>
      </c>
      <c r="R1" s="49" t="s">
        <v>16</v>
      </c>
      <c r="S1" s="56" t="s">
        <v>41</v>
      </c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0" t="s">
        <v>42</v>
      </c>
      <c r="AX1" s="50"/>
      <c r="AY1" s="50"/>
      <c r="AZ1" s="50"/>
      <c r="BA1" s="50"/>
      <c r="BB1" s="50"/>
      <c r="BC1" s="50"/>
      <c r="BD1" s="50"/>
      <c r="BE1" s="50"/>
      <c r="BF1" s="50"/>
      <c r="BG1" s="50"/>
      <c r="BH1" s="50"/>
      <c r="BI1" s="50"/>
      <c r="BJ1" s="50"/>
      <c r="BK1" s="50"/>
      <c r="BL1" s="50"/>
      <c r="BM1" s="50"/>
      <c r="BN1" s="50"/>
      <c r="BO1" s="50"/>
      <c r="BP1" s="50"/>
      <c r="BQ1" s="50"/>
      <c r="BR1" s="50"/>
      <c r="BS1" s="50"/>
      <c r="BT1" s="50"/>
      <c r="BU1" s="50"/>
      <c r="BV1" s="50"/>
      <c r="BW1" s="50"/>
      <c r="BX1" s="50"/>
      <c r="BY1" s="50"/>
      <c r="BZ1" s="50"/>
      <c r="CA1" s="57" t="s">
        <v>66</v>
      </c>
      <c r="CB1" s="57"/>
      <c r="CC1" s="56" t="s">
        <v>44</v>
      </c>
      <c r="CD1" s="56"/>
      <c r="CE1" s="56"/>
      <c r="CF1" s="56"/>
      <c r="CG1" s="56"/>
      <c r="CH1" s="56"/>
      <c r="CI1" s="56"/>
      <c r="CJ1" s="56"/>
      <c r="CK1" s="56"/>
      <c r="CL1" s="56"/>
      <c r="CM1" s="56"/>
      <c r="CN1" s="56"/>
      <c r="CO1" s="56"/>
      <c r="CP1" s="56"/>
      <c r="CQ1" s="56"/>
      <c r="CR1" s="56"/>
      <c r="CS1" s="56"/>
      <c r="CT1" s="56"/>
      <c r="CU1" s="56"/>
      <c r="CV1" s="56"/>
      <c r="CW1" s="56"/>
      <c r="CX1" s="56"/>
      <c r="CY1" s="56"/>
      <c r="CZ1" s="56"/>
      <c r="DA1" s="56"/>
      <c r="DB1" s="56"/>
      <c r="DC1" s="56"/>
      <c r="DD1" s="56"/>
      <c r="DE1" s="56"/>
      <c r="DF1" s="56"/>
      <c r="DG1" s="56"/>
      <c r="DH1" s="56"/>
      <c r="DI1" s="56"/>
      <c r="DJ1" s="56"/>
      <c r="DK1" s="56"/>
      <c r="DL1" s="50"/>
      <c r="DM1" s="50"/>
      <c r="DN1" s="50"/>
      <c r="DO1" s="50"/>
      <c r="DP1" s="50"/>
      <c r="DQ1" s="50"/>
      <c r="DR1" s="50"/>
      <c r="DS1" s="50"/>
      <c r="DT1" s="50"/>
      <c r="DU1" s="50"/>
      <c r="DV1" s="50"/>
      <c r="DW1" s="50"/>
      <c r="DX1" s="50"/>
      <c r="DY1" s="50"/>
      <c r="DZ1" s="50"/>
      <c r="EA1" s="50"/>
      <c r="EB1" s="50"/>
      <c r="EC1" s="50"/>
      <c r="ED1" s="50"/>
      <c r="EE1" s="50"/>
      <c r="EF1" s="50"/>
      <c r="EG1" s="50"/>
      <c r="EH1" s="50"/>
      <c r="EI1" s="50"/>
      <c r="EJ1" s="50"/>
      <c r="EK1" s="50"/>
      <c r="EL1" s="50"/>
      <c r="EM1" s="50"/>
      <c r="EN1" s="50"/>
      <c r="EO1" s="50"/>
      <c r="EP1" s="50"/>
      <c r="EQ1" s="50"/>
      <c r="ER1" s="50"/>
      <c r="ES1" s="50"/>
      <c r="ET1" s="50"/>
      <c r="EU1" s="50" t="s">
        <v>67</v>
      </c>
      <c r="EV1" s="50"/>
      <c r="EW1" s="50"/>
      <c r="EX1" s="50"/>
      <c r="EY1" s="50"/>
      <c r="EZ1" s="50"/>
      <c r="FA1" s="50"/>
      <c r="FB1" s="50"/>
      <c r="FC1" s="50"/>
      <c r="FD1" s="50"/>
      <c r="FE1" s="50"/>
      <c r="FF1" s="50"/>
      <c r="FG1" s="50"/>
      <c r="FH1" s="50"/>
      <c r="FI1" s="50"/>
      <c r="FJ1" s="50"/>
      <c r="FK1" s="50"/>
      <c r="FL1" s="50"/>
      <c r="FM1" s="50"/>
      <c r="FN1" s="50"/>
      <c r="FO1" s="50"/>
      <c r="FP1" s="50"/>
      <c r="FQ1" s="12"/>
      <c r="FR1" s="12"/>
      <c r="FS1" s="12"/>
      <c r="FT1" s="12"/>
      <c r="FU1" s="12"/>
      <c r="FV1" s="12"/>
      <c r="FW1" s="12"/>
      <c r="FX1" s="12"/>
    </row>
    <row r="2" spans="1:180" x14ac:dyDescent="0.2">
      <c r="A2" s="47"/>
      <c r="B2" s="47"/>
      <c r="C2" s="47"/>
      <c r="D2" s="47"/>
      <c r="E2" s="47"/>
      <c r="F2" s="48"/>
      <c r="G2" s="48"/>
      <c r="H2" s="47"/>
      <c r="I2" s="48"/>
      <c r="J2" s="46"/>
      <c r="K2" s="49"/>
      <c r="L2" s="46"/>
      <c r="M2" s="49"/>
      <c r="N2" s="49"/>
      <c r="O2" s="49"/>
      <c r="P2" s="51"/>
      <c r="Q2" s="49"/>
      <c r="R2" s="49"/>
      <c r="S2" s="53" t="s">
        <v>68</v>
      </c>
      <c r="T2" s="53"/>
      <c r="U2" s="53"/>
      <c r="V2" s="53"/>
      <c r="W2" s="53" t="s">
        <v>69</v>
      </c>
      <c r="X2" s="53"/>
      <c r="Y2" s="53"/>
      <c r="Z2" s="53"/>
      <c r="AA2" s="53" t="s">
        <v>70</v>
      </c>
      <c r="AB2" s="53"/>
      <c r="AC2" s="53"/>
      <c r="AD2" s="53"/>
      <c r="AE2" s="54" t="s">
        <v>71</v>
      </c>
      <c r="AF2" s="54"/>
      <c r="AG2" s="54"/>
      <c r="AH2" s="54"/>
      <c r="AI2" s="13"/>
      <c r="AJ2" s="13" t="s">
        <v>85</v>
      </c>
      <c r="AK2" s="13" t="s">
        <v>81</v>
      </c>
      <c r="AL2" s="13" t="s">
        <v>86</v>
      </c>
      <c r="AM2" s="13" t="s">
        <v>82</v>
      </c>
      <c r="AN2" s="13" t="s">
        <v>72</v>
      </c>
      <c r="AO2" s="13" t="s">
        <v>13</v>
      </c>
      <c r="AP2" s="13" t="s">
        <v>87</v>
      </c>
      <c r="AQ2" s="13" t="s">
        <v>83</v>
      </c>
      <c r="AR2" s="13" t="s">
        <v>88</v>
      </c>
      <c r="AS2" s="13" t="s">
        <v>84</v>
      </c>
      <c r="AT2" s="13" t="s">
        <v>73</v>
      </c>
      <c r="AU2" s="13" t="s">
        <v>74</v>
      </c>
      <c r="AV2" s="13" t="s">
        <v>12</v>
      </c>
      <c r="AW2" s="52" t="s">
        <v>68</v>
      </c>
      <c r="AX2" s="52"/>
      <c r="AY2" s="52"/>
      <c r="AZ2" s="52"/>
      <c r="BA2" s="52" t="s">
        <v>69</v>
      </c>
      <c r="BB2" s="52"/>
      <c r="BC2" s="52"/>
      <c r="BD2" s="52"/>
      <c r="BE2" s="52" t="s">
        <v>70</v>
      </c>
      <c r="BF2" s="52"/>
      <c r="BG2" s="52"/>
      <c r="BH2" s="52"/>
      <c r="BI2" s="55" t="s">
        <v>71</v>
      </c>
      <c r="BJ2" s="55"/>
      <c r="BK2" s="55"/>
      <c r="BL2" s="55"/>
      <c r="BM2" s="12"/>
      <c r="BN2" s="12" t="s">
        <v>85</v>
      </c>
      <c r="BO2" s="12" t="s">
        <v>81</v>
      </c>
      <c r="BP2" s="12" t="s">
        <v>86</v>
      </c>
      <c r="BQ2" s="12" t="s">
        <v>82</v>
      </c>
      <c r="BR2" s="12" t="s">
        <v>72</v>
      </c>
      <c r="BS2" s="12" t="s">
        <v>13</v>
      </c>
      <c r="BT2" s="12" t="s">
        <v>87</v>
      </c>
      <c r="BU2" s="12" t="s">
        <v>83</v>
      </c>
      <c r="BV2" s="12" t="s">
        <v>88</v>
      </c>
      <c r="BW2" s="12" t="s">
        <v>84</v>
      </c>
      <c r="BX2" s="12" t="s">
        <v>73</v>
      </c>
      <c r="BY2" s="12" t="s">
        <v>74</v>
      </c>
      <c r="BZ2" s="12" t="s">
        <v>12</v>
      </c>
      <c r="CA2" s="33" t="s">
        <v>75</v>
      </c>
      <c r="CB2" s="33" t="s">
        <v>89</v>
      </c>
      <c r="CC2" s="53" t="s">
        <v>68</v>
      </c>
      <c r="CD2" s="53"/>
      <c r="CE2" s="53"/>
      <c r="CF2" s="53"/>
      <c r="CG2" s="53" t="s">
        <v>69</v>
      </c>
      <c r="CH2" s="53"/>
      <c r="CI2" s="53"/>
      <c r="CJ2" s="53"/>
      <c r="CK2" s="53" t="s">
        <v>76</v>
      </c>
      <c r="CL2" s="53"/>
      <c r="CM2" s="53"/>
      <c r="CN2" s="53"/>
      <c r="CO2" s="53" t="s">
        <v>70</v>
      </c>
      <c r="CP2" s="53"/>
      <c r="CQ2" s="53"/>
      <c r="CR2" s="53"/>
      <c r="CS2" s="58" t="s">
        <v>71</v>
      </c>
      <c r="CT2" s="58"/>
      <c r="CU2" s="58"/>
      <c r="CV2" s="58"/>
      <c r="CW2" s="13" t="s">
        <v>85</v>
      </c>
      <c r="CX2" s="13" t="s">
        <v>81</v>
      </c>
      <c r="CY2" s="13" t="s">
        <v>86</v>
      </c>
      <c r="CZ2" s="13" t="s">
        <v>82</v>
      </c>
      <c r="DA2" s="13" t="s">
        <v>77</v>
      </c>
      <c r="DB2" s="13" t="s">
        <v>75</v>
      </c>
      <c r="DC2" s="13" t="s">
        <v>90</v>
      </c>
      <c r="DD2" s="13" t="s">
        <v>76</v>
      </c>
      <c r="DE2" s="13" t="s">
        <v>91</v>
      </c>
      <c r="DF2" s="13" t="s">
        <v>70</v>
      </c>
      <c r="DG2" s="13" t="s">
        <v>92</v>
      </c>
      <c r="DH2" s="13" t="s">
        <v>71</v>
      </c>
      <c r="DI2" s="13" t="s">
        <v>73</v>
      </c>
      <c r="DJ2" s="13" t="s">
        <v>74</v>
      </c>
      <c r="DK2" s="13" t="s">
        <v>12</v>
      </c>
      <c r="DL2" s="52" t="s">
        <v>68</v>
      </c>
      <c r="DM2" s="52"/>
      <c r="DN2" s="52"/>
      <c r="DO2" s="52"/>
      <c r="DP2" s="52" t="s">
        <v>69</v>
      </c>
      <c r="DQ2" s="52"/>
      <c r="DR2" s="52"/>
      <c r="DS2" s="52"/>
      <c r="DT2" s="52" t="s">
        <v>76</v>
      </c>
      <c r="DU2" s="52"/>
      <c r="DV2" s="52"/>
      <c r="DW2" s="52"/>
      <c r="DX2" s="52" t="s">
        <v>70</v>
      </c>
      <c r="DY2" s="52"/>
      <c r="DZ2" s="52"/>
      <c r="EA2" s="52"/>
      <c r="EB2" s="55" t="s">
        <v>71</v>
      </c>
      <c r="EC2" s="55"/>
      <c r="ED2" s="55"/>
      <c r="EE2" s="55"/>
      <c r="EF2" s="12" t="s">
        <v>85</v>
      </c>
      <c r="EG2" s="12" t="s">
        <v>81</v>
      </c>
      <c r="EH2" s="12" t="s">
        <v>86</v>
      </c>
      <c r="EI2" s="12" t="s">
        <v>82</v>
      </c>
      <c r="EJ2" s="12" t="s">
        <v>77</v>
      </c>
      <c r="EK2" s="12" t="s">
        <v>75</v>
      </c>
      <c r="EL2" s="12" t="s">
        <v>90</v>
      </c>
      <c r="EM2" s="12" t="s">
        <v>76</v>
      </c>
      <c r="EN2" s="12" t="s">
        <v>91</v>
      </c>
      <c r="EO2" s="12" t="s">
        <v>70</v>
      </c>
      <c r="EP2" s="12" t="s">
        <v>92</v>
      </c>
      <c r="EQ2" s="12" t="s">
        <v>71</v>
      </c>
      <c r="ER2" s="12" t="s">
        <v>73</v>
      </c>
      <c r="ES2" s="12" t="s">
        <v>74</v>
      </c>
      <c r="ET2" s="12" t="s">
        <v>12</v>
      </c>
      <c r="EU2" s="52" t="s">
        <v>68</v>
      </c>
      <c r="EV2" s="52"/>
      <c r="EW2" s="52"/>
      <c r="EX2" s="52"/>
      <c r="EY2" s="52" t="s">
        <v>69</v>
      </c>
      <c r="EZ2" s="52"/>
      <c r="FA2" s="52"/>
      <c r="FB2" s="52"/>
      <c r="FC2" s="52" t="s">
        <v>70</v>
      </c>
      <c r="FD2" s="52"/>
      <c r="FE2" s="52"/>
      <c r="FF2" s="52"/>
      <c r="FG2" s="59" t="s">
        <v>71</v>
      </c>
      <c r="FH2" s="59"/>
      <c r="FI2" s="59"/>
      <c r="FJ2" s="59"/>
      <c r="FK2" s="12"/>
      <c r="FL2" s="12" t="s">
        <v>85</v>
      </c>
      <c r="FM2" s="12" t="s">
        <v>81</v>
      </c>
      <c r="FN2" s="12" t="s">
        <v>86</v>
      </c>
      <c r="FO2" s="12" t="s">
        <v>82</v>
      </c>
      <c r="FP2" s="12" t="s">
        <v>72</v>
      </c>
      <c r="FQ2" s="12" t="s">
        <v>13</v>
      </c>
      <c r="FR2" s="12" t="s">
        <v>87</v>
      </c>
      <c r="FS2" s="12" t="s">
        <v>83</v>
      </c>
      <c r="FT2" s="12" t="s">
        <v>88</v>
      </c>
      <c r="FU2" s="12" t="s">
        <v>84</v>
      </c>
      <c r="FV2" s="12" t="s">
        <v>73</v>
      </c>
      <c r="FW2" s="12" t="s">
        <v>74</v>
      </c>
      <c r="FX2" s="12" t="s">
        <v>12</v>
      </c>
    </row>
    <row r="3" spans="1:180" x14ac:dyDescent="0.2">
      <c r="A3" s="47"/>
      <c r="B3" s="47"/>
      <c r="C3" s="47"/>
      <c r="D3" s="47"/>
      <c r="E3" s="47"/>
      <c r="F3" s="48"/>
      <c r="G3" s="48"/>
      <c r="H3" s="47"/>
      <c r="I3" s="48"/>
      <c r="J3" s="46"/>
      <c r="K3" s="49"/>
      <c r="L3" s="46"/>
      <c r="M3" s="49"/>
      <c r="N3" s="49"/>
      <c r="O3" s="49"/>
      <c r="P3" s="51"/>
      <c r="Q3" s="49"/>
      <c r="R3" s="49"/>
      <c r="S3" s="13" t="s">
        <v>11</v>
      </c>
      <c r="T3" s="13" t="s">
        <v>7</v>
      </c>
      <c r="U3" s="13" t="s">
        <v>15</v>
      </c>
      <c r="V3" s="13" t="s">
        <v>78</v>
      </c>
      <c r="W3" s="13" t="s">
        <v>11</v>
      </c>
      <c r="X3" s="13" t="s">
        <v>7</v>
      </c>
      <c r="Y3" s="13" t="s">
        <v>15</v>
      </c>
      <c r="Z3" s="13" t="s">
        <v>78</v>
      </c>
      <c r="AA3" s="13" t="s">
        <v>11</v>
      </c>
      <c r="AB3" s="13" t="s">
        <v>7</v>
      </c>
      <c r="AC3" s="13" t="s">
        <v>15</v>
      </c>
      <c r="AD3" s="13" t="s">
        <v>78</v>
      </c>
      <c r="AE3" s="35" t="s">
        <v>11</v>
      </c>
      <c r="AF3" s="35" t="s">
        <v>7</v>
      </c>
      <c r="AG3" s="35" t="s">
        <v>15</v>
      </c>
      <c r="AH3" s="35" t="s">
        <v>78</v>
      </c>
      <c r="AI3" s="13" t="s">
        <v>28</v>
      </c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2" t="s">
        <v>11</v>
      </c>
      <c r="AX3" s="12" t="s">
        <v>7</v>
      </c>
      <c r="AY3" s="12" t="s">
        <v>15</v>
      </c>
      <c r="AZ3" s="12" t="s">
        <v>78</v>
      </c>
      <c r="BA3" s="12" t="s">
        <v>11</v>
      </c>
      <c r="BB3" s="12" t="s">
        <v>7</v>
      </c>
      <c r="BC3" s="12" t="s">
        <v>15</v>
      </c>
      <c r="BD3" s="12" t="s">
        <v>78</v>
      </c>
      <c r="BE3" s="12" t="s">
        <v>11</v>
      </c>
      <c r="BF3" s="12" t="s">
        <v>7</v>
      </c>
      <c r="BG3" s="12" t="s">
        <v>15</v>
      </c>
      <c r="BH3" s="12" t="s">
        <v>78</v>
      </c>
      <c r="BI3" s="36" t="s">
        <v>11</v>
      </c>
      <c r="BJ3" s="36" t="s">
        <v>7</v>
      </c>
      <c r="BK3" s="36" t="s">
        <v>15</v>
      </c>
      <c r="BL3" s="36" t="s">
        <v>78</v>
      </c>
      <c r="BM3" s="12" t="s">
        <v>28</v>
      </c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33"/>
      <c r="CB3" s="33"/>
      <c r="CC3" s="13" t="s">
        <v>11</v>
      </c>
      <c r="CD3" s="13" t="s">
        <v>7</v>
      </c>
      <c r="CE3" s="13" t="s">
        <v>15</v>
      </c>
      <c r="CF3" s="13" t="s">
        <v>78</v>
      </c>
      <c r="CG3" s="13" t="s">
        <v>11</v>
      </c>
      <c r="CH3" s="13" t="s">
        <v>7</v>
      </c>
      <c r="CI3" s="13" t="s">
        <v>15</v>
      </c>
      <c r="CJ3" s="13" t="s">
        <v>78</v>
      </c>
      <c r="CK3" s="13" t="s">
        <v>11</v>
      </c>
      <c r="CL3" s="13" t="s">
        <v>7</v>
      </c>
      <c r="CM3" s="13" t="s">
        <v>15</v>
      </c>
      <c r="CN3" s="13" t="s">
        <v>78</v>
      </c>
      <c r="CO3" s="13" t="s">
        <v>11</v>
      </c>
      <c r="CP3" s="13" t="s">
        <v>7</v>
      </c>
      <c r="CQ3" s="13" t="s">
        <v>15</v>
      </c>
      <c r="CR3" s="13" t="s">
        <v>78</v>
      </c>
      <c r="CS3" s="37" t="s">
        <v>11</v>
      </c>
      <c r="CT3" s="37" t="s">
        <v>7</v>
      </c>
      <c r="CU3" s="37" t="s">
        <v>15</v>
      </c>
      <c r="CV3" s="37" t="s">
        <v>78</v>
      </c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2" t="s">
        <v>11</v>
      </c>
      <c r="DM3" s="12" t="s">
        <v>7</v>
      </c>
      <c r="DN3" s="12" t="s">
        <v>15</v>
      </c>
      <c r="DO3" s="12" t="s">
        <v>78</v>
      </c>
      <c r="DP3" s="12" t="s">
        <v>11</v>
      </c>
      <c r="DQ3" s="12" t="s">
        <v>7</v>
      </c>
      <c r="DR3" s="12" t="s">
        <v>15</v>
      </c>
      <c r="DS3" s="12" t="s">
        <v>78</v>
      </c>
      <c r="DT3" s="12" t="s">
        <v>11</v>
      </c>
      <c r="DU3" s="12" t="s">
        <v>7</v>
      </c>
      <c r="DV3" s="12" t="s">
        <v>15</v>
      </c>
      <c r="DW3" s="12" t="s">
        <v>78</v>
      </c>
      <c r="DX3" s="12" t="s">
        <v>11</v>
      </c>
      <c r="DY3" s="12" t="s">
        <v>7</v>
      </c>
      <c r="DZ3" s="12" t="s">
        <v>15</v>
      </c>
      <c r="EA3" s="12" t="s">
        <v>78</v>
      </c>
      <c r="EB3" s="36" t="s">
        <v>11</v>
      </c>
      <c r="EC3" s="36" t="s">
        <v>7</v>
      </c>
      <c r="ED3" s="36" t="s">
        <v>15</v>
      </c>
      <c r="EE3" s="36" t="s">
        <v>78</v>
      </c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 t="s">
        <v>11</v>
      </c>
      <c r="EV3" s="12" t="s">
        <v>7</v>
      </c>
      <c r="EW3" s="12" t="s">
        <v>15</v>
      </c>
      <c r="EX3" s="12" t="s">
        <v>78</v>
      </c>
      <c r="EY3" s="12" t="s">
        <v>11</v>
      </c>
      <c r="EZ3" s="12" t="s">
        <v>7</v>
      </c>
      <c r="FA3" s="12" t="s">
        <v>15</v>
      </c>
      <c r="FB3" s="12" t="s">
        <v>78</v>
      </c>
      <c r="FC3" s="12" t="s">
        <v>11</v>
      </c>
      <c r="FD3" s="12" t="s">
        <v>7</v>
      </c>
      <c r="FE3" s="12" t="s">
        <v>15</v>
      </c>
      <c r="FF3" s="12" t="s">
        <v>78</v>
      </c>
      <c r="FG3" s="38" t="s">
        <v>11</v>
      </c>
      <c r="FH3" s="38" t="s">
        <v>7</v>
      </c>
      <c r="FI3" s="38" t="s">
        <v>15</v>
      </c>
      <c r="FJ3" s="38" t="s">
        <v>78</v>
      </c>
      <c r="FK3" s="12" t="s">
        <v>28</v>
      </c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</row>
    <row r="4" spans="1:180" x14ac:dyDescent="0.2">
      <c r="A4" s="3" t="str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/>
      </c>
      <c r="B4" s="4" t="s">
        <v>125</v>
      </c>
      <c r="C4" s="3" t="s">
        <v>3</v>
      </c>
      <c r="D4" s="3">
        <v>2010</v>
      </c>
      <c r="E4" s="8">
        <f>SUM(J4:P4)+SUM(J4:M4)*0.0000001+SUM(J4)*0.0000000000001</f>
        <v>86.100006480004311</v>
      </c>
      <c r="F4" s="2" t="str">
        <f>IF(OR(AND(AO4&lt;&gt;"",AO4&gt;=AV$11,AN4&gt;=AV$8),AND(AU4&lt;&gt;"",AU4&gt;=AV$11,AT4&gt;=AV$8),AND(BS4&lt;&gt;"",BS4&gt;=BZ$11,BR4&gt;=BZ$8),AND(BY4&lt;&gt;"",BY4&gt;=BZ$11,BX4&gt;=BZ$8),AND(DB4&lt;&gt;"",DB4&gt;=DK$11,DA4&gt;=DK$8),AND(DJ4&lt;&gt;"",DJ4&gt;=DK$11,DI4&gt;=DK$8),AND(EK4&lt;&gt;"",EK4&gt;=ET$11,EJ4&gt;=ET$8),AND(ES4&lt;&gt;"",ES4&gt;=ET$11,ER4&gt;=ET$8)),"P","")</f>
        <v/>
      </c>
      <c r="G4" s="2" t="str">
        <f>IF(OR(AND(AO4&lt;&gt;"",AO4&gt;=AV$11),AND(AU4&lt;&gt;"",AU4&gt;=AV$11),AND(BS4&lt;&gt;"",BS4&gt;=BZ$11),AND(BY4&lt;&gt;"",BY4&gt;=BZ$11),AND(DB4&lt;&gt;"",DB4&gt;=DK$11),AND(DJ4&lt;&gt;"",DJ4&gt;=DK$11),AND(EK4&lt;&gt;"",EK4&gt;=ET$11),AND(ES4&lt;&gt;"",ES4&gt;=ET$11)),"P","")</f>
        <v/>
      </c>
      <c r="H4" s="26" t="str">
        <f>IF(AND(G4="P",F4=""),"No DD",IF(OR(AND(AK4&lt;&gt;"",AK4&gt;=AV$13,AJ4&gt;=AV$10),AND(AM4&lt;&gt;"",AM4&gt;=AV$13,AL4&gt;=AV$10),AND(AQ4&lt;&gt;"",AQ4&gt;=AV$13,AP4&gt;=AV$10),AND(AS4&lt;&gt;"",AS4&gt;=AV$13,AR4&gt;=AV$10),AND(BO4&lt;&gt;"",BO4&gt;=BZ$13,BN4&gt;=BZ$10),AND(BQ4&lt;&gt;"",BQ4&gt;=BZ$13,BP4&gt;=BZ$10),AND(BV4&lt;&gt;"",BV4&gt;=BZ$13,BU4&gt;=BZ$10),AND(BX4&lt;&gt;"",BX4&gt;=BZ$13,BW4&gt;=BZ$10),AND(CX4&lt;&gt;"",CX4&gt;=DK$13,CW4&gt;=DK$10),AND(CZ4&lt;&gt;"",CZ4&gt;=DK$13,CY4&gt;=DK$10),AND(DD4&lt;&gt;"",DD4&gt;=DK$13,DC4&gt;=DK$10),AND(DF4&lt;&gt;"",DF4&gt;=DK$13,DE4&gt;=DK$10),AND(DH4&lt;&gt;"",DH4&gt;=DK$13,DG4&gt;=DK$10),AND(EG4&lt;&gt;"",EG4&gt;=ET$13,EF4&gt;=ET$10),AND(EI4&lt;&gt;"",EI4&gt;=ET$13,EH4&gt;=ET$10),AND(EM4&lt;&gt;"",EM4&gt;=ET$13,EL4&gt;=ET$10),AND(EO4&lt;&gt;"",EO4&gt;=ET$13,EN4&gt;=ET$10),AND(EQ4&lt;&gt;"",EQ4&gt;=ET$13,EP4&gt;=ET$10)),"Performance",IF(I4="P","Worlds Team",IF(F4="P","National Team",""))))</f>
        <v/>
      </c>
      <c r="I4" s="2" t="str">
        <f>IF(OR(AND(AO4&lt;&gt;"",AO4&gt;=AV$12,AN4&gt;=AV$9),AND(AU4&lt;&gt;"",AU4&gt;=AV$12,AT4&gt;=AV$9),AND(BS4&lt;&gt;"",BS4&gt;=BZ$12,BR4&gt;=BZ$9),AND(BY4&lt;&gt;"",BY4&gt;=BZ$12,BX4&gt;=BZ$9),AND(DB4&lt;&gt;"",DB4&gt;=DK$12,DA4&gt;=DK$9),AND(DJ4&lt;&gt;"",DJ4&gt;=DK$12,DI4&gt;=DK$9),AND(EK4&lt;&gt;"",EK4&gt;=ET$12,EJ4&gt;=ET$9),AND(ES4&lt;&gt;"",ES4&gt;=ET$12,ER4&gt;=ET$9)),"P","")</f>
        <v/>
      </c>
      <c r="J4" s="7">
        <f>IF(COUNT(AO4,BS4)&gt;0,MAX(AO4,BS4),0)</f>
        <v>43.199999999999996</v>
      </c>
      <c r="K4" s="7" t="str">
        <f>IF(J4=0,"",IF(J4=BS4,$AW$1,IF(J4=AO4,$S$1,"")))</f>
        <v>2025 Nationals</v>
      </c>
      <c r="L4" s="7">
        <f>IF(J4=AO4,IF(COUNT(AQ4,AS4,BO4,BQ4,BU4,BW4)&gt;1,LARGE((AQ4,AS4,BO4,BQ4,BU4,BW4),1),0),IF(COUNT(AK4,AM4,AQ4,AS4,BU4,BW4)&gt;1,LARGE((AK4,AM4,AQ4,AS4,BU4,BW4),1),0))</f>
        <v>21.6</v>
      </c>
      <c r="M4" s="7" t="str">
        <f>IF(L4=0,"",IF(OR(L4=BO4,L4=BQ4,L4=BU4,L4=BW4),$AW$1,IF(OR(L4=AK4,L4=AM4,L4=AQ4,L4=AS4),$S$1,"")))</f>
        <v>2025 Nationals</v>
      </c>
      <c r="N4" s="7">
        <f>IF(J4=AO4,IF(COUNT(AQ4,AS4,BO4,BQ4,BU4,BW4)&gt;1,LARGE((AQ4,AS4,BO4,BQ4,BU4,BW4),2),0),IF(COUNT(AK4,AM4,AQ4,AS4,BU4,BW4)&gt;1,LARGE((AK4,AM4,AQ4,AS4,BU4,BW4),2),0))</f>
        <v>21.3</v>
      </c>
      <c r="O4" s="7" t="str">
        <f>IF(N4=0,"",IF(OR(N4=BO4,N4=BQ4,N4=BU4,N4=BW4),$AW$1,IF(OR(N4=AK4,N4=AM4,N4=AQ4,N4=AS4),$S$1,"")))</f>
        <v>2025 Nationals</v>
      </c>
      <c r="P4" s="7" t="str">
        <f>IF(MAX(CA4:CB4)&gt;0,MAX(CA4:CB4),"")</f>
        <v/>
      </c>
      <c r="Q4" s="10" t="str">
        <f>IF(P4="","",IF(P4=CA4,"("&amp;CA$2&amp;")",IF(P4=CB4,"("&amp;CB$2&amp;")")))</f>
        <v/>
      </c>
      <c r="R4" s="7" t="str">
        <f>IF(P4="","",IF(P4=CA4,IF(P4+MAX(J4,0)=EK4,$DL$1,IF(P4+MAX(J4,0)=DB4,$CC$1)),IF(P4=CB4,IF(P4+MAX(N4,0)=MAX(EG4,EI4,EM4,EO4,EQ4),$DL$1,IF(P4+MAX(N4,0)=MAX(CX4,CZ4,DD4,DF4,DH4),$CC$1)))))</f>
        <v/>
      </c>
      <c r="S4" s="39">
        <v>17.2</v>
      </c>
      <c r="T4" s="39">
        <v>4.5999999999999996</v>
      </c>
      <c r="U4" s="39">
        <v>0</v>
      </c>
      <c r="V4" s="39">
        <v>0</v>
      </c>
      <c r="W4" s="39">
        <v>17.5</v>
      </c>
      <c r="X4" s="39">
        <v>3.9</v>
      </c>
      <c r="Y4" s="39">
        <v>0</v>
      </c>
      <c r="Z4" s="39">
        <v>0</v>
      </c>
      <c r="AA4" s="39">
        <v>17</v>
      </c>
      <c r="AB4" s="39">
        <v>4.5999999999999996</v>
      </c>
      <c r="AC4" s="39">
        <v>0</v>
      </c>
      <c r="AD4" s="39">
        <v>0</v>
      </c>
      <c r="AE4" s="39">
        <v>16.5</v>
      </c>
      <c r="AF4" s="39">
        <v>4.8</v>
      </c>
      <c r="AG4" s="39">
        <v>0</v>
      </c>
      <c r="AH4" s="39">
        <v>0</v>
      </c>
      <c r="AI4" s="19"/>
      <c r="AJ4" s="42">
        <f>IF(T4="","",T4)</f>
        <v>4.5999999999999996</v>
      </c>
      <c r="AK4" s="42">
        <f>IF(S4="","",S4+T4+V4-U4)</f>
        <v>21.799999999999997</v>
      </c>
      <c r="AL4" s="42">
        <f>IF(X4="","",X4)</f>
        <v>3.9</v>
      </c>
      <c r="AM4" s="42">
        <f>IF(W4="","",W4+X4+Z4-Y4)</f>
        <v>21.4</v>
      </c>
      <c r="AN4" s="27">
        <f>IF(SUM(T4,X4)&gt;0,SUM(T4,X4),"")</f>
        <v>8.5</v>
      </c>
      <c r="AO4" s="27">
        <f>IF(SUM(AK4,AM4)&gt;0,SUM(AK4,AM4),"")</f>
        <v>43.199999999999996</v>
      </c>
      <c r="AP4" s="27">
        <f>IF(AB4="","",AB4)</f>
        <v>4.5999999999999996</v>
      </c>
      <c r="AQ4" s="27">
        <f>IF(AA4="","",AA4+AB4+AD4-AC4)</f>
        <v>21.6</v>
      </c>
      <c r="AR4" s="27">
        <f>IF(AF4="","",AF4)</f>
        <v>4.8</v>
      </c>
      <c r="AS4" s="27">
        <f>IF(AE4="","",AE4+AF4+AH4-AG4)</f>
        <v>21.3</v>
      </c>
      <c r="AT4" s="27">
        <f>IF(SUM(AB4,AF4)&gt;0,SUM(AB4,AF4),"")</f>
        <v>9.3999999999999986</v>
      </c>
      <c r="AU4" s="27">
        <f>IF(SUM(AQ4,AS4)&gt;0,SUM(AQ4,AS4),"")</f>
        <v>42.900000000000006</v>
      </c>
      <c r="AV4" s="27">
        <f>IF(SUM(AO4,AU4)&gt;0,SUM(AO4,AU4),"")</f>
        <v>86.1</v>
      </c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20"/>
      <c r="BN4" s="43" t="str">
        <f>IF(AX4="","",AX4)</f>
        <v/>
      </c>
      <c r="BO4" s="43" t="str">
        <f>IF(AW4="","",AW4+AX4+AZ4-AY4)</f>
        <v/>
      </c>
      <c r="BP4" s="43" t="str">
        <f>IF(BB4="","",BB4)</f>
        <v/>
      </c>
      <c r="BQ4" s="43" t="str">
        <f>IF(BA4="","",BA4+BB4+BD4-BC4)</f>
        <v/>
      </c>
      <c r="BR4" s="10" t="str">
        <f>IF(SUM(AX4,BB4)&gt;0,SUM(AX4,BB4),"")</f>
        <v/>
      </c>
      <c r="BS4" s="10" t="str">
        <f>IF(SUM(BO4,BQ4)&gt;0,SUM(BO4,BQ4),"")</f>
        <v/>
      </c>
      <c r="BT4" s="10" t="str">
        <f>IF(BF4="","",BF4)</f>
        <v/>
      </c>
      <c r="BU4" s="10" t="str">
        <f>IF(BE4="","",BE4+BF4+BH4-BG4)</f>
        <v/>
      </c>
      <c r="BV4" s="10" t="str">
        <f>IF(BJ4="","",BJ4)</f>
        <v/>
      </c>
      <c r="BW4" s="10" t="str">
        <f>IF(BI4="","",BI4+BJ4+BL4-BK4)</f>
        <v/>
      </c>
      <c r="BX4" s="10" t="str">
        <f>IF(SUM(BF4,BJ4)&gt;0,SUM(BF4,BJ4),"")</f>
        <v/>
      </c>
      <c r="BY4" s="10" t="str">
        <f>IF(SUM(BU4,BW4)&gt;0,SUM(BU4,BW4),"")</f>
        <v/>
      </c>
      <c r="BZ4" s="10" t="str">
        <f>IF(SUM(BS4,BY4)&gt;0,SUM(BS4,BY4),"")</f>
        <v/>
      </c>
      <c r="CA4" s="34" t="str">
        <f>IF(MAX(DB4,EK4)-IF(J4="",0,J4)&gt;0.001,MAX(DB4,EK4)-IF(J4="",0,J4),"")</f>
        <v/>
      </c>
      <c r="CB4" s="34" t="str">
        <f>IF(MAX(CX4,CZ4,DD4,DF4,DH4,EG4,EI4,EM4,EO4)-IF(N4="",0,N4)&gt;0.001,MAX(CX4,CZ4,DD4,DF4,DH4,EG4,EI4,EM4,EO4)-IF(N4="",0,N4),"")</f>
        <v/>
      </c>
      <c r="CC4" s="14">
        <v>15.8</v>
      </c>
      <c r="CD4" s="14">
        <v>2.6</v>
      </c>
      <c r="CE4" s="14">
        <v>0</v>
      </c>
      <c r="CF4" s="14">
        <v>0</v>
      </c>
      <c r="CG4" s="14">
        <v>16.399999999999999</v>
      </c>
      <c r="CH4" s="14">
        <v>4.5999999999999996</v>
      </c>
      <c r="CI4" s="14">
        <v>0.4</v>
      </c>
      <c r="CJ4" s="14">
        <v>0</v>
      </c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27">
        <f>IF(CD4="","",CD4)</f>
        <v>2.6</v>
      </c>
      <c r="CX4" s="27">
        <f>IF(CC4="","",CC4+CD4+CF4-CE4)</f>
        <v>18.400000000000002</v>
      </c>
      <c r="CY4" s="27">
        <f>IF(CH4="","",CH4)</f>
        <v>4.5999999999999996</v>
      </c>
      <c r="CZ4" s="27">
        <f>IF(CG4="","",CG4+CH4+CJ4-CI4)</f>
        <v>20.6</v>
      </c>
      <c r="DA4" s="27">
        <f>IF(CW4="","",SUM(CW4,CY4))</f>
        <v>7.1999999999999993</v>
      </c>
      <c r="DB4" s="27">
        <f>IF(CX4="","",SUM(CX4,CZ4))</f>
        <v>39</v>
      </c>
      <c r="DC4" s="27" t="str">
        <f>IF(CL4="","",CL4)</f>
        <v/>
      </c>
      <c r="DD4" s="27" t="str">
        <f>IF(CK4="","",CK4+CL4+CN4-CM4)</f>
        <v/>
      </c>
      <c r="DE4" s="27" t="str">
        <f>IF(CP4="","",CP4)</f>
        <v/>
      </c>
      <c r="DF4" s="27" t="str">
        <f>IF(CO4="","",CO4+CP4+CR4-CQ4)</f>
        <v/>
      </c>
      <c r="DG4" s="27" t="str">
        <f>IF(CT4="","",CT4)</f>
        <v/>
      </c>
      <c r="DH4" s="27" t="str">
        <f>IF(CS4="","",CS4+CT4+CV4-CU4)</f>
        <v/>
      </c>
      <c r="DI4" s="27" t="str">
        <f>IF(DE4="","",SUM(DE4,DG4))</f>
        <v/>
      </c>
      <c r="DJ4" s="27" t="str">
        <f>IF(DF4="","",SUM(DF4,DH4))</f>
        <v/>
      </c>
      <c r="DK4" s="27">
        <f>IF(DB4="","",SUM(DB4,DD4,DH4))</f>
        <v>39</v>
      </c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0" t="str">
        <f>IF(DM4="","",DM4)</f>
        <v/>
      </c>
      <c r="EG4" s="10" t="str">
        <f>IF(DL4="","",DL4+DM4+DO4-DN4)</f>
        <v/>
      </c>
      <c r="EH4" s="10" t="str">
        <f>IF(DQ4="","",DQ4)</f>
        <v/>
      </c>
      <c r="EI4" s="10" t="str">
        <f>IF(DP4="","",DP4+DQ4+DS4-DR4)</f>
        <v/>
      </c>
      <c r="EJ4" s="10" t="str">
        <f>IF(EF4="","",SUM(EF4,EH4))</f>
        <v/>
      </c>
      <c r="EK4" s="10" t="str">
        <f>IF(EG4="","",SUM(EG4,EI4))</f>
        <v/>
      </c>
      <c r="EL4" s="10" t="str">
        <f>IF(DU4="","",DU4)</f>
        <v/>
      </c>
      <c r="EM4" s="10" t="str">
        <f>IF(DT4="","",DT4+DU4+DW4-DV4)</f>
        <v/>
      </c>
      <c r="EN4" s="10" t="str">
        <f>IF(DY4="","",DY4)</f>
        <v/>
      </c>
      <c r="EO4" s="10" t="str">
        <f>IF(DX4="","",DX4+DY4+EA4-DZ4)</f>
        <v/>
      </c>
      <c r="EP4" s="10" t="str">
        <f>IF(EC4="","",EC4)</f>
        <v/>
      </c>
      <c r="EQ4" s="10" t="str">
        <f>IF(EB4="","",EB4+EC4+EE4-ED4)</f>
        <v/>
      </c>
      <c r="ER4" s="10" t="str">
        <f>IF(EN4="","",SUM(EN4,EP4))</f>
        <v/>
      </c>
      <c r="ES4" s="10" t="str">
        <f>IF(EO4="","",SUM(EO4,EQ4))</f>
        <v/>
      </c>
      <c r="ET4" s="10" t="str">
        <f>IF(EK4="","",SUM(EK4,EM4,EQ4))</f>
        <v/>
      </c>
      <c r="EU4" s="44">
        <f t="shared" ref="EU4:FJ5" si="0">IF(BM4="P",IF(AI4="P",AW4,AW4*0.8),(S4+AW4)/2)</f>
        <v>8.6</v>
      </c>
      <c r="EV4" s="44">
        <f t="shared" si="0"/>
        <v>2.2999999999999998</v>
      </c>
      <c r="EW4" s="44">
        <f t="shared" si="0"/>
        <v>0</v>
      </c>
      <c r="EX4" s="44">
        <f t="shared" si="0"/>
        <v>0</v>
      </c>
      <c r="EY4" s="44">
        <f t="shared" si="0"/>
        <v>8.75</v>
      </c>
      <c r="EZ4" s="44">
        <f t="shared" si="0"/>
        <v>1.95</v>
      </c>
      <c r="FA4" s="44">
        <f t="shared" si="0"/>
        <v>0</v>
      </c>
      <c r="FB4" s="44">
        <f t="shared" si="0"/>
        <v>0</v>
      </c>
      <c r="FC4" s="44">
        <f t="shared" si="0"/>
        <v>8.5</v>
      </c>
      <c r="FD4" s="44">
        <f t="shared" si="0"/>
        <v>2.2999999999999998</v>
      </c>
      <c r="FE4" s="44">
        <f t="shared" si="0"/>
        <v>0</v>
      </c>
      <c r="FF4" s="44">
        <f t="shared" si="0"/>
        <v>0</v>
      </c>
      <c r="FG4" s="44">
        <f t="shared" si="0"/>
        <v>8.25</v>
      </c>
      <c r="FH4" s="44">
        <f t="shared" si="0"/>
        <v>2.4</v>
      </c>
      <c r="FI4" s="44">
        <f t="shared" si="0"/>
        <v>0</v>
      </c>
      <c r="FJ4" s="44">
        <f t="shared" si="0"/>
        <v>0</v>
      </c>
      <c r="FK4" s="20" t="s">
        <v>29</v>
      </c>
      <c r="FL4" s="10">
        <f>IF(EV4="","",EV4)</f>
        <v>2.2999999999999998</v>
      </c>
      <c r="FM4" s="10">
        <f>IF(EU4="","",EU4+EV4+EX4-EW4)</f>
        <v>10.899999999999999</v>
      </c>
      <c r="FN4" s="10">
        <f>IF(EZ4="","",EZ4)</f>
        <v>1.95</v>
      </c>
      <c r="FO4" s="10">
        <f>IF(EY4="","",EY4+EZ4+FB4-FA4)</f>
        <v>10.7</v>
      </c>
      <c r="FP4" s="10">
        <f>IF(SUM(EV4,EZ4)&gt;0,SUM(EV4,EZ4),"")</f>
        <v>4.25</v>
      </c>
      <c r="FQ4" s="10">
        <f>IF(SUM(FM4,FO4)&gt;0,SUM(FM4,FO4),"")</f>
        <v>21.599999999999998</v>
      </c>
      <c r="FR4" s="10">
        <f>IF(FD4="","",FD4)</f>
        <v>2.2999999999999998</v>
      </c>
      <c r="FS4" s="10">
        <f>IF(FC4="","",FC4+FD4+FF4-FE4)</f>
        <v>10.8</v>
      </c>
      <c r="FT4" s="10">
        <f>IF(FH4="","",FH4)</f>
        <v>2.4</v>
      </c>
      <c r="FU4" s="10">
        <f>IF(FG4="","",FG4+FH4+FJ4-FI4)</f>
        <v>10.65</v>
      </c>
      <c r="FV4" s="10">
        <f>IF(SUM(FD4,FH4)&gt;0,SUM(FD4,FH4),"")</f>
        <v>4.6999999999999993</v>
      </c>
      <c r="FW4" s="10">
        <f t="shared" ref="FW4:FW5" si="1">IF(SUM(FS4,FU4)&gt;0,SUM(FS4,FU4),"")</f>
        <v>21.450000000000003</v>
      </c>
      <c r="FX4" s="10">
        <f t="shared" ref="FX4:FX5" si="2">IF(SUM(FQ4,FW4)&gt;0,SUM(FQ4,FW4),"")</f>
        <v>43.05</v>
      </c>
    </row>
    <row r="5" spans="1:180" x14ac:dyDescent="0.2">
      <c r="A5" s="3" t="str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/>
      </c>
      <c r="B5" s="4" t="s">
        <v>55</v>
      </c>
      <c r="C5" s="3" t="s">
        <v>5</v>
      </c>
      <c r="D5" s="3">
        <v>2012</v>
      </c>
      <c r="E5" s="8">
        <f>SUM(J5:P5)+SUM(J5:M5)*0.0000001+SUM(J5)*0.0000000000001</f>
        <v>82.800006160004159</v>
      </c>
      <c r="F5" s="2" t="str">
        <f>IF(OR(AND(AO5&lt;&gt;"",AO5&gt;=AV$11,AN5&gt;=AV$8),AND(AU5&lt;&gt;"",AU5&gt;=AV$11,AT5&gt;=AV$8),AND(BS5&lt;&gt;"",BS5&gt;=BZ$11,BR5&gt;=BZ$8),AND(BY5&lt;&gt;"",BY5&gt;=BZ$11,BX5&gt;=BZ$8),AND(DB5&lt;&gt;"",DB5&gt;=DK$11,DA5&gt;=DK$8),AND(DJ5&lt;&gt;"",DJ5&gt;=DK$11,DI5&gt;=DK$8),AND(EK5&lt;&gt;"",EK5&gt;=ET$11,EJ5&gt;=ET$8),AND(ES5&lt;&gt;"",ES5&gt;=ET$11,ER5&gt;=ET$8)),"P","")</f>
        <v/>
      </c>
      <c r="G5" s="2" t="str">
        <f>IF(OR(AND(AO5&lt;&gt;"",AO5&gt;=AV$11),AND(AU5&lt;&gt;"",AU5&gt;=AV$11),AND(BS5&lt;&gt;"",BS5&gt;=BZ$11),AND(BY5&lt;&gt;"",BY5&gt;=BZ$11),AND(DB5&lt;&gt;"",DB5&gt;=DK$11),AND(DJ5&lt;&gt;"",DJ5&gt;=DK$11),AND(EK5&lt;&gt;"",EK5&gt;=ET$11),AND(ES5&lt;&gt;"",ES5&gt;=ET$11)),"P","")</f>
        <v/>
      </c>
      <c r="H5" s="26" t="str">
        <f>IF(AND(G5="P",F5=""),"No DD",IF(OR(AND(AK5&lt;&gt;"",AK5&gt;=AV$13,AJ5&gt;=AV$10),AND(AM5&lt;&gt;"",AM5&gt;=AV$13,AL5&gt;=AV$10),AND(AQ5&lt;&gt;"",AQ5&gt;=AV$13,AP5&gt;=AV$10),AND(AS5&lt;&gt;"",AS5&gt;=AV$13,AR5&gt;=AV$10),AND(BO5&lt;&gt;"",BO5&gt;=BZ$13,BN5&gt;=BZ$10),AND(BQ5&lt;&gt;"",BQ5&gt;=BZ$13,BP5&gt;=BZ$10),AND(BV5&lt;&gt;"",BV5&gt;=BZ$13,BU5&gt;=BZ$10),AND(BX5&lt;&gt;"",BX5&gt;=BZ$13,BW5&gt;=BZ$10),AND(CX5&lt;&gt;"",CX5&gt;=DK$13,CW5&gt;=DK$10),AND(CZ5&lt;&gt;"",CZ5&gt;=DK$13,CY5&gt;=DK$10),AND(DD5&lt;&gt;"",DD5&gt;=DK$13,DC5&gt;=DK$10),AND(DF5&lt;&gt;"",DF5&gt;=DK$13,DE5&gt;=DK$10),AND(DH5&lt;&gt;"",DH5&gt;=DK$13,DG5&gt;=DK$10),AND(EG5&lt;&gt;"",EG5&gt;=ET$13,EF5&gt;=ET$10),AND(EI5&lt;&gt;"",EI5&gt;=ET$13,EH5&gt;=ET$10),AND(EM5&lt;&gt;"",EM5&gt;=ET$13,EL5&gt;=ET$10),AND(EO5&lt;&gt;"",EO5&gt;=ET$13,EN5&gt;=ET$10),AND(EQ5&lt;&gt;"",EQ5&gt;=ET$13,EP5&gt;=ET$10)),"Performance",IF(I5="P","Worlds Team",IF(F5="P","National Team",""))))</f>
        <v/>
      </c>
      <c r="I5" s="2" t="str">
        <f>IF(OR(AND(AO5&lt;&gt;"",AO5&gt;=AV$12,AN5&gt;=AV$9),AND(AU5&lt;&gt;"",AU5&gt;=AV$12,AT5&gt;=AV$9),AND(BS5&lt;&gt;"",BS5&gt;=BZ$12,BR5&gt;=BZ$9),AND(BY5&lt;&gt;"",BY5&gt;=BZ$12,BX5&gt;=BZ$9),AND(DB5&lt;&gt;"",DB5&gt;=DK$12,DA5&gt;=DK$9),AND(DJ5&lt;&gt;"",DJ5&gt;=DK$12,DI5&gt;=DK$9),AND(EK5&lt;&gt;"",EK5&gt;=ET$12,EJ5&gt;=ET$9),AND(ES5&lt;&gt;"",ES5&gt;=ET$12,ER5&gt;=ET$9)),"P","")</f>
        <v/>
      </c>
      <c r="J5" s="7">
        <f>IF(COUNT(AO5,BS5)&gt;0,MAX(AO5,BS5),0)</f>
        <v>41.5</v>
      </c>
      <c r="K5" s="7" t="str">
        <f>IF(J5=0,"",IF(J5=BS5,$AW$1,IF(J5=AO5,$S$1,"")))</f>
        <v>2025 Nationals</v>
      </c>
      <c r="L5" s="7">
        <f>IF(J5=AO5,IF(COUNT(AQ5,AS5,BO5,BQ5,BU5,BW5)&gt;1,LARGE((AQ5,AS5,BO5,BQ5,BU5,BW5),1),0),IF(COUNT(AK5,AM5,AQ5,AS5,BU5,BW5)&gt;1,LARGE((AK5,AM5,AQ5,AS5,BU5,BW5),1),0))</f>
        <v>20.100000000000001</v>
      </c>
      <c r="M5" s="7" t="str">
        <f>IF(L5=0,"",IF(OR(L5=BO5,L5=BQ5,L5=BU5,L5=BW5),$AW$1,IF(OR(L5=AK5,L5=AM5,L5=AQ5,L5=AS5),$S$1,"")))</f>
        <v>2025 Nationals</v>
      </c>
      <c r="N5" s="7">
        <f>IF(J5=AO5,IF(COUNT(AQ5,AS5,BO5,BQ5,BU5,BW5)&gt;1,LARGE((AQ5,AS5,BO5,BQ5,BU5,BW5),2),0),IF(COUNT(AK5,AM5,AQ5,AS5,BU5,BW5)&gt;1,LARGE((AK5,AM5,AQ5,AS5,BU5,BW5),2),0))</f>
        <v>19.8</v>
      </c>
      <c r="O5" s="7" t="str">
        <f>IF(N5=0,"",IF(OR(N5=BO5,N5=BQ5,N5=BU5,N5=BW5),$AW$1,IF(OR(N5=AK5,N5=AM5,N5=AQ5,N5=AS5),$S$1,"")))</f>
        <v>2025 Nationals</v>
      </c>
      <c r="P5" s="7">
        <f>IF(MAX(CA5:CB5)&gt;0,MAX(CA5:CB5),"")</f>
        <v>1.3999999999999986</v>
      </c>
      <c r="Q5" s="10" t="str">
        <f>IF(P5="","",IF(P5=CA5,"("&amp;CA$2&amp;")",IF(P5=CB5,"("&amp;CB$2&amp;")")))</f>
        <v>(Pass)</v>
      </c>
      <c r="R5" s="7" t="str">
        <f>IF(P5="","",IF(P5=CA5,IF(P5+MAX(J5,0)=EK5,$DL$1,IF(P5+MAX(J5,0)=DB5,$CC$1)),IF(P5=CB5,IF(P5+MAX(N5,0)=MAX(EG5,EI5,EM5,EO5,EQ5),$DL$1,IF(P5+MAX(N5,0)=MAX(CX5,CZ5,DD5,DF5,DH5),$CC$1)))))</f>
        <v>2025 WAGC (Nov 16)</v>
      </c>
      <c r="S5" s="39">
        <v>17.2</v>
      </c>
      <c r="T5" s="39">
        <v>3.5</v>
      </c>
      <c r="U5" s="39">
        <v>0.4</v>
      </c>
      <c r="V5" s="39">
        <v>0</v>
      </c>
      <c r="W5" s="39">
        <v>16.5</v>
      </c>
      <c r="X5" s="39">
        <v>4.7</v>
      </c>
      <c r="Y5" s="39">
        <v>0</v>
      </c>
      <c r="Z5" s="39">
        <v>0</v>
      </c>
      <c r="AA5" s="39">
        <v>17</v>
      </c>
      <c r="AB5" s="39">
        <v>3.5</v>
      </c>
      <c r="AC5" s="39">
        <v>0.4</v>
      </c>
      <c r="AD5" s="39">
        <v>0</v>
      </c>
      <c r="AE5" s="39">
        <v>15.8</v>
      </c>
      <c r="AF5" s="39">
        <v>4</v>
      </c>
      <c r="AG5" s="39">
        <v>0</v>
      </c>
      <c r="AH5" s="39">
        <v>0</v>
      </c>
      <c r="AI5" s="19"/>
      <c r="AJ5" s="42">
        <f>IF(T5="","",T5)</f>
        <v>3.5</v>
      </c>
      <c r="AK5" s="42">
        <f>IF(S5="","",S5+T5+V5-U5)</f>
        <v>20.3</v>
      </c>
      <c r="AL5" s="42">
        <f>IF(X5="","",X5)</f>
        <v>4.7</v>
      </c>
      <c r="AM5" s="42">
        <f>IF(W5="","",W5+X5+Z5-Y5)</f>
        <v>21.2</v>
      </c>
      <c r="AN5" s="27">
        <f>IF(SUM(T5,X5)&gt;0,SUM(T5,X5),"")</f>
        <v>8.1999999999999993</v>
      </c>
      <c r="AO5" s="27">
        <f>IF(SUM(AK5,AM5)&gt;0,SUM(AK5,AM5),"")</f>
        <v>41.5</v>
      </c>
      <c r="AP5" s="27">
        <f>IF(AB5="","",AB5)</f>
        <v>3.5</v>
      </c>
      <c r="AQ5" s="27">
        <f>IF(AA5="","",AA5+AB5+AD5-AC5)</f>
        <v>20.100000000000001</v>
      </c>
      <c r="AR5" s="27">
        <f>IF(AF5="","",AF5)</f>
        <v>4</v>
      </c>
      <c r="AS5" s="27">
        <f>IF(AE5="","",AE5+AF5+AH5-AG5)</f>
        <v>19.8</v>
      </c>
      <c r="AT5" s="27">
        <f>IF(SUM(AB5,AF5)&gt;0,SUM(AB5,AF5),"")</f>
        <v>7.5</v>
      </c>
      <c r="AU5" s="27">
        <f>IF(SUM(AQ5,AS5)&gt;0,SUM(AQ5,AS5),"")</f>
        <v>39.900000000000006</v>
      </c>
      <c r="AV5" s="27">
        <f>IF(SUM(AO5,AU5)&gt;0,SUM(AO5,AU5),"")</f>
        <v>81.400000000000006</v>
      </c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20"/>
      <c r="BN5" s="43" t="str">
        <f>IF(AX5="","",AX5)</f>
        <v/>
      </c>
      <c r="BO5" s="43" t="str">
        <f>IF(AW5="","",AW5+AX5+AZ5-AY5)</f>
        <v/>
      </c>
      <c r="BP5" s="43" t="str">
        <f>IF(BB5="","",BB5)</f>
        <v/>
      </c>
      <c r="BQ5" s="43" t="str">
        <f>IF(BA5="","",BA5+BB5+BD5-BC5)</f>
        <v/>
      </c>
      <c r="BR5" s="10" t="str">
        <f>IF(SUM(AX5,BB5)&gt;0,SUM(AX5,BB5),"")</f>
        <v/>
      </c>
      <c r="BS5" s="10" t="str">
        <f>IF(SUM(BO5,BQ5)&gt;0,SUM(BO5,BQ5),"")</f>
        <v/>
      </c>
      <c r="BT5" s="10" t="str">
        <f>IF(BF5="","",BF5)</f>
        <v/>
      </c>
      <c r="BU5" s="10" t="str">
        <f>IF(BE5="","",BE5+BF5+BH5-BG5)</f>
        <v/>
      </c>
      <c r="BV5" s="10" t="str">
        <f>IF(BJ5="","",BJ5)</f>
        <v/>
      </c>
      <c r="BW5" s="10" t="str">
        <f>IF(BI5="","",BI5+BJ5+BL5-BK5)</f>
        <v/>
      </c>
      <c r="BX5" s="10" t="str">
        <f>IF(SUM(BF5,BJ5)&gt;0,SUM(BF5,BJ5),"")</f>
        <v/>
      </c>
      <c r="BY5" s="10" t="str">
        <f>IF(SUM(BU5,BW5)&gt;0,SUM(BU5,BW5),"")</f>
        <v/>
      </c>
      <c r="BZ5" s="10" t="str">
        <f>IF(SUM(BS5,BY5)&gt;0,SUM(BS5,BY5),"")</f>
        <v/>
      </c>
      <c r="CA5" s="34">
        <f>IF(MAX(DB5,EK5)-IF(J5="",0,J5)&gt;0.001,MAX(DB5,EK5)-IF(J5="",0,J5),"")</f>
        <v>0.29999999999999716</v>
      </c>
      <c r="CB5" s="34">
        <f>IF(MAX(CX5,CZ5,DD5,DF5,DH5,EG5,EI5,EM5,EO5)-IF(N5="",0,N5)&gt;0.001,MAX(CX5,CZ5,DD5,DF5,DH5,EG5,EI5,EM5,EO5)-IF(N5="",0,N5),"")</f>
        <v>1.3999999999999986</v>
      </c>
      <c r="CC5" s="14">
        <v>16.399999999999999</v>
      </c>
      <c r="CD5" s="14">
        <v>4.2</v>
      </c>
      <c r="CE5" s="14">
        <v>0</v>
      </c>
      <c r="CF5" s="14">
        <v>0</v>
      </c>
      <c r="CG5" s="14">
        <v>16.5</v>
      </c>
      <c r="CH5" s="14">
        <v>4.7</v>
      </c>
      <c r="CI5" s="14">
        <v>0</v>
      </c>
      <c r="CJ5" s="14">
        <v>0</v>
      </c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27">
        <f>IF(CD5="","",CD5)</f>
        <v>4.2</v>
      </c>
      <c r="CX5" s="27">
        <f>IF(CC5="","",CC5+CD5+CF5-CE5)</f>
        <v>20.599999999999998</v>
      </c>
      <c r="CY5" s="27">
        <f>IF(CH5="","",CH5)</f>
        <v>4.7</v>
      </c>
      <c r="CZ5" s="27">
        <f>IF(CG5="","",CG5+CH5+CJ5-CI5)</f>
        <v>21.2</v>
      </c>
      <c r="DA5" s="27">
        <f>IF(CW5="","",SUM(CW5,CY5))</f>
        <v>8.9</v>
      </c>
      <c r="DB5" s="27">
        <f>IF(CX5="","",SUM(CX5,CZ5))</f>
        <v>41.8</v>
      </c>
      <c r="DC5" s="27" t="str">
        <f>IF(CL5="","",CL5)</f>
        <v/>
      </c>
      <c r="DD5" s="27" t="str">
        <f>IF(CK5="","",CK5+CL5+CN5-CM5)</f>
        <v/>
      </c>
      <c r="DE5" s="27" t="str">
        <f>IF(CP5="","",CP5)</f>
        <v/>
      </c>
      <c r="DF5" s="27" t="str">
        <f>IF(CO5="","",CO5+CP5+CR5-CQ5)</f>
        <v/>
      </c>
      <c r="DG5" s="27" t="str">
        <f>IF(CT5="","",CT5)</f>
        <v/>
      </c>
      <c r="DH5" s="27" t="str">
        <f>IF(CS5="","",CS5+CT5+CV5-CU5)</f>
        <v/>
      </c>
      <c r="DI5" s="27" t="str">
        <f>IF(DE5="","",SUM(DE5,DG5))</f>
        <v/>
      </c>
      <c r="DJ5" s="27" t="str">
        <f>IF(DF5="","",SUM(DF5,DH5))</f>
        <v/>
      </c>
      <c r="DK5" s="27">
        <f>IF(DB5="","",SUM(DB5,DD5,DH5))</f>
        <v>41.8</v>
      </c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0" t="str">
        <f>IF(DM5="","",DM5)</f>
        <v/>
      </c>
      <c r="EG5" s="10" t="str">
        <f>IF(DL5="","",DL5+DM5+DO5-DN5)</f>
        <v/>
      </c>
      <c r="EH5" s="10" t="str">
        <f>IF(DQ5="","",DQ5)</f>
        <v/>
      </c>
      <c r="EI5" s="10" t="str">
        <f>IF(DP5="","",DP5+DQ5+DS5-DR5)</f>
        <v/>
      </c>
      <c r="EJ5" s="10" t="str">
        <f>IF(EF5="","",SUM(EF5,EH5))</f>
        <v/>
      </c>
      <c r="EK5" s="10" t="str">
        <f>IF(EG5="","",SUM(EG5,EI5))</f>
        <v/>
      </c>
      <c r="EL5" s="10" t="str">
        <f>IF(DU5="","",DU5)</f>
        <v/>
      </c>
      <c r="EM5" s="10" t="str">
        <f>IF(DT5="","",DT5+DU5+DW5-DV5)</f>
        <v/>
      </c>
      <c r="EN5" s="10" t="str">
        <f>IF(DY5="","",DY5)</f>
        <v/>
      </c>
      <c r="EO5" s="10" t="str">
        <f>IF(DX5="","",DX5+DY5+EA5-DZ5)</f>
        <v/>
      </c>
      <c r="EP5" s="10" t="str">
        <f>IF(EC5="","",EC5)</f>
        <v/>
      </c>
      <c r="EQ5" s="10" t="str">
        <f>IF(EB5="","",EB5+EC5+EE5-ED5)</f>
        <v/>
      </c>
      <c r="ER5" s="10" t="str">
        <f>IF(EN5="","",SUM(EN5,EP5))</f>
        <v/>
      </c>
      <c r="ES5" s="10" t="str">
        <f>IF(EO5="","",SUM(EO5,EQ5))</f>
        <v/>
      </c>
      <c r="ET5" s="10" t="str">
        <f>IF(EK5="","",SUM(EK5,EM5,EQ5))</f>
        <v/>
      </c>
      <c r="EU5" s="44">
        <f t="shared" si="0"/>
        <v>8.6</v>
      </c>
      <c r="EV5" s="44">
        <f t="shared" si="0"/>
        <v>1.75</v>
      </c>
      <c r="EW5" s="44">
        <f t="shared" si="0"/>
        <v>0.2</v>
      </c>
      <c r="EX5" s="44">
        <f t="shared" si="0"/>
        <v>0</v>
      </c>
      <c r="EY5" s="44">
        <f t="shared" si="0"/>
        <v>8.25</v>
      </c>
      <c r="EZ5" s="44">
        <f t="shared" si="0"/>
        <v>2.35</v>
      </c>
      <c r="FA5" s="44">
        <f t="shared" si="0"/>
        <v>0</v>
      </c>
      <c r="FB5" s="44">
        <f t="shared" si="0"/>
        <v>0</v>
      </c>
      <c r="FC5" s="44">
        <f t="shared" si="0"/>
        <v>8.5</v>
      </c>
      <c r="FD5" s="44">
        <f t="shared" si="0"/>
        <v>1.75</v>
      </c>
      <c r="FE5" s="44">
        <f t="shared" si="0"/>
        <v>0.2</v>
      </c>
      <c r="FF5" s="44">
        <f t="shared" si="0"/>
        <v>0</v>
      </c>
      <c r="FG5" s="44">
        <f t="shared" si="0"/>
        <v>7.9</v>
      </c>
      <c r="FH5" s="44">
        <f t="shared" si="0"/>
        <v>2</v>
      </c>
      <c r="FI5" s="44">
        <f t="shared" si="0"/>
        <v>0</v>
      </c>
      <c r="FJ5" s="44">
        <f t="shared" si="0"/>
        <v>0</v>
      </c>
      <c r="FK5" s="20" t="s">
        <v>29</v>
      </c>
      <c r="FL5" s="10">
        <f>IF(EV5="","",EV5)</f>
        <v>1.75</v>
      </c>
      <c r="FM5" s="10">
        <f>IF(EU5="","",EU5+EV5+EX5-EW5)</f>
        <v>10.15</v>
      </c>
      <c r="FN5" s="10">
        <f>IF(EZ5="","",EZ5)</f>
        <v>2.35</v>
      </c>
      <c r="FO5" s="10">
        <f>IF(EY5="","",EY5+EZ5+FB5-FA5)</f>
        <v>10.6</v>
      </c>
      <c r="FP5" s="10">
        <f>IF(SUM(EV5,EZ5)&gt;0,SUM(EV5,EZ5),"")</f>
        <v>4.0999999999999996</v>
      </c>
      <c r="FQ5" s="10">
        <f t="shared" ref="FQ5" si="3">IF(SUM(FM5,FO5)&gt;0,SUM(FM5,FO5),"")</f>
        <v>20.75</v>
      </c>
      <c r="FR5" s="10">
        <f t="shared" ref="FR5" si="4">IF(FD5="","",FD5)</f>
        <v>1.75</v>
      </c>
      <c r="FS5" s="10">
        <f t="shared" ref="FS5" si="5">IF(FC5="","",FC5+FD5+FF5-FE5)</f>
        <v>10.050000000000001</v>
      </c>
      <c r="FT5" s="10">
        <f t="shared" ref="FT5" si="6">IF(FH5="","",FH5)</f>
        <v>2</v>
      </c>
      <c r="FU5" s="10">
        <f t="shared" ref="FU5" si="7">IF(FG5="","",FG5+FH5+FJ5-FI5)</f>
        <v>9.9</v>
      </c>
      <c r="FV5" s="10">
        <f t="shared" ref="FV5" si="8">IF(SUM(FD5,FH5)&gt;0,SUM(FD5,FH5),"")</f>
        <v>3.75</v>
      </c>
      <c r="FW5" s="10">
        <f t="shared" si="1"/>
        <v>19.950000000000003</v>
      </c>
      <c r="FX5" s="10">
        <f t="shared" si="2"/>
        <v>40.700000000000003</v>
      </c>
    </row>
    <row r="6" spans="1:180" ht="17" x14ac:dyDescent="0.2">
      <c r="P6" s="9"/>
      <c r="Q6" s="9"/>
      <c r="R6" s="9"/>
    </row>
    <row r="7" spans="1:180" ht="17" x14ac:dyDescent="0.2">
      <c r="P7" s="9"/>
      <c r="Q7" s="9"/>
      <c r="R7" s="9"/>
    </row>
    <row r="8" spans="1:180" ht="17" x14ac:dyDescent="0.2">
      <c r="B8" s="17" t="s">
        <v>27</v>
      </c>
      <c r="P8" s="9"/>
      <c r="Q8" s="9"/>
      <c r="R8" s="9"/>
      <c r="AV8" s="28">
        <v>8.6</v>
      </c>
      <c r="BZ8" s="28">
        <v>8.6</v>
      </c>
      <c r="CW8" s="3"/>
      <c r="CX8" s="3"/>
      <c r="CY8" s="3"/>
      <c r="CZ8" s="3"/>
      <c r="DA8" s="3"/>
      <c r="DK8" s="28">
        <v>8.6</v>
      </c>
      <c r="EF8" s="3"/>
      <c r="EG8" s="3"/>
      <c r="EH8" s="3"/>
      <c r="EI8" s="3"/>
      <c r="EJ8" s="3"/>
      <c r="EK8" s="3"/>
      <c r="EL8" s="3"/>
      <c r="ET8" s="28">
        <v>8.6</v>
      </c>
    </row>
    <row r="9" spans="1:180" ht="17" hidden="1" x14ac:dyDescent="0.2">
      <c r="B9" s="22" t="s">
        <v>26</v>
      </c>
      <c r="P9" s="9"/>
      <c r="Q9" s="9"/>
      <c r="R9" s="9"/>
      <c r="AV9" s="40">
        <v>1000</v>
      </c>
      <c r="BZ9" s="40">
        <v>1000</v>
      </c>
      <c r="CW9" s="3"/>
      <c r="CX9" s="3"/>
      <c r="CY9" s="3"/>
      <c r="CZ9" s="3"/>
      <c r="DA9" s="3"/>
      <c r="DK9" s="40">
        <v>1000</v>
      </c>
      <c r="EF9" s="3"/>
      <c r="EG9" s="3"/>
      <c r="EH9" s="3"/>
      <c r="EI9" s="3"/>
      <c r="EJ9" s="3"/>
      <c r="EK9" s="3"/>
      <c r="EL9" s="3"/>
      <c r="ET9" s="40">
        <v>1000</v>
      </c>
    </row>
    <row r="10" spans="1:180" ht="17" hidden="1" x14ac:dyDescent="0.2">
      <c r="A10" s="4"/>
      <c r="B10" s="23" t="s">
        <v>94</v>
      </c>
      <c r="C10" s="16"/>
      <c r="P10" s="9"/>
      <c r="Q10" s="9"/>
      <c r="R10" s="9"/>
      <c r="AV10" s="29">
        <v>1000</v>
      </c>
      <c r="BZ10" s="29">
        <v>1000</v>
      </c>
      <c r="CW10" s="3"/>
      <c r="CX10" s="3"/>
      <c r="CY10" s="3"/>
      <c r="CZ10" s="3"/>
      <c r="DA10" s="3"/>
      <c r="DK10" s="29">
        <v>1000</v>
      </c>
      <c r="EF10" s="3"/>
      <c r="EG10" s="3"/>
      <c r="EH10" s="3"/>
      <c r="EI10" s="3"/>
      <c r="EJ10" s="3"/>
      <c r="EK10" s="3"/>
      <c r="EL10" s="3"/>
      <c r="ET10" s="29">
        <v>1000</v>
      </c>
    </row>
    <row r="11" spans="1:180" ht="17" x14ac:dyDescent="0.2">
      <c r="A11" s="4"/>
      <c r="B11" s="25" t="s">
        <v>24</v>
      </c>
      <c r="C11" s="16"/>
      <c r="P11" s="9"/>
      <c r="Q11" s="9"/>
      <c r="R11" s="9"/>
      <c r="AV11" s="30">
        <v>43.8</v>
      </c>
      <c r="BZ11" s="30">
        <v>43.8</v>
      </c>
      <c r="CW11" s="3"/>
      <c r="CX11" s="3"/>
      <c r="CY11" s="3"/>
      <c r="CZ11" s="3"/>
      <c r="DA11" s="3"/>
      <c r="DK11" s="30">
        <v>43.8</v>
      </c>
      <c r="EF11" s="3"/>
      <c r="EG11" s="3"/>
      <c r="EH11" s="3"/>
      <c r="EI11" s="3"/>
      <c r="EJ11" s="3"/>
      <c r="EK11" s="3"/>
      <c r="EL11" s="3"/>
      <c r="ET11" s="30">
        <v>43.8</v>
      </c>
    </row>
    <row r="12" spans="1:180" ht="17" hidden="1" x14ac:dyDescent="0.2">
      <c r="A12" s="4"/>
      <c r="B12" s="18" t="s">
        <v>25</v>
      </c>
      <c r="C12" s="16"/>
      <c r="P12" s="9"/>
      <c r="Q12" s="9"/>
      <c r="R12" s="9"/>
      <c r="AV12" s="31">
        <v>1000</v>
      </c>
      <c r="BZ12" s="31">
        <v>1000</v>
      </c>
      <c r="CW12" s="3"/>
      <c r="CX12" s="3"/>
      <c r="CY12" s="3"/>
      <c r="CZ12" s="3"/>
      <c r="DA12" s="3"/>
      <c r="DK12" s="31">
        <v>1000</v>
      </c>
      <c r="EF12" s="3"/>
      <c r="EG12" s="3"/>
      <c r="EH12" s="3"/>
      <c r="EI12" s="3"/>
      <c r="EJ12" s="3"/>
      <c r="EK12" s="3"/>
      <c r="EL12" s="3"/>
      <c r="ET12" s="31">
        <v>1000</v>
      </c>
    </row>
    <row r="13" spans="1:180" ht="17" hidden="1" x14ac:dyDescent="0.2">
      <c r="A13" s="4"/>
      <c r="B13" s="24" t="s">
        <v>93</v>
      </c>
      <c r="C13" s="16"/>
      <c r="P13" s="9"/>
      <c r="Q13" s="9"/>
      <c r="R13" s="9"/>
      <c r="AV13" s="32">
        <v>1000</v>
      </c>
      <c r="BZ13" s="32">
        <v>1000</v>
      </c>
      <c r="CW13" s="3"/>
      <c r="CX13" s="3"/>
      <c r="CY13" s="3"/>
      <c r="CZ13" s="3"/>
      <c r="DA13" s="3"/>
      <c r="DK13" s="32">
        <v>1000</v>
      </c>
      <c r="EF13" s="3"/>
      <c r="EG13" s="3"/>
      <c r="EH13" s="3"/>
      <c r="EI13" s="3"/>
      <c r="EJ13" s="3"/>
      <c r="EK13" s="3"/>
      <c r="EL13" s="3"/>
      <c r="ET13" s="32">
        <v>1000</v>
      </c>
    </row>
    <row r="14" spans="1:180" x14ac:dyDescent="0.2">
      <c r="B14" s="21" t="s">
        <v>30</v>
      </c>
      <c r="C14" s="1"/>
    </row>
    <row r="15" spans="1:180" x14ac:dyDescent="0.2">
      <c r="A15" s="4"/>
      <c r="B15" s="4"/>
      <c r="C15" s="16"/>
    </row>
    <row r="16" spans="1:180" x14ac:dyDescent="0.2">
      <c r="A16" s="4"/>
      <c r="B16" s="4"/>
      <c r="C16" s="16"/>
    </row>
    <row r="17" spans="1:3" x14ac:dyDescent="0.2">
      <c r="A17" s="4"/>
      <c r="B17" s="4"/>
      <c r="C17" s="16"/>
    </row>
    <row r="18" spans="1:3" x14ac:dyDescent="0.2">
      <c r="A18" s="4"/>
      <c r="B18" s="4"/>
      <c r="C18" s="4"/>
    </row>
    <row r="21" spans="1:3" x14ac:dyDescent="0.2">
      <c r="B21" s="41"/>
    </row>
  </sheetData>
  <sheetProtection sheet="1" formatCells="0" formatColumns="0" formatRows="0"/>
  <autoFilter ref="A1:FP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hiddenButton="1" showButton="0"/>
    <filterColumn colId="36" hiddenButton="1" showButton="0"/>
    <filterColumn colId="37" hiddenButton="1" showButton="0"/>
    <filterColumn colId="38" hiddenButton="1" showButton="0"/>
    <filterColumn colId="39" showButton="0"/>
    <filterColumn colId="40" showButton="0"/>
    <filterColumn colId="41" hiddenButton="1" showButton="0"/>
    <filterColumn colId="42" hiddenButton="1" showButton="0"/>
    <filterColumn colId="43" hiddenButton="1" showButton="0"/>
    <filterColumn colId="44" hiddenButton="1" showButton="0"/>
    <filterColumn colId="45" showButton="0"/>
    <filterColumn colId="46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hiddenButton="1" showButton="0"/>
    <filterColumn colId="66" hiddenButton="1" showButton="0"/>
    <filterColumn colId="67" hiddenButton="1" showButton="0"/>
    <filterColumn colId="68" hiddenButton="1" showButton="0"/>
    <filterColumn colId="69" showButton="0"/>
    <filterColumn colId="70" showButton="0"/>
    <filterColumn colId="71" hiddenButton="1" showButton="0"/>
    <filterColumn colId="72" hiddenButton="1" showButton="0"/>
    <filterColumn colId="73" hiddenButton="1" showButton="0"/>
    <filterColumn colId="74" hiddenButton="1" showButton="0"/>
    <filterColumn colId="75" showButton="0"/>
    <filterColumn colId="76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hiddenButton="1" showButton="0"/>
    <filterColumn colId="102" hiddenButton="1" showButton="0"/>
    <filterColumn colId="103" hiddenButton="1" showButton="0"/>
    <filterColumn colId="104" hiddenButton="1" showButton="0"/>
    <filterColumn colId="105" showButton="0"/>
    <filterColumn colId="106" showButton="0"/>
    <filterColumn colId="107" showButton="0"/>
    <filterColumn colId="108" hiddenButton="1" showButton="0"/>
    <filterColumn colId="109" hiddenButton="1" showButton="0"/>
    <filterColumn colId="110" showButton="0"/>
    <filterColumn colId="111" showButton="0"/>
    <filterColumn colId="112" hiddenButton="1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hiddenButton="1" showButton="0"/>
    <filterColumn colId="137" hiddenButton="1" showButton="0"/>
    <filterColumn colId="138" hiddenButton="1" showButton="0"/>
    <filterColumn colId="139" hiddenButton="1" showButton="0"/>
    <filterColumn colId="140" hiddenButton="1" showButton="0"/>
    <filterColumn colId="141" hiddenButton="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hiddenButton="1" showButton="0"/>
    <filterColumn colId="148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sortState xmlns:xlrd2="http://schemas.microsoft.com/office/spreadsheetml/2017/richdata2" ref="A5:FP6">
      <sortCondition descending="1" ref="F1:F6"/>
    </sortState>
  </autoFilter>
  <mergeCells count="46">
    <mergeCell ref="FC2:FF2"/>
    <mergeCell ref="FG2:FJ2"/>
    <mergeCell ref="CS2:CV2"/>
    <mergeCell ref="DL2:DO2"/>
    <mergeCell ref="DP2:DS2"/>
    <mergeCell ref="DT2:DW2"/>
    <mergeCell ref="DX2:EA2"/>
    <mergeCell ref="EB2:EE2"/>
    <mergeCell ref="CC2:CF2"/>
    <mergeCell ref="CG2:CJ2"/>
    <mergeCell ref="CK2:CN2"/>
    <mergeCell ref="EU2:EX2"/>
    <mergeCell ref="EY2:FB2"/>
    <mergeCell ref="AE2:AH2"/>
    <mergeCell ref="AW2:AZ2"/>
    <mergeCell ref="BA2:BD2"/>
    <mergeCell ref="BE2:BH2"/>
    <mergeCell ref="BI2:BL2"/>
    <mergeCell ref="EU1:FP1"/>
    <mergeCell ref="M1:M3"/>
    <mergeCell ref="N1:N3"/>
    <mergeCell ref="O1:O3"/>
    <mergeCell ref="P1:P3"/>
    <mergeCell ref="Q1:Q3"/>
    <mergeCell ref="R1:R3"/>
    <mergeCell ref="S1:AV1"/>
    <mergeCell ref="AW1:BZ1"/>
    <mergeCell ref="CA1:CB1"/>
    <mergeCell ref="CC1:DK1"/>
    <mergeCell ref="DL1:ET1"/>
    <mergeCell ref="CO2:CR2"/>
    <mergeCell ref="S2:V2"/>
    <mergeCell ref="W2:Z2"/>
    <mergeCell ref="AA2:AD2"/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</mergeCells>
  <conditionalFormatting sqref="A4:A1048576">
    <cfRule type="expression" dxfId="85" priority="44">
      <formula>IF(A4&gt;4,1,0)</formula>
    </cfRule>
    <cfRule type="expression" dxfId="84" priority="45" stopIfTrue="1">
      <formula>AND(G4="P",F4="")</formula>
    </cfRule>
  </conditionalFormatting>
  <conditionalFormatting sqref="H1:H1048576">
    <cfRule type="containsText" dxfId="83" priority="40" stopIfTrue="1" operator="containsText" text="National Team">
      <formula>NOT(ISERROR(SEARCH("National Team",H1)))</formula>
    </cfRule>
    <cfRule type="containsText" dxfId="82" priority="41" stopIfTrue="1" operator="containsText" text="Worlds Team">
      <formula>NOT(ISERROR(SEARCH("Worlds Team",H1)))</formula>
    </cfRule>
    <cfRule type="containsText" dxfId="81" priority="42" operator="containsText" text="Performance">
      <formula>NOT(ISERROR(SEARCH("Performance",H1)))</formula>
    </cfRule>
    <cfRule type="containsText" dxfId="80" priority="43" stopIfTrue="1" operator="containsText" text="No DD">
      <formula>NOT(ISERROR(SEARCH("No DD",H1)))</formula>
    </cfRule>
  </conditionalFormatting>
  <conditionalFormatting sqref="S4:AV5">
    <cfRule type="expression" dxfId="79" priority="39" stopIfTrue="1">
      <formula>IF($AI4&lt;&gt;"",1,0)</formula>
    </cfRule>
  </conditionalFormatting>
  <conditionalFormatting sqref="AW4:BZ5">
    <cfRule type="expression" dxfId="78" priority="38" stopIfTrue="1">
      <formula>IF($BM4&lt;&gt;"",1,0)</formula>
    </cfRule>
  </conditionalFormatting>
  <conditionalFormatting sqref="M1:M1048576 O1:O1048576 K1:K1048576">
    <cfRule type="expression" dxfId="77" priority="36" stopIfTrue="1">
      <formula>IF(K1=$AW$1,1,0)</formula>
    </cfRule>
    <cfRule type="expression" dxfId="76" priority="37" stopIfTrue="1">
      <formula>IF(K1=$S$1,1,0)</formula>
    </cfRule>
  </conditionalFormatting>
  <conditionalFormatting sqref="AJ1:AJ1048576 BN1:BN1048576 CY1:CY1048576 EH1:EH1048576">
    <cfRule type="cellIs" dxfId="75" priority="178229" stopIfTrue="1" operator="between">
      <formula>AV$10-0.00001</formula>
      <formula>1000</formula>
    </cfRule>
  </conditionalFormatting>
  <conditionalFormatting sqref="AN1:AN1048576 BR1:BR1048576">
    <cfRule type="cellIs" dxfId="74" priority="178241" operator="between">
      <formula>AV$8-0.00001</formula>
      <formula>AV$9-0.00001</formula>
    </cfRule>
    <cfRule type="cellIs" dxfId="73" priority="178242" operator="between">
      <formula>AV$9-0.00001</formula>
      <formula>1000</formula>
    </cfRule>
  </conditionalFormatting>
  <conditionalFormatting sqref="AT1:AT1048576 BX1:BX1048576">
    <cfRule type="cellIs" dxfId="72" priority="178253" operator="between">
      <formula>AV$9-0.00001</formula>
      <formula>1000</formula>
    </cfRule>
    <cfRule type="cellIs" dxfId="71" priority="178254" stopIfTrue="1" operator="between">
      <formula>AV$8-0.00001</formula>
      <formula>AV$9-0.00001</formula>
    </cfRule>
  </conditionalFormatting>
  <conditionalFormatting sqref="AL1:AL1048576 BP1:BP1048576">
    <cfRule type="cellIs" dxfId="70" priority="178265" operator="between">
      <formula>AV$10-0.00001</formula>
      <formula>1000</formula>
    </cfRule>
  </conditionalFormatting>
  <conditionalFormatting sqref="AP1:AP1048576 BT1:BT1048576 DE1:DE1048576 EN1:EN1048576">
    <cfRule type="cellIs" dxfId="69" priority="178271" operator="between">
      <formula>AV$10-0.00001</formula>
      <formula>1000</formula>
    </cfRule>
  </conditionalFormatting>
  <conditionalFormatting sqref="AR1:AR1048576 BV1:BV1048576">
    <cfRule type="cellIs" dxfId="68" priority="178283" operator="between">
      <formula>AV$10-0.00001</formula>
      <formula>1000</formula>
    </cfRule>
  </conditionalFormatting>
  <conditionalFormatting sqref="AK1:AK1048576 BO1:BO1048576">
    <cfRule type="cellIs" dxfId="67" priority="178289" operator="between">
      <formula>AV$13-0.00001</formula>
      <formula>1000</formula>
    </cfRule>
  </conditionalFormatting>
  <conditionalFormatting sqref="AO1:AO1048576 BS1:BS1048576">
    <cfRule type="cellIs" dxfId="66" priority="178295" operator="between">
      <formula>AV$11-0.00001</formula>
      <formula>AV$12-0.00001</formula>
    </cfRule>
    <cfRule type="cellIs" dxfId="65" priority="178296" operator="between">
      <formula>AV$12-0.00001</formula>
      <formula>1000</formula>
    </cfRule>
  </conditionalFormatting>
  <conditionalFormatting sqref="AU1:AU1048576 BY1:BY1048576">
    <cfRule type="cellIs" dxfId="64" priority="178307" stopIfTrue="1" operator="between">
      <formula>AV$12-0.00001</formula>
      <formula>1000</formula>
    </cfRule>
    <cfRule type="cellIs" dxfId="63" priority="178308" operator="between">
      <formula>AV$11-0.00001</formula>
      <formula>AV$12-0.00001</formula>
    </cfRule>
  </conditionalFormatting>
  <conditionalFormatting sqref="AM1:AM1048576 BQ1:BQ1048576">
    <cfRule type="cellIs" dxfId="62" priority="178319" stopIfTrue="1" operator="between">
      <formula>AV$13-0.00001</formula>
      <formula>1000</formula>
    </cfRule>
    <cfRule type="cellIs" dxfId="61" priority="178320" operator="between">
      <formula>AT$13-0.00001</formula>
      <formula>#REF!-0.00001</formula>
    </cfRule>
  </conditionalFormatting>
  <conditionalFormatting sqref="AQ1:AQ1048576 BU1:BU1048576">
    <cfRule type="cellIs" dxfId="60" priority="178331" stopIfTrue="1" operator="between">
      <formula>AV$13-0.00001</formula>
      <formula>1000</formula>
    </cfRule>
  </conditionalFormatting>
  <conditionalFormatting sqref="AS1:AS1048576 BW1:BW1048576">
    <cfRule type="cellIs" dxfId="59" priority="178337" stopIfTrue="1" operator="between">
      <formula>AV$13-0.00001</formula>
      <formula>1000</formula>
    </cfRule>
  </conditionalFormatting>
  <conditionalFormatting sqref="CW1:CW1048576 EF1:EF1048576">
    <cfRule type="cellIs" dxfId="58" priority="178343" operator="between">
      <formula>DK$10-0.00001</formula>
      <formula>1000</formula>
    </cfRule>
  </conditionalFormatting>
  <conditionalFormatting sqref="CX1:CX1048576 EG1:EG1048576">
    <cfRule type="cellIs" dxfId="57" priority="178349" operator="between">
      <formula>DK$13-0.00001</formula>
      <formula>1000</formula>
    </cfRule>
  </conditionalFormatting>
  <conditionalFormatting sqref="DA1:DA1048576 EJ1:EJ1048576">
    <cfRule type="cellIs" dxfId="56" priority="178355" stopIfTrue="1" operator="between">
      <formula>DK$8-0.00001</formula>
      <formula>DK$9-0.00001</formula>
    </cfRule>
    <cfRule type="cellIs" dxfId="55" priority="178356" operator="between">
      <formula>DK$9-0.00001</formula>
      <formula>1000</formula>
    </cfRule>
  </conditionalFormatting>
  <conditionalFormatting sqref="DB1:DB1048576 EK1:EK1048576">
    <cfRule type="cellIs" dxfId="54" priority="178367" operator="between">
      <formula>DK$11-0.00001</formula>
      <formula>DK$12-0.00001</formula>
    </cfRule>
    <cfRule type="cellIs" dxfId="53" priority="178368" stopIfTrue="1" operator="between">
      <formula>DK$12-0.00001</formula>
      <formula>1000</formula>
    </cfRule>
  </conditionalFormatting>
  <conditionalFormatting sqref="DC1:DC1048576 EL1:EL1048576">
    <cfRule type="cellIs" dxfId="52" priority="178379" operator="between">
      <formula>DK$10-0.00001</formula>
      <formula>1000</formula>
    </cfRule>
  </conditionalFormatting>
  <conditionalFormatting sqref="DG1:DG1048576 EP1:EP1048576">
    <cfRule type="cellIs" dxfId="51" priority="178385" stopIfTrue="1" operator="between">
      <formula>DK$10-0.00001</formula>
      <formula>1000</formula>
    </cfRule>
  </conditionalFormatting>
  <conditionalFormatting sqref="CZ1:CZ1048576 EI1:EI1048576">
    <cfRule type="cellIs" dxfId="50" priority="178391" stopIfTrue="1" operator="between">
      <formula>DK$13-0.00001</formula>
      <formula>1000</formula>
    </cfRule>
  </conditionalFormatting>
  <conditionalFormatting sqref="DD1:DD1048576 EM1:EM1048576">
    <cfRule type="cellIs" dxfId="49" priority="178397" operator="between">
      <formula>DK$13-0.00001</formula>
      <formula>1000</formula>
    </cfRule>
  </conditionalFormatting>
  <conditionalFormatting sqref="DF1:DF1048576 EO1:EO1048576">
    <cfRule type="cellIs" dxfId="48" priority="178403" operator="between">
      <formula>DK$13-0.00001</formula>
      <formula>1000</formula>
    </cfRule>
  </conditionalFormatting>
  <conditionalFormatting sqref="DH1:DH1048576 EQ1:EQ1048576">
    <cfRule type="cellIs" dxfId="47" priority="178409" operator="between">
      <formula>DK$13-0.00001</formula>
      <formula>1000</formula>
    </cfRule>
  </conditionalFormatting>
  <conditionalFormatting sqref="DI1:DI1048576 ER1:ER1048576">
    <cfRule type="cellIs" dxfId="46" priority="178415" operator="between">
      <formula>DK$9-0.00001</formula>
      <formula>1000</formula>
    </cfRule>
    <cfRule type="cellIs" dxfId="45" priority="178416" operator="between">
      <formula>DK$8-0.00001</formula>
      <formula>DK$9-0.00001</formula>
    </cfRule>
  </conditionalFormatting>
  <conditionalFormatting sqref="DJ1:DJ1048576 ES1:ES1048576">
    <cfRule type="cellIs" dxfId="44" priority="178427" operator="between">
      <formula>DK$11-0.00001</formula>
      <formula>DK$12-0.00001</formula>
    </cfRule>
    <cfRule type="cellIs" dxfId="43" priority="178428" operator="between">
      <formula>DK$12-0.00001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C56D5-C416-3A46-A67D-701D3D54EDA4}">
  <sheetPr codeName="Sheet24"/>
  <dimension ref="A1:FX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26" bestFit="1" customWidth="1"/>
    <col min="9" max="9" width="15.33203125" hidden="1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5" width="10.83203125" hidden="1" customWidth="1"/>
    <col min="36" max="39" width="10.83203125" customWidth="1"/>
    <col min="40" max="48" width="10.83203125" style="26" customWidth="1"/>
    <col min="49" max="65" width="10.83203125" hidden="1" customWidth="1"/>
    <col min="66" max="69" width="10.83203125" customWidth="1"/>
    <col min="70" max="80" width="10.83203125" style="26" customWidth="1"/>
    <col min="81" max="100" width="10.83203125" hidden="1" customWidth="1"/>
    <col min="101" max="115" width="10.83203125" style="26" customWidth="1"/>
    <col min="116" max="135" width="10.83203125" hidden="1" customWidth="1"/>
    <col min="136" max="150" width="10.83203125" style="26" hidden="1" customWidth="1"/>
    <col min="151" max="180" width="10.83203125" hidden="1" customWidth="1"/>
    <col min="181" max="182" width="10.83203125" customWidth="1"/>
  </cols>
  <sheetData>
    <row r="1" spans="1:180" ht="16" customHeight="1" x14ac:dyDescent="0.2">
      <c r="A1" s="47" t="s">
        <v>1</v>
      </c>
      <c r="B1" s="47" t="s">
        <v>14</v>
      </c>
      <c r="C1" s="47" t="s">
        <v>0</v>
      </c>
      <c r="D1" s="47" t="s">
        <v>31</v>
      </c>
      <c r="E1" s="47" t="s">
        <v>2</v>
      </c>
      <c r="F1" s="48" t="s">
        <v>64</v>
      </c>
      <c r="G1" s="48" t="s">
        <v>8</v>
      </c>
      <c r="H1" s="47" t="s">
        <v>9</v>
      </c>
      <c r="I1" s="48" t="s">
        <v>38</v>
      </c>
      <c r="J1" s="46" t="s">
        <v>65</v>
      </c>
      <c r="K1" s="49" t="s">
        <v>16</v>
      </c>
      <c r="L1" s="46" t="s">
        <v>79</v>
      </c>
      <c r="M1" s="49" t="s">
        <v>16</v>
      </c>
      <c r="N1" s="46" t="s">
        <v>80</v>
      </c>
      <c r="O1" s="49" t="s">
        <v>16</v>
      </c>
      <c r="P1" s="51" t="s">
        <v>10</v>
      </c>
      <c r="Q1" s="49" t="s">
        <v>17</v>
      </c>
      <c r="R1" s="49" t="s">
        <v>16</v>
      </c>
      <c r="S1" s="56" t="s">
        <v>41</v>
      </c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0" t="s">
        <v>42</v>
      </c>
      <c r="AX1" s="50"/>
      <c r="AY1" s="50"/>
      <c r="AZ1" s="50"/>
      <c r="BA1" s="50"/>
      <c r="BB1" s="50"/>
      <c r="BC1" s="50"/>
      <c r="BD1" s="50"/>
      <c r="BE1" s="50"/>
      <c r="BF1" s="50"/>
      <c r="BG1" s="50"/>
      <c r="BH1" s="50"/>
      <c r="BI1" s="50"/>
      <c r="BJ1" s="50"/>
      <c r="BK1" s="50"/>
      <c r="BL1" s="50"/>
      <c r="BM1" s="50"/>
      <c r="BN1" s="50"/>
      <c r="BO1" s="50"/>
      <c r="BP1" s="50"/>
      <c r="BQ1" s="50"/>
      <c r="BR1" s="50"/>
      <c r="BS1" s="50"/>
      <c r="BT1" s="50"/>
      <c r="BU1" s="50"/>
      <c r="BV1" s="50"/>
      <c r="BW1" s="50"/>
      <c r="BX1" s="50"/>
      <c r="BY1" s="50"/>
      <c r="BZ1" s="50"/>
      <c r="CA1" s="57" t="s">
        <v>66</v>
      </c>
      <c r="CB1" s="57"/>
      <c r="CC1" s="56" t="s">
        <v>44</v>
      </c>
      <c r="CD1" s="56"/>
      <c r="CE1" s="56"/>
      <c r="CF1" s="56"/>
      <c r="CG1" s="56"/>
      <c r="CH1" s="56"/>
      <c r="CI1" s="56"/>
      <c r="CJ1" s="56"/>
      <c r="CK1" s="56"/>
      <c r="CL1" s="56"/>
      <c r="CM1" s="56"/>
      <c r="CN1" s="56"/>
      <c r="CO1" s="56"/>
      <c r="CP1" s="56"/>
      <c r="CQ1" s="56"/>
      <c r="CR1" s="56"/>
      <c r="CS1" s="56"/>
      <c r="CT1" s="56"/>
      <c r="CU1" s="56"/>
      <c r="CV1" s="56"/>
      <c r="CW1" s="56"/>
      <c r="CX1" s="56"/>
      <c r="CY1" s="56"/>
      <c r="CZ1" s="56"/>
      <c r="DA1" s="56"/>
      <c r="DB1" s="56"/>
      <c r="DC1" s="56"/>
      <c r="DD1" s="56"/>
      <c r="DE1" s="56"/>
      <c r="DF1" s="56"/>
      <c r="DG1" s="56"/>
      <c r="DH1" s="56"/>
      <c r="DI1" s="56"/>
      <c r="DJ1" s="56"/>
      <c r="DK1" s="56"/>
      <c r="DL1" s="50"/>
      <c r="DM1" s="50"/>
      <c r="DN1" s="50"/>
      <c r="DO1" s="50"/>
      <c r="DP1" s="50"/>
      <c r="DQ1" s="50"/>
      <c r="DR1" s="50"/>
      <c r="DS1" s="50"/>
      <c r="DT1" s="50"/>
      <c r="DU1" s="50"/>
      <c r="DV1" s="50"/>
      <c r="DW1" s="50"/>
      <c r="DX1" s="50"/>
      <c r="DY1" s="50"/>
      <c r="DZ1" s="50"/>
      <c r="EA1" s="50"/>
      <c r="EB1" s="50"/>
      <c r="EC1" s="50"/>
      <c r="ED1" s="50"/>
      <c r="EE1" s="50"/>
      <c r="EF1" s="50"/>
      <c r="EG1" s="50"/>
      <c r="EH1" s="50"/>
      <c r="EI1" s="50"/>
      <c r="EJ1" s="50"/>
      <c r="EK1" s="50"/>
      <c r="EL1" s="50"/>
      <c r="EM1" s="50"/>
      <c r="EN1" s="50"/>
      <c r="EO1" s="50"/>
      <c r="EP1" s="50"/>
      <c r="EQ1" s="50"/>
      <c r="ER1" s="50"/>
      <c r="ES1" s="50"/>
      <c r="ET1" s="50"/>
      <c r="EU1" s="50" t="s">
        <v>67</v>
      </c>
      <c r="EV1" s="50"/>
      <c r="EW1" s="50"/>
      <c r="EX1" s="50"/>
      <c r="EY1" s="50"/>
      <c r="EZ1" s="50"/>
      <c r="FA1" s="50"/>
      <c r="FB1" s="50"/>
      <c r="FC1" s="50"/>
      <c r="FD1" s="50"/>
      <c r="FE1" s="50"/>
      <c r="FF1" s="50"/>
      <c r="FG1" s="50"/>
      <c r="FH1" s="50"/>
      <c r="FI1" s="50"/>
      <c r="FJ1" s="50"/>
      <c r="FK1" s="50"/>
      <c r="FL1" s="50"/>
      <c r="FM1" s="50"/>
      <c r="FN1" s="50"/>
      <c r="FO1" s="50"/>
      <c r="FP1" s="50"/>
      <c r="FQ1" s="12"/>
      <c r="FR1" s="12"/>
      <c r="FS1" s="12"/>
      <c r="FT1" s="12"/>
      <c r="FU1" s="12"/>
      <c r="FV1" s="12"/>
      <c r="FW1" s="12"/>
      <c r="FX1" s="12"/>
    </row>
    <row r="2" spans="1:180" x14ac:dyDescent="0.2">
      <c r="A2" s="47"/>
      <c r="B2" s="47"/>
      <c r="C2" s="47"/>
      <c r="D2" s="47"/>
      <c r="E2" s="47"/>
      <c r="F2" s="48"/>
      <c r="G2" s="48"/>
      <c r="H2" s="47"/>
      <c r="I2" s="48"/>
      <c r="J2" s="46"/>
      <c r="K2" s="49"/>
      <c r="L2" s="46"/>
      <c r="M2" s="49"/>
      <c r="N2" s="49"/>
      <c r="O2" s="49"/>
      <c r="P2" s="51"/>
      <c r="Q2" s="49"/>
      <c r="R2" s="49"/>
      <c r="S2" s="53" t="s">
        <v>68</v>
      </c>
      <c r="T2" s="53"/>
      <c r="U2" s="53"/>
      <c r="V2" s="53"/>
      <c r="W2" s="53" t="s">
        <v>69</v>
      </c>
      <c r="X2" s="53"/>
      <c r="Y2" s="53"/>
      <c r="Z2" s="53"/>
      <c r="AA2" s="53" t="s">
        <v>70</v>
      </c>
      <c r="AB2" s="53"/>
      <c r="AC2" s="53"/>
      <c r="AD2" s="53"/>
      <c r="AE2" s="54" t="s">
        <v>71</v>
      </c>
      <c r="AF2" s="54"/>
      <c r="AG2" s="54"/>
      <c r="AH2" s="54"/>
      <c r="AI2" s="13"/>
      <c r="AJ2" s="13" t="s">
        <v>85</v>
      </c>
      <c r="AK2" s="13" t="s">
        <v>81</v>
      </c>
      <c r="AL2" s="13" t="s">
        <v>86</v>
      </c>
      <c r="AM2" s="13" t="s">
        <v>82</v>
      </c>
      <c r="AN2" s="13" t="s">
        <v>72</v>
      </c>
      <c r="AO2" s="13" t="s">
        <v>13</v>
      </c>
      <c r="AP2" s="13" t="s">
        <v>87</v>
      </c>
      <c r="AQ2" s="13" t="s">
        <v>83</v>
      </c>
      <c r="AR2" s="13" t="s">
        <v>88</v>
      </c>
      <c r="AS2" s="13" t="s">
        <v>84</v>
      </c>
      <c r="AT2" s="13" t="s">
        <v>73</v>
      </c>
      <c r="AU2" s="13" t="s">
        <v>74</v>
      </c>
      <c r="AV2" s="13" t="s">
        <v>12</v>
      </c>
      <c r="AW2" s="52" t="s">
        <v>68</v>
      </c>
      <c r="AX2" s="52"/>
      <c r="AY2" s="52"/>
      <c r="AZ2" s="52"/>
      <c r="BA2" s="52" t="s">
        <v>69</v>
      </c>
      <c r="BB2" s="52"/>
      <c r="BC2" s="52"/>
      <c r="BD2" s="52"/>
      <c r="BE2" s="52" t="s">
        <v>70</v>
      </c>
      <c r="BF2" s="52"/>
      <c r="BG2" s="52"/>
      <c r="BH2" s="52"/>
      <c r="BI2" s="55" t="s">
        <v>71</v>
      </c>
      <c r="BJ2" s="55"/>
      <c r="BK2" s="55"/>
      <c r="BL2" s="55"/>
      <c r="BM2" s="12"/>
      <c r="BN2" s="12" t="s">
        <v>85</v>
      </c>
      <c r="BO2" s="12" t="s">
        <v>81</v>
      </c>
      <c r="BP2" s="12" t="s">
        <v>86</v>
      </c>
      <c r="BQ2" s="12" t="s">
        <v>82</v>
      </c>
      <c r="BR2" s="12" t="s">
        <v>72</v>
      </c>
      <c r="BS2" s="12" t="s">
        <v>13</v>
      </c>
      <c r="BT2" s="12" t="s">
        <v>87</v>
      </c>
      <c r="BU2" s="12" t="s">
        <v>83</v>
      </c>
      <c r="BV2" s="12" t="s">
        <v>88</v>
      </c>
      <c r="BW2" s="12" t="s">
        <v>84</v>
      </c>
      <c r="BX2" s="12" t="s">
        <v>73</v>
      </c>
      <c r="BY2" s="12" t="s">
        <v>74</v>
      </c>
      <c r="BZ2" s="12" t="s">
        <v>12</v>
      </c>
      <c r="CA2" s="33" t="s">
        <v>75</v>
      </c>
      <c r="CB2" s="33" t="s">
        <v>89</v>
      </c>
      <c r="CC2" s="53" t="s">
        <v>68</v>
      </c>
      <c r="CD2" s="53"/>
      <c r="CE2" s="53"/>
      <c r="CF2" s="53"/>
      <c r="CG2" s="53" t="s">
        <v>69</v>
      </c>
      <c r="CH2" s="53"/>
      <c r="CI2" s="53"/>
      <c r="CJ2" s="53"/>
      <c r="CK2" s="53" t="s">
        <v>76</v>
      </c>
      <c r="CL2" s="53"/>
      <c r="CM2" s="53"/>
      <c r="CN2" s="53"/>
      <c r="CO2" s="53" t="s">
        <v>70</v>
      </c>
      <c r="CP2" s="53"/>
      <c r="CQ2" s="53"/>
      <c r="CR2" s="53"/>
      <c r="CS2" s="58" t="s">
        <v>71</v>
      </c>
      <c r="CT2" s="58"/>
      <c r="CU2" s="58"/>
      <c r="CV2" s="58"/>
      <c r="CW2" s="13" t="s">
        <v>85</v>
      </c>
      <c r="CX2" s="13" t="s">
        <v>81</v>
      </c>
      <c r="CY2" s="13" t="s">
        <v>86</v>
      </c>
      <c r="CZ2" s="13" t="s">
        <v>82</v>
      </c>
      <c r="DA2" s="13" t="s">
        <v>77</v>
      </c>
      <c r="DB2" s="13" t="s">
        <v>75</v>
      </c>
      <c r="DC2" s="13" t="s">
        <v>90</v>
      </c>
      <c r="DD2" s="13" t="s">
        <v>76</v>
      </c>
      <c r="DE2" s="13" t="s">
        <v>91</v>
      </c>
      <c r="DF2" s="13" t="s">
        <v>70</v>
      </c>
      <c r="DG2" s="13" t="s">
        <v>92</v>
      </c>
      <c r="DH2" s="13" t="s">
        <v>71</v>
      </c>
      <c r="DI2" s="13" t="s">
        <v>73</v>
      </c>
      <c r="DJ2" s="13" t="s">
        <v>74</v>
      </c>
      <c r="DK2" s="13" t="s">
        <v>12</v>
      </c>
      <c r="DL2" s="52" t="s">
        <v>68</v>
      </c>
      <c r="DM2" s="52"/>
      <c r="DN2" s="52"/>
      <c r="DO2" s="52"/>
      <c r="DP2" s="52" t="s">
        <v>69</v>
      </c>
      <c r="DQ2" s="52"/>
      <c r="DR2" s="52"/>
      <c r="DS2" s="52"/>
      <c r="DT2" s="52" t="s">
        <v>76</v>
      </c>
      <c r="DU2" s="52"/>
      <c r="DV2" s="52"/>
      <c r="DW2" s="52"/>
      <c r="DX2" s="52" t="s">
        <v>70</v>
      </c>
      <c r="DY2" s="52"/>
      <c r="DZ2" s="52"/>
      <c r="EA2" s="52"/>
      <c r="EB2" s="55" t="s">
        <v>71</v>
      </c>
      <c r="EC2" s="55"/>
      <c r="ED2" s="55"/>
      <c r="EE2" s="55"/>
      <c r="EF2" s="12" t="s">
        <v>85</v>
      </c>
      <c r="EG2" s="12" t="s">
        <v>81</v>
      </c>
      <c r="EH2" s="12" t="s">
        <v>86</v>
      </c>
      <c r="EI2" s="12" t="s">
        <v>82</v>
      </c>
      <c r="EJ2" s="12" t="s">
        <v>77</v>
      </c>
      <c r="EK2" s="12" t="s">
        <v>75</v>
      </c>
      <c r="EL2" s="12" t="s">
        <v>90</v>
      </c>
      <c r="EM2" s="12" t="s">
        <v>76</v>
      </c>
      <c r="EN2" s="12" t="s">
        <v>91</v>
      </c>
      <c r="EO2" s="12" t="s">
        <v>70</v>
      </c>
      <c r="EP2" s="12" t="s">
        <v>92</v>
      </c>
      <c r="EQ2" s="12" t="s">
        <v>71</v>
      </c>
      <c r="ER2" s="12" t="s">
        <v>73</v>
      </c>
      <c r="ES2" s="12" t="s">
        <v>74</v>
      </c>
      <c r="ET2" s="12" t="s">
        <v>12</v>
      </c>
      <c r="EU2" s="52" t="s">
        <v>68</v>
      </c>
      <c r="EV2" s="52"/>
      <c r="EW2" s="52"/>
      <c r="EX2" s="52"/>
      <c r="EY2" s="52" t="s">
        <v>69</v>
      </c>
      <c r="EZ2" s="52"/>
      <c r="FA2" s="52"/>
      <c r="FB2" s="52"/>
      <c r="FC2" s="52" t="s">
        <v>70</v>
      </c>
      <c r="FD2" s="52"/>
      <c r="FE2" s="52"/>
      <c r="FF2" s="52"/>
      <c r="FG2" s="59" t="s">
        <v>71</v>
      </c>
      <c r="FH2" s="59"/>
      <c r="FI2" s="59"/>
      <c r="FJ2" s="59"/>
      <c r="FK2" s="12"/>
      <c r="FL2" s="12" t="s">
        <v>85</v>
      </c>
      <c r="FM2" s="12" t="s">
        <v>81</v>
      </c>
      <c r="FN2" s="12" t="s">
        <v>86</v>
      </c>
      <c r="FO2" s="12" t="s">
        <v>82</v>
      </c>
      <c r="FP2" s="12" t="s">
        <v>72</v>
      </c>
      <c r="FQ2" s="12" t="s">
        <v>13</v>
      </c>
      <c r="FR2" s="12" t="s">
        <v>87</v>
      </c>
      <c r="FS2" s="12" t="s">
        <v>83</v>
      </c>
      <c r="FT2" s="12" t="s">
        <v>88</v>
      </c>
      <c r="FU2" s="12" t="s">
        <v>84</v>
      </c>
      <c r="FV2" s="12" t="s">
        <v>73</v>
      </c>
      <c r="FW2" s="12" t="s">
        <v>74</v>
      </c>
      <c r="FX2" s="12" t="s">
        <v>12</v>
      </c>
    </row>
    <row r="3" spans="1:180" x14ac:dyDescent="0.2">
      <c r="A3" s="47"/>
      <c r="B3" s="47"/>
      <c r="C3" s="47"/>
      <c r="D3" s="47"/>
      <c r="E3" s="47"/>
      <c r="F3" s="48"/>
      <c r="G3" s="48"/>
      <c r="H3" s="47"/>
      <c r="I3" s="48"/>
      <c r="J3" s="46"/>
      <c r="K3" s="49"/>
      <c r="L3" s="46"/>
      <c r="M3" s="49"/>
      <c r="N3" s="49"/>
      <c r="O3" s="49"/>
      <c r="P3" s="51"/>
      <c r="Q3" s="49"/>
      <c r="R3" s="49"/>
      <c r="S3" s="13" t="s">
        <v>11</v>
      </c>
      <c r="T3" s="13" t="s">
        <v>7</v>
      </c>
      <c r="U3" s="13" t="s">
        <v>15</v>
      </c>
      <c r="V3" s="13" t="s">
        <v>78</v>
      </c>
      <c r="W3" s="13" t="s">
        <v>11</v>
      </c>
      <c r="X3" s="13" t="s">
        <v>7</v>
      </c>
      <c r="Y3" s="13" t="s">
        <v>15</v>
      </c>
      <c r="Z3" s="13" t="s">
        <v>78</v>
      </c>
      <c r="AA3" s="13" t="s">
        <v>11</v>
      </c>
      <c r="AB3" s="13" t="s">
        <v>7</v>
      </c>
      <c r="AC3" s="13" t="s">
        <v>15</v>
      </c>
      <c r="AD3" s="13" t="s">
        <v>78</v>
      </c>
      <c r="AE3" s="35" t="s">
        <v>11</v>
      </c>
      <c r="AF3" s="35" t="s">
        <v>7</v>
      </c>
      <c r="AG3" s="35" t="s">
        <v>15</v>
      </c>
      <c r="AH3" s="35" t="s">
        <v>78</v>
      </c>
      <c r="AI3" s="13" t="s">
        <v>28</v>
      </c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2" t="s">
        <v>11</v>
      </c>
      <c r="AX3" s="12" t="s">
        <v>7</v>
      </c>
      <c r="AY3" s="12" t="s">
        <v>15</v>
      </c>
      <c r="AZ3" s="12" t="s">
        <v>78</v>
      </c>
      <c r="BA3" s="12" t="s">
        <v>11</v>
      </c>
      <c r="BB3" s="12" t="s">
        <v>7</v>
      </c>
      <c r="BC3" s="12" t="s">
        <v>15</v>
      </c>
      <c r="BD3" s="12" t="s">
        <v>78</v>
      </c>
      <c r="BE3" s="12" t="s">
        <v>11</v>
      </c>
      <c r="BF3" s="12" t="s">
        <v>7</v>
      </c>
      <c r="BG3" s="12" t="s">
        <v>15</v>
      </c>
      <c r="BH3" s="12" t="s">
        <v>78</v>
      </c>
      <c r="BI3" s="36" t="s">
        <v>11</v>
      </c>
      <c r="BJ3" s="36" t="s">
        <v>7</v>
      </c>
      <c r="BK3" s="36" t="s">
        <v>15</v>
      </c>
      <c r="BL3" s="36" t="s">
        <v>78</v>
      </c>
      <c r="BM3" s="12" t="s">
        <v>28</v>
      </c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33"/>
      <c r="CB3" s="33"/>
      <c r="CC3" s="13" t="s">
        <v>11</v>
      </c>
      <c r="CD3" s="13" t="s">
        <v>7</v>
      </c>
      <c r="CE3" s="13" t="s">
        <v>15</v>
      </c>
      <c r="CF3" s="13" t="s">
        <v>78</v>
      </c>
      <c r="CG3" s="13" t="s">
        <v>11</v>
      </c>
      <c r="CH3" s="13" t="s">
        <v>7</v>
      </c>
      <c r="CI3" s="13" t="s">
        <v>15</v>
      </c>
      <c r="CJ3" s="13" t="s">
        <v>78</v>
      </c>
      <c r="CK3" s="13" t="s">
        <v>11</v>
      </c>
      <c r="CL3" s="13" t="s">
        <v>7</v>
      </c>
      <c r="CM3" s="13" t="s">
        <v>15</v>
      </c>
      <c r="CN3" s="13" t="s">
        <v>78</v>
      </c>
      <c r="CO3" s="13" t="s">
        <v>11</v>
      </c>
      <c r="CP3" s="13" t="s">
        <v>7</v>
      </c>
      <c r="CQ3" s="13" t="s">
        <v>15</v>
      </c>
      <c r="CR3" s="13" t="s">
        <v>78</v>
      </c>
      <c r="CS3" s="37" t="s">
        <v>11</v>
      </c>
      <c r="CT3" s="37" t="s">
        <v>7</v>
      </c>
      <c r="CU3" s="37" t="s">
        <v>15</v>
      </c>
      <c r="CV3" s="37" t="s">
        <v>78</v>
      </c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2" t="s">
        <v>11</v>
      </c>
      <c r="DM3" s="12" t="s">
        <v>7</v>
      </c>
      <c r="DN3" s="12" t="s">
        <v>15</v>
      </c>
      <c r="DO3" s="12" t="s">
        <v>78</v>
      </c>
      <c r="DP3" s="12" t="s">
        <v>11</v>
      </c>
      <c r="DQ3" s="12" t="s">
        <v>7</v>
      </c>
      <c r="DR3" s="12" t="s">
        <v>15</v>
      </c>
      <c r="DS3" s="12" t="s">
        <v>78</v>
      </c>
      <c r="DT3" s="12" t="s">
        <v>11</v>
      </c>
      <c r="DU3" s="12" t="s">
        <v>7</v>
      </c>
      <c r="DV3" s="12" t="s">
        <v>15</v>
      </c>
      <c r="DW3" s="12" t="s">
        <v>78</v>
      </c>
      <c r="DX3" s="12" t="s">
        <v>11</v>
      </c>
      <c r="DY3" s="12" t="s">
        <v>7</v>
      </c>
      <c r="DZ3" s="12" t="s">
        <v>15</v>
      </c>
      <c r="EA3" s="12" t="s">
        <v>78</v>
      </c>
      <c r="EB3" s="36" t="s">
        <v>11</v>
      </c>
      <c r="EC3" s="36" t="s">
        <v>7</v>
      </c>
      <c r="ED3" s="36" t="s">
        <v>15</v>
      </c>
      <c r="EE3" s="36" t="s">
        <v>78</v>
      </c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 t="s">
        <v>11</v>
      </c>
      <c r="EV3" s="12" t="s">
        <v>7</v>
      </c>
      <c r="EW3" s="12" t="s">
        <v>15</v>
      </c>
      <c r="EX3" s="12" t="s">
        <v>78</v>
      </c>
      <c r="EY3" s="12" t="s">
        <v>11</v>
      </c>
      <c r="EZ3" s="12" t="s">
        <v>7</v>
      </c>
      <c r="FA3" s="12" t="s">
        <v>15</v>
      </c>
      <c r="FB3" s="12" t="s">
        <v>78</v>
      </c>
      <c r="FC3" s="12" t="s">
        <v>11</v>
      </c>
      <c r="FD3" s="12" t="s">
        <v>7</v>
      </c>
      <c r="FE3" s="12" t="s">
        <v>15</v>
      </c>
      <c r="FF3" s="12" t="s">
        <v>78</v>
      </c>
      <c r="FG3" s="38" t="s">
        <v>11</v>
      </c>
      <c r="FH3" s="38" t="s">
        <v>7</v>
      </c>
      <c r="FI3" s="38" t="s">
        <v>15</v>
      </c>
      <c r="FJ3" s="38" t="s">
        <v>78</v>
      </c>
      <c r="FK3" s="12" t="s">
        <v>28</v>
      </c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</row>
    <row r="4" spans="1:180" x14ac:dyDescent="0.2">
      <c r="A4" s="3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>1</v>
      </c>
      <c r="B4" s="4" t="s">
        <v>126</v>
      </c>
      <c r="C4" s="3" t="s">
        <v>3</v>
      </c>
      <c r="D4" s="3">
        <v>2010</v>
      </c>
      <c r="E4" s="8">
        <f>SUM(J4:P4)+SUM(J4:M4)*0.0000001+SUM(J4)*0.0000000000001</f>
        <v>84.200006300004148</v>
      </c>
      <c r="F4" s="2" t="str">
        <f>IF(OR(AND(AO4&lt;&gt;"",AO4&gt;=AV$11,AN4&gt;=AV$8),AND(AU4&lt;&gt;"",AU4&gt;=AV$11,AT4&gt;=AV$8),AND(BS4&lt;&gt;"",BS4&gt;=BZ$11,BR4&gt;=BZ$8),AND(BY4&lt;&gt;"",BY4&gt;=BZ$11,BX4&gt;=BZ$8),AND(DB4&lt;&gt;"",DB4&gt;=DK$11,DA4&gt;=DK$8),AND(DJ4&lt;&gt;"",DJ4&gt;=DK$11,DI4&gt;=DK$8),AND(EK4&lt;&gt;"",EK4&gt;=ET$11,EJ4&gt;=ET$8),AND(ES4&lt;&gt;"",ES4&gt;=ET$11,ER4&gt;=ET$8)),"P","")</f>
        <v>P</v>
      </c>
      <c r="G4" s="2" t="str">
        <f>IF(OR(AND(AO4&lt;&gt;"",AO4&gt;=AV$11),AND(AU4&lt;&gt;"",AU4&gt;=AV$11),AND(BS4&lt;&gt;"",BS4&gt;=BZ$11),AND(BY4&lt;&gt;"",BY4&gt;=BZ$11),AND(DB4&lt;&gt;"",DB4&gt;=DK$11),AND(DJ4&lt;&gt;"",DJ4&gt;=DK$11),AND(EK4&lt;&gt;"",EK4&gt;=ET$11),AND(ES4&lt;&gt;"",ES4&gt;=ET$11)),"P","")</f>
        <v>P</v>
      </c>
      <c r="H4" s="26" t="str">
        <f>IF(AND(G4="P",F4=""),"No DD",IF(OR(AND(AK4&lt;&gt;"",AK4&gt;=AV$13,AJ4&gt;=AV$10),AND(AM4&lt;&gt;"",AM4&gt;=AV$13,AL4&gt;=AV$10),AND(AQ4&lt;&gt;"",AQ4&gt;=AV$13,AP4&gt;=AV$10),AND(AS4&lt;&gt;"",AS4&gt;=AV$13,AR4&gt;=AV$10),AND(BO4&lt;&gt;"",BO4&gt;=BZ$13,BN4&gt;=BZ$10),AND(BQ4&lt;&gt;"",BQ4&gt;=BZ$13,BP4&gt;=BZ$10),AND(BV4&lt;&gt;"",BV4&gt;=BZ$13,BU4&gt;=BZ$10),AND(BX4&lt;&gt;"",BX4&gt;=BZ$13,BW4&gt;=BZ$10),AND(CX4&lt;&gt;"",CX4&gt;=DK$13,CW4&gt;=DK$10),AND(CZ4&lt;&gt;"",CZ4&gt;=DK$13,CY4&gt;=DK$10),AND(DD4&lt;&gt;"",DD4&gt;=DK$13,DC4&gt;=DK$10),AND(DF4&lt;&gt;"",DF4&gt;=DK$13,DE4&gt;=DK$10),AND(DH4&lt;&gt;"",DH4&gt;=DK$13,DG4&gt;=DK$10),AND(EG4&lt;&gt;"",EG4&gt;=ET$13,EF4&gt;=ET$10),AND(EI4&lt;&gt;"",EI4&gt;=ET$13,EH4&gt;=ET$10),AND(EM4&lt;&gt;"",EM4&gt;=ET$13,EL4&gt;=ET$10),AND(EO4&lt;&gt;"",EO4&gt;=ET$13,EN4&gt;=ET$10),AND(EQ4&lt;&gt;"",EQ4&gt;=ET$13,EP4&gt;=ET$10)),"Performance",IF(I4="P","Worlds Team",IF(F4="P","National Team",""))))</f>
        <v>National Team</v>
      </c>
      <c r="I4" s="2" t="str">
        <f>IF(OR(AND(AO4&lt;&gt;"",AO4&gt;=AV$12,AN4&gt;=AV$9),AND(AU4&lt;&gt;"",AU4&gt;=AV$12,AT4&gt;=AV$9),AND(BS4&lt;&gt;"",BS4&gt;=BZ$12,BR4&gt;=BZ$9),AND(BY4&lt;&gt;"",BY4&gt;=BZ$12,BX4&gt;=BZ$9),AND(DB4&lt;&gt;"",DB4&gt;=DK$12,DA4&gt;=DK$9),AND(DJ4&lt;&gt;"",DJ4&gt;=DK$12,DI4&gt;=DK$9),AND(EK4&lt;&gt;"",EK4&gt;=ET$12,EJ4&gt;=ET$9),AND(ES4&lt;&gt;"",ES4&gt;=ET$12,ER4&gt;=ET$9)),"P","")</f>
        <v/>
      </c>
      <c r="J4" s="7">
        <f>IF(COUNT(AO4,BS4)&gt;0,MAX(AO4,BS4),0)</f>
        <v>41.5</v>
      </c>
      <c r="K4" s="7" t="str">
        <f>IF(J4=0,"",IF(J4=BS4,$AW$1,IF(J4=AO4,$S$1,"")))</f>
        <v>2025 3rd Domestic Trial</v>
      </c>
      <c r="L4" s="7">
        <f>IF(J4=AO4,IF(COUNT(AQ4,AS4,BO4,BQ4,BU4,BW4)&gt;1,LARGE((AQ4,AS4,BO4,BQ4,BU4,BW4),1),0),IF(COUNT(AK4,AM4,AQ4,AS4,BU4,BW4)&gt;1,LARGE((AK4,AM4,AQ4,AS4,BU4,BW4),1),0))</f>
        <v>21.5</v>
      </c>
      <c r="M4" s="7" t="str">
        <f>IF(L4=0,"",IF(OR(L4=BO4,L4=BQ4,L4=BU4,L4=BW4),$AW$1,IF(OR(L4=AK4,L4=AM4,L4=AQ4,L4=AS4),$S$1,"")))</f>
        <v>2025 Nationals</v>
      </c>
      <c r="N4" s="7">
        <f>IF(J4=AO4,IF(COUNT(AQ4,AS4,BO4,BQ4,BU4,BW4)&gt;1,LARGE((AQ4,AS4,BO4,BQ4,BU4,BW4),2),0),IF(COUNT(AK4,AM4,AQ4,AS4,BU4,BW4)&gt;1,LARGE((AK4,AM4,AQ4,AS4,BU4,BW4),2),0))</f>
        <v>21.2</v>
      </c>
      <c r="O4" s="7" t="str">
        <f>IF(N4=0,"",IF(OR(N4=BO4,N4=BQ4,N4=BU4,N4=BW4),$AW$1,IF(OR(N4=AK4,N4=AM4,N4=AQ4,N4=AS4),$S$1,"")))</f>
        <v>2025 Nationals</v>
      </c>
      <c r="P4" s="7" t="str">
        <f>IF(MAX(CA4:CB4)&gt;0,MAX(CA4:CB4),"")</f>
        <v/>
      </c>
      <c r="Q4" s="10" t="str">
        <f>IF(P4="","",IF(P4=CA4,"("&amp;CA$2&amp;")",IF(P4=CB4,"("&amp;CB$2&amp;")")))</f>
        <v/>
      </c>
      <c r="R4" s="7" t="str">
        <f>IF(P4="","",IF(P4=CA4,IF(P4+MAX(J4,0)=EK4,$DL$1,IF(P4+MAX(J4,0)=DB4,$CC$1)),IF(P4=CB4,IF(P4+MAX(N4,0)=MAX(EG4,EI4,EM4,EO4,EQ4),$DL$1,IF(P4+MAX(N4,0)=MAX(CX4,CZ4,DD4,DF4,DH4),$CC$1)))))</f>
        <v/>
      </c>
      <c r="S4" s="39">
        <v>17.3</v>
      </c>
      <c r="T4" s="39">
        <v>3.9</v>
      </c>
      <c r="U4" s="39">
        <v>0</v>
      </c>
      <c r="V4" s="39">
        <v>0</v>
      </c>
      <c r="W4" s="39">
        <v>15.8</v>
      </c>
      <c r="X4" s="39">
        <v>4.0999999999999996</v>
      </c>
      <c r="Y4" s="39">
        <v>0</v>
      </c>
      <c r="Z4" s="39">
        <v>0</v>
      </c>
      <c r="AA4" s="39">
        <v>17.399999999999999</v>
      </c>
      <c r="AB4" s="39">
        <v>4.0999999999999996</v>
      </c>
      <c r="AC4" s="39">
        <v>0</v>
      </c>
      <c r="AD4" s="39">
        <v>0</v>
      </c>
      <c r="AE4" s="39">
        <v>18</v>
      </c>
      <c r="AF4" s="39">
        <v>3.2</v>
      </c>
      <c r="AG4" s="39">
        <v>0</v>
      </c>
      <c r="AH4" s="39">
        <v>0</v>
      </c>
      <c r="AI4" s="19"/>
      <c r="AJ4" s="42">
        <f>IF(T4="","",T4)</f>
        <v>3.9</v>
      </c>
      <c r="AK4" s="42">
        <f>IF(S4="","",S4+T4+V4-U4)</f>
        <v>21.2</v>
      </c>
      <c r="AL4" s="42">
        <f>IF(X4="","",X4)</f>
        <v>4.0999999999999996</v>
      </c>
      <c r="AM4" s="42">
        <f>IF(W4="","",W4+X4+Z4-Y4)</f>
        <v>19.899999999999999</v>
      </c>
      <c r="AN4" s="27">
        <f>IF(SUM(T4,X4)&gt;0,SUM(T4,X4),"")</f>
        <v>8</v>
      </c>
      <c r="AO4" s="27">
        <f>IF(SUM(AK4,AM4)&gt;0,SUM(AK4,AM4),"")</f>
        <v>41.099999999999994</v>
      </c>
      <c r="AP4" s="27">
        <f>IF(AB4="","",AB4)</f>
        <v>4.0999999999999996</v>
      </c>
      <c r="AQ4" s="27">
        <f>IF(AA4="","",AA4+AB4+AD4-AC4)</f>
        <v>21.5</v>
      </c>
      <c r="AR4" s="27">
        <f>IF(AF4="","",AF4)</f>
        <v>3.2</v>
      </c>
      <c r="AS4" s="27">
        <f>IF(AE4="","",AE4+AF4+AH4-AG4)</f>
        <v>21.2</v>
      </c>
      <c r="AT4" s="27">
        <f>IF(SUM(AB4,AF4)&gt;0,SUM(AB4,AF4),"")</f>
        <v>7.3</v>
      </c>
      <c r="AU4" s="27">
        <f>IF(SUM(AQ4,AS4)&gt;0,SUM(AQ4,AS4),"")</f>
        <v>42.7</v>
      </c>
      <c r="AV4" s="27">
        <f>IF(SUM(AO4,AU4)&gt;0,SUM(AO4,AU4),"")</f>
        <v>83.8</v>
      </c>
      <c r="AW4" s="15">
        <v>17.5</v>
      </c>
      <c r="AX4" s="15">
        <v>3.4</v>
      </c>
      <c r="AY4" s="15">
        <v>0</v>
      </c>
      <c r="AZ4" s="15">
        <v>0</v>
      </c>
      <c r="BA4" s="15">
        <v>16.7</v>
      </c>
      <c r="BB4" s="15">
        <v>3.9</v>
      </c>
      <c r="BC4" s="15">
        <v>0</v>
      </c>
      <c r="BD4" s="15">
        <v>0</v>
      </c>
      <c r="BE4" s="15">
        <v>16</v>
      </c>
      <c r="BF4" s="15">
        <v>3.4</v>
      </c>
      <c r="BG4" s="15">
        <v>0.2</v>
      </c>
      <c r="BH4" s="15">
        <v>0</v>
      </c>
      <c r="BI4" s="15">
        <v>5.7</v>
      </c>
      <c r="BJ4" s="15">
        <v>0.1</v>
      </c>
      <c r="BK4" s="15">
        <v>0.2</v>
      </c>
      <c r="BL4" s="15">
        <v>0</v>
      </c>
      <c r="BM4" s="20"/>
      <c r="BN4" s="43">
        <f>IF(AX4="","",AX4)</f>
        <v>3.4</v>
      </c>
      <c r="BO4" s="43">
        <f>IF(AW4="","",AW4+AX4+AZ4-AY4)</f>
        <v>20.9</v>
      </c>
      <c r="BP4" s="43">
        <f>IF(BB4="","",BB4)</f>
        <v>3.9</v>
      </c>
      <c r="BQ4" s="43">
        <f>IF(BA4="","",BA4+BB4+BD4-BC4)</f>
        <v>20.599999999999998</v>
      </c>
      <c r="BR4" s="10">
        <f>IF(SUM(AX4,BB4)&gt;0,SUM(AX4,BB4),"")</f>
        <v>7.3</v>
      </c>
      <c r="BS4" s="10">
        <f>IF(SUM(BO4,BQ4)&gt;0,SUM(BO4,BQ4),"")</f>
        <v>41.5</v>
      </c>
      <c r="BT4" s="10">
        <f>IF(BF4="","",BF4)</f>
        <v>3.4</v>
      </c>
      <c r="BU4" s="10">
        <f>IF(BE4="","",BE4+BF4+BH4-BG4)</f>
        <v>19.2</v>
      </c>
      <c r="BV4" s="10">
        <f>IF(BJ4="","",BJ4)</f>
        <v>0.1</v>
      </c>
      <c r="BW4" s="10">
        <f>IF(BI4="","",BI4+BJ4+BL4-BK4)</f>
        <v>5.6</v>
      </c>
      <c r="BX4" s="10">
        <f>IF(SUM(BF4,BJ4)&gt;0,SUM(BF4,BJ4),"")</f>
        <v>3.5</v>
      </c>
      <c r="BY4" s="10">
        <f>IF(SUM(BU4,BW4)&gt;0,SUM(BU4,BW4),"")</f>
        <v>24.799999999999997</v>
      </c>
      <c r="BZ4" s="10">
        <f>IF(SUM(BS4,BY4)&gt;0,SUM(BS4,BY4),"")</f>
        <v>66.3</v>
      </c>
      <c r="CA4" s="34" t="str">
        <f>IF(MAX(DB4,EK4)-IF(J4="",0,J4)&gt;0.001,MAX(DB4,EK4)-IF(J4="",0,J4),"")</f>
        <v/>
      </c>
      <c r="CB4" s="34" t="str">
        <f>IF(MAX(CX4,CZ4,DD4,DF4,DH4,EG4,EI4,EM4,EO4)-IF(N4="",0,N4)&gt;0.001,MAX(CX4,CZ4,DD4,DF4,DH4,EG4,EI4,EM4,EO4)-IF(N4="",0,N4),"")</f>
        <v/>
      </c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27" t="str">
        <f>IF(CD4="","",CD4)</f>
        <v/>
      </c>
      <c r="CX4" s="27" t="str">
        <f>IF(CC4="","",CC4+CD4+CF4-CE4)</f>
        <v/>
      </c>
      <c r="CY4" s="27" t="str">
        <f>IF(CH4="","",CH4)</f>
        <v/>
      </c>
      <c r="CZ4" s="27" t="str">
        <f>IF(CG4="","",CG4+CH4+CJ4-CI4)</f>
        <v/>
      </c>
      <c r="DA4" s="27" t="str">
        <f>IF(CW4="","",SUM(CW4,CY4))</f>
        <v/>
      </c>
      <c r="DB4" s="27" t="str">
        <f>IF(CX4="","",SUM(CX4,CZ4))</f>
        <v/>
      </c>
      <c r="DC4" s="27" t="str">
        <f>IF(CL4="","",CL4)</f>
        <v/>
      </c>
      <c r="DD4" s="27" t="str">
        <f>IF(CK4="","",CK4+CL4+CN4-CM4)</f>
        <v/>
      </c>
      <c r="DE4" s="27" t="str">
        <f>IF(CP4="","",CP4)</f>
        <v/>
      </c>
      <c r="DF4" s="27" t="str">
        <f>IF(CO4="","",CO4+CP4+CR4-CQ4)</f>
        <v/>
      </c>
      <c r="DG4" s="27" t="str">
        <f>IF(CT4="","",CT4)</f>
        <v/>
      </c>
      <c r="DH4" s="27" t="str">
        <f>IF(CS4="","",CS4+CT4+CV4-CU4)</f>
        <v/>
      </c>
      <c r="DI4" s="27" t="str">
        <f>IF(DE4="","",SUM(DE4,DG4))</f>
        <v/>
      </c>
      <c r="DJ4" s="27" t="str">
        <f>IF(DF4="","",SUM(DF4,DH4))</f>
        <v/>
      </c>
      <c r="DK4" s="27" t="str">
        <f>IF(DB4="","",SUM(DB4,DD4,DH4))</f>
        <v/>
      </c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0" t="str">
        <f>IF(DM4="","",DM4)</f>
        <v/>
      </c>
      <c r="EG4" s="10" t="str">
        <f>IF(DL4="","",DL4+DM4+DO4-DN4)</f>
        <v/>
      </c>
      <c r="EH4" s="10" t="str">
        <f>IF(DQ4="","",DQ4)</f>
        <v/>
      </c>
      <c r="EI4" s="10" t="str">
        <f>IF(DP4="","",DP4+DQ4+DS4-DR4)</f>
        <v/>
      </c>
      <c r="EJ4" s="10" t="str">
        <f>IF(EF4="","",SUM(EF4,EH4))</f>
        <v/>
      </c>
      <c r="EK4" s="10" t="str">
        <f>IF(EG4="","",SUM(EG4,EI4))</f>
        <v/>
      </c>
      <c r="EL4" s="10" t="str">
        <f>IF(DU4="","",DU4)</f>
        <v/>
      </c>
      <c r="EM4" s="10" t="str">
        <f>IF(DT4="","",DT4+DU4+DW4-DV4)</f>
        <v/>
      </c>
      <c r="EN4" s="10" t="str">
        <f>IF(DY4="","",DY4)</f>
        <v/>
      </c>
      <c r="EO4" s="10" t="str">
        <f>IF(DX4="","",DX4+DY4+EA4-DZ4)</f>
        <v/>
      </c>
      <c r="EP4" s="10" t="str">
        <f>IF(EC4="","",EC4)</f>
        <v/>
      </c>
      <c r="EQ4" s="10" t="str">
        <f>IF(EB4="","",EB4+EC4+EE4-ED4)</f>
        <v/>
      </c>
      <c r="ER4" s="10" t="str">
        <f>IF(EN4="","",SUM(EN4,EP4))</f>
        <v/>
      </c>
      <c r="ES4" s="10" t="str">
        <f>IF(EO4="","",SUM(EO4,EQ4))</f>
        <v/>
      </c>
      <c r="ET4" s="10" t="str">
        <f>IF(EK4="","",SUM(EK4,EM4,EQ4))</f>
        <v/>
      </c>
      <c r="EU4" s="44">
        <f t="shared" ref="EU4:FJ5" si="0">IF(BM4="P",IF(AI4="P",AW4,AW4*0.8),(S4+AW4)/2)</f>
        <v>17.399999999999999</v>
      </c>
      <c r="EV4" s="44">
        <f t="shared" si="0"/>
        <v>3.65</v>
      </c>
      <c r="EW4" s="44">
        <f t="shared" si="0"/>
        <v>0</v>
      </c>
      <c r="EX4" s="44">
        <f t="shared" si="0"/>
        <v>0</v>
      </c>
      <c r="EY4" s="44">
        <f t="shared" si="0"/>
        <v>16.25</v>
      </c>
      <c r="EZ4" s="44">
        <f t="shared" si="0"/>
        <v>4</v>
      </c>
      <c r="FA4" s="44">
        <f t="shared" si="0"/>
        <v>0</v>
      </c>
      <c r="FB4" s="44">
        <f t="shared" si="0"/>
        <v>0</v>
      </c>
      <c r="FC4" s="44">
        <f t="shared" si="0"/>
        <v>16.7</v>
      </c>
      <c r="FD4" s="44">
        <f t="shared" si="0"/>
        <v>3.75</v>
      </c>
      <c r="FE4" s="44">
        <f t="shared" si="0"/>
        <v>0.1</v>
      </c>
      <c r="FF4" s="44">
        <f t="shared" si="0"/>
        <v>0</v>
      </c>
      <c r="FG4" s="44">
        <f t="shared" si="0"/>
        <v>11.85</v>
      </c>
      <c r="FH4" s="44">
        <f t="shared" si="0"/>
        <v>1.6500000000000001</v>
      </c>
      <c r="FI4" s="44">
        <f t="shared" si="0"/>
        <v>0.1</v>
      </c>
      <c r="FJ4" s="44">
        <f t="shared" si="0"/>
        <v>0</v>
      </c>
      <c r="FK4" s="20" t="s">
        <v>29</v>
      </c>
      <c r="FL4" s="10">
        <f>IF(EV4="","",EV4)</f>
        <v>3.65</v>
      </c>
      <c r="FM4" s="10">
        <f>IF(EU4="","",EU4+EV4+EX4-EW4)</f>
        <v>21.049999999999997</v>
      </c>
      <c r="FN4" s="10">
        <f>IF(EZ4="","",EZ4)</f>
        <v>4</v>
      </c>
      <c r="FO4" s="10">
        <f>IF(EY4="","",EY4+EZ4+FB4-FA4)</f>
        <v>20.25</v>
      </c>
      <c r="FP4" s="10">
        <f>IF(SUM(EV4,EZ4)&gt;0,SUM(EV4,EZ4),"")</f>
        <v>7.65</v>
      </c>
      <c r="FQ4" s="10">
        <f>IF(SUM(FM4,FO4)&gt;0,SUM(FM4,FO4),"")</f>
        <v>41.3</v>
      </c>
      <c r="FR4" s="10">
        <f>IF(FD4="","",FD4)</f>
        <v>3.75</v>
      </c>
      <c r="FS4" s="10">
        <f>IF(FC4="","",FC4+FD4+FF4-FE4)</f>
        <v>20.349999999999998</v>
      </c>
      <c r="FT4" s="10">
        <f>IF(FH4="","",FH4)</f>
        <v>1.6500000000000001</v>
      </c>
      <c r="FU4" s="10">
        <f>IF(FG4="","",FG4+FH4+FJ4-FI4)</f>
        <v>13.4</v>
      </c>
      <c r="FV4" s="10">
        <f>IF(SUM(FD4,FH4)&gt;0,SUM(FD4,FH4),"")</f>
        <v>5.4</v>
      </c>
      <c r="FW4" s="10">
        <f>IF(SUM(FS4,FU4)&gt;0,SUM(FS4,FU4),"")</f>
        <v>33.75</v>
      </c>
      <c r="FX4" s="10">
        <f>IF(SUM(FQ4,FW4)&gt;0,SUM(FQ4,FW4),"")</f>
        <v>75.05</v>
      </c>
    </row>
    <row r="5" spans="1:180" x14ac:dyDescent="0.2">
      <c r="A5" s="3" t="str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/>
      </c>
      <c r="B5" s="4" t="s">
        <v>127</v>
      </c>
      <c r="C5" s="3" t="s">
        <v>4</v>
      </c>
      <c r="D5" s="3">
        <v>2011</v>
      </c>
      <c r="E5" s="8">
        <f>SUM(J5:P5)+SUM(J5:M5)*0.0000001+SUM(J5)*0.0000000000001</f>
        <v>79.600005970003878</v>
      </c>
      <c r="F5" s="2" t="str">
        <f>IF(OR(AND(AO5&lt;&gt;"",AO5&gt;=AV$11,AN5&gt;=AV$8),AND(AU5&lt;&gt;"",AU5&gt;=AV$11,AT5&gt;=AV$8),AND(BS5&lt;&gt;"",BS5&gt;=BZ$11,BR5&gt;=BZ$8),AND(BY5&lt;&gt;"",BY5&gt;=BZ$11,BX5&gt;=BZ$8),AND(DB5&lt;&gt;"",DB5&gt;=DK$11,DA5&gt;=DK$8),AND(DJ5&lt;&gt;"",DJ5&gt;=DK$11,DI5&gt;=DK$8),AND(EK5&lt;&gt;"",EK5&gt;=ET$11,EJ5&gt;=ET$8),AND(ES5&lt;&gt;"",ES5&gt;=ET$11,ER5&gt;=ET$8)),"P","")</f>
        <v/>
      </c>
      <c r="G5" s="2" t="str">
        <f>IF(OR(AND(AO5&lt;&gt;"",AO5&gt;=AV$11),AND(AU5&lt;&gt;"",AU5&gt;=AV$11),AND(BS5&lt;&gt;"",BS5&gt;=BZ$11),AND(BY5&lt;&gt;"",BY5&gt;=BZ$11),AND(DB5&lt;&gt;"",DB5&gt;=DK$11),AND(DJ5&lt;&gt;"",DJ5&gt;=DK$11),AND(EK5&lt;&gt;"",EK5&gt;=ET$11),AND(ES5&lt;&gt;"",ES5&gt;=ET$11)),"P","")</f>
        <v/>
      </c>
      <c r="H5" s="26" t="str">
        <f>IF(AND(G5="P",F5=""),"No DD",IF(OR(AND(AK5&lt;&gt;"",AK5&gt;=AV$13,AJ5&gt;=AV$10),AND(AM5&lt;&gt;"",AM5&gt;=AV$13,AL5&gt;=AV$10),AND(AQ5&lt;&gt;"",AQ5&gt;=AV$13,AP5&gt;=AV$10),AND(AS5&lt;&gt;"",AS5&gt;=AV$13,AR5&gt;=AV$10),AND(BO5&lt;&gt;"",BO5&gt;=BZ$13,BN5&gt;=BZ$10),AND(BQ5&lt;&gt;"",BQ5&gt;=BZ$13,BP5&gt;=BZ$10),AND(BV5&lt;&gt;"",BV5&gt;=BZ$13,BU5&gt;=BZ$10),AND(BX5&lt;&gt;"",BX5&gt;=BZ$13,BW5&gt;=BZ$10),AND(CX5&lt;&gt;"",CX5&gt;=DK$13,CW5&gt;=DK$10),AND(CZ5&lt;&gt;"",CZ5&gt;=DK$13,CY5&gt;=DK$10),AND(DD5&lt;&gt;"",DD5&gt;=DK$13,DC5&gt;=DK$10),AND(DF5&lt;&gt;"",DF5&gt;=DK$13,DE5&gt;=DK$10),AND(DH5&lt;&gt;"",DH5&gt;=DK$13,DG5&gt;=DK$10),AND(EG5&lt;&gt;"",EG5&gt;=ET$13,EF5&gt;=ET$10),AND(EI5&lt;&gt;"",EI5&gt;=ET$13,EH5&gt;=ET$10),AND(EM5&lt;&gt;"",EM5&gt;=ET$13,EL5&gt;=ET$10),AND(EO5&lt;&gt;"",EO5&gt;=ET$13,EN5&gt;=ET$10),AND(EQ5&lt;&gt;"",EQ5&gt;=ET$13,EP5&gt;=ET$10)),"Performance",IF(I5="P","Worlds Team",IF(F5="P","National Team",""))))</f>
        <v/>
      </c>
      <c r="I5" s="2" t="str">
        <f>IF(OR(AND(AO5&lt;&gt;"",AO5&gt;=AV$12,AN5&gt;=AV$9),AND(AU5&lt;&gt;"",AU5&gt;=AV$12,AT5&gt;=AV$9),AND(BS5&lt;&gt;"",BS5&gt;=BZ$12,BR5&gt;=BZ$9),AND(BY5&lt;&gt;"",BY5&gt;=BZ$12,BX5&gt;=BZ$9),AND(DB5&lt;&gt;"",DB5&gt;=DK$12,DA5&gt;=DK$9),AND(DJ5&lt;&gt;"",DJ5&gt;=DK$12,DI5&gt;=DK$9),AND(EK5&lt;&gt;"",EK5&gt;=ET$12,EJ5&gt;=ET$9),AND(ES5&lt;&gt;"",ES5&gt;=ET$12,ER5&gt;=ET$9)),"P","")</f>
        <v/>
      </c>
      <c r="J5" s="7">
        <f>IF(COUNT(AO5,BS5)&gt;0,MAX(AO5,BS5),0)</f>
        <v>38.799999999999997</v>
      </c>
      <c r="K5" s="7" t="str">
        <f>IF(J5=0,"",IF(J5=BS5,$AW$1,IF(J5=AO5,$S$1,"")))</f>
        <v>2025 Nationals</v>
      </c>
      <c r="L5" s="7">
        <f>IF(J5=AO5,IF(COUNT(AQ5,AS5,BO5,BQ5,BU5,BW5)&gt;1,LARGE((AQ5,AS5,BO5,BQ5,BU5,BW5),1),0),IF(COUNT(AK5,AM5,AQ5,AS5,BU5,BW5)&gt;1,LARGE((AK5,AM5,AQ5,AS5,BU5,BW5),1),0))</f>
        <v>20.9</v>
      </c>
      <c r="M5" s="7" t="str">
        <f>IF(L5=0,"",IF(OR(L5=BO5,L5=BQ5,L5=BU5,L5=BW5),$AW$1,IF(OR(L5=AK5,L5=AM5,L5=AQ5,L5=AS5),$S$1,"")))</f>
        <v>2025 Nationals</v>
      </c>
      <c r="N5" s="7">
        <f>IF(J5=AO5,IF(COUNT(AQ5,AS5,BO5,BQ5,BU5,BW5)&gt;1,LARGE((AQ5,AS5,BO5,BQ5,BU5,BW5),2),0),IF(COUNT(AK5,AM5,AQ5,AS5,BU5,BW5)&gt;1,LARGE((AK5,AM5,AQ5,AS5,BU5,BW5),2),0))</f>
        <v>19.899999999999999</v>
      </c>
      <c r="O5" s="7" t="str">
        <f>IF(N5=0,"",IF(OR(N5=BO5,N5=BQ5,N5=BU5,N5=BW5),$AW$1,IF(OR(N5=AK5,N5=AM5,N5=AQ5,N5=AS5),$S$1,"")))</f>
        <v>2025 Nationals</v>
      </c>
      <c r="P5" s="7" t="str">
        <f>IF(MAX(CA5:CB5)&gt;0,MAX(CA5:CB5),"")</f>
        <v/>
      </c>
      <c r="Q5" s="10" t="str">
        <f>IF(P5="","",IF(P5=CA5,"("&amp;CA$2&amp;")",IF(P5=CB5,"("&amp;CB$2&amp;")")))</f>
        <v/>
      </c>
      <c r="R5" s="7" t="str">
        <f>IF(P5="","",IF(P5=CA5,IF(P5+MAX(J5,0)=EK5,$DL$1,IF(P5+MAX(J5,0)=DB5,$CC$1)),IF(P5=CB5,IF(P5+MAX(N5,0)=MAX(EG5,EI5,EM5,EO5,EQ5),$DL$1,IF(P5+MAX(N5,0)=MAX(CX5,CZ5,DD5,DF5,DH5),$CC$1)))))</f>
        <v/>
      </c>
      <c r="S5" s="39">
        <v>16.3</v>
      </c>
      <c r="T5" s="39">
        <v>3.4</v>
      </c>
      <c r="U5" s="39">
        <v>0</v>
      </c>
      <c r="V5" s="39">
        <v>0</v>
      </c>
      <c r="W5" s="39">
        <v>15.4</v>
      </c>
      <c r="X5" s="39">
        <v>3.9</v>
      </c>
      <c r="Y5" s="39">
        <v>0.2</v>
      </c>
      <c r="Z5" s="39">
        <v>0</v>
      </c>
      <c r="AA5" s="39">
        <v>16.5</v>
      </c>
      <c r="AB5" s="39">
        <v>3.4</v>
      </c>
      <c r="AC5" s="39">
        <v>0</v>
      </c>
      <c r="AD5" s="39">
        <v>0</v>
      </c>
      <c r="AE5" s="39">
        <v>17</v>
      </c>
      <c r="AF5" s="39">
        <v>3.9</v>
      </c>
      <c r="AG5" s="39">
        <v>0</v>
      </c>
      <c r="AH5" s="39">
        <v>0</v>
      </c>
      <c r="AI5" s="19"/>
      <c r="AJ5" s="42">
        <f>IF(T5="","",T5)</f>
        <v>3.4</v>
      </c>
      <c r="AK5" s="42">
        <f>IF(S5="","",S5+T5+V5-U5)</f>
        <v>19.7</v>
      </c>
      <c r="AL5" s="42">
        <f>IF(X5="","",X5)</f>
        <v>3.9</v>
      </c>
      <c r="AM5" s="42">
        <f>IF(W5="","",W5+X5+Z5-Y5)</f>
        <v>19.100000000000001</v>
      </c>
      <c r="AN5" s="27">
        <f>IF(SUM(T5,X5)&gt;0,SUM(T5,X5),"")</f>
        <v>7.3</v>
      </c>
      <c r="AO5" s="27">
        <f>IF(SUM(AK5,AM5)&gt;0,SUM(AK5,AM5),"")</f>
        <v>38.799999999999997</v>
      </c>
      <c r="AP5" s="27">
        <f>IF(AB5="","",AB5)</f>
        <v>3.4</v>
      </c>
      <c r="AQ5" s="27">
        <f>IF(AA5="","",AA5+AB5+AD5-AC5)</f>
        <v>19.899999999999999</v>
      </c>
      <c r="AR5" s="27">
        <f>IF(AF5="","",AF5)</f>
        <v>3.9</v>
      </c>
      <c r="AS5" s="27">
        <f>IF(AE5="","",AE5+AF5+AH5-AG5)</f>
        <v>20.9</v>
      </c>
      <c r="AT5" s="27">
        <f>IF(SUM(AB5,AF5)&gt;0,SUM(AB5,AF5),"")</f>
        <v>7.3</v>
      </c>
      <c r="AU5" s="27">
        <f>IF(SUM(AQ5,AS5)&gt;0,SUM(AQ5,AS5),"")</f>
        <v>40.799999999999997</v>
      </c>
      <c r="AV5" s="27">
        <f>IF(SUM(AO5,AU5)&gt;0,SUM(AO5,AU5),"")</f>
        <v>79.599999999999994</v>
      </c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20"/>
      <c r="BN5" s="43" t="str">
        <f>IF(AX5="","",AX5)</f>
        <v/>
      </c>
      <c r="BO5" s="43" t="str">
        <f>IF(AW5="","",AW5+AX5+AZ5-AY5)</f>
        <v/>
      </c>
      <c r="BP5" s="43" t="str">
        <f>IF(BB5="","",BB5)</f>
        <v/>
      </c>
      <c r="BQ5" s="43" t="str">
        <f>IF(BA5="","",BA5+BB5+BD5-BC5)</f>
        <v/>
      </c>
      <c r="BR5" s="10" t="str">
        <f>IF(SUM(AX5,BB5)&gt;0,SUM(AX5,BB5),"")</f>
        <v/>
      </c>
      <c r="BS5" s="10" t="str">
        <f>IF(SUM(BO5,BQ5)&gt;0,SUM(BO5,BQ5),"")</f>
        <v/>
      </c>
      <c r="BT5" s="10" t="str">
        <f>IF(BF5="","",BF5)</f>
        <v/>
      </c>
      <c r="BU5" s="10" t="str">
        <f>IF(BE5="","",BE5+BF5+BH5-BG5)</f>
        <v/>
      </c>
      <c r="BV5" s="10" t="str">
        <f>IF(BJ5="","",BJ5)</f>
        <v/>
      </c>
      <c r="BW5" s="10" t="str">
        <f>IF(BI5="","",BI5+BJ5+BL5-BK5)</f>
        <v/>
      </c>
      <c r="BX5" s="10" t="str">
        <f>IF(SUM(BF5,BJ5)&gt;0,SUM(BF5,BJ5),"")</f>
        <v/>
      </c>
      <c r="BY5" s="10" t="str">
        <f>IF(SUM(BU5,BW5)&gt;0,SUM(BU5,BW5),"")</f>
        <v/>
      </c>
      <c r="BZ5" s="10" t="str">
        <f>IF(SUM(BS5,BY5)&gt;0,SUM(BS5,BY5),"")</f>
        <v/>
      </c>
      <c r="CA5" s="34" t="str">
        <f>IF(MAX(DB5,EK5)-IF(J5="",0,J5)&gt;0.001,MAX(DB5,EK5)-IF(J5="",0,J5),"")</f>
        <v/>
      </c>
      <c r="CB5" s="34" t="str">
        <f>IF(MAX(CX5,CZ5,DD5,DF5,DH5,EG5,EI5,EM5,EO5)-IF(N5="",0,N5)&gt;0.001,MAX(CX5,CZ5,DD5,DF5,DH5,EG5,EI5,EM5,EO5)-IF(N5="",0,N5),"")</f>
        <v/>
      </c>
      <c r="CC5" s="14">
        <v>13.8</v>
      </c>
      <c r="CD5" s="14">
        <v>1.7</v>
      </c>
      <c r="CE5" s="14">
        <v>0</v>
      </c>
      <c r="CF5" s="14">
        <v>0</v>
      </c>
      <c r="CG5" s="14">
        <v>9.6999999999999993</v>
      </c>
      <c r="CH5" s="14">
        <v>2.1</v>
      </c>
      <c r="CI5" s="14">
        <v>0</v>
      </c>
      <c r="CJ5" s="14">
        <v>0</v>
      </c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27">
        <f>IF(CD5="","",CD5)</f>
        <v>1.7</v>
      </c>
      <c r="CX5" s="27">
        <f>IF(CC5="","",CC5+CD5+CF5-CE5)</f>
        <v>15.5</v>
      </c>
      <c r="CY5" s="27">
        <f>IF(CH5="","",CH5)</f>
        <v>2.1</v>
      </c>
      <c r="CZ5" s="27">
        <f>IF(CG5="","",CG5+CH5+CJ5-CI5)</f>
        <v>11.799999999999999</v>
      </c>
      <c r="DA5" s="27">
        <f>IF(CW5="","",SUM(CW5,CY5))</f>
        <v>3.8</v>
      </c>
      <c r="DB5" s="27">
        <f>IF(CX5="","",SUM(CX5,CZ5))</f>
        <v>27.299999999999997</v>
      </c>
      <c r="DC5" s="27" t="str">
        <f>IF(CL5="","",CL5)</f>
        <v/>
      </c>
      <c r="DD5" s="27" t="str">
        <f>IF(CK5="","",CK5+CL5+CN5-CM5)</f>
        <v/>
      </c>
      <c r="DE5" s="27" t="str">
        <f>IF(CP5="","",CP5)</f>
        <v/>
      </c>
      <c r="DF5" s="27" t="str">
        <f>IF(CO5="","",CO5+CP5+CR5-CQ5)</f>
        <v/>
      </c>
      <c r="DG5" s="27" t="str">
        <f>IF(CT5="","",CT5)</f>
        <v/>
      </c>
      <c r="DH5" s="27" t="str">
        <f>IF(CS5="","",CS5+CT5+CV5-CU5)</f>
        <v/>
      </c>
      <c r="DI5" s="27" t="str">
        <f>IF(DE5="","",SUM(DE5,DG5))</f>
        <v/>
      </c>
      <c r="DJ5" s="27" t="str">
        <f>IF(DF5="","",SUM(DF5,DH5))</f>
        <v/>
      </c>
      <c r="DK5" s="27">
        <f>IF(DB5="","",SUM(DB5,DD5,DH5))</f>
        <v>27.299999999999997</v>
      </c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0" t="str">
        <f>IF(DM5="","",DM5)</f>
        <v/>
      </c>
      <c r="EG5" s="10" t="str">
        <f>IF(DL5="","",DL5+DM5+DO5-DN5)</f>
        <v/>
      </c>
      <c r="EH5" s="10" t="str">
        <f>IF(DQ5="","",DQ5)</f>
        <v/>
      </c>
      <c r="EI5" s="10" t="str">
        <f>IF(DP5="","",DP5+DQ5+DS5-DR5)</f>
        <v/>
      </c>
      <c r="EJ5" s="10" t="str">
        <f>IF(EF5="","",SUM(EF5,EH5))</f>
        <v/>
      </c>
      <c r="EK5" s="10" t="str">
        <f>IF(EG5="","",SUM(EG5,EI5))</f>
        <v/>
      </c>
      <c r="EL5" s="10" t="str">
        <f>IF(DU5="","",DU5)</f>
        <v/>
      </c>
      <c r="EM5" s="10" t="str">
        <f>IF(DT5="","",DT5+DU5+DW5-DV5)</f>
        <v/>
      </c>
      <c r="EN5" s="10" t="str">
        <f>IF(DY5="","",DY5)</f>
        <v/>
      </c>
      <c r="EO5" s="10" t="str">
        <f>IF(DX5="","",DX5+DY5+EA5-DZ5)</f>
        <v/>
      </c>
      <c r="EP5" s="10" t="str">
        <f>IF(EC5="","",EC5)</f>
        <v/>
      </c>
      <c r="EQ5" s="10" t="str">
        <f>IF(EB5="","",EB5+EC5+EE5-ED5)</f>
        <v/>
      </c>
      <c r="ER5" s="10" t="str">
        <f>IF(EN5="","",SUM(EN5,EP5))</f>
        <v/>
      </c>
      <c r="ES5" s="10" t="str">
        <f>IF(EO5="","",SUM(EO5,EQ5))</f>
        <v/>
      </c>
      <c r="ET5" s="10" t="str">
        <f>IF(EK5="","",SUM(EK5,EM5,EQ5))</f>
        <v/>
      </c>
      <c r="EU5" s="44">
        <f t="shared" si="0"/>
        <v>8.15</v>
      </c>
      <c r="EV5" s="44">
        <f t="shared" si="0"/>
        <v>1.7</v>
      </c>
      <c r="EW5" s="44">
        <f t="shared" si="0"/>
        <v>0</v>
      </c>
      <c r="EX5" s="44">
        <f t="shared" si="0"/>
        <v>0</v>
      </c>
      <c r="EY5" s="44">
        <f t="shared" si="0"/>
        <v>7.7</v>
      </c>
      <c r="EZ5" s="44">
        <f t="shared" si="0"/>
        <v>1.95</v>
      </c>
      <c r="FA5" s="44">
        <f t="shared" si="0"/>
        <v>0.1</v>
      </c>
      <c r="FB5" s="44">
        <f t="shared" si="0"/>
        <v>0</v>
      </c>
      <c r="FC5" s="44">
        <f t="shared" si="0"/>
        <v>8.25</v>
      </c>
      <c r="FD5" s="44">
        <f t="shared" si="0"/>
        <v>1.7</v>
      </c>
      <c r="FE5" s="44">
        <f t="shared" si="0"/>
        <v>0</v>
      </c>
      <c r="FF5" s="44">
        <f t="shared" si="0"/>
        <v>0</v>
      </c>
      <c r="FG5" s="44">
        <f t="shared" si="0"/>
        <v>8.5</v>
      </c>
      <c r="FH5" s="44">
        <f t="shared" si="0"/>
        <v>1.95</v>
      </c>
      <c r="FI5" s="44">
        <f t="shared" si="0"/>
        <v>0</v>
      </c>
      <c r="FJ5" s="44">
        <f t="shared" si="0"/>
        <v>0</v>
      </c>
      <c r="FK5" s="20" t="s">
        <v>29</v>
      </c>
      <c r="FL5" s="10">
        <f>IF(EV5="","",EV5)</f>
        <v>1.7</v>
      </c>
      <c r="FM5" s="10">
        <f>IF(EU5="","",EU5+EV5+EX5-EW5)</f>
        <v>9.85</v>
      </c>
      <c r="FN5" s="10">
        <f>IF(EZ5="","",EZ5)</f>
        <v>1.95</v>
      </c>
      <c r="FO5" s="10">
        <f>IF(EY5="","",EY5+EZ5+FB5-FA5)</f>
        <v>9.5500000000000007</v>
      </c>
      <c r="FP5" s="10">
        <f>IF(SUM(EV5,EZ5)&gt;0,SUM(EV5,EZ5),"")</f>
        <v>3.65</v>
      </c>
      <c r="FQ5" s="10">
        <f t="shared" ref="FQ5" si="1">IF(SUM(FM5,FO5)&gt;0,SUM(FM5,FO5),"")</f>
        <v>19.399999999999999</v>
      </c>
      <c r="FR5" s="10">
        <f t="shared" ref="FR5" si="2">IF(FD5="","",FD5)</f>
        <v>1.7</v>
      </c>
      <c r="FS5" s="10">
        <f t="shared" ref="FS5" si="3">IF(FC5="","",FC5+FD5+FF5-FE5)</f>
        <v>9.9499999999999993</v>
      </c>
      <c r="FT5" s="10">
        <f t="shared" ref="FT5" si="4">IF(FH5="","",FH5)</f>
        <v>1.95</v>
      </c>
      <c r="FU5" s="10">
        <f t="shared" ref="FU5" si="5">IF(FG5="","",FG5+FH5+FJ5-FI5)</f>
        <v>10.45</v>
      </c>
      <c r="FV5" s="10">
        <f t="shared" ref="FV5" si="6">IF(SUM(FD5,FH5)&gt;0,SUM(FD5,FH5),"")</f>
        <v>3.65</v>
      </c>
      <c r="FW5" s="10">
        <f>IF(SUM(FS5,FU5)&gt;0,SUM(FS5,FU5),"")</f>
        <v>20.399999999999999</v>
      </c>
      <c r="FX5" s="10">
        <f>IF(SUM(FQ5,FW5)&gt;0,SUM(FQ5,FW5),"")</f>
        <v>39.799999999999997</v>
      </c>
    </row>
    <row r="6" spans="1:180" ht="17" x14ac:dyDescent="0.2">
      <c r="P6" s="9"/>
      <c r="Q6" s="9"/>
      <c r="R6" s="9"/>
    </row>
    <row r="7" spans="1:180" ht="17" x14ac:dyDescent="0.2">
      <c r="P7" s="9"/>
      <c r="Q7" s="9"/>
      <c r="R7" s="9"/>
    </row>
    <row r="8" spans="1:180" ht="17" x14ac:dyDescent="0.2">
      <c r="B8" s="17" t="s">
        <v>27</v>
      </c>
      <c r="P8" s="9"/>
      <c r="Q8" s="9"/>
      <c r="R8" s="9"/>
      <c r="AV8" s="28">
        <v>7.3</v>
      </c>
      <c r="BZ8" s="28">
        <v>7.3</v>
      </c>
      <c r="CW8" s="3"/>
      <c r="CX8" s="3"/>
      <c r="CY8" s="3"/>
      <c r="CZ8" s="3"/>
      <c r="DA8" s="3"/>
      <c r="DK8" s="28">
        <v>7.3</v>
      </c>
      <c r="EF8" s="3"/>
      <c r="EG8" s="3"/>
      <c r="EH8" s="3"/>
      <c r="EI8" s="3"/>
      <c r="EJ8" s="3"/>
      <c r="EK8" s="3"/>
      <c r="EL8" s="3"/>
      <c r="ET8" s="28">
        <v>7.3</v>
      </c>
    </row>
    <row r="9" spans="1:180" ht="17" hidden="1" x14ac:dyDescent="0.2">
      <c r="B9" s="22" t="s">
        <v>26</v>
      </c>
      <c r="P9" s="9"/>
      <c r="Q9" s="9"/>
      <c r="R9" s="9"/>
      <c r="AV9" s="40">
        <v>1000</v>
      </c>
      <c r="BZ9" s="40">
        <v>1000</v>
      </c>
      <c r="CW9" s="3"/>
      <c r="CX9" s="3"/>
      <c r="CY9" s="3"/>
      <c r="CZ9" s="3"/>
      <c r="DA9" s="3"/>
      <c r="DK9" s="40">
        <v>1000</v>
      </c>
      <c r="EF9" s="3"/>
      <c r="EG9" s="3"/>
      <c r="EH9" s="3"/>
      <c r="EI9" s="3"/>
      <c r="EJ9" s="3"/>
      <c r="EK9" s="3"/>
      <c r="EL9" s="3"/>
      <c r="ET9" s="40">
        <v>1000</v>
      </c>
    </row>
    <row r="10" spans="1:180" ht="17" hidden="1" x14ac:dyDescent="0.2">
      <c r="A10" s="4"/>
      <c r="B10" s="23" t="s">
        <v>94</v>
      </c>
      <c r="C10" s="16"/>
      <c r="P10" s="9"/>
      <c r="Q10" s="9"/>
      <c r="R10" s="9"/>
      <c r="AV10" s="29">
        <v>1000</v>
      </c>
      <c r="BZ10" s="29">
        <v>1000</v>
      </c>
      <c r="CW10" s="3"/>
      <c r="CX10" s="3"/>
      <c r="CY10" s="3"/>
      <c r="CZ10" s="3"/>
      <c r="DA10" s="3"/>
      <c r="DK10" s="29">
        <v>1000</v>
      </c>
      <c r="EF10" s="3"/>
      <c r="EG10" s="3"/>
      <c r="EH10" s="3"/>
      <c r="EI10" s="3"/>
      <c r="EJ10" s="3"/>
      <c r="EK10" s="3"/>
      <c r="EL10" s="3"/>
      <c r="ET10" s="29">
        <v>1000</v>
      </c>
    </row>
    <row r="11" spans="1:180" ht="17" x14ac:dyDescent="0.2">
      <c r="A11" s="4"/>
      <c r="B11" s="25" t="s">
        <v>24</v>
      </c>
      <c r="C11" s="16"/>
      <c r="P11" s="9"/>
      <c r="Q11" s="9"/>
      <c r="R11" s="9"/>
      <c r="AV11" s="30">
        <v>42.5</v>
      </c>
      <c r="BZ11" s="30">
        <v>42.5</v>
      </c>
      <c r="CW11" s="3"/>
      <c r="CX11" s="3"/>
      <c r="CY11" s="3"/>
      <c r="CZ11" s="3"/>
      <c r="DA11" s="3"/>
      <c r="DK11" s="30">
        <v>42.5</v>
      </c>
      <c r="EF11" s="3"/>
      <c r="EG11" s="3"/>
      <c r="EH11" s="3"/>
      <c r="EI11" s="3"/>
      <c r="EJ11" s="3"/>
      <c r="EK11" s="3"/>
      <c r="EL11" s="3"/>
      <c r="ET11" s="30">
        <v>42.5</v>
      </c>
    </row>
    <row r="12" spans="1:180" ht="17" hidden="1" x14ac:dyDescent="0.2">
      <c r="A12" s="4"/>
      <c r="B12" s="18" t="s">
        <v>25</v>
      </c>
      <c r="C12" s="16"/>
      <c r="P12" s="9"/>
      <c r="Q12" s="9"/>
      <c r="R12" s="9"/>
      <c r="AV12" s="31">
        <v>1000</v>
      </c>
      <c r="BZ12" s="31">
        <v>1000</v>
      </c>
      <c r="CW12" s="3"/>
      <c r="CX12" s="3"/>
      <c r="CY12" s="3"/>
      <c r="CZ12" s="3"/>
      <c r="DA12" s="3"/>
      <c r="DK12" s="31">
        <v>1000</v>
      </c>
      <c r="EF12" s="3"/>
      <c r="EG12" s="3"/>
      <c r="EH12" s="3"/>
      <c r="EI12" s="3"/>
      <c r="EJ12" s="3"/>
      <c r="EK12" s="3"/>
      <c r="EL12" s="3"/>
      <c r="ET12" s="31">
        <v>1000</v>
      </c>
    </row>
    <row r="13" spans="1:180" ht="17" hidden="1" x14ac:dyDescent="0.2">
      <c r="A13" s="4"/>
      <c r="B13" s="24" t="s">
        <v>93</v>
      </c>
      <c r="C13" s="16"/>
      <c r="P13" s="9"/>
      <c r="Q13" s="9"/>
      <c r="R13" s="9"/>
      <c r="AV13" s="32">
        <v>1000</v>
      </c>
      <c r="BZ13" s="32">
        <v>1000</v>
      </c>
      <c r="CW13" s="3"/>
      <c r="CX13" s="3"/>
      <c r="CY13" s="3"/>
      <c r="CZ13" s="3"/>
      <c r="DA13" s="3"/>
      <c r="DK13" s="32">
        <v>1000</v>
      </c>
      <c r="EF13" s="3"/>
      <c r="EG13" s="3"/>
      <c r="EH13" s="3"/>
      <c r="EI13" s="3"/>
      <c r="EJ13" s="3"/>
      <c r="EK13" s="3"/>
      <c r="EL13" s="3"/>
      <c r="ET13" s="32">
        <v>1000</v>
      </c>
    </row>
    <row r="14" spans="1:180" x14ac:dyDescent="0.2">
      <c r="B14" s="21" t="s">
        <v>30</v>
      </c>
      <c r="C14" s="1"/>
    </row>
    <row r="15" spans="1:180" x14ac:dyDescent="0.2">
      <c r="A15" s="4"/>
      <c r="B15" s="4"/>
      <c r="C15" s="16"/>
    </row>
    <row r="16" spans="1:180" x14ac:dyDescent="0.2">
      <c r="A16" s="4"/>
      <c r="B16" s="4"/>
      <c r="C16" s="16"/>
    </row>
    <row r="17" spans="1:3" x14ac:dyDescent="0.2">
      <c r="A17" s="4"/>
      <c r="B17" s="4"/>
      <c r="C17" s="16"/>
    </row>
    <row r="18" spans="1:3" x14ac:dyDescent="0.2">
      <c r="A18" s="4"/>
      <c r="B18" s="4"/>
      <c r="C18" s="4"/>
    </row>
    <row r="21" spans="1:3" x14ac:dyDescent="0.2">
      <c r="B21" s="41"/>
    </row>
  </sheetData>
  <sheetProtection sheet="1" formatCells="0" formatColumns="0" formatRows="0"/>
  <autoFilter ref="A1:FP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hiddenButton="1" showButton="0"/>
    <filterColumn colId="36" hiddenButton="1" showButton="0"/>
    <filterColumn colId="37" hiddenButton="1" showButton="0"/>
    <filterColumn colId="38" hiddenButton="1" showButton="0"/>
    <filterColumn colId="39" showButton="0"/>
    <filterColumn colId="40" showButton="0"/>
    <filterColumn colId="41" hiddenButton="1" showButton="0"/>
    <filterColumn colId="42" hiddenButton="1" showButton="0"/>
    <filterColumn colId="43" hiddenButton="1" showButton="0"/>
    <filterColumn colId="44" hiddenButton="1" showButton="0"/>
    <filterColumn colId="45" showButton="0"/>
    <filterColumn colId="46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hiddenButton="1" showButton="0"/>
    <filterColumn colId="66" hiddenButton="1" showButton="0"/>
    <filterColumn colId="67" hiddenButton="1" showButton="0"/>
    <filterColumn colId="68" hiddenButton="1" showButton="0"/>
    <filterColumn colId="69" showButton="0"/>
    <filterColumn colId="70" showButton="0"/>
    <filterColumn colId="71" hiddenButton="1" showButton="0"/>
    <filterColumn colId="72" hiddenButton="1" showButton="0"/>
    <filterColumn colId="73" hiddenButton="1" showButton="0"/>
    <filterColumn colId="74" hiddenButton="1" showButton="0"/>
    <filterColumn colId="75" showButton="0"/>
    <filterColumn colId="76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hiddenButton="1" showButton="0"/>
    <filterColumn colId="102" hiddenButton="1" showButton="0"/>
    <filterColumn colId="103" hiddenButton="1" showButton="0"/>
    <filterColumn colId="104" hiddenButton="1" showButton="0"/>
    <filterColumn colId="105" showButton="0"/>
    <filterColumn colId="106" showButton="0"/>
    <filterColumn colId="107" showButton="0"/>
    <filterColumn colId="108" hiddenButton="1" showButton="0"/>
    <filterColumn colId="109" hiddenButton="1" showButton="0"/>
    <filterColumn colId="110" showButton="0"/>
    <filterColumn colId="111" showButton="0"/>
    <filterColumn colId="112" hiddenButton="1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hiddenButton="1" showButton="0"/>
    <filterColumn colId="137" hiddenButton="1" showButton="0"/>
    <filterColumn colId="138" hiddenButton="1" showButton="0"/>
    <filterColumn colId="139" hiddenButton="1" showButton="0"/>
    <filterColumn colId="140" hiddenButton="1" showButton="0"/>
    <filterColumn colId="141" hiddenButton="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hiddenButton="1" showButton="0"/>
    <filterColumn colId="148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sortState xmlns:xlrd2="http://schemas.microsoft.com/office/spreadsheetml/2017/richdata2" ref="A5:FP6">
      <sortCondition descending="1" ref="F1:F6"/>
    </sortState>
  </autoFilter>
  <mergeCells count="46">
    <mergeCell ref="FC2:FF2"/>
    <mergeCell ref="FG2:FJ2"/>
    <mergeCell ref="CS2:CV2"/>
    <mergeCell ref="DL2:DO2"/>
    <mergeCell ref="DP2:DS2"/>
    <mergeCell ref="DT2:DW2"/>
    <mergeCell ref="DX2:EA2"/>
    <mergeCell ref="EB2:EE2"/>
    <mergeCell ref="CC2:CF2"/>
    <mergeCell ref="CG2:CJ2"/>
    <mergeCell ref="CK2:CN2"/>
    <mergeCell ref="EU2:EX2"/>
    <mergeCell ref="EY2:FB2"/>
    <mergeCell ref="AE2:AH2"/>
    <mergeCell ref="AW2:AZ2"/>
    <mergeCell ref="BA2:BD2"/>
    <mergeCell ref="BE2:BH2"/>
    <mergeCell ref="BI2:BL2"/>
    <mergeCell ref="EU1:FP1"/>
    <mergeCell ref="M1:M3"/>
    <mergeCell ref="N1:N3"/>
    <mergeCell ref="O1:O3"/>
    <mergeCell ref="P1:P3"/>
    <mergeCell ref="Q1:Q3"/>
    <mergeCell ref="R1:R3"/>
    <mergeCell ref="S1:AV1"/>
    <mergeCell ref="AW1:BZ1"/>
    <mergeCell ref="CA1:CB1"/>
    <mergeCell ref="CC1:DK1"/>
    <mergeCell ref="DL1:ET1"/>
    <mergeCell ref="CO2:CR2"/>
    <mergeCell ref="S2:V2"/>
    <mergeCell ref="W2:Z2"/>
    <mergeCell ref="AA2:AD2"/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</mergeCells>
  <conditionalFormatting sqref="A4:A1048576">
    <cfRule type="expression" dxfId="42" priority="44">
      <formula>IF(A4&gt;4,1,0)</formula>
    </cfRule>
    <cfRule type="expression" dxfId="41" priority="45" stopIfTrue="1">
      <formula>AND(G4="P",F4="")</formula>
    </cfRule>
  </conditionalFormatting>
  <conditionalFormatting sqref="H1:H1048576">
    <cfRule type="containsText" dxfId="40" priority="40" stopIfTrue="1" operator="containsText" text="National Team">
      <formula>NOT(ISERROR(SEARCH("National Team",H1)))</formula>
    </cfRule>
    <cfRule type="containsText" dxfId="39" priority="41" stopIfTrue="1" operator="containsText" text="Worlds Team">
      <formula>NOT(ISERROR(SEARCH("Worlds Team",H1)))</formula>
    </cfRule>
    <cfRule type="containsText" dxfId="38" priority="42" operator="containsText" text="Performance">
      <formula>NOT(ISERROR(SEARCH("Performance",H1)))</formula>
    </cfRule>
    <cfRule type="containsText" dxfId="37" priority="43" stopIfTrue="1" operator="containsText" text="No DD">
      <formula>NOT(ISERROR(SEARCH("No DD",H1)))</formula>
    </cfRule>
  </conditionalFormatting>
  <conditionalFormatting sqref="S4:AV5">
    <cfRule type="expression" dxfId="36" priority="39" stopIfTrue="1">
      <formula>IF($AI4&lt;&gt;"",1,0)</formula>
    </cfRule>
  </conditionalFormatting>
  <conditionalFormatting sqref="AW4:BZ5">
    <cfRule type="expression" dxfId="35" priority="38" stopIfTrue="1">
      <formula>IF($BM4&lt;&gt;"",1,0)</formula>
    </cfRule>
  </conditionalFormatting>
  <conditionalFormatting sqref="M1:M1048576 O1:O1048576 K1:K1048576">
    <cfRule type="expression" dxfId="34" priority="36" stopIfTrue="1">
      <formula>IF(K1=$AW$1,1,0)</formula>
    </cfRule>
    <cfRule type="expression" dxfId="33" priority="37" stopIfTrue="1">
      <formula>IF(K1=$S$1,1,0)</formula>
    </cfRule>
  </conditionalFormatting>
  <conditionalFormatting sqref="AJ1:AJ1048576 BN1:BN1048576 CY1:CY1048576 EH1:EH1048576">
    <cfRule type="cellIs" dxfId="32" priority="178467" stopIfTrue="1" operator="between">
      <formula>AV$10-0.00001</formula>
      <formula>1000</formula>
    </cfRule>
  </conditionalFormatting>
  <conditionalFormatting sqref="AN1:AN1048576 BR1:BR1048576">
    <cfRule type="cellIs" dxfId="31" priority="178479" operator="between">
      <formula>AV$8-0.00001</formula>
      <formula>AV$9-0.00001</formula>
    </cfRule>
    <cfRule type="cellIs" dxfId="30" priority="178480" operator="between">
      <formula>AV$9-0.00001</formula>
      <formula>1000</formula>
    </cfRule>
  </conditionalFormatting>
  <conditionalFormatting sqref="AT1:AT1048576 BX1:BX1048576">
    <cfRule type="cellIs" dxfId="29" priority="178491" operator="between">
      <formula>AV$9-0.00001</formula>
      <formula>1000</formula>
    </cfRule>
    <cfRule type="cellIs" dxfId="28" priority="178492" stopIfTrue="1" operator="between">
      <formula>AV$8-0.00001</formula>
      <formula>AV$9-0.00001</formula>
    </cfRule>
  </conditionalFormatting>
  <conditionalFormatting sqref="AL1:AL1048576 BP1:BP1048576">
    <cfRule type="cellIs" dxfId="27" priority="178503" operator="between">
      <formula>AV$10-0.00001</formula>
      <formula>1000</formula>
    </cfRule>
  </conditionalFormatting>
  <conditionalFormatting sqref="AP1:AP1048576 BT1:BT1048576 DE1:DE1048576 EN1:EN1048576">
    <cfRule type="cellIs" dxfId="26" priority="178509" operator="between">
      <formula>AV$10-0.00001</formula>
      <formula>1000</formula>
    </cfRule>
  </conditionalFormatting>
  <conditionalFormatting sqref="AR1:AR1048576 BV1:BV1048576">
    <cfRule type="cellIs" dxfId="25" priority="178521" operator="between">
      <formula>AV$10-0.00001</formula>
      <formula>1000</formula>
    </cfRule>
  </conditionalFormatting>
  <conditionalFormatting sqref="AK1:AK1048576 BO1:BO1048576">
    <cfRule type="cellIs" dxfId="24" priority="178527" operator="between">
      <formula>AV$13-0.00001</formula>
      <formula>1000</formula>
    </cfRule>
  </conditionalFormatting>
  <conditionalFormatting sqref="AO1:AO1048576 BS1:BS1048576">
    <cfRule type="cellIs" dxfId="23" priority="178533" operator="between">
      <formula>AV$11-0.00001</formula>
      <formula>AV$12-0.00001</formula>
    </cfRule>
    <cfRule type="cellIs" dxfId="22" priority="178534" operator="between">
      <formula>AV$12-0.00001</formula>
      <formula>1000</formula>
    </cfRule>
  </conditionalFormatting>
  <conditionalFormatting sqref="AU1:AU1048576 BY1:BY1048576">
    <cfRule type="cellIs" dxfId="21" priority="178545" stopIfTrue="1" operator="between">
      <formula>AV$12-0.00001</formula>
      <formula>1000</formula>
    </cfRule>
    <cfRule type="cellIs" dxfId="20" priority="178546" operator="between">
      <formula>AV$11-0.00001</formula>
      <formula>AV$12-0.00001</formula>
    </cfRule>
  </conditionalFormatting>
  <conditionalFormatting sqref="AM1:AM1048576 BQ1:BQ1048576">
    <cfRule type="cellIs" dxfId="19" priority="178557" stopIfTrue="1" operator="between">
      <formula>AV$13-0.00001</formula>
      <formula>1000</formula>
    </cfRule>
    <cfRule type="cellIs" dxfId="18" priority="178558" operator="between">
      <formula>AT$13-0.00001</formula>
      <formula>#REF!-0.00001</formula>
    </cfRule>
  </conditionalFormatting>
  <conditionalFormatting sqref="AQ1:AQ1048576 BU1:BU1048576">
    <cfRule type="cellIs" dxfId="17" priority="178569" stopIfTrue="1" operator="between">
      <formula>AV$13-0.00001</formula>
      <formula>1000</formula>
    </cfRule>
  </conditionalFormatting>
  <conditionalFormatting sqref="AS1:AS1048576 BW1:BW1048576">
    <cfRule type="cellIs" dxfId="16" priority="178575" stopIfTrue="1" operator="between">
      <formula>AV$13-0.00001</formula>
      <formula>1000</formula>
    </cfRule>
  </conditionalFormatting>
  <conditionalFormatting sqref="CW1:CW1048576 EF1:EF1048576">
    <cfRule type="cellIs" dxfId="15" priority="178581" operator="between">
      <formula>DK$10-0.00001</formula>
      <formula>1000</formula>
    </cfRule>
  </conditionalFormatting>
  <conditionalFormatting sqref="CX1:CX1048576 EG1:EG1048576">
    <cfRule type="cellIs" dxfId="14" priority="178587" operator="between">
      <formula>DK$13-0.00001</formula>
      <formula>1000</formula>
    </cfRule>
  </conditionalFormatting>
  <conditionalFormatting sqref="DA1:DA1048576 EJ1:EJ1048576">
    <cfRule type="cellIs" dxfId="13" priority="178593" stopIfTrue="1" operator="between">
      <formula>DK$8-0.00001</formula>
      <formula>DK$9-0.00001</formula>
    </cfRule>
    <cfRule type="cellIs" dxfId="12" priority="178594" operator="between">
      <formula>DK$9-0.00001</formula>
      <formula>1000</formula>
    </cfRule>
  </conditionalFormatting>
  <conditionalFormatting sqref="DB1:DB1048576 EK1:EK1048576">
    <cfRule type="cellIs" dxfId="11" priority="178605" operator="between">
      <formula>DK$11-0.00001</formula>
      <formula>DK$12-0.00001</formula>
    </cfRule>
    <cfRule type="cellIs" dxfId="10" priority="178606" stopIfTrue="1" operator="between">
      <formula>DK$12-0.00001</formula>
      <formula>1000</formula>
    </cfRule>
  </conditionalFormatting>
  <conditionalFormatting sqref="DC1:DC1048576 EL1:EL1048576">
    <cfRule type="cellIs" dxfId="9" priority="178617" operator="between">
      <formula>DK$10-0.00001</formula>
      <formula>1000</formula>
    </cfRule>
  </conditionalFormatting>
  <conditionalFormatting sqref="DG1:DG1048576 EP1:EP1048576">
    <cfRule type="cellIs" dxfId="8" priority="178623" stopIfTrue="1" operator="between">
      <formula>DK$10-0.00001</formula>
      <formula>1000</formula>
    </cfRule>
  </conditionalFormatting>
  <conditionalFormatting sqref="CZ1:CZ1048576 EI1:EI1048576">
    <cfRule type="cellIs" dxfId="7" priority="178629" stopIfTrue="1" operator="between">
      <formula>DK$13-0.00001</formula>
      <formula>1000</formula>
    </cfRule>
  </conditionalFormatting>
  <conditionalFormatting sqref="DD1:DD1048576 EM1:EM1048576">
    <cfRule type="cellIs" dxfId="6" priority="178635" operator="between">
      <formula>DK$13-0.00001</formula>
      <formula>1000</formula>
    </cfRule>
  </conditionalFormatting>
  <conditionalFormatting sqref="DF1:DF1048576 EO1:EO1048576">
    <cfRule type="cellIs" dxfId="5" priority="178641" operator="between">
      <formula>DK$13-0.00001</formula>
      <formula>1000</formula>
    </cfRule>
  </conditionalFormatting>
  <conditionalFormatting sqref="DH1:DH1048576 EQ1:EQ1048576">
    <cfRule type="cellIs" dxfId="4" priority="178647" operator="between">
      <formula>DK$13-0.00001</formula>
      <formula>1000</formula>
    </cfRule>
  </conditionalFormatting>
  <conditionalFormatting sqref="DI1:DI1048576 ER1:ER1048576">
    <cfRule type="cellIs" dxfId="3" priority="178653" operator="between">
      <formula>DK$9-0.00001</formula>
      <formula>1000</formula>
    </cfRule>
    <cfRule type="cellIs" dxfId="2" priority="178654" operator="between">
      <formula>DK$8-0.00001</formula>
      <formula>DK$9-0.00001</formula>
    </cfRule>
  </conditionalFormatting>
  <conditionalFormatting sqref="DJ1:DJ1048576 ES1:ES1048576">
    <cfRule type="cellIs" dxfId="1" priority="178665" operator="between">
      <formula>DK$11-0.00001</formula>
      <formula>DK$12-0.00001</formula>
    </cfRule>
    <cfRule type="cellIs" dxfId="0" priority="178666" operator="between">
      <formula>DK$12-0.00001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Senior-M</vt:lpstr>
      <vt:lpstr>Senior-W</vt:lpstr>
      <vt:lpstr>Development-M</vt:lpstr>
      <vt:lpstr>Development-W</vt:lpstr>
      <vt:lpstr>Junior-M</vt:lpstr>
      <vt:lpstr>Junior-W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2026-03-14T00:11:24Z</dcterms:modified>
</cp:coreProperties>
</file>