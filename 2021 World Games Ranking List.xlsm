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Dropbox/Documents/Trampoline/Websites/Trampoline Canada Website/Ranking Lists/"/>
    </mc:Choice>
  </mc:AlternateContent>
  <xr:revisionPtr revIDLastSave="0" documentId="13_ncr:1_{260BC4EA-9337-3C43-90D9-E46770A06908}" xr6:coauthVersionLast="47" xr6:coauthVersionMax="47" xr10:uidLastSave="{00000000-0000-0000-0000-000000000000}"/>
  <bookViews>
    <workbookView xWindow="0" yWindow="460" windowWidth="33600" windowHeight="20540" tabRatio="500" xr2:uid="{00000000-000D-0000-FFFF-FFFF00000000}"/>
  </bookViews>
  <sheets>
    <sheet name="TUM-M" sheetId="22" r:id="rId1"/>
    <sheet name="TUM-W" sheetId="8" r:id="rId2"/>
    <sheet name="DMT-M" sheetId="23" r:id="rId3"/>
    <sheet name="DMT-W" sheetId="24" r:id="rId4"/>
  </sheets>
  <definedNames>
    <definedName name="_xlnm._FilterDatabase" localSheetId="2" hidden="1">'DMT-M'!$A$1:$CN$18</definedName>
    <definedName name="_xlnm._FilterDatabase" localSheetId="3" hidden="1">'DMT-W'!$A$1:$CN$15</definedName>
    <definedName name="_xlnm._FilterDatabase" localSheetId="0" hidden="1">'TUM-M'!$A$1:$CN$6</definedName>
    <definedName name="_xlnm._FilterDatabase" localSheetId="1" hidden="1">'TUM-W'!$A$1:$CN$7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J7" i="8" l="1"/>
  <c r="AK7" i="8"/>
  <c r="AL7" i="8"/>
  <c r="AM7" i="8"/>
  <c r="BJ7" i="8"/>
  <c r="BK7" i="8"/>
  <c r="BL7" i="8"/>
  <c r="BM7" i="8"/>
  <c r="CJ7" i="8"/>
  <c r="CK7" i="8"/>
  <c r="CL7" i="8"/>
  <c r="CM7" i="8"/>
  <c r="CN7" i="8" l="1"/>
  <c r="BN7" i="8"/>
  <c r="G7" i="8"/>
  <c r="H7" i="8" s="1"/>
  <c r="AN7" i="8"/>
  <c r="I7" i="8"/>
  <c r="J7" i="8" s="1"/>
  <c r="K7" i="8"/>
  <c r="AJ6" i="22"/>
  <c r="AN6" i="22" s="1"/>
  <c r="AK6" i="22"/>
  <c r="AL6" i="22"/>
  <c r="AM6" i="22"/>
  <c r="BJ6" i="22"/>
  <c r="BK6" i="22"/>
  <c r="BL6" i="22"/>
  <c r="BM6" i="22"/>
  <c r="CJ6" i="22"/>
  <c r="CK6" i="22"/>
  <c r="CL6" i="22"/>
  <c r="CM6" i="22"/>
  <c r="BN6" i="22" l="1"/>
  <c r="L7" i="8"/>
  <c r="M7" i="8"/>
  <c r="K6" i="22"/>
  <c r="L6" i="22" s="1"/>
  <c r="CN6" i="22"/>
  <c r="G6" i="22"/>
  <c r="H6" i="22" s="1"/>
  <c r="I6" i="22"/>
  <c r="J6" i="22" s="1"/>
  <c r="A17" i="23" a="1"/>
  <c r="A17" i="23" s="1"/>
  <c r="AJ17" i="23"/>
  <c r="AK17" i="23"/>
  <c r="AL17" i="23"/>
  <c r="AM17" i="23"/>
  <c r="BJ17" i="23"/>
  <c r="BK17" i="23"/>
  <c r="BL17" i="23"/>
  <c r="BM17" i="23"/>
  <c r="CJ17" i="23"/>
  <c r="CK17" i="23"/>
  <c r="CL17" i="23"/>
  <c r="CM17" i="23"/>
  <c r="AN17" i="23" l="1"/>
  <c r="BN17" i="23"/>
  <c r="N7" i="8"/>
  <c r="E7" i="8" s="1"/>
  <c r="A7" i="8" s="1" a="1"/>
  <c r="A7" i="8" s="1"/>
  <c r="M6" i="22"/>
  <c r="N6" i="22" s="1"/>
  <c r="E6" i="22" s="1"/>
  <c r="A6" i="22" s="1" a="1"/>
  <c r="A6" i="22" s="1"/>
  <c r="CN17" i="23"/>
  <c r="K17" i="23"/>
  <c r="M17" i="23" s="1"/>
  <c r="G17" i="23"/>
  <c r="H17" i="23" s="1"/>
  <c r="I17" i="23"/>
  <c r="J17" i="23" s="1"/>
  <c r="AJ12" i="24"/>
  <c r="AK12" i="24"/>
  <c r="AL12" i="24"/>
  <c r="AM12" i="24"/>
  <c r="BJ12" i="24"/>
  <c r="BK12" i="24"/>
  <c r="BL12" i="24"/>
  <c r="BM12" i="24"/>
  <c r="CJ12" i="24"/>
  <c r="CK12" i="24"/>
  <c r="CL12" i="24"/>
  <c r="CM12" i="24"/>
  <c r="AJ13" i="24"/>
  <c r="AK13" i="24"/>
  <c r="AL13" i="24"/>
  <c r="AM13" i="24"/>
  <c r="BJ13" i="24"/>
  <c r="BK13" i="24"/>
  <c r="BL13" i="24"/>
  <c r="BM13" i="24"/>
  <c r="CJ13" i="24"/>
  <c r="CK13" i="24"/>
  <c r="CL13" i="24"/>
  <c r="CM13" i="24"/>
  <c r="A6" i="8" a="1"/>
  <c r="A6" i="8" s="1"/>
  <c r="A12" i="23" a="1"/>
  <c r="A12" i="23" s="1"/>
  <c r="A14" i="23" a="1"/>
  <c r="A14" i="23" s="1"/>
  <c r="A10" i="23" a="1"/>
  <c r="A10" i="23" s="1"/>
  <c r="A16" i="23" a="1"/>
  <c r="A16" i="23" s="1"/>
  <c r="A15" i="23" a="1"/>
  <c r="A15" i="23" s="1"/>
  <c r="A9" i="23" a="1"/>
  <c r="A9" i="23" s="1"/>
  <c r="A11" i="23" a="1"/>
  <c r="A11" i="23" s="1"/>
  <c r="A18" i="23" a="1"/>
  <c r="A18" i="23" s="1"/>
  <c r="A13" i="23" a="1"/>
  <c r="A13" i="23" s="1"/>
  <c r="AJ14" i="24"/>
  <c r="AK14" i="24"/>
  <c r="AL14" i="24"/>
  <c r="AM14" i="24"/>
  <c r="BJ14" i="24"/>
  <c r="BK14" i="24"/>
  <c r="BL14" i="24"/>
  <c r="BM14" i="24"/>
  <c r="CJ14" i="24"/>
  <c r="CK14" i="24"/>
  <c r="CL14" i="24"/>
  <c r="CM14" i="24"/>
  <c r="AJ15" i="24"/>
  <c r="AK15" i="24"/>
  <c r="AL15" i="24"/>
  <c r="AM15" i="24"/>
  <c r="BJ15" i="24"/>
  <c r="BK15" i="24"/>
  <c r="BL15" i="24"/>
  <c r="BM15" i="24"/>
  <c r="BN15" i="24" s="1"/>
  <c r="CJ15" i="24"/>
  <c r="CK15" i="24"/>
  <c r="CL15" i="24"/>
  <c r="CM15" i="24"/>
  <c r="AJ11" i="23"/>
  <c r="AK11" i="23"/>
  <c r="AL11" i="23"/>
  <c r="AM11" i="23"/>
  <c r="BJ11" i="23"/>
  <c r="BK11" i="23"/>
  <c r="BL11" i="23"/>
  <c r="BM11" i="23"/>
  <c r="CJ11" i="23"/>
  <c r="CK11" i="23"/>
  <c r="CL11" i="23"/>
  <c r="CM11" i="23"/>
  <c r="AJ18" i="23"/>
  <c r="AK18" i="23"/>
  <c r="AL18" i="23"/>
  <c r="AM18" i="23"/>
  <c r="BJ18" i="23"/>
  <c r="BK18" i="23"/>
  <c r="BL18" i="23"/>
  <c r="BM18" i="23"/>
  <c r="CJ18" i="23"/>
  <c r="CK18" i="23"/>
  <c r="CL18" i="23"/>
  <c r="CM18" i="23"/>
  <c r="AN14" i="24" l="1"/>
  <c r="BN13" i="24"/>
  <c r="CN18" i="23"/>
  <c r="L17" i="23"/>
  <c r="N17" i="23" s="1"/>
  <c r="E17" i="23" s="1"/>
  <c r="CN11" i="23"/>
  <c r="CN12" i="24"/>
  <c r="CN13" i="24"/>
  <c r="K13" i="24"/>
  <c r="M13" i="24" s="1"/>
  <c r="BN12" i="24"/>
  <c r="K12" i="24"/>
  <c r="L12" i="24" s="1"/>
  <c r="G12" i="24"/>
  <c r="H12" i="24" s="1"/>
  <c r="AN12" i="24"/>
  <c r="AN13" i="24"/>
  <c r="I13" i="24"/>
  <c r="J13" i="24" s="1"/>
  <c r="I12" i="24"/>
  <c r="J12" i="24" s="1"/>
  <c r="G13" i="24"/>
  <c r="I15" i="24"/>
  <c r="J15" i="24" s="1"/>
  <c r="BN14" i="24"/>
  <c r="K11" i="23"/>
  <c r="L11" i="23" s="1"/>
  <c r="CN14" i="24"/>
  <c r="CN15" i="24"/>
  <c r="K14" i="24"/>
  <c r="L14" i="24" s="1"/>
  <c r="K15" i="24"/>
  <c r="L15" i="24" s="1"/>
  <c r="G14" i="24"/>
  <c r="H14" i="24" s="1"/>
  <c r="AN15" i="24"/>
  <c r="I14" i="24"/>
  <c r="J14" i="24" s="1"/>
  <c r="G15" i="24"/>
  <c r="G18" i="23"/>
  <c r="H18" i="23" s="1"/>
  <c r="BN11" i="23"/>
  <c r="BN18" i="23"/>
  <c r="G11" i="23"/>
  <c r="H11" i="23" s="1"/>
  <c r="K18" i="23"/>
  <c r="M18" i="23" s="1"/>
  <c r="AN11" i="23"/>
  <c r="AN18" i="23"/>
  <c r="I18" i="23"/>
  <c r="J18" i="23" s="1"/>
  <c r="I11" i="23"/>
  <c r="J11" i="23" s="1"/>
  <c r="M11" i="23" l="1"/>
  <c r="N11" i="23" s="1"/>
  <c r="L13" i="24"/>
  <c r="M12" i="24"/>
  <c r="N12" i="24" s="1"/>
  <c r="H13" i="24"/>
  <c r="N13" i="24"/>
  <c r="M15" i="24"/>
  <c r="N15" i="24" s="1"/>
  <c r="M14" i="24"/>
  <c r="N14" i="24" s="1"/>
  <c r="H15" i="24"/>
  <c r="L18" i="23"/>
  <c r="N18" i="23"/>
  <c r="E18" i="23" l="1"/>
  <c r="E11" i="23"/>
  <c r="E12" i="24"/>
  <c r="E13" i="24"/>
  <c r="A13" i="24" a="1"/>
  <c r="A13" i="24" s="1"/>
  <c r="A12" i="24" a="1"/>
  <c r="A12" i="24" s="1"/>
  <c r="E15" i="24"/>
  <c r="E14" i="24"/>
  <c r="A15" i="24" a="1"/>
  <c r="A15" i="24" s="1"/>
  <c r="A14" i="24" a="1"/>
  <c r="A14" i="24" s="1"/>
  <c r="CM11" i="24" l="1"/>
  <c r="CL11" i="24"/>
  <c r="CK11" i="24"/>
  <c r="CJ11" i="24"/>
  <c r="BM11" i="24"/>
  <c r="BL11" i="24"/>
  <c r="BK11" i="24"/>
  <c r="BJ11" i="24"/>
  <c r="AM11" i="24"/>
  <c r="AL11" i="24"/>
  <c r="AK11" i="24"/>
  <c r="AJ11" i="24"/>
  <c r="CM8" i="24"/>
  <c r="CL8" i="24"/>
  <c r="CK8" i="24"/>
  <c r="CJ8" i="24"/>
  <c r="BM8" i="24"/>
  <c r="BL8" i="24"/>
  <c r="BK8" i="24"/>
  <c r="BJ8" i="24"/>
  <c r="AM8" i="24"/>
  <c r="AL8" i="24"/>
  <c r="AK8" i="24"/>
  <c r="AJ8" i="24"/>
  <c r="CM7" i="24"/>
  <c r="CL7" i="24"/>
  <c r="CK7" i="24"/>
  <c r="CJ7" i="24"/>
  <c r="BM7" i="24"/>
  <c r="BL7" i="24"/>
  <c r="BK7" i="24"/>
  <c r="BJ7" i="24"/>
  <c r="AM7" i="24"/>
  <c r="AL7" i="24"/>
  <c r="AK7" i="24"/>
  <c r="AJ7" i="24"/>
  <c r="CM9" i="24"/>
  <c r="CL9" i="24"/>
  <c r="CK9" i="24"/>
  <c r="CJ9" i="24"/>
  <c r="BM9" i="24"/>
  <c r="BL9" i="24"/>
  <c r="BK9" i="24"/>
  <c r="BJ9" i="24"/>
  <c r="AM9" i="24"/>
  <c r="AL9" i="24"/>
  <c r="AK9" i="24"/>
  <c r="AJ9" i="24"/>
  <c r="CM10" i="24"/>
  <c r="CL10" i="24"/>
  <c r="CK10" i="24"/>
  <c r="CJ10" i="24"/>
  <c r="BM10" i="24"/>
  <c r="BL10" i="24"/>
  <c r="BK10" i="24"/>
  <c r="BJ10" i="24"/>
  <c r="AM10" i="24"/>
  <c r="AL10" i="24"/>
  <c r="AK10" i="24"/>
  <c r="AJ10" i="24"/>
  <c r="CM4" i="24"/>
  <c r="CL4" i="24"/>
  <c r="CK4" i="24"/>
  <c r="CJ4" i="24"/>
  <c r="BM4" i="24"/>
  <c r="BL4" i="24"/>
  <c r="BK4" i="24"/>
  <c r="BJ4" i="24"/>
  <c r="AM4" i="24"/>
  <c r="AL4" i="24"/>
  <c r="AK4" i="24"/>
  <c r="AJ4" i="24"/>
  <c r="CM5" i="24"/>
  <c r="CL5" i="24"/>
  <c r="CK5" i="24"/>
  <c r="CJ5" i="24"/>
  <c r="BM5" i="24"/>
  <c r="BL5" i="24"/>
  <c r="BK5" i="24"/>
  <c r="BJ5" i="24"/>
  <c r="AM5" i="24"/>
  <c r="AL5" i="24"/>
  <c r="AK5" i="24"/>
  <c r="AJ5" i="24"/>
  <c r="CM6" i="24"/>
  <c r="CL6" i="24"/>
  <c r="CK6" i="24"/>
  <c r="CJ6" i="24"/>
  <c r="BM6" i="24"/>
  <c r="BL6" i="24"/>
  <c r="BK6" i="24"/>
  <c r="BJ6" i="24"/>
  <c r="AM6" i="24"/>
  <c r="AL6" i="24"/>
  <c r="AK6" i="24"/>
  <c r="AJ6" i="24"/>
  <c r="CM8" i="23"/>
  <c r="CL8" i="23"/>
  <c r="CK8" i="23"/>
  <c r="CJ8" i="23"/>
  <c r="BM8" i="23"/>
  <c r="BL8" i="23"/>
  <c r="BK8" i="23"/>
  <c r="BJ8" i="23"/>
  <c r="AM8" i="23"/>
  <c r="AL8" i="23"/>
  <c r="AK8" i="23"/>
  <c r="AJ8" i="23"/>
  <c r="CM13" i="23"/>
  <c r="CL13" i="23"/>
  <c r="CK13" i="23"/>
  <c r="CJ13" i="23"/>
  <c r="BM13" i="23"/>
  <c r="BL13" i="23"/>
  <c r="BK13" i="23"/>
  <c r="BJ13" i="23"/>
  <c r="AM13" i="23"/>
  <c r="AL13" i="23"/>
  <c r="AK13" i="23"/>
  <c r="AJ13" i="23"/>
  <c r="CM9" i="23"/>
  <c r="CL9" i="23"/>
  <c r="CK9" i="23"/>
  <c r="CJ9" i="23"/>
  <c r="BM9" i="23"/>
  <c r="BL9" i="23"/>
  <c r="BK9" i="23"/>
  <c r="BJ9" i="23"/>
  <c r="AM9" i="23"/>
  <c r="AL9" i="23"/>
  <c r="AK9" i="23"/>
  <c r="AJ9" i="23"/>
  <c r="CM15" i="23"/>
  <c r="CL15" i="23"/>
  <c r="CK15" i="23"/>
  <c r="CJ15" i="23"/>
  <c r="BM15" i="23"/>
  <c r="BL15" i="23"/>
  <c r="BK15" i="23"/>
  <c r="BJ15" i="23"/>
  <c r="AM15" i="23"/>
  <c r="AL15" i="23"/>
  <c r="AK15" i="23"/>
  <c r="AJ15" i="23"/>
  <c r="CM6" i="23"/>
  <c r="CL6" i="23"/>
  <c r="CK6" i="23"/>
  <c r="CJ6" i="23"/>
  <c r="BM6" i="23"/>
  <c r="BL6" i="23"/>
  <c r="BK6" i="23"/>
  <c r="BJ6" i="23"/>
  <c r="AM6" i="23"/>
  <c r="AL6" i="23"/>
  <c r="AK6" i="23"/>
  <c r="AJ6" i="23"/>
  <c r="CM16" i="23"/>
  <c r="CL16" i="23"/>
  <c r="CK16" i="23"/>
  <c r="CJ16" i="23"/>
  <c r="BM16" i="23"/>
  <c r="BL16" i="23"/>
  <c r="BK16" i="23"/>
  <c r="BJ16" i="23"/>
  <c r="AM16" i="23"/>
  <c r="AL16" i="23"/>
  <c r="AK16" i="23"/>
  <c r="AJ16" i="23"/>
  <c r="CM10" i="23"/>
  <c r="CL10" i="23"/>
  <c r="CK10" i="23"/>
  <c r="CJ10" i="23"/>
  <c r="BM10" i="23"/>
  <c r="BL10" i="23"/>
  <c r="BK10" i="23"/>
  <c r="BJ10" i="23"/>
  <c r="AM10" i="23"/>
  <c r="AL10" i="23"/>
  <c r="AK10" i="23"/>
  <c r="AJ10" i="23"/>
  <c r="CM14" i="23"/>
  <c r="CL14" i="23"/>
  <c r="CK14" i="23"/>
  <c r="CJ14" i="23"/>
  <c r="BM14" i="23"/>
  <c r="BL14" i="23"/>
  <c r="BK14" i="23"/>
  <c r="BJ14" i="23"/>
  <c r="AM14" i="23"/>
  <c r="AL14" i="23"/>
  <c r="AK14" i="23"/>
  <c r="AJ14" i="23"/>
  <c r="CM12" i="23"/>
  <c r="CL12" i="23"/>
  <c r="CK12" i="23"/>
  <c r="CJ12" i="23"/>
  <c r="BM12" i="23"/>
  <c r="BL12" i="23"/>
  <c r="BK12" i="23"/>
  <c r="BJ12" i="23"/>
  <c r="AM12" i="23"/>
  <c r="AL12" i="23"/>
  <c r="AK12" i="23"/>
  <c r="AJ12" i="23"/>
  <c r="CM7" i="23"/>
  <c r="CL7" i="23"/>
  <c r="CK7" i="23"/>
  <c r="CJ7" i="23"/>
  <c r="BM7" i="23"/>
  <c r="BL7" i="23"/>
  <c r="BK7" i="23"/>
  <c r="BJ7" i="23"/>
  <c r="AM7" i="23"/>
  <c r="AL7" i="23"/>
  <c r="AK7" i="23"/>
  <c r="AJ7" i="23"/>
  <c r="CM5" i="23"/>
  <c r="CL5" i="23"/>
  <c r="CK5" i="23"/>
  <c r="CJ5" i="23"/>
  <c r="BM5" i="23"/>
  <c r="BL5" i="23"/>
  <c r="BK5" i="23"/>
  <c r="BJ5" i="23"/>
  <c r="AM5" i="23"/>
  <c r="AL5" i="23"/>
  <c r="AK5" i="23"/>
  <c r="AJ5" i="23"/>
  <c r="CM4" i="23"/>
  <c r="CL4" i="23"/>
  <c r="CK4" i="23"/>
  <c r="CJ4" i="23"/>
  <c r="BM4" i="23"/>
  <c r="BL4" i="23"/>
  <c r="BK4" i="23"/>
  <c r="BJ4" i="23"/>
  <c r="AM4" i="23"/>
  <c r="AL4" i="23"/>
  <c r="AK4" i="23"/>
  <c r="AJ4" i="23"/>
  <c r="CM4" i="22"/>
  <c r="CL4" i="22"/>
  <c r="CK4" i="22"/>
  <c r="CJ4" i="22"/>
  <c r="BM4" i="22"/>
  <c r="BL4" i="22"/>
  <c r="BK4" i="22"/>
  <c r="BJ4" i="22"/>
  <c r="AM4" i="22"/>
  <c r="AL4" i="22"/>
  <c r="AK4" i="22"/>
  <c r="AJ4" i="22"/>
  <c r="CM5" i="22"/>
  <c r="CL5" i="22"/>
  <c r="CK5" i="22"/>
  <c r="CJ5" i="22"/>
  <c r="BM5" i="22"/>
  <c r="BL5" i="22"/>
  <c r="BK5" i="22"/>
  <c r="BJ5" i="22"/>
  <c r="AM5" i="22"/>
  <c r="AL5" i="22"/>
  <c r="AK5" i="22"/>
  <c r="AJ5" i="22"/>
  <c r="AJ4" i="8"/>
  <c r="AK4" i="8"/>
  <c r="AL4" i="8"/>
  <c r="AM4" i="8"/>
  <c r="BJ4" i="8"/>
  <c r="BK4" i="8"/>
  <c r="BL4" i="8"/>
  <c r="BM4" i="8"/>
  <c r="CJ4" i="8"/>
  <c r="CK4" i="8"/>
  <c r="CL4" i="8"/>
  <c r="CM4" i="8"/>
  <c r="AJ5" i="8"/>
  <c r="AK5" i="8"/>
  <c r="AL5" i="8"/>
  <c r="AM5" i="8"/>
  <c r="BJ5" i="8"/>
  <c r="BK5" i="8"/>
  <c r="BL5" i="8"/>
  <c r="BM5" i="8"/>
  <c r="CJ5" i="8"/>
  <c r="CK5" i="8"/>
  <c r="CL5" i="8"/>
  <c r="CM5" i="8"/>
  <c r="CL6" i="8"/>
  <c r="CM6" i="8"/>
  <c r="CK6" i="8"/>
  <c r="CJ6" i="8"/>
  <c r="BJ6" i="8"/>
  <c r="BK6" i="8"/>
  <c r="BL6" i="8"/>
  <c r="BM6" i="8"/>
  <c r="AJ6" i="8"/>
  <c r="AK6" i="8"/>
  <c r="AL6" i="8"/>
  <c r="AM6" i="8"/>
  <c r="AN8" i="23" l="1"/>
  <c r="CN8" i="23"/>
  <c r="CN5" i="8"/>
  <c r="BN4" i="8"/>
  <c r="CN4" i="23"/>
  <c r="AN14" i="23"/>
  <c r="AN13" i="23"/>
  <c r="CN13" i="23"/>
  <c r="CN12" i="23"/>
  <c r="CN6" i="23"/>
  <c r="CN9" i="23"/>
  <c r="K13" i="23"/>
  <c r="M13" i="23" s="1"/>
  <c r="K8" i="23"/>
  <c r="M8" i="23" s="1"/>
  <c r="BN5" i="8"/>
  <c r="CN4" i="8"/>
  <c r="AN4" i="22"/>
  <c r="CN4" i="22"/>
  <c r="K5" i="22"/>
  <c r="M5" i="22" s="1"/>
  <c r="K14" i="23"/>
  <c r="M14" i="23" s="1"/>
  <c r="CN14" i="23"/>
  <c r="K10" i="23"/>
  <c r="M10" i="23" s="1"/>
  <c r="K15" i="23"/>
  <c r="M15" i="23" s="1"/>
  <c r="N15" i="23" s="1"/>
  <c r="CN15" i="23"/>
  <c r="I14" i="23"/>
  <c r="J14" i="23" s="1"/>
  <c r="AN10" i="23"/>
  <c r="AN4" i="23"/>
  <c r="K12" i="23"/>
  <c r="M12" i="23" s="1"/>
  <c r="K9" i="23"/>
  <c r="M9" i="23" s="1"/>
  <c r="BN8" i="23"/>
  <c r="K6" i="23"/>
  <c r="M6" i="23" s="1"/>
  <c r="K5" i="23"/>
  <c r="M5" i="23" s="1"/>
  <c r="CN4" i="24"/>
  <c r="AN10" i="24"/>
  <c r="CN10" i="24"/>
  <c r="AN7" i="24"/>
  <c r="CN7" i="24"/>
  <c r="AN4" i="24"/>
  <c r="BN6" i="24"/>
  <c r="AN11" i="24"/>
  <c r="CN11" i="24"/>
  <c r="I4" i="24"/>
  <c r="J4" i="24" s="1"/>
  <c r="I10" i="24"/>
  <c r="J10" i="24" s="1"/>
  <c r="I7" i="24"/>
  <c r="J7" i="24" s="1"/>
  <c r="BN11" i="24"/>
  <c r="AN8" i="24"/>
  <c r="I8" i="24"/>
  <c r="J8" i="24" s="1"/>
  <c r="CN8" i="24"/>
  <c r="AN5" i="22"/>
  <c r="K6" i="24"/>
  <c r="M6" i="24" s="1"/>
  <c r="AN6" i="24"/>
  <c r="I15" i="23"/>
  <c r="J15" i="23" s="1"/>
  <c r="I8" i="23"/>
  <c r="J8" i="23" s="1"/>
  <c r="K7" i="23"/>
  <c r="M7" i="23" s="1"/>
  <c r="AN7" i="23"/>
  <c r="AN9" i="23"/>
  <c r="K16" i="23"/>
  <c r="M16" i="23" s="1"/>
  <c r="N16" i="23" s="1"/>
  <c r="AN16" i="23"/>
  <c r="AN15" i="23"/>
  <c r="K4" i="23"/>
  <c r="M4" i="23" s="1"/>
  <c r="AN5" i="23"/>
  <c r="K4" i="8"/>
  <c r="L4" i="8" s="1"/>
  <c r="K5" i="8"/>
  <c r="L5" i="8" s="1"/>
  <c r="G4" i="8"/>
  <c r="H4" i="8" s="1"/>
  <c r="G5" i="8"/>
  <c r="H5" i="8" s="1"/>
  <c r="AN5" i="24"/>
  <c r="CN5" i="24"/>
  <c r="AN9" i="24"/>
  <c r="CN9" i="24"/>
  <c r="I5" i="24"/>
  <c r="J5" i="24" s="1"/>
  <c r="I9" i="24"/>
  <c r="J9" i="24" s="1"/>
  <c r="I11" i="24"/>
  <c r="J11" i="24" s="1"/>
  <c r="CN6" i="24"/>
  <c r="K5" i="24"/>
  <c r="K4" i="24"/>
  <c r="K10" i="24"/>
  <c r="K9" i="24"/>
  <c r="K7" i="24"/>
  <c r="K8" i="24"/>
  <c r="K11" i="24"/>
  <c r="G6" i="24"/>
  <c r="I6" i="24"/>
  <c r="J6" i="24" s="1"/>
  <c r="G5" i="24"/>
  <c r="G4" i="24"/>
  <c r="G10" i="24"/>
  <c r="G9" i="24"/>
  <c r="G7" i="24"/>
  <c r="G8" i="24"/>
  <c r="G11" i="24"/>
  <c r="BN5" i="24"/>
  <c r="BN4" i="24"/>
  <c r="BN10" i="24"/>
  <c r="BN9" i="24"/>
  <c r="BN7" i="24"/>
  <c r="BN8" i="24"/>
  <c r="BN4" i="22"/>
  <c r="CN5" i="22"/>
  <c r="BN5" i="22"/>
  <c r="I4" i="22"/>
  <c r="J4" i="22" s="1"/>
  <c r="AN12" i="23"/>
  <c r="AN6" i="23"/>
  <c r="I12" i="23"/>
  <c r="J12" i="23" s="1"/>
  <c r="I6" i="23"/>
  <c r="J6" i="23" s="1"/>
  <c r="CN7" i="23"/>
  <c r="CN16" i="23"/>
  <c r="I7" i="23"/>
  <c r="J7" i="23" s="1"/>
  <c r="I16" i="23"/>
  <c r="J16" i="23" s="1"/>
  <c r="CN5" i="23"/>
  <c r="CN10" i="23"/>
  <c r="I13" i="23"/>
  <c r="J13" i="23" s="1"/>
  <c r="BN4" i="23"/>
  <c r="I5" i="23"/>
  <c r="J5" i="23" s="1"/>
  <c r="I10" i="23"/>
  <c r="J10" i="23" s="1"/>
  <c r="I9" i="23"/>
  <c r="J9" i="23" s="1"/>
  <c r="G8" i="23"/>
  <c r="H8" i="23" s="1"/>
  <c r="G4" i="23"/>
  <c r="I4" i="23"/>
  <c r="J4" i="23" s="1"/>
  <c r="G5" i="23"/>
  <c r="G7" i="23"/>
  <c r="G12" i="23"/>
  <c r="G14" i="23"/>
  <c r="G10" i="23"/>
  <c r="G16" i="23"/>
  <c r="G6" i="23"/>
  <c r="G15" i="23"/>
  <c r="G9" i="23"/>
  <c r="G13" i="23"/>
  <c r="BN5" i="23"/>
  <c r="BN7" i="23"/>
  <c r="BN12" i="23"/>
  <c r="BN14" i="23"/>
  <c r="BN10" i="23"/>
  <c r="BN16" i="23"/>
  <c r="BN6" i="23"/>
  <c r="BN15" i="23"/>
  <c r="BN9" i="23"/>
  <c r="BN13" i="23"/>
  <c r="K4" i="22"/>
  <c r="G5" i="22"/>
  <c r="I5" i="22"/>
  <c r="J5" i="22" s="1"/>
  <c r="G4" i="22"/>
  <c r="AN5" i="8"/>
  <c r="AN4" i="8"/>
  <c r="CN6" i="8"/>
  <c r="I5" i="8"/>
  <c r="J5" i="8" s="1"/>
  <c r="I4" i="8"/>
  <c r="J4" i="8" s="1"/>
  <c r="AN6" i="8"/>
  <c r="BN6" i="8"/>
  <c r="K6" i="8"/>
  <c r="L10" i="23" l="1"/>
  <c r="N10" i="23" s="1"/>
  <c r="L12" i="23"/>
  <c r="N12" i="23" s="1"/>
  <c r="L8" i="23"/>
  <c r="N8" i="23" s="1"/>
  <c r="E8" i="23" s="1"/>
  <c r="L5" i="23"/>
  <c r="N5" i="23" s="1"/>
  <c r="L5" i="22"/>
  <c r="N5" i="22" s="1"/>
  <c r="L15" i="23"/>
  <c r="L13" i="23"/>
  <c r="N13" i="23" s="1"/>
  <c r="L9" i="23"/>
  <c r="N9" i="23" s="1"/>
  <c r="L14" i="23"/>
  <c r="N14" i="23" s="1"/>
  <c r="L6" i="23"/>
  <c r="N6" i="23" s="1"/>
  <c r="L16" i="23"/>
  <c r="L7" i="23"/>
  <c r="N7" i="23" s="1"/>
  <c r="L4" i="23"/>
  <c r="N4" i="23" s="1"/>
  <c r="L6" i="24"/>
  <c r="N6" i="24" s="1"/>
  <c r="M4" i="8"/>
  <c r="N4" i="8" s="1"/>
  <c r="E4" i="8" s="1"/>
  <c r="M5" i="8"/>
  <c r="N5" i="8" s="1"/>
  <c r="M5" i="24"/>
  <c r="L5" i="24"/>
  <c r="H11" i="24"/>
  <c r="H5" i="24"/>
  <c r="H8" i="24"/>
  <c r="M7" i="24"/>
  <c r="L7" i="24"/>
  <c r="M8" i="24"/>
  <c r="L8" i="24"/>
  <c r="M9" i="24"/>
  <c r="L9" i="24"/>
  <c r="H7" i="24"/>
  <c r="M10" i="24"/>
  <c r="L10" i="24"/>
  <c r="H9" i="24"/>
  <c r="H6" i="24"/>
  <c r="H4" i="24"/>
  <c r="H10" i="24"/>
  <c r="M11" i="24"/>
  <c r="L11" i="24"/>
  <c r="M4" i="24"/>
  <c r="L4" i="24"/>
  <c r="H12" i="23"/>
  <c r="H13" i="23"/>
  <c r="H7" i="23"/>
  <c r="H15" i="23"/>
  <c r="H6" i="23"/>
  <c r="H14" i="23"/>
  <c r="H5" i="23"/>
  <c r="H16" i="23"/>
  <c r="H4" i="23"/>
  <c r="H9" i="23"/>
  <c r="H10" i="23"/>
  <c r="M4" i="22"/>
  <c r="L4" i="22"/>
  <c r="H4" i="22"/>
  <c r="H5" i="22"/>
  <c r="M6" i="8"/>
  <c r="L6" i="8"/>
  <c r="E13" i="23" l="1"/>
  <c r="E5" i="22"/>
  <c r="N4" i="22"/>
  <c r="E4" i="22" s="1"/>
  <c r="E10" i="23"/>
  <c r="E12" i="23"/>
  <c r="E15" i="23"/>
  <c r="E16" i="23"/>
  <c r="E14" i="23"/>
  <c r="N6" i="8"/>
  <c r="E9" i="23"/>
  <c r="E6" i="23"/>
  <c r="E5" i="23"/>
  <c r="E7" i="23"/>
  <c r="E4" i="23"/>
  <c r="N8" i="24"/>
  <c r="E8" i="24" s="1"/>
  <c r="N10" i="24"/>
  <c r="E10" i="24" s="1"/>
  <c r="N11" i="24"/>
  <c r="E11" i="24" s="1"/>
  <c r="N7" i="24"/>
  <c r="E7" i="24" s="1"/>
  <c r="N5" i="24"/>
  <c r="E5" i="24" s="1"/>
  <c r="N9" i="24"/>
  <c r="E9" i="24" s="1"/>
  <c r="N4" i="24"/>
  <c r="E4" i="24" s="1"/>
  <c r="E6" i="24"/>
  <c r="E5" i="8"/>
  <c r="A4" i="22" l="1" a="1"/>
  <c r="A4" i="22" s="1"/>
  <c r="A5" i="22" a="1"/>
  <c r="A5" i="22" s="1"/>
  <c r="A6" i="23" a="1"/>
  <c r="A6" i="23" s="1"/>
  <c r="A8" i="23" a="1"/>
  <c r="A8" i="23" s="1"/>
  <c r="A5" i="23" a="1"/>
  <c r="A5" i="23" s="1"/>
  <c r="A7" i="23" a="1"/>
  <c r="A7" i="23" s="1"/>
  <c r="A4" i="23" a="1"/>
  <c r="A4" i="23" s="1"/>
  <c r="A6" i="24" a="1"/>
  <c r="A6" i="24" s="1"/>
  <c r="A4" i="24" a="1"/>
  <c r="A4" i="24" s="1"/>
  <c r="A8" i="24" a="1"/>
  <c r="A8" i="24" s="1"/>
  <c r="A5" i="24" a="1"/>
  <c r="A5" i="24" s="1"/>
  <c r="A11" i="24" a="1"/>
  <c r="A11" i="24" s="1"/>
  <c r="A9" i="24" a="1"/>
  <c r="A9" i="24" s="1"/>
  <c r="A7" i="24" a="1"/>
  <c r="A7" i="24" s="1"/>
  <c r="A10" i="24" a="1"/>
  <c r="A10" i="24" s="1"/>
  <c r="G6" i="8" l="1"/>
  <c r="I6" i="8"/>
  <c r="J6" i="8" l="1"/>
  <c r="H6" i="8"/>
  <c r="E6" i="8" l="1"/>
  <c r="A4" i="8" l="1" a="1"/>
  <c r="A4" i="8" s="1"/>
  <c r="A5" i="8" a="1"/>
  <c r="A5" i="8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<sst xmlns="http://schemas.openxmlformats.org/spreadsheetml/2006/main" count="525" uniqueCount="64">
  <si>
    <t>Province</t>
  </si>
  <si>
    <t>Rank</t>
  </si>
  <si>
    <t>Total Points</t>
  </si>
  <si>
    <t>ON</t>
  </si>
  <si>
    <t>AB</t>
  </si>
  <si>
    <t>BC</t>
  </si>
  <si>
    <t>QC</t>
  </si>
  <si>
    <t>ARMSTRONG, Mark</t>
  </si>
  <si>
    <t>DD</t>
  </si>
  <si>
    <t>Best Final</t>
  </si>
  <si>
    <t>EX</t>
  </si>
  <si>
    <t>Total</t>
  </si>
  <si>
    <t>Athlete</t>
  </si>
  <si>
    <t>Penalty</t>
  </si>
  <si>
    <t>Bonus</t>
  </si>
  <si>
    <t>LEFAIVRE, Justin</t>
  </si>
  <si>
    <t>Location</t>
  </si>
  <si>
    <t>SK</t>
  </si>
  <si>
    <t>Injury</t>
  </si>
  <si>
    <t>Year of Birth</t>
  </si>
  <si>
    <t>FLYNN, Gabby</t>
  </si>
  <si>
    <t>DODD, Kristina</t>
  </si>
  <si>
    <t>PILLINGER, Taylor</t>
  </si>
  <si>
    <t>LUPISH, Kieran</t>
  </si>
  <si>
    <t>PEDERSEN, Mitchel</t>
  </si>
  <si>
    <t>PHANEUF, Zoe</t>
  </si>
  <si>
    <t>BROWN, Hannah</t>
  </si>
  <si>
    <t>ZUREK, Nolan</t>
  </si>
  <si>
    <t>KARWACKI, Jordan</t>
  </si>
  <si>
    <t>DODD, Gavin</t>
  </si>
  <si>
    <t>MASSON, Félix</t>
  </si>
  <si>
    <t>BRENNER, Adin</t>
  </si>
  <si>
    <t>BODNAR, Cassidy</t>
  </si>
  <si>
    <t>METHERAL, Hannah</t>
  </si>
  <si>
    <t>HOWELL, Kayla</t>
  </si>
  <si>
    <t>SOEHN, Kalena</t>
  </si>
  <si>
    <t>2022 Elite Canada</t>
  </si>
  <si>
    <t>Q1 Pass 1</t>
  </si>
  <si>
    <t>Q1 Pass 2</t>
  </si>
  <si>
    <t>Q2</t>
  </si>
  <si>
    <t>F1</t>
  </si>
  <si>
    <t>F2</t>
  </si>
  <si>
    <t>Q1</t>
  </si>
  <si>
    <t>Finals</t>
  </si>
  <si>
    <t>Best Q1</t>
  </si>
  <si>
    <t>2nd Best Q1</t>
  </si>
  <si>
    <t>National Team Member</t>
  </si>
  <si>
    <t>2022 WG Virtual Technical Trial</t>
  </si>
  <si>
    <t>2022 WG Virtual Control Trial</t>
  </si>
  <si>
    <t>Best F1</t>
  </si>
  <si>
    <t>SUGRIM, Jordan</t>
  </si>
  <si>
    <t>SIMINIUC, Alexandra</t>
  </si>
  <si>
    <t>CHAMPAGNE, Tyler</t>
  </si>
  <si>
    <t>BOLDIZAR, Samsom</t>
  </si>
  <si>
    <t>DYKMAN, Matvey</t>
  </si>
  <si>
    <t>P</t>
  </si>
  <si>
    <t>THOMPSON, Justin</t>
  </si>
  <si>
    <t>NEUFELD, Simon</t>
  </si>
  <si>
    <t>CLOUTIER, Étienne</t>
  </si>
  <si>
    <t>ANAKA, Ashley</t>
  </si>
  <si>
    <t>PARHAR, Jasmine</t>
  </si>
  <si>
    <t>DALGETTY, McKayla</t>
  </si>
  <si>
    <t>THOMPSON, Abby</t>
  </si>
  <si>
    <t>MEYER, Jeremy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</si>
</sst>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8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name val="Wingdings 2"/>
      <charset val="2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rgb="FF000000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9">
    <xf numFmtId="0" fontId="0" fillId="0" borderId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</cellStyleXfs>
  <cellXfs count="41">
    <xf numFmtId="0" fontId="0" fillId="0" borderId="0" xfId="0"/>
    <xf numFmtId="0" fontId="3" fillId="0" borderId="0" xfId="0" applyFont="1" applyAlignment="1">
      <alignment horizontal="center"/>
    </xf>
    <xf numFmtId="0" fontId="3" fillId="0" borderId="0" xfId="0" applyFont="1" applyFill="1"/>
    <xf numFmtId="0" fontId="3" fillId="0" borderId="0" xfId="0" applyFont="1" applyFill="1" applyAlignment="1">
      <alignment horizontal="center"/>
    </xf>
    <xf numFmtId="164" fontId="0" fillId="3" borderId="0" xfId="0" applyNumberFormat="1" applyFill="1"/>
    <xf numFmtId="164" fontId="1" fillId="0" borderId="0" xfId="0" applyNumberFormat="1" applyFont="1"/>
    <xf numFmtId="164" fontId="0" fillId="3" borderId="0" xfId="0" applyNumberFormat="1" applyFill="1" applyAlignment="1">
      <alignment horizontal="center"/>
    </xf>
    <xf numFmtId="0" fontId="3" fillId="0" borderId="0" xfId="0" applyFont="1" applyBorder="1" applyAlignment="1">
      <alignment horizontal="center"/>
    </xf>
    <xf numFmtId="164" fontId="0" fillId="3" borderId="1" xfId="0" applyNumberFormat="1" applyFill="1" applyBorder="1" applyProtection="1">
      <protection locked="0"/>
    </xf>
    <xf numFmtId="164" fontId="0" fillId="2" borderId="1" xfId="0" applyNumberFormat="1" applyFill="1" applyBorder="1" applyAlignment="1" applyProtection="1">
      <alignment horizontal="left"/>
      <protection locked="0"/>
    </xf>
    <xf numFmtId="164" fontId="3" fillId="0" borderId="0" xfId="0" applyNumberFormat="1" applyFont="1" applyFill="1"/>
    <xf numFmtId="0" fontId="3" fillId="0" borderId="0" xfId="0" applyFont="1" applyFill="1" applyAlignment="1"/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6" fillId="3" borderId="0" xfId="0" applyFont="1" applyFill="1" applyAlignment="1">
      <alignment horizontal="center"/>
    </xf>
    <xf numFmtId="0" fontId="6" fillId="4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164" fontId="7" fillId="2" borderId="1" xfId="0" applyNumberFormat="1" applyFont="1" applyFill="1" applyBorder="1" applyAlignment="1" applyProtection="1">
      <alignment horizontal="center"/>
      <protection locked="0"/>
    </xf>
    <xf numFmtId="164" fontId="7" fillId="3" borderId="1" xfId="0" applyNumberFormat="1" applyFont="1" applyFill="1" applyBorder="1" applyAlignment="1" applyProtection="1">
      <alignment horizontal="center"/>
      <protection locked="0"/>
    </xf>
    <xf numFmtId="0" fontId="0" fillId="2" borderId="0" xfId="0" applyFill="1" applyAlignment="1">
      <alignment horizontal="center"/>
    </xf>
    <xf numFmtId="0" fontId="6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4" fontId="0" fillId="2" borderId="0" xfId="0" applyNumberForma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6" fillId="4" borderId="0" xfId="0" applyFont="1" applyFill="1" applyAlignment="1">
      <alignment horizontal="center"/>
    </xf>
    <xf numFmtId="0" fontId="6" fillId="3" borderId="0" xfId="0" applyFont="1" applyFill="1" applyAlignment="1">
      <alignment horizontal="center"/>
    </xf>
    <xf numFmtId="0" fontId="2" fillId="0" borderId="0" xfId="0" applyFont="1" applyAlignment="1" applyProtection="1">
      <alignment horizontal="center"/>
      <protection locked="0"/>
    </xf>
    <xf numFmtId="0" fontId="1" fillId="3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3" borderId="0" xfId="0" applyFont="1" applyFill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0" fillId="2" borderId="0" xfId="0" applyFill="1" applyAlignment="1">
      <alignment horizontal="center"/>
    </xf>
    <xf numFmtId="0" fontId="6" fillId="4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6" fillId="3" borderId="0" xfId="0" applyFont="1" applyFill="1" applyAlignment="1">
      <alignment horizontal="center"/>
    </xf>
    <xf numFmtId="0" fontId="1" fillId="2" borderId="0" xfId="0" applyFont="1" applyFill="1" applyAlignment="1" applyProtection="1">
      <alignment horizontal="center"/>
      <protection locked="0"/>
    </xf>
    <xf numFmtId="0" fontId="1" fillId="3" borderId="0" xfId="0" applyFont="1" applyFill="1" applyAlignment="1" applyProtection="1">
      <alignment horizontal="center"/>
      <protection locked="0"/>
    </xf>
  </cellXfs>
  <cellStyles count="4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Normal" xfId="0" builtinId="0"/>
  </cellStyles>
  <dxfs count="12"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theme="7"/>
      </font>
    </dxf>
    <dxf>
      <font>
        <color theme="9"/>
      </font>
    </dxf>
  </dxfs>
  <tableStyles count="0" defaultTableStyle="TableStyleMedium9" defaultPivotStyle="PivotStyleMedium7"/>
  <colors>
    <mruColors>
      <color rgb="FFFFAF00"/>
      <color rgb="FFFF7000"/>
      <color rgb="FFFFD1AD"/>
      <color rgb="FFFFB5B7"/>
      <color rgb="FFFF03FD"/>
      <color rgb="FFFFBFFE"/>
      <color rgb="FFFFF3CC"/>
      <color rgb="FFFF0E0D"/>
      <color rgb="FFE6C6FB"/>
      <color rgb="FFB4C6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11D7A-65BE-9E4E-A455-40DE5651C18C}">
  <sheetPr codeName="Sheet7"/>
  <dimension ref="A1:CN9"/>
  <sheetViews>
    <sheetView tabSelected="1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27.5" bestFit="1" customWidth="1"/>
    <col min="9" max="9" width="10.5" customWidth="1"/>
    <col min="10" max="10" width="27.5" bestFit="1" customWidth="1"/>
    <col min="12" max="12" width="27.5" bestFit="1" customWidth="1"/>
    <col min="14" max="14" width="27.5" bestFit="1" customWidth="1"/>
    <col min="15" max="35" width="10.83203125" hidden="1" customWidth="1"/>
    <col min="36" max="40" width="10.83203125" style="22" customWidth="1"/>
    <col min="41" max="61" width="10.83203125" hidden="1" customWidth="1"/>
    <col min="62" max="66" width="10.83203125" style="22" customWidth="1"/>
    <col min="67" max="87" width="10.83203125" hidden="1" customWidth="1"/>
    <col min="88" max="92" width="10.83203125" style="22" customWidth="1"/>
    <col min="93" max="99" width="10.83203125" customWidth="1"/>
  </cols>
  <sheetData>
    <row r="1" spans="1:92" ht="16" customHeight="1" x14ac:dyDescent="0.2">
      <c r="A1" s="34" t="s">
        <v>1</v>
      </c>
      <c r="B1" s="34" t="s">
        <v>12</v>
      </c>
      <c r="C1" s="34" t="s">
        <v>0</v>
      </c>
      <c r="D1" s="34" t="s">
        <v>19</v>
      </c>
      <c r="E1" s="34" t="s">
        <v>2</v>
      </c>
      <c r="F1" s="32" t="s">
        <v>46</v>
      </c>
      <c r="G1" s="33" t="s">
        <v>44</v>
      </c>
      <c r="H1" s="31" t="s">
        <v>16</v>
      </c>
      <c r="I1" s="33" t="s">
        <v>45</v>
      </c>
      <c r="J1" s="31" t="s">
        <v>16</v>
      </c>
      <c r="K1" s="31" t="s">
        <v>9</v>
      </c>
      <c r="L1" s="31" t="s">
        <v>16</v>
      </c>
      <c r="M1" s="31" t="s">
        <v>49</v>
      </c>
      <c r="N1" s="31" t="s">
        <v>16</v>
      </c>
      <c r="O1" s="39" t="s">
        <v>47</v>
      </c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40" t="s">
        <v>36</v>
      </c>
      <c r="AP1" s="40"/>
      <c r="AQ1" s="40"/>
      <c r="AR1" s="40"/>
      <c r="AS1" s="40"/>
      <c r="AT1" s="40"/>
      <c r="AU1" s="40"/>
      <c r="AV1" s="40"/>
      <c r="AW1" s="40"/>
      <c r="AX1" s="40"/>
      <c r="AY1" s="40"/>
      <c r="AZ1" s="40"/>
      <c r="BA1" s="40"/>
      <c r="BB1" s="40"/>
      <c r="BC1" s="40"/>
      <c r="BD1" s="40"/>
      <c r="BE1" s="40"/>
      <c r="BF1" s="40"/>
      <c r="BG1" s="40"/>
      <c r="BH1" s="40"/>
      <c r="BI1" s="40"/>
      <c r="BJ1" s="40"/>
      <c r="BK1" s="40"/>
      <c r="BL1" s="40"/>
      <c r="BM1" s="40"/>
      <c r="BN1" s="40"/>
      <c r="BO1" s="39" t="s">
        <v>48</v>
      </c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</row>
    <row r="2" spans="1:92" x14ac:dyDescent="0.2">
      <c r="A2" s="34"/>
      <c r="B2" s="34"/>
      <c r="C2" s="34"/>
      <c r="D2" s="34"/>
      <c r="E2" s="34"/>
      <c r="F2" s="32"/>
      <c r="G2" s="33"/>
      <c r="H2" s="31"/>
      <c r="I2" s="33"/>
      <c r="J2" s="31"/>
      <c r="K2" s="31"/>
      <c r="L2" s="31"/>
      <c r="M2" s="31"/>
      <c r="N2" s="31"/>
      <c r="O2" s="35" t="s">
        <v>37</v>
      </c>
      <c r="P2" s="35"/>
      <c r="Q2" s="35"/>
      <c r="R2" s="35"/>
      <c r="S2" s="35" t="s">
        <v>38</v>
      </c>
      <c r="T2" s="35"/>
      <c r="U2" s="35"/>
      <c r="V2" s="35"/>
      <c r="W2" s="35" t="s">
        <v>39</v>
      </c>
      <c r="X2" s="35"/>
      <c r="Y2" s="35"/>
      <c r="Z2" s="35"/>
      <c r="AA2" s="35" t="s">
        <v>40</v>
      </c>
      <c r="AB2" s="35"/>
      <c r="AC2" s="35"/>
      <c r="AD2" s="35"/>
      <c r="AE2" s="36" t="s">
        <v>41</v>
      </c>
      <c r="AF2" s="36"/>
      <c r="AG2" s="36"/>
      <c r="AH2" s="36"/>
      <c r="AI2" s="27"/>
      <c r="AJ2" s="27" t="s">
        <v>42</v>
      </c>
      <c r="AK2" s="27" t="s">
        <v>39</v>
      </c>
      <c r="AL2" s="27" t="s">
        <v>40</v>
      </c>
      <c r="AM2" s="27" t="s">
        <v>43</v>
      </c>
      <c r="AN2" s="27" t="s">
        <v>11</v>
      </c>
      <c r="AO2" s="37" t="s">
        <v>37</v>
      </c>
      <c r="AP2" s="37"/>
      <c r="AQ2" s="37"/>
      <c r="AR2" s="37"/>
      <c r="AS2" s="37" t="s">
        <v>38</v>
      </c>
      <c r="AT2" s="37"/>
      <c r="AU2" s="37"/>
      <c r="AV2" s="37"/>
      <c r="AW2" s="37" t="s">
        <v>39</v>
      </c>
      <c r="AX2" s="37"/>
      <c r="AY2" s="37"/>
      <c r="AZ2" s="37"/>
      <c r="BA2" s="37" t="s">
        <v>40</v>
      </c>
      <c r="BB2" s="37"/>
      <c r="BC2" s="37"/>
      <c r="BD2" s="37"/>
      <c r="BE2" s="38" t="s">
        <v>41</v>
      </c>
      <c r="BF2" s="38"/>
      <c r="BG2" s="38"/>
      <c r="BH2" s="38"/>
      <c r="BI2" s="26"/>
      <c r="BJ2" s="26" t="s">
        <v>42</v>
      </c>
      <c r="BK2" s="26" t="s">
        <v>39</v>
      </c>
      <c r="BL2" s="26" t="s">
        <v>40</v>
      </c>
      <c r="BM2" s="26" t="s">
        <v>43</v>
      </c>
      <c r="BN2" s="26" t="s">
        <v>11</v>
      </c>
      <c r="BO2" s="35" t="s">
        <v>37</v>
      </c>
      <c r="BP2" s="35"/>
      <c r="BQ2" s="35"/>
      <c r="BR2" s="35"/>
      <c r="BS2" s="35" t="s">
        <v>38</v>
      </c>
      <c r="BT2" s="35"/>
      <c r="BU2" s="35"/>
      <c r="BV2" s="35"/>
      <c r="BW2" s="35" t="s">
        <v>39</v>
      </c>
      <c r="BX2" s="35"/>
      <c r="BY2" s="35"/>
      <c r="BZ2" s="35"/>
      <c r="CA2" s="35" t="s">
        <v>40</v>
      </c>
      <c r="CB2" s="35"/>
      <c r="CC2" s="35"/>
      <c r="CD2" s="35"/>
      <c r="CE2" s="36" t="s">
        <v>41</v>
      </c>
      <c r="CF2" s="36"/>
      <c r="CG2" s="36"/>
      <c r="CH2" s="36"/>
      <c r="CI2" s="27"/>
      <c r="CJ2" s="27" t="s">
        <v>42</v>
      </c>
      <c r="CK2" s="27" t="s">
        <v>39</v>
      </c>
      <c r="CL2" s="27" t="s">
        <v>40</v>
      </c>
      <c r="CM2" s="27" t="s">
        <v>43</v>
      </c>
      <c r="CN2" s="27" t="s">
        <v>11</v>
      </c>
    </row>
    <row r="3" spans="1:92" x14ac:dyDescent="0.2">
      <c r="A3" s="34"/>
      <c r="B3" s="34"/>
      <c r="C3" s="34"/>
      <c r="D3" s="34"/>
      <c r="E3" s="34"/>
      <c r="F3" s="32"/>
      <c r="G3" s="33"/>
      <c r="H3" s="31"/>
      <c r="I3" s="33"/>
      <c r="J3" s="31"/>
      <c r="K3" s="31"/>
      <c r="L3" s="31"/>
      <c r="M3" s="31"/>
      <c r="N3" s="31"/>
      <c r="O3" s="27" t="s">
        <v>10</v>
      </c>
      <c r="P3" s="27" t="s">
        <v>8</v>
      </c>
      <c r="Q3" s="27" t="s">
        <v>13</v>
      </c>
      <c r="R3" s="27" t="s">
        <v>14</v>
      </c>
      <c r="S3" s="27" t="s">
        <v>10</v>
      </c>
      <c r="T3" s="27" t="s">
        <v>8</v>
      </c>
      <c r="U3" s="27" t="s">
        <v>13</v>
      </c>
      <c r="V3" s="27" t="s">
        <v>14</v>
      </c>
      <c r="W3" s="27" t="s">
        <v>10</v>
      </c>
      <c r="X3" s="27" t="s">
        <v>8</v>
      </c>
      <c r="Y3" s="27" t="s">
        <v>13</v>
      </c>
      <c r="Z3" s="27" t="s">
        <v>14</v>
      </c>
      <c r="AA3" s="27" t="s">
        <v>10</v>
      </c>
      <c r="AB3" s="27" t="s">
        <v>8</v>
      </c>
      <c r="AC3" s="27" t="s">
        <v>13</v>
      </c>
      <c r="AD3" s="27" t="s">
        <v>14</v>
      </c>
      <c r="AE3" s="28" t="s">
        <v>10</v>
      </c>
      <c r="AF3" s="28" t="s">
        <v>8</v>
      </c>
      <c r="AG3" s="28" t="s">
        <v>13</v>
      </c>
      <c r="AH3" s="28" t="s">
        <v>14</v>
      </c>
      <c r="AI3" s="27" t="s">
        <v>18</v>
      </c>
      <c r="AJ3" s="27"/>
      <c r="AK3" s="27"/>
      <c r="AL3" s="27"/>
      <c r="AM3" s="27"/>
      <c r="AN3" s="27"/>
      <c r="AO3" s="26" t="s">
        <v>10</v>
      </c>
      <c r="AP3" s="26" t="s">
        <v>8</v>
      </c>
      <c r="AQ3" s="26" t="s">
        <v>13</v>
      </c>
      <c r="AR3" s="26" t="s">
        <v>14</v>
      </c>
      <c r="AS3" s="26" t="s">
        <v>10</v>
      </c>
      <c r="AT3" s="26" t="s">
        <v>8</v>
      </c>
      <c r="AU3" s="26" t="s">
        <v>13</v>
      </c>
      <c r="AV3" s="26" t="s">
        <v>14</v>
      </c>
      <c r="AW3" s="26" t="s">
        <v>10</v>
      </c>
      <c r="AX3" s="26" t="s">
        <v>8</v>
      </c>
      <c r="AY3" s="26" t="s">
        <v>13</v>
      </c>
      <c r="AZ3" s="26" t="s">
        <v>14</v>
      </c>
      <c r="BA3" s="26" t="s">
        <v>10</v>
      </c>
      <c r="BB3" s="26" t="s">
        <v>8</v>
      </c>
      <c r="BC3" s="26" t="s">
        <v>13</v>
      </c>
      <c r="BD3" s="26" t="s">
        <v>14</v>
      </c>
      <c r="BE3" s="29" t="s">
        <v>10</v>
      </c>
      <c r="BF3" s="29" t="s">
        <v>8</v>
      </c>
      <c r="BG3" s="29" t="s">
        <v>13</v>
      </c>
      <c r="BH3" s="29" t="s">
        <v>14</v>
      </c>
      <c r="BI3" s="26" t="s">
        <v>18</v>
      </c>
      <c r="BJ3" s="26"/>
      <c r="BK3" s="26"/>
      <c r="BL3" s="26"/>
      <c r="BM3" s="26"/>
      <c r="BN3" s="26"/>
      <c r="BO3" s="27" t="s">
        <v>10</v>
      </c>
      <c r="BP3" s="27" t="s">
        <v>8</v>
      </c>
      <c r="BQ3" s="27" t="s">
        <v>13</v>
      </c>
      <c r="BR3" s="27" t="s">
        <v>14</v>
      </c>
      <c r="BS3" s="27" t="s">
        <v>10</v>
      </c>
      <c r="BT3" s="27" t="s">
        <v>8</v>
      </c>
      <c r="BU3" s="27" t="s">
        <v>13</v>
      </c>
      <c r="BV3" s="27" t="s">
        <v>14</v>
      </c>
      <c r="BW3" s="27" t="s">
        <v>10</v>
      </c>
      <c r="BX3" s="27" t="s">
        <v>8</v>
      </c>
      <c r="BY3" s="27" t="s">
        <v>13</v>
      </c>
      <c r="BZ3" s="27" t="s">
        <v>14</v>
      </c>
      <c r="CA3" s="27" t="s">
        <v>10</v>
      </c>
      <c r="CB3" s="27" t="s">
        <v>8</v>
      </c>
      <c r="CC3" s="27" t="s">
        <v>13</v>
      </c>
      <c r="CD3" s="27" t="s">
        <v>14</v>
      </c>
      <c r="CE3" s="28" t="s">
        <v>10</v>
      </c>
      <c r="CF3" s="28" t="s">
        <v>8</v>
      </c>
      <c r="CG3" s="28" t="s">
        <v>13</v>
      </c>
      <c r="CH3" s="28" t="s">
        <v>14</v>
      </c>
      <c r="CI3" s="27" t="s">
        <v>18</v>
      </c>
      <c r="CJ3" s="27"/>
      <c r="CK3" s="27"/>
      <c r="CL3" s="27"/>
      <c r="CM3" s="27"/>
      <c r="CN3" s="27"/>
    </row>
    <row r="4" spans="1:92" x14ac:dyDescent="0.2">
      <c r="A4" s="1" cm="1">
        <f t="array" ref="A4">IF(F4="P",SUMPRODUCT((F$4:F$6="P")*(E$4:E$6&gt;E4))+1,"")</f>
        <v>1</v>
      </c>
      <c r="B4" s="2" t="s">
        <v>56</v>
      </c>
      <c r="C4" s="3" t="s">
        <v>3</v>
      </c>
      <c r="D4" s="7">
        <v>2003</v>
      </c>
      <c r="E4" s="5">
        <f>SUM(G4:N4)+SUM(G4:M4)*0.0000001+SUM(G4)*0.0000000000001</f>
        <v>168.66001686600484</v>
      </c>
      <c r="F4" s="30" t="s">
        <v>55</v>
      </c>
      <c r="G4" s="4">
        <f>IF(COUNT(AJ4,BJ4,CJ4)&gt;0,LARGE((AJ4,BJ4,CJ4),1),0)</f>
        <v>48.26</v>
      </c>
      <c r="H4" s="4" t="str">
        <f>IF(G4=0,"",IF(G4=CJ4,$BO$1,IF(G4=BJ4,$AO$1,IF(G4=AJ4,$O$1,""))))</f>
        <v>2022 Elite Canada</v>
      </c>
      <c r="I4" s="4">
        <f>IF(COUNT(AJ4,BJ4,CJ4)&gt;1,LARGE((AJ4,BJ4,CJ4),2),0)</f>
        <v>47.7</v>
      </c>
      <c r="J4" s="4" t="str">
        <f>IF(I4=0,"",IF(I4=CJ4,$BO$1,IF(I4=BJ4,$AO$1,IF(I4=AJ4,$O$1,""))))</f>
        <v>2022 WG Virtual Control Trial</v>
      </c>
      <c r="K4" s="4">
        <f>IF(MAX(AM4,BM4,CM4)&gt;0,MAX(AM4,BM4,CM4),0)</f>
        <v>48.699999999999996</v>
      </c>
      <c r="L4" s="4" t="str">
        <f>IF(K4=0,"",IF(K4=CM4,$BO$1,IF(K4=BM4,$AO$1,IF(K4=AM4,$O$1,""))))</f>
        <v>2022 Elite Canada</v>
      </c>
      <c r="M4" s="4">
        <f>IF(K4=CM4,MAX(BL4,AL4),IF(K4=BM4,MAX(CL4,AL4),IF(K4=AM4,MAX(CL4,BL4),0)))</f>
        <v>24</v>
      </c>
      <c r="N4" s="4" t="str">
        <f>IF(M4=0,"",IF(AND(M4=CL4,L4&lt;&gt;$BO$1),$BO$1,IF(AND(M4=BL4,L4&lt;&gt;$AO$1),$AO$1,IF(AND(M4=AL4,L4&lt;&gt;$O$1),$O$1,""))))</f>
        <v>2022 WG Virtual Control Trial</v>
      </c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  <c r="AG4" s="9"/>
      <c r="AH4" s="9"/>
      <c r="AI4" s="18"/>
      <c r="AJ4" s="23" t="str">
        <f>IF(SUM(O4:P4,R4:T4,V4)-Q4-U4&gt;0,SUM(O4:P4,R4:T4,V4)-Q4-U4,"")</f>
        <v/>
      </c>
      <c r="AK4" s="23" t="str">
        <f>IF(SUM(W4:X4,Z4)-Y4&gt;0,SUM(W4:X4,Z4)-Y4,"")</f>
        <v/>
      </c>
      <c r="AL4" s="23" t="str">
        <f>IF(SUM(AA4:AB4,AD4)-SUM(AC4)&gt;0,SUM(AA4:AB4,AD4)-SUM(AC4),"")</f>
        <v/>
      </c>
      <c r="AM4" s="23" t="str">
        <f>IF(SUM(AA4:AB4,AD4:AF4,AH4)-SUM(AC4,AG4)&gt;0,SUM(AA4:AB4,AD4:AF4,AH4)-SUM(AC4,AG4),"")</f>
        <v/>
      </c>
      <c r="AN4" s="23" t="str">
        <f>IF(SUM(AJ4,AM4)&gt;0,SUM(AJ4,AM4),"")</f>
        <v/>
      </c>
      <c r="AO4" s="8">
        <v>17.5</v>
      </c>
      <c r="AP4" s="8">
        <v>6.5</v>
      </c>
      <c r="AQ4" s="8">
        <v>0</v>
      </c>
      <c r="AR4" s="8">
        <v>0</v>
      </c>
      <c r="AS4" s="8">
        <v>18.36</v>
      </c>
      <c r="AT4" s="8">
        <v>5.9</v>
      </c>
      <c r="AU4" s="8">
        <v>0</v>
      </c>
      <c r="AV4" s="8">
        <v>0</v>
      </c>
      <c r="AW4" s="8"/>
      <c r="AX4" s="8"/>
      <c r="AY4" s="8"/>
      <c r="AZ4" s="8"/>
      <c r="BA4" s="8">
        <v>18.100000000000001</v>
      </c>
      <c r="BB4" s="8">
        <v>6.5</v>
      </c>
      <c r="BC4" s="8">
        <v>0</v>
      </c>
      <c r="BD4" s="8">
        <v>0</v>
      </c>
      <c r="BE4" s="8">
        <v>18.2</v>
      </c>
      <c r="BF4" s="8">
        <v>5.9</v>
      </c>
      <c r="BG4" s="8">
        <v>0</v>
      </c>
      <c r="BH4" s="8">
        <v>0</v>
      </c>
      <c r="BI4" s="19"/>
      <c r="BJ4" s="6">
        <f>IF(SUM(AO4:AP4,AR4:AT4,AV4)-AQ4-AU4&gt;0,SUM(AO4:AP4,AR4:AT4,AV4)-AQ4-AU4,"")</f>
        <v>48.26</v>
      </c>
      <c r="BK4" s="6" t="str">
        <f>IF(SUM(AW4:AX4,AZ4)-AY4&gt;0,SUM(AW4:AX4,AZ4)-AY4,"")</f>
        <v/>
      </c>
      <c r="BL4" s="6">
        <f>IF(SUM(BA4:BB4,BD4)-SUM(BC4)&gt;0,SUM(BA4:BB4,BD4)-SUM(BC4),"")</f>
        <v>24.6</v>
      </c>
      <c r="BM4" s="6">
        <f>IF(SUM(BA4:BB4,BD4:BF4,BH4)-SUM(BC4,BG4)&gt;0,SUM(BA4:BB4,BD4:BF4,BH4)-SUM(BC4,BG4),"")</f>
        <v>48.699999999999996</v>
      </c>
      <c r="BN4" s="6">
        <f>IF(SUM(BJ4,BM4)&gt;0,SUM(BJ4,BM4),"")</f>
        <v>96.96</v>
      </c>
      <c r="BO4" s="9">
        <v>17.8</v>
      </c>
      <c r="BP4" s="9">
        <v>6.9</v>
      </c>
      <c r="BQ4" s="9">
        <v>0</v>
      </c>
      <c r="BR4" s="9">
        <v>0</v>
      </c>
      <c r="BS4" s="9">
        <v>17.3</v>
      </c>
      <c r="BT4" s="9">
        <v>5.7</v>
      </c>
      <c r="BU4" s="9">
        <v>0</v>
      </c>
      <c r="BV4" s="9">
        <v>0</v>
      </c>
      <c r="BW4" s="9"/>
      <c r="BX4" s="9"/>
      <c r="BY4" s="9"/>
      <c r="BZ4" s="9"/>
      <c r="CA4" s="9">
        <v>17.5</v>
      </c>
      <c r="CB4" s="9">
        <v>6.5</v>
      </c>
      <c r="CC4" s="9">
        <v>0</v>
      </c>
      <c r="CD4" s="9">
        <v>0</v>
      </c>
      <c r="CE4" s="9">
        <v>16.2</v>
      </c>
      <c r="CF4" s="9">
        <v>3.7</v>
      </c>
      <c r="CG4" s="9">
        <v>0</v>
      </c>
      <c r="CH4" s="9">
        <v>0</v>
      </c>
      <c r="CI4" s="18"/>
      <c r="CJ4" s="23">
        <f>IF(SUM(BO4:BP4,BR4:BT4,BV4)-BQ4-BU4&gt;0,SUM(BO4:BP4,BR4:BT4,BV4)-BQ4-BU4,"")</f>
        <v>47.7</v>
      </c>
      <c r="CK4" s="23" t="str">
        <f>IF(SUM(BW4:BX4,BZ4)-BY4&gt;0,SUM(BW4:BX4,BZ4)-BY4,"")</f>
        <v/>
      </c>
      <c r="CL4" s="23">
        <f>IF(SUM(CA4:CB4,CD4)-SUM(CC4)&gt;0,SUM(CA4:CB4,CD4)-SUM(CC4),"")</f>
        <v>24</v>
      </c>
      <c r="CM4" s="23">
        <f>IF(SUM(CA4:CB4,CD4:CF4,CH4)-SUM(CC4,CG4)&gt;0,SUM(CA4:CB4,CD4:CF4,CH4)-SUM(CC4,CG4),"")</f>
        <v>43.900000000000006</v>
      </c>
      <c r="CN4" s="23">
        <f>IF(SUM(CJ4,CM4)&gt;0,SUM(CJ4,CM4),"")</f>
        <v>91.600000000000009</v>
      </c>
    </row>
    <row r="5" spans="1:92" x14ac:dyDescent="0.2">
      <c r="A5" s="1" cm="1">
        <f t="array" ref="A5">IF(F5="P",SUMPRODUCT((F$4:F$6="P")*(E$4:E$6&gt;E5))+1,"")</f>
        <v>2</v>
      </c>
      <c r="B5" s="2" t="s">
        <v>24</v>
      </c>
      <c r="C5" s="3" t="s">
        <v>4</v>
      </c>
      <c r="D5" s="7">
        <v>2002</v>
      </c>
      <c r="E5" s="5">
        <f>SUM(G5:N5)+SUM(G5:M5)*0.0000001+SUM(G5)*0.0000000000001</f>
        <v>160.2000160200046</v>
      </c>
      <c r="F5" s="30" t="s">
        <v>55</v>
      </c>
      <c r="G5" s="4">
        <f>IF(COUNT(AJ5,BJ5,CJ5)&gt;0,LARGE((AJ5,BJ5,CJ5),1),0)</f>
        <v>46.000000000000007</v>
      </c>
      <c r="H5" s="4" t="str">
        <f>IF(G5=0,"",IF(G5=CJ5,$BO$1,IF(G5=BJ5,$AO$1,IF(G5=AJ5,$O$1,""))))</f>
        <v>2022 WG Virtual Control Trial</v>
      </c>
      <c r="I5" s="4">
        <f>IF(COUNT(AJ5,BJ5,CJ5)&gt;1,LARGE((AJ5,BJ5,CJ5),2),0)</f>
        <v>44.899999999999991</v>
      </c>
      <c r="J5" s="4" t="str">
        <f>IF(I5=0,"",IF(I5=CJ5,$BO$1,IF(I5=BJ5,$AO$1,IF(I5=AJ5,$O$1,""))))</f>
        <v>2022 WG Virtual Technical Trial</v>
      </c>
      <c r="K5" s="4">
        <f>IF(MAX(AM5,BM5,CM5)&gt;0,MAX(AM5,BM5,CM5),0)</f>
        <v>46.6</v>
      </c>
      <c r="L5" s="4" t="str">
        <f>IF(K5=0,"",IF(K5=CM5,$BO$1,IF(K5=BM5,$AO$1,IF(K5=AM5,$O$1,""))))</f>
        <v>2022 WG Virtual Control Trial</v>
      </c>
      <c r="M5" s="4">
        <f>IF(K5=CM5,MAX(BL5,AL5),IF(K5=BM5,MAX(CL5,AL5),IF(K5=AM5,MAX(CL5,BL5),0)))</f>
        <v>22.7</v>
      </c>
      <c r="N5" s="4" t="str">
        <f>IF(M5=0,"",IF(AND(M5=CL5,L5&lt;&gt;$BO$1),$BO$1,IF(AND(M5=BL5,L5&lt;&gt;$AO$1),$AO$1,IF(AND(M5=AL5,L5&lt;&gt;$O$1),$O$1,""))))</f>
        <v>2022 WG Virtual Technical Trial</v>
      </c>
      <c r="O5" s="9">
        <v>17.2</v>
      </c>
      <c r="P5" s="9">
        <v>5.5</v>
      </c>
      <c r="Q5" s="9">
        <v>0</v>
      </c>
      <c r="R5" s="9">
        <v>0</v>
      </c>
      <c r="S5" s="9">
        <v>16.899999999999999</v>
      </c>
      <c r="T5" s="9">
        <v>5.3</v>
      </c>
      <c r="U5" s="9">
        <v>0</v>
      </c>
      <c r="V5" s="9">
        <v>0</v>
      </c>
      <c r="W5" s="9"/>
      <c r="X5" s="9"/>
      <c r="Y5" s="9"/>
      <c r="Z5" s="9"/>
      <c r="AA5" s="9">
        <v>17.2</v>
      </c>
      <c r="AB5" s="9">
        <v>5.5</v>
      </c>
      <c r="AC5" s="9">
        <v>0</v>
      </c>
      <c r="AD5" s="9">
        <v>0</v>
      </c>
      <c r="AE5" s="9">
        <v>16.899999999999999</v>
      </c>
      <c r="AF5" s="9">
        <v>5.3</v>
      </c>
      <c r="AG5" s="9">
        <v>0</v>
      </c>
      <c r="AH5" s="9">
        <v>0</v>
      </c>
      <c r="AI5" s="18"/>
      <c r="AJ5" s="23">
        <f>IF(SUM(O5:P5,R5:T5,V5)-Q5-U5&gt;0,SUM(O5:P5,R5:T5,V5)-Q5-U5,"")</f>
        <v>44.899999999999991</v>
      </c>
      <c r="AK5" s="23" t="str">
        <f>IF(SUM(W5:X5,Z5)-Y5&gt;0,SUM(W5:X5,Z5)-Y5,"")</f>
        <v/>
      </c>
      <c r="AL5" s="23">
        <f>IF(SUM(AA5:AB5,AD5)-SUM(AC5)&gt;0,SUM(AA5:AB5,AD5)-SUM(AC5),"")</f>
        <v>22.7</v>
      </c>
      <c r="AM5" s="23">
        <f>IF(SUM(AA5:AB5,AD5:AF5,AH5)-SUM(AC5,AG5)&gt;0,SUM(AA5:AB5,AD5:AF5,AH5)-SUM(AC5,AG5),"")</f>
        <v>44.899999999999991</v>
      </c>
      <c r="AN5" s="23">
        <f>IF(SUM(AJ5,AM5)&gt;0,SUM(AJ5,AM5),"")</f>
        <v>89.799999999999983</v>
      </c>
      <c r="AO5" s="8"/>
      <c r="AP5" s="8"/>
      <c r="AQ5" s="8"/>
      <c r="AR5" s="8"/>
      <c r="AS5" s="8"/>
      <c r="AT5" s="8"/>
      <c r="AU5" s="8"/>
      <c r="AV5" s="8"/>
      <c r="AW5" s="8"/>
      <c r="AX5" s="8"/>
      <c r="AY5" s="8"/>
      <c r="AZ5" s="8"/>
      <c r="BA5" s="8"/>
      <c r="BB5" s="8"/>
      <c r="BC5" s="8"/>
      <c r="BD5" s="8"/>
      <c r="BE5" s="8"/>
      <c r="BF5" s="8"/>
      <c r="BG5" s="8"/>
      <c r="BH5" s="8"/>
      <c r="BI5" s="19"/>
      <c r="BJ5" s="6" t="str">
        <f>IF(SUM(AO5:AP5,AR5:AT5,AV5)-AQ5-AU5&gt;0,SUM(AO5:AP5,AR5:AT5,AV5)-AQ5-AU5,"")</f>
        <v/>
      </c>
      <c r="BK5" s="6" t="str">
        <f>IF(SUM(AW5:AX5,AZ5)-AY5&gt;0,SUM(AW5:AX5,AZ5)-AY5,"")</f>
        <v/>
      </c>
      <c r="BL5" s="6" t="str">
        <f>IF(SUM(BA5:BB5,BD5)-SUM(BC5)&gt;0,SUM(BA5:BB5,BD5)-SUM(BC5),"")</f>
        <v/>
      </c>
      <c r="BM5" s="6" t="str">
        <f>IF(SUM(BA5:BB5,BD5:BF5,BH5)-SUM(BC5,BG5)&gt;0,SUM(BA5:BB5,BD5:BF5,BH5)-SUM(BC5,BG5),"")</f>
        <v/>
      </c>
      <c r="BN5" s="6" t="str">
        <f>IF(SUM(BJ5,BM5)&gt;0,SUM(BJ5,BM5),"")</f>
        <v/>
      </c>
      <c r="BO5" s="9">
        <v>16.8</v>
      </c>
      <c r="BP5" s="9">
        <v>5.9</v>
      </c>
      <c r="BQ5" s="9">
        <v>0</v>
      </c>
      <c r="BR5" s="9">
        <v>0</v>
      </c>
      <c r="BS5" s="9">
        <v>17.2</v>
      </c>
      <c r="BT5" s="9">
        <v>6.1</v>
      </c>
      <c r="BU5" s="9">
        <v>0</v>
      </c>
      <c r="BV5" s="9">
        <v>0</v>
      </c>
      <c r="BW5" s="9"/>
      <c r="BX5" s="9"/>
      <c r="BY5" s="9"/>
      <c r="BZ5" s="9"/>
      <c r="CA5" s="9">
        <v>17.3</v>
      </c>
      <c r="CB5" s="9">
        <v>6.1</v>
      </c>
      <c r="CC5" s="9">
        <v>0</v>
      </c>
      <c r="CD5" s="9">
        <v>0</v>
      </c>
      <c r="CE5" s="9">
        <v>17.3</v>
      </c>
      <c r="CF5" s="9">
        <v>5.9</v>
      </c>
      <c r="CG5" s="9">
        <v>0</v>
      </c>
      <c r="CH5" s="9">
        <v>0</v>
      </c>
      <c r="CI5" s="18"/>
      <c r="CJ5" s="23">
        <f>IF(SUM(BO5:BP5,BR5:BT5,BV5)-BQ5-BU5&gt;0,SUM(BO5:BP5,BR5:BT5,BV5)-BQ5-BU5,"")</f>
        <v>46.000000000000007</v>
      </c>
      <c r="CK5" s="23" t="str">
        <f>IF(SUM(BW5:BX5,BZ5)-BY5&gt;0,SUM(BW5:BX5,BZ5)-BY5,"")</f>
        <v/>
      </c>
      <c r="CL5" s="23">
        <f>IF(SUM(CA5:CB5,CD5)-SUM(CC5)&gt;0,SUM(CA5:CB5,CD5)-SUM(CC5),"")</f>
        <v>23.4</v>
      </c>
      <c r="CM5" s="23">
        <f>IF(SUM(CA5:CB5,CD5:CF5,CH5)-SUM(CC5,CG5)&gt;0,SUM(CA5:CB5,CD5:CF5,CH5)-SUM(CC5,CG5),"")</f>
        <v>46.6</v>
      </c>
      <c r="CN5" s="23">
        <f>IF(SUM(CJ5,CM5)&gt;0,SUM(CJ5,CM5),"")</f>
        <v>92.600000000000009</v>
      </c>
    </row>
    <row r="6" spans="1:92" x14ac:dyDescent="0.2">
      <c r="A6" s="1" t="str" cm="1">
        <f t="array" ref="A6">IF(F6="P",SUMPRODUCT((F$4:F$6="P")*(E$4:E$6&gt;E6))+1,"")</f>
        <v/>
      </c>
      <c r="B6" s="2" t="s">
        <v>57</v>
      </c>
      <c r="C6" s="3" t="s">
        <v>4</v>
      </c>
      <c r="D6" s="7">
        <v>2004</v>
      </c>
      <c r="E6" s="5">
        <f>SUM(G6:N6)+SUM(G6:M6)*0.0000001+SUM(G6)*0.0000000000001</f>
        <v>82.600008260003989</v>
      </c>
      <c r="F6" s="30"/>
      <c r="G6" s="4">
        <f>IF(COUNT(AJ6,BJ6,CJ6)&gt;0,LARGE((AJ6,BJ6,CJ6),1),0)</f>
        <v>40</v>
      </c>
      <c r="H6" s="4" t="str">
        <f>IF(G6=0,"",IF(G6=CJ6,$BO$1,IF(G6=BJ6,$AO$1,IF(G6=AJ6,$O$1,""))))</f>
        <v>2022 WG Virtual Control Trial</v>
      </c>
      <c r="I6" s="4">
        <f>IF(COUNT(AJ6,BJ6,CJ6)&gt;1,LARGE((AJ6,BJ6,CJ6),2),0)</f>
        <v>0</v>
      </c>
      <c r="J6" s="4" t="str">
        <f>IF(I6=0,"",IF(I6=CJ6,$BO$1,IF(I6=BJ6,$AO$1,IF(I6=AJ6,$O$1,""))))</f>
        <v/>
      </c>
      <c r="K6" s="4">
        <f>IF(MAX(AM6,BM6,CM6)&gt;0,MAX(AM6,BM6,CM6),0)</f>
        <v>42.599999999999994</v>
      </c>
      <c r="L6" s="4" t="str">
        <f>IF(K6=0,"",IF(K6=CM6,$BO$1,IF(K6=BM6,$AO$1,IF(K6=AM6,$O$1,""))))</f>
        <v>2022 WG Virtual Control Trial</v>
      </c>
      <c r="M6" s="4">
        <f>IF(K6=CM6,MAX(BL6,AL6),IF(K6=BM6,MAX(CL6,AL6),IF(K6=AM6,MAX(CL6,BL6),0)))</f>
        <v>0</v>
      </c>
      <c r="N6" s="4" t="str">
        <f>IF(M6=0,"",IF(AND(M6=CL6,L6&lt;&gt;$BO$1),$BO$1,IF(AND(M6=BL6,L6&lt;&gt;$AO$1),$AO$1,IF(AND(M6=AL6,L6&lt;&gt;$O$1),$O$1,""))))</f>
        <v/>
      </c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/>
      <c r="AD6" s="9"/>
      <c r="AE6" s="9"/>
      <c r="AF6" s="9"/>
      <c r="AG6" s="9"/>
      <c r="AH6" s="9"/>
      <c r="AI6" s="18"/>
      <c r="AJ6" s="23" t="str">
        <f>IF(SUM(O6:P6,R6:T6,V6)-Q6-U6&gt;0,SUM(O6:P6,R6:T6,V6)-Q6-U6,"")</f>
        <v/>
      </c>
      <c r="AK6" s="23" t="str">
        <f>IF(SUM(W6:X6,Z6)-Y6&gt;0,SUM(W6:X6,Z6)-Y6,"")</f>
        <v/>
      </c>
      <c r="AL6" s="23" t="str">
        <f>IF(SUM(AA6:AB6,AD6)-SUM(AC6)&gt;0,SUM(AA6:AB6,AD6)-SUM(AC6),"")</f>
        <v/>
      </c>
      <c r="AM6" s="23" t="str">
        <f>IF(SUM(AA6:AB6,AD6:AF6,AH6)-SUM(AC6,AG6)&gt;0,SUM(AA6:AB6,AD6:AF6,AH6)-SUM(AC6,AG6),"")</f>
        <v/>
      </c>
      <c r="AN6" s="23" t="str">
        <f>IF(SUM(AJ6,AM6)&gt;0,SUM(AJ6,AM6),"")</f>
        <v/>
      </c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19"/>
      <c r="BJ6" s="6" t="str">
        <f>IF(SUM(AO6:AP6,AR6:AT6,AV6)-AQ6-AU6&gt;0,SUM(AO6:AP6,AR6:AT6,AV6)-AQ6-AU6,"")</f>
        <v/>
      </c>
      <c r="BK6" s="6" t="str">
        <f>IF(SUM(AW6:AX6,AZ6)-AY6&gt;0,SUM(AW6:AX6,AZ6)-AY6,"")</f>
        <v/>
      </c>
      <c r="BL6" s="6" t="str">
        <f>IF(SUM(BA6:BB6,BD6)-SUM(BC6)&gt;0,SUM(BA6:BB6,BD6)-SUM(BC6),"")</f>
        <v/>
      </c>
      <c r="BM6" s="6" t="str">
        <f>IF(SUM(BA6:BB6,BD6:BF6,BH6)-SUM(BC6,BG6)&gt;0,SUM(BA6:BB6,BD6:BF6,BH6)-SUM(BC6,BG6),"")</f>
        <v/>
      </c>
      <c r="BN6" s="6" t="str">
        <f>IF(SUM(BJ6,BM6)&gt;0,SUM(BJ6,BM6),"")</f>
        <v/>
      </c>
      <c r="BO6" s="9">
        <v>15.3</v>
      </c>
      <c r="BP6" s="9">
        <v>2.9</v>
      </c>
      <c r="BQ6" s="9">
        <v>0</v>
      </c>
      <c r="BR6" s="9">
        <v>0</v>
      </c>
      <c r="BS6" s="9">
        <v>17</v>
      </c>
      <c r="BT6" s="9">
        <v>4.8</v>
      </c>
      <c r="BU6" s="9">
        <v>0</v>
      </c>
      <c r="BV6" s="9">
        <v>0</v>
      </c>
      <c r="BW6" s="9"/>
      <c r="BX6" s="9"/>
      <c r="BY6" s="9"/>
      <c r="BZ6" s="9"/>
      <c r="CA6" s="9">
        <v>16.600000000000001</v>
      </c>
      <c r="CB6" s="9">
        <v>5.3</v>
      </c>
      <c r="CC6" s="9">
        <v>0.2</v>
      </c>
      <c r="CD6" s="9">
        <v>0</v>
      </c>
      <c r="CE6" s="9">
        <v>16.899999999999999</v>
      </c>
      <c r="CF6" s="9">
        <v>4.4000000000000004</v>
      </c>
      <c r="CG6" s="9">
        <v>0.4</v>
      </c>
      <c r="CH6" s="9">
        <v>0</v>
      </c>
      <c r="CI6" s="18"/>
      <c r="CJ6" s="23">
        <f>IF(SUM(BO6:BP6,BR6:BT6,BV6)-BQ6-BU6&gt;0,SUM(BO6:BP6,BR6:BT6,BV6)-BQ6-BU6,"")</f>
        <v>40</v>
      </c>
      <c r="CK6" s="23" t="str">
        <f>IF(SUM(BW6:BX6,BZ6)-BY6&gt;0,SUM(BW6:BX6,BZ6)-BY6,"")</f>
        <v/>
      </c>
      <c r="CL6" s="23">
        <f>IF(SUM(CA6:CB6,CD6)-SUM(CC6)&gt;0,SUM(CA6:CB6,CD6)-SUM(CC6),"")</f>
        <v>21.700000000000003</v>
      </c>
      <c r="CM6" s="23">
        <f>IF(SUM(CA6:CB6,CD6:CF6,CH6)-SUM(CC6,CG6)&gt;0,SUM(CA6:CB6,CD6:CF6,CH6)-SUM(CC6,CG6),"")</f>
        <v>42.599999999999994</v>
      </c>
      <c r="CN6" s="23">
        <f>IF(SUM(CJ6,CM6)&gt;0,SUM(CJ6,CM6),"")</f>
        <v>82.6</v>
      </c>
    </row>
    <row r="8" spans="1:92" x14ac:dyDescent="0.2">
      <c r="A8" s="11"/>
      <c r="B8" s="11"/>
      <c r="C8" s="10"/>
    </row>
    <row r="9" spans="1:92" x14ac:dyDescent="0.2">
      <c r="A9" s="2"/>
      <c r="B9" s="2"/>
      <c r="C9" s="2"/>
    </row>
  </sheetData>
  <sheetProtection sheet="1" formatCells="0" formatColumns="0" formatRows="0"/>
  <autoFilter ref="A1:CN6" xr:uid="{BB9C3AB3-2D15-174E-B900-3E2F789706E1}">
    <filterColumn colId="14" showButton="0"/>
    <filterColumn colId="15" showButton="0"/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sortState xmlns:xlrd2="http://schemas.microsoft.com/office/spreadsheetml/2017/richdata2" ref="A4:CN6">
      <sortCondition descending="1" ref="F1:F7"/>
    </sortState>
  </autoFilter>
  <mergeCells count="32">
    <mergeCell ref="W2:Z2"/>
    <mergeCell ref="AA2:AD2"/>
    <mergeCell ref="AE2:AH2"/>
    <mergeCell ref="BS2:BV2"/>
    <mergeCell ref="BW2:BZ2"/>
    <mergeCell ref="CA2:CD2"/>
    <mergeCell ref="CE2:CH2"/>
    <mergeCell ref="AO2:AR2"/>
    <mergeCell ref="AS2:AV2"/>
    <mergeCell ref="L1:L3"/>
    <mergeCell ref="AW2:AZ2"/>
    <mergeCell ref="BA2:BD2"/>
    <mergeCell ref="BE2:BH2"/>
    <mergeCell ref="BO2:BR2"/>
    <mergeCell ref="M1:M3"/>
    <mergeCell ref="N1:N3"/>
    <mergeCell ref="O1:AN1"/>
    <mergeCell ref="AO1:BN1"/>
    <mergeCell ref="BO1:CN1"/>
    <mergeCell ref="O2:R2"/>
    <mergeCell ref="S2:V2"/>
    <mergeCell ref="A1:A3"/>
    <mergeCell ref="B1:B3"/>
    <mergeCell ref="C1:C3"/>
    <mergeCell ref="D1:D3"/>
    <mergeCell ref="E1:E3"/>
    <mergeCell ref="K1:K3"/>
    <mergeCell ref="F1:F3"/>
    <mergeCell ref="G1:G3"/>
    <mergeCell ref="H1:H3"/>
    <mergeCell ref="I1:I3"/>
    <mergeCell ref="J1:J3"/>
  </mergeCells>
  <conditionalFormatting sqref="H1:H1048576 J1:J1048576 L1:L1048576 N1:N1048576">
    <cfRule type="expression" dxfId="11" priority="1">
      <formula>IF(H1=$BO$1,1,0)</formula>
    </cfRule>
    <cfRule type="expression" dxfId="10" priority="2">
      <formula>IF(H1=$AO$1,1,0)</formula>
    </cfRule>
    <cfRule type="expression" dxfId="9" priority="3">
      <formula>IF(H1=$O$1,1,0)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CN10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27.5" bestFit="1" customWidth="1"/>
    <col min="9" max="9" width="10.5" customWidth="1"/>
    <col min="10" max="10" width="27.5" bestFit="1" customWidth="1"/>
    <col min="12" max="12" width="27.5" bestFit="1" customWidth="1"/>
    <col min="14" max="14" width="27.5" bestFit="1" customWidth="1"/>
    <col min="15" max="35" width="10.83203125" hidden="1" customWidth="1"/>
    <col min="36" max="40" width="10.83203125" style="22" customWidth="1"/>
    <col min="41" max="61" width="10.83203125" hidden="1" customWidth="1"/>
    <col min="62" max="66" width="10.83203125" style="22" customWidth="1"/>
    <col min="67" max="87" width="10.83203125" hidden="1" customWidth="1"/>
    <col min="88" max="92" width="10.83203125" style="22" customWidth="1"/>
    <col min="93" max="99" width="10.83203125" customWidth="1"/>
  </cols>
  <sheetData>
    <row r="1" spans="1:92" ht="16" customHeight="1" x14ac:dyDescent="0.2">
      <c r="A1" s="34" t="s">
        <v>1</v>
      </c>
      <c r="B1" s="34" t="s">
        <v>12</v>
      </c>
      <c r="C1" s="34" t="s">
        <v>0</v>
      </c>
      <c r="D1" s="34" t="s">
        <v>19</v>
      </c>
      <c r="E1" s="34" t="s">
        <v>2</v>
      </c>
      <c r="F1" s="32" t="s">
        <v>46</v>
      </c>
      <c r="G1" s="33" t="s">
        <v>44</v>
      </c>
      <c r="H1" s="31" t="s">
        <v>16</v>
      </c>
      <c r="I1" s="33" t="s">
        <v>45</v>
      </c>
      <c r="J1" s="31" t="s">
        <v>16</v>
      </c>
      <c r="K1" s="31" t="s">
        <v>9</v>
      </c>
      <c r="L1" s="31" t="s">
        <v>16</v>
      </c>
      <c r="M1" s="31" t="s">
        <v>49</v>
      </c>
      <c r="N1" s="31" t="s">
        <v>16</v>
      </c>
      <c r="O1" s="39" t="s">
        <v>47</v>
      </c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40" t="s">
        <v>36</v>
      </c>
      <c r="AP1" s="40"/>
      <c r="AQ1" s="40"/>
      <c r="AR1" s="40"/>
      <c r="AS1" s="40"/>
      <c r="AT1" s="40"/>
      <c r="AU1" s="40"/>
      <c r="AV1" s="40"/>
      <c r="AW1" s="40"/>
      <c r="AX1" s="40"/>
      <c r="AY1" s="40"/>
      <c r="AZ1" s="40"/>
      <c r="BA1" s="40"/>
      <c r="BB1" s="40"/>
      <c r="BC1" s="40"/>
      <c r="BD1" s="40"/>
      <c r="BE1" s="40"/>
      <c r="BF1" s="40"/>
      <c r="BG1" s="40"/>
      <c r="BH1" s="40"/>
      <c r="BI1" s="40"/>
      <c r="BJ1" s="40"/>
      <c r="BK1" s="40"/>
      <c r="BL1" s="40"/>
      <c r="BM1" s="40"/>
      <c r="BN1" s="40"/>
      <c r="BO1" s="39" t="s">
        <v>48</v>
      </c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</row>
    <row r="2" spans="1:92" x14ac:dyDescent="0.2">
      <c r="A2" s="34"/>
      <c r="B2" s="34"/>
      <c r="C2" s="34"/>
      <c r="D2" s="34"/>
      <c r="E2" s="34"/>
      <c r="F2" s="32"/>
      <c r="G2" s="33"/>
      <c r="H2" s="31"/>
      <c r="I2" s="33"/>
      <c r="J2" s="31"/>
      <c r="K2" s="31"/>
      <c r="L2" s="31"/>
      <c r="M2" s="31"/>
      <c r="N2" s="31"/>
      <c r="O2" s="35" t="s">
        <v>37</v>
      </c>
      <c r="P2" s="35"/>
      <c r="Q2" s="35"/>
      <c r="R2" s="35"/>
      <c r="S2" s="35" t="s">
        <v>38</v>
      </c>
      <c r="T2" s="35"/>
      <c r="U2" s="35"/>
      <c r="V2" s="35"/>
      <c r="W2" s="35" t="s">
        <v>39</v>
      </c>
      <c r="X2" s="35"/>
      <c r="Y2" s="35"/>
      <c r="Z2" s="35"/>
      <c r="AA2" s="35" t="s">
        <v>40</v>
      </c>
      <c r="AB2" s="35"/>
      <c r="AC2" s="35"/>
      <c r="AD2" s="35"/>
      <c r="AE2" s="36" t="s">
        <v>41</v>
      </c>
      <c r="AF2" s="36"/>
      <c r="AG2" s="36"/>
      <c r="AH2" s="36"/>
      <c r="AI2" s="16"/>
      <c r="AJ2" s="24" t="s">
        <v>42</v>
      </c>
      <c r="AK2" s="24" t="s">
        <v>39</v>
      </c>
      <c r="AL2" s="24" t="s">
        <v>40</v>
      </c>
      <c r="AM2" s="24" t="s">
        <v>43</v>
      </c>
      <c r="AN2" s="24" t="s">
        <v>11</v>
      </c>
      <c r="AO2" s="37" t="s">
        <v>37</v>
      </c>
      <c r="AP2" s="37"/>
      <c r="AQ2" s="37"/>
      <c r="AR2" s="37"/>
      <c r="AS2" s="37" t="s">
        <v>38</v>
      </c>
      <c r="AT2" s="37"/>
      <c r="AU2" s="37"/>
      <c r="AV2" s="37"/>
      <c r="AW2" s="37" t="s">
        <v>39</v>
      </c>
      <c r="AX2" s="37"/>
      <c r="AY2" s="37"/>
      <c r="AZ2" s="37"/>
      <c r="BA2" s="37" t="s">
        <v>40</v>
      </c>
      <c r="BB2" s="37"/>
      <c r="BC2" s="37"/>
      <c r="BD2" s="37"/>
      <c r="BE2" s="38" t="s">
        <v>41</v>
      </c>
      <c r="BF2" s="38"/>
      <c r="BG2" s="38"/>
      <c r="BH2" s="38"/>
      <c r="BI2" s="17"/>
      <c r="BJ2" s="25" t="s">
        <v>42</v>
      </c>
      <c r="BK2" s="25" t="s">
        <v>39</v>
      </c>
      <c r="BL2" s="25" t="s">
        <v>40</v>
      </c>
      <c r="BM2" s="25" t="s">
        <v>43</v>
      </c>
      <c r="BN2" s="25" t="s">
        <v>11</v>
      </c>
      <c r="BO2" s="35" t="s">
        <v>37</v>
      </c>
      <c r="BP2" s="35"/>
      <c r="BQ2" s="35"/>
      <c r="BR2" s="35"/>
      <c r="BS2" s="35" t="s">
        <v>38</v>
      </c>
      <c r="BT2" s="35"/>
      <c r="BU2" s="35"/>
      <c r="BV2" s="35"/>
      <c r="BW2" s="35" t="s">
        <v>39</v>
      </c>
      <c r="BX2" s="35"/>
      <c r="BY2" s="35"/>
      <c r="BZ2" s="35"/>
      <c r="CA2" s="35" t="s">
        <v>40</v>
      </c>
      <c r="CB2" s="35"/>
      <c r="CC2" s="35"/>
      <c r="CD2" s="35"/>
      <c r="CE2" s="36" t="s">
        <v>41</v>
      </c>
      <c r="CF2" s="36"/>
      <c r="CG2" s="36"/>
      <c r="CH2" s="36"/>
      <c r="CI2" s="20"/>
      <c r="CJ2" s="24" t="s">
        <v>42</v>
      </c>
      <c r="CK2" s="24" t="s">
        <v>39</v>
      </c>
      <c r="CL2" s="24" t="s">
        <v>40</v>
      </c>
      <c r="CM2" s="24" t="s">
        <v>43</v>
      </c>
      <c r="CN2" s="24" t="s">
        <v>11</v>
      </c>
    </row>
    <row r="3" spans="1:92" x14ac:dyDescent="0.2">
      <c r="A3" s="34"/>
      <c r="B3" s="34"/>
      <c r="C3" s="34"/>
      <c r="D3" s="34"/>
      <c r="E3" s="34"/>
      <c r="F3" s="32"/>
      <c r="G3" s="33"/>
      <c r="H3" s="31"/>
      <c r="I3" s="33"/>
      <c r="J3" s="31"/>
      <c r="K3" s="31"/>
      <c r="L3" s="31"/>
      <c r="M3" s="31"/>
      <c r="N3" s="31"/>
      <c r="O3" s="13" t="s">
        <v>10</v>
      </c>
      <c r="P3" s="13" t="s">
        <v>8</v>
      </c>
      <c r="Q3" s="13" t="s">
        <v>13</v>
      </c>
      <c r="R3" s="13" t="s">
        <v>14</v>
      </c>
      <c r="S3" s="13" t="s">
        <v>10</v>
      </c>
      <c r="T3" s="13" t="s">
        <v>8</v>
      </c>
      <c r="U3" s="13" t="s">
        <v>13</v>
      </c>
      <c r="V3" s="13" t="s">
        <v>14</v>
      </c>
      <c r="W3" s="24" t="s">
        <v>10</v>
      </c>
      <c r="X3" s="24" t="s">
        <v>8</v>
      </c>
      <c r="Y3" s="24" t="s">
        <v>13</v>
      </c>
      <c r="Z3" s="24" t="s">
        <v>14</v>
      </c>
      <c r="AA3" s="13" t="s">
        <v>10</v>
      </c>
      <c r="AB3" s="13" t="s">
        <v>8</v>
      </c>
      <c r="AC3" s="13" t="s">
        <v>13</v>
      </c>
      <c r="AD3" s="13" t="s">
        <v>14</v>
      </c>
      <c r="AE3" s="15" t="s">
        <v>10</v>
      </c>
      <c r="AF3" s="15" t="s">
        <v>8</v>
      </c>
      <c r="AG3" s="15" t="s">
        <v>13</v>
      </c>
      <c r="AH3" s="15" t="s">
        <v>14</v>
      </c>
      <c r="AI3" s="16" t="s">
        <v>18</v>
      </c>
      <c r="AJ3" s="24"/>
      <c r="AK3" s="24"/>
      <c r="AL3" s="24"/>
      <c r="AM3" s="24"/>
      <c r="AN3" s="24"/>
      <c r="AO3" s="12" t="s">
        <v>10</v>
      </c>
      <c r="AP3" s="12" t="s">
        <v>8</v>
      </c>
      <c r="AQ3" s="12" t="s">
        <v>13</v>
      </c>
      <c r="AR3" s="12" t="s">
        <v>14</v>
      </c>
      <c r="AS3" s="12" t="s">
        <v>10</v>
      </c>
      <c r="AT3" s="12" t="s">
        <v>8</v>
      </c>
      <c r="AU3" s="12" t="s">
        <v>13</v>
      </c>
      <c r="AV3" s="12" t="s">
        <v>14</v>
      </c>
      <c r="AW3" s="25" t="s">
        <v>10</v>
      </c>
      <c r="AX3" s="25" t="s">
        <v>8</v>
      </c>
      <c r="AY3" s="25" t="s">
        <v>13</v>
      </c>
      <c r="AZ3" s="25" t="s">
        <v>14</v>
      </c>
      <c r="BA3" s="12" t="s">
        <v>10</v>
      </c>
      <c r="BB3" s="12" t="s">
        <v>8</v>
      </c>
      <c r="BC3" s="12" t="s">
        <v>13</v>
      </c>
      <c r="BD3" s="12" t="s">
        <v>14</v>
      </c>
      <c r="BE3" s="14" t="s">
        <v>10</v>
      </c>
      <c r="BF3" s="14" t="s">
        <v>8</v>
      </c>
      <c r="BG3" s="14" t="s">
        <v>13</v>
      </c>
      <c r="BH3" s="14" t="s">
        <v>14</v>
      </c>
      <c r="BI3" s="17" t="s">
        <v>18</v>
      </c>
      <c r="BJ3" s="25"/>
      <c r="BK3" s="25"/>
      <c r="BL3" s="25"/>
      <c r="BM3" s="25"/>
      <c r="BN3" s="25"/>
      <c r="BO3" s="20" t="s">
        <v>10</v>
      </c>
      <c r="BP3" s="20" t="s">
        <v>8</v>
      </c>
      <c r="BQ3" s="20" t="s">
        <v>13</v>
      </c>
      <c r="BR3" s="20" t="s">
        <v>14</v>
      </c>
      <c r="BS3" s="20" t="s">
        <v>10</v>
      </c>
      <c r="BT3" s="20" t="s">
        <v>8</v>
      </c>
      <c r="BU3" s="20" t="s">
        <v>13</v>
      </c>
      <c r="BV3" s="20" t="s">
        <v>14</v>
      </c>
      <c r="BW3" s="24" t="s">
        <v>10</v>
      </c>
      <c r="BX3" s="24" t="s">
        <v>8</v>
      </c>
      <c r="BY3" s="24" t="s">
        <v>13</v>
      </c>
      <c r="BZ3" s="24" t="s">
        <v>14</v>
      </c>
      <c r="CA3" s="20" t="s">
        <v>10</v>
      </c>
      <c r="CB3" s="20" t="s">
        <v>8</v>
      </c>
      <c r="CC3" s="20" t="s">
        <v>13</v>
      </c>
      <c r="CD3" s="20" t="s">
        <v>14</v>
      </c>
      <c r="CE3" s="21" t="s">
        <v>10</v>
      </c>
      <c r="CF3" s="21" t="s">
        <v>8</v>
      </c>
      <c r="CG3" s="21" t="s">
        <v>13</v>
      </c>
      <c r="CH3" s="21" t="s">
        <v>14</v>
      </c>
      <c r="CI3" s="20" t="s">
        <v>18</v>
      </c>
      <c r="CJ3" s="24"/>
      <c r="CK3" s="24"/>
      <c r="CL3" s="24"/>
      <c r="CM3" s="24"/>
      <c r="CN3" s="24"/>
    </row>
    <row r="4" spans="1:92" x14ac:dyDescent="0.2">
      <c r="A4" s="1" cm="1">
        <f t="array" ref="A4">IF(F4="P",SUMPRODUCT((F$4:F$7="P")*(E$4:E$7&gt;E4))+1,"")</f>
        <v>1</v>
      </c>
      <c r="B4" s="2" t="s">
        <v>50</v>
      </c>
      <c r="C4" s="3" t="s">
        <v>3</v>
      </c>
      <c r="D4" s="7">
        <v>1991</v>
      </c>
      <c r="E4" s="5">
        <f>SUM(G4:N4)+SUM(G4:M4)*0.0000001+SUM(G4)*0.0000000000001</f>
        <v>154.96001549600453</v>
      </c>
      <c r="F4" s="30" t="s">
        <v>55</v>
      </c>
      <c r="G4" s="4">
        <f>IF(COUNT(AJ4,BJ4,CJ4)&gt;0,LARGE((AJ4,BJ4,CJ4),1),0)</f>
        <v>45.4</v>
      </c>
      <c r="H4" s="4" t="str">
        <f>IF(G4=0,"",IF(G4=CJ4,$BO$1,IF(G4=BJ4,$AO$1,IF(G4=AJ4,$O$1,""))))</f>
        <v>2022 Elite Canada</v>
      </c>
      <c r="I4" s="4">
        <f>IF(COUNT(AJ4,BJ4,CJ4)&gt;1,LARGE((AJ4,BJ4,CJ4),2),0)</f>
        <v>41.699999999999996</v>
      </c>
      <c r="J4" s="4" t="str">
        <f>IF(I4=0,"",IF(I4=CJ4,$BO$1,IF(I4=BJ4,$AO$1,IF(I4=AJ4,$O$1,""))))</f>
        <v>2022 WG Virtual Technical Trial</v>
      </c>
      <c r="K4" s="4">
        <f>IF(MAX(AM4,BM4,CM4)&gt;0,MAX(AM4,BM4,CM4),0)</f>
        <v>45.86</v>
      </c>
      <c r="L4" s="4" t="str">
        <f>IF(K4=0,"",IF(K4=CM4,$BO$1,IF(K4=BM4,$AO$1,IF(K4=AM4,$O$1,""))))</f>
        <v>2022 Elite Canada</v>
      </c>
      <c r="M4" s="4">
        <f>IF(K4=CM4,MAX(BL4,AL4),IF(K4=BM4,MAX(CL4,AL4),IF(K4=AM4,MAX(CL4,BL4),0)))</f>
        <v>22</v>
      </c>
      <c r="N4" s="4" t="str">
        <f>IF(M4=0,"",IF(AND(M4=CL4,L4&lt;&gt;$BO$1),$BO$1,IF(AND(M4=BL4,L4&lt;&gt;$AO$1),$AO$1,IF(AND(M4=AL4,L4&lt;&gt;$O$1),$O$1,""))))</f>
        <v>2022 WG Virtual Technical Trial</v>
      </c>
      <c r="O4" s="9">
        <v>17.8</v>
      </c>
      <c r="P4" s="9">
        <v>4.7</v>
      </c>
      <c r="Q4" s="9">
        <v>0</v>
      </c>
      <c r="R4" s="9">
        <v>0.3</v>
      </c>
      <c r="S4" s="9">
        <v>16.7</v>
      </c>
      <c r="T4" s="9">
        <v>1.9</v>
      </c>
      <c r="U4" s="9">
        <v>0</v>
      </c>
      <c r="V4" s="9">
        <v>0.3</v>
      </c>
      <c r="W4" s="9"/>
      <c r="X4" s="9"/>
      <c r="Y4" s="9"/>
      <c r="Z4" s="9"/>
      <c r="AA4" s="9">
        <v>17.399999999999999</v>
      </c>
      <c r="AB4" s="9">
        <v>4.3</v>
      </c>
      <c r="AC4" s="9">
        <v>0</v>
      </c>
      <c r="AD4" s="9">
        <v>0.3</v>
      </c>
      <c r="AE4" s="9">
        <v>17.7</v>
      </c>
      <c r="AF4" s="9">
        <v>4.7</v>
      </c>
      <c r="AG4" s="9">
        <v>0</v>
      </c>
      <c r="AH4" s="9">
        <v>0.3</v>
      </c>
      <c r="AI4" s="18"/>
      <c r="AJ4" s="23">
        <f>IF(SUM(O4:P4,R4:T4,V4)-Q4-U4&gt;0,SUM(O4:P4,R4:T4,V4)-Q4-U4,"")</f>
        <v>41.699999999999996</v>
      </c>
      <c r="AK4" s="23" t="str">
        <f>IF(SUM(W4:X4,Z4)-Y4&gt;0,SUM(W4:X4,Z4)-Y4,"")</f>
        <v/>
      </c>
      <c r="AL4" s="23">
        <f>IF(SUM(AA4:AB4,AD4)-SUM(AC4)&gt;0,SUM(AA4:AB4,AD4)-SUM(AC4),"")</f>
        <v>22</v>
      </c>
      <c r="AM4" s="23">
        <f>IF(SUM(AA4:AB4,AD4:AF4,AH4)-SUM(AC4,AG4)&gt;0,SUM(AA4:AB4,AD4:AF4,AH4)-SUM(AC4,AG4),"")</f>
        <v>44.7</v>
      </c>
      <c r="AN4" s="23">
        <f>IF(SUM(AJ4,AM4)&gt;0,SUM(AJ4,AM4),"")</f>
        <v>86.4</v>
      </c>
      <c r="AO4" s="8">
        <v>17.7</v>
      </c>
      <c r="AP4" s="8">
        <v>4.7</v>
      </c>
      <c r="AQ4" s="8">
        <v>0</v>
      </c>
      <c r="AR4" s="8">
        <v>0.3</v>
      </c>
      <c r="AS4" s="8">
        <v>17.7</v>
      </c>
      <c r="AT4" s="8">
        <v>4.7</v>
      </c>
      <c r="AU4" s="8">
        <v>0</v>
      </c>
      <c r="AV4" s="8">
        <v>0.3</v>
      </c>
      <c r="AW4" s="8"/>
      <c r="AX4" s="8"/>
      <c r="AY4" s="8"/>
      <c r="AZ4" s="8"/>
      <c r="BA4" s="8">
        <v>18.059999999999999</v>
      </c>
      <c r="BB4" s="8">
        <v>4.7</v>
      </c>
      <c r="BC4" s="8">
        <v>0</v>
      </c>
      <c r="BD4" s="8">
        <v>0.3</v>
      </c>
      <c r="BE4" s="8">
        <v>17.8</v>
      </c>
      <c r="BF4" s="8">
        <v>4.7</v>
      </c>
      <c r="BG4" s="8">
        <v>0</v>
      </c>
      <c r="BH4" s="8">
        <v>0.3</v>
      </c>
      <c r="BI4" s="19"/>
      <c r="BJ4" s="6">
        <f>IF(SUM(AO4:AP4,AR4:AT4,AV4)-AQ4-AU4&gt;0,SUM(AO4:AP4,AR4:AT4,AV4)-AQ4-AU4,"")</f>
        <v>45.4</v>
      </c>
      <c r="BK4" s="6" t="str">
        <f>IF(SUM(AW4:AX4,AZ4)-AY4&gt;0,SUM(AW4:AX4,AZ4)-AY4,"")</f>
        <v/>
      </c>
      <c r="BL4" s="6">
        <f>IF(SUM(BA4:BB4,BD4)-SUM(BC4)&gt;0,SUM(BA4:BB4,BD4)-SUM(BC4),"")</f>
        <v>23.06</v>
      </c>
      <c r="BM4" s="6">
        <f>IF(SUM(BA4:BB4,BD4:BF4,BH4)-SUM(BC4,BG4)&gt;0,SUM(BA4:BB4,BD4:BF4,BH4)-SUM(BC4,BG4),"")</f>
        <v>45.86</v>
      </c>
      <c r="BN4" s="6">
        <f>IF(SUM(BJ4,BM4)&gt;0,SUM(BJ4,BM4),"")</f>
        <v>91.259999999999991</v>
      </c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18"/>
      <c r="CJ4" s="23" t="str">
        <f>IF(SUM(BO4:BP4,BR4:BT4,BV4)-BQ4-BU4&gt;0,SUM(BO4:BP4,BR4:BT4,BV4)-BQ4-BU4,"")</f>
        <v/>
      </c>
      <c r="CK4" s="23" t="str">
        <f>IF(SUM(BW4:BX4,BZ4)-BY4&gt;0,SUM(BW4:BX4,BZ4)-BY4,"")</f>
        <v/>
      </c>
      <c r="CL4" s="23" t="str">
        <f>IF(SUM(CA4:CB4,CD4)-SUM(CC4)&gt;0,SUM(CA4:CB4,CD4)-SUM(CC4),"")</f>
        <v/>
      </c>
      <c r="CM4" s="23" t="str">
        <f>IF(SUM(CA4:CB4,CD4:CF4,CH4)-SUM(CC4,CG4)&gt;0,SUM(CA4:CB4,CD4:CF4,CH4)-SUM(CC4,CG4),"")</f>
        <v/>
      </c>
      <c r="CN4" s="23" t="str">
        <f>IF(SUM(CJ4,CM4)&gt;0,SUM(CJ4,CM4),"")</f>
        <v/>
      </c>
    </row>
    <row r="5" spans="1:92" x14ac:dyDescent="0.2">
      <c r="A5" s="1" cm="1">
        <f t="array" ref="A5">IF(F5="P",SUMPRODUCT((F$4:F$7="P")*(E$4:E$7&gt;E5))+1,"")</f>
        <v>2</v>
      </c>
      <c r="B5" s="2" t="s">
        <v>51</v>
      </c>
      <c r="C5" s="3" t="s">
        <v>3</v>
      </c>
      <c r="D5" s="7">
        <v>2004</v>
      </c>
      <c r="E5" s="5">
        <f>SUM(G5:N5)+SUM(G5:M5)*0.0000001+SUM(G5)*0.0000000000001</f>
        <v>153.04001530400441</v>
      </c>
      <c r="F5" s="30" t="s">
        <v>55</v>
      </c>
      <c r="G5" s="4">
        <f>IF(COUNT(AJ5,BJ5,CJ5)&gt;0,LARGE((AJ5,BJ5,CJ5),1),0)</f>
        <v>44.2</v>
      </c>
      <c r="H5" s="4" t="str">
        <f>IF(G5=0,"",IF(G5=CJ5,$BO$1,IF(G5=BJ5,$AO$1,IF(G5=AJ5,$O$1,""))))</f>
        <v>2022 Elite Canada</v>
      </c>
      <c r="I5" s="4">
        <f>IF(COUNT(AJ5,BJ5,CJ5)&gt;1,LARGE((AJ5,BJ5,CJ5),2),0)</f>
        <v>43.4</v>
      </c>
      <c r="J5" s="4" t="str">
        <f>IF(I5=0,"",IF(I5=CJ5,$BO$1,IF(I5=BJ5,$AO$1,IF(I5=AJ5,$O$1,""))))</f>
        <v>2022 WG Virtual Technical Trial</v>
      </c>
      <c r="K5" s="4">
        <f>IF(MAX(AM5,BM5,CM5)&gt;0,MAX(AM5,BM5,CM5),0)</f>
        <v>43.9</v>
      </c>
      <c r="L5" s="4" t="str">
        <f>IF(K5=0,"",IF(K5=CM5,$BO$1,IF(K5=BM5,$AO$1,IF(K5=AM5,$O$1,""))))</f>
        <v>2022 WG Virtual Technical Trial</v>
      </c>
      <c r="M5" s="4">
        <f>IF(K5=CM5,MAX(BL5,AL5),IF(K5=BM5,MAX(CL5,AL5),IF(K5=AM5,MAX(CL5,BL5),0)))</f>
        <v>21.540000000000003</v>
      </c>
      <c r="N5" s="4" t="str">
        <f>IF(M5=0,"",IF(AND(M5=CL5,L5&lt;&gt;$BO$1),$BO$1,IF(AND(M5=BL5,L5&lt;&gt;$AO$1),$AO$1,IF(AND(M5=AL5,L5&lt;&gt;$O$1),$O$1,""))))</f>
        <v>2022 Elite Canada</v>
      </c>
      <c r="O5" s="9">
        <v>17.600000000000001</v>
      </c>
      <c r="P5" s="9">
        <v>3.6</v>
      </c>
      <c r="Q5" s="9">
        <v>0</v>
      </c>
      <c r="R5" s="9">
        <v>0</v>
      </c>
      <c r="S5" s="9">
        <v>17.399999999999999</v>
      </c>
      <c r="T5" s="9">
        <v>4.5</v>
      </c>
      <c r="U5" s="9">
        <v>0</v>
      </c>
      <c r="V5" s="9">
        <v>0.3</v>
      </c>
      <c r="W5" s="9"/>
      <c r="X5" s="9"/>
      <c r="Y5" s="9"/>
      <c r="Z5" s="9"/>
      <c r="AA5" s="9">
        <v>18.100000000000001</v>
      </c>
      <c r="AB5" s="9">
        <v>3.6</v>
      </c>
      <c r="AC5" s="9">
        <v>0</v>
      </c>
      <c r="AD5" s="9">
        <v>0</v>
      </c>
      <c r="AE5" s="9">
        <v>17.399999999999999</v>
      </c>
      <c r="AF5" s="9">
        <v>4.5</v>
      </c>
      <c r="AG5" s="9">
        <v>0</v>
      </c>
      <c r="AH5" s="9">
        <v>0.3</v>
      </c>
      <c r="AI5" s="18"/>
      <c r="AJ5" s="23">
        <f>IF(SUM(O5:P5,R5:T5,V5)-Q5-U5&gt;0,SUM(O5:P5,R5:T5,V5)-Q5-U5,"")</f>
        <v>43.4</v>
      </c>
      <c r="AK5" s="23" t="str">
        <f>IF(SUM(W5:X5,Z5)-Y5&gt;0,SUM(W5:X5,Z5)-Y5,"")</f>
        <v/>
      </c>
      <c r="AL5" s="23">
        <f>IF(SUM(AA5:AB5,AD5)-SUM(AC5)&gt;0,SUM(AA5:AB5,AD5)-SUM(AC5),"")</f>
        <v>21.700000000000003</v>
      </c>
      <c r="AM5" s="23">
        <f>IF(SUM(AA5:AB5,AD5:AF5,AH5)-SUM(AC5,AG5)&gt;0,SUM(AA5:AB5,AD5:AF5,AH5)-SUM(AC5,AG5),"")</f>
        <v>43.9</v>
      </c>
      <c r="AN5" s="23">
        <f>IF(SUM(AJ5,AM5)&gt;0,SUM(AJ5,AM5),"")</f>
        <v>87.3</v>
      </c>
      <c r="AO5" s="8">
        <v>18.2</v>
      </c>
      <c r="AP5" s="8">
        <v>3.6</v>
      </c>
      <c r="AQ5" s="8">
        <v>0</v>
      </c>
      <c r="AR5" s="8">
        <v>0</v>
      </c>
      <c r="AS5" s="8">
        <v>17.600000000000001</v>
      </c>
      <c r="AT5" s="8">
        <v>4.5</v>
      </c>
      <c r="AU5" s="8">
        <v>0</v>
      </c>
      <c r="AV5" s="8">
        <v>0.3</v>
      </c>
      <c r="AW5" s="8"/>
      <c r="AX5" s="8"/>
      <c r="AY5" s="8"/>
      <c r="AZ5" s="8"/>
      <c r="BA5" s="8">
        <v>17.940000000000001</v>
      </c>
      <c r="BB5" s="8">
        <v>3.6</v>
      </c>
      <c r="BC5" s="8">
        <v>0</v>
      </c>
      <c r="BD5" s="8">
        <v>0</v>
      </c>
      <c r="BE5" s="8">
        <v>17.399999999999999</v>
      </c>
      <c r="BF5" s="8">
        <v>4.5</v>
      </c>
      <c r="BG5" s="8">
        <v>0</v>
      </c>
      <c r="BH5" s="8">
        <v>0.3</v>
      </c>
      <c r="BI5" s="19"/>
      <c r="BJ5" s="6">
        <f>IF(SUM(AO5:AP5,AR5:AT5,AV5)-AQ5-AU5&gt;0,SUM(AO5:AP5,AR5:AT5,AV5)-AQ5-AU5,"")</f>
        <v>44.2</v>
      </c>
      <c r="BK5" s="6" t="str">
        <f>IF(SUM(AW5:AX5,AZ5)-AY5&gt;0,SUM(AW5:AX5,AZ5)-AY5,"")</f>
        <v/>
      </c>
      <c r="BL5" s="6">
        <f>IF(SUM(BA5:BB5,BD5)-SUM(BC5)&gt;0,SUM(BA5:BB5,BD5)-SUM(BC5),"")</f>
        <v>21.540000000000003</v>
      </c>
      <c r="BM5" s="6">
        <f>IF(SUM(BA5:BB5,BD5:BF5,BH5)-SUM(BC5,BG5)&gt;0,SUM(BA5:BB5,BD5:BF5,BH5)-SUM(BC5,BG5),"")</f>
        <v>43.739999999999995</v>
      </c>
      <c r="BN5" s="6">
        <f>IF(SUM(BJ5,BM5)&gt;0,SUM(BJ5,BM5),"")</f>
        <v>87.94</v>
      </c>
      <c r="BO5" s="9">
        <v>16.7</v>
      </c>
      <c r="BP5" s="9">
        <v>4.5</v>
      </c>
      <c r="BQ5" s="9">
        <v>0</v>
      </c>
      <c r="BR5" s="9">
        <v>0.3</v>
      </c>
      <c r="BS5" s="9">
        <v>17.100000000000001</v>
      </c>
      <c r="BT5" s="9">
        <v>4.3</v>
      </c>
      <c r="BU5" s="9">
        <v>0</v>
      </c>
      <c r="BV5" s="9">
        <v>0.3</v>
      </c>
      <c r="BW5" s="9"/>
      <c r="BX5" s="9"/>
      <c r="BY5" s="9"/>
      <c r="BZ5" s="9"/>
      <c r="CA5" s="9">
        <v>16.600000000000001</v>
      </c>
      <c r="CB5" s="9">
        <v>4.5</v>
      </c>
      <c r="CC5" s="9">
        <v>0</v>
      </c>
      <c r="CD5" s="9">
        <v>0.3</v>
      </c>
      <c r="CE5" s="9">
        <v>17.100000000000001</v>
      </c>
      <c r="CF5" s="9">
        <v>4.3</v>
      </c>
      <c r="CG5" s="9">
        <v>0</v>
      </c>
      <c r="CH5" s="9">
        <v>0.3</v>
      </c>
      <c r="CI5" s="18"/>
      <c r="CJ5" s="23">
        <f>IF(SUM(BO5:BP5,BR5:BT5,BV5)-BQ5-BU5&gt;0,SUM(BO5:BP5,BR5:BT5,BV5)-BQ5-BU5,"")</f>
        <v>43.199999999999996</v>
      </c>
      <c r="CK5" s="23" t="str">
        <f>IF(SUM(BW5:BX5,BZ5)-BY5&gt;0,SUM(BW5:BX5,BZ5)-BY5,"")</f>
        <v/>
      </c>
      <c r="CL5" s="23">
        <f>IF(SUM(CA5:CB5,CD5)-SUM(CC5)&gt;0,SUM(CA5:CB5,CD5)-SUM(CC5),"")</f>
        <v>21.400000000000002</v>
      </c>
      <c r="CM5" s="23">
        <f>IF(SUM(CA5:CB5,CD5:CF5,CH5)-SUM(CC5,CG5)&gt;0,SUM(CA5:CB5,CD5:CF5,CH5)-SUM(CC5,CG5),"")</f>
        <v>43.099999999999994</v>
      </c>
      <c r="CN5" s="23">
        <f>IF(SUM(CJ5,CM5)&gt;0,SUM(CJ5,CM5),"")</f>
        <v>86.299999999999983</v>
      </c>
    </row>
    <row r="6" spans="1:92" x14ac:dyDescent="0.2">
      <c r="A6" s="1" t="str" cm="1">
        <f t="array" ref="A6">IF(F6="P",SUMPRODUCT((F$4:F$7="P")*(E$4:E$7&gt;E6))+1,"")</f>
        <v/>
      </c>
      <c r="B6" s="2" t="s">
        <v>22</v>
      </c>
      <c r="C6" s="3" t="s">
        <v>3</v>
      </c>
      <c r="D6" s="7">
        <v>2003</v>
      </c>
      <c r="E6" s="5">
        <f>SUM(G6:N6)+SUM(G6:M6)*0.0000001+SUM(G6)*0.0000000000001</f>
        <v>138.60001386000388</v>
      </c>
      <c r="F6" s="30"/>
      <c r="G6" s="4">
        <f>IF(COUNT(AJ6,BJ6,CJ6)&gt;0,LARGE((AJ6,BJ6,CJ6),1),0)</f>
        <v>38.9</v>
      </c>
      <c r="H6" s="4" t="str">
        <f>IF(G6=0,"",IF(G6=CJ6,$BO$1,IF(G6=BJ6,$AO$1,IF(G6=AJ6,$O$1,""))))</f>
        <v>2022 Elite Canada</v>
      </c>
      <c r="I6" s="4">
        <f>IF(COUNT(AJ6,BJ6,CJ6)&gt;1,LARGE((AJ6,BJ6,CJ6),2),0)</f>
        <v>37.699999999999996</v>
      </c>
      <c r="J6" s="4" t="str">
        <f>IF(I6=0,"",IF(I6=CJ6,$BO$1,IF(I6=BJ6,$AO$1,IF(I6=AJ6,$O$1,""))))</f>
        <v>2022 WG Virtual Control Trial</v>
      </c>
      <c r="K6" s="4">
        <f>IF(MAX(AM6,BM6,CM6)&gt;0,MAX(AM6,BM6,CM6),0)</f>
        <v>42.699999999999996</v>
      </c>
      <c r="L6" s="4" t="str">
        <f>IF(K6=0,"",IF(K6=CM6,$BO$1,IF(K6=BM6,$AO$1,IF(K6=AM6,$O$1,""))))</f>
        <v>2022 WG Virtual Control Trial</v>
      </c>
      <c r="M6" s="4">
        <f>IF(K6=CM6,MAX(BL6,AL6),IF(K6=BM6,MAX(CL6,AL6),IF(K6=AM6,MAX(CL6,BL6),0)))</f>
        <v>19.3</v>
      </c>
      <c r="N6" s="4" t="str">
        <f>IF(M6=0,"",IF(AND(M6=CL6,L6&lt;&gt;$BO$1),$BO$1,IF(AND(M6=BL6,L6&lt;&gt;$AO$1),$AO$1,IF(AND(M6=AL6,L6&lt;&gt;$O$1),$O$1,""))))</f>
        <v>2022 Elite Canada</v>
      </c>
      <c r="O6" s="9">
        <v>9.8000000000000007</v>
      </c>
      <c r="P6" s="9">
        <v>1.4</v>
      </c>
      <c r="Q6" s="9">
        <v>0</v>
      </c>
      <c r="R6" s="9">
        <v>0.3</v>
      </c>
      <c r="S6" s="9">
        <v>15.4</v>
      </c>
      <c r="T6" s="9">
        <v>1.9</v>
      </c>
      <c r="U6" s="9">
        <v>0</v>
      </c>
      <c r="V6" s="9">
        <v>0.3</v>
      </c>
      <c r="W6" s="9"/>
      <c r="X6" s="9"/>
      <c r="Y6" s="9"/>
      <c r="Z6" s="9"/>
      <c r="AA6" s="9">
        <v>16.2</v>
      </c>
      <c r="AB6" s="9">
        <v>1.7</v>
      </c>
      <c r="AC6" s="9">
        <v>1.9</v>
      </c>
      <c r="AD6" s="9">
        <v>0</v>
      </c>
      <c r="AE6" s="9">
        <v>0</v>
      </c>
      <c r="AF6" s="9">
        <v>0</v>
      </c>
      <c r="AG6" s="9">
        <v>0</v>
      </c>
      <c r="AH6" s="9">
        <v>0</v>
      </c>
      <c r="AI6" s="18"/>
      <c r="AJ6" s="23">
        <f>IF(SUM(O6:P6,R6:T6,V6)-Q6-U6&gt;0,SUM(O6:P6,R6:T6,V6)-Q6-U6,"")</f>
        <v>29.1</v>
      </c>
      <c r="AK6" s="23" t="str">
        <f>IF(SUM(W6:X6,Z6)-Y6&gt;0,SUM(W6:X6,Z6)-Y6,"")</f>
        <v/>
      </c>
      <c r="AL6" s="23">
        <f>IF(SUM(AA6:AB6,AD6)-SUM(AC6)&gt;0,SUM(AA6:AB6,AD6)-SUM(AC6),"")</f>
        <v>15.999999999999998</v>
      </c>
      <c r="AM6" s="23">
        <f>IF(SUM(AA6:AB6,AD6:AF6,AH6)-SUM(AC6,AG6)&gt;0,SUM(AA6:AB6,AD6:AF6,AH6)-SUM(AC6,AG6),"")</f>
        <v>15.999999999999998</v>
      </c>
      <c r="AN6" s="23">
        <f>IF(SUM(AJ6,AM6)&gt;0,SUM(AJ6,AM6),"")</f>
        <v>45.1</v>
      </c>
      <c r="AO6" s="8">
        <v>16.600000000000001</v>
      </c>
      <c r="AP6" s="8">
        <v>3.9</v>
      </c>
      <c r="AQ6" s="8">
        <v>0</v>
      </c>
      <c r="AR6" s="8">
        <v>0.3</v>
      </c>
      <c r="AS6" s="8">
        <v>15.9</v>
      </c>
      <c r="AT6" s="8">
        <v>1.9</v>
      </c>
      <c r="AU6" s="8">
        <v>0</v>
      </c>
      <c r="AV6" s="8">
        <v>0.3</v>
      </c>
      <c r="AW6" s="8"/>
      <c r="AX6" s="8"/>
      <c r="AY6" s="8"/>
      <c r="AZ6" s="8"/>
      <c r="BA6" s="8">
        <v>15.1</v>
      </c>
      <c r="BB6" s="8">
        <v>4.0999999999999996</v>
      </c>
      <c r="BC6" s="8">
        <v>0.2</v>
      </c>
      <c r="BD6" s="8">
        <v>0.3</v>
      </c>
      <c r="BE6" s="8">
        <v>16.46</v>
      </c>
      <c r="BF6" s="8">
        <v>4.5</v>
      </c>
      <c r="BG6" s="8">
        <v>0</v>
      </c>
      <c r="BH6" s="8">
        <v>0.3</v>
      </c>
      <c r="BI6" s="19"/>
      <c r="BJ6" s="6">
        <f>IF(SUM(AO6:AP6,AR6:AT6,AV6)-AQ6-AU6&gt;0,SUM(AO6:AP6,AR6:AT6,AV6)-AQ6-AU6,"")</f>
        <v>38.9</v>
      </c>
      <c r="BK6" s="6" t="str">
        <f>IF(SUM(AW6:AX6,AZ6)-AY6&gt;0,SUM(AW6:AX6,AZ6)-AY6,"")</f>
        <v/>
      </c>
      <c r="BL6" s="6">
        <f>IF(SUM(BA6:BB6,BD6)-SUM(BC6)&gt;0,SUM(BA6:BB6,BD6)-SUM(BC6),"")</f>
        <v>19.3</v>
      </c>
      <c r="BM6" s="6">
        <f>IF(SUM(BA6:BB6,BD6:BF6,BH6)-SUM(BC6,BG6)&gt;0,SUM(BA6:BB6,BD6:BF6,BH6)-SUM(BC6,BG6),"")</f>
        <v>40.559999999999995</v>
      </c>
      <c r="BN6" s="6">
        <f>IF(SUM(BJ6,BM6)&gt;0,SUM(BJ6,BM6),"")</f>
        <v>79.459999999999994</v>
      </c>
      <c r="BO6" s="9">
        <v>16.2</v>
      </c>
      <c r="BP6" s="9">
        <v>1.2</v>
      </c>
      <c r="BQ6" s="9">
        <v>0</v>
      </c>
      <c r="BR6" s="9">
        <v>0</v>
      </c>
      <c r="BS6" s="9">
        <v>16.3</v>
      </c>
      <c r="BT6" s="9">
        <v>3.9</v>
      </c>
      <c r="BU6" s="9">
        <v>0.2</v>
      </c>
      <c r="BV6" s="9">
        <v>0.3</v>
      </c>
      <c r="BW6" s="9"/>
      <c r="BX6" s="9"/>
      <c r="BY6" s="9"/>
      <c r="BZ6" s="9"/>
      <c r="CA6" s="9">
        <v>17.5</v>
      </c>
      <c r="CB6" s="9">
        <v>3.6</v>
      </c>
      <c r="CC6" s="9">
        <v>0</v>
      </c>
      <c r="CD6" s="9">
        <v>0</v>
      </c>
      <c r="CE6" s="9">
        <v>17</v>
      </c>
      <c r="CF6" s="9">
        <v>4.3</v>
      </c>
      <c r="CG6" s="9">
        <v>0</v>
      </c>
      <c r="CH6" s="9">
        <v>0.3</v>
      </c>
      <c r="CI6" s="18"/>
      <c r="CJ6" s="23">
        <f>IF(SUM(BO6:BP6,BR6:BT6,BV6)-BQ6-BU6&gt;0,SUM(BO6:BP6,BR6:BT6,BV6)-BQ6-BU6,"")</f>
        <v>37.699999999999996</v>
      </c>
      <c r="CK6" s="23" t="str">
        <f>IF(SUM(BW6:BX6,BZ6)-BY6&gt;0,SUM(BW6:BX6,BZ6)-BY6,"")</f>
        <v/>
      </c>
      <c r="CL6" s="23">
        <f>IF(SUM(CA6:CB6,CD6)-SUM(CC6)&gt;0,SUM(CA6:CB6,CD6)-SUM(CC6),"")</f>
        <v>21.1</v>
      </c>
      <c r="CM6" s="23">
        <f>IF(SUM(CA6:CB6,CD6:CF6,CH6)-SUM(CC6,CG6)&gt;0,SUM(CA6:CB6,CD6:CF6,CH6)-SUM(CC6,CG6),"")</f>
        <v>42.699999999999996</v>
      </c>
      <c r="CN6" s="23">
        <f>IF(SUM(CJ6,CM6)&gt;0,SUM(CJ6,CM6),"")</f>
        <v>80.399999999999991</v>
      </c>
    </row>
    <row r="7" spans="1:92" x14ac:dyDescent="0.2">
      <c r="A7" s="1" t="str" cm="1">
        <f t="array" ref="A7">IF(F7="P",SUMPRODUCT((F$4:F$7="P")*(E$4:E$7&gt;E7))+1,"")</f>
        <v/>
      </c>
      <c r="B7" s="2" t="s">
        <v>62</v>
      </c>
      <c r="C7" s="3" t="s">
        <v>4</v>
      </c>
      <c r="D7" s="7">
        <v>2003</v>
      </c>
      <c r="E7" s="5">
        <f>SUM(G7:N7)+SUM(G7:M7)*0.0000001+SUM(G7)*0.0000000000001</f>
        <v>81.300008130004343</v>
      </c>
      <c r="F7" s="30"/>
      <c r="G7" s="4">
        <f>IF(COUNT(AJ7,BJ7,CJ7)&gt;0,LARGE((AJ7,BJ7,CJ7),1),0)</f>
        <v>43.400000000000006</v>
      </c>
      <c r="H7" s="4" t="str">
        <f>IF(G7=0,"",IF(G7=CJ7,$BO$1,IF(G7=BJ7,$AO$1,IF(G7=AJ7,$O$1,""))))</f>
        <v>2022 WG Virtual Control Trial</v>
      </c>
      <c r="I7" s="4">
        <f>IF(COUNT(AJ7,BJ7,CJ7)&gt;1,LARGE((AJ7,BJ7,CJ7),2),0)</f>
        <v>0</v>
      </c>
      <c r="J7" s="4" t="str">
        <f>IF(I7=0,"",IF(I7=CJ7,$BO$1,IF(I7=BJ7,$AO$1,IF(I7=AJ7,$O$1,""))))</f>
        <v/>
      </c>
      <c r="K7" s="4">
        <f>IF(MAX(AM7,BM7,CM7)&gt;0,MAX(AM7,BM7,CM7),0)</f>
        <v>37.9</v>
      </c>
      <c r="L7" s="4" t="str">
        <f>IF(K7=0,"",IF(K7=CM7,$BO$1,IF(K7=BM7,$AO$1,IF(K7=AM7,$O$1,""))))</f>
        <v>2022 WG Virtual Control Trial</v>
      </c>
      <c r="M7" s="4">
        <f>IF(K7=CM7,MAX(BL7,AL7),IF(K7=BM7,MAX(CL7,AL7),IF(K7=AM7,MAX(CL7,BL7),0)))</f>
        <v>0</v>
      </c>
      <c r="N7" s="4" t="str">
        <f>IF(M7=0,"",IF(AND(M7=CL7,L7&lt;&gt;$BO$1),$BO$1,IF(AND(M7=BL7,L7&lt;&gt;$AO$1),$AO$1,IF(AND(M7=AL7,L7&lt;&gt;$O$1),$O$1,""))))</f>
        <v/>
      </c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18"/>
      <c r="AJ7" s="23" t="str">
        <f>IF(SUM(O7:P7,R7:T7,V7)-Q7-U7&gt;0,SUM(O7:P7,R7:T7,V7)-Q7-U7,"")</f>
        <v/>
      </c>
      <c r="AK7" s="23" t="str">
        <f>IF(SUM(W7:X7,Z7)-Y7&gt;0,SUM(W7:X7,Z7)-Y7,"")</f>
        <v/>
      </c>
      <c r="AL7" s="23" t="str">
        <f>IF(SUM(AA7:AB7,AD7)-SUM(AC7)&gt;0,SUM(AA7:AB7,AD7)-SUM(AC7),"")</f>
        <v/>
      </c>
      <c r="AM7" s="23" t="str">
        <f>IF(SUM(AA7:AB7,AD7:AF7,AH7)-SUM(AC7,AG7)&gt;0,SUM(AA7:AB7,AD7:AF7,AH7)-SUM(AC7,AG7),"")</f>
        <v/>
      </c>
      <c r="AN7" s="23" t="str">
        <f>IF(SUM(AJ7,AM7)&gt;0,SUM(AJ7,AM7),"")</f>
        <v/>
      </c>
      <c r="AO7" s="8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19"/>
      <c r="BJ7" s="6" t="str">
        <f>IF(SUM(AO7:AP7,AR7:AT7,AV7)-AQ7-AU7&gt;0,SUM(AO7:AP7,AR7:AT7,AV7)-AQ7-AU7,"")</f>
        <v/>
      </c>
      <c r="BK7" s="6" t="str">
        <f>IF(SUM(AW7:AX7,AZ7)-AY7&gt;0,SUM(AW7:AX7,AZ7)-AY7,"")</f>
        <v/>
      </c>
      <c r="BL7" s="6" t="str">
        <f>IF(SUM(BA7:BB7,BD7)-SUM(BC7)&gt;0,SUM(BA7:BB7,BD7)-SUM(BC7),"")</f>
        <v/>
      </c>
      <c r="BM7" s="6" t="str">
        <f>IF(SUM(BA7:BB7,BD7:BF7,BH7)-SUM(BC7,BG7)&gt;0,SUM(BA7:BB7,BD7:BF7,BH7)-SUM(BC7,BG7),"")</f>
        <v/>
      </c>
      <c r="BN7" s="6" t="str">
        <f>IF(SUM(BJ7,BM7)&gt;0,SUM(BJ7,BM7),"")</f>
        <v/>
      </c>
      <c r="BO7" s="9">
        <v>16.899999999999999</v>
      </c>
      <c r="BP7" s="9">
        <v>4.3</v>
      </c>
      <c r="BQ7" s="9">
        <v>0</v>
      </c>
      <c r="BR7" s="9">
        <v>0.3</v>
      </c>
      <c r="BS7" s="9">
        <v>16.7</v>
      </c>
      <c r="BT7" s="9">
        <v>4.5999999999999996</v>
      </c>
      <c r="BU7" s="9">
        <v>0</v>
      </c>
      <c r="BV7" s="9">
        <v>0.6</v>
      </c>
      <c r="BW7" s="9"/>
      <c r="BX7" s="9"/>
      <c r="BY7" s="9"/>
      <c r="BZ7" s="9"/>
      <c r="CA7" s="9">
        <v>16.100000000000001</v>
      </c>
      <c r="CB7" s="9">
        <v>4.0999999999999996</v>
      </c>
      <c r="CC7" s="9">
        <v>0</v>
      </c>
      <c r="CD7" s="9">
        <v>0.3</v>
      </c>
      <c r="CE7" s="9">
        <v>15.2</v>
      </c>
      <c r="CF7" s="9">
        <v>1.9</v>
      </c>
      <c r="CG7" s="9">
        <v>0</v>
      </c>
      <c r="CH7" s="9">
        <v>0.3</v>
      </c>
      <c r="CI7" s="18"/>
      <c r="CJ7" s="23">
        <f>IF(SUM(BO7:BP7,BR7:BT7,BV7)-BQ7-BU7&gt;0,SUM(BO7:BP7,BR7:BT7,BV7)-BQ7-BU7,"")</f>
        <v>43.400000000000006</v>
      </c>
      <c r="CK7" s="23" t="str">
        <f>IF(SUM(BW7:BX7,BZ7)-BY7&gt;0,SUM(BW7:BX7,BZ7)-BY7,"")</f>
        <v/>
      </c>
      <c r="CL7" s="23">
        <f>IF(SUM(CA7:CB7,CD7)-SUM(CC7)&gt;0,SUM(CA7:CB7,CD7)-SUM(CC7),"")</f>
        <v>20.500000000000004</v>
      </c>
      <c r="CM7" s="23">
        <f>IF(SUM(CA7:CB7,CD7:CF7,CH7)-SUM(CC7,CG7)&gt;0,SUM(CA7:CB7,CD7:CF7,CH7)-SUM(CC7,CG7),"")</f>
        <v>37.9</v>
      </c>
      <c r="CN7" s="23">
        <f>IF(SUM(CJ7,CM7)&gt;0,SUM(CJ7,CM7),"")</f>
        <v>81.300000000000011</v>
      </c>
    </row>
    <row r="9" spans="1:92" x14ac:dyDescent="0.2">
      <c r="A9" s="11"/>
      <c r="B9" s="11"/>
      <c r="C9" s="10"/>
    </row>
    <row r="10" spans="1:92" x14ac:dyDescent="0.2">
      <c r="A10" s="2"/>
      <c r="B10" s="2"/>
      <c r="C10" s="2"/>
    </row>
  </sheetData>
  <sheetProtection sheet="1" formatCells="0" formatColumns="0" formatRows="0"/>
  <autoFilter ref="A1:CN7" xr:uid="{BB9C3AB3-2D15-174E-B900-3E2F789706E1}">
    <filterColumn colId="14" showButton="0"/>
    <filterColumn colId="15" showButton="0"/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sortState xmlns:xlrd2="http://schemas.microsoft.com/office/spreadsheetml/2017/richdata2" ref="A4:CN7">
      <sortCondition descending="1" ref="F1:F8"/>
    </sortState>
  </autoFilter>
  <mergeCells count="32">
    <mergeCell ref="BE2:BH2"/>
    <mergeCell ref="O1:AN1"/>
    <mergeCell ref="AO1:BN1"/>
    <mergeCell ref="S2:V2"/>
    <mergeCell ref="AA2:AD2"/>
    <mergeCell ref="AE2:AH2"/>
    <mergeCell ref="AO2:AR2"/>
    <mergeCell ref="AS2:AV2"/>
    <mergeCell ref="BA2:BD2"/>
    <mergeCell ref="W2:Z2"/>
    <mergeCell ref="AW2:AZ2"/>
    <mergeCell ref="O2:R2"/>
    <mergeCell ref="BO1:CN1"/>
    <mergeCell ref="BO2:BR2"/>
    <mergeCell ref="BS2:BV2"/>
    <mergeCell ref="CA2:CD2"/>
    <mergeCell ref="CE2:CH2"/>
    <mergeCell ref="BW2:BZ2"/>
    <mergeCell ref="H1:H3"/>
    <mergeCell ref="N1:N3"/>
    <mergeCell ref="M1:M3"/>
    <mergeCell ref="G1:G3"/>
    <mergeCell ref="F1:F3"/>
    <mergeCell ref="K1:K3"/>
    <mergeCell ref="L1:L3"/>
    <mergeCell ref="I1:I3"/>
    <mergeCell ref="J1:J3"/>
    <mergeCell ref="A1:A3"/>
    <mergeCell ref="B1:B3"/>
    <mergeCell ref="C1:C3"/>
    <mergeCell ref="D1:D3"/>
    <mergeCell ref="E1:E3"/>
  </mergeCells>
  <conditionalFormatting sqref="H1:H1048576 J1:J1048576 L1:L1048576 N1:N1048576">
    <cfRule type="expression" dxfId="8" priority="60004">
      <formula>IF(H1=$BO$1,1,0)</formula>
    </cfRule>
    <cfRule type="expression" dxfId="7" priority="60005">
      <formula>IF(H1=$AO$1,1,0)</formula>
    </cfRule>
    <cfRule type="expression" dxfId="6" priority="60006">
      <formula>IF(H1=$O$1,1,0)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261AA-6569-234E-A871-1F2D2825D415}">
  <sheetPr codeName="Sheet8"/>
  <dimension ref="A1:CN21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27.5" bestFit="1" customWidth="1"/>
    <col min="9" max="9" width="10.5" customWidth="1"/>
    <col min="10" max="10" width="27.5" bestFit="1" customWidth="1"/>
    <col min="12" max="12" width="27.5" bestFit="1" customWidth="1"/>
    <col min="14" max="14" width="27.5" bestFit="1" customWidth="1"/>
    <col min="15" max="35" width="10.83203125" hidden="1" customWidth="1"/>
    <col min="36" max="40" width="10.83203125" style="22" customWidth="1"/>
    <col min="41" max="61" width="10.83203125" hidden="1" customWidth="1"/>
    <col min="62" max="66" width="10.83203125" style="22" customWidth="1"/>
    <col min="67" max="87" width="10.83203125" hidden="1" customWidth="1"/>
    <col min="88" max="92" width="10.83203125" style="22" customWidth="1"/>
    <col min="93" max="109" width="10.83203125" customWidth="1"/>
  </cols>
  <sheetData>
    <row r="1" spans="1:92" ht="16" customHeight="1" x14ac:dyDescent="0.2">
      <c r="A1" s="34" t="s">
        <v>1</v>
      </c>
      <c r="B1" s="34" t="s">
        <v>12</v>
      </c>
      <c r="C1" s="34" t="s">
        <v>0</v>
      </c>
      <c r="D1" s="34" t="s">
        <v>19</v>
      </c>
      <c r="E1" s="34" t="s">
        <v>2</v>
      </c>
      <c r="F1" s="32" t="s">
        <v>46</v>
      </c>
      <c r="G1" s="33" t="s">
        <v>44</v>
      </c>
      <c r="H1" s="31" t="s">
        <v>16</v>
      </c>
      <c r="I1" s="33" t="s">
        <v>45</v>
      </c>
      <c r="J1" s="31" t="s">
        <v>16</v>
      </c>
      <c r="K1" s="31" t="s">
        <v>9</v>
      </c>
      <c r="L1" s="31" t="s">
        <v>16</v>
      </c>
      <c r="M1" s="31" t="s">
        <v>49</v>
      </c>
      <c r="N1" s="31" t="s">
        <v>16</v>
      </c>
      <c r="O1" s="39" t="s">
        <v>47</v>
      </c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40" t="s">
        <v>36</v>
      </c>
      <c r="AP1" s="40"/>
      <c r="AQ1" s="40"/>
      <c r="AR1" s="40"/>
      <c r="AS1" s="40"/>
      <c r="AT1" s="40"/>
      <c r="AU1" s="40"/>
      <c r="AV1" s="40"/>
      <c r="AW1" s="40"/>
      <c r="AX1" s="40"/>
      <c r="AY1" s="40"/>
      <c r="AZ1" s="40"/>
      <c r="BA1" s="40"/>
      <c r="BB1" s="40"/>
      <c r="BC1" s="40"/>
      <c r="BD1" s="40"/>
      <c r="BE1" s="40"/>
      <c r="BF1" s="40"/>
      <c r="BG1" s="40"/>
      <c r="BH1" s="40"/>
      <c r="BI1" s="40"/>
      <c r="BJ1" s="40"/>
      <c r="BK1" s="40"/>
      <c r="BL1" s="40"/>
      <c r="BM1" s="40"/>
      <c r="BN1" s="40"/>
      <c r="BO1" s="39" t="s">
        <v>48</v>
      </c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</row>
    <row r="2" spans="1:92" x14ac:dyDescent="0.2">
      <c r="A2" s="34"/>
      <c r="B2" s="34"/>
      <c r="C2" s="34"/>
      <c r="D2" s="34"/>
      <c r="E2" s="34"/>
      <c r="F2" s="32"/>
      <c r="G2" s="33"/>
      <c r="H2" s="31"/>
      <c r="I2" s="33"/>
      <c r="J2" s="31"/>
      <c r="K2" s="31"/>
      <c r="L2" s="31"/>
      <c r="M2" s="31"/>
      <c r="N2" s="31"/>
      <c r="O2" s="35" t="s">
        <v>37</v>
      </c>
      <c r="P2" s="35"/>
      <c r="Q2" s="35"/>
      <c r="R2" s="35"/>
      <c r="S2" s="35" t="s">
        <v>38</v>
      </c>
      <c r="T2" s="35"/>
      <c r="U2" s="35"/>
      <c r="V2" s="35"/>
      <c r="W2" s="35" t="s">
        <v>39</v>
      </c>
      <c r="X2" s="35"/>
      <c r="Y2" s="35"/>
      <c r="Z2" s="35"/>
      <c r="AA2" s="35" t="s">
        <v>40</v>
      </c>
      <c r="AB2" s="35"/>
      <c r="AC2" s="35"/>
      <c r="AD2" s="35"/>
      <c r="AE2" s="36" t="s">
        <v>41</v>
      </c>
      <c r="AF2" s="36"/>
      <c r="AG2" s="36"/>
      <c r="AH2" s="36"/>
      <c r="AI2" s="27"/>
      <c r="AJ2" s="27" t="s">
        <v>42</v>
      </c>
      <c r="AK2" s="27" t="s">
        <v>39</v>
      </c>
      <c r="AL2" s="27" t="s">
        <v>40</v>
      </c>
      <c r="AM2" s="27" t="s">
        <v>43</v>
      </c>
      <c r="AN2" s="27" t="s">
        <v>11</v>
      </c>
      <c r="AO2" s="37" t="s">
        <v>37</v>
      </c>
      <c r="AP2" s="37"/>
      <c r="AQ2" s="37"/>
      <c r="AR2" s="37"/>
      <c r="AS2" s="37" t="s">
        <v>38</v>
      </c>
      <c r="AT2" s="37"/>
      <c r="AU2" s="37"/>
      <c r="AV2" s="37"/>
      <c r="AW2" s="37" t="s">
        <v>39</v>
      </c>
      <c r="AX2" s="37"/>
      <c r="AY2" s="37"/>
      <c r="AZ2" s="37"/>
      <c r="BA2" s="37" t="s">
        <v>40</v>
      </c>
      <c r="BB2" s="37"/>
      <c r="BC2" s="37"/>
      <c r="BD2" s="37"/>
      <c r="BE2" s="38" t="s">
        <v>41</v>
      </c>
      <c r="BF2" s="38"/>
      <c r="BG2" s="38"/>
      <c r="BH2" s="38"/>
      <c r="BI2" s="26"/>
      <c r="BJ2" s="26" t="s">
        <v>42</v>
      </c>
      <c r="BK2" s="26" t="s">
        <v>39</v>
      </c>
      <c r="BL2" s="26" t="s">
        <v>40</v>
      </c>
      <c r="BM2" s="26" t="s">
        <v>43</v>
      </c>
      <c r="BN2" s="26" t="s">
        <v>11</v>
      </c>
      <c r="BO2" s="35" t="s">
        <v>37</v>
      </c>
      <c r="BP2" s="35"/>
      <c r="BQ2" s="35"/>
      <c r="BR2" s="35"/>
      <c r="BS2" s="35" t="s">
        <v>38</v>
      </c>
      <c r="BT2" s="35"/>
      <c r="BU2" s="35"/>
      <c r="BV2" s="35"/>
      <c r="BW2" s="35" t="s">
        <v>39</v>
      </c>
      <c r="BX2" s="35"/>
      <c r="BY2" s="35"/>
      <c r="BZ2" s="35"/>
      <c r="CA2" s="35" t="s">
        <v>40</v>
      </c>
      <c r="CB2" s="35"/>
      <c r="CC2" s="35"/>
      <c r="CD2" s="35"/>
      <c r="CE2" s="36" t="s">
        <v>41</v>
      </c>
      <c r="CF2" s="36"/>
      <c r="CG2" s="36"/>
      <c r="CH2" s="36"/>
      <c r="CI2" s="27"/>
      <c r="CJ2" s="27" t="s">
        <v>42</v>
      </c>
      <c r="CK2" s="27" t="s">
        <v>39</v>
      </c>
      <c r="CL2" s="27" t="s">
        <v>40</v>
      </c>
      <c r="CM2" s="27" t="s">
        <v>43</v>
      </c>
      <c r="CN2" s="27" t="s">
        <v>11</v>
      </c>
    </row>
    <row r="3" spans="1:92" x14ac:dyDescent="0.2">
      <c r="A3" s="34"/>
      <c r="B3" s="34"/>
      <c r="C3" s="34"/>
      <c r="D3" s="34"/>
      <c r="E3" s="34"/>
      <c r="F3" s="32"/>
      <c r="G3" s="33"/>
      <c r="H3" s="31"/>
      <c r="I3" s="33"/>
      <c r="J3" s="31"/>
      <c r="K3" s="31"/>
      <c r="L3" s="31"/>
      <c r="M3" s="31"/>
      <c r="N3" s="31"/>
      <c r="O3" s="27" t="s">
        <v>10</v>
      </c>
      <c r="P3" s="27" t="s">
        <v>8</v>
      </c>
      <c r="Q3" s="27" t="s">
        <v>13</v>
      </c>
      <c r="R3" s="27" t="s">
        <v>14</v>
      </c>
      <c r="S3" s="27" t="s">
        <v>10</v>
      </c>
      <c r="T3" s="27" t="s">
        <v>8</v>
      </c>
      <c r="U3" s="27" t="s">
        <v>13</v>
      </c>
      <c r="V3" s="27" t="s">
        <v>14</v>
      </c>
      <c r="W3" s="27" t="s">
        <v>10</v>
      </c>
      <c r="X3" s="27" t="s">
        <v>8</v>
      </c>
      <c r="Y3" s="27" t="s">
        <v>13</v>
      </c>
      <c r="Z3" s="27" t="s">
        <v>14</v>
      </c>
      <c r="AA3" s="27" t="s">
        <v>10</v>
      </c>
      <c r="AB3" s="27" t="s">
        <v>8</v>
      </c>
      <c r="AC3" s="27" t="s">
        <v>13</v>
      </c>
      <c r="AD3" s="27" t="s">
        <v>14</v>
      </c>
      <c r="AE3" s="28" t="s">
        <v>10</v>
      </c>
      <c r="AF3" s="28" t="s">
        <v>8</v>
      </c>
      <c r="AG3" s="28" t="s">
        <v>13</v>
      </c>
      <c r="AH3" s="28" t="s">
        <v>14</v>
      </c>
      <c r="AI3" s="27" t="s">
        <v>18</v>
      </c>
      <c r="AJ3" s="27"/>
      <c r="AK3" s="27"/>
      <c r="AL3" s="27"/>
      <c r="AM3" s="27"/>
      <c r="AN3" s="27"/>
      <c r="AO3" s="26" t="s">
        <v>10</v>
      </c>
      <c r="AP3" s="26" t="s">
        <v>8</v>
      </c>
      <c r="AQ3" s="26" t="s">
        <v>13</v>
      </c>
      <c r="AR3" s="26" t="s">
        <v>14</v>
      </c>
      <c r="AS3" s="26" t="s">
        <v>10</v>
      </c>
      <c r="AT3" s="26" t="s">
        <v>8</v>
      </c>
      <c r="AU3" s="26" t="s">
        <v>13</v>
      </c>
      <c r="AV3" s="26" t="s">
        <v>14</v>
      </c>
      <c r="AW3" s="26" t="s">
        <v>10</v>
      </c>
      <c r="AX3" s="26" t="s">
        <v>8</v>
      </c>
      <c r="AY3" s="26" t="s">
        <v>13</v>
      </c>
      <c r="AZ3" s="26" t="s">
        <v>14</v>
      </c>
      <c r="BA3" s="26" t="s">
        <v>10</v>
      </c>
      <c r="BB3" s="26" t="s">
        <v>8</v>
      </c>
      <c r="BC3" s="26" t="s">
        <v>13</v>
      </c>
      <c r="BD3" s="26" t="s">
        <v>14</v>
      </c>
      <c r="BE3" s="29" t="s">
        <v>10</v>
      </c>
      <c r="BF3" s="29" t="s">
        <v>8</v>
      </c>
      <c r="BG3" s="29" t="s">
        <v>13</v>
      </c>
      <c r="BH3" s="29" t="s">
        <v>14</v>
      </c>
      <c r="BI3" s="26" t="s">
        <v>18</v>
      </c>
      <c r="BJ3" s="26"/>
      <c r="BK3" s="26"/>
      <c r="BL3" s="26"/>
      <c r="BM3" s="26"/>
      <c r="BN3" s="26"/>
      <c r="BO3" s="27" t="s">
        <v>10</v>
      </c>
      <c r="BP3" s="27" t="s">
        <v>8</v>
      </c>
      <c r="BQ3" s="27" t="s">
        <v>13</v>
      </c>
      <c r="BR3" s="27" t="s">
        <v>14</v>
      </c>
      <c r="BS3" s="27" t="s">
        <v>10</v>
      </c>
      <c r="BT3" s="27" t="s">
        <v>8</v>
      </c>
      <c r="BU3" s="27" t="s">
        <v>13</v>
      </c>
      <c r="BV3" s="27" t="s">
        <v>14</v>
      </c>
      <c r="BW3" s="27" t="s">
        <v>10</v>
      </c>
      <c r="BX3" s="27" t="s">
        <v>8</v>
      </c>
      <c r="BY3" s="27" t="s">
        <v>13</v>
      </c>
      <c r="BZ3" s="27" t="s">
        <v>14</v>
      </c>
      <c r="CA3" s="27" t="s">
        <v>10</v>
      </c>
      <c r="CB3" s="27" t="s">
        <v>8</v>
      </c>
      <c r="CC3" s="27" t="s">
        <v>13</v>
      </c>
      <c r="CD3" s="27" t="s">
        <v>14</v>
      </c>
      <c r="CE3" s="28" t="s">
        <v>10</v>
      </c>
      <c r="CF3" s="28" t="s">
        <v>8</v>
      </c>
      <c r="CG3" s="28" t="s">
        <v>13</v>
      </c>
      <c r="CH3" s="28" t="s">
        <v>14</v>
      </c>
      <c r="CI3" s="27" t="s">
        <v>18</v>
      </c>
      <c r="CJ3" s="27"/>
      <c r="CK3" s="27"/>
      <c r="CL3" s="27"/>
      <c r="CM3" s="27"/>
      <c r="CN3" s="27"/>
    </row>
    <row r="4" spans="1:92" x14ac:dyDescent="0.2">
      <c r="A4" s="1" cm="1">
        <f t="array" ref="A4">IF(F4="P",SUMPRODUCT((F$4:F$18="P")*(E$4:E$18&gt;E4))+1,"")</f>
        <v>1</v>
      </c>
      <c r="B4" s="2" t="s">
        <v>23</v>
      </c>
      <c r="C4" s="3" t="s">
        <v>3</v>
      </c>
      <c r="D4" s="7">
        <v>2003</v>
      </c>
      <c r="E4" s="5">
        <f>SUM(G4:N4)+SUM(G4:M4)*0.0000001+SUM(G4)*0.0000000000001</f>
        <v>197.60001976000569</v>
      </c>
      <c r="F4" s="30" t="s">
        <v>55</v>
      </c>
      <c r="G4" s="4">
        <f>IF(COUNT(AJ4,BJ4,CJ4)&gt;0,LARGE((AJ4,BJ4,CJ4),1),0)</f>
        <v>57.1</v>
      </c>
      <c r="H4" s="4" t="str">
        <f>IF(G4=0,"",IF(G4=CJ4,$BO$1,IF(G4=BJ4,$AO$1,IF(G4=AJ4,$O$1,""))))</f>
        <v>2022 WG Virtual Control Trial</v>
      </c>
      <c r="I4" s="4">
        <f>IF(COUNT(AJ4,BJ4,CJ4)&gt;1,LARGE((AJ4,BJ4,CJ4),2),0)</f>
        <v>56.099999999999994</v>
      </c>
      <c r="J4" s="4" t="str">
        <f>IF(I4=0,"",IF(I4=CJ4,$BO$1,IF(I4=BJ4,$AO$1,IF(I4=AJ4,$O$1,""))))</f>
        <v>2022 WG Virtual Technical Trial</v>
      </c>
      <c r="K4" s="4">
        <f>IF(MAX(AM4,BM4,CM4)&gt;0,MAX(AM4,BM4,CM4),0)</f>
        <v>56.6</v>
      </c>
      <c r="L4" s="4" t="str">
        <f>IF(K4=0,"",IF(K4=CM4,$BO$1,IF(K4=BM4,$AO$1,IF(K4=AM4,$O$1,""))))</f>
        <v>2022 WG Virtual Technical Trial</v>
      </c>
      <c r="M4" s="4">
        <f>IF(K4=CM4,MAX(BL4,AL4),IF(K4=BM4,MAX(CL4,AL4),IF(K4=AM4,MAX(CL4,BL4),0)))</f>
        <v>27.8</v>
      </c>
      <c r="N4" s="4" t="str">
        <f>IF(M4=0,"",IF(AND(M4=CL4,L4&lt;&gt;$BO$1),$BO$1,IF(AND(M4=BL4,L4&lt;&gt;$AO$1),$AO$1,IF(AND(M4=AL4,L4&lt;&gt;$O$1),$O$1,""))))</f>
        <v>2022 Elite Canada</v>
      </c>
      <c r="O4" s="9">
        <v>19.100000000000001</v>
      </c>
      <c r="P4" s="9">
        <v>8.4</v>
      </c>
      <c r="Q4" s="9">
        <v>0.6</v>
      </c>
      <c r="R4" s="9">
        <v>0</v>
      </c>
      <c r="S4" s="9">
        <v>18.8</v>
      </c>
      <c r="T4" s="9">
        <v>10</v>
      </c>
      <c r="U4" s="9">
        <v>0.2</v>
      </c>
      <c r="V4" s="9">
        <v>0.6</v>
      </c>
      <c r="W4" s="9"/>
      <c r="X4" s="9"/>
      <c r="Y4" s="9"/>
      <c r="Z4" s="9"/>
      <c r="AA4" s="9">
        <v>19.2</v>
      </c>
      <c r="AB4" s="9">
        <v>9.1999999999999993</v>
      </c>
      <c r="AC4" s="9">
        <v>0</v>
      </c>
      <c r="AD4" s="9">
        <v>0.3</v>
      </c>
      <c r="AE4" s="9">
        <v>19</v>
      </c>
      <c r="AF4" s="9">
        <v>9.1999999999999993</v>
      </c>
      <c r="AG4" s="9">
        <v>0.6</v>
      </c>
      <c r="AH4" s="9">
        <v>0.3</v>
      </c>
      <c r="AI4" s="18"/>
      <c r="AJ4" s="23">
        <f>IF(SUM(O4:P4,R4:T4,V4)-Q4-U4&gt;0,SUM(O4:P4,R4:T4,V4)-Q4-U4,"")</f>
        <v>56.099999999999994</v>
      </c>
      <c r="AK4" s="23" t="str">
        <f>IF(SUM(W4:X4,Z4)-Y4&gt;0,SUM(W4:X4,Z4)-Y4,"")</f>
        <v/>
      </c>
      <c r="AL4" s="23">
        <f>IF(SUM(AA4:AB4,AD4)-SUM(AC4)&gt;0,SUM(AA4:AB4,AD4)-SUM(AC4),"")</f>
        <v>28.7</v>
      </c>
      <c r="AM4" s="23">
        <f>IF(SUM(AA4:AB4,AD4:AF4,AH4)-SUM(AC4,AG4)&gt;0,SUM(AA4:AB4,AD4:AF4,AH4)-SUM(AC4,AG4),"")</f>
        <v>56.6</v>
      </c>
      <c r="AN4" s="23">
        <f>IF(SUM(AJ4,AM4)&gt;0,SUM(AJ4,AM4),"")</f>
        <v>112.69999999999999</v>
      </c>
      <c r="AO4" s="8">
        <v>18.8</v>
      </c>
      <c r="AP4" s="8">
        <v>9.1999999999999993</v>
      </c>
      <c r="AQ4" s="8">
        <v>0.6</v>
      </c>
      <c r="AR4" s="8">
        <v>0.3</v>
      </c>
      <c r="AS4" s="8">
        <v>19</v>
      </c>
      <c r="AT4" s="8">
        <v>9.1999999999999993</v>
      </c>
      <c r="AU4" s="8">
        <v>0.2</v>
      </c>
      <c r="AV4" s="8">
        <v>0.3</v>
      </c>
      <c r="AW4" s="8">
        <v>17.8</v>
      </c>
      <c r="AX4" s="8">
        <v>2.8</v>
      </c>
      <c r="AY4" s="8">
        <v>0</v>
      </c>
      <c r="AZ4" s="8">
        <v>0</v>
      </c>
      <c r="BA4" s="8">
        <v>19</v>
      </c>
      <c r="BB4" s="8">
        <v>8.5</v>
      </c>
      <c r="BC4" s="8">
        <v>0</v>
      </c>
      <c r="BD4" s="8">
        <v>0.3</v>
      </c>
      <c r="BE4" s="8">
        <v>18.7</v>
      </c>
      <c r="BF4" s="8">
        <v>8.4</v>
      </c>
      <c r="BG4" s="8">
        <v>0.6</v>
      </c>
      <c r="BH4" s="8">
        <v>0.3</v>
      </c>
      <c r="BI4" s="19"/>
      <c r="BJ4" s="6">
        <f>IF(SUM(AO4:AP4,AR4:AT4,AV4)-AQ4-AU4&gt;0,SUM(AO4:AP4,AR4:AT4,AV4)-AQ4-AU4,"")</f>
        <v>55.999999999999993</v>
      </c>
      <c r="BK4" s="6">
        <f>IF(SUM(AW4:AX4,AZ4)-AY4&gt;0,SUM(AW4:AX4,AZ4)-AY4,"")</f>
        <v>20.6</v>
      </c>
      <c r="BL4" s="6">
        <f>IF(SUM(BA4:BB4,BD4)-SUM(BC4)&gt;0,SUM(BA4:BB4,BD4)-SUM(BC4),"")</f>
        <v>27.8</v>
      </c>
      <c r="BM4" s="6">
        <f>IF(SUM(BA4:BB4,BD4:BF4,BH4)-SUM(BC4,BG4)&gt;0,SUM(BA4:BB4,BD4:BF4,BH4)-SUM(BC4,BG4),"")</f>
        <v>54.599999999999994</v>
      </c>
      <c r="BN4" s="6">
        <f>IF(SUM(BJ4,BM4)&gt;0,SUM(BJ4,BM4),"")</f>
        <v>110.6</v>
      </c>
      <c r="BO4" s="9">
        <v>18.600000000000001</v>
      </c>
      <c r="BP4" s="9">
        <v>9.3000000000000007</v>
      </c>
      <c r="BQ4" s="9">
        <v>0.2</v>
      </c>
      <c r="BR4" s="9">
        <v>0.3</v>
      </c>
      <c r="BS4" s="9">
        <v>18.7</v>
      </c>
      <c r="BT4" s="9">
        <v>10</v>
      </c>
      <c r="BU4" s="9">
        <v>0.2</v>
      </c>
      <c r="BV4" s="9">
        <v>0.6</v>
      </c>
      <c r="BW4" s="9"/>
      <c r="BX4" s="9"/>
      <c r="BY4" s="9"/>
      <c r="BZ4" s="9"/>
      <c r="CA4" s="9">
        <v>18.8</v>
      </c>
      <c r="CB4" s="9">
        <v>9.3000000000000007</v>
      </c>
      <c r="CC4" s="9">
        <v>0.8</v>
      </c>
      <c r="CD4" s="9">
        <v>0.3</v>
      </c>
      <c r="CE4" s="9">
        <v>17.399999999999999</v>
      </c>
      <c r="CF4" s="9">
        <v>5.0999999999999996</v>
      </c>
      <c r="CG4" s="9">
        <v>0</v>
      </c>
      <c r="CH4" s="9">
        <v>0.3</v>
      </c>
      <c r="CI4" s="18"/>
      <c r="CJ4" s="23">
        <f>IF(SUM(BO4:BP4,BR4:BT4,BV4)-BQ4-BU4&gt;0,SUM(BO4:BP4,BR4:BT4,BV4)-BQ4-BU4,"")</f>
        <v>57.1</v>
      </c>
      <c r="CK4" s="23" t="str">
        <f>IF(SUM(BW4:BX4,BZ4)-BY4&gt;0,SUM(BW4:BX4,BZ4)-BY4,"")</f>
        <v/>
      </c>
      <c r="CL4" s="23">
        <f>IF(SUM(CA4:CB4,CD4)-SUM(CC4)&gt;0,SUM(CA4:CB4,CD4)-SUM(CC4),"")</f>
        <v>27.6</v>
      </c>
      <c r="CM4" s="23">
        <f>IF(SUM(CA4:CB4,CD4:CF4,CH4)-SUM(CC4,CG4)&gt;0,SUM(CA4:CB4,CD4:CF4,CH4)-SUM(CC4,CG4),"")</f>
        <v>50.4</v>
      </c>
      <c r="CN4" s="23">
        <f>IF(SUM(CJ4,CM4)&gt;0,SUM(CJ4,CM4),"")</f>
        <v>107.5</v>
      </c>
    </row>
    <row r="5" spans="1:92" x14ac:dyDescent="0.2">
      <c r="A5" s="1" cm="1">
        <f t="array" ref="A5">IF(F5="P",SUMPRODUCT((F$4:F$18="P")*(E$4:E$18&gt;E5))+1,"")</f>
        <v>2</v>
      </c>
      <c r="B5" s="2" t="s">
        <v>29</v>
      </c>
      <c r="C5" s="3" t="s">
        <v>5</v>
      </c>
      <c r="D5" s="7">
        <v>2003</v>
      </c>
      <c r="E5" s="5">
        <f>SUM(G5:N5)+SUM(G5:M5)*0.0000001+SUM(G5)*0.0000000000001</f>
        <v>185.44001854400531</v>
      </c>
      <c r="F5" s="30" t="s">
        <v>55</v>
      </c>
      <c r="G5" s="4">
        <f>IF(COUNT(AJ5,BJ5,CJ5)&gt;0,LARGE((AJ5,BJ5,CJ5),1),0)</f>
        <v>53.239999999999995</v>
      </c>
      <c r="H5" s="4" t="str">
        <f>IF(G5=0,"",IF(G5=CJ5,$BO$1,IF(G5=BJ5,$AO$1,IF(G5=AJ5,$O$1,""))))</f>
        <v>2022 Elite Canada</v>
      </c>
      <c r="I5" s="4">
        <f>IF(COUNT(AJ5,BJ5,CJ5)&gt;1,LARGE((AJ5,BJ5,CJ5),2),0)</f>
        <v>53.1</v>
      </c>
      <c r="J5" s="4" t="str">
        <f>IF(I5=0,"",IF(I5=CJ5,$BO$1,IF(I5=BJ5,$AO$1,IF(I5=AJ5,$O$1,""))))</f>
        <v>2022 WG Virtual Control Trial</v>
      </c>
      <c r="K5" s="4">
        <f>IF(MAX(AM5,BM5,CM5)&gt;0,MAX(AM5,BM5,CM5),0)</f>
        <v>54.999999999999993</v>
      </c>
      <c r="L5" s="4" t="str">
        <f>IF(K5=0,"",IF(K5=CM5,$BO$1,IF(K5=BM5,$AO$1,IF(K5=AM5,$O$1,""))))</f>
        <v>2022 WG Virtual Technical Trial</v>
      </c>
      <c r="M5" s="4">
        <f>IF(K5=CM5,MAX(BL5,AL5),IF(K5=BM5,MAX(CL5,AL5),IF(K5=AM5,MAX(CL5,BL5),0)))</f>
        <v>24.1</v>
      </c>
      <c r="N5" s="4" t="str">
        <f>IF(M5=0,"",IF(AND(M5=CL5,L5&lt;&gt;$BO$1),$BO$1,IF(AND(M5=BL5,L5&lt;&gt;$AO$1),$AO$1,IF(AND(M5=AL5,L5&lt;&gt;$O$1),$O$1,""))))</f>
        <v>2022 Elite Canada</v>
      </c>
      <c r="O5" s="9">
        <v>18.96</v>
      </c>
      <c r="P5" s="9">
        <v>9.1999999999999993</v>
      </c>
      <c r="Q5" s="9">
        <v>0.6</v>
      </c>
      <c r="R5" s="9">
        <v>0.3</v>
      </c>
      <c r="S5" s="9">
        <v>17.3</v>
      </c>
      <c r="T5" s="9">
        <v>4.8</v>
      </c>
      <c r="U5" s="9">
        <v>0</v>
      </c>
      <c r="V5" s="9">
        <v>0.3</v>
      </c>
      <c r="W5" s="9"/>
      <c r="X5" s="9"/>
      <c r="Y5" s="9"/>
      <c r="Z5" s="9"/>
      <c r="AA5" s="9">
        <v>18.899999999999999</v>
      </c>
      <c r="AB5" s="9">
        <v>9.1999999999999993</v>
      </c>
      <c r="AC5" s="9">
        <v>0.6</v>
      </c>
      <c r="AD5" s="9">
        <v>0.3</v>
      </c>
      <c r="AE5" s="9">
        <v>19.2</v>
      </c>
      <c r="AF5" s="9">
        <v>8</v>
      </c>
      <c r="AG5" s="9">
        <v>0</v>
      </c>
      <c r="AH5" s="9">
        <v>0</v>
      </c>
      <c r="AI5" s="18"/>
      <c r="AJ5" s="23">
        <f>IF(SUM(O5:P5,R5:T5,V5)-Q5-U5&gt;0,SUM(O5:P5,R5:T5,V5)-Q5-U5,"")</f>
        <v>50.26</v>
      </c>
      <c r="AK5" s="23" t="str">
        <f>IF(SUM(W5:X5,Z5)-Y5&gt;0,SUM(W5:X5,Z5)-Y5,"")</f>
        <v/>
      </c>
      <c r="AL5" s="23">
        <f>IF(SUM(AA5:AB5,AD5)-SUM(AC5)&gt;0,SUM(AA5:AB5,AD5)-SUM(AC5),"")</f>
        <v>27.799999999999997</v>
      </c>
      <c r="AM5" s="23">
        <f>IF(SUM(AA5:AB5,AD5:AF5,AH5)-SUM(AC5,AG5)&gt;0,SUM(AA5:AB5,AD5:AF5,AH5)-SUM(AC5,AG5),"")</f>
        <v>54.999999999999993</v>
      </c>
      <c r="AN5" s="23">
        <f>IF(SUM(AJ5,AM5)&gt;0,SUM(AJ5,AM5),"")</f>
        <v>105.25999999999999</v>
      </c>
      <c r="AO5" s="8">
        <v>18.34</v>
      </c>
      <c r="AP5" s="8">
        <v>7.2</v>
      </c>
      <c r="AQ5" s="8">
        <v>0</v>
      </c>
      <c r="AR5" s="8">
        <v>0</v>
      </c>
      <c r="AS5" s="8">
        <v>18.600000000000001</v>
      </c>
      <c r="AT5" s="8">
        <v>8.8000000000000007</v>
      </c>
      <c r="AU5" s="8">
        <v>0</v>
      </c>
      <c r="AV5" s="8">
        <v>0.3</v>
      </c>
      <c r="AW5" s="8">
        <v>18.399999999999999</v>
      </c>
      <c r="AX5" s="8">
        <v>7.1</v>
      </c>
      <c r="AY5" s="8">
        <v>0</v>
      </c>
      <c r="AZ5" s="8">
        <v>0.3</v>
      </c>
      <c r="BA5" s="8">
        <v>18.3</v>
      </c>
      <c r="BB5" s="8">
        <v>6.4</v>
      </c>
      <c r="BC5" s="8">
        <v>0.6</v>
      </c>
      <c r="BD5" s="8">
        <v>0</v>
      </c>
      <c r="BE5" s="8">
        <v>18.8</v>
      </c>
      <c r="BF5" s="8">
        <v>8.8000000000000007</v>
      </c>
      <c r="BG5" s="8">
        <v>0</v>
      </c>
      <c r="BH5" s="8">
        <v>0.3</v>
      </c>
      <c r="BI5" s="19"/>
      <c r="BJ5" s="6">
        <f>IF(SUM(AO5:AP5,AR5:AT5,AV5)-AQ5-AU5&gt;0,SUM(AO5:AP5,AR5:AT5,AV5)-AQ5-AU5,"")</f>
        <v>53.239999999999995</v>
      </c>
      <c r="BK5" s="6">
        <f>IF(SUM(AW5:AX5,AZ5)-AY5&gt;0,SUM(AW5:AX5,AZ5)-AY5,"")</f>
        <v>25.8</v>
      </c>
      <c r="BL5" s="6">
        <f>IF(SUM(BA5:BB5,BD5)-SUM(BC5)&gt;0,SUM(BA5:BB5,BD5)-SUM(BC5),"")</f>
        <v>24.1</v>
      </c>
      <c r="BM5" s="6">
        <f>IF(SUM(BA5:BB5,BD5:BF5,BH5)-SUM(BC5,BG5)&gt;0,SUM(BA5:BB5,BD5:BF5,BH5)-SUM(BC5,BG5),"")</f>
        <v>51.999999999999993</v>
      </c>
      <c r="BN5" s="6">
        <f>IF(SUM(BJ5,BM5)&gt;0,SUM(BJ5,BM5),"")</f>
        <v>105.23999999999998</v>
      </c>
      <c r="BO5" s="9">
        <v>18.600000000000001</v>
      </c>
      <c r="BP5" s="9">
        <v>7.2</v>
      </c>
      <c r="BQ5" s="9">
        <v>0</v>
      </c>
      <c r="BR5" s="9">
        <v>0</v>
      </c>
      <c r="BS5" s="9">
        <v>19.100000000000001</v>
      </c>
      <c r="BT5" s="9">
        <v>8.4</v>
      </c>
      <c r="BU5" s="9">
        <v>0.2</v>
      </c>
      <c r="BV5" s="9">
        <v>0</v>
      </c>
      <c r="BW5" s="9"/>
      <c r="BX5" s="9"/>
      <c r="BY5" s="9"/>
      <c r="BZ5" s="9"/>
      <c r="CA5" s="9">
        <v>18.2</v>
      </c>
      <c r="CB5" s="9">
        <v>6.4</v>
      </c>
      <c r="CC5" s="9">
        <v>0.8</v>
      </c>
      <c r="CD5" s="9">
        <v>0</v>
      </c>
      <c r="CE5" s="9">
        <v>17.600000000000001</v>
      </c>
      <c r="CF5" s="9">
        <v>4</v>
      </c>
      <c r="CG5" s="9">
        <v>0</v>
      </c>
      <c r="CH5" s="9">
        <v>0</v>
      </c>
      <c r="CI5" s="18"/>
      <c r="CJ5" s="23">
        <f>IF(SUM(BO5:BP5,BR5:BT5,BV5)-BQ5-BU5&gt;0,SUM(BO5:BP5,BR5:BT5,BV5)-BQ5-BU5,"")</f>
        <v>53.1</v>
      </c>
      <c r="CK5" s="23" t="str">
        <f>IF(SUM(BW5:BX5,BZ5)-BY5&gt;0,SUM(BW5:BX5,BZ5)-BY5,"")</f>
        <v/>
      </c>
      <c r="CL5" s="23">
        <f>IF(SUM(CA5:CB5,CD5)-SUM(CC5)&gt;0,SUM(CA5:CB5,CD5)-SUM(CC5),"")</f>
        <v>23.8</v>
      </c>
      <c r="CM5" s="23">
        <f>IF(SUM(CA5:CB5,CD5:CF5,CH5)-SUM(CC5,CG5)&gt;0,SUM(CA5:CB5,CD5:CF5,CH5)-SUM(CC5,CG5),"")</f>
        <v>45.400000000000006</v>
      </c>
      <c r="CN5" s="23">
        <f>IF(SUM(CJ5,CM5)&gt;0,SUM(CJ5,CM5),"")</f>
        <v>98.5</v>
      </c>
    </row>
    <row r="6" spans="1:92" x14ac:dyDescent="0.2">
      <c r="A6" s="1" cm="1">
        <f t="array" ref="A6">IF(F6="P",SUMPRODUCT((F$4:F$18="P")*(E$4:E$18&gt;E6))+1,"")</f>
        <v>3</v>
      </c>
      <c r="B6" s="2" t="s">
        <v>7</v>
      </c>
      <c r="C6" s="3" t="s">
        <v>4</v>
      </c>
      <c r="D6" s="7">
        <v>1994</v>
      </c>
      <c r="E6" s="5">
        <f>SUM(G6:N6)+SUM(G6:M6)*0.0000001+SUM(G6)*0.0000000000001</f>
        <v>184.60001846000526</v>
      </c>
      <c r="F6" s="30" t="s">
        <v>55</v>
      </c>
      <c r="G6" s="4">
        <f>IF(COUNT(AJ6,BJ6,CJ6)&gt;0,LARGE((AJ6,BJ6,CJ6),1),0)</f>
        <v>53</v>
      </c>
      <c r="H6" s="4" t="str">
        <f>IF(G6=0,"",IF(G6=CJ6,$BO$1,IF(G6=BJ6,$AO$1,IF(G6=AJ6,$O$1,""))))</f>
        <v>2022 Elite Canada</v>
      </c>
      <c r="I6" s="4">
        <f>IF(COUNT(AJ6,BJ6,CJ6)&gt;1,LARGE((AJ6,BJ6,CJ6),2),0)</f>
        <v>52.599999999999994</v>
      </c>
      <c r="J6" s="4" t="str">
        <f>IF(I6=0,"",IF(I6=CJ6,$BO$1,IF(I6=BJ6,$AO$1,IF(I6=AJ6,$O$1,""))))</f>
        <v>2022 WG Virtual Technical Trial</v>
      </c>
      <c r="K6" s="4">
        <f>IF(MAX(AM6,BM6,CM6)&gt;0,MAX(AM6,BM6,CM6),0)</f>
        <v>52.8</v>
      </c>
      <c r="L6" s="4" t="str">
        <f>IF(K6=0,"",IF(K6=CM6,$BO$1,IF(K6=BM6,$AO$1,IF(K6=AM6,$O$1,""))))</f>
        <v>2022 WG Virtual Technical Trial</v>
      </c>
      <c r="M6" s="4">
        <f>IF(K6=CM6,MAX(BL6,AL6),IF(K6=BM6,MAX(CL6,AL6),IF(K6=AM6,MAX(CL6,BL6),0)))</f>
        <v>26.199999999999996</v>
      </c>
      <c r="N6" s="4" t="str">
        <f>IF(M6=0,"",IF(AND(M6=CL6,L6&lt;&gt;$BO$1),$BO$1,IF(AND(M6=BL6,L6&lt;&gt;$AO$1),$AO$1,IF(AND(M6=AL6,L6&lt;&gt;$O$1),$O$1,""))))</f>
        <v>2022 Elite Canada</v>
      </c>
      <c r="O6" s="9">
        <v>18.399999999999999</v>
      </c>
      <c r="P6" s="9">
        <v>8.4</v>
      </c>
      <c r="Q6" s="9">
        <v>0</v>
      </c>
      <c r="R6" s="9">
        <v>0</v>
      </c>
      <c r="S6" s="9">
        <v>18.5</v>
      </c>
      <c r="T6" s="9">
        <v>7.3</v>
      </c>
      <c r="U6" s="9">
        <v>0</v>
      </c>
      <c r="V6" s="9">
        <v>0</v>
      </c>
      <c r="W6" s="9"/>
      <c r="X6" s="9"/>
      <c r="Y6" s="9"/>
      <c r="Z6" s="9"/>
      <c r="AA6" s="9">
        <v>18.899999999999999</v>
      </c>
      <c r="AB6" s="9">
        <v>8.5</v>
      </c>
      <c r="AC6" s="9">
        <v>0.6</v>
      </c>
      <c r="AD6" s="9">
        <v>0</v>
      </c>
      <c r="AE6" s="9">
        <v>18.600000000000001</v>
      </c>
      <c r="AF6" s="9">
        <v>8</v>
      </c>
      <c r="AG6" s="9">
        <v>0.6</v>
      </c>
      <c r="AH6" s="9">
        <v>0</v>
      </c>
      <c r="AI6" s="18"/>
      <c r="AJ6" s="23">
        <f>IF(SUM(O6:P6,R6:T6,V6)-Q6-U6&gt;0,SUM(O6:P6,R6:T6,V6)-Q6-U6,"")</f>
        <v>52.599999999999994</v>
      </c>
      <c r="AK6" s="23" t="str">
        <f>IF(SUM(W6:X6,Z6)-Y6&gt;0,SUM(W6:X6,Z6)-Y6,"")</f>
        <v/>
      </c>
      <c r="AL6" s="23">
        <f>IF(SUM(AA6:AB6,AD6)-SUM(AC6)&gt;0,SUM(AA6:AB6,AD6)-SUM(AC6),"")</f>
        <v>26.799999999999997</v>
      </c>
      <c r="AM6" s="23">
        <f>IF(SUM(AA6:AB6,AD6:AF6,AH6)-SUM(AC6,AG6)&gt;0,SUM(AA6:AB6,AD6:AF6,AH6)-SUM(AC6,AG6),"")</f>
        <v>52.8</v>
      </c>
      <c r="AN6" s="23">
        <f>IF(SUM(AJ6,AM6)&gt;0,SUM(AJ6,AM6),"")</f>
        <v>105.39999999999999</v>
      </c>
      <c r="AO6" s="8">
        <v>18.600000000000001</v>
      </c>
      <c r="AP6" s="8">
        <v>8.4</v>
      </c>
      <c r="AQ6" s="8">
        <v>0</v>
      </c>
      <c r="AR6" s="8">
        <v>0</v>
      </c>
      <c r="AS6" s="8">
        <v>18.7</v>
      </c>
      <c r="AT6" s="8">
        <v>7.3</v>
      </c>
      <c r="AU6" s="8">
        <v>0</v>
      </c>
      <c r="AV6" s="8">
        <v>0</v>
      </c>
      <c r="AW6" s="8">
        <v>18.3</v>
      </c>
      <c r="AX6" s="8">
        <v>7.2</v>
      </c>
      <c r="AY6" s="8">
        <v>0</v>
      </c>
      <c r="AZ6" s="8">
        <v>0</v>
      </c>
      <c r="BA6" s="8">
        <v>18.399999999999999</v>
      </c>
      <c r="BB6" s="8">
        <v>8.4</v>
      </c>
      <c r="BC6" s="8">
        <v>0.6</v>
      </c>
      <c r="BD6" s="8">
        <v>0</v>
      </c>
      <c r="BE6" s="8">
        <v>0</v>
      </c>
      <c r="BF6" s="8">
        <v>0</v>
      </c>
      <c r="BG6" s="8">
        <v>0</v>
      </c>
      <c r="BH6" s="8">
        <v>0</v>
      </c>
      <c r="BI6" s="19"/>
      <c r="BJ6" s="6">
        <f>IF(SUM(AO6:AP6,AR6:AT6,AV6)-AQ6-AU6&gt;0,SUM(AO6:AP6,AR6:AT6,AV6)-AQ6-AU6,"")</f>
        <v>53</v>
      </c>
      <c r="BK6" s="6">
        <f>IF(SUM(AW6:AX6,AZ6)-AY6&gt;0,SUM(AW6:AX6,AZ6)-AY6,"")</f>
        <v>25.5</v>
      </c>
      <c r="BL6" s="6">
        <f>IF(SUM(BA6:BB6,BD6)-SUM(BC6)&gt;0,SUM(BA6:BB6,BD6)-SUM(BC6),"")</f>
        <v>26.199999999999996</v>
      </c>
      <c r="BM6" s="6">
        <f>IF(SUM(BA6:BB6,BD6:BF6,BH6)-SUM(BC6,BG6)&gt;0,SUM(BA6:BB6,BD6:BF6,BH6)-SUM(BC6,BG6),"")</f>
        <v>26.199999999999996</v>
      </c>
      <c r="BN6" s="6">
        <f>IF(SUM(BJ6,BM6)&gt;0,SUM(BJ6,BM6),"")</f>
        <v>79.199999999999989</v>
      </c>
      <c r="BO6" s="9">
        <v>18.7</v>
      </c>
      <c r="BP6" s="9">
        <v>8.4</v>
      </c>
      <c r="BQ6" s="9">
        <v>0</v>
      </c>
      <c r="BR6" s="9">
        <v>0</v>
      </c>
      <c r="BS6" s="9">
        <v>17.600000000000001</v>
      </c>
      <c r="BT6" s="9">
        <v>2.8</v>
      </c>
      <c r="BU6" s="9">
        <v>0</v>
      </c>
      <c r="BV6" s="9">
        <v>0</v>
      </c>
      <c r="BW6" s="9"/>
      <c r="BX6" s="9"/>
      <c r="BY6" s="9"/>
      <c r="BZ6" s="9"/>
      <c r="CA6" s="9">
        <v>17.600000000000001</v>
      </c>
      <c r="CB6" s="9">
        <v>4</v>
      </c>
      <c r="CC6" s="9">
        <v>0</v>
      </c>
      <c r="CD6" s="9">
        <v>0</v>
      </c>
      <c r="CE6" s="9">
        <v>18.3</v>
      </c>
      <c r="CF6" s="9">
        <v>7.2</v>
      </c>
      <c r="CG6" s="9">
        <v>0.6</v>
      </c>
      <c r="CH6" s="9">
        <v>0</v>
      </c>
      <c r="CI6" s="18"/>
      <c r="CJ6" s="23">
        <f>IF(SUM(BO6:BP6,BR6:BT6,BV6)-BQ6-BU6&gt;0,SUM(BO6:BP6,BR6:BT6,BV6)-BQ6-BU6,"")</f>
        <v>47.5</v>
      </c>
      <c r="CK6" s="23" t="str">
        <f>IF(SUM(BW6:BX6,BZ6)-BY6&gt;0,SUM(BW6:BX6,BZ6)-BY6,"")</f>
        <v/>
      </c>
      <c r="CL6" s="23">
        <f>IF(SUM(CA6:CB6,CD6)-SUM(CC6)&gt;0,SUM(CA6:CB6,CD6)-SUM(CC6),"")</f>
        <v>21.6</v>
      </c>
      <c r="CM6" s="23">
        <f>IF(SUM(CA6:CB6,CD6:CF6,CH6)-SUM(CC6,CG6)&gt;0,SUM(CA6:CB6,CD6:CF6,CH6)-SUM(CC6,CG6),"")</f>
        <v>46.500000000000007</v>
      </c>
      <c r="CN6" s="23">
        <f>IF(SUM(CJ6,CM6)&gt;0,SUM(CJ6,CM6),"")</f>
        <v>94</v>
      </c>
    </row>
    <row r="7" spans="1:92" x14ac:dyDescent="0.2">
      <c r="A7" s="1" cm="1">
        <f t="array" ref="A7">IF(F7="P",SUMPRODUCT((F$4:F$18="P")*(E$4:E$18&gt;E7))+1,"")</f>
        <v>4</v>
      </c>
      <c r="B7" s="2" t="s">
        <v>24</v>
      </c>
      <c r="C7" s="3" t="s">
        <v>4</v>
      </c>
      <c r="D7" s="7">
        <v>2002</v>
      </c>
      <c r="E7" s="5">
        <f>SUM(G7:N7)+SUM(G7:M7)*0.0000001+SUM(G7)*0.0000000000001</f>
        <v>183.80001838000533</v>
      </c>
      <c r="F7" s="30" t="s">
        <v>55</v>
      </c>
      <c r="G7" s="4">
        <f>IF(COUNT(AJ7,BJ7,CJ7)&gt;0,LARGE((AJ7,BJ7,CJ7),1),0)</f>
        <v>53.099999999999994</v>
      </c>
      <c r="H7" s="4" t="str">
        <f>IF(G7=0,"",IF(G7=CJ7,$BO$1,IF(G7=BJ7,$AO$1,IF(G7=AJ7,$O$1,""))))</f>
        <v>2022 WG Virtual Control Trial</v>
      </c>
      <c r="I7" s="4">
        <f>IF(COUNT(AJ7,BJ7,CJ7)&gt;1,LARGE((AJ7,BJ7,CJ7),2),0)</f>
        <v>51.800000000000004</v>
      </c>
      <c r="J7" s="4" t="str">
        <f>IF(I7=0,"",IF(I7=CJ7,$BO$1,IF(I7=BJ7,$AO$1,IF(I7=AJ7,$O$1,""))))</f>
        <v>2022 WG Virtual Technical Trial</v>
      </c>
      <c r="K7" s="4">
        <f>IF(MAX(AM7,BM7,CM7)&gt;0,MAX(AM7,BM7,CM7),0)</f>
        <v>52.2</v>
      </c>
      <c r="L7" s="4" t="str">
        <f>IF(K7=0,"",IF(K7=CM7,$BO$1,IF(K7=BM7,$AO$1,IF(K7=AM7,$O$1,""))))</f>
        <v>2022 WG Virtual Control Trial</v>
      </c>
      <c r="M7" s="4">
        <f>IF(K7=CM7,MAX(BL7,AL7),IF(K7=BM7,MAX(CL7,AL7),IF(K7=AM7,MAX(CL7,BL7),0)))</f>
        <v>26.700000000000003</v>
      </c>
      <c r="N7" s="4" t="str">
        <f>IF(M7=0,"",IF(AND(M7=CL7,L7&lt;&gt;$BO$1),$BO$1,IF(AND(M7=BL7,L7&lt;&gt;$AO$1),$AO$1,IF(AND(M7=AL7,L7&lt;&gt;$O$1),$O$1,""))))</f>
        <v>2022 Elite Canada</v>
      </c>
      <c r="O7" s="9">
        <v>18.5</v>
      </c>
      <c r="P7" s="9">
        <v>7.3</v>
      </c>
      <c r="Q7" s="9">
        <v>0</v>
      </c>
      <c r="R7" s="9">
        <v>0</v>
      </c>
      <c r="S7" s="9">
        <v>18.399999999999999</v>
      </c>
      <c r="T7" s="9">
        <v>7.6</v>
      </c>
      <c r="U7" s="9">
        <v>0</v>
      </c>
      <c r="V7" s="9">
        <v>0</v>
      </c>
      <c r="W7" s="9"/>
      <c r="X7" s="9"/>
      <c r="Y7" s="9"/>
      <c r="Z7" s="9"/>
      <c r="AA7" s="9">
        <v>17.2</v>
      </c>
      <c r="AB7" s="9">
        <v>4</v>
      </c>
      <c r="AC7" s="9">
        <v>0</v>
      </c>
      <c r="AD7" s="9">
        <v>0</v>
      </c>
      <c r="AE7" s="9">
        <v>18.399999999999999</v>
      </c>
      <c r="AF7" s="9">
        <v>7.3</v>
      </c>
      <c r="AG7" s="9">
        <v>0.6</v>
      </c>
      <c r="AH7" s="9">
        <v>0</v>
      </c>
      <c r="AI7" s="18"/>
      <c r="AJ7" s="23">
        <f>IF(SUM(O7:P7,R7:T7,V7)-Q7-U7&gt;0,SUM(O7:P7,R7:T7,V7)-Q7-U7,"")</f>
        <v>51.800000000000004</v>
      </c>
      <c r="AK7" s="23" t="str">
        <f>IF(SUM(W7:X7,Z7)-Y7&gt;0,SUM(W7:X7,Z7)-Y7,"")</f>
        <v/>
      </c>
      <c r="AL7" s="23">
        <f>IF(SUM(AA7:AB7,AD7)-SUM(AC7)&gt;0,SUM(AA7:AB7,AD7)-SUM(AC7),"")</f>
        <v>21.2</v>
      </c>
      <c r="AM7" s="23">
        <f>IF(SUM(AA7:AB7,AD7:AF7,AH7)-SUM(AC7,AG7)&gt;0,SUM(AA7:AB7,AD7:AF7,AH7)-SUM(AC7,AG7),"")</f>
        <v>46.29999999999999</v>
      </c>
      <c r="AN7" s="23">
        <f>IF(SUM(AJ7,AM7)&gt;0,SUM(AJ7,AM7),"")</f>
        <v>98.1</v>
      </c>
      <c r="AO7" s="8">
        <v>18.7</v>
      </c>
      <c r="AP7" s="8">
        <v>7.3</v>
      </c>
      <c r="AQ7" s="8">
        <v>0.6</v>
      </c>
      <c r="AR7" s="8">
        <v>0</v>
      </c>
      <c r="AS7" s="8">
        <v>17.8</v>
      </c>
      <c r="AT7" s="8">
        <v>6.4</v>
      </c>
      <c r="AU7" s="8">
        <v>0.8</v>
      </c>
      <c r="AV7" s="8">
        <v>0</v>
      </c>
      <c r="AW7" s="8">
        <v>18.5</v>
      </c>
      <c r="AX7" s="8">
        <v>7.6</v>
      </c>
      <c r="AY7" s="8">
        <v>0.6</v>
      </c>
      <c r="AZ7" s="8">
        <v>0</v>
      </c>
      <c r="BA7" s="8">
        <v>18.5</v>
      </c>
      <c r="BB7" s="8">
        <v>8.1</v>
      </c>
      <c r="BC7" s="8">
        <v>0.2</v>
      </c>
      <c r="BD7" s="8">
        <v>0.3</v>
      </c>
      <c r="BE7" s="8">
        <v>0</v>
      </c>
      <c r="BF7" s="8">
        <v>0</v>
      </c>
      <c r="BG7" s="8">
        <v>0</v>
      </c>
      <c r="BH7" s="8">
        <v>0</v>
      </c>
      <c r="BI7" s="19"/>
      <c r="BJ7" s="6">
        <f>IF(SUM(AO7:AP7,AR7:AT7,AV7)-AQ7-AU7&gt;0,SUM(AO7:AP7,AR7:AT7,AV7)-AQ7-AU7,"")</f>
        <v>48.8</v>
      </c>
      <c r="BK7" s="6">
        <f>IF(SUM(AW7:AX7,AZ7)-AY7&gt;0,SUM(AW7:AX7,AZ7)-AY7,"")</f>
        <v>25.5</v>
      </c>
      <c r="BL7" s="6">
        <f>IF(SUM(BA7:BB7,BD7)-SUM(BC7)&gt;0,SUM(BA7:BB7,BD7)-SUM(BC7),"")</f>
        <v>26.700000000000003</v>
      </c>
      <c r="BM7" s="6">
        <f>IF(SUM(BA7:BB7,BD7:BF7,BH7)-SUM(BC7,BG7)&gt;0,SUM(BA7:BB7,BD7:BF7,BH7)-SUM(BC7,BG7),"")</f>
        <v>26.700000000000003</v>
      </c>
      <c r="BN7" s="6">
        <f>IF(SUM(BJ7,BM7)&gt;0,SUM(BJ7,BM7),"")</f>
        <v>75.5</v>
      </c>
      <c r="BO7" s="9">
        <v>18.899999999999999</v>
      </c>
      <c r="BP7" s="9">
        <v>7.2</v>
      </c>
      <c r="BQ7" s="9">
        <v>0</v>
      </c>
      <c r="BR7" s="9">
        <v>0</v>
      </c>
      <c r="BS7" s="9">
        <v>18.7</v>
      </c>
      <c r="BT7" s="9">
        <v>8.5</v>
      </c>
      <c r="BU7" s="9">
        <v>0.2</v>
      </c>
      <c r="BV7" s="9">
        <v>0</v>
      </c>
      <c r="BW7" s="9"/>
      <c r="BX7" s="9"/>
      <c r="BY7" s="9"/>
      <c r="BZ7" s="9"/>
      <c r="CA7" s="9">
        <v>18.3</v>
      </c>
      <c r="CB7" s="9">
        <v>8.5</v>
      </c>
      <c r="CC7" s="9">
        <v>0.2</v>
      </c>
      <c r="CD7" s="9">
        <v>0</v>
      </c>
      <c r="CE7" s="9">
        <v>19</v>
      </c>
      <c r="CF7" s="9">
        <v>7.2</v>
      </c>
      <c r="CG7" s="9">
        <v>0.6</v>
      </c>
      <c r="CH7" s="9">
        <v>0</v>
      </c>
      <c r="CI7" s="18"/>
      <c r="CJ7" s="23">
        <f>IF(SUM(BO7:BP7,BR7:BT7,BV7)-BQ7-BU7&gt;0,SUM(BO7:BP7,BR7:BT7,BV7)-BQ7-BU7,"")</f>
        <v>53.099999999999994</v>
      </c>
      <c r="CK7" s="23" t="str">
        <f>IF(SUM(BW7:BX7,BZ7)-BY7&gt;0,SUM(BW7:BX7,BZ7)-BY7,"")</f>
        <v/>
      </c>
      <c r="CL7" s="23">
        <f>IF(SUM(CA7:CB7,CD7)-SUM(CC7)&gt;0,SUM(CA7:CB7,CD7)-SUM(CC7),"")</f>
        <v>26.6</v>
      </c>
      <c r="CM7" s="23">
        <f>IF(SUM(CA7:CB7,CD7:CF7,CH7)-SUM(CC7,CG7)&gt;0,SUM(CA7:CB7,CD7:CF7,CH7)-SUM(CC7,CG7),"")</f>
        <v>52.2</v>
      </c>
      <c r="CN7" s="23">
        <f>IF(SUM(CJ7,CM7)&gt;0,SUM(CJ7,CM7),"")</f>
        <v>105.3</v>
      </c>
    </row>
    <row r="8" spans="1:92" x14ac:dyDescent="0.2">
      <c r="A8" s="1" cm="1">
        <f t="array" ref="A8">IF(F8="P",SUMPRODUCT((F$4:F$18="P")*(E$4:E$18&gt;E8))+1,"")</f>
        <v>5</v>
      </c>
      <c r="B8" s="2" t="s">
        <v>31</v>
      </c>
      <c r="C8" s="3" t="s">
        <v>5</v>
      </c>
      <c r="D8" s="7">
        <v>2001</v>
      </c>
      <c r="E8" s="5">
        <f>SUM(G8:N8)+SUM(G8:M8)*0.0000001+SUM(G8)*0.0000000000001</f>
        <v>172.10001721000521</v>
      </c>
      <c r="F8" s="30" t="s">
        <v>55</v>
      </c>
      <c r="G8" s="4">
        <f>IF(COUNT(AJ8,BJ8,CJ8)&gt;0,LARGE((AJ8,BJ8,CJ8),1),0)</f>
        <v>51.9</v>
      </c>
      <c r="H8" s="4" t="str">
        <f>IF(G8=0,"",IF(G8=CJ8,$BO$1,IF(G8=BJ8,$AO$1,IF(G8=AJ8,$O$1,""))))</f>
        <v>2022 WG Virtual Technical Trial</v>
      </c>
      <c r="I8" s="4">
        <f>IF(COUNT(AJ8,BJ8,CJ8)&gt;1,LARGE((AJ8,BJ8,CJ8),2),0)</f>
        <v>48.2</v>
      </c>
      <c r="J8" s="4" t="str">
        <f>IF(I8=0,"",IF(I8=CJ8,$BO$1,IF(I8=BJ8,$AO$1,IF(I8=AJ8,$O$1,""))))</f>
        <v>2022 WG Virtual Control Trial</v>
      </c>
      <c r="K8" s="4">
        <f>IF(MAX(AM8,BM8,CM8)&gt;0,MAX(AM8,BM8,CM8),0)</f>
        <v>46.900000000000006</v>
      </c>
      <c r="L8" s="4" t="str">
        <f>IF(K8=0,"",IF(K8=CM8,$BO$1,IF(K8=BM8,$AO$1,IF(K8=AM8,$O$1,""))))</f>
        <v>2022 WG Virtual Control Trial</v>
      </c>
      <c r="M8" s="4">
        <f>IF(K8=CM8,MAX(BL8,AL8),IF(K8=BM8,MAX(CL8,AL8),IF(K8=AM8,MAX(CL8,BL8),0)))</f>
        <v>25.1</v>
      </c>
      <c r="N8" s="4" t="str">
        <f>IF(M8=0,"",IF(AND(M8=CL8,L8&lt;&gt;$BO$1),$BO$1,IF(AND(M8=BL8,L8&lt;&gt;$AO$1),$AO$1,IF(AND(M8=AL8,L8&lt;&gt;$O$1),$O$1,""))))</f>
        <v>2022 WG Virtual Technical Trial</v>
      </c>
      <c r="O8" s="9">
        <v>18.600000000000001</v>
      </c>
      <c r="P8" s="9">
        <v>7.7</v>
      </c>
      <c r="Q8" s="9">
        <v>0.2</v>
      </c>
      <c r="R8" s="9">
        <v>0.3</v>
      </c>
      <c r="S8" s="9">
        <v>18.5</v>
      </c>
      <c r="T8" s="9">
        <v>7.6</v>
      </c>
      <c r="U8" s="9">
        <v>0.6</v>
      </c>
      <c r="V8" s="9">
        <v>0</v>
      </c>
      <c r="W8" s="9"/>
      <c r="X8" s="9"/>
      <c r="Y8" s="9"/>
      <c r="Z8" s="9"/>
      <c r="AA8" s="9">
        <v>18.600000000000001</v>
      </c>
      <c r="AB8" s="9">
        <v>7.3</v>
      </c>
      <c r="AC8" s="9">
        <v>0.8</v>
      </c>
      <c r="AD8" s="9">
        <v>0</v>
      </c>
      <c r="AE8" s="9">
        <v>17.2</v>
      </c>
      <c r="AF8" s="9">
        <v>3.2</v>
      </c>
      <c r="AG8" s="9">
        <v>0</v>
      </c>
      <c r="AH8" s="9">
        <v>0</v>
      </c>
      <c r="AI8" s="18"/>
      <c r="AJ8" s="23">
        <f>IF(SUM(O8:P8,R8:T8,V8)-Q8-U8&gt;0,SUM(O8:P8,R8:T8,V8)-Q8-U8,"")</f>
        <v>51.9</v>
      </c>
      <c r="AK8" s="23" t="str">
        <f>IF(SUM(W8:X8,Z8)-Y8&gt;0,SUM(W8:X8,Z8)-Y8,"")</f>
        <v/>
      </c>
      <c r="AL8" s="23">
        <f>IF(SUM(AA8:AB8,AD8)-SUM(AC8)&gt;0,SUM(AA8:AB8,AD8)-SUM(AC8),"")</f>
        <v>25.1</v>
      </c>
      <c r="AM8" s="23">
        <f>IF(SUM(AA8:AB8,AD8:AF8,AH8)-SUM(AC8,AG8)&gt;0,SUM(AA8:AB8,AD8:AF8,AH8)-SUM(AC8,AG8),"")</f>
        <v>45.500000000000007</v>
      </c>
      <c r="AN8" s="23">
        <f>IF(SUM(AJ8,AM8)&gt;0,SUM(AJ8,AM8),"")</f>
        <v>97.4</v>
      </c>
      <c r="AO8" s="8">
        <v>17.600000000000001</v>
      </c>
      <c r="AP8" s="8">
        <v>2.4</v>
      </c>
      <c r="AQ8" s="8">
        <v>0</v>
      </c>
      <c r="AR8" s="8">
        <v>0</v>
      </c>
      <c r="AS8" s="8">
        <v>0</v>
      </c>
      <c r="AT8" s="8">
        <v>0</v>
      </c>
      <c r="AU8" s="8">
        <v>0</v>
      </c>
      <c r="AV8" s="8">
        <v>0</v>
      </c>
      <c r="AW8" s="8"/>
      <c r="AX8" s="8"/>
      <c r="AY8" s="8"/>
      <c r="AZ8" s="8"/>
      <c r="BA8" s="8"/>
      <c r="BB8" s="8"/>
      <c r="BC8" s="8"/>
      <c r="BD8" s="8"/>
      <c r="BE8" s="8"/>
      <c r="BF8" s="8"/>
      <c r="BG8" s="8"/>
      <c r="BH8" s="8"/>
      <c r="BI8" s="19"/>
      <c r="BJ8" s="6">
        <f>IF(SUM(AO8:AP8,AR8:AT8,AV8)-AQ8-AU8&gt;0,SUM(AO8:AP8,AR8:AT8,AV8)-AQ8-AU8,"")</f>
        <v>20</v>
      </c>
      <c r="BK8" s="6" t="str">
        <f>IF(SUM(AW8:AX8,AZ8)-AY8&gt;0,SUM(AW8:AX8,AZ8)-AY8,"")</f>
        <v/>
      </c>
      <c r="BL8" s="6" t="str">
        <f>IF(SUM(BA8:BB8,BD8)-SUM(BC8)&gt;0,SUM(BA8:BB8,BD8)-SUM(BC8),"")</f>
        <v/>
      </c>
      <c r="BM8" s="6" t="str">
        <f>IF(SUM(BA8:BB8,BD8:BF8,BH8)-SUM(BC8,BG8)&gt;0,SUM(BA8:BB8,BD8:BF8,BH8)-SUM(BC8,BG8),"")</f>
        <v/>
      </c>
      <c r="BN8" s="6">
        <f>IF(SUM(BJ8,BM8)&gt;0,SUM(BJ8,BM8),"")</f>
        <v>20</v>
      </c>
      <c r="BO8" s="9">
        <v>18.399999999999999</v>
      </c>
      <c r="BP8" s="9">
        <v>6</v>
      </c>
      <c r="BQ8" s="9">
        <v>0.8</v>
      </c>
      <c r="BR8" s="9">
        <v>0</v>
      </c>
      <c r="BS8" s="9">
        <v>18.600000000000001</v>
      </c>
      <c r="BT8" s="9">
        <v>6</v>
      </c>
      <c r="BU8" s="9">
        <v>0</v>
      </c>
      <c r="BV8" s="9">
        <v>0</v>
      </c>
      <c r="BW8" s="9"/>
      <c r="BX8" s="9"/>
      <c r="BY8" s="9"/>
      <c r="BZ8" s="9"/>
      <c r="CA8" s="9">
        <v>19.3</v>
      </c>
      <c r="CB8" s="9">
        <v>7.6</v>
      </c>
      <c r="CC8" s="9">
        <v>0</v>
      </c>
      <c r="CD8" s="9">
        <v>0.3</v>
      </c>
      <c r="CE8" s="9">
        <v>18.3</v>
      </c>
      <c r="CF8" s="9">
        <v>3.7</v>
      </c>
      <c r="CG8" s="9">
        <v>2.2999999999999998</v>
      </c>
      <c r="CH8" s="9">
        <v>0</v>
      </c>
      <c r="CI8" s="18"/>
      <c r="CJ8" s="23">
        <f>IF(SUM(BO8:BP8,BR8:BT8,BV8)-BQ8-BU8&gt;0,SUM(BO8:BP8,BR8:BT8,BV8)-BQ8-BU8,"")</f>
        <v>48.2</v>
      </c>
      <c r="CK8" s="23" t="str">
        <f>IF(SUM(BW8:BX8,BZ8)-BY8&gt;0,SUM(BW8:BX8,BZ8)-BY8,"")</f>
        <v/>
      </c>
      <c r="CL8" s="23">
        <f>IF(SUM(CA8:CB8,CD8)-SUM(CC8)&gt;0,SUM(CA8:CB8,CD8)-SUM(CC8),"")</f>
        <v>27.2</v>
      </c>
      <c r="CM8" s="23">
        <f>IF(SUM(CA8:CB8,CD8:CF8,CH8)-SUM(CC8,CG8)&gt;0,SUM(CA8:CB8,CD8:CF8,CH8)-SUM(CC8,CG8),"")</f>
        <v>46.900000000000006</v>
      </c>
      <c r="CN8" s="23">
        <f>IF(SUM(CJ8,CM8)&gt;0,SUM(CJ8,CM8),"")</f>
        <v>95.100000000000009</v>
      </c>
    </row>
    <row r="9" spans="1:92" x14ac:dyDescent="0.2">
      <c r="A9" s="1" t="str" cm="1">
        <f t="array" ref="A9">IF(F9="P",SUMPRODUCT((F$4:F$18="P")*(E$4:E$18&gt;E9))+1,"")</f>
        <v/>
      </c>
      <c r="B9" s="2" t="s">
        <v>52</v>
      </c>
      <c r="C9" s="3" t="s">
        <v>4</v>
      </c>
      <c r="D9" s="7">
        <v>1999</v>
      </c>
      <c r="E9" s="5">
        <f>SUM(G9:N9)+SUM(G9:M9)*0.0000001+SUM(G9)*0.0000000000001</f>
        <v>175.90001759000506</v>
      </c>
      <c r="F9" s="30"/>
      <c r="G9" s="4">
        <f>IF(COUNT(AJ9,BJ9,CJ9)&gt;0,LARGE((AJ9,BJ9,CJ9),1),0)</f>
        <v>50.599999999999994</v>
      </c>
      <c r="H9" s="4" t="str">
        <f>IF(G9=0,"",IF(G9=CJ9,$BO$1,IF(G9=BJ9,$AO$1,IF(G9=AJ9,$O$1,""))))</f>
        <v>2022 Elite Canada</v>
      </c>
      <c r="I9" s="4">
        <f>IF(COUNT(AJ9,BJ9,CJ9)&gt;1,LARGE((AJ9,BJ9,CJ9),2),0)</f>
        <v>50.3</v>
      </c>
      <c r="J9" s="4" t="str">
        <f>IF(I9=0,"",IF(I9=CJ9,$BO$1,IF(I9=BJ9,$AO$1,IF(I9=AJ9,$O$1,""))))</f>
        <v>2022 WG Virtual Technical Trial</v>
      </c>
      <c r="K9" s="4">
        <f>IF(MAX(AM9,BM9,CM9)&gt;0,MAX(AM9,BM9,CM9),0)</f>
        <v>50.599999999999994</v>
      </c>
      <c r="L9" s="4" t="str">
        <f>IF(K9=0,"",IF(K9=CM9,$BO$1,IF(K9=BM9,$AO$1,IF(K9=AM9,$O$1,""))))</f>
        <v>2022 WG Virtual Technical Trial</v>
      </c>
      <c r="M9" s="4">
        <f>IF(K9=CM9,MAX(BL9,AL9),IF(K9=BM9,MAX(CL9,AL9),IF(K9=AM9,MAX(CL9,BL9),0)))</f>
        <v>24.400000000000002</v>
      </c>
      <c r="N9" s="4" t="str">
        <f>IF(M9=0,"",IF(AND(M9=CL9,L9&lt;&gt;$BO$1),$BO$1,IF(AND(M9=BL9,L9&lt;&gt;$AO$1),$AO$1,IF(AND(M9=AL9,L9&lt;&gt;$O$1),$O$1,""))))</f>
        <v>2022 Elite Canada</v>
      </c>
      <c r="O9" s="9">
        <v>18.8</v>
      </c>
      <c r="P9" s="9">
        <v>7.2</v>
      </c>
      <c r="Q9" s="9">
        <v>0.8</v>
      </c>
      <c r="R9" s="9">
        <v>0</v>
      </c>
      <c r="S9" s="9">
        <v>19.3</v>
      </c>
      <c r="T9" s="9">
        <v>6</v>
      </c>
      <c r="U9" s="9">
        <v>0.2</v>
      </c>
      <c r="V9" s="9">
        <v>0</v>
      </c>
      <c r="W9" s="9"/>
      <c r="X9" s="9"/>
      <c r="Y9" s="9"/>
      <c r="Z9" s="9"/>
      <c r="AA9" s="9">
        <v>19</v>
      </c>
      <c r="AB9" s="9">
        <v>7.2</v>
      </c>
      <c r="AC9" s="9">
        <v>0.2</v>
      </c>
      <c r="AD9" s="9">
        <v>0</v>
      </c>
      <c r="AE9" s="9">
        <v>18.600000000000001</v>
      </c>
      <c r="AF9" s="9">
        <v>6.8</v>
      </c>
      <c r="AG9" s="9">
        <v>0.8</v>
      </c>
      <c r="AH9" s="9">
        <v>0</v>
      </c>
      <c r="AI9" s="18"/>
      <c r="AJ9" s="23">
        <f>IF(SUM(O9:P9,R9:T9,V9)-Q9-U9&gt;0,SUM(O9:P9,R9:T9,V9)-Q9-U9,"")</f>
        <v>50.3</v>
      </c>
      <c r="AK9" s="23" t="str">
        <f>IF(SUM(W9:X9,Z9)-Y9&gt;0,SUM(W9:X9,Z9)-Y9,"")</f>
        <v/>
      </c>
      <c r="AL9" s="23">
        <f>IF(SUM(AA9:AB9,AD9)-SUM(AC9)&gt;0,SUM(AA9:AB9,AD9)-SUM(AC9),"")</f>
        <v>26</v>
      </c>
      <c r="AM9" s="23">
        <f>IF(SUM(AA9:AB9,AD9:AF9,AH9)-SUM(AC9,AG9)&gt;0,SUM(AA9:AB9,AD9:AF9,AH9)-SUM(AC9,AG9),"")</f>
        <v>50.599999999999994</v>
      </c>
      <c r="AN9" s="23">
        <f>IF(SUM(AJ9,AM9)&gt;0,SUM(AJ9,AM9),"")</f>
        <v>100.89999999999999</v>
      </c>
      <c r="AO9" s="8">
        <v>19</v>
      </c>
      <c r="AP9" s="8">
        <v>7.2</v>
      </c>
      <c r="AQ9" s="8">
        <v>0</v>
      </c>
      <c r="AR9" s="8">
        <v>0</v>
      </c>
      <c r="AS9" s="8">
        <v>18.399999999999999</v>
      </c>
      <c r="AT9" s="8">
        <v>6</v>
      </c>
      <c r="AU9" s="8">
        <v>0</v>
      </c>
      <c r="AV9" s="8">
        <v>0</v>
      </c>
      <c r="AW9" s="8">
        <v>19</v>
      </c>
      <c r="AX9" s="8">
        <v>6</v>
      </c>
      <c r="AY9" s="8">
        <v>0</v>
      </c>
      <c r="AZ9" s="8">
        <v>0</v>
      </c>
      <c r="BA9" s="8">
        <v>18.8</v>
      </c>
      <c r="BB9" s="8">
        <v>6.4</v>
      </c>
      <c r="BC9" s="8">
        <v>0.8</v>
      </c>
      <c r="BD9" s="8">
        <v>0</v>
      </c>
      <c r="BE9" s="8">
        <v>19.2</v>
      </c>
      <c r="BF9" s="8">
        <v>6.8</v>
      </c>
      <c r="BG9" s="8">
        <v>0</v>
      </c>
      <c r="BH9" s="8">
        <v>0</v>
      </c>
      <c r="BI9" s="19"/>
      <c r="BJ9" s="6">
        <f>IF(SUM(AO9:AP9,AR9:AT9,AV9)-AQ9-AU9&gt;0,SUM(AO9:AP9,AR9:AT9,AV9)-AQ9-AU9,"")</f>
        <v>50.599999999999994</v>
      </c>
      <c r="BK9" s="6">
        <f>IF(SUM(AW9:AX9,AZ9)-AY9&gt;0,SUM(AW9:AX9,AZ9)-AY9,"")</f>
        <v>25</v>
      </c>
      <c r="BL9" s="6">
        <f>IF(SUM(BA9:BB9,BD9)-SUM(BC9)&gt;0,SUM(BA9:BB9,BD9)-SUM(BC9),"")</f>
        <v>24.400000000000002</v>
      </c>
      <c r="BM9" s="6">
        <f>IF(SUM(BA9:BB9,BD9:BF9,BH9)-SUM(BC9,BG9)&gt;0,SUM(BA9:BB9,BD9:BF9,BH9)-SUM(BC9,BG9),"")</f>
        <v>50.400000000000006</v>
      </c>
      <c r="BN9" s="6">
        <f>IF(SUM(BJ9,BM9)&gt;0,SUM(BJ9,BM9),"")</f>
        <v>101</v>
      </c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18"/>
      <c r="CJ9" s="23" t="str">
        <f>IF(SUM(BO9:BP9,BR9:BT9,BV9)-BQ9-BU9&gt;0,SUM(BO9:BP9,BR9:BT9,BV9)-BQ9-BU9,"")</f>
        <v/>
      </c>
      <c r="CK9" s="23" t="str">
        <f>IF(SUM(BW9:BX9,BZ9)-BY9&gt;0,SUM(BW9:BX9,BZ9)-BY9,"")</f>
        <v/>
      </c>
      <c r="CL9" s="23" t="str">
        <f>IF(SUM(CA9:CB9,CD9)-SUM(CC9)&gt;0,SUM(CA9:CB9,CD9)-SUM(CC9),"")</f>
        <v/>
      </c>
      <c r="CM9" s="23" t="str">
        <f>IF(SUM(CA9:CB9,CD9:CF9,CH9)-SUM(CC9,CG9)&gt;0,SUM(CA9:CB9,CD9:CF9,CH9)-SUM(CC9,CG9),"")</f>
        <v/>
      </c>
      <c r="CN9" s="23" t="str">
        <f>IF(SUM(CJ9,CM9)&gt;0,SUM(CJ9,CM9),"")</f>
        <v/>
      </c>
    </row>
    <row r="10" spans="1:92" x14ac:dyDescent="0.2">
      <c r="A10" s="1" t="str" cm="1">
        <f t="array" ref="A10">IF(F10="P",SUMPRODUCT((F$4:F$18="P")*(E$4:E$18&gt;E10))+1,"")</f>
        <v/>
      </c>
      <c r="B10" s="2" t="s">
        <v>54</v>
      </c>
      <c r="C10" s="3" t="s">
        <v>5</v>
      </c>
      <c r="D10" s="7">
        <v>2003</v>
      </c>
      <c r="E10" s="5">
        <f>SUM(G10:N10)+SUM(G10:M10)*0.0000001+SUM(G10)*0.0000000000001</f>
        <v>175.20001752000508</v>
      </c>
      <c r="F10" s="30"/>
      <c r="G10" s="4">
        <f>IF(COUNT(AJ10,BJ10,CJ10)&gt;0,LARGE((AJ10,BJ10,CJ10),1),0)</f>
        <v>50.7</v>
      </c>
      <c r="H10" s="4" t="str">
        <f>IF(G10=0,"",IF(G10=CJ10,$BO$1,IF(G10=BJ10,$AO$1,IF(G10=AJ10,$O$1,""))))</f>
        <v>2022 WG Virtual Technical Trial</v>
      </c>
      <c r="I10" s="4">
        <f>IF(COUNT(AJ10,BJ10,CJ10)&gt;1,LARGE((AJ10,BJ10,CJ10),2),0)</f>
        <v>49.5</v>
      </c>
      <c r="J10" s="4" t="str">
        <f>IF(I10=0,"",IF(I10=CJ10,$BO$1,IF(I10=BJ10,$AO$1,IF(I10=AJ10,$O$1,""))))</f>
        <v>2022 Elite Canada</v>
      </c>
      <c r="K10" s="4">
        <f>IF(MAX(AM10,BM10,CM10)&gt;0,MAX(AM10,BM10,CM10),0)</f>
        <v>50.400000000000006</v>
      </c>
      <c r="L10" s="4" t="str">
        <f>IF(K10=0,"",IF(K10=CM10,$BO$1,IF(K10=BM10,$AO$1,IF(K10=AM10,$O$1,""))))</f>
        <v>2022 WG Virtual Technical Trial</v>
      </c>
      <c r="M10" s="4">
        <f>IF(K10=CM10,MAX(BL10,AL10),IF(K10=BM10,MAX(CL10,AL10),IF(K10=AM10,MAX(CL10,BL10),0)))</f>
        <v>24.599999999999998</v>
      </c>
      <c r="N10" s="4" t="str">
        <f>IF(M10=0,"",IF(AND(M10=CL10,L10&lt;&gt;$BO$1),$BO$1,IF(AND(M10=BL10,L10&lt;&gt;$AO$1),$AO$1,IF(AND(M10=AL10,L10&lt;&gt;$O$1),$O$1,""))))</f>
        <v>2022 Elite Canada</v>
      </c>
      <c r="O10" s="9">
        <v>19.2</v>
      </c>
      <c r="P10" s="9">
        <v>6.4</v>
      </c>
      <c r="Q10" s="9">
        <v>0</v>
      </c>
      <c r="R10" s="9">
        <v>0</v>
      </c>
      <c r="S10" s="9">
        <v>18</v>
      </c>
      <c r="T10" s="9">
        <v>7.7</v>
      </c>
      <c r="U10" s="9">
        <v>0.6</v>
      </c>
      <c r="V10" s="9">
        <v>0</v>
      </c>
      <c r="W10" s="9"/>
      <c r="X10" s="9"/>
      <c r="Y10" s="9"/>
      <c r="Z10" s="9"/>
      <c r="AA10" s="9">
        <v>18.600000000000001</v>
      </c>
      <c r="AB10" s="9">
        <v>7.2</v>
      </c>
      <c r="AC10" s="9">
        <v>0.6</v>
      </c>
      <c r="AD10" s="9">
        <v>0</v>
      </c>
      <c r="AE10" s="9">
        <v>18.3</v>
      </c>
      <c r="AF10" s="9">
        <v>7.7</v>
      </c>
      <c r="AG10" s="9">
        <v>0.8</v>
      </c>
      <c r="AH10" s="9">
        <v>0</v>
      </c>
      <c r="AI10" s="18"/>
      <c r="AJ10" s="23">
        <f>IF(SUM(O10:P10,R10:T10,V10)-Q10-U10&gt;0,SUM(O10:P10,R10:T10,V10)-Q10-U10,"")</f>
        <v>50.7</v>
      </c>
      <c r="AK10" s="23" t="str">
        <f>IF(SUM(W10:X10,Z10)-Y10&gt;0,SUM(W10:X10,Z10)-Y10,"")</f>
        <v/>
      </c>
      <c r="AL10" s="23">
        <f>IF(SUM(AA10:AB10,AD10)-SUM(AC10)&gt;0,SUM(AA10:AB10,AD10)-SUM(AC10),"")</f>
        <v>25.2</v>
      </c>
      <c r="AM10" s="23">
        <f>IF(SUM(AA10:AB10,AD10:AF10,AH10)-SUM(AC10,AG10)&gt;0,SUM(AA10:AB10,AD10:AF10,AH10)-SUM(AC10,AG10),"")</f>
        <v>50.400000000000006</v>
      </c>
      <c r="AN10" s="23">
        <f>IF(SUM(AJ10,AM10)&gt;0,SUM(AJ10,AM10),"")</f>
        <v>101.10000000000001</v>
      </c>
      <c r="AO10" s="8">
        <v>18.899999999999999</v>
      </c>
      <c r="AP10" s="8">
        <v>6.4</v>
      </c>
      <c r="AQ10" s="8">
        <v>0.8</v>
      </c>
      <c r="AR10" s="8">
        <v>0</v>
      </c>
      <c r="AS10" s="8">
        <v>18.3</v>
      </c>
      <c r="AT10" s="8">
        <v>7.7</v>
      </c>
      <c r="AU10" s="8">
        <v>1</v>
      </c>
      <c r="AV10" s="8">
        <v>0</v>
      </c>
      <c r="AW10" s="8">
        <v>18.3</v>
      </c>
      <c r="AX10" s="8">
        <v>5.2</v>
      </c>
      <c r="AY10" s="8">
        <v>1.6</v>
      </c>
      <c r="AZ10" s="8">
        <v>0</v>
      </c>
      <c r="BA10" s="8">
        <v>19</v>
      </c>
      <c r="BB10" s="8">
        <v>6.4</v>
      </c>
      <c r="BC10" s="8">
        <v>0.8</v>
      </c>
      <c r="BD10" s="8">
        <v>0</v>
      </c>
      <c r="BE10" s="8">
        <v>17.3</v>
      </c>
      <c r="BF10" s="8">
        <v>3.2</v>
      </c>
      <c r="BG10" s="8">
        <v>0</v>
      </c>
      <c r="BH10" s="8">
        <v>0</v>
      </c>
      <c r="BI10" s="19"/>
      <c r="BJ10" s="6">
        <f>IF(SUM(AO10:AP10,AR10:AT10,AV10)-AQ10-AU10&gt;0,SUM(AO10:AP10,AR10:AT10,AV10)-AQ10-AU10,"")</f>
        <v>49.5</v>
      </c>
      <c r="BK10" s="6">
        <f>IF(SUM(AW10:AX10,AZ10)-AY10&gt;0,SUM(AW10:AX10,AZ10)-AY10,"")</f>
        <v>21.9</v>
      </c>
      <c r="BL10" s="6">
        <f>IF(SUM(BA10:BB10,BD10)-SUM(BC10)&gt;0,SUM(BA10:BB10,BD10)-SUM(BC10),"")</f>
        <v>24.599999999999998</v>
      </c>
      <c r="BM10" s="6">
        <f>IF(SUM(BA10:BB10,BD10:BF10,BH10)-SUM(BC10,BG10)&gt;0,SUM(BA10:BB10,BD10:BF10,BH10)-SUM(BC10,BG10),"")</f>
        <v>45.100000000000009</v>
      </c>
      <c r="BN10" s="6">
        <f>IF(SUM(BJ10,BM10)&gt;0,SUM(BJ10,BM10),"")</f>
        <v>94.600000000000009</v>
      </c>
      <c r="BO10" s="9">
        <v>18.7</v>
      </c>
      <c r="BP10" s="9">
        <v>7.7</v>
      </c>
      <c r="BQ10" s="9">
        <v>0</v>
      </c>
      <c r="BR10" s="9">
        <v>0</v>
      </c>
      <c r="BS10" s="9">
        <v>17.600000000000001</v>
      </c>
      <c r="BT10" s="9">
        <v>2.8</v>
      </c>
      <c r="BU10" s="9">
        <v>0</v>
      </c>
      <c r="BV10" s="9">
        <v>0</v>
      </c>
      <c r="BW10" s="9"/>
      <c r="BX10" s="9"/>
      <c r="BY10" s="9"/>
      <c r="BZ10" s="9"/>
      <c r="CA10" s="9">
        <v>16.600000000000001</v>
      </c>
      <c r="CB10" s="9">
        <v>7.7</v>
      </c>
      <c r="CC10" s="9">
        <v>0.8</v>
      </c>
      <c r="CD10" s="9">
        <v>0</v>
      </c>
      <c r="CE10" s="9">
        <v>17.5</v>
      </c>
      <c r="CF10" s="9">
        <v>2.8</v>
      </c>
      <c r="CG10" s="9">
        <v>0</v>
      </c>
      <c r="CH10" s="9">
        <v>0</v>
      </c>
      <c r="CI10" s="18"/>
      <c r="CJ10" s="23">
        <f>IF(SUM(BO10:BP10,BR10:BT10,BV10)-BQ10-BU10&gt;0,SUM(BO10:BP10,BR10:BT10,BV10)-BQ10-BU10,"")</f>
        <v>46.8</v>
      </c>
      <c r="CK10" s="23" t="str">
        <f>IF(SUM(BW10:BX10,BZ10)-BY10&gt;0,SUM(BW10:BX10,BZ10)-BY10,"")</f>
        <v/>
      </c>
      <c r="CL10" s="23">
        <f>IF(SUM(CA10:CB10,CD10)-SUM(CC10)&gt;0,SUM(CA10:CB10,CD10)-SUM(CC10),"")</f>
        <v>23.5</v>
      </c>
      <c r="CM10" s="23">
        <f>IF(SUM(CA10:CB10,CD10:CF10,CH10)-SUM(CC10,CG10)&gt;0,SUM(CA10:CB10,CD10:CF10,CH10)-SUM(CC10,CG10),"")</f>
        <v>43.8</v>
      </c>
      <c r="CN10" s="23">
        <f>IF(SUM(CJ10,CM10)&gt;0,SUM(CJ10,CM10),"")</f>
        <v>90.6</v>
      </c>
    </row>
    <row r="11" spans="1:92" x14ac:dyDescent="0.2">
      <c r="A11" s="1" t="str" cm="1">
        <f t="array" ref="A11">IF(F11="P",SUMPRODUCT((F$4:F$18="P")*(E$4:E$18&gt;E11))+1,"")</f>
        <v/>
      </c>
      <c r="B11" s="2" t="s">
        <v>57</v>
      </c>
      <c r="C11" s="3" t="s">
        <v>4</v>
      </c>
      <c r="D11" s="7">
        <v>2004</v>
      </c>
      <c r="E11" s="5">
        <f>SUM(G11:N11)+SUM(G11:M11)*0.0000001+SUM(G11)*0.0000000000001</f>
        <v>172.90001729000508</v>
      </c>
      <c r="F11" s="30"/>
      <c r="G11" s="4">
        <f>IF(COUNT(AJ11,BJ11,CJ11)&gt;0,LARGE((AJ11,BJ11,CJ11),1),0)</f>
        <v>50.900000000000006</v>
      </c>
      <c r="H11" s="4" t="str">
        <f>IF(G11=0,"",IF(G11=CJ11,$BO$1,IF(G11=BJ11,$AO$1,IF(G11=AJ11,$O$1,""))))</f>
        <v>2022 Elite Canada</v>
      </c>
      <c r="I11" s="4">
        <f>IF(COUNT(AJ11,BJ11,CJ11)&gt;1,LARGE((AJ11,BJ11,CJ11),2),0)</f>
        <v>50.1</v>
      </c>
      <c r="J11" s="4" t="str">
        <f>IF(I11=0,"",IF(I11=CJ11,$BO$1,IF(I11=BJ11,$AO$1,IF(I11=AJ11,$O$1,""))))</f>
        <v>2022 WG Virtual Control Trial</v>
      </c>
      <c r="K11" s="4">
        <f>IF(MAX(AM11,BM11,CM11)&gt;0,MAX(AM11,BM11,CM11),0)</f>
        <v>46.9</v>
      </c>
      <c r="L11" s="4" t="str">
        <f>IF(K11=0,"",IF(K11=CM11,$BO$1,IF(K11=BM11,$AO$1,IF(K11=AM11,$O$1,""))))</f>
        <v>2022 WG Virtual Control Trial</v>
      </c>
      <c r="M11" s="4">
        <f>IF(K11=CM11,MAX(BL11,AL11),IF(K11=BM11,MAX(CL11,AL11),IF(K11=AM11,MAX(CL11,BL11),0)))</f>
        <v>25</v>
      </c>
      <c r="N11" s="4" t="str">
        <f>IF(M11=0,"",IF(AND(M11=CL11,L11&lt;&gt;$BO$1),$BO$1,IF(AND(M11=BL11,L11&lt;&gt;$AO$1),$AO$1,IF(AND(M11=AL11,L11&lt;&gt;$O$1),$O$1,""))))</f>
        <v>2022 Elite Canada</v>
      </c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18"/>
      <c r="AJ11" s="23" t="str">
        <f>IF(SUM(O11:P11,R11:T11,V11)-Q11-U11&gt;0,SUM(O11:P11,R11:T11,V11)-Q11-U11,"")</f>
        <v/>
      </c>
      <c r="AK11" s="23" t="str">
        <f>IF(SUM(W11:X11,Z11)-Y11&gt;0,SUM(W11:X11,Z11)-Y11,"")</f>
        <v/>
      </c>
      <c r="AL11" s="23" t="str">
        <f>IF(SUM(AA11:AB11,AD11)-SUM(AC11)&gt;0,SUM(AA11:AB11,AD11)-SUM(AC11),"")</f>
        <v/>
      </c>
      <c r="AM11" s="23" t="str">
        <f>IF(SUM(AA11:AB11,AD11:AF11,AH11)-SUM(AC11,AG11)&gt;0,SUM(AA11:AB11,AD11:AF11,AH11)-SUM(AC11,AG11),"")</f>
        <v/>
      </c>
      <c r="AN11" s="23" t="str">
        <f>IF(SUM(AJ11,AM11)&gt;0,SUM(AJ11,AM11),"")</f>
        <v/>
      </c>
      <c r="AO11" s="8">
        <v>19</v>
      </c>
      <c r="AP11" s="8">
        <v>6.8</v>
      </c>
      <c r="AQ11" s="8">
        <v>0.6</v>
      </c>
      <c r="AR11" s="8">
        <v>0</v>
      </c>
      <c r="AS11" s="8">
        <v>19.100000000000001</v>
      </c>
      <c r="AT11" s="8">
        <v>7.2</v>
      </c>
      <c r="AU11" s="8">
        <v>0.6</v>
      </c>
      <c r="AV11" s="8">
        <v>0</v>
      </c>
      <c r="AW11" s="8">
        <v>18.399999999999999</v>
      </c>
      <c r="AX11" s="8">
        <v>7.3</v>
      </c>
      <c r="AY11" s="8">
        <v>1</v>
      </c>
      <c r="AZ11" s="8">
        <v>0</v>
      </c>
      <c r="BA11" s="8">
        <v>18.8</v>
      </c>
      <c r="BB11" s="8">
        <v>6.8</v>
      </c>
      <c r="BC11" s="8">
        <v>0.6</v>
      </c>
      <c r="BD11" s="8">
        <v>0</v>
      </c>
      <c r="BE11" s="8">
        <v>0</v>
      </c>
      <c r="BF11" s="8">
        <v>0</v>
      </c>
      <c r="BG11" s="8">
        <v>0</v>
      </c>
      <c r="BH11" s="8">
        <v>0</v>
      </c>
      <c r="BI11" s="19"/>
      <c r="BJ11" s="6">
        <f>IF(SUM(AO11:AP11,AR11:AT11,AV11)-AQ11-AU11&gt;0,SUM(AO11:AP11,AR11:AT11,AV11)-AQ11-AU11,"")</f>
        <v>50.900000000000006</v>
      </c>
      <c r="BK11" s="6">
        <f>IF(SUM(AW11:AX11,AZ11)-AY11&gt;0,SUM(AW11:AX11,AZ11)-AY11,"")</f>
        <v>24.7</v>
      </c>
      <c r="BL11" s="6">
        <f>IF(SUM(BA11:BB11,BD11)-SUM(BC11)&gt;0,SUM(BA11:BB11,BD11)-SUM(BC11),"")</f>
        <v>25</v>
      </c>
      <c r="BM11" s="6">
        <f>IF(SUM(BA11:BB11,BD11:BF11,BH11)-SUM(BC11,BG11)&gt;0,SUM(BA11:BB11,BD11:BF11,BH11)-SUM(BC11,BG11),"")</f>
        <v>25</v>
      </c>
      <c r="BN11" s="6">
        <f>IF(SUM(BJ11,BM11)&gt;0,SUM(BJ11,BM11),"")</f>
        <v>75.900000000000006</v>
      </c>
      <c r="BO11" s="9">
        <v>18.3</v>
      </c>
      <c r="BP11" s="9">
        <v>6.4</v>
      </c>
      <c r="BQ11" s="9">
        <v>0.8</v>
      </c>
      <c r="BR11" s="9">
        <v>0</v>
      </c>
      <c r="BS11" s="9">
        <v>18.8</v>
      </c>
      <c r="BT11" s="9">
        <v>8</v>
      </c>
      <c r="BU11" s="9">
        <v>0.6</v>
      </c>
      <c r="BV11" s="9">
        <v>0</v>
      </c>
      <c r="BW11" s="9"/>
      <c r="BX11" s="9"/>
      <c r="BY11" s="9"/>
      <c r="BZ11" s="9"/>
      <c r="CA11" s="9">
        <v>17.399999999999999</v>
      </c>
      <c r="CB11" s="9">
        <v>2.8</v>
      </c>
      <c r="CC11" s="9">
        <v>0</v>
      </c>
      <c r="CD11" s="9">
        <v>0</v>
      </c>
      <c r="CE11" s="9">
        <v>18.7</v>
      </c>
      <c r="CF11" s="9">
        <v>8</v>
      </c>
      <c r="CG11" s="9">
        <v>0</v>
      </c>
      <c r="CH11" s="9">
        <v>0</v>
      </c>
      <c r="CI11" s="18"/>
      <c r="CJ11" s="23">
        <f>IF(SUM(BO11:BP11,BR11:BT11,BV11)-BQ11-BU11&gt;0,SUM(BO11:BP11,BR11:BT11,BV11)-BQ11-BU11,"")</f>
        <v>50.1</v>
      </c>
      <c r="CK11" s="23" t="str">
        <f>IF(SUM(BW11:BX11,BZ11)-BY11&gt;0,SUM(BW11:BX11,BZ11)-BY11,"")</f>
        <v/>
      </c>
      <c r="CL11" s="23">
        <f>IF(SUM(CA11:CB11,CD11)-SUM(CC11)&gt;0,SUM(CA11:CB11,CD11)-SUM(CC11),"")</f>
        <v>20.2</v>
      </c>
      <c r="CM11" s="23">
        <f>IF(SUM(CA11:CB11,CD11:CF11,CH11)-SUM(CC11,CG11)&gt;0,SUM(CA11:CB11,CD11:CF11,CH11)-SUM(CC11,CG11),"")</f>
        <v>46.9</v>
      </c>
      <c r="CN11" s="23">
        <f>IF(SUM(CJ11,CM11)&gt;0,SUM(CJ11,CM11),"")</f>
        <v>97</v>
      </c>
    </row>
    <row r="12" spans="1:92" x14ac:dyDescent="0.2">
      <c r="A12" s="1" t="str" cm="1">
        <f t="array" ref="A12">IF(F12="P",SUMPRODUCT((F$4:F$18="P")*(E$4:E$18&gt;E12))+1,"")</f>
        <v/>
      </c>
      <c r="B12" s="2" t="s">
        <v>27</v>
      </c>
      <c r="C12" s="3" t="s">
        <v>4</v>
      </c>
      <c r="D12" s="7">
        <v>2003</v>
      </c>
      <c r="E12" s="5">
        <f>SUM(G12:N12)+SUM(G12:M12)*0.0000001+SUM(G12)*0.0000000000001</f>
        <v>164.20001642000511</v>
      </c>
      <c r="F12" s="30"/>
      <c r="G12" s="4">
        <f>IF(COUNT(AJ12,BJ12,CJ12)&gt;0,LARGE((AJ12,BJ12,CJ12),1),0)</f>
        <v>50.900000000000006</v>
      </c>
      <c r="H12" s="4" t="str">
        <f>IF(G12=0,"",IF(G12=CJ12,$BO$1,IF(G12=BJ12,$AO$1,IF(G12=AJ12,$O$1,""))))</f>
        <v>2022 WG Virtual Control Trial</v>
      </c>
      <c r="I12" s="4">
        <f>IF(COUNT(AJ12,BJ12,CJ12)&gt;1,LARGE((AJ12,BJ12,CJ12),2),0)</f>
        <v>49.900000000000013</v>
      </c>
      <c r="J12" s="4" t="str">
        <f>IF(I12=0,"",IF(I12=CJ12,$BO$1,IF(I12=BJ12,$AO$1,IF(I12=AJ12,$O$1,""))))</f>
        <v>2022 Elite Canada</v>
      </c>
      <c r="K12" s="4">
        <f>IF(MAX(AM12,BM12,CM12)&gt;0,MAX(AM12,BM12,CM12),0)</f>
        <v>42.999999999999993</v>
      </c>
      <c r="L12" s="4" t="str">
        <f>IF(K12=0,"",IF(K12=CM12,$BO$1,IF(K12=BM12,$AO$1,IF(K12=AM12,$O$1,""))))</f>
        <v>2022 Elite Canada</v>
      </c>
      <c r="M12" s="4">
        <f>IF(K12=CM12,MAX(BL12,AL12),IF(K12=BM12,MAX(CL12,AL12),IF(K12=AM12,MAX(CL12,BL12),0)))</f>
        <v>20.400000000000002</v>
      </c>
      <c r="N12" s="4" t="str">
        <f>IF(M12=0,"",IF(AND(M12=CL12,L12&lt;&gt;$BO$1),$BO$1,IF(AND(M12=BL12,L12&lt;&gt;$AO$1),$AO$1,IF(AND(M12=AL12,L12&lt;&gt;$O$1),$O$1,""))))</f>
        <v>2022 WG Virtual Control Trial</v>
      </c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9"/>
      <c r="AI12" s="18"/>
      <c r="AJ12" s="23" t="str">
        <f>IF(SUM(O12:P12,R12:T12,V12)-Q12-U12&gt;0,SUM(O12:P12,R12:T12,V12)-Q12-U12,"")</f>
        <v/>
      </c>
      <c r="AK12" s="23" t="str">
        <f>IF(SUM(W12:X12,Z12)-Y12&gt;0,SUM(W12:X12,Z12)-Y12,"")</f>
        <v/>
      </c>
      <c r="AL12" s="23" t="str">
        <f>IF(SUM(AA12:AB12,AD12)-SUM(AC12)&gt;0,SUM(AA12:AB12,AD12)-SUM(AC12),"")</f>
        <v/>
      </c>
      <c r="AM12" s="23" t="str">
        <f>IF(SUM(AA12:AB12,AD12:AF12,AH12)-SUM(AC12,AG12)&gt;0,SUM(AA12:AB12,AD12:AF12,AH12)-SUM(AC12,AG12),"")</f>
        <v/>
      </c>
      <c r="AN12" s="23" t="str">
        <f>IF(SUM(AJ12,AM12)&gt;0,SUM(AJ12,AM12),"")</f>
        <v/>
      </c>
      <c r="AO12" s="8">
        <v>18.600000000000001</v>
      </c>
      <c r="AP12" s="8">
        <v>7.6</v>
      </c>
      <c r="AQ12" s="8">
        <v>0.8</v>
      </c>
      <c r="AR12" s="8">
        <v>0</v>
      </c>
      <c r="AS12" s="8">
        <v>18.100000000000001</v>
      </c>
      <c r="AT12" s="8">
        <v>7.2</v>
      </c>
      <c r="AU12" s="8">
        <v>0.8</v>
      </c>
      <c r="AV12" s="8">
        <v>0</v>
      </c>
      <c r="AW12" s="8">
        <v>17.3</v>
      </c>
      <c r="AX12" s="8">
        <v>2.4</v>
      </c>
      <c r="AY12" s="8">
        <v>0</v>
      </c>
      <c r="AZ12" s="8">
        <v>0</v>
      </c>
      <c r="BA12" s="8">
        <v>18.5</v>
      </c>
      <c r="BB12" s="8">
        <v>6.8</v>
      </c>
      <c r="BC12" s="8">
        <v>0.2</v>
      </c>
      <c r="BD12" s="8">
        <v>0</v>
      </c>
      <c r="BE12" s="8">
        <v>18.5</v>
      </c>
      <c r="BF12" s="8">
        <v>2.8</v>
      </c>
      <c r="BG12" s="8">
        <v>3.4</v>
      </c>
      <c r="BH12" s="8">
        <v>0</v>
      </c>
      <c r="BI12" s="19"/>
      <c r="BJ12" s="6">
        <f>IF(SUM(AO12:AP12,AR12:AT12,AV12)-AQ12-AU12&gt;0,SUM(AO12:AP12,AR12:AT12,AV12)-AQ12-AU12,"")</f>
        <v>49.900000000000013</v>
      </c>
      <c r="BK12" s="6">
        <f>IF(SUM(AW12:AX12,AZ12)-AY12&gt;0,SUM(AW12:AX12,AZ12)-AY12,"")</f>
        <v>19.7</v>
      </c>
      <c r="BL12" s="6">
        <f>IF(SUM(BA12:BB12,BD12)-SUM(BC12)&gt;0,SUM(BA12:BB12,BD12)-SUM(BC12),"")</f>
        <v>25.1</v>
      </c>
      <c r="BM12" s="6">
        <f>IF(SUM(BA12:BB12,BD12:BF12,BH12)-SUM(BC12,BG12)&gt;0,SUM(BA12:BB12,BD12:BF12,BH12)-SUM(BC12,BG12),"")</f>
        <v>42.999999999999993</v>
      </c>
      <c r="BN12" s="6">
        <f>IF(SUM(BJ12,BM12)&gt;0,SUM(BJ12,BM12),"")</f>
        <v>92.9</v>
      </c>
      <c r="BO12" s="9">
        <v>19</v>
      </c>
      <c r="BP12" s="9">
        <v>8</v>
      </c>
      <c r="BQ12" s="9">
        <v>0.8</v>
      </c>
      <c r="BR12" s="9">
        <v>0.3</v>
      </c>
      <c r="BS12" s="9">
        <v>18.399999999999999</v>
      </c>
      <c r="BT12" s="9">
        <v>6.8</v>
      </c>
      <c r="BU12" s="9">
        <v>0.8</v>
      </c>
      <c r="BV12" s="9">
        <v>0</v>
      </c>
      <c r="BW12" s="9"/>
      <c r="BX12" s="9"/>
      <c r="BY12" s="9"/>
      <c r="BZ12" s="9"/>
      <c r="CA12" s="9">
        <v>17.600000000000001</v>
      </c>
      <c r="CB12" s="9">
        <v>2.8</v>
      </c>
      <c r="CC12" s="9">
        <v>0</v>
      </c>
      <c r="CD12" s="9">
        <v>0</v>
      </c>
      <c r="CE12" s="9">
        <v>18.8</v>
      </c>
      <c r="CF12" s="9">
        <v>4.5999999999999996</v>
      </c>
      <c r="CG12" s="9">
        <v>1.4</v>
      </c>
      <c r="CH12" s="9">
        <v>0</v>
      </c>
      <c r="CI12" s="18"/>
      <c r="CJ12" s="23">
        <f>IF(SUM(BO12:BP12,BR12:BT12,BV12)-BQ12-BU12&gt;0,SUM(BO12:BP12,BR12:BT12,BV12)-BQ12-BU12,"")</f>
        <v>50.900000000000006</v>
      </c>
      <c r="CK12" s="23" t="str">
        <f>IF(SUM(BW12:BX12,BZ12)-BY12&gt;0,SUM(BW12:BX12,BZ12)-BY12,"")</f>
        <v/>
      </c>
      <c r="CL12" s="23">
        <f>IF(SUM(CA12:CB12,CD12)-SUM(CC12)&gt;0,SUM(CA12:CB12,CD12)-SUM(CC12),"")</f>
        <v>20.400000000000002</v>
      </c>
      <c r="CM12" s="23">
        <f>IF(SUM(CA12:CB12,CD12:CF12,CH12)-SUM(CC12,CG12)&gt;0,SUM(CA12:CB12,CD12:CF12,CH12)-SUM(CC12,CG12),"")</f>
        <v>42.400000000000006</v>
      </c>
      <c r="CN12" s="23">
        <f>IF(SUM(CJ12,CM12)&gt;0,SUM(CJ12,CM12),"")</f>
        <v>93.300000000000011</v>
      </c>
    </row>
    <row r="13" spans="1:92" x14ac:dyDescent="0.2">
      <c r="A13" s="1" t="str" cm="1">
        <f t="array" ref="A13">IF(F13="P",SUMPRODUCT((F$4:F$18="P")*(E$4:E$18&gt;E13))+1,"")</f>
        <v/>
      </c>
      <c r="B13" s="2" t="s">
        <v>53</v>
      </c>
      <c r="C13" s="3" t="s">
        <v>5</v>
      </c>
      <c r="D13" s="7">
        <v>2005</v>
      </c>
      <c r="E13" s="5">
        <f>SUM(G13:N13)+SUM(G13:M13)*0.0000001+SUM(G13)*0.0000000000001</f>
        <v>162.30001623000496</v>
      </c>
      <c r="F13" s="30"/>
      <c r="G13" s="4">
        <f>IF(COUNT(AJ13,BJ13,CJ13)&gt;0,LARGE((AJ13,BJ13,CJ13),1),0)</f>
        <v>49.599999999999994</v>
      </c>
      <c r="H13" s="4" t="str">
        <f>IF(G13=0,"",IF(G13=CJ13,$BO$1,IF(G13=BJ13,$AO$1,IF(G13=AJ13,$O$1,""))))</f>
        <v>2022 WG Virtual Technical Trial</v>
      </c>
      <c r="I13" s="4">
        <f>IF(COUNT(AJ13,BJ13,CJ13)&gt;1,LARGE((AJ13,BJ13,CJ13),2),0)</f>
        <v>47.1</v>
      </c>
      <c r="J13" s="4" t="str">
        <f>IF(I13=0,"",IF(I13=CJ13,$BO$1,IF(I13=BJ13,$AO$1,IF(I13=AJ13,$O$1,""))))</f>
        <v>2022 Elite Canada</v>
      </c>
      <c r="K13" s="4">
        <f>IF(MAX(AM13,BM13,CM13)&gt;0,MAX(AM13,BM13,CM13),0)</f>
        <v>39.999999999999993</v>
      </c>
      <c r="L13" s="4" t="str">
        <f>IF(K13=0,"",IF(K13=CM13,$BO$1,IF(K13=BM13,$AO$1,IF(K13=AM13,$O$1,""))))</f>
        <v>2022 Elite Canada</v>
      </c>
      <c r="M13" s="4">
        <f>IF(K13=CM13,MAX(BL13,AL13),IF(K13=BM13,MAX(CL13,AL13),IF(K13=AM13,MAX(CL13,BL13),0)))</f>
        <v>25.6</v>
      </c>
      <c r="N13" s="4" t="str">
        <f>IF(M13=0,"",IF(AND(M13=CL13,L13&lt;&gt;$BO$1),$BO$1,IF(AND(M13=BL13,L13&lt;&gt;$AO$1),$AO$1,IF(AND(M13=AL13,L13&lt;&gt;$O$1),$O$1,""))))</f>
        <v>2022 WG Virtual Technical Trial</v>
      </c>
      <c r="O13" s="9">
        <v>18.600000000000001</v>
      </c>
      <c r="P13" s="9">
        <v>7.2</v>
      </c>
      <c r="Q13" s="9">
        <v>0.6</v>
      </c>
      <c r="R13" s="9">
        <v>0</v>
      </c>
      <c r="S13" s="9">
        <v>17.8</v>
      </c>
      <c r="T13" s="9">
        <v>6.8</v>
      </c>
      <c r="U13" s="9">
        <v>0.2</v>
      </c>
      <c r="V13" s="9">
        <v>0</v>
      </c>
      <c r="W13" s="9"/>
      <c r="X13" s="9"/>
      <c r="Y13" s="9"/>
      <c r="Z13" s="9"/>
      <c r="AA13" s="9">
        <v>18.600000000000001</v>
      </c>
      <c r="AB13" s="9">
        <v>7.2</v>
      </c>
      <c r="AC13" s="9">
        <v>0.2</v>
      </c>
      <c r="AD13" s="9">
        <v>0</v>
      </c>
      <c r="AE13" s="9">
        <v>0</v>
      </c>
      <c r="AF13" s="9">
        <v>0</v>
      </c>
      <c r="AG13" s="9">
        <v>0</v>
      </c>
      <c r="AH13" s="9">
        <v>0</v>
      </c>
      <c r="AI13" s="18"/>
      <c r="AJ13" s="23">
        <f>IF(SUM(O13:P13,R13:T13,V13)-Q13-U13&gt;0,SUM(O13:P13,R13:T13,V13)-Q13-U13,"")</f>
        <v>49.599999999999994</v>
      </c>
      <c r="AK13" s="23" t="str">
        <f>IF(SUM(W13:X13,Z13)-Y13&gt;0,SUM(W13:X13,Z13)-Y13,"")</f>
        <v/>
      </c>
      <c r="AL13" s="23">
        <f>IF(SUM(AA13:AB13,AD13)-SUM(AC13)&gt;0,SUM(AA13:AB13,AD13)-SUM(AC13),"")</f>
        <v>25.6</v>
      </c>
      <c r="AM13" s="23">
        <f>IF(SUM(AA13:AB13,AD13:AF13,AH13)-SUM(AC13,AG13)&gt;0,SUM(AA13:AB13,AD13:AF13,AH13)-SUM(AC13,AG13),"")</f>
        <v>25.6</v>
      </c>
      <c r="AN13" s="23">
        <f>IF(SUM(AJ13,AM13)&gt;0,SUM(AJ13,AM13),"")</f>
        <v>75.199999999999989</v>
      </c>
      <c r="AO13" s="8">
        <v>18.899999999999999</v>
      </c>
      <c r="AP13" s="8">
        <v>7.2</v>
      </c>
      <c r="AQ13" s="8">
        <v>0</v>
      </c>
      <c r="AR13" s="8">
        <v>0</v>
      </c>
      <c r="AS13" s="8">
        <v>17.399999999999999</v>
      </c>
      <c r="AT13" s="8">
        <v>3.6</v>
      </c>
      <c r="AU13" s="8">
        <v>0</v>
      </c>
      <c r="AV13" s="8">
        <v>0</v>
      </c>
      <c r="AW13" s="8">
        <v>18.899999999999999</v>
      </c>
      <c r="AX13" s="8">
        <v>6</v>
      </c>
      <c r="AY13" s="8">
        <v>0</v>
      </c>
      <c r="AZ13" s="8">
        <v>0</v>
      </c>
      <c r="BA13" s="8">
        <v>17.399999999999999</v>
      </c>
      <c r="BB13" s="8">
        <v>2.8</v>
      </c>
      <c r="BC13" s="8">
        <v>0</v>
      </c>
      <c r="BD13" s="8">
        <v>0</v>
      </c>
      <c r="BE13" s="8">
        <v>17.399999999999999</v>
      </c>
      <c r="BF13" s="8">
        <v>2.4</v>
      </c>
      <c r="BG13" s="8">
        <v>0</v>
      </c>
      <c r="BH13" s="8">
        <v>0</v>
      </c>
      <c r="BI13" s="19"/>
      <c r="BJ13" s="6">
        <f>IF(SUM(AO13:AP13,AR13:AT13,AV13)-AQ13-AU13&gt;0,SUM(AO13:AP13,AR13:AT13,AV13)-AQ13-AU13,"")</f>
        <v>47.1</v>
      </c>
      <c r="BK13" s="6">
        <f>IF(SUM(AW13:AX13,AZ13)-AY13&gt;0,SUM(AW13:AX13,AZ13)-AY13,"")</f>
        <v>24.9</v>
      </c>
      <c r="BL13" s="6">
        <f>IF(SUM(BA13:BB13,BD13)-SUM(BC13)&gt;0,SUM(BA13:BB13,BD13)-SUM(BC13),"")</f>
        <v>20.2</v>
      </c>
      <c r="BM13" s="6">
        <f>IF(SUM(BA13:BB13,BD13:BF13,BH13)-SUM(BC13,BG13)&gt;0,SUM(BA13:BB13,BD13:BF13,BH13)-SUM(BC13,BG13),"")</f>
        <v>39.999999999999993</v>
      </c>
      <c r="BN13" s="6">
        <f>IF(SUM(BJ13,BM13)&gt;0,SUM(BJ13,BM13),"")</f>
        <v>87.1</v>
      </c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18"/>
      <c r="CJ13" s="23" t="str">
        <f>IF(SUM(BO13:BP13,BR13:BT13,BV13)-BQ13-BU13&gt;0,SUM(BO13:BP13,BR13:BT13,BV13)-BQ13-BU13,"")</f>
        <v/>
      </c>
      <c r="CK13" s="23" t="str">
        <f>IF(SUM(BW13:BX13,BZ13)-BY13&gt;0,SUM(BW13:BX13,BZ13)-BY13,"")</f>
        <v/>
      </c>
      <c r="CL13" s="23" t="str">
        <f>IF(SUM(CA13:CB13,CD13)-SUM(CC13)&gt;0,SUM(CA13:CB13,CD13)-SUM(CC13),"")</f>
        <v/>
      </c>
      <c r="CM13" s="23" t="str">
        <f>IF(SUM(CA13:CB13,CD13:CF13,CH13)-SUM(CC13,CG13)&gt;0,SUM(CA13:CB13,CD13:CF13,CH13)-SUM(CC13,CG13),"")</f>
        <v/>
      </c>
      <c r="CN13" s="23" t="str">
        <f>IF(SUM(CJ13,CM13)&gt;0,SUM(CJ13,CM13),"")</f>
        <v/>
      </c>
    </row>
    <row r="14" spans="1:92" x14ac:dyDescent="0.2">
      <c r="A14" s="1" t="str" cm="1">
        <f t="array" ref="A14">IF(F14="P",SUMPRODUCT((F$4:F$18="P")*(E$4:E$18&gt;E14))+1,"")</f>
        <v/>
      </c>
      <c r="B14" s="2" t="s">
        <v>15</v>
      </c>
      <c r="C14" s="3" t="s">
        <v>6</v>
      </c>
      <c r="D14" s="7">
        <v>1998</v>
      </c>
      <c r="E14" s="5">
        <f>SUM(G14:N14)+SUM(G14:M14)*0.0000001+SUM(G14)*0.0000000000001</f>
        <v>158.70001587000502</v>
      </c>
      <c r="F14" s="30"/>
      <c r="G14" s="4">
        <f>IF(COUNT(AJ14,BJ14,CJ14)&gt;0,LARGE((AJ14,BJ14,CJ14),1),0)</f>
        <v>50.3</v>
      </c>
      <c r="H14" s="4" t="str">
        <f>IF(G14=0,"",IF(G14=CJ14,$BO$1,IF(G14=BJ14,$AO$1,IF(G14=AJ14,$O$1,""))))</f>
        <v>2022 Elite Canada</v>
      </c>
      <c r="I14" s="4">
        <f>IF(COUNT(AJ14,BJ14,CJ14)&gt;1,LARGE((AJ14,BJ14,CJ14),2),0)</f>
        <v>43.900000000000006</v>
      </c>
      <c r="J14" s="4" t="str">
        <f>IF(I14=0,"",IF(I14=CJ14,$BO$1,IF(I14=BJ14,$AO$1,IF(I14=AJ14,$O$1,""))))</f>
        <v>2022 WG Virtual Control Trial</v>
      </c>
      <c r="K14" s="4">
        <f>IF(MAX(AM14,BM14,CM14)&gt;0,MAX(AM14,BM14,CM14),0)</f>
        <v>44.8</v>
      </c>
      <c r="L14" s="4" t="str">
        <f>IF(K14=0,"",IF(K14=CM14,$BO$1,IF(K14=BM14,$AO$1,IF(K14=AM14,$O$1,""))))</f>
        <v>2022 WG Virtual Control Trial</v>
      </c>
      <c r="M14" s="4">
        <f>IF(K14=CM14,MAX(BL14,AL14),IF(K14=BM14,MAX(CL14,AL14),IF(K14=AM14,MAX(CL14,BL14),0)))</f>
        <v>19.7</v>
      </c>
      <c r="N14" s="4" t="str">
        <f>IF(M14=0,"",IF(AND(M14=CL14,L14&lt;&gt;$BO$1),$BO$1,IF(AND(M14=BL14,L14&lt;&gt;$AO$1),$AO$1,IF(AND(M14=AL14,L14&lt;&gt;$O$1),$O$1,""))))</f>
        <v>2022 Elite Canada</v>
      </c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9"/>
      <c r="AH14" s="9"/>
      <c r="AI14" s="18"/>
      <c r="AJ14" s="23" t="str">
        <f>IF(SUM(O14:P14,R14:T14,V14)-Q14-U14&gt;0,SUM(O14:P14,R14:T14,V14)-Q14-U14,"")</f>
        <v/>
      </c>
      <c r="AK14" s="23" t="str">
        <f>IF(SUM(W14:X14,Z14)-Y14&gt;0,SUM(W14:X14,Z14)-Y14,"")</f>
        <v/>
      </c>
      <c r="AL14" s="23" t="str">
        <f>IF(SUM(AA14:AB14,AD14)-SUM(AC14)&gt;0,SUM(AA14:AB14,AD14)-SUM(AC14),"")</f>
        <v/>
      </c>
      <c r="AM14" s="23" t="str">
        <f>IF(SUM(AA14:AB14,AD14:AF14,AH14)-SUM(AC14,AG14)&gt;0,SUM(AA14:AB14,AD14:AF14,AH14)-SUM(AC14,AG14),"")</f>
        <v/>
      </c>
      <c r="AN14" s="23" t="str">
        <f>IF(SUM(AJ14,AM14)&gt;0,SUM(AJ14,AM14),"")</f>
        <v/>
      </c>
      <c r="AO14" s="8">
        <v>18.2</v>
      </c>
      <c r="AP14" s="8">
        <v>7.2</v>
      </c>
      <c r="AQ14" s="8">
        <v>0.6</v>
      </c>
      <c r="AR14" s="8">
        <v>0</v>
      </c>
      <c r="AS14" s="8">
        <v>18.5</v>
      </c>
      <c r="AT14" s="8">
        <v>7.2</v>
      </c>
      <c r="AU14" s="8">
        <v>0.2</v>
      </c>
      <c r="AV14" s="8">
        <v>0</v>
      </c>
      <c r="AW14" s="8">
        <v>0</v>
      </c>
      <c r="AX14" s="8">
        <v>0</v>
      </c>
      <c r="AY14" s="8">
        <v>0</v>
      </c>
      <c r="AZ14" s="8">
        <v>0</v>
      </c>
      <c r="BA14" s="8">
        <v>18.3</v>
      </c>
      <c r="BB14" s="8">
        <v>3.7</v>
      </c>
      <c r="BC14" s="8">
        <v>2.2999999999999998</v>
      </c>
      <c r="BD14" s="8">
        <v>0</v>
      </c>
      <c r="BE14" s="8">
        <v>17.2</v>
      </c>
      <c r="BF14" s="8">
        <v>2.8</v>
      </c>
      <c r="BG14" s="8">
        <v>0</v>
      </c>
      <c r="BH14" s="8">
        <v>0</v>
      </c>
      <c r="BI14" s="19"/>
      <c r="BJ14" s="6">
        <f>IF(SUM(AO14:AP14,AR14:AT14,AV14)-AQ14-AU14&gt;0,SUM(AO14:AP14,AR14:AT14,AV14)-AQ14-AU14,"")</f>
        <v>50.3</v>
      </c>
      <c r="BK14" s="6" t="str">
        <f>IF(SUM(AW14:AX14,AZ14)-AY14&gt;0,SUM(AW14:AX14,AZ14)-AY14,"")</f>
        <v/>
      </c>
      <c r="BL14" s="6">
        <f>IF(SUM(BA14:BB14,BD14)-SUM(BC14)&gt;0,SUM(BA14:BB14,BD14)-SUM(BC14),"")</f>
        <v>19.7</v>
      </c>
      <c r="BM14" s="6">
        <f>IF(SUM(BA14:BB14,BD14:BF14,BH14)-SUM(BC14,BG14)&gt;0,SUM(BA14:BB14,BD14:BF14,BH14)-SUM(BC14,BG14),"")</f>
        <v>39.700000000000003</v>
      </c>
      <c r="BN14" s="6">
        <f>IF(SUM(BJ14,BM14)&gt;0,SUM(BJ14,BM14),"")</f>
        <v>90</v>
      </c>
      <c r="BO14" s="9">
        <v>17.5</v>
      </c>
      <c r="BP14" s="9">
        <v>2.8</v>
      </c>
      <c r="BQ14" s="9">
        <v>0</v>
      </c>
      <c r="BR14" s="9">
        <v>0</v>
      </c>
      <c r="BS14" s="9">
        <v>18.399999999999999</v>
      </c>
      <c r="BT14" s="9">
        <v>6</v>
      </c>
      <c r="BU14" s="9">
        <v>0.8</v>
      </c>
      <c r="BV14" s="9">
        <v>0</v>
      </c>
      <c r="BW14" s="9"/>
      <c r="BX14" s="9"/>
      <c r="BY14" s="9"/>
      <c r="BZ14" s="9"/>
      <c r="CA14" s="9">
        <v>17.600000000000001</v>
      </c>
      <c r="CB14" s="9">
        <v>2.8</v>
      </c>
      <c r="CC14" s="9">
        <v>0</v>
      </c>
      <c r="CD14" s="9">
        <v>0</v>
      </c>
      <c r="CE14" s="9">
        <v>18.2</v>
      </c>
      <c r="CF14" s="9">
        <v>6.8</v>
      </c>
      <c r="CG14" s="9">
        <v>0.6</v>
      </c>
      <c r="CH14" s="9">
        <v>0</v>
      </c>
      <c r="CI14" s="18"/>
      <c r="CJ14" s="23">
        <f>IF(SUM(BO14:BP14,BR14:BT14,BV14)-BQ14-BU14&gt;0,SUM(BO14:BP14,BR14:BT14,BV14)-BQ14-BU14,"")</f>
        <v>43.900000000000006</v>
      </c>
      <c r="CK14" s="23" t="str">
        <f>IF(SUM(BW14:BX14,BZ14)-BY14&gt;0,SUM(BW14:BX14,BZ14)-BY14,"")</f>
        <v/>
      </c>
      <c r="CL14" s="23">
        <f>IF(SUM(CA14:CB14,CD14)-SUM(CC14)&gt;0,SUM(CA14:CB14,CD14)-SUM(CC14),"")</f>
        <v>20.400000000000002</v>
      </c>
      <c r="CM14" s="23">
        <f>IF(SUM(CA14:CB14,CD14:CF14,CH14)-SUM(CC14,CG14)&gt;0,SUM(CA14:CB14,CD14:CF14,CH14)-SUM(CC14,CG14),"")</f>
        <v>44.8</v>
      </c>
      <c r="CN14" s="23">
        <f>IF(SUM(CJ14,CM14)&gt;0,SUM(CJ14,CM14),"")</f>
        <v>88.7</v>
      </c>
    </row>
    <row r="15" spans="1:92" x14ac:dyDescent="0.2">
      <c r="A15" s="1" t="str" cm="1">
        <f t="array" ref="A15">IF(F15="P",SUMPRODUCT((F$4:F$18="P")*(E$4:E$18&gt;E15))+1,"")</f>
        <v/>
      </c>
      <c r="B15" s="2" t="s">
        <v>28</v>
      </c>
      <c r="C15" s="3" t="s">
        <v>5</v>
      </c>
      <c r="D15" s="7">
        <v>2002</v>
      </c>
      <c r="E15" s="5">
        <f>SUM(G15:N15)+SUM(G15:M15)*0.0000001+SUM(G15)*0.0000000000001</f>
        <v>136.80001368000484</v>
      </c>
      <c r="F15" s="30"/>
      <c r="G15" s="4">
        <f>IF(COUNT(AJ15,BJ15,CJ15)&gt;0,LARGE((AJ15,BJ15,CJ15),1),0)</f>
        <v>48.2</v>
      </c>
      <c r="H15" s="4" t="str">
        <f>IF(G15=0,"",IF(G15=CJ15,$BO$1,IF(G15=BJ15,$AO$1,IF(G15=AJ15,$O$1,""))))</f>
        <v>2022 Elite Canada</v>
      </c>
      <c r="I15" s="4">
        <f>IF(COUNT(AJ15,BJ15,CJ15)&gt;1,LARGE((AJ15,BJ15,CJ15),2),0)</f>
        <v>45.79999999999999</v>
      </c>
      <c r="J15" s="4" t="str">
        <f>IF(I15=0,"",IF(I15=CJ15,$BO$1,IF(I15=BJ15,$AO$1,IF(I15=AJ15,$O$1,""))))</f>
        <v>2022 WG Virtual Technical Trial</v>
      </c>
      <c r="K15" s="4">
        <f>IF(MAX(AM15,BM15,CM15)&gt;0,MAX(AM15,BM15,CM15),0)</f>
        <v>42.8</v>
      </c>
      <c r="L15" s="4" t="str">
        <f>IF(K15=0,"",IF(K15=CM15,$BO$1,IF(K15=BM15,$AO$1,IF(K15=AM15,$O$1,""))))</f>
        <v>2022 Elite Canada</v>
      </c>
      <c r="M15" s="4">
        <f>IF(K15=CM15,MAX(BL15,AL15),IF(K15=BM15,MAX(CL15,AL15),IF(K15=AM15,MAX(CL15,BL15),0)))</f>
        <v>0</v>
      </c>
      <c r="N15" s="4" t="str">
        <f>IF(M15=0,"",IF(AND(M15=CL15,L15&lt;&gt;$BO$1),$BO$1,IF(AND(M15=BL15,L15&lt;&gt;$AO$1),$AO$1,IF(AND(M15=AL15,L15&lt;&gt;$O$1),$O$1,""))))</f>
        <v/>
      </c>
      <c r="O15" s="9">
        <v>18</v>
      </c>
      <c r="P15" s="9">
        <v>3.2</v>
      </c>
      <c r="Q15" s="9">
        <v>0</v>
      </c>
      <c r="R15" s="9">
        <v>0</v>
      </c>
      <c r="S15" s="9">
        <v>18.399999999999999</v>
      </c>
      <c r="T15" s="9">
        <v>6.4</v>
      </c>
      <c r="U15" s="9">
        <v>0.2</v>
      </c>
      <c r="V15" s="9">
        <v>0</v>
      </c>
      <c r="W15" s="9"/>
      <c r="X15" s="9"/>
      <c r="Y15" s="9"/>
      <c r="Z15" s="9"/>
      <c r="AA15" s="9">
        <v>0</v>
      </c>
      <c r="AB15" s="9">
        <v>0</v>
      </c>
      <c r="AC15" s="9">
        <v>0</v>
      </c>
      <c r="AD15" s="9">
        <v>0</v>
      </c>
      <c r="AE15" s="9">
        <v>0</v>
      </c>
      <c r="AF15" s="9">
        <v>0</v>
      </c>
      <c r="AG15" s="9">
        <v>0</v>
      </c>
      <c r="AH15" s="9">
        <v>0</v>
      </c>
      <c r="AI15" s="18"/>
      <c r="AJ15" s="23">
        <f>IF(SUM(O15:P15,R15:T15,V15)-Q15-U15&gt;0,SUM(O15:P15,R15:T15,V15)-Q15-U15,"")</f>
        <v>45.79999999999999</v>
      </c>
      <c r="AK15" s="23" t="str">
        <f>IF(SUM(W15:X15,Z15)-Y15&gt;0,SUM(W15:X15,Z15)-Y15,"")</f>
        <v/>
      </c>
      <c r="AL15" s="23" t="str">
        <f>IF(SUM(AA15:AB15,AD15)-SUM(AC15)&gt;0,SUM(AA15:AB15,AD15)-SUM(AC15),"")</f>
        <v/>
      </c>
      <c r="AM15" s="23" t="str">
        <f>IF(SUM(AA15:AB15,AD15:AF15,AH15)-SUM(AC15,AG15)&gt;0,SUM(AA15:AB15,AD15:AF15,AH15)-SUM(AC15,AG15),"")</f>
        <v/>
      </c>
      <c r="AN15" s="23">
        <f>IF(SUM(AJ15,AM15)&gt;0,SUM(AJ15,AM15),"")</f>
        <v>45.79999999999999</v>
      </c>
      <c r="AO15" s="8">
        <v>18.2</v>
      </c>
      <c r="AP15" s="8">
        <v>6</v>
      </c>
      <c r="AQ15" s="8">
        <v>0.8</v>
      </c>
      <c r="AR15" s="8">
        <v>0</v>
      </c>
      <c r="AS15" s="8">
        <v>19</v>
      </c>
      <c r="AT15" s="8">
        <v>6.4</v>
      </c>
      <c r="AU15" s="8">
        <v>0.6</v>
      </c>
      <c r="AV15" s="8">
        <v>0</v>
      </c>
      <c r="AW15" s="8">
        <v>18.100000000000001</v>
      </c>
      <c r="AX15" s="8">
        <v>4.0999999999999996</v>
      </c>
      <c r="AY15" s="8">
        <v>2.9</v>
      </c>
      <c r="AZ15" s="8">
        <v>0</v>
      </c>
      <c r="BA15" s="8">
        <v>17.7</v>
      </c>
      <c r="BB15" s="8">
        <v>3.7</v>
      </c>
      <c r="BC15" s="8">
        <v>2.2999999999999998</v>
      </c>
      <c r="BD15" s="8">
        <v>0</v>
      </c>
      <c r="BE15" s="8">
        <v>18.100000000000001</v>
      </c>
      <c r="BF15" s="8">
        <v>6.4</v>
      </c>
      <c r="BG15" s="8">
        <v>0.8</v>
      </c>
      <c r="BH15" s="8">
        <v>0</v>
      </c>
      <c r="BI15" s="19"/>
      <c r="BJ15" s="6">
        <f>IF(SUM(AO15:AP15,AR15:AT15,AV15)-AQ15-AU15&gt;0,SUM(AO15:AP15,AR15:AT15,AV15)-AQ15-AU15,"")</f>
        <v>48.2</v>
      </c>
      <c r="BK15" s="6">
        <f>IF(SUM(AW15:AX15,AZ15)-AY15&gt;0,SUM(AW15:AX15,AZ15)-AY15,"")</f>
        <v>19.300000000000004</v>
      </c>
      <c r="BL15" s="6">
        <f>IF(SUM(BA15:BB15,BD15)-SUM(BC15)&gt;0,SUM(BA15:BB15,BD15)-SUM(BC15),"")</f>
        <v>19.099999999999998</v>
      </c>
      <c r="BM15" s="6">
        <f>IF(SUM(BA15:BB15,BD15:BF15,BH15)-SUM(BC15,BG15)&gt;0,SUM(BA15:BB15,BD15:BF15,BH15)-SUM(BC15,BG15),"")</f>
        <v>42.8</v>
      </c>
      <c r="BN15" s="6">
        <f>IF(SUM(BJ15,BM15)&gt;0,SUM(BJ15,BM15),"")</f>
        <v>91</v>
      </c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18"/>
      <c r="CJ15" s="23" t="str">
        <f>IF(SUM(BO15:BP15,BR15:BT15,BV15)-BQ15-BU15&gt;0,SUM(BO15:BP15,BR15:BT15,BV15)-BQ15-BU15,"")</f>
        <v/>
      </c>
      <c r="CK15" s="23" t="str">
        <f>IF(SUM(BW15:BX15,BZ15)-BY15&gt;0,SUM(BW15:BX15,BZ15)-BY15,"")</f>
        <v/>
      </c>
      <c r="CL15" s="23" t="str">
        <f>IF(SUM(CA15:CB15,CD15)-SUM(CC15)&gt;0,SUM(CA15:CB15,CD15)-SUM(CC15),"")</f>
        <v/>
      </c>
      <c r="CM15" s="23" t="str">
        <f>IF(SUM(CA15:CB15,CD15:CF15,CH15)-SUM(CC15,CG15)&gt;0,SUM(CA15:CB15,CD15:CF15,CH15)-SUM(CC15,CG15),"")</f>
        <v/>
      </c>
      <c r="CN15" s="23" t="str">
        <f>IF(SUM(CJ15,CM15)&gt;0,SUM(CJ15,CM15),"")</f>
        <v/>
      </c>
    </row>
    <row r="16" spans="1:92" x14ac:dyDescent="0.2">
      <c r="A16" s="1" t="str" cm="1">
        <f t="array" ref="A16">IF(F16="P",SUMPRODUCT((F$4:F$18="P")*(E$4:E$18&gt;E16))+1,"")</f>
        <v/>
      </c>
      <c r="B16" s="2" t="s">
        <v>30</v>
      </c>
      <c r="C16" s="3" t="s">
        <v>6</v>
      </c>
      <c r="D16" s="7">
        <v>2000</v>
      </c>
      <c r="E16" s="5">
        <f>SUM(G16:N16)+SUM(G16:M16)*0.0000001+SUM(G16)*0.0000000000001</f>
        <v>90.900009090004843</v>
      </c>
      <c r="F16" s="30"/>
      <c r="G16" s="4">
        <f>IF(COUNT(AJ16,BJ16,CJ16)&gt;0,LARGE((AJ16,BJ16,CJ16),1),0)</f>
        <v>48.499999999999993</v>
      </c>
      <c r="H16" s="4" t="str">
        <f>IF(G16=0,"",IF(G16=CJ16,$BO$1,IF(G16=BJ16,$AO$1,IF(G16=AJ16,$O$1,""))))</f>
        <v>2022 Elite Canada</v>
      </c>
      <c r="I16" s="4">
        <f>IF(COUNT(AJ16,BJ16,CJ16)&gt;1,LARGE((AJ16,BJ16,CJ16),2),0)</f>
        <v>0</v>
      </c>
      <c r="J16" s="4" t="str">
        <f>IF(I16=0,"",IF(I16=CJ16,$BO$1,IF(I16=BJ16,$AO$1,IF(I16=AJ16,$O$1,""))))</f>
        <v/>
      </c>
      <c r="K16" s="4">
        <f>IF(MAX(AM16,BM16,CM16)&gt;0,MAX(AM16,BM16,CM16),0)</f>
        <v>42.4</v>
      </c>
      <c r="L16" s="4" t="str">
        <f>IF(K16=0,"",IF(K16=CM16,$BO$1,IF(K16=BM16,$AO$1,IF(K16=AM16,$O$1,""))))</f>
        <v>2022 Elite Canada</v>
      </c>
      <c r="M16" s="4">
        <f>IF(K16=CM16,MAX(BL16,AL16),IF(K16=BM16,MAX(CL16,AL16),IF(K16=AM16,MAX(CL16,BL16),0)))</f>
        <v>0</v>
      </c>
      <c r="N16" s="4" t="str">
        <f>IF(M16=0,"",IF(AND(M16=CL16,L16&lt;&gt;$BO$1),$BO$1,IF(AND(M16=BL16,L16&lt;&gt;$AO$1),$AO$1,IF(AND(M16=AL16,L16&lt;&gt;$O$1),$O$1,""))))</f>
        <v/>
      </c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18"/>
      <c r="AJ16" s="23" t="str">
        <f>IF(SUM(O16:P16,R16:T16,V16)-Q16-U16&gt;0,SUM(O16:P16,R16:T16,V16)-Q16-U16,"")</f>
        <v/>
      </c>
      <c r="AK16" s="23" t="str">
        <f>IF(SUM(W16:X16,Z16)-Y16&gt;0,SUM(W16:X16,Z16)-Y16,"")</f>
        <v/>
      </c>
      <c r="AL16" s="23" t="str">
        <f>IF(SUM(AA16:AB16,AD16)-SUM(AC16)&gt;0,SUM(AA16:AB16,AD16)-SUM(AC16),"")</f>
        <v/>
      </c>
      <c r="AM16" s="23" t="str">
        <f>IF(SUM(AA16:AB16,AD16:AF16,AH16)-SUM(AC16,AG16)&gt;0,SUM(AA16:AB16,AD16:AF16,AH16)-SUM(AC16,AG16),"")</f>
        <v/>
      </c>
      <c r="AN16" s="23" t="str">
        <f>IF(SUM(AJ16,AM16)&gt;0,SUM(AJ16,AM16),"")</f>
        <v/>
      </c>
      <c r="AO16" s="8">
        <v>18.2</v>
      </c>
      <c r="AP16" s="8">
        <v>6</v>
      </c>
      <c r="AQ16" s="8">
        <v>0.2</v>
      </c>
      <c r="AR16" s="8">
        <v>0</v>
      </c>
      <c r="AS16" s="8">
        <v>18.3</v>
      </c>
      <c r="AT16" s="8">
        <v>6.4</v>
      </c>
      <c r="AU16" s="8">
        <v>0.2</v>
      </c>
      <c r="AV16" s="8">
        <v>0</v>
      </c>
      <c r="AW16" s="8">
        <v>18.8</v>
      </c>
      <c r="AX16" s="8">
        <v>6.4</v>
      </c>
      <c r="AY16" s="8">
        <v>1</v>
      </c>
      <c r="AZ16" s="8">
        <v>0</v>
      </c>
      <c r="BA16" s="8">
        <v>18.3</v>
      </c>
      <c r="BB16" s="8">
        <v>5.6</v>
      </c>
      <c r="BC16" s="8">
        <v>0.6</v>
      </c>
      <c r="BD16" s="8">
        <v>0</v>
      </c>
      <c r="BE16" s="8">
        <v>17.899999999999999</v>
      </c>
      <c r="BF16" s="8">
        <v>3.7</v>
      </c>
      <c r="BG16" s="8">
        <v>2.5</v>
      </c>
      <c r="BH16" s="8">
        <v>0</v>
      </c>
      <c r="BI16" s="19"/>
      <c r="BJ16" s="6">
        <f>IF(SUM(AO16:AP16,AR16:AT16,AV16)-AQ16-AU16&gt;0,SUM(AO16:AP16,AR16:AT16,AV16)-AQ16-AU16,"")</f>
        <v>48.499999999999993</v>
      </c>
      <c r="BK16" s="6">
        <f>IF(SUM(AW16:AX16,AZ16)-AY16&gt;0,SUM(AW16:AX16,AZ16)-AY16,"")</f>
        <v>24.200000000000003</v>
      </c>
      <c r="BL16" s="6">
        <f>IF(SUM(BA16:BB16,BD16)-SUM(BC16)&gt;0,SUM(BA16:BB16,BD16)-SUM(BC16),"")</f>
        <v>23.299999999999997</v>
      </c>
      <c r="BM16" s="6">
        <f>IF(SUM(BA16:BB16,BD16:BF16,BH16)-SUM(BC16,BG16)&gt;0,SUM(BA16:BB16,BD16:BF16,BH16)-SUM(BC16,BG16),"")</f>
        <v>42.4</v>
      </c>
      <c r="BN16" s="6">
        <f>IF(SUM(BJ16,BM16)&gt;0,SUM(BJ16,BM16),"")</f>
        <v>90.899999999999991</v>
      </c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18"/>
      <c r="CJ16" s="23" t="str">
        <f>IF(SUM(BO16:BP16,BR16:BT16,BV16)-BQ16-BU16&gt;0,SUM(BO16:BP16,BR16:BT16,BV16)-BQ16-BU16,"")</f>
        <v/>
      </c>
      <c r="CK16" s="23" t="str">
        <f>IF(SUM(BW16:BX16,BZ16)-BY16&gt;0,SUM(BW16:BX16,BZ16)-BY16,"")</f>
        <v/>
      </c>
      <c r="CL16" s="23" t="str">
        <f>IF(SUM(CA16:CB16,CD16)-SUM(CC16)&gt;0,SUM(CA16:CB16,CD16)-SUM(CC16),"")</f>
        <v/>
      </c>
      <c r="CM16" s="23" t="str">
        <f>IF(SUM(CA16:CB16,CD16:CF16,CH16)-SUM(CC16,CG16)&gt;0,SUM(CA16:CB16,CD16:CF16,CH16)-SUM(CC16,CG16),"")</f>
        <v/>
      </c>
      <c r="CN16" s="23" t="str">
        <f>IF(SUM(CJ16,CM16)&gt;0,SUM(CJ16,CM16),"")</f>
        <v/>
      </c>
    </row>
    <row r="17" spans="1:92" x14ac:dyDescent="0.2">
      <c r="A17" s="1" t="str" cm="1">
        <f t="array" ref="A17">IF(F17="P",SUMPRODUCT((F$4:F$18="P")*(E$4:E$18&gt;E17))+1,"")</f>
        <v/>
      </c>
      <c r="B17" s="2" t="s">
        <v>63</v>
      </c>
      <c r="C17" s="3" t="s">
        <v>4</v>
      </c>
      <c r="D17" s="7">
        <v>2004</v>
      </c>
      <c r="E17" s="5">
        <f>SUM(G17:N17)+SUM(G17:M17)*0.0000001+SUM(G17)*0.0000000000001</f>
        <v>74.700007470002532</v>
      </c>
      <c r="F17" s="30"/>
      <c r="G17" s="4">
        <f>IF(COUNT(AJ17,BJ17,CJ17)&gt;0,LARGE((AJ17,BJ17,CJ17),1),0)</f>
        <v>25.499999999999996</v>
      </c>
      <c r="H17" s="4" t="str">
        <f>IF(G17=0,"",IF(G17=CJ17,$BO$1,IF(G17=BJ17,$AO$1,IF(G17=AJ17,$O$1,""))))</f>
        <v>2022 WG Virtual Control Trial</v>
      </c>
      <c r="I17" s="4">
        <f>IF(COUNT(AJ17,BJ17,CJ17)&gt;1,LARGE((AJ17,BJ17,CJ17),2),0)</f>
        <v>0</v>
      </c>
      <c r="J17" s="4" t="str">
        <f>IF(I17=0,"",IF(I17=CJ17,$BO$1,IF(I17=BJ17,$AO$1,IF(I17=AJ17,$O$1,""))))</f>
        <v/>
      </c>
      <c r="K17" s="4">
        <f>IF(MAX(AM17,BM17,CM17)&gt;0,MAX(AM17,BM17,CM17),0)</f>
        <v>49.199999999999996</v>
      </c>
      <c r="L17" s="4" t="str">
        <f>IF(K17=0,"",IF(K17=CM17,$BO$1,IF(K17=BM17,$AO$1,IF(K17=AM17,$O$1,""))))</f>
        <v>2022 WG Virtual Control Trial</v>
      </c>
      <c r="M17" s="4">
        <f>IF(K17=CM17,MAX(BL17,AL17),IF(K17=BM17,MAX(CL17,AL17),IF(K17=AM17,MAX(CL17,BL17),0)))</f>
        <v>0</v>
      </c>
      <c r="N17" s="4" t="str">
        <f>IF(M17=0,"",IF(AND(M17=CL17,L17&lt;&gt;$BO$1),$BO$1,IF(AND(M17=BL17,L17&lt;&gt;$AO$1),$AO$1,IF(AND(M17=AL17,L17&lt;&gt;$O$1),$O$1,""))))</f>
        <v/>
      </c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  <c r="AH17" s="9"/>
      <c r="AI17" s="18"/>
      <c r="AJ17" s="23" t="str">
        <f>IF(SUM(O17:P17,R17:T17,V17)-Q17-U17&gt;0,SUM(O17:P17,R17:T17,V17)-Q17-U17,"")</f>
        <v/>
      </c>
      <c r="AK17" s="23" t="str">
        <f>IF(SUM(W17:X17,Z17)-Y17&gt;0,SUM(W17:X17,Z17)-Y17,"")</f>
        <v/>
      </c>
      <c r="AL17" s="23" t="str">
        <f>IF(SUM(AA17:AB17,AD17)-SUM(AC17)&gt;0,SUM(AA17:AB17,AD17)-SUM(AC17),"")</f>
        <v/>
      </c>
      <c r="AM17" s="23" t="str">
        <f>IF(SUM(AA17:AB17,AD17:AF17,AH17)-SUM(AC17,AG17)&gt;0,SUM(AA17:AB17,AD17:AF17,AH17)-SUM(AC17,AG17),"")</f>
        <v/>
      </c>
      <c r="AN17" s="23" t="str">
        <f>IF(SUM(AJ17,AM17)&gt;0,SUM(AJ17,AM17),"")</f>
        <v/>
      </c>
      <c r="AO17" s="8"/>
      <c r="AP17" s="8"/>
      <c r="AQ17" s="8"/>
      <c r="AR17" s="8"/>
      <c r="AS17" s="8"/>
      <c r="AT17" s="8"/>
      <c r="AU17" s="8"/>
      <c r="AV17" s="8"/>
      <c r="AW17" s="8"/>
      <c r="AX17" s="8"/>
      <c r="AY17" s="8"/>
      <c r="AZ17" s="8"/>
      <c r="BA17" s="8"/>
      <c r="BB17" s="8"/>
      <c r="BC17" s="8"/>
      <c r="BD17" s="8"/>
      <c r="BE17" s="8"/>
      <c r="BF17" s="8"/>
      <c r="BG17" s="8"/>
      <c r="BH17" s="8"/>
      <c r="BI17" s="19"/>
      <c r="BJ17" s="6" t="str">
        <f>IF(SUM(AO17:AP17,AR17:AT17,AV17)-AQ17-AU17&gt;0,SUM(AO17:AP17,AR17:AT17,AV17)-AQ17-AU17,"")</f>
        <v/>
      </c>
      <c r="BK17" s="6" t="str">
        <f>IF(SUM(AW17:AX17,AZ17)-AY17&gt;0,SUM(AW17:AX17,AZ17)-AY17,"")</f>
        <v/>
      </c>
      <c r="BL17" s="6" t="str">
        <f>IF(SUM(BA17:BB17,BD17)-SUM(BC17)&gt;0,SUM(BA17:BB17,BD17)-SUM(BC17),"")</f>
        <v/>
      </c>
      <c r="BM17" s="6" t="str">
        <f>IF(SUM(BA17:BB17,BD17:BF17,BH17)-SUM(BC17,BG17)&gt;0,SUM(BA17:BB17,BD17:BF17,BH17)-SUM(BC17,BG17),"")</f>
        <v/>
      </c>
      <c r="BN17" s="6" t="str">
        <f>IF(SUM(BJ17,BM17)&gt;0,SUM(BJ17,BM17),"")</f>
        <v/>
      </c>
      <c r="BO17" s="9">
        <v>18.899999999999999</v>
      </c>
      <c r="BP17" s="9">
        <v>7.2</v>
      </c>
      <c r="BQ17" s="9">
        <v>0.6</v>
      </c>
      <c r="BR17" s="9">
        <v>0</v>
      </c>
      <c r="BS17" s="9">
        <v>0</v>
      </c>
      <c r="BT17" s="9">
        <v>0</v>
      </c>
      <c r="BU17" s="9">
        <v>0</v>
      </c>
      <c r="BV17" s="9">
        <v>0</v>
      </c>
      <c r="BW17" s="9"/>
      <c r="BX17" s="9"/>
      <c r="BY17" s="9"/>
      <c r="BZ17" s="9"/>
      <c r="CA17" s="9">
        <v>18.2</v>
      </c>
      <c r="CB17" s="9">
        <v>7.2</v>
      </c>
      <c r="CC17" s="9">
        <v>0.6</v>
      </c>
      <c r="CD17" s="9">
        <v>0</v>
      </c>
      <c r="CE17" s="9">
        <v>18.399999999999999</v>
      </c>
      <c r="CF17" s="9">
        <v>6.8</v>
      </c>
      <c r="CG17" s="9">
        <v>0.8</v>
      </c>
      <c r="CH17" s="9">
        <v>0</v>
      </c>
      <c r="CI17" s="18"/>
      <c r="CJ17" s="23">
        <f>IF(SUM(BO17:BP17,BR17:BT17,BV17)-BQ17-BU17&gt;0,SUM(BO17:BP17,BR17:BT17,BV17)-BQ17-BU17,"")</f>
        <v>25.499999999999996</v>
      </c>
      <c r="CK17" s="23" t="str">
        <f>IF(SUM(BW17:BX17,BZ17)-BY17&gt;0,SUM(BW17:BX17,BZ17)-BY17,"")</f>
        <v/>
      </c>
      <c r="CL17" s="23">
        <f>IF(SUM(CA17:CB17,CD17)-SUM(CC17)&gt;0,SUM(CA17:CB17,CD17)-SUM(CC17),"")</f>
        <v>24.799999999999997</v>
      </c>
      <c r="CM17" s="23">
        <f>IF(SUM(CA17:CB17,CD17:CF17,CH17)-SUM(CC17,CG17)&gt;0,SUM(CA17:CB17,CD17:CF17,CH17)-SUM(CC17,CG17),"")</f>
        <v>49.199999999999996</v>
      </c>
      <c r="CN17" s="23">
        <f>IF(SUM(CJ17,CM17)&gt;0,SUM(CJ17,CM17),"")</f>
        <v>74.699999999999989</v>
      </c>
    </row>
    <row r="18" spans="1:92" x14ac:dyDescent="0.2">
      <c r="A18" s="1" t="str" cm="1">
        <f t="array" ref="A18">IF(F18="P",SUMPRODUCT((F$4:F$18="P")*(E$4:E$18&gt;E18))+1,"")</f>
        <v/>
      </c>
      <c r="B18" s="2" t="s">
        <v>58</v>
      </c>
      <c r="C18" s="3" t="s">
        <v>6</v>
      </c>
      <c r="D18" s="7">
        <v>2005</v>
      </c>
      <c r="E18" s="5">
        <f>SUM(G18:N18)+SUM(G18:M18)*0.0000001+SUM(G18)*0.0000000000001</f>
        <v>20.000002000001999</v>
      </c>
      <c r="F18" s="30"/>
      <c r="G18" s="4">
        <f>IF(COUNT(AJ18,BJ18,CJ18)&gt;0,LARGE((AJ18,BJ18,CJ18),1),0)</f>
        <v>20</v>
      </c>
      <c r="H18" s="4" t="str">
        <f>IF(G18=0,"",IF(G18=CJ18,$BO$1,IF(G18=BJ18,$AO$1,IF(G18=AJ18,$O$1,""))))</f>
        <v>2022 Elite Canada</v>
      </c>
      <c r="I18" s="4">
        <f>IF(COUNT(AJ18,BJ18,CJ18)&gt;1,LARGE((AJ18,BJ18,CJ18),2),0)</f>
        <v>0</v>
      </c>
      <c r="J18" s="4" t="str">
        <f>IF(I18=0,"",IF(I18=CJ18,$BO$1,IF(I18=BJ18,$AO$1,IF(I18=AJ18,$O$1,""))))</f>
        <v/>
      </c>
      <c r="K18" s="4">
        <f>IF(MAX(AM18,BM18,CM18)&gt;0,MAX(AM18,BM18,CM18),0)</f>
        <v>0</v>
      </c>
      <c r="L18" s="4" t="str">
        <f>IF(K18=0,"",IF(K18=CM18,$BO$1,IF(K18=BM18,$AO$1,IF(K18=AM18,$O$1,""))))</f>
        <v/>
      </c>
      <c r="M18" s="4">
        <f>IF(K18=CM18,MAX(BL18,AL18),IF(K18=BM18,MAX(CL18,AL18),IF(K18=AM18,MAX(CL18,BL18),0)))</f>
        <v>0</v>
      </c>
      <c r="N18" s="4" t="str">
        <f>IF(M18=0,"",IF(AND(M18=CL18,L18&lt;&gt;$BO$1),$BO$1,IF(AND(M18=BL18,L18&lt;&gt;$AO$1),$AO$1,IF(AND(M18=AL18,L18&lt;&gt;$O$1),$O$1,""))))</f>
        <v/>
      </c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  <c r="AB18" s="9"/>
      <c r="AC18" s="9"/>
      <c r="AD18" s="9"/>
      <c r="AE18" s="9"/>
      <c r="AF18" s="9"/>
      <c r="AG18" s="9"/>
      <c r="AH18" s="9"/>
      <c r="AI18" s="18"/>
      <c r="AJ18" s="23" t="str">
        <f>IF(SUM(O18:P18,R18:T18,V18)-Q18-U18&gt;0,SUM(O18:P18,R18:T18,V18)-Q18-U18,"")</f>
        <v/>
      </c>
      <c r="AK18" s="23" t="str">
        <f>IF(SUM(W18:X18,Z18)-Y18&gt;0,SUM(W18:X18,Z18)-Y18,"")</f>
        <v/>
      </c>
      <c r="AL18" s="23" t="str">
        <f>IF(SUM(AA18:AB18,AD18)-SUM(AC18)&gt;0,SUM(AA18:AB18,AD18)-SUM(AC18),"")</f>
        <v/>
      </c>
      <c r="AM18" s="23" t="str">
        <f>IF(SUM(AA18:AB18,AD18:AF18,AH18)-SUM(AC18,AG18)&gt;0,SUM(AA18:AB18,AD18:AF18,AH18)-SUM(AC18,AG18),"")</f>
        <v/>
      </c>
      <c r="AN18" s="23" t="str">
        <f>IF(SUM(AJ18,AM18)&gt;0,SUM(AJ18,AM18),"")</f>
        <v/>
      </c>
      <c r="AO18" s="8">
        <v>17.600000000000001</v>
      </c>
      <c r="AP18" s="8">
        <v>2.4</v>
      </c>
      <c r="AQ18" s="8">
        <v>0</v>
      </c>
      <c r="AR18" s="8">
        <v>0</v>
      </c>
      <c r="AS18" s="8">
        <v>0</v>
      </c>
      <c r="AT18" s="8">
        <v>0</v>
      </c>
      <c r="AU18" s="8">
        <v>0</v>
      </c>
      <c r="AV18" s="8">
        <v>0</v>
      </c>
      <c r="AW18" s="8"/>
      <c r="AX18" s="8"/>
      <c r="AY18" s="8"/>
      <c r="AZ18" s="8"/>
      <c r="BA18" s="8"/>
      <c r="BB18" s="8"/>
      <c r="BC18" s="8"/>
      <c r="BD18" s="8"/>
      <c r="BE18" s="8"/>
      <c r="BF18" s="8"/>
      <c r="BG18" s="8"/>
      <c r="BH18" s="8"/>
      <c r="BI18" s="19"/>
      <c r="BJ18" s="6">
        <f>IF(SUM(AO18:AP18,AR18:AT18,AV18)-AQ18-AU18&gt;0,SUM(AO18:AP18,AR18:AT18,AV18)-AQ18-AU18,"")</f>
        <v>20</v>
      </c>
      <c r="BK18" s="6" t="str">
        <f>IF(SUM(AW18:AX18,AZ18)-AY18&gt;0,SUM(AW18:AX18,AZ18)-AY18,"")</f>
        <v/>
      </c>
      <c r="BL18" s="6" t="str">
        <f>IF(SUM(BA18:BB18,BD18)-SUM(BC18)&gt;0,SUM(BA18:BB18,BD18)-SUM(BC18),"")</f>
        <v/>
      </c>
      <c r="BM18" s="6" t="str">
        <f>IF(SUM(BA18:BB18,BD18:BF18,BH18)-SUM(BC18,BG18)&gt;0,SUM(BA18:BB18,BD18:BF18,BH18)-SUM(BC18,BG18),"")</f>
        <v/>
      </c>
      <c r="BN18" s="6">
        <f>IF(SUM(BJ18,BM18)&gt;0,SUM(BJ18,BM18),"")</f>
        <v>20</v>
      </c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18"/>
      <c r="CJ18" s="23" t="str">
        <f>IF(SUM(BO18:BP18,BR18:BT18,BV18)-BQ18-BU18&gt;0,SUM(BO18:BP18,BR18:BT18,BV18)-BQ18-BU18,"")</f>
        <v/>
      </c>
      <c r="CK18" s="23" t="str">
        <f>IF(SUM(BW18:BX18,BZ18)-BY18&gt;0,SUM(BW18:BX18,BZ18)-BY18,"")</f>
        <v/>
      </c>
      <c r="CL18" s="23" t="str">
        <f>IF(SUM(CA18:CB18,CD18)-SUM(CC18)&gt;0,SUM(CA18:CB18,CD18)-SUM(CC18),"")</f>
        <v/>
      </c>
      <c r="CM18" s="23" t="str">
        <f>IF(SUM(CA18:CB18,CD18:CF18,CH18)-SUM(CC18,CG18)&gt;0,SUM(CA18:CB18,CD18:CF18,CH18)-SUM(CC18,CG18),"")</f>
        <v/>
      </c>
      <c r="CN18" s="23" t="str">
        <f>IF(SUM(CJ18,CM18)&gt;0,SUM(CJ18,CM18),"")</f>
        <v/>
      </c>
    </row>
    <row r="20" spans="1:92" x14ac:dyDescent="0.2">
      <c r="A20" s="11"/>
      <c r="B20" s="11"/>
      <c r="C20" s="10"/>
    </row>
    <row r="21" spans="1:92" x14ac:dyDescent="0.2">
      <c r="A21" s="2"/>
      <c r="B21" s="2"/>
      <c r="C21" s="2"/>
    </row>
  </sheetData>
  <sheetProtection sheet="1" formatCells="0" formatColumns="0" formatRows="0"/>
  <autoFilter ref="A1:CN18" xr:uid="{BB9C3AB3-2D15-174E-B900-3E2F789706E1}">
    <filterColumn colId="14" showButton="0"/>
    <filterColumn colId="15" showButton="0"/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sortState xmlns:xlrd2="http://schemas.microsoft.com/office/spreadsheetml/2017/richdata2" ref="A4:CN18">
      <sortCondition descending="1" ref="F1:F19"/>
    </sortState>
  </autoFilter>
  <mergeCells count="32">
    <mergeCell ref="W2:Z2"/>
    <mergeCell ref="AA2:AD2"/>
    <mergeCell ref="AE2:AH2"/>
    <mergeCell ref="BS2:BV2"/>
    <mergeCell ref="BW2:BZ2"/>
    <mergeCell ref="CA2:CD2"/>
    <mergeCell ref="CE2:CH2"/>
    <mergeCell ref="AO2:AR2"/>
    <mergeCell ref="AS2:AV2"/>
    <mergeCell ref="L1:L3"/>
    <mergeCell ref="AW2:AZ2"/>
    <mergeCell ref="BA2:BD2"/>
    <mergeCell ref="BE2:BH2"/>
    <mergeCell ref="BO2:BR2"/>
    <mergeCell ref="M1:M3"/>
    <mergeCell ref="N1:N3"/>
    <mergeCell ref="O1:AN1"/>
    <mergeCell ref="AO1:BN1"/>
    <mergeCell ref="BO1:CN1"/>
    <mergeCell ref="O2:R2"/>
    <mergeCell ref="S2:V2"/>
    <mergeCell ref="A1:A3"/>
    <mergeCell ref="B1:B3"/>
    <mergeCell ref="C1:C3"/>
    <mergeCell ref="D1:D3"/>
    <mergeCell ref="E1:E3"/>
    <mergeCell ref="K1:K3"/>
    <mergeCell ref="F1:F3"/>
    <mergeCell ref="G1:G3"/>
    <mergeCell ref="H1:H3"/>
    <mergeCell ref="I1:I3"/>
    <mergeCell ref="J1:J3"/>
  </mergeCells>
  <conditionalFormatting sqref="H1:H1048576 J1:J1048576 L1:L1048576 N1:N1048576">
    <cfRule type="expression" dxfId="5" priority="1">
      <formula>IF(H1=$BO$1,1,0)</formula>
    </cfRule>
    <cfRule type="expression" dxfId="4" priority="2">
      <formula>IF(H1=$AO$1,1,0)</formula>
    </cfRule>
    <cfRule type="expression" dxfId="3" priority="3">
      <formula>IF(H1=$O$1,1,0)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F8EB92-EE84-5041-A150-E54E81AAA77A}">
  <sheetPr codeName="Sheet9"/>
  <dimension ref="A1:CN18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27.5" bestFit="1" customWidth="1"/>
    <col min="9" max="9" width="10.5" customWidth="1"/>
    <col min="10" max="10" width="27.5" bestFit="1" customWidth="1"/>
    <col min="12" max="12" width="27.5" bestFit="1" customWidth="1"/>
    <col min="14" max="14" width="27.5" bestFit="1" customWidth="1"/>
    <col min="15" max="35" width="10.83203125" hidden="1" customWidth="1"/>
    <col min="36" max="40" width="10.83203125" style="22" customWidth="1"/>
    <col min="41" max="61" width="10.83203125" hidden="1" customWidth="1"/>
    <col min="62" max="66" width="10.83203125" style="22" customWidth="1"/>
    <col min="67" max="87" width="10.83203125" hidden="1" customWidth="1"/>
    <col min="88" max="92" width="10.83203125" style="22" customWidth="1"/>
    <col min="93" max="109" width="10.83203125" customWidth="1"/>
  </cols>
  <sheetData>
    <row r="1" spans="1:92" ht="16" customHeight="1" x14ac:dyDescent="0.2">
      <c r="A1" s="34" t="s">
        <v>1</v>
      </c>
      <c r="B1" s="34" t="s">
        <v>12</v>
      </c>
      <c r="C1" s="34" t="s">
        <v>0</v>
      </c>
      <c r="D1" s="34" t="s">
        <v>19</v>
      </c>
      <c r="E1" s="34" t="s">
        <v>2</v>
      </c>
      <c r="F1" s="32" t="s">
        <v>46</v>
      </c>
      <c r="G1" s="33" t="s">
        <v>44</v>
      </c>
      <c r="H1" s="31" t="s">
        <v>16</v>
      </c>
      <c r="I1" s="33" t="s">
        <v>45</v>
      </c>
      <c r="J1" s="31" t="s">
        <v>16</v>
      </c>
      <c r="K1" s="31" t="s">
        <v>9</v>
      </c>
      <c r="L1" s="31" t="s">
        <v>16</v>
      </c>
      <c r="M1" s="31" t="s">
        <v>49</v>
      </c>
      <c r="N1" s="31" t="s">
        <v>16</v>
      </c>
      <c r="O1" s="39" t="s">
        <v>47</v>
      </c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40" t="s">
        <v>36</v>
      </c>
      <c r="AP1" s="40"/>
      <c r="AQ1" s="40"/>
      <c r="AR1" s="40"/>
      <c r="AS1" s="40"/>
      <c r="AT1" s="40"/>
      <c r="AU1" s="40"/>
      <c r="AV1" s="40"/>
      <c r="AW1" s="40"/>
      <c r="AX1" s="40"/>
      <c r="AY1" s="40"/>
      <c r="AZ1" s="40"/>
      <c r="BA1" s="40"/>
      <c r="BB1" s="40"/>
      <c r="BC1" s="40"/>
      <c r="BD1" s="40"/>
      <c r="BE1" s="40"/>
      <c r="BF1" s="40"/>
      <c r="BG1" s="40"/>
      <c r="BH1" s="40"/>
      <c r="BI1" s="40"/>
      <c r="BJ1" s="40"/>
      <c r="BK1" s="40"/>
      <c r="BL1" s="40"/>
      <c r="BM1" s="40"/>
      <c r="BN1" s="40"/>
      <c r="BO1" s="39" t="s">
        <v>48</v>
      </c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</row>
    <row r="2" spans="1:92" x14ac:dyDescent="0.2">
      <c r="A2" s="34"/>
      <c r="B2" s="34"/>
      <c r="C2" s="34"/>
      <c r="D2" s="34"/>
      <c r="E2" s="34"/>
      <c r="F2" s="32"/>
      <c r="G2" s="33"/>
      <c r="H2" s="31"/>
      <c r="I2" s="33"/>
      <c r="J2" s="31"/>
      <c r="K2" s="31"/>
      <c r="L2" s="31"/>
      <c r="M2" s="31"/>
      <c r="N2" s="31"/>
      <c r="O2" s="35" t="s">
        <v>37</v>
      </c>
      <c r="P2" s="35"/>
      <c r="Q2" s="35"/>
      <c r="R2" s="35"/>
      <c r="S2" s="35" t="s">
        <v>38</v>
      </c>
      <c r="T2" s="35"/>
      <c r="U2" s="35"/>
      <c r="V2" s="35"/>
      <c r="W2" s="35" t="s">
        <v>39</v>
      </c>
      <c r="X2" s="35"/>
      <c r="Y2" s="35"/>
      <c r="Z2" s="35"/>
      <c r="AA2" s="35" t="s">
        <v>40</v>
      </c>
      <c r="AB2" s="35"/>
      <c r="AC2" s="35"/>
      <c r="AD2" s="35"/>
      <c r="AE2" s="36" t="s">
        <v>41</v>
      </c>
      <c r="AF2" s="36"/>
      <c r="AG2" s="36"/>
      <c r="AH2" s="36"/>
      <c r="AI2" s="27"/>
      <c r="AJ2" s="27" t="s">
        <v>42</v>
      </c>
      <c r="AK2" s="27" t="s">
        <v>39</v>
      </c>
      <c r="AL2" s="27" t="s">
        <v>40</v>
      </c>
      <c r="AM2" s="27" t="s">
        <v>43</v>
      </c>
      <c r="AN2" s="27" t="s">
        <v>11</v>
      </c>
      <c r="AO2" s="37" t="s">
        <v>37</v>
      </c>
      <c r="AP2" s="37"/>
      <c r="AQ2" s="37"/>
      <c r="AR2" s="37"/>
      <c r="AS2" s="37" t="s">
        <v>38</v>
      </c>
      <c r="AT2" s="37"/>
      <c r="AU2" s="37"/>
      <c r="AV2" s="37"/>
      <c r="AW2" s="37" t="s">
        <v>39</v>
      </c>
      <c r="AX2" s="37"/>
      <c r="AY2" s="37"/>
      <c r="AZ2" s="37"/>
      <c r="BA2" s="37" t="s">
        <v>40</v>
      </c>
      <c r="BB2" s="37"/>
      <c r="BC2" s="37"/>
      <c r="BD2" s="37"/>
      <c r="BE2" s="38" t="s">
        <v>41</v>
      </c>
      <c r="BF2" s="38"/>
      <c r="BG2" s="38"/>
      <c r="BH2" s="38"/>
      <c r="BI2" s="26"/>
      <c r="BJ2" s="26" t="s">
        <v>42</v>
      </c>
      <c r="BK2" s="26" t="s">
        <v>39</v>
      </c>
      <c r="BL2" s="26" t="s">
        <v>40</v>
      </c>
      <c r="BM2" s="26" t="s">
        <v>43</v>
      </c>
      <c r="BN2" s="26" t="s">
        <v>11</v>
      </c>
      <c r="BO2" s="35" t="s">
        <v>37</v>
      </c>
      <c r="BP2" s="35"/>
      <c r="BQ2" s="35"/>
      <c r="BR2" s="35"/>
      <c r="BS2" s="35" t="s">
        <v>38</v>
      </c>
      <c r="BT2" s="35"/>
      <c r="BU2" s="35"/>
      <c r="BV2" s="35"/>
      <c r="BW2" s="35" t="s">
        <v>39</v>
      </c>
      <c r="BX2" s="35"/>
      <c r="BY2" s="35"/>
      <c r="BZ2" s="35"/>
      <c r="CA2" s="35" t="s">
        <v>40</v>
      </c>
      <c r="CB2" s="35"/>
      <c r="CC2" s="35"/>
      <c r="CD2" s="35"/>
      <c r="CE2" s="36" t="s">
        <v>41</v>
      </c>
      <c r="CF2" s="36"/>
      <c r="CG2" s="36"/>
      <c r="CH2" s="36"/>
      <c r="CI2" s="27"/>
      <c r="CJ2" s="27" t="s">
        <v>42</v>
      </c>
      <c r="CK2" s="27" t="s">
        <v>39</v>
      </c>
      <c r="CL2" s="27" t="s">
        <v>40</v>
      </c>
      <c r="CM2" s="27" t="s">
        <v>43</v>
      </c>
      <c r="CN2" s="27" t="s">
        <v>11</v>
      </c>
    </row>
    <row r="3" spans="1:92" x14ac:dyDescent="0.2">
      <c r="A3" s="34"/>
      <c r="B3" s="34"/>
      <c r="C3" s="34"/>
      <c r="D3" s="34"/>
      <c r="E3" s="34"/>
      <c r="F3" s="32"/>
      <c r="G3" s="33"/>
      <c r="H3" s="31"/>
      <c r="I3" s="33"/>
      <c r="J3" s="31"/>
      <c r="K3" s="31"/>
      <c r="L3" s="31"/>
      <c r="M3" s="31"/>
      <c r="N3" s="31"/>
      <c r="O3" s="27" t="s">
        <v>10</v>
      </c>
      <c r="P3" s="27" t="s">
        <v>8</v>
      </c>
      <c r="Q3" s="27" t="s">
        <v>13</v>
      </c>
      <c r="R3" s="27" t="s">
        <v>14</v>
      </c>
      <c r="S3" s="27" t="s">
        <v>10</v>
      </c>
      <c r="T3" s="27" t="s">
        <v>8</v>
      </c>
      <c r="U3" s="27" t="s">
        <v>13</v>
      </c>
      <c r="V3" s="27" t="s">
        <v>14</v>
      </c>
      <c r="W3" s="27" t="s">
        <v>10</v>
      </c>
      <c r="X3" s="27" t="s">
        <v>8</v>
      </c>
      <c r="Y3" s="27" t="s">
        <v>13</v>
      </c>
      <c r="Z3" s="27" t="s">
        <v>14</v>
      </c>
      <c r="AA3" s="27" t="s">
        <v>10</v>
      </c>
      <c r="AB3" s="27" t="s">
        <v>8</v>
      </c>
      <c r="AC3" s="27" t="s">
        <v>13</v>
      </c>
      <c r="AD3" s="27" t="s">
        <v>14</v>
      </c>
      <c r="AE3" s="28" t="s">
        <v>10</v>
      </c>
      <c r="AF3" s="28" t="s">
        <v>8</v>
      </c>
      <c r="AG3" s="28" t="s">
        <v>13</v>
      </c>
      <c r="AH3" s="28" t="s">
        <v>14</v>
      </c>
      <c r="AI3" s="27" t="s">
        <v>18</v>
      </c>
      <c r="AJ3" s="27"/>
      <c r="AK3" s="27"/>
      <c r="AL3" s="27"/>
      <c r="AM3" s="27"/>
      <c r="AN3" s="27"/>
      <c r="AO3" s="26" t="s">
        <v>10</v>
      </c>
      <c r="AP3" s="26" t="s">
        <v>8</v>
      </c>
      <c r="AQ3" s="26" t="s">
        <v>13</v>
      </c>
      <c r="AR3" s="26" t="s">
        <v>14</v>
      </c>
      <c r="AS3" s="26" t="s">
        <v>10</v>
      </c>
      <c r="AT3" s="26" t="s">
        <v>8</v>
      </c>
      <c r="AU3" s="26" t="s">
        <v>13</v>
      </c>
      <c r="AV3" s="26" t="s">
        <v>14</v>
      </c>
      <c r="AW3" s="26" t="s">
        <v>10</v>
      </c>
      <c r="AX3" s="26" t="s">
        <v>8</v>
      </c>
      <c r="AY3" s="26" t="s">
        <v>13</v>
      </c>
      <c r="AZ3" s="26" t="s">
        <v>14</v>
      </c>
      <c r="BA3" s="26" t="s">
        <v>10</v>
      </c>
      <c r="BB3" s="26" t="s">
        <v>8</v>
      </c>
      <c r="BC3" s="26" t="s">
        <v>13</v>
      </c>
      <c r="BD3" s="26" t="s">
        <v>14</v>
      </c>
      <c r="BE3" s="29" t="s">
        <v>10</v>
      </c>
      <c r="BF3" s="29" t="s">
        <v>8</v>
      </c>
      <c r="BG3" s="29" t="s">
        <v>13</v>
      </c>
      <c r="BH3" s="29" t="s">
        <v>14</v>
      </c>
      <c r="BI3" s="26" t="s">
        <v>18</v>
      </c>
      <c r="BJ3" s="26"/>
      <c r="BK3" s="26"/>
      <c r="BL3" s="26"/>
      <c r="BM3" s="26"/>
      <c r="BN3" s="26"/>
      <c r="BO3" s="27" t="s">
        <v>10</v>
      </c>
      <c r="BP3" s="27" t="s">
        <v>8</v>
      </c>
      <c r="BQ3" s="27" t="s">
        <v>13</v>
      </c>
      <c r="BR3" s="27" t="s">
        <v>14</v>
      </c>
      <c r="BS3" s="27" t="s">
        <v>10</v>
      </c>
      <c r="BT3" s="27" t="s">
        <v>8</v>
      </c>
      <c r="BU3" s="27" t="s">
        <v>13</v>
      </c>
      <c r="BV3" s="27" t="s">
        <v>14</v>
      </c>
      <c r="BW3" s="27" t="s">
        <v>10</v>
      </c>
      <c r="BX3" s="27" t="s">
        <v>8</v>
      </c>
      <c r="BY3" s="27" t="s">
        <v>13</v>
      </c>
      <c r="BZ3" s="27" t="s">
        <v>14</v>
      </c>
      <c r="CA3" s="27" t="s">
        <v>10</v>
      </c>
      <c r="CB3" s="27" t="s">
        <v>8</v>
      </c>
      <c r="CC3" s="27" t="s">
        <v>13</v>
      </c>
      <c r="CD3" s="27" t="s">
        <v>14</v>
      </c>
      <c r="CE3" s="28" t="s">
        <v>10</v>
      </c>
      <c r="CF3" s="28" t="s">
        <v>8</v>
      </c>
      <c r="CG3" s="28" t="s">
        <v>13</v>
      </c>
      <c r="CH3" s="28" t="s">
        <v>14</v>
      </c>
      <c r="CI3" s="27" t="s">
        <v>18</v>
      </c>
      <c r="CJ3" s="27"/>
      <c r="CK3" s="27"/>
      <c r="CL3" s="27"/>
      <c r="CM3" s="27"/>
      <c r="CN3" s="27"/>
    </row>
    <row r="4" spans="1:92" x14ac:dyDescent="0.2">
      <c r="A4" s="1" cm="1">
        <f t="array" ref="A4">IF(F4="P",SUMPRODUCT((F$4:F$15="P")*(E$4:E$15&gt;E4))+1,"")</f>
        <v>1</v>
      </c>
      <c r="B4" s="2" t="s">
        <v>20</v>
      </c>
      <c r="C4" s="3" t="s">
        <v>5</v>
      </c>
      <c r="D4" s="7">
        <v>2001</v>
      </c>
      <c r="E4" s="5">
        <f>SUM(G4:N4)+SUM(G4:M4)*0.0000001+SUM(G4)*0.0000000000001</f>
        <v>177.90001779000505</v>
      </c>
      <c r="F4" s="30" t="s">
        <v>55</v>
      </c>
      <c r="G4" s="4">
        <f>IF(COUNT(AJ4,BJ4,CJ4)&gt;0,LARGE((AJ4,BJ4,CJ4),1),0)</f>
        <v>50.999999999999993</v>
      </c>
      <c r="H4" s="4" t="str">
        <f>IF(G4=0,"",IF(G4=CJ4,$BO$1,IF(G4=BJ4,$AO$1,IF(G4=AJ4,$O$1,""))))</f>
        <v>2022 WG Virtual Technical Trial</v>
      </c>
      <c r="I4" s="4">
        <f>IF(COUNT(AJ4,BJ4,CJ4)&gt;1,LARGE((AJ4,BJ4,CJ4),2),0)</f>
        <v>50.8</v>
      </c>
      <c r="J4" s="4" t="str">
        <f>IF(I4=0,"",IF(I4=CJ4,$BO$1,IF(I4=BJ4,$AO$1,IF(I4=AJ4,$O$1,""))))</f>
        <v>2022 Elite Canada</v>
      </c>
      <c r="K4" s="4">
        <f>IF(MAX(AM4,BM4,CM4)&gt;0,MAX(AM4,BM4,CM4),0)</f>
        <v>50.5</v>
      </c>
      <c r="L4" s="4" t="str">
        <f>IF(K4=0,"",IF(K4=CM4,$BO$1,IF(K4=BM4,$AO$1,IF(K4=AM4,$O$1,""))))</f>
        <v>2022 Elite Canada</v>
      </c>
      <c r="M4" s="4">
        <f>IF(K4=CM4,MAX(BL4,AL4),IF(K4=BM4,MAX(CL4,AL4),IF(K4=AM4,MAX(CL4,BL4),0)))</f>
        <v>25.6</v>
      </c>
      <c r="N4" s="4" t="str">
        <f>IF(M4=0,"",IF(AND(M4=CL4,L4&lt;&gt;$BO$1),$BO$1,IF(AND(M4=BL4,L4&lt;&gt;$AO$1),$AO$1,IF(AND(M4=AL4,L4&lt;&gt;$O$1),$O$1,""))))</f>
        <v>2022 WG Virtual Control Trial</v>
      </c>
      <c r="O4" s="9">
        <v>18.8</v>
      </c>
      <c r="P4" s="9">
        <v>6.8</v>
      </c>
      <c r="Q4" s="9">
        <v>0.6</v>
      </c>
      <c r="R4" s="9">
        <v>0.3</v>
      </c>
      <c r="S4" s="9">
        <v>18.8</v>
      </c>
      <c r="T4" s="9">
        <v>6.8</v>
      </c>
      <c r="U4" s="9">
        <v>0.2</v>
      </c>
      <c r="V4" s="9">
        <v>0.3</v>
      </c>
      <c r="W4" s="9"/>
      <c r="X4" s="9"/>
      <c r="Y4" s="9"/>
      <c r="Z4" s="9"/>
      <c r="AA4" s="9">
        <v>18.399999999999999</v>
      </c>
      <c r="AB4" s="9">
        <v>4.4000000000000004</v>
      </c>
      <c r="AC4" s="9">
        <v>1</v>
      </c>
      <c r="AD4" s="9">
        <v>0</v>
      </c>
      <c r="AE4" s="9">
        <v>18.600000000000001</v>
      </c>
      <c r="AF4" s="9">
        <v>6.8</v>
      </c>
      <c r="AG4" s="9">
        <v>0</v>
      </c>
      <c r="AH4" s="9">
        <v>0.3</v>
      </c>
      <c r="AI4" s="18"/>
      <c r="AJ4" s="23">
        <f>IF(SUM(O4:P4,R4:T4,V4)-Q4-U4&gt;0,SUM(O4:P4,R4:T4,V4)-Q4-U4,"")</f>
        <v>50.999999999999993</v>
      </c>
      <c r="AK4" s="23" t="str">
        <f>IF(SUM(W4:X4,Z4)-Y4&gt;0,SUM(W4:X4,Z4)-Y4,"")</f>
        <v/>
      </c>
      <c r="AL4" s="23">
        <f>IF(SUM(AA4:AB4,AD4)-SUM(AC4)&gt;0,SUM(AA4:AB4,AD4)-SUM(AC4),"")</f>
        <v>21.799999999999997</v>
      </c>
      <c r="AM4" s="23">
        <f>IF(SUM(AA4:AB4,AD4:AF4,AH4)-SUM(AC4,AG4)&gt;0,SUM(AA4:AB4,AD4:AF4,AH4)-SUM(AC4,AG4),"")</f>
        <v>47.499999999999993</v>
      </c>
      <c r="AN4" s="23">
        <f>IF(SUM(AJ4,AM4)&gt;0,SUM(AJ4,AM4),"")</f>
        <v>98.499999999999986</v>
      </c>
      <c r="AO4" s="8">
        <v>18.8</v>
      </c>
      <c r="AP4" s="8">
        <v>6.8</v>
      </c>
      <c r="AQ4" s="8">
        <v>0</v>
      </c>
      <c r="AR4" s="8">
        <v>0.3</v>
      </c>
      <c r="AS4" s="8">
        <v>18.600000000000001</v>
      </c>
      <c r="AT4" s="8">
        <v>6.8</v>
      </c>
      <c r="AU4" s="8">
        <v>0.8</v>
      </c>
      <c r="AV4" s="8">
        <v>0.3</v>
      </c>
      <c r="AW4" s="8">
        <v>18.5</v>
      </c>
      <c r="AX4" s="8">
        <v>5.6</v>
      </c>
      <c r="AY4" s="8">
        <v>0.6</v>
      </c>
      <c r="AZ4" s="8">
        <v>0</v>
      </c>
      <c r="BA4" s="8">
        <v>18.100000000000001</v>
      </c>
      <c r="BB4" s="8">
        <v>6.8</v>
      </c>
      <c r="BC4" s="8">
        <v>0.2</v>
      </c>
      <c r="BD4" s="8">
        <v>0.6</v>
      </c>
      <c r="BE4" s="8">
        <v>18.8</v>
      </c>
      <c r="BF4" s="8">
        <v>6.4</v>
      </c>
      <c r="BG4" s="8">
        <v>0</v>
      </c>
      <c r="BH4" s="8">
        <v>0</v>
      </c>
      <c r="BI4" s="19"/>
      <c r="BJ4" s="6">
        <f>IF(SUM(AO4:AP4,AR4:AT4,AV4)-AQ4-AU4&gt;0,SUM(AO4:AP4,AR4:AT4,AV4)-AQ4-AU4,"")</f>
        <v>50.8</v>
      </c>
      <c r="BK4" s="6">
        <f>IF(SUM(AW4:AX4,AZ4)-AY4&gt;0,SUM(AW4:AX4,AZ4)-AY4,"")</f>
        <v>23.5</v>
      </c>
      <c r="BL4" s="6">
        <f>IF(SUM(BA4:BB4,BD4)-SUM(BC4)&gt;0,SUM(BA4:BB4,BD4)-SUM(BC4),"")</f>
        <v>25.300000000000004</v>
      </c>
      <c r="BM4" s="6">
        <f>IF(SUM(BA4:BB4,BD4:BF4,BH4)-SUM(BC4,BG4)&gt;0,SUM(BA4:BB4,BD4:BF4,BH4)-SUM(BC4,BG4),"")</f>
        <v>50.5</v>
      </c>
      <c r="BN4" s="6">
        <f>IF(SUM(BJ4,BM4)&gt;0,SUM(BJ4,BM4),"")</f>
        <v>101.3</v>
      </c>
      <c r="BO4" s="9">
        <v>18.399999999999999</v>
      </c>
      <c r="BP4" s="9">
        <v>6</v>
      </c>
      <c r="BQ4" s="9">
        <v>0</v>
      </c>
      <c r="BR4" s="9">
        <v>0.3</v>
      </c>
      <c r="BS4" s="9">
        <v>18.8</v>
      </c>
      <c r="BT4" s="9">
        <v>6.8</v>
      </c>
      <c r="BU4" s="9">
        <v>0</v>
      </c>
      <c r="BV4" s="9">
        <v>0.3</v>
      </c>
      <c r="BW4" s="9"/>
      <c r="BX4" s="9"/>
      <c r="BY4" s="9"/>
      <c r="BZ4" s="9"/>
      <c r="CA4" s="9">
        <v>18.7</v>
      </c>
      <c r="CB4" s="9">
        <v>6.8</v>
      </c>
      <c r="CC4" s="9">
        <v>0.2</v>
      </c>
      <c r="CD4" s="9">
        <v>0.3</v>
      </c>
      <c r="CE4" s="9">
        <v>18</v>
      </c>
      <c r="CF4" s="9">
        <v>6.4</v>
      </c>
      <c r="CG4" s="9">
        <v>0.2</v>
      </c>
      <c r="CH4" s="9">
        <v>0.3</v>
      </c>
      <c r="CI4" s="18"/>
      <c r="CJ4" s="23">
        <f>IF(SUM(BO4:BP4,BR4:BT4,BV4)-BQ4-BU4&gt;0,SUM(BO4:BP4,BR4:BT4,BV4)-BQ4-BU4,"")</f>
        <v>50.599999999999994</v>
      </c>
      <c r="CK4" s="23" t="str">
        <f>IF(SUM(BW4:BX4,BZ4)-BY4&gt;0,SUM(BW4:BX4,BZ4)-BY4,"")</f>
        <v/>
      </c>
      <c r="CL4" s="23">
        <f>IF(SUM(CA4:CB4,CD4)-SUM(CC4)&gt;0,SUM(CA4:CB4,CD4)-SUM(CC4),"")</f>
        <v>25.6</v>
      </c>
      <c r="CM4" s="23">
        <f>IF(SUM(CA4:CB4,CD4:CF4,CH4)-SUM(CC4,CG4)&gt;0,SUM(CA4:CB4,CD4:CF4,CH4)-SUM(CC4,CG4),"")</f>
        <v>50.099999999999994</v>
      </c>
      <c r="CN4" s="23">
        <f>IF(SUM(CJ4,CM4)&gt;0,SUM(CJ4,CM4),"")</f>
        <v>100.69999999999999</v>
      </c>
    </row>
    <row r="5" spans="1:92" x14ac:dyDescent="0.2">
      <c r="A5" s="1" cm="1">
        <f t="array" ref="A5">IF(F5="P",SUMPRODUCT((F$4:F$15="P")*(E$4:E$15&gt;E5))+1,"")</f>
        <v>2</v>
      </c>
      <c r="B5" s="2" t="s">
        <v>33</v>
      </c>
      <c r="C5" s="3" t="s">
        <v>17</v>
      </c>
      <c r="D5" s="7">
        <v>2002</v>
      </c>
      <c r="E5" s="5">
        <f>SUM(G5:N5)+SUM(G5:M5)*0.0000001+SUM(G5)*0.0000000000001</f>
        <v>173.60001736000513</v>
      </c>
      <c r="F5" s="30" t="s">
        <v>55</v>
      </c>
      <c r="G5" s="4">
        <f>IF(COUNT(AJ5,BJ5,CJ5)&gt;0,LARGE((AJ5,BJ5,CJ5),1),0)</f>
        <v>51.399999999999991</v>
      </c>
      <c r="H5" s="4" t="str">
        <f>IF(G5=0,"",IF(G5=CJ5,$BO$1,IF(G5=BJ5,$AO$1,IF(G5=AJ5,$O$1,""))))</f>
        <v>2022 WG Virtual Control Trial</v>
      </c>
      <c r="I5" s="4">
        <f>IF(COUNT(AJ5,BJ5,CJ5)&gt;1,LARGE((AJ5,BJ5,CJ5),2),0)</f>
        <v>48.5</v>
      </c>
      <c r="J5" s="4" t="str">
        <f>IF(I5=0,"",IF(I5=CJ5,$BO$1,IF(I5=BJ5,$AO$1,IF(I5=AJ5,$O$1,""))))</f>
        <v>2022 Elite Canada</v>
      </c>
      <c r="K5" s="4">
        <f>IF(MAX(AM5,BM5,CM5)&gt;0,MAX(AM5,BM5,CM5),0)</f>
        <v>49.8</v>
      </c>
      <c r="L5" s="4" t="str">
        <f>IF(K5=0,"",IF(K5=CM5,$BO$1,IF(K5=BM5,$AO$1,IF(K5=AM5,$O$1,""))))</f>
        <v>2022 Elite Canada</v>
      </c>
      <c r="M5" s="4">
        <f>IF(K5=CM5,MAX(BL5,AL5),IF(K5=BM5,MAX(CL5,AL5),IF(K5=AM5,MAX(CL5,BL5),0)))</f>
        <v>23.9</v>
      </c>
      <c r="N5" s="4" t="str">
        <f>IF(M5=0,"",IF(AND(M5=CL5,L5&lt;&gt;$BO$1),$BO$1,IF(AND(M5=BL5,L5&lt;&gt;$AO$1),$AO$1,IF(AND(M5=AL5,L5&lt;&gt;$O$1),$O$1,""))))</f>
        <v>2022 WG Virtual Technical Trial</v>
      </c>
      <c r="O5" s="9">
        <v>18.399999999999999</v>
      </c>
      <c r="P5" s="9">
        <v>5.6</v>
      </c>
      <c r="Q5" s="9">
        <v>0.8</v>
      </c>
      <c r="R5" s="9">
        <v>0</v>
      </c>
      <c r="S5" s="9">
        <v>19</v>
      </c>
      <c r="T5" s="9">
        <v>6</v>
      </c>
      <c r="U5" s="9">
        <v>0</v>
      </c>
      <c r="V5" s="9">
        <v>0</v>
      </c>
      <c r="W5" s="9"/>
      <c r="X5" s="9"/>
      <c r="Y5" s="9"/>
      <c r="Z5" s="9"/>
      <c r="AA5" s="9">
        <v>18.899999999999999</v>
      </c>
      <c r="AB5" s="9">
        <v>5.6</v>
      </c>
      <c r="AC5" s="9">
        <v>0.6</v>
      </c>
      <c r="AD5" s="9">
        <v>0</v>
      </c>
      <c r="AE5" s="9">
        <v>18.399999999999999</v>
      </c>
      <c r="AF5" s="9">
        <v>4.4000000000000004</v>
      </c>
      <c r="AG5" s="9">
        <v>0</v>
      </c>
      <c r="AH5" s="9">
        <v>0</v>
      </c>
      <c r="AI5" s="18"/>
      <c r="AJ5" s="23">
        <f>IF(SUM(O5:P5,R5:T5,V5)-Q5-U5&gt;0,SUM(O5:P5,R5:T5,V5)-Q5-U5,"")</f>
        <v>48.2</v>
      </c>
      <c r="AK5" s="23" t="str">
        <f>IF(SUM(W5:X5,Z5)-Y5&gt;0,SUM(W5:X5,Z5)-Y5,"")</f>
        <v/>
      </c>
      <c r="AL5" s="23">
        <f>IF(SUM(AA5:AB5,AD5)-SUM(AC5)&gt;0,SUM(AA5:AB5,AD5)-SUM(AC5),"")</f>
        <v>23.9</v>
      </c>
      <c r="AM5" s="23">
        <f>IF(SUM(AA5:AB5,AD5:AF5,AH5)-SUM(AC5,AG5)&gt;0,SUM(AA5:AB5,AD5:AF5,AH5)-SUM(AC5,AG5),"")</f>
        <v>46.699999999999996</v>
      </c>
      <c r="AN5" s="23">
        <f>IF(SUM(AJ5,AM5)&gt;0,SUM(AJ5,AM5),"")</f>
        <v>94.9</v>
      </c>
      <c r="AO5" s="8">
        <v>18.600000000000001</v>
      </c>
      <c r="AP5" s="8">
        <v>5.6</v>
      </c>
      <c r="AQ5" s="8">
        <v>0.6</v>
      </c>
      <c r="AR5" s="8">
        <v>0</v>
      </c>
      <c r="AS5" s="8">
        <v>18.899999999999999</v>
      </c>
      <c r="AT5" s="8">
        <v>6</v>
      </c>
      <c r="AU5" s="8">
        <v>0</v>
      </c>
      <c r="AV5" s="8">
        <v>0</v>
      </c>
      <c r="AW5" s="8">
        <v>18.600000000000001</v>
      </c>
      <c r="AX5" s="8">
        <v>6</v>
      </c>
      <c r="AY5" s="8">
        <v>0.6</v>
      </c>
      <c r="AZ5" s="8">
        <v>0.3</v>
      </c>
      <c r="BA5" s="8">
        <v>19</v>
      </c>
      <c r="BB5" s="8">
        <v>6.4</v>
      </c>
      <c r="BC5" s="8">
        <v>0</v>
      </c>
      <c r="BD5" s="8">
        <v>0</v>
      </c>
      <c r="BE5" s="8">
        <v>19.2</v>
      </c>
      <c r="BF5" s="8">
        <v>5.2</v>
      </c>
      <c r="BG5" s="8">
        <v>0</v>
      </c>
      <c r="BH5" s="8">
        <v>0</v>
      </c>
      <c r="BI5" s="19"/>
      <c r="BJ5" s="6">
        <f>IF(SUM(AO5:AP5,AR5:AT5,AV5)-AQ5-AU5&gt;0,SUM(AO5:AP5,AR5:AT5,AV5)-AQ5-AU5,"")</f>
        <v>48.5</v>
      </c>
      <c r="BK5" s="6">
        <f>IF(SUM(AW5:AX5,AZ5)-AY5&gt;0,SUM(AW5:AX5,AZ5)-AY5,"")</f>
        <v>24.3</v>
      </c>
      <c r="BL5" s="6">
        <f>IF(SUM(BA5:BB5,BD5)-SUM(BC5)&gt;0,SUM(BA5:BB5,BD5)-SUM(BC5),"")</f>
        <v>25.4</v>
      </c>
      <c r="BM5" s="6">
        <f>IF(SUM(BA5:BB5,BD5:BF5,BH5)-SUM(BC5,BG5)&gt;0,SUM(BA5:BB5,BD5:BF5,BH5)-SUM(BC5,BG5),"")</f>
        <v>49.8</v>
      </c>
      <c r="BN5" s="6">
        <f>IF(SUM(BJ5,BM5)&gt;0,SUM(BJ5,BM5),"")</f>
        <v>98.3</v>
      </c>
      <c r="BO5" s="9">
        <v>18.600000000000001</v>
      </c>
      <c r="BP5" s="9">
        <v>7.2</v>
      </c>
      <c r="BQ5" s="9">
        <v>0</v>
      </c>
      <c r="BR5" s="9">
        <v>0.3</v>
      </c>
      <c r="BS5" s="9">
        <v>18.399999999999999</v>
      </c>
      <c r="BT5" s="9">
        <v>6.8</v>
      </c>
      <c r="BU5" s="9">
        <v>0.2</v>
      </c>
      <c r="BV5" s="9">
        <v>0.3</v>
      </c>
      <c r="BW5" s="9"/>
      <c r="BX5" s="9"/>
      <c r="BY5" s="9"/>
      <c r="BZ5" s="9"/>
      <c r="CA5" s="9">
        <v>17.399999999999999</v>
      </c>
      <c r="CB5" s="9">
        <v>2.8</v>
      </c>
      <c r="CC5" s="9">
        <v>0</v>
      </c>
      <c r="CD5" s="9">
        <v>0</v>
      </c>
      <c r="CE5" s="9">
        <v>17.2</v>
      </c>
      <c r="CF5" s="9">
        <v>3.2</v>
      </c>
      <c r="CG5" s="9">
        <v>0</v>
      </c>
      <c r="CH5" s="9">
        <v>0.3</v>
      </c>
      <c r="CI5" s="18"/>
      <c r="CJ5" s="23">
        <f>IF(SUM(BO5:BP5,BR5:BT5,BV5)-BQ5-BU5&gt;0,SUM(BO5:BP5,BR5:BT5,BV5)-BQ5-BU5,"")</f>
        <v>51.399999999999991</v>
      </c>
      <c r="CK5" s="23" t="str">
        <f>IF(SUM(BW5:BX5,BZ5)-BY5&gt;0,SUM(BW5:BX5,BZ5)-BY5,"")</f>
        <v/>
      </c>
      <c r="CL5" s="23">
        <f>IF(SUM(CA5:CB5,CD5)-SUM(CC5)&gt;0,SUM(CA5:CB5,CD5)-SUM(CC5),"")</f>
        <v>20.2</v>
      </c>
      <c r="CM5" s="23">
        <f>IF(SUM(CA5:CB5,CD5:CF5,CH5)-SUM(CC5,CG5)&gt;0,SUM(CA5:CB5,CD5:CF5,CH5)-SUM(CC5,CG5),"")</f>
        <v>40.9</v>
      </c>
      <c r="CN5" s="23">
        <f>IF(SUM(CJ5,CM5)&gt;0,SUM(CJ5,CM5),"")</f>
        <v>92.299999999999983</v>
      </c>
    </row>
    <row r="6" spans="1:92" x14ac:dyDescent="0.2">
      <c r="A6" s="1" cm="1">
        <f t="array" ref="A6">IF(F6="P",SUMPRODUCT((F$4:F$15="P")*(E$4:E$15&gt;E6))+1,"")</f>
        <v>3</v>
      </c>
      <c r="B6" s="2" t="s">
        <v>26</v>
      </c>
      <c r="C6" s="3" t="s">
        <v>5</v>
      </c>
      <c r="D6" s="7">
        <v>1996</v>
      </c>
      <c r="E6" s="5">
        <f>SUM(G6:N6)+SUM(G6:M6)*0.0000001+SUM(G6)*0.0000000000001</f>
        <v>172.4000172400049</v>
      </c>
      <c r="F6" s="30" t="s">
        <v>55</v>
      </c>
      <c r="G6" s="4">
        <f>IF(COUNT(AJ6,BJ6,CJ6)&gt;0,LARGE((AJ6,BJ6,CJ6),1),0)</f>
        <v>48.999999999999993</v>
      </c>
      <c r="H6" s="4" t="str">
        <f>IF(G6=0,"",IF(G6=CJ6,$BO$1,IF(G6=BJ6,$AO$1,IF(G6=AJ6,$O$1,""))))</f>
        <v>2022 Elite Canada</v>
      </c>
      <c r="I6" s="4">
        <f>IF(COUNT(AJ6,BJ6,CJ6)&gt;1,LARGE((AJ6,BJ6,CJ6),2),0)</f>
        <v>48.9</v>
      </c>
      <c r="J6" s="4" t="str">
        <f>IF(I6=0,"",IF(I6=CJ6,$BO$1,IF(I6=BJ6,$AO$1,IF(I6=AJ6,$O$1,""))))</f>
        <v>2022 WG Virtual Technical Trial</v>
      </c>
      <c r="K6" s="4">
        <f>IF(MAX(AM6,BM6,CM6)&gt;0,MAX(AM6,BM6,CM6),0)</f>
        <v>49.100000000000009</v>
      </c>
      <c r="L6" s="4" t="str">
        <f>IF(K6=0,"",IF(K6=CM6,$BO$1,IF(K6=BM6,$AO$1,IF(K6=AM6,$O$1,""))))</f>
        <v>2022 Elite Canada</v>
      </c>
      <c r="M6" s="4">
        <f>IF(K6=CM6,MAX(BL6,AL6),IF(K6=BM6,MAX(CL6,AL6),IF(K6=AM6,MAX(CL6,BL6),0)))</f>
        <v>25.4</v>
      </c>
      <c r="N6" s="4" t="str">
        <f>IF(M6=0,"",IF(AND(M6=CL6,L6&lt;&gt;$BO$1),$BO$1,IF(AND(M6=BL6,L6&lt;&gt;$AO$1),$AO$1,IF(AND(M6=AL6,L6&lt;&gt;$O$1),$O$1,""))))</f>
        <v>2022 WG Virtual Control Trial</v>
      </c>
      <c r="O6" s="9">
        <v>18.8</v>
      </c>
      <c r="P6" s="9">
        <v>5.2</v>
      </c>
      <c r="Q6" s="9">
        <v>0</v>
      </c>
      <c r="R6" s="9">
        <v>0</v>
      </c>
      <c r="S6" s="9">
        <v>18.5</v>
      </c>
      <c r="T6" s="9">
        <v>6.4</v>
      </c>
      <c r="U6" s="9">
        <v>0</v>
      </c>
      <c r="V6" s="9">
        <v>0</v>
      </c>
      <c r="W6" s="9"/>
      <c r="X6" s="9"/>
      <c r="Y6" s="9"/>
      <c r="Z6" s="9"/>
      <c r="AA6" s="9">
        <v>19</v>
      </c>
      <c r="AB6" s="9">
        <v>5.2</v>
      </c>
      <c r="AC6" s="9">
        <v>0</v>
      </c>
      <c r="AD6" s="9">
        <v>0</v>
      </c>
      <c r="AE6" s="9">
        <v>18.399999999999999</v>
      </c>
      <c r="AF6" s="9">
        <v>6.4</v>
      </c>
      <c r="AG6" s="9">
        <v>0.2</v>
      </c>
      <c r="AH6" s="9">
        <v>0</v>
      </c>
      <c r="AI6" s="18"/>
      <c r="AJ6" s="23">
        <f>IF(SUM(O6:P6,R6:T6,V6)-Q6-U6&gt;0,SUM(O6:P6,R6:T6,V6)-Q6-U6,"")</f>
        <v>48.9</v>
      </c>
      <c r="AK6" s="23" t="str">
        <f>IF(SUM(W6:X6,Z6)-Y6&gt;0,SUM(W6:X6,Z6)-Y6,"")</f>
        <v/>
      </c>
      <c r="AL6" s="23">
        <f>IF(SUM(AA6:AB6,AD6)-SUM(AC6)&gt;0,SUM(AA6:AB6,AD6)-SUM(AC6),"")</f>
        <v>24.2</v>
      </c>
      <c r="AM6" s="23">
        <f>IF(SUM(AA6:AB6,AD6:AF6,AH6)-SUM(AC6,AG6)&gt;0,SUM(AA6:AB6,AD6:AF6,AH6)-SUM(AC6,AG6),"")</f>
        <v>48.79999999999999</v>
      </c>
      <c r="AN6" s="23">
        <f>IF(SUM(AJ6,AM6)&gt;0,SUM(AJ6,AM6),"")</f>
        <v>97.699999999999989</v>
      </c>
      <c r="AO6" s="8">
        <v>18.899999999999999</v>
      </c>
      <c r="AP6" s="8">
        <v>6.4</v>
      </c>
      <c r="AQ6" s="8">
        <v>0.2</v>
      </c>
      <c r="AR6" s="8">
        <v>0</v>
      </c>
      <c r="AS6" s="8">
        <v>18.899999999999999</v>
      </c>
      <c r="AT6" s="8">
        <v>5.2</v>
      </c>
      <c r="AU6" s="8">
        <v>0.2</v>
      </c>
      <c r="AV6" s="8">
        <v>0</v>
      </c>
      <c r="AW6" s="8">
        <v>18.8</v>
      </c>
      <c r="AX6" s="8">
        <v>4.8</v>
      </c>
      <c r="AY6" s="8">
        <v>0</v>
      </c>
      <c r="AZ6" s="8">
        <v>0</v>
      </c>
      <c r="BA6" s="8">
        <v>18.7</v>
      </c>
      <c r="BB6" s="8">
        <v>6.4</v>
      </c>
      <c r="BC6" s="8">
        <v>0</v>
      </c>
      <c r="BD6" s="8">
        <v>0</v>
      </c>
      <c r="BE6" s="8">
        <v>18.8</v>
      </c>
      <c r="BF6" s="8">
        <v>5.2</v>
      </c>
      <c r="BG6" s="8">
        <v>0</v>
      </c>
      <c r="BH6" s="8">
        <v>0</v>
      </c>
      <c r="BI6" s="19"/>
      <c r="BJ6" s="6">
        <f>IF(SUM(AO6:AP6,AR6:AT6,AV6)-AQ6-AU6&gt;0,SUM(AO6:AP6,AR6:AT6,AV6)-AQ6-AU6,"")</f>
        <v>48.999999999999993</v>
      </c>
      <c r="BK6" s="6">
        <f>IF(SUM(AW6:AX6,AZ6)-AY6&gt;0,SUM(AW6:AX6,AZ6)-AY6,"")</f>
        <v>23.6</v>
      </c>
      <c r="BL6" s="6">
        <f>IF(SUM(BA6:BB6,BD6)-SUM(BC6)&gt;0,SUM(BA6:BB6,BD6)-SUM(BC6),"")</f>
        <v>25.1</v>
      </c>
      <c r="BM6" s="6">
        <f>IF(SUM(BA6:BB6,BD6:BF6,BH6)-SUM(BC6,BG6)&gt;0,SUM(BA6:BB6,BD6:BF6,BH6)-SUM(BC6,BG6),"")</f>
        <v>49.100000000000009</v>
      </c>
      <c r="BN6" s="6">
        <f>IF(SUM(BJ6,BM6)&gt;0,SUM(BJ6,BM6),"")</f>
        <v>98.1</v>
      </c>
      <c r="BO6" s="9">
        <v>16.3</v>
      </c>
      <c r="BP6" s="9">
        <v>5.2</v>
      </c>
      <c r="BQ6" s="9">
        <v>0.6</v>
      </c>
      <c r="BR6" s="9">
        <v>0.3</v>
      </c>
      <c r="BS6" s="9">
        <v>18.5</v>
      </c>
      <c r="BT6" s="9">
        <v>5.6</v>
      </c>
      <c r="BU6" s="9">
        <v>0.2</v>
      </c>
      <c r="BV6" s="9">
        <v>0</v>
      </c>
      <c r="BW6" s="9"/>
      <c r="BX6" s="9"/>
      <c r="BY6" s="9"/>
      <c r="BZ6" s="9"/>
      <c r="CA6" s="9">
        <v>19</v>
      </c>
      <c r="CB6" s="9">
        <v>6.4</v>
      </c>
      <c r="CC6" s="9">
        <v>0</v>
      </c>
      <c r="CD6" s="9">
        <v>0</v>
      </c>
      <c r="CE6" s="9">
        <v>18.8</v>
      </c>
      <c r="CF6" s="9">
        <v>5.2</v>
      </c>
      <c r="CG6" s="9">
        <v>0.6</v>
      </c>
      <c r="CH6" s="9">
        <v>0</v>
      </c>
      <c r="CI6" s="18"/>
      <c r="CJ6" s="23">
        <f>IF(SUM(BO6:BP6,BR6:BT6,BV6)-BQ6-BU6&gt;0,SUM(BO6:BP6,BR6:BT6,BV6)-BQ6-BU6,"")</f>
        <v>45.099999999999994</v>
      </c>
      <c r="CK6" s="23" t="str">
        <f>IF(SUM(BW6:BX6,BZ6)-BY6&gt;0,SUM(BW6:BX6,BZ6)-BY6,"")</f>
        <v/>
      </c>
      <c r="CL6" s="23">
        <f>IF(SUM(CA6:CB6,CD6)-SUM(CC6)&gt;0,SUM(CA6:CB6,CD6)-SUM(CC6),"")</f>
        <v>25.4</v>
      </c>
      <c r="CM6" s="23">
        <f>IF(SUM(CA6:CB6,CD6:CF6,CH6)-SUM(CC6,CG6)&gt;0,SUM(CA6:CB6,CD6:CF6,CH6)-SUM(CC6,CG6),"")</f>
        <v>48.800000000000004</v>
      </c>
      <c r="CN6" s="23">
        <f>IF(SUM(CJ6,CM6)&gt;0,SUM(CJ6,CM6),"")</f>
        <v>93.9</v>
      </c>
    </row>
    <row r="7" spans="1:92" x14ac:dyDescent="0.2">
      <c r="A7" s="1" cm="1">
        <f t="array" ref="A7">IF(F7="P",SUMPRODUCT((F$4:F$15="P")*(E$4:E$15&gt;E7))+1,"")</f>
        <v>4</v>
      </c>
      <c r="B7" s="2" t="s">
        <v>25</v>
      </c>
      <c r="C7" s="3" t="s">
        <v>4</v>
      </c>
      <c r="D7" s="7">
        <v>2003</v>
      </c>
      <c r="E7" s="5">
        <f>SUM(G7:N7)+SUM(G7:M7)*0.0000001+SUM(G7)*0.0000000000001</f>
        <v>171.30001713000499</v>
      </c>
      <c r="F7" s="30" t="s">
        <v>55</v>
      </c>
      <c r="G7" s="4">
        <f>IF(COUNT(AJ7,BJ7,CJ7)&gt;0,LARGE((AJ7,BJ7,CJ7),1),0)</f>
        <v>49.8</v>
      </c>
      <c r="H7" s="4" t="str">
        <f>IF(G7=0,"",IF(G7=CJ7,$BO$1,IF(G7=BJ7,$AO$1,IF(G7=AJ7,$O$1,""))))</f>
        <v>2022 WG Virtual Control Trial</v>
      </c>
      <c r="I7" s="4">
        <f>IF(COUNT(AJ7,BJ7,CJ7)&gt;1,LARGE((AJ7,BJ7,CJ7),2),0)</f>
        <v>49.2</v>
      </c>
      <c r="J7" s="4" t="str">
        <f>IF(I7=0,"",IF(I7=CJ7,$BO$1,IF(I7=BJ7,$AO$1,IF(I7=AJ7,$O$1,""))))</f>
        <v>2022 Elite Canada</v>
      </c>
      <c r="K7" s="4">
        <f>IF(MAX(AM7,BM7,CM7)&gt;0,MAX(AM7,BM7,CM7),0)</f>
        <v>48.1</v>
      </c>
      <c r="L7" s="4" t="str">
        <f>IF(K7=0,"",IF(K7=CM7,$BO$1,IF(K7=BM7,$AO$1,IF(K7=AM7,$O$1,""))))</f>
        <v>2022 WG Virtual Technical Trial</v>
      </c>
      <c r="M7" s="4">
        <f>IF(K7=CM7,MAX(BL7,AL7),IF(K7=BM7,MAX(CL7,AL7),IF(K7=AM7,MAX(CL7,BL7),0)))</f>
        <v>24.200000000000003</v>
      </c>
      <c r="N7" s="4" t="str">
        <f>IF(M7=0,"",IF(AND(M7=CL7,L7&lt;&gt;$BO$1),$BO$1,IF(AND(M7=BL7,L7&lt;&gt;$AO$1),$AO$1,IF(AND(M7=AL7,L7&lt;&gt;$O$1),$O$1,""))))</f>
        <v>2022 Elite Canada</v>
      </c>
      <c r="O7" s="9">
        <v>18.8</v>
      </c>
      <c r="P7" s="9">
        <v>5.6</v>
      </c>
      <c r="Q7" s="9">
        <v>0</v>
      </c>
      <c r="R7" s="9">
        <v>0</v>
      </c>
      <c r="S7" s="9">
        <v>17.3</v>
      </c>
      <c r="T7" s="9">
        <v>2.4</v>
      </c>
      <c r="U7" s="9">
        <v>0</v>
      </c>
      <c r="V7" s="9">
        <v>0</v>
      </c>
      <c r="W7" s="9"/>
      <c r="X7" s="9"/>
      <c r="Y7" s="9"/>
      <c r="Z7" s="9"/>
      <c r="AA7" s="9">
        <v>18.399999999999999</v>
      </c>
      <c r="AB7" s="9">
        <v>5.6</v>
      </c>
      <c r="AC7" s="9">
        <v>0.6</v>
      </c>
      <c r="AD7" s="9">
        <v>0</v>
      </c>
      <c r="AE7" s="9">
        <v>18.7</v>
      </c>
      <c r="AF7" s="9">
        <v>6</v>
      </c>
      <c r="AG7" s="9">
        <v>0</v>
      </c>
      <c r="AH7" s="9">
        <v>0</v>
      </c>
      <c r="AI7" s="18"/>
      <c r="AJ7" s="23">
        <f>IF(SUM(O7:P7,R7:T7,V7)-Q7-U7&gt;0,SUM(O7:P7,R7:T7,V7)-Q7-U7,"")</f>
        <v>44.1</v>
      </c>
      <c r="AK7" s="23" t="str">
        <f>IF(SUM(W7:X7,Z7)-Y7&gt;0,SUM(W7:X7,Z7)-Y7,"")</f>
        <v/>
      </c>
      <c r="AL7" s="23">
        <f>IF(SUM(AA7:AB7,AD7)-SUM(AC7)&gt;0,SUM(AA7:AB7,AD7)-SUM(AC7),"")</f>
        <v>23.4</v>
      </c>
      <c r="AM7" s="23">
        <f>IF(SUM(AA7:AB7,AD7:AF7,AH7)-SUM(AC7,AG7)&gt;0,SUM(AA7:AB7,AD7:AF7,AH7)-SUM(AC7,AG7),"")</f>
        <v>48.1</v>
      </c>
      <c r="AN7" s="23">
        <f>IF(SUM(AJ7,AM7)&gt;0,SUM(AJ7,AM7),"")</f>
        <v>92.2</v>
      </c>
      <c r="AO7" s="8">
        <v>19</v>
      </c>
      <c r="AP7" s="8">
        <v>5.6</v>
      </c>
      <c r="AQ7" s="8">
        <v>0</v>
      </c>
      <c r="AR7" s="8">
        <v>0</v>
      </c>
      <c r="AS7" s="8">
        <v>18.600000000000001</v>
      </c>
      <c r="AT7" s="8">
        <v>6</v>
      </c>
      <c r="AU7" s="8">
        <v>0</v>
      </c>
      <c r="AV7" s="8">
        <v>0</v>
      </c>
      <c r="AW7" s="8">
        <v>18.399999999999999</v>
      </c>
      <c r="AX7" s="8">
        <v>5.2</v>
      </c>
      <c r="AY7" s="8">
        <v>0.6</v>
      </c>
      <c r="AZ7" s="8">
        <v>0</v>
      </c>
      <c r="BA7" s="8">
        <v>18.600000000000001</v>
      </c>
      <c r="BB7" s="8">
        <v>5.6</v>
      </c>
      <c r="BC7" s="8">
        <v>0</v>
      </c>
      <c r="BD7" s="8">
        <v>0</v>
      </c>
      <c r="BE7" s="8">
        <v>18.600000000000001</v>
      </c>
      <c r="BF7" s="8">
        <v>6</v>
      </c>
      <c r="BG7" s="8">
        <v>0.8</v>
      </c>
      <c r="BH7" s="8">
        <v>0</v>
      </c>
      <c r="BI7" s="19"/>
      <c r="BJ7" s="6">
        <f>IF(SUM(AO7:AP7,AR7:AT7,AV7)-AQ7-AU7&gt;0,SUM(AO7:AP7,AR7:AT7,AV7)-AQ7-AU7,"")</f>
        <v>49.2</v>
      </c>
      <c r="BK7" s="6">
        <f>IF(SUM(AW7:AX7,AZ7)-AY7&gt;0,SUM(AW7:AX7,AZ7)-AY7,"")</f>
        <v>22.999999999999996</v>
      </c>
      <c r="BL7" s="6">
        <f>IF(SUM(BA7:BB7,BD7)-SUM(BC7)&gt;0,SUM(BA7:BB7,BD7)-SUM(BC7),"")</f>
        <v>24.200000000000003</v>
      </c>
      <c r="BM7" s="6">
        <f>IF(SUM(BA7:BB7,BD7:BF7,BH7)-SUM(BC7,BG7)&gt;0,SUM(BA7:BB7,BD7:BF7,BH7)-SUM(BC7,BG7),"")</f>
        <v>48.000000000000007</v>
      </c>
      <c r="BN7" s="6">
        <f>IF(SUM(BJ7,BM7)&gt;0,SUM(BJ7,BM7),"")</f>
        <v>97.200000000000017</v>
      </c>
      <c r="BO7" s="9">
        <v>18.600000000000001</v>
      </c>
      <c r="BP7" s="9">
        <v>6.4</v>
      </c>
      <c r="BQ7" s="9">
        <v>0</v>
      </c>
      <c r="BR7" s="9">
        <v>0</v>
      </c>
      <c r="BS7" s="9">
        <v>18.5</v>
      </c>
      <c r="BT7" s="9">
        <v>6</v>
      </c>
      <c r="BU7" s="9">
        <v>0</v>
      </c>
      <c r="BV7" s="9">
        <v>0.3</v>
      </c>
      <c r="BW7" s="9"/>
      <c r="BX7" s="9"/>
      <c r="BY7" s="9"/>
      <c r="BZ7" s="9"/>
      <c r="CA7" s="9">
        <v>17.399999999999999</v>
      </c>
      <c r="CB7" s="9">
        <v>2.8</v>
      </c>
      <c r="CC7" s="9">
        <v>0</v>
      </c>
      <c r="CD7" s="9">
        <v>0</v>
      </c>
      <c r="CE7" s="9">
        <v>17.399999999999999</v>
      </c>
      <c r="CF7" s="9">
        <v>2.4</v>
      </c>
      <c r="CG7" s="9">
        <v>0</v>
      </c>
      <c r="CH7" s="9">
        <v>0</v>
      </c>
      <c r="CI7" s="18"/>
      <c r="CJ7" s="23">
        <f>IF(SUM(BO7:BP7,BR7:BT7,BV7)-BQ7-BU7&gt;0,SUM(BO7:BP7,BR7:BT7,BV7)-BQ7-BU7,"")</f>
        <v>49.8</v>
      </c>
      <c r="CK7" s="23" t="str">
        <f>IF(SUM(BW7:BX7,BZ7)-BY7&gt;0,SUM(BW7:BX7,BZ7)-BY7,"")</f>
        <v/>
      </c>
      <c r="CL7" s="23">
        <f>IF(SUM(CA7:CB7,CD7)-SUM(CC7)&gt;0,SUM(CA7:CB7,CD7)-SUM(CC7),"")</f>
        <v>20.2</v>
      </c>
      <c r="CM7" s="23">
        <f>IF(SUM(CA7:CB7,CD7:CF7,CH7)-SUM(CC7,CG7)&gt;0,SUM(CA7:CB7,CD7:CF7,CH7)-SUM(CC7,CG7),"")</f>
        <v>39.999999999999993</v>
      </c>
      <c r="CN7" s="23">
        <f>IF(SUM(CJ7,CM7)&gt;0,SUM(CJ7,CM7),"")</f>
        <v>89.799999999999983</v>
      </c>
    </row>
    <row r="8" spans="1:92" x14ac:dyDescent="0.2">
      <c r="A8" s="1" cm="1">
        <f t="array" ref="A8">IF(F8="P",SUMPRODUCT((F$4:F$15="P")*(E$4:E$15&gt;E8))+1,"")</f>
        <v>5</v>
      </c>
      <c r="B8" s="2" t="s">
        <v>32</v>
      </c>
      <c r="C8" s="3" t="s">
        <v>5</v>
      </c>
      <c r="D8" s="7">
        <v>2003</v>
      </c>
      <c r="E8" s="5">
        <f>SUM(G8:N8)+SUM(G8:M8)*0.0000001+SUM(G8)*0.0000000000001</f>
        <v>168.34001683400487</v>
      </c>
      <c r="F8" s="30" t="s">
        <v>55</v>
      </c>
      <c r="G8" s="4">
        <f>IF(COUNT(AJ8,BJ8,CJ8)&gt;0,LARGE((AJ8,BJ8,CJ8),1),0)</f>
        <v>48.64</v>
      </c>
      <c r="H8" s="4" t="str">
        <f>IF(G8=0,"",IF(G8=CJ8,$BO$1,IF(G8=BJ8,$AO$1,IF(G8=AJ8,$O$1,""))))</f>
        <v>2022 Elite Canada</v>
      </c>
      <c r="I8" s="4">
        <f>IF(COUNT(AJ8,BJ8,CJ8)&gt;1,LARGE((AJ8,BJ8,CJ8),2),0)</f>
        <v>48.6</v>
      </c>
      <c r="J8" s="4" t="str">
        <f>IF(I8=0,"",IF(I8=CJ8,$BO$1,IF(I8=BJ8,$AO$1,IF(I8=AJ8,$O$1,""))))</f>
        <v>2022 WG Virtual Control Trial</v>
      </c>
      <c r="K8" s="4">
        <f>IF(MAX(AM8,BM8,CM8)&gt;0,MAX(AM8,BM8,CM8),0)</f>
        <v>48.699999999999996</v>
      </c>
      <c r="L8" s="4" t="str">
        <f>IF(K8=0,"",IF(K8=CM8,$BO$1,IF(K8=BM8,$AO$1,IF(K8=AM8,$O$1,""))))</f>
        <v>2022 WG Virtual Technical Trial</v>
      </c>
      <c r="M8" s="4">
        <f>IF(K8=CM8,MAX(BL8,AL8),IF(K8=BM8,MAX(CL8,AL8),IF(K8=AM8,MAX(CL8,BL8),0)))</f>
        <v>22.400000000000002</v>
      </c>
      <c r="N8" s="4" t="str">
        <f>IF(M8=0,"",IF(AND(M8=CL8,L8&lt;&gt;$BO$1),$BO$1,IF(AND(M8=BL8,L8&lt;&gt;$AO$1),$AO$1,IF(AND(M8=AL8,L8&lt;&gt;$O$1),$O$1,""))))</f>
        <v>2022 WG Virtual Control Trial</v>
      </c>
      <c r="O8" s="9">
        <v>18.600000000000001</v>
      </c>
      <c r="P8" s="9">
        <v>6</v>
      </c>
      <c r="Q8" s="9">
        <v>0.2</v>
      </c>
      <c r="R8" s="9">
        <v>0</v>
      </c>
      <c r="S8" s="9">
        <v>18.600000000000001</v>
      </c>
      <c r="T8" s="9">
        <v>5.6</v>
      </c>
      <c r="U8" s="9">
        <v>0.2</v>
      </c>
      <c r="V8" s="9">
        <v>0</v>
      </c>
      <c r="W8" s="9"/>
      <c r="X8" s="9"/>
      <c r="Y8" s="9"/>
      <c r="Z8" s="9"/>
      <c r="AA8" s="9">
        <v>18.600000000000001</v>
      </c>
      <c r="AB8" s="9">
        <v>6</v>
      </c>
      <c r="AC8" s="9">
        <v>0.2</v>
      </c>
      <c r="AD8" s="9">
        <v>0</v>
      </c>
      <c r="AE8" s="9">
        <v>18.7</v>
      </c>
      <c r="AF8" s="9">
        <v>5.6</v>
      </c>
      <c r="AG8" s="9">
        <v>0</v>
      </c>
      <c r="AH8" s="9">
        <v>0</v>
      </c>
      <c r="AI8" s="18"/>
      <c r="AJ8" s="23">
        <f>IF(SUM(O8:P8,R8:T8,V8)-Q8-U8&gt;0,SUM(O8:P8,R8:T8,V8)-Q8-U8,"")</f>
        <v>48.4</v>
      </c>
      <c r="AK8" s="23" t="str">
        <f>IF(SUM(W8:X8,Z8)-Y8&gt;0,SUM(W8:X8,Z8)-Y8,"")</f>
        <v/>
      </c>
      <c r="AL8" s="23">
        <f>IF(SUM(AA8:AB8,AD8)-SUM(AC8)&gt;0,SUM(AA8:AB8,AD8)-SUM(AC8),"")</f>
        <v>24.400000000000002</v>
      </c>
      <c r="AM8" s="23">
        <f>IF(SUM(AA8:AB8,AD8:AF8,AH8)-SUM(AC8,AG8)&gt;0,SUM(AA8:AB8,AD8:AF8,AH8)-SUM(AC8,AG8),"")</f>
        <v>48.699999999999996</v>
      </c>
      <c r="AN8" s="23">
        <f>IF(SUM(AJ8,AM8)&gt;0,SUM(AJ8,AM8),"")</f>
        <v>97.1</v>
      </c>
      <c r="AO8" s="8">
        <v>18.64</v>
      </c>
      <c r="AP8" s="8">
        <v>6</v>
      </c>
      <c r="AQ8" s="8">
        <v>0</v>
      </c>
      <c r="AR8" s="8">
        <v>0</v>
      </c>
      <c r="AS8" s="8">
        <v>19</v>
      </c>
      <c r="AT8" s="8">
        <v>5.6</v>
      </c>
      <c r="AU8" s="8">
        <v>0.6</v>
      </c>
      <c r="AV8" s="8">
        <v>0</v>
      </c>
      <c r="AW8" s="8">
        <v>17.399999999999999</v>
      </c>
      <c r="AX8" s="8">
        <v>2.8</v>
      </c>
      <c r="AY8" s="8">
        <v>0</v>
      </c>
      <c r="AZ8" s="8">
        <v>0</v>
      </c>
      <c r="BA8" s="8">
        <v>17.399999999999999</v>
      </c>
      <c r="BB8" s="8">
        <v>2.4</v>
      </c>
      <c r="BC8" s="8">
        <v>0</v>
      </c>
      <c r="BD8" s="8">
        <v>0</v>
      </c>
      <c r="BE8" s="8">
        <v>16.899999999999999</v>
      </c>
      <c r="BF8" s="8">
        <v>6.4</v>
      </c>
      <c r="BG8" s="8">
        <v>0.6</v>
      </c>
      <c r="BH8" s="8">
        <v>0</v>
      </c>
      <c r="BI8" s="19"/>
      <c r="BJ8" s="6">
        <f>IF(SUM(AO8:AP8,AR8:AT8,AV8)-AQ8-AU8&gt;0,SUM(AO8:AP8,AR8:AT8,AV8)-AQ8-AU8,"")</f>
        <v>48.64</v>
      </c>
      <c r="BK8" s="6">
        <f>IF(SUM(AW8:AX8,AZ8)-AY8&gt;0,SUM(AW8:AX8,AZ8)-AY8,"")</f>
        <v>20.2</v>
      </c>
      <c r="BL8" s="6">
        <f>IF(SUM(BA8:BB8,BD8)-SUM(BC8)&gt;0,SUM(BA8:BB8,BD8)-SUM(BC8),"")</f>
        <v>19.799999999999997</v>
      </c>
      <c r="BM8" s="6">
        <f>IF(SUM(BA8:BB8,BD8:BF8,BH8)-SUM(BC8,BG8)&gt;0,SUM(BA8:BB8,BD8:BF8,BH8)-SUM(BC8,BG8),"")</f>
        <v>42.499999999999993</v>
      </c>
      <c r="BN8" s="6">
        <f>IF(SUM(BJ8,BM8)&gt;0,SUM(BJ8,BM8),"")</f>
        <v>91.139999999999986</v>
      </c>
      <c r="BO8" s="9">
        <v>18.600000000000001</v>
      </c>
      <c r="BP8" s="9">
        <v>6</v>
      </c>
      <c r="BQ8" s="9">
        <v>0.2</v>
      </c>
      <c r="BR8" s="9">
        <v>0</v>
      </c>
      <c r="BS8" s="9">
        <v>18.8</v>
      </c>
      <c r="BT8" s="9">
        <v>5.6</v>
      </c>
      <c r="BU8" s="9">
        <v>0.2</v>
      </c>
      <c r="BV8" s="9">
        <v>0</v>
      </c>
      <c r="BW8" s="9"/>
      <c r="BX8" s="9"/>
      <c r="BY8" s="9"/>
      <c r="BZ8" s="9"/>
      <c r="CA8" s="9">
        <v>18.2</v>
      </c>
      <c r="CB8" s="9">
        <v>4.4000000000000004</v>
      </c>
      <c r="CC8" s="9">
        <v>0.2</v>
      </c>
      <c r="CD8" s="9">
        <v>0</v>
      </c>
      <c r="CE8" s="9">
        <v>18.5</v>
      </c>
      <c r="CF8" s="9">
        <v>6.4</v>
      </c>
      <c r="CG8" s="9">
        <v>0</v>
      </c>
      <c r="CH8" s="9">
        <v>0</v>
      </c>
      <c r="CI8" s="18"/>
      <c r="CJ8" s="23">
        <f>IF(SUM(BO8:BP8,BR8:BT8,BV8)-BQ8-BU8&gt;0,SUM(BO8:BP8,BR8:BT8,BV8)-BQ8-BU8,"")</f>
        <v>48.6</v>
      </c>
      <c r="CK8" s="23" t="str">
        <f>IF(SUM(BW8:BX8,BZ8)-BY8&gt;0,SUM(BW8:BX8,BZ8)-BY8,"")</f>
        <v/>
      </c>
      <c r="CL8" s="23">
        <f>IF(SUM(CA8:CB8,CD8)-SUM(CC8)&gt;0,SUM(CA8:CB8,CD8)-SUM(CC8),"")</f>
        <v>22.400000000000002</v>
      </c>
      <c r="CM8" s="23">
        <f>IF(SUM(CA8:CB8,CD8:CF8,CH8)-SUM(CC8,CG8)&gt;0,SUM(CA8:CB8,CD8:CF8,CH8)-SUM(CC8,CG8),"")</f>
        <v>47.3</v>
      </c>
      <c r="CN8" s="23">
        <f>IF(SUM(CJ8,CM8)&gt;0,SUM(CJ8,CM8),"")</f>
        <v>95.9</v>
      </c>
    </row>
    <row r="9" spans="1:92" x14ac:dyDescent="0.2">
      <c r="A9" s="1" cm="1">
        <f t="array" ref="A9">IF(F9="P",SUMPRODUCT((F$4:F$15="P")*(E$4:E$15&gt;E9))+1,"")</f>
        <v>6</v>
      </c>
      <c r="B9" s="2" t="s">
        <v>21</v>
      </c>
      <c r="C9" s="3" t="s">
        <v>5</v>
      </c>
      <c r="D9" s="7">
        <v>2001</v>
      </c>
      <c r="E9" s="5">
        <f>SUM(G9:N9)+SUM(G9:M9)*0.0000001+SUM(G9)*0.0000000000001</f>
        <v>167.40001674000484</v>
      </c>
      <c r="F9" s="30" t="s">
        <v>55</v>
      </c>
      <c r="G9" s="4">
        <f>IF(COUNT(AJ9,BJ9,CJ9)&gt;0,LARGE((AJ9,BJ9,CJ9),1),0)</f>
        <v>48.5</v>
      </c>
      <c r="H9" s="4" t="str">
        <f>IF(G9=0,"",IF(G9=CJ9,$BO$1,IF(G9=BJ9,$AO$1,IF(G9=AJ9,$O$1,""))))</f>
        <v>2022 Elite Canada</v>
      </c>
      <c r="I9" s="4">
        <f>IF(COUNT(AJ9,BJ9,CJ9)&gt;1,LARGE((AJ9,BJ9,CJ9),2),0)</f>
        <v>47.6</v>
      </c>
      <c r="J9" s="4" t="str">
        <f>IF(I9=0,"",IF(I9=CJ9,$BO$1,IF(I9=BJ9,$AO$1,IF(I9=AJ9,$O$1,""))))</f>
        <v>2022 WG Virtual Technical Trial</v>
      </c>
      <c r="K9" s="4">
        <f>IF(MAX(AM9,BM9,CM9)&gt;0,MAX(AM9,BM9,CM9),0)</f>
        <v>47.599999999999994</v>
      </c>
      <c r="L9" s="4" t="str">
        <f>IF(K9=0,"",IF(K9=CM9,$BO$1,IF(K9=BM9,$AO$1,IF(K9=AM9,$O$1,""))))</f>
        <v>2022 WG Virtual Technical Trial</v>
      </c>
      <c r="M9" s="4">
        <f>IF(K9=CM9,MAX(BL9,AL9),IF(K9=BM9,MAX(CL9,AL9),IF(K9=AM9,MAX(CL9,BL9),0)))</f>
        <v>23.7</v>
      </c>
      <c r="N9" s="4" t="str">
        <f>IF(M9=0,"",IF(AND(M9=CL9,L9&lt;&gt;$BO$1),$BO$1,IF(AND(M9=BL9,L9&lt;&gt;$AO$1),$AO$1,IF(AND(M9=AL9,L9&lt;&gt;$O$1),$O$1,""))))</f>
        <v>2022 Elite Canada</v>
      </c>
      <c r="O9" s="9">
        <v>18.600000000000001</v>
      </c>
      <c r="P9" s="9">
        <v>5.6</v>
      </c>
      <c r="Q9" s="9">
        <v>0</v>
      </c>
      <c r="R9" s="9">
        <v>0</v>
      </c>
      <c r="S9" s="9">
        <v>18</v>
      </c>
      <c r="T9" s="9">
        <v>5.6</v>
      </c>
      <c r="U9" s="9">
        <v>0.2</v>
      </c>
      <c r="V9" s="9">
        <v>0</v>
      </c>
      <c r="W9" s="9"/>
      <c r="X9" s="9"/>
      <c r="Y9" s="9"/>
      <c r="Z9" s="9"/>
      <c r="AA9" s="9">
        <v>18</v>
      </c>
      <c r="AB9" s="9">
        <v>5.6</v>
      </c>
      <c r="AC9" s="9">
        <v>0.2</v>
      </c>
      <c r="AD9" s="9">
        <v>0</v>
      </c>
      <c r="AE9" s="9">
        <v>18.2</v>
      </c>
      <c r="AF9" s="9">
        <v>6</v>
      </c>
      <c r="AG9" s="9">
        <v>0</v>
      </c>
      <c r="AH9" s="9">
        <v>0</v>
      </c>
      <c r="AI9" s="18"/>
      <c r="AJ9" s="23">
        <f>IF(SUM(O9:P9,R9:T9,V9)-Q9-U9&gt;0,SUM(O9:P9,R9:T9,V9)-Q9-U9,"")</f>
        <v>47.6</v>
      </c>
      <c r="AK9" s="23" t="str">
        <f>IF(SUM(W9:X9,Z9)-Y9&gt;0,SUM(W9:X9,Z9)-Y9,"")</f>
        <v/>
      </c>
      <c r="AL9" s="23">
        <f>IF(SUM(AA9:AB9,AD9)-SUM(AC9)&gt;0,SUM(AA9:AB9,AD9)-SUM(AC9),"")</f>
        <v>23.400000000000002</v>
      </c>
      <c r="AM9" s="23">
        <f>IF(SUM(AA9:AB9,AD9:AF9,AH9)-SUM(AC9,AG9)&gt;0,SUM(AA9:AB9,AD9:AF9,AH9)-SUM(AC9,AG9),"")</f>
        <v>47.599999999999994</v>
      </c>
      <c r="AN9" s="23">
        <f>IF(SUM(AJ9,AM9)&gt;0,SUM(AJ9,AM9),"")</f>
        <v>95.199999999999989</v>
      </c>
      <c r="AO9" s="8">
        <v>18.600000000000001</v>
      </c>
      <c r="AP9" s="8">
        <v>5.6</v>
      </c>
      <c r="AQ9" s="8">
        <v>0.2</v>
      </c>
      <c r="AR9" s="8">
        <v>0</v>
      </c>
      <c r="AS9" s="8">
        <v>18.5</v>
      </c>
      <c r="AT9" s="8">
        <v>6</v>
      </c>
      <c r="AU9" s="8">
        <v>0</v>
      </c>
      <c r="AV9" s="8">
        <v>0</v>
      </c>
      <c r="AW9" s="8">
        <v>19</v>
      </c>
      <c r="AX9" s="8">
        <v>4.8</v>
      </c>
      <c r="AY9" s="8">
        <v>0</v>
      </c>
      <c r="AZ9" s="8">
        <v>0</v>
      </c>
      <c r="BA9" s="8">
        <v>18.3</v>
      </c>
      <c r="BB9" s="8">
        <v>5.6</v>
      </c>
      <c r="BC9" s="8">
        <v>0.2</v>
      </c>
      <c r="BD9" s="8">
        <v>0</v>
      </c>
      <c r="BE9" s="8">
        <v>18</v>
      </c>
      <c r="BF9" s="8">
        <v>6</v>
      </c>
      <c r="BG9" s="8">
        <v>0.2</v>
      </c>
      <c r="BH9" s="8">
        <v>0</v>
      </c>
      <c r="BI9" s="19"/>
      <c r="BJ9" s="6">
        <f>IF(SUM(AO9:AP9,AR9:AT9,AV9)-AQ9-AU9&gt;0,SUM(AO9:AP9,AR9:AT9,AV9)-AQ9-AU9,"")</f>
        <v>48.5</v>
      </c>
      <c r="BK9" s="6">
        <f>IF(SUM(AW9:AX9,AZ9)-AY9&gt;0,SUM(AW9:AX9,AZ9)-AY9,"")</f>
        <v>23.8</v>
      </c>
      <c r="BL9" s="6">
        <f>IF(SUM(BA9:BB9,BD9)-SUM(BC9)&gt;0,SUM(BA9:BB9,BD9)-SUM(BC9),"")</f>
        <v>23.7</v>
      </c>
      <c r="BM9" s="6">
        <f>IF(SUM(BA9:BB9,BD9:BF9,BH9)-SUM(BC9,BG9)&gt;0,SUM(BA9:BB9,BD9:BF9,BH9)-SUM(BC9,BG9),"")</f>
        <v>47.5</v>
      </c>
      <c r="BN9" s="6">
        <f>IF(SUM(BJ9,BM9)&gt;0,SUM(BJ9,BM9),"")</f>
        <v>96</v>
      </c>
      <c r="BO9" s="9">
        <v>18.600000000000001</v>
      </c>
      <c r="BP9" s="9">
        <v>5.6</v>
      </c>
      <c r="BQ9" s="9">
        <v>0</v>
      </c>
      <c r="BR9" s="9">
        <v>0</v>
      </c>
      <c r="BS9" s="9">
        <v>18.2</v>
      </c>
      <c r="BT9" s="9">
        <v>5.6</v>
      </c>
      <c r="BU9" s="9">
        <v>0.6</v>
      </c>
      <c r="BV9" s="9">
        <v>0</v>
      </c>
      <c r="BW9" s="9"/>
      <c r="BX9" s="9"/>
      <c r="BY9" s="9"/>
      <c r="BZ9" s="9"/>
      <c r="CA9" s="9">
        <v>18.100000000000001</v>
      </c>
      <c r="CB9" s="9">
        <v>4.8</v>
      </c>
      <c r="CC9" s="9">
        <v>0.6</v>
      </c>
      <c r="CD9" s="9">
        <v>0</v>
      </c>
      <c r="CE9" s="9">
        <v>16.600000000000001</v>
      </c>
      <c r="CF9" s="9">
        <v>6</v>
      </c>
      <c r="CG9" s="9">
        <v>0.2</v>
      </c>
      <c r="CH9" s="9">
        <v>0</v>
      </c>
      <c r="CI9" s="18"/>
      <c r="CJ9" s="23">
        <f>IF(SUM(BO9:BP9,BR9:BT9,BV9)-BQ9-BU9&gt;0,SUM(BO9:BP9,BR9:BT9,BV9)-BQ9-BU9,"")</f>
        <v>47.400000000000006</v>
      </c>
      <c r="CK9" s="23" t="str">
        <f>IF(SUM(BW9:BX9,BZ9)-BY9&gt;0,SUM(BW9:BX9,BZ9)-BY9,"")</f>
        <v/>
      </c>
      <c r="CL9" s="23">
        <f>IF(SUM(CA9:CB9,CD9)-SUM(CC9)&gt;0,SUM(CA9:CB9,CD9)-SUM(CC9),"")</f>
        <v>22.3</v>
      </c>
      <c r="CM9" s="23">
        <f>IF(SUM(CA9:CB9,CD9:CF9,CH9)-SUM(CC9,CG9)&gt;0,SUM(CA9:CB9,CD9:CF9,CH9)-SUM(CC9,CG9),"")</f>
        <v>44.7</v>
      </c>
      <c r="CN9" s="23">
        <f>IF(SUM(CJ9,CM9)&gt;0,SUM(CJ9,CM9),"")</f>
        <v>92.100000000000009</v>
      </c>
    </row>
    <row r="10" spans="1:92" x14ac:dyDescent="0.2">
      <c r="A10" s="1" cm="1">
        <f t="array" ref="A10">IF(F10="P",SUMPRODUCT((F$4:F$15="P")*(E$4:E$15&gt;E10))+1,"")</f>
        <v>7</v>
      </c>
      <c r="B10" s="2" t="s">
        <v>34</v>
      </c>
      <c r="C10" s="3" t="s">
        <v>5</v>
      </c>
      <c r="D10" s="7">
        <v>2004</v>
      </c>
      <c r="E10" s="5">
        <f>SUM(G10:N10)+SUM(G10:M10)*0.0000001+SUM(G10)*0.0000000000001</f>
        <v>166.00001660000473</v>
      </c>
      <c r="F10" s="30" t="s">
        <v>55</v>
      </c>
      <c r="G10" s="4">
        <f>IF(COUNT(AJ10,BJ10,CJ10)&gt;0,LARGE((AJ10,BJ10,CJ10),1),0)</f>
        <v>47.2</v>
      </c>
      <c r="H10" s="4" t="str">
        <f>IF(G10=0,"",IF(G10=CJ10,$BO$1,IF(G10=BJ10,$AO$1,IF(G10=AJ10,$O$1,""))))</f>
        <v>2022 WG Virtual Technical Trial</v>
      </c>
      <c r="I10" s="4">
        <f>IF(COUNT(AJ10,BJ10,CJ10)&gt;1,LARGE((AJ10,BJ10,CJ10),2),0)</f>
        <v>47.000000000000007</v>
      </c>
      <c r="J10" s="4" t="str">
        <f>IF(I10=0,"",IF(I10=CJ10,$BO$1,IF(I10=BJ10,$AO$1,IF(I10=AJ10,$O$1,""))))</f>
        <v>2022 Elite Canada</v>
      </c>
      <c r="K10" s="4">
        <f>IF(MAX(AM10,BM10,CM10)&gt;0,MAX(AM10,BM10,CM10),0)</f>
        <v>48.199999999999996</v>
      </c>
      <c r="L10" s="4" t="str">
        <f>IF(K10=0,"",IF(K10=CM10,$BO$1,IF(K10=BM10,$AO$1,IF(K10=AM10,$O$1,""))))</f>
        <v>2022 WG Virtual Control Trial</v>
      </c>
      <c r="M10" s="4">
        <f>IF(K10=CM10,MAX(BL10,AL10),IF(K10=BM10,MAX(CL10,AL10),IF(K10=AM10,MAX(CL10,BL10),0)))</f>
        <v>23.599999999999998</v>
      </c>
      <c r="N10" s="4" t="str">
        <f>IF(M10=0,"",IF(AND(M10=CL10,L10&lt;&gt;$BO$1),$BO$1,IF(AND(M10=BL10,L10&lt;&gt;$AO$1),$AO$1,IF(AND(M10=AL10,L10&lt;&gt;$O$1),$O$1,""))))</f>
        <v>2022 WG Virtual Technical Trial</v>
      </c>
      <c r="O10" s="9">
        <v>18.600000000000001</v>
      </c>
      <c r="P10" s="9">
        <v>5.2</v>
      </c>
      <c r="Q10" s="9">
        <v>0.6</v>
      </c>
      <c r="R10" s="9">
        <v>0</v>
      </c>
      <c r="S10" s="9">
        <v>18.600000000000001</v>
      </c>
      <c r="T10" s="9">
        <v>5.6</v>
      </c>
      <c r="U10" s="9">
        <v>0.2</v>
      </c>
      <c r="V10" s="9">
        <v>0</v>
      </c>
      <c r="W10" s="9"/>
      <c r="X10" s="9"/>
      <c r="Y10" s="9"/>
      <c r="Z10" s="9"/>
      <c r="AA10" s="9">
        <v>18.399999999999999</v>
      </c>
      <c r="AB10" s="9">
        <v>5.2</v>
      </c>
      <c r="AC10" s="9">
        <v>0</v>
      </c>
      <c r="AD10" s="9">
        <v>0</v>
      </c>
      <c r="AE10" s="9">
        <v>18.8</v>
      </c>
      <c r="AF10" s="9">
        <v>5.6</v>
      </c>
      <c r="AG10" s="9">
        <v>0.2</v>
      </c>
      <c r="AH10" s="9">
        <v>0</v>
      </c>
      <c r="AI10" s="18"/>
      <c r="AJ10" s="23">
        <f>IF(SUM(O10:P10,R10:T10,V10)-Q10-U10&gt;0,SUM(O10:P10,R10:T10,V10)-Q10-U10,"")</f>
        <v>47.2</v>
      </c>
      <c r="AK10" s="23" t="str">
        <f>IF(SUM(W10:X10,Z10)-Y10&gt;0,SUM(W10:X10,Z10)-Y10,"")</f>
        <v/>
      </c>
      <c r="AL10" s="23">
        <f>IF(SUM(AA10:AB10,AD10)-SUM(AC10)&gt;0,SUM(AA10:AB10,AD10)-SUM(AC10),"")</f>
        <v>23.599999999999998</v>
      </c>
      <c r="AM10" s="23">
        <f>IF(SUM(AA10:AB10,AD10:AF10,AH10)-SUM(AC10,AG10)&gt;0,SUM(AA10:AB10,AD10:AF10,AH10)-SUM(AC10,AG10),"")</f>
        <v>47.8</v>
      </c>
      <c r="AN10" s="23">
        <f>IF(SUM(AJ10,AM10)&gt;0,SUM(AJ10,AM10),"")</f>
        <v>95</v>
      </c>
      <c r="AO10" s="8">
        <v>18.600000000000001</v>
      </c>
      <c r="AP10" s="8">
        <v>5.2</v>
      </c>
      <c r="AQ10" s="8">
        <v>0.8</v>
      </c>
      <c r="AR10" s="8">
        <v>0</v>
      </c>
      <c r="AS10" s="8">
        <v>18.600000000000001</v>
      </c>
      <c r="AT10" s="8">
        <v>5.6</v>
      </c>
      <c r="AU10" s="8">
        <v>0.2</v>
      </c>
      <c r="AV10" s="8">
        <v>0</v>
      </c>
      <c r="AW10" s="8">
        <v>18</v>
      </c>
      <c r="AX10" s="8">
        <v>4.8</v>
      </c>
      <c r="AY10" s="8">
        <v>0.6</v>
      </c>
      <c r="AZ10" s="8">
        <v>0</v>
      </c>
      <c r="BA10" s="8">
        <v>18.5</v>
      </c>
      <c r="BB10" s="8">
        <v>5.2</v>
      </c>
      <c r="BC10" s="8">
        <v>0.2</v>
      </c>
      <c r="BD10" s="8">
        <v>0</v>
      </c>
      <c r="BE10" s="8">
        <v>19</v>
      </c>
      <c r="BF10" s="8">
        <v>5.6</v>
      </c>
      <c r="BG10" s="8">
        <v>0</v>
      </c>
      <c r="BH10" s="8">
        <v>0</v>
      </c>
      <c r="BI10" s="19"/>
      <c r="BJ10" s="6">
        <f>IF(SUM(AO10:AP10,AR10:AT10,AV10)-AQ10-AU10&gt;0,SUM(AO10:AP10,AR10:AT10,AV10)-AQ10-AU10,"")</f>
        <v>47.000000000000007</v>
      </c>
      <c r="BK10" s="6">
        <f>IF(SUM(AW10:AX10,AZ10)-AY10&gt;0,SUM(AW10:AX10,AZ10)-AY10,"")</f>
        <v>22.2</v>
      </c>
      <c r="BL10" s="6">
        <f>IF(SUM(BA10:BB10,BD10)-SUM(BC10)&gt;0,SUM(BA10:BB10,BD10)-SUM(BC10),"")</f>
        <v>23.5</v>
      </c>
      <c r="BM10" s="6">
        <f>IF(SUM(BA10:BB10,BD10:BF10,BH10)-SUM(BC10,BG10)&gt;0,SUM(BA10:BB10,BD10:BF10,BH10)-SUM(BC10,BG10),"")</f>
        <v>48.1</v>
      </c>
      <c r="BN10" s="6">
        <f>IF(SUM(BJ10,BM10)&gt;0,SUM(BJ10,BM10),"")</f>
        <v>95.100000000000009</v>
      </c>
      <c r="BO10" s="9">
        <v>17.399999999999999</v>
      </c>
      <c r="BP10" s="9">
        <v>2.4</v>
      </c>
      <c r="BQ10" s="9">
        <v>0</v>
      </c>
      <c r="BR10" s="9">
        <v>0</v>
      </c>
      <c r="BS10" s="9">
        <v>18.2</v>
      </c>
      <c r="BT10" s="9">
        <v>5.6</v>
      </c>
      <c r="BU10" s="9">
        <v>0.2</v>
      </c>
      <c r="BV10" s="9">
        <v>0</v>
      </c>
      <c r="BW10" s="9"/>
      <c r="BX10" s="9"/>
      <c r="BY10" s="9"/>
      <c r="BZ10" s="9"/>
      <c r="CA10" s="9">
        <v>18.399999999999999</v>
      </c>
      <c r="CB10" s="9">
        <v>5.6</v>
      </c>
      <c r="CC10" s="9">
        <v>0.2</v>
      </c>
      <c r="CD10" s="9">
        <v>0</v>
      </c>
      <c r="CE10" s="9">
        <v>18.8</v>
      </c>
      <c r="CF10" s="9">
        <v>5.6</v>
      </c>
      <c r="CG10" s="9">
        <v>0</v>
      </c>
      <c r="CH10" s="9">
        <v>0</v>
      </c>
      <c r="CI10" s="18"/>
      <c r="CJ10" s="23">
        <f>IF(SUM(BO10:BP10,BR10:BT10,BV10)-BQ10-BU10&gt;0,SUM(BO10:BP10,BR10:BT10,BV10)-BQ10-BU10,"")</f>
        <v>43.4</v>
      </c>
      <c r="CK10" s="23" t="str">
        <f>IF(SUM(BW10:BX10,BZ10)-BY10&gt;0,SUM(BW10:BX10,BZ10)-BY10,"")</f>
        <v/>
      </c>
      <c r="CL10" s="23">
        <f>IF(SUM(CA10:CB10,CD10)-SUM(CC10)&gt;0,SUM(CA10:CB10,CD10)-SUM(CC10),"")</f>
        <v>23.8</v>
      </c>
      <c r="CM10" s="23">
        <f>IF(SUM(CA10:CB10,CD10:CF10,CH10)-SUM(CC10,CG10)&gt;0,SUM(CA10:CB10,CD10:CF10,CH10)-SUM(CC10,CG10),"")</f>
        <v>48.199999999999996</v>
      </c>
      <c r="CN10" s="23">
        <f>IF(SUM(CJ10,CM10)&gt;0,SUM(CJ10,CM10),"")</f>
        <v>91.6</v>
      </c>
    </row>
    <row r="11" spans="1:92" x14ac:dyDescent="0.2">
      <c r="A11" s="1" cm="1">
        <f t="array" ref="A11">IF(F11="P",SUMPRODUCT((F$4:F$15="P")*(E$4:E$15&gt;E11))+1,"")</f>
        <v>8</v>
      </c>
      <c r="B11" s="2" t="s">
        <v>35</v>
      </c>
      <c r="C11" s="3" t="s">
        <v>4</v>
      </c>
      <c r="D11" s="7">
        <v>1999</v>
      </c>
      <c r="E11" s="5">
        <f>SUM(G11:N11)+SUM(G11:M11)*0.0000001+SUM(G11)*0.0000000000001</f>
        <v>162.20001622000478</v>
      </c>
      <c r="F11" s="30" t="s">
        <v>55</v>
      </c>
      <c r="G11" s="4">
        <f>IF(COUNT(AJ11,BJ11,CJ11)&gt;0,LARGE((AJ11,BJ11,CJ11),1),0)</f>
        <v>48.199999999999996</v>
      </c>
      <c r="H11" s="4" t="str">
        <f>IF(G11=0,"",IF(G11=CJ11,$BO$1,IF(G11=BJ11,$AO$1,IF(G11=AJ11,$O$1,""))))</f>
        <v>2022 WG Virtual Technical Trial</v>
      </c>
      <c r="I11" s="4">
        <f>IF(COUNT(AJ11,BJ11,CJ11)&gt;1,LARGE((AJ11,BJ11,CJ11),2),0)</f>
        <v>45.099999999999994</v>
      </c>
      <c r="J11" s="4" t="str">
        <f>IF(I11=0,"",IF(I11=CJ11,$BO$1,IF(I11=BJ11,$AO$1,IF(I11=AJ11,$O$1,""))))</f>
        <v>2022 Elite Canada</v>
      </c>
      <c r="K11" s="4">
        <f>IF(MAX(AM11,BM11,CM11)&gt;0,MAX(AM11,BM11,CM11),0)</f>
        <v>48.8</v>
      </c>
      <c r="L11" s="4" t="str">
        <f>IF(K11=0,"",IF(K11=CM11,$BO$1,IF(K11=BM11,$AO$1,IF(K11=AM11,$O$1,""))))</f>
        <v>2022 Elite Canada</v>
      </c>
      <c r="M11" s="4">
        <f>IF(K11=CM11,MAX(BL11,AL11),IF(K11=BM11,MAX(CL11,AL11),IF(K11=AM11,MAX(CL11,BL11),0)))</f>
        <v>20.099999999999998</v>
      </c>
      <c r="N11" s="4" t="str">
        <f>IF(M11=0,"",IF(AND(M11=CL11,L11&lt;&gt;$BO$1),$BO$1,IF(AND(M11=BL11,L11&lt;&gt;$AO$1),$AO$1,IF(AND(M11=AL11,L11&lt;&gt;$O$1),$O$1,""))))</f>
        <v>2022 WG Virtual Technical Trial</v>
      </c>
      <c r="O11" s="9">
        <v>18.7</v>
      </c>
      <c r="P11" s="9">
        <v>5.6</v>
      </c>
      <c r="Q11" s="9">
        <v>0.6</v>
      </c>
      <c r="R11" s="9">
        <v>0</v>
      </c>
      <c r="S11" s="9">
        <v>18.899999999999999</v>
      </c>
      <c r="T11" s="9">
        <v>5.6</v>
      </c>
      <c r="U11" s="9">
        <v>0</v>
      </c>
      <c r="V11" s="9">
        <v>0</v>
      </c>
      <c r="W11" s="9"/>
      <c r="X11" s="9"/>
      <c r="Y11" s="9"/>
      <c r="Z11" s="9"/>
      <c r="AA11" s="9">
        <v>18.899999999999999</v>
      </c>
      <c r="AB11" s="9">
        <v>2.8</v>
      </c>
      <c r="AC11" s="9">
        <v>1.6</v>
      </c>
      <c r="AD11" s="9">
        <v>0</v>
      </c>
      <c r="AE11" s="9">
        <v>18.399999999999999</v>
      </c>
      <c r="AF11" s="9">
        <v>2.4</v>
      </c>
      <c r="AG11" s="9">
        <v>2.2000000000000002</v>
      </c>
      <c r="AH11" s="9">
        <v>0</v>
      </c>
      <c r="AI11" s="18"/>
      <c r="AJ11" s="23">
        <f>IF(SUM(O11:P11,R11:T11,V11)-Q11-U11&gt;0,SUM(O11:P11,R11:T11,V11)-Q11-U11,"")</f>
        <v>48.199999999999996</v>
      </c>
      <c r="AK11" s="23" t="str">
        <f>IF(SUM(W11:X11,Z11)-Y11&gt;0,SUM(W11:X11,Z11)-Y11,"")</f>
        <v/>
      </c>
      <c r="AL11" s="23">
        <f>IF(SUM(AA11:AB11,AD11)-SUM(AC11)&gt;0,SUM(AA11:AB11,AD11)-SUM(AC11),"")</f>
        <v>20.099999999999998</v>
      </c>
      <c r="AM11" s="23">
        <f>IF(SUM(AA11:AB11,AD11:AF11,AH11)-SUM(AC11,AG11)&gt;0,SUM(AA11:AB11,AD11:AF11,AH11)-SUM(AC11,AG11),"")</f>
        <v>38.699999999999996</v>
      </c>
      <c r="AN11" s="23">
        <f>IF(SUM(AJ11,AM11)&gt;0,SUM(AJ11,AM11),"")</f>
        <v>86.899999999999991</v>
      </c>
      <c r="AO11" s="8">
        <v>18.7</v>
      </c>
      <c r="AP11" s="8">
        <v>5.6</v>
      </c>
      <c r="AQ11" s="8">
        <v>0</v>
      </c>
      <c r="AR11" s="8">
        <v>0</v>
      </c>
      <c r="AS11" s="8">
        <v>18.600000000000001</v>
      </c>
      <c r="AT11" s="8">
        <v>3.3</v>
      </c>
      <c r="AU11" s="8">
        <v>1.1000000000000001</v>
      </c>
      <c r="AV11" s="8">
        <v>0</v>
      </c>
      <c r="AW11" s="8">
        <v>19.100000000000001</v>
      </c>
      <c r="AX11" s="8">
        <v>5.2</v>
      </c>
      <c r="AY11" s="8">
        <v>0.6</v>
      </c>
      <c r="AZ11" s="8">
        <v>0</v>
      </c>
      <c r="BA11" s="8">
        <v>18.7</v>
      </c>
      <c r="BB11" s="8">
        <v>5.6</v>
      </c>
      <c r="BC11" s="8">
        <v>0</v>
      </c>
      <c r="BD11" s="8">
        <v>0</v>
      </c>
      <c r="BE11" s="8">
        <v>18.899999999999999</v>
      </c>
      <c r="BF11" s="8">
        <v>5.6</v>
      </c>
      <c r="BG11" s="8">
        <v>0</v>
      </c>
      <c r="BH11" s="8">
        <v>0</v>
      </c>
      <c r="BI11" s="19"/>
      <c r="BJ11" s="6">
        <f>IF(SUM(AO11:AP11,AR11:AT11,AV11)-AQ11-AU11&gt;0,SUM(AO11:AP11,AR11:AT11,AV11)-AQ11-AU11,"")</f>
        <v>45.099999999999994</v>
      </c>
      <c r="BK11" s="6">
        <f>IF(SUM(AW11:AX11,AZ11)-AY11&gt;0,SUM(AW11:AX11,AZ11)-AY11,"")</f>
        <v>23.7</v>
      </c>
      <c r="BL11" s="6">
        <f>IF(SUM(BA11:BB11,BD11)-SUM(BC11)&gt;0,SUM(BA11:BB11,BD11)-SUM(BC11),"")</f>
        <v>24.299999999999997</v>
      </c>
      <c r="BM11" s="6">
        <f>IF(SUM(BA11:BB11,BD11:BF11,BH11)-SUM(BC11,BG11)&gt;0,SUM(BA11:BB11,BD11:BF11,BH11)-SUM(BC11,BG11),"")</f>
        <v>48.8</v>
      </c>
      <c r="BN11" s="6">
        <f>IF(SUM(BJ11,BM11)&gt;0,SUM(BJ11,BM11),"")</f>
        <v>93.899999999999991</v>
      </c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18"/>
      <c r="CJ11" s="23" t="str">
        <f>IF(SUM(BO11:BP11,BR11:BT11,BV11)-BQ11-BU11&gt;0,SUM(BO11:BP11,BR11:BT11,BV11)-BQ11-BU11,"")</f>
        <v/>
      </c>
      <c r="CK11" s="23" t="str">
        <f>IF(SUM(BW11:BX11,BZ11)-BY11&gt;0,SUM(BW11:BX11,BZ11)-BY11,"")</f>
        <v/>
      </c>
      <c r="CL11" s="23" t="str">
        <f>IF(SUM(CA11:CB11,CD11)-SUM(CC11)&gt;0,SUM(CA11:CB11,CD11)-SUM(CC11),"")</f>
        <v/>
      </c>
      <c r="CM11" s="23" t="str">
        <f>IF(SUM(CA11:CB11,CD11:CF11,CH11)-SUM(CC11,CG11)&gt;0,SUM(CA11:CB11,CD11:CF11,CH11)-SUM(CC11,CG11),"")</f>
        <v/>
      </c>
      <c r="CN11" s="23" t="str">
        <f>IF(SUM(CJ11,CM11)&gt;0,SUM(CJ11,CM11),"")</f>
        <v/>
      </c>
    </row>
    <row r="12" spans="1:92" x14ac:dyDescent="0.2">
      <c r="A12" s="1" t="str" cm="1">
        <f t="array" ref="A12">IF(F12="P",SUMPRODUCT((F$4:F$15="P")*(E$4:E$15&gt;E12))+1,"")</f>
        <v/>
      </c>
      <c r="B12" s="2" t="s">
        <v>61</v>
      </c>
      <c r="C12" s="3" t="s">
        <v>4</v>
      </c>
      <c r="D12" s="7">
        <v>2001</v>
      </c>
      <c r="E12" s="5">
        <f>SUM(G12:N12)+SUM(G12:M12)*0.0000001+SUM(G12)*0.0000000000001</f>
        <v>96.000009600004731</v>
      </c>
      <c r="F12" s="30"/>
      <c r="G12" s="4">
        <f>IF(COUNT(AJ12,BJ12,CJ12)&gt;0,LARGE((AJ12,BJ12,CJ12),1),0)</f>
        <v>47.3</v>
      </c>
      <c r="H12" s="4" t="str">
        <f>IF(G12=0,"",IF(G12=CJ12,$BO$1,IF(G12=BJ12,$AO$1,IF(G12=AJ12,$O$1,""))))</f>
        <v>2022 WG Virtual Control Trial</v>
      </c>
      <c r="I12" s="4">
        <f>IF(COUNT(AJ12,BJ12,CJ12)&gt;1,LARGE((AJ12,BJ12,CJ12),2),0)</f>
        <v>0</v>
      </c>
      <c r="J12" s="4" t="str">
        <f>IF(I12=0,"",IF(I12=CJ12,$BO$1,IF(I12=BJ12,$AO$1,IF(I12=AJ12,$O$1,""))))</f>
        <v/>
      </c>
      <c r="K12" s="4">
        <f>IF(MAX(AM12,BM12,CM12)&gt;0,MAX(AM12,BM12,CM12),0)</f>
        <v>48.699999999999996</v>
      </c>
      <c r="L12" s="4" t="str">
        <f>IF(K12=0,"",IF(K12=CM12,$BO$1,IF(K12=BM12,$AO$1,IF(K12=AM12,$O$1,""))))</f>
        <v>2022 WG Virtual Control Trial</v>
      </c>
      <c r="M12" s="4">
        <f>IF(K12=CM12,MAX(BL12,AL12),IF(K12=BM12,MAX(CL12,AL12),IF(K12=AM12,MAX(CL12,BL12),0)))</f>
        <v>0</v>
      </c>
      <c r="N12" s="4" t="str">
        <f>IF(M12=0,"",IF(AND(M12=CL12,L12&lt;&gt;$BO$1),$BO$1,IF(AND(M12=BL12,L12&lt;&gt;$AO$1),$AO$1,IF(AND(M12=AL12,L12&lt;&gt;$O$1),$O$1,""))))</f>
        <v/>
      </c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9"/>
      <c r="AI12" s="18"/>
      <c r="AJ12" s="23" t="str">
        <f>IF(SUM(O12:P12,R12:T12,V12)-Q12-U12&gt;0,SUM(O12:P12,R12:T12,V12)-Q12-U12,"")</f>
        <v/>
      </c>
      <c r="AK12" s="23" t="str">
        <f>IF(SUM(W12:X12,Z12)-Y12&gt;0,SUM(W12:X12,Z12)-Y12,"")</f>
        <v/>
      </c>
      <c r="AL12" s="23" t="str">
        <f>IF(SUM(AA12:AB12,AD12)-SUM(AC12)&gt;0,SUM(AA12:AB12,AD12)-SUM(AC12),"")</f>
        <v/>
      </c>
      <c r="AM12" s="23" t="str">
        <f>IF(SUM(AA12:AB12,AD12:AF12,AH12)-SUM(AC12,AG12)&gt;0,SUM(AA12:AB12,AD12:AF12,AH12)-SUM(AC12,AG12),"")</f>
        <v/>
      </c>
      <c r="AN12" s="23" t="str">
        <f>IF(SUM(AJ12,AM12)&gt;0,SUM(AJ12,AM12),"")</f>
        <v/>
      </c>
      <c r="AO12" s="8"/>
      <c r="AP12" s="8"/>
      <c r="AQ12" s="8"/>
      <c r="AR12" s="8"/>
      <c r="AS12" s="8"/>
      <c r="AT12" s="8"/>
      <c r="AU12" s="8"/>
      <c r="AV12" s="8"/>
      <c r="AW12" s="8"/>
      <c r="AX12" s="8"/>
      <c r="AY12" s="8"/>
      <c r="AZ12" s="8"/>
      <c r="BA12" s="8"/>
      <c r="BB12" s="8"/>
      <c r="BC12" s="8"/>
      <c r="BD12" s="8"/>
      <c r="BE12" s="8"/>
      <c r="BF12" s="8"/>
      <c r="BG12" s="8"/>
      <c r="BH12" s="8"/>
      <c r="BI12" s="19"/>
      <c r="BJ12" s="6" t="str">
        <f>IF(SUM(AO12:AP12,AR12:AT12,AV12)-AQ12-AU12&gt;0,SUM(AO12:AP12,AR12:AT12,AV12)-AQ12-AU12,"")</f>
        <v/>
      </c>
      <c r="BK12" s="6" t="str">
        <f>IF(SUM(AW12:AX12,AZ12)-AY12&gt;0,SUM(AW12:AX12,AZ12)-AY12,"")</f>
        <v/>
      </c>
      <c r="BL12" s="6" t="str">
        <f>IF(SUM(BA12:BB12,BD12)-SUM(BC12)&gt;0,SUM(BA12:BB12,BD12)-SUM(BC12),"")</f>
        <v/>
      </c>
      <c r="BM12" s="6" t="str">
        <f>IF(SUM(BA12:BB12,BD12:BF12,BH12)-SUM(BC12,BG12)&gt;0,SUM(BA12:BB12,BD12:BF12,BH12)-SUM(BC12,BG12),"")</f>
        <v/>
      </c>
      <c r="BN12" s="6" t="str">
        <f>IF(SUM(BJ12,BM12)&gt;0,SUM(BJ12,BM12),"")</f>
        <v/>
      </c>
      <c r="BO12" s="9">
        <v>17.899999999999999</v>
      </c>
      <c r="BP12" s="9">
        <v>6</v>
      </c>
      <c r="BQ12" s="9">
        <v>0</v>
      </c>
      <c r="BR12" s="9">
        <v>0</v>
      </c>
      <c r="BS12" s="9">
        <v>18.399999999999999</v>
      </c>
      <c r="BT12" s="9">
        <v>5.6</v>
      </c>
      <c r="BU12" s="9">
        <v>0.6</v>
      </c>
      <c r="BV12" s="9">
        <v>0</v>
      </c>
      <c r="BW12" s="9"/>
      <c r="BX12" s="9"/>
      <c r="BY12" s="9"/>
      <c r="BZ12" s="9"/>
      <c r="CA12" s="9">
        <v>18.7</v>
      </c>
      <c r="CB12" s="9">
        <v>5.6</v>
      </c>
      <c r="CC12" s="9">
        <v>0</v>
      </c>
      <c r="CD12" s="9">
        <v>0</v>
      </c>
      <c r="CE12" s="9">
        <v>18.600000000000001</v>
      </c>
      <c r="CF12" s="9">
        <v>6</v>
      </c>
      <c r="CG12" s="9">
        <v>0.2</v>
      </c>
      <c r="CH12" s="9">
        <v>0</v>
      </c>
      <c r="CI12" s="18"/>
      <c r="CJ12" s="23">
        <f>IF(SUM(BO12:BP12,BR12:BT12,BV12)-BQ12-BU12&gt;0,SUM(BO12:BP12,BR12:BT12,BV12)-BQ12-BU12,"")</f>
        <v>47.3</v>
      </c>
      <c r="CK12" s="23" t="str">
        <f>IF(SUM(BW12:BX12,BZ12)-BY12&gt;0,SUM(BW12:BX12,BZ12)-BY12,"")</f>
        <v/>
      </c>
      <c r="CL12" s="23">
        <f>IF(SUM(CA12:CB12,CD12)-SUM(CC12)&gt;0,SUM(CA12:CB12,CD12)-SUM(CC12),"")</f>
        <v>24.299999999999997</v>
      </c>
      <c r="CM12" s="23">
        <f>IF(SUM(CA12:CB12,CD12:CF12,CH12)-SUM(CC12,CG12)&gt;0,SUM(CA12:CB12,CD12:CF12,CH12)-SUM(CC12,CG12),"")</f>
        <v>48.699999999999996</v>
      </c>
      <c r="CN12" s="23">
        <f>IF(SUM(CJ12,CM12)&gt;0,SUM(CJ12,CM12),"")</f>
        <v>96</v>
      </c>
    </row>
    <row r="13" spans="1:92" x14ac:dyDescent="0.2">
      <c r="A13" s="1" t="str" cm="1">
        <f t="array" ref="A13">IF(F13="P",SUMPRODUCT((F$4:F$15="P")*(E$4:E$15&gt;E13))+1,"")</f>
        <v/>
      </c>
      <c r="B13" s="2" t="s">
        <v>62</v>
      </c>
      <c r="C13" s="3" t="s">
        <v>4</v>
      </c>
      <c r="D13" s="7">
        <v>2003</v>
      </c>
      <c r="E13" s="5">
        <f>SUM(G13:N13)+SUM(G13:M13)*0.0000001+SUM(G13)*0.0000000000001</f>
        <v>95.00000950000468</v>
      </c>
      <c r="F13" s="30"/>
      <c r="G13" s="4">
        <f>IF(COUNT(AJ13,BJ13,CJ13)&gt;0,LARGE((AJ13,BJ13,CJ13),1),0)</f>
        <v>46.7</v>
      </c>
      <c r="H13" s="4" t="str">
        <f>IF(G13=0,"",IF(G13=CJ13,$BO$1,IF(G13=BJ13,$AO$1,IF(G13=AJ13,$O$1,""))))</f>
        <v>2022 WG Virtual Control Trial</v>
      </c>
      <c r="I13" s="4">
        <f>IF(COUNT(AJ13,BJ13,CJ13)&gt;1,LARGE((AJ13,BJ13,CJ13),2),0)</f>
        <v>0</v>
      </c>
      <c r="J13" s="4" t="str">
        <f>IF(I13=0,"",IF(I13=CJ13,$BO$1,IF(I13=BJ13,$AO$1,IF(I13=AJ13,$O$1,""))))</f>
        <v/>
      </c>
      <c r="K13" s="4">
        <f>IF(MAX(AM13,BM13,CM13)&gt;0,MAX(AM13,BM13,CM13),0)</f>
        <v>48.3</v>
      </c>
      <c r="L13" s="4" t="str">
        <f>IF(K13=0,"",IF(K13=CM13,$BO$1,IF(K13=BM13,$AO$1,IF(K13=AM13,$O$1,""))))</f>
        <v>2022 WG Virtual Control Trial</v>
      </c>
      <c r="M13" s="4">
        <f>IF(K13=CM13,MAX(BL13,AL13),IF(K13=BM13,MAX(CL13,AL13),IF(K13=AM13,MAX(CL13,BL13),0)))</f>
        <v>0</v>
      </c>
      <c r="N13" s="4" t="str">
        <f>IF(M13=0,"",IF(AND(M13=CL13,L13&lt;&gt;$BO$1),$BO$1,IF(AND(M13=BL13,L13&lt;&gt;$AO$1),$AO$1,IF(AND(M13=AL13,L13&lt;&gt;$O$1),$O$1,""))))</f>
        <v/>
      </c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  <c r="AA13" s="9"/>
      <c r="AB13" s="9"/>
      <c r="AC13" s="9"/>
      <c r="AD13" s="9"/>
      <c r="AE13" s="9"/>
      <c r="AF13" s="9"/>
      <c r="AG13" s="9"/>
      <c r="AH13" s="9"/>
      <c r="AI13" s="18"/>
      <c r="AJ13" s="23" t="str">
        <f>IF(SUM(O13:P13,R13:T13,V13)-Q13-U13&gt;0,SUM(O13:P13,R13:T13,V13)-Q13-U13,"")</f>
        <v/>
      </c>
      <c r="AK13" s="23" t="str">
        <f>IF(SUM(W13:X13,Z13)-Y13&gt;0,SUM(W13:X13,Z13)-Y13,"")</f>
        <v/>
      </c>
      <c r="AL13" s="23" t="str">
        <f>IF(SUM(AA13:AB13,AD13)-SUM(AC13)&gt;0,SUM(AA13:AB13,AD13)-SUM(AC13),"")</f>
        <v/>
      </c>
      <c r="AM13" s="23" t="str">
        <f>IF(SUM(AA13:AB13,AD13:AF13,AH13)-SUM(AC13,AG13)&gt;0,SUM(AA13:AB13,AD13:AF13,AH13)-SUM(AC13,AG13),"")</f>
        <v/>
      </c>
      <c r="AN13" s="23" t="str">
        <f>IF(SUM(AJ13,AM13)&gt;0,SUM(AJ13,AM13),"")</f>
        <v/>
      </c>
      <c r="AO13" s="8"/>
      <c r="AP13" s="8"/>
      <c r="AQ13" s="8"/>
      <c r="AR13" s="8"/>
      <c r="AS13" s="8"/>
      <c r="AT13" s="8"/>
      <c r="AU13" s="8"/>
      <c r="AV13" s="8"/>
      <c r="AW13" s="8"/>
      <c r="AX13" s="8"/>
      <c r="AY13" s="8"/>
      <c r="AZ13" s="8"/>
      <c r="BA13" s="8"/>
      <c r="BB13" s="8"/>
      <c r="BC13" s="8"/>
      <c r="BD13" s="8"/>
      <c r="BE13" s="8"/>
      <c r="BF13" s="8"/>
      <c r="BG13" s="8"/>
      <c r="BH13" s="8"/>
      <c r="BI13" s="19"/>
      <c r="BJ13" s="6" t="str">
        <f>IF(SUM(AO13:AP13,AR13:AT13,AV13)-AQ13-AU13&gt;0,SUM(AO13:AP13,AR13:AT13,AV13)-AQ13-AU13,"")</f>
        <v/>
      </c>
      <c r="BK13" s="6" t="str">
        <f>IF(SUM(AW13:AX13,AZ13)-AY13&gt;0,SUM(AW13:AX13,AZ13)-AY13,"")</f>
        <v/>
      </c>
      <c r="BL13" s="6" t="str">
        <f>IF(SUM(BA13:BB13,BD13)-SUM(BC13)&gt;0,SUM(BA13:BB13,BD13)-SUM(BC13),"")</f>
        <v/>
      </c>
      <c r="BM13" s="6" t="str">
        <f>IF(SUM(BA13:BB13,BD13:BF13,BH13)-SUM(BC13,BG13)&gt;0,SUM(BA13:BB13,BD13:BF13,BH13)-SUM(BC13,BG13),"")</f>
        <v/>
      </c>
      <c r="BN13" s="6" t="str">
        <f>IF(SUM(BJ13,BM13)&gt;0,SUM(BJ13,BM13),"")</f>
        <v/>
      </c>
      <c r="BO13" s="9">
        <v>18.600000000000001</v>
      </c>
      <c r="BP13" s="9">
        <v>5.6</v>
      </c>
      <c r="BQ13" s="9">
        <v>0.2</v>
      </c>
      <c r="BR13" s="9">
        <v>0</v>
      </c>
      <c r="BS13" s="9">
        <v>17.7</v>
      </c>
      <c r="BT13" s="9">
        <v>6</v>
      </c>
      <c r="BU13" s="9">
        <v>1</v>
      </c>
      <c r="BV13" s="9">
        <v>0</v>
      </c>
      <c r="BW13" s="9"/>
      <c r="BX13" s="9"/>
      <c r="BY13" s="9"/>
      <c r="BZ13" s="9"/>
      <c r="CA13" s="9">
        <v>18.7</v>
      </c>
      <c r="CB13" s="9">
        <v>5.6</v>
      </c>
      <c r="CC13" s="9">
        <v>0.2</v>
      </c>
      <c r="CD13" s="9">
        <v>0</v>
      </c>
      <c r="CE13" s="9">
        <v>18.399999999999999</v>
      </c>
      <c r="CF13" s="9">
        <v>6</v>
      </c>
      <c r="CG13" s="9">
        <v>0.2</v>
      </c>
      <c r="CH13" s="9">
        <v>0</v>
      </c>
      <c r="CI13" s="18"/>
      <c r="CJ13" s="23">
        <f>IF(SUM(BO13:BP13,BR13:BT13,BV13)-BQ13-BU13&gt;0,SUM(BO13:BP13,BR13:BT13,BV13)-BQ13-BU13,"")</f>
        <v>46.7</v>
      </c>
      <c r="CK13" s="23" t="str">
        <f>IF(SUM(BW13:BX13,BZ13)-BY13&gt;0,SUM(BW13:BX13,BZ13)-BY13,"")</f>
        <v/>
      </c>
      <c r="CL13" s="23">
        <f>IF(SUM(CA13:CB13,CD13)-SUM(CC13)&gt;0,SUM(CA13:CB13,CD13)-SUM(CC13),"")</f>
        <v>24.099999999999998</v>
      </c>
      <c r="CM13" s="23">
        <f>IF(SUM(CA13:CB13,CD13:CF13,CH13)-SUM(CC13,CG13)&gt;0,SUM(CA13:CB13,CD13:CF13,CH13)-SUM(CC13,CG13),"")</f>
        <v>48.3</v>
      </c>
      <c r="CN13" s="23">
        <f>IF(SUM(CJ13,CM13)&gt;0,SUM(CJ13,CM13),"")</f>
        <v>95</v>
      </c>
    </row>
    <row r="14" spans="1:92" x14ac:dyDescent="0.2">
      <c r="A14" s="1" t="str" cm="1">
        <f t="array" ref="A14">IF(F14="P",SUMPRODUCT((F$4:F$15="P")*(E$4:E$15&gt;E14))+1,"")</f>
        <v/>
      </c>
      <c r="B14" s="2" t="s">
        <v>59</v>
      </c>
      <c r="C14" s="3" t="s">
        <v>17</v>
      </c>
      <c r="D14" s="7">
        <v>2000</v>
      </c>
      <c r="E14" s="5">
        <f>SUM(G14:N14)+SUM(G14:M14)*0.0000001+SUM(G14)*0.0000000000001</f>
        <v>94.700009470004716</v>
      </c>
      <c r="F14" s="30"/>
      <c r="G14" s="4">
        <f>IF(COUNT(AJ14,BJ14,CJ14)&gt;0,LARGE((AJ14,BJ14,CJ14),1),0)</f>
        <v>47.3</v>
      </c>
      <c r="H14" s="4" t="str">
        <f>IF(G14=0,"",IF(G14=CJ14,$BO$1,IF(G14=BJ14,$AO$1,IF(G14=AJ14,$O$1,""))))</f>
        <v>2022 Elite Canada</v>
      </c>
      <c r="I14" s="4">
        <f>IF(COUNT(AJ14,BJ14,CJ14)&gt;1,LARGE((AJ14,BJ14,CJ14),2),0)</f>
        <v>0</v>
      </c>
      <c r="J14" s="4" t="str">
        <f>IF(I14=0,"",IF(I14=CJ14,$BO$1,IF(I14=BJ14,$AO$1,IF(I14=AJ14,$O$1,""))))</f>
        <v/>
      </c>
      <c r="K14" s="4">
        <f>IF(MAX(AM14,BM14,CM14)&gt;0,MAX(AM14,BM14,CM14),0)</f>
        <v>47.4</v>
      </c>
      <c r="L14" s="4" t="str">
        <f>IF(K14=0,"",IF(K14=CM14,$BO$1,IF(K14=BM14,$AO$1,IF(K14=AM14,$O$1,""))))</f>
        <v>2022 Elite Canada</v>
      </c>
      <c r="M14" s="4">
        <f>IF(K14=CM14,MAX(BL14,AL14),IF(K14=BM14,MAX(CL14,AL14),IF(K14=AM14,MAX(CL14,BL14),0)))</f>
        <v>0</v>
      </c>
      <c r="N14" s="4" t="str">
        <f>IF(M14=0,"",IF(AND(M14=CL14,L14&lt;&gt;$BO$1),$BO$1,IF(AND(M14=BL14,L14&lt;&gt;$AO$1),$AO$1,IF(AND(M14=AL14,L14&lt;&gt;$O$1),$O$1,""))))</f>
        <v/>
      </c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9"/>
      <c r="AH14" s="9"/>
      <c r="AI14" s="18"/>
      <c r="AJ14" s="23" t="str">
        <f>IF(SUM(O14:P14,R14:T14,V14)-Q14-U14&gt;0,SUM(O14:P14,R14:T14,V14)-Q14-U14,"")</f>
        <v/>
      </c>
      <c r="AK14" s="23" t="str">
        <f>IF(SUM(W14:X14,Z14)-Y14&gt;0,SUM(W14:X14,Z14)-Y14,"")</f>
        <v/>
      </c>
      <c r="AL14" s="23" t="str">
        <f>IF(SUM(AA14:AB14,AD14)-SUM(AC14)&gt;0,SUM(AA14:AB14,AD14)-SUM(AC14),"")</f>
        <v/>
      </c>
      <c r="AM14" s="23" t="str">
        <f>IF(SUM(AA14:AB14,AD14:AF14,AH14)-SUM(AC14,AG14)&gt;0,SUM(AA14:AB14,AD14:AF14,AH14)-SUM(AC14,AG14),"")</f>
        <v/>
      </c>
      <c r="AN14" s="23" t="str">
        <f>IF(SUM(AJ14,AM14)&gt;0,SUM(AJ14,AM14),"")</f>
        <v/>
      </c>
      <c r="AO14" s="8">
        <v>18.5</v>
      </c>
      <c r="AP14" s="8">
        <v>5.2</v>
      </c>
      <c r="AQ14" s="8">
        <v>0</v>
      </c>
      <c r="AR14" s="8">
        <v>0</v>
      </c>
      <c r="AS14" s="8">
        <v>18.600000000000001</v>
      </c>
      <c r="AT14" s="8">
        <v>5.6</v>
      </c>
      <c r="AU14" s="8">
        <v>0.6</v>
      </c>
      <c r="AV14" s="8">
        <v>0</v>
      </c>
      <c r="AW14" s="8">
        <v>18.2</v>
      </c>
      <c r="AX14" s="8">
        <v>5.2</v>
      </c>
      <c r="AY14" s="8">
        <v>0.2</v>
      </c>
      <c r="AZ14" s="8">
        <v>0.3</v>
      </c>
      <c r="BA14" s="8">
        <v>18.399999999999999</v>
      </c>
      <c r="BB14" s="8">
        <v>5.2</v>
      </c>
      <c r="BC14" s="8">
        <v>0.6</v>
      </c>
      <c r="BD14" s="8">
        <v>0</v>
      </c>
      <c r="BE14" s="8">
        <v>19</v>
      </c>
      <c r="BF14" s="8">
        <v>5.6</v>
      </c>
      <c r="BG14" s="8">
        <v>0.2</v>
      </c>
      <c r="BH14" s="8">
        <v>0</v>
      </c>
      <c r="BI14" s="19"/>
      <c r="BJ14" s="6">
        <f>IF(SUM(AO14:AP14,AR14:AT14,AV14)-AQ14-AU14&gt;0,SUM(AO14:AP14,AR14:AT14,AV14)-AQ14-AU14,"")</f>
        <v>47.3</v>
      </c>
      <c r="BK14" s="6">
        <f>IF(SUM(AW14:AX14,AZ14)-AY14&gt;0,SUM(AW14:AX14,AZ14)-AY14,"")</f>
        <v>23.5</v>
      </c>
      <c r="BL14" s="6">
        <f>IF(SUM(BA14:BB14,BD14)-SUM(BC14)&gt;0,SUM(BA14:BB14,BD14)-SUM(BC14),"")</f>
        <v>22.999999999999996</v>
      </c>
      <c r="BM14" s="6">
        <f>IF(SUM(BA14:BB14,BD14:BF14,BH14)-SUM(BC14,BG14)&gt;0,SUM(BA14:BB14,BD14:BF14,BH14)-SUM(BC14,BG14),"")</f>
        <v>47.4</v>
      </c>
      <c r="BN14" s="6">
        <f>IF(SUM(BJ14,BM14)&gt;0,SUM(BJ14,BM14),"")</f>
        <v>94.699999999999989</v>
      </c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18"/>
      <c r="CJ14" s="23" t="str">
        <f>IF(SUM(BO14:BP14,BR14:BT14,BV14)-BQ14-BU14&gt;0,SUM(BO14:BP14,BR14:BT14,BV14)-BQ14-BU14,"")</f>
        <v/>
      </c>
      <c r="CK14" s="23" t="str">
        <f>IF(SUM(BW14:BX14,BZ14)-BY14&gt;0,SUM(BW14:BX14,BZ14)-BY14,"")</f>
        <v/>
      </c>
      <c r="CL14" s="23" t="str">
        <f>IF(SUM(CA14:CB14,CD14)-SUM(CC14)&gt;0,SUM(CA14:CB14,CD14)-SUM(CC14),"")</f>
        <v/>
      </c>
      <c r="CM14" s="23" t="str">
        <f>IF(SUM(CA14:CB14,CD14:CF14,CH14)-SUM(CC14,CG14)&gt;0,SUM(CA14:CB14,CD14:CF14,CH14)-SUM(CC14,CG14),"")</f>
        <v/>
      </c>
      <c r="CN14" s="23" t="str">
        <f>IF(SUM(CJ14,CM14)&gt;0,SUM(CJ14,CM14),"")</f>
        <v/>
      </c>
    </row>
    <row r="15" spans="1:92" x14ac:dyDescent="0.2">
      <c r="A15" s="1" t="str" cm="1">
        <f t="array" ref="A15">IF(F15="P",SUMPRODUCT((F$4:F$15="P")*(E$4:E$15&gt;E15))+1,"")</f>
        <v/>
      </c>
      <c r="B15" s="2" t="s">
        <v>60</v>
      </c>
      <c r="C15" s="3" t="s">
        <v>5</v>
      </c>
      <c r="D15" s="7">
        <v>2003</v>
      </c>
      <c r="E15" s="5">
        <f>SUM(G15:N15)+SUM(G15:M15)*0.0000001+SUM(G15)*0.0000000000001</f>
        <v>80.800008080004048</v>
      </c>
      <c r="F15" s="30"/>
      <c r="G15" s="4">
        <f>IF(COUNT(AJ15,BJ15,CJ15)&gt;0,LARGE((AJ15,BJ15,CJ15),1),0)</f>
        <v>40.5</v>
      </c>
      <c r="H15" s="4" t="str">
        <f>IF(G15=0,"",IF(G15=CJ15,$BO$1,IF(G15=BJ15,$AO$1,IF(G15=AJ15,$O$1,""))))</f>
        <v>2022 Elite Canada</v>
      </c>
      <c r="I15" s="4">
        <f>IF(COUNT(AJ15,BJ15,CJ15)&gt;1,LARGE((AJ15,BJ15,CJ15),2),0)</f>
        <v>0</v>
      </c>
      <c r="J15" s="4" t="str">
        <f>IF(I15=0,"",IF(I15=CJ15,$BO$1,IF(I15=BJ15,$AO$1,IF(I15=AJ15,$O$1,""))))</f>
        <v/>
      </c>
      <c r="K15" s="4">
        <f>IF(MAX(AM15,BM15,CM15)&gt;0,MAX(AM15,BM15,CM15),0)</f>
        <v>40.299999999999997</v>
      </c>
      <c r="L15" s="4" t="str">
        <f>IF(K15=0,"",IF(K15=CM15,$BO$1,IF(K15=BM15,$AO$1,IF(K15=AM15,$O$1,""))))</f>
        <v>2022 Elite Canada</v>
      </c>
      <c r="M15" s="4">
        <f>IF(K15=CM15,MAX(BL15,AL15),IF(K15=BM15,MAX(CL15,AL15),IF(K15=AM15,MAX(CL15,BL15),0)))</f>
        <v>0</v>
      </c>
      <c r="N15" s="4" t="str">
        <f>IF(M15=0,"",IF(AND(M15=CL15,L15&lt;&gt;$BO$1),$BO$1,IF(AND(M15=BL15,L15&lt;&gt;$AO$1),$AO$1,IF(AND(M15=AL15,L15&lt;&gt;$O$1),$O$1,""))))</f>
        <v/>
      </c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9"/>
      <c r="AH15" s="9"/>
      <c r="AI15" s="18"/>
      <c r="AJ15" s="23" t="str">
        <f>IF(SUM(O15:P15,R15:T15,V15)-Q15-U15&gt;0,SUM(O15:P15,R15:T15,V15)-Q15-U15,"")</f>
        <v/>
      </c>
      <c r="AK15" s="23" t="str">
        <f>IF(SUM(W15:X15,Z15)-Y15&gt;0,SUM(W15:X15,Z15)-Y15,"")</f>
        <v/>
      </c>
      <c r="AL15" s="23" t="str">
        <f>IF(SUM(AA15:AB15,AD15)-SUM(AC15)&gt;0,SUM(AA15:AB15,AD15)-SUM(AC15),"")</f>
        <v/>
      </c>
      <c r="AM15" s="23" t="str">
        <f>IF(SUM(AA15:AB15,AD15:AF15,AH15)-SUM(AC15,AG15)&gt;0,SUM(AA15:AB15,AD15:AF15,AH15)-SUM(AC15,AG15),"")</f>
        <v/>
      </c>
      <c r="AN15" s="23" t="str">
        <f>IF(SUM(AJ15,AM15)&gt;0,SUM(AJ15,AM15),"")</f>
        <v/>
      </c>
      <c r="AO15" s="8">
        <v>18.399999999999999</v>
      </c>
      <c r="AP15" s="8">
        <v>5.2</v>
      </c>
      <c r="AQ15" s="8">
        <v>0.2</v>
      </c>
      <c r="AR15" s="8">
        <v>0</v>
      </c>
      <c r="AS15" s="8">
        <v>17.100000000000001</v>
      </c>
      <c r="AT15" s="8">
        <v>0</v>
      </c>
      <c r="AU15" s="8">
        <v>0</v>
      </c>
      <c r="AV15" s="8">
        <v>0</v>
      </c>
      <c r="AW15" s="8">
        <v>18.399999999999999</v>
      </c>
      <c r="AX15" s="8">
        <v>5.2</v>
      </c>
      <c r="AY15" s="8">
        <v>0.2</v>
      </c>
      <c r="AZ15" s="8">
        <v>0</v>
      </c>
      <c r="BA15" s="8">
        <v>18.3</v>
      </c>
      <c r="BB15" s="8">
        <v>5.2</v>
      </c>
      <c r="BC15" s="8">
        <v>0.2</v>
      </c>
      <c r="BD15" s="8">
        <v>0</v>
      </c>
      <c r="BE15" s="8">
        <v>17</v>
      </c>
      <c r="BF15" s="8">
        <v>0</v>
      </c>
      <c r="BG15" s="8">
        <v>0</v>
      </c>
      <c r="BH15" s="8">
        <v>0</v>
      </c>
      <c r="BI15" s="19"/>
      <c r="BJ15" s="6">
        <f>IF(SUM(AO15:AP15,AR15:AT15,AV15)-AQ15-AU15&gt;0,SUM(AO15:AP15,AR15:AT15,AV15)-AQ15-AU15,"")</f>
        <v>40.5</v>
      </c>
      <c r="BK15" s="6">
        <f>IF(SUM(AW15:AX15,AZ15)-AY15&gt;0,SUM(AW15:AX15,AZ15)-AY15,"")</f>
        <v>23.4</v>
      </c>
      <c r="BL15" s="6">
        <f>IF(SUM(BA15:BB15,BD15)-SUM(BC15)&gt;0,SUM(BA15:BB15,BD15)-SUM(BC15),"")</f>
        <v>23.3</v>
      </c>
      <c r="BM15" s="6">
        <f>IF(SUM(BA15:BB15,BD15:BF15,BH15)-SUM(BC15,BG15)&gt;0,SUM(BA15:BB15,BD15:BF15,BH15)-SUM(BC15,BG15),"")</f>
        <v>40.299999999999997</v>
      </c>
      <c r="BN15" s="6">
        <f>IF(SUM(BJ15,BM15)&gt;0,SUM(BJ15,BM15),"")</f>
        <v>80.8</v>
      </c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18"/>
      <c r="CJ15" s="23" t="str">
        <f>IF(SUM(BO15:BP15,BR15:BT15,BV15)-BQ15-BU15&gt;0,SUM(BO15:BP15,BR15:BT15,BV15)-BQ15-BU15,"")</f>
        <v/>
      </c>
      <c r="CK15" s="23" t="str">
        <f>IF(SUM(BW15:BX15,BZ15)-BY15&gt;0,SUM(BW15:BX15,BZ15)-BY15,"")</f>
        <v/>
      </c>
      <c r="CL15" s="23" t="str">
        <f>IF(SUM(CA15:CB15,CD15)-SUM(CC15)&gt;0,SUM(CA15:CB15,CD15)-SUM(CC15),"")</f>
        <v/>
      </c>
      <c r="CM15" s="23" t="str">
        <f>IF(SUM(CA15:CB15,CD15:CF15,CH15)-SUM(CC15,CG15)&gt;0,SUM(CA15:CB15,CD15:CF15,CH15)-SUM(CC15,CG15),"")</f>
        <v/>
      </c>
      <c r="CN15" s="23" t="str">
        <f>IF(SUM(CJ15,CM15)&gt;0,SUM(CJ15,CM15),"")</f>
        <v/>
      </c>
    </row>
    <row r="17" spans="1:3" x14ac:dyDescent="0.2">
      <c r="A17" s="11"/>
      <c r="B17" s="11"/>
      <c r="C17" s="10"/>
    </row>
    <row r="18" spans="1:3" x14ac:dyDescent="0.2">
      <c r="A18" s="2"/>
      <c r="B18" s="2"/>
      <c r="C18" s="2"/>
    </row>
  </sheetData>
  <sheetProtection sheet="1" formatCells="0" formatColumns="0" formatRows="0"/>
  <autoFilter ref="A1:CN15" xr:uid="{BB9C3AB3-2D15-174E-B900-3E2F789706E1}">
    <filterColumn colId="14" showButton="0"/>
    <filterColumn colId="15" showButton="0"/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sortState xmlns:xlrd2="http://schemas.microsoft.com/office/spreadsheetml/2017/richdata2" ref="A4:CN15">
      <sortCondition descending="1" ref="F1:F16"/>
    </sortState>
  </autoFilter>
  <mergeCells count="32">
    <mergeCell ref="W2:Z2"/>
    <mergeCell ref="AA2:AD2"/>
    <mergeCell ref="AE2:AH2"/>
    <mergeCell ref="BS2:BV2"/>
    <mergeCell ref="BW2:BZ2"/>
    <mergeCell ref="CA2:CD2"/>
    <mergeCell ref="CE2:CH2"/>
    <mergeCell ref="AO2:AR2"/>
    <mergeCell ref="AS2:AV2"/>
    <mergeCell ref="L1:L3"/>
    <mergeCell ref="AW2:AZ2"/>
    <mergeCell ref="BA2:BD2"/>
    <mergeCell ref="BE2:BH2"/>
    <mergeCell ref="BO2:BR2"/>
    <mergeCell ref="M1:M3"/>
    <mergeCell ref="N1:N3"/>
    <mergeCell ref="O1:AN1"/>
    <mergeCell ref="AO1:BN1"/>
    <mergeCell ref="BO1:CN1"/>
    <mergeCell ref="O2:R2"/>
    <mergeCell ref="S2:V2"/>
    <mergeCell ref="A1:A3"/>
    <mergeCell ref="B1:B3"/>
    <mergeCell ref="C1:C3"/>
    <mergeCell ref="D1:D3"/>
    <mergeCell ref="E1:E3"/>
    <mergeCell ref="K1:K3"/>
    <mergeCell ref="F1:F3"/>
    <mergeCell ref="G1:G3"/>
    <mergeCell ref="H1:H3"/>
    <mergeCell ref="I1:I3"/>
    <mergeCell ref="J1:J3"/>
  </mergeCells>
  <conditionalFormatting sqref="H1:H1048576 J1:J1048576 L1:L1048576 N1:N1048576">
    <cfRule type="expression" dxfId="2" priority="1">
      <formula>IF(H1=$BO$1,1,0)</formula>
    </cfRule>
    <cfRule type="expression" dxfId="1" priority="2">
      <formula>IF(H1=$AO$1,1,0)</formula>
    </cfRule>
    <cfRule type="expression" dxfId="0" priority="3">
      <formula>IF(H1=$O$1,1,0)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2022-06-20T21:33:20Z</dcterms:modified>
</cp:coreProperties>
</file>