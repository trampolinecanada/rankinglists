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36503ADC-A9A8-7646-8C5A-ED6C013BB643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TUM-M" sheetId="22" r:id="rId1"/>
    <sheet name="TUM-W" sheetId="8" r:id="rId2"/>
    <sheet name="DMT-M" sheetId="23" r:id="rId3"/>
    <sheet name="DMT-W" sheetId="24" r:id="rId4"/>
  </sheets>
  <definedNames>
    <definedName name="_xlnm._FilterDatabase" localSheetId="2" hidden="1">'DMT-M'!$A$1:$CN$18</definedName>
    <definedName name="_xlnm._FilterDatabase" localSheetId="3" hidden="1">'DMT-W'!$A$1:$CN$15</definedName>
    <definedName name="_xlnm._FilterDatabase" localSheetId="0" hidden="1">'TUM-M'!$A$1:$CN$6</definedName>
    <definedName name="_xlnm._FilterDatabase" localSheetId="1" hidden="1">'TUM-W'!$A$1:$CN$7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6" i="8" l="1"/>
  <c r="AK6" i="8"/>
  <c r="AL6" i="8"/>
  <c r="AM6" i="8"/>
  <c r="BJ6" i="8"/>
  <c r="BK6" i="8"/>
  <c r="BL6" i="8"/>
  <c r="BM6" i="8"/>
  <c r="CJ6" i="8"/>
  <c r="CK6" i="8"/>
  <c r="CL6" i="8"/>
  <c r="CM6" i="8"/>
  <c r="CN6" i="8" l="1"/>
  <c r="BN6" i="8"/>
  <c r="G6" i="8"/>
  <c r="H6" i="8" s="1"/>
  <c r="AN6" i="8"/>
  <c r="I6" i="8"/>
  <c r="J6" i="8" s="1"/>
  <c r="K6" i="8"/>
  <c r="AJ6" i="22"/>
  <c r="AN6" i="22" s="1"/>
  <c r="AK6" i="22"/>
  <c r="AL6" i="22"/>
  <c r="AM6" i="22"/>
  <c r="BJ6" i="22"/>
  <c r="BK6" i="22"/>
  <c r="BL6" i="22"/>
  <c r="BM6" i="22"/>
  <c r="CJ6" i="22"/>
  <c r="CK6" i="22"/>
  <c r="CL6" i="22"/>
  <c r="CM6" i="22"/>
  <c r="BN6" i="22" l="1"/>
  <c r="L6" i="8"/>
  <c r="M6" i="8"/>
  <c r="K6" i="22"/>
  <c r="L6" i="22" s="1"/>
  <c r="CN6" i="22"/>
  <c r="G6" i="22"/>
  <c r="H6" i="22" s="1"/>
  <c r="I6" i="22"/>
  <c r="J6" i="22" s="1"/>
  <c r="A15" i="23" a="1"/>
  <c r="A15" i="23" s="1"/>
  <c r="AJ15" i="23"/>
  <c r="AK15" i="23"/>
  <c r="AL15" i="23"/>
  <c r="AM15" i="23"/>
  <c r="AN15" i="23" s="1"/>
  <c r="BJ15" i="23"/>
  <c r="BK15" i="23"/>
  <c r="BL15" i="23"/>
  <c r="BM15" i="23"/>
  <c r="CJ15" i="23"/>
  <c r="CK15" i="23"/>
  <c r="CL15" i="23"/>
  <c r="CM15" i="23"/>
  <c r="BN15" i="23" l="1"/>
  <c r="N6" i="8"/>
  <c r="E6" i="8" s="1"/>
  <c r="A6" i="8" s="1" a="1"/>
  <c r="A6" i="8" s="1"/>
  <c r="M6" i="22"/>
  <c r="N6" i="22" s="1"/>
  <c r="E6" i="22" s="1"/>
  <c r="A6" i="22" s="1" a="1"/>
  <c r="A6" i="22" s="1"/>
  <c r="CN15" i="23"/>
  <c r="K15" i="23"/>
  <c r="M15" i="23" s="1"/>
  <c r="G15" i="23"/>
  <c r="H15" i="23" s="1"/>
  <c r="I15" i="23"/>
  <c r="J15" i="23" s="1"/>
  <c r="AJ12" i="24"/>
  <c r="AK12" i="24"/>
  <c r="AL12" i="24"/>
  <c r="AM12" i="24"/>
  <c r="BJ12" i="24"/>
  <c r="BK12" i="24"/>
  <c r="BL12" i="24"/>
  <c r="BM12" i="24"/>
  <c r="CJ12" i="24"/>
  <c r="CK12" i="24"/>
  <c r="CL12" i="24"/>
  <c r="CM12" i="24"/>
  <c r="AJ13" i="24"/>
  <c r="AK13" i="24"/>
  <c r="AL13" i="24"/>
  <c r="AM13" i="24"/>
  <c r="BJ13" i="24"/>
  <c r="BK13" i="24"/>
  <c r="BL13" i="24"/>
  <c r="BM13" i="24"/>
  <c r="CJ13" i="24"/>
  <c r="CK13" i="24"/>
  <c r="CL13" i="24"/>
  <c r="CM13" i="24"/>
  <c r="A7" i="8" a="1"/>
  <c r="A7" i="8" s="1"/>
  <c r="A12" i="23" a="1"/>
  <c r="A12" i="23" s="1"/>
  <c r="A14" i="23" a="1"/>
  <c r="A14" i="23" s="1"/>
  <c r="A10" i="23" a="1"/>
  <c r="A10" i="23" s="1"/>
  <c r="A17" i="23" a="1"/>
  <c r="A17" i="23" s="1"/>
  <c r="A16" i="23" a="1"/>
  <c r="A16" i="23" s="1"/>
  <c r="A9" i="23" a="1"/>
  <c r="A9" i="23" s="1"/>
  <c r="A11" i="23" a="1"/>
  <c r="A11" i="23" s="1"/>
  <c r="A18" i="23" a="1"/>
  <c r="A18" i="23" s="1"/>
  <c r="A13" i="23" a="1"/>
  <c r="A13" i="23" s="1"/>
  <c r="AJ14" i="24"/>
  <c r="AK14" i="24"/>
  <c r="AL14" i="24"/>
  <c r="AM14" i="24"/>
  <c r="AN14" i="24" s="1"/>
  <c r="BJ14" i="24"/>
  <c r="BK14" i="24"/>
  <c r="BL14" i="24"/>
  <c r="BM14" i="24"/>
  <c r="CJ14" i="24"/>
  <c r="CK14" i="24"/>
  <c r="CL14" i="24"/>
  <c r="CM14" i="24"/>
  <c r="AJ15" i="24"/>
  <c r="AK15" i="24"/>
  <c r="AL15" i="24"/>
  <c r="AM15" i="24"/>
  <c r="BJ15" i="24"/>
  <c r="BK15" i="24"/>
  <c r="BL15" i="24"/>
  <c r="BM15" i="24"/>
  <c r="BN15" i="24" s="1"/>
  <c r="CJ15" i="24"/>
  <c r="CK15" i="24"/>
  <c r="CL15" i="24"/>
  <c r="CM15" i="24"/>
  <c r="AJ11" i="23"/>
  <c r="AK11" i="23"/>
  <c r="AL11" i="23"/>
  <c r="AM11" i="23"/>
  <c r="BJ11" i="23"/>
  <c r="BK11" i="23"/>
  <c r="BL11" i="23"/>
  <c r="BM11" i="23"/>
  <c r="CJ11" i="23"/>
  <c r="CK11" i="23"/>
  <c r="CL11" i="23"/>
  <c r="CM11" i="23"/>
  <c r="AJ18" i="23"/>
  <c r="AK18" i="23"/>
  <c r="AL18" i="23"/>
  <c r="AM18" i="23"/>
  <c r="BJ18" i="23"/>
  <c r="BK18" i="23"/>
  <c r="BL18" i="23"/>
  <c r="BM18" i="23"/>
  <c r="CJ18" i="23"/>
  <c r="CK18" i="23"/>
  <c r="CL18" i="23"/>
  <c r="CM18" i="23"/>
  <c r="BN13" i="24" l="1"/>
  <c r="CN18" i="23"/>
  <c r="L15" i="23"/>
  <c r="N15" i="23" s="1"/>
  <c r="E15" i="23" s="1"/>
  <c r="CN11" i="23"/>
  <c r="CN12" i="24"/>
  <c r="CN13" i="24"/>
  <c r="K13" i="24"/>
  <c r="M13" i="24" s="1"/>
  <c r="BN12" i="24"/>
  <c r="K12" i="24"/>
  <c r="L12" i="24" s="1"/>
  <c r="G12" i="24"/>
  <c r="H12" i="24" s="1"/>
  <c r="AN12" i="24"/>
  <c r="AN13" i="24"/>
  <c r="I13" i="24"/>
  <c r="J13" i="24" s="1"/>
  <c r="I12" i="24"/>
  <c r="J12" i="24" s="1"/>
  <c r="G13" i="24"/>
  <c r="I15" i="24"/>
  <c r="J15" i="24" s="1"/>
  <c r="BN14" i="24"/>
  <c r="K11" i="23"/>
  <c r="L11" i="23" s="1"/>
  <c r="CN14" i="24"/>
  <c r="CN15" i="24"/>
  <c r="K14" i="24"/>
  <c r="L14" i="24" s="1"/>
  <c r="K15" i="24"/>
  <c r="L15" i="24" s="1"/>
  <c r="G14" i="24"/>
  <c r="H14" i="24" s="1"/>
  <c r="AN15" i="24"/>
  <c r="I14" i="24"/>
  <c r="J14" i="24" s="1"/>
  <c r="G15" i="24"/>
  <c r="G18" i="23"/>
  <c r="H18" i="23" s="1"/>
  <c r="BN11" i="23"/>
  <c r="BN18" i="23"/>
  <c r="G11" i="23"/>
  <c r="H11" i="23" s="1"/>
  <c r="K18" i="23"/>
  <c r="M18" i="23" s="1"/>
  <c r="AN11" i="23"/>
  <c r="AN18" i="23"/>
  <c r="I18" i="23"/>
  <c r="J18" i="23" s="1"/>
  <c r="I11" i="23"/>
  <c r="J11" i="23" s="1"/>
  <c r="M11" i="23" l="1"/>
  <c r="N11" i="23" s="1"/>
  <c r="L13" i="24"/>
  <c r="M12" i="24"/>
  <c r="N12" i="24" s="1"/>
  <c r="H13" i="24"/>
  <c r="N13" i="24"/>
  <c r="M15" i="24"/>
  <c r="N15" i="24" s="1"/>
  <c r="M14" i="24"/>
  <c r="N14" i="24" s="1"/>
  <c r="H15" i="24"/>
  <c r="L18" i="23"/>
  <c r="N18" i="23"/>
  <c r="E18" i="23" l="1"/>
  <c r="E11" i="23"/>
  <c r="E12" i="24"/>
  <c r="E13" i="24"/>
  <c r="A13" i="24" a="1"/>
  <c r="A13" i="24" s="1"/>
  <c r="A12" i="24" a="1"/>
  <c r="A12" i="24" s="1"/>
  <c r="E15" i="24"/>
  <c r="E14" i="24"/>
  <c r="A15" i="24" a="1"/>
  <c r="A15" i="24" s="1"/>
  <c r="A14" i="24" a="1"/>
  <c r="A14" i="24" s="1"/>
  <c r="CM11" i="24" l="1"/>
  <c r="CL11" i="24"/>
  <c r="CK11" i="24"/>
  <c r="CJ11" i="24"/>
  <c r="BM11" i="24"/>
  <c r="BL11" i="24"/>
  <c r="BK11" i="24"/>
  <c r="BJ11" i="24"/>
  <c r="AM11" i="24"/>
  <c r="AL11" i="24"/>
  <c r="AK11" i="24"/>
  <c r="AJ11" i="24"/>
  <c r="CM8" i="24"/>
  <c r="CL8" i="24"/>
  <c r="CK8" i="24"/>
  <c r="CJ8" i="24"/>
  <c r="BM8" i="24"/>
  <c r="BL8" i="24"/>
  <c r="BK8" i="24"/>
  <c r="BJ8" i="24"/>
  <c r="AM8" i="24"/>
  <c r="AL8" i="24"/>
  <c r="AK8" i="24"/>
  <c r="AJ8" i="24"/>
  <c r="CM7" i="24"/>
  <c r="CL7" i="24"/>
  <c r="CK7" i="24"/>
  <c r="CJ7" i="24"/>
  <c r="BM7" i="24"/>
  <c r="BL7" i="24"/>
  <c r="BK7" i="24"/>
  <c r="BJ7" i="24"/>
  <c r="AM7" i="24"/>
  <c r="AL7" i="24"/>
  <c r="AK7" i="24"/>
  <c r="AJ7" i="24"/>
  <c r="CM9" i="24"/>
  <c r="CL9" i="24"/>
  <c r="CK9" i="24"/>
  <c r="CJ9" i="24"/>
  <c r="BM9" i="24"/>
  <c r="BL9" i="24"/>
  <c r="BK9" i="24"/>
  <c r="BJ9" i="24"/>
  <c r="AM9" i="24"/>
  <c r="AL9" i="24"/>
  <c r="AK9" i="24"/>
  <c r="AJ9" i="24"/>
  <c r="CM10" i="24"/>
  <c r="CL10" i="24"/>
  <c r="CK10" i="24"/>
  <c r="CJ10" i="24"/>
  <c r="BM10" i="24"/>
  <c r="BL10" i="24"/>
  <c r="BK10" i="24"/>
  <c r="BJ10" i="24"/>
  <c r="AM10" i="24"/>
  <c r="AL10" i="24"/>
  <c r="AK10" i="24"/>
  <c r="AJ10" i="24"/>
  <c r="CM4" i="24"/>
  <c r="CL4" i="24"/>
  <c r="CK4" i="24"/>
  <c r="CJ4" i="24"/>
  <c r="BM4" i="24"/>
  <c r="BL4" i="24"/>
  <c r="BK4" i="24"/>
  <c r="BJ4" i="24"/>
  <c r="AM4" i="24"/>
  <c r="AL4" i="24"/>
  <c r="AK4" i="24"/>
  <c r="AJ4" i="24"/>
  <c r="CM5" i="24"/>
  <c r="CL5" i="24"/>
  <c r="CK5" i="24"/>
  <c r="CJ5" i="24"/>
  <c r="BM5" i="24"/>
  <c r="BL5" i="24"/>
  <c r="BK5" i="24"/>
  <c r="BJ5" i="24"/>
  <c r="AM5" i="24"/>
  <c r="AL5" i="24"/>
  <c r="AK5" i="24"/>
  <c r="AJ5" i="24"/>
  <c r="CM6" i="24"/>
  <c r="CL6" i="24"/>
  <c r="CK6" i="24"/>
  <c r="CJ6" i="24"/>
  <c r="BM6" i="24"/>
  <c r="BL6" i="24"/>
  <c r="BK6" i="24"/>
  <c r="BJ6" i="24"/>
  <c r="AM6" i="24"/>
  <c r="AL6" i="24"/>
  <c r="AK6" i="24"/>
  <c r="AJ6" i="24"/>
  <c r="CM8" i="23"/>
  <c r="CL8" i="23"/>
  <c r="CK8" i="23"/>
  <c r="CJ8" i="23"/>
  <c r="BM8" i="23"/>
  <c r="BL8" i="23"/>
  <c r="BK8" i="23"/>
  <c r="BJ8" i="23"/>
  <c r="AM8" i="23"/>
  <c r="AL8" i="23"/>
  <c r="AK8" i="23"/>
  <c r="AJ8" i="23"/>
  <c r="CM13" i="23"/>
  <c r="CL13" i="23"/>
  <c r="CK13" i="23"/>
  <c r="CJ13" i="23"/>
  <c r="BM13" i="23"/>
  <c r="BL13" i="23"/>
  <c r="BK13" i="23"/>
  <c r="BJ13" i="23"/>
  <c r="AM13" i="23"/>
  <c r="AL13" i="23"/>
  <c r="AK13" i="23"/>
  <c r="AJ13" i="23"/>
  <c r="CM9" i="23"/>
  <c r="CL9" i="23"/>
  <c r="CK9" i="23"/>
  <c r="CJ9" i="23"/>
  <c r="BM9" i="23"/>
  <c r="BL9" i="23"/>
  <c r="BK9" i="23"/>
  <c r="BJ9" i="23"/>
  <c r="AM9" i="23"/>
  <c r="AL9" i="23"/>
  <c r="AK9" i="23"/>
  <c r="AJ9" i="23"/>
  <c r="CM16" i="23"/>
  <c r="CL16" i="23"/>
  <c r="CK16" i="23"/>
  <c r="CJ16" i="23"/>
  <c r="BM16" i="23"/>
  <c r="BL16" i="23"/>
  <c r="BK16" i="23"/>
  <c r="BJ16" i="23"/>
  <c r="AM16" i="23"/>
  <c r="AL16" i="23"/>
  <c r="AK16" i="23"/>
  <c r="AJ16" i="23"/>
  <c r="CM6" i="23"/>
  <c r="CL6" i="23"/>
  <c r="CK6" i="23"/>
  <c r="CJ6" i="23"/>
  <c r="BM6" i="23"/>
  <c r="BL6" i="23"/>
  <c r="BK6" i="23"/>
  <c r="BJ6" i="23"/>
  <c r="AM6" i="23"/>
  <c r="AL6" i="23"/>
  <c r="AK6" i="23"/>
  <c r="AJ6" i="23"/>
  <c r="CM17" i="23"/>
  <c r="CL17" i="23"/>
  <c r="CK17" i="23"/>
  <c r="CJ17" i="23"/>
  <c r="BM17" i="23"/>
  <c r="BL17" i="23"/>
  <c r="BK17" i="23"/>
  <c r="BJ17" i="23"/>
  <c r="AM17" i="23"/>
  <c r="AL17" i="23"/>
  <c r="AK17" i="23"/>
  <c r="AJ17" i="23"/>
  <c r="CM10" i="23"/>
  <c r="CL10" i="23"/>
  <c r="CK10" i="23"/>
  <c r="CJ10" i="23"/>
  <c r="BM10" i="23"/>
  <c r="BL10" i="23"/>
  <c r="BK10" i="23"/>
  <c r="BJ10" i="23"/>
  <c r="AM10" i="23"/>
  <c r="AL10" i="23"/>
  <c r="AK10" i="23"/>
  <c r="AJ10" i="23"/>
  <c r="CM14" i="23"/>
  <c r="CL14" i="23"/>
  <c r="CK14" i="23"/>
  <c r="CJ14" i="23"/>
  <c r="BM14" i="23"/>
  <c r="BL14" i="23"/>
  <c r="BK14" i="23"/>
  <c r="BJ14" i="23"/>
  <c r="AM14" i="23"/>
  <c r="AL14" i="23"/>
  <c r="AK14" i="23"/>
  <c r="AJ14" i="23"/>
  <c r="CM12" i="23"/>
  <c r="CL12" i="23"/>
  <c r="CK12" i="23"/>
  <c r="CJ12" i="23"/>
  <c r="BM12" i="23"/>
  <c r="BL12" i="23"/>
  <c r="BK12" i="23"/>
  <c r="BJ12" i="23"/>
  <c r="AM12" i="23"/>
  <c r="AL12" i="23"/>
  <c r="AK12" i="23"/>
  <c r="AJ12" i="23"/>
  <c r="CM7" i="23"/>
  <c r="CL7" i="23"/>
  <c r="CK7" i="23"/>
  <c r="CJ7" i="23"/>
  <c r="BM7" i="23"/>
  <c r="BL7" i="23"/>
  <c r="BK7" i="23"/>
  <c r="BJ7" i="23"/>
  <c r="AM7" i="23"/>
  <c r="AL7" i="23"/>
  <c r="AK7" i="23"/>
  <c r="AJ7" i="23"/>
  <c r="CM5" i="23"/>
  <c r="CL5" i="23"/>
  <c r="CK5" i="23"/>
  <c r="CJ5" i="23"/>
  <c r="BM5" i="23"/>
  <c r="BL5" i="23"/>
  <c r="BK5" i="23"/>
  <c r="BJ5" i="23"/>
  <c r="AM5" i="23"/>
  <c r="AL5" i="23"/>
  <c r="AK5" i="23"/>
  <c r="AJ5" i="23"/>
  <c r="CM4" i="23"/>
  <c r="CL4" i="23"/>
  <c r="CK4" i="23"/>
  <c r="CJ4" i="23"/>
  <c r="BM4" i="23"/>
  <c r="BL4" i="23"/>
  <c r="BK4" i="23"/>
  <c r="BJ4" i="23"/>
  <c r="AM4" i="23"/>
  <c r="AL4" i="23"/>
  <c r="AK4" i="23"/>
  <c r="AJ4" i="23"/>
  <c r="CM4" i="22"/>
  <c r="CL4" i="22"/>
  <c r="CK4" i="22"/>
  <c r="CJ4" i="22"/>
  <c r="BM4" i="22"/>
  <c r="BL4" i="22"/>
  <c r="BK4" i="22"/>
  <c r="BJ4" i="22"/>
  <c r="AM4" i="22"/>
  <c r="AL4" i="22"/>
  <c r="AK4" i="22"/>
  <c r="AJ4" i="22"/>
  <c r="CM5" i="22"/>
  <c r="CL5" i="22"/>
  <c r="CK5" i="22"/>
  <c r="CJ5" i="22"/>
  <c r="BM5" i="22"/>
  <c r="BL5" i="22"/>
  <c r="BK5" i="22"/>
  <c r="BJ5" i="22"/>
  <c r="AM5" i="22"/>
  <c r="AL5" i="22"/>
  <c r="AK5" i="22"/>
  <c r="AJ5" i="22"/>
  <c r="AJ4" i="8"/>
  <c r="AK4" i="8"/>
  <c r="AL4" i="8"/>
  <c r="AM4" i="8"/>
  <c r="BJ4" i="8"/>
  <c r="BK4" i="8"/>
  <c r="BL4" i="8"/>
  <c r="BM4" i="8"/>
  <c r="CJ4" i="8"/>
  <c r="CK4" i="8"/>
  <c r="CL4" i="8"/>
  <c r="CM4" i="8"/>
  <c r="AJ5" i="8"/>
  <c r="AK5" i="8"/>
  <c r="AL5" i="8"/>
  <c r="AM5" i="8"/>
  <c r="BJ5" i="8"/>
  <c r="BK5" i="8"/>
  <c r="BL5" i="8"/>
  <c r="BM5" i="8"/>
  <c r="CJ5" i="8"/>
  <c r="CK5" i="8"/>
  <c r="CL5" i="8"/>
  <c r="CM5" i="8"/>
  <c r="CL7" i="8"/>
  <c r="CM7" i="8"/>
  <c r="CK7" i="8"/>
  <c r="CJ7" i="8"/>
  <c r="BJ7" i="8"/>
  <c r="BK7" i="8"/>
  <c r="BL7" i="8"/>
  <c r="BM7" i="8"/>
  <c r="AJ7" i="8"/>
  <c r="AK7" i="8"/>
  <c r="AL7" i="8"/>
  <c r="AM7" i="8"/>
  <c r="AN8" i="23" l="1"/>
  <c r="CN8" i="23"/>
  <c r="CN5" i="8"/>
  <c r="BN4" i="8"/>
  <c r="CN4" i="23"/>
  <c r="AN14" i="23"/>
  <c r="AN13" i="23"/>
  <c r="CN13" i="23"/>
  <c r="CN12" i="23"/>
  <c r="CN6" i="23"/>
  <c r="CN9" i="23"/>
  <c r="K13" i="23"/>
  <c r="M13" i="23" s="1"/>
  <c r="K8" i="23"/>
  <c r="M8" i="23" s="1"/>
  <c r="BN5" i="8"/>
  <c r="CN4" i="8"/>
  <c r="AN4" i="22"/>
  <c r="CN4" i="22"/>
  <c r="K5" i="22"/>
  <c r="M5" i="22" s="1"/>
  <c r="K14" i="23"/>
  <c r="M14" i="23" s="1"/>
  <c r="CN14" i="23"/>
  <c r="K10" i="23"/>
  <c r="M10" i="23" s="1"/>
  <c r="K16" i="23"/>
  <c r="M16" i="23" s="1"/>
  <c r="N16" i="23" s="1"/>
  <c r="CN16" i="23"/>
  <c r="I14" i="23"/>
  <c r="J14" i="23" s="1"/>
  <c r="AN10" i="23"/>
  <c r="AN4" i="23"/>
  <c r="K12" i="23"/>
  <c r="M12" i="23" s="1"/>
  <c r="K9" i="23"/>
  <c r="M9" i="23" s="1"/>
  <c r="BN8" i="23"/>
  <c r="K6" i="23"/>
  <c r="M6" i="23" s="1"/>
  <c r="K5" i="23"/>
  <c r="M5" i="23" s="1"/>
  <c r="CN4" i="24"/>
  <c r="AN10" i="24"/>
  <c r="CN10" i="24"/>
  <c r="AN7" i="24"/>
  <c r="CN7" i="24"/>
  <c r="AN4" i="24"/>
  <c r="BN6" i="24"/>
  <c r="AN11" i="24"/>
  <c r="CN11" i="24"/>
  <c r="I4" i="24"/>
  <c r="J4" i="24" s="1"/>
  <c r="I10" i="24"/>
  <c r="J10" i="24" s="1"/>
  <c r="I7" i="24"/>
  <c r="J7" i="24" s="1"/>
  <c r="BN11" i="24"/>
  <c r="AN8" i="24"/>
  <c r="I8" i="24"/>
  <c r="J8" i="24" s="1"/>
  <c r="CN8" i="24"/>
  <c r="AN5" i="22"/>
  <c r="K6" i="24"/>
  <c r="M6" i="24" s="1"/>
  <c r="AN6" i="24"/>
  <c r="I16" i="23"/>
  <c r="J16" i="23" s="1"/>
  <c r="I8" i="23"/>
  <c r="J8" i="23" s="1"/>
  <c r="K7" i="23"/>
  <c r="M7" i="23" s="1"/>
  <c r="AN7" i="23"/>
  <c r="AN9" i="23"/>
  <c r="K17" i="23"/>
  <c r="M17" i="23" s="1"/>
  <c r="N17" i="23" s="1"/>
  <c r="AN17" i="23"/>
  <c r="AN16" i="23"/>
  <c r="K4" i="23"/>
  <c r="M4" i="23" s="1"/>
  <c r="AN5" i="23"/>
  <c r="K4" i="8"/>
  <c r="L4" i="8" s="1"/>
  <c r="K5" i="8"/>
  <c r="L5" i="8" s="1"/>
  <c r="G4" i="8"/>
  <c r="H4" i="8" s="1"/>
  <c r="G5" i="8"/>
  <c r="H5" i="8" s="1"/>
  <c r="AN5" i="24"/>
  <c r="CN5" i="24"/>
  <c r="AN9" i="24"/>
  <c r="CN9" i="24"/>
  <c r="I5" i="24"/>
  <c r="J5" i="24" s="1"/>
  <c r="I9" i="24"/>
  <c r="J9" i="24" s="1"/>
  <c r="I11" i="24"/>
  <c r="J11" i="24" s="1"/>
  <c r="CN6" i="24"/>
  <c r="K5" i="24"/>
  <c r="K4" i="24"/>
  <c r="K10" i="24"/>
  <c r="K9" i="24"/>
  <c r="K7" i="24"/>
  <c r="K8" i="24"/>
  <c r="K11" i="24"/>
  <c r="G6" i="24"/>
  <c r="I6" i="24"/>
  <c r="J6" i="24" s="1"/>
  <c r="G5" i="24"/>
  <c r="G4" i="24"/>
  <c r="G10" i="24"/>
  <c r="G9" i="24"/>
  <c r="G7" i="24"/>
  <c r="G8" i="24"/>
  <c r="G11" i="24"/>
  <c r="BN5" i="24"/>
  <c r="BN4" i="24"/>
  <c r="BN10" i="24"/>
  <c r="BN9" i="24"/>
  <c r="BN7" i="24"/>
  <c r="BN8" i="24"/>
  <c r="BN4" i="22"/>
  <c r="CN5" i="22"/>
  <c r="BN5" i="22"/>
  <c r="I4" i="22"/>
  <c r="J4" i="22" s="1"/>
  <c r="AN12" i="23"/>
  <c r="AN6" i="23"/>
  <c r="I12" i="23"/>
  <c r="J12" i="23" s="1"/>
  <c r="I6" i="23"/>
  <c r="J6" i="23" s="1"/>
  <c r="CN7" i="23"/>
  <c r="CN17" i="23"/>
  <c r="I7" i="23"/>
  <c r="J7" i="23" s="1"/>
  <c r="I17" i="23"/>
  <c r="J17" i="23" s="1"/>
  <c r="CN5" i="23"/>
  <c r="CN10" i="23"/>
  <c r="I13" i="23"/>
  <c r="J13" i="23" s="1"/>
  <c r="BN4" i="23"/>
  <c r="I5" i="23"/>
  <c r="J5" i="23" s="1"/>
  <c r="I10" i="23"/>
  <c r="J10" i="23" s="1"/>
  <c r="I9" i="23"/>
  <c r="J9" i="23" s="1"/>
  <c r="G8" i="23"/>
  <c r="H8" i="23" s="1"/>
  <c r="G4" i="23"/>
  <c r="I4" i="23"/>
  <c r="J4" i="23" s="1"/>
  <c r="G5" i="23"/>
  <c r="G7" i="23"/>
  <c r="G12" i="23"/>
  <c r="G14" i="23"/>
  <c r="G10" i="23"/>
  <c r="G17" i="23"/>
  <c r="G6" i="23"/>
  <c r="G16" i="23"/>
  <c r="G9" i="23"/>
  <c r="G13" i="23"/>
  <c r="BN5" i="23"/>
  <c r="BN7" i="23"/>
  <c r="BN12" i="23"/>
  <c r="BN14" i="23"/>
  <c r="BN10" i="23"/>
  <c r="BN17" i="23"/>
  <c r="BN6" i="23"/>
  <c r="BN16" i="23"/>
  <c r="BN9" i="23"/>
  <c r="BN13" i="23"/>
  <c r="K4" i="22"/>
  <c r="G5" i="22"/>
  <c r="I5" i="22"/>
  <c r="J5" i="22" s="1"/>
  <c r="G4" i="22"/>
  <c r="AN5" i="8"/>
  <c r="AN4" i="8"/>
  <c r="CN7" i="8"/>
  <c r="I5" i="8"/>
  <c r="J5" i="8" s="1"/>
  <c r="I4" i="8"/>
  <c r="J4" i="8" s="1"/>
  <c r="AN7" i="8"/>
  <c r="BN7" i="8"/>
  <c r="K7" i="8"/>
  <c r="L10" i="23" l="1"/>
  <c r="N10" i="23" s="1"/>
  <c r="L12" i="23"/>
  <c r="N12" i="23" s="1"/>
  <c r="L8" i="23"/>
  <c r="N8" i="23" s="1"/>
  <c r="E8" i="23" s="1"/>
  <c r="L5" i="23"/>
  <c r="N5" i="23" s="1"/>
  <c r="L5" i="22"/>
  <c r="N5" i="22" s="1"/>
  <c r="L16" i="23"/>
  <c r="L13" i="23"/>
  <c r="N13" i="23" s="1"/>
  <c r="L9" i="23"/>
  <c r="N9" i="23" s="1"/>
  <c r="L14" i="23"/>
  <c r="N14" i="23" s="1"/>
  <c r="L6" i="23"/>
  <c r="N6" i="23" s="1"/>
  <c r="L17" i="23"/>
  <c r="L7" i="23"/>
  <c r="N7" i="23" s="1"/>
  <c r="L4" i="23"/>
  <c r="N4" i="23" s="1"/>
  <c r="L6" i="24"/>
  <c r="N6" i="24" s="1"/>
  <c r="M4" i="8"/>
  <c r="N4" i="8" s="1"/>
  <c r="E4" i="8" s="1"/>
  <c r="M5" i="8"/>
  <c r="N5" i="8" s="1"/>
  <c r="M5" i="24"/>
  <c r="L5" i="24"/>
  <c r="H11" i="24"/>
  <c r="H5" i="24"/>
  <c r="H8" i="24"/>
  <c r="M7" i="24"/>
  <c r="L7" i="24"/>
  <c r="M8" i="24"/>
  <c r="L8" i="24"/>
  <c r="M9" i="24"/>
  <c r="L9" i="24"/>
  <c r="H7" i="24"/>
  <c r="M10" i="24"/>
  <c r="L10" i="24"/>
  <c r="H9" i="24"/>
  <c r="H6" i="24"/>
  <c r="H4" i="24"/>
  <c r="H10" i="24"/>
  <c r="M11" i="24"/>
  <c r="L11" i="24"/>
  <c r="M4" i="24"/>
  <c r="L4" i="24"/>
  <c r="H12" i="23"/>
  <c r="H13" i="23"/>
  <c r="H7" i="23"/>
  <c r="H16" i="23"/>
  <c r="H6" i="23"/>
  <c r="H14" i="23"/>
  <c r="H5" i="23"/>
  <c r="H17" i="23"/>
  <c r="H4" i="23"/>
  <c r="H9" i="23"/>
  <c r="H10" i="23"/>
  <c r="M4" i="22"/>
  <c r="L4" i="22"/>
  <c r="H4" i="22"/>
  <c r="H5" i="22"/>
  <c r="M7" i="8"/>
  <c r="L7" i="8"/>
  <c r="E13" i="23" l="1"/>
  <c r="E5" i="22"/>
  <c r="N4" i="22"/>
  <c r="E4" i="22" s="1"/>
  <c r="E10" i="23"/>
  <c r="E12" i="23"/>
  <c r="E16" i="23"/>
  <c r="E17" i="23"/>
  <c r="E14" i="23"/>
  <c r="N7" i="8"/>
  <c r="E9" i="23"/>
  <c r="E6" i="23"/>
  <c r="E5" i="23"/>
  <c r="E7" i="23"/>
  <c r="E4" i="23"/>
  <c r="N8" i="24"/>
  <c r="E8" i="24" s="1"/>
  <c r="N10" i="24"/>
  <c r="E10" i="24" s="1"/>
  <c r="N11" i="24"/>
  <c r="E11" i="24" s="1"/>
  <c r="N7" i="24"/>
  <c r="E7" i="24" s="1"/>
  <c r="N5" i="24"/>
  <c r="E5" i="24" s="1"/>
  <c r="N9" i="24"/>
  <c r="E9" i="24" s="1"/>
  <c r="N4" i="24"/>
  <c r="E4" i="24" s="1"/>
  <c r="E6" i="24"/>
  <c r="E5" i="8"/>
  <c r="A4" i="22" l="1" a="1"/>
  <c r="A4" i="22" s="1"/>
  <c r="A5" i="22" a="1"/>
  <c r="A5" i="22" s="1"/>
  <c r="A6" i="23" a="1"/>
  <c r="A6" i="23" s="1"/>
  <c r="A8" i="23" a="1"/>
  <c r="A8" i="23" s="1"/>
  <c r="A5" i="23" a="1"/>
  <c r="A5" i="23" s="1"/>
  <c r="A7" i="23" a="1"/>
  <c r="A7" i="23" s="1"/>
  <c r="A4" i="23" a="1"/>
  <c r="A4" i="23" s="1"/>
  <c r="A6" i="24" a="1"/>
  <c r="A6" i="24" s="1"/>
  <c r="A4" i="24" a="1"/>
  <c r="A4" i="24" s="1"/>
  <c r="A8" i="24" a="1"/>
  <c r="A8" i="24" s="1"/>
  <c r="A5" i="24" a="1"/>
  <c r="A5" i="24" s="1"/>
  <c r="A11" i="24" a="1"/>
  <c r="A11" i="24" s="1"/>
  <c r="A9" i="24" a="1"/>
  <c r="A9" i="24" s="1"/>
  <c r="A7" i="24" a="1"/>
  <c r="A7" i="24" s="1"/>
  <c r="A10" i="24" a="1"/>
  <c r="A10" i="24" s="1"/>
  <c r="G7" i="8" l="1"/>
  <c r="I7" i="8"/>
  <c r="J7" i="8" l="1"/>
  <c r="H7" i="8"/>
  <c r="E7" i="8" l="1"/>
  <c r="A4" i="8" l="1" a="1"/>
  <c r="A4" i="8" s="1"/>
  <c r="A5" i="8" a="1"/>
  <c r="A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<sst xmlns="http://schemas.openxmlformats.org/spreadsheetml/2006/main" count="525" uniqueCount="64">
  <si>
    <t>Province</t>
  </si>
  <si>
    <t>Rank</t>
  </si>
  <si>
    <t>Total Points</t>
  </si>
  <si>
    <t>ON</t>
  </si>
  <si>
    <t>AB</t>
  </si>
  <si>
    <t>BC</t>
  </si>
  <si>
    <t>QC</t>
  </si>
  <si>
    <t>ARMSTRONG, Mark</t>
  </si>
  <si>
    <t>DD</t>
  </si>
  <si>
    <t>Best Final</t>
  </si>
  <si>
    <t>EX</t>
  </si>
  <si>
    <t>Total</t>
  </si>
  <si>
    <t>Athlete</t>
  </si>
  <si>
    <t>Penalty</t>
  </si>
  <si>
    <t>Bonus</t>
  </si>
  <si>
    <t>LEFAIVRE, Justin</t>
  </si>
  <si>
    <t>Location</t>
  </si>
  <si>
    <t>SK</t>
  </si>
  <si>
    <t>Injury</t>
  </si>
  <si>
    <t>Year of Birth</t>
  </si>
  <si>
    <t>FLYNN, Gabby</t>
  </si>
  <si>
    <t>DODD, Kristina</t>
  </si>
  <si>
    <t>PILLINGER, Taylor</t>
  </si>
  <si>
    <t>LUPISH, Kieran</t>
  </si>
  <si>
    <t>PEDERSEN, Mitchel</t>
  </si>
  <si>
    <t>PHANEUF, Zoe</t>
  </si>
  <si>
    <t>BROWN, Hannah</t>
  </si>
  <si>
    <t>ZUREK, Nolan</t>
  </si>
  <si>
    <t>KARWACKI, Jordan</t>
  </si>
  <si>
    <t>DODD, Gavin</t>
  </si>
  <si>
    <t>MASSON, Félix</t>
  </si>
  <si>
    <t>BRENNER, Adin</t>
  </si>
  <si>
    <t>BODNAR, Cassidy</t>
  </si>
  <si>
    <t>METHERAL, Hannah</t>
  </si>
  <si>
    <t>HOWELL, Kayla</t>
  </si>
  <si>
    <t>SOEHN, Kalena</t>
  </si>
  <si>
    <t>2022 Elite Canada</t>
  </si>
  <si>
    <t>Q1 Pass 1</t>
  </si>
  <si>
    <t>Q1 Pass 2</t>
  </si>
  <si>
    <t>Q2</t>
  </si>
  <si>
    <t>F1</t>
  </si>
  <si>
    <t>F2</t>
  </si>
  <si>
    <t>Q1</t>
  </si>
  <si>
    <t>Finals</t>
  </si>
  <si>
    <t>Best Q1</t>
  </si>
  <si>
    <t>2nd Best Q1</t>
  </si>
  <si>
    <t>National Team Member</t>
  </si>
  <si>
    <t>2022 WG Virtual Technical Trial</t>
  </si>
  <si>
    <t>2022 WG Virtual Control Trial</t>
  </si>
  <si>
    <t>Best F1</t>
  </si>
  <si>
    <t>SUGRIM, Jordan</t>
  </si>
  <si>
    <t>SIMINIUC, Alexandra</t>
  </si>
  <si>
    <t>CHAMPAGNE, Tyler</t>
  </si>
  <si>
    <t>BOLDIZAR, Samsom</t>
  </si>
  <si>
    <t>DYKMAN, Matvey</t>
  </si>
  <si>
    <t>P</t>
  </si>
  <si>
    <t>THOMPSON, Justin</t>
  </si>
  <si>
    <t>NEUFELD, Simon</t>
  </si>
  <si>
    <t>CLOUTIER, Étienne</t>
  </si>
  <si>
    <t>ANAKA, Ashley</t>
  </si>
  <si>
    <t>PARHAR, Jasmine</t>
  </si>
  <si>
    <t>DALGETTY, McKayla</t>
  </si>
  <si>
    <t>THOMPSON, Abby</t>
  </si>
  <si>
    <t>MEYER, Jeremy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</si>
</sst>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Wingdings 2"/>
      <charset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164" fontId="0" fillId="3" borderId="0" xfId="0" applyNumberFormat="1" applyFill="1"/>
    <xf numFmtId="164" fontId="1" fillId="0" borderId="0" xfId="0" applyNumberFormat="1" applyFont="1"/>
    <xf numFmtId="164" fontId="0" fillId="3" borderId="0" xfId="0" applyNumberFormat="1" applyFill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3" fillId="0" borderId="0" xfId="0" applyNumberFormat="1" applyFont="1" applyFill="1"/>
    <xf numFmtId="0" fontId="3" fillId="0" borderId="0" xfId="0" applyFont="1" applyFill="1" applyAlignmen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3" borderId="1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2"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1D7A-65BE-9E4E-A455-40DE5651C18C}">
  <sheetPr codeName="Sheet7"/>
  <dimension ref="A1:CN9"/>
  <sheetViews>
    <sheetView tabSelected="1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9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IF(F4="P",SUMPRODUCT((F$4:F$6="P")*(E$4:E$6&gt;E4))+1,"")</f>
        <v>1</v>
      </c>
      <c r="B4" s="2" t="s">
        <v>56</v>
      </c>
      <c r="C4" s="3" t="s">
        <v>3</v>
      </c>
      <c r="D4" s="7">
        <v>2003</v>
      </c>
      <c r="E4" s="5">
        <f>SUM(G4:N4)+SUM(G4:M4)*0.0000001+SUM(G4)*0.0000000000001</f>
        <v>168.66001686600484</v>
      </c>
      <c r="F4" s="30" t="s">
        <v>55</v>
      </c>
      <c r="G4" s="4">
        <f>IF(COUNT(AJ4,BJ4,CJ4)&gt;0,LARGE((AJ4,BJ4,CJ4),1),0)</f>
        <v>48.26</v>
      </c>
      <c r="H4" s="4" t="str">
        <f>IF(G4=0,"",IF(G4=CJ4,$BO$1,IF(G4=BJ4,$AO$1,IF(G4=AJ4,$O$1,""))))</f>
        <v>2022 Elite Canada</v>
      </c>
      <c r="I4" s="4">
        <f>IF(COUNT(AJ4,BJ4,CJ4)&gt;1,LARGE((AJ4,BJ4,CJ4),2),0)</f>
        <v>47.7</v>
      </c>
      <c r="J4" s="4" t="str">
        <f>IF(I4=0,"",IF(I4=CJ4,$BO$1,IF(I4=BJ4,$AO$1,IF(I4=AJ4,$O$1,""))))</f>
        <v>2022 WG Virtual Control Trial</v>
      </c>
      <c r="K4" s="4">
        <f>IF(MAX(AM4,BM4,CM4)&gt;0,MAX(AM4,BM4,CM4),0)</f>
        <v>48.699999999999996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24</v>
      </c>
      <c r="N4" s="4" t="str">
        <f>IF(M4=0,"",IF(AND(M4=CL4,L4&lt;&gt;$BO$1),$BO$1,IF(AND(M4=BL4,L4&lt;&gt;$AO$1),$AO$1,IF(AND(M4=AL4,L4&lt;&gt;$O$1),$O$1,""))))</f>
        <v>2022 WG Virtual Control Trial</v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18"/>
      <c r="AJ4" s="23" t="str">
        <f>IF(SUM(O4:P4,R4:T4,V4)-Q4-U4&gt;0,SUM(O4:P4,R4:T4,V4)-Q4-U4,"")</f>
        <v/>
      </c>
      <c r="AK4" s="23" t="str">
        <f>IF(SUM(W4:X4,Z4)-Y4&gt;0,SUM(W4:X4,Z4)-Y4,"")</f>
        <v/>
      </c>
      <c r="AL4" s="23" t="str">
        <f>IF(SUM(AA4:AB4,AD4)-SUM(AC4)&gt;0,SUM(AA4:AB4,AD4)-SUM(AC4),"")</f>
        <v/>
      </c>
      <c r="AM4" s="23" t="str">
        <f>IF(SUM(AA4:AB4,AD4:AF4,AH4)-SUM(AC4,AG4)&gt;0,SUM(AA4:AB4,AD4:AF4,AH4)-SUM(AC4,AG4),"")</f>
        <v/>
      </c>
      <c r="AN4" s="23" t="str">
        <f>IF(SUM(AJ4,AM4)&gt;0,SUM(AJ4,AM4),"")</f>
        <v/>
      </c>
      <c r="AO4" s="8">
        <v>17.5</v>
      </c>
      <c r="AP4" s="8">
        <v>6.5</v>
      </c>
      <c r="AQ4" s="8">
        <v>0</v>
      </c>
      <c r="AR4" s="8">
        <v>0</v>
      </c>
      <c r="AS4" s="8">
        <v>18.36</v>
      </c>
      <c r="AT4" s="8">
        <v>5.9</v>
      </c>
      <c r="AU4" s="8">
        <v>0</v>
      </c>
      <c r="AV4" s="8">
        <v>0</v>
      </c>
      <c r="AW4" s="8"/>
      <c r="AX4" s="8"/>
      <c r="AY4" s="8"/>
      <c r="AZ4" s="8"/>
      <c r="BA4" s="8">
        <v>18.100000000000001</v>
      </c>
      <c r="BB4" s="8">
        <v>6.5</v>
      </c>
      <c r="BC4" s="8">
        <v>0</v>
      </c>
      <c r="BD4" s="8">
        <v>0</v>
      </c>
      <c r="BE4" s="8">
        <v>18.2</v>
      </c>
      <c r="BF4" s="8">
        <v>5.9</v>
      </c>
      <c r="BG4" s="8">
        <v>0</v>
      </c>
      <c r="BH4" s="8">
        <v>0</v>
      </c>
      <c r="BI4" s="19"/>
      <c r="BJ4" s="6">
        <f>IF(SUM(AO4:AP4,AR4:AT4,AV4)-AQ4-AU4&gt;0,SUM(AO4:AP4,AR4:AT4,AV4)-AQ4-AU4,"")</f>
        <v>48.26</v>
      </c>
      <c r="BK4" s="6" t="str">
        <f>IF(SUM(AW4:AX4,AZ4)-AY4&gt;0,SUM(AW4:AX4,AZ4)-AY4,"")</f>
        <v/>
      </c>
      <c r="BL4" s="6">
        <f>IF(SUM(BA4:BB4,BD4)-SUM(BC4)&gt;0,SUM(BA4:BB4,BD4)-SUM(BC4),"")</f>
        <v>24.6</v>
      </c>
      <c r="BM4" s="6">
        <f>IF(SUM(BA4:BB4,BD4:BF4,BH4)-SUM(BC4,BG4)&gt;0,SUM(BA4:BB4,BD4:BF4,BH4)-SUM(BC4,BG4),"")</f>
        <v>48.699999999999996</v>
      </c>
      <c r="BN4" s="6">
        <f>IF(SUM(BJ4,BM4)&gt;0,SUM(BJ4,BM4),"")</f>
        <v>96.96</v>
      </c>
      <c r="BO4" s="9">
        <v>17.8</v>
      </c>
      <c r="BP4" s="9">
        <v>6.9</v>
      </c>
      <c r="BQ4" s="9">
        <v>0</v>
      </c>
      <c r="BR4" s="9">
        <v>0</v>
      </c>
      <c r="BS4" s="9">
        <v>17.3</v>
      </c>
      <c r="BT4" s="9">
        <v>5.7</v>
      </c>
      <c r="BU4" s="9">
        <v>0</v>
      </c>
      <c r="BV4" s="9">
        <v>0</v>
      </c>
      <c r="BW4" s="9"/>
      <c r="BX4" s="9"/>
      <c r="BY4" s="9"/>
      <c r="BZ4" s="9"/>
      <c r="CA4" s="9">
        <v>17.5</v>
      </c>
      <c r="CB4" s="9">
        <v>6.5</v>
      </c>
      <c r="CC4" s="9">
        <v>0</v>
      </c>
      <c r="CD4" s="9">
        <v>0</v>
      </c>
      <c r="CE4" s="9">
        <v>16.2</v>
      </c>
      <c r="CF4" s="9">
        <v>3.7</v>
      </c>
      <c r="CG4" s="9">
        <v>0</v>
      </c>
      <c r="CH4" s="9">
        <v>0</v>
      </c>
      <c r="CI4" s="18"/>
      <c r="CJ4" s="23">
        <f>IF(SUM(BO4:BP4,BR4:BT4,BV4)-BQ4-BU4&gt;0,SUM(BO4:BP4,BR4:BT4,BV4)-BQ4-BU4,"")</f>
        <v>47.7</v>
      </c>
      <c r="CK4" s="23" t="str">
        <f>IF(SUM(BW4:BX4,BZ4)-BY4&gt;0,SUM(BW4:BX4,BZ4)-BY4,"")</f>
        <v/>
      </c>
      <c r="CL4" s="23">
        <f>IF(SUM(CA4:CB4,CD4)-SUM(CC4)&gt;0,SUM(CA4:CB4,CD4)-SUM(CC4),"")</f>
        <v>24</v>
      </c>
      <c r="CM4" s="23">
        <f>IF(SUM(CA4:CB4,CD4:CF4,CH4)-SUM(CC4,CG4)&gt;0,SUM(CA4:CB4,CD4:CF4,CH4)-SUM(CC4,CG4),"")</f>
        <v>43.900000000000006</v>
      </c>
      <c r="CN4" s="23">
        <f>IF(SUM(CJ4,CM4)&gt;0,SUM(CJ4,CM4),"")</f>
        <v>91.600000000000009</v>
      </c>
    </row>
    <row r="5" spans="1:92" x14ac:dyDescent="0.2">
      <c r="A5" s="1" cm="1">
        <f t="array" ref="A5">IF(F5="P",SUMPRODUCT((F$4:F$6="P")*(E$4:E$6&gt;E5))+1,"")</f>
        <v>2</v>
      </c>
      <c r="B5" s="2" t="s">
        <v>24</v>
      </c>
      <c r="C5" s="3" t="s">
        <v>4</v>
      </c>
      <c r="D5" s="7">
        <v>2002</v>
      </c>
      <c r="E5" s="5">
        <f>SUM(G5:N5)+SUM(G5:M5)*0.0000001+SUM(G5)*0.0000000000001</f>
        <v>160.2000160200046</v>
      </c>
      <c r="F5" s="30" t="s">
        <v>55</v>
      </c>
      <c r="G5" s="4">
        <f>IF(COUNT(AJ5,BJ5,CJ5)&gt;0,LARGE((AJ5,BJ5,CJ5),1),0)</f>
        <v>46.000000000000007</v>
      </c>
      <c r="H5" s="4" t="str">
        <f>IF(G5=0,"",IF(G5=CJ5,$BO$1,IF(G5=BJ5,$AO$1,IF(G5=AJ5,$O$1,""))))</f>
        <v>2022 WG Virtual Control Trial</v>
      </c>
      <c r="I5" s="4">
        <f>IF(COUNT(AJ5,BJ5,CJ5)&gt;1,LARGE((AJ5,BJ5,CJ5),2),0)</f>
        <v>44.899999999999991</v>
      </c>
      <c r="J5" s="4" t="str">
        <f>IF(I5=0,"",IF(I5=CJ5,$BO$1,IF(I5=BJ5,$AO$1,IF(I5=AJ5,$O$1,""))))</f>
        <v>2022 WG Virtual Technical Trial</v>
      </c>
      <c r="K5" s="4">
        <f>IF(MAX(AM5,BM5,CM5)&gt;0,MAX(AM5,BM5,CM5),0)</f>
        <v>46.6</v>
      </c>
      <c r="L5" s="4" t="str">
        <f>IF(K5=0,"",IF(K5=CM5,$BO$1,IF(K5=BM5,$AO$1,IF(K5=AM5,$O$1,""))))</f>
        <v>2022 WG Virtual Control Trial</v>
      </c>
      <c r="M5" s="4">
        <f>IF(K5=CM5,MAX(BL5,AL5),IF(K5=BM5,MAX(CL5,AL5),IF(K5=AM5,MAX(CL5,BL5),0)))</f>
        <v>22.7</v>
      </c>
      <c r="N5" s="4" t="str">
        <f>IF(M5=0,"",IF(AND(M5=CL5,L5&lt;&gt;$BO$1),$BO$1,IF(AND(M5=BL5,L5&lt;&gt;$AO$1),$AO$1,IF(AND(M5=AL5,L5&lt;&gt;$O$1),$O$1,""))))</f>
        <v>2022 WG Virtual Technical Trial</v>
      </c>
      <c r="O5" s="9">
        <v>17.2</v>
      </c>
      <c r="P5" s="9">
        <v>5.5</v>
      </c>
      <c r="Q5" s="9">
        <v>0</v>
      </c>
      <c r="R5" s="9">
        <v>0</v>
      </c>
      <c r="S5" s="9">
        <v>16.899999999999999</v>
      </c>
      <c r="T5" s="9">
        <v>5.3</v>
      </c>
      <c r="U5" s="9">
        <v>0</v>
      </c>
      <c r="V5" s="9">
        <v>0</v>
      </c>
      <c r="W5" s="9"/>
      <c r="X5" s="9"/>
      <c r="Y5" s="9"/>
      <c r="Z5" s="9"/>
      <c r="AA5" s="9">
        <v>17.2</v>
      </c>
      <c r="AB5" s="9">
        <v>5.5</v>
      </c>
      <c r="AC5" s="9">
        <v>0</v>
      </c>
      <c r="AD5" s="9">
        <v>0</v>
      </c>
      <c r="AE5" s="9">
        <v>16.899999999999999</v>
      </c>
      <c r="AF5" s="9">
        <v>5.3</v>
      </c>
      <c r="AG5" s="9">
        <v>0</v>
      </c>
      <c r="AH5" s="9">
        <v>0</v>
      </c>
      <c r="AI5" s="18"/>
      <c r="AJ5" s="23">
        <f>IF(SUM(O5:P5,R5:T5,V5)-Q5-U5&gt;0,SUM(O5:P5,R5:T5,V5)-Q5-U5,"")</f>
        <v>44.899999999999991</v>
      </c>
      <c r="AK5" s="23" t="str">
        <f>IF(SUM(W5:X5,Z5)-Y5&gt;0,SUM(W5:X5,Z5)-Y5,"")</f>
        <v/>
      </c>
      <c r="AL5" s="23">
        <f>IF(SUM(AA5:AB5,AD5)-SUM(AC5)&gt;0,SUM(AA5:AB5,AD5)-SUM(AC5),"")</f>
        <v>22.7</v>
      </c>
      <c r="AM5" s="23">
        <f>IF(SUM(AA5:AB5,AD5:AF5,AH5)-SUM(AC5,AG5)&gt;0,SUM(AA5:AB5,AD5:AF5,AH5)-SUM(AC5,AG5),"")</f>
        <v>44.899999999999991</v>
      </c>
      <c r="AN5" s="23">
        <f>IF(SUM(AJ5,AM5)&gt;0,SUM(AJ5,AM5),"")</f>
        <v>89.799999999999983</v>
      </c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19"/>
      <c r="BJ5" s="6" t="str">
        <f>IF(SUM(AO5:AP5,AR5:AT5,AV5)-AQ5-AU5&gt;0,SUM(AO5:AP5,AR5:AT5,AV5)-AQ5-AU5,"")</f>
        <v/>
      </c>
      <c r="BK5" s="6" t="str">
        <f>IF(SUM(AW5:AX5,AZ5)-AY5&gt;0,SUM(AW5:AX5,AZ5)-AY5,"")</f>
        <v/>
      </c>
      <c r="BL5" s="6" t="str">
        <f>IF(SUM(BA5:BB5,BD5)-SUM(BC5)&gt;0,SUM(BA5:BB5,BD5)-SUM(BC5),"")</f>
        <v/>
      </c>
      <c r="BM5" s="6" t="str">
        <f>IF(SUM(BA5:BB5,BD5:BF5,BH5)-SUM(BC5,BG5)&gt;0,SUM(BA5:BB5,BD5:BF5,BH5)-SUM(BC5,BG5),"")</f>
        <v/>
      </c>
      <c r="BN5" s="6" t="str">
        <f>IF(SUM(BJ5,BM5)&gt;0,SUM(BJ5,BM5),"")</f>
        <v/>
      </c>
      <c r="BO5" s="9">
        <v>16.8</v>
      </c>
      <c r="BP5" s="9">
        <v>5.9</v>
      </c>
      <c r="BQ5" s="9">
        <v>0</v>
      </c>
      <c r="BR5" s="9">
        <v>0</v>
      </c>
      <c r="BS5" s="9">
        <v>17.2</v>
      </c>
      <c r="BT5" s="9">
        <v>6.1</v>
      </c>
      <c r="BU5" s="9">
        <v>0</v>
      </c>
      <c r="BV5" s="9">
        <v>0</v>
      </c>
      <c r="BW5" s="9"/>
      <c r="BX5" s="9"/>
      <c r="BY5" s="9"/>
      <c r="BZ5" s="9"/>
      <c r="CA5" s="9">
        <v>17.3</v>
      </c>
      <c r="CB5" s="9">
        <v>6.1</v>
      </c>
      <c r="CC5" s="9">
        <v>0</v>
      </c>
      <c r="CD5" s="9">
        <v>0</v>
      </c>
      <c r="CE5" s="9">
        <v>17.3</v>
      </c>
      <c r="CF5" s="9">
        <v>5.9</v>
      </c>
      <c r="CG5" s="9">
        <v>0</v>
      </c>
      <c r="CH5" s="9">
        <v>0</v>
      </c>
      <c r="CI5" s="18"/>
      <c r="CJ5" s="23">
        <f>IF(SUM(BO5:BP5,BR5:BT5,BV5)-BQ5-BU5&gt;0,SUM(BO5:BP5,BR5:BT5,BV5)-BQ5-BU5,"")</f>
        <v>46.000000000000007</v>
      </c>
      <c r="CK5" s="23" t="str">
        <f>IF(SUM(BW5:BX5,BZ5)-BY5&gt;0,SUM(BW5:BX5,BZ5)-BY5,"")</f>
        <v/>
      </c>
      <c r="CL5" s="23">
        <f>IF(SUM(CA5:CB5,CD5)-SUM(CC5)&gt;0,SUM(CA5:CB5,CD5)-SUM(CC5),"")</f>
        <v>23.4</v>
      </c>
      <c r="CM5" s="23">
        <f>IF(SUM(CA5:CB5,CD5:CF5,CH5)-SUM(CC5,CG5)&gt;0,SUM(CA5:CB5,CD5:CF5,CH5)-SUM(CC5,CG5),"")</f>
        <v>46.6</v>
      </c>
      <c r="CN5" s="23">
        <f>IF(SUM(CJ5,CM5)&gt;0,SUM(CJ5,CM5),"")</f>
        <v>92.600000000000009</v>
      </c>
    </row>
    <row r="6" spans="1:92" x14ac:dyDescent="0.2">
      <c r="A6" s="1" t="str" cm="1">
        <f t="array" ref="A6">IF(F6="P",SUMPRODUCT((F$4:F$6="P")*(E$4:E$6&gt;E6))+1,"")</f>
        <v/>
      </c>
      <c r="B6" s="2" t="s">
        <v>57</v>
      </c>
      <c r="C6" s="3" t="s">
        <v>4</v>
      </c>
      <c r="D6" s="7">
        <v>2004</v>
      </c>
      <c r="E6" s="5">
        <f>SUM(G6:N6)+SUM(G6:M6)*0.0000001+SUM(G6)*0.0000000000001</f>
        <v>150.40001504000438</v>
      </c>
      <c r="F6" s="30"/>
      <c r="G6" s="4">
        <f>IF(COUNT(AJ6,BJ6,CJ6)&gt;0,LARGE((AJ6,BJ6,CJ6),1),0)</f>
        <v>44.1</v>
      </c>
      <c r="H6" s="4" t="str">
        <f>IF(G6=0,"",IF(G6=CJ6,$BO$1,IF(G6=BJ6,$AO$1,IF(G6=AJ6,$O$1,""))))</f>
        <v>2022 Elite Canada</v>
      </c>
      <c r="I6" s="4">
        <f>IF(COUNT(AJ6,BJ6,CJ6)&gt;1,LARGE((AJ6,BJ6,CJ6),2),0)</f>
        <v>40</v>
      </c>
      <c r="J6" s="4" t="str">
        <f>IF(I6=0,"",IF(I6=CJ6,$BO$1,IF(I6=BJ6,$AO$1,IF(I6=AJ6,$O$1,""))))</f>
        <v>2022 WG Virtual Control Trial</v>
      </c>
      <c r="K6" s="4">
        <f>IF(MAX(AM6,BM6,CM6)&gt;0,MAX(AM6,BM6,CM6),0)</f>
        <v>44.6</v>
      </c>
      <c r="L6" s="4" t="str">
        <f>IF(K6=0,"",IF(K6=CM6,$BO$1,IF(K6=BM6,$AO$1,IF(K6=AM6,$O$1,""))))</f>
        <v>2022 Elite Canada</v>
      </c>
      <c r="M6" s="4">
        <f>IF(K6=CM6,MAX(BL6,AL6),IF(K6=BM6,MAX(CL6,AL6),IF(K6=AM6,MAX(CL6,BL6),0)))</f>
        <v>21.700000000000003</v>
      </c>
      <c r="N6" s="4" t="str">
        <f>IF(M6=0,"",IF(AND(M6=CL6,L6&lt;&gt;$BO$1),$BO$1,IF(AND(M6=BL6,L6&lt;&gt;$AO$1),$AO$1,IF(AND(M6=AL6,L6&lt;&gt;$O$1),$O$1,""))))</f>
        <v>2022 WG Virtual Control Trial</v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18"/>
      <c r="AJ6" s="23" t="str">
        <f>IF(SUM(O6:P6,R6:T6,V6)-Q6-U6&gt;0,SUM(O6:P6,R6:T6,V6)-Q6-U6,"")</f>
        <v/>
      </c>
      <c r="AK6" s="23" t="str">
        <f>IF(SUM(W6:X6,Z6)-Y6&gt;0,SUM(W6:X6,Z6)-Y6,"")</f>
        <v/>
      </c>
      <c r="AL6" s="23" t="str">
        <f>IF(SUM(AA6:AB6,AD6)-SUM(AC6)&gt;0,SUM(AA6:AB6,AD6)-SUM(AC6),"")</f>
        <v/>
      </c>
      <c r="AM6" s="23" t="str">
        <f>IF(SUM(AA6:AB6,AD6:AF6,AH6)-SUM(AC6,AG6)&gt;0,SUM(AA6:AB6,AD6:AF6,AH6)-SUM(AC6,AG6),"")</f>
        <v/>
      </c>
      <c r="AN6" s="23" t="str">
        <f>IF(SUM(AJ6,AM6)&gt;0,SUM(AJ6,AM6),"")</f>
        <v/>
      </c>
      <c r="AO6" s="8">
        <v>16.5</v>
      </c>
      <c r="AP6" s="8">
        <v>4.7</v>
      </c>
      <c r="AQ6" s="8">
        <v>0</v>
      </c>
      <c r="AR6" s="8">
        <v>0.3</v>
      </c>
      <c r="AS6" s="8">
        <v>17</v>
      </c>
      <c r="AT6" s="8">
        <v>5</v>
      </c>
      <c r="AU6" s="8">
        <v>0</v>
      </c>
      <c r="AV6" s="8">
        <v>0.6</v>
      </c>
      <c r="AW6" s="8"/>
      <c r="AX6" s="8"/>
      <c r="AY6" s="8"/>
      <c r="AZ6" s="8"/>
      <c r="BA6" s="8">
        <v>17.399999999999999</v>
      </c>
      <c r="BB6" s="8">
        <v>4.7</v>
      </c>
      <c r="BC6" s="8">
        <v>0</v>
      </c>
      <c r="BD6" s="8">
        <v>0.3</v>
      </c>
      <c r="BE6" s="8">
        <v>16.8</v>
      </c>
      <c r="BF6" s="8">
        <v>4.8</v>
      </c>
      <c r="BG6" s="8">
        <v>0</v>
      </c>
      <c r="BH6" s="8">
        <v>0.6</v>
      </c>
      <c r="BI6" s="19"/>
      <c r="BJ6" s="6">
        <f>IF(SUM(AO6:AP6,AR6:AT6,AV6)-AQ6-AU6&gt;0,SUM(AO6:AP6,AR6:AT6,AV6)-AQ6-AU6,"")</f>
        <v>44.1</v>
      </c>
      <c r="BK6" s="6" t="str">
        <f>IF(SUM(AW6:AX6,AZ6)-AY6&gt;0,SUM(AW6:AX6,AZ6)-AY6,"")</f>
        <v/>
      </c>
      <c r="BL6" s="6">
        <f>IF(SUM(BA6:BB6,BD6)-SUM(BC6)&gt;0,SUM(BA6:BB6,BD6)-SUM(BC6),"")</f>
        <v>22.4</v>
      </c>
      <c r="BM6" s="6">
        <f>IF(SUM(BA6:BB6,BD6:BF6,BH6)-SUM(BC6,BG6)&gt;0,SUM(BA6:BB6,BD6:BF6,BH6)-SUM(BC6,BG6),"")</f>
        <v>44.6</v>
      </c>
      <c r="BN6" s="6">
        <f>IF(SUM(BJ6,BM6)&gt;0,SUM(BJ6,BM6),"")</f>
        <v>88.7</v>
      </c>
      <c r="BO6" s="9">
        <v>15.3</v>
      </c>
      <c r="BP6" s="9">
        <v>2.9</v>
      </c>
      <c r="BQ6" s="9">
        <v>0</v>
      </c>
      <c r="BR6" s="9">
        <v>0</v>
      </c>
      <c r="BS6" s="9">
        <v>17</v>
      </c>
      <c r="BT6" s="9">
        <v>4.8</v>
      </c>
      <c r="BU6" s="9">
        <v>0</v>
      </c>
      <c r="BV6" s="9">
        <v>0</v>
      </c>
      <c r="BW6" s="9"/>
      <c r="BX6" s="9"/>
      <c r="BY6" s="9"/>
      <c r="BZ6" s="9"/>
      <c r="CA6" s="9">
        <v>16.600000000000001</v>
      </c>
      <c r="CB6" s="9">
        <v>5.3</v>
      </c>
      <c r="CC6" s="9">
        <v>0.2</v>
      </c>
      <c r="CD6" s="9">
        <v>0</v>
      </c>
      <c r="CE6" s="9">
        <v>16.899999999999999</v>
      </c>
      <c r="CF6" s="9">
        <v>4.4000000000000004</v>
      </c>
      <c r="CG6" s="9">
        <v>0.4</v>
      </c>
      <c r="CH6" s="9">
        <v>0</v>
      </c>
      <c r="CI6" s="18"/>
      <c r="CJ6" s="23">
        <f>IF(SUM(BO6:BP6,BR6:BT6,BV6)-BQ6-BU6&gt;0,SUM(BO6:BP6,BR6:BT6,BV6)-BQ6-BU6,"")</f>
        <v>40</v>
      </c>
      <c r="CK6" s="23" t="str">
        <f>IF(SUM(BW6:BX6,BZ6)-BY6&gt;0,SUM(BW6:BX6,BZ6)-BY6,"")</f>
        <v/>
      </c>
      <c r="CL6" s="23">
        <f>IF(SUM(CA6:CB6,CD6)-SUM(CC6)&gt;0,SUM(CA6:CB6,CD6)-SUM(CC6),"")</f>
        <v>21.700000000000003</v>
      </c>
      <c r="CM6" s="23">
        <f>IF(SUM(CA6:CB6,CD6:CF6,CH6)-SUM(CC6,CG6)&gt;0,SUM(CA6:CB6,CD6:CF6,CH6)-SUM(CC6,CG6),"")</f>
        <v>42.599999999999994</v>
      </c>
      <c r="CN6" s="23">
        <f>IF(SUM(CJ6,CM6)&gt;0,SUM(CJ6,CM6),"")</f>
        <v>82.6</v>
      </c>
    </row>
    <row r="8" spans="1:92" x14ac:dyDescent="0.2">
      <c r="A8" s="11"/>
      <c r="B8" s="11"/>
      <c r="C8" s="10"/>
    </row>
    <row r="9" spans="1:92" x14ac:dyDescent="0.2">
      <c r="A9" s="2"/>
      <c r="B9" s="2"/>
      <c r="C9" s="2"/>
    </row>
  </sheetData>
  <sheetProtection sheet="1" formatCells="0" formatColumns="0" formatRows="0"/>
  <autoFilter ref="A1:CN6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6">
      <sortCondition descending="1" ref="F1:F7"/>
    </sortState>
  </autoFilter>
  <mergeCells count="32">
    <mergeCell ref="K1:K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W2:Z2"/>
    <mergeCell ref="AA2:AD2"/>
    <mergeCell ref="AE2:AH2"/>
    <mergeCell ref="BS2:BV2"/>
    <mergeCell ref="BW2:BZ2"/>
  </mergeCells>
  <conditionalFormatting sqref="H1:H1048576 J1:J1048576 L1:L1048576 N1:N1048576">
    <cfRule type="expression" dxfId="11" priority="1">
      <formula>IF(H1=$BO$1,1,0)</formula>
    </cfRule>
    <cfRule type="expression" dxfId="10" priority="2">
      <formula>IF(H1=$AO$1,1,0)</formula>
    </cfRule>
    <cfRule type="expression" dxfId="9" priority="3">
      <formula>IF(H1=$O$1,1,0)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N1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9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16"/>
      <c r="AJ2" s="24" t="s">
        <v>42</v>
      </c>
      <c r="AK2" s="24" t="s">
        <v>39</v>
      </c>
      <c r="AL2" s="24" t="s">
        <v>40</v>
      </c>
      <c r="AM2" s="24" t="s">
        <v>43</v>
      </c>
      <c r="AN2" s="24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17"/>
      <c r="BJ2" s="25" t="s">
        <v>42</v>
      </c>
      <c r="BK2" s="25" t="s">
        <v>39</v>
      </c>
      <c r="BL2" s="25" t="s">
        <v>40</v>
      </c>
      <c r="BM2" s="25" t="s">
        <v>43</v>
      </c>
      <c r="BN2" s="25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0"/>
      <c r="CJ2" s="24" t="s">
        <v>42</v>
      </c>
      <c r="CK2" s="24" t="s">
        <v>39</v>
      </c>
      <c r="CL2" s="24" t="s">
        <v>40</v>
      </c>
      <c r="CM2" s="24" t="s">
        <v>43</v>
      </c>
      <c r="CN2" s="24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13" t="s">
        <v>10</v>
      </c>
      <c r="P3" s="13" t="s">
        <v>8</v>
      </c>
      <c r="Q3" s="13" t="s">
        <v>13</v>
      </c>
      <c r="R3" s="13" t="s">
        <v>14</v>
      </c>
      <c r="S3" s="13" t="s">
        <v>10</v>
      </c>
      <c r="T3" s="13" t="s">
        <v>8</v>
      </c>
      <c r="U3" s="13" t="s">
        <v>13</v>
      </c>
      <c r="V3" s="13" t="s">
        <v>14</v>
      </c>
      <c r="W3" s="24" t="s">
        <v>10</v>
      </c>
      <c r="X3" s="24" t="s">
        <v>8</v>
      </c>
      <c r="Y3" s="24" t="s">
        <v>13</v>
      </c>
      <c r="Z3" s="24" t="s">
        <v>14</v>
      </c>
      <c r="AA3" s="13" t="s">
        <v>10</v>
      </c>
      <c r="AB3" s="13" t="s">
        <v>8</v>
      </c>
      <c r="AC3" s="13" t="s">
        <v>13</v>
      </c>
      <c r="AD3" s="13" t="s">
        <v>14</v>
      </c>
      <c r="AE3" s="15" t="s">
        <v>10</v>
      </c>
      <c r="AF3" s="15" t="s">
        <v>8</v>
      </c>
      <c r="AG3" s="15" t="s">
        <v>13</v>
      </c>
      <c r="AH3" s="15" t="s">
        <v>14</v>
      </c>
      <c r="AI3" s="16" t="s">
        <v>18</v>
      </c>
      <c r="AJ3" s="24"/>
      <c r="AK3" s="24"/>
      <c r="AL3" s="24"/>
      <c r="AM3" s="24"/>
      <c r="AN3" s="24"/>
      <c r="AO3" s="12" t="s">
        <v>10</v>
      </c>
      <c r="AP3" s="12" t="s">
        <v>8</v>
      </c>
      <c r="AQ3" s="12" t="s">
        <v>13</v>
      </c>
      <c r="AR3" s="12" t="s">
        <v>14</v>
      </c>
      <c r="AS3" s="12" t="s">
        <v>10</v>
      </c>
      <c r="AT3" s="12" t="s">
        <v>8</v>
      </c>
      <c r="AU3" s="12" t="s">
        <v>13</v>
      </c>
      <c r="AV3" s="12" t="s">
        <v>14</v>
      </c>
      <c r="AW3" s="25" t="s">
        <v>10</v>
      </c>
      <c r="AX3" s="25" t="s">
        <v>8</v>
      </c>
      <c r="AY3" s="25" t="s">
        <v>13</v>
      </c>
      <c r="AZ3" s="25" t="s">
        <v>14</v>
      </c>
      <c r="BA3" s="12" t="s">
        <v>10</v>
      </c>
      <c r="BB3" s="12" t="s">
        <v>8</v>
      </c>
      <c r="BC3" s="12" t="s">
        <v>13</v>
      </c>
      <c r="BD3" s="12" t="s">
        <v>14</v>
      </c>
      <c r="BE3" s="14" t="s">
        <v>10</v>
      </c>
      <c r="BF3" s="14" t="s">
        <v>8</v>
      </c>
      <c r="BG3" s="14" t="s">
        <v>13</v>
      </c>
      <c r="BH3" s="14" t="s">
        <v>14</v>
      </c>
      <c r="BI3" s="17" t="s">
        <v>18</v>
      </c>
      <c r="BJ3" s="25"/>
      <c r="BK3" s="25"/>
      <c r="BL3" s="25"/>
      <c r="BM3" s="25"/>
      <c r="BN3" s="25"/>
      <c r="BO3" s="20" t="s">
        <v>10</v>
      </c>
      <c r="BP3" s="20" t="s">
        <v>8</v>
      </c>
      <c r="BQ3" s="20" t="s">
        <v>13</v>
      </c>
      <c r="BR3" s="20" t="s">
        <v>14</v>
      </c>
      <c r="BS3" s="20" t="s">
        <v>10</v>
      </c>
      <c r="BT3" s="20" t="s">
        <v>8</v>
      </c>
      <c r="BU3" s="20" t="s">
        <v>13</v>
      </c>
      <c r="BV3" s="20" t="s">
        <v>14</v>
      </c>
      <c r="BW3" s="24" t="s">
        <v>10</v>
      </c>
      <c r="BX3" s="24" t="s">
        <v>8</v>
      </c>
      <c r="BY3" s="24" t="s">
        <v>13</v>
      </c>
      <c r="BZ3" s="24" t="s">
        <v>14</v>
      </c>
      <c r="CA3" s="20" t="s">
        <v>10</v>
      </c>
      <c r="CB3" s="20" t="s">
        <v>8</v>
      </c>
      <c r="CC3" s="20" t="s">
        <v>13</v>
      </c>
      <c r="CD3" s="20" t="s">
        <v>14</v>
      </c>
      <c r="CE3" s="21" t="s">
        <v>10</v>
      </c>
      <c r="CF3" s="21" t="s">
        <v>8</v>
      </c>
      <c r="CG3" s="21" t="s">
        <v>13</v>
      </c>
      <c r="CH3" s="21" t="s">
        <v>14</v>
      </c>
      <c r="CI3" s="20" t="s">
        <v>18</v>
      </c>
      <c r="CJ3" s="24"/>
      <c r="CK3" s="24"/>
      <c r="CL3" s="24"/>
      <c r="CM3" s="24"/>
      <c r="CN3" s="24"/>
    </row>
    <row r="4" spans="1:92" x14ac:dyDescent="0.2">
      <c r="A4" s="1" cm="1">
        <f t="array" ref="A4">IF(F4="P",SUMPRODUCT((F$4:F$7="P")*(E$4:E$7&gt;E4))+1,"")</f>
        <v>1</v>
      </c>
      <c r="B4" s="2" t="s">
        <v>50</v>
      </c>
      <c r="C4" s="3" t="s">
        <v>3</v>
      </c>
      <c r="D4" s="7">
        <v>1991</v>
      </c>
      <c r="E4" s="5">
        <f>SUM(G4:N4)+SUM(G4:M4)*0.0000001+SUM(G4)*0.0000000000001</f>
        <v>154.96001549600453</v>
      </c>
      <c r="F4" s="30" t="s">
        <v>55</v>
      </c>
      <c r="G4" s="4">
        <f>IF(COUNT(AJ4,BJ4,CJ4)&gt;0,LARGE((AJ4,BJ4,CJ4),1),0)</f>
        <v>45.4</v>
      </c>
      <c r="H4" s="4" t="str">
        <f>IF(G4=0,"",IF(G4=CJ4,$BO$1,IF(G4=BJ4,$AO$1,IF(G4=AJ4,$O$1,""))))</f>
        <v>2022 Elite Canada</v>
      </c>
      <c r="I4" s="4">
        <f>IF(COUNT(AJ4,BJ4,CJ4)&gt;1,LARGE((AJ4,BJ4,CJ4),2),0)</f>
        <v>41.699999999999996</v>
      </c>
      <c r="J4" s="4" t="str">
        <f>IF(I4=0,"",IF(I4=CJ4,$BO$1,IF(I4=BJ4,$AO$1,IF(I4=AJ4,$O$1,""))))</f>
        <v>2022 WG Virtual Technical Trial</v>
      </c>
      <c r="K4" s="4">
        <f>IF(MAX(AM4,BM4,CM4)&gt;0,MAX(AM4,BM4,CM4),0)</f>
        <v>45.86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22</v>
      </c>
      <c r="N4" s="4" t="str">
        <f>IF(M4=0,"",IF(AND(M4=CL4,L4&lt;&gt;$BO$1),$BO$1,IF(AND(M4=BL4,L4&lt;&gt;$AO$1),$AO$1,IF(AND(M4=AL4,L4&lt;&gt;$O$1),$O$1,""))))</f>
        <v>2022 WG Virtual Technical Trial</v>
      </c>
      <c r="O4" s="9">
        <v>17.8</v>
      </c>
      <c r="P4" s="9">
        <v>4.7</v>
      </c>
      <c r="Q4" s="9">
        <v>0</v>
      </c>
      <c r="R4" s="9">
        <v>0.3</v>
      </c>
      <c r="S4" s="9">
        <v>16.7</v>
      </c>
      <c r="T4" s="9">
        <v>1.9</v>
      </c>
      <c r="U4" s="9">
        <v>0</v>
      </c>
      <c r="V4" s="9">
        <v>0.3</v>
      </c>
      <c r="W4" s="9"/>
      <c r="X4" s="9"/>
      <c r="Y4" s="9"/>
      <c r="Z4" s="9"/>
      <c r="AA4" s="9">
        <v>17.399999999999999</v>
      </c>
      <c r="AB4" s="9">
        <v>4.3</v>
      </c>
      <c r="AC4" s="9">
        <v>0</v>
      </c>
      <c r="AD4" s="9">
        <v>0.3</v>
      </c>
      <c r="AE4" s="9">
        <v>17.7</v>
      </c>
      <c r="AF4" s="9">
        <v>4.7</v>
      </c>
      <c r="AG4" s="9">
        <v>0</v>
      </c>
      <c r="AH4" s="9">
        <v>0.3</v>
      </c>
      <c r="AI4" s="18"/>
      <c r="AJ4" s="23">
        <f>IF(SUM(O4:P4,R4:T4,V4)-Q4-U4&gt;0,SUM(O4:P4,R4:T4,V4)-Q4-U4,"")</f>
        <v>41.699999999999996</v>
      </c>
      <c r="AK4" s="23" t="str">
        <f>IF(SUM(W4:X4,Z4)-Y4&gt;0,SUM(W4:X4,Z4)-Y4,"")</f>
        <v/>
      </c>
      <c r="AL4" s="23">
        <f>IF(SUM(AA4:AB4,AD4)-SUM(AC4)&gt;0,SUM(AA4:AB4,AD4)-SUM(AC4),"")</f>
        <v>22</v>
      </c>
      <c r="AM4" s="23">
        <f>IF(SUM(AA4:AB4,AD4:AF4,AH4)-SUM(AC4,AG4)&gt;0,SUM(AA4:AB4,AD4:AF4,AH4)-SUM(AC4,AG4),"")</f>
        <v>44.7</v>
      </c>
      <c r="AN4" s="23">
        <f>IF(SUM(AJ4,AM4)&gt;0,SUM(AJ4,AM4),"")</f>
        <v>86.4</v>
      </c>
      <c r="AO4" s="8">
        <v>17.7</v>
      </c>
      <c r="AP4" s="8">
        <v>4.7</v>
      </c>
      <c r="AQ4" s="8">
        <v>0</v>
      </c>
      <c r="AR4" s="8">
        <v>0.3</v>
      </c>
      <c r="AS4" s="8">
        <v>17.7</v>
      </c>
      <c r="AT4" s="8">
        <v>4.7</v>
      </c>
      <c r="AU4" s="8">
        <v>0</v>
      </c>
      <c r="AV4" s="8">
        <v>0.3</v>
      </c>
      <c r="AW4" s="8"/>
      <c r="AX4" s="8"/>
      <c r="AY4" s="8"/>
      <c r="AZ4" s="8"/>
      <c r="BA4" s="8">
        <v>18.059999999999999</v>
      </c>
      <c r="BB4" s="8">
        <v>4.7</v>
      </c>
      <c r="BC4" s="8">
        <v>0</v>
      </c>
      <c r="BD4" s="8">
        <v>0.3</v>
      </c>
      <c r="BE4" s="8">
        <v>17.8</v>
      </c>
      <c r="BF4" s="8">
        <v>4.7</v>
      </c>
      <c r="BG4" s="8">
        <v>0</v>
      </c>
      <c r="BH4" s="8">
        <v>0.3</v>
      </c>
      <c r="BI4" s="19"/>
      <c r="BJ4" s="6">
        <f>IF(SUM(AO4:AP4,AR4:AT4,AV4)-AQ4-AU4&gt;0,SUM(AO4:AP4,AR4:AT4,AV4)-AQ4-AU4,"")</f>
        <v>45.4</v>
      </c>
      <c r="BK4" s="6" t="str">
        <f>IF(SUM(AW4:AX4,AZ4)-AY4&gt;0,SUM(AW4:AX4,AZ4)-AY4,"")</f>
        <v/>
      </c>
      <c r="BL4" s="6">
        <f>IF(SUM(BA4:BB4,BD4)-SUM(BC4)&gt;0,SUM(BA4:BB4,BD4)-SUM(BC4),"")</f>
        <v>23.06</v>
      </c>
      <c r="BM4" s="6">
        <f>IF(SUM(BA4:BB4,BD4:BF4,BH4)-SUM(BC4,BG4)&gt;0,SUM(BA4:BB4,BD4:BF4,BH4)-SUM(BC4,BG4),"")</f>
        <v>45.86</v>
      </c>
      <c r="BN4" s="6">
        <f>IF(SUM(BJ4,BM4)&gt;0,SUM(BJ4,BM4),"")</f>
        <v>91.259999999999991</v>
      </c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18"/>
      <c r="CJ4" s="23" t="str">
        <f>IF(SUM(BO4:BP4,BR4:BT4,BV4)-BQ4-BU4&gt;0,SUM(BO4:BP4,BR4:BT4,BV4)-BQ4-BU4,"")</f>
        <v/>
      </c>
      <c r="CK4" s="23" t="str">
        <f>IF(SUM(BW4:BX4,BZ4)-BY4&gt;0,SUM(BW4:BX4,BZ4)-BY4,"")</f>
        <v/>
      </c>
      <c r="CL4" s="23" t="str">
        <f>IF(SUM(CA4:CB4,CD4)-SUM(CC4)&gt;0,SUM(CA4:CB4,CD4)-SUM(CC4),"")</f>
        <v/>
      </c>
      <c r="CM4" s="23" t="str">
        <f>IF(SUM(CA4:CB4,CD4:CF4,CH4)-SUM(CC4,CG4)&gt;0,SUM(CA4:CB4,CD4:CF4,CH4)-SUM(CC4,CG4),"")</f>
        <v/>
      </c>
      <c r="CN4" s="23" t="str">
        <f>IF(SUM(CJ4,CM4)&gt;0,SUM(CJ4,CM4),"")</f>
        <v/>
      </c>
    </row>
    <row r="5" spans="1:92" x14ac:dyDescent="0.2">
      <c r="A5" s="1" cm="1">
        <f t="array" ref="A5">IF(F5="P",SUMPRODUCT((F$4:F$7="P")*(E$4:E$7&gt;E5))+1,"")</f>
        <v>2</v>
      </c>
      <c r="B5" s="2" t="s">
        <v>51</v>
      </c>
      <c r="C5" s="3" t="s">
        <v>3</v>
      </c>
      <c r="D5" s="7">
        <v>2004</v>
      </c>
      <c r="E5" s="5">
        <f>SUM(G5:N5)+SUM(G5:M5)*0.0000001+SUM(G5)*0.0000000000001</f>
        <v>153.04001530400441</v>
      </c>
      <c r="F5" s="30" t="s">
        <v>55</v>
      </c>
      <c r="G5" s="4">
        <f>IF(COUNT(AJ5,BJ5,CJ5)&gt;0,LARGE((AJ5,BJ5,CJ5),1),0)</f>
        <v>44.2</v>
      </c>
      <c r="H5" s="4" t="str">
        <f>IF(G5=0,"",IF(G5=CJ5,$BO$1,IF(G5=BJ5,$AO$1,IF(G5=AJ5,$O$1,""))))</f>
        <v>2022 Elite Canada</v>
      </c>
      <c r="I5" s="4">
        <f>IF(COUNT(AJ5,BJ5,CJ5)&gt;1,LARGE((AJ5,BJ5,CJ5),2),0)</f>
        <v>43.4</v>
      </c>
      <c r="J5" s="4" t="str">
        <f>IF(I5=0,"",IF(I5=CJ5,$BO$1,IF(I5=BJ5,$AO$1,IF(I5=AJ5,$O$1,""))))</f>
        <v>2022 WG Virtual Technical Trial</v>
      </c>
      <c r="K5" s="4">
        <f>IF(MAX(AM5,BM5,CM5)&gt;0,MAX(AM5,BM5,CM5),0)</f>
        <v>43.9</v>
      </c>
      <c r="L5" s="4" t="str">
        <f>IF(K5=0,"",IF(K5=CM5,$BO$1,IF(K5=BM5,$AO$1,IF(K5=AM5,$O$1,""))))</f>
        <v>2022 WG Virtual Technical Trial</v>
      </c>
      <c r="M5" s="4">
        <f>IF(K5=CM5,MAX(BL5,AL5),IF(K5=BM5,MAX(CL5,AL5),IF(K5=AM5,MAX(CL5,BL5),0)))</f>
        <v>21.540000000000003</v>
      </c>
      <c r="N5" s="4" t="str">
        <f>IF(M5=0,"",IF(AND(M5=CL5,L5&lt;&gt;$BO$1),$BO$1,IF(AND(M5=BL5,L5&lt;&gt;$AO$1),$AO$1,IF(AND(M5=AL5,L5&lt;&gt;$O$1),$O$1,""))))</f>
        <v>2022 Elite Canada</v>
      </c>
      <c r="O5" s="9">
        <v>17.600000000000001</v>
      </c>
      <c r="P5" s="9">
        <v>3.6</v>
      </c>
      <c r="Q5" s="9">
        <v>0</v>
      </c>
      <c r="R5" s="9">
        <v>0</v>
      </c>
      <c r="S5" s="9">
        <v>17.399999999999999</v>
      </c>
      <c r="T5" s="9">
        <v>4.5</v>
      </c>
      <c r="U5" s="9">
        <v>0</v>
      </c>
      <c r="V5" s="9">
        <v>0.3</v>
      </c>
      <c r="W5" s="9"/>
      <c r="X5" s="9"/>
      <c r="Y5" s="9"/>
      <c r="Z5" s="9"/>
      <c r="AA5" s="9">
        <v>18.100000000000001</v>
      </c>
      <c r="AB5" s="9">
        <v>3.6</v>
      </c>
      <c r="AC5" s="9">
        <v>0</v>
      </c>
      <c r="AD5" s="9">
        <v>0</v>
      </c>
      <c r="AE5" s="9">
        <v>17.399999999999999</v>
      </c>
      <c r="AF5" s="9">
        <v>4.5</v>
      </c>
      <c r="AG5" s="9">
        <v>0</v>
      </c>
      <c r="AH5" s="9">
        <v>0.3</v>
      </c>
      <c r="AI5" s="18"/>
      <c r="AJ5" s="23">
        <f>IF(SUM(O5:P5,R5:T5,V5)-Q5-U5&gt;0,SUM(O5:P5,R5:T5,V5)-Q5-U5,"")</f>
        <v>43.4</v>
      </c>
      <c r="AK5" s="23" t="str">
        <f>IF(SUM(W5:X5,Z5)-Y5&gt;0,SUM(W5:X5,Z5)-Y5,"")</f>
        <v/>
      </c>
      <c r="AL5" s="23">
        <f>IF(SUM(AA5:AB5,AD5)-SUM(AC5)&gt;0,SUM(AA5:AB5,AD5)-SUM(AC5),"")</f>
        <v>21.700000000000003</v>
      </c>
      <c r="AM5" s="23">
        <f>IF(SUM(AA5:AB5,AD5:AF5,AH5)-SUM(AC5,AG5)&gt;0,SUM(AA5:AB5,AD5:AF5,AH5)-SUM(AC5,AG5),"")</f>
        <v>43.9</v>
      </c>
      <c r="AN5" s="23">
        <f>IF(SUM(AJ5,AM5)&gt;0,SUM(AJ5,AM5),"")</f>
        <v>87.3</v>
      </c>
      <c r="AO5" s="8">
        <v>18.2</v>
      </c>
      <c r="AP5" s="8">
        <v>3.6</v>
      </c>
      <c r="AQ5" s="8">
        <v>0</v>
      </c>
      <c r="AR5" s="8">
        <v>0</v>
      </c>
      <c r="AS5" s="8">
        <v>17.600000000000001</v>
      </c>
      <c r="AT5" s="8">
        <v>4.5</v>
      </c>
      <c r="AU5" s="8">
        <v>0</v>
      </c>
      <c r="AV5" s="8">
        <v>0.3</v>
      </c>
      <c r="AW5" s="8"/>
      <c r="AX5" s="8"/>
      <c r="AY5" s="8"/>
      <c r="AZ5" s="8"/>
      <c r="BA5" s="8">
        <v>17.940000000000001</v>
      </c>
      <c r="BB5" s="8">
        <v>3.6</v>
      </c>
      <c r="BC5" s="8">
        <v>0</v>
      </c>
      <c r="BD5" s="8">
        <v>0</v>
      </c>
      <c r="BE5" s="8">
        <v>17.399999999999999</v>
      </c>
      <c r="BF5" s="8">
        <v>4.5</v>
      </c>
      <c r="BG5" s="8">
        <v>0</v>
      </c>
      <c r="BH5" s="8">
        <v>0.3</v>
      </c>
      <c r="BI5" s="19"/>
      <c r="BJ5" s="6">
        <f>IF(SUM(AO5:AP5,AR5:AT5,AV5)-AQ5-AU5&gt;0,SUM(AO5:AP5,AR5:AT5,AV5)-AQ5-AU5,"")</f>
        <v>44.2</v>
      </c>
      <c r="BK5" s="6" t="str">
        <f>IF(SUM(AW5:AX5,AZ5)-AY5&gt;0,SUM(AW5:AX5,AZ5)-AY5,"")</f>
        <v/>
      </c>
      <c r="BL5" s="6">
        <f>IF(SUM(BA5:BB5,BD5)-SUM(BC5)&gt;0,SUM(BA5:BB5,BD5)-SUM(BC5),"")</f>
        <v>21.540000000000003</v>
      </c>
      <c r="BM5" s="6">
        <f>IF(SUM(BA5:BB5,BD5:BF5,BH5)-SUM(BC5,BG5)&gt;0,SUM(BA5:BB5,BD5:BF5,BH5)-SUM(BC5,BG5),"")</f>
        <v>43.739999999999995</v>
      </c>
      <c r="BN5" s="6">
        <f>IF(SUM(BJ5,BM5)&gt;0,SUM(BJ5,BM5),"")</f>
        <v>87.94</v>
      </c>
      <c r="BO5" s="9">
        <v>16.7</v>
      </c>
      <c r="BP5" s="9">
        <v>4.5</v>
      </c>
      <c r="BQ5" s="9">
        <v>0</v>
      </c>
      <c r="BR5" s="9">
        <v>0.3</v>
      </c>
      <c r="BS5" s="9">
        <v>17.100000000000001</v>
      </c>
      <c r="BT5" s="9">
        <v>4.3</v>
      </c>
      <c r="BU5" s="9">
        <v>0</v>
      </c>
      <c r="BV5" s="9">
        <v>0.3</v>
      </c>
      <c r="BW5" s="9"/>
      <c r="BX5" s="9"/>
      <c r="BY5" s="9"/>
      <c r="BZ5" s="9"/>
      <c r="CA5" s="9">
        <v>16.600000000000001</v>
      </c>
      <c r="CB5" s="9">
        <v>4.5</v>
      </c>
      <c r="CC5" s="9">
        <v>0</v>
      </c>
      <c r="CD5" s="9">
        <v>0.3</v>
      </c>
      <c r="CE5" s="9">
        <v>17.100000000000001</v>
      </c>
      <c r="CF5" s="9">
        <v>4.3</v>
      </c>
      <c r="CG5" s="9">
        <v>0</v>
      </c>
      <c r="CH5" s="9">
        <v>0.3</v>
      </c>
      <c r="CI5" s="18"/>
      <c r="CJ5" s="23">
        <f>IF(SUM(BO5:BP5,BR5:BT5,BV5)-BQ5-BU5&gt;0,SUM(BO5:BP5,BR5:BT5,BV5)-BQ5-BU5,"")</f>
        <v>43.199999999999996</v>
      </c>
      <c r="CK5" s="23" t="str">
        <f>IF(SUM(BW5:BX5,BZ5)-BY5&gt;0,SUM(BW5:BX5,BZ5)-BY5,"")</f>
        <v/>
      </c>
      <c r="CL5" s="23">
        <f>IF(SUM(CA5:CB5,CD5)-SUM(CC5)&gt;0,SUM(CA5:CB5,CD5)-SUM(CC5),"")</f>
        <v>21.400000000000002</v>
      </c>
      <c r="CM5" s="23">
        <f>IF(SUM(CA5:CB5,CD5:CF5,CH5)-SUM(CC5,CG5)&gt;0,SUM(CA5:CB5,CD5:CF5,CH5)-SUM(CC5,CG5),"")</f>
        <v>43.099999999999994</v>
      </c>
      <c r="CN5" s="23">
        <f>IF(SUM(CJ5,CM5)&gt;0,SUM(CJ5,CM5),"")</f>
        <v>86.299999999999983</v>
      </c>
    </row>
    <row r="6" spans="1:92" x14ac:dyDescent="0.2">
      <c r="A6" s="1" t="str" cm="1">
        <f t="array" ref="A6">IF(F6="P",SUMPRODUCT((F$4:F$7="P")*(E$4:E$7&gt;E6))+1,"")</f>
        <v/>
      </c>
      <c r="B6" s="2" t="s">
        <v>62</v>
      </c>
      <c r="C6" s="3" t="s">
        <v>4</v>
      </c>
      <c r="D6" s="7">
        <v>2003</v>
      </c>
      <c r="E6" s="5">
        <f>SUM(G6:N6)+SUM(G6:M6)*0.0000001+SUM(G6)*0.0000000000001</f>
        <v>148.34001483400436</v>
      </c>
      <c r="F6" s="30"/>
      <c r="G6" s="4">
        <f>IF(COUNT(AJ6,BJ6,CJ6)&gt;0,LARGE((AJ6,BJ6,CJ6),1),0)</f>
        <v>43.400000000000006</v>
      </c>
      <c r="H6" s="4" t="str">
        <f>IF(G6=0,"",IF(G6=CJ6,$BO$1,IF(G6=BJ6,$AO$1,IF(G6=AJ6,$O$1,""))))</f>
        <v>2022 WG Virtual Control Trial</v>
      </c>
      <c r="I6" s="4">
        <f>IF(COUNT(AJ6,BJ6,CJ6)&gt;1,LARGE((AJ6,BJ6,CJ6),2),0)</f>
        <v>42.1</v>
      </c>
      <c r="J6" s="4" t="str">
        <f>IF(I6=0,"",IF(I6=CJ6,$BO$1,IF(I6=BJ6,$AO$1,IF(I6=AJ6,$O$1,""))))</f>
        <v>2022 Elite Canada</v>
      </c>
      <c r="K6" s="4">
        <f>IF(MAX(AM6,BM6,CM6)&gt;0,MAX(AM6,BM6,CM6),0)</f>
        <v>42.339999999999996</v>
      </c>
      <c r="L6" s="4" t="str">
        <f>IF(K6=0,"",IF(K6=CM6,$BO$1,IF(K6=BM6,$AO$1,IF(K6=AM6,$O$1,""))))</f>
        <v>2022 Elite Canada</v>
      </c>
      <c r="M6" s="4">
        <f>IF(K6=CM6,MAX(BL6,AL6),IF(K6=BM6,MAX(CL6,AL6),IF(K6=AM6,MAX(CL6,BL6),0)))</f>
        <v>20.500000000000004</v>
      </c>
      <c r="N6" s="4" t="str">
        <f>IF(M6=0,"",IF(AND(M6=CL6,L6&lt;&gt;$BO$1),$BO$1,IF(AND(M6=BL6,L6&lt;&gt;$AO$1),$AO$1,IF(AND(M6=AL6,L6&lt;&gt;$O$1),$O$1,""))))</f>
        <v>2022 WG Virtual Control Trial</v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18"/>
      <c r="AJ6" s="23" t="str">
        <f>IF(SUM(O6:P6,R6:T6,V6)-Q6-U6&gt;0,SUM(O6:P6,R6:T6,V6)-Q6-U6,"")</f>
        <v/>
      </c>
      <c r="AK6" s="23" t="str">
        <f>IF(SUM(W6:X6,Z6)-Y6&gt;0,SUM(W6:X6,Z6)-Y6,"")</f>
        <v/>
      </c>
      <c r="AL6" s="23" t="str">
        <f>IF(SUM(AA6:AB6,AD6)-SUM(AC6)&gt;0,SUM(AA6:AB6,AD6)-SUM(AC6),"")</f>
        <v/>
      </c>
      <c r="AM6" s="23" t="str">
        <f>IF(SUM(AA6:AB6,AD6:AF6,AH6)-SUM(AC6,AG6)&gt;0,SUM(AA6:AB6,AD6:AF6,AH6)-SUM(AC6,AG6),"")</f>
        <v/>
      </c>
      <c r="AN6" s="23" t="str">
        <f>IF(SUM(AJ6,AM6)&gt;0,SUM(AJ6,AM6),"")</f>
        <v/>
      </c>
      <c r="AO6" s="8">
        <v>16.7</v>
      </c>
      <c r="AP6" s="8">
        <v>3.9</v>
      </c>
      <c r="AQ6" s="8">
        <v>0</v>
      </c>
      <c r="AR6" s="8">
        <v>0.3</v>
      </c>
      <c r="AS6" s="8">
        <v>16.8</v>
      </c>
      <c r="AT6" s="8">
        <v>4.0999999999999996</v>
      </c>
      <c r="AU6" s="8">
        <v>0</v>
      </c>
      <c r="AV6" s="8">
        <v>0.3</v>
      </c>
      <c r="AW6" s="8"/>
      <c r="AX6" s="8"/>
      <c r="AY6" s="8"/>
      <c r="AZ6" s="8"/>
      <c r="BA6" s="8">
        <v>17.079999999999998</v>
      </c>
      <c r="BB6" s="8">
        <v>3.9</v>
      </c>
      <c r="BC6" s="8">
        <v>0</v>
      </c>
      <c r="BD6" s="8">
        <v>0.3</v>
      </c>
      <c r="BE6" s="8">
        <v>16.66</v>
      </c>
      <c r="BF6" s="8">
        <v>4.0999999999999996</v>
      </c>
      <c r="BG6" s="8">
        <v>0</v>
      </c>
      <c r="BH6" s="8">
        <v>0.3</v>
      </c>
      <c r="BI6" s="19"/>
      <c r="BJ6" s="6">
        <f>IF(SUM(AO6:AP6,AR6:AT6,AV6)-AQ6-AU6&gt;0,SUM(AO6:AP6,AR6:AT6,AV6)-AQ6-AU6,"")</f>
        <v>42.1</v>
      </c>
      <c r="BK6" s="6" t="str">
        <f>IF(SUM(AW6:AX6,AZ6)-AY6&gt;0,SUM(AW6:AX6,AZ6)-AY6,"")</f>
        <v/>
      </c>
      <c r="BL6" s="6">
        <f>IF(SUM(BA6:BB6,BD6)-SUM(BC6)&gt;0,SUM(BA6:BB6,BD6)-SUM(BC6),"")</f>
        <v>21.279999999999998</v>
      </c>
      <c r="BM6" s="6">
        <f>IF(SUM(BA6:BB6,BD6:BF6,BH6)-SUM(BC6,BG6)&gt;0,SUM(BA6:BB6,BD6:BF6,BH6)-SUM(BC6,BG6),"")</f>
        <v>42.339999999999996</v>
      </c>
      <c r="BN6" s="6">
        <f>IF(SUM(BJ6,BM6)&gt;0,SUM(BJ6,BM6),"")</f>
        <v>84.44</v>
      </c>
      <c r="BO6" s="9">
        <v>16.899999999999999</v>
      </c>
      <c r="BP6" s="9">
        <v>4.3</v>
      </c>
      <c r="BQ6" s="9">
        <v>0</v>
      </c>
      <c r="BR6" s="9">
        <v>0.3</v>
      </c>
      <c r="BS6" s="9">
        <v>16.7</v>
      </c>
      <c r="BT6" s="9">
        <v>4.5999999999999996</v>
      </c>
      <c r="BU6" s="9">
        <v>0</v>
      </c>
      <c r="BV6" s="9">
        <v>0.6</v>
      </c>
      <c r="BW6" s="9"/>
      <c r="BX6" s="9"/>
      <c r="BY6" s="9"/>
      <c r="BZ6" s="9"/>
      <c r="CA6" s="9">
        <v>16.100000000000001</v>
      </c>
      <c r="CB6" s="9">
        <v>4.0999999999999996</v>
      </c>
      <c r="CC6" s="9">
        <v>0</v>
      </c>
      <c r="CD6" s="9">
        <v>0.3</v>
      </c>
      <c r="CE6" s="9">
        <v>15.2</v>
      </c>
      <c r="CF6" s="9">
        <v>1.9</v>
      </c>
      <c r="CG6" s="9">
        <v>0</v>
      </c>
      <c r="CH6" s="9">
        <v>0.3</v>
      </c>
      <c r="CI6" s="18"/>
      <c r="CJ6" s="23">
        <f>IF(SUM(BO6:BP6,BR6:BT6,BV6)-BQ6-BU6&gt;0,SUM(BO6:BP6,BR6:BT6,BV6)-BQ6-BU6,"")</f>
        <v>43.400000000000006</v>
      </c>
      <c r="CK6" s="23" t="str">
        <f>IF(SUM(BW6:BX6,BZ6)-BY6&gt;0,SUM(BW6:BX6,BZ6)-BY6,"")</f>
        <v/>
      </c>
      <c r="CL6" s="23">
        <f>IF(SUM(CA6:CB6,CD6)-SUM(CC6)&gt;0,SUM(CA6:CB6,CD6)-SUM(CC6),"")</f>
        <v>20.500000000000004</v>
      </c>
      <c r="CM6" s="23">
        <f>IF(SUM(CA6:CB6,CD6:CF6,CH6)-SUM(CC6,CG6)&gt;0,SUM(CA6:CB6,CD6:CF6,CH6)-SUM(CC6,CG6),"")</f>
        <v>37.9</v>
      </c>
      <c r="CN6" s="23">
        <f>IF(SUM(CJ6,CM6)&gt;0,SUM(CJ6,CM6),"")</f>
        <v>81.300000000000011</v>
      </c>
    </row>
    <row r="7" spans="1:92" x14ac:dyDescent="0.2">
      <c r="A7" s="1" t="str" cm="1">
        <f t="array" ref="A7">IF(F7="P",SUMPRODUCT((F$4:F$7="P")*(E$4:E$7&gt;E7))+1,"")</f>
        <v/>
      </c>
      <c r="B7" s="2" t="s">
        <v>22</v>
      </c>
      <c r="C7" s="3" t="s">
        <v>3</v>
      </c>
      <c r="D7" s="7">
        <v>2003</v>
      </c>
      <c r="E7" s="5">
        <f>SUM(G7:N7)+SUM(G7:M7)*0.0000001+SUM(G7)*0.0000000000001</f>
        <v>138.60001386000388</v>
      </c>
      <c r="F7" s="30"/>
      <c r="G7" s="4">
        <f>IF(COUNT(AJ7,BJ7,CJ7)&gt;0,LARGE((AJ7,BJ7,CJ7),1),0)</f>
        <v>38.9</v>
      </c>
      <c r="H7" s="4" t="str">
        <f>IF(G7=0,"",IF(G7=CJ7,$BO$1,IF(G7=BJ7,$AO$1,IF(G7=AJ7,$O$1,""))))</f>
        <v>2022 Elite Canada</v>
      </c>
      <c r="I7" s="4">
        <f>IF(COUNT(AJ7,BJ7,CJ7)&gt;1,LARGE((AJ7,BJ7,CJ7),2),0)</f>
        <v>37.699999999999996</v>
      </c>
      <c r="J7" s="4" t="str">
        <f>IF(I7=0,"",IF(I7=CJ7,$BO$1,IF(I7=BJ7,$AO$1,IF(I7=AJ7,$O$1,""))))</f>
        <v>2022 WG Virtual Control Trial</v>
      </c>
      <c r="K7" s="4">
        <f>IF(MAX(AM7,BM7,CM7)&gt;0,MAX(AM7,BM7,CM7),0)</f>
        <v>42.699999999999996</v>
      </c>
      <c r="L7" s="4" t="str">
        <f>IF(K7=0,"",IF(K7=CM7,$BO$1,IF(K7=BM7,$AO$1,IF(K7=AM7,$O$1,""))))</f>
        <v>2022 WG Virtual Control Trial</v>
      </c>
      <c r="M7" s="4">
        <f>IF(K7=CM7,MAX(BL7,AL7),IF(K7=BM7,MAX(CL7,AL7),IF(K7=AM7,MAX(CL7,BL7),0)))</f>
        <v>19.3</v>
      </c>
      <c r="N7" s="4" t="str">
        <f>IF(M7=0,"",IF(AND(M7=CL7,L7&lt;&gt;$BO$1),$BO$1,IF(AND(M7=BL7,L7&lt;&gt;$AO$1),$AO$1,IF(AND(M7=AL7,L7&lt;&gt;$O$1),$O$1,""))))</f>
        <v>2022 Elite Canada</v>
      </c>
      <c r="O7" s="9">
        <v>9.8000000000000007</v>
      </c>
      <c r="P7" s="9">
        <v>1.4</v>
      </c>
      <c r="Q7" s="9">
        <v>0</v>
      </c>
      <c r="R7" s="9">
        <v>0.3</v>
      </c>
      <c r="S7" s="9">
        <v>15.4</v>
      </c>
      <c r="T7" s="9">
        <v>1.9</v>
      </c>
      <c r="U7" s="9">
        <v>0</v>
      </c>
      <c r="V7" s="9">
        <v>0.3</v>
      </c>
      <c r="W7" s="9"/>
      <c r="X7" s="9"/>
      <c r="Y7" s="9"/>
      <c r="Z7" s="9"/>
      <c r="AA7" s="9">
        <v>16.2</v>
      </c>
      <c r="AB7" s="9">
        <v>1.7</v>
      </c>
      <c r="AC7" s="9">
        <v>1.9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18"/>
      <c r="AJ7" s="23">
        <f>IF(SUM(O7:P7,R7:T7,V7)-Q7-U7&gt;0,SUM(O7:P7,R7:T7,V7)-Q7-U7,"")</f>
        <v>29.1</v>
      </c>
      <c r="AK7" s="23" t="str">
        <f>IF(SUM(W7:X7,Z7)-Y7&gt;0,SUM(W7:X7,Z7)-Y7,"")</f>
        <v/>
      </c>
      <c r="AL7" s="23">
        <f>IF(SUM(AA7:AB7,AD7)-SUM(AC7)&gt;0,SUM(AA7:AB7,AD7)-SUM(AC7),"")</f>
        <v>15.999999999999998</v>
      </c>
      <c r="AM7" s="23">
        <f>IF(SUM(AA7:AB7,AD7:AF7,AH7)-SUM(AC7,AG7)&gt;0,SUM(AA7:AB7,AD7:AF7,AH7)-SUM(AC7,AG7),"")</f>
        <v>15.999999999999998</v>
      </c>
      <c r="AN7" s="23">
        <f>IF(SUM(AJ7,AM7)&gt;0,SUM(AJ7,AM7),"")</f>
        <v>45.1</v>
      </c>
      <c r="AO7" s="8">
        <v>16.600000000000001</v>
      </c>
      <c r="AP7" s="8">
        <v>3.9</v>
      </c>
      <c r="AQ7" s="8">
        <v>0</v>
      </c>
      <c r="AR7" s="8">
        <v>0.3</v>
      </c>
      <c r="AS7" s="8">
        <v>15.9</v>
      </c>
      <c r="AT7" s="8">
        <v>1.9</v>
      </c>
      <c r="AU7" s="8">
        <v>0</v>
      </c>
      <c r="AV7" s="8">
        <v>0.3</v>
      </c>
      <c r="AW7" s="8"/>
      <c r="AX7" s="8"/>
      <c r="AY7" s="8"/>
      <c r="AZ7" s="8"/>
      <c r="BA7" s="8">
        <v>15.1</v>
      </c>
      <c r="BB7" s="8">
        <v>4.0999999999999996</v>
      </c>
      <c r="BC7" s="8">
        <v>0.2</v>
      </c>
      <c r="BD7" s="8">
        <v>0.3</v>
      </c>
      <c r="BE7" s="8">
        <v>16.46</v>
      </c>
      <c r="BF7" s="8">
        <v>4.5</v>
      </c>
      <c r="BG7" s="8">
        <v>0</v>
      </c>
      <c r="BH7" s="8">
        <v>0.3</v>
      </c>
      <c r="BI7" s="19"/>
      <c r="BJ7" s="6">
        <f>IF(SUM(AO7:AP7,AR7:AT7,AV7)-AQ7-AU7&gt;0,SUM(AO7:AP7,AR7:AT7,AV7)-AQ7-AU7,"")</f>
        <v>38.9</v>
      </c>
      <c r="BK7" s="6" t="str">
        <f>IF(SUM(AW7:AX7,AZ7)-AY7&gt;0,SUM(AW7:AX7,AZ7)-AY7,"")</f>
        <v/>
      </c>
      <c r="BL7" s="6">
        <f>IF(SUM(BA7:BB7,BD7)-SUM(BC7)&gt;0,SUM(BA7:BB7,BD7)-SUM(BC7),"")</f>
        <v>19.3</v>
      </c>
      <c r="BM7" s="6">
        <f>IF(SUM(BA7:BB7,BD7:BF7,BH7)-SUM(BC7,BG7)&gt;0,SUM(BA7:BB7,BD7:BF7,BH7)-SUM(BC7,BG7),"")</f>
        <v>40.559999999999995</v>
      </c>
      <c r="BN7" s="6">
        <f>IF(SUM(BJ7,BM7)&gt;0,SUM(BJ7,BM7),"")</f>
        <v>79.459999999999994</v>
      </c>
      <c r="BO7" s="9">
        <v>16.2</v>
      </c>
      <c r="BP7" s="9">
        <v>1.2</v>
      </c>
      <c r="BQ7" s="9">
        <v>0</v>
      </c>
      <c r="BR7" s="9">
        <v>0</v>
      </c>
      <c r="BS7" s="9">
        <v>16.3</v>
      </c>
      <c r="BT7" s="9">
        <v>3.9</v>
      </c>
      <c r="BU7" s="9">
        <v>0.2</v>
      </c>
      <c r="BV7" s="9">
        <v>0.3</v>
      </c>
      <c r="BW7" s="9"/>
      <c r="BX7" s="9"/>
      <c r="BY7" s="9"/>
      <c r="BZ7" s="9"/>
      <c r="CA7" s="9">
        <v>17.5</v>
      </c>
      <c r="CB7" s="9">
        <v>3.6</v>
      </c>
      <c r="CC7" s="9">
        <v>0</v>
      </c>
      <c r="CD7" s="9">
        <v>0</v>
      </c>
      <c r="CE7" s="9">
        <v>17</v>
      </c>
      <c r="CF7" s="9">
        <v>4.3</v>
      </c>
      <c r="CG7" s="9">
        <v>0</v>
      </c>
      <c r="CH7" s="9">
        <v>0.3</v>
      </c>
      <c r="CI7" s="18"/>
      <c r="CJ7" s="23">
        <f>IF(SUM(BO7:BP7,BR7:BT7,BV7)-BQ7-BU7&gt;0,SUM(BO7:BP7,BR7:BT7,BV7)-BQ7-BU7,"")</f>
        <v>37.699999999999996</v>
      </c>
      <c r="CK7" s="23" t="str">
        <f>IF(SUM(BW7:BX7,BZ7)-BY7&gt;0,SUM(BW7:BX7,BZ7)-BY7,"")</f>
        <v/>
      </c>
      <c r="CL7" s="23">
        <f>IF(SUM(CA7:CB7,CD7)-SUM(CC7)&gt;0,SUM(CA7:CB7,CD7)-SUM(CC7),"")</f>
        <v>21.1</v>
      </c>
      <c r="CM7" s="23">
        <f>IF(SUM(CA7:CB7,CD7:CF7,CH7)-SUM(CC7,CG7)&gt;0,SUM(CA7:CB7,CD7:CF7,CH7)-SUM(CC7,CG7),"")</f>
        <v>42.699999999999996</v>
      </c>
      <c r="CN7" s="23">
        <f>IF(SUM(CJ7,CM7)&gt;0,SUM(CJ7,CM7),"")</f>
        <v>80.399999999999991</v>
      </c>
    </row>
    <row r="9" spans="1:92" x14ac:dyDescent="0.2">
      <c r="A9" s="11"/>
      <c r="B9" s="11"/>
      <c r="C9" s="10"/>
    </row>
    <row r="10" spans="1:92" x14ac:dyDescent="0.2">
      <c r="A10" s="2"/>
      <c r="B10" s="2"/>
      <c r="C10" s="2"/>
    </row>
  </sheetData>
  <sheetProtection sheet="1" formatCells="0" formatColumns="0" formatRows="0"/>
  <autoFilter ref="A1:CN7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7">
      <sortCondition descending="1" ref="F1:F8"/>
    </sortState>
  </autoFilter>
  <mergeCells count="32">
    <mergeCell ref="A1:A3"/>
    <mergeCell ref="B1:B3"/>
    <mergeCell ref="C1:C3"/>
    <mergeCell ref="D1:D3"/>
    <mergeCell ref="E1:E3"/>
    <mergeCell ref="H1:H3"/>
    <mergeCell ref="N1:N3"/>
    <mergeCell ref="M1:M3"/>
    <mergeCell ref="G1:G3"/>
    <mergeCell ref="F1:F3"/>
    <mergeCell ref="K1:K3"/>
    <mergeCell ref="L1:L3"/>
    <mergeCell ref="I1:I3"/>
    <mergeCell ref="J1:J3"/>
    <mergeCell ref="BO1:CN1"/>
    <mergeCell ref="BO2:BR2"/>
    <mergeCell ref="BS2:BV2"/>
    <mergeCell ref="CA2:CD2"/>
    <mergeCell ref="CE2:CH2"/>
    <mergeCell ref="BW2:BZ2"/>
    <mergeCell ref="BE2:BH2"/>
    <mergeCell ref="O1:AN1"/>
    <mergeCell ref="AO1:BN1"/>
    <mergeCell ref="S2:V2"/>
    <mergeCell ref="AA2:AD2"/>
    <mergeCell ref="AE2:AH2"/>
    <mergeCell ref="AO2:AR2"/>
    <mergeCell ref="AS2:AV2"/>
    <mergeCell ref="BA2:BD2"/>
    <mergeCell ref="W2:Z2"/>
    <mergeCell ref="AW2:AZ2"/>
    <mergeCell ref="O2:R2"/>
  </mergeCells>
  <conditionalFormatting sqref="H1:H1048576 J1:J1048576 L1:L1048576 N1:N1048576">
    <cfRule type="expression" dxfId="8" priority="60004">
      <formula>IF(H1=$BO$1,1,0)</formula>
    </cfRule>
    <cfRule type="expression" dxfId="7" priority="60005">
      <formula>IF(H1=$AO$1,1,0)</formula>
    </cfRule>
    <cfRule type="expression" dxfId="6" priority="60006">
      <formula>IF(H1=$O$1,1,0)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61AA-6569-234E-A871-1F2D2825D415}">
  <sheetPr codeName="Sheet8"/>
  <dimension ref="A1:CN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10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IF(F4="P",SUMPRODUCT((F$4:F$18="P")*(E$4:E$18&gt;E4))+1,"")</f>
        <v>1</v>
      </c>
      <c r="B4" s="2" t="s">
        <v>23</v>
      </c>
      <c r="C4" s="3" t="s">
        <v>3</v>
      </c>
      <c r="D4" s="7">
        <v>2003</v>
      </c>
      <c r="E4" s="5">
        <f t="shared" ref="E4:E18" si="0">SUM(G4:N4)+SUM(G4:M4)*0.0000001+SUM(G4)*0.0000000000001</f>
        <v>197.60001976000569</v>
      </c>
      <c r="F4" s="30" t="s">
        <v>55</v>
      </c>
      <c r="G4" s="4">
        <f>IF(COUNT(AJ4,BJ4,CJ4)&gt;0,LARGE((AJ4,BJ4,CJ4),1),0)</f>
        <v>57.1</v>
      </c>
      <c r="H4" s="4" t="str">
        <f t="shared" ref="H4:H18" si="1">IF(G4=0,"",IF(G4=CJ4,$BO$1,IF(G4=BJ4,$AO$1,IF(G4=AJ4,$O$1,""))))</f>
        <v>2022 WG Virtual Control Trial</v>
      </c>
      <c r="I4" s="4">
        <f>IF(COUNT(AJ4,BJ4,CJ4)&gt;1,LARGE((AJ4,BJ4,CJ4),2),0)</f>
        <v>56.099999999999994</v>
      </c>
      <c r="J4" s="4" t="str">
        <f t="shared" ref="J4:J18" si="2">IF(I4=0,"",IF(I4=CJ4,$BO$1,IF(I4=BJ4,$AO$1,IF(I4=AJ4,$O$1,""))))</f>
        <v>2022 WG Virtual Technical Trial</v>
      </c>
      <c r="K4" s="4">
        <f t="shared" ref="K4:K18" si="3">IF(MAX(AM4,BM4,CM4)&gt;0,MAX(AM4,BM4,CM4),0)</f>
        <v>56.6</v>
      </c>
      <c r="L4" s="4" t="str">
        <f t="shared" ref="L4:L18" si="4">IF(K4=0,"",IF(K4=CM4,$BO$1,IF(K4=BM4,$AO$1,IF(K4=AM4,$O$1,""))))</f>
        <v>2022 WG Virtual Technical Trial</v>
      </c>
      <c r="M4" s="4">
        <f t="shared" ref="M4:M18" si="5">IF(K4=CM4,MAX(BL4,AL4),IF(K4=BM4,MAX(CL4,AL4),IF(K4=AM4,MAX(CL4,BL4),0)))</f>
        <v>27.8</v>
      </c>
      <c r="N4" s="4" t="str">
        <f t="shared" ref="N4:N18" si="6">IF(M4=0,"",IF(AND(M4=CL4,L4&lt;&gt;$BO$1),$BO$1,IF(AND(M4=BL4,L4&lt;&gt;$AO$1),$AO$1,IF(AND(M4=AL4,L4&lt;&gt;$O$1),$O$1,""))))</f>
        <v>2022 Elite Canada</v>
      </c>
      <c r="O4" s="9">
        <v>19.100000000000001</v>
      </c>
      <c r="P4" s="9">
        <v>8.4</v>
      </c>
      <c r="Q4" s="9">
        <v>0.6</v>
      </c>
      <c r="R4" s="9">
        <v>0</v>
      </c>
      <c r="S4" s="9">
        <v>18.8</v>
      </c>
      <c r="T4" s="9">
        <v>10</v>
      </c>
      <c r="U4" s="9">
        <v>0.2</v>
      </c>
      <c r="V4" s="9">
        <v>0.6</v>
      </c>
      <c r="W4" s="9"/>
      <c r="X4" s="9"/>
      <c r="Y4" s="9"/>
      <c r="Z4" s="9"/>
      <c r="AA4" s="9">
        <v>19.2</v>
      </c>
      <c r="AB4" s="9">
        <v>9.1999999999999993</v>
      </c>
      <c r="AC4" s="9">
        <v>0</v>
      </c>
      <c r="AD4" s="9">
        <v>0.3</v>
      </c>
      <c r="AE4" s="9">
        <v>19</v>
      </c>
      <c r="AF4" s="9">
        <v>9.1999999999999993</v>
      </c>
      <c r="AG4" s="9">
        <v>0.6</v>
      </c>
      <c r="AH4" s="9">
        <v>0.3</v>
      </c>
      <c r="AI4" s="18"/>
      <c r="AJ4" s="23">
        <f t="shared" ref="AJ4:AJ18" si="7">IF(SUM(O4:P4,R4:T4,V4)-Q4-U4&gt;0,SUM(O4:P4,R4:T4,V4)-Q4-U4,"")</f>
        <v>56.099999999999994</v>
      </c>
      <c r="AK4" s="23" t="str">
        <f t="shared" ref="AK4:AK18" si="8">IF(SUM(W4:X4,Z4)-Y4&gt;0,SUM(W4:X4,Z4)-Y4,"")</f>
        <v/>
      </c>
      <c r="AL4" s="23">
        <f t="shared" ref="AL4:AL18" si="9">IF(SUM(AA4:AB4,AD4)-SUM(AC4)&gt;0,SUM(AA4:AB4,AD4)-SUM(AC4),"")</f>
        <v>28.7</v>
      </c>
      <c r="AM4" s="23">
        <f t="shared" ref="AM4:AM18" si="10">IF(SUM(AA4:AB4,AD4:AF4,AH4)-SUM(AC4,AG4)&gt;0,SUM(AA4:AB4,AD4:AF4,AH4)-SUM(AC4,AG4),"")</f>
        <v>56.6</v>
      </c>
      <c r="AN4" s="23">
        <f t="shared" ref="AN4:AN18" si="11">IF(SUM(AJ4,AM4)&gt;0,SUM(AJ4,AM4),"")</f>
        <v>112.69999999999999</v>
      </c>
      <c r="AO4" s="8">
        <v>18.8</v>
      </c>
      <c r="AP4" s="8">
        <v>9.1999999999999993</v>
      </c>
      <c r="AQ4" s="8">
        <v>0.6</v>
      </c>
      <c r="AR4" s="8">
        <v>0.3</v>
      </c>
      <c r="AS4" s="8">
        <v>19</v>
      </c>
      <c r="AT4" s="8">
        <v>9.1999999999999993</v>
      </c>
      <c r="AU4" s="8">
        <v>0.2</v>
      </c>
      <c r="AV4" s="8">
        <v>0.3</v>
      </c>
      <c r="AW4" s="8">
        <v>17.8</v>
      </c>
      <c r="AX4" s="8">
        <v>2.8</v>
      </c>
      <c r="AY4" s="8">
        <v>0</v>
      </c>
      <c r="AZ4" s="8">
        <v>0</v>
      </c>
      <c r="BA4" s="8">
        <v>19</v>
      </c>
      <c r="BB4" s="8">
        <v>8.5</v>
      </c>
      <c r="BC4" s="8">
        <v>0</v>
      </c>
      <c r="BD4" s="8">
        <v>0.3</v>
      </c>
      <c r="BE4" s="8">
        <v>18.7</v>
      </c>
      <c r="BF4" s="8">
        <v>8.4</v>
      </c>
      <c r="BG4" s="8">
        <v>0.6</v>
      </c>
      <c r="BH4" s="8">
        <v>0.3</v>
      </c>
      <c r="BI4" s="19"/>
      <c r="BJ4" s="6">
        <f t="shared" ref="BJ4:BJ18" si="12">IF(SUM(AO4:AP4,AR4:AT4,AV4)-AQ4-AU4&gt;0,SUM(AO4:AP4,AR4:AT4,AV4)-AQ4-AU4,"")</f>
        <v>55.999999999999993</v>
      </c>
      <c r="BK4" s="6">
        <f t="shared" ref="BK4:BK18" si="13">IF(SUM(AW4:AX4,AZ4)-AY4&gt;0,SUM(AW4:AX4,AZ4)-AY4,"")</f>
        <v>20.6</v>
      </c>
      <c r="BL4" s="6">
        <f t="shared" ref="BL4:BL18" si="14">IF(SUM(BA4:BB4,BD4)-SUM(BC4)&gt;0,SUM(BA4:BB4,BD4)-SUM(BC4),"")</f>
        <v>27.8</v>
      </c>
      <c r="BM4" s="6">
        <f t="shared" ref="BM4:BM18" si="15">IF(SUM(BA4:BB4,BD4:BF4,BH4)-SUM(BC4,BG4)&gt;0,SUM(BA4:BB4,BD4:BF4,BH4)-SUM(BC4,BG4),"")</f>
        <v>54.599999999999994</v>
      </c>
      <c r="BN4" s="6">
        <f t="shared" ref="BN4:BN18" si="16">IF(SUM(BJ4,BM4)&gt;0,SUM(BJ4,BM4),"")</f>
        <v>110.6</v>
      </c>
      <c r="BO4" s="9">
        <v>18.600000000000001</v>
      </c>
      <c r="BP4" s="9">
        <v>9.3000000000000007</v>
      </c>
      <c r="BQ4" s="9">
        <v>0.2</v>
      </c>
      <c r="BR4" s="9">
        <v>0.3</v>
      </c>
      <c r="BS4" s="9">
        <v>18.7</v>
      </c>
      <c r="BT4" s="9">
        <v>10</v>
      </c>
      <c r="BU4" s="9">
        <v>0.2</v>
      </c>
      <c r="BV4" s="9">
        <v>0.6</v>
      </c>
      <c r="BW4" s="9"/>
      <c r="BX4" s="9"/>
      <c r="BY4" s="9"/>
      <c r="BZ4" s="9"/>
      <c r="CA4" s="9">
        <v>18.8</v>
      </c>
      <c r="CB4" s="9">
        <v>9.3000000000000007</v>
      </c>
      <c r="CC4" s="9">
        <v>0.8</v>
      </c>
      <c r="CD4" s="9">
        <v>0.3</v>
      </c>
      <c r="CE4" s="9">
        <v>17.399999999999999</v>
      </c>
      <c r="CF4" s="9">
        <v>5.0999999999999996</v>
      </c>
      <c r="CG4" s="9">
        <v>0</v>
      </c>
      <c r="CH4" s="9">
        <v>0.3</v>
      </c>
      <c r="CI4" s="18"/>
      <c r="CJ4" s="23">
        <f t="shared" ref="CJ4:CJ18" si="17">IF(SUM(BO4:BP4,BR4:BT4,BV4)-BQ4-BU4&gt;0,SUM(BO4:BP4,BR4:BT4,BV4)-BQ4-BU4,"")</f>
        <v>57.1</v>
      </c>
      <c r="CK4" s="23" t="str">
        <f t="shared" ref="CK4:CK18" si="18">IF(SUM(BW4:BX4,BZ4)-BY4&gt;0,SUM(BW4:BX4,BZ4)-BY4,"")</f>
        <v/>
      </c>
      <c r="CL4" s="23">
        <f t="shared" ref="CL4:CL18" si="19">IF(SUM(CA4:CB4,CD4)-SUM(CC4)&gt;0,SUM(CA4:CB4,CD4)-SUM(CC4),"")</f>
        <v>27.6</v>
      </c>
      <c r="CM4" s="23">
        <f t="shared" ref="CM4:CM18" si="20">IF(SUM(CA4:CB4,CD4:CF4,CH4)-SUM(CC4,CG4)&gt;0,SUM(CA4:CB4,CD4:CF4,CH4)-SUM(CC4,CG4),"")</f>
        <v>50.4</v>
      </c>
      <c r="CN4" s="23">
        <f t="shared" ref="CN4:CN18" si="21">IF(SUM(CJ4,CM4)&gt;0,SUM(CJ4,CM4),"")</f>
        <v>107.5</v>
      </c>
    </row>
    <row r="5" spans="1:92" x14ac:dyDescent="0.2">
      <c r="A5" s="1" cm="1">
        <f t="array" ref="A5">IF(F5="P",SUMPRODUCT((F$4:F$18="P")*(E$4:E$18&gt;E5))+1,"")</f>
        <v>2</v>
      </c>
      <c r="B5" s="2" t="s">
        <v>29</v>
      </c>
      <c r="C5" s="3" t="s">
        <v>5</v>
      </c>
      <c r="D5" s="7">
        <v>2003</v>
      </c>
      <c r="E5" s="5">
        <f t="shared" si="0"/>
        <v>185.44001854400531</v>
      </c>
      <c r="F5" s="30" t="s">
        <v>55</v>
      </c>
      <c r="G5" s="4">
        <f>IF(COUNT(AJ5,BJ5,CJ5)&gt;0,LARGE((AJ5,BJ5,CJ5),1),0)</f>
        <v>53.239999999999995</v>
      </c>
      <c r="H5" s="4" t="str">
        <f t="shared" si="1"/>
        <v>2022 Elite Canada</v>
      </c>
      <c r="I5" s="4">
        <f>IF(COUNT(AJ5,BJ5,CJ5)&gt;1,LARGE((AJ5,BJ5,CJ5),2),0)</f>
        <v>53.1</v>
      </c>
      <c r="J5" s="4" t="str">
        <f t="shared" si="2"/>
        <v>2022 WG Virtual Control Trial</v>
      </c>
      <c r="K5" s="4">
        <f t="shared" si="3"/>
        <v>54.999999999999993</v>
      </c>
      <c r="L5" s="4" t="str">
        <f t="shared" si="4"/>
        <v>2022 WG Virtual Technical Trial</v>
      </c>
      <c r="M5" s="4">
        <f t="shared" si="5"/>
        <v>24.1</v>
      </c>
      <c r="N5" s="4" t="str">
        <f t="shared" si="6"/>
        <v>2022 Elite Canada</v>
      </c>
      <c r="O5" s="9">
        <v>18.96</v>
      </c>
      <c r="P5" s="9">
        <v>9.1999999999999993</v>
      </c>
      <c r="Q5" s="9">
        <v>0.6</v>
      </c>
      <c r="R5" s="9">
        <v>0.3</v>
      </c>
      <c r="S5" s="9">
        <v>17.3</v>
      </c>
      <c r="T5" s="9">
        <v>4.8</v>
      </c>
      <c r="U5" s="9">
        <v>0</v>
      </c>
      <c r="V5" s="9">
        <v>0.3</v>
      </c>
      <c r="W5" s="9"/>
      <c r="X5" s="9"/>
      <c r="Y5" s="9"/>
      <c r="Z5" s="9"/>
      <c r="AA5" s="9">
        <v>18.899999999999999</v>
      </c>
      <c r="AB5" s="9">
        <v>9.1999999999999993</v>
      </c>
      <c r="AC5" s="9">
        <v>0.6</v>
      </c>
      <c r="AD5" s="9">
        <v>0.3</v>
      </c>
      <c r="AE5" s="9">
        <v>19.2</v>
      </c>
      <c r="AF5" s="9">
        <v>8</v>
      </c>
      <c r="AG5" s="9">
        <v>0</v>
      </c>
      <c r="AH5" s="9">
        <v>0</v>
      </c>
      <c r="AI5" s="18"/>
      <c r="AJ5" s="23">
        <f t="shared" si="7"/>
        <v>50.26</v>
      </c>
      <c r="AK5" s="23" t="str">
        <f t="shared" si="8"/>
        <v/>
      </c>
      <c r="AL5" s="23">
        <f t="shared" si="9"/>
        <v>27.799999999999997</v>
      </c>
      <c r="AM5" s="23">
        <f t="shared" si="10"/>
        <v>54.999999999999993</v>
      </c>
      <c r="AN5" s="23">
        <f t="shared" si="11"/>
        <v>105.25999999999999</v>
      </c>
      <c r="AO5" s="8">
        <v>18.34</v>
      </c>
      <c r="AP5" s="8">
        <v>7.2</v>
      </c>
      <c r="AQ5" s="8">
        <v>0</v>
      </c>
      <c r="AR5" s="8">
        <v>0</v>
      </c>
      <c r="AS5" s="8">
        <v>18.600000000000001</v>
      </c>
      <c r="AT5" s="8">
        <v>8.8000000000000007</v>
      </c>
      <c r="AU5" s="8">
        <v>0</v>
      </c>
      <c r="AV5" s="8">
        <v>0.3</v>
      </c>
      <c r="AW5" s="8">
        <v>18.399999999999999</v>
      </c>
      <c r="AX5" s="8">
        <v>7.1</v>
      </c>
      <c r="AY5" s="8">
        <v>0</v>
      </c>
      <c r="AZ5" s="8">
        <v>0.3</v>
      </c>
      <c r="BA5" s="8">
        <v>18.3</v>
      </c>
      <c r="BB5" s="8">
        <v>6.4</v>
      </c>
      <c r="BC5" s="8">
        <v>0.6</v>
      </c>
      <c r="BD5" s="8">
        <v>0</v>
      </c>
      <c r="BE5" s="8">
        <v>18.8</v>
      </c>
      <c r="BF5" s="8">
        <v>8.8000000000000007</v>
      </c>
      <c r="BG5" s="8">
        <v>0</v>
      </c>
      <c r="BH5" s="8">
        <v>0.3</v>
      </c>
      <c r="BI5" s="19"/>
      <c r="BJ5" s="6">
        <f t="shared" si="12"/>
        <v>53.239999999999995</v>
      </c>
      <c r="BK5" s="6">
        <f t="shared" si="13"/>
        <v>25.8</v>
      </c>
      <c r="BL5" s="6">
        <f t="shared" si="14"/>
        <v>24.1</v>
      </c>
      <c r="BM5" s="6">
        <f t="shared" si="15"/>
        <v>51.999999999999993</v>
      </c>
      <c r="BN5" s="6">
        <f t="shared" si="16"/>
        <v>105.23999999999998</v>
      </c>
      <c r="BO5" s="9">
        <v>18.600000000000001</v>
      </c>
      <c r="BP5" s="9">
        <v>7.2</v>
      </c>
      <c r="BQ5" s="9">
        <v>0</v>
      </c>
      <c r="BR5" s="9">
        <v>0</v>
      </c>
      <c r="BS5" s="9">
        <v>19.100000000000001</v>
      </c>
      <c r="BT5" s="9">
        <v>8.4</v>
      </c>
      <c r="BU5" s="9">
        <v>0.2</v>
      </c>
      <c r="BV5" s="9">
        <v>0</v>
      </c>
      <c r="BW5" s="9"/>
      <c r="BX5" s="9"/>
      <c r="BY5" s="9"/>
      <c r="BZ5" s="9"/>
      <c r="CA5" s="9">
        <v>18.2</v>
      </c>
      <c r="CB5" s="9">
        <v>6.4</v>
      </c>
      <c r="CC5" s="9">
        <v>0.8</v>
      </c>
      <c r="CD5" s="9">
        <v>0</v>
      </c>
      <c r="CE5" s="9">
        <v>17.600000000000001</v>
      </c>
      <c r="CF5" s="9">
        <v>4</v>
      </c>
      <c r="CG5" s="9">
        <v>0</v>
      </c>
      <c r="CH5" s="9">
        <v>0</v>
      </c>
      <c r="CI5" s="18"/>
      <c r="CJ5" s="23">
        <f t="shared" si="17"/>
        <v>53.1</v>
      </c>
      <c r="CK5" s="23" t="str">
        <f t="shared" si="18"/>
        <v/>
      </c>
      <c r="CL5" s="23">
        <f t="shared" si="19"/>
        <v>23.8</v>
      </c>
      <c r="CM5" s="23">
        <f t="shared" si="20"/>
        <v>45.400000000000006</v>
      </c>
      <c r="CN5" s="23">
        <f t="shared" si="21"/>
        <v>98.5</v>
      </c>
    </row>
    <row r="6" spans="1:92" x14ac:dyDescent="0.2">
      <c r="A6" s="1" cm="1">
        <f t="array" ref="A6">IF(F6="P",SUMPRODUCT((F$4:F$18="P")*(E$4:E$18&gt;E6))+1,"")</f>
        <v>3</v>
      </c>
      <c r="B6" s="2" t="s">
        <v>7</v>
      </c>
      <c r="C6" s="3" t="s">
        <v>4</v>
      </c>
      <c r="D6" s="7">
        <v>1994</v>
      </c>
      <c r="E6" s="5">
        <f t="shared" si="0"/>
        <v>184.60001846000526</v>
      </c>
      <c r="F6" s="30" t="s">
        <v>55</v>
      </c>
      <c r="G6" s="4">
        <f>IF(COUNT(AJ6,BJ6,CJ6)&gt;0,LARGE((AJ6,BJ6,CJ6),1),0)</f>
        <v>53</v>
      </c>
      <c r="H6" s="4" t="str">
        <f t="shared" si="1"/>
        <v>2022 Elite Canada</v>
      </c>
      <c r="I6" s="4">
        <f>IF(COUNT(AJ6,BJ6,CJ6)&gt;1,LARGE((AJ6,BJ6,CJ6),2),0)</f>
        <v>52.599999999999994</v>
      </c>
      <c r="J6" s="4" t="str">
        <f t="shared" si="2"/>
        <v>2022 WG Virtual Technical Trial</v>
      </c>
      <c r="K6" s="4">
        <f t="shared" si="3"/>
        <v>52.8</v>
      </c>
      <c r="L6" s="4" t="str">
        <f t="shared" si="4"/>
        <v>2022 WG Virtual Technical Trial</v>
      </c>
      <c r="M6" s="4">
        <f t="shared" si="5"/>
        <v>26.199999999999996</v>
      </c>
      <c r="N6" s="4" t="str">
        <f t="shared" si="6"/>
        <v>2022 Elite Canada</v>
      </c>
      <c r="O6" s="9">
        <v>18.399999999999999</v>
      </c>
      <c r="P6" s="9">
        <v>8.4</v>
      </c>
      <c r="Q6" s="9">
        <v>0</v>
      </c>
      <c r="R6" s="9">
        <v>0</v>
      </c>
      <c r="S6" s="9">
        <v>18.5</v>
      </c>
      <c r="T6" s="9">
        <v>7.3</v>
      </c>
      <c r="U6" s="9">
        <v>0</v>
      </c>
      <c r="V6" s="9">
        <v>0</v>
      </c>
      <c r="W6" s="9"/>
      <c r="X6" s="9"/>
      <c r="Y6" s="9"/>
      <c r="Z6" s="9"/>
      <c r="AA6" s="9">
        <v>18.899999999999999</v>
      </c>
      <c r="AB6" s="9">
        <v>8.5</v>
      </c>
      <c r="AC6" s="9">
        <v>0.6</v>
      </c>
      <c r="AD6" s="9">
        <v>0</v>
      </c>
      <c r="AE6" s="9">
        <v>18.600000000000001</v>
      </c>
      <c r="AF6" s="9">
        <v>8</v>
      </c>
      <c r="AG6" s="9">
        <v>0.6</v>
      </c>
      <c r="AH6" s="9">
        <v>0</v>
      </c>
      <c r="AI6" s="18"/>
      <c r="AJ6" s="23">
        <f t="shared" si="7"/>
        <v>52.599999999999994</v>
      </c>
      <c r="AK6" s="23" t="str">
        <f t="shared" si="8"/>
        <v/>
      </c>
      <c r="AL6" s="23">
        <f t="shared" si="9"/>
        <v>26.799999999999997</v>
      </c>
      <c r="AM6" s="23">
        <f t="shared" si="10"/>
        <v>52.8</v>
      </c>
      <c r="AN6" s="23">
        <f t="shared" si="11"/>
        <v>105.39999999999999</v>
      </c>
      <c r="AO6" s="8">
        <v>18.600000000000001</v>
      </c>
      <c r="AP6" s="8">
        <v>8.4</v>
      </c>
      <c r="AQ6" s="8">
        <v>0</v>
      </c>
      <c r="AR6" s="8">
        <v>0</v>
      </c>
      <c r="AS6" s="8">
        <v>18.7</v>
      </c>
      <c r="AT6" s="8">
        <v>7.3</v>
      </c>
      <c r="AU6" s="8">
        <v>0</v>
      </c>
      <c r="AV6" s="8">
        <v>0</v>
      </c>
      <c r="AW6" s="8">
        <v>18.3</v>
      </c>
      <c r="AX6" s="8">
        <v>7.2</v>
      </c>
      <c r="AY6" s="8">
        <v>0</v>
      </c>
      <c r="AZ6" s="8">
        <v>0</v>
      </c>
      <c r="BA6" s="8">
        <v>18.399999999999999</v>
      </c>
      <c r="BB6" s="8">
        <v>8.4</v>
      </c>
      <c r="BC6" s="8">
        <v>0.6</v>
      </c>
      <c r="BD6" s="8">
        <v>0</v>
      </c>
      <c r="BE6" s="8">
        <v>0</v>
      </c>
      <c r="BF6" s="8">
        <v>0</v>
      </c>
      <c r="BG6" s="8">
        <v>0</v>
      </c>
      <c r="BH6" s="8">
        <v>0</v>
      </c>
      <c r="BI6" s="19"/>
      <c r="BJ6" s="6">
        <f t="shared" si="12"/>
        <v>53</v>
      </c>
      <c r="BK6" s="6">
        <f t="shared" si="13"/>
        <v>25.5</v>
      </c>
      <c r="BL6" s="6">
        <f t="shared" si="14"/>
        <v>26.199999999999996</v>
      </c>
      <c r="BM6" s="6">
        <f t="shared" si="15"/>
        <v>26.199999999999996</v>
      </c>
      <c r="BN6" s="6">
        <f t="shared" si="16"/>
        <v>79.199999999999989</v>
      </c>
      <c r="BO6" s="9">
        <v>18.7</v>
      </c>
      <c r="BP6" s="9">
        <v>8.4</v>
      </c>
      <c r="BQ6" s="9">
        <v>0</v>
      </c>
      <c r="BR6" s="9">
        <v>0</v>
      </c>
      <c r="BS6" s="9">
        <v>17.600000000000001</v>
      </c>
      <c r="BT6" s="9">
        <v>2.8</v>
      </c>
      <c r="BU6" s="9">
        <v>0</v>
      </c>
      <c r="BV6" s="9">
        <v>0</v>
      </c>
      <c r="BW6" s="9"/>
      <c r="BX6" s="9"/>
      <c r="BY6" s="9"/>
      <c r="BZ6" s="9"/>
      <c r="CA6" s="9">
        <v>17.600000000000001</v>
      </c>
      <c r="CB6" s="9">
        <v>4</v>
      </c>
      <c r="CC6" s="9">
        <v>0</v>
      </c>
      <c r="CD6" s="9">
        <v>0</v>
      </c>
      <c r="CE6" s="9">
        <v>18.3</v>
      </c>
      <c r="CF6" s="9">
        <v>7.2</v>
      </c>
      <c r="CG6" s="9">
        <v>0.6</v>
      </c>
      <c r="CH6" s="9">
        <v>0</v>
      </c>
      <c r="CI6" s="18"/>
      <c r="CJ6" s="23">
        <f t="shared" si="17"/>
        <v>47.5</v>
      </c>
      <c r="CK6" s="23" t="str">
        <f t="shared" si="18"/>
        <v/>
      </c>
      <c r="CL6" s="23">
        <f t="shared" si="19"/>
        <v>21.6</v>
      </c>
      <c r="CM6" s="23">
        <f t="shared" si="20"/>
        <v>46.500000000000007</v>
      </c>
      <c r="CN6" s="23">
        <f t="shared" si="21"/>
        <v>94</v>
      </c>
    </row>
    <row r="7" spans="1:92" x14ac:dyDescent="0.2">
      <c r="A7" s="1" cm="1">
        <f t="array" ref="A7">IF(F7="P",SUMPRODUCT((F$4:F$18="P")*(E$4:E$18&gt;E7))+1,"")</f>
        <v>4</v>
      </c>
      <c r="B7" s="2" t="s">
        <v>24</v>
      </c>
      <c r="C7" s="3" t="s">
        <v>4</v>
      </c>
      <c r="D7" s="7">
        <v>2002</v>
      </c>
      <c r="E7" s="5">
        <f t="shared" si="0"/>
        <v>183.80001838000533</v>
      </c>
      <c r="F7" s="30" t="s">
        <v>55</v>
      </c>
      <c r="G7" s="4">
        <f>IF(COUNT(AJ7,BJ7,CJ7)&gt;0,LARGE((AJ7,BJ7,CJ7),1),0)</f>
        <v>53.099999999999994</v>
      </c>
      <c r="H7" s="4" t="str">
        <f t="shared" si="1"/>
        <v>2022 WG Virtual Control Trial</v>
      </c>
      <c r="I7" s="4">
        <f>IF(COUNT(AJ7,BJ7,CJ7)&gt;1,LARGE((AJ7,BJ7,CJ7),2),0)</f>
        <v>51.800000000000004</v>
      </c>
      <c r="J7" s="4" t="str">
        <f t="shared" si="2"/>
        <v>2022 WG Virtual Technical Trial</v>
      </c>
      <c r="K7" s="4">
        <f t="shared" si="3"/>
        <v>52.2</v>
      </c>
      <c r="L7" s="4" t="str">
        <f t="shared" si="4"/>
        <v>2022 WG Virtual Control Trial</v>
      </c>
      <c r="M7" s="4">
        <f t="shared" si="5"/>
        <v>26.700000000000003</v>
      </c>
      <c r="N7" s="4" t="str">
        <f t="shared" si="6"/>
        <v>2022 Elite Canada</v>
      </c>
      <c r="O7" s="9">
        <v>18.5</v>
      </c>
      <c r="P7" s="9">
        <v>7.3</v>
      </c>
      <c r="Q7" s="9">
        <v>0</v>
      </c>
      <c r="R7" s="9">
        <v>0</v>
      </c>
      <c r="S7" s="9">
        <v>18.399999999999999</v>
      </c>
      <c r="T7" s="9">
        <v>7.6</v>
      </c>
      <c r="U7" s="9">
        <v>0</v>
      </c>
      <c r="V7" s="9">
        <v>0</v>
      </c>
      <c r="W7" s="9"/>
      <c r="X7" s="9"/>
      <c r="Y7" s="9"/>
      <c r="Z7" s="9"/>
      <c r="AA7" s="9">
        <v>17.2</v>
      </c>
      <c r="AB7" s="9">
        <v>4</v>
      </c>
      <c r="AC7" s="9">
        <v>0</v>
      </c>
      <c r="AD7" s="9">
        <v>0</v>
      </c>
      <c r="AE7" s="9">
        <v>18.399999999999999</v>
      </c>
      <c r="AF7" s="9">
        <v>7.3</v>
      </c>
      <c r="AG7" s="9">
        <v>0.6</v>
      </c>
      <c r="AH7" s="9">
        <v>0</v>
      </c>
      <c r="AI7" s="18"/>
      <c r="AJ7" s="23">
        <f t="shared" si="7"/>
        <v>51.800000000000004</v>
      </c>
      <c r="AK7" s="23" t="str">
        <f t="shared" si="8"/>
        <v/>
      </c>
      <c r="AL7" s="23">
        <f t="shared" si="9"/>
        <v>21.2</v>
      </c>
      <c r="AM7" s="23">
        <f t="shared" si="10"/>
        <v>46.29999999999999</v>
      </c>
      <c r="AN7" s="23">
        <f t="shared" si="11"/>
        <v>98.1</v>
      </c>
      <c r="AO7" s="8">
        <v>18.7</v>
      </c>
      <c r="AP7" s="8">
        <v>7.3</v>
      </c>
      <c r="AQ7" s="8">
        <v>0.6</v>
      </c>
      <c r="AR7" s="8">
        <v>0</v>
      </c>
      <c r="AS7" s="8">
        <v>17.8</v>
      </c>
      <c r="AT7" s="8">
        <v>6.4</v>
      </c>
      <c r="AU7" s="8">
        <v>0.8</v>
      </c>
      <c r="AV7" s="8">
        <v>0</v>
      </c>
      <c r="AW7" s="8">
        <v>18.5</v>
      </c>
      <c r="AX7" s="8">
        <v>7.6</v>
      </c>
      <c r="AY7" s="8">
        <v>0.6</v>
      </c>
      <c r="AZ7" s="8">
        <v>0</v>
      </c>
      <c r="BA7" s="8">
        <v>18.5</v>
      </c>
      <c r="BB7" s="8">
        <v>8.1</v>
      </c>
      <c r="BC7" s="8">
        <v>0.2</v>
      </c>
      <c r="BD7" s="8">
        <v>0.3</v>
      </c>
      <c r="BE7" s="8">
        <v>0</v>
      </c>
      <c r="BF7" s="8">
        <v>0</v>
      </c>
      <c r="BG7" s="8">
        <v>0</v>
      </c>
      <c r="BH7" s="8">
        <v>0</v>
      </c>
      <c r="BI7" s="19"/>
      <c r="BJ7" s="6">
        <f t="shared" si="12"/>
        <v>48.8</v>
      </c>
      <c r="BK7" s="6">
        <f t="shared" si="13"/>
        <v>25.5</v>
      </c>
      <c r="BL7" s="6">
        <f t="shared" si="14"/>
        <v>26.700000000000003</v>
      </c>
      <c r="BM7" s="6">
        <f t="shared" si="15"/>
        <v>26.700000000000003</v>
      </c>
      <c r="BN7" s="6">
        <f t="shared" si="16"/>
        <v>75.5</v>
      </c>
      <c r="BO7" s="9">
        <v>18.899999999999999</v>
      </c>
      <c r="BP7" s="9">
        <v>7.2</v>
      </c>
      <c r="BQ7" s="9">
        <v>0</v>
      </c>
      <c r="BR7" s="9">
        <v>0</v>
      </c>
      <c r="BS7" s="9">
        <v>18.7</v>
      </c>
      <c r="BT7" s="9">
        <v>8.5</v>
      </c>
      <c r="BU7" s="9">
        <v>0.2</v>
      </c>
      <c r="BV7" s="9">
        <v>0</v>
      </c>
      <c r="BW7" s="9"/>
      <c r="BX7" s="9"/>
      <c r="BY7" s="9"/>
      <c r="BZ7" s="9"/>
      <c r="CA7" s="9">
        <v>18.3</v>
      </c>
      <c r="CB7" s="9">
        <v>8.5</v>
      </c>
      <c r="CC7" s="9">
        <v>0.2</v>
      </c>
      <c r="CD7" s="9">
        <v>0</v>
      </c>
      <c r="CE7" s="9">
        <v>19</v>
      </c>
      <c r="CF7" s="9">
        <v>7.2</v>
      </c>
      <c r="CG7" s="9">
        <v>0.6</v>
      </c>
      <c r="CH7" s="9">
        <v>0</v>
      </c>
      <c r="CI7" s="18"/>
      <c r="CJ7" s="23">
        <f t="shared" si="17"/>
        <v>53.099999999999994</v>
      </c>
      <c r="CK7" s="23" t="str">
        <f t="shared" si="18"/>
        <v/>
      </c>
      <c r="CL7" s="23">
        <f t="shared" si="19"/>
        <v>26.6</v>
      </c>
      <c r="CM7" s="23">
        <f t="shared" si="20"/>
        <v>52.2</v>
      </c>
      <c r="CN7" s="23">
        <f t="shared" si="21"/>
        <v>105.3</v>
      </c>
    </row>
    <row r="8" spans="1:92" x14ac:dyDescent="0.2">
      <c r="A8" s="1" cm="1">
        <f t="array" ref="A8">IF(F8="P",SUMPRODUCT((F$4:F$18="P")*(E$4:E$18&gt;E8))+1,"")</f>
        <v>5</v>
      </c>
      <c r="B8" s="2" t="s">
        <v>31</v>
      </c>
      <c r="C8" s="3" t="s">
        <v>5</v>
      </c>
      <c r="D8" s="7">
        <v>2001</v>
      </c>
      <c r="E8" s="5">
        <f t="shared" si="0"/>
        <v>172.10001721000521</v>
      </c>
      <c r="F8" s="30" t="s">
        <v>55</v>
      </c>
      <c r="G8" s="4">
        <f>IF(COUNT(AJ8,BJ8,CJ8)&gt;0,LARGE((AJ8,BJ8,CJ8),1),0)</f>
        <v>51.9</v>
      </c>
      <c r="H8" s="4" t="str">
        <f t="shared" si="1"/>
        <v>2022 WG Virtual Technical Trial</v>
      </c>
      <c r="I8" s="4">
        <f>IF(COUNT(AJ8,BJ8,CJ8)&gt;1,LARGE((AJ8,BJ8,CJ8),2),0)</f>
        <v>48.2</v>
      </c>
      <c r="J8" s="4" t="str">
        <f t="shared" si="2"/>
        <v>2022 WG Virtual Control Trial</v>
      </c>
      <c r="K8" s="4">
        <f t="shared" si="3"/>
        <v>46.900000000000006</v>
      </c>
      <c r="L8" s="4" t="str">
        <f t="shared" si="4"/>
        <v>2022 WG Virtual Control Trial</v>
      </c>
      <c r="M8" s="4">
        <f t="shared" si="5"/>
        <v>25.1</v>
      </c>
      <c r="N8" s="4" t="str">
        <f t="shared" si="6"/>
        <v>2022 WG Virtual Technical Trial</v>
      </c>
      <c r="O8" s="9">
        <v>18.600000000000001</v>
      </c>
      <c r="P8" s="9">
        <v>7.7</v>
      </c>
      <c r="Q8" s="9">
        <v>0.2</v>
      </c>
      <c r="R8" s="9">
        <v>0.3</v>
      </c>
      <c r="S8" s="9">
        <v>18.5</v>
      </c>
      <c r="T8" s="9">
        <v>7.6</v>
      </c>
      <c r="U8" s="9">
        <v>0.6</v>
      </c>
      <c r="V8" s="9">
        <v>0</v>
      </c>
      <c r="W8" s="9"/>
      <c r="X8" s="9"/>
      <c r="Y8" s="9"/>
      <c r="Z8" s="9"/>
      <c r="AA8" s="9">
        <v>18.600000000000001</v>
      </c>
      <c r="AB8" s="9">
        <v>7.3</v>
      </c>
      <c r="AC8" s="9">
        <v>0.8</v>
      </c>
      <c r="AD8" s="9">
        <v>0</v>
      </c>
      <c r="AE8" s="9">
        <v>17.2</v>
      </c>
      <c r="AF8" s="9">
        <v>3.2</v>
      </c>
      <c r="AG8" s="9">
        <v>0</v>
      </c>
      <c r="AH8" s="9">
        <v>0</v>
      </c>
      <c r="AI8" s="18"/>
      <c r="AJ8" s="23">
        <f t="shared" si="7"/>
        <v>51.9</v>
      </c>
      <c r="AK8" s="23" t="str">
        <f t="shared" si="8"/>
        <v/>
      </c>
      <c r="AL8" s="23">
        <f t="shared" si="9"/>
        <v>25.1</v>
      </c>
      <c r="AM8" s="23">
        <f t="shared" si="10"/>
        <v>45.500000000000007</v>
      </c>
      <c r="AN8" s="23">
        <f t="shared" si="11"/>
        <v>97.4</v>
      </c>
      <c r="AO8" s="8">
        <v>17.600000000000001</v>
      </c>
      <c r="AP8" s="8">
        <v>2.4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19"/>
      <c r="BJ8" s="6">
        <f t="shared" si="12"/>
        <v>20</v>
      </c>
      <c r="BK8" s="6" t="str">
        <f t="shared" si="13"/>
        <v/>
      </c>
      <c r="BL8" s="6" t="str">
        <f t="shared" si="14"/>
        <v/>
      </c>
      <c r="BM8" s="6" t="str">
        <f t="shared" si="15"/>
        <v/>
      </c>
      <c r="BN8" s="6">
        <f t="shared" si="16"/>
        <v>20</v>
      </c>
      <c r="BO8" s="9">
        <v>18.399999999999999</v>
      </c>
      <c r="BP8" s="9">
        <v>6</v>
      </c>
      <c r="BQ8" s="9">
        <v>0.8</v>
      </c>
      <c r="BR8" s="9">
        <v>0</v>
      </c>
      <c r="BS8" s="9">
        <v>18.600000000000001</v>
      </c>
      <c r="BT8" s="9">
        <v>6</v>
      </c>
      <c r="BU8" s="9">
        <v>0</v>
      </c>
      <c r="BV8" s="9">
        <v>0</v>
      </c>
      <c r="BW8" s="9"/>
      <c r="BX8" s="9"/>
      <c r="BY8" s="9"/>
      <c r="BZ8" s="9"/>
      <c r="CA8" s="9">
        <v>19.3</v>
      </c>
      <c r="CB8" s="9">
        <v>7.6</v>
      </c>
      <c r="CC8" s="9">
        <v>0</v>
      </c>
      <c r="CD8" s="9">
        <v>0.3</v>
      </c>
      <c r="CE8" s="9">
        <v>18.3</v>
      </c>
      <c r="CF8" s="9">
        <v>3.7</v>
      </c>
      <c r="CG8" s="9">
        <v>2.2999999999999998</v>
      </c>
      <c r="CH8" s="9">
        <v>0</v>
      </c>
      <c r="CI8" s="18"/>
      <c r="CJ8" s="23">
        <f t="shared" si="17"/>
        <v>48.2</v>
      </c>
      <c r="CK8" s="23" t="str">
        <f t="shared" si="18"/>
        <v/>
      </c>
      <c r="CL8" s="23">
        <f t="shared" si="19"/>
        <v>27.2</v>
      </c>
      <c r="CM8" s="23">
        <f t="shared" si="20"/>
        <v>46.900000000000006</v>
      </c>
      <c r="CN8" s="23">
        <f t="shared" si="21"/>
        <v>95.100000000000009</v>
      </c>
    </row>
    <row r="9" spans="1:92" x14ac:dyDescent="0.2">
      <c r="A9" s="1" t="str" cm="1">
        <f t="array" ref="A9">IF(F9="P",SUMPRODUCT((F$4:F$18="P")*(E$4:E$18&gt;E9))+1,"")</f>
        <v/>
      </c>
      <c r="B9" s="2" t="s">
        <v>52</v>
      </c>
      <c r="C9" s="3" t="s">
        <v>4</v>
      </c>
      <c r="D9" s="7">
        <v>1999</v>
      </c>
      <c r="E9" s="5">
        <f t="shared" si="0"/>
        <v>175.90001759000506</v>
      </c>
      <c r="F9" s="30"/>
      <c r="G9" s="4">
        <f>IF(COUNT(AJ9,BJ9,CJ9)&gt;0,LARGE((AJ9,BJ9,CJ9),1),0)</f>
        <v>50.599999999999994</v>
      </c>
      <c r="H9" s="4" t="str">
        <f t="shared" si="1"/>
        <v>2022 Elite Canada</v>
      </c>
      <c r="I9" s="4">
        <f>IF(COUNT(AJ9,BJ9,CJ9)&gt;1,LARGE((AJ9,BJ9,CJ9),2),0)</f>
        <v>50.3</v>
      </c>
      <c r="J9" s="4" t="str">
        <f t="shared" si="2"/>
        <v>2022 WG Virtual Technical Trial</v>
      </c>
      <c r="K9" s="4">
        <f t="shared" si="3"/>
        <v>50.599999999999994</v>
      </c>
      <c r="L9" s="4" t="str">
        <f t="shared" si="4"/>
        <v>2022 WG Virtual Technical Trial</v>
      </c>
      <c r="M9" s="4">
        <f t="shared" si="5"/>
        <v>24.400000000000002</v>
      </c>
      <c r="N9" s="4" t="str">
        <f t="shared" si="6"/>
        <v>2022 Elite Canada</v>
      </c>
      <c r="O9" s="9">
        <v>18.8</v>
      </c>
      <c r="P9" s="9">
        <v>7.2</v>
      </c>
      <c r="Q9" s="9">
        <v>0.8</v>
      </c>
      <c r="R9" s="9">
        <v>0</v>
      </c>
      <c r="S9" s="9">
        <v>19.3</v>
      </c>
      <c r="T9" s="9">
        <v>6</v>
      </c>
      <c r="U9" s="9">
        <v>0.2</v>
      </c>
      <c r="V9" s="9">
        <v>0</v>
      </c>
      <c r="W9" s="9"/>
      <c r="X9" s="9"/>
      <c r="Y9" s="9"/>
      <c r="Z9" s="9"/>
      <c r="AA9" s="9">
        <v>19</v>
      </c>
      <c r="AB9" s="9">
        <v>7.2</v>
      </c>
      <c r="AC9" s="9">
        <v>0.2</v>
      </c>
      <c r="AD9" s="9">
        <v>0</v>
      </c>
      <c r="AE9" s="9">
        <v>18.600000000000001</v>
      </c>
      <c r="AF9" s="9">
        <v>6.8</v>
      </c>
      <c r="AG9" s="9">
        <v>0.8</v>
      </c>
      <c r="AH9" s="9">
        <v>0</v>
      </c>
      <c r="AI9" s="18"/>
      <c r="AJ9" s="23">
        <f t="shared" si="7"/>
        <v>50.3</v>
      </c>
      <c r="AK9" s="23" t="str">
        <f t="shared" si="8"/>
        <v/>
      </c>
      <c r="AL9" s="23">
        <f t="shared" si="9"/>
        <v>26</v>
      </c>
      <c r="AM9" s="23">
        <f t="shared" si="10"/>
        <v>50.599999999999994</v>
      </c>
      <c r="AN9" s="23">
        <f t="shared" si="11"/>
        <v>100.89999999999999</v>
      </c>
      <c r="AO9" s="8">
        <v>19</v>
      </c>
      <c r="AP9" s="8">
        <v>7.2</v>
      </c>
      <c r="AQ9" s="8">
        <v>0</v>
      </c>
      <c r="AR9" s="8">
        <v>0</v>
      </c>
      <c r="AS9" s="8">
        <v>18.399999999999999</v>
      </c>
      <c r="AT9" s="8">
        <v>6</v>
      </c>
      <c r="AU9" s="8">
        <v>0</v>
      </c>
      <c r="AV9" s="8">
        <v>0</v>
      </c>
      <c r="AW9" s="8">
        <v>19</v>
      </c>
      <c r="AX9" s="8">
        <v>6</v>
      </c>
      <c r="AY9" s="8">
        <v>0</v>
      </c>
      <c r="AZ9" s="8">
        <v>0</v>
      </c>
      <c r="BA9" s="8">
        <v>18.8</v>
      </c>
      <c r="BB9" s="8">
        <v>6.4</v>
      </c>
      <c r="BC9" s="8">
        <v>0.8</v>
      </c>
      <c r="BD9" s="8">
        <v>0</v>
      </c>
      <c r="BE9" s="8">
        <v>19.2</v>
      </c>
      <c r="BF9" s="8">
        <v>6.8</v>
      </c>
      <c r="BG9" s="8">
        <v>0</v>
      </c>
      <c r="BH9" s="8">
        <v>0</v>
      </c>
      <c r="BI9" s="19"/>
      <c r="BJ9" s="6">
        <f t="shared" si="12"/>
        <v>50.599999999999994</v>
      </c>
      <c r="BK9" s="6">
        <f t="shared" si="13"/>
        <v>25</v>
      </c>
      <c r="BL9" s="6">
        <f t="shared" si="14"/>
        <v>24.400000000000002</v>
      </c>
      <c r="BM9" s="6">
        <f t="shared" si="15"/>
        <v>50.400000000000006</v>
      </c>
      <c r="BN9" s="6">
        <f t="shared" si="16"/>
        <v>101</v>
      </c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18"/>
      <c r="CJ9" s="23" t="str">
        <f t="shared" si="17"/>
        <v/>
      </c>
      <c r="CK9" s="23" t="str">
        <f t="shared" si="18"/>
        <v/>
      </c>
      <c r="CL9" s="23" t="str">
        <f t="shared" si="19"/>
        <v/>
      </c>
      <c r="CM9" s="23" t="str">
        <f t="shared" si="20"/>
        <v/>
      </c>
      <c r="CN9" s="23" t="str">
        <f t="shared" si="21"/>
        <v/>
      </c>
    </row>
    <row r="10" spans="1:92" x14ac:dyDescent="0.2">
      <c r="A10" s="1" t="str" cm="1">
        <f t="array" ref="A10">IF(F10="P",SUMPRODUCT((F$4:F$18="P")*(E$4:E$18&gt;E10))+1,"")</f>
        <v/>
      </c>
      <c r="B10" s="2" t="s">
        <v>54</v>
      </c>
      <c r="C10" s="3" t="s">
        <v>5</v>
      </c>
      <c r="D10" s="7">
        <v>2003</v>
      </c>
      <c r="E10" s="5">
        <f t="shared" si="0"/>
        <v>175.20001752000508</v>
      </c>
      <c r="F10" s="30"/>
      <c r="G10" s="4">
        <f>IF(COUNT(AJ10,BJ10,CJ10)&gt;0,LARGE((AJ10,BJ10,CJ10),1),0)</f>
        <v>50.7</v>
      </c>
      <c r="H10" s="4" t="str">
        <f t="shared" si="1"/>
        <v>2022 WG Virtual Technical Trial</v>
      </c>
      <c r="I10" s="4">
        <f>IF(COUNT(AJ10,BJ10,CJ10)&gt;1,LARGE((AJ10,BJ10,CJ10),2),0)</f>
        <v>49.5</v>
      </c>
      <c r="J10" s="4" t="str">
        <f t="shared" si="2"/>
        <v>2022 Elite Canada</v>
      </c>
      <c r="K10" s="4">
        <f t="shared" si="3"/>
        <v>50.400000000000006</v>
      </c>
      <c r="L10" s="4" t="str">
        <f t="shared" si="4"/>
        <v>2022 WG Virtual Technical Trial</v>
      </c>
      <c r="M10" s="4">
        <f t="shared" si="5"/>
        <v>24.599999999999998</v>
      </c>
      <c r="N10" s="4" t="str">
        <f t="shared" si="6"/>
        <v>2022 Elite Canada</v>
      </c>
      <c r="O10" s="9">
        <v>19.2</v>
      </c>
      <c r="P10" s="9">
        <v>6.4</v>
      </c>
      <c r="Q10" s="9">
        <v>0</v>
      </c>
      <c r="R10" s="9">
        <v>0</v>
      </c>
      <c r="S10" s="9">
        <v>18</v>
      </c>
      <c r="T10" s="9">
        <v>7.7</v>
      </c>
      <c r="U10" s="9">
        <v>0.6</v>
      </c>
      <c r="V10" s="9">
        <v>0</v>
      </c>
      <c r="W10" s="9"/>
      <c r="X10" s="9"/>
      <c r="Y10" s="9"/>
      <c r="Z10" s="9"/>
      <c r="AA10" s="9">
        <v>18.600000000000001</v>
      </c>
      <c r="AB10" s="9">
        <v>7.2</v>
      </c>
      <c r="AC10" s="9">
        <v>0.6</v>
      </c>
      <c r="AD10" s="9">
        <v>0</v>
      </c>
      <c r="AE10" s="9">
        <v>18.3</v>
      </c>
      <c r="AF10" s="9">
        <v>7.7</v>
      </c>
      <c r="AG10" s="9">
        <v>0.8</v>
      </c>
      <c r="AH10" s="9">
        <v>0</v>
      </c>
      <c r="AI10" s="18"/>
      <c r="AJ10" s="23">
        <f t="shared" si="7"/>
        <v>50.7</v>
      </c>
      <c r="AK10" s="23" t="str">
        <f t="shared" si="8"/>
        <v/>
      </c>
      <c r="AL10" s="23">
        <f t="shared" si="9"/>
        <v>25.2</v>
      </c>
      <c r="AM10" s="23">
        <f t="shared" si="10"/>
        <v>50.400000000000006</v>
      </c>
      <c r="AN10" s="23">
        <f t="shared" si="11"/>
        <v>101.10000000000001</v>
      </c>
      <c r="AO10" s="8">
        <v>18.899999999999999</v>
      </c>
      <c r="AP10" s="8">
        <v>6.4</v>
      </c>
      <c r="AQ10" s="8">
        <v>0.8</v>
      </c>
      <c r="AR10" s="8">
        <v>0</v>
      </c>
      <c r="AS10" s="8">
        <v>18.3</v>
      </c>
      <c r="AT10" s="8">
        <v>7.7</v>
      </c>
      <c r="AU10" s="8">
        <v>1</v>
      </c>
      <c r="AV10" s="8">
        <v>0</v>
      </c>
      <c r="AW10" s="8">
        <v>18.3</v>
      </c>
      <c r="AX10" s="8">
        <v>5.2</v>
      </c>
      <c r="AY10" s="8">
        <v>1.6</v>
      </c>
      <c r="AZ10" s="8">
        <v>0</v>
      </c>
      <c r="BA10" s="8">
        <v>19</v>
      </c>
      <c r="BB10" s="8">
        <v>6.4</v>
      </c>
      <c r="BC10" s="8">
        <v>0.8</v>
      </c>
      <c r="BD10" s="8">
        <v>0</v>
      </c>
      <c r="BE10" s="8">
        <v>17.3</v>
      </c>
      <c r="BF10" s="8">
        <v>3.2</v>
      </c>
      <c r="BG10" s="8">
        <v>0</v>
      </c>
      <c r="BH10" s="8">
        <v>0</v>
      </c>
      <c r="BI10" s="19"/>
      <c r="BJ10" s="6">
        <f t="shared" si="12"/>
        <v>49.5</v>
      </c>
      <c r="BK10" s="6">
        <f t="shared" si="13"/>
        <v>21.9</v>
      </c>
      <c r="BL10" s="6">
        <f t="shared" si="14"/>
        <v>24.599999999999998</v>
      </c>
      <c r="BM10" s="6">
        <f t="shared" si="15"/>
        <v>45.100000000000009</v>
      </c>
      <c r="BN10" s="6">
        <f t="shared" si="16"/>
        <v>94.600000000000009</v>
      </c>
      <c r="BO10" s="9">
        <v>18.7</v>
      </c>
      <c r="BP10" s="9">
        <v>7.7</v>
      </c>
      <c r="BQ10" s="9">
        <v>0</v>
      </c>
      <c r="BR10" s="9">
        <v>0</v>
      </c>
      <c r="BS10" s="9">
        <v>17.600000000000001</v>
      </c>
      <c r="BT10" s="9">
        <v>2.8</v>
      </c>
      <c r="BU10" s="9">
        <v>0</v>
      </c>
      <c r="BV10" s="9">
        <v>0</v>
      </c>
      <c r="BW10" s="9"/>
      <c r="BX10" s="9"/>
      <c r="BY10" s="9"/>
      <c r="BZ10" s="9"/>
      <c r="CA10" s="9">
        <v>16.600000000000001</v>
      </c>
      <c r="CB10" s="9">
        <v>7.7</v>
      </c>
      <c r="CC10" s="9">
        <v>0.8</v>
      </c>
      <c r="CD10" s="9">
        <v>0</v>
      </c>
      <c r="CE10" s="9">
        <v>17.5</v>
      </c>
      <c r="CF10" s="9">
        <v>2.8</v>
      </c>
      <c r="CG10" s="9">
        <v>0</v>
      </c>
      <c r="CH10" s="9">
        <v>0</v>
      </c>
      <c r="CI10" s="18"/>
      <c r="CJ10" s="23">
        <f t="shared" si="17"/>
        <v>46.8</v>
      </c>
      <c r="CK10" s="23" t="str">
        <f t="shared" si="18"/>
        <v/>
      </c>
      <c r="CL10" s="23">
        <f t="shared" si="19"/>
        <v>23.5</v>
      </c>
      <c r="CM10" s="23">
        <f t="shared" si="20"/>
        <v>43.8</v>
      </c>
      <c r="CN10" s="23">
        <f t="shared" si="21"/>
        <v>90.6</v>
      </c>
    </row>
    <row r="11" spans="1:92" x14ac:dyDescent="0.2">
      <c r="A11" s="1" t="str" cm="1">
        <f t="array" ref="A11">IF(F11="P",SUMPRODUCT((F$4:F$18="P")*(E$4:E$18&gt;E11))+1,"")</f>
        <v/>
      </c>
      <c r="B11" s="2" t="s">
        <v>57</v>
      </c>
      <c r="C11" s="3" t="s">
        <v>4</v>
      </c>
      <c r="D11" s="7">
        <v>2004</v>
      </c>
      <c r="E11" s="5">
        <f t="shared" si="0"/>
        <v>172.90001729000508</v>
      </c>
      <c r="F11" s="30"/>
      <c r="G11" s="4">
        <f>IF(COUNT(AJ11,BJ11,CJ11)&gt;0,LARGE((AJ11,BJ11,CJ11),1),0)</f>
        <v>50.900000000000006</v>
      </c>
      <c r="H11" s="4" t="str">
        <f t="shared" si="1"/>
        <v>2022 Elite Canada</v>
      </c>
      <c r="I11" s="4">
        <f>IF(COUNT(AJ11,BJ11,CJ11)&gt;1,LARGE((AJ11,BJ11,CJ11),2),0)</f>
        <v>50.1</v>
      </c>
      <c r="J11" s="4" t="str">
        <f t="shared" si="2"/>
        <v>2022 WG Virtual Control Trial</v>
      </c>
      <c r="K11" s="4">
        <f t="shared" si="3"/>
        <v>46.9</v>
      </c>
      <c r="L11" s="4" t="str">
        <f t="shared" si="4"/>
        <v>2022 WG Virtual Control Trial</v>
      </c>
      <c r="M11" s="4">
        <f t="shared" si="5"/>
        <v>25</v>
      </c>
      <c r="N11" s="4" t="str">
        <f t="shared" si="6"/>
        <v>2022 Elite Canada</v>
      </c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18"/>
      <c r="AJ11" s="23" t="str">
        <f t="shared" si="7"/>
        <v/>
      </c>
      <c r="AK11" s="23" t="str">
        <f t="shared" si="8"/>
        <v/>
      </c>
      <c r="AL11" s="23" t="str">
        <f t="shared" si="9"/>
        <v/>
      </c>
      <c r="AM11" s="23" t="str">
        <f t="shared" si="10"/>
        <v/>
      </c>
      <c r="AN11" s="23" t="str">
        <f t="shared" si="11"/>
        <v/>
      </c>
      <c r="AO11" s="8">
        <v>19</v>
      </c>
      <c r="AP11" s="8">
        <v>6.8</v>
      </c>
      <c r="AQ11" s="8">
        <v>0.6</v>
      </c>
      <c r="AR11" s="8">
        <v>0</v>
      </c>
      <c r="AS11" s="8">
        <v>19.100000000000001</v>
      </c>
      <c r="AT11" s="8">
        <v>7.2</v>
      </c>
      <c r="AU11" s="8">
        <v>0.6</v>
      </c>
      <c r="AV11" s="8">
        <v>0</v>
      </c>
      <c r="AW11" s="8">
        <v>18.399999999999999</v>
      </c>
      <c r="AX11" s="8">
        <v>7.3</v>
      </c>
      <c r="AY11" s="8">
        <v>1</v>
      </c>
      <c r="AZ11" s="8">
        <v>0</v>
      </c>
      <c r="BA11" s="8">
        <v>18.8</v>
      </c>
      <c r="BB11" s="8">
        <v>6.8</v>
      </c>
      <c r="BC11" s="8">
        <v>0.6</v>
      </c>
      <c r="BD11" s="8">
        <v>0</v>
      </c>
      <c r="BE11" s="8">
        <v>0</v>
      </c>
      <c r="BF11" s="8">
        <v>0</v>
      </c>
      <c r="BG11" s="8">
        <v>0</v>
      </c>
      <c r="BH11" s="8">
        <v>0</v>
      </c>
      <c r="BI11" s="19"/>
      <c r="BJ11" s="6">
        <f t="shared" si="12"/>
        <v>50.900000000000006</v>
      </c>
      <c r="BK11" s="6">
        <f t="shared" si="13"/>
        <v>24.7</v>
      </c>
      <c r="BL11" s="6">
        <f t="shared" si="14"/>
        <v>25</v>
      </c>
      <c r="BM11" s="6">
        <f t="shared" si="15"/>
        <v>25</v>
      </c>
      <c r="BN11" s="6">
        <f t="shared" si="16"/>
        <v>75.900000000000006</v>
      </c>
      <c r="BO11" s="9">
        <v>18.3</v>
      </c>
      <c r="BP11" s="9">
        <v>6.4</v>
      </c>
      <c r="BQ11" s="9">
        <v>0.8</v>
      </c>
      <c r="BR11" s="9">
        <v>0</v>
      </c>
      <c r="BS11" s="9">
        <v>18.8</v>
      </c>
      <c r="BT11" s="9">
        <v>8</v>
      </c>
      <c r="BU11" s="9">
        <v>0.6</v>
      </c>
      <c r="BV11" s="9">
        <v>0</v>
      </c>
      <c r="BW11" s="9"/>
      <c r="BX11" s="9"/>
      <c r="BY11" s="9"/>
      <c r="BZ11" s="9"/>
      <c r="CA11" s="9">
        <v>17.399999999999999</v>
      </c>
      <c r="CB11" s="9">
        <v>2.8</v>
      </c>
      <c r="CC11" s="9">
        <v>0</v>
      </c>
      <c r="CD11" s="9">
        <v>0</v>
      </c>
      <c r="CE11" s="9">
        <v>18.7</v>
      </c>
      <c r="CF11" s="9">
        <v>8</v>
      </c>
      <c r="CG11" s="9">
        <v>0</v>
      </c>
      <c r="CH11" s="9">
        <v>0</v>
      </c>
      <c r="CI11" s="18"/>
      <c r="CJ11" s="23">
        <f t="shared" si="17"/>
        <v>50.1</v>
      </c>
      <c r="CK11" s="23" t="str">
        <f t="shared" si="18"/>
        <v/>
      </c>
      <c r="CL11" s="23">
        <f t="shared" si="19"/>
        <v>20.2</v>
      </c>
      <c r="CM11" s="23">
        <f t="shared" si="20"/>
        <v>46.9</v>
      </c>
      <c r="CN11" s="23">
        <f t="shared" si="21"/>
        <v>97</v>
      </c>
    </row>
    <row r="12" spans="1:92" x14ac:dyDescent="0.2">
      <c r="A12" s="1" t="str" cm="1">
        <f t="array" ref="A12">IF(F12="P",SUMPRODUCT((F$4:F$18="P")*(E$4:E$18&gt;E12))+1,"")</f>
        <v/>
      </c>
      <c r="B12" s="2" t="s">
        <v>27</v>
      </c>
      <c r="C12" s="3" t="s">
        <v>4</v>
      </c>
      <c r="D12" s="7">
        <v>2003</v>
      </c>
      <c r="E12" s="5">
        <f t="shared" si="0"/>
        <v>164.20001642000511</v>
      </c>
      <c r="F12" s="30"/>
      <c r="G12" s="4">
        <f>IF(COUNT(AJ12,BJ12,CJ12)&gt;0,LARGE((AJ12,BJ12,CJ12),1),0)</f>
        <v>50.900000000000006</v>
      </c>
      <c r="H12" s="4" t="str">
        <f t="shared" si="1"/>
        <v>2022 WG Virtual Control Trial</v>
      </c>
      <c r="I12" s="4">
        <f>IF(COUNT(AJ12,BJ12,CJ12)&gt;1,LARGE((AJ12,BJ12,CJ12),2),0)</f>
        <v>49.900000000000013</v>
      </c>
      <c r="J12" s="4" t="str">
        <f t="shared" si="2"/>
        <v>2022 Elite Canada</v>
      </c>
      <c r="K12" s="4">
        <f t="shared" si="3"/>
        <v>42.999999999999993</v>
      </c>
      <c r="L12" s="4" t="str">
        <f t="shared" si="4"/>
        <v>2022 Elite Canada</v>
      </c>
      <c r="M12" s="4">
        <f t="shared" si="5"/>
        <v>20.400000000000002</v>
      </c>
      <c r="N12" s="4" t="str">
        <f t="shared" si="6"/>
        <v>2022 WG Virtual Control Trial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18"/>
      <c r="AJ12" s="23" t="str">
        <f t="shared" si="7"/>
        <v/>
      </c>
      <c r="AK12" s="23" t="str">
        <f t="shared" si="8"/>
        <v/>
      </c>
      <c r="AL12" s="23" t="str">
        <f t="shared" si="9"/>
        <v/>
      </c>
      <c r="AM12" s="23" t="str">
        <f t="shared" si="10"/>
        <v/>
      </c>
      <c r="AN12" s="23" t="str">
        <f t="shared" si="11"/>
        <v/>
      </c>
      <c r="AO12" s="8">
        <v>18.600000000000001</v>
      </c>
      <c r="AP12" s="8">
        <v>7.6</v>
      </c>
      <c r="AQ12" s="8">
        <v>0.8</v>
      </c>
      <c r="AR12" s="8">
        <v>0</v>
      </c>
      <c r="AS12" s="8">
        <v>18.100000000000001</v>
      </c>
      <c r="AT12" s="8">
        <v>7.2</v>
      </c>
      <c r="AU12" s="8">
        <v>0.8</v>
      </c>
      <c r="AV12" s="8">
        <v>0</v>
      </c>
      <c r="AW12" s="8">
        <v>17.3</v>
      </c>
      <c r="AX12" s="8">
        <v>2.4</v>
      </c>
      <c r="AY12" s="8">
        <v>0</v>
      </c>
      <c r="AZ12" s="8">
        <v>0</v>
      </c>
      <c r="BA12" s="8">
        <v>18.5</v>
      </c>
      <c r="BB12" s="8">
        <v>6.8</v>
      </c>
      <c r="BC12" s="8">
        <v>0.2</v>
      </c>
      <c r="BD12" s="8">
        <v>0</v>
      </c>
      <c r="BE12" s="8">
        <v>18.5</v>
      </c>
      <c r="BF12" s="8">
        <v>2.8</v>
      </c>
      <c r="BG12" s="8">
        <v>3.4</v>
      </c>
      <c r="BH12" s="8">
        <v>0</v>
      </c>
      <c r="BI12" s="19"/>
      <c r="BJ12" s="6">
        <f t="shared" si="12"/>
        <v>49.900000000000013</v>
      </c>
      <c r="BK12" s="6">
        <f t="shared" si="13"/>
        <v>19.7</v>
      </c>
      <c r="BL12" s="6">
        <f t="shared" si="14"/>
        <v>25.1</v>
      </c>
      <c r="BM12" s="6">
        <f t="shared" si="15"/>
        <v>42.999999999999993</v>
      </c>
      <c r="BN12" s="6">
        <f t="shared" si="16"/>
        <v>92.9</v>
      </c>
      <c r="BO12" s="9">
        <v>19</v>
      </c>
      <c r="BP12" s="9">
        <v>8</v>
      </c>
      <c r="BQ12" s="9">
        <v>0.8</v>
      </c>
      <c r="BR12" s="9">
        <v>0.3</v>
      </c>
      <c r="BS12" s="9">
        <v>18.399999999999999</v>
      </c>
      <c r="BT12" s="9">
        <v>6.8</v>
      </c>
      <c r="BU12" s="9">
        <v>0.8</v>
      </c>
      <c r="BV12" s="9">
        <v>0</v>
      </c>
      <c r="BW12" s="9"/>
      <c r="BX12" s="9"/>
      <c r="BY12" s="9"/>
      <c r="BZ12" s="9"/>
      <c r="CA12" s="9">
        <v>17.600000000000001</v>
      </c>
      <c r="CB12" s="9">
        <v>2.8</v>
      </c>
      <c r="CC12" s="9">
        <v>0</v>
      </c>
      <c r="CD12" s="9">
        <v>0</v>
      </c>
      <c r="CE12" s="9">
        <v>18.8</v>
      </c>
      <c r="CF12" s="9">
        <v>4.5999999999999996</v>
      </c>
      <c r="CG12" s="9">
        <v>1.4</v>
      </c>
      <c r="CH12" s="9">
        <v>0</v>
      </c>
      <c r="CI12" s="18"/>
      <c r="CJ12" s="23">
        <f t="shared" si="17"/>
        <v>50.900000000000006</v>
      </c>
      <c r="CK12" s="23" t="str">
        <f t="shared" si="18"/>
        <v/>
      </c>
      <c r="CL12" s="23">
        <f t="shared" si="19"/>
        <v>20.400000000000002</v>
      </c>
      <c r="CM12" s="23">
        <f t="shared" si="20"/>
        <v>42.400000000000006</v>
      </c>
      <c r="CN12" s="23">
        <f t="shared" si="21"/>
        <v>93.300000000000011</v>
      </c>
    </row>
    <row r="13" spans="1:92" x14ac:dyDescent="0.2">
      <c r="A13" s="1" t="str" cm="1">
        <f t="array" ref="A13">IF(F13="P",SUMPRODUCT((F$4:F$18="P")*(E$4:E$18&gt;E13))+1,"")</f>
        <v/>
      </c>
      <c r="B13" s="2" t="s">
        <v>53</v>
      </c>
      <c r="C13" s="3" t="s">
        <v>5</v>
      </c>
      <c r="D13" s="7">
        <v>2005</v>
      </c>
      <c r="E13" s="5">
        <f t="shared" si="0"/>
        <v>162.30001623000496</v>
      </c>
      <c r="F13" s="30"/>
      <c r="G13" s="4">
        <f>IF(COUNT(AJ13,BJ13,CJ13)&gt;0,LARGE((AJ13,BJ13,CJ13),1),0)</f>
        <v>49.599999999999994</v>
      </c>
      <c r="H13" s="4" t="str">
        <f t="shared" si="1"/>
        <v>2022 WG Virtual Technical Trial</v>
      </c>
      <c r="I13" s="4">
        <f>IF(COUNT(AJ13,BJ13,CJ13)&gt;1,LARGE((AJ13,BJ13,CJ13),2),0)</f>
        <v>47.1</v>
      </c>
      <c r="J13" s="4" t="str">
        <f t="shared" si="2"/>
        <v>2022 Elite Canada</v>
      </c>
      <c r="K13" s="4">
        <f t="shared" si="3"/>
        <v>39.999999999999993</v>
      </c>
      <c r="L13" s="4" t="str">
        <f t="shared" si="4"/>
        <v>2022 Elite Canada</v>
      </c>
      <c r="M13" s="4">
        <f t="shared" si="5"/>
        <v>25.6</v>
      </c>
      <c r="N13" s="4" t="str">
        <f t="shared" si="6"/>
        <v>2022 WG Virtual Technical Trial</v>
      </c>
      <c r="O13" s="9">
        <v>18.600000000000001</v>
      </c>
      <c r="P13" s="9">
        <v>7.2</v>
      </c>
      <c r="Q13" s="9">
        <v>0.6</v>
      </c>
      <c r="R13" s="9">
        <v>0</v>
      </c>
      <c r="S13" s="9">
        <v>17.8</v>
      </c>
      <c r="T13" s="9">
        <v>6.8</v>
      </c>
      <c r="U13" s="9">
        <v>0.2</v>
      </c>
      <c r="V13" s="9">
        <v>0</v>
      </c>
      <c r="W13" s="9"/>
      <c r="X13" s="9"/>
      <c r="Y13" s="9"/>
      <c r="Z13" s="9"/>
      <c r="AA13" s="9">
        <v>18.600000000000001</v>
      </c>
      <c r="AB13" s="9">
        <v>7.2</v>
      </c>
      <c r="AC13" s="9">
        <v>0.2</v>
      </c>
      <c r="AD13" s="9">
        <v>0</v>
      </c>
      <c r="AE13" s="9">
        <v>0</v>
      </c>
      <c r="AF13" s="9">
        <v>0</v>
      </c>
      <c r="AG13" s="9">
        <v>0</v>
      </c>
      <c r="AH13" s="9">
        <v>0</v>
      </c>
      <c r="AI13" s="18"/>
      <c r="AJ13" s="23">
        <f t="shared" si="7"/>
        <v>49.599999999999994</v>
      </c>
      <c r="AK13" s="23" t="str">
        <f t="shared" si="8"/>
        <v/>
      </c>
      <c r="AL13" s="23">
        <f t="shared" si="9"/>
        <v>25.6</v>
      </c>
      <c r="AM13" s="23">
        <f t="shared" si="10"/>
        <v>25.6</v>
      </c>
      <c r="AN13" s="23">
        <f t="shared" si="11"/>
        <v>75.199999999999989</v>
      </c>
      <c r="AO13" s="8">
        <v>18.899999999999999</v>
      </c>
      <c r="AP13" s="8">
        <v>7.2</v>
      </c>
      <c r="AQ13" s="8">
        <v>0</v>
      </c>
      <c r="AR13" s="8">
        <v>0</v>
      </c>
      <c r="AS13" s="8">
        <v>17.399999999999999</v>
      </c>
      <c r="AT13" s="8">
        <v>3.6</v>
      </c>
      <c r="AU13" s="8">
        <v>0</v>
      </c>
      <c r="AV13" s="8">
        <v>0</v>
      </c>
      <c r="AW13" s="8">
        <v>18.899999999999999</v>
      </c>
      <c r="AX13" s="8">
        <v>6</v>
      </c>
      <c r="AY13" s="8">
        <v>0</v>
      </c>
      <c r="AZ13" s="8">
        <v>0</v>
      </c>
      <c r="BA13" s="8">
        <v>17.399999999999999</v>
      </c>
      <c r="BB13" s="8">
        <v>2.8</v>
      </c>
      <c r="BC13" s="8">
        <v>0</v>
      </c>
      <c r="BD13" s="8">
        <v>0</v>
      </c>
      <c r="BE13" s="8">
        <v>17.399999999999999</v>
      </c>
      <c r="BF13" s="8">
        <v>2.4</v>
      </c>
      <c r="BG13" s="8">
        <v>0</v>
      </c>
      <c r="BH13" s="8">
        <v>0</v>
      </c>
      <c r="BI13" s="19"/>
      <c r="BJ13" s="6">
        <f t="shared" si="12"/>
        <v>47.1</v>
      </c>
      <c r="BK13" s="6">
        <f t="shared" si="13"/>
        <v>24.9</v>
      </c>
      <c r="BL13" s="6">
        <f t="shared" si="14"/>
        <v>20.2</v>
      </c>
      <c r="BM13" s="6">
        <f t="shared" si="15"/>
        <v>39.999999999999993</v>
      </c>
      <c r="BN13" s="6">
        <f t="shared" si="16"/>
        <v>87.1</v>
      </c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18"/>
      <c r="CJ13" s="23" t="str">
        <f t="shared" si="17"/>
        <v/>
      </c>
      <c r="CK13" s="23" t="str">
        <f t="shared" si="18"/>
        <v/>
      </c>
      <c r="CL13" s="23" t="str">
        <f t="shared" si="19"/>
        <v/>
      </c>
      <c r="CM13" s="23" t="str">
        <f t="shared" si="20"/>
        <v/>
      </c>
      <c r="CN13" s="23" t="str">
        <f t="shared" si="21"/>
        <v/>
      </c>
    </row>
    <row r="14" spans="1:92" x14ac:dyDescent="0.2">
      <c r="A14" s="1" t="str" cm="1">
        <f t="array" ref="A14">IF(F14="P",SUMPRODUCT((F$4:F$18="P")*(E$4:E$18&gt;E14))+1,"")</f>
        <v/>
      </c>
      <c r="B14" s="2" t="s">
        <v>15</v>
      </c>
      <c r="C14" s="3" t="s">
        <v>6</v>
      </c>
      <c r="D14" s="7">
        <v>1998</v>
      </c>
      <c r="E14" s="5">
        <f t="shared" si="0"/>
        <v>158.70001587000502</v>
      </c>
      <c r="F14" s="30"/>
      <c r="G14" s="4">
        <f>IF(COUNT(AJ14,BJ14,CJ14)&gt;0,LARGE((AJ14,BJ14,CJ14),1),0)</f>
        <v>50.3</v>
      </c>
      <c r="H14" s="4" t="str">
        <f t="shared" si="1"/>
        <v>2022 Elite Canada</v>
      </c>
      <c r="I14" s="4">
        <f>IF(COUNT(AJ14,BJ14,CJ14)&gt;1,LARGE((AJ14,BJ14,CJ14),2),0)</f>
        <v>43.900000000000006</v>
      </c>
      <c r="J14" s="4" t="str">
        <f t="shared" si="2"/>
        <v>2022 WG Virtual Control Trial</v>
      </c>
      <c r="K14" s="4">
        <f t="shared" si="3"/>
        <v>44.8</v>
      </c>
      <c r="L14" s="4" t="str">
        <f t="shared" si="4"/>
        <v>2022 WG Virtual Control Trial</v>
      </c>
      <c r="M14" s="4">
        <f t="shared" si="5"/>
        <v>19.7</v>
      </c>
      <c r="N14" s="4" t="str">
        <f t="shared" si="6"/>
        <v>2022 Elite Canada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18"/>
      <c r="AJ14" s="23" t="str">
        <f t="shared" si="7"/>
        <v/>
      </c>
      <c r="AK14" s="23" t="str">
        <f t="shared" si="8"/>
        <v/>
      </c>
      <c r="AL14" s="23" t="str">
        <f t="shared" si="9"/>
        <v/>
      </c>
      <c r="AM14" s="23" t="str">
        <f t="shared" si="10"/>
        <v/>
      </c>
      <c r="AN14" s="23" t="str">
        <f t="shared" si="11"/>
        <v/>
      </c>
      <c r="AO14" s="8">
        <v>18.2</v>
      </c>
      <c r="AP14" s="8">
        <v>7.2</v>
      </c>
      <c r="AQ14" s="8">
        <v>0.6</v>
      </c>
      <c r="AR14" s="8">
        <v>0</v>
      </c>
      <c r="AS14" s="8">
        <v>18.5</v>
      </c>
      <c r="AT14" s="8">
        <v>7.2</v>
      </c>
      <c r="AU14" s="8">
        <v>0.2</v>
      </c>
      <c r="AV14" s="8">
        <v>0</v>
      </c>
      <c r="AW14" s="8">
        <v>0</v>
      </c>
      <c r="AX14" s="8">
        <v>0</v>
      </c>
      <c r="AY14" s="8">
        <v>0</v>
      </c>
      <c r="AZ14" s="8">
        <v>0</v>
      </c>
      <c r="BA14" s="8">
        <v>18.3</v>
      </c>
      <c r="BB14" s="8">
        <v>3.7</v>
      </c>
      <c r="BC14" s="8">
        <v>2.2999999999999998</v>
      </c>
      <c r="BD14" s="8">
        <v>0</v>
      </c>
      <c r="BE14" s="8">
        <v>17.2</v>
      </c>
      <c r="BF14" s="8">
        <v>2.8</v>
      </c>
      <c r="BG14" s="8">
        <v>0</v>
      </c>
      <c r="BH14" s="8">
        <v>0</v>
      </c>
      <c r="BI14" s="19"/>
      <c r="BJ14" s="6">
        <f t="shared" si="12"/>
        <v>50.3</v>
      </c>
      <c r="BK14" s="6" t="str">
        <f t="shared" si="13"/>
        <v/>
      </c>
      <c r="BL14" s="6">
        <f t="shared" si="14"/>
        <v>19.7</v>
      </c>
      <c r="BM14" s="6">
        <f t="shared" si="15"/>
        <v>39.700000000000003</v>
      </c>
      <c r="BN14" s="6">
        <f t="shared" si="16"/>
        <v>90</v>
      </c>
      <c r="BO14" s="9">
        <v>17.5</v>
      </c>
      <c r="BP14" s="9">
        <v>2.8</v>
      </c>
      <c r="BQ14" s="9">
        <v>0</v>
      </c>
      <c r="BR14" s="9">
        <v>0</v>
      </c>
      <c r="BS14" s="9">
        <v>18.399999999999999</v>
      </c>
      <c r="BT14" s="9">
        <v>6</v>
      </c>
      <c r="BU14" s="9">
        <v>0.8</v>
      </c>
      <c r="BV14" s="9">
        <v>0</v>
      </c>
      <c r="BW14" s="9"/>
      <c r="BX14" s="9"/>
      <c r="BY14" s="9"/>
      <c r="BZ14" s="9"/>
      <c r="CA14" s="9">
        <v>17.600000000000001</v>
      </c>
      <c r="CB14" s="9">
        <v>2.8</v>
      </c>
      <c r="CC14" s="9">
        <v>0</v>
      </c>
      <c r="CD14" s="9">
        <v>0</v>
      </c>
      <c r="CE14" s="9">
        <v>18.2</v>
      </c>
      <c r="CF14" s="9">
        <v>6.8</v>
      </c>
      <c r="CG14" s="9">
        <v>0.6</v>
      </c>
      <c r="CH14" s="9">
        <v>0</v>
      </c>
      <c r="CI14" s="18"/>
      <c r="CJ14" s="23">
        <f t="shared" si="17"/>
        <v>43.900000000000006</v>
      </c>
      <c r="CK14" s="23" t="str">
        <f t="shared" si="18"/>
        <v/>
      </c>
      <c r="CL14" s="23">
        <f t="shared" si="19"/>
        <v>20.400000000000002</v>
      </c>
      <c r="CM14" s="23">
        <f t="shared" si="20"/>
        <v>44.8</v>
      </c>
      <c r="CN14" s="23">
        <f t="shared" si="21"/>
        <v>88.7</v>
      </c>
    </row>
    <row r="15" spans="1:92" x14ac:dyDescent="0.2">
      <c r="A15" s="1" t="str" cm="1">
        <f t="array" ref="A15">IF(F15="P",SUMPRODUCT((F$4:F$18="P")*(E$4:E$18&gt;E15))+1,"")</f>
        <v/>
      </c>
      <c r="B15" s="2" t="s">
        <v>63</v>
      </c>
      <c r="C15" s="3" t="s">
        <v>4</v>
      </c>
      <c r="D15" s="7">
        <v>2004</v>
      </c>
      <c r="E15" s="5">
        <f t="shared" si="0"/>
        <v>148.90001489000485</v>
      </c>
      <c r="F15" s="30"/>
      <c r="G15" s="4">
        <f>IF(COUNT(AJ15,BJ15,CJ15)&gt;0,LARGE((AJ15,BJ15,CJ15),1),0)</f>
        <v>48.8</v>
      </c>
      <c r="H15" s="4" t="str">
        <f t="shared" si="1"/>
        <v>2022 Elite Canada</v>
      </c>
      <c r="I15" s="4">
        <f>IF(COUNT(AJ15,BJ15,CJ15)&gt;1,LARGE((AJ15,BJ15,CJ15),2),0)</f>
        <v>25.499999999999996</v>
      </c>
      <c r="J15" s="4" t="str">
        <f t="shared" si="2"/>
        <v>2022 WG Virtual Control Trial</v>
      </c>
      <c r="K15" s="4">
        <f t="shared" si="3"/>
        <v>49.8</v>
      </c>
      <c r="L15" s="4" t="str">
        <f t="shared" si="4"/>
        <v>2022 Elite Canada</v>
      </c>
      <c r="M15" s="4">
        <f t="shared" si="5"/>
        <v>24.799999999999997</v>
      </c>
      <c r="N15" s="4" t="str">
        <f t="shared" si="6"/>
        <v>2022 WG Virtual Control Trial</v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18"/>
      <c r="AJ15" s="23" t="str">
        <f t="shared" si="7"/>
        <v/>
      </c>
      <c r="AK15" s="23" t="str">
        <f t="shared" si="8"/>
        <v/>
      </c>
      <c r="AL15" s="23" t="str">
        <f t="shared" si="9"/>
        <v/>
      </c>
      <c r="AM15" s="23" t="str">
        <f t="shared" si="10"/>
        <v/>
      </c>
      <c r="AN15" s="23" t="str">
        <f t="shared" si="11"/>
        <v/>
      </c>
      <c r="AO15" s="8">
        <v>18.7</v>
      </c>
      <c r="AP15" s="8">
        <v>6.8</v>
      </c>
      <c r="AQ15" s="8">
        <v>0.6</v>
      </c>
      <c r="AR15" s="8">
        <v>0</v>
      </c>
      <c r="AS15" s="8">
        <v>18.899999999999999</v>
      </c>
      <c r="AT15" s="8">
        <v>5.6</v>
      </c>
      <c r="AU15" s="8">
        <v>0.6</v>
      </c>
      <c r="AV15" s="8">
        <v>0</v>
      </c>
      <c r="AW15" s="8">
        <v>18.5</v>
      </c>
      <c r="AX15" s="8">
        <v>6</v>
      </c>
      <c r="AY15" s="8">
        <v>0.2</v>
      </c>
      <c r="AZ15" s="8">
        <v>0</v>
      </c>
      <c r="BA15" s="8">
        <v>18.7</v>
      </c>
      <c r="BB15" s="8">
        <v>6.8</v>
      </c>
      <c r="BC15" s="8">
        <v>0.8</v>
      </c>
      <c r="BD15" s="8">
        <v>0</v>
      </c>
      <c r="BE15" s="8">
        <v>19.3</v>
      </c>
      <c r="BF15" s="8">
        <v>6.4</v>
      </c>
      <c r="BG15" s="8">
        <v>0.6</v>
      </c>
      <c r="BH15" s="8">
        <v>0</v>
      </c>
      <c r="BI15" s="19"/>
      <c r="BJ15" s="6">
        <f t="shared" si="12"/>
        <v>48.8</v>
      </c>
      <c r="BK15" s="6">
        <f t="shared" si="13"/>
        <v>24.3</v>
      </c>
      <c r="BL15" s="6">
        <f t="shared" si="14"/>
        <v>24.7</v>
      </c>
      <c r="BM15" s="6">
        <f t="shared" si="15"/>
        <v>49.8</v>
      </c>
      <c r="BN15" s="6">
        <f t="shared" si="16"/>
        <v>98.6</v>
      </c>
      <c r="BO15" s="9">
        <v>18.899999999999999</v>
      </c>
      <c r="BP15" s="9">
        <v>7.2</v>
      </c>
      <c r="BQ15" s="9">
        <v>0.6</v>
      </c>
      <c r="BR15" s="9">
        <v>0</v>
      </c>
      <c r="BS15" s="9">
        <v>0</v>
      </c>
      <c r="BT15" s="9">
        <v>0</v>
      </c>
      <c r="BU15" s="9">
        <v>0</v>
      </c>
      <c r="BV15" s="9">
        <v>0</v>
      </c>
      <c r="BW15" s="9"/>
      <c r="BX15" s="9"/>
      <c r="BY15" s="9"/>
      <c r="BZ15" s="9"/>
      <c r="CA15" s="9">
        <v>18.2</v>
      </c>
      <c r="CB15" s="9">
        <v>7.2</v>
      </c>
      <c r="CC15" s="9">
        <v>0.6</v>
      </c>
      <c r="CD15" s="9">
        <v>0</v>
      </c>
      <c r="CE15" s="9">
        <v>18.399999999999999</v>
      </c>
      <c r="CF15" s="9">
        <v>6.8</v>
      </c>
      <c r="CG15" s="9">
        <v>0.8</v>
      </c>
      <c r="CH15" s="9">
        <v>0</v>
      </c>
      <c r="CI15" s="18"/>
      <c r="CJ15" s="23">
        <f t="shared" si="17"/>
        <v>25.499999999999996</v>
      </c>
      <c r="CK15" s="23" t="str">
        <f t="shared" si="18"/>
        <v/>
      </c>
      <c r="CL15" s="23">
        <f t="shared" si="19"/>
        <v>24.799999999999997</v>
      </c>
      <c r="CM15" s="23">
        <f t="shared" si="20"/>
        <v>49.199999999999996</v>
      </c>
      <c r="CN15" s="23">
        <f t="shared" si="21"/>
        <v>74.699999999999989</v>
      </c>
    </row>
    <row r="16" spans="1:92" x14ac:dyDescent="0.2">
      <c r="A16" s="1" t="str" cm="1">
        <f t="array" ref="A16">IF(F16="P",SUMPRODUCT((F$4:F$18="P")*(E$4:E$18&gt;E16))+1,"")</f>
        <v/>
      </c>
      <c r="B16" s="2" t="s">
        <v>28</v>
      </c>
      <c r="C16" s="3" t="s">
        <v>5</v>
      </c>
      <c r="D16" s="7">
        <v>2002</v>
      </c>
      <c r="E16" s="5">
        <f t="shared" si="0"/>
        <v>136.80001368000484</v>
      </c>
      <c r="F16" s="30"/>
      <c r="G16" s="4">
        <f>IF(COUNT(AJ16,BJ16,CJ16)&gt;0,LARGE((AJ16,BJ16,CJ16),1),0)</f>
        <v>48.2</v>
      </c>
      <c r="H16" s="4" t="str">
        <f t="shared" si="1"/>
        <v>2022 Elite Canada</v>
      </c>
      <c r="I16" s="4">
        <f>IF(COUNT(AJ16,BJ16,CJ16)&gt;1,LARGE((AJ16,BJ16,CJ16),2),0)</f>
        <v>45.79999999999999</v>
      </c>
      <c r="J16" s="4" t="str">
        <f t="shared" si="2"/>
        <v>2022 WG Virtual Technical Trial</v>
      </c>
      <c r="K16" s="4">
        <f t="shared" si="3"/>
        <v>42.8</v>
      </c>
      <c r="L16" s="4" t="str">
        <f t="shared" si="4"/>
        <v>2022 Elite Canada</v>
      </c>
      <c r="M16" s="4">
        <f t="shared" si="5"/>
        <v>0</v>
      </c>
      <c r="N16" s="4" t="str">
        <f t="shared" si="6"/>
        <v/>
      </c>
      <c r="O16" s="9">
        <v>18</v>
      </c>
      <c r="P16" s="9">
        <v>3.2</v>
      </c>
      <c r="Q16" s="9">
        <v>0</v>
      </c>
      <c r="R16" s="9">
        <v>0</v>
      </c>
      <c r="S16" s="9">
        <v>18.399999999999999</v>
      </c>
      <c r="T16" s="9">
        <v>6.4</v>
      </c>
      <c r="U16" s="9">
        <v>0.2</v>
      </c>
      <c r="V16" s="9">
        <v>0</v>
      </c>
      <c r="W16" s="9"/>
      <c r="X16" s="9"/>
      <c r="Y16" s="9"/>
      <c r="Z16" s="9"/>
      <c r="AA16" s="9">
        <v>0</v>
      </c>
      <c r="AB16" s="9">
        <v>0</v>
      </c>
      <c r="AC16" s="9">
        <v>0</v>
      </c>
      <c r="AD16" s="9">
        <v>0</v>
      </c>
      <c r="AE16" s="9">
        <v>0</v>
      </c>
      <c r="AF16" s="9">
        <v>0</v>
      </c>
      <c r="AG16" s="9">
        <v>0</v>
      </c>
      <c r="AH16" s="9">
        <v>0</v>
      </c>
      <c r="AI16" s="18"/>
      <c r="AJ16" s="23">
        <f t="shared" si="7"/>
        <v>45.79999999999999</v>
      </c>
      <c r="AK16" s="23" t="str">
        <f t="shared" si="8"/>
        <v/>
      </c>
      <c r="AL16" s="23" t="str">
        <f t="shared" si="9"/>
        <v/>
      </c>
      <c r="AM16" s="23" t="str">
        <f t="shared" si="10"/>
        <v/>
      </c>
      <c r="AN16" s="23">
        <f t="shared" si="11"/>
        <v>45.79999999999999</v>
      </c>
      <c r="AO16" s="8">
        <v>18.2</v>
      </c>
      <c r="AP16" s="8">
        <v>6</v>
      </c>
      <c r="AQ16" s="8">
        <v>0.8</v>
      </c>
      <c r="AR16" s="8">
        <v>0</v>
      </c>
      <c r="AS16" s="8">
        <v>19</v>
      </c>
      <c r="AT16" s="8">
        <v>6.4</v>
      </c>
      <c r="AU16" s="8">
        <v>0.6</v>
      </c>
      <c r="AV16" s="8">
        <v>0</v>
      </c>
      <c r="AW16" s="8">
        <v>18.100000000000001</v>
      </c>
      <c r="AX16" s="8">
        <v>4.0999999999999996</v>
      </c>
      <c r="AY16" s="8">
        <v>2.9</v>
      </c>
      <c r="AZ16" s="8">
        <v>0</v>
      </c>
      <c r="BA16" s="8">
        <v>17.7</v>
      </c>
      <c r="BB16" s="8">
        <v>3.7</v>
      </c>
      <c r="BC16" s="8">
        <v>2.2999999999999998</v>
      </c>
      <c r="BD16" s="8">
        <v>0</v>
      </c>
      <c r="BE16" s="8">
        <v>18.100000000000001</v>
      </c>
      <c r="BF16" s="8">
        <v>6.4</v>
      </c>
      <c r="BG16" s="8">
        <v>0.8</v>
      </c>
      <c r="BH16" s="8">
        <v>0</v>
      </c>
      <c r="BI16" s="19"/>
      <c r="BJ16" s="6">
        <f t="shared" si="12"/>
        <v>48.2</v>
      </c>
      <c r="BK16" s="6">
        <f t="shared" si="13"/>
        <v>19.300000000000004</v>
      </c>
      <c r="BL16" s="6">
        <f t="shared" si="14"/>
        <v>19.099999999999998</v>
      </c>
      <c r="BM16" s="6">
        <f t="shared" si="15"/>
        <v>42.8</v>
      </c>
      <c r="BN16" s="6">
        <f t="shared" si="16"/>
        <v>91</v>
      </c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18"/>
      <c r="CJ16" s="23" t="str">
        <f t="shared" si="17"/>
        <v/>
      </c>
      <c r="CK16" s="23" t="str">
        <f t="shared" si="18"/>
        <v/>
      </c>
      <c r="CL16" s="23" t="str">
        <f t="shared" si="19"/>
        <v/>
      </c>
      <c r="CM16" s="23" t="str">
        <f t="shared" si="20"/>
        <v/>
      </c>
      <c r="CN16" s="23" t="str">
        <f t="shared" si="21"/>
        <v/>
      </c>
    </row>
    <row r="17" spans="1:92" x14ac:dyDescent="0.2">
      <c r="A17" s="1" t="str" cm="1">
        <f t="array" ref="A17">IF(F17="P",SUMPRODUCT((F$4:F$18="P")*(E$4:E$18&gt;E17))+1,"")</f>
        <v/>
      </c>
      <c r="B17" s="2" t="s">
        <v>30</v>
      </c>
      <c r="C17" s="3" t="s">
        <v>6</v>
      </c>
      <c r="D17" s="7">
        <v>2000</v>
      </c>
      <c r="E17" s="5">
        <f t="shared" si="0"/>
        <v>90.900009090004843</v>
      </c>
      <c r="F17" s="30"/>
      <c r="G17" s="4">
        <f>IF(COUNT(AJ17,BJ17,CJ17)&gt;0,LARGE((AJ17,BJ17,CJ17),1),0)</f>
        <v>48.499999999999993</v>
      </c>
      <c r="H17" s="4" t="str">
        <f t="shared" si="1"/>
        <v>2022 Elite Canada</v>
      </c>
      <c r="I17" s="4">
        <f>IF(COUNT(AJ17,BJ17,CJ17)&gt;1,LARGE((AJ17,BJ17,CJ17),2),0)</f>
        <v>0</v>
      </c>
      <c r="J17" s="4" t="str">
        <f t="shared" si="2"/>
        <v/>
      </c>
      <c r="K17" s="4">
        <f t="shared" si="3"/>
        <v>42.4</v>
      </c>
      <c r="L17" s="4" t="str">
        <f t="shared" si="4"/>
        <v>2022 Elite Canada</v>
      </c>
      <c r="M17" s="4">
        <f t="shared" si="5"/>
        <v>0</v>
      </c>
      <c r="N17" s="4" t="str">
        <f t="shared" si="6"/>
        <v/>
      </c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18"/>
      <c r="AJ17" s="23" t="str">
        <f t="shared" si="7"/>
        <v/>
      </c>
      <c r="AK17" s="23" t="str">
        <f t="shared" si="8"/>
        <v/>
      </c>
      <c r="AL17" s="23" t="str">
        <f t="shared" si="9"/>
        <v/>
      </c>
      <c r="AM17" s="23" t="str">
        <f t="shared" si="10"/>
        <v/>
      </c>
      <c r="AN17" s="23" t="str">
        <f t="shared" si="11"/>
        <v/>
      </c>
      <c r="AO17" s="8">
        <v>18.2</v>
      </c>
      <c r="AP17" s="8">
        <v>6</v>
      </c>
      <c r="AQ17" s="8">
        <v>0.2</v>
      </c>
      <c r="AR17" s="8">
        <v>0</v>
      </c>
      <c r="AS17" s="8">
        <v>18.3</v>
      </c>
      <c r="AT17" s="8">
        <v>6.4</v>
      </c>
      <c r="AU17" s="8">
        <v>0.2</v>
      </c>
      <c r="AV17" s="8">
        <v>0</v>
      </c>
      <c r="AW17" s="8">
        <v>18.8</v>
      </c>
      <c r="AX17" s="8">
        <v>6.4</v>
      </c>
      <c r="AY17" s="8">
        <v>1</v>
      </c>
      <c r="AZ17" s="8">
        <v>0</v>
      </c>
      <c r="BA17" s="8">
        <v>18.3</v>
      </c>
      <c r="BB17" s="8">
        <v>5.6</v>
      </c>
      <c r="BC17" s="8">
        <v>0.6</v>
      </c>
      <c r="BD17" s="8">
        <v>0</v>
      </c>
      <c r="BE17" s="8">
        <v>17.899999999999999</v>
      </c>
      <c r="BF17" s="8">
        <v>3.7</v>
      </c>
      <c r="BG17" s="8">
        <v>2.5</v>
      </c>
      <c r="BH17" s="8">
        <v>0</v>
      </c>
      <c r="BI17" s="19"/>
      <c r="BJ17" s="6">
        <f t="shared" si="12"/>
        <v>48.499999999999993</v>
      </c>
      <c r="BK17" s="6">
        <f t="shared" si="13"/>
        <v>24.200000000000003</v>
      </c>
      <c r="BL17" s="6">
        <f t="shared" si="14"/>
        <v>23.299999999999997</v>
      </c>
      <c r="BM17" s="6">
        <f t="shared" si="15"/>
        <v>42.4</v>
      </c>
      <c r="BN17" s="6">
        <f t="shared" si="16"/>
        <v>90.899999999999991</v>
      </c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18"/>
      <c r="CJ17" s="23" t="str">
        <f t="shared" si="17"/>
        <v/>
      </c>
      <c r="CK17" s="23" t="str">
        <f t="shared" si="18"/>
        <v/>
      </c>
      <c r="CL17" s="23" t="str">
        <f t="shared" si="19"/>
        <v/>
      </c>
      <c r="CM17" s="23" t="str">
        <f t="shared" si="20"/>
        <v/>
      </c>
      <c r="CN17" s="23" t="str">
        <f t="shared" si="21"/>
        <v/>
      </c>
    </row>
    <row r="18" spans="1:92" x14ac:dyDescent="0.2">
      <c r="A18" s="1" t="str" cm="1">
        <f t="array" ref="A18">IF(F18="P",SUMPRODUCT((F$4:F$18="P")*(E$4:E$18&gt;E18))+1,"")</f>
        <v/>
      </c>
      <c r="B18" s="2" t="s">
        <v>58</v>
      </c>
      <c r="C18" s="3" t="s">
        <v>6</v>
      </c>
      <c r="D18" s="7">
        <v>2005</v>
      </c>
      <c r="E18" s="5">
        <f t="shared" si="0"/>
        <v>20.000002000001999</v>
      </c>
      <c r="F18" s="30"/>
      <c r="G18" s="4">
        <f>IF(COUNT(AJ18,BJ18,CJ18)&gt;0,LARGE((AJ18,BJ18,CJ18),1),0)</f>
        <v>20</v>
      </c>
      <c r="H18" s="4" t="str">
        <f t="shared" si="1"/>
        <v>2022 Elite Canada</v>
      </c>
      <c r="I18" s="4">
        <f>IF(COUNT(AJ18,BJ18,CJ18)&gt;1,LARGE((AJ18,BJ18,CJ18),2),0)</f>
        <v>0</v>
      </c>
      <c r="J18" s="4" t="str">
        <f t="shared" si="2"/>
        <v/>
      </c>
      <c r="K18" s="4">
        <f t="shared" si="3"/>
        <v>0</v>
      </c>
      <c r="L18" s="4" t="str">
        <f t="shared" si="4"/>
        <v/>
      </c>
      <c r="M18" s="4">
        <f t="shared" si="5"/>
        <v>0</v>
      </c>
      <c r="N18" s="4" t="str">
        <f t="shared" si="6"/>
        <v/>
      </c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18"/>
      <c r="AJ18" s="23" t="str">
        <f t="shared" si="7"/>
        <v/>
      </c>
      <c r="AK18" s="23" t="str">
        <f t="shared" si="8"/>
        <v/>
      </c>
      <c r="AL18" s="23" t="str">
        <f t="shared" si="9"/>
        <v/>
      </c>
      <c r="AM18" s="23" t="str">
        <f t="shared" si="10"/>
        <v/>
      </c>
      <c r="AN18" s="23" t="str">
        <f t="shared" si="11"/>
        <v/>
      </c>
      <c r="AO18" s="8">
        <v>17.600000000000001</v>
      </c>
      <c r="AP18" s="8">
        <v>2.4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6">
        <f t="shared" si="12"/>
        <v>20</v>
      </c>
      <c r="BK18" s="6" t="str">
        <f t="shared" si="13"/>
        <v/>
      </c>
      <c r="BL18" s="6" t="str">
        <f t="shared" si="14"/>
        <v/>
      </c>
      <c r="BM18" s="6" t="str">
        <f t="shared" si="15"/>
        <v/>
      </c>
      <c r="BN18" s="6">
        <f t="shared" si="16"/>
        <v>20</v>
      </c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18"/>
      <c r="CJ18" s="23" t="str">
        <f t="shared" si="17"/>
        <v/>
      </c>
      <c r="CK18" s="23" t="str">
        <f t="shared" si="18"/>
        <v/>
      </c>
      <c r="CL18" s="23" t="str">
        <f t="shared" si="19"/>
        <v/>
      </c>
      <c r="CM18" s="23" t="str">
        <f t="shared" si="20"/>
        <v/>
      </c>
      <c r="CN18" s="23" t="str">
        <f t="shared" si="21"/>
        <v/>
      </c>
    </row>
    <row r="20" spans="1:92" x14ac:dyDescent="0.2">
      <c r="A20" s="11"/>
      <c r="B20" s="11"/>
      <c r="C20" s="10"/>
    </row>
    <row r="21" spans="1:92" x14ac:dyDescent="0.2">
      <c r="A21" s="2"/>
      <c r="B21" s="2"/>
      <c r="C21" s="2"/>
    </row>
  </sheetData>
  <sheetProtection sheet="1" formatCells="0" formatColumns="0" formatRows="0"/>
  <autoFilter ref="A1:CN18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18">
      <sortCondition descending="1" ref="F1:F19"/>
    </sortState>
  </autoFilter>
  <mergeCells count="32">
    <mergeCell ref="K1:K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W2:Z2"/>
    <mergeCell ref="AA2:AD2"/>
    <mergeCell ref="AE2:AH2"/>
    <mergeCell ref="BS2:BV2"/>
    <mergeCell ref="BW2:BZ2"/>
  </mergeCells>
  <conditionalFormatting sqref="H1:H1048576 J1:J1048576 L1:L1048576 N1:N1048576">
    <cfRule type="expression" dxfId="5" priority="1">
      <formula>IF(H1=$BO$1,1,0)</formula>
    </cfRule>
    <cfRule type="expression" dxfId="4" priority="2">
      <formula>IF(H1=$AO$1,1,0)</formula>
    </cfRule>
    <cfRule type="expression" dxfId="3" priority="3">
      <formula>IF(H1=$O$1,1,0)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EB92-EE84-5041-A150-E54E81AAA77A}">
  <sheetPr codeName="Sheet9"/>
  <dimension ref="A1:CN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10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IF(F4="P",SUMPRODUCT((F$4:F$15="P")*(E$4:E$15&gt;E4))+1,"")</f>
        <v>1</v>
      </c>
      <c r="B4" s="2" t="s">
        <v>20</v>
      </c>
      <c r="C4" s="3" t="s">
        <v>5</v>
      </c>
      <c r="D4" s="7">
        <v>2001</v>
      </c>
      <c r="E4" s="5">
        <f t="shared" ref="E4:E15" si="0">SUM(G4:N4)+SUM(G4:M4)*0.0000001+SUM(G4)*0.0000000000001</f>
        <v>177.90001779000505</v>
      </c>
      <c r="F4" s="30" t="s">
        <v>55</v>
      </c>
      <c r="G4" s="4">
        <f>IF(COUNT(AJ4,BJ4,CJ4)&gt;0,LARGE((AJ4,BJ4,CJ4),1),0)</f>
        <v>50.999999999999993</v>
      </c>
      <c r="H4" s="4" t="str">
        <f t="shared" ref="H4:H15" si="1">IF(G4=0,"",IF(G4=CJ4,$BO$1,IF(G4=BJ4,$AO$1,IF(G4=AJ4,$O$1,""))))</f>
        <v>2022 WG Virtual Technical Trial</v>
      </c>
      <c r="I4" s="4">
        <f>IF(COUNT(AJ4,BJ4,CJ4)&gt;1,LARGE((AJ4,BJ4,CJ4),2),0)</f>
        <v>50.8</v>
      </c>
      <c r="J4" s="4" t="str">
        <f t="shared" ref="J4:J15" si="2">IF(I4=0,"",IF(I4=CJ4,$BO$1,IF(I4=BJ4,$AO$1,IF(I4=AJ4,$O$1,""))))</f>
        <v>2022 Elite Canada</v>
      </c>
      <c r="K4" s="4">
        <f t="shared" ref="K4:K15" si="3">IF(MAX(AM4,BM4,CM4)&gt;0,MAX(AM4,BM4,CM4),0)</f>
        <v>50.5</v>
      </c>
      <c r="L4" s="4" t="str">
        <f t="shared" ref="L4:L15" si="4">IF(K4=0,"",IF(K4=CM4,$BO$1,IF(K4=BM4,$AO$1,IF(K4=AM4,$O$1,""))))</f>
        <v>2022 Elite Canada</v>
      </c>
      <c r="M4" s="4">
        <f t="shared" ref="M4:M15" si="5">IF(K4=CM4,MAX(BL4,AL4),IF(K4=BM4,MAX(CL4,AL4),IF(K4=AM4,MAX(CL4,BL4),0)))</f>
        <v>25.6</v>
      </c>
      <c r="N4" s="4" t="str">
        <f t="shared" ref="N4:N15" si="6">IF(M4=0,"",IF(AND(M4=CL4,L4&lt;&gt;$BO$1),$BO$1,IF(AND(M4=BL4,L4&lt;&gt;$AO$1),$AO$1,IF(AND(M4=AL4,L4&lt;&gt;$O$1),$O$1,""))))</f>
        <v>2022 WG Virtual Control Trial</v>
      </c>
      <c r="O4" s="9">
        <v>18.8</v>
      </c>
      <c r="P4" s="9">
        <v>6.8</v>
      </c>
      <c r="Q4" s="9">
        <v>0.6</v>
      </c>
      <c r="R4" s="9">
        <v>0.3</v>
      </c>
      <c r="S4" s="9">
        <v>18.8</v>
      </c>
      <c r="T4" s="9">
        <v>6.8</v>
      </c>
      <c r="U4" s="9">
        <v>0.2</v>
      </c>
      <c r="V4" s="9">
        <v>0.3</v>
      </c>
      <c r="W4" s="9"/>
      <c r="X4" s="9"/>
      <c r="Y4" s="9"/>
      <c r="Z4" s="9"/>
      <c r="AA4" s="9">
        <v>18.399999999999999</v>
      </c>
      <c r="AB4" s="9">
        <v>4.4000000000000004</v>
      </c>
      <c r="AC4" s="9">
        <v>1</v>
      </c>
      <c r="AD4" s="9">
        <v>0</v>
      </c>
      <c r="AE4" s="9">
        <v>18.600000000000001</v>
      </c>
      <c r="AF4" s="9">
        <v>6.8</v>
      </c>
      <c r="AG4" s="9">
        <v>0</v>
      </c>
      <c r="AH4" s="9">
        <v>0.3</v>
      </c>
      <c r="AI4" s="18"/>
      <c r="AJ4" s="23">
        <f t="shared" ref="AJ4:AJ15" si="7">IF(SUM(O4:P4,R4:T4,V4)-Q4-U4&gt;0,SUM(O4:P4,R4:T4,V4)-Q4-U4,"")</f>
        <v>50.999999999999993</v>
      </c>
      <c r="AK4" s="23" t="str">
        <f t="shared" ref="AK4:AK15" si="8">IF(SUM(W4:X4,Z4)-Y4&gt;0,SUM(W4:X4,Z4)-Y4,"")</f>
        <v/>
      </c>
      <c r="AL4" s="23">
        <f t="shared" ref="AL4:AL15" si="9">IF(SUM(AA4:AB4,AD4)-SUM(AC4)&gt;0,SUM(AA4:AB4,AD4)-SUM(AC4),"")</f>
        <v>21.799999999999997</v>
      </c>
      <c r="AM4" s="23">
        <f t="shared" ref="AM4:AM15" si="10">IF(SUM(AA4:AB4,AD4:AF4,AH4)-SUM(AC4,AG4)&gt;0,SUM(AA4:AB4,AD4:AF4,AH4)-SUM(AC4,AG4),"")</f>
        <v>47.499999999999993</v>
      </c>
      <c r="AN4" s="23">
        <f t="shared" ref="AN4:AN15" si="11">IF(SUM(AJ4,AM4)&gt;0,SUM(AJ4,AM4),"")</f>
        <v>98.499999999999986</v>
      </c>
      <c r="AO4" s="8">
        <v>18.8</v>
      </c>
      <c r="AP4" s="8">
        <v>6.8</v>
      </c>
      <c r="AQ4" s="8">
        <v>0</v>
      </c>
      <c r="AR4" s="8">
        <v>0.3</v>
      </c>
      <c r="AS4" s="8">
        <v>18.600000000000001</v>
      </c>
      <c r="AT4" s="8">
        <v>6.8</v>
      </c>
      <c r="AU4" s="8">
        <v>0.8</v>
      </c>
      <c r="AV4" s="8">
        <v>0.3</v>
      </c>
      <c r="AW4" s="8">
        <v>18.5</v>
      </c>
      <c r="AX4" s="8">
        <v>5.6</v>
      </c>
      <c r="AY4" s="8">
        <v>0.6</v>
      </c>
      <c r="AZ4" s="8">
        <v>0</v>
      </c>
      <c r="BA4" s="8">
        <v>18.100000000000001</v>
      </c>
      <c r="BB4" s="8">
        <v>6.8</v>
      </c>
      <c r="BC4" s="8">
        <v>0.2</v>
      </c>
      <c r="BD4" s="8">
        <v>0.6</v>
      </c>
      <c r="BE4" s="8">
        <v>18.8</v>
      </c>
      <c r="BF4" s="8">
        <v>6.4</v>
      </c>
      <c r="BG4" s="8">
        <v>0</v>
      </c>
      <c r="BH4" s="8">
        <v>0</v>
      </c>
      <c r="BI4" s="19"/>
      <c r="BJ4" s="6">
        <f t="shared" ref="BJ4:BJ15" si="12">IF(SUM(AO4:AP4,AR4:AT4,AV4)-AQ4-AU4&gt;0,SUM(AO4:AP4,AR4:AT4,AV4)-AQ4-AU4,"")</f>
        <v>50.8</v>
      </c>
      <c r="BK4" s="6">
        <f t="shared" ref="BK4:BK15" si="13">IF(SUM(AW4:AX4,AZ4)-AY4&gt;0,SUM(AW4:AX4,AZ4)-AY4,"")</f>
        <v>23.5</v>
      </c>
      <c r="BL4" s="6">
        <f t="shared" ref="BL4:BL15" si="14">IF(SUM(BA4:BB4,BD4)-SUM(BC4)&gt;0,SUM(BA4:BB4,BD4)-SUM(BC4),"")</f>
        <v>25.300000000000004</v>
      </c>
      <c r="BM4" s="6">
        <f t="shared" ref="BM4:BM15" si="15">IF(SUM(BA4:BB4,BD4:BF4,BH4)-SUM(BC4,BG4)&gt;0,SUM(BA4:BB4,BD4:BF4,BH4)-SUM(BC4,BG4),"")</f>
        <v>50.5</v>
      </c>
      <c r="BN4" s="6">
        <f t="shared" ref="BN4:BN15" si="16">IF(SUM(BJ4,BM4)&gt;0,SUM(BJ4,BM4),"")</f>
        <v>101.3</v>
      </c>
      <c r="BO4" s="9">
        <v>18.399999999999999</v>
      </c>
      <c r="BP4" s="9">
        <v>6</v>
      </c>
      <c r="BQ4" s="9">
        <v>0</v>
      </c>
      <c r="BR4" s="9">
        <v>0.3</v>
      </c>
      <c r="BS4" s="9">
        <v>18.8</v>
      </c>
      <c r="BT4" s="9">
        <v>6.8</v>
      </c>
      <c r="BU4" s="9">
        <v>0</v>
      </c>
      <c r="BV4" s="9">
        <v>0.3</v>
      </c>
      <c r="BW4" s="9"/>
      <c r="BX4" s="9"/>
      <c r="BY4" s="9"/>
      <c r="BZ4" s="9"/>
      <c r="CA4" s="9">
        <v>18.7</v>
      </c>
      <c r="CB4" s="9">
        <v>6.8</v>
      </c>
      <c r="CC4" s="9">
        <v>0.2</v>
      </c>
      <c r="CD4" s="9">
        <v>0.3</v>
      </c>
      <c r="CE4" s="9">
        <v>18</v>
      </c>
      <c r="CF4" s="9">
        <v>6.4</v>
      </c>
      <c r="CG4" s="9">
        <v>0.2</v>
      </c>
      <c r="CH4" s="9">
        <v>0.3</v>
      </c>
      <c r="CI4" s="18"/>
      <c r="CJ4" s="23">
        <f t="shared" ref="CJ4:CJ15" si="17">IF(SUM(BO4:BP4,BR4:BT4,BV4)-BQ4-BU4&gt;0,SUM(BO4:BP4,BR4:BT4,BV4)-BQ4-BU4,"")</f>
        <v>50.599999999999994</v>
      </c>
      <c r="CK4" s="23" t="str">
        <f t="shared" ref="CK4:CK15" si="18">IF(SUM(BW4:BX4,BZ4)-BY4&gt;0,SUM(BW4:BX4,BZ4)-BY4,"")</f>
        <v/>
      </c>
      <c r="CL4" s="23">
        <f t="shared" ref="CL4:CL15" si="19">IF(SUM(CA4:CB4,CD4)-SUM(CC4)&gt;0,SUM(CA4:CB4,CD4)-SUM(CC4),"")</f>
        <v>25.6</v>
      </c>
      <c r="CM4" s="23">
        <f t="shared" ref="CM4:CM15" si="20">IF(SUM(CA4:CB4,CD4:CF4,CH4)-SUM(CC4,CG4)&gt;0,SUM(CA4:CB4,CD4:CF4,CH4)-SUM(CC4,CG4),"")</f>
        <v>50.099999999999994</v>
      </c>
      <c r="CN4" s="23">
        <f t="shared" ref="CN4:CN15" si="21">IF(SUM(CJ4,CM4)&gt;0,SUM(CJ4,CM4),"")</f>
        <v>100.69999999999999</v>
      </c>
    </row>
    <row r="5" spans="1:92" x14ac:dyDescent="0.2">
      <c r="A5" s="1" cm="1">
        <f t="array" ref="A5">IF(F5="P",SUMPRODUCT((F$4:F$15="P")*(E$4:E$15&gt;E5))+1,"")</f>
        <v>2</v>
      </c>
      <c r="B5" s="2" t="s">
        <v>33</v>
      </c>
      <c r="C5" s="3" t="s">
        <v>17</v>
      </c>
      <c r="D5" s="7">
        <v>2002</v>
      </c>
      <c r="E5" s="5">
        <f t="shared" si="0"/>
        <v>173.60001736000513</v>
      </c>
      <c r="F5" s="30" t="s">
        <v>55</v>
      </c>
      <c r="G5" s="4">
        <f>IF(COUNT(AJ5,BJ5,CJ5)&gt;0,LARGE((AJ5,BJ5,CJ5),1),0)</f>
        <v>51.399999999999991</v>
      </c>
      <c r="H5" s="4" t="str">
        <f t="shared" si="1"/>
        <v>2022 WG Virtual Control Trial</v>
      </c>
      <c r="I5" s="4">
        <f>IF(COUNT(AJ5,BJ5,CJ5)&gt;1,LARGE((AJ5,BJ5,CJ5),2),0)</f>
        <v>48.5</v>
      </c>
      <c r="J5" s="4" t="str">
        <f t="shared" si="2"/>
        <v>2022 Elite Canada</v>
      </c>
      <c r="K5" s="4">
        <f t="shared" si="3"/>
        <v>49.8</v>
      </c>
      <c r="L5" s="4" t="str">
        <f t="shared" si="4"/>
        <v>2022 Elite Canada</v>
      </c>
      <c r="M5" s="4">
        <f t="shared" si="5"/>
        <v>23.9</v>
      </c>
      <c r="N5" s="4" t="str">
        <f t="shared" si="6"/>
        <v>2022 WG Virtual Technical Trial</v>
      </c>
      <c r="O5" s="9">
        <v>18.399999999999999</v>
      </c>
      <c r="P5" s="9">
        <v>5.6</v>
      </c>
      <c r="Q5" s="9">
        <v>0.8</v>
      </c>
      <c r="R5" s="9">
        <v>0</v>
      </c>
      <c r="S5" s="9">
        <v>19</v>
      </c>
      <c r="T5" s="9">
        <v>6</v>
      </c>
      <c r="U5" s="9">
        <v>0</v>
      </c>
      <c r="V5" s="9">
        <v>0</v>
      </c>
      <c r="W5" s="9"/>
      <c r="X5" s="9"/>
      <c r="Y5" s="9"/>
      <c r="Z5" s="9"/>
      <c r="AA5" s="9">
        <v>18.899999999999999</v>
      </c>
      <c r="AB5" s="9">
        <v>5.6</v>
      </c>
      <c r="AC5" s="9">
        <v>0.6</v>
      </c>
      <c r="AD5" s="9">
        <v>0</v>
      </c>
      <c r="AE5" s="9">
        <v>18.399999999999999</v>
      </c>
      <c r="AF5" s="9">
        <v>4.4000000000000004</v>
      </c>
      <c r="AG5" s="9">
        <v>0</v>
      </c>
      <c r="AH5" s="9">
        <v>0</v>
      </c>
      <c r="AI5" s="18"/>
      <c r="AJ5" s="23">
        <f t="shared" si="7"/>
        <v>48.2</v>
      </c>
      <c r="AK5" s="23" t="str">
        <f t="shared" si="8"/>
        <v/>
      </c>
      <c r="AL5" s="23">
        <f t="shared" si="9"/>
        <v>23.9</v>
      </c>
      <c r="AM5" s="23">
        <f t="shared" si="10"/>
        <v>46.699999999999996</v>
      </c>
      <c r="AN5" s="23">
        <f t="shared" si="11"/>
        <v>94.9</v>
      </c>
      <c r="AO5" s="8">
        <v>18.600000000000001</v>
      </c>
      <c r="AP5" s="8">
        <v>5.6</v>
      </c>
      <c r="AQ5" s="8">
        <v>0.6</v>
      </c>
      <c r="AR5" s="8">
        <v>0</v>
      </c>
      <c r="AS5" s="8">
        <v>18.899999999999999</v>
      </c>
      <c r="AT5" s="8">
        <v>6</v>
      </c>
      <c r="AU5" s="8">
        <v>0</v>
      </c>
      <c r="AV5" s="8">
        <v>0</v>
      </c>
      <c r="AW5" s="8">
        <v>18.600000000000001</v>
      </c>
      <c r="AX5" s="8">
        <v>6</v>
      </c>
      <c r="AY5" s="8">
        <v>0.6</v>
      </c>
      <c r="AZ5" s="8">
        <v>0.3</v>
      </c>
      <c r="BA5" s="8">
        <v>19</v>
      </c>
      <c r="BB5" s="8">
        <v>6.4</v>
      </c>
      <c r="BC5" s="8">
        <v>0</v>
      </c>
      <c r="BD5" s="8">
        <v>0</v>
      </c>
      <c r="BE5" s="8">
        <v>19.2</v>
      </c>
      <c r="BF5" s="8">
        <v>5.2</v>
      </c>
      <c r="BG5" s="8">
        <v>0</v>
      </c>
      <c r="BH5" s="8">
        <v>0</v>
      </c>
      <c r="BI5" s="19"/>
      <c r="BJ5" s="6">
        <f t="shared" si="12"/>
        <v>48.5</v>
      </c>
      <c r="BK5" s="6">
        <f t="shared" si="13"/>
        <v>24.3</v>
      </c>
      <c r="BL5" s="6">
        <f t="shared" si="14"/>
        <v>25.4</v>
      </c>
      <c r="BM5" s="6">
        <f t="shared" si="15"/>
        <v>49.8</v>
      </c>
      <c r="BN5" s="6">
        <f t="shared" si="16"/>
        <v>98.3</v>
      </c>
      <c r="BO5" s="9">
        <v>18.600000000000001</v>
      </c>
      <c r="BP5" s="9">
        <v>7.2</v>
      </c>
      <c r="BQ5" s="9">
        <v>0</v>
      </c>
      <c r="BR5" s="9">
        <v>0.3</v>
      </c>
      <c r="BS5" s="9">
        <v>18.399999999999999</v>
      </c>
      <c r="BT5" s="9">
        <v>6.8</v>
      </c>
      <c r="BU5" s="9">
        <v>0.2</v>
      </c>
      <c r="BV5" s="9">
        <v>0.3</v>
      </c>
      <c r="BW5" s="9"/>
      <c r="BX5" s="9"/>
      <c r="BY5" s="9"/>
      <c r="BZ5" s="9"/>
      <c r="CA5" s="9">
        <v>17.399999999999999</v>
      </c>
      <c r="CB5" s="9">
        <v>2.8</v>
      </c>
      <c r="CC5" s="9">
        <v>0</v>
      </c>
      <c r="CD5" s="9">
        <v>0</v>
      </c>
      <c r="CE5" s="9">
        <v>17.2</v>
      </c>
      <c r="CF5" s="9">
        <v>3.2</v>
      </c>
      <c r="CG5" s="9">
        <v>0</v>
      </c>
      <c r="CH5" s="9">
        <v>0.3</v>
      </c>
      <c r="CI5" s="18"/>
      <c r="CJ5" s="23">
        <f t="shared" si="17"/>
        <v>51.399999999999991</v>
      </c>
      <c r="CK5" s="23" t="str">
        <f t="shared" si="18"/>
        <v/>
      </c>
      <c r="CL5" s="23">
        <f t="shared" si="19"/>
        <v>20.2</v>
      </c>
      <c r="CM5" s="23">
        <f t="shared" si="20"/>
        <v>40.9</v>
      </c>
      <c r="CN5" s="23">
        <f t="shared" si="21"/>
        <v>92.299999999999983</v>
      </c>
    </row>
    <row r="6" spans="1:92" x14ac:dyDescent="0.2">
      <c r="A6" s="1" cm="1">
        <f t="array" ref="A6">IF(F6="P",SUMPRODUCT((F$4:F$15="P")*(E$4:E$15&gt;E6))+1,"")</f>
        <v>3</v>
      </c>
      <c r="B6" s="2" t="s">
        <v>26</v>
      </c>
      <c r="C6" s="3" t="s">
        <v>5</v>
      </c>
      <c r="D6" s="7">
        <v>1996</v>
      </c>
      <c r="E6" s="5">
        <f t="shared" si="0"/>
        <v>172.4000172400049</v>
      </c>
      <c r="F6" s="30" t="s">
        <v>55</v>
      </c>
      <c r="G6" s="4">
        <f>IF(COUNT(AJ6,BJ6,CJ6)&gt;0,LARGE((AJ6,BJ6,CJ6),1),0)</f>
        <v>48.999999999999993</v>
      </c>
      <c r="H6" s="4" t="str">
        <f t="shared" si="1"/>
        <v>2022 Elite Canada</v>
      </c>
      <c r="I6" s="4">
        <f>IF(COUNT(AJ6,BJ6,CJ6)&gt;1,LARGE((AJ6,BJ6,CJ6),2),0)</f>
        <v>48.9</v>
      </c>
      <c r="J6" s="4" t="str">
        <f t="shared" si="2"/>
        <v>2022 WG Virtual Technical Trial</v>
      </c>
      <c r="K6" s="4">
        <f t="shared" si="3"/>
        <v>49.100000000000009</v>
      </c>
      <c r="L6" s="4" t="str">
        <f t="shared" si="4"/>
        <v>2022 Elite Canada</v>
      </c>
      <c r="M6" s="4">
        <f t="shared" si="5"/>
        <v>25.4</v>
      </c>
      <c r="N6" s="4" t="str">
        <f t="shared" si="6"/>
        <v>2022 WG Virtual Control Trial</v>
      </c>
      <c r="O6" s="9">
        <v>18.8</v>
      </c>
      <c r="P6" s="9">
        <v>5.2</v>
      </c>
      <c r="Q6" s="9">
        <v>0</v>
      </c>
      <c r="R6" s="9">
        <v>0</v>
      </c>
      <c r="S6" s="9">
        <v>18.5</v>
      </c>
      <c r="T6" s="9">
        <v>6.4</v>
      </c>
      <c r="U6" s="9">
        <v>0</v>
      </c>
      <c r="V6" s="9">
        <v>0</v>
      </c>
      <c r="W6" s="9"/>
      <c r="X6" s="9"/>
      <c r="Y6" s="9"/>
      <c r="Z6" s="9"/>
      <c r="AA6" s="9">
        <v>19</v>
      </c>
      <c r="AB6" s="9">
        <v>5.2</v>
      </c>
      <c r="AC6" s="9">
        <v>0</v>
      </c>
      <c r="AD6" s="9">
        <v>0</v>
      </c>
      <c r="AE6" s="9">
        <v>18.399999999999999</v>
      </c>
      <c r="AF6" s="9">
        <v>6.4</v>
      </c>
      <c r="AG6" s="9">
        <v>0.2</v>
      </c>
      <c r="AH6" s="9">
        <v>0</v>
      </c>
      <c r="AI6" s="18"/>
      <c r="AJ6" s="23">
        <f t="shared" si="7"/>
        <v>48.9</v>
      </c>
      <c r="AK6" s="23" t="str">
        <f t="shared" si="8"/>
        <v/>
      </c>
      <c r="AL6" s="23">
        <f t="shared" si="9"/>
        <v>24.2</v>
      </c>
      <c r="AM6" s="23">
        <f t="shared" si="10"/>
        <v>48.79999999999999</v>
      </c>
      <c r="AN6" s="23">
        <f t="shared" si="11"/>
        <v>97.699999999999989</v>
      </c>
      <c r="AO6" s="8">
        <v>18.899999999999999</v>
      </c>
      <c r="AP6" s="8">
        <v>6.4</v>
      </c>
      <c r="AQ6" s="8">
        <v>0.2</v>
      </c>
      <c r="AR6" s="8">
        <v>0</v>
      </c>
      <c r="AS6" s="8">
        <v>18.899999999999999</v>
      </c>
      <c r="AT6" s="8">
        <v>5.2</v>
      </c>
      <c r="AU6" s="8">
        <v>0.2</v>
      </c>
      <c r="AV6" s="8">
        <v>0</v>
      </c>
      <c r="AW6" s="8">
        <v>18.8</v>
      </c>
      <c r="AX6" s="8">
        <v>4.8</v>
      </c>
      <c r="AY6" s="8">
        <v>0</v>
      </c>
      <c r="AZ6" s="8">
        <v>0</v>
      </c>
      <c r="BA6" s="8">
        <v>18.7</v>
      </c>
      <c r="BB6" s="8">
        <v>6.4</v>
      </c>
      <c r="BC6" s="8">
        <v>0</v>
      </c>
      <c r="BD6" s="8">
        <v>0</v>
      </c>
      <c r="BE6" s="8">
        <v>18.8</v>
      </c>
      <c r="BF6" s="8">
        <v>5.2</v>
      </c>
      <c r="BG6" s="8">
        <v>0</v>
      </c>
      <c r="BH6" s="8">
        <v>0</v>
      </c>
      <c r="BI6" s="19"/>
      <c r="BJ6" s="6">
        <f t="shared" si="12"/>
        <v>48.999999999999993</v>
      </c>
      <c r="BK6" s="6">
        <f t="shared" si="13"/>
        <v>23.6</v>
      </c>
      <c r="BL6" s="6">
        <f t="shared" si="14"/>
        <v>25.1</v>
      </c>
      <c r="BM6" s="6">
        <f t="shared" si="15"/>
        <v>49.100000000000009</v>
      </c>
      <c r="BN6" s="6">
        <f t="shared" si="16"/>
        <v>98.1</v>
      </c>
      <c r="BO6" s="9">
        <v>16.3</v>
      </c>
      <c r="BP6" s="9">
        <v>5.2</v>
      </c>
      <c r="BQ6" s="9">
        <v>0.6</v>
      </c>
      <c r="BR6" s="9">
        <v>0.3</v>
      </c>
      <c r="BS6" s="9">
        <v>18.5</v>
      </c>
      <c r="BT6" s="9">
        <v>5.6</v>
      </c>
      <c r="BU6" s="9">
        <v>0.2</v>
      </c>
      <c r="BV6" s="9">
        <v>0</v>
      </c>
      <c r="BW6" s="9"/>
      <c r="BX6" s="9"/>
      <c r="BY6" s="9"/>
      <c r="BZ6" s="9"/>
      <c r="CA6" s="9">
        <v>19</v>
      </c>
      <c r="CB6" s="9">
        <v>6.4</v>
      </c>
      <c r="CC6" s="9">
        <v>0</v>
      </c>
      <c r="CD6" s="9">
        <v>0</v>
      </c>
      <c r="CE6" s="9">
        <v>18.8</v>
      </c>
      <c r="CF6" s="9">
        <v>5.2</v>
      </c>
      <c r="CG6" s="9">
        <v>0.6</v>
      </c>
      <c r="CH6" s="9">
        <v>0</v>
      </c>
      <c r="CI6" s="18"/>
      <c r="CJ6" s="23">
        <f t="shared" si="17"/>
        <v>45.099999999999994</v>
      </c>
      <c r="CK6" s="23" t="str">
        <f t="shared" si="18"/>
        <v/>
      </c>
      <c r="CL6" s="23">
        <f t="shared" si="19"/>
        <v>25.4</v>
      </c>
      <c r="CM6" s="23">
        <f t="shared" si="20"/>
        <v>48.800000000000004</v>
      </c>
      <c r="CN6" s="23">
        <f t="shared" si="21"/>
        <v>93.9</v>
      </c>
    </row>
    <row r="7" spans="1:92" x14ac:dyDescent="0.2">
      <c r="A7" s="1" cm="1">
        <f t="array" ref="A7">IF(F7="P",SUMPRODUCT((F$4:F$15="P")*(E$4:E$15&gt;E7))+1,"")</f>
        <v>4</v>
      </c>
      <c r="B7" s="2" t="s">
        <v>25</v>
      </c>
      <c r="C7" s="3" t="s">
        <v>4</v>
      </c>
      <c r="D7" s="7">
        <v>2003</v>
      </c>
      <c r="E7" s="5">
        <f t="shared" si="0"/>
        <v>171.30001713000499</v>
      </c>
      <c r="F7" s="30" t="s">
        <v>55</v>
      </c>
      <c r="G7" s="4">
        <f>IF(COUNT(AJ7,BJ7,CJ7)&gt;0,LARGE((AJ7,BJ7,CJ7),1),0)</f>
        <v>49.8</v>
      </c>
      <c r="H7" s="4" t="str">
        <f t="shared" si="1"/>
        <v>2022 WG Virtual Control Trial</v>
      </c>
      <c r="I7" s="4">
        <f>IF(COUNT(AJ7,BJ7,CJ7)&gt;1,LARGE((AJ7,BJ7,CJ7),2),0)</f>
        <v>49.2</v>
      </c>
      <c r="J7" s="4" t="str">
        <f t="shared" si="2"/>
        <v>2022 Elite Canada</v>
      </c>
      <c r="K7" s="4">
        <f t="shared" si="3"/>
        <v>48.1</v>
      </c>
      <c r="L7" s="4" t="str">
        <f t="shared" si="4"/>
        <v>2022 WG Virtual Technical Trial</v>
      </c>
      <c r="M7" s="4">
        <f t="shared" si="5"/>
        <v>24.200000000000003</v>
      </c>
      <c r="N7" s="4" t="str">
        <f t="shared" si="6"/>
        <v>2022 Elite Canada</v>
      </c>
      <c r="O7" s="9">
        <v>18.8</v>
      </c>
      <c r="P7" s="9">
        <v>5.6</v>
      </c>
      <c r="Q7" s="9">
        <v>0</v>
      </c>
      <c r="R7" s="9">
        <v>0</v>
      </c>
      <c r="S7" s="9">
        <v>17.3</v>
      </c>
      <c r="T7" s="9">
        <v>2.4</v>
      </c>
      <c r="U7" s="9">
        <v>0</v>
      </c>
      <c r="V7" s="9">
        <v>0</v>
      </c>
      <c r="W7" s="9"/>
      <c r="X7" s="9"/>
      <c r="Y7" s="9"/>
      <c r="Z7" s="9"/>
      <c r="AA7" s="9">
        <v>18.399999999999999</v>
      </c>
      <c r="AB7" s="9">
        <v>5.6</v>
      </c>
      <c r="AC7" s="9">
        <v>0.6</v>
      </c>
      <c r="AD7" s="9">
        <v>0</v>
      </c>
      <c r="AE7" s="9">
        <v>18.7</v>
      </c>
      <c r="AF7" s="9">
        <v>6</v>
      </c>
      <c r="AG7" s="9">
        <v>0</v>
      </c>
      <c r="AH7" s="9">
        <v>0</v>
      </c>
      <c r="AI7" s="18"/>
      <c r="AJ7" s="23">
        <f t="shared" si="7"/>
        <v>44.1</v>
      </c>
      <c r="AK7" s="23" t="str">
        <f t="shared" si="8"/>
        <v/>
      </c>
      <c r="AL7" s="23">
        <f t="shared" si="9"/>
        <v>23.4</v>
      </c>
      <c r="AM7" s="23">
        <f t="shared" si="10"/>
        <v>48.1</v>
      </c>
      <c r="AN7" s="23">
        <f t="shared" si="11"/>
        <v>92.2</v>
      </c>
      <c r="AO7" s="8">
        <v>19</v>
      </c>
      <c r="AP7" s="8">
        <v>5.6</v>
      </c>
      <c r="AQ7" s="8">
        <v>0</v>
      </c>
      <c r="AR7" s="8">
        <v>0</v>
      </c>
      <c r="AS7" s="8">
        <v>18.600000000000001</v>
      </c>
      <c r="AT7" s="8">
        <v>6</v>
      </c>
      <c r="AU7" s="8">
        <v>0</v>
      </c>
      <c r="AV7" s="8">
        <v>0</v>
      </c>
      <c r="AW7" s="8">
        <v>18.399999999999999</v>
      </c>
      <c r="AX7" s="8">
        <v>5.2</v>
      </c>
      <c r="AY7" s="8">
        <v>0.6</v>
      </c>
      <c r="AZ7" s="8">
        <v>0</v>
      </c>
      <c r="BA7" s="8">
        <v>18.600000000000001</v>
      </c>
      <c r="BB7" s="8">
        <v>5.6</v>
      </c>
      <c r="BC7" s="8">
        <v>0</v>
      </c>
      <c r="BD7" s="8">
        <v>0</v>
      </c>
      <c r="BE7" s="8">
        <v>18.600000000000001</v>
      </c>
      <c r="BF7" s="8">
        <v>6</v>
      </c>
      <c r="BG7" s="8">
        <v>0.8</v>
      </c>
      <c r="BH7" s="8">
        <v>0</v>
      </c>
      <c r="BI7" s="19"/>
      <c r="BJ7" s="6">
        <f t="shared" si="12"/>
        <v>49.2</v>
      </c>
      <c r="BK7" s="6">
        <f t="shared" si="13"/>
        <v>22.999999999999996</v>
      </c>
      <c r="BL7" s="6">
        <f t="shared" si="14"/>
        <v>24.200000000000003</v>
      </c>
      <c r="BM7" s="6">
        <f t="shared" si="15"/>
        <v>48.000000000000007</v>
      </c>
      <c r="BN7" s="6">
        <f t="shared" si="16"/>
        <v>97.200000000000017</v>
      </c>
      <c r="BO7" s="9">
        <v>18.600000000000001</v>
      </c>
      <c r="BP7" s="9">
        <v>6.4</v>
      </c>
      <c r="BQ7" s="9">
        <v>0</v>
      </c>
      <c r="BR7" s="9">
        <v>0</v>
      </c>
      <c r="BS7" s="9">
        <v>18.5</v>
      </c>
      <c r="BT7" s="9">
        <v>6</v>
      </c>
      <c r="BU7" s="9">
        <v>0</v>
      </c>
      <c r="BV7" s="9">
        <v>0.3</v>
      </c>
      <c r="BW7" s="9"/>
      <c r="BX7" s="9"/>
      <c r="BY7" s="9"/>
      <c r="BZ7" s="9"/>
      <c r="CA7" s="9">
        <v>17.399999999999999</v>
      </c>
      <c r="CB7" s="9">
        <v>2.8</v>
      </c>
      <c r="CC7" s="9">
        <v>0</v>
      </c>
      <c r="CD7" s="9">
        <v>0</v>
      </c>
      <c r="CE7" s="9">
        <v>17.399999999999999</v>
      </c>
      <c r="CF7" s="9">
        <v>2.4</v>
      </c>
      <c r="CG7" s="9">
        <v>0</v>
      </c>
      <c r="CH7" s="9">
        <v>0</v>
      </c>
      <c r="CI7" s="18"/>
      <c r="CJ7" s="23">
        <f t="shared" si="17"/>
        <v>49.8</v>
      </c>
      <c r="CK7" s="23" t="str">
        <f t="shared" si="18"/>
        <v/>
      </c>
      <c r="CL7" s="23">
        <f t="shared" si="19"/>
        <v>20.2</v>
      </c>
      <c r="CM7" s="23">
        <f t="shared" si="20"/>
        <v>39.999999999999993</v>
      </c>
      <c r="CN7" s="23">
        <f t="shared" si="21"/>
        <v>89.799999999999983</v>
      </c>
    </row>
    <row r="8" spans="1:92" x14ac:dyDescent="0.2">
      <c r="A8" s="1" cm="1">
        <f t="array" ref="A8">IF(F8="P",SUMPRODUCT((F$4:F$15="P")*(E$4:E$15&gt;E8))+1,"")</f>
        <v>5</v>
      </c>
      <c r="B8" s="2" t="s">
        <v>32</v>
      </c>
      <c r="C8" s="3" t="s">
        <v>5</v>
      </c>
      <c r="D8" s="7">
        <v>2003</v>
      </c>
      <c r="E8" s="5">
        <f t="shared" si="0"/>
        <v>168.34001683400487</v>
      </c>
      <c r="F8" s="30" t="s">
        <v>55</v>
      </c>
      <c r="G8" s="4">
        <f>IF(COUNT(AJ8,BJ8,CJ8)&gt;0,LARGE((AJ8,BJ8,CJ8),1),0)</f>
        <v>48.64</v>
      </c>
      <c r="H8" s="4" t="str">
        <f t="shared" si="1"/>
        <v>2022 Elite Canada</v>
      </c>
      <c r="I8" s="4">
        <f>IF(COUNT(AJ8,BJ8,CJ8)&gt;1,LARGE((AJ8,BJ8,CJ8),2),0)</f>
        <v>48.6</v>
      </c>
      <c r="J8" s="4" t="str">
        <f t="shared" si="2"/>
        <v>2022 WG Virtual Control Trial</v>
      </c>
      <c r="K8" s="4">
        <f t="shared" si="3"/>
        <v>48.699999999999996</v>
      </c>
      <c r="L8" s="4" t="str">
        <f t="shared" si="4"/>
        <v>2022 WG Virtual Technical Trial</v>
      </c>
      <c r="M8" s="4">
        <f t="shared" si="5"/>
        <v>22.400000000000002</v>
      </c>
      <c r="N8" s="4" t="str">
        <f t="shared" si="6"/>
        <v>2022 WG Virtual Control Trial</v>
      </c>
      <c r="O8" s="9">
        <v>18.600000000000001</v>
      </c>
      <c r="P8" s="9">
        <v>6</v>
      </c>
      <c r="Q8" s="9">
        <v>0.2</v>
      </c>
      <c r="R8" s="9">
        <v>0</v>
      </c>
      <c r="S8" s="9">
        <v>18.600000000000001</v>
      </c>
      <c r="T8" s="9">
        <v>5.6</v>
      </c>
      <c r="U8" s="9">
        <v>0.2</v>
      </c>
      <c r="V8" s="9">
        <v>0</v>
      </c>
      <c r="W8" s="9"/>
      <c r="X8" s="9"/>
      <c r="Y8" s="9"/>
      <c r="Z8" s="9"/>
      <c r="AA8" s="9">
        <v>18.600000000000001</v>
      </c>
      <c r="AB8" s="9">
        <v>6</v>
      </c>
      <c r="AC8" s="9">
        <v>0.2</v>
      </c>
      <c r="AD8" s="9">
        <v>0</v>
      </c>
      <c r="AE8" s="9">
        <v>18.7</v>
      </c>
      <c r="AF8" s="9">
        <v>5.6</v>
      </c>
      <c r="AG8" s="9">
        <v>0</v>
      </c>
      <c r="AH8" s="9">
        <v>0</v>
      </c>
      <c r="AI8" s="18"/>
      <c r="AJ8" s="23">
        <f t="shared" si="7"/>
        <v>48.4</v>
      </c>
      <c r="AK8" s="23" t="str">
        <f t="shared" si="8"/>
        <v/>
      </c>
      <c r="AL8" s="23">
        <f t="shared" si="9"/>
        <v>24.400000000000002</v>
      </c>
      <c r="AM8" s="23">
        <f t="shared" si="10"/>
        <v>48.699999999999996</v>
      </c>
      <c r="AN8" s="23">
        <f t="shared" si="11"/>
        <v>97.1</v>
      </c>
      <c r="AO8" s="8">
        <v>18.64</v>
      </c>
      <c r="AP8" s="8">
        <v>6</v>
      </c>
      <c r="AQ8" s="8">
        <v>0</v>
      </c>
      <c r="AR8" s="8">
        <v>0</v>
      </c>
      <c r="AS8" s="8">
        <v>19</v>
      </c>
      <c r="AT8" s="8">
        <v>5.6</v>
      </c>
      <c r="AU8" s="8">
        <v>0.6</v>
      </c>
      <c r="AV8" s="8">
        <v>0</v>
      </c>
      <c r="AW8" s="8">
        <v>17.399999999999999</v>
      </c>
      <c r="AX8" s="8">
        <v>2.8</v>
      </c>
      <c r="AY8" s="8">
        <v>0</v>
      </c>
      <c r="AZ8" s="8">
        <v>0</v>
      </c>
      <c r="BA8" s="8">
        <v>17.399999999999999</v>
      </c>
      <c r="BB8" s="8">
        <v>2.4</v>
      </c>
      <c r="BC8" s="8">
        <v>0</v>
      </c>
      <c r="BD8" s="8">
        <v>0</v>
      </c>
      <c r="BE8" s="8">
        <v>16.899999999999999</v>
      </c>
      <c r="BF8" s="8">
        <v>6.4</v>
      </c>
      <c r="BG8" s="8">
        <v>0.6</v>
      </c>
      <c r="BH8" s="8">
        <v>0</v>
      </c>
      <c r="BI8" s="19"/>
      <c r="BJ8" s="6">
        <f t="shared" si="12"/>
        <v>48.64</v>
      </c>
      <c r="BK8" s="6">
        <f t="shared" si="13"/>
        <v>20.2</v>
      </c>
      <c r="BL8" s="6">
        <f t="shared" si="14"/>
        <v>19.799999999999997</v>
      </c>
      <c r="BM8" s="6">
        <f t="shared" si="15"/>
        <v>42.499999999999993</v>
      </c>
      <c r="BN8" s="6">
        <f t="shared" si="16"/>
        <v>91.139999999999986</v>
      </c>
      <c r="BO8" s="9">
        <v>18.600000000000001</v>
      </c>
      <c r="BP8" s="9">
        <v>6</v>
      </c>
      <c r="BQ8" s="9">
        <v>0.2</v>
      </c>
      <c r="BR8" s="9">
        <v>0</v>
      </c>
      <c r="BS8" s="9">
        <v>18.8</v>
      </c>
      <c r="BT8" s="9">
        <v>5.6</v>
      </c>
      <c r="BU8" s="9">
        <v>0.2</v>
      </c>
      <c r="BV8" s="9">
        <v>0</v>
      </c>
      <c r="BW8" s="9"/>
      <c r="BX8" s="9"/>
      <c r="BY8" s="9"/>
      <c r="BZ8" s="9"/>
      <c r="CA8" s="9">
        <v>18.2</v>
      </c>
      <c r="CB8" s="9">
        <v>4.4000000000000004</v>
      </c>
      <c r="CC8" s="9">
        <v>0.2</v>
      </c>
      <c r="CD8" s="9">
        <v>0</v>
      </c>
      <c r="CE8" s="9">
        <v>18.5</v>
      </c>
      <c r="CF8" s="9">
        <v>6.4</v>
      </c>
      <c r="CG8" s="9">
        <v>0</v>
      </c>
      <c r="CH8" s="9">
        <v>0</v>
      </c>
      <c r="CI8" s="18"/>
      <c r="CJ8" s="23">
        <f t="shared" si="17"/>
        <v>48.6</v>
      </c>
      <c r="CK8" s="23" t="str">
        <f t="shared" si="18"/>
        <v/>
      </c>
      <c r="CL8" s="23">
        <f t="shared" si="19"/>
        <v>22.400000000000002</v>
      </c>
      <c r="CM8" s="23">
        <f t="shared" si="20"/>
        <v>47.3</v>
      </c>
      <c r="CN8" s="23">
        <f t="shared" si="21"/>
        <v>95.9</v>
      </c>
    </row>
    <row r="9" spans="1:92" x14ac:dyDescent="0.2">
      <c r="A9" s="1" cm="1">
        <f t="array" ref="A9">IF(F9="P",SUMPRODUCT((F$4:F$15="P")*(E$4:E$15&gt;E9))+1,"")</f>
        <v>6</v>
      </c>
      <c r="B9" s="2" t="s">
        <v>21</v>
      </c>
      <c r="C9" s="3" t="s">
        <v>5</v>
      </c>
      <c r="D9" s="7">
        <v>2001</v>
      </c>
      <c r="E9" s="5">
        <f t="shared" si="0"/>
        <v>167.40001674000484</v>
      </c>
      <c r="F9" s="30" t="s">
        <v>55</v>
      </c>
      <c r="G9" s="4">
        <f>IF(COUNT(AJ9,BJ9,CJ9)&gt;0,LARGE((AJ9,BJ9,CJ9),1),0)</f>
        <v>48.5</v>
      </c>
      <c r="H9" s="4" t="str">
        <f t="shared" si="1"/>
        <v>2022 Elite Canada</v>
      </c>
      <c r="I9" s="4">
        <f>IF(COUNT(AJ9,BJ9,CJ9)&gt;1,LARGE((AJ9,BJ9,CJ9),2),0)</f>
        <v>47.6</v>
      </c>
      <c r="J9" s="4" t="str">
        <f t="shared" si="2"/>
        <v>2022 WG Virtual Technical Trial</v>
      </c>
      <c r="K9" s="4">
        <f t="shared" si="3"/>
        <v>47.599999999999994</v>
      </c>
      <c r="L9" s="4" t="str">
        <f t="shared" si="4"/>
        <v>2022 WG Virtual Technical Trial</v>
      </c>
      <c r="M9" s="4">
        <f t="shared" si="5"/>
        <v>23.7</v>
      </c>
      <c r="N9" s="4" t="str">
        <f t="shared" si="6"/>
        <v>2022 Elite Canada</v>
      </c>
      <c r="O9" s="9">
        <v>18.600000000000001</v>
      </c>
      <c r="P9" s="9">
        <v>5.6</v>
      </c>
      <c r="Q9" s="9">
        <v>0</v>
      </c>
      <c r="R9" s="9">
        <v>0</v>
      </c>
      <c r="S9" s="9">
        <v>18</v>
      </c>
      <c r="T9" s="9">
        <v>5.6</v>
      </c>
      <c r="U9" s="9">
        <v>0.2</v>
      </c>
      <c r="V9" s="9">
        <v>0</v>
      </c>
      <c r="W9" s="9"/>
      <c r="X9" s="9"/>
      <c r="Y9" s="9"/>
      <c r="Z9" s="9"/>
      <c r="AA9" s="9">
        <v>18</v>
      </c>
      <c r="AB9" s="9">
        <v>5.6</v>
      </c>
      <c r="AC9" s="9">
        <v>0.2</v>
      </c>
      <c r="AD9" s="9">
        <v>0</v>
      </c>
      <c r="AE9" s="9">
        <v>18.2</v>
      </c>
      <c r="AF9" s="9">
        <v>6</v>
      </c>
      <c r="AG9" s="9">
        <v>0</v>
      </c>
      <c r="AH9" s="9">
        <v>0</v>
      </c>
      <c r="AI9" s="18"/>
      <c r="AJ9" s="23">
        <f t="shared" si="7"/>
        <v>47.6</v>
      </c>
      <c r="AK9" s="23" t="str">
        <f t="shared" si="8"/>
        <v/>
      </c>
      <c r="AL9" s="23">
        <f t="shared" si="9"/>
        <v>23.400000000000002</v>
      </c>
      <c r="AM9" s="23">
        <f t="shared" si="10"/>
        <v>47.599999999999994</v>
      </c>
      <c r="AN9" s="23">
        <f t="shared" si="11"/>
        <v>95.199999999999989</v>
      </c>
      <c r="AO9" s="8">
        <v>18.600000000000001</v>
      </c>
      <c r="AP9" s="8">
        <v>5.6</v>
      </c>
      <c r="AQ9" s="8">
        <v>0.2</v>
      </c>
      <c r="AR9" s="8">
        <v>0</v>
      </c>
      <c r="AS9" s="8">
        <v>18.5</v>
      </c>
      <c r="AT9" s="8">
        <v>6</v>
      </c>
      <c r="AU9" s="8">
        <v>0</v>
      </c>
      <c r="AV9" s="8">
        <v>0</v>
      </c>
      <c r="AW9" s="8">
        <v>19</v>
      </c>
      <c r="AX9" s="8">
        <v>4.8</v>
      </c>
      <c r="AY9" s="8">
        <v>0</v>
      </c>
      <c r="AZ9" s="8">
        <v>0</v>
      </c>
      <c r="BA9" s="8">
        <v>18.3</v>
      </c>
      <c r="BB9" s="8">
        <v>5.6</v>
      </c>
      <c r="BC9" s="8">
        <v>0.2</v>
      </c>
      <c r="BD9" s="8">
        <v>0</v>
      </c>
      <c r="BE9" s="8">
        <v>18</v>
      </c>
      <c r="BF9" s="8">
        <v>6</v>
      </c>
      <c r="BG9" s="8">
        <v>0.2</v>
      </c>
      <c r="BH9" s="8">
        <v>0</v>
      </c>
      <c r="BI9" s="19"/>
      <c r="BJ9" s="6">
        <f t="shared" si="12"/>
        <v>48.5</v>
      </c>
      <c r="BK9" s="6">
        <f t="shared" si="13"/>
        <v>23.8</v>
      </c>
      <c r="BL9" s="6">
        <f t="shared" si="14"/>
        <v>23.7</v>
      </c>
      <c r="BM9" s="6">
        <f t="shared" si="15"/>
        <v>47.5</v>
      </c>
      <c r="BN9" s="6">
        <f t="shared" si="16"/>
        <v>96</v>
      </c>
      <c r="BO9" s="9">
        <v>18.600000000000001</v>
      </c>
      <c r="BP9" s="9">
        <v>5.6</v>
      </c>
      <c r="BQ9" s="9">
        <v>0</v>
      </c>
      <c r="BR9" s="9">
        <v>0</v>
      </c>
      <c r="BS9" s="9">
        <v>18.2</v>
      </c>
      <c r="BT9" s="9">
        <v>5.6</v>
      </c>
      <c r="BU9" s="9">
        <v>0.6</v>
      </c>
      <c r="BV9" s="9">
        <v>0</v>
      </c>
      <c r="BW9" s="9"/>
      <c r="BX9" s="9"/>
      <c r="BY9" s="9"/>
      <c r="BZ9" s="9"/>
      <c r="CA9" s="9">
        <v>18.100000000000001</v>
      </c>
      <c r="CB9" s="9">
        <v>4.8</v>
      </c>
      <c r="CC9" s="9">
        <v>0.6</v>
      </c>
      <c r="CD9" s="9">
        <v>0</v>
      </c>
      <c r="CE9" s="9">
        <v>16.600000000000001</v>
      </c>
      <c r="CF9" s="9">
        <v>6</v>
      </c>
      <c r="CG9" s="9">
        <v>0.2</v>
      </c>
      <c r="CH9" s="9">
        <v>0</v>
      </c>
      <c r="CI9" s="18"/>
      <c r="CJ9" s="23">
        <f t="shared" si="17"/>
        <v>47.400000000000006</v>
      </c>
      <c r="CK9" s="23" t="str">
        <f t="shared" si="18"/>
        <v/>
      </c>
      <c r="CL9" s="23">
        <f t="shared" si="19"/>
        <v>22.3</v>
      </c>
      <c r="CM9" s="23">
        <f t="shared" si="20"/>
        <v>44.7</v>
      </c>
      <c r="CN9" s="23">
        <f t="shared" si="21"/>
        <v>92.100000000000009</v>
      </c>
    </row>
    <row r="10" spans="1:92" x14ac:dyDescent="0.2">
      <c r="A10" s="1" cm="1">
        <f t="array" ref="A10">IF(F10="P",SUMPRODUCT((F$4:F$15="P")*(E$4:E$15&gt;E10))+1,"")</f>
        <v>7</v>
      </c>
      <c r="B10" s="2" t="s">
        <v>34</v>
      </c>
      <c r="C10" s="3" t="s">
        <v>5</v>
      </c>
      <c r="D10" s="7">
        <v>2004</v>
      </c>
      <c r="E10" s="5">
        <f t="shared" si="0"/>
        <v>166.00001660000473</v>
      </c>
      <c r="F10" s="30" t="s">
        <v>55</v>
      </c>
      <c r="G10" s="4">
        <f>IF(COUNT(AJ10,BJ10,CJ10)&gt;0,LARGE((AJ10,BJ10,CJ10),1),0)</f>
        <v>47.2</v>
      </c>
      <c r="H10" s="4" t="str">
        <f t="shared" si="1"/>
        <v>2022 WG Virtual Technical Trial</v>
      </c>
      <c r="I10" s="4">
        <f>IF(COUNT(AJ10,BJ10,CJ10)&gt;1,LARGE((AJ10,BJ10,CJ10),2),0)</f>
        <v>47.000000000000007</v>
      </c>
      <c r="J10" s="4" t="str">
        <f t="shared" si="2"/>
        <v>2022 Elite Canada</v>
      </c>
      <c r="K10" s="4">
        <f t="shared" si="3"/>
        <v>48.199999999999996</v>
      </c>
      <c r="L10" s="4" t="str">
        <f t="shared" si="4"/>
        <v>2022 WG Virtual Control Trial</v>
      </c>
      <c r="M10" s="4">
        <f t="shared" si="5"/>
        <v>23.599999999999998</v>
      </c>
      <c r="N10" s="4" t="str">
        <f t="shared" si="6"/>
        <v>2022 WG Virtual Technical Trial</v>
      </c>
      <c r="O10" s="9">
        <v>18.600000000000001</v>
      </c>
      <c r="P10" s="9">
        <v>5.2</v>
      </c>
      <c r="Q10" s="9">
        <v>0.6</v>
      </c>
      <c r="R10" s="9">
        <v>0</v>
      </c>
      <c r="S10" s="9">
        <v>18.600000000000001</v>
      </c>
      <c r="T10" s="9">
        <v>5.6</v>
      </c>
      <c r="U10" s="9">
        <v>0.2</v>
      </c>
      <c r="V10" s="9">
        <v>0</v>
      </c>
      <c r="W10" s="9"/>
      <c r="X10" s="9"/>
      <c r="Y10" s="9"/>
      <c r="Z10" s="9"/>
      <c r="AA10" s="9">
        <v>18.399999999999999</v>
      </c>
      <c r="AB10" s="9">
        <v>5.2</v>
      </c>
      <c r="AC10" s="9">
        <v>0</v>
      </c>
      <c r="AD10" s="9">
        <v>0</v>
      </c>
      <c r="AE10" s="9">
        <v>18.8</v>
      </c>
      <c r="AF10" s="9">
        <v>5.6</v>
      </c>
      <c r="AG10" s="9">
        <v>0.2</v>
      </c>
      <c r="AH10" s="9">
        <v>0</v>
      </c>
      <c r="AI10" s="18"/>
      <c r="AJ10" s="23">
        <f t="shared" si="7"/>
        <v>47.2</v>
      </c>
      <c r="AK10" s="23" t="str">
        <f t="shared" si="8"/>
        <v/>
      </c>
      <c r="AL10" s="23">
        <f t="shared" si="9"/>
        <v>23.599999999999998</v>
      </c>
      <c r="AM10" s="23">
        <f t="shared" si="10"/>
        <v>47.8</v>
      </c>
      <c r="AN10" s="23">
        <f t="shared" si="11"/>
        <v>95</v>
      </c>
      <c r="AO10" s="8">
        <v>18.600000000000001</v>
      </c>
      <c r="AP10" s="8">
        <v>5.2</v>
      </c>
      <c r="AQ10" s="8">
        <v>0.8</v>
      </c>
      <c r="AR10" s="8">
        <v>0</v>
      </c>
      <c r="AS10" s="8">
        <v>18.600000000000001</v>
      </c>
      <c r="AT10" s="8">
        <v>5.6</v>
      </c>
      <c r="AU10" s="8">
        <v>0.2</v>
      </c>
      <c r="AV10" s="8">
        <v>0</v>
      </c>
      <c r="AW10" s="8">
        <v>18</v>
      </c>
      <c r="AX10" s="8">
        <v>4.8</v>
      </c>
      <c r="AY10" s="8">
        <v>0.6</v>
      </c>
      <c r="AZ10" s="8">
        <v>0</v>
      </c>
      <c r="BA10" s="8">
        <v>18.5</v>
      </c>
      <c r="BB10" s="8">
        <v>5.2</v>
      </c>
      <c r="BC10" s="8">
        <v>0.2</v>
      </c>
      <c r="BD10" s="8">
        <v>0</v>
      </c>
      <c r="BE10" s="8">
        <v>19</v>
      </c>
      <c r="BF10" s="8">
        <v>5.6</v>
      </c>
      <c r="BG10" s="8">
        <v>0</v>
      </c>
      <c r="BH10" s="8">
        <v>0</v>
      </c>
      <c r="BI10" s="19"/>
      <c r="BJ10" s="6">
        <f t="shared" si="12"/>
        <v>47.000000000000007</v>
      </c>
      <c r="BK10" s="6">
        <f t="shared" si="13"/>
        <v>22.2</v>
      </c>
      <c r="BL10" s="6">
        <f t="shared" si="14"/>
        <v>23.5</v>
      </c>
      <c r="BM10" s="6">
        <f t="shared" si="15"/>
        <v>48.1</v>
      </c>
      <c r="BN10" s="6">
        <f t="shared" si="16"/>
        <v>95.100000000000009</v>
      </c>
      <c r="BO10" s="9">
        <v>17.399999999999999</v>
      </c>
      <c r="BP10" s="9">
        <v>2.4</v>
      </c>
      <c r="BQ10" s="9">
        <v>0</v>
      </c>
      <c r="BR10" s="9">
        <v>0</v>
      </c>
      <c r="BS10" s="9">
        <v>18.2</v>
      </c>
      <c r="BT10" s="9">
        <v>5.6</v>
      </c>
      <c r="BU10" s="9">
        <v>0.2</v>
      </c>
      <c r="BV10" s="9">
        <v>0</v>
      </c>
      <c r="BW10" s="9"/>
      <c r="BX10" s="9"/>
      <c r="BY10" s="9"/>
      <c r="BZ10" s="9"/>
      <c r="CA10" s="9">
        <v>18.399999999999999</v>
      </c>
      <c r="CB10" s="9">
        <v>5.6</v>
      </c>
      <c r="CC10" s="9">
        <v>0.2</v>
      </c>
      <c r="CD10" s="9">
        <v>0</v>
      </c>
      <c r="CE10" s="9">
        <v>18.8</v>
      </c>
      <c r="CF10" s="9">
        <v>5.6</v>
      </c>
      <c r="CG10" s="9">
        <v>0</v>
      </c>
      <c r="CH10" s="9">
        <v>0</v>
      </c>
      <c r="CI10" s="18"/>
      <c r="CJ10" s="23">
        <f t="shared" si="17"/>
        <v>43.4</v>
      </c>
      <c r="CK10" s="23" t="str">
        <f t="shared" si="18"/>
        <v/>
      </c>
      <c r="CL10" s="23">
        <f t="shared" si="19"/>
        <v>23.8</v>
      </c>
      <c r="CM10" s="23">
        <f t="shared" si="20"/>
        <v>48.199999999999996</v>
      </c>
      <c r="CN10" s="23">
        <f t="shared" si="21"/>
        <v>91.6</v>
      </c>
    </row>
    <row r="11" spans="1:92" x14ac:dyDescent="0.2">
      <c r="A11" s="1" cm="1">
        <f t="array" ref="A11">IF(F11="P",SUMPRODUCT((F$4:F$15="P")*(E$4:E$15&gt;E11))+1,"")</f>
        <v>8</v>
      </c>
      <c r="B11" s="2" t="s">
        <v>35</v>
      </c>
      <c r="C11" s="3" t="s">
        <v>4</v>
      </c>
      <c r="D11" s="7">
        <v>1999</v>
      </c>
      <c r="E11" s="5">
        <f t="shared" si="0"/>
        <v>162.20001622000478</v>
      </c>
      <c r="F11" s="30" t="s">
        <v>55</v>
      </c>
      <c r="G11" s="4">
        <f>IF(COUNT(AJ11,BJ11,CJ11)&gt;0,LARGE((AJ11,BJ11,CJ11),1),0)</f>
        <v>48.199999999999996</v>
      </c>
      <c r="H11" s="4" t="str">
        <f t="shared" si="1"/>
        <v>2022 WG Virtual Technical Trial</v>
      </c>
      <c r="I11" s="4">
        <f>IF(COUNT(AJ11,BJ11,CJ11)&gt;1,LARGE((AJ11,BJ11,CJ11),2),0)</f>
        <v>45.099999999999994</v>
      </c>
      <c r="J11" s="4" t="str">
        <f t="shared" si="2"/>
        <v>2022 Elite Canada</v>
      </c>
      <c r="K11" s="4">
        <f t="shared" si="3"/>
        <v>48.8</v>
      </c>
      <c r="L11" s="4" t="str">
        <f t="shared" si="4"/>
        <v>2022 Elite Canada</v>
      </c>
      <c r="M11" s="4">
        <f t="shared" si="5"/>
        <v>20.099999999999998</v>
      </c>
      <c r="N11" s="4" t="str">
        <f t="shared" si="6"/>
        <v>2022 WG Virtual Technical Trial</v>
      </c>
      <c r="O11" s="9">
        <v>18.7</v>
      </c>
      <c r="P11" s="9">
        <v>5.6</v>
      </c>
      <c r="Q11" s="9">
        <v>0.6</v>
      </c>
      <c r="R11" s="9">
        <v>0</v>
      </c>
      <c r="S11" s="9">
        <v>18.899999999999999</v>
      </c>
      <c r="T11" s="9">
        <v>5.6</v>
      </c>
      <c r="U11" s="9">
        <v>0</v>
      </c>
      <c r="V11" s="9">
        <v>0</v>
      </c>
      <c r="W11" s="9"/>
      <c r="X11" s="9"/>
      <c r="Y11" s="9"/>
      <c r="Z11" s="9"/>
      <c r="AA11" s="9">
        <v>18.899999999999999</v>
      </c>
      <c r="AB11" s="9">
        <v>2.8</v>
      </c>
      <c r="AC11" s="9">
        <v>1.6</v>
      </c>
      <c r="AD11" s="9">
        <v>0</v>
      </c>
      <c r="AE11" s="9">
        <v>18.399999999999999</v>
      </c>
      <c r="AF11" s="9">
        <v>2.4</v>
      </c>
      <c r="AG11" s="9">
        <v>2.2000000000000002</v>
      </c>
      <c r="AH11" s="9">
        <v>0</v>
      </c>
      <c r="AI11" s="18"/>
      <c r="AJ11" s="23">
        <f t="shared" si="7"/>
        <v>48.199999999999996</v>
      </c>
      <c r="AK11" s="23" t="str">
        <f t="shared" si="8"/>
        <v/>
      </c>
      <c r="AL11" s="23">
        <f t="shared" si="9"/>
        <v>20.099999999999998</v>
      </c>
      <c r="AM11" s="23">
        <f t="shared" si="10"/>
        <v>38.699999999999996</v>
      </c>
      <c r="AN11" s="23">
        <f t="shared" si="11"/>
        <v>86.899999999999991</v>
      </c>
      <c r="AO11" s="8">
        <v>18.7</v>
      </c>
      <c r="AP11" s="8">
        <v>5.6</v>
      </c>
      <c r="AQ11" s="8">
        <v>0</v>
      </c>
      <c r="AR11" s="8">
        <v>0</v>
      </c>
      <c r="AS11" s="8">
        <v>18.600000000000001</v>
      </c>
      <c r="AT11" s="8">
        <v>3.3</v>
      </c>
      <c r="AU11" s="8">
        <v>1.1000000000000001</v>
      </c>
      <c r="AV11" s="8">
        <v>0</v>
      </c>
      <c r="AW11" s="8">
        <v>19.100000000000001</v>
      </c>
      <c r="AX11" s="8">
        <v>5.2</v>
      </c>
      <c r="AY11" s="8">
        <v>0.6</v>
      </c>
      <c r="AZ11" s="8">
        <v>0</v>
      </c>
      <c r="BA11" s="8">
        <v>18.7</v>
      </c>
      <c r="BB11" s="8">
        <v>5.6</v>
      </c>
      <c r="BC11" s="8">
        <v>0</v>
      </c>
      <c r="BD11" s="8">
        <v>0</v>
      </c>
      <c r="BE11" s="8">
        <v>18.899999999999999</v>
      </c>
      <c r="BF11" s="8">
        <v>5.6</v>
      </c>
      <c r="BG11" s="8">
        <v>0</v>
      </c>
      <c r="BH11" s="8">
        <v>0</v>
      </c>
      <c r="BI11" s="19"/>
      <c r="BJ11" s="6">
        <f t="shared" si="12"/>
        <v>45.099999999999994</v>
      </c>
      <c r="BK11" s="6">
        <f t="shared" si="13"/>
        <v>23.7</v>
      </c>
      <c r="BL11" s="6">
        <f t="shared" si="14"/>
        <v>24.299999999999997</v>
      </c>
      <c r="BM11" s="6">
        <f t="shared" si="15"/>
        <v>48.8</v>
      </c>
      <c r="BN11" s="6">
        <f t="shared" si="16"/>
        <v>93.899999999999991</v>
      </c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18"/>
      <c r="CJ11" s="23" t="str">
        <f t="shared" si="17"/>
        <v/>
      </c>
      <c r="CK11" s="23" t="str">
        <f t="shared" si="18"/>
        <v/>
      </c>
      <c r="CL11" s="23" t="str">
        <f t="shared" si="19"/>
        <v/>
      </c>
      <c r="CM11" s="23" t="str">
        <f t="shared" si="20"/>
        <v/>
      </c>
      <c r="CN11" s="23" t="str">
        <f t="shared" si="21"/>
        <v/>
      </c>
    </row>
    <row r="12" spans="1:92" x14ac:dyDescent="0.2">
      <c r="A12" s="1" t="str" cm="1">
        <f t="array" ref="A12">IF(F12="P",SUMPRODUCT((F$4:F$15="P")*(E$4:E$15&gt;E12))+1,"")</f>
        <v/>
      </c>
      <c r="B12" s="2" t="s">
        <v>61</v>
      </c>
      <c r="C12" s="3" t="s">
        <v>4</v>
      </c>
      <c r="D12" s="7">
        <v>2001</v>
      </c>
      <c r="E12" s="5">
        <f t="shared" si="0"/>
        <v>165.70001657000472</v>
      </c>
      <c r="F12" s="30"/>
      <c r="G12" s="4">
        <f>IF(COUNT(AJ12,BJ12,CJ12)&gt;0,LARGE((AJ12,BJ12,CJ12),1),0)</f>
        <v>47.3</v>
      </c>
      <c r="H12" s="4" t="str">
        <f t="shared" si="1"/>
        <v>2022 WG Virtual Control Trial</v>
      </c>
      <c r="I12" s="4">
        <f>IF(COUNT(AJ12,BJ12,CJ12)&gt;1,LARGE((AJ12,BJ12,CJ12),2),0)</f>
        <v>46</v>
      </c>
      <c r="J12" s="4" t="str">
        <f t="shared" si="2"/>
        <v>2022 Elite Canada</v>
      </c>
      <c r="K12" s="4">
        <f t="shared" si="3"/>
        <v>48.699999999999996</v>
      </c>
      <c r="L12" s="4" t="str">
        <f t="shared" si="4"/>
        <v>2022 WG Virtual Control Trial</v>
      </c>
      <c r="M12" s="4">
        <f t="shared" si="5"/>
        <v>23.7</v>
      </c>
      <c r="N12" s="4" t="str">
        <f t="shared" si="6"/>
        <v>2022 Elite Canada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18"/>
      <c r="AJ12" s="23" t="str">
        <f t="shared" si="7"/>
        <v/>
      </c>
      <c r="AK12" s="23" t="str">
        <f t="shared" si="8"/>
        <v/>
      </c>
      <c r="AL12" s="23" t="str">
        <f t="shared" si="9"/>
        <v/>
      </c>
      <c r="AM12" s="23" t="str">
        <f t="shared" si="10"/>
        <v/>
      </c>
      <c r="AN12" s="23" t="str">
        <f t="shared" si="11"/>
        <v/>
      </c>
      <c r="AO12" s="8">
        <v>18.3</v>
      </c>
      <c r="AP12" s="8">
        <v>5.2</v>
      </c>
      <c r="AQ12" s="8">
        <v>0</v>
      </c>
      <c r="AR12" s="8">
        <v>0</v>
      </c>
      <c r="AS12" s="8">
        <v>18</v>
      </c>
      <c r="AT12" s="8">
        <v>5.2</v>
      </c>
      <c r="AU12" s="8">
        <v>1</v>
      </c>
      <c r="AV12" s="8">
        <v>0.3</v>
      </c>
      <c r="AW12" s="8">
        <v>18.8</v>
      </c>
      <c r="AX12" s="8">
        <v>4.3</v>
      </c>
      <c r="AY12" s="8">
        <v>0</v>
      </c>
      <c r="AZ12" s="8">
        <v>0</v>
      </c>
      <c r="BA12" s="8">
        <v>18.5</v>
      </c>
      <c r="BB12" s="8">
        <v>5.2</v>
      </c>
      <c r="BC12" s="8">
        <v>0</v>
      </c>
      <c r="BD12" s="8">
        <v>0</v>
      </c>
      <c r="BE12" s="8">
        <v>18.2</v>
      </c>
      <c r="BF12" s="8">
        <v>5.2</v>
      </c>
      <c r="BG12" s="8">
        <v>0.2</v>
      </c>
      <c r="BH12" s="8">
        <v>0.3</v>
      </c>
      <c r="BI12" s="19"/>
      <c r="BJ12" s="6">
        <f t="shared" si="12"/>
        <v>46</v>
      </c>
      <c r="BK12" s="6">
        <f t="shared" si="13"/>
        <v>23.1</v>
      </c>
      <c r="BL12" s="6">
        <f t="shared" si="14"/>
        <v>23.7</v>
      </c>
      <c r="BM12" s="6">
        <f t="shared" si="15"/>
        <v>47.199999999999996</v>
      </c>
      <c r="BN12" s="6">
        <f t="shared" si="16"/>
        <v>93.199999999999989</v>
      </c>
      <c r="BO12" s="9">
        <v>17.899999999999999</v>
      </c>
      <c r="BP12" s="9">
        <v>6</v>
      </c>
      <c r="BQ12" s="9">
        <v>0</v>
      </c>
      <c r="BR12" s="9">
        <v>0</v>
      </c>
      <c r="BS12" s="9">
        <v>18.399999999999999</v>
      </c>
      <c r="BT12" s="9">
        <v>5.6</v>
      </c>
      <c r="BU12" s="9">
        <v>0.6</v>
      </c>
      <c r="BV12" s="9">
        <v>0</v>
      </c>
      <c r="BW12" s="9"/>
      <c r="BX12" s="9"/>
      <c r="BY12" s="9"/>
      <c r="BZ12" s="9"/>
      <c r="CA12" s="9">
        <v>18.7</v>
      </c>
      <c r="CB12" s="9">
        <v>5.6</v>
      </c>
      <c r="CC12" s="9">
        <v>0</v>
      </c>
      <c r="CD12" s="9">
        <v>0</v>
      </c>
      <c r="CE12" s="9">
        <v>18.600000000000001</v>
      </c>
      <c r="CF12" s="9">
        <v>6</v>
      </c>
      <c r="CG12" s="9">
        <v>0.2</v>
      </c>
      <c r="CH12" s="9">
        <v>0</v>
      </c>
      <c r="CI12" s="18"/>
      <c r="CJ12" s="23">
        <f t="shared" si="17"/>
        <v>47.3</v>
      </c>
      <c r="CK12" s="23" t="str">
        <f t="shared" si="18"/>
        <v/>
      </c>
      <c r="CL12" s="23">
        <f t="shared" si="19"/>
        <v>24.299999999999997</v>
      </c>
      <c r="CM12" s="23">
        <f t="shared" si="20"/>
        <v>48.699999999999996</v>
      </c>
      <c r="CN12" s="23">
        <f t="shared" si="21"/>
        <v>96</v>
      </c>
    </row>
    <row r="13" spans="1:92" x14ac:dyDescent="0.2">
      <c r="A13" s="1" t="str" cm="1">
        <f t="array" ref="A13">IF(F13="P",SUMPRODUCT((F$4:F$15="P")*(E$4:E$15&gt;E13))+1,"")</f>
        <v/>
      </c>
      <c r="B13" s="2" t="s">
        <v>62</v>
      </c>
      <c r="C13" s="3" t="s">
        <v>4</v>
      </c>
      <c r="D13" s="7">
        <v>2003</v>
      </c>
      <c r="E13" s="5">
        <f t="shared" si="0"/>
        <v>131.20001312000466</v>
      </c>
      <c r="F13" s="30"/>
      <c r="G13" s="4">
        <f>IF(COUNT(AJ13,BJ13,CJ13)&gt;0,LARGE((AJ13,BJ13,CJ13),1),0)</f>
        <v>46.7</v>
      </c>
      <c r="H13" s="4" t="str">
        <f t="shared" si="1"/>
        <v>2022 WG Virtual Control Trial</v>
      </c>
      <c r="I13" s="4">
        <f>IF(COUNT(AJ13,BJ13,CJ13)&gt;1,LARGE((AJ13,BJ13,CJ13),2),0)</f>
        <v>36.200000000000003</v>
      </c>
      <c r="J13" s="4" t="str">
        <f t="shared" si="2"/>
        <v>2022 Elite Canada</v>
      </c>
      <c r="K13" s="4">
        <f t="shared" si="3"/>
        <v>48.3</v>
      </c>
      <c r="L13" s="4" t="str">
        <f t="shared" si="4"/>
        <v>2022 WG Virtual Control Trial</v>
      </c>
      <c r="M13" s="4">
        <f t="shared" si="5"/>
        <v>0</v>
      </c>
      <c r="N13" s="4" t="str">
        <f t="shared" si="6"/>
        <v/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18"/>
      <c r="AJ13" s="23" t="str">
        <f t="shared" si="7"/>
        <v/>
      </c>
      <c r="AK13" s="23" t="str">
        <f t="shared" si="8"/>
        <v/>
      </c>
      <c r="AL13" s="23" t="str">
        <f t="shared" si="9"/>
        <v/>
      </c>
      <c r="AM13" s="23" t="str">
        <f t="shared" si="10"/>
        <v/>
      </c>
      <c r="AN13" s="23" t="str">
        <f t="shared" si="11"/>
        <v/>
      </c>
      <c r="AO13" s="8">
        <v>17.600000000000001</v>
      </c>
      <c r="AP13" s="8">
        <v>4.4000000000000004</v>
      </c>
      <c r="AQ13" s="8">
        <v>0.8</v>
      </c>
      <c r="AR13" s="8">
        <v>0</v>
      </c>
      <c r="AS13" s="8">
        <v>18</v>
      </c>
      <c r="AT13" s="8">
        <v>0</v>
      </c>
      <c r="AU13" s="8">
        <v>3</v>
      </c>
      <c r="AV13" s="8">
        <v>0</v>
      </c>
      <c r="AW13" s="8">
        <v>18.3</v>
      </c>
      <c r="AX13" s="8">
        <v>3.9</v>
      </c>
      <c r="AY13" s="8">
        <v>0.8</v>
      </c>
      <c r="AZ13" s="8">
        <v>0</v>
      </c>
      <c r="BA13" s="8"/>
      <c r="BB13" s="8"/>
      <c r="BC13" s="8"/>
      <c r="BD13" s="8"/>
      <c r="BE13" s="8"/>
      <c r="BF13" s="8"/>
      <c r="BG13" s="8"/>
      <c r="BH13" s="8"/>
      <c r="BI13" s="19"/>
      <c r="BJ13" s="6">
        <f t="shared" si="12"/>
        <v>36.200000000000003</v>
      </c>
      <c r="BK13" s="6">
        <f t="shared" si="13"/>
        <v>21.4</v>
      </c>
      <c r="BL13" s="6" t="str">
        <f t="shared" si="14"/>
        <v/>
      </c>
      <c r="BM13" s="6" t="str">
        <f t="shared" si="15"/>
        <v/>
      </c>
      <c r="BN13" s="6">
        <f t="shared" si="16"/>
        <v>36.200000000000003</v>
      </c>
      <c r="BO13" s="9">
        <v>18.600000000000001</v>
      </c>
      <c r="BP13" s="9">
        <v>5.6</v>
      </c>
      <c r="BQ13" s="9">
        <v>0.2</v>
      </c>
      <c r="BR13" s="9">
        <v>0</v>
      </c>
      <c r="BS13" s="9">
        <v>17.7</v>
      </c>
      <c r="BT13" s="9">
        <v>6</v>
      </c>
      <c r="BU13" s="9">
        <v>1</v>
      </c>
      <c r="BV13" s="9">
        <v>0</v>
      </c>
      <c r="BW13" s="9"/>
      <c r="BX13" s="9"/>
      <c r="BY13" s="9"/>
      <c r="BZ13" s="9"/>
      <c r="CA13" s="9">
        <v>18.7</v>
      </c>
      <c r="CB13" s="9">
        <v>5.6</v>
      </c>
      <c r="CC13" s="9">
        <v>0.2</v>
      </c>
      <c r="CD13" s="9">
        <v>0</v>
      </c>
      <c r="CE13" s="9">
        <v>18.399999999999999</v>
      </c>
      <c r="CF13" s="9">
        <v>6</v>
      </c>
      <c r="CG13" s="9">
        <v>0.2</v>
      </c>
      <c r="CH13" s="9">
        <v>0</v>
      </c>
      <c r="CI13" s="18"/>
      <c r="CJ13" s="23">
        <f t="shared" si="17"/>
        <v>46.7</v>
      </c>
      <c r="CK13" s="23" t="str">
        <f t="shared" si="18"/>
        <v/>
      </c>
      <c r="CL13" s="23">
        <f t="shared" si="19"/>
        <v>24.099999999999998</v>
      </c>
      <c r="CM13" s="23">
        <f t="shared" si="20"/>
        <v>48.3</v>
      </c>
      <c r="CN13" s="23">
        <f t="shared" si="21"/>
        <v>95</v>
      </c>
    </row>
    <row r="14" spans="1:92" x14ac:dyDescent="0.2">
      <c r="A14" s="1" t="str" cm="1">
        <f t="array" ref="A14">IF(F14="P",SUMPRODUCT((F$4:F$15="P")*(E$4:E$15&gt;E14))+1,"")</f>
        <v/>
      </c>
      <c r="B14" s="2" t="s">
        <v>59</v>
      </c>
      <c r="C14" s="3" t="s">
        <v>17</v>
      </c>
      <c r="D14" s="7">
        <v>2000</v>
      </c>
      <c r="E14" s="5">
        <f t="shared" si="0"/>
        <v>94.700009470004716</v>
      </c>
      <c r="F14" s="30"/>
      <c r="G14" s="4">
        <f>IF(COUNT(AJ14,BJ14,CJ14)&gt;0,LARGE((AJ14,BJ14,CJ14),1),0)</f>
        <v>47.3</v>
      </c>
      <c r="H14" s="4" t="str">
        <f t="shared" si="1"/>
        <v>2022 Elite Canada</v>
      </c>
      <c r="I14" s="4">
        <f>IF(COUNT(AJ14,BJ14,CJ14)&gt;1,LARGE((AJ14,BJ14,CJ14),2),0)</f>
        <v>0</v>
      </c>
      <c r="J14" s="4" t="str">
        <f t="shared" si="2"/>
        <v/>
      </c>
      <c r="K14" s="4">
        <f t="shared" si="3"/>
        <v>47.4</v>
      </c>
      <c r="L14" s="4" t="str">
        <f t="shared" si="4"/>
        <v>2022 Elite Canada</v>
      </c>
      <c r="M14" s="4">
        <f t="shared" si="5"/>
        <v>0</v>
      </c>
      <c r="N14" s="4" t="str">
        <f t="shared" si="6"/>
        <v/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18"/>
      <c r="AJ14" s="23" t="str">
        <f t="shared" si="7"/>
        <v/>
      </c>
      <c r="AK14" s="23" t="str">
        <f t="shared" si="8"/>
        <v/>
      </c>
      <c r="AL14" s="23" t="str">
        <f t="shared" si="9"/>
        <v/>
      </c>
      <c r="AM14" s="23" t="str">
        <f t="shared" si="10"/>
        <v/>
      </c>
      <c r="AN14" s="23" t="str">
        <f t="shared" si="11"/>
        <v/>
      </c>
      <c r="AO14" s="8">
        <v>18.5</v>
      </c>
      <c r="AP14" s="8">
        <v>5.2</v>
      </c>
      <c r="AQ14" s="8">
        <v>0</v>
      </c>
      <c r="AR14" s="8">
        <v>0</v>
      </c>
      <c r="AS14" s="8">
        <v>18.600000000000001</v>
      </c>
      <c r="AT14" s="8">
        <v>5.6</v>
      </c>
      <c r="AU14" s="8">
        <v>0.6</v>
      </c>
      <c r="AV14" s="8">
        <v>0</v>
      </c>
      <c r="AW14" s="8">
        <v>18.2</v>
      </c>
      <c r="AX14" s="8">
        <v>5.2</v>
      </c>
      <c r="AY14" s="8">
        <v>0.2</v>
      </c>
      <c r="AZ14" s="8">
        <v>0.3</v>
      </c>
      <c r="BA14" s="8">
        <v>18.399999999999999</v>
      </c>
      <c r="BB14" s="8">
        <v>5.2</v>
      </c>
      <c r="BC14" s="8">
        <v>0.6</v>
      </c>
      <c r="BD14" s="8">
        <v>0</v>
      </c>
      <c r="BE14" s="8">
        <v>19</v>
      </c>
      <c r="BF14" s="8">
        <v>5.6</v>
      </c>
      <c r="BG14" s="8">
        <v>0.2</v>
      </c>
      <c r="BH14" s="8">
        <v>0</v>
      </c>
      <c r="BI14" s="19"/>
      <c r="BJ14" s="6">
        <f t="shared" si="12"/>
        <v>47.3</v>
      </c>
      <c r="BK14" s="6">
        <f t="shared" si="13"/>
        <v>23.5</v>
      </c>
      <c r="BL14" s="6">
        <f t="shared" si="14"/>
        <v>22.999999999999996</v>
      </c>
      <c r="BM14" s="6">
        <f t="shared" si="15"/>
        <v>47.4</v>
      </c>
      <c r="BN14" s="6">
        <f t="shared" si="16"/>
        <v>94.699999999999989</v>
      </c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18"/>
      <c r="CJ14" s="23" t="str">
        <f t="shared" si="17"/>
        <v/>
      </c>
      <c r="CK14" s="23" t="str">
        <f t="shared" si="18"/>
        <v/>
      </c>
      <c r="CL14" s="23" t="str">
        <f t="shared" si="19"/>
        <v/>
      </c>
      <c r="CM14" s="23" t="str">
        <f t="shared" si="20"/>
        <v/>
      </c>
      <c r="CN14" s="23" t="str">
        <f t="shared" si="21"/>
        <v/>
      </c>
    </row>
    <row r="15" spans="1:92" x14ac:dyDescent="0.2">
      <c r="A15" s="1" t="str" cm="1">
        <f t="array" ref="A15">IF(F15="P",SUMPRODUCT((F$4:F$15="P")*(E$4:E$15&gt;E15))+1,"")</f>
        <v/>
      </c>
      <c r="B15" s="2" t="s">
        <v>60</v>
      </c>
      <c r="C15" s="3" t="s">
        <v>5</v>
      </c>
      <c r="D15" s="7">
        <v>2003</v>
      </c>
      <c r="E15" s="5">
        <f t="shared" si="0"/>
        <v>80.800008080004048</v>
      </c>
      <c r="F15" s="30"/>
      <c r="G15" s="4">
        <f>IF(COUNT(AJ15,BJ15,CJ15)&gt;0,LARGE((AJ15,BJ15,CJ15),1),0)</f>
        <v>40.5</v>
      </c>
      <c r="H15" s="4" t="str">
        <f t="shared" si="1"/>
        <v>2022 Elite Canada</v>
      </c>
      <c r="I15" s="4">
        <f>IF(COUNT(AJ15,BJ15,CJ15)&gt;1,LARGE((AJ15,BJ15,CJ15),2),0)</f>
        <v>0</v>
      </c>
      <c r="J15" s="4" t="str">
        <f t="shared" si="2"/>
        <v/>
      </c>
      <c r="K15" s="4">
        <f t="shared" si="3"/>
        <v>40.299999999999997</v>
      </c>
      <c r="L15" s="4" t="str">
        <f t="shared" si="4"/>
        <v>2022 Elite Canada</v>
      </c>
      <c r="M15" s="4">
        <f t="shared" si="5"/>
        <v>0</v>
      </c>
      <c r="N15" s="4" t="str">
        <f t="shared" si="6"/>
        <v/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18"/>
      <c r="AJ15" s="23" t="str">
        <f t="shared" si="7"/>
        <v/>
      </c>
      <c r="AK15" s="23" t="str">
        <f t="shared" si="8"/>
        <v/>
      </c>
      <c r="AL15" s="23" t="str">
        <f t="shared" si="9"/>
        <v/>
      </c>
      <c r="AM15" s="23" t="str">
        <f t="shared" si="10"/>
        <v/>
      </c>
      <c r="AN15" s="23" t="str">
        <f t="shared" si="11"/>
        <v/>
      </c>
      <c r="AO15" s="8">
        <v>18.399999999999999</v>
      </c>
      <c r="AP15" s="8">
        <v>5.2</v>
      </c>
      <c r="AQ15" s="8">
        <v>0.2</v>
      </c>
      <c r="AR15" s="8">
        <v>0</v>
      </c>
      <c r="AS15" s="8">
        <v>17.100000000000001</v>
      </c>
      <c r="AT15" s="8">
        <v>0</v>
      </c>
      <c r="AU15" s="8">
        <v>0</v>
      </c>
      <c r="AV15" s="8">
        <v>0</v>
      </c>
      <c r="AW15" s="8">
        <v>18.399999999999999</v>
      </c>
      <c r="AX15" s="8">
        <v>5.2</v>
      </c>
      <c r="AY15" s="8">
        <v>0.2</v>
      </c>
      <c r="AZ15" s="8">
        <v>0</v>
      </c>
      <c r="BA15" s="8">
        <v>18.3</v>
      </c>
      <c r="BB15" s="8">
        <v>5.2</v>
      </c>
      <c r="BC15" s="8">
        <v>0.2</v>
      </c>
      <c r="BD15" s="8">
        <v>0</v>
      </c>
      <c r="BE15" s="8">
        <v>17</v>
      </c>
      <c r="BF15" s="8">
        <v>0</v>
      </c>
      <c r="BG15" s="8">
        <v>0</v>
      </c>
      <c r="BH15" s="8">
        <v>0</v>
      </c>
      <c r="BI15" s="19"/>
      <c r="BJ15" s="6">
        <f t="shared" si="12"/>
        <v>40.5</v>
      </c>
      <c r="BK15" s="6">
        <f t="shared" si="13"/>
        <v>23.4</v>
      </c>
      <c r="BL15" s="6">
        <f t="shared" si="14"/>
        <v>23.3</v>
      </c>
      <c r="BM15" s="6">
        <f t="shared" si="15"/>
        <v>40.299999999999997</v>
      </c>
      <c r="BN15" s="6">
        <f t="shared" si="16"/>
        <v>80.8</v>
      </c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18"/>
      <c r="CJ15" s="23" t="str">
        <f t="shared" si="17"/>
        <v/>
      </c>
      <c r="CK15" s="23" t="str">
        <f t="shared" si="18"/>
        <v/>
      </c>
      <c r="CL15" s="23" t="str">
        <f t="shared" si="19"/>
        <v/>
      </c>
      <c r="CM15" s="23" t="str">
        <f t="shared" si="20"/>
        <v/>
      </c>
      <c r="CN15" s="23" t="str">
        <f t="shared" si="21"/>
        <v/>
      </c>
    </row>
    <row r="17" spans="1:3" x14ac:dyDescent="0.2">
      <c r="A17" s="11"/>
      <c r="B17" s="11"/>
      <c r="C17" s="10"/>
    </row>
    <row r="18" spans="1:3" x14ac:dyDescent="0.2">
      <c r="A18" s="2"/>
      <c r="B18" s="2"/>
      <c r="C18" s="2"/>
    </row>
  </sheetData>
  <sheetProtection sheet="1" formatCells="0" formatColumns="0" formatRows="0"/>
  <autoFilter ref="A1:CN15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15">
      <sortCondition descending="1" ref="F1:F16"/>
    </sortState>
  </autoFilter>
  <mergeCells count="32">
    <mergeCell ref="K1:K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W2:Z2"/>
    <mergeCell ref="AA2:AD2"/>
    <mergeCell ref="AE2:AH2"/>
    <mergeCell ref="BS2:BV2"/>
    <mergeCell ref="BW2:BZ2"/>
  </mergeCells>
  <conditionalFormatting sqref="H1:H1048576 J1:J1048576 L1:L1048576 N1:N1048576">
    <cfRule type="expression" dxfId="2" priority="1">
      <formula>IF(H1=$BO$1,1,0)</formula>
    </cfRule>
    <cfRule type="expression" dxfId="1" priority="2">
      <formula>IF(H1=$AO$1,1,0)</formula>
    </cfRule>
    <cfRule type="expression" dxfId="0" priority="3">
      <formula>IF(H1=$O$1,1,0)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2022-05-19T18:09:36Z</dcterms:modified>
</cp:coreProperties>
</file>