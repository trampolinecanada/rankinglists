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15" codeName="{643B0D74-A683-FBA9-23B4-8A0AA6E0B6B9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revorstirling/Library/CloudStorage/Dropbox/Documents/Trampoline/Websites/Trampoline Canada Website/Ranking Lists/"/>
    </mc:Choice>
  </mc:AlternateContent>
  <xr:revisionPtr revIDLastSave="0" documentId="13_ncr:1_{5C0ED2ED-F28D-D545-90B9-43285F842637}" xr6:coauthVersionLast="47" xr6:coauthVersionMax="47" xr10:uidLastSave="{00000000-0000-0000-0000-000000000000}"/>
  <bookViews>
    <workbookView xWindow="0" yWindow="660" windowWidth="30240" windowHeight="18980" tabRatio="500" xr2:uid="{00000000-000D-0000-FFFF-FFFF00000000}"/>
  </bookViews>
  <sheets>
    <sheet name="Info" sheetId="11" r:id="rId1"/>
    <sheet name="Senior-M" sheetId="47" r:id="rId2"/>
    <sheet name="Senior-W" sheetId="48" r:id="rId3"/>
    <sheet name="Development-M" sheetId="49" r:id="rId4"/>
    <sheet name="Development-W" sheetId="50" r:id="rId5"/>
    <sheet name="Junior-M" sheetId="51" r:id="rId6"/>
    <sheet name="Junior-W" sheetId="52" r:id="rId7"/>
  </sheets>
  <definedNames>
    <definedName name="_xlnm._FilterDatabase" localSheetId="3" hidden="1">'Development-M'!$A$1:$ET$1</definedName>
    <definedName name="_xlnm._FilterDatabase" localSheetId="4" hidden="1">'Development-W'!$A$1:$ET$1</definedName>
    <definedName name="_xlnm._FilterDatabase" localSheetId="5" hidden="1">'Junior-M'!$A$1:$ET$1</definedName>
    <definedName name="_xlnm._FilterDatabase" localSheetId="6" hidden="1">'Junior-W'!$A$1:$ET$1</definedName>
    <definedName name="_xlnm._FilterDatabase" localSheetId="1" hidden="1">'Senior-M'!$A$1:$ET$1</definedName>
    <definedName name="_xlnm._FilterDatabase" localSheetId="2" hidden="1">'Senior-W'!$A$1:$ET$1</definedName>
    <definedName name="_xleta.LARGE" hidden="1" xlm="1">#NAME?</definedName>
    <definedName name="_xleta.MAX" hidden="1" xlm="1">#NAME?</definedName>
    <definedName name="_xleta.MIN" hidden="1" xlm="1">#NAME?</definedName>
    <definedName name="_xleta.N" hidden="1" xlm="1">#NAME?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J5" i="52" l="1"/>
  <c r="AK5" i="52"/>
  <c r="AL5" i="52"/>
  <c r="AM5" i="52"/>
  <c r="AN5" i="52"/>
  <c r="AP5" i="52"/>
  <c r="AQ5" i="52"/>
  <c r="AR5" i="52"/>
  <c r="AS5" i="52"/>
  <c r="AT5" i="52"/>
  <c r="BN5" i="52"/>
  <c r="BO5" i="52"/>
  <c r="BP5" i="52"/>
  <c r="BQ5" i="52"/>
  <c r="BR5" i="52"/>
  <c r="BT5" i="52"/>
  <c r="BU5" i="52"/>
  <c r="BV5" i="52"/>
  <c r="BW5" i="52"/>
  <c r="BX5" i="52"/>
  <c r="CW5" i="52"/>
  <c r="CX5" i="52"/>
  <c r="CY5" i="52"/>
  <c r="CZ5" i="52"/>
  <c r="DC5" i="52"/>
  <c r="DD5" i="52"/>
  <c r="DE5" i="52"/>
  <c r="DI5" i="52" s="1"/>
  <c r="DF5" i="52"/>
  <c r="DJ5" i="52" s="1"/>
  <c r="DG5" i="52"/>
  <c r="DH5" i="52"/>
  <c r="EF5" i="52"/>
  <c r="EJ5" i="52" s="1"/>
  <c r="EG5" i="52"/>
  <c r="EK5" i="52" s="1"/>
  <c r="ET5" i="52" s="1"/>
  <c r="EH5" i="52"/>
  <c r="EI5" i="52"/>
  <c r="EL5" i="52"/>
  <c r="EM5" i="52"/>
  <c r="EN5" i="52"/>
  <c r="ER5" i="52" s="1"/>
  <c r="EO5" i="52"/>
  <c r="ES5" i="52" s="1"/>
  <c r="EP5" i="52"/>
  <c r="EQ5" i="52"/>
  <c r="AJ4" i="52"/>
  <c r="AK4" i="52"/>
  <c r="AO4" i="52" s="1"/>
  <c r="AL4" i="52"/>
  <c r="AM4" i="52"/>
  <c r="AN4" i="52"/>
  <c r="AP4" i="52"/>
  <c r="AQ4" i="52"/>
  <c r="AR4" i="52"/>
  <c r="AS4" i="52"/>
  <c r="AT4" i="52"/>
  <c r="BN4" i="52"/>
  <c r="BO4" i="52"/>
  <c r="BP4" i="52"/>
  <c r="BQ4" i="52"/>
  <c r="BR4" i="52"/>
  <c r="BS4" i="52"/>
  <c r="BT4" i="52"/>
  <c r="BU4" i="52"/>
  <c r="BV4" i="52"/>
  <c r="BW4" i="52"/>
  <c r="BX4" i="52"/>
  <c r="CW4" i="52"/>
  <c r="DA4" i="52" s="1"/>
  <c r="CX4" i="52"/>
  <c r="DB4" i="52" s="1"/>
  <c r="DK4" i="52" s="1"/>
  <c r="CY4" i="52"/>
  <c r="CZ4" i="52"/>
  <c r="DC4" i="52"/>
  <c r="DD4" i="52"/>
  <c r="DE4" i="52"/>
  <c r="DI4" i="52" s="1"/>
  <c r="DF4" i="52"/>
  <c r="DJ4" i="52" s="1"/>
  <c r="DG4" i="52"/>
  <c r="DH4" i="52"/>
  <c r="EF4" i="52"/>
  <c r="EJ4" i="52" s="1"/>
  <c r="EG4" i="52"/>
  <c r="EK4" i="52" s="1"/>
  <c r="ET4" i="52" s="1"/>
  <c r="EH4" i="52"/>
  <c r="EI4" i="52"/>
  <c r="EL4" i="52"/>
  <c r="EM4" i="52"/>
  <c r="EN4" i="52"/>
  <c r="ER4" i="52" s="1"/>
  <c r="EO4" i="52"/>
  <c r="ES4" i="52" s="1"/>
  <c r="EP4" i="52"/>
  <c r="EQ4" i="52"/>
  <c r="AJ6" i="52"/>
  <c r="AK6" i="52"/>
  <c r="AL6" i="52"/>
  <c r="AM6" i="52"/>
  <c r="AN6" i="52"/>
  <c r="AP6" i="52"/>
  <c r="AQ6" i="52"/>
  <c r="AR6" i="52"/>
  <c r="AS6" i="52"/>
  <c r="AT6" i="52"/>
  <c r="BN6" i="52"/>
  <c r="BO6" i="52"/>
  <c r="BP6" i="52"/>
  <c r="BQ6" i="52"/>
  <c r="BR6" i="52"/>
  <c r="BT6" i="52"/>
  <c r="BU6" i="52"/>
  <c r="BV6" i="52"/>
  <c r="BW6" i="52"/>
  <c r="BX6" i="52"/>
  <c r="CW6" i="52"/>
  <c r="DA6" i="52" s="1"/>
  <c r="CX6" i="52"/>
  <c r="DB6" i="52" s="1"/>
  <c r="DK6" i="52" s="1"/>
  <c r="CY6" i="52"/>
  <c r="CZ6" i="52"/>
  <c r="DC6" i="52"/>
  <c r="DD6" i="52"/>
  <c r="DE6" i="52"/>
  <c r="DI6" i="52" s="1"/>
  <c r="DF6" i="52"/>
  <c r="DJ6" i="52" s="1"/>
  <c r="DG6" i="52"/>
  <c r="DH6" i="52"/>
  <c r="EF6" i="52"/>
  <c r="EJ6" i="52" s="1"/>
  <c r="EG6" i="52"/>
  <c r="EK6" i="52" s="1"/>
  <c r="ET6" i="52" s="1"/>
  <c r="EH6" i="52"/>
  <c r="EI6" i="52"/>
  <c r="EL6" i="52"/>
  <c r="EM6" i="52"/>
  <c r="EN6" i="52"/>
  <c r="ER6" i="52" s="1"/>
  <c r="EO6" i="52"/>
  <c r="ES6" i="52" s="1"/>
  <c r="EP6" i="52"/>
  <c r="EQ6" i="52"/>
  <c r="AJ7" i="52"/>
  <c r="AK7" i="52"/>
  <c r="AL7" i="52"/>
  <c r="AM7" i="52"/>
  <c r="AN7" i="52"/>
  <c r="AP7" i="52"/>
  <c r="AQ7" i="52"/>
  <c r="AR7" i="52"/>
  <c r="AS7" i="52"/>
  <c r="AT7" i="52"/>
  <c r="BN7" i="52"/>
  <c r="BO7" i="52"/>
  <c r="BP7" i="52"/>
  <c r="BQ7" i="52"/>
  <c r="BR7" i="52"/>
  <c r="BT7" i="52"/>
  <c r="BU7" i="52"/>
  <c r="BV7" i="52"/>
  <c r="BW7" i="52"/>
  <c r="BX7" i="52"/>
  <c r="CW7" i="52"/>
  <c r="CX7" i="52"/>
  <c r="CY7" i="52"/>
  <c r="CZ7" i="52"/>
  <c r="DC7" i="52"/>
  <c r="DD7" i="52"/>
  <c r="DE7" i="52"/>
  <c r="DI7" i="52" s="1"/>
  <c r="DF7" i="52"/>
  <c r="DJ7" i="52" s="1"/>
  <c r="DG7" i="52"/>
  <c r="DH7" i="52"/>
  <c r="EF7" i="52"/>
  <c r="EJ7" i="52" s="1"/>
  <c r="EG7" i="52"/>
  <c r="EK7" i="52" s="1"/>
  <c r="ET7" i="52" s="1"/>
  <c r="EH7" i="52"/>
  <c r="EI7" i="52"/>
  <c r="EL7" i="52"/>
  <c r="EM7" i="52"/>
  <c r="EN7" i="52"/>
  <c r="ER7" i="52" s="1"/>
  <c r="EO7" i="52"/>
  <c r="ES7" i="52" s="1"/>
  <c r="EP7" i="52"/>
  <c r="EQ7" i="52"/>
  <c r="AJ9" i="52"/>
  <c r="AK9" i="52"/>
  <c r="AL9" i="52"/>
  <c r="AM9" i="52"/>
  <c r="AN9" i="52"/>
  <c r="AP9" i="52"/>
  <c r="AQ9" i="52"/>
  <c r="AR9" i="52"/>
  <c r="AS9" i="52"/>
  <c r="AT9" i="52"/>
  <c r="BN9" i="52"/>
  <c r="BO9" i="52"/>
  <c r="BP9" i="52"/>
  <c r="BQ9" i="52"/>
  <c r="BR9" i="52"/>
  <c r="BT9" i="52"/>
  <c r="BU9" i="52"/>
  <c r="BV9" i="52"/>
  <c r="BW9" i="52"/>
  <c r="BX9" i="52"/>
  <c r="CW9" i="52"/>
  <c r="DA9" i="52" s="1"/>
  <c r="CX9" i="52"/>
  <c r="DB9" i="52" s="1"/>
  <c r="DK9" i="52" s="1"/>
  <c r="CY9" i="52"/>
  <c r="CZ9" i="52"/>
  <c r="DC9" i="52"/>
  <c r="DD9" i="52"/>
  <c r="DE9" i="52"/>
  <c r="DI9" i="52" s="1"/>
  <c r="DF9" i="52"/>
  <c r="DJ9" i="52" s="1"/>
  <c r="DG9" i="52"/>
  <c r="DH9" i="52"/>
  <c r="EF9" i="52"/>
  <c r="EJ9" i="52" s="1"/>
  <c r="EG9" i="52"/>
  <c r="EK9" i="52" s="1"/>
  <c r="ET9" i="52" s="1"/>
  <c r="EH9" i="52"/>
  <c r="EI9" i="52"/>
  <c r="EL9" i="52"/>
  <c r="EM9" i="52"/>
  <c r="EN9" i="52"/>
  <c r="ER9" i="52" s="1"/>
  <c r="EO9" i="52"/>
  <c r="ES9" i="52" s="1"/>
  <c r="EP9" i="52"/>
  <c r="EQ9" i="52"/>
  <c r="AJ10" i="52"/>
  <c r="AK10" i="52"/>
  <c r="AL10" i="52"/>
  <c r="AM10" i="52"/>
  <c r="AN10" i="52"/>
  <c r="AP10" i="52"/>
  <c r="AQ10" i="52"/>
  <c r="AR10" i="52"/>
  <c r="AS10" i="52"/>
  <c r="AT10" i="52"/>
  <c r="BN10" i="52"/>
  <c r="BO10" i="52"/>
  <c r="BP10" i="52"/>
  <c r="BQ10" i="52"/>
  <c r="BR10" i="52"/>
  <c r="BT10" i="52"/>
  <c r="BU10" i="52"/>
  <c r="BV10" i="52"/>
  <c r="BW10" i="52"/>
  <c r="BX10" i="52"/>
  <c r="CW10" i="52"/>
  <c r="DA10" i="52" s="1"/>
  <c r="CX10" i="52"/>
  <c r="DB10" i="52" s="1"/>
  <c r="DK10" i="52" s="1"/>
  <c r="CY10" i="52"/>
  <c r="CZ10" i="52"/>
  <c r="DC10" i="52"/>
  <c r="DD10" i="52"/>
  <c r="DE10" i="52"/>
  <c r="DI10" i="52" s="1"/>
  <c r="DF10" i="52"/>
  <c r="DJ10" i="52" s="1"/>
  <c r="DG10" i="52"/>
  <c r="DH10" i="52"/>
  <c r="EF10" i="52"/>
  <c r="EG10" i="52"/>
  <c r="EK10" i="52" s="1"/>
  <c r="ET10" i="52" s="1"/>
  <c r="EH10" i="52"/>
  <c r="EI10" i="52"/>
  <c r="EJ10" i="52"/>
  <c r="EL10" i="52"/>
  <c r="EM10" i="52"/>
  <c r="EN10" i="52"/>
  <c r="ER10" i="52" s="1"/>
  <c r="EO10" i="52"/>
  <c r="ES10" i="52" s="1"/>
  <c r="EP10" i="52"/>
  <c r="EQ10" i="52"/>
  <c r="AJ11" i="52"/>
  <c r="AK11" i="52"/>
  <c r="AL11" i="52"/>
  <c r="AM11" i="52"/>
  <c r="AN11" i="52"/>
  <c r="AP11" i="52"/>
  <c r="AQ11" i="52"/>
  <c r="AR11" i="52"/>
  <c r="AS11" i="52"/>
  <c r="AT11" i="52"/>
  <c r="BN11" i="52"/>
  <c r="BO11" i="52"/>
  <c r="BP11" i="52"/>
  <c r="BQ11" i="52"/>
  <c r="BS11" i="52" s="1"/>
  <c r="BR11" i="52"/>
  <c r="BT11" i="52"/>
  <c r="BU11" i="52"/>
  <c r="BV11" i="52"/>
  <c r="BW11" i="52"/>
  <c r="BX11" i="52"/>
  <c r="CW11" i="52"/>
  <c r="DA11" i="52" s="1"/>
  <c r="CX11" i="52"/>
  <c r="DB11" i="52" s="1"/>
  <c r="DK11" i="52" s="1"/>
  <c r="CY11" i="52"/>
  <c r="CZ11" i="52"/>
  <c r="DC11" i="52"/>
  <c r="DD11" i="52"/>
  <c r="DE11" i="52"/>
  <c r="DI11" i="52" s="1"/>
  <c r="DF11" i="52"/>
  <c r="DJ11" i="52" s="1"/>
  <c r="DG11" i="52"/>
  <c r="DH11" i="52"/>
  <c r="EF11" i="52"/>
  <c r="EJ11" i="52" s="1"/>
  <c r="EG11" i="52"/>
  <c r="EK11" i="52" s="1"/>
  <c r="ET11" i="52" s="1"/>
  <c r="EH11" i="52"/>
  <c r="EI11" i="52"/>
  <c r="EL11" i="52"/>
  <c r="EM11" i="52"/>
  <c r="EN11" i="52"/>
  <c r="ER11" i="52" s="1"/>
  <c r="EO11" i="52"/>
  <c r="ES11" i="52" s="1"/>
  <c r="EP11" i="52"/>
  <c r="EQ11" i="52"/>
  <c r="AJ5" i="51"/>
  <c r="AK5" i="51"/>
  <c r="AL5" i="51"/>
  <c r="AM5" i="51"/>
  <c r="AN5" i="51"/>
  <c r="AP5" i="51"/>
  <c r="AQ5" i="51"/>
  <c r="AR5" i="51"/>
  <c r="AS5" i="51"/>
  <c r="AT5" i="51"/>
  <c r="BN5" i="51"/>
  <c r="BO5" i="51"/>
  <c r="BP5" i="51"/>
  <c r="BQ5" i="51"/>
  <c r="BS5" i="51" s="1"/>
  <c r="BR5" i="51"/>
  <c r="BT5" i="51"/>
  <c r="BU5" i="51"/>
  <c r="BV5" i="51"/>
  <c r="BW5" i="51"/>
  <c r="BX5" i="51"/>
  <c r="CW5" i="51"/>
  <c r="DA5" i="51" s="1"/>
  <c r="CX5" i="51"/>
  <c r="DB5" i="51" s="1"/>
  <c r="DK5" i="51" s="1"/>
  <c r="CY5" i="51"/>
  <c r="CZ5" i="51"/>
  <c r="DC5" i="51"/>
  <c r="DD5" i="51"/>
  <c r="DE5" i="51"/>
  <c r="DI5" i="51" s="1"/>
  <c r="DF5" i="51"/>
  <c r="DJ5" i="51" s="1"/>
  <c r="DG5" i="51"/>
  <c r="DH5" i="51"/>
  <c r="EF5" i="51"/>
  <c r="EG5" i="51"/>
  <c r="EH5" i="51"/>
  <c r="EI5" i="51"/>
  <c r="EJ5" i="51"/>
  <c r="EK5" i="51"/>
  <c r="ET5" i="51" s="1"/>
  <c r="EL5" i="51"/>
  <c r="EM5" i="51"/>
  <c r="EN5" i="51"/>
  <c r="ER5" i="51" s="1"/>
  <c r="EO5" i="51"/>
  <c r="ES5" i="51" s="1"/>
  <c r="EP5" i="51"/>
  <c r="EQ5" i="51"/>
  <c r="AJ14" i="51"/>
  <c r="AK14" i="51"/>
  <c r="AL14" i="51"/>
  <c r="AM14" i="51"/>
  <c r="AN14" i="51"/>
  <c r="AP14" i="51"/>
  <c r="AQ14" i="51"/>
  <c r="AR14" i="51"/>
  <c r="AS14" i="51"/>
  <c r="AT14" i="51"/>
  <c r="BN14" i="51"/>
  <c r="BO14" i="51"/>
  <c r="BP14" i="51"/>
  <c r="BQ14" i="51"/>
  <c r="BR14" i="51"/>
  <c r="BT14" i="51"/>
  <c r="BU14" i="51"/>
  <c r="BV14" i="51"/>
  <c r="BW14" i="51"/>
  <c r="BX14" i="51"/>
  <c r="CW14" i="51"/>
  <c r="DA14" i="51" s="1"/>
  <c r="CX14" i="51"/>
  <c r="DB14" i="51" s="1"/>
  <c r="DK14" i="51" s="1"/>
  <c r="CY14" i="51"/>
  <c r="CZ14" i="51"/>
  <c r="DC14" i="51"/>
  <c r="DD14" i="51"/>
  <c r="DE14" i="51"/>
  <c r="DI14" i="51" s="1"/>
  <c r="DF14" i="51"/>
  <c r="DJ14" i="51" s="1"/>
  <c r="DG14" i="51"/>
  <c r="DH14" i="51"/>
  <c r="EF14" i="51"/>
  <c r="EJ14" i="51" s="1"/>
  <c r="EG14" i="51"/>
  <c r="EK14" i="51" s="1"/>
  <c r="ET14" i="51" s="1"/>
  <c r="EH14" i="51"/>
  <c r="EI14" i="51"/>
  <c r="EL14" i="51"/>
  <c r="EM14" i="51"/>
  <c r="EN14" i="51"/>
  <c r="ER14" i="51" s="1"/>
  <c r="EO14" i="51"/>
  <c r="ES14" i="51" s="1"/>
  <c r="EP14" i="51"/>
  <c r="EQ14" i="51"/>
  <c r="AJ9" i="51"/>
  <c r="AK9" i="51"/>
  <c r="AL9" i="51"/>
  <c r="AM9" i="51"/>
  <c r="AN9" i="51"/>
  <c r="AP9" i="51"/>
  <c r="AQ9" i="51"/>
  <c r="AR9" i="51"/>
  <c r="AS9" i="51"/>
  <c r="AU9" i="51" s="1"/>
  <c r="AT9" i="51"/>
  <c r="BN9" i="51"/>
  <c r="BO9" i="51"/>
  <c r="BP9" i="51"/>
  <c r="BQ9" i="51"/>
  <c r="BR9" i="51"/>
  <c r="BT9" i="51"/>
  <c r="BU9" i="51"/>
  <c r="BV9" i="51"/>
  <c r="BW9" i="51"/>
  <c r="BX9" i="51"/>
  <c r="CW9" i="51"/>
  <c r="DA9" i="51" s="1"/>
  <c r="CX9" i="51"/>
  <c r="DB9" i="51" s="1"/>
  <c r="DK9" i="51" s="1"/>
  <c r="CY9" i="51"/>
  <c r="CZ9" i="51"/>
  <c r="DC9" i="51"/>
  <c r="DD9" i="51"/>
  <c r="DE9" i="51"/>
  <c r="DI9" i="51" s="1"/>
  <c r="DF9" i="51"/>
  <c r="DJ9" i="51" s="1"/>
  <c r="DG9" i="51"/>
  <c r="DH9" i="51"/>
  <c r="EF9" i="51"/>
  <c r="EJ9" i="51" s="1"/>
  <c r="EG9" i="51"/>
  <c r="EH9" i="51"/>
  <c r="EI9" i="51"/>
  <c r="EK9" i="51"/>
  <c r="ET9" i="51" s="1"/>
  <c r="EL9" i="51"/>
  <c r="EM9" i="51"/>
  <c r="EN9" i="51"/>
  <c r="ER9" i="51" s="1"/>
  <c r="EO9" i="51"/>
  <c r="ES9" i="51" s="1"/>
  <c r="EP9" i="51"/>
  <c r="EQ9" i="51"/>
  <c r="AJ12" i="51"/>
  <c r="AK12" i="51"/>
  <c r="AL12" i="51"/>
  <c r="AM12" i="51"/>
  <c r="AN12" i="51"/>
  <c r="AP12" i="51"/>
  <c r="AQ12" i="51"/>
  <c r="AR12" i="51"/>
  <c r="AS12" i="51"/>
  <c r="AT12" i="51"/>
  <c r="BN12" i="51"/>
  <c r="BO12" i="51"/>
  <c r="BP12" i="51"/>
  <c r="BQ12" i="51"/>
  <c r="BR12" i="51"/>
  <c r="BT12" i="51"/>
  <c r="BU12" i="51"/>
  <c r="BV12" i="51"/>
  <c r="BW12" i="51"/>
  <c r="BX12" i="51"/>
  <c r="CW12" i="51"/>
  <c r="CX12" i="51"/>
  <c r="DB12" i="51" s="1"/>
  <c r="DK12" i="51" s="1"/>
  <c r="CY12" i="51"/>
  <c r="CZ12" i="51"/>
  <c r="DA12" i="51"/>
  <c r="DC12" i="51"/>
  <c r="DD12" i="51"/>
  <c r="DE12" i="51"/>
  <c r="DI12" i="51" s="1"/>
  <c r="DF12" i="51"/>
  <c r="DJ12" i="51" s="1"/>
  <c r="DG12" i="51"/>
  <c r="DH12" i="51"/>
  <c r="EF12" i="51"/>
  <c r="EJ12" i="51" s="1"/>
  <c r="EG12" i="51"/>
  <c r="EK12" i="51" s="1"/>
  <c r="ET12" i="51" s="1"/>
  <c r="EH12" i="51"/>
  <c r="EI12" i="51"/>
  <c r="EL12" i="51"/>
  <c r="EM12" i="51"/>
  <c r="EN12" i="51"/>
  <c r="ER12" i="51" s="1"/>
  <c r="EO12" i="51"/>
  <c r="ES12" i="51" s="1"/>
  <c r="EP12" i="51"/>
  <c r="EQ12" i="51"/>
  <c r="AJ11" i="51"/>
  <c r="AK11" i="51"/>
  <c r="AL11" i="51"/>
  <c r="AM11" i="51"/>
  <c r="AN11" i="51"/>
  <c r="AP11" i="51"/>
  <c r="AQ11" i="51"/>
  <c r="AR11" i="51"/>
  <c r="AS11" i="51"/>
  <c r="AT11" i="51"/>
  <c r="BN11" i="51"/>
  <c r="BO11" i="51"/>
  <c r="BP11" i="51"/>
  <c r="BQ11" i="51"/>
  <c r="BR11" i="51"/>
  <c r="BT11" i="51"/>
  <c r="BU11" i="51"/>
  <c r="BV11" i="51"/>
  <c r="BW11" i="51"/>
  <c r="BX11" i="51"/>
  <c r="CW11" i="51"/>
  <c r="DA11" i="51" s="1"/>
  <c r="CX11" i="51"/>
  <c r="CY11" i="51"/>
  <c r="CZ11" i="51"/>
  <c r="DC11" i="51"/>
  <c r="DD11" i="51"/>
  <c r="DE11" i="51"/>
  <c r="DI11" i="51" s="1"/>
  <c r="DF11" i="51"/>
  <c r="DJ11" i="51" s="1"/>
  <c r="DG11" i="51"/>
  <c r="DH11" i="51"/>
  <c r="EF11" i="51"/>
  <c r="EJ11" i="51" s="1"/>
  <c r="EG11" i="51"/>
  <c r="EK11" i="51" s="1"/>
  <c r="ET11" i="51" s="1"/>
  <c r="EH11" i="51"/>
  <c r="EI11" i="51"/>
  <c r="EL11" i="51"/>
  <c r="EM11" i="51"/>
  <c r="EN11" i="51"/>
  <c r="ER11" i="51" s="1"/>
  <c r="EO11" i="51"/>
  <c r="ES11" i="51" s="1"/>
  <c r="EP11" i="51"/>
  <c r="EQ11" i="51"/>
  <c r="AJ6" i="51"/>
  <c r="AK6" i="51"/>
  <c r="AL6" i="51"/>
  <c r="AM6" i="51"/>
  <c r="AN6" i="51"/>
  <c r="AP6" i="51"/>
  <c r="AQ6" i="51"/>
  <c r="AR6" i="51"/>
  <c r="AS6" i="51"/>
  <c r="AT6" i="51"/>
  <c r="BN6" i="51"/>
  <c r="BO6" i="51"/>
  <c r="BP6" i="51"/>
  <c r="BQ6" i="51"/>
  <c r="BR6" i="51"/>
  <c r="BT6" i="51"/>
  <c r="BU6" i="51"/>
  <c r="BV6" i="51"/>
  <c r="BW6" i="51"/>
  <c r="BX6" i="51"/>
  <c r="CW6" i="51"/>
  <c r="CX6" i="51"/>
  <c r="CY6" i="51"/>
  <c r="CZ6" i="51"/>
  <c r="DC6" i="51"/>
  <c r="DD6" i="51"/>
  <c r="DE6" i="51"/>
  <c r="DI6" i="51" s="1"/>
  <c r="DF6" i="51"/>
  <c r="DJ6" i="51" s="1"/>
  <c r="DG6" i="51"/>
  <c r="DH6" i="51"/>
  <c r="EF6" i="51"/>
  <c r="EJ6" i="51" s="1"/>
  <c r="EG6" i="51"/>
  <c r="EK6" i="51" s="1"/>
  <c r="ET6" i="51" s="1"/>
  <c r="EH6" i="51"/>
  <c r="EI6" i="51"/>
  <c r="EL6" i="51"/>
  <c r="EM6" i="51"/>
  <c r="EN6" i="51"/>
  <c r="ER6" i="51" s="1"/>
  <c r="EO6" i="51"/>
  <c r="ES6" i="51" s="1"/>
  <c r="EP6" i="51"/>
  <c r="EQ6" i="51"/>
  <c r="I19" i="50"/>
  <c r="AJ19" i="50"/>
  <c r="AK19" i="50"/>
  <c r="AL19" i="50"/>
  <c r="AM19" i="50"/>
  <c r="AN19" i="50"/>
  <c r="AP19" i="50"/>
  <c r="AQ19" i="50"/>
  <c r="AR19" i="50"/>
  <c r="AS19" i="50"/>
  <c r="AT19" i="50"/>
  <c r="BN19" i="50"/>
  <c r="BO19" i="50"/>
  <c r="BP19" i="50"/>
  <c r="BQ19" i="50"/>
  <c r="BS19" i="50" s="1"/>
  <c r="BR19" i="50"/>
  <c r="BT19" i="50"/>
  <c r="BU19" i="50"/>
  <c r="BV19" i="50"/>
  <c r="BW19" i="50"/>
  <c r="BX19" i="50"/>
  <c r="CW19" i="50"/>
  <c r="DA19" i="50" s="1"/>
  <c r="CX19" i="50"/>
  <c r="DB19" i="50" s="1"/>
  <c r="DK19" i="50" s="1"/>
  <c r="CY19" i="50"/>
  <c r="CZ19" i="50"/>
  <c r="DC19" i="50"/>
  <c r="DD19" i="50"/>
  <c r="DE19" i="50"/>
  <c r="DI19" i="50" s="1"/>
  <c r="DF19" i="50"/>
  <c r="DJ19" i="50" s="1"/>
  <c r="DG19" i="50"/>
  <c r="DH19" i="50"/>
  <c r="EF19" i="50"/>
  <c r="EJ19" i="50" s="1"/>
  <c r="EG19" i="50"/>
  <c r="EK19" i="50" s="1"/>
  <c r="ET19" i="50" s="1"/>
  <c r="EH19" i="50"/>
  <c r="EI19" i="50"/>
  <c r="EL19" i="50"/>
  <c r="EM19" i="50"/>
  <c r="EN19" i="50"/>
  <c r="ER19" i="50" s="1"/>
  <c r="EO19" i="50"/>
  <c r="ES19" i="50" s="1"/>
  <c r="EP19" i="50"/>
  <c r="EQ19" i="50"/>
  <c r="I28" i="50"/>
  <c r="AJ28" i="50"/>
  <c r="AK28" i="50"/>
  <c r="AL28" i="50"/>
  <c r="AM28" i="50"/>
  <c r="AN28" i="50"/>
  <c r="AP28" i="50"/>
  <c r="AQ28" i="50"/>
  <c r="AR28" i="50"/>
  <c r="AS28" i="50"/>
  <c r="AT28" i="50"/>
  <c r="AU28" i="50"/>
  <c r="BN28" i="50"/>
  <c r="BO28" i="50"/>
  <c r="BP28" i="50"/>
  <c r="BQ28" i="50"/>
  <c r="BR28" i="50"/>
  <c r="BT28" i="50"/>
  <c r="BU28" i="50"/>
  <c r="BV28" i="50"/>
  <c r="BW28" i="50"/>
  <c r="BX28" i="50"/>
  <c r="CW28" i="50"/>
  <c r="DA28" i="50" s="1"/>
  <c r="CX28" i="50"/>
  <c r="DB28" i="50" s="1"/>
  <c r="DK28" i="50" s="1"/>
  <c r="CY28" i="50"/>
  <c r="CZ28" i="50"/>
  <c r="DC28" i="50"/>
  <c r="DD28" i="50"/>
  <c r="DE28" i="50"/>
  <c r="DI28" i="50" s="1"/>
  <c r="DF28" i="50"/>
  <c r="DG28" i="50"/>
  <c r="DH28" i="50"/>
  <c r="DJ28" i="50"/>
  <c r="EF28" i="50"/>
  <c r="EJ28" i="50" s="1"/>
  <c r="EG28" i="50"/>
  <c r="EH28" i="50"/>
  <c r="EI28" i="50"/>
  <c r="EK28" i="50"/>
  <c r="ET28" i="50" s="1"/>
  <c r="EL28" i="50"/>
  <c r="EM28" i="50"/>
  <c r="EN28" i="50"/>
  <c r="ER28" i="50" s="1"/>
  <c r="EO28" i="50"/>
  <c r="ES28" i="50" s="1"/>
  <c r="EP28" i="50"/>
  <c r="EQ28" i="50"/>
  <c r="I12" i="50"/>
  <c r="AJ12" i="50"/>
  <c r="AK12" i="50"/>
  <c r="AL12" i="50"/>
  <c r="AM12" i="50"/>
  <c r="AN12" i="50"/>
  <c r="AP12" i="50"/>
  <c r="AQ12" i="50"/>
  <c r="AR12" i="50"/>
  <c r="AS12" i="50"/>
  <c r="AT12" i="50"/>
  <c r="BN12" i="50"/>
  <c r="BO12" i="50"/>
  <c r="BP12" i="50"/>
  <c r="BQ12" i="50"/>
  <c r="BR12" i="50"/>
  <c r="BT12" i="50"/>
  <c r="BU12" i="50"/>
  <c r="BV12" i="50"/>
  <c r="BW12" i="50"/>
  <c r="BX12" i="50"/>
  <c r="CW12" i="50"/>
  <c r="DA12" i="50" s="1"/>
  <c r="CX12" i="50"/>
  <c r="DB12" i="50" s="1"/>
  <c r="DK12" i="50" s="1"/>
  <c r="CY12" i="50"/>
  <c r="CZ12" i="50"/>
  <c r="DC12" i="50"/>
  <c r="DD12" i="50"/>
  <c r="DE12" i="50"/>
  <c r="DI12" i="50" s="1"/>
  <c r="DF12" i="50"/>
  <c r="DJ12" i="50" s="1"/>
  <c r="DG12" i="50"/>
  <c r="DH12" i="50"/>
  <c r="EF12" i="50"/>
  <c r="EJ12" i="50" s="1"/>
  <c r="EG12" i="50"/>
  <c r="EK12" i="50" s="1"/>
  <c r="ET12" i="50" s="1"/>
  <c r="EH12" i="50"/>
  <c r="EI12" i="50"/>
  <c r="EL12" i="50"/>
  <c r="EM12" i="50"/>
  <c r="EN12" i="50"/>
  <c r="ER12" i="50" s="1"/>
  <c r="EO12" i="50"/>
  <c r="ES12" i="50" s="1"/>
  <c r="EP12" i="50"/>
  <c r="EQ12" i="50"/>
  <c r="I20" i="49"/>
  <c r="AJ20" i="49"/>
  <c r="AK20" i="49"/>
  <c r="AO20" i="49" s="1"/>
  <c r="AL20" i="49"/>
  <c r="AM20" i="49"/>
  <c r="AN20" i="49"/>
  <c r="AP20" i="49"/>
  <c r="AQ20" i="49"/>
  <c r="AR20" i="49"/>
  <c r="AS20" i="49"/>
  <c r="AT20" i="49"/>
  <c r="BN20" i="49"/>
  <c r="BO20" i="49"/>
  <c r="BP20" i="49"/>
  <c r="BQ20" i="49"/>
  <c r="BR20" i="49"/>
  <c r="BT20" i="49"/>
  <c r="BU20" i="49"/>
  <c r="BV20" i="49"/>
  <c r="BW20" i="49"/>
  <c r="BX20" i="49"/>
  <c r="CW20" i="49"/>
  <c r="DA20" i="49" s="1"/>
  <c r="CX20" i="49"/>
  <c r="DB20" i="49" s="1"/>
  <c r="DK20" i="49" s="1"/>
  <c r="CY20" i="49"/>
  <c r="CZ20" i="49"/>
  <c r="DC20" i="49"/>
  <c r="DD20" i="49"/>
  <c r="DE20" i="49"/>
  <c r="DI20" i="49" s="1"/>
  <c r="DF20" i="49"/>
  <c r="DJ20" i="49" s="1"/>
  <c r="DG20" i="49"/>
  <c r="DH20" i="49"/>
  <c r="EF20" i="49"/>
  <c r="EJ20" i="49" s="1"/>
  <c r="EG20" i="49"/>
  <c r="EK20" i="49" s="1"/>
  <c r="ET20" i="49" s="1"/>
  <c r="EH20" i="49"/>
  <c r="EI20" i="49"/>
  <c r="EL20" i="49"/>
  <c r="EM20" i="49"/>
  <c r="EN20" i="49"/>
  <c r="ER20" i="49" s="1"/>
  <c r="EO20" i="49"/>
  <c r="ES20" i="49" s="1"/>
  <c r="EP20" i="49"/>
  <c r="EQ20" i="49"/>
  <c r="I17" i="49"/>
  <c r="AJ17" i="49"/>
  <c r="AK17" i="49"/>
  <c r="AL17" i="49"/>
  <c r="AM17" i="49"/>
  <c r="AN17" i="49"/>
  <c r="AP17" i="49"/>
  <c r="AQ17" i="49"/>
  <c r="AR17" i="49"/>
  <c r="AS17" i="49"/>
  <c r="AT17" i="49"/>
  <c r="BN17" i="49"/>
  <c r="BO17" i="49"/>
  <c r="BP17" i="49"/>
  <c r="BQ17" i="49"/>
  <c r="BR17" i="49"/>
  <c r="BT17" i="49"/>
  <c r="BU17" i="49"/>
  <c r="BV17" i="49"/>
  <c r="BW17" i="49"/>
  <c r="BX17" i="49"/>
  <c r="CW17" i="49"/>
  <c r="DA17" i="49" s="1"/>
  <c r="CX17" i="49"/>
  <c r="DB17" i="49" s="1"/>
  <c r="DK17" i="49" s="1"/>
  <c r="CY17" i="49"/>
  <c r="CZ17" i="49"/>
  <c r="DC17" i="49"/>
  <c r="DD17" i="49"/>
  <c r="DE17" i="49"/>
  <c r="DI17" i="49" s="1"/>
  <c r="DF17" i="49"/>
  <c r="DJ17" i="49" s="1"/>
  <c r="DG17" i="49"/>
  <c r="DH17" i="49"/>
  <c r="EF17" i="49"/>
  <c r="EJ17" i="49" s="1"/>
  <c r="EG17" i="49"/>
  <c r="EK17" i="49" s="1"/>
  <c r="ET17" i="49" s="1"/>
  <c r="EH17" i="49"/>
  <c r="EI17" i="49"/>
  <c r="EL17" i="49"/>
  <c r="EM17" i="49"/>
  <c r="EN17" i="49"/>
  <c r="ER17" i="49" s="1"/>
  <c r="EO17" i="49"/>
  <c r="ES17" i="49" s="1"/>
  <c r="EP17" i="49"/>
  <c r="EQ17" i="49"/>
  <c r="I18" i="49"/>
  <c r="AJ18" i="49"/>
  <c r="AK18" i="49"/>
  <c r="AL18" i="49"/>
  <c r="AM18" i="49"/>
  <c r="AN18" i="49"/>
  <c r="AP18" i="49"/>
  <c r="AQ18" i="49"/>
  <c r="AR18" i="49"/>
  <c r="AS18" i="49"/>
  <c r="AT18" i="49"/>
  <c r="BN18" i="49"/>
  <c r="BO18" i="49"/>
  <c r="BP18" i="49"/>
  <c r="BQ18" i="49"/>
  <c r="BR18" i="49"/>
  <c r="BT18" i="49"/>
  <c r="BU18" i="49"/>
  <c r="BV18" i="49"/>
  <c r="BW18" i="49"/>
  <c r="BX18" i="49"/>
  <c r="CW18" i="49"/>
  <c r="DA18" i="49" s="1"/>
  <c r="CX18" i="49"/>
  <c r="DB18" i="49" s="1"/>
  <c r="DK18" i="49" s="1"/>
  <c r="CY18" i="49"/>
  <c r="CZ18" i="49"/>
  <c r="DC18" i="49"/>
  <c r="DD18" i="49"/>
  <c r="DE18" i="49"/>
  <c r="DI18" i="49" s="1"/>
  <c r="DF18" i="49"/>
  <c r="DJ18" i="49" s="1"/>
  <c r="DG18" i="49"/>
  <c r="DH18" i="49"/>
  <c r="EF18" i="49"/>
  <c r="EJ18" i="49" s="1"/>
  <c r="EG18" i="49"/>
  <c r="EK18" i="49" s="1"/>
  <c r="ET18" i="49" s="1"/>
  <c r="EH18" i="49"/>
  <c r="EI18" i="49"/>
  <c r="EL18" i="49"/>
  <c r="EM18" i="49"/>
  <c r="EN18" i="49"/>
  <c r="ER18" i="49" s="1"/>
  <c r="EO18" i="49"/>
  <c r="ES18" i="49" s="1"/>
  <c r="EP18" i="49"/>
  <c r="EQ18" i="49"/>
  <c r="I30" i="49"/>
  <c r="AJ30" i="49"/>
  <c r="AK30" i="49"/>
  <c r="AL30" i="49"/>
  <c r="AM30" i="49"/>
  <c r="AN30" i="49"/>
  <c r="AP30" i="49"/>
  <c r="AQ30" i="49"/>
  <c r="AR30" i="49"/>
  <c r="AS30" i="49"/>
  <c r="AT30" i="49"/>
  <c r="BN30" i="49"/>
  <c r="BO30" i="49"/>
  <c r="BP30" i="49"/>
  <c r="BQ30" i="49"/>
  <c r="BR30" i="49"/>
  <c r="BT30" i="49"/>
  <c r="BU30" i="49"/>
  <c r="BV30" i="49"/>
  <c r="BW30" i="49"/>
  <c r="BX30" i="49"/>
  <c r="CW30" i="49"/>
  <c r="DA30" i="49" s="1"/>
  <c r="CX30" i="49"/>
  <c r="DB30" i="49" s="1"/>
  <c r="DK30" i="49" s="1"/>
  <c r="CY30" i="49"/>
  <c r="CZ30" i="49"/>
  <c r="DC30" i="49"/>
  <c r="DD30" i="49"/>
  <c r="DE30" i="49"/>
  <c r="DI30" i="49" s="1"/>
  <c r="DF30" i="49"/>
  <c r="DJ30" i="49" s="1"/>
  <c r="DG30" i="49"/>
  <c r="DH30" i="49"/>
  <c r="EF30" i="49"/>
  <c r="EJ30" i="49" s="1"/>
  <c r="EG30" i="49"/>
  <c r="EK30" i="49" s="1"/>
  <c r="ET30" i="49" s="1"/>
  <c r="EH30" i="49"/>
  <c r="EI30" i="49"/>
  <c r="EL30" i="49"/>
  <c r="EM30" i="49"/>
  <c r="EN30" i="49"/>
  <c r="ER30" i="49" s="1"/>
  <c r="EO30" i="49"/>
  <c r="ES30" i="49" s="1"/>
  <c r="EP30" i="49"/>
  <c r="EQ30" i="49"/>
  <c r="I31" i="49"/>
  <c r="AJ31" i="49"/>
  <c r="AK31" i="49"/>
  <c r="AL31" i="49"/>
  <c r="AM31" i="49"/>
  <c r="AN31" i="49"/>
  <c r="AP31" i="49"/>
  <c r="AQ31" i="49"/>
  <c r="AR31" i="49"/>
  <c r="AS31" i="49"/>
  <c r="AT31" i="49"/>
  <c r="BN31" i="49"/>
  <c r="BO31" i="49"/>
  <c r="BP31" i="49"/>
  <c r="BQ31" i="49"/>
  <c r="BS31" i="49" s="1"/>
  <c r="BR31" i="49"/>
  <c r="BT31" i="49"/>
  <c r="BU31" i="49"/>
  <c r="BV31" i="49"/>
  <c r="BW31" i="49"/>
  <c r="BX31" i="49"/>
  <c r="CW31" i="49"/>
  <c r="DA31" i="49" s="1"/>
  <c r="CX31" i="49"/>
  <c r="DB31" i="49" s="1"/>
  <c r="DK31" i="49" s="1"/>
  <c r="CY31" i="49"/>
  <c r="CZ31" i="49"/>
  <c r="DC31" i="49"/>
  <c r="DD31" i="49"/>
  <c r="DE31" i="49"/>
  <c r="DI31" i="49" s="1"/>
  <c r="DF31" i="49"/>
  <c r="DJ31" i="49" s="1"/>
  <c r="DG31" i="49"/>
  <c r="DH31" i="49"/>
  <c r="EF31" i="49"/>
  <c r="EJ31" i="49" s="1"/>
  <c r="EG31" i="49"/>
  <c r="EK31" i="49" s="1"/>
  <c r="ET31" i="49" s="1"/>
  <c r="EH31" i="49"/>
  <c r="EI31" i="49"/>
  <c r="EL31" i="49"/>
  <c r="EM31" i="49"/>
  <c r="EN31" i="49"/>
  <c r="EO31" i="49"/>
  <c r="ES31" i="49" s="1"/>
  <c r="EP31" i="49"/>
  <c r="EQ31" i="49"/>
  <c r="ER31" i="49"/>
  <c r="I33" i="49"/>
  <c r="AJ33" i="49"/>
  <c r="AK33" i="49"/>
  <c r="AL33" i="49"/>
  <c r="AM33" i="49"/>
  <c r="AN33" i="49"/>
  <c r="AP33" i="49"/>
  <c r="AQ33" i="49"/>
  <c r="AR33" i="49"/>
  <c r="AS33" i="49"/>
  <c r="AT33" i="49"/>
  <c r="BN33" i="49"/>
  <c r="BO33" i="49"/>
  <c r="BP33" i="49"/>
  <c r="BQ33" i="49"/>
  <c r="BR33" i="49"/>
  <c r="BT33" i="49"/>
  <c r="BU33" i="49"/>
  <c r="BV33" i="49"/>
  <c r="BW33" i="49"/>
  <c r="BX33" i="49"/>
  <c r="CW33" i="49"/>
  <c r="DA33" i="49" s="1"/>
  <c r="CX33" i="49"/>
  <c r="DB33" i="49" s="1"/>
  <c r="DK33" i="49" s="1"/>
  <c r="CY33" i="49"/>
  <c r="CZ33" i="49"/>
  <c r="DC33" i="49"/>
  <c r="DD33" i="49"/>
  <c r="DE33" i="49"/>
  <c r="DI33" i="49" s="1"/>
  <c r="DF33" i="49"/>
  <c r="DJ33" i="49" s="1"/>
  <c r="DG33" i="49"/>
  <c r="DH33" i="49"/>
  <c r="EF33" i="49"/>
  <c r="EJ33" i="49" s="1"/>
  <c r="EG33" i="49"/>
  <c r="EK33" i="49" s="1"/>
  <c r="ET33" i="49" s="1"/>
  <c r="EH33" i="49"/>
  <c r="EI33" i="49"/>
  <c r="EL33" i="49"/>
  <c r="EM33" i="49"/>
  <c r="EN33" i="49"/>
  <c r="ER33" i="49" s="1"/>
  <c r="EO33" i="49"/>
  <c r="ES33" i="49" s="1"/>
  <c r="EP33" i="49"/>
  <c r="EQ33" i="49"/>
  <c r="AJ11" i="48"/>
  <c r="AK11" i="48"/>
  <c r="AL11" i="48"/>
  <c r="AM11" i="48"/>
  <c r="AN11" i="48"/>
  <c r="AP11" i="48"/>
  <c r="AQ11" i="48"/>
  <c r="AR11" i="48"/>
  <c r="AS11" i="48"/>
  <c r="AT11" i="48"/>
  <c r="BN11" i="48"/>
  <c r="BO11" i="48"/>
  <c r="BP11" i="48"/>
  <c r="BQ11" i="48"/>
  <c r="BR11" i="48"/>
  <c r="BT11" i="48"/>
  <c r="BU11" i="48"/>
  <c r="BV11" i="48"/>
  <c r="BW11" i="48"/>
  <c r="BX11" i="48"/>
  <c r="CW11" i="48"/>
  <c r="DA11" i="48" s="1"/>
  <c r="CX11" i="48"/>
  <c r="DB11" i="48" s="1"/>
  <c r="DK11" i="48" s="1"/>
  <c r="CY11" i="48"/>
  <c r="CZ11" i="48"/>
  <c r="DC11" i="48"/>
  <c r="DD11" i="48"/>
  <c r="DE11" i="48"/>
  <c r="DI11" i="48" s="1"/>
  <c r="DF11" i="48"/>
  <c r="DJ11" i="48" s="1"/>
  <c r="DG11" i="48"/>
  <c r="DH11" i="48"/>
  <c r="EF11" i="48"/>
  <c r="EG11" i="48"/>
  <c r="EH11" i="48"/>
  <c r="EI11" i="48"/>
  <c r="EL11" i="48"/>
  <c r="EM11" i="48"/>
  <c r="EN11" i="48"/>
  <c r="EO11" i="48"/>
  <c r="EP11" i="48"/>
  <c r="EQ11" i="48"/>
  <c r="AJ18" i="48"/>
  <c r="AK18" i="48"/>
  <c r="AL18" i="48"/>
  <c r="AM18" i="48"/>
  <c r="AN18" i="48"/>
  <c r="AP18" i="48"/>
  <c r="AQ18" i="48"/>
  <c r="AR18" i="48"/>
  <c r="AS18" i="48"/>
  <c r="AT18" i="48"/>
  <c r="BN18" i="48"/>
  <c r="BO18" i="48"/>
  <c r="BP18" i="48"/>
  <c r="BQ18" i="48"/>
  <c r="BR18" i="48"/>
  <c r="BT18" i="48"/>
  <c r="BU18" i="48"/>
  <c r="BV18" i="48"/>
  <c r="BW18" i="48"/>
  <c r="BX18" i="48"/>
  <c r="CW18" i="48"/>
  <c r="DA18" i="48" s="1"/>
  <c r="CX18" i="48"/>
  <c r="DB18" i="48" s="1"/>
  <c r="DK18" i="48" s="1"/>
  <c r="CY18" i="48"/>
  <c r="CZ18" i="48"/>
  <c r="DC18" i="48"/>
  <c r="DD18" i="48"/>
  <c r="DE18" i="48"/>
  <c r="DI18" i="48" s="1"/>
  <c r="DF18" i="48"/>
  <c r="DJ18" i="48" s="1"/>
  <c r="DG18" i="48"/>
  <c r="DH18" i="48"/>
  <c r="EF18" i="48"/>
  <c r="EG18" i="48"/>
  <c r="EH18" i="48"/>
  <c r="EI18" i="48"/>
  <c r="EL18" i="48"/>
  <c r="EM18" i="48"/>
  <c r="EN18" i="48"/>
  <c r="ER18" i="48" s="1"/>
  <c r="EO18" i="48"/>
  <c r="ES18" i="48" s="1"/>
  <c r="EP18" i="48"/>
  <c r="EQ18" i="48"/>
  <c r="AJ4" i="48"/>
  <c r="AK4" i="48"/>
  <c r="AL4" i="48"/>
  <c r="AM4" i="48"/>
  <c r="AN4" i="48"/>
  <c r="AP4" i="48"/>
  <c r="AQ4" i="48"/>
  <c r="AR4" i="48"/>
  <c r="AS4" i="48"/>
  <c r="AT4" i="48"/>
  <c r="BN4" i="48"/>
  <c r="BO4" i="48"/>
  <c r="BP4" i="48"/>
  <c r="BQ4" i="48"/>
  <c r="BR4" i="48"/>
  <c r="BT4" i="48"/>
  <c r="BU4" i="48"/>
  <c r="BV4" i="48"/>
  <c r="BW4" i="48"/>
  <c r="BX4" i="48"/>
  <c r="CW4" i="48"/>
  <c r="DA4" i="48" s="1"/>
  <c r="CX4" i="48"/>
  <c r="DB4" i="48" s="1"/>
  <c r="DK4" i="48" s="1"/>
  <c r="CY4" i="48"/>
  <c r="CZ4" i="48"/>
  <c r="DC4" i="48"/>
  <c r="DD4" i="48"/>
  <c r="DE4" i="48"/>
  <c r="DI4" i="48" s="1"/>
  <c r="DF4" i="48"/>
  <c r="DJ4" i="48" s="1"/>
  <c r="DG4" i="48"/>
  <c r="DH4" i="48"/>
  <c r="EF4" i="48"/>
  <c r="EG4" i="48"/>
  <c r="EH4" i="48"/>
  <c r="EI4" i="48"/>
  <c r="EL4" i="48"/>
  <c r="EM4" i="48"/>
  <c r="EN4" i="48"/>
  <c r="EO4" i="48"/>
  <c r="EP4" i="48"/>
  <c r="EQ4" i="48"/>
  <c r="AU5" i="52" l="1"/>
  <c r="DA7" i="52"/>
  <c r="AO5" i="52"/>
  <c r="AO6" i="51"/>
  <c r="AO14" i="51"/>
  <c r="BY18" i="49"/>
  <c r="BY30" i="49"/>
  <c r="BY20" i="49"/>
  <c r="BY33" i="49"/>
  <c r="AU33" i="49"/>
  <c r="AU4" i="48"/>
  <c r="BS9" i="52"/>
  <c r="BY6" i="52"/>
  <c r="BS5" i="52"/>
  <c r="J5" i="52" s="1"/>
  <c r="DA5" i="52"/>
  <c r="AU4" i="52"/>
  <c r="AV4" i="52" s="1"/>
  <c r="BY9" i="52"/>
  <c r="BY7" i="52"/>
  <c r="BY10" i="52"/>
  <c r="BY5" i="52"/>
  <c r="AO10" i="52"/>
  <c r="AO9" i="52"/>
  <c r="BS14" i="51"/>
  <c r="AU5" i="51"/>
  <c r="DB11" i="51"/>
  <c r="DK11" i="51" s="1"/>
  <c r="AO11" i="51"/>
  <c r="DA6" i="51"/>
  <c r="BY6" i="51"/>
  <c r="BS12" i="51"/>
  <c r="BS9" i="51"/>
  <c r="BY11" i="51"/>
  <c r="BY14" i="51"/>
  <c r="BY9" i="51"/>
  <c r="AO5" i="51"/>
  <c r="AU12" i="50"/>
  <c r="AU19" i="50"/>
  <c r="BY28" i="50"/>
  <c r="G28" i="50" s="1"/>
  <c r="BY19" i="50"/>
  <c r="BZ19" i="50" s="1"/>
  <c r="AO19" i="50"/>
  <c r="AV19" i="50" s="1"/>
  <c r="BS30" i="49"/>
  <c r="BZ30" i="49" s="1"/>
  <c r="BS17" i="49"/>
  <c r="AU20" i="49"/>
  <c r="AV20" i="49" s="1"/>
  <c r="BS33" i="49"/>
  <c r="BZ33" i="49" s="1"/>
  <c r="AO31" i="49"/>
  <c r="J31" i="49" s="1"/>
  <c r="K31" i="49" s="1"/>
  <c r="BS20" i="49"/>
  <c r="AU11" i="48"/>
  <c r="AU9" i="52"/>
  <c r="BS6" i="52"/>
  <c r="BY4" i="52"/>
  <c r="BS10" i="52"/>
  <c r="BZ10" i="52" s="1"/>
  <c r="AU7" i="52"/>
  <c r="BY11" i="52"/>
  <c r="BZ11" i="52" s="1"/>
  <c r="BS7" i="52"/>
  <c r="BZ7" i="52" s="1"/>
  <c r="AO11" i="52"/>
  <c r="AO6" i="52"/>
  <c r="BS6" i="51"/>
  <c r="J6" i="51" s="1"/>
  <c r="AO12" i="51"/>
  <c r="G12" i="51" s="1"/>
  <c r="BS11" i="51"/>
  <c r="J11" i="51" s="1"/>
  <c r="AU14" i="51"/>
  <c r="G14" i="51" s="1"/>
  <c r="AO9" i="51"/>
  <c r="BY5" i="51"/>
  <c r="AO28" i="50"/>
  <c r="BS28" i="50"/>
  <c r="BS12" i="50"/>
  <c r="BS18" i="49"/>
  <c r="BZ18" i="49" s="1"/>
  <c r="BY17" i="49"/>
  <c r="BY31" i="49"/>
  <c r="BZ31" i="49" s="1"/>
  <c r="EK11" i="48"/>
  <c r="ET11" i="48" s="1"/>
  <c r="AU18" i="48"/>
  <c r="BS11" i="48"/>
  <c r="ES4" i="48"/>
  <c r="ES11" i="48"/>
  <c r="EJ11" i="48"/>
  <c r="ER4" i="48"/>
  <c r="ER11" i="48"/>
  <c r="AU10" i="52"/>
  <c r="AU11" i="52"/>
  <c r="AO7" i="52"/>
  <c r="AU6" i="52"/>
  <c r="AU6" i="51"/>
  <c r="AV6" i="51" s="1"/>
  <c r="AU11" i="51"/>
  <c r="AU12" i="51"/>
  <c r="AO18" i="49"/>
  <c r="AO33" i="49"/>
  <c r="AU30" i="49"/>
  <c r="AO17" i="49"/>
  <c r="AU18" i="49"/>
  <c r="AU17" i="49"/>
  <c r="AO30" i="49"/>
  <c r="AU31" i="49"/>
  <c r="DB7" i="52"/>
  <c r="DK7" i="52" s="1"/>
  <c r="DB5" i="52"/>
  <c r="DK5" i="52" s="1"/>
  <c r="AV5" i="52"/>
  <c r="J4" i="52"/>
  <c r="DB6" i="51"/>
  <c r="DK6" i="51" s="1"/>
  <c r="J14" i="51"/>
  <c r="BY12" i="51"/>
  <c r="F28" i="50"/>
  <c r="AV28" i="50"/>
  <c r="J28" i="50"/>
  <c r="BY12" i="50"/>
  <c r="AO12" i="50"/>
  <c r="AV12" i="50" s="1"/>
  <c r="EK18" i="48"/>
  <c r="ET18" i="48" s="1"/>
  <c r="EJ18" i="48"/>
  <c r="BS4" i="48"/>
  <c r="AO11" i="48"/>
  <c r="AO4" i="48"/>
  <c r="AV4" i="48" s="1"/>
  <c r="EK4" i="48"/>
  <c r="ET4" i="48" s="1"/>
  <c r="EJ4" i="48"/>
  <c r="AO18" i="48"/>
  <c r="AV18" i="48" s="1"/>
  <c r="BY11" i="48"/>
  <c r="BS18" i="48"/>
  <c r="BY18" i="48"/>
  <c r="BY4" i="48"/>
  <c r="J9" i="52" l="1"/>
  <c r="I4" i="52"/>
  <c r="I5" i="52"/>
  <c r="BZ6" i="52"/>
  <c r="BZ9" i="52"/>
  <c r="BZ11" i="51"/>
  <c r="I5" i="51"/>
  <c r="F14" i="51"/>
  <c r="BZ6" i="51"/>
  <c r="BZ9" i="51"/>
  <c r="F11" i="51"/>
  <c r="J9" i="51"/>
  <c r="BZ14" i="51"/>
  <c r="F19" i="50"/>
  <c r="J19" i="50"/>
  <c r="BZ28" i="50"/>
  <c r="G19" i="50"/>
  <c r="BZ17" i="49"/>
  <c r="BZ20" i="49"/>
  <c r="J20" i="49"/>
  <c r="F20" i="49"/>
  <c r="G20" i="49"/>
  <c r="F31" i="49"/>
  <c r="J17" i="49"/>
  <c r="CA17" i="49" s="1"/>
  <c r="AV11" i="48"/>
  <c r="F10" i="52"/>
  <c r="J10" i="52"/>
  <c r="K10" i="52" s="1"/>
  <c r="J6" i="52"/>
  <c r="L6" i="52" s="1"/>
  <c r="M6" i="52" s="1"/>
  <c r="F4" i="52"/>
  <c r="F9" i="52"/>
  <c r="I9" i="52"/>
  <c r="G9" i="52"/>
  <c r="G4" i="52"/>
  <c r="F6" i="52"/>
  <c r="AV9" i="52"/>
  <c r="G5" i="52"/>
  <c r="F5" i="52"/>
  <c r="BZ4" i="52"/>
  <c r="AV7" i="52"/>
  <c r="G6" i="52"/>
  <c r="AV10" i="52"/>
  <c r="F11" i="52"/>
  <c r="BZ5" i="52"/>
  <c r="I11" i="51"/>
  <c r="AV5" i="51"/>
  <c r="J12" i="51"/>
  <c r="CA12" i="51" s="1"/>
  <c r="J5" i="51"/>
  <c r="N5" i="51" s="1"/>
  <c r="AV14" i="51"/>
  <c r="F12" i="51"/>
  <c r="F5" i="51"/>
  <c r="BZ5" i="51"/>
  <c r="G5" i="51"/>
  <c r="H5" i="51" s="1"/>
  <c r="I9" i="51"/>
  <c r="G9" i="51"/>
  <c r="I12" i="51"/>
  <c r="H12" i="51" s="1"/>
  <c r="A12" i="51" s="1" a="1"/>
  <c r="A12" i="51" s="1"/>
  <c r="I14" i="51"/>
  <c r="H14" i="51" s="1"/>
  <c r="A14" i="51" s="1" a="1"/>
  <c r="A14" i="51" s="1"/>
  <c r="BZ12" i="50"/>
  <c r="F33" i="49"/>
  <c r="L31" i="49"/>
  <c r="M31" i="49" s="1"/>
  <c r="CA31" i="49"/>
  <c r="N31" i="49"/>
  <c r="G18" i="49"/>
  <c r="H28" i="50"/>
  <c r="A28" i="50" s="1" a="1"/>
  <c r="A28" i="50" s="1"/>
  <c r="I7" i="52"/>
  <c r="AV11" i="52"/>
  <c r="J7" i="52"/>
  <c r="CA7" i="52" s="1"/>
  <c r="G10" i="52"/>
  <c r="I6" i="52"/>
  <c r="J11" i="52"/>
  <c r="K11" i="52" s="1"/>
  <c r="I10" i="52"/>
  <c r="I11" i="52"/>
  <c r="G11" i="52"/>
  <c r="F6" i="51"/>
  <c r="G11" i="51"/>
  <c r="H11" i="51" s="1"/>
  <c r="A11" i="51" s="1" a="1"/>
  <c r="A11" i="51" s="1"/>
  <c r="AV11" i="51"/>
  <c r="BZ12" i="51"/>
  <c r="F9" i="51"/>
  <c r="AV9" i="51"/>
  <c r="AV12" i="51"/>
  <c r="J12" i="50"/>
  <c r="K12" i="50" s="1"/>
  <c r="J18" i="49"/>
  <c r="K18" i="49" s="1"/>
  <c r="F7" i="52"/>
  <c r="H9" i="52"/>
  <c r="A9" i="52" s="1" a="1"/>
  <c r="A9" i="52" s="1"/>
  <c r="AV6" i="52"/>
  <c r="G7" i="52"/>
  <c r="F12" i="50"/>
  <c r="G12" i="50"/>
  <c r="AV33" i="49"/>
  <c r="AV17" i="49"/>
  <c r="J33" i="49"/>
  <c r="L33" i="49" s="1"/>
  <c r="M33" i="49" s="1"/>
  <c r="G33" i="49"/>
  <c r="AV31" i="49"/>
  <c r="F18" i="49"/>
  <c r="AV30" i="49"/>
  <c r="J4" i="48"/>
  <c r="N4" i="48" s="1"/>
  <c r="J11" i="48"/>
  <c r="CA11" i="48" s="1"/>
  <c r="F17" i="49"/>
  <c r="G17" i="49"/>
  <c r="AV18" i="49"/>
  <c r="G31" i="49"/>
  <c r="J30" i="49"/>
  <c r="CA30" i="49" s="1"/>
  <c r="G30" i="49"/>
  <c r="F30" i="49"/>
  <c r="K9" i="52"/>
  <c r="CA9" i="52"/>
  <c r="L9" i="52"/>
  <c r="M9" i="52" s="1"/>
  <c r="N9" i="52"/>
  <c r="L4" i="52"/>
  <c r="M4" i="52" s="1"/>
  <c r="N4" i="52"/>
  <c r="CA4" i="52"/>
  <c r="K4" i="52"/>
  <c r="CA5" i="52"/>
  <c r="K5" i="52"/>
  <c r="L5" i="52"/>
  <c r="M5" i="52" s="1"/>
  <c r="N5" i="52"/>
  <c r="I6" i="51"/>
  <c r="G6" i="51"/>
  <c r="N6" i="51"/>
  <c r="K6" i="51"/>
  <c r="L6" i="51"/>
  <c r="M6" i="51" s="1"/>
  <c r="CA6" i="51"/>
  <c r="K11" i="51"/>
  <c r="L11" i="51"/>
  <c r="M11" i="51" s="1"/>
  <c r="N11" i="51"/>
  <c r="CA11" i="51"/>
  <c r="N9" i="51"/>
  <c r="K9" i="51"/>
  <c r="L9" i="51"/>
  <c r="M9" i="51" s="1"/>
  <c r="CA9" i="51"/>
  <c r="L5" i="51"/>
  <c r="M5" i="51" s="1"/>
  <c r="L14" i="51"/>
  <c r="M14" i="51" s="1"/>
  <c r="N14" i="51"/>
  <c r="CA14" i="51"/>
  <c r="K14" i="51"/>
  <c r="L28" i="50"/>
  <c r="M28" i="50" s="1"/>
  <c r="N28" i="50"/>
  <c r="CA28" i="50"/>
  <c r="K28" i="50"/>
  <c r="H19" i="50"/>
  <c r="A19" i="50" s="1" a="1"/>
  <c r="A19" i="50" s="1"/>
  <c r="CA19" i="50"/>
  <c r="K19" i="50"/>
  <c r="L19" i="50"/>
  <c r="M19" i="50" s="1"/>
  <c r="N19" i="50"/>
  <c r="G11" i="48"/>
  <c r="J18" i="48"/>
  <c r="N18" i="48" s="1"/>
  <c r="F18" i="48"/>
  <c r="BZ11" i="48"/>
  <c r="BZ18" i="48"/>
  <c r="I11" i="48"/>
  <c r="CA20" i="49"/>
  <c r="K20" i="49"/>
  <c r="L20" i="49"/>
  <c r="M20" i="49" s="1"/>
  <c r="N20" i="49"/>
  <c r="O31" i="49"/>
  <c r="CB31" i="49"/>
  <c r="F11" i="48"/>
  <c r="I18" i="48"/>
  <c r="G18" i="48"/>
  <c r="BZ4" i="48"/>
  <c r="I4" i="48"/>
  <c r="G4" i="48"/>
  <c r="F4" i="48"/>
  <c r="CA11" i="52" l="1"/>
  <c r="L11" i="52"/>
  <c r="M11" i="52" s="1"/>
  <c r="CA6" i="52"/>
  <c r="N6" i="52"/>
  <c r="H6" i="52"/>
  <c r="A6" i="52" s="1" a="1"/>
  <c r="A6" i="52" s="1"/>
  <c r="H4" i="52"/>
  <c r="K6" i="52"/>
  <c r="N10" i="52"/>
  <c r="CB10" i="52" s="1"/>
  <c r="CA10" i="52"/>
  <c r="L10" i="52"/>
  <c r="M10" i="52" s="1"/>
  <c r="H5" i="52"/>
  <c r="N11" i="52"/>
  <c r="CB11" i="52" s="1"/>
  <c r="H11" i="52"/>
  <c r="A11" i="52" s="1" a="1"/>
  <c r="A11" i="52" s="1"/>
  <c r="H6" i="51"/>
  <c r="N12" i="51"/>
  <c r="K5" i="51"/>
  <c r="CA5" i="51"/>
  <c r="L12" i="51"/>
  <c r="M12" i="51" s="1"/>
  <c r="K12" i="51"/>
  <c r="H20" i="49"/>
  <c r="A20" i="49" s="1" a="1"/>
  <c r="A20" i="49" s="1"/>
  <c r="L17" i="49"/>
  <c r="M17" i="49" s="1"/>
  <c r="K17" i="49"/>
  <c r="N17" i="49"/>
  <c r="O17" i="49" s="1"/>
  <c r="H31" i="49"/>
  <c r="A31" i="49" s="1" a="1"/>
  <c r="A31" i="49" s="1"/>
  <c r="H33" i="49"/>
  <c r="A33" i="49" s="1" a="1"/>
  <c r="A33" i="49" s="1"/>
  <c r="K7" i="52"/>
  <c r="N7" i="52"/>
  <c r="CB7" i="52" s="1"/>
  <c r="L7" i="52"/>
  <c r="M7" i="52" s="1"/>
  <c r="H9" i="51"/>
  <c r="A9" i="51" s="1" a="1"/>
  <c r="A9" i="51" s="1"/>
  <c r="N12" i="50"/>
  <c r="CB12" i="50" s="1"/>
  <c r="L12" i="50"/>
  <c r="M12" i="50" s="1"/>
  <c r="CA12" i="50"/>
  <c r="H18" i="49"/>
  <c r="CA18" i="49"/>
  <c r="L18" i="49"/>
  <c r="M18" i="49" s="1"/>
  <c r="H17" i="49"/>
  <c r="A17" i="49" s="1" a="1"/>
  <c r="A17" i="49" s="1"/>
  <c r="N18" i="49"/>
  <c r="CB18" i="49" s="1"/>
  <c r="N33" i="49"/>
  <c r="CB33" i="49" s="1"/>
  <c r="L30" i="49"/>
  <c r="M30" i="49" s="1"/>
  <c r="CB17" i="49"/>
  <c r="K30" i="49"/>
  <c r="N30" i="49"/>
  <c r="O30" i="49" s="1"/>
  <c r="L4" i="48"/>
  <c r="M4" i="48" s="1"/>
  <c r="K4" i="48"/>
  <c r="CA4" i="48"/>
  <c r="H7" i="52"/>
  <c r="A7" i="52" s="1" a="1"/>
  <c r="A7" i="52" s="1"/>
  <c r="H12" i="50"/>
  <c r="A12" i="50" s="1" a="1"/>
  <c r="A12" i="50" s="1"/>
  <c r="H10" i="52"/>
  <c r="A10" i="52" s="1" a="1"/>
  <c r="A10" i="52" s="1"/>
  <c r="CA18" i="48"/>
  <c r="L18" i="48"/>
  <c r="M18" i="48" s="1"/>
  <c r="N11" i="48"/>
  <c r="O11" i="48" s="1"/>
  <c r="L11" i="48"/>
  <c r="M11" i="48" s="1"/>
  <c r="K18" i="48"/>
  <c r="K11" i="48"/>
  <c r="H30" i="49"/>
  <c r="A30" i="49" s="1" a="1"/>
  <c r="A30" i="49" s="1"/>
  <c r="K33" i="49"/>
  <c r="CA33" i="49"/>
  <c r="H11" i="48"/>
  <c r="O6" i="52"/>
  <c r="CB6" i="52"/>
  <c r="CB4" i="52"/>
  <c r="P4" i="52" s="1"/>
  <c r="O4" i="52"/>
  <c r="O9" i="52"/>
  <c r="CB9" i="52"/>
  <c r="CB5" i="52"/>
  <c r="O5" i="52"/>
  <c r="P9" i="52"/>
  <c r="O11" i="52"/>
  <c r="CB5" i="51"/>
  <c r="O5" i="51"/>
  <c r="O14" i="51"/>
  <c r="CB14" i="51"/>
  <c r="P5" i="51"/>
  <c r="CB12" i="51"/>
  <c r="O12" i="51"/>
  <c r="O6" i="51"/>
  <c r="CB6" i="51"/>
  <c r="CB11" i="51"/>
  <c r="O11" i="51"/>
  <c r="O9" i="51"/>
  <c r="CB9" i="51"/>
  <c r="CB19" i="50"/>
  <c r="P19" i="50" s="1"/>
  <c r="O19" i="50"/>
  <c r="O28" i="50"/>
  <c r="CB28" i="50"/>
  <c r="P28" i="50" s="1"/>
  <c r="H18" i="48"/>
  <c r="A18" i="48" s="1" a="1"/>
  <c r="A18" i="48" s="1"/>
  <c r="CB20" i="49"/>
  <c r="O20" i="49"/>
  <c r="P17" i="49"/>
  <c r="P31" i="49"/>
  <c r="CB18" i="48"/>
  <c r="O18" i="48"/>
  <c r="H4" i="48"/>
  <c r="CB4" i="48"/>
  <c r="O4" i="48"/>
  <c r="O10" i="52" l="1"/>
  <c r="O7" i="52"/>
  <c r="O12" i="50"/>
  <c r="O33" i="49"/>
  <c r="P18" i="48"/>
  <c r="O18" i="49"/>
  <c r="CB30" i="49"/>
  <c r="CB11" i="48"/>
  <c r="E19" i="50"/>
  <c r="P10" i="52"/>
  <c r="E10" i="52" s="1"/>
  <c r="E28" i="50"/>
  <c r="P20" i="49"/>
  <c r="Q20" i="49" s="1"/>
  <c r="P30" i="49"/>
  <c r="E30" i="49" s="1"/>
  <c r="P7" i="52"/>
  <c r="E7" i="52" s="1"/>
  <c r="Q4" i="52"/>
  <c r="R4" i="52"/>
  <c r="Q9" i="52"/>
  <c r="R9" i="52"/>
  <c r="E9" i="52"/>
  <c r="P6" i="52"/>
  <c r="P11" i="52"/>
  <c r="P5" i="52"/>
  <c r="E4" i="52"/>
  <c r="P6" i="51"/>
  <c r="Q6" i="51" s="1"/>
  <c r="P9" i="51"/>
  <c r="E9" i="51" s="1"/>
  <c r="E5" i="51"/>
  <c r="Q5" i="51"/>
  <c r="R5" i="51"/>
  <c r="P11" i="51"/>
  <c r="P12" i="51"/>
  <c r="P14" i="51"/>
  <c r="E14" i="51" s="1"/>
  <c r="R28" i="50"/>
  <c r="Q28" i="50"/>
  <c r="Q19" i="50"/>
  <c r="R19" i="50"/>
  <c r="P12" i="50"/>
  <c r="E12" i="50" s="1"/>
  <c r="P11" i="48"/>
  <c r="E11" i="48" s="1"/>
  <c r="Q31" i="49"/>
  <c r="R31" i="49"/>
  <c r="R17" i="49"/>
  <c r="Q17" i="49"/>
  <c r="P33" i="49"/>
  <c r="E31" i="49"/>
  <c r="E17" i="49"/>
  <c r="P18" i="49"/>
  <c r="Q18" i="48"/>
  <c r="R18" i="48"/>
  <c r="E18" i="48"/>
  <c r="P4" i="48"/>
  <c r="E4" i="48" s="1"/>
  <c r="E20" i="49" l="1"/>
  <c r="R30" i="49"/>
  <c r="Q10" i="52"/>
  <c r="R10" i="52"/>
  <c r="Q30" i="49"/>
  <c r="R7" i="52"/>
  <c r="Q7" i="52"/>
  <c r="E6" i="51"/>
  <c r="R9" i="51"/>
  <c r="R12" i="50"/>
  <c r="R20" i="49"/>
  <c r="R11" i="48"/>
  <c r="Q11" i="48"/>
  <c r="R6" i="52"/>
  <c r="Q6" i="52"/>
  <c r="E6" i="52"/>
  <c r="Q5" i="52"/>
  <c r="R5" i="52"/>
  <c r="E5" i="52"/>
  <c r="Q11" i="52"/>
  <c r="R11" i="52"/>
  <c r="E11" i="52"/>
  <c r="R6" i="51"/>
  <c r="Q9" i="51"/>
  <c r="Q14" i="51"/>
  <c r="R14" i="51"/>
  <c r="Q12" i="51"/>
  <c r="R12" i="51"/>
  <c r="E12" i="51"/>
  <c r="R11" i="51"/>
  <c r="Q11" i="51"/>
  <c r="E11" i="51"/>
  <c r="Q12" i="50"/>
  <c r="R4" i="48"/>
  <c r="Q4" i="48"/>
  <c r="Q33" i="49"/>
  <c r="R33" i="49"/>
  <c r="E33" i="49"/>
  <c r="R18" i="49"/>
  <c r="Q18" i="49"/>
  <c r="E18" i="49"/>
  <c r="AT12" i="52"/>
  <c r="AS12" i="52"/>
  <c r="AR12" i="52"/>
  <c r="AQ12" i="52"/>
  <c r="AP12" i="52"/>
  <c r="AN12" i="52"/>
  <c r="AM12" i="52"/>
  <c r="AL12" i="52"/>
  <c r="AK12" i="52"/>
  <c r="AJ12" i="52"/>
  <c r="AT8" i="52"/>
  <c r="AS8" i="52"/>
  <c r="AR8" i="52"/>
  <c r="AQ8" i="52"/>
  <c r="AP8" i="52"/>
  <c r="AN8" i="52"/>
  <c r="AM8" i="52"/>
  <c r="AL8" i="52"/>
  <c r="AK8" i="52"/>
  <c r="AJ8" i="52"/>
  <c r="AT10" i="51"/>
  <c r="AS10" i="51"/>
  <c r="AR10" i="51"/>
  <c r="AQ10" i="51"/>
  <c r="AP10" i="51"/>
  <c r="AN10" i="51"/>
  <c r="AM10" i="51"/>
  <c r="AL10" i="51"/>
  <c r="AK10" i="51"/>
  <c r="AJ10" i="51"/>
  <c r="AT8" i="51"/>
  <c r="AS8" i="51"/>
  <c r="AR8" i="51"/>
  <c r="AQ8" i="51"/>
  <c r="AP8" i="51"/>
  <c r="AN8" i="51"/>
  <c r="AM8" i="51"/>
  <c r="AL8" i="51"/>
  <c r="AK8" i="51"/>
  <c r="AJ8" i="51"/>
  <c r="AT13" i="51"/>
  <c r="AS13" i="51"/>
  <c r="AR13" i="51"/>
  <c r="AQ13" i="51"/>
  <c r="AP13" i="51"/>
  <c r="AN13" i="51"/>
  <c r="AM13" i="51"/>
  <c r="AL13" i="51"/>
  <c r="AK13" i="51"/>
  <c r="AJ13" i="51"/>
  <c r="AT7" i="51"/>
  <c r="AS7" i="51"/>
  <c r="AR7" i="51"/>
  <c r="AQ7" i="51"/>
  <c r="AP7" i="51"/>
  <c r="AN7" i="51"/>
  <c r="AM7" i="51"/>
  <c r="AL7" i="51"/>
  <c r="AK7" i="51"/>
  <c r="AJ7" i="51"/>
  <c r="AT4" i="51"/>
  <c r="AS4" i="51"/>
  <c r="AR4" i="51"/>
  <c r="AQ4" i="51"/>
  <c r="AP4" i="51"/>
  <c r="AN4" i="51"/>
  <c r="AM4" i="51"/>
  <c r="AL4" i="51"/>
  <c r="AK4" i="51"/>
  <c r="AJ4" i="51"/>
  <c r="AT26" i="50"/>
  <c r="AS26" i="50"/>
  <c r="AR26" i="50"/>
  <c r="AQ26" i="50"/>
  <c r="AP26" i="50"/>
  <c r="AN26" i="50"/>
  <c r="AM26" i="50"/>
  <c r="AL26" i="50"/>
  <c r="AK26" i="50"/>
  <c r="AJ26" i="50"/>
  <c r="AT24" i="50"/>
  <c r="AS24" i="50"/>
  <c r="AR24" i="50"/>
  <c r="AQ24" i="50"/>
  <c r="AP24" i="50"/>
  <c r="AN24" i="50"/>
  <c r="AM24" i="50"/>
  <c r="AL24" i="50"/>
  <c r="AK24" i="50"/>
  <c r="AJ24" i="50"/>
  <c r="AT17" i="50"/>
  <c r="AS17" i="50"/>
  <c r="AR17" i="50"/>
  <c r="AQ17" i="50"/>
  <c r="AP17" i="50"/>
  <c r="AN17" i="50"/>
  <c r="AM17" i="50"/>
  <c r="AL17" i="50"/>
  <c r="AK17" i="50"/>
  <c r="AJ17" i="50"/>
  <c r="AT23" i="50"/>
  <c r="AS23" i="50"/>
  <c r="AR23" i="50"/>
  <c r="AQ23" i="50"/>
  <c r="AP23" i="50"/>
  <c r="AN23" i="50"/>
  <c r="AM23" i="50"/>
  <c r="AL23" i="50"/>
  <c r="AK23" i="50"/>
  <c r="AJ23" i="50"/>
  <c r="AT25" i="50"/>
  <c r="AS25" i="50"/>
  <c r="AR25" i="50"/>
  <c r="AQ25" i="50"/>
  <c r="AP25" i="50"/>
  <c r="AN25" i="50"/>
  <c r="AM25" i="50"/>
  <c r="AL25" i="50"/>
  <c r="AK25" i="50"/>
  <c r="AJ25" i="50"/>
  <c r="AT10" i="50"/>
  <c r="AS10" i="50"/>
  <c r="AR10" i="50"/>
  <c r="AQ10" i="50"/>
  <c r="AP10" i="50"/>
  <c r="AN10" i="50"/>
  <c r="AM10" i="50"/>
  <c r="AL10" i="50"/>
  <c r="AK10" i="50"/>
  <c r="AJ10" i="50"/>
  <c r="AT11" i="50"/>
  <c r="AS11" i="50"/>
  <c r="AR11" i="50"/>
  <c r="AQ11" i="50"/>
  <c r="AP11" i="50"/>
  <c r="AN11" i="50"/>
  <c r="AM11" i="50"/>
  <c r="AL11" i="50"/>
  <c r="AK11" i="50"/>
  <c r="AJ11" i="50"/>
  <c r="AT18" i="50"/>
  <c r="AS18" i="50"/>
  <c r="AR18" i="50"/>
  <c r="AQ18" i="50"/>
  <c r="AP18" i="50"/>
  <c r="AN18" i="50"/>
  <c r="AM18" i="50"/>
  <c r="AL18" i="50"/>
  <c r="AK18" i="50"/>
  <c r="AJ18" i="50"/>
  <c r="AT16" i="50"/>
  <c r="AS16" i="50"/>
  <c r="AR16" i="50"/>
  <c r="AQ16" i="50"/>
  <c r="AP16" i="50"/>
  <c r="AN16" i="50"/>
  <c r="AM16" i="50"/>
  <c r="AL16" i="50"/>
  <c r="AK16" i="50"/>
  <c r="AJ16" i="50"/>
  <c r="AT27" i="50"/>
  <c r="AS27" i="50"/>
  <c r="AR27" i="50"/>
  <c r="AQ27" i="50"/>
  <c r="AP27" i="50"/>
  <c r="AN27" i="50"/>
  <c r="AM27" i="50"/>
  <c r="AL27" i="50"/>
  <c r="AK27" i="50"/>
  <c r="AJ27" i="50"/>
  <c r="AT14" i="50"/>
  <c r="AS14" i="50"/>
  <c r="AR14" i="50"/>
  <c r="AQ14" i="50"/>
  <c r="AP14" i="50"/>
  <c r="AN14" i="50"/>
  <c r="AM14" i="50"/>
  <c r="AL14" i="50"/>
  <c r="AK14" i="50"/>
  <c r="AJ14" i="50"/>
  <c r="AT13" i="50"/>
  <c r="AS13" i="50"/>
  <c r="AR13" i="50"/>
  <c r="AQ13" i="50"/>
  <c r="AP13" i="50"/>
  <c r="AN13" i="50"/>
  <c r="AM13" i="50"/>
  <c r="AL13" i="50"/>
  <c r="AK13" i="50"/>
  <c r="AJ13" i="50"/>
  <c r="AT29" i="50"/>
  <c r="AS29" i="50"/>
  <c r="AR29" i="50"/>
  <c r="AQ29" i="50"/>
  <c r="AP29" i="50"/>
  <c r="AN29" i="50"/>
  <c r="AM29" i="50"/>
  <c r="AL29" i="50"/>
  <c r="AK29" i="50"/>
  <c r="AJ29" i="50"/>
  <c r="AT6" i="50"/>
  <c r="AS6" i="50"/>
  <c r="AR6" i="50"/>
  <c r="AQ6" i="50"/>
  <c r="AP6" i="50"/>
  <c r="AN6" i="50"/>
  <c r="AM6" i="50"/>
  <c r="AL6" i="50"/>
  <c r="AK6" i="50"/>
  <c r="AJ6" i="50"/>
  <c r="AT22" i="50"/>
  <c r="AS22" i="50"/>
  <c r="AR22" i="50"/>
  <c r="AQ22" i="50"/>
  <c r="AP22" i="50"/>
  <c r="AN22" i="50"/>
  <c r="AM22" i="50"/>
  <c r="AL22" i="50"/>
  <c r="AK22" i="50"/>
  <c r="AJ22" i="50"/>
  <c r="AT15" i="50"/>
  <c r="AS15" i="50"/>
  <c r="AR15" i="50"/>
  <c r="AQ15" i="50"/>
  <c r="AP15" i="50"/>
  <c r="AN15" i="50"/>
  <c r="AM15" i="50"/>
  <c r="AL15" i="50"/>
  <c r="AK15" i="50"/>
  <c r="AJ15" i="50"/>
  <c r="AT20" i="50"/>
  <c r="AS20" i="50"/>
  <c r="AR20" i="50"/>
  <c r="AQ20" i="50"/>
  <c r="AP20" i="50"/>
  <c r="AN20" i="50"/>
  <c r="AM20" i="50"/>
  <c r="AL20" i="50"/>
  <c r="AK20" i="50"/>
  <c r="AJ20" i="50"/>
  <c r="AT7" i="50"/>
  <c r="AS7" i="50"/>
  <c r="AR7" i="50"/>
  <c r="AQ7" i="50"/>
  <c r="AP7" i="50"/>
  <c r="AN7" i="50"/>
  <c r="AM7" i="50"/>
  <c r="AL7" i="50"/>
  <c r="AK7" i="50"/>
  <c r="AJ7" i="50"/>
  <c r="AT5" i="50"/>
  <c r="AS5" i="50"/>
  <c r="AR5" i="50"/>
  <c r="AQ5" i="50"/>
  <c r="AP5" i="50"/>
  <c r="AN5" i="50"/>
  <c r="AM5" i="50"/>
  <c r="AL5" i="50"/>
  <c r="AK5" i="50"/>
  <c r="AJ5" i="50"/>
  <c r="AT8" i="50"/>
  <c r="AS8" i="50"/>
  <c r="AR8" i="50"/>
  <c r="AQ8" i="50"/>
  <c r="AP8" i="50"/>
  <c r="AN8" i="50"/>
  <c r="AM8" i="50"/>
  <c r="AL8" i="50"/>
  <c r="AK8" i="50"/>
  <c r="AJ8" i="50"/>
  <c r="AT21" i="50"/>
  <c r="AS21" i="50"/>
  <c r="AR21" i="50"/>
  <c r="AQ21" i="50"/>
  <c r="AP21" i="50"/>
  <c r="AN21" i="50"/>
  <c r="AM21" i="50"/>
  <c r="AL21" i="50"/>
  <c r="AK21" i="50"/>
  <c r="AJ21" i="50"/>
  <c r="AT4" i="50"/>
  <c r="AS4" i="50"/>
  <c r="AR4" i="50"/>
  <c r="AQ4" i="50"/>
  <c r="AP4" i="50"/>
  <c r="AN4" i="50"/>
  <c r="AM4" i="50"/>
  <c r="AL4" i="50"/>
  <c r="AK4" i="50"/>
  <c r="AJ4" i="50"/>
  <c r="AT9" i="50"/>
  <c r="AS9" i="50"/>
  <c r="AR9" i="50"/>
  <c r="AQ9" i="50"/>
  <c r="AP9" i="50"/>
  <c r="AN9" i="50"/>
  <c r="AM9" i="50"/>
  <c r="AL9" i="50"/>
  <c r="AK9" i="50"/>
  <c r="AJ9" i="50"/>
  <c r="AT28" i="49"/>
  <c r="AS28" i="49"/>
  <c r="AR28" i="49"/>
  <c r="AQ28" i="49"/>
  <c r="AP28" i="49"/>
  <c r="AN28" i="49"/>
  <c r="AM28" i="49"/>
  <c r="AL28" i="49"/>
  <c r="AK28" i="49"/>
  <c r="AJ28" i="49"/>
  <c r="AT10" i="49"/>
  <c r="AS10" i="49"/>
  <c r="AR10" i="49"/>
  <c r="AQ10" i="49"/>
  <c r="AP10" i="49"/>
  <c r="AN10" i="49"/>
  <c r="AM10" i="49"/>
  <c r="AL10" i="49"/>
  <c r="AK10" i="49"/>
  <c r="AJ10" i="49"/>
  <c r="AT29" i="49"/>
  <c r="AS29" i="49"/>
  <c r="AR29" i="49"/>
  <c r="AQ29" i="49"/>
  <c r="AU29" i="49" s="1"/>
  <c r="AP29" i="49"/>
  <c r="AN29" i="49"/>
  <c r="AM29" i="49"/>
  <c r="AL29" i="49"/>
  <c r="AK29" i="49"/>
  <c r="AJ29" i="49"/>
  <c r="AT15" i="49"/>
  <c r="AS15" i="49"/>
  <c r="AR15" i="49"/>
  <c r="AQ15" i="49"/>
  <c r="AP15" i="49"/>
  <c r="AN15" i="49"/>
  <c r="AM15" i="49"/>
  <c r="AL15" i="49"/>
  <c r="AK15" i="49"/>
  <c r="AJ15" i="49"/>
  <c r="AT27" i="49"/>
  <c r="AS27" i="49"/>
  <c r="AR27" i="49"/>
  <c r="AQ27" i="49"/>
  <c r="AP27" i="49"/>
  <c r="AN27" i="49"/>
  <c r="AM27" i="49"/>
  <c r="AL27" i="49"/>
  <c r="AK27" i="49"/>
  <c r="AJ27" i="49"/>
  <c r="AT25" i="49"/>
  <c r="AS25" i="49"/>
  <c r="AR25" i="49"/>
  <c r="AQ25" i="49"/>
  <c r="AP25" i="49"/>
  <c r="AN25" i="49"/>
  <c r="AM25" i="49"/>
  <c r="AL25" i="49"/>
  <c r="AK25" i="49"/>
  <c r="AJ25" i="49"/>
  <c r="AT34" i="49"/>
  <c r="AS34" i="49"/>
  <c r="AR34" i="49"/>
  <c r="AQ34" i="49"/>
  <c r="AP34" i="49"/>
  <c r="AN34" i="49"/>
  <c r="AM34" i="49"/>
  <c r="AL34" i="49"/>
  <c r="AK34" i="49"/>
  <c r="AJ34" i="49"/>
  <c r="AT16" i="49"/>
  <c r="AS16" i="49"/>
  <c r="AR16" i="49"/>
  <c r="AQ16" i="49"/>
  <c r="AP16" i="49"/>
  <c r="AN16" i="49"/>
  <c r="AM16" i="49"/>
  <c r="AL16" i="49"/>
  <c r="AK16" i="49"/>
  <c r="AJ16" i="49"/>
  <c r="AT7" i="49"/>
  <c r="AS7" i="49"/>
  <c r="AR7" i="49"/>
  <c r="AQ7" i="49"/>
  <c r="AP7" i="49"/>
  <c r="AN7" i="49"/>
  <c r="AM7" i="49"/>
  <c r="AL7" i="49"/>
  <c r="AK7" i="49"/>
  <c r="AJ7" i="49"/>
  <c r="AT19" i="49"/>
  <c r="AS19" i="49"/>
  <c r="AR19" i="49"/>
  <c r="AQ19" i="49"/>
  <c r="AP19" i="49"/>
  <c r="AN19" i="49"/>
  <c r="AM19" i="49"/>
  <c r="AL19" i="49"/>
  <c r="AK19" i="49"/>
  <c r="AJ19" i="49"/>
  <c r="AT12" i="49"/>
  <c r="AS12" i="49"/>
  <c r="AR12" i="49"/>
  <c r="AQ12" i="49"/>
  <c r="AP12" i="49"/>
  <c r="AN12" i="49"/>
  <c r="AM12" i="49"/>
  <c r="AL12" i="49"/>
  <c r="AK12" i="49"/>
  <c r="AJ12" i="49"/>
  <c r="AT26" i="49"/>
  <c r="AS26" i="49"/>
  <c r="AR26" i="49"/>
  <c r="AQ26" i="49"/>
  <c r="AP26" i="49"/>
  <c r="AN26" i="49"/>
  <c r="AM26" i="49"/>
  <c r="AL26" i="49"/>
  <c r="AK26" i="49"/>
  <c r="AJ26" i="49"/>
  <c r="AT21" i="49"/>
  <c r="AS21" i="49"/>
  <c r="AR21" i="49"/>
  <c r="AQ21" i="49"/>
  <c r="AP21" i="49"/>
  <c r="AN21" i="49"/>
  <c r="AM21" i="49"/>
  <c r="AL21" i="49"/>
  <c r="AK21" i="49"/>
  <c r="AJ21" i="49"/>
  <c r="AT14" i="49"/>
  <c r="AS14" i="49"/>
  <c r="AR14" i="49"/>
  <c r="AQ14" i="49"/>
  <c r="AP14" i="49"/>
  <c r="AN14" i="49"/>
  <c r="AM14" i="49"/>
  <c r="AL14" i="49"/>
  <c r="AK14" i="49"/>
  <c r="AJ14" i="49"/>
  <c r="AT13" i="49"/>
  <c r="AS13" i="49"/>
  <c r="AR13" i="49"/>
  <c r="AQ13" i="49"/>
  <c r="AP13" i="49"/>
  <c r="AN13" i="49"/>
  <c r="AM13" i="49"/>
  <c r="AL13" i="49"/>
  <c r="AK13" i="49"/>
  <c r="AJ13" i="49"/>
  <c r="AT5" i="49"/>
  <c r="AS5" i="49"/>
  <c r="AR5" i="49"/>
  <c r="AQ5" i="49"/>
  <c r="AP5" i="49"/>
  <c r="AN5" i="49"/>
  <c r="AM5" i="49"/>
  <c r="AL5" i="49"/>
  <c r="AK5" i="49"/>
  <c r="AJ5" i="49"/>
  <c r="AT32" i="49"/>
  <c r="AS32" i="49"/>
  <c r="AR32" i="49"/>
  <c r="AQ32" i="49"/>
  <c r="AP32" i="49"/>
  <c r="AN32" i="49"/>
  <c r="AM32" i="49"/>
  <c r="AL32" i="49"/>
  <c r="AK32" i="49"/>
  <c r="AJ32" i="49"/>
  <c r="AT23" i="49"/>
  <c r="AS23" i="49"/>
  <c r="AR23" i="49"/>
  <c r="AQ23" i="49"/>
  <c r="AP23" i="49"/>
  <c r="AN23" i="49"/>
  <c r="AM23" i="49"/>
  <c r="AL23" i="49"/>
  <c r="AK23" i="49"/>
  <c r="AJ23" i="49"/>
  <c r="AT22" i="49"/>
  <c r="AS22" i="49"/>
  <c r="AR22" i="49"/>
  <c r="AQ22" i="49"/>
  <c r="AP22" i="49"/>
  <c r="AN22" i="49"/>
  <c r="AM22" i="49"/>
  <c r="AL22" i="49"/>
  <c r="AK22" i="49"/>
  <c r="AJ22" i="49"/>
  <c r="AT24" i="49"/>
  <c r="AS24" i="49"/>
  <c r="AR24" i="49"/>
  <c r="AQ24" i="49"/>
  <c r="AP24" i="49"/>
  <c r="AN24" i="49"/>
  <c r="AM24" i="49"/>
  <c r="AL24" i="49"/>
  <c r="AK24" i="49"/>
  <c r="AJ24" i="49"/>
  <c r="AT6" i="49"/>
  <c r="AS6" i="49"/>
  <c r="AR6" i="49"/>
  <c r="AQ6" i="49"/>
  <c r="AP6" i="49"/>
  <c r="AN6" i="49"/>
  <c r="AM6" i="49"/>
  <c r="AL6" i="49"/>
  <c r="AK6" i="49"/>
  <c r="AJ6" i="49"/>
  <c r="AT11" i="49"/>
  <c r="AS11" i="49"/>
  <c r="AR11" i="49"/>
  <c r="AQ11" i="49"/>
  <c r="AP11" i="49"/>
  <c r="AN11" i="49"/>
  <c r="AM11" i="49"/>
  <c r="AL11" i="49"/>
  <c r="AK11" i="49"/>
  <c r="AJ11" i="49"/>
  <c r="AT8" i="49"/>
  <c r="AS8" i="49"/>
  <c r="AR8" i="49"/>
  <c r="AQ8" i="49"/>
  <c r="AP8" i="49"/>
  <c r="AN8" i="49"/>
  <c r="AM8" i="49"/>
  <c r="AL8" i="49"/>
  <c r="AK8" i="49"/>
  <c r="AJ8" i="49"/>
  <c r="AT4" i="49"/>
  <c r="AS4" i="49"/>
  <c r="AR4" i="49"/>
  <c r="AQ4" i="49"/>
  <c r="AP4" i="49"/>
  <c r="AN4" i="49"/>
  <c r="AM4" i="49"/>
  <c r="AL4" i="49"/>
  <c r="AK4" i="49"/>
  <c r="AJ4" i="49"/>
  <c r="AT9" i="49"/>
  <c r="AS9" i="49"/>
  <c r="AR9" i="49"/>
  <c r="AQ9" i="49"/>
  <c r="AP9" i="49"/>
  <c r="AN9" i="49"/>
  <c r="AM9" i="49"/>
  <c r="AL9" i="49"/>
  <c r="AK9" i="49"/>
  <c r="AJ9" i="49"/>
  <c r="AT21" i="48"/>
  <c r="AS21" i="48"/>
  <c r="AR21" i="48"/>
  <c r="AQ21" i="48"/>
  <c r="AP21" i="48"/>
  <c r="AN21" i="48"/>
  <c r="AM21" i="48"/>
  <c r="AL21" i="48"/>
  <c r="AK21" i="48"/>
  <c r="AJ21" i="48"/>
  <c r="AT15" i="48"/>
  <c r="AS15" i="48"/>
  <c r="AR15" i="48"/>
  <c r="AQ15" i="48"/>
  <c r="AP15" i="48"/>
  <c r="AN15" i="48"/>
  <c r="AM15" i="48"/>
  <c r="AL15" i="48"/>
  <c r="AK15" i="48"/>
  <c r="AJ15" i="48"/>
  <c r="AT8" i="48"/>
  <c r="AS8" i="48"/>
  <c r="AR8" i="48"/>
  <c r="AQ8" i="48"/>
  <c r="AP8" i="48"/>
  <c r="AN8" i="48"/>
  <c r="AM8" i="48"/>
  <c r="AL8" i="48"/>
  <c r="AK8" i="48"/>
  <c r="AJ8" i="48"/>
  <c r="AT20" i="48"/>
  <c r="AS20" i="48"/>
  <c r="AR20" i="48"/>
  <c r="AQ20" i="48"/>
  <c r="AP20" i="48"/>
  <c r="AN20" i="48"/>
  <c r="AM20" i="48"/>
  <c r="AL20" i="48"/>
  <c r="AK20" i="48"/>
  <c r="AJ20" i="48"/>
  <c r="AT17" i="48"/>
  <c r="AS17" i="48"/>
  <c r="AR17" i="48"/>
  <c r="AQ17" i="48"/>
  <c r="AP17" i="48"/>
  <c r="AN17" i="48"/>
  <c r="AM17" i="48"/>
  <c r="AL17" i="48"/>
  <c r="AK17" i="48"/>
  <c r="AJ17" i="48"/>
  <c r="AT14" i="48"/>
  <c r="AS14" i="48"/>
  <c r="AR14" i="48"/>
  <c r="AQ14" i="48"/>
  <c r="AP14" i="48"/>
  <c r="AN14" i="48"/>
  <c r="AM14" i="48"/>
  <c r="AL14" i="48"/>
  <c r="AK14" i="48"/>
  <c r="AJ14" i="48"/>
  <c r="AT16" i="48"/>
  <c r="AS16" i="48"/>
  <c r="AR16" i="48"/>
  <c r="AQ16" i="48"/>
  <c r="AP16" i="48"/>
  <c r="AN16" i="48"/>
  <c r="AM16" i="48"/>
  <c r="AL16" i="48"/>
  <c r="AK16" i="48"/>
  <c r="AJ16" i="48"/>
  <c r="AT6" i="48"/>
  <c r="AS6" i="48"/>
  <c r="AR6" i="48"/>
  <c r="AQ6" i="48"/>
  <c r="AP6" i="48"/>
  <c r="AN6" i="48"/>
  <c r="AM6" i="48"/>
  <c r="AL6" i="48"/>
  <c r="AK6" i="48"/>
  <c r="AJ6" i="48"/>
  <c r="AT7" i="48"/>
  <c r="AS7" i="48"/>
  <c r="AR7" i="48"/>
  <c r="AQ7" i="48"/>
  <c r="AP7" i="48"/>
  <c r="AN7" i="48"/>
  <c r="AM7" i="48"/>
  <c r="AL7" i="48"/>
  <c r="AK7" i="48"/>
  <c r="AJ7" i="48"/>
  <c r="AT9" i="48"/>
  <c r="AS9" i="48"/>
  <c r="AR9" i="48"/>
  <c r="AQ9" i="48"/>
  <c r="AP9" i="48"/>
  <c r="AN9" i="48"/>
  <c r="AM9" i="48"/>
  <c r="AL9" i="48"/>
  <c r="AK9" i="48"/>
  <c r="AJ9" i="48"/>
  <c r="AT19" i="48"/>
  <c r="AS19" i="48"/>
  <c r="AR19" i="48"/>
  <c r="AQ19" i="48"/>
  <c r="AP19" i="48"/>
  <c r="AN19" i="48"/>
  <c r="AM19" i="48"/>
  <c r="AL19" i="48"/>
  <c r="AK19" i="48"/>
  <c r="AJ19" i="48"/>
  <c r="AT13" i="48"/>
  <c r="AS13" i="48"/>
  <c r="AR13" i="48"/>
  <c r="AQ13" i="48"/>
  <c r="AP13" i="48"/>
  <c r="AN13" i="48"/>
  <c r="AM13" i="48"/>
  <c r="AL13" i="48"/>
  <c r="AK13" i="48"/>
  <c r="AJ13" i="48"/>
  <c r="AT12" i="48"/>
  <c r="AS12" i="48"/>
  <c r="AR12" i="48"/>
  <c r="AQ12" i="48"/>
  <c r="AP12" i="48"/>
  <c r="AN12" i="48"/>
  <c r="AM12" i="48"/>
  <c r="AL12" i="48"/>
  <c r="AK12" i="48"/>
  <c r="AJ12" i="48"/>
  <c r="AT5" i="48"/>
  <c r="AS5" i="48"/>
  <c r="AR5" i="48"/>
  <c r="AQ5" i="48"/>
  <c r="AP5" i="48"/>
  <c r="AN5" i="48"/>
  <c r="AM5" i="48"/>
  <c r="AL5" i="48"/>
  <c r="AK5" i="48"/>
  <c r="AJ5" i="48"/>
  <c r="AT10" i="48"/>
  <c r="AS10" i="48"/>
  <c r="AR10" i="48"/>
  <c r="AQ10" i="48"/>
  <c r="AP10" i="48"/>
  <c r="AN10" i="48"/>
  <c r="AM10" i="48"/>
  <c r="AL10" i="48"/>
  <c r="AK10" i="48"/>
  <c r="AJ10" i="48"/>
  <c r="AT22" i="47"/>
  <c r="AS22" i="47"/>
  <c r="AR22" i="47"/>
  <c r="AQ22" i="47"/>
  <c r="AP22" i="47"/>
  <c r="AN22" i="47"/>
  <c r="AM22" i="47"/>
  <c r="AL22" i="47"/>
  <c r="AK22" i="47"/>
  <c r="AJ22" i="47"/>
  <c r="AT20" i="47"/>
  <c r="AS20" i="47"/>
  <c r="AR20" i="47"/>
  <c r="AQ20" i="47"/>
  <c r="AP20" i="47"/>
  <c r="AN20" i="47"/>
  <c r="AM20" i="47"/>
  <c r="AL20" i="47"/>
  <c r="AK20" i="47"/>
  <c r="AJ20" i="47"/>
  <c r="AT13" i="47"/>
  <c r="AS13" i="47"/>
  <c r="AR13" i="47"/>
  <c r="AQ13" i="47"/>
  <c r="AP13" i="47"/>
  <c r="AN13" i="47"/>
  <c r="AM13" i="47"/>
  <c r="AL13" i="47"/>
  <c r="AK13" i="47"/>
  <c r="AJ13" i="47"/>
  <c r="AT10" i="47"/>
  <c r="AS10" i="47"/>
  <c r="AR10" i="47"/>
  <c r="AQ10" i="47"/>
  <c r="AP10" i="47"/>
  <c r="AN10" i="47"/>
  <c r="AM10" i="47"/>
  <c r="AL10" i="47"/>
  <c r="AK10" i="47"/>
  <c r="AJ10" i="47"/>
  <c r="AT19" i="47"/>
  <c r="AS19" i="47"/>
  <c r="AR19" i="47"/>
  <c r="AQ19" i="47"/>
  <c r="AP19" i="47"/>
  <c r="AN19" i="47"/>
  <c r="AM19" i="47"/>
  <c r="AL19" i="47"/>
  <c r="AK19" i="47"/>
  <c r="AJ19" i="47"/>
  <c r="AT14" i="47"/>
  <c r="AS14" i="47"/>
  <c r="AR14" i="47"/>
  <c r="AQ14" i="47"/>
  <c r="AP14" i="47"/>
  <c r="AN14" i="47"/>
  <c r="AM14" i="47"/>
  <c r="AL14" i="47"/>
  <c r="AK14" i="47"/>
  <c r="AJ14" i="47"/>
  <c r="AT17" i="47"/>
  <c r="AS17" i="47"/>
  <c r="AR17" i="47"/>
  <c r="AQ17" i="47"/>
  <c r="AP17" i="47"/>
  <c r="AN17" i="47"/>
  <c r="AM17" i="47"/>
  <c r="AL17" i="47"/>
  <c r="AK17" i="47"/>
  <c r="AJ17" i="47"/>
  <c r="AT7" i="47"/>
  <c r="AS7" i="47"/>
  <c r="AR7" i="47"/>
  <c r="AQ7" i="47"/>
  <c r="AP7" i="47"/>
  <c r="AN7" i="47"/>
  <c r="AM7" i="47"/>
  <c r="AL7" i="47"/>
  <c r="AK7" i="47"/>
  <c r="AJ7" i="47"/>
  <c r="AT18" i="47"/>
  <c r="AS18" i="47"/>
  <c r="AR18" i="47"/>
  <c r="AQ18" i="47"/>
  <c r="AP18" i="47"/>
  <c r="AN18" i="47"/>
  <c r="AM18" i="47"/>
  <c r="AL18" i="47"/>
  <c r="AK18" i="47"/>
  <c r="AJ18" i="47"/>
  <c r="AT5" i="47"/>
  <c r="AS5" i="47"/>
  <c r="AR5" i="47"/>
  <c r="AQ5" i="47"/>
  <c r="AP5" i="47"/>
  <c r="AN5" i="47"/>
  <c r="AM5" i="47"/>
  <c r="AL5" i="47"/>
  <c r="AK5" i="47"/>
  <c r="AJ5" i="47"/>
  <c r="AT21" i="47"/>
  <c r="AS21" i="47"/>
  <c r="AR21" i="47"/>
  <c r="AQ21" i="47"/>
  <c r="AP21" i="47"/>
  <c r="AN21" i="47"/>
  <c r="AM21" i="47"/>
  <c r="AL21" i="47"/>
  <c r="AK21" i="47"/>
  <c r="AJ21" i="47"/>
  <c r="AT16" i="47"/>
  <c r="AS16" i="47"/>
  <c r="AR16" i="47"/>
  <c r="AQ16" i="47"/>
  <c r="AP16" i="47"/>
  <c r="AN16" i="47"/>
  <c r="AM16" i="47"/>
  <c r="AL16" i="47"/>
  <c r="AK16" i="47"/>
  <c r="AJ16" i="47"/>
  <c r="AT23" i="47"/>
  <c r="AS23" i="47"/>
  <c r="AR23" i="47"/>
  <c r="AQ23" i="47"/>
  <c r="AP23" i="47"/>
  <c r="AN23" i="47"/>
  <c r="AM23" i="47"/>
  <c r="AL23" i="47"/>
  <c r="AK23" i="47"/>
  <c r="AJ23" i="47"/>
  <c r="AT15" i="47"/>
  <c r="AS15" i="47"/>
  <c r="AR15" i="47"/>
  <c r="AQ15" i="47"/>
  <c r="AP15" i="47"/>
  <c r="AN15" i="47"/>
  <c r="AM15" i="47"/>
  <c r="AL15" i="47"/>
  <c r="AK15" i="47"/>
  <c r="AJ15" i="47"/>
  <c r="AT8" i="47"/>
  <c r="AS8" i="47"/>
  <c r="AR8" i="47"/>
  <c r="AQ8" i="47"/>
  <c r="AP8" i="47"/>
  <c r="AN8" i="47"/>
  <c r="AM8" i="47"/>
  <c r="AL8" i="47"/>
  <c r="AK8" i="47"/>
  <c r="AJ8" i="47"/>
  <c r="AT12" i="47"/>
  <c r="AS12" i="47"/>
  <c r="AR12" i="47"/>
  <c r="AQ12" i="47"/>
  <c r="AP12" i="47"/>
  <c r="AN12" i="47"/>
  <c r="AM12" i="47"/>
  <c r="AL12" i="47"/>
  <c r="AK12" i="47"/>
  <c r="AJ12" i="47"/>
  <c r="AT4" i="47"/>
  <c r="AS4" i="47"/>
  <c r="AR4" i="47"/>
  <c r="AQ4" i="47"/>
  <c r="AP4" i="47"/>
  <c r="AN4" i="47"/>
  <c r="AM4" i="47"/>
  <c r="AL4" i="47"/>
  <c r="AK4" i="47"/>
  <c r="AJ4" i="47"/>
  <c r="AT11" i="47"/>
  <c r="AS11" i="47"/>
  <c r="AR11" i="47"/>
  <c r="AQ11" i="47"/>
  <c r="AP11" i="47"/>
  <c r="AN11" i="47"/>
  <c r="AM11" i="47"/>
  <c r="AL11" i="47"/>
  <c r="AK11" i="47"/>
  <c r="AJ11" i="47"/>
  <c r="AT9" i="47"/>
  <c r="AS9" i="47"/>
  <c r="AR9" i="47"/>
  <c r="AQ9" i="47"/>
  <c r="AP9" i="47"/>
  <c r="AN9" i="47"/>
  <c r="AM9" i="47"/>
  <c r="AL9" i="47"/>
  <c r="AK9" i="47"/>
  <c r="AJ9" i="47"/>
  <c r="AT6" i="47"/>
  <c r="AS6" i="47"/>
  <c r="AR6" i="47"/>
  <c r="AQ6" i="47"/>
  <c r="AP6" i="47"/>
  <c r="AN6" i="47"/>
  <c r="AM6" i="47"/>
  <c r="AL6" i="47"/>
  <c r="AK6" i="47"/>
  <c r="AJ6" i="47"/>
  <c r="BN22" i="47"/>
  <c r="BO22" i="47"/>
  <c r="BP22" i="47"/>
  <c r="BQ22" i="47"/>
  <c r="BR22" i="47"/>
  <c r="BT22" i="47"/>
  <c r="BU22" i="47"/>
  <c r="BV22" i="47"/>
  <c r="BW22" i="47"/>
  <c r="BX22" i="47"/>
  <c r="CW22" i="47"/>
  <c r="DA22" i="47" s="1"/>
  <c r="CX22" i="47"/>
  <c r="DB22" i="47" s="1"/>
  <c r="DK22" i="47" s="1"/>
  <c r="CY22" i="47"/>
  <c r="CZ22" i="47"/>
  <c r="DC22" i="47"/>
  <c r="DD22" i="47"/>
  <c r="DE22" i="47"/>
  <c r="DI22" i="47" s="1"/>
  <c r="DF22" i="47"/>
  <c r="DJ22" i="47" s="1"/>
  <c r="DG22" i="47"/>
  <c r="DH22" i="47"/>
  <c r="EF22" i="47"/>
  <c r="EJ22" i="47" s="1"/>
  <c r="EG22" i="47"/>
  <c r="EK22" i="47" s="1"/>
  <c r="ET22" i="47" s="1"/>
  <c r="EH22" i="47"/>
  <c r="EI22" i="47"/>
  <c r="EL22" i="47"/>
  <c r="EM22" i="47"/>
  <c r="EN22" i="47"/>
  <c r="ER22" i="47" s="1"/>
  <c r="EO22" i="47"/>
  <c r="ES22" i="47" s="1"/>
  <c r="EP22" i="47"/>
  <c r="EQ22" i="47"/>
  <c r="BN20" i="47"/>
  <c r="BO20" i="47"/>
  <c r="BP20" i="47"/>
  <c r="BQ20" i="47"/>
  <c r="BR20" i="47"/>
  <c r="BT20" i="47"/>
  <c r="BU20" i="47"/>
  <c r="BV20" i="47"/>
  <c r="BW20" i="47"/>
  <c r="BX20" i="47"/>
  <c r="CW20" i="47"/>
  <c r="DA20" i="47" s="1"/>
  <c r="CX20" i="47"/>
  <c r="DB20" i="47" s="1"/>
  <c r="DK20" i="47" s="1"/>
  <c r="CY20" i="47"/>
  <c r="CZ20" i="47"/>
  <c r="DC20" i="47"/>
  <c r="DD20" i="47"/>
  <c r="DE20" i="47"/>
  <c r="DI20" i="47" s="1"/>
  <c r="DF20" i="47"/>
  <c r="DJ20" i="47" s="1"/>
  <c r="DG20" i="47"/>
  <c r="DH20" i="47"/>
  <c r="EF20" i="47"/>
  <c r="EJ20" i="47" s="1"/>
  <c r="EG20" i="47"/>
  <c r="EK20" i="47" s="1"/>
  <c r="ET20" i="47" s="1"/>
  <c r="EH20" i="47"/>
  <c r="EI20" i="47"/>
  <c r="EL20" i="47"/>
  <c r="EM20" i="47"/>
  <c r="EN20" i="47"/>
  <c r="ER20" i="47" s="1"/>
  <c r="EO20" i="47"/>
  <c r="ES20" i="47" s="1"/>
  <c r="EP20" i="47"/>
  <c r="EQ20" i="47"/>
  <c r="BN13" i="47"/>
  <c r="BO13" i="47"/>
  <c r="BP13" i="47"/>
  <c r="BQ13" i="47"/>
  <c r="BR13" i="47"/>
  <c r="BT13" i="47"/>
  <c r="BU13" i="47"/>
  <c r="BV13" i="47"/>
  <c r="BW13" i="47"/>
  <c r="BX13" i="47"/>
  <c r="CW13" i="47"/>
  <c r="DA13" i="47" s="1"/>
  <c r="CX13" i="47"/>
  <c r="DB13" i="47" s="1"/>
  <c r="DK13" i="47" s="1"/>
  <c r="CY13" i="47"/>
  <c r="CZ13" i="47"/>
  <c r="DC13" i="47"/>
  <c r="DD13" i="47"/>
  <c r="DE13" i="47"/>
  <c r="DI13" i="47" s="1"/>
  <c r="DF13" i="47"/>
  <c r="DJ13" i="47" s="1"/>
  <c r="DG13" i="47"/>
  <c r="DH13" i="47"/>
  <c r="EF13" i="47"/>
  <c r="EG13" i="47"/>
  <c r="EH13" i="47"/>
  <c r="EI13" i="47"/>
  <c r="EL13" i="47"/>
  <c r="EM13" i="47"/>
  <c r="EN13" i="47"/>
  <c r="ER13" i="47" s="1"/>
  <c r="EO13" i="47"/>
  <c r="ES13" i="47" s="1"/>
  <c r="EP13" i="47"/>
  <c r="EQ13" i="47"/>
  <c r="BN10" i="47"/>
  <c r="BO10" i="47"/>
  <c r="BP10" i="47"/>
  <c r="BQ10" i="47"/>
  <c r="BR10" i="47"/>
  <c r="BT10" i="47"/>
  <c r="BU10" i="47"/>
  <c r="BV10" i="47"/>
  <c r="BW10" i="47"/>
  <c r="BX10" i="47"/>
  <c r="CW10" i="47"/>
  <c r="DA10" i="47" s="1"/>
  <c r="CX10" i="47"/>
  <c r="DB10" i="47" s="1"/>
  <c r="DK10" i="47" s="1"/>
  <c r="CY10" i="47"/>
  <c r="CZ10" i="47"/>
  <c r="DC10" i="47"/>
  <c r="DD10" i="47"/>
  <c r="DE10" i="47"/>
  <c r="DI10" i="47" s="1"/>
  <c r="DF10" i="47"/>
  <c r="DJ10" i="47" s="1"/>
  <c r="DG10" i="47"/>
  <c r="DH10" i="47"/>
  <c r="EF10" i="47"/>
  <c r="EJ10" i="47" s="1"/>
  <c r="EG10" i="47"/>
  <c r="EK10" i="47" s="1"/>
  <c r="ET10" i="47" s="1"/>
  <c r="EH10" i="47"/>
  <c r="EI10" i="47"/>
  <c r="EL10" i="47"/>
  <c r="EM10" i="47"/>
  <c r="EN10" i="47"/>
  <c r="ER10" i="47" s="1"/>
  <c r="EO10" i="47"/>
  <c r="ES10" i="47" s="1"/>
  <c r="EP10" i="47"/>
  <c r="EQ10" i="47"/>
  <c r="AU10" i="51" l="1"/>
  <c r="AU5" i="50"/>
  <c r="AU11" i="50"/>
  <c r="AU8" i="50"/>
  <c r="AO7" i="50"/>
  <c r="AO11" i="50"/>
  <c r="AV11" i="50" s="1"/>
  <c r="AU18" i="50"/>
  <c r="AO9" i="49"/>
  <c r="AO17" i="47"/>
  <c r="AU9" i="47"/>
  <c r="AU7" i="47"/>
  <c r="AO4" i="47"/>
  <c r="AO8" i="47"/>
  <c r="AO16" i="50"/>
  <c r="AU14" i="50"/>
  <c r="AU16" i="50"/>
  <c r="AO13" i="50"/>
  <c r="AO19" i="49"/>
  <c r="AO25" i="49"/>
  <c r="AV25" i="49" s="1"/>
  <c r="AU12" i="52"/>
  <c r="AU7" i="51"/>
  <c r="AO32" i="49"/>
  <c r="AU21" i="49"/>
  <c r="AU16" i="49"/>
  <c r="AU15" i="49"/>
  <c r="AU19" i="49"/>
  <c r="AU28" i="49"/>
  <c r="AU22" i="49"/>
  <c r="AO14" i="49"/>
  <c r="AO7" i="49"/>
  <c r="AO29" i="49"/>
  <c r="AV29" i="49" s="1"/>
  <c r="AO5" i="47"/>
  <c r="AO15" i="47"/>
  <c r="BS22" i="47"/>
  <c r="AU4" i="47"/>
  <c r="AO18" i="47"/>
  <c r="AO9" i="47"/>
  <c r="AV9" i="47" s="1"/>
  <c r="AO12" i="47"/>
  <c r="AO7" i="47"/>
  <c r="AV7" i="47" s="1"/>
  <c r="AO22" i="47"/>
  <c r="J22" i="47" s="1"/>
  <c r="AU8" i="52"/>
  <c r="AU4" i="51"/>
  <c r="AU13" i="51"/>
  <c r="AO10" i="51"/>
  <c r="AV10" i="51" s="1"/>
  <c r="AU21" i="50"/>
  <c r="AO15" i="50"/>
  <c r="AU13" i="50"/>
  <c r="AU27" i="50"/>
  <c r="AU10" i="50"/>
  <c r="AU29" i="50"/>
  <c r="AU24" i="50"/>
  <c r="AU4" i="49"/>
  <c r="AO11" i="49"/>
  <c r="AO28" i="49"/>
  <c r="AO8" i="49"/>
  <c r="AO9" i="48"/>
  <c r="AO20" i="48"/>
  <c r="AU8" i="47"/>
  <c r="AV8" i="47" s="1"/>
  <c r="AU17" i="47"/>
  <c r="AV17" i="47" s="1"/>
  <c r="AU13" i="47"/>
  <c r="AO6" i="47"/>
  <c r="AV6" i="47" s="1"/>
  <c r="AU10" i="47"/>
  <c r="AU12" i="47"/>
  <c r="AO14" i="47"/>
  <c r="AO19" i="47"/>
  <c r="AO21" i="47"/>
  <c r="AU6" i="47"/>
  <c r="AU14" i="47"/>
  <c r="AU13" i="49"/>
  <c r="AU23" i="49"/>
  <c r="AO24" i="49"/>
  <c r="AO5" i="49"/>
  <c r="AO27" i="49"/>
  <c r="AO15" i="49"/>
  <c r="AO22" i="49"/>
  <c r="AU8" i="49"/>
  <c r="AU5" i="49"/>
  <c r="AU14" i="49"/>
  <c r="AU6" i="49"/>
  <c r="AU25" i="49"/>
  <c r="AU11" i="49"/>
  <c r="AO16" i="49"/>
  <c r="AU26" i="49"/>
  <c r="AU34" i="49"/>
  <c r="AU19" i="48"/>
  <c r="AU22" i="47"/>
  <c r="AU18" i="47"/>
  <c r="AU11" i="47"/>
  <c r="AU15" i="47"/>
  <c r="AU5" i="47"/>
  <c r="AO16" i="47"/>
  <c r="AO20" i="47"/>
  <c r="AU21" i="47"/>
  <c r="AU19" i="47"/>
  <c r="AO13" i="47"/>
  <c r="AO23" i="47"/>
  <c r="AU16" i="47"/>
  <c r="AU20" i="47"/>
  <c r="AO11" i="47"/>
  <c r="AO10" i="47"/>
  <c r="AU23" i="47"/>
  <c r="AO8" i="52"/>
  <c r="AO12" i="52"/>
  <c r="AO7" i="51"/>
  <c r="AV7" i="51" s="1"/>
  <c r="AO4" i="51"/>
  <c r="AO8" i="51"/>
  <c r="AO13" i="51"/>
  <c r="AU8" i="51"/>
  <c r="AO21" i="50"/>
  <c r="AU26" i="50"/>
  <c r="AU9" i="50"/>
  <c r="AO27" i="50"/>
  <c r="AO25" i="50"/>
  <c r="AU20" i="50"/>
  <c r="AU23" i="50"/>
  <c r="AO22" i="50"/>
  <c r="AO29" i="50"/>
  <c r="AO4" i="50"/>
  <c r="AU6" i="50"/>
  <c r="AO10" i="50"/>
  <c r="AO26" i="50"/>
  <c r="AO9" i="50"/>
  <c r="AO8" i="50"/>
  <c r="AV8" i="50" s="1"/>
  <c r="AO20" i="50"/>
  <c r="AU4" i="50"/>
  <c r="AU22" i="50"/>
  <c r="AO24" i="50"/>
  <c r="AO17" i="50"/>
  <c r="AU15" i="50"/>
  <c r="AU25" i="50"/>
  <c r="AO6" i="50"/>
  <c r="AO14" i="50"/>
  <c r="AO18" i="50"/>
  <c r="AO5" i="50"/>
  <c r="AV5" i="50" s="1"/>
  <c r="AU17" i="50"/>
  <c r="AU7" i="50"/>
  <c r="AO23" i="50"/>
  <c r="AU12" i="49"/>
  <c r="AU27" i="49"/>
  <c r="AO21" i="49"/>
  <c r="AO34" i="49"/>
  <c r="AO10" i="49"/>
  <c r="AO6" i="49"/>
  <c r="AU24" i="49"/>
  <c r="AO23" i="49"/>
  <c r="AO12" i="49"/>
  <c r="AU9" i="49"/>
  <c r="AV9" i="49" s="1"/>
  <c r="AU32" i="49"/>
  <c r="AU10" i="49"/>
  <c r="AO13" i="49"/>
  <c r="AO26" i="49"/>
  <c r="AO4" i="49"/>
  <c r="AU7" i="49"/>
  <c r="AO19" i="48"/>
  <c r="AO14" i="48"/>
  <c r="AU13" i="48"/>
  <c r="AO16" i="48"/>
  <c r="AO21" i="48"/>
  <c r="AO15" i="48"/>
  <c r="AU10" i="48"/>
  <c r="AU9" i="48"/>
  <c r="AU20" i="48"/>
  <c r="AU21" i="48"/>
  <c r="AO12" i="48"/>
  <c r="AU6" i="48"/>
  <c r="AU14" i="48"/>
  <c r="AO17" i="48"/>
  <c r="AU12" i="48"/>
  <c r="AO13" i="48"/>
  <c r="AO8" i="48"/>
  <c r="AO6" i="48"/>
  <c r="AU8" i="48"/>
  <c r="AU16" i="48"/>
  <c r="AO7" i="48"/>
  <c r="AO5" i="48"/>
  <c r="AO10" i="48"/>
  <c r="AU7" i="48"/>
  <c r="AU5" i="48"/>
  <c r="AU17" i="48"/>
  <c r="AU15" i="48"/>
  <c r="BY22" i="47"/>
  <c r="EJ13" i="47"/>
  <c r="BS20" i="47"/>
  <c r="BY20" i="47"/>
  <c r="BY13" i="47"/>
  <c r="BS10" i="47"/>
  <c r="EK13" i="47"/>
  <c r="ET13" i="47" s="1"/>
  <c r="BS13" i="47"/>
  <c r="BY10" i="47"/>
  <c r="AV8" i="52" l="1"/>
  <c r="AV7" i="50"/>
  <c r="AV18" i="50"/>
  <c r="AV16" i="50"/>
  <c r="AV29" i="50"/>
  <c r="AV13" i="50"/>
  <c r="AV14" i="50"/>
  <c r="AV6" i="49"/>
  <c r="AV21" i="49"/>
  <c r="AV32" i="49"/>
  <c r="AV11" i="49"/>
  <c r="AV19" i="49"/>
  <c r="AV8" i="49"/>
  <c r="AV9" i="48"/>
  <c r="AV4" i="47"/>
  <c r="AV18" i="47"/>
  <c r="AV23" i="47"/>
  <c r="AV15" i="47"/>
  <c r="AV12" i="52"/>
  <c r="AV27" i="50"/>
  <c r="AV25" i="50"/>
  <c r="AV26" i="50"/>
  <c r="AV20" i="50"/>
  <c r="AV28" i="49"/>
  <c r="AV16" i="49"/>
  <c r="AV13" i="49"/>
  <c r="AV20" i="48"/>
  <c r="AV5" i="47"/>
  <c r="AV12" i="47"/>
  <c r="AV13" i="51"/>
  <c r="AV4" i="51"/>
  <c r="AV21" i="50"/>
  <c r="AV15" i="50"/>
  <c r="AV9" i="50"/>
  <c r="AV14" i="49"/>
  <c r="AV10" i="49"/>
  <c r="AV5" i="49"/>
  <c r="AV23" i="49"/>
  <c r="AV7" i="49"/>
  <c r="AV22" i="49"/>
  <c r="AV4" i="49"/>
  <c r="AV24" i="49"/>
  <c r="AV15" i="49"/>
  <c r="AV22" i="47"/>
  <c r="AV10" i="47"/>
  <c r="AV13" i="47"/>
  <c r="J10" i="47"/>
  <c r="L10" i="47" s="1"/>
  <c r="M10" i="47" s="1"/>
  <c r="AV16" i="47"/>
  <c r="AV14" i="47"/>
  <c r="J13" i="47"/>
  <c r="CA13" i="47" s="1"/>
  <c r="AV19" i="48"/>
  <c r="AV23" i="50"/>
  <c r="AV24" i="50"/>
  <c r="AV10" i="50"/>
  <c r="AV4" i="50"/>
  <c r="AV27" i="49"/>
  <c r="AV20" i="47"/>
  <c r="AV19" i="47"/>
  <c r="AV21" i="47"/>
  <c r="AV26" i="49"/>
  <c r="AV34" i="49"/>
  <c r="AV12" i="49"/>
  <c r="AV11" i="47"/>
  <c r="AV8" i="51"/>
  <c r="AV6" i="50"/>
  <c r="AV22" i="50"/>
  <c r="AV17" i="50"/>
  <c r="AV14" i="48"/>
  <c r="AV13" i="48"/>
  <c r="AV21" i="48"/>
  <c r="AV10" i="48"/>
  <c r="AV16" i="48"/>
  <c r="AV15" i="48"/>
  <c r="AV12" i="48"/>
  <c r="AV7" i="48"/>
  <c r="AV6" i="48"/>
  <c r="AV17" i="48"/>
  <c r="AV8" i="48"/>
  <c r="AV5" i="48"/>
  <c r="G22" i="47"/>
  <c r="I22" i="47"/>
  <c r="I20" i="47"/>
  <c r="F22" i="47"/>
  <c r="BZ22" i="47"/>
  <c r="CA22" i="47"/>
  <c r="K22" i="47"/>
  <c r="L22" i="47"/>
  <c r="M22" i="47" s="1"/>
  <c r="N22" i="47"/>
  <c r="F20" i="47"/>
  <c r="J20" i="47"/>
  <c r="L20" i="47" s="1"/>
  <c r="M20" i="47" s="1"/>
  <c r="BZ10" i="47"/>
  <c r="BZ20" i="47"/>
  <c r="G20" i="47"/>
  <c r="F10" i="47"/>
  <c r="G10" i="47"/>
  <c r="BZ13" i="47"/>
  <c r="I10" i="47"/>
  <c r="G13" i="47"/>
  <c r="I13" i="47"/>
  <c r="F13" i="47"/>
  <c r="CA10" i="47" l="1"/>
  <c r="K10" i="47"/>
  <c r="N13" i="47"/>
  <c r="CB13" i="47" s="1"/>
  <c r="K13" i="47"/>
  <c r="L13" i="47"/>
  <c r="M13" i="47" s="1"/>
  <c r="N10" i="47"/>
  <c r="CB10" i="47" s="1"/>
  <c r="K20" i="47"/>
  <c r="H22" i="47"/>
  <c r="A22" i="47" s="1" a="1"/>
  <c r="A22" i="47" s="1"/>
  <c r="CA20" i="47"/>
  <c r="H20" i="47"/>
  <c r="A20" i="47" s="1" a="1"/>
  <c r="A20" i="47" s="1"/>
  <c r="N20" i="47"/>
  <c r="CB20" i="47" s="1"/>
  <c r="CB22" i="47"/>
  <c r="O22" i="47"/>
  <c r="H10" i="47"/>
  <c r="H13" i="47"/>
  <c r="A13" i="47" s="1" a="1"/>
  <c r="A13" i="47" s="1"/>
  <c r="O13" i="47" l="1"/>
  <c r="O10" i="47"/>
  <c r="O20" i="47"/>
  <c r="P22" i="47"/>
  <c r="E22" i="47" s="1"/>
  <c r="P20" i="47"/>
  <c r="E20" i="47" s="1"/>
  <c r="P13" i="47"/>
  <c r="E13" i="47" s="1"/>
  <c r="P10" i="47"/>
  <c r="Q10" i="47" s="1"/>
  <c r="I20" i="50"/>
  <c r="I6" i="50"/>
  <c r="I29" i="50"/>
  <c r="I13" i="50"/>
  <c r="I14" i="50"/>
  <c r="I27" i="50"/>
  <c r="I16" i="50"/>
  <c r="I18" i="50"/>
  <c r="I11" i="50"/>
  <c r="I25" i="50"/>
  <c r="I23" i="50"/>
  <c r="I17" i="50"/>
  <c r="I24" i="50"/>
  <c r="I26" i="50"/>
  <c r="I6" i="49"/>
  <c r="I24" i="49"/>
  <c r="I23" i="49"/>
  <c r="I13" i="49"/>
  <c r="I14" i="49"/>
  <c r="I21" i="49"/>
  <c r="I12" i="49"/>
  <c r="I19" i="49"/>
  <c r="I16" i="49"/>
  <c r="I34" i="49"/>
  <c r="I27" i="49"/>
  <c r="I15" i="49"/>
  <c r="I29" i="49"/>
  <c r="R22" i="47" l="1"/>
  <c r="R10" i="47"/>
  <c r="Q22" i="47"/>
  <c r="E10" i="47"/>
  <c r="R20" i="47"/>
  <c r="Q20" i="47"/>
  <c r="R13" i="47"/>
  <c r="Q13" i="47"/>
  <c r="BN16" i="50"/>
  <c r="BO16" i="50"/>
  <c r="BP16" i="50"/>
  <c r="BQ16" i="50"/>
  <c r="BR16" i="50"/>
  <c r="BT16" i="50"/>
  <c r="BU16" i="50"/>
  <c r="BV16" i="50"/>
  <c r="BW16" i="50"/>
  <c r="BX16" i="50"/>
  <c r="BY16" i="50"/>
  <c r="CW16" i="50"/>
  <c r="CX16" i="50"/>
  <c r="DB16" i="50" s="1"/>
  <c r="DK16" i="50" s="1"/>
  <c r="CY16" i="50"/>
  <c r="CZ16" i="50"/>
  <c r="DA16" i="50"/>
  <c r="DC16" i="50"/>
  <c r="DD16" i="50"/>
  <c r="DE16" i="50"/>
  <c r="DI16" i="50" s="1"/>
  <c r="DF16" i="50"/>
  <c r="DJ16" i="50" s="1"/>
  <c r="DG16" i="50"/>
  <c r="DH16" i="50"/>
  <c r="EF16" i="50"/>
  <c r="EJ16" i="50" s="1"/>
  <c r="EG16" i="50"/>
  <c r="EK16" i="50" s="1"/>
  <c r="ET16" i="50" s="1"/>
  <c r="EH16" i="50"/>
  <c r="EI16" i="50"/>
  <c r="EL16" i="50"/>
  <c r="EM16" i="50"/>
  <c r="EN16" i="50"/>
  <c r="ER16" i="50" s="1"/>
  <c r="EO16" i="50"/>
  <c r="ES16" i="50" s="1"/>
  <c r="EP16" i="50"/>
  <c r="EQ16" i="50"/>
  <c r="BN29" i="50"/>
  <c r="BO29" i="50"/>
  <c r="BP29" i="50"/>
  <c r="BQ29" i="50"/>
  <c r="BR29" i="50"/>
  <c r="BT29" i="50"/>
  <c r="BU29" i="50"/>
  <c r="BV29" i="50"/>
  <c r="BW29" i="50"/>
  <c r="BX29" i="50"/>
  <c r="CW29" i="50"/>
  <c r="DA29" i="50" s="1"/>
  <c r="CX29" i="50"/>
  <c r="DB29" i="50" s="1"/>
  <c r="DK29" i="50" s="1"/>
  <c r="CY29" i="50"/>
  <c r="CZ29" i="50"/>
  <c r="DC29" i="50"/>
  <c r="DD29" i="50"/>
  <c r="DE29" i="50"/>
  <c r="DI29" i="50" s="1"/>
  <c r="DF29" i="50"/>
  <c r="DJ29" i="50" s="1"/>
  <c r="DG29" i="50"/>
  <c r="DH29" i="50"/>
  <c r="EF29" i="50"/>
  <c r="EJ29" i="50" s="1"/>
  <c r="EG29" i="50"/>
  <c r="EK29" i="50" s="1"/>
  <c r="ET29" i="50" s="1"/>
  <c r="EH29" i="50"/>
  <c r="EI29" i="50"/>
  <c r="EL29" i="50"/>
  <c r="EM29" i="50"/>
  <c r="EN29" i="50"/>
  <c r="ER29" i="50" s="1"/>
  <c r="EO29" i="50"/>
  <c r="ES29" i="50" s="1"/>
  <c r="EP29" i="50"/>
  <c r="EQ29" i="50"/>
  <c r="BN11" i="50"/>
  <c r="BO11" i="50"/>
  <c r="BP11" i="50"/>
  <c r="BQ11" i="50"/>
  <c r="BR11" i="50"/>
  <c r="BT11" i="50"/>
  <c r="BU11" i="50"/>
  <c r="BV11" i="50"/>
  <c r="BW11" i="50"/>
  <c r="BX11" i="50"/>
  <c r="CW11" i="50"/>
  <c r="DA11" i="50" s="1"/>
  <c r="CX11" i="50"/>
  <c r="DB11" i="50" s="1"/>
  <c r="DK11" i="50" s="1"/>
  <c r="CY11" i="50"/>
  <c r="CZ11" i="50"/>
  <c r="DC11" i="50"/>
  <c r="DD11" i="50"/>
  <c r="DE11" i="50"/>
  <c r="DI11" i="50" s="1"/>
  <c r="DF11" i="50"/>
  <c r="DJ11" i="50" s="1"/>
  <c r="DG11" i="50"/>
  <c r="DH11" i="50"/>
  <c r="EF11" i="50"/>
  <c r="EJ11" i="50" s="1"/>
  <c r="EG11" i="50"/>
  <c r="EK11" i="50" s="1"/>
  <c r="ET11" i="50" s="1"/>
  <c r="EH11" i="50"/>
  <c r="EI11" i="50"/>
  <c r="EL11" i="50"/>
  <c r="EM11" i="50"/>
  <c r="EN11" i="50"/>
  <c r="ER11" i="50" s="1"/>
  <c r="EO11" i="50"/>
  <c r="ES11" i="50" s="1"/>
  <c r="EP11" i="50"/>
  <c r="EQ11" i="50"/>
  <c r="BN18" i="50"/>
  <c r="BO18" i="50"/>
  <c r="BP18" i="50"/>
  <c r="BQ18" i="50"/>
  <c r="BR18" i="50"/>
  <c r="BT18" i="50"/>
  <c r="BU18" i="50"/>
  <c r="BV18" i="50"/>
  <c r="BW18" i="50"/>
  <c r="BX18" i="50"/>
  <c r="CW18" i="50"/>
  <c r="DA18" i="50" s="1"/>
  <c r="CX18" i="50"/>
  <c r="DB18" i="50" s="1"/>
  <c r="DK18" i="50" s="1"/>
  <c r="CY18" i="50"/>
  <c r="CZ18" i="50"/>
  <c r="DC18" i="50"/>
  <c r="DD18" i="50"/>
  <c r="DE18" i="50"/>
  <c r="DI18" i="50" s="1"/>
  <c r="DF18" i="50"/>
  <c r="DJ18" i="50" s="1"/>
  <c r="DG18" i="50"/>
  <c r="DH18" i="50"/>
  <c r="EF18" i="50"/>
  <c r="EJ18" i="50" s="1"/>
  <c r="EG18" i="50"/>
  <c r="EK18" i="50" s="1"/>
  <c r="ET18" i="50" s="1"/>
  <c r="EH18" i="50"/>
  <c r="EI18" i="50"/>
  <c r="EL18" i="50"/>
  <c r="EM18" i="50"/>
  <c r="EN18" i="50"/>
  <c r="ER18" i="50" s="1"/>
  <c r="EO18" i="50"/>
  <c r="ES18" i="50" s="1"/>
  <c r="EP18" i="50"/>
  <c r="EQ18" i="50"/>
  <c r="BN15" i="49"/>
  <c r="BO15" i="49"/>
  <c r="BP15" i="49"/>
  <c r="BQ15" i="49"/>
  <c r="BR15" i="49"/>
  <c r="BT15" i="49"/>
  <c r="BU15" i="49"/>
  <c r="BV15" i="49"/>
  <c r="BW15" i="49"/>
  <c r="BX15" i="49"/>
  <c r="CW15" i="49"/>
  <c r="DA15" i="49" s="1"/>
  <c r="CX15" i="49"/>
  <c r="DB15" i="49" s="1"/>
  <c r="DK15" i="49" s="1"/>
  <c r="CY15" i="49"/>
  <c r="CZ15" i="49"/>
  <c r="DC15" i="49"/>
  <c r="DD15" i="49"/>
  <c r="DE15" i="49"/>
  <c r="DI15" i="49" s="1"/>
  <c r="DF15" i="49"/>
  <c r="DJ15" i="49" s="1"/>
  <c r="DG15" i="49"/>
  <c r="DH15" i="49"/>
  <c r="EF15" i="49"/>
  <c r="EJ15" i="49" s="1"/>
  <c r="EG15" i="49"/>
  <c r="EK15" i="49" s="1"/>
  <c r="ET15" i="49" s="1"/>
  <c r="EH15" i="49"/>
  <c r="EI15" i="49"/>
  <c r="EL15" i="49"/>
  <c r="EM15" i="49"/>
  <c r="EN15" i="49"/>
  <c r="ER15" i="49" s="1"/>
  <c r="EO15" i="49"/>
  <c r="ES15" i="49" s="1"/>
  <c r="EP15" i="49"/>
  <c r="EQ15" i="49"/>
  <c r="BN12" i="49"/>
  <c r="BO12" i="49"/>
  <c r="BP12" i="49"/>
  <c r="BQ12" i="49"/>
  <c r="BR12" i="49"/>
  <c r="BT12" i="49"/>
  <c r="BU12" i="49"/>
  <c r="BV12" i="49"/>
  <c r="BW12" i="49"/>
  <c r="BX12" i="49"/>
  <c r="CW12" i="49"/>
  <c r="DA12" i="49" s="1"/>
  <c r="CX12" i="49"/>
  <c r="DB12" i="49" s="1"/>
  <c r="DK12" i="49" s="1"/>
  <c r="CY12" i="49"/>
  <c r="CZ12" i="49"/>
  <c r="DC12" i="49"/>
  <c r="DD12" i="49"/>
  <c r="DE12" i="49"/>
  <c r="DI12" i="49" s="1"/>
  <c r="DF12" i="49"/>
  <c r="DJ12" i="49" s="1"/>
  <c r="DG12" i="49"/>
  <c r="DH12" i="49"/>
  <c r="EF12" i="49"/>
  <c r="EJ12" i="49" s="1"/>
  <c r="EG12" i="49"/>
  <c r="EK12" i="49" s="1"/>
  <c r="ET12" i="49" s="1"/>
  <c r="EH12" i="49"/>
  <c r="EI12" i="49"/>
  <c r="EL12" i="49"/>
  <c r="EM12" i="49"/>
  <c r="EN12" i="49"/>
  <c r="ER12" i="49" s="1"/>
  <c r="EO12" i="49"/>
  <c r="ES12" i="49" s="1"/>
  <c r="EP12" i="49"/>
  <c r="EQ12" i="49"/>
  <c r="BN29" i="49"/>
  <c r="BO29" i="49"/>
  <c r="BP29" i="49"/>
  <c r="BQ29" i="49"/>
  <c r="BR29" i="49"/>
  <c r="BT29" i="49"/>
  <c r="BU29" i="49"/>
  <c r="BV29" i="49"/>
  <c r="BW29" i="49"/>
  <c r="BX29" i="49"/>
  <c r="CW29" i="49"/>
  <c r="DA29" i="49" s="1"/>
  <c r="CX29" i="49"/>
  <c r="DB29" i="49" s="1"/>
  <c r="DK29" i="49" s="1"/>
  <c r="CY29" i="49"/>
  <c r="CZ29" i="49"/>
  <c r="DC29" i="49"/>
  <c r="DD29" i="49"/>
  <c r="DE29" i="49"/>
  <c r="DI29" i="49" s="1"/>
  <c r="DF29" i="49"/>
  <c r="DJ29" i="49" s="1"/>
  <c r="DG29" i="49"/>
  <c r="DH29" i="49"/>
  <c r="EF29" i="49"/>
  <c r="EJ29" i="49" s="1"/>
  <c r="EG29" i="49"/>
  <c r="EK29" i="49" s="1"/>
  <c r="ET29" i="49" s="1"/>
  <c r="EH29" i="49"/>
  <c r="EI29" i="49"/>
  <c r="EL29" i="49"/>
  <c r="EM29" i="49"/>
  <c r="EN29" i="49"/>
  <c r="ER29" i="49" s="1"/>
  <c r="EO29" i="49"/>
  <c r="ES29" i="49" s="1"/>
  <c r="EP29" i="49"/>
  <c r="EQ29" i="49"/>
  <c r="BN10" i="49"/>
  <c r="BO10" i="49"/>
  <c r="BP10" i="49"/>
  <c r="BQ10" i="49"/>
  <c r="BR10" i="49"/>
  <c r="BT10" i="49"/>
  <c r="BU10" i="49"/>
  <c r="BV10" i="49"/>
  <c r="BW10" i="49"/>
  <c r="BX10" i="49"/>
  <c r="CW10" i="49"/>
  <c r="DA10" i="49" s="1"/>
  <c r="CX10" i="49"/>
  <c r="DB10" i="49" s="1"/>
  <c r="DK10" i="49" s="1"/>
  <c r="CY10" i="49"/>
  <c r="CZ10" i="49"/>
  <c r="DC10" i="49"/>
  <c r="DD10" i="49"/>
  <c r="DE10" i="49"/>
  <c r="DI10" i="49" s="1"/>
  <c r="DF10" i="49"/>
  <c r="DJ10" i="49" s="1"/>
  <c r="DG10" i="49"/>
  <c r="DH10" i="49"/>
  <c r="EF10" i="49"/>
  <c r="EJ10" i="49" s="1"/>
  <c r="EG10" i="49"/>
  <c r="EK10" i="49" s="1"/>
  <c r="ET10" i="49" s="1"/>
  <c r="EH10" i="49"/>
  <c r="EI10" i="49"/>
  <c r="EL10" i="49"/>
  <c r="EM10" i="49"/>
  <c r="EN10" i="49"/>
  <c r="ER10" i="49" s="1"/>
  <c r="EO10" i="49"/>
  <c r="ES10" i="49" s="1"/>
  <c r="EP10" i="49"/>
  <c r="EQ10" i="49"/>
  <c r="BY10" i="49" l="1"/>
  <c r="BY11" i="50"/>
  <c r="BY29" i="50"/>
  <c r="BS18" i="50"/>
  <c r="BS11" i="50"/>
  <c r="BS10" i="49"/>
  <c r="BY12" i="49"/>
  <c r="BS15" i="49"/>
  <c r="BS29" i="49"/>
  <c r="BS12" i="49"/>
  <c r="BY18" i="50"/>
  <c r="BS16" i="50"/>
  <c r="J16" i="50" s="1"/>
  <c r="BS29" i="50"/>
  <c r="J29" i="50" s="1"/>
  <c r="BY29" i="49"/>
  <c r="BY15" i="49"/>
  <c r="BZ10" i="49" l="1"/>
  <c r="F18" i="50"/>
  <c r="BZ11" i="50"/>
  <c r="F16" i="50"/>
  <c r="J18" i="50"/>
  <c r="K18" i="50" s="1"/>
  <c r="BZ18" i="50"/>
  <c r="J11" i="50"/>
  <c r="L11" i="50" s="1"/>
  <c r="M11" i="50" s="1"/>
  <c r="G18" i="50"/>
  <c r="F11" i="50"/>
  <c r="G11" i="50"/>
  <c r="G29" i="49"/>
  <c r="F15" i="49"/>
  <c r="J15" i="49"/>
  <c r="L15" i="49" s="1"/>
  <c r="M15" i="49" s="1"/>
  <c r="G10" i="49"/>
  <c r="BZ12" i="49"/>
  <c r="J29" i="49"/>
  <c r="K29" i="49" s="1"/>
  <c r="J12" i="49"/>
  <c r="L12" i="49" s="1"/>
  <c r="M12" i="49" s="1"/>
  <c r="F12" i="49"/>
  <c r="BZ29" i="49"/>
  <c r="F29" i="49"/>
  <c r="G12" i="49"/>
  <c r="G15" i="49"/>
  <c r="BZ16" i="50"/>
  <c r="G16" i="50"/>
  <c r="K29" i="50"/>
  <c r="L29" i="50"/>
  <c r="M29" i="50" s="1"/>
  <c r="N29" i="50"/>
  <c r="CA29" i="50"/>
  <c r="BZ29" i="50"/>
  <c r="K16" i="50"/>
  <c r="L16" i="50"/>
  <c r="M16" i="50" s="1"/>
  <c r="N16" i="50"/>
  <c r="CA16" i="50"/>
  <c r="F29" i="50"/>
  <c r="G29" i="50"/>
  <c r="BZ15" i="49"/>
  <c r="J10" i="49"/>
  <c r="L10" i="49" s="1"/>
  <c r="M10" i="49" s="1"/>
  <c r="F10" i="49"/>
  <c r="H18" i="50" l="1"/>
  <c r="A18" i="50" s="1" a="1"/>
  <c r="A18" i="50" s="1"/>
  <c r="N15" i="49"/>
  <c r="CB15" i="49" s="1"/>
  <c r="K15" i="49"/>
  <c r="CA15" i="49"/>
  <c r="H12" i="49"/>
  <c r="A12" i="49" s="1" a="1"/>
  <c r="A12" i="49" s="1"/>
  <c r="N18" i="50"/>
  <c r="CB18" i="50" s="1"/>
  <c r="N11" i="50"/>
  <c r="CB11" i="50" s="1"/>
  <c r="CA18" i="50"/>
  <c r="K11" i="50"/>
  <c r="H11" i="50"/>
  <c r="CA11" i="50"/>
  <c r="L18" i="50"/>
  <c r="M18" i="50" s="1"/>
  <c r="H29" i="50"/>
  <c r="A29" i="50" s="1" a="1"/>
  <c r="A29" i="50" s="1"/>
  <c r="H16" i="50"/>
  <c r="A16" i="50" s="1" a="1"/>
  <c r="A16" i="50" s="1"/>
  <c r="H15" i="49"/>
  <c r="A15" i="49" s="1" a="1"/>
  <c r="A15" i="49" s="1"/>
  <c r="CA29" i="49"/>
  <c r="H29" i="49"/>
  <c r="A29" i="49" s="1" a="1"/>
  <c r="A29" i="49" s="1"/>
  <c r="L29" i="49"/>
  <c r="M29" i="49" s="1"/>
  <c r="N29" i="49"/>
  <c r="CB29" i="49" s="1"/>
  <c r="N10" i="49"/>
  <c r="CB10" i="49" s="1"/>
  <c r="N12" i="49"/>
  <c r="K12" i="49"/>
  <c r="CA12" i="49"/>
  <c r="CA10" i="49"/>
  <c r="K10" i="49"/>
  <c r="O29" i="50"/>
  <c r="CB29" i="50"/>
  <c r="CB16" i="50"/>
  <c r="O16" i="50"/>
  <c r="O18" i="50" l="1"/>
  <c r="O11" i="50"/>
  <c r="O15" i="49"/>
  <c r="P15" i="49"/>
  <c r="Q15" i="49" s="1"/>
  <c r="O10" i="49"/>
  <c r="P29" i="49"/>
  <c r="Q29" i="49" s="1"/>
  <c r="O29" i="49"/>
  <c r="O12" i="49"/>
  <c r="CB12" i="49"/>
  <c r="P18" i="50"/>
  <c r="E18" i="50" s="1"/>
  <c r="P11" i="50"/>
  <c r="P29" i="50"/>
  <c r="E29" i="50" s="1"/>
  <c r="P16" i="50"/>
  <c r="E15" i="49"/>
  <c r="R15" i="49"/>
  <c r="P10" i="49"/>
  <c r="E11" i="50" l="1"/>
  <c r="E29" i="49"/>
  <c r="R29" i="49"/>
  <c r="Q11" i="50"/>
  <c r="R29" i="50"/>
  <c r="R11" i="50"/>
  <c r="Q18" i="50"/>
  <c r="R18" i="50"/>
  <c r="P12" i="49"/>
  <c r="Q29" i="50"/>
  <c r="R16" i="50"/>
  <c r="Q16" i="50"/>
  <c r="E16" i="50"/>
  <c r="R10" i="49"/>
  <c r="Q10" i="49"/>
  <c r="E10" i="49"/>
  <c r="E12" i="49" l="1"/>
  <c r="R12" i="49"/>
  <c r="Q12" i="49"/>
  <c r="EQ12" i="52" l="1"/>
  <c r="EP12" i="52"/>
  <c r="EO12" i="52"/>
  <c r="ES12" i="52" s="1"/>
  <c r="EN12" i="52"/>
  <c r="ER12" i="52" s="1"/>
  <c r="EM12" i="52"/>
  <c r="EL12" i="52"/>
  <c r="EI12" i="52"/>
  <c r="EH12" i="52"/>
  <c r="EG12" i="52"/>
  <c r="EK12" i="52" s="1"/>
  <c r="ET12" i="52" s="1"/>
  <c r="EF12" i="52"/>
  <c r="EJ12" i="52" s="1"/>
  <c r="DH12" i="52"/>
  <c r="DG12" i="52"/>
  <c r="DF12" i="52"/>
  <c r="DJ12" i="52" s="1"/>
  <c r="DE12" i="52"/>
  <c r="DI12" i="52" s="1"/>
  <c r="DD12" i="52"/>
  <c r="DC12" i="52"/>
  <c r="CZ12" i="52"/>
  <c r="CY12" i="52"/>
  <c r="CX12" i="52"/>
  <c r="DB12" i="52" s="1"/>
  <c r="DK12" i="52" s="1"/>
  <c r="CW12" i="52"/>
  <c r="DA12" i="52" s="1"/>
  <c r="BX12" i="52"/>
  <c r="BW12" i="52"/>
  <c r="BV12" i="52"/>
  <c r="BU12" i="52"/>
  <c r="BT12" i="52"/>
  <c r="BR12" i="52"/>
  <c r="BQ12" i="52"/>
  <c r="BP12" i="52"/>
  <c r="BO12" i="52"/>
  <c r="BN12" i="52"/>
  <c r="EQ8" i="52"/>
  <c r="EP8" i="52"/>
  <c r="EO8" i="52"/>
  <c r="ES8" i="52" s="1"/>
  <c r="EN8" i="52"/>
  <c r="ER8" i="52" s="1"/>
  <c r="EM8" i="52"/>
  <c r="EL8" i="52"/>
  <c r="EI8" i="52"/>
  <c r="EH8" i="52"/>
  <c r="EG8" i="52"/>
  <c r="EK8" i="52" s="1"/>
  <c r="ET8" i="52" s="1"/>
  <c r="EF8" i="52"/>
  <c r="EJ8" i="52" s="1"/>
  <c r="DH8" i="52"/>
  <c r="DG8" i="52"/>
  <c r="DF8" i="52"/>
  <c r="DJ8" i="52" s="1"/>
  <c r="DE8" i="52"/>
  <c r="DI8" i="52" s="1"/>
  <c r="DD8" i="52"/>
  <c r="DC8" i="52"/>
  <c r="CZ8" i="52"/>
  <c r="CY8" i="52"/>
  <c r="CX8" i="52"/>
  <c r="DB8" i="52" s="1"/>
  <c r="DK8" i="52" s="1"/>
  <c r="CW8" i="52"/>
  <c r="DA8" i="52" s="1"/>
  <c r="BX8" i="52"/>
  <c r="BW8" i="52"/>
  <c r="BV8" i="52"/>
  <c r="BU8" i="52"/>
  <c r="BT8" i="52"/>
  <c r="BR8" i="52"/>
  <c r="BQ8" i="52"/>
  <c r="BP8" i="52"/>
  <c r="BO8" i="52"/>
  <c r="BN8" i="52"/>
  <c r="EQ8" i="51"/>
  <c r="EP8" i="51"/>
  <c r="EO8" i="51"/>
  <c r="ES8" i="51" s="1"/>
  <c r="EN8" i="51"/>
  <c r="ER8" i="51" s="1"/>
  <c r="EM8" i="51"/>
  <c r="EL8" i="51"/>
  <c r="EI8" i="51"/>
  <c r="EH8" i="51"/>
  <c r="EG8" i="51"/>
  <c r="EF8" i="51"/>
  <c r="DH8" i="51"/>
  <c r="DG8" i="51"/>
  <c r="DF8" i="51"/>
  <c r="DJ8" i="51" s="1"/>
  <c r="DE8" i="51"/>
  <c r="DI8" i="51" s="1"/>
  <c r="DD8" i="51"/>
  <c r="DC8" i="51"/>
  <c r="CZ8" i="51"/>
  <c r="CY8" i="51"/>
  <c r="CX8" i="51"/>
  <c r="DB8" i="51" s="1"/>
  <c r="DK8" i="51" s="1"/>
  <c r="CW8" i="51"/>
  <c r="DA8" i="51" s="1"/>
  <c r="BX8" i="51"/>
  <c r="BW8" i="51"/>
  <c r="BV8" i="51"/>
  <c r="BU8" i="51"/>
  <c r="BT8" i="51"/>
  <c r="BR8" i="51"/>
  <c r="BQ8" i="51"/>
  <c r="BP8" i="51"/>
  <c r="BO8" i="51"/>
  <c r="BN8" i="51"/>
  <c r="EQ10" i="51"/>
  <c r="EP10" i="51"/>
  <c r="EO10" i="51"/>
  <c r="EN10" i="51"/>
  <c r="ER10" i="51" s="1"/>
  <c r="EM10" i="51"/>
  <c r="EL10" i="51"/>
  <c r="EI10" i="51"/>
  <c r="EH10" i="51"/>
  <c r="EG10" i="51"/>
  <c r="EF10" i="51"/>
  <c r="EJ10" i="51" s="1"/>
  <c r="DH10" i="51"/>
  <c r="DG10" i="51"/>
  <c r="DF10" i="51"/>
  <c r="DJ10" i="51" s="1"/>
  <c r="DE10" i="51"/>
  <c r="DI10" i="51" s="1"/>
  <c r="DD10" i="51"/>
  <c r="DC10" i="51"/>
  <c r="CZ10" i="51"/>
  <c r="CY10" i="51"/>
  <c r="CX10" i="51"/>
  <c r="DB10" i="51" s="1"/>
  <c r="DK10" i="51" s="1"/>
  <c r="CW10" i="51"/>
  <c r="DA10" i="51" s="1"/>
  <c r="BX10" i="51"/>
  <c r="BW10" i="51"/>
  <c r="BV10" i="51"/>
  <c r="BU10" i="51"/>
  <c r="BT10" i="51"/>
  <c r="BR10" i="51"/>
  <c r="BQ10" i="51"/>
  <c r="BP10" i="51"/>
  <c r="BO10" i="51"/>
  <c r="BN10" i="51"/>
  <c r="EQ13" i="51"/>
  <c r="EP13" i="51"/>
  <c r="EO13" i="51"/>
  <c r="ES13" i="51" s="1"/>
  <c r="EN13" i="51"/>
  <c r="ER13" i="51" s="1"/>
  <c r="EM13" i="51"/>
  <c r="EL13" i="51"/>
  <c r="EI13" i="51"/>
  <c r="EH13" i="51"/>
  <c r="EG13" i="51"/>
  <c r="EK13" i="51" s="1"/>
  <c r="ET13" i="51" s="1"/>
  <c r="EF13" i="51"/>
  <c r="EJ13" i="51" s="1"/>
  <c r="DH13" i="51"/>
  <c r="DG13" i="51"/>
  <c r="DF13" i="51"/>
  <c r="DJ13" i="51" s="1"/>
  <c r="DE13" i="51"/>
  <c r="DI13" i="51" s="1"/>
  <c r="DD13" i="51"/>
  <c r="DC13" i="51"/>
  <c r="CZ13" i="51"/>
  <c r="CY13" i="51"/>
  <c r="CX13" i="51"/>
  <c r="CW13" i="51"/>
  <c r="BX13" i="51"/>
  <c r="BW13" i="51"/>
  <c r="BV13" i="51"/>
  <c r="BU13" i="51"/>
  <c r="BT13" i="51"/>
  <c r="BR13" i="51"/>
  <c r="BQ13" i="51"/>
  <c r="BP13" i="51"/>
  <c r="BO13" i="51"/>
  <c r="BN13" i="51"/>
  <c r="EQ7" i="51"/>
  <c r="EP7" i="51"/>
  <c r="EO7" i="51"/>
  <c r="ES7" i="51" s="1"/>
  <c r="EN7" i="51"/>
  <c r="ER7" i="51" s="1"/>
  <c r="EM7" i="51"/>
  <c r="EL7" i="51"/>
  <c r="EI7" i="51"/>
  <c r="EH7" i="51"/>
  <c r="EG7" i="51"/>
  <c r="EK7" i="51" s="1"/>
  <c r="ET7" i="51" s="1"/>
  <c r="EF7" i="51"/>
  <c r="EJ7" i="51" s="1"/>
  <c r="DH7" i="51"/>
  <c r="DG7" i="51"/>
  <c r="DF7" i="51"/>
  <c r="DJ7" i="51" s="1"/>
  <c r="DE7" i="51"/>
  <c r="DI7" i="51" s="1"/>
  <c r="DD7" i="51"/>
  <c r="DC7" i="51"/>
  <c r="CZ7" i="51"/>
  <c r="CY7" i="51"/>
  <c r="CX7" i="51"/>
  <c r="CW7" i="51"/>
  <c r="BX7" i="51"/>
  <c r="BW7" i="51"/>
  <c r="BV7" i="51"/>
  <c r="BU7" i="51"/>
  <c r="BT7" i="51"/>
  <c r="BR7" i="51"/>
  <c r="BQ7" i="51"/>
  <c r="BP7" i="51"/>
  <c r="BO7" i="51"/>
  <c r="BN7" i="51"/>
  <c r="EQ4" i="51"/>
  <c r="EP4" i="51"/>
  <c r="EO4" i="51"/>
  <c r="ES4" i="51" s="1"/>
  <c r="EN4" i="51"/>
  <c r="ER4" i="51" s="1"/>
  <c r="EM4" i="51"/>
  <c r="EL4" i="51"/>
  <c r="EI4" i="51"/>
  <c r="EH4" i="51"/>
  <c r="EG4" i="51"/>
  <c r="EK4" i="51" s="1"/>
  <c r="ET4" i="51" s="1"/>
  <c r="EF4" i="51"/>
  <c r="EJ4" i="51" s="1"/>
  <c r="DH4" i="51"/>
  <c r="DG4" i="51"/>
  <c r="DF4" i="51"/>
  <c r="DJ4" i="51" s="1"/>
  <c r="DE4" i="51"/>
  <c r="DI4" i="51" s="1"/>
  <c r="DD4" i="51"/>
  <c r="DC4" i="51"/>
  <c r="CZ4" i="51"/>
  <c r="CY4" i="51"/>
  <c r="CX4" i="51"/>
  <c r="CW4" i="51"/>
  <c r="BX4" i="51"/>
  <c r="BW4" i="51"/>
  <c r="BV4" i="51"/>
  <c r="BU4" i="51"/>
  <c r="BT4" i="51"/>
  <c r="BR4" i="51"/>
  <c r="BQ4" i="51"/>
  <c r="BP4" i="51"/>
  <c r="BO4" i="51"/>
  <c r="BN4" i="51"/>
  <c r="EQ26" i="50"/>
  <c r="EP26" i="50"/>
  <c r="EO26" i="50"/>
  <c r="ES26" i="50" s="1"/>
  <c r="EN26" i="50"/>
  <c r="ER26" i="50" s="1"/>
  <c r="EM26" i="50"/>
  <c r="EL26" i="50"/>
  <c r="EI26" i="50"/>
  <c r="EH26" i="50"/>
  <c r="EG26" i="50"/>
  <c r="EK26" i="50" s="1"/>
  <c r="ET26" i="50" s="1"/>
  <c r="EF26" i="50"/>
  <c r="EJ26" i="50" s="1"/>
  <c r="DH26" i="50"/>
  <c r="DG26" i="50"/>
  <c r="DF26" i="50"/>
  <c r="DJ26" i="50" s="1"/>
  <c r="DE26" i="50"/>
  <c r="DI26" i="50" s="1"/>
  <c r="DD26" i="50"/>
  <c r="DC26" i="50"/>
  <c r="CZ26" i="50"/>
  <c r="CY26" i="50"/>
  <c r="CX26" i="50"/>
  <c r="DB26" i="50" s="1"/>
  <c r="DK26" i="50" s="1"/>
  <c r="CW26" i="50"/>
  <c r="DA26" i="50" s="1"/>
  <c r="BX26" i="50"/>
  <c r="BW26" i="50"/>
  <c r="BV26" i="50"/>
  <c r="BU26" i="50"/>
  <c r="BT26" i="50"/>
  <c r="BR26" i="50"/>
  <c r="BQ26" i="50"/>
  <c r="BP26" i="50"/>
  <c r="BO26" i="50"/>
  <c r="BN26" i="50"/>
  <c r="EQ17" i="50"/>
  <c r="EP17" i="50"/>
  <c r="EO17" i="50"/>
  <c r="ES17" i="50" s="1"/>
  <c r="EN17" i="50"/>
  <c r="ER17" i="50" s="1"/>
  <c r="EM17" i="50"/>
  <c r="EL17" i="50"/>
  <c r="EI17" i="50"/>
  <c r="EH17" i="50"/>
  <c r="EG17" i="50"/>
  <c r="EK17" i="50" s="1"/>
  <c r="ET17" i="50" s="1"/>
  <c r="EF17" i="50"/>
  <c r="EJ17" i="50" s="1"/>
  <c r="DH17" i="50"/>
  <c r="DG17" i="50"/>
  <c r="DF17" i="50"/>
  <c r="DJ17" i="50" s="1"/>
  <c r="DE17" i="50"/>
  <c r="DI17" i="50" s="1"/>
  <c r="DD17" i="50"/>
  <c r="DC17" i="50"/>
  <c r="CZ17" i="50"/>
  <c r="CY17" i="50"/>
  <c r="CX17" i="50"/>
  <c r="DB17" i="50" s="1"/>
  <c r="DK17" i="50" s="1"/>
  <c r="CW17" i="50"/>
  <c r="DA17" i="50" s="1"/>
  <c r="BX17" i="50"/>
  <c r="BW17" i="50"/>
  <c r="BV17" i="50"/>
  <c r="BU17" i="50"/>
  <c r="BT17" i="50"/>
  <c r="BR17" i="50"/>
  <c r="BQ17" i="50"/>
  <c r="BP17" i="50"/>
  <c r="BO17" i="50"/>
  <c r="BN17" i="50"/>
  <c r="EQ23" i="50"/>
  <c r="EP23" i="50"/>
  <c r="EO23" i="50"/>
  <c r="ES23" i="50" s="1"/>
  <c r="EN23" i="50"/>
  <c r="ER23" i="50" s="1"/>
  <c r="EM23" i="50"/>
  <c r="EL23" i="50"/>
  <c r="EI23" i="50"/>
  <c r="EH23" i="50"/>
  <c r="EG23" i="50"/>
  <c r="EK23" i="50" s="1"/>
  <c r="ET23" i="50" s="1"/>
  <c r="EF23" i="50"/>
  <c r="EJ23" i="50" s="1"/>
  <c r="DH23" i="50"/>
  <c r="DG23" i="50"/>
  <c r="DF23" i="50"/>
  <c r="DJ23" i="50" s="1"/>
  <c r="DE23" i="50"/>
  <c r="DI23" i="50" s="1"/>
  <c r="DD23" i="50"/>
  <c r="DC23" i="50"/>
  <c r="CZ23" i="50"/>
  <c r="CY23" i="50"/>
  <c r="CX23" i="50"/>
  <c r="DB23" i="50" s="1"/>
  <c r="DK23" i="50" s="1"/>
  <c r="CW23" i="50"/>
  <c r="DA23" i="50" s="1"/>
  <c r="BX23" i="50"/>
  <c r="BW23" i="50"/>
  <c r="BV23" i="50"/>
  <c r="BU23" i="50"/>
  <c r="BT23" i="50"/>
  <c r="BR23" i="50"/>
  <c r="BQ23" i="50"/>
  <c r="BP23" i="50"/>
  <c r="BO23" i="50"/>
  <c r="BN23" i="50"/>
  <c r="EQ25" i="50"/>
  <c r="EP25" i="50"/>
  <c r="EO25" i="50"/>
  <c r="ES25" i="50" s="1"/>
  <c r="EN25" i="50"/>
  <c r="ER25" i="50" s="1"/>
  <c r="EM25" i="50"/>
  <c r="EL25" i="50"/>
  <c r="EI25" i="50"/>
  <c r="EH25" i="50"/>
  <c r="EG25" i="50"/>
  <c r="EK25" i="50" s="1"/>
  <c r="ET25" i="50" s="1"/>
  <c r="EF25" i="50"/>
  <c r="EJ25" i="50" s="1"/>
  <c r="DH25" i="50"/>
  <c r="DG25" i="50"/>
  <c r="DF25" i="50"/>
  <c r="DJ25" i="50" s="1"/>
  <c r="DE25" i="50"/>
  <c r="DI25" i="50" s="1"/>
  <c r="DD25" i="50"/>
  <c r="DC25" i="50"/>
  <c r="CZ25" i="50"/>
  <c r="CY25" i="50"/>
  <c r="CX25" i="50"/>
  <c r="DB25" i="50" s="1"/>
  <c r="DK25" i="50" s="1"/>
  <c r="CW25" i="50"/>
  <c r="DA25" i="50" s="1"/>
  <c r="BX25" i="50"/>
  <c r="BW25" i="50"/>
  <c r="BV25" i="50"/>
  <c r="BU25" i="50"/>
  <c r="BT25" i="50"/>
  <c r="BR25" i="50"/>
  <c r="BQ25" i="50"/>
  <c r="BP25" i="50"/>
  <c r="BO25" i="50"/>
  <c r="BN25" i="50"/>
  <c r="EQ24" i="50"/>
  <c r="EP24" i="50"/>
  <c r="EO24" i="50"/>
  <c r="ES24" i="50" s="1"/>
  <c r="EN24" i="50"/>
  <c r="ER24" i="50" s="1"/>
  <c r="EM24" i="50"/>
  <c r="EL24" i="50"/>
  <c r="EI24" i="50"/>
  <c r="EH24" i="50"/>
  <c r="EG24" i="50"/>
  <c r="EK24" i="50" s="1"/>
  <c r="ET24" i="50" s="1"/>
  <c r="EF24" i="50"/>
  <c r="EJ24" i="50" s="1"/>
  <c r="DH24" i="50"/>
  <c r="DG24" i="50"/>
  <c r="DF24" i="50"/>
  <c r="DJ24" i="50" s="1"/>
  <c r="DE24" i="50"/>
  <c r="DI24" i="50" s="1"/>
  <c r="DD24" i="50"/>
  <c r="DC24" i="50"/>
  <c r="CZ24" i="50"/>
  <c r="CY24" i="50"/>
  <c r="CX24" i="50"/>
  <c r="DB24" i="50" s="1"/>
  <c r="DK24" i="50" s="1"/>
  <c r="CW24" i="50"/>
  <c r="DA24" i="50" s="1"/>
  <c r="BX24" i="50"/>
  <c r="BW24" i="50"/>
  <c r="BV24" i="50"/>
  <c r="BU24" i="50"/>
  <c r="BT24" i="50"/>
  <c r="BR24" i="50"/>
  <c r="BQ24" i="50"/>
  <c r="BP24" i="50"/>
  <c r="BO24" i="50"/>
  <c r="BN24" i="50"/>
  <c r="EQ27" i="50"/>
  <c r="EP27" i="50"/>
  <c r="EO27" i="50"/>
  <c r="ES27" i="50" s="1"/>
  <c r="EN27" i="50"/>
  <c r="ER27" i="50" s="1"/>
  <c r="EM27" i="50"/>
  <c r="EL27" i="50"/>
  <c r="EI27" i="50"/>
  <c r="EH27" i="50"/>
  <c r="EG27" i="50"/>
  <c r="EK27" i="50" s="1"/>
  <c r="ET27" i="50" s="1"/>
  <c r="EF27" i="50"/>
  <c r="EJ27" i="50" s="1"/>
  <c r="DH27" i="50"/>
  <c r="DG27" i="50"/>
  <c r="DF27" i="50"/>
  <c r="DJ27" i="50" s="1"/>
  <c r="DE27" i="50"/>
  <c r="DI27" i="50" s="1"/>
  <c r="DD27" i="50"/>
  <c r="DC27" i="50"/>
  <c r="CZ27" i="50"/>
  <c r="CY27" i="50"/>
  <c r="CX27" i="50"/>
  <c r="DB27" i="50" s="1"/>
  <c r="DK27" i="50" s="1"/>
  <c r="CW27" i="50"/>
  <c r="DA27" i="50" s="1"/>
  <c r="BX27" i="50"/>
  <c r="BW27" i="50"/>
  <c r="BV27" i="50"/>
  <c r="BU27" i="50"/>
  <c r="BT27" i="50"/>
  <c r="BR27" i="50"/>
  <c r="BQ27" i="50"/>
  <c r="BP27" i="50"/>
  <c r="BO27" i="50"/>
  <c r="BN27" i="50"/>
  <c r="EQ14" i="50"/>
  <c r="EP14" i="50"/>
  <c r="EO14" i="50"/>
  <c r="ES14" i="50" s="1"/>
  <c r="EN14" i="50"/>
  <c r="ER14" i="50" s="1"/>
  <c r="EM14" i="50"/>
  <c r="EL14" i="50"/>
  <c r="EI14" i="50"/>
  <c r="EH14" i="50"/>
  <c r="EG14" i="50"/>
  <c r="EF14" i="50"/>
  <c r="DH14" i="50"/>
  <c r="DG14" i="50"/>
  <c r="DF14" i="50"/>
  <c r="DJ14" i="50" s="1"/>
  <c r="DE14" i="50"/>
  <c r="DI14" i="50" s="1"/>
  <c r="DD14" i="50"/>
  <c r="DC14" i="50"/>
  <c r="CZ14" i="50"/>
  <c r="CY14" i="50"/>
  <c r="CX14" i="50"/>
  <c r="DB14" i="50" s="1"/>
  <c r="DK14" i="50" s="1"/>
  <c r="CW14" i="50"/>
  <c r="DA14" i="50" s="1"/>
  <c r="BX14" i="50"/>
  <c r="BW14" i="50"/>
  <c r="BV14" i="50"/>
  <c r="BU14" i="50"/>
  <c r="BT14" i="50"/>
  <c r="BR14" i="50"/>
  <c r="BQ14" i="50"/>
  <c r="BP14" i="50"/>
  <c r="BO14" i="50"/>
  <c r="BN14" i="50"/>
  <c r="EQ13" i="50"/>
  <c r="EP13" i="50"/>
  <c r="EO13" i="50"/>
  <c r="ES13" i="50" s="1"/>
  <c r="EN13" i="50"/>
  <c r="ER13" i="50" s="1"/>
  <c r="EM13" i="50"/>
  <c r="EL13" i="50"/>
  <c r="EI13" i="50"/>
  <c r="EH13" i="50"/>
  <c r="EG13" i="50"/>
  <c r="EK13" i="50" s="1"/>
  <c r="ET13" i="50" s="1"/>
  <c r="EF13" i="50"/>
  <c r="EJ13" i="50" s="1"/>
  <c r="DH13" i="50"/>
  <c r="DG13" i="50"/>
  <c r="DF13" i="50"/>
  <c r="DJ13" i="50" s="1"/>
  <c r="DE13" i="50"/>
  <c r="DI13" i="50" s="1"/>
  <c r="DD13" i="50"/>
  <c r="DC13" i="50"/>
  <c r="CZ13" i="50"/>
  <c r="CY13" i="50"/>
  <c r="CX13" i="50"/>
  <c r="DB13" i="50" s="1"/>
  <c r="DK13" i="50" s="1"/>
  <c r="CW13" i="50"/>
  <c r="DA13" i="50" s="1"/>
  <c r="BX13" i="50"/>
  <c r="BW13" i="50"/>
  <c r="BV13" i="50"/>
  <c r="BU13" i="50"/>
  <c r="BT13" i="50"/>
  <c r="BR13" i="50"/>
  <c r="BQ13" i="50"/>
  <c r="BP13" i="50"/>
  <c r="BO13" i="50"/>
  <c r="BN13" i="50"/>
  <c r="EQ6" i="50"/>
  <c r="EP6" i="50"/>
  <c r="EO6" i="50"/>
  <c r="ES6" i="50" s="1"/>
  <c r="EN6" i="50"/>
  <c r="ER6" i="50" s="1"/>
  <c r="EM6" i="50"/>
  <c r="EL6" i="50"/>
  <c r="EI6" i="50"/>
  <c r="EH6" i="50"/>
  <c r="EG6" i="50"/>
  <c r="EK6" i="50" s="1"/>
  <c r="ET6" i="50" s="1"/>
  <c r="EF6" i="50"/>
  <c r="EJ6" i="50" s="1"/>
  <c r="DH6" i="50"/>
  <c r="DG6" i="50"/>
  <c r="DF6" i="50"/>
  <c r="DJ6" i="50" s="1"/>
  <c r="DE6" i="50"/>
  <c r="DI6" i="50" s="1"/>
  <c r="DD6" i="50"/>
  <c r="DC6" i="50"/>
  <c r="CZ6" i="50"/>
  <c r="CY6" i="50"/>
  <c r="CX6" i="50"/>
  <c r="DB6" i="50" s="1"/>
  <c r="DK6" i="50" s="1"/>
  <c r="CW6" i="50"/>
  <c r="DA6" i="50" s="1"/>
  <c r="BX6" i="50"/>
  <c r="BW6" i="50"/>
  <c r="BV6" i="50"/>
  <c r="BU6" i="50"/>
  <c r="BT6" i="50"/>
  <c r="BR6" i="50"/>
  <c r="BQ6" i="50"/>
  <c r="BP6" i="50"/>
  <c r="BO6" i="50"/>
  <c r="BN6" i="50"/>
  <c r="EQ10" i="50"/>
  <c r="EP10" i="50"/>
  <c r="EO10" i="50"/>
  <c r="ES10" i="50" s="1"/>
  <c r="EN10" i="50"/>
  <c r="ER10" i="50" s="1"/>
  <c r="EM10" i="50"/>
  <c r="EL10" i="50"/>
  <c r="EI10" i="50"/>
  <c r="EH10" i="50"/>
  <c r="EG10" i="50"/>
  <c r="EK10" i="50" s="1"/>
  <c r="ET10" i="50" s="1"/>
  <c r="EF10" i="50"/>
  <c r="EJ10" i="50" s="1"/>
  <c r="DH10" i="50"/>
  <c r="DG10" i="50"/>
  <c r="DF10" i="50"/>
  <c r="DJ10" i="50" s="1"/>
  <c r="DE10" i="50"/>
  <c r="DI10" i="50" s="1"/>
  <c r="DD10" i="50"/>
  <c r="DC10" i="50"/>
  <c r="CZ10" i="50"/>
  <c r="CY10" i="50"/>
  <c r="CX10" i="50"/>
  <c r="DB10" i="50" s="1"/>
  <c r="DK10" i="50" s="1"/>
  <c r="CW10" i="50"/>
  <c r="DA10" i="50" s="1"/>
  <c r="BX10" i="50"/>
  <c r="BW10" i="50"/>
  <c r="BV10" i="50"/>
  <c r="BU10" i="50"/>
  <c r="BT10" i="50"/>
  <c r="BR10" i="50"/>
  <c r="BQ10" i="50"/>
  <c r="BP10" i="50"/>
  <c r="BO10" i="50"/>
  <c r="BN10" i="50"/>
  <c r="EQ15" i="50"/>
  <c r="EP15" i="50"/>
  <c r="EO15" i="50"/>
  <c r="ES15" i="50" s="1"/>
  <c r="EN15" i="50"/>
  <c r="ER15" i="50" s="1"/>
  <c r="EM15" i="50"/>
  <c r="EL15" i="50"/>
  <c r="EI15" i="50"/>
  <c r="EH15" i="50"/>
  <c r="EG15" i="50"/>
  <c r="EF15" i="50"/>
  <c r="DH15" i="50"/>
  <c r="DG15" i="50"/>
  <c r="DF15" i="50"/>
  <c r="DJ15" i="50" s="1"/>
  <c r="DE15" i="50"/>
  <c r="DI15" i="50" s="1"/>
  <c r="DD15" i="50"/>
  <c r="DC15" i="50"/>
  <c r="CZ15" i="50"/>
  <c r="CY15" i="50"/>
  <c r="CX15" i="50"/>
  <c r="DB15" i="50" s="1"/>
  <c r="DK15" i="50" s="1"/>
  <c r="CW15" i="50"/>
  <c r="DA15" i="50" s="1"/>
  <c r="BX15" i="50"/>
  <c r="BW15" i="50"/>
  <c r="BV15" i="50"/>
  <c r="BU15" i="50"/>
  <c r="BT15" i="50"/>
  <c r="BR15" i="50"/>
  <c r="BQ15" i="50"/>
  <c r="BP15" i="50"/>
  <c r="BO15" i="50"/>
  <c r="BN15" i="50"/>
  <c r="EQ22" i="50"/>
  <c r="EP22" i="50"/>
  <c r="EO22" i="50"/>
  <c r="ES22" i="50" s="1"/>
  <c r="EN22" i="50"/>
  <c r="ER22" i="50" s="1"/>
  <c r="EM22" i="50"/>
  <c r="EL22" i="50"/>
  <c r="EI22" i="50"/>
  <c r="EH22" i="50"/>
  <c r="EG22" i="50"/>
  <c r="EF22" i="50"/>
  <c r="DH22" i="50"/>
  <c r="DG22" i="50"/>
  <c r="DF22" i="50"/>
  <c r="DJ22" i="50" s="1"/>
  <c r="DE22" i="50"/>
  <c r="DI22" i="50" s="1"/>
  <c r="DD22" i="50"/>
  <c r="DC22" i="50"/>
  <c r="CZ22" i="50"/>
  <c r="CY22" i="50"/>
  <c r="CX22" i="50"/>
  <c r="DB22" i="50" s="1"/>
  <c r="DK22" i="50" s="1"/>
  <c r="CW22" i="50"/>
  <c r="DA22" i="50" s="1"/>
  <c r="BX22" i="50"/>
  <c r="BW22" i="50"/>
  <c r="BV22" i="50"/>
  <c r="BU22" i="50"/>
  <c r="BT22" i="50"/>
  <c r="BR22" i="50"/>
  <c r="BQ22" i="50"/>
  <c r="BP22" i="50"/>
  <c r="BO22" i="50"/>
  <c r="BN22" i="50"/>
  <c r="EQ20" i="50"/>
  <c r="EP20" i="50"/>
  <c r="EO20" i="50"/>
  <c r="ES20" i="50" s="1"/>
  <c r="EN20" i="50"/>
  <c r="ER20" i="50" s="1"/>
  <c r="EM20" i="50"/>
  <c r="EL20" i="50"/>
  <c r="EI20" i="50"/>
  <c r="EH20" i="50"/>
  <c r="EG20" i="50"/>
  <c r="EF20" i="50"/>
  <c r="DH20" i="50"/>
  <c r="DG20" i="50"/>
  <c r="DF20" i="50"/>
  <c r="DJ20" i="50" s="1"/>
  <c r="DE20" i="50"/>
  <c r="DI20" i="50" s="1"/>
  <c r="DD20" i="50"/>
  <c r="DC20" i="50"/>
  <c r="CZ20" i="50"/>
  <c r="CY20" i="50"/>
  <c r="CX20" i="50"/>
  <c r="DB20" i="50" s="1"/>
  <c r="DK20" i="50" s="1"/>
  <c r="CW20" i="50"/>
  <c r="DA20" i="50" s="1"/>
  <c r="BX20" i="50"/>
  <c r="BW20" i="50"/>
  <c r="BV20" i="50"/>
  <c r="BU20" i="50"/>
  <c r="BT20" i="50"/>
  <c r="BR20" i="50"/>
  <c r="BQ20" i="50"/>
  <c r="BP20" i="50"/>
  <c r="BO20" i="50"/>
  <c r="BN20" i="50"/>
  <c r="EQ7" i="50"/>
  <c r="EP7" i="50"/>
  <c r="EO7" i="50"/>
  <c r="ES7" i="50" s="1"/>
  <c r="EN7" i="50"/>
  <c r="ER7" i="50" s="1"/>
  <c r="EM7" i="50"/>
  <c r="EL7" i="50"/>
  <c r="EI7" i="50"/>
  <c r="EH7" i="50"/>
  <c r="EG7" i="50"/>
  <c r="EF7" i="50"/>
  <c r="DH7" i="50"/>
  <c r="DG7" i="50"/>
  <c r="DF7" i="50"/>
  <c r="DJ7" i="50" s="1"/>
  <c r="DE7" i="50"/>
  <c r="DI7" i="50" s="1"/>
  <c r="DD7" i="50"/>
  <c r="DC7" i="50"/>
  <c r="CZ7" i="50"/>
  <c r="CY7" i="50"/>
  <c r="CX7" i="50"/>
  <c r="DB7" i="50" s="1"/>
  <c r="DK7" i="50" s="1"/>
  <c r="CW7" i="50"/>
  <c r="DA7" i="50" s="1"/>
  <c r="BX7" i="50"/>
  <c r="BW7" i="50"/>
  <c r="BV7" i="50"/>
  <c r="BU7" i="50"/>
  <c r="BT7" i="50"/>
  <c r="BR7" i="50"/>
  <c r="BQ7" i="50"/>
  <c r="BP7" i="50"/>
  <c r="BO7" i="50"/>
  <c r="BN7" i="50"/>
  <c r="EQ5" i="50"/>
  <c r="EP5" i="50"/>
  <c r="EO5" i="50"/>
  <c r="EN5" i="50"/>
  <c r="EM5" i="50"/>
  <c r="EL5" i="50"/>
  <c r="EI5" i="50"/>
  <c r="EH5" i="50"/>
  <c r="EG5" i="50"/>
  <c r="EF5" i="50"/>
  <c r="DH5" i="50"/>
  <c r="DG5" i="50"/>
  <c r="DF5" i="50"/>
  <c r="DJ5" i="50" s="1"/>
  <c r="DE5" i="50"/>
  <c r="DI5" i="50" s="1"/>
  <c r="DD5" i="50"/>
  <c r="DC5" i="50"/>
  <c r="CZ5" i="50"/>
  <c r="CY5" i="50"/>
  <c r="CX5" i="50"/>
  <c r="DB5" i="50" s="1"/>
  <c r="DK5" i="50" s="1"/>
  <c r="CW5" i="50"/>
  <c r="DA5" i="50" s="1"/>
  <c r="BX5" i="50"/>
  <c r="BW5" i="50"/>
  <c r="BV5" i="50"/>
  <c r="BU5" i="50"/>
  <c r="BT5" i="50"/>
  <c r="BR5" i="50"/>
  <c r="BQ5" i="50"/>
  <c r="BP5" i="50"/>
  <c r="BO5" i="50"/>
  <c r="BN5" i="50"/>
  <c r="EQ8" i="50"/>
  <c r="EP8" i="50"/>
  <c r="EO8" i="50"/>
  <c r="EN8" i="50"/>
  <c r="EM8" i="50"/>
  <c r="EL8" i="50"/>
  <c r="EI8" i="50"/>
  <c r="EH8" i="50"/>
  <c r="EG8" i="50"/>
  <c r="EF8" i="50"/>
  <c r="DH8" i="50"/>
  <c r="DG8" i="50"/>
  <c r="DF8" i="50"/>
  <c r="DJ8" i="50" s="1"/>
  <c r="DE8" i="50"/>
  <c r="DI8" i="50" s="1"/>
  <c r="DD8" i="50"/>
  <c r="DC8" i="50"/>
  <c r="CZ8" i="50"/>
  <c r="CY8" i="50"/>
  <c r="CX8" i="50"/>
  <c r="DB8" i="50" s="1"/>
  <c r="DK8" i="50" s="1"/>
  <c r="CW8" i="50"/>
  <c r="DA8" i="50" s="1"/>
  <c r="BX8" i="50"/>
  <c r="BW8" i="50"/>
  <c r="BV8" i="50"/>
  <c r="BU8" i="50"/>
  <c r="BT8" i="50"/>
  <c r="BR8" i="50"/>
  <c r="BQ8" i="50"/>
  <c r="BP8" i="50"/>
  <c r="BO8" i="50"/>
  <c r="BN8" i="50"/>
  <c r="EQ21" i="50"/>
  <c r="EP21" i="50"/>
  <c r="EO21" i="50"/>
  <c r="ES21" i="50" s="1"/>
  <c r="EN21" i="50"/>
  <c r="ER21" i="50" s="1"/>
  <c r="EM21" i="50"/>
  <c r="EL21" i="50"/>
  <c r="EI21" i="50"/>
  <c r="EH21" i="50"/>
  <c r="EG21" i="50"/>
  <c r="EF21" i="50"/>
  <c r="DH21" i="50"/>
  <c r="DG21" i="50"/>
  <c r="DF21" i="50"/>
  <c r="DJ21" i="50" s="1"/>
  <c r="DE21" i="50"/>
  <c r="DI21" i="50" s="1"/>
  <c r="DD21" i="50"/>
  <c r="DC21" i="50"/>
  <c r="CZ21" i="50"/>
  <c r="CY21" i="50"/>
  <c r="CX21" i="50"/>
  <c r="DB21" i="50" s="1"/>
  <c r="CW21" i="50"/>
  <c r="DA21" i="50" s="1"/>
  <c r="BX21" i="50"/>
  <c r="BW21" i="50"/>
  <c r="BV21" i="50"/>
  <c r="BU21" i="50"/>
  <c r="BT21" i="50"/>
  <c r="BR21" i="50"/>
  <c r="BQ21" i="50"/>
  <c r="BP21" i="50"/>
  <c r="BO21" i="50"/>
  <c r="BN21" i="50"/>
  <c r="EQ9" i="50"/>
  <c r="EP9" i="50"/>
  <c r="EO9" i="50"/>
  <c r="ES9" i="50" s="1"/>
  <c r="EN9" i="50"/>
  <c r="ER9" i="50" s="1"/>
  <c r="EM9" i="50"/>
  <c r="EL9" i="50"/>
  <c r="EI9" i="50"/>
  <c r="EH9" i="50"/>
  <c r="EG9" i="50"/>
  <c r="EK9" i="50" s="1"/>
  <c r="ET9" i="50" s="1"/>
  <c r="EF9" i="50"/>
  <c r="EJ9" i="50" s="1"/>
  <c r="DH9" i="50"/>
  <c r="DG9" i="50"/>
  <c r="DF9" i="50"/>
  <c r="DJ9" i="50" s="1"/>
  <c r="DE9" i="50"/>
  <c r="DI9" i="50" s="1"/>
  <c r="DD9" i="50"/>
  <c r="DC9" i="50"/>
  <c r="CZ9" i="50"/>
  <c r="CY9" i="50"/>
  <c r="CX9" i="50"/>
  <c r="CW9" i="50"/>
  <c r="BX9" i="50"/>
  <c r="BW9" i="50"/>
  <c r="BV9" i="50"/>
  <c r="BU9" i="50"/>
  <c r="BT9" i="50"/>
  <c r="BR9" i="50"/>
  <c r="BQ9" i="50"/>
  <c r="BP9" i="50"/>
  <c r="BO9" i="50"/>
  <c r="BN9" i="50"/>
  <c r="EQ4" i="50"/>
  <c r="EP4" i="50"/>
  <c r="EO4" i="50"/>
  <c r="EN4" i="50"/>
  <c r="EM4" i="50"/>
  <c r="EL4" i="50"/>
  <c r="EI4" i="50"/>
  <c r="EH4" i="50"/>
  <c r="EG4" i="50"/>
  <c r="EF4" i="50"/>
  <c r="DH4" i="50"/>
  <c r="DG4" i="50"/>
  <c r="DF4" i="50"/>
  <c r="DJ4" i="50" s="1"/>
  <c r="DE4" i="50"/>
  <c r="DI4" i="50" s="1"/>
  <c r="DD4" i="50"/>
  <c r="DC4" i="50"/>
  <c r="CZ4" i="50"/>
  <c r="CY4" i="50"/>
  <c r="CX4" i="50"/>
  <c r="DB4" i="50" s="1"/>
  <c r="DK4" i="50" s="1"/>
  <c r="CW4" i="50"/>
  <c r="DA4" i="50" s="1"/>
  <c r="BX4" i="50"/>
  <c r="BW4" i="50"/>
  <c r="BV4" i="50"/>
  <c r="BU4" i="50"/>
  <c r="BT4" i="50"/>
  <c r="BR4" i="50"/>
  <c r="BQ4" i="50"/>
  <c r="BP4" i="50"/>
  <c r="BO4" i="50"/>
  <c r="BN4" i="50"/>
  <c r="EQ27" i="49"/>
  <c r="EP27" i="49"/>
  <c r="EO27" i="49"/>
  <c r="ES27" i="49" s="1"/>
  <c r="EN27" i="49"/>
  <c r="ER27" i="49" s="1"/>
  <c r="EM27" i="49"/>
  <c r="EL27" i="49"/>
  <c r="EI27" i="49"/>
  <c r="EH27" i="49"/>
  <c r="EG27" i="49"/>
  <c r="EK27" i="49" s="1"/>
  <c r="ET27" i="49" s="1"/>
  <c r="EF27" i="49"/>
  <c r="EJ27" i="49" s="1"/>
  <c r="DH27" i="49"/>
  <c r="DG27" i="49"/>
  <c r="DF27" i="49"/>
  <c r="DJ27" i="49" s="1"/>
  <c r="DE27" i="49"/>
  <c r="DI27" i="49" s="1"/>
  <c r="DD27" i="49"/>
  <c r="DC27" i="49"/>
  <c r="CZ27" i="49"/>
  <c r="CY27" i="49"/>
  <c r="CX27" i="49"/>
  <c r="DB27" i="49" s="1"/>
  <c r="DK27" i="49" s="1"/>
  <c r="CW27" i="49"/>
  <c r="DA27" i="49" s="1"/>
  <c r="BX27" i="49"/>
  <c r="BW27" i="49"/>
  <c r="BV27" i="49"/>
  <c r="BU27" i="49"/>
  <c r="BT27" i="49"/>
  <c r="BR27" i="49"/>
  <c r="BQ27" i="49"/>
  <c r="BP27" i="49"/>
  <c r="BO27" i="49"/>
  <c r="BN27" i="49"/>
  <c r="EQ25" i="49"/>
  <c r="EP25" i="49"/>
  <c r="EO25" i="49"/>
  <c r="ES25" i="49" s="1"/>
  <c r="EN25" i="49"/>
  <c r="ER25" i="49" s="1"/>
  <c r="EM25" i="49"/>
  <c r="EL25" i="49"/>
  <c r="EI25" i="49"/>
  <c r="EH25" i="49"/>
  <c r="EG25" i="49"/>
  <c r="EK25" i="49" s="1"/>
  <c r="ET25" i="49" s="1"/>
  <c r="EF25" i="49"/>
  <c r="EJ25" i="49" s="1"/>
  <c r="DH25" i="49"/>
  <c r="DG25" i="49"/>
  <c r="DF25" i="49"/>
  <c r="DJ25" i="49" s="1"/>
  <c r="DE25" i="49"/>
  <c r="DI25" i="49" s="1"/>
  <c r="DD25" i="49"/>
  <c r="DC25" i="49"/>
  <c r="CZ25" i="49"/>
  <c r="CY25" i="49"/>
  <c r="CX25" i="49"/>
  <c r="DB25" i="49" s="1"/>
  <c r="DK25" i="49" s="1"/>
  <c r="CW25" i="49"/>
  <c r="DA25" i="49" s="1"/>
  <c r="BX25" i="49"/>
  <c r="BW25" i="49"/>
  <c r="BV25" i="49"/>
  <c r="BU25" i="49"/>
  <c r="BT25" i="49"/>
  <c r="BR25" i="49"/>
  <c r="BQ25" i="49"/>
  <c r="BP25" i="49"/>
  <c r="BO25" i="49"/>
  <c r="BN25" i="49"/>
  <c r="EQ28" i="49"/>
  <c r="EP28" i="49"/>
  <c r="EO28" i="49"/>
  <c r="ES28" i="49" s="1"/>
  <c r="EN28" i="49"/>
  <c r="ER28" i="49" s="1"/>
  <c r="EM28" i="49"/>
  <c r="EL28" i="49"/>
  <c r="EI28" i="49"/>
  <c r="EH28" i="49"/>
  <c r="EG28" i="49"/>
  <c r="EK28" i="49" s="1"/>
  <c r="ET28" i="49" s="1"/>
  <c r="EF28" i="49"/>
  <c r="EJ28" i="49" s="1"/>
  <c r="DH28" i="49"/>
  <c r="DG28" i="49"/>
  <c r="DF28" i="49"/>
  <c r="DJ28" i="49" s="1"/>
  <c r="DE28" i="49"/>
  <c r="DI28" i="49" s="1"/>
  <c r="DD28" i="49"/>
  <c r="DC28" i="49"/>
  <c r="CZ28" i="49"/>
  <c r="CY28" i="49"/>
  <c r="CX28" i="49"/>
  <c r="DB28" i="49" s="1"/>
  <c r="DK28" i="49" s="1"/>
  <c r="CW28" i="49"/>
  <c r="DA28" i="49" s="1"/>
  <c r="BX28" i="49"/>
  <c r="BW28" i="49"/>
  <c r="BV28" i="49"/>
  <c r="BU28" i="49"/>
  <c r="BT28" i="49"/>
  <c r="BR28" i="49"/>
  <c r="BQ28" i="49"/>
  <c r="BP28" i="49"/>
  <c r="BO28" i="49"/>
  <c r="BN28" i="49"/>
  <c r="EQ19" i="49"/>
  <c r="EP19" i="49"/>
  <c r="EO19" i="49"/>
  <c r="ES19" i="49" s="1"/>
  <c r="EN19" i="49"/>
  <c r="ER19" i="49" s="1"/>
  <c r="EM19" i="49"/>
  <c r="EL19" i="49"/>
  <c r="EI19" i="49"/>
  <c r="EH19" i="49"/>
  <c r="EG19" i="49"/>
  <c r="EK19" i="49" s="1"/>
  <c r="ET19" i="49" s="1"/>
  <c r="EF19" i="49"/>
  <c r="EJ19" i="49" s="1"/>
  <c r="DH19" i="49"/>
  <c r="DG19" i="49"/>
  <c r="DF19" i="49"/>
  <c r="DJ19" i="49" s="1"/>
  <c r="DE19" i="49"/>
  <c r="DI19" i="49" s="1"/>
  <c r="DD19" i="49"/>
  <c r="DC19" i="49"/>
  <c r="CZ19" i="49"/>
  <c r="CY19" i="49"/>
  <c r="CX19" i="49"/>
  <c r="DB19" i="49" s="1"/>
  <c r="DK19" i="49" s="1"/>
  <c r="CW19" i="49"/>
  <c r="DA19" i="49" s="1"/>
  <c r="BX19" i="49"/>
  <c r="BW19" i="49"/>
  <c r="BV19" i="49"/>
  <c r="BU19" i="49"/>
  <c r="BT19" i="49"/>
  <c r="BR19" i="49"/>
  <c r="BQ19" i="49"/>
  <c r="BP19" i="49"/>
  <c r="BO19" i="49"/>
  <c r="BN19" i="49"/>
  <c r="EQ34" i="49"/>
  <c r="EP34" i="49"/>
  <c r="EO34" i="49"/>
  <c r="ES34" i="49" s="1"/>
  <c r="EN34" i="49"/>
  <c r="ER34" i="49" s="1"/>
  <c r="EM34" i="49"/>
  <c r="EL34" i="49"/>
  <c r="EI34" i="49"/>
  <c r="EH34" i="49"/>
  <c r="EG34" i="49"/>
  <c r="EK34" i="49" s="1"/>
  <c r="ET34" i="49" s="1"/>
  <c r="EF34" i="49"/>
  <c r="EJ34" i="49" s="1"/>
  <c r="DH34" i="49"/>
  <c r="DG34" i="49"/>
  <c r="DF34" i="49"/>
  <c r="DJ34" i="49" s="1"/>
  <c r="DE34" i="49"/>
  <c r="DI34" i="49" s="1"/>
  <c r="DD34" i="49"/>
  <c r="DC34" i="49"/>
  <c r="CZ34" i="49"/>
  <c r="CY34" i="49"/>
  <c r="CX34" i="49"/>
  <c r="DB34" i="49" s="1"/>
  <c r="DK34" i="49" s="1"/>
  <c r="CW34" i="49"/>
  <c r="DA34" i="49" s="1"/>
  <c r="BX34" i="49"/>
  <c r="BW34" i="49"/>
  <c r="BV34" i="49"/>
  <c r="BU34" i="49"/>
  <c r="BT34" i="49"/>
  <c r="BR34" i="49"/>
  <c r="BQ34" i="49"/>
  <c r="BP34" i="49"/>
  <c r="BO34" i="49"/>
  <c r="BN34" i="49"/>
  <c r="EQ14" i="49"/>
  <c r="EP14" i="49"/>
  <c r="EO14" i="49"/>
  <c r="ES14" i="49" s="1"/>
  <c r="EN14" i="49"/>
  <c r="ER14" i="49" s="1"/>
  <c r="EM14" i="49"/>
  <c r="EL14" i="49"/>
  <c r="EI14" i="49"/>
  <c r="EH14" i="49"/>
  <c r="EG14" i="49"/>
  <c r="EK14" i="49" s="1"/>
  <c r="ET14" i="49" s="1"/>
  <c r="EF14" i="49"/>
  <c r="EJ14" i="49" s="1"/>
  <c r="DH14" i="49"/>
  <c r="DG14" i="49"/>
  <c r="DF14" i="49"/>
  <c r="DJ14" i="49" s="1"/>
  <c r="DE14" i="49"/>
  <c r="DI14" i="49" s="1"/>
  <c r="DD14" i="49"/>
  <c r="DC14" i="49"/>
  <c r="CZ14" i="49"/>
  <c r="CY14" i="49"/>
  <c r="CX14" i="49"/>
  <c r="DB14" i="49" s="1"/>
  <c r="DK14" i="49" s="1"/>
  <c r="CW14" i="49"/>
  <c r="DA14" i="49" s="1"/>
  <c r="BX14" i="49"/>
  <c r="BW14" i="49"/>
  <c r="BV14" i="49"/>
  <c r="BU14" i="49"/>
  <c r="BT14" i="49"/>
  <c r="BR14" i="49"/>
  <c r="BQ14" i="49"/>
  <c r="BP14" i="49"/>
  <c r="BO14" i="49"/>
  <c r="BN14" i="49"/>
  <c r="EQ16" i="49"/>
  <c r="EP16" i="49"/>
  <c r="EO16" i="49"/>
  <c r="ES16" i="49" s="1"/>
  <c r="EN16" i="49"/>
  <c r="ER16" i="49" s="1"/>
  <c r="EM16" i="49"/>
  <c r="EL16" i="49"/>
  <c r="EI16" i="49"/>
  <c r="EH16" i="49"/>
  <c r="EG16" i="49"/>
  <c r="EK16" i="49" s="1"/>
  <c r="ET16" i="49" s="1"/>
  <c r="EF16" i="49"/>
  <c r="EJ16" i="49" s="1"/>
  <c r="DH16" i="49"/>
  <c r="DG16" i="49"/>
  <c r="DF16" i="49"/>
  <c r="DJ16" i="49" s="1"/>
  <c r="DE16" i="49"/>
  <c r="DI16" i="49" s="1"/>
  <c r="DD16" i="49"/>
  <c r="DC16" i="49"/>
  <c r="CZ16" i="49"/>
  <c r="CY16" i="49"/>
  <c r="CX16" i="49"/>
  <c r="DB16" i="49" s="1"/>
  <c r="DK16" i="49" s="1"/>
  <c r="CW16" i="49"/>
  <c r="DA16" i="49" s="1"/>
  <c r="BX16" i="49"/>
  <c r="BW16" i="49"/>
  <c r="BV16" i="49"/>
  <c r="BU16" i="49"/>
  <c r="BT16" i="49"/>
  <c r="BR16" i="49"/>
  <c r="BQ16" i="49"/>
  <c r="BP16" i="49"/>
  <c r="BO16" i="49"/>
  <c r="BN16" i="49"/>
  <c r="EQ26" i="49"/>
  <c r="EP26" i="49"/>
  <c r="EO26" i="49"/>
  <c r="ES26" i="49" s="1"/>
  <c r="EN26" i="49"/>
  <c r="ER26" i="49" s="1"/>
  <c r="EM26" i="49"/>
  <c r="EL26" i="49"/>
  <c r="EI26" i="49"/>
  <c r="EH26" i="49"/>
  <c r="EG26" i="49"/>
  <c r="EK26" i="49" s="1"/>
  <c r="ET26" i="49" s="1"/>
  <c r="EF26" i="49"/>
  <c r="EJ26" i="49" s="1"/>
  <c r="DH26" i="49"/>
  <c r="DG26" i="49"/>
  <c r="DF26" i="49"/>
  <c r="DJ26" i="49" s="1"/>
  <c r="DE26" i="49"/>
  <c r="DI26" i="49" s="1"/>
  <c r="DD26" i="49"/>
  <c r="DC26" i="49"/>
  <c r="CZ26" i="49"/>
  <c r="CY26" i="49"/>
  <c r="CX26" i="49"/>
  <c r="DB26" i="49" s="1"/>
  <c r="DK26" i="49" s="1"/>
  <c r="CW26" i="49"/>
  <c r="DA26" i="49" s="1"/>
  <c r="BX26" i="49"/>
  <c r="BW26" i="49"/>
  <c r="BV26" i="49"/>
  <c r="BU26" i="49"/>
  <c r="BT26" i="49"/>
  <c r="BR26" i="49"/>
  <c r="BQ26" i="49"/>
  <c r="BP26" i="49"/>
  <c r="BO26" i="49"/>
  <c r="BN26" i="49"/>
  <c r="EQ13" i="49"/>
  <c r="EP13" i="49"/>
  <c r="EO13" i="49"/>
  <c r="ES13" i="49" s="1"/>
  <c r="EN13" i="49"/>
  <c r="ER13" i="49" s="1"/>
  <c r="EM13" i="49"/>
  <c r="EL13" i="49"/>
  <c r="EI13" i="49"/>
  <c r="EH13" i="49"/>
  <c r="EG13" i="49"/>
  <c r="EF13" i="49"/>
  <c r="DH13" i="49"/>
  <c r="DG13" i="49"/>
  <c r="DF13" i="49"/>
  <c r="DJ13" i="49" s="1"/>
  <c r="DE13" i="49"/>
  <c r="DI13" i="49" s="1"/>
  <c r="DD13" i="49"/>
  <c r="DC13" i="49"/>
  <c r="CZ13" i="49"/>
  <c r="CY13" i="49"/>
  <c r="CX13" i="49"/>
  <c r="DB13" i="49" s="1"/>
  <c r="DK13" i="49" s="1"/>
  <c r="CW13" i="49"/>
  <c r="DA13" i="49" s="1"/>
  <c r="BX13" i="49"/>
  <c r="BW13" i="49"/>
  <c r="BV13" i="49"/>
  <c r="BU13" i="49"/>
  <c r="BT13" i="49"/>
  <c r="BR13" i="49"/>
  <c r="BQ13" i="49"/>
  <c r="BP13" i="49"/>
  <c r="BO13" i="49"/>
  <c r="BN13" i="49"/>
  <c r="EQ21" i="49"/>
  <c r="EP21" i="49"/>
  <c r="EO21" i="49"/>
  <c r="ES21" i="49" s="1"/>
  <c r="EN21" i="49"/>
  <c r="ER21" i="49" s="1"/>
  <c r="EM21" i="49"/>
  <c r="EL21" i="49"/>
  <c r="EI21" i="49"/>
  <c r="EH21" i="49"/>
  <c r="EG21" i="49"/>
  <c r="EK21" i="49" s="1"/>
  <c r="ET21" i="49" s="1"/>
  <c r="EF21" i="49"/>
  <c r="EJ21" i="49" s="1"/>
  <c r="DH21" i="49"/>
  <c r="DG21" i="49"/>
  <c r="DF21" i="49"/>
  <c r="DJ21" i="49" s="1"/>
  <c r="DE21" i="49"/>
  <c r="DI21" i="49" s="1"/>
  <c r="DD21" i="49"/>
  <c r="DC21" i="49"/>
  <c r="CZ21" i="49"/>
  <c r="CY21" i="49"/>
  <c r="CX21" i="49"/>
  <c r="DB21" i="49" s="1"/>
  <c r="DK21" i="49" s="1"/>
  <c r="CW21" i="49"/>
  <c r="DA21" i="49" s="1"/>
  <c r="BX21" i="49"/>
  <c r="BW21" i="49"/>
  <c r="BV21" i="49"/>
  <c r="BU21" i="49"/>
  <c r="BT21" i="49"/>
  <c r="BR21" i="49"/>
  <c r="BQ21" i="49"/>
  <c r="BP21" i="49"/>
  <c r="BO21" i="49"/>
  <c r="BN21" i="49"/>
  <c r="EQ7" i="49"/>
  <c r="EP7" i="49"/>
  <c r="EO7" i="49"/>
  <c r="ES7" i="49" s="1"/>
  <c r="EN7" i="49"/>
  <c r="ER7" i="49" s="1"/>
  <c r="EM7" i="49"/>
  <c r="EL7" i="49"/>
  <c r="EI7" i="49"/>
  <c r="EH7" i="49"/>
  <c r="EG7" i="49"/>
  <c r="EK7" i="49" s="1"/>
  <c r="ET7" i="49" s="1"/>
  <c r="EF7" i="49"/>
  <c r="EJ7" i="49" s="1"/>
  <c r="DH7" i="49"/>
  <c r="DG7" i="49"/>
  <c r="DF7" i="49"/>
  <c r="DJ7" i="49" s="1"/>
  <c r="DE7" i="49"/>
  <c r="DI7" i="49" s="1"/>
  <c r="DD7" i="49"/>
  <c r="DC7" i="49"/>
  <c r="CZ7" i="49"/>
  <c r="CY7" i="49"/>
  <c r="CX7" i="49"/>
  <c r="DB7" i="49" s="1"/>
  <c r="DK7" i="49" s="1"/>
  <c r="CW7" i="49"/>
  <c r="DA7" i="49" s="1"/>
  <c r="BX7" i="49"/>
  <c r="BW7" i="49"/>
  <c r="BV7" i="49"/>
  <c r="BU7" i="49"/>
  <c r="BT7" i="49"/>
  <c r="BR7" i="49"/>
  <c r="BQ7" i="49"/>
  <c r="BP7" i="49"/>
  <c r="BO7" i="49"/>
  <c r="BN7" i="49"/>
  <c r="EQ23" i="49"/>
  <c r="EP23" i="49"/>
  <c r="EO23" i="49"/>
  <c r="ES23" i="49" s="1"/>
  <c r="EN23" i="49"/>
  <c r="ER23" i="49" s="1"/>
  <c r="EM23" i="49"/>
  <c r="EL23" i="49"/>
  <c r="EI23" i="49"/>
  <c r="EH23" i="49"/>
  <c r="EG23" i="49"/>
  <c r="EF23" i="49"/>
  <c r="DH23" i="49"/>
  <c r="DG23" i="49"/>
  <c r="DF23" i="49"/>
  <c r="DJ23" i="49" s="1"/>
  <c r="DE23" i="49"/>
  <c r="DI23" i="49" s="1"/>
  <c r="DD23" i="49"/>
  <c r="DC23" i="49"/>
  <c r="CZ23" i="49"/>
  <c r="CY23" i="49"/>
  <c r="CX23" i="49"/>
  <c r="DB23" i="49" s="1"/>
  <c r="DK23" i="49" s="1"/>
  <c r="CW23" i="49"/>
  <c r="DA23" i="49" s="1"/>
  <c r="BX23" i="49"/>
  <c r="BW23" i="49"/>
  <c r="BV23" i="49"/>
  <c r="BU23" i="49"/>
  <c r="BT23" i="49"/>
  <c r="BR23" i="49"/>
  <c r="BQ23" i="49"/>
  <c r="BP23" i="49"/>
  <c r="BO23" i="49"/>
  <c r="BN23" i="49"/>
  <c r="EQ24" i="49"/>
  <c r="EP24" i="49"/>
  <c r="EO24" i="49"/>
  <c r="EN24" i="49"/>
  <c r="EM24" i="49"/>
  <c r="EL24" i="49"/>
  <c r="EI24" i="49"/>
  <c r="EH24" i="49"/>
  <c r="EG24" i="49"/>
  <c r="EF24" i="49"/>
  <c r="DH24" i="49"/>
  <c r="DG24" i="49"/>
  <c r="DF24" i="49"/>
  <c r="DJ24" i="49" s="1"/>
  <c r="DE24" i="49"/>
  <c r="DI24" i="49" s="1"/>
  <c r="DD24" i="49"/>
  <c r="DC24" i="49"/>
  <c r="CZ24" i="49"/>
  <c r="CY24" i="49"/>
  <c r="CX24" i="49"/>
  <c r="DB24" i="49" s="1"/>
  <c r="DK24" i="49" s="1"/>
  <c r="CW24" i="49"/>
  <c r="DA24" i="49" s="1"/>
  <c r="BX24" i="49"/>
  <c r="BW24" i="49"/>
  <c r="BV24" i="49"/>
  <c r="BU24" i="49"/>
  <c r="BT24" i="49"/>
  <c r="BR24" i="49"/>
  <c r="BQ24" i="49"/>
  <c r="BP24" i="49"/>
  <c r="BO24" i="49"/>
  <c r="BN24" i="49"/>
  <c r="EQ32" i="49"/>
  <c r="EP32" i="49"/>
  <c r="EO32" i="49"/>
  <c r="ES32" i="49" s="1"/>
  <c r="EN32" i="49"/>
  <c r="ER32" i="49" s="1"/>
  <c r="EM32" i="49"/>
  <c r="EL32" i="49"/>
  <c r="EI32" i="49"/>
  <c r="EH32" i="49"/>
  <c r="EG32" i="49"/>
  <c r="EK32" i="49" s="1"/>
  <c r="ET32" i="49" s="1"/>
  <c r="EF32" i="49"/>
  <c r="EJ32" i="49" s="1"/>
  <c r="DH32" i="49"/>
  <c r="DG32" i="49"/>
  <c r="DF32" i="49"/>
  <c r="DJ32" i="49" s="1"/>
  <c r="DE32" i="49"/>
  <c r="DI32" i="49" s="1"/>
  <c r="DD32" i="49"/>
  <c r="DC32" i="49"/>
  <c r="CZ32" i="49"/>
  <c r="CY32" i="49"/>
  <c r="CX32" i="49"/>
  <c r="DB32" i="49" s="1"/>
  <c r="DK32" i="49" s="1"/>
  <c r="CW32" i="49"/>
  <c r="DA32" i="49" s="1"/>
  <c r="BX32" i="49"/>
  <c r="BW32" i="49"/>
  <c r="BV32" i="49"/>
  <c r="BU32" i="49"/>
  <c r="BT32" i="49"/>
  <c r="BR32" i="49"/>
  <c r="BQ32" i="49"/>
  <c r="BP32" i="49"/>
  <c r="BO32" i="49"/>
  <c r="BN32" i="49"/>
  <c r="EQ6" i="49"/>
  <c r="EP6" i="49"/>
  <c r="EO6" i="49"/>
  <c r="ES6" i="49" s="1"/>
  <c r="EN6" i="49"/>
  <c r="ER6" i="49" s="1"/>
  <c r="EM6" i="49"/>
  <c r="EL6" i="49"/>
  <c r="EI6" i="49"/>
  <c r="EH6" i="49"/>
  <c r="EG6" i="49"/>
  <c r="EF6" i="49"/>
  <c r="DH6" i="49"/>
  <c r="DG6" i="49"/>
  <c r="DF6" i="49"/>
  <c r="DJ6" i="49" s="1"/>
  <c r="DE6" i="49"/>
  <c r="DI6" i="49" s="1"/>
  <c r="DD6" i="49"/>
  <c r="DC6" i="49"/>
  <c r="CZ6" i="49"/>
  <c r="CY6" i="49"/>
  <c r="CX6" i="49"/>
  <c r="DB6" i="49" s="1"/>
  <c r="DK6" i="49" s="1"/>
  <c r="CW6" i="49"/>
  <c r="DA6" i="49" s="1"/>
  <c r="BX6" i="49"/>
  <c r="BW6" i="49"/>
  <c r="BV6" i="49"/>
  <c r="BU6" i="49"/>
  <c r="BT6" i="49"/>
  <c r="BR6" i="49"/>
  <c r="BQ6" i="49"/>
  <c r="BP6" i="49"/>
  <c r="BO6" i="49"/>
  <c r="BN6" i="49"/>
  <c r="EQ8" i="49"/>
  <c r="EP8" i="49"/>
  <c r="EO8" i="49"/>
  <c r="ES8" i="49" s="1"/>
  <c r="EN8" i="49"/>
  <c r="ER8" i="49" s="1"/>
  <c r="EM8" i="49"/>
  <c r="EL8" i="49"/>
  <c r="EI8" i="49"/>
  <c r="EH8" i="49"/>
  <c r="EG8" i="49"/>
  <c r="EF8" i="49"/>
  <c r="EJ8" i="49" s="1"/>
  <c r="DH8" i="49"/>
  <c r="DG8" i="49"/>
  <c r="DF8" i="49"/>
  <c r="DJ8" i="49" s="1"/>
  <c r="DE8" i="49"/>
  <c r="DI8" i="49" s="1"/>
  <c r="DD8" i="49"/>
  <c r="DC8" i="49"/>
  <c r="CZ8" i="49"/>
  <c r="CY8" i="49"/>
  <c r="CX8" i="49"/>
  <c r="DB8" i="49" s="1"/>
  <c r="DK8" i="49" s="1"/>
  <c r="CW8" i="49"/>
  <c r="DA8" i="49" s="1"/>
  <c r="BX8" i="49"/>
  <c r="BW8" i="49"/>
  <c r="BV8" i="49"/>
  <c r="BU8" i="49"/>
  <c r="BT8" i="49"/>
  <c r="BR8" i="49"/>
  <c r="BQ8" i="49"/>
  <c r="BP8" i="49"/>
  <c r="BO8" i="49"/>
  <c r="BN8" i="49"/>
  <c r="EQ5" i="49"/>
  <c r="EP5" i="49"/>
  <c r="EO5" i="49"/>
  <c r="EN5" i="49"/>
  <c r="ER5" i="49" s="1"/>
  <c r="EM5" i="49"/>
  <c r="EL5" i="49"/>
  <c r="EI5" i="49"/>
  <c r="EH5" i="49"/>
  <c r="EG5" i="49"/>
  <c r="EF5" i="49"/>
  <c r="DH5" i="49"/>
  <c r="DG5" i="49"/>
  <c r="DF5" i="49"/>
  <c r="DJ5" i="49" s="1"/>
  <c r="DE5" i="49"/>
  <c r="DI5" i="49" s="1"/>
  <c r="DD5" i="49"/>
  <c r="DC5" i="49"/>
  <c r="CZ5" i="49"/>
  <c r="CY5" i="49"/>
  <c r="CX5" i="49"/>
  <c r="DB5" i="49" s="1"/>
  <c r="DK5" i="49" s="1"/>
  <c r="CW5" i="49"/>
  <c r="DA5" i="49" s="1"/>
  <c r="BX5" i="49"/>
  <c r="BW5" i="49"/>
  <c r="BV5" i="49"/>
  <c r="BU5" i="49"/>
  <c r="BT5" i="49"/>
  <c r="BR5" i="49"/>
  <c r="BQ5" i="49"/>
  <c r="BP5" i="49"/>
  <c r="BO5" i="49"/>
  <c r="BN5" i="49"/>
  <c r="EQ11" i="49"/>
  <c r="EP11" i="49"/>
  <c r="EO11" i="49"/>
  <c r="ES11" i="49" s="1"/>
  <c r="EN11" i="49"/>
  <c r="ER11" i="49" s="1"/>
  <c r="EM11" i="49"/>
  <c r="EL11" i="49"/>
  <c r="EI11" i="49"/>
  <c r="EH11" i="49"/>
  <c r="EG11" i="49"/>
  <c r="EK11" i="49" s="1"/>
  <c r="ET11" i="49" s="1"/>
  <c r="EF11" i="49"/>
  <c r="EJ11" i="49" s="1"/>
  <c r="DH11" i="49"/>
  <c r="DG11" i="49"/>
  <c r="DF11" i="49"/>
  <c r="DJ11" i="49" s="1"/>
  <c r="DE11" i="49"/>
  <c r="DI11" i="49" s="1"/>
  <c r="DD11" i="49"/>
  <c r="DC11" i="49"/>
  <c r="CZ11" i="49"/>
  <c r="CY11" i="49"/>
  <c r="CX11" i="49"/>
  <c r="DB11" i="49" s="1"/>
  <c r="CW11" i="49"/>
  <c r="BX11" i="49"/>
  <c r="BW11" i="49"/>
  <c r="BV11" i="49"/>
  <c r="BU11" i="49"/>
  <c r="BT11" i="49"/>
  <c r="BR11" i="49"/>
  <c r="BQ11" i="49"/>
  <c r="BP11" i="49"/>
  <c r="BO11" i="49"/>
  <c r="BN11" i="49"/>
  <c r="EQ22" i="49"/>
  <c r="EP22" i="49"/>
  <c r="EO22" i="49"/>
  <c r="ES22" i="49" s="1"/>
  <c r="EN22" i="49"/>
  <c r="ER22" i="49" s="1"/>
  <c r="EM22" i="49"/>
  <c r="EL22" i="49"/>
  <c r="EI22" i="49"/>
  <c r="EH22" i="49"/>
  <c r="EG22" i="49"/>
  <c r="EF22" i="49"/>
  <c r="DH22" i="49"/>
  <c r="DG22" i="49"/>
  <c r="DF22" i="49"/>
  <c r="DJ22" i="49" s="1"/>
  <c r="DE22" i="49"/>
  <c r="DI22" i="49" s="1"/>
  <c r="DD22" i="49"/>
  <c r="DC22" i="49"/>
  <c r="CZ22" i="49"/>
  <c r="CY22" i="49"/>
  <c r="CX22" i="49"/>
  <c r="CW22" i="49"/>
  <c r="BX22" i="49"/>
  <c r="BW22" i="49"/>
  <c r="BV22" i="49"/>
  <c r="BU22" i="49"/>
  <c r="BT22" i="49"/>
  <c r="BR22" i="49"/>
  <c r="BQ22" i="49"/>
  <c r="BP22" i="49"/>
  <c r="BO22" i="49"/>
  <c r="BN22" i="49"/>
  <c r="EQ4" i="49"/>
  <c r="EP4" i="49"/>
  <c r="EO4" i="49"/>
  <c r="ES4" i="49" s="1"/>
  <c r="EN4" i="49"/>
  <c r="ER4" i="49" s="1"/>
  <c r="EM4" i="49"/>
  <c r="EL4" i="49"/>
  <c r="EI4" i="49"/>
  <c r="EH4" i="49"/>
  <c r="EG4" i="49"/>
  <c r="EK4" i="49" s="1"/>
  <c r="ET4" i="49" s="1"/>
  <c r="EF4" i="49"/>
  <c r="EJ4" i="49" s="1"/>
  <c r="DH4" i="49"/>
  <c r="DG4" i="49"/>
  <c r="DF4" i="49"/>
  <c r="DJ4" i="49" s="1"/>
  <c r="DE4" i="49"/>
  <c r="DI4" i="49" s="1"/>
  <c r="DD4" i="49"/>
  <c r="DC4" i="49"/>
  <c r="CZ4" i="49"/>
  <c r="CY4" i="49"/>
  <c r="CX4" i="49"/>
  <c r="CW4" i="49"/>
  <c r="BX4" i="49"/>
  <c r="BW4" i="49"/>
  <c r="BV4" i="49"/>
  <c r="BU4" i="49"/>
  <c r="BT4" i="49"/>
  <c r="BR4" i="49"/>
  <c r="BQ4" i="49"/>
  <c r="BP4" i="49"/>
  <c r="BO4" i="49"/>
  <c r="BN4" i="49"/>
  <c r="EQ9" i="49"/>
  <c r="EP9" i="49"/>
  <c r="EO9" i="49"/>
  <c r="ES9" i="49" s="1"/>
  <c r="EN9" i="49"/>
  <c r="ER9" i="49" s="1"/>
  <c r="EM9" i="49"/>
  <c r="EL9" i="49"/>
  <c r="EI9" i="49"/>
  <c r="EH9" i="49"/>
  <c r="EG9" i="49"/>
  <c r="EK9" i="49" s="1"/>
  <c r="ET9" i="49" s="1"/>
  <c r="EF9" i="49"/>
  <c r="EJ9" i="49" s="1"/>
  <c r="DH9" i="49"/>
  <c r="DG9" i="49"/>
  <c r="DF9" i="49"/>
  <c r="DJ9" i="49" s="1"/>
  <c r="DE9" i="49"/>
  <c r="DI9" i="49" s="1"/>
  <c r="DD9" i="49"/>
  <c r="DC9" i="49"/>
  <c r="CZ9" i="49"/>
  <c r="CY9" i="49"/>
  <c r="CX9" i="49"/>
  <c r="CW9" i="49"/>
  <c r="BX9" i="49"/>
  <c r="BW9" i="49"/>
  <c r="BV9" i="49"/>
  <c r="BU9" i="49"/>
  <c r="BT9" i="49"/>
  <c r="BR9" i="49"/>
  <c r="BQ9" i="49"/>
  <c r="BP9" i="49"/>
  <c r="BO9" i="49"/>
  <c r="BN9" i="49"/>
  <c r="EQ21" i="48"/>
  <c r="EP21" i="48"/>
  <c r="EO21" i="48"/>
  <c r="ES21" i="48" s="1"/>
  <c r="EN21" i="48"/>
  <c r="ER21" i="48" s="1"/>
  <c r="EM21" i="48"/>
  <c r="EL21" i="48"/>
  <c r="EI21" i="48"/>
  <c r="EH21" i="48"/>
  <c r="EG21" i="48"/>
  <c r="EK21" i="48" s="1"/>
  <c r="ET21" i="48" s="1"/>
  <c r="EF21" i="48"/>
  <c r="EJ21" i="48" s="1"/>
  <c r="DH21" i="48"/>
  <c r="DG21" i="48"/>
  <c r="DF21" i="48"/>
  <c r="DJ21" i="48" s="1"/>
  <c r="DE21" i="48"/>
  <c r="DI21" i="48" s="1"/>
  <c r="DD21" i="48"/>
  <c r="DC21" i="48"/>
  <c r="CZ21" i="48"/>
  <c r="CY21" i="48"/>
  <c r="CX21" i="48"/>
  <c r="DB21" i="48" s="1"/>
  <c r="DK21" i="48" s="1"/>
  <c r="CW21" i="48"/>
  <c r="DA21" i="48" s="1"/>
  <c r="BX21" i="48"/>
  <c r="BW21" i="48"/>
  <c r="BV21" i="48"/>
  <c r="BU21" i="48"/>
  <c r="BT21" i="48"/>
  <c r="BR21" i="48"/>
  <c r="BQ21" i="48"/>
  <c r="BP21" i="48"/>
  <c r="BO21" i="48"/>
  <c r="BN21" i="48"/>
  <c r="EQ15" i="48"/>
  <c r="EP15" i="48"/>
  <c r="EO15" i="48"/>
  <c r="ES15" i="48" s="1"/>
  <c r="EN15" i="48"/>
  <c r="ER15" i="48" s="1"/>
  <c r="EM15" i="48"/>
  <c r="EL15" i="48"/>
  <c r="EI15" i="48"/>
  <c r="EH15" i="48"/>
  <c r="EG15" i="48"/>
  <c r="EK15" i="48" s="1"/>
  <c r="ET15" i="48" s="1"/>
  <c r="EF15" i="48"/>
  <c r="EJ15" i="48" s="1"/>
  <c r="DH15" i="48"/>
  <c r="DG15" i="48"/>
  <c r="DF15" i="48"/>
  <c r="DJ15" i="48" s="1"/>
  <c r="DE15" i="48"/>
  <c r="DI15" i="48" s="1"/>
  <c r="DD15" i="48"/>
  <c r="DC15" i="48"/>
  <c r="CZ15" i="48"/>
  <c r="CY15" i="48"/>
  <c r="CX15" i="48"/>
  <c r="DB15" i="48" s="1"/>
  <c r="DK15" i="48" s="1"/>
  <c r="CW15" i="48"/>
  <c r="DA15" i="48" s="1"/>
  <c r="BX15" i="48"/>
  <c r="BW15" i="48"/>
  <c r="BV15" i="48"/>
  <c r="BU15" i="48"/>
  <c r="BT15" i="48"/>
  <c r="BR15" i="48"/>
  <c r="BQ15" i="48"/>
  <c r="BP15" i="48"/>
  <c r="BO15" i="48"/>
  <c r="BN15" i="48"/>
  <c r="EQ17" i="48"/>
  <c r="EP17" i="48"/>
  <c r="EO17" i="48"/>
  <c r="ES17" i="48" s="1"/>
  <c r="EN17" i="48"/>
  <c r="ER17" i="48" s="1"/>
  <c r="EM17" i="48"/>
  <c r="EL17" i="48"/>
  <c r="EI17" i="48"/>
  <c r="EH17" i="48"/>
  <c r="EG17" i="48"/>
  <c r="EK17" i="48" s="1"/>
  <c r="ET17" i="48" s="1"/>
  <c r="EF17" i="48"/>
  <c r="EJ17" i="48" s="1"/>
  <c r="DH17" i="48"/>
  <c r="DG17" i="48"/>
  <c r="DF17" i="48"/>
  <c r="DJ17" i="48" s="1"/>
  <c r="DE17" i="48"/>
  <c r="DI17" i="48" s="1"/>
  <c r="DD17" i="48"/>
  <c r="DC17" i="48"/>
  <c r="CZ17" i="48"/>
  <c r="CY17" i="48"/>
  <c r="CX17" i="48"/>
  <c r="DB17" i="48" s="1"/>
  <c r="DK17" i="48" s="1"/>
  <c r="CW17" i="48"/>
  <c r="DA17" i="48" s="1"/>
  <c r="BX17" i="48"/>
  <c r="BW17" i="48"/>
  <c r="BV17" i="48"/>
  <c r="BU17" i="48"/>
  <c r="BT17" i="48"/>
  <c r="BR17" i="48"/>
  <c r="BQ17" i="48"/>
  <c r="BP17" i="48"/>
  <c r="BO17" i="48"/>
  <c r="BN17" i="48"/>
  <c r="EQ14" i="48"/>
  <c r="EP14" i="48"/>
  <c r="EO14" i="48"/>
  <c r="ES14" i="48" s="1"/>
  <c r="EN14" i="48"/>
  <c r="ER14" i="48" s="1"/>
  <c r="EM14" i="48"/>
  <c r="EL14" i="48"/>
  <c r="EI14" i="48"/>
  <c r="EH14" i="48"/>
  <c r="EG14" i="48"/>
  <c r="EF14" i="48"/>
  <c r="DH14" i="48"/>
  <c r="DG14" i="48"/>
  <c r="DF14" i="48"/>
  <c r="DJ14" i="48" s="1"/>
  <c r="DE14" i="48"/>
  <c r="DI14" i="48" s="1"/>
  <c r="DD14" i="48"/>
  <c r="DC14" i="48"/>
  <c r="CZ14" i="48"/>
  <c r="CY14" i="48"/>
  <c r="CX14" i="48"/>
  <c r="DB14" i="48" s="1"/>
  <c r="DK14" i="48" s="1"/>
  <c r="CW14" i="48"/>
  <c r="DA14" i="48" s="1"/>
  <c r="BX14" i="48"/>
  <c r="BW14" i="48"/>
  <c r="BV14" i="48"/>
  <c r="BU14" i="48"/>
  <c r="BT14" i="48"/>
  <c r="BR14" i="48"/>
  <c r="BQ14" i="48"/>
  <c r="BP14" i="48"/>
  <c r="BO14" i="48"/>
  <c r="BN14" i="48"/>
  <c r="EQ20" i="48"/>
  <c r="EP20" i="48"/>
  <c r="EO20" i="48"/>
  <c r="ES20" i="48" s="1"/>
  <c r="EN20" i="48"/>
  <c r="ER20" i="48" s="1"/>
  <c r="EM20" i="48"/>
  <c r="EL20" i="48"/>
  <c r="EI20" i="48"/>
  <c r="EH20" i="48"/>
  <c r="EG20" i="48"/>
  <c r="EF20" i="48"/>
  <c r="DH20" i="48"/>
  <c r="DG20" i="48"/>
  <c r="DF20" i="48"/>
  <c r="DJ20" i="48" s="1"/>
  <c r="DE20" i="48"/>
  <c r="DI20" i="48" s="1"/>
  <c r="DD20" i="48"/>
  <c r="DC20" i="48"/>
  <c r="CZ20" i="48"/>
  <c r="CY20" i="48"/>
  <c r="CX20" i="48"/>
  <c r="DB20" i="48" s="1"/>
  <c r="DK20" i="48" s="1"/>
  <c r="CW20" i="48"/>
  <c r="DA20" i="48" s="1"/>
  <c r="BX20" i="48"/>
  <c r="BW20" i="48"/>
  <c r="BV20" i="48"/>
  <c r="BU20" i="48"/>
  <c r="BT20" i="48"/>
  <c r="BR20" i="48"/>
  <c r="BQ20" i="48"/>
  <c r="BP20" i="48"/>
  <c r="BO20" i="48"/>
  <c r="BN20" i="48"/>
  <c r="EQ7" i="48"/>
  <c r="EP7" i="48"/>
  <c r="EO7" i="48"/>
  <c r="EN7" i="48"/>
  <c r="EM7" i="48"/>
  <c r="EL7" i="48"/>
  <c r="EI7" i="48"/>
  <c r="EH7" i="48"/>
  <c r="EG7" i="48"/>
  <c r="EF7" i="48"/>
  <c r="DH7" i="48"/>
  <c r="DG7" i="48"/>
  <c r="DF7" i="48"/>
  <c r="DJ7" i="48" s="1"/>
  <c r="DE7" i="48"/>
  <c r="DI7" i="48" s="1"/>
  <c r="DD7" i="48"/>
  <c r="DC7" i="48"/>
  <c r="CZ7" i="48"/>
  <c r="CY7" i="48"/>
  <c r="CX7" i="48"/>
  <c r="DB7" i="48" s="1"/>
  <c r="DK7" i="48" s="1"/>
  <c r="CW7" i="48"/>
  <c r="DA7" i="48" s="1"/>
  <c r="BX7" i="48"/>
  <c r="BW7" i="48"/>
  <c r="BV7" i="48"/>
  <c r="BU7" i="48"/>
  <c r="BT7" i="48"/>
  <c r="BR7" i="48"/>
  <c r="BQ7" i="48"/>
  <c r="BP7" i="48"/>
  <c r="BO7" i="48"/>
  <c r="BN7" i="48"/>
  <c r="EQ16" i="48"/>
  <c r="EP16" i="48"/>
  <c r="EO16" i="48"/>
  <c r="ES16" i="48" s="1"/>
  <c r="EN16" i="48"/>
  <c r="ER16" i="48" s="1"/>
  <c r="EM16" i="48"/>
  <c r="EL16" i="48"/>
  <c r="EI16" i="48"/>
  <c r="EH16" i="48"/>
  <c r="EG16" i="48"/>
  <c r="EK16" i="48" s="1"/>
  <c r="ET16" i="48" s="1"/>
  <c r="EF16" i="48"/>
  <c r="EJ16" i="48" s="1"/>
  <c r="DH16" i="48"/>
  <c r="DG16" i="48"/>
  <c r="DF16" i="48"/>
  <c r="DJ16" i="48" s="1"/>
  <c r="DE16" i="48"/>
  <c r="DI16" i="48" s="1"/>
  <c r="DD16" i="48"/>
  <c r="DC16" i="48"/>
  <c r="CZ16" i="48"/>
  <c r="CY16" i="48"/>
  <c r="CX16" i="48"/>
  <c r="DB16" i="48" s="1"/>
  <c r="DK16" i="48" s="1"/>
  <c r="CW16" i="48"/>
  <c r="DA16" i="48" s="1"/>
  <c r="BX16" i="48"/>
  <c r="BW16" i="48"/>
  <c r="BV16" i="48"/>
  <c r="BU16" i="48"/>
  <c r="BT16" i="48"/>
  <c r="BR16" i="48"/>
  <c r="BQ16" i="48"/>
  <c r="BP16" i="48"/>
  <c r="BO16" i="48"/>
  <c r="BN16" i="48"/>
  <c r="EQ6" i="48"/>
  <c r="EP6" i="48"/>
  <c r="EO6" i="48"/>
  <c r="ES6" i="48" s="1"/>
  <c r="EN6" i="48"/>
  <c r="ER6" i="48" s="1"/>
  <c r="EM6" i="48"/>
  <c r="EL6" i="48"/>
  <c r="EI6" i="48"/>
  <c r="EH6" i="48"/>
  <c r="EG6" i="48"/>
  <c r="EK6" i="48" s="1"/>
  <c r="ET6" i="48" s="1"/>
  <c r="EF6" i="48"/>
  <c r="EJ6" i="48" s="1"/>
  <c r="DH6" i="48"/>
  <c r="DG6" i="48"/>
  <c r="DF6" i="48"/>
  <c r="DJ6" i="48" s="1"/>
  <c r="DE6" i="48"/>
  <c r="DI6" i="48" s="1"/>
  <c r="DD6" i="48"/>
  <c r="DC6" i="48"/>
  <c r="CZ6" i="48"/>
  <c r="CY6" i="48"/>
  <c r="CX6" i="48"/>
  <c r="DB6" i="48" s="1"/>
  <c r="DK6" i="48" s="1"/>
  <c r="CW6" i="48"/>
  <c r="DA6" i="48" s="1"/>
  <c r="BX6" i="48"/>
  <c r="BW6" i="48"/>
  <c r="BV6" i="48"/>
  <c r="BU6" i="48"/>
  <c r="BT6" i="48"/>
  <c r="BR6" i="48"/>
  <c r="BQ6" i="48"/>
  <c r="BP6" i="48"/>
  <c r="BO6" i="48"/>
  <c r="BN6" i="48"/>
  <c r="EQ8" i="48"/>
  <c r="EP8" i="48"/>
  <c r="EO8" i="48"/>
  <c r="ES8" i="48" s="1"/>
  <c r="EN8" i="48"/>
  <c r="ER8" i="48" s="1"/>
  <c r="EM8" i="48"/>
  <c r="EL8" i="48"/>
  <c r="EI8" i="48"/>
  <c r="EH8" i="48"/>
  <c r="EG8" i="48"/>
  <c r="EK8" i="48" s="1"/>
  <c r="ET8" i="48" s="1"/>
  <c r="EF8" i="48"/>
  <c r="EJ8" i="48" s="1"/>
  <c r="DH8" i="48"/>
  <c r="DG8" i="48"/>
  <c r="DF8" i="48"/>
  <c r="DJ8" i="48" s="1"/>
  <c r="DE8" i="48"/>
  <c r="DI8" i="48" s="1"/>
  <c r="DD8" i="48"/>
  <c r="DC8" i="48"/>
  <c r="CZ8" i="48"/>
  <c r="CY8" i="48"/>
  <c r="CX8" i="48"/>
  <c r="DB8" i="48" s="1"/>
  <c r="DK8" i="48" s="1"/>
  <c r="CW8" i="48"/>
  <c r="DA8" i="48" s="1"/>
  <c r="BX8" i="48"/>
  <c r="BW8" i="48"/>
  <c r="BV8" i="48"/>
  <c r="BU8" i="48"/>
  <c r="BT8" i="48"/>
  <c r="BR8" i="48"/>
  <c r="BQ8" i="48"/>
  <c r="BP8" i="48"/>
  <c r="BO8" i="48"/>
  <c r="BN8" i="48"/>
  <c r="EQ9" i="48"/>
  <c r="EP9" i="48"/>
  <c r="EO9" i="48"/>
  <c r="ES9" i="48" s="1"/>
  <c r="EN9" i="48"/>
  <c r="ER9" i="48" s="1"/>
  <c r="EM9" i="48"/>
  <c r="EL9" i="48"/>
  <c r="EI9" i="48"/>
  <c r="EH9" i="48"/>
  <c r="EG9" i="48"/>
  <c r="EK9" i="48" s="1"/>
  <c r="ET9" i="48" s="1"/>
  <c r="EF9" i="48"/>
  <c r="EJ9" i="48" s="1"/>
  <c r="DH9" i="48"/>
  <c r="DG9" i="48"/>
  <c r="DF9" i="48"/>
  <c r="DJ9" i="48" s="1"/>
  <c r="DE9" i="48"/>
  <c r="DI9" i="48" s="1"/>
  <c r="DD9" i="48"/>
  <c r="DC9" i="48"/>
  <c r="CZ9" i="48"/>
  <c r="CY9" i="48"/>
  <c r="CX9" i="48"/>
  <c r="DB9" i="48" s="1"/>
  <c r="DK9" i="48" s="1"/>
  <c r="CW9" i="48"/>
  <c r="DA9" i="48" s="1"/>
  <c r="BX9" i="48"/>
  <c r="BW9" i="48"/>
  <c r="BV9" i="48"/>
  <c r="BU9" i="48"/>
  <c r="BT9" i="48"/>
  <c r="BR9" i="48"/>
  <c r="BQ9" i="48"/>
  <c r="BP9" i="48"/>
  <c r="BO9" i="48"/>
  <c r="BN9" i="48"/>
  <c r="EQ19" i="48"/>
  <c r="EP19" i="48"/>
  <c r="EO19" i="48"/>
  <c r="ES19" i="48" s="1"/>
  <c r="EN19" i="48"/>
  <c r="ER19" i="48" s="1"/>
  <c r="EM19" i="48"/>
  <c r="EL19" i="48"/>
  <c r="EI19" i="48"/>
  <c r="EH19" i="48"/>
  <c r="EG19" i="48"/>
  <c r="EF19" i="48"/>
  <c r="DH19" i="48"/>
  <c r="DG19" i="48"/>
  <c r="DF19" i="48"/>
  <c r="DJ19" i="48" s="1"/>
  <c r="DE19" i="48"/>
  <c r="DI19" i="48" s="1"/>
  <c r="DD19" i="48"/>
  <c r="DC19" i="48"/>
  <c r="CZ19" i="48"/>
  <c r="CY19" i="48"/>
  <c r="CX19" i="48"/>
  <c r="DB19" i="48" s="1"/>
  <c r="DK19" i="48" s="1"/>
  <c r="CW19" i="48"/>
  <c r="DA19" i="48" s="1"/>
  <c r="BX19" i="48"/>
  <c r="BW19" i="48"/>
  <c r="BV19" i="48"/>
  <c r="BU19" i="48"/>
  <c r="BT19" i="48"/>
  <c r="BR19" i="48"/>
  <c r="BQ19" i="48"/>
  <c r="BP19" i="48"/>
  <c r="BO19" i="48"/>
  <c r="BN19" i="48"/>
  <c r="EQ5" i="48"/>
  <c r="EP5" i="48"/>
  <c r="EO5" i="48"/>
  <c r="ES5" i="48" s="1"/>
  <c r="EN5" i="48"/>
  <c r="ER5" i="48" s="1"/>
  <c r="EM5" i="48"/>
  <c r="EL5" i="48"/>
  <c r="EI5" i="48"/>
  <c r="EH5" i="48"/>
  <c r="EG5" i="48"/>
  <c r="EK5" i="48" s="1"/>
  <c r="ET5" i="48" s="1"/>
  <c r="EF5" i="48"/>
  <c r="EJ5" i="48" s="1"/>
  <c r="DH5" i="48"/>
  <c r="DG5" i="48"/>
  <c r="DF5" i="48"/>
  <c r="DJ5" i="48" s="1"/>
  <c r="DE5" i="48"/>
  <c r="DI5" i="48" s="1"/>
  <c r="DD5" i="48"/>
  <c r="DC5" i="48"/>
  <c r="CZ5" i="48"/>
  <c r="CY5" i="48"/>
  <c r="CX5" i="48"/>
  <c r="CW5" i="48"/>
  <c r="BX5" i="48"/>
  <c r="BW5" i="48"/>
  <c r="BV5" i="48"/>
  <c r="BU5" i="48"/>
  <c r="BT5" i="48"/>
  <c r="BR5" i="48"/>
  <c r="BQ5" i="48"/>
  <c r="BP5" i="48"/>
  <c r="BO5" i="48"/>
  <c r="BN5" i="48"/>
  <c r="EQ12" i="48"/>
  <c r="EP12" i="48"/>
  <c r="EO12" i="48"/>
  <c r="ES12" i="48" s="1"/>
  <c r="EN12" i="48"/>
  <c r="ER12" i="48" s="1"/>
  <c r="EM12" i="48"/>
  <c r="EL12" i="48"/>
  <c r="EI12" i="48"/>
  <c r="EH12" i="48"/>
  <c r="EG12" i="48"/>
  <c r="EK12" i="48" s="1"/>
  <c r="ET12" i="48" s="1"/>
  <c r="EF12" i="48"/>
  <c r="EJ12" i="48" s="1"/>
  <c r="DH12" i="48"/>
  <c r="DG12" i="48"/>
  <c r="DF12" i="48"/>
  <c r="DJ12" i="48" s="1"/>
  <c r="DE12" i="48"/>
  <c r="DI12" i="48" s="1"/>
  <c r="DD12" i="48"/>
  <c r="DC12" i="48"/>
  <c r="CZ12" i="48"/>
  <c r="CY12" i="48"/>
  <c r="CX12" i="48"/>
  <c r="CW12" i="48"/>
  <c r="BX12" i="48"/>
  <c r="BW12" i="48"/>
  <c r="BV12" i="48"/>
  <c r="BU12" i="48"/>
  <c r="BT12" i="48"/>
  <c r="BR12" i="48"/>
  <c r="BQ12" i="48"/>
  <c r="BP12" i="48"/>
  <c r="BO12" i="48"/>
  <c r="BN12" i="48"/>
  <c r="EQ13" i="48"/>
  <c r="EP13" i="48"/>
  <c r="EO13" i="48"/>
  <c r="ES13" i="48" s="1"/>
  <c r="EN13" i="48"/>
  <c r="ER13" i="48" s="1"/>
  <c r="EM13" i="48"/>
  <c r="EL13" i="48"/>
  <c r="EI13" i="48"/>
  <c r="EH13" i="48"/>
  <c r="EG13" i="48"/>
  <c r="EK13" i="48" s="1"/>
  <c r="ET13" i="48" s="1"/>
  <c r="EF13" i="48"/>
  <c r="EJ13" i="48" s="1"/>
  <c r="DH13" i="48"/>
  <c r="DG13" i="48"/>
  <c r="DF13" i="48"/>
  <c r="DE13" i="48"/>
  <c r="DD13" i="48"/>
  <c r="DC13" i="48"/>
  <c r="CZ13" i="48"/>
  <c r="CY13" i="48"/>
  <c r="CX13" i="48"/>
  <c r="CW13" i="48"/>
  <c r="BX13" i="48"/>
  <c r="BW13" i="48"/>
  <c r="BV13" i="48"/>
  <c r="BU13" i="48"/>
  <c r="BT13" i="48"/>
  <c r="BR13" i="48"/>
  <c r="BQ13" i="48"/>
  <c r="BP13" i="48"/>
  <c r="BO13" i="48"/>
  <c r="BN13" i="48"/>
  <c r="EQ10" i="48"/>
  <c r="EP10" i="48"/>
  <c r="EO10" i="48"/>
  <c r="ES10" i="48" s="1"/>
  <c r="EN10" i="48"/>
  <c r="ER10" i="48" s="1"/>
  <c r="EM10" i="48"/>
  <c r="EL10" i="48"/>
  <c r="EI10" i="48"/>
  <c r="EH10" i="48"/>
  <c r="EG10" i="48"/>
  <c r="EK10" i="48" s="1"/>
  <c r="ET10" i="48" s="1"/>
  <c r="EF10" i="48"/>
  <c r="EJ10" i="48" s="1"/>
  <c r="DH10" i="48"/>
  <c r="DG10" i="48"/>
  <c r="DF10" i="48"/>
  <c r="DJ10" i="48" s="1"/>
  <c r="DE10" i="48"/>
  <c r="DI10" i="48" s="1"/>
  <c r="DD10" i="48"/>
  <c r="DC10" i="48"/>
  <c r="CZ10" i="48"/>
  <c r="CY10" i="48"/>
  <c r="CX10" i="48"/>
  <c r="CW10" i="48"/>
  <c r="BX10" i="48"/>
  <c r="BW10" i="48"/>
  <c r="BV10" i="48"/>
  <c r="BU10" i="48"/>
  <c r="BT10" i="48"/>
  <c r="BR10" i="48"/>
  <c r="BQ10" i="48"/>
  <c r="BP10" i="48"/>
  <c r="BO10" i="48"/>
  <c r="BN10" i="48"/>
  <c r="BS26" i="50" l="1"/>
  <c r="EJ19" i="48"/>
  <c r="ER7" i="48"/>
  <c r="DI13" i="48"/>
  <c r="BY12" i="48"/>
  <c r="BS34" i="49"/>
  <c r="J34" i="49" s="1"/>
  <c r="ES24" i="49"/>
  <c r="BS23" i="49"/>
  <c r="ES5" i="50"/>
  <c r="DA9" i="49"/>
  <c r="BY25" i="49"/>
  <c r="DB4" i="49"/>
  <c r="DK4" i="49" s="1"/>
  <c r="DA4" i="51"/>
  <c r="BS8" i="51"/>
  <c r="EJ21" i="50"/>
  <c r="EK14" i="50"/>
  <c r="ET14" i="50" s="1"/>
  <c r="EK7" i="50"/>
  <c r="ET7" i="50" s="1"/>
  <c r="ER5" i="50"/>
  <c r="BS25" i="50"/>
  <c r="ES4" i="50"/>
  <c r="BY20" i="50"/>
  <c r="EK22" i="50"/>
  <c r="ET22" i="50" s="1"/>
  <c r="DA4" i="49"/>
  <c r="DB9" i="49"/>
  <c r="DK9" i="49" s="1"/>
  <c r="BS21" i="49"/>
  <c r="J21" i="49" s="1"/>
  <c r="BY16" i="49"/>
  <c r="EJ23" i="49"/>
  <c r="BS4" i="49"/>
  <c r="EJ13" i="49"/>
  <c r="EK13" i="49"/>
  <c r="ET13" i="49" s="1"/>
  <c r="DA10" i="48"/>
  <c r="DB13" i="48"/>
  <c r="DK13" i="48" s="1"/>
  <c r="DB10" i="48"/>
  <c r="DK10" i="48" s="1"/>
  <c r="EK20" i="48"/>
  <c r="ET20" i="48" s="1"/>
  <c r="EK14" i="48"/>
  <c r="ET14" i="48" s="1"/>
  <c r="EJ14" i="50"/>
  <c r="EJ4" i="50"/>
  <c r="ER4" i="50"/>
  <c r="BS21" i="50"/>
  <c r="BS4" i="50"/>
  <c r="EJ20" i="50"/>
  <c r="DA9" i="50"/>
  <c r="BS13" i="50"/>
  <c r="J13" i="50" s="1"/>
  <c r="EK22" i="49"/>
  <c r="ET22" i="49" s="1"/>
  <c r="BS19" i="49"/>
  <c r="BS7" i="49"/>
  <c r="BY19" i="49"/>
  <c r="BY5" i="49"/>
  <c r="EJ24" i="49"/>
  <c r="EK24" i="49"/>
  <c r="ET24" i="49" s="1"/>
  <c r="EJ22" i="49"/>
  <c r="EK8" i="49"/>
  <c r="ET8" i="49" s="1"/>
  <c r="BS24" i="49"/>
  <c r="BY21" i="49"/>
  <c r="BY32" i="49"/>
  <c r="EK6" i="49"/>
  <c r="ET6" i="49" s="1"/>
  <c r="BY24" i="49"/>
  <c r="BY15" i="48"/>
  <c r="BY6" i="48"/>
  <c r="DA13" i="48"/>
  <c r="BS16" i="48"/>
  <c r="DJ13" i="48"/>
  <c r="BS19" i="48"/>
  <c r="BY5" i="48"/>
  <c r="EK19" i="48"/>
  <c r="ET19" i="48" s="1"/>
  <c r="EK7" i="48"/>
  <c r="ET7" i="48" s="1"/>
  <c r="EJ20" i="48"/>
  <c r="BS8" i="52"/>
  <c r="DA13" i="51"/>
  <c r="DB4" i="51"/>
  <c r="DK4" i="51" s="1"/>
  <c r="BY7" i="51"/>
  <c r="BS13" i="51"/>
  <c r="DA7" i="51"/>
  <c r="EK10" i="51"/>
  <c r="ET10" i="51" s="1"/>
  <c r="DB7" i="51"/>
  <c r="DK7" i="51" s="1"/>
  <c r="BY10" i="51"/>
  <c r="BY4" i="51"/>
  <c r="BS7" i="51"/>
  <c r="J7" i="51" s="1"/>
  <c r="DB13" i="51"/>
  <c r="DK13" i="51" s="1"/>
  <c r="ES10" i="51"/>
  <c r="EJ8" i="51"/>
  <c r="EK8" i="51"/>
  <c r="ET8" i="51" s="1"/>
  <c r="EK20" i="50"/>
  <c r="ET20" i="50" s="1"/>
  <c r="EJ22" i="50"/>
  <c r="EK4" i="50"/>
  <c r="ET4" i="50" s="1"/>
  <c r="EK21" i="50"/>
  <c r="ET21" i="50" s="1"/>
  <c r="EJ8" i="50"/>
  <c r="EJ5" i="50"/>
  <c r="EK8" i="50"/>
  <c r="ET8" i="50" s="1"/>
  <c r="EK5" i="50"/>
  <c r="ET5" i="50" s="1"/>
  <c r="EJ7" i="50"/>
  <c r="DB9" i="50"/>
  <c r="DK9" i="50" s="1"/>
  <c r="BS24" i="50"/>
  <c r="BY23" i="50"/>
  <c r="BS17" i="50"/>
  <c r="BY27" i="50"/>
  <c r="BY26" i="50"/>
  <c r="ER8" i="50"/>
  <c r="BS15" i="50"/>
  <c r="BY14" i="50"/>
  <c r="F26" i="50"/>
  <c r="ES8" i="50"/>
  <c r="BY9" i="50"/>
  <c r="BS6" i="50"/>
  <c r="EJ15" i="50"/>
  <c r="EK15" i="50"/>
  <c r="ET15" i="50" s="1"/>
  <c r="BY13" i="50"/>
  <c r="BS9" i="50"/>
  <c r="BS5" i="50"/>
  <c r="BY6" i="50"/>
  <c r="ER24" i="49"/>
  <c r="ES5" i="49"/>
  <c r="EK5" i="49"/>
  <c r="ET5" i="49" s="1"/>
  <c r="EK23" i="49"/>
  <c r="ET23" i="49" s="1"/>
  <c r="EJ6" i="49"/>
  <c r="DA11" i="49"/>
  <c r="BS14" i="49"/>
  <c r="BS27" i="49"/>
  <c r="BY22" i="49"/>
  <c r="BS11" i="49"/>
  <c r="BS9" i="49"/>
  <c r="BY4" i="49"/>
  <c r="BS8" i="49"/>
  <c r="BS25" i="49"/>
  <c r="DK11" i="49"/>
  <c r="BY8" i="49"/>
  <c r="BS32" i="49"/>
  <c r="DB22" i="49"/>
  <c r="DK22" i="49" s="1"/>
  <c r="BY14" i="49"/>
  <c r="EJ5" i="49"/>
  <c r="BY11" i="49"/>
  <c r="BY7" i="49"/>
  <c r="BS13" i="49"/>
  <c r="BY23" i="49"/>
  <c r="BY9" i="49"/>
  <c r="ES7" i="48"/>
  <c r="EJ7" i="48"/>
  <c r="EJ14" i="48"/>
  <c r="BS14" i="48"/>
  <c r="BS20" i="48"/>
  <c r="DB12" i="48"/>
  <c r="DK12" i="48" s="1"/>
  <c r="DA5" i="48"/>
  <c r="DA12" i="48"/>
  <c r="DB5" i="48"/>
  <c r="DK5" i="48" s="1"/>
  <c r="BS9" i="48"/>
  <c r="BY7" i="48"/>
  <c r="BY12" i="52"/>
  <c r="BS12" i="52"/>
  <c r="BY8" i="52"/>
  <c r="BS4" i="51"/>
  <c r="BS10" i="51"/>
  <c r="BY8" i="51"/>
  <c r="BY13" i="51"/>
  <c r="J26" i="50"/>
  <c r="BS23" i="50"/>
  <c r="BY21" i="50"/>
  <c r="BY10" i="50"/>
  <c r="BS14" i="50"/>
  <c r="BY7" i="50"/>
  <c r="BY8" i="50"/>
  <c r="BS22" i="50"/>
  <c r="BY15" i="50"/>
  <c r="BY4" i="50"/>
  <c r="DK21" i="50"/>
  <c r="BS7" i="50"/>
  <c r="BS10" i="50"/>
  <c r="BY22" i="50"/>
  <c r="BY5" i="50"/>
  <c r="BS20" i="50"/>
  <c r="J20" i="50" s="1"/>
  <c r="BY24" i="50"/>
  <c r="BS27" i="50"/>
  <c r="BS8" i="50"/>
  <c r="BY17" i="50"/>
  <c r="BY25" i="50"/>
  <c r="BY6" i="49"/>
  <c r="BS6" i="49"/>
  <c r="BY34" i="49"/>
  <c r="BY28" i="49"/>
  <c r="BS5" i="49"/>
  <c r="BY13" i="49"/>
  <c r="BS26" i="49"/>
  <c r="BS28" i="49"/>
  <c r="DA22" i="49"/>
  <c r="BS22" i="49"/>
  <c r="BY26" i="49"/>
  <c r="BY27" i="49"/>
  <c r="BS16" i="49"/>
  <c r="BS10" i="48"/>
  <c r="BS6" i="48"/>
  <c r="BS5" i="48"/>
  <c r="BY8" i="48"/>
  <c r="BS15" i="48"/>
  <c r="BS13" i="48"/>
  <c r="BY19" i="48"/>
  <c r="BY9" i="48"/>
  <c r="BY10" i="48"/>
  <c r="BS12" i="48"/>
  <c r="BY16" i="48"/>
  <c r="BY13" i="48"/>
  <c r="BS21" i="48"/>
  <c r="BS8" i="48"/>
  <c r="BY17" i="48"/>
  <c r="BS7" i="48"/>
  <c r="BY20" i="48"/>
  <c r="BY14" i="48"/>
  <c r="BY21" i="48"/>
  <c r="BS17" i="48"/>
  <c r="EF11" i="47"/>
  <c r="EJ11" i="47" s="1"/>
  <c r="EG11" i="47"/>
  <c r="EK11" i="47" s="1"/>
  <c r="ET11" i="47" s="1"/>
  <c r="EH11" i="47"/>
  <c r="EI11" i="47"/>
  <c r="EL11" i="47"/>
  <c r="EM11" i="47"/>
  <c r="EN11" i="47"/>
  <c r="ER11" i="47" s="1"/>
  <c r="EO11" i="47"/>
  <c r="ES11" i="47" s="1"/>
  <c r="EP11" i="47"/>
  <c r="EQ11" i="47"/>
  <c r="EF4" i="47"/>
  <c r="EJ4" i="47" s="1"/>
  <c r="EG4" i="47"/>
  <c r="EK4" i="47" s="1"/>
  <c r="ET4" i="47" s="1"/>
  <c r="EH4" i="47"/>
  <c r="EI4" i="47"/>
  <c r="EL4" i="47"/>
  <c r="EM4" i="47"/>
  <c r="EN4" i="47"/>
  <c r="ER4" i="47" s="1"/>
  <c r="EO4" i="47"/>
  <c r="ES4" i="47" s="1"/>
  <c r="EP4" i="47"/>
  <c r="EQ4" i="47"/>
  <c r="EF9" i="47"/>
  <c r="EG9" i="47"/>
  <c r="EH9" i="47"/>
  <c r="EI9" i="47"/>
  <c r="EL9" i="47"/>
  <c r="EM9" i="47"/>
  <c r="EN9" i="47"/>
  <c r="EO9" i="47"/>
  <c r="EP9" i="47"/>
  <c r="EQ9" i="47"/>
  <c r="EF16" i="47"/>
  <c r="EG16" i="47"/>
  <c r="EH16" i="47"/>
  <c r="EI16" i="47"/>
  <c r="EL16" i="47"/>
  <c r="EM16" i="47"/>
  <c r="EN16" i="47"/>
  <c r="ER16" i="47" s="1"/>
  <c r="EO16" i="47"/>
  <c r="ES16" i="47" s="1"/>
  <c r="EP16" i="47"/>
  <c r="EQ16" i="47"/>
  <c r="EF12" i="47"/>
  <c r="EJ12" i="47" s="1"/>
  <c r="EG12" i="47"/>
  <c r="EK12" i="47" s="1"/>
  <c r="ET12" i="47" s="1"/>
  <c r="EH12" i="47"/>
  <c r="EI12" i="47"/>
  <c r="EL12" i="47"/>
  <c r="EM12" i="47"/>
  <c r="EN12" i="47"/>
  <c r="ER12" i="47" s="1"/>
  <c r="EO12" i="47"/>
  <c r="ES12" i="47" s="1"/>
  <c r="EP12" i="47"/>
  <c r="EQ12" i="47"/>
  <c r="EF15" i="47"/>
  <c r="EJ15" i="47" s="1"/>
  <c r="EG15" i="47"/>
  <c r="EK15" i="47" s="1"/>
  <c r="ET15" i="47" s="1"/>
  <c r="EH15" i="47"/>
  <c r="EI15" i="47"/>
  <c r="EL15" i="47"/>
  <c r="EM15" i="47"/>
  <c r="EN15" i="47"/>
  <c r="ER15" i="47" s="1"/>
  <c r="EO15" i="47"/>
  <c r="ES15" i="47" s="1"/>
  <c r="EP15" i="47"/>
  <c r="EQ15" i="47"/>
  <c r="EF23" i="47"/>
  <c r="EJ23" i="47" s="1"/>
  <c r="EG23" i="47"/>
  <c r="EK23" i="47" s="1"/>
  <c r="ET23" i="47" s="1"/>
  <c r="EH23" i="47"/>
  <c r="EI23" i="47"/>
  <c r="EL23" i="47"/>
  <c r="EM23" i="47"/>
  <c r="EN23" i="47"/>
  <c r="ER23" i="47" s="1"/>
  <c r="EO23" i="47"/>
  <c r="ES23" i="47" s="1"/>
  <c r="EP23" i="47"/>
  <c r="EQ23" i="47"/>
  <c r="EF5" i="47"/>
  <c r="EG5" i="47"/>
  <c r="EH5" i="47"/>
  <c r="EI5" i="47"/>
  <c r="EL5" i="47"/>
  <c r="EM5" i="47"/>
  <c r="EN5" i="47"/>
  <c r="ER5" i="47" s="1"/>
  <c r="EO5" i="47"/>
  <c r="ES5" i="47" s="1"/>
  <c r="EP5" i="47"/>
  <c r="EQ5" i="47"/>
  <c r="EF8" i="47"/>
  <c r="EJ8" i="47" s="1"/>
  <c r="EG8" i="47"/>
  <c r="EK8" i="47" s="1"/>
  <c r="ET8" i="47" s="1"/>
  <c r="EH8" i="47"/>
  <c r="EI8" i="47"/>
  <c r="EL8" i="47"/>
  <c r="EM8" i="47"/>
  <c r="EN8" i="47"/>
  <c r="ER8" i="47" s="1"/>
  <c r="EO8" i="47"/>
  <c r="ES8" i="47" s="1"/>
  <c r="EP8" i="47"/>
  <c r="EQ8" i="47"/>
  <c r="EF21" i="47"/>
  <c r="EJ21" i="47" s="1"/>
  <c r="EG21" i="47"/>
  <c r="EK21" i="47" s="1"/>
  <c r="ET21" i="47" s="1"/>
  <c r="EH21" i="47"/>
  <c r="EI21" i="47"/>
  <c r="EL21" i="47"/>
  <c r="EM21" i="47"/>
  <c r="EN21" i="47"/>
  <c r="ER21" i="47" s="1"/>
  <c r="EO21" i="47"/>
  <c r="ES21" i="47" s="1"/>
  <c r="EP21" i="47"/>
  <c r="EQ21" i="47"/>
  <c r="EF7" i="47"/>
  <c r="EJ7" i="47" s="1"/>
  <c r="EG7" i="47"/>
  <c r="EK7" i="47" s="1"/>
  <c r="ET7" i="47" s="1"/>
  <c r="EH7" i="47"/>
  <c r="EI7" i="47"/>
  <c r="EL7" i="47"/>
  <c r="EM7" i="47"/>
  <c r="EN7" i="47"/>
  <c r="ER7" i="47" s="1"/>
  <c r="EO7" i="47"/>
  <c r="ES7" i="47" s="1"/>
  <c r="EP7" i="47"/>
  <c r="EQ7" i="47"/>
  <c r="EF18" i="47"/>
  <c r="EJ18" i="47" s="1"/>
  <c r="EG18" i="47"/>
  <c r="EK18" i="47" s="1"/>
  <c r="ET18" i="47" s="1"/>
  <c r="EH18" i="47"/>
  <c r="EI18" i="47"/>
  <c r="EL18" i="47"/>
  <c r="EM18" i="47"/>
  <c r="EN18" i="47"/>
  <c r="ER18" i="47" s="1"/>
  <c r="EO18" i="47"/>
  <c r="ES18" i="47" s="1"/>
  <c r="EP18" i="47"/>
  <c r="EQ18" i="47"/>
  <c r="EF14" i="47"/>
  <c r="EJ14" i="47" s="1"/>
  <c r="EG14" i="47"/>
  <c r="EK14" i="47" s="1"/>
  <c r="ET14" i="47" s="1"/>
  <c r="EH14" i="47"/>
  <c r="EI14" i="47"/>
  <c r="EL14" i="47"/>
  <c r="EM14" i="47"/>
  <c r="EN14" i="47"/>
  <c r="ER14" i="47" s="1"/>
  <c r="EO14" i="47"/>
  <c r="ES14" i="47" s="1"/>
  <c r="EP14" i="47"/>
  <c r="EQ14" i="47"/>
  <c r="EF19" i="47"/>
  <c r="EJ19" i="47" s="1"/>
  <c r="EG19" i="47"/>
  <c r="EK19" i="47" s="1"/>
  <c r="ET19" i="47" s="1"/>
  <c r="EH19" i="47"/>
  <c r="EI19" i="47"/>
  <c r="EL19" i="47"/>
  <c r="EM19" i="47"/>
  <c r="EN19" i="47"/>
  <c r="ER19" i="47" s="1"/>
  <c r="EO19" i="47"/>
  <c r="ES19" i="47" s="1"/>
  <c r="EP19" i="47"/>
  <c r="EQ19" i="47"/>
  <c r="EF17" i="47"/>
  <c r="EJ17" i="47" s="1"/>
  <c r="EG17" i="47"/>
  <c r="EK17" i="47" s="1"/>
  <c r="ET17" i="47" s="1"/>
  <c r="EH17" i="47"/>
  <c r="EI17" i="47"/>
  <c r="EL17" i="47"/>
  <c r="EM17" i="47"/>
  <c r="EN17" i="47"/>
  <c r="ER17" i="47" s="1"/>
  <c r="EO17" i="47"/>
  <c r="ES17" i="47" s="1"/>
  <c r="EP17" i="47"/>
  <c r="EQ17" i="47"/>
  <c r="CW11" i="47"/>
  <c r="CX11" i="47"/>
  <c r="CY11" i="47"/>
  <c r="CZ11" i="47"/>
  <c r="DC11" i="47"/>
  <c r="DD11" i="47"/>
  <c r="DE11" i="47"/>
  <c r="DI11" i="47" s="1"/>
  <c r="DF11" i="47"/>
  <c r="DJ11" i="47" s="1"/>
  <c r="DG11" i="47"/>
  <c r="DH11" i="47"/>
  <c r="CW4" i="47"/>
  <c r="CX4" i="47"/>
  <c r="CY4" i="47"/>
  <c r="CZ4" i="47"/>
  <c r="DC4" i="47"/>
  <c r="DD4" i="47"/>
  <c r="DE4" i="47"/>
  <c r="DI4" i="47" s="1"/>
  <c r="DF4" i="47"/>
  <c r="DJ4" i="47" s="1"/>
  <c r="DG4" i="47"/>
  <c r="DH4" i="47"/>
  <c r="CW9" i="47"/>
  <c r="DA9" i="47" s="1"/>
  <c r="CX9" i="47"/>
  <c r="DB9" i="47" s="1"/>
  <c r="CY9" i="47"/>
  <c r="CZ9" i="47"/>
  <c r="DC9" i="47"/>
  <c r="DD9" i="47"/>
  <c r="DE9" i="47"/>
  <c r="DI9" i="47" s="1"/>
  <c r="DF9" i="47"/>
  <c r="DJ9" i="47" s="1"/>
  <c r="DG9" i="47"/>
  <c r="DH9" i="47"/>
  <c r="CW16" i="47"/>
  <c r="DA16" i="47" s="1"/>
  <c r="CX16" i="47"/>
  <c r="DB16" i="47" s="1"/>
  <c r="CY16" i="47"/>
  <c r="CZ16" i="47"/>
  <c r="DC16" i="47"/>
  <c r="DD16" i="47"/>
  <c r="DE16" i="47"/>
  <c r="DI16" i="47" s="1"/>
  <c r="DF16" i="47"/>
  <c r="DJ16" i="47" s="1"/>
  <c r="DG16" i="47"/>
  <c r="DH16" i="47"/>
  <c r="CW12" i="47"/>
  <c r="DA12" i="47" s="1"/>
  <c r="CX12" i="47"/>
  <c r="DB12" i="47" s="1"/>
  <c r="CY12" i="47"/>
  <c r="CZ12" i="47"/>
  <c r="DC12" i="47"/>
  <c r="DD12" i="47"/>
  <c r="DE12" i="47"/>
  <c r="DI12" i="47" s="1"/>
  <c r="DF12" i="47"/>
  <c r="DJ12" i="47" s="1"/>
  <c r="DG12" i="47"/>
  <c r="DH12" i="47"/>
  <c r="CW15" i="47"/>
  <c r="DA15" i="47" s="1"/>
  <c r="CX15" i="47"/>
  <c r="DB15" i="47" s="1"/>
  <c r="CY15" i="47"/>
  <c r="CZ15" i="47"/>
  <c r="DC15" i="47"/>
  <c r="DD15" i="47"/>
  <c r="DE15" i="47"/>
  <c r="DI15" i="47" s="1"/>
  <c r="DF15" i="47"/>
  <c r="DJ15" i="47" s="1"/>
  <c r="DG15" i="47"/>
  <c r="DH15" i="47"/>
  <c r="CW23" i="47"/>
  <c r="DA23" i="47" s="1"/>
  <c r="CX23" i="47"/>
  <c r="DB23" i="47" s="1"/>
  <c r="CY23" i="47"/>
  <c r="CZ23" i="47"/>
  <c r="DC23" i="47"/>
  <c r="DD23" i="47"/>
  <c r="DE23" i="47"/>
  <c r="DI23" i="47" s="1"/>
  <c r="DF23" i="47"/>
  <c r="DJ23" i="47" s="1"/>
  <c r="DG23" i="47"/>
  <c r="DH23" i="47"/>
  <c r="CW5" i="47"/>
  <c r="DA5" i="47" s="1"/>
  <c r="CX5" i="47"/>
  <c r="DB5" i="47" s="1"/>
  <c r="CY5" i="47"/>
  <c r="CZ5" i="47"/>
  <c r="DC5" i="47"/>
  <c r="DD5" i="47"/>
  <c r="DE5" i="47"/>
  <c r="DI5" i="47" s="1"/>
  <c r="DF5" i="47"/>
  <c r="DJ5" i="47" s="1"/>
  <c r="DG5" i="47"/>
  <c r="DH5" i="47"/>
  <c r="CW8" i="47"/>
  <c r="DA8" i="47" s="1"/>
  <c r="CX8" i="47"/>
  <c r="DB8" i="47" s="1"/>
  <c r="CY8" i="47"/>
  <c r="CZ8" i="47"/>
  <c r="DC8" i="47"/>
  <c r="DD8" i="47"/>
  <c r="DE8" i="47"/>
  <c r="DI8" i="47" s="1"/>
  <c r="DF8" i="47"/>
  <c r="DJ8" i="47" s="1"/>
  <c r="DG8" i="47"/>
  <c r="DH8" i="47"/>
  <c r="CW21" i="47"/>
  <c r="DA21" i="47" s="1"/>
  <c r="CX21" i="47"/>
  <c r="DB21" i="47" s="1"/>
  <c r="CY21" i="47"/>
  <c r="CZ21" i="47"/>
  <c r="DC21" i="47"/>
  <c r="DD21" i="47"/>
  <c r="DE21" i="47"/>
  <c r="DI21" i="47" s="1"/>
  <c r="DF21" i="47"/>
  <c r="DJ21" i="47" s="1"/>
  <c r="DG21" i="47"/>
  <c r="DH21" i="47"/>
  <c r="CW7" i="47"/>
  <c r="DA7" i="47" s="1"/>
  <c r="CX7" i="47"/>
  <c r="DB7" i="47" s="1"/>
  <c r="CY7" i="47"/>
  <c r="CZ7" i="47"/>
  <c r="DC7" i="47"/>
  <c r="DD7" i="47"/>
  <c r="DE7" i="47"/>
  <c r="DI7" i="47" s="1"/>
  <c r="DF7" i="47"/>
  <c r="DJ7" i="47" s="1"/>
  <c r="DG7" i="47"/>
  <c r="DH7" i="47"/>
  <c r="CW18" i="47"/>
  <c r="DA18" i="47" s="1"/>
  <c r="CX18" i="47"/>
  <c r="DB18" i="47" s="1"/>
  <c r="CY18" i="47"/>
  <c r="CZ18" i="47"/>
  <c r="DC18" i="47"/>
  <c r="DD18" i="47"/>
  <c r="DE18" i="47"/>
  <c r="DI18" i="47" s="1"/>
  <c r="DF18" i="47"/>
  <c r="DJ18" i="47" s="1"/>
  <c r="DG18" i="47"/>
  <c r="DH18" i="47"/>
  <c r="CW14" i="47"/>
  <c r="DA14" i="47" s="1"/>
  <c r="CX14" i="47"/>
  <c r="CY14" i="47"/>
  <c r="CZ14" i="47"/>
  <c r="DC14" i="47"/>
  <c r="DD14" i="47"/>
  <c r="DE14" i="47"/>
  <c r="DI14" i="47" s="1"/>
  <c r="DF14" i="47"/>
  <c r="DJ14" i="47" s="1"/>
  <c r="DG14" i="47"/>
  <c r="DH14" i="47"/>
  <c r="CW19" i="47"/>
  <c r="DA19" i="47" s="1"/>
  <c r="CX19" i="47"/>
  <c r="DB19" i="47" s="1"/>
  <c r="CY19" i="47"/>
  <c r="CZ19" i="47"/>
  <c r="DC19" i="47"/>
  <c r="DD19" i="47"/>
  <c r="DE19" i="47"/>
  <c r="DI19" i="47" s="1"/>
  <c r="DF19" i="47"/>
  <c r="DJ19" i="47" s="1"/>
  <c r="DG19" i="47"/>
  <c r="DH19" i="47"/>
  <c r="CW17" i="47"/>
  <c r="DA17" i="47" s="1"/>
  <c r="CX17" i="47"/>
  <c r="DB17" i="47" s="1"/>
  <c r="CY17" i="47"/>
  <c r="CZ17" i="47"/>
  <c r="DC17" i="47"/>
  <c r="DD17" i="47"/>
  <c r="DE17" i="47"/>
  <c r="DI17" i="47" s="1"/>
  <c r="DF17" i="47"/>
  <c r="DJ17" i="47" s="1"/>
  <c r="DG17" i="47"/>
  <c r="DH17" i="47"/>
  <c r="EQ6" i="47"/>
  <c r="EP6" i="47"/>
  <c r="EO6" i="47"/>
  <c r="ES6" i="47" s="1"/>
  <c r="EN6" i="47"/>
  <c r="ER6" i="47" s="1"/>
  <c r="EM6" i="47"/>
  <c r="EL6" i="47"/>
  <c r="EI6" i="47"/>
  <c r="EH6" i="47"/>
  <c r="EG6" i="47"/>
  <c r="EK6" i="47" s="1"/>
  <c r="ET6" i="47" s="1"/>
  <c r="EF6" i="47"/>
  <c r="EJ6" i="47" s="1"/>
  <c r="CZ6" i="47"/>
  <c r="DD6" i="47"/>
  <c r="DF6" i="47"/>
  <c r="DJ6" i="47" s="1"/>
  <c r="DH6" i="47"/>
  <c r="DG6" i="47"/>
  <c r="DE6" i="47"/>
  <c r="DI6" i="47" s="1"/>
  <c r="DC6" i="47"/>
  <c r="CY6" i="47"/>
  <c r="CX6" i="47"/>
  <c r="CW6" i="47"/>
  <c r="DA6" i="47" s="1"/>
  <c r="BN6" i="47"/>
  <c r="BX6" i="47"/>
  <c r="BR6" i="47"/>
  <c r="BN11" i="47"/>
  <c r="BO11" i="47"/>
  <c r="BP11" i="47"/>
  <c r="BQ11" i="47"/>
  <c r="BR11" i="47"/>
  <c r="BT11" i="47"/>
  <c r="BU11" i="47"/>
  <c r="BV11" i="47"/>
  <c r="BW11" i="47"/>
  <c r="BX11" i="47"/>
  <c r="BN4" i="47"/>
  <c r="BO4" i="47"/>
  <c r="BP4" i="47"/>
  <c r="BQ4" i="47"/>
  <c r="BR4" i="47"/>
  <c r="BT4" i="47"/>
  <c r="BU4" i="47"/>
  <c r="BV4" i="47"/>
  <c r="BW4" i="47"/>
  <c r="BX4" i="47"/>
  <c r="BN9" i="47"/>
  <c r="BO9" i="47"/>
  <c r="BP9" i="47"/>
  <c r="BQ9" i="47"/>
  <c r="BR9" i="47"/>
  <c r="BT9" i="47"/>
  <c r="BU9" i="47"/>
  <c r="BV9" i="47"/>
  <c r="BW9" i="47"/>
  <c r="BX9" i="47"/>
  <c r="BN16" i="47"/>
  <c r="BO16" i="47"/>
  <c r="BP16" i="47"/>
  <c r="BQ16" i="47"/>
  <c r="BR16" i="47"/>
  <c r="BT16" i="47"/>
  <c r="BU16" i="47"/>
  <c r="BV16" i="47"/>
  <c r="BW16" i="47"/>
  <c r="BX16" i="47"/>
  <c r="BN12" i="47"/>
  <c r="BO12" i="47"/>
  <c r="BP12" i="47"/>
  <c r="BQ12" i="47"/>
  <c r="BR12" i="47"/>
  <c r="BT12" i="47"/>
  <c r="BU12" i="47"/>
  <c r="BV12" i="47"/>
  <c r="BW12" i="47"/>
  <c r="BX12" i="47"/>
  <c r="BN15" i="47"/>
  <c r="BO15" i="47"/>
  <c r="BP15" i="47"/>
  <c r="BQ15" i="47"/>
  <c r="BR15" i="47"/>
  <c r="BT15" i="47"/>
  <c r="BU15" i="47"/>
  <c r="BV15" i="47"/>
  <c r="BW15" i="47"/>
  <c r="BX15" i="47"/>
  <c r="BN23" i="47"/>
  <c r="BO23" i="47"/>
  <c r="BP23" i="47"/>
  <c r="BQ23" i="47"/>
  <c r="BR23" i="47"/>
  <c r="BT23" i="47"/>
  <c r="BU23" i="47"/>
  <c r="BV23" i="47"/>
  <c r="BW23" i="47"/>
  <c r="BX23" i="47"/>
  <c r="BN5" i="47"/>
  <c r="BO5" i="47"/>
  <c r="BP5" i="47"/>
  <c r="BQ5" i="47"/>
  <c r="BR5" i="47"/>
  <c r="BT5" i="47"/>
  <c r="BU5" i="47"/>
  <c r="BV5" i="47"/>
  <c r="BW5" i="47"/>
  <c r="BX5" i="47"/>
  <c r="BN8" i="47"/>
  <c r="BO8" i="47"/>
  <c r="BP8" i="47"/>
  <c r="BQ8" i="47"/>
  <c r="BR8" i="47"/>
  <c r="BT8" i="47"/>
  <c r="BU8" i="47"/>
  <c r="BV8" i="47"/>
  <c r="BW8" i="47"/>
  <c r="BX8" i="47"/>
  <c r="BN21" i="47"/>
  <c r="BO21" i="47"/>
  <c r="BP21" i="47"/>
  <c r="BQ21" i="47"/>
  <c r="BR21" i="47"/>
  <c r="BT21" i="47"/>
  <c r="BU21" i="47"/>
  <c r="BV21" i="47"/>
  <c r="BW21" i="47"/>
  <c r="BX21" i="47"/>
  <c r="BN7" i="47"/>
  <c r="BO7" i="47"/>
  <c r="BP7" i="47"/>
  <c r="BQ7" i="47"/>
  <c r="BR7" i="47"/>
  <c r="BT7" i="47"/>
  <c r="BU7" i="47"/>
  <c r="BV7" i="47"/>
  <c r="BW7" i="47"/>
  <c r="BX7" i="47"/>
  <c r="BN18" i="47"/>
  <c r="BO18" i="47"/>
  <c r="BP18" i="47"/>
  <c r="BQ18" i="47"/>
  <c r="BR18" i="47"/>
  <c r="BT18" i="47"/>
  <c r="BU18" i="47"/>
  <c r="BV18" i="47"/>
  <c r="BW18" i="47"/>
  <c r="BX18" i="47"/>
  <c r="BN14" i="47"/>
  <c r="BO14" i="47"/>
  <c r="BP14" i="47"/>
  <c r="BQ14" i="47"/>
  <c r="BR14" i="47"/>
  <c r="BT14" i="47"/>
  <c r="BU14" i="47"/>
  <c r="BV14" i="47"/>
  <c r="BW14" i="47"/>
  <c r="BX14" i="47"/>
  <c r="BN19" i="47"/>
  <c r="BO19" i="47"/>
  <c r="BP19" i="47"/>
  <c r="BQ19" i="47"/>
  <c r="BR19" i="47"/>
  <c r="BT19" i="47"/>
  <c r="BU19" i="47"/>
  <c r="BV19" i="47"/>
  <c r="BW19" i="47"/>
  <c r="BX19" i="47"/>
  <c r="BN17" i="47"/>
  <c r="BO17" i="47"/>
  <c r="BP17" i="47"/>
  <c r="BQ17" i="47"/>
  <c r="BR17" i="47"/>
  <c r="BT17" i="47"/>
  <c r="BU17" i="47"/>
  <c r="BV17" i="47"/>
  <c r="BW17" i="47"/>
  <c r="BX17" i="47"/>
  <c r="BV6" i="47"/>
  <c r="BT6" i="47"/>
  <c r="BP6" i="47"/>
  <c r="BO6" i="47"/>
  <c r="BW6" i="47"/>
  <c r="BU6" i="47"/>
  <c r="BQ6" i="47"/>
  <c r="BZ26" i="50" l="1"/>
  <c r="G26" i="50"/>
  <c r="H26" i="50" s="1"/>
  <c r="A26" i="50" s="1" a="1"/>
  <c r="A26" i="50" s="1"/>
  <c r="J19" i="49"/>
  <c r="G8" i="52"/>
  <c r="J8" i="52"/>
  <c r="CA8" i="52" s="1"/>
  <c r="J8" i="51"/>
  <c r="CA8" i="51" s="1"/>
  <c r="BZ13" i="50"/>
  <c r="J4" i="49"/>
  <c r="K4" i="49" s="1"/>
  <c r="J4" i="51"/>
  <c r="L4" i="51" s="1"/>
  <c r="M4" i="51" s="1"/>
  <c r="F17" i="50"/>
  <c r="J5" i="50"/>
  <c r="N5" i="50" s="1"/>
  <c r="BZ21" i="49"/>
  <c r="J22" i="49"/>
  <c r="K22" i="49" s="1"/>
  <c r="J14" i="49"/>
  <c r="CA14" i="49" s="1"/>
  <c r="BZ32" i="49"/>
  <c r="J27" i="49"/>
  <c r="K27" i="49" s="1"/>
  <c r="J24" i="50"/>
  <c r="K24" i="50" s="1"/>
  <c r="F13" i="50"/>
  <c r="G9" i="50"/>
  <c r="J4" i="50"/>
  <c r="N4" i="50" s="1"/>
  <c r="J25" i="50"/>
  <c r="N25" i="50" s="1"/>
  <c r="BZ4" i="50"/>
  <c r="BZ7" i="49"/>
  <c r="BZ25" i="49"/>
  <c r="J8" i="49"/>
  <c r="L8" i="49" s="1"/>
  <c r="M8" i="49" s="1"/>
  <c r="G9" i="49"/>
  <c r="G7" i="49"/>
  <c r="BZ24" i="49"/>
  <c r="BZ11" i="49"/>
  <c r="J7" i="49"/>
  <c r="CA7" i="49" s="1"/>
  <c r="BZ19" i="49"/>
  <c r="G4" i="49"/>
  <c r="J13" i="48"/>
  <c r="L13" i="48" s="1"/>
  <c r="M13" i="48" s="1"/>
  <c r="BZ8" i="51"/>
  <c r="BZ7" i="51"/>
  <c r="G5" i="50"/>
  <c r="J9" i="50"/>
  <c r="N9" i="50" s="1"/>
  <c r="G13" i="50"/>
  <c r="F4" i="50"/>
  <c r="J15" i="50"/>
  <c r="N15" i="50" s="1"/>
  <c r="F22" i="50"/>
  <c r="G14" i="50"/>
  <c r="J21" i="50"/>
  <c r="L21" i="50" s="1"/>
  <c r="M21" i="50" s="1"/>
  <c r="G21" i="50"/>
  <c r="J13" i="49"/>
  <c r="CA13" i="49" s="1"/>
  <c r="J16" i="49"/>
  <c r="K16" i="49" s="1"/>
  <c r="F24" i="49"/>
  <c r="F4" i="49"/>
  <c r="F11" i="49"/>
  <c r="G24" i="49"/>
  <c r="J9" i="49"/>
  <c r="N9" i="49" s="1"/>
  <c r="J24" i="49"/>
  <c r="K24" i="49" s="1"/>
  <c r="BZ14" i="49"/>
  <c r="BZ4" i="49"/>
  <c r="G19" i="49"/>
  <c r="BZ9" i="49"/>
  <c r="J14" i="48"/>
  <c r="L14" i="48" s="1"/>
  <c r="M14" i="48" s="1"/>
  <c r="G8" i="48"/>
  <c r="J6" i="48"/>
  <c r="L6" i="48" s="1"/>
  <c r="M6" i="48" s="1"/>
  <c r="J5" i="48"/>
  <c r="K5" i="48" s="1"/>
  <c r="J10" i="48"/>
  <c r="K10" i="48" s="1"/>
  <c r="J16" i="48"/>
  <c r="L16" i="48" s="1"/>
  <c r="M16" i="48" s="1"/>
  <c r="G12" i="52"/>
  <c r="I13" i="51"/>
  <c r="J13" i="51"/>
  <c r="K13" i="51" s="1"/>
  <c r="BZ13" i="51"/>
  <c r="G7" i="51"/>
  <c r="I4" i="51"/>
  <c r="I7" i="51"/>
  <c r="F7" i="51"/>
  <c r="G10" i="51"/>
  <c r="F13" i="51"/>
  <c r="G13" i="51"/>
  <c r="G15" i="50"/>
  <c r="J6" i="50"/>
  <c r="N6" i="50" s="1"/>
  <c r="G23" i="50"/>
  <c r="F10" i="50"/>
  <c r="BZ6" i="50"/>
  <c r="BZ15" i="50"/>
  <c r="BZ24" i="50"/>
  <c r="J17" i="50"/>
  <c r="F6" i="50"/>
  <c r="G6" i="50"/>
  <c r="F8" i="50"/>
  <c r="F24" i="50"/>
  <c r="F5" i="50"/>
  <c r="G20" i="50"/>
  <c r="F20" i="50"/>
  <c r="G4" i="50"/>
  <c r="F9" i="50"/>
  <c r="BZ9" i="50"/>
  <c r="J10" i="50"/>
  <c r="L10" i="50" s="1"/>
  <c r="M10" i="50" s="1"/>
  <c r="G8" i="50"/>
  <c r="G27" i="49"/>
  <c r="G14" i="49"/>
  <c r="F14" i="49"/>
  <c r="J11" i="49"/>
  <c r="CA11" i="49" s="1"/>
  <c r="G11" i="49"/>
  <c r="F16" i="49"/>
  <c r="F21" i="49"/>
  <c r="G21" i="49"/>
  <c r="F19" i="49"/>
  <c r="BZ8" i="49"/>
  <c r="F28" i="49"/>
  <c r="J23" i="49"/>
  <c r="K23" i="49" s="1"/>
  <c r="F6" i="49"/>
  <c r="F23" i="49"/>
  <c r="F8" i="49"/>
  <c r="G23" i="49"/>
  <c r="F9" i="49"/>
  <c r="G8" i="49"/>
  <c r="BZ23" i="49"/>
  <c r="BZ34" i="49"/>
  <c r="F13" i="49"/>
  <c r="F7" i="49"/>
  <c r="F12" i="48"/>
  <c r="G5" i="48"/>
  <c r="J20" i="48"/>
  <c r="L20" i="48" s="1"/>
  <c r="M20" i="48" s="1"/>
  <c r="BZ9" i="48"/>
  <c r="BZ16" i="48"/>
  <c r="I20" i="48"/>
  <c r="J19" i="48"/>
  <c r="CA19" i="48" s="1"/>
  <c r="F14" i="48"/>
  <c r="G14" i="48"/>
  <c r="I12" i="48"/>
  <c r="F5" i="48"/>
  <c r="I5" i="48"/>
  <c r="G20" i="48"/>
  <c r="BZ19" i="48"/>
  <c r="F20" i="48"/>
  <c r="I21" i="48"/>
  <c r="G6" i="48"/>
  <c r="F7" i="48"/>
  <c r="G12" i="48"/>
  <c r="F19" i="48"/>
  <c r="I6" i="48"/>
  <c r="G19" i="48"/>
  <c r="F12" i="52"/>
  <c r="K8" i="52"/>
  <c r="F8" i="52"/>
  <c r="I8" i="52"/>
  <c r="I12" i="52"/>
  <c r="J12" i="52"/>
  <c r="BZ8" i="52"/>
  <c r="BZ12" i="52"/>
  <c r="G8" i="51"/>
  <c r="F8" i="51"/>
  <c r="L7" i="51"/>
  <c r="M7" i="51" s="1"/>
  <c r="K7" i="51"/>
  <c r="N7" i="51"/>
  <c r="CA7" i="51"/>
  <c r="F10" i="51"/>
  <c r="F4" i="51"/>
  <c r="BZ4" i="51"/>
  <c r="G4" i="51"/>
  <c r="I8" i="51"/>
  <c r="BZ10" i="51"/>
  <c r="J10" i="51"/>
  <c r="I10" i="51"/>
  <c r="J27" i="50"/>
  <c r="BZ27" i="50"/>
  <c r="G25" i="50"/>
  <c r="F25" i="50"/>
  <c r="BZ22" i="50"/>
  <c r="BZ14" i="50"/>
  <c r="J14" i="50"/>
  <c r="G22" i="50"/>
  <c r="F14" i="50"/>
  <c r="G10" i="50"/>
  <c r="J22" i="50"/>
  <c r="N26" i="50"/>
  <c r="CA26" i="50"/>
  <c r="L26" i="50"/>
  <c r="M26" i="50" s="1"/>
  <c r="K26" i="50"/>
  <c r="CA13" i="50"/>
  <c r="N13" i="50"/>
  <c r="L13" i="50"/>
  <c r="M13" i="50" s="1"/>
  <c r="K13" i="50"/>
  <c r="G27" i="50"/>
  <c r="BZ8" i="50"/>
  <c r="J8" i="50"/>
  <c r="G24" i="50"/>
  <c r="BZ5" i="50"/>
  <c r="BZ7" i="50"/>
  <c r="J7" i="50"/>
  <c r="F7" i="50"/>
  <c r="BZ20" i="50"/>
  <c r="G7" i="50"/>
  <c r="F21" i="50"/>
  <c r="BZ25" i="50"/>
  <c r="BZ23" i="50"/>
  <c r="J23" i="50"/>
  <c r="F27" i="50"/>
  <c r="BZ10" i="50"/>
  <c r="F15" i="50"/>
  <c r="L20" i="50"/>
  <c r="M20" i="50" s="1"/>
  <c r="K20" i="50"/>
  <c r="CA20" i="50"/>
  <c r="N20" i="50"/>
  <c r="BZ17" i="50"/>
  <c r="BZ21" i="50"/>
  <c r="F23" i="50"/>
  <c r="G17" i="50"/>
  <c r="BZ28" i="49"/>
  <c r="BZ5" i="49"/>
  <c r="J5" i="49"/>
  <c r="F26" i="49"/>
  <c r="BZ26" i="49"/>
  <c r="J26" i="49"/>
  <c r="G26" i="49"/>
  <c r="J25" i="49"/>
  <c r="F25" i="49"/>
  <c r="G25" i="49"/>
  <c r="J28" i="49"/>
  <c r="BZ6" i="49"/>
  <c r="J6" i="49"/>
  <c r="G34" i="49"/>
  <c r="BZ27" i="49"/>
  <c r="F5" i="49"/>
  <c r="BZ22" i="49"/>
  <c r="G22" i="49"/>
  <c r="L21" i="49"/>
  <c r="M21" i="49" s="1"/>
  <c r="CA21" i="49"/>
  <c r="N21" i="49"/>
  <c r="K21" i="49"/>
  <c r="J32" i="49"/>
  <c r="G32" i="49"/>
  <c r="F32" i="49"/>
  <c r="F27" i="49"/>
  <c r="G5" i="49"/>
  <c r="N34" i="49"/>
  <c r="L34" i="49"/>
  <c r="M34" i="49" s="1"/>
  <c r="CA34" i="49"/>
  <c r="K34" i="49"/>
  <c r="G6" i="49"/>
  <c r="G28" i="49"/>
  <c r="BZ13" i="49"/>
  <c r="F22" i="49"/>
  <c r="F34" i="49"/>
  <c r="G13" i="49"/>
  <c r="BZ16" i="49"/>
  <c r="G16" i="49"/>
  <c r="N19" i="49"/>
  <c r="L19" i="49"/>
  <c r="M19" i="49" s="1"/>
  <c r="K19" i="49"/>
  <c r="CA19" i="49"/>
  <c r="I16" i="48"/>
  <c r="G16" i="48"/>
  <c r="BZ15" i="48"/>
  <c r="BZ12" i="48"/>
  <c r="J12" i="48"/>
  <c r="I13" i="48"/>
  <c r="BZ5" i="48"/>
  <c r="BZ6" i="48"/>
  <c r="I8" i="48"/>
  <c r="F10" i="48"/>
  <c r="G17" i="48"/>
  <c r="BZ17" i="48"/>
  <c r="J17" i="48"/>
  <c r="J21" i="48"/>
  <c r="BZ21" i="48"/>
  <c r="F8" i="48"/>
  <c r="G10" i="48"/>
  <c r="BZ7" i="48"/>
  <c r="J7" i="48"/>
  <c r="I7" i="48"/>
  <c r="F17" i="48"/>
  <c r="I17" i="48"/>
  <c r="G21" i="48"/>
  <c r="F13" i="48"/>
  <c r="G15" i="48"/>
  <c r="BZ13" i="48"/>
  <c r="G7" i="48"/>
  <c r="F16" i="48"/>
  <c r="BZ20" i="48"/>
  <c r="J9" i="48"/>
  <c r="F9" i="48"/>
  <c r="I9" i="48"/>
  <c r="G9" i="48"/>
  <c r="G13" i="48"/>
  <c r="I14" i="48"/>
  <c r="I15" i="48"/>
  <c r="BZ14" i="48"/>
  <c r="I19" i="48"/>
  <c r="I10" i="48"/>
  <c r="BZ8" i="48"/>
  <c r="J8" i="48"/>
  <c r="F21" i="48"/>
  <c r="J15" i="48"/>
  <c r="F15" i="48"/>
  <c r="F6" i="48"/>
  <c r="BZ10" i="48"/>
  <c r="ES9" i="47"/>
  <c r="ER9" i="47"/>
  <c r="EK5" i="47"/>
  <c r="ET5" i="47" s="1"/>
  <c r="EK9" i="47"/>
  <c r="ET9" i="47" s="1"/>
  <c r="DK8" i="47"/>
  <c r="DK5" i="47"/>
  <c r="EJ16" i="47"/>
  <c r="EJ9" i="47"/>
  <c r="EK16" i="47"/>
  <c r="ET16" i="47" s="1"/>
  <c r="DK17" i="47"/>
  <c r="DK23" i="47"/>
  <c r="DB11" i="47"/>
  <c r="DK7" i="47"/>
  <c r="DK16" i="47"/>
  <c r="DK9" i="47"/>
  <c r="DK19" i="47"/>
  <c r="DK15" i="47"/>
  <c r="DK21" i="47"/>
  <c r="DB14" i="47"/>
  <c r="DK12" i="47"/>
  <c r="DK18" i="47"/>
  <c r="EJ5" i="47"/>
  <c r="DB6" i="47"/>
  <c r="DA4" i="47"/>
  <c r="DA11" i="47"/>
  <c r="DB4" i="47"/>
  <c r="BY12" i="47"/>
  <c r="BS16" i="47"/>
  <c r="BY18" i="47"/>
  <c r="BS17" i="47"/>
  <c r="BS23" i="47"/>
  <c r="BS18" i="47"/>
  <c r="BY8" i="47"/>
  <c r="BS21" i="47"/>
  <c r="BY5" i="47"/>
  <c r="BY11" i="47"/>
  <c r="BY7" i="47"/>
  <c r="BY15" i="47"/>
  <c r="BS12" i="47"/>
  <c r="BS6" i="47"/>
  <c r="BY14" i="47"/>
  <c r="BY21" i="47"/>
  <c r="BY9" i="47"/>
  <c r="BY17" i="47"/>
  <c r="BY23" i="47"/>
  <c r="BS19" i="47"/>
  <c r="BS15" i="47"/>
  <c r="BY16" i="47"/>
  <c r="BS8" i="47"/>
  <c r="BS14" i="47"/>
  <c r="BS9" i="47"/>
  <c r="BS4" i="47"/>
  <c r="BY4" i="47"/>
  <c r="BS7" i="47"/>
  <c r="BS5" i="47"/>
  <c r="BS11" i="47"/>
  <c r="BY6" i="47"/>
  <c r="BY19" i="47"/>
  <c r="L8" i="52" l="1"/>
  <c r="M8" i="52" s="1"/>
  <c r="N8" i="52"/>
  <c r="K14" i="49"/>
  <c r="L10" i="48"/>
  <c r="M10" i="48" s="1"/>
  <c r="L14" i="49"/>
  <c r="M14" i="49" s="1"/>
  <c r="N14" i="49"/>
  <c r="O14" i="49" s="1"/>
  <c r="N16" i="48"/>
  <c r="CB16" i="48" s="1"/>
  <c r="N10" i="48"/>
  <c r="O10" i="48" s="1"/>
  <c r="N8" i="51"/>
  <c r="CB8" i="51" s="1"/>
  <c r="K8" i="51"/>
  <c r="L8" i="51"/>
  <c r="M8" i="51" s="1"/>
  <c r="CA4" i="51"/>
  <c r="L24" i="50"/>
  <c r="M24" i="50" s="1"/>
  <c r="N24" i="50"/>
  <c r="O24" i="50" s="1"/>
  <c r="CA24" i="50"/>
  <c r="L4" i="49"/>
  <c r="M4" i="49" s="1"/>
  <c r="CA4" i="49"/>
  <c r="N4" i="49"/>
  <c r="O4" i="49" s="1"/>
  <c r="N5" i="48"/>
  <c r="O5" i="48" s="1"/>
  <c r="L7" i="49"/>
  <c r="M7" i="49" s="1"/>
  <c r="L13" i="49"/>
  <c r="M13" i="49" s="1"/>
  <c r="N22" i="49"/>
  <c r="CB22" i="49" s="1"/>
  <c r="CA22" i="49"/>
  <c r="N4" i="51"/>
  <c r="O4" i="51" s="1"/>
  <c r="K4" i="51"/>
  <c r="K5" i="50"/>
  <c r="L25" i="50"/>
  <c r="M25" i="50" s="1"/>
  <c r="CA25" i="50"/>
  <c r="CA5" i="50"/>
  <c r="L4" i="50"/>
  <c r="M4" i="50" s="1"/>
  <c r="K10" i="50"/>
  <c r="L5" i="50"/>
  <c r="M5" i="50" s="1"/>
  <c r="CA10" i="50"/>
  <c r="K25" i="50"/>
  <c r="L9" i="50"/>
  <c r="M9" i="50" s="1"/>
  <c r="H13" i="49"/>
  <c r="A13" i="49" s="1" a="1"/>
  <c r="A13" i="49" s="1"/>
  <c r="L27" i="49"/>
  <c r="M27" i="49" s="1"/>
  <c r="N27" i="49"/>
  <c r="O27" i="49" s="1"/>
  <c r="CA27" i="49"/>
  <c r="K14" i="48"/>
  <c r="N14" i="48"/>
  <c r="CB14" i="48" s="1"/>
  <c r="K20" i="48"/>
  <c r="CA20" i="48"/>
  <c r="CA14" i="48"/>
  <c r="H23" i="49"/>
  <c r="A23" i="49" s="1" a="1"/>
  <c r="A23" i="49" s="1"/>
  <c r="CA8" i="49"/>
  <c r="N8" i="49"/>
  <c r="O8" i="49" s="1"/>
  <c r="K8" i="49"/>
  <c r="K13" i="49"/>
  <c r="N13" i="49"/>
  <c r="O13" i="49" s="1"/>
  <c r="K4" i="50"/>
  <c r="CA4" i="50"/>
  <c r="K7" i="49"/>
  <c r="N7" i="49"/>
  <c r="CB7" i="49" s="1"/>
  <c r="L22" i="49"/>
  <c r="M22" i="49" s="1"/>
  <c r="CA9" i="49"/>
  <c r="L24" i="49"/>
  <c r="M24" i="49" s="1"/>
  <c r="H34" i="49"/>
  <c r="A34" i="49" s="1" a="1"/>
  <c r="A34" i="49" s="1"/>
  <c r="L16" i="49"/>
  <c r="M16" i="49" s="1"/>
  <c r="N16" i="49"/>
  <c r="CB16" i="49" s="1"/>
  <c r="CA16" i="49"/>
  <c r="H6" i="49"/>
  <c r="CA5" i="48"/>
  <c r="L5" i="48"/>
  <c r="M5" i="48" s="1"/>
  <c r="CA16" i="48"/>
  <c r="N13" i="48"/>
  <c r="O13" i="48" s="1"/>
  <c r="CA13" i="48"/>
  <c r="K13" i="48"/>
  <c r="H24" i="50"/>
  <c r="A24" i="50" s="1" a="1"/>
  <c r="A24" i="50" s="1"/>
  <c r="CA9" i="50"/>
  <c r="H6" i="50"/>
  <c r="K9" i="50"/>
  <c r="H20" i="50"/>
  <c r="H25" i="50"/>
  <c r="A25" i="50" s="1" a="1"/>
  <c r="A25" i="50" s="1"/>
  <c r="H17" i="50"/>
  <c r="A17" i="50" s="1" a="1"/>
  <c r="A17" i="50" s="1"/>
  <c r="H23" i="50"/>
  <c r="A23" i="50" s="1" a="1"/>
  <c r="A23" i="50" s="1"/>
  <c r="H14" i="50"/>
  <c r="A14" i="50" s="1" a="1"/>
  <c r="A14" i="50" s="1"/>
  <c r="H13" i="50"/>
  <c r="A13" i="50" s="1" a="1"/>
  <c r="A13" i="50" s="1"/>
  <c r="H27" i="50"/>
  <c r="A27" i="50" s="1" a="1"/>
  <c r="A27" i="50" s="1"/>
  <c r="CA21" i="50"/>
  <c r="H21" i="49"/>
  <c r="A21" i="49" s="1" a="1"/>
  <c r="A21" i="49" s="1"/>
  <c r="L11" i="49"/>
  <c r="M11" i="49" s="1"/>
  <c r="K9" i="49"/>
  <c r="N11" i="49"/>
  <c r="CB11" i="49" s="1"/>
  <c r="H16" i="49"/>
  <c r="A16" i="49" s="1" a="1"/>
  <c r="A16" i="49" s="1"/>
  <c r="L9" i="49"/>
  <c r="M9" i="49" s="1"/>
  <c r="K11" i="49"/>
  <c r="H27" i="49"/>
  <c r="A27" i="49" s="1" a="1"/>
  <c r="A27" i="49" s="1"/>
  <c r="H19" i="49"/>
  <c r="A19" i="49" s="1" a="1"/>
  <c r="A19" i="49" s="1"/>
  <c r="H24" i="49"/>
  <c r="A24" i="49" s="1" a="1"/>
  <c r="A24" i="49" s="1"/>
  <c r="H14" i="49"/>
  <c r="A14" i="49" s="1" a="1"/>
  <c r="A14" i="49" s="1"/>
  <c r="H6" i="48"/>
  <c r="CA13" i="51"/>
  <c r="L13" i="51"/>
  <c r="M13" i="51" s="1"/>
  <c r="N13" i="51"/>
  <c r="O13" i="51" s="1"/>
  <c r="K15" i="50"/>
  <c r="L15" i="50"/>
  <c r="M15" i="50" s="1"/>
  <c r="CA15" i="50"/>
  <c r="L6" i="50"/>
  <c r="M6" i="50" s="1"/>
  <c r="N21" i="50"/>
  <c r="N10" i="50"/>
  <c r="CB10" i="50" s="1"/>
  <c r="K6" i="50"/>
  <c r="CA6" i="50"/>
  <c r="K21" i="50"/>
  <c r="L23" i="49"/>
  <c r="M23" i="49" s="1"/>
  <c r="N23" i="49"/>
  <c r="CB23" i="49" s="1"/>
  <c r="CA23" i="49"/>
  <c r="CA24" i="49"/>
  <c r="N24" i="49"/>
  <c r="O24" i="49" s="1"/>
  <c r="CA6" i="48"/>
  <c r="K6" i="48"/>
  <c r="N6" i="48"/>
  <c r="CB6" i="48" s="1"/>
  <c r="N20" i="48"/>
  <c r="O20" i="48" s="1"/>
  <c r="K16" i="48"/>
  <c r="CA10" i="48"/>
  <c r="H12" i="52"/>
  <c r="H8" i="52"/>
  <c r="H13" i="51"/>
  <c r="H10" i="51"/>
  <c r="H7" i="51"/>
  <c r="H4" i="51"/>
  <c r="CA17" i="50"/>
  <c r="K17" i="50"/>
  <c r="N17" i="50"/>
  <c r="L17" i="50"/>
  <c r="M17" i="50" s="1"/>
  <c r="H12" i="48"/>
  <c r="H20" i="48"/>
  <c r="A20" i="48" s="1" a="1"/>
  <c r="A20" i="48" s="1"/>
  <c r="H14" i="48"/>
  <c r="A14" i="48" s="1" a="1"/>
  <c r="A14" i="48" s="1"/>
  <c r="I7" i="50" s="1"/>
  <c r="H7" i="50" s="1"/>
  <c r="K19" i="48"/>
  <c r="N19" i="48"/>
  <c r="O19" i="48" s="1"/>
  <c r="L19" i="48"/>
  <c r="M19" i="48" s="1"/>
  <c r="H5" i="48"/>
  <c r="H19" i="48"/>
  <c r="H13" i="48"/>
  <c r="H8" i="48"/>
  <c r="H7" i="48"/>
  <c r="H9" i="48"/>
  <c r="L12" i="52"/>
  <c r="M12" i="52" s="1"/>
  <c r="K12" i="52"/>
  <c r="N12" i="52"/>
  <c r="CA12" i="52"/>
  <c r="O8" i="52"/>
  <c r="CB8" i="52"/>
  <c r="H8" i="51"/>
  <c r="A8" i="51" s="1" a="1"/>
  <c r="A8" i="51" s="1"/>
  <c r="CB7" i="51"/>
  <c r="O7" i="51"/>
  <c r="K10" i="51"/>
  <c r="N10" i="51"/>
  <c r="L10" i="51"/>
  <c r="M10" i="51" s="1"/>
  <c r="CA10" i="51"/>
  <c r="O20" i="50"/>
  <c r="CB20" i="50"/>
  <c r="CB5" i="50"/>
  <c r="O5" i="50"/>
  <c r="N14" i="50"/>
  <c r="L14" i="50"/>
  <c r="M14" i="50" s="1"/>
  <c r="K14" i="50"/>
  <c r="CA14" i="50"/>
  <c r="O15" i="50"/>
  <c r="CB15" i="50"/>
  <c r="CA22" i="50"/>
  <c r="N22" i="50"/>
  <c r="L22" i="50"/>
  <c r="M22" i="50" s="1"/>
  <c r="K22" i="50"/>
  <c r="N7" i="50"/>
  <c r="L7" i="50"/>
  <c r="M7" i="50" s="1"/>
  <c r="CA7" i="50"/>
  <c r="K7" i="50"/>
  <c r="CA8" i="50"/>
  <c r="N8" i="50"/>
  <c r="L8" i="50"/>
  <c r="M8" i="50" s="1"/>
  <c r="K8" i="50"/>
  <c r="CB26" i="50"/>
  <c r="O26" i="50"/>
  <c r="N23" i="50"/>
  <c r="CA23" i="50"/>
  <c r="L23" i="50"/>
  <c r="M23" i="50" s="1"/>
  <c r="K23" i="50"/>
  <c r="K27" i="50"/>
  <c r="CA27" i="50"/>
  <c r="L27" i="50"/>
  <c r="M27" i="50" s="1"/>
  <c r="N27" i="50"/>
  <c r="CB6" i="50"/>
  <c r="O6" i="50"/>
  <c r="CB13" i="50"/>
  <c r="O13" i="50"/>
  <c r="O25" i="50"/>
  <c r="CB25" i="50"/>
  <c r="CB4" i="50"/>
  <c r="O4" i="50"/>
  <c r="CB9" i="50"/>
  <c r="O9" i="50"/>
  <c r="CB21" i="49"/>
  <c r="O21" i="49"/>
  <c r="L25" i="49"/>
  <c r="M25" i="49" s="1"/>
  <c r="K25" i="49"/>
  <c r="CA25" i="49"/>
  <c r="N25" i="49"/>
  <c r="L5" i="49"/>
  <c r="M5" i="49" s="1"/>
  <c r="N5" i="49"/>
  <c r="K5" i="49"/>
  <c r="CA5" i="49"/>
  <c r="CB9" i="49"/>
  <c r="O9" i="49"/>
  <c r="N26" i="49"/>
  <c r="L26" i="49"/>
  <c r="M26" i="49" s="1"/>
  <c r="K26" i="49"/>
  <c r="CA26" i="49"/>
  <c r="CA6" i="49"/>
  <c r="K6" i="49"/>
  <c r="N6" i="49"/>
  <c r="L6" i="49"/>
  <c r="M6" i="49" s="1"/>
  <c r="N28" i="49"/>
  <c r="CA28" i="49"/>
  <c r="L28" i="49"/>
  <c r="M28" i="49" s="1"/>
  <c r="K28" i="49"/>
  <c r="CB19" i="49"/>
  <c r="O19" i="49"/>
  <c r="O34" i="49"/>
  <c r="CB34" i="49"/>
  <c r="L32" i="49"/>
  <c r="M32" i="49" s="1"/>
  <c r="K32" i="49"/>
  <c r="N32" i="49"/>
  <c r="CA32" i="49"/>
  <c r="CB14" i="49"/>
  <c r="CA8" i="48"/>
  <c r="N8" i="48"/>
  <c r="K8" i="48"/>
  <c r="L8" i="48"/>
  <c r="M8" i="48" s="1"/>
  <c r="N9" i="48"/>
  <c r="CA9" i="48"/>
  <c r="L9" i="48"/>
  <c r="M9" i="48" s="1"/>
  <c r="K9" i="48"/>
  <c r="N21" i="48"/>
  <c r="L21" i="48"/>
  <c r="M21" i="48" s="1"/>
  <c r="K21" i="48"/>
  <c r="CA21" i="48"/>
  <c r="CB10" i="48"/>
  <c r="O16" i="48"/>
  <c r="H15" i="48"/>
  <c r="A15" i="48" s="1" a="1"/>
  <c r="A15" i="48" s="1"/>
  <c r="H10" i="48"/>
  <c r="H17" i="48"/>
  <c r="A17" i="48" s="1" a="1"/>
  <c r="A17" i="48" s="1"/>
  <c r="CA12" i="48"/>
  <c r="L12" i="48"/>
  <c r="M12" i="48" s="1"/>
  <c r="N12" i="48"/>
  <c r="K12" i="48"/>
  <c r="N7" i="48"/>
  <c r="K7" i="48"/>
  <c r="L7" i="48"/>
  <c r="M7" i="48" s="1"/>
  <c r="CA7" i="48"/>
  <c r="K17" i="48"/>
  <c r="CA17" i="48"/>
  <c r="N17" i="48"/>
  <c r="L17" i="48"/>
  <c r="M17" i="48" s="1"/>
  <c r="H21" i="48"/>
  <c r="A21" i="48" s="1" a="1"/>
  <c r="A21" i="48" s="1"/>
  <c r="N15" i="48"/>
  <c r="CA15" i="48"/>
  <c r="L15" i="48"/>
  <c r="M15" i="48" s="1"/>
  <c r="K15" i="48"/>
  <c r="H16" i="48"/>
  <c r="DK11" i="47"/>
  <c r="DK4" i="47"/>
  <c r="DK6" i="47"/>
  <c r="DK14" i="47"/>
  <c r="BZ18" i="47"/>
  <c r="BZ6" i="47"/>
  <c r="BZ12" i="47"/>
  <c r="BZ16" i="47"/>
  <c r="BZ17" i="47"/>
  <c r="BZ14" i="47"/>
  <c r="BZ19" i="47"/>
  <c r="BZ23" i="47"/>
  <c r="BZ21" i="47"/>
  <c r="BZ8" i="47"/>
  <c r="BZ15" i="47"/>
  <c r="BZ5" i="47"/>
  <c r="BZ4" i="47"/>
  <c r="BZ7" i="47"/>
  <c r="BZ9" i="47"/>
  <c r="BZ11" i="47"/>
  <c r="CB24" i="50" l="1"/>
  <c r="CB8" i="49"/>
  <c r="O8" i="51"/>
  <c r="P8" i="51"/>
  <c r="Q8" i="51" s="1"/>
  <c r="CB4" i="49"/>
  <c r="CB5" i="48"/>
  <c r="P5" i="48" s="1"/>
  <c r="E5" i="48" s="1"/>
  <c r="CB19" i="48"/>
  <c r="E8" i="51"/>
  <c r="CB4" i="51"/>
  <c r="O22" i="49"/>
  <c r="CB27" i="49"/>
  <c r="O14" i="48"/>
  <c r="CB13" i="48"/>
  <c r="CB13" i="49"/>
  <c r="O7" i="49"/>
  <c r="O6" i="48"/>
  <c r="O16" i="49"/>
  <c r="O11" i="49"/>
  <c r="CB24" i="49"/>
  <c r="CB13" i="51"/>
  <c r="O23" i="49"/>
  <c r="CB20" i="48"/>
  <c r="I22" i="50"/>
  <c r="H22" i="50" s="1"/>
  <c r="A22" i="50" s="1" a="1"/>
  <c r="A22" i="50" s="1"/>
  <c r="I10" i="50"/>
  <c r="H10" i="50" s="1"/>
  <c r="A10" i="50" s="1" a="1"/>
  <c r="A10" i="50" s="1"/>
  <c r="I15" i="50"/>
  <c r="H15" i="50" s="1"/>
  <c r="O10" i="50"/>
  <c r="O21" i="50"/>
  <c r="CB21" i="50"/>
  <c r="P7" i="49"/>
  <c r="R7" i="49" s="1"/>
  <c r="P16" i="48"/>
  <c r="Q16" i="48" s="1"/>
  <c r="P7" i="51"/>
  <c r="E7" i="51" s="1"/>
  <c r="P15" i="50"/>
  <c r="R15" i="50" s="1"/>
  <c r="CB17" i="50"/>
  <c r="O17" i="50"/>
  <c r="P9" i="50"/>
  <c r="E9" i="50" s="1"/>
  <c r="P25" i="50"/>
  <c r="E25" i="50" s="1"/>
  <c r="P13" i="50"/>
  <c r="Q13" i="50" s="1"/>
  <c r="P20" i="50"/>
  <c r="R20" i="50" s="1"/>
  <c r="P34" i="49"/>
  <c r="R34" i="49" s="1"/>
  <c r="P23" i="49"/>
  <c r="P19" i="49"/>
  <c r="R19" i="49" s="1"/>
  <c r="P9" i="49"/>
  <c r="E9" i="49" s="1"/>
  <c r="P4" i="49"/>
  <c r="E4" i="49" s="1"/>
  <c r="P22" i="49"/>
  <c r="P14" i="48"/>
  <c r="Q14" i="48" s="1"/>
  <c r="P10" i="48"/>
  <c r="R10" i="48" s="1"/>
  <c r="CB12" i="52"/>
  <c r="O12" i="52"/>
  <c r="P8" i="52"/>
  <c r="CB10" i="51"/>
  <c r="O10" i="51"/>
  <c r="P5" i="50"/>
  <c r="E5" i="50" s="1"/>
  <c r="P26" i="50"/>
  <c r="E26" i="50" s="1"/>
  <c r="O23" i="50"/>
  <c r="CB23" i="50"/>
  <c r="P4" i="50"/>
  <c r="E4" i="50" s="1"/>
  <c r="O7" i="50"/>
  <c r="CB7" i="50"/>
  <c r="CB22" i="50"/>
  <c r="O22" i="50"/>
  <c r="P6" i="50"/>
  <c r="E6" i="50" s="1"/>
  <c r="O14" i="50"/>
  <c r="CB14" i="50"/>
  <c r="CB27" i="50"/>
  <c r="O27" i="50"/>
  <c r="P10" i="50"/>
  <c r="P24" i="50"/>
  <c r="O8" i="50"/>
  <c r="CB8" i="50"/>
  <c r="P14" i="49"/>
  <c r="P11" i="49"/>
  <c r="O26" i="49"/>
  <c r="CB26" i="49"/>
  <c r="P21" i="49"/>
  <c r="CB32" i="49"/>
  <c r="O32" i="49"/>
  <c r="O6" i="49"/>
  <c r="CB6" i="49"/>
  <c r="CB25" i="49"/>
  <c r="O25" i="49"/>
  <c r="CB28" i="49"/>
  <c r="O28" i="49"/>
  <c r="O5" i="49"/>
  <c r="CB5" i="49"/>
  <c r="P8" i="49"/>
  <c r="P16" i="49"/>
  <c r="O12" i="48"/>
  <c r="CB12" i="48"/>
  <c r="O9" i="48"/>
  <c r="CB9" i="48"/>
  <c r="P6" i="48"/>
  <c r="O8" i="48"/>
  <c r="CB8" i="48"/>
  <c r="O21" i="48"/>
  <c r="CB21" i="48"/>
  <c r="CB15" i="48"/>
  <c r="O15" i="48"/>
  <c r="O17" i="48"/>
  <c r="CB17" i="48"/>
  <c r="O7" i="48"/>
  <c r="CB7" i="48"/>
  <c r="R8" i="51" l="1"/>
  <c r="P4" i="51"/>
  <c r="E4" i="51" s="1"/>
  <c r="P13" i="49"/>
  <c r="P13" i="48"/>
  <c r="E13" i="48" s="1"/>
  <c r="E22" i="49"/>
  <c r="P19" i="48"/>
  <c r="E19" i="48" s="1"/>
  <c r="Q20" i="50"/>
  <c r="E15" i="50"/>
  <c r="P27" i="49"/>
  <c r="R27" i="49" s="1"/>
  <c r="E10" i="50"/>
  <c r="Q7" i="51"/>
  <c r="P7" i="50"/>
  <c r="Q7" i="50" s="1"/>
  <c r="P24" i="49"/>
  <c r="E24" i="49" s="1"/>
  <c r="E7" i="49"/>
  <c r="P20" i="48"/>
  <c r="E20" i="48" s="1"/>
  <c r="Q7" i="49"/>
  <c r="Q34" i="49"/>
  <c r="P13" i="51"/>
  <c r="E13" i="51" s="1"/>
  <c r="E23" i="49"/>
  <c r="Q15" i="50"/>
  <c r="E16" i="48"/>
  <c r="R16" i="48"/>
  <c r="R7" i="51"/>
  <c r="P23" i="50"/>
  <c r="R23" i="50" s="1"/>
  <c r="Q9" i="50"/>
  <c r="R9" i="50"/>
  <c r="P21" i="50"/>
  <c r="E21" i="50" s="1"/>
  <c r="Q23" i="49"/>
  <c r="R23" i="49"/>
  <c r="E34" i="49"/>
  <c r="P12" i="52"/>
  <c r="E12" i="52" s="1"/>
  <c r="E13" i="50"/>
  <c r="R13" i="50"/>
  <c r="Q25" i="50"/>
  <c r="R25" i="50"/>
  <c r="P17" i="50"/>
  <c r="P22" i="50"/>
  <c r="E22" i="50" s="1"/>
  <c r="E20" i="50"/>
  <c r="P8" i="50"/>
  <c r="R8" i="50" s="1"/>
  <c r="P32" i="49"/>
  <c r="E32" i="49" s="1"/>
  <c r="R4" i="49"/>
  <c r="Q4" i="49"/>
  <c r="Q22" i="49"/>
  <c r="R22" i="49"/>
  <c r="E19" i="49"/>
  <c r="Q19" i="49"/>
  <c r="R9" i="49"/>
  <c r="P25" i="49"/>
  <c r="E25" i="49" s="1"/>
  <c r="Q9" i="49"/>
  <c r="P6" i="49"/>
  <c r="Q6" i="49" s="1"/>
  <c r="P5" i="49"/>
  <c r="E5" i="49" s="1"/>
  <c r="P21" i="48"/>
  <c r="E21" i="48" s="1"/>
  <c r="E10" i="48"/>
  <c r="E14" i="48"/>
  <c r="R14" i="48"/>
  <c r="Q10" i="48"/>
  <c r="P8" i="48"/>
  <c r="Q8" i="48" s="1"/>
  <c r="P17" i="48"/>
  <c r="E17" i="48" s="1"/>
  <c r="P9" i="48"/>
  <c r="E9" i="48" s="1"/>
  <c r="Q8" i="52"/>
  <c r="R8" i="52"/>
  <c r="E8" i="52"/>
  <c r="P10" i="51"/>
  <c r="E10" i="51" s="1"/>
  <c r="R26" i="50"/>
  <c r="Q26" i="50"/>
  <c r="R4" i="50"/>
  <c r="Q4" i="50"/>
  <c r="R10" i="50"/>
  <c r="Q10" i="50"/>
  <c r="P27" i="50"/>
  <c r="E27" i="50" s="1"/>
  <c r="R24" i="50"/>
  <c r="Q24" i="50"/>
  <c r="E24" i="50"/>
  <c r="R6" i="50"/>
  <c r="Q6" i="50"/>
  <c r="P14" i="50"/>
  <c r="Q5" i="50"/>
  <c r="R5" i="50"/>
  <c r="R16" i="49"/>
  <c r="Q16" i="49"/>
  <c r="E16" i="49"/>
  <c r="P26" i="49"/>
  <c r="Q13" i="49"/>
  <c r="R13" i="49"/>
  <c r="E13" i="49"/>
  <c r="R8" i="49"/>
  <c r="Q8" i="49"/>
  <c r="R14" i="49"/>
  <c r="Q14" i="49"/>
  <c r="R11" i="49"/>
  <c r="Q11" i="49"/>
  <c r="E11" i="49"/>
  <c r="E8" i="49"/>
  <c r="E14" i="49"/>
  <c r="P28" i="49"/>
  <c r="R21" i="49"/>
  <c r="Q21" i="49"/>
  <c r="E21" i="49"/>
  <c r="P15" i="48"/>
  <c r="R5" i="48"/>
  <c r="Q5" i="48"/>
  <c r="R6" i="48"/>
  <c r="Q6" i="48"/>
  <c r="E6" i="48"/>
  <c r="P12" i="48"/>
  <c r="P7" i="48"/>
  <c r="Q24" i="49" l="1"/>
  <c r="Q19" i="48"/>
  <c r="Q4" i="51"/>
  <c r="R19" i="48"/>
  <c r="Q13" i="48"/>
  <c r="R4" i="51"/>
  <c r="R13" i="48"/>
  <c r="E27" i="49"/>
  <c r="R24" i="49"/>
  <c r="Q27" i="49"/>
  <c r="E7" i="50"/>
  <c r="R7" i="50"/>
  <c r="Q20" i="48"/>
  <c r="R20" i="48"/>
  <c r="R25" i="49"/>
  <c r="Q13" i="51"/>
  <c r="R13" i="51"/>
  <c r="Q32" i="49"/>
  <c r="R32" i="49"/>
  <c r="Q21" i="48"/>
  <c r="E23" i="50"/>
  <c r="Q23" i="50"/>
  <c r="R17" i="48"/>
  <c r="R21" i="48"/>
  <c r="Q12" i="52"/>
  <c r="R12" i="52"/>
  <c r="R21" i="50"/>
  <c r="Q21" i="50"/>
  <c r="A5" i="52" a="1"/>
  <c r="A5" i="52" s="1"/>
  <c r="R22" i="50"/>
  <c r="R17" i="50"/>
  <c r="Q17" i="50"/>
  <c r="E17" i="50"/>
  <c r="Q22" i="50"/>
  <c r="Q8" i="50"/>
  <c r="E8" i="50"/>
  <c r="Q25" i="49"/>
  <c r="Q5" i="49"/>
  <c r="R5" i="49"/>
  <c r="R6" i="49"/>
  <c r="E6" i="49"/>
  <c r="R8" i="48"/>
  <c r="Q17" i="48"/>
  <c r="R9" i="48"/>
  <c r="E8" i="48"/>
  <c r="Q9" i="48"/>
  <c r="A12" i="52" a="1"/>
  <c r="A12" i="52" s="1"/>
  <c r="A4" i="51" a="1"/>
  <c r="A4" i="51" s="1"/>
  <c r="Q10" i="51"/>
  <c r="R10" i="51"/>
  <c r="Q14" i="50"/>
  <c r="R14" i="50"/>
  <c r="E14" i="50"/>
  <c r="R27" i="50"/>
  <c r="Q27" i="50"/>
  <c r="R28" i="49"/>
  <c r="Q28" i="49"/>
  <c r="Q26" i="49"/>
  <c r="R26" i="49"/>
  <c r="E26" i="49"/>
  <c r="E28" i="49"/>
  <c r="R12" i="48"/>
  <c r="Q12" i="48"/>
  <c r="R15" i="48"/>
  <c r="Q15" i="48"/>
  <c r="E15" i="48"/>
  <c r="Q7" i="48"/>
  <c r="R7" i="48"/>
  <c r="E7" i="48"/>
  <c r="E12" i="48"/>
  <c r="A4" i="52" l="1" a="1"/>
  <c r="A4" i="52" s="1"/>
  <c r="A11" i="48" a="1"/>
  <c r="A11" i="48" s="1"/>
  <c r="I8" i="50" s="1"/>
  <c r="H8" i="50" s="1"/>
  <c r="A6" i="51" a="1"/>
  <c r="A6" i="51" s="1"/>
  <c r="A5" i="51" a="1"/>
  <c r="A5" i="51" s="1"/>
  <c r="A8" i="48" a="1"/>
  <c r="A8" i="48" s="1"/>
  <c r="A4" i="48" a="1"/>
  <c r="A4" i="48" s="1"/>
  <c r="I4" i="50" s="1"/>
  <c r="H4" i="50" s="1"/>
  <c r="A6" i="48" a="1"/>
  <c r="A6" i="48" s="1"/>
  <c r="A7" i="48" a="1"/>
  <c r="A7" i="48" s="1"/>
  <c r="I5" i="50" s="1"/>
  <c r="H5" i="50" s="1"/>
  <c r="A13" i="48" a="1"/>
  <c r="A13" i="48" s="1"/>
  <c r="A19" i="48" a="1"/>
  <c r="A19" i="48" s="1"/>
  <c r="I21" i="50" s="1"/>
  <c r="H21" i="50" s="1"/>
  <c r="A8" i="52" a="1"/>
  <c r="A8" i="52" s="1"/>
  <c r="A7" i="51" a="1"/>
  <c r="A7" i="51" s="1"/>
  <c r="A13" i="51" a="1"/>
  <c r="A13" i="51" s="1"/>
  <c r="A10" i="51" a="1"/>
  <c r="A10" i="51" s="1"/>
  <c r="A12" i="48" a="1"/>
  <c r="A12" i="48" s="1"/>
  <c r="I9" i="50" s="1"/>
  <c r="H9" i="50" s="1"/>
  <c r="A10" i="48" a="1"/>
  <c r="A10" i="48" s="1"/>
  <c r="A16" i="48" a="1"/>
  <c r="A16" i="48" s="1"/>
  <c r="A9" i="48" a="1"/>
  <c r="A9" i="48" s="1"/>
  <c r="A5" i="48" a="1"/>
  <c r="A5" i="48" s="1"/>
  <c r="C35" i="11" l="1"/>
  <c r="D35" i="11"/>
  <c r="D34" i="11"/>
  <c r="C36" i="11"/>
  <c r="D36" i="11"/>
  <c r="C37" i="11"/>
  <c r="D37" i="11"/>
  <c r="C34" i="11"/>
  <c r="C31" i="11"/>
  <c r="D30" i="11"/>
  <c r="D31" i="11"/>
  <c r="C30" i="11"/>
  <c r="C32" i="11"/>
  <c r="D32" i="11"/>
  <c r="C33" i="11"/>
  <c r="D33" i="11"/>
  <c r="C15" i="11"/>
  <c r="D15" i="11"/>
  <c r="C16" i="11"/>
  <c r="D16" i="11"/>
  <c r="C17" i="11"/>
  <c r="D17" i="11"/>
  <c r="C11" i="11"/>
  <c r="D10" i="11"/>
  <c r="D11" i="11"/>
  <c r="C10" i="11"/>
  <c r="C12" i="11"/>
  <c r="D12" i="11"/>
  <c r="C13" i="11"/>
  <c r="D13" i="11"/>
  <c r="C14" i="11"/>
  <c r="D14" i="11"/>
  <c r="A15" i="50" l="1" a="1"/>
  <c r="A15" i="50" s="1"/>
  <c r="A6" i="50" a="1"/>
  <c r="A6" i="50" s="1"/>
  <c r="A11" i="50" a="1"/>
  <c r="A11" i="50" s="1"/>
  <c r="A9" i="50" a="1"/>
  <c r="A9" i="50" s="1"/>
  <c r="A21" i="50" a="1"/>
  <c r="A21" i="50" s="1"/>
  <c r="A5" i="50" a="1"/>
  <c r="A5" i="50" s="1"/>
  <c r="A8" i="50" a="1"/>
  <c r="A8" i="50" s="1"/>
  <c r="A20" i="50" a="1"/>
  <c r="A20" i="50" s="1"/>
  <c r="A4" i="50" a="1"/>
  <c r="A4" i="50" s="1"/>
  <c r="A7" i="50" a="1"/>
  <c r="A7" i="50" s="1"/>
  <c r="C24" i="11" l="1"/>
  <c r="C26" i="11"/>
  <c r="C27" i="11"/>
  <c r="D27" i="11"/>
  <c r="D28" i="11"/>
  <c r="D26" i="11"/>
  <c r="C25" i="11"/>
  <c r="D25" i="11"/>
  <c r="D29" i="11"/>
  <c r="C28" i="11"/>
  <c r="C29" i="11"/>
  <c r="D24" i="11"/>
  <c r="J12" i="47"/>
  <c r="J19" i="47"/>
  <c r="K19" i="47" s="1"/>
  <c r="I15" i="47"/>
  <c r="G15" i="47"/>
  <c r="J4" i="47" l="1"/>
  <c r="CA4" i="47" s="1"/>
  <c r="J7" i="47"/>
  <c r="K7" i="47" s="1"/>
  <c r="J17" i="47"/>
  <c r="G23" i="47"/>
  <c r="G14" i="47"/>
  <c r="N7" i="47"/>
  <c r="CB7" i="47" s="1"/>
  <c r="CA7" i="47"/>
  <c r="F6" i="47"/>
  <c r="J15" i="47"/>
  <c r="K15" i="47" s="1"/>
  <c r="F15" i="47"/>
  <c r="H15" i="47" s="1"/>
  <c r="A15" i="47" s="1" a="1"/>
  <c r="A15" i="47" s="1"/>
  <c r="I11" i="49" s="1"/>
  <c r="H11" i="49" s="1"/>
  <c r="J16" i="47"/>
  <c r="L16" i="47" s="1"/>
  <c r="M16" i="47" s="1"/>
  <c r="I6" i="47"/>
  <c r="N12" i="47"/>
  <c r="K12" i="47"/>
  <c r="CA12" i="47"/>
  <c r="L12" i="47"/>
  <c r="M12" i="47" s="1"/>
  <c r="F17" i="47"/>
  <c r="I17" i="47"/>
  <c r="G17" i="47"/>
  <c r="G4" i="47"/>
  <c r="F4" i="47"/>
  <c r="I4" i="47"/>
  <c r="I23" i="47"/>
  <c r="L4" i="47"/>
  <c r="M4" i="47" s="1"/>
  <c r="N4" i="47"/>
  <c r="K4" i="47"/>
  <c r="F7" i="47"/>
  <c r="I7" i="47"/>
  <c r="F23" i="47"/>
  <c r="J5" i="47"/>
  <c r="I5" i="47"/>
  <c r="F5" i="47"/>
  <c r="J6" i="47"/>
  <c r="I19" i="47"/>
  <c r="F19" i="47"/>
  <c r="G19" i="47"/>
  <c r="F12" i="47"/>
  <c r="I12" i="47"/>
  <c r="G7" i="47"/>
  <c r="N19" i="47"/>
  <c r="L19" i="47"/>
  <c r="M19" i="47" s="1"/>
  <c r="F9" i="47"/>
  <c r="G12" i="47"/>
  <c r="J11" i="47"/>
  <c r="J21" i="47"/>
  <c r="G21" i="47"/>
  <c r="CA19" i="47"/>
  <c r="F18" i="47"/>
  <c r="G11" i="47"/>
  <c r="G6" i="47"/>
  <c r="F11" i="47"/>
  <c r="I11" i="47"/>
  <c r="I21" i="47"/>
  <c r="F21" i="47"/>
  <c r="H23" i="47" l="1"/>
  <c r="A23" i="47" s="1" a="1"/>
  <c r="A23" i="47" s="1"/>
  <c r="L7" i="47"/>
  <c r="M7" i="47" s="1"/>
  <c r="O7" i="47"/>
  <c r="G5" i="47"/>
  <c r="H5" i="47" s="1"/>
  <c r="G18" i="47"/>
  <c r="K16" i="47"/>
  <c r="G9" i="47"/>
  <c r="I18" i="47"/>
  <c r="J18" i="47"/>
  <c r="I9" i="47"/>
  <c r="CA15" i="47"/>
  <c r="I16" i="47"/>
  <c r="N16" i="47"/>
  <c r="CB16" i="47" s="1"/>
  <c r="J9" i="47"/>
  <c r="L9" i="47" s="1"/>
  <c r="M9" i="47" s="1"/>
  <c r="F16" i="47"/>
  <c r="G16" i="47"/>
  <c r="N15" i="47"/>
  <c r="CB15" i="47" s="1"/>
  <c r="CA16" i="47"/>
  <c r="F14" i="47"/>
  <c r="I14" i="47"/>
  <c r="J8" i="47"/>
  <c r="K8" i="47" s="1"/>
  <c r="J23" i="47"/>
  <c r="J14" i="47"/>
  <c r="N14" i="47" s="1"/>
  <c r="F8" i="47"/>
  <c r="H6" i="47"/>
  <c r="L15" i="47"/>
  <c r="M15" i="47" s="1"/>
  <c r="H17" i="47"/>
  <c r="A17" i="47" s="1" a="1"/>
  <c r="A17" i="47" s="1"/>
  <c r="I25" i="49" s="1"/>
  <c r="H25" i="49" s="1"/>
  <c r="A25" i="49" s="1" a="1"/>
  <c r="A25" i="49" s="1"/>
  <c r="H7" i="47"/>
  <c r="H4" i="47"/>
  <c r="I8" i="47"/>
  <c r="G8" i="47"/>
  <c r="P7" i="47"/>
  <c r="K17" i="47"/>
  <c r="CA17" i="47"/>
  <c r="N17" i="47"/>
  <c r="L17" i="47"/>
  <c r="M17" i="47" s="1"/>
  <c r="H19" i="47"/>
  <c r="A19" i="47" s="1" a="1"/>
  <c r="A19" i="47" s="1"/>
  <c r="I28" i="49" s="1"/>
  <c r="H28" i="49" s="1"/>
  <c r="A28" i="49" s="1" a="1"/>
  <c r="A28" i="49" s="1"/>
  <c r="H11" i="47"/>
  <c r="CB12" i="47"/>
  <c r="O12" i="47"/>
  <c r="CB19" i="47"/>
  <c r="O19" i="47"/>
  <c r="O4" i="47"/>
  <c r="CB4" i="47"/>
  <c r="L11" i="47"/>
  <c r="M11" i="47" s="1"/>
  <c r="CA11" i="47"/>
  <c r="N11" i="47"/>
  <c r="K11" i="47"/>
  <c r="N21" i="47"/>
  <c r="CA21" i="47"/>
  <c r="L21" i="47"/>
  <c r="M21" i="47" s="1"/>
  <c r="K21" i="47"/>
  <c r="H12" i="47"/>
  <c r="N6" i="47"/>
  <c r="L6" i="47"/>
  <c r="M6" i="47" s="1"/>
  <c r="CA6" i="47"/>
  <c r="K6" i="47"/>
  <c r="H21" i="47"/>
  <c r="A21" i="47" s="1" a="1"/>
  <c r="A21" i="47" s="1"/>
  <c r="I32" i="49" s="1"/>
  <c r="H32" i="49" s="1"/>
  <c r="A32" i="49" s="1" a="1"/>
  <c r="A32" i="49" s="1"/>
  <c r="N5" i="47"/>
  <c r="K5" i="47"/>
  <c r="L5" i="47"/>
  <c r="M5" i="47" s="1"/>
  <c r="CA5" i="47"/>
  <c r="O15" i="47" l="1"/>
  <c r="H18" i="47"/>
  <c r="A18" i="47" s="1" a="1"/>
  <c r="A18" i="47" s="1"/>
  <c r="I26" i="49" s="1"/>
  <c r="H26" i="49" s="1"/>
  <c r="A26" i="49" s="1" a="1"/>
  <c r="A26" i="49" s="1"/>
  <c r="H14" i="47"/>
  <c r="A14" i="47" s="1" a="1"/>
  <c r="A14" i="47" s="1"/>
  <c r="I10" i="49" s="1"/>
  <c r="H10" i="49" s="1"/>
  <c r="H9" i="47"/>
  <c r="CA14" i="47"/>
  <c r="E7" i="47"/>
  <c r="N8" i="47"/>
  <c r="O8" i="47" s="1"/>
  <c r="CA8" i="47"/>
  <c r="L8" i="47"/>
  <c r="M8" i="47" s="1"/>
  <c r="H16" i="47"/>
  <c r="A16" i="47" s="1" a="1"/>
  <c r="A16" i="47" s="1"/>
  <c r="I22" i="49" s="1"/>
  <c r="H22" i="49" s="1"/>
  <c r="A22" i="49" s="1" a="1"/>
  <c r="A22" i="49" s="1"/>
  <c r="CA9" i="47"/>
  <c r="N9" i="47"/>
  <c r="O9" i="47" s="1"/>
  <c r="O16" i="47"/>
  <c r="K14" i="47"/>
  <c r="K9" i="47"/>
  <c r="L14" i="47"/>
  <c r="M14" i="47" s="1"/>
  <c r="N18" i="47"/>
  <c r="CA18" i="47"/>
  <c r="L18" i="47"/>
  <c r="M18" i="47" s="1"/>
  <c r="K18" i="47"/>
  <c r="H8" i="47"/>
  <c r="L23" i="47"/>
  <c r="M23" i="47" s="1"/>
  <c r="CA23" i="47"/>
  <c r="N23" i="47"/>
  <c r="K23" i="47"/>
  <c r="P12" i="47"/>
  <c r="E12" i="47" s="1"/>
  <c r="Q7" i="47"/>
  <c r="R7" i="47"/>
  <c r="P19" i="47"/>
  <c r="R19" i="47" s="1"/>
  <c r="P4" i="47"/>
  <c r="R4" i="47" s="1"/>
  <c r="CB5" i="47"/>
  <c r="O5" i="47"/>
  <c r="O11" i="47"/>
  <c r="CB11" i="47"/>
  <c r="O14" i="47"/>
  <c r="CB14" i="47"/>
  <c r="O21" i="47"/>
  <c r="CB21" i="47"/>
  <c r="CB17" i="47"/>
  <c r="O17" i="47"/>
  <c r="P16" i="47"/>
  <c r="P15" i="47"/>
  <c r="E15" i="47" s="1"/>
  <c r="O6" i="47"/>
  <c r="CB6" i="47"/>
  <c r="R12" i="47" l="1"/>
  <c r="CB8" i="47"/>
  <c r="CB9" i="47"/>
  <c r="E16" i="47"/>
  <c r="E4" i="47"/>
  <c r="O18" i="47"/>
  <c r="CB18" i="47"/>
  <c r="Q4" i="47"/>
  <c r="CB23" i="47"/>
  <c r="O23" i="47"/>
  <c r="P8" i="47"/>
  <c r="Q8" i="47" s="1"/>
  <c r="Q12" i="47"/>
  <c r="E19" i="47"/>
  <c r="Q19" i="47"/>
  <c r="P21" i="47"/>
  <c r="R21" i="47" s="1"/>
  <c r="P14" i="47"/>
  <c r="E14" i="47" s="1"/>
  <c r="P6" i="47"/>
  <c r="E6" i="47" s="1"/>
  <c r="R15" i="47"/>
  <c r="Q15" i="47"/>
  <c r="P5" i="47"/>
  <c r="E5" i="47" s="1"/>
  <c r="P17" i="47"/>
  <c r="R16" i="47"/>
  <c r="Q16" i="47"/>
  <c r="P11" i="47"/>
  <c r="E11" i="47" s="1"/>
  <c r="P9" i="47" l="1"/>
  <c r="E9" i="47" s="1"/>
  <c r="P18" i="47"/>
  <c r="R18" i="47" s="1"/>
  <c r="Q9" i="47"/>
  <c r="E21" i="47"/>
  <c r="Q21" i="47"/>
  <c r="P23" i="47"/>
  <c r="R23" i="47" s="1"/>
  <c r="E18" i="47"/>
  <c r="E23" i="47"/>
  <c r="Q18" i="47"/>
  <c r="R14" i="47"/>
  <c r="Q14" i="47"/>
  <c r="R8" i="47"/>
  <c r="E8" i="47"/>
  <c r="Q17" i="47"/>
  <c r="R17" i="47"/>
  <c r="R6" i="47"/>
  <c r="Q6" i="47"/>
  <c r="E17" i="47"/>
  <c r="Q5" i="47"/>
  <c r="R5" i="47"/>
  <c r="R11" i="47"/>
  <c r="Q11" i="47"/>
  <c r="R9" i="47" l="1"/>
  <c r="Q23" i="47"/>
  <c r="A10" i="47" a="1"/>
  <c r="A10" i="47" s="1"/>
  <c r="A5" i="47" l="1" a="1"/>
  <c r="A5" i="47" s="1"/>
  <c r="I5" i="49" s="1"/>
  <c r="H5" i="49" s="1"/>
  <c r="A5" i="49" s="1" a="1"/>
  <c r="A5" i="49" s="1"/>
  <c r="A6" i="47" a="1"/>
  <c r="A6" i="47" s="1"/>
  <c r="A8" i="47" a="1"/>
  <c r="A8" i="47" s="1"/>
  <c r="I8" i="49" s="1"/>
  <c r="H8" i="49" s="1"/>
  <c r="A4" i="47" a="1"/>
  <c r="A4" i="47" s="1"/>
  <c r="I4" i="49" s="1"/>
  <c r="H4" i="49" s="1"/>
  <c r="A12" i="47" a="1"/>
  <c r="A12" i="47" s="1"/>
  <c r="A7" i="47" a="1"/>
  <c r="A7" i="47" s="1"/>
  <c r="I7" i="49" s="1"/>
  <c r="H7" i="49" s="1"/>
  <c r="A7" i="49" s="1" a="1"/>
  <c r="A7" i="49" s="1"/>
  <c r="A11" i="47" a="1"/>
  <c r="A11" i="47" s="1"/>
  <c r="I9" i="49" s="1"/>
  <c r="H9" i="49" s="1"/>
  <c r="A9" i="47" a="1"/>
  <c r="A9" i="47" s="1"/>
  <c r="A10" i="49" l="1" a="1"/>
  <c r="A10" i="49" s="1"/>
  <c r="A18" i="49" a="1"/>
  <c r="A18" i="49" s="1"/>
  <c r="A6" i="49" a="1"/>
  <c r="A6" i="49" s="1"/>
  <c r="D3" i="11"/>
  <c r="D8" i="11"/>
  <c r="D7" i="11"/>
  <c r="C5" i="11"/>
  <c r="C7" i="11"/>
  <c r="C9" i="11"/>
  <c r="D5" i="11"/>
  <c r="D4" i="11"/>
  <c r="C3" i="11"/>
  <c r="D2" i="11"/>
  <c r="C4" i="11"/>
  <c r="D9" i="11"/>
  <c r="C2" i="11"/>
  <c r="D6" i="11"/>
  <c r="C8" i="11"/>
  <c r="C6" i="11"/>
  <c r="A9" i="49" a="1"/>
  <c r="A9" i="49" s="1"/>
  <c r="A11" i="49" a="1"/>
  <c r="A11" i="49" s="1"/>
  <c r="A8" i="49" a="1"/>
  <c r="A8" i="49" s="1"/>
  <c r="A4" i="49" a="1"/>
  <c r="A4" i="49" s="1"/>
  <c r="D21" i="11" l="1"/>
  <c r="D23" i="11"/>
  <c r="C23" i="11"/>
  <c r="D19" i="11"/>
  <c r="D20" i="11"/>
  <c r="C22" i="11"/>
  <c r="C20" i="11"/>
  <c r="D18" i="11"/>
  <c r="D22" i="11"/>
  <c r="C19" i="11"/>
  <c r="C21" i="11"/>
  <c r="C18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<sst xmlns="http://schemas.openxmlformats.org/spreadsheetml/2006/main" count="1754" uniqueCount="176">
  <si>
    <t>Province</t>
  </si>
  <si>
    <t>Rank</t>
  </si>
  <si>
    <t>Total Points</t>
  </si>
  <si>
    <t>ON</t>
  </si>
  <si>
    <t>AB</t>
  </si>
  <si>
    <t>BC</t>
  </si>
  <si>
    <t>QC</t>
  </si>
  <si>
    <t>DD</t>
  </si>
  <si>
    <t>Team Score</t>
  </si>
  <si>
    <t>Standing</t>
  </si>
  <si>
    <t>Best International Difference</t>
  </si>
  <si>
    <t>EX</t>
  </si>
  <si>
    <t>Total</t>
  </si>
  <si>
    <t>Prelim</t>
  </si>
  <si>
    <t>Athlete</t>
  </si>
  <si>
    <t>Penalty</t>
  </si>
  <si>
    <t>Location</t>
  </si>
  <si>
    <t>Routine</t>
  </si>
  <si>
    <t>Show data entry cells</t>
  </si>
  <si>
    <t>Hide data entry cells</t>
  </si>
  <si>
    <t>Sort names into correct order</t>
  </si>
  <si>
    <t>Team Members:</t>
  </si>
  <si>
    <t>Member</t>
  </si>
  <si>
    <t>Last Updated:</t>
  </si>
  <si>
    <t>National Team Score</t>
  </si>
  <si>
    <t>Worlds Team Score</t>
  </si>
  <si>
    <t>Worlds Team DD</t>
  </si>
  <si>
    <t>National Team DD</t>
  </si>
  <si>
    <t>Injury</t>
  </si>
  <si>
    <t>Injury Score</t>
  </si>
  <si>
    <t>Year of Birth</t>
  </si>
  <si>
    <t>Select</t>
  </si>
  <si>
    <t>Delete oldest domestic trial</t>
  </si>
  <si>
    <t>Add a new athlete to:</t>
  </si>
  <si>
    <t>Remove athlete:</t>
  </si>
  <si>
    <t>Delete oldest international competitions</t>
  </si>
  <si>
    <t>FLYNN, Gabby</t>
  </si>
  <si>
    <t>ZUREK, Nolan</t>
  </si>
  <si>
    <t>Worlds Eligible</t>
  </si>
  <si>
    <t>DODD, Gavin</t>
  </si>
  <si>
    <t>SOEHN, Kalena</t>
  </si>
  <si>
    <t>MEYER, Jeremy</t>
  </si>
  <si>
    <t>VIAU, Nathan</t>
  </si>
  <si>
    <t>MALLAIS, Rylan</t>
  </si>
  <si>
    <t>D'HONDT, Luke</t>
  </si>
  <si>
    <t>2025 Worlds (Nov 9)</t>
  </si>
  <si>
    <t>2025 WAGC (Nov 16)</t>
  </si>
  <si>
    <t>Senior-M</t>
  </si>
  <si>
    <t>Senior-W</t>
  </si>
  <si>
    <t>BLOOM, Tristan</t>
  </si>
  <si>
    <t>OUGHTRED, Max</t>
  </si>
  <si>
    <t>NELSON, Cooper</t>
  </si>
  <si>
    <t>MORRISON, Xavier</t>
  </si>
  <si>
    <t>LANQUETIN, Yannick</t>
  </si>
  <si>
    <t>COUTURE, Joey</t>
  </si>
  <si>
    <t>On Senior Team</t>
  </si>
  <si>
    <t>Development-M</t>
  </si>
  <si>
    <t>Development-W</t>
  </si>
  <si>
    <t>KUZNAK, Sienna</t>
  </si>
  <si>
    <t>LEPORÉ, Amylia</t>
  </si>
  <si>
    <t>GOOD, Hayden</t>
  </si>
  <si>
    <t>Junior-M</t>
  </si>
  <si>
    <t>Junior-W</t>
  </si>
  <si>
    <t>RENOU, Brayden</t>
  </si>
  <si>
    <t>NS</t>
  </si>
  <si>
    <t>ROBERTSON, Griffyn</t>
  </si>
  <si>
    <t>ARMSTRONG, Mark</t>
  </si>
  <si>
    <t>GIBBS, Gavin</t>
  </si>
  <si>
    <t>WEHAGE, Connor</t>
  </si>
  <si>
    <t>SK</t>
  </si>
  <si>
    <t>HARBO, Owen</t>
  </si>
  <si>
    <t>KOCAK, Jonas</t>
  </si>
  <si>
    <t>CANN, Jackson</t>
  </si>
  <si>
    <t>PINSK, Benjamin</t>
  </si>
  <si>
    <t>MB</t>
  </si>
  <si>
    <t>National Team DD and Score</t>
  </si>
  <si>
    <t>Best Prelim</t>
  </si>
  <si>
    <t>Best International Diff</t>
  </si>
  <si>
    <t>Q1 Pass 1</t>
  </si>
  <si>
    <t>Q1 Pass 2</t>
  </si>
  <si>
    <t>F1</t>
  </si>
  <si>
    <t>F2</t>
  </si>
  <si>
    <t>Prelim DD</t>
  </si>
  <si>
    <t>Finals DD</t>
  </si>
  <si>
    <t>Finals</t>
  </si>
  <si>
    <t>Q1</t>
  </si>
  <si>
    <t>Q2</t>
  </si>
  <si>
    <t>Q1 DD</t>
  </si>
  <si>
    <t>Bonus</t>
  </si>
  <si>
    <t>Best Pass</t>
  </si>
  <si>
    <t>2nd Best
Pass</t>
  </si>
  <si>
    <t>Pass 1</t>
  </si>
  <si>
    <t>Pass 2</t>
  </si>
  <si>
    <t>Pass 3</t>
  </si>
  <si>
    <t>Pass 4</t>
  </si>
  <si>
    <t>Pass 1 DD</t>
  </si>
  <si>
    <t>Pass 2 DD</t>
  </si>
  <si>
    <t>Pass 3 DD</t>
  </si>
  <si>
    <t>Pass 4 DD</t>
  </si>
  <si>
    <t>Pass</t>
  </si>
  <si>
    <t>Q2 DD</t>
  </si>
  <si>
    <t>F1 DD</t>
  </si>
  <si>
    <t>F2 DD</t>
  </si>
  <si>
    <t>Performance Score</t>
  </si>
  <si>
    <t>Performance DD</t>
  </si>
  <si>
    <t>HOWELL, Kayla</t>
  </si>
  <si>
    <t>OLSEN, Brooklyn</t>
  </si>
  <si>
    <t>WILL, Rebecca</t>
  </si>
  <si>
    <t>WAX, Sophie</t>
  </si>
  <si>
    <t>DODD, Kristina</t>
  </si>
  <si>
    <t>PARHAR, Jasmine</t>
  </si>
  <si>
    <t>KWASNIAK, Alicja</t>
  </si>
  <si>
    <t>SCHMIDT, Makena</t>
  </si>
  <si>
    <t>PEPPER, Emily</t>
  </si>
  <si>
    <t>ANGST, Caelyn</t>
  </si>
  <si>
    <t>DEOBALD, Addis</t>
  </si>
  <si>
    <t>PEPPER, Nix</t>
  </si>
  <si>
    <t>BISHOP, Brody</t>
  </si>
  <si>
    <t>MICHALSKI, Rylan</t>
  </si>
  <si>
    <t>PETERS, Lane</t>
  </si>
  <si>
    <t>KISKO, Roman</t>
  </si>
  <si>
    <t>WYGIERA, Liam</t>
  </si>
  <si>
    <t>VAN ESSEN, Oliver</t>
  </si>
  <si>
    <t>HADD, Benjamin</t>
  </si>
  <si>
    <t>BONDY, Philippe</t>
  </si>
  <si>
    <t>WILSON, Carter</t>
  </si>
  <si>
    <t>LEE-McMEEKEN, Brooklyn</t>
  </si>
  <si>
    <t>ULMER, Lily-ann</t>
  </si>
  <si>
    <t>BERG, Katie</t>
  </si>
  <si>
    <t>JEAN-LOUIS, Jayda</t>
  </si>
  <si>
    <t>VAN BALKOM, Marlee</t>
  </si>
  <si>
    <t>CHEW, Makena</t>
  </si>
  <si>
    <t>FLETCHER-BOSTWICK, Aja</t>
  </si>
  <si>
    <t>GRANT, Sienna</t>
  </si>
  <si>
    <t>MOUNTAIN, Dani</t>
  </si>
  <si>
    <t>STEFURA, Kenadie</t>
  </si>
  <si>
    <t>TOSH, Megan</t>
  </si>
  <si>
    <t>SKJODT, Sophie</t>
  </si>
  <si>
    <t>KWAN, Sienna</t>
  </si>
  <si>
    <t>BRASSART, Lola-Rose</t>
  </si>
  <si>
    <t>MILLIN, Declan</t>
  </si>
  <si>
    <t>GORMICK, Liam</t>
  </si>
  <si>
    <t>MACINTOSH, Braxton</t>
  </si>
  <si>
    <t>TOLOSA, Kaizen</t>
  </si>
  <si>
    <t>MACDOUGALL, Kira</t>
  </si>
  <si>
    <t>SANDERSON, Aurora</t>
  </si>
  <si>
    <t>BRENNER, Adin</t>
  </si>
  <si>
    <t>2026 Elite Canada</t>
  </si>
  <si>
    <t>2026 Nationals</t>
  </si>
  <si>
    <t>BING, Noah</t>
  </si>
  <si>
    <t>HUMBERSTONE, Joey</t>
  </si>
  <si>
    <t>Elite Canada</t>
  </si>
  <si>
    <t>LEE-MCMEEKEN, Brooklyn</t>
  </si>
  <si>
    <t>LEFTERUK, Ryan</t>
  </si>
  <si>
    <t>CROTEAU, Mathias</t>
  </si>
  <si>
    <t>AZARKIEWICZ, Gage</t>
  </si>
  <si>
    <t>RAJOTTE, Justin</t>
  </si>
  <si>
    <t>PERRIN, Nathan</t>
  </si>
  <si>
    <t>OUGHTRED, Maxwell</t>
  </si>
  <si>
    <t>HEAD-MORENO, Bianca</t>
  </si>
  <si>
    <t>BILTON, Tayte</t>
  </si>
  <si>
    <t>LUM, Brooklyn</t>
  </si>
  <si>
    <t>COREY, Kade</t>
  </si>
  <si>
    <t>CAHILL, Benjamin</t>
  </si>
  <si>
    <t>MIGNEAULT, Loïc</t>
  </si>
  <si>
    <t>CREALLY, Joe</t>
  </si>
  <si>
    <t>WANG, Ayden</t>
  </si>
  <si>
    <t>ROY, Alexi</t>
  </si>
  <si>
    <t>MILLER, Tessa</t>
  </si>
  <si>
    <t>HUGHES, Arya</t>
  </si>
  <si>
    <t>FUSS, Adeline</t>
  </si>
  <si>
    <t>ANDERSON, Willow</t>
  </si>
  <si>
    <t>SCHERPENISSE, Brooklyn</t>
  </si>
  <si>
    <t>DIXON, Estella</t>
  </si>
  <si>
    <t>THOMPSON, Ella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</si>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</sst>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[$-F800]dddd\,\ mmmm\ dd\,\ yyyy"/>
  </numFmts>
  <fonts count="18" x14ac:knownFonts="1">
    <font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Wingdings 2"/>
      <charset val="2"/>
    </font>
    <font>
      <sz val="12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B0F0"/>
      <name val="Calibri"/>
      <family val="2"/>
      <scheme val="minor"/>
    </font>
    <font>
      <sz val="13"/>
      <color rgb="FF333333"/>
      <name val="Verdana"/>
      <family val="2"/>
    </font>
    <font>
      <sz val="10"/>
      <color rgb="FF000000"/>
      <name val="Helvetica"/>
      <family val="2"/>
    </font>
    <font>
      <sz val="12"/>
      <color rgb="FF000000"/>
      <name val="Calibri"/>
      <family val="2"/>
    </font>
    <font>
      <sz val="12"/>
      <color rgb="FFC00000"/>
      <name val="Calibri"/>
      <family val="2"/>
      <scheme val="minor"/>
    </font>
    <font>
      <sz val="12"/>
      <color rgb="FFFFB000"/>
      <name val="Calibri"/>
      <family val="2"/>
      <scheme val="minor"/>
    </font>
    <font>
      <sz val="12"/>
      <name val="Wingdings 2"/>
      <charset val="2"/>
    </font>
    <font>
      <sz val="12"/>
      <color rgb="FFFF7000"/>
      <name val="Calibri"/>
      <family val="2"/>
      <scheme val="minor"/>
    </font>
    <font>
      <sz val="12"/>
      <color rgb="FF002060"/>
      <name val="Calibri"/>
      <family val="2"/>
      <scheme val="minor"/>
    </font>
    <font>
      <sz val="12"/>
      <color rgb="FF07B459"/>
      <name val="Calibri"/>
      <family val="2"/>
      <scheme val="minor"/>
    </font>
    <font>
      <sz val="12"/>
      <color rgb="FF000000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D1AD"/>
        <bgColor indexed="64"/>
      </patternFill>
    </fill>
    <fill>
      <patternFill patternType="solid">
        <fgColor rgb="FFFFB6B7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/>
        <bgColor rgb="FF000000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49">
    <xf numFmtId="0" fontId="0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57">
    <xf numFmtId="0" fontId="0" fillId="0" borderId="0" xfId="0"/>
    <xf numFmtId="164" fontId="0" fillId="0" borderId="0" xfId="0" applyNumberFormat="1"/>
    <xf numFmtId="0" fontId="3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4" fillId="0" borderId="0" xfId="0" applyFont="1"/>
    <xf numFmtId="0" fontId="0" fillId="2" borderId="0" xfId="0" applyFill="1"/>
    <xf numFmtId="0" fontId="0" fillId="3" borderId="0" xfId="0" applyFill="1"/>
    <xf numFmtId="164" fontId="0" fillId="3" borderId="0" xfId="0" applyNumberFormat="1" applyFill="1"/>
    <xf numFmtId="164" fontId="2" fillId="0" borderId="0" xfId="0" applyNumberFormat="1" applyFont="1"/>
    <xf numFmtId="0" fontId="8" fillId="0" borderId="0" xfId="0" applyFont="1"/>
    <xf numFmtId="164" fontId="0" fillId="3" borderId="0" xfId="0" applyNumberFormat="1" applyFill="1" applyAlignment="1">
      <alignment horizontal="center"/>
    </xf>
    <xf numFmtId="0" fontId="0" fillId="0" borderId="0" xfId="0" applyAlignment="1">
      <alignment horizontal="left"/>
    </xf>
    <xf numFmtId="0" fontId="0" fillId="3" borderId="0" xfId="0" applyFill="1" applyAlignment="1">
      <alignment horizontal="center"/>
    </xf>
    <xf numFmtId="0" fontId="0" fillId="2" borderId="0" xfId="0" applyFill="1" applyAlignment="1">
      <alignment horizontal="center"/>
    </xf>
    <xf numFmtId="164" fontId="0" fillId="2" borderId="1" xfId="0" applyNumberFormat="1" applyFill="1" applyBorder="1" applyProtection="1">
      <protection locked="0"/>
    </xf>
    <xf numFmtId="164" fontId="0" fillId="3" borderId="1" xfId="0" applyNumberFormat="1" applyFill="1" applyBorder="1" applyProtection="1">
      <protection locked="0"/>
    </xf>
    <xf numFmtId="164" fontId="4" fillId="0" borderId="0" xfId="0" applyNumberFormat="1" applyFont="1"/>
    <xf numFmtId="0" fontId="12" fillId="5" borderId="0" xfId="0" applyFont="1" applyFill="1"/>
    <xf numFmtId="0" fontId="7" fillId="6" borderId="0" xfId="0" applyFont="1" applyFill="1"/>
    <xf numFmtId="164" fontId="13" fillId="2" borderId="1" xfId="0" applyNumberFormat="1" applyFont="1" applyFill="1" applyBorder="1" applyAlignment="1" applyProtection="1">
      <alignment horizontal="center"/>
      <protection locked="0"/>
    </xf>
    <xf numFmtId="164" fontId="13" fillId="3" borderId="1" xfId="0" applyNumberFormat="1" applyFont="1" applyFill="1" applyBorder="1" applyAlignment="1" applyProtection="1">
      <alignment horizontal="center"/>
      <protection locked="0"/>
    </xf>
    <xf numFmtId="0" fontId="11" fillId="0" borderId="0" xfId="0" applyFont="1"/>
    <xf numFmtId="0" fontId="14" fillId="8" borderId="0" xfId="0" applyFont="1" applyFill="1"/>
    <xf numFmtId="0" fontId="1" fillId="9" borderId="0" xfId="0" applyFont="1" applyFill="1"/>
    <xf numFmtId="0" fontId="15" fillId="10" borderId="0" xfId="0" applyFont="1" applyFill="1"/>
    <xf numFmtId="0" fontId="16" fillId="4" borderId="0" xfId="0" applyFont="1" applyFill="1"/>
    <xf numFmtId="0" fontId="0" fillId="0" borderId="0" xfId="0" applyAlignment="1">
      <alignment horizontal="center"/>
    </xf>
    <xf numFmtId="164" fontId="0" fillId="2" borderId="0" xfId="0" applyNumberFormat="1" applyFill="1" applyAlignment="1">
      <alignment horizontal="center"/>
    </xf>
    <xf numFmtId="164" fontId="12" fillId="5" borderId="0" xfId="0" applyNumberFormat="1" applyFont="1" applyFill="1" applyAlignment="1" applyProtection="1">
      <alignment horizontal="center"/>
      <protection locked="0"/>
    </xf>
    <xf numFmtId="164" fontId="1" fillId="9" borderId="0" xfId="0" applyNumberFormat="1" applyFont="1" applyFill="1" applyAlignment="1" applyProtection="1">
      <alignment horizontal="center"/>
      <protection locked="0"/>
    </xf>
    <xf numFmtId="164" fontId="16" fillId="4" borderId="0" xfId="0" applyNumberFormat="1" applyFont="1" applyFill="1" applyAlignment="1" applyProtection="1">
      <alignment horizontal="center"/>
      <protection locked="0"/>
    </xf>
    <xf numFmtId="164" fontId="7" fillId="6" borderId="0" xfId="0" applyNumberFormat="1" applyFont="1" applyFill="1" applyAlignment="1" applyProtection="1">
      <alignment horizontal="center"/>
      <protection locked="0"/>
    </xf>
    <xf numFmtId="164" fontId="15" fillId="10" borderId="0" xfId="0" applyNumberFormat="1" applyFont="1" applyFill="1" applyAlignment="1" applyProtection="1">
      <alignment horizontal="center"/>
      <protection locked="0"/>
    </xf>
    <xf numFmtId="0" fontId="0" fillId="7" borderId="0" xfId="0" applyFill="1" applyAlignment="1">
      <alignment horizontal="center"/>
    </xf>
    <xf numFmtId="164" fontId="0" fillId="7" borderId="0" xfId="0" applyNumberFormat="1" applyFill="1" applyAlignment="1">
      <alignment horizontal="center"/>
    </xf>
    <xf numFmtId="0" fontId="17" fillId="11" borderId="0" xfId="0" applyFont="1" applyFill="1" applyAlignment="1">
      <alignment horizontal="center"/>
    </xf>
    <xf numFmtId="0" fontId="17" fillId="3" borderId="0" xfId="0" applyFont="1" applyFill="1" applyAlignment="1">
      <alignment horizontal="center"/>
    </xf>
    <xf numFmtId="0" fontId="17" fillId="2" borderId="0" xfId="0" applyFont="1" applyFill="1" applyAlignment="1">
      <alignment horizontal="center"/>
    </xf>
    <xf numFmtId="164" fontId="0" fillId="2" borderId="1" xfId="0" applyNumberFormat="1" applyFill="1" applyBorder="1" applyAlignment="1" applyProtection="1">
      <alignment horizontal="left"/>
      <protection locked="0"/>
    </xf>
    <xf numFmtId="164" fontId="14" fillId="8" borderId="0" xfId="0" applyNumberFormat="1" applyFont="1" applyFill="1" applyAlignment="1" applyProtection="1">
      <alignment horizontal="center"/>
      <protection locked="0"/>
    </xf>
    <xf numFmtId="2" fontId="0" fillId="0" borderId="0" xfId="0" applyNumberFormat="1"/>
    <xf numFmtId="164" fontId="4" fillId="2" borderId="0" xfId="0" applyNumberFormat="1" applyFont="1" applyFill="1" applyAlignment="1">
      <alignment horizontal="center"/>
    </xf>
    <xf numFmtId="164" fontId="4" fillId="3" borderId="0" xfId="0" applyNumberFormat="1" applyFont="1" applyFill="1" applyAlignment="1">
      <alignment horizontal="center"/>
    </xf>
    <xf numFmtId="165" fontId="0" fillId="0" borderId="0" xfId="0" applyNumberFormat="1" applyAlignment="1">
      <alignment horizontal="left"/>
    </xf>
    <xf numFmtId="0" fontId="0" fillId="3" borderId="0" xfId="0" applyFill="1" applyAlignment="1">
      <alignment horizontal="center"/>
    </xf>
    <xf numFmtId="0" fontId="17" fillId="3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17" fillId="11" borderId="0" xfId="0" applyFont="1" applyFill="1" applyAlignment="1">
      <alignment horizontal="center"/>
    </xf>
    <xf numFmtId="0" fontId="2" fillId="2" borderId="0" xfId="0" applyFont="1" applyFill="1" applyAlignment="1" applyProtection="1">
      <alignment horizontal="center"/>
      <protection locked="0"/>
    </xf>
    <xf numFmtId="0" fontId="2" fillId="3" borderId="0" xfId="0" applyFont="1" applyFill="1" applyAlignment="1" applyProtection="1">
      <alignment horizontal="center"/>
      <protection locked="0"/>
    </xf>
    <xf numFmtId="0" fontId="2" fillId="7" borderId="0" xfId="0" applyFont="1" applyFill="1" applyAlignment="1" applyProtection="1">
      <alignment horizontal="center"/>
      <protection locked="0"/>
    </xf>
    <xf numFmtId="0" fontId="17" fillId="2" borderId="0" xfId="0" applyFont="1" applyFill="1" applyAlignment="1">
      <alignment horizontal="center"/>
    </xf>
    <xf numFmtId="0" fontId="2" fillId="3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 vertical="center" wrapText="1"/>
    </xf>
    <xf numFmtId="0" fontId="2" fillId="3" borderId="0" xfId="0" applyFont="1" applyFill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</cellXfs>
  <cellStyles count="49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Normal" xfId="0" builtinId="0"/>
  </cellStyles>
  <dxfs count="262"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theme="7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theme="7"/>
      </font>
      <fill>
        <patternFill>
          <bgColor rgb="FFFFF3CC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>
          <bgColor rgb="FFFFB6B7"/>
        </patternFill>
      </fill>
    </dxf>
    <dxf>
      <font>
        <color theme="7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7000"/>
      </font>
      <fill>
        <patternFill>
          <bgColor rgb="FFFFD1AD"/>
        </patternFill>
      </fill>
    </dxf>
    <dxf>
      <font>
        <color theme="7"/>
      </font>
      <fill>
        <patternFill>
          <bgColor rgb="FFFFF3CC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9C0006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0000"/>
      </font>
      <fill>
        <patternFill>
          <bgColor rgb="FFFFB6B7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theme="7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theme="7"/>
      </font>
      <fill>
        <patternFill>
          <bgColor rgb="FFFFF3CC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>
          <bgColor rgb="FFFFB6B7"/>
        </patternFill>
      </fill>
    </dxf>
    <dxf>
      <font>
        <color theme="7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7000"/>
      </font>
      <fill>
        <patternFill>
          <bgColor rgb="FFFFD1AD"/>
        </patternFill>
      </fill>
    </dxf>
    <dxf>
      <font>
        <color theme="7"/>
      </font>
      <fill>
        <patternFill>
          <bgColor rgb="FFFFF3CC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9C0006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0000"/>
      </font>
      <fill>
        <patternFill>
          <bgColor rgb="FFFFB6B7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theme="7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theme="7"/>
      </font>
      <fill>
        <patternFill>
          <bgColor rgb="FFFFF3CC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>
          <bgColor rgb="FFFFB6B7"/>
        </patternFill>
      </fill>
    </dxf>
    <dxf>
      <font>
        <color theme="7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7000"/>
      </font>
      <fill>
        <patternFill>
          <bgColor rgb="FFFFD1AD"/>
        </patternFill>
      </fill>
    </dxf>
    <dxf>
      <font>
        <color theme="7"/>
      </font>
      <fill>
        <patternFill>
          <bgColor rgb="FFFFF3CC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9C0006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0000"/>
      </font>
      <fill>
        <patternFill>
          <bgColor rgb="FFFFB6B7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theme="7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theme="7"/>
      </font>
      <fill>
        <patternFill>
          <bgColor rgb="FFFFF3CC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>
          <bgColor rgb="FFFFB6B7"/>
        </patternFill>
      </fill>
    </dxf>
    <dxf>
      <font>
        <color theme="7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7000"/>
      </font>
      <fill>
        <patternFill>
          <bgColor rgb="FFFFD1AD"/>
        </patternFill>
      </fill>
    </dxf>
    <dxf>
      <font>
        <color theme="7"/>
      </font>
      <fill>
        <patternFill>
          <bgColor rgb="FFFFF3CC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9C0006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0000"/>
      </font>
      <fill>
        <patternFill>
          <bgColor rgb="FFFFB6B7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theme="7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theme="7"/>
      </font>
      <fill>
        <patternFill>
          <bgColor rgb="FFFFF3CC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>
          <bgColor rgb="FFFFB6B7"/>
        </patternFill>
      </fill>
    </dxf>
    <dxf>
      <font>
        <color theme="7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7000"/>
      </font>
      <fill>
        <patternFill>
          <bgColor rgb="FFFFD1AD"/>
        </patternFill>
      </fill>
    </dxf>
    <dxf>
      <font>
        <color theme="7"/>
      </font>
      <fill>
        <patternFill>
          <bgColor rgb="FFFFF3CC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9C0006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0000"/>
      </font>
      <fill>
        <patternFill>
          <bgColor rgb="FFFFB6B7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theme="7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theme="7"/>
      </font>
      <fill>
        <patternFill>
          <bgColor rgb="FFFFF3CC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>
          <bgColor rgb="FFFFB6B7"/>
        </patternFill>
      </fill>
    </dxf>
    <dxf>
      <font>
        <color theme="7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7000"/>
      </font>
      <fill>
        <patternFill>
          <bgColor rgb="FFFFD1AD"/>
        </patternFill>
      </fill>
    </dxf>
    <dxf>
      <font>
        <color theme="7"/>
      </font>
      <fill>
        <patternFill>
          <bgColor rgb="FFFFF3CC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9C0006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0000"/>
      </font>
      <fill>
        <patternFill>
          <bgColor rgb="FFFFB6B7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FF0000"/>
      </font>
      <fill>
        <patternFill>
          <bgColor rgb="FFFFB6B7"/>
        </patternFill>
      </fill>
    </dxf>
  </dxfs>
  <tableStyles count="0" defaultTableStyle="TableStyleMedium9" defaultPivotStyle="PivotStyleMedium7"/>
  <colors>
    <mruColors>
      <color rgb="FFE6C6FB"/>
      <color rgb="FFB4C6E7"/>
      <color rgb="FFFFF3CC"/>
      <color rgb="FFFFD1AD"/>
      <color rgb="FFFF03FD"/>
      <color rgb="FFFFBFFE"/>
      <color rgb="FFFFB5B7"/>
      <color rgb="FFFF7000"/>
      <color rgb="FF9C0006"/>
      <color rgb="FFFFA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38</xdr:row>
          <xdr:rowOff>25400</xdr:rowOff>
        </xdr:from>
        <xdr:to>
          <xdr:col>0</xdr:col>
          <xdr:colOff>965200</xdr:colOff>
          <xdr:row>38</xdr:row>
          <xdr:rowOff>177800</xdr:rowOff>
        </xdr:to>
        <xdr:sp macro="" textlink="">
          <xdr:nvSpPr>
            <xdr:cNvPr id="2049" name="Sort Names" descr="Sort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Sort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39</xdr:row>
          <xdr:rowOff>25400</xdr:rowOff>
        </xdr:from>
        <xdr:to>
          <xdr:col>0</xdr:col>
          <xdr:colOff>965200</xdr:colOff>
          <xdr:row>39</xdr:row>
          <xdr:rowOff>190500</xdr:rowOff>
        </xdr:to>
        <xdr:sp macro="" textlink="">
          <xdr:nvSpPr>
            <xdr:cNvPr id="2050" name="Show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Show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40</xdr:row>
          <xdr:rowOff>38100</xdr:rowOff>
        </xdr:from>
        <xdr:to>
          <xdr:col>0</xdr:col>
          <xdr:colOff>965200</xdr:colOff>
          <xdr:row>40</xdr:row>
          <xdr:rowOff>190500</xdr:rowOff>
        </xdr:to>
        <xdr:sp macro="" textlink="">
          <xdr:nvSpPr>
            <xdr:cNvPr id="2051" name="Button 3" descr="Hide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41</xdr:row>
          <xdr:rowOff>25400</xdr:rowOff>
        </xdr:from>
        <xdr:to>
          <xdr:col>0</xdr:col>
          <xdr:colOff>977900</xdr:colOff>
          <xdr:row>41</xdr:row>
          <xdr:rowOff>177800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Athlete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43</xdr:row>
          <xdr:rowOff>25400</xdr:rowOff>
        </xdr:from>
        <xdr:to>
          <xdr:col>0</xdr:col>
          <xdr:colOff>977900</xdr:colOff>
          <xdr:row>43</xdr:row>
          <xdr:rowOff>177800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Domestic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44</xdr:row>
          <xdr:rowOff>25400</xdr:rowOff>
        </xdr:from>
        <xdr:to>
          <xdr:col>0</xdr:col>
          <xdr:colOff>965200</xdr:colOff>
          <xdr:row>44</xdr:row>
          <xdr:rowOff>177800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International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42</xdr:row>
          <xdr:rowOff>25400</xdr:rowOff>
        </xdr:from>
        <xdr:to>
          <xdr:col>0</xdr:col>
          <xdr:colOff>977900</xdr:colOff>
          <xdr:row>42</xdr:row>
          <xdr:rowOff>177800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12700</xdr:colOff>
          <xdr:row>43</xdr:row>
          <xdr:rowOff>12700</xdr:rowOff>
        </xdr:from>
        <xdr:to>
          <xdr:col>4</xdr:col>
          <xdr:colOff>495300</xdr:colOff>
          <xdr:row>43</xdr:row>
          <xdr:rowOff>177800</xdr:rowOff>
        </xdr:to>
        <xdr:sp macro="" textlink="">
          <xdr:nvSpPr>
            <xdr:cNvPr id="2062" name="Button 14" descr="Remove Ineligible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 Ineligible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/>
  <dimension ref="A1:F47"/>
  <sheetViews>
    <sheetView tabSelected="1" zoomScaleNormal="100" workbookViewId="0"/>
  </sheetViews>
  <sheetFormatPr baseColWidth="10" defaultRowHeight="16" x14ac:dyDescent="0.2"/>
  <cols>
    <col min="1" max="1" width="14.5" bestFit="1" customWidth="1"/>
    <col min="2" max="2" width="7.1640625" customWidth="1"/>
    <col min="3" max="3" width="26.83203125" customWidth="1"/>
    <col min="4" max="4" width="13.33203125" bestFit="1" customWidth="1"/>
    <col min="5" max="5" width="6.6640625" bestFit="1" customWidth="1"/>
    <col min="6" max="6" width="21.33203125" bestFit="1" customWidth="1"/>
    <col min="7" max="7" width="25.1640625" bestFit="1" customWidth="1"/>
    <col min="8" max="8" width="35" bestFit="1" customWidth="1"/>
    <col min="9" max="9" width="14.83203125" bestFit="1" customWidth="1"/>
    <col min="10" max="10" width="8.1640625" bestFit="1" customWidth="1"/>
    <col min="11" max="11" width="6.6640625" bestFit="1" customWidth="1"/>
    <col min="12" max="12" width="17.5" bestFit="1" customWidth="1"/>
    <col min="13" max="13" width="8.1640625" bestFit="1" customWidth="1"/>
    <col min="14" max="14" width="7.33203125" bestFit="1" customWidth="1"/>
    <col min="15" max="15" width="19.5" bestFit="1" customWidth="1"/>
    <col min="16" max="16" width="8.1640625" bestFit="1" customWidth="1"/>
    <col min="17" max="17" width="7.5" bestFit="1" customWidth="1"/>
    <col min="18" max="18" width="14.1640625" bestFit="1" customWidth="1"/>
    <col min="20" max="20" width="7.33203125" customWidth="1"/>
    <col min="21" max="21" width="16.83203125" customWidth="1"/>
    <col min="22" max="22" width="8.1640625" customWidth="1"/>
    <col min="23" max="23" width="7.33203125" customWidth="1"/>
    <col min="24" max="24" width="16.83203125" customWidth="1"/>
    <col min="25" max="25" width="11" customWidth="1"/>
    <col min="26" max="34" width="10.83203125" customWidth="1"/>
    <col min="41" max="55" width="10.83203125" customWidth="1"/>
    <col min="62" max="76" width="10.83203125" customWidth="1"/>
    <col min="86" max="100" width="10.83203125" customWidth="1"/>
    <col min="107" max="121" width="10.83203125" customWidth="1"/>
    <col min="128" max="142" width="10.83203125" customWidth="1"/>
    <col min="149" max="163" width="10.83203125" customWidth="1"/>
    <col min="170" max="184" width="10.83203125" customWidth="1"/>
    <col min="191" max="205" width="10.83203125" customWidth="1"/>
    <col min="212" max="226" width="10.83203125" customWidth="1"/>
    <col min="233" max="247" width="10.83203125" customWidth="1"/>
    <col min="254" max="268" width="10.83203125" customWidth="1"/>
    <col min="275" max="289" width="10.83203125" customWidth="1"/>
    <col min="296" max="310" width="10.83203125" customWidth="1"/>
    <col min="317" max="331" width="10.83203125" customWidth="1"/>
  </cols>
  <sheetData>
    <row r="1" spans="1:6" x14ac:dyDescent="0.2">
      <c r="A1" t="s">
        <v>21</v>
      </c>
      <c r="B1" t="s">
        <v>1</v>
      </c>
      <c r="C1" t="s">
        <v>22</v>
      </c>
      <c r="D1" s="26" t="s">
        <v>9</v>
      </c>
    </row>
    <row r="2" spans="1:6" x14ac:dyDescent="0.2">
      <c r="A2" s="5" t="s">
        <v>47</v>
      </c>
      <c r="B2" s="5">
        <v>1</v>
      </c>
      <c r="C2" s="5" t="str">
        <f>IF(B2&gt;MAX('Senior-M'!A:A),"",INDEX('Senior-M'!B:B,MATCH(B2,'Senior-M'!A:A,0)))</f>
        <v>ROBERTSON, Griffyn</v>
      </c>
      <c r="D2" s="13" t="str">
        <f>IF(B2&gt;MAX('Senior-M'!A:A),"",INDEX('Senior-M'!H:H,MATCH(B2,'Senior-M'!A:A,0)))</f>
        <v>Worlds Team</v>
      </c>
      <c r="E2" s="11"/>
      <c r="F2" s="11"/>
    </row>
    <row r="3" spans="1:6" x14ac:dyDescent="0.2">
      <c r="A3" s="5"/>
      <c r="B3" s="5">
        <v>2</v>
      </c>
      <c r="C3" s="5" t="str">
        <f>IF(B3&gt;MAX('Senior-M'!A:A),"",INDEX('Senior-M'!B:B,MATCH(B3,'Senior-M'!A:A,0)))</f>
        <v>VIAU, Nathan</v>
      </c>
      <c r="D3" s="13" t="str">
        <f>IF(B3&gt;MAX('Senior-M'!A:A),"",INDEX('Senior-M'!H:H,MATCH(B3,'Senior-M'!A:A,0)))</f>
        <v>Worlds Team</v>
      </c>
      <c r="E3" s="11"/>
      <c r="F3" s="11"/>
    </row>
    <row r="4" spans="1:6" x14ac:dyDescent="0.2">
      <c r="A4" s="5"/>
      <c r="B4" s="5">
        <v>3</v>
      </c>
      <c r="C4" s="5" t="str">
        <f>IF(B4&gt;MAX('Senior-M'!A:A),"",INDEX('Senior-M'!B:B,MATCH(B4,'Senior-M'!A:A,0)))</f>
        <v>DODD, Gavin</v>
      </c>
      <c r="D4" s="13" t="str">
        <f>IF(B4&gt;MAX('Senior-M'!A:A),"",INDEX('Senior-M'!H:H,MATCH(B4,'Senior-M'!A:A,0)))</f>
        <v>Worlds Team</v>
      </c>
      <c r="E4" s="11"/>
      <c r="F4" s="11"/>
    </row>
    <row r="5" spans="1:6" x14ac:dyDescent="0.2">
      <c r="A5" s="5"/>
      <c r="B5" s="5">
        <v>4</v>
      </c>
      <c r="C5" s="5" t="str">
        <f>IF(B5&gt;MAX('Senior-M'!A:A),"",INDEX('Senior-M'!B:B,MATCH(B5,'Senior-M'!A:A,0)))</f>
        <v>HARBO, Owen</v>
      </c>
      <c r="D5" s="13" t="str">
        <f>IF(B5&gt;MAX('Senior-M'!A:A),"",INDEX('Senior-M'!H:H,MATCH(B5,'Senior-M'!A:A,0)))</f>
        <v>Worlds Team</v>
      </c>
    </row>
    <row r="6" spans="1:6" x14ac:dyDescent="0.2">
      <c r="A6" s="5"/>
      <c r="B6" s="5">
        <v>5</v>
      </c>
      <c r="C6" s="5" t="str">
        <f>IF(B6&gt;MAX('Senior-M'!A:A),"",INDEX('Senior-M'!B:B,MATCH(B6,'Senior-M'!A:A,0)))</f>
        <v>GIBBS, Gavin</v>
      </c>
      <c r="D6" s="13" t="str">
        <f>IF(B6&gt;MAX('Senior-M'!A:A),"",INDEX('Senior-M'!H:H,MATCH(B6,'Senior-M'!A:A,0)))</f>
        <v>Worlds Team</v>
      </c>
    </row>
    <row r="7" spans="1:6" x14ac:dyDescent="0.2">
      <c r="A7" s="5"/>
      <c r="B7" s="5">
        <v>6</v>
      </c>
      <c r="C7" s="5" t="str">
        <f>IF(B7&gt;MAX('Senior-M'!A:A),"",INDEX('Senior-M'!B:B,MATCH(B7,'Senior-M'!A:A,0)))</f>
        <v>MEYER, Jeremy</v>
      </c>
      <c r="D7" s="13" t="str">
        <f>IF(B7&gt;MAX('Senior-M'!A:A),"",INDEX('Senior-M'!H:H,MATCH(B7,'Senior-M'!A:A,0)))</f>
        <v>National Team</v>
      </c>
    </row>
    <row r="8" spans="1:6" x14ac:dyDescent="0.2">
      <c r="A8" s="5"/>
      <c r="B8" s="5">
        <v>7</v>
      </c>
      <c r="C8" s="5" t="str">
        <f>IF(B8&gt;MAX('Senior-M'!A:A),"",INDEX('Senior-M'!B:B,MATCH(B8,'Senior-M'!A:A,0)))</f>
        <v>BRENNER, Adin</v>
      </c>
      <c r="D8" s="13" t="str">
        <f>IF(B8&gt;MAX('Senior-M'!A:A),"",INDEX('Senior-M'!H:H,MATCH(B8,'Senior-M'!A:A,0)))</f>
        <v>Worlds Team</v>
      </c>
    </row>
    <row r="9" spans="1:6" x14ac:dyDescent="0.2">
      <c r="A9" s="5"/>
      <c r="B9" s="5">
        <v>8</v>
      </c>
      <c r="C9" s="5" t="str">
        <f>IF(B9&gt;MAX('Senior-M'!A:A),"",INDEX('Senior-M'!B:B,MATCH(B9,'Senior-M'!A:A,0)))</f>
        <v>BLOOM, Tristan</v>
      </c>
      <c r="D9" s="13" t="str">
        <f>IF(B9&gt;MAX('Senior-M'!A:A),"",INDEX('Senior-M'!H:H,MATCH(B9,'Senior-M'!A:A,0)))</f>
        <v>Worlds Team</v>
      </c>
    </row>
    <row r="10" spans="1:6" x14ac:dyDescent="0.2">
      <c r="A10" s="6" t="s">
        <v>48</v>
      </c>
      <c r="B10" s="6">
        <v>1</v>
      </c>
      <c r="C10" s="6" t="str">
        <f>IF(B2&gt;MAX('Senior-W'!A:A),"",INDEX('Senior-W'!B:B,MATCH(B2,'Senior-W'!A:A,0)))</f>
        <v>LEE-MCMEEKEN, Brooklyn</v>
      </c>
      <c r="D10" s="12" t="str">
        <f>IF(B2&gt;MAX('Senior-W'!A:A),"",INDEX('Senior-W'!H:H,MATCH(B2,'Senior-W'!A:A,0)))</f>
        <v>Performance</v>
      </c>
    </row>
    <row r="11" spans="1:6" x14ac:dyDescent="0.2">
      <c r="A11" s="6"/>
      <c r="B11" s="6">
        <v>2</v>
      </c>
      <c r="C11" s="6" t="str">
        <f>IF(B3&gt;MAX('Senior-W'!A:A),"",INDEX('Senior-W'!B:B,MATCH(B3,'Senior-W'!A:A,0)))</f>
        <v>SOEHN, Kalena</v>
      </c>
      <c r="D11" s="12" t="str">
        <f>IF(B3&gt;MAX('Senior-W'!A:A),"",INDEX('Senior-W'!H:H,MATCH(B3,'Senior-W'!A:A,0)))</f>
        <v>Worlds Team</v>
      </c>
    </row>
    <row r="12" spans="1:6" x14ac:dyDescent="0.2">
      <c r="A12" s="6"/>
      <c r="B12" s="6">
        <v>3</v>
      </c>
      <c r="C12" s="6" t="str">
        <f>IF(B4&gt;MAX('Senior-W'!A:A),"",INDEX('Senior-W'!B:B,MATCH(B4,'Senior-W'!A:A,0)))</f>
        <v>DODD, Kristina</v>
      </c>
      <c r="D12" s="12" t="str">
        <f>IF(B4&gt;MAX('Senior-W'!A:A),"",INDEX('Senior-W'!H:H,MATCH(B4,'Senior-W'!A:A,0)))</f>
        <v>National Team</v>
      </c>
    </row>
    <row r="13" spans="1:6" x14ac:dyDescent="0.2">
      <c r="A13" s="6"/>
      <c r="B13" s="6">
        <v>4</v>
      </c>
      <c r="C13" s="6" t="str">
        <f>IF(B5&gt;MAX('Senior-W'!A:A),"",INDEX('Senior-W'!B:B,MATCH(B5,'Senior-W'!A:A,0)))</f>
        <v>KWASNIAK, Alicja</v>
      </c>
      <c r="D13" s="12" t="str">
        <f>IF(B5&gt;MAX('Senior-W'!A:A),"",INDEX('Senior-W'!H:H,MATCH(B5,'Senior-W'!A:A,0)))</f>
        <v>National Team</v>
      </c>
    </row>
    <row r="14" spans="1:6" x14ac:dyDescent="0.2">
      <c r="A14" s="6"/>
      <c r="B14" s="6">
        <v>5</v>
      </c>
      <c r="C14" s="6" t="str">
        <f>IF(B6&gt;MAX('Senior-W'!A:A),"",INDEX('Senior-W'!B:B,MATCH(B6,'Senior-W'!A:A,0)))</f>
        <v>WAX, Sophie</v>
      </c>
      <c r="D14" s="12" t="str">
        <f>IF(B6&gt;MAX('Senior-W'!A:A),"",INDEX('Senior-W'!H:H,MATCH(B6,'Senior-W'!A:A,0)))</f>
        <v>National Team</v>
      </c>
    </row>
    <row r="15" spans="1:6" x14ac:dyDescent="0.2">
      <c r="A15" s="6"/>
      <c r="B15" s="6">
        <v>6</v>
      </c>
      <c r="C15" s="6" t="str">
        <f>IF(B7&gt;MAX('Senior-W'!A:A),"",INDEX('Senior-W'!B:B,MATCH(B7,'Senior-W'!A:A,0)))</f>
        <v>WILL, Rebecca</v>
      </c>
      <c r="D15" s="12" t="str">
        <f>IF(B7&gt;MAX('Senior-W'!A:A),"",INDEX('Senior-W'!H:H,MATCH(B7,'Senior-W'!A:A,0)))</f>
        <v>National Team</v>
      </c>
    </row>
    <row r="16" spans="1:6" x14ac:dyDescent="0.2">
      <c r="A16" s="6"/>
      <c r="B16" s="6">
        <v>7</v>
      </c>
      <c r="C16" s="6" t="str">
        <f>IF(B8&gt;MAX('Senior-W'!A:A),"",INDEX('Senior-W'!B:B,MATCH(B8,'Senior-W'!A:A,0)))</f>
        <v>FLYNN, Gabby</v>
      </c>
      <c r="D16" s="12" t="str">
        <f>IF(B8&gt;MAX('Senior-W'!A:A),"",INDEX('Senior-W'!H:H,MATCH(B8,'Senior-W'!A:A,0)))</f>
        <v>Worlds Team</v>
      </c>
    </row>
    <row r="17" spans="1:4" x14ac:dyDescent="0.2">
      <c r="A17" s="6"/>
      <c r="B17" s="6">
        <v>8</v>
      </c>
      <c r="C17" s="6" t="str">
        <f>IF(B9&gt;MAX('Senior-W'!A:A),"",INDEX('Senior-W'!B:B,MATCH(B9,'Senior-W'!A:A,0)))</f>
        <v>GOOD, Hayden</v>
      </c>
      <c r="D17" s="12" t="str">
        <f>IF(B9&gt;MAX('Senior-W'!A:A),"",INDEX('Senior-W'!H:H,MATCH(B9,'Senior-W'!A:A,0)))</f>
        <v>Worlds Team</v>
      </c>
    </row>
    <row r="18" spans="1:4" x14ac:dyDescent="0.2">
      <c r="A18" s="5" t="s">
        <v>56</v>
      </c>
      <c r="B18" s="5">
        <v>1</v>
      </c>
      <c r="C18" s="5" t="str">
        <f>IF(B2&gt;MAX('Development-M'!A:A),"",INDEX('Development-M'!B:B,MATCH(B2,'Development-M'!A:A,0)))</f>
        <v>BISHOP, Brody</v>
      </c>
      <c r="D18" s="13" t="str">
        <f>IF(B2&gt;MAX('Development-M'!A:A),"",INDEX('Development-M'!H:H,MATCH(B2,'Development-M'!A:A,0)))</f>
        <v>National Team</v>
      </c>
    </row>
    <row r="19" spans="1:4" x14ac:dyDescent="0.2">
      <c r="A19" s="5"/>
      <c r="B19" s="5">
        <v>2</v>
      </c>
      <c r="C19" s="5" t="str">
        <f>IF(B3&gt;MAX('Development-M'!A:A),"",INDEX('Development-M'!B:B,MATCH(B3,'Development-M'!A:A,0)))</f>
        <v>CANN, Jackson</v>
      </c>
      <c r="D19" s="13" t="str">
        <f>IF(B3&gt;MAX('Development-M'!A:A),"",INDEX('Development-M'!H:H,MATCH(B3,'Development-M'!A:A,0)))</f>
        <v>No DD</v>
      </c>
    </row>
    <row r="20" spans="1:4" x14ac:dyDescent="0.2">
      <c r="A20" s="5"/>
      <c r="B20" s="5">
        <v>3</v>
      </c>
      <c r="C20" s="5" t="str">
        <f>IF(B4&gt;MAX('Development-M'!A:A),"",INDEX('Development-M'!B:B,MATCH(B4,'Development-M'!A:A,0)))</f>
        <v>COUTURE, Joey</v>
      </c>
      <c r="D20" s="13" t="str">
        <f>IF(B4&gt;MAX('Development-M'!A:A),"",INDEX('Development-M'!H:H,MATCH(B4,'Development-M'!A:A,0)))</f>
        <v>No DD</v>
      </c>
    </row>
    <row r="21" spans="1:4" hidden="1" x14ac:dyDescent="0.2">
      <c r="A21" s="5"/>
      <c r="B21" s="5">
        <v>4</v>
      </c>
      <c r="C21" s="5" t="str">
        <f>IF(B5&gt;MAX('Development-M'!A:A),"",INDEX('Development-M'!B:B,MATCH(B5,'Development-M'!A:A,0)))</f>
        <v/>
      </c>
      <c r="D21" s="13" t="str">
        <f>IF(B5&gt;MAX('Development-M'!A:A),"",INDEX('Development-M'!H:H,MATCH(B5,'Development-M'!A:A,0)))</f>
        <v/>
      </c>
    </row>
    <row r="22" spans="1:4" hidden="1" x14ac:dyDescent="0.2">
      <c r="A22" s="5"/>
      <c r="B22" s="5">
        <v>5</v>
      </c>
      <c r="C22" s="5" t="str">
        <f>IF(B6&gt;MAX('Development-M'!A:A),"",INDEX('Development-M'!B:B,MATCH(B6,'Development-M'!A:A,0)))</f>
        <v/>
      </c>
      <c r="D22" s="13" t="str">
        <f>IF(B6&gt;MAX('Development-M'!A:A),"",INDEX('Development-M'!H:H,MATCH(B6,'Development-M'!A:A,0)))</f>
        <v/>
      </c>
    </row>
    <row r="23" spans="1:4" hidden="1" x14ac:dyDescent="0.2">
      <c r="A23" s="5"/>
      <c r="B23" s="5">
        <v>6</v>
      </c>
      <c r="C23" s="5" t="str">
        <f>IF(B7&gt;MAX('Development-M'!A:A),"",INDEX('Development-M'!B:B,MATCH(B7,'Development-M'!A:A,0)))</f>
        <v/>
      </c>
      <c r="D23" s="13" t="str">
        <f>IF(B7&gt;MAX('Development-M'!A:A),"",INDEX('Development-M'!H:H,MATCH(B7,'Development-M'!A:A,0)))</f>
        <v/>
      </c>
    </row>
    <row r="24" spans="1:4" x14ac:dyDescent="0.2">
      <c r="A24" s="6" t="s">
        <v>57</v>
      </c>
      <c r="B24" s="6">
        <v>1</v>
      </c>
      <c r="C24" s="6" t="str">
        <f>IF(B2&gt;MAX('Development-W'!A:A),"",INDEX('Development-W'!B:B,MATCH(B2,'Development-W'!A:A,0)))</f>
        <v>ULMER, Lily-ann</v>
      </c>
      <c r="D24" s="12" t="str">
        <f>IF(B2&gt;MAX('Development-W'!A:A),"",INDEX('Development-W'!H:H,MATCH(B2,'Development-W'!A:A,0)))</f>
        <v>National Team</v>
      </c>
    </row>
    <row r="25" spans="1:4" x14ac:dyDescent="0.2">
      <c r="A25" s="6"/>
      <c r="B25" s="6">
        <v>2</v>
      </c>
      <c r="C25" s="6" t="str">
        <f>IF(B3&gt;MAX('Development-W'!A:A),"",INDEX('Development-W'!B:B,MATCH(B3,'Development-W'!A:A,0)))</f>
        <v>PEPPER, Emily</v>
      </c>
      <c r="D25" s="12" t="str">
        <f>IF(B3&gt;MAX('Development-W'!A:A),"",INDEX('Development-W'!H:H,MATCH(B3,'Development-W'!A:A,0)))</f>
        <v>National Team</v>
      </c>
    </row>
    <row r="26" spans="1:4" x14ac:dyDescent="0.2">
      <c r="A26" s="6"/>
      <c r="B26" s="6">
        <v>3</v>
      </c>
      <c r="C26" s="6" t="str">
        <f>IF(B4&gt;MAX('Development-W'!A:A),"",INDEX('Development-W'!B:B,MATCH(B4,'Development-W'!A:A,0)))</f>
        <v>KUZNAK, Sienna</v>
      </c>
      <c r="D26" s="12" t="str">
        <f>IF(B4&gt;MAX('Development-W'!A:A),"",INDEX('Development-W'!H:H,MATCH(B4,'Development-W'!A:A,0)))</f>
        <v>National Team</v>
      </c>
    </row>
    <row r="27" spans="1:4" x14ac:dyDescent="0.2">
      <c r="A27" s="6"/>
      <c r="B27" s="6">
        <v>4</v>
      </c>
      <c r="C27" s="6" t="str">
        <f>IF(B5&gt;MAX('Development-W'!A:A),"",INDEX('Development-W'!B:B,MATCH(B5,'Development-W'!A:A,0)))</f>
        <v>MOUNTAIN, Dani</v>
      </c>
      <c r="D27" s="12" t="str">
        <f>IF(B5&gt;MAX('Development-W'!A:A),"",INDEX('Development-W'!H:H,MATCH(B5,'Development-W'!A:A,0)))</f>
        <v>No DD</v>
      </c>
    </row>
    <row r="28" spans="1:4" hidden="1" x14ac:dyDescent="0.2">
      <c r="A28" s="6"/>
      <c r="B28" s="6">
        <v>5</v>
      </c>
      <c r="C28" s="6" t="str">
        <f>IF(B6&gt;MAX('Development-W'!A:A),"",INDEX('Development-W'!B:B,MATCH(B6,'Development-W'!A:A,0)))</f>
        <v/>
      </c>
      <c r="D28" s="12" t="str">
        <f>IF(B6&gt;MAX('Development-W'!A:A),"",INDEX('Development-W'!H:H,MATCH(B6,'Development-W'!A:A,0)))</f>
        <v/>
      </c>
    </row>
    <row r="29" spans="1:4" hidden="1" x14ac:dyDescent="0.2">
      <c r="A29" s="6"/>
      <c r="B29" s="6">
        <v>6</v>
      </c>
      <c r="C29" s="6" t="str">
        <f>IF(B7&gt;MAX('Development-W'!A:A),"",INDEX('Development-W'!B:B,MATCH(B7,'Development-W'!A:A,0)))</f>
        <v/>
      </c>
      <c r="D29" s="12" t="str">
        <f>IF(B7&gt;MAX('Development-W'!A:A),"",INDEX('Development-W'!H:H,MATCH(B7,'Development-W'!A:A,0)))</f>
        <v/>
      </c>
    </row>
    <row r="30" spans="1:4" x14ac:dyDescent="0.2">
      <c r="A30" s="5" t="s">
        <v>61</v>
      </c>
      <c r="B30" s="5">
        <v>1</v>
      </c>
      <c r="C30" s="5" t="str">
        <f>IF(B2&gt;MAX('Junior-M'!A:A),"",INDEX('Junior-M'!B:B,MATCH(B2,'Junior-M'!A:A,0)))</f>
        <v>RENOU, Brayden</v>
      </c>
      <c r="D30" s="13" t="str">
        <f>IF(B2&gt;MAX('Junior-M'!A:A),"",INDEX('Junior-M'!H:H,MATCH(B2,'Junior-M'!A:A,0)))</f>
        <v>National Team</v>
      </c>
    </row>
    <row r="31" spans="1:4" x14ac:dyDescent="0.2">
      <c r="A31" s="5"/>
      <c r="B31" s="5">
        <v>2</v>
      </c>
      <c r="C31" s="5" t="str">
        <f>IF(B3&gt;MAX('Junior-M'!A:A),"",INDEX('Junior-M'!B:B,MATCH(B3,'Junior-M'!A:A,0)))</f>
        <v>COREY, Kade</v>
      </c>
      <c r="D31" s="13" t="str">
        <f>IF(B3&gt;MAX('Junior-M'!A:A),"",INDEX('Junior-M'!H:H,MATCH(B3,'Junior-M'!A:A,0)))</f>
        <v>National Team</v>
      </c>
    </row>
    <row r="32" spans="1:4" x14ac:dyDescent="0.2">
      <c r="A32" s="5"/>
      <c r="B32" s="5">
        <v>3</v>
      </c>
      <c r="C32" s="5" t="str">
        <f>IF(B4&gt;MAX('Junior-M'!A:A),"",INDEX('Junior-M'!B:B,MATCH(B4,'Junior-M'!A:A,0)))</f>
        <v>ROY, Alexi</v>
      </c>
      <c r="D32" s="13" t="str">
        <f>IF(B4&gt;MAX('Junior-M'!A:A),"",INDEX('Junior-M'!H:H,MATCH(B4,'Junior-M'!A:A,0)))</f>
        <v>National Team</v>
      </c>
    </row>
    <row r="33" spans="1:5" hidden="1" x14ac:dyDescent="0.2">
      <c r="A33" s="5"/>
      <c r="B33" s="5">
        <v>4</v>
      </c>
      <c r="C33" s="5" t="str">
        <f>IF(B5&gt;MAX('Junior-M'!A:A),"",INDEX('Junior-M'!B:B,MATCH(B5,'Junior-M'!A:A,0)))</f>
        <v/>
      </c>
      <c r="D33" s="13" t="str">
        <f>IF(B5&gt;MAX('Junior-M'!A:A),"",INDEX('Junior-M'!H:H,MATCH(B5,'Junior-M'!A:A,0)))</f>
        <v/>
      </c>
    </row>
    <row r="34" spans="1:5" x14ac:dyDescent="0.2">
      <c r="A34" s="6" t="s">
        <v>62</v>
      </c>
      <c r="B34" s="6">
        <v>1</v>
      </c>
      <c r="C34" s="6" t="str">
        <f>IF(B2&gt;MAX('Junior-W'!A:A),"",INDEX('Junior-W'!B:B,MATCH(B2,'Junior-W'!A:A,0)))</f>
        <v>HUGHES, Arya</v>
      </c>
      <c r="D34" s="12" t="str">
        <f>IF(B2&gt;MAX('Junior-W'!A:A),"",INDEX('Junior-W'!H:H,MATCH(B2,'Junior-W'!A:A,0)))</f>
        <v>National Team</v>
      </c>
    </row>
    <row r="35" spans="1:5" hidden="1" x14ac:dyDescent="0.2">
      <c r="A35" s="6"/>
      <c r="B35" s="6">
        <v>2</v>
      </c>
      <c r="C35" s="6" t="str">
        <f>IF(B3&gt;MAX('Junior-W'!A:A),"",INDEX('Junior-W'!B:B,MATCH(B3,'Junior-W'!A:A,0)))</f>
        <v/>
      </c>
      <c r="D35" s="12" t="str">
        <f>IF(B3&gt;MAX('Junior-W'!A:A),"",INDEX('Junior-W'!H:H,MATCH(B3,'Junior-W'!A:A,0)))</f>
        <v/>
      </c>
    </row>
    <row r="36" spans="1:5" hidden="1" x14ac:dyDescent="0.2">
      <c r="A36" s="6"/>
      <c r="B36" s="6">
        <v>3</v>
      </c>
      <c r="C36" s="6" t="str">
        <f>IF(B4&gt;MAX('Junior-W'!A:A),"",INDEX('Junior-W'!B:B,MATCH(B4,'Junior-W'!A:A,0)))</f>
        <v/>
      </c>
      <c r="D36" s="12" t="str">
        <f>IF(B4&gt;MAX('Junior-W'!A:A),"",INDEX('Junior-W'!H:H,MATCH(B4,'Junior-W'!A:A,0)))</f>
        <v/>
      </c>
    </row>
    <row r="37" spans="1:5" hidden="1" x14ac:dyDescent="0.2">
      <c r="A37" s="6"/>
      <c r="B37" s="6">
        <v>4</v>
      </c>
      <c r="C37" s="6" t="str">
        <f>IF(B5&gt;MAX('Junior-W'!A:A),"",INDEX('Junior-W'!B:B,MATCH(B5,'Junior-W'!A:A,0)))</f>
        <v/>
      </c>
      <c r="D37" s="12" t="str">
        <f>IF(B5&gt;MAX('Junior-W'!A:A),"",INDEX('Junior-W'!H:H,MATCH(B5,'Junior-W'!A:A,0)))</f>
        <v/>
      </c>
    </row>
    <row r="38" spans="1:5" x14ac:dyDescent="0.2">
      <c r="D38" s="26"/>
    </row>
    <row r="39" spans="1:5" x14ac:dyDescent="0.2">
      <c r="B39" t="s">
        <v>20</v>
      </c>
    </row>
    <row r="40" spans="1:5" x14ac:dyDescent="0.2">
      <c r="B40" t="s">
        <v>18</v>
      </c>
    </row>
    <row r="41" spans="1:5" x14ac:dyDescent="0.2">
      <c r="B41" t="s">
        <v>19</v>
      </c>
    </row>
    <row r="42" spans="1:5" x14ac:dyDescent="0.2">
      <c r="B42" s="11" t="s">
        <v>33</v>
      </c>
      <c r="D42" t="s">
        <v>31</v>
      </c>
    </row>
    <row r="43" spans="1:5" x14ac:dyDescent="0.2">
      <c r="B43" s="11" t="s">
        <v>34</v>
      </c>
      <c r="D43" t="s">
        <v>31</v>
      </c>
      <c r="E43" t="s">
        <v>31</v>
      </c>
    </row>
    <row r="44" spans="1:5" x14ac:dyDescent="0.2">
      <c r="B44" t="s">
        <v>32</v>
      </c>
    </row>
    <row r="45" spans="1:5" x14ac:dyDescent="0.2">
      <c r="B45" t="s">
        <v>35</v>
      </c>
    </row>
    <row r="46" spans="1:5" x14ac:dyDescent="0.2">
      <c r="A46" t="s">
        <v>23</v>
      </c>
      <c r="B46" s="43">
        <v>46098</v>
      </c>
      <c r="C46" s="43"/>
    </row>
    <row r="47" spans="1:5" x14ac:dyDescent="0.2">
      <c r="B47" t="s">
        <v>151</v>
      </c>
    </row>
  </sheetData>
  <sheetProtection formatCells="0" formatColumns="0" formatRows="0"/>
  <mergeCells count="1">
    <mergeCell ref="B46:C46"/>
  </mergeCells>
  <conditionalFormatting sqref="D2:D37">
    <cfRule type="containsText" dxfId="261" priority="1" operator="containsText" text="No DD">
      <formula>NOT(ISERROR(SEARCH("No DD",D2)))</formula>
    </cfRule>
    <cfRule type="containsText" dxfId="260" priority="5" operator="containsText" text="Performance">
      <formula>NOT(ISERROR(SEARCH("Performance",D2)))</formula>
    </cfRule>
    <cfRule type="containsText" dxfId="259" priority="6" operator="containsText" text="Worlds Team">
      <formula>NOT(ISERROR(SEARCH("Worlds Team",D2)))</formula>
    </cfRule>
    <cfRule type="containsText" dxfId="258" priority="7" operator="containsText" text="National Team">
      <formula>NOT(ISERROR(SEARCH("National Team",D2)))</formula>
    </cfRule>
  </conditionalFormatting>
  <dataValidations count="2">
    <dataValidation type="list" allowBlank="1" showInputMessage="1" showErrorMessage="1" sqref="D42:D43" xr:uid="{D08F591B-E1ED-7A40-99FD-CEC4A428C792}">
      <formula1>"Select,Senior-M, Senior-W,Development-M,Development-W,Junior-M,Junior-W"</formula1>
    </dataValidation>
    <dataValidation type="list" allowBlank="1" showInputMessage="1" showErrorMessage="1" sqref="E43" xr:uid="{34EE6C87-AAA8-A345-8399-C87931D9699B}">
      <formula1>IF($D$43="Select",D43,INDIRECT("'"&amp;$D$43&amp;"'!"&amp;"B4:B"&amp;MATCH(TRUE,INDEX(INDIRECT("'"&amp;$D$43&amp;"'!"&amp;"B4:B100")="",0),0)+2))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Sort Names">
              <controlPr defaultSize="0" autoFill="0" autoPict="0" macro="[0]!_xludf.Sort" altText="Sort">
                <anchor moveWithCells="1" sizeWithCells="1">
                  <from>
                    <xdr:col>0</xdr:col>
                    <xdr:colOff>12700</xdr:colOff>
                    <xdr:row>38</xdr:row>
                    <xdr:rowOff>25400</xdr:rowOff>
                  </from>
                  <to>
                    <xdr:col>0</xdr:col>
                    <xdr:colOff>965200</xdr:colOff>
                    <xdr:row>38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Show">
              <controlPr defaultSize="0" autoFill="0" autoPict="0" macro="[0]!Show_All" altText="">
                <anchor moveWithCells="1" sizeWithCells="1">
                  <from>
                    <xdr:col>0</xdr:col>
                    <xdr:colOff>12700</xdr:colOff>
                    <xdr:row>39</xdr:row>
                    <xdr:rowOff>25400</xdr:rowOff>
                  </from>
                  <to>
                    <xdr:col>0</xdr:col>
                    <xdr:colOff>965200</xdr:colOff>
                    <xdr:row>39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autoFill="0" autoPict="0" macro="[0]!_xludf.Hide" altText="Hide">
                <anchor moveWithCells="1" sizeWithCells="1">
                  <from>
                    <xdr:col>0</xdr:col>
                    <xdr:colOff>25400</xdr:colOff>
                    <xdr:row>40</xdr:row>
                    <xdr:rowOff>38100</xdr:rowOff>
                  </from>
                  <to>
                    <xdr:col>0</xdr:col>
                    <xdr:colOff>965200</xdr:colOff>
                    <xdr:row>40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Add_Athlete">
                <anchor moveWithCells="1" sizeWithCells="1">
                  <from>
                    <xdr:col>0</xdr:col>
                    <xdr:colOff>25400</xdr:colOff>
                    <xdr:row>41</xdr:row>
                    <xdr:rowOff>25400</xdr:rowOff>
                  </from>
                  <to>
                    <xdr:col>0</xdr:col>
                    <xdr:colOff>977900</xdr:colOff>
                    <xdr:row>41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Delete_Domestic">
                <anchor moveWithCells="1" sizeWithCells="1">
                  <from>
                    <xdr:col>0</xdr:col>
                    <xdr:colOff>25400</xdr:colOff>
                    <xdr:row>43</xdr:row>
                    <xdr:rowOff>25400</xdr:rowOff>
                  </from>
                  <to>
                    <xdr:col>0</xdr:col>
                    <xdr:colOff>977900</xdr:colOff>
                    <xdr:row>43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Delete_International">
                <anchor moveWithCells="1" sizeWithCells="1">
                  <from>
                    <xdr:col>0</xdr:col>
                    <xdr:colOff>25400</xdr:colOff>
                    <xdr:row>44</xdr:row>
                    <xdr:rowOff>25400</xdr:rowOff>
                  </from>
                  <to>
                    <xdr:col>0</xdr:col>
                    <xdr:colOff>965200</xdr:colOff>
                    <xdr:row>44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9" name="Button 13">
              <controlPr defaultSize="0" print="0" autoFill="0" autoPict="0" macro="[0]!Remove">
                <anchor moveWithCells="1" sizeWithCells="1">
                  <from>
                    <xdr:col>0</xdr:col>
                    <xdr:colOff>25400</xdr:colOff>
                    <xdr:row>42</xdr:row>
                    <xdr:rowOff>25400</xdr:rowOff>
                  </from>
                  <to>
                    <xdr:col>0</xdr:col>
                    <xdr:colOff>977900</xdr:colOff>
                    <xdr:row>42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10" name="Button 14">
              <controlPr defaultSize="0" print="0" autoFill="0" autoPict="0" macro="[0]!Remove_Ineligible" altText="Remove Ineligible">
                <anchor moveWithCells="1" sizeWithCells="1">
                  <from>
                    <xdr:col>3</xdr:col>
                    <xdr:colOff>12700</xdr:colOff>
                    <xdr:row>43</xdr:row>
                    <xdr:rowOff>12700</xdr:rowOff>
                  </from>
                  <to>
                    <xdr:col>4</xdr:col>
                    <xdr:colOff>495300</xdr:colOff>
                    <xdr:row>43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AB3599-E056-F84C-847B-86A479E28074}">
  <sheetPr codeName="Sheet19"/>
  <dimension ref="A1:ET39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26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83203125" customWidth="1"/>
    <col min="15" max="15" width="27.5" customWidth="1"/>
    <col min="16" max="16" width="24.6640625" customWidth="1"/>
    <col min="17" max="17" width="13" customWidth="1"/>
    <col min="18" max="18" width="31.5" customWidth="1"/>
    <col min="19" max="35" width="10.83203125" hidden="1" customWidth="1"/>
    <col min="36" max="39" width="10.83203125" customWidth="1"/>
    <col min="40" max="48" width="10.83203125" style="26" customWidth="1"/>
    <col min="49" max="65" width="10.83203125" hidden="1" customWidth="1"/>
    <col min="66" max="69" width="10.83203125" customWidth="1"/>
    <col min="70" max="80" width="10.83203125" style="26" customWidth="1"/>
    <col min="81" max="100" width="10.83203125" hidden="1" customWidth="1"/>
    <col min="101" max="115" width="10.83203125" style="26" customWidth="1"/>
    <col min="116" max="135" width="10.83203125" hidden="1" customWidth="1"/>
    <col min="136" max="150" width="10.83203125" style="26" customWidth="1"/>
    <col min="151" max="152" width="10.83203125" customWidth="1"/>
  </cols>
  <sheetData>
    <row r="1" spans="1:150" ht="16" customHeight="1" x14ac:dyDescent="0.2">
      <c r="A1" s="55" t="s">
        <v>1</v>
      </c>
      <c r="B1" s="55" t="s">
        <v>14</v>
      </c>
      <c r="C1" s="55" t="s">
        <v>0</v>
      </c>
      <c r="D1" s="55" t="s">
        <v>30</v>
      </c>
      <c r="E1" s="55" t="s">
        <v>2</v>
      </c>
      <c r="F1" s="56" t="s">
        <v>75</v>
      </c>
      <c r="G1" s="56" t="s">
        <v>8</v>
      </c>
      <c r="H1" s="55" t="s">
        <v>9</v>
      </c>
      <c r="I1" s="56" t="s">
        <v>38</v>
      </c>
      <c r="J1" s="53" t="s">
        <v>76</v>
      </c>
      <c r="K1" s="52" t="s">
        <v>16</v>
      </c>
      <c r="L1" s="53" t="s">
        <v>89</v>
      </c>
      <c r="M1" s="52" t="s">
        <v>16</v>
      </c>
      <c r="N1" s="53" t="s">
        <v>90</v>
      </c>
      <c r="O1" s="52" t="s">
        <v>16</v>
      </c>
      <c r="P1" s="54" t="s">
        <v>10</v>
      </c>
      <c r="Q1" s="52" t="s">
        <v>17</v>
      </c>
      <c r="R1" s="52" t="s">
        <v>16</v>
      </c>
      <c r="S1" s="48" t="s">
        <v>147</v>
      </c>
      <c r="T1" s="48"/>
      <c r="U1" s="48"/>
      <c r="V1" s="48"/>
      <c r="W1" s="48"/>
      <c r="X1" s="48"/>
      <c r="Y1" s="48"/>
      <c r="Z1" s="48"/>
      <c r="AA1" s="48"/>
      <c r="AB1" s="48"/>
      <c r="AC1" s="48"/>
      <c r="AD1" s="48"/>
      <c r="AE1" s="48"/>
      <c r="AF1" s="48"/>
      <c r="AG1" s="48"/>
      <c r="AH1" s="48"/>
      <c r="AI1" s="48"/>
      <c r="AJ1" s="48"/>
      <c r="AK1" s="48"/>
      <c r="AL1" s="48"/>
      <c r="AM1" s="48"/>
      <c r="AN1" s="48"/>
      <c r="AO1" s="48"/>
      <c r="AP1" s="48"/>
      <c r="AQ1" s="48"/>
      <c r="AR1" s="48"/>
      <c r="AS1" s="48"/>
      <c r="AT1" s="48"/>
      <c r="AU1" s="48"/>
      <c r="AV1" s="48"/>
      <c r="AW1" s="49" t="s">
        <v>148</v>
      </c>
      <c r="AX1" s="49"/>
      <c r="AY1" s="49"/>
      <c r="AZ1" s="49"/>
      <c r="BA1" s="49"/>
      <c r="BB1" s="49"/>
      <c r="BC1" s="49"/>
      <c r="BD1" s="49"/>
      <c r="BE1" s="49"/>
      <c r="BF1" s="49"/>
      <c r="BG1" s="49"/>
      <c r="BH1" s="49"/>
      <c r="BI1" s="49"/>
      <c r="BJ1" s="49"/>
      <c r="BK1" s="49"/>
      <c r="BL1" s="49"/>
      <c r="BM1" s="49"/>
      <c r="BN1" s="49"/>
      <c r="BO1" s="49"/>
      <c r="BP1" s="49"/>
      <c r="BQ1" s="49"/>
      <c r="BR1" s="49"/>
      <c r="BS1" s="49"/>
      <c r="BT1" s="49"/>
      <c r="BU1" s="49"/>
      <c r="BV1" s="49"/>
      <c r="BW1" s="49"/>
      <c r="BX1" s="49"/>
      <c r="BY1" s="49"/>
      <c r="BZ1" s="49"/>
      <c r="CA1" s="50" t="s">
        <v>77</v>
      </c>
      <c r="CB1" s="50"/>
      <c r="CC1" s="48" t="s">
        <v>45</v>
      </c>
      <c r="CD1" s="48"/>
      <c r="CE1" s="48"/>
      <c r="CF1" s="48"/>
      <c r="CG1" s="48"/>
      <c r="CH1" s="48"/>
      <c r="CI1" s="48"/>
      <c r="CJ1" s="48"/>
      <c r="CK1" s="48"/>
      <c r="CL1" s="48"/>
      <c r="CM1" s="48"/>
      <c r="CN1" s="48"/>
      <c r="CO1" s="48"/>
      <c r="CP1" s="48"/>
      <c r="CQ1" s="48"/>
      <c r="CR1" s="48"/>
      <c r="CS1" s="48"/>
      <c r="CT1" s="48"/>
      <c r="CU1" s="48"/>
      <c r="CV1" s="48"/>
      <c r="CW1" s="48"/>
      <c r="CX1" s="48"/>
      <c r="CY1" s="48"/>
      <c r="CZ1" s="48"/>
      <c r="DA1" s="48"/>
      <c r="DB1" s="48"/>
      <c r="DC1" s="48"/>
      <c r="DD1" s="48"/>
      <c r="DE1" s="48"/>
      <c r="DF1" s="48"/>
      <c r="DG1" s="48"/>
      <c r="DH1" s="48"/>
      <c r="DI1" s="48"/>
      <c r="DJ1" s="48"/>
      <c r="DK1" s="48"/>
      <c r="DL1" s="49" t="s">
        <v>46</v>
      </c>
      <c r="DM1" s="49"/>
      <c r="DN1" s="49"/>
      <c r="DO1" s="49"/>
      <c r="DP1" s="49"/>
      <c r="DQ1" s="49"/>
      <c r="DR1" s="49"/>
      <c r="DS1" s="49"/>
      <c r="DT1" s="49"/>
      <c r="DU1" s="49"/>
      <c r="DV1" s="49"/>
      <c r="DW1" s="49"/>
      <c r="DX1" s="49"/>
      <c r="DY1" s="49"/>
      <c r="DZ1" s="49"/>
      <c r="EA1" s="49"/>
      <c r="EB1" s="49"/>
      <c r="EC1" s="49"/>
      <c r="ED1" s="49"/>
      <c r="EE1" s="49"/>
      <c r="EF1" s="49"/>
      <c r="EG1" s="49"/>
      <c r="EH1" s="49"/>
      <c r="EI1" s="49"/>
      <c r="EJ1" s="49"/>
      <c r="EK1" s="49"/>
      <c r="EL1" s="49"/>
      <c r="EM1" s="49"/>
      <c r="EN1" s="49"/>
      <c r="EO1" s="49"/>
      <c r="EP1" s="49"/>
      <c r="EQ1" s="49"/>
      <c r="ER1" s="49"/>
      <c r="ES1" s="49"/>
      <c r="ET1" s="49"/>
    </row>
    <row r="2" spans="1:150" x14ac:dyDescent="0.2">
      <c r="A2" s="55"/>
      <c r="B2" s="55"/>
      <c r="C2" s="55"/>
      <c r="D2" s="55"/>
      <c r="E2" s="55"/>
      <c r="F2" s="56"/>
      <c r="G2" s="56"/>
      <c r="H2" s="55"/>
      <c r="I2" s="56"/>
      <c r="J2" s="53"/>
      <c r="K2" s="52"/>
      <c r="L2" s="53"/>
      <c r="M2" s="52"/>
      <c r="N2" s="52"/>
      <c r="O2" s="52"/>
      <c r="P2" s="54"/>
      <c r="Q2" s="52"/>
      <c r="R2" s="52"/>
      <c r="S2" s="46" t="s">
        <v>78</v>
      </c>
      <c r="T2" s="46"/>
      <c r="U2" s="46"/>
      <c r="V2" s="46"/>
      <c r="W2" s="46" t="s">
        <v>79</v>
      </c>
      <c r="X2" s="46"/>
      <c r="Y2" s="46"/>
      <c r="Z2" s="46"/>
      <c r="AA2" s="46" t="s">
        <v>80</v>
      </c>
      <c r="AB2" s="46"/>
      <c r="AC2" s="46"/>
      <c r="AD2" s="46"/>
      <c r="AE2" s="47" t="s">
        <v>81</v>
      </c>
      <c r="AF2" s="47"/>
      <c r="AG2" s="47"/>
      <c r="AH2" s="47"/>
      <c r="AI2" s="13"/>
      <c r="AJ2" s="13" t="s">
        <v>95</v>
      </c>
      <c r="AK2" s="13" t="s">
        <v>91</v>
      </c>
      <c r="AL2" s="13" t="s">
        <v>96</v>
      </c>
      <c r="AM2" s="13" t="s">
        <v>92</v>
      </c>
      <c r="AN2" s="13" t="s">
        <v>82</v>
      </c>
      <c r="AO2" s="13" t="s">
        <v>13</v>
      </c>
      <c r="AP2" s="13" t="s">
        <v>97</v>
      </c>
      <c r="AQ2" s="13" t="s">
        <v>93</v>
      </c>
      <c r="AR2" s="13" t="s">
        <v>98</v>
      </c>
      <c r="AS2" s="13" t="s">
        <v>94</v>
      </c>
      <c r="AT2" s="13" t="s">
        <v>83</v>
      </c>
      <c r="AU2" s="13" t="s">
        <v>84</v>
      </c>
      <c r="AV2" s="13" t="s">
        <v>12</v>
      </c>
      <c r="AW2" s="44" t="s">
        <v>78</v>
      </c>
      <c r="AX2" s="44"/>
      <c r="AY2" s="44"/>
      <c r="AZ2" s="44"/>
      <c r="BA2" s="44" t="s">
        <v>79</v>
      </c>
      <c r="BB2" s="44"/>
      <c r="BC2" s="44"/>
      <c r="BD2" s="44"/>
      <c r="BE2" s="44" t="s">
        <v>80</v>
      </c>
      <c r="BF2" s="44"/>
      <c r="BG2" s="44"/>
      <c r="BH2" s="44"/>
      <c r="BI2" s="45" t="s">
        <v>81</v>
      </c>
      <c r="BJ2" s="45"/>
      <c r="BK2" s="45"/>
      <c r="BL2" s="45"/>
      <c r="BM2" s="12"/>
      <c r="BN2" s="12" t="s">
        <v>95</v>
      </c>
      <c r="BO2" s="12" t="s">
        <v>91</v>
      </c>
      <c r="BP2" s="12" t="s">
        <v>96</v>
      </c>
      <c r="BQ2" s="12" t="s">
        <v>92</v>
      </c>
      <c r="BR2" s="12" t="s">
        <v>82</v>
      </c>
      <c r="BS2" s="12" t="s">
        <v>13</v>
      </c>
      <c r="BT2" s="12" t="s">
        <v>97</v>
      </c>
      <c r="BU2" s="12" t="s">
        <v>93</v>
      </c>
      <c r="BV2" s="12" t="s">
        <v>98</v>
      </c>
      <c r="BW2" s="12" t="s">
        <v>94</v>
      </c>
      <c r="BX2" s="12" t="s">
        <v>83</v>
      </c>
      <c r="BY2" s="12" t="s">
        <v>84</v>
      </c>
      <c r="BZ2" s="12" t="s">
        <v>12</v>
      </c>
      <c r="CA2" s="33" t="s">
        <v>85</v>
      </c>
      <c r="CB2" s="33" t="s">
        <v>99</v>
      </c>
      <c r="CC2" s="46" t="s">
        <v>78</v>
      </c>
      <c r="CD2" s="46"/>
      <c r="CE2" s="46"/>
      <c r="CF2" s="46"/>
      <c r="CG2" s="46" t="s">
        <v>79</v>
      </c>
      <c r="CH2" s="46"/>
      <c r="CI2" s="46"/>
      <c r="CJ2" s="46"/>
      <c r="CK2" s="46" t="s">
        <v>86</v>
      </c>
      <c r="CL2" s="46"/>
      <c r="CM2" s="46"/>
      <c r="CN2" s="46"/>
      <c r="CO2" s="46" t="s">
        <v>80</v>
      </c>
      <c r="CP2" s="46"/>
      <c r="CQ2" s="46"/>
      <c r="CR2" s="46"/>
      <c r="CS2" s="51" t="s">
        <v>81</v>
      </c>
      <c r="CT2" s="51"/>
      <c r="CU2" s="51"/>
      <c r="CV2" s="51"/>
      <c r="CW2" s="13" t="s">
        <v>95</v>
      </c>
      <c r="CX2" s="13" t="s">
        <v>91</v>
      </c>
      <c r="CY2" s="13" t="s">
        <v>96</v>
      </c>
      <c r="CZ2" s="13" t="s">
        <v>92</v>
      </c>
      <c r="DA2" s="13" t="s">
        <v>87</v>
      </c>
      <c r="DB2" s="13" t="s">
        <v>85</v>
      </c>
      <c r="DC2" s="13" t="s">
        <v>100</v>
      </c>
      <c r="DD2" s="13" t="s">
        <v>86</v>
      </c>
      <c r="DE2" s="13" t="s">
        <v>101</v>
      </c>
      <c r="DF2" s="13" t="s">
        <v>80</v>
      </c>
      <c r="DG2" s="13" t="s">
        <v>102</v>
      </c>
      <c r="DH2" s="13" t="s">
        <v>81</v>
      </c>
      <c r="DI2" s="13" t="s">
        <v>83</v>
      </c>
      <c r="DJ2" s="13" t="s">
        <v>84</v>
      </c>
      <c r="DK2" s="13" t="s">
        <v>12</v>
      </c>
      <c r="DL2" s="44" t="s">
        <v>78</v>
      </c>
      <c r="DM2" s="44"/>
      <c r="DN2" s="44"/>
      <c r="DO2" s="44"/>
      <c r="DP2" s="44" t="s">
        <v>79</v>
      </c>
      <c r="DQ2" s="44"/>
      <c r="DR2" s="44"/>
      <c r="DS2" s="44"/>
      <c r="DT2" s="44" t="s">
        <v>86</v>
      </c>
      <c r="DU2" s="44"/>
      <c r="DV2" s="44"/>
      <c r="DW2" s="44"/>
      <c r="DX2" s="44" t="s">
        <v>80</v>
      </c>
      <c r="DY2" s="44"/>
      <c r="DZ2" s="44"/>
      <c r="EA2" s="44"/>
      <c r="EB2" s="45" t="s">
        <v>81</v>
      </c>
      <c r="EC2" s="45"/>
      <c r="ED2" s="45"/>
      <c r="EE2" s="45"/>
      <c r="EF2" s="12" t="s">
        <v>95</v>
      </c>
      <c r="EG2" s="12" t="s">
        <v>91</v>
      </c>
      <c r="EH2" s="12" t="s">
        <v>96</v>
      </c>
      <c r="EI2" s="12" t="s">
        <v>92</v>
      </c>
      <c r="EJ2" s="12" t="s">
        <v>87</v>
      </c>
      <c r="EK2" s="12" t="s">
        <v>85</v>
      </c>
      <c r="EL2" s="12" t="s">
        <v>100</v>
      </c>
      <c r="EM2" s="12" t="s">
        <v>86</v>
      </c>
      <c r="EN2" s="12" t="s">
        <v>101</v>
      </c>
      <c r="EO2" s="12" t="s">
        <v>80</v>
      </c>
      <c r="EP2" s="12" t="s">
        <v>102</v>
      </c>
      <c r="EQ2" s="12" t="s">
        <v>81</v>
      </c>
      <c r="ER2" s="12" t="s">
        <v>83</v>
      </c>
      <c r="ES2" s="12" t="s">
        <v>84</v>
      </c>
      <c r="ET2" s="12" t="s">
        <v>12</v>
      </c>
    </row>
    <row r="3" spans="1:150" x14ac:dyDescent="0.2">
      <c r="A3" s="55"/>
      <c r="B3" s="55"/>
      <c r="C3" s="55"/>
      <c r="D3" s="55"/>
      <c r="E3" s="55"/>
      <c r="F3" s="56"/>
      <c r="G3" s="56"/>
      <c r="H3" s="55"/>
      <c r="I3" s="56"/>
      <c r="J3" s="53"/>
      <c r="K3" s="52"/>
      <c r="L3" s="53"/>
      <c r="M3" s="52"/>
      <c r="N3" s="52"/>
      <c r="O3" s="52"/>
      <c r="P3" s="54"/>
      <c r="Q3" s="52"/>
      <c r="R3" s="52"/>
      <c r="S3" s="13" t="s">
        <v>11</v>
      </c>
      <c r="T3" s="13" t="s">
        <v>7</v>
      </c>
      <c r="U3" s="13" t="s">
        <v>15</v>
      </c>
      <c r="V3" s="13" t="s">
        <v>88</v>
      </c>
      <c r="W3" s="13" t="s">
        <v>11</v>
      </c>
      <c r="X3" s="13" t="s">
        <v>7</v>
      </c>
      <c r="Y3" s="13" t="s">
        <v>15</v>
      </c>
      <c r="Z3" s="13" t="s">
        <v>88</v>
      </c>
      <c r="AA3" s="13" t="s">
        <v>11</v>
      </c>
      <c r="AB3" s="13" t="s">
        <v>7</v>
      </c>
      <c r="AC3" s="13" t="s">
        <v>15</v>
      </c>
      <c r="AD3" s="13" t="s">
        <v>88</v>
      </c>
      <c r="AE3" s="35" t="s">
        <v>11</v>
      </c>
      <c r="AF3" s="35" t="s">
        <v>7</v>
      </c>
      <c r="AG3" s="35" t="s">
        <v>15</v>
      </c>
      <c r="AH3" s="35" t="s">
        <v>88</v>
      </c>
      <c r="AI3" s="13" t="s">
        <v>28</v>
      </c>
      <c r="AJ3" s="13"/>
      <c r="AK3" s="13"/>
      <c r="AL3" s="13"/>
      <c r="AM3" s="13"/>
      <c r="AN3" s="13"/>
      <c r="AO3" s="13"/>
      <c r="AP3" s="13"/>
      <c r="AQ3" s="13"/>
      <c r="AR3" s="13"/>
      <c r="AS3" s="13"/>
      <c r="AT3" s="13"/>
      <c r="AU3" s="13"/>
      <c r="AV3" s="13"/>
      <c r="AW3" s="12" t="s">
        <v>11</v>
      </c>
      <c r="AX3" s="12" t="s">
        <v>7</v>
      </c>
      <c r="AY3" s="12" t="s">
        <v>15</v>
      </c>
      <c r="AZ3" s="12" t="s">
        <v>88</v>
      </c>
      <c r="BA3" s="12" t="s">
        <v>11</v>
      </c>
      <c r="BB3" s="12" t="s">
        <v>7</v>
      </c>
      <c r="BC3" s="12" t="s">
        <v>15</v>
      </c>
      <c r="BD3" s="12" t="s">
        <v>88</v>
      </c>
      <c r="BE3" s="12" t="s">
        <v>11</v>
      </c>
      <c r="BF3" s="12" t="s">
        <v>7</v>
      </c>
      <c r="BG3" s="12" t="s">
        <v>15</v>
      </c>
      <c r="BH3" s="12" t="s">
        <v>88</v>
      </c>
      <c r="BI3" s="36" t="s">
        <v>11</v>
      </c>
      <c r="BJ3" s="36" t="s">
        <v>7</v>
      </c>
      <c r="BK3" s="36" t="s">
        <v>15</v>
      </c>
      <c r="BL3" s="36" t="s">
        <v>88</v>
      </c>
      <c r="BM3" s="12" t="s">
        <v>28</v>
      </c>
      <c r="BN3" s="12"/>
      <c r="BO3" s="12"/>
      <c r="BP3" s="12"/>
      <c r="BQ3" s="12"/>
      <c r="BR3" s="12"/>
      <c r="BS3" s="12"/>
      <c r="BT3" s="12"/>
      <c r="BU3" s="12"/>
      <c r="BV3" s="12"/>
      <c r="BW3" s="12"/>
      <c r="BX3" s="12"/>
      <c r="BY3" s="12"/>
      <c r="BZ3" s="12"/>
      <c r="CA3" s="33"/>
      <c r="CB3" s="33"/>
      <c r="CC3" s="13" t="s">
        <v>11</v>
      </c>
      <c r="CD3" s="13" t="s">
        <v>7</v>
      </c>
      <c r="CE3" s="13" t="s">
        <v>15</v>
      </c>
      <c r="CF3" s="13" t="s">
        <v>88</v>
      </c>
      <c r="CG3" s="13" t="s">
        <v>11</v>
      </c>
      <c r="CH3" s="13" t="s">
        <v>7</v>
      </c>
      <c r="CI3" s="13" t="s">
        <v>15</v>
      </c>
      <c r="CJ3" s="13" t="s">
        <v>88</v>
      </c>
      <c r="CK3" s="13" t="s">
        <v>11</v>
      </c>
      <c r="CL3" s="13" t="s">
        <v>7</v>
      </c>
      <c r="CM3" s="13" t="s">
        <v>15</v>
      </c>
      <c r="CN3" s="13" t="s">
        <v>88</v>
      </c>
      <c r="CO3" s="13" t="s">
        <v>11</v>
      </c>
      <c r="CP3" s="13" t="s">
        <v>7</v>
      </c>
      <c r="CQ3" s="13" t="s">
        <v>15</v>
      </c>
      <c r="CR3" s="13" t="s">
        <v>88</v>
      </c>
      <c r="CS3" s="37" t="s">
        <v>11</v>
      </c>
      <c r="CT3" s="37" t="s">
        <v>7</v>
      </c>
      <c r="CU3" s="37" t="s">
        <v>15</v>
      </c>
      <c r="CV3" s="37" t="s">
        <v>88</v>
      </c>
      <c r="CW3" s="13"/>
      <c r="CX3" s="13"/>
      <c r="CY3" s="13"/>
      <c r="CZ3" s="13"/>
      <c r="DA3" s="13"/>
      <c r="DB3" s="13"/>
      <c r="DC3" s="13"/>
      <c r="DD3" s="13"/>
      <c r="DE3" s="13"/>
      <c r="DF3" s="13"/>
      <c r="DG3" s="13"/>
      <c r="DH3" s="13"/>
      <c r="DI3" s="13"/>
      <c r="DJ3" s="13"/>
      <c r="DK3" s="13"/>
      <c r="DL3" s="12" t="s">
        <v>11</v>
      </c>
      <c r="DM3" s="12" t="s">
        <v>7</v>
      </c>
      <c r="DN3" s="12" t="s">
        <v>15</v>
      </c>
      <c r="DO3" s="12" t="s">
        <v>88</v>
      </c>
      <c r="DP3" s="12" t="s">
        <v>11</v>
      </c>
      <c r="DQ3" s="12" t="s">
        <v>7</v>
      </c>
      <c r="DR3" s="12" t="s">
        <v>15</v>
      </c>
      <c r="DS3" s="12" t="s">
        <v>88</v>
      </c>
      <c r="DT3" s="12" t="s">
        <v>11</v>
      </c>
      <c r="DU3" s="12" t="s">
        <v>7</v>
      </c>
      <c r="DV3" s="12" t="s">
        <v>15</v>
      </c>
      <c r="DW3" s="12" t="s">
        <v>88</v>
      </c>
      <c r="DX3" s="12" t="s">
        <v>11</v>
      </c>
      <c r="DY3" s="12" t="s">
        <v>7</v>
      </c>
      <c r="DZ3" s="12" t="s">
        <v>15</v>
      </c>
      <c r="EA3" s="12" t="s">
        <v>88</v>
      </c>
      <c r="EB3" s="36" t="s">
        <v>11</v>
      </c>
      <c r="EC3" s="36" t="s">
        <v>7</v>
      </c>
      <c r="ED3" s="36" t="s">
        <v>15</v>
      </c>
      <c r="EE3" s="36" t="s">
        <v>88</v>
      </c>
      <c r="EF3" s="12"/>
      <c r="EG3" s="12"/>
      <c r="EH3" s="12"/>
      <c r="EI3" s="12"/>
      <c r="EJ3" s="12"/>
      <c r="EK3" s="12"/>
      <c r="EL3" s="12"/>
      <c r="EM3" s="12"/>
      <c r="EN3" s="12"/>
      <c r="EO3" s="12"/>
      <c r="EP3" s="12"/>
      <c r="EQ3" s="12"/>
      <c r="ER3" s="12"/>
      <c r="ES3" s="12"/>
      <c r="ET3" s="12"/>
    </row>
    <row r="4" spans="1:150" x14ac:dyDescent="0.2">
      <c r="A4" s="3" cm="1">
        <f t="array" ref="A4">IF(AND(H4&lt;&gt;"",H4&lt;&gt;"No DD"),SUMPRODUCT((H$4:H$24&lt;&gt;"")*(H$4:H$24&lt;&gt;"No DD")*(E$4:E$24&gt;E4))+1,IF(H4="No DD",SUMPRODUCT((H$4:H$24="No DD")*(E$4:E$24&gt;E4))+1+SUMPRODUCT((H$4:H$24&lt;&gt;"")*(H$4:H$24&lt;&gt;"No DD")),""))</f>
        <v>1</v>
      </c>
      <c r="B4" s="4" t="s">
        <v>65</v>
      </c>
      <c r="C4" s="3" t="s">
        <v>4</v>
      </c>
      <c r="D4" s="3">
        <v>2007</v>
      </c>
      <c r="E4" s="8">
        <f t="shared" ref="E4:E23" si="0">SUM(J4:P4)+SUM(J4:M4)*0.0000001+SUM(J4)*0.0000000000001</f>
        <v>110.00000833000546</v>
      </c>
      <c r="F4" s="2" t="str">
        <f>IF(OR(AND(AO4&lt;&gt;"",AO4&gt;=AV$29,AN4&gt;=AV$26),AND(AU4&lt;&gt;"",AU4&gt;=AV$29,AT4&gt;=AV$26),AND(BS4&lt;&gt;"",BS4&gt;=BZ$29,BR4&gt;=BZ$26),AND(BY4&lt;&gt;"",BY4&gt;=BZ$29,BX4&gt;=BZ$26),AND(DB4&lt;&gt;"",DB4&gt;=DK$29,DA4&gt;=DK$26),AND(DJ4&lt;&gt;"",DJ4&gt;=DK$29,DI4&gt;=DK$26),AND(EK4&lt;&gt;"",EK4&gt;=ET$29,EJ4&gt;=ET$26),AND(ES4&lt;&gt;"",ES4&gt;=ET$29,ER4&gt;=ET$26)),"P","")</f>
        <v>P</v>
      </c>
      <c r="G4" s="2" t="str">
        <f>IF(OR(AND(AO4&lt;&gt;"",AO4&gt;=AV$29),AND(AU4&lt;&gt;"",AU4&gt;=AV$29),AND(BS4&lt;&gt;"",BS4&gt;=BZ$29),AND(BY4&lt;&gt;"",BY4&gt;=BZ$29),AND(DB4&lt;&gt;"",DB4&gt;=DK$29),AND(DJ4&lt;&gt;"",DJ4&gt;=DK$29),AND(EK4&lt;&gt;"",EK4&gt;=ET$29),AND(ES4&lt;&gt;"",ES4&gt;=ET$29)),"P","")</f>
        <v>P</v>
      </c>
      <c r="H4" s="26" t="str">
        <f>IF(AND(G4="P",F4=""),"No DD",IF(OR(AND(AK4&lt;&gt;"",AK4&gt;=AV$31,AJ4&gt;=AV$28),AND(AM4&lt;&gt;"",AM4&gt;=AV$31,AL4&gt;=AV$28),AND(AQ4&lt;&gt;"",AQ4&gt;=AV$31,AP4&gt;=AV$28),AND(AS4&lt;&gt;"",AS4&gt;=AV$31,AR4&gt;=AV$28),AND(BO4&lt;&gt;"",BO4&gt;=BZ$31,BN4&gt;=BZ$28),AND(BQ4&lt;&gt;"",BQ4&gt;=BZ$31,BP4&gt;=BZ$28),AND(BV4&lt;&gt;"",BV4&gt;=BZ$31,BU4&gt;=BZ$28),AND(BX4&lt;&gt;"",BX4&gt;=BZ$31,BW4&gt;=BZ$28),AND(CX4&lt;&gt;"",CX4&gt;=DK$31,CW4&gt;=DK$28),AND(CZ4&lt;&gt;"",CZ4&gt;=DK$31,CY4&gt;=DK$28),AND(DD4&lt;&gt;"",DD4&gt;=DK$31,DC4&gt;=DK$28),AND(DF4&lt;&gt;"",DF4&gt;=DK$31,DE4&gt;=DK$28),AND(DH4&lt;&gt;"",DH4&gt;=DK$31,DG4&gt;=DK$28),AND(EG4&lt;&gt;"",EG4&gt;=ET$31,EF4&gt;=ET$28),AND(EI4&lt;&gt;"",EI4&gt;=ET$31,EH4&gt;=ET$28),AND(EM4&lt;&gt;"",EM4&gt;=ET$31,EL4&gt;=ET$28),AND(EO4&lt;&gt;"",EO4&gt;=ET$31,EN4&gt;=ET$28),AND(EQ4&lt;&gt;"",EQ4&gt;=ET$31,EP4&gt;=ET$28)),"Performance",IF(I4="P","Worlds Team",IF(F4="P","National Team",""))))</f>
        <v>Worlds Team</v>
      </c>
      <c r="I4" s="2" t="str">
        <f>IF(OR(AND(AO4&lt;&gt;"",AO4&gt;=AV$30,AN4&gt;=AV$27),AND(AU4&lt;&gt;"",AU4&gt;=AV$30,AT4&gt;=AV$27),AND(BS4&lt;&gt;"",BS4&gt;=BZ$30,BR4&gt;=BZ$27),AND(BY4&lt;&gt;"",BY4&gt;=BZ$30,BX4&gt;=BZ$27),AND(DB4&lt;&gt;"",DB4&gt;=DK$30,DA4&gt;=DK$27),AND(DJ4&lt;&gt;"",DJ4&gt;=DK$30,DI4&gt;=DK$27),AND(EK4&lt;&gt;"",EK4&gt;=ET$30,EJ4&gt;=ET$27),AND(ES4&lt;&gt;"",ES4&gt;=ET$30,ER4&gt;=ET$27)),"P","")</f>
        <v>P</v>
      </c>
      <c r="J4" s="7">
        <f t="shared" ref="J4:J23" si="1">IF(COUNT(AO4,BS4)&gt;0,MAX(AO4,BS4),0)</f>
        <v>54.5</v>
      </c>
      <c r="K4" s="7" t="str">
        <f t="shared" ref="K4:K23" si="2">IF(J4=0,"",IF(J4=BS4,$AW$1,IF(J4=AO4,$S$1,"")))</f>
        <v>2026 Elite Canada</v>
      </c>
      <c r="L4" s="7">
        <f>IF(J4=AO4,IF(COUNT(AQ4,AS4,BO4,BQ4,BU4,BW4)&gt;1,LARGE((AQ4,AS4,BO4,BQ4,BU4,BW4),1),0),IF(COUNT(AK4,AM4,AQ4,AS4,BU4,BW4)&gt;1,LARGE((AK4,AM4,AQ4,AS4,BU4,BW4),1),0))</f>
        <v>28.8</v>
      </c>
      <c r="M4" s="7" t="str">
        <f t="shared" ref="M4:M23" si="3">IF(L4=0,"",IF(OR(L4=BO4,L4=BQ4,L4=BU4,L4=BW4),$AW$1,IF(OR(L4=AK4,L4=AM4,L4=AQ4,L4=AS4),$S$1,"")))</f>
        <v>2026 Elite Canada</v>
      </c>
      <c r="N4" s="7">
        <f>IF(J4=AO4,IF(COUNT(AQ4,AS4,BO4,BQ4,BU4,BW4)&gt;1,LARGE((AQ4,AS4,BO4,BQ4,BU4,BW4),2),0),IF(COUNT(AK4,AM4,AQ4,AS4,BU4,BW4)&gt;1,LARGE((AK4,AM4,AQ4,AS4,BU4,BW4),2),0))</f>
        <v>21.299999999999997</v>
      </c>
      <c r="O4" s="7" t="str">
        <f t="shared" ref="O4:O23" si="4">IF(N4=0,"",IF(OR(N4=BO4,N4=BQ4,N4=BU4,N4=BW4),$AW$1,IF(OR(N4=AK4,N4=AM4,N4=AQ4,N4=AS4),$S$1,"")))</f>
        <v>2026 Elite Canada</v>
      </c>
      <c r="P4" s="7">
        <f t="shared" ref="P4:P23" si="5">IF(MAX(CA4:CB4)&gt;0,MAX(CA4:CB4),"")</f>
        <v>5.4000000000000021</v>
      </c>
      <c r="Q4" s="10" t="str">
        <f t="shared" ref="Q4:Q23" si="6">IF(P4="","",IF(P4=CA4,"("&amp;CA$2&amp;")",IF(P4=CB4,"("&amp;CB$2&amp;")")))</f>
        <v>(Pass)</v>
      </c>
      <c r="R4" s="7" t="str">
        <f t="shared" ref="R4:R23" si="7">IF(P4="","",IF(P4=CA4,IF(P4+MAX(J4,0)=EK4,$DL$1,IF(P4+MAX(J4,0)=DB4,$CC$1)),IF(P4=CB4,IF(P4+MAX(N4,0)=MAX(EG4,EI4,EM4,EO4,EQ4),$DL$1,IF(P4+MAX(N4,0)=MAX(CX4,CZ4,DD4,DF4,DH4),$CC$1)))))</f>
        <v>2025 Worlds (Nov 9)</v>
      </c>
      <c r="S4" s="38">
        <v>18.8</v>
      </c>
      <c r="T4" s="38">
        <v>8</v>
      </c>
      <c r="U4" s="38">
        <v>0.2</v>
      </c>
      <c r="V4" s="38">
        <v>0.50000000000000067</v>
      </c>
      <c r="W4" s="38">
        <v>19</v>
      </c>
      <c r="X4" s="38">
        <v>8.4</v>
      </c>
      <c r="Y4" s="38">
        <v>0</v>
      </c>
      <c r="Z4" s="38">
        <v>0</v>
      </c>
      <c r="AA4" s="38">
        <v>18.399999999999999</v>
      </c>
      <c r="AB4" s="38">
        <v>4.7</v>
      </c>
      <c r="AC4" s="38">
        <v>1.8</v>
      </c>
      <c r="AD4" s="38">
        <v>0</v>
      </c>
      <c r="AE4" s="38">
        <v>18.8</v>
      </c>
      <c r="AF4" s="38">
        <v>9.5</v>
      </c>
      <c r="AG4" s="38">
        <v>0</v>
      </c>
      <c r="AH4" s="38">
        <v>0.5</v>
      </c>
      <c r="AI4" s="19"/>
      <c r="AJ4" s="41">
        <f t="shared" ref="AJ4:AJ23" si="8">IF(T4="","",T4)</f>
        <v>8</v>
      </c>
      <c r="AK4" s="41">
        <f t="shared" ref="AK4:AK23" si="9">IF(S4="","",S4+T4+V4-U4)</f>
        <v>27.1</v>
      </c>
      <c r="AL4" s="41">
        <f t="shared" ref="AL4:AL23" si="10">IF(X4="","",X4)</f>
        <v>8.4</v>
      </c>
      <c r="AM4" s="41">
        <f t="shared" ref="AM4:AM23" si="11">IF(W4="","",W4+X4+Z4-Y4)</f>
        <v>27.4</v>
      </c>
      <c r="AN4" s="27">
        <f t="shared" ref="AN4:AN23" si="12">IF(SUM(T4,X4)&gt;0,SUM(T4,X4),"")</f>
        <v>16.399999999999999</v>
      </c>
      <c r="AO4" s="27">
        <f t="shared" ref="AO4:AO23" si="13">IF(SUM(AK4,AM4)&gt;0,SUM(AK4,AM4),"")</f>
        <v>54.5</v>
      </c>
      <c r="AP4" s="27">
        <f t="shared" ref="AP4:AP23" si="14">IF(AB4="","",AB4)</f>
        <v>4.7</v>
      </c>
      <c r="AQ4" s="27">
        <f t="shared" ref="AQ4:AQ23" si="15">IF(AA4="","",AA4+AB4+AD4-AC4)</f>
        <v>21.299999999999997</v>
      </c>
      <c r="AR4" s="27">
        <f t="shared" ref="AR4:AR23" si="16">IF(AF4="","",AF4)</f>
        <v>9.5</v>
      </c>
      <c r="AS4" s="27">
        <f t="shared" ref="AS4:AS23" si="17">IF(AE4="","",AE4+AF4+AH4-AG4)</f>
        <v>28.8</v>
      </c>
      <c r="AT4" s="27">
        <f t="shared" ref="AT4:AT23" si="18">IF(SUM(AB4,AF4)&gt;0,SUM(AB4,AF4),"")</f>
        <v>14.2</v>
      </c>
      <c r="AU4" s="27">
        <f t="shared" ref="AU4:AU23" si="19">IF(SUM(AQ4,AS4)&gt;0,SUM(AQ4,AS4),"")</f>
        <v>50.099999999999994</v>
      </c>
      <c r="AV4" s="27">
        <f t="shared" ref="AV4:AV23" si="20">IF(SUM(AO4,AU4)&gt;0,SUM(AO4,AU4),"")</f>
        <v>104.6</v>
      </c>
      <c r="AW4" s="15"/>
      <c r="AX4" s="15"/>
      <c r="AY4" s="15"/>
      <c r="AZ4" s="15"/>
      <c r="BA4" s="15"/>
      <c r="BB4" s="15"/>
      <c r="BC4" s="15"/>
      <c r="BD4" s="15"/>
      <c r="BE4" s="15"/>
      <c r="BF4" s="15"/>
      <c r="BG4" s="15"/>
      <c r="BH4" s="15"/>
      <c r="BI4" s="15"/>
      <c r="BJ4" s="15"/>
      <c r="BK4" s="15"/>
      <c r="BL4" s="15"/>
      <c r="BM4" s="20"/>
      <c r="BN4" s="42" t="str">
        <f t="shared" ref="BN4:BN23" si="21">IF(AX4="","",AX4)</f>
        <v/>
      </c>
      <c r="BO4" s="42" t="str">
        <f t="shared" ref="BO4:BO23" si="22">IF(AW4="","",AW4+AX4+AZ4-AY4)</f>
        <v/>
      </c>
      <c r="BP4" s="42" t="str">
        <f t="shared" ref="BP4:BP23" si="23">IF(BB4="","",BB4)</f>
        <v/>
      </c>
      <c r="BQ4" s="42" t="str">
        <f t="shared" ref="BQ4:BQ23" si="24">IF(BA4="","",BA4+BB4+BD4-BC4)</f>
        <v/>
      </c>
      <c r="BR4" s="10" t="str">
        <f t="shared" ref="BR4:BR23" si="25">IF(SUM(AX4,BB4)&gt;0,SUM(AX4,BB4),"")</f>
        <v/>
      </c>
      <c r="BS4" s="10" t="str">
        <f t="shared" ref="BS4:BS23" si="26">IF(SUM(BO4,BQ4)&gt;0,SUM(BO4,BQ4),"")</f>
        <v/>
      </c>
      <c r="BT4" s="10" t="str">
        <f t="shared" ref="BT4:BT23" si="27">IF(BF4="","",BF4)</f>
        <v/>
      </c>
      <c r="BU4" s="10" t="str">
        <f t="shared" ref="BU4:BU23" si="28">IF(BE4="","",BE4+BF4+BH4-BG4)</f>
        <v/>
      </c>
      <c r="BV4" s="10" t="str">
        <f t="shared" ref="BV4:BV23" si="29">IF(BJ4="","",BJ4)</f>
        <v/>
      </c>
      <c r="BW4" s="10" t="str">
        <f t="shared" ref="BW4:BW23" si="30">IF(BI4="","",BI4+BJ4+BL4-BK4)</f>
        <v/>
      </c>
      <c r="BX4" s="10" t="str">
        <f t="shared" ref="BX4:BX23" si="31">IF(SUM(BF4,BJ4)&gt;0,SUM(BF4,BJ4),"")</f>
        <v/>
      </c>
      <c r="BY4" s="10" t="str">
        <f t="shared" ref="BY4:BY23" si="32">IF(SUM(BU4,BW4)&gt;0,SUM(BU4,BW4),"")</f>
        <v/>
      </c>
      <c r="BZ4" s="10" t="str">
        <f t="shared" ref="BZ4:BZ23" si="33">IF(SUM(BS4,BY4)&gt;0,SUM(BS4,BY4),"")</f>
        <v/>
      </c>
      <c r="CA4" s="34" t="str">
        <f t="shared" ref="CA4:CA23" si="34">IF(MAX(DB4,EK4)-IF(J4="",0,J4)&gt;0.001,MAX(DB4,EK4)-IF(J4="",0,J4),"")</f>
        <v/>
      </c>
      <c r="CB4" s="34">
        <f t="shared" ref="CB4:CB23" si="35">IF(MAX(CX4,CZ4,DD4,DF4,DH4,EG4,EI4,EM4,EO4)-IF(N4="",0,N4)&gt;0.001,MAX(CX4,CZ4,DD4,DF4,DH4,EG4,EI4,EM4,EO4)-IF(N4="",0,N4),"")</f>
        <v>5.4000000000000021</v>
      </c>
      <c r="CC4" s="14">
        <v>15.5</v>
      </c>
      <c r="CD4" s="14">
        <v>4</v>
      </c>
      <c r="CE4" s="14">
        <v>0</v>
      </c>
      <c r="CF4" s="14">
        <v>0</v>
      </c>
      <c r="CG4" s="14">
        <v>18</v>
      </c>
      <c r="CH4" s="14">
        <v>9.5</v>
      </c>
      <c r="CI4" s="14">
        <v>0.8</v>
      </c>
      <c r="CJ4" s="14">
        <v>0</v>
      </c>
      <c r="CK4" s="14"/>
      <c r="CL4" s="14"/>
      <c r="CM4" s="14"/>
      <c r="CN4" s="14"/>
      <c r="CO4" s="14"/>
      <c r="CP4" s="14"/>
      <c r="CQ4" s="14"/>
      <c r="CR4" s="14"/>
      <c r="CS4" s="14"/>
      <c r="CT4" s="14"/>
      <c r="CU4" s="14"/>
      <c r="CV4" s="14"/>
      <c r="CW4" s="27">
        <f t="shared" ref="CW4:CW23" si="36">IF(CD4="","",CD4)</f>
        <v>4</v>
      </c>
      <c r="CX4" s="27">
        <f t="shared" ref="CX4:CX23" si="37">IF(CC4="","",CC4+CD4+CF4-CE4)</f>
        <v>19.5</v>
      </c>
      <c r="CY4" s="27">
        <f t="shared" ref="CY4:CY23" si="38">IF(CH4="","",CH4)</f>
        <v>9.5</v>
      </c>
      <c r="CZ4" s="27">
        <f t="shared" ref="CZ4:CZ23" si="39">IF(CG4="","",CG4+CH4+CJ4-CI4)</f>
        <v>26.7</v>
      </c>
      <c r="DA4" s="27">
        <f t="shared" ref="DA4:DA23" si="40">IF(CW4="","",SUM(CW4,CY4))</f>
        <v>13.5</v>
      </c>
      <c r="DB4" s="27">
        <f t="shared" ref="DB4:DB23" si="41">IF(CX4="","",SUM(CX4,CZ4))</f>
        <v>46.2</v>
      </c>
      <c r="DC4" s="27" t="str">
        <f t="shared" ref="DC4:DC23" si="42">IF(CL4="","",CL4)</f>
        <v/>
      </c>
      <c r="DD4" s="27" t="str">
        <f t="shared" ref="DD4:DD23" si="43">IF(CK4="","",CK4+CL4+CN4-CM4)</f>
        <v/>
      </c>
      <c r="DE4" s="27" t="str">
        <f t="shared" ref="DE4:DE23" si="44">IF(CP4="","",CP4)</f>
        <v/>
      </c>
      <c r="DF4" s="27" t="str">
        <f t="shared" ref="DF4:DF23" si="45">IF(CO4="","",CO4+CP4+CR4-CQ4)</f>
        <v/>
      </c>
      <c r="DG4" s="27" t="str">
        <f t="shared" ref="DG4:DG23" si="46">IF(CT4="","",CT4)</f>
        <v/>
      </c>
      <c r="DH4" s="27" t="str">
        <f t="shared" ref="DH4:DH23" si="47">IF(CS4="","",CS4+CT4+CV4-CU4)</f>
        <v/>
      </c>
      <c r="DI4" s="27" t="str">
        <f t="shared" ref="DI4:DI23" si="48">IF(DE4="","",SUM(DE4,DG4))</f>
        <v/>
      </c>
      <c r="DJ4" s="27" t="str">
        <f t="shared" ref="DJ4:DJ23" si="49">IF(DF4="","",SUM(DF4,DH4))</f>
        <v/>
      </c>
      <c r="DK4" s="27">
        <f t="shared" ref="DK4:DK23" si="50">IF(DB4="","",SUM(DB4,DD4,DH4))</f>
        <v>46.2</v>
      </c>
      <c r="DL4" s="15"/>
      <c r="DM4" s="15"/>
      <c r="DN4" s="15"/>
      <c r="DO4" s="15"/>
      <c r="DP4" s="15"/>
      <c r="DQ4" s="15"/>
      <c r="DR4" s="15"/>
      <c r="DS4" s="15"/>
      <c r="DT4" s="15"/>
      <c r="DU4" s="15"/>
      <c r="DV4" s="15"/>
      <c r="DW4" s="15"/>
      <c r="DX4" s="15"/>
      <c r="DY4" s="15"/>
      <c r="DZ4" s="15"/>
      <c r="EA4" s="15"/>
      <c r="EB4" s="15"/>
      <c r="EC4" s="15"/>
      <c r="ED4" s="15"/>
      <c r="EE4" s="15"/>
      <c r="EF4" s="10" t="str">
        <f t="shared" ref="EF4:EF23" si="51">IF(DM4="","",DM4)</f>
        <v/>
      </c>
      <c r="EG4" s="10" t="str">
        <f t="shared" ref="EG4:EG23" si="52">IF(DL4="","",DL4+DM4+DO4-DN4)</f>
        <v/>
      </c>
      <c r="EH4" s="10" t="str">
        <f t="shared" ref="EH4:EH23" si="53">IF(DQ4="","",DQ4)</f>
        <v/>
      </c>
      <c r="EI4" s="10" t="str">
        <f t="shared" ref="EI4:EI23" si="54">IF(DP4="","",DP4+DQ4+DS4-DR4)</f>
        <v/>
      </c>
      <c r="EJ4" s="10" t="str">
        <f t="shared" ref="EJ4:EJ23" si="55">IF(EF4="","",SUM(EF4,EH4))</f>
        <v/>
      </c>
      <c r="EK4" s="10" t="str">
        <f t="shared" ref="EK4:EK23" si="56">IF(EG4="","",SUM(EG4,EI4))</f>
        <v/>
      </c>
      <c r="EL4" s="10" t="str">
        <f t="shared" ref="EL4:EL23" si="57">IF(DU4="","",DU4)</f>
        <v/>
      </c>
      <c r="EM4" s="10" t="str">
        <f t="shared" ref="EM4:EM23" si="58">IF(DT4="","",DT4+DU4+DW4-DV4)</f>
        <v/>
      </c>
      <c r="EN4" s="10" t="str">
        <f t="shared" ref="EN4:EN23" si="59">IF(DY4="","",DY4)</f>
        <v/>
      </c>
      <c r="EO4" s="10" t="str">
        <f t="shared" ref="EO4:EO23" si="60">IF(DX4="","",DX4+DY4+EA4-DZ4)</f>
        <v/>
      </c>
      <c r="EP4" s="10" t="str">
        <f t="shared" ref="EP4:EP23" si="61">IF(EC4="","",EC4)</f>
        <v/>
      </c>
      <c r="EQ4" s="10" t="str">
        <f t="shared" ref="EQ4:EQ23" si="62">IF(EB4="","",EB4+EC4+EE4-ED4)</f>
        <v/>
      </c>
      <c r="ER4" s="10" t="str">
        <f t="shared" ref="ER4:ER23" si="63">IF(EN4="","",SUM(EN4,EP4))</f>
        <v/>
      </c>
      <c r="ES4" s="10" t="str">
        <f t="shared" ref="ES4:ES23" si="64">IF(EO4="","",SUM(EO4,EQ4))</f>
        <v/>
      </c>
      <c r="ET4" s="10" t="str">
        <f t="shared" ref="ET4:ET23" si="65">IF(EK4="","",SUM(EK4,EM4,EQ4))</f>
        <v/>
      </c>
    </row>
    <row r="5" spans="1:150" x14ac:dyDescent="0.2">
      <c r="A5" s="3" cm="1">
        <f t="array" ref="A5">IF(AND(H5&lt;&gt;"",H5&lt;&gt;"No DD"),SUMPRODUCT((H$4:H$24&lt;&gt;"")*(H$4:H$24&lt;&gt;"No DD")*(E$4:E$24&gt;E5))+1,IF(H5="No DD",SUMPRODUCT((H$4:H$24="No DD")*(E$4:E$24&gt;E5))+1+SUMPRODUCT((H$4:H$24&lt;&gt;"")*(H$4:H$24&lt;&gt;"No DD")),""))</f>
        <v>2</v>
      </c>
      <c r="B5" s="4" t="s">
        <v>42</v>
      </c>
      <c r="C5" s="3" t="s">
        <v>6</v>
      </c>
      <c r="D5" s="3">
        <v>2006</v>
      </c>
      <c r="E5" s="8">
        <f t="shared" si="0"/>
        <v>107.50000801000532</v>
      </c>
      <c r="F5" s="2" t="str">
        <f>IF(OR(AND(AO5&lt;&gt;"",AO5&gt;=AV$29,AN5&gt;=AV$26),AND(AU5&lt;&gt;"",AU5&gt;=AV$29,AT5&gt;=AV$26),AND(BS5&lt;&gt;"",BS5&gt;=BZ$29,BR5&gt;=BZ$26),AND(BY5&lt;&gt;"",BY5&gt;=BZ$29,BX5&gt;=BZ$26),AND(DB5&lt;&gt;"",DB5&gt;=DK$29,DA5&gt;=DK$26),AND(DJ5&lt;&gt;"",DJ5&gt;=DK$29,DI5&gt;=DK$26),AND(EK5&lt;&gt;"",EK5&gt;=ET$29,EJ5&gt;=ET$26),AND(ES5&lt;&gt;"",ES5&gt;=ET$29,ER5&gt;=ET$26)),"P","")</f>
        <v>P</v>
      </c>
      <c r="G5" s="2" t="str">
        <f>IF(OR(AND(AO5&lt;&gt;"",AO5&gt;=AV$29),AND(AU5&lt;&gt;"",AU5&gt;=AV$29),AND(BS5&lt;&gt;"",BS5&gt;=BZ$29),AND(BY5&lt;&gt;"",BY5&gt;=BZ$29),AND(DB5&lt;&gt;"",DB5&gt;=DK$29),AND(DJ5&lt;&gt;"",DJ5&gt;=DK$29),AND(EK5&lt;&gt;"",EK5&gt;=ET$29),AND(ES5&lt;&gt;"",ES5&gt;=ET$29)),"P","")</f>
        <v>P</v>
      </c>
      <c r="H5" s="26" t="str">
        <f>IF(AND(G5="P",F5=""),"No DD",IF(OR(AND(AK5&lt;&gt;"",AK5&gt;=AV$31,AJ5&gt;=AV$28),AND(AM5&lt;&gt;"",AM5&gt;=AV$31,AL5&gt;=AV$28),AND(AQ5&lt;&gt;"",AQ5&gt;=AV$31,AP5&gt;=AV$28),AND(AS5&lt;&gt;"",AS5&gt;=AV$31,AR5&gt;=AV$28),AND(BO5&lt;&gt;"",BO5&gt;=BZ$31,BN5&gt;=BZ$28),AND(BQ5&lt;&gt;"",BQ5&gt;=BZ$31,BP5&gt;=BZ$28),AND(BV5&lt;&gt;"",BV5&gt;=BZ$31,BU5&gt;=BZ$28),AND(BX5&lt;&gt;"",BX5&gt;=BZ$31,BW5&gt;=BZ$28),AND(CX5&lt;&gt;"",CX5&gt;=DK$31,CW5&gt;=DK$28),AND(CZ5&lt;&gt;"",CZ5&gt;=DK$31,CY5&gt;=DK$28),AND(DD5&lt;&gt;"",DD5&gt;=DK$31,DC5&gt;=DK$28),AND(DF5&lt;&gt;"",DF5&gt;=DK$31,DE5&gt;=DK$28),AND(DH5&lt;&gt;"",DH5&gt;=DK$31,DG5&gt;=DK$28),AND(EG5&lt;&gt;"",EG5&gt;=ET$31,EF5&gt;=ET$28),AND(EI5&lt;&gt;"",EI5&gt;=ET$31,EH5&gt;=ET$28),AND(EM5&lt;&gt;"",EM5&gt;=ET$31,EL5&gt;=ET$28),AND(EO5&lt;&gt;"",EO5&gt;=ET$31,EN5&gt;=ET$28),AND(EQ5&lt;&gt;"",EQ5&gt;=ET$31,EP5&gt;=ET$28)),"Performance",IF(I5="P","Worlds Team",IF(F5="P","National Team",""))))</f>
        <v>Worlds Team</v>
      </c>
      <c r="I5" s="2" t="str">
        <f>IF(OR(AND(AO5&lt;&gt;"",AO5&gt;=AV$30,AN5&gt;=AV$27),AND(AU5&lt;&gt;"",AU5&gt;=AV$30,AT5&gt;=AV$27),AND(BS5&lt;&gt;"",BS5&gt;=BZ$30,BR5&gt;=BZ$27),AND(BY5&lt;&gt;"",BY5&gt;=BZ$30,BX5&gt;=BZ$27),AND(DB5&lt;&gt;"",DB5&gt;=DK$30,DA5&gt;=DK$27),AND(DJ5&lt;&gt;"",DJ5&gt;=DK$30,DI5&gt;=DK$27),AND(EK5&lt;&gt;"",EK5&gt;=ET$30,EJ5&gt;=ET$27),AND(ES5&lt;&gt;"",ES5&gt;=ET$30,ER5&gt;=ET$27)),"P","")</f>
        <v>P</v>
      </c>
      <c r="J5" s="7">
        <f t="shared" si="1"/>
        <v>53.099999999999994</v>
      </c>
      <c r="K5" s="7" t="str">
        <f t="shared" si="2"/>
        <v>2026 Elite Canada</v>
      </c>
      <c r="L5" s="7">
        <f>IF(J5=AO5,IF(COUNT(AQ5,AS5,BO5,BQ5,BU5,BW5)&gt;1,LARGE((AQ5,AS5,BO5,BQ5,BU5,BW5),1),0),IF(COUNT(AK5,AM5,AQ5,AS5,BU5,BW5)&gt;1,LARGE((AK5,AM5,AQ5,AS5,BU5,BW5),1),0))</f>
        <v>27</v>
      </c>
      <c r="M5" s="7" t="str">
        <f t="shared" si="3"/>
        <v>2026 Elite Canada</v>
      </c>
      <c r="N5" s="7">
        <f>IF(J5=AO5,IF(COUNT(AQ5,AS5,BO5,BQ5,BU5,BW5)&gt;1,LARGE((AQ5,AS5,BO5,BQ5,BU5,BW5),2),0),IF(COUNT(AK5,AM5,AQ5,AS5,BU5,BW5)&gt;1,LARGE((AK5,AM5,AQ5,AS5,BU5,BW5),2),0))</f>
        <v>26.5</v>
      </c>
      <c r="O5" s="7" t="str">
        <f t="shared" si="4"/>
        <v>2026 Elite Canada</v>
      </c>
      <c r="P5" s="7">
        <f t="shared" si="5"/>
        <v>0.89999999999999858</v>
      </c>
      <c r="Q5" s="10" t="str">
        <f t="shared" si="6"/>
        <v>(Pass)</v>
      </c>
      <c r="R5" s="7" t="str">
        <f t="shared" si="7"/>
        <v>2025 WAGC (Nov 16)</v>
      </c>
      <c r="S5" s="38">
        <v>19.100000000000001</v>
      </c>
      <c r="T5" s="38">
        <v>8.4</v>
      </c>
      <c r="U5" s="38">
        <v>0.8</v>
      </c>
      <c r="V5" s="38">
        <v>0</v>
      </c>
      <c r="W5" s="38">
        <v>18.5</v>
      </c>
      <c r="X5" s="38">
        <v>8</v>
      </c>
      <c r="Y5" s="38">
        <v>0.6</v>
      </c>
      <c r="Z5" s="38">
        <v>0.49999999999999856</v>
      </c>
      <c r="AA5" s="38">
        <v>19.2</v>
      </c>
      <c r="AB5" s="38">
        <v>8.4</v>
      </c>
      <c r="AC5" s="38">
        <v>0.6</v>
      </c>
      <c r="AD5" s="38">
        <v>0</v>
      </c>
      <c r="AE5" s="38">
        <v>18.600000000000001</v>
      </c>
      <c r="AF5" s="38">
        <v>8</v>
      </c>
      <c r="AG5" s="38">
        <v>0.6</v>
      </c>
      <c r="AH5" s="38">
        <v>0.49999999999999856</v>
      </c>
      <c r="AI5" s="19"/>
      <c r="AJ5" s="41">
        <f t="shared" si="8"/>
        <v>8.4</v>
      </c>
      <c r="AK5" s="41">
        <f t="shared" si="9"/>
        <v>26.7</v>
      </c>
      <c r="AL5" s="41">
        <f t="shared" si="10"/>
        <v>8</v>
      </c>
      <c r="AM5" s="41">
        <f t="shared" si="11"/>
        <v>26.4</v>
      </c>
      <c r="AN5" s="27">
        <f t="shared" si="12"/>
        <v>16.399999999999999</v>
      </c>
      <c r="AO5" s="27">
        <f t="shared" si="13"/>
        <v>53.099999999999994</v>
      </c>
      <c r="AP5" s="27">
        <f t="shared" si="14"/>
        <v>8.4</v>
      </c>
      <c r="AQ5" s="27">
        <f t="shared" si="15"/>
        <v>27</v>
      </c>
      <c r="AR5" s="27">
        <f t="shared" si="16"/>
        <v>8</v>
      </c>
      <c r="AS5" s="27">
        <f t="shared" si="17"/>
        <v>26.5</v>
      </c>
      <c r="AT5" s="27">
        <f t="shared" si="18"/>
        <v>16.399999999999999</v>
      </c>
      <c r="AU5" s="27">
        <f t="shared" si="19"/>
        <v>53.5</v>
      </c>
      <c r="AV5" s="27">
        <f t="shared" si="20"/>
        <v>106.6</v>
      </c>
      <c r="AW5" s="15"/>
      <c r="AX5" s="15"/>
      <c r="AY5" s="15"/>
      <c r="AZ5" s="15"/>
      <c r="BA5" s="15"/>
      <c r="BB5" s="15"/>
      <c r="BC5" s="15"/>
      <c r="BD5" s="15"/>
      <c r="BE5" s="15"/>
      <c r="BF5" s="15"/>
      <c r="BG5" s="15"/>
      <c r="BH5" s="15"/>
      <c r="BI5" s="15"/>
      <c r="BJ5" s="15"/>
      <c r="BK5" s="15"/>
      <c r="BL5" s="15"/>
      <c r="BM5" s="20"/>
      <c r="BN5" s="42" t="str">
        <f t="shared" si="21"/>
        <v/>
      </c>
      <c r="BO5" s="42" t="str">
        <f t="shared" si="22"/>
        <v/>
      </c>
      <c r="BP5" s="42" t="str">
        <f t="shared" si="23"/>
        <v/>
      </c>
      <c r="BQ5" s="42" t="str">
        <f t="shared" si="24"/>
        <v/>
      </c>
      <c r="BR5" s="10" t="str">
        <f t="shared" si="25"/>
        <v/>
      </c>
      <c r="BS5" s="10" t="str">
        <f t="shared" si="26"/>
        <v/>
      </c>
      <c r="BT5" s="10" t="str">
        <f t="shared" si="27"/>
        <v/>
      </c>
      <c r="BU5" s="10" t="str">
        <f t="shared" si="28"/>
        <v/>
      </c>
      <c r="BV5" s="10" t="str">
        <f t="shared" si="29"/>
        <v/>
      </c>
      <c r="BW5" s="10" t="str">
        <f t="shared" si="30"/>
        <v/>
      </c>
      <c r="BX5" s="10" t="str">
        <f t="shared" si="31"/>
        <v/>
      </c>
      <c r="BY5" s="10" t="str">
        <f t="shared" si="32"/>
        <v/>
      </c>
      <c r="BZ5" s="10" t="str">
        <f t="shared" si="33"/>
        <v/>
      </c>
      <c r="CA5" s="34" t="str">
        <f t="shared" si="34"/>
        <v/>
      </c>
      <c r="CB5" s="34">
        <f t="shared" si="35"/>
        <v>0.89999999999999858</v>
      </c>
      <c r="CC5" s="14"/>
      <c r="CD5" s="14"/>
      <c r="CE5" s="14"/>
      <c r="CF5" s="14"/>
      <c r="CG5" s="14"/>
      <c r="CH5" s="14"/>
      <c r="CI5" s="14"/>
      <c r="CJ5" s="14"/>
      <c r="CK5" s="14"/>
      <c r="CL5" s="14"/>
      <c r="CM5" s="14"/>
      <c r="CN5" s="14"/>
      <c r="CO5" s="14"/>
      <c r="CP5" s="14"/>
      <c r="CQ5" s="14"/>
      <c r="CR5" s="14"/>
      <c r="CS5" s="14"/>
      <c r="CT5" s="14"/>
      <c r="CU5" s="14"/>
      <c r="CV5" s="14"/>
      <c r="CW5" s="27" t="str">
        <f t="shared" si="36"/>
        <v/>
      </c>
      <c r="CX5" s="27" t="str">
        <f t="shared" si="37"/>
        <v/>
      </c>
      <c r="CY5" s="27" t="str">
        <f t="shared" si="38"/>
        <v/>
      </c>
      <c r="CZ5" s="27" t="str">
        <f t="shared" si="39"/>
        <v/>
      </c>
      <c r="DA5" s="27" t="str">
        <f t="shared" si="40"/>
        <v/>
      </c>
      <c r="DB5" s="27" t="str">
        <f t="shared" si="41"/>
        <v/>
      </c>
      <c r="DC5" s="27" t="str">
        <f t="shared" si="42"/>
        <v/>
      </c>
      <c r="DD5" s="27" t="str">
        <f t="shared" si="43"/>
        <v/>
      </c>
      <c r="DE5" s="27" t="str">
        <f t="shared" si="44"/>
        <v/>
      </c>
      <c r="DF5" s="27" t="str">
        <f t="shared" si="45"/>
        <v/>
      </c>
      <c r="DG5" s="27" t="str">
        <f t="shared" si="46"/>
        <v/>
      </c>
      <c r="DH5" s="27" t="str">
        <f t="shared" si="47"/>
        <v/>
      </c>
      <c r="DI5" s="27" t="str">
        <f t="shared" si="48"/>
        <v/>
      </c>
      <c r="DJ5" s="27" t="str">
        <f t="shared" si="49"/>
        <v/>
      </c>
      <c r="DK5" s="27" t="str">
        <f t="shared" si="50"/>
        <v/>
      </c>
      <c r="DL5" s="15">
        <v>19</v>
      </c>
      <c r="DM5" s="15">
        <v>8.4</v>
      </c>
      <c r="DN5" s="15">
        <v>0</v>
      </c>
      <c r="DO5" s="15">
        <v>0</v>
      </c>
      <c r="DP5" s="15">
        <v>15.2</v>
      </c>
      <c r="DQ5" s="15">
        <v>3.6</v>
      </c>
      <c r="DR5" s="15">
        <v>0</v>
      </c>
      <c r="DS5" s="15">
        <v>0</v>
      </c>
      <c r="DT5" s="15"/>
      <c r="DU5" s="15"/>
      <c r="DV5" s="15"/>
      <c r="DW5" s="15"/>
      <c r="DX5" s="15"/>
      <c r="DY5" s="15"/>
      <c r="DZ5" s="15"/>
      <c r="EA5" s="15"/>
      <c r="EB5" s="15"/>
      <c r="EC5" s="15"/>
      <c r="ED5" s="15"/>
      <c r="EE5" s="15"/>
      <c r="EF5" s="10">
        <f t="shared" si="51"/>
        <v>8.4</v>
      </c>
      <c r="EG5" s="10">
        <f t="shared" si="52"/>
        <v>27.4</v>
      </c>
      <c r="EH5" s="10">
        <f t="shared" si="53"/>
        <v>3.6</v>
      </c>
      <c r="EI5" s="10">
        <f t="shared" si="54"/>
        <v>18.8</v>
      </c>
      <c r="EJ5" s="10">
        <f t="shared" si="55"/>
        <v>12</v>
      </c>
      <c r="EK5" s="10">
        <f t="shared" si="56"/>
        <v>46.2</v>
      </c>
      <c r="EL5" s="10" t="str">
        <f t="shared" si="57"/>
        <v/>
      </c>
      <c r="EM5" s="10" t="str">
        <f t="shared" si="58"/>
        <v/>
      </c>
      <c r="EN5" s="10" t="str">
        <f t="shared" si="59"/>
        <v/>
      </c>
      <c r="EO5" s="10" t="str">
        <f t="shared" si="60"/>
        <v/>
      </c>
      <c r="EP5" s="10" t="str">
        <f t="shared" si="61"/>
        <v/>
      </c>
      <c r="EQ5" s="10" t="str">
        <f t="shared" si="62"/>
        <v/>
      </c>
      <c r="ER5" s="10" t="str">
        <f t="shared" si="63"/>
        <v/>
      </c>
      <c r="ES5" s="10" t="str">
        <f t="shared" si="64"/>
        <v/>
      </c>
      <c r="ET5" s="10">
        <f t="shared" si="65"/>
        <v>46.2</v>
      </c>
    </row>
    <row r="6" spans="1:150" x14ac:dyDescent="0.2">
      <c r="A6" s="3" cm="1">
        <f t="array" ref="A6">IF(AND(H6&lt;&gt;"",H6&lt;&gt;"No DD"),SUMPRODUCT((H$4:H$24&lt;&gt;"")*(H$4:H$24&lt;&gt;"No DD")*(E$4:E$24&gt;E6))+1,IF(H6="No DD",SUMPRODUCT((H$4:H$24="No DD")*(E$4:E$24&gt;E6))+1+SUMPRODUCT((H$4:H$24&lt;&gt;"")*(H$4:H$24&lt;&gt;"No DD")),""))</f>
        <v>3</v>
      </c>
      <c r="B6" s="4" t="s">
        <v>39</v>
      </c>
      <c r="C6" s="3" t="s">
        <v>5</v>
      </c>
      <c r="D6" s="3">
        <v>2003</v>
      </c>
      <c r="E6" s="8">
        <f t="shared" si="0"/>
        <v>106.50000854000568</v>
      </c>
      <c r="F6" s="2" t="str">
        <f>IF(OR(AND(AO6&lt;&gt;"",AO6&gt;=AV$29,AN6&gt;=AV$26),AND(AU6&lt;&gt;"",AU6&gt;=AV$29,AT6&gt;=AV$26),AND(BS6&lt;&gt;"",BS6&gt;=BZ$29,BR6&gt;=BZ$26),AND(BY6&lt;&gt;"",BY6&gt;=BZ$29,BX6&gt;=BZ$26),AND(DB6&lt;&gt;"",DB6&gt;=DK$29,DA6&gt;=DK$26),AND(DJ6&lt;&gt;"",DJ6&gt;=DK$29,DI6&gt;=DK$26),AND(EK6&lt;&gt;"",EK6&gt;=ET$29,EJ6&gt;=ET$26),AND(ES6&lt;&gt;"",ES6&gt;=ET$29,ER6&gt;=ET$26)),"P","")</f>
        <v>P</v>
      </c>
      <c r="G6" s="2" t="str">
        <f>IF(OR(AND(AO6&lt;&gt;"",AO6&gt;=AV$29),AND(AU6&lt;&gt;"",AU6&gt;=AV$29),AND(BS6&lt;&gt;"",BS6&gt;=BZ$29),AND(BY6&lt;&gt;"",BY6&gt;=BZ$29),AND(DB6&lt;&gt;"",DB6&gt;=DK$29),AND(DJ6&lt;&gt;"",DJ6&gt;=DK$29),AND(EK6&lt;&gt;"",EK6&gt;=ET$29),AND(ES6&lt;&gt;"",ES6&gt;=ET$29)),"P","")</f>
        <v>P</v>
      </c>
      <c r="H6" s="26" t="str">
        <f>IF(AND(G6="P",F6=""),"No DD",IF(OR(AND(AK6&lt;&gt;"",AK6&gt;=AV$31,AJ6&gt;=AV$28),AND(AM6&lt;&gt;"",AM6&gt;=AV$31,AL6&gt;=AV$28),AND(AQ6&lt;&gt;"",AQ6&gt;=AV$31,AP6&gt;=AV$28),AND(AS6&lt;&gt;"",AS6&gt;=AV$31,AR6&gt;=AV$28),AND(BO6&lt;&gt;"",BO6&gt;=BZ$31,BN6&gt;=BZ$28),AND(BQ6&lt;&gt;"",BQ6&gt;=BZ$31,BP6&gt;=BZ$28),AND(BV6&lt;&gt;"",BV6&gt;=BZ$31,BU6&gt;=BZ$28),AND(BX6&lt;&gt;"",BX6&gt;=BZ$31,BW6&gt;=BZ$28),AND(CX6&lt;&gt;"",CX6&gt;=DK$31,CW6&gt;=DK$28),AND(CZ6&lt;&gt;"",CZ6&gt;=DK$31,CY6&gt;=DK$28),AND(DD6&lt;&gt;"",DD6&gt;=DK$31,DC6&gt;=DK$28),AND(DF6&lt;&gt;"",DF6&gt;=DK$31,DE6&gt;=DK$28),AND(DH6&lt;&gt;"",DH6&gt;=DK$31,DG6&gt;=DK$28),AND(EG6&lt;&gt;"",EG6&gt;=ET$31,EF6&gt;=ET$28),AND(EI6&lt;&gt;"",EI6&gt;=ET$31,EH6&gt;=ET$28),AND(EM6&lt;&gt;"",EM6&gt;=ET$31,EL6&gt;=ET$28),AND(EO6&lt;&gt;"",EO6&gt;=ET$31,EN6&gt;=ET$28),AND(EQ6&lt;&gt;"",EQ6&gt;=ET$31,EP6&gt;=ET$28)),"Performance",IF(I6="P","Worlds Team",IF(F6="P","National Team",""))))</f>
        <v>Worlds Team</v>
      </c>
      <c r="I6" s="2" t="str">
        <f>IF(OR(AND(AO6&lt;&gt;"",AO6&gt;=AV$30,AN6&gt;=AV$27),AND(AU6&lt;&gt;"",AU6&gt;=AV$30,AT6&gt;=AV$27),AND(BS6&lt;&gt;"",BS6&gt;=BZ$30,BR6&gt;=BZ$27),AND(BY6&lt;&gt;"",BY6&gt;=BZ$30,BX6&gt;=BZ$27),AND(DB6&lt;&gt;"",DB6&gt;=DK$30,DA6&gt;=DK$27),AND(DJ6&lt;&gt;"",DJ6&gt;=DK$30,DI6&gt;=DK$27),AND(EK6&lt;&gt;"",EK6&gt;=ET$30,EJ6&gt;=ET$27),AND(ES6&lt;&gt;"",ES6&gt;=ET$30,ER6&gt;=ET$27)),"P","")</f>
        <v>P</v>
      </c>
      <c r="J6" s="7">
        <f t="shared" si="1"/>
        <v>56.9</v>
      </c>
      <c r="K6" s="7" t="str">
        <f t="shared" si="2"/>
        <v>2026 Elite Canada</v>
      </c>
      <c r="L6" s="7">
        <f>IF(J6=AO6,IF(COUNT(AQ6,AS6,BO6,BQ6,BU6,BW6)&gt;1,LARGE((AQ6,AS6,BO6,BQ6,BU6,BW6),1),0),IF(COUNT(AK6,AM6,AQ6,AS6,BU6,BW6)&gt;1,LARGE((AK6,AM6,AQ6,AS6,BU6,BW6),1),0))</f>
        <v>28.5</v>
      </c>
      <c r="M6" s="7" t="str">
        <f t="shared" si="3"/>
        <v>2026 Elite Canada</v>
      </c>
      <c r="N6" s="7">
        <f>IF(J6=AO6,IF(COUNT(AQ6,AS6,BO6,BQ6,BU6,BW6)&gt;1,LARGE((AQ6,AS6,BO6,BQ6,BU6,BW6),2),0),IF(COUNT(AK6,AM6,AQ6,AS6,BU6,BW6)&gt;1,LARGE((AK6,AM6,AQ6,AS6,BU6,BW6),2),0))</f>
        <v>21.1</v>
      </c>
      <c r="O6" s="7" t="str">
        <f t="shared" si="4"/>
        <v>2026 Elite Canada</v>
      </c>
      <c r="P6" s="7" t="str">
        <f t="shared" si="5"/>
        <v/>
      </c>
      <c r="Q6" s="10" t="str">
        <f t="shared" si="6"/>
        <v/>
      </c>
      <c r="R6" s="7" t="str">
        <f t="shared" si="7"/>
        <v/>
      </c>
      <c r="S6" s="38">
        <v>19</v>
      </c>
      <c r="T6" s="38">
        <v>8.4</v>
      </c>
      <c r="U6" s="38">
        <v>0.6</v>
      </c>
      <c r="V6" s="38">
        <v>0.50000000000000033</v>
      </c>
      <c r="W6" s="38">
        <v>18</v>
      </c>
      <c r="X6" s="38">
        <v>10.8</v>
      </c>
      <c r="Y6" s="38">
        <v>0.2</v>
      </c>
      <c r="Z6" s="38">
        <v>1.0000000000000007</v>
      </c>
      <c r="AA6" s="38">
        <v>15.8</v>
      </c>
      <c r="AB6" s="38">
        <v>4.8</v>
      </c>
      <c r="AC6" s="38">
        <v>0</v>
      </c>
      <c r="AD6" s="38">
        <v>0.50000000000000089</v>
      </c>
      <c r="AE6" s="38">
        <v>19</v>
      </c>
      <c r="AF6" s="38">
        <v>9.6</v>
      </c>
      <c r="AG6" s="38">
        <v>0.6</v>
      </c>
      <c r="AH6" s="38">
        <v>0.50000000000000033</v>
      </c>
      <c r="AI6" s="19"/>
      <c r="AJ6" s="41">
        <f t="shared" si="8"/>
        <v>8.4</v>
      </c>
      <c r="AK6" s="41">
        <f t="shared" si="9"/>
        <v>27.299999999999997</v>
      </c>
      <c r="AL6" s="41">
        <f t="shared" si="10"/>
        <v>10.8</v>
      </c>
      <c r="AM6" s="41">
        <f t="shared" si="11"/>
        <v>29.6</v>
      </c>
      <c r="AN6" s="27">
        <f t="shared" si="12"/>
        <v>19.200000000000003</v>
      </c>
      <c r="AO6" s="27">
        <f t="shared" si="13"/>
        <v>56.9</v>
      </c>
      <c r="AP6" s="27">
        <f t="shared" si="14"/>
        <v>4.8</v>
      </c>
      <c r="AQ6" s="27">
        <f t="shared" si="15"/>
        <v>21.1</v>
      </c>
      <c r="AR6" s="27">
        <f t="shared" si="16"/>
        <v>9.6</v>
      </c>
      <c r="AS6" s="27">
        <f t="shared" si="17"/>
        <v>28.5</v>
      </c>
      <c r="AT6" s="27">
        <f t="shared" si="18"/>
        <v>14.399999999999999</v>
      </c>
      <c r="AU6" s="27">
        <f t="shared" si="19"/>
        <v>49.6</v>
      </c>
      <c r="AV6" s="27">
        <f t="shared" si="20"/>
        <v>106.5</v>
      </c>
      <c r="AW6" s="15"/>
      <c r="AX6" s="15"/>
      <c r="AY6" s="15"/>
      <c r="AZ6" s="15"/>
      <c r="BA6" s="15"/>
      <c r="BB6" s="15"/>
      <c r="BC6" s="15"/>
      <c r="BD6" s="15"/>
      <c r="BE6" s="15"/>
      <c r="BF6" s="15"/>
      <c r="BG6" s="15"/>
      <c r="BH6" s="15"/>
      <c r="BI6" s="15"/>
      <c r="BJ6" s="15"/>
      <c r="BK6" s="15"/>
      <c r="BL6" s="15"/>
      <c r="BM6" s="20"/>
      <c r="BN6" s="42" t="str">
        <f t="shared" si="21"/>
        <v/>
      </c>
      <c r="BO6" s="42" t="str">
        <f t="shared" si="22"/>
        <v/>
      </c>
      <c r="BP6" s="42" t="str">
        <f t="shared" si="23"/>
        <v/>
      </c>
      <c r="BQ6" s="42" t="str">
        <f t="shared" si="24"/>
        <v/>
      </c>
      <c r="BR6" s="10" t="str">
        <f t="shared" si="25"/>
        <v/>
      </c>
      <c r="BS6" s="10" t="str">
        <f t="shared" si="26"/>
        <v/>
      </c>
      <c r="BT6" s="10" t="str">
        <f t="shared" si="27"/>
        <v/>
      </c>
      <c r="BU6" s="10" t="str">
        <f t="shared" si="28"/>
        <v/>
      </c>
      <c r="BV6" s="10" t="str">
        <f t="shared" si="29"/>
        <v/>
      </c>
      <c r="BW6" s="10" t="str">
        <f t="shared" si="30"/>
        <v/>
      </c>
      <c r="BX6" s="10" t="str">
        <f t="shared" si="31"/>
        <v/>
      </c>
      <c r="BY6" s="10" t="str">
        <f t="shared" si="32"/>
        <v/>
      </c>
      <c r="BZ6" s="10" t="str">
        <f t="shared" si="33"/>
        <v/>
      </c>
      <c r="CA6" s="34" t="str">
        <f t="shared" si="34"/>
        <v/>
      </c>
      <c r="CB6" s="34" t="str">
        <f t="shared" si="35"/>
        <v/>
      </c>
      <c r="CC6" s="14"/>
      <c r="CD6" s="14"/>
      <c r="CE6" s="14"/>
      <c r="CF6" s="14"/>
      <c r="CG6" s="14"/>
      <c r="CH6" s="14"/>
      <c r="CI6" s="14"/>
      <c r="CJ6" s="14"/>
      <c r="CK6" s="14"/>
      <c r="CL6" s="14"/>
      <c r="CM6" s="14"/>
      <c r="CN6" s="14"/>
      <c r="CO6" s="14"/>
      <c r="CP6" s="14"/>
      <c r="CQ6" s="14"/>
      <c r="CR6" s="14"/>
      <c r="CS6" s="14"/>
      <c r="CT6" s="14"/>
      <c r="CU6" s="14"/>
      <c r="CV6" s="14"/>
      <c r="CW6" s="27" t="str">
        <f t="shared" si="36"/>
        <v/>
      </c>
      <c r="CX6" s="27" t="str">
        <f t="shared" si="37"/>
        <v/>
      </c>
      <c r="CY6" s="27" t="str">
        <f t="shared" si="38"/>
        <v/>
      </c>
      <c r="CZ6" s="27" t="str">
        <f t="shared" si="39"/>
        <v/>
      </c>
      <c r="DA6" s="27" t="str">
        <f t="shared" si="40"/>
        <v/>
      </c>
      <c r="DB6" s="27" t="str">
        <f t="shared" si="41"/>
        <v/>
      </c>
      <c r="DC6" s="27" t="str">
        <f t="shared" si="42"/>
        <v/>
      </c>
      <c r="DD6" s="27" t="str">
        <f t="shared" si="43"/>
        <v/>
      </c>
      <c r="DE6" s="27" t="str">
        <f t="shared" si="44"/>
        <v/>
      </c>
      <c r="DF6" s="27" t="str">
        <f t="shared" si="45"/>
        <v/>
      </c>
      <c r="DG6" s="27" t="str">
        <f t="shared" si="46"/>
        <v/>
      </c>
      <c r="DH6" s="27" t="str">
        <f t="shared" si="47"/>
        <v/>
      </c>
      <c r="DI6" s="27" t="str">
        <f t="shared" si="48"/>
        <v/>
      </c>
      <c r="DJ6" s="27" t="str">
        <f t="shared" si="49"/>
        <v/>
      </c>
      <c r="DK6" s="27" t="str">
        <f t="shared" si="50"/>
        <v/>
      </c>
      <c r="DL6" s="15"/>
      <c r="DM6" s="15"/>
      <c r="DN6" s="15"/>
      <c r="DO6" s="15"/>
      <c r="DP6" s="15"/>
      <c r="DQ6" s="15"/>
      <c r="DR6" s="15"/>
      <c r="DS6" s="15"/>
      <c r="DT6" s="15"/>
      <c r="DU6" s="15"/>
      <c r="DV6" s="15"/>
      <c r="DW6" s="15"/>
      <c r="DX6" s="15"/>
      <c r="DY6" s="15"/>
      <c r="DZ6" s="15"/>
      <c r="EA6" s="15"/>
      <c r="EB6" s="15"/>
      <c r="EC6" s="15"/>
      <c r="ED6" s="15"/>
      <c r="EE6" s="15"/>
      <c r="EF6" s="10" t="str">
        <f t="shared" si="51"/>
        <v/>
      </c>
      <c r="EG6" s="10" t="str">
        <f t="shared" si="52"/>
        <v/>
      </c>
      <c r="EH6" s="10" t="str">
        <f t="shared" si="53"/>
        <v/>
      </c>
      <c r="EI6" s="10" t="str">
        <f t="shared" si="54"/>
        <v/>
      </c>
      <c r="EJ6" s="10" t="str">
        <f t="shared" si="55"/>
        <v/>
      </c>
      <c r="EK6" s="10" t="str">
        <f t="shared" si="56"/>
        <v/>
      </c>
      <c r="EL6" s="10" t="str">
        <f t="shared" si="57"/>
        <v/>
      </c>
      <c r="EM6" s="10" t="str">
        <f t="shared" si="58"/>
        <v/>
      </c>
      <c r="EN6" s="10" t="str">
        <f t="shared" si="59"/>
        <v/>
      </c>
      <c r="EO6" s="10" t="str">
        <f t="shared" si="60"/>
        <v/>
      </c>
      <c r="EP6" s="10" t="str">
        <f t="shared" si="61"/>
        <v/>
      </c>
      <c r="EQ6" s="10" t="str">
        <f t="shared" si="62"/>
        <v/>
      </c>
      <c r="ER6" s="10" t="str">
        <f t="shared" si="63"/>
        <v/>
      </c>
      <c r="ES6" s="10" t="str">
        <f t="shared" si="64"/>
        <v/>
      </c>
      <c r="ET6" s="10" t="str">
        <f t="shared" si="65"/>
        <v/>
      </c>
    </row>
    <row r="7" spans="1:150" x14ac:dyDescent="0.2">
      <c r="A7" s="3" cm="1">
        <f t="array" ref="A7">IF(AND(H7&lt;&gt;"",H7&lt;&gt;"No DD"),SUMPRODUCT((H$4:H$24&lt;&gt;"")*(H$4:H$24&lt;&gt;"No DD")*(E$4:E$24&gt;E7))+1,IF(H7="No DD",SUMPRODUCT((H$4:H$24="No DD")*(E$4:E$24&gt;E7))+1+SUMPRODUCT((H$4:H$24&lt;&gt;"")*(H$4:H$24&lt;&gt;"No DD")),""))</f>
        <v>4</v>
      </c>
      <c r="B7" s="4" t="s">
        <v>70</v>
      </c>
      <c r="C7" s="3" t="s">
        <v>5</v>
      </c>
      <c r="D7" s="3">
        <v>2007</v>
      </c>
      <c r="E7" s="8">
        <f t="shared" si="0"/>
        <v>100.40000799000542</v>
      </c>
      <c r="F7" s="2" t="str">
        <f>IF(OR(AND(AO7&lt;&gt;"",AO7&gt;=AV$29,AN7&gt;=AV$26),AND(AU7&lt;&gt;"",AU7&gt;=AV$29,AT7&gt;=AV$26),AND(BS7&lt;&gt;"",BS7&gt;=BZ$29,BR7&gt;=BZ$26),AND(BY7&lt;&gt;"",BY7&gt;=BZ$29,BX7&gt;=BZ$26),AND(DB7&lt;&gt;"",DB7&gt;=DK$29,DA7&gt;=DK$26),AND(DJ7&lt;&gt;"",DJ7&gt;=DK$29,DI7&gt;=DK$26),AND(EK7&lt;&gt;"",EK7&gt;=ET$29,EJ7&gt;=ET$26),AND(ES7&lt;&gt;"",ES7&gt;=ET$29,ER7&gt;=ET$26)),"P","")</f>
        <v>P</v>
      </c>
      <c r="G7" s="2" t="str">
        <f>IF(OR(AND(AO7&lt;&gt;"",AO7&gt;=AV$29),AND(AU7&lt;&gt;"",AU7&gt;=AV$29),AND(BS7&lt;&gt;"",BS7&gt;=BZ$29),AND(BY7&lt;&gt;"",BY7&gt;=BZ$29),AND(DB7&lt;&gt;"",DB7&gt;=DK$29),AND(DJ7&lt;&gt;"",DJ7&gt;=DK$29),AND(EK7&lt;&gt;"",EK7&gt;=ET$29),AND(ES7&lt;&gt;"",ES7&gt;=ET$29)),"P","")</f>
        <v>P</v>
      </c>
      <c r="H7" s="26" t="str">
        <f>IF(AND(G7="P",F7=""),"No DD",IF(OR(AND(AK7&lt;&gt;"",AK7&gt;=AV$31,AJ7&gt;=AV$28),AND(AM7&lt;&gt;"",AM7&gt;=AV$31,AL7&gt;=AV$28),AND(AQ7&lt;&gt;"",AQ7&gt;=AV$31,AP7&gt;=AV$28),AND(AS7&lt;&gt;"",AS7&gt;=AV$31,AR7&gt;=AV$28),AND(BO7&lt;&gt;"",BO7&gt;=BZ$31,BN7&gt;=BZ$28),AND(BQ7&lt;&gt;"",BQ7&gt;=BZ$31,BP7&gt;=BZ$28),AND(BV7&lt;&gt;"",BV7&gt;=BZ$31,BU7&gt;=BZ$28),AND(BX7&lt;&gt;"",BX7&gt;=BZ$31,BW7&gt;=BZ$28),AND(CX7&lt;&gt;"",CX7&gt;=DK$31,CW7&gt;=DK$28),AND(CZ7&lt;&gt;"",CZ7&gt;=DK$31,CY7&gt;=DK$28),AND(DD7&lt;&gt;"",DD7&gt;=DK$31,DC7&gt;=DK$28),AND(DF7&lt;&gt;"",DF7&gt;=DK$31,DE7&gt;=DK$28),AND(DH7&lt;&gt;"",DH7&gt;=DK$31,DG7&gt;=DK$28),AND(EG7&lt;&gt;"",EG7&gt;=ET$31,EF7&gt;=ET$28),AND(EI7&lt;&gt;"",EI7&gt;=ET$31,EH7&gt;=ET$28),AND(EM7&lt;&gt;"",EM7&gt;=ET$31,EL7&gt;=ET$28),AND(EO7&lt;&gt;"",EO7&gt;=ET$31,EN7&gt;=ET$28),AND(EQ7&lt;&gt;"",EQ7&gt;=ET$31,EP7&gt;=ET$28)),"Performance",IF(I7="P","Worlds Team",IF(F7="P","National Team",""))))</f>
        <v>Worlds Team</v>
      </c>
      <c r="I7" s="2" t="str">
        <f>IF(OR(AND(AO7&lt;&gt;"",AO7&gt;=AV$30,AN7&gt;=AV$27),AND(AU7&lt;&gt;"",AU7&gt;=AV$30,AT7&gt;=AV$27),AND(BS7&lt;&gt;"",BS7&gt;=BZ$30,BR7&gt;=BZ$27),AND(BY7&lt;&gt;"",BY7&gt;=BZ$30,BX7&gt;=BZ$27),AND(DB7&lt;&gt;"",DB7&gt;=DK$30,DA7&gt;=DK$27),AND(DJ7&lt;&gt;"",DJ7&gt;=DK$30,DI7&gt;=DK$27),AND(EK7&lt;&gt;"",EK7&gt;=ET$30,EJ7&gt;=ET$27),AND(ES7&lt;&gt;"",ES7&gt;=ET$30,ER7&gt;=ET$27)),"P","")</f>
        <v>P</v>
      </c>
      <c r="J7" s="7">
        <f t="shared" si="1"/>
        <v>54.2</v>
      </c>
      <c r="K7" s="7" t="str">
        <f t="shared" si="2"/>
        <v>2026 Elite Canada</v>
      </c>
      <c r="L7" s="7">
        <f>IF(J7=AO7,IF(COUNT(AQ7,AS7,BO7,BQ7,BU7,BW7)&gt;1,LARGE((AQ7,AS7,BO7,BQ7,BU7,BW7),1),0),IF(COUNT(AK7,AM7,AQ7,AS7,BU7,BW7)&gt;1,LARGE((AK7,AM7,AQ7,AS7,BU7,BW7),1),0))</f>
        <v>25.7</v>
      </c>
      <c r="M7" s="7" t="str">
        <f t="shared" si="3"/>
        <v>2026 Elite Canada</v>
      </c>
      <c r="N7" s="7">
        <f>IF(J7=AO7,IF(COUNT(AQ7,AS7,BO7,BQ7,BU7,BW7)&gt;1,LARGE((AQ7,AS7,BO7,BQ7,BU7,BW7),2),0),IF(COUNT(AK7,AM7,AQ7,AS7,BU7,BW7)&gt;1,LARGE((AK7,AM7,AQ7,AS7,BU7,BW7),2),0))</f>
        <v>20.5</v>
      </c>
      <c r="O7" s="7" t="str">
        <f t="shared" si="4"/>
        <v>2026 Elite Canada</v>
      </c>
      <c r="P7" s="7" t="str">
        <f t="shared" si="5"/>
        <v/>
      </c>
      <c r="Q7" s="10" t="str">
        <f t="shared" si="6"/>
        <v/>
      </c>
      <c r="R7" s="7" t="str">
        <f t="shared" si="7"/>
        <v/>
      </c>
      <c r="S7" s="38">
        <v>18.8</v>
      </c>
      <c r="T7" s="38">
        <v>8.9</v>
      </c>
      <c r="U7" s="38">
        <v>0</v>
      </c>
      <c r="V7" s="38">
        <v>0.49999999999999822</v>
      </c>
      <c r="W7" s="38">
        <v>18.399999999999999</v>
      </c>
      <c r="X7" s="38">
        <v>8.4</v>
      </c>
      <c r="Y7" s="38">
        <v>0.8</v>
      </c>
      <c r="Z7" s="38">
        <v>0</v>
      </c>
      <c r="AA7" s="38">
        <v>15.4</v>
      </c>
      <c r="AB7" s="38">
        <v>4.8</v>
      </c>
      <c r="AC7" s="38">
        <v>0.2</v>
      </c>
      <c r="AD7" s="38">
        <v>0.49999999999999983</v>
      </c>
      <c r="AE7" s="38">
        <v>16.7</v>
      </c>
      <c r="AF7" s="38">
        <v>9.3000000000000007</v>
      </c>
      <c r="AG7" s="38">
        <v>0.8</v>
      </c>
      <c r="AH7" s="38">
        <v>0.49999999999999933</v>
      </c>
      <c r="AI7" s="19"/>
      <c r="AJ7" s="41">
        <f t="shared" si="8"/>
        <v>8.9</v>
      </c>
      <c r="AK7" s="41">
        <f t="shared" si="9"/>
        <v>28.200000000000003</v>
      </c>
      <c r="AL7" s="41">
        <f t="shared" si="10"/>
        <v>8.4</v>
      </c>
      <c r="AM7" s="41">
        <f t="shared" si="11"/>
        <v>25.999999999999996</v>
      </c>
      <c r="AN7" s="27">
        <f t="shared" si="12"/>
        <v>17.3</v>
      </c>
      <c r="AO7" s="27">
        <f t="shared" si="13"/>
        <v>54.2</v>
      </c>
      <c r="AP7" s="27">
        <f t="shared" si="14"/>
        <v>4.8</v>
      </c>
      <c r="AQ7" s="27">
        <f t="shared" si="15"/>
        <v>20.5</v>
      </c>
      <c r="AR7" s="27">
        <f t="shared" si="16"/>
        <v>9.3000000000000007</v>
      </c>
      <c r="AS7" s="27">
        <f t="shared" si="17"/>
        <v>25.7</v>
      </c>
      <c r="AT7" s="27">
        <f t="shared" si="18"/>
        <v>14.100000000000001</v>
      </c>
      <c r="AU7" s="27">
        <f t="shared" si="19"/>
        <v>46.2</v>
      </c>
      <c r="AV7" s="27">
        <f t="shared" si="20"/>
        <v>100.4</v>
      </c>
      <c r="AW7" s="15"/>
      <c r="AX7" s="15"/>
      <c r="AY7" s="15"/>
      <c r="AZ7" s="15"/>
      <c r="BA7" s="15"/>
      <c r="BB7" s="15"/>
      <c r="BC7" s="15"/>
      <c r="BD7" s="15"/>
      <c r="BE7" s="15"/>
      <c r="BF7" s="15"/>
      <c r="BG7" s="15"/>
      <c r="BH7" s="15"/>
      <c r="BI7" s="15"/>
      <c r="BJ7" s="15"/>
      <c r="BK7" s="15"/>
      <c r="BL7" s="15"/>
      <c r="BM7" s="20"/>
      <c r="BN7" s="42" t="str">
        <f t="shared" si="21"/>
        <v/>
      </c>
      <c r="BO7" s="42" t="str">
        <f t="shared" si="22"/>
        <v/>
      </c>
      <c r="BP7" s="42" t="str">
        <f t="shared" si="23"/>
        <v/>
      </c>
      <c r="BQ7" s="42" t="str">
        <f t="shared" si="24"/>
        <v/>
      </c>
      <c r="BR7" s="10" t="str">
        <f t="shared" si="25"/>
        <v/>
      </c>
      <c r="BS7" s="10" t="str">
        <f t="shared" si="26"/>
        <v/>
      </c>
      <c r="BT7" s="10" t="str">
        <f t="shared" si="27"/>
        <v/>
      </c>
      <c r="BU7" s="10" t="str">
        <f t="shared" si="28"/>
        <v/>
      </c>
      <c r="BV7" s="10" t="str">
        <f t="shared" si="29"/>
        <v/>
      </c>
      <c r="BW7" s="10" t="str">
        <f t="shared" si="30"/>
        <v/>
      </c>
      <c r="BX7" s="10" t="str">
        <f t="shared" si="31"/>
        <v/>
      </c>
      <c r="BY7" s="10" t="str">
        <f t="shared" si="32"/>
        <v/>
      </c>
      <c r="BZ7" s="10" t="str">
        <f t="shared" si="33"/>
        <v/>
      </c>
      <c r="CA7" s="34" t="str">
        <f t="shared" si="34"/>
        <v/>
      </c>
      <c r="CB7" s="34" t="str">
        <f t="shared" si="35"/>
        <v/>
      </c>
      <c r="CC7" s="14"/>
      <c r="CD7" s="14"/>
      <c r="CE7" s="14"/>
      <c r="CF7" s="14"/>
      <c r="CG7" s="14"/>
      <c r="CH7" s="14"/>
      <c r="CI7" s="14"/>
      <c r="CJ7" s="14"/>
      <c r="CK7" s="14"/>
      <c r="CL7" s="14"/>
      <c r="CM7" s="14"/>
      <c r="CN7" s="14"/>
      <c r="CO7" s="14"/>
      <c r="CP7" s="14"/>
      <c r="CQ7" s="14"/>
      <c r="CR7" s="14"/>
      <c r="CS7" s="14"/>
      <c r="CT7" s="14"/>
      <c r="CU7" s="14"/>
      <c r="CV7" s="14"/>
      <c r="CW7" s="27" t="str">
        <f t="shared" si="36"/>
        <v/>
      </c>
      <c r="CX7" s="27" t="str">
        <f t="shared" si="37"/>
        <v/>
      </c>
      <c r="CY7" s="27" t="str">
        <f t="shared" si="38"/>
        <v/>
      </c>
      <c r="CZ7" s="27" t="str">
        <f t="shared" si="39"/>
        <v/>
      </c>
      <c r="DA7" s="27" t="str">
        <f t="shared" si="40"/>
        <v/>
      </c>
      <c r="DB7" s="27" t="str">
        <f t="shared" si="41"/>
        <v/>
      </c>
      <c r="DC7" s="27" t="str">
        <f t="shared" si="42"/>
        <v/>
      </c>
      <c r="DD7" s="27" t="str">
        <f t="shared" si="43"/>
        <v/>
      </c>
      <c r="DE7" s="27" t="str">
        <f t="shared" si="44"/>
        <v/>
      </c>
      <c r="DF7" s="27" t="str">
        <f t="shared" si="45"/>
        <v/>
      </c>
      <c r="DG7" s="27" t="str">
        <f t="shared" si="46"/>
        <v/>
      </c>
      <c r="DH7" s="27" t="str">
        <f t="shared" si="47"/>
        <v/>
      </c>
      <c r="DI7" s="27" t="str">
        <f t="shared" si="48"/>
        <v/>
      </c>
      <c r="DJ7" s="27" t="str">
        <f t="shared" si="49"/>
        <v/>
      </c>
      <c r="DK7" s="27" t="str">
        <f t="shared" si="50"/>
        <v/>
      </c>
      <c r="DL7" s="15"/>
      <c r="DM7" s="15"/>
      <c r="DN7" s="15"/>
      <c r="DO7" s="15"/>
      <c r="DP7" s="15"/>
      <c r="DQ7" s="15"/>
      <c r="DR7" s="15"/>
      <c r="DS7" s="15"/>
      <c r="DT7" s="15"/>
      <c r="DU7" s="15"/>
      <c r="DV7" s="15"/>
      <c r="DW7" s="15"/>
      <c r="DX7" s="15"/>
      <c r="DY7" s="15"/>
      <c r="DZ7" s="15"/>
      <c r="EA7" s="15"/>
      <c r="EB7" s="15"/>
      <c r="EC7" s="15"/>
      <c r="ED7" s="15"/>
      <c r="EE7" s="15"/>
      <c r="EF7" s="10" t="str">
        <f t="shared" si="51"/>
        <v/>
      </c>
      <c r="EG7" s="10" t="str">
        <f t="shared" si="52"/>
        <v/>
      </c>
      <c r="EH7" s="10" t="str">
        <f t="shared" si="53"/>
        <v/>
      </c>
      <c r="EI7" s="10" t="str">
        <f t="shared" si="54"/>
        <v/>
      </c>
      <c r="EJ7" s="10" t="str">
        <f t="shared" si="55"/>
        <v/>
      </c>
      <c r="EK7" s="10" t="str">
        <f t="shared" si="56"/>
        <v/>
      </c>
      <c r="EL7" s="10" t="str">
        <f t="shared" si="57"/>
        <v/>
      </c>
      <c r="EM7" s="10" t="str">
        <f t="shared" si="58"/>
        <v/>
      </c>
      <c r="EN7" s="10" t="str">
        <f t="shared" si="59"/>
        <v/>
      </c>
      <c r="EO7" s="10" t="str">
        <f t="shared" si="60"/>
        <v/>
      </c>
      <c r="EP7" s="10" t="str">
        <f t="shared" si="61"/>
        <v/>
      </c>
      <c r="EQ7" s="10" t="str">
        <f t="shared" si="62"/>
        <v/>
      </c>
      <c r="ER7" s="10" t="str">
        <f t="shared" si="63"/>
        <v/>
      </c>
      <c r="ES7" s="10" t="str">
        <f t="shared" si="64"/>
        <v/>
      </c>
      <c r="ET7" s="10" t="str">
        <f t="shared" si="65"/>
        <v/>
      </c>
    </row>
    <row r="8" spans="1:150" x14ac:dyDescent="0.2">
      <c r="A8" s="3" cm="1">
        <f t="array" ref="A8">IF(AND(H8&lt;&gt;"",H8&lt;&gt;"No DD"),SUMPRODUCT((H$4:H$24&lt;&gt;"")*(H$4:H$24&lt;&gt;"No DD")*(E$4:E$24&gt;E8))+1,IF(H8="No DD",SUMPRODUCT((H$4:H$24="No DD")*(E$4:E$24&gt;E8))+1+SUMPRODUCT((H$4:H$24&lt;&gt;"")*(H$4:H$24&lt;&gt;"No DD")),""))</f>
        <v>5</v>
      </c>
      <c r="B8" s="4" t="s">
        <v>67</v>
      </c>
      <c r="C8" s="3" t="s">
        <v>4</v>
      </c>
      <c r="D8" s="3">
        <v>2008</v>
      </c>
      <c r="E8" s="8">
        <f t="shared" si="0"/>
        <v>95.800007490005385</v>
      </c>
      <c r="F8" s="2" t="str">
        <f>IF(OR(AND(AO8&lt;&gt;"",AO8&gt;=AV$29,AN8&gt;=AV$26),AND(AU8&lt;&gt;"",AU8&gt;=AV$29,AT8&gt;=AV$26),AND(BS8&lt;&gt;"",BS8&gt;=BZ$29,BR8&gt;=BZ$26),AND(BY8&lt;&gt;"",BY8&gt;=BZ$29,BX8&gt;=BZ$26),AND(DB8&lt;&gt;"",DB8&gt;=DK$29,DA8&gt;=DK$26),AND(DJ8&lt;&gt;"",DJ8&gt;=DK$29,DI8&gt;=DK$26),AND(EK8&lt;&gt;"",EK8&gt;=ET$29,EJ8&gt;=ET$26),AND(ES8&lt;&gt;"",ES8&gt;=ET$29,ER8&gt;=ET$26)),"P","")</f>
        <v>P</v>
      </c>
      <c r="G8" s="2" t="str">
        <f>IF(OR(AND(AO8&lt;&gt;"",AO8&gt;=AV$29),AND(AU8&lt;&gt;"",AU8&gt;=AV$29),AND(BS8&lt;&gt;"",BS8&gt;=BZ$29),AND(BY8&lt;&gt;"",BY8&gt;=BZ$29),AND(DB8&lt;&gt;"",DB8&gt;=DK$29),AND(DJ8&lt;&gt;"",DJ8&gt;=DK$29),AND(EK8&lt;&gt;"",EK8&gt;=ET$29),AND(ES8&lt;&gt;"",ES8&gt;=ET$29)),"P","")</f>
        <v>P</v>
      </c>
      <c r="H8" s="26" t="str">
        <f>IF(AND(G8="P",F8=""),"No DD",IF(OR(AND(AK8&lt;&gt;"",AK8&gt;=AV$31,AJ8&gt;=AV$28),AND(AM8&lt;&gt;"",AM8&gt;=AV$31,AL8&gt;=AV$28),AND(AQ8&lt;&gt;"",AQ8&gt;=AV$31,AP8&gt;=AV$28),AND(AS8&lt;&gt;"",AS8&gt;=AV$31,AR8&gt;=AV$28),AND(BO8&lt;&gt;"",BO8&gt;=BZ$31,BN8&gt;=BZ$28),AND(BQ8&lt;&gt;"",BQ8&gt;=BZ$31,BP8&gt;=BZ$28),AND(BV8&lt;&gt;"",BV8&gt;=BZ$31,BU8&gt;=BZ$28),AND(BX8&lt;&gt;"",BX8&gt;=BZ$31,BW8&gt;=BZ$28),AND(CX8&lt;&gt;"",CX8&gt;=DK$31,CW8&gt;=DK$28),AND(CZ8&lt;&gt;"",CZ8&gt;=DK$31,CY8&gt;=DK$28),AND(DD8&lt;&gt;"",DD8&gt;=DK$31,DC8&gt;=DK$28),AND(DF8&lt;&gt;"",DF8&gt;=DK$31,DE8&gt;=DK$28),AND(DH8&lt;&gt;"",DH8&gt;=DK$31,DG8&gt;=DK$28),AND(EG8&lt;&gt;"",EG8&gt;=ET$31,EF8&gt;=ET$28),AND(EI8&lt;&gt;"",EI8&gt;=ET$31,EH8&gt;=ET$28),AND(EM8&lt;&gt;"",EM8&gt;=ET$31,EL8&gt;=ET$28),AND(EO8&lt;&gt;"",EO8&gt;=ET$31,EN8&gt;=ET$28),AND(EQ8&lt;&gt;"",EQ8&gt;=ET$31,EP8&gt;=ET$28)),"Performance",IF(I8="P","Worlds Team",IF(F8="P","National Team",""))))</f>
        <v>Worlds Team</v>
      </c>
      <c r="I8" s="2" t="str">
        <f>IF(OR(AND(AO8&lt;&gt;"",AO8&gt;=AV$30,AN8&gt;=AV$27),AND(AU8&lt;&gt;"",AU8&gt;=AV$30,AT8&gt;=AV$27),AND(BS8&lt;&gt;"",BS8&gt;=BZ$30,BR8&gt;=BZ$27),AND(BY8&lt;&gt;"",BY8&gt;=BZ$30,BX8&gt;=BZ$27),AND(DB8&lt;&gt;"",DB8&gt;=DK$30,DA8&gt;=DK$27),AND(DJ8&lt;&gt;"",DJ8&gt;=DK$30,DI8&gt;=DK$27),AND(EK8&lt;&gt;"",EK8&gt;=ET$30,EJ8&gt;=ET$27),AND(ES8&lt;&gt;"",ES8&gt;=ET$30,ER8&gt;=ET$27)),"P","")</f>
        <v>P</v>
      </c>
      <c r="J8" s="7">
        <f t="shared" si="1"/>
        <v>53.999999999999993</v>
      </c>
      <c r="K8" s="7" t="str">
        <f t="shared" si="2"/>
        <v>2026 Elite Canada</v>
      </c>
      <c r="L8" s="7">
        <f>IF(J8=AO8,IF(COUNT(AQ8,AS8,BO8,BQ8,BU8,BW8)&gt;1,LARGE((AQ8,AS8,BO8,BQ8,BU8,BW8),1),0),IF(COUNT(AK8,AM8,AQ8,AS8,BU8,BW8)&gt;1,LARGE((AK8,AM8,AQ8,AS8,BU8,BW8),1),0))</f>
        <v>20.9</v>
      </c>
      <c r="M8" s="7" t="str">
        <f t="shared" si="3"/>
        <v>2026 Elite Canada</v>
      </c>
      <c r="N8" s="7">
        <f>IF(J8=AO8,IF(COUNT(AQ8,AS8,BO8,BQ8,BU8,BW8)&gt;1,LARGE((AQ8,AS8,BO8,BQ8,BU8,BW8),2),0),IF(COUNT(AK8,AM8,AQ8,AS8,BU8,BW8)&gt;1,LARGE((AK8,AM8,AQ8,AS8,BU8,BW8),2),0))</f>
        <v>20.9</v>
      </c>
      <c r="O8" s="7" t="str">
        <f t="shared" si="4"/>
        <v>2026 Elite Canada</v>
      </c>
      <c r="P8" s="7" t="str">
        <f t="shared" si="5"/>
        <v/>
      </c>
      <c r="Q8" s="10" t="str">
        <f t="shared" si="6"/>
        <v/>
      </c>
      <c r="R8" s="7" t="str">
        <f t="shared" si="7"/>
        <v/>
      </c>
      <c r="S8" s="38">
        <v>18.399999999999999</v>
      </c>
      <c r="T8" s="38">
        <v>8.4</v>
      </c>
      <c r="U8" s="38">
        <v>0.6</v>
      </c>
      <c r="V8" s="38">
        <v>0</v>
      </c>
      <c r="W8" s="38">
        <v>18.899999999999999</v>
      </c>
      <c r="X8" s="38">
        <v>8.4</v>
      </c>
      <c r="Y8" s="38">
        <v>0</v>
      </c>
      <c r="Z8" s="38">
        <v>0.50000000000000178</v>
      </c>
      <c r="AA8" s="38">
        <v>15.6</v>
      </c>
      <c r="AB8" s="38">
        <v>4.8</v>
      </c>
      <c r="AC8" s="38">
        <v>0</v>
      </c>
      <c r="AD8" s="38">
        <v>0.49999999999999911</v>
      </c>
      <c r="AE8" s="38">
        <v>15.3</v>
      </c>
      <c r="AF8" s="38">
        <v>5.0999999999999996</v>
      </c>
      <c r="AG8" s="38">
        <v>0</v>
      </c>
      <c r="AH8" s="38">
        <v>0.49999999999999822</v>
      </c>
      <c r="AI8" s="19"/>
      <c r="AJ8" s="41">
        <f t="shared" si="8"/>
        <v>8.4</v>
      </c>
      <c r="AK8" s="41">
        <f t="shared" si="9"/>
        <v>26.199999999999996</v>
      </c>
      <c r="AL8" s="41">
        <f t="shared" si="10"/>
        <v>8.4</v>
      </c>
      <c r="AM8" s="41">
        <f t="shared" si="11"/>
        <v>27.799999999999997</v>
      </c>
      <c r="AN8" s="27">
        <f t="shared" si="12"/>
        <v>16.8</v>
      </c>
      <c r="AO8" s="27">
        <f t="shared" si="13"/>
        <v>53.999999999999993</v>
      </c>
      <c r="AP8" s="27">
        <f t="shared" si="14"/>
        <v>4.8</v>
      </c>
      <c r="AQ8" s="27">
        <f t="shared" si="15"/>
        <v>20.9</v>
      </c>
      <c r="AR8" s="27">
        <f t="shared" si="16"/>
        <v>5.0999999999999996</v>
      </c>
      <c r="AS8" s="27">
        <f t="shared" si="17"/>
        <v>20.9</v>
      </c>
      <c r="AT8" s="27">
        <f t="shared" si="18"/>
        <v>9.8999999999999986</v>
      </c>
      <c r="AU8" s="27">
        <f t="shared" si="19"/>
        <v>41.8</v>
      </c>
      <c r="AV8" s="27">
        <f t="shared" si="20"/>
        <v>95.799999999999983</v>
      </c>
      <c r="AW8" s="15"/>
      <c r="AX8" s="15"/>
      <c r="AY8" s="15"/>
      <c r="AZ8" s="15"/>
      <c r="BA8" s="15"/>
      <c r="BB8" s="15"/>
      <c r="BC8" s="15"/>
      <c r="BD8" s="15"/>
      <c r="BE8" s="15"/>
      <c r="BF8" s="15"/>
      <c r="BG8" s="15"/>
      <c r="BH8" s="15"/>
      <c r="BI8" s="15"/>
      <c r="BJ8" s="15"/>
      <c r="BK8" s="15"/>
      <c r="BL8" s="15"/>
      <c r="BM8" s="20"/>
      <c r="BN8" s="42" t="str">
        <f t="shared" si="21"/>
        <v/>
      </c>
      <c r="BO8" s="42" t="str">
        <f t="shared" si="22"/>
        <v/>
      </c>
      <c r="BP8" s="42" t="str">
        <f t="shared" si="23"/>
        <v/>
      </c>
      <c r="BQ8" s="42" t="str">
        <f t="shared" si="24"/>
        <v/>
      </c>
      <c r="BR8" s="10" t="str">
        <f t="shared" si="25"/>
        <v/>
      </c>
      <c r="BS8" s="10" t="str">
        <f t="shared" si="26"/>
        <v/>
      </c>
      <c r="BT8" s="10" t="str">
        <f t="shared" si="27"/>
        <v/>
      </c>
      <c r="BU8" s="10" t="str">
        <f t="shared" si="28"/>
        <v/>
      </c>
      <c r="BV8" s="10" t="str">
        <f t="shared" si="29"/>
        <v/>
      </c>
      <c r="BW8" s="10" t="str">
        <f t="shared" si="30"/>
        <v/>
      </c>
      <c r="BX8" s="10" t="str">
        <f t="shared" si="31"/>
        <v/>
      </c>
      <c r="BY8" s="10" t="str">
        <f t="shared" si="32"/>
        <v/>
      </c>
      <c r="BZ8" s="10" t="str">
        <f t="shared" si="33"/>
        <v/>
      </c>
      <c r="CA8" s="34" t="str">
        <f t="shared" si="34"/>
        <v/>
      </c>
      <c r="CB8" s="34" t="str">
        <f t="shared" si="35"/>
        <v/>
      </c>
      <c r="CC8" s="14"/>
      <c r="CD8" s="14"/>
      <c r="CE8" s="14"/>
      <c r="CF8" s="14"/>
      <c r="CG8" s="14"/>
      <c r="CH8" s="14"/>
      <c r="CI8" s="14"/>
      <c r="CJ8" s="14"/>
      <c r="CK8" s="14"/>
      <c r="CL8" s="14"/>
      <c r="CM8" s="14"/>
      <c r="CN8" s="14"/>
      <c r="CO8" s="14"/>
      <c r="CP8" s="14"/>
      <c r="CQ8" s="14"/>
      <c r="CR8" s="14"/>
      <c r="CS8" s="14"/>
      <c r="CT8" s="14"/>
      <c r="CU8" s="14"/>
      <c r="CV8" s="14"/>
      <c r="CW8" s="27" t="str">
        <f t="shared" si="36"/>
        <v/>
      </c>
      <c r="CX8" s="27" t="str">
        <f t="shared" si="37"/>
        <v/>
      </c>
      <c r="CY8" s="27" t="str">
        <f t="shared" si="38"/>
        <v/>
      </c>
      <c r="CZ8" s="27" t="str">
        <f t="shared" si="39"/>
        <v/>
      </c>
      <c r="DA8" s="27" t="str">
        <f t="shared" si="40"/>
        <v/>
      </c>
      <c r="DB8" s="27" t="str">
        <f t="shared" si="41"/>
        <v/>
      </c>
      <c r="DC8" s="27" t="str">
        <f t="shared" si="42"/>
        <v/>
      </c>
      <c r="DD8" s="27" t="str">
        <f t="shared" si="43"/>
        <v/>
      </c>
      <c r="DE8" s="27" t="str">
        <f t="shared" si="44"/>
        <v/>
      </c>
      <c r="DF8" s="27" t="str">
        <f t="shared" si="45"/>
        <v/>
      </c>
      <c r="DG8" s="27" t="str">
        <f t="shared" si="46"/>
        <v/>
      </c>
      <c r="DH8" s="27" t="str">
        <f t="shared" si="47"/>
        <v/>
      </c>
      <c r="DI8" s="27" t="str">
        <f t="shared" si="48"/>
        <v/>
      </c>
      <c r="DJ8" s="27" t="str">
        <f t="shared" si="49"/>
        <v/>
      </c>
      <c r="DK8" s="27" t="str">
        <f t="shared" si="50"/>
        <v/>
      </c>
      <c r="DL8" s="15"/>
      <c r="DM8" s="15"/>
      <c r="DN8" s="15"/>
      <c r="DO8" s="15"/>
      <c r="DP8" s="15"/>
      <c r="DQ8" s="15"/>
      <c r="DR8" s="15"/>
      <c r="DS8" s="15"/>
      <c r="DT8" s="15"/>
      <c r="DU8" s="15"/>
      <c r="DV8" s="15"/>
      <c r="DW8" s="15"/>
      <c r="DX8" s="15"/>
      <c r="DY8" s="15"/>
      <c r="DZ8" s="15"/>
      <c r="EA8" s="15"/>
      <c r="EB8" s="15"/>
      <c r="EC8" s="15"/>
      <c r="ED8" s="15"/>
      <c r="EE8" s="15"/>
      <c r="EF8" s="10" t="str">
        <f t="shared" si="51"/>
        <v/>
      </c>
      <c r="EG8" s="10" t="str">
        <f t="shared" si="52"/>
        <v/>
      </c>
      <c r="EH8" s="10" t="str">
        <f t="shared" si="53"/>
        <v/>
      </c>
      <c r="EI8" s="10" t="str">
        <f t="shared" si="54"/>
        <v/>
      </c>
      <c r="EJ8" s="10" t="str">
        <f t="shared" si="55"/>
        <v/>
      </c>
      <c r="EK8" s="10" t="str">
        <f t="shared" si="56"/>
        <v/>
      </c>
      <c r="EL8" s="10" t="str">
        <f t="shared" si="57"/>
        <v/>
      </c>
      <c r="EM8" s="10" t="str">
        <f t="shared" si="58"/>
        <v/>
      </c>
      <c r="EN8" s="10" t="str">
        <f t="shared" si="59"/>
        <v/>
      </c>
      <c r="EO8" s="10" t="str">
        <f t="shared" si="60"/>
        <v/>
      </c>
      <c r="EP8" s="10" t="str">
        <f t="shared" si="61"/>
        <v/>
      </c>
      <c r="EQ8" s="10" t="str">
        <f t="shared" si="62"/>
        <v/>
      </c>
      <c r="ER8" s="10" t="str">
        <f t="shared" si="63"/>
        <v/>
      </c>
      <c r="ES8" s="10" t="str">
        <f t="shared" si="64"/>
        <v/>
      </c>
      <c r="ET8" s="10" t="str">
        <f t="shared" si="65"/>
        <v/>
      </c>
    </row>
    <row r="9" spans="1:150" x14ac:dyDescent="0.2">
      <c r="A9" s="3" cm="1">
        <f t="array" ref="A9">IF(AND(H9&lt;&gt;"",H9&lt;&gt;"No DD"),SUMPRODUCT((H$4:H$24&lt;&gt;"")*(H$4:H$24&lt;&gt;"No DD")*(E$4:E$24&gt;E9))+1,IF(H9="No DD",SUMPRODUCT((H$4:H$24="No DD")*(E$4:E$24&gt;E9))+1+SUMPRODUCT((H$4:H$24&lt;&gt;"")*(H$4:H$24&lt;&gt;"No DD")),""))</f>
        <v>6</v>
      </c>
      <c r="B9" s="4" t="s">
        <v>41</v>
      </c>
      <c r="C9" s="3" t="s">
        <v>4</v>
      </c>
      <c r="D9" s="3">
        <v>2004</v>
      </c>
      <c r="E9" s="8">
        <f t="shared" si="0"/>
        <v>78.900005100005103</v>
      </c>
      <c r="F9" s="2" t="str">
        <f>IF(OR(AND(AO9&lt;&gt;"",AO9&gt;=AV$29,AN9&gt;=AV$26),AND(AU9&lt;&gt;"",AU9&gt;=AV$29,AT9&gt;=AV$26),AND(BS9&lt;&gt;"",BS9&gt;=BZ$29,BR9&gt;=BZ$26),AND(BY9&lt;&gt;"",BY9&gt;=BZ$29,BX9&gt;=BZ$26),AND(DB9&lt;&gt;"",DB9&gt;=DK$29,DA9&gt;=DK$26),AND(DJ9&lt;&gt;"",DJ9&gt;=DK$29,DI9&gt;=DK$26),AND(EK9&lt;&gt;"",EK9&gt;=ET$29,EJ9&gt;=ET$26),AND(ES9&lt;&gt;"",ES9&gt;=ET$29,ER9&gt;=ET$26)),"P","")</f>
        <v>P</v>
      </c>
      <c r="G9" s="2" t="str">
        <f>IF(OR(AND(AO9&lt;&gt;"",AO9&gt;=AV$29),AND(AU9&lt;&gt;"",AU9&gt;=AV$29),AND(BS9&lt;&gt;"",BS9&gt;=BZ$29),AND(BY9&lt;&gt;"",BY9&gt;=BZ$29),AND(DB9&lt;&gt;"",DB9&gt;=DK$29),AND(DJ9&lt;&gt;"",DJ9&gt;=DK$29),AND(EK9&lt;&gt;"",EK9&gt;=ET$29),AND(ES9&lt;&gt;"",ES9&gt;=ET$29)),"P","")</f>
        <v>P</v>
      </c>
      <c r="H9" s="26" t="str">
        <f>IF(AND(G9="P",F9=""),"No DD",IF(OR(AND(AK9&lt;&gt;"",AK9&gt;=AV$31,AJ9&gt;=AV$28),AND(AM9&lt;&gt;"",AM9&gt;=AV$31,AL9&gt;=AV$28),AND(AQ9&lt;&gt;"",AQ9&gt;=AV$31,AP9&gt;=AV$28),AND(AS9&lt;&gt;"",AS9&gt;=AV$31,AR9&gt;=AV$28),AND(BO9&lt;&gt;"",BO9&gt;=BZ$31,BN9&gt;=BZ$28),AND(BQ9&lt;&gt;"",BQ9&gt;=BZ$31,BP9&gt;=BZ$28),AND(BV9&lt;&gt;"",BV9&gt;=BZ$31,BU9&gt;=BZ$28),AND(BX9&lt;&gt;"",BX9&gt;=BZ$31,BW9&gt;=BZ$28),AND(CX9&lt;&gt;"",CX9&gt;=DK$31,CW9&gt;=DK$28),AND(CZ9&lt;&gt;"",CZ9&gt;=DK$31,CY9&gt;=DK$28),AND(DD9&lt;&gt;"",DD9&gt;=DK$31,DC9&gt;=DK$28),AND(DF9&lt;&gt;"",DF9&gt;=DK$31,DE9&gt;=DK$28),AND(DH9&lt;&gt;"",DH9&gt;=DK$31,DG9&gt;=DK$28),AND(EG9&lt;&gt;"",EG9&gt;=ET$31,EF9&gt;=ET$28),AND(EI9&lt;&gt;"",EI9&gt;=ET$31,EH9&gt;=ET$28),AND(EM9&lt;&gt;"",EM9&gt;=ET$31,EL9&gt;=ET$28),AND(EO9&lt;&gt;"",EO9&gt;=ET$31,EN9&gt;=ET$28),AND(EQ9&lt;&gt;"",EQ9&gt;=ET$31,EP9&gt;=ET$28)),"Performance",IF(I9="P","Worlds Team",IF(F9="P","National Team",""))))</f>
        <v>National Team</v>
      </c>
      <c r="I9" s="2" t="str">
        <f>IF(OR(AND(AO9&lt;&gt;"",AO9&gt;=AV$30,AN9&gt;=AV$27),AND(AU9&lt;&gt;"",AU9&gt;=AV$30,AT9&gt;=AV$27),AND(BS9&lt;&gt;"",BS9&gt;=BZ$30,BR9&gt;=BZ$27),AND(BY9&lt;&gt;"",BY9&gt;=BZ$30,BX9&gt;=BZ$27),AND(DB9&lt;&gt;"",DB9&gt;=DK$30,DA9&gt;=DK$27),AND(DJ9&lt;&gt;"",DJ9&gt;=DK$30,DI9&gt;=DK$27),AND(EK9&lt;&gt;"",EK9&gt;=ET$30,EJ9&gt;=ET$27),AND(ES9&lt;&gt;"",ES9&gt;=ET$30,ER9&gt;=ET$27)),"P","")</f>
        <v/>
      </c>
      <c r="J9" s="7">
        <f t="shared" si="1"/>
        <v>51</v>
      </c>
      <c r="K9" s="7" t="str">
        <f t="shared" si="2"/>
        <v>2026 Elite Canada</v>
      </c>
      <c r="L9" s="7">
        <f>IF(J9=AO9,IF(COUNT(AQ9,AS9,BO9,BQ9,BU9,BW9)&gt;1,LARGE((AQ9,AS9,BO9,BQ9,BU9,BW9),1),0),IF(COUNT(AK9,AM9,AQ9,AS9,BU9,BW9)&gt;1,LARGE((AK9,AM9,AQ9,AS9,BU9,BW9),1),0))</f>
        <v>0</v>
      </c>
      <c r="M9" s="7" t="str">
        <f t="shared" si="3"/>
        <v/>
      </c>
      <c r="N9" s="7">
        <f>IF(J9=AO9,IF(COUNT(AQ9,AS9,BO9,BQ9,BU9,BW9)&gt;1,LARGE((AQ9,AS9,BO9,BQ9,BU9,BW9),2),0),IF(COUNT(AK9,AM9,AQ9,AS9,BU9,BW9)&gt;1,LARGE((AK9,AM9,AQ9,AS9,BU9,BW9),2),0))</f>
        <v>0</v>
      </c>
      <c r="O9" s="7" t="str">
        <f t="shared" si="4"/>
        <v/>
      </c>
      <c r="P9" s="7">
        <f t="shared" si="5"/>
        <v>27.9</v>
      </c>
      <c r="Q9" s="10" t="str">
        <f t="shared" si="6"/>
        <v>(Pass)</v>
      </c>
      <c r="R9" s="7" t="str">
        <f t="shared" si="7"/>
        <v>2025 WAGC (Nov 16)</v>
      </c>
      <c r="S9" s="38">
        <v>18.8</v>
      </c>
      <c r="T9" s="38">
        <v>8.4</v>
      </c>
      <c r="U9" s="38">
        <v>0.6</v>
      </c>
      <c r="V9" s="38">
        <v>0</v>
      </c>
      <c r="W9" s="38">
        <v>16.2</v>
      </c>
      <c r="X9" s="38">
        <v>8.6999999999999993</v>
      </c>
      <c r="Y9" s="38">
        <v>1</v>
      </c>
      <c r="Z9" s="38">
        <v>0.5</v>
      </c>
      <c r="AA9" s="38" t="s">
        <v>175</v>
      </c>
      <c r="AB9" s="38" t="s">
        <v>175</v>
      </c>
      <c r="AC9" s="38" t="s">
        <v>175</v>
      </c>
      <c r="AD9" s="38" t="s">
        <v>175</v>
      </c>
      <c r="AE9" s="38" t="s">
        <v>175</v>
      </c>
      <c r="AF9" s="38" t="s">
        <v>175</v>
      </c>
      <c r="AG9" s="38" t="s">
        <v>175</v>
      </c>
      <c r="AH9" s="38" t="s">
        <v>175</v>
      </c>
      <c r="AI9" s="19"/>
      <c r="AJ9" s="41">
        <f t="shared" si="8"/>
        <v>8.4</v>
      </c>
      <c r="AK9" s="41">
        <f t="shared" si="9"/>
        <v>26.6</v>
      </c>
      <c r="AL9" s="41">
        <f t="shared" si="10"/>
        <v>8.6999999999999993</v>
      </c>
      <c r="AM9" s="41">
        <f t="shared" si="11"/>
        <v>24.4</v>
      </c>
      <c r="AN9" s="27">
        <f t="shared" si="12"/>
        <v>17.100000000000001</v>
      </c>
      <c r="AO9" s="27">
        <f t="shared" si="13"/>
        <v>51</v>
      </c>
      <c r="AP9" s="27" t="str">
        <f t="shared" si="14"/>
        <v/>
      </c>
      <c r="AQ9" s="27" t="str">
        <f t="shared" si="15"/>
        <v/>
      </c>
      <c r="AR9" s="27" t="str">
        <f t="shared" si="16"/>
        <v/>
      </c>
      <c r="AS9" s="27" t="str">
        <f t="shared" si="17"/>
        <v/>
      </c>
      <c r="AT9" s="27" t="str">
        <f t="shared" si="18"/>
        <v/>
      </c>
      <c r="AU9" s="27" t="str">
        <f t="shared" si="19"/>
        <v/>
      </c>
      <c r="AV9" s="27">
        <f t="shared" si="20"/>
        <v>51</v>
      </c>
      <c r="AW9" s="15"/>
      <c r="AX9" s="15"/>
      <c r="AY9" s="15"/>
      <c r="AZ9" s="15"/>
      <c r="BA9" s="15"/>
      <c r="BB9" s="15"/>
      <c r="BC9" s="15"/>
      <c r="BD9" s="15"/>
      <c r="BE9" s="15"/>
      <c r="BF9" s="15"/>
      <c r="BG9" s="15"/>
      <c r="BH9" s="15"/>
      <c r="BI9" s="15"/>
      <c r="BJ9" s="15"/>
      <c r="BK9" s="15"/>
      <c r="BL9" s="15"/>
      <c r="BM9" s="20"/>
      <c r="BN9" s="42" t="str">
        <f t="shared" si="21"/>
        <v/>
      </c>
      <c r="BO9" s="42" t="str">
        <f t="shared" si="22"/>
        <v/>
      </c>
      <c r="BP9" s="42" t="str">
        <f t="shared" si="23"/>
        <v/>
      </c>
      <c r="BQ9" s="42" t="str">
        <f t="shared" si="24"/>
        <v/>
      </c>
      <c r="BR9" s="10" t="str">
        <f t="shared" si="25"/>
        <v/>
      </c>
      <c r="BS9" s="10" t="str">
        <f t="shared" si="26"/>
        <v/>
      </c>
      <c r="BT9" s="10" t="str">
        <f t="shared" si="27"/>
        <v/>
      </c>
      <c r="BU9" s="10" t="str">
        <f t="shared" si="28"/>
        <v/>
      </c>
      <c r="BV9" s="10" t="str">
        <f t="shared" si="29"/>
        <v/>
      </c>
      <c r="BW9" s="10" t="str">
        <f t="shared" si="30"/>
        <v/>
      </c>
      <c r="BX9" s="10" t="str">
        <f t="shared" si="31"/>
        <v/>
      </c>
      <c r="BY9" s="10" t="str">
        <f t="shared" si="32"/>
        <v/>
      </c>
      <c r="BZ9" s="10" t="str">
        <f t="shared" si="33"/>
        <v/>
      </c>
      <c r="CA9" s="34">
        <f t="shared" si="34"/>
        <v>2.0999999999999943</v>
      </c>
      <c r="CB9" s="34">
        <f t="shared" si="35"/>
        <v>27.9</v>
      </c>
      <c r="CC9" s="14"/>
      <c r="CD9" s="14"/>
      <c r="CE9" s="14"/>
      <c r="CF9" s="14"/>
      <c r="CG9" s="14"/>
      <c r="CH9" s="14"/>
      <c r="CI9" s="14"/>
      <c r="CJ9" s="14"/>
      <c r="CK9" s="14"/>
      <c r="CL9" s="14"/>
      <c r="CM9" s="14"/>
      <c r="CN9" s="14"/>
      <c r="CO9" s="14"/>
      <c r="CP9" s="14"/>
      <c r="CQ9" s="14"/>
      <c r="CR9" s="14"/>
      <c r="CS9" s="14"/>
      <c r="CT9" s="14"/>
      <c r="CU9" s="14"/>
      <c r="CV9" s="14"/>
      <c r="CW9" s="27" t="str">
        <f t="shared" si="36"/>
        <v/>
      </c>
      <c r="CX9" s="27" t="str">
        <f t="shared" si="37"/>
        <v/>
      </c>
      <c r="CY9" s="27" t="str">
        <f t="shared" si="38"/>
        <v/>
      </c>
      <c r="CZ9" s="27" t="str">
        <f t="shared" si="39"/>
        <v/>
      </c>
      <c r="DA9" s="27" t="str">
        <f t="shared" si="40"/>
        <v/>
      </c>
      <c r="DB9" s="27" t="str">
        <f t="shared" si="41"/>
        <v/>
      </c>
      <c r="DC9" s="27" t="str">
        <f t="shared" si="42"/>
        <v/>
      </c>
      <c r="DD9" s="27" t="str">
        <f t="shared" si="43"/>
        <v/>
      </c>
      <c r="DE9" s="27" t="str">
        <f t="shared" si="44"/>
        <v/>
      </c>
      <c r="DF9" s="27" t="str">
        <f t="shared" si="45"/>
        <v/>
      </c>
      <c r="DG9" s="27" t="str">
        <f t="shared" si="46"/>
        <v/>
      </c>
      <c r="DH9" s="27" t="str">
        <f t="shared" si="47"/>
        <v/>
      </c>
      <c r="DI9" s="27" t="str">
        <f t="shared" si="48"/>
        <v/>
      </c>
      <c r="DJ9" s="27" t="str">
        <f t="shared" si="49"/>
        <v/>
      </c>
      <c r="DK9" s="27" t="str">
        <f t="shared" si="50"/>
        <v/>
      </c>
      <c r="DL9" s="15">
        <v>18.600000000000001</v>
      </c>
      <c r="DM9" s="15">
        <v>8.4</v>
      </c>
      <c r="DN9" s="15">
        <v>0</v>
      </c>
      <c r="DO9" s="15">
        <v>0</v>
      </c>
      <c r="DP9" s="15">
        <v>18.2</v>
      </c>
      <c r="DQ9" s="15">
        <v>8.6999999999999993</v>
      </c>
      <c r="DR9" s="15">
        <v>0.8</v>
      </c>
      <c r="DS9" s="15">
        <v>0</v>
      </c>
      <c r="DT9" s="15"/>
      <c r="DU9" s="15"/>
      <c r="DV9" s="15"/>
      <c r="DW9" s="15"/>
      <c r="DX9" s="15">
        <v>18.399999999999999</v>
      </c>
      <c r="DY9" s="15">
        <v>9.5</v>
      </c>
      <c r="DZ9" s="15">
        <v>0</v>
      </c>
      <c r="EA9" s="15">
        <v>0</v>
      </c>
      <c r="EB9" s="15">
        <v>18.399999999999999</v>
      </c>
      <c r="EC9" s="15">
        <v>7.6</v>
      </c>
      <c r="ED9" s="15">
        <v>0.8</v>
      </c>
      <c r="EE9" s="15">
        <v>0</v>
      </c>
      <c r="EF9" s="10">
        <f t="shared" si="51"/>
        <v>8.4</v>
      </c>
      <c r="EG9" s="10">
        <f t="shared" si="52"/>
        <v>27</v>
      </c>
      <c r="EH9" s="10">
        <f t="shared" si="53"/>
        <v>8.6999999999999993</v>
      </c>
      <c r="EI9" s="10">
        <f t="shared" si="54"/>
        <v>26.099999999999998</v>
      </c>
      <c r="EJ9" s="10">
        <f t="shared" si="55"/>
        <v>17.100000000000001</v>
      </c>
      <c r="EK9" s="10">
        <f t="shared" si="56"/>
        <v>53.099999999999994</v>
      </c>
      <c r="EL9" s="10" t="str">
        <f t="shared" si="57"/>
        <v/>
      </c>
      <c r="EM9" s="10" t="str">
        <f t="shared" si="58"/>
        <v/>
      </c>
      <c r="EN9" s="10">
        <f t="shared" si="59"/>
        <v>9.5</v>
      </c>
      <c r="EO9" s="10">
        <f t="shared" si="60"/>
        <v>27.9</v>
      </c>
      <c r="EP9" s="10">
        <f t="shared" si="61"/>
        <v>7.6</v>
      </c>
      <c r="EQ9" s="10">
        <f t="shared" si="62"/>
        <v>25.2</v>
      </c>
      <c r="ER9" s="10">
        <f t="shared" si="63"/>
        <v>17.100000000000001</v>
      </c>
      <c r="ES9" s="10">
        <f t="shared" si="64"/>
        <v>53.099999999999994</v>
      </c>
      <c r="ET9" s="10">
        <f t="shared" si="65"/>
        <v>78.3</v>
      </c>
    </row>
    <row r="10" spans="1:150" x14ac:dyDescent="0.2">
      <c r="A10" s="3" cm="1">
        <f t="array" ref="A10">IF(AND(H10&lt;&gt;"",H10&lt;&gt;"No DD"),SUMPRODUCT((H$4:H$24&lt;&gt;"")*(H$4:H$24&lt;&gt;"No DD")*(E$4:E$24&gt;E10))+1,IF(H10="No DD",SUMPRODUCT((H$4:H$24="No DD")*(E$4:E$24&gt;E10))+1+SUMPRODUCT((H$4:H$24&lt;&gt;"")*(H$4:H$24&lt;&gt;"No DD")),""))</f>
        <v>7</v>
      </c>
      <c r="B10" s="4" t="s">
        <v>146</v>
      </c>
      <c r="C10" s="3" t="s">
        <v>5</v>
      </c>
      <c r="D10" s="3">
        <v>2001</v>
      </c>
      <c r="E10" s="8">
        <f t="shared" si="0"/>
        <v>77.900007790005446</v>
      </c>
      <c r="F10" s="2" t="str">
        <f>IF(OR(AND(AO10&lt;&gt;"",AO10&gt;=AV$29,AN10&gt;=AV$26),AND(AU10&lt;&gt;"",AU10&gt;=AV$29,AT10&gt;=AV$26),AND(BS10&lt;&gt;"",BS10&gt;=BZ$29,BR10&gt;=BZ$26),AND(BY10&lt;&gt;"",BY10&gt;=BZ$29,BX10&gt;=BZ$26),AND(DB10&lt;&gt;"",DB10&gt;=DK$29,DA10&gt;=DK$26),AND(DJ10&lt;&gt;"",DJ10&gt;=DK$29,DI10&gt;=DK$26),AND(EK10&lt;&gt;"",EK10&gt;=ET$29,EJ10&gt;=ET$26),AND(ES10&lt;&gt;"",ES10&gt;=ET$29,ER10&gt;=ET$26)),"P","")</f>
        <v>P</v>
      </c>
      <c r="G10" s="2" t="str">
        <f>IF(OR(AND(AO10&lt;&gt;"",AO10&gt;=AV$29),AND(AU10&lt;&gt;"",AU10&gt;=AV$29),AND(BS10&lt;&gt;"",BS10&gt;=BZ$29),AND(BY10&lt;&gt;"",BY10&gt;=BZ$29),AND(DB10&lt;&gt;"",DB10&gt;=DK$29),AND(DJ10&lt;&gt;"",DJ10&gt;=DK$29),AND(EK10&lt;&gt;"",EK10&gt;=ET$29),AND(ES10&lt;&gt;"",ES10&gt;=ET$29)),"P","")</f>
        <v>P</v>
      </c>
      <c r="H10" s="26" t="str">
        <f>IF(AND(G10="P",F10=""),"No DD",IF(OR(AND(AK10&lt;&gt;"",AK10&gt;=AV$31,AJ10&gt;=AV$28),AND(AM10&lt;&gt;"",AM10&gt;=AV$31,AL10&gt;=AV$28),AND(AQ10&lt;&gt;"",AQ10&gt;=AV$31,AP10&gt;=AV$28),AND(AS10&lt;&gt;"",AS10&gt;=AV$31,AR10&gt;=AV$28),AND(BO10&lt;&gt;"",BO10&gt;=BZ$31,BN10&gt;=BZ$28),AND(BQ10&lt;&gt;"",BQ10&gt;=BZ$31,BP10&gt;=BZ$28),AND(BV10&lt;&gt;"",BV10&gt;=BZ$31,BU10&gt;=BZ$28),AND(BX10&lt;&gt;"",BX10&gt;=BZ$31,BW10&gt;=BZ$28),AND(CX10&lt;&gt;"",CX10&gt;=DK$31,CW10&gt;=DK$28),AND(CZ10&lt;&gt;"",CZ10&gt;=DK$31,CY10&gt;=DK$28),AND(DD10&lt;&gt;"",DD10&gt;=DK$31,DC10&gt;=DK$28),AND(DF10&lt;&gt;"",DF10&gt;=DK$31,DE10&gt;=DK$28),AND(DH10&lt;&gt;"",DH10&gt;=DK$31,DG10&gt;=DK$28),AND(EG10&lt;&gt;"",EG10&gt;=ET$31,EF10&gt;=ET$28),AND(EI10&lt;&gt;"",EI10&gt;=ET$31,EH10&gt;=ET$28),AND(EM10&lt;&gt;"",EM10&gt;=ET$31,EL10&gt;=ET$28),AND(EO10&lt;&gt;"",EO10&gt;=ET$31,EN10&gt;=ET$28),AND(EQ10&lt;&gt;"",EQ10&gt;=ET$31,EP10&gt;=ET$28)),"Performance",IF(I10="P","Worlds Team",IF(F10="P","National Team",""))))</f>
        <v>Worlds Team</v>
      </c>
      <c r="I10" s="2" t="str">
        <f>IF(OR(AND(AO10&lt;&gt;"",AO10&gt;=AV$30,AN10&gt;=AV$27),AND(AU10&lt;&gt;"",AU10&gt;=AV$30,AT10&gt;=AV$27),AND(BS10&lt;&gt;"",BS10&gt;=BZ$30,BR10&gt;=BZ$27),AND(BY10&lt;&gt;"",BY10&gt;=BZ$30,BX10&gt;=BZ$27),AND(DB10&lt;&gt;"",DB10&gt;=DK$30,DA10&gt;=DK$27),AND(DJ10&lt;&gt;"",DJ10&gt;=DK$30,DI10&gt;=DK$27),AND(EK10&lt;&gt;"",EK10&gt;=ET$30,EJ10&gt;=ET$27),AND(ES10&lt;&gt;"",ES10&gt;=ET$30,ER10&gt;=ET$27)),"P","")</f>
        <v>P</v>
      </c>
      <c r="J10" s="7">
        <f t="shared" si="1"/>
        <v>54.400000000000006</v>
      </c>
      <c r="K10" s="7" t="str">
        <f t="shared" si="2"/>
        <v>2026 Elite Canada</v>
      </c>
      <c r="L10" s="7">
        <f>IF(J10=AO10,IF(COUNT(AQ10,AS10,BO10,BQ10,BU10,BW10)&gt;1,LARGE((AQ10,AS10,BO10,BQ10,BU10,BW10),1),0),IF(COUNT(AK10,AM10,AQ10,AS10,BU10,BW10)&gt;1,LARGE((AK10,AM10,AQ10,AS10,BU10,BW10),1),0))</f>
        <v>23.5</v>
      </c>
      <c r="M10" s="7" t="str">
        <f t="shared" si="3"/>
        <v>2026 Elite Canada</v>
      </c>
      <c r="N10" s="7">
        <f>IF(J10=AO10,IF(COUNT(AQ10,AS10,BO10,BQ10,BU10,BW10)&gt;1,LARGE((AQ10,AS10,BO10,BQ10,BU10,BW10),2),0),IF(COUNT(AK10,AM10,AQ10,AS10,BU10,BW10)&gt;1,LARGE((AK10,AM10,AQ10,AS10,BU10,BW10),2),0))</f>
        <v>0</v>
      </c>
      <c r="O10" s="7" t="str">
        <f t="shared" si="4"/>
        <v/>
      </c>
      <c r="P10" s="7" t="str">
        <f t="shared" si="5"/>
        <v/>
      </c>
      <c r="Q10" s="10" t="str">
        <f t="shared" si="6"/>
        <v/>
      </c>
      <c r="R10" s="7" t="str">
        <f t="shared" si="7"/>
        <v/>
      </c>
      <c r="S10" s="38">
        <v>18.8</v>
      </c>
      <c r="T10" s="38">
        <v>8.4</v>
      </c>
      <c r="U10" s="38">
        <v>0.8</v>
      </c>
      <c r="V10" s="38">
        <v>0</v>
      </c>
      <c r="W10" s="38">
        <v>18.5</v>
      </c>
      <c r="X10" s="38">
        <v>9.6</v>
      </c>
      <c r="Y10" s="38">
        <v>0.6</v>
      </c>
      <c r="Z10" s="38">
        <v>0.50000000000000033</v>
      </c>
      <c r="AA10" s="38">
        <v>0</v>
      </c>
      <c r="AB10" s="38">
        <v>0</v>
      </c>
      <c r="AC10" s="38">
        <v>0</v>
      </c>
      <c r="AD10" s="38">
        <v>0</v>
      </c>
      <c r="AE10" s="38">
        <v>18.899999999999999</v>
      </c>
      <c r="AF10" s="38">
        <v>6</v>
      </c>
      <c r="AG10" s="38">
        <v>1.4</v>
      </c>
      <c r="AH10" s="38">
        <v>0</v>
      </c>
      <c r="AI10" s="19"/>
      <c r="AJ10" s="41">
        <f t="shared" si="8"/>
        <v>8.4</v>
      </c>
      <c r="AK10" s="41">
        <f t="shared" si="9"/>
        <v>26.400000000000002</v>
      </c>
      <c r="AL10" s="41">
        <f t="shared" si="10"/>
        <v>9.6</v>
      </c>
      <c r="AM10" s="41">
        <f t="shared" si="11"/>
        <v>28</v>
      </c>
      <c r="AN10" s="27">
        <f t="shared" si="12"/>
        <v>18</v>
      </c>
      <c r="AO10" s="27">
        <f t="shared" si="13"/>
        <v>54.400000000000006</v>
      </c>
      <c r="AP10" s="27">
        <f t="shared" si="14"/>
        <v>0</v>
      </c>
      <c r="AQ10" s="27">
        <f t="shared" si="15"/>
        <v>0</v>
      </c>
      <c r="AR10" s="27">
        <f t="shared" si="16"/>
        <v>6</v>
      </c>
      <c r="AS10" s="27">
        <f t="shared" si="17"/>
        <v>23.5</v>
      </c>
      <c r="AT10" s="27">
        <f t="shared" si="18"/>
        <v>6</v>
      </c>
      <c r="AU10" s="27">
        <f t="shared" si="19"/>
        <v>23.5</v>
      </c>
      <c r="AV10" s="27">
        <f t="shared" si="20"/>
        <v>77.900000000000006</v>
      </c>
      <c r="AW10" s="15"/>
      <c r="AX10" s="15"/>
      <c r="AY10" s="15"/>
      <c r="AZ10" s="15"/>
      <c r="BA10" s="15"/>
      <c r="BB10" s="15"/>
      <c r="BC10" s="15"/>
      <c r="BD10" s="15"/>
      <c r="BE10" s="15"/>
      <c r="BF10" s="15"/>
      <c r="BG10" s="15"/>
      <c r="BH10" s="15"/>
      <c r="BI10" s="15"/>
      <c r="BJ10" s="15"/>
      <c r="BK10" s="15"/>
      <c r="BL10" s="15"/>
      <c r="BM10" s="20"/>
      <c r="BN10" s="42" t="str">
        <f t="shared" si="21"/>
        <v/>
      </c>
      <c r="BO10" s="42" t="str">
        <f t="shared" si="22"/>
        <v/>
      </c>
      <c r="BP10" s="42" t="str">
        <f t="shared" si="23"/>
        <v/>
      </c>
      <c r="BQ10" s="42" t="str">
        <f t="shared" si="24"/>
        <v/>
      </c>
      <c r="BR10" s="10" t="str">
        <f t="shared" si="25"/>
        <v/>
      </c>
      <c r="BS10" s="10" t="str">
        <f t="shared" si="26"/>
        <v/>
      </c>
      <c r="BT10" s="10" t="str">
        <f t="shared" si="27"/>
        <v/>
      </c>
      <c r="BU10" s="10" t="str">
        <f t="shared" si="28"/>
        <v/>
      </c>
      <c r="BV10" s="10" t="str">
        <f t="shared" si="29"/>
        <v/>
      </c>
      <c r="BW10" s="10" t="str">
        <f t="shared" si="30"/>
        <v/>
      </c>
      <c r="BX10" s="10" t="str">
        <f t="shared" si="31"/>
        <v/>
      </c>
      <c r="BY10" s="10" t="str">
        <f t="shared" si="32"/>
        <v/>
      </c>
      <c r="BZ10" s="10" t="str">
        <f t="shared" si="33"/>
        <v/>
      </c>
      <c r="CA10" s="34" t="str">
        <f t="shared" si="34"/>
        <v/>
      </c>
      <c r="CB10" s="34" t="str">
        <f t="shared" si="35"/>
        <v/>
      </c>
      <c r="CC10" s="14"/>
      <c r="CD10" s="14"/>
      <c r="CE10" s="14"/>
      <c r="CF10" s="14"/>
      <c r="CG10" s="14"/>
      <c r="CH10" s="14"/>
      <c r="CI10" s="14"/>
      <c r="CJ10" s="14"/>
      <c r="CK10" s="14"/>
      <c r="CL10" s="14"/>
      <c r="CM10" s="14"/>
      <c r="CN10" s="14"/>
      <c r="CO10" s="14"/>
      <c r="CP10" s="14"/>
      <c r="CQ10" s="14"/>
      <c r="CR10" s="14"/>
      <c r="CS10" s="14"/>
      <c r="CT10" s="14"/>
      <c r="CU10" s="14"/>
      <c r="CV10" s="14"/>
      <c r="CW10" s="27" t="str">
        <f t="shared" si="36"/>
        <v/>
      </c>
      <c r="CX10" s="27" t="str">
        <f t="shared" si="37"/>
        <v/>
      </c>
      <c r="CY10" s="27" t="str">
        <f t="shared" si="38"/>
        <v/>
      </c>
      <c r="CZ10" s="27" t="str">
        <f t="shared" si="39"/>
        <v/>
      </c>
      <c r="DA10" s="27" t="str">
        <f t="shared" si="40"/>
        <v/>
      </c>
      <c r="DB10" s="27" t="str">
        <f t="shared" si="41"/>
        <v/>
      </c>
      <c r="DC10" s="27" t="str">
        <f t="shared" si="42"/>
        <v/>
      </c>
      <c r="DD10" s="27" t="str">
        <f t="shared" si="43"/>
        <v/>
      </c>
      <c r="DE10" s="27" t="str">
        <f t="shared" si="44"/>
        <v/>
      </c>
      <c r="DF10" s="27" t="str">
        <f t="shared" si="45"/>
        <v/>
      </c>
      <c r="DG10" s="27" t="str">
        <f t="shared" si="46"/>
        <v/>
      </c>
      <c r="DH10" s="27" t="str">
        <f t="shared" si="47"/>
        <v/>
      </c>
      <c r="DI10" s="27" t="str">
        <f t="shared" si="48"/>
        <v/>
      </c>
      <c r="DJ10" s="27" t="str">
        <f t="shared" si="49"/>
        <v/>
      </c>
      <c r="DK10" s="27" t="str">
        <f t="shared" si="50"/>
        <v/>
      </c>
      <c r="DL10" s="15"/>
      <c r="DM10" s="15"/>
      <c r="DN10" s="15"/>
      <c r="DO10" s="15"/>
      <c r="DP10" s="15"/>
      <c r="DQ10" s="15"/>
      <c r="DR10" s="15"/>
      <c r="DS10" s="15"/>
      <c r="DT10" s="15"/>
      <c r="DU10" s="15"/>
      <c r="DV10" s="15"/>
      <c r="DW10" s="15"/>
      <c r="DX10" s="15"/>
      <c r="DY10" s="15"/>
      <c r="DZ10" s="15"/>
      <c r="EA10" s="15"/>
      <c r="EB10" s="15"/>
      <c r="EC10" s="15"/>
      <c r="ED10" s="15"/>
      <c r="EE10" s="15"/>
      <c r="EF10" s="10" t="str">
        <f t="shared" si="51"/>
        <v/>
      </c>
      <c r="EG10" s="10" t="str">
        <f t="shared" si="52"/>
        <v/>
      </c>
      <c r="EH10" s="10" t="str">
        <f t="shared" si="53"/>
        <v/>
      </c>
      <c r="EI10" s="10" t="str">
        <f t="shared" si="54"/>
        <v/>
      </c>
      <c r="EJ10" s="10" t="str">
        <f t="shared" si="55"/>
        <v/>
      </c>
      <c r="EK10" s="10" t="str">
        <f t="shared" si="56"/>
        <v/>
      </c>
      <c r="EL10" s="10" t="str">
        <f t="shared" si="57"/>
        <v/>
      </c>
      <c r="EM10" s="10" t="str">
        <f t="shared" si="58"/>
        <v/>
      </c>
      <c r="EN10" s="10" t="str">
        <f t="shared" si="59"/>
        <v/>
      </c>
      <c r="EO10" s="10" t="str">
        <f t="shared" si="60"/>
        <v/>
      </c>
      <c r="EP10" s="10" t="str">
        <f t="shared" si="61"/>
        <v/>
      </c>
      <c r="EQ10" s="10" t="str">
        <f t="shared" si="62"/>
        <v/>
      </c>
      <c r="ER10" s="10" t="str">
        <f t="shared" si="63"/>
        <v/>
      </c>
      <c r="ES10" s="10" t="str">
        <f t="shared" si="64"/>
        <v/>
      </c>
      <c r="ET10" s="10" t="str">
        <f t="shared" si="65"/>
        <v/>
      </c>
    </row>
    <row r="11" spans="1:150" x14ac:dyDescent="0.2">
      <c r="A11" s="3" cm="1">
        <f t="array" ref="A11">IF(AND(H11&lt;&gt;"",H11&lt;&gt;"No DD"),SUMPRODUCT((H$4:H$24&lt;&gt;"")*(H$4:H$24&lt;&gt;"No DD")*(E$4:E$24&gt;E11))+1,IF(H11="No DD",SUMPRODUCT((H$4:H$24="No DD")*(E$4:E$24&gt;E11))+1+SUMPRODUCT((H$4:H$24&lt;&gt;"")*(H$4:H$24&lt;&gt;"No DD")),""))</f>
        <v>8</v>
      </c>
      <c r="B11" s="4" t="s">
        <v>49</v>
      </c>
      <c r="C11" s="3" t="s">
        <v>4</v>
      </c>
      <c r="D11" s="3">
        <v>2008</v>
      </c>
      <c r="E11" s="8">
        <f t="shared" si="0"/>
        <v>76.600004860004859</v>
      </c>
      <c r="F11" s="2" t="str">
        <f>IF(OR(AND(AO11&lt;&gt;"",AO11&gt;=AV$29,AN11&gt;=AV$26),AND(AU11&lt;&gt;"",AU11&gt;=AV$29,AT11&gt;=AV$26),AND(BS11&lt;&gt;"",BS11&gt;=BZ$29,BR11&gt;=BZ$26),AND(BY11&lt;&gt;"",BY11&gt;=BZ$29,BX11&gt;=BZ$26),AND(DB11&lt;&gt;"",DB11&gt;=DK$29,DA11&gt;=DK$26),AND(DJ11&lt;&gt;"",DJ11&gt;=DK$29,DI11&gt;=DK$26),AND(EK11&lt;&gt;"",EK11&gt;=ET$29,EJ11&gt;=ET$26),AND(ES11&lt;&gt;"",ES11&gt;=ET$29,ER11&gt;=ET$26)),"P","")</f>
        <v>P</v>
      </c>
      <c r="G11" s="2" t="str">
        <f>IF(OR(AND(AO11&lt;&gt;"",AO11&gt;=AV$29),AND(AU11&lt;&gt;"",AU11&gt;=AV$29),AND(BS11&lt;&gt;"",BS11&gt;=BZ$29),AND(BY11&lt;&gt;"",BY11&gt;=BZ$29),AND(DB11&lt;&gt;"",DB11&gt;=DK$29),AND(DJ11&lt;&gt;"",DJ11&gt;=DK$29),AND(EK11&lt;&gt;"",EK11&gt;=ET$29),AND(ES11&lt;&gt;"",ES11&gt;=ET$29)),"P","")</f>
        <v>P</v>
      </c>
      <c r="H11" s="26" t="str">
        <f>IF(AND(G11="P",F11=""),"No DD",IF(OR(AND(AK11&lt;&gt;"",AK11&gt;=AV$31,AJ11&gt;=AV$28),AND(AM11&lt;&gt;"",AM11&gt;=AV$31,AL11&gt;=AV$28),AND(AQ11&lt;&gt;"",AQ11&gt;=AV$31,AP11&gt;=AV$28),AND(AS11&lt;&gt;"",AS11&gt;=AV$31,AR11&gt;=AV$28),AND(BO11&lt;&gt;"",BO11&gt;=BZ$31,BN11&gt;=BZ$28),AND(BQ11&lt;&gt;"",BQ11&gt;=BZ$31,BP11&gt;=BZ$28),AND(BV11&lt;&gt;"",BV11&gt;=BZ$31,BU11&gt;=BZ$28),AND(BX11&lt;&gt;"",BX11&gt;=BZ$31,BW11&gt;=BZ$28),AND(CX11&lt;&gt;"",CX11&gt;=DK$31,CW11&gt;=DK$28),AND(CZ11&lt;&gt;"",CZ11&gt;=DK$31,CY11&gt;=DK$28),AND(DD11&lt;&gt;"",DD11&gt;=DK$31,DC11&gt;=DK$28),AND(DF11&lt;&gt;"",DF11&gt;=DK$31,DE11&gt;=DK$28),AND(DH11&lt;&gt;"",DH11&gt;=DK$31,DG11&gt;=DK$28),AND(EG11&lt;&gt;"",EG11&gt;=ET$31,EF11&gt;=ET$28),AND(EI11&lt;&gt;"",EI11&gt;=ET$31,EH11&gt;=ET$28),AND(EM11&lt;&gt;"",EM11&gt;=ET$31,EL11&gt;=ET$28),AND(EO11&lt;&gt;"",EO11&gt;=ET$31,EN11&gt;=ET$28),AND(EQ11&lt;&gt;"",EQ11&gt;=ET$31,EP11&gt;=ET$28)),"Performance",IF(I11="P","Worlds Team",IF(F11="P","National Team",""))))</f>
        <v>Worlds Team</v>
      </c>
      <c r="I11" s="2" t="str">
        <f>IF(OR(AND(AO11&lt;&gt;"",AO11&gt;=AV$30,AN11&gt;=AV$27),AND(AU11&lt;&gt;"",AU11&gt;=AV$30,AT11&gt;=AV$27),AND(BS11&lt;&gt;"",BS11&gt;=BZ$30,BR11&gt;=BZ$27),AND(BY11&lt;&gt;"",BY11&gt;=BZ$30,BX11&gt;=BZ$27),AND(DB11&lt;&gt;"",DB11&gt;=DK$30,DA11&gt;=DK$27),AND(DJ11&lt;&gt;"",DJ11&gt;=DK$30,DI11&gt;=DK$27),AND(EK11&lt;&gt;"",EK11&gt;=ET$30,EJ11&gt;=ET$27),AND(ES11&lt;&gt;"",ES11&gt;=ET$30,ER11&gt;=ET$27)),"P","")</f>
        <v>P</v>
      </c>
      <c r="J11" s="7">
        <f t="shared" si="1"/>
        <v>48.599999999999994</v>
      </c>
      <c r="K11" s="7" t="str">
        <f t="shared" si="2"/>
        <v>2026 Elite Canada</v>
      </c>
      <c r="L11" s="7">
        <f>IF(J11=AO11,IF(COUNT(AQ11,AS11,BO11,BQ11,BU11,BW11)&gt;1,LARGE((AQ11,AS11,BO11,BQ11,BU11,BW11),1),0),IF(COUNT(AK11,AM11,AQ11,AS11,BU11,BW11)&gt;1,LARGE((AK11,AM11,AQ11,AS11,BU11,BW11),1),0))</f>
        <v>0</v>
      </c>
      <c r="M11" s="7" t="str">
        <f t="shared" si="3"/>
        <v/>
      </c>
      <c r="N11" s="7">
        <f>IF(J11=AO11,IF(COUNT(AQ11,AS11,BO11,BQ11,BU11,BW11)&gt;1,LARGE((AQ11,AS11,BO11,BQ11,BU11,BW11),2),0),IF(COUNT(AK11,AM11,AQ11,AS11,BU11,BW11)&gt;1,LARGE((AK11,AM11,AQ11,AS11,BU11,BW11),2),0))</f>
        <v>0</v>
      </c>
      <c r="O11" s="7" t="str">
        <f t="shared" si="4"/>
        <v/>
      </c>
      <c r="P11" s="7">
        <f t="shared" si="5"/>
        <v>28</v>
      </c>
      <c r="Q11" s="10" t="str">
        <f t="shared" si="6"/>
        <v>(Pass)</v>
      </c>
      <c r="R11" s="7" t="str">
        <f t="shared" si="7"/>
        <v>2025 Worlds (Nov 9)</v>
      </c>
      <c r="S11" s="38">
        <v>15.2</v>
      </c>
      <c r="T11" s="38">
        <v>5.0999999999999996</v>
      </c>
      <c r="U11" s="38">
        <v>0</v>
      </c>
      <c r="V11" s="38">
        <v>0.50000000000000178</v>
      </c>
      <c r="W11" s="38">
        <v>18.600000000000001</v>
      </c>
      <c r="X11" s="38">
        <v>9.3000000000000007</v>
      </c>
      <c r="Y11" s="38">
        <v>0.6</v>
      </c>
      <c r="Z11" s="38">
        <v>0.49999999999999856</v>
      </c>
      <c r="AA11" s="38" t="s">
        <v>175</v>
      </c>
      <c r="AB11" s="38" t="s">
        <v>175</v>
      </c>
      <c r="AC11" s="38" t="s">
        <v>175</v>
      </c>
      <c r="AD11" s="38" t="s">
        <v>175</v>
      </c>
      <c r="AE11" s="38" t="s">
        <v>175</v>
      </c>
      <c r="AF11" s="38" t="s">
        <v>175</v>
      </c>
      <c r="AG11" s="38" t="s">
        <v>175</v>
      </c>
      <c r="AH11" s="38" t="s">
        <v>175</v>
      </c>
      <c r="AI11" s="19"/>
      <c r="AJ11" s="41">
        <f t="shared" si="8"/>
        <v>5.0999999999999996</v>
      </c>
      <c r="AK11" s="41">
        <f t="shared" si="9"/>
        <v>20.799999999999997</v>
      </c>
      <c r="AL11" s="41">
        <f t="shared" si="10"/>
        <v>9.3000000000000007</v>
      </c>
      <c r="AM11" s="41">
        <f t="shared" si="11"/>
        <v>27.8</v>
      </c>
      <c r="AN11" s="27">
        <f t="shared" si="12"/>
        <v>14.4</v>
      </c>
      <c r="AO11" s="27">
        <f t="shared" si="13"/>
        <v>48.599999999999994</v>
      </c>
      <c r="AP11" s="27" t="str">
        <f t="shared" si="14"/>
        <v/>
      </c>
      <c r="AQ11" s="27" t="str">
        <f t="shared" si="15"/>
        <v/>
      </c>
      <c r="AR11" s="27" t="str">
        <f t="shared" si="16"/>
        <v/>
      </c>
      <c r="AS11" s="27" t="str">
        <f t="shared" si="17"/>
        <v/>
      </c>
      <c r="AT11" s="27" t="str">
        <f t="shared" si="18"/>
        <v/>
      </c>
      <c r="AU11" s="27" t="str">
        <f t="shared" si="19"/>
        <v/>
      </c>
      <c r="AV11" s="27">
        <f t="shared" si="20"/>
        <v>48.599999999999994</v>
      </c>
      <c r="AW11" s="15"/>
      <c r="AX11" s="15"/>
      <c r="AY11" s="15"/>
      <c r="AZ11" s="15"/>
      <c r="BA11" s="15"/>
      <c r="BB11" s="15"/>
      <c r="BC11" s="15"/>
      <c r="BD11" s="15"/>
      <c r="BE11" s="15"/>
      <c r="BF11" s="15"/>
      <c r="BG11" s="15"/>
      <c r="BH11" s="15"/>
      <c r="BI11" s="15"/>
      <c r="BJ11" s="15"/>
      <c r="BK11" s="15"/>
      <c r="BL11" s="15"/>
      <c r="BM11" s="20"/>
      <c r="BN11" s="42" t="str">
        <f t="shared" si="21"/>
        <v/>
      </c>
      <c r="BO11" s="42" t="str">
        <f t="shared" si="22"/>
        <v/>
      </c>
      <c r="BP11" s="42" t="str">
        <f t="shared" si="23"/>
        <v/>
      </c>
      <c r="BQ11" s="42" t="str">
        <f t="shared" si="24"/>
        <v/>
      </c>
      <c r="BR11" s="10" t="str">
        <f t="shared" si="25"/>
        <v/>
      </c>
      <c r="BS11" s="10" t="str">
        <f t="shared" si="26"/>
        <v/>
      </c>
      <c r="BT11" s="10" t="str">
        <f t="shared" si="27"/>
        <v/>
      </c>
      <c r="BU11" s="10" t="str">
        <f t="shared" si="28"/>
        <v/>
      </c>
      <c r="BV11" s="10" t="str">
        <f t="shared" si="29"/>
        <v/>
      </c>
      <c r="BW11" s="10" t="str">
        <f t="shared" si="30"/>
        <v/>
      </c>
      <c r="BX11" s="10" t="str">
        <f t="shared" si="31"/>
        <v/>
      </c>
      <c r="BY11" s="10" t="str">
        <f t="shared" si="32"/>
        <v/>
      </c>
      <c r="BZ11" s="10" t="str">
        <f t="shared" si="33"/>
        <v/>
      </c>
      <c r="CA11" s="34">
        <f t="shared" si="34"/>
        <v>5.2000000000000028</v>
      </c>
      <c r="CB11" s="34">
        <f t="shared" si="35"/>
        <v>28</v>
      </c>
      <c r="CC11" s="14">
        <v>18.399999999999999</v>
      </c>
      <c r="CD11" s="14">
        <v>9.5</v>
      </c>
      <c r="CE11" s="14">
        <v>0</v>
      </c>
      <c r="CF11" s="14">
        <v>0</v>
      </c>
      <c r="CG11" s="14">
        <v>18.2</v>
      </c>
      <c r="CH11" s="14">
        <v>8.5</v>
      </c>
      <c r="CI11" s="14">
        <v>0.8</v>
      </c>
      <c r="CJ11" s="14">
        <v>0</v>
      </c>
      <c r="CK11" s="14">
        <v>18.2</v>
      </c>
      <c r="CL11" s="14">
        <v>10.4</v>
      </c>
      <c r="CM11" s="14">
        <v>0.6</v>
      </c>
      <c r="CN11" s="14">
        <v>0</v>
      </c>
      <c r="CO11" s="14"/>
      <c r="CP11" s="14"/>
      <c r="CQ11" s="14"/>
      <c r="CR11" s="14"/>
      <c r="CS11" s="14"/>
      <c r="CT11" s="14"/>
      <c r="CU11" s="14"/>
      <c r="CV11" s="14"/>
      <c r="CW11" s="27">
        <f t="shared" si="36"/>
        <v>9.5</v>
      </c>
      <c r="CX11" s="27">
        <f t="shared" si="37"/>
        <v>27.9</v>
      </c>
      <c r="CY11" s="27">
        <f t="shared" si="38"/>
        <v>8.5</v>
      </c>
      <c r="CZ11" s="27">
        <f t="shared" si="39"/>
        <v>25.9</v>
      </c>
      <c r="DA11" s="27">
        <f t="shared" si="40"/>
        <v>18</v>
      </c>
      <c r="DB11" s="27">
        <f t="shared" si="41"/>
        <v>53.8</v>
      </c>
      <c r="DC11" s="27">
        <f t="shared" si="42"/>
        <v>10.4</v>
      </c>
      <c r="DD11" s="27">
        <f t="shared" si="43"/>
        <v>28</v>
      </c>
      <c r="DE11" s="27" t="str">
        <f t="shared" si="44"/>
        <v/>
      </c>
      <c r="DF11" s="27" t="str">
        <f t="shared" si="45"/>
        <v/>
      </c>
      <c r="DG11" s="27" t="str">
        <f t="shared" si="46"/>
        <v/>
      </c>
      <c r="DH11" s="27" t="str">
        <f t="shared" si="47"/>
        <v/>
      </c>
      <c r="DI11" s="27" t="str">
        <f t="shared" si="48"/>
        <v/>
      </c>
      <c r="DJ11" s="27" t="str">
        <f t="shared" si="49"/>
        <v/>
      </c>
      <c r="DK11" s="27">
        <f t="shared" si="50"/>
        <v>81.8</v>
      </c>
      <c r="DL11" s="15"/>
      <c r="DM11" s="15"/>
      <c r="DN11" s="15"/>
      <c r="DO11" s="15"/>
      <c r="DP11" s="15"/>
      <c r="DQ11" s="15"/>
      <c r="DR11" s="15"/>
      <c r="DS11" s="15"/>
      <c r="DT11" s="15"/>
      <c r="DU11" s="15"/>
      <c r="DV11" s="15"/>
      <c r="DW11" s="15"/>
      <c r="DX11" s="15"/>
      <c r="DY11" s="15"/>
      <c r="DZ11" s="15"/>
      <c r="EA11" s="15"/>
      <c r="EB11" s="15"/>
      <c r="EC11" s="15"/>
      <c r="ED11" s="15"/>
      <c r="EE11" s="15"/>
      <c r="EF11" s="10" t="str">
        <f t="shared" si="51"/>
        <v/>
      </c>
      <c r="EG11" s="10" t="str">
        <f t="shared" si="52"/>
        <v/>
      </c>
      <c r="EH11" s="10" t="str">
        <f t="shared" si="53"/>
        <v/>
      </c>
      <c r="EI11" s="10" t="str">
        <f t="shared" si="54"/>
        <v/>
      </c>
      <c r="EJ11" s="10" t="str">
        <f t="shared" si="55"/>
        <v/>
      </c>
      <c r="EK11" s="10" t="str">
        <f t="shared" si="56"/>
        <v/>
      </c>
      <c r="EL11" s="10" t="str">
        <f t="shared" si="57"/>
        <v/>
      </c>
      <c r="EM11" s="10" t="str">
        <f t="shared" si="58"/>
        <v/>
      </c>
      <c r="EN11" s="10" t="str">
        <f t="shared" si="59"/>
        <v/>
      </c>
      <c r="EO11" s="10" t="str">
        <f t="shared" si="60"/>
        <v/>
      </c>
      <c r="EP11" s="10" t="str">
        <f t="shared" si="61"/>
        <v/>
      </c>
      <c r="EQ11" s="10" t="str">
        <f t="shared" si="62"/>
        <v/>
      </c>
      <c r="ER11" s="10" t="str">
        <f t="shared" si="63"/>
        <v/>
      </c>
      <c r="ES11" s="10" t="str">
        <f t="shared" si="64"/>
        <v/>
      </c>
      <c r="ET11" s="10" t="str">
        <f t="shared" si="65"/>
        <v/>
      </c>
    </row>
    <row r="12" spans="1:150" x14ac:dyDescent="0.2">
      <c r="A12" s="3" cm="1">
        <f t="array" ref="A12">IF(AND(H12&lt;&gt;"",H12&lt;&gt;"No DD"),SUMPRODUCT((H$4:H$24&lt;&gt;"")*(H$4:H$24&lt;&gt;"No DD")*(E$4:E$24&gt;E12))+1,IF(H12="No DD",SUMPRODUCT((H$4:H$24="No DD")*(E$4:E$24&gt;E12))+1+SUMPRODUCT((H$4:H$24&lt;&gt;"")*(H$4:H$24&lt;&gt;"No DD")),""))</f>
        <v>9</v>
      </c>
      <c r="B12" s="4" t="s">
        <v>37</v>
      </c>
      <c r="C12" s="3" t="s">
        <v>4</v>
      </c>
      <c r="D12" s="3">
        <v>2003</v>
      </c>
      <c r="E12" s="8">
        <f t="shared" si="0"/>
        <v>104.70000794000525</v>
      </c>
      <c r="F12" s="2" t="str">
        <f>IF(OR(AND(AO12&lt;&gt;"",AO12&gt;=AV$29,AN12&gt;=AV$26),AND(AU12&lt;&gt;"",AU12&gt;=AV$29,AT12&gt;=AV$26),AND(BS12&lt;&gt;"",BS12&gt;=BZ$29,BR12&gt;=BZ$26),AND(BY12&lt;&gt;"",BY12&gt;=BZ$29,BX12&gt;=BZ$26),AND(DB12&lt;&gt;"",DB12&gt;=DK$29,DA12&gt;=DK$26),AND(DJ12&lt;&gt;"",DJ12&gt;=DK$29,DI12&gt;=DK$26),AND(EK12&lt;&gt;"",EK12&gt;=ET$29,EJ12&gt;=ET$26),AND(ES12&lt;&gt;"",ES12&gt;=ET$29,ER12&gt;=ET$26)),"P","")</f>
        <v/>
      </c>
      <c r="G12" s="2" t="str">
        <f>IF(OR(AND(AO12&lt;&gt;"",AO12&gt;=AV$29),AND(AU12&lt;&gt;"",AU12&gt;=AV$29),AND(BS12&lt;&gt;"",BS12&gt;=BZ$29),AND(BY12&lt;&gt;"",BY12&gt;=BZ$29),AND(DB12&lt;&gt;"",DB12&gt;=DK$29),AND(DJ12&lt;&gt;"",DJ12&gt;=DK$29),AND(EK12&lt;&gt;"",EK12&gt;=ET$29),AND(ES12&lt;&gt;"",ES12&gt;=ET$29)),"P","")</f>
        <v>P</v>
      </c>
      <c r="H12" s="26" t="str">
        <f>IF(AND(G12="P",F12=""),"No DD",IF(OR(AND(AK12&lt;&gt;"",AK12&gt;=AV$31,AJ12&gt;=AV$28),AND(AM12&lt;&gt;"",AM12&gt;=AV$31,AL12&gt;=AV$28),AND(AQ12&lt;&gt;"",AQ12&gt;=AV$31,AP12&gt;=AV$28),AND(AS12&lt;&gt;"",AS12&gt;=AV$31,AR12&gt;=AV$28),AND(BO12&lt;&gt;"",BO12&gt;=BZ$31,BN12&gt;=BZ$28),AND(BQ12&lt;&gt;"",BQ12&gt;=BZ$31,BP12&gt;=BZ$28),AND(BV12&lt;&gt;"",BV12&gt;=BZ$31,BU12&gt;=BZ$28),AND(BX12&lt;&gt;"",BX12&gt;=BZ$31,BW12&gt;=BZ$28),AND(CX12&lt;&gt;"",CX12&gt;=DK$31,CW12&gt;=DK$28),AND(CZ12&lt;&gt;"",CZ12&gt;=DK$31,CY12&gt;=DK$28),AND(DD12&lt;&gt;"",DD12&gt;=DK$31,DC12&gt;=DK$28),AND(DF12&lt;&gt;"",DF12&gt;=DK$31,DE12&gt;=DK$28),AND(DH12&lt;&gt;"",DH12&gt;=DK$31,DG12&gt;=DK$28),AND(EG12&lt;&gt;"",EG12&gt;=ET$31,EF12&gt;=ET$28),AND(EI12&lt;&gt;"",EI12&gt;=ET$31,EH12&gt;=ET$28),AND(EM12&lt;&gt;"",EM12&gt;=ET$31,EL12&gt;=ET$28),AND(EO12&lt;&gt;"",EO12&gt;=ET$31,EN12&gt;=ET$28),AND(EQ12&lt;&gt;"",EQ12&gt;=ET$31,EP12&gt;=ET$28)),"Performance",IF(I12="P","Worlds Team",IF(F12="P","National Team",""))))</f>
        <v>No DD</v>
      </c>
      <c r="I12" s="2" t="str">
        <f>IF(OR(AND(AO12&lt;&gt;"",AO12&gt;=AV$30,AN12&gt;=AV$27),AND(AU12&lt;&gt;"",AU12&gt;=AV$30,AT12&gt;=AV$27),AND(BS12&lt;&gt;"",BS12&gt;=BZ$30,BR12&gt;=BZ$27),AND(BY12&lt;&gt;"",BY12&gt;=BZ$30,BX12&gt;=BZ$27),AND(DB12&lt;&gt;"",DB12&gt;=DK$30,DA12&gt;=DK$27),AND(DJ12&lt;&gt;"",DJ12&gt;=DK$30,DI12&gt;=DK$27),AND(EK12&lt;&gt;"",EK12&gt;=ET$30,EJ12&gt;=ET$27),AND(ES12&lt;&gt;"",ES12&gt;=ET$30,ER12&gt;=ET$27)),"P","")</f>
        <v/>
      </c>
      <c r="J12" s="7">
        <f t="shared" si="1"/>
        <v>52.4</v>
      </c>
      <c r="K12" s="7" t="str">
        <f t="shared" si="2"/>
        <v>2026 Elite Canada</v>
      </c>
      <c r="L12" s="7">
        <f>IF(J12=AO12,IF(COUNT(AQ12,AS12,BO12,BQ12,BU12,BW12)&gt;1,LARGE((AQ12,AS12,BO12,BQ12,BU12,BW12),1),0),IF(COUNT(AK12,AM12,AQ12,AS12,BU12,BW12)&gt;1,LARGE((AK12,AM12,AQ12,AS12,BU12,BW12),1),0))</f>
        <v>27</v>
      </c>
      <c r="M12" s="7" t="str">
        <f t="shared" si="3"/>
        <v>2026 Elite Canada</v>
      </c>
      <c r="N12" s="7">
        <f>IF(J12=AO12,IF(COUNT(AQ12,AS12,BO12,BQ12,BU12,BW12)&gt;1,LARGE((AQ12,AS12,BO12,BQ12,BU12,BW12),2),0),IF(COUNT(AK12,AM12,AQ12,AS12,BU12,BW12)&gt;1,LARGE((AK12,AM12,AQ12,AS12,BU12,BW12),2),0))</f>
        <v>25.3</v>
      </c>
      <c r="O12" s="7" t="str">
        <f t="shared" si="4"/>
        <v>2026 Elite Canada</v>
      </c>
      <c r="P12" s="7" t="str">
        <f t="shared" si="5"/>
        <v/>
      </c>
      <c r="Q12" s="10" t="str">
        <f t="shared" si="6"/>
        <v/>
      </c>
      <c r="R12" s="7" t="str">
        <f t="shared" si="7"/>
        <v/>
      </c>
      <c r="S12" s="38">
        <v>18.8</v>
      </c>
      <c r="T12" s="38">
        <v>7.6</v>
      </c>
      <c r="U12" s="38">
        <v>0</v>
      </c>
      <c r="V12" s="38">
        <v>0</v>
      </c>
      <c r="W12" s="38">
        <v>18.5</v>
      </c>
      <c r="X12" s="38">
        <v>7.6</v>
      </c>
      <c r="Y12" s="38">
        <v>0.6</v>
      </c>
      <c r="Z12" s="38">
        <v>0.50000000000000033</v>
      </c>
      <c r="AA12" s="38">
        <v>19.2</v>
      </c>
      <c r="AB12" s="38">
        <v>8.4</v>
      </c>
      <c r="AC12" s="38">
        <v>0.6</v>
      </c>
      <c r="AD12" s="38">
        <v>0</v>
      </c>
      <c r="AE12" s="38">
        <v>18.3</v>
      </c>
      <c r="AF12" s="38">
        <v>7.2</v>
      </c>
      <c r="AG12" s="38">
        <v>0.2</v>
      </c>
      <c r="AH12" s="38">
        <v>0</v>
      </c>
      <c r="AI12" s="19"/>
      <c r="AJ12" s="41">
        <f t="shared" si="8"/>
        <v>7.6</v>
      </c>
      <c r="AK12" s="41">
        <f t="shared" si="9"/>
        <v>26.4</v>
      </c>
      <c r="AL12" s="41">
        <f t="shared" si="10"/>
        <v>7.6</v>
      </c>
      <c r="AM12" s="41">
        <f t="shared" si="11"/>
        <v>26</v>
      </c>
      <c r="AN12" s="27">
        <f t="shared" si="12"/>
        <v>15.2</v>
      </c>
      <c r="AO12" s="27">
        <f t="shared" si="13"/>
        <v>52.4</v>
      </c>
      <c r="AP12" s="27">
        <f t="shared" si="14"/>
        <v>8.4</v>
      </c>
      <c r="AQ12" s="27">
        <f t="shared" si="15"/>
        <v>27</v>
      </c>
      <c r="AR12" s="27">
        <f t="shared" si="16"/>
        <v>7.2</v>
      </c>
      <c r="AS12" s="27">
        <f t="shared" si="17"/>
        <v>25.3</v>
      </c>
      <c r="AT12" s="27">
        <f t="shared" si="18"/>
        <v>15.600000000000001</v>
      </c>
      <c r="AU12" s="27">
        <f t="shared" si="19"/>
        <v>52.3</v>
      </c>
      <c r="AV12" s="27">
        <f t="shared" si="20"/>
        <v>104.69999999999999</v>
      </c>
      <c r="AW12" s="15"/>
      <c r="AX12" s="15"/>
      <c r="AY12" s="15"/>
      <c r="AZ12" s="15"/>
      <c r="BA12" s="15"/>
      <c r="BB12" s="15"/>
      <c r="BC12" s="15"/>
      <c r="BD12" s="15"/>
      <c r="BE12" s="15"/>
      <c r="BF12" s="15"/>
      <c r="BG12" s="15"/>
      <c r="BH12" s="15"/>
      <c r="BI12" s="15"/>
      <c r="BJ12" s="15"/>
      <c r="BK12" s="15"/>
      <c r="BL12" s="15"/>
      <c r="BM12" s="20"/>
      <c r="BN12" s="42" t="str">
        <f t="shared" si="21"/>
        <v/>
      </c>
      <c r="BO12" s="42" t="str">
        <f t="shared" si="22"/>
        <v/>
      </c>
      <c r="BP12" s="42" t="str">
        <f t="shared" si="23"/>
        <v/>
      </c>
      <c r="BQ12" s="42" t="str">
        <f t="shared" si="24"/>
        <v/>
      </c>
      <c r="BR12" s="10" t="str">
        <f t="shared" si="25"/>
        <v/>
      </c>
      <c r="BS12" s="10" t="str">
        <f t="shared" si="26"/>
        <v/>
      </c>
      <c r="BT12" s="10" t="str">
        <f t="shared" si="27"/>
        <v/>
      </c>
      <c r="BU12" s="10" t="str">
        <f t="shared" si="28"/>
        <v/>
      </c>
      <c r="BV12" s="10" t="str">
        <f t="shared" si="29"/>
        <v/>
      </c>
      <c r="BW12" s="10" t="str">
        <f t="shared" si="30"/>
        <v/>
      </c>
      <c r="BX12" s="10" t="str">
        <f t="shared" si="31"/>
        <v/>
      </c>
      <c r="BY12" s="10" t="str">
        <f t="shared" si="32"/>
        <v/>
      </c>
      <c r="BZ12" s="10" t="str">
        <f t="shared" si="33"/>
        <v/>
      </c>
      <c r="CA12" s="34" t="str">
        <f t="shared" si="34"/>
        <v/>
      </c>
      <c r="CB12" s="34" t="str">
        <f t="shared" si="35"/>
        <v/>
      </c>
      <c r="CC12" s="14"/>
      <c r="CD12" s="14"/>
      <c r="CE12" s="14"/>
      <c r="CF12" s="14"/>
      <c r="CG12" s="14"/>
      <c r="CH12" s="14"/>
      <c r="CI12" s="14"/>
      <c r="CJ12" s="14"/>
      <c r="CK12" s="14"/>
      <c r="CL12" s="14"/>
      <c r="CM12" s="14"/>
      <c r="CN12" s="14"/>
      <c r="CO12" s="14"/>
      <c r="CP12" s="14"/>
      <c r="CQ12" s="14"/>
      <c r="CR12" s="14"/>
      <c r="CS12" s="14"/>
      <c r="CT12" s="14"/>
      <c r="CU12" s="14"/>
      <c r="CV12" s="14"/>
      <c r="CW12" s="27" t="str">
        <f t="shared" si="36"/>
        <v/>
      </c>
      <c r="CX12" s="27" t="str">
        <f t="shared" si="37"/>
        <v/>
      </c>
      <c r="CY12" s="27" t="str">
        <f t="shared" si="38"/>
        <v/>
      </c>
      <c r="CZ12" s="27" t="str">
        <f t="shared" si="39"/>
        <v/>
      </c>
      <c r="DA12" s="27" t="str">
        <f t="shared" si="40"/>
        <v/>
      </c>
      <c r="DB12" s="27" t="str">
        <f t="shared" si="41"/>
        <v/>
      </c>
      <c r="DC12" s="27" t="str">
        <f t="shared" si="42"/>
        <v/>
      </c>
      <c r="DD12" s="27" t="str">
        <f t="shared" si="43"/>
        <v/>
      </c>
      <c r="DE12" s="27" t="str">
        <f t="shared" si="44"/>
        <v/>
      </c>
      <c r="DF12" s="27" t="str">
        <f t="shared" si="45"/>
        <v/>
      </c>
      <c r="DG12" s="27" t="str">
        <f t="shared" si="46"/>
        <v/>
      </c>
      <c r="DH12" s="27" t="str">
        <f t="shared" si="47"/>
        <v/>
      </c>
      <c r="DI12" s="27" t="str">
        <f t="shared" si="48"/>
        <v/>
      </c>
      <c r="DJ12" s="27" t="str">
        <f t="shared" si="49"/>
        <v/>
      </c>
      <c r="DK12" s="27" t="str">
        <f t="shared" si="50"/>
        <v/>
      </c>
      <c r="DL12" s="15"/>
      <c r="DM12" s="15"/>
      <c r="DN12" s="15"/>
      <c r="DO12" s="15"/>
      <c r="DP12" s="15"/>
      <c r="DQ12" s="15"/>
      <c r="DR12" s="15"/>
      <c r="DS12" s="15"/>
      <c r="DT12" s="15"/>
      <c r="DU12" s="15"/>
      <c r="DV12" s="15"/>
      <c r="DW12" s="15"/>
      <c r="DX12" s="15"/>
      <c r="DY12" s="15"/>
      <c r="DZ12" s="15"/>
      <c r="EA12" s="15"/>
      <c r="EB12" s="15"/>
      <c r="EC12" s="15"/>
      <c r="ED12" s="15"/>
      <c r="EE12" s="15"/>
      <c r="EF12" s="10" t="str">
        <f t="shared" si="51"/>
        <v/>
      </c>
      <c r="EG12" s="10" t="str">
        <f t="shared" si="52"/>
        <v/>
      </c>
      <c r="EH12" s="10" t="str">
        <f t="shared" si="53"/>
        <v/>
      </c>
      <c r="EI12" s="10" t="str">
        <f t="shared" si="54"/>
        <v/>
      </c>
      <c r="EJ12" s="10" t="str">
        <f t="shared" si="55"/>
        <v/>
      </c>
      <c r="EK12" s="10" t="str">
        <f t="shared" si="56"/>
        <v/>
      </c>
      <c r="EL12" s="10" t="str">
        <f t="shared" si="57"/>
        <v/>
      </c>
      <c r="EM12" s="10" t="str">
        <f t="shared" si="58"/>
        <v/>
      </c>
      <c r="EN12" s="10" t="str">
        <f t="shared" si="59"/>
        <v/>
      </c>
      <c r="EO12" s="10" t="str">
        <f t="shared" si="60"/>
        <v/>
      </c>
      <c r="EP12" s="10" t="str">
        <f t="shared" si="61"/>
        <v/>
      </c>
      <c r="EQ12" s="10" t="str">
        <f t="shared" si="62"/>
        <v/>
      </c>
      <c r="ER12" s="10" t="str">
        <f t="shared" si="63"/>
        <v/>
      </c>
      <c r="ES12" s="10" t="str">
        <f t="shared" si="64"/>
        <v/>
      </c>
      <c r="ET12" s="10" t="str">
        <f t="shared" si="65"/>
        <v/>
      </c>
    </row>
    <row r="13" spans="1:150" x14ac:dyDescent="0.2">
      <c r="A13" s="3" t="str" cm="1">
        <f t="array" ref="A13">IF(AND(H13&lt;&gt;"",H13&lt;&gt;"No DD"),SUMPRODUCT((H$4:H$24&lt;&gt;"")*(H$4:H$24&lt;&gt;"No DD")*(E$4:E$24&gt;E13))+1,IF(H13="No DD",SUMPRODUCT((H$4:H$24="No DD")*(E$4:E$24&gt;E13))+1+SUMPRODUCT((H$4:H$24&lt;&gt;"")*(H$4:H$24&lt;&gt;"No DD")),""))</f>
        <v/>
      </c>
      <c r="B13" s="4" t="s">
        <v>117</v>
      </c>
      <c r="C13" s="3" t="s">
        <v>3</v>
      </c>
      <c r="D13" s="3">
        <v>2008</v>
      </c>
      <c r="E13" s="8">
        <f t="shared" si="0"/>
        <v>104.30000777000515</v>
      </c>
      <c r="F13" s="2" t="str">
        <f>IF(OR(AND(AO13&lt;&gt;"",AO13&gt;=AV$29,AN13&gt;=AV$26),AND(AU13&lt;&gt;"",AU13&gt;=AV$29,AT13&gt;=AV$26),AND(BS13&lt;&gt;"",BS13&gt;=BZ$29,BR13&gt;=BZ$26),AND(BY13&lt;&gt;"",BY13&gt;=BZ$29,BX13&gt;=BZ$26),AND(DB13&lt;&gt;"",DB13&gt;=DK$29,DA13&gt;=DK$26),AND(DJ13&lt;&gt;"",DJ13&gt;=DK$29,DI13&gt;=DK$26),AND(EK13&lt;&gt;"",EK13&gt;=ET$29,EJ13&gt;=ET$26),AND(ES13&lt;&gt;"",ES13&gt;=ET$29,ER13&gt;=ET$26)),"P","")</f>
        <v/>
      </c>
      <c r="G13" s="2" t="str">
        <f>IF(OR(AND(AO13&lt;&gt;"",AO13&gt;=AV$29),AND(AU13&lt;&gt;"",AU13&gt;=AV$29),AND(BS13&lt;&gt;"",BS13&gt;=BZ$29),AND(BY13&lt;&gt;"",BY13&gt;=BZ$29),AND(DB13&lt;&gt;"",DB13&gt;=DK$29),AND(DJ13&lt;&gt;"",DJ13&gt;=DK$29),AND(EK13&lt;&gt;"",EK13&gt;=ET$29),AND(ES13&lt;&gt;"",ES13&gt;=ET$29)),"P","")</f>
        <v/>
      </c>
      <c r="H13" s="26" t="str">
        <f>IF(AND(G13="P",F13=""),"No DD",IF(OR(AND(AK13&lt;&gt;"",AK13&gt;=AV$31,AJ13&gt;=AV$28),AND(AM13&lt;&gt;"",AM13&gt;=AV$31,AL13&gt;=AV$28),AND(AQ13&lt;&gt;"",AQ13&gt;=AV$31,AP13&gt;=AV$28),AND(AS13&lt;&gt;"",AS13&gt;=AV$31,AR13&gt;=AV$28),AND(BO13&lt;&gt;"",BO13&gt;=BZ$31,BN13&gt;=BZ$28),AND(BQ13&lt;&gt;"",BQ13&gt;=BZ$31,BP13&gt;=BZ$28),AND(BV13&lt;&gt;"",BV13&gt;=BZ$31,BU13&gt;=BZ$28),AND(BX13&lt;&gt;"",BX13&gt;=BZ$31,BW13&gt;=BZ$28),AND(CX13&lt;&gt;"",CX13&gt;=DK$31,CW13&gt;=DK$28),AND(CZ13&lt;&gt;"",CZ13&gt;=DK$31,CY13&gt;=DK$28),AND(DD13&lt;&gt;"",DD13&gt;=DK$31,DC13&gt;=DK$28),AND(DF13&lt;&gt;"",DF13&gt;=DK$31,DE13&gt;=DK$28),AND(DH13&lt;&gt;"",DH13&gt;=DK$31,DG13&gt;=DK$28),AND(EG13&lt;&gt;"",EG13&gt;=ET$31,EF13&gt;=ET$28),AND(EI13&lt;&gt;"",EI13&gt;=ET$31,EH13&gt;=ET$28),AND(EM13&lt;&gt;"",EM13&gt;=ET$31,EL13&gt;=ET$28),AND(EO13&lt;&gt;"",EO13&gt;=ET$31,EN13&gt;=ET$28),AND(EQ13&lt;&gt;"",EQ13&gt;=ET$31,EP13&gt;=ET$28)),"Performance",IF(I13="P","Worlds Team",IF(F13="P","National Team",""))))</f>
        <v/>
      </c>
      <c r="I13" s="2" t="str">
        <f>IF(OR(AND(AO13&lt;&gt;"",AO13&gt;=AV$30,AN13&gt;=AV$27),AND(AU13&lt;&gt;"",AU13&gt;=AV$30,AT13&gt;=AV$27),AND(BS13&lt;&gt;"",BS13&gt;=BZ$30,BR13&gt;=BZ$27),AND(BY13&lt;&gt;"",BY13&gt;=BZ$30,BX13&gt;=BZ$27),AND(DB13&lt;&gt;"",DB13&gt;=DK$30,DA13&gt;=DK$27),AND(DJ13&lt;&gt;"",DJ13&gt;=DK$30,DI13&gt;=DK$27),AND(EK13&lt;&gt;"",EK13&gt;=ET$30,EJ13&gt;=ET$27),AND(ES13&lt;&gt;"",ES13&gt;=ET$30,ER13&gt;=ET$27)),"P","")</f>
        <v/>
      </c>
      <c r="J13" s="7">
        <f t="shared" si="1"/>
        <v>51.6</v>
      </c>
      <c r="K13" s="7" t="str">
        <f t="shared" si="2"/>
        <v>2026 Elite Canada</v>
      </c>
      <c r="L13" s="7">
        <f>IF(J13=AO13,IF(COUNT(AQ13,AS13,BO13,BQ13,BU13,BW13)&gt;1,LARGE((AQ13,AS13,BO13,BQ13,BU13,BW13),1),0),IF(COUNT(AK13,AM13,AQ13,AS13,BU13,BW13)&gt;1,LARGE((AK13,AM13,AQ13,AS13,BU13,BW13),1),0))</f>
        <v>26.099999999999998</v>
      </c>
      <c r="M13" s="7" t="str">
        <f t="shared" si="3"/>
        <v>2026 Elite Canada</v>
      </c>
      <c r="N13" s="7">
        <f>IF(J13=AO13,IF(COUNT(AQ13,AS13,BO13,BQ13,BU13,BW13)&gt;1,LARGE((AQ13,AS13,BO13,BQ13,BU13,BW13),2),0),IF(COUNT(AK13,AM13,AQ13,AS13,BU13,BW13)&gt;1,LARGE((AK13,AM13,AQ13,AS13,BU13,BW13),2),0))</f>
        <v>25.8</v>
      </c>
      <c r="O13" s="7" t="str">
        <f t="shared" si="4"/>
        <v>2026 Elite Canada</v>
      </c>
      <c r="P13" s="7">
        <f t="shared" si="5"/>
        <v>0.80000000000000071</v>
      </c>
      <c r="Q13" s="10" t="str">
        <f t="shared" si="6"/>
        <v>(Pass)</v>
      </c>
      <c r="R13" s="7" t="str">
        <f t="shared" si="7"/>
        <v>2025 WAGC (Nov 16)</v>
      </c>
      <c r="S13" s="38">
        <v>18</v>
      </c>
      <c r="T13" s="38">
        <v>8</v>
      </c>
      <c r="U13" s="38">
        <v>0.6</v>
      </c>
      <c r="V13" s="38">
        <v>0</v>
      </c>
      <c r="W13" s="38">
        <v>18.600000000000001</v>
      </c>
      <c r="X13" s="38">
        <v>7.6</v>
      </c>
      <c r="Y13" s="38">
        <v>0</v>
      </c>
      <c r="Z13" s="38">
        <v>0</v>
      </c>
      <c r="AA13" s="38">
        <v>18.7</v>
      </c>
      <c r="AB13" s="38">
        <v>8</v>
      </c>
      <c r="AC13" s="38">
        <v>0.6</v>
      </c>
      <c r="AD13" s="38">
        <v>0</v>
      </c>
      <c r="AE13" s="38">
        <v>19</v>
      </c>
      <c r="AF13" s="38">
        <v>7.6</v>
      </c>
      <c r="AG13" s="38">
        <v>0.8</v>
      </c>
      <c r="AH13" s="38">
        <v>0</v>
      </c>
      <c r="AI13" s="19"/>
      <c r="AJ13" s="41">
        <f t="shared" si="8"/>
        <v>8</v>
      </c>
      <c r="AK13" s="41">
        <f t="shared" si="9"/>
        <v>25.4</v>
      </c>
      <c r="AL13" s="41">
        <f t="shared" si="10"/>
        <v>7.6</v>
      </c>
      <c r="AM13" s="41">
        <f t="shared" si="11"/>
        <v>26.200000000000003</v>
      </c>
      <c r="AN13" s="27">
        <f t="shared" si="12"/>
        <v>15.6</v>
      </c>
      <c r="AO13" s="27">
        <f t="shared" si="13"/>
        <v>51.6</v>
      </c>
      <c r="AP13" s="27">
        <f t="shared" si="14"/>
        <v>8</v>
      </c>
      <c r="AQ13" s="27">
        <f t="shared" si="15"/>
        <v>26.099999999999998</v>
      </c>
      <c r="AR13" s="27">
        <f t="shared" si="16"/>
        <v>7.6</v>
      </c>
      <c r="AS13" s="27">
        <f t="shared" si="17"/>
        <v>25.8</v>
      </c>
      <c r="AT13" s="27">
        <f t="shared" si="18"/>
        <v>15.6</v>
      </c>
      <c r="AU13" s="27">
        <f t="shared" si="19"/>
        <v>51.9</v>
      </c>
      <c r="AV13" s="27">
        <f t="shared" si="20"/>
        <v>103.5</v>
      </c>
      <c r="AW13" s="15"/>
      <c r="AX13" s="15"/>
      <c r="AY13" s="15"/>
      <c r="AZ13" s="15"/>
      <c r="BA13" s="15"/>
      <c r="BB13" s="15"/>
      <c r="BC13" s="15"/>
      <c r="BD13" s="15"/>
      <c r="BE13" s="15"/>
      <c r="BF13" s="15"/>
      <c r="BG13" s="15"/>
      <c r="BH13" s="15"/>
      <c r="BI13" s="15"/>
      <c r="BJ13" s="15"/>
      <c r="BK13" s="15"/>
      <c r="BL13" s="15"/>
      <c r="BM13" s="20"/>
      <c r="BN13" s="42" t="str">
        <f t="shared" si="21"/>
        <v/>
      </c>
      <c r="BO13" s="42" t="str">
        <f t="shared" si="22"/>
        <v/>
      </c>
      <c r="BP13" s="42" t="str">
        <f t="shared" si="23"/>
        <v/>
      </c>
      <c r="BQ13" s="42" t="str">
        <f t="shared" si="24"/>
        <v/>
      </c>
      <c r="BR13" s="10" t="str">
        <f t="shared" si="25"/>
        <v/>
      </c>
      <c r="BS13" s="10" t="str">
        <f t="shared" si="26"/>
        <v/>
      </c>
      <c r="BT13" s="10" t="str">
        <f t="shared" si="27"/>
        <v/>
      </c>
      <c r="BU13" s="10" t="str">
        <f t="shared" si="28"/>
        <v/>
      </c>
      <c r="BV13" s="10" t="str">
        <f t="shared" si="29"/>
        <v/>
      </c>
      <c r="BW13" s="10" t="str">
        <f t="shared" si="30"/>
        <v/>
      </c>
      <c r="BX13" s="10" t="str">
        <f t="shared" si="31"/>
        <v/>
      </c>
      <c r="BY13" s="10" t="str">
        <f t="shared" si="32"/>
        <v/>
      </c>
      <c r="BZ13" s="10" t="str">
        <f t="shared" si="33"/>
        <v/>
      </c>
      <c r="CA13" s="34" t="str">
        <f t="shared" si="34"/>
        <v/>
      </c>
      <c r="CB13" s="34">
        <f t="shared" si="35"/>
        <v>0.80000000000000071</v>
      </c>
      <c r="CC13" s="14"/>
      <c r="CD13" s="14"/>
      <c r="CE13" s="14"/>
      <c r="CF13" s="14"/>
      <c r="CG13" s="14"/>
      <c r="CH13" s="14"/>
      <c r="CI13" s="14"/>
      <c r="CJ13" s="14"/>
      <c r="CK13" s="14"/>
      <c r="CL13" s="14"/>
      <c r="CM13" s="14"/>
      <c r="CN13" s="14"/>
      <c r="CO13" s="14"/>
      <c r="CP13" s="14"/>
      <c r="CQ13" s="14"/>
      <c r="CR13" s="14"/>
      <c r="CS13" s="14"/>
      <c r="CT13" s="14"/>
      <c r="CU13" s="14"/>
      <c r="CV13" s="14"/>
      <c r="CW13" s="27" t="str">
        <f t="shared" si="36"/>
        <v/>
      </c>
      <c r="CX13" s="27" t="str">
        <f t="shared" si="37"/>
        <v/>
      </c>
      <c r="CY13" s="27" t="str">
        <f t="shared" si="38"/>
        <v/>
      </c>
      <c r="CZ13" s="27" t="str">
        <f t="shared" si="39"/>
        <v/>
      </c>
      <c r="DA13" s="27" t="str">
        <f t="shared" si="40"/>
        <v/>
      </c>
      <c r="DB13" s="27" t="str">
        <f t="shared" si="41"/>
        <v/>
      </c>
      <c r="DC13" s="27" t="str">
        <f t="shared" si="42"/>
        <v/>
      </c>
      <c r="DD13" s="27" t="str">
        <f t="shared" si="43"/>
        <v/>
      </c>
      <c r="DE13" s="27" t="str">
        <f t="shared" si="44"/>
        <v/>
      </c>
      <c r="DF13" s="27" t="str">
        <f t="shared" si="45"/>
        <v/>
      </c>
      <c r="DG13" s="27" t="str">
        <f t="shared" si="46"/>
        <v/>
      </c>
      <c r="DH13" s="27" t="str">
        <f t="shared" si="47"/>
        <v/>
      </c>
      <c r="DI13" s="27" t="str">
        <f t="shared" si="48"/>
        <v/>
      </c>
      <c r="DJ13" s="27" t="str">
        <f t="shared" si="49"/>
        <v/>
      </c>
      <c r="DK13" s="27" t="str">
        <f t="shared" si="50"/>
        <v/>
      </c>
      <c r="DL13" s="15">
        <v>18.5</v>
      </c>
      <c r="DM13" s="15">
        <v>6</v>
      </c>
      <c r="DN13" s="15">
        <v>0.2</v>
      </c>
      <c r="DO13" s="15">
        <v>0</v>
      </c>
      <c r="DP13" s="15">
        <v>18.8</v>
      </c>
      <c r="DQ13" s="15">
        <v>8.4</v>
      </c>
      <c r="DR13" s="15">
        <v>0.6</v>
      </c>
      <c r="DS13" s="15">
        <v>0</v>
      </c>
      <c r="DT13" s="15"/>
      <c r="DU13" s="15"/>
      <c r="DV13" s="15"/>
      <c r="DW13" s="15"/>
      <c r="DX13" s="15"/>
      <c r="DY13" s="15"/>
      <c r="DZ13" s="15"/>
      <c r="EA13" s="15"/>
      <c r="EB13" s="15"/>
      <c r="EC13" s="15"/>
      <c r="ED13" s="15"/>
      <c r="EE13" s="15"/>
      <c r="EF13" s="10">
        <f t="shared" si="51"/>
        <v>6</v>
      </c>
      <c r="EG13" s="10">
        <f t="shared" si="52"/>
        <v>24.3</v>
      </c>
      <c r="EH13" s="10">
        <f t="shared" si="53"/>
        <v>8.4</v>
      </c>
      <c r="EI13" s="10">
        <f t="shared" si="54"/>
        <v>26.6</v>
      </c>
      <c r="EJ13" s="10">
        <f t="shared" si="55"/>
        <v>14.4</v>
      </c>
      <c r="EK13" s="10">
        <f t="shared" si="56"/>
        <v>50.900000000000006</v>
      </c>
      <c r="EL13" s="10" t="str">
        <f t="shared" si="57"/>
        <v/>
      </c>
      <c r="EM13" s="10" t="str">
        <f t="shared" si="58"/>
        <v/>
      </c>
      <c r="EN13" s="10" t="str">
        <f t="shared" si="59"/>
        <v/>
      </c>
      <c r="EO13" s="10" t="str">
        <f t="shared" si="60"/>
        <v/>
      </c>
      <c r="EP13" s="10" t="str">
        <f t="shared" si="61"/>
        <v/>
      </c>
      <c r="EQ13" s="10" t="str">
        <f t="shared" si="62"/>
        <v/>
      </c>
      <c r="ER13" s="10" t="str">
        <f t="shared" si="63"/>
        <v/>
      </c>
      <c r="ES13" s="10" t="str">
        <f t="shared" si="64"/>
        <v/>
      </c>
      <c r="ET13" s="10">
        <f t="shared" si="65"/>
        <v>50.900000000000006</v>
      </c>
    </row>
    <row r="14" spans="1:150" x14ac:dyDescent="0.2">
      <c r="A14" s="3" t="str" cm="1">
        <f t="array" ref="A14">IF(AND(H14&lt;&gt;"",H14&lt;&gt;"No DD"),SUMPRODUCT((H$4:H$24&lt;&gt;"")*(H$4:H$24&lt;&gt;"No DD")*(E$4:E$24&gt;E14))+1,IF(H14="No DD",SUMPRODUCT((H$4:H$24="No DD")*(E$4:E$24&gt;E14))+1+SUMPRODUCT((H$4:H$24&lt;&gt;"")*(H$4:H$24&lt;&gt;"No DD")),""))</f>
        <v/>
      </c>
      <c r="B14" s="4" t="s">
        <v>72</v>
      </c>
      <c r="C14" s="3" t="s">
        <v>5</v>
      </c>
      <c r="D14" s="3">
        <v>2007</v>
      </c>
      <c r="E14" s="8">
        <f t="shared" si="0"/>
        <v>102.6000077400052</v>
      </c>
      <c r="F14" s="2" t="str">
        <f>IF(OR(AND(AO14&lt;&gt;"",AO14&gt;=AV$29,AN14&gt;=AV$26),AND(AU14&lt;&gt;"",AU14&gt;=AV$29,AT14&gt;=AV$26),AND(BS14&lt;&gt;"",BS14&gt;=BZ$29,BR14&gt;=BZ$26),AND(BY14&lt;&gt;"",BY14&gt;=BZ$29,BX14&gt;=BZ$26),AND(DB14&lt;&gt;"",DB14&gt;=DK$29,DA14&gt;=DK$26),AND(DJ14&lt;&gt;"",DJ14&gt;=DK$29,DI14&gt;=DK$26),AND(EK14&lt;&gt;"",EK14&gt;=ET$29,EJ14&gt;=ET$26),AND(ES14&lt;&gt;"",ES14&gt;=ET$29,ER14&gt;=ET$26)),"P","")</f>
        <v/>
      </c>
      <c r="G14" s="2" t="str">
        <f>IF(OR(AND(AO14&lt;&gt;"",AO14&gt;=AV$29),AND(AU14&lt;&gt;"",AU14&gt;=AV$29),AND(BS14&lt;&gt;"",BS14&gt;=BZ$29),AND(BY14&lt;&gt;"",BY14&gt;=BZ$29),AND(DB14&lt;&gt;"",DB14&gt;=DK$29),AND(DJ14&lt;&gt;"",DJ14&gt;=DK$29),AND(EK14&lt;&gt;"",EK14&gt;=ET$29),AND(ES14&lt;&gt;"",ES14&gt;=ET$29)),"P","")</f>
        <v/>
      </c>
      <c r="H14" s="26" t="str">
        <f>IF(AND(G14="P",F14=""),"No DD",IF(OR(AND(AK14&lt;&gt;"",AK14&gt;=AV$31,AJ14&gt;=AV$28),AND(AM14&lt;&gt;"",AM14&gt;=AV$31,AL14&gt;=AV$28),AND(AQ14&lt;&gt;"",AQ14&gt;=AV$31,AP14&gt;=AV$28),AND(AS14&lt;&gt;"",AS14&gt;=AV$31,AR14&gt;=AV$28),AND(BO14&lt;&gt;"",BO14&gt;=BZ$31,BN14&gt;=BZ$28),AND(BQ14&lt;&gt;"",BQ14&gt;=BZ$31,BP14&gt;=BZ$28),AND(BV14&lt;&gt;"",BV14&gt;=BZ$31,BU14&gt;=BZ$28),AND(BX14&lt;&gt;"",BX14&gt;=BZ$31,BW14&gt;=BZ$28),AND(CX14&lt;&gt;"",CX14&gt;=DK$31,CW14&gt;=DK$28),AND(CZ14&lt;&gt;"",CZ14&gt;=DK$31,CY14&gt;=DK$28),AND(DD14&lt;&gt;"",DD14&gt;=DK$31,DC14&gt;=DK$28),AND(DF14&lt;&gt;"",DF14&gt;=DK$31,DE14&gt;=DK$28),AND(DH14&lt;&gt;"",DH14&gt;=DK$31,DG14&gt;=DK$28),AND(EG14&lt;&gt;"",EG14&gt;=ET$31,EF14&gt;=ET$28),AND(EI14&lt;&gt;"",EI14&gt;=ET$31,EH14&gt;=ET$28),AND(EM14&lt;&gt;"",EM14&gt;=ET$31,EL14&gt;=ET$28),AND(EO14&lt;&gt;"",EO14&gt;=ET$31,EN14&gt;=ET$28),AND(EQ14&lt;&gt;"",EQ14&gt;=ET$31,EP14&gt;=ET$28)),"Performance",IF(I14="P","Worlds Team",IF(F14="P","National Team",""))))</f>
        <v/>
      </c>
      <c r="I14" s="2" t="str">
        <f>IF(OR(AND(AO14&lt;&gt;"",AO14&gt;=AV$30,AN14&gt;=AV$27),AND(AU14&lt;&gt;"",AU14&gt;=AV$30,AT14&gt;=AV$27),AND(BS14&lt;&gt;"",BS14&gt;=BZ$30,BR14&gt;=BZ$27),AND(BY14&lt;&gt;"",BY14&gt;=BZ$30,BX14&gt;=BZ$27),AND(DB14&lt;&gt;"",DB14&gt;=DK$30,DA14&gt;=DK$27),AND(DJ14&lt;&gt;"",DJ14&gt;=DK$30,DI14&gt;=DK$27),AND(EK14&lt;&gt;"",EK14&gt;=ET$30,EJ14&gt;=ET$27),AND(ES14&lt;&gt;"",ES14&gt;=ET$30,ER14&gt;=ET$27)),"P","")</f>
        <v/>
      </c>
      <c r="J14" s="7">
        <f t="shared" si="1"/>
        <v>51.8</v>
      </c>
      <c r="K14" s="7" t="str">
        <f t="shared" si="2"/>
        <v>2026 Elite Canada</v>
      </c>
      <c r="L14" s="7">
        <f>IF(J14=AO14,IF(COUNT(AQ14,AS14,BO14,BQ14,BU14,BW14)&gt;1,LARGE((AQ14,AS14,BO14,BQ14,BU14,BW14),1),0),IF(COUNT(AK14,AM14,AQ14,AS14,BU14,BW14)&gt;1,LARGE((AK14,AM14,AQ14,AS14,BU14,BW14),1),0))</f>
        <v>25.6</v>
      </c>
      <c r="M14" s="7" t="str">
        <f t="shared" si="3"/>
        <v>2026 Elite Canada</v>
      </c>
      <c r="N14" s="7">
        <f>IF(J14=AO14,IF(COUNT(AQ14,AS14,BO14,BQ14,BU14,BW14)&gt;1,LARGE((AQ14,AS14,BO14,BQ14,BU14,BW14),2),0),IF(COUNT(AK14,AM14,AQ14,AS14,BU14,BW14)&gt;1,LARGE((AK14,AM14,AQ14,AS14,BU14,BW14),2),0))</f>
        <v>25.2</v>
      </c>
      <c r="O14" s="7" t="str">
        <f t="shared" si="4"/>
        <v>2026 Elite Canada</v>
      </c>
      <c r="P14" s="7" t="str">
        <f t="shared" si="5"/>
        <v/>
      </c>
      <c r="Q14" s="10" t="str">
        <f t="shared" si="6"/>
        <v/>
      </c>
      <c r="R14" s="7" t="str">
        <f t="shared" si="7"/>
        <v/>
      </c>
      <c r="S14" s="38">
        <v>18.600000000000001</v>
      </c>
      <c r="T14" s="38">
        <v>7.2</v>
      </c>
      <c r="U14" s="38">
        <v>0</v>
      </c>
      <c r="V14" s="38">
        <v>0</v>
      </c>
      <c r="W14" s="38">
        <v>18.8</v>
      </c>
      <c r="X14" s="38">
        <v>7.2</v>
      </c>
      <c r="Y14" s="38">
        <v>0</v>
      </c>
      <c r="Z14" s="38">
        <v>0</v>
      </c>
      <c r="AA14" s="38">
        <v>18.600000000000001</v>
      </c>
      <c r="AB14" s="38">
        <v>7.2</v>
      </c>
      <c r="AC14" s="38">
        <v>0.6</v>
      </c>
      <c r="AD14" s="38">
        <v>0</v>
      </c>
      <c r="AE14" s="38">
        <v>18.600000000000001</v>
      </c>
      <c r="AF14" s="38">
        <v>7.2</v>
      </c>
      <c r="AG14" s="38">
        <v>0.2</v>
      </c>
      <c r="AH14" s="38">
        <v>0</v>
      </c>
      <c r="AI14" s="19"/>
      <c r="AJ14" s="41">
        <f t="shared" si="8"/>
        <v>7.2</v>
      </c>
      <c r="AK14" s="41">
        <f t="shared" si="9"/>
        <v>25.8</v>
      </c>
      <c r="AL14" s="41">
        <f t="shared" si="10"/>
        <v>7.2</v>
      </c>
      <c r="AM14" s="41">
        <f t="shared" si="11"/>
        <v>26</v>
      </c>
      <c r="AN14" s="27">
        <f t="shared" si="12"/>
        <v>14.4</v>
      </c>
      <c r="AO14" s="27">
        <f t="shared" si="13"/>
        <v>51.8</v>
      </c>
      <c r="AP14" s="27">
        <f t="shared" si="14"/>
        <v>7.2</v>
      </c>
      <c r="AQ14" s="27">
        <f t="shared" si="15"/>
        <v>25.2</v>
      </c>
      <c r="AR14" s="27">
        <f t="shared" si="16"/>
        <v>7.2</v>
      </c>
      <c r="AS14" s="27">
        <f t="shared" si="17"/>
        <v>25.6</v>
      </c>
      <c r="AT14" s="27">
        <f t="shared" si="18"/>
        <v>14.4</v>
      </c>
      <c r="AU14" s="27">
        <f t="shared" si="19"/>
        <v>50.8</v>
      </c>
      <c r="AV14" s="27">
        <f t="shared" si="20"/>
        <v>102.6</v>
      </c>
      <c r="AW14" s="15"/>
      <c r="AX14" s="15"/>
      <c r="AY14" s="15"/>
      <c r="AZ14" s="15"/>
      <c r="BA14" s="15"/>
      <c r="BB14" s="15"/>
      <c r="BC14" s="15"/>
      <c r="BD14" s="15"/>
      <c r="BE14" s="15"/>
      <c r="BF14" s="15"/>
      <c r="BG14" s="15"/>
      <c r="BH14" s="15"/>
      <c r="BI14" s="15"/>
      <c r="BJ14" s="15"/>
      <c r="BK14" s="15"/>
      <c r="BL14" s="15"/>
      <c r="BM14" s="20"/>
      <c r="BN14" s="42" t="str">
        <f t="shared" si="21"/>
        <v/>
      </c>
      <c r="BO14" s="42" t="str">
        <f t="shared" si="22"/>
        <v/>
      </c>
      <c r="BP14" s="42" t="str">
        <f t="shared" si="23"/>
        <v/>
      </c>
      <c r="BQ14" s="42" t="str">
        <f t="shared" si="24"/>
        <v/>
      </c>
      <c r="BR14" s="10" t="str">
        <f t="shared" si="25"/>
        <v/>
      </c>
      <c r="BS14" s="10" t="str">
        <f t="shared" si="26"/>
        <v/>
      </c>
      <c r="BT14" s="10" t="str">
        <f t="shared" si="27"/>
        <v/>
      </c>
      <c r="BU14" s="10" t="str">
        <f t="shared" si="28"/>
        <v/>
      </c>
      <c r="BV14" s="10" t="str">
        <f t="shared" si="29"/>
        <v/>
      </c>
      <c r="BW14" s="10" t="str">
        <f t="shared" si="30"/>
        <v/>
      </c>
      <c r="BX14" s="10" t="str">
        <f t="shared" si="31"/>
        <v/>
      </c>
      <c r="BY14" s="10" t="str">
        <f t="shared" si="32"/>
        <v/>
      </c>
      <c r="BZ14" s="10" t="str">
        <f t="shared" si="33"/>
        <v/>
      </c>
      <c r="CA14" s="34" t="str">
        <f t="shared" si="34"/>
        <v/>
      </c>
      <c r="CB14" s="34" t="str">
        <f t="shared" si="35"/>
        <v/>
      </c>
      <c r="CC14" s="14"/>
      <c r="CD14" s="14"/>
      <c r="CE14" s="14"/>
      <c r="CF14" s="14"/>
      <c r="CG14" s="14"/>
      <c r="CH14" s="14"/>
      <c r="CI14" s="14"/>
      <c r="CJ14" s="14"/>
      <c r="CK14" s="14"/>
      <c r="CL14" s="14"/>
      <c r="CM14" s="14"/>
      <c r="CN14" s="14"/>
      <c r="CO14" s="14"/>
      <c r="CP14" s="14"/>
      <c r="CQ14" s="14"/>
      <c r="CR14" s="14"/>
      <c r="CS14" s="14"/>
      <c r="CT14" s="14"/>
      <c r="CU14" s="14"/>
      <c r="CV14" s="14"/>
      <c r="CW14" s="27" t="str">
        <f t="shared" si="36"/>
        <v/>
      </c>
      <c r="CX14" s="27" t="str">
        <f t="shared" si="37"/>
        <v/>
      </c>
      <c r="CY14" s="27" t="str">
        <f t="shared" si="38"/>
        <v/>
      </c>
      <c r="CZ14" s="27" t="str">
        <f t="shared" si="39"/>
        <v/>
      </c>
      <c r="DA14" s="27" t="str">
        <f t="shared" si="40"/>
        <v/>
      </c>
      <c r="DB14" s="27" t="str">
        <f t="shared" si="41"/>
        <v/>
      </c>
      <c r="DC14" s="27" t="str">
        <f t="shared" si="42"/>
        <v/>
      </c>
      <c r="DD14" s="27" t="str">
        <f t="shared" si="43"/>
        <v/>
      </c>
      <c r="DE14" s="27" t="str">
        <f t="shared" si="44"/>
        <v/>
      </c>
      <c r="DF14" s="27" t="str">
        <f t="shared" si="45"/>
        <v/>
      </c>
      <c r="DG14" s="27" t="str">
        <f t="shared" si="46"/>
        <v/>
      </c>
      <c r="DH14" s="27" t="str">
        <f t="shared" si="47"/>
        <v/>
      </c>
      <c r="DI14" s="27" t="str">
        <f t="shared" si="48"/>
        <v/>
      </c>
      <c r="DJ14" s="27" t="str">
        <f t="shared" si="49"/>
        <v/>
      </c>
      <c r="DK14" s="27" t="str">
        <f t="shared" si="50"/>
        <v/>
      </c>
      <c r="DL14" s="15"/>
      <c r="DM14" s="15"/>
      <c r="DN14" s="15"/>
      <c r="DO14" s="15"/>
      <c r="DP14" s="15"/>
      <c r="DQ14" s="15"/>
      <c r="DR14" s="15"/>
      <c r="DS14" s="15"/>
      <c r="DT14" s="15"/>
      <c r="DU14" s="15"/>
      <c r="DV14" s="15"/>
      <c r="DW14" s="15"/>
      <c r="DX14" s="15"/>
      <c r="DY14" s="15"/>
      <c r="DZ14" s="15"/>
      <c r="EA14" s="15"/>
      <c r="EB14" s="15"/>
      <c r="EC14" s="15"/>
      <c r="ED14" s="15"/>
      <c r="EE14" s="15"/>
      <c r="EF14" s="10" t="str">
        <f t="shared" si="51"/>
        <v/>
      </c>
      <c r="EG14" s="10" t="str">
        <f t="shared" si="52"/>
        <v/>
      </c>
      <c r="EH14" s="10" t="str">
        <f t="shared" si="53"/>
        <v/>
      </c>
      <c r="EI14" s="10" t="str">
        <f t="shared" si="54"/>
        <v/>
      </c>
      <c r="EJ14" s="10" t="str">
        <f t="shared" si="55"/>
        <v/>
      </c>
      <c r="EK14" s="10" t="str">
        <f t="shared" si="56"/>
        <v/>
      </c>
      <c r="EL14" s="10" t="str">
        <f t="shared" si="57"/>
        <v/>
      </c>
      <c r="EM14" s="10" t="str">
        <f t="shared" si="58"/>
        <v/>
      </c>
      <c r="EN14" s="10" t="str">
        <f t="shared" si="59"/>
        <v/>
      </c>
      <c r="EO14" s="10" t="str">
        <f t="shared" si="60"/>
        <v/>
      </c>
      <c r="EP14" s="10" t="str">
        <f t="shared" si="61"/>
        <v/>
      </c>
      <c r="EQ14" s="10" t="str">
        <f t="shared" si="62"/>
        <v/>
      </c>
      <c r="ER14" s="10" t="str">
        <f t="shared" si="63"/>
        <v/>
      </c>
      <c r="ES14" s="10" t="str">
        <f t="shared" si="64"/>
        <v/>
      </c>
      <c r="ET14" s="10" t="str">
        <f t="shared" si="65"/>
        <v/>
      </c>
    </row>
    <row r="15" spans="1:150" x14ac:dyDescent="0.2">
      <c r="A15" s="3" t="str" cm="1">
        <f t="array" ref="A15">IF(AND(H15&lt;&gt;"",H15&lt;&gt;"No DD"),SUMPRODUCT((H$4:H$24&lt;&gt;"")*(H$4:H$24&lt;&gt;"No DD")*(E$4:E$24&gt;E15))+1,IF(H15="No DD",SUMPRODUCT((H$4:H$24="No DD")*(E$4:E$24&gt;E15))+1+SUMPRODUCT((H$4:H$24&lt;&gt;"")*(H$4:H$24&lt;&gt;"No DD")),""))</f>
        <v/>
      </c>
      <c r="B15" s="4" t="s">
        <v>54</v>
      </c>
      <c r="C15" s="3" t="s">
        <v>4</v>
      </c>
      <c r="D15" s="3">
        <v>2005</v>
      </c>
      <c r="E15" s="8">
        <f t="shared" si="0"/>
        <v>101.10000781000518</v>
      </c>
      <c r="F15" s="2" t="str">
        <f>IF(OR(AND(AO15&lt;&gt;"",AO15&gt;=AV$29,AN15&gt;=AV$26),AND(AU15&lt;&gt;"",AU15&gt;=AV$29,AT15&gt;=AV$26),AND(BS15&lt;&gt;"",BS15&gt;=BZ$29,BR15&gt;=BZ$26),AND(BY15&lt;&gt;"",BY15&gt;=BZ$29,BX15&gt;=BZ$26),AND(DB15&lt;&gt;"",DB15&gt;=DK$29,DA15&gt;=DK$26),AND(DJ15&lt;&gt;"",DJ15&gt;=DK$29,DI15&gt;=DK$26),AND(EK15&lt;&gt;"",EK15&gt;=ET$29,EJ15&gt;=ET$26),AND(ES15&lt;&gt;"",ES15&gt;=ET$29,ER15&gt;=ET$26)),"P","")</f>
        <v/>
      </c>
      <c r="G15" s="2" t="str">
        <f>IF(OR(AND(AO15&lt;&gt;"",AO15&gt;=AV$29),AND(AU15&lt;&gt;"",AU15&gt;=AV$29),AND(BS15&lt;&gt;"",BS15&gt;=BZ$29),AND(BY15&lt;&gt;"",BY15&gt;=BZ$29),AND(DB15&lt;&gt;"",DB15&gt;=DK$29),AND(DJ15&lt;&gt;"",DJ15&gt;=DK$29),AND(EK15&lt;&gt;"",EK15&gt;=ET$29),AND(ES15&lt;&gt;"",ES15&gt;=ET$29)),"P","")</f>
        <v/>
      </c>
      <c r="H15" s="26" t="str">
        <f>IF(AND(G15="P",F15=""),"No DD",IF(OR(AND(AK15&lt;&gt;"",AK15&gt;=AV$31,AJ15&gt;=AV$28),AND(AM15&lt;&gt;"",AM15&gt;=AV$31,AL15&gt;=AV$28),AND(AQ15&lt;&gt;"",AQ15&gt;=AV$31,AP15&gt;=AV$28),AND(AS15&lt;&gt;"",AS15&gt;=AV$31,AR15&gt;=AV$28),AND(BO15&lt;&gt;"",BO15&gt;=BZ$31,BN15&gt;=BZ$28),AND(BQ15&lt;&gt;"",BQ15&gt;=BZ$31,BP15&gt;=BZ$28),AND(BV15&lt;&gt;"",BV15&gt;=BZ$31,BU15&gt;=BZ$28),AND(BX15&lt;&gt;"",BX15&gt;=BZ$31,BW15&gt;=BZ$28),AND(CX15&lt;&gt;"",CX15&gt;=DK$31,CW15&gt;=DK$28),AND(CZ15&lt;&gt;"",CZ15&gt;=DK$31,CY15&gt;=DK$28),AND(DD15&lt;&gt;"",DD15&gt;=DK$31,DC15&gt;=DK$28),AND(DF15&lt;&gt;"",DF15&gt;=DK$31,DE15&gt;=DK$28),AND(DH15&lt;&gt;"",DH15&gt;=DK$31,DG15&gt;=DK$28),AND(EG15&lt;&gt;"",EG15&gt;=ET$31,EF15&gt;=ET$28),AND(EI15&lt;&gt;"",EI15&gt;=ET$31,EH15&gt;=ET$28),AND(EM15&lt;&gt;"",EM15&gt;=ET$31,EL15&gt;=ET$28),AND(EO15&lt;&gt;"",EO15&gt;=ET$31,EN15&gt;=ET$28),AND(EQ15&lt;&gt;"",EQ15&gt;=ET$31,EP15&gt;=ET$28)),"Performance",IF(I15="P","Worlds Team",IF(F15="P","National Team",""))))</f>
        <v/>
      </c>
      <c r="I15" s="2" t="str">
        <f>IF(OR(AND(AO15&lt;&gt;"",AO15&gt;=AV$30,AN15&gt;=AV$27),AND(AU15&lt;&gt;"",AU15&gt;=AV$30,AT15&gt;=AV$27),AND(BS15&lt;&gt;"",BS15&gt;=BZ$30,BR15&gt;=BZ$27),AND(BY15&lt;&gt;"",BY15&gt;=BZ$30,BX15&gt;=BZ$27),AND(DB15&lt;&gt;"",DB15&gt;=DK$30,DA15&gt;=DK$27),AND(DJ15&lt;&gt;"",DJ15&gt;=DK$30,DI15&gt;=DK$27),AND(EK15&lt;&gt;"",EK15&gt;=ET$30,EJ15&gt;=ET$27),AND(ES15&lt;&gt;"",ES15&gt;=ET$30,ER15&gt;=ET$27)),"P","")</f>
        <v/>
      </c>
      <c r="J15" s="7">
        <f t="shared" si="1"/>
        <v>51.9</v>
      </c>
      <c r="K15" s="7" t="str">
        <f t="shared" si="2"/>
        <v>2026 Elite Canada</v>
      </c>
      <c r="L15" s="7">
        <f>IF(J15=AO15,IF(COUNT(AQ15,AS15,BO15,BQ15,BU15,BW15)&gt;1,LARGE((AQ15,AS15,BO15,BQ15,BU15,BW15),1),0),IF(COUNT(AK15,AM15,AQ15,AS15,BU15,BW15)&gt;1,LARGE((AK15,AM15,AQ15,AS15,BU15,BW15),1),0))</f>
        <v>26.2</v>
      </c>
      <c r="M15" s="7" t="str">
        <f t="shared" si="3"/>
        <v>2026 Elite Canada</v>
      </c>
      <c r="N15" s="7">
        <f>IF(J15=AO15,IF(COUNT(AQ15,AS15,BO15,BQ15,BU15,BW15)&gt;1,LARGE((AQ15,AS15,BO15,BQ15,BU15,BW15),2),0),IF(COUNT(AK15,AM15,AQ15,AS15,BU15,BW15)&gt;1,LARGE((AK15,AM15,AQ15,AS15,BU15,BW15),2),0))</f>
        <v>23</v>
      </c>
      <c r="O15" s="7" t="str">
        <f t="shared" si="4"/>
        <v>2026 Elite Canada</v>
      </c>
      <c r="P15" s="7" t="str">
        <f t="shared" si="5"/>
        <v/>
      </c>
      <c r="Q15" s="10" t="str">
        <f t="shared" si="6"/>
        <v/>
      </c>
      <c r="R15" s="7" t="str">
        <f t="shared" si="7"/>
        <v/>
      </c>
      <c r="S15" s="38">
        <v>18.600000000000001</v>
      </c>
      <c r="T15" s="38">
        <v>6.4</v>
      </c>
      <c r="U15" s="38">
        <v>0.4</v>
      </c>
      <c r="V15" s="38">
        <v>0</v>
      </c>
      <c r="W15" s="38">
        <v>18.7</v>
      </c>
      <c r="X15" s="38">
        <v>8.1</v>
      </c>
      <c r="Y15" s="38">
        <v>0</v>
      </c>
      <c r="Z15" s="38">
        <v>0.50000000000000178</v>
      </c>
      <c r="AA15" s="38">
        <v>18.399999999999999</v>
      </c>
      <c r="AB15" s="38">
        <v>6</v>
      </c>
      <c r="AC15" s="38">
        <v>1.4</v>
      </c>
      <c r="AD15" s="38">
        <v>0</v>
      </c>
      <c r="AE15" s="38">
        <v>18.399999999999999</v>
      </c>
      <c r="AF15" s="38">
        <v>8.1</v>
      </c>
      <c r="AG15" s="38">
        <v>0.8</v>
      </c>
      <c r="AH15" s="38">
        <v>0.50000000000000111</v>
      </c>
      <c r="AI15" s="19"/>
      <c r="AJ15" s="41">
        <f t="shared" si="8"/>
        <v>6.4</v>
      </c>
      <c r="AK15" s="41">
        <f t="shared" si="9"/>
        <v>24.6</v>
      </c>
      <c r="AL15" s="41">
        <f t="shared" si="10"/>
        <v>8.1</v>
      </c>
      <c r="AM15" s="41">
        <f t="shared" si="11"/>
        <v>27.299999999999997</v>
      </c>
      <c r="AN15" s="27">
        <f t="shared" si="12"/>
        <v>14.5</v>
      </c>
      <c r="AO15" s="27">
        <f t="shared" si="13"/>
        <v>51.9</v>
      </c>
      <c r="AP15" s="27">
        <f t="shared" si="14"/>
        <v>6</v>
      </c>
      <c r="AQ15" s="27">
        <f t="shared" si="15"/>
        <v>23</v>
      </c>
      <c r="AR15" s="27">
        <f t="shared" si="16"/>
        <v>8.1</v>
      </c>
      <c r="AS15" s="27">
        <f t="shared" si="17"/>
        <v>26.2</v>
      </c>
      <c r="AT15" s="27">
        <f t="shared" si="18"/>
        <v>14.1</v>
      </c>
      <c r="AU15" s="27">
        <f t="shared" si="19"/>
        <v>49.2</v>
      </c>
      <c r="AV15" s="27">
        <f t="shared" si="20"/>
        <v>101.1</v>
      </c>
      <c r="AW15" s="15"/>
      <c r="AX15" s="15"/>
      <c r="AY15" s="15"/>
      <c r="AZ15" s="15"/>
      <c r="BA15" s="15"/>
      <c r="BB15" s="15"/>
      <c r="BC15" s="15"/>
      <c r="BD15" s="15"/>
      <c r="BE15" s="15"/>
      <c r="BF15" s="15"/>
      <c r="BG15" s="15"/>
      <c r="BH15" s="15"/>
      <c r="BI15" s="15"/>
      <c r="BJ15" s="15"/>
      <c r="BK15" s="15"/>
      <c r="BL15" s="15"/>
      <c r="BM15" s="20"/>
      <c r="BN15" s="42" t="str">
        <f t="shared" si="21"/>
        <v/>
      </c>
      <c r="BO15" s="42" t="str">
        <f t="shared" si="22"/>
        <v/>
      </c>
      <c r="BP15" s="42" t="str">
        <f t="shared" si="23"/>
        <v/>
      </c>
      <c r="BQ15" s="42" t="str">
        <f t="shared" si="24"/>
        <v/>
      </c>
      <c r="BR15" s="10" t="str">
        <f t="shared" si="25"/>
        <v/>
      </c>
      <c r="BS15" s="10" t="str">
        <f t="shared" si="26"/>
        <v/>
      </c>
      <c r="BT15" s="10" t="str">
        <f t="shared" si="27"/>
        <v/>
      </c>
      <c r="BU15" s="10" t="str">
        <f t="shared" si="28"/>
        <v/>
      </c>
      <c r="BV15" s="10" t="str">
        <f t="shared" si="29"/>
        <v/>
      </c>
      <c r="BW15" s="10" t="str">
        <f t="shared" si="30"/>
        <v/>
      </c>
      <c r="BX15" s="10" t="str">
        <f t="shared" si="31"/>
        <v/>
      </c>
      <c r="BY15" s="10" t="str">
        <f t="shared" si="32"/>
        <v/>
      </c>
      <c r="BZ15" s="10" t="str">
        <f t="shared" si="33"/>
        <v/>
      </c>
      <c r="CA15" s="34" t="str">
        <f t="shared" si="34"/>
        <v/>
      </c>
      <c r="CB15" s="34" t="str">
        <f t="shared" si="35"/>
        <v/>
      </c>
      <c r="CC15" s="14"/>
      <c r="CD15" s="14"/>
      <c r="CE15" s="14"/>
      <c r="CF15" s="14"/>
      <c r="CG15" s="14"/>
      <c r="CH15" s="14"/>
      <c r="CI15" s="14"/>
      <c r="CJ15" s="14"/>
      <c r="CK15" s="14"/>
      <c r="CL15" s="14"/>
      <c r="CM15" s="14"/>
      <c r="CN15" s="14"/>
      <c r="CO15" s="14"/>
      <c r="CP15" s="14"/>
      <c r="CQ15" s="14"/>
      <c r="CR15" s="14"/>
      <c r="CS15" s="14"/>
      <c r="CT15" s="14"/>
      <c r="CU15" s="14"/>
      <c r="CV15" s="14"/>
      <c r="CW15" s="27" t="str">
        <f t="shared" si="36"/>
        <v/>
      </c>
      <c r="CX15" s="27" t="str">
        <f t="shared" si="37"/>
        <v/>
      </c>
      <c r="CY15" s="27" t="str">
        <f t="shared" si="38"/>
        <v/>
      </c>
      <c r="CZ15" s="27" t="str">
        <f t="shared" si="39"/>
        <v/>
      </c>
      <c r="DA15" s="27" t="str">
        <f t="shared" si="40"/>
        <v/>
      </c>
      <c r="DB15" s="27" t="str">
        <f t="shared" si="41"/>
        <v/>
      </c>
      <c r="DC15" s="27" t="str">
        <f t="shared" si="42"/>
        <v/>
      </c>
      <c r="DD15" s="27" t="str">
        <f t="shared" si="43"/>
        <v/>
      </c>
      <c r="DE15" s="27" t="str">
        <f t="shared" si="44"/>
        <v/>
      </c>
      <c r="DF15" s="27" t="str">
        <f t="shared" si="45"/>
        <v/>
      </c>
      <c r="DG15" s="27" t="str">
        <f t="shared" si="46"/>
        <v/>
      </c>
      <c r="DH15" s="27" t="str">
        <f t="shared" si="47"/>
        <v/>
      </c>
      <c r="DI15" s="27" t="str">
        <f t="shared" si="48"/>
        <v/>
      </c>
      <c r="DJ15" s="27" t="str">
        <f t="shared" si="49"/>
        <v/>
      </c>
      <c r="DK15" s="27" t="str">
        <f t="shared" si="50"/>
        <v/>
      </c>
      <c r="DL15" s="15"/>
      <c r="DM15" s="15"/>
      <c r="DN15" s="15"/>
      <c r="DO15" s="15"/>
      <c r="DP15" s="15"/>
      <c r="DQ15" s="15"/>
      <c r="DR15" s="15"/>
      <c r="DS15" s="15"/>
      <c r="DT15" s="15"/>
      <c r="DU15" s="15"/>
      <c r="DV15" s="15"/>
      <c r="DW15" s="15"/>
      <c r="DX15" s="15"/>
      <c r="DY15" s="15"/>
      <c r="DZ15" s="15"/>
      <c r="EA15" s="15"/>
      <c r="EB15" s="15"/>
      <c r="EC15" s="15"/>
      <c r="ED15" s="15"/>
      <c r="EE15" s="15"/>
      <c r="EF15" s="10" t="str">
        <f t="shared" si="51"/>
        <v/>
      </c>
      <c r="EG15" s="10" t="str">
        <f t="shared" si="52"/>
        <v/>
      </c>
      <c r="EH15" s="10" t="str">
        <f t="shared" si="53"/>
        <v/>
      </c>
      <c r="EI15" s="10" t="str">
        <f t="shared" si="54"/>
        <v/>
      </c>
      <c r="EJ15" s="10" t="str">
        <f t="shared" si="55"/>
        <v/>
      </c>
      <c r="EK15" s="10" t="str">
        <f t="shared" si="56"/>
        <v/>
      </c>
      <c r="EL15" s="10" t="str">
        <f t="shared" si="57"/>
        <v/>
      </c>
      <c r="EM15" s="10" t="str">
        <f t="shared" si="58"/>
        <v/>
      </c>
      <c r="EN15" s="10" t="str">
        <f t="shared" si="59"/>
        <v/>
      </c>
      <c r="EO15" s="10" t="str">
        <f t="shared" si="60"/>
        <v/>
      </c>
      <c r="EP15" s="10" t="str">
        <f t="shared" si="61"/>
        <v/>
      </c>
      <c r="EQ15" s="10" t="str">
        <f t="shared" si="62"/>
        <v/>
      </c>
      <c r="ER15" s="10" t="str">
        <f t="shared" si="63"/>
        <v/>
      </c>
      <c r="ES15" s="10" t="str">
        <f t="shared" si="64"/>
        <v/>
      </c>
      <c r="ET15" s="10" t="str">
        <f t="shared" si="65"/>
        <v/>
      </c>
    </row>
    <row r="16" spans="1:150" x14ac:dyDescent="0.2">
      <c r="A16" s="3" t="str" cm="1">
        <f t="array" ref="A16">IF(AND(H16&lt;&gt;"",H16&lt;&gt;"No DD"),SUMPRODUCT((H$4:H$24&lt;&gt;"")*(H$4:H$24&lt;&gt;"No DD")*(E$4:E$24&gt;E16))+1,IF(H16="No DD",SUMPRODUCT((H$4:H$24="No DD")*(E$4:E$24&gt;E16))+1+SUMPRODUCT((H$4:H$24&lt;&gt;"")*(H$4:H$24&lt;&gt;"No DD")),""))</f>
        <v/>
      </c>
      <c r="B16" s="4" t="s">
        <v>43</v>
      </c>
      <c r="C16" s="3" t="s">
        <v>5</v>
      </c>
      <c r="D16" s="3">
        <v>2005</v>
      </c>
      <c r="E16" s="8">
        <f t="shared" si="0"/>
        <v>74.300004830004823</v>
      </c>
      <c r="F16" s="2" t="str">
        <f>IF(OR(AND(AO16&lt;&gt;"",AO16&gt;=AV$29,AN16&gt;=AV$26),AND(AU16&lt;&gt;"",AU16&gt;=AV$29,AT16&gt;=AV$26),AND(BS16&lt;&gt;"",BS16&gt;=BZ$29,BR16&gt;=BZ$26),AND(BY16&lt;&gt;"",BY16&gt;=BZ$29,BX16&gt;=BZ$26),AND(DB16&lt;&gt;"",DB16&gt;=DK$29,DA16&gt;=DK$26),AND(DJ16&lt;&gt;"",DJ16&gt;=DK$29,DI16&gt;=DK$26),AND(EK16&lt;&gt;"",EK16&gt;=ET$29,EJ16&gt;=ET$26),AND(ES16&lt;&gt;"",ES16&gt;=ET$29,ER16&gt;=ET$26)),"P","")</f>
        <v/>
      </c>
      <c r="G16" s="2" t="str">
        <f>IF(OR(AND(AO16&lt;&gt;"",AO16&gt;=AV$29),AND(AU16&lt;&gt;"",AU16&gt;=AV$29),AND(BS16&lt;&gt;"",BS16&gt;=BZ$29),AND(BY16&lt;&gt;"",BY16&gt;=BZ$29),AND(DB16&lt;&gt;"",DB16&gt;=DK$29),AND(DJ16&lt;&gt;"",DJ16&gt;=DK$29),AND(EK16&lt;&gt;"",EK16&gt;=ET$29),AND(ES16&lt;&gt;"",ES16&gt;=ET$29)),"P","")</f>
        <v/>
      </c>
      <c r="H16" s="26" t="str">
        <f>IF(AND(G16="P",F16=""),"No DD",IF(OR(AND(AK16&lt;&gt;"",AK16&gt;=AV$31,AJ16&gt;=AV$28),AND(AM16&lt;&gt;"",AM16&gt;=AV$31,AL16&gt;=AV$28),AND(AQ16&lt;&gt;"",AQ16&gt;=AV$31,AP16&gt;=AV$28),AND(AS16&lt;&gt;"",AS16&gt;=AV$31,AR16&gt;=AV$28),AND(BO16&lt;&gt;"",BO16&gt;=BZ$31,BN16&gt;=BZ$28),AND(BQ16&lt;&gt;"",BQ16&gt;=BZ$31,BP16&gt;=BZ$28),AND(BV16&lt;&gt;"",BV16&gt;=BZ$31,BU16&gt;=BZ$28),AND(BX16&lt;&gt;"",BX16&gt;=BZ$31,BW16&gt;=BZ$28),AND(CX16&lt;&gt;"",CX16&gt;=DK$31,CW16&gt;=DK$28),AND(CZ16&lt;&gt;"",CZ16&gt;=DK$31,CY16&gt;=DK$28),AND(DD16&lt;&gt;"",DD16&gt;=DK$31,DC16&gt;=DK$28),AND(DF16&lt;&gt;"",DF16&gt;=DK$31,DE16&gt;=DK$28),AND(DH16&lt;&gt;"",DH16&gt;=DK$31,DG16&gt;=DK$28),AND(EG16&lt;&gt;"",EG16&gt;=ET$31,EF16&gt;=ET$28),AND(EI16&lt;&gt;"",EI16&gt;=ET$31,EH16&gt;=ET$28),AND(EM16&lt;&gt;"",EM16&gt;=ET$31,EL16&gt;=ET$28),AND(EO16&lt;&gt;"",EO16&gt;=ET$31,EN16&gt;=ET$28),AND(EQ16&lt;&gt;"",EQ16&gt;=ET$31,EP16&gt;=ET$28)),"Performance",IF(I16="P","Worlds Team",IF(F16="P","National Team",""))))</f>
        <v/>
      </c>
      <c r="I16" s="2" t="str">
        <f>IF(OR(AND(AO16&lt;&gt;"",AO16&gt;=AV$30,AN16&gt;=AV$27),AND(AU16&lt;&gt;"",AU16&gt;=AV$30,AT16&gt;=AV$27),AND(BS16&lt;&gt;"",BS16&gt;=BZ$30,BR16&gt;=BZ$27),AND(BY16&lt;&gt;"",BY16&gt;=BZ$30,BX16&gt;=BZ$27),AND(DB16&lt;&gt;"",DB16&gt;=DK$30,DA16&gt;=DK$27),AND(DJ16&lt;&gt;"",DJ16&gt;=DK$30,DI16&gt;=DK$27),AND(EK16&lt;&gt;"",EK16&gt;=ET$30,EJ16&gt;=ET$27),AND(ES16&lt;&gt;"",ES16&gt;=ET$30,ER16&gt;=ET$27)),"P","")</f>
        <v/>
      </c>
      <c r="J16" s="7">
        <f t="shared" si="1"/>
        <v>48.3</v>
      </c>
      <c r="K16" s="7" t="str">
        <f t="shared" si="2"/>
        <v>2026 Elite Canada</v>
      </c>
      <c r="L16" s="7">
        <f>IF(J16=AO16,IF(COUNT(AQ16,AS16,BO16,BQ16,BU16,BW16)&gt;1,LARGE((AQ16,AS16,BO16,BQ16,BU16,BW16),1),0),IF(COUNT(AK16,AM16,AQ16,AS16,BU16,BW16)&gt;1,LARGE((AK16,AM16,AQ16,AS16,BU16,BW16),1),0))</f>
        <v>0</v>
      </c>
      <c r="M16" s="7" t="str">
        <f t="shared" si="3"/>
        <v/>
      </c>
      <c r="N16" s="7">
        <f>IF(J16=AO16,IF(COUNT(AQ16,AS16,BO16,BQ16,BU16,BW16)&gt;1,LARGE((AQ16,AS16,BO16,BQ16,BU16,BW16),2),0),IF(COUNT(AK16,AM16,AQ16,AS16,BU16,BW16)&gt;1,LARGE((AK16,AM16,AQ16,AS16,BU16,BW16),2),0))</f>
        <v>0</v>
      </c>
      <c r="O16" s="7" t="str">
        <f t="shared" si="4"/>
        <v/>
      </c>
      <c r="P16" s="7">
        <f t="shared" si="5"/>
        <v>26</v>
      </c>
      <c r="Q16" s="10" t="str">
        <f t="shared" si="6"/>
        <v>(Pass)</v>
      </c>
      <c r="R16" s="7" t="str">
        <f t="shared" si="7"/>
        <v>2025 WAGC (Nov 16)</v>
      </c>
      <c r="S16" s="38">
        <v>18.600000000000001</v>
      </c>
      <c r="T16" s="38">
        <v>8</v>
      </c>
      <c r="U16" s="38">
        <v>0.8</v>
      </c>
      <c r="V16" s="38">
        <v>0</v>
      </c>
      <c r="W16" s="38">
        <v>18.100000000000001</v>
      </c>
      <c r="X16" s="38">
        <v>6</v>
      </c>
      <c r="Y16" s="38">
        <v>1.6</v>
      </c>
      <c r="Z16" s="38">
        <v>0</v>
      </c>
      <c r="AA16" s="38" t="s">
        <v>175</v>
      </c>
      <c r="AB16" s="38" t="s">
        <v>175</v>
      </c>
      <c r="AC16" s="38" t="s">
        <v>175</v>
      </c>
      <c r="AD16" s="38" t="s">
        <v>175</v>
      </c>
      <c r="AE16" s="38" t="s">
        <v>175</v>
      </c>
      <c r="AF16" s="38" t="s">
        <v>175</v>
      </c>
      <c r="AG16" s="38" t="s">
        <v>175</v>
      </c>
      <c r="AH16" s="38" t="s">
        <v>175</v>
      </c>
      <c r="AI16" s="19"/>
      <c r="AJ16" s="41">
        <f t="shared" si="8"/>
        <v>8</v>
      </c>
      <c r="AK16" s="41">
        <f t="shared" si="9"/>
        <v>25.8</v>
      </c>
      <c r="AL16" s="41">
        <f t="shared" si="10"/>
        <v>6</v>
      </c>
      <c r="AM16" s="41">
        <f t="shared" si="11"/>
        <v>22.5</v>
      </c>
      <c r="AN16" s="27">
        <f t="shared" si="12"/>
        <v>14</v>
      </c>
      <c r="AO16" s="27">
        <f t="shared" si="13"/>
        <v>48.3</v>
      </c>
      <c r="AP16" s="27" t="str">
        <f t="shared" si="14"/>
        <v/>
      </c>
      <c r="AQ16" s="27" t="str">
        <f t="shared" si="15"/>
        <v/>
      </c>
      <c r="AR16" s="27" t="str">
        <f t="shared" si="16"/>
        <v/>
      </c>
      <c r="AS16" s="27" t="str">
        <f t="shared" si="17"/>
        <v/>
      </c>
      <c r="AT16" s="27" t="str">
        <f t="shared" si="18"/>
        <v/>
      </c>
      <c r="AU16" s="27" t="str">
        <f t="shared" si="19"/>
        <v/>
      </c>
      <c r="AV16" s="27">
        <f t="shared" si="20"/>
        <v>48.3</v>
      </c>
      <c r="AW16" s="15"/>
      <c r="AX16" s="15"/>
      <c r="AY16" s="15"/>
      <c r="AZ16" s="15"/>
      <c r="BA16" s="15"/>
      <c r="BB16" s="15"/>
      <c r="BC16" s="15"/>
      <c r="BD16" s="15"/>
      <c r="BE16" s="15"/>
      <c r="BF16" s="15"/>
      <c r="BG16" s="15"/>
      <c r="BH16" s="15"/>
      <c r="BI16" s="15"/>
      <c r="BJ16" s="15"/>
      <c r="BK16" s="15"/>
      <c r="BL16" s="15"/>
      <c r="BM16" s="20"/>
      <c r="BN16" s="42" t="str">
        <f t="shared" si="21"/>
        <v/>
      </c>
      <c r="BO16" s="42" t="str">
        <f t="shared" si="22"/>
        <v/>
      </c>
      <c r="BP16" s="42" t="str">
        <f t="shared" si="23"/>
        <v/>
      </c>
      <c r="BQ16" s="42" t="str">
        <f t="shared" si="24"/>
        <v/>
      </c>
      <c r="BR16" s="10" t="str">
        <f t="shared" si="25"/>
        <v/>
      </c>
      <c r="BS16" s="10" t="str">
        <f t="shared" si="26"/>
        <v/>
      </c>
      <c r="BT16" s="10" t="str">
        <f t="shared" si="27"/>
        <v/>
      </c>
      <c r="BU16" s="10" t="str">
        <f t="shared" si="28"/>
        <v/>
      </c>
      <c r="BV16" s="10" t="str">
        <f t="shared" si="29"/>
        <v/>
      </c>
      <c r="BW16" s="10" t="str">
        <f t="shared" si="30"/>
        <v/>
      </c>
      <c r="BX16" s="10" t="str">
        <f t="shared" si="31"/>
        <v/>
      </c>
      <c r="BY16" s="10" t="str">
        <f t="shared" si="32"/>
        <v/>
      </c>
      <c r="BZ16" s="10" t="str">
        <f t="shared" si="33"/>
        <v/>
      </c>
      <c r="CA16" s="34">
        <f t="shared" si="34"/>
        <v>3.2000000000000028</v>
      </c>
      <c r="CB16" s="34">
        <f t="shared" si="35"/>
        <v>26</v>
      </c>
      <c r="CC16" s="14"/>
      <c r="CD16" s="14"/>
      <c r="CE16" s="14"/>
      <c r="CF16" s="14"/>
      <c r="CG16" s="14"/>
      <c r="CH16" s="14"/>
      <c r="CI16" s="14"/>
      <c r="CJ16" s="14"/>
      <c r="CK16" s="14"/>
      <c r="CL16" s="14"/>
      <c r="CM16" s="14"/>
      <c r="CN16" s="14"/>
      <c r="CO16" s="14"/>
      <c r="CP16" s="14"/>
      <c r="CQ16" s="14"/>
      <c r="CR16" s="14"/>
      <c r="CS16" s="14"/>
      <c r="CT16" s="14"/>
      <c r="CU16" s="14"/>
      <c r="CV16" s="14"/>
      <c r="CW16" s="27" t="str">
        <f t="shared" si="36"/>
        <v/>
      </c>
      <c r="CX16" s="27" t="str">
        <f t="shared" si="37"/>
        <v/>
      </c>
      <c r="CY16" s="27" t="str">
        <f t="shared" si="38"/>
        <v/>
      </c>
      <c r="CZ16" s="27" t="str">
        <f t="shared" si="39"/>
        <v/>
      </c>
      <c r="DA16" s="27" t="str">
        <f t="shared" si="40"/>
        <v/>
      </c>
      <c r="DB16" s="27" t="str">
        <f t="shared" si="41"/>
        <v/>
      </c>
      <c r="DC16" s="27" t="str">
        <f t="shared" si="42"/>
        <v/>
      </c>
      <c r="DD16" s="27" t="str">
        <f t="shared" si="43"/>
        <v/>
      </c>
      <c r="DE16" s="27" t="str">
        <f t="shared" si="44"/>
        <v/>
      </c>
      <c r="DF16" s="27" t="str">
        <f t="shared" si="45"/>
        <v/>
      </c>
      <c r="DG16" s="27" t="str">
        <f t="shared" si="46"/>
        <v/>
      </c>
      <c r="DH16" s="27" t="str">
        <f t="shared" si="47"/>
        <v/>
      </c>
      <c r="DI16" s="27" t="str">
        <f t="shared" si="48"/>
        <v/>
      </c>
      <c r="DJ16" s="27" t="str">
        <f t="shared" si="49"/>
        <v/>
      </c>
      <c r="DK16" s="27" t="str">
        <f t="shared" si="50"/>
        <v/>
      </c>
      <c r="DL16" s="15">
        <v>18.600000000000001</v>
      </c>
      <c r="DM16" s="15">
        <v>8</v>
      </c>
      <c r="DN16" s="15">
        <v>0.6</v>
      </c>
      <c r="DO16" s="15">
        <v>0</v>
      </c>
      <c r="DP16" s="15">
        <v>17.7</v>
      </c>
      <c r="DQ16" s="15">
        <v>8</v>
      </c>
      <c r="DR16" s="15">
        <v>0.2</v>
      </c>
      <c r="DS16" s="15">
        <v>0</v>
      </c>
      <c r="DT16" s="15"/>
      <c r="DU16" s="15"/>
      <c r="DV16" s="15"/>
      <c r="DW16" s="15"/>
      <c r="DX16" s="15"/>
      <c r="DY16" s="15"/>
      <c r="DZ16" s="15"/>
      <c r="EA16" s="15"/>
      <c r="EB16" s="15"/>
      <c r="EC16" s="15"/>
      <c r="ED16" s="15"/>
      <c r="EE16" s="15"/>
      <c r="EF16" s="10">
        <f t="shared" si="51"/>
        <v>8</v>
      </c>
      <c r="EG16" s="10">
        <f t="shared" si="52"/>
        <v>26</v>
      </c>
      <c r="EH16" s="10">
        <f t="shared" si="53"/>
        <v>8</v>
      </c>
      <c r="EI16" s="10">
        <f t="shared" si="54"/>
        <v>25.5</v>
      </c>
      <c r="EJ16" s="10">
        <f t="shared" si="55"/>
        <v>16</v>
      </c>
      <c r="EK16" s="10">
        <f t="shared" si="56"/>
        <v>51.5</v>
      </c>
      <c r="EL16" s="10" t="str">
        <f t="shared" si="57"/>
        <v/>
      </c>
      <c r="EM16" s="10" t="str">
        <f t="shared" si="58"/>
        <v/>
      </c>
      <c r="EN16" s="10" t="str">
        <f t="shared" si="59"/>
        <v/>
      </c>
      <c r="EO16" s="10" t="str">
        <f t="shared" si="60"/>
        <v/>
      </c>
      <c r="EP16" s="10" t="str">
        <f t="shared" si="61"/>
        <v/>
      </c>
      <c r="EQ16" s="10" t="str">
        <f t="shared" si="62"/>
        <v/>
      </c>
      <c r="ER16" s="10" t="str">
        <f t="shared" si="63"/>
        <v/>
      </c>
      <c r="ES16" s="10" t="str">
        <f t="shared" si="64"/>
        <v/>
      </c>
      <c r="ET16" s="10">
        <f t="shared" si="65"/>
        <v>51.5</v>
      </c>
    </row>
    <row r="17" spans="1:150" x14ac:dyDescent="0.2">
      <c r="A17" s="3" t="str" cm="1">
        <f t="array" ref="A17">IF(AND(H17&lt;&gt;"",H17&lt;&gt;"No DD"),SUMPRODUCT((H$4:H$24&lt;&gt;"")*(H$4:H$24&lt;&gt;"No DD")*(E$4:E$24&gt;E17))+1,IF(H17="No DD",SUMPRODUCT((H$4:H$24="No DD")*(E$4:E$24&gt;E17))+1+SUMPRODUCT((H$4:H$24&lt;&gt;"")*(H$4:H$24&lt;&gt;"No DD")),""))</f>
        <v/>
      </c>
      <c r="B17" s="4" t="s">
        <v>73</v>
      </c>
      <c r="C17" s="3" t="s">
        <v>74</v>
      </c>
      <c r="D17" s="3">
        <v>2005</v>
      </c>
      <c r="E17" s="8">
        <f t="shared" si="0"/>
        <v>50.800005080005079</v>
      </c>
      <c r="F17" s="2" t="str">
        <f>IF(OR(AND(AO17&lt;&gt;"",AO17&gt;=AV$29,AN17&gt;=AV$26),AND(AU17&lt;&gt;"",AU17&gt;=AV$29,AT17&gt;=AV$26),AND(BS17&lt;&gt;"",BS17&gt;=BZ$29,BR17&gt;=BZ$26),AND(BY17&lt;&gt;"",BY17&gt;=BZ$29,BX17&gt;=BZ$26),AND(DB17&lt;&gt;"",DB17&gt;=DK$29,DA17&gt;=DK$26),AND(DJ17&lt;&gt;"",DJ17&gt;=DK$29,DI17&gt;=DK$26),AND(EK17&lt;&gt;"",EK17&gt;=ET$29,EJ17&gt;=ET$26),AND(ES17&lt;&gt;"",ES17&gt;=ET$29,ER17&gt;=ET$26)),"P","")</f>
        <v/>
      </c>
      <c r="G17" s="2" t="str">
        <f>IF(OR(AND(AO17&lt;&gt;"",AO17&gt;=AV$29),AND(AU17&lt;&gt;"",AU17&gt;=AV$29),AND(BS17&lt;&gt;"",BS17&gt;=BZ$29),AND(BY17&lt;&gt;"",BY17&gt;=BZ$29),AND(DB17&lt;&gt;"",DB17&gt;=DK$29),AND(DJ17&lt;&gt;"",DJ17&gt;=DK$29),AND(EK17&lt;&gt;"",EK17&gt;=ET$29),AND(ES17&lt;&gt;"",ES17&gt;=ET$29)),"P","")</f>
        <v/>
      </c>
      <c r="H17" s="26" t="str">
        <f>IF(AND(G17="P",F17=""),"No DD",IF(OR(AND(AK17&lt;&gt;"",AK17&gt;=AV$31,AJ17&gt;=AV$28),AND(AM17&lt;&gt;"",AM17&gt;=AV$31,AL17&gt;=AV$28),AND(AQ17&lt;&gt;"",AQ17&gt;=AV$31,AP17&gt;=AV$28),AND(AS17&lt;&gt;"",AS17&gt;=AV$31,AR17&gt;=AV$28),AND(BO17&lt;&gt;"",BO17&gt;=BZ$31,BN17&gt;=BZ$28),AND(BQ17&lt;&gt;"",BQ17&gt;=BZ$31,BP17&gt;=BZ$28),AND(BV17&lt;&gt;"",BV17&gt;=BZ$31,BU17&gt;=BZ$28),AND(BX17&lt;&gt;"",BX17&gt;=BZ$31,BW17&gt;=BZ$28),AND(CX17&lt;&gt;"",CX17&gt;=DK$31,CW17&gt;=DK$28),AND(CZ17&lt;&gt;"",CZ17&gt;=DK$31,CY17&gt;=DK$28),AND(DD17&lt;&gt;"",DD17&gt;=DK$31,DC17&gt;=DK$28),AND(DF17&lt;&gt;"",DF17&gt;=DK$31,DE17&gt;=DK$28),AND(DH17&lt;&gt;"",DH17&gt;=DK$31,DG17&gt;=DK$28),AND(EG17&lt;&gt;"",EG17&gt;=ET$31,EF17&gt;=ET$28),AND(EI17&lt;&gt;"",EI17&gt;=ET$31,EH17&gt;=ET$28),AND(EM17&lt;&gt;"",EM17&gt;=ET$31,EL17&gt;=ET$28),AND(EO17&lt;&gt;"",EO17&gt;=ET$31,EN17&gt;=ET$28),AND(EQ17&lt;&gt;"",EQ17&gt;=ET$31,EP17&gt;=ET$28)),"Performance",IF(I17="P","Worlds Team",IF(F17="P","National Team",""))))</f>
        <v/>
      </c>
      <c r="I17" s="2" t="str">
        <f>IF(OR(AND(AO17&lt;&gt;"",AO17&gt;=AV$30,AN17&gt;=AV$27),AND(AU17&lt;&gt;"",AU17&gt;=AV$30,AT17&gt;=AV$27),AND(BS17&lt;&gt;"",BS17&gt;=BZ$30,BR17&gt;=BZ$27),AND(BY17&lt;&gt;"",BY17&gt;=BZ$30,BX17&gt;=BZ$27),AND(DB17&lt;&gt;"",DB17&gt;=DK$30,DA17&gt;=DK$27),AND(DJ17&lt;&gt;"",DJ17&gt;=DK$30,DI17&gt;=DK$27),AND(EK17&lt;&gt;"",EK17&gt;=ET$30,EJ17&gt;=ET$27),AND(ES17&lt;&gt;"",ES17&gt;=ET$30,ER17&gt;=ET$27)),"P","")</f>
        <v/>
      </c>
      <c r="J17" s="7">
        <f t="shared" si="1"/>
        <v>50.8</v>
      </c>
      <c r="K17" s="7" t="str">
        <f t="shared" si="2"/>
        <v>2026 Elite Canada</v>
      </c>
      <c r="L17" s="7">
        <f>IF(J17=AO17,IF(COUNT(AQ17,AS17,BO17,BQ17,BU17,BW17)&gt;1,LARGE((AQ17,AS17,BO17,BQ17,BU17,BW17),1),0),IF(COUNT(AK17,AM17,AQ17,AS17,BU17,BW17)&gt;1,LARGE((AK17,AM17,AQ17,AS17,BU17,BW17),1),0))</f>
        <v>0</v>
      </c>
      <c r="M17" s="7" t="str">
        <f t="shared" si="3"/>
        <v/>
      </c>
      <c r="N17" s="7">
        <f>IF(J17=AO17,IF(COUNT(AQ17,AS17,BO17,BQ17,BU17,BW17)&gt;1,LARGE((AQ17,AS17,BO17,BQ17,BU17,BW17),2),0),IF(COUNT(AK17,AM17,AQ17,AS17,BU17,BW17)&gt;1,LARGE((AK17,AM17,AQ17,AS17,BU17,BW17),2),0))</f>
        <v>0</v>
      </c>
      <c r="O17" s="7" t="str">
        <f t="shared" si="4"/>
        <v/>
      </c>
      <c r="P17" s="7" t="str">
        <f t="shared" si="5"/>
        <v/>
      </c>
      <c r="Q17" s="10" t="str">
        <f t="shared" si="6"/>
        <v/>
      </c>
      <c r="R17" s="7" t="str">
        <f t="shared" si="7"/>
        <v/>
      </c>
      <c r="S17" s="38">
        <v>18.399999999999999</v>
      </c>
      <c r="T17" s="38">
        <v>8</v>
      </c>
      <c r="U17" s="38">
        <v>0.2</v>
      </c>
      <c r="V17" s="38">
        <v>0.50000000000000067</v>
      </c>
      <c r="W17" s="38">
        <v>16.7</v>
      </c>
      <c r="X17" s="38">
        <v>7.6</v>
      </c>
      <c r="Y17" s="38">
        <v>0.2</v>
      </c>
      <c r="Z17" s="38">
        <v>0</v>
      </c>
      <c r="AA17" s="38" t="s">
        <v>175</v>
      </c>
      <c r="AB17" s="38" t="s">
        <v>175</v>
      </c>
      <c r="AC17" s="38" t="s">
        <v>175</v>
      </c>
      <c r="AD17" s="38" t="s">
        <v>175</v>
      </c>
      <c r="AE17" s="38" t="s">
        <v>175</v>
      </c>
      <c r="AF17" s="38" t="s">
        <v>175</v>
      </c>
      <c r="AG17" s="38" t="s">
        <v>175</v>
      </c>
      <c r="AH17" s="38" t="s">
        <v>175</v>
      </c>
      <c r="AI17" s="19"/>
      <c r="AJ17" s="41">
        <f t="shared" si="8"/>
        <v>8</v>
      </c>
      <c r="AK17" s="41">
        <f t="shared" si="9"/>
        <v>26.7</v>
      </c>
      <c r="AL17" s="41">
        <f t="shared" si="10"/>
        <v>7.6</v>
      </c>
      <c r="AM17" s="41">
        <f t="shared" si="11"/>
        <v>24.099999999999998</v>
      </c>
      <c r="AN17" s="27">
        <f t="shared" si="12"/>
        <v>15.6</v>
      </c>
      <c r="AO17" s="27">
        <f t="shared" si="13"/>
        <v>50.8</v>
      </c>
      <c r="AP17" s="27" t="str">
        <f t="shared" si="14"/>
        <v/>
      </c>
      <c r="AQ17" s="27" t="str">
        <f t="shared" si="15"/>
        <v/>
      </c>
      <c r="AR17" s="27" t="str">
        <f t="shared" si="16"/>
        <v/>
      </c>
      <c r="AS17" s="27" t="str">
        <f t="shared" si="17"/>
        <v/>
      </c>
      <c r="AT17" s="27" t="str">
        <f t="shared" si="18"/>
        <v/>
      </c>
      <c r="AU17" s="27" t="str">
        <f t="shared" si="19"/>
        <v/>
      </c>
      <c r="AV17" s="27">
        <f t="shared" si="20"/>
        <v>50.8</v>
      </c>
      <c r="AW17" s="15"/>
      <c r="AX17" s="15"/>
      <c r="AY17" s="15"/>
      <c r="AZ17" s="15"/>
      <c r="BA17" s="15"/>
      <c r="BB17" s="15"/>
      <c r="BC17" s="15"/>
      <c r="BD17" s="15"/>
      <c r="BE17" s="15"/>
      <c r="BF17" s="15"/>
      <c r="BG17" s="15"/>
      <c r="BH17" s="15"/>
      <c r="BI17" s="15"/>
      <c r="BJ17" s="15"/>
      <c r="BK17" s="15"/>
      <c r="BL17" s="15"/>
      <c r="BM17" s="20"/>
      <c r="BN17" s="42" t="str">
        <f t="shared" si="21"/>
        <v/>
      </c>
      <c r="BO17" s="42" t="str">
        <f t="shared" si="22"/>
        <v/>
      </c>
      <c r="BP17" s="42" t="str">
        <f t="shared" si="23"/>
        <v/>
      </c>
      <c r="BQ17" s="42" t="str">
        <f t="shared" si="24"/>
        <v/>
      </c>
      <c r="BR17" s="10" t="str">
        <f t="shared" si="25"/>
        <v/>
      </c>
      <c r="BS17" s="10" t="str">
        <f t="shared" si="26"/>
        <v/>
      </c>
      <c r="BT17" s="10" t="str">
        <f t="shared" si="27"/>
        <v/>
      </c>
      <c r="BU17" s="10" t="str">
        <f t="shared" si="28"/>
        <v/>
      </c>
      <c r="BV17" s="10" t="str">
        <f t="shared" si="29"/>
        <v/>
      </c>
      <c r="BW17" s="10" t="str">
        <f t="shared" si="30"/>
        <v/>
      </c>
      <c r="BX17" s="10" t="str">
        <f t="shared" si="31"/>
        <v/>
      </c>
      <c r="BY17" s="10" t="str">
        <f t="shared" si="32"/>
        <v/>
      </c>
      <c r="BZ17" s="10" t="str">
        <f t="shared" si="33"/>
        <v/>
      </c>
      <c r="CA17" s="34" t="str">
        <f t="shared" si="34"/>
        <v/>
      </c>
      <c r="CB17" s="34" t="str">
        <f t="shared" si="35"/>
        <v/>
      </c>
      <c r="CC17" s="14"/>
      <c r="CD17" s="14"/>
      <c r="CE17" s="14"/>
      <c r="CF17" s="14"/>
      <c r="CG17" s="14"/>
      <c r="CH17" s="14"/>
      <c r="CI17" s="14"/>
      <c r="CJ17" s="14"/>
      <c r="CK17" s="14"/>
      <c r="CL17" s="14"/>
      <c r="CM17" s="14"/>
      <c r="CN17" s="14"/>
      <c r="CO17" s="14"/>
      <c r="CP17" s="14"/>
      <c r="CQ17" s="14"/>
      <c r="CR17" s="14"/>
      <c r="CS17" s="14"/>
      <c r="CT17" s="14"/>
      <c r="CU17" s="14"/>
      <c r="CV17" s="14"/>
      <c r="CW17" s="27" t="str">
        <f t="shared" si="36"/>
        <v/>
      </c>
      <c r="CX17" s="27" t="str">
        <f t="shared" si="37"/>
        <v/>
      </c>
      <c r="CY17" s="27" t="str">
        <f t="shared" si="38"/>
        <v/>
      </c>
      <c r="CZ17" s="27" t="str">
        <f t="shared" si="39"/>
        <v/>
      </c>
      <c r="DA17" s="27" t="str">
        <f t="shared" si="40"/>
        <v/>
      </c>
      <c r="DB17" s="27" t="str">
        <f t="shared" si="41"/>
        <v/>
      </c>
      <c r="DC17" s="27" t="str">
        <f t="shared" si="42"/>
        <v/>
      </c>
      <c r="DD17" s="27" t="str">
        <f t="shared" si="43"/>
        <v/>
      </c>
      <c r="DE17" s="27" t="str">
        <f t="shared" si="44"/>
        <v/>
      </c>
      <c r="DF17" s="27" t="str">
        <f t="shared" si="45"/>
        <v/>
      </c>
      <c r="DG17" s="27" t="str">
        <f t="shared" si="46"/>
        <v/>
      </c>
      <c r="DH17" s="27" t="str">
        <f t="shared" si="47"/>
        <v/>
      </c>
      <c r="DI17" s="27" t="str">
        <f t="shared" si="48"/>
        <v/>
      </c>
      <c r="DJ17" s="27" t="str">
        <f t="shared" si="49"/>
        <v/>
      </c>
      <c r="DK17" s="27" t="str">
        <f t="shared" si="50"/>
        <v/>
      </c>
      <c r="DL17" s="15"/>
      <c r="DM17" s="15"/>
      <c r="DN17" s="15"/>
      <c r="DO17" s="15"/>
      <c r="DP17" s="15"/>
      <c r="DQ17" s="15"/>
      <c r="DR17" s="15"/>
      <c r="DS17" s="15"/>
      <c r="DT17" s="15"/>
      <c r="DU17" s="15"/>
      <c r="DV17" s="15"/>
      <c r="DW17" s="15"/>
      <c r="DX17" s="15"/>
      <c r="DY17" s="15"/>
      <c r="DZ17" s="15"/>
      <c r="EA17" s="15"/>
      <c r="EB17" s="15"/>
      <c r="EC17" s="15"/>
      <c r="ED17" s="15"/>
      <c r="EE17" s="15"/>
      <c r="EF17" s="10" t="str">
        <f t="shared" si="51"/>
        <v/>
      </c>
      <c r="EG17" s="10" t="str">
        <f t="shared" si="52"/>
        <v/>
      </c>
      <c r="EH17" s="10" t="str">
        <f t="shared" si="53"/>
        <v/>
      </c>
      <c r="EI17" s="10" t="str">
        <f t="shared" si="54"/>
        <v/>
      </c>
      <c r="EJ17" s="10" t="str">
        <f t="shared" si="55"/>
        <v/>
      </c>
      <c r="EK17" s="10" t="str">
        <f t="shared" si="56"/>
        <v/>
      </c>
      <c r="EL17" s="10" t="str">
        <f t="shared" si="57"/>
        <v/>
      </c>
      <c r="EM17" s="10" t="str">
        <f t="shared" si="58"/>
        <v/>
      </c>
      <c r="EN17" s="10" t="str">
        <f t="shared" si="59"/>
        <v/>
      </c>
      <c r="EO17" s="10" t="str">
        <f t="shared" si="60"/>
        <v/>
      </c>
      <c r="EP17" s="10" t="str">
        <f t="shared" si="61"/>
        <v/>
      </c>
      <c r="EQ17" s="10" t="str">
        <f t="shared" si="62"/>
        <v/>
      </c>
      <c r="ER17" s="10" t="str">
        <f t="shared" si="63"/>
        <v/>
      </c>
      <c r="ES17" s="10" t="str">
        <f t="shared" si="64"/>
        <v/>
      </c>
      <c r="ET17" s="10" t="str">
        <f t="shared" si="65"/>
        <v/>
      </c>
    </row>
    <row r="18" spans="1:150" x14ac:dyDescent="0.2">
      <c r="A18" s="3" t="str" cm="1">
        <f t="array" ref="A18">IF(AND(H18&lt;&gt;"",H18&lt;&gt;"No DD"),SUMPRODUCT((H$4:H$24&lt;&gt;"")*(H$4:H$24&lt;&gt;"No DD")*(E$4:E$24&gt;E18))+1,IF(H18="No DD",SUMPRODUCT((H$4:H$24="No DD")*(E$4:E$24&gt;E18))+1+SUMPRODUCT((H$4:H$24&lt;&gt;"")*(H$4:H$24&lt;&gt;"No DD")),""))</f>
        <v/>
      </c>
      <c r="B18" s="4" t="s">
        <v>71</v>
      </c>
      <c r="C18" s="3" t="s">
        <v>5</v>
      </c>
      <c r="D18" s="3">
        <v>2008</v>
      </c>
      <c r="E18" s="8">
        <f t="shared" si="0"/>
        <v>50.700005070005076</v>
      </c>
      <c r="F18" s="2" t="str">
        <f>IF(OR(AND(AO18&lt;&gt;"",AO18&gt;=AV$29,AN18&gt;=AV$26),AND(AU18&lt;&gt;"",AU18&gt;=AV$29,AT18&gt;=AV$26),AND(BS18&lt;&gt;"",BS18&gt;=BZ$29,BR18&gt;=BZ$26),AND(BY18&lt;&gt;"",BY18&gt;=BZ$29,BX18&gt;=BZ$26),AND(DB18&lt;&gt;"",DB18&gt;=DK$29,DA18&gt;=DK$26),AND(DJ18&lt;&gt;"",DJ18&gt;=DK$29,DI18&gt;=DK$26),AND(EK18&lt;&gt;"",EK18&gt;=ET$29,EJ18&gt;=ET$26),AND(ES18&lt;&gt;"",ES18&gt;=ET$29,ER18&gt;=ET$26)),"P","")</f>
        <v/>
      </c>
      <c r="G18" s="2" t="str">
        <f>IF(OR(AND(AO18&lt;&gt;"",AO18&gt;=AV$29),AND(AU18&lt;&gt;"",AU18&gt;=AV$29),AND(BS18&lt;&gt;"",BS18&gt;=BZ$29),AND(BY18&lt;&gt;"",BY18&gt;=BZ$29),AND(DB18&lt;&gt;"",DB18&gt;=DK$29),AND(DJ18&lt;&gt;"",DJ18&gt;=DK$29),AND(EK18&lt;&gt;"",EK18&gt;=ET$29),AND(ES18&lt;&gt;"",ES18&gt;=ET$29)),"P","")</f>
        <v/>
      </c>
      <c r="H18" s="26" t="str">
        <f>IF(AND(G18="P",F18=""),"No DD",IF(OR(AND(AK18&lt;&gt;"",AK18&gt;=AV$31,AJ18&gt;=AV$28),AND(AM18&lt;&gt;"",AM18&gt;=AV$31,AL18&gt;=AV$28),AND(AQ18&lt;&gt;"",AQ18&gt;=AV$31,AP18&gt;=AV$28),AND(AS18&lt;&gt;"",AS18&gt;=AV$31,AR18&gt;=AV$28),AND(BO18&lt;&gt;"",BO18&gt;=BZ$31,BN18&gt;=BZ$28),AND(BQ18&lt;&gt;"",BQ18&gt;=BZ$31,BP18&gt;=BZ$28),AND(BV18&lt;&gt;"",BV18&gt;=BZ$31,BU18&gt;=BZ$28),AND(BX18&lt;&gt;"",BX18&gt;=BZ$31,BW18&gt;=BZ$28),AND(CX18&lt;&gt;"",CX18&gt;=DK$31,CW18&gt;=DK$28),AND(CZ18&lt;&gt;"",CZ18&gt;=DK$31,CY18&gt;=DK$28),AND(DD18&lt;&gt;"",DD18&gt;=DK$31,DC18&gt;=DK$28),AND(DF18&lt;&gt;"",DF18&gt;=DK$31,DE18&gt;=DK$28),AND(DH18&lt;&gt;"",DH18&gt;=DK$31,DG18&gt;=DK$28),AND(EG18&lt;&gt;"",EG18&gt;=ET$31,EF18&gt;=ET$28),AND(EI18&lt;&gt;"",EI18&gt;=ET$31,EH18&gt;=ET$28),AND(EM18&lt;&gt;"",EM18&gt;=ET$31,EL18&gt;=ET$28),AND(EO18&lt;&gt;"",EO18&gt;=ET$31,EN18&gt;=ET$28),AND(EQ18&lt;&gt;"",EQ18&gt;=ET$31,EP18&gt;=ET$28)),"Performance",IF(I18="P","Worlds Team",IF(F18="P","National Team",""))))</f>
        <v/>
      </c>
      <c r="I18" s="2" t="str">
        <f>IF(OR(AND(AO18&lt;&gt;"",AO18&gt;=AV$30,AN18&gt;=AV$27),AND(AU18&lt;&gt;"",AU18&gt;=AV$30,AT18&gt;=AV$27),AND(BS18&lt;&gt;"",BS18&gt;=BZ$30,BR18&gt;=BZ$27),AND(BY18&lt;&gt;"",BY18&gt;=BZ$30,BX18&gt;=BZ$27),AND(DB18&lt;&gt;"",DB18&gt;=DK$30,DA18&gt;=DK$27),AND(DJ18&lt;&gt;"",DJ18&gt;=DK$30,DI18&gt;=DK$27),AND(EK18&lt;&gt;"",EK18&gt;=ET$30,EJ18&gt;=ET$27),AND(ES18&lt;&gt;"",ES18&gt;=ET$30,ER18&gt;=ET$27)),"P","")</f>
        <v/>
      </c>
      <c r="J18" s="7">
        <f t="shared" si="1"/>
        <v>50.7</v>
      </c>
      <c r="K18" s="7" t="str">
        <f t="shared" si="2"/>
        <v>2026 Elite Canada</v>
      </c>
      <c r="L18" s="7">
        <f>IF(J18=AO18,IF(COUNT(AQ18,AS18,BO18,BQ18,BU18,BW18)&gt;1,LARGE((AQ18,AS18,BO18,BQ18,BU18,BW18),1),0),IF(COUNT(AK18,AM18,AQ18,AS18,BU18,BW18)&gt;1,LARGE((AK18,AM18,AQ18,AS18,BU18,BW18),1),0))</f>
        <v>0</v>
      </c>
      <c r="M18" s="7" t="str">
        <f t="shared" si="3"/>
        <v/>
      </c>
      <c r="N18" s="7">
        <f>IF(J18=AO18,IF(COUNT(AQ18,AS18,BO18,BQ18,BU18,BW18)&gt;1,LARGE((AQ18,AS18,BO18,BQ18,BU18,BW18),2),0),IF(COUNT(AK18,AM18,AQ18,AS18,BU18,BW18)&gt;1,LARGE((AK18,AM18,AQ18,AS18,BU18,BW18),2),0))</f>
        <v>0</v>
      </c>
      <c r="O18" s="7" t="str">
        <f t="shared" si="4"/>
        <v/>
      </c>
      <c r="P18" s="7" t="str">
        <f t="shared" si="5"/>
        <v/>
      </c>
      <c r="Q18" s="10" t="str">
        <f t="shared" si="6"/>
        <v/>
      </c>
      <c r="R18" s="7" t="str">
        <f t="shared" si="7"/>
        <v/>
      </c>
      <c r="S18" s="38">
        <v>18.5</v>
      </c>
      <c r="T18" s="38">
        <v>7.2</v>
      </c>
      <c r="U18" s="38">
        <v>0.6</v>
      </c>
      <c r="V18" s="38">
        <v>0</v>
      </c>
      <c r="W18" s="38">
        <v>18.100000000000001</v>
      </c>
      <c r="X18" s="38">
        <v>7.7</v>
      </c>
      <c r="Y18" s="38">
        <v>0.2</v>
      </c>
      <c r="Z18" s="38">
        <v>0</v>
      </c>
      <c r="AA18" s="38" t="s">
        <v>175</v>
      </c>
      <c r="AB18" s="38" t="s">
        <v>175</v>
      </c>
      <c r="AC18" s="38" t="s">
        <v>175</v>
      </c>
      <c r="AD18" s="38" t="s">
        <v>175</v>
      </c>
      <c r="AE18" s="38" t="s">
        <v>175</v>
      </c>
      <c r="AF18" s="38" t="s">
        <v>175</v>
      </c>
      <c r="AG18" s="38" t="s">
        <v>175</v>
      </c>
      <c r="AH18" s="38" t="s">
        <v>175</v>
      </c>
      <c r="AI18" s="19"/>
      <c r="AJ18" s="41">
        <f t="shared" si="8"/>
        <v>7.2</v>
      </c>
      <c r="AK18" s="41">
        <f t="shared" si="9"/>
        <v>25.099999999999998</v>
      </c>
      <c r="AL18" s="41">
        <f t="shared" si="10"/>
        <v>7.7</v>
      </c>
      <c r="AM18" s="41">
        <f t="shared" si="11"/>
        <v>25.6</v>
      </c>
      <c r="AN18" s="27">
        <f t="shared" si="12"/>
        <v>14.9</v>
      </c>
      <c r="AO18" s="27">
        <f t="shared" si="13"/>
        <v>50.7</v>
      </c>
      <c r="AP18" s="27" t="str">
        <f t="shared" si="14"/>
        <v/>
      </c>
      <c r="AQ18" s="27" t="str">
        <f t="shared" si="15"/>
        <v/>
      </c>
      <c r="AR18" s="27" t="str">
        <f t="shared" si="16"/>
        <v/>
      </c>
      <c r="AS18" s="27" t="str">
        <f t="shared" si="17"/>
        <v/>
      </c>
      <c r="AT18" s="27" t="str">
        <f t="shared" si="18"/>
        <v/>
      </c>
      <c r="AU18" s="27" t="str">
        <f t="shared" si="19"/>
        <v/>
      </c>
      <c r="AV18" s="27">
        <f t="shared" si="20"/>
        <v>50.7</v>
      </c>
      <c r="AW18" s="15"/>
      <c r="AX18" s="15"/>
      <c r="AY18" s="15"/>
      <c r="AZ18" s="15"/>
      <c r="BA18" s="15"/>
      <c r="BB18" s="15"/>
      <c r="BC18" s="15"/>
      <c r="BD18" s="15"/>
      <c r="BE18" s="15"/>
      <c r="BF18" s="15"/>
      <c r="BG18" s="15"/>
      <c r="BH18" s="15"/>
      <c r="BI18" s="15"/>
      <c r="BJ18" s="15"/>
      <c r="BK18" s="15"/>
      <c r="BL18" s="15"/>
      <c r="BM18" s="20"/>
      <c r="BN18" s="42" t="str">
        <f t="shared" si="21"/>
        <v/>
      </c>
      <c r="BO18" s="42" t="str">
        <f t="shared" si="22"/>
        <v/>
      </c>
      <c r="BP18" s="42" t="str">
        <f t="shared" si="23"/>
        <v/>
      </c>
      <c r="BQ18" s="42" t="str">
        <f t="shared" si="24"/>
        <v/>
      </c>
      <c r="BR18" s="10" t="str">
        <f t="shared" si="25"/>
        <v/>
      </c>
      <c r="BS18" s="10" t="str">
        <f t="shared" si="26"/>
        <v/>
      </c>
      <c r="BT18" s="10" t="str">
        <f t="shared" si="27"/>
        <v/>
      </c>
      <c r="BU18" s="10" t="str">
        <f t="shared" si="28"/>
        <v/>
      </c>
      <c r="BV18" s="10" t="str">
        <f t="shared" si="29"/>
        <v/>
      </c>
      <c r="BW18" s="10" t="str">
        <f t="shared" si="30"/>
        <v/>
      </c>
      <c r="BX18" s="10" t="str">
        <f t="shared" si="31"/>
        <v/>
      </c>
      <c r="BY18" s="10" t="str">
        <f t="shared" si="32"/>
        <v/>
      </c>
      <c r="BZ18" s="10" t="str">
        <f t="shared" si="33"/>
        <v/>
      </c>
      <c r="CA18" s="34" t="str">
        <f t="shared" si="34"/>
        <v/>
      </c>
      <c r="CB18" s="34" t="str">
        <f t="shared" si="35"/>
        <v/>
      </c>
      <c r="CC18" s="14"/>
      <c r="CD18" s="14"/>
      <c r="CE18" s="14"/>
      <c r="CF18" s="14"/>
      <c r="CG18" s="14"/>
      <c r="CH18" s="14"/>
      <c r="CI18" s="14"/>
      <c r="CJ18" s="14"/>
      <c r="CK18" s="14"/>
      <c r="CL18" s="14"/>
      <c r="CM18" s="14"/>
      <c r="CN18" s="14"/>
      <c r="CO18" s="14"/>
      <c r="CP18" s="14"/>
      <c r="CQ18" s="14"/>
      <c r="CR18" s="14"/>
      <c r="CS18" s="14"/>
      <c r="CT18" s="14"/>
      <c r="CU18" s="14"/>
      <c r="CV18" s="14"/>
      <c r="CW18" s="27" t="str">
        <f t="shared" si="36"/>
        <v/>
      </c>
      <c r="CX18" s="27" t="str">
        <f t="shared" si="37"/>
        <v/>
      </c>
      <c r="CY18" s="27" t="str">
        <f t="shared" si="38"/>
        <v/>
      </c>
      <c r="CZ18" s="27" t="str">
        <f t="shared" si="39"/>
        <v/>
      </c>
      <c r="DA18" s="27" t="str">
        <f t="shared" si="40"/>
        <v/>
      </c>
      <c r="DB18" s="27" t="str">
        <f t="shared" si="41"/>
        <v/>
      </c>
      <c r="DC18" s="27" t="str">
        <f t="shared" si="42"/>
        <v/>
      </c>
      <c r="DD18" s="27" t="str">
        <f t="shared" si="43"/>
        <v/>
      </c>
      <c r="DE18" s="27" t="str">
        <f t="shared" si="44"/>
        <v/>
      </c>
      <c r="DF18" s="27" t="str">
        <f t="shared" si="45"/>
        <v/>
      </c>
      <c r="DG18" s="27" t="str">
        <f t="shared" si="46"/>
        <v/>
      </c>
      <c r="DH18" s="27" t="str">
        <f t="shared" si="47"/>
        <v/>
      </c>
      <c r="DI18" s="27" t="str">
        <f t="shared" si="48"/>
        <v/>
      </c>
      <c r="DJ18" s="27" t="str">
        <f t="shared" si="49"/>
        <v/>
      </c>
      <c r="DK18" s="27" t="str">
        <f t="shared" si="50"/>
        <v/>
      </c>
      <c r="DL18" s="15"/>
      <c r="DM18" s="15"/>
      <c r="DN18" s="15"/>
      <c r="DO18" s="15"/>
      <c r="DP18" s="15"/>
      <c r="DQ18" s="15"/>
      <c r="DR18" s="15"/>
      <c r="DS18" s="15"/>
      <c r="DT18" s="15"/>
      <c r="DU18" s="15"/>
      <c r="DV18" s="15"/>
      <c r="DW18" s="15"/>
      <c r="DX18" s="15"/>
      <c r="DY18" s="15"/>
      <c r="DZ18" s="15"/>
      <c r="EA18" s="15"/>
      <c r="EB18" s="15"/>
      <c r="EC18" s="15"/>
      <c r="ED18" s="15"/>
      <c r="EE18" s="15"/>
      <c r="EF18" s="10" t="str">
        <f t="shared" si="51"/>
        <v/>
      </c>
      <c r="EG18" s="10" t="str">
        <f t="shared" si="52"/>
        <v/>
      </c>
      <c r="EH18" s="10" t="str">
        <f t="shared" si="53"/>
        <v/>
      </c>
      <c r="EI18" s="10" t="str">
        <f t="shared" si="54"/>
        <v/>
      </c>
      <c r="EJ18" s="10" t="str">
        <f t="shared" si="55"/>
        <v/>
      </c>
      <c r="EK18" s="10" t="str">
        <f t="shared" si="56"/>
        <v/>
      </c>
      <c r="EL18" s="10" t="str">
        <f t="shared" si="57"/>
        <v/>
      </c>
      <c r="EM18" s="10" t="str">
        <f t="shared" si="58"/>
        <v/>
      </c>
      <c r="EN18" s="10" t="str">
        <f t="shared" si="59"/>
        <v/>
      </c>
      <c r="EO18" s="10" t="str">
        <f t="shared" si="60"/>
        <v/>
      </c>
      <c r="EP18" s="10" t="str">
        <f t="shared" si="61"/>
        <v/>
      </c>
      <c r="EQ18" s="10" t="str">
        <f t="shared" si="62"/>
        <v/>
      </c>
      <c r="ER18" s="10" t="str">
        <f t="shared" si="63"/>
        <v/>
      </c>
      <c r="ES18" s="10" t="str">
        <f t="shared" si="64"/>
        <v/>
      </c>
      <c r="ET18" s="10" t="str">
        <f t="shared" si="65"/>
        <v/>
      </c>
    </row>
    <row r="19" spans="1:150" x14ac:dyDescent="0.2">
      <c r="A19" s="3" t="str" cm="1">
        <f t="array" ref="A19">IF(AND(H19&lt;&gt;"",H19&lt;&gt;"No DD"),SUMPRODUCT((H$4:H$24&lt;&gt;"")*(H$4:H$24&lt;&gt;"No DD")*(E$4:E$24&gt;E19))+1,IF(H19="No DD",SUMPRODUCT((H$4:H$24="No DD")*(E$4:E$24&gt;E19))+1+SUMPRODUCT((H$4:H$24&lt;&gt;"")*(H$4:H$24&lt;&gt;"No DD")),""))</f>
        <v/>
      </c>
      <c r="B19" s="4" t="s">
        <v>44</v>
      </c>
      <c r="C19" s="3" t="s">
        <v>4</v>
      </c>
      <c r="D19" s="3">
        <v>2007</v>
      </c>
      <c r="E19" s="8">
        <f t="shared" si="0"/>
        <v>46.000004600004594</v>
      </c>
      <c r="F19" s="2" t="str">
        <f>IF(OR(AND(AO19&lt;&gt;"",AO19&gt;=AV$29,AN19&gt;=AV$26),AND(AU19&lt;&gt;"",AU19&gt;=AV$29,AT19&gt;=AV$26),AND(BS19&lt;&gt;"",BS19&gt;=BZ$29,BR19&gt;=BZ$26),AND(BY19&lt;&gt;"",BY19&gt;=BZ$29,BX19&gt;=BZ$26),AND(DB19&lt;&gt;"",DB19&gt;=DK$29,DA19&gt;=DK$26),AND(DJ19&lt;&gt;"",DJ19&gt;=DK$29,DI19&gt;=DK$26),AND(EK19&lt;&gt;"",EK19&gt;=ET$29,EJ19&gt;=ET$26),AND(ES19&lt;&gt;"",ES19&gt;=ET$29,ER19&gt;=ET$26)),"P","")</f>
        <v/>
      </c>
      <c r="G19" s="2" t="str">
        <f>IF(OR(AND(AO19&lt;&gt;"",AO19&gt;=AV$29),AND(AU19&lt;&gt;"",AU19&gt;=AV$29),AND(BS19&lt;&gt;"",BS19&gt;=BZ$29),AND(BY19&lt;&gt;"",BY19&gt;=BZ$29),AND(DB19&lt;&gt;"",DB19&gt;=DK$29),AND(DJ19&lt;&gt;"",DJ19&gt;=DK$29),AND(EK19&lt;&gt;"",EK19&gt;=ET$29),AND(ES19&lt;&gt;"",ES19&gt;=ET$29)),"P","")</f>
        <v/>
      </c>
      <c r="H19" s="26" t="str">
        <f>IF(AND(G19="P",F19=""),"No DD",IF(OR(AND(AK19&lt;&gt;"",AK19&gt;=AV$31,AJ19&gt;=AV$28),AND(AM19&lt;&gt;"",AM19&gt;=AV$31,AL19&gt;=AV$28),AND(AQ19&lt;&gt;"",AQ19&gt;=AV$31,AP19&gt;=AV$28),AND(AS19&lt;&gt;"",AS19&gt;=AV$31,AR19&gt;=AV$28),AND(BO19&lt;&gt;"",BO19&gt;=BZ$31,BN19&gt;=BZ$28),AND(BQ19&lt;&gt;"",BQ19&gt;=BZ$31,BP19&gt;=BZ$28),AND(BV19&lt;&gt;"",BV19&gt;=BZ$31,BU19&gt;=BZ$28),AND(BX19&lt;&gt;"",BX19&gt;=BZ$31,BW19&gt;=BZ$28),AND(CX19&lt;&gt;"",CX19&gt;=DK$31,CW19&gt;=DK$28),AND(CZ19&lt;&gt;"",CZ19&gt;=DK$31,CY19&gt;=DK$28),AND(DD19&lt;&gt;"",DD19&gt;=DK$31,DC19&gt;=DK$28),AND(DF19&lt;&gt;"",DF19&gt;=DK$31,DE19&gt;=DK$28),AND(DH19&lt;&gt;"",DH19&gt;=DK$31,DG19&gt;=DK$28),AND(EG19&lt;&gt;"",EG19&gt;=ET$31,EF19&gt;=ET$28),AND(EI19&lt;&gt;"",EI19&gt;=ET$31,EH19&gt;=ET$28),AND(EM19&lt;&gt;"",EM19&gt;=ET$31,EL19&gt;=ET$28),AND(EO19&lt;&gt;"",EO19&gt;=ET$31,EN19&gt;=ET$28),AND(EQ19&lt;&gt;"",EQ19&gt;=ET$31,EP19&gt;=ET$28)),"Performance",IF(I19="P","Worlds Team",IF(F19="P","National Team",""))))</f>
        <v/>
      </c>
      <c r="I19" s="2" t="str">
        <f>IF(OR(AND(AO19&lt;&gt;"",AO19&gt;=AV$30,AN19&gt;=AV$27),AND(AU19&lt;&gt;"",AU19&gt;=AV$30,AT19&gt;=AV$27),AND(BS19&lt;&gt;"",BS19&gt;=BZ$30,BR19&gt;=BZ$27),AND(BY19&lt;&gt;"",BY19&gt;=BZ$30,BX19&gt;=BZ$27),AND(DB19&lt;&gt;"",DB19&gt;=DK$30,DA19&gt;=DK$27),AND(DJ19&lt;&gt;"",DJ19&gt;=DK$30,DI19&gt;=DK$27),AND(EK19&lt;&gt;"",EK19&gt;=ET$30,EJ19&gt;=ET$27),AND(ES19&lt;&gt;"",ES19&gt;=ET$30,ER19&gt;=ET$27)),"P","")</f>
        <v/>
      </c>
      <c r="J19" s="7">
        <f t="shared" si="1"/>
        <v>46</v>
      </c>
      <c r="K19" s="7" t="str">
        <f t="shared" si="2"/>
        <v>2026 Elite Canada</v>
      </c>
      <c r="L19" s="7">
        <f>IF(J19=AO19,IF(COUNT(AQ19,AS19,BO19,BQ19,BU19,BW19)&gt;1,LARGE((AQ19,AS19,BO19,BQ19,BU19,BW19),1),0),IF(COUNT(AK19,AM19,AQ19,AS19,BU19,BW19)&gt;1,LARGE((AK19,AM19,AQ19,AS19,BU19,BW19),1),0))</f>
        <v>0</v>
      </c>
      <c r="M19" s="7" t="str">
        <f t="shared" si="3"/>
        <v/>
      </c>
      <c r="N19" s="7">
        <f>IF(J19=AO19,IF(COUNT(AQ19,AS19,BO19,BQ19,BU19,BW19)&gt;1,LARGE((AQ19,AS19,BO19,BQ19,BU19,BW19),2),0),IF(COUNT(AK19,AM19,AQ19,AS19,BU19,BW19)&gt;1,LARGE((AK19,AM19,AQ19,AS19,BU19,BW19),2),0))</f>
        <v>0</v>
      </c>
      <c r="O19" s="7" t="str">
        <f t="shared" si="4"/>
        <v/>
      </c>
      <c r="P19" s="7" t="str">
        <f t="shared" si="5"/>
        <v/>
      </c>
      <c r="Q19" s="10" t="str">
        <f t="shared" si="6"/>
        <v/>
      </c>
      <c r="R19" s="7" t="str">
        <f t="shared" si="7"/>
        <v/>
      </c>
      <c r="S19" s="38">
        <v>18.399999999999999</v>
      </c>
      <c r="T19" s="38">
        <v>6.8</v>
      </c>
      <c r="U19" s="38">
        <v>0.6</v>
      </c>
      <c r="V19" s="38">
        <v>0</v>
      </c>
      <c r="W19" s="38">
        <v>18.899999999999999</v>
      </c>
      <c r="X19" s="38">
        <v>4.0999999999999996</v>
      </c>
      <c r="Y19" s="38">
        <v>1.6</v>
      </c>
      <c r="Z19" s="38">
        <v>0</v>
      </c>
      <c r="AA19" s="38" t="s">
        <v>175</v>
      </c>
      <c r="AB19" s="38" t="s">
        <v>175</v>
      </c>
      <c r="AC19" s="38" t="s">
        <v>175</v>
      </c>
      <c r="AD19" s="38" t="s">
        <v>175</v>
      </c>
      <c r="AE19" s="38" t="s">
        <v>175</v>
      </c>
      <c r="AF19" s="38" t="s">
        <v>175</v>
      </c>
      <c r="AG19" s="38" t="s">
        <v>175</v>
      </c>
      <c r="AH19" s="38" t="s">
        <v>175</v>
      </c>
      <c r="AI19" s="19"/>
      <c r="AJ19" s="41">
        <f t="shared" si="8"/>
        <v>6.8</v>
      </c>
      <c r="AK19" s="41">
        <f t="shared" si="9"/>
        <v>24.599999999999998</v>
      </c>
      <c r="AL19" s="41">
        <f t="shared" si="10"/>
        <v>4.0999999999999996</v>
      </c>
      <c r="AM19" s="41">
        <f t="shared" si="11"/>
        <v>21.4</v>
      </c>
      <c r="AN19" s="27">
        <f t="shared" si="12"/>
        <v>10.899999999999999</v>
      </c>
      <c r="AO19" s="27">
        <f t="shared" si="13"/>
        <v>46</v>
      </c>
      <c r="AP19" s="27" t="str">
        <f t="shared" si="14"/>
        <v/>
      </c>
      <c r="AQ19" s="27" t="str">
        <f t="shared" si="15"/>
        <v/>
      </c>
      <c r="AR19" s="27" t="str">
        <f t="shared" si="16"/>
        <v/>
      </c>
      <c r="AS19" s="27" t="str">
        <f t="shared" si="17"/>
        <v/>
      </c>
      <c r="AT19" s="27" t="str">
        <f t="shared" si="18"/>
        <v/>
      </c>
      <c r="AU19" s="27" t="str">
        <f t="shared" si="19"/>
        <v/>
      </c>
      <c r="AV19" s="27">
        <f t="shared" si="20"/>
        <v>46</v>
      </c>
      <c r="AW19" s="15"/>
      <c r="AX19" s="15"/>
      <c r="AY19" s="15"/>
      <c r="AZ19" s="15"/>
      <c r="BA19" s="15"/>
      <c r="BB19" s="15"/>
      <c r="BC19" s="15"/>
      <c r="BD19" s="15"/>
      <c r="BE19" s="15"/>
      <c r="BF19" s="15"/>
      <c r="BG19" s="15"/>
      <c r="BH19" s="15"/>
      <c r="BI19" s="15"/>
      <c r="BJ19" s="15"/>
      <c r="BK19" s="15"/>
      <c r="BL19" s="15"/>
      <c r="BM19" s="20"/>
      <c r="BN19" s="42" t="str">
        <f t="shared" si="21"/>
        <v/>
      </c>
      <c r="BO19" s="42" t="str">
        <f t="shared" si="22"/>
        <v/>
      </c>
      <c r="BP19" s="42" t="str">
        <f t="shared" si="23"/>
        <v/>
      </c>
      <c r="BQ19" s="42" t="str">
        <f t="shared" si="24"/>
        <v/>
      </c>
      <c r="BR19" s="10" t="str">
        <f t="shared" si="25"/>
        <v/>
      </c>
      <c r="BS19" s="10" t="str">
        <f t="shared" si="26"/>
        <v/>
      </c>
      <c r="BT19" s="10" t="str">
        <f t="shared" si="27"/>
        <v/>
      </c>
      <c r="BU19" s="10" t="str">
        <f t="shared" si="28"/>
        <v/>
      </c>
      <c r="BV19" s="10" t="str">
        <f t="shared" si="29"/>
        <v/>
      </c>
      <c r="BW19" s="10" t="str">
        <f t="shared" si="30"/>
        <v/>
      </c>
      <c r="BX19" s="10" t="str">
        <f t="shared" si="31"/>
        <v/>
      </c>
      <c r="BY19" s="10" t="str">
        <f t="shared" si="32"/>
        <v/>
      </c>
      <c r="BZ19" s="10" t="str">
        <f t="shared" si="33"/>
        <v/>
      </c>
      <c r="CA19" s="34" t="str">
        <f t="shared" si="34"/>
        <v/>
      </c>
      <c r="CB19" s="34" t="str">
        <f t="shared" si="35"/>
        <v/>
      </c>
      <c r="CC19" s="14"/>
      <c r="CD19" s="14"/>
      <c r="CE19" s="14"/>
      <c r="CF19" s="14"/>
      <c r="CG19" s="14"/>
      <c r="CH19" s="14"/>
      <c r="CI19" s="14"/>
      <c r="CJ19" s="14"/>
      <c r="CK19" s="14"/>
      <c r="CL19" s="14"/>
      <c r="CM19" s="14"/>
      <c r="CN19" s="14"/>
      <c r="CO19" s="14"/>
      <c r="CP19" s="14"/>
      <c r="CQ19" s="14"/>
      <c r="CR19" s="14"/>
      <c r="CS19" s="14"/>
      <c r="CT19" s="14"/>
      <c r="CU19" s="14"/>
      <c r="CV19" s="14"/>
      <c r="CW19" s="27" t="str">
        <f t="shared" si="36"/>
        <v/>
      </c>
      <c r="CX19" s="27" t="str">
        <f t="shared" si="37"/>
        <v/>
      </c>
      <c r="CY19" s="27" t="str">
        <f t="shared" si="38"/>
        <v/>
      </c>
      <c r="CZ19" s="27" t="str">
        <f t="shared" si="39"/>
        <v/>
      </c>
      <c r="DA19" s="27" t="str">
        <f t="shared" si="40"/>
        <v/>
      </c>
      <c r="DB19" s="27" t="str">
        <f t="shared" si="41"/>
        <v/>
      </c>
      <c r="DC19" s="27" t="str">
        <f t="shared" si="42"/>
        <v/>
      </c>
      <c r="DD19" s="27" t="str">
        <f t="shared" si="43"/>
        <v/>
      </c>
      <c r="DE19" s="27" t="str">
        <f t="shared" si="44"/>
        <v/>
      </c>
      <c r="DF19" s="27" t="str">
        <f t="shared" si="45"/>
        <v/>
      </c>
      <c r="DG19" s="27" t="str">
        <f t="shared" si="46"/>
        <v/>
      </c>
      <c r="DH19" s="27" t="str">
        <f t="shared" si="47"/>
        <v/>
      </c>
      <c r="DI19" s="27" t="str">
        <f t="shared" si="48"/>
        <v/>
      </c>
      <c r="DJ19" s="27" t="str">
        <f t="shared" si="49"/>
        <v/>
      </c>
      <c r="DK19" s="27" t="str">
        <f t="shared" si="50"/>
        <v/>
      </c>
      <c r="DL19" s="15"/>
      <c r="DM19" s="15"/>
      <c r="DN19" s="15"/>
      <c r="DO19" s="15"/>
      <c r="DP19" s="15"/>
      <c r="DQ19" s="15"/>
      <c r="DR19" s="15"/>
      <c r="DS19" s="15"/>
      <c r="DT19" s="15"/>
      <c r="DU19" s="15"/>
      <c r="DV19" s="15"/>
      <c r="DW19" s="15"/>
      <c r="DX19" s="15"/>
      <c r="DY19" s="15"/>
      <c r="DZ19" s="15"/>
      <c r="EA19" s="15"/>
      <c r="EB19" s="15"/>
      <c r="EC19" s="15"/>
      <c r="ED19" s="15"/>
      <c r="EE19" s="15"/>
      <c r="EF19" s="10" t="str">
        <f t="shared" si="51"/>
        <v/>
      </c>
      <c r="EG19" s="10" t="str">
        <f t="shared" si="52"/>
        <v/>
      </c>
      <c r="EH19" s="10" t="str">
        <f t="shared" si="53"/>
        <v/>
      </c>
      <c r="EI19" s="10" t="str">
        <f t="shared" si="54"/>
        <v/>
      </c>
      <c r="EJ19" s="10" t="str">
        <f t="shared" si="55"/>
        <v/>
      </c>
      <c r="EK19" s="10" t="str">
        <f t="shared" si="56"/>
        <v/>
      </c>
      <c r="EL19" s="10" t="str">
        <f t="shared" si="57"/>
        <v/>
      </c>
      <c r="EM19" s="10" t="str">
        <f t="shared" si="58"/>
        <v/>
      </c>
      <c r="EN19" s="10" t="str">
        <f t="shared" si="59"/>
        <v/>
      </c>
      <c r="EO19" s="10" t="str">
        <f t="shared" si="60"/>
        <v/>
      </c>
      <c r="EP19" s="10" t="str">
        <f t="shared" si="61"/>
        <v/>
      </c>
      <c r="EQ19" s="10" t="str">
        <f t="shared" si="62"/>
        <v/>
      </c>
      <c r="ER19" s="10" t="str">
        <f t="shared" si="63"/>
        <v/>
      </c>
      <c r="ES19" s="10" t="str">
        <f t="shared" si="64"/>
        <v/>
      </c>
      <c r="ET19" s="10" t="str">
        <f t="shared" si="65"/>
        <v/>
      </c>
    </row>
    <row r="20" spans="1:150" x14ac:dyDescent="0.2">
      <c r="A20" s="3" t="str" cm="1">
        <f t="array" ref="A20">IF(AND(H20&lt;&gt;"",H20&lt;&gt;"No DD"),SUMPRODUCT((H$4:H$24&lt;&gt;"")*(H$4:H$24&lt;&gt;"No DD")*(E$4:E$24&gt;E20))+1,IF(H20="No DD",SUMPRODUCT((H$4:H$24="No DD")*(E$4:E$24&gt;E20))+1+SUMPRODUCT((H$4:H$24&lt;&gt;"")*(H$4:H$24&lt;&gt;"No DD")),""))</f>
        <v/>
      </c>
      <c r="B20" s="4" t="s">
        <v>149</v>
      </c>
      <c r="C20" s="3" t="s">
        <v>4</v>
      </c>
      <c r="D20" s="3">
        <v>2008</v>
      </c>
      <c r="E20" s="8">
        <f t="shared" si="0"/>
        <v>45.900004590004592</v>
      </c>
      <c r="F20" s="2" t="str">
        <f>IF(OR(AND(AO20&lt;&gt;"",AO20&gt;=AV$29,AN20&gt;=AV$26),AND(AU20&lt;&gt;"",AU20&gt;=AV$29,AT20&gt;=AV$26),AND(BS20&lt;&gt;"",BS20&gt;=BZ$29,BR20&gt;=BZ$26),AND(BY20&lt;&gt;"",BY20&gt;=BZ$29,BX20&gt;=BZ$26),AND(DB20&lt;&gt;"",DB20&gt;=DK$29,DA20&gt;=DK$26),AND(DJ20&lt;&gt;"",DJ20&gt;=DK$29,DI20&gt;=DK$26),AND(EK20&lt;&gt;"",EK20&gt;=ET$29,EJ20&gt;=ET$26),AND(ES20&lt;&gt;"",ES20&gt;=ET$29,ER20&gt;=ET$26)),"P","")</f>
        <v/>
      </c>
      <c r="G20" s="2" t="str">
        <f>IF(OR(AND(AO20&lt;&gt;"",AO20&gt;=AV$29),AND(AU20&lt;&gt;"",AU20&gt;=AV$29),AND(BS20&lt;&gt;"",BS20&gt;=BZ$29),AND(BY20&lt;&gt;"",BY20&gt;=BZ$29),AND(DB20&lt;&gt;"",DB20&gt;=DK$29),AND(DJ20&lt;&gt;"",DJ20&gt;=DK$29),AND(EK20&lt;&gt;"",EK20&gt;=ET$29),AND(ES20&lt;&gt;"",ES20&gt;=ET$29)),"P","")</f>
        <v/>
      </c>
      <c r="H20" s="26" t="str">
        <f>IF(AND(G20="P",F20=""),"No DD",IF(OR(AND(AK20&lt;&gt;"",AK20&gt;=AV$31,AJ20&gt;=AV$28),AND(AM20&lt;&gt;"",AM20&gt;=AV$31,AL20&gt;=AV$28),AND(AQ20&lt;&gt;"",AQ20&gt;=AV$31,AP20&gt;=AV$28),AND(AS20&lt;&gt;"",AS20&gt;=AV$31,AR20&gt;=AV$28),AND(BO20&lt;&gt;"",BO20&gt;=BZ$31,BN20&gt;=BZ$28),AND(BQ20&lt;&gt;"",BQ20&gt;=BZ$31,BP20&gt;=BZ$28),AND(BV20&lt;&gt;"",BV20&gt;=BZ$31,BU20&gt;=BZ$28),AND(BX20&lt;&gt;"",BX20&gt;=BZ$31,BW20&gt;=BZ$28),AND(CX20&lt;&gt;"",CX20&gt;=DK$31,CW20&gt;=DK$28),AND(CZ20&lt;&gt;"",CZ20&gt;=DK$31,CY20&gt;=DK$28),AND(DD20&lt;&gt;"",DD20&gt;=DK$31,DC20&gt;=DK$28),AND(DF20&lt;&gt;"",DF20&gt;=DK$31,DE20&gt;=DK$28),AND(DH20&lt;&gt;"",DH20&gt;=DK$31,DG20&gt;=DK$28),AND(EG20&lt;&gt;"",EG20&gt;=ET$31,EF20&gt;=ET$28),AND(EI20&lt;&gt;"",EI20&gt;=ET$31,EH20&gt;=ET$28),AND(EM20&lt;&gt;"",EM20&gt;=ET$31,EL20&gt;=ET$28),AND(EO20&lt;&gt;"",EO20&gt;=ET$31,EN20&gt;=ET$28),AND(EQ20&lt;&gt;"",EQ20&gt;=ET$31,EP20&gt;=ET$28)),"Performance",IF(I20="P","Worlds Team",IF(F20="P","National Team",""))))</f>
        <v/>
      </c>
      <c r="I20" s="2" t="str">
        <f>IF(OR(AND(AO20&lt;&gt;"",AO20&gt;=AV$30,AN20&gt;=AV$27),AND(AU20&lt;&gt;"",AU20&gt;=AV$30,AT20&gt;=AV$27),AND(BS20&lt;&gt;"",BS20&gt;=BZ$30,BR20&gt;=BZ$27),AND(BY20&lt;&gt;"",BY20&gt;=BZ$30,BX20&gt;=BZ$27),AND(DB20&lt;&gt;"",DB20&gt;=DK$30,DA20&gt;=DK$27),AND(DJ20&lt;&gt;"",DJ20&gt;=DK$30,DI20&gt;=DK$27),AND(EK20&lt;&gt;"",EK20&gt;=ET$30,EJ20&gt;=ET$27),AND(ES20&lt;&gt;"",ES20&gt;=ET$30,ER20&gt;=ET$27)),"P","")</f>
        <v/>
      </c>
      <c r="J20" s="7">
        <f t="shared" si="1"/>
        <v>45.9</v>
      </c>
      <c r="K20" s="7" t="str">
        <f t="shared" si="2"/>
        <v>2026 Elite Canada</v>
      </c>
      <c r="L20" s="7">
        <f>IF(J20=AO20,IF(COUNT(AQ20,AS20,BO20,BQ20,BU20,BW20)&gt;1,LARGE((AQ20,AS20,BO20,BQ20,BU20,BW20),1),0),IF(COUNT(AK20,AM20,AQ20,AS20,BU20,BW20)&gt;1,LARGE((AK20,AM20,AQ20,AS20,BU20,BW20),1),0))</f>
        <v>0</v>
      </c>
      <c r="M20" s="7" t="str">
        <f t="shared" si="3"/>
        <v/>
      </c>
      <c r="N20" s="7">
        <f>IF(J20=AO20,IF(COUNT(AQ20,AS20,BO20,BQ20,BU20,BW20)&gt;1,LARGE((AQ20,AS20,BO20,BQ20,BU20,BW20),2),0),IF(COUNT(AK20,AM20,AQ20,AS20,BU20,BW20)&gt;1,LARGE((AK20,AM20,AQ20,AS20,BU20,BW20),2),0))</f>
        <v>0</v>
      </c>
      <c r="O20" s="7" t="str">
        <f t="shared" si="4"/>
        <v/>
      </c>
      <c r="P20" s="7" t="str">
        <f t="shared" si="5"/>
        <v/>
      </c>
      <c r="Q20" s="10" t="str">
        <f t="shared" si="6"/>
        <v/>
      </c>
      <c r="R20" s="7" t="str">
        <f t="shared" si="7"/>
        <v/>
      </c>
      <c r="S20" s="38">
        <v>18.100000000000001</v>
      </c>
      <c r="T20" s="38">
        <v>7.2</v>
      </c>
      <c r="U20" s="38">
        <v>0.8</v>
      </c>
      <c r="V20" s="38">
        <v>0</v>
      </c>
      <c r="W20" s="38">
        <v>17.8</v>
      </c>
      <c r="X20" s="38">
        <v>5.2</v>
      </c>
      <c r="Y20" s="38">
        <v>1.6</v>
      </c>
      <c r="Z20" s="38">
        <v>0</v>
      </c>
      <c r="AA20" s="38" t="s">
        <v>175</v>
      </c>
      <c r="AB20" s="38" t="s">
        <v>175</v>
      </c>
      <c r="AC20" s="38" t="s">
        <v>175</v>
      </c>
      <c r="AD20" s="38" t="s">
        <v>175</v>
      </c>
      <c r="AE20" s="38" t="s">
        <v>175</v>
      </c>
      <c r="AF20" s="38" t="s">
        <v>175</v>
      </c>
      <c r="AG20" s="38" t="s">
        <v>175</v>
      </c>
      <c r="AH20" s="38" t="s">
        <v>175</v>
      </c>
      <c r="AI20" s="19"/>
      <c r="AJ20" s="41">
        <f t="shared" si="8"/>
        <v>7.2</v>
      </c>
      <c r="AK20" s="41">
        <f t="shared" si="9"/>
        <v>24.5</v>
      </c>
      <c r="AL20" s="41">
        <f t="shared" si="10"/>
        <v>5.2</v>
      </c>
      <c r="AM20" s="41">
        <f t="shared" si="11"/>
        <v>21.4</v>
      </c>
      <c r="AN20" s="27">
        <f t="shared" si="12"/>
        <v>12.4</v>
      </c>
      <c r="AO20" s="27">
        <f t="shared" si="13"/>
        <v>45.9</v>
      </c>
      <c r="AP20" s="27" t="str">
        <f t="shared" si="14"/>
        <v/>
      </c>
      <c r="AQ20" s="27" t="str">
        <f t="shared" si="15"/>
        <v/>
      </c>
      <c r="AR20" s="27" t="str">
        <f t="shared" si="16"/>
        <v/>
      </c>
      <c r="AS20" s="27" t="str">
        <f t="shared" si="17"/>
        <v/>
      </c>
      <c r="AT20" s="27" t="str">
        <f t="shared" si="18"/>
        <v/>
      </c>
      <c r="AU20" s="27" t="str">
        <f t="shared" si="19"/>
        <v/>
      </c>
      <c r="AV20" s="27">
        <f t="shared" si="20"/>
        <v>45.9</v>
      </c>
      <c r="AW20" s="15"/>
      <c r="AX20" s="15"/>
      <c r="AY20" s="15"/>
      <c r="AZ20" s="15"/>
      <c r="BA20" s="15"/>
      <c r="BB20" s="15"/>
      <c r="BC20" s="15"/>
      <c r="BD20" s="15"/>
      <c r="BE20" s="15"/>
      <c r="BF20" s="15"/>
      <c r="BG20" s="15"/>
      <c r="BH20" s="15"/>
      <c r="BI20" s="15"/>
      <c r="BJ20" s="15"/>
      <c r="BK20" s="15"/>
      <c r="BL20" s="15"/>
      <c r="BM20" s="20"/>
      <c r="BN20" s="42" t="str">
        <f t="shared" si="21"/>
        <v/>
      </c>
      <c r="BO20" s="42" t="str">
        <f t="shared" si="22"/>
        <v/>
      </c>
      <c r="BP20" s="42" t="str">
        <f t="shared" si="23"/>
        <v/>
      </c>
      <c r="BQ20" s="42" t="str">
        <f t="shared" si="24"/>
        <v/>
      </c>
      <c r="BR20" s="10" t="str">
        <f t="shared" si="25"/>
        <v/>
      </c>
      <c r="BS20" s="10" t="str">
        <f t="shared" si="26"/>
        <v/>
      </c>
      <c r="BT20" s="10" t="str">
        <f t="shared" si="27"/>
        <v/>
      </c>
      <c r="BU20" s="10" t="str">
        <f t="shared" si="28"/>
        <v/>
      </c>
      <c r="BV20" s="10" t="str">
        <f t="shared" si="29"/>
        <v/>
      </c>
      <c r="BW20" s="10" t="str">
        <f t="shared" si="30"/>
        <v/>
      </c>
      <c r="BX20" s="10" t="str">
        <f t="shared" si="31"/>
        <v/>
      </c>
      <c r="BY20" s="10" t="str">
        <f t="shared" si="32"/>
        <v/>
      </c>
      <c r="BZ20" s="10" t="str">
        <f t="shared" si="33"/>
        <v/>
      </c>
      <c r="CA20" s="34" t="str">
        <f t="shared" si="34"/>
        <v/>
      </c>
      <c r="CB20" s="34" t="str">
        <f t="shared" si="35"/>
        <v/>
      </c>
      <c r="CC20" s="14"/>
      <c r="CD20" s="14"/>
      <c r="CE20" s="14"/>
      <c r="CF20" s="14"/>
      <c r="CG20" s="14"/>
      <c r="CH20" s="14"/>
      <c r="CI20" s="14"/>
      <c r="CJ20" s="14"/>
      <c r="CK20" s="14"/>
      <c r="CL20" s="14"/>
      <c r="CM20" s="14"/>
      <c r="CN20" s="14"/>
      <c r="CO20" s="14"/>
      <c r="CP20" s="14"/>
      <c r="CQ20" s="14"/>
      <c r="CR20" s="14"/>
      <c r="CS20" s="14"/>
      <c r="CT20" s="14"/>
      <c r="CU20" s="14"/>
      <c r="CV20" s="14"/>
      <c r="CW20" s="27" t="str">
        <f t="shared" si="36"/>
        <v/>
      </c>
      <c r="CX20" s="27" t="str">
        <f t="shared" si="37"/>
        <v/>
      </c>
      <c r="CY20" s="27" t="str">
        <f t="shared" si="38"/>
        <v/>
      </c>
      <c r="CZ20" s="27" t="str">
        <f t="shared" si="39"/>
        <v/>
      </c>
      <c r="DA20" s="27" t="str">
        <f t="shared" si="40"/>
        <v/>
      </c>
      <c r="DB20" s="27" t="str">
        <f t="shared" si="41"/>
        <v/>
      </c>
      <c r="DC20" s="27" t="str">
        <f t="shared" si="42"/>
        <v/>
      </c>
      <c r="DD20" s="27" t="str">
        <f t="shared" si="43"/>
        <v/>
      </c>
      <c r="DE20" s="27" t="str">
        <f t="shared" si="44"/>
        <v/>
      </c>
      <c r="DF20" s="27" t="str">
        <f t="shared" si="45"/>
        <v/>
      </c>
      <c r="DG20" s="27" t="str">
        <f t="shared" si="46"/>
        <v/>
      </c>
      <c r="DH20" s="27" t="str">
        <f t="shared" si="47"/>
        <v/>
      </c>
      <c r="DI20" s="27" t="str">
        <f t="shared" si="48"/>
        <v/>
      </c>
      <c r="DJ20" s="27" t="str">
        <f t="shared" si="49"/>
        <v/>
      </c>
      <c r="DK20" s="27" t="str">
        <f t="shared" si="50"/>
        <v/>
      </c>
      <c r="DL20" s="15"/>
      <c r="DM20" s="15"/>
      <c r="DN20" s="15"/>
      <c r="DO20" s="15"/>
      <c r="DP20" s="15"/>
      <c r="DQ20" s="15"/>
      <c r="DR20" s="15"/>
      <c r="DS20" s="15"/>
      <c r="DT20" s="15"/>
      <c r="DU20" s="15"/>
      <c r="DV20" s="15"/>
      <c r="DW20" s="15"/>
      <c r="DX20" s="15"/>
      <c r="DY20" s="15"/>
      <c r="DZ20" s="15"/>
      <c r="EA20" s="15"/>
      <c r="EB20" s="15"/>
      <c r="EC20" s="15"/>
      <c r="ED20" s="15"/>
      <c r="EE20" s="15"/>
      <c r="EF20" s="10" t="str">
        <f t="shared" si="51"/>
        <v/>
      </c>
      <c r="EG20" s="10" t="str">
        <f t="shared" si="52"/>
        <v/>
      </c>
      <c r="EH20" s="10" t="str">
        <f t="shared" si="53"/>
        <v/>
      </c>
      <c r="EI20" s="10" t="str">
        <f t="shared" si="54"/>
        <v/>
      </c>
      <c r="EJ20" s="10" t="str">
        <f t="shared" si="55"/>
        <v/>
      </c>
      <c r="EK20" s="10" t="str">
        <f t="shared" si="56"/>
        <v/>
      </c>
      <c r="EL20" s="10" t="str">
        <f t="shared" si="57"/>
        <v/>
      </c>
      <c r="EM20" s="10" t="str">
        <f t="shared" si="58"/>
        <v/>
      </c>
      <c r="EN20" s="10" t="str">
        <f t="shared" si="59"/>
        <v/>
      </c>
      <c r="EO20" s="10" t="str">
        <f t="shared" si="60"/>
        <v/>
      </c>
      <c r="EP20" s="10" t="str">
        <f t="shared" si="61"/>
        <v/>
      </c>
      <c r="EQ20" s="10" t="str">
        <f t="shared" si="62"/>
        <v/>
      </c>
      <c r="ER20" s="10" t="str">
        <f t="shared" si="63"/>
        <v/>
      </c>
      <c r="ES20" s="10" t="str">
        <f t="shared" si="64"/>
        <v/>
      </c>
      <c r="ET20" s="10" t="str">
        <f t="shared" si="65"/>
        <v/>
      </c>
    </row>
    <row r="21" spans="1:150" x14ac:dyDescent="0.2">
      <c r="A21" s="3" t="str" cm="1">
        <f t="array" ref="A21">IF(AND(H21&lt;&gt;"",H21&lt;&gt;"No DD"),SUMPRODUCT((H$4:H$24&lt;&gt;"")*(H$4:H$24&lt;&gt;"No DD")*(E$4:E$24&gt;E21))+1,IF(H21="No DD",SUMPRODUCT((H$4:H$24="No DD")*(E$4:E$24&gt;E21))+1+SUMPRODUCT((H$4:H$24&lt;&gt;"")*(H$4:H$24&lt;&gt;"No DD")),""))</f>
        <v/>
      </c>
      <c r="B21" s="4" t="s">
        <v>68</v>
      </c>
      <c r="C21" s="3" t="s">
        <v>69</v>
      </c>
      <c r="D21" s="3">
        <v>2007</v>
      </c>
      <c r="E21" s="8">
        <f t="shared" si="0"/>
        <v>44.100004410004409</v>
      </c>
      <c r="F21" s="2" t="str">
        <f>IF(OR(AND(AO21&lt;&gt;"",AO21&gt;=AV$29,AN21&gt;=AV$26),AND(AU21&lt;&gt;"",AU21&gt;=AV$29,AT21&gt;=AV$26),AND(BS21&lt;&gt;"",BS21&gt;=BZ$29,BR21&gt;=BZ$26),AND(BY21&lt;&gt;"",BY21&gt;=BZ$29,BX21&gt;=BZ$26),AND(DB21&lt;&gt;"",DB21&gt;=DK$29,DA21&gt;=DK$26),AND(DJ21&lt;&gt;"",DJ21&gt;=DK$29,DI21&gt;=DK$26),AND(EK21&lt;&gt;"",EK21&gt;=ET$29,EJ21&gt;=ET$26),AND(ES21&lt;&gt;"",ES21&gt;=ET$29,ER21&gt;=ET$26)),"P","")</f>
        <v/>
      </c>
      <c r="G21" s="2" t="str">
        <f>IF(OR(AND(AO21&lt;&gt;"",AO21&gt;=AV$29),AND(AU21&lt;&gt;"",AU21&gt;=AV$29),AND(BS21&lt;&gt;"",BS21&gt;=BZ$29),AND(BY21&lt;&gt;"",BY21&gt;=BZ$29),AND(DB21&lt;&gt;"",DB21&gt;=DK$29),AND(DJ21&lt;&gt;"",DJ21&gt;=DK$29),AND(EK21&lt;&gt;"",EK21&gt;=ET$29),AND(ES21&lt;&gt;"",ES21&gt;=ET$29)),"P","")</f>
        <v/>
      </c>
      <c r="H21" s="26" t="str">
        <f>IF(AND(G21="P",F21=""),"No DD",IF(OR(AND(AK21&lt;&gt;"",AK21&gt;=AV$31,AJ21&gt;=AV$28),AND(AM21&lt;&gt;"",AM21&gt;=AV$31,AL21&gt;=AV$28),AND(AQ21&lt;&gt;"",AQ21&gt;=AV$31,AP21&gt;=AV$28),AND(AS21&lt;&gt;"",AS21&gt;=AV$31,AR21&gt;=AV$28),AND(BO21&lt;&gt;"",BO21&gt;=BZ$31,BN21&gt;=BZ$28),AND(BQ21&lt;&gt;"",BQ21&gt;=BZ$31,BP21&gt;=BZ$28),AND(BV21&lt;&gt;"",BV21&gt;=BZ$31,BU21&gt;=BZ$28),AND(BX21&lt;&gt;"",BX21&gt;=BZ$31,BW21&gt;=BZ$28),AND(CX21&lt;&gt;"",CX21&gt;=DK$31,CW21&gt;=DK$28),AND(CZ21&lt;&gt;"",CZ21&gt;=DK$31,CY21&gt;=DK$28),AND(DD21&lt;&gt;"",DD21&gt;=DK$31,DC21&gt;=DK$28),AND(DF21&lt;&gt;"",DF21&gt;=DK$31,DE21&gt;=DK$28),AND(DH21&lt;&gt;"",DH21&gt;=DK$31,DG21&gt;=DK$28),AND(EG21&lt;&gt;"",EG21&gt;=ET$31,EF21&gt;=ET$28),AND(EI21&lt;&gt;"",EI21&gt;=ET$31,EH21&gt;=ET$28),AND(EM21&lt;&gt;"",EM21&gt;=ET$31,EL21&gt;=ET$28),AND(EO21&lt;&gt;"",EO21&gt;=ET$31,EN21&gt;=ET$28),AND(EQ21&lt;&gt;"",EQ21&gt;=ET$31,EP21&gt;=ET$28)),"Performance",IF(I21="P","Worlds Team",IF(F21="P","National Team",""))))</f>
        <v/>
      </c>
      <c r="I21" s="2" t="str">
        <f>IF(OR(AND(AO21&lt;&gt;"",AO21&gt;=AV$30,AN21&gt;=AV$27),AND(AU21&lt;&gt;"",AU21&gt;=AV$30,AT21&gt;=AV$27),AND(BS21&lt;&gt;"",BS21&gt;=BZ$30,BR21&gt;=BZ$27),AND(BY21&lt;&gt;"",BY21&gt;=BZ$30,BX21&gt;=BZ$27),AND(DB21&lt;&gt;"",DB21&gt;=DK$30,DA21&gt;=DK$27),AND(DJ21&lt;&gt;"",DJ21&gt;=DK$30,DI21&gt;=DK$27),AND(EK21&lt;&gt;"",EK21&gt;=ET$30,EJ21&gt;=ET$27),AND(ES21&lt;&gt;"",ES21&gt;=ET$30,ER21&gt;=ET$27)),"P","")</f>
        <v/>
      </c>
      <c r="J21" s="7">
        <f t="shared" si="1"/>
        <v>44.099999999999994</v>
      </c>
      <c r="K21" s="7" t="str">
        <f t="shared" si="2"/>
        <v>2026 Elite Canada</v>
      </c>
      <c r="L21" s="7">
        <f>IF(J21=AO21,IF(COUNT(AQ21,AS21,BO21,BQ21,BU21,BW21)&gt;1,LARGE((AQ21,AS21,BO21,BQ21,BU21,BW21),1),0),IF(COUNT(AK21,AM21,AQ21,AS21,BU21,BW21)&gt;1,LARGE((AK21,AM21,AQ21,AS21,BU21,BW21),1),0))</f>
        <v>0</v>
      </c>
      <c r="M21" s="7" t="str">
        <f t="shared" si="3"/>
        <v/>
      </c>
      <c r="N21" s="7">
        <f>IF(J21=AO21,IF(COUNT(AQ21,AS21,BO21,BQ21,BU21,BW21)&gt;1,LARGE((AQ21,AS21,BO21,BQ21,BU21,BW21),2),0),IF(COUNT(AK21,AM21,AQ21,AS21,BU21,BW21)&gt;1,LARGE((AK21,AM21,AQ21,AS21,BU21,BW21),2),0))</f>
        <v>0</v>
      </c>
      <c r="O21" s="7" t="str">
        <f t="shared" si="4"/>
        <v/>
      </c>
      <c r="P21" s="7" t="str">
        <f t="shared" si="5"/>
        <v/>
      </c>
      <c r="Q21" s="10" t="str">
        <f t="shared" si="6"/>
        <v/>
      </c>
      <c r="R21" s="7" t="str">
        <f t="shared" si="7"/>
        <v/>
      </c>
      <c r="S21" s="38">
        <v>15.3</v>
      </c>
      <c r="T21" s="38">
        <v>3.2</v>
      </c>
      <c r="U21" s="38">
        <v>0</v>
      </c>
      <c r="V21" s="38">
        <v>0</v>
      </c>
      <c r="W21" s="38">
        <v>18.399999999999999</v>
      </c>
      <c r="X21" s="38">
        <v>7.2</v>
      </c>
      <c r="Y21" s="38">
        <v>0</v>
      </c>
      <c r="Z21" s="38">
        <v>0</v>
      </c>
      <c r="AA21" s="38" t="s">
        <v>175</v>
      </c>
      <c r="AB21" s="38" t="s">
        <v>175</v>
      </c>
      <c r="AC21" s="38" t="s">
        <v>175</v>
      </c>
      <c r="AD21" s="38" t="s">
        <v>175</v>
      </c>
      <c r="AE21" s="38" t="s">
        <v>175</v>
      </c>
      <c r="AF21" s="38" t="s">
        <v>175</v>
      </c>
      <c r="AG21" s="38" t="s">
        <v>175</v>
      </c>
      <c r="AH21" s="38" t="s">
        <v>175</v>
      </c>
      <c r="AI21" s="19"/>
      <c r="AJ21" s="41">
        <f t="shared" si="8"/>
        <v>3.2</v>
      </c>
      <c r="AK21" s="41">
        <f t="shared" si="9"/>
        <v>18.5</v>
      </c>
      <c r="AL21" s="41">
        <f t="shared" si="10"/>
        <v>7.2</v>
      </c>
      <c r="AM21" s="41">
        <f t="shared" si="11"/>
        <v>25.599999999999998</v>
      </c>
      <c r="AN21" s="27">
        <f t="shared" si="12"/>
        <v>10.4</v>
      </c>
      <c r="AO21" s="27">
        <f t="shared" si="13"/>
        <v>44.099999999999994</v>
      </c>
      <c r="AP21" s="27" t="str">
        <f t="shared" si="14"/>
        <v/>
      </c>
      <c r="AQ21" s="27" t="str">
        <f t="shared" si="15"/>
        <v/>
      </c>
      <c r="AR21" s="27" t="str">
        <f t="shared" si="16"/>
        <v/>
      </c>
      <c r="AS21" s="27" t="str">
        <f t="shared" si="17"/>
        <v/>
      </c>
      <c r="AT21" s="27" t="str">
        <f t="shared" si="18"/>
        <v/>
      </c>
      <c r="AU21" s="27" t="str">
        <f t="shared" si="19"/>
        <v/>
      </c>
      <c r="AV21" s="27">
        <f t="shared" si="20"/>
        <v>44.099999999999994</v>
      </c>
      <c r="AW21" s="15"/>
      <c r="AX21" s="15"/>
      <c r="AY21" s="15"/>
      <c r="AZ21" s="15"/>
      <c r="BA21" s="15"/>
      <c r="BB21" s="15"/>
      <c r="BC21" s="15"/>
      <c r="BD21" s="15"/>
      <c r="BE21" s="15"/>
      <c r="BF21" s="15"/>
      <c r="BG21" s="15"/>
      <c r="BH21" s="15"/>
      <c r="BI21" s="15"/>
      <c r="BJ21" s="15"/>
      <c r="BK21" s="15"/>
      <c r="BL21" s="15"/>
      <c r="BM21" s="20"/>
      <c r="BN21" s="42" t="str">
        <f t="shared" si="21"/>
        <v/>
      </c>
      <c r="BO21" s="42" t="str">
        <f t="shared" si="22"/>
        <v/>
      </c>
      <c r="BP21" s="42" t="str">
        <f t="shared" si="23"/>
        <v/>
      </c>
      <c r="BQ21" s="42" t="str">
        <f t="shared" si="24"/>
        <v/>
      </c>
      <c r="BR21" s="10" t="str">
        <f t="shared" si="25"/>
        <v/>
      </c>
      <c r="BS21" s="10" t="str">
        <f t="shared" si="26"/>
        <v/>
      </c>
      <c r="BT21" s="10" t="str">
        <f t="shared" si="27"/>
        <v/>
      </c>
      <c r="BU21" s="10" t="str">
        <f t="shared" si="28"/>
        <v/>
      </c>
      <c r="BV21" s="10" t="str">
        <f t="shared" si="29"/>
        <v/>
      </c>
      <c r="BW21" s="10" t="str">
        <f t="shared" si="30"/>
        <v/>
      </c>
      <c r="BX21" s="10" t="str">
        <f t="shared" si="31"/>
        <v/>
      </c>
      <c r="BY21" s="10" t="str">
        <f t="shared" si="32"/>
        <v/>
      </c>
      <c r="BZ21" s="10" t="str">
        <f t="shared" si="33"/>
        <v/>
      </c>
      <c r="CA21" s="34" t="str">
        <f t="shared" si="34"/>
        <v/>
      </c>
      <c r="CB21" s="34" t="str">
        <f t="shared" si="35"/>
        <v/>
      </c>
      <c r="CC21" s="14"/>
      <c r="CD21" s="14"/>
      <c r="CE21" s="14"/>
      <c r="CF21" s="14"/>
      <c r="CG21" s="14"/>
      <c r="CH21" s="14"/>
      <c r="CI21" s="14"/>
      <c r="CJ21" s="14"/>
      <c r="CK21" s="14"/>
      <c r="CL21" s="14"/>
      <c r="CM21" s="14"/>
      <c r="CN21" s="14"/>
      <c r="CO21" s="14"/>
      <c r="CP21" s="14"/>
      <c r="CQ21" s="14"/>
      <c r="CR21" s="14"/>
      <c r="CS21" s="14"/>
      <c r="CT21" s="14"/>
      <c r="CU21" s="14"/>
      <c r="CV21" s="14"/>
      <c r="CW21" s="27" t="str">
        <f t="shared" si="36"/>
        <v/>
      </c>
      <c r="CX21" s="27" t="str">
        <f t="shared" si="37"/>
        <v/>
      </c>
      <c r="CY21" s="27" t="str">
        <f t="shared" si="38"/>
        <v/>
      </c>
      <c r="CZ21" s="27" t="str">
        <f t="shared" si="39"/>
        <v/>
      </c>
      <c r="DA21" s="27" t="str">
        <f t="shared" si="40"/>
        <v/>
      </c>
      <c r="DB21" s="27" t="str">
        <f t="shared" si="41"/>
        <v/>
      </c>
      <c r="DC21" s="27" t="str">
        <f t="shared" si="42"/>
        <v/>
      </c>
      <c r="DD21" s="27" t="str">
        <f t="shared" si="43"/>
        <v/>
      </c>
      <c r="DE21" s="27" t="str">
        <f t="shared" si="44"/>
        <v/>
      </c>
      <c r="DF21" s="27" t="str">
        <f t="shared" si="45"/>
        <v/>
      </c>
      <c r="DG21" s="27" t="str">
        <f t="shared" si="46"/>
        <v/>
      </c>
      <c r="DH21" s="27" t="str">
        <f t="shared" si="47"/>
        <v/>
      </c>
      <c r="DI21" s="27" t="str">
        <f t="shared" si="48"/>
        <v/>
      </c>
      <c r="DJ21" s="27" t="str">
        <f t="shared" si="49"/>
        <v/>
      </c>
      <c r="DK21" s="27" t="str">
        <f t="shared" si="50"/>
        <v/>
      </c>
      <c r="DL21" s="15"/>
      <c r="DM21" s="15"/>
      <c r="DN21" s="15"/>
      <c r="DO21" s="15"/>
      <c r="DP21" s="15"/>
      <c r="DQ21" s="15"/>
      <c r="DR21" s="15"/>
      <c r="DS21" s="15"/>
      <c r="DT21" s="15"/>
      <c r="DU21" s="15"/>
      <c r="DV21" s="15"/>
      <c r="DW21" s="15"/>
      <c r="DX21" s="15"/>
      <c r="DY21" s="15"/>
      <c r="DZ21" s="15"/>
      <c r="EA21" s="15"/>
      <c r="EB21" s="15"/>
      <c r="EC21" s="15"/>
      <c r="ED21" s="15"/>
      <c r="EE21" s="15"/>
      <c r="EF21" s="10" t="str">
        <f t="shared" si="51"/>
        <v/>
      </c>
      <c r="EG21" s="10" t="str">
        <f t="shared" si="52"/>
        <v/>
      </c>
      <c r="EH21" s="10" t="str">
        <f t="shared" si="53"/>
        <v/>
      </c>
      <c r="EI21" s="10" t="str">
        <f t="shared" si="54"/>
        <v/>
      </c>
      <c r="EJ21" s="10" t="str">
        <f t="shared" si="55"/>
        <v/>
      </c>
      <c r="EK21" s="10" t="str">
        <f t="shared" si="56"/>
        <v/>
      </c>
      <c r="EL21" s="10" t="str">
        <f t="shared" si="57"/>
        <v/>
      </c>
      <c r="EM21" s="10" t="str">
        <f t="shared" si="58"/>
        <v/>
      </c>
      <c r="EN21" s="10" t="str">
        <f t="shared" si="59"/>
        <v/>
      </c>
      <c r="EO21" s="10" t="str">
        <f t="shared" si="60"/>
        <v/>
      </c>
      <c r="EP21" s="10" t="str">
        <f t="shared" si="61"/>
        <v/>
      </c>
      <c r="EQ21" s="10" t="str">
        <f t="shared" si="62"/>
        <v/>
      </c>
      <c r="ER21" s="10" t="str">
        <f t="shared" si="63"/>
        <v/>
      </c>
      <c r="ES21" s="10" t="str">
        <f t="shared" si="64"/>
        <v/>
      </c>
      <c r="ET21" s="10" t="str">
        <f t="shared" si="65"/>
        <v/>
      </c>
    </row>
    <row r="22" spans="1:150" x14ac:dyDescent="0.2">
      <c r="A22" s="3" t="str" cm="1">
        <f t="array" ref="A22">IF(AND(H22&lt;&gt;"",H22&lt;&gt;"No DD"),SUMPRODUCT((H$4:H$24&lt;&gt;"")*(H$4:H$24&lt;&gt;"No DD")*(E$4:E$24&gt;E22))+1,IF(H22="No DD",SUMPRODUCT((H$4:H$24="No DD")*(E$4:E$24&gt;E22))+1+SUMPRODUCT((H$4:H$24&lt;&gt;"")*(H$4:H$24&lt;&gt;"No DD")),""))</f>
        <v/>
      </c>
      <c r="B22" s="4" t="s">
        <v>150</v>
      </c>
      <c r="C22" s="3" t="s">
        <v>5</v>
      </c>
      <c r="D22" s="3">
        <v>1998</v>
      </c>
      <c r="E22" s="8">
        <f t="shared" si="0"/>
        <v>26.90000269000269</v>
      </c>
      <c r="F22" s="2" t="str">
        <f>IF(OR(AND(AO22&lt;&gt;"",AO22&gt;=AV$29,AN22&gt;=AV$26),AND(AU22&lt;&gt;"",AU22&gt;=AV$29,AT22&gt;=AV$26),AND(BS22&lt;&gt;"",BS22&gt;=BZ$29,BR22&gt;=BZ$26),AND(BY22&lt;&gt;"",BY22&gt;=BZ$29,BX22&gt;=BZ$26),AND(DB22&lt;&gt;"",DB22&gt;=DK$29,DA22&gt;=DK$26),AND(DJ22&lt;&gt;"",DJ22&gt;=DK$29,DI22&gt;=DK$26),AND(EK22&lt;&gt;"",EK22&gt;=ET$29,EJ22&gt;=ET$26),AND(ES22&lt;&gt;"",ES22&gt;=ET$29,ER22&gt;=ET$26)),"P","")</f>
        <v/>
      </c>
      <c r="G22" s="2" t="str">
        <f>IF(OR(AND(AO22&lt;&gt;"",AO22&gt;=AV$29),AND(AU22&lt;&gt;"",AU22&gt;=AV$29),AND(BS22&lt;&gt;"",BS22&gt;=BZ$29),AND(BY22&lt;&gt;"",BY22&gt;=BZ$29),AND(DB22&lt;&gt;"",DB22&gt;=DK$29),AND(DJ22&lt;&gt;"",DJ22&gt;=DK$29),AND(EK22&lt;&gt;"",EK22&gt;=ET$29),AND(ES22&lt;&gt;"",ES22&gt;=ET$29)),"P","")</f>
        <v/>
      </c>
      <c r="H22" s="26" t="str">
        <f>IF(AND(G22="P",F22=""),"No DD",IF(OR(AND(AK22&lt;&gt;"",AK22&gt;=AV$31,AJ22&gt;=AV$28),AND(AM22&lt;&gt;"",AM22&gt;=AV$31,AL22&gt;=AV$28),AND(AQ22&lt;&gt;"",AQ22&gt;=AV$31,AP22&gt;=AV$28),AND(AS22&lt;&gt;"",AS22&gt;=AV$31,AR22&gt;=AV$28),AND(BO22&lt;&gt;"",BO22&gt;=BZ$31,BN22&gt;=BZ$28),AND(BQ22&lt;&gt;"",BQ22&gt;=BZ$31,BP22&gt;=BZ$28),AND(BV22&lt;&gt;"",BV22&gt;=BZ$31,BU22&gt;=BZ$28),AND(BX22&lt;&gt;"",BX22&gt;=BZ$31,BW22&gt;=BZ$28),AND(CX22&lt;&gt;"",CX22&gt;=DK$31,CW22&gt;=DK$28),AND(CZ22&lt;&gt;"",CZ22&gt;=DK$31,CY22&gt;=DK$28),AND(DD22&lt;&gt;"",DD22&gt;=DK$31,DC22&gt;=DK$28),AND(DF22&lt;&gt;"",DF22&gt;=DK$31,DE22&gt;=DK$28),AND(DH22&lt;&gt;"",DH22&gt;=DK$31,DG22&gt;=DK$28),AND(EG22&lt;&gt;"",EG22&gt;=ET$31,EF22&gt;=ET$28),AND(EI22&lt;&gt;"",EI22&gt;=ET$31,EH22&gt;=ET$28),AND(EM22&lt;&gt;"",EM22&gt;=ET$31,EL22&gt;=ET$28),AND(EO22&lt;&gt;"",EO22&gt;=ET$31,EN22&gt;=ET$28),AND(EQ22&lt;&gt;"",EQ22&gt;=ET$31,EP22&gt;=ET$28)),"Performance",IF(I22="P","Worlds Team",IF(F22="P","National Team",""))))</f>
        <v/>
      </c>
      <c r="I22" s="2" t="str">
        <f>IF(OR(AND(AO22&lt;&gt;"",AO22&gt;=AV$30,AN22&gt;=AV$27),AND(AU22&lt;&gt;"",AU22&gt;=AV$30,AT22&gt;=AV$27),AND(BS22&lt;&gt;"",BS22&gt;=BZ$30,BR22&gt;=BZ$27),AND(BY22&lt;&gt;"",BY22&gt;=BZ$30,BX22&gt;=BZ$27),AND(DB22&lt;&gt;"",DB22&gt;=DK$30,DA22&gt;=DK$27),AND(DJ22&lt;&gt;"",DJ22&gt;=DK$30,DI22&gt;=DK$27),AND(EK22&lt;&gt;"",EK22&gt;=ET$30,EJ22&gt;=ET$27),AND(ES22&lt;&gt;"",ES22&gt;=ET$30,ER22&gt;=ET$27)),"P","")</f>
        <v/>
      </c>
      <c r="J22" s="7">
        <f t="shared" si="1"/>
        <v>26.900000000000002</v>
      </c>
      <c r="K22" s="7" t="str">
        <f t="shared" si="2"/>
        <v>2026 Elite Canada</v>
      </c>
      <c r="L22" s="7">
        <f>IF(J22=AO22,IF(COUNT(AQ22,AS22,BO22,BQ22,BU22,BW22)&gt;1,LARGE((AQ22,AS22,BO22,BQ22,BU22,BW22),1),0),IF(COUNT(AK22,AM22,AQ22,AS22,BU22,BW22)&gt;1,LARGE((AK22,AM22,AQ22,AS22,BU22,BW22),1),0))</f>
        <v>0</v>
      </c>
      <c r="M22" s="7" t="str">
        <f t="shared" si="3"/>
        <v/>
      </c>
      <c r="N22" s="7">
        <f>IF(J22=AO22,IF(COUNT(AQ22,AS22,BO22,BQ22,BU22,BW22)&gt;1,LARGE((AQ22,AS22,BO22,BQ22,BU22,BW22),2),0),IF(COUNT(AK22,AM22,AQ22,AS22,BU22,BW22)&gt;1,LARGE((AK22,AM22,AQ22,AS22,BU22,BW22),2),0))</f>
        <v>0</v>
      </c>
      <c r="O22" s="7" t="str">
        <f t="shared" si="4"/>
        <v/>
      </c>
      <c r="P22" s="7" t="str">
        <f t="shared" si="5"/>
        <v/>
      </c>
      <c r="Q22" s="10" t="str">
        <f t="shared" si="6"/>
        <v/>
      </c>
      <c r="R22" s="7" t="str">
        <f t="shared" si="7"/>
        <v/>
      </c>
      <c r="S22" s="38">
        <v>0</v>
      </c>
      <c r="T22" s="38">
        <v>0</v>
      </c>
      <c r="U22" s="38">
        <v>0</v>
      </c>
      <c r="V22" s="38">
        <v>0</v>
      </c>
      <c r="W22" s="38">
        <v>18.7</v>
      </c>
      <c r="X22" s="38">
        <v>8.4</v>
      </c>
      <c r="Y22" s="38">
        <v>0.2</v>
      </c>
      <c r="Z22" s="38">
        <v>0</v>
      </c>
      <c r="AA22" s="38" t="s">
        <v>175</v>
      </c>
      <c r="AB22" s="38" t="s">
        <v>175</v>
      </c>
      <c r="AC22" s="38" t="s">
        <v>175</v>
      </c>
      <c r="AD22" s="38" t="s">
        <v>175</v>
      </c>
      <c r="AE22" s="38" t="s">
        <v>175</v>
      </c>
      <c r="AF22" s="38" t="s">
        <v>175</v>
      </c>
      <c r="AG22" s="38" t="s">
        <v>175</v>
      </c>
      <c r="AH22" s="38" t="s">
        <v>175</v>
      </c>
      <c r="AI22" s="19"/>
      <c r="AJ22" s="41">
        <f t="shared" si="8"/>
        <v>0</v>
      </c>
      <c r="AK22" s="41">
        <f t="shared" si="9"/>
        <v>0</v>
      </c>
      <c r="AL22" s="41">
        <f t="shared" si="10"/>
        <v>8.4</v>
      </c>
      <c r="AM22" s="41">
        <f t="shared" si="11"/>
        <v>26.900000000000002</v>
      </c>
      <c r="AN22" s="27">
        <f t="shared" si="12"/>
        <v>8.4</v>
      </c>
      <c r="AO22" s="27">
        <f t="shared" si="13"/>
        <v>26.900000000000002</v>
      </c>
      <c r="AP22" s="27" t="str">
        <f t="shared" si="14"/>
        <v/>
      </c>
      <c r="AQ22" s="27" t="str">
        <f t="shared" si="15"/>
        <v/>
      </c>
      <c r="AR22" s="27" t="str">
        <f t="shared" si="16"/>
        <v/>
      </c>
      <c r="AS22" s="27" t="str">
        <f t="shared" si="17"/>
        <v/>
      </c>
      <c r="AT22" s="27" t="str">
        <f t="shared" si="18"/>
        <v/>
      </c>
      <c r="AU22" s="27" t="str">
        <f t="shared" si="19"/>
        <v/>
      </c>
      <c r="AV22" s="27">
        <f t="shared" si="20"/>
        <v>26.900000000000002</v>
      </c>
      <c r="AW22" s="15"/>
      <c r="AX22" s="15"/>
      <c r="AY22" s="15"/>
      <c r="AZ22" s="15"/>
      <c r="BA22" s="15"/>
      <c r="BB22" s="15"/>
      <c r="BC22" s="15"/>
      <c r="BD22" s="15"/>
      <c r="BE22" s="15"/>
      <c r="BF22" s="15"/>
      <c r="BG22" s="15"/>
      <c r="BH22" s="15"/>
      <c r="BI22" s="15"/>
      <c r="BJ22" s="15"/>
      <c r="BK22" s="15"/>
      <c r="BL22" s="15"/>
      <c r="BM22" s="20"/>
      <c r="BN22" s="42" t="str">
        <f t="shared" si="21"/>
        <v/>
      </c>
      <c r="BO22" s="42" t="str">
        <f t="shared" si="22"/>
        <v/>
      </c>
      <c r="BP22" s="42" t="str">
        <f t="shared" si="23"/>
        <v/>
      </c>
      <c r="BQ22" s="42" t="str">
        <f t="shared" si="24"/>
        <v/>
      </c>
      <c r="BR22" s="10" t="str">
        <f t="shared" si="25"/>
        <v/>
      </c>
      <c r="BS22" s="10" t="str">
        <f t="shared" si="26"/>
        <v/>
      </c>
      <c r="BT22" s="10" t="str">
        <f t="shared" si="27"/>
        <v/>
      </c>
      <c r="BU22" s="10" t="str">
        <f t="shared" si="28"/>
        <v/>
      </c>
      <c r="BV22" s="10" t="str">
        <f t="shared" si="29"/>
        <v/>
      </c>
      <c r="BW22" s="10" t="str">
        <f t="shared" si="30"/>
        <v/>
      </c>
      <c r="BX22" s="10" t="str">
        <f t="shared" si="31"/>
        <v/>
      </c>
      <c r="BY22" s="10" t="str">
        <f t="shared" si="32"/>
        <v/>
      </c>
      <c r="BZ22" s="10" t="str">
        <f t="shared" si="33"/>
        <v/>
      </c>
      <c r="CA22" s="34" t="str">
        <f t="shared" si="34"/>
        <v/>
      </c>
      <c r="CB22" s="34" t="str">
        <f t="shared" si="35"/>
        <v/>
      </c>
      <c r="CC22" s="14"/>
      <c r="CD22" s="14"/>
      <c r="CE22" s="14"/>
      <c r="CF22" s="14"/>
      <c r="CG22" s="14"/>
      <c r="CH22" s="14"/>
      <c r="CI22" s="14"/>
      <c r="CJ22" s="14"/>
      <c r="CK22" s="14"/>
      <c r="CL22" s="14"/>
      <c r="CM22" s="14"/>
      <c r="CN22" s="14"/>
      <c r="CO22" s="14"/>
      <c r="CP22" s="14"/>
      <c r="CQ22" s="14"/>
      <c r="CR22" s="14"/>
      <c r="CS22" s="14"/>
      <c r="CT22" s="14"/>
      <c r="CU22" s="14"/>
      <c r="CV22" s="14"/>
      <c r="CW22" s="27" t="str">
        <f t="shared" si="36"/>
        <v/>
      </c>
      <c r="CX22" s="27" t="str">
        <f t="shared" si="37"/>
        <v/>
      </c>
      <c r="CY22" s="27" t="str">
        <f t="shared" si="38"/>
        <v/>
      </c>
      <c r="CZ22" s="27" t="str">
        <f t="shared" si="39"/>
        <v/>
      </c>
      <c r="DA22" s="27" t="str">
        <f t="shared" si="40"/>
        <v/>
      </c>
      <c r="DB22" s="27" t="str">
        <f t="shared" si="41"/>
        <v/>
      </c>
      <c r="DC22" s="27" t="str">
        <f t="shared" si="42"/>
        <v/>
      </c>
      <c r="DD22" s="27" t="str">
        <f t="shared" si="43"/>
        <v/>
      </c>
      <c r="DE22" s="27" t="str">
        <f t="shared" si="44"/>
        <v/>
      </c>
      <c r="DF22" s="27" t="str">
        <f t="shared" si="45"/>
        <v/>
      </c>
      <c r="DG22" s="27" t="str">
        <f t="shared" si="46"/>
        <v/>
      </c>
      <c r="DH22" s="27" t="str">
        <f t="shared" si="47"/>
        <v/>
      </c>
      <c r="DI22" s="27" t="str">
        <f t="shared" si="48"/>
        <v/>
      </c>
      <c r="DJ22" s="27" t="str">
        <f t="shared" si="49"/>
        <v/>
      </c>
      <c r="DK22" s="27" t="str">
        <f t="shared" si="50"/>
        <v/>
      </c>
      <c r="DL22" s="15"/>
      <c r="DM22" s="15"/>
      <c r="DN22" s="15"/>
      <c r="DO22" s="15"/>
      <c r="DP22" s="15"/>
      <c r="DQ22" s="15"/>
      <c r="DR22" s="15"/>
      <c r="DS22" s="15"/>
      <c r="DT22" s="15"/>
      <c r="DU22" s="15"/>
      <c r="DV22" s="15"/>
      <c r="DW22" s="15"/>
      <c r="DX22" s="15"/>
      <c r="DY22" s="15"/>
      <c r="DZ22" s="15"/>
      <c r="EA22" s="15"/>
      <c r="EB22" s="15"/>
      <c r="EC22" s="15"/>
      <c r="ED22" s="15"/>
      <c r="EE22" s="15"/>
      <c r="EF22" s="10" t="str">
        <f t="shared" si="51"/>
        <v/>
      </c>
      <c r="EG22" s="10" t="str">
        <f t="shared" si="52"/>
        <v/>
      </c>
      <c r="EH22" s="10" t="str">
        <f t="shared" si="53"/>
        <v/>
      </c>
      <c r="EI22" s="10" t="str">
        <f t="shared" si="54"/>
        <v/>
      </c>
      <c r="EJ22" s="10" t="str">
        <f t="shared" si="55"/>
        <v/>
      </c>
      <c r="EK22" s="10" t="str">
        <f t="shared" si="56"/>
        <v/>
      </c>
      <c r="EL22" s="10" t="str">
        <f t="shared" si="57"/>
        <v/>
      </c>
      <c r="EM22" s="10" t="str">
        <f t="shared" si="58"/>
        <v/>
      </c>
      <c r="EN22" s="10" t="str">
        <f t="shared" si="59"/>
        <v/>
      </c>
      <c r="EO22" s="10" t="str">
        <f t="shared" si="60"/>
        <v/>
      </c>
      <c r="EP22" s="10" t="str">
        <f t="shared" si="61"/>
        <v/>
      </c>
      <c r="EQ22" s="10" t="str">
        <f t="shared" si="62"/>
        <v/>
      </c>
      <c r="ER22" s="10" t="str">
        <f t="shared" si="63"/>
        <v/>
      </c>
      <c r="ES22" s="10" t="str">
        <f t="shared" si="64"/>
        <v/>
      </c>
      <c r="ET22" s="10" t="str">
        <f t="shared" si="65"/>
        <v/>
      </c>
    </row>
    <row r="23" spans="1:150" x14ac:dyDescent="0.2">
      <c r="A23" s="3" t="str" cm="1">
        <f t="array" ref="A23">IF(AND(H23&lt;&gt;"",H23&lt;&gt;"No DD"),SUMPRODUCT((H$4:H$24&lt;&gt;"")*(H$4:H$24&lt;&gt;"No DD")*(E$4:E$24&gt;E23))+1,IF(H23="No DD",SUMPRODUCT((H$4:H$24="No DD")*(E$4:E$24&gt;E23))+1+SUMPRODUCT((H$4:H$24&lt;&gt;"")*(H$4:H$24&lt;&gt;"No DD")),""))</f>
        <v/>
      </c>
      <c r="B23" s="4" t="s">
        <v>66</v>
      </c>
      <c r="C23" s="3" t="s">
        <v>4</v>
      </c>
      <c r="D23" s="3">
        <v>1994</v>
      </c>
      <c r="E23" s="8">
        <f t="shared" si="0"/>
        <v>23.700002370002366</v>
      </c>
      <c r="F23" s="2" t="str">
        <f>IF(OR(AND(AO23&lt;&gt;"",AO23&gt;=AV$29,AN23&gt;=AV$26),AND(AU23&lt;&gt;"",AU23&gt;=AV$29,AT23&gt;=AV$26),AND(BS23&lt;&gt;"",BS23&gt;=BZ$29,BR23&gt;=BZ$26),AND(BY23&lt;&gt;"",BY23&gt;=BZ$29,BX23&gt;=BZ$26),AND(DB23&lt;&gt;"",DB23&gt;=DK$29,DA23&gt;=DK$26),AND(DJ23&lt;&gt;"",DJ23&gt;=DK$29,DI23&gt;=DK$26),AND(EK23&lt;&gt;"",EK23&gt;=ET$29,EJ23&gt;=ET$26),AND(ES23&lt;&gt;"",ES23&gt;=ET$29,ER23&gt;=ET$26)),"P","")</f>
        <v/>
      </c>
      <c r="G23" s="2" t="str">
        <f>IF(OR(AND(AO23&lt;&gt;"",AO23&gt;=AV$29),AND(AU23&lt;&gt;"",AU23&gt;=AV$29),AND(BS23&lt;&gt;"",BS23&gt;=BZ$29),AND(BY23&lt;&gt;"",BY23&gt;=BZ$29),AND(DB23&lt;&gt;"",DB23&gt;=DK$29),AND(DJ23&lt;&gt;"",DJ23&gt;=DK$29),AND(EK23&lt;&gt;"",EK23&gt;=ET$29),AND(ES23&lt;&gt;"",ES23&gt;=ET$29)),"P","")</f>
        <v/>
      </c>
      <c r="H23" s="26" t="str">
        <f>IF(AND(G23="P",F23=""),"No DD",IF(OR(AND(AK23&lt;&gt;"",AK23&gt;=AV$31,AJ23&gt;=AV$28),AND(AM23&lt;&gt;"",AM23&gt;=AV$31,AL23&gt;=AV$28),AND(AQ23&lt;&gt;"",AQ23&gt;=AV$31,AP23&gt;=AV$28),AND(AS23&lt;&gt;"",AS23&gt;=AV$31,AR23&gt;=AV$28),AND(BO23&lt;&gt;"",BO23&gt;=BZ$31,BN23&gt;=BZ$28),AND(BQ23&lt;&gt;"",BQ23&gt;=BZ$31,BP23&gt;=BZ$28),AND(BV23&lt;&gt;"",BV23&gt;=BZ$31,BU23&gt;=BZ$28),AND(BX23&lt;&gt;"",BX23&gt;=BZ$31,BW23&gt;=BZ$28),AND(CX23&lt;&gt;"",CX23&gt;=DK$31,CW23&gt;=DK$28),AND(CZ23&lt;&gt;"",CZ23&gt;=DK$31,CY23&gt;=DK$28),AND(DD23&lt;&gt;"",DD23&gt;=DK$31,DC23&gt;=DK$28),AND(DF23&lt;&gt;"",DF23&gt;=DK$31,DE23&gt;=DK$28),AND(DH23&lt;&gt;"",DH23&gt;=DK$31,DG23&gt;=DK$28),AND(EG23&lt;&gt;"",EG23&gt;=ET$31,EF23&gt;=ET$28),AND(EI23&lt;&gt;"",EI23&gt;=ET$31,EH23&gt;=ET$28),AND(EM23&lt;&gt;"",EM23&gt;=ET$31,EL23&gt;=ET$28),AND(EO23&lt;&gt;"",EO23&gt;=ET$31,EN23&gt;=ET$28),AND(EQ23&lt;&gt;"",EQ23&gt;=ET$31,EP23&gt;=ET$28)),"Performance",IF(I23="P","Worlds Team",IF(F23="P","National Team",""))))</f>
        <v/>
      </c>
      <c r="I23" s="2" t="str">
        <f>IF(OR(AND(AO23&lt;&gt;"",AO23&gt;=AV$30,AN23&gt;=AV$27),AND(AU23&lt;&gt;"",AU23&gt;=AV$30,AT23&gt;=AV$27),AND(BS23&lt;&gt;"",BS23&gt;=BZ$30,BR23&gt;=BZ$27),AND(BY23&lt;&gt;"",BY23&gt;=BZ$30,BX23&gt;=BZ$27),AND(DB23&lt;&gt;"",DB23&gt;=DK$30,DA23&gt;=DK$27),AND(DJ23&lt;&gt;"",DJ23&gt;=DK$30,DI23&gt;=DK$27),AND(EK23&lt;&gt;"",EK23&gt;=ET$30,EJ23&gt;=ET$27),AND(ES23&lt;&gt;"",ES23&gt;=ET$30,ER23&gt;=ET$27)),"P","")</f>
        <v/>
      </c>
      <c r="J23" s="7">
        <f t="shared" si="1"/>
        <v>23.699999999999996</v>
      </c>
      <c r="K23" s="7" t="str">
        <f t="shared" si="2"/>
        <v>2026 Elite Canada</v>
      </c>
      <c r="L23" s="7">
        <f>IF(J23=AO23,IF(COUNT(AQ23,AS23,BO23,BQ23,BU23,BW23)&gt;1,LARGE((AQ23,AS23,BO23,BQ23,BU23,BW23),1),0),IF(COUNT(AK23,AM23,AQ23,AS23,BU23,BW23)&gt;1,LARGE((AK23,AM23,AQ23,AS23,BU23,BW23),1),0))</f>
        <v>0</v>
      </c>
      <c r="M23" s="7" t="str">
        <f t="shared" si="3"/>
        <v/>
      </c>
      <c r="N23" s="7">
        <f>IF(J23=AO23,IF(COUNT(AQ23,AS23,BO23,BQ23,BU23,BW23)&gt;1,LARGE((AQ23,AS23,BO23,BQ23,BU23,BW23),2),0),IF(COUNT(AK23,AM23,AQ23,AS23,BU23,BW23)&gt;1,LARGE((AK23,AM23,AQ23,AS23,BU23,BW23),2),0))</f>
        <v>0</v>
      </c>
      <c r="O23" s="7" t="str">
        <f t="shared" si="4"/>
        <v/>
      </c>
      <c r="P23" s="7" t="str">
        <f t="shared" si="5"/>
        <v/>
      </c>
      <c r="Q23" s="10" t="str">
        <f t="shared" si="6"/>
        <v/>
      </c>
      <c r="R23" s="7" t="str">
        <f t="shared" si="7"/>
        <v/>
      </c>
      <c r="S23" s="38">
        <v>16.7</v>
      </c>
      <c r="T23" s="38">
        <v>7.6</v>
      </c>
      <c r="U23" s="38">
        <v>0.6</v>
      </c>
      <c r="V23" s="38">
        <v>0</v>
      </c>
      <c r="W23" s="38">
        <v>0</v>
      </c>
      <c r="X23" s="38">
        <v>0</v>
      </c>
      <c r="Y23" s="38">
        <v>0</v>
      </c>
      <c r="Z23" s="38">
        <v>0</v>
      </c>
      <c r="AA23" s="38" t="s">
        <v>175</v>
      </c>
      <c r="AB23" s="38" t="s">
        <v>175</v>
      </c>
      <c r="AC23" s="38" t="s">
        <v>175</v>
      </c>
      <c r="AD23" s="38" t="s">
        <v>175</v>
      </c>
      <c r="AE23" s="38" t="s">
        <v>175</v>
      </c>
      <c r="AF23" s="38" t="s">
        <v>175</v>
      </c>
      <c r="AG23" s="38" t="s">
        <v>175</v>
      </c>
      <c r="AH23" s="38" t="s">
        <v>175</v>
      </c>
      <c r="AI23" s="19"/>
      <c r="AJ23" s="41">
        <f t="shared" si="8"/>
        <v>7.6</v>
      </c>
      <c r="AK23" s="41">
        <f t="shared" si="9"/>
        <v>23.699999999999996</v>
      </c>
      <c r="AL23" s="41">
        <f t="shared" si="10"/>
        <v>0</v>
      </c>
      <c r="AM23" s="41">
        <f t="shared" si="11"/>
        <v>0</v>
      </c>
      <c r="AN23" s="27">
        <f t="shared" si="12"/>
        <v>7.6</v>
      </c>
      <c r="AO23" s="27">
        <f t="shared" si="13"/>
        <v>23.699999999999996</v>
      </c>
      <c r="AP23" s="27" t="str">
        <f t="shared" si="14"/>
        <v/>
      </c>
      <c r="AQ23" s="27" t="str">
        <f t="shared" si="15"/>
        <v/>
      </c>
      <c r="AR23" s="27" t="str">
        <f t="shared" si="16"/>
        <v/>
      </c>
      <c r="AS23" s="27" t="str">
        <f t="shared" si="17"/>
        <v/>
      </c>
      <c r="AT23" s="27" t="str">
        <f t="shared" si="18"/>
        <v/>
      </c>
      <c r="AU23" s="27" t="str">
        <f t="shared" si="19"/>
        <v/>
      </c>
      <c r="AV23" s="27">
        <f t="shared" si="20"/>
        <v>23.699999999999996</v>
      </c>
      <c r="AW23" s="15"/>
      <c r="AX23" s="15"/>
      <c r="AY23" s="15"/>
      <c r="AZ23" s="15"/>
      <c r="BA23" s="15"/>
      <c r="BB23" s="15"/>
      <c r="BC23" s="15"/>
      <c r="BD23" s="15"/>
      <c r="BE23" s="15"/>
      <c r="BF23" s="15"/>
      <c r="BG23" s="15"/>
      <c r="BH23" s="15"/>
      <c r="BI23" s="15"/>
      <c r="BJ23" s="15"/>
      <c r="BK23" s="15"/>
      <c r="BL23" s="15"/>
      <c r="BM23" s="20"/>
      <c r="BN23" s="42" t="str">
        <f t="shared" si="21"/>
        <v/>
      </c>
      <c r="BO23" s="42" t="str">
        <f t="shared" si="22"/>
        <v/>
      </c>
      <c r="BP23" s="42" t="str">
        <f t="shared" si="23"/>
        <v/>
      </c>
      <c r="BQ23" s="42" t="str">
        <f t="shared" si="24"/>
        <v/>
      </c>
      <c r="BR23" s="10" t="str">
        <f t="shared" si="25"/>
        <v/>
      </c>
      <c r="BS23" s="10" t="str">
        <f t="shared" si="26"/>
        <v/>
      </c>
      <c r="BT23" s="10" t="str">
        <f t="shared" si="27"/>
        <v/>
      </c>
      <c r="BU23" s="10" t="str">
        <f t="shared" si="28"/>
        <v/>
      </c>
      <c r="BV23" s="10" t="str">
        <f t="shared" si="29"/>
        <v/>
      </c>
      <c r="BW23" s="10" t="str">
        <f t="shared" si="30"/>
        <v/>
      </c>
      <c r="BX23" s="10" t="str">
        <f t="shared" si="31"/>
        <v/>
      </c>
      <c r="BY23" s="10" t="str">
        <f t="shared" si="32"/>
        <v/>
      </c>
      <c r="BZ23" s="10" t="str">
        <f t="shared" si="33"/>
        <v/>
      </c>
      <c r="CA23" s="34" t="str">
        <f t="shared" si="34"/>
        <v/>
      </c>
      <c r="CB23" s="34" t="str">
        <f t="shared" si="35"/>
        <v/>
      </c>
      <c r="CC23" s="14"/>
      <c r="CD23" s="14"/>
      <c r="CE23" s="14"/>
      <c r="CF23" s="14"/>
      <c r="CG23" s="14"/>
      <c r="CH23" s="14"/>
      <c r="CI23" s="14"/>
      <c r="CJ23" s="14"/>
      <c r="CK23" s="14"/>
      <c r="CL23" s="14"/>
      <c r="CM23" s="14"/>
      <c r="CN23" s="14"/>
      <c r="CO23" s="14"/>
      <c r="CP23" s="14"/>
      <c r="CQ23" s="14"/>
      <c r="CR23" s="14"/>
      <c r="CS23" s="14"/>
      <c r="CT23" s="14"/>
      <c r="CU23" s="14"/>
      <c r="CV23" s="14"/>
      <c r="CW23" s="27" t="str">
        <f t="shared" si="36"/>
        <v/>
      </c>
      <c r="CX23" s="27" t="str">
        <f t="shared" si="37"/>
        <v/>
      </c>
      <c r="CY23" s="27" t="str">
        <f t="shared" si="38"/>
        <v/>
      </c>
      <c r="CZ23" s="27" t="str">
        <f t="shared" si="39"/>
        <v/>
      </c>
      <c r="DA23" s="27" t="str">
        <f t="shared" si="40"/>
        <v/>
      </c>
      <c r="DB23" s="27" t="str">
        <f t="shared" si="41"/>
        <v/>
      </c>
      <c r="DC23" s="27" t="str">
        <f t="shared" si="42"/>
        <v/>
      </c>
      <c r="DD23" s="27" t="str">
        <f t="shared" si="43"/>
        <v/>
      </c>
      <c r="DE23" s="27" t="str">
        <f t="shared" si="44"/>
        <v/>
      </c>
      <c r="DF23" s="27" t="str">
        <f t="shared" si="45"/>
        <v/>
      </c>
      <c r="DG23" s="27" t="str">
        <f t="shared" si="46"/>
        <v/>
      </c>
      <c r="DH23" s="27" t="str">
        <f t="shared" si="47"/>
        <v/>
      </c>
      <c r="DI23" s="27" t="str">
        <f t="shared" si="48"/>
        <v/>
      </c>
      <c r="DJ23" s="27" t="str">
        <f t="shared" si="49"/>
        <v/>
      </c>
      <c r="DK23" s="27" t="str">
        <f t="shared" si="50"/>
        <v/>
      </c>
      <c r="DL23" s="15"/>
      <c r="DM23" s="15"/>
      <c r="DN23" s="15"/>
      <c r="DO23" s="15"/>
      <c r="DP23" s="15"/>
      <c r="DQ23" s="15"/>
      <c r="DR23" s="15"/>
      <c r="DS23" s="15"/>
      <c r="DT23" s="15"/>
      <c r="DU23" s="15"/>
      <c r="DV23" s="15"/>
      <c r="DW23" s="15"/>
      <c r="DX23" s="15"/>
      <c r="DY23" s="15"/>
      <c r="DZ23" s="15"/>
      <c r="EA23" s="15"/>
      <c r="EB23" s="15"/>
      <c r="EC23" s="15"/>
      <c r="ED23" s="15"/>
      <c r="EE23" s="15"/>
      <c r="EF23" s="10" t="str">
        <f t="shared" si="51"/>
        <v/>
      </c>
      <c r="EG23" s="10" t="str">
        <f t="shared" si="52"/>
        <v/>
      </c>
      <c r="EH23" s="10" t="str">
        <f t="shared" si="53"/>
        <v/>
      </c>
      <c r="EI23" s="10" t="str">
        <f t="shared" si="54"/>
        <v/>
      </c>
      <c r="EJ23" s="10" t="str">
        <f t="shared" si="55"/>
        <v/>
      </c>
      <c r="EK23" s="10" t="str">
        <f t="shared" si="56"/>
        <v/>
      </c>
      <c r="EL23" s="10" t="str">
        <f t="shared" si="57"/>
        <v/>
      </c>
      <c r="EM23" s="10" t="str">
        <f t="shared" si="58"/>
        <v/>
      </c>
      <c r="EN23" s="10" t="str">
        <f t="shared" si="59"/>
        <v/>
      </c>
      <c r="EO23" s="10" t="str">
        <f t="shared" si="60"/>
        <v/>
      </c>
      <c r="EP23" s="10" t="str">
        <f t="shared" si="61"/>
        <v/>
      </c>
      <c r="EQ23" s="10" t="str">
        <f t="shared" si="62"/>
        <v/>
      </c>
      <c r="ER23" s="10" t="str">
        <f t="shared" si="63"/>
        <v/>
      </c>
      <c r="ES23" s="10" t="str">
        <f t="shared" si="64"/>
        <v/>
      </c>
      <c r="ET23" s="10" t="str">
        <f t="shared" si="65"/>
        <v/>
      </c>
    </row>
    <row r="24" spans="1:150" ht="17" x14ac:dyDescent="0.2">
      <c r="P24" s="9"/>
      <c r="Q24" s="9"/>
      <c r="R24" s="9"/>
    </row>
    <row r="25" spans="1:150" ht="17" x14ac:dyDescent="0.2">
      <c r="P25" s="9"/>
      <c r="Q25" s="9"/>
      <c r="R25" s="9"/>
    </row>
    <row r="26" spans="1:150" ht="17" x14ac:dyDescent="0.2">
      <c r="B26" s="17" t="s">
        <v>27</v>
      </c>
      <c r="P26" s="9"/>
      <c r="Q26" s="9"/>
      <c r="R26" s="9"/>
      <c r="AV26" s="28">
        <v>15.6</v>
      </c>
      <c r="BZ26" s="28">
        <v>15.6</v>
      </c>
      <c r="CW26" s="3"/>
      <c r="CX26" s="3"/>
      <c r="CY26" s="3"/>
      <c r="CZ26" s="3"/>
      <c r="DA26" s="3"/>
      <c r="DK26" s="28">
        <v>15.6</v>
      </c>
      <c r="EF26" s="3"/>
      <c r="EG26" s="3"/>
      <c r="EH26" s="3"/>
      <c r="EI26" s="3"/>
      <c r="EJ26" s="3"/>
      <c r="EK26" s="3"/>
      <c r="EL26" s="3"/>
      <c r="ET26" s="28">
        <v>15.6</v>
      </c>
    </row>
    <row r="27" spans="1:150" ht="17" x14ac:dyDescent="0.2">
      <c r="B27" s="22" t="s">
        <v>26</v>
      </c>
      <c r="P27" s="9"/>
      <c r="Q27" s="9"/>
      <c r="R27" s="9"/>
      <c r="AV27" s="39">
        <v>16</v>
      </c>
      <c r="BZ27" s="39">
        <v>16</v>
      </c>
      <c r="CW27" s="3"/>
      <c r="CX27" s="3"/>
      <c r="CY27" s="3"/>
      <c r="CZ27" s="3"/>
      <c r="DA27" s="3"/>
      <c r="DK27" s="39">
        <v>16</v>
      </c>
      <c r="EF27" s="3"/>
      <c r="EG27" s="3"/>
      <c r="EH27" s="3"/>
      <c r="EI27" s="3"/>
      <c r="EJ27" s="3"/>
      <c r="EK27" s="3"/>
      <c r="EL27" s="3"/>
      <c r="ET27" s="39">
        <v>16</v>
      </c>
    </row>
    <row r="28" spans="1:150" ht="17" x14ac:dyDescent="0.2">
      <c r="A28" s="4"/>
      <c r="B28" s="23" t="s">
        <v>104</v>
      </c>
      <c r="C28" s="16"/>
      <c r="P28" s="9"/>
      <c r="Q28" s="9"/>
      <c r="R28" s="9"/>
      <c r="AV28" s="29">
        <v>10.8</v>
      </c>
      <c r="BZ28" s="29">
        <v>10.8</v>
      </c>
      <c r="CW28" s="3"/>
      <c r="CX28" s="3"/>
      <c r="CY28" s="3"/>
      <c r="CZ28" s="3"/>
      <c r="DA28" s="3"/>
      <c r="DK28" s="29">
        <v>10.8</v>
      </c>
      <c r="EF28" s="3"/>
      <c r="EG28" s="3"/>
      <c r="EH28" s="3"/>
      <c r="EI28" s="3"/>
      <c r="EJ28" s="3"/>
      <c r="EK28" s="3"/>
      <c r="EL28" s="3"/>
      <c r="ET28" s="29">
        <v>10.8</v>
      </c>
    </row>
    <row r="29" spans="1:150" ht="17" x14ac:dyDescent="0.2">
      <c r="A29" s="4"/>
      <c r="B29" s="25" t="s">
        <v>24</v>
      </c>
      <c r="C29" s="16"/>
      <c r="P29" s="9"/>
      <c r="Q29" s="9"/>
      <c r="R29" s="9"/>
      <c r="AV29" s="30">
        <v>52.4</v>
      </c>
      <c r="BZ29" s="30">
        <v>52.4</v>
      </c>
      <c r="CW29" s="3"/>
      <c r="CX29" s="3"/>
      <c r="CY29" s="3"/>
      <c r="CZ29" s="3"/>
      <c r="DA29" s="3"/>
      <c r="DK29" s="30">
        <v>52.4</v>
      </c>
      <c r="EF29" s="3"/>
      <c r="EG29" s="3"/>
      <c r="EH29" s="3"/>
      <c r="EI29" s="3"/>
      <c r="EJ29" s="3"/>
      <c r="EK29" s="3"/>
      <c r="EL29" s="3"/>
      <c r="ET29" s="30">
        <v>52.4</v>
      </c>
    </row>
    <row r="30" spans="1:150" ht="17" x14ac:dyDescent="0.2">
      <c r="A30" s="4"/>
      <c r="B30" s="18" t="s">
        <v>25</v>
      </c>
      <c r="C30" s="16"/>
      <c r="P30" s="9"/>
      <c r="Q30" s="9"/>
      <c r="R30" s="9"/>
      <c r="AV30" s="31">
        <v>53.5</v>
      </c>
      <c r="BZ30" s="31">
        <v>53.5</v>
      </c>
      <c r="CW30" s="3"/>
      <c r="CX30" s="3"/>
      <c r="CY30" s="3"/>
      <c r="CZ30" s="3"/>
      <c r="DA30" s="3"/>
      <c r="DK30" s="31">
        <v>53.5</v>
      </c>
      <c r="EF30" s="3"/>
      <c r="EG30" s="3"/>
      <c r="EH30" s="3"/>
      <c r="EI30" s="3"/>
      <c r="EJ30" s="3"/>
      <c r="EK30" s="3"/>
      <c r="EL30" s="3"/>
      <c r="ET30" s="31">
        <v>53.5</v>
      </c>
    </row>
    <row r="31" spans="1:150" ht="17" x14ac:dyDescent="0.2">
      <c r="A31" s="4"/>
      <c r="B31" s="24" t="s">
        <v>103</v>
      </c>
      <c r="C31" s="16"/>
      <c r="P31" s="9"/>
      <c r="Q31" s="9"/>
      <c r="R31" s="9"/>
      <c r="AV31" s="32">
        <v>30</v>
      </c>
      <c r="BZ31" s="32">
        <v>30</v>
      </c>
      <c r="CW31" s="3"/>
      <c r="CX31" s="3"/>
      <c r="CY31" s="3"/>
      <c r="CZ31" s="3"/>
      <c r="DA31" s="3"/>
      <c r="DK31" s="32">
        <v>30</v>
      </c>
      <c r="EF31" s="3"/>
      <c r="EG31" s="3"/>
      <c r="EH31" s="3"/>
      <c r="EI31" s="3"/>
      <c r="EJ31" s="3"/>
      <c r="EK31" s="3"/>
      <c r="EL31" s="3"/>
      <c r="ET31" s="32">
        <v>30</v>
      </c>
    </row>
    <row r="32" spans="1:150" x14ac:dyDescent="0.2">
      <c r="B32" s="21" t="s">
        <v>29</v>
      </c>
      <c r="C32" s="1"/>
    </row>
    <row r="33" spans="1:3" x14ac:dyDescent="0.2">
      <c r="A33" s="4"/>
      <c r="B33" s="4"/>
      <c r="C33" s="16"/>
    </row>
    <row r="34" spans="1:3" x14ac:dyDescent="0.2">
      <c r="A34" s="4"/>
      <c r="B34" s="4"/>
      <c r="C34" s="16"/>
    </row>
    <row r="35" spans="1:3" x14ac:dyDescent="0.2">
      <c r="A35" s="4"/>
      <c r="B35" s="4"/>
      <c r="C35" s="16"/>
    </row>
    <row r="36" spans="1:3" x14ac:dyDescent="0.2">
      <c r="A36" s="4"/>
      <c r="B36" s="4"/>
      <c r="C36" s="4"/>
    </row>
    <row r="39" spans="1:3" x14ac:dyDescent="0.2">
      <c r="B39" s="40"/>
    </row>
  </sheetData>
  <sheetProtection sheet="1" formatCells="0" formatColumns="0" formatRows="0"/>
  <autoFilter ref="A1:ET1" xr:uid="{562C6DCA-CC42-3044-B5F7-4065DAFFC028}"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hiddenButton="1" showButton="0"/>
    <filterColumn colId="36" hiddenButton="1" showButton="0"/>
    <filterColumn colId="37" hiddenButton="1" showButton="0"/>
    <filterColumn colId="38" hiddenButton="1" showButton="0"/>
    <filterColumn colId="39" showButton="0"/>
    <filterColumn colId="40" showButton="0"/>
    <filterColumn colId="41" hiddenButton="1" showButton="0"/>
    <filterColumn colId="42" hiddenButton="1" showButton="0"/>
    <filterColumn colId="43" hiddenButton="1" showButton="0"/>
    <filterColumn colId="44" hiddenButton="1" showButton="0"/>
    <filterColumn colId="45" showButton="0"/>
    <filterColumn colId="46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hiddenButton="1" showButton="0"/>
    <filterColumn colId="66" hiddenButton="1" showButton="0"/>
    <filterColumn colId="67" hiddenButton="1" showButton="0"/>
    <filterColumn colId="68" hiddenButton="1" showButton="0"/>
    <filterColumn colId="69" showButton="0"/>
    <filterColumn colId="70" showButton="0"/>
    <filterColumn colId="71" hiddenButton="1" showButton="0"/>
    <filterColumn colId="72" hiddenButton="1" showButton="0"/>
    <filterColumn colId="73" hiddenButton="1" showButton="0"/>
    <filterColumn colId="74" hiddenButton="1" showButton="0"/>
    <filterColumn colId="75" showButton="0"/>
    <filterColumn colId="76" showButton="0"/>
    <filterColumn colId="78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hiddenButton="1" showButton="0"/>
    <filterColumn colId="102" hiddenButton="1" showButton="0"/>
    <filterColumn colId="103" hiddenButton="1" showButton="0"/>
    <filterColumn colId="104" hiddenButton="1" showButton="0"/>
    <filterColumn colId="105" showButton="0"/>
    <filterColumn colId="106" showButton="0"/>
    <filterColumn colId="107" showButton="0"/>
    <filterColumn colId="108" hiddenButton="1" showButton="0"/>
    <filterColumn colId="109" hiddenButton="1" showButton="0"/>
    <filterColumn colId="110" showButton="0"/>
    <filterColumn colId="111" showButton="0"/>
    <filterColumn colId="112" hiddenButton="1" showButton="0"/>
    <filterColumn colId="113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hiddenButton="1" showButton="0"/>
    <filterColumn colId="137" hiddenButton="1" showButton="0"/>
    <filterColumn colId="138" hiddenButton="1" showButton="0"/>
    <filterColumn colId="139" hiddenButton="1" showButton="0"/>
    <filterColumn colId="140" hiddenButton="1" showButton="0"/>
    <filterColumn colId="141" hiddenButton="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hiddenButton="1" showButton="0"/>
    <filterColumn colId="148" showButton="0"/>
    <sortState xmlns:xlrd2="http://schemas.microsoft.com/office/spreadsheetml/2017/richdata2" ref="A6:ET34">
      <sortCondition descending="1" ref="F1:F35"/>
    </sortState>
  </autoFilter>
  <mergeCells count="41">
    <mergeCell ref="L1:L3"/>
    <mergeCell ref="A1:A3"/>
    <mergeCell ref="B1:B3"/>
    <mergeCell ref="C1:C3"/>
    <mergeCell ref="D1:D3"/>
    <mergeCell ref="E1:E3"/>
    <mergeCell ref="F1:F3"/>
    <mergeCell ref="G1:G3"/>
    <mergeCell ref="H1:H3"/>
    <mergeCell ref="I1:I3"/>
    <mergeCell ref="J1:J3"/>
    <mergeCell ref="K1:K3"/>
    <mergeCell ref="DL1:ET1"/>
    <mergeCell ref="M1:M3"/>
    <mergeCell ref="N1:N3"/>
    <mergeCell ref="O1:O3"/>
    <mergeCell ref="P1:P3"/>
    <mergeCell ref="Q1:Q3"/>
    <mergeCell ref="R1:R3"/>
    <mergeCell ref="DT2:DW2"/>
    <mergeCell ref="CC2:CF2"/>
    <mergeCell ref="CG2:CJ2"/>
    <mergeCell ref="DL2:DO2"/>
    <mergeCell ref="DP2:DS2"/>
    <mergeCell ref="S1:AV1"/>
    <mergeCell ref="AW1:BZ1"/>
    <mergeCell ref="CA1:CB1"/>
    <mergeCell ref="CC1:DK1"/>
    <mergeCell ref="CK2:CN2"/>
    <mergeCell ref="CO2:CR2"/>
    <mergeCell ref="CS2:CV2"/>
    <mergeCell ref="DX2:EA2"/>
    <mergeCell ref="EB2:EE2"/>
    <mergeCell ref="S2:V2"/>
    <mergeCell ref="W2:Z2"/>
    <mergeCell ref="AA2:AD2"/>
    <mergeCell ref="AE2:AH2"/>
    <mergeCell ref="AW2:AZ2"/>
    <mergeCell ref="BA2:BD2"/>
    <mergeCell ref="BE2:BH2"/>
    <mergeCell ref="BI2:BL2"/>
  </mergeCells>
  <conditionalFormatting sqref="A4:A1048576">
    <cfRule type="expression" dxfId="257" priority="34" stopIfTrue="1">
      <formula>IF(A4&gt;8,1,0)</formula>
    </cfRule>
    <cfRule type="expression" dxfId="256" priority="35" stopIfTrue="1">
      <formula>AND(G4="P",F4="")</formula>
    </cfRule>
  </conditionalFormatting>
  <conditionalFormatting sqref="H1:H1048576">
    <cfRule type="containsText" dxfId="255" priority="36" stopIfTrue="1" operator="containsText" text="National Team">
      <formula>NOT(ISERROR(SEARCH("National Team",H1)))</formula>
    </cfRule>
    <cfRule type="containsText" dxfId="254" priority="37" stopIfTrue="1" operator="containsText" text="Worlds Team">
      <formula>NOT(ISERROR(SEARCH("Worlds Team",H1)))</formula>
    </cfRule>
    <cfRule type="containsText" dxfId="253" priority="38" operator="containsText" text="Performance">
      <formula>NOT(ISERROR(SEARCH("Performance",H1)))</formula>
    </cfRule>
    <cfRule type="containsText" dxfId="252" priority="64" stopIfTrue="1" operator="containsText" text="No DD">
      <formula>NOT(ISERROR(SEARCH("No DD",H1)))</formula>
    </cfRule>
  </conditionalFormatting>
  <conditionalFormatting sqref="S4:AV23">
    <cfRule type="expression" dxfId="251" priority="65" stopIfTrue="1">
      <formula>IF($AI4&lt;&gt;"",1,0)</formula>
    </cfRule>
  </conditionalFormatting>
  <conditionalFormatting sqref="AW4:BZ23">
    <cfRule type="expression" dxfId="250" priority="69" stopIfTrue="1">
      <formula>IF($BM4&lt;&gt;"",1,0)</formula>
    </cfRule>
  </conditionalFormatting>
  <conditionalFormatting sqref="M1:M1048576 O1:O1048576 K1:K1048576">
    <cfRule type="expression" dxfId="249" priority="176055" stopIfTrue="1">
      <formula>IF(K1=$AW$1,1,0)</formula>
    </cfRule>
    <cfRule type="expression" dxfId="248" priority="176056" stopIfTrue="1">
      <formula>IF(K1=$S$1,1,0)</formula>
    </cfRule>
  </conditionalFormatting>
  <conditionalFormatting sqref="AJ1:AJ1048576 BN1:BN1048576 EH1:EH1048576 CY1:CY1048576">
    <cfRule type="cellIs" dxfId="247" priority="179659" stopIfTrue="1" operator="between">
      <formula>AV$28-0.00001</formula>
      <formula>1000</formula>
    </cfRule>
  </conditionalFormatting>
  <conditionalFormatting sqref="AN1:AN1048576 BR1:BR1048576">
    <cfRule type="cellIs" dxfId="246" priority="179671" operator="between">
      <formula>AV$26-0.00001</formula>
      <formula>AV$27-0.00001</formula>
    </cfRule>
    <cfRule type="cellIs" dxfId="245" priority="179672" operator="between">
      <formula>AV$27-0.00001</formula>
      <formula>1000</formula>
    </cfRule>
  </conditionalFormatting>
  <conditionalFormatting sqref="AT1:AT1048576 BX1:BX1048576">
    <cfRule type="cellIs" dxfId="244" priority="179683" operator="between">
      <formula>AV$27-0.00001</formula>
      <formula>1000</formula>
    </cfRule>
    <cfRule type="cellIs" dxfId="243" priority="179684" stopIfTrue="1" operator="between">
      <formula>AV$26-0.00001</formula>
      <formula>AV$27-0.00001</formula>
    </cfRule>
  </conditionalFormatting>
  <conditionalFormatting sqref="AL1:AL1048576 BP1:BP1048576">
    <cfRule type="cellIs" dxfId="242" priority="179695" operator="between">
      <formula>AV$28-0.00001</formula>
      <formula>1000</formula>
    </cfRule>
  </conditionalFormatting>
  <conditionalFormatting sqref="AP1:AP1048576 BT1:BT1048576 EN1:EN1048576 DE1:DE1048576">
    <cfRule type="cellIs" dxfId="241" priority="179701" operator="between">
      <formula>AV$28-0.00001</formula>
      <formula>1000</formula>
    </cfRule>
  </conditionalFormatting>
  <conditionalFormatting sqref="AR1:AR1048576 BV1:BV1048576">
    <cfRule type="cellIs" dxfId="240" priority="179713" operator="between">
      <formula>AV$28-0.00001</formula>
      <formula>1000</formula>
    </cfRule>
  </conditionalFormatting>
  <conditionalFormatting sqref="AK1:AK1048576 BO1:BO1048576">
    <cfRule type="cellIs" dxfId="239" priority="179719" operator="between">
      <formula>AV$31-0.00001</formula>
      <formula>1000</formula>
    </cfRule>
  </conditionalFormatting>
  <conditionalFormatting sqref="AO1:AO1048576 BS1:BS1048576">
    <cfRule type="cellIs" dxfId="238" priority="179725" operator="between">
      <formula>AV$29-0.00001</formula>
      <formula>AV$30-0.00001</formula>
    </cfRule>
    <cfRule type="cellIs" dxfId="237" priority="179726" operator="between">
      <formula>AV$30-0.00001</formula>
      <formula>1000</formula>
    </cfRule>
  </conditionalFormatting>
  <conditionalFormatting sqref="AU1:AU1048576 BY1:BY1048576">
    <cfRule type="cellIs" dxfId="236" priority="179737" stopIfTrue="1" operator="between">
      <formula>AV$30-0.00001</formula>
      <formula>1000</formula>
    </cfRule>
    <cfRule type="cellIs" dxfId="235" priority="179738" operator="between">
      <formula>AV$29-0.00001</formula>
      <formula>AV$30-0.00001</formula>
    </cfRule>
  </conditionalFormatting>
  <conditionalFormatting sqref="AM1:AM1048576 BQ1:BQ1048576">
    <cfRule type="cellIs" dxfId="234" priority="179749" stopIfTrue="1" operator="between">
      <formula>AV$31-0.00001</formula>
      <formula>1000</formula>
    </cfRule>
    <cfRule type="cellIs" dxfId="233" priority="179750" operator="between">
      <formula>AT$31-0.00001</formula>
      <formula>#REF!-0.00001</formula>
    </cfRule>
  </conditionalFormatting>
  <conditionalFormatting sqref="AQ1:AQ1048576 BU1:BU1048576">
    <cfRule type="cellIs" dxfId="232" priority="179761" stopIfTrue="1" operator="between">
      <formula>AV$31-0.00001</formula>
      <formula>1000</formula>
    </cfRule>
  </conditionalFormatting>
  <conditionalFormatting sqref="AS1:AS1048576 BW1:BW1048576">
    <cfRule type="cellIs" dxfId="231" priority="179767" stopIfTrue="1" operator="between">
      <formula>AV$31-0.00001</formula>
      <formula>1000</formula>
    </cfRule>
  </conditionalFormatting>
  <conditionalFormatting sqref="CW1:CW1048576 EF1:EF1048576">
    <cfRule type="cellIs" dxfId="230" priority="179773" operator="between">
      <formula>DK$28-0.00001</formula>
      <formula>1000</formula>
    </cfRule>
  </conditionalFormatting>
  <conditionalFormatting sqref="CX1:CX1048576 EG1:EG1048576">
    <cfRule type="cellIs" dxfId="229" priority="179779" operator="between">
      <formula>DK$31-0.00001</formula>
      <formula>1000</formula>
    </cfRule>
  </conditionalFormatting>
  <conditionalFormatting sqref="DA1:DA1048576 EJ1:EJ1048576">
    <cfRule type="cellIs" dxfId="228" priority="179785" stopIfTrue="1" operator="between">
      <formula>DK$26-0.00001</formula>
      <formula>DK$27-0.00001</formula>
    </cfRule>
    <cfRule type="cellIs" dxfId="227" priority="179786" operator="between">
      <formula>DK$27-0.00001</formula>
      <formula>1000</formula>
    </cfRule>
  </conditionalFormatting>
  <conditionalFormatting sqref="DB1:DB1048576 EK1:EK1048576">
    <cfRule type="cellIs" dxfId="226" priority="179797" operator="between">
      <formula>DK$29-0.00001</formula>
      <formula>DK$30-0.00001</formula>
    </cfRule>
    <cfRule type="cellIs" dxfId="225" priority="179798" stopIfTrue="1" operator="between">
      <formula>DK$30-0.00001</formula>
      <formula>1000</formula>
    </cfRule>
  </conditionalFormatting>
  <conditionalFormatting sqref="DC1:DC1048576 EL1:EL1048576">
    <cfRule type="cellIs" dxfId="224" priority="179809" operator="between">
      <formula>DK$28-0.00001</formula>
      <formula>1000</formula>
    </cfRule>
  </conditionalFormatting>
  <conditionalFormatting sqref="DG1:DG1048576 EP1:EP1048576">
    <cfRule type="cellIs" dxfId="223" priority="179815" stopIfTrue="1" operator="between">
      <formula>DK$28-0.00001</formula>
      <formula>1000</formula>
    </cfRule>
  </conditionalFormatting>
  <conditionalFormatting sqref="CZ1:CZ1048576 EI1:EI1048576">
    <cfRule type="cellIs" dxfId="222" priority="179821" stopIfTrue="1" operator="between">
      <formula>DK$31-0.00001</formula>
      <formula>1000</formula>
    </cfRule>
  </conditionalFormatting>
  <conditionalFormatting sqref="DD1:DD1048576 EM1:EM1048576">
    <cfRule type="cellIs" dxfId="221" priority="179827" operator="between">
      <formula>DK$31-0.00001</formula>
      <formula>1000</formula>
    </cfRule>
  </conditionalFormatting>
  <conditionalFormatting sqref="DF1:DF1048576 EO1:EO1048576">
    <cfRule type="cellIs" dxfId="220" priority="179833" operator="between">
      <formula>DK$31-0.00001</formula>
      <formula>1000</formula>
    </cfRule>
  </conditionalFormatting>
  <conditionalFormatting sqref="DH1:DH1048576 EQ1:EQ1048576">
    <cfRule type="cellIs" dxfId="219" priority="179839" operator="between">
      <formula>DK$31-0.00001</formula>
      <formula>1000</formula>
    </cfRule>
  </conditionalFormatting>
  <conditionalFormatting sqref="DI1:DI1048576 ER1:ER1048576">
    <cfRule type="cellIs" dxfId="218" priority="179845" operator="between">
      <formula>DK$27-0.00001</formula>
      <formula>1000</formula>
    </cfRule>
    <cfRule type="cellIs" dxfId="217" priority="179846" operator="between">
      <formula>DK$26-0.00001</formula>
      <formula>DK$27-0.00001</formula>
    </cfRule>
  </conditionalFormatting>
  <conditionalFormatting sqref="DJ1:DJ1048576 ES1:ES1048576">
    <cfRule type="cellIs" dxfId="216" priority="179857" operator="between">
      <formula>DK$29-0.00001</formula>
      <formula>DK$30-0.00001</formula>
    </cfRule>
    <cfRule type="cellIs" dxfId="215" priority="179858" operator="between">
      <formula>DK$30-0.00001</formula>
      <formula>1000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9DB541-C0DC-3E49-A43F-A3040ECF78F9}">
  <sheetPr codeName="Sheet20"/>
  <dimension ref="A1:ET37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26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83203125" customWidth="1"/>
    <col min="15" max="15" width="27.5" customWidth="1"/>
    <col min="16" max="16" width="24.6640625" customWidth="1"/>
    <col min="17" max="17" width="13" customWidth="1"/>
    <col min="18" max="18" width="31.5" customWidth="1"/>
    <col min="19" max="35" width="10.83203125" hidden="1" customWidth="1"/>
    <col min="36" max="39" width="10.83203125" customWidth="1"/>
    <col min="40" max="48" width="10.83203125" style="26" customWidth="1"/>
    <col min="49" max="65" width="10.83203125" hidden="1" customWidth="1"/>
    <col min="66" max="69" width="10.83203125" customWidth="1"/>
    <col min="70" max="80" width="10.83203125" style="26" customWidth="1"/>
    <col min="81" max="100" width="10.83203125" hidden="1" customWidth="1"/>
    <col min="101" max="115" width="10.83203125" style="26" customWidth="1"/>
    <col min="116" max="135" width="10.83203125" hidden="1" customWidth="1"/>
    <col min="136" max="150" width="10.83203125" style="26" customWidth="1"/>
    <col min="151" max="152" width="10.83203125" customWidth="1"/>
  </cols>
  <sheetData>
    <row r="1" spans="1:150" ht="16" customHeight="1" x14ac:dyDescent="0.2">
      <c r="A1" s="55" t="s">
        <v>1</v>
      </c>
      <c r="B1" s="55" t="s">
        <v>14</v>
      </c>
      <c r="C1" s="55" t="s">
        <v>0</v>
      </c>
      <c r="D1" s="55" t="s">
        <v>30</v>
      </c>
      <c r="E1" s="55" t="s">
        <v>2</v>
      </c>
      <c r="F1" s="56" t="s">
        <v>75</v>
      </c>
      <c r="G1" s="56" t="s">
        <v>8</v>
      </c>
      <c r="H1" s="55" t="s">
        <v>9</v>
      </c>
      <c r="I1" s="56" t="s">
        <v>38</v>
      </c>
      <c r="J1" s="53" t="s">
        <v>76</v>
      </c>
      <c r="K1" s="52" t="s">
        <v>16</v>
      </c>
      <c r="L1" s="53" t="s">
        <v>89</v>
      </c>
      <c r="M1" s="52" t="s">
        <v>16</v>
      </c>
      <c r="N1" s="53" t="s">
        <v>90</v>
      </c>
      <c r="O1" s="52" t="s">
        <v>16</v>
      </c>
      <c r="P1" s="54" t="s">
        <v>10</v>
      </c>
      <c r="Q1" s="52" t="s">
        <v>17</v>
      </c>
      <c r="R1" s="52" t="s">
        <v>16</v>
      </c>
      <c r="S1" s="48" t="s">
        <v>147</v>
      </c>
      <c r="T1" s="48"/>
      <c r="U1" s="48"/>
      <c r="V1" s="48"/>
      <c r="W1" s="48"/>
      <c r="X1" s="48"/>
      <c r="Y1" s="48"/>
      <c r="Z1" s="48"/>
      <c r="AA1" s="48"/>
      <c r="AB1" s="48"/>
      <c r="AC1" s="48"/>
      <c r="AD1" s="48"/>
      <c r="AE1" s="48"/>
      <c r="AF1" s="48"/>
      <c r="AG1" s="48"/>
      <c r="AH1" s="48"/>
      <c r="AI1" s="48"/>
      <c r="AJ1" s="48"/>
      <c r="AK1" s="48"/>
      <c r="AL1" s="48"/>
      <c r="AM1" s="48"/>
      <c r="AN1" s="48"/>
      <c r="AO1" s="48"/>
      <c r="AP1" s="48"/>
      <c r="AQ1" s="48"/>
      <c r="AR1" s="48"/>
      <c r="AS1" s="48"/>
      <c r="AT1" s="48"/>
      <c r="AU1" s="48"/>
      <c r="AV1" s="48"/>
      <c r="AW1" s="49" t="s">
        <v>148</v>
      </c>
      <c r="AX1" s="49"/>
      <c r="AY1" s="49"/>
      <c r="AZ1" s="49"/>
      <c r="BA1" s="49"/>
      <c r="BB1" s="49"/>
      <c r="BC1" s="49"/>
      <c r="BD1" s="49"/>
      <c r="BE1" s="49"/>
      <c r="BF1" s="49"/>
      <c r="BG1" s="49"/>
      <c r="BH1" s="49"/>
      <c r="BI1" s="49"/>
      <c r="BJ1" s="49"/>
      <c r="BK1" s="49"/>
      <c r="BL1" s="49"/>
      <c r="BM1" s="49"/>
      <c r="BN1" s="49"/>
      <c r="BO1" s="49"/>
      <c r="BP1" s="49"/>
      <c r="BQ1" s="49"/>
      <c r="BR1" s="49"/>
      <c r="BS1" s="49"/>
      <c r="BT1" s="49"/>
      <c r="BU1" s="49"/>
      <c r="BV1" s="49"/>
      <c r="BW1" s="49"/>
      <c r="BX1" s="49"/>
      <c r="BY1" s="49"/>
      <c r="BZ1" s="49"/>
      <c r="CA1" s="50" t="s">
        <v>77</v>
      </c>
      <c r="CB1" s="50"/>
      <c r="CC1" s="48" t="s">
        <v>45</v>
      </c>
      <c r="CD1" s="48"/>
      <c r="CE1" s="48"/>
      <c r="CF1" s="48"/>
      <c r="CG1" s="48"/>
      <c r="CH1" s="48"/>
      <c r="CI1" s="48"/>
      <c r="CJ1" s="48"/>
      <c r="CK1" s="48"/>
      <c r="CL1" s="48"/>
      <c r="CM1" s="48"/>
      <c r="CN1" s="48"/>
      <c r="CO1" s="48"/>
      <c r="CP1" s="48"/>
      <c r="CQ1" s="48"/>
      <c r="CR1" s="48"/>
      <c r="CS1" s="48"/>
      <c r="CT1" s="48"/>
      <c r="CU1" s="48"/>
      <c r="CV1" s="48"/>
      <c r="CW1" s="48"/>
      <c r="CX1" s="48"/>
      <c r="CY1" s="48"/>
      <c r="CZ1" s="48"/>
      <c r="DA1" s="48"/>
      <c r="DB1" s="48"/>
      <c r="DC1" s="48"/>
      <c r="DD1" s="48"/>
      <c r="DE1" s="48"/>
      <c r="DF1" s="48"/>
      <c r="DG1" s="48"/>
      <c r="DH1" s="48"/>
      <c r="DI1" s="48"/>
      <c r="DJ1" s="48"/>
      <c r="DK1" s="48"/>
      <c r="DL1" s="49" t="s">
        <v>46</v>
      </c>
      <c r="DM1" s="49"/>
      <c r="DN1" s="49"/>
      <c r="DO1" s="49"/>
      <c r="DP1" s="49"/>
      <c r="DQ1" s="49"/>
      <c r="DR1" s="49"/>
      <c r="DS1" s="49"/>
      <c r="DT1" s="49"/>
      <c r="DU1" s="49"/>
      <c r="DV1" s="49"/>
      <c r="DW1" s="49"/>
      <c r="DX1" s="49"/>
      <c r="DY1" s="49"/>
      <c r="DZ1" s="49"/>
      <c r="EA1" s="49"/>
      <c r="EB1" s="49"/>
      <c r="EC1" s="49"/>
      <c r="ED1" s="49"/>
      <c r="EE1" s="49"/>
      <c r="EF1" s="49"/>
      <c r="EG1" s="49"/>
      <c r="EH1" s="49"/>
      <c r="EI1" s="49"/>
      <c r="EJ1" s="49"/>
      <c r="EK1" s="49"/>
      <c r="EL1" s="49"/>
      <c r="EM1" s="49"/>
      <c r="EN1" s="49"/>
      <c r="EO1" s="49"/>
      <c r="EP1" s="49"/>
      <c r="EQ1" s="49"/>
      <c r="ER1" s="49"/>
      <c r="ES1" s="49"/>
      <c r="ET1" s="49"/>
    </row>
    <row r="2" spans="1:150" x14ac:dyDescent="0.2">
      <c r="A2" s="55"/>
      <c r="B2" s="55"/>
      <c r="C2" s="55"/>
      <c r="D2" s="55"/>
      <c r="E2" s="55"/>
      <c r="F2" s="56"/>
      <c r="G2" s="56"/>
      <c r="H2" s="55"/>
      <c r="I2" s="56"/>
      <c r="J2" s="53"/>
      <c r="K2" s="52"/>
      <c r="L2" s="53"/>
      <c r="M2" s="52"/>
      <c r="N2" s="52"/>
      <c r="O2" s="52"/>
      <c r="P2" s="54"/>
      <c r="Q2" s="52"/>
      <c r="R2" s="52"/>
      <c r="S2" s="46" t="s">
        <v>78</v>
      </c>
      <c r="T2" s="46"/>
      <c r="U2" s="46"/>
      <c r="V2" s="46"/>
      <c r="W2" s="46" t="s">
        <v>79</v>
      </c>
      <c r="X2" s="46"/>
      <c r="Y2" s="46"/>
      <c r="Z2" s="46"/>
      <c r="AA2" s="46" t="s">
        <v>80</v>
      </c>
      <c r="AB2" s="46"/>
      <c r="AC2" s="46"/>
      <c r="AD2" s="46"/>
      <c r="AE2" s="47" t="s">
        <v>81</v>
      </c>
      <c r="AF2" s="47"/>
      <c r="AG2" s="47"/>
      <c r="AH2" s="47"/>
      <c r="AI2" s="13"/>
      <c r="AJ2" s="13" t="s">
        <v>95</v>
      </c>
      <c r="AK2" s="13" t="s">
        <v>91</v>
      </c>
      <c r="AL2" s="13" t="s">
        <v>96</v>
      </c>
      <c r="AM2" s="13" t="s">
        <v>92</v>
      </c>
      <c r="AN2" s="13" t="s">
        <v>82</v>
      </c>
      <c r="AO2" s="13" t="s">
        <v>13</v>
      </c>
      <c r="AP2" s="13" t="s">
        <v>97</v>
      </c>
      <c r="AQ2" s="13" t="s">
        <v>93</v>
      </c>
      <c r="AR2" s="13" t="s">
        <v>98</v>
      </c>
      <c r="AS2" s="13" t="s">
        <v>94</v>
      </c>
      <c r="AT2" s="13" t="s">
        <v>83</v>
      </c>
      <c r="AU2" s="13" t="s">
        <v>84</v>
      </c>
      <c r="AV2" s="13" t="s">
        <v>12</v>
      </c>
      <c r="AW2" s="44" t="s">
        <v>78</v>
      </c>
      <c r="AX2" s="44"/>
      <c r="AY2" s="44"/>
      <c r="AZ2" s="44"/>
      <c r="BA2" s="44" t="s">
        <v>79</v>
      </c>
      <c r="BB2" s="44"/>
      <c r="BC2" s="44"/>
      <c r="BD2" s="44"/>
      <c r="BE2" s="44" t="s">
        <v>80</v>
      </c>
      <c r="BF2" s="44"/>
      <c r="BG2" s="44"/>
      <c r="BH2" s="44"/>
      <c r="BI2" s="45" t="s">
        <v>81</v>
      </c>
      <c r="BJ2" s="45"/>
      <c r="BK2" s="45"/>
      <c r="BL2" s="45"/>
      <c r="BM2" s="12"/>
      <c r="BN2" s="12" t="s">
        <v>95</v>
      </c>
      <c r="BO2" s="12" t="s">
        <v>91</v>
      </c>
      <c r="BP2" s="12" t="s">
        <v>96</v>
      </c>
      <c r="BQ2" s="12" t="s">
        <v>92</v>
      </c>
      <c r="BR2" s="12" t="s">
        <v>82</v>
      </c>
      <c r="BS2" s="12" t="s">
        <v>13</v>
      </c>
      <c r="BT2" s="12" t="s">
        <v>97</v>
      </c>
      <c r="BU2" s="12" t="s">
        <v>93</v>
      </c>
      <c r="BV2" s="12" t="s">
        <v>98</v>
      </c>
      <c r="BW2" s="12" t="s">
        <v>94</v>
      </c>
      <c r="BX2" s="12" t="s">
        <v>83</v>
      </c>
      <c r="BY2" s="12" t="s">
        <v>84</v>
      </c>
      <c r="BZ2" s="12" t="s">
        <v>12</v>
      </c>
      <c r="CA2" s="33" t="s">
        <v>85</v>
      </c>
      <c r="CB2" s="33" t="s">
        <v>99</v>
      </c>
      <c r="CC2" s="46" t="s">
        <v>78</v>
      </c>
      <c r="CD2" s="46"/>
      <c r="CE2" s="46"/>
      <c r="CF2" s="46"/>
      <c r="CG2" s="46" t="s">
        <v>79</v>
      </c>
      <c r="CH2" s="46"/>
      <c r="CI2" s="46"/>
      <c r="CJ2" s="46"/>
      <c r="CK2" s="46" t="s">
        <v>86</v>
      </c>
      <c r="CL2" s="46"/>
      <c r="CM2" s="46"/>
      <c r="CN2" s="46"/>
      <c r="CO2" s="46" t="s">
        <v>80</v>
      </c>
      <c r="CP2" s="46"/>
      <c r="CQ2" s="46"/>
      <c r="CR2" s="46"/>
      <c r="CS2" s="51" t="s">
        <v>81</v>
      </c>
      <c r="CT2" s="51"/>
      <c r="CU2" s="51"/>
      <c r="CV2" s="51"/>
      <c r="CW2" s="13" t="s">
        <v>95</v>
      </c>
      <c r="CX2" s="13" t="s">
        <v>91</v>
      </c>
      <c r="CY2" s="13" t="s">
        <v>96</v>
      </c>
      <c r="CZ2" s="13" t="s">
        <v>92</v>
      </c>
      <c r="DA2" s="13" t="s">
        <v>87</v>
      </c>
      <c r="DB2" s="13" t="s">
        <v>85</v>
      </c>
      <c r="DC2" s="13" t="s">
        <v>100</v>
      </c>
      <c r="DD2" s="13" t="s">
        <v>86</v>
      </c>
      <c r="DE2" s="13" t="s">
        <v>101</v>
      </c>
      <c r="DF2" s="13" t="s">
        <v>80</v>
      </c>
      <c r="DG2" s="13" t="s">
        <v>102</v>
      </c>
      <c r="DH2" s="13" t="s">
        <v>81</v>
      </c>
      <c r="DI2" s="13" t="s">
        <v>83</v>
      </c>
      <c r="DJ2" s="13" t="s">
        <v>84</v>
      </c>
      <c r="DK2" s="13" t="s">
        <v>12</v>
      </c>
      <c r="DL2" s="44" t="s">
        <v>78</v>
      </c>
      <c r="DM2" s="44"/>
      <c r="DN2" s="44"/>
      <c r="DO2" s="44"/>
      <c r="DP2" s="44" t="s">
        <v>79</v>
      </c>
      <c r="DQ2" s="44"/>
      <c r="DR2" s="44"/>
      <c r="DS2" s="44"/>
      <c r="DT2" s="44" t="s">
        <v>86</v>
      </c>
      <c r="DU2" s="44"/>
      <c r="DV2" s="44"/>
      <c r="DW2" s="44"/>
      <c r="DX2" s="44" t="s">
        <v>80</v>
      </c>
      <c r="DY2" s="44"/>
      <c r="DZ2" s="44"/>
      <c r="EA2" s="44"/>
      <c r="EB2" s="45" t="s">
        <v>81</v>
      </c>
      <c r="EC2" s="45"/>
      <c r="ED2" s="45"/>
      <c r="EE2" s="45"/>
      <c r="EF2" s="12" t="s">
        <v>95</v>
      </c>
      <c r="EG2" s="12" t="s">
        <v>91</v>
      </c>
      <c r="EH2" s="12" t="s">
        <v>96</v>
      </c>
      <c r="EI2" s="12" t="s">
        <v>92</v>
      </c>
      <c r="EJ2" s="12" t="s">
        <v>87</v>
      </c>
      <c r="EK2" s="12" t="s">
        <v>85</v>
      </c>
      <c r="EL2" s="12" t="s">
        <v>100</v>
      </c>
      <c r="EM2" s="12" t="s">
        <v>86</v>
      </c>
      <c r="EN2" s="12" t="s">
        <v>101</v>
      </c>
      <c r="EO2" s="12" t="s">
        <v>80</v>
      </c>
      <c r="EP2" s="12" t="s">
        <v>102</v>
      </c>
      <c r="EQ2" s="12" t="s">
        <v>81</v>
      </c>
      <c r="ER2" s="12" t="s">
        <v>83</v>
      </c>
      <c r="ES2" s="12" t="s">
        <v>84</v>
      </c>
      <c r="ET2" s="12" t="s">
        <v>12</v>
      </c>
    </row>
    <row r="3" spans="1:150" x14ac:dyDescent="0.2">
      <c r="A3" s="55"/>
      <c r="B3" s="55"/>
      <c r="C3" s="55"/>
      <c r="D3" s="55"/>
      <c r="E3" s="55"/>
      <c r="F3" s="56"/>
      <c r="G3" s="56"/>
      <c r="H3" s="55"/>
      <c r="I3" s="56"/>
      <c r="J3" s="53"/>
      <c r="K3" s="52"/>
      <c r="L3" s="53"/>
      <c r="M3" s="52"/>
      <c r="N3" s="52"/>
      <c r="O3" s="52"/>
      <c r="P3" s="54"/>
      <c r="Q3" s="52"/>
      <c r="R3" s="52"/>
      <c r="S3" s="13" t="s">
        <v>11</v>
      </c>
      <c r="T3" s="13" t="s">
        <v>7</v>
      </c>
      <c r="U3" s="13" t="s">
        <v>15</v>
      </c>
      <c r="V3" s="13" t="s">
        <v>88</v>
      </c>
      <c r="W3" s="13" t="s">
        <v>11</v>
      </c>
      <c r="X3" s="13" t="s">
        <v>7</v>
      </c>
      <c r="Y3" s="13" t="s">
        <v>15</v>
      </c>
      <c r="Z3" s="13" t="s">
        <v>88</v>
      </c>
      <c r="AA3" s="13" t="s">
        <v>11</v>
      </c>
      <c r="AB3" s="13" t="s">
        <v>7</v>
      </c>
      <c r="AC3" s="13" t="s">
        <v>15</v>
      </c>
      <c r="AD3" s="13" t="s">
        <v>88</v>
      </c>
      <c r="AE3" s="35" t="s">
        <v>11</v>
      </c>
      <c r="AF3" s="35" t="s">
        <v>7</v>
      </c>
      <c r="AG3" s="35" t="s">
        <v>15</v>
      </c>
      <c r="AH3" s="35" t="s">
        <v>88</v>
      </c>
      <c r="AI3" s="13" t="s">
        <v>28</v>
      </c>
      <c r="AJ3" s="13"/>
      <c r="AK3" s="13"/>
      <c r="AL3" s="13"/>
      <c r="AM3" s="13"/>
      <c r="AN3" s="13"/>
      <c r="AO3" s="13"/>
      <c r="AP3" s="13"/>
      <c r="AQ3" s="13"/>
      <c r="AR3" s="13"/>
      <c r="AS3" s="13"/>
      <c r="AT3" s="13"/>
      <c r="AU3" s="13"/>
      <c r="AV3" s="13"/>
      <c r="AW3" s="12" t="s">
        <v>11</v>
      </c>
      <c r="AX3" s="12" t="s">
        <v>7</v>
      </c>
      <c r="AY3" s="12" t="s">
        <v>15</v>
      </c>
      <c r="AZ3" s="12" t="s">
        <v>88</v>
      </c>
      <c r="BA3" s="12" t="s">
        <v>11</v>
      </c>
      <c r="BB3" s="12" t="s">
        <v>7</v>
      </c>
      <c r="BC3" s="12" t="s">
        <v>15</v>
      </c>
      <c r="BD3" s="12" t="s">
        <v>88</v>
      </c>
      <c r="BE3" s="12" t="s">
        <v>11</v>
      </c>
      <c r="BF3" s="12" t="s">
        <v>7</v>
      </c>
      <c r="BG3" s="12" t="s">
        <v>15</v>
      </c>
      <c r="BH3" s="12" t="s">
        <v>88</v>
      </c>
      <c r="BI3" s="36" t="s">
        <v>11</v>
      </c>
      <c r="BJ3" s="36" t="s">
        <v>7</v>
      </c>
      <c r="BK3" s="36" t="s">
        <v>15</v>
      </c>
      <c r="BL3" s="36" t="s">
        <v>88</v>
      </c>
      <c r="BM3" s="12" t="s">
        <v>28</v>
      </c>
      <c r="BN3" s="12"/>
      <c r="BO3" s="12"/>
      <c r="BP3" s="12"/>
      <c r="BQ3" s="12"/>
      <c r="BR3" s="12"/>
      <c r="BS3" s="12"/>
      <c r="BT3" s="12"/>
      <c r="BU3" s="12"/>
      <c r="BV3" s="12"/>
      <c r="BW3" s="12"/>
      <c r="BX3" s="12"/>
      <c r="BY3" s="12"/>
      <c r="BZ3" s="12"/>
      <c r="CA3" s="33"/>
      <c r="CB3" s="33"/>
      <c r="CC3" s="13" t="s">
        <v>11</v>
      </c>
      <c r="CD3" s="13" t="s">
        <v>7</v>
      </c>
      <c r="CE3" s="13" t="s">
        <v>15</v>
      </c>
      <c r="CF3" s="13" t="s">
        <v>88</v>
      </c>
      <c r="CG3" s="13" t="s">
        <v>11</v>
      </c>
      <c r="CH3" s="13" t="s">
        <v>7</v>
      </c>
      <c r="CI3" s="13" t="s">
        <v>15</v>
      </c>
      <c r="CJ3" s="13" t="s">
        <v>88</v>
      </c>
      <c r="CK3" s="13" t="s">
        <v>11</v>
      </c>
      <c r="CL3" s="13" t="s">
        <v>7</v>
      </c>
      <c r="CM3" s="13" t="s">
        <v>15</v>
      </c>
      <c r="CN3" s="13" t="s">
        <v>88</v>
      </c>
      <c r="CO3" s="13" t="s">
        <v>11</v>
      </c>
      <c r="CP3" s="13" t="s">
        <v>7</v>
      </c>
      <c r="CQ3" s="13" t="s">
        <v>15</v>
      </c>
      <c r="CR3" s="13" t="s">
        <v>88</v>
      </c>
      <c r="CS3" s="37" t="s">
        <v>11</v>
      </c>
      <c r="CT3" s="37" t="s">
        <v>7</v>
      </c>
      <c r="CU3" s="37" t="s">
        <v>15</v>
      </c>
      <c r="CV3" s="37" t="s">
        <v>88</v>
      </c>
      <c r="CW3" s="13"/>
      <c r="CX3" s="13"/>
      <c r="CY3" s="13"/>
      <c r="CZ3" s="13"/>
      <c r="DA3" s="13"/>
      <c r="DB3" s="13"/>
      <c r="DC3" s="13"/>
      <c r="DD3" s="13"/>
      <c r="DE3" s="13"/>
      <c r="DF3" s="13"/>
      <c r="DG3" s="13"/>
      <c r="DH3" s="13"/>
      <c r="DI3" s="13"/>
      <c r="DJ3" s="13"/>
      <c r="DK3" s="13"/>
      <c r="DL3" s="12" t="s">
        <v>11</v>
      </c>
      <c r="DM3" s="12" t="s">
        <v>7</v>
      </c>
      <c r="DN3" s="12" t="s">
        <v>15</v>
      </c>
      <c r="DO3" s="12" t="s">
        <v>88</v>
      </c>
      <c r="DP3" s="12" t="s">
        <v>11</v>
      </c>
      <c r="DQ3" s="12" t="s">
        <v>7</v>
      </c>
      <c r="DR3" s="12" t="s">
        <v>15</v>
      </c>
      <c r="DS3" s="12" t="s">
        <v>88</v>
      </c>
      <c r="DT3" s="12" t="s">
        <v>11</v>
      </c>
      <c r="DU3" s="12" t="s">
        <v>7</v>
      </c>
      <c r="DV3" s="12" t="s">
        <v>15</v>
      </c>
      <c r="DW3" s="12" t="s">
        <v>88</v>
      </c>
      <c r="DX3" s="12" t="s">
        <v>11</v>
      </c>
      <c r="DY3" s="12" t="s">
        <v>7</v>
      </c>
      <c r="DZ3" s="12" t="s">
        <v>15</v>
      </c>
      <c r="EA3" s="12" t="s">
        <v>88</v>
      </c>
      <c r="EB3" s="36" t="s">
        <v>11</v>
      </c>
      <c r="EC3" s="36" t="s">
        <v>7</v>
      </c>
      <c r="ED3" s="36" t="s">
        <v>15</v>
      </c>
      <c r="EE3" s="36" t="s">
        <v>88</v>
      </c>
      <c r="EF3" s="12"/>
      <c r="EG3" s="12"/>
      <c r="EH3" s="12"/>
      <c r="EI3" s="12"/>
      <c r="EJ3" s="12"/>
      <c r="EK3" s="12"/>
      <c r="EL3" s="12"/>
      <c r="EM3" s="12"/>
      <c r="EN3" s="12"/>
      <c r="EO3" s="12"/>
      <c r="EP3" s="12"/>
      <c r="EQ3" s="12"/>
      <c r="ER3" s="12"/>
      <c r="ES3" s="12"/>
      <c r="ET3" s="12"/>
    </row>
    <row r="4" spans="1:150" x14ac:dyDescent="0.2">
      <c r="A4" s="3" cm="1">
        <f t="array" ref="A4">IF(AND(H4&lt;&gt;"",H4&lt;&gt;"No DD"),SUMPRODUCT((H$4:H$22&lt;&gt;"")*(H$4:H$22&lt;&gt;"No DD")*(E$4:E$22&gt;E4))+1,IF(H4="No DD",SUMPRODUCT((H$4:H$22="No DD")*(E$4:E$22&gt;E4))+1+SUMPRODUCT((H$4:H$22&lt;&gt;"")*(H$4:H$22&lt;&gt;"No DD")),""))</f>
        <v>1</v>
      </c>
      <c r="B4" s="4" t="s">
        <v>152</v>
      </c>
      <c r="C4" s="3" t="s">
        <v>5</v>
      </c>
      <c r="D4" s="3">
        <v>2009</v>
      </c>
      <c r="E4" s="8">
        <f t="shared" ref="E4:E21" si="0">SUM(J4:P4)+SUM(J4:M4)*0.0000001+SUM(J4)*0.0000000000001</f>
        <v>103.40000770000502</v>
      </c>
      <c r="F4" s="2" t="str">
        <f>IF(OR(AND(AO4&lt;&gt;"",AO4&gt;=AV$27,AN4&gt;=AV$24),AND(AU4&lt;&gt;"",AU4&gt;=AV$27,AT4&gt;=AV$24),AND(BS4&lt;&gt;"",BS4&gt;=BZ$27,BR4&gt;=BZ$24),AND(BY4&lt;&gt;"",BY4&gt;=BZ$27,BX4&gt;=BZ$24),AND(DB4&lt;&gt;"",DB4&gt;=DK$27,DA4&gt;=DK$24),AND(DJ4&lt;&gt;"",DJ4&gt;=DK$27,DI4&gt;=DK$24),AND(EK4&lt;&gt;"",EK4&gt;=ET$27,EJ4&gt;=ET$24),AND(ES4&lt;&gt;"",ES4&gt;=ET$27,ER4&gt;=ET$24)),"P","")</f>
        <v>P</v>
      </c>
      <c r="G4" s="2" t="str">
        <f>IF(OR(AND(AO4&lt;&gt;"",AO4&gt;=AV$27),AND(AU4&lt;&gt;"",AU4&gt;=AV$27),AND(BS4&lt;&gt;"",BS4&gt;=BZ$27),AND(BY4&lt;&gt;"",BY4&gt;=BZ$27),AND(DB4&lt;&gt;"",DB4&gt;=DK$27),AND(DJ4&lt;&gt;"",DJ4&gt;=DK$27),AND(EK4&lt;&gt;"",EK4&gt;=ET$27),AND(ES4&lt;&gt;"",ES4&gt;=ET$27)),"P","")</f>
        <v>P</v>
      </c>
      <c r="H4" s="26" t="str">
        <f>IF(AND(G4="P",F4=""),"No DD",IF(OR(AND(AK4&lt;&gt;"",AK4&gt;=AV$29,AJ4&gt;=AV$26),AND(AM4&lt;&gt;"",AM4&gt;=AV$29,AL4&gt;=AV$26),AND(AQ4&lt;&gt;"",AQ4&gt;=AV$29,AP4&gt;=AV$26),AND(AS4&lt;&gt;"",AS4&gt;=AV$29,AR4&gt;=AV$26),AND(BO4&lt;&gt;"",BO4&gt;=BZ$29,BN4&gt;=BZ$26),AND(BQ4&lt;&gt;"",BQ4&gt;=BZ$29,BP4&gt;=BZ$26),AND(BV4&lt;&gt;"",BV4&gt;=BZ$29,BU4&gt;=BZ$26),AND(BX4&lt;&gt;"",BX4&gt;=BZ$29,BW4&gt;=BZ$26),AND(CX4&lt;&gt;"",CX4&gt;=DK$29,CW4&gt;=DK$26),AND(CZ4&lt;&gt;"",CZ4&gt;=DK$29,CY4&gt;=DK$26),AND(DD4&lt;&gt;"",DD4&gt;=DK$29,DC4&gt;=DK$26),AND(DF4&lt;&gt;"",DF4&gt;=DK$29,DE4&gt;=DK$26),AND(DH4&lt;&gt;"",DH4&gt;=DK$29,DG4&gt;=DK$26),AND(EG4&lt;&gt;"",EG4&gt;=ET$29,EF4&gt;=ET$26),AND(EI4&lt;&gt;"",EI4&gt;=ET$29,EH4&gt;=ET$26),AND(EM4&lt;&gt;"",EM4&gt;=ET$29,EL4&gt;=ET$26),AND(EO4&lt;&gt;"",EO4&gt;=ET$29,EN4&gt;=ET$26),AND(EQ4&lt;&gt;"",EQ4&gt;=ET$29,EP4&gt;=ET$26)),"Performance",IF(I4="P","Worlds Team",IF(F4="P","National Team",""))))</f>
        <v>Performance</v>
      </c>
      <c r="I4" s="2" t="str">
        <f>IF(OR(AND(AO4&lt;&gt;"",AO4&gt;=AV$28,AN4&gt;=AV$25),AND(AU4&lt;&gt;"",AU4&gt;=AV$28,AT4&gt;=AV$25),AND(BS4&lt;&gt;"",BS4&gt;=BZ$28,BR4&gt;=BZ$25),AND(BY4&lt;&gt;"",BY4&gt;=BZ$28,BX4&gt;=BZ$25),AND(DB4&lt;&gt;"",DB4&gt;=DK$28,DA4&gt;=DK$25),AND(DJ4&lt;&gt;"",DJ4&gt;=DK$28,DI4&gt;=DK$25),AND(EK4&lt;&gt;"",EK4&gt;=ET$28,EJ4&gt;=ET$25),AND(ES4&lt;&gt;"",ES4&gt;=ET$28,ER4&gt;=ET$25)),"P","")</f>
        <v>P</v>
      </c>
      <c r="J4" s="7">
        <f t="shared" ref="J4:J21" si="1">IF(COUNT(AO4,BS4)&gt;0,MAX(AO4,BS4),0)</f>
        <v>50.099999999999994</v>
      </c>
      <c r="K4" s="7" t="str">
        <f t="shared" ref="K4:K21" si="2">IF(J4=0,"",IF(J4=BS4,$AW$1,IF(J4=AO4,$S$1,"")))</f>
        <v>2026 Elite Canada</v>
      </c>
      <c r="L4" s="7">
        <f>IF(J4=AO4,IF(COUNT(AQ4,AS4,BO4,BQ4,BU4,BW4)&gt;1,LARGE((AQ4,AS4,BO4,BQ4,BU4,BW4),1),0),IF(COUNT(AK4,AM4,AQ4,AS4,BU4,BW4)&gt;1,LARGE((AK4,AM4,AQ4,AS4,BU4,BW4),1),0))</f>
        <v>26.900000000000002</v>
      </c>
      <c r="M4" s="7" t="str">
        <f t="shared" ref="M4:M21" si="3">IF(L4=0,"",IF(OR(L4=BO4,L4=BQ4,L4=BU4,L4=BW4),$AW$1,IF(OR(L4=AK4,L4=AM4,L4=AQ4,L4=AS4),$S$1,"")))</f>
        <v>2026 Elite Canada</v>
      </c>
      <c r="N4" s="7">
        <f>IF(J4=AO4,IF(COUNT(AQ4,AS4,BO4,BQ4,BU4,BW4)&gt;1,LARGE((AQ4,AS4,BO4,BQ4,BU4,BW4),2),0),IF(COUNT(AK4,AM4,AQ4,AS4,BU4,BW4)&gt;1,LARGE((AK4,AM4,AQ4,AS4,BU4,BW4),2),0))</f>
        <v>25.200000000000003</v>
      </c>
      <c r="O4" s="7" t="str">
        <f t="shared" ref="O4:O21" si="4">IF(N4=0,"",IF(OR(N4=BO4,N4=BQ4,N4=BU4,N4=BW4),$AW$1,IF(OR(N4=AK4,N4=AM4,N4=AQ4,N4=AS4),$S$1,"")))</f>
        <v>2026 Elite Canada</v>
      </c>
      <c r="P4" s="7">
        <f t="shared" ref="P4:P21" si="5">IF(MAX(CA4:CB4)&gt;0,MAX(CA4:CB4),"")</f>
        <v>1.2000000000000028</v>
      </c>
      <c r="Q4" s="10" t="str">
        <f t="shared" ref="Q4:Q21" si="6">IF(P4="","",IF(P4=CA4,"("&amp;CA$2&amp;")",IF(P4=CB4,"("&amp;CB$2&amp;")")))</f>
        <v>(Q1)</v>
      </c>
      <c r="R4" s="7" t="str">
        <f t="shared" ref="R4:R21" si="7">IF(P4="","",IF(P4=CA4,IF(P4+MAX(J4,0)=EK4,$DL$1,IF(P4+MAX(J4,0)=DB4,$CC$1)),IF(P4=CB4,IF(P4+MAX(N4,0)=MAX(EG4,EI4,EM4,EO4,EQ4),$DL$1,IF(P4+MAX(N4,0)=MAX(CX4,CZ4,DD4,DF4,DH4),$CC$1)))))</f>
        <v>2025 WAGC (Nov 16)</v>
      </c>
      <c r="S4" s="38">
        <v>18.3</v>
      </c>
      <c r="T4" s="38">
        <v>5.6</v>
      </c>
      <c r="U4" s="38">
        <v>0</v>
      </c>
      <c r="V4" s="38">
        <v>0</v>
      </c>
      <c r="W4" s="38">
        <v>18.899999999999999</v>
      </c>
      <c r="X4" s="38">
        <v>6.8</v>
      </c>
      <c r="Y4" s="38">
        <v>0</v>
      </c>
      <c r="Z4" s="38">
        <v>0.50000000000000089</v>
      </c>
      <c r="AA4" s="38">
        <v>18.8</v>
      </c>
      <c r="AB4" s="38">
        <v>6.4</v>
      </c>
      <c r="AC4" s="38">
        <v>0</v>
      </c>
      <c r="AD4" s="38">
        <v>0</v>
      </c>
      <c r="AE4" s="38">
        <v>18.5</v>
      </c>
      <c r="AF4" s="38">
        <v>7.6</v>
      </c>
      <c r="AG4" s="38">
        <v>0.2</v>
      </c>
      <c r="AH4" s="38">
        <v>0.99999999999999889</v>
      </c>
      <c r="AI4" s="19"/>
      <c r="AJ4" s="41">
        <f t="shared" ref="AJ4:AJ21" si="8">IF(T4="","",T4)</f>
        <v>5.6</v>
      </c>
      <c r="AK4" s="41">
        <f t="shared" ref="AK4:AK21" si="9">IF(S4="","",S4+T4+V4-U4)</f>
        <v>23.9</v>
      </c>
      <c r="AL4" s="41">
        <f t="shared" ref="AL4:AL21" si="10">IF(X4="","",X4)</f>
        <v>6.8</v>
      </c>
      <c r="AM4" s="41">
        <f t="shared" ref="AM4:AM21" si="11">IF(W4="","",W4+X4+Z4-Y4)</f>
        <v>26.2</v>
      </c>
      <c r="AN4" s="27">
        <f t="shared" ref="AN4:AN21" si="12">IF(SUM(T4,X4)&gt;0,SUM(T4,X4),"")</f>
        <v>12.399999999999999</v>
      </c>
      <c r="AO4" s="27">
        <f t="shared" ref="AO4:AO21" si="13">IF(SUM(AK4,AM4)&gt;0,SUM(AK4,AM4),"")</f>
        <v>50.099999999999994</v>
      </c>
      <c r="AP4" s="27">
        <f t="shared" ref="AP4:AP21" si="14">IF(AB4="","",AB4)</f>
        <v>6.4</v>
      </c>
      <c r="AQ4" s="27">
        <f t="shared" ref="AQ4:AQ21" si="15">IF(AA4="","",AA4+AB4+AD4-AC4)</f>
        <v>25.200000000000003</v>
      </c>
      <c r="AR4" s="27">
        <f t="shared" ref="AR4:AR21" si="16">IF(AF4="","",AF4)</f>
        <v>7.6</v>
      </c>
      <c r="AS4" s="27">
        <f t="shared" ref="AS4:AS21" si="17">IF(AE4="","",AE4+AF4+AH4-AG4)</f>
        <v>26.900000000000002</v>
      </c>
      <c r="AT4" s="27">
        <f t="shared" ref="AT4:AT21" si="18">IF(SUM(AB4,AF4)&gt;0,SUM(AB4,AF4),"")</f>
        <v>14</v>
      </c>
      <c r="AU4" s="27">
        <f t="shared" ref="AU4:AU21" si="19">IF(SUM(AQ4,AS4)&gt;0,SUM(AQ4,AS4),"")</f>
        <v>52.100000000000009</v>
      </c>
      <c r="AV4" s="27">
        <f t="shared" ref="AV4:AV21" si="20">IF(SUM(AO4,AU4)&gt;0,SUM(AO4,AU4),"")</f>
        <v>102.2</v>
      </c>
      <c r="AW4" s="15"/>
      <c r="AX4" s="15"/>
      <c r="AY4" s="15"/>
      <c r="AZ4" s="15"/>
      <c r="BA4" s="15"/>
      <c r="BB4" s="15"/>
      <c r="BC4" s="15"/>
      <c r="BD4" s="15"/>
      <c r="BE4" s="15"/>
      <c r="BF4" s="15"/>
      <c r="BG4" s="15"/>
      <c r="BH4" s="15"/>
      <c r="BI4" s="15"/>
      <c r="BJ4" s="15"/>
      <c r="BK4" s="15"/>
      <c r="BL4" s="15"/>
      <c r="BM4" s="20"/>
      <c r="BN4" s="42" t="str">
        <f t="shared" ref="BN4:BN21" si="21">IF(AX4="","",AX4)</f>
        <v/>
      </c>
      <c r="BO4" s="42" t="str">
        <f t="shared" ref="BO4:BO21" si="22">IF(AW4="","",AW4+AX4+AZ4-AY4)</f>
        <v/>
      </c>
      <c r="BP4" s="42" t="str">
        <f t="shared" ref="BP4:BP21" si="23">IF(BB4="","",BB4)</f>
        <v/>
      </c>
      <c r="BQ4" s="42" t="str">
        <f t="shared" ref="BQ4:BQ21" si="24">IF(BA4="","",BA4+BB4+BD4-BC4)</f>
        <v/>
      </c>
      <c r="BR4" s="10" t="str">
        <f t="shared" ref="BR4:BR21" si="25">IF(SUM(AX4,BB4)&gt;0,SUM(AX4,BB4),"")</f>
        <v/>
      </c>
      <c r="BS4" s="10" t="str">
        <f t="shared" ref="BS4:BS21" si="26">IF(SUM(BO4,BQ4)&gt;0,SUM(BO4,BQ4),"")</f>
        <v/>
      </c>
      <c r="BT4" s="10" t="str">
        <f t="shared" ref="BT4:BT21" si="27">IF(BF4="","",BF4)</f>
        <v/>
      </c>
      <c r="BU4" s="10" t="str">
        <f t="shared" ref="BU4:BU21" si="28">IF(BE4="","",BE4+BF4+BH4-BG4)</f>
        <v/>
      </c>
      <c r="BV4" s="10" t="str">
        <f t="shared" ref="BV4:BV21" si="29">IF(BJ4="","",BJ4)</f>
        <v/>
      </c>
      <c r="BW4" s="10" t="str">
        <f t="shared" ref="BW4:BW21" si="30">IF(BI4="","",BI4+BJ4+BL4-BK4)</f>
        <v/>
      </c>
      <c r="BX4" s="10" t="str">
        <f t="shared" ref="BX4:BX21" si="31">IF(SUM(BF4,BJ4)&gt;0,SUM(BF4,BJ4),"")</f>
        <v/>
      </c>
      <c r="BY4" s="10" t="str">
        <f t="shared" ref="BY4:BY21" si="32">IF(SUM(BU4,BW4)&gt;0,SUM(BU4,BW4),"")</f>
        <v/>
      </c>
      <c r="BZ4" s="10" t="str">
        <f t="shared" ref="BZ4:BZ21" si="33">IF(SUM(BS4,BY4)&gt;0,SUM(BS4,BY4),"")</f>
        <v/>
      </c>
      <c r="CA4" s="34">
        <f t="shared" ref="CA4:CA21" si="34">IF(MAX(DB4,EK4)-IF(J4="",0,J4)&gt;0.001,MAX(DB4,EK4)-IF(J4="",0,J4),"")</f>
        <v>1.2000000000000028</v>
      </c>
      <c r="CB4" s="34">
        <f t="shared" ref="CB4:CB21" si="35">IF(MAX(CX4,CZ4,DD4,DF4,DH4,EG4,EI4,EM4,EO4)-IF(N4="",0,N4)&gt;0.001,MAX(CX4,CZ4,DD4,DF4,DH4,EG4,EI4,EM4,EO4)-IF(N4="",0,N4),"")</f>
        <v>0.79999999999999716</v>
      </c>
      <c r="CC4" s="14"/>
      <c r="CD4" s="14"/>
      <c r="CE4" s="14"/>
      <c r="CF4" s="14"/>
      <c r="CG4" s="14"/>
      <c r="CH4" s="14"/>
      <c r="CI4" s="14"/>
      <c r="CJ4" s="14"/>
      <c r="CK4" s="14"/>
      <c r="CL4" s="14"/>
      <c r="CM4" s="14"/>
      <c r="CN4" s="14"/>
      <c r="CO4" s="14"/>
      <c r="CP4" s="14"/>
      <c r="CQ4" s="14"/>
      <c r="CR4" s="14"/>
      <c r="CS4" s="14"/>
      <c r="CT4" s="14"/>
      <c r="CU4" s="14"/>
      <c r="CV4" s="14"/>
      <c r="CW4" s="27" t="str">
        <f t="shared" ref="CW4:CW21" si="36">IF(CD4="","",CD4)</f>
        <v/>
      </c>
      <c r="CX4" s="27" t="str">
        <f t="shared" ref="CX4:CX21" si="37">IF(CC4="","",CC4+CD4+CF4-CE4)</f>
        <v/>
      </c>
      <c r="CY4" s="27" t="str">
        <f t="shared" ref="CY4:CY21" si="38">IF(CH4="","",CH4)</f>
        <v/>
      </c>
      <c r="CZ4" s="27" t="str">
        <f t="shared" ref="CZ4:CZ21" si="39">IF(CG4="","",CG4+CH4+CJ4-CI4)</f>
        <v/>
      </c>
      <c r="DA4" s="27" t="str">
        <f t="shared" ref="DA4:DA21" si="40">IF(CW4="","",SUM(CW4,CY4))</f>
        <v/>
      </c>
      <c r="DB4" s="27" t="str">
        <f t="shared" ref="DB4:DB21" si="41">IF(CX4="","",SUM(CX4,CZ4))</f>
        <v/>
      </c>
      <c r="DC4" s="27" t="str">
        <f t="shared" ref="DC4:DC21" si="42">IF(CL4="","",CL4)</f>
        <v/>
      </c>
      <c r="DD4" s="27" t="str">
        <f t="shared" ref="DD4:DD21" si="43">IF(CK4="","",CK4+CL4+CN4-CM4)</f>
        <v/>
      </c>
      <c r="DE4" s="27" t="str">
        <f t="shared" ref="DE4:DE21" si="44">IF(CP4="","",CP4)</f>
        <v/>
      </c>
      <c r="DF4" s="27" t="str">
        <f t="shared" ref="DF4:DF21" si="45">IF(CO4="","",CO4+CP4+CR4-CQ4)</f>
        <v/>
      </c>
      <c r="DG4" s="27" t="str">
        <f t="shared" ref="DG4:DG21" si="46">IF(CT4="","",CT4)</f>
        <v/>
      </c>
      <c r="DH4" s="27" t="str">
        <f t="shared" ref="DH4:DH21" si="47">IF(CS4="","",CS4+CT4+CV4-CU4)</f>
        <v/>
      </c>
      <c r="DI4" s="27" t="str">
        <f t="shared" ref="DI4:DI21" si="48">IF(DE4="","",SUM(DE4,DG4))</f>
        <v/>
      </c>
      <c r="DJ4" s="27" t="str">
        <f t="shared" ref="DJ4:DJ21" si="49">IF(DF4="","",SUM(DF4,DH4))</f>
        <v/>
      </c>
      <c r="DK4" s="27" t="str">
        <f t="shared" ref="DK4:DK21" si="50">IF(DB4="","",SUM(DB4,DD4,DH4))</f>
        <v/>
      </c>
      <c r="DL4" s="15">
        <v>18.899999999999999</v>
      </c>
      <c r="DM4" s="15">
        <v>6.4</v>
      </c>
      <c r="DN4" s="15">
        <v>0</v>
      </c>
      <c r="DO4" s="15">
        <v>0</v>
      </c>
      <c r="DP4" s="15">
        <v>19.2</v>
      </c>
      <c r="DQ4" s="15">
        <v>6.8</v>
      </c>
      <c r="DR4" s="15">
        <v>0</v>
      </c>
      <c r="DS4" s="15">
        <v>0</v>
      </c>
      <c r="DT4" s="15">
        <v>18.600000000000001</v>
      </c>
      <c r="DU4" s="15">
        <v>6.8</v>
      </c>
      <c r="DV4" s="15">
        <v>0</v>
      </c>
      <c r="DW4" s="15">
        <v>0</v>
      </c>
      <c r="DX4" s="15">
        <v>18.8</v>
      </c>
      <c r="DY4" s="15">
        <v>6.4</v>
      </c>
      <c r="DZ4" s="15">
        <v>0.6</v>
      </c>
      <c r="EA4" s="15">
        <v>0</v>
      </c>
      <c r="EB4" s="15"/>
      <c r="EC4" s="15"/>
      <c r="ED4" s="15"/>
      <c r="EE4" s="15"/>
      <c r="EF4" s="10">
        <f t="shared" ref="EF4:EF21" si="51">IF(DM4="","",DM4)</f>
        <v>6.4</v>
      </c>
      <c r="EG4" s="10">
        <f t="shared" ref="EG4:EG21" si="52">IF(DL4="","",DL4+DM4+DO4-DN4)</f>
        <v>25.299999999999997</v>
      </c>
      <c r="EH4" s="10">
        <f t="shared" ref="EH4:EH21" si="53">IF(DQ4="","",DQ4)</f>
        <v>6.8</v>
      </c>
      <c r="EI4" s="10">
        <f t="shared" ref="EI4:EI21" si="54">IF(DP4="","",DP4+DQ4+DS4-DR4)</f>
        <v>26</v>
      </c>
      <c r="EJ4" s="10">
        <f t="shared" ref="EJ4:EJ21" si="55">IF(EF4="","",SUM(EF4,EH4))</f>
        <v>13.2</v>
      </c>
      <c r="EK4" s="10">
        <f t="shared" ref="EK4:EK21" si="56">IF(EG4="","",SUM(EG4,EI4))</f>
        <v>51.3</v>
      </c>
      <c r="EL4" s="10">
        <f t="shared" ref="EL4:EL21" si="57">IF(DU4="","",DU4)</f>
        <v>6.8</v>
      </c>
      <c r="EM4" s="10">
        <f t="shared" ref="EM4:EM21" si="58">IF(DT4="","",DT4+DU4+DW4-DV4)</f>
        <v>25.400000000000002</v>
      </c>
      <c r="EN4" s="10">
        <f t="shared" ref="EN4:EN21" si="59">IF(DY4="","",DY4)</f>
        <v>6.4</v>
      </c>
      <c r="EO4" s="10">
        <f t="shared" ref="EO4:EO21" si="60">IF(DX4="","",DX4+DY4+EA4-DZ4)</f>
        <v>24.6</v>
      </c>
      <c r="EP4" s="10" t="str">
        <f t="shared" ref="EP4:EP21" si="61">IF(EC4="","",EC4)</f>
        <v/>
      </c>
      <c r="EQ4" s="10" t="str">
        <f t="shared" ref="EQ4:EQ21" si="62">IF(EB4="","",EB4+EC4+EE4-ED4)</f>
        <v/>
      </c>
      <c r="ER4" s="10">
        <f t="shared" ref="ER4:ER21" si="63">IF(EN4="","",SUM(EN4,EP4))</f>
        <v>6.4</v>
      </c>
      <c r="ES4" s="10">
        <f t="shared" ref="ES4:ES21" si="64">IF(EO4="","",SUM(EO4,EQ4))</f>
        <v>24.6</v>
      </c>
      <c r="ET4" s="10">
        <f t="shared" ref="ET4:ET21" si="65">IF(EK4="","",SUM(EK4,EM4,EQ4))</f>
        <v>76.7</v>
      </c>
    </row>
    <row r="5" spans="1:150" x14ac:dyDescent="0.2">
      <c r="A5" s="3" cm="1">
        <f t="array" ref="A5">IF(AND(H5&lt;&gt;"",H5&lt;&gt;"No DD"),SUMPRODUCT((H$4:H$22&lt;&gt;"")*(H$4:H$22&lt;&gt;"No DD")*(E$4:E$22&gt;E5))+1,IF(H5="No DD",SUMPRODUCT((H$4:H$22="No DD")*(E$4:E$22&gt;E5))+1+SUMPRODUCT((H$4:H$22&lt;&gt;"")*(H$4:H$22&lt;&gt;"No DD")),""))</f>
        <v>2</v>
      </c>
      <c r="B5" s="4" t="s">
        <v>40</v>
      </c>
      <c r="C5" s="3" t="s">
        <v>4</v>
      </c>
      <c r="D5" s="3">
        <v>1999</v>
      </c>
      <c r="E5" s="8">
        <f t="shared" si="0"/>
        <v>102.00000769000512</v>
      </c>
      <c r="F5" s="2" t="str">
        <f>IF(OR(AND(AO5&lt;&gt;"",AO5&gt;=AV$27,AN5&gt;=AV$24),AND(AU5&lt;&gt;"",AU5&gt;=AV$27,AT5&gt;=AV$24),AND(BS5&lt;&gt;"",BS5&gt;=BZ$27,BR5&gt;=BZ$24),AND(BY5&lt;&gt;"",BY5&gt;=BZ$27,BX5&gt;=BZ$24),AND(DB5&lt;&gt;"",DB5&gt;=DK$27,DA5&gt;=DK$24),AND(DJ5&lt;&gt;"",DJ5&gt;=DK$27,DI5&gt;=DK$24),AND(EK5&lt;&gt;"",EK5&gt;=ET$27,EJ5&gt;=ET$24),AND(ES5&lt;&gt;"",ES5&gt;=ET$27,ER5&gt;=ET$24)),"P","")</f>
        <v>P</v>
      </c>
      <c r="G5" s="2" t="str">
        <f>IF(OR(AND(AO5&lt;&gt;"",AO5&gt;=AV$27),AND(AU5&lt;&gt;"",AU5&gt;=AV$27),AND(BS5&lt;&gt;"",BS5&gt;=BZ$27),AND(BY5&lt;&gt;"",BY5&gt;=BZ$27),AND(DB5&lt;&gt;"",DB5&gt;=DK$27),AND(DJ5&lt;&gt;"",DJ5&gt;=DK$27),AND(EK5&lt;&gt;"",EK5&gt;=ET$27),AND(ES5&lt;&gt;"",ES5&gt;=ET$27)),"P","")</f>
        <v>P</v>
      </c>
      <c r="H5" s="26" t="str">
        <f>IF(AND(G5="P",F5=""),"No DD",IF(OR(AND(AK5&lt;&gt;"",AK5&gt;=AV$29,AJ5&gt;=AV$26),AND(AM5&lt;&gt;"",AM5&gt;=AV$29,AL5&gt;=AV$26),AND(AQ5&lt;&gt;"",AQ5&gt;=AV$29,AP5&gt;=AV$26),AND(AS5&lt;&gt;"",AS5&gt;=AV$29,AR5&gt;=AV$26),AND(BO5&lt;&gt;"",BO5&gt;=BZ$29,BN5&gt;=BZ$26),AND(BQ5&lt;&gt;"",BQ5&gt;=BZ$29,BP5&gt;=BZ$26),AND(BV5&lt;&gt;"",BV5&gt;=BZ$29,BU5&gt;=BZ$26),AND(BX5&lt;&gt;"",BX5&gt;=BZ$29,BW5&gt;=BZ$26),AND(CX5&lt;&gt;"",CX5&gt;=DK$29,CW5&gt;=DK$26),AND(CZ5&lt;&gt;"",CZ5&gt;=DK$29,CY5&gt;=DK$26),AND(DD5&lt;&gt;"",DD5&gt;=DK$29,DC5&gt;=DK$26),AND(DF5&lt;&gt;"",DF5&gt;=DK$29,DE5&gt;=DK$26),AND(DH5&lt;&gt;"",DH5&gt;=DK$29,DG5&gt;=DK$26),AND(EG5&lt;&gt;"",EG5&gt;=ET$29,EF5&gt;=ET$26),AND(EI5&lt;&gt;"",EI5&gt;=ET$29,EH5&gt;=ET$26),AND(EM5&lt;&gt;"",EM5&gt;=ET$29,EL5&gt;=ET$26),AND(EO5&lt;&gt;"",EO5&gt;=ET$29,EN5&gt;=ET$26),AND(EQ5&lt;&gt;"",EQ5&gt;=ET$29,EP5&gt;=ET$26)),"Performance",IF(I5="P","Worlds Team",IF(F5="P","National Team",""))))</f>
        <v>Worlds Team</v>
      </c>
      <c r="I5" s="2" t="str">
        <f>IF(OR(AND(AO5&lt;&gt;"",AO5&gt;=AV$28,AN5&gt;=AV$25),AND(AU5&lt;&gt;"",AU5&gt;=AV$28,AT5&gt;=AV$25),AND(BS5&lt;&gt;"",BS5&gt;=BZ$28,BR5&gt;=BZ$25),AND(BY5&lt;&gt;"",BY5&gt;=BZ$28,BX5&gt;=BZ$25),AND(DB5&lt;&gt;"",DB5&gt;=DK$28,DA5&gt;=DK$25),AND(DJ5&lt;&gt;"",DJ5&gt;=DK$28,DI5&gt;=DK$25),AND(EK5&lt;&gt;"",EK5&gt;=ET$28,EJ5&gt;=ET$25),AND(ES5&lt;&gt;"",ES5&gt;=ET$28,ER5&gt;=ET$25)),"P","")</f>
        <v>P</v>
      </c>
      <c r="J5" s="7">
        <f t="shared" si="1"/>
        <v>51</v>
      </c>
      <c r="K5" s="7" t="str">
        <f t="shared" si="2"/>
        <v>2026 Elite Canada</v>
      </c>
      <c r="L5" s="7">
        <f>IF(J5=AO5,IF(COUNT(AQ5,AS5,BO5,BQ5,BU5,BW5)&gt;1,LARGE((AQ5,AS5,BO5,BQ5,BU5,BW5),1),0),IF(COUNT(AK5,AM5,AQ5,AS5,BU5,BW5)&gt;1,LARGE((AK5,AM5,AQ5,AS5,BU5,BW5),1),0))</f>
        <v>25.9</v>
      </c>
      <c r="M5" s="7" t="str">
        <f t="shared" si="3"/>
        <v>2026 Elite Canada</v>
      </c>
      <c r="N5" s="7">
        <f>IF(J5=AO5,IF(COUNT(AQ5,AS5,BO5,BQ5,BU5,BW5)&gt;1,LARGE((AQ5,AS5,BO5,BQ5,BU5,BW5),2),0),IF(COUNT(AK5,AM5,AQ5,AS5,BU5,BW5)&gt;1,LARGE((AK5,AM5,AQ5,AS5,BU5,BW5),2),0))</f>
        <v>24.900000000000002</v>
      </c>
      <c r="O5" s="7" t="str">
        <f t="shared" si="4"/>
        <v>2026 Elite Canada</v>
      </c>
      <c r="P5" s="7">
        <f t="shared" si="5"/>
        <v>0.19999999999999929</v>
      </c>
      <c r="Q5" s="10" t="str">
        <f t="shared" si="6"/>
        <v>(Pass)</v>
      </c>
      <c r="R5" s="7" t="str">
        <f t="shared" si="7"/>
        <v>2025 Worlds (Nov 9)</v>
      </c>
      <c r="S5" s="38">
        <v>18.600000000000001</v>
      </c>
      <c r="T5" s="38">
        <v>7.2</v>
      </c>
      <c r="U5" s="38">
        <v>0</v>
      </c>
      <c r="V5" s="38">
        <v>0.49999999999999911</v>
      </c>
      <c r="W5" s="38">
        <v>18.399999999999999</v>
      </c>
      <c r="X5" s="38">
        <v>6</v>
      </c>
      <c r="Y5" s="38">
        <v>0.2</v>
      </c>
      <c r="Z5" s="38">
        <v>0.50000000000000067</v>
      </c>
      <c r="AA5" s="38">
        <v>18.600000000000001</v>
      </c>
      <c r="AB5" s="38">
        <v>6.8</v>
      </c>
      <c r="AC5" s="38">
        <v>0</v>
      </c>
      <c r="AD5" s="38">
        <v>0.49999999999999734</v>
      </c>
      <c r="AE5" s="38">
        <v>18.7</v>
      </c>
      <c r="AF5" s="38">
        <v>6.4</v>
      </c>
      <c r="AG5" s="38">
        <v>0.2</v>
      </c>
      <c r="AH5" s="38">
        <v>0</v>
      </c>
      <c r="AI5" s="19"/>
      <c r="AJ5" s="41">
        <f t="shared" si="8"/>
        <v>7.2</v>
      </c>
      <c r="AK5" s="41">
        <f t="shared" si="9"/>
        <v>26.3</v>
      </c>
      <c r="AL5" s="41">
        <f t="shared" si="10"/>
        <v>6</v>
      </c>
      <c r="AM5" s="41">
        <f t="shared" si="11"/>
        <v>24.7</v>
      </c>
      <c r="AN5" s="27">
        <f t="shared" si="12"/>
        <v>13.2</v>
      </c>
      <c r="AO5" s="27">
        <f t="shared" si="13"/>
        <v>51</v>
      </c>
      <c r="AP5" s="27">
        <f t="shared" si="14"/>
        <v>6.8</v>
      </c>
      <c r="AQ5" s="27">
        <f t="shared" si="15"/>
        <v>25.9</v>
      </c>
      <c r="AR5" s="27">
        <f t="shared" si="16"/>
        <v>6.4</v>
      </c>
      <c r="AS5" s="27">
        <f t="shared" si="17"/>
        <v>24.900000000000002</v>
      </c>
      <c r="AT5" s="27">
        <f t="shared" si="18"/>
        <v>13.2</v>
      </c>
      <c r="AU5" s="27">
        <f t="shared" si="19"/>
        <v>50.8</v>
      </c>
      <c r="AV5" s="27">
        <f t="shared" si="20"/>
        <v>101.8</v>
      </c>
      <c r="AW5" s="15"/>
      <c r="AX5" s="15"/>
      <c r="AY5" s="15"/>
      <c r="AZ5" s="15"/>
      <c r="BA5" s="15"/>
      <c r="BB5" s="15"/>
      <c r="BC5" s="15"/>
      <c r="BD5" s="15"/>
      <c r="BE5" s="15"/>
      <c r="BF5" s="15"/>
      <c r="BG5" s="15"/>
      <c r="BH5" s="15"/>
      <c r="BI5" s="15"/>
      <c r="BJ5" s="15"/>
      <c r="BK5" s="15"/>
      <c r="BL5" s="15"/>
      <c r="BM5" s="20"/>
      <c r="BN5" s="42" t="str">
        <f t="shared" si="21"/>
        <v/>
      </c>
      <c r="BO5" s="42" t="str">
        <f t="shared" si="22"/>
        <v/>
      </c>
      <c r="BP5" s="42" t="str">
        <f t="shared" si="23"/>
        <v/>
      </c>
      <c r="BQ5" s="42" t="str">
        <f t="shared" si="24"/>
        <v/>
      </c>
      <c r="BR5" s="10" t="str">
        <f t="shared" si="25"/>
        <v/>
      </c>
      <c r="BS5" s="10" t="str">
        <f t="shared" si="26"/>
        <v/>
      </c>
      <c r="BT5" s="10" t="str">
        <f t="shared" si="27"/>
        <v/>
      </c>
      <c r="BU5" s="10" t="str">
        <f t="shared" si="28"/>
        <v/>
      </c>
      <c r="BV5" s="10" t="str">
        <f t="shared" si="29"/>
        <v/>
      </c>
      <c r="BW5" s="10" t="str">
        <f t="shared" si="30"/>
        <v/>
      </c>
      <c r="BX5" s="10" t="str">
        <f t="shared" si="31"/>
        <v/>
      </c>
      <c r="BY5" s="10" t="str">
        <f t="shared" si="32"/>
        <v/>
      </c>
      <c r="BZ5" s="10" t="str">
        <f t="shared" si="33"/>
        <v/>
      </c>
      <c r="CA5" s="34" t="str">
        <f t="shared" si="34"/>
        <v/>
      </c>
      <c r="CB5" s="34">
        <f t="shared" si="35"/>
        <v>0.19999999999999929</v>
      </c>
      <c r="CC5" s="14">
        <v>15.1</v>
      </c>
      <c r="CD5" s="14">
        <v>3.2</v>
      </c>
      <c r="CE5" s="14">
        <v>0</v>
      </c>
      <c r="CF5" s="14">
        <v>0</v>
      </c>
      <c r="CG5" s="14">
        <v>18.7</v>
      </c>
      <c r="CH5" s="14">
        <v>6.4</v>
      </c>
      <c r="CI5" s="14">
        <v>0</v>
      </c>
      <c r="CJ5" s="14">
        <v>0</v>
      </c>
      <c r="CK5" s="14"/>
      <c r="CL5" s="14"/>
      <c r="CM5" s="14"/>
      <c r="CN5" s="14"/>
      <c r="CO5" s="14"/>
      <c r="CP5" s="14"/>
      <c r="CQ5" s="14"/>
      <c r="CR5" s="14"/>
      <c r="CS5" s="14"/>
      <c r="CT5" s="14"/>
      <c r="CU5" s="14"/>
      <c r="CV5" s="14"/>
      <c r="CW5" s="27">
        <f t="shared" si="36"/>
        <v>3.2</v>
      </c>
      <c r="CX5" s="27">
        <f t="shared" si="37"/>
        <v>18.3</v>
      </c>
      <c r="CY5" s="27">
        <f t="shared" si="38"/>
        <v>6.4</v>
      </c>
      <c r="CZ5" s="27">
        <f t="shared" si="39"/>
        <v>25.1</v>
      </c>
      <c r="DA5" s="27">
        <f t="shared" si="40"/>
        <v>9.6000000000000014</v>
      </c>
      <c r="DB5" s="27">
        <f t="shared" si="41"/>
        <v>43.400000000000006</v>
      </c>
      <c r="DC5" s="27" t="str">
        <f t="shared" si="42"/>
        <v/>
      </c>
      <c r="DD5" s="27" t="str">
        <f t="shared" si="43"/>
        <v/>
      </c>
      <c r="DE5" s="27" t="str">
        <f t="shared" si="44"/>
        <v/>
      </c>
      <c r="DF5" s="27" t="str">
        <f t="shared" si="45"/>
        <v/>
      </c>
      <c r="DG5" s="27" t="str">
        <f t="shared" si="46"/>
        <v/>
      </c>
      <c r="DH5" s="27" t="str">
        <f t="shared" si="47"/>
        <v/>
      </c>
      <c r="DI5" s="27" t="str">
        <f t="shared" si="48"/>
        <v/>
      </c>
      <c r="DJ5" s="27" t="str">
        <f t="shared" si="49"/>
        <v/>
      </c>
      <c r="DK5" s="27">
        <f t="shared" si="50"/>
        <v>43.400000000000006</v>
      </c>
      <c r="DL5" s="15"/>
      <c r="DM5" s="15"/>
      <c r="DN5" s="15"/>
      <c r="DO5" s="15"/>
      <c r="DP5" s="15"/>
      <c r="DQ5" s="15"/>
      <c r="DR5" s="15"/>
      <c r="DS5" s="15"/>
      <c r="DT5" s="15"/>
      <c r="DU5" s="15"/>
      <c r="DV5" s="15"/>
      <c r="DW5" s="15"/>
      <c r="DX5" s="15"/>
      <c r="DY5" s="15"/>
      <c r="DZ5" s="15"/>
      <c r="EA5" s="15"/>
      <c r="EB5" s="15"/>
      <c r="EC5" s="15"/>
      <c r="ED5" s="15"/>
      <c r="EE5" s="15"/>
      <c r="EF5" s="10" t="str">
        <f t="shared" si="51"/>
        <v/>
      </c>
      <c r="EG5" s="10" t="str">
        <f t="shared" si="52"/>
        <v/>
      </c>
      <c r="EH5" s="10" t="str">
        <f t="shared" si="53"/>
        <v/>
      </c>
      <c r="EI5" s="10" t="str">
        <f t="shared" si="54"/>
        <v/>
      </c>
      <c r="EJ5" s="10" t="str">
        <f t="shared" si="55"/>
        <v/>
      </c>
      <c r="EK5" s="10" t="str">
        <f t="shared" si="56"/>
        <v/>
      </c>
      <c r="EL5" s="10" t="str">
        <f t="shared" si="57"/>
        <v/>
      </c>
      <c r="EM5" s="10" t="str">
        <f t="shared" si="58"/>
        <v/>
      </c>
      <c r="EN5" s="10" t="str">
        <f t="shared" si="59"/>
        <v/>
      </c>
      <c r="EO5" s="10" t="str">
        <f t="shared" si="60"/>
        <v/>
      </c>
      <c r="EP5" s="10" t="str">
        <f t="shared" si="61"/>
        <v/>
      </c>
      <c r="EQ5" s="10" t="str">
        <f t="shared" si="62"/>
        <v/>
      </c>
      <c r="ER5" s="10" t="str">
        <f t="shared" si="63"/>
        <v/>
      </c>
      <c r="ES5" s="10" t="str">
        <f t="shared" si="64"/>
        <v/>
      </c>
      <c r="ET5" s="10" t="str">
        <f t="shared" si="65"/>
        <v/>
      </c>
    </row>
    <row r="6" spans="1:150" x14ac:dyDescent="0.2">
      <c r="A6" s="3" cm="1">
        <f t="array" ref="A6">IF(AND(H6&lt;&gt;"",H6&lt;&gt;"No DD"),SUMPRODUCT((H$4:H$22&lt;&gt;"")*(H$4:H$22&lt;&gt;"No DD")*(E$4:E$22&gt;E6))+1,IF(H6="No DD",SUMPRODUCT((H$4:H$22="No DD")*(E$4:E$22&gt;E6))+1+SUMPRODUCT((H$4:H$22&lt;&gt;"")*(H$4:H$22&lt;&gt;"No DD")),""))</f>
        <v>3</v>
      </c>
      <c r="B6" s="4" t="s">
        <v>109</v>
      </c>
      <c r="C6" s="3" t="s">
        <v>5</v>
      </c>
      <c r="D6" s="3">
        <v>2001</v>
      </c>
      <c r="E6" s="8">
        <f t="shared" si="0"/>
        <v>97.200007300004856</v>
      </c>
      <c r="F6" s="2" t="str">
        <f>IF(OR(AND(AO6&lt;&gt;"",AO6&gt;=AV$27,AN6&gt;=AV$24),AND(AU6&lt;&gt;"",AU6&gt;=AV$27,AT6&gt;=AV$24),AND(BS6&lt;&gt;"",BS6&gt;=BZ$27,BR6&gt;=BZ$24),AND(BY6&lt;&gt;"",BY6&gt;=BZ$27,BX6&gt;=BZ$24),AND(DB6&lt;&gt;"",DB6&gt;=DK$27,DA6&gt;=DK$24),AND(DJ6&lt;&gt;"",DJ6&gt;=DK$27,DI6&gt;=DK$24),AND(EK6&lt;&gt;"",EK6&gt;=ET$27,EJ6&gt;=ET$24),AND(ES6&lt;&gt;"",ES6&gt;=ET$27,ER6&gt;=ET$24)),"P","")</f>
        <v>P</v>
      </c>
      <c r="G6" s="2" t="str">
        <f>IF(OR(AND(AO6&lt;&gt;"",AO6&gt;=AV$27),AND(AU6&lt;&gt;"",AU6&gt;=AV$27),AND(BS6&lt;&gt;"",BS6&gt;=BZ$27),AND(BY6&lt;&gt;"",BY6&gt;=BZ$27),AND(DB6&lt;&gt;"",DB6&gt;=DK$27),AND(DJ6&lt;&gt;"",DJ6&gt;=DK$27),AND(EK6&lt;&gt;"",EK6&gt;=ET$27),AND(ES6&lt;&gt;"",ES6&gt;=ET$27)),"P","")</f>
        <v>P</v>
      </c>
      <c r="H6" s="26" t="str">
        <f>IF(AND(G6="P",F6=""),"No DD",IF(OR(AND(AK6&lt;&gt;"",AK6&gt;=AV$29,AJ6&gt;=AV$26),AND(AM6&lt;&gt;"",AM6&gt;=AV$29,AL6&gt;=AV$26),AND(AQ6&lt;&gt;"",AQ6&gt;=AV$29,AP6&gt;=AV$26),AND(AS6&lt;&gt;"",AS6&gt;=AV$29,AR6&gt;=AV$26),AND(BO6&lt;&gt;"",BO6&gt;=BZ$29,BN6&gt;=BZ$26),AND(BQ6&lt;&gt;"",BQ6&gt;=BZ$29,BP6&gt;=BZ$26),AND(BV6&lt;&gt;"",BV6&gt;=BZ$29,BU6&gt;=BZ$26),AND(BX6&lt;&gt;"",BX6&gt;=BZ$29,BW6&gt;=BZ$26),AND(CX6&lt;&gt;"",CX6&gt;=DK$29,CW6&gt;=DK$26),AND(CZ6&lt;&gt;"",CZ6&gt;=DK$29,CY6&gt;=DK$26),AND(DD6&lt;&gt;"",DD6&gt;=DK$29,DC6&gt;=DK$26),AND(DF6&lt;&gt;"",DF6&gt;=DK$29,DE6&gt;=DK$26),AND(DH6&lt;&gt;"",DH6&gt;=DK$29,DG6&gt;=DK$26),AND(EG6&lt;&gt;"",EG6&gt;=ET$29,EF6&gt;=ET$26),AND(EI6&lt;&gt;"",EI6&gt;=ET$29,EH6&gt;=ET$26),AND(EM6&lt;&gt;"",EM6&gt;=ET$29,EL6&gt;=ET$26),AND(EO6&lt;&gt;"",EO6&gt;=ET$29,EN6&gt;=ET$26),AND(EQ6&lt;&gt;"",EQ6&gt;=ET$29,EP6&gt;=ET$26)),"Performance",IF(I6="P","Worlds Team",IF(F6="P","National Team",""))))</f>
        <v>National Team</v>
      </c>
      <c r="I6" s="2" t="str">
        <f>IF(OR(AND(AO6&lt;&gt;"",AO6&gt;=AV$28,AN6&gt;=AV$25),AND(AU6&lt;&gt;"",AU6&gt;=AV$28,AT6&gt;=AV$25),AND(BS6&lt;&gt;"",BS6&gt;=BZ$28,BR6&gt;=BZ$25),AND(BY6&lt;&gt;"",BY6&gt;=BZ$28,BX6&gt;=BZ$25),AND(DB6&lt;&gt;"",DB6&gt;=DK$28,DA6&gt;=DK$25),AND(DJ6&lt;&gt;"",DJ6&gt;=DK$28,DI6&gt;=DK$25),AND(EK6&lt;&gt;"",EK6&gt;=ET$28,EJ6&gt;=ET$25),AND(ES6&lt;&gt;"",ES6&gt;=ET$28,ER6&gt;=ET$25)),"P","")</f>
        <v/>
      </c>
      <c r="J6" s="7">
        <f t="shared" si="1"/>
        <v>48.6</v>
      </c>
      <c r="K6" s="7" t="str">
        <f t="shared" si="2"/>
        <v>2026 Elite Canada</v>
      </c>
      <c r="L6" s="7">
        <f>IF(J6=AO6,IF(COUNT(AQ6,AS6,BO6,BQ6,BU6,BW6)&gt;1,LARGE((AQ6,AS6,BO6,BQ6,BU6,BW6),1),0),IF(COUNT(AK6,AM6,AQ6,AS6,BU6,BW6)&gt;1,LARGE((AK6,AM6,AQ6,AS6,BU6,BW6),1),0))</f>
        <v>24.4</v>
      </c>
      <c r="M6" s="7" t="str">
        <f t="shared" si="3"/>
        <v>2026 Elite Canada</v>
      </c>
      <c r="N6" s="7">
        <f>IF(J6=AO6,IF(COUNT(AQ6,AS6,BO6,BQ6,BU6,BW6)&gt;1,LARGE((AQ6,AS6,BO6,BQ6,BU6,BW6),2),0),IF(COUNT(AK6,AM6,AQ6,AS6,BU6,BW6)&gt;1,LARGE((AK6,AM6,AQ6,AS6,BU6,BW6),2),0))</f>
        <v>24.200000000000003</v>
      </c>
      <c r="O6" s="7" t="str">
        <f t="shared" si="4"/>
        <v>2026 Elite Canada</v>
      </c>
      <c r="P6" s="7" t="str">
        <f t="shared" si="5"/>
        <v/>
      </c>
      <c r="Q6" s="10" t="str">
        <f t="shared" si="6"/>
        <v/>
      </c>
      <c r="R6" s="7" t="str">
        <f t="shared" si="7"/>
        <v/>
      </c>
      <c r="S6" s="38">
        <v>18.600000000000001</v>
      </c>
      <c r="T6" s="38">
        <v>5.6</v>
      </c>
      <c r="U6" s="38">
        <v>0</v>
      </c>
      <c r="V6" s="38">
        <v>0</v>
      </c>
      <c r="W6" s="38">
        <v>18.399999999999999</v>
      </c>
      <c r="X6" s="38">
        <v>6</v>
      </c>
      <c r="Y6" s="38">
        <v>0</v>
      </c>
      <c r="Z6" s="38">
        <v>0</v>
      </c>
      <c r="AA6" s="38">
        <v>18.600000000000001</v>
      </c>
      <c r="AB6" s="38">
        <v>5.6</v>
      </c>
      <c r="AC6" s="38">
        <v>0</v>
      </c>
      <c r="AD6" s="38">
        <v>0</v>
      </c>
      <c r="AE6" s="38">
        <v>18.399999999999999</v>
      </c>
      <c r="AF6" s="38">
        <v>6</v>
      </c>
      <c r="AG6" s="38">
        <v>0</v>
      </c>
      <c r="AH6" s="38">
        <v>0</v>
      </c>
      <c r="AI6" s="19"/>
      <c r="AJ6" s="41">
        <f t="shared" si="8"/>
        <v>5.6</v>
      </c>
      <c r="AK6" s="41">
        <f t="shared" si="9"/>
        <v>24.200000000000003</v>
      </c>
      <c r="AL6" s="41">
        <f t="shared" si="10"/>
        <v>6</v>
      </c>
      <c r="AM6" s="41">
        <f t="shared" si="11"/>
        <v>24.4</v>
      </c>
      <c r="AN6" s="27">
        <f t="shared" si="12"/>
        <v>11.6</v>
      </c>
      <c r="AO6" s="27">
        <f t="shared" si="13"/>
        <v>48.6</v>
      </c>
      <c r="AP6" s="27">
        <f t="shared" si="14"/>
        <v>5.6</v>
      </c>
      <c r="AQ6" s="27">
        <f t="shared" si="15"/>
        <v>24.200000000000003</v>
      </c>
      <c r="AR6" s="27">
        <f t="shared" si="16"/>
        <v>6</v>
      </c>
      <c r="AS6" s="27">
        <f t="shared" si="17"/>
        <v>24.4</v>
      </c>
      <c r="AT6" s="27">
        <f t="shared" si="18"/>
        <v>11.6</v>
      </c>
      <c r="AU6" s="27">
        <f t="shared" si="19"/>
        <v>48.6</v>
      </c>
      <c r="AV6" s="27">
        <f t="shared" si="20"/>
        <v>97.2</v>
      </c>
      <c r="AW6" s="15"/>
      <c r="AX6" s="15"/>
      <c r="AY6" s="15"/>
      <c r="AZ6" s="15"/>
      <c r="BA6" s="15"/>
      <c r="BB6" s="15"/>
      <c r="BC6" s="15"/>
      <c r="BD6" s="15"/>
      <c r="BE6" s="15"/>
      <c r="BF6" s="15"/>
      <c r="BG6" s="15"/>
      <c r="BH6" s="15"/>
      <c r="BI6" s="15"/>
      <c r="BJ6" s="15"/>
      <c r="BK6" s="15"/>
      <c r="BL6" s="15"/>
      <c r="BM6" s="20"/>
      <c r="BN6" s="42" t="str">
        <f t="shared" si="21"/>
        <v/>
      </c>
      <c r="BO6" s="42" t="str">
        <f t="shared" si="22"/>
        <v/>
      </c>
      <c r="BP6" s="42" t="str">
        <f t="shared" si="23"/>
        <v/>
      </c>
      <c r="BQ6" s="42" t="str">
        <f t="shared" si="24"/>
        <v/>
      </c>
      <c r="BR6" s="10" t="str">
        <f t="shared" si="25"/>
        <v/>
      </c>
      <c r="BS6" s="10" t="str">
        <f t="shared" si="26"/>
        <v/>
      </c>
      <c r="BT6" s="10" t="str">
        <f t="shared" si="27"/>
        <v/>
      </c>
      <c r="BU6" s="10" t="str">
        <f t="shared" si="28"/>
        <v/>
      </c>
      <c r="BV6" s="10" t="str">
        <f t="shared" si="29"/>
        <v/>
      </c>
      <c r="BW6" s="10" t="str">
        <f t="shared" si="30"/>
        <v/>
      </c>
      <c r="BX6" s="10" t="str">
        <f t="shared" si="31"/>
        <v/>
      </c>
      <c r="BY6" s="10" t="str">
        <f t="shared" si="32"/>
        <v/>
      </c>
      <c r="BZ6" s="10" t="str">
        <f t="shared" si="33"/>
        <v/>
      </c>
      <c r="CA6" s="34" t="str">
        <f t="shared" si="34"/>
        <v/>
      </c>
      <c r="CB6" s="34" t="str">
        <f t="shared" si="35"/>
        <v/>
      </c>
      <c r="CC6" s="14"/>
      <c r="CD6" s="14"/>
      <c r="CE6" s="14"/>
      <c r="CF6" s="14"/>
      <c r="CG6" s="14"/>
      <c r="CH6" s="14"/>
      <c r="CI6" s="14"/>
      <c r="CJ6" s="14"/>
      <c r="CK6" s="14"/>
      <c r="CL6" s="14"/>
      <c r="CM6" s="14"/>
      <c r="CN6" s="14"/>
      <c r="CO6" s="14"/>
      <c r="CP6" s="14"/>
      <c r="CQ6" s="14"/>
      <c r="CR6" s="14"/>
      <c r="CS6" s="14"/>
      <c r="CT6" s="14"/>
      <c r="CU6" s="14"/>
      <c r="CV6" s="14"/>
      <c r="CW6" s="27" t="str">
        <f t="shared" si="36"/>
        <v/>
      </c>
      <c r="CX6" s="27" t="str">
        <f t="shared" si="37"/>
        <v/>
      </c>
      <c r="CY6" s="27" t="str">
        <f t="shared" si="38"/>
        <v/>
      </c>
      <c r="CZ6" s="27" t="str">
        <f t="shared" si="39"/>
        <v/>
      </c>
      <c r="DA6" s="27" t="str">
        <f t="shared" si="40"/>
        <v/>
      </c>
      <c r="DB6" s="27" t="str">
        <f t="shared" si="41"/>
        <v/>
      </c>
      <c r="DC6" s="27" t="str">
        <f t="shared" si="42"/>
        <v/>
      </c>
      <c r="DD6" s="27" t="str">
        <f t="shared" si="43"/>
        <v/>
      </c>
      <c r="DE6" s="27" t="str">
        <f t="shared" si="44"/>
        <v/>
      </c>
      <c r="DF6" s="27" t="str">
        <f t="shared" si="45"/>
        <v/>
      </c>
      <c r="DG6" s="27" t="str">
        <f t="shared" si="46"/>
        <v/>
      </c>
      <c r="DH6" s="27" t="str">
        <f t="shared" si="47"/>
        <v/>
      </c>
      <c r="DI6" s="27" t="str">
        <f t="shared" si="48"/>
        <v/>
      </c>
      <c r="DJ6" s="27" t="str">
        <f t="shared" si="49"/>
        <v/>
      </c>
      <c r="DK6" s="27" t="str">
        <f t="shared" si="50"/>
        <v/>
      </c>
      <c r="DL6" s="15"/>
      <c r="DM6" s="15"/>
      <c r="DN6" s="15"/>
      <c r="DO6" s="15"/>
      <c r="DP6" s="15"/>
      <c r="DQ6" s="15"/>
      <c r="DR6" s="15"/>
      <c r="DS6" s="15"/>
      <c r="DT6" s="15"/>
      <c r="DU6" s="15"/>
      <c r="DV6" s="15"/>
      <c r="DW6" s="15"/>
      <c r="DX6" s="15"/>
      <c r="DY6" s="15"/>
      <c r="DZ6" s="15"/>
      <c r="EA6" s="15"/>
      <c r="EB6" s="15"/>
      <c r="EC6" s="15"/>
      <c r="ED6" s="15"/>
      <c r="EE6" s="15"/>
      <c r="EF6" s="10" t="str">
        <f t="shared" si="51"/>
        <v/>
      </c>
      <c r="EG6" s="10" t="str">
        <f t="shared" si="52"/>
        <v/>
      </c>
      <c r="EH6" s="10" t="str">
        <f t="shared" si="53"/>
        <v/>
      </c>
      <c r="EI6" s="10" t="str">
        <f t="shared" si="54"/>
        <v/>
      </c>
      <c r="EJ6" s="10" t="str">
        <f t="shared" si="55"/>
        <v/>
      </c>
      <c r="EK6" s="10" t="str">
        <f t="shared" si="56"/>
        <v/>
      </c>
      <c r="EL6" s="10" t="str">
        <f t="shared" si="57"/>
        <v/>
      </c>
      <c r="EM6" s="10" t="str">
        <f t="shared" si="58"/>
        <v/>
      </c>
      <c r="EN6" s="10" t="str">
        <f t="shared" si="59"/>
        <v/>
      </c>
      <c r="EO6" s="10" t="str">
        <f t="shared" si="60"/>
        <v/>
      </c>
      <c r="EP6" s="10" t="str">
        <f t="shared" si="61"/>
        <v/>
      </c>
      <c r="EQ6" s="10" t="str">
        <f t="shared" si="62"/>
        <v/>
      </c>
      <c r="ER6" s="10" t="str">
        <f t="shared" si="63"/>
        <v/>
      </c>
      <c r="ES6" s="10" t="str">
        <f t="shared" si="64"/>
        <v/>
      </c>
      <c r="ET6" s="10" t="str">
        <f t="shared" si="65"/>
        <v/>
      </c>
    </row>
    <row r="7" spans="1:150" x14ac:dyDescent="0.2">
      <c r="A7" s="3" cm="1">
        <f t="array" ref="A7">IF(AND(H7&lt;&gt;"",H7&lt;&gt;"No DD"),SUMPRODUCT((H$4:H$22&lt;&gt;"")*(H$4:H$22&lt;&gt;"No DD")*(E$4:E$22&gt;E7))+1,IF(H7="No DD",SUMPRODUCT((H$4:H$22="No DD")*(E$4:E$22&gt;E7))+1+SUMPRODUCT((H$4:H$22&lt;&gt;"")*(H$4:H$22&lt;&gt;"No DD")),""))</f>
        <v>4</v>
      </c>
      <c r="B7" s="4" t="s">
        <v>111</v>
      </c>
      <c r="C7" s="3" t="s">
        <v>5</v>
      </c>
      <c r="D7" s="3">
        <v>2008</v>
      </c>
      <c r="E7" s="8">
        <f t="shared" si="0"/>
        <v>95.600007110004796</v>
      </c>
      <c r="F7" s="2" t="str">
        <f>IF(OR(AND(AO7&lt;&gt;"",AO7&gt;=AV$27,AN7&gt;=AV$24),AND(AU7&lt;&gt;"",AU7&gt;=AV$27,AT7&gt;=AV$24),AND(BS7&lt;&gt;"",BS7&gt;=BZ$27,BR7&gt;=BZ$24),AND(BY7&lt;&gt;"",BY7&gt;=BZ$27,BX7&gt;=BZ$24),AND(DB7&lt;&gt;"",DB7&gt;=DK$27,DA7&gt;=DK$24),AND(DJ7&lt;&gt;"",DJ7&gt;=DK$27,DI7&gt;=DK$24),AND(EK7&lt;&gt;"",EK7&gt;=ET$27,EJ7&gt;=ET$24),AND(ES7&lt;&gt;"",ES7&gt;=ET$27,ER7&gt;=ET$24)),"P","")</f>
        <v>P</v>
      </c>
      <c r="G7" s="2" t="str">
        <f>IF(OR(AND(AO7&lt;&gt;"",AO7&gt;=AV$27),AND(AU7&lt;&gt;"",AU7&gt;=AV$27),AND(BS7&lt;&gt;"",BS7&gt;=BZ$27),AND(BY7&lt;&gt;"",BY7&gt;=BZ$27),AND(DB7&lt;&gt;"",DB7&gt;=DK$27),AND(DJ7&lt;&gt;"",DJ7&gt;=DK$27),AND(EK7&lt;&gt;"",EK7&gt;=ET$27),AND(ES7&lt;&gt;"",ES7&gt;=ET$27)),"P","")</f>
        <v>P</v>
      </c>
      <c r="H7" s="26" t="str">
        <f>IF(AND(G7="P",F7=""),"No DD",IF(OR(AND(AK7&lt;&gt;"",AK7&gt;=AV$29,AJ7&gt;=AV$26),AND(AM7&lt;&gt;"",AM7&gt;=AV$29,AL7&gt;=AV$26),AND(AQ7&lt;&gt;"",AQ7&gt;=AV$29,AP7&gt;=AV$26),AND(AS7&lt;&gt;"",AS7&gt;=AV$29,AR7&gt;=AV$26),AND(BO7&lt;&gt;"",BO7&gt;=BZ$29,BN7&gt;=BZ$26),AND(BQ7&lt;&gt;"",BQ7&gt;=BZ$29,BP7&gt;=BZ$26),AND(BV7&lt;&gt;"",BV7&gt;=BZ$29,BU7&gt;=BZ$26),AND(BX7&lt;&gt;"",BX7&gt;=BZ$29,BW7&gt;=BZ$26),AND(CX7&lt;&gt;"",CX7&gt;=DK$29,CW7&gt;=DK$26),AND(CZ7&lt;&gt;"",CZ7&gt;=DK$29,CY7&gt;=DK$26),AND(DD7&lt;&gt;"",DD7&gt;=DK$29,DC7&gt;=DK$26),AND(DF7&lt;&gt;"",DF7&gt;=DK$29,DE7&gt;=DK$26),AND(DH7&lt;&gt;"",DH7&gt;=DK$29,DG7&gt;=DK$26),AND(EG7&lt;&gt;"",EG7&gt;=ET$29,EF7&gt;=ET$26),AND(EI7&lt;&gt;"",EI7&gt;=ET$29,EH7&gt;=ET$26),AND(EM7&lt;&gt;"",EM7&gt;=ET$29,EL7&gt;=ET$26),AND(EO7&lt;&gt;"",EO7&gt;=ET$29,EN7&gt;=ET$26),AND(EQ7&lt;&gt;"",EQ7&gt;=ET$29,EP7&gt;=ET$26)),"Performance",IF(I7="P","Worlds Team",IF(F7="P","National Team",""))))</f>
        <v>National Team</v>
      </c>
      <c r="I7" s="2" t="str">
        <f>IF(OR(AND(AO7&lt;&gt;"",AO7&gt;=AV$28,AN7&gt;=AV$25),AND(AU7&lt;&gt;"",AU7&gt;=AV$28,AT7&gt;=AV$25),AND(BS7&lt;&gt;"",BS7&gt;=BZ$28,BR7&gt;=BZ$25),AND(BY7&lt;&gt;"",BY7&gt;=BZ$28,BX7&gt;=BZ$25),AND(DB7&lt;&gt;"",DB7&gt;=DK$28,DA7&gt;=DK$25),AND(DJ7&lt;&gt;"",DJ7&gt;=DK$28,DI7&gt;=DK$25),AND(EK7&lt;&gt;"",EK7&gt;=ET$28,EJ7&gt;=ET$25),AND(ES7&lt;&gt;"",ES7&gt;=ET$28,ER7&gt;=ET$25)),"P","")</f>
        <v/>
      </c>
      <c r="J7" s="7">
        <f t="shared" si="1"/>
        <v>48.1</v>
      </c>
      <c r="K7" s="7" t="str">
        <f t="shared" si="2"/>
        <v>2026 Elite Canada</v>
      </c>
      <c r="L7" s="7">
        <f>IF(J7=AO7,IF(COUNT(AQ7,AS7,BO7,BQ7,BU7,BW7)&gt;1,LARGE((AQ7,AS7,BO7,BQ7,BU7,BW7),1),0),IF(COUNT(AK7,AM7,AQ7,AS7,BU7,BW7)&gt;1,LARGE((AK7,AM7,AQ7,AS7,BU7,BW7),1),0))</f>
        <v>23</v>
      </c>
      <c r="M7" s="7" t="str">
        <f t="shared" si="3"/>
        <v>2026 Elite Canada</v>
      </c>
      <c r="N7" s="7">
        <f>IF(J7=AO7,IF(COUNT(AQ7,AS7,BO7,BQ7,BU7,BW7)&gt;1,LARGE((AQ7,AS7,BO7,BQ7,BU7,BW7),2),0),IF(COUNT(AK7,AM7,AQ7,AS7,BU7,BW7)&gt;1,LARGE((AK7,AM7,AQ7,AS7,BU7,BW7),2),0))</f>
        <v>17.599999999999998</v>
      </c>
      <c r="O7" s="7" t="str">
        <f t="shared" si="4"/>
        <v>2026 Elite Canada</v>
      </c>
      <c r="P7" s="7">
        <f t="shared" si="5"/>
        <v>6.9000000000000021</v>
      </c>
      <c r="Q7" s="10" t="str">
        <f t="shared" si="6"/>
        <v>(Pass)</v>
      </c>
      <c r="R7" s="7" t="str">
        <f t="shared" si="7"/>
        <v>2025 WAGC (Nov 16)</v>
      </c>
      <c r="S7" s="38">
        <v>18.399999999999999</v>
      </c>
      <c r="T7" s="38">
        <v>5.6</v>
      </c>
      <c r="U7" s="38">
        <v>0</v>
      </c>
      <c r="V7" s="38">
        <v>0</v>
      </c>
      <c r="W7" s="38">
        <v>18.3</v>
      </c>
      <c r="X7" s="38">
        <v>6</v>
      </c>
      <c r="Y7" s="38">
        <v>0.2</v>
      </c>
      <c r="Z7" s="38">
        <v>0</v>
      </c>
      <c r="AA7" s="38">
        <v>18.2</v>
      </c>
      <c r="AB7" s="38">
        <v>4.8</v>
      </c>
      <c r="AC7" s="38">
        <v>0</v>
      </c>
      <c r="AD7" s="38">
        <v>0</v>
      </c>
      <c r="AE7" s="38">
        <v>15.2</v>
      </c>
      <c r="AF7" s="38">
        <v>2.4</v>
      </c>
      <c r="AG7" s="38">
        <v>0</v>
      </c>
      <c r="AH7" s="38">
        <v>0</v>
      </c>
      <c r="AI7" s="19"/>
      <c r="AJ7" s="41">
        <f t="shared" si="8"/>
        <v>5.6</v>
      </c>
      <c r="AK7" s="41">
        <f t="shared" si="9"/>
        <v>24</v>
      </c>
      <c r="AL7" s="41">
        <f t="shared" si="10"/>
        <v>6</v>
      </c>
      <c r="AM7" s="41">
        <f t="shared" si="11"/>
        <v>24.1</v>
      </c>
      <c r="AN7" s="27">
        <f t="shared" si="12"/>
        <v>11.6</v>
      </c>
      <c r="AO7" s="27">
        <f t="shared" si="13"/>
        <v>48.1</v>
      </c>
      <c r="AP7" s="27">
        <f t="shared" si="14"/>
        <v>4.8</v>
      </c>
      <c r="AQ7" s="27">
        <f t="shared" si="15"/>
        <v>23</v>
      </c>
      <c r="AR7" s="27">
        <f t="shared" si="16"/>
        <v>2.4</v>
      </c>
      <c r="AS7" s="27">
        <f t="shared" si="17"/>
        <v>17.599999999999998</v>
      </c>
      <c r="AT7" s="27">
        <f t="shared" si="18"/>
        <v>7.1999999999999993</v>
      </c>
      <c r="AU7" s="27">
        <f t="shared" si="19"/>
        <v>40.599999999999994</v>
      </c>
      <c r="AV7" s="27">
        <f t="shared" si="20"/>
        <v>88.699999999999989</v>
      </c>
      <c r="AW7" s="15"/>
      <c r="AX7" s="15"/>
      <c r="AY7" s="15"/>
      <c r="AZ7" s="15"/>
      <c r="BA7" s="15"/>
      <c r="BB7" s="15"/>
      <c r="BC7" s="15"/>
      <c r="BD7" s="15"/>
      <c r="BE7" s="15"/>
      <c r="BF7" s="15"/>
      <c r="BG7" s="15"/>
      <c r="BH7" s="15"/>
      <c r="BI7" s="15"/>
      <c r="BJ7" s="15"/>
      <c r="BK7" s="15"/>
      <c r="BL7" s="15"/>
      <c r="BM7" s="20"/>
      <c r="BN7" s="42" t="str">
        <f t="shared" si="21"/>
        <v/>
      </c>
      <c r="BO7" s="42" t="str">
        <f t="shared" si="22"/>
        <v/>
      </c>
      <c r="BP7" s="42" t="str">
        <f t="shared" si="23"/>
        <v/>
      </c>
      <c r="BQ7" s="42" t="str">
        <f t="shared" si="24"/>
        <v/>
      </c>
      <c r="BR7" s="10" t="str">
        <f t="shared" si="25"/>
        <v/>
      </c>
      <c r="BS7" s="10" t="str">
        <f t="shared" si="26"/>
        <v/>
      </c>
      <c r="BT7" s="10" t="str">
        <f t="shared" si="27"/>
        <v/>
      </c>
      <c r="BU7" s="10" t="str">
        <f t="shared" si="28"/>
        <v/>
      </c>
      <c r="BV7" s="10" t="str">
        <f t="shared" si="29"/>
        <v/>
      </c>
      <c r="BW7" s="10" t="str">
        <f t="shared" si="30"/>
        <v/>
      </c>
      <c r="BX7" s="10" t="str">
        <f t="shared" si="31"/>
        <v/>
      </c>
      <c r="BY7" s="10" t="str">
        <f t="shared" si="32"/>
        <v/>
      </c>
      <c r="BZ7" s="10" t="str">
        <f t="shared" si="33"/>
        <v/>
      </c>
      <c r="CA7" s="34">
        <f t="shared" si="34"/>
        <v>0.79999999999999716</v>
      </c>
      <c r="CB7" s="34">
        <f t="shared" si="35"/>
        <v>6.9000000000000021</v>
      </c>
      <c r="CC7" s="14"/>
      <c r="CD7" s="14"/>
      <c r="CE7" s="14"/>
      <c r="CF7" s="14"/>
      <c r="CG7" s="14"/>
      <c r="CH7" s="14"/>
      <c r="CI7" s="14"/>
      <c r="CJ7" s="14"/>
      <c r="CK7" s="14"/>
      <c r="CL7" s="14"/>
      <c r="CM7" s="14"/>
      <c r="CN7" s="14"/>
      <c r="CO7" s="14"/>
      <c r="CP7" s="14"/>
      <c r="CQ7" s="14"/>
      <c r="CR7" s="14"/>
      <c r="CS7" s="14"/>
      <c r="CT7" s="14"/>
      <c r="CU7" s="14"/>
      <c r="CV7" s="14"/>
      <c r="CW7" s="27" t="str">
        <f t="shared" si="36"/>
        <v/>
      </c>
      <c r="CX7" s="27" t="str">
        <f t="shared" si="37"/>
        <v/>
      </c>
      <c r="CY7" s="27" t="str">
        <f t="shared" si="38"/>
        <v/>
      </c>
      <c r="CZ7" s="27" t="str">
        <f t="shared" si="39"/>
        <v/>
      </c>
      <c r="DA7" s="27" t="str">
        <f t="shared" si="40"/>
        <v/>
      </c>
      <c r="DB7" s="27" t="str">
        <f t="shared" si="41"/>
        <v/>
      </c>
      <c r="DC7" s="27" t="str">
        <f t="shared" si="42"/>
        <v/>
      </c>
      <c r="DD7" s="27" t="str">
        <f t="shared" si="43"/>
        <v/>
      </c>
      <c r="DE7" s="27" t="str">
        <f t="shared" si="44"/>
        <v/>
      </c>
      <c r="DF7" s="27" t="str">
        <f t="shared" si="45"/>
        <v/>
      </c>
      <c r="DG7" s="27" t="str">
        <f t="shared" si="46"/>
        <v/>
      </c>
      <c r="DH7" s="27" t="str">
        <f t="shared" si="47"/>
        <v/>
      </c>
      <c r="DI7" s="27" t="str">
        <f t="shared" si="48"/>
        <v/>
      </c>
      <c r="DJ7" s="27" t="str">
        <f t="shared" si="49"/>
        <v/>
      </c>
      <c r="DK7" s="27" t="str">
        <f t="shared" si="50"/>
        <v/>
      </c>
      <c r="DL7" s="15">
        <v>18.8</v>
      </c>
      <c r="DM7" s="15">
        <v>5.6</v>
      </c>
      <c r="DN7" s="15">
        <v>0</v>
      </c>
      <c r="DO7" s="15">
        <v>0</v>
      </c>
      <c r="DP7" s="15">
        <v>18.5</v>
      </c>
      <c r="DQ7" s="15">
        <v>6</v>
      </c>
      <c r="DR7" s="15">
        <v>0</v>
      </c>
      <c r="DS7" s="15">
        <v>0</v>
      </c>
      <c r="DT7" s="15"/>
      <c r="DU7" s="15"/>
      <c r="DV7" s="15"/>
      <c r="DW7" s="15"/>
      <c r="DX7" s="15">
        <v>18.3</v>
      </c>
      <c r="DY7" s="15">
        <v>6</v>
      </c>
      <c r="DZ7" s="15">
        <v>0.2</v>
      </c>
      <c r="EA7" s="15">
        <v>0</v>
      </c>
      <c r="EB7" s="15"/>
      <c r="EC7" s="15"/>
      <c r="ED7" s="15"/>
      <c r="EE7" s="15"/>
      <c r="EF7" s="10">
        <f t="shared" si="51"/>
        <v>5.6</v>
      </c>
      <c r="EG7" s="10">
        <f t="shared" si="52"/>
        <v>24.4</v>
      </c>
      <c r="EH7" s="10">
        <f t="shared" si="53"/>
        <v>6</v>
      </c>
      <c r="EI7" s="10">
        <f t="shared" si="54"/>
        <v>24.5</v>
      </c>
      <c r="EJ7" s="10">
        <f t="shared" si="55"/>
        <v>11.6</v>
      </c>
      <c r="EK7" s="10">
        <f t="shared" si="56"/>
        <v>48.9</v>
      </c>
      <c r="EL7" s="10" t="str">
        <f t="shared" si="57"/>
        <v/>
      </c>
      <c r="EM7" s="10" t="str">
        <f t="shared" si="58"/>
        <v/>
      </c>
      <c r="EN7" s="10">
        <f t="shared" si="59"/>
        <v>6</v>
      </c>
      <c r="EO7" s="10">
        <f t="shared" si="60"/>
        <v>24.1</v>
      </c>
      <c r="EP7" s="10" t="str">
        <f t="shared" si="61"/>
        <v/>
      </c>
      <c r="EQ7" s="10" t="str">
        <f t="shared" si="62"/>
        <v/>
      </c>
      <c r="ER7" s="10">
        <f t="shared" si="63"/>
        <v>6</v>
      </c>
      <c r="ES7" s="10">
        <f t="shared" si="64"/>
        <v>24.1</v>
      </c>
      <c r="ET7" s="10">
        <f t="shared" si="65"/>
        <v>48.9</v>
      </c>
    </row>
    <row r="8" spans="1:150" x14ac:dyDescent="0.2">
      <c r="A8" s="3" cm="1">
        <f t="array" ref="A8">IF(AND(H8&lt;&gt;"",H8&lt;&gt;"No DD"),SUMPRODUCT((H$4:H$22&lt;&gt;"")*(H$4:H$22&lt;&gt;"No DD")*(E$4:E$22&gt;E8))+1,IF(H8="No DD",SUMPRODUCT((H$4:H$22="No DD")*(E$4:E$22&gt;E8))+1+SUMPRODUCT((H$4:H$22&lt;&gt;"")*(H$4:H$22&lt;&gt;"No DD")),""))</f>
        <v>5</v>
      </c>
      <c r="B8" s="4" t="s">
        <v>108</v>
      </c>
      <c r="C8" s="3" t="s">
        <v>3</v>
      </c>
      <c r="D8" s="3">
        <v>2002</v>
      </c>
      <c r="E8" s="8">
        <f t="shared" si="0"/>
        <v>94.500007220004875</v>
      </c>
      <c r="F8" s="2" t="str">
        <f>IF(OR(AND(AO8&lt;&gt;"",AO8&gt;=AV$27,AN8&gt;=AV$24),AND(AU8&lt;&gt;"",AU8&gt;=AV$27,AT8&gt;=AV$24),AND(BS8&lt;&gt;"",BS8&gt;=BZ$27,BR8&gt;=BZ$24),AND(BY8&lt;&gt;"",BY8&gt;=BZ$27,BX8&gt;=BZ$24),AND(DB8&lt;&gt;"",DB8&gt;=DK$27,DA8&gt;=DK$24),AND(DJ8&lt;&gt;"",DJ8&gt;=DK$27,DI8&gt;=DK$24),AND(EK8&lt;&gt;"",EK8&gt;=ET$27,EJ8&gt;=ET$24),AND(ES8&lt;&gt;"",ES8&gt;=ET$27,ER8&gt;=ET$24)),"P","")</f>
        <v>P</v>
      </c>
      <c r="G8" s="2" t="str">
        <f>IF(OR(AND(AO8&lt;&gt;"",AO8&gt;=AV$27),AND(AU8&lt;&gt;"",AU8&gt;=AV$27),AND(BS8&lt;&gt;"",BS8&gt;=BZ$27),AND(BY8&lt;&gt;"",BY8&gt;=BZ$27),AND(DB8&lt;&gt;"",DB8&gt;=DK$27),AND(DJ8&lt;&gt;"",DJ8&gt;=DK$27),AND(EK8&lt;&gt;"",EK8&gt;=ET$27),AND(ES8&lt;&gt;"",ES8&gt;=ET$27)),"P","")</f>
        <v>P</v>
      </c>
      <c r="H8" s="26" t="str">
        <f>IF(AND(G8="P",F8=""),"No DD",IF(OR(AND(AK8&lt;&gt;"",AK8&gt;=AV$29,AJ8&gt;=AV$26),AND(AM8&lt;&gt;"",AM8&gt;=AV$29,AL8&gt;=AV$26),AND(AQ8&lt;&gt;"",AQ8&gt;=AV$29,AP8&gt;=AV$26),AND(AS8&lt;&gt;"",AS8&gt;=AV$29,AR8&gt;=AV$26),AND(BO8&lt;&gt;"",BO8&gt;=BZ$29,BN8&gt;=BZ$26),AND(BQ8&lt;&gt;"",BQ8&gt;=BZ$29,BP8&gt;=BZ$26),AND(BV8&lt;&gt;"",BV8&gt;=BZ$29,BU8&gt;=BZ$26),AND(BX8&lt;&gt;"",BX8&gt;=BZ$29,BW8&gt;=BZ$26),AND(CX8&lt;&gt;"",CX8&gt;=DK$29,CW8&gt;=DK$26),AND(CZ8&lt;&gt;"",CZ8&gt;=DK$29,CY8&gt;=DK$26),AND(DD8&lt;&gt;"",DD8&gt;=DK$29,DC8&gt;=DK$26),AND(DF8&lt;&gt;"",DF8&gt;=DK$29,DE8&gt;=DK$26),AND(DH8&lt;&gt;"",DH8&gt;=DK$29,DG8&gt;=DK$26),AND(EG8&lt;&gt;"",EG8&gt;=ET$29,EF8&gt;=ET$26),AND(EI8&lt;&gt;"",EI8&gt;=ET$29,EH8&gt;=ET$26),AND(EM8&lt;&gt;"",EM8&gt;=ET$29,EL8&gt;=ET$26),AND(EO8&lt;&gt;"",EO8&gt;=ET$29,EN8&gt;=ET$26),AND(EQ8&lt;&gt;"",EQ8&gt;=ET$29,EP8&gt;=ET$26)),"Performance",IF(I8="P","Worlds Team",IF(F8="P","National Team",""))))</f>
        <v>National Team</v>
      </c>
      <c r="I8" s="2" t="str">
        <f>IF(OR(AND(AO8&lt;&gt;"",AO8&gt;=AV$28,AN8&gt;=AV$25),AND(AU8&lt;&gt;"",AU8&gt;=AV$28,AT8&gt;=AV$25),AND(BS8&lt;&gt;"",BS8&gt;=BZ$28,BR8&gt;=BZ$25),AND(BY8&lt;&gt;"",BY8&gt;=BZ$28,BX8&gt;=BZ$25),AND(DB8&lt;&gt;"",DB8&gt;=DK$28,DA8&gt;=DK$25),AND(DJ8&lt;&gt;"",DJ8&gt;=DK$28,DI8&gt;=DK$25),AND(EK8&lt;&gt;"",EK8&gt;=ET$28,EJ8&gt;=ET$25),AND(ES8&lt;&gt;"",ES8&gt;=ET$28,ER8&gt;=ET$25)),"P","")</f>
        <v/>
      </c>
      <c r="J8" s="7">
        <f t="shared" si="1"/>
        <v>48.7</v>
      </c>
      <c r="K8" s="7" t="str">
        <f t="shared" si="2"/>
        <v>2026 Elite Canada</v>
      </c>
      <c r="L8" s="7">
        <f>IF(J8=AO8,IF(COUNT(AQ8,AS8,BO8,BQ8,BU8,BW8)&gt;1,LARGE((AQ8,AS8,BO8,BQ8,BU8,BW8),1),0),IF(COUNT(AK8,AM8,AQ8,AS8,BU8,BW8)&gt;1,LARGE((AK8,AM8,AQ8,AS8,BU8,BW8),1),0))</f>
        <v>23.5</v>
      </c>
      <c r="M8" s="7" t="str">
        <f t="shared" si="3"/>
        <v>2026 Elite Canada</v>
      </c>
      <c r="N8" s="7">
        <f>IF(J8=AO8,IF(COUNT(AQ8,AS8,BO8,BQ8,BU8,BW8)&gt;1,LARGE((AQ8,AS8,BO8,BQ8,BU8,BW8),2),0),IF(COUNT(AK8,AM8,AQ8,AS8,BU8,BW8)&gt;1,LARGE((AK8,AM8,AQ8,AS8,BU8,BW8),2),0))</f>
        <v>22.300000000000004</v>
      </c>
      <c r="O8" s="7" t="str">
        <f t="shared" si="4"/>
        <v>2026 Elite Canada</v>
      </c>
      <c r="P8" s="7" t="str">
        <f t="shared" si="5"/>
        <v/>
      </c>
      <c r="Q8" s="10" t="str">
        <f t="shared" si="6"/>
        <v/>
      </c>
      <c r="R8" s="7" t="str">
        <f t="shared" si="7"/>
        <v/>
      </c>
      <c r="S8" s="38">
        <v>17.899999999999999</v>
      </c>
      <c r="T8" s="38">
        <v>6</v>
      </c>
      <c r="U8" s="38">
        <v>0.2</v>
      </c>
      <c r="V8" s="38">
        <v>0.50000000000000067</v>
      </c>
      <c r="W8" s="38">
        <v>18</v>
      </c>
      <c r="X8" s="38">
        <v>6.8</v>
      </c>
      <c r="Y8" s="38">
        <v>0.8</v>
      </c>
      <c r="Z8" s="38">
        <v>0.50000000000000022</v>
      </c>
      <c r="AA8" s="38">
        <v>18.3</v>
      </c>
      <c r="AB8" s="38">
        <v>4.4000000000000004</v>
      </c>
      <c r="AC8" s="38">
        <v>0.4</v>
      </c>
      <c r="AD8" s="38">
        <v>0</v>
      </c>
      <c r="AE8" s="38">
        <v>17.8</v>
      </c>
      <c r="AF8" s="38">
        <v>6</v>
      </c>
      <c r="AG8" s="38">
        <v>0.8</v>
      </c>
      <c r="AH8" s="38">
        <v>0.49999999999999933</v>
      </c>
      <c r="AI8" s="19"/>
      <c r="AJ8" s="41">
        <f t="shared" si="8"/>
        <v>6</v>
      </c>
      <c r="AK8" s="41">
        <f t="shared" si="9"/>
        <v>24.2</v>
      </c>
      <c r="AL8" s="41">
        <f t="shared" si="10"/>
        <v>6.8</v>
      </c>
      <c r="AM8" s="41">
        <f t="shared" si="11"/>
        <v>24.5</v>
      </c>
      <c r="AN8" s="27">
        <f t="shared" si="12"/>
        <v>12.8</v>
      </c>
      <c r="AO8" s="27">
        <f t="shared" si="13"/>
        <v>48.7</v>
      </c>
      <c r="AP8" s="27">
        <f t="shared" si="14"/>
        <v>4.4000000000000004</v>
      </c>
      <c r="AQ8" s="27">
        <f t="shared" si="15"/>
        <v>22.300000000000004</v>
      </c>
      <c r="AR8" s="27">
        <f t="shared" si="16"/>
        <v>6</v>
      </c>
      <c r="AS8" s="27">
        <f t="shared" si="17"/>
        <v>23.5</v>
      </c>
      <c r="AT8" s="27">
        <f t="shared" si="18"/>
        <v>10.4</v>
      </c>
      <c r="AU8" s="27">
        <f t="shared" si="19"/>
        <v>45.800000000000004</v>
      </c>
      <c r="AV8" s="27">
        <f t="shared" si="20"/>
        <v>94.5</v>
      </c>
      <c r="AW8" s="15"/>
      <c r="AX8" s="15"/>
      <c r="AY8" s="15"/>
      <c r="AZ8" s="15"/>
      <c r="BA8" s="15"/>
      <c r="BB8" s="15"/>
      <c r="BC8" s="15"/>
      <c r="BD8" s="15"/>
      <c r="BE8" s="15"/>
      <c r="BF8" s="15"/>
      <c r="BG8" s="15"/>
      <c r="BH8" s="15"/>
      <c r="BI8" s="15"/>
      <c r="BJ8" s="15"/>
      <c r="BK8" s="15"/>
      <c r="BL8" s="15"/>
      <c r="BM8" s="20"/>
      <c r="BN8" s="42" t="str">
        <f t="shared" si="21"/>
        <v/>
      </c>
      <c r="BO8" s="42" t="str">
        <f t="shared" si="22"/>
        <v/>
      </c>
      <c r="BP8" s="42" t="str">
        <f t="shared" si="23"/>
        <v/>
      </c>
      <c r="BQ8" s="42" t="str">
        <f t="shared" si="24"/>
        <v/>
      </c>
      <c r="BR8" s="10" t="str">
        <f t="shared" si="25"/>
        <v/>
      </c>
      <c r="BS8" s="10" t="str">
        <f t="shared" si="26"/>
        <v/>
      </c>
      <c r="BT8" s="10" t="str">
        <f t="shared" si="27"/>
        <v/>
      </c>
      <c r="BU8" s="10" t="str">
        <f t="shared" si="28"/>
        <v/>
      </c>
      <c r="BV8" s="10" t="str">
        <f t="shared" si="29"/>
        <v/>
      </c>
      <c r="BW8" s="10" t="str">
        <f t="shared" si="30"/>
        <v/>
      </c>
      <c r="BX8" s="10" t="str">
        <f t="shared" si="31"/>
        <v/>
      </c>
      <c r="BY8" s="10" t="str">
        <f t="shared" si="32"/>
        <v/>
      </c>
      <c r="BZ8" s="10" t="str">
        <f t="shared" si="33"/>
        <v/>
      </c>
      <c r="CA8" s="34" t="str">
        <f t="shared" si="34"/>
        <v/>
      </c>
      <c r="CB8" s="34" t="str">
        <f t="shared" si="35"/>
        <v/>
      </c>
      <c r="CC8" s="14"/>
      <c r="CD8" s="14"/>
      <c r="CE8" s="14"/>
      <c r="CF8" s="14"/>
      <c r="CG8" s="14"/>
      <c r="CH8" s="14"/>
      <c r="CI8" s="14"/>
      <c r="CJ8" s="14"/>
      <c r="CK8" s="14"/>
      <c r="CL8" s="14"/>
      <c r="CM8" s="14"/>
      <c r="CN8" s="14"/>
      <c r="CO8" s="14"/>
      <c r="CP8" s="14"/>
      <c r="CQ8" s="14"/>
      <c r="CR8" s="14"/>
      <c r="CS8" s="14"/>
      <c r="CT8" s="14"/>
      <c r="CU8" s="14"/>
      <c r="CV8" s="14"/>
      <c r="CW8" s="27" t="str">
        <f t="shared" si="36"/>
        <v/>
      </c>
      <c r="CX8" s="27" t="str">
        <f t="shared" si="37"/>
        <v/>
      </c>
      <c r="CY8" s="27" t="str">
        <f t="shared" si="38"/>
        <v/>
      </c>
      <c r="CZ8" s="27" t="str">
        <f t="shared" si="39"/>
        <v/>
      </c>
      <c r="DA8" s="27" t="str">
        <f t="shared" si="40"/>
        <v/>
      </c>
      <c r="DB8" s="27" t="str">
        <f t="shared" si="41"/>
        <v/>
      </c>
      <c r="DC8" s="27" t="str">
        <f t="shared" si="42"/>
        <v/>
      </c>
      <c r="DD8" s="27" t="str">
        <f t="shared" si="43"/>
        <v/>
      </c>
      <c r="DE8" s="27" t="str">
        <f t="shared" si="44"/>
        <v/>
      </c>
      <c r="DF8" s="27" t="str">
        <f t="shared" si="45"/>
        <v/>
      </c>
      <c r="DG8" s="27" t="str">
        <f t="shared" si="46"/>
        <v/>
      </c>
      <c r="DH8" s="27" t="str">
        <f t="shared" si="47"/>
        <v/>
      </c>
      <c r="DI8" s="27" t="str">
        <f t="shared" si="48"/>
        <v/>
      </c>
      <c r="DJ8" s="27" t="str">
        <f t="shared" si="49"/>
        <v/>
      </c>
      <c r="DK8" s="27" t="str">
        <f t="shared" si="50"/>
        <v/>
      </c>
      <c r="DL8" s="15"/>
      <c r="DM8" s="15"/>
      <c r="DN8" s="15"/>
      <c r="DO8" s="15"/>
      <c r="DP8" s="15"/>
      <c r="DQ8" s="15"/>
      <c r="DR8" s="15"/>
      <c r="DS8" s="15"/>
      <c r="DT8" s="15"/>
      <c r="DU8" s="15"/>
      <c r="DV8" s="15"/>
      <c r="DW8" s="15"/>
      <c r="DX8" s="15"/>
      <c r="DY8" s="15"/>
      <c r="DZ8" s="15"/>
      <c r="EA8" s="15"/>
      <c r="EB8" s="15"/>
      <c r="EC8" s="15"/>
      <c r="ED8" s="15"/>
      <c r="EE8" s="15"/>
      <c r="EF8" s="10" t="str">
        <f t="shared" si="51"/>
        <v/>
      </c>
      <c r="EG8" s="10" t="str">
        <f t="shared" si="52"/>
        <v/>
      </c>
      <c r="EH8" s="10" t="str">
        <f t="shared" si="53"/>
        <v/>
      </c>
      <c r="EI8" s="10" t="str">
        <f t="shared" si="54"/>
        <v/>
      </c>
      <c r="EJ8" s="10" t="str">
        <f t="shared" si="55"/>
        <v/>
      </c>
      <c r="EK8" s="10" t="str">
        <f t="shared" si="56"/>
        <v/>
      </c>
      <c r="EL8" s="10" t="str">
        <f t="shared" si="57"/>
        <v/>
      </c>
      <c r="EM8" s="10" t="str">
        <f t="shared" si="58"/>
        <v/>
      </c>
      <c r="EN8" s="10" t="str">
        <f t="shared" si="59"/>
        <v/>
      </c>
      <c r="EO8" s="10" t="str">
        <f t="shared" si="60"/>
        <v/>
      </c>
      <c r="EP8" s="10" t="str">
        <f t="shared" si="61"/>
        <v/>
      </c>
      <c r="EQ8" s="10" t="str">
        <f t="shared" si="62"/>
        <v/>
      </c>
      <c r="ER8" s="10" t="str">
        <f t="shared" si="63"/>
        <v/>
      </c>
      <c r="ES8" s="10" t="str">
        <f t="shared" si="64"/>
        <v/>
      </c>
      <c r="ET8" s="10" t="str">
        <f t="shared" si="65"/>
        <v/>
      </c>
    </row>
    <row r="9" spans="1:150" x14ac:dyDescent="0.2">
      <c r="A9" s="3" cm="1">
        <f t="array" ref="A9">IF(AND(H9&lt;&gt;"",H9&lt;&gt;"No DD"),SUMPRODUCT((H$4:H$22&lt;&gt;"")*(H$4:H$22&lt;&gt;"No DD")*(E$4:E$22&gt;E9))+1,IF(H9="No DD",SUMPRODUCT((H$4:H$22="No DD")*(E$4:E$22&gt;E9))+1+SUMPRODUCT((H$4:H$22&lt;&gt;"")*(H$4:H$22&lt;&gt;"No DD")),""))</f>
        <v>6</v>
      </c>
      <c r="B9" s="4" t="s">
        <v>107</v>
      </c>
      <c r="C9" s="3" t="s">
        <v>4</v>
      </c>
      <c r="D9" s="3">
        <v>1999</v>
      </c>
      <c r="E9" s="8">
        <f t="shared" si="0"/>
        <v>91.400007380004894</v>
      </c>
      <c r="F9" s="2" t="str">
        <f>IF(OR(AND(AO9&lt;&gt;"",AO9&gt;=AV$27,AN9&gt;=AV$24),AND(AU9&lt;&gt;"",AU9&gt;=AV$27,AT9&gt;=AV$24),AND(BS9&lt;&gt;"",BS9&gt;=BZ$27,BR9&gt;=BZ$24),AND(BY9&lt;&gt;"",BY9&gt;=BZ$27,BX9&gt;=BZ$24),AND(DB9&lt;&gt;"",DB9&gt;=DK$27,DA9&gt;=DK$24),AND(DJ9&lt;&gt;"",DJ9&gt;=DK$27,DI9&gt;=DK$24),AND(EK9&lt;&gt;"",EK9&gt;=ET$27,EJ9&gt;=ET$24),AND(ES9&lt;&gt;"",ES9&gt;=ET$27,ER9&gt;=ET$24)),"P","")</f>
        <v>P</v>
      </c>
      <c r="G9" s="2" t="str">
        <f>IF(OR(AND(AO9&lt;&gt;"",AO9&gt;=AV$27),AND(AU9&lt;&gt;"",AU9&gt;=AV$27),AND(BS9&lt;&gt;"",BS9&gt;=BZ$27),AND(BY9&lt;&gt;"",BY9&gt;=BZ$27),AND(DB9&lt;&gt;"",DB9&gt;=DK$27),AND(DJ9&lt;&gt;"",DJ9&gt;=DK$27),AND(EK9&lt;&gt;"",EK9&gt;=ET$27),AND(ES9&lt;&gt;"",ES9&gt;=ET$27)),"P","")</f>
        <v>P</v>
      </c>
      <c r="H9" s="26" t="str">
        <f>IF(AND(G9="P",F9=""),"No DD",IF(OR(AND(AK9&lt;&gt;"",AK9&gt;=AV$29,AJ9&gt;=AV$26),AND(AM9&lt;&gt;"",AM9&gt;=AV$29,AL9&gt;=AV$26),AND(AQ9&lt;&gt;"",AQ9&gt;=AV$29,AP9&gt;=AV$26),AND(AS9&lt;&gt;"",AS9&gt;=AV$29,AR9&gt;=AV$26),AND(BO9&lt;&gt;"",BO9&gt;=BZ$29,BN9&gt;=BZ$26),AND(BQ9&lt;&gt;"",BQ9&gt;=BZ$29,BP9&gt;=BZ$26),AND(BV9&lt;&gt;"",BV9&gt;=BZ$29,BU9&gt;=BZ$26),AND(BX9&lt;&gt;"",BX9&gt;=BZ$29,BW9&gt;=BZ$26),AND(CX9&lt;&gt;"",CX9&gt;=DK$29,CW9&gt;=DK$26),AND(CZ9&lt;&gt;"",CZ9&gt;=DK$29,CY9&gt;=DK$26),AND(DD9&lt;&gt;"",DD9&gt;=DK$29,DC9&gt;=DK$26),AND(DF9&lt;&gt;"",DF9&gt;=DK$29,DE9&gt;=DK$26),AND(DH9&lt;&gt;"",DH9&gt;=DK$29,DG9&gt;=DK$26),AND(EG9&lt;&gt;"",EG9&gt;=ET$29,EF9&gt;=ET$26),AND(EI9&lt;&gt;"",EI9&gt;=ET$29,EH9&gt;=ET$26),AND(EM9&lt;&gt;"",EM9&gt;=ET$29,EL9&gt;=ET$26),AND(EO9&lt;&gt;"",EO9&gt;=ET$29,EN9&gt;=ET$26),AND(EQ9&lt;&gt;"",EQ9&gt;=ET$29,EP9&gt;=ET$26)),"Performance",IF(I9="P","Worlds Team",IF(F9="P","National Team",""))))</f>
        <v>National Team</v>
      </c>
      <c r="I9" s="2" t="str">
        <f>IF(OR(AND(AO9&lt;&gt;"",AO9&gt;=AV$28,AN9&gt;=AV$25),AND(AU9&lt;&gt;"",AU9&gt;=AV$28,AT9&gt;=AV$25),AND(BS9&lt;&gt;"",BS9&gt;=BZ$28,BR9&gt;=BZ$25),AND(BY9&lt;&gt;"",BY9&gt;=BZ$28,BX9&gt;=BZ$25),AND(DB9&lt;&gt;"",DB9&gt;=DK$28,DA9&gt;=DK$25),AND(DJ9&lt;&gt;"",DJ9&gt;=DK$28,DI9&gt;=DK$25),AND(EK9&lt;&gt;"",EK9&gt;=ET$28,EJ9&gt;=ET$25),AND(ES9&lt;&gt;"",ES9&gt;=ET$28,ER9&gt;=ET$25)),"P","")</f>
        <v/>
      </c>
      <c r="J9" s="7">
        <f t="shared" si="1"/>
        <v>49</v>
      </c>
      <c r="K9" s="7" t="str">
        <f t="shared" si="2"/>
        <v>2026 Elite Canada</v>
      </c>
      <c r="L9" s="7">
        <f>IF(J9=AO9,IF(COUNT(AQ9,AS9,BO9,BQ9,BU9,BW9)&gt;1,LARGE((AQ9,AS9,BO9,BQ9,BU9,BW9),1),0),IF(COUNT(AK9,AM9,AQ9,AS9,BU9,BW9)&gt;1,LARGE((AK9,AM9,AQ9,AS9,BU9,BW9),1),0))</f>
        <v>24.8</v>
      </c>
      <c r="M9" s="7" t="str">
        <f t="shared" si="3"/>
        <v>2026 Elite Canada</v>
      </c>
      <c r="N9" s="7">
        <f>IF(J9=AO9,IF(COUNT(AQ9,AS9,BO9,BQ9,BU9,BW9)&gt;1,LARGE((AQ9,AS9,BO9,BQ9,BU9,BW9),2),0),IF(COUNT(AK9,AM9,AQ9,AS9,BU9,BW9)&gt;1,LARGE((AK9,AM9,AQ9,AS9,BU9,BW9),2),0))</f>
        <v>17.599999999999998</v>
      </c>
      <c r="O9" s="7" t="str">
        <f t="shared" si="4"/>
        <v>2026 Elite Canada</v>
      </c>
      <c r="P9" s="7" t="str">
        <f t="shared" si="5"/>
        <v/>
      </c>
      <c r="Q9" s="10" t="str">
        <f t="shared" si="6"/>
        <v/>
      </c>
      <c r="R9" s="7" t="str">
        <f t="shared" si="7"/>
        <v/>
      </c>
      <c r="S9" s="38">
        <v>18.600000000000001</v>
      </c>
      <c r="T9" s="38">
        <v>6.4</v>
      </c>
      <c r="U9" s="38">
        <v>0.6</v>
      </c>
      <c r="V9" s="38">
        <v>0</v>
      </c>
      <c r="W9" s="38">
        <v>18.8</v>
      </c>
      <c r="X9" s="38">
        <v>6</v>
      </c>
      <c r="Y9" s="38">
        <v>0.2</v>
      </c>
      <c r="Z9" s="38">
        <v>0</v>
      </c>
      <c r="AA9" s="38">
        <v>18.600000000000001</v>
      </c>
      <c r="AB9" s="38">
        <v>6.4</v>
      </c>
      <c r="AC9" s="38">
        <v>0.2</v>
      </c>
      <c r="AD9" s="38">
        <v>0</v>
      </c>
      <c r="AE9" s="38">
        <v>15.2</v>
      </c>
      <c r="AF9" s="38">
        <v>2.4</v>
      </c>
      <c r="AG9" s="38">
        <v>0</v>
      </c>
      <c r="AH9" s="38">
        <v>0</v>
      </c>
      <c r="AI9" s="19"/>
      <c r="AJ9" s="41">
        <f t="shared" si="8"/>
        <v>6.4</v>
      </c>
      <c r="AK9" s="41">
        <f t="shared" si="9"/>
        <v>24.4</v>
      </c>
      <c r="AL9" s="41">
        <f t="shared" si="10"/>
        <v>6</v>
      </c>
      <c r="AM9" s="41">
        <f t="shared" si="11"/>
        <v>24.6</v>
      </c>
      <c r="AN9" s="27">
        <f t="shared" si="12"/>
        <v>12.4</v>
      </c>
      <c r="AO9" s="27">
        <f t="shared" si="13"/>
        <v>49</v>
      </c>
      <c r="AP9" s="27">
        <f t="shared" si="14"/>
        <v>6.4</v>
      </c>
      <c r="AQ9" s="27">
        <f t="shared" si="15"/>
        <v>24.8</v>
      </c>
      <c r="AR9" s="27">
        <f t="shared" si="16"/>
        <v>2.4</v>
      </c>
      <c r="AS9" s="27">
        <f t="shared" si="17"/>
        <v>17.599999999999998</v>
      </c>
      <c r="AT9" s="27">
        <f t="shared" si="18"/>
        <v>8.8000000000000007</v>
      </c>
      <c r="AU9" s="27">
        <f t="shared" si="19"/>
        <v>42.4</v>
      </c>
      <c r="AV9" s="27">
        <f t="shared" si="20"/>
        <v>91.4</v>
      </c>
      <c r="AW9" s="15"/>
      <c r="AX9" s="15"/>
      <c r="AY9" s="15"/>
      <c r="AZ9" s="15"/>
      <c r="BA9" s="15"/>
      <c r="BB9" s="15"/>
      <c r="BC9" s="15"/>
      <c r="BD9" s="15"/>
      <c r="BE9" s="15"/>
      <c r="BF9" s="15"/>
      <c r="BG9" s="15"/>
      <c r="BH9" s="15"/>
      <c r="BI9" s="15"/>
      <c r="BJ9" s="15"/>
      <c r="BK9" s="15"/>
      <c r="BL9" s="15"/>
      <c r="BM9" s="20"/>
      <c r="BN9" s="42" t="str">
        <f t="shared" si="21"/>
        <v/>
      </c>
      <c r="BO9" s="42" t="str">
        <f t="shared" si="22"/>
        <v/>
      </c>
      <c r="BP9" s="42" t="str">
        <f t="shared" si="23"/>
        <v/>
      </c>
      <c r="BQ9" s="42" t="str">
        <f t="shared" si="24"/>
        <v/>
      </c>
      <c r="BR9" s="10" t="str">
        <f t="shared" si="25"/>
        <v/>
      </c>
      <c r="BS9" s="10" t="str">
        <f t="shared" si="26"/>
        <v/>
      </c>
      <c r="BT9" s="10" t="str">
        <f t="shared" si="27"/>
        <v/>
      </c>
      <c r="BU9" s="10" t="str">
        <f t="shared" si="28"/>
        <v/>
      </c>
      <c r="BV9" s="10" t="str">
        <f t="shared" si="29"/>
        <v/>
      </c>
      <c r="BW9" s="10" t="str">
        <f t="shared" si="30"/>
        <v/>
      </c>
      <c r="BX9" s="10" t="str">
        <f t="shared" si="31"/>
        <v/>
      </c>
      <c r="BY9" s="10" t="str">
        <f t="shared" si="32"/>
        <v/>
      </c>
      <c r="BZ9" s="10" t="str">
        <f t="shared" si="33"/>
        <v/>
      </c>
      <c r="CA9" s="34" t="str">
        <f t="shared" si="34"/>
        <v/>
      </c>
      <c r="CB9" s="34" t="str">
        <f t="shared" si="35"/>
        <v/>
      </c>
      <c r="CC9" s="14"/>
      <c r="CD9" s="14"/>
      <c r="CE9" s="14"/>
      <c r="CF9" s="14"/>
      <c r="CG9" s="14"/>
      <c r="CH9" s="14"/>
      <c r="CI9" s="14"/>
      <c r="CJ9" s="14"/>
      <c r="CK9" s="14"/>
      <c r="CL9" s="14"/>
      <c r="CM9" s="14"/>
      <c r="CN9" s="14"/>
      <c r="CO9" s="14"/>
      <c r="CP9" s="14"/>
      <c r="CQ9" s="14"/>
      <c r="CR9" s="14"/>
      <c r="CS9" s="14"/>
      <c r="CT9" s="14"/>
      <c r="CU9" s="14"/>
      <c r="CV9" s="14"/>
      <c r="CW9" s="27" t="str">
        <f t="shared" si="36"/>
        <v/>
      </c>
      <c r="CX9" s="27" t="str">
        <f t="shared" si="37"/>
        <v/>
      </c>
      <c r="CY9" s="27" t="str">
        <f t="shared" si="38"/>
        <v/>
      </c>
      <c r="CZ9" s="27" t="str">
        <f t="shared" si="39"/>
        <v/>
      </c>
      <c r="DA9" s="27" t="str">
        <f t="shared" si="40"/>
        <v/>
      </c>
      <c r="DB9" s="27" t="str">
        <f t="shared" si="41"/>
        <v/>
      </c>
      <c r="DC9" s="27" t="str">
        <f t="shared" si="42"/>
        <v/>
      </c>
      <c r="DD9" s="27" t="str">
        <f t="shared" si="43"/>
        <v/>
      </c>
      <c r="DE9" s="27" t="str">
        <f t="shared" si="44"/>
        <v/>
      </c>
      <c r="DF9" s="27" t="str">
        <f t="shared" si="45"/>
        <v/>
      </c>
      <c r="DG9" s="27" t="str">
        <f t="shared" si="46"/>
        <v/>
      </c>
      <c r="DH9" s="27" t="str">
        <f t="shared" si="47"/>
        <v/>
      </c>
      <c r="DI9" s="27" t="str">
        <f t="shared" si="48"/>
        <v/>
      </c>
      <c r="DJ9" s="27" t="str">
        <f t="shared" si="49"/>
        <v/>
      </c>
      <c r="DK9" s="27" t="str">
        <f t="shared" si="50"/>
        <v/>
      </c>
      <c r="DL9" s="15"/>
      <c r="DM9" s="15"/>
      <c r="DN9" s="15"/>
      <c r="DO9" s="15"/>
      <c r="DP9" s="15"/>
      <c r="DQ9" s="15"/>
      <c r="DR9" s="15"/>
      <c r="DS9" s="15"/>
      <c r="DT9" s="15"/>
      <c r="DU9" s="15"/>
      <c r="DV9" s="15"/>
      <c r="DW9" s="15"/>
      <c r="DX9" s="15"/>
      <c r="DY9" s="15"/>
      <c r="DZ9" s="15"/>
      <c r="EA9" s="15"/>
      <c r="EB9" s="15"/>
      <c r="EC9" s="15"/>
      <c r="ED9" s="15"/>
      <c r="EE9" s="15"/>
      <c r="EF9" s="10" t="str">
        <f t="shared" si="51"/>
        <v/>
      </c>
      <c r="EG9" s="10" t="str">
        <f t="shared" si="52"/>
        <v/>
      </c>
      <c r="EH9" s="10" t="str">
        <f t="shared" si="53"/>
        <v/>
      </c>
      <c r="EI9" s="10" t="str">
        <f t="shared" si="54"/>
        <v/>
      </c>
      <c r="EJ9" s="10" t="str">
        <f t="shared" si="55"/>
        <v/>
      </c>
      <c r="EK9" s="10" t="str">
        <f t="shared" si="56"/>
        <v/>
      </c>
      <c r="EL9" s="10" t="str">
        <f t="shared" si="57"/>
        <v/>
      </c>
      <c r="EM9" s="10" t="str">
        <f t="shared" si="58"/>
        <v/>
      </c>
      <c r="EN9" s="10" t="str">
        <f t="shared" si="59"/>
        <v/>
      </c>
      <c r="EO9" s="10" t="str">
        <f t="shared" si="60"/>
        <v/>
      </c>
      <c r="EP9" s="10" t="str">
        <f t="shared" si="61"/>
        <v/>
      </c>
      <c r="EQ9" s="10" t="str">
        <f t="shared" si="62"/>
        <v/>
      </c>
      <c r="ER9" s="10" t="str">
        <f t="shared" si="63"/>
        <v/>
      </c>
      <c r="ES9" s="10" t="str">
        <f t="shared" si="64"/>
        <v/>
      </c>
      <c r="ET9" s="10" t="str">
        <f t="shared" si="65"/>
        <v/>
      </c>
    </row>
    <row r="10" spans="1:150" x14ac:dyDescent="0.2">
      <c r="A10" s="3" cm="1">
        <f t="array" ref="A10">IF(AND(H10&lt;&gt;"",H10&lt;&gt;"No DD"),SUMPRODUCT((H$4:H$22&lt;&gt;"")*(H$4:H$22&lt;&gt;"No DD")*(E$4:E$22&gt;E10))+1,IF(H10="No DD",SUMPRODUCT((H$4:H$22="No DD")*(E$4:E$22&gt;E10))+1+SUMPRODUCT((H$4:H$22&lt;&gt;"")*(H$4:H$22&lt;&gt;"No DD")),""))</f>
        <v>7</v>
      </c>
      <c r="B10" s="4" t="s">
        <v>36</v>
      </c>
      <c r="C10" s="3" t="s">
        <v>5</v>
      </c>
      <c r="D10" s="3">
        <v>2001</v>
      </c>
      <c r="E10" s="8">
        <f t="shared" si="0"/>
        <v>71.800004640004644</v>
      </c>
      <c r="F10" s="2" t="str">
        <f>IF(OR(AND(AO10&lt;&gt;"",AO10&gt;=AV$27,AN10&gt;=AV$24),AND(AU10&lt;&gt;"",AU10&gt;=AV$27,AT10&gt;=AV$24),AND(BS10&lt;&gt;"",BS10&gt;=BZ$27,BR10&gt;=BZ$24),AND(BY10&lt;&gt;"",BY10&gt;=BZ$27,BX10&gt;=BZ$24),AND(DB10&lt;&gt;"",DB10&gt;=DK$27,DA10&gt;=DK$24),AND(DJ10&lt;&gt;"",DJ10&gt;=DK$27,DI10&gt;=DK$24),AND(EK10&lt;&gt;"",EK10&gt;=ET$27,EJ10&gt;=ET$24),AND(ES10&lt;&gt;"",ES10&gt;=ET$27,ER10&gt;=ET$24)),"P","")</f>
        <v>P</v>
      </c>
      <c r="G10" s="2" t="str">
        <f>IF(OR(AND(AO10&lt;&gt;"",AO10&gt;=AV$27),AND(AU10&lt;&gt;"",AU10&gt;=AV$27),AND(BS10&lt;&gt;"",BS10&gt;=BZ$27),AND(BY10&lt;&gt;"",BY10&gt;=BZ$27),AND(DB10&lt;&gt;"",DB10&gt;=DK$27),AND(DJ10&lt;&gt;"",DJ10&gt;=DK$27),AND(EK10&lt;&gt;"",EK10&gt;=ET$27),AND(ES10&lt;&gt;"",ES10&gt;=ET$27)),"P","")</f>
        <v>P</v>
      </c>
      <c r="H10" s="26" t="str">
        <f>IF(AND(G10="P",F10=""),"No DD",IF(OR(AND(AK10&lt;&gt;"",AK10&gt;=AV$29,AJ10&gt;=AV$26),AND(AM10&lt;&gt;"",AM10&gt;=AV$29,AL10&gt;=AV$26),AND(AQ10&lt;&gt;"",AQ10&gt;=AV$29,AP10&gt;=AV$26),AND(AS10&lt;&gt;"",AS10&gt;=AV$29,AR10&gt;=AV$26),AND(BO10&lt;&gt;"",BO10&gt;=BZ$29,BN10&gt;=BZ$26),AND(BQ10&lt;&gt;"",BQ10&gt;=BZ$29,BP10&gt;=BZ$26),AND(BV10&lt;&gt;"",BV10&gt;=BZ$29,BU10&gt;=BZ$26),AND(BX10&lt;&gt;"",BX10&gt;=BZ$29,BW10&gt;=BZ$26),AND(CX10&lt;&gt;"",CX10&gt;=DK$29,CW10&gt;=DK$26),AND(CZ10&lt;&gt;"",CZ10&gt;=DK$29,CY10&gt;=DK$26),AND(DD10&lt;&gt;"",DD10&gt;=DK$29,DC10&gt;=DK$26),AND(DF10&lt;&gt;"",DF10&gt;=DK$29,DE10&gt;=DK$26),AND(DH10&lt;&gt;"",DH10&gt;=DK$29,DG10&gt;=DK$26),AND(EG10&lt;&gt;"",EG10&gt;=ET$29,EF10&gt;=ET$26),AND(EI10&lt;&gt;"",EI10&gt;=ET$29,EH10&gt;=ET$26),AND(EM10&lt;&gt;"",EM10&gt;=ET$29,EL10&gt;=ET$26),AND(EO10&lt;&gt;"",EO10&gt;=ET$29,EN10&gt;=ET$26),AND(EQ10&lt;&gt;"",EQ10&gt;=ET$29,EP10&gt;=ET$26)),"Performance",IF(I10="P","Worlds Team",IF(F10="P","National Team",""))))</f>
        <v>Worlds Team</v>
      </c>
      <c r="I10" s="2" t="str">
        <f>IF(OR(AND(AO10&lt;&gt;"",AO10&gt;=AV$28,AN10&gt;=AV$25),AND(AU10&lt;&gt;"",AU10&gt;=AV$28,AT10&gt;=AV$25),AND(BS10&lt;&gt;"",BS10&gt;=BZ$28,BR10&gt;=BZ$25),AND(BY10&lt;&gt;"",BY10&gt;=BZ$28,BX10&gt;=BZ$25),AND(DB10&lt;&gt;"",DB10&gt;=DK$28,DA10&gt;=DK$25),AND(DJ10&lt;&gt;"",DJ10&gt;=DK$28,DI10&gt;=DK$25),AND(EK10&lt;&gt;"",EK10&gt;=ET$28,EJ10&gt;=ET$25),AND(ES10&lt;&gt;"",ES10&gt;=ET$28,ER10&gt;=ET$25)),"P","")</f>
        <v>P</v>
      </c>
      <c r="J10" s="7">
        <f t="shared" si="1"/>
        <v>46.4</v>
      </c>
      <c r="K10" s="7" t="str">
        <f t="shared" si="2"/>
        <v>2026 Elite Canada</v>
      </c>
      <c r="L10" s="7">
        <f>IF(J10=AO10,IF(COUNT(AQ10,AS10,BO10,BQ10,BU10,BW10)&gt;1,LARGE((AQ10,AS10,BO10,BQ10,BU10,BW10),1),0),IF(COUNT(AK10,AM10,AQ10,AS10,BU10,BW10)&gt;1,LARGE((AK10,AM10,AQ10,AS10,BU10,BW10),1),0))</f>
        <v>0</v>
      </c>
      <c r="M10" s="7" t="str">
        <f t="shared" si="3"/>
        <v/>
      </c>
      <c r="N10" s="7">
        <f>IF(J10=AO10,IF(COUNT(AQ10,AS10,BO10,BQ10,BU10,BW10)&gt;1,LARGE((AQ10,AS10,BO10,BQ10,BU10,BW10),2),0),IF(COUNT(AK10,AM10,AQ10,AS10,BU10,BW10)&gt;1,LARGE((AK10,AM10,AQ10,AS10,BU10,BW10),2),0))</f>
        <v>0</v>
      </c>
      <c r="O10" s="7" t="str">
        <f t="shared" si="4"/>
        <v/>
      </c>
      <c r="P10" s="7">
        <f t="shared" si="5"/>
        <v>25.400000000000002</v>
      </c>
      <c r="Q10" s="10" t="str">
        <f t="shared" si="6"/>
        <v>(Pass)</v>
      </c>
      <c r="R10" s="7" t="str">
        <f t="shared" si="7"/>
        <v>2025 Worlds (Nov 9)</v>
      </c>
      <c r="S10" s="38">
        <v>18.8</v>
      </c>
      <c r="T10" s="38">
        <v>7.2</v>
      </c>
      <c r="U10" s="38">
        <v>0</v>
      </c>
      <c r="V10" s="38">
        <v>0.49999999999999911</v>
      </c>
      <c r="W10" s="38">
        <v>15.4</v>
      </c>
      <c r="X10" s="38">
        <v>4</v>
      </c>
      <c r="Y10" s="38">
        <v>0</v>
      </c>
      <c r="Z10" s="38">
        <v>0.49999999999999822</v>
      </c>
      <c r="AA10" s="38" t="s">
        <v>175</v>
      </c>
      <c r="AB10" s="38" t="s">
        <v>175</v>
      </c>
      <c r="AC10" s="38" t="s">
        <v>175</v>
      </c>
      <c r="AD10" s="38" t="s">
        <v>175</v>
      </c>
      <c r="AE10" s="38" t="s">
        <v>175</v>
      </c>
      <c r="AF10" s="38" t="s">
        <v>175</v>
      </c>
      <c r="AG10" s="38" t="s">
        <v>175</v>
      </c>
      <c r="AH10" s="38" t="s">
        <v>175</v>
      </c>
      <c r="AI10" s="19"/>
      <c r="AJ10" s="41">
        <f t="shared" si="8"/>
        <v>7.2</v>
      </c>
      <c r="AK10" s="41">
        <f t="shared" si="9"/>
        <v>26.5</v>
      </c>
      <c r="AL10" s="41">
        <f t="shared" si="10"/>
        <v>4</v>
      </c>
      <c r="AM10" s="41">
        <f t="shared" si="11"/>
        <v>19.899999999999999</v>
      </c>
      <c r="AN10" s="27">
        <f t="shared" si="12"/>
        <v>11.2</v>
      </c>
      <c r="AO10" s="27">
        <f t="shared" si="13"/>
        <v>46.4</v>
      </c>
      <c r="AP10" s="27" t="str">
        <f t="shared" si="14"/>
        <v/>
      </c>
      <c r="AQ10" s="27" t="str">
        <f t="shared" si="15"/>
        <v/>
      </c>
      <c r="AR10" s="27" t="str">
        <f t="shared" si="16"/>
        <v/>
      </c>
      <c r="AS10" s="27" t="str">
        <f t="shared" si="17"/>
        <v/>
      </c>
      <c r="AT10" s="27" t="str">
        <f t="shared" si="18"/>
        <v/>
      </c>
      <c r="AU10" s="27" t="str">
        <f t="shared" si="19"/>
        <v/>
      </c>
      <c r="AV10" s="27">
        <f t="shared" si="20"/>
        <v>46.4</v>
      </c>
      <c r="AW10" s="15"/>
      <c r="AX10" s="15"/>
      <c r="AY10" s="15"/>
      <c r="AZ10" s="15"/>
      <c r="BA10" s="15"/>
      <c r="BB10" s="15"/>
      <c r="BC10" s="15"/>
      <c r="BD10" s="15"/>
      <c r="BE10" s="15"/>
      <c r="BF10" s="15"/>
      <c r="BG10" s="15"/>
      <c r="BH10" s="15"/>
      <c r="BI10" s="15"/>
      <c r="BJ10" s="15"/>
      <c r="BK10" s="15"/>
      <c r="BL10" s="15"/>
      <c r="BM10" s="20"/>
      <c r="BN10" s="42" t="str">
        <f t="shared" si="21"/>
        <v/>
      </c>
      <c r="BO10" s="42" t="str">
        <f t="shared" si="22"/>
        <v/>
      </c>
      <c r="BP10" s="42" t="str">
        <f t="shared" si="23"/>
        <v/>
      </c>
      <c r="BQ10" s="42" t="str">
        <f t="shared" si="24"/>
        <v/>
      </c>
      <c r="BR10" s="10" t="str">
        <f t="shared" si="25"/>
        <v/>
      </c>
      <c r="BS10" s="10" t="str">
        <f t="shared" si="26"/>
        <v/>
      </c>
      <c r="BT10" s="10" t="str">
        <f t="shared" si="27"/>
        <v/>
      </c>
      <c r="BU10" s="10" t="str">
        <f t="shared" si="28"/>
        <v/>
      </c>
      <c r="BV10" s="10" t="str">
        <f t="shared" si="29"/>
        <v/>
      </c>
      <c r="BW10" s="10" t="str">
        <f t="shared" si="30"/>
        <v/>
      </c>
      <c r="BX10" s="10" t="str">
        <f t="shared" si="31"/>
        <v/>
      </c>
      <c r="BY10" s="10" t="str">
        <f t="shared" si="32"/>
        <v/>
      </c>
      <c r="BZ10" s="10" t="str">
        <f t="shared" si="33"/>
        <v/>
      </c>
      <c r="CA10" s="34">
        <f t="shared" si="34"/>
        <v>4.3999999999999986</v>
      </c>
      <c r="CB10" s="34">
        <f t="shared" si="35"/>
        <v>25.400000000000002</v>
      </c>
      <c r="CC10" s="14">
        <v>18.399999999999999</v>
      </c>
      <c r="CD10" s="14">
        <v>7.2</v>
      </c>
      <c r="CE10" s="14">
        <v>0.2</v>
      </c>
      <c r="CF10" s="14">
        <v>0</v>
      </c>
      <c r="CG10" s="14">
        <v>18.600000000000001</v>
      </c>
      <c r="CH10" s="14">
        <v>6.8</v>
      </c>
      <c r="CI10" s="14">
        <v>0</v>
      </c>
      <c r="CJ10" s="14">
        <v>0</v>
      </c>
      <c r="CK10" s="14">
        <v>15.4</v>
      </c>
      <c r="CL10" s="14">
        <v>4</v>
      </c>
      <c r="CM10" s="14">
        <v>0</v>
      </c>
      <c r="CN10" s="14">
        <v>0</v>
      </c>
      <c r="CO10" s="14"/>
      <c r="CP10" s="14"/>
      <c r="CQ10" s="14"/>
      <c r="CR10" s="14"/>
      <c r="CS10" s="14"/>
      <c r="CT10" s="14"/>
      <c r="CU10" s="14"/>
      <c r="CV10" s="14"/>
      <c r="CW10" s="27">
        <f t="shared" si="36"/>
        <v>7.2</v>
      </c>
      <c r="CX10" s="27">
        <f t="shared" si="37"/>
        <v>25.4</v>
      </c>
      <c r="CY10" s="27">
        <f t="shared" si="38"/>
        <v>6.8</v>
      </c>
      <c r="CZ10" s="27">
        <f t="shared" si="39"/>
        <v>25.400000000000002</v>
      </c>
      <c r="DA10" s="27">
        <f t="shared" si="40"/>
        <v>14</v>
      </c>
      <c r="DB10" s="27">
        <f t="shared" si="41"/>
        <v>50.8</v>
      </c>
      <c r="DC10" s="27">
        <f t="shared" si="42"/>
        <v>4</v>
      </c>
      <c r="DD10" s="27">
        <f t="shared" si="43"/>
        <v>19.399999999999999</v>
      </c>
      <c r="DE10" s="27" t="str">
        <f t="shared" si="44"/>
        <v/>
      </c>
      <c r="DF10" s="27" t="str">
        <f t="shared" si="45"/>
        <v/>
      </c>
      <c r="DG10" s="27" t="str">
        <f t="shared" si="46"/>
        <v/>
      </c>
      <c r="DH10" s="27" t="str">
        <f t="shared" si="47"/>
        <v/>
      </c>
      <c r="DI10" s="27" t="str">
        <f t="shared" si="48"/>
        <v/>
      </c>
      <c r="DJ10" s="27" t="str">
        <f t="shared" si="49"/>
        <v/>
      </c>
      <c r="DK10" s="27">
        <f t="shared" si="50"/>
        <v>70.199999999999989</v>
      </c>
      <c r="DL10" s="15"/>
      <c r="DM10" s="15"/>
      <c r="DN10" s="15"/>
      <c r="DO10" s="15"/>
      <c r="DP10" s="15"/>
      <c r="DQ10" s="15"/>
      <c r="DR10" s="15"/>
      <c r="DS10" s="15"/>
      <c r="DT10" s="15"/>
      <c r="DU10" s="15"/>
      <c r="DV10" s="15"/>
      <c r="DW10" s="15"/>
      <c r="DX10" s="15"/>
      <c r="DY10" s="15"/>
      <c r="DZ10" s="15"/>
      <c r="EA10" s="15"/>
      <c r="EB10" s="15"/>
      <c r="EC10" s="15"/>
      <c r="ED10" s="15"/>
      <c r="EE10" s="15"/>
      <c r="EF10" s="10" t="str">
        <f t="shared" si="51"/>
        <v/>
      </c>
      <c r="EG10" s="10" t="str">
        <f t="shared" si="52"/>
        <v/>
      </c>
      <c r="EH10" s="10" t="str">
        <f t="shared" si="53"/>
        <v/>
      </c>
      <c r="EI10" s="10" t="str">
        <f t="shared" si="54"/>
        <v/>
      </c>
      <c r="EJ10" s="10" t="str">
        <f t="shared" si="55"/>
        <v/>
      </c>
      <c r="EK10" s="10" t="str">
        <f t="shared" si="56"/>
        <v/>
      </c>
      <c r="EL10" s="10" t="str">
        <f t="shared" si="57"/>
        <v/>
      </c>
      <c r="EM10" s="10" t="str">
        <f t="shared" si="58"/>
        <v/>
      </c>
      <c r="EN10" s="10" t="str">
        <f t="shared" si="59"/>
        <v/>
      </c>
      <c r="EO10" s="10" t="str">
        <f t="shared" si="60"/>
        <v/>
      </c>
      <c r="EP10" s="10" t="str">
        <f t="shared" si="61"/>
        <v/>
      </c>
      <c r="EQ10" s="10" t="str">
        <f t="shared" si="62"/>
        <v/>
      </c>
      <c r="ER10" s="10" t="str">
        <f t="shared" si="63"/>
        <v/>
      </c>
      <c r="ES10" s="10" t="str">
        <f t="shared" si="64"/>
        <v/>
      </c>
      <c r="ET10" s="10" t="str">
        <f t="shared" si="65"/>
        <v/>
      </c>
    </row>
    <row r="11" spans="1:150" x14ac:dyDescent="0.2">
      <c r="A11" s="3" cm="1">
        <f t="array" ref="A11">IF(AND(H11&lt;&gt;"",H11&lt;&gt;"No DD"),SUMPRODUCT((H$4:H$22&lt;&gt;"")*(H$4:H$22&lt;&gt;"No DD")*(E$4:E$22&gt;E11))+1,IF(H11="No DD",SUMPRODUCT((H$4:H$22="No DD")*(E$4:E$22&gt;E11))+1+SUMPRODUCT((H$4:H$22&lt;&gt;"")*(H$4:H$22&lt;&gt;"No DD")),""))</f>
        <v>8</v>
      </c>
      <c r="B11" s="4" t="s">
        <v>60</v>
      </c>
      <c r="C11" s="3" t="s">
        <v>5</v>
      </c>
      <c r="D11" s="3">
        <v>2009</v>
      </c>
      <c r="E11" s="8">
        <f t="shared" si="0"/>
        <v>67.700004250004255</v>
      </c>
      <c r="F11" s="2" t="str">
        <f>IF(OR(AND(AO11&lt;&gt;"",AO11&gt;=AV$27,AN11&gt;=AV$24),AND(AU11&lt;&gt;"",AU11&gt;=AV$27,AT11&gt;=AV$24),AND(BS11&lt;&gt;"",BS11&gt;=BZ$27,BR11&gt;=BZ$24),AND(BY11&lt;&gt;"",BY11&gt;=BZ$27,BX11&gt;=BZ$24),AND(DB11&lt;&gt;"",DB11&gt;=DK$27,DA11&gt;=DK$24),AND(DJ11&lt;&gt;"",DJ11&gt;=DK$27,DI11&gt;=DK$24),AND(EK11&lt;&gt;"",EK11&gt;=ET$27,EJ11&gt;=ET$24),AND(ES11&lt;&gt;"",ES11&gt;=ET$27,ER11&gt;=ET$24)),"P","")</f>
        <v>P</v>
      </c>
      <c r="G11" s="2" t="str">
        <f>IF(OR(AND(AO11&lt;&gt;"",AO11&gt;=AV$27),AND(AU11&lt;&gt;"",AU11&gt;=AV$27),AND(BS11&lt;&gt;"",BS11&gt;=BZ$27),AND(BY11&lt;&gt;"",BY11&gt;=BZ$27),AND(DB11&lt;&gt;"",DB11&gt;=DK$27),AND(DJ11&lt;&gt;"",DJ11&gt;=DK$27),AND(EK11&lt;&gt;"",EK11&gt;=ET$27),AND(ES11&lt;&gt;"",ES11&gt;=ET$27)),"P","")</f>
        <v>P</v>
      </c>
      <c r="H11" s="26" t="str">
        <f>IF(AND(G11="P",F11=""),"No DD",IF(OR(AND(AK11&lt;&gt;"",AK11&gt;=AV$29,AJ11&gt;=AV$26),AND(AM11&lt;&gt;"",AM11&gt;=AV$29,AL11&gt;=AV$26),AND(AQ11&lt;&gt;"",AQ11&gt;=AV$29,AP11&gt;=AV$26),AND(AS11&lt;&gt;"",AS11&gt;=AV$29,AR11&gt;=AV$26),AND(BO11&lt;&gt;"",BO11&gt;=BZ$29,BN11&gt;=BZ$26),AND(BQ11&lt;&gt;"",BQ11&gt;=BZ$29,BP11&gt;=BZ$26),AND(BV11&lt;&gt;"",BV11&gt;=BZ$29,BU11&gt;=BZ$26),AND(BX11&lt;&gt;"",BX11&gt;=BZ$29,BW11&gt;=BZ$26),AND(CX11&lt;&gt;"",CX11&gt;=DK$29,CW11&gt;=DK$26),AND(CZ11&lt;&gt;"",CZ11&gt;=DK$29,CY11&gt;=DK$26),AND(DD11&lt;&gt;"",DD11&gt;=DK$29,DC11&gt;=DK$26),AND(DF11&lt;&gt;"",DF11&gt;=DK$29,DE11&gt;=DK$26),AND(DH11&lt;&gt;"",DH11&gt;=DK$29,DG11&gt;=DK$26),AND(EG11&lt;&gt;"",EG11&gt;=ET$29,EF11&gt;=ET$26),AND(EI11&lt;&gt;"",EI11&gt;=ET$29,EH11&gt;=ET$26),AND(EM11&lt;&gt;"",EM11&gt;=ET$29,EL11&gt;=ET$26),AND(EO11&lt;&gt;"",EO11&gt;=ET$29,EN11&gt;=ET$26),AND(EQ11&lt;&gt;"",EQ11&gt;=ET$29,EP11&gt;=ET$26)),"Performance",IF(I11="P","Worlds Team",IF(F11="P","National Team",""))))</f>
        <v>Worlds Team</v>
      </c>
      <c r="I11" s="2" t="str">
        <f>IF(OR(AND(AO11&lt;&gt;"",AO11&gt;=AV$28,AN11&gt;=AV$25),AND(AU11&lt;&gt;"",AU11&gt;=AV$28,AT11&gt;=AV$25),AND(BS11&lt;&gt;"",BS11&gt;=BZ$28,BR11&gt;=BZ$25),AND(BY11&lt;&gt;"",BY11&gt;=BZ$28,BX11&gt;=BZ$25),AND(DB11&lt;&gt;"",DB11&gt;=DK$28,DA11&gt;=DK$25),AND(DJ11&lt;&gt;"",DJ11&gt;=DK$28,DI11&gt;=DK$25),AND(EK11&lt;&gt;"",EK11&gt;=ET$28,EJ11&gt;=ET$25),AND(ES11&lt;&gt;"",ES11&gt;=ET$28,ER11&gt;=ET$25)),"P","")</f>
        <v>P</v>
      </c>
      <c r="J11" s="7">
        <f t="shared" si="1"/>
        <v>42.5</v>
      </c>
      <c r="K11" s="7" t="str">
        <f t="shared" si="2"/>
        <v>2026 Elite Canada</v>
      </c>
      <c r="L11" s="7">
        <f>IF(J11=AO11,IF(COUNT(AQ11,AS11,BO11,BQ11,BU11,BW11)&gt;1,LARGE((AQ11,AS11,BO11,BQ11,BU11,BW11),1),0),IF(COUNT(AK11,AM11,AQ11,AS11,BU11,BW11)&gt;1,LARGE((AK11,AM11,AQ11,AS11,BU11,BW11),1),0))</f>
        <v>0</v>
      </c>
      <c r="M11" s="7" t="str">
        <f t="shared" si="3"/>
        <v/>
      </c>
      <c r="N11" s="7">
        <f>IF(J11=AO11,IF(COUNT(AQ11,AS11,BO11,BQ11,BU11,BW11)&gt;1,LARGE((AQ11,AS11,BO11,BQ11,BU11,BW11),2),0),IF(COUNT(AK11,AM11,AQ11,AS11,BU11,BW11)&gt;1,LARGE((AK11,AM11,AQ11,AS11,BU11,BW11),2),0))</f>
        <v>0</v>
      </c>
      <c r="O11" s="7" t="str">
        <f t="shared" si="4"/>
        <v/>
      </c>
      <c r="P11" s="7">
        <f t="shared" si="5"/>
        <v>25.200000000000003</v>
      </c>
      <c r="Q11" s="10" t="str">
        <f t="shared" si="6"/>
        <v>(Pass)</v>
      </c>
      <c r="R11" s="7" t="str">
        <f t="shared" si="7"/>
        <v>2025 WAGC (Nov 16)</v>
      </c>
      <c r="S11" s="38">
        <v>18.5</v>
      </c>
      <c r="T11" s="38">
        <v>6.4</v>
      </c>
      <c r="U11" s="38">
        <v>0</v>
      </c>
      <c r="V11" s="38">
        <v>0</v>
      </c>
      <c r="W11" s="38">
        <v>15.2</v>
      </c>
      <c r="X11" s="38">
        <v>2.4</v>
      </c>
      <c r="Y11" s="38">
        <v>0</v>
      </c>
      <c r="Z11" s="38">
        <v>0</v>
      </c>
      <c r="AA11" s="38" t="s">
        <v>175</v>
      </c>
      <c r="AB11" s="38" t="s">
        <v>175</v>
      </c>
      <c r="AC11" s="38" t="s">
        <v>175</v>
      </c>
      <c r="AD11" s="38" t="s">
        <v>175</v>
      </c>
      <c r="AE11" s="38" t="s">
        <v>175</v>
      </c>
      <c r="AF11" s="38" t="s">
        <v>175</v>
      </c>
      <c r="AG11" s="38" t="s">
        <v>175</v>
      </c>
      <c r="AH11" s="38" t="s">
        <v>175</v>
      </c>
      <c r="AI11" s="19"/>
      <c r="AJ11" s="41">
        <f t="shared" si="8"/>
        <v>6.4</v>
      </c>
      <c r="AK11" s="41">
        <f t="shared" si="9"/>
        <v>24.9</v>
      </c>
      <c r="AL11" s="41">
        <f t="shared" si="10"/>
        <v>2.4</v>
      </c>
      <c r="AM11" s="41">
        <f t="shared" si="11"/>
        <v>17.599999999999998</v>
      </c>
      <c r="AN11" s="27">
        <f t="shared" si="12"/>
        <v>8.8000000000000007</v>
      </c>
      <c r="AO11" s="27">
        <f t="shared" si="13"/>
        <v>42.5</v>
      </c>
      <c r="AP11" s="27" t="str">
        <f t="shared" si="14"/>
        <v/>
      </c>
      <c r="AQ11" s="27" t="str">
        <f t="shared" si="15"/>
        <v/>
      </c>
      <c r="AR11" s="27" t="str">
        <f t="shared" si="16"/>
        <v/>
      </c>
      <c r="AS11" s="27" t="str">
        <f t="shared" si="17"/>
        <v/>
      </c>
      <c r="AT11" s="27" t="str">
        <f t="shared" si="18"/>
        <v/>
      </c>
      <c r="AU11" s="27" t="str">
        <f t="shared" si="19"/>
        <v/>
      </c>
      <c r="AV11" s="27">
        <f t="shared" si="20"/>
        <v>42.5</v>
      </c>
      <c r="AW11" s="15"/>
      <c r="AX11" s="15"/>
      <c r="AY11" s="15"/>
      <c r="AZ11" s="15"/>
      <c r="BA11" s="15"/>
      <c r="BB11" s="15"/>
      <c r="BC11" s="15"/>
      <c r="BD11" s="15"/>
      <c r="BE11" s="15"/>
      <c r="BF11" s="15"/>
      <c r="BG11" s="15"/>
      <c r="BH11" s="15"/>
      <c r="BI11" s="15"/>
      <c r="BJ11" s="15"/>
      <c r="BK11" s="15"/>
      <c r="BL11" s="15"/>
      <c r="BM11" s="20"/>
      <c r="BN11" s="42" t="str">
        <f t="shared" si="21"/>
        <v/>
      </c>
      <c r="BO11" s="42" t="str">
        <f t="shared" si="22"/>
        <v/>
      </c>
      <c r="BP11" s="42" t="str">
        <f t="shared" si="23"/>
        <v/>
      </c>
      <c r="BQ11" s="42" t="str">
        <f t="shared" si="24"/>
        <v/>
      </c>
      <c r="BR11" s="10" t="str">
        <f t="shared" si="25"/>
        <v/>
      </c>
      <c r="BS11" s="10" t="str">
        <f t="shared" si="26"/>
        <v/>
      </c>
      <c r="BT11" s="10" t="str">
        <f t="shared" si="27"/>
        <v/>
      </c>
      <c r="BU11" s="10" t="str">
        <f t="shared" si="28"/>
        <v/>
      </c>
      <c r="BV11" s="10" t="str">
        <f t="shared" si="29"/>
        <v/>
      </c>
      <c r="BW11" s="10" t="str">
        <f t="shared" si="30"/>
        <v/>
      </c>
      <c r="BX11" s="10" t="str">
        <f t="shared" si="31"/>
        <v/>
      </c>
      <c r="BY11" s="10" t="str">
        <f t="shared" si="32"/>
        <v/>
      </c>
      <c r="BZ11" s="10" t="str">
        <f t="shared" si="33"/>
        <v/>
      </c>
      <c r="CA11" s="34">
        <f t="shared" si="34"/>
        <v>7.2000000000000028</v>
      </c>
      <c r="CB11" s="34">
        <f t="shared" si="35"/>
        <v>25.200000000000003</v>
      </c>
      <c r="CC11" s="14"/>
      <c r="CD11" s="14"/>
      <c r="CE11" s="14"/>
      <c r="CF11" s="14"/>
      <c r="CG11" s="14"/>
      <c r="CH11" s="14"/>
      <c r="CI11" s="14"/>
      <c r="CJ11" s="14"/>
      <c r="CK11" s="14"/>
      <c r="CL11" s="14"/>
      <c r="CM11" s="14"/>
      <c r="CN11" s="14"/>
      <c r="CO11" s="14"/>
      <c r="CP11" s="14"/>
      <c r="CQ11" s="14"/>
      <c r="CR11" s="14"/>
      <c r="CS11" s="14"/>
      <c r="CT11" s="14"/>
      <c r="CU11" s="14"/>
      <c r="CV11" s="14"/>
      <c r="CW11" s="27" t="str">
        <f t="shared" si="36"/>
        <v/>
      </c>
      <c r="CX11" s="27" t="str">
        <f t="shared" si="37"/>
        <v/>
      </c>
      <c r="CY11" s="27" t="str">
        <f t="shared" si="38"/>
        <v/>
      </c>
      <c r="CZ11" s="27" t="str">
        <f t="shared" si="39"/>
        <v/>
      </c>
      <c r="DA11" s="27" t="str">
        <f t="shared" si="40"/>
        <v/>
      </c>
      <c r="DB11" s="27" t="str">
        <f t="shared" si="41"/>
        <v/>
      </c>
      <c r="DC11" s="27" t="str">
        <f t="shared" si="42"/>
        <v/>
      </c>
      <c r="DD11" s="27" t="str">
        <f t="shared" si="43"/>
        <v/>
      </c>
      <c r="DE11" s="27" t="str">
        <f t="shared" si="44"/>
        <v/>
      </c>
      <c r="DF11" s="27" t="str">
        <f t="shared" si="45"/>
        <v/>
      </c>
      <c r="DG11" s="27" t="str">
        <f t="shared" si="46"/>
        <v/>
      </c>
      <c r="DH11" s="27" t="str">
        <f t="shared" si="47"/>
        <v/>
      </c>
      <c r="DI11" s="27" t="str">
        <f t="shared" si="48"/>
        <v/>
      </c>
      <c r="DJ11" s="27" t="str">
        <f t="shared" si="49"/>
        <v/>
      </c>
      <c r="DK11" s="27" t="str">
        <f t="shared" si="50"/>
        <v/>
      </c>
      <c r="DL11" s="15">
        <v>18.5</v>
      </c>
      <c r="DM11" s="15">
        <v>6.4</v>
      </c>
      <c r="DN11" s="15">
        <v>0</v>
      </c>
      <c r="DO11" s="15">
        <v>0</v>
      </c>
      <c r="DP11" s="15">
        <v>18.2</v>
      </c>
      <c r="DQ11" s="15">
        <v>6.8</v>
      </c>
      <c r="DR11" s="15">
        <v>0.2</v>
      </c>
      <c r="DS11" s="15">
        <v>0</v>
      </c>
      <c r="DT11" s="15">
        <v>18.600000000000001</v>
      </c>
      <c r="DU11" s="15">
        <v>6.8</v>
      </c>
      <c r="DV11" s="15">
        <v>0.2</v>
      </c>
      <c r="DW11" s="15">
        <v>0</v>
      </c>
      <c r="DX11" s="15">
        <v>18.399999999999999</v>
      </c>
      <c r="DY11" s="15">
        <v>6.8</v>
      </c>
      <c r="DZ11" s="15">
        <v>0</v>
      </c>
      <c r="EA11" s="15">
        <v>0</v>
      </c>
      <c r="EB11" s="15">
        <v>18.600000000000001</v>
      </c>
      <c r="EC11" s="15">
        <v>6.4</v>
      </c>
      <c r="ED11" s="15">
        <v>0.6</v>
      </c>
      <c r="EE11" s="15">
        <v>0</v>
      </c>
      <c r="EF11" s="10">
        <f t="shared" si="51"/>
        <v>6.4</v>
      </c>
      <c r="EG11" s="10">
        <f t="shared" si="52"/>
        <v>24.9</v>
      </c>
      <c r="EH11" s="10">
        <f t="shared" si="53"/>
        <v>6.8</v>
      </c>
      <c r="EI11" s="10">
        <f t="shared" si="54"/>
        <v>24.8</v>
      </c>
      <c r="EJ11" s="10">
        <f t="shared" si="55"/>
        <v>13.2</v>
      </c>
      <c r="EK11" s="10">
        <f t="shared" si="56"/>
        <v>49.7</v>
      </c>
      <c r="EL11" s="10">
        <f t="shared" si="57"/>
        <v>6.8</v>
      </c>
      <c r="EM11" s="10">
        <f t="shared" si="58"/>
        <v>25.200000000000003</v>
      </c>
      <c r="EN11" s="10">
        <f t="shared" si="59"/>
        <v>6.8</v>
      </c>
      <c r="EO11" s="10">
        <f t="shared" si="60"/>
        <v>25.2</v>
      </c>
      <c r="EP11" s="10">
        <f t="shared" si="61"/>
        <v>6.4</v>
      </c>
      <c r="EQ11" s="10">
        <f t="shared" si="62"/>
        <v>24.4</v>
      </c>
      <c r="ER11" s="10">
        <f t="shared" si="63"/>
        <v>13.2</v>
      </c>
      <c r="ES11" s="10">
        <f t="shared" si="64"/>
        <v>49.599999999999994</v>
      </c>
      <c r="ET11" s="10">
        <f t="shared" si="65"/>
        <v>99.300000000000011</v>
      </c>
    </row>
    <row r="12" spans="1:150" x14ac:dyDescent="0.2">
      <c r="A12" s="3" cm="1">
        <f t="array" ref="A12">IF(AND(H12&lt;&gt;"",H12&lt;&gt;"No DD"),SUMPRODUCT((H$4:H$22&lt;&gt;"")*(H$4:H$22&lt;&gt;"No DD")*(E$4:E$22&gt;E12))+1,IF(H12="No DD",SUMPRODUCT((H$4:H$22="No DD")*(E$4:E$22&gt;E12))+1+SUMPRODUCT((H$4:H$22&lt;&gt;"")*(H$4:H$22&lt;&gt;"No DD")),""))</f>
        <v>9</v>
      </c>
      <c r="B12" s="4" t="s">
        <v>58</v>
      </c>
      <c r="C12" s="3" t="s">
        <v>5</v>
      </c>
      <c r="D12" s="3">
        <v>2007</v>
      </c>
      <c r="E12" s="8">
        <f t="shared" si="0"/>
        <v>51.00000258000258</v>
      </c>
      <c r="F12" s="2" t="str">
        <f>IF(OR(AND(AO12&lt;&gt;"",AO12&gt;=AV$27,AN12&gt;=AV$24),AND(AU12&lt;&gt;"",AU12&gt;=AV$27,AT12&gt;=AV$24),AND(BS12&lt;&gt;"",BS12&gt;=BZ$27,BR12&gt;=BZ$24),AND(BY12&lt;&gt;"",BY12&gt;=BZ$27,BX12&gt;=BZ$24),AND(DB12&lt;&gt;"",DB12&gt;=DK$27,DA12&gt;=DK$24),AND(DJ12&lt;&gt;"",DJ12&gt;=DK$27,DI12&gt;=DK$24),AND(EK12&lt;&gt;"",EK12&gt;=ET$27,EJ12&gt;=ET$24),AND(ES12&lt;&gt;"",ES12&gt;=ET$27,ER12&gt;=ET$24)),"P","")</f>
        <v>P</v>
      </c>
      <c r="G12" s="2" t="str">
        <f>IF(OR(AND(AO12&lt;&gt;"",AO12&gt;=AV$27),AND(AU12&lt;&gt;"",AU12&gt;=AV$27),AND(BS12&lt;&gt;"",BS12&gt;=BZ$27),AND(BY12&lt;&gt;"",BY12&gt;=BZ$27),AND(DB12&lt;&gt;"",DB12&gt;=DK$27),AND(DJ12&lt;&gt;"",DJ12&gt;=DK$27),AND(EK12&lt;&gt;"",EK12&gt;=ET$27),AND(ES12&lt;&gt;"",ES12&gt;=ET$27)),"P","")</f>
        <v>P</v>
      </c>
      <c r="H12" s="26" t="str">
        <f>IF(AND(G12="P",F12=""),"No DD",IF(OR(AND(AK12&lt;&gt;"",AK12&gt;=AV$29,AJ12&gt;=AV$26),AND(AM12&lt;&gt;"",AM12&gt;=AV$29,AL12&gt;=AV$26),AND(AQ12&lt;&gt;"",AQ12&gt;=AV$29,AP12&gt;=AV$26),AND(AS12&lt;&gt;"",AS12&gt;=AV$29,AR12&gt;=AV$26),AND(BO12&lt;&gt;"",BO12&gt;=BZ$29,BN12&gt;=BZ$26),AND(BQ12&lt;&gt;"",BQ12&gt;=BZ$29,BP12&gt;=BZ$26),AND(BV12&lt;&gt;"",BV12&gt;=BZ$29,BU12&gt;=BZ$26),AND(BX12&lt;&gt;"",BX12&gt;=BZ$29,BW12&gt;=BZ$26),AND(CX12&lt;&gt;"",CX12&gt;=DK$29,CW12&gt;=DK$26),AND(CZ12&lt;&gt;"",CZ12&gt;=DK$29,CY12&gt;=DK$26),AND(DD12&lt;&gt;"",DD12&gt;=DK$29,DC12&gt;=DK$26),AND(DF12&lt;&gt;"",DF12&gt;=DK$29,DE12&gt;=DK$26),AND(DH12&lt;&gt;"",DH12&gt;=DK$29,DG12&gt;=DK$26),AND(EG12&lt;&gt;"",EG12&gt;=ET$29,EF12&gt;=ET$26),AND(EI12&lt;&gt;"",EI12&gt;=ET$29,EH12&gt;=ET$26),AND(EM12&lt;&gt;"",EM12&gt;=ET$29,EL12&gt;=ET$26),AND(EO12&lt;&gt;"",EO12&gt;=ET$29,EN12&gt;=ET$26),AND(EQ12&lt;&gt;"",EQ12&gt;=ET$29,EP12&gt;=ET$26)),"Performance",IF(I12="P","Worlds Team",IF(F12="P","National Team",""))))</f>
        <v>Worlds Team</v>
      </c>
      <c r="I12" s="2" t="str">
        <f>IF(OR(AND(AO12&lt;&gt;"",AO12&gt;=AV$28,AN12&gt;=AV$25),AND(AU12&lt;&gt;"",AU12&gt;=AV$28,AT12&gt;=AV$25),AND(BS12&lt;&gt;"",BS12&gt;=BZ$28,BR12&gt;=BZ$25),AND(BY12&lt;&gt;"",BY12&gt;=BZ$28,BX12&gt;=BZ$25),AND(DB12&lt;&gt;"",DB12&gt;=DK$28,DA12&gt;=DK$25),AND(DJ12&lt;&gt;"",DJ12&gt;=DK$28,DI12&gt;=DK$25),AND(EK12&lt;&gt;"",EK12&gt;=ET$28,EJ12&gt;=ET$25),AND(ES12&lt;&gt;"",ES12&gt;=ET$28,ER12&gt;=ET$25)),"P","")</f>
        <v>P</v>
      </c>
      <c r="J12" s="7">
        <f t="shared" si="1"/>
        <v>25.799999999999997</v>
      </c>
      <c r="K12" s="7" t="str">
        <f t="shared" si="2"/>
        <v>2026 Elite Canada</v>
      </c>
      <c r="L12" s="7">
        <f>IF(J12=AO12,IF(COUNT(AQ12,AS12,BO12,BQ12,BU12,BW12)&gt;1,LARGE((AQ12,AS12,BO12,BQ12,BU12,BW12),1),0),IF(COUNT(AK12,AM12,AQ12,AS12,BU12,BW12)&gt;1,LARGE((AK12,AM12,AQ12,AS12,BU12,BW12),1),0))</f>
        <v>0</v>
      </c>
      <c r="M12" s="7" t="str">
        <f t="shared" si="3"/>
        <v/>
      </c>
      <c r="N12" s="7">
        <f>IF(J12=AO12,IF(COUNT(AQ12,AS12,BO12,BQ12,BU12,BW12)&gt;1,LARGE((AQ12,AS12,BO12,BQ12,BU12,BW12),2),0),IF(COUNT(AK12,AM12,AQ12,AS12,BU12,BW12)&gt;1,LARGE((AK12,AM12,AQ12,AS12,BU12,BW12),2),0))</f>
        <v>0</v>
      </c>
      <c r="O12" s="7" t="str">
        <f t="shared" si="4"/>
        <v/>
      </c>
      <c r="P12" s="7">
        <f t="shared" si="5"/>
        <v>25.200000000000003</v>
      </c>
      <c r="Q12" s="10" t="str">
        <f t="shared" si="6"/>
        <v>(Pass)</v>
      </c>
      <c r="R12" s="7" t="str">
        <f t="shared" si="7"/>
        <v>2025 Worlds (Nov 9)</v>
      </c>
      <c r="S12" s="38">
        <v>0</v>
      </c>
      <c r="T12" s="38">
        <v>0</v>
      </c>
      <c r="U12" s="38">
        <v>0</v>
      </c>
      <c r="V12" s="38">
        <v>0</v>
      </c>
      <c r="W12" s="38">
        <v>18.7</v>
      </c>
      <c r="X12" s="38">
        <v>7.2</v>
      </c>
      <c r="Y12" s="38">
        <v>0.6</v>
      </c>
      <c r="Z12" s="38">
        <v>0.50000000000000122</v>
      </c>
      <c r="AA12" s="38" t="s">
        <v>175</v>
      </c>
      <c r="AB12" s="38" t="s">
        <v>175</v>
      </c>
      <c r="AC12" s="38" t="s">
        <v>175</v>
      </c>
      <c r="AD12" s="38" t="s">
        <v>175</v>
      </c>
      <c r="AE12" s="38" t="s">
        <v>175</v>
      </c>
      <c r="AF12" s="38" t="s">
        <v>175</v>
      </c>
      <c r="AG12" s="38" t="s">
        <v>175</v>
      </c>
      <c r="AH12" s="38" t="s">
        <v>175</v>
      </c>
      <c r="AI12" s="19"/>
      <c r="AJ12" s="41">
        <f t="shared" si="8"/>
        <v>0</v>
      </c>
      <c r="AK12" s="41">
        <f t="shared" si="9"/>
        <v>0</v>
      </c>
      <c r="AL12" s="41">
        <f t="shared" si="10"/>
        <v>7.2</v>
      </c>
      <c r="AM12" s="41">
        <f t="shared" si="11"/>
        <v>25.799999999999997</v>
      </c>
      <c r="AN12" s="27">
        <f t="shared" si="12"/>
        <v>7.2</v>
      </c>
      <c r="AO12" s="27">
        <f t="shared" si="13"/>
        <v>25.799999999999997</v>
      </c>
      <c r="AP12" s="27" t="str">
        <f t="shared" si="14"/>
        <v/>
      </c>
      <c r="AQ12" s="27" t="str">
        <f t="shared" si="15"/>
        <v/>
      </c>
      <c r="AR12" s="27" t="str">
        <f t="shared" si="16"/>
        <v/>
      </c>
      <c r="AS12" s="27" t="str">
        <f t="shared" si="17"/>
        <v/>
      </c>
      <c r="AT12" s="27" t="str">
        <f t="shared" si="18"/>
        <v/>
      </c>
      <c r="AU12" s="27" t="str">
        <f t="shared" si="19"/>
        <v/>
      </c>
      <c r="AV12" s="27">
        <f t="shared" si="20"/>
        <v>25.799999999999997</v>
      </c>
      <c r="AW12" s="15"/>
      <c r="AX12" s="15"/>
      <c r="AY12" s="15"/>
      <c r="AZ12" s="15"/>
      <c r="BA12" s="15"/>
      <c r="BB12" s="15"/>
      <c r="BC12" s="15"/>
      <c r="BD12" s="15"/>
      <c r="BE12" s="15"/>
      <c r="BF12" s="15"/>
      <c r="BG12" s="15"/>
      <c r="BH12" s="15"/>
      <c r="BI12" s="15"/>
      <c r="BJ12" s="15"/>
      <c r="BK12" s="15"/>
      <c r="BL12" s="15"/>
      <c r="BM12" s="20"/>
      <c r="BN12" s="42" t="str">
        <f t="shared" si="21"/>
        <v/>
      </c>
      <c r="BO12" s="42" t="str">
        <f t="shared" si="22"/>
        <v/>
      </c>
      <c r="BP12" s="42" t="str">
        <f t="shared" si="23"/>
        <v/>
      </c>
      <c r="BQ12" s="42" t="str">
        <f t="shared" si="24"/>
        <v/>
      </c>
      <c r="BR12" s="10" t="str">
        <f t="shared" si="25"/>
        <v/>
      </c>
      <c r="BS12" s="10" t="str">
        <f t="shared" si="26"/>
        <v/>
      </c>
      <c r="BT12" s="10" t="str">
        <f t="shared" si="27"/>
        <v/>
      </c>
      <c r="BU12" s="10" t="str">
        <f t="shared" si="28"/>
        <v/>
      </c>
      <c r="BV12" s="10" t="str">
        <f t="shared" si="29"/>
        <v/>
      </c>
      <c r="BW12" s="10" t="str">
        <f t="shared" si="30"/>
        <v/>
      </c>
      <c r="BX12" s="10" t="str">
        <f t="shared" si="31"/>
        <v/>
      </c>
      <c r="BY12" s="10" t="str">
        <f t="shared" si="32"/>
        <v/>
      </c>
      <c r="BZ12" s="10" t="str">
        <f t="shared" si="33"/>
        <v/>
      </c>
      <c r="CA12" s="34">
        <f t="shared" si="34"/>
        <v>23.600000000000009</v>
      </c>
      <c r="CB12" s="34">
        <f t="shared" si="35"/>
        <v>25.200000000000003</v>
      </c>
      <c r="CC12" s="14">
        <v>18.600000000000001</v>
      </c>
      <c r="CD12" s="14">
        <v>5.6</v>
      </c>
      <c r="CE12" s="14">
        <v>0</v>
      </c>
      <c r="CF12" s="14">
        <v>0</v>
      </c>
      <c r="CG12" s="14">
        <v>18.600000000000001</v>
      </c>
      <c r="CH12" s="14">
        <v>6.8</v>
      </c>
      <c r="CI12" s="14">
        <v>0.2</v>
      </c>
      <c r="CJ12" s="14">
        <v>0</v>
      </c>
      <c r="CK12" s="14"/>
      <c r="CL12" s="14"/>
      <c r="CM12" s="14"/>
      <c r="CN12" s="14"/>
      <c r="CO12" s="14"/>
      <c r="CP12" s="14"/>
      <c r="CQ12" s="14"/>
      <c r="CR12" s="14"/>
      <c r="CS12" s="14"/>
      <c r="CT12" s="14"/>
      <c r="CU12" s="14"/>
      <c r="CV12" s="14"/>
      <c r="CW12" s="27">
        <f t="shared" si="36"/>
        <v>5.6</v>
      </c>
      <c r="CX12" s="27">
        <f t="shared" si="37"/>
        <v>24.200000000000003</v>
      </c>
      <c r="CY12" s="27">
        <f t="shared" si="38"/>
        <v>6.8</v>
      </c>
      <c r="CZ12" s="27">
        <f t="shared" si="39"/>
        <v>25.200000000000003</v>
      </c>
      <c r="DA12" s="27">
        <f t="shared" si="40"/>
        <v>12.399999999999999</v>
      </c>
      <c r="DB12" s="27">
        <f t="shared" si="41"/>
        <v>49.400000000000006</v>
      </c>
      <c r="DC12" s="27" t="str">
        <f t="shared" si="42"/>
        <v/>
      </c>
      <c r="DD12" s="27" t="str">
        <f t="shared" si="43"/>
        <v/>
      </c>
      <c r="DE12" s="27" t="str">
        <f t="shared" si="44"/>
        <v/>
      </c>
      <c r="DF12" s="27" t="str">
        <f t="shared" si="45"/>
        <v/>
      </c>
      <c r="DG12" s="27" t="str">
        <f t="shared" si="46"/>
        <v/>
      </c>
      <c r="DH12" s="27" t="str">
        <f t="shared" si="47"/>
        <v/>
      </c>
      <c r="DI12" s="27" t="str">
        <f t="shared" si="48"/>
        <v/>
      </c>
      <c r="DJ12" s="27" t="str">
        <f t="shared" si="49"/>
        <v/>
      </c>
      <c r="DK12" s="27">
        <f t="shared" si="50"/>
        <v>49.400000000000006</v>
      </c>
      <c r="DL12" s="15"/>
      <c r="DM12" s="15"/>
      <c r="DN12" s="15"/>
      <c r="DO12" s="15"/>
      <c r="DP12" s="15"/>
      <c r="DQ12" s="15"/>
      <c r="DR12" s="15"/>
      <c r="DS12" s="15"/>
      <c r="DT12" s="15"/>
      <c r="DU12" s="15"/>
      <c r="DV12" s="15"/>
      <c r="DW12" s="15"/>
      <c r="DX12" s="15"/>
      <c r="DY12" s="15"/>
      <c r="DZ12" s="15"/>
      <c r="EA12" s="15"/>
      <c r="EB12" s="15"/>
      <c r="EC12" s="15"/>
      <c r="ED12" s="15"/>
      <c r="EE12" s="15"/>
      <c r="EF12" s="10" t="str">
        <f t="shared" si="51"/>
        <v/>
      </c>
      <c r="EG12" s="10" t="str">
        <f t="shared" si="52"/>
        <v/>
      </c>
      <c r="EH12" s="10" t="str">
        <f t="shared" si="53"/>
        <v/>
      </c>
      <c r="EI12" s="10" t="str">
        <f t="shared" si="54"/>
        <v/>
      </c>
      <c r="EJ12" s="10" t="str">
        <f t="shared" si="55"/>
        <v/>
      </c>
      <c r="EK12" s="10" t="str">
        <f t="shared" si="56"/>
        <v/>
      </c>
      <c r="EL12" s="10" t="str">
        <f t="shared" si="57"/>
        <v/>
      </c>
      <c r="EM12" s="10" t="str">
        <f t="shared" si="58"/>
        <v/>
      </c>
      <c r="EN12" s="10" t="str">
        <f t="shared" si="59"/>
        <v/>
      </c>
      <c r="EO12" s="10" t="str">
        <f t="shared" si="60"/>
        <v/>
      </c>
      <c r="EP12" s="10" t="str">
        <f t="shared" si="61"/>
        <v/>
      </c>
      <c r="EQ12" s="10" t="str">
        <f t="shared" si="62"/>
        <v/>
      </c>
      <c r="ER12" s="10" t="str">
        <f t="shared" si="63"/>
        <v/>
      </c>
      <c r="ES12" s="10" t="str">
        <f t="shared" si="64"/>
        <v/>
      </c>
      <c r="ET12" s="10" t="str">
        <f t="shared" si="65"/>
        <v/>
      </c>
    </row>
    <row r="13" spans="1:150" x14ac:dyDescent="0.2">
      <c r="A13" s="3" cm="1">
        <f t="array" ref="A13">IF(AND(H13&lt;&gt;"",H13&lt;&gt;"No DD"),SUMPRODUCT((H$4:H$22&lt;&gt;"")*(H$4:H$22&lt;&gt;"No DD")*(E$4:E$22&gt;E13))+1,IF(H13="No DD",SUMPRODUCT((H$4:H$22="No DD")*(E$4:E$22&gt;E13))+1+SUMPRODUCT((H$4:H$22&lt;&gt;"")*(H$4:H$22&lt;&gt;"No DD")),""))</f>
        <v>10</v>
      </c>
      <c r="B13" s="4" t="s">
        <v>105</v>
      </c>
      <c r="C13" s="3" t="s">
        <v>5</v>
      </c>
      <c r="D13" s="3">
        <v>2004</v>
      </c>
      <c r="E13" s="8">
        <f t="shared" si="0"/>
        <v>50.599999999999994</v>
      </c>
      <c r="F13" s="2" t="str">
        <f>IF(OR(AND(AO13&lt;&gt;"",AO13&gt;=AV$27,AN13&gt;=AV$24),AND(AU13&lt;&gt;"",AU13&gt;=AV$27,AT13&gt;=AV$24),AND(BS13&lt;&gt;"",BS13&gt;=BZ$27,BR13&gt;=BZ$24),AND(BY13&lt;&gt;"",BY13&gt;=BZ$27,BX13&gt;=BZ$24),AND(DB13&lt;&gt;"",DB13&gt;=DK$27,DA13&gt;=DK$24),AND(DJ13&lt;&gt;"",DJ13&gt;=DK$27,DI13&gt;=DK$24),AND(EK13&lt;&gt;"",EK13&gt;=ET$27,EJ13&gt;=ET$24),AND(ES13&lt;&gt;"",ES13&gt;=ET$27,ER13&gt;=ET$24)),"P","")</f>
        <v>P</v>
      </c>
      <c r="G13" s="2" t="str">
        <f>IF(OR(AND(AO13&lt;&gt;"",AO13&gt;=AV$27),AND(AU13&lt;&gt;"",AU13&gt;=AV$27),AND(BS13&lt;&gt;"",BS13&gt;=BZ$27),AND(BY13&lt;&gt;"",BY13&gt;=BZ$27),AND(DB13&lt;&gt;"",DB13&gt;=DK$27),AND(DJ13&lt;&gt;"",DJ13&gt;=DK$27),AND(EK13&lt;&gt;"",EK13&gt;=ET$27),AND(ES13&lt;&gt;"",ES13&gt;=ET$27)),"P","")</f>
        <v>P</v>
      </c>
      <c r="H13" s="26" t="str">
        <f>IF(AND(G13="P",F13=""),"No DD",IF(OR(AND(AK13&lt;&gt;"",AK13&gt;=AV$29,AJ13&gt;=AV$26),AND(AM13&lt;&gt;"",AM13&gt;=AV$29,AL13&gt;=AV$26),AND(AQ13&lt;&gt;"",AQ13&gt;=AV$29,AP13&gt;=AV$26),AND(AS13&lt;&gt;"",AS13&gt;=AV$29,AR13&gt;=AV$26),AND(BO13&lt;&gt;"",BO13&gt;=BZ$29,BN13&gt;=BZ$26),AND(BQ13&lt;&gt;"",BQ13&gt;=BZ$29,BP13&gt;=BZ$26),AND(BV13&lt;&gt;"",BV13&gt;=BZ$29,BU13&gt;=BZ$26),AND(BX13&lt;&gt;"",BX13&gt;=BZ$29,BW13&gt;=BZ$26),AND(CX13&lt;&gt;"",CX13&gt;=DK$29,CW13&gt;=DK$26),AND(CZ13&lt;&gt;"",CZ13&gt;=DK$29,CY13&gt;=DK$26),AND(DD13&lt;&gt;"",DD13&gt;=DK$29,DC13&gt;=DK$26),AND(DF13&lt;&gt;"",DF13&gt;=DK$29,DE13&gt;=DK$26),AND(DH13&lt;&gt;"",DH13&gt;=DK$29,DG13&gt;=DK$26),AND(EG13&lt;&gt;"",EG13&gt;=ET$29,EF13&gt;=ET$26),AND(EI13&lt;&gt;"",EI13&gt;=ET$29,EH13&gt;=ET$26),AND(EM13&lt;&gt;"",EM13&gt;=ET$29,EL13&gt;=ET$26),AND(EO13&lt;&gt;"",EO13&gt;=ET$29,EN13&gt;=ET$26),AND(EQ13&lt;&gt;"",EQ13&gt;=ET$29,EP13&gt;=ET$26)),"Performance",IF(I13="P","Worlds Team",IF(F13="P","National Team",""))))</f>
        <v>Worlds Team</v>
      </c>
      <c r="I13" s="2" t="str">
        <f>IF(OR(AND(AO13&lt;&gt;"",AO13&gt;=AV$28,AN13&gt;=AV$25),AND(AU13&lt;&gt;"",AU13&gt;=AV$28,AT13&gt;=AV$25),AND(BS13&lt;&gt;"",BS13&gt;=BZ$28,BR13&gt;=BZ$25),AND(BY13&lt;&gt;"",BY13&gt;=BZ$28,BX13&gt;=BZ$25),AND(DB13&lt;&gt;"",DB13&gt;=DK$28,DA13&gt;=DK$25),AND(DJ13&lt;&gt;"",DJ13&gt;=DK$28,DI13&gt;=DK$25),AND(EK13&lt;&gt;"",EK13&gt;=ET$28,EJ13&gt;=ET$25),AND(ES13&lt;&gt;"",ES13&gt;=ET$28,ER13&gt;=ET$25)),"P","")</f>
        <v>P</v>
      </c>
      <c r="J13" s="7">
        <f t="shared" si="1"/>
        <v>0</v>
      </c>
      <c r="K13" s="7" t="str">
        <f t="shared" si="2"/>
        <v/>
      </c>
      <c r="L13" s="7">
        <f>IF(J13=AO13,IF(COUNT(AQ13,AS13,BO13,BQ13,BU13,BW13)&gt;1,LARGE((AQ13,AS13,BO13,BQ13,BU13,BW13),1),0),IF(COUNT(AK13,AM13,AQ13,AS13,BU13,BW13)&gt;1,LARGE((AK13,AM13,AQ13,AS13,BU13,BW13),1),0))</f>
        <v>0</v>
      </c>
      <c r="M13" s="7" t="str">
        <f t="shared" si="3"/>
        <v/>
      </c>
      <c r="N13" s="7">
        <f>IF(J13=AO13,IF(COUNT(AQ13,AS13,BO13,BQ13,BU13,BW13)&gt;1,LARGE((AQ13,AS13,BO13,BQ13,BU13,BW13),2),0),IF(COUNT(AK13,AM13,AQ13,AS13,BU13,BW13)&gt;1,LARGE((AK13,AM13,AQ13,AS13,BU13,BW13),2),0))</f>
        <v>0</v>
      </c>
      <c r="O13" s="7" t="str">
        <f t="shared" si="4"/>
        <v/>
      </c>
      <c r="P13" s="7">
        <f t="shared" si="5"/>
        <v>50.599999999999994</v>
      </c>
      <c r="Q13" s="10" t="str">
        <f t="shared" si="6"/>
        <v>(Q1)</v>
      </c>
      <c r="R13" s="7" t="str">
        <f t="shared" si="7"/>
        <v>2025 Worlds (Nov 9)</v>
      </c>
      <c r="S13" s="38" t="s">
        <v>175</v>
      </c>
      <c r="T13" s="38" t="s">
        <v>175</v>
      </c>
      <c r="U13" s="38" t="s">
        <v>175</v>
      </c>
      <c r="V13" s="38" t="s">
        <v>175</v>
      </c>
      <c r="W13" s="38" t="s">
        <v>175</v>
      </c>
      <c r="X13" s="38" t="s">
        <v>175</v>
      </c>
      <c r="Y13" s="38" t="s">
        <v>175</v>
      </c>
      <c r="Z13" s="38" t="s">
        <v>175</v>
      </c>
      <c r="AA13" s="38" t="s">
        <v>175</v>
      </c>
      <c r="AB13" s="38" t="s">
        <v>175</v>
      </c>
      <c r="AC13" s="38" t="s">
        <v>175</v>
      </c>
      <c r="AD13" s="38" t="s">
        <v>175</v>
      </c>
      <c r="AE13" s="38" t="s">
        <v>175</v>
      </c>
      <c r="AF13" s="38" t="s">
        <v>175</v>
      </c>
      <c r="AG13" s="38" t="s">
        <v>175</v>
      </c>
      <c r="AH13" s="38" t="s">
        <v>175</v>
      </c>
      <c r="AI13" s="19"/>
      <c r="AJ13" s="41" t="str">
        <f t="shared" si="8"/>
        <v/>
      </c>
      <c r="AK13" s="41" t="str">
        <f t="shared" si="9"/>
        <v/>
      </c>
      <c r="AL13" s="41" t="str">
        <f t="shared" si="10"/>
        <v/>
      </c>
      <c r="AM13" s="41" t="str">
        <f t="shared" si="11"/>
        <v/>
      </c>
      <c r="AN13" s="27" t="str">
        <f t="shared" si="12"/>
        <v/>
      </c>
      <c r="AO13" s="27" t="str">
        <f t="shared" si="13"/>
        <v/>
      </c>
      <c r="AP13" s="27" t="str">
        <f t="shared" si="14"/>
        <v/>
      </c>
      <c r="AQ13" s="27" t="str">
        <f t="shared" si="15"/>
        <v/>
      </c>
      <c r="AR13" s="27" t="str">
        <f t="shared" si="16"/>
        <v/>
      </c>
      <c r="AS13" s="27" t="str">
        <f t="shared" si="17"/>
        <v/>
      </c>
      <c r="AT13" s="27" t="str">
        <f t="shared" si="18"/>
        <v/>
      </c>
      <c r="AU13" s="27" t="str">
        <f t="shared" si="19"/>
        <v/>
      </c>
      <c r="AV13" s="27" t="str">
        <f t="shared" si="20"/>
        <v/>
      </c>
      <c r="AW13" s="15"/>
      <c r="AX13" s="15"/>
      <c r="AY13" s="15"/>
      <c r="AZ13" s="15"/>
      <c r="BA13" s="15"/>
      <c r="BB13" s="15"/>
      <c r="BC13" s="15"/>
      <c r="BD13" s="15"/>
      <c r="BE13" s="15"/>
      <c r="BF13" s="15"/>
      <c r="BG13" s="15"/>
      <c r="BH13" s="15"/>
      <c r="BI13" s="15"/>
      <c r="BJ13" s="15"/>
      <c r="BK13" s="15"/>
      <c r="BL13" s="15"/>
      <c r="BM13" s="20"/>
      <c r="BN13" s="42" t="str">
        <f t="shared" si="21"/>
        <v/>
      </c>
      <c r="BO13" s="42" t="str">
        <f t="shared" si="22"/>
        <v/>
      </c>
      <c r="BP13" s="42" t="str">
        <f t="shared" si="23"/>
        <v/>
      </c>
      <c r="BQ13" s="42" t="str">
        <f t="shared" si="24"/>
        <v/>
      </c>
      <c r="BR13" s="10" t="str">
        <f t="shared" si="25"/>
        <v/>
      </c>
      <c r="BS13" s="10" t="str">
        <f t="shared" si="26"/>
        <v/>
      </c>
      <c r="BT13" s="10" t="str">
        <f t="shared" si="27"/>
        <v/>
      </c>
      <c r="BU13" s="10" t="str">
        <f t="shared" si="28"/>
        <v/>
      </c>
      <c r="BV13" s="10" t="str">
        <f t="shared" si="29"/>
        <v/>
      </c>
      <c r="BW13" s="10" t="str">
        <f t="shared" si="30"/>
        <v/>
      </c>
      <c r="BX13" s="10" t="str">
        <f t="shared" si="31"/>
        <v/>
      </c>
      <c r="BY13" s="10" t="str">
        <f t="shared" si="32"/>
        <v/>
      </c>
      <c r="BZ13" s="10" t="str">
        <f t="shared" si="33"/>
        <v/>
      </c>
      <c r="CA13" s="34">
        <f t="shared" si="34"/>
        <v>50.599999999999994</v>
      </c>
      <c r="CB13" s="34">
        <f t="shared" si="35"/>
        <v>26</v>
      </c>
      <c r="CC13" s="14">
        <v>18.899999999999999</v>
      </c>
      <c r="CD13" s="14">
        <v>6</v>
      </c>
      <c r="CE13" s="14">
        <v>0</v>
      </c>
      <c r="CF13" s="14">
        <v>0</v>
      </c>
      <c r="CG13" s="14">
        <v>18.5</v>
      </c>
      <c r="CH13" s="14">
        <v>7.2</v>
      </c>
      <c r="CI13" s="14">
        <v>0</v>
      </c>
      <c r="CJ13" s="14">
        <v>0</v>
      </c>
      <c r="CK13" s="14">
        <v>18.3</v>
      </c>
      <c r="CL13" s="14">
        <v>7.2</v>
      </c>
      <c r="CM13" s="14">
        <v>0.6</v>
      </c>
      <c r="CN13" s="14">
        <v>0</v>
      </c>
      <c r="CO13" s="14">
        <v>18.8</v>
      </c>
      <c r="CP13" s="14">
        <v>7.2</v>
      </c>
      <c r="CQ13" s="14">
        <v>0</v>
      </c>
      <c r="CR13" s="14">
        <v>0</v>
      </c>
      <c r="CS13" s="14"/>
      <c r="CT13" s="14"/>
      <c r="CU13" s="14"/>
      <c r="CV13" s="14"/>
      <c r="CW13" s="27">
        <f t="shared" si="36"/>
        <v>6</v>
      </c>
      <c r="CX13" s="27">
        <f t="shared" si="37"/>
        <v>24.9</v>
      </c>
      <c r="CY13" s="27">
        <f t="shared" si="38"/>
        <v>7.2</v>
      </c>
      <c r="CZ13" s="27">
        <f t="shared" si="39"/>
        <v>25.7</v>
      </c>
      <c r="DA13" s="27">
        <f t="shared" si="40"/>
        <v>13.2</v>
      </c>
      <c r="DB13" s="27">
        <f t="shared" si="41"/>
        <v>50.599999999999994</v>
      </c>
      <c r="DC13" s="27">
        <f t="shared" si="42"/>
        <v>7.2</v>
      </c>
      <c r="DD13" s="27">
        <f t="shared" si="43"/>
        <v>24.9</v>
      </c>
      <c r="DE13" s="27">
        <f t="shared" si="44"/>
        <v>7.2</v>
      </c>
      <c r="DF13" s="27">
        <f t="shared" si="45"/>
        <v>26</v>
      </c>
      <c r="DG13" s="27" t="str">
        <f t="shared" si="46"/>
        <v/>
      </c>
      <c r="DH13" s="27" t="str">
        <f t="shared" si="47"/>
        <v/>
      </c>
      <c r="DI13" s="27">
        <f t="shared" si="48"/>
        <v>7.2</v>
      </c>
      <c r="DJ13" s="27">
        <f t="shared" si="49"/>
        <v>26</v>
      </c>
      <c r="DK13" s="27">
        <f t="shared" si="50"/>
        <v>75.5</v>
      </c>
      <c r="DL13" s="15"/>
      <c r="DM13" s="15"/>
      <c r="DN13" s="15"/>
      <c r="DO13" s="15"/>
      <c r="DP13" s="15"/>
      <c r="DQ13" s="15"/>
      <c r="DR13" s="15"/>
      <c r="DS13" s="15"/>
      <c r="DT13" s="15"/>
      <c r="DU13" s="15"/>
      <c r="DV13" s="15"/>
      <c r="DW13" s="15"/>
      <c r="DX13" s="15"/>
      <c r="DY13" s="15"/>
      <c r="DZ13" s="15"/>
      <c r="EA13" s="15"/>
      <c r="EB13" s="15"/>
      <c r="EC13" s="15"/>
      <c r="ED13" s="15"/>
      <c r="EE13" s="15"/>
      <c r="EF13" s="10" t="str">
        <f t="shared" si="51"/>
        <v/>
      </c>
      <c r="EG13" s="10" t="str">
        <f t="shared" si="52"/>
        <v/>
      </c>
      <c r="EH13" s="10" t="str">
        <f t="shared" si="53"/>
        <v/>
      </c>
      <c r="EI13" s="10" t="str">
        <f t="shared" si="54"/>
        <v/>
      </c>
      <c r="EJ13" s="10" t="str">
        <f t="shared" si="55"/>
        <v/>
      </c>
      <c r="EK13" s="10" t="str">
        <f t="shared" si="56"/>
        <v/>
      </c>
      <c r="EL13" s="10" t="str">
        <f t="shared" si="57"/>
        <v/>
      </c>
      <c r="EM13" s="10" t="str">
        <f t="shared" si="58"/>
        <v/>
      </c>
      <c r="EN13" s="10" t="str">
        <f t="shared" si="59"/>
        <v/>
      </c>
      <c r="EO13" s="10" t="str">
        <f t="shared" si="60"/>
        <v/>
      </c>
      <c r="EP13" s="10" t="str">
        <f t="shared" si="61"/>
        <v/>
      </c>
      <c r="EQ13" s="10" t="str">
        <f t="shared" si="62"/>
        <v/>
      </c>
      <c r="ER13" s="10" t="str">
        <f t="shared" si="63"/>
        <v/>
      </c>
      <c r="ES13" s="10" t="str">
        <f t="shared" si="64"/>
        <v/>
      </c>
      <c r="ET13" s="10" t="str">
        <f t="shared" si="65"/>
        <v/>
      </c>
    </row>
    <row r="14" spans="1:150" x14ac:dyDescent="0.2">
      <c r="A14" s="3" t="str" cm="1">
        <f t="array" ref="A14">IF(AND(H14&lt;&gt;"",H14&lt;&gt;"No DD"),SUMPRODUCT((H$4:H$22&lt;&gt;"")*(H$4:H$22&lt;&gt;"No DD")*(E$4:E$22&gt;E14))+1,IF(H14="No DD",SUMPRODUCT((H$4:H$22="No DD")*(E$4:E$22&gt;E14))+1+SUMPRODUCT((H$4:H$22&lt;&gt;"")*(H$4:H$22&lt;&gt;"No DD")),""))</f>
        <v/>
      </c>
      <c r="B14" s="4" t="s">
        <v>113</v>
      </c>
      <c r="C14" s="3" t="s">
        <v>69</v>
      </c>
      <c r="D14" s="3">
        <v>2005</v>
      </c>
      <c r="E14" s="8">
        <f t="shared" si="0"/>
        <v>95.200007140004644</v>
      </c>
      <c r="F14" s="2" t="str">
        <f>IF(OR(AND(AO14&lt;&gt;"",AO14&gt;=AV$27,AN14&gt;=AV$24),AND(AU14&lt;&gt;"",AU14&gt;=AV$27,AT14&gt;=AV$24),AND(BS14&lt;&gt;"",BS14&gt;=BZ$27,BR14&gt;=BZ$24),AND(BY14&lt;&gt;"",BY14&gt;=BZ$27,BX14&gt;=BZ$24),AND(DB14&lt;&gt;"",DB14&gt;=DK$27,DA14&gt;=DK$24),AND(DJ14&lt;&gt;"",DJ14&gt;=DK$27,DI14&gt;=DK$24),AND(EK14&lt;&gt;"",EK14&gt;=ET$27,EJ14&gt;=ET$24),AND(ES14&lt;&gt;"",ES14&gt;=ET$27,ER14&gt;=ET$24)),"P","")</f>
        <v/>
      </c>
      <c r="G14" s="2" t="str">
        <f>IF(OR(AND(AO14&lt;&gt;"",AO14&gt;=AV$27),AND(AU14&lt;&gt;"",AU14&gt;=AV$27),AND(BS14&lt;&gt;"",BS14&gt;=BZ$27),AND(BY14&lt;&gt;"",BY14&gt;=BZ$27),AND(DB14&lt;&gt;"",DB14&gt;=DK$27),AND(DJ14&lt;&gt;"",DJ14&gt;=DK$27),AND(EK14&lt;&gt;"",EK14&gt;=ET$27),AND(ES14&lt;&gt;"",ES14&gt;=ET$27)),"P","")</f>
        <v/>
      </c>
      <c r="H14" s="26" t="str">
        <f>IF(AND(G14="P",F14=""),"No DD",IF(OR(AND(AK14&lt;&gt;"",AK14&gt;=AV$29,AJ14&gt;=AV$26),AND(AM14&lt;&gt;"",AM14&gt;=AV$29,AL14&gt;=AV$26),AND(AQ14&lt;&gt;"",AQ14&gt;=AV$29,AP14&gt;=AV$26),AND(AS14&lt;&gt;"",AS14&gt;=AV$29,AR14&gt;=AV$26),AND(BO14&lt;&gt;"",BO14&gt;=BZ$29,BN14&gt;=BZ$26),AND(BQ14&lt;&gt;"",BQ14&gt;=BZ$29,BP14&gt;=BZ$26),AND(BV14&lt;&gt;"",BV14&gt;=BZ$29,BU14&gt;=BZ$26),AND(BX14&lt;&gt;"",BX14&gt;=BZ$29,BW14&gt;=BZ$26),AND(CX14&lt;&gt;"",CX14&gt;=DK$29,CW14&gt;=DK$26),AND(CZ14&lt;&gt;"",CZ14&gt;=DK$29,CY14&gt;=DK$26),AND(DD14&lt;&gt;"",DD14&gt;=DK$29,DC14&gt;=DK$26),AND(DF14&lt;&gt;"",DF14&gt;=DK$29,DE14&gt;=DK$26),AND(DH14&lt;&gt;"",DH14&gt;=DK$29,DG14&gt;=DK$26),AND(EG14&lt;&gt;"",EG14&gt;=ET$29,EF14&gt;=ET$26),AND(EI14&lt;&gt;"",EI14&gt;=ET$29,EH14&gt;=ET$26),AND(EM14&lt;&gt;"",EM14&gt;=ET$29,EL14&gt;=ET$26),AND(EO14&lt;&gt;"",EO14&gt;=ET$29,EN14&gt;=ET$26),AND(EQ14&lt;&gt;"",EQ14&gt;=ET$29,EP14&gt;=ET$26)),"Performance",IF(I14="P","Worlds Team",IF(F14="P","National Team",""))))</f>
        <v/>
      </c>
      <c r="I14" s="2" t="str">
        <f>IF(OR(AND(AO14&lt;&gt;"",AO14&gt;=AV$28,AN14&gt;=AV$25),AND(AU14&lt;&gt;"",AU14&gt;=AV$28,AT14&gt;=AV$25),AND(BS14&lt;&gt;"",BS14&gt;=BZ$28,BR14&gt;=BZ$25),AND(BY14&lt;&gt;"",BY14&gt;=BZ$28,BX14&gt;=BZ$25),AND(DB14&lt;&gt;"",DB14&gt;=DK$28,DA14&gt;=DK$25),AND(DJ14&lt;&gt;"",DJ14&gt;=DK$28,DI14&gt;=DK$25),AND(EK14&lt;&gt;"",EK14&gt;=ET$28,EJ14&gt;=ET$25),AND(ES14&lt;&gt;"",ES14&gt;=ET$28,ER14&gt;=ET$25)),"P","")</f>
        <v/>
      </c>
      <c r="J14" s="7">
        <f t="shared" si="1"/>
        <v>46.5</v>
      </c>
      <c r="K14" s="7" t="str">
        <f t="shared" si="2"/>
        <v>2026 Elite Canada</v>
      </c>
      <c r="L14" s="7">
        <f>IF(J14=AO14,IF(COUNT(AQ14,AS14,BO14,BQ14,BU14,BW14)&gt;1,LARGE((AQ14,AS14,BO14,BQ14,BU14,BW14),1),0),IF(COUNT(AK14,AM14,AQ14,AS14,BU14,BW14)&gt;1,LARGE((AK14,AM14,AQ14,AS14,BU14,BW14),1),0))</f>
        <v>24.9</v>
      </c>
      <c r="M14" s="7" t="str">
        <f t="shared" si="3"/>
        <v>2026 Elite Canada</v>
      </c>
      <c r="N14" s="7">
        <f>IF(J14=AO14,IF(COUNT(AQ14,AS14,BO14,BQ14,BU14,BW14)&gt;1,LARGE((AQ14,AS14,BO14,BQ14,BU14,BW14),2),0),IF(COUNT(AK14,AM14,AQ14,AS14,BU14,BW14)&gt;1,LARGE((AK14,AM14,AQ14,AS14,BU14,BW14),2),0))</f>
        <v>22.3</v>
      </c>
      <c r="O14" s="7" t="str">
        <f t="shared" si="4"/>
        <v>2026 Elite Canada</v>
      </c>
      <c r="P14" s="7">
        <f t="shared" si="5"/>
        <v>1.4999999999999964</v>
      </c>
      <c r="Q14" s="10" t="str">
        <f t="shared" si="6"/>
        <v>(Pass)</v>
      </c>
      <c r="R14" s="7" t="str">
        <f t="shared" si="7"/>
        <v>2025 WAGC (Nov 16)</v>
      </c>
      <c r="S14" s="38">
        <v>17.8</v>
      </c>
      <c r="T14" s="38">
        <v>6.4</v>
      </c>
      <c r="U14" s="38">
        <v>0.6</v>
      </c>
      <c r="V14" s="38">
        <v>0</v>
      </c>
      <c r="W14" s="38">
        <v>18.5</v>
      </c>
      <c r="X14" s="38">
        <v>5.2</v>
      </c>
      <c r="Y14" s="38">
        <v>0.8</v>
      </c>
      <c r="Z14" s="38">
        <v>0</v>
      </c>
      <c r="AA14" s="38">
        <v>18.5</v>
      </c>
      <c r="AB14" s="38">
        <v>6.4</v>
      </c>
      <c r="AC14" s="38">
        <v>0</v>
      </c>
      <c r="AD14" s="38">
        <v>0</v>
      </c>
      <c r="AE14" s="38">
        <v>18.100000000000001</v>
      </c>
      <c r="AF14" s="38">
        <v>5.2</v>
      </c>
      <c r="AG14" s="38">
        <v>1</v>
      </c>
      <c r="AH14" s="38">
        <v>0</v>
      </c>
      <c r="AI14" s="19"/>
      <c r="AJ14" s="41">
        <f t="shared" si="8"/>
        <v>6.4</v>
      </c>
      <c r="AK14" s="41">
        <f t="shared" si="9"/>
        <v>23.6</v>
      </c>
      <c r="AL14" s="41">
        <f t="shared" si="10"/>
        <v>5.2</v>
      </c>
      <c r="AM14" s="41">
        <f t="shared" si="11"/>
        <v>22.9</v>
      </c>
      <c r="AN14" s="27">
        <f t="shared" si="12"/>
        <v>11.600000000000001</v>
      </c>
      <c r="AO14" s="27">
        <f t="shared" si="13"/>
        <v>46.5</v>
      </c>
      <c r="AP14" s="27">
        <f t="shared" si="14"/>
        <v>6.4</v>
      </c>
      <c r="AQ14" s="27">
        <f t="shared" si="15"/>
        <v>24.9</v>
      </c>
      <c r="AR14" s="27">
        <f t="shared" si="16"/>
        <v>5.2</v>
      </c>
      <c r="AS14" s="27">
        <f t="shared" si="17"/>
        <v>22.3</v>
      </c>
      <c r="AT14" s="27">
        <f t="shared" si="18"/>
        <v>11.600000000000001</v>
      </c>
      <c r="AU14" s="27">
        <f t="shared" si="19"/>
        <v>47.2</v>
      </c>
      <c r="AV14" s="27">
        <f t="shared" si="20"/>
        <v>93.7</v>
      </c>
      <c r="AW14" s="15"/>
      <c r="AX14" s="15"/>
      <c r="AY14" s="15"/>
      <c r="AZ14" s="15"/>
      <c r="BA14" s="15"/>
      <c r="BB14" s="15"/>
      <c r="BC14" s="15"/>
      <c r="BD14" s="15"/>
      <c r="BE14" s="15"/>
      <c r="BF14" s="15"/>
      <c r="BG14" s="15"/>
      <c r="BH14" s="15"/>
      <c r="BI14" s="15"/>
      <c r="BJ14" s="15"/>
      <c r="BK14" s="15"/>
      <c r="BL14" s="15"/>
      <c r="BM14" s="20"/>
      <c r="BN14" s="42" t="str">
        <f t="shared" si="21"/>
        <v/>
      </c>
      <c r="BO14" s="42" t="str">
        <f t="shared" si="22"/>
        <v/>
      </c>
      <c r="BP14" s="42" t="str">
        <f t="shared" si="23"/>
        <v/>
      </c>
      <c r="BQ14" s="42" t="str">
        <f t="shared" si="24"/>
        <v/>
      </c>
      <c r="BR14" s="10" t="str">
        <f t="shared" si="25"/>
        <v/>
      </c>
      <c r="BS14" s="10" t="str">
        <f t="shared" si="26"/>
        <v/>
      </c>
      <c r="BT14" s="10" t="str">
        <f t="shared" si="27"/>
        <v/>
      </c>
      <c r="BU14" s="10" t="str">
        <f t="shared" si="28"/>
        <v/>
      </c>
      <c r="BV14" s="10" t="str">
        <f t="shared" si="29"/>
        <v/>
      </c>
      <c r="BW14" s="10" t="str">
        <f t="shared" si="30"/>
        <v/>
      </c>
      <c r="BX14" s="10" t="str">
        <f t="shared" si="31"/>
        <v/>
      </c>
      <c r="BY14" s="10" t="str">
        <f t="shared" si="32"/>
        <v/>
      </c>
      <c r="BZ14" s="10" t="str">
        <f t="shared" si="33"/>
        <v/>
      </c>
      <c r="CA14" s="34">
        <f t="shared" si="34"/>
        <v>9.9999999999994316E-2</v>
      </c>
      <c r="CB14" s="34">
        <f t="shared" si="35"/>
        <v>1.4999999999999964</v>
      </c>
      <c r="CC14" s="14"/>
      <c r="CD14" s="14"/>
      <c r="CE14" s="14"/>
      <c r="CF14" s="14"/>
      <c r="CG14" s="14"/>
      <c r="CH14" s="14"/>
      <c r="CI14" s="14"/>
      <c r="CJ14" s="14"/>
      <c r="CK14" s="14"/>
      <c r="CL14" s="14"/>
      <c r="CM14" s="14"/>
      <c r="CN14" s="14"/>
      <c r="CO14" s="14"/>
      <c r="CP14" s="14"/>
      <c r="CQ14" s="14"/>
      <c r="CR14" s="14"/>
      <c r="CS14" s="14"/>
      <c r="CT14" s="14"/>
      <c r="CU14" s="14"/>
      <c r="CV14" s="14"/>
      <c r="CW14" s="27" t="str">
        <f t="shared" si="36"/>
        <v/>
      </c>
      <c r="CX14" s="27" t="str">
        <f t="shared" si="37"/>
        <v/>
      </c>
      <c r="CY14" s="27" t="str">
        <f t="shared" si="38"/>
        <v/>
      </c>
      <c r="CZ14" s="27" t="str">
        <f t="shared" si="39"/>
        <v/>
      </c>
      <c r="DA14" s="27" t="str">
        <f t="shared" si="40"/>
        <v/>
      </c>
      <c r="DB14" s="27" t="str">
        <f t="shared" si="41"/>
        <v/>
      </c>
      <c r="DC14" s="27" t="str">
        <f t="shared" si="42"/>
        <v/>
      </c>
      <c r="DD14" s="27" t="str">
        <f t="shared" si="43"/>
        <v/>
      </c>
      <c r="DE14" s="27" t="str">
        <f t="shared" si="44"/>
        <v/>
      </c>
      <c r="DF14" s="27" t="str">
        <f t="shared" si="45"/>
        <v/>
      </c>
      <c r="DG14" s="27" t="str">
        <f t="shared" si="46"/>
        <v/>
      </c>
      <c r="DH14" s="27" t="str">
        <f t="shared" si="47"/>
        <v/>
      </c>
      <c r="DI14" s="27" t="str">
        <f t="shared" si="48"/>
        <v/>
      </c>
      <c r="DJ14" s="27" t="str">
        <f t="shared" si="49"/>
        <v/>
      </c>
      <c r="DK14" s="27" t="str">
        <f t="shared" si="50"/>
        <v/>
      </c>
      <c r="DL14" s="15">
        <v>18.2</v>
      </c>
      <c r="DM14" s="15">
        <v>5.6</v>
      </c>
      <c r="DN14" s="15">
        <v>1</v>
      </c>
      <c r="DO14" s="15">
        <v>0</v>
      </c>
      <c r="DP14" s="15">
        <v>18.399999999999999</v>
      </c>
      <c r="DQ14" s="15">
        <v>6</v>
      </c>
      <c r="DR14" s="15">
        <v>0.6</v>
      </c>
      <c r="DS14" s="15">
        <v>0</v>
      </c>
      <c r="DT14" s="15"/>
      <c r="DU14" s="15"/>
      <c r="DV14" s="15"/>
      <c r="DW14" s="15"/>
      <c r="DX14" s="15"/>
      <c r="DY14" s="15"/>
      <c r="DZ14" s="15"/>
      <c r="EA14" s="15"/>
      <c r="EB14" s="15"/>
      <c r="EC14" s="15"/>
      <c r="ED14" s="15"/>
      <c r="EE14" s="15"/>
      <c r="EF14" s="10">
        <f t="shared" si="51"/>
        <v>5.6</v>
      </c>
      <c r="EG14" s="10">
        <f t="shared" si="52"/>
        <v>22.799999999999997</v>
      </c>
      <c r="EH14" s="10">
        <f t="shared" si="53"/>
        <v>6</v>
      </c>
      <c r="EI14" s="10">
        <f t="shared" si="54"/>
        <v>23.799999999999997</v>
      </c>
      <c r="EJ14" s="10">
        <f t="shared" si="55"/>
        <v>11.6</v>
      </c>
      <c r="EK14" s="10">
        <f t="shared" si="56"/>
        <v>46.599999999999994</v>
      </c>
      <c r="EL14" s="10" t="str">
        <f t="shared" si="57"/>
        <v/>
      </c>
      <c r="EM14" s="10" t="str">
        <f t="shared" si="58"/>
        <v/>
      </c>
      <c r="EN14" s="10" t="str">
        <f t="shared" si="59"/>
        <v/>
      </c>
      <c r="EO14" s="10" t="str">
        <f t="shared" si="60"/>
        <v/>
      </c>
      <c r="EP14" s="10" t="str">
        <f t="shared" si="61"/>
        <v/>
      </c>
      <c r="EQ14" s="10" t="str">
        <f t="shared" si="62"/>
        <v/>
      </c>
      <c r="ER14" s="10" t="str">
        <f t="shared" si="63"/>
        <v/>
      </c>
      <c r="ES14" s="10" t="str">
        <f t="shared" si="64"/>
        <v/>
      </c>
      <c r="ET14" s="10">
        <f t="shared" si="65"/>
        <v>46.599999999999994</v>
      </c>
    </row>
    <row r="15" spans="1:150" x14ac:dyDescent="0.2">
      <c r="A15" s="3" t="str" cm="1">
        <f t="array" ref="A15">IF(AND(H15&lt;&gt;"",H15&lt;&gt;"No DD"),SUMPRODUCT((H$4:H$22&lt;&gt;"")*(H$4:H$22&lt;&gt;"No DD")*(E$4:E$22&gt;E15))+1,IF(H15="No DD",SUMPRODUCT((H$4:H$22="No DD")*(E$4:E$22&gt;E15))+1+SUMPRODUCT((H$4:H$22&lt;&gt;"")*(H$4:H$22&lt;&gt;"No DD")),""))</f>
        <v/>
      </c>
      <c r="B15" s="4" t="s">
        <v>115</v>
      </c>
      <c r="C15" s="3" t="s">
        <v>69</v>
      </c>
      <c r="D15" s="3">
        <v>2007</v>
      </c>
      <c r="E15" s="8">
        <f t="shared" si="0"/>
        <v>93.000007000004643</v>
      </c>
      <c r="F15" s="2" t="str">
        <f>IF(OR(AND(AO15&lt;&gt;"",AO15&gt;=AV$27,AN15&gt;=AV$24),AND(AU15&lt;&gt;"",AU15&gt;=AV$27,AT15&gt;=AV$24),AND(BS15&lt;&gt;"",BS15&gt;=BZ$27,BR15&gt;=BZ$24),AND(BY15&lt;&gt;"",BY15&gt;=BZ$27,BX15&gt;=BZ$24),AND(DB15&lt;&gt;"",DB15&gt;=DK$27,DA15&gt;=DK$24),AND(DJ15&lt;&gt;"",DJ15&gt;=DK$27,DI15&gt;=DK$24),AND(EK15&lt;&gt;"",EK15&gt;=ET$27,EJ15&gt;=ET$24),AND(ES15&lt;&gt;"",ES15&gt;=ET$27,ER15&gt;=ET$24)),"P","")</f>
        <v/>
      </c>
      <c r="G15" s="2" t="str">
        <f>IF(OR(AND(AO15&lt;&gt;"",AO15&gt;=AV$27),AND(AU15&lt;&gt;"",AU15&gt;=AV$27),AND(BS15&lt;&gt;"",BS15&gt;=BZ$27),AND(BY15&lt;&gt;"",BY15&gt;=BZ$27),AND(DB15&lt;&gt;"",DB15&gt;=DK$27),AND(DJ15&lt;&gt;"",DJ15&gt;=DK$27),AND(EK15&lt;&gt;"",EK15&gt;=ET$27),AND(ES15&lt;&gt;"",ES15&gt;=ET$27)),"P","")</f>
        <v/>
      </c>
      <c r="H15" s="26" t="str">
        <f>IF(AND(G15="P",F15=""),"No DD",IF(OR(AND(AK15&lt;&gt;"",AK15&gt;=AV$29,AJ15&gt;=AV$26),AND(AM15&lt;&gt;"",AM15&gt;=AV$29,AL15&gt;=AV$26),AND(AQ15&lt;&gt;"",AQ15&gt;=AV$29,AP15&gt;=AV$26),AND(AS15&lt;&gt;"",AS15&gt;=AV$29,AR15&gt;=AV$26),AND(BO15&lt;&gt;"",BO15&gt;=BZ$29,BN15&gt;=BZ$26),AND(BQ15&lt;&gt;"",BQ15&gt;=BZ$29,BP15&gt;=BZ$26),AND(BV15&lt;&gt;"",BV15&gt;=BZ$29,BU15&gt;=BZ$26),AND(BX15&lt;&gt;"",BX15&gt;=BZ$29,BW15&gt;=BZ$26),AND(CX15&lt;&gt;"",CX15&gt;=DK$29,CW15&gt;=DK$26),AND(CZ15&lt;&gt;"",CZ15&gt;=DK$29,CY15&gt;=DK$26),AND(DD15&lt;&gt;"",DD15&gt;=DK$29,DC15&gt;=DK$26),AND(DF15&lt;&gt;"",DF15&gt;=DK$29,DE15&gt;=DK$26),AND(DH15&lt;&gt;"",DH15&gt;=DK$29,DG15&gt;=DK$26),AND(EG15&lt;&gt;"",EG15&gt;=ET$29,EF15&gt;=ET$26),AND(EI15&lt;&gt;"",EI15&gt;=ET$29,EH15&gt;=ET$26),AND(EM15&lt;&gt;"",EM15&gt;=ET$29,EL15&gt;=ET$26),AND(EO15&lt;&gt;"",EO15&gt;=ET$29,EN15&gt;=ET$26),AND(EQ15&lt;&gt;"",EQ15&gt;=ET$29,EP15&gt;=ET$26)),"Performance",IF(I15="P","Worlds Team",IF(F15="P","National Team",""))))</f>
        <v/>
      </c>
      <c r="I15" s="2" t="str">
        <f>IF(OR(AND(AO15&lt;&gt;"",AO15&gt;=AV$28,AN15&gt;=AV$25),AND(AU15&lt;&gt;"",AU15&gt;=AV$28,AT15&gt;=AV$25),AND(BS15&lt;&gt;"",BS15&gt;=BZ$28,BR15&gt;=BZ$25),AND(BY15&lt;&gt;"",BY15&gt;=BZ$28,BX15&gt;=BZ$25),AND(DB15&lt;&gt;"",DB15&gt;=DK$28,DA15&gt;=DK$25),AND(DJ15&lt;&gt;"",DJ15&gt;=DK$28,DI15&gt;=DK$25),AND(EK15&lt;&gt;"",EK15&gt;=ET$28,EJ15&gt;=ET$25),AND(ES15&lt;&gt;"",ES15&gt;=ET$28,ER15&gt;=ET$25)),"P","")</f>
        <v/>
      </c>
      <c r="J15" s="7">
        <f t="shared" si="1"/>
        <v>46.5</v>
      </c>
      <c r="K15" s="7" t="str">
        <f t="shared" si="2"/>
        <v>2026 Elite Canada</v>
      </c>
      <c r="L15" s="7">
        <f>IF(J15=AO15,IF(COUNT(AQ15,AS15,BO15,BQ15,BU15,BW15)&gt;1,LARGE((AQ15,AS15,BO15,BQ15,BU15,BW15),1),0),IF(COUNT(AK15,AM15,AQ15,AS15,BU15,BW15)&gt;1,LARGE((AK15,AM15,AQ15,AS15,BU15,BW15),1),0))</f>
        <v>23.5</v>
      </c>
      <c r="M15" s="7" t="str">
        <f t="shared" si="3"/>
        <v>2026 Elite Canada</v>
      </c>
      <c r="N15" s="7">
        <f>IF(J15=AO15,IF(COUNT(AQ15,AS15,BO15,BQ15,BU15,BW15)&gt;1,LARGE((AQ15,AS15,BO15,BQ15,BU15,BW15),2),0),IF(COUNT(AK15,AM15,AQ15,AS15,BU15,BW15)&gt;1,LARGE((AK15,AM15,AQ15,AS15,BU15,BW15),2),0))</f>
        <v>22.999999999999996</v>
      </c>
      <c r="O15" s="7" t="str">
        <f t="shared" si="4"/>
        <v>2026 Elite Canada</v>
      </c>
      <c r="P15" s="7" t="str">
        <f t="shared" si="5"/>
        <v/>
      </c>
      <c r="Q15" s="10" t="str">
        <f t="shared" si="6"/>
        <v/>
      </c>
      <c r="R15" s="7" t="str">
        <f t="shared" si="7"/>
        <v/>
      </c>
      <c r="S15" s="38">
        <v>18.3</v>
      </c>
      <c r="T15" s="38">
        <v>5.6</v>
      </c>
      <c r="U15" s="38">
        <v>0.6</v>
      </c>
      <c r="V15" s="38">
        <v>0</v>
      </c>
      <c r="W15" s="38">
        <v>18</v>
      </c>
      <c r="X15" s="38">
        <v>5.2</v>
      </c>
      <c r="Y15" s="38">
        <v>0</v>
      </c>
      <c r="Z15" s="38">
        <v>0</v>
      </c>
      <c r="AA15" s="38">
        <v>18.2</v>
      </c>
      <c r="AB15" s="38">
        <v>5.6</v>
      </c>
      <c r="AC15" s="38">
        <v>0.8</v>
      </c>
      <c r="AD15" s="38">
        <v>0</v>
      </c>
      <c r="AE15" s="38">
        <v>18.5</v>
      </c>
      <c r="AF15" s="38">
        <v>5.2</v>
      </c>
      <c r="AG15" s="38">
        <v>0.2</v>
      </c>
      <c r="AH15" s="38">
        <v>0</v>
      </c>
      <c r="AI15" s="19"/>
      <c r="AJ15" s="41">
        <f t="shared" si="8"/>
        <v>5.6</v>
      </c>
      <c r="AK15" s="41">
        <f t="shared" si="9"/>
        <v>23.299999999999997</v>
      </c>
      <c r="AL15" s="41">
        <f t="shared" si="10"/>
        <v>5.2</v>
      </c>
      <c r="AM15" s="41">
        <f t="shared" si="11"/>
        <v>23.2</v>
      </c>
      <c r="AN15" s="27">
        <f t="shared" si="12"/>
        <v>10.8</v>
      </c>
      <c r="AO15" s="27">
        <f t="shared" si="13"/>
        <v>46.5</v>
      </c>
      <c r="AP15" s="27">
        <f t="shared" si="14"/>
        <v>5.6</v>
      </c>
      <c r="AQ15" s="27">
        <f t="shared" si="15"/>
        <v>22.999999999999996</v>
      </c>
      <c r="AR15" s="27">
        <f t="shared" si="16"/>
        <v>5.2</v>
      </c>
      <c r="AS15" s="27">
        <f t="shared" si="17"/>
        <v>23.5</v>
      </c>
      <c r="AT15" s="27">
        <f t="shared" si="18"/>
        <v>10.8</v>
      </c>
      <c r="AU15" s="27">
        <f t="shared" si="19"/>
        <v>46.5</v>
      </c>
      <c r="AV15" s="27">
        <f t="shared" si="20"/>
        <v>93</v>
      </c>
      <c r="AW15" s="15"/>
      <c r="AX15" s="15"/>
      <c r="AY15" s="15"/>
      <c r="AZ15" s="15"/>
      <c r="BA15" s="15"/>
      <c r="BB15" s="15"/>
      <c r="BC15" s="15"/>
      <c r="BD15" s="15"/>
      <c r="BE15" s="15"/>
      <c r="BF15" s="15"/>
      <c r="BG15" s="15"/>
      <c r="BH15" s="15"/>
      <c r="BI15" s="15"/>
      <c r="BJ15" s="15"/>
      <c r="BK15" s="15"/>
      <c r="BL15" s="15"/>
      <c r="BM15" s="20"/>
      <c r="BN15" s="42" t="str">
        <f t="shared" si="21"/>
        <v/>
      </c>
      <c r="BO15" s="42" t="str">
        <f t="shared" si="22"/>
        <v/>
      </c>
      <c r="BP15" s="42" t="str">
        <f t="shared" si="23"/>
        <v/>
      </c>
      <c r="BQ15" s="42" t="str">
        <f t="shared" si="24"/>
        <v/>
      </c>
      <c r="BR15" s="10" t="str">
        <f t="shared" si="25"/>
        <v/>
      </c>
      <c r="BS15" s="10" t="str">
        <f t="shared" si="26"/>
        <v/>
      </c>
      <c r="BT15" s="10" t="str">
        <f t="shared" si="27"/>
        <v/>
      </c>
      <c r="BU15" s="10" t="str">
        <f t="shared" si="28"/>
        <v/>
      </c>
      <c r="BV15" s="10" t="str">
        <f t="shared" si="29"/>
        <v/>
      </c>
      <c r="BW15" s="10" t="str">
        <f t="shared" si="30"/>
        <v/>
      </c>
      <c r="BX15" s="10" t="str">
        <f t="shared" si="31"/>
        <v/>
      </c>
      <c r="BY15" s="10" t="str">
        <f t="shared" si="32"/>
        <v/>
      </c>
      <c r="BZ15" s="10" t="str">
        <f t="shared" si="33"/>
        <v/>
      </c>
      <c r="CA15" s="34" t="str">
        <f t="shared" si="34"/>
        <v/>
      </c>
      <c r="CB15" s="34" t="str">
        <f t="shared" si="35"/>
        <v/>
      </c>
      <c r="CC15" s="14"/>
      <c r="CD15" s="14"/>
      <c r="CE15" s="14"/>
      <c r="CF15" s="14"/>
      <c r="CG15" s="14"/>
      <c r="CH15" s="14"/>
      <c r="CI15" s="14"/>
      <c r="CJ15" s="14"/>
      <c r="CK15" s="14"/>
      <c r="CL15" s="14"/>
      <c r="CM15" s="14"/>
      <c r="CN15" s="14"/>
      <c r="CO15" s="14"/>
      <c r="CP15" s="14"/>
      <c r="CQ15" s="14"/>
      <c r="CR15" s="14"/>
      <c r="CS15" s="14"/>
      <c r="CT15" s="14"/>
      <c r="CU15" s="14"/>
      <c r="CV15" s="14"/>
      <c r="CW15" s="27" t="str">
        <f t="shared" si="36"/>
        <v/>
      </c>
      <c r="CX15" s="27" t="str">
        <f t="shared" si="37"/>
        <v/>
      </c>
      <c r="CY15" s="27" t="str">
        <f t="shared" si="38"/>
        <v/>
      </c>
      <c r="CZ15" s="27" t="str">
        <f t="shared" si="39"/>
        <v/>
      </c>
      <c r="DA15" s="27" t="str">
        <f t="shared" si="40"/>
        <v/>
      </c>
      <c r="DB15" s="27" t="str">
        <f t="shared" si="41"/>
        <v/>
      </c>
      <c r="DC15" s="27" t="str">
        <f t="shared" si="42"/>
        <v/>
      </c>
      <c r="DD15" s="27" t="str">
        <f t="shared" si="43"/>
        <v/>
      </c>
      <c r="DE15" s="27" t="str">
        <f t="shared" si="44"/>
        <v/>
      </c>
      <c r="DF15" s="27" t="str">
        <f t="shared" si="45"/>
        <v/>
      </c>
      <c r="DG15" s="27" t="str">
        <f t="shared" si="46"/>
        <v/>
      </c>
      <c r="DH15" s="27" t="str">
        <f t="shared" si="47"/>
        <v/>
      </c>
      <c r="DI15" s="27" t="str">
        <f t="shared" si="48"/>
        <v/>
      </c>
      <c r="DJ15" s="27" t="str">
        <f t="shared" si="49"/>
        <v/>
      </c>
      <c r="DK15" s="27" t="str">
        <f t="shared" si="50"/>
        <v/>
      </c>
      <c r="DL15" s="15"/>
      <c r="DM15" s="15"/>
      <c r="DN15" s="15"/>
      <c r="DO15" s="15"/>
      <c r="DP15" s="15"/>
      <c r="DQ15" s="15"/>
      <c r="DR15" s="15"/>
      <c r="DS15" s="15"/>
      <c r="DT15" s="15"/>
      <c r="DU15" s="15"/>
      <c r="DV15" s="15"/>
      <c r="DW15" s="15"/>
      <c r="DX15" s="15"/>
      <c r="DY15" s="15"/>
      <c r="DZ15" s="15"/>
      <c r="EA15" s="15"/>
      <c r="EB15" s="15"/>
      <c r="EC15" s="15"/>
      <c r="ED15" s="15"/>
      <c r="EE15" s="15"/>
      <c r="EF15" s="10" t="str">
        <f t="shared" si="51"/>
        <v/>
      </c>
      <c r="EG15" s="10" t="str">
        <f t="shared" si="52"/>
        <v/>
      </c>
      <c r="EH15" s="10" t="str">
        <f t="shared" si="53"/>
        <v/>
      </c>
      <c r="EI15" s="10" t="str">
        <f t="shared" si="54"/>
        <v/>
      </c>
      <c r="EJ15" s="10" t="str">
        <f t="shared" si="55"/>
        <v/>
      </c>
      <c r="EK15" s="10" t="str">
        <f t="shared" si="56"/>
        <v/>
      </c>
      <c r="EL15" s="10" t="str">
        <f t="shared" si="57"/>
        <v/>
      </c>
      <c r="EM15" s="10" t="str">
        <f t="shared" si="58"/>
        <v/>
      </c>
      <c r="EN15" s="10" t="str">
        <f t="shared" si="59"/>
        <v/>
      </c>
      <c r="EO15" s="10" t="str">
        <f t="shared" si="60"/>
        <v/>
      </c>
      <c r="EP15" s="10" t="str">
        <f t="shared" si="61"/>
        <v/>
      </c>
      <c r="EQ15" s="10" t="str">
        <f t="shared" si="62"/>
        <v/>
      </c>
      <c r="ER15" s="10" t="str">
        <f t="shared" si="63"/>
        <v/>
      </c>
      <c r="ES15" s="10" t="str">
        <f t="shared" si="64"/>
        <v/>
      </c>
      <c r="ET15" s="10" t="str">
        <f t="shared" si="65"/>
        <v/>
      </c>
    </row>
    <row r="16" spans="1:150" x14ac:dyDescent="0.2">
      <c r="A16" s="3" t="str" cm="1">
        <f t="array" ref="A16">IF(AND(H16&lt;&gt;"",H16&lt;&gt;"No DD"),SUMPRODUCT((H$4:H$22&lt;&gt;"")*(H$4:H$22&lt;&gt;"No DD")*(E$4:E$22&gt;E16))+1,IF(H16="No DD",SUMPRODUCT((H$4:H$22="No DD")*(E$4:E$22&gt;E16))+1+SUMPRODUCT((H$4:H$22&lt;&gt;"")*(H$4:H$22&lt;&gt;"No DD")),""))</f>
        <v/>
      </c>
      <c r="B16" s="4" t="s">
        <v>110</v>
      </c>
      <c r="C16" s="3" t="s">
        <v>5</v>
      </c>
      <c r="D16" s="3">
        <v>2003</v>
      </c>
      <c r="E16" s="8">
        <f t="shared" si="0"/>
        <v>91.800006960004694</v>
      </c>
      <c r="F16" s="2" t="str">
        <f>IF(OR(AND(AO16&lt;&gt;"",AO16&gt;=AV$27,AN16&gt;=AV$24),AND(AU16&lt;&gt;"",AU16&gt;=AV$27,AT16&gt;=AV$24),AND(BS16&lt;&gt;"",BS16&gt;=BZ$27,BR16&gt;=BZ$24),AND(BY16&lt;&gt;"",BY16&gt;=BZ$27,BX16&gt;=BZ$24),AND(DB16&lt;&gt;"",DB16&gt;=DK$27,DA16&gt;=DK$24),AND(DJ16&lt;&gt;"",DJ16&gt;=DK$27,DI16&gt;=DK$24),AND(EK16&lt;&gt;"",EK16&gt;=ET$27,EJ16&gt;=ET$24),AND(ES16&lt;&gt;"",ES16&gt;=ET$27,ER16&gt;=ET$24)),"P","")</f>
        <v/>
      </c>
      <c r="G16" s="2" t="str">
        <f>IF(OR(AND(AO16&lt;&gt;"",AO16&gt;=AV$27),AND(AU16&lt;&gt;"",AU16&gt;=AV$27),AND(BS16&lt;&gt;"",BS16&gt;=BZ$27),AND(BY16&lt;&gt;"",BY16&gt;=BZ$27),AND(DB16&lt;&gt;"",DB16&gt;=DK$27),AND(DJ16&lt;&gt;"",DJ16&gt;=DK$27),AND(EK16&lt;&gt;"",EK16&gt;=ET$27),AND(ES16&lt;&gt;"",ES16&gt;=ET$27)),"P","")</f>
        <v/>
      </c>
      <c r="H16" s="26" t="str">
        <f>IF(AND(G16="P",F16=""),"No DD",IF(OR(AND(AK16&lt;&gt;"",AK16&gt;=AV$29,AJ16&gt;=AV$26),AND(AM16&lt;&gt;"",AM16&gt;=AV$29,AL16&gt;=AV$26),AND(AQ16&lt;&gt;"",AQ16&gt;=AV$29,AP16&gt;=AV$26),AND(AS16&lt;&gt;"",AS16&gt;=AV$29,AR16&gt;=AV$26),AND(BO16&lt;&gt;"",BO16&gt;=BZ$29,BN16&gt;=BZ$26),AND(BQ16&lt;&gt;"",BQ16&gt;=BZ$29,BP16&gt;=BZ$26),AND(BV16&lt;&gt;"",BV16&gt;=BZ$29,BU16&gt;=BZ$26),AND(BX16&lt;&gt;"",BX16&gt;=BZ$29,BW16&gt;=BZ$26),AND(CX16&lt;&gt;"",CX16&gt;=DK$29,CW16&gt;=DK$26),AND(CZ16&lt;&gt;"",CZ16&gt;=DK$29,CY16&gt;=DK$26),AND(DD16&lt;&gt;"",DD16&gt;=DK$29,DC16&gt;=DK$26),AND(DF16&lt;&gt;"",DF16&gt;=DK$29,DE16&gt;=DK$26),AND(DH16&lt;&gt;"",DH16&gt;=DK$29,DG16&gt;=DK$26),AND(EG16&lt;&gt;"",EG16&gt;=ET$29,EF16&gt;=ET$26),AND(EI16&lt;&gt;"",EI16&gt;=ET$29,EH16&gt;=ET$26),AND(EM16&lt;&gt;"",EM16&gt;=ET$29,EL16&gt;=ET$26),AND(EO16&lt;&gt;"",EO16&gt;=ET$29,EN16&gt;=ET$26),AND(EQ16&lt;&gt;"",EQ16&gt;=ET$29,EP16&gt;=ET$26)),"Performance",IF(I16="P","Worlds Team",IF(F16="P","National Team",""))))</f>
        <v/>
      </c>
      <c r="I16" s="2" t="str">
        <f>IF(OR(AND(AO16&lt;&gt;"",AO16&gt;=AV$28,AN16&gt;=AV$25),AND(AU16&lt;&gt;"",AU16&gt;=AV$28,AT16&gt;=AV$25),AND(BS16&lt;&gt;"",BS16&gt;=BZ$28,BR16&gt;=BZ$25),AND(BY16&lt;&gt;"",BY16&gt;=BZ$28,BX16&gt;=BZ$25),AND(DB16&lt;&gt;"",DB16&gt;=DK$28,DA16&gt;=DK$25),AND(DJ16&lt;&gt;"",DJ16&gt;=DK$28,DI16&gt;=DK$25),AND(EK16&lt;&gt;"",EK16&gt;=ET$28,EJ16&gt;=ET$25),AND(ES16&lt;&gt;"",ES16&gt;=ET$28,ER16&gt;=ET$25)),"P","")</f>
        <v/>
      </c>
      <c r="J16" s="7">
        <f t="shared" si="1"/>
        <v>46.900000000000006</v>
      </c>
      <c r="K16" s="7" t="str">
        <f t="shared" si="2"/>
        <v>2026 Elite Canada</v>
      </c>
      <c r="L16" s="7">
        <f>IF(J16=AO16,IF(COUNT(AQ16,AS16,BO16,BQ16,BU16,BW16)&gt;1,LARGE((AQ16,AS16,BO16,BQ16,BU16,BW16),1),0),IF(COUNT(AK16,AM16,AQ16,AS16,BU16,BW16)&gt;1,LARGE((AK16,AM16,AQ16,AS16,BU16,BW16),1),0))</f>
        <v>22.700000000000003</v>
      </c>
      <c r="M16" s="7" t="str">
        <f t="shared" si="3"/>
        <v>2026 Elite Canada</v>
      </c>
      <c r="N16" s="7">
        <f>IF(J16=AO16,IF(COUNT(AQ16,AS16,BO16,BQ16,BU16,BW16)&gt;1,LARGE((AQ16,AS16,BO16,BQ16,BU16,BW16),2),0),IF(COUNT(AK16,AM16,AQ16,AS16,BU16,BW16)&gt;1,LARGE((AK16,AM16,AQ16,AS16,BU16,BW16),2),0))</f>
        <v>22.2</v>
      </c>
      <c r="O16" s="7" t="str">
        <f t="shared" si="4"/>
        <v>2026 Elite Canada</v>
      </c>
      <c r="P16" s="7" t="str">
        <f t="shared" si="5"/>
        <v/>
      </c>
      <c r="Q16" s="10" t="str">
        <f t="shared" si="6"/>
        <v/>
      </c>
      <c r="R16" s="7" t="str">
        <f t="shared" si="7"/>
        <v/>
      </c>
      <c r="S16" s="38">
        <v>18.3</v>
      </c>
      <c r="T16" s="38">
        <v>4.8</v>
      </c>
      <c r="U16" s="38">
        <v>0</v>
      </c>
      <c r="V16" s="38">
        <v>0</v>
      </c>
      <c r="W16" s="38">
        <v>18.8</v>
      </c>
      <c r="X16" s="38">
        <v>5.2</v>
      </c>
      <c r="Y16" s="38">
        <v>0.2</v>
      </c>
      <c r="Z16" s="38">
        <v>0</v>
      </c>
      <c r="AA16" s="38">
        <v>16.8</v>
      </c>
      <c r="AB16" s="38">
        <v>5.6</v>
      </c>
      <c r="AC16" s="38">
        <v>0.2</v>
      </c>
      <c r="AD16" s="38">
        <v>0</v>
      </c>
      <c r="AE16" s="38">
        <v>18.100000000000001</v>
      </c>
      <c r="AF16" s="38">
        <v>4.8</v>
      </c>
      <c r="AG16" s="38">
        <v>0.2</v>
      </c>
      <c r="AH16" s="38">
        <v>0</v>
      </c>
      <c r="AI16" s="19"/>
      <c r="AJ16" s="41">
        <f t="shared" si="8"/>
        <v>4.8</v>
      </c>
      <c r="AK16" s="41">
        <f t="shared" si="9"/>
        <v>23.1</v>
      </c>
      <c r="AL16" s="41">
        <f t="shared" si="10"/>
        <v>5.2</v>
      </c>
      <c r="AM16" s="41">
        <f t="shared" si="11"/>
        <v>23.8</v>
      </c>
      <c r="AN16" s="27">
        <f t="shared" si="12"/>
        <v>10</v>
      </c>
      <c r="AO16" s="27">
        <f t="shared" si="13"/>
        <v>46.900000000000006</v>
      </c>
      <c r="AP16" s="27">
        <f t="shared" si="14"/>
        <v>5.6</v>
      </c>
      <c r="AQ16" s="27">
        <f t="shared" si="15"/>
        <v>22.2</v>
      </c>
      <c r="AR16" s="27">
        <f t="shared" si="16"/>
        <v>4.8</v>
      </c>
      <c r="AS16" s="27">
        <f t="shared" si="17"/>
        <v>22.700000000000003</v>
      </c>
      <c r="AT16" s="27">
        <f t="shared" si="18"/>
        <v>10.399999999999999</v>
      </c>
      <c r="AU16" s="27">
        <f t="shared" si="19"/>
        <v>44.900000000000006</v>
      </c>
      <c r="AV16" s="27">
        <f t="shared" si="20"/>
        <v>91.800000000000011</v>
      </c>
      <c r="AW16" s="15"/>
      <c r="AX16" s="15"/>
      <c r="AY16" s="15"/>
      <c r="AZ16" s="15"/>
      <c r="BA16" s="15"/>
      <c r="BB16" s="15"/>
      <c r="BC16" s="15"/>
      <c r="BD16" s="15"/>
      <c r="BE16" s="15"/>
      <c r="BF16" s="15"/>
      <c r="BG16" s="15"/>
      <c r="BH16" s="15"/>
      <c r="BI16" s="15"/>
      <c r="BJ16" s="15"/>
      <c r="BK16" s="15"/>
      <c r="BL16" s="15"/>
      <c r="BM16" s="20"/>
      <c r="BN16" s="42" t="str">
        <f t="shared" si="21"/>
        <v/>
      </c>
      <c r="BO16" s="42" t="str">
        <f t="shared" si="22"/>
        <v/>
      </c>
      <c r="BP16" s="42" t="str">
        <f t="shared" si="23"/>
        <v/>
      </c>
      <c r="BQ16" s="42" t="str">
        <f t="shared" si="24"/>
        <v/>
      </c>
      <c r="BR16" s="10" t="str">
        <f t="shared" si="25"/>
        <v/>
      </c>
      <c r="BS16" s="10" t="str">
        <f t="shared" si="26"/>
        <v/>
      </c>
      <c r="BT16" s="10" t="str">
        <f t="shared" si="27"/>
        <v/>
      </c>
      <c r="BU16" s="10" t="str">
        <f t="shared" si="28"/>
        <v/>
      </c>
      <c r="BV16" s="10" t="str">
        <f t="shared" si="29"/>
        <v/>
      </c>
      <c r="BW16" s="10" t="str">
        <f t="shared" si="30"/>
        <v/>
      </c>
      <c r="BX16" s="10" t="str">
        <f t="shared" si="31"/>
        <v/>
      </c>
      <c r="BY16" s="10" t="str">
        <f t="shared" si="32"/>
        <v/>
      </c>
      <c r="BZ16" s="10" t="str">
        <f t="shared" si="33"/>
        <v/>
      </c>
      <c r="CA16" s="34" t="str">
        <f t="shared" si="34"/>
        <v/>
      </c>
      <c r="CB16" s="34" t="str">
        <f t="shared" si="35"/>
        <v/>
      </c>
      <c r="CC16" s="14"/>
      <c r="CD16" s="14"/>
      <c r="CE16" s="14"/>
      <c r="CF16" s="14"/>
      <c r="CG16" s="14"/>
      <c r="CH16" s="14"/>
      <c r="CI16" s="14"/>
      <c r="CJ16" s="14"/>
      <c r="CK16" s="14"/>
      <c r="CL16" s="14"/>
      <c r="CM16" s="14"/>
      <c r="CN16" s="14"/>
      <c r="CO16" s="14"/>
      <c r="CP16" s="14"/>
      <c r="CQ16" s="14"/>
      <c r="CR16" s="14"/>
      <c r="CS16" s="14"/>
      <c r="CT16" s="14"/>
      <c r="CU16" s="14"/>
      <c r="CV16" s="14"/>
      <c r="CW16" s="27" t="str">
        <f t="shared" si="36"/>
        <v/>
      </c>
      <c r="CX16" s="27" t="str">
        <f t="shared" si="37"/>
        <v/>
      </c>
      <c r="CY16" s="27" t="str">
        <f t="shared" si="38"/>
        <v/>
      </c>
      <c r="CZ16" s="27" t="str">
        <f t="shared" si="39"/>
        <v/>
      </c>
      <c r="DA16" s="27" t="str">
        <f t="shared" si="40"/>
        <v/>
      </c>
      <c r="DB16" s="27" t="str">
        <f t="shared" si="41"/>
        <v/>
      </c>
      <c r="DC16" s="27" t="str">
        <f t="shared" si="42"/>
        <v/>
      </c>
      <c r="DD16" s="27" t="str">
        <f t="shared" si="43"/>
        <v/>
      </c>
      <c r="DE16" s="27" t="str">
        <f t="shared" si="44"/>
        <v/>
      </c>
      <c r="DF16" s="27" t="str">
        <f t="shared" si="45"/>
        <v/>
      </c>
      <c r="DG16" s="27" t="str">
        <f t="shared" si="46"/>
        <v/>
      </c>
      <c r="DH16" s="27" t="str">
        <f t="shared" si="47"/>
        <v/>
      </c>
      <c r="DI16" s="27" t="str">
        <f t="shared" si="48"/>
        <v/>
      </c>
      <c r="DJ16" s="27" t="str">
        <f t="shared" si="49"/>
        <v/>
      </c>
      <c r="DK16" s="27" t="str">
        <f t="shared" si="50"/>
        <v/>
      </c>
      <c r="DL16" s="15"/>
      <c r="DM16" s="15"/>
      <c r="DN16" s="15"/>
      <c r="DO16" s="15"/>
      <c r="DP16" s="15"/>
      <c r="DQ16" s="15"/>
      <c r="DR16" s="15"/>
      <c r="DS16" s="15"/>
      <c r="DT16" s="15"/>
      <c r="DU16" s="15"/>
      <c r="DV16" s="15"/>
      <c r="DW16" s="15"/>
      <c r="DX16" s="15"/>
      <c r="DY16" s="15"/>
      <c r="DZ16" s="15"/>
      <c r="EA16" s="15"/>
      <c r="EB16" s="15"/>
      <c r="EC16" s="15"/>
      <c r="ED16" s="15"/>
      <c r="EE16" s="15"/>
      <c r="EF16" s="10" t="str">
        <f t="shared" si="51"/>
        <v/>
      </c>
      <c r="EG16" s="10" t="str">
        <f t="shared" si="52"/>
        <v/>
      </c>
      <c r="EH16" s="10" t="str">
        <f t="shared" si="53"/>
        <v/>
      </c>
      <c r="EI16" s="10" t="str">
        <f t="shared" si="54"/>
        <v/>
      </c>
      <c r="EJ16" s="10" t="str">
        <f t="shared" si="55"/>
        <v/>
      </c>
      <c r="EK16" s="10" t="str">
        <f t="shared" si="56"/>
        <v/>
      </c>
      <c r="EL16" s="10" t="str">
        <f t="shared" si="57"/>
        <v/>
      </c>
      <c r="EM16" s="10" t="str">
        <f t="shared" si="58"/>
        <v/>
      </c>
      <c r="EN16" s="10" t="str">
        <f t="shared" si="59"/>
        <v/>
      </c>
      <c r="EO16" s="10" t="str">
        <f t="shared" si="60"/>
        <v/>
      </c>
      <c r="EP16" s="10" t="str">
        <f t="shared" si="61"/>
        <v/>
      </c>
      <c r="EQ16" s="10" t="str">
        <f t="shared" si="62"/>
        <v/>
      </c>
      <c r="ER16" s="10" t="str">
        <f t="shared" si="63"/>
        <v/>
      </c>
      <c r="ES16" s="10" t="str">
        <f t="shared" si="64"/>
        <v/>
      </c>
      <c r="ET16" s="10" t="str">
        <f t="shared" si="65"/>
        <v/>
      </c>
    </row>
    <row r="17" spans="1:150" x14ac:dyDescent="0.2">
      <c r="A17" s="3" t="str" cm="1">
        <f t="array" ref="A17">IF(AND(H17&lt;&gt;"",H17&lt;&gt;"No DD"),SUMPRODUCT((H$4:H$22&lt;&gt;"")*(H$4:H$22&lt;&gt;"No DD")*(E$4:E$22&gt;E17))+1,IF(H17="No DD",SUMPRODUCT((H$4:H$22="No DD")*(E$4:E$22&gt;E17))+1+SUMPRODUCT((H$4:H$22&lt;&gt;"")*(H$4:H$22&lt;&gt;"No DD")),""))</f>
        <v/>
      </c>
      <c r="B17" s="4" t="s">
        <v>114</v>
      </c>
      <c r="C17" s="3" t="s">
        <v>5</v>
      </c>
      <c r="D17" s="3">
        <v>2005</v>
      </c>
      <c r="E17" s="8">
        <f t="shared" si="0"/>
        <v>88.300007060004688</v>
      </c>
      <c r="F17" s="2" t="str">
        <f>IF(OR(AND(AO17&lt;&gt;"",AO17&gt;=AV$27,AN17&gt;=AV$24),AND(AU17&lt;&gt;"",AU17&gt;=AV$27,AT17&gt;=AV$24),AND(BS17&lt;&gt;"",BS17&gt;=BZ$27,BR17&gt;=BZ$24),AND(BY17&lt;&gt;"",BY17&gt;=BZ$27,BX17&gt;=BZ$24),AND(DB17&lt;&gt;"",DB17&gt;=DK$27,DA17&gt;=DK$24),AND(DJ17&lt;&gt;"",DJ17&gt;=DK$27,DI17&gt;=DK$24),AND(EK17&lt;&gt;"",EK17&gt;=ET$27,EJ17&gt;=ET$24),AND(ES17&lt;&gt;"",ES17&gt;=ET$27,ER17&gt;=ET$24)),"P","")</f>
        <v/>
      </c>
      <c r="G17" s="2" t="str">
        <f>IF(OR(AND(AO17&lt;&gt;"",AO17&gt;=AV$27),AND(AU17&lt;&gt;"",AU17&gt;=AV$27),AND(BS17&lt;&gt;"",BS17&gt;=BZ$27),AND(BY17&lt;&gt;"",BY17&gt;=BZ$27),AND(DB17&lt;&gt;"",DB17&gt;=DK$27),AND(DJ17&lt;&gt;"",DJ17&gt;=DK$27),AND(EK17&lt;&gt;"",EK17&gt;=ET$27),AND(ES17&lt;&gt;"",ES17&gt;=ET$27)),"P","")</f>
        <v/>
      </c>
      <c r="H17" s="26" t="str">
        <f>IF(AND(G17="P",F17=""),"No DD",IF(OR(AND(AK17&lt;&gt;"",AK17&gt;=AV$29,AJ17&gt;=AV$26),AND(AM17&lt;&gt;"",AM17&gt;=AV$29,AL17&gt;=AV$26),AND(AQ17&lt;&gt;"",AQ17&gt;=AV$29,AP17&gt;=AV$26),AND(AS17&lt;&gt;"",AS17&gt;=AV$29,AR17&gt;=AV$26),AND(BO17&lt;&gt;"",BO17&gt;=BZ$29,BN17&gt;=BZ$26),AND(BQ17&lt;&gt;"",BQ17&gt;=BZ$29,BP17&gt;=BZ$26),AND(BV17&lt;&gt;"",BV17&gt;=BZ$29,BU17&gt;=BZ$26),AND(BX17&lt;&gt;"",BX17&gt;=BZ$29,BW17&gt;=BZ$26),AND(CX17&lt;&gt;"",CX17&gt;=DK$29,CW17&gt;=DK$26),AND(CZ17&lt;&gt;"",CZ17&gt;=DK$29,CY17&gt;=DK$26),AND(DD17&lt;&gt;"",DD17&gt;=DK$29,DC17&gt;=DK$26),AND(DF17&lt;&gt;"",DF17&gt;=DK$29,DE17&gt;=DK$26),AND(DH17&lt;&gt;"",DH17&gt;=DK$29,DG17&gt;=DK$26),AND(EG17&lt;&gt;"",EG17&gt;=ET$29,EF17&gt;=ET$26),AND(EI17&lt;&gt;"",EI17&gt;=ET$29,EH17&gt;=ET$26),AND(EM17&lt;&gt;"",EM17&gt;=ET$29,EL17&gt;=ET$26),AND(EO17&lt;&gt;"",EO17&gt;=ET$29,EN17&gt;=ET$26),AND(EQ17&lt;&gt;"",EQ17&gt;=ET$29,EP17&gt;=ET$26)),"Performance",IF(I17="P","Worlds Team",IF(F17="P","National Team",""))))</f>
        <v/>
      </c>
      <c r="I17" s="2" t="str">
        <f>IF(OR(AND(AO17&lt;&gt;"",AO17&gt;=AV$28,AN17&gt;=AV$25),AND(AU17&lt;&gt;"",AU17&gt;=AV$28,AT17&gt;=AV$25),AND(BS17&lt;&gt;"",BS17&gt;=BZ$28,BR17&gt;=BZ$25),AND(BY17&lt;&gt;"",BY17&gt;=BZ$28,BX17&gt;=BZ$25),AND(DB17&lt;&gt;"",DB17&gt;=DK$28,DA17&gt;=DK$25),AND(DJ17&lt;&gt;"",DJ17&gt;=DK$28,DI17&gt;=DK$25),AND(EK17&lt;&gt;"",EK17&gt;=ET$28,EJ17&gt;=ET$25),AND(ES17&lt;&gt;"",ES17&gt;=ET$28,ER17&gt;=ET$25)),"P","")</f>
        <v/>
      </c>
      <c r="J17" s="7">
        <f t="shared" si="1"/>
        <v>46.9</v>
      </c>
      <c r="K17" s="7" t="str">
        <f t="shared" si="2"/>
        <v>2026 Elite Canada</v>
      </c>
      <c r="L17" s="7">
        <f>IF(J17=AO17,IF(COUNT(AQ17,AS17,BO17,BQ17,BU17,BW17)&gt;1,LARGE((AQ17,AS17,BO17,BQ17,BU17,BW17),1),0),IF(COUNT(AK17,AM17,AQ17,AS17,BU17,BW17)&gt;1,LARGE((AK17,AM17,AQ17,AS17,BU17,BW17),1),0))</f>
        <v>23.7</v>
      </c>
      <c r="M17" s="7" t="str">
        <f t="shared" si="3"/>
        <v>2026 Elite Canada</v>
      </c>
      <c r="N17" s="7">
        <f>IF(J17=AO17,IF(COUNT(AQ17,AS17,BO17,BQ17,BU17,BW17)&gt;1,LARGE((AQ17,AS17,BO17,BQ17,BU17,BW17),2),0),IF(COUNT(AK17,AM17,AQ17,AS17,BU17,BW17)&gt;1,LARGE((AK17,AM17,AQ17,AS17,BU17,BW17),2),0))</f>
        <v>17.7</v>
      </c>
      <c r="O17" s="7" t="str">
        <f t="shared" si="4"/>
        <v>2026 Elite Canada</v>
      </c>
      <c r="P17" s="7" t="str">
        <f t="shared" si="5"/>
        <v/>
      </c>
      <c r="Q17" s="10" t="str">
        <f t="shared" si="6"/>
        <v/>
      </c>
      <c r="R17" s="7" t="str">
        <f t="shared" si="7"/>
        <v/>
      </c>
      <c r="S17" s="38">
        <v>18.2</v>
      </c>
      <c r="T17" s="38">
        <v>5.2</v>
      </c>
      <c r="U17" s="38">
        <v>0</v>
      </c>
      <c r="V17" s="38">
        <v>0</v>
      </c>
      <c r="W17" s="38">
        <v>18.3</v>
      </c>
      <c r="X17" s="38">
        <v>5.2</v>
      </c>
      <c r="Y17" s="38">
        <v>0</v>
      </c>
      <c r="Z17" s="38">
        <v>0</v>
      </c>
      <c r="AA17" s="38">
        <v>18.5</v>
      </c>
      <c r="AB17" s="38">
        <v>5.2</v>
      </c>
      <c r="AC17" s="38">
        <v>0</v>
      </c>
      <c r="AD17" s="38">
        <v>0</v>
      </c>
      <c r="AE17" s="38">
        <v>15.1</v>
      </c>
      <c r="AF17" s="38">
        <v>2.8</v>
      </c>
      <c r="AG17" s="38">
        <v>0.2</v>
      </c>
      <c r="AH17" s="38">
        <v>0</v>
      </c>
      <c r="AI17" s="19"/>
      <c r="AJ17" s="41">
        <f t="shared" si="8"/>
        <v>5.2</v>
      </c>
      <c r="AK17" s="41">
        <f t="shared" si="9"/>
        <v>23.4</v>
      </c>
      <c r="AL17" s="41">
        <f t="shared" si="10"/>
        <v>5.2</v>
      </c>
      <c r="AM17" s="41">
        <f t="shared" si="11"/>
        <v>23.5</v>
      </c>
      <c r="AN17" s="27">
        <f t="shared" si="12"/>
        <v>10.4</v>
      </c>
      <c r="AO17" s="27">
        <f t="shared" si="13"/>
        <v>46.9</v>
      </c>
      <c r="AP17" s="27">
        <f t="shared" si="14"/>
        <v>5.2</v>
      </c>
      <c r="AQ17" s="27">
        <f t="shared" si="15"/>
        <v>23.7</v>
      </c>
      <c r="AR17" s="27">
        <f t="shared" si="16"/>
        <v>2.8</v>
      </c>
      <c r="AS17" s="27">
        <f t="shared" si="17"/>
        <v>17.7</v>
      </c>
      <c r="AT17" s="27">
        <f t="shared" si="18"/>
        <v>8</v>
      </c>
      <c r="AU17" s="27">
        <f t="shared" si="19"/>
        <v>41.4</v>
      </c>
      <c r="AV17" s="27">
        <f t="shared" si="20"/>
        <v>88.3</v>
      </c>
      <c r="AW17" s="15"/>
      <c r="AX17" s="15"/>
      <c r="AY17" s="15"/>
      <c r="AZ17" s="15"/>
      <c r="BA17" s="15"/>
      <c r="BB17" s="15"/>
      <c r="BC17" s="15"/>
      <c r="BD17" s="15"/>
      <c r="BE17" s="15"/>
      <c r="BF17" s="15"/>
      <c r="BG17" s="15"/>
      <c r="BH17" s="15"/>
      <c r="BI17" s="15"/>
      <c r="BJ17" s="15"/>
      <c r="BK17" s="15"/>
      <c r="BL17" s="15"/>
      <c r="BM17" s="20"/>
      <c r="BN17" s="42" t="str">
        <f t="shared" si="21"/>
        <v/>
      </c>
      <c r="BO17" s="42" t="str">
        <f t="shared" si="22"/>
        <v/>
      </c>
      <c r="BP17" s="42" t="str">
        <f t="shared" si="23"/>
        <v/>
      </c>
      <c r="BQ17" s="42" t="str">
        <f t="shared" si="24"/>
        <v/>
      </c>
      <c r="BR17" s="10" t="str">
        <f t="shared" si="25"/>
        <v/>
      </c>
      <c r="BS17" s="10" t="str">
        <f t="shared" si="26"/>
        <v/>
      </c>
      <c r="BT17" s="10" t="str">
        <f t="shared" si="27"/>
        <v/>
      </c>
      <c r="BU17" s="10" t="str">
        <f t="shared" si="28"/>
        <v/>
      </c>
      <c r="BV17" s="10" t="str">
        <f t="shared" si="29"/>
        <v/>
      </c>
      <c r="BW17" s="10" t="str">
        <f t="shared" si="30"/>
        <v/>
      </c>
      <c r="BX17" s="10" t="str">
        <f t="shared" si="31"/>
        <v/>
      </c>
      <c r="BY17" s="10" t="str">
        <f t="shared" si="32"/>
        <v/>
      </c>
      <c r="BZ17" s="10" t="str">
        <f t="shared" si="33"/>
        <v/>
      </c>
      <c r="CA17" s="34" t="str">
        <f t="shared" si="34"/>
        <v/>
      </c>
      <c r="CB17" s="34" t="str">
        <f t="shared" si="35"/>
        <v/>
      </c>
      <c r="CC17" s="14"/>
      <c r="CD17" s="14"/>
      <c r="CE17" s="14"/>
      <c r="CF17" s="14"/>
      <c r="CG17" s="14"/>
      <c r="CH17" s="14"/>
      <c r="CI17" s="14"/>
      <c r="CJ17" s="14"/>
      <c r="CK17" s="14"/>
      <c r="CL17" s="14"/>
      <c r="CM17" s="14"/>
      <c r="CN17" s="14"/>
      <c r="CO17" s="14"/>
      <c r="CP17" s="14"/>
      <c r="CQ17" s="14"/>
      <c r="CR17" s="14"/>
      <c r="CS17" s="14"/>
      <c r="CT17" s="14"/>
      <c r="CU17" s="14"/>
      <c r="CV17" s="14"/>
      <c r="CW17" s="27" t="str">
        <f t="shared" si="36"/>
        <v/>
      </c>
      <c r="CX17" s="27" t="str">
        <f t="shared" si="37"/>
        <v/>
      </c>
      <c r="CY17" s="27" t="str">
        <f t="shared" si="38"/>
        <v/>
      </c>
      <c r="CZ17" s="27" t="str">
        <f t="shared" si="39"/>
        <v/>
      </c>
      <c r="DA17" s="27" t="str">
        <f t="shared" si="40"/>
        <v/>
      </c>
      <c r="DB17" s="27" t="str">
        <f t="shared" si="41"/>
        <v/>
      </c>
      <c r="DC17" s="27" t="str">
        <f t="shared" si="42"/>
        <v/>
      </c>
      <c r="DD17" s="27" t="str">
        <f t="shared" si="43"/>
        <v/>
      </c>
      <c r="DE17" s="27" t="str">
        <f t="shared" si="44"/>
        <v/>
      </c>
      <c r="DF17" s="27" t="str">
        <f t="shared" si="45"/>
        <v/>
      </c>
      <c r="DG17" s="27" t="str">
        <f t="shared" si="46"/>
        <v/>
      </c>
      <c r="DH17" s="27" t="str">
        <f t="shared" si="47"/>
        <v/>
      </c>
      <c r="DI17" s="27" t="str">
        <f t="shared" si="48"/>
        <v/>
      </c>
      <c r="DJ17" s="27" t="str">
        <f t="shared" si="49"/>
        <v/>
      </c>
      <c r="DK17" s="27" t="str">
        <f t="shared" si="50"/>
        <v/>
      </c>
      <c r="DL17" s="15"/>
      <c r="DM17" s="15"/>
      <c r="DN17" s="15"/>
      <c r="DO17" s="15"/>
      <c r="DP17" s="15"/>
      <c r="DQ17" s="15"/>
      <c r="DR17" s="15"/>
      <c r="DS17" s="15"/>
      <c r="DT17" s="15"/>
      <c r="DU17" s="15"/>
      <c r="DV17" s="15"/>
      <c r="DW17" s="15"/>
      <c r="DX17" s="15"/>
      <c r="DY17" s="15"/>
      <c r="DZ17" s="15"/>
      <c r="EA17" s="15"/>
      <c r="EB17" s="15"/>
      <c r="EC17" s="15"/>
      <c r="ED17" s="15"/>
      <c r="EE17" s="15"/>
      <c r="EF17" s="10" t="str">
        <f t="shared" si="51"/>
        <v/>
      </c>
      <c r="EG17" s="10" t="str">
        <f t="shared" si="52"/>
        <v/>
      </c>
      <c r="EH17" s="10" t="str">
        <f t="shared" si="53"/>
        <v/>
      </c>
      <c r="EI17" s="10" t="str">
        <f t="shared" si="54"/>
        <v/>
      </c>
      <c r="EJ17" s="10" t="str">
        <f t="shared" si="55"/>
        <v/>
      </c>
      <c r="EK17" s="10" t="str">
        <f t="shared" si="56"/>
        <v/>
      </c>
      <c r="EL17" s="10" t="str">
        <f t="shared" si="57"/>
        <v/>
      </c>
      <c r="EM17" s="10" t="str">
        <f t="shared" si="58"/>
        <v/>
      </c>
      <c r="EN17" s="10" t="str">
        <f t="shared" si="59"/>
        <v/>
      </c>
      <c r="EO17" s="10" t="str">
        <f t="shared" si="60"/>
        <v/>
      </c>
      <c r="EP17" s="10" t="str">
        <f t="shared" si="61"/>
        <v/>
      </c>
      <c r="EQ17" s="10" t="str">
        <f t="shared" si="62"/>
        <v/>
      </c>
      <c r="ER17" s="10" t="str">
        <f t="shared" si="63"/>
        <v/>
      </c>
      <c r="ES17" s="10" t="str">
        <f t="shared" si="64"/>
        <v/>
      </c>
      <c r="ET17" s="10" t="str">
        <f t="shared" si="65"/>
        <v/>
      </c>
    </row>
    <row r="18" spans="1:150" x14ac:dyDescent="0.2">
      <c r="A18" s="3" t="str" cm="1">
        <f t="array" ref="A18">IF(AND(H18&lt;&gt;"",H18&lt;&gt;"No DD"),SUMPRODUCT((H$4:H$22&lt;&gt;"")*(H$4:H$22&lt;&gt;"No DD")*(E$4:E$22&gt;E18))+1,IF(H18="No DD",SUMPRODUCT((H$4:H$22="No DD")*(E$4:E$22&gt;E18))+1+SUMPRODUCT((H$4:H$22&lt;&gt;"")*(H$4:H$22&lt;&gt;"No DD")),""))</f>
        <v/>
      </c>
      <c r="B18" s="4" t="s">
        <v>59</v>
      </c>
      <c r="C18" s="3" t="s">
        <v>6</v>
      </c>
      <c r="D18" s="3">
        <v>2009</v>
      </c>
      <c r="E18" s="8">
        <f t="shared" si="0"/>
        <v>68.100004470004464</v>
      </c>
      <c r="F18" s="2" t="str">
        <f>IF(OR(AND(AO18&lt;&gt;"",AO18&gt;=AV$27,AN18&gt;=AV$24),AND(AU18&lt;&gt;"",AU18&gt;=AV$27,AT18&gt;=AV$24),AND(BS18&lt;&gt;"",BS18&gt;=BZ$27,BR18&gt;=BZ$24),AND(BY18&lt;&gt;"",BY18&gt;=BZ$27,BX18&gt;=BZ$24),AND(DB18&lt;&gt;"",DB18&gt;=DK$27,DA18&gt;=DK$24),AND(DJ18&lt;&gt;"",DJ18&gt;=DK$27,DI18&gt;=DK$24),AND(EK18&lt;&gt;"",EK18&gt;=ET$27,EJ18&gt;=ET$24),AND(ES18&lt;&gt;"",ES18&gt;=ET$27,ER18&gt;=ET$24)),"P","")</f>
        <v/>
      </c>
      <c r="G18" s="2" t="str">
        <f>IF(OR(AND(AO18&lt;&gt;"",AO18&gt;=AV$27),AND(AU18&lt;&gt;"",AU18&gt;=AV$27),AND(BS18&lt;&gt;"",BS18&gt;=BZ$27),AND(BY18&lt;&gt;"",BY18&gt;=BZ$27),AND(DB18&lt;&gt;"",DB18&gt;=DK$27),AND(DJ18&lt;&gt;"",DJ18&gt;=DK$27),AND(EK18&lt;&gt;"",EK18&gt;=ET$27),AND(ES18&lt;&gt;"",ES18&gt;=ET$27)),"P","")</f>
        <v/>
      </c>
      <c r="H18" s="26" t="str">
        <f>IF(AND(G18="P",F18=""),"No DD",IF(OR(AND(AK18&lt;&gt;"",AK18&gt;=AV$29,AJ18&gt;=AV$26),AND(AM18&lt;&gt;"",AM18&gt;=AV$29,AL18&gt;=AV$26),AND(AQ18&lt;&gt;"",AQ18&gt;=AV$29,AP18&gt;=AV$26),AND(AS18&lt;&gt;"",AS18&gt;=AV$29,AR18&gt;=AV$26),AND(BO18&lt;&gt;"",BO18&gt;=BZ$29,BN18&gt;=BZ$26),AND(BQ18&lt;&gt;"",BQ18&gt;=BZ$29,BP18&gt;=BZ$26),AND(BV18&lt;&gt;"",BV18&gt;=BZ$29,BU18&gt;=BZ$26),AND(BX18&lt;&gt;"",BX18&gt;=BZ$29,BW18&gt;=BZ$26),AND(CX18&lt;&gt;"",CX18&gt;=DK$29,CW18&gt;=DK$26),AND(CZ18&lt;&gt;"",CZ18&gt;=DK$29,CY18&gt;=DK$26),AND(DD18&lt;&gt;"",DD18&gt;=DK$29,DC18&gt;=DK$26),AND(DF18&lt;&gt;"",DF18&gt;=DK$29,DE18&gt;=DK$26),AND(DH18&lt;&gt;"",DH18&gt;=DK$29,DG18&gt;=DK$26),AND(EG18&lt;&gt;"",EG18&gt;=ET$29,EF18&gt;=ET$26),AND(EI18&lt;&gt;"",EI18&gt;=ET$29,EH18&gt;=ET$26),AND(EM18&lt;&gt;"",EM18&gt;=ET$29,EL18&gt;=ET$26),AND(EO18&lt;&gt;"",EO18&gt;=ET$29,EN18&gt;=ET$26),AND(EQ18&lt;&gt;"",EQ18&gt;=ET$29,EP18&gt;=ET$26)),"Performance",IF(I18="P","Worlds Team",IF(F18="P","National Team",""))))</f>
        <v/>
      </c>
      <c r="I18" s="2" t="str">
        <f>IF(OR(AND(AO18&lt;&gt;"",AO18&gt;=AV$28,AN18&gt;=AV$25),AND(AU18&lt;&gt;"",AU18&gt;=AV$28,AT18&gt;=AV$25),AND(BS18&lt;&gt;"",BS18&gt;=BZ$28,BR18&gt;=BZ$25),AND(BY18&lt;&gt;"",BY18&gt;=BZ$28,BX18&gt;=BZ$25),AND(DB18&lt;&gt;"",DB18&gt;=DK$28,DA18&gt;=DK$25),AND(DJ18&lt;&gt;"",DJ18&gt;=DK$28,DI18&gt;=DK$25),AND(EK18&lt;&gt;"",EK18&gt;=ET$28,EJ18&gt;=ET$25),AND(ES18&lt;&gt;"",ES18&gt;=ET$28,ER18&gt;=ET$25)),"P","")</f>
        <v/>
      </c>
      <c r="J18" s="7">
        <f t="shared" si="1"/>
        <v>44.7</v>
      </c>
      <c r="K18" s="7" t="str">
        <f t="shared" si="2"/>
        <v>2026 Elite Canada</v>
      </c>
      <c r="L18" s="7">
        <f>IF(J18=AO18,IF(COUNT(AQ18,AS18,BO18,BQ18,BU18,BW18)&gt;1,LARGE((AQ18,AS18,BO18,BQ18,BU18,BW18),1),0),IF(COUNT(AK18,AM18,AQ18,AS18,BU18,BW18)&gt;1,LARGE((AK18,AM18,AQ18,AS18,BU18,BW18),1),0))</f>
        <v>0</v>
      </c>
      <c r="M18" s="7" t="str">
        <f t="shared" si="3"/>
        <v/>
      </c>
      <c r="N18" s="7">
        <f>IF(J18=AO18,IF(COUNT(AQ18,AS18,BO18,BQ18,BU18,BW18)&gt;1,LARGE((AQ18,AS18,BO18,BQ18,BU18,BW18),2),0),IF(COUNT(AK18,AM18,AQ18,AS18,BU18,BW18)&gt;1,LARGE((AK18,AM18,AQ18,AS18,BU18,BW18),2),0))</f>
        <v>0</v>
      </c>
      <c r="O18" s="7" t="str">
        <f t="shared" si="4"/>
        <v/>
      </c>
      <c r="P18" s="7">
        <f t="shared" si="5"/>
        <v>23.4</v>
      </c>
      <c r="Q18" s="10" t="str">
        <f t="shared" si="6"/>
        <v>(Pass)</v>
      </c>
      <c r="R18" s="7" t="str">
        <f t="shared" si="7"/>
        <v>2025 WAGC (Nov 16)</v>
      </c>
      <c r="S18" s="38">
        <v>18</v>
      </c>
      <c r="T18" s="38">
        <v>5.6</v>
      </c>
      <c r="U18" s="38">
        <v>0.2</v>
      </c>
      <c r="V18" s="38">
        <v>0</v>
      </c>
      <c r="W18" s="38">
        <v>17.7</v>
      </c>
      <c r="X18" s="38">
        <v>4.4000000000000004</v>
      </c>
      <c r="Y18" s="38">
        <v>0.8</v>
      </c>
      <c r="Z18" s="38">
        <v>0</v>
      </c>
      <c r="AA18" s="38" t="s">
        <v>175</v>
      </c>
      <c r="AB18" s="38" t="s">
        <v>175</v>
      </c>
      <c r="AC18" s="38" t="s">
        <v>175</v>
      </c>
      <c r="AD18" s="38" t="s">
        <v>175</v>
      </c>
      <c r="AE18" s="38" t="s">
        <v>175</v>
      </c>
      <c r="AF18" s="38" t="s">
        <v>175</v>
      </c>
      <c r="AG18" s="38" t="s">
        <v>175</v>
      </c>
      <c r="AH18" s="38" t="s">
        <v>175</v>
      </c>
      <c r="AI18" s="19"/>
      <c r="AJ18" s="41">
        <f t="shared" si="8"/>
        <v>5.6</v>
      </c>
      <c r="AK18" s="41">
        <f t="shared" si="9"/>
        <v>23.400000000000002</v>
      </c>
      <c r="AL18" s="41">
        <f t="shared" si="10"/>
        <v>4.4000000000000004</v>
      </c>
      <c r="AM18" s="41">
        <f t="shared" si="11"/>
        <v>21.3</v>
      </c>
      <c r="AN18" s="27">
        <f t="shared" si="12"/>
        <v>10</v>
      </c>
      <c r="AO18" s="27">
        <f t="shared" si="13"/>
        <v>44.7</v>
      </c>
      <c r="AP18" s="27" t="str">
        <f t="shared" si="14"/>
        <v/>
      </c>
      <c r="AQ18" s="27" t="str">
        <f t="shared" si="15"/>
        <v/>
      </c>
      <c r="AR18" s="27" t="str">
        <f t="shared" si="16"/>
        <v/>
      </c>
      <c r="AS18" s="27" t="str">
        <f t="shared" si="17"/>
        <v/>
      </c>
      <c r="AT18" s="27" t="str">
        <f t="shared" si="18"/>
        <v/>
      </c>
      <c r="AU18" s="27" t="str">
        <f t="shared" si="19"/>
        <v/>
      </c>
      <c r="AV18" s="27">
        <f t="shared" si="20"/>
        <v>44.7</v>
      </c>
      <c r="AW18" s="15"/>
      <c r="AX18" s="15"/>
      <c r="AY18" s="15"/>
      <c r="AZ18" s="15"/>
      <c r="BA18" s="15"/>
      <c r="BB18" s="15"/>
      <c r="BC18" s="15"/>
      <c r="BD18" s="15"/>
      <c r="BE18" s="15"/>
      <c r="BF18" s="15"/>
      <c r="BG18" s="15"/>
      <c r="BH18" s="15"/>
      <c r="BI18" s="15"/>
      <c r="BJ18" s="15"/>
      <c r="BK18" s="15"/>
      <c r="BL18" s="15"/>
      <c r="BM18" s="20"/>
      <c r="BN18" s="42" t="str">
        <f t="shared" si="21"/>
        <v/>
      </c>
      <c r="BO18" s="42" t="str">
        <f t="shared" si="22"/>
        <v/>
      </c>
      <c r="BP18" s="42" t="str">
        <f t="shared" si="23"/>
        <v/>
      </c>
      <c r="BQ18" s="42" t="str">
        <f t="shared" si="24"/>
        <v/>
      </c>
      <c r="BR18" s="10" t="str">
        <f t="shared" si="25"/>
        <v/>
      </c>
      <c r="BS18" s="10" t="str">
        <f t="shared" si="26"/>
        <v/>
      </c>
      <c r="BT18" s="10" t="str">
        <f t="shared" si="27"/>
        <v/>
      </c>
      <c r="BU18" s="10" t="str">
        <f t="shared" si="28"/>
        <v/>
      </c>
      <c r="BV18" s="10" t="str">
        <f t="shared" si="29"/>
        <v/>
      </c>
      <c r="BW18" s="10" t="str">
        <f t="shared" si="30"/>
        <v/>
      </c>
      <c r="BX18" s="10" t="str">
        <f t="shared" si="31"/>
        <v/>
      </c>
      <c r="BY18" s="10" t="str">
        <f t="shared" si="32"/>
        <v/>
      </c>
      <c r="BZ18" s="10" t="str">
        <f t="shared" si="33"/>
        <v/>
      </c>
      <c r="CA18" s="34">
        <f t="shared" si="34"/>
        <v>0.5</v>
      </c>
      <c r="CB18" s="34">
        <f t="shared" si="35"/>
        <v>23.4</v>
      </c>
      <c r="CC18" s="14"/>
      <c r="CD18" s="14"/>
      <c r="CE18" s="14"/>
      <c r="CF18" s="14"/>
      <c r="CG18" s="14"/>
      <c r="CH18" s="14"/>
      <c r="CI18" s="14"/>
      <c r="CJ18" s="14"/>
      <c r="CK18" s="14"/>
      <c r="CL18" s="14"/>
      <c r="CM18" s="14"/>
      <c r="CN18" s="14"/>
      <c r="CO18" s="14"/>
      <c r="CP18" s="14"/>
      <c r="CQ18" s="14"/>
      <c r="CR18" s="14"/>
      <c r="CS18" s="14"/>
      <c r="CT18" s="14"/>
      <c r="CU18" s="14"/>
      <c r="CV18" s="14"/>
      <c r="CW18" s="27" t="str">
        <f t="shared" si="36"/>
        <v/>
      </c>
      <c r="CX18" s="27" t="str">
        <f t="shared" si="37"/>
        <v/>
      </c>
      <c r="CY18" s="27" t="str">
        <f t="shared" si="38"/>
        <v/>
      </c>
      <c r="CZ18" s="27" t="str">
        <f t="shared" si="39"/>
        <v/>
      </c>
      <c r="DA18" s="27" t="str">
        <f t="shared" si="40"/>
        <v/>
      </c>
      <c r="DB18" s="27" t="str">
        <f t="shared" si="41"/>
        <v/>
      </c>
      <c r="DC18" s="27" t="str">
        <f t="shared" si="42"/>
        <v/>
      </c>
      <c r="DD18" s="27" t="str">
        <f t="shared" si="43"/>
        <v/>
      </c>
      <c r="DE18" s="27" t="str">
        <f t="shared" si="44"/>
        <v/>
      </c>
      <c r="DF18" s="27" t="str">
        <f t="shared" si="45"/>
        <v/>
      </c>
      <c r="DG18" s="27" t="str">
        <f t="shared" si="46"/>
        <v/>
      </c>
      <c r="DH18" s="27" t="str">
        <f t="shared" si="47"/>
        <v/>
      </c>
      <c r="DI18" s="27" t="str">
        <f t="shared" si="48"/>
        <v/>
      </c>
      <c r="DJ18" s="27" t="str">
        <f t="shared" si="49"/>
        <v/>
      </c>
      <c r="DK18" s="27" t="str">
        <f t="shared" si="50"/>
        <v/>
      </c>
      <c r="DL18" s="15">
        <v>18.399999999999999</v>
      </c>
      <c r="DM18" s="15">
        <v>5.2</v>
      </c>
      <c r="DN18" s="15">
        <v>0.2</v>
      </c>
      <c r="DO18" s="15">
        <v>0</v>
      </c>
      <c r="DP18" s="15">
        <v>18.399999999999999</v>
      </c>
      <c r="DQ18" s="15">
        <v>3.6</v>
      </c>
      <c r="DR18" s="15">
        <v>0.2</v>
      </c>
      <c r="DS18" s="15">
        <v>0</v>
      </c>
      <c r="DT18" s="15"/>
      <c r="DU18" s="15"/>
      <c r="DV18" s="15"/>
      <c r="DW18" s="15"/>
      <c r="DX18" s="15"/>
      <c r="DY18" s="15"/>
      <c r="DZ18" s="15"/>
      <c r="EA18" s="15"/>
      <c r="EB18" s="15"/>
      <c r="EC18" s="15"/>
      <c r="ED18" s="15"/>
      <c r="EE18" s="15"/>
      <c r="EF18" s="10">
        <f t="shared" si="51"/>
        <v>5.2</v>
      </c>
      <c r="EG18" s="10">
        <f t="shared" si="52"/>
        <v>23.4</v>
      </c>
      <c r="EH18" s="10">
        <f t="shared" si="53"/>
        <v>3.6</v>
      </c>
      <c r="EI18" s="10">
        <f t="shared" si="54"/>
        <v>21.8</v>
      </c>
      <c r="EJ18" s="10">
        <f t="shared" si="55"/>
        <v>8.8000000000000007</v>
      </c>
      <c r="EK18" s="10">
        <f t="shared" si="56"/>
        <v>45.2</v>
      </c>
      <c r="EL18" s="10" t="str">
        <f t="shared" si="57"/>
        <v/>
      </c>
      <c r="EM18" s="10" t="str">
        <f t="shared" si="58"/>
        <v/>
      </c>
      <c r="EN18" s="10" t="str">
        <f t="shared" si="59"/>
        <v/>
      </c>
      <c r="EO18" s="10" t="str">
        <f t="shared" si="60"/>
        <v/>
      </c>
      <c r="EP18" s="10" t="str">
        <f t="shared" si="61"/>
        <v/>
      </c>
      <c r="EQ18" s="10" t="str">
        <f t="shared" si="62"/>
        <v/>
      </c>
      <c r="ER18" s="10" t="str">
        <f t="shared" si="63"/>
        <v/>
      </c>
      <c r="ES18" s="10" t="str">
        <f t="shared" si="64"/>
        <v/>
      </c>
      <c r="ET18" s="10">
        <f t="shared" si="65"/>
        <v>45.2</v>
      </c>
    </row>
    <row r="19" spans="1:150" x14ac:dyDescent="0.2">
      <c r="A19" s="3" t="str" cm="1">
        <f t="array" ref="A19">IF(AND(H19&lt;&gt;"",H19&lt;&gt;"No DD"),SUMPRODUCT((H$4:H$22&lt;&gt;"")*(H$4:H$22&lt;&gt;"No DD")*(E$4:E$22&gt;E19))+1,IF(H19="No DD",SUMPRODUCT((H$4:H$22="No DD")*(E$4:E$22&gt;E19))+1+SUMPRODUCT((H$4:H$22&lt;&gt;"")*(H$4:H$22&lt;&gt;"No DD")),""))</f>
        <v/>
      </c>
      <c r="B19" s="4" t="s">
        <v>106</v>
      </c>
      <c r="C19" s="3" t="s">
        <v>4</v>
      </c>
      <c r="D19" s="3">
        <v>2005</v>
      </c>
      <c r="E19" s="8">
        <f t="shared" si="0"/>
        <v>46.8</v>
      </c>
      <c r="F19" s="2" t="str">
        <f>IF(OR(AND(AO19&lt;&gt;"",AO19&gt;=AV$27,AN19&gt;=AV$24),AND(AU19&lt;&gt;"",AU19&gt;=AV$27,AT19&gt;=AV$24),AND(BS19&lt;&gt;"",BS19&gt;=BZ$27,BR19&gt;=BZ$24),AND(BY19&lt;&gt;"",BY19&gt;=BZ$27,BX19&gt;=BZ$24),AND(DB19&lt;&gt;"",DB19&gt;=DK$27,DA19&gt;=DK$24),AND(DJ19&lt;&gt;"",DJ19&gt;=DK$27,DI19&gt;=DK$24),AND(EK19&lt;&gt;"",EK19&gt;=ET$27,EJ19&gt;=ET$24),AND(ES19&lt;&gt;"",ES19&gt;=ET$27,ER19&gt;=ET$24)),"P","")</f>
        <v/>
      </c>
      <c r="G19" s="2" t="str">
        <f>IF(OR(AND(AO19&lt;&gt;"",AO19&gt;=AV$27),AND(AU19&lt;&gt;"",AU19&gt;=AV$27),AND(BS19&lt;&gt;"",BS19&gt;=BZ$27),AND(BY19&lt;&gt;"",BY19&gt;=BZ$27),AND(DB19&lt;&gt;"",DB19&gt;=DK$27),AND(DJ19&lt;&gt;"",DJ19&gt;=DK$27),AND(EK19&lt;&gt;"",EK19&gt;=ET$27),AND(ES19&lt;&gt;"",ES19&gt;=ET$27)),"P","")</f>
        <v/>
      </c>
      <c r="H19" s="26" t="str">
        <f>IF(AND(G19="P",F19=""),"No DD",IF(OR(AND(AK19&lt;&gt;"",AK19&gt;=AV$29,AJ19&gt;=AV$26),AND(AM19&lt;&gt;"",AM19&gt;=AV$29,AL19&gt;=AV$26),AND(AQ19&lt;&gt;"",AQ19&gt;=AV$29,AP19&gt;=AV$26),AND(AS19&lt;&gt;"",AS19&gt;=AV$29,AR19&gt;=AV$26),AND(BO19&lt;&gt;"",BO19&gt;=BZ$29,BN19&gt;=BZ$26),AND(BQ19&lt;&gt;"",BQ19&gt;=BZ$29,BP19&gt;=BZ$26),AND(BV19&lt;&gt;"",BV19&gt;=BZ$29,BU19&gt;=BZ$26),AND(BX19&lt;&gt;"",BX19&gt;=BZ$29,BW19&gt;=BZ$26),AND(CX19&lt;&gt;"",CX19&gt;=DK$29,CW19&gt;=DK$26),AND(CZ19&lt;&gt;"",CZ19&gt;=DK$29,CY19&gt;=DK$26),AND(DD19&lt;&gt;"",DD19&gt;=DK$29,DC19&gt;=DK$26),AND(DF19&lt;&gt;"",DF19&gt;=DK$29,DE19&gt;=DK$26),AND(DH19&lt;&gt;"",DH19&gt;=DK$29,DG19&gt;=DK$26),AND(EG19&lt;&gt;"",EG19&gt;=ET$29,EF19&gt;=ET$26),AND(EI19&lt;&gt;"",EI19&gt;=ET$29,EH19&gt;=ET$26),AND(EM19&lt;&gt;"",EM19&gt;=ET$29,EL19&gt;=ET$26),AND(EO19&lt;&gt;"",EO19&gt;=ET$29,EN19&gt;=ET$26),AND(EQ19&lt;&gt;"",EQ19&gt;=ET$29,EP19&gt;=ET$26)),"Performance",IF(I19="P","Worlds Team",IF(F19="P","National Team",""))))</f>
        <v/>
      </c>
      <c r="I19" s="2" t="str">
        <f>IF(OR(AND(AO19&lt;&gt;"",AO19&gt;=AV$28,AN19&gt;=AV$25),AND(AU19&lt;&gt;"",AU19&gt;=AV$28,AT19&gt;=AV$25),AND(BS19&lt;&gt;"",BS19&gt;=BZ$28,BR19&gt;=BZ$25),AND(BY19&lt;&gt;"",BY19&gt;=BZ$28,BX19&gt;=BZ$25),AND(DB19&lt;&gt;"",DB19&gt;=DK$28,DA19&gt;=DK$25),AND(DJ19&lt;&gt;"",DJ19&gt;=DK$28,DI19&gt;=DK$25),AND(EK19&lt;&gt;"",EK19&gt;=ET$28,EJ19&gt;=ET$25),AND(ES19&lt;&gt;"",ES19&gt;=ET$28,ER19&gt;=ET$25)),"P","")</f>
        <v/>
      </c>
      <c r="J19" s="7">
        <f t="shared" si="1"/>
        <v>0</v>
      </c>
      <c r="K19" s="7" t="str">
        <f t="shared" si="2"/>
        <v/>
      </c>
      <c r="L19" s="7">
        <f>IF(J19=AO19,IF(COUNT(AQ19,AS19,BO19,BQ19,BU19,BW19)&gt;1,LARGE((AQ19,AS19,BO19,BQ19,BU19,BW19),1),0),IF(COUNT(AK19,AM19,AQ19,AS19,BU19,BW19)&gt;1,LARGE((AK19,AM19,AQ19,AS19,BU19,BW19),1),0))</f>
        <v>0</v>
      </c>
      <c r="M19" s="7" t="str">
        <f t="shared" si="3"/>
        <v/>
      </c>
      <c r="N19" s="7">
        <f>IF(J19=AO19,IF(COUNT(AQ19,AS19,BO19,BQ19,BU19,BW19)&gt;1,LARGE((AQ19,AS19,BO19,BQ19,BU19,BW19),2),0),IF(COUNT(AK19,AM19,AQ19,AS19,BU19,BW19)&gt;1,LARGE((AK19,AM19,AQ19,AS19,BU19,BW19),2),0))</f>
        <v>0</v>
      </c>
      <c r="O19" s="7" t="str">
        <f t="shared" si="4"/>
        <v/>
      </c>
      <c r="P19" s="7">
        <f t="shared" si="5"/>
        <v>46.8</v>
      </c>
      <c r="Q19" s="10" t="str">
        <f t="shared" si="6"/>
        <v>(Q1)</v>
      </c>
      <c r="R19" s="7" t="str">
        <f t="shared" si="7"/>
        <v>2025 WAGC (Nov 16)</v>
      </c>
      <c r="S19" s="38">
        <v>0</v>
      </c>
      <c r="T19" s="38">
        <v>0</v>
      </c>
      <c r="U19" s="38">
        <v>0</v>
      </c>
      <c r="V19" s="38">
        <v>0</v>
      </c>
      <c r="W19" s="38">
        <v>0</v>
      </c>
      <c r="X19" s="38">
        <v>0</v>
      </c>
      <c r="Y19" s="38">
        <v>0</v>
      </c>
      <c r="Z19" s="38">
        <v>0</v>
      </c>
      <c r="AA19" s="38" t="s">
        <v>175</v>
      </c>
      <c r="AB19" s="38" t="s">
        <v>175</v>
      </c>
      <c r="AC19" s="38" t="s">
        <v>175</v>
      </c>
      <c r="AD19" s="38" t="s">
        <v>175</v>
      </c>
      <c r="AE19" s="38" t="s">
        <v>175</v>
      </c>
      <c r="AF19" s="38" t="s">
        <v>175</v>
      </c>
      <c r="AG19" s="38" t="s">
        <v>175</v>
      </c>
      <c r="AH19" s="38" t="s">
        <v>175</v>
      </c>
      <c r="AI19" s="19"/>
      <c r="AJ19" s="41">
        <f t="shared" si="8"/>
        <v>0</v>
      </c>
      <c r="AK19" s="41">
        <f t="shared" si="9"/>
        <v>0</v>
      </c>
      <c r="AL19" s="41">
        <f t="shared" si="10"/>
        <v>0</v>
      </c>
      <c r="AM19" s="41">
        <f t="shared" si="11"/>
        <v>0</v>
      </c>
      <c r="AN19" s="27" t="str">
        <f t="shared" si="12"/>
        <v/>
      </c>
      <c r="AO19" s="27" t="str">
        <f t="shared" si="13"/>
        <v/>
      </c>
      <c r="AP19" s="27" t="str">
        <f t="shared" si="14"/>
        <v/>
      </c>
      <c r="AQ19" s="27" t="str">
        <f t="shared" si="15"/>
        <v/>
      </c>
      <c r="AR19" s="27" t="str">
        <f t="shared" si="16"/>
        <v/>
      </c>
      <c r="AS19" s="27" t="str">
        <f t="shared" si="17"/>
        <v/>
      </c>
      <c r="AT19" s="27" t="str">
        <f t="shared" si="18"/>
        <v/>
      </c>
      <c r="AU19" s="27" t="str">
        <f t="shared" si="19"/>
        <v/>
      </c>
      <c r="AV19" s="27" t="str">
        <f t="shared" si="20"/>
        <v/>
      </c>
      <c r="AW19" s="15"/>
      <c r="AX19" s="15"/>
      <c r="AY19" s="15"/>
      <c r="AZ19" s="15"/>
      <c r="BA19" s="15"/>
      <c r="BB19" s="15"/>
      <c r="BC19" s="15"/>
      <c r="BD19" s="15"/>
      <c r="BE19" s="15"/>
      <c r="BF19" s="15"/>
      <c r="BG19" s="15"/>
      <c r="BH19" s="15"/>
      <c r="BI19" s="15"/>
      <c r="BJ19" s="15"/>
      <c r="BK19" s="15"/>
      <c r="BL19" s="15"/>
      <c r="BM19" s="20"/>
      <c r="BN19" s="42" t="str">
        <f t="shared" si="21"/>
        <v/>
      </c>
      <c r="BO19" s="42" t="str">
        <f t="shared" si="22"/>
        <v/>
      </c>
      <c r="BP19" s="42" t="str">
        <f t="shared" si="23"/>
        <v/>
      </c>
      <c r="BQ19" s="42" t="str">
        <f t="shared" si="24"/>
        <v/>
      </c>
      <c r="BR19" s="10" t="str">
        <f t="shared" si="25"/>
        <v/>
      </c>
      <c r="BS19" s="10" t="str">
        <f t="shared" si="26"/>
        <v/>
      </c>
      <c r="BT19" s="10" t="str">
        <f t="shared" si="27"/>
        <v/>
      </c>
      <c r="BU19" s="10" t="str">
        <f t="shared" si="28"/>
        <v/>
      </c>
      <c r="BV19" s="10" t="str">
        <f t="shared" si="29"/>
        <v/>
      </c>
      <c r="BW19" s="10" t="str">
        <f t="shared" si="30"/>
        <v/>
      </c>
      <c r="BX19" s="10" t="str">
        <f t="shared" si="31"/>
        <v/>
      </c>
      <c r="BY19" s="10" t="str">
        <f t="shared" si="32"/>
        <v/>
      </c>
      <c r="BZ19" s="10" t="str">
        <f t="shared" si="33"/>
        <v/>
      </c>
      <c r="CA19" s="34">
        <f t="shared" si="34"/>
        <v>46.8</v>
      </c>
      <c r="CB19" s="34">
        <f t="shared" si="35"/>
        <v>24.2</v>
      </c>
      <c r="CC19" s="14"/>
      <c r="CD19" s="14"/>
      <c r="CE19" s="14"/>
      <c r="CF19" s="14"/>
      <c r="CG19" s="14"/>
      <c r="CH19" s="14"/>
      <c r="CI19" s="14"/>
      <c r="CJ19" s="14"/>
      <c r="CK19" s="14"/>
      <c r="CL19" s="14"/>
      <c r="CM19" s="14"/>
      <c r="CN19" s="14"/>
      <c r="CO19" s="14"/>
      <c r="CP19" s="14"/>
      <c r="CQ19" s="14"/>
      <c r="CR19" s="14"/>
      <c r="CS19" s="14"/>
      <c r="CT19" s="14"/>
      <c r="CU19" s="14"/>
      <c r="CV19" s="14"/>
      <c r="CW19" s="27" t="str">
        <f t="shared" si="36"/>
        <v/>
      </c>
      <c r="CX19" s="27" t="str">
        <f t="shared" si="37"/>
        <v/>
      </c>
      <c r="CY19" s="27" t="str">
        <f t="shared" si="38"/>
        <v/>
      </c>
      <c r="CZ19" s="27" t="str">
        <f t="shared" si="39"/>
        <v/>
      </c>
      <c r="DA19" s="27" t="str">
        <f t="shared" si="40"/>
        <v/>
      </c>
      <c r="DB19" s="27" t="str">
        <f t="shared" si="41"/>
        <v/>
      </c>
      <c r="DC19" s="27" t="str">
        <f t="shared" si="42"/>
        <v/>
      </c>
      <c r="DD19" s="27" t="str">
        <f t="shared" si="43"/>
        <v/>
      </c>
      <c r="DE19" s="27" t="str">
        <f t="shared" si="44"/>
        <v/>
      </c>
      <c r="DF19" s="27" t="str">
        <f t="shared" si="45"/>
        <v/>
      </c>
      <c r="DG19" s="27" t="str">
        <f t="shared" si="46"/>
        <v/>
      </c>
      <c r="DH19" s="27" t="str">
        <f t="shared" si="47"/>
        <v/>
      </c>
      <c r="DI19" s="27" t="str">
        <f t="shared" si="48"/>
        <v/>
      </c>
      <c r="DJ19" s="27" t="str">
        <f t="shared" si="49"/>
        <v/>
      </c>
      <c r="DK19" s="27" t="str">
        <f t="shared" si="50"/>
        <v/>
      </c>
      <c r="DL19" s="15">
        <v>18</v>
      </c>
      <c r="DM19" s="15">
        <v>6.4</v>
      </c>
      <c r="DN19" s="15">
        <v>0.2</v>
      </c>
      <c r="DO19" s="15">
        <v>0</v>
      </c>
      <c r="DP19" s="15">
        <v>18.399999999999999</v>
      </c>
      <c r="DQ19" s="15">
        <v>5.2</v>
      </c>
      <c r="DR19" s="15">
        <v>1</v>
      </c>
      <c r="DS19" s="15">
        <v>0</v>
      </c>
      <c r="DT19" s="15"/>
      <c r="DU19" s="15"/>
      <c r="DV19" s="15"/>
      <c r="DW19" s="15"/>
      <c r="DX19" s="15"/>
      <c r="DY19" s="15"/>
      <c r="DZ19" s="15"/>
      <c r="EA19" s="15"/>
      <c r="EB19" s="15"/>
      <c r="EC19" s="15"/>
      <c r="ED19" s="15"/>
      <c r="EE19" s="15"/>
      <c r="EF19" s="10">
        <f t="shared" si="51"/>
        <v>6.4</v>
      </c>
      <c r="EG19" s="10">
        <f t="shared" si="52"/>
        <v>24.2</v>
      </c>
      <c r="EH19" s="10">
        <f t="shared" si="53"/>
        <v>5.2</v>
      </c>
      <c r="EI19" s="10">
        <f t="shared" si="54"/>
        <v>22.599999999999998</v>
      </c>
      <c r="EJ19" s="10">
        <f t="shared" si="55"/>
        <v>11.600000000000001</v>
      </c>
      <c r="EK19" s="10">
        <f t="shared" si="56"/>
        <v>46.8</v>
      </c>
      <c r="EL19" s="10" t="str">
        <f t="shared" si="57"/>
        <v/>
      </c>
      <c r="EM19" s="10" t="str">
        <f t="shared" si="58"/>
        <v/>
      </c>
      <c r="EN19" s="10" t="str">
        <f t="shared" si="59"/>
        <v/>
      </c>
      <c r="EO19" s="10" t="str">
        <f t="shared" si="60"/>
        <v/>
      </c>
      <c r="EP19" s="10" t="str">
        <f t="shared" si="61"/>
        <v/>
      </c>
      <c r="EQ19" s="10" t="str">
        <f t="shared" si="62"/>
        <v/>
      </c>
      <c r="ER19" s="10" t="str">
        <f t="shared" si="63"/>
        <v/>
      </c>
      <c r="ES19" s="10" t="str">
        <f t="shared" si="64"/>
        <v/>
      </c>
      <c r="ET19" s="10">
        <f t="shared" si="65"/>
        <v>46.8</v>
      </c>
    </row>
    <row r="20" spans="1:150" x14ac:dyDescent="0.2">
      <c r="A20" s="3" t="str" cm="1">
        <f t="array" ref="A20">IF(AND(H20&lt;&gt;"",H20&lt;&gt;"No DD"),SUMPRODUCT((H$4:H$22&lt;&gt;"")*(H$4:H$22&lt;&gt;"No DD")*(E$4:E$22&gt;E20))+1,IF(H20="No DD",SUMPRODUCT((H$4:H$22="No DD")*(E$4:E$22&gt;E20))+1+SUMPRODUCT((H$4:H$22&lt;&gt;"")*(H$4:H$22&lt;&gt;"No DD")),""))</f>
        <v/>
      </c>
      <c r="B20" s="4" t="s">
        <v>112</v>
      </c>
      <c r="C20" s="3" t="s">
        <v>4</v>
      </c>
      <c r="D20" s="3">
        <v>2008</v>
      </c>
      <c r="E20" s="8">
        <f t="shared" si="0"/>
        <v>45.099999999999994</v>
      </c>
      <c r="F20" s="2" t="str">
        <f>IF(OR(AND(AO20&lt;&gt;"",AO20&gt;=AV$27,AN20&gt;=AV$24),AND(AU20&lt;&gt;"",AU20&gt;=AV$27,AT20&gt;=AV$24),AND(BS20&lt;&gt;"",BS20&gt;=BZ$27,BR20&gt;=BZ$24),AND(BY20&lt;&gt;"",BY20&gt;=BZ$27,BX20&gt;=BZ$24),AND(DB20&lt;&gt;"",DB20&gt;=DK$27,DA20&gt;=DK$24),AND(DJ20&lt;&gt;"",DJ20&gt;=DK$27,DI20&gt;=DK$24),AND(EK20&lt;&gt;"",EK20&gt;=ET$27,EJ20&gt;=ET$24),AND(ES20&lt;&gt;"",ES20&gt;=ET$27,ER20&gt;=ET$24)),"P","")</f>
        <v/>
      </c>
      <c r="G20" s="2" t="str">
        <f>IF(OR(AND(AO20&lt;&gt;"",AO20&gt;=AV$27),AND(AU20&lt;&gt;"",AU20&gt;=AV$27),AND(BS20&lt;&gt;"",BS20&gt;=BZ$27),AND(BY20&lt;&gt;"",BY20&gt;=BZ$27),AND(DB20&lt;&gt;"",DB20&gt;=DK$27),AND(DJ20&lt;&gt;"",DJ20&gt;=DK$27),AND(EK20&lt;&gt;"",EK20&gt;=ET$27),AND(ES20&lt;&gt;"",ES20&gt;=ET$27)),"P","")</f>
        <v/>
      </c>
      <c r="H20" s="26" t="str">
        <f>IF(AND(G20="P",F20=""),"No DD",IF(OR(AND(AK20&lt;&gt;"",AK20&gt;=AV$29,AJ20&gt;=AV$26),AND(AM20&lt;&gt;"",AM20&gt;=AV$29,AL20&gt;=AV$26),AND(AQ20&lt;&gt;"",AQ20&gt;=AV$29,AP20&gt;=AV$26),AND(AS20&lt;&gt;"",AS20&gt;=AV$29,AR20&gt;=AV$26),AND(BO20&lt;&gt;"",BO20&gt;=BZ$29,BN20&gt;=BZ$26),AND(BQ20&lt;&gt;"",BQ20&gt;=BZ$29,BP20&gt;=BZ$26),AND(BV20&lt;&gt;"",BV20&gt;=BZ$29,BU20&gt;=BZ$26),AND(BX20&lt;&gt;"",BX20&gt;=BZ$29,BW20&gt;=BZ$26),AND(CX20&lt;&gt;"",CX20&gt;=DK$29,CW20&gt;=DK$26),AND(CZ20&lt;&gt;"",CZ20&gt;=DK$29,CY20&gt;=DK$26),AND(DD20&lt;&gt;"",DD20&gt;=DK$29,DC20&gt;=DK$26),AND(DF20&lt;&gt;"",DF20&gt;=DK$29,DE20&gt;=DK$26),AND(DH20&lt;&gt;"",DH20&gt;=DK$29,DG20&gt;=DK$26),AND(EG20&lt;&gt;"",EG20&gt;=ET$29,EF20&gt;=ET$26),AND(EI20&lt;&gt;"",EI20&gt;=ET$29,EH20&gt;=ET$26),AND(EM20&lt;&gt;"",EM20&gt;=ET$29,EL20&gt;=ET$26),AND(EO20&lt;&gt;"",EO20&gt;=ET$29,EN20&gt;=ET$26),AND(EQ20&lt;&gt;"",EQ20&gt;=ET$29,EP20&gt;=ET$26)),"Performance",IF(I20="P","Worlds Team",IF(F20="P","National Team",""))))</f>
        <v/>
      </c>
      <c r="I20" s="2" t="str">
        <f>IF(OR(AND(AO20&lt;&gt;"",AO20&gt;=AV$28,AN20&gt;=AV$25),AND(AU20&lt;&gt;"",AU20&gt;=AV$28,AT20&gt;=AV$25),AND(BS20&lt;&gt;"",BS20&gt;=BZ$28,BR20&gt;=BZ$25),AND(BY20&lt;&gt;"",BY20&gt;=BZ$28,BX20&gt;=BZ$25),AND(DB20&lt;&gt;"",DB20&gt;=DK$28,DA20&gt;=DK$25),AND(DJ20&lt;&gt;"",DJ20&gt;=DK$28,DI20&gt;=DK$25),AND(EK20&lt;&gt;"",EK20&gt;=ET$28,EJ20&gt;=ET$25),AND(ES20&lt;&gt;"",ES20&gt;=ET$28,ER20&gt;=ET$25)),"P","")</f>
        <v/>
      </c>
      <c r="J20" s="7">
        <f t="shared" si="1"/>
        <v>0</v>
      </c>
      <c r="K20" s="7" t="str">
        <f t="shared" si="2"/>
        <v/>
      </c>
      <c r="L20" s="7">
        <f>IF(J20=AO20,IF(COUNT(AQ20,AS20,BO20,BQ20,BU20,BW20)&gt;1,LARGE((AQ20,AS20,BO20,BQ20,BU20,BW20),1),0),IF(COUNT(AK20,AM20,AQ20,AS20,BU20,BW20)&gt;1,LARGE((AK20,AM20,AQ20,AS20,BU20,BW20),1),0))</f>
        <v>0</v>
      </c>
      <c r="M20" s="7" t="str">
        <f t="shared" si="3"/>
        <v/>
      </c>
      <c r="N20" s="7">
        <f>IF(J20=AO20,IF(COUNT(AQ20,AS20,BO20,BQ20,BU20,BW20)&gt;1,LARGE((AQ20,AS20,BO20,BQ20,BU20,BW20),2),0),IF(COUNT(AK20,AM20,AQ20,AS20,BU20,BW20)&gt;1,LARGE((AK20,AM20,AQ20,AS20,BU20,BW20),2),0))</f>
        <v>0</v>
      </c>
      <c r="O20" s="7" t="str">
        <f t="shared" si="4"/>
        <v/>
      </c>
      <c r="P20" s="7">
        <f t="shared" si="5"/>
        <v>45.099999999999994</v>
      </c>
      <c r="Q20" s="10" t="str">
        <f t="shared" si="6"/>
        <v>(Q1)</v>
      </c>
      <c r="R20" s="7" t="str">
        <f t="shared" si="7"/>
        <v>2025 WAGC (Nov 16)</v>
      </c>
      <c r="S20" s="38" t="s">
        <v>175</v>
      </c>
      <c r="T20" s="38" t="s">
        <v>175</v>
      </c>
      <c r="U20" s="38" t="s">
        <v>175</v>
      </c>
      <c r="V20" s="38" t="s">
        <v>175</v>
      </c>
      <c r="W20" s="38" t="s">
        <v>175</v>
      </c>
      <c r="X20" s="38" t="s">
        <v>175</v>
      </c>
      <c r="Y20" s="38" t="s">
        <v>175</v>
      </c>
      <c r="Z20" s="38" t="s">
        <v>175</v>
      </c>
      <c r="AA20" s="38" t="s">
        <v>175</v>
      </c>
      <c r="AB20" s="38" t="s">
        <v>175</v>
      </c>
      <c r="AC20" s="38" t="s">
        <v>175</v>
      </c>
      <c r="AD20" s="38" t="s">
        <v>175</v>
      </c>
      <c r="AE20" s="38" t="s">
        <v>175</v>
      </c>
      <c r="AF20" s="38" t="s">
        <v>175</v>
      </c>
      <c r="AG20" s="38" t="s">
        <v>175</v>
      </c>
      <c r="AH20" s="38" t="s">
        <v>175</v>
      </c>
      <c r="AI20" s="19"/>
      <c r="AJ20" s="41" t="str">
        <f t="shared" si="8"/>
        <v/>
      </c>
      <c r="AK20" s="41" t="str">
        <f t="shared" si="9"/>
        <v/>
      </c>
      <c r="AL20" s="41" t="str">
        <f t="shared" si="10"/>
        <v/>
      </c>
      <c r="AM20" s="41" t="str">
        <f t="shared" si="11"/>
        <v/>
      </c>
      <c r="AN20" s="27" t="str">
        <f t="shared" si="12"/>
        <v/>
      </c>
      <c r="AO20" s="27" t="str">
        <f t="shared" si="13"/>
        <v/>
      </c>
      <c r="AP20" s="27" t="str">
        <f t="shared" si="14"/>
        <v/>
      </c>
      <c r="AQ20" s="27" t="str">
        <f t="shared" si="15"/>
        <v/>
      </c>
      <c r="AR20" s="27" t="str">
        <f t="shared" si="16"/>
        <v/>
      </c>
      <c r="AS20" s="27" t="str">
        <f t="shared" si="17"/>
        <v/>
      </c>
      <c r="AT20" s="27" t="str">
        <f t="shared" si="18"/>
        <v/>
      </c>
      <c r="AU20" s="27" t="str">
        <f t="shared" si="19"/>
        <v/>
      </c>
      <c r="AV20" s="27" t="str">
        <f t="shared" si="20"/>
        <v/>
      </c>
      <c r="AW20" s="15"/>
      <c r="AX20" s="15"/>
      <c r="AY20" s="15"/>
      <c r="AZ20" s="15"/>
      <c r="BA20" s="15"/>
      <c r="BB20" s="15"/>
      <c r="BC20" s="15"/>
      <c r="BD20" s="15"/>
      <c r="BE20" s="15"/>
      <c r="BF20" s="15"/>
      <c r="BG20" s="15"/>
      <c r="BH20" s="15"/>
      <c r="BI20" s="15"/>
      <c r="BJ20" s="15"/>
      <c r="BK20" s="15"/>
      <c r="BL20" s="15"/>
      <c r="BM20" s="20"/>
      <c r="BN20" s="42" t="str">
        <f t="shared" si="21"/>
        <v/>
      </c>
      <c r="BO20" s="42" t="str">
        <f t="shared" si="22"/>
        <v/>
      </c>
      <c r="BP20" s="42" t="str">
        <f t="shared" si="23"/>
        <v/>
      </c>
      <c r="BQ20" s="42" t="str">
        <f t="shared" si="24"/>
        <v/>
      </c>
      <c r="BR20" s="10" t="str">
        <f t="shared" si="25"/>
        <v/>
      </c>
      <c r="BS20" s="10" t="str">
        <f t="shared" si="26"/>
        <v/>
      </c>
      <c r="BT20" s="10" t="str">
        <f t="shared" si="27"/>
        <v/>
      </c>
      <c r="BU20" s="10" t="str">
        <f t="shared" si="28"/>
        <v/>
      </c>
      <c r="BV20" s="10" t="str">
        <f t="shared" si="29"/>
        <v/>
      </c>
      <c r="BW20" s="10" t="str">
        <f t="shared" si="30"/>
        <v/>
      </c>
      <c r="BX20" s="10" t="str">
        <f t="shared" si="31"/>
        <v/>
      </c>
      <c r="BY20" s="10" t="str">
        <f t="shared" si="32"/>
        <v/>
      </c>
      <c r="BZ20" s="10" t="str">
        <f t="shared" si="33"/>
        <v/>
      </c>
      <c r="CA20" s="34">
        <f t="shared" si="34"/>
        <v>45.099999999999994</v>
      </c>
      <c r="CB20" s="34">
        <f t="shared" si="35"/>
        <v>22.9</v>
      </c>
      <c r="CC20" s="14"/>
      <c r="CD20" s="14"/>
      <c r="CE20" s="14"/>
      <c r="CF20" s="14"/>
      <c r="CG20" s="14"/>
      <c r="CH20" s="14"/>
      <c r="CI20" s="14"/>
      <c r="CJ20" s="14"/>
      <c r="CK20" s="14"/>
      <c r="CL20" s="14"/>
      <c r="CM20" s="14"/>
      <c r="CN20" s="14"/>
      <c r="CO20" s="14"/>
      <c r="CP20" s="14"/>
      <c r="CQ20" s="14"/>
      <c r="CR20" s="14"/>
      <c r="CS20" s="14"/>
      <c r="CT20" s="14"/>
      <c r="CU20" s="14"/>
      <c r="CV20" s="14"/>
      <c r="CW20" s="27" t="str">
        <f t="shared" si="36"/>
        <v/>
      </c>
      <c r="CX20" s="27" t="str">
        <f t="shared" si="37"/>
        <v/>
      </c>
      <c r="CY20" s="27" t="str">
        <f t="shared" si="38"/>
        <v/>
      </c>
      <c r="CZ20" s="27" t="str">
        <f t="shared" si="39"/>
        <v/>
      </c>
      <c r="DA20" s="27" t="str">
        <f t="shared" si="40"/>
        <v/>
      </c>
      <c r="DB20" s="27" t="str">
        <f t="shared" si="41"/>
        <v/>
      </c>
      <c r="DC20" s="27" t="str">
        <f t="shared" si="42"/>
        <v/>
      </c>
      <c r="DD20" s="27" t="str">
        <f t="shared" si="43"/>
        <v/>
      </c>
      <c r="DE20" s="27" t="str">
        <f t="shared" si="44"/>
        <v/>
      </c>
      <c r="DF20" s="27" t="str">
        <f t="shared" si="45"/>
        <v/>
      </c>
      <c r="DG20" s="27" t="str">
        <f t="shared" si="46"/>
        <v/>
      </c>
      <c r="DH20" s="27" t="str">
        <f t="shared" si="47"/>
        <v/>
      </c>
      <c r="DI20" s="27" t="str">
        <f t="shared" si="48"/>
        <v/>
      </c>
      <c r="DJ20" s="27" t="str">
        <f t="shared" si="49"/>
        <v/>
      </c>
      <c r="DK20" s="27" t="str">
        <f t="shared" si="50"/>
        <v/>
      </c>
      <c r="DL20" s="15">
        <v>18</v>
      </c>
      <c r="DM20" s="15">
        <v>4.8</v>
      </c>
      <c r="DN20" s="15">
        <v>0.6</v>
      </c>
      <c r="DO20" s="15">
        <v>0</v>
      </c>
      <c r="DP20" s="15">
        <v>17.899999999999999</v>
      </c>
      <c r="DQ20" s="15">
        <v>5.2</v>
      </c>
      <c r="DR20" s="15">
        <v>0.2</v>
      </c>
      <c r="DS20" s="15">
        <v>0</v>
      </c>
      <c r="DT20" s="15"/>
      <c r="DU20" s="15"/>
      <c r="DV20" s="15"/>
      <c r="DW20" s="15"/>
      <c r="DX20" s="15"/>
      <c r="DY20" s="15"/>
      <c r="DZ20" s="15"/>
      <c r="EA20" s="15"/>
      <c r="EB20" s="15"/>
      <c r="EC20" s="15"/>
      <c r="ED20" s="15"/>
      <c r="EE20" s="15"/>
      <c r="EF20" s="10">
        <f t="shared" si="51"/>
        <v>4.8</v>
      </c>
      <c r="EG20" s="10">
        <f t="shared" si="52"/>
        <v>22.2</v>
      </c>
      <c r="EH20" s="10">
        <f t="shared" si="53"/>
        <v>5.2</v>
      </c>
      <c r="EI20" s="10">
        <f t="shared" si="54"/>
        <v>22.9</v>
      </c>
      <c r="EJ20" s="10">
        <f t="shared" si="55"/>
        <v>10</v>
      </c>
      <c r="EK20" s="10">
        <f t="shared" si="56"/>
        <v>45.099999999999994</v>
      </c>
      <c r="EL20" s="10" t="str">
        <f t="shared" si="57"/>
        <v/>
      </c>
      <c r="EM20" s="10" t="str">
        <f t="shared" si="58"/>
        <v/>
      </c>
      <c r="EN20" s="10" t="str">
        <f t="shared" si="59"/>
        <v/>
      </c>
      <c r="EO20" s="10" t="str">
        <f t="shared" si="60"/>
        <v/>
      </c>
      <c r="EP20" s="10" t="str">
        <f t="shared" si="61"/>
        <v/>
      </c>
      <c r="EQ20" s="10" t="str">
        <f t="shared" si="62"/>
        <v/>
      </c>
      <c r="ER20" s="10" t="str">
        <f t="shared" si="63"/>
        <v/>
      </c>
      <c r="ES20" s="10" t="str">
        <f t="shared" si="64"/>
        <v/>
      </c>
      <c r="ET20" s="10">
        <f t="shared" si="65"/>
        <v>45.099999999999994</v>
      </c>
    </row>
    <row r="21" spans="1:150" x14ac:dyDescent="0.2">
      <c r="A21" s="3" t="str" cm="1">
        <f t="array" ref="A21">IF(AND(H21&lt;&gt;"",H21&lt;&gt;"No DD"),SUMPRODUCT((H$4:H$22&lt;&gt;"")*(H$4:H$22&lt;&gt;"No DD")*(E$4:E$22&gt;E21))+1,IF(H21="No DD",SUMPRODUCT((H$4:H$22="No DD")*(E$4:E$22&gt;E21))+1+SUMPRODUCT((H$4:H$22&lt;&gt;"")*(H$4:H$22&lt;&gt;"No DD")),""))</f>
        <v/>
      </c>
      <c r="B21" s="4" t="s">
        <v>116</v>
      </c>
      <c r="C21" s="3" t="s">
        <v>69</v>
      </c>
      <c r="D21" s="3">
        <v>2003</v>
      </c>
      <c r="E21" s="8">
        <f t="shared" si="0"/>
        <v>39.800003980003979</v>
      </c>
      <c r="F21" s="2" t="str">
        <f>IF(OR(AND(AO21&lt;&gt;"",AO21&gt;=AV$27,AN21&gt;=AV$24),AND(AU21&lt;&gt;"",AU21&gt;=AV$27,AT21&gt;=AV$24),AND(BS21&lt;&gt;"",BS21&gt;=BZ$27,BR21&gt;=BZ$24),AND(BY21&lt;&gt;"",BY21&gt;=BZ$27,BX21&gt;=BZ$24),AND(DB21&lt;&gt;"",DB21&gt;=DK$27,DA21&gt;=DK$24),AND(DJ21&lt;&gt;"",DJ21&gt;=DK$27,DI21&gt;=DK$24),AND(EK21&lt;&gt;"",EK21&gt;=ET$27,EJ21&gt;=ET$24),AND(ES21&lt;&gt;"",ES21&gt;=ET$27,ER21&gt;=ET$24)),"P","")</f>
        <v/>
      </c>
      <c r="G21" s="2" t="str">
        <f>IF(OR(AND(AO21&lt;&gt;"",AO21&gt;=AV$27),AND(AU21&lt;&gt;"",AU21&gt;=AV$27),AND(BS21&lt;&gt;"",BS21&gt;=BZ$27),AND(BY21&lt;&gt;"",BY21&gt;=BZ$27),AND(DB21&lt;&gt;"",DB21&gt;=DK$27),AND(DJ21&lt;&gt;"",DJ21&gt;=DK$27),AND(EK21&lt;&gt;"",EK21&gt;=ET$27),AND(ES21&lt;&gt;"",ES21&gt;=ET$27)),"P","")</f>
        <v/>
      </c>
      <c r="H21" s="26" t="str">
        <f>IF(AND(G21="P",F21=""),"No DD",IF(OR(AND(AK21&lt;&gt;"",AK21&gt;=AV$29,AJ21&gt;=AV$26),AND(AM21&lt;&gt;"",AM21&gt;=AV$29,AL21&gt;=AV$26),AND(AQ21&lt;&gt;"",AQ21&gt;=AV$29,AP21&gt;=AV$26),AND(AS21&lt;&gt;"",AS21&gt;=AV$29,AR21&gt;=AV$26),AND(BO21&lt;&gt;"",BO21&gt;=BZ$29,BN21&gt;=BZ$26),AND(BQ21&lt;&gt;"",BQ21&gt;=BZ$29,BP21&gt;=BZ$26),AND(BV21&lt;&gt;"",BV21&gt;=BZ$29,BU21&gt;=BZ$26),AND(BX21&lt;&gt;"",BX21&gt;=BZ$29,BW21&gt;=BZ$26),AND(CX21&lt;&gt;"",CX21&gt;=DK$29,CW21&gt;=DK$26),AND(CZ21&lt;&gt;"",CZ21&gt;=DK$29,CY21&gt;=DK$26),AND(DD21&lt;&gt;"",DD21&gt;=DK$29,DC21&gt;=DK$26),AND(DF21&lt;&gt;"",DF21&gt;=DK$29,DE21&gt;=DK$26),AND(DH21&lt;&gt;"",DH21&gt;=DK$29,DG21&gt;=DK$26),AND(EG21&lt;&gt;"",EG21&gt;=ET$29,EF21&gt;=ET$26),AND(EI21&lt;&gt;"",EI21&gt;=ET$29,EH21&gt;=ET$26),AND(EM21&lt;&gt;"",EM21&gt;=ET$29,EL21&gt;=ET$26),AND(EO21&lt;&gt;"",EO21&gt;=ET$29,EN21&gt;=ET$26),AND(EQ21&lt;&gt;"",EQ21&gt;=ET$29,EP21&gt;=ET$26)),"Performance",IF(I21="P","Worlds Team",IF(F21="P","National Team",""))))</f>
        <v/>
      </c>
      <c r="I21" s="2" t="str">
        <f>IF(OR(AND(AO21&lt;&gt;"",AO21&gt;=AV$28,AN21&gt;=AV$25),AND(AU21&lt;&gt;"",AU21&gt;=AV$28,AT21&gt;=AV$25),AND(BS21&lt;&gt;"",BS21&gt;=BZ$28,BR21&gt;=BZ$25),AND(BY21&lt;&gt;"",BY21&gt;=BZ$28,BX21&gt;=BZ$25),AND(DB21&lt;&gt;"",DB21&gt;=DK$28,DA21&gt;=DK$25),AND(DJ21&lt;&gt;"",DJ21&gt;=DK$28,DI21&gt;=DK$25),AND(EK21&lt;&gt;"",EK21&gt;=ET$28,EJ21&gt;=ET$25),AND(ES21&lt;&gt;"",ES21&gt;=ET$28,ER21&gt;=ET$25)),"P","")</f>
        <v/>
      </c>
      <c r="J21" s="7">
        <f t="shared" si="1"/>
        <v>39.799999999999997</v>
      </c>
      <c r="K21" s="7" t="str">
        <f t="shared" si="2"/>
        <v>2026 Elite Canada</v>
      </c>
      <c r="L21" s="7">
        <f>IF(J21=AO21,IF(COUNT(AQ21,AS21,BO21,BQ21,BU21,BW21)&gt;1,LARGE((AQ21,AS21,BO21,BQ21,BU21,BW21),1),0),IF(COUNT(AK21,AM21,AQ21,AS21,BU21,BW21)&gt;1,LARGE((AK21,AM21,AQ21,AS21,BU21,BW21),1),0))</f>
        <v>0</v>
      </c>
      <c r="M21" s="7" t="str">
        <f t="shared" si="3"/>
        <v/>
      </c>
      <c r="N21" s="7">
        <f>IF(J21=AO21,IF(COUNT(AQ21,AS21,BO21,BQ21,BU21,BW21)&gt;1,LARGE((AQ21,AS21,BO21,BQ21,BU21,BW21),2),0),IF(COUNT(AK21,AM21,AQ21,AS21,BU21,BW21)&gt;1,LARGE((AK21,AM21,AQ21,AS21,BU21,BW21),2),0))</f>
        <v>0</v>
      </c>
      <c r="O21" s="7" t="str">
        <f t="shared" si="4"/>
        <v/>
      </c>
      <c r="P21" s="7" t="str">
        <f t="shared" si="5"/>
        <v/>
      </c>
      <c r="Q21" s="10" t="str">
        <f t="shared" si="6"/>
        <v/>
      </c>
      <c r="R21" s="7" t="str">
        <f t="shared" si="7"/>
        <v/>
      </c>
      <c r="S21" s="38">
        <v>15.4</v>
      </c>
      <c r="T21" s="38">
        <v>2.4</v>
      </c>
      <c r="U21" s="38">
        <v>0</v>
      </c>
      <c r="V21" s="38">
        <v>0</v>
      </c>
      <c r="W21" s="38">
        <v>17.8</v>
      </c>
      <c r="X21" s="38">
        <v>5.2</v>
      </c>
      <c r="Y21" s="38">
        <v>1</v>
      </c>
      <c r="Z21" s="38">
        <v>0</v>
      </c>
      <c r="AA21" s="38" t="s">
        <v>175</v>
      </c>
      <c r="AB21" s="38" t="s">
        <v>175</v>
      </c>
      <c r="AC21" s="38" t="s">
        <v>175</v>
      </c>
      <c r="AD21" s="38" t="s">
        <v>175</v>
      </c>
      <c r="AE21" s="38" t="s">
        <v>175</v>
      </c>
      <c r="AF21" s="38" t="s">
        <v>175</v>
      </c>
      <c r="AG21" s="38" t="s">
        <v>175</v>
      </c>
      <c r="AH21" s="38" t="s">
        <v>175</v>
      </c>
      <c r="AI21" s="19"/>
      <c r="AJ21" s="41">
        <f t="shared" si="8"/>
        <v>2.4</v>
      </c>
      <c r="AK21" s="41">
        <f t="shared" si="9"/>
        <v>17.8</v>
      </c>
      <c r="AL21" s="41">
        <f t="shared" si="10"/>
        <v>5.2</v>
      </c>
      <c r="AM21" s="41">
        <f t="shared" si="11"/>
        <v>22</v>
      </c>
      <c r="AN21" s="27">
        <f t="shared" si="12"/>
        <v>7.6</v>
      </c>
      <c r="AO21" s="27">
        <f t="shared" si="13"/>
        <v>39.799999999999997</v>
      </c>
      <c r="AP21" s="27" t="str">
        <f t="shared" si="14"/>
        <v/>
      </c>
      <c r="AQ21" s="27" t="str">
        <f t="shared" si="15"/>
        <v/>
      </c>
      <c r="AR21" s="27" t="str">
        <f t="shared" si="16"/>
        <v/>
      </c>
      <c r="AS21" s="27" t="str">
        <f t="shared" si="17"/>
        <v/>
      </c>
      <c r="AT21" s="27" t="str">
        <f t="shared" si="18"/>
        <v/>
      </c>
      <c r="AU21" s="27" t="str">
        <f t="shared" si="19"/>
        <v/>
      </c>
      <c r="AV21" s="27">
        <f t="shared" si="20"/>
        <v>39.799999999999997</v>
      </c>
      <c r="AW21" s="15"/>
      <c r="AX21" s="15"/>
      <c r="AY21" s="15"/>
      <c r="AZ21" s="15"/>
      <c r="BA21" s="15"/>
      <c r="BB21" s="15"/>
      <c r="BC21" s="15"/>
      <c r="BD21" s="15"/>
      <c r="BE21" s="15"/>
      <c r="BF21" s="15"/>
      <c r="BG21" s="15"/>
      <c r="BH21" s="15"/>
      <c r="BI21" s="15"/>
      <c r="BJ21" s="15"/>
      <c r="BK21" s="15"/>
      <c r="BL21" s="15"/>
      <c r="BM21" s="20"/>
      <c r="BN21" s="42" t="str">
        <f t="shared" si="21"/>
        <v/>
      </c>
      <c r="BO21" s="42" t="str">
        <f t="shared" si="22"/>
        <v/>
      </c>
      <c r="BP21" s="42" t="str">
        <f t="shared" si="23"/>
        <v/>
      </c>
      <c r="BQ21" s="42" t="str">
        <f t="shared" si="24"/>
        <v/>
      </c>
      <c r="BR21" s="10" t="str">
        <f t="shared" si="25"/>
        <v/>
      </c>
      <c r="BS21" s="10" t="str">
        <f t="shared" si="26"/>
        <v/>
      </c>
      <c r="BT21" s="10" t="str">
        <f t="shared" si="27"/>
        <v/>
      </c>
      <c r="BU21" s="10" t="str">
        <f t="shared" si="28"/>
        <v/>
      </c>
      <c r="BV21" s="10" t="str">
        <f t="shared" si="29"/>
        <v/>
      </c>
      <c r="BW21" s="10" t="str">
        <f t="shared" si="30"/>
        <v/>
      </c>
      <c r="BX21" s="10" t="str">
        <f t="shared" si="31"/>
        <v/>
      </c>
      <c r="BY21" s="10" t="str">
        <f t="shared" si="32"/>
        <v/>
      </c>
      <c r="BZ21" s="10" t="str">
        <f t="shared" si="33"/>
        <v/>
      </c>
      <c r="CA21" s="34" t="str">
        <f t="shared" si="34"/>
        <v/>
      </c>
      <c r="CB21" s="34" t="str">
        <f t="shared" si="35"/>
        <v/>
      </c>
      <c r="CC21" s="14"/>
      <c r="CD21" s="14"/>
      <c r="CE21" s="14"/>
      <c r="CF21" s="14"/>
      <c r="CG21" s="14"/>
      <c r="CH21" s="14"/>
      <c r="CI21" s="14"/>
      <c r="CJ21" s="14"/>
      <c r="CK21" s="14"/>
      <c r="CL21" s="14"/>
      <c r="CM21" s="14"/>
      <c r="CN21" s="14"/>
      <c r="CO21" s="14"/>
      <c r="CP21" s="14"/>
      <c r="CQ21" s="14"/>
      <c r="CR21" s="14"/>
      <c r="CS21" s="14"/>
      <c r="CT21" s="14"/>
      <c r="CU21" s="14"/>
      <c r="CV21" s="14"/>
      <c r="CW21" s="27" t="str">
        <f t="shared" si="36"/>
        <v/>
      </c>
      <c r="CX21" s="27" t="str">
        <f t="shared" si="37"/>
        <v/>
      </c>
      <c r="CY21" s="27" t="str">
        <f t="shared" si="38"/>
        <v/>
      </c>
      <c r="CZ21" s="27" t="str">
        <f t="shared" si="39"/>
        <v/>
      </c>
      <c r="DA21" s="27" t="str">
        <f t="shared" si="40"/>
        <v/>
      </c>
      <c r="DB21" s="27" t="str">
        <f t="shared" si="41"/>
        <v/>
      </c>
      <c r="DC21" s="27" t="str">
        <f t="shared" si="42"/>
        <v/>
      </c>
      <c r="DD21" s="27" t="str">
        <f t="shared" si="43"/>
        <v/>
      </c>
      <c r="DE21" s="27" t="str">
        <f t="shared" si="44"/>
        <v/>
      </c>
      <c r="DF21" s="27" t="str">
        <f t="shared" si="45"/>
        <v/>
      </c>
      <c r="DG21" s="27" t="str">
        <f t="shared" si="46"/>
        <v/>
      </c>
      <c r="DH21" s="27" t="str">
        <f t="shared" si="47"/>
        <v/>
      </c>
      <c r="DI21" s="27" t="str">
        <f t="shared" si="48"/>
        <v/>
      </c>
      <c r="DJ21" s="27" t="str">
        <f t="shared" si="49"/>
        <v/>
      </c>
      <c r="DK21" s="27" t="str">
        <f t="shared" si="50"/>
        <v/>
      </c>
      <c r="DL21" s="15"/>
      <c r="DM21" s="15"/>
      <c r="DN21" s="15"/>
      <c r="DO21" s="15"/>
      <c r="DP21" s="15"/>
      <c r="DQ21" s="15"/>
      <c r="DR21" s="15"/>
      <c r="DS21" s="15"/>
      <c r="DT21" s="15"/>
      <c r="DU21" s="15"/>
      <c r="DV21" s="15"/>
      <c r="DW21" s="15"/>
      <c r="DX21" s="15"/>
      <c r="DY21" s="15"/>
      <c r="DZ21" s="15"/>
      <c r="EA21" s="15"/>
      <c r="EB21" s="15"/>
      <c r="EC21" s="15"/>
      <c r="ED21" s="15"/>
      <c r="EE21" s="15"/>
      <c r="EF21" s="10" t="str">
        <f t="shared" si="51"/>
        <v/>
      </c>
      <c r="EG21" s="10" t="str">
        <f t="shared" si="52"/>
        <v/>
      </c>
      <c r="EH21" s="10" t="str">
        <f t="shared" si="53"/>
        <v/>
      </c>
      <c r="EI21" s="10" t="str">
        <f t="shared" si="54"/>
        <v/>
      </c>
      <c r="EJ21" s="10" t="str">
        <f t="shared" si="55"/>
        <v/>
      </c>
      <c r="EK21" s="10" t="str">
        <f t="shared" si="56"/>
        <v/>
      </c>
      <c r="EL21" s="10" t="str">
        <f t="shared" si="57"/>
        <v/>
      </c>
      <c r="EM21" s="10" t="str">
        <f t="shared" si="58"/>
        <v/>
      </c>
      <c r="EN21" s="10" t="str">
        <f t="shared" si="59"/>
        <v/>
      </c>
      <c r="EO21" s="10" t="str">
        <f t="shared" si="60"/>
        <v/>
      </c>
      <c r="EP21" s="10" t="str">
        <f t="shared" si="61"/>
        <v/>
      </c>
      <c r="EQ21" s="10" t="str">
        <f t="shared" si="62"/>
        <v/>
      </c>
      <c r="ER21" s="10" t="str">
        <f t="shared" si="63"/>
        <v/>
      </c>
      <c r="ES21" s="10" t="str">
        <f t="shared" si="64"/>
        <v/>
      </c>
      <c r="ET21" s="10" t="str">
        <f t="shared" si="65"/>
        <v/>
      </c>
    </row>
    <row r="22" spans="1:150" ht="17" x14ac:dyDescent="0.2">
      <c r="P22" s="9"/>
      <c r="Q22" s="9"/>
      <c r="R22" s="9"/>
    </row>
    <row r="23" spans="1:150" ht="17" x14ac:dyDescent="0.2">
      <c r="P23" s="9"/>
      <c r="Q23" s="9"/>
      <c r="R23" s="9"/>
    </row>
    <row r="24" spans="1:150" ht="17" x14ac:dyDescent="0.2">
      <c r="B24" s="17" t="s">
        <v>27</v>
      </c>
      <c r="P24" s="9"/>
      <c r="Q24" s="9"/>
      <c r="R24" s="9"/>
      <c r="AV24" s="28">
        <v>11.2</v>
      </c>
      <c r="BZ24" s="28">
        <v>11.2</v>
      </c>
      <c r="CW24" s="3"/>
      <c r="CX24" s="3"/>
      <c r="CY24" s="3"/>
      <c r="CZ24" s="3"/>
      <c r="DA24" s="3"/>
      <c r="DK24" s="28">
        <v>11.2</v>
      </c>
      <c r="EF24" s="3"/>
      <c r="EG24" s="3"/>
      <c r="EH24" s="3"/>
      <c r="EI24" s="3"/>
      <c r="EJ24" s="3"/>
      <c r="EK24" s="3"/>
      <c r="EL24" s="3"/>
      <c r="ET24" s="28">
        <v>11.2</v>
      </c>
    </row>
    <row r="25" spans="1:150" ht="17" x14ac:dyDescent="0.2">
      <c r="B25" s="22" t="s">
        <v>26</v>
      </c>
      <c r="P25" s="9"/>
      <c r="Q25" s="9"/>
      <c r="R25" s="9"/>
      <c r="AV25" s="39">
        <v>12</v>
      </c>
      <c r="BZ25" s="39">
        <v>12</v>
      </c>
      <c r="CW25" s="3"/>
      <c r="CX25" s="3"/>
      <c r="CY25" s="3"/>
      <c r="CZ25" s="3"/>
      <c r="DA25" s="3"/>
      <c r="DK25" s="39">
        <v>12</v>
      </c>
      <c r="EF25" s="3"/>
      <c r="EG25" s="3"/>
      <c r="EH25" s="3"/>
      <c r="EI25" s="3"/>
      <c r="EJ25" s="3"/>
      <c r="EK25" s="3"/>
      <c r="EL25" s="3"/>
      <c r="ET25" s="39">
        <v>12</v>
      </c>
    </row>
    <row r="26" spans="1:150" ht="17" x14ac:dyDescent="0.2">
      <c r="A26" s="4"/>
      <c r="B26" s="23" t="s">
        <v>104</v>
      </c>
      <c r="C26" s="16"/>
      <c r="P26" s="9"/>
      <c r="Q26" s="9"/>
      <c r="R26" s="9"/>
      <c r="AV26" s="29">
        <v>7.6</v>
      </c>
      <c r="BZ26" s="29">
        <v>7.6</v>
      </c>
      <c r="CW26" s="3"/>
      <c r="CX26" s="3"/>
      <c r="CY26" s="3"/>
      <c r="CZ26" s="3"/>
      <c r="DA26" s="3"/>
      <c r="DK26" s="29">
        <v>7.6</v>
      </c>
      <c r="EF26" s="3"/>
      <c r="EG26" s="3"/>
      <c r="EH26" s="3"/>
      <c r="EI26" s="3"/>
      <c r="EJ26" s="3"/>
      <c r="EK26" s="3"/>
      <c r="EL26" s="3"/>
      <c r="ET26" s="29">
        <v>7.6</v>
      </c>
    </row>
    <row r="27" spans="1:150" ht="17" x14ac:dyDescent="0.2">
      <c r="A27" s="4"/>
      <c r="B27" s="25" t="s">
        <v>24</v>
      </c>
      <c r="C27" s="16"/>
      <c r="P27" s="9"/>
      <c r="Q27" s="9"/>
      <c r="R27" s="9"/>
      <c r="AV27" s="30">
        <v>48.2</v>
      </c>
      <c r="BZ27" s="30">
        <v>48.2</v>
      </c>
      <c r="CW27" s="3"/>
      <c r="CX27" s="3"/>
      <c r="CY27" s="3"/>
      <c r="CZ27" s="3"/>
      <c r="DA27" s="3"/>
      <c r="DK27" s="30">
        <v>48.2</v>
      </c>
      <c r="EF27" s="3"/>
      <c r="EG27" s="3"/>
      <c r="EH27" s="3"/>
      <c r="EI27" s="3"/>
      <c r="EJ27" s="3"/>
      <c r="EK27" s="3"/>
      <c r="EL27" s="3"/>
      <c r="ET27" s="30">
        <v>48.2</v>
      </c>
    </row>
    <row r="28" spans="1:150" ht="17" x14ac:dyDescent="0.2">
      <c r="A28" s="4"/>
      <c r="B28" s="18" t="s">
        <v>25</v>
      </c>
      <c r="C28" s="16"/>
      <c r="P28" s="9"/>
      <c r="Q28" s="9"/>
      <c r="R28" s="9"/>
      <c r="AV28" s="31">
        <v>49.4</v>
      </c>
      <c r="BZ28" s="31">
        <v>49.4</v>
      </c>
      <c r="CW28" s="3"/>
      <c r="CX28" s="3"/>
      <c r="CY28" s="3"/>
      <c r="CZ28" s="3"/>
      <c r="DA28" s="3"/>
      <c r="DK28" s="31">
        <v>49.4</v>
      </c>
      <c r="EF28" s="3"/>
      <c r="EG28" s="3"/>
      <c r="EH28" s="3"/>
      <c r="EI28" s="3"/>
      <c r="EJ28" s="3"/>
      <c r="EK28" s="3"/>
      <c r="EL28" s="3"/>
      <c r="ET28" s="31">
        <v>49.4</v>
      </c>
    </row>
    <row r="29" spans="1:150" ht="17" x14ac:dyDescent="0.2">
      <c r="A29" s="4"/>
      <c r="B29" s="24" t="s">
        <v>103</v>
      </c>
      <c r="C29" s="16"/>
      <c r="P29" s="9"/>
      <c r="Q29" s="9"/>
      <c r="R29" s="9"/>
      <c r="AV29" s="32">
        <v>26.8</v>
      </c>
      <c r="BZ29" s="32">
        <v>26.8</v>
      </c>
      <c r="CW29" s="3"/>
      <c r="CX29" s="3"/>
      <c r="CY29" s="3"/>
      <c r="CZ29" s="3"/>
      <c r="DA29" s="3"/>
      <c r="DK29" s="32">
        <v>26.8</v>
      </c>
      <c r="EF29" s="3"/>
      <c r="EG29" s="3"/>
      <c r="EH29" s="3"/>
      <c r="EI29" s="3"/>
      <c r="EJ29" s="3"/>
      <c r="EK29" s="3"/>
      <c r="EL29" s="3"/>
      <c r="ET29" s="32">
        <v>26.8</v>
      </c>
    </row>
    <row r="30" spans="1:150" x14ac:dyDescent="0.2">
      <c r="B30" s="21" t="s">
        <v>29</v>
      </c>
      <c r="C30" s="1"/>
    </row>
    <row r="31" spans="1:150" x14ac:dyDescent="0.2">
      <c r="A31" s="4"/>
      <c r="B31" s="4"/>
      <c r="C31" s="16"/>
    </row>
    <row r="32" spans="1:150" x14ac:dyDescent="0.2">
      <c r="A32" s="4"/>
      <c r="B32" s="4"/>
      <c r="C32" s="16"/>
    </row>
    <row r="33" spans="1:3" x14ac:dyDescent="0.2">
      <c r="A33" s="4"/>
      <c r="B33" s="4"/>
      <c r="C33" s="16"/>
    </row>
    <row r="34" spans="1:3" x14ac:dyDescent="0.2">
      <c r="A34" s="4"/>
      <c r="B34" s="4"/>
      <c r="C34" s="4"/>
    </row>
    <row r="37" spans="1:3" x14ac:dyDescent="0.2">
      <c r="B37" s="40"/>
    </row>
  </sheetData>
  <sheetProtection sheet="1" formatCells="0" formatColumns="0" formatRows="0"/>
  <autoFilter ref="A1:ET1" xr:uid="{562C6DCA-CC42-3044-B5F7-4065DAFFC028}"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hiddenButton="1" showButton="0"/>
    <filterColumn colId="36" hiddenButton="1" showButton="0"/>
    <filterColumn colId="37" hiddenButton="1" showButton="0"/>
    <filterColumn colId="38" hiddenButton="1" showButton="0"/>
    <filterColumn colId="39" showButton="0"/>
    <filterColumn colId="40" showButton="0"/>
    <filterColumn colId="41" hiddenButton="1" showButton="0"/>
    <filterColumn colId="42" hiddenButton="1" showButton="0"/>
    <filterColumn colId="43" hiddenButton="1" showButton="0"/>
    <filterColumn colId="44" hiddenButton="1" showButton="0"/>
    <filterColumn colId="45" showButton="0"/>
    <filterColumn colId="46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hiddenButton="1" showButton="0"/>
    <filterColumn colId="66" hiddenButton="1" showButton="0"/>
    <filterColumn colId="67" hiddenButton="1" showButton="0"/>
    <filterColumn colId="68" hiddenButton="1" showButton="0"/>
    <filterColumn colId="69" showButton="0"/>
    <filterColumn colId="70" showButton="0"/>
    <filterColumn colId="71" hiddenButton="1" showButton="0"/>
    <filterColumn colId="72" hiddenButton="1" showButton="0"/>
    <filterColumn colId="73" hiddenButton="1" showButton="0"/>
    <filterColumn colId="74" hiddenButton="1" showButton="0"/>
    <filterColumn colId="75" showButton="0"/>
    <filterColumn colId="76" showButton="0"/>
    <filterColumn colId="78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hiddenButton="1" showButton="0"/>
    <filterColumn colId="102" hiddenButton="1" showButton="0"/>
    <filterColumn colId="103" hiddenButton="1" showButton="0"/>
    <filterColumn colId="104" hiddenButton="1" showButton="0"/>
    <filterColumn colId="105" showButton="0"/>
    <filterColumn colId="106" showButton="0"/>
    <filterColumn colId="107" showButton="0"/>
    <filterColumn colId="108" hiddenButton="1" showButton="0"/>
    <filterColumn colId="109" hiddenButton="1" showButton="0"/>
    <filterColumn colId="110" showButton="0"/>
    <filterColumn colId="111" showButton="0"/>
    <filterColumn colId="112" hiddenButton="1" showButton="0"/>
    <filterColumn colId="113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hiddenButton="1" showButton="0"/>
    <filterColumn colId="137" hiddenButton="1" showButton="0"/>
    <filterColumn colId="138" hiddenButton="1" showButton="0"/>
    <filterColumn colId="139" hiddenButton="1" showButton="0"/>
    <filterColumn colId="140" hiddenButton="1" showButton="0"/>
    <filterColumn colId="141" hiddenButton="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hiddenButton="1" showButton="0"/>
    <filterColumn colId="148" showButton="0"/>
    <sortState xmlns:xlrd2="http://schemas.microsoft.com/office/spreadsheetml/2017/richdata2" ref="A6:ET29">
      <sortCondition descending="1" ref="F1:F30"/>
    </sortState>
  </autoFilter>
  <mergeCells count="41">
    <mergeCell ref="L1:L3"/>
    <mergeCell ref="A1:A3"/>
    <mergeCell ref="B1:B3"/>
    <mergeCell ref="C1:C3"/>
    <mergeCell ref="D1:D3"/>
    <mergeCell ref="E1:E3"/>
    <mergeCell ref="F1:F3"/>
    <mergeCell ref="G1:G3"/>
    <mergeCell ref="H1:H3"/>
    <mergeCell ref="I1:I3"/>
    <mergeCell ref="J1:J3"/>
    <mergeCell ref="K1:K3"/>
    <mergeCell ref="DL1:ET1"/>
    <mergeCell ref="CO2:CR2"/>
    <mergeCell ref="S2:V2"/>
    <mergeCell ref="W2:Z2"/>
    <mergeCell ref="AA2:AD2"/>
    <mergeCell ref="R1:R3"/>
    <mergeCell ref="S1:AV1"/>
    <mergeCell ref="AW1:BZ1"/>
    <mergeCell ref="CA1:CB1"/>
    <mergeCell ref="CC1:DK1"/>
    <mergeCell ref="M1:M3"/>
    <mergeCell ref="N1:N3"/>
    <mergeCell ref="O1:O3"/>
    <mergeCell ref="P1:P3"/>
    <mergeCell ref="Q1:Q3"/>
    <mergeCell ref="EB2:EE2"/>
    <mergeCell ref="CC2:CF2"/>
    <mergeCell ref="CG2:CJ2"/>
    <mergeCell ref="CK2:CN2"/>
    <mergeCell ref="AE2:AH2"/>
    <mergeCell ref="AW2:AZ2"/>
    <mergeCell ref="BA2:BD2"/>
    <mergeCell ref="BE2:BH2"/>
    <mergeCell ref="BI2:BL2"/>
    <mergeCell ref="CS2:CV2"/>
    <mergeCell ref="DL2:DO2"/>
    <mergeCell ref="DP2:DS2"/>
    <mergeCell ref="DT2:DW2"/>
    <mergeCell ref="DX2:EA2"/>
  </mergeCells>
  <conditionalFormatting sqref="A4:A1048576">
    <cfRule type="expression" dxfId="214" priority="44" stopIfTrue="1">
      <formula>IF(A4&gt;8,1,0)</formula>
    </cfRule>
    <cfRule type="expression" dxfId="213" priority="45" stopIfTrue="1">
      <formula>AND(G4="P",F4="")</formula>
    </cfRule>
  </conditionalFormatting>
  <conditionalFormatting sqref="H1:H1048576">
    <cfRule type="containsText" dxfId="212" priority="40" stopIfTrue="1" operator="containsText" text="National Team">
      <formula>NOT(ISERROR(SEARCH("National Team",H1)))</formula>
    </cfRule>
    <cfRule type="containsText" dxfId="211" priority="41" stopIfTrue="1" operator="containsText" text="Worlds Team">
      <formula>NOT(ISERROR(SEARCH("Worlds Team",H1)))</formula>
    </cfRule>
    <cfRule type="containsText" dxfId="210" priority="42" operator="containsText" text="Performance">
      <formula>NOT(ISERROR(SEARCH("Performance",H1)))</formula>
    </cfRule>
    <cfRule type="containsText" dxfId="209" priority="43" stopIfTrue="1" operator="containsText" text="No DD">
      <formula>NOT(ISERROR(SEARCH("No DD",H1)))</formula>
    </cfRule>
  </conditionalFormatting>
  <conditionalFormatting sqref="S4:AV21">
    <cfRule type="expression" dxfId="208" priority="39" stopIfTrue="1">
      <formula>IF($AI4&lt;&gt;"",1,0)</formula>
    </cfRule>
  </conditionalFormatting>
  <conditionalFormatting sqref="AW4:BZ21">
    <cfRule type="expression" dxfId="207" priority="38" stopIfTrue="1">
      <formula>IF($BM4&lt;&gt;"",1,0)</formula>
    </cfRule>
  </conditionalFormatting>
  <conditionalFormatting sqref="M1:M1048576 O1:O1048576 K1:K1048576">
    <cfRule type="expression" dxfId="206" priority="36" stopIfTrue="1">
      <formula>IF(K1=$AW$1,1,0)</formula>
    </cfRule>
    <cfRule type="expression" dxfId="205" priority="37" stopIfTrue="1">
      <formula>IF(K1=$S$1,1,0)</formula>
    </cfRule>
  </conditionalFormatting>
  <conditionalFormatting sqref="AJ1:AJ1048576 BN1:BN1048576 CY1:CY1048576 EH1:EH1048576">
    <cfRule type="cellIs" dxfId="204" priority="181563" stopIfTrue="1" operator="between">
      <formula>AV$26-0.00001</formula>
      <formula>1000</formula>
    </cfRule>
  </conditionalFormatting>
  <conditionalFormatting sqref="AN1:AN1048576 BR1:BR1048576">
    <cfRule type="cellIs" dxfId="203" priority="181575" operator="between">
      <formula>AV$24-0.00001</formula>
      <formula>AV$25-0.00001</formula>
    </cfRule>
    <cfRule type="cellIs" dxfId="202" priority="181576" operator="between">
      <formula>AV$25-0.00001</formula>
      <formula>1000</formula>
    </cfRule>
  </conditionalFormatting>
  <conditionalFormatting sqref="AT1:AT1048576 BX1:BX1048576">
    <cfRule type="cellIs" dxfId="201" priority="181587" operator="between">
      <formula>AV$25-0.00001</formula>
      <formula>1000</formula>
    </cfRule>
    <cfRule type="cellIs" dxfId="200" priority="181588" stopIfTrue="1" operator="between">
      <formula>AV$24-0.00001</formula>
      <formula>AV$25-0.00001</formula>
    </cfRule>
  </conditionalFormatting>
  <conditionalFormatting sqref="AL1:AL1048576 BP1:BP1048576">
    <cfRule type="cellIs" dxfId="199" priority="181599" operator="between">
      <formula>AV$26-0.00001</formula>
      <formula>1000</formula>
    </cfRule>
  </conditionalFormatting>
  <conditionalFormatting sqref="AP1:AP1048576 BT1:BT1048576 DE1:DE1048576 EN1:EN1048576">
    <cfRule type="cellIs" dxfId="198" priority="181605" operator="between">
      <formula>AV$26-0.00001</formula>
      <formula>1000</formula>
    </cfRule>
  </conditionalFormatting>
  <conditionalFormatting sqref="AR1:AR1048576 BV1:BV1048576">
    <cfRule type="cellIs" dxfId="197" priority="181617" operator="between">
      <formula>AV$26-0.00001</formula>
      <formula>1000</formula>
    </cfRule>
  </conditionalFormatting>
  <conditionalFormatting sqref="AK1:AK1048576 BO1:BO1048576">
    <cfRule type="cellIs" dxfId="196" priority="181623" operator="between">
      <formula>AV$29-0.00001</formula>
      <formula>1000</formula>
    </cfRule>
  </conditionalFormatting>
  <conditionalFormatting sqref="AO1:AO1048576 BS1:BS1048576">
    <cfRule type="cellIs" dxfId="195" priority="181629" operator="between">
      <formula>AV$27-0.00001</formula>
      <formula>AV$28-0.00001</formula>
    </cfRule>
    <cfRule type="cellIs" dxfId="194" priority="181630" operator="between">
      <formula>AV$28-0.00001</formula>
      <formula>1000</formula>
    </cfRule>
  </conditionalFormatting>
  <conditionalFormatting sqref="AU1:AU1048576 BY1:BY1048576">
    <cfRule type="cellIs" dxfId="193" priority="181641" stopIfTrue="1" operator="between">
      <formula>AV$28-0.00001</formula>
      <formula>1000</formula>
    </cfRule>
    <cfRule type="cellIs" dxfId="192" priority="181642" operator="between">
      <formula>AV$27-0.00001</formula>
      <formula>AV$28-0.00001</formula>
    </cfRule>
  </conditionalFormatting>
  <conditionalFormatting sqref="AM1:AM1048576 BQ1:BQ1048576">
    <cfRule type="cellIs" dxfId="191" priority="181653" stopIfTrue="1" operator="between">
      <formula>AV$29-0.00001</formula>
      <formula>1000</formula>
    </cfRule>
    <cfRule type="cellIs" dxfId="190" priority="181654" operator="between">
      <formula>AT$29-0.00001</formula>
      <formula>#REF!-0.00001</formula>
    </cfRule>
  </conditionalFormatting>
  <conditionalFormatting sqref="AQ1:AQ1048576 BU1:BU1048576">
    <cfRule type="cellIs" dxfId="189" priority="181665" stopIfTrue="1" operator="between">
      <formula>AV$29-0.00001</formula>
      <formula>1000</formula>
    </cfRule>
  </conditionalFormatting>
  <conditionalFormatting sqref="AS1:AS1048576 BW1:BW1048576">
    <cfRule type="cellIs" dxfId="188" priority="181671" stopIfTrue="1" operator="between">
      <formula>AV$29-0.00001</formula>
      <formula>1000</formula>
    </cfRule>
  </conditionalFormatting>
  <conditionalFormatting sqref="CW1:CW1048576 EF1:EF1048576">
    <cfRule type="cellIs" dxfId="187" priority="181677" operator="between">
      <formula>DK$26-0.00001</formula>
      <formula>1000</formula>
    </cfRule>
  </conditionalFormatting>
  <conditionalFormatting sqref="CX1:CX1048576 EG1:EG1048576">
    <cfRule type="cellIs" dxfId="186" priority="181683" operator="between">
      <formula>DK$29-0.00001</formula>
      <formula>1000</formula>
    </cfRule>
  </conditionalFormatting>
  <conditionalFormatting sqref="DA1:DA1048576 EJ1:EJ1048576">
    <cfRule type="cellIs" dxfId="185" priority="181689" stopIfTrue="1" operator="between">
      <formula>DK$24-0.00001</formula>
      <formula>DK$25-0.00001</formula>
    </cfRule>
    <cfRule type="cellIs" dxfId="184" priority="181690" operator="between">
      <formula>DK$25-0.00001</formula>
      <formula>1000</formula>
    </cfRule>
  </conditionalFormatting>
  <conditionalFormatting sqref="DB1:DB1048576 EK1:EK1048576">
    <cfRule type="cellIs" dxfId="183" priority="181701" operator="between">
      <formula>DK$27-0.00001</formula>
      <formula>DK$28-0.00001</formula>
    </cfRule>
    <cfRule type="cellIs" dxfId="182" priority="181702" stopIfTrue="1" operator="between">
      <formula>DK$28-0.00001</formula>
      <formula>1000</formula>
    </cfRule>
  </conditionalFormatting>
  <conditionalFormatting sqref="DC1:DC1048576 EL1:EL1048576">
    <cfRule type="cellIs" dxfId="181" priority="181713" operator="between">
      <formula>DK$26-0.00001</formula>
      <formula>1000</formula>
    </cfRule>
  </conditionalFormatting>
  <conditionalFormatting sqref="DG1:DG1048576 EP1:EP1048576">
    <cfRule type="cellIs" dxfId="180" priority="181719" stopIfTrue="1" operator="between">
      <formula>DK$26-0.00001</formula>
      <formula>1000</formula>
    </cfRule>
  </conditionalFormatting>
  <conditionalFormatting sqref="CZ1:CZ1048576 EI1:EI1048576">
    <cfRule type="cellIs" dxfId="179" priority="181725" stopIfTrue="1" operator="between">
      <formula>DK$29-0.00001</formula>
      <formula>1000</formula>
    </cfRule>
  </conditionalFormatting>
  <conditionalFormatting sqref="DD1:DD1048576 EM1:EM1048576">
    <cfRule type="cellIs" dxfId="178" priority="181731" operator="between">
      <formula>DK$29-0.00001</formula>
      <formula>1000</formula>
    </cfRule>
  </conditionalFormatting>
  <conditionalFormatting sqref="DF1:DF1048576 EO1:EO1048576">
    <cfRule type="cellIs" dxfId="177" priority="181737" operator="between">
      <formula>DK$29-0.00001</formula>
      <formula>1000</formula>
    </cfRule>
  </conditionalFormatting>
  <conditionalFormatting sqref="DH1:DH1048576 EQ1:EQ1048576">
    <cfRule type="cellIs" dxfId="176" priority="181743" operator="between">
      <formula>DK$29-0.00001</formula>
      <formula>1000</formula>
    </cfRule>
  </conditionalFormatting>
  <conditionalFormatting sqref="DI1:DI1048576 ER1:ER1048576">
    <cfRule type="cellIs" dxfId="175" priority="181749" operator="between">
      <formula>DK$25-0.00001</formula>
      <formula>1000</formula>
    </cfRule>
    <cfRule type="cellIs" dxfId="174" priority="181750" operator="between">
      <formula>DK$24-0.00001</formula>
      <formula>DK$25-0.00001</formula>
    </cfRule>
  </conditionalFormatting>
  <conditionalFormatting sqref="DJ1:DJ1048576 ES1:ES1048576">
    <cfRule type="cellIs" dxfId="173" priority="181761" operator="between">
      <formula>DK$27-0.00001</formula>
      <formula>DK$28-0.00001</formula>
    </cfRule>
    <cfRule type="cellIs" dxfId="172" priority="181762" operator="between">
      <formula>DK$28-0.00001</formula>
      <formula>1000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1959D3-23FC-5449-AFC3-E6652BF290CD}">
  <sheetPr codeName="Sheet21"/>
  <dimension ref="A1:ET50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26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83203125" customWidth="1"/>
    <col min="15" max="15" width="27.5" customWidth="1"/>
    <col min="16" max="16" width="24.6640625" customWidth="1"/>
    <col min="17" max="17" width="13" customWidth="1"/>
    <col min="18" max="18" width="31.5" customWidth="1"/>
    <col min="19" max="35" width="10.83203125" hidden="1" customWidth="1"/>
    <col min="36" max="39" width="10.83203125" customWidth="1"/>
    <col min="40" max="48" width="10.83203125" style="26" customWidth="1"/>
    <col min="49" max="65" width="10.83203125" hidden="1" customWidth="1"/>
    <col min="66" max="69" width="10.83203125" customWidth="1"/>
    <col min="70" max="80" width="10.83203125" style="26" customWidth="1"/>
    <col min="81" max="100" width="10.83203125" hidden="1" customWidth="1"/>
    <col min="101" max="115" width="10.83203125" style="26" customWidth="1"/>
    <col min="116" max="135" width="10.83203125" hidden="1" customWidth="1"/>
    <col min="136" max="150" width="10.83203125" style="26" customWidth="1"/>
    <col min="151" max="152" width="10.83203125" customWidth="1"/>
  </cols>
  <sheetData>
    <row r="1" spans="1:150" ht="16" customHeight="1" x14ac:dyDescent="0.2">
      <c r="A1" s="55" t="s">
        <v>1</v>
      </c>
      <c r="B1" s="55" t="s">
        <v>14</v>
      </c>
      <c r="C1" s="55" t="s">
        <v>0</v>
      </c>
      <c r="D1" s="55" t="s">
        <v>30</v>
      </c>
      <c r="E1" s="55" t="s">
        <v>2</v>
      </c>
      <c r="F1" s="56" t="s">
        <v>75</v>
      </c>
      <c r="G1" s="56" t="s">
        <v>8</v>
      </c>
      <c r="H1" s="55" t="s">
        <v>9</v>
      </c>
      <c r="I1" s="56" t="s">
        <v>55</v>
      </c>
      <c r="J1" s="53" t="s">
        <v>76</v>
      </c>
      <c r="K1" s="52" t="s">
        <v>16</v>
      </c>
      <c r="L1" s="53" t="s">
        <v>89</v>
      </c>
      <c r="M1" s="52" t="s">
        <v>16</v>
      </c>
      <c r="N1" s="53" t="s">
        <v>90</v>
      </c>
      <c r="O1" s="52" t="s">
        <v>16</v>
      </c>
      <c r="P1" s="54" t="s">
        <v>10</v>
      </c>
      <c r="Q1" s="52" t="s">
        <v>17</v>
      </c>
      <c r="R1" s="52" t="s">
        <v>16</v>
      </c>
      <c r="S1" s="48" t="s">
        <v>147</v>
      </c>
      <c r="T1" s="48"/>
      <c r="U1" s="48"/>
      <c r="V1" s="48"/>
      <c r="W1" s="48"/>
      <c r="X1" s="48"/>
      <c r="Y1" s="48"/>
      <c r="Z1" s="48"/>
      <c r="AA1" s="48"/>
      <c r="AB1" s="48"/>
      <c r="AC1" s="48"/>
      <c r="AD1" s="48"/>
      <c r="AE1" s="48"/>
      <c r="AF1" s="48"/>
      <c r="AG1" s="48"/>
      <c r="AH1" s="48"/>
      <c r="AI1" s="48"/>
      <c r="AJ1" s="48"/>
      <c r="AK1" s="48"/>
      <c r="AL1" s="48"/>
      <c r="AM1" s="48"/>
      <c r="AN1" s="48"/>
      <c r="AO1" s="48"/>
      <c r="AP1" s="48"/>
      <c r="AQ1" s="48"/>
      <c r="AR1" s="48"/>
      <c r="AS1" s="48"/>
      <c r="AT1" s="48"/>
      <c r="AU1" s="48"/>
      <c r="AV1" s="48"/>
      <c r="AW1" s="49" t="s">
        <v>148</v>
      </c>
      <c r="AX1" s="49"/>
      <c r="AY1" s="49"/>
      <c r="AZ1" s="49"/>
      <c r="BA1" s="49"/>
      <c r="BB1" s="49"/>
      <c r="BC1" s="49"/>
      <c r="BD1" s="49"/>
      <c r="BE1" s="49"/>
      <c r="BF1" s="49"/>
      <c r="BG1" s="49"/>
      <c r="BH1" s="49"/>
      <c r="BI1" s="49"/>
      <c r="BJ1" s="49"/>
      <c r="BK1" s="49"/>
      <c r="BL1" s="49"/>
      <c r="BM1" s="49"/>
      <c r="BN1" s="49"/>
      <c r="BO1" s="49"/>
      <c r="BP1" s="49"/>
      <c r="BQ1" s="49"/>
      <c r="BR1" s="49"/>
      <c r="BS1" s="49"/>
      <c r="BT1" s="49"/>
      <c r="BU1" s="49"/>
      <c r="BV1" s="49"/>
      <c r="BW1" s="49"/>
      <c r="BX1" s="49"/>
      <c r="BY1" s="49"/>
      <c r="BZ1" s="49"/>
      <c r="CA1" s="50" t="s">
        <v>77</v>
      </c>
      <c r="CB1" s="50"/>
      <c r="CC1" s="48" t="s">
        <v>45</v>
      </c>
      <c r="CD1" s="48"/>
      <c r="CE1" s="48"/>
      <c r="CF1" s="48"/>
      <c r="CG1" s="48"/>
      <c r="CH1" s="48"/>
      <c r="CI1" s="48"/>
      <c r="CJ1" s="48"/>
      <c r="CK1" s="48"/>
      <c r="CL1" s="48"/>
      <c r="CM1" s="48"/>
      <c r="CN1" s="48"/>
      <c r="CO1" s="48"/>
      <c r="CP1" s="48"/>
      <c r="CQ1" s="48"/>
      <c r="CR1" s="48"/>
      <c r="CS1" s="48"/>
      <c r="CT1" s="48"/>
      <c r="CU1" s="48"/>
      <c r="CV1" s="48"/>
      <c r="CW1" s="48"/>
      <c r="CX1" s="48"/>
      <c r="CY1" s="48"/>
      <c r="CZ1" s="48"/>
      <c r="DA1" s="48"/>
      <c r="DB1" s="48"/>
      <c r="DC1" s="48"/>
      <c r="DD1" s="48"/>
      <c r="DE1" s="48"/>
      <c r="DF1" s="48"/>
      <c r="DG1" s="48"/>
      <c r="DH1" s="48"/>
      <c r="DI1" s="48"/>
      <c r="DJ1" s="48"/>
      <c r="DK1" s="48"/>
      <c r="DL1" s="49" t="s">
        <v>46</v>
      </c>
      <c r="DM1" s="49"/>
      <c r="DN1" s="49"/>
      <c r="DO1" s="49"/>
      <c r="DP1" s="49"/>
      <c r="DQ1" s="49"/>
      <c r="DR1" s="49"/>
      <c r="DS1" s="49"/>
      <c r="DT1" s="49"/>
      <c r="DU1" s="49"/>
      <c r="DV1" s="49"/>
      <c r="DW1" s="49"/>
      <c r="DX1" s="49"/>
      <c r="DY1" s="49"/>
      <c r="DZ1" s="49"/>
      <c r="EA1" s="49"/>
      <c r="EB1" s="49"/>
      <c r="EC1" s="49"/>
      <c r="ED1" s="49"/>
      <c r="EE1" s="49"/>
      <c r="EF1" s="49"/>
      <c r="EG1" s="49"/>
      <c r="EH1" s="49"/>
      <c r="EI1" s="49"/>
      <c r="EJ1" s="49"/>
      <c r="EK1" s="49"/>
      <c r="EL1" s="49"/>
      <c r="EM1" s="49"/>
      <c r="EN1" s="49"/>
      <c r="EO1" s="49"/>
      <c r="EP1" s="49"/>
      <c r="EQ1" s="49"/>
      <c r="ER1" s="49"/>
      <c r="ES1" s="49"/>
      <c r="ET1" s="49"/>
    </row>
    <row r="2" spans="1:150" x14ac:dyDescent="0.2">
      <c r="A2" s="55"/>
      <c r="B2" s="55"/>
      <c r="C2" s="55"/>
      <c r="D2" s="55"/>
      <c r="E2" s="55"/>
      <c r="F2" s="56"/>
      <c r="G2" s="56"/>
      <c r="H2" s="55"/>
      <c r="I2" s="56"/>
      <c r="J2" s="53"/>
      <c r="K2" s="52"/>
      <c r="L2" s="53"/>
      <c r="M2" s="52"/>
      <c r="N2" s="52"/>
      <c r="O2" s="52"/>
      <c r="P2" s="54"/>
      <c r="Q2" s="52"/>
      <c r="R2" s="52"/>
      <c r="S2" s="46" t="s">
        <v>78</v>
      </c>
      <c r="T2" s="46"/>
      <c r="U2" s="46"/>
      <c r="V2" s="46"/>
      <c r="W2" s="46" t="s">
        <v>79</v>
      </c>
      <c r="X2" s="46"/>
      <c r="Y2" s="46"/>
      <c r="Z2" s="46"/>
      <c r="AA2" s="46" t="s">
        <v>80</v>
      </c>
      <c r="AB2" s="46"/>
      <c r="AC2" s="46"/>
      <c r="AD2" s="46"/>
      <c r="AE2" s="47" t="s">
        <v>81</v>
      </c>
      <c r="AF2" s="47"/>
      <c r="AG2" s="47"/>
      <c r="AH2" s="47"/>
      <c r="AI2" s="13"/>
      <c r="AJ2" s="13" t="s">
        <v>95</v>
      </c>
      <c r="AK2" s="13" t="s">
        <v>91</v>
      </c>
      <c r="AL2" s="13" t="s">
        <v>96</v>
      </c>
      <c r="AM2" s="13" t="s">
        <v>92</v>
      </c>
      <c r="AN2" s="13" t="s">
        <v>82</v>
      </c>
      <c r="AO2" s="13" t="s">
        <v>13</v>
      </c>
      <c r="AP2" s="13" t="s">
        <v>97</v>
      </c>
      <c r="AQ2" s="13" t="s">
        <v>93</v>
      </c>
      <c r="AR2" s="13" t="s">
        <v>98</v>
      </c>
      <c r="AS2" s="13" t="s">
        <v>94</v>
      </c>
      <c r="AT2" s="13" t="s">
        <v>83</v>
      </c>
      <c r="AU2" s="13" t="s">
        <v>84</v>
      </c>
      <c r="AV2" s="13" t="s">
        <v>12</v>
      </c>
      <c r="AW2" s="44" t="s">
        <v>78</v>
      </c>
      <c r="AX2" s="44"/>
      <c r="AY2" s="44"/>
      <c r="AZ2" s="44"/>
      <c r="BA2" s="44" t="s">
        <v>79</v>
      </c>
      <c r="BB2" s="44"/>
      <c r="BC2" s="44"/>
      <c r="BD2" s="44"/>
      <c r="BE2" s="44" t="s">
        <v>80</v>
      </c>
      <c r="BF2" s="44"/>
      <c r="BG2" s="44"/>
      <c r="BH2" s="44"/>
      <c r="BI2" s="45" t="s">
        <v>81</v>
      </c>
      <c r="BJ2" s="45"/>
      <c r="BK2" s="45"/>
      <c r="BL2" s="45"/>
      <c r="BM2" s="12"/>
      <c r="BN2" s="12" t="s">
        <v>95</v>
      </c>
      <c r="BO2" s="12" t="s">
        <v>91</v>
      </c>
      <c r="BP2" s="12" t="s">
        <v>96</v>
      </c>
      <c r="BQ2" s="12" t="s">
        <v>92</v>
      </c>
      <c r="BR2" s="12" t="s">
        <v>82</v>
      </c>
      <c r="BS2" s="12" t="s">
        <v>13</v>
      </c>
      <c r="BT2" s="12" t="s">
        <v>97</v>
      </c>
      <c r="BU2" s="12" t="s">
        <v>93</v>
      </c>
      <c r="BV2" s="12" t="s">
        <v>98</v>
      </c>
      <c r="BW2" s="12" t="s">
        <v>94</v>
      </c>
      <c r="BX2" s="12" t="s">
        <v>83</v>
      </c>
      <c r="BY2" s="12" t="s">
        <v>84</v>
      </c>
      <c r="BZ2" s="12" t="s">
        <v>12</v>
      </c>
      <c r="CA2" s="33" t="s">
        <v>85</v>
      </c>
      <c r="CB2" s="33" t="s">
        <v>99</v>
      </c>
      <c r="CC2" s="46" t="s">
        <v>78</v>
      </c>
      <c r="CD2" s="46"/>
      <c r="CE2" s="46"/>
      <c r="CF2" s="46"/>
      <c r="CG2" s="46" t="s">
        <v>79</v>
      </c>
      <c r="CH2" s="46"/>
      <c r="CI2" s="46"/>
      <c r="CJ2" s="46"/>
      <c r="CK2" s="46" t="s">
        <v>86</v>
      </c>
      <c r="CL2" s="46"/>
      <c r="CM2" s="46"/>
      <c r="CN2" s="46"/>
      <c r="CO2" s="46" t="s">
        <v>80</v>
      </c>
      <c r="CP2" s="46"/>
      <c r="CQ2" s="46"/>
      <c r="CR2" s="46"/>
      <c r="CS2" s="51" t="s">
        <v>81</v>
      </c>
      <c r="CT2" s="51"/>
      <c r="CU2" s="51"/>
      <c r="CV2" s="51"/>
      <c r="CW2" s="13" t="s">
        <v>95</v>
      </c>
      <c r="CX2" s="13" t="s">
        <v>91</v>
      </c>
      <c r="CY2" s="13" t="s">
        <v>96</v>
      </c>
      <c r="CZ2" s="13" t="s">
        <v>92</v>
      </c>
      <c r="DA2" s="13" t="s">
        <v>87</v>
      </c>
      <c r="DB2" s="13" t="s">
        <v>85</v>
      </c>
      <c r="DC2" s="13" t="s">
        <v>100</v>
      </c>
      <c r="DD2" s="13" t="s">
        <v>86</v>
      </c>
      <c r="DE2" s="13" t="s">
        <v>101</v>
      </c>
      <c r="DF2" s="13" t="s">
        <v>80</v>
      </c>
      <c r="DG2" s="13" t="s">
        <v>102</v>
      </c>
      <c r="DH2" s="13" t="s">
        <v>81</v>
      </c>
      <c r="DI2" s="13" t="s">
        <v>83</v>
      </c>
      <c r="DJ2" s="13" t="s">
        <v>84</v>
      </c>
      <c r="DK2" s="13" t="s">
        <v>12</v>
      </c>
      <c r="DL2" s="44" t="s">
        <v>78</v>
      </c>
      <c r="DM2" s="44"/>
      <c r="DN2" s="44"/>
      <c r="DO2" s="44"/>
      <c r="DP2" s="44" t="s">
        <v>79</v>
      </c>
      <c r="DQ2" s="44"/>
      <c r="DR2" s="44"/>
      <c r="DS2" s="44"/>
      <c r="DT2" s="44" t="s">
        <v>86</v>
      </c>
      <c r="DU2" s="44"/>
      <c r="DV2" s="44"/>
      <c r="DW2" s="44"/>
      <c r="DX2" s="44" t="s">
        <v>80</v>
      </c>
      <c r="DY2" s="44"/>
      <c r="DZ2" s="44"/>
      <c r="EA2" s="44"/>
      <c r="EB2" s="45" t="s">
        <v>81</v>
      </c>
      <c r="EC2" s="45"/>
      <c r="ED2" s="45"/>
      <c r="EE2" s="45"/>
      <c r="EF2" s="12" t="s">
        <v>95</v>
      </c>
      <c r="EG2" s="12" t="s">
        <v>91</v>
      </c>
      <c r="EH2" s="12" t="s">
        <v>96</v>
      </c>
      <c r="EI2" s="12" t="s">
        <v>92</v>
      </c>
      <c r="EJ2" s="12" t="s">
        <v>87</v>
      </c>
      <c r="EK2" s="12" t="s">
        <v>85</v>
      </c>
      <c r="EL2" s="12" t="s">
        <v>100</v>
      </c>
      <c r="EM2" s="12" t="s">
        <v>86</v>
      </c>
      <c r="EN2" s="12" t="s">
        <v>101</v>
      </c>
      <c r="EO2" s="12" t="s">
        <v>80</v>
      </c>
      <c r="EP2" s="12" t="s">
        <v>102</v>
      </c>
      <c r="EQ2" s="12" t="s">
        <v>81</v>
      </c>
      <c r="ER2" s="12" t="s">
        <v>83</v>
      </c>
      <c r="ES2" s="12" t="s">
        <v>84</v>
      </c>
      <c r="ET2" s="12" t="s">
        <v>12</v>
      </c>
    </row>
    <row r="3" spans="1:150" x14ac:dyDescent="0.2">
      <c r="A3" s="55"/>
      <c r="B3" s="55"/>
      <c r="C3" s="55"/>
      <c r="D3" s="55"/>
      <c r="E3" s="55"/>
      <c r="F3" s="56"/>
      <c r="G3" s="56"/>
      <c r="H3" s="55"/>
      <c r="I3" s="56"/>
      <c r="J3" s="53"/>
      <c r="K3" s="52"/>
      <c r="L3" s="53"/>
      <c r="M3" s="52"/>
      <c r="N3" s="52"/>
      <c r="O3" s="52"/>
      <c r="P3" s="54"/>
      <c r="Q3" s="52"/>
      <c r="R3" s="52"/>
      <c r="S3" s="13" t="s">
        <v>11</v>
      </c>
      <c r="T3" s="13" t="s">
        <v>7</v>
      </c>
      <c r="U3" s="13" t="s">
        <v>15</v>
      </c>
      <c r="V3" s="13" t="s">
        <v>88</v>
      </c>
      <c r="W3" s="13" t="s">
        <v>11</v>
      </c>
      <c r="X3" s="13" t="s">
        <v>7</v>
      </c>
      <c r="Y3" s="13" t="s">
        <v>15</v>
      </c>
      <c r="Z3" s="13" t="s">
        <v>88</v>
      </c>
      <c r="AA3" s="13" t="s">
        <v>11</v>
      </c>
      <c r="AB3" s="13" t="s">
        <v>7</v>
      </c>
      <c r="AC3" s="13" t="s">
        <v>15</v>
      </c>
      <c r="AD3" s="13" t="s">
        <v>88</v>
      </c>
      <c r="AE3" s="35" t="s">
        <v>11</v>
      </c>
      <c r="AF3" s="35" t="s">
        <v>7</v>
      </c>
      <c r="AG3" s="35" t="s">
        <v>15</v>
      </c>
      <c r="AH3" s="35" t="s">
        <v>88</v>
      </c>
      <c r="AI3" s="13" t="s">
        <v>28</v>
      </c>
      <c r="AJ3" s="13"/>
      <c r="AK3" s="13"/>
      <c r="AL3" s="13"/>
      <c r="AM3" s="13"/>
      <c r="AN3" s="13"/>
      <c r="AO3" s="13"/>
      <c r="AP3" s="13"/>
      <c r="AQ3" s="13"/>
      <c r="AR3" s="13"/>
      <c r="AS3" s="13"/>
      <c r="AT3" s="13"/>
      <c r="AU3" s="13"/>
      <c r="AV3" s="13"/>
      <c r="AW3" s="12" t="s">
        <v>11</v>
      </c>
      <c r="AX3" s="12" t="s">
        <v>7</v>
      </c>
      <c r="AY3" s="12" t="s">
        <v>15</v>
      </c>
      <c r="AZ3" s="12" t="s">
        <v>88</v>
      </c>
      <c r="BA3" s="12" t="s">
        <v>11</v>
      </c>
      <c r="BB3" s="12" t="s">
        <v>7</v>
      </c>
      <c r="BC3" s="12" t="s">
        <v>15</v>
      </c>
      <c r="BD3" s="12" t="s">
        <v>88</v>
      </c>
      <c r="BE3" s="12" t="s">
        <v>11</v>
      </c>
      <c r="BF3" s="12" t="s">
        <v>7</v>
      </c>
      <c r="BG3" s="12" t="s">
        <v>15</v>
      </c>
      <c r="BH3" s="12" t="s">
        <v>88</v>
      </c>
      <c r="BI3" s="36" t="s">
        <v>11</v>
      </c>
      <c r="BJ3" s="36" t="s">
        <v>7</v>
      </c>
      <c r="BK3" s="36" t="s">
        <v>15</v>
      </c>
      <c r="BL3" s="36" t="s">
        <v>88</v>
      </c>
      <c r="BM3" s="12" t="s">
        <v>28</v>
      </c>
      <c r="BN3" s="12"/>
      <c r="BO3" s="12"/>
      <c r="BP3" s="12"/>
      <c r="BQ3" s="12"/>
      <c r="BR3" s="12"/>
      <c r="BS3" s="12"/>
      <c r="BT3" s="12"/>
      <c r="BU3" s="12"/>
      <c r="BV3" s="12"/>
      <c r="BW3" s="12"/>
      <c r="BX3" s="12"/>
      <c r="BY3" s="12"/>
      <c r="BZ3" s="12"/>
      <c r="CA3" s="33"/>
      <c r="CB3" s="33"/>
      <c r="CC3" s="13" t="s">
        <v>11</v>
      </c>
      <c r="CD3" s="13" t="s">
        <v>7</v>
      </c>
      <c r="CE3" s="13" t="s">
        <v>15</v>
      </c>
      <c r="CF3" s="13" t="s">
        <v>88</v>
      </c>
      <c r="CG3" s="13" t="s">
        <v>11</v>
      </c>
      <c r="CH3" s="13" t="s">
        <v>7</v>
      </c>
      <c r="CI3" s="13" t="s">
        <v>15</v>
      </c>
      <c r="CJ3" s="13" t="s">
        <v>88</v>
      </c>
      <c r="CK3" s="13" t="s">
        <v>11</v>
      </c>
      <c r="CL3" s="13" t="s">
        <v>7</v>
      </c>
      <c r="CM3" s="13" t="s">
        <v>15</v>
      </c>
      <c r="CN3" s="13" t="s">
        <v>88</v>
      </c>
      <c r="CO3" s="13" t="s">
        <v>11</v>
      </c>
      <c r="CP3" s="13" t="s">
        <v>7</v>
      </c>
      <c r="CQ3" s="13" t="s">
        <v>15</v>
      </c>
      <c r="CR3" s="13" t="s">
        <v>88</v>
      </c>
      <c r="CS3" s="37" t="s">
        <v>11</v>
      </c>
      <c r="CT3" s="37" t="s">
        <v>7</v>
      </c>
      <c r="CU3" s="37" t="s">
        <v>15</v>
      </c>
      <c r="CV3" s="37" t="s">
        <v>88</v>
      </c>
      <c r="CW3" s="13"/>
      <c r="CX3" s="13"/>
      <c r="CY3" s="13"/>
      <c r="CZ3" s="13"/>
      <c r="DA3" s="13"/>
      <c r="DB3" s="13"/>
      <c r="DC3" s="13"/>
      <c r="DD3" s="13"/>
      <c r="DE3" s="13"/>
      <c r="DF3" s="13"/>
      <c r="DG3" s="13"/>
      <c r="DH3" s="13"/>
      <c r="DI3" s="13"/>
      <c r="DJ3" s="13"/>
      <c r="DK3" s="13"/>
      <c r="DL3" s="12" t="s">
        <v>11</v>
      </c>
      <c r="DM3" s="12" t="s">
        <v>7</v>
      </c>
      <c r="DN3" s="12" t="s">
        <v>15</v>
      </c>
      <c r="DO3" s="12" t="s">
        <v>88</v>
      </c>
      <c r="DP3" s="12" t="s">
        <v>11</v>
      </c>
      <c r="DQ3" s="12" t="s">
        <v>7</v>
      </c>
      <c r="DR3" s="12" t="s">
        <v>15</v>
      </c>
      <c r="DS3" s="12" t="s">
        <v>88</v>
      </c>
      <c r="DT3" s="12" t="s">
        <v>11</v>
      </c>
      <c r="DU3" s="12" t="s">
        <v>7</v>
      </c>
      <c r="DV3" s="12" t="s">
        <v>15</v>
      </c>
      <c r="DW3" s="12" t="s">
        <v>88</v>
      </c>
      <c r="DX3" s="12" t="s">
        <v>11</v>
      </c>
      <c r="DY3" s="12" t="s">
        <v>7</v>
      </c>
      <c r="DZ3" s="12" t="s">
        <v>15</v>
      </c>
      <c r="EA3" s="12" t="s">
        <v>88</v>
      </c>
      <c r="EB3" s="36" t="s">
        <v>11</v>
      </c>
      <c r="EC3" s="36" t="s">
        <v>7</v>
      </c>
      <c r="ED3" s="36" t="s">
        <v>15</v>
      </c>
      <c r="EE3" s="36" t="s">
        <v>88</v>
      </c>
      <c r="EF3" s="12"/>
      <c r="EG3" s="12"/>
      <c r="EH3" s="12"/>
      <c r="EI3" s="12"/>
      <c r="EJ3" s="12"/>
      <c r="EK3" s="12"/>
      <c r="EL3" s="12"/>
      <c r="EM3" s="12"/>
      <c r="EN3" s="12"/>
      <c r="EO3" s="12"/>
      <c r="EP3" s="12"/>
      <c r="EQ3" s="12"/>
      <c r="ER3" s="12"/>
      <c r="ES3" s="12"/>
      <c r="ET3" s="12"/>
    </row>
    <row r="4" spans="1:150" x14ac:dyDescent="0.2">
      <c r="A4" s="3" t="str" cm="1">
        <f t="array" ref="A4">IF(AND(H4&lt;&gt;"",H4&lt;&gt;"No DD",I4&lt;&gt;"P"),SUMPRODUCT((H$4:H$35&lt;&gt;"")*(H$4:H$35&lt;&gt;"No DD")*(I$4:I$35&lt;&gt;"P")*(E$4:E$35&gt;E4))+1,IF(H4="No DD",SUMPRODUCT((H$4:H$35="No DD")*(I$4:I$35&lt;&gt;"P")*(E$4:E$35&gt;E4))+1+SUMPRODUCT((H$4:H$35&lt;&gt;"")*(I$4:I$35&lt;&gt;"P")*(H$4:H$35&lt;&gt;"No DD")),""))</f>
        <v/>
      </c>
      <c r="B4" s="4" t="s">
        <v>65</v>
      </c>
      <c r="C4" s="3" t="s">
        <v>4</v>
      </c>
      <c r="D4" s="3">
        <v>2007</v>
      </c>
      <c r="E4" s="8">
        <f t="shared" ref="E4:E34" si="0">SUM(J4:P4)+SUM(J4:M4)*0.0000001+SUM(J4)*0.0000000000001</f>
        <v>110.00000833000546</v>
      </c>
      <c r="F4" s="2" t="str">
        <f>IF(OR(AND(AO4&lt;&gt;"",AO4&gt;=AV$40,AN4&gt;=AV$37),AND(AU4&lt;&gt;"",AU4&gt;=AV$40,AT4&gt;=AV$37),AND(BS4&lt;&gt;"",BS4&gt;=BZ$40,BR4&gt;=BZ$37),AND(BY4&lt;&gt;"",BY4&gt;=BZ$40,BX4&gt;=BZ$37),AND(DB4&lt;&gt;"",DB4&gt;=DK$40,DA4&gt;=DK$37),AND(DJ4&lt;&gt;"",DJ4&gt;=DK$40,DI4&gt;=DK$37),AND(EK4&lt;&gt;"",EK4&gt;=ET$40,EJ4&gt;=ET$37),AND(ES4&lt;&gt;"",ES4&gt;=ET$40,ER4&gt;=ET$37)),"P","")</f>
        <v>P</v>
      </c>
      <c r="G4" s="2" t="str">
        <f>IF(OR(AND(AO4&lt;&gt;"",AO4&gt;=AV$40),AND(AU4&lt;&gt;"",AU4&gt;=AV$40),AND(BS4&lt;&gt;"",BS4&gt;=BZ$40),AND(BY4&lt;&gt;"",BY4&gt;=BZ$40),AND(DB4&lt;&gt;"",DB4&gt;=DK$40),AND(DJ4&lt;&gt;"",DJ4&gt;=DK$40),AND(EK4&lt;&gt;"",EK4&gt;=ET$40),AND(ES4&lt;&gt;"",ES4&gt;=ET$40)),"P","")</f>
        <v>P</v>
      </c>
      <c r="H4" s="26" t="str">
        <f>IF(AND(G4="P",F4=""),"No DD",IF(OR(AND(AK4&lt;&gt;"",AK4&gt;=AV$42,AJ4&gt;=AV$39),AND(AM4&lt;&gt;"",AM4&gt;=AV$42,AL4&gt;=AV$39),AND(AQ4&lt;&gt;"",AQ4&gt;=AV$42,AP4&gt;=AV$39),AND(AS4&lt;&gt;"",AS4&gt;=AV$42,AR4&gt;=AV$39),AND(BO4&lt;&gt;"",BO4&gt;=BZ$42,BN4&gt;=BZ$39),AND(BQ4&lt;&gt;"",BQ4&gt;=BZ$42,BP4&gt;=BZ$39),AND(BV4&lt;&gt;"",BV4&gt;=BZ$42,BU4&gt;=BZ$39),AND(BX4&lt;&gt;"",BX4&gt;=BZ$42,BW4&gt;=BZ$39),AND(CX4&lt;&gt;"",CX4&gt;=DK$42,CW4&gt;=DK$39),AND(CZ4&lt;&gt;"",CZ4&gt;=DK$42,CY4&gt;=DK$39),AND(DD4&lt;&gt;"",DD4&gt;=DK$42,DC4&gt;=DK$39),AND(DF4&lt;&gt;"",DF4&gt;=DK$42,DE4&gt;=DK$39),AND(DH4&lt;&gt;"",DH4&gt;=DK$42,DG4&gt;=DK$39),AND(EG4&lt;&gt;"",EG4&gt;=ET$42,EF4&gt;=ET$39),AND(EI4&lt;&gt;"",EI4&gt;=ET$42,EH4&gt;=ET$39),AND(EM4&lt;&gt;"",EM4&gt;=ET$42,EL4&gt;=ET$39),AND(EO4&lt;&gt;"",EO4&gt;=ET$42,EN4&gt;=ET$39),AND(EQ4&lt;&gt;"",EQ4&gt;=ET$42,EP4&gt;=ET$39)),"Performance",IF(I4="P","National Team",IF(F4="P","National Team",""))))</f>
        <v>National Team</v>
      </c>
      <c r="I4" s="2" t="str">
        <f>IF(COUNTIFS('Senior-M'!B:B,B4,'Senior-M'!A:A,"&lt;9",'Senior-M'!H:H,"&lt;&gt;"&amp;"No DD"),"P","")</f>
        <v>P</v>
      </c>
      <c r="J4" s="7">
        <f t="shared" ref="J4:J34" si="1">IF(COUNT(AO4,BS4)&gt;0,MAX(AO4,BS4),0)</f>
        <v>54.5</v>
      </c>
      <c r="K4" s="7" t="str">
        <f t="shared" ref="K4:K34" si="2">IF(J4=0,"",IF(J4=BS4,$AW$1,IF(J4=AO4,$S$1,"")))</f>
        <v>2026 Elite Canada</v>
      </c>
      <c r="L4" s="7">
        <f>IF(J4=AO4,IF(COUNT(AQ4,AS4,BO4,BQ4,BU4,BW4)&gt;1,LARGE((AQ4,AS4,BO4,BQ4,BU4,BW4),1),0),IF(COUNT(AK4,AM4,AQ4,AS4,BU4,BW4)&gt;1,LARGE((AK4,AM4,AQ4,AS4,BU4,BW4),1),0))</f>
        <v>28.8</v>
      </c>
      <c r="M4" s="7" t="str">
        <f t="shared" ref="M4:M34" si="3">IF(L4=0,"",IF(OR(L4=BO4,L4=BQ4,L4=BU4,L4=BW4),$AW$1,IF(OR(L4=AK4,L4=AM4,L4=AQ4,L4=AS4),$S$1,"")))</f>
        <v>2026 Elite Canada</v>
      </c>
      <c r="N4" s="7">
        <f>IF(J4=AO4,IF(COUNT(AQ4,AS4,BO4,BQ4,BU4,BW4)&gt;1,LARGE((AQ4,AS4,BO4,BQ4,BU4,BW4),2),0),IF(COUNT(AK4,AM4,AQ4,AS4,BU4,BW4)&gt;1,LARGE((AK4,AM4,AQ4,AS4,BU4,BW4),2),0))</f>
        <v>21.299999999999997</v>
      </c>
      <c r="O4" s="7" t="str">
        <f t="shared" ref="O4:O34" si="4">IF(N4=0,"",IF(OR(N4=BO4,N4=BQ4,N4=BU4,N4=BW4),$AW$1,IF(OR(N4=AK4,N4=AM4,N4=AQ4,N4=AS4),$S$1,"")))</f>
        <v>2026 Elite Canada</v>
      </c>
      <c r="P4" s="7">
        <f t="shared" ref="P4:P34" si="5">IF(MAX(CA4:CB4)&gt;0,MAX(CA4:CB4),"")</f>
        <v>5.4000000000000021</v>
      </c>
      <c r="Q4" s="10" t="str">
        <f t="shared" ref="Q4:Q34" si="6">IF(P4="","",IF(P4=CA4,"("&amp;CA$2&amp;")",IF(P4=CB4,"("&amp;CB$2&amp;")")))</f>
        <v>(Pass)</v>
      </c>
      <c r="R4" s="7" t="str">
        <f t="shared" ref="R4:R34" si="7">IF(P4="","",IF(P4=CA4,IF(P4+MAX(J4,0)=EK4,$DL$1,IF(P4+MAX(J4,0)=DB4,$CC$1)),IF(P4=CB4,IF(P4+MAX(N4,0)=MAX(EG4,EI4,EM4,EO4,EQ4),$DL$1,IF(P4+MAX(N4,0)=MAX(CX4,CZ4,DD4,DF4,DH4),$CC$1)))))</f>
        <v>2025 Worlds (Nov 9)</v>
      </c>
      <c r="S4" s="38">
        <v>18.8</v>
      </c>
      <c r="T4" s="38">
        <v>8</v>
      </c>
      <c r="U4" s="38">
        <v>0.2</v>
      </c>
      <c r="V4" s="38">
        <v>0.50000000000000067</v>
      </c>
      <c r="W4" s="38">
        <v>19</v>
      </c>
      <c r="X4" s="38">
        <v>8.4</v>
      </c>
      <c r="Y4" s="38">
        <v>0</v>
      </c>
      <c r="Z4" s="38">
        <v>0</v>
      </c>
      <c r="AA4" s="38">
        <v>18.399999999999999</v>
      </c>
      <c r="AB4" s="38">
        <v>4.7</v>
      </c>
      <c r="AC4" s="38">
        <v>1.8</v>
      </c>
      <c r="AD4" s="38">
        <v>0</v>
      </c>
      <c r="AE4" s="38">
        <v>18.8</v>
      </c>
      <c r="AF4" s="38">
        <v>9.5</v>
      </c>
      <c r="AG4" s="38">
        <v>0</v>
      </c>
      <c r="AH4" s="38">
        <v>0.5</v>
      </c>
      <c r="AI4" s="19"/>
      <c r="AJ4" s="41">
        <f t="shared" ref="AJ4:AJ34" si="8">IF(T4="","",T4)</f>
        <v>8</v>
      </c>
      <c r="AK4" s="41">
        <f t="shared" ref="AK4:AK34" si="9">IF(S4="","",S4+T4+V4-U4)</f>
        <v>27.1</v>
      </c>
      <c r="AL4" s="41">
        <f t="shared" ref="AL4:AL34" si="10">IF(X4="","",X4)</f>
        <v>8.4</v>
      </c>
      <c r="AM4" s="41">
        <f t="shared" ref="AM4:AM34" si="11">IF(W4="","",W4+X4+Z4-Y4)</f>
        <v>27.4</v>
      </c>
      <c r="AN4" s="27">
        <f t="shared" ref="AN4:AN34" si="12">IF(SUM(T4,X4)&gt;0,SUM(T4,X4),"")</f>
        <v>16.399999999999999</v>
      </c>
      <c r="AO4" s="27">
        <f t="shared" ref="AO4:AO34" si="13">IF(SUM(AK4,AM4)&gt;0,SUM(AK4,AM4),"")</f>
        <v>54.5</v>
      </c>
      <c r="AP4" s="27">
        <f t="shared" ref="AP4:AP34" si="14">IF(AB4="","",AB4)</f>
        <v>4.7</v>
      </c>
      <c r="AQ4" s="27">
        <f t="shared" ref="AQ4:AQ34" si="15">IF(AA4="","",AA4+AB4+AD4-AC4)</f>
        <v>21.299999999999997</v>
      </c>
      <c r="AR4" s="27">
        <f t="shared" ref="AR4:AR34" si="16">IF(AF4="","",AF4)</f>
        <v>9.5</v>
      </c>
      <c r="AS4" s="27">
        <f t="shared" ref="AS4:AS34" si="17">IF(AE4="","",AE4+AF4+AH4-AG4)</f>
        <v>28.8</v>
      </c>
      <c r="AT4" s="27">
        <f t="shared" ref="AT4:AT34" si="18">IF(SUM(AB4,AF4)&gt;0,SUM(AB4,AF4),"")</f>
        <v>14.2</v>
      </c>
      <c r="AU4" s="27">
        <f t="shared" ref="AU4:AU34" si="19">IF(SUM(AQ4,AS4)&gt;0,SUM(AQ4,AS4),"")</f>
        <v>50.099999999999994</v>
      </c>
      <c r="AV4" s="27">
        <f t="shared" ref="AV4:AV34" si="20">IF(SUM(AO4,AU4)&gt;0,SUM(AO4,AU4),"")</f>
        <v>104.6</v>
      </c>
      <c r="AW4" s="15"/>
      <c r="AX4" s="15"/>
      <c r="AY4" s="15"/>
      <c r="AZ4" s="15"/>
      <c r="BA4" s="15"/>
      <c r="BB4" s="15"/>
      <c r="BC4" s="15"/>
      <c r="BD4" s="15"/>
      <c r="BE4" s="15"/>
      <c r="BF4" s="15"/>
      <c r="BG4" s="15"/>
      <c r="BH4" s="15"/>
      <c r="BI4" s="15"/>
      <c r="BJ4" s="15"/>
      <c r="BK4" s="15"/>
      <c r="BL4" s="15"/>
      <c r="BM4" s="20"/>
      <c r="BN4" s="42" t="str">
        <f t="shared" ref="BN4:BN34" si="21">IF(AX4="","",AX4)</f>
        <v/>
      </c>
      <c r="BO4" s="42" t="str">
        <f t="shared" ref="BO4:BO34" si="22">IF(AW4="","",AW4+AX4+AZ4-AY4)</f>
        <v/>
      </c>
      <c r="BP4" s="42" t="str">
        <f t="shared" ref="BP4:BP34" si="23">IF(BB4="","",BB4)</f>
        <v/>
      </c>
      <c r="BQ4" s="42" t="str">
        <f t="shared" ref="BQ4:BQ34" si="24">IF(BA4="","",BA4+BB4+BD4-BC4)</f>
        <v/>
      </c>
      <c r="BR4" s="10" t="str">
        <f t="shared" ref="BR4:BR34" si="25">IF(SUM(AX4,BB4)&gt;0,SUM(AX4,BB4),"")</f>
        <v/>
      </c>
      <c r="BS4" s="10" t="str">
        <f t="shared" ref="BS4:BS34" si="26">IF(SUM(BO4,BQ4)&gt;0,SUM(BO4,BQ4),"")</f>
        <v/>
      </c>
      <c r="BT4" s="10" t="str">
        <f t="shared" ref="BT4:BT34" si="27">IF(BF4="","",BF4)</f>
        <v/>
      </c>
      <c r="BU4" s="10" t="str">
        <f t="shared" ref="BU4:BU34" si="28">IF(BE4="","",BE4+BF4+BH4-BG4)</f>
        <v/>
      </c>
      <c r="BV4" s="10" t="str">
        <f t="shared" ref="BV4:BV34" si="29">IF(BJ4="","",BJ4)</f>
        <v/>
      </c>
      <c r="BW4" s="10" t="str">
        <f t="shared" ref="BW4:BW34" si="30">IF(BI4="","",BI4+BJ4+BL4-BK4)</f>
        <v/>
      </c>
      <c r="BX4" s="10" t="str">
        <f t="shared" ref="BX4:BX34" si="31">IF(SUM(BF4,BJ4)&gt;0,SUM(BF4,BJ4),"")</f>
        <v/>
      </c>
      <c r="BY4" s="10" t="str">
        <f t="shared" ref="BY4:BY34" si="32">IF(SUM(BU4,BW4)&gt;0,SUM(BU4,BW4),"")</f>
        <v/>
      </c>
      <c r="BZ4" s="10" t="str">
        <f t="shared" ref="BZ4:BZ34" si="33">IF(SUM(BS4,BY4)&gt;0,SUM(BS4,BY4),"")</f>
        <v/>
      </c>
      <c r="CA4" s="34" t="str">
        <f t="shared" ref="CA4:CA34" si="34">IF(MAX(DB4,EK4)-IF(J4="",0,J4)&gt;0.001,MAX(DB4,EK4)-IF(J4="",0,J4),"")</f>
        <v/>
      </c>
      <c r="CB4" s="34">
        <f t="shared" ref="CB4:CB34" si="35">IF(MAX(CX4,CZ4,DD4,DF4,DH4,EG4,EI4,EM4,EO4)-IF(N4="",0,N4)&gt;0.001,MAX(CX4,CZ4,DD4,DF4,DH4,EG4,EI4,EM4,EO4)-IF(N4="",0,N4),"")</f>
        <v>5.4000000000000021</v>
      </c>
      <c r="CC4" s="14">
        <v>15.5</v>
      </c>
      <c r="CD4" s="14">
        <v>4</v>
      </c>
      <c r="CE4" s="14">
        <v>0</v>
      </c>
      <c r="CF4" s="14">
        <v>0</v>
      </c>
      <c r="CG4" s="14">
        <v>18</v>
      </c>
      <c r="CH4" s="14">
        <v>9.5</v>
      </c>
      <c r="CI4" s="14">
        <v>0.8</v>
      </c>
      <c r="CJ4" s="14">
        <v>0</v>
      </c>
      <c r="CK4" s="14"/>
      <c r="CL4" s="14"/>
      <c r="CM4" s="14"/>
      <c r="CN4" s="14"/>
      <c r="CO4" s="14"/>
      <c r="CP4" s="14"/>
      <c r="CQ4" s="14"/>
      <c r="CR4" s="14"/>
      <c r="CS4" s="14"/>
      <c r="CT4" s="14"/>
      <c r="CU4" s="14"/>
      <c r="CV4" s="14"/>
      <c r="CW4" s="27">
        <f t="shared" ref="CW4:CW34" si="36">IF(CD4="","",CD4)</f>
        <v>4</v>
      </c>
      <c r="CX4" s="27">
        <f t="shared" ref="CX4:CX34" si="37">IF(CC4="","",CC4+CD4+CF4-CE4)</f>
        <v>19.5</v>
      </c>
      <c r="CY4" s="27">
        <f t="shared" ref="CY4:CY34" si="38">IF(CH4="","",CH4)</f>
        <v>9.5</v>
      </c>
      <c r="CZ4" s="27">
        <f t="shared" ref="CZ4:CZ34" si="39">IF(CG4="","",CG4+CH4+CJ4-CI4)</f>
        <v>26.7</v>
      </c>
      <c r="DA4" s="27">
        <f t="shared" ref="DA4:DA34" si="40">IF(CW4="","",SUM(CW4,CY4))</f>
        <v>13.5</v>
      </c>
      <c r="DB4" s="27">
        <f t="shared" ref="DB4:DB34" si="41">IF(CX4="","",SUM(CX4,CZ4))</f>
        <v>46.2</v>
      </c>
      <c r="DC4" s="27" t="str">
        <f t="shared" ref="DC4:DC34" si="42">IF(CL4="","",CL4)</f>
        <v/>
      </c>
      <c r="DD4" s="27" t="str">
        <f t="shared" ref="DD4:DD34" si="43">IF(CK4="","",CK4+CL4+CN4-CM4)</f>
        <v/>
      </c>
      <c r="DE4" s="27" t="str">
        <f t="shared" ref="DE4:DE34" si="44">IF(CP4="","",CP4)</f>
        <v/>
      </c>
      <c r="DF4" s="27" t="str">
        <f t="shared" ref="DF4:DF34" si="45">IF(CO4="","",CO4+CP4+CR4-CQ4)</f>
        <v/>
      </c>
      <c r="DG4" s="27" t="str">
        <f t="shared" ref="DG4:DG34" si="46">IF(CT4="","",CT4)</f>
        <v/>
      </c>
      <c r="DH4" s="27" t="str">
        <f t="shared" ref="DH4:DH34" si="47">IF(CS4="","",CS4+CT4+CV4-CU4)</f>
        <v/>
      </c>
      <c r="DI4" s="27" t="str">
        <f t="shared" ref="DI4:DI34" si="48">IF(DE4="","",SUM(DE4,DG4))</f>
        <v/>
      </c>
      <c r="DJ4" s="27" t="str">
        <f t="shared" ref="DJ4:DJ34" si="49">IF(DF4="","",SUM(DF4,DH4))</f>
        <v/>
      </c>
      <c r="DK4" s="27">
        <f t="shared" ref="DK4:DK34" si="50">IF(DB4="","",SUM(DB4,DD4,DH4))</f>
        <v>46.2</v>
      </c>
      <c r="DL4" s="15"/>
      <c r="DM4" s="15"/>
      <c r="DN4" s="15"/>
      <c r="DO4" s="15"/>
      <c r="DP4" s="15"/>
      <c r="DQ4" s="15"/>
      <c r="DR4" s="15"/>
      <c r="DS4" s="15"/>
      <c r="DT4" s="15"/>
      <c r="DU4" s="15"/>
      <c r="DV4" s="15"/>
      <c r="DW4" s="15"/>
      <c r="DX4" s="15"/>
      <c r="DY4" s="15"/>
      <c r="DZ4" s="15"/>
      <c r="EA4" s="15"/>
      <c r="EB4" s="15"/>
      <c r="EC4" s="15"/>
      <c r="ED4" s="15"/>
      <c r="EE4" s="15"/>
      <c r="EF4" s="10" t="str">
        <f t="shared" ref="EF4:EF34" si="51">IF(DM4="","",DM4)</f>
        <v/>
      </c>
      <c r="EG4" s="10" t="str">
        <f t="shared" ref="EG4:EG34" si="52">IF(DL4="","",DL4+DM4+DO4-DN4)</f>
        <v/>
      </c>
      <c r="EH4" s="10" t="str">
        <f t="shared" ref="EH4:EH34" si="53">IF(DQ4="","",DQ4)</f>
        <v/>
      </c>
      <c r="EI4" s="10" t="str">
        <f t="shared" ref="EI4:EI34" si="54">IF(DP4="","",DP4+DQ4+DS4-DR4)</f>
        <v/>
      </c>
      <c r="EJ4" s="10" t="str">
        <f t="shared" ref="EJ4:EJ34" si="55">IF(EF4="","",SUM(EF4,EH4))</f>
        <v/>
      </c>
      <c r="EK4" s="10" t="str">
        <f t="shared" ref="EK4:EK34" si="56">IF(EG4="","",SUM(EG4,EI4))</f>
        <v/>
      </c>
      <c r="EL4" s="10" t="str">
        <f t="shared" ref="EL4:EL34" si="57">IF(DU4="","",DU4)</f>
        <v/>
      </c>
      <c r="EM4" s="10" t="str">
        <f t="shared" ref="EM4:EM34" si="58">IF(DT4="","",DT4+DU4+DW4-DV4)</f>
        <v/>
      </c>
      <c r="EN4" s="10" t="str">
        <f t="shared" ref="EN4:EN34" si="59">IF(DY4="","",DY4)</f>
        <v/>
      </c>
      <c r="EO4" s="10" t="str">
        <f t="shared" ref="EO4:EO34" si="60">IF(DX4="","",DX4+DY4+EA4-DZ4)</f>
        <v/>
      </c>
      <c r="EP4" s="10" t="str">
        <f t="shared" ref="EP4:EP34" si="61">IF(EC4="","",EC4)</f>
        <v/>
      </c>
      <c r="EQ4" s="10" t="str">
        <f t="shared" ref="EQ4:EQ34" si="62">IF(EB4="","",EB4+EC4+EE4-ED4)</f>
        <v/>
      </c>
      <c r="ER4" s="10" t="str">
        <f t="shared" ref="ER4:ER34" si="63">IF(EN4="","",SUM(EN4,EP4))</f>
        <v/>
      </c>
      <c r="ES4" s="10" t="str">
        <f t="shared" ref="ES4:ES34" si="64">IF(EO4="","",SUM(EO4,EQ4))</f>
        <v/>
      </c>
      <c r="ET4" s="10" t="str">
        <f t="shared" ref="ET4:ET34" si="65">IF(EK4="","",SUM(EK4,EM4,EQ4))</f>
        <v/>
      </c>
    </row>
    <row r="5" spans="1:150" x14ac:dyDescent="0.2">
      <c r="A5" s="3" t="str" cm="1">
        <f t="array" ref="A5">IF(AND(H5&lt;&gt;"",H5&lt;&gt;"No DD",I5&lt;&gt;"P"),SUMPRODUCT((H$4:H$35&lt;&gt;"")*(H$4:H$35&lt;&gt;"No DD")*(I$4:I$35&lt;&gt;"P")*(E$4:E$35&gt;E5))+1,IF(H5="No DD",SUMPRODUCT((H$4:H$35="No DD")*(I$4:I$35&lt;&gt;"P")*(E$4:E$35&gt;E5))+1+SUMPRODUCT((H$4:H$35&lt;&gt;"")*(I$4:I$35&lt;&gt;"P")*(H$4:H$35&lt;&gt;"No DD")),""))</f>
        <v/>
      </c>
      <c r="B5" s="4" t="s">
        <v>42</v>
      </c>
      <c r="C5" s="3" t="s">
        <v>6</v>
      </c>
      <c r="D5" s="3">
        <v>2006</v>
      </c>
      <c r="E5" s="8">
        <f t="shared" si="0"/>
        <v>107.50000801000532</v>
      </c>
      <c r="F5" s="2" t="str">
        <f>IF(OR(AND(AO5&lt;&gt;"",AO5&gt;=AV$40,AN5&gt;=AV$37),AND(AU5&lt;&gt;"",AU5&gt;=AV$40,AT5&gt;=AV$37),AND(BS5&lt;&gt;"",BS5&gt;=BZ$40,BR5&gt;=BZ$37),AND(BY5&lt;&gt;"",BY5&gt;=BZ$40,BX5&gt;=BZ$37),AND(DB5&lt;&gt;"",DB5&gt;=DK$40,DA5&gt;=DK$37),AND(DJ5&lt;&gt;"",DJ5&gt;=DK$40,DI5&gt;=DK$37),AND(EK5&lt;&gt;"",EK5&gt;=ET$40,EJ5&gt;=ET$37),AND(ES5&lt;&gt;"",ES5&gt;=ET$40,ER5&gt;=ET$37)),"P","")</f>
        <v>P</v>
      </c>
      <c r="G5" s="2" t="str">
        <f>IF(OR(AND(AO5&lt;&gt;"",AO5&gt;=AV$40),AND(AU5&lt;&gt;"",AU5&gt;=AV$40),AND(BS5&lt;&gt;"",BS5&gt;=BZ$40),AND(BY5&lt;&gt;"",BY5&gt;=BZ$40),AND(DB5&lt;&gt;"",DB5&gt;=DK$40),AND(DJ5&lt;&gt;"",DJ5&gt;=DK$40),AND(EK5&lt;&gt;"",EK5&gt;=ET$40),AND(ES5&lt;&gt;"",ES5&gt;=ET$40)),"P","")</f>
        <v>P</v>
      </c>
      <c r="H5" s="26" t="str">
        <f>IF(AND(G5="P",F5=""),"No DD",IF(OR(AND(AK5&lt;&gt;"",AK5&gt;=AV$42,AJ5&gt;=AV$39),AND(AM5&lt;&gt;"",AM5&gt;=AV$42,AL5&gt;=AV$39),AND(AQ5&lt;&gt;"",AQ5&gt;=AV$42,AP5&gt;=AV$39),AND(AS5&lt;&gt;"",AS5&gt;=AV$42,AR5&gt;=AV$39),AND(BO5&lt;&gt;"",BO5&gt;=BZ$42,BN5&gt;=BZ$39),AND(BQ5&lt;&gt;"",BQ5&gt;=BZ$42,BP5&gt;=BZ$39),AND(BV5&lt;&gt;"",BV5&gt;=BZ$42,BU5&gt;=BZ$39),AND(BX5&lt;&gt;"",BX5&gt;=BZ$42,BW5&gt;=BZ$39),AND(CX5&lt;&gt;"",CX5&gt;=DK$42,CW5&gt;=DK$39),AND(CZ5&lt;&gt;"",CZ5&gt;=DK$42,CY5&gt;=DK$39),AND(DD5&lt;&gt;"",DD5&gt;=DK$42,DC5&gt;=DK$39),AND(DF5&lt;&gt;"",DF5&gt;=DK$42,DE5&gt;=DK$39),AND(DH5&lt;&gt;"",DH5&gt;=DK$42,DG5&gt;=DK$39),AND(EG5&lt;&gt;"",EG5&gt;=ET$42,EF5&gt;=ET$39),AND(EI5&lt;&gt;"",EI5&gt;=ET$42,EH5&gt;=ET$39),AND(EM5&lt;&gt;"",EM5&gt;=ET$42,EL5&gt;=ET$39),AND(EO5&lt;&gt;"",EO5&gt;=ET$42,EN5&gt;=ET$39),AND(EQ5&lt;&gt;"",EQ5&gt;=ET$42,EP5&gt;=ET$39)),"Performance",IF(I5="P","National Team",IF(F5="P","National Team",""))))</f>
        <v>National Team</v>
      </c>
      <c r="I5" s="2" t="str">
        <f>IF(COUNTIFS('Senior-M'!B:B,B5,'Senior-M'!A:A,"&lt;9",'Senior-M'!H:H,"&lt;&gt;"&amp;"No DD"),"P","")</f>
        <v>P</v>
      </c>
      <c r="J5" s="7">
        <f t="shared" si="1"/>
        <v>53.099999999999994</v>
      </c>
      <c r="K5" s="7" t="str">
        <f t="shared" si="2"/>
        <v>2026 Elite Canada</v>
      </c>
      <c r="L5" s="7">
        <f>IF(J5=AO5,IF(COUNT(AQ5,AS5,BO5,BQ5,BU5,BW5)&gt;1,LARGE((AQ5,AS5,BO5,BQ5,BU5,BW5),1),0),IF(COUNT(AK5,AM5,AQ5,AS5,BU5,BW5)&gt;1,LARGE((AK5,AM5,AQ5,AS5,BU5,BW5),1),0))</f>
        <v>27</v>
      </c>
      <c r="M5" s="7" t="str">
        <f t="shared" si="3"/>
        <v>2026 Elite Canada</v>
      </c>
      <c r="N5" s="7">
        <f>IF(J5=AO5,IF(COUNT(AQ5,AS5,BO5,BQ5,BU5,BW5)&gt;1,LARGE((AQ5,AS5,BO5,BQ5,BU5,BW5),2),0),IF(COUNT(AK5,AM5,AQ5,AS5,BU5,BW5)&gt;1,LARGE((AK5,AM5,AQ5,AS5,BU5,BW5),2),0))</f>
        <v>26.5</v>
      </c>
      <c r="O5" s="7" t="str">
        <f t="shared" si="4"/>
        <v>2026 Elite Canada</v>
      </c>
      <c r="P5" s="7">
        <f t="shared" si="5"/>
        <v>0.89999999999999858</v>
      </c>
      <c r="Q5" s="10" t="str">
        <f t="shared" si="6"/>
        <v>(Pass)</v>
      </c>
      <c r="R5" s="7" t="str">
        <f t="shared" si="7"/>
        <v>2025 WAGC (Nov 16)</v>
      </c>
      <c r="S5" s="38">
        <v>19.100000000000001</v>
      </c>
      <c r="T5" s="38">
        <v>8.4</v>
      </c>
      <c r="U5" s="38">
        <v>0.8</v>
      </c>
      <c r="V5" s="38">
        <v>0</v>
      </c>
      <c r="W5" s="38">
        <v>18.5</v>
      </c>
      <c r="X5" s="38">
        <v>8</v>
      </c>
      <c r="Y5" s="38">
        <v>0.6</v>
      </c>
      <c r="Z5" s="38">
        <v>0.49999999999999856</v>
      </c>
      <c r="AA5" s="38">
        <v>19.2</v>
      </c>
      <c r="AB5" s="38">
        <v>8.4</v>
      </c>
      <c r="AC5" s="38">
        <v>0.6</v>
      </c>
      <c r="AD5" s="38">
        <v>0</v>
      </c>
      <c r="AE5" s="38">
        <v>18.600000000000001</v>
      </c>
      <c r="AF5" s="38">
        <v>8</v>
      </c>
      <c r="AG5" s="38">
        <v>0.6</v>
      </c>
      <c r="AH5" s="38">
        <v>0.49999999999999856</v>
      </c>
      <c r="AI5" s="19"/>
      <c r="AJ5" s="41">
        <f t="shared" si="8"/>
        <v>8.4</v>
      </c>
      <c r="AK5" s="41">
        <f t="shared" si="9"/>
        <v>26.7</v>
      </c>
      <c r="AL5" s="41">
        <f t="shared" si="10"/>
        <v>8</v>
      </c>
      <c r="AM5" s="41">
        <f t="shared" si="11"/>
        <v>26.4</v>
      </c>
      <c r="AN5" s="27">
        <f t="shared" si="12"/>
        <v>16.399999999999999</v>
      </c>
      <c r="AO5" s="27">
        <f t="shared" si="13"/>
        <v>53.099999999999994</v>
      </c>
      <c r="AP5" s="27">
        <f t="shared" si="14"/>
        <v>8.4</v>
      </c>
      <c r="AQ5" s="27">
        <f t="shared" si="15"/>
        <v>27</v>
      </c>
      <c r="AR5" s="27">
        <f t="shared" si="16"/>
        <v>8</v>
      </c>
      <c r="AS5" s="27">
        <f t="shared" si="17"/>
        <v>26.5</v>
      </c>
      <c r="AT5" s="27">
        <f t="shared" si="18"/>
        <v>16.399999999999999</v>
      </c>
      <c r="AU5" s="27">
        <f t="shared" si="19"/>
        <v>53.5</v>
      </c>
      <c r="AV5" s="27">
        <f t="shared" si="20"/>
        <v>106.6</v>
      </c>
      <c r="AW5" s="15"/>
      <c r="AX5" s="15"/>
      <c r="AY5" s="15"/>
      <c r="AZ5" s="15"/>
      <c r="BA5" s="15"/>
      <c r="BB5" s="15"/>
      <c r="BC5" s="15"/>
      <c r="BD5" s="15"/>
      <c r="BE5" s="15"/>
      <c r="BF5" s="15"/>
      <c r="BG5" s="15"/>
      <c r="BH5" s="15"/>
      <c r="BI5" s="15"/>
      <c r="BJ5" s="15"/>
      <c r="BK5" s="15"/>
      <c r="BL5" s="15"/>
      <c r="BM5" s="20"/>
      <c r="BN5" s="42" t="str">
        <f t="shared" si="21"/>
        <v/>
      </c>
      <c r="BO5" s="42" t="str">
        <f t="shared" si="22"/>
        <v/>
      </c>
      <c r="BP5" s="42" t="str">
        <f t="shared" si="23"/>
        <v/>
      </c>
      <c r="BQ5" s="42" t="str">
        <f t="shared" si="24"/>
        <v/>
      </c>
      <c r="BR5" s="10" t="str">
        <f t="shared" si="25"/>
        <v/>
      </c>
      <c r="BS5" s="10" t="str">
        <f t="shared" si="26"/>
        <v/>
      </c>
      <c r="BT5" s="10" t="str">
        <f t="shared" si="27"/>
        <v/>
      </c>
      <c r="BU5" s="10" t="str">
        <f t="shared" si="28"/>
        <v/>
      </c>
      <c r="BV5" s="10" t="str">
        <f t="shared" si="29"/>
        <v/>
      </c>
      <c r="BW5" s="10" t="str">
        <f t="shared" si="30"/>
        <v/>
      </c>
      <c r="BX5" s="10" t="str">
        <f t="shared" si="31"/>
        <v/>
      </c>
      <c r="BY5" s="10" t="str">
        <f t="shared" si="32"/>
        <v/>
      </c>
      <c r="BZ5" s="10" t="str">
        <f t="shared" si="33"/>
        <v/>
      </c>
      <c r="CA5" s="34" t="str">
        <f t="shared" si="34"/>
        <v/>
      </c>
      <c r="CB5" s="34">
        <f t="shared" si="35"/>
        <v>0.89999999999999858</v>
      </c>
      <c r="CC5" s="14"/>
      <c r="CD5" s="14"/>
      <c r="CE5" s="14"/>
      <c r="CF5" s="14"/>
      <c r="CG5" s="14"/>
      <c r="CH5" s="14"/>
      <c r="CI5" s="14"/>
      <c r="CJ5" s="14"/>
      <c r="CK5" s="14"/>
      <c r="CL5" s="14"/>
      <c r="CM5" s="14"/>
      <c r="CN5" s="14"/>
      <c r="CO5" s="14"/>
      <c r="CP5" s="14"/>
      <c r="CQ5" s="14"/>
      <c r="CR5" s="14"/>
      <c r="CS5" s="14"/>
      <c r="CT5" s="14"/>
      <c r="CU5" s="14"/>
      <c r="CV5" s="14"/>
      <c r="CW5" s="27" t="str">
        <f t="shared" si="36"/>
        <v/>
      </c>
      <c r="CX5" s="27" t="str">
        <f t="shared" si="37"/>
        <v/>
      </c>
      <c r="CY5" s="27" t="str">
        <f t="shared" si="38"/>
        <v/>
      </c>
      <c r="CZ5" s="27" t="str">
        <f t="shared" si="39"/>
        <v/>
      </c>
      <c r="DA5" s="27" t="str">
        <f t="shared" si="40"/>
        <v/>
      </c>
      <c r="DB5" s="27" t="str">
        <f t="shared" si="41"/>
        <v/>
      </c>
      <c r="DC5" s="27" t="str">
        <f t="shared" si="42"/>
        <v/>
      </c>
      <c r="DD5" s="27" t="str">
        <f t="shared" si="43"/>
        <v/>
      </c>
      <c r="DE5" s="27" t="str">
        <f t="shared" si="44"/>
        <v/>
      </c>
      <c r="DF5" s="27" t="str">
        <f t="shared" si="45"/>
        <v/>
      </c>
      <c r="DG5" s="27" t="str">
        <f t="shared" si="46"/>
        <v/>
      </c>
      <c r="DH5" s="27" t="str">
        <f t="shared" si="47"/>
        <v/>
      </c>
      <c r="DI5" s="27" t="str">
        <f t="shared" si="48"/>
        <v/>
      </c>
      <c r="DJ5" s="27" t="str">
        <f t="shared" si="49"/>
        <v/>
      </c>
      <c r="DK5" s="27" t="str">
        <f t="shared" si="50"/>
        <v/>
      </c>
      <c r="DL5" s="15">
        <v>19</v>
      </c>
      <c r="DM5" s="15">
        <v>8.4</v>
      </c>
      <c r="DN5" s="15">
        <v>0</v>
      </c>
      <c r="DO5" s="15">
        <v>0</v>
      </c>
      <c r="DP5" s="15">
        <v>15.2</v>
      </c>
      <c r="DQ5" s="15">
        <v>3.6</v>
      </c>
      <c r="DR5" s="15">
        <v>0</v>
      </c>
      <c r="DS5" s="15">
        <v>0</v>
      </c>
      <c r="DT5" s="15"/>
      <c r="DU5" s="15"/>
      <c r="DV5" s="15"/>
      <c r="DW5" s="15"/>
      <c r="DX5" s="15"/>
      <c r="DY5" s="15"/>
      <c r="DZ5" s="15"/>
      <c r="EA5" s="15"/>
      <c r="EB5" s="15"/>
      <c r="EC5" s="15"/>
      <c r="ED5" s="15"/>
      <c r="EE5" s="15"/>
      <c r="EF5" s="10">
        <f t="shared" si="51"/>
        <v>8.4</v>
      </c>
      <c r="EG5" s="10">
        <f t="shared" si="52"/>
        <v>27.4</v>
      </c>
      <c r="EH5" s="10">
        <f t="shared" si="53"/>
        <v>3.6</v>
      </c>
      <c r="EI5" s="10">
        <f t="shared" si="54"/>
        <v>18.8</v>
      </c>
      <c r="EJ5" s="10">
        <f t="shared" si="55"/>
        <v>12</v>
      </c>
      <c r="EK5" s="10">
        <f t="shared" si="56"/>
        <v>46.2</v>
      </c>
      <c r="EL5" s="10" t="str">
        <f t="shared" si="57"/>
        <v/>
      </c>
      <c r="EM5" s="10" t="str">
        <f t="shared" si="58"/>
        <v/>
      </c>
      <c r="EN5" s="10" t="str">
        <f t="shared" si="59"/>
        <v/>
      </c>
      <c r="EO5" s="10" t="str">
        <f t="shared" si="60"/>
        <v/>
      </c>
      <c r="EP5" s="10" t="str">
        <f t="shared" si="61"/>
        <v/>
      </c>
      <c r="EQ5" s="10" t="str">
        <f t="shared" si="62"/>
        <v/>
      </c>
      <c r="ER5" s="10" t="str">
        <f t="shared" si="63"/>
        <v/>
      </c>
      <c r="ES5" s="10" t="str">
        <f t="shared" si="64"/>
        <v/>
      </c>
      <c r="ET5" s="10">
        <f t="shared" si="65"/>
        <v>46.2</v>
      </c>
    </row>
    <row r="6" spans="1:150" x14ac:dyDescent="0.2">
      <c r="A6" s="3" cm="1">
        <f t="array" ref="A6">IF(AND(H6&lt;&gt;"",H6&lt;&gt;"No DD",I6&lt;&gt;"P"),SUMPRODUCT((H$4:H$35&lt;&gt;"")*(H$4:H$35&lt;&gt;"No DD")*(I$4:I$35&lt;&gt;"P")*(E$4:E$35&gt;E6))+1,IF(H6="No DD",SUMPRODUCT((H$4:H$35="No DD")*(I$4:I$35&lt;&gt;"P")*(E$4:E$35&gt;E6))+1+SUMPRODUCT((H$4:H$35&lt;&gt;"")*(I$4:I$35&lt;&gt;"P")*(H$4:H$35&lt;&gt;"No DD")),""))</f>
        <v>1</v>
      </c>
      <c r="B6" s="4" t="s">
        <v>117</v>
      </c>
      <c r="C6" s="3" t="s">
        <v>3</v>
      </c>
      <c r="D6" s="3">
        <v>2008</v>
      </c>
      <c r="E6" s="8">
        <f t="shared" si="0"/>
        <v>104.30000777000515</v>
      </c>
      <c r="F6" s="2" t="str">
        <f>IF(OR(AND(AO6&lt;&gt;"",AO6&gt;=AV$40,AN6&gt;=AV$37),AND(AU6&lt;&gt;"",AU6&gt;=AV$40,AT6&gt;=AV$37),AND(BS6&lt;&gt;"",BS6&gt;=BZ$40,BR6&gt;=BZ$37),AND(BY6&lt;&gt;"",BY6&gt;=BZ$40,BX6&gt;=BZ$37),AND(DB6&lt;&gt;"",DB6&gt;=DK$40,DA6&gt;=DK$37),AND(DJ6&lt;&gt;"",DJ6&gt;=DK$40,DI6&gt;=DK$37),AND(EK6&lt;&gt;"",EK6&gt;=ET$40,EJ6&gt;=ET$37),AND(ES6&lt;&gt;"",ES6&gt;=ET$40,ER6&gt;=ET$37)),"P","")</f>
        <v>P</v>
      </c>
      <c r="G6" s="2" t="str">
        <f>IF(OR(AND(AO6&lt;&gt;"",AO6&gt;=AV$40),AND(AU6&lt;&gt;"",AU6&gt;=AV$40),AND(BS6&lt;&gt;"",BS6&gt;=BZ$40),AND(BY6&lt;&gt;"",BY6&gt;=BZ$40),AND(DB6&lt;&gt;"",DB6&gt;=DK$40),AND(DJ6&lt;&gt;"",DJ6&gt;=DK$40),AND(EK6&lt;&gt;"",EK6&gt;=ET$40),AND(ES6&lt;&gt;"",ES6&gt;=ET$40)),"P","")</f>
        <v>P</v>
      </c>
      <c r="H6" s="26" t="str">
        <f>IF(AND(G6="P",F6=""),"No DD",IF(OR(AND(AK6&lt;&gt;"",AK6&gt;=AV$42,AJ6&gt;=AV$39),AND(AM6&lt;&gt;"",AM6&gt;=AV$42,AL6&gt;=AV$39),AND(AQ6&lt;&gt;"",AQ6&gt;=AV$42,AP6&gt;=AV$39),AND(AS6&lt;&gt;"",AS6&gt;=AV$42,AR6&gt;=AV$39),AND(BO6&lt;&gt;"",BO6&gt;=BZ$42,BN6&gt;=BZ$39),AND(BQ6&lt;&gt;"",BQ6&gt;=BZ$42,BP6&gt;=BZ$39),AND(BV6&lt;&gt;"",BV6&gt;=BZ$42,BU6&gt;=BZ$39),AND(BX6&lt;&gt;"",BX6&gt;=BZ$42,BW6&gt;=BZ$39),AND(CX6&lt;&gt;"",CX6&gt;=DK$42,CW6&gt;=DK$39),AND(CZ6&lt;&gt;"",CZ6&gt;=DK$42,CY6&gt;=DK$39),AND(DD6&lt;&gt;"",DD6&gt;=DK$42,DC6&gt;=DK$39),AND(DF6&lt;&gt;"",DF6&gt;=DK$42,DE6&gt;=DK$39),AND(DH6&lt;&gt;"",DH6&gt;=DK$42,DG6&gt;=DK$39),AND(EG6&lt;&gt;"",EG6&gt;=ET$42,EF6&gt;=ET$39),AND(EI6&lt;&gt;"",EI6&gt;=ET$42,EH6&gt;=ET$39),AND(EM6&lt;&gt;"",EM6&gt;=ET$42,EL6&gt;=ET$39),AND(EO6&lt;&gt;"",EO6&gt;=ET$42,EN6&gt;=ET$39),AND(EQ6&lt;&gt;"",EQ6&gt;=ET$42,EP6&gt;=ET$39)),"Performance",IF(I6="P","National Team",IF(F6="P","National Team",""))))</f>
        <v>National Team</v>
      </c>
      <c r="I6" s="2" t="str">
        <f>IF(COUNTIFS('Senior-M'!B:B,B6,'Senior-M'!A:A,"&lt;9",'Senior-M'!H:H,"&lt;&gt;"&amp;"No DD"),"P","")</f>
        <v/>
      </c>
      <c r="J6" s="7">
        <f t="shared" si="1"/>
        <v>51.6</v>
      </c>
      <c r="K6" s="7" t="str">
        <f t="shared" si="2"/>
        <v>2026 Elite Canada</v>
      </c>
      <c r="L6" s="7">
        <f>IF(J6=AO6,IF(COUNT(AQ6,AS6,BO6,BQ6,BU6,BW6)&gt;1,LARGE((AQ6,AS6,BO6,BQ6,BU6,BW6),1),0),IF(COUNT(AK6,AM6,AQ6,AS6,BU6,BW6)&gt;1,LARGE((AK6,AM6,AQ6,AS6,BU6,BW6),1),0))</f>
        <v>26.099999999999998</v>
      </c>
      <c r="M6" s="7" t="str">
        <f t="shared" si="3"/>
        <v>2026 Elite Canada</v>
      </c>
      <c r="N6" s="7">
        <f>IF(J6=AO6,IF(COUNT(AQ6,AS6,BO6,BQ6,BU6,BW6)&gt;1,LARGE((AQ6,AS6,BO6,BQ6,BU6,BW6),2),0),IF(COUNT(AK6,AM6,AQ6,AS6,BU6,BW6)&gt;1,LARGE((AK6,AM6,AQ6,AS6,BU6,BW6),2),0))</f>
        <v>25.8</v>
      </c>
      <c r="O6" s="7" t="str">
        <f t="shared" si="4"/>
        <v>2026 Elite Canada</v>
      </c>
      <c r="P6" s="7">
        <f t="shared" si="5"/>
        <v>0.80000000000000071</v>
      </c>
      <c r="Q6" s="10" t="str">
        <f t="shared" si="6"/>
        <v>(Pass)</v>
      </c>
      <c r="R6" s="7" t="str">
        <f t="shared" si="7"/>
        <v>2025 WAGC (Nov 16)</v>
      </c>
      <c r="S6" s="38">
        <v>18</v>
      </c>
      <c r="T6" s="38">
        <v>8</v>
      </c>
      <c r="U6" s="38">
        <v>0.6</v>
      </c>
      <c r="V6" s="38">
        <v>0</v>
      </c>
      <c r="W6" s="38">
        <v>18.600000000000001</v>
      </c>
      <c r="X6" s="38">
        <v>7.6</v>
      </c>
      <c r="Y6" s="38">
        <v>0</v>
      </c>
      <c r="Z6" s="38">
        <v>0</v>
      </c>
      <c r="AA6" s="38">
        <v>18.7</v>
      </c>
      <c r="AB6" s="38">
        <v>8</v>
      </c>
      <c r="AC6" s="38">
        <v>0.6</v>
      </c>
      <c r="AD6" s="38">
        <v>0</v>
      </c>
      <c r="AE6" s="38">
        <v>19</v>
      </c>
      <c r="AF6" s="38">
        <v>7.6</v>
      </c>
      <c r="AG6" s="38">
        <v>0.8</v>
      </c>
      <c r="AH6" s="38">
        <v>0</v>
      </c>
      <c r="AI6" s="19"/>
      <c r="AJ6" s="41">
        <f t="shared" si="8"/>
        <v>8</v>
      </c>
      <c r="AK6" s="41">
        <f t="shared" si="9"/>
        <v>25.4</v>
      </c>
      <c r="AL6" s="41">
        <f t="shared" si="10"/>
        <v>7.6</v>
      </c>
      <c r="AM6" s="41">
        <f t="shared" si="11"/>
        <v>26.200000000000003</v>
      </c>
      <c r="AN6" s="27">
        <f t="shared" si="12"/>
        <v>15.6</v>
      </c>
      <c r="AO6" s="27">
        <f t="shared" si="13"/>
        <v>51.6</v>
      </c>
      <c r="AP6" s="27">
        <f t="shared" si="14"/>
        <v>8</v>
      </c>
      <c r="AQ6" s="27">
        <f t="shared" si="15"/>
        <v>26.099999999999998</v>
      </c>
      <c r="AR6" s="27">
        <f t="shared" si="16"/>
        <v>7.6</v>
      </c>
      <c r="AS6" s="27">
        <f t="shared" si="17"/>
        <v>25.8</v>
      </c>
      <c r="AT6" s="27">
        <f t="shared" si="18"/>
        <v>15.6</v>
      </c>
      <c r="AU6" s="27">
        <f t="shared" si="19"/>
        <v>51.9</v>
      </c>
      <c r="AV6" s="27">
        <f t="shared" si="20"/>
        <v>103.5</v>
      </c>
      <c r="AW6" s="15"/>
      <c r="AX6" s="15"/>
      <c r="AY6" s="15"/>
      <c r="AZ6" s="15"/>
      <c r="BA6" s="15"/>
      <c r="BB6" s="15"/>
      <c r="BC6" s="15"/>
      <c r="BD6" s="15"/>
      <c r="BE6" s="15"/>
      <c r="BF6" s="15"/>
      <c r="BG6" s="15"/>
      <c r="BH6" s="15"/>
      <c r="BI6" s="15"/>
      <c r="BJ6" s="15"/>
      <c r="BK6" s="15"/>
      <c r="BL6" s="15"/>
      <c r="BM6" s="20"/>
      <c r="BN6" s="42" t="str">
        <f t="shared" si="21"/>
        <v/>
      </c>
      <c r="BO6" s="42" t="str">
        <f t="shared" si="22"/>
        <v/>
      </c>
      <c r="BP6" s="42" t="str">
        <f t="shared" si="23"/>
        <v/>
      </c>
      <c r="BQ6" s="42" t="str">
        <f t="shared" si="24"/>
        <v/>
      </c>
      <c r="BR6" s="10" t="str">
        <f t="shared" si="25"/>
        <v/>
      </c>
      <c r="BS6" s="10" t="str">
        <f t="shared" si="26"/>
        <v/>
      </c>
      <c r="BT6" s="10" t="str">
        <f t="shared" si="27"/>
        <v/>
      </c>
      <c r="BU6" s="10" t="str">
        <f t="shared" si="28"/>
        <v/>
      </c>
      <c r="BV6" s="10" t="str">
        <f t="shared" si="29"/>
        <v/>
      </c>
      <c r="BW6" s="10" t="str">
        <f t="shared" si="30"/>
        <v/>
      </c>
      <c r="BX6" s="10" t="str">
        <f t="shared" si="31"/>
        <v/>
      </c>
      <c r="BY6" s="10" t="str">
        <f t="shared" si="32"/>
        <v/>
      </c>
      <c r="BZ6" s="10" t="str">
        <f t="shared" si="33"/>
        <v/>
      </c>
      <c r="CA6" s="34" t="str">
        <f t="shared" si="34"/>
        <v/>
      </c>
      <c r="CB6" s="34">
        <f t="shared" si="35"/>
        <v>0.80000000000000071</v>
      </c>
      <c r="CC6" s="14"/>
      <c r="CD6" s="14"/>
      <c r="CE6" s="14"/>
      <c r="CF6" s="14"/>
      <c r="CG6" s="14"/>
      <c r="CH6" s="14"/>
      <c r="CI6" s="14"/>
      <c r="CJ6" s="14"/>
      <c r="CK6" s="14"/>
      <c r="CL6" s="14"/>
      <c r="CM6" s="14"/>
      <c r="CN6" s="14"/>
      <c r="CO6" s="14"/>
      <c r="CP6" s="14"/>
      <c r="CQ6" s="14"/>
      <c r="CR6" s="14"/>
      <c r="CS6" s="14"/>
      <c r="CT6" s="14"/>
      <c r="CU6" s="14"/>
      <c r="CV6" s="14"/>
      <c r="CW6" s="27" t="str">
        <f t="shared" si="36"/>
        <v/>
      </c>
      <c r="CX6" s="27" t="str">
        <f t="shared" si="37"/>
        <v/>
      </c>
      <c r="CY6" s="27" t="str">
        <f t="shared" si="38"/>
        <v/>
      </c>
      <c r="CZ6" s="27" t="str">
        <f t="shared" si="39"/>
        <v/>
      </c>
      <c r="DA6" s="27" t="str">
        <f t="shared" si="40"/>
        <v/>
      </c>
      <c r="DB6" s="27" t="str">
        <f t="shared" si="41"/>
        <v/>
      </c>
      <c r="DC6" s="27" t="str">
        <f t="shared" si="42"/>
        <v/>
      </c>
      <c r="DD6" s="27" t="str">
        <f t="shared" si="43"/>
        <v/>
      </c>
      <c r="DE6" s="27" t="str">
        <f t="shared" si="44"/>
        <v/>
      </c>
      <c r="DF6" s="27" t="str">
        <f t="shared" si="45"/>
        <v/>
      </c>
      <c r="DG6" s="27" t="str">
        <f t="shared" si="46"/>
        <v/>
      </c>
      <c r="DH6" s="27" t="str">
        <f t="shared" si="47"/>
        <v/>
      </c>
      <c r="DI6" s="27" t="str">
        <f t="shared" si="48"/>
        <v/>
      </c>
      <c r="DJ6" s="27" t="str">
        <f t="shared" si="49"/>
        <v/>
      </c>
      <c r="DK6" s="27" t="str">
        <f t="shared" si="50"/>
        <v/>
      </c>
      <c r="DL6" s="15">
        <v>18.5</v>
      </c>
      <c r="DM6" s="15">
        <v>6</v>
      </c>
      <c r="DN6" s="15">
        <v>0.2</v>
      </c>
      <c r="DO6" s="15">
        <v>0</v>
      </c>
      <c r="DP6" s="15">
        <v>18.8</v>
      </c>
      <c r="DQ6" s="15">
        <v>8.4</v>
      </c>
      <c r="DR6" s="15">
        <v>0.6</v>
      </c>
      <c r="DS6" s="15">
        <v>0</v>
      </c>
      <c r="DT6" s="15"/>
      <c r="DU6" s="15"/>
      <c r="DV6" s="15"/>
      <c r="DW6" s="15"/>
      <c r="DX6" s="15"/>
      <c r="DY6" s="15"/>
      <c r="DZ6" s="15"/>
      <c r="EA6" s="15"/>
      <c r="EB6" s="15"/>
      <c r="EC6" s="15"/>
      <c r="ED6" s="15"/>
      <c r="EE6" s="15"/>
      <c r="EF6" s="10">
        <f t="shared" si="51"/>
        <v>6</v>
      </c>
      <c r="EG6" s="10">
        <f t="shared" si="52"/>
        <v>24.3</v>
      </c>
      <c r="EH6" s="10">
        <f t="shared" si="53"/>
        <v>8.4</v>
      </c>
      <c r="EI6" s="10">
        <f t="shared" si="54"/>
        <v>26.6</v>
      </c>
      <c r="EJ6" s="10">
        <f t="shared" si="55"/>
        <v>14.4</v>
      </c>
      <c r="EK6" s="10">
        <f t="shared" si="56"/>
        <v>50.900000000000006</v>
      </c>
      <c r="EL6" s="10" t="str">
        <f t="shared" si="57"/>
        <v/>
      </c>
      <c r="EM6" s="10" t="str">
        <f t="shared" si="58"/>
        <v/>
      </c>
      <c r="EN6" s="10" t="str">
        <f t="shared" si="59"/>
        <v/>
      </c>
      <c r="EO6" s="10" t="str">
        <f t="shared" si="60"/>
        <v/>
      </c>
      <c r="EP6" s="10" t="str">
        <f t="shared" si="61"/>
        <v/>
      </c>
      <c r="EQ6" s="10" t="str">
        <f t="shared" si="62"/>
        <v/>
      </c>
      <c r="ER6" s="10" t="str">
        <f t="shared" si="63"/>
        <v/>
      </c>
      <c r="ES6" s="10" t="str">
        <f t="shared" si="64"/>
        <v/>
      </c>
      <c r="ET6" s="10">
        <f t="shared" si="65"/>
        <v>50.900000000000006</v>
      </c>
    </row>
    <row r="7" spans="1:150" x14ac:dyDescent="0.2">
      <c r="A7" s="3" t="str" cm="1">
        <f t="array" ref="A7">IF(AND(H7&lt;&gt;"",H7&lt;&gt;"No DD",I7&lt;&gt;"P"),SUMPRODUCT((H$4:H$35&lt;&gt;"")*(H$4:H$35&lt;&gt;"No DD")*(I$4:I$35&lt;&gt;"P")*(E$4:E$35&gt;E7))+1,IF(H7="No DD",SUMPRODUCT((H$4:H$35="No DD")*(I$4:I$35&lt;&gt;"P")*(E$4:E$35&gt;E7))+1+SUMPRODUCT((H$4:H$35&lt;&gt;"")*(I$4:I$35&lt;&gt;"P")*(H$4:H$35&lt;&gt;"No DD")),""))</f>
        <v/>
      </c>
      <c r="B7" s="4" t="s">
        <v>70</v>
      </c>
      <c r="C7" s="3" t="s">
        <v>5</v>
      </c>
      <c r="D7" s="3">
        <v>2007</v>
      </c>
      <c r="E7" s="8">
        <f t="shared" si="0"/>
        <v>100.40000799000542</v>
      </c>
      <c r="F7" s="2" t="str">
        <f>IF(OR(AND(AO7&lt;&gt;"",AO7&gt;=AV$40,AN7&gt;=AV$37),AND(AU7&lt;&gt;"",AU7&gt;=AV$40,AT7&gt;=AV$37),AND(BS7&lt;&gt;"",BS7&gt;=BZ$40,BR7&gt;=BZ$37),AND(BY7&lt;&gt;"",BY7&gt;=BZ$40,BX7&gt;=BZ$37),AND(DB7&lt;&gt;"",DB7&gt;=DK$40,DA7&gt;=DK$37),AND(DJ7&lt;&gt;"",DJ7&gt;=DK$40,DI7&gt;=DK$37),AND(EK7&lt;&gt;"",EK7&gt;=ET$40,EJ7&gt;=ET$37),AND(ES7&lt;&gt;"",ES7&gt;=ET$40,ER7&gt;=ET$37)),"P","")</f>
        <v>P</v>
      </c>
      <c r="G7" s="2" t="str">
        <f>IF(OR(AND(AO7&lt;&gt;"",AO7&gt;=AV$40),AND(AU7&lt;&gt;"",AU7&gt;=AV$40),AND(BS7&lt;&gt;"",BS7&gt;=BZ$40),AND(BY7&lt;&gt;"",BY7&gt;=BZ$40),AND(DB7&lt;&gt;"",DB7&gt;=DK$40),AND(DJ7&lt;&gt;"",DJ7&gt;=DK$40),AND(EK7&lt;&gt;"",EK7&gt;=ET$40),AND(ES7&lt;&gt;"",ES7&gt;=ET$40)),"P","")</f>
        <v>P</v>
      </c>
      <c r="H7" s="26" t="str">
        <f>IF(AND(G7="P",F7=""),"No DD",IF(OR(AND(AK7&lt;&gt;"",AK7&gt;=AV$42,AJ7&gt;=AV$39),AND(AM7&lt;&gt;"",AM7&gt;=AV$42,AL7&gt;=AV$39),AND(AQ7&lt;&gt;"",AQ7&gt;=AV$42,AP7&gt;=AV$39),AND(AS7&lt;&gt;"",AS7&gt;=AV$42,AR7&gt;=AV$39),AND(BO7&lt;&gt;"",BO7&gt;=BZ$42,BN7&gt;=BZ$39),AND(BQ7&lt;&gt;"",BQ7&gt;=BZ$42,BP7&gt;=BZ$39),AND(BV7&lt;&gt;"",BV7&gt;=BZ$42,BU7&gt;=BZ$39),AND(BX7&lt;&gt;"",BX7&gt;=BZ$42,BW7&gt;=BZ$39),AND(CX7&lt;&gt;"",CX7&gt;=DK$42,CW7&gt;=DK$39),AND(CZ7&lt;&gt;"",CZ7&gt;=DK$42,CY7&gt;=DK$39),AND(DD7&lt;&gt;"",DD7&gt;=DK$42,DC7&gt;=DK$39),AND(DF7&lt;&gt;"",DF7&gt;=DK$42,DE7&gt;=DK$39),AND(DH7&lt;&gt;"",DH7&gt;=DK$42,DG7&gt;=DK$39),AND(EG7&lt;&gt;"",EG7&gt;=ET$42,EF7&gt;=ET$39),AND(EI7&lt;&gt;"",EI7&gt;=ET$42,EH7&gt;=ET$39),AND(EM7&lt;&gt;"",EM7&gt;=ET$42,EL7&gt;=ET$39),AND(EO7&lt;&gt;"",EO7&gt;=ET$42,EN7&gt;=ET$39),AND(EQ7&lt;&gt;"",EQ7&gt;=ET$42,EP7&gt;=ET$39)),"Performance",IF(I7="P","National Team",IF(F7="P","National Team",""))))</f>
        <v>National Team</v>
      </c>
      <c r="I7" s="2" t="str">
        <f>IF(COUNTIFS('Senior-M'!B:B,B7,'Senior-M'!A:A,"&lt;9",'Senior-M'!H:H,"&lt;&gt;"&amp;"No DD"),"P","")</f>
        <v>P</v>
      </c>
      <c r="J7" s="7">
        <f t="shared" si="1"/>
        <v>54.2</v>
      </c>
      <c r="K7" s="7" t="str">
        <f t="shared" si="2"/>
        <v>2026 Elite Canada</v>
      </c>
      <c r="L7" s="7">
        <f>IF(J7=AO7,IF(COUNT(AQ7,AS7,BO7,BQ7,BU7,BW7)&gt;1,LARGE((AQ7,AS7,BO7,BQ7,BU7,BW7),1),0),IF(COUNT(AK7,AM7,AQ7,AS7,BU7,BW7)&gt;1,LARGE((AK7,AM7,AQ7,AS7,BU7,BW7),1),0))</f>
        <v>25.7</v>
      </c>
      <c r="M7" s="7" t="str">
        <f t="shared" si="3"/>
        <v>2026 Elite Canada</v>
      </c>
      <c r="N7" s="7">
        <f>IF(J7=AO7,IF(COUNT(AQ7,AS7,BO7,BQ7,BU7,BW7)&gt;1,LARGE((AQ7,AS7,BO7,BQ7,BU7,BW7),2),0),IF(COUNT(AK7,AM7,AQ7,AS7,BU7,BW7)&gt;1,LARGE((AK7,AM7,AQ7,AS7,BU7,BW7),2),0))</f>
        <v>20.5</v>
      </c>
      <c r="O7" s="7" t="str">
        <f t="shared" si="4"/>
        <v>2026 Elite Canada</v>
      </c>
      <c r="P7" s="7" t="str">
        <f t="shared" si="5"/>
        <v/>
      </c>
      <c r="Q7" s="10" t="str">
        <f t="shared" si="6"/>
        <v/>
      </c>
      <c r="R7" s="7" t="str">
        <f t="shared" si="7"/>
        <v/>
      </c>
      <c r="S7" s="38">
        <v>18.8</v>
      </c>
      <c r="T7" s="38">
        <v>8.9</v>
      </c>
      <c r="U7" s="38">
        <v>0</v>
      </c>
      <c r="V7" s="38">
        <v>0.49999999999999822</v>
      </c>
      <c r="W7" s="38">
        <v>18.399999999999999</v>
      </c>
      <c r="X7" s="38">
        <v>8.4</v>
      </c>
      <c r="Y7" s="38">
        <v>0.8</v>
      </c>
      <c r="Z7" s="38">
        <v>0</v>
      </c>
      <c r="AA7" s="38">
        <v>15.4</v>
      </c>
      <c r="AB7" s="38">
        <v>4.8</v>
      </c>
      <c r="AC7" s="38">
        <v>0.2</v>
      </c>
      <c r="AD7" s="38">
        <v>0.49999999999999983</v>
      </c>
      <c r="AE7" s="38">
        <v>16.7</v>
      </c>
      <c r="AF7" s="38">
        <v>9.3000000000000007</v>
      </c>
      <c r="AG7" s="38">
        <v>0.8</v>
      </c>
      <c r="AH7" s="38">
        <v>0.49999999999999933</v>
      </c>
      <c r="AI7" s="19"/>
      <c r="AJ7" s="41">
        <f t="shared" si="8"/>
        <v>8.9</v>
      </c>
      <c r="AK7" s="41">
        <f t="shared" si="9"/>
        <v>28.200000000000003</v>
      </c>
      <c r="AL7" s="41">
        <f t="shared" si="10"/>
        <v>8.4</v>
      </c>
      <c r="AM7" s="41">
        <f t="shared" si="11"/>
        <v>25.999999999999996</v>
      </c>
      <c r="AN7" s="27">
        <f t="shared" si="12"/>
        <v>17.3</v>
      </c>
      <c r="AO7" s="27">
        <f t="shared" si="13"/>
        <v>54.2</v>
      </c>
      <c r="AP7" s="27">
        <f t="shared" si="14"/>
        <v>4.8</v>
      </c>
      <c r="AQ7" s="27">
        <f t="shared" si="15"/>
        <v>20.5</v>
      </c>
      <c r="AR7" s="27">
        <f t="shared" si="16"/>
        <v>9.3000000000000007</v>
      </c>
      <c r="AS7" s="27">
        <f t="shared" si="17"/>
        <v>25.7</v>
      </c>
      <c r="AT7" s="27">
        <f t="shared" si="18"/>
        <v>14.100000000000001</v>
      </c>
      <c r="AU7" s="27">
        <f t="shared" si="19"/>
        <v>46.2</v>
      </c>
      <c r="AV7" s="27">
        <f t="shared" si="20"/>
        <v>100.4</v>
      </c>
      <c r="AW7" s="15"/>
      <c r="AX7" s="15"/>
      <c r="AY7" s="15"/>
      <c r="AZ7" s="15"/>
      <c r="BA7" s="15"/>
      <c r="BB7" s="15"/>
      <c r="BC7" s="15"/>
      <c r="BD7" s="15"/>
      <c r="BE7" s="15"/>
      <c r="BF7" s="15"/>
      <c r="BG7" s="15"/>
      <c r="BH7" s="15"/>
      <c r="BI7" s="15"/>
      <c r="BJ7" s="15"/>
      <c r="BK7" s="15"/>
      <c r="BL7" s="15"/>
      <c r="BM7" s="20"/>
      <c r="BN7" s="42" t="str">
        <f t="shared" si="21"/>
        <v/>
      </c>
      <c r="BO7" s="42" t="str">
        <f t="shared" si="22"/>
        <v/>
      </c>
      <c r="BP7" s="42" t="str">
        <f t="shared" si="23"/>
        <v/>
      </c>
      <c r="BQ7" s="42" t="str">
        <f t="shared" si="24"/>
        <v/>
      </c>
      <c r="BR7" s="10" t="str">
        <f t="shared" si="25"/>
        <v/>
      </c>
      <c r="BS7" s="10" t="str">
        <f t="shared" si="26"/>
        <v/>
      </c>
      <c r="BT7" s="10" t="str">
        <f t="shared" si="27"/>
        <v/>
      </c>
      <c r="BU7" s="10" t="str">
        <f t="shared" si="28"/>
        <v/>
      </c>
      <c r="BV7" s="10" t="str">
        <f t="shared" si="29"/>
        <v/>
      </c>
      <c r="BW7" s="10" t="str">
        <f t="shared" si="30"/>
        <v/>
      </c>
      <c r="BX7" s="10" t="str">
        <f t="shared" si="31"/>
        <v/>
      </c>
      <c r="BY7" s="10" t="str">
        <f t="shared" si="32"/>
        <v/>
      </c>
      <c r="BZ7" s="10" t="str">
        <f t="shared" si="33"/>
        <v/>
      </c>
      <c r="CA7" s="34" t="str">
        <f t="shared" si="34"/>
        <v/>
      </c>
      <c r="CB7" s="34" t="str">
        <f t="shared" si="35"/>
        <v/>
      </c>
      <c r="CC7" s="14"/>
      <c r="CD7" s="14"/>
      <c r="CE7" s="14"/>
      <c r="CF7" s="14"/>
      <c r="CG7" s="14"/>
      <c r="CH7" s="14"/>
      <c r="CI7" s="14"/>
      <c r="CJ7" s="14"/>
      <c r="CK7" s="14"/>
      <c r="CL7" s="14"/>
      <c r="CM7" s="14"/>
      <c r="CN7" s="14"/>
      <c r="CO7" s="14"/>
      <c r="CP7" s="14"/>
      <c r="CQ7" s="14"/>
      <c r="CR7" s="14"/>
      <c r="CS7" s="14"/>
      <c r="CT7" s="14"/>
      <c r="CU7" s="14"/>
      <c r="CV7" s="14"/>
      <c r="CW7" s="27" t="str">
        <f t="shared" si="36"/>
        <v/>
      </c>
      <c r="CX7" s="27" t="str">
        <f t="shared" si="37"/>
        <v/>
      </c>
      <c r="CY7" s="27" t="str">
        <f t="shared" si="38"/>
        <v/>
      </c>
      <c r="CZ7" s="27" t="str">
        <f t="shared" si="39"/>
        <v/>
      </c>
      <c r="DA7" s="27" t="str">
        <f t="shared" si="40"/>
        <v/>
      </c>
      <c r="DB7" s="27" t="str">
        <f t="shared" si="41"/>
        <v/>
      </c>
      <c r="DC7" s="27" t="str">
        <f t="shared" si="42"/>
        <v/>
      </c>
      <c r="DD7" s="27" t="str">
        <f t="shared" si="43"/>
        <v/>
      </c>
      <c r="DE7" s="27" t="str">
        <f t="shared" si="44"/>
        <v/>
      </c>
      <c r="DF7" s="27" t="str">
        <f t="shared" si="45"/>
        <v/>
      </c>
      <c r="DG7" s="27" t="str">
        <f t="shared" si="46"/>
        <v/>
      </c>
      <c r="DH7" s="27" t="str">
        <f t="shared" si="47"/>
        <v/>
      </c>
      <c r="DI7" s="27" t="str">
        <f t="shared" si="48"/>
        <v/>
      </c>
      <c r="DJ7" s="27" t="str">
        <f t="shared" si="49"/>
        <v/>
      </c>
      <c r="DK7" s="27" t="str">
        <f t="shared" si="50"/>
        <v/>
      </c>
      <c r="DL7" s="15"/>
      <c r="DM7" s="15"/>
      <c r="DN7" s="15"/>
      <c r="DO7" s="15"/>
      <c r="DP7" s="15"/>
      <c r="DQ7" s="15"/>
      <c r="DR7" s="15"/>
      <c r="DS7" s="15"/>
      <c r="DT7" s="15"/>
      <c r="DU7" s="15"/>
      <c r="DV7" s="15"/>
      <c r="DW7" s="15"/>
      <c r="DX7" s="15"/>
      <c r="DY7" s="15"/>
      <c r="DZ7" s="15"/>
      <c r="EA7" s="15"/>
      <c r="EB7" s="15"/>
      <c r="EC7" s="15"/>
      <c r="ED7" s="15"/>
      <c r="EE7" s="15"/>
      <c r="EF7" s="10" t="str">
        <f t="shared" si="51"/>
        <v/>
      </c>
      <c r="EG7" s="10" t="str">
        <f t="shared" si="52"/>
        <v/>
      </c>
      <c r="EH7" s="10" t="str">
        <f t="shared" si="53"/>
        <v/>
      </c>
      <c r="EI7" s="10" t="str">
        <f t="shared" si="54"/>
        <v/>
      </c>
      <c r="EJ7" s="10" t="str">
        <f t="shared" si="55"/>
        <v/>
      </c>
      <c r="EK7" s="10" t="str">
        <f t="shared" si="56"/>
        <v/>
      </c>
      <c r="EL7" s="10" t="str">
        <f t="shared" si="57"/>
        <v/>
      </c>
      <c r="EM7" s="10" t="str">
        <f t="shared" si="58"/>
        <v/>
      </c>
      <c r="EN7" s="10" t="str">
        <f t="shared" si="59"/>
        <v/>
      </c>
      <c r="EO7" s="10" t="str">
        <f t="shared" si="60"/>
        <v/>
      </c>
      <c r="EP7" s="10" t="str">
        <f t="shared" si="61"/>
        <v/>
      </c>
      <c r="EQ7" s="10" t="str">
        <f t="shared" si="62"/>
        <v/>
      </c>
      <c r="ER7" s="10" t="str">
        <f t="shared" si="63"/>
        <v/>
      </c>
      <c r="ES7" s="10" t="str">
        <f t="shared" si="64"/>
        <v/>
      </c>
      <c r="ET7" s="10" t="str">
        <f t="shared" si="65"/>
        <v/>
      </c>
    </row>
    <row r="8" spans="1:150" x14ac:dyDescent="0.2">
      <c r="A8" s="3" t="str" cm="1">
        <f t="array" ref="A8">IF(AND(H8&lt;&gt;"",H8&lt;&gt;"No DD",I8&lt;&gt;"P"),SUMPRODUCT((H$4:H$35&lt;&gt;"")*(H$4:H$35&lt;&gt;"No DD")*(I$4:I$35&lt;&gt;"P")*(E$4:E$35&gt;E8))+1,IF(H8="No DD",SUMPRODUCT((H$4:H$35="No DD")*(I$4:I$35&lt;&gt;"P")*(E$4:E$35&gt;E8))+1+SUMPRODUCT((H$4:H$35&lt;&gt;"")*(I$4:I$35&lt;&gt;"P")*(H$4:H$35&lt;&gt;"No DD")),""))</f>
        <v/>
      </c>
      <c r="B8" s="4" t="s">
        <v>67</v>
      </c>
      <c r="C8" s="3" t="s">
        <v>4</v>
      </c>
      <c r="D8" s="3">
        <v>2008</v>
      </c>
      <c r="E8" s="8">
        <f t="shared" si="0"/>
        <v>95.800007490005385</v>
      </c>
      <c r="F8" s="2" t="str">
        <f>IF(OR(AND(AO8&lt;&gt;"",AO8&gt;=AV$40,AN8&gt;=AV$37),AND(AU8&lt;&gt;"",AU8&gt;=AV$40,AT8&gt;=AV$37),AND(BS8&lt;&gt;"",BS8&gt;=BZ$40,BR8&gt;=BZ$37),AND(BY8&lt;&gt;"",BY8&gt;=BZ$40,BX8&gt;=BZ$37),AND(DB8&lt;&gt;"",DB8&gt;=DK$40,DA8&gt;=DK$37),AND(DJ8&lt;&gt;"",DJ8&gt;=DK$40,DI8&gt;=DK$37),AND(EK8&lt;&gt;"",EK8&gt;=ET$40,EJ8&gt;=ET$37),AND(ES8&lt;&gt;"",ES8&gt;=ET$40,ER8&gt;=ET$37)),"P","")</f>
        <v>P</v>
      </c>
      <c r="G8" s="2" t="str">
        <f>IF(OR(AND(AO8&lt;&gt;"",AO8&gt;=AV$40),AND(AU8&lt;&gt;"",AU8&gt;=AV$40),AND(BS8&lt;&gt;"",BS8&gt;=BZ$40),AND(BY8&lt;&gt;"",BY8&gt;=BZ$40),AND(DB8&lt;&gt;"",DB8&gt;=DK$40),AND(DJ8&lt;&gt;"",DJ8&gt;=DK$40),AND(EK8&lt;&gt;"",EK8&gt;=ET$40),AND(ES8&lt;&gt;"",ES8&gt;=ET$40)),"P","")</f>
        <v>P</v>
      </c>
      <c r="H8" s="26" t="str">
        <f>IF(AND(G8="P",F8=""),"No DD",IF(OR(AND(AK8&lt;&gt;"",AK8&gt;=AV$42,AJ8&gt;=AV$39),AND(AM8&lt;&gt;"",AM8&gt;=AV$42,AL8&gt;=AV$39),AND(AQ8&lt;&gt;"",AQ8&gt;=AV$42,AP8&gt;=AV$39),AND(AS8&lt;&gt;"",AS8&gt;=AV$42,AR8&gt;=AV$39),AND(BO8&lt;&gt;"",BO8&gt;=BZ$42,BN8&gt;=BZ$39),AND(BQ8&lt;&gt;"",BQ8&gt;=BZ$42,BP8&gt;=BZ$39),AND(BV8&lt;&gt;"",BV8&gt;=BZ$42,BU8&gt;=BZ$39),AND(BX8&lt;&gt;"",BX8&gt;=BZ$42,BW8&gt;=BZ$39),AND(CX8&lt;&gt;"",CX8&gt;=DK$42,CW8&gt;=DK$39),AND(CZ8&lt;&gt;"",CZ8&gt;=DK$42,CY8&gt;=DK$39),AND(DD8&lt;&gt;"",DD8&gt;=DK$42,DC8&gt;=DK$39),AND(DF8&lt;&gt;"",DF8&gt;=DK$42,DE8&gt;=DK$39),AND(DH8&lt;&gt;"",DH8&gt;=DK$42,DG8&gt;=DK$39),AND(EG8&lt;&gt;"",EG8&gt;=ET$42,EF8&gt;=ET$39),AND(EI8&lt;&gt;"",EI8&gt;=ET$42,EH8&gt;=ET$39),AND(EM8&lt;&gt;"",EM8&gt;=ET$42,EL8&gt;=ET$39),AND(EO8&lt;&gt;"",EO8&gt;=ET$42,EN8&gt;=ET$39),AND(EQ8&lt;&gt;"",EQ8&gt;=ET$42,EP8&gt;=ET$39)),"Performance",IF(I8="P","National Team",IF(F8="P","National Team",""))))</f>
        <v>National Team</v>
      </c>
      <c r="I8" s="2" t="str">
        <f>IF(COUNTIFS('Senior-M'!B:B,B8,'Senior-M'!A:A,"&lt;9",'Senior-M'!H:H,"&lt;&gt;"&amp;"No DD"),"P","")</f>
        <v>P</v>
      </c>
      <c r="J8" s="7">
        <f t="shared" si="1"/>
        <v>53.999999999999993</v>
      </c>
      <c r="K8" s="7" t="str">
        <f t="shared" si="2"/>
        <v>2026 Elite Canada</v>
      </c>
      <c r="L8" s="7">
        <f>IF(J8=AO8,IF(COUNT(AQ8,AS8,BO8,BQ8,BU8,BW8)&gt;1,LARGE((AQ8,AS8,BO8,BQ8,BU8,BW8),1),0),IF(COUNT(AK8,AM8,AQ8,AS8,BU8,BW8)&gt;1,LARGE((AK8,AM8,AQ8,AS8,BU8,BW8),1),0))</f>
        <v>20.9</v>
      </c>
      <c r="M8" s="7" t="str">
        <f t="shared" si="3"/>
        <v>2026 Elite Canada</v>
      </c>
      <c r="N8" s="7">
        <f>IF(J8=AO8,IF(COUNT(AQ8,AS8,BO8,BQ8,BU8,BW8)&gt;1,LARGE((AQ8,AS8,BO8,BQ8,BU8,BW8),2),0),IF(COUNT(AK8,AM8,AQ8,AS8,BU8,BW8)&gt;1,LARGE((AK8,AM8,AQ8,AS8,BU8,BW8),2),0))</f>
        <v>20.9</v>
      </c>
      <c r="O8" s="7" t="str">
        <f t="shared" si="4"/>
        <v>2026 Elite Canada</v>
      </c>
      <c r="P8" s="7" t="str">
        <f t="shared" si="5"/>
        <v/>
      </c>
      <c r="Q8" s="10" t="str">
        <f t="shared" si="6"/>
        <v/>
      </c>
      <c r="R8" s="7" t="str">
        <f t="shared" si="7"/>
        <v/>
      </c>
      <c r="S8" s="38">
        <v>18.399999999999999</v>
      </c>
      <c r="T8" s="38">
        <v>8.4</v>
      </c>
      <c r="U8" s="38">
        <v>0.6</v>
      </c>
      <c r="V8" s="38">
        <v>0</v>
      </c>
      <c r="W8" s="38">
        <v>18.899999999999999</v>
      </c>
      <c r="X8" s="38">
        <v>8.4</v>
      </c>
      <c r="Y8" s="38">
        <v>0</v>
      </c>
      <c r="Z8" s="38">
        <v>0.50000000000000178</v>
      </c>
      <c r="AA8" s="38">
        <v>15.6</v>
      </c>
      <c r="AB8" s="38">
        <v>4.8</v>
      </c>
      <c r="AC8" s="38">
        <v>0</v>
      </c>
      <c r="AD8" s="38">
        <v>0.49999999999999911</v>
      </c>
      <c r="AE8" s="38">
        <v>15.3</v>
      </c>
      <c r="AF8" s="38">
        <v>5.0999999999999996</v>
      </c>
      <c r="AG8" s="38">
        <v>0</v>
      </c>
      <c r="AH8" s="38">
        <v>0.49999999999999822</v>
      </c>
      <c r="AI8" s="19"/>
      <c r="AJ8" s="41">
        <f t="shared" si="8"/>
        <v>8.4</v>
      </c>
      <c r="AK8" s="41">
        <f t="shared" si="9"/>
        <v>26.199999999999996</v>
      </c>
      <c r="AL8" s="41">
        <f t="shared" si="10"/>
        <v>8.4</v>
      </c>
      <c r="AM8" s="41">
        <f t="shared" si="11"/>
        <v>27.799999999999997</v>
      </c>
      <c r="AN8" s="27">
        <f t="shared" si="12"/>
        <v>16.8</v>
      </c>
      <c r="AO8" s="27">
        <f t="shared" si="13"/>
        <v>53.999999999999993</v>
      </c>
      <c r="AP8" s="27">
        <f t="shared" si="14"/>
        <v>4.8</v>
      </c>
      <c r="AQ8" s="27">
        <f t="shared" si="15"/>
        <v>20.9</v>
      </c>
      <c r="AR8" s="27">
        <f t="shared" si="16"/>
        <v>5.0999999999999996</v>
      </c>
      <c r="AS8" s="27">
        <f t="shared" si="17"/>
        <v>20.9</v>
      </c>
      <c r="AT8" s="27">
        <f t="shared" si="18"/>
        <v>9.8999999999999986</v>
      </c>
      <c r="AU8" s="27">
        <f t="shared" si="19"/>
        <v>41.8</v>
      </c>
      <c r="AV8" s="27">
        <f t="shared" si="20"/>
        <v>95.799999999999983</v>
      </c>
      <c r="AW8" s="15"/>
      <c r="AX8" s="15"/>
      <c r="AY8" s="15"/>
      <c r="AZ8" s="15"/>
      <c r="BA8" s="15"/>
      <c r="BB8" s="15"/>
      <c r="BC8" s="15"/>
      <c r="BD8" s="15"/>
      <c r="BE8" s="15"/>
      <c r="BF8" s="15"/>
      <c r="BG8" s="15"/>
      <c r="BH8" s="15"/>
      <c r="BI8" s="15"/>
      <c r="BJ8" s="15"/>
      <c r="BK8" s="15"/>
      <c r="BL8" s="15"/>
      <c r="BM8" s="20"/>
      <c r="BN8" s="42" t="str">
        <f t="shared" si="21"/>
        <v/>
      </c>
      <c r="BO8" s="42" t="str">
        <f t="shared" si="22"/>
        <v/>
      </c>
      <c r="BP8" s="42" t="str">
        <f t="shared" si="23"/>
        <v/>
      </c>
      <c r="BQ8" s="42" t="str">
        <f t="shared" si="24"/>
        <v/>
      </c>
      <c r="BR8" s="10" t="str">
        <f t="shared" si="25"/>
        <v/>
      </c>
      <c r="BS8" s="10" t="str">
        <f t="shared" si="26"/>
        <v/>
      </c>
      <c r="BT8" s="10" t="str">
        <f t="shared" si="27"/>
        <v/>
      </c>
      <c r="BU8" s="10" t="str">
        <f t="shared" si="28"/>
        <v/>
      </c>
      <c r="BV8" s="10" t="str">
        <f t="shared" si="29"/>
        <v/>
      </c>
      <c r="BW8" s="10" t="str">
        <f t="shared" si="30"/>
        <v/>
      </c>
      <c r="BX8" s="10" t="str">
        <f t="shared" si="31"/>
        <v/>
      </c>
      <c r="BY8" s="10" t="str">
        <f t="shared" si="32"/>
        <v/>
      </c>
      <c r="BZ8" s="10" t="str">
        <f t="shared" si="33"/>
        <v/>
      </c>
      <c r="CA8" s="34" t="str">
        <f t="shared" si="34"/>
        <v/>
      </c>
      <c r="CB8" s="34" t="str">
        <f t="shared" si="35"/>
        <v/>
      </c>
      <c r="CC8" s="14"/>
      <c r="CD8" s="14"/>
      <c r="CE8" s="14"/>
      <c r="CF8" s="14"/>
      <c r="CG8" s="14"/>
      <c r="CH8" s="14"/>
      <c r="CI8" s="14"/>
      <c r="CJ8" s="14"/>
      <c r="CK8" s="14"/>
      <c r="CL8" s="14"/>
      <c r="CM8" s="14"/>
      <c r="CN8" s="14"/>
      <c r="CO8" s="14"/>
      <c r="CP8" s="14"/>
      <c r="CQ8" s="14"/>
      <c r="CR8" s="14"/>
      <c r="CS8" s="14"/>
      <c r="CT8" s="14"/>
      <c r="CU8" s="14"/>
      <c r="CV8" s="14"/>
      <c r="CW8" s="27" t="str">
        <f t="shared" si="36"/>
        <v/>
      </c>
      <c r="CX8" s="27" t="str">
        <f t="shared" si="37"/>
        <v/>
      </c>
      <c r="CY8" s="27" t="str">
        <f t="shared" si="38"/>
        <v/>
      </c>
      <c r="CZ8" s="27" t="str">
        <f t="shared" si="39"/>
        <v/>
      </c>
      <c r="DA8" s="27" t="str">
        <f t="shared" si="40"/>
        <v/>
      </c>
      <c r="DB8" s="27" t="str">
        <f t="shared" si="41"/>
        <v/>
      </c>
      <c r="DC8" s="27" t="str">
        <f t="shared" si="42"/>
        <v/>
      </c>
      <c r="DD8" s="27" t="str">
        <f t="shared" si="43"/>
        <v/>
      </c>
      <c r="DE8" s="27" t="str">
        <f t="shared" si="44"/>
        <v/>
      </c>
      <c r="DF8" s="27" t="str">
        <f t="shared" si="45"/>
        <v/>
      </c>
      <c r="DG8" s="27" t="str">
        <f t="shared" si="46"/>
        <v/>
      </c>
      <c r="DH8" s="27" t="str">
        <f t="shared" si="47"/>
        <v/>
      </c>
      <c r="DI8" s="27" t="str">
        <f t="shared" si="48"/>
        <v/>
      </c>
      <c r="DJ8" s="27" t="str">
        <f t="shared" si="49"/>
        <v/>
      </c>
      <c r="DK8" s="27" t="str">
        <f t="shared" si="50"/>
        <v/>
      </c>
      <c r="DL8" s="15"/>
      <c r="DM8" s="15"/>
      <c r="DN8" s="15"/>
      <c r="DO8" s="15"/>
      <c r="DP8" s="15"/>
      <c r="DQ8" s="15"/>
      <c r="DR8" s="15"/>
      <c r="DS8" s="15"/>
      <c r="DT8" s="15"/>
      <c r="DU8" s="15"/>
      <c r="DV8" s="15"/>
      <c r="DW8" s="15"/>
      <c r="DX8" s="15"/>
      <c r="DY8" s="15"/>
      <c r="DZ8" s="15"/>
      <c r="EA8" s="15"/>
      <c r="EB8" s="15"/>
      <c r="EC8" s="15"/>
      <c r="ED8" s="15"/>
      <c r="EE8" s="15"/>
      <c r="EF8" s="10" t="str">
        <f t="shared" si="51"/>
        <v/>
      </c>
      <c r="EG8" s="10" t="str">
        <f t="shared" si="52"/>
        <v/>
      </c>
      <c r="EH8" s="10" t="str">
        <f t="shared" si="53"/>
        <v/>
      </c>
      <c r="EI8" s="10" t="str">
        <f t="shared" si="54"/>
        <v/>
      </c>
      <c r="EJ8" s="10" t="str">
        <f t="shared" si="55"/>
        <v/>
      </c>
      <c r="EK8" s="10" t="str">
        <f t="shared" si="56"/>
        <v/>
      </c>
      <c r="EL8" s="10" t="str">
        <f t="shared" si="57"/>
        <v/>
      </c>
      <c r="EM8" s="10" t="str">
        <f t="shared" si="58"/>
        <v/>
      </c>
      <c r="EN8" s="10" t="str">
        <f t="shared" si="59"/>
        <v/>
      </c>
      <c r="EO8" s="10" t="str">
        <f t="shared" si="60"/>
        <v/>
      </c>
      <c r="EP8" s="10" t="str">
        <f t="shared" si="61"/>
        <v/>
      </c>
      <c r="EQ8" s="10" t="str">
        <f t="shared" si="62"/>
        <v/>
      </c>
      <c r="ER8" s="10" t="str">
        <f t="shared" si="63"/>
        <v/>
      </c>
      <c r="ES8" s="10" t="str">
        <f t="shared" si="64"/>
        <v/>
      </c>
      <c r="ET8" s="10" t="str">
        <f t="shared" si="65"/>
        <v/>
      </c>
    </row>
    <row r="9" spans="1:150" x14ac:dyDescent="0.2">
      <c r="A9" s="3" t="str" cm="1">
        <f t="array" ref="A9">IF(AND(H9&lt;&gt;"",H9&lt;&gt;"No DD",I9&lt;&gt;"P"),SUMPRODUCT((H$4:H$35&lt;&gt;"")*(H$4:H$35&lt;&gt;"No DD")*(I$4:I$35&lt;&gt;"P")*(E$4:E$35&gt;E9))+1,IF(H9="No DD",SUMPRODUCT((H$4:H$35="No DD")*(I$4:I$35&lt;&gt;"P")*(E$4:E$35&gt;E9))+1+SUMPRODUCT((H$4:H$35&lt;&gt;"")*(I$4:I$35&lt;&gt;"P")*(H$4:H$35&lt;&gt;"No DD")),""))</f>
        <v/>
      </c>
      <c r="B9" s="4" t="s">
        <v>49</v>
      </c>
      <c r="C9" s="3" t="s">
        <v>4</v>
      </c>
      <c r="D9" s="3">
        <v>2008</v>
      </c>
      <c r="E9" s="8">
        <f t="shared" si="0"/>
        <v>76.600004860004859</v>
      </c>
      <c r="F9" s="2" t="str">
        <f>IF(OR(AND(AO9&lt;&gt;"",AO9&gt;=AV$40,AN9&gt;=AV$37),AND(AU9&lt;&gt;"",AU9&gt;=AV$40,AT9&gt;=AV$37),AND(BS9&lt;&gt;"",BS9&gt;=BZ$40,BR9&gt;=BZ$37),AND(BY9&lt;&gt;"",BY9&gt;=BZ$40,BX9&gt;=BZ$37),AND(DB9&lt;&gt;"",DB9&gt;=DK$40,DA9&gt;=DK$37),AND(DJ9&lt;&gt;"",DJ9&gt;=DK$40,DI9&gt;=DK$37),AND(EK9&lt;&gt;"",EK9&gt;=ET$40,EJ9&gt;=ET$37),AND(ES9&lt;&gt;"",ES9&gt;=ET$40,ER9&gt;=ET$37)),"P","")</f>
        <v>P</v>
      </c>
      <c r="G9" s="2" t="str">
        <f>IF(OR(AND(AO9&lt;&gt;"",AO9&gt;=AV$40),AND(AU9&lt;&gt;"",AU9&gt;=AV$40),AND(BS9&lt;&gt;"",BS9&gt;=BZ$40),AND(BY9&lt;&gt;"",BY9&gt;=BZ$40),AND(DB9&lt;&gt;"",DB9&gt;=DK$40),AND(DJ9&lt;&gt;"",DJ9&gt;=DK$40),AND(EK9&lt;&gt;"",EK9&gt;=ET$40),AND(ES9&lt;&gt;"",ES9&gt;=ET$40)),"P","")</f>
        <v>P</v>
      </c>
      <c r="H9" s="26" t="str">
        <f>IF(AND(G9="P",F9=""),"No DD",IF(OR(AND(AK9&lt;&gt;"",AK9&gt;=AV$42,AJ9&gt;=AV$39),AND(AM9&lt;&gt;"",AM9&gt;=AV$42,AL9&gt;=AV$39),AND(AQ9&lt;&gt;"",AQ9&gt;=AV$42,AP9&gt;=AV$39),AND(AS9&lt;&gt;"",AS9&gt;=AV$42,AR9&gt;=AV$39),AND(BO9&lt;&gt;"",BO9&gt;=BZ$42,BN9&gt;=BZ$39),AND(BQ9&lt;&gt;"",BQ9&gt;=BZ$42,BP9&gt;=BZ$39),AND(BV9&lt;&gt;"",BV9&gt;=BZ$42,BU9&gt;=BZ$39),AND(BX9&lt;&gt;"",BX9&gt;=BZ$42,BW9&gt;=BZ$39),AND(CX9&lt;&gt;"",CX9&gt;=DK$42,CW9&gt;=DK$39),AND(CZ9&lt;&gt;"",CZ9&gt;=DK$42,CY9&gt;=DK$39),AND(DD9&lt;&gt;"",DD9&gt;=DK$42,DC9&gt;=DK$39),AND(DF9&lt;&gt;"",DF9&gt;=DK$42,DE9&gt;=DK$39),AND(DH9&lt;&gt;"",DH9&gt;=DK$42,DG9&gt;=DK$39),AND(EG9&lt;&gt;"",EG9&gt;=ET$42,EF9&gt;=ET$39),AND(EI9&lt;&gt;"",EI9&gt;=ET$42,EH9&gt;=ET$39),AND(EM9&lt;&gt;"",EM9&gt;=ET$42,EL9&gt;=ET$39),AND(EO9&lt;&gt;"",EO9&gt;=ET$42,EN9&gt;=ET$39),AND(EQ9&lt;&gt;"",EQ9&gt;=ET$42,EP9&gt;=ET$39)),"Performance",IF(I9="P","National Team",IF(F9="P","National Team",""))))</f>
        <v>National Team</v>
      </c>
      <c r="I9" s="2" t="str">
        <f>IF(COUNTIFS('Senior-M'!B:B,B9,'Senior-M'!A:A,"&lt;9",'Senior-M'!H:H,"&lt;&gt;"&amp;"No DD"),"P","")</f>
        <v>P</v>
      </c>
      <c r="J9" s="7">
        <f t="shared" si="1"/>
        <v>48.599999999999994</v>
      </c>
      <c r="K9" s="7" t="str">
        <f t="shared" si="2"/>
        <v>2026 Elite Canada</v>
      </c>
      <c r="L9" s="7">
        <f>IF(J9=AO9,IF(COUNT(AQ9,AS9,BO9,BQ9,BU9,BW9)&gt;1,LARGE((AQ9,AS9,BO9,BQ9,BU9,BW9),1),0),IF(COUNT(AK9,AM9,AQ9,AS9,BU9,BW9)&gt;1,LARGE((AK9,AM9,AQ9,AS9,BU9,BW9),1),0))</f>
        <v>0</v>
      </c>
      <c r="M9" s="7" t="str">
        <f t="shared" si="3"/>
        <v/>
      </c>
      <c r="N9" s="7">
        <f>IF(J9=AO9,IF(COUNT(AQ9,AS9,BO9,BQ9,BU9,BW9)&gt;1,LARGE((AQ9,AS9,BO9,BQ9,BU9,BW9),2),0),IF(COUNT(AK9,AM9,AQ9,AS9,BU9,BW9)&gt;1,LARGE((AK9,AM9,AQ9,AS9,BU9,BW9),2),0))</f>
        <v>0</v>
      </c>
      <c r="O9" s="7" t="str">
        <f t="shared" si="4"/>
        <v/>
      </c>
      <c r="P9" s="7">
        <f t="shared" si="5"/>
        <v>28</v>
      </c>
      <c r="Q9" s="10" t="str">
        <f t="shared" si="6"/>
        <v>(Pass)</v>
      </c>
      <c r="R9" s="7" t="str">
        <f t="shared" si="7"/>
        <v>2025 Worlds (Nov 9)</v>
      </c>
      <c r="S9" s="38">
        <v>15.2</v>
      </c>
      <c r="T9" s="38">
        <v>5.0999999999999996</v>
      </c>
      <c r="U9" s="38">
        <v>0</v>
      </c>
      <c r="V9" s="38">
        <v>0.50000000000000178</v>
      </c>
      <c r="W9" s="38">
        <v>18.600000000000001</v>
      </c>
      <c r="X9" s="38">
        <v>9.3000000000000007</v>
      </c>
      <c r="Y9" s="38">
        <v>0.6</v>
      </c>
      <c r="Z9" s="38">
        <v>0.49999999999999856</v>
      </c>
      <c r="AA9" s="38" t="s">
        <v>175</v>
      </c>
      <c r="AB9" s="38" t="s">
        <v>175</v>
      </c>
      <c r="AC9" s="38" t="s">
        <v>175</v>
      </c>
      <c r="AD9" s="38" t="s">
        <v>175</v>
      </c>
      <c r="AE9" s="38" t="s">
        <v>175</v>
      </c>
      <c r="AF9" s="38" t="s">
        <v>175</v>
      </c>
      <c r="AG9" s="38" t="s">
        <v>175</v>
      </c>
      <c r="AH9" s="38" t="s">
        <v>175</v>
      </c>
      <c r="AI9" s="19"/>
      <c r="AJ9" s="41">
        <f t="shared" si="8"/>
        <v>5.0999999999999996</v>
      </c>
      <c r="AK9" s="41">
        <f t="shared" si="9"/>
        <v>20.799999999999997</v>
      </c>
      <c r="AL9" s="41">
        <f t="shared" si="10"/>
        <v>9.3000000000000007</v>
      </c>
      <c r="AM9" s="41">
        <f t="shared" si="11"/>
        <v>27.8</v>
      </c>
      <c r="AN9" s="27">
        <f t="shared" si="12"/>
        <v>14.4</v>
      </c>
      <c r="AO9" s="27">
        <f t="shared" si="13"/>
        <v>48.599999999999994</v>
      </c>
      <c r="AP9" s="27" t="str">
        <f t="shared" si="14"/>
        <v/>
      </c>
      <c r="AQ9" s="27" t="str">
        <f t="shared" si="15"/>
        <v/>
      </c>
      <c r="AR9" s="27" t="str">
        <f t="shared" si="16"/>
        <v/>
      </c>
      <c r="AS9" s="27" t="str">
        <f t="shared" si="17"/>
        <v/>
      </c>
      <c r="AT9" s="27" t="str">
        <f t="shared" si="18"/>
        <v/>
      </c>
      <c r="AU9" s="27" t="str">
        <f t="shared" si="19"/>
        <v/>
      </c>
      <c r="AV9" s="27">
        <f t="shared" si="20"/>
        <v>48.599999999999994</v>
      </c>
      <c r="AW9" s="15"/>
      <c r="AX9" s="15"/>
      <c r="AY9" s="15"/>
      <c r="AZ9" s="15"/>
      <c r="BA9" s="15"/>
      <c r="BB9" s="15"/>
      <c r="BC9" s="15"/>
      <c r="BD9" s="15"/>
      <c r="BE9" s="15"/>
      <c r="BF9" s="15"/>
      <c r="BG9" s="15"/>
      <c r="BH9" s="15"/>
      <c r="BI9" s="15"/>
      <c r="BJ9" s="15"/>
      <c r="BK9" s="15"/>
      <c r="BL9" s="15"/>
      <c r="BM9" s="20"/>
      <c r="BN9" s="42" t="str">
        <f t="shared" si="21"/>
        <v/>
      </c>
      <c r="BO9" s="42" t="str">
        <f t="shared" si="22"/>
        <v/>
      </c>
      <c r="BP9" s="42" t="str">
        <f t="shared" si="23"/>
        <v/>
      </c>
      <c r="BQ9" s="42" t="str">
        <f t="shared" si="24"/>
        <v/>
      </c>
      <c r="BR9" s="10" t="str">
        <f t="shared" si="25"/>
        <v/>
      </c>
      <c r="BS9" s="10" t="str">
        <f t="shared" si="26"/>
        <v/>
      </c>
      <c r="BT9" s="10" t="str">
        <f t="shared" si="27"/>
        <v/>
      </c>
      <c r="BU9" s="10" t="str">
        <f t="shared" si="28"/>
        <v/>
      </c>
      <c r="BV9" s="10" t="str">
        <f t="shared" si="29"/>
        <v/>
      </c>
      <c r="BW9" s="10" t="str">
        <f t="shared" si="30"/>
        <v/>
      </c>
      <c r="BX9" s="10" t="str">
        <f t="shared" si="31"/>
        <v/>
      </c>
      <c r="BY9" s="10" t="str">
        <f t="shared" si="32"/>
        <v/>
      </c>
      <c r="BZ9" s="10" t="str">
        <f t="shared" si="33"/>
        <v/>
      </c>
      <c r="CA9" s="34">
        <f t="shared" si="34"/>
        <v>5.2000000000000028</v>
      </c>
      <c r="CB9" s="34">
        <f t="shared" si="35"/>
        <v>28</v>
      </c>
      <c r="CC9" s="14">
        <v>18.399999999999999</v>
      </c>
      <c r="CD9" s="14">
        <v>9.5</v>
      </c>
      <c r="CE9" s="14">
        <v>0</v>
      </c>
      <c r="CF9" s="14">
        <v>0</v>
      </c>
      <c r="CG9" s="14">
        <v>18.2</v>
      </c>
      <c r="CH9" s="14">
        <v>8.5</v>
      </c>
      <c r="CI9" s="14">
        <v>0.8</v>
      </c>
      <c r="CJ9" s="14">
        <v>0</v>
      </c>
      <c r="CK9" s="14">
        <v>18.2</v>
      </c>
      <c r="CL9" s="14">
        <v>10.4</v>
      </c>
      <c r="CM9" s="14">
        <v>0.6</v>
      </c>
      <c r="CN9" s="14">
        <v>0</v>
      </c>
      <c r="CO9" s="14"/>
      <c r="CP9" s="14"/>
      <c r="CQ9" s="14"/>
      <c r="CR9" s="14"/>
      <c r="CS9" s="14"/>
      <c r="CT9" s="14"/>
      <c r="CU9" s="14"/>
      <c r="CV9" s="14"/>
      <c r="CW9" s="27">
        <f t="shared" si="36"/>
        <v>9.5</v>
      </c>
      <c r="CX9" s="27">
        <f t="shared" si="37"/>
        <v>27.9</v>
      </c>
      <c r="CY9" s="27">
        <f t="shared" si="38"/>
        <v>8.5</v>
      </c>
      <c r="CZ9" s="27">
        <f t="shared" si="39"/>
        <v>25.9</v>
      </c>
      <c r="DA9" s="27">
        <f t="shared" si="40"/>
        <v>18</v>
      </c>
      <c r="DB9" s="27">
        <f t="shared" si="41"/>
        <v>53.8</v>
      </c>
      <c r="DC9" s="27">
        <f t="shared" si="42"/>
        <v>10.4</v>
      </c>
      <c r="DD9" s="27">
        <f t="shared" si="43"/>
        <v>28</v>
      </c>
      <c r="DE9" s="27" t="str">
        <f t="shared" si="44"/>
        <v/>
      </c>
      <c r="DF9" s="27" t="str">
        <f t="shared" si="45"/>
        <v/>
      </c>
      <c r="DG9" s="27" t="str">
        <f t="shared" si="46"/>
        <v/>
      </c>
      <c r="DH9" s="27" t="str">
        <f t="shared" si="47"/>
        <v/>
      </c>
      <c r="DI9" s="27" t="str">
        <f t="shared" si="48"/>
        <v/>
      </c>
      <c r="DJ9" s="27" t="str">
        <f t="shared" si="49"/>
        <v/>
      </c>
      <c r="DK9" s="27">
        <f t="shared" si="50"/>
        <v>81.8</v>
      </c>
      <c r="DL9" s="15"/>
      <c r="DM9" s="15"/>
      <c r="DN9" s="15"/>
      <c r="DO9" s="15"/>
      <c r="DP9" s="15"/>
      <c r="DQ9" s="15"/>
      <c r="DR9" s="15"/>
      <c r="DS9" s="15"/>
      <c r="DT9" s="15"/>
      <c r="DU9" s="15"/>
      <c r="DV9" s="15"/>
      <c r="DW9" s="15"/>
      <c r="DX9" s="15"/>
      <c r="DY9" s="15"/>
      <c r="DZ9" s="15"/>
      <c r="EA9" s="15"/>
      <c r="EB9" s="15"/>
      <c r="EC9" s="15"/>
      <c r="ED9" s="15"/>
      <c r="EE9" s="15"/>
      <c r="EF9" s="10" t="str">
        <f t="shared" si="51"/>
        <v/>
      </c>
      <c r="EG9" s="10" t="str">
        <f t="shared" si="52"/>
        <v/>
      </c>
      <c r="EH9" s="10" t="str">
        <f t="shared" si="53"/>
        <v/>
      </c>
      <c r="EI9" s="10" t="str">
        <f t="shared" si="54"/>
        <v/>
      </c>
      <c r="EJ9" s="10" t="str">
        <f t="shared" si="55"/>
        <v/>
      </c>
      <c r="EK9" s="10" t="str">
        <f t="shared" si="56"/>
        <v/>
      </c>
      <c r="EL9" s="10" t="str">
        <f t="shared" si="57"/>
        <v/>
      </c>
      <c r="EM9" s="10" t="str">
        <f t="shared" si="58"/>
        <v/>
      </c>
      <c r="EN9" s="10" t="str">
        <f t="shared" si="59"/>
        <v/>
      </c>
      <c r="EO9" s="10" t="str">
        <f t="shared" si="60"/>
        <v/>
      </c>
      <c r="EP9" s="10" t="str">
        <f t="shared" si="61"/>
        <v/>
      </c>
      <c r="EQ9" s="10" t="str">
        <f t="shared" si="62"/>
        <v/>
      </c>
      <c r="ER9" s="10" t="str">
        <f t="shared" si="63"/>
        <v/>
      </c>
      <c r="ES9" s="10" t="str">
        <f t="shared" si="64"/>
        <v/>
      </c>
      <c r="ET9" s="10" t="str">
        <f t="shared" si="65"/>
        <v/>
      </c>
    </row>
    <row r="10" spans="1:150" x14ac:dyDescent="0.2">
      <c r="A10" s="3" cm="1">
        <f t="array" ref="A10">IF(AND(H10&lt;&gt;"",H10&lt;&gt;"No DD",I10&lt;&gt;"P"),SUMPRODUCT((H$4:H$35&lt;&gt;"")*(H$4:H$35&lt;&gt;"No DD")*(I$4:I$35&lt;&gt;"P")*(E$4:E$35&gt;E10))+1,IF(H10="No DD",SUMPRODUCT((H$4:H$35="No DD")*(I$4:I$35&lt;&gt;"P")*(E$4:E$35&gt;E10))+1+SUMPRODUCT((H$4:H$35&lt;&gt;"")*(I$4:I$35&lt;&gt;"P")*(H$4:H$35&lt;&gt;"No DD")),""))</f>
        <v>2</v>
      </c>
      <c r="B10" s="4" t="s">
        <v>72</v>
      </c>
      <c r="C10" s="3" t="s">
        <v>5</v>
      </c>
      <c r="D10" s="3">
        <v>2007</v>
      </c>
      <c r="E10" s="8">
        <f t="shared" si="0"/>
        <v>102.6000077400052</v>
      </c>
      <c r="F10" s="2" t="str">
        <f>IF(OR(AND(AO10&lt;&gt;"",AO10&gt;=AV$40,AN10&gt;=AV$37),AND(AU10&lt;&gt;"",AU10&gt;=AV$40,AT10&gt;=AV$37),AND(BS10&lt;&gt;"",BS10&gt;=BZ$40,BR10&gt;=BZ$37),AND(BY10&lt;&gt;"",BY10&gt;=BZ$40,BX10&gt;=BZ$37),AND(DB10&lt;&gt;"",DB10&gt;=DK$40,DA10&gt;=DK$37),AND(DJ10&lt;&gt;"",DJ10&gt;=DK$40,DI10&gt;=DK$37),AND(EK10&lt;&gt;"",EK10&gt;=ET$40,EJ10&gt;=ET$37),AND(ES10&lt;&gt;"",ES10&gt;=ET$40,ER10&gt;=ET$37)),"P","")</f>
        <v/>
      </c>
      <c r="G10" s="2" t="str">
        <f>IF(OR(AND(AO10&lt;&gt;"",AO10&gt;=AV$40),AND(AU10&lt;&gt;"",AU10&gt;=AV$40),AND(BS10&lt;&gt;"",BS10&gt;=BZ$40),AND(BY10&lt;&gt;"",BY10&gt;=BZ$40),AND(DB10&lt;&gt;"",DB10&gt;=DK$40),AND(DJ10&lt;&gt;"",DJ10&gt;=DK$40),AND(EK10&lt;&gt;"",EK10&gt;=ET$40),AND(ES10&lt;&gt;"",ES10&gt;=ET$40)),"P","")</f>
        <v>P</v>
      </c>
      <c r="H10" s="26" t="str">
        <f>IF(AND(G10="P",F10=""),"No DD",IF(OR(AND(AK10&lt;&gt;"",AK10&gt;=AV$42,AJ10&gt;=AV$39),AND(AM10&lt;&gt;"",AM10&gt;=AV$42,AL10&gt;=AV$39),AND(AQ10&lt;&gt;"",AQ10&gt;=AV$42,AP10&gt;=AV$39),AND(AS10&lt;&gt;"",AS10&gt;=AV$42,AR10&gt;=AV$39),AND(BO10&lt;&gt;"",BO10&gt;=BZ$42,BN10&gt;=BZ$39),AND(BQ10&lt;&gt;"",BQ10&gt;=BZ$42,BP10&gt;=BZ$39),AND(BV10&lt;&gt;"",BV10&gt;=BZ$42,BU10&gt;=BZ$39),AND(BX10&lt;&gt;"",BX10&gt;=BZ$42,BW10&gt;=BZ$39),AND(CX10&lt;&gt;"",CX10&gt;=DK$42,CW10&gt;=DK$39),AND(CZ10&lt;&gt;"",CZ10&gt;=DK$42,CY10&gt;=DK$39),AND(DD10&lt;&gt;"",DD10&gt;=DK$42,DC10&gt;=DK$39),AND(DF10&lt;&gt;"",DF10&gt;=DK$42,DE10&gt;=DK$39),AND(DH10&lt;&gt;"",DH10&gt;=DK$42,DG10&gt;=DK$39),AND(EG10&lt;&gt;"",EG10&gt;=ET$42,EF10&gt;=ET$39),AND(EI10&lt;&gt;"",EI10&gt;=ET$42,EH10&gt;=ET$39),AND(EM10&lt;&gt;"",EM10&gt;=ET$42,EL10&gt;=ET$39),AND(EO10&lt;&gt;"",EO10&gt;=ET$42,EN10&gt;=ET$39),AND(EQ10&lt;&gt;"",EQ10&gt;=ET$42,EP10&gt;=ET$39)),"Performance",IF(I10="P","National Team",IF(F10="P","National Team",""))))</f>
        <v>No DD</v>
      </c>
      <c r="I10" s="2" t="str">
        <f>IF(COUNTIFS('Senior-M'!B:B,B10,'Senior-M'!A:A,"&lt;9",'Senior-M'!H:H,"&lt;&gt;"&amp;"No DD"),"P","")</f>
        <v/>
      </c>
      <c r="J10" s="7">
        <f t="shared" si="1"/>
        <v>51.8</v>
      </c>
      <c r="K10" s="7" t="str">
        <f t="shared" si="2"/>
        <v>2026 Elite Canada</v>
      </c>
      <c r="L10" s="7">
        <f>IF(J10=AO10,IF(COUNT(AQ10,AS10,BO10,BQ10,BU10,BW10)&gt;1,LARGE((AQ10,AS10,BO10,BQ10,BU10,BW10),1),0),IF(COUNT(AK10,AM10,AQ10,AS10,BU10,BW10)&gt;1,LARGE((AK10,AM10,AQ10,AS10,BU10,BW10),1),0))</f>
        <v>25.6</v>
      </c>
      <c r="M10" s="7" t="str">
        <f t="shared" si="3"/>
        <v>2026 Elite Canada</v>
      </c>
      <c r="N10" s="7">
        <f>IF(J10=AO10,IF(COUNT(AQ10,AS10,BO10,BQ10,BU10,BW10)&gt;1,LARGE((AQ10,AS10,BO10,BQ10,BU10,BW10),2),0),IF(COUNT(AK10,AM10,AQ10,AS10,BU10,BW10)&gt;1,LARGE((AK10,AM10,AQ10,AS10,BU10,BW10),2),0))</f>
        <v>25.2</v>
      </c>
      <c r="O10" s="7" t="str">
        <f t="shared" si="4"/>
        <v>2026 Elite Canada</v>
      </c>
      <c r="P10" s="7" t="str">
        <f t="shared" si="5"/>
        <v/>
      </c>
      <c r="Q10" s="10" t="str">
        <f t="shared" si="6"/>
        <v/>
      </c>
      <c r="R10" s="7" t="str">
        <f t="shared" si="7"/>
        <v/>
      </c>
      <c r="S10" s="38">
        <v>18.600000000000001</v>
      </c>
      <c r="T10" s="38">
        <v>7.2</v>
      </c>
      <c r="U10" s="38">
        <v>0</v>
      </c>
      <c r="V10" s="38">
        <v>0</v>
      </c>
      <c r="W10" s="38">
        <v>18.8</v>
      </c>
      <c r="X10" s="38">
        <v>7.2</v>
      </c>
      <c r="Y10" s="38">
        <v>0</v>
      </c>
      <c r="Z10" s="38">
        <v>0</v>
      </c>
      <c r="AA10" s="38">
        <v>18.600000000000001</v>
      </c>
      <c r="AB10" s="38">
        <v>7.2</v>
      </c>
      <c r="AC10" s="38">
        <v>0.6</v>
      </c>
      <c r="AD10" s="38">
        <v>0</v>
      </c>
      <c r="AE10" s="38">
        <v>18.600000000000001</v>
      </c>
      <c r="AF10" s="38">
        <v>7.2</v>
      </c>
      <c r="AG10" s="38">
        <v>0.2</v>
      </c>
      <c r="AH10" s="38">
        <v>0</v>
      </c>
      <c r="AI10" s="19"/>
      <c r="AJ10" s="41">
        <f t="shared" si="8"/>
        <v>7.2</v>
      </c>
      <c r="AK10" s="41">
        <f t="shared" si="9"/>
        <v>25.8</v>
      </c>
      <c r="AL10" s="41">
        <f t="shared" si="10"/>
        <v>7.2</v>
      </c>
      <c r="AM10" s="41">
        <f t="shared" si="11"/>
        <v>26</v>
      </c>
      <c r="AN10" s="27">
        <f t="shared" si="12"/>
        <v>14.4</v>
      </c>
      <c r="AO10" s="27">
        <f t="shared" si="13"/>
        <v>51.8</v>
      </c>
      <c r="AP10" s="27">
        <f t="shared" si="14"/>
        <v>7.2</v>
      </c>
      <c r="AQ10" s="27">
        <f t="shared" si="15"/>
        <v>25.2</v>
      </c>
      <c r="AR10" s="27">
        <f t="shared" si="16"/>
        <v>7.2</v>
      </c>
      <c r="AS10" s="27">
        <f t="shared" si="17"/>
        <v>25.6</v>
      </c>
      <c r="AT10" s="27">
        <f t="shared" si="18"/>
        <v>14.4</v>
      </c>
      <c r="AU10" s="27">
        <f t="shared" si="19"/>
        <v>50.8</v>
      </c>
      <c r="AV10" s="27">
        <f t="shared" si="20"/>
        <v>102.6</v>
      </c>
      <c r="AW10" s="15"/>
      <c r="AX10" s="15"/>
      <c r="AY10" s="15"/>
      <c r="AZ10" s="15"/>
      <c r="BA10" s="15"/>
      <c r="BB10" s="15"/>
      <c r="BC10" s="15"/>
      <c r="BD10" s="15"/>
      <c r="BE10" s="15"/>
      <c r="BF10" s="15"/>
      <c r="BG10" s="15"/>
      <c r="BH10" s="15"/>
      <c r="BI10" s="15"/>
      <c r="BJ10" s="15"/>
      <c r="BK10" s="15"/>
      <c r="BL10" s="15"/>
      <c r="BM10" s="20"/>
      <c r="BN10" s="42" t="str">
        <f t="shared" si="21"/>
        <v/>
      </c>
      <c r="BO10" s="42" t="str">
        <f t="shared" si="22"/>
        <v/>
      </c>
      <c r="BP10" s="42" t="str">
        <f t="shared" si="23"/>
        <v/>
      </c>
      <c r="BQ10" s="42" t="str">
        <f t="shared" si="24"/>
        <v/>
      </c>
      <c r="BR10" s="10" t="str">
        <f t="shared" si="25"/>
        <v/>
      </c>
      <c r="BS10" s="10" t="str">
        <f t="shared" si="26"/>
        <v/>
      </c>
      <c r="BT10" s="10" t="str">
        <f t="shared" si="27"/>
        <v/>
      </c>
      <c r="BU10" s="10" t="str">
        <f t="shared" si="28"/>
        <v/>
      </c>
      <c r="BV10" s="10" t="str">
        <f t="shared" si="29"/>
        <v/>
      </c>
      <c r="BW10" s="10" t="str">
        <f t="shared" si="30"/>
        <v/>
      </c>
      <c r="BX10" s="10" t="str">
        <f t="shared" si="31"/>
        <v/>
      </c>
      <c r="BY10" s="10" t="str">
        <f t="shared" si="32"/>
        <v/>
      </c>
      <c r="BZ10" s="10" t="str">
        <f t="shared" si="33"/>
        <v/>
      </c>
      <c r="CA10" s="34" t="str">
        <f t="shared" si="34"/>
        <v/>
      </c>
      <c r="CB10" s="34" t="str">
        <f t="shared" si="35"/>
        <v/>
      </c>
      <c r="CC10" s="14"/>
      <c r="CD10" s="14"/>
      <c r="CE10" s="14"/>
      <c r="CF10" s="14"/>
      <c r="CG10" s="14"/>
      <c r="CH10" s="14"/>
      <c r="CI10" s="14"/>
      <c r="CJ10" s="14"/>
      <c r="CK10" s="14"/>
      <c r="CL10" s="14"/>
      <c r="CM10" s="14"/>
      <c r="CN10" s="14"/>
      <c r="CO10" s="14"/>
      <c r="CP10" s="14"/>
      <c r="CQ10" s="14"/>
      <c r="CR10" s="14"/>
      <c r="CS10" s="14"/>
      <c r="CT10" s="14"/>
      <c r="CU10" s="14"/>
      <c r="CV10" s="14"/>
      <c r="CW10" s="27" t="str">
        <f t="shared" si="36"/>
        <v/>
      </c>
      <c r="CX10" s="27" t="str">
        <f t="shared" si="37"/>
        <v/>
      </c>
      <c r="CY10" s="27" t="str">
        <f t="shared" si="38"/>
        <v/>
      </c>
      <c r="CZ10" s="27" t="str">
        <f t="shared" si="39"/>
        <v/>
      </c>
      <c r="DA10" s="27" t="str">
        <f t="shared" si="40"/>
        <v/>
      </c>
      <c r="DB10" s="27" t="str">
        <f t="shared" si="41"/>
        <v/>
      </c>
      <c r="DC10" s="27" t="str">
        <f t="shared" si="42"/>
        <v/>
      </c>
      <c r="DD10" s="27" t="str">
        <f t="shared" si="43"/>
        <v/>
      </c>
      <c r="DE10" s="27" t="str">
        <f t="shared" si="44"/>
        <v/>
      </c>
      <c r="DF10" s="27" t="str">
        <f t="shared" si="45"/>
        <v/>
      </c>
      <c r="DG10" s="27" t="str">
        <f t="shared" si="46"/>
        <v/>
      </c>
      <c r="DH10" s="27" t="str">
        <f t="shared" si="47"/>
        <v/>
      </c>
      <c r="DI10" s="27" t="str">
        <f t="shared" si="48"/>
        <v/>
      </c>
      <c r="DJ10" s="27" t="str">
        <f t="shared" si="49"/>
        <v/>
      </c>
      <c r="DK10" s="27" t="str">
        <f t="shared" si="50"/>
        <v/>
      </c>
      <c r="DL10" s="15"/>
      <c r="DM10" s="15"/>
      <c r="DN10" s="15"/>
      <c r="DO10" s="15"/>
      <c r="DP10" s="15"/>
      <c r="DQ10" s="15"/>
      <c r="DR10" s="15"/>
      <c r="DS10" s="15"/>
      <c r="DT10" s="15"/>
      <c r="DU10" s="15"/>
      <c r="DV10" s="15"/>
      <c r="DW10" s="15"/>
      <c r="DX10" s="15"/>
      <c r="DY10" s="15"/>
      <c r="DZ10" s="15"/>
      <c r="EA10" s="15"/>
      <c r="EB10" s="15"/>
      <c r="EC10" s="15"/>
      <c r="ED10" s="15"/>
      <c r="EE10" s="15"/>
      <c r="EF10" s="10" t="str">
        <f t="shared" si="51"/>
        <v/>
      </c>
      <c r="EG10" s="10" t="str">
        <f t="shared" si="52"/>
        <v/>
      </c>
      <c r="EH10" s="10" t="str">
        <f t="shared" si="53"/>
        <v/>
      </c>
      <c r="EI10" s="10" t="str">
        <f t="shared" si="54"/>
        <v/>
      </c>
      <c r="EJ10" s="10" t="str">
        <f t="shared" si="55"/>
        <v/>
      </c>
      <c r="EK10" s="10" t="str">
        <f t="shared" si="56"/>
        <v/>
      </c>
      <c r="EL10" s="10" t="str">
        <f t="shared" si="57"/>
        <v/>
      </c>
      <c r="EM10" s="10" t="str">
        <f t="shared" si="58"/>
        <v/>
      </c>
      <c r="EN10" s="10" t="str">
        <f t="shared" si="59"/>
        <v/>
      </c>
      <c r="EO10" s="10" t="str">
        <f t="shared" si="60"/>
        <v/>
      </c>
      <c r="EP10" s="10" t="str">
        <f t="shared" si="61"/>
        <v/>
      </c>
      <c r="EQ10" s="10" t="str">
        <f t="shared" si="62"/>
        <v/>
      </c>
      <c r="ER10" s="10" t="str">
        <f t="shared" si="63"/>
        <v/>
      </c>
      <c r="ES10" s="10" t="str">
        <f t="shared" si="64"/>
        <v/>
      </c>
      <c r="ET10" s="10" t="str">
        <f t="shared" si="65"/>
        <v/>
      </c>
    </row>
    <row r="11" spans="1:150" x14ac:dyDescent="0.2">
      <c r="A11" s="3" cm="1">
        <f t="array" ref="A11">IF(AND(H11&lt;&gt;"",H11&lt;&gt;"No DD",I11&lt;&gt;"P"),SUMPRODUCT((H$4:H$35&lt;&gt;"")*(H$4:H$35&lt;&gt;"No DD")*(I$4:I$35&lt;&gt;"P")*(E$4:E$35&gt;E11))+1,IF(H11="No DD",SUMPRODUCT((H$4:H$35="No DD")*(I$4:I$35&lt;&gt;"P")*(E$4:E$35&gt;E11))+1+SUMPRODUCT((H$4:H$35&lt;&gt;"")*(I$4:I$35&lt;&gt;"P")*(H$4:H$35&lt;&gt;"No DD")),""))</f>
        <v>3</v>
      </c>
      <c r="B11" s="4" t="s">
        <v>54</v>
      </c>
      <c r="C11" s="3" t="s">
        <v>4</v>
      </c>
      <c r="D11" s="3">
        <v>2005</v>
      </c>
      <c r="E11" s="8">
        <f t="shared" si="0"/>
        <v>101.10000781000518</v>
      </c>
      <c r="F11" s="2" t="str">
        <f>IF(OR(AND(AO11&lt;&gt;"",AO11&gt;=AV$40,AN11&gt;=AV$37),AND(AU11&lt;&gt;"",AU11&gt;=AV$40,AT11&gt;=AV$37),AND(BS11&lt;&gt;"",BS11&gt;=BZ$40,BR11&gt;=BZ$37),AND(BY11&lt;&gt;"",BY11&gt;=BZ$40,BX11&gt;=BZ$37),AND(DB11&lt;&gt;"",DB11&gt;=DK$40,DA11&gt;=DK$37),AND(DJ11&lt;&gt;"",DJ11&gt;=DK$40,DI11&gt;=DK$37),AND(EK11&lt;&gt;"",EK11&gt;=ET$40,EJ11&gt;=ET$37),AND(ES11&lt;&gt;"",ES11&gt;=ET$40,ER11&gt;=ET$37)),"P","")</f>
        <v/>
      </c>
      <c r="G11" s="2" t="str">
        <f>IF(OR(AND(AO11&lt;&gt;"",AO11&gt;=AV$40),AND(AU11&lt;&gt;"",AU11&gt;=AV$40),AND(BS11&lt;&gt;"",BS11&gt;=BZ$40),AND(BY11&lt;&gt;"",BY11&gt;=BZ$40),AND(DB11&lt;&gt;"",DB11&gt;=DK$40),AND(DJ11&lt;&gt;"",DJ11&gt;=DK$40),AND(EK11&lt;&gt;"",EK11&gt;=ET$40),AND(ES11&lt;&gt;"",ES11&gt;=ET$40)),"P","")</f>
        <v>P</v>
      </c>
      <c r="H11" s="26" t="str">
        <f>IF(AND(G11="P",F11=""),"No DD",IF(OR(AND(AK11&lt;&gt;"",AK11&gt;=AV$42,AJ11&gt;=AV$39),AND(AM11&lt;&gt;"",AM11&gt;=AV$42,AL11&gt;=AV$39),AND(AQ11&lt;&gt;"",AQ11&gt;=AV$42,AP11&gt;=AV$39),AND(AS11&lt;&gt;"",AS11&gt;=AV$42,AR11&gt;=AV$39),AND(BO11&lt;&gt;"",BO11&gt;=BZ$42,BN11&gt;=BZ$39),AND(BQ11&lt;&gt;"",BQ11&gt;=BZ$42,BP11&gt;=BZ$39),AND(BV11&lt;&gt;"",BV11&gt;=BZ$42,BU11&gt;=BZ$39),AND(BX11&lt;&gt;"",BX11&gt;=BZ$42,BW11&gt;=BZ$39),AND(CX11&lt;&gt;"",CX11&gt;=DK$42,CW11&gt;=DK$39),AND(CZ11&lt;&gt;"",CZ11&gt;=DK$42,CY11&gt;=DK$39),AND(DD11&lt;&gt;"",DD11&gt;=DK$42,DC11&gt;=DK$39),AND(DF11&lt;&gt;"",DF11&gt;=DK$42,DE11&gt;=DK$39),AND(DH11&lt;&gt;"",DH11&gt;=DK$42,DG11&gt;=DK$39),AND(EG11&lt;&gt;"",EG11&gt;=ET$42,EF11&gt;=ET$39),AND(EI11&lt;&gt;"",EI11&gt;=ET$42,EH11&gt;=ET$39),AND(EM11&lt;&gt;"",EM11&gt;=ET$42,EL11&gt;=ET$39),AND(EO11&lt;&gt;"",EO11&gt;=ET$42,EN11&gt;=ET$39),AND(EQ11&lt;&gt;"",EQ11&gt;=ET$42,EP11&gt;=ET$39)),"Performance",IF(I11="P","National Team",IF(F11="P","National Team",""))))</f>
        <v>No DD</v>
      </c>
      <c r="I11" s="2" t="str">
        <f>IF(COUNTIFS('Senior-M'!B:B,B11,'Senior-M'!A:A,"&lt;9",'Senior-M'!H:H,"&lt;&gt;"&amp;"No DD"),"P","")</f>
        <v/>
      </c>
      <c r="J11" s="7">
        <f t="shared" si="1"/>
        <v>51.9</v>
      </c>
      <c r="K11" s="7" t="str">
        <f t="shared" si="2"/>
        <v>2026 Elite Canada</v>
      </c>
      <c r="L11" s="7">
        <f>IF(J11=AO11,IF(COUNT(AQ11,AS11,BO11,BQ11,BU11,BW11)&gt;1,LARGE((AQ11,AS11,BO11,BQ11,BU11,BW11),1),0),IF(COUNT(AK11,AM11,AQ11,AS11,BU11,BW11)&gt;1,LARGE((AK11,AM11,AQ11,AS11,BU11,BW11),1),0))</f>
        <v>26.2</v>
      </c>
      <c r="M11" s="7" t="str">
        <f t="shared" si="3"/>
        <v>2026 Elite Canada</v>
      </c>
      <c r="N11" s="7">
        <f>IF(J11=AO11,IF(COUNT(AQ11,AS11,BO11,BQ11,BU11,BW11)&gt;1,LARGE((AQ11,AS11,BO11,BQ11,BU11,BW11),2),0),IF(COUNT(AK11,AM11,AQ11,AS11,BU11,BW11)&gt;1,LARGE((AK11,AM11,AQ11,AS11,BU11,BW11),2),0))</f>
        <v>23</v>
      </c>
      <c r="O11" s="7" t="str">
        <f t="shared" si="4"/>
        <v>2026 Elite Canada</v>
      </c>
      <c r="P11" s="7" t="str">
        <f t="shared" si="5"/>
        <v/>
      </c>
      <c r="Q11" s="10" t="str">
        <f t="shared" si="6"/>
        <v/>
      </c>
      <c r="R11" s="7" t="str">
        <f t="shared" si="7"/>
        <v/>
      </c>
      <c r="S11" s="38">
        <v>18.600000000000001</v>
      </c>
      <c r="T11" s="38">
        <v>6.4</v>
      </c>
      <c r="U11" s="38">
        <v>0.4</v>
      </c>
      <c r="V11" s="38">
        <v>0</v>
      </c>
      <c r="W11" s="38">
        <v>18.7</v>
      </c>
      <c r="X11" s="38">
        <v>8.1</v>
      </c>
      <c r="Y11" s="38">
        <v>0</v>
      </c>
      <c r="Z11" s="38">
        <v>0.50000000000000178</v>
      </c>
      <c r="AA11" s="38">
        <v>18.399999999999999</v>
      </c>
      <c r="AB11" s="38">
        <v>6</v>
      </c>
      <c r="AC11" s="38">
        <v>1.4</v>
      </c>
      <c r="AD11" s="38">
        <v>0</v>
      </c>
      <c r="AE11" s="38">
        <v>18.399999999999999</v>
      </c>
      <c r="AF11" s="38">
        <v>8.1</v>
      </c>
      <c r="AG11" s="38">
        <v>0.8</v>
      </c>
      <c r="AH11" s="38">
        <v>0.50000000000000111</v>
      </c>
      <c r="AI11" s="19"/>
      <c r="AJ11" s="41">
        <f t="shared" si="8"/>
        <v>6.4</v>
      </c>
      <c r="AK11" s="41">
        <f t="shared" si="9"/>
        <v>24.6</v>
      </c>
      <c r="AL11" s="41">
        <f t="shared" si="10"/>
        <v>8.1</v>
      </c>
      <c r="AM11" s="41">
        <f t="shared" si="11"/>
        <v>27.299999999999997</v>
      </c>
      <c r="AN11" s="27">
        <f t="shared" si="12"/>
        <v>14.5</v>
      </c>
      <c r="AO11" s="27">
        <f t="shared" si="13"/>
        <v>51.9</v>
      </c>
      <c r="AP11" s="27">
        <f t="shared" si="14"/>
        <v>6</v>
      </c>
      <c r="AQ11" s="27">
        <f t="shared" si="15"/>
        <v>23</v>
      </c>
      <c r="AR11" s="27">
        <f t="shared" si="16"/>
        <v>8.1</v>
      </c>
      <c r="AS11" s="27">
        <f t="shared" si="17"/>
        <v>26.2</v>
      </c>
      <c r="AT11" s="27">
        <f t="shared" si="18"/>
        <v>14.1</v>
      </c>
      <c r="AU11" s="27">
        <f t="shared" si="19"/>
        <v>49.2</v>
      </c>
      <c r="AV11" s="27">
        <f t="shared" si="20"/>
        <v>101.1</v>
      </c>
      <c r="AW11" s="15"/>
      <c r="AX11" s="15"/>
      <c r="AY11" s="15"/>
      <c r="AZ11" s="15"/>
      <c r="BA11" s="15"/>
      <c r="BB11" s="15"/>
      <c r="BC11" s="15"/>
      <c r="BD11" s="15"/>
      <c r="BE11" s="15"/>
      <c r="BF11" s="15"/>
      <c r="BG11" s="15"/>
      <c r="BH11" s="15"/>
      <c r="BI11" s="15"/>
      <c r="BJ11" s="15"/>
      <c r="BK11" s="15"/>
      <c r="BL11" s="15"/>
      <c r="BM11" s="20"/>
      <c r="BN11" s="42" t="str">
        <f t="shared" si="21"/>
        <v/>
      </c>
      <c r="BO11" s="42" t="str">
        <f t="shared" si="22"/>
        <v/>
      </c>
      <c r="BP11" s="42" t="str">
        <f t="shared" si="23"/>
        <v/>
      </c>
      <c r="BQ11" s="42" t="str">
        <f t="shared" si="24"/>
        <v/>
      </c>
      <c r="BR11" s="10" t="str">
        <f t="shared" si="25"/>
        <v/>
      </c>
      <c r="BS11" s="10" t="str">
        <f t="shared" si="26"/>
        <v/>
      </c>
      <c r="BT11" s="10" t="str">
        <f t="shared" si="27"/>
        <v/>
      </c>
      <c r="BU11" s="10" t="str">
        <f t="shared" si="28"/>
        <v/>
      </c>
      <c r="BV11" s="10" t="str">
        <f t="shared" si="29"/>
        <v/>
      </c>
      <c r="BW11" s="10" t="str">
        <f t="shared" si="30"/>
        <v/>
      </c>
      <c r="BX11" s="10" t="str">
        <f t="shared" si="31"/>
        <v/>
      </c>
      <c r="BY11" s="10" t="str">
        <f t="shared" si="32"/>
        <v/>
      </c>
      <c r="BZ11" s="10" t="str">
        <f t="shared" si="33"/>
        <v/>
      </c>
      <c r="CA11" s="34" t="str">
        <f t="shared" si="34"/>
        <v/>
      </c>
      <c r="CB11" s="34" t="str">
        <f t="shared" si="35"/>
        <v/>
      </c>
      <c r="CC11" s="14"/>
      <c r="CD11" s="14"/>
      <c r="CE11" s="14"/>
      <c r="CF11" s="14"/>
      <c r="CG11" s="14"/>
      <c r="CH11" s="14"/>
      <c r="CI11" s="14"/>
      <c r="CJ11" s="14"/>
      <c r="CK11" s="14"/>
      <c r="CL11" s="14"/>
      <c r="CM11" s="14"/>
      <c r="CN11" s="14"/>
      <c r="CO11" s="14"/>
      <c r="CP11" s="14"/>
      <c r="CQ11" s="14"/>
      <c r="CR11" s="14"/>
      <c r="CS11" s="14"/>
      <c r="CT11" s="14"/>
      <c r="CU11" s="14"/>
      <c r="CV11" s="14"/>
      <c r="CW11" s="27" t="str">
        <f t="shared" si="36"/>
        <v/>
      </c>
      <c r="CX11" s="27" t="str">
        <f t="shared" si="37"/>
        <v/>
      </c>
      <c r="CY11" s="27" t="str">
        <f t="shared" si="38"/>
        <v/>
      </c>
      <c r="CZ11" s="27" t="str">
        <f t="shared" si="39"/>
        <v/>
      </c>
      <c r="DA11" s="27" t="str">
        <f t="shared" si="40"/>
        <v/>
      </c>
      <c r="DB11" s="27" t="str">
        <f t="shared" si="41"/>
        <v/>
      </c>
      <c r="DC11" s="27" t="str">
        <f t="shared" si="42"/>
        <v/>
      </c>
      <c r="DD11" s="27" t="str">
        <f t="shared" si="43"/>
        <v/>
      </c>
      <c r="DE11" s="27" t="str">
        <f t="shared" si="44"/>
        <v/>
      </c>
      <c r="DF11" s="27" t="str">
        <f t="shared" si="45"/>
        <v/>
      </c>
      <c r="DG11" s="27" t="str">
        <f t="shared" si="46"/>
        <v/>
      </c>
      <c r="DH11" s="27" t="str">
        <f t="shared" si="47"/>
        <v/>
      </c>
      <c r="DI11" s="27" t="str">
        <f t="shared" si="48"/>
        <v/>
      </c>
      <c r="DJ11" s="27" t="str">
        <f t="shared" si="49"/>
        <v/>
      </c>
      <c r="DK11" s="27" t="str">
        <f t="shared" si="50"/>
        <v/>
      </c>
      <c r="DL11" s="15"/>
      <c r="DM11" s="15"/>
      <c r="DN11" s="15"/>
      <c r="DO11" s="15"/>
      <c r="DP11" s="15"/>
      <c r="DQ11" s="15"/>
      <c r="DR11" s="15"/>
      <c r="DS11" s="15"/>
      <c r="DT11" s="15"/>
      <c r="DU11" s="15"/>
      <c r="DV11" s="15"/>
      <c r="DW11" s="15"/>
      <c r="DX11" s="15"/>
      <c r="DY11" s="15"/>
      <c r="DZ11" s="15"/>
      <c r="EA11" s="15"/>
      <c r="EB11" s="15"/>
      <c r="EC11" s="15"/>
      <c r="ED11" s="15"/>
      <c r="EE11" s="15"/>
      <c r="EF11" s="10" t="str">
        <f t="shared" si="51"/>
        <v/>
      </c>
      <c r="EG11" s="10" t="str">
        <f t="shared" si="52"/>
        <v/>
      </c>
      <c r="EH11" s="10" t="str">
        <f t="shared" si="53"/>
        <v/>
      </c>
      <c r="EI11" s="10" t="str">
        <f t="shared" si="54"/>
        <v/>
      </c>
      <c r="EJ11" s="10" t="str">
        <f t="shared" si="55"/>
        <v/>
      </c>
      <c r="EK11" s="10" t="str">
        <f t="shared" si="56"/>
        <v/>
      </c>
      <c r="EL11" s="10" t="str">
        <f t="shared" si="57"/>
        <v/>
      </c>
      <c r="EM11" s="10" t="str">
        <f t="shared" si="58"/>
        <v/>
      </c>
      <c r="EN11" s="10" t="str">
        <f t="shared" si="59"/>
        <v/>
      </c>
      <c r="EO11" s="10" t="str">
        <f t="shared" si="60"/>
        <v/>
      </c>
      <c r="EP11" s="10" t="str">
        <f t="shared" si="61"/>
        <v/>
      </c>
      <c r="EQ11" s="10" t="str">
        <f t="shared" si="62"/>
        <v/>
      </c>
      <c r="ER11" s="10" t="str">
        <f t="shared" si="63"/>
        <v/>
      </c>
      <c r="ES11" s="10" t="str">
        <f t="shared" si="64"/>
        <v/>
      </c>
      <c r="ET11" s="10" t="str">
        <f t="shared" si="65"/>
        <v/>
      </c>
    </row>
    <row r="12" spans="1:150" x14ac:dyDescent="0.2">
      <c r="A12" s="3" t="str" cm="1">
        <f t="array" ref="A12">IF(AND(H12&lt;&gt;"",H12&lt;&gt;"No DD",I12&lt;&gt;"P"),SUMPRODUCT((H$4:H$35&lt;&gt;"")*(H$4:H$35&lt;&gt;"No DD")*(I$4:I$35&lt;&gt;"P")*(E$4:E$35&gt;E12))+1,IF(H12="No DD",SUMPRODUCT((H$4:H$35="No DD")*(I$4:I$35&lt;&gt;"P")*(E$4:E$35&gt;E12))+1+SUMPRODUCT((H$4:H$35&lt;&gt;"")*(I$4:I$35&lt;&gt;"P")*(H$4:H$35&lt;&gt;"No DD")),""))</f>
        <v/>
      </c>
      <c r="B12" s="4" t="s">
        <v>122</v>
      </c>
      <c r="C12" s="3" t="s">
        <v>3</v>
      </c>
      <c r="D12" s="3">
        <v>2008</v>
      </c>
      <c r="E12" s="8">
        <f t="shared" si="0"/>
        <v>100.80000757000502</v>
      </c>
      <c r="F12" s="2" t="str">
        <f>IF(OR(AND(AO12&lt;&gt;"",AO12&gt;=AV$40,AN12&gt;=AV$37),AND(AU12&lt;&gt;"",AU12&gt;=AV$40,AT12&gt;=AV$37),AND(BS12&lt;&gt;"",BS12&gt;=BZ$40,BR12&gt;=BZ$37),AND(BY12&lt;&gt;"",BY12&gt;=BZ$40,BX12&gt;=BZ$37),AND(DB12&lt;&gt;"",DB12&gt;=DK$40,DA12&gt;=DK$37),AND(DJ12&lt;&gt;"",DJ12&gt;=DK$40,DI12&gt;=DK$37),AND(EK12&lt;&gt;"",EK12&gt;=ET$40,EJ12&gt;=ET$37),AND(ES12&lt;&gt;"",ES12&gt;=ET$40,ER12&gt;=ET$37)),"P","")</f>
        <v/>
      </c>
      <c r="G12" s="2" t="str">
        <f>IF(OR(AND(AO12&lt;&gt;"",AO12&gt;=AV$40),AND(AU12&lt;&gt;"",AU12&gt;=AV$40),AND(BS12&lt;&gt;"",BS12&gt;=BZ$40),AND(BY12&lt;&gt;"",BY12&gt;=BZ$40),AND(DB12&lt;&gt;"",DB12&gt;=DK$40),AND(DJ12&lt;&gt;"",DJ12&gt;=DK$40),AND(EK12&lt;&gt;"",EK12&gt;=ET$40),AND(ES12&lt;&gt;"",ES12&gt;=ET$40)),"P","")</f>
        <v/>
      </c>
      <c r="H12" s="26" t="str">
        <f>IF(AND(G12="P",F12=""),"No DD",IF(OR(AND(AK12&lt;&gt;"",AK12&gt;=AV$42,AJ12&gt;=AV$39),AND(AM12&lt;&gt;"",AM12&gt;=AV$42,AL12&gt;=AV$39),AND(AQ12&lt;&gt;"",AQ12&gt;=AV$42,AP12&gt;=AV$39),AND(AS12&lt;&gt;"",AS12&gt;=AV$42,AR12&gt;=AV$39),AND(BO12&lt;&gt;"",BO12&gt;=BZ$42,BN12&gt;=BZ$39),AND(BQ12&lt;&gt;"",BQ12&gt;=BZ$42,BP12&gt;=BZ$39),AND(BV12&lt;&gt;"",BV12&gt;=BZ$42,BU12&gt;=BZ$39),AND(BX12&lt;&gt;"",BX12&gt;=BZ$42,BW12&gt;=BZ$39),AND(CX12&lt;&gt;"",CX12&gt;=DK$42,CW12&gt;=DK$39),AND(CZ12&lt;&gt;"",CZ12&gt;=DK$42,CY12&gt;=DK$39),AND(DD12&lt;&gt;"",DD12&gt;=DK$42,DC12&gt;=DK$39),AND(DF12&lt;&gt;"",DF12&gt;=DK$42,DE12&gt;=DK$39),AND(DH12&lt;&gt;"",DH12&gt;=DK$42,DG12&gt;=DK$39),AND(EG12&lt;&gt;"",EG12&gt;=ET$42,EF12&gt;=ET$39),AND(EI12&lt;&gt;"",EI12&gt;=ET$42,EH12&gt;=ET$39),AND(EM12&lt;&gt;"",EM12&gt;=ET$42,EL12&gt;=ET$39),AND(EO12&lt;&gt;"",EO12&gt;=ET$42,EN12&gt;=ET$39),AND(EQ12&lt;&gt;"",EQ12&gt;=ET$42,EP12&gt;=ET$39)),"Performance",IF(I12="P","National Team",IF(F12="P","National Team",""))))</f>
        <v/>
      </c>
      <c r="I12" s="2" t="str">
        <f>IF(COUNTIFS('Senior-M'!B:B,B12,'Senior-M'!A:A,"&lt;9",'Senior-M'!H:H,"&lt;&gt;"&amp;"No DD"),"P","")</f>
        <v/>
      </c>
      <c r="J12" s="7">
        <f t="shared" si="1"/>
        <v>50.2</v>
      </c>
      <c r="K12" s="7" t="str">
        <f t="shared" si="2"/>
        <v>2026 Elite Canada</v>
      </c>
      <c r="L12" s="7">
        <f>IF(J12=AO12,IF(COUNT(AQ12,AS12,BO12,BQ12,BU12,BW12)&gt;1,LARGE((AQ12,AS12,BO12,BQ12,BU12,BW12),1),0),IF(COUNT(AK12,AM12,AQ12,AS12,BU12,BW12)&gt;1,LARGE((AK12,AM12,AQ12,AS12,BU12,BW12),1),0))</f>
        <v>25.5</v>
      </c>
      <c r="M12" s="7" t="str">
        <f t="shared" si="3"/>
        <v>2026 Elite Canada</v>
      </c>
      <c r="N12" s="7">
        <f>IF(J12=AO12,IF(COUNT(AQ12,AS12,BO12,BQ12,BU12,BW12)&gt;1,LARGE((AQ12,AS12,BO12,BQ12,BU12,BW12),2),0),IF(COUNT(AK12,AM12,AQ12,AS12,BU12,BW12)&gt;1,LARGE((AK12,AM12,AQ12,AS12,BU12,BW12),2),0))</f>
        <v>25.1</v>
      </c>
      <c r="O12" s="7" t="str">
        <f t="shared" si="4"/>
        <v>2026 Elite Canada</v>
      </c>
      <c r="P12" s="7" t="str">
        <f t="shared" si="5"/>
        <v/>
      </c>
      <c r="Q12" s="10" t="str">
        <f t="shared" si="6"/>
        <v/>
      </c>
      <c r="R12" s="7" t="str">
        <f t="shared" si="7"/>
        <v/>
      </c>
      <c r="S12" s="38">
        <v>18.8</v>
      </c>
      <c r="T12" s="38">
        <v>6.8</v>
      </c>
      <c r="U12" s="38">
        <v>0.6</v>
      </c>
      <c r="V12" s="38">
        <v>0</v>
      </c>
      <c r="W12" s="38">
        <v>18.8</v>
      </c>
      <c r="X12" s="38">
        <v>6.4</v>
      </c>
      <c r="Y12" s="38">
        <v>0</v>
      </c>
      <c r="Z12" s="38">
        <v>0</v>
      </c>
      <c r="AA12" s="38">
        <v>18.899999999999999</v>
      </c>
      <c r="AB12" s="38">
        <v>6.8</v>
      </c>
      <c r="AC12" s="38">
        <v>0.2</v>
      </c>
      <c r="AD12" s="38">
        <v>0</v>
      </c>
      <c r="AE12" s="38">
        <v>18.7</v>
      </c>
      <c r="AF12" s="38">
        <v>6.4</v>
      </c>
      <c r="AG12" s="38">
        <v>0</v>
      </c>
      <c r="AH12" s="38">
        <v>0</v>
      </c>
      <c r="AI12" s="19"/>
      <c r="AJ12" s="41">
        <f t="shared" si="8"/>
        <v>6.8</v>
      </c>
      <c r="AK12" s="41">
        <f t="shared" si="9"/>
        <v>25</v>
      </c>
      <c r="AL12" s="41">
        <f t="shared" si="10"/>
        <v>6.4</v>
      </c>
      <c r="AM12" s="41">
        <f t="shared" si="11"/>
        <v>25.200000000000003</v>
      </c>
      <c r="AN12" s="27">
        <f t="shared" si="12"/>
        <v>13.2</v>
      </c>
      <c r="AO12" s="27">
        <f t="shared" si="13"/>
        <v>50.2</v>
      </c>
      <c r="AP12" s="27">
        <f t="shared" si="14"/>
        <v>6.8</v>
      </c>
      <c r="AQ12" s="27">
        <f t="shared" si="15"/>
        <v>25.5</v>
      </c>
      <c r="AR12" s="27">
        <f t="shared" si="16"/>
        <v>6.4</v>
      </c>
      <c r="AS12" s="27">
        <f t="shared" si="17"/>
        <v>25.1</v>
      </c>
      <c r="AT12" s="27">
        <f t="shared" si="18"/>
        <v>13.2</v>
      </c>
      <c r="AU12" s="27">
        <f t="shared" si="19"/>
        <v>50.6</v>
      </c>
      <c r="AV12" s="27">
        <f t="shared" si="20"/>
        <v>100.80000000000001</v>
      </c>
      <c r="AW12" s="15"/>
      <c r="AX12" s="15"/>
      <c r="AY12" s="15"/>
      <c r="AZ12" s="15"/>
      <c r="BA12" s="15"/>
      <c r="BB12" s="15"/>
      <c r="BC12" s="15"/>
      <c r="BD12" s="15"/>
      <c r="BE12" s="15"/>
      <c r="BF12" s="15"/>
      <c r="BG12" s="15"/>
      <c r="BH12" s="15"/>
      <c r="BI12" s="15"/>
      <c r="BJ12" s="15"/>
      <c r="BK12" s="15"/>
      <c r="BL12" s="15"/>
      <c r="BM12" s="20"/>
      <c r="BN12" s="42" t="str">
        <f t="shared" si="21"/>
        <v/>
      </c>
      <c r="BO12" s="42" t="str">
        <f t="shared" si="22"/>
        <v/>
      </c>
      <c r="BP12" s="42" t="str">
        <f t="shared" si="23"/>
        <v/>
      </c>
      <c r="BQ12" s="42" t="str">
        <f t="shared" si="24"/>
        <v/>
      </c>
      <c r="BR12" s="10" t="str">
        <f t="shared" si="25"/>
        <v/>
      </c>
      <c r="BS12" s="10" t="str">
        <f t="shared" si="26"/>
        <v/>
      </c>
      <c r="BT12" s="10" t="str">
        <f t="shared" si="27"/>
        <v/>
      </c>
      <c r="BU12" s="10" t="str">
        <f t="shared" si="28"/>
        <v/>
      </c>
      <c r="BV12" s="10" t="str">
        <f t="shared" si="29"/>
        <v/>
      </c>
      <c r="BW12" s="10" t="str">
        <f t="shared" si="30"/>
        <v/>
      </c>
      <c r="BX12" s="10" t="str">
        <f t="shared" si="31"/>
        <v/>
      </c>
      <c r="BY12" s="10" t="str">
        <f t="shared" si="32"/>
        <v/>
      </c>
      <c r="BZ12" s="10" t="str">
        <f t="shared" si="33"/>
        <v/>
      </c>
      <c r="CA12" s="34" t="str">
        <f t="shared" si="34"/>
        <v/>
      </c>
      <c r="CB12" s="34" t="str">
        <f t="shared" si="35"/>
        <v/>
      </c>
      <c r="CC12" s="14"/>
      <c r="CD12" s="14"/>
      <c r="CE12" s="14"/>
      <c r="CF12" s="14"/>
      <c r="CG12" s="14"/>
      <c r="CH12" s="14"/>
      <c r="CI12" s="14"/>
      <c r="CJ12" s="14"/>
      <c r="CK12" s="14"/>
      <c r="CL12" s="14"/>
      <c r="CM12" s="14"/>
      <c r="CN12" s="14"/>
      <c r="CO12" s="14"/>
      <c r="CP12" s="14"/>
      <c r="CQ12" s="14"/>
      <c r="CR12" s="14"/>
      <c r="CS12" s="14"/>
      <c r="CT12" s="14"/>
      <c r="CU12" s="14"/>
      <c r="CV12" s="14"/>
      <c r="CW12" s="27" t="str">
        <f t="shared" si="36"/>
        <v/>
      </c>
      <c r="CX12" s="27" t="str">
        <f t="shared" si="37"/>
        <v/>
      </c>
      <c r="CY12" s="27" t="str">
        <f t="shared" si="38"/>
        <v/>
      </c>
      <c r="CZ12" s="27" t="str">
        <f t="shared" si="39"/>
        <v/>
      </c>
      <c r="DA12" s="27" t="str">
        <f t="shared" si="40"/>
        <v/>
      </c>
      <c r="DB12" s="27" t="str">
        <f t="shared" si="41"/>
        <v/>
      </c>
      <c r="DC12" s="27" t="str">
        <f t="shared" si="42"/>
        <v/>
      </c>
      <c r="DD12" s="27" t="str">
        <f t="shared" si="43"/>
        <v/>
      </c>
      <c r="DE12" s="27" t="str">
        <f t="shared" si="44"/>
        <v/>
      </c>
      <c r="DF12" s="27" t="str">
        <f t="shared" si="45"/>
        <v/>
      </c>
      <c r="DG12" s="27" t="str">
        <f t="shared" si="46"/>
        <v/>
      </c>
      <c r="DH12" s="27" t="str">
        <f t="shared" si="47"/>
        <v/>
      </c>
      <c r="DI12" s="27" t="str">
        <f t="shared" si="48"/>
        <v/>
      </c>
      <c r="DJ12" s="27" t="str">
        <f t="shared" si="49"/>
        <v/>
      </c>
      <c r="DK12" s="27" t="str">
        <f t="shared" si="50"/>
        <v/>
      </c>
      <c r="DL12" s="15"/>
      <c r="DM12" s="15"/>
      <c r="DN12" s="15"/>
      <c r="DO12" s="15"/>
      <c r="DP12" s="15"/>
      <c r="DQ12" s="15"/>
      <c r="DR12" s="15"/>
      <c r="DS12" s="15"/>
      <c r="DT12" s="15"/>
      <c r="DU12" s="15"/>
      <c r="DV12" s="15"/>
      <c r="DW12" s="15"/>
      <c r="DX12" s="15"/>
      <c r="DY12" s="15"/>
      <c r="DZ12" s="15"/>
      <c r="EA12" s="15"/>
      <c r="EB12" s="15"/>
      <c r="EC12" s="15"/>
      <c r="ED12" s="15"/>
      <c r="EE12" s="15"/>
      <c r="EF12" s="10" t="str">
        <f t="shared" si="51"/>
        <v/>
      </c>
      <c r="EG12" s="10" t="str">
        <f t="shared" si="52"/>
        <v/>
      </c>
      <c r="EH12" s="10" t="str">
        <f t="shared" si="53"/>
        <v/>
      </c>
      <c r="EI12" s="10" t="str">
        <f t="shared" si="54"/>
        <v/>
      </c>
      <c r="EJ12" s="10" t="str">
        <f t="shared" si="55"/>
        <v/>
      </c>
      <c r="EK12" s="10" t="str">
        <f t="shared" si="56"/>
        <v/>
      </c>
      <c r="EL12" s="10" t="str">
        <f t="shared" si="57"/>
        <v/>
      </c>
      <c r="EM12" s="10" t="str">
        <f t="shared" si="58"/>
        <v/>
      </c>
      <c r="EN12" s="10" t="str">
        <f t="shared" si="59"/>
        <v/>
      </c>
      <c r="EO12" s="10" t="str">
        <f t="shared" si="60"/>
        <v/>
      </c>
      <c r="EP12" s="10" t="str">
        <f t="shared" si="61"/>
        <v/>
      </c>
      <c r="EQ12" s="10" t="str">
        <f t="shared" si="62"/>
        <v/>
      </c>
      <c r="ER12" s="10" t="str">
        <f t="shared" si="63"/>
        <v/>
      </c>
      <c r="ES12" s="10" t="str">
        <f t="shared" si="64"/>
        <v/>
      </c>
      <c r="ET12" s="10" t="str">
        <f t="shared" si="65"/>
        <v/>
      </c>
    </row>
    <row r="13" spans="1:150" x14ac:dyDescent="0.2">
      <c r="A13" s="3" t="str" cm="1">
        <f t="array" ref="A13">IF(AND(H13&lt;&gt;"",H13&lt;&gt;"No DD",I13&lt;&gt;"P"),SUMPRODUCT((H$4:H$35&lt;&gt;"")*(H$4:H$35&lt;&gt;"No DD")*(I$4:I$35&lt;&gt;"P")*(E$4:E$35&gt;E13))+1,IF(H13="No DD",SUMPRODUCT((H$4:H$35="No DD")*(I$4:I$35&lt;&gt;"P")*(E$4:E$35&gt;E13))+1+SUMPRODUCT((H$4:H$35&lt;&gt;"")*(I$4:I$35&lt;&gt;"P")*(H$4:H$35&lt;&gt;"No DD")),""))</f>
        <v/>
      </c>
      <c r="B13" s="4" t="s">
        <v>52</v>
      </c>
      <c r="C13" s="3" t="s">
        <v>5</v>
      </c>
      <c r="D13" s="3">
        <v>2009</v>
      </c>
      <c r="E13" s="8">
        <f t="shared" si="0"/>
        <v>99.800007480004837</v>
      </c>
      <c r="F13" s="2" t="str">
        <f>IF(OR(AND(AO13&lt;&gt;"",AO13&gt;=AV$40,AN13&gt;=AV$37),AND(AU13&lt;&gt;"",AU13&gt;=AV$40,AT13&gt;=AV$37),AND(BS13&lt;&gt;"",BS13&gt;=BZ$40,BR13&gt;=BZ$37),AND(BY13&lt;&gt;"",BY13&gt;=BZ$40,BX13&gt;=BZ$37),AND(DB13&lt;&gt;"",DB13&gt;=DK$40,DA13&gt;=DK$37),AND(DJ13&lt;&gt;"",DJ13&gt;=DK$40,DI13&gt;=DK$37),AND(EK13&lt;&gt;"",EK13&gt;=ET$40,EJ13&gt;=ET$37),AND(ES13&lt;&gt;"",ES13&gt;=ET$40,ER13&gt;=ET$37)),"P","")</f>
        <v/>
      </c>
      <c r="G13" s="2" t="str">
        <f>IF(OR(AND(AO13&lt;&gt;"",AO13&gt;=AV$40),AND(AU13&lt;&gt;"",AU13&gt;=AV$40),AND(BS13&lt;&gt;"",BS13&gt;=BZ$40),AND(BY13&lt;&gt;"",BY13&gt;=BZ$40),AND(DB13&lt;&gt;"",DB13&gt;=DK$40),AND(DJ13&lt;&gt;"",DJ13&gt;=DK$40),AND(EK13&lt;&gt;"",EK13&gt;=ET$40),AND(ES13&lt;&gt;"",ES13&gt;=ET$40)),"P","")</f>
        <v/>
      </c>
      <c r="H13" s="26" t="str">
        <f>IF(AND(G13="P",F13=""),"No DD",IF(OR(AND(AK13&lt;&gt;"",AK13&gt;=AV$42,AJ13&gt;=AV$39),AND(AM13&lt;&gt;"",AM13&gt;=AV$42,AL13&gt;=AV$39),AND(AQ13&lt;&gt;"",AQ13&gt;=AV$42,AP13&gt;=AV$39),AND(AS13&lt;&gt;"",AS13&gt;=AV$42,AR13&gt;=AV$39),AND(BO13&lt;&gt;"",BO13&gt;=BZ$42,BN13&gt;=BZ$39),AND(BQ13&lt;&gt;"",BQ13&gt;=BZ$42,BP13&gt;=BZ$39),AND(BV13&lt;&gt;"",BV13&gt;=BZ$42,BU13&gt;=BZ$39),AND(BX13&lt;&gt;"",BX13&gt;=BZ$42,BW13&gt;=BZ$39),AND(CX13&lt;&gt;"",CX13&gt;=DK$42,CW13&gt;=DK$39),AND(CZ13&lt;&gt;"",CZ13&gt;=DK$42,CY13&gt;=DK$39),AND(DD13&lt;&gt;"",DD13&gt;=DK$42,DC13&gt;=DK$39),AND(DF13&lt;&gt;"",DF13&gt;=DK$42,DE13&gt;=DK$39),AND(DH13&lt;&gt;"",DH13&gt;=DK$42,DG13&gt;=DK$39),AND(EG13&lt;&gt;"",EG13&gt;=ET$42,EF13&gt;=ET$39),AND(EI13&lt;&gt;"",EI13&gt;=ET$42,EH13&gt;=ET$39),AND(EM13&lt;&gt;"",EM13&gt;=ET$42,EL13&gt;=ET$39),AND(EO13&lt;&gt;"",EO13&gt;=ET$42,EN13&gt;=ET$39),AND(EQ13&lt;&gt;"",EQ13&gt;=ET$42,EP13&gt;=ET$39)),"Performance",IF(I13="P","National Team",IF(F13="P","National Team",""))))</f>
        <v/>
      </c>
      <c r="I13" s="2" t="str">
        <f>IF(COUNTIFS('Senior-M'!B:B,B13,'Senior-M'!A:A,"&lt;9",'Senior-M'!H:H,"&lt;&gt;"&amp;"No DD"),"P","")</f>
        <v/>
      </c>
      <c r="J13" s="7">
        <f t="shared" si="1"/>
        <v>48.5</v>
      </c>
      <c r="K13" s="7" t="str">
        <f t="shared" si="2"/>
        <v>2026 Elite Canada</v>
      </c>
      <c r="L13" s="7">
        <f>IF(J13=AO13,IF(COUNT(AQ13,AS13,BO13,BQ13,BU13,BW13)&gt;1,LARGE((AQ13,AS13,BO13,BQ13,BU13,BW13),1),0),IF(COUNT(AK13,AM13,AQ13,AS13,BU13,BW13)&gt;1,LARGE((AK13,AM13,AQ13,AS13,BU13,BW13),1),0))</f>
        <v>26.3</v>
      </c>
      <c r="M13" s="7" t="str">
        <f t="shared" si="3"/>
        <v>2026 Elite Canada</v>
      </c>
      <c r="N13" s="7">
        <f>IF(J13=AO13,IF(COUNT(AQ13,AS13,BO13,BQ13,BU13,BW13)&gt;1,LARGE((AQ13,AS13,BO13,BQ13,BU13,BW13),2),0),IF(COUNT(AK13,AM13,AQ13,AS13,BU13,BW13)&gt;1,LARGE((AK13,AM13,AQ13,AS13,BU13,BW13),2),0))</f>
        <v>24.900000000000002</v>
      </c>
      <c r="O13" s="7" t="str">
        <f t="shared" si="4"/>
        <v>2026 Elite Canada</v>
      </c>
      <c r="P13" s="7">
        <f t="shared" si="5"/>
        <v>9.9999999999994316E-2</v>
      </c>
      <c r="Q13" s="10" t="str">
        <f t="shared" si="6"/>
        <v>(Pass)</v>
      </c>
      <c r="R13" s="7" t="str">
        <f t="shared" si="7"/>
        <v>2025 WAGC (Nov 16)</v>
      </c>
      <c r="S13" s="38">
        <v>18</v>
      </c>
      <c r="T13" s="38">
        <v>6</v>
      </c>
      <c r="U13" s="38">
        <v>0.8</v>
      </c>
      <c r="V13" s="38">
        <v>0</v>
      </c>
      <c r="W13" s="38">
        <v>18.7</v>
      </c>
      <c r="X13" s="38">
        <v>6.8</v>
      </c>
      <c r="Y13" s="38">
        <v>0.2</v>
      </c>
      <c r="Z13" s="38">
        <v>0</v>
      </c>
      <c r="AA13" s="38">
        <v>18.3</v>
      </c>
      <c r="AB13" s="38">
        <v>6.8</v>
      </c>
      <c r="AC13" s="38">
        <v>0.2</v>
      </c>
      <c r="AD13" s="38">
        <v>0</v>
      </c>
      <c r="AE13" s="38">
        <v>19.100000000000001</v>
      </c>
      <c r="AF13" s="38">
        <v>7.2</v>
      </c>
      <c r="AG13" s="38">
        <v>0</v>
      </c>
      <c r="AH13" s="38">
        <v>0</v>
      </c>
      <c r="AI13" s="19"/>
      <c r="AJ13" s="41">
        <f t="shared" si="8"/>
        <v>6</v>
      </c>
      <c r="AK13" s="41">
        <f t="shared" si="9"/>
        <v>23.2</v>
      </c>
      <c r="AL13" s="41">
        <f t="shared" si="10"/>
        <v>6.8</v>
      </c>
      <c r="AM13" s="41">
        <f t="shared" si="11"/>
        <v>25.3</v>
      </c>
      <c r="AN13" s="27">
        <f t="shared" si="12"/>
        <v>12.8</v>
      </c>
      <c r="AO13" s="27">
        <f t="shared" si="13"/>
        <v>48.5</v>
      </c>
      <c r="AP13" s="27">
        <f t="shared" si="14"/>
        <v>6.8</v>
      </c>
      <c r="AQ13" s="27">
        <f t="shared" si="15"/>
        <v>24.900000000000002</v>
      </c>
      <c r="AR13" s="27">
        <f t="shared" si="16"/>
        <v>7.2</v>
      </c>
      <c r="AS13" s="27">
        <f t="shared" si="17"/>
        <v>26.3</v>
      </c>
      <c r="AT13" s="27">
        <f t="shared" si="18"/>
        <v>14</v>
      </c>
      <c r="AU13" s="27">
        <f t="shared" si="19"/>
        <v>51.2</v>
      </c>
      <c r="AV13" s="27">
        <f t="shared" si="20"/>
        <v>99.7</v>
      </c>
      <c r="AW13" s="15"/>
      <c r="AX13" s="15"/>
      <c r="AY13" s="15"/>
      <c r="AZ13" s="15"/>
      <c r="BA13" s="15"/>
      <c r="BB13" s="15"/>
      <c r="BC13" s="15"/>
      <c r="BD13" s="15"/>
      <c r="BE13" s="15"/>
      <c r="BF13" s="15"/>
      <c r="BG13" s="15"/>
      <c r="BH13" s="15"/>
      <c r="BI13" s="15"/>
      <c r="BJ13" s="15"/>
      <c r="BK13" s="15"/>
      <c r="BL13" s="15"/>
      <c r="BM13" s="20"/>
      <c r="BN13" s="42" t="str">
        <f t="shared" si="21"/>
        <v/>
      </c>
      <c r="BO13" s="42" t="str">
        <f t="shared" si="22"/>
        <v/>
      </c>
      <c r="BP13" s="42" t="str">
        <f t="shared" si="23"/>
        <v/>
      </c>
      <c r="BQ13" s="42" t="str">
        <f t="shared" si="24"/>
        <v/>
      </c>
      <c r="BR13" s="10" t="str">
        <f t="shared" si="25"/>
        <v/>
      </c>
      <c r="BS13" s="10" t="str">
        <f t="shared" si="26"/>
        <v/>
      </c>
      <c r="BT13" s="10" t="str">
        <f t="shared" si="27"/>
        <v/>
      </c>
      <c r="BU13" s="10" t="str">
        <f t="shared" si="28"/>
        <v/>
      </c>
      <c r="BV13" s="10" t="str">
        <f t="shared" si="29"/>
        <v/>
      </c>
      <c r="BW13" s="10" t="str">
        <f t="shared" si="30"/>
        <v/>
      </c>
      <c r="BX13" s="10" t="str">
        <f t="shared" si="31"/>
        <v/>
      </c>
      <c r="BY13" s="10" t="str">
        <f t="shared" si="32"/>
        <v/>
      </c>
      <c r="BZ13" s="10" t="str">
        <f t="shared" si="33"/>
        <v/>
      </c>
      <c r="CA13" s="34" t="str">
        <f t="shared" si="34"/>
        <v/>
      </c>
      <c r="CB13" s="34">
        <f t="shared" si="35"/>
        <v>9.9999999999994316E-2</v>
      </c>
      <c r="CC13" s="14"/>
      <c r="CD13" s="14"/>
      <c r="CE13" s="14"/>
      <c r="CF13" s="14"/>
      <c r="CG13" s="14"/>
      <c r="CH13" s="14"/>
      <c r="CI13" s="14"/>
      <c r="CJ13" s="14"/>
      <c r="CK13" s="14"/>
      <c r="CL13" s="14"/>
      <c r="CM13" s="14"/>
      <c r="CN13" s="14"/>
      <c r="CO13" s="14"/>
      <c r="CP13" s="14"/>
      <c r="CQ13" s="14"/>
      <c r="CR13" s="14"/>
      <c r="CS13" s="14"/>
      <c r="CT13" s="14"/>
      <c r="CU13" s="14"/>
      <c r="CV13" s="14"/>
      <c r="CW13" s="27" t="str">
        <f t="shared" si="36"/>
        <v/>
      </c>
      <c r="CX13" s="27" t="str">
        <f t="shared" si="37"/>
        <v/>
      </c>
      <c r="CY13" s="27" t="str">
        <f t="shared" si="38"/>
        <v/>
      </c>
      <c r="CZ13" s="27" t="str">
        <f t="shared" si="39"/>
        <v/>
      </c>
      <c r="DA13" s="27" t="str">
        <f t="shared" si="40"/>
        <v/>
      </c>
      <c r="DB13" s="27" t="str">
        <f t="shared" si="41"/>
        <v/>
      </c>
      <c r="DC13" s="27" t="str">
        <f t="shared" si="42"/>
        <v/>
      </c>
      <c r="DD13" s="27" t="str">
        <f t="shared" si="43"/>
        <v/>
      </c>
      <c r="DE13" s="27" t="str">
        <f t="shared" si="44"/>
        <v/>
      </c>
      <c r="DF13" s="27" t="str">
        <f t="shared" si="45"/>
        <v/>
      </c>
      <c r="DG13" s="27" t="str">
        <f t="shared" si="46"/>
        <v/>
      </c>
      <c r="DH13" s="27" t="str">
        <f t="shared" si="47"/>
        <v/>
      </c>
      <c r="DI13" s="27" t="str">
        <f t="shared" si="48"/>
        <v/>
      </c>
      <c r="DJ13" s="27" t="str">
        <f t="shared" si="49"/>
        <v/>
      </c>
      <c r="DK13" s="27" t="str">
        <f t="shared" si="50"/>
        <v/>
      </c>
      <c r="DL13" s="15">
        <v>15.2</v>
      </c>
      <c r="DM13" s="15">
        <v>2.4</v>
      </c>
      <c r="DN13" s="15">
        <v>0</v>
      </c>
      <c r="DO13" s="15">
        <v>0</v>
      </c>
      <c r="DP13" s="15">
        <v>18.2</v>
      </c>
      <c r="DQ13" s="15">
        <v>7.6</v>
      </c>
      <c r="DR13" s="15">
        <v>0.8</v>
      </c>
      <c r="DS13" s="15">
        <v>0</v>
      </c>
      <c r="DT13" s="15"/>
      <c r="DU13" s="15"/>
      <c r="DV13" s="15"/>
      <c r="DW13" s="15"/>
      <c r="DX13" s="15"/>
      <c r="DY13" s="15"/>
      <c r="DZ13" s="15"/>
      <c r="EA13" s="15"/>
      <c r="EB13" s="15"/>
      <c r="EC13" s="15"/>
      <c r="ED13" s="15"/>
      <c r="EE13" s="15"/>
      <c r="EF13" s="10">
        <f t="shared" si="51"/>
        <v>2.4</v>
      </c>
      <c r="EG13" s="10">
        <f t="shared" si="52"/>
        <v>17.599999999999998</v>
      </c>
      <c r="EH13" s="10">
        <f t="shared" si="53"/>
        <v>7.6</v>
      </c>
      <c r="EI13" s="10">
        <f t="shared" si="54"/>
        <v>24.999999999999996</v>
      </c>
      <c r="EJ13" s="10">
        <f t="shared" si="55"/>
        <v>10</v>
      </c>
      <c r="EK13" s="10">
        <f t="shared" si="56"/>
        <v>42.599999999999994</v>
      </c>
      <c r="EL13" s="10" t="str">
        <f t="shared" si="57"/>
        <v/>
      </c>
      <c r="EM13" s="10" t="str">
        <f t="shared" si="58"/>
        <v/>
      </c>
      <c r="EN13" s="10" t="str">
        <f t="shared" si="59"/>
        <v/>
      </c>
      <c r="EO13" s="10" t="str">
        <f t="shared" si="60"/>
        <v/>
      </c>
      <c r="EP13" s="10" t="str">
        <f t="shared" si="61"/>
        <v/>
      </c>
      <c r="EQ13" s="10" t="str">
        <f t="shared" si="62"/>
        <v/>
      </c>
      <c r="ER13" s="10" t="str">
        <f t="shared" si="63"/>
        <v/>
      </c>
      <c r="ES13" s="10" t="str">
        <f t="shared" si="64"/>
        <v/>
      </c>
      <c r="ET13" s="10">
        <f t="shared" si="65"/>
        <v>42.599999999999994</v>
      </c>
    </row>
    <row r="14" spans="1:150" x14ac:dyDescent="0.2">
      <c r="A14" s="3" t="str" cm="1">
        <f t="array" ref="A14">IF(AND(H14&lt;&gt;"",H14&lt;&gt;"No DD",I14&lt;&gt;"P"),SUMPRODUCT((H$4:H$35&lt;&gt;"")*(H$4:H$35&lt;&gt;"No DD")*(I$4:I$35&lt;&gt;"P")*(E$4:E$35&gt;E14))+1,IF(H14="No DD",SUMPRODUCT((H$4:H$35="No DD")*(I$4:I$35&lt;&gt;"P")*(E$4:E$35&gt;E14))+1+SUMPRODUCT((H$4:H$35&lt;&gt;"")*(I$4:I$35&lt;&gt;"P")*(H$4:H$35&lt;&gt;"No DD")),""))</f>
        <v/>
      </c>
      <c r="B14" s="4" t="s">
        <v>51</v>
      </c>
      <c r="C14" s="3" t="s">
        <v>4</v>
      </c>
      <c r="D14" s="3">
        <v>2009</v>
      </c>
      <c r="E14" s="8">
        <f t="shared" si="0"/>
        <v>99.000007460004952</v>
      </c>
      <c r="F14" s="2" t="str">
        <f>IF(OR(AND(AO14&lt;&gt;"",AO14&gt;=AV$40,AN14&gt;=AV$37),AND(AU14&lt;&gt;"",AU14&gt;=AV$40,AT14&gt;=AV$37),AND(BS14&lt;&gt;"",BS14&gt;=BZ$40,BR14&gt;=BZ$37),AND(BY14&lt;&gt;"",BY14&gt;=BZ$40,BX14&gt;=BZ$37),AND(DB14&lt;&gt;"",DB14&gt;=DK$40,DA14&gt;=DK$37),AND(DJ14&lt;&gt;"",DJ14&gt;=DK$40,DI14&gt;=DK$37),AND(EK14&lt;&gt;"",EK14&gt;=ET$40,EJ14&gt;=ET$37),AND(ES14&lt;&gt;"",ES14&gt;=ET$40,ER14&gt;=ET$37)),"P","")</f>
        <v/>
      </c>
      <c r="G14" s="2" t="str">
        <f>IF(OR(AND(AO14&lt;&gt;"",AO14&gt;=AV$40),AND(AU14&lt;&gt;"",AU14&gt;=AV$40),AND(BS14&lt;&gt;"",BS14&gt;=BZ$40),AND(BY14&lt;&gt;"",BY14&gt;=BZ$40),AND(DB14&lt;&gt;"",DB14&gt;=DK$40),AND(DJ14&lt;&gt;"",DJ14&gt;=DK$40),AND(EK14&lt;&gt;"",EK14&gt;=ET$40),AND(ES14&lt;&gt;"",ES14&gt;=ET$40)),"P","")</f>
        <v/>
      </c>
      <c r="H14" s="26" t="str">
        <f>IF(AND(G14="P",F14=""),"No DD",IF(OR(AND(AK14&lt;&gt;"",AK14&gt;=AV$42,AJ14&gt;=AV$39),AND(AM14&lt;&gt;"",AM14&gt;=AV$42,AL14&gt;=AV$39),AND(AQ14&lt;&gt;"",AQ14&gt;=AV$42,AP14&gt;=AV$39),AND(AS14&lt;&gt;"",AS14&gt;=AV$42,AR14&gt;=AV$39),AND(BO14&lt;&gt;"",BO14&gt;=BZ$42,BN14&gt;=BZ$39),AND(BQ14&lt;&gt;"",BQ14&gt;=BZ$42,BP14&gt;=BZ$39),AND(BV14&lt;&gt;"",BV14&gt;=BZ$42,BU14&gt;=BZ$39),AND(BX14&lt;&gt;"",BX14&gt;=BZ$42,BW14&gt;=BZ$39),AND(CX14&lt;&gt;"",CX14&gt;=DK$42,CW14&gt;=DK$39),AND(CZ14&lt;&gt;"",CZ14&gt;=DK$42,CY14&gt;=DK$39),AND(DD14&lt;&gt;"",DD14&gt;=DK$42,DC14&gt;=DK$39),AND(DF14&lt;&gt;"",DF14&gt;=DK$42,DE14&gt;=DK$39),AND(DH14&lt;&gt;"",DH14&gt;=DK$42,DG14&gt;=DK$39),AND(EG14&lt;&gt;"",EG14&gt;=ET$42,EF14&gt;=ET$39),AND(EI14&lt;&gt;"",EI14&gt;=ET$42,EH14&gt;=ET$39),AND(EM14&lt;&gt;"",EM14&gt;=ET$42,EL14&gt;=ET$39),AND(EO14&lt;&gt;"",EO14&gt;=ET$42,EN14&gt;=ET$39),AND(EQ14&lt;&gt;"",EQ14&gt;=ET$42,EP14&gt;=ET$39)),"Performance",IF(I14="P","National Team",IF(F14="P","National Team",""))))</f>
        <v/>
      </c>
      <c r="I14" s="2" t="str">
        <f>IF(COUNTIFS('Senior-M'!B:B,B14,'Senior-M'!A:A,"&lt;9",'Senior-M'!H:H,"&lt;&gt;"&amp;"No DD"),"P","")</f>
        <v/>
      </c>
      <c r="J14" s="7">
        <f t="shared" si="1"/>
        <v>49.4</v>
      </c>
      <c r="K14" s="7" t="str">
        <f t="shared" si="2"/>
        <v>2026 Elite Canada</v>
      </c>
      <c r="L14" s="7">
        <f>IF(J14=AO14,IF(COUNT(AQ14,AS14,BO14,BQ14,BU14,BW14)&gt;1,LARGE((AQ14,AS14,BO14,BQ14,BU14,BW14),1),0),IF(COUNT(AK14,AM14,AQ14,AS14,BU14,BW14)&gt;1,LARGE((AK14,AM14,AQ14,AS14,BU14,BW14),1),0))</f>
        <v>25.2</v>
      </c>
      <c r="M14" s="7" t="str">
        <f t="shared" si="3"/>
        <v>2026 Elite Canada</v>
      </c>
      <c r="N14" s="7">
        <f>IF(J14=AO14,IF(COUNT(AQ14,AS14,BO14,BQ14,BU14,BW14)&gt;1,LARGE((AQ14,AS14,BO14,BQ14,BU14,BW14),2),0),IF(COUNT(AK14,AM14,AQ14,AS14,BU14,BW14)&gt;1,LARGE((AK14,AM14,AQ14,AS14,BU14,BW14),2),0))</f>
        <v>24.4</v>
      </c>
      <c r="O14" s="7" t="str">
        <f t="shared" si="4"/>
        <v>2026 Elite Canada</v>
      </c>
      <c r="P14" s="7" t="str">
        <f t="shared" si="5"/>
        <v/>
      </c>
      <c r="Q14" s="10" t="str">
        <f t="shared" si="6"/>
        <v/>
      </c>
      <c r="R14" s="7" t="str">
        <f t="shared" si="7"/>
        <v/>
      </c>
      <c r="S14" s="38">
        <v>18.8</v>
      </c>
      <c r="T14" s="38">
        <v>6.8</v>
      </c>
      <c r="U14" s="38">
        <v>0.8</v>
      </c>
      <c r="V14" s="38">
        <v>0</v>
      </c>
      <c r="W14" s="38">
        <v>18.399999999999999</v>
      </c>
      <c r="X14" s="38">
        <v>6.4</v>
      </c>
      <c r="Y14" s="38">
        <v>0.2</v>
      </c>
      <c r="Z14" s="38">
        <v>0</v>
      </c>
      <c r="AA14" s="38">
        <v>19</v>
      </c>
      <c r="AB14" s="38">
        <v>6.8</v>
      </c>
      <c r="AC14" s="38">
        <v>0.6</v>
      </c>
      <c r="AD14" s="38">
        <v>0</v>
      </c>
      <c r="AE14" s="38">
        <v>18.600000000000001</v>
      </c>
      <c r="AF14" s="38">
        <v>6.4</v>
      </c>
      <c r="AG14" s="38">
        <v>0.6</v>
      </c>
      <c r="AH14" s="38">
        <v>0</v>
      </c>
      <c r="AI14" s="19"/>
      <c r="AJ14" s="41">
        <f t="shared" si="8"/>
        <v>6.8</v>
      </c>
      <c r="AK14" s="41">
        <f t="shared" si="9"/>
        <v>24.8</v>
      </c>
      <c r="AL14" s="41">
        <f t="shared" si="10"/>
        <v>6.4</v>
      </c>
      <c r="AM14" s="41">
        <f t="shared" si="11"/>
        <v>24.599999999999998</v>
      </c>
      <c r="AN14" s="27">
        <f t="shared" si="12"/>
        <v>13.2</v>
      </c>
      <c r="AO14" s="27">
        <f t="shared" si="13"/>
        <v>49.4</v>
      </c>
      <c r="AP14" s="27">
        <f t="shared" si="14"/>
        <v>6.8</v>
      </c>
      <c r="AQ14" s="27">
        <f t="shared" si="15"/>
        <v>25.2</v>
      </c>
      <c r="AR14" s="27">
        <f t="shared" si="16"/>
        <v>6.4</v>
      </c>
      <c r="AS14" s="27">
        <f t="shared" si="17"/>
        <v>24.4</v>
      </c>
      <c r="AT14" s="27">
        <f t="shared" si="18"/>
        <v>13.2</v>
      </c>
      <c r="AU14" s="27">
        <f t="shared" si="19"/>
        <v>49.599999999999994</v>
      </c>
      <c r="AV14" s="27">
        <f t="shared" si="20"/>
        <v>99</v>
      </c>
      <c r="AW14" s="15"/>
      <c r="AX14" s="15"/>
      <c r="AY14" s="15"/>
      <c r="AZ14" s="15"/>
      <c r="BA14" s="15"/>
      <c r="BB14" s="15"/>
      <c r="BC14" s="15"/>
      <c r="BD14" s="15"/>
      <c r="BE14" s="15"/>
      <c r="BF14" s="15"/>
      <c r="BG14" s="15"/>
      <c r="BH14" s="15"/>
      <c r="BI14" s="15"/>
      <c r="BJ14" s="15"/>
      <c r="BK14" s="15"/>
      <c r="BL14" s="15"/>
      <c r="BM14" s="20"/>
      <c r="BN14" s="42" t="str">
        <f t="shared" si="21"/>
        <v/>
      </c>
      <c r="BO14" s="42" t="str">
        <f t="shared" si="22"/>
        <v/>
      </c>
      <c r="BP14" s="42" t="str">
        <f t="shared" si="23"/>
        <v/>
      </c>
      <c r="BQ14" s="42" t="str">
        <f t="shared" si="24"/>
        <v/>
      </c>
      <c r="BR14" s="10" t="str">
        <f t="shared" si="25"/>
        <v/>
      </c>
      <c r="BS14" s="10" t="str">
        <f t="shared" si="26"/>
        <v/>
      </c>
      <c r="BT14" s="10" t="str">
        <f t="shared" si="27"/>
        <v/>
      </c>
      <c r="BU14" s="10" t="str">
        <f t="shared" si="28"/>
        <v/>
      </c>
      <c r="BV14" s="10" t="str">
        <f t="shared" si="29"/>
        <v/>
      </c>
      <c r="BW14" s="10" t="str">
        <f t="shared" si="30"/>
        <v/>
      </c>
      <c r="BX14" s="10" t="str">
        <f t="shared" si="31"/>
        <v/>
      </c>
      <c r="BY14" s="10" t="str">
        <f t="shared" si="32"/>
        <v/>
      </c>
      <c r="BZ14" s="10" t="str">
        <f t="shared" si="33"/>
        <v/>
      </c>
      <c r="CA14" s="34" t="str">
        <f t="shared" si="34"/>
        <v/>
      </c>
      <c r="CB14" s="34" t="str">
        <f t="shared" si="35"/>
        <v/>
      </c>
      <c r="CC14" s="14"/>
      <c r="CD14" s="14"/>
      <c r="CE14" s="14"/>
      <c r="CF14" s="14"/>
      <c r="CG14" s="14"/>
      <c r="CH14" s="14"/>
      <c r="CI14" s="14"/>
      <c r="CJ14" s="14"/>
      <c r="CK14" s="14"/>
      <c r="CL14" s="14"/>
      <c r="CM14" s="14"/>
      <c r="CN14" s="14"/>
      <c r="CO14" s="14"/>
      <c r="CP14" s="14"/>
      <c r="CQ14" s="14"/>
      <c r="CR14" s="14"/>
      <c r="CS14" s="14"/>
      <c r="CT14" s="14"/>
      <c r="CU14" s="14"/>
      <c r="CV14" s="14"/>
      <c r="CW14" s="27" t="str">
        <f t="shared" si="36"/>
        <v/>
      </c>
      <c r="CX14" s="27" t="str">
        <f t="shared" si="37"/>
        <v/>
      </c>
      <c r="CY14" s="27" t="str">
        <f t="shared" si="38"/>
        <v/>
      </c>
      <c r="CZ14" s="27" t="str">
        <f t="shared" si="39"/>
        <v/>
      </c>
      <c r="DA14" s="27" t="str">
        <f t="shared" si="40"/>
        <v/>
      </c>
      <c r="DB14" s="27" t="str">
        <f t="shared" si="41"/>
        <v/>
      </c>
      <c r="DC14" s="27" t="str">
        <f t="shared" si="42"/>
        <v/>
      </c>
      <c r="DD14" s="27" t="str">
        <f t="shared" si="43"/>
        <v/>
      </c>
      <c r="DE14" s="27" t="str">
        <f t="shared" si="44"/>
        <v/>
      </c>
      <c r="DF14" s="27" t="str">
        <f t="shared" si="45"/>
        <v/>
      </c>
      <c r="DG14" s="27" t="str">
        <f t="shared" si="46"/>
        <v/>
      </c>
      <c r="DH14" s="27" t="str">
        <f t="shared" si="47"/>
        <v/>
      </c>
      <c r="DI14" s="27" t="str">
        <f t="shared" si="48"/>
        <v/>
      </c>
      <c r="DJ14" s="27" t="str">
        <f t="shared" si="49"/>
        <v/>
      </c>
      <c r="DK14" s="27" t="str">
        <f t="shared" si="50"/>
        <v/>
      </c>
      <c r="DL14" s="15"/>
      <c r="DM14" s="15"/>
      <c r="DN14" s="15"/>
      <c r="DO14" s="15"/>
      <c r="DP14" s="15"/>
      <c r="DQ14" s="15"/>
      <c r="DR14" s="15"/>
      <c r="DS14" s="15"/>
      <c r="DT14" s="15"/>
      <c r="DU14" s="15"/>
      <c r="DV14" s="15"/>
      <c r="DW14" s="15"/>
      <c r="DX14" s="15"/>
      <c r="DY14" s="15"/>
      <c r="DZ14" s="15"/>
      <c r="EA14" s="15"/>
      <c r="EB14" s="15"/>
      <c r="EC14" s="15"/>
      <c r="ED14" s="15"/>
      <c r="EE14" s="15"/>
      <c r="EF14" s="10" t="str">
        <f t="shared" si="51"/>
        <v/>
      </c>
      <c r="EG14" s="10" t="str">
        <f t="shared" si="52"/>
        <v/>
      </c>
      <c r="EH14" s="10" t="str">
        <f t="shared" si="53"/>
        <v/>
      </c>
      <c r="EI14" s="10" t="str">
        <f t="shared" si="54"/>
        <v/>
      </c>
      <c r="EJ14" s="10" t="str">
        <f t="shared" si="55"/>
        <v/>
      </c>
      <c r="EK14" s="10" t="str">
        <f t="shared" si="56"/>
        <v/>
      </c>
      <c r="EL14" s="10" t="str">
        <f t="shared" si="57"/>
        <v/>
      </c>
      <c r="EM14" s="10" t="str">
        <f t="shared" si="58"/>
        <v/>
      </c>
      <c r="EN14" s="10" t="str">
        <f t="shared" si="59"/>
        <v/>
      </c>
      <c r="EO14" s="10" t="str">
        <f t="shared" si="60"/>
        <v/>
      </c>
      <c r="EP14" s="10" t="str">
        <f t="shared" si="61"/>
        <v/>
      </c>
      <c r="EQ14" s="10" t="str">
        <f t="shared" si="62"/>
        <v/>
      </c>
      <c r="ER14" s="10" t="str">
        <f t="shared" si="63"/>
        <v/>
      </c>
      <c r="ES14" s="10" t="str">
        <f t="shared" si="64"/>
        <v/>
      </c>
      <c r="ET14" s="10" t="str">
        <f t="shared" si="65"/>
        <v/>
      </c>
    </row>
    <row r="15" spans="1:150" x14ac:dyDescent="0.2">
      <c r="A15" s="3" t="str" cm="1">
        <f t="array" ref="A15">IF(AND(H15&lt;&gt;"",H15&lt;&gt;"No DD",I15&lt;&gt;"P"),SUMPRODUCT((H$4:H$35&lt;&gt;"")*(H$4:H$35&lt;&gt;"No DD")*(I$4:I$35&lt;&gt;"P")*(E$4:E$35&gt;E15))+1,IF(H15="No DD",SUMPRODUCT((H$4:H$35="No DD")*(I$4:I$35&lt;&gt;"P")*(E$4:E$35&gt;E15))+1+SUMPRODUCT((H$4:H$35&lt;&gt;"")*(I$4:I$35&lt;&gt;"P")*(H$4:H$35&lt;&gt;"No DD")),""))</f>
        <v/>
      </c>
      <c r="B15" s="4" t="s">
        <v>121</v>
      </c>
      <c r="C15" s="3" t="s">
        <v>4</v>
      </c>
      <c r="D15" s="3">
        <v>2005</v>
      </c>
      <c r="E15" s="8">
        <f t="shared" si="0"/>
        <v>95.700007200004777</v>
      </c>
      <c r="F15" s="2" t="str">
        <f>IF(OR(AND(AO15&lt;&gt;"",AO15&gt;=AV$40,AN15&gt;=AV$37),AND(AU15&lt;&gt;"",AU15&gt;=AV$40,AT15&gt;=AV$37),AND(BS15&lt;&gt;"",BS15&gt;=BZ$40,BR15&gt;=BZ$37),AND(BY15&lt;&gt;"",BY15&gt;=BZ$40,BX15&gt;=BZ$37),AND(DB15&lt;&gt;"",DB15&gt;=DK$40,DA15&gt;=DK$37),AND(DJ15&lt;&gt;"",DJ15&gt;=DK$40,DI15&gt;=DK$37),AND(EK15&lt;&gt;"",EK15&gt;=ET$40,EJ15&gt;=ET$37),AND(ES15&lt;&gt;"",ES15&gt;=ET$40,ER15&gt;=ET$37)),"P","")</f>
        <v/>
      </c>
      <c r="G15" s="2" t="str">
        <f>IF(OR(AND(AO15&lt;&gt;"",AO15&gt;=AV$40),AND(AU15&lt;&gt;"",AU15&gt;=AV$40),AND(BS15&lt;&gt;"",BS15&gt;=BZ$40),AND(BY15&lt;&gt;"",BY15&gt;=BZ$40),AND(DB15&lt;&gt;"",DB15&gt;=DK$40),AND(DJ15&lt;&gt;"",DJ15&gt;=DK$40),AND(EK15&lt;&gt;"",EK15&gt;=ET$40),AND(ES15&lt;&gt;"",ES15&gt;=ET$40)),"P","")</f>
        <v/>
      </c>
      <c r="H15" s="26" t="str">
        <f>IF(AND(G15="P",F15=""),"No DD",IF(OR(AND(AK15&lt;&gt;"",AK15&gt;=AV$42,AJ15&gt;=AV$39),AND(AM15&lt;&gt;"",AM15&gt;=AV$42,AL15&gt;=AV$39),AND(AQ15&lt;&gt;"",AQ15&gt;=AV$42,AP15&gt;=AV$39),AND(AS15&lt;&gt;"",AS15&gt;=AV$42,AR15&gt;=AV$39),AND(BO15&lt;&gt;"",BO15&gt;=BZ$42,BN15&gt;=BZ$39),AND(BQ15&lt;&gt;"",BQ15&gt;=BZ$42,BP15&gt;=BZ$39),AND(BV15&lt;&gt;"",BV15&gt;=BZ$42,BU15&gt;=BZ$39),AND(BX15&lt;&gt;"",BX15&gt;=BZ$42,BW15&gt;=BZ$39),AND(CX15&lt;&gt;"",CX15&gt;=DK$42,CW15&gt;=DK$39),AND(CZ15&lt;&gt;"",CZ15&gt;=DK$42,CY15&gt;=DK$39),AND(DD15&lt;&gt;"",DD15&gt;=DK$42,DC15&gt;=DK$39),AND(DF15&lt;&gt;"",DF15&gt;=DK$42,DE15&gt;=DK$39),AND(DH15&lt;&gt;"",DH15&gt;=DK$42,DG15&gt;=DK$39),AND(EG15&lt;&gt;"",EG15&gt;=ET$42,EF15&gt;=ET$39),AND(EI15&lt;&gt;"",EI15&gt;=ET$42,EH15&gt;=ET$39),AND(EM15&lt;&gt;"",EM15&gt;=ET$42,EL15&gt;=ET$39),AND(EO15&lt;&gt;"",EO15&gt;=ET$42,EN15&gt;=ET$39),AND(EQ15&lt;&gt;"",EQ15&gt;=ET$42,EP15&gt;=ET$39)),"Performance",IF(I15="P","National Team",IF(F15="P","National Team",""))))</f>
        <v/>
      </c>
      <c r="I15" s="2" t="str">
        <f>IF(COUNTIFS('Senior-M'!B:B,B15,'Senior-M'!A:A,"&lt;9",'Senior-M'!H:H,"&lt;&gt;"&amp;"No DD"),"P","")</f>
        <v/>
      </c>
      <c r="J15" s="7">
        <f t="shared" si="1"/>
        <v>47.7</v>
      </c>
      <c r="K15" s="7" t="str">
        <f t="shared" si="2"/>
        <v>2026 Elite Canada</v>
      </c>
      <c r="L15" s="7">
        <f>IF(J15=AO15,IF(COUNT(AQ15,AS15,BO15,BQ15,BU15,BW15)&gt;1,LARGE((AQ15,AS15,BO15,BQ15,BU15,BW15),1),0),IF(COUNT(AK15,AM15,AQ15,AS15,BU15,BW15)&gt;1,LARGE((AK15,AM15,AQ15,AS15,BU15,BW15),1),0))</f>
        <v>24.3</v>
      </c>
      <c r="M15" s="7" t="str">
        <f t="shared" si="3"/>
        <v>2026 Elite Canada</v>
      </c>
      <c r="N15" s="7">
        <f>IF(J15=AO15,IF(COUNT(AQ15,AS15,BO15,BQ15,BU15,BW15)&gt;1,LARGE((AQ15,AS15,BO15,BQ15,BU15,BW15),2),0),IF(COUNT(AK15,AM15,AQ15,AS15,BU15,BW15)&gt;1,LARGE((AK15,AM15,AQ15,AS15,BU15,BW15),2),0))</f>
        <v>23.7</v>
      </c>
      <c r="O15" s="7" t="str">
        <f t="shared" si="4"/>
        <v>2026 Elite Canada</v>
      </c>
      <c r="P15" s="7" t="str">
        <f t="shared" si="5"/>
        <v/>
      </c>
      <c r="Q15" s="10" t="str">
        <f t="shared" si="6"/>
        <v/>
      </c>
      <c r="R15" s="7" t="str">
        <f t="shared" si="7"/>
        <v/>
      </c>
      <c r="S15" s="38">
        <v>18.600000000000001</v>
      </c>
      <c r="T15" s="38">
        <v>5.2</v>
      </c>
      <c r="U15" s="38">
        <v>0</v>
      </c>
      <c r="V15" s="38">
        <v>0</v>
      </c>
      <c r="W15" s="38">
        <v>18.899999999999999</v>
      </c>
      <c r="X15" s="38">
        <v>5.6</v>
      </c>
      <c r="Y15" s="38">
        <v>0.6</v>
      </c>
      <c r="Z15" s="38">
        <v>0</v>
      </c>
      <c r="AA15" s="38">
        <v>18.5</v>
      </c>
      <c r="AB15" s="38">
        <v>6</v>
      </c>
      <c r="AC15" s="38">
        <v>0.2</v>
      </c>
      <c r="AD15" s="38">
        <v>0</v>
      </c>
      <c r="AE15" s="38">
        <v>18.899999999999999</v>
      </c>
      <c r="AF15" s="38">
        <v>5.6</v>
      </c>
      <c r="AG15" s="38">
        <v>0.8</v>
      </c>
      <c r="AH15" s="38">
        <v>0</v>
      </c>
      <c r="AI15" s="19"/>
      <c r="AJ15" s="41">
        <f t="shared" si="8"/>
        <v>5.2</v>
      </c>
      <c r="AK15" s="41">
        <f t="shared" si="9"/>
        <v>23.8</v>
      </c>
      <c r="AL15" s="41">
        <f t="shared" si="10"/>
        <v>5.6</v>
      </c>
      <c r="AM15" s="41">
        <f t="shared" si="11"/>
        <v>23.9</v>
      </c>
      <c r="AN15" s="27">
        <f t="shared" si="12"/>
        <v>10.8</v>
      </c>
      <c r="AO15" s="27">
        <f t="shared" si="13"/>
        <v>47.7</v>
      </c>
      <c r="AP15" s="27">
        <f t="shared" si="14"/>
        <v>6</v>
      </c>
      <c r="AQ15" s="27">
        <f t="shared" si="15"/>
        <v>24.3</v>
      </c>
      <c r="AR15" s="27">
        <f t="shared" si="16"/>
        <v>5.6</v>
      </c>
      <c r="AS15" s="27">
        <f t="shared" si="17"/>
        <v>23.7</v>
      </c>
      <c r="AT15" s="27">
        <f t="shared" si="18"/>
        <v>11.6</v>
      </c>
      <c r="AU15" s="27">
        <f t="shared" si="19"/>
        <v>48</v>
      </c>
      <c r="AV15" s="27">
        <f t="shared" si="20"/>
        <v>95.7</v>
      </c>
      <c r="AW15" s="15"/>
      <c r="AX15" s="15"/>
      <c r="AY15" s="15"/>
      <c r="AZ15" s="15"/>
      <c r="BA15" s="15"/>
      <c r="BB15" s="15"/>
      <c r="BC15" s="15"/>
      <c r="BD15" s="15"/>
      <c r="BE15" s="15"/>
      <c r="BF15" s="15"/>
      <c r="BG15" s="15"/>
      <c r="BH15" s="15"/>
      <c r="BI15" s="15"/>
      <c r="BJ15" s="15"/>
      <c r="BK15" s="15"/>
      <c r="BL15" s="15"/>
      <c r="BM15" s="20"/>
      <c r="BN15" s="42" t="str">
        <f t="shared" si="21"/>
        <v/>
      </c>
      <c r="BO15" s="42" t="str">
        <f t="shared" si="22"/>
        <v/>
      </c>
      <c r="BP15" s="42" t="str">
        <f t="shared" si="23"/>
        <v/>
      </c>
      <c r="BQ15" s="42" t="str">
        <f t="shared" si="24"/>
        <v/>
      </c>
      <c r="BR15" s="10" t="str">
        <f t="shared" si="25"/>
        <v/>
      </c>
      <c r="BS15" s="10" t="str">
        <f t="shared" si="26"/>
        <v/>
      </c>
      <c r="BT15" s="10" t="str">
        <f t="shared" si="27"/>
        <v/>
      </c>
      <c r="BU15" s="10" t="str">
        <f t="shared" si="28"/>
        <v/>
      </c>
      <c r="BV15" s="10" t="str">
        <f t="shared" si="29"/>
        <v/>
      </c>
      <c r="BW15" s="10" t="str">
        <f t="shared" si="30"/>
        <v/>
      </c>
      <c r="BX15" s="10" t="str">
        <f t="shared" si="31"/>
        <v/>
      </c>
      <c r="BY15" s="10" t="str">
        <f t="shared" si="32"/>
        <v/>
      </c>
      <c r="BZ15" s="10" t="str">
        <f t="shared" si="33"/>
        <v/>
      </c>
      <c r="CA15" s="34" t="str">
        <f t="shared" si="34"/>
        <v/>
      </c>
      <c r="CB15" s="34" t="str">
        <f t="shared" si="35"/>
        <v/>
      </c>
      <c r="CC15" s="14"/>
      <c r="CD15" s="14"/>
      <c r="CE15" s="14"/>
      <c r="CF15" s="14"/>
      <c r="CG15" s="14"/>
      <c r="CH15" s="14"/>
      <c r="CI15" s="14"/>
      <c r="CJ15" s="14"/>
      <c r="CK15" s="14"/>
      <c r="CL15" s="14"/>
      <c r="CM15" s="14"/>
      <c r="CN15" s="14"/>
      <c r="CO15" s="14"/>
      <c r="CP15" s="14"/>
      <c r="CQ15" s="14"/>
      <c r="CR15" s="14"/>
      <c r="CS15" s="14"/>
      <c r="CT15" s="14"/>
      <c r="CU15" s="14"/>
      <c r="CV15" s="14"/>
      <c r="CW15" s="27" t="str">
        <f t="shared" si="36"/>
        <v/>
      </c>
      <c r="CX15" s="27" t="str">
        <f t="shared" si="37"/>
        <v/>
      </c>
      <c r="CY15" s="27" t="str">
        <f t="shared" si="38"/>
        <v/>
      </c>
      <c r="CZ15" s="27" t="str">
        <f t="shared" si="39"/>
        <v/>
      </c>
      <c r="DA15" s="27" t="str">
        <f t="shared" si="40"/>
        <v/>
      </c>
      <c r="DB15" s="27" t="str">
        <f t="shared" si="41"/>
        <v/>
      </c>
      <c r="DC15" s="27" t="str">
        <f t="shared" si="42"/>
        <v/>
      </c>
      <c r="DD15" s="27" t="str">
        <f t="shared" si="43"/>
        <v/>
      </c>
      <c r="DE15" s="27" t="str">
        <f t="shared" si="44"/>
        <v/>
      </c>
      <c r="DF15" s="27" t="str">
        <f t="shared" si="45"/>
        <v/>
      </c>
      <c r="DG15" s="27" t="str">
        <f t="shared" si="46"/>
        <v/>
      </c>
      <c r="DH15" s="27" t="str">
        <f t="shared" si="47"/>
        <v/>
      </c>
      <c r="DI15" s="27" t="str">
        <f t="shared" si="48"/>
        <v/>
      </c>
      <c r="DJ15" s="27" t="str">
        <f t="shared" si="49"/>
        <v/>
      </c>
      <c r="DK15" s="27" t="str">
        <f t="shared" si="50"/>
        <v/>
      </c>
      <c r="DL15" s="15"/>
      <c r="DM15" s="15"/>
      <c r="DN15" s="15"/>
      <c r="DO15" s="15"/>
      <c r="DP15" s="15"/>
      <c r="DQ15" s="15"/>
      <c r="DR15" s="15"/>
      <c r="DS15" s="15"/>
      <c r="DT15" s="15"/>
      <c r="DU15" s="15"/>
      <c r="DV15" s="15"/>
      <c r="DW15" s="15"/>
      <c r="DX15" s="15"/>
      <c r="DY15" s="15"/>
      <c r="DZ15" s="15"/>
      <c r="EA15" s="15"/>
      <c r="EB15" s="15"/>
      <c r="EC15" s="15"/>
      <c r="ED15" s="15"/>
      <c r="EE15" s="15"/>
      <c r="EF15" s="10" t="str">
        <f t="shared" si="51"/>
        <v/>
      </c>
      <c r="EG15" s="10" t="str">
        <f t="shared" si="52"/>
        <v/>
      </c>
      <c r="EH15" s="10" t="str">
        <f t="shared" si="53"/>
        <v/>
      </c>
      <c r="EI15" s="10" t="str">
        <f t="shared" si="54"/>
        <v/>
      </c>
      <c r="EJ15" s="10" t="str">
        <f t="shared" si="55"/>
        <v/>
      </c>
      <c r="EK15" s="10" t="str">
        <f t="shared" si="56"/>
        <v/>
      </c>
      <c r="EL15" s="10" t="str">
        <f t="shared" si="57"/>
        <v/>
      </c>
      <c r="EM15" s="10" t="str">
        <f t="shared" si="58"/>
        <v/>
      </c>
      <c r="EN15" s="10" t="str">
        <f t="shared" si="59"/>
        <v/>
      </c>
      <c r="EO15" s="10" t="str">
        <f t="shared" si="60"/>
        <v/>
      </c>
      <c r="EP15" s="10" t="str">
        <f t="shared" si="61"/>
        <v/>
      </c>
      <c r="EQ15" s="10" t="str">
        <f t="shared" si="62"/>
        <v/>
      </c>
      <c r="ER15" s="10" t="str">
        <f t="shared" si="63"/>
        <v/>
      </c>
      <c r="ES15" s="10" t="str">
        <f t="shared" si="64"/>
        <v/>
      </c>
      <c r="ET15" s="10" t="str">
        <f t="shared" si="65"/>
        <v/>
      </c>
    </row>
    <row r="16" spans="1:150" x14ac:dyDescent="0.2">
      <c r="A16" s="3" t="str" cm="1">
        <f t="array" ref="A16">IF(AND(H16&lt;&gt;"",H16&lt;&gt;"No DD",I16&lt;&gt;"P"),SUMPRODUCT((H$4:H$35&lt;&gt;"")*(H$4:H$35&lt;&gt;"No DD")*(I$4:I$35&lt;&gt;"P")*(E$4:E$35&gt;E16))+1,IF(H16="No DD",SUMPRODUCT((H$4:H$35="No DD")*(I$4:I$35&lt;&gt;"P")*(E$4:E$35&gt;E16))+1+SUMPRODUCT((H$4:H$35&lt;&gt;"")*(I$4:I$35&lt;&gt;"P")*(H$4:H$35&lt;&gt;"No DD")),""))</f>
        <v/>
      </c>
      <c r="B16" s="4" t="s">
        <v>119</v>
      </c>
      <c r="C16" s="3" t="s">
        <v>74</v>
      </c>
      <c r="D16" s="3">
        <v>2007</v>
      </c>
      <c r="E16" s="8">
        <f t="shared" si="0"/>
        <v>94.100007130004698</v>
      </c>
      <c r="F16" s="2" t="str">
        <f>IF(OR(AND(AO16&lt;&gt;"",AO16&gt;=AV$40,AN16&gt;=AV$37),AND(AU16&lt;&gt;"",AU16&gt;=AV$40,AT16&gt;=AV$37),AND(BS16&lt;&gt;"",BS16&gt;=BZ$40,BR16&gt;=BZ$37),AND(BY16&lt;&gt;"",BY16&gt;=BZ$40,BX16&gt;=BZ$37),AND(DB16&lt;&gt;"",DB16&gt;=DK$40,DA16&gt;=DK$37),AND(DJ16&lt;&gt;"",DJ16&gt;=DK$40,DI16&gt;=DK$37),AND(EK16&lt;&gt;"",EK16&gt;=ET$40,EJ16&gt;=ET$37),AND(ES16&lt;&gt;"",ES16&gt;=ET$40,ER16&gt;=ET$37)),"P","")</f>
        <v/>
      </c>
      <c r="G16" s="2" t="str">
        <f>IF(OR(AND(AO16&lt;&gt;"",AO16&gt;=AV$40),AND(AU16&lt;&gt;"",AU16&gt;=AV$40),AND(BS16&lt;&gt;"",BS16&gt;=BZ$40),AND(BY16&lt;&gt;"",BY16&gt;=BZ$40),AND(DB16&lt;&gt;"",DB16&gt;=DK$40),AND(DJ16&lt;&gt;"",DJ16&gt;=DK$40),AND(EK16&lt;&gt;"",EK16&gt;=ET$40),AND(ES16&lt;&gt;"",ES16&gt;=ET$40)),"P","")</f>
        <v/>
      </c>
      <c r="H16" s="26" t="str">
        <f>IF(AND(G16="P",F16=""),"No DD",IF(OR(AND(AK16&lt;&gt;"",AK16&gt;=AV$42,AJ16&gt;=AV$39),AND(AM16&lt;&gt;"",AM16&gt;=AV$42,AL16&gt;=AV$39),AND(AQ16&lt;&gt;"",AQ16&gt;=AV$42,AP16&gt;=AV$39),AND(AS16&lt;&gt;"",AS16&gt;=AV$42,AR16&gt;=AV$39),AND(BO16&lt;&gt;"",BO16&gt;=BZ$42,BN16&gt;=BZ$39),AND(BQ16&lt;&gt;"",BQ16&gt;=BZ$42,BP16&gt;=BZ$39),AND(BV16&lt;&gt;"",BV16&gt;=BZ$42,BU16&gt;=BZ$39),AND(BX16&lt;&gt;"",BX16&gt;=BZ$42,BW16&gt;=BZ$39),AND(CX16&lt;&gt;"",CX16&gt;=DK$42,CW16&gt;=DK$39),AND(CZ16&lt;&gt;"",CZ16&gt;=DK$42,CY16&gt;=DK$39),AND(DD16&lt;&gt;"",DD16&gt;=DK$42,DC16&gt;=DK$39),AND(DF16&lt;&gt;"",DF16&gt;=DK$42,DE16&gt;=DK$39),AND(DH16&lt;&gt;"",DH16&gt;=DK$42,DG16&gt;=DK$39),AND(EG16&lt;&gt;"",EG16&gt;=ET$42,EF16&gt;=ET$39),AND(EI16&lt;&gt;"",EI16&gt;=ET$42,EH16&gt;=ET$39),AND(EM16&lt;&gt;"",EM16&gt;=ET$42,EL16&gt;=ET$39),AND(EO16&lt;&gt;"",EO16&gt;=ET$42,EN16&gt;=ET$39),AND(EQ16&lt;&gt;"",EQ16&gt;=ET$42,EP16&gt;=ET$39)),"Performance",IF(I16="P","National Team",IF(F16="P","National Team",""))))</f>
        <v/>
      </c>
      <c r="I16" s="2" t="str">
        <f>IF(COUNTIFS('Senior-M'!B:B,B16,'Senior-M'!A:A,"&lt;9",'Senior-M'!H:H,"&lt;&gt;"&amp;"No DD"),"P","")</f>
        <v/>
      </c>
      <c r="J16" s="7">
        <f t="shared" si="1"/>
        <v>47</v>
      </c>
      <c r="K16" s="7" t="str">
        <f t="shared" si="2"/>
        <v>2026 Elite Canada</v>
      </c>
      <c r="L16" s="7">
        <f>IF(J16=AO16,IF(COUNT(AQ16,AS16,BO16,BQ16,BU16,BW16)&gt;1,LARGE((AQ16,AS16,BO16,BQ16,BU16,BW16),1),0),IF(COUNT(AK16,AM16,AQ16,AS16,BU16,BW16)&gt;1,LARGE((AK16,AM16,AQ16,AS16,BU16,BW16),1),0))</f>
        <v>24.299999999999997</v>
      </c>
      <c r="M16" s="7" t="str">
        <f t="shared" si="3"/>
        <v>2026 Elite Canada</v>
      </c>
      <c r="N16" s="7">
        <f>IF(J16=AO16,IF(COUNT(AQ16,AS16,BO16,BQ16,BU16,BW16)&gt;1,LARGE((AQ16,AS16,BO16,BQ16,BU16,BW16),2),0),IF(COUNT(AK16,AM16,AQ16,AS16,BU16,BW16)&gt;1,LARGE((AK16,AM16,AQ16,AS16,BU16,BW16),2),0))</f>
        <v>22.799999999999997</v>
      </c>
      <c r="O16" s="7" t="str">
        <f t="shared" si="4"/>
        <v>2026 Elite Canada</v>
      </c>
      <c r="P16" s="7" t="str">
        <f t="shared" si="5"/>
        <v/>
      </c>
      <c r="Q16" s="10" t="str">
        <f t="shared" si="6"/>
        <v/>
      </c>
      <c r="R16" s="7" t="str">
        <f t="shared" si="7"/>
        <v/>
      </c>
      <c r="S16" s="38">
        <v>18.2</v>
      </c>
      <c r="T16" s="38">
        <v>6.4</v>
      </c>
      <c r="U16" s="38">
        <v>0.6</v>
      </c>
      <c r="V16" s="38">
        <v>0</v>
      </c>
      <c r="W16" s="38">
        <v>18</v>
      </c>
      <c r="X16" s="38">
        <v>5.6</v>
      </c>
      <c r="Y16" s="38">
        <v>0.6</v>
      </c>
      <c r="Z16" s="38">
        <v>0</v>
      </c>
      <c r="AA16" s="38">
        <v>18.5</v>
      </c>
      <c r="AB16" s="38">
        <v>6.4</v>
      </c>
      <c r="AC16" s="38">
        <v>0.6</v>
      </c>
      <c r="AD16" s="38">
        <v>0</v>
      </c>
      <c r="AE16" s="38">
        <v>17.8</v>
      </c>
      <c r="AF16" s="38">
        <v>5.6</v>
      </c>
      <c r="AG16" s="38">
        <v>0.6</v>
      </c>
      <c r="AH16" s="38">
        <v>0</v>
      </c>
      <c r="AI16" s="19"/>
      <c r="AJ16" s="41">
        <f t="shared" si="8"/>
        <v>6.4</v>
      </c>
      <c r="AK16" s="41">
        <f t="shared" si="9"/>
        <v>24</v>
      </c>
      <c r="AL16" s="41">
        <f t="shared" si="10"/>
        <v>5.6</v>
      </c>
      <c r="AM16" s="41">
        <f t="shared" si="11"/>
        <v>23</v>
      </c>
      <c r="AN16" s="27">
        <f t="shared" si="12"/>
        <v>12</v>
      </c>
      <c r="AO16" s="27">
        <f t="shared" si="13"/>
        <v>47</v>
      </c>
      <c r="AP16" s="27">
        <f t="shared" si="14"/>
        <v>6.4</v>
      </c>
      <c r="AQ16" s="27">
        <f t="shared" si="15"/>
        <v>24.299999999999997</v>
      </c>
      <c r="AR16" s="27">
        <f t="shared" si="16"/>
        <v>5.6</v>
      </c>
      <c r="AS16" s="27">
        <f t="shared" si="17"/>
        <v>22.799999999999997</v>
      </c>
      <c r="AT16" s="27">
        <f t="shared" si="18"/>
        <v>12</v>
      </c>
      <c r="AU16" s="27">
        <f t="shared" si="19"/>
        <v>47.099999999999994</v>
      </c>
      <c r="AV16" s="27">
        <f t="shared" si="20"/>
        <v>94.1</v>
      </c>
      <c r="AW16" s="15"/>
      <c r="AX16" s="15"/>
      <c r="AY16" s="15"/>
      <c r="AZ16" s="15"/>
      <c r="BA16" s="15"/>
      <c r="BB16" s="15"/>
      <c r="BC16" s="15"/>
      <c r="BD16" s="15"/>
      <c r="BE16" s="15"/>
      <c r="BF16" s="15"/>
      <c r="BG16" s="15"/>
      <c r="BH16" s="15"/>
      <c r="BI16" s="15"/>
      <c r="BJ16" s="15"/>
      <c r="BK16" s="15"/>
      <c r="BL16" s="15"/>
      <c r="BM16" s="20"/>
      <c r="BN16" s="42" t="str">
        <f t="shared" si="21"/>
        <v/>
      </c>
      <c r="BO16" s="42" t="str">
        <f t="shared" si="22"/>
        <v/>
      </c>
      <c r="BP16" s="42" t="str">
        <f t="shared" si="23"/>
        <v/>
      </c>
      <c r="BQ16" s="42" t="str">
        <f t="shared" si="24"/>
        <v/>
      </c>
      <c r="BR16" s="10" t="str">
        <f t="shared" si="25"/>
        <v/>
      </c>
      <c r="BS16" s="10" t="str">
        <f t="shared" si="26"/>
        <v/>
      </c>
      <c r="BT16" s="10" t="str">
        <f t="shared" si="27"/>
        <v/>
      </c>
      <c r="BU16" s="10" t="str">
        <f t="shared" si="28"/>
        <v/>
      </c>
      <c r="BV16" s="10" t="str">
        <f t="shared" si="29"/>
        <v/>
      </c>
      <c r="BW16" s="10" t="str">
        <f t="shared" si="30"/>
        <v/>
      </c>
      <c r="BX16" s="10" t="str">
        <f t="shared" si="31"/>
        <v/>
      </c>
      <c r="BY16" s="10" t="str">
        <f t="shared" si="32"/>
        <v/>
      </c>
      <c r="BZ16" s="10" t="str">
        <f t="shared" si="33"/>
        <v/>
      </c>
      <c r="CA16" s="34" t="str">
        <f t="shared" si="34"/>
        <v/>
      </c>
      <c r="CB16" s="34" t="str">
        <f t="shared" si="35"/>
        <v/>
      </c>
      <c r="CC16" s="14"/>
      <c r="CD16" s="14"/>
      <c r="CE16" s="14"/>
      <c r="CF16" s="14"/>
      <c r="CG16" s="14"/>
      <c r="CH16" s="14"/>
      <c r="CI16" s="14"/>
      <c r="CJ16" s="14"/>
      <c r="CK16" s="14"/>
      <c r="CL16" s="14"/>
      <c r="CM16" s="14"/>
      <c r="CN16" s="14"/>
      <c r="CO16" s="14"/>
      <c r="CP16" s="14"/>
      <c r="CQ16" s="14"/>
      <c r="CR16" s="14"/>
      <c r="CS16" s="14"/>
      <c r="CT16" s="14"/>
      <c r="CU16" s="14"/>
      <c r="CV16" s="14"/>
      <c r="CW16" s="27" t="str">
        <f t="shared" si="36"/>
        <v/>
      </c>
      <c r="CX16" s="27" t="str">
        <f t="shared" si="37"/>
        <v/>
      </c>
      <c r="CY16" s="27" t="str">
        <f t="shared" si="38"/>
        <v/>
      </c>
      <c r="CZ16" s="27" t="str">
        <f t="shared" si="39"/>
        <v/>
      </c>
      <c r="DA16" s="27" t="str">
        <f t="shared" si="40"/>
        <v/>
      </c>
      <c r="DB16" s="27" t="str">
        <f t="shared" si="41"/>
        <v/>
      </c>
      <c r="DC16" s="27" t="str">
        <f t="shared" si="42"/>
        <v/>
      </c>
      <c r="DD16" s="27" t="str">
        <f t="shared" si="43"/>
        <v/>
      </c>
      <c r="DE16" s="27" t="str">
        <f t="shared" si="44"/>
        <v/>
      </c>
      <c r="DF16" s="27" t="str">
        <f t="shared" si="45"/>
        <v/>
      </c>
      <c r="DG16" s="27" t="str">
        <f t="shared" si="46"/>
        <v/>
      </c>
      <c r="DH16" s="27" t="str">
        <f t="shared" si="47"/>
        <v/>
      </c>
      <c r="DI16" s="27" t="str">
        <f t="shared" si="48"/>
        <v/>
      </c>
      <c r="DJ16" s="27" t="str">
        <f t="shared" si="49"/>
        <v/>
      </c>
      <c r="DK16" s="27" t="str">
        <f t="shared" si="50"/>
        <v/>
      </c>
      <c r="DL16" s="15"/>
      <c r="DM16" s="15"/>
      <c r="DN16" s="15"/>
      <c r="DO16" s="15"/>
      <c r="DP16" s="15"/>
      <c r="DQ16" s="15"/>
      <c r="DR16" s="15"/>
      <c r="DS16" s="15"/>
      <c r="DT16" s="15"/>
      <c r="DU16" s="15"/>
      <c r="DV16" s="15"/>
      <c r="DW16" s="15"/>
      <c r="DX16" s="15"/>
      <c r="DY16" s="15"/>
      <c r="DZ16" s="15"/>
      <c r="EA16" s="15"/>
      <c r="EB16" s="15"/>
      <c r="EC16" s="15"/>
      <c r="ED16" s="15"/>
      <c r="EE16" s="15"/>
      <c r="EF16" s="10" t="str">
        <f t="shared" si="51"/>
        <v/>
      </c>
      <c r="EG16" s="10" t="str">
        <f t="shared" si="52"/>
        <v/>
      </c>
      <c r="EH16" s="10" t="str">
        <f t="shared" si="53"/>
        <v/>
      </c>
      <c r="EI16" s="10" t="str">
        <f t="shared" si="54"/>
        <v/>
      </c>
      <c r="EJ16" s="10" t="str">
        <f t="shared" si="55"/>
        <v/>
      </c>
      <c r="EK16" s="10" t="str">
        <f t="shared" si="56"/>
        <v/>
      </c>
      <c r="EL16" s="10" t="str">
        <f t="shared" si="57"/>
        <v/>
      </c>
      <c r="EM16" s="10" t="str">
        <f t="shared" si="58"/>
        <v/>
      </c>
      <c r="EN16" s="10" t="str">
        <f t="shared" si="59"/>
        <v/>
      </c>
      <c r="EO16" s="10" t="str">
        <f t="shared" si="60"/>
        <v/>
      </c>
      <c r="EP16" s="10" t="str">
        <f t="shared" si="61"/>
        <v/>
      </c>
      <c r="EQ16" s="10" t="str">
        <f t="shared" si="62"/>
        <v/>
      </c>
      <c r="ER16" s="10" t="str">
        <f t="shared" si="63"/>
        <v/>
      </c>
      <c r="ES16" s="10" t="str">
        <f t="shared" si="64"/>
        <v/>
      </c>
      <c r="ET16" s="10" t="str">
        <f t="shared" si="65"/>
        <v/>
      </c>
    </row>
    <row r="17" spans="1:150" x14ac:dyDescent="0.2">
      <c r="A17" s="3" t="str" cm="1">
        <f t="array" ref="A17">IF(AND(H17&lt;&gt;"",H17&lt;&gt;"No DD",I17&lt;&gt;"P"),SUMPRODUCT((H$4:H$35&lt;&gt;"")*(H$4:H$35&lt;&gt;"No DD")*(I$4:I$35&lt;&gt;"P")*(E$4:E$35&gt;E17))+1,IF(H17="No DD",SUMPRODUCT((H$4:H$35="No DD")*(I$4:I$35&lt;&gt;"P")*(E$4:E$35&gt;E17))+1+SUMPRODUCT((H$4:H$35&lt;&gt;"")*(I$4:I$35&lt;&gt;"P")*(H$4:H$35&lt;&gt;"No DD")),""))</f>
        <v/>
      </c>
      <c r="B17" s="4" t="s">
        <v>154</v>
      </c>
      <c r="C17" s="3" t="s">
        <v>6</v>
      </c>
      <c r="D17" s="3">
        <v>2007</v>
      </c>
      <c r="E17" s="8">
        <f t="shared" si="0"/>
        <v>94.00000708000475</v>
      </c>
      <c r="F17" s="2" t="str">
        <f>IF(OR(AND(AO17&lt;&gt;"",AO17&gt;=AV$40,AN17&gt;=AV$37),AND(AU17&lt;&gt;"",AU17&gt;=AV$40,AT17&gt;=AV$37),AND(BS17&lt;&gt;"",BS17&gt;=BZ$40,BR17&gt;=BZ$37),AND(BY17&lt;&gt;"",BY17&gt;=BZ$40,BX17&gt;=BZ$37),AND(DB17&lt;&gt;"",DB17&gt;=DK$40,DA17&gt;=DK$37),AND(DJ17&lt;&gt;"",DJ17&gt;=DK$40,DI17&gt;=DK$37),AND(EK17&lt;&gt;"",EK17&gt;=ET$40,EJ17&gt;=ET$37),AND(ES17&lt;&gt;"",ES17&gt;=ET$40,ER17&gt;=ET$37)),"P","")</f>
        <v/>
      </c>
      <c r="G17" s="2" t="str">
        <f>IF(OR(AND(AO17&lt;&gt;"",AO17&gt;=AV$40),AND(AU17&lt;&gt;"",AU17&gt;=AV$40),AND(BS17&lt;&gt;"",BS17&gt;=BZ$40),AND(BY17&lt;&gt;"",BY17&gt;=BZ$40),AND(DB17&lt;&gt;"",DB17&gt;=DK$40),AND(DJ17&lt;&gt;"",DJ17&gt;=DK$40),AND(EK17&lt;&gt;"",EK17&gt;=ET$40),AND(ES17&lt;&gt;"",ES17&gt;=ET$40)),"P","")</f>
        <v/>
      </c>
      <c r="H17" s="26" t="str">
        <f>IF(AND(G17="P",F17=""),"No DD",IF(OR(AND(AK17&lt;&gt;"",AK17&gt;=AV$42,AJ17&gt;=AV$39),AND(AM17&lt;&gt;"",AM17&gt;=AV$42,AL17&gt;=AV$39),AND(AQ17&lt;&gt;"",AQ17&gt;=AV$42,AP17&gt;=AV$39),AND(AS17&lt;&gt;"",AS17&gt;=AV$42,AR17&gt;=AV$39),AND(BO17&lt;&gt;"",BO17&gt;=BZ$42,BN17&gt;=BZ$39),AND(BQ17&lt;&gt;"",BQ17&gt;=BZ$42,BP17&gt;=BZ$39),AND(BV17&lt;&gt;"",BV17&gt;=BZ$42,BU17&gt;=BZ$39),AND(BX17&lt;&gt;"",BX17&gt;=BZ$42,BW17&gt;=BZ$39),AND(CX17&lt;&gt;"",CX17&gt;=DK$42,CW17&gt;=DK$39),AND(CZ17&lt;&gt;"",CZ17&gt;=DK$42,CY17&gt;=DK$39),AND(DD17&lt;&gt;"",DD17&gt;=DK$42,DC17&gt;=DK$39),AND(DF17&lt;&gt;"",DF17&gt;=DK$42,DE17&gt;=DK$39),AND(DH17&lt;&gt;"",DH17&gt;=DK$42,DG17&gt;=DK$39),AND(EG17&lt;&gt;"",EG17&gt;=ET$42,EF17&gt;=ET$39),AND(EI17&lt;&gt;"",EI17&gt;=ET$42,EH17&gt;=ET$39),AND(EM17&lt;&gt;"",EM17&gt;=ET$42,EL17&gt;=ET$39),AND(EO17&lt;&gt;"",EO17&gt;=ET$42,EN17&gt;=ET$39),AND(EQ17&lt;&gt;"",EQ17&gt;=ET$42,EP17&gt;=ET$39)),"Performance",IF(I17="P","National Team",IF(F17="P","National Team",""))))</f>
        <v/>
      </c>
      <c r="I17" s="2" t="str">
        <f>IF(COUNTIFS('Senior-M'!B:B,B17,'Senior-M'!A:A,"&lt;9",'Senior-M'!H:H,"&lt;&gt;"&amp;"No DD"),"P","")</f>
        <v/>
      </c>
      <c r="J17" s="7">
        <f t="shared" si="1"/>
        <v>47.4</v>
      </c>
      <c r="K17" s="7" t="str">
        <f t="shared" si="2"/>
        <v>2026 Elite Canada</v>
      </c>
      <c r="L17" s="7">
        <f>IF(J17=AO17,IF(COUNT(AQ17,AS17,BO17,BQ17,BU17,BW17)&gt;1,LARGE((AQ17,AS17,BO17,BQ17,BU17,BW17),1),0),IF(COUNT(AK17,AM17,AQ17,AS17,BU17,BW17)&gt;1,LARGE((AK17,AM17,AQ17,AS17,BU17,BW17),1),0))</f>
        <v>23.4</v>
      </c>
      <c r="M17" s="7" t="str">
        <f t="shared" si="3"/>
        <v>2026 Elite Canada</v>
      </c>
      <c r="N17" s="7">
        <f>IF(J17=AO17,IF(COUNT(AQ17,AS17,BO17,BQ17,BU17,BW17)&gt;1,LARGE((AQ17,AS17,BO17,BQ17,BU17,BW17),2),0),IF(COUNT(AK17,AM17,AQ17,AS17,BU17,BW17)&gt;1,LARGE((AK17,AM17,AQ17,AS17,BU17,BW17),2),0))</f>
        <v>23.2</v>
      </c>
      <c r="O17" s="7" t="str">
        <f t="shared" si="4"/>
        <v>2026 Elite Canada</v>
      </c>
      <c r="P17" s="7" t="str">
        <f t="shared" si="5"/>
        <v/>
      </c>
      <c r="Q17" s="10" t="str">
        <f t="shared" si="6"/>
        <v/>
      </c>
      <c r="R17" s="7" t="str">
        <f t="shared" si="7"/>
        <v/>
      </c>
      <c r="S17" s="38">
        <v>18.7</v>
      </c>
      <c r="T17" s="38">
        <v>5.6</v>
      </c>
      <c r="U17" s="38">
        <v>0.8</v>
      </c>
      <c r="V17" s="38">
        <v>0</v>
      </c>
      <c r="W17" s="38">
        <v>18.5</v>
      </c>
      <c r="X17" s="38">
        <v>5.6</v>
      </c>
      <c r="Y17" s="38">
        <v>0.2</v>
      </c>
      <c r="Z17" s="38">
        <v>0</v>
      </c>
      <c r="AA17" s="38">
        <v>18.399999999999999</v>
      </c>
      <c r="AB17" s="38">
        <v>5.6</v>
      </c>
      <c r="AC17" s="38">
        <v>0.8</v>
      </c>
      <c r="AD17" s="38">
        <v>0</v>
      </c>
      <c r="AE17" s="38">
        <v>18.8</v>
      </c>
      <c r="AF17" s="38">
        <v>5.6</v>
      </c>
      <c r="AG17" s="38">
        <v>1</v>
      </c>
      <c r="AH17" s="38">
        <v>0</v>
      </c>
      <c r="AI17" s="19"/>
      <c r="AJ17" s="41">
        <f t="shared" si="8"/>
        <v>5.6</v>
      </c>
      <c r="AK17" s="41">
        <f t="shared" si="9"/>
        <v>23.499999999999996</v>
      </c>
      <c r="AL17" s="41">
        <f t="shared" si="10"/>
        <v>5.6</v>
      </c>
      <c r="AM17" s="41">
        <f t="shared" si="11"/>
        <v>23.900000000000002</v>
      </c>
      <c r="AN17" s="27">
        <f t="shared" si="12"/>
        <v>11.2</v>
      </c>
      <c r="AO17" s="27">
        <f t="shared" si="13"/>
        <v>47.4</v>
      </c>
      <c r="AP17" s="27">
        <f t="shared" si="14"/>
        <v>5.6</v>
      </c>
      <c r="AQ17" s="27">
        <f t="shared" si="15"/>
        <v>23.2</v>
      </c>
      <c r="AR17" s="27">
        <f t="shared" si="16"/>
        <v>5.6</v>
      </c>
      <c r="AS17" s="27">
        <f t="shared" si="17"/>
        <v>23.4</v>
      </c>
      <c r="AT17" s="27">
        <f t="shared" si="18"/>
        <v>11.2</v>
      </c>
      <c r="AU17" s="27">
        <f t="shared" si="19"/>
        <v>46.599999999999994</v>
      </c>
      <c r="AV17" s="27">
        <f t="shared" si="20"/>
        <v>94</v>
      </c>
      <c r="AW17" s="15"/>
      <c r="AX17" s="15"/>
      <c r="AY17" s="15"/>
      <c r="AZ17" s="15"/>
      <c r="BA17" s="15"/>
      <c r="BB17" s="15"/>
      <c r="BC17" s="15"/>
      <c r="BD17" s="15"/>
      <c r="BE17" s="15"/>
      <c r="BF17" s="15"/>
      <c r="BG17" s="15"/>
      <c r="BH17" s="15"/>
      <c r="BI17" s="15"/>
      <c r="BJ17" s="15"/>
      <c r="BK17" s="15"/>
      <c r="BL17" s="15"/>
      <c r="BM17" s="20"/>
      <c r="BN17" s="42" t="str">
        <f t="shared" si="21"/>
        <v/>
      </c>
      <c r="BO17" s="42" t="str">
        <f t="shared" si="22"/>
        <v/>
      </c>
      <c r="BP17" s="42" t="str">
        <f t="shared" si="23"/>
        <v/>
      </c>
      <c r="BQ17" s="42" t="str">
        <f t="shared" si="24"/>
        <v/>
      </c>
      <c r="BR17" s="10" t="str">
        <f t="shared" si="25"/>
        <v/>
      </c>
      <c r="BS17" s="10" t="str">
        <f t="shared" si="26"/>
        <v/>
      </c>
      <c r="BT17" s="10" t="str">
        <f t="shared" si="27"/>
        <v/>
      </c>
      <c r="BU17" s="10" t="str">
        <f t="shared" si="28"/>
        <v/>
      </c>
      <c r="BV17" s="10" t="str">
        <f t="shared" si="29"/>
        <v/>
      </c>
      <c r="BW17" s="10" t="str">
        <f t="shared" si="30"/>
        <v/>
      </c>
      <c r="BX17" s="10" t="str">
        <f t="shared" si="31"/>
        <v/>
      </c>
      <c r="BY17" s="10" t="str">
        <f t="shared" si="32"/>
        <v/>
      </c>
      <c r="BZ17" s="10" t="str">
        <f t="shared" si="33"/>
        <v/>
      </c>
      <c r="CA17" s="34" t="str">
        <f t="shared" si="34"/>
        <v/>
      </c>
      <c r="CB17" s="34" t="str">
        <f t="shared" si="35"/>
        <v/>
      </c>
      <c r="CC17" s="14"/>
      <c r="CD17" s="14"/>
      <c r="CE17" s="14"/>
      <c r="CF17" s="14"/>
      <c r="CG17" s="14"/>
      <c r="CH17" s="14"/>
      <c r="CI17" s="14"/>
      <c r="CJ17" s="14"/>
      <c r="CK17" s="14"/>
      <c r="CL17" s="14"/>
      <c r="CM17" s="14"/>
      <c r="CN17" s="14"/>
      <c r="CO17" s="14"/>
      <c r="CP17" s="14"/>
      <c r="CQ17" s="14"/>
      <c r="CR17" s="14"/>
      <c r="CS17" s="14"/>
      <c r="CT17" s="14"/>
      <c r="CU17" s="14"/>
      <c r="CV17" s="14"/>
      <c r="CW17" s="27" t="str">
        <f t="shared" si="36"/>
        <v/>
      </c>
      <c r="CX17" s="27" t="str">
        <f t="shared" si="37"/>
        <v/>
      </c>
      <c r="CY17" s="27" t="str">
        <f t="shared" si="38"/>
        <v/>
      </c>
      <c r="CZ17" s="27" t="str">
        <f t="shared" si="39"/>
        <v/>
      </c>
      <c r="DA17" s="27" t="str">
        <f t="shared" si="40"/>
        <v/>
      </c>
      <c r="DB17" s="27" t="str">
        <f t="shared" si="41"/>
        <v/>
      </c>
      <c r="DC17" s="27" t="str">
        <f t="shared" si="42"/>
        <v/>
      </c>
      <c r="DD17" s="27" t="str">
        <f t="shared" si="43"/>
        <v/>
      </c>
      <c r="DE17" s="27" t="str">
        <f t="shared" si="44"/>
        <v/>
      </c>
      <c r="DF17" s="27" t="str">
        <f t="shared" si="45"/>
        <v/>
      </c>
      <c r="DG17" s="27" t="str">
        <f t="shared" si="46"/>
        <v/>
      </c>
      <c r="DH17" s="27" t="str">
        <f t="shared" si="47"/>
        <v/>
      </c>
      <c r="DI17" s="27" t="str">
        <f t="shared" si="48"/>
        <v/>
      </c>
      <c r="DJ17" s="27" t="str">
        <f t="shared" si="49"/>
        <v/>
      </c>
      <c r="DK17" s="27" t="str">
        <f t="shared" si="50"/>
        <v/>
      </c>
      <c r="DL17" s="15"/>
      <c r="DM17" s="15"/>
      <c r="DN17" s="15"/>
      <c r="DO17" s="15"/>
      <c r="DP17" s="15"/>
      <c r="DQ17" s="15"/>
      <c r="DR17" s="15"/>
      <c r="DS17" s="15"/>
      <c r="DT17" s="15"/>
      <c r="DU17" s="15"/>
      <c r="DV17" s="15"/>
      <c r="DW17" s="15"/>
      <c r="DX17" s="15"/>
      <c r="DY17" s="15"/>
      <c r="DZ17" s="15"/>
      <c r="EA17" s="15"/>
      <c r="EB17" s="15"/>
      <c r="EC17" s="15"/>
      <c r="ED17" s="15"/>
      <c r="EE17" s="15"/>
      <c r="EF17" s="10" t="str">
        <f t="shared" si="51"/>
        <v/>
      </c>
      <c r="EG17" s="10" t="str">
        <f t="shared" si="52"/>
        <v/>
      </c>
      <c r="EH17" s="10" t="str">
        <f t="shared" si="53"/>
        <v/>
      </c>
      <c r="EI17" s="10" t="str">
        <f t="shared" si="54"/>
        <v/>
      </c>
      <c r="EJ17" s="10" t="str">
        <f t="shared" si="55"/>
        <v/>
      </c>
      <c r="EK17" s="10" t="str">
        <f t="shared" si="56"/>
        <v/>
      </c>
      <c r="EL17" s="10" t="str">
        <f t="shared" si="57"/>
        <v/>
      </c>
      <c r="EM17" s="10" t="str">
        <f t="shared" si="58"/>
        <v/>
      </c>
      <c r="EN17" s="10" t="str">
        <f t="shared" si="59"/>
        <v/>
      </c>
      <c r="EO17" s="10" t="str">
        <f t="shared" si="60"/>
        <v/>
      </c>
      <c r="EP17" s="10" t="str">
        <f t="shared" si="61"/>
        <v/>
      </c>
      <c r="EQ17" s="10" t="str">
        <f t="shared" si="62"/>
        <v/>
      </c>
      <c r="ER17" s="10" t="str">
        <f t="shared" si="63"/>
        <v/>
      </c>
      <c r="ES17" s="10" t="str">
        <f t="shared" si="64"/>
        <v/>
      </c>
      <c r="ET17" s="10" t="str">
        <f t="shared" si="65"/>
        <v/>
      </c>
    </row>
    <row r="18" spans="1:150" x14ac:dyDescent="0.2">
      <c r="A18" s="3" t="str" cm="1">
        <f t="array" ref="A18">IF(AND(H18&lt;&gt;"",H18&lt;&gt;"No DD",I18&lt;&gt;"P"),SUMPRODUCT((H$4:H$35&lt;&gt;"")*(H$4:H$35&lt;&gt;"No DD")*(I$4:I$35&lt;&gt;"P")*(E$4:E$35&gt;E18))+1,IF(H18="No DD",SUMPRODUCT((H$4:H$35="No DD")*(I$4:I$35&lt;&gt;"P")*(E$4:E$35&gt;E18))+1+SUMPRODUCT((H$4:H$35&lt;&gt;"")*(I$4:I$35&lt;&gt;"P")*(H$4:H$35&lt;&gt;"No DD")),""))</f>
        <v/>
      </c>
      <c r="B18" s="4" t="s">
        <v>155</v>
      </c>
      <c r="C18" s="3" t="s">
        <v>64</v>
      </c>
      <c r="D18" s="3">
        <v>2009</v>
      </c>
      <c r="E18" s="8">
        <f t="shared" si="0"/>
        <v>92.800007010004649</v>
      </c>
      <c r="F18" s="2" t="str">
        <f>IF(OR(AND(AO18&lt;&gt;"",AO18&gt;=AV$40,AN18&gt;=AV$37),AND(AU18&lt;&gt;"",AU18&gt;=AV$40,AT18&gt;=AV$37),AND(BS18&lt;&gt;"",BS18&gt;=BZ$40,BR18&gt;=BZ$37),AND(BY18&lt;&gt;"",BY18&gt;=BZ$40,BX18&gt;=BZ$37),AND(DB18&lt;&gt;"",DB18&gt;=DK$40,DA18&gt;=DK$37),AND(DJ18&lt;&gt;"",DJ18&gt;=DK$40,DI18&gt;=DK$37),AND(EK18&lt;&gt;"",EK18&gt;=ET$40,EJ18&gt;=ET$37),AND(ES18&lt;&gt;"",ES18&gt;=ET$40,ER18&gt;=ET$37)),"P","")</f>
        <v/>
      </c>
      <c r="G18" s="2" t="str">
        <f>IF(OR(AND(AO18&lt;&gt;"",AO18&gt;=AV$40),AND(AU18&lt;&gt;"",AU18&gt;=AV$40),AND(BS18&lt;&gt;"",BS18&gt;=BZ$40),AND(BY18&lt;&gt;"",BY18&gt;=BZ$40),AND(DB18&lt;&gt;"",DB18&gt;=DK$40),AND(DJ18&lt;&gt;"",DJ18&gt;=DK$40),AND(EK18&lt;&gt;"",EK18&gt;=ET$40),AND(ES18&lt;&gt;"",ES18&gt;=ET$40)),"P","")</f>
        <v/>
      </c>
      <c r="H18" s="26" t="str">
        <f>IF(AND(G18="P",F18=""),"No DD",IF(OR(AND(AK18&lt;&gt;"",AK18&gt;=AV$42,AJ18&gt;=AV$39),AND(AM18&lt;&gt;"",AM18&gt;=AV$42,AL18&gt;=AV$39),AND(AQ18&lt;&gt;"",AQ18&gt;=AV$42,AP18&gt;=AV$39),AND(AS18&lt;&gt;"",AS18&gt;=AV$42,AR18&gt;=AV$39),AND(BO18&lt;&gt;"",BO18&gt;=BZ$42,BN18&gt;=BZ$39),AND(BQ18&lt;&gt;"",BQ18&gt;=BZ$42,BP18&gt;=BZ$39),AND(BV18&lt;&gt;"",BV18&gt;=BZ$42,BU18&gt;=BZ$39),AND(BX18&lt;&gt;"",BX18&gt;=BZ$42,BW18&gt;=BZ$39),AND(CX18&lt;&gt;"",CX18&gt;=DK$42,CW18&gt;=DK$39),AND(CZ18&lt;&gt;"",CZ18&gt;=DK$42,CY18&gt;=DK$39),AND(DD18&lt;&gt;"",DD18&gt;=DK$42,DC18&gt;=DK$39),AND(DF18&lt;&gt;"",DF18&gt;=DK$42,DE18&gt;=DK$39),AND(DH18&lt;&gt;"",DH18&gt;=DK$42,DG18&gt;=DK$39),AND(EG18&lt;&gt;"",EG18&gt;=ET$42,EF18&gt;=ET$39),AND(EI18&lt;&gt;"",EI18&gt;=ET$42,EH18&gt;=ET$39),AND(EM18&lt;&gt;"",EM18&gt;=ET$42,EL18&gt;=ET$39),AND(EO18&lt;&gt;"",EO18&gt;=ET$42,EN18&gt;=ET$39),AND(EQ18&lt;&gt;"",EQ18&gt;=ET$42,EP18&gt;=ET$39)),"Performance",IF(I18="P","National Team",IF(F18="P","National Team",""))))</f>
        <v/>
      </c>
      <c r="I18" s="2" t="str">
        <f>IF(COUNTIFS('Senior-M'!B:B,B18,'Senior-M'!A:A,"&lt;9",'Senior-M'!H:H,"&lt;&gt;"&amp;"No DD"),"P","")</f>
        <v/>
      </c>
      <c r="J18" s="7">
        <f t="shared" si="1"/>
        <v>46.5</v>
      </c>
      <c r="K18" s="7" t="str">
        <f t="shared" si="2"/>
        <v>2026 Elite Canada</v>
      </c>
      <c r="L18" s="7">
        <f>IF(J18=AO18,IF(COUNT(AQ18,AS18,BO18,BQ18,BU18,BW18)&gt;1,LARGE((AQ18,AS18,BO18,BQ18,BU18,BW18),1),0),IF(COUNT(AK18,AM18,AQ18,AS18,BU18,BW18)&gt;1,LARGE((AK18,AM18,AQ18,AS18,BU18,BW18),1),0))</f>
        <v>23.599999999999998</v>
      </c>
      <c r="M18" s="7" t="str">
        <f t="shared" si="3"/>
        <v>2026 Elite Canada</v>
      </c>
      <c r="N18" s="7">
        <f>IF(J18=AO18,IF(COUNT(AQ18,AS18,BO18,BQ18,BU18,BW18)&gt;1,LARGE((AQ18,AS18,BO18,BQ18,BU18,BW18),2),0),IF(COUNT(AK18,AM18,AQ18,AS18,BU18,BW18)&gt;1,LARGE((AK18,AM18,AQ18,AS18,BU18,BW18),2),0))</f>
        <v>22.7</v>
      </c>
      <c r="O18" s="7" t="str">
        <f t="shared" si="4"/>
        <v>2026 Elite Canada</v>
      </c>
      <c r="P18" s="7" t="str">
        <f t="shared" si="5"/>
        <v/>
      </c>
      <c r="Q18" s="10" t="str">
        <f t="shared" si="6"/>
        <v/>
      </c>
      <c r="R18" s="7" t="str">
        <f t="shared" si="7"/>
        <v/>
      </c>
      <c r="S18" s="38">
        <v>17.899999999999999</v>
      </c>
      <c r="T18" s="38">
        <v>7.2</v>
      </c>
      <c r="U18" s="38">
        <v>1</v>
      </c>
      <c r="V18" s="38">
        <v>0</v>
      </c>
      <c r="W18" s="38">
        <v>16.600000000000001</v>
      </c>
      <c r="X18" s="38">
        <v>6.8</v>
      </c>
      <c r="Y18" s="38">
        <v>1</v>
      </c>
      <c r="Z18" s="38">
        <v>0</v>
      </c>
      <c r="AA18" s="38">
        <v>16.7</v>
      </c>
      <c r="AB18" s="38">
        <v>6.8</v>
      </c>
      <c r="AC18" s="38">
        <v>0.8</v>
      </c>
      <c r="AD18" s="38">
        <v>0</v>
      </c>
      <c r="AE18" s="38">
        <v>18.2</v>
      </c>
      <c r="AF18" s="38">
        <v>6</v>
      </c>
      <c r="AG18" s="38">
        <v>0.6</v>
      </c>
      <c r="AH18" s="38">
        <v>0</v>
      </c>
      <c r="AI18" s="19"/>
      <c r="AJ18" s="41">
        <f t="shared" si="8"/>
        <v>7.2</v>
      </c>
      <c r="AK18" s="41">
        <f t="shared" si="9"/>
        <v>24.099999999999998</v>
      </c>
      <c r="AL18" s="41">
        <f t="shared" si="10"/>
        <v>6.8</v>
      </c>
      <c r="AM18" s="41">
        <f t="shared" si="11"/>
        <v>22.400000000000002</v>
      </c>
      <c r="AN18" s="27">
        <f t="shared" si="12"/>
        <v>14</v>
      </c>
      <c r="AO18" s="27">
        <f t="shared" si="13"/>
        <v>46.5</v>
      </c>
      <c r="AP18" s="27">
        <f t="shared" si="14"/>
        <v>6.8</v>
      </c>
      <c r="AQ18" s="27">
        <f t="shared" si="15"/>
        <v>22.7</v>
      </c>
      <c r="AR18" s="27">
        <f t="shared" si="16"/>
        <v>6</v>
      </c>
      <c r="AS18" s="27">
        <f t="shared" si="17"/>
        <v>23.599999999999998</v>
      </c>
      <c r="AT18" s="27">
        <f t="shared" si="18"/>
        <v>12.8</v>
      </c>
      <c r="AU18" s="27">
        <f t="shared" si="19"/>
        <v>46.3</v>
      </c>
      <c r="AV18" s="27">
        <f t="shared" si="20"/>
        <v>92.8</v>
      </c>
      <c r="AW18" s="15"/>
      <c r="AX18" s="15"/>
      <c r="AY18" s="15"/>
      <c r="AZ18" s="15"/>
      <c r="BA18" s="15"/>
      <c r="BB18" s="15"/>
      <c r="BC18" s="15"/>
      <c r="BD18" s="15"/>
      <c r="BE18" s="15"/>
      <c r="BF18" s="15"/>
      <c r="BG18" s="15"/>
      <c r="BH18" s="15"/>
      <c r="BI18" s="15"/>
      <c r="BJ18" s="15"/>
      <c r="BK18" s="15"/>
      <c r="BL18" s="15"/>
      <c r="BM18" s="20"/>
      <c r="BN18" s="42" t="str">
        <f t="shared" si="21"/>
        <v/>
      </c>
      <c r="BO18" s="42" t="str">
        <f t="shared" si="22"/>
        <v/>
      </c>
      <c r="BP18" s="42" t="str">
        <f t="shared" si="23"/>
        <v/>
      </c>
      <c r="BQ18" s="42" t="str">
        <f t="shared" si="24"/>
        <v/>
      </c>
      <c r="BR18" s="10" t="str">
        <f t="shared" si="25"/>
        <v/>
      </c>
      <c r="BS18" s="10" t="str">
        <f t="shared" si="26"/>
        <v/>
      </c>
      <c r="BT18" s="10" t="str">
        <f t="shared" si="27"/>
        <v/>
      </c>
      <c r="BU18" s="10" t="str">
        <f t="shared" si="28"/>
        <v/>
      </c>
      <c r="BV18" s="10" t="str">
        <f t="shared" si="29"/>
        <v/>
      </c>
      <c r="BW18" s="10" t="str">
        <f t="shared" si="30"/>
        <v/>
      </c>
      <c r="BX18" s="10" t="str">
        <f t="shared" si="31"/>
        <v/>
      </c>
      <c r="BY18" s="10" t="str">
        <f t="shared" si="32"/>
        <v/>
      </c>
      <c r="BZ18" s="10" t="str">
        <f t="shared" si="33"/>
        <v/>
      </c>
      <c r="CA18" s="34" t="str">
        <f t="shared" si="34"/>
        <v/>
      </c>
      <c r="CB18" s="34" t="str">
        <f t="shared" si="35"/>
        <v/>
      </c>
      <c r="CC18" s="14"/>
      <c r="CD18" s="14"/>
      <c r="CE18" s="14"/>
      <c r="CF18" s="14"/>
      <c r="CG18" s="14"/>
      <c r="CH18" s="14"/>
      <c r="CI18" s="14"/>
      <c r="CJ18" s="14"/>
      <c r="CK18" s="14"/>
      <c r="CL18" s="14"/>
      <c r="CM18" s="14"/>
      <c r="CN18" s="14"/>
      <c r="CO18" s="14"/>
      <c r="CP18" s="14"/>
      <c r="CQ18" s="14"/>
      <c r="CR18" s="14"/>
      <c r="CS18" s="14"/>
      <c r="CT18" s="14"/>
      <c r="CU18" s="14"/>
      <c r="CV18" s="14"/>
      <c r="CW18" s="27" t="str">
        <f t="shared" si="36"/>
        <v/>
      </c>
      <c r="CX18" s="27" t="str">
        <f t="shared" si="37"/>
        <v/>
      </c>
      <c r="CY18" s="27" t="str">
        <f t="shared" si="38"/>
        <v/>
      </c>
      <c r="CZ18" s="27" t="str">
        <f t="shared" si="39"/>
        <v/>
      </c>
      <c r="DA18" s="27" t="str">
        <f t="shared" si="40"/>
        <v/>
      </c>
      <c r="DB18" s="27" t="str">
        <f t="shared" si="41"/>
        <v/>
      </c>
      <c r="DC18" s="27" t="str">
        <f t="shared" si="42"/>
        <v/>
      </c>
      <c r="DD18" s="27" t="str">
        <f t="shared" si="43"/>
        <v/>
      </c>
      <c r="DE18" s="27" t="str">
        <f t="shared" si="44"/>
        <v/>
      </c>
      <c r="DF18" s="27" t="str">
        <f t="shared" si="45"/>
        <v/>
      </c>
      <c r="DG18" s="27" t="str">
        <f t="shared" si="46"/>
        <v/>
      </c>
      <c r="DH18" s="27" t="str">
        <f t="shared" si="47"/>
        <v/>
      </c>
      <c r="DI18" s="27" t="str">
        <f t="shared" si="48"/>
        <v/>
      </c>
      <c r="DJ18" s="27" t="str">
        <f t="shared" si="49"/>
        <v/>
      </c>
      <c r="DK18" s="27" t="str">
        <f t="shared" si="50"/>
        <v/>
      </c>
      <c r="DL18" s="15"/>
      <c r="DM18" s="15"/>
      <c r="DN18" s="15"/>
      <c r="DO18" s="15"/>
      <c r="DP18" s="15"/>
      <c r="DQ18" s="15"/>
      <c r="DR18" s="15"/>
      <c r="DS18" s="15"/>
      <c r="DT18" s="15"/>
      <c r="DU18" s="15"/>
      <c r="DV18" s="15"/>
      <c r="DW18" s="15"/>
      <c r="DX18" s="15"/>
      <c r="DY18" s="15"/>
      <c r="DZ18" s="15"/>
      <c r="EA18" s="15"/>
      <c r="EB18" s="15"/>
      <c r="EC18" s="15"/>
      <c r="ED18" s="15"/>
      <c r="EE18" s="15"/>
      <c r="EF18" s="10" t="str">
        <f t="shared" si="51"/>
        <v/>
      </c>
      <c r="EG18" s="10" t="str">
        <f t="shared" si="52"/>
        <v/>
      </c>
      <c r="EH18" s="10" t="str">
        <f t="shared" si="53"/>
        <v/>
      </c>
      <c r="EI18" s="10" t="str">
        <f t="shared" si="54"/>
        <v/>
      </c>
      <c r="EJ18" s="10" t="str">
        <f t="shared" si="55"/>
        <v/>
      </c>
      <c r="EK18" s="10" t="str">
        <f t="shared" si="56"/>
        <v/>
      </c>
      <c r="EL18" s="10" t="str">
        <f t="shared" si="57"/>
        <v/>
      </c>
      <c r="EM18" s="10" t="str">
        <f t="shared" si="58"/>
        <v/>
      </c>
      <c r="EN18" s="10" t="str">
        <f t="shared" si="59"/>
        <v/>
      </c>
      <c r="EO18" s="10" t="str">
        <f t="shared" si="60"/>
        <v/>
      </c>
      <c r="EP18" s="10" t="str">
        <f t="shared" si="61"/>
        <v/>
      </c>
      <c r="EQ18" s="10" t="str">
        <f t="shared" si="62"/>
        <v/>
      </c>
      <c r="ER18" s="10" t="str">
        <f t="shared" si="63"/>
        <v/>
      </c>
      <c r="ES18" s="10" t="str">
        <f t="shared" si="64"/>
        <v/>
      </c>
      <c r="ET18" s="10" t="str">
        <f t="shared" si="65"/>
        <v/>
      </c>
    </row>
    <row r="19" spans="1:150" x14ac:dyDescent="0.2">
      <c r="A19" s="3" t="str" cm="1">
        <f t="array" ref="A19">IF(AND(H19&lt;&gt;"",H19&lt;&gt;"No DD",I19&lt;&gt;"P"),SUMPRODUCT((H$4:H$35&lt;&gt;"")*(H$4:H$35&lt;&gt;"No DD")*(I$4:I$35&lt;&gt;"P")*(E$4:E$35&gt;E19))+1,IF(H19="No DD",SUMPRODUCT((H$4:H$35="No DD")*(I$4:I$35&lt;&gt;"P")*(E$4:E$35&gt;E19))+1+SUMPRODUCT((H$4:H$35&lt;&gt;"")*(I$4:I$35&lt;&gt;"P")*(H$4:H$35&lt;&gt;"No DD")),""))</f>
        <v/>
      </c>
      <c r="B19" s="4" t="s">
        <v>124</v>
      </c>
      <c r="C19" s="3" t="s">
        <v>3</v>
      </c>
      <c r="D19" s="3">
        <v>2009</v>
      </c>
      <c r="E19" s="8">
        <f t="shared" si="0"/>
        <v>91.100007290004825</v>
      </c>
      <c r="F19" s="2" t="str">
        <f>IF(OR(AND(AO19&lt;&gt;"",AO19&gt;=AV$40,AN19&gt;=AV$37),AND(AU19&lt;&gt;"",AU19&gt;=AV$40,AT19&gt;=AV$37),AND(BS19&lt;&gt;"",BS19&gt;=BZ$40,BR19&gt;=BZ$37),AND(BY19&lt;&gt;"",BY19&gt;=BZ$40,BX19&gt;=BZ$37),AND(DB19&lt;&gt;"",DB19&gt;=DK$40,DA19&gt;=DK$37),AND(DJ19&lt;&gt;"",DJ19&gt;=DK$40,DI19&gt;=DK$37),AND(EK19&lt;&gt;"",EK19&gt;=ET$40,EJ19&gt;=ET$37),AND(ES19&lt;&gt;"",ES19&gt;=ET$40,ER19&gt;=ET$37)),"P","")</f>
        <v/>
      </c>
      <c r="G19" s="2" t="str">
        <f>IF(OR(AND(AO19&lt;&gt;"",AO19&gt;=AV$40),AND(AU19&lt;&gt;"",AU19&gt;=AV$40),AND(BS19&lt;&gt;"",BS19&gt;=BZ$40),AND(BY19&lt;&gt;"",BY19&gt;=BZ$40),AND(DB19&lt;&gt;"",DB19&gt;=DK$40),AND(DJ19&lt;&gt;"",DJ19&gt;=DK$40),AND(EK19&lt;&gt;"",EK19&gt;=ET$40),AND(ES19&lt;&gt;"",ES19&gt;=ET$40)),"P","")</f>
        <v/>
      </c>
      <c r="H19" s="26" t="str">
        <f>IF(AND(G19="P",F19=""),"No DD",IF(OR(AND(AK19&lt;&gt;"",AK19&gt;=AV$42,AJ19&gt;=AV$39),AND(AM19&lt;&gt;"",AM19&gt;=AV$42,AL19&gt;=AV$39),AND(AQ19&lt;&gt;"",AQ19&gt;=AV$42,AP19&gt;=AV$39),AND(AS19&lt;&gt;"",AS19&gt;=AV$42,AR19&gt;=AV$39),AND(BO19&lt;&gt;"",BO19&gt;=BZ$42,BN19&gt;=BZ$39),AND(BQ19&lt;&gt;"",BQ19&gt;=BZ$42,BP19&gt;=BZ$39),AND(BV19&lt;&gt;"",BV19&gt;=BZ$42,BU19&gt;=BZ$39),AND(BX19&lt;&gt;"",BX19&gt;=BZ$42,BW19&gt;=BZ$39),AND(CX19&lt;&gt;"",CX19&gt;=DK$42,CW19&gt;=DK$39),AND(CZ19&lt;&gt;"",CZ19&gt;=DK$42,CY19&gt;=DK$39),AND(DD19&lt;&gt;"",DD19&gt;=DK$42,DC19&gt;=DK$39),AND(DF19&lt;&gt;"",DF19&gt;=DK$42,DE19&gt;=DK$39),AND(DH19&lt;&gt;"",DH19&gt;=DK$42,DG19&gt;=DK$39),AND(EG19&lt;&gt;"",EG19&gt;=ET$42,EF19&gt;=ET$39),AND(EI19&lt;&gt;"",EI19&gt;=ET$42,EH19&gt;=ET$39),AND(EM19&lt;&gt;"",EM19&gt;=ET$42,EL19&gt;=ET$39),AND(EO19&lt;&gt;"",EO19&gt;=ET$42,EN19&gt;=ET$39),AND(EQ19&lt;&gt;"",EQ19&gt;=ET$42,EP19&gt;=ET$39)),"Performance",IF(I19="P","National Team",IF(F19="P","National Team",""))))</f>
        <v/>
      </c>
      <c r="I19" s="2" t="str">
        <f>IF(COUNTIFS('Senior-M'!B:B,B19,'Senior-M'!A:A,"&lt;9",'Senior-M'!H:H,"&lt;&gt;"&amp;"No DD"),"P","")</f>
        <v/>
      </c>
      <c r="J19" s="7">
        <f t="shared" si="1"/>
        <v>48.199999999999996</v>
      </c>
      <c r="K19" s="7" t="str">
        <f t="shared" si="2"/>
        <v>2026 Elite Canada</v>
      </c>
      <c r="L19" s="7">
        <f>IF(J19=AO19,IF(COUNT(AQ19,AS19,BO19,BQ19,BU19,BW19)&gt;1,LARGE((AQ19,AS19,BO19,BQ19,BU19,BW19),1),0),IF(COUNT(AK19,AM19,AQ19,AS19,BU19,BW19)&gt;1,LARGE((AK19,AM19,AQ19,AS19,BU19,BW19),1),0))</f>
        <v>24.700000000000003</v>
      </c>
      <c r="M19" s="7" t="str">
        <f t="shared" si="3"/>
        <v>2026 Elite Canada</v>
      </c>
      <c r="N19" s="7">
        <f>IF(J19=AO19,IF(COUNT(AQ19,AS19,BO19,BQ19,BU19,BW19)&gt;1,LARGE((AQ19,AS19,BO19,BQ19,BU19,BW19),2),0),IF(COUNT(AK19,AM19,AQ19,AS19,BU19,BW19)&gt;1,LARGE((AK19,AM19,AQ19,AS19,BU19,BW19),2),0))</f>
        <v>18.2</v>
      </c>
      <c r="O19" s="7" t="str">
        <f t="shared" si="4"/>
        <v>2026 Elite Canada</v>
      </c>
      <c r="P19" s="7" t="str">
        <f t="shared" si="5"/>
        <v/>
      </c>
      <c r="Q19" s="10" t="str">
        <f t="shared" si="6"/>
        <v/>
      </c>
      <c r="R19" s="7" t="str">
        <f t="shared" si="7"/>
        <v/>
      </c>
      <c r="S19" s="38">
        <v>18.399999999999999</v>
      </c>
      <c r="T19" s="38">
        <v>6.4</v>
      </c>
      <c r="U19" s="38">
        <v>0.2</v>
      </c>
      <c r="V19" s="38">
        <v>0</v>
      </c>
      <c r="W19" s="38">
        <v>18.399999999999999</v>
      </c>
      <c r="X19" s="38">
        <v>5.2</v>
      </c>
      <c r="Y19" s="38">
        <v>0</v>
      </c>
      <c r="Z19" s="38">
        <v>0</v>
      </c>
      <c r="AA19" s="38">
        <v>15</v>
      </c>
      <c r="AB19" s="38">
        <v>3.2</v>
      </c>
      <c r="AC19" s="38">
        <v>0</v>
      </c>
      <c r="AD19" s="38">
        <v>0</v>
      </c>
      <c r="AE19" s="38">
        <v>18.3</v>
      </c>
      <c r="AF19" s="38">
        <v>6.4</v>
      </c>
      <c r="AG19" s="38">
        <v>0</v>
      </c>
      <c r="AH19" s="38">
        <v>0</v>
      </c>
      <c r="AI19" s="19"/>
      <c r="AJ19" s="41">
        <f t="shared" si="8"/>
        <v>6.4</v>
      </c>
      <c r="AK19" s="41">
        <f t="shared" si="9"/>
        <v>24.599999999999998</v>
      </c>
      <c r="AL19" s="41">
        <f t="shared" si="10"/>
        <v>5.2</v>
      </c>
      <c r="AM19" s="41">
        <f t="shared" si="11"/>
        <v>23.599999999999998</v>
      </c>
      <c r="AN19" s="27">
        <f t="shared" si="12"/>
        <v>11.600000000000001</v>
      </c>
      <c r="AO19" s="27">
        <f t="shared" si="13"/>
        <v>48.199999999999996</v>
      </c>
      <c r="AP19" s="27">
        <f t="shared" si="14"/>
        <v>3.2</v>
      </c>
      <c r="AQ19" s="27">
        <f t="shared" si="15"/>
        <v>18.2</v>
      </c>
      <c r="AR19" s="27">
        <f t="shared" si="16"/>
        <v>6.4</v>
      </c>
      <c r="AS19" s="27">
        <f t="shared" si="17"/>
        <v>24.700000000000003</v>
      </c>
      <c r="AT19" s="27">
        <f t="shared" si="18"/>
        <v>9.6000000000000014</v>
      </c>
      <c r="AU19" s="27">
        <f t="shared" si="19"/>
        <v>42.900000000000006</v>
      </c>
      <c r="AV19" s="27">
        <f t="shared" si="20"/>
        <v>91.1</v>
      </c>
      <c r="AW19" s="15"/>
      <c r="AX19" s="15"/>
      <c r="AY19" s="15"/>
      <c r="AZ19" s="15"/>
      <c r="BA19" s="15"/>
      <c r="BB19" s="15"/>
      <c r="BC19" s="15"/>
      <c r="BD19" s="15"/>
      <c r="BE19" s="15"/>
      <c r="BF19" s="15"/>
      <c r="BG19" s="15"/>
      <c r="BH19" s="15"/>
      <c r="BI19" s="15"/>
      <c r="BJ19" s="15"/>
      <c r="BK19" s="15"/>
      <c r="BL19" s="15"/>
      <c r="BM19" s="20"/>
      <c r="BN19" s="42" t="str">
        <f t="shared" si="21"/>
        <v/>
      </c>
      <c r="BO19" s="42" t="str">
        <f t="shared" si="22"/>
        <v/>
      </c>
      <c r="BP19" s="42" t="str">
        <f t="shared" si="23"/>
        <v/>
      </c>
      <c r="BQ19" s="42" t="str">
        <f t="shared" si="24"/>
        <v/>
      </c>
      <c r="BR19" s="10" t="str">
        <f t="shared" si="25"/>
        <v/>
      </c>
      <c r="BS19" s="10" t="str">
        <f t="shared" si="26"/>
        <v/>
      </c>
      <c r="BT19" s="10" t="str">
        <f t="shared" si="27"/>
        <v/>
      </c>
      <c r="BU19" s="10" t="str">
        <f t="shared" si="28"/>
        <v/>
      </c>
      <c r="BV19" s="10" t="str">
        <f t="shared" si="29"/>
        <v/>
      </c>
      <c r="BW19" s="10" t="str">
        <f t="shared" si="30"/>
        <v/>
      </c>
      <c r="BX19" s="10" t="str">
        <f t="shared" si="31"/>
        <v/>
      </c>
      <c r="BY19" s="10" t="str">
        <f t="shared" si="32"/>
        <v/>
      </c>
      <c r="BZ19" s="10" t="str">
        <f t="shared" si="33"/>
        <v/>
      </c>
      <c r="CA19" s="34" t="str">
        <f t="shared" si="34"/>
        <v/>
      </c>
      <c r="CB19" s="34" t="str">
        <f t="shared" si="35"/>
        <v/>
      </c>
      <c r="CC19" s="14"/>
      <c r="CD19" s="14"/>
      <c r="CE19" s="14"/>
      <c r="CF19" s="14"/>
      <c r="CG19" s="14"/>
      <c r="CH19" s="14"/>
      <c r="CI19" s="14"/>
      <c r="CJ19" s="14"/>
      <c r="CK19" s="14"/>
      <c r="CL19" s="14"/>
      <c r="CM19" s="14"/>
      <c r="CN19" s="14"/>
      <c r="CO19" s="14"/>
      <c r="CP19" s="14"/>
      <c r="CQ19" s="14"/>
      <c r="CR19" s="14"/>
      <c r="CS19" s="14"/>
      <c r="CT19" s="14"/>
      <c r="CU19" s="14"/>
      <c r="CV19" s="14"/>
      <c r="CW19" s="27" t="str">
        <f t="shared" si="36"/>
        <v/>
      </c>
      <c r="CX19" s="27" t="str">
        <f t="shared" si="37"/>
        <v/>
      </c>
      <c r="CY19" s="27" t="str">
        <f t="shared" si="38"/>
        <v/>
      </c>
      <c r="CZ19" s="27" t="str">
        <f t="shared" si="39"/>
        <v/>
      </c>
      <c r="DA19" s="27" t="str">
        <f t="shared" si="40"/>
        <v/>
      </c>
      <c r="DB19" s="27" t="str">
        <f t="shared" si="41"/>
        <v/>
      </c>
      <c r="DC19" s="27" t="str">
        <f t="shared" si="42"/>
        <v/>
      </c>
      <c r="DD19" s="27" t="str">
        <f t="shared" si="43"/>
        <v/>
      </c>
      <c r="DE19" s="27" t="str">
        <f t="shared" si="44"/>
        <v/>
      </c>
      <c r="DF19" s="27" t="str">
        <f t="shared" si="45"/>
        <v/>
      </c>
      <c r="DG19" s="27" t="str">
        <f t="shared" si="46"/>
        <v/>
      </c>
      <c r="DH19" s="27" t="str">
        <f t="shared" si="47"/>
        <v/>
      </c>
      <c r="DI19" s="27" t="str">
        <f t="shared" si="48"/>
        <v/>
      </c>
      <c r="DJ19" s="27" t="str">
        <f t="shared" si="49"/>
        <v/>
      </c>
      <c r="DK19" s="27" t="str">
        <f t="shared" si="50"/>
        <v/>
      </c>
      <c r="DL19" s="15"/>
      <c r="DM19" s="15"/>
      <c r="DN19" s="15"/>
      <c r="DO19" s="15"/>
      <c r="DP19" s="15"/>
      <c r="DQ19" s="15"/>
      <c r="DR19" s="15"/>
      <c r="DS19" s="15"/>
      <c r="DT19" s="15"/>
      <c r="DU19" s="15"/>
      <c r="DV19" s="15"/>
      <c r="DW19" s="15"/>
      <c r="DX19" s="15"/>
      <c r="DY19" s="15"/>
      <c r="DZ19" s="15"/>
      <c r="EA19" s="15"/>
      <c r="EB19" s="15"/>
      <c r="EC19" s="15"/>
      <c r="ED19" s="15"/>
      <c r="EE19" s="15"/>
      <c r="EF19" s="10" t="str">
        <f t="shared" si="51"/>
        <v/>
      </c>
      <c r="EG19" s="10" t="str">
        <f t="shared" si="52"/>
        <v/>
      </c>
      <c r="EH19" s="10" t="str">
        <f t="shared" si="53"/>
        <v/>
      </c>
      <c r="EI19" s="10" t="str">
        <f t="shared" si="54"/>
        <v/>
      </c>
      <c r="EJ19" s="10" t="str">
        <f t="shared" si="55"/>
        <v/>
      </c>
      <c r="EK19" s="10" t="str">
        <f t="shared" si="56"/>
        <v/>
      </c>
      <c r="EL19" s="10" t="str">
        <f t="shared" si="57"/>
        <v/>
      </c>
      <c r="EM19" s="10" t="str">
        <f t="shared" si="58"/>
        <v/>
      </c>
      <c r="EN19" s="10" t="str">
        <f t="shared" si="59"/>
        <v/>
      </c>
      <c r="EO19" s="10" t="str">
        <f t="shared" si="60"/>
        <v/>
      </c>
      <c r="EP19" s="10" t="str">
        <f t="shared" si="61"/>
        <v/>
      </c>
      <c r="EQ19" s="10" t="str">
        <f t="shared" si="62"/>
        <v/>
      </c>
      <c r="ER19" s="10" t="str">
        <f t="shared" si="63"/>
        <v/>
      </c>
      <c r="ES19" s="10" t="str">
        <f t="shared" si="64"/>
        <v/>
      </c>
      <c r="ET19" s="10" t="str">
        <f t="shared" si="65"/>
        <v/>
      </c>
    </row>
    <row r="20" spans="1:150" x14ac:dyDescent="0.2">
      <c r="A20" s="3" t="str" cm="1">
        <f t="array" ref="A20">IF(AND(H20&lt;&gt;"",H20&lt;&gt;"No DD",I20&lt;&gt;"P"),SUMPRODUCT((H$4:H$35&lt;&gt;"")*(H$4:H$35&lt;&gt;"No DD")*(I$4:I$35&lt;&gt;"P")*(E$4:E$35&gt;E20))+1,IF(H20="No DD",SUMPRODUCT((H$4:H$35="No DD")*(I$4:I$35&lt;&gt;"P")*(E$4:E$35&gt;E20))+1+SUMPRODUCT((H$4:H$35&lt;&gt;"")*(I$4:I$35&lt;&gt;"P")*(H$4:H$35&lt;&gt;"No DD")),""))</f>
        <v/>
      </c>
      <c r="B20" s="4" t="s">
        <v>153</v>
      </c>
      <c r="C20" s="3" t="s">
        <v>5</v>
      </c>
      <c r="D20" s="3">
        <v>2009</v>
      </c>
      <c r="E20" s="8">
        <f t="shared" si="0"/>
        <v>90.100007230004991</v>
      </c>
      <c r="F20" s="2" t="str">
        <f>IF(OR(AND(AO20&lt;&gt;"",AO20&gt;=AV$40,AN20&gt;=AV$37),AND(AU20&lt;&gt;"",AU20&gt;=AV$40,AT20&gt;=AV$37),AND(BS20&lt;&gt;"",BS20&gt;=BZ$40,BR20&gt;=BZ$37),AND(BY20&lt;&gt;"",BY20&gt;=BZ$40,BX20&gt;=BZ$37),AND(DB20&lt;&gt;"",DB20&gt;=DK$40,DA20&gt;=DK$37),AND(DJ20&lt;&gt;"",DJ20&gt;=DK$40,DI20&gt;=DK$37),AND(EK20&lt;&gt;"",EK20&gt;=ET$40,EJ20&gt;=ET$37),AND(ES20&lt;&gt;"",ES20&gt;=ET$40,ER20&gt;=ET$37)),"P","")</f>
        <v/>
      </c>
      <c r="G20" s="2" t="str">
        <f>IF(OR(AND(AO20&lt;&gt;"",AO20&gt;=AV$40),AND(AU20&lt;&gt;"",AU20&gt;=AV$40),AND(BS20&lt;&gt;"",BS20&gt;=BZ$40),AND(BY20&lt;&gt;"",BY20&gt;=BZ$40),AND(DB20&lt;&gt;"",DB20&gt;=DK$40),AND(DJ20&lt;&gt;"",DJ20&gt;=DK$40),AND(EK20&lt;&gt;"",EK20&gt;=ET$40),AND(ES20&lt;&gt;"",ES20&gt;=ET$40)),"P","")</f>
        <v/>
      </c>
      <c r="H20" s="26" t="str">
        <f>IF(AND(G20="P",F20=""),"No DD",IF(OR(AND(AK20&lt;&gt;"",AK20&gt;=AV$42,AJ20&gt;=AV$39),AND(AM20&lt;&gt;"",AM20&gt;=AV$42,AL20&gt;=AV$39),AND(AQ20&lt;&gt;"",AQ20&gt;=AV$42,AP20&gt;=AV$39),AND(AS20&lt;&gt;"",AS20&gt;=AV$42,AR20&gt;=AV$39),AND(BO20&lt;&gt;"",BO20&gt;=BZ$42,BN20&gt;=BZ$39),AND(BQ20&lt;&gt;"",BQ20&gt;=BZ$42,BP20&gt;=BZ$39),AND(BV20&lt;&gt;"",BV20&gt;=BZ$42,BU20&gt;=BZ$39),AND(BX20&lt;&gt;"",BX20&gt;=BZ$42,BW20&gt;=BZ$39),AND(CX20&lt;&gt;"",CX20&gt;=DK$42,CW20&gt;=DK$39),AND(CZ20&lt;&gt;"",CZ20&gt;=DK$42,CY20&gt;=DK$39),AND(DD20&lt;&gt;"",DD20&gt;=DK$42,DC20&gt;=DK$39),AND(DF20&lt;&gt;"",DF20&gt;=DK$42,DE20&gt;=DK$39),AND(DH20&lt;&gt;"",DH20&gt;=DK$42,DG20&gt;=DK$39),AND(EG20&lt;&gt;"",EG20&gt;=ET$42,EF20&gt;=ET$39),AND(EI20&lt;&gt;"",EI20&gt;=ET$42,EH20&gt;=ET$39),AND(EM20&lt;&gt;"",EM20&gt;=ET$42,EL20&gt;=ET$39),AND(EO20&lt;&gt;"",EO20&gt;=ET$42,EN20&gt;=ET$39),AND(EQ20&lt;&gt;"",EQ20&gt;=ET$42,EP20&gt;=ET$39)),"Performance",IF(I20="P","National Team",IF(F20="P","National Team",""))))</f>
        <v/>
      </c>
      <c r="I20" s="2" t="str">
        <f>IF(COUNTIFS('Senior-M'!B:B,B20,'Senior-M'!A:A,"&lt;9",'Senior-M'!H:H,"&lt;&gt;"&amp;"No DD"),"P","")</f>
        <v/>
      </c>
      <c r="J20" s="7">
        <f t="shared" si="1"/>
        <v>50</v>
      </c>
      <c r="K20" s="7" t="str">
        <f t="shared" si="2"/>
        <v>2026 Elite Canada</v>
      </c>
      <c r="L20" s="7">
        <f>IF(J20=AO20,IF(COUNT(AQ20,AS20,BO20,BQ20,BU20,BW20)&gt;1,LARGE((AQ20,AS20,BO20,BQ20,BU20,BW20),1),0),IF(COUNT(AK20,AM20,AQ20,AS20,BU20,BW20)&gt;1,LARGE((AK20,AM20,AQ20,AS20,BU20,BW20),1),0))</f>
        <v>22.299999999999997</v>
      </c>
      <c r="M20" s="7" t="str">
        <f t="shared" si="3"/>
        <v>2026 Elite Canada</v>
      </c>
      <c r="N20" s="7">
        <f>IF(J20=AO20,IF(COUNT(AQ20,AS20,BO20,BQ20,BU20,BW20)&gt;1,LARGE((AQ20,AS20,BO20,BQ20,BU20,BW20),2),0),IF(COUNT(AK20,AM20,AQ20,AS20,BU20,BW20)&gt;1,LARGE((AK20,AM20,AQ20,AS20,BU20,BW20),2),0))</f>
        <v>17.8</v>
      </c>
      <c r="O20" s="7" t="str">
        <f t="shared" si="4"/>
        <v>2026 Elite Canada</v>
      </c>
      <c r="P20" s="7" t="str">
        <f t="shared" si="5"/>
        <v/>
      </c>
      <c r="Q20" s="10" t="str">
        <f t="shared" si="6"/>
        <v/>
      </c>
      <c r="R20" s="7" t="str">
        <f t="shared" si="7"/>
        <v/>
      </c>
      <c r="S20" s="38">
        <v>18.600000000000001</v>
      </c>
      <c r="T20" s="38">
        <v>6.8</v>
      </c>
      <c r="U20" s="38">
        <v>0.2</v>
      </c>
      <c r="V20" s="38">
        <v>0</v>
      </c>
      <c r="W20" s="38">
        <v>18.399999999999999</v>
      </c>
      <c r="X20" s="38">
        <v>6.4</v>
      </c>
      <c r="Y20" s="38">
        <v>0</v>
      </c>
      <c r="Z20" s="38">
        <v>0</v>
      </c>
      <c r="AA20" s="38">
        <v>15.4</v>
      </c>
      <c r="AB20" s="38">
        <v>2.4</v>
      </c>
      <c r="AC20" s="38">
        <v>0</v>
      </c>
      <c r="AD20" s="38">
        <v>0</v>
      </c>
      <c r="AE20" s="38">
        <v>16.5</v>
      </c>
      <c r="AF20" s="38">
        <v>6.4</v>
      </c>
      <c r="AG20" s="38">
        <v>0.6</v>
      </c>
      <c r="AH20" s="38">
        <v>0</v>
      </c>
      <c r="AI20" s="19"/>
      <c r="AJ20" s="41">
        <f t="shared" si="8"/>
        <v>6.8</v>
      </c>
      <c r="AK20" s="41">
        <f t="shared" si="9"/>
        <v>25.200000000000003</v>
      </c>
      <c r="AL20" s="41">
        <f t="shared" si="10"/>
        <v>6.4</v>
      </c>
      <c r="AM20" s="41">
        <f t="shared" si="11"/>
        <v>24.799999999999997</v>
      </c>
      <c r="AN20" s="27">
        <f t="shared" si="12"/>
        <v>13.2</v>
      </c>
      <c r="AO20" s="27">
        <f t="shared" si="13"/>
        <v>50</v>
      </c>
      <c r="AP20" s="27">
        <f t="shared" si="14"/>
        <v>2.4</v>
      </c>
      <c r="AQ20" s="27">
        <f t="shared" si="15"/>
        <v>17.8</v>
      </c>
      <c r="AR20" s="27">
        <f t="shared" si="16"/>
        <v>6.4</v>
      </c>
      <c r="AS20" s="27">
        <f t="shared" si="17"/>
        <v>22.299999999999997</v>
      </c>
      <c r="AT20" s="27">
        <f t="shared" si="18"/>
        <v>8.8000000000000007</v>
      </c>
      <c r="AU20" s="27">
        <f t="shared" si="19"/>
        <v>40.099999999999994</v>
      </c>
      <c r="AV20" s="27">
        <f t="shared" si="20"/>
        <v>90.1</v>
      </c>
      <c r="AW20" s="15"/>
      <c r="AX20" s="15"/>
      <c r="AY20" s="15"/>
      <c r="AZ20" s="15"/>
      <c r="BA20" s="15"/>
      <c r="BB20" s="15"/>
      <c r="BC20" s="15"/>
      <c r="BD20" s="15"/>
      <c r="BE20" s="15"/>
      <c r="BF20" s="15"/>
      <c r="BG20" s="15"/>
      <c r="BH20" s="15"/>
      <c r="BI20" s="15"/>
      <c r="BJ20" s="15"/>
      <c r="BK20" s="15"/>
      <c r="BL20" s="15"/>
      <c r="BM20" s="20"/>
      <c r="BN20" s="42" t="str">
        <f t="shared" si="21"/>
        <v/>
      </c>
      <c r="BO20" s="42" t="str">
        <f t="shared" si="22"/>
        <v/>
      </c>
      <c r="BP20" s="42" t="str">
        <f t="shared" si="23"/>
        <v/>
      </c>
      <c r="BQ20" s="42" t="str">
        <f t="shared" si="24"/>
        <v/>
      </c>
      <c r="BR20" s="10" t="str">
        <f t="shared" si="25"/>
        <v/>
      </c>
      <c r="BS20" s="10" t="str">
        <f t="shared" si="26"/>
        <v/>
      </c>
      <c r="BT20" s="10" t="str">
        <f t="shared" si="27"/>
        <v/>
      </c>
      <c r="BU20" s="10" t="str">
        <f t="shared" si="28"/>
        <v/>
      </c>
      <c r="BV20" s="10" t="str">
        <f t="shared" si="29"/>
        <v/>
      </c>
      <c r="BW20" s="10" t="str">
        <f t="shared" si="30"/>
        <v/>
      </c>
      <c r="BX20" s="10" t="str">
        <f t="shared" si="31"/>
        <v/>
      </c>
      <c r="BY20" s="10" t="str">
        <f t="shared" si="32"/>
        <v/>
      </c>
      <c r="BZ20" s="10" t="str">
        <f t="shared" si="33"/>
        <v/>
      </c>
      <c r="CA20" s="34" t="str">
        <f t="shared" si="34"/>
        <v/>
      </c>
      <c r="CB20" s="34" t="str">
        <f t="shared" si="35"/>
        <v/>
      </c>
      <c r="CC20" s="14"/>
      <c r="CD20" s="14"/>
      <c r="CE20" s="14"/>
      <c r="CF20" s="14"/>
      <c r="CG20" s="14"/>
      <c r="CH20" s="14"/>
      <c r="CI20" s="14"/>
      <c r="CJ20" s="14"/>
      <c r="CK20" s="14"/>
      <c r="CL20" s="14"/>
      <c r="CM20" s="14"/>
      <c r="CN20" s="14"/>
      <c r="CO20" s="14"/>
      <c r="CP20" s="14"/>
      <c r="CQ20" s="14"/>
      <c r="CR20" s="14"/>
      <c r="CS20" s="14"/>
      <c r="CT20" s="14"/>
      <c r="CU20" s="14"/>
      <c r="CV20" s="14"/>
      <c r="CW20" s="27" t="str">
        <f t="shared" si="36"/>
        <v/>
      </c>
      <c r="CX20" s="27" t="str">
        <f t="shared" si="37"/>
        <v/>
      </c>
      <c r="CY20" s="27" t="str">
        <f t="shared" si="38"/>
        <v/>
      </c>
      <c r="CZ20" s="27" t="str">
        <f t="shared" si="39"/>
        <v/>
      </c>
      <c r="DA20" s="27" t="str">
        <f t="shared" si="40"/>
        <v/>
      </c>
      <c r="DB20" s="27" t="str">
        <f t="shared" si="41"/>
        <v/>
      </c>
      <c r="DC20" s="27" t="str">
        <f t="shared" si="42"/>
        <v/>
      </c>
      <c r="DD20" s="27" t="str">
        <f t="shared" si="43"/>
        <v/>
      </c>
      <c r="DE20" s="27" t="str">
        <f t="shared" si="44"/>
        <v/>
      </c>
      <c r="DF20" s="27" t="str">
        <f t="shared" si="45"/>
        <v/>
      </c>
      <c r="DG20" s="27" t="str">
        <f t="shared" si="46"/>
        <v/>
      </c>
      <c r="DH20" s="27" t="str">
        <f t="shared" si="47"/>
        <v/>
      </c>
      <c r="DI20" s="27" t="str">
        <f t="shared" si="48"/>
        <v/>
      </c>
      <c r="DJ20" s="27" t="str">
        <f t="shared" si="49"/>
        <v/>
      </c>
      <c r="DK20" s="27" t="str">
        <f t="shared" si="50"/>
        <v/>
      </c>
      <c r="DL20" s="15"/>
      <c r="DM20" s="15"/>
      <c r="DN20" s="15"/>
      <c r="DO20" s="15"/>
      <c r="DP20" s="15"/>
      <c r="DQ20" s="15"/>
      <c r="DR20" s="15"/>
      <c r="DS20" s="15"/>
      <c r="DT20" s="15"/>
      <c r="DU20" s="15"/>
      <c r="DV20" s="15"/>
      <c r="DW20" s="15"/>
      <c r="DX20" s="15"/>
      <c r="DY20" s="15"/>
      <c r="DZ20" s="15"/>
      <c r="EA20" s="15"/>
      <c r="EB20" s="15"/>
      <c r="EC20" s="15"/>
      <c r="ED20" s="15"/>
      <c r="EE20" s="15"/>
      <c r="EF20" s="10" t="str">
        <f t="shared" si="51"/>
        <v/>
      </c>
      <c r="EG20" s="10" t="str">
        <f t="shared" si="52"/>
        <v/>
      </c>
      <c r="EH20" s="10" t="str">
        <f t="shared" si="53"/>
        <v/>
      </c>
      <c r="EI20" s="10" t="str">
        <f t="shared" si="54"/>
        <v/>
      </c>
      <c r="EJ20" s="10" t="str">
        <f t="shared" si="55"/>
        <v/>
      </c>
      <c r="EK20" s="10" t="str">
        <f t="shared" si="56"/>
        <v/>
      </c>
      <c r="EL20" s="10" t="str">
        <f t="shared" si="57"/>
        <v/>
      </c>
      <c r="EM20" s="10" t="str">
        <f t="shared" si="58"/>
        <v/>
      </c>
      <c r="EN20" s="10" t="str">
        <f t="shared" si="59"/>
        <v/>
      </c>
      <c r="EO20" s="10" t="str">
        <f t="shared" si="60"/>
        <v/>
      </c>
      <c r="EP20" s="10" t="str">
        <f t="shared" si="61"/>
        <v/>
      </c>
      <c r="EQ20" s="10" t="str">
        <f t="shared" si="62"/>
        <v/>
      </c>
      <c r="ER20" s="10" t="str">
        <f t="shared" si="63"/>
        <v/>
      </c>
      <c r="ES20" s="10" t="str">
        <f t="shared" si="64"/>
        <v/>
      </c>
      <c r="ET20" s="10" t="str">
        <f t="shared" si="65"/>
        <v/>
      </c>
    </row>
    <row r="21" spans="1:150" x14ac:dyDescent="0.2">
      <c r="A21" s="3" t="str" cm="1">
        <f t="array" ref="A21">IF(AND(H21&lt;&gt;"",H21&lt;&gt;"No DD",I21&lt;&gt;"P"),SUMPRODUCT((H$4:H$35&lt;&gt;"")*(H$4:H$35&lt;&gt;"No DD")*(I$4:I$35&lt;&gt;"P")*(E$4:E$35&gt;E21))+1,IF(H21="No DD",SUMPRODUCT((H$4:H$35="No DD")*(I$4:I$35&lt;&gt;"P")*(E$4:E$35&gt;E21))+1+SUMPRODUCT((H$4:H$35&lt;&gt;"")*(I$4:I$35&lt;&gt;"P")*(H$4:H$35&lt;&gt;"No DD")),""))</f>
        <v/>
      </c>
      <c r="B21" s="4" t="s">
        <v>118</v>
      </c>
      <c r="C21" s="3" t="s">
        <v>4</v>
      </c>
      <c r="D21" s="3">
        <v>2008</v>
      </c>
      <c r="E21" s="8">
        <f t="shared" si="0"/>
        <v>75.20000752000503</v>
      </c>
      <c r="F21" s="2" t="str">
        <f>IF(OR(AND(AO21&lt;&gt;"",AO21&gt;=AV$40,AN21&gt;=AV$37),AND(AU21&lt;&gt;"",AU21&gt;=AV$40,AT21&gt;=AV$37),AND(BS21&lt;&gt;"",BS21&gt;=BZ$40,BR21&gt;=BZ$37),AND(BY21&lt;&gt;"",BY21&gt;=BZ$40,BX21&gt;=BZ$37),AND(DB21&lt;&gt;"",DB21&gt;=DK$40,DA21&gt;=DK$37),AND(DJ21&lt;&gt;"",DJ21&gt;=DK$40,DI21&gt;=DK$37),AND(EK21&lt;&gt;"",EK21&gt;=ET$40,EJ21&gt;=ET$37),AND(ES21&lt;&gt;"",ES21&gt;=ET$40,ER21&gt;=ET$37)),"P","")</f>
        <v/>
      </c>
      <c r="G21" s="2" t="str">
        <f>IF(OR(AND(AO21&lt;&gt;"",AO21&gt;=AV$40),AND(AU21&lt;&gt;"",AU21&gt;=AV$40),AND(BS21&lt;&gt;"",BS21&gt;=BZ$40),AND(BY21&lt;&gt;"",BY21&gt;=BZ$40),AND(DB21&lt;&gt;"",DB21&gt;=DK$40),AND(DJ21&lt;&gt;"",DJ21&gt;=DK$40),AND(EK21&lt;&gt;"",EK21&gt;=ET$40),AND(ES21&lt;&gt;"",ES21&gt;=ET$40)),"P","")</f>
        <v/>
      </c>
      <c r="H21" s="26" t="str">
        <f>IF(AND(G21="P",F21=""),"No DD",IF(OR(AND(AK21&lt;&gt;"",AK21&gt;=AV$42,AJ21&gt;=AV$39),AND(AM21&lt;&gt;"",AM21&gt;=AV$42,AL21&gt;=AV$39),AND(AQ21&lt;&gt;"",AQ21&gt;=AV$42,AP21&gt;=AV$39),AND(AS21&lt;&gt;"",AS21&gt;=AV$42,AR21&gt;=AV$39),AND(BO21&lt;&gt;"",BO21&gt;=BZ$42,BN21&gt;=BZ$39),AND(BQ21&lt;&gt;"",BQ21&gt;=BZ$42,BP21&gt;=BZ$39),AND(BV21&lt;&gt;"",BV21&gt;=BZ$42,BU21&gt;=BZ$39),AND(BX21&lt;&gt;"",BX21&gt;=BZ$42,BW21&gt;=BZ$39),AND(CX21&lt;&gt;"",CX21&gt;=DK$42,CW21&gt;=DK$39),AND(CZ21&lt;&gt;"",CZ21&gt;=DK$42,CY21&gt;=DK$39),AND(DD21&lt;&gt;"",DD21&gt;=DK$42,DC21&gt;=DK$39),AND(DF21&lt;&gt;"",DF21&gt;=DK$42,DE21&gt;=DK$39),AND(DH21&lt;&gt;"",DH21&gt;=DK$42,DG21&gt;=DK$39),AND(EG21&lt;&gt;"",EG21&gt;=ET$42,EF21&gt;=ET$39),AND(EI21&lt;&gt;"",EI21&gt;=ET$42,EH21&gt;=ET$39),AND(EM21&lt;&gt;"",EM21&gt;=ET$42,EL21&gt;=ET$39),AND(EO21&lt;&gt;"",EO21&gt;=ET$42,EN21&gt;=ET$39),AND(EQ21&lt;&gt;"",EQ21&gt;=ET$42,EP21&gt;=ET$39)),"Performance",IF(I21="P","National Team",IF(F21="P","National Team",""))))</f>
        <v/>
      </c>
      <c r="I21" s="2" t="str">
        <f>IF(COUNTIFS('Senior-M'!B:B,B21,'Senior-M'!A:A,"&lt;9",'Senior-M'!H:H,"&lt;&gt;"&amp;"No DD"),"P","")</f>
        <v/>
      </c>
      <c r="J21" s="7">
        <f t="shared" si="1"/>
        <v>50.4</v>
      </c>
      <c r="K21" s="7" t="str">
        <f t="shared" si="2"/>
        <v>2026 Elite Canada</v>
      </c>
      <c r="L21" s="7">
        <f>IF(J21=AO21,IF(COUNT(AQ21,AS21,BO21,BQ21,BU21,BW21)&gt;1,LARGE((AQ21,AS21,BO21,BQ21,BU21,BW21),1),0),IF(COUNT(AK21,AM21,AQ21,AS21,BU21,BW21)&gt;1,LARGE((AK21,AM21,AQ21,AS21,BU21,BW21),1),0))</f>
        <v>24.799999999999997</v>
      </c>
      <c r="M21" s="7" t="str">
        <f t="shared" si="3"/>
        <v>2026 Elite Canada</v>
      </c>
      <c r="N21" s="7">
        <f>IF(J21=AO21,IF(COUNT(AQ21,AS21,BO21,BQ21,BU21,BW21)&gt;1,LARGE((AQ21,AS21,BO21,BQ21,BU21,BW21),2),0),IF(COUNT(AK21,AM21,AQ21,AS21,BU21,BW21)&gt;1,LARGE((AK21,AM21,AQ21,AS21,BU21,BW21),2),0))</f>
        <v>0</v>
      </c>
      <c r="O21" s="7" t="str">
        <f t="shared" si="4"/>
        <v/>
      </c>
      <c r="P21" s="7" t="str">
        <f t="shared" si="5"/>
        <v/>
      </c>
      <c r="Q21" s="10" t="str">
        <f t="shared" si="6"/>
        <v/>
      </c>
      <c r="R21" s="7" t="str">
        <f t="shared" si="7"/>
        <v/>
      </c>
      <c r="S21" s="38">
        <v>18.2</v>
      </c>
      <c r="T21" s="38">
        <v>7.3</v>
      </c>
      <c r="U21" s="38">
        <v>0</v>
      </c>
      <c r="V21" s="38">
        <v>0</v>
      </c>
      <c r="W21" s="38">
        <v>18.7</v>
      </c>
      <c r="X21" s="38">
        <v>6.8</v>
      </c>
      <c r="Y21" s="38">
        <v>0.6</v>
      </c>
      <c r="Z21" s="38">
        <v>0</v>
      </c>
      <c r="AA21" s="38">
        <v>0</v>
      </c>
      <c r="AB21" s="38">
        <v>0</v>
      </c>
      <c r="AC21" s="38">
        <v>0</v>
      </c>
      <c r="AD21" s="38">
        <v>0</v>
      </c>
      <c r="AE21" s="38">
        <v>18.2</v>
      </c>
      <c r="AF21" s="38">
        <v>7.2</v>
      </c>
      <c r="AG21" s="38">
        <v>0.6</v>
      </c>
      <c r="AH21" s="38">
        <v>0</v>
      </c>
      <c r="AI21" s="19"/>
      <c r="AJ21" s="41">
        <f t="shared" si="8"/>
        <v>7.3</v>
      </c>
      <c r="AK21" s="41">
        <f t="shared" si="9"/>
        <v>25.5</v>
      </c>
      <c r="AL21" s="41">
        <f t="shared" si="10"/>
        <v>6.8</v>
      </c>
      <c r="AM21" s="41">
        <f t="shared" si="11"/>
        <v>24.9</v>
      </c>
      <c r="AN21" s="27">
        <f t="shared" si="12"/>
        <v>14.1</v>
      </c>
      <c r="AO21" s="27">
        <f t="shared" si="13"/>
        <v>50.4</v>
      </c>
      <c r="AP21" s="27">
        <f t="shared" si="14"/>
        <v>0</v>
      </c>
      <c r="AQ21" s="27">
        <f t="shared" si="15"/>
        <v>0</v>
      </c>
      <c r="AR21" s="27">
        <f t="shared" si="16"/>
        <v>7.2</v>
      </c>
      <c r="AS21" s="27">
        <f t="shared" si="17"/>
        <v>24.799999999999997</v>
      </c>
      <c r="AT21" s="27">
        <f t="shared" si="18"/>
        <v>7.2</v>
      </c>
      <c r="AU21" s="27">
        <f t="shared" si="19"/>
        <v>24.799999999999997</v>
      </c>
      <c r="AV21" s="27">
        <f t="shared" si="20"/>
        <v>75.199999999999989</v>
      </c>
      <c r="AW21" s="15"/>
      <c r="AX21" s="15"/>
      <c r="AY21" s="15"/>
      <c r="AZ21" s="15"/>
      <c r="BA21" s="15"/>
      <c r="BB21" s="15"/>
      <c r="BC21" s="15"/>
      <c r="BD21" s="15"/>
      <c r="BE21" s="15"/>
      <c r="BF21" s="15"/>
      <c r="BG21" s="15"/>
      <c r="BH21" s="15"/>
      <c r="BI21" s="15"/>
      <c r="BJ21" s="15"/>
      <c r="BK21" s="15"/>
      <c r="BL21" s="15"/>
      <c r="BM21" s="20"/>
      <c r="BN21" s="42" t="str">
        <f t="shared" si="21"/>
        <v/>
      </c>
      <c r="BO21" s="42" t="str">
        <f t="shared" si="22"/>
        <v/>
      </c>
      <c r="BP21" s="42" t="str">
        <f t="shared" si="23"/>
        <v/>
      </c>
      <c r="BQ21" s="42" t="str">
        <f t="shared" si="24"/>
        <v/>
      </c>
      <c r="BR21" s="10" t="str">
        <f t="shared" si="25"/>
        <v/>
      </c>
      <c r="BS21" s="10" t="str">
        <f t="shared" si="26"/>
        <v/>
      </c>
      <c r="BT21" s="10" t="str">
        <f t="shared" si="27"/>
        <v/>
      </c>
      <c r="BU21" s="10" t="str">
        <f t="shared" si="28"/>
        <v/>
      </c>
      <c r="BV21" s="10" t="str">
        <f t="shared" si="29"/>
        <v/>
      </c>
      <c r="BW21" s="10" t="str">
        <f t="shared" si="30"/>
        <v/>
      </c>
      <c r="BX21" s="10" t="str">
        <f t="shared" si="31"/>
        <v/>
      </c>
      <c r="BY21" s="10" t="str">
        <f t="shared" si="32"/>
        <v/>
      </c>
      <c r="BZ21" s="10" t="str">
        <f t="shared" si="33"/>
        <v/>
      </c>
      <c r="CA21" s="34" t="str">
        <f t="shared" si="34"/>
        <v/>
      </c>
      <c r="CB21" s="34" t="str">
        <f t="shared" si="35"/>
        <v/>
      </c>
      <c r="CC21" s="14"/>
      <c r="CD21" s="14"/>
      <c r="CE21" s="14"/>
      <c r="CF21" s="14"/>
      <c r="CG21" s="14"/>
      <c r="CH21" s="14"/>
      <c r="CI21" s="14"/>
      <c r="CJ21" s="14"/>
      <c r="CK21" s="14"/>
      <c r="CL21" s="14"/>
      <c r="CM21" s="14"/>
      <c r="CN21" s="14"/>
      <c r="CO21" s="14"/>
      <c r="CP21" s="14"/>
      <c r="CQ21" s="14"/>
      <c r="CR21" s="14"/>
      <c r="CS21" s="14"/>
      <c r="CT21" s="14"/>
      <c r="CU21" s="14"/>
      <c r="CV21" s="14"/>
      <c r="CW21" s="27" t="str">
        <f t="shared" si="36"/>
        <v/>
      </c>
      <c r="CX21" s="27" t="str">
        <f t="shared" si="37"/>
        <v/>
      </c>
      <c r="CY21" s="27" t="str">
        <f t="shared" si="38"/>
        <v/>
      </c>
      <c r="CZ21" s="27" t="str">
        <f t="shared" si="39"/>
        <v/>
      </c>
      <c r="DA21" s="27" t="str">
        <f t="shared" si="40"/>
        <v/>
      </c>
      <c r="DB21" s="27" t="str">
        <f t="shared" si="41"/>
        <v/>
      </c>
      <c r="DC21" s="27" t="str">
        <f t="shared" si="42"/>
        <v/>
      </c>
      <c r="DD21" s="27" t="str">
        <f t="shared" si="43"/>
        <v/>
      </c>
      <c r="DE21" s="27" t="str">
        <f t="shared" si="44"/>
        <v/>
      </c>
      <c r="DF21" s="27" t="str">
        <f t="shared" si="45"/>
        <v/>
      </c>
      <c r="DG21" s="27" t="str">
        <f t="shared" si="46"/>
        <v/>
      </c>
      <c r="DH21" s="27" t="str">
        <f t="shared" si="47"/>
        <v/>
      </c>
      <c r="DI21" s="27" t="str">
        <f t="shared" si="48"/>
        <v/>
      </c>
      <c r="DJ21" s="27" t="str">
        <f t="shared" si="49"/>
        <v/>
      </c>
      <c r="DK21" s="27" t="str">
        <f t="shared" si="50"/>
        <v/>
      </c>
      <c r="DL21" s="15"/>
      <c r="DM21" s="15"/>
      <c r="DN21" s="15"/>
      <c r="DO21" s="15"/>
      <c r="DP21" s="15"/>
      <c r="DQ21" s="15"/>
      <c r="DR21" s="15"/>
      <c r="DS21" s="15"/>
      <c r="DT21" s="15"/>
      <c r="DU21" s="15"/>
      <c r="DV21" s="15"/>
      <c r="DW21" s="15"/>
      <c r="DX21" s="15"/>
      <c r="DY21" s="15"/>
      <c r="DZ21" s="15"/>
      <c r="EA21" s="15"/>
      <c r="EB21" s="15"/>
      <c r="EC21" s="15"/>
      <c r="ED21" s="15"/>
      <c r="EE21" s="15"/>
      <c r="EF21" s="10" t="str">
        <f t="shared" si="51"/>
        <v/>
      </c>
      <c r="EG21" s="10" t="str">
        <f t="shared" si="52"/>
        <v/>
      </c>
      <c r="EH21" s="10" t="str">
        <f t="shared" si="53"/>
        <v/>
      </c>
      <c r="EI21" s="10" t="str">
        <f t="shared" si="54"/>
        <v/>
      </c>
      <c r="EJ21" s="10" t="str">
        <f t="shared" si="55"/>
        <v/>
      </c>
      <c r="EK21" s="10" t="str">
        <f t="shared" si="56"/>
        <v/>
      </c>
      <c r="EL21" s="10" t="str">
        <f t="shared" si="57"/>
        <v/>
      </c>
      <c r="EM21" s="10" t="str">
        <f t="shared" si="58"/>
        <v/>
      </c>
      <c r="EN21" s="10" t="str">
        <f t="shared" si="59"/>
        <v/>
      </c>
      <c r="EO21" s="10" t="str">
        <f t="shared" si="60"/>
        <v/>
      </c>
      <c r="EP21" s="10" t="str">
        <f t="shared" si="61"/>
        <v/>
      </c>
      <c r="EQ21" s="10" t="str">
        <f t="shared" si="62"/>
        <v/>
      </c>
      <c r="ER21" s="10" t="str">
        <f t="shared" si="63"/>
        <v/>
      </c>
      <c r="ES21" s="10" t="str">
        <f t="shared" si="64"/>
        <v/>
      </c>
      <c r="ET21" s="10" t="str">
        <f t="shared" si="65"/>
        <v/>
      </c>
    </row>
    <row r="22" spans="1:150" x14ac:dyDescent="0.2">
      <c r="A22" s="3" t="str" cm="1">
        <f t="array" ref="A22">IF(AND(H22&lt;&gt;"",H22&lt;&gt;"No DD",I22&lt;&gt;"P"),SUMPRODUCT((H$4:H$35&lt;&gt;"")*(H$4:H$35&lt;&gt;"No DD")*(I$4:I$35&lt;&gt;"P")*(E$4:E$35&gt;E22))+1,IF(H22="No DD",SUMPRODUCT((H$4:H$35="No DD")*(I$4:I$35&lt;&gt;"P")*(E$4:E$35&gt;E22))+1+SUMPRODUCT((H$4:H$35&lt;&gt;"")*(I$4:I$35&lt;&gt;"P")*(H$4:H$35&lt;&gt;"No DD")),""))</f>
        <v/>
      </c>
      <c r="B22" s="4" t="s">
        <v>43</v>
      </c>
      <c r="C22" s="3" t="s">
        <v>5</v>
      </c>
      <c r="D22" s="3">
        <v>2005</v>
      </c>
      <c r="E22" s="8">
        <f t="shared" si="0"/>
        <v>74.300004830004823</v>
      </c>
      <c r="F22" s="2" t="str">
        <f>IF(OR(AND(AO22&lt;&gt;"",AO22&gt;=AV$40,AN22&gt;=AV$37),AND(AU22&lt;&gt;"",AU22&gt;=AV$40,AT22&gt;=AV$37),AND(BS22&lt;&gt;"",BS22&gt;=BZ$40,BR22&gt;=BZ$37),AND(BY22&lt;&gt;"",BY22&gt;=BZ$40,BX22&gt;=BZ$37),AND(DB22&lt;&gt;"",DB22&gt;=DK$40,DA22&gt;=DK$37),AND(DJ22&lt;&gt;"",DJ22&gt;=DK$40,DI22&gt;=DK$37),AND(EK22&lt;&gt;"",EK22&gt;=ET$40,EJ22&gt;=ET$37),AND(ES22&lt;&gt;"",ES22&gt;=ET$40,ER22&gt;=ET$37)),"P","")</f>
        <v/>
      </c>
      <c r="G22" s="2" t="str">
        <f>IF(OR(AND(AO22&lt;&gt;"",AO22&gt;=AV$40),AND(AU22&lt;&gt;"",AU22&gt;=AV$40),AND(BS22&lt;&gt;"",BS22&gt;=BZ$40),AND(BY22&lt;&gt;"",BY22&gt;=BZ$40),AND(DB22&lt;&gt;"",DB22&gt;=DK$40),AND(DJ22&lt;&gt;"",DJ22&gt;=DK$40),AND(EK22&lt;&gt;"",EK22&gt;=ET$40),AND(ES22&lt;&gt;"",ES22&gt;=ET$40)),"P","")</f>
        <v/>
      </c>
      <c r="H22" s="26" t="str">
        <f>IF(AND(G22="P",F22=""),"No DD",IF(OR(AND(AK22&lt;&gt;"",AK22&gt;=AV$42,AJ22&gt;=AV$39),AND(AM22&lt;&gt;"",AM22&gt;=AV$42,AL22&gt;=AV$39),AND(AQ22&lt;&gt;"",AQ22&gt;=AV$42,AP22&gt;=AV$39),AND(AS22&lt;&gt;"",AS22&gt;=AV$42,AR22&gt;=AV$39),AND(BO22&lt;&gt;"",BO22&gt;=BZ$42,BN22&gt;=BZ$39),AND(BQ22&lt;&gt;"",BQ22&gt;=BZ$42,BP22&gt;=BZ$39),AND(BV22&lt;&gt;"",BV22&gt;=BZ$42,BU22&gt;=BZ$39),AND(BX22&lt;&gt;"",BX22&gt;=BZ$42,BW22&gt;=BZ$39),AND(CX22&lt;&gt;"",CX22&gt;=DK$42,CW22&gt;=DK$39),AND(CZ22&lt;&gt;"",CZ22&gt;=DK$42,CY22&gt;=DK$39),AND(DD22&lt;&gt;"",DD22&gt;=DK$42,DC22&gt;=DK$39),AND(DF22&lt;&gt;"",DF22&gt;=DK$42,DE22&gt;=DK$39),AND(DH22&lt;&gt;"",DH22&gt;=DK$42,DG22&gt;=DK$39),AND(EG22&lt;&gt;"",EG22&gt;=ET$42,EF22&gt;=ET$39),AND(EI22&lt;&gt;"",EI22&gt;=ET$42,EH22&gt;=ET$39),AND(EM22&lt;&gt;"",EM22&gt;=ET$42,EL22&gt;=ET$39),AND(EO22&lt;&gt;"",EO22&gt;=ET$42,EN22&gt;=ET$39),AND(EQ22&lt;&gt;"",EQ22&gt;=ET$42,EP22&gt;=ET$39)),"Performance",IF(I22="P","National Team",IF(F22="P","National Team",""))))</f>
        <v/>
      </c>
      <c r="I22" s="2" t="str">
        <f>IF(COUNTIFS('Senior-M'!B:B,B22,'Senior-M'!A:A,"&lt;9",'Senior-M'!H:H,"&lt;&gt;"&amp;"No DD"),"P","")</f>
        <v/>
      </c>
      <c r="J22" s="7">
        <f t="shared" si="1"/>
        <v>48.3</v>
      </c>
      <c r="K22" s="7" t="str">
        <f t="shared" si="2"/>
        <v>2026 Elite Canada</v>
      </c>
      <c r="L22" s="7">
        <f>IF(J22=AO22,IF(COUNT(AQ22,AS22,BO22,BQ22,BU22,BW22)&gt;1,LARGE((AQ22,AS22,BO22,BQ22,BU22,BW22),1),0),IF(COUNT(AK22,AM22,AQ22,AS22,BU22,BW22)&gt;1,LARGE((AK22,AM22,AQ22,AS22,BU22,BW22),1),0))</f>
        <v>0</v>
      </c>
      <c r="M22" s="7" t="str">
        <f t="shared" si="3"/>
        <v/>
      </c>
      <c r="N22" s="7">
        <f>IF(J22=AO22,IF(COUNT(AQ22,AS22,BO22,BQ22,BU22,BW22)&gt;1,LARGE((AQ22,AS22,BO22,BQ22,BU22,BW22),2),0),IF(COUNT(AK22,AM22,AQ22,AS22,BU22,BW22)&gt;1,LARGE((AK22,AM22,AQ22,AS22,BU22,BW22),2),0))</f>
        <v>0</v>
      </c>
      <c r="O22" s="7" t="str">
        <f t="shared" si="4"/>
        <v/>
      </c>
      <c r="P22" s="7">
        <f t="shared" si="5"/>
        <v>26</v>
      </c>
      <c r="Q22" s="10" t="str">
        <f t="shared" si="6"/>
        <v>(Pass)</v>
      </c>
      <c r="R22" s="7" t="str">
        <f t="shared" si="7"/>
        <v>2025 WAGC (Nov 16)</v>
      </c>
      <c r="S22" s="38">
        <v>18.600000000000001</v>
      </c>
      <c r="T22" s="38">
        <v>8</v>
      </c>
      <c r="U22" s="38">
        <v>0.8</v>
      </c>
      <c r="V22" s="38">
        <v>0</v>
      </c>
      <c r="W22" s="38">
        <v>18.100000000000001</v>
      </c>
      <c r="X22" s="38">
        <v>6</v>
      </c>
      <c r="Y22" s="38">
        <v>1.6</v>
      </c>
      <c r="Z22" s="38">
        <v>0</v>
      </c>
      <c r="AA22" s="38" t="s">
        <v>175</v>
      </c>
      <c r="AB22" s="38" t="s">
        <v>175</v>
      </c>
      <c r="AC22" s="38" t="s">
        <v>175</v>
      </c>
      <c r="AD22" s="38" t="s">
        <v>175</v>
      </c>
      <c r="AE22" s="38" t="s">
        <v>175</v>
      </c>
      <c r="AF22" s="38" t="s">
        <v>175</v>
      </c>
      <c r="AG22" s="38" t="s">
        <v>175</v>
      </c>
      <c r="AH22" s="38" t="s">
        <v>175</v>
      </c>
      <c r="AI22" s="19"/>
      <c r="AJ22" s="41">
        <f t="shared" si="8"/>
        <v>8</v>
      </c>
      <c r="AK22" s="41">
        <f t="shared" si="9"/>
        <v>25.8</v>
      </c>
      <c r="AL22" s="41">
        <f t="shared" si="10"/>
        <v>6</v>
      </c>
      <c r="AM22" s="41">
        <f t="shared" si="11"/>
        <v>22.5</v>
      </c>
      <c r="AN22" s="27">
        <f t="shared" si="12"/>
        <v>14</v>
      </c>
      <c r="AO22" s="27">
        <f t="shared" si="13"/>
        <v>48.3</v>
      </c>
      <c r="AP22" s="27" t="str">
        <f t="shared" si="14"/>
        <v/>
      </c>
      <c r="AQ22" s="27" t="str">
        <f t="shared" si="15"/>
        <v/>
      </c>
      <c r="AR22" s="27" t="str">
        <f t="shared" si="16"/>
        <v/>
      </c>
      <c r="AS22" s="27" t="str">
        <f t="shared" si="17"/>
        <v/>
      </c>
      <c r="AT22" s="27" t="str">
        <f t="shared" si="18"/>
        <v/>
      </c>
      <c r="AU22" s="27" t="str">
        <f t="shared" si="19"/>
        <v/>
      </c>
      <c r="AV22" s="27">
        <f t="shared" si="20"/>
        <v>48.3</v>
      </c>
      <c r="AW22" s="15"/>
      <c r="AX22" s="15"/>
      <c r="AY22" s="15"/>
      <c r="AZ22" s="15"/>
      <c r="BA22" s="15"/>
      <c r="BB22" s="15"/>
      <c r="BC22" s="15"/>
      <c r="BD22" s="15"/>
      <c r="BE22" s="15"/>
      <c r="BF22" s="15"/>
      <c r="BG22" s="15"/>
      <c r="BH22" s="15"/>
      <c r="BI22" s="15"/>
      <c r="BJ22" s="15"/>
      <c r="BK22" s="15"/>
      <c r="BL22" s="15"/>
      <c r="BM22" s="20"/>
      <c r="BN22" s="42" t="str">
        <f t="shared" si="21"/>
        <v/>
      </c>
      <c r="BO22" s="42" t="str">
        <f t="shared" si="22"/>
        <v/>
      </c>
      <c r="BP22" s="42" t="str">
        <f t="shared" si="23"/>
        <v/>
      </c>
      <c r="BQ22" s="42" t="str">
        <f t="shared" si="24"/>
        <v/>
      </c>
      <c r="BR22" s="10" t="str">
        <f t="shared" si="25"/>
        <v/>
      </c>
      <c r="BS22" s="10" t="str">
        <f t="shared" si="26"/>
        <v/>
      </c>
      <c r="BT22" s="10" t="str">
        <f t="shared" si="27"/>
        <v/>
      </c>
      <c r="BU22" s="10" t="str">
        <f t="shared" si="28"/>
        <v/>
      </c>
      <c r="BV22" s="10" t="str">
        <f t="shared" si="29"/>
        <v/>
      </c>
      <c r="BW22" s="10" t="str">
        <f t="shared" si="30"/>
        <v/>
      </c>
      <c r="BX22" s="10" t="str">
        <f t="shared" si="31"/>
        <v/>
      </c>
      <c r="BY22" s="10" t="str">
        <f t="shared" si="32"/>
        <v/>
      </c>
      <c r="BZ22" s="10" t="str">
        <f t="shared" si="33"/>
        <v/>
      </c>
      <c r="CA22" s="34">
        <f t="shared" si="34"/>
        <v>3.2000000000000028</v>
      </c>
      <c r="CB22" s="34">
        <f t="shared" si="35"/>
        <v>26</v>
      </c>
      <c r="CC22" s="14"/>
      <c r="CD22" s="14"/>
      <c r="CE22" s="14"/>
      <c r="CF22" s="14"/>
      <c r="CG22" s="14"/>
      <c r="CH22" s="14"/>
      <c r="CI22" s="14"/>
      <c r="CJ22" s="14"/>
      <c r="CK22" s="14"/>
      <c r="CL22" s="14"/>
      <c r="CM22" s="14"/>
      <c r="CN22" s="14"/>
      <c r="CO22" s="14"/>
      <c r="CP22" s="14"/>
      <c r="CQ22" s="14"/>
      <c r="CR22" s="14"/>
      <c r="CS22" s="14"/>
      <c r="CT22" s="14"/>
      <c r="CU22" s="14"/>
      <c r="CV22" s="14"/>
      <c r="CW22" s="27" t="str">
        <f t="shared" si="36"/>
        <v/>
      </c>
      <c r="CX22" s="27" t="str">
        <f t="shared" si="37"/>
        <v/>
      </c>
      <c r="CY22" s="27" t="str">
        <f t="shared" si="38"/>
        <v/>
      </c>
      <c r="CZ22" s="27" t="str">
        <f t="shared" si="39"/>
        <v/>
      </c>
      <c r="DA22" s="27" t="str">
        <f t="shared" si="40"/>
        <v/>
      </c>
      <c r="DB22" s="27" t="str">
        <f t="shared" si="41"/>
        <v/>
      </c>
      <c r="DC22" s="27" t="str">
        <f t="shared" si="42"/>
        <v/>
      </c>
      <c r="DD22" s="27" t="str">
        <f t="shared" si="43"/>
        <v/>
      </c>
      <c r="DE22" s="27" t="str">
        <f t="shared" si="44"/>
        <v/>
      </c>
      <c r="DF22" s="27" t="str">
        <f t="shared" si="45"/>
        <v/>
      </c>
      <c r="DG22" s="27" t="str">
        <f t="shared" si="46"/>
        <v/>
      </c>
      <c r="DH22" s="27" t="str">
        <f t="shared" si="47"/>
        <v/>
      </c>
      <c r="DI22" s="27" t="str">
        <f t="shared" si="48"/>
        <v/>
      </c>
      <c r="DJ22" s="27" t="str">
        <f t="shared" si="49"/>
        <v/>
      </c>
      <c r="DK22" s="27" t="str">
        <f t="shared" si="50"/>
        <v/>
      </c>
      <c r="DL22" s="15">
        <v>18.600000000000001</v>
      </c>
      <c r="DM22" s="15">
        <v>8</v>
      </c>
      <c r="DN22" s="15">
        <v>0.6</v>
      </c>
      <c r="DO22" s="15">
        <v>0</v>
      </c>
      <c r="DP22" s="15">
        <v>17.7</v>
      </c>
      <c r="DQ22" s="15">
        <v>8</v>
      </c>
      <c r="DR22" s="15">
        <v>0.2</v>
      </c>
      <c r="DS22" s="15">
        <v>0</v>
      </c>
      <c r="DT22" s="15"/>
      <c r="DU22" s="15"/>
      <c r="DV22" s="15"/>
      <c r="DW22" s="15"/>
      <c r="DX22" s="15"/>
      <c r="DY22" s="15"/>
      <c r="DZ22" s="15"/>
      <c r="EA22" s="15"/>
      <c r="EB22" s="15"/>
      <c r="EC22" s="15"/>
      <c r="ED22" s="15"/>
      <c r="EE22" s="15"/>
      <c r="EF22" s="10">
        <f t="shared" si="51"/>
        <v>8</v>
      </c>
      <c r="EG22" s="10">
        <f t="shared" si="52"/>
        <v>26</v>
      </c>
      <c r="EH22" s="10">
        <f t="shared" si="53"/>
        <v>8</v>
      </c>
      <c r="EI22" s="10">
        <f t="shared" si="54"/>
        <v>25.5</v>
      </c>
      <c r="EJ22" s="10">
        <f t="shared" si="55"/>
        <v>16</v>
      </c>
      <c r="EK22" s="10">
        <f t="shared" si="56"/>
        <v>51.5</v>
      </c>
      <c r="EL22" s="10" t="str">
        <f t="shared" si="57"/>
        <v/>
      </c>
      <c r="EM22" s="10" t="str">
        <f t="shared" si="58"/>
        <v/>
      </c>
      <c r="EN22" s="10" t="str">
        <f t="shared" si="59"/>
        <v/>
      </c>
      <c r="EO22" s="10" t="str">
        <f t="shared" si="60"/>
        <v/>
      </c>
      <c r="EP22" s="10" t="str">
        <f t="shared" si="61"/>
        <v/>
      </c>
      <c r="EQ22" s="10" t="str">
        <f t="shared" si="62"/>
        <v/>
      </c>
      <c r="ER22" s="10" t="str">
        <f t="shared" si="63"/>
        <v/>
      </c>
      <c r="ES22" s="10" t="str">
        <f t="shared" si="64"/>
        <v/>
      </c>
      <c r="ET22" s="10">
        <f t="shared" si="65"/>
        <v>51.5</v>
      </c>
    </row>
    <row r="23" spans="1:150" x14ac:dyDescent="0.2">
      <c r="A23" s="3" t="str" cm="1">
        <f t="array" ref="A23">IF(AND(H23&lt;&gt;"",H23&lt;&gt;"No DD",I23&lt;&gt;"P"),SUMPRODUCT((H$4:H$35&lt;&gt;"")*(H$4:H$35&lt;&gt;"No DD")*(I$4:I$35&lt;&gt;"P")*(E$4:E$35&gt;E23))+1,IF(H23="No DD",SUMPRODUCT((H$4:H$35="No DD")*(I$4:I$35&lt;&gt;"P")*(E$4:E$35&gt;E23))+1+SUMPRODUCT((H$4:H$35&lt;&gt;"")*(I$4:I$35&lt;&gt;"P")*(H$4:H$35&lt;&gt;"No DD")),""))</f>
        <v/>
      </c>
      <c r="B23" s="4" t="s">
        <v>53</v>
      </c>
      <c r="C23" s="3" t="s">
        <v>3</v>
      </c>
      <c r="D23" s="3">
        <v>2009</v>
      </c>
      <c r="E23" s="8">
        <f t="shared" si="0"/>
        <v>68.000004100004105</v>
      </c>
      <c r="F23" s="2" t="str">
        <f>IF(OR(AND(AO23&lt;&gt;"",AO23&gt;=AV$40,AN23&gt;=AV$37),AND(AU23&lt;&gt;"",AU23&gt;=AV$40,AT23&gt;=AV$37),AND(BS23&lt;&gt;"",BS23&gt;=BZ$40,BR23&gt;=BZ$37),AND(BY23&lt;&gt;"",BY23&gt;=BZ$40,BX23&gt;=BZ$37),AND(DB23&lt;&gt;"",DB23&gt;=DK$40,DA23&gt;=DK$37),AND(DJ23&lt;&gt;"",DJ23&gt;=DK$40,DI23&gt;=DK$37),AND(EK23&lt;&gt;"",EK23&gt;=ET$40,EJ23&gt;=ET$37),AND(ES23&lt;&gt;"",ES23&gt;=ET$40,ER23&gt;=ET$37)),"P","")</f>
        <v/>
      </c>
      <c r="G23" s="2" t="str">
        <f>IF(OR(AND(AO23&lt;&gt;"",AO23&gt;=AV$40),AND(AU23&lt;&gt;"",AU23&gt;=AV$40),AND(BS23&lt;&gt;"",BS23&gt;=BZ$40),AND(BY23&lt;&gt;"",BY23&gt;=BZ$40),AND(DB23&lt;&gt;"",DB23&gt;=DK$40),AND(DJ23&lt;&gt;"",DJ23&gt;=DK$40),AND(EK23&lt;&gt;"",EK23&gt;=ET$40),AND(ES23&lt;&gt;"",ES23&gt;=ET$40)),"P","")</f>
        <v/>
      </c>
      <c r="H23" s="26" t="str">
        <f>IF(AND(G23="P",F23=""),"No DD",IF(OR(AND(AK23&lt;&gt;"",AK23&gt;=AV$42,AJ23&gt;=AV$39),AND(AM23&lt;&gt;"",AM23&gt;=AV$42,AL23&gt;=AV$39),AND(AQ23&lt;&gt;"",AQ23&gt;=AV$42,AP23&gt;=AV$39),AND(AS23&lt;&gt;"",AS23&gt;=AV$42,AR23&gt;=AV$39),AND(BO23&lt;&gt;"",BO23&gt;=BZ$42,BN23&gt;=BZ$39),AND(BQ23&lt;&gt;"",BQ23&gt;=BZ$42,BP23&gt;=BZ$39),AND(BV23&lt;&gt;"",BV23&gt;=BZ$42,BU23&gt;=BZ$39),AND(BX23&lt;&gt;"",BX23&gt;=BZ$42,BW23&gt;=BZ$39),AND(CX23&lt;&gt;"",CX23&gt;=DK$42,CW23&gt;=DK$39),AND(CZ23&lt;&gt;"",CZ23&gt;=DK$42,CY23&gt;=DK$39),AND(DD23&lt;&gt;"",DD23&gt;=DK$42,DC23&gt;=DK$39),AND(DF23&lt;&gt;"",DF23&gt;=DK$42,DE23&gt;=DK$39),AND(DH23&lt;&gt;"",DH23&gt;=DK$42,DG23&gt;=DK$39),AND(EG23&lt;&gt;"",EG23&gt;=ET$42,EF23&gt;=ET$39),AND(EI23&lt;&gt;"",EI23&gt;=ET$42,EH23&gt;=ET$39),AND(EM23&lt;&gt;"",EM23&gt;=ET$42,EL23&gt;=ET$39),AND(EO23&lt;&gt;"",EO23&gt;=ET$42,EN23&gt;=ET$39),AND(EQ23&lt;&gt;"",EQ23&gt;=ET$42,EP23&gt;=ET$39)),"Performance",IF(I23="P","National Team",IF(F23="P","National Team",""))))</f>
        <v/>
      </c>
      <c r="I23" s="2" t="str">
        <f>IF(COUNTIFS('Senior-M'!B:B,B23,'Senior-M'!A:A,"&lt;9",'Senior-M'!H:H,"&lt;&gt;"&amp;"No DD"),"P","")</f>
        <v/>
      </c>
      <c r="J23" s="7">
        <f t="shared" si="1"/>
        <v>41</v>
      </c>
      <c r="K23" s="7" t="str">
        <f t="shared" si="2"/>
        <v>2026 Elite Canada</v>
      </c>
      <c r="L23" s="7">
        <f>IF(J23=AO23,IF(COUNT(AQ23,AS23,BO23,BQ23,BU23,BW23)&gt;1,LARGE((AQ23,AS23,BO23,BQ23,BU23,BW23),1),0),IF(COUNT(AK23,AM23,AQ23,AS23,BU23,BW23)&gt;1,LARGE((AK23,AM23,AQ23,AS23,BU23,BW23),1),0))</f>
        <v>0</v>
      </c>
      <c r="M23" s="7" t="str">
        <f t="shared" si="3"/>
        <v/>
      </c>
      <c r="N23" s="7">
        <f>IF(J23=AO23,IF(COUNT(AQ23,AS23,BO23,BQ23,BU23,BW23)&gt;1,LARGE((AQ23,AS23,BO23,BQ23,BU23,BW23),2),0),IF(COUNT(AK23,AM23,AQ23,AS23,BU23,BW23)&gt;1,LARGE((AK23,AM23,AQ23,AS23,BU23,BW23),2),0))</f>
        <v>0</v>
      </c>
      <c r="O23" s="7" t="str">
        <f t="shared" si="4"/>
        <v/>
      </c>
      <c r="P23" s="7">
        <f t="shared" si="5"/>
        <v>27.000000000000004</v>
      </c>
      <c r="Q23" s="10" t="str">
        <f t="shared" si="6"/>
        <v>(Pass)</v>
      </c>
      <c r="R23" s="7" t="str">
        <f t="shared" si="7"/>
        <v>2025 WAGC (Nov 16)</v>
      </c>
      <c r="S23" s="38">
        <v>17.899999999999999</v>
      </c>
      <c r="T23" s="38">
        <v>6</v>
      </c>
      <c r="U23" s="38">
        <v>1</v>
      </c>
      <c r="V23" s="38">
        <v>0</v>
      </c>
      <c r="W23" s="38">
        <v>15.3</v>
      </c>
      <c r="X23" s="38">
        <v>2.8</v>
      </c>
      <c r="Y23" s="38">
        <v>0</v>
      </c>
      <c r="Z23" s="38">
        <v>0</v>
      </c>
      <c r="AA23" s="38" t="s">
        <v>175</v>
      </c>
      <c r="AB23" s="38" t="s">
        <v>175</v>
      </c>
      <c r="AC23" s="38" t="s">
        <v>175</v>
      </c>
      <c r="AD23" s="38" t="s">
        <v>175</v>
      </c>
      <c r="AE23" s="38" t="s">
        <v>175</v>
      </c>
      <c r="AF23" s="38" t="s">
        <v>175</v>
      </c>
      <c r="AG23" s="38" t="s">
        <v>175</v>
      </c>
      <c r="AH23" s="38" t="s">
        <v>175</v>
      </c>
      <c r="AI23" s="19"/>
      <c r="AJ23" s="41">
        <f t="shared" si="8"/>
        <v>6</v>
      </c>
      <c r="AK23" s="41">
        <f t="shared" si="9"/>
        <v>22.9</v>
      </c>
      <c r="AL23" s="41">
        <f t="shared" si="10"/>
        <v>2.8</v>
      </c>
      <c r="AM23" s="41">
        <f t="shared" si="11"/>
        <v>18.100000000000001</v>
      </c>
      <c r="AN23" s="27">
        <f t="shared" si="12"/>
        <v>8.8000000000000007</v>
      </c>
      <c r="AO23" s="27">
        <f t="shared" si="13"/>
        <v>41</v>
      </c>
      <c r="AP23" s="27" t="str">
        <f t="shared" si="14"/>
        <v/>
      </c>
      <c r="AQ23" s="27" t="str">
        <f t="shared" si="15"/>
        <v/>
      </c>
      <c r="AR23" s="27" t="str">
        <f t="shared" si="16"/>
        <v/>
      </c>
      <c r="AS23" s="27" t="str">
        <f t="shared" si="17"/>
        <v/>
      </c>
      <c r="AT23" s="27" t="str">
        <f t="shared" si="18"/>
        <v/>
      </c>
      <c r="AU23" s="27" t="str">
        <f t="shared" si="19"/>
        <v/>
      </c>
      <c r="AV23" s="27">
        <f t="shared" si="20"/>
        <v>41</v>
      </c>
      <c r="AW23" s="15"/>
      <c r="AX23" s="15"/>
      <c r="AY23" s="15"/>
      <c r="AZ23" s="15"/>
      <c r="BA23" s="15"/>
      <c r="BB23" s="15"/>
      <c r="BC23" s="15"/>
      <c r="BD23" s="15"/>
      <c r="BE23" s="15"/>
      <c r="BF23" s="15"/>
      <c r="BG23" s="15"/>
      <c r="BH23" s="15"/>
      <c r="BI23" s="15"/>
      <c r="BJ23" s="15"/>
      <c r="BK23" s="15"/>
      <c r="BL23" s="15"/>
      <c r="BM23" s="20"/>
      <c r="BN23" s="42" t="str">
        <f t="shared" si="21"/>
        <v/>
      </c>
      <c r="BO23" s="42" t="str">
        <f t="shared" si="22"/>
        <v/>
      </c>
      <c r="BP23" s="42" t="str">
        <f t="shared" si="23"/>
        <v/>
      </c>
      <c r="BQ23" s="42" t="str">
        <f t="shared" si="24"/>
        <v/>
      </c>
      <c r="BR23" s="10" t="str">
        <f t="shared" si="25"/>
        <v/>
      </c>
      <c r="BS23" s="10" t="str">
        <f t="shared" si="26"/>
        <v/>
      </c>
      <c r="BT23" s="10" t="str">
        <f t="shared" si="27"/>
        <v/>
      </c>
      <c r="BU23" s="10" t="str">
        <f t="shared" si="28"/>
        <v/>
      </c>
      <c r="BV23" s="10" t="str">
        <f t="shared" si="29"/>
        <v/>
      </c>
      <c r="BW23" s="10" t="str">
        <f t="shared" si="30"/>
        <v/>
      </c>
      <c r="BX23" s="10" t="str">
        <f t="shared" si="31"/>
        <v/>
      </c>
      <c r="BY23" s="10" t="str">
        <f t="shared" si="32"/>
        <v/>
      </c>
      <c r="BZ23" s="10" t="str">
        <f t="shared" si="33"/>
        <v/>
      </c>
      <c r="CA23" s="34">
        <f t="shared" si="34"/>
        <v>10.400000000000006</v>
      </c>
      <c r="CB23" s="34">
        <f t="shared" si="35"/>
        <v>27.000000000000004</v>
      </c>
      <c r="CC23" s="14"/>
      <c r="CD23" s="14"/>
      <c r="CE23" s="14"/>
      <c r="CF23" s="14"/>
      <c r="CG23" s="14"/>
      <c r="CH23" s="14"/>
      <c r="CI23" s="14"/>
      <c r="CJ23" s="14"/>
      <c r="CK23" s="14"/>
      <c r="CL23" s="14"/>
      <c r="CM23" s="14"/>
      <c r="CN23" s="14"/>
      <c r="CO23" s="14"/>
      <c r="CP23" s="14"/>
      <c r="CQ23" s="14"/>
      <c r="CR23" s="14"/>
      <c r="CS23" s="14"/>
      <c r="CT23" s="14"/>
      <c r="CU23" s="14"/>
      <c r="CV23" s="14"/>
      <c r="CW23" s="27" t="str">
        <f t="shared" si="36"/>
        <v/>
      </c>
      <c r="CX23" s="27" t="str">
        <f t="shared" si="37"/>
        <v/>
      </c>
      <c r="CY23" s="27" t="str">
        <f t="shared" si="38"/>
        <v/>
      </c>
      <c r="CZ23" s="27" t="str">
        <f t="shared" si="39"/>
        <v/>
      </c>
      <c r="DA23" s="27" t="str">
        <f t="shared" si="40"/>
        <v/>
      </c>
      <c r="DB23" s="27" t="str">
        <f t="shared" si="41"/>
        <v/>
      </c>
      <c r="DC23" s="27" t="str">
        <f t="shared" si="42"/>
        <v/>
      </c>
      <c r="DD23" s="27" t="str">
        <f t="shared" si="43"/>
        <v/>
      </c>
      <c r="DE23" s="27" t="str">
        <f t="shared" si="44"/>
        <v/>
      </c>
      <c r="DF23" s="27" t="str">
        <f t="shared" si="45"/>
        <v/>
      </c>
      <c r="DG23" s="27" t="str">
        <f t="shared" si="46"/>
        <v/>
      </c>
      <c r="DH23" s="27" t="str">
        <f t="shared" si="47"/>
        <v/>
      </c>
      <c r="DI23" s="27" t="str">
        <f t="shared" si="48"/>
        <v/>
      </c>
      <c r="DJ23" s="27" t="str">
        <f t="shared" si="49"/>
        <v/>
      </c>
      <c r="DK23" s="27" t="str">
        <f t="shared" si="50"/>
        <v/>
      </c>
      <c r="DL23" s="15">
        <v>18.8</v>
      </c>
      <c r="DM23" s="15">
        <v>8.4</v>
      </c>
      <c r="DN23" s="15">
        <v>0.2</v>
      </c>
      <c r="DO23" s="15">
        <v>0</v>
      </c>
      <c r="DP23" s="15">
        <v>18</v>
      </c>
      <c r="DQ23" s="15">
        <v>7.2</v>
      </c>
      <c r="DR23" s="15">
        <v>0.8</v>
      </c>
      <c r="DS23" s="15">
        <v>0</v>
      </c>
      <c r="DT23" s="15">
        <v>15.2</v>
      </c>
      <c r="DU23" s="15">
        <v>3.6</v>
      </c>
      <c r="DV23" s="15">
        <v>0</v>
      </c>
      <c r="DW23" s="15">
        <v>0</v>
      </c>
      <c r="DX23" s="15"/>
      <c r="DY23" s="15"/>
      <c r="DZ23" s="15"/>
      <c r="EA23" s="15"/>
      <c r="EB23" s="15"/>
      <c r="EC23" s="15"/>
      <c r="ED23" s="15"/>
      <c r="EE23" s="15"/>
      <c r="EF23" s="10">
        <f t="shared" si="51"/>
        <v>8.4</v>
      </c>
      <c r="EG23" s="10">
        <f t="shared" si="52"/>
        <v>27.000000000000004</v>
      </c>
      <c r="EH23" s="10">
        <f t="shared" si="53"/>
        <v>7.2</v>
      </c>
      <c r="EI23" s="10">
        <f t="shared" si="54"/>
        <v>24.4</v>
      </c>
      <c r="EJ23" s="10">
        <f t="shared" si="55"/>
        <v>15.600000000000001</v>
      </c>
      <c r="EK23" s="10">
        <f t="shared" si="56"/>
        <v>51.400000000000006</v>
      </c>
      <c r="EL23" s="10">
        <f t="shared" si="57"/>
        <v>3.6</v>
      </c>
      <c r="EM23" s="10">
        <f t="shared" si="58"/>
        <v>18.8</v>
      </c>
      <c r="EN23" s="10" t="str">
        <f t="shared" si="59"/>
        <v/>
      </c>
      <c r="EO23" s="10" t="str">
        <f t="shared" si="60"/>
        <v/>
      </c>
      <c r="EP23" s="10" t="str">
        <f t="shared" si="61"/>
        <v/>
      </c>
      <c r="EQ23" s="10" t="str">
        <f t="shared" si="62"/>
        <v/>
      </c>
      <c r="ER23" s="10" t="str">
        <f t="shared" si="63"/>
        <v/>
      </c>
      <c r="ES23" s="10" t="str">
        <f t="shared" si="64"/>
        <v/>
      </c>
      <c r="ET23" s="10">
        <f t="shared" si="65"/>
        <v>70.2</v>
      </c>
    </row>
    <row r="24" spans="1:150" x14ac:dyDescent="0.2">
      <c r="A24" s="3" t="str" cm="1">
        <f t="array" ref="A24">IF(AND(H24&lt;&gt;"",H24&lt;&gt;"No DD",I24&lt;&gt;"P"),SUMPRODUCT((H$4:H$35&lt;&gt;"")*(H$4:H$35&lt;&gt;"No DD")*(I$4:I$35&lt;&gt;"P")*(E$4:E$35&gt;E24))+1,IF(H24="No DD",SUMPRODUCT((H$4:H$35="No DD")*(I$4:I$35&lt;&gt;"P")*(E$4:E$35&gt;E24))+1+SUMPRODUCT((H$4:H$35&lt;&gt;"")*(I$4:I$35&lt;&gt;"P")*(H$4:H$35&lt;&gt;"No DD")),""))</f>
        <v/>
      </c>
      <c r="B24" s="4" t="s">
        <v>50</v>
      </c>
      <c r="C24" s="3" t="s">
        <v>5</v>
      </c>
      <c r="D24" s="3">
        <v>2009</v>
      </c>
      <c r="E24" s="8">
        <f t="shared" si="0"/>
        <v>51</v>
      </c>
      <c r="F24" s="2" t="str">
        <f>IF(OR(AND(AO24&lt;&gt;"",AO24&gt;=AV$40,AN24&gt;=AV$37),AND(AU24&lt;&gt;"",AU24&gt;=AV$40,AT24&gt;=AV$37),AND(BS24&lt;&gt;"",BS24&gt;=BZ$40,BR24&gt;=BZ$37),AND(BY24&lt;&gt;"",BY24&gt;=BZ$40,BX24&gt;=BZ$37),AND(DB24&lt;&gt;"",DB24&gt;=DK$40,DA24&gt;=DK$37),AND(DJ24&lt;&gt;"",DJ24&gt;=DK$40,DI24&gt;=DK$37),AND(EK24&lt;&gt;"",EK24&gt;=ET$40,EJ24&gt;=ET$37),AND(ES24&lt;&gt;"",ES24&gt;=ET$40,ER24&gt;=ET$37)),"P","")</f>
        <v/>
      </c>
      <c r="G24" s="2" t="str">
        <f>IF(OR(AND(AO24&lt;&gt;"",AO24&gt;=AV$40),AND(AU24&lt;&gt;"",AU24&gt;=AV$40),AND(BS24&lt;&gt;"",BS24&gt;=BZ$40),AND(BY24&lt;&gt;"",BY24&gt;=BZ$40),AND(DB24&lt;&gt;"",DB24&gt;=DK$40),AND(DJ24&lt;&gt;"",DJ24&gt;=DK$40),AND(EK24&lt;&gt;"",EK24&gt;=ET$40),AND(ES24&lt;&gt;"",ES24&gt;=ET$40)),"P","")</f>
        <v/>
      </c>
      <c r="H24" s="26" t="str">
        <f>IF(AND(G24="P",F24=""),"No DD",IF(OR(AND(AK24&lt;&gt;"",AK24&gt;=AV$42,AJ24&gt;=AV$39),AND(AM24&lt;&gt;"",AM24&gt;=AV$42,AL24&gt;=AV$39),AND(AQ24&lt;&gt;"",AQ24&gt;=AV$42,AP24&gt;=AV$39),AND(AS24&lt;&gt;"",AS24&gt;=AV$42,AR24&gt;=AV$39),AND(BO24&lt;&gt;"",BO24&gt;=BZ$42,BN24&gt;=BZ$39),AND(BQ24&lt;&gt;"",BQ24&gt;=BZ$42,BP24&gt;=BZ$39),AND(BV24&lt;&gt;"",BV24&gt;=BZ$42,BU24&gt;=BZ$39),AND(BX24&lt;&gt;"",BX24&gt;=BZ$42,BW24&gt;=BZ$39),AND(CX24&lt;&gt;"",CX24&gt;=DK$42,CW24&gt;=DK$39),AND(CZ24&lt;&gt;"",CZ24&gt;=DK$42,CY24&gt;=DK$39),AND(DD24&lt;&gt;"",DD24&gt;=DK$42,DC24&gt;=DK$39),AND(DF24&lt;&gt;"",DF24&gt;=DK$42,DE24&gt;=DK$39),AND(DH24&lt;&gt;"",DH24&gt;=DK$42,DG24&gt;=DK$39),AND(EG24&lt;&gt;"",EG24&gt;=ET$42,EF24&gt;=ET$39),AND(EI24&lt;&gt;"",EI24&gt;=ET$42,EH24&gt;=ET$39),AND(EM24&lt;&gt;"",EM24&gt;=ET$42,EL24&gt;=ET$39),AND(EO24&lt;&gt;"",EO24&gt;=ET$42,EN24&gt;=ET$39),AND(EQ24&lt;&gt;"",EQ24&gt;=ET$42,EP24&gt;=ET$39)),"Performance",IF(I24="P","National Team",IF(F24="P","National Team",""))))</f>
        <v/>
      </c>
      <c r="I24" s="2" t="str">
        <f>IF(COUNTIFS('Senior-M'!B:B,B24,'Senior-M'!A:A,"&lt;9",'Senior-M'!H:H,"&lt;&gt;"&amp;"No DD"),"P","")</f>
        <v/>
      </c>
      <c r="J24" s="7">
        <f t="shared" si="1"/>
        <v>0</v>
      </c>
      <c r="K24" s="7" t="str">
        <f t="shared" si="2"/>
        <v/>
      </c>
      <c r="L24" s="7">
        <f>IF(J24=AO24,IF(COUNT(AQ24,AS24,BO24,BQ24,BU24,BW24)&gt;1,LARGE((AQ24,AS24,BO24,BQ24,BU24,BW24),1),0),IF(COUNT(AK24,AM24,AQ24,AS24,BU24,BW24)&gt;1,LARGE((AK24,AM24,AQ24,AS24,BU24,BW24),1),0))</f>
        <v>0</v>
      </c>
      <c r="M24" s="7" t="str">
        <f t="shared" si="3"/>
        <v/>
      </c>
      <c r="N24" s="7">
        <f>IF(J24=AO24,IF(COUNT(AQ24,AS24,BO24,BQ24,BU24,BW24)&gt;1,LARGE((AQ24,AS24,BO24,BQ24,BU24,BW24),2),0),IF(COUNT(AK24,AM24,AQ24,AS24,BU24,BW24)&gt;1,LARGE((AK24,AM24,AQ24,AS24,BU24,BW24),2),0))</f>
        <v>0</v>
      </c>
      <c r="O24" s="7" t="str">
        <f t="shared" si="4"/>
        <v/>
      </c>
      <c r="P24" s="7">
        <f t="shared" si="5"/>
        <v>51</v>
      </c>
      <c r="Q24" s="10" t="str">
        <f t="shared" si="6"/>
        <v>(Q1)</v>
      </c>
      <c r="R24" s="7" t="str">
        <f t="shared" si="7"/>
        <v>2025 WAGC (Nov 16)</v>
      </c>
      <c r="S24" s="38" t="s">
        <v>175</v>
      </c>
      <c r="T24" s="38" t="s">
        <v>175</v>
      </c>
      <c r="U24" s="38" t="s">
        <v>175</v>
      </c>
      <c r="V24" s="38" t="s">
        <v>175</v>
      </c>
      <c r="W24" s="38" t="s">
        <v>175</v>
      </c>
      <c r="X24" s="38" t="s">
        <v>175</v>
      </c>
      <c r="Y24" s="38" t="s">
        <v>175</v>
      </c>
      <c r="Z24" s="38" t="s">
        <v>175</v>
      </c>
      <c r="AA24" s="38" t="s">
        <v>175</v>
      </c>
      <c r="AB24" s="38" t="s">
        <v>175</v>
      </c>
      <c r="AC24" s="38" t="s">
        <v>175</v>
      </c>
      <c r="AD24" s="38" t="s">
        <v>175</v>
      </c>
      <c r="AE24" s="38" t="s">
        <v>175</v>
      </c>
      <c r="AF24" s="38" t="s">
        <v>175</v>
      </c>
      <c r="AG24" s="38" t="s">
        <v>175</v>
      </c>
      <c r="AH24" s="38" t="s">
        <v>175</v>
      </c>
      <c r="AI24" s="19"/>
      <c r="AJ24" s="41" t="str">
        <f t="shared" si="8"/>
        <v/>
      </c>
      <c r="AK24" s="41" t="str">
        <f t="shared" si="9"/>
        <v/>
      </c>
      <c r="AL24" s="41" t="str">
        <f t="shared" si="10"/>
        <v/>
      </c>
      <c r="AM24" s="41" t="str">
        <f t="shared" si="11"/>
        <v/>
      </c>
      <c r="AN24" s="27" t="str">
        <f t="shared" si="12"/>
        <v/>
      </c>
      <c r="AO24" s="27" t="str">
        <f t="shared" si="13"/>
        <v/>
      </c>
      <c r="AP24" s="27" t="str">
        <f t="shared" si="14"/>
        <v/>
      </c>
      <c r="AQ24" s="27" t="str">
        <f t="shared" si="15"/>
        <v/>
      </c>
      <c r="AR24" s="27" t="str">
        <f t="shared" si="16"/>
        <v/>
      </c>
      <c r="AS24" s="27" t="str">
        <f t="shared" si="17"/>
        <v/>
      </c>
      <c r="AT24" s="27" t="str">
        <f t="shared" si="18"/>
        <v/>
      </c>
      <c r="AU24" s="27" t="str">
        <f t="shared" si="19"/>
        <v/>
      </c>
      <c r="AV24" s="27" t="str">
        <f t="shared" si="20"/>
        <v/>
      </c>
      <c r="AW24" s="15"/>
      <c r="AX24" s="15"/>
      <c r="AY24" s="15"/>
      <c r="AZ24" s="15"/>
      <c r="BA24" s="15"/>
      <c r="BB24" s="15"/>
      <c r="BC24" s="15"/>
      <c r="BD24" s="15"/>
      <c r="BE24" s="15"/>
      <c r="BF24" s="15"/>
      <c r="BG24" s="15"/>
      <c r="BH24" s="15"/>
      <c r="BI24" s="15"/>
      <c r="BJ24" s="15"/>
      <c r="BK24" s="15"/>
      <c r="BL24" s="15"/>
      <c r="BM24" s="20"/>
      <c r="BN24" s="42" t="str">
        <f t="shared" si="21"/>
        <v/>
      </c>
      <c r="BO24" s="42" t="str">
        <f t="shared" si="22"/>
        <v/>
      </c>
      <c r="BP24" s="42" t="str">
        <f t="shared" si="23"/>
        <v/>
      </c>
      <c r="BQ24" s="42" t="str">
        <f t="shared" si="24"/>
        <v/>
      </c>
      <c r="BR24" s="10" t="str">
        <f t="shared" si="25"/>
        <v/>
      </c>
      <c r="BS24" s="10" t="str">
        <f t="shared" si="26"/>
        <v/>
      </c>
      <c r="BT24" s="10" t="str">
        <f t="shared" si="27"/>
        <v/>
      </c>
      <c r="BU24" s="10" t="str">
        <f t="shared" si="28"/>
        <v/>
      </c>
      <c r="BV24" s="10" t="str">
        <f t="shared" si="29"/>
        <v/>
      </c>
      <c r="BW24" s="10" t="str">
        <f t="shared" si="30"/>
        <v/>
      </c>
      <c r="BX24" s="10" t="str">
        <f t="shared" si="31"/>
        <v/>
      </c>
      <c r="BY24" s="10" t="str">
        <f t="shared" si="32"/>
        <v/>
      </c>
      <c r="BZ24" s="10" t="str">
        <f t="shared" si="33"/>
        <v/>
      </c>
      <c r="CA24" s="34">
        <f t="shared" si="34"/>
        <v>51</v>
      </c>
      <c r="CB24" s="34">
        <f t="shared" si="35"/>
        <v>26.599999999999998</v>
      </c>
      <c r="CC24" s="14"/>
      <c r="CD24" s="14"/>
      <c r="CE24" s="14"/>
      <c r="CF24" s="14"/>
      <c r="CG24" s="14"/>
      <c r="CH24" s="14"/>
      <c r="CI24" s="14"/>
      <c r="CJ24" s="14"/>
      <c r="CK24" s="14"/>
      <c r="CL24" s="14"/>
      <c r="CM24" s="14"/>
      <c r="CN24" s="14"/>
      <c r="CO24" s="14"/>
      <c r="CP24" s="14"/>
      <c r="CQ24" s="14"/>
      <c r="CR24" s="14"/>
      <c r="CS24" s="14"/>
      <c r="CT24" s="14"/>
      <c r="CU24" s="14"/>
      <c r="CV24" s="14"/>
      <c r="CW24" s="27" t="str">
        <f t="shared" si="36"/>
        <v/>
      </c>
      <c r="CX24" s="27" t="str">
        <f t="shared" si="37"/>
        <v/>
      </c>
      <c r="CY24" s="27" t="str">
        <f t="shared" si="38"/>
        <v/>
      </c>
      <c r="CZ24" s="27" t="str">
        <f t="shared" si="39"/>
        <v/>
      </c>
      <c r="DA24" s="27" t="str">
        <f t="shared" si="40"/>
        <v/>
      </c>
      <c r="DB24" s="27" t="str">
        <f t="shared" si="41"/>
        <v/>
      </c>
      <c r="DC24" s="27" t="str">
        <f t="shared" si="42"/>
        <v/>
      </c>
      <c r="DD24" s="27" t="str">
        <f t="shared" si="43"/>
        <v/>
      </c>
      <c r="DE24" s="27" t="str">
        <f t="shared" si="44"/>
        <v/>
      </c>
      <c r="DF24" s="27" t="str">
        <f t="shared" si="45"/>
        <v/>
      </c>
      <c r="DG24" s="27" t="str">
        <f t="shared" si="46"/>
        <v/>
      </c>
      <c r="DH24" s="27" t="str">
        <f t="shared" si="47"/>
        <v/>
      </c>
      <c r="DI24" s="27" t="str">
        <f t="shared" si="48"/>
        <v/>
      </c>
      <c r="DJ24" s="27" t="str">
        <f t="shared" si="49"/>
        <v/>
      </c>
      <c r="DK24" s="27" t="str">
        <f t="shared" si="50"/>
        <v/>
      </c>
      <c r="DL24" s="15">
        <v>18.7</v>
      </c>
      <c r="DM24" s="15">
        <v>7.2</v>
      </c>
      <c r="DN24" s="15">
        <v>0.2</v>
      </c>
      <c r="DO24" s="15">
        <v>0</v>
      </c>
      <c r="DP24" s="15">
        <v>18.399999999999999</v>
      </c>
      <c r="DQ24" s="15">
        <v>6.9</v>
      </c>
      <c r="DR24" s="15">
        <v>0</v>
      </c>
      <c r="DS24" s="15">
        <v>0</v>
      </c>
      <c r="DT24" s="15">
        <v>19</v>
      </c>
      <c r="DU24" s="15">
        <v>7.2</v>
      </c>
      <c r="DV24" s="15">
        <v>0</v>
      </c>
      <c r="DW24" s="15">
        <v>0</v>
      </c>
      <c r="DX24" s="15">
        <v>18.399999999999999</v>
      </c>
      <c r="DY24" s="15">
        <v>8.4</v>
      </c>
      <c r="DZ24" s="15">
        <v>0.2</v>
      </c>
      <c r="EA24" s="15">
        <v>0</v>
      </c>
      <c r="EB24" s="15"/>
      <c r="EC24" s="15"/>
      <c r="ED24" s="15"/>
      <c r="EE24" s="15"/>
      <c r="EF24" s="10">
        <f t="shared" si="51"/>
        <v>7.2</v>
      </c>
      <c r="EG24" s="10">
        <f t="shared" si="52"/>
        <v>25.7</v>
      </c>
      <c r="EH24" s="10">
        <f t="shared" si="53"/>
        <v>6.9</v>
      </c>
      <c r="EI24" s="10">
        <f t="shared" si="54"/>
        <v>25.299999999999997</v>
      </c>
      <c r="EJ24" s="10">
        <f t="shared" si="55"/>
        <v>14.100000000000001</v>
      </c>
      <c r="EK24" s="10">
        <f t="shared" si="56"/>
        <v>51</v>
      </c>
      <c r="EL24" s="10">
        <f t="shared" si="57"/>
        <v>7.2</v>
      </c>
      <c r="EM24" s="10">
        <f t="shared" si="58"/>
        <v>26.2</v>
      </c>
      <c r="EN24" s="10">
        <f t="shared" si="59"/>
        <v>8.4</v>
      </c>
      <c r="EO24" s="10">
        <f t="shared" si="60"/>
        <v>26.599999999999998</v>
      </c>
      <c r="EP24" s="10" t="str">
        <f t="shared" si="61"/>
        <v/>
      </c>
      <c r="EQ24" s="10" t="str">
        <f t="shared" si="62"/>
        <v/>
      </c>
      <c r="ER24" s="10">
        <f t="shared" si="63"/>
        <v>8.4</v>
      </c>
      <c r="ES24" s="10">
        <f t="shared" si="64"/>
        <v>26.599999999999998</v>
      </c>
      <c r="ET24" s="10">
        <f t="shared" si="65"/>
        <v>77.2</v>
      </c>
    </row>
    <row r="25" spans="1:150" x14ac:dyDescent="0.2">
      <c r="A25" s="3" t="str" cm="1">
        <f t="array" ref="A25">IF(AND(H25&lt;&gt;"",H25&lt;&gt;"No DD",I25&lt;&gt;"P"),SUMPRODUCT((H$4:H$35&lt;&gt;"")*(H$4:H$35&lt;&gt;"No DD")*(I$4:I$35&lt;&gt;"P")*(E$4:E$35&gt;E25))+1,IF(H25="No DD",SUMPRODUCT((H$4:H$35="No DD")*(I$4:I$35&lt;&gt;"P")*(E$4:E$35&gt;E25))+1+SUMPRODUCT((H$4:H$35&lt;&gt;"")*(I$4:I$35&lt;&gt;"P")*(H$4:H$35&lt;&gt;"No DD")),""))</f>
        <v/>
      </c>
      <c r="B25" s="4" t="s">
        <v>73</v>
      </c>
      <c r="C25" s="3" t="s">
        <v>74</v>
      </c>
      <c r="D25" s="3">
        <v>2005</v>
      </c>
      <c r="E25" s="8">
        <f t="shared" si="0"/>
        <v>50.800005080005079</v>
      </c>
      <c r="F25" s="2" t="str">
        <f>IF(OR(AND(AO25&lt;&gt;"",AO25&gt;=AV$40,AN25&gt;=AV$37),AND(AU25&lt;&gt;"",AU25&gt;=AV$40,AT25&gt;=AV$37),AND(BS25&lt;&gt;"",BS25&gt;=BZ$40,BR25&gt;=BZ$37),AND(BY25&lt;&gt;"",BY25&gt;=BZ$40,BX25&gt;=BZ$37),AND(DB25&lt;&gt;"",DB25&gt;=DK$40,DA25&gt;=DK$37),AND(DJ25&lt;&gt;"",DJ25&gt;=DK$40,DI25&gt;=DK$37),AND(EK25&lt;&gt;"",EK25&gt;=ET$40,EJ25&gt;=ET$37),AND(ES25&lt;&gt;"",ES25&gt;=ET$40,ER25&gt;=ET$37)),"P","")</f>
        <v/>
      </c>
      <c r="G25" s="2" t="str">
        <f>IF(OR(AND(AO25&lt;&gt;"",AO25&gt;=AV$40),AND(AU25&lt;&gt;"",AU25&gt;=AV$40),AND(BS25&lt;&gt;"",BS25&gt;=BZ$40),AND(BY25&lt;&gt;"",BY25&gt;=BZ$40),AND(DB25&lt;&gt;"",DB25&gt;=DK$40),AND(DJ25&lt;&gt;"",DJ25&gt;=DK$40),AND(EK25&lt;&gt;"",EK25&gt;=ET$40),AND(ES25&lt;&gt;"",ES25&gt;=ET$40)),"P","")</f>
        <v/>
      </c>
      <c r="H25" s="26" t="str">
        <f>IF(AND(G25="P",F25=""),"No DD",IF(OR(AND(AK25&lt;&gt;"",AK25&gt;=AV$42,AJ25&gt;=AV$39),AND(AM25&lt;&gt;"",AM25&gt;=AV$42,AL25&gt;=AV$39),AND(AQ25&lt;&gt;"",AQ25&gt;=AV$42,AP25&gt;=AV$39),AND(AS25&lt;&gt;"",AS25&gt;=AV$42,AR25&gt;=AV$39),AND(BO25&lt;&gt;"",BO25&gt;=BZ$42,BN25&gt;=BZ$39),AND(BQ25&lt;&gt;"",BQ25&gt;=BZ$42,BP25&gt;=BZ$39),AND(BV25&lt;&gt;"",BV25&gt;=BZ$42,BU25&gt;=BZ$39),AND(BX25&lt;&gt;"",BX25&gt;=BZ$42,BW25&gt;=BZ$39),AND(CX25&lt;&gt;"",CX25&gt;=DK$42,CW25&gt;=DK$39),AND(CZ25&lt;&gt;"",CZ25&gt;=DK$42,CY25&gt;=DK$39),AND(DD25&lt;&gt;"",DD25&gt;=DK$42,DC25&gt;=DK$39),AND(DF25&lt;&gt;"",DF25&gt;=DK$42,DE25&gt;=DK$39),AND(DH25&lt;&gt;"",DH25&gt;=DK$42,DG25&gt;=DK$39),AND(EG25&lt;&gt;"",EG25&gt;=ET$42,EF25&gt;=ET$39),AND(EI25&lt;&gt;"",EI25&gt;=ET$42,EH25&gt;=ET$39),AND(EM25&lt;&gt;"",EM25&gt;=ET$42,EL25&gt;=ET$39),AND(EO25&lt;&gt;"",EO25&gt;=ET$42,EN25&gt;=ET$39),AND(EQ25&lt;&gt;"",EQ25&gt;=ET$42,EP25&gt;=ET$39)),"Performance",IF(I25="P","National Team",IF(F25="P","National Team",""))))</f>
        <v/>
      </c>
      <c r="I25" s="2" t="str">
        <f>IF(COUNTIFS('Senior-M'!B:B,B25,'Senior-M'!A:A,"&lt;9",'Senior-M'!H:H,"&lt;&gt;"&amp;"No DD"),"P","")</f>
        <v/>
      </c>
      <c r="J25" s="7">
        <f t="shared" si="1"/>
        <v>50.8</v>
      </c>
      <c r="K25" s="7" t="str">
        <f t="shared" si="2"/>
        <v>2026 Elite Canada</v>
      </c>
      <c r="L25" s="7">
        <f>IF(J25=AO25,IF(COUNT(AQ25,AS25,BO25,BQ25,BU25,BW25)&gt;1,LARGE((AQ25,AS25,BO25,BQ25,BU25,BW25),1),0),IF(COUNT(AK25,AM25,AQ25,AS25,BU25,BW25)&gt;1,LARGE((AK25,AM25,AQ25,AS25,BU25,BW25),1),0))</f>
        <v>0</v>
      </c>
      <c r="M25" s="7" t="str">
        <f t="shared" si="3"/>
        <v/>
      </c>
      <c r="N25" s="7">
        <f>IF(J25=AO25,IF(COUNT(AQ25,AS25,BO25,BQ25,BU25,BW25)&gt;1,LARGE((AQ25,AS25,BO25,BQ25,BU25,BW25),2),0),IF(COUNT(AK25,AM25,AQ25,AS25,BU25,BW25)&gt;1,LARGE((AK25,AM25,AQ25,AS25,BU25,BW25),2),0))</f>
        <v>0</v>
      </c>
      <c r="O25" s="7" t="str">
        <f t="shared" si="4"/>
        <v/>
      </c>
      <c r="P25" s="7" t="str">
        <f t="shared" si="5"/>
        <v/>
      </c>
      <c r="Q25" s="10" t="str">
        <f t="shared" si="6"/>
        <v/>
      </c>
      <c r="R25" s="7" t="str">
        <f t="shared" si="7"/>
        <v/>
      </c>
      <c r="S25" s="38">
        <v>18.399999999999999</v>
      </c>
      <c r="T25" s="38">
        <v>8</v>
      </c>
      <c r="U25" s="38">
        <v>0.2</v>
      </c>
      <c r="V25" s="38">
        <v>0.50000000000000067</v>
      </c>
      <c r="W25" s="38">
        <v>16.7</v>
      </c>
      <c r="X25" s="38">
        <v>7.6</v>
      </c>
      <c r="Y25" s="38">
        <v>0.2</v>
      </c>
      <c r="Z25" s="38">
        <v>0</v>
      </c>
      <c r="AA25" s="38" t="s">
        <v>175</v>
      </c>
      <c r="AB25" s="38" t="s">
        <v>175</v>
      </c>
      <c r="AC25" s="38" t="s">
        <v>175</v>
      </c>
      <c r="AD25" s="38" t="s">
        <v>175</v>
      </c>
      <c r="AE25" s="38" t="s">
        <v>175</v>
      </c>
      <c r="AF25" s="38" t="s">
        <v>175</v>
      </c>
      <c r="AG25" s="38" t="s">
        <v>175</v>
      </c>
      <c r="AH25" s="38" t="s">
        <v>175</v>
      </c>
      <c r="AI25" s="19"/>
      <c r="AJ25" s="41">
        <f t="shared" si="8"/>
        <v>8</v>
      </c>
      <c r="AK25" s="41">
        <f t="shared" si="9"/>
        <v>26.7</v>
      </c>
      <c r="AL25" s="41">
        <f t="shared" si="10"/>
        <v>7.6</v>
      </c>
      <c r="AM25" s="41">
        <f t="shared" si="11"/>
        <v>24.099999999999998</v>
      </c>
      <c r="AN25" s="27">
        <f t="shared" si="12"/>
        <v>15.6</v>
      </c>
      <c r="AO25" s="27">
        <f t="shared" si="13"/>
        <v>50.8</v>
      </c>
      <c r="AP25" s="27" t="str">
        <f t="shared" si="14"/>
        <v/>
      </c>
      <c r="AQ25" s="27" t="str">
        <f t="shared" si="15"/>
        <v/>
      </c>
      <c r="AR25" s="27" t="str">
        <f t="shared" si="16"/>
        <v/>
      </c>
      <c r="AS25" s="27" t="str">
        <f t="shared" si="17"/>
        <v/>
      </c>
      <c r="AT25" s="27" t="str">
        <f t="shared" si="18"/>
        <v/>
      </c>
      <c r="AU25" s="27" t="str">
        <f t="shared" si="19"/>
        <v/>
      </c>
      <c r="AV25" s="27">
        <f t="shared" si="20"/>
        <v>50.8</v>
      </c>
      <c r="AW25" s="15"/>
      <c r="AX25" s="15"/>
      <c r="AY25" s="15"/>
      <c r="AZ25" s="15"/>
      <c r="BA25" s="15"/>
      <c r="BB25" s="15"/>
      <c r="BC25" s="15"/>
      <c r="BD25" s="15"/>
      <c r="BE25" s="15"/>
      <c r="BF25" s="15"/>
      <c r="BG25" s="15"/>
      <c r="BH25" s="15"/>
      <c r="BI25" s="15"/>
      <c r="BJ25" s="15"/>
      <c r="BK25" s="15"/>
      <c r="BL25" s="15"/>
      <c r="BM25" s="20"/>
      <c r="BN25" s="42" t="str">
        <f t="shared" si="21"/>
        <v/>
      </c>
      <c r="BO25" s="42" t="str">
        <f t="shared" si="22"/>
        <v/>
      </c>
      <c r="BP25" s="42" t="str">
        <f t="shared" si="23"/>
        <v/>
      </c>
      <c r="BQ25" s="42" t="str">
        <f t="shared" si="24"/>
        <v/>
      </c>
      <c r="BR25" s="10" t="str">
        <f t="shared" si="25"/>
        <v/>
      </c>
      <c r="BS25" s="10" t="str">
        <f t="shared" si="26"/>
        <v/>
      </c>
      <c r="BT25" s="10" t="str">
        <f t="shared" si="27"/>
        <v/>
      </c>
      <c r="BU25" s="10" t="str">
        <f t="shared" si="28"/>
        <v/>
      </c>
      <c r="BV25" s="10" t="str">
        <f t="shared" si="29"/>
        <v/>
      </c>
      <c r="BW25" s="10" t="str">
        <f t="shared" si="30"/>
        <v/>
      </c>
      <c r="BX25" s="10" t="str">
        <f t="shared" si="31"/>
        <v/>
      </c>
      <c r="BY25" s="10" t="str">
        <f t="shared" si="32"/>
        <v/>
      </c>
      <c r="BZ25" s="10" t="str">
        <f t="shared" si="33"/>
        <v/>
      </c>
      <c r="CA25" s="34" t="str">
        <f t="shared" si="34"/>
        <v/>
      </c>
      <c r="CB25" s="34" t="str">
        <f t="shared" si="35"/>
        <v/>
      </c>
      <c r="CC25" s="14"/>
      <c r="CD25" s="14"/>
      <c r="CE25" s="14"/>
      <c r="CF25" s="14"/>
      <c r="CG25" s="14"/>
      <c r="CH25" s="14"/>
      <c r="CI25" s="14"/>
      <c r="CJ25" s="14"/>
      <c r="CK25" s="14"/>
      <c r="CL25" s="14"/>
      <c r="CM25" s="14"/>
      <c r="CN25" s="14"/>
      <c r="CO25" s="14"/>
      <c r="CP25" s="14"/>
      <c r="CQ25" s="14"/>
      <c r="CR25" s="14"/>
      <c r="CS25" s="14"/>
      <c r="CT25" s="14"/>
      <c r="CU25" s="14"/>
      <c r="CV25" s="14"/>
      <c r="CW25" s="27" t="str">
        <f t="shared" si="36"/>
        <v/>
      </c>
      <c r="CX25" s="27" t="str">
        <f t="shared" si="37"/>
        <v/>
      </c>
      <c r="CY25" s="27" t="str">
        <f t="shared" si="38"/>
        <v/>
      </c>
      <c r="CZ25" s="27" t="str">
        <f t="shared" si="39"/>
        <v/>
      </c>
      <c r="DA25" s="27" t="str">
        <f t="shared" si="40"/>
        <v/>
      </c>
      <c r="DB25" s="27" t="str">
        <f t="shared" si="41"/>
        <v/>
      </c>
      <c r="DC25" s="27" t="str">
        <f t="shared" si="42"/>
        <v/>
      </c>
      <c r="DD25" s="27" t="str">
        <f t="shared" si="43"/>
        <v/>
      </c>
      <c r="DE25" s="27" t="str">
        <f t="shared" si="44"/>
        <v/>
      </c>
      <c r="DF25" s="27" t="str">
        <f t="shared" si="45"/>
        <v/>
      </c>
      <c r="DG25" s="27" t="str">
        <f t="shared" si="46"/>
        <v/>
      </c>
      <c r="DH25" s="27" t="str">
        <f t="shared" si="47"/>
        <v/>
      </c>
      <c r="DI25" s="27" t="str">
        <f t="shared" si="48"/>
        <v/>
      </c>
      <c r="DJ25" s="27" t="str">
        <f t="shared" si="49"/>
        <v/>
      </c>
      <c r="DK25" s="27" t="str">
        <f t="shared" si="50"/>
        <v/>
      </c>
      <c r="DL25" s="15"/>
      <c r="DM25" s="15"/>
      <c r="DN25" s="15"/>
      <c r="DO25" s="15"/>
      <c r="DP25" s="15"/>
      <c r="DQ25" s="15"/>
      <c r="DR25" s="15"/>
      <c r="DS25" s="15"/>
      <c r="DT25" s="15"/>
      <c r="DU25" s="15"/>
      <c r="DV25" s="15"/>
      <c r="DW25" s="15"/>
      <c r="DX25" s="15"/>
      <c r="DY25" s="15"/>
      <c r="DZ25" s="15"/>
      <c r="EA25" s="15"/>
      <c r="EB25" s="15"/>
      <c r="EC25" s="15"/>
      <c r="ED25" s="15"/>
      <c r="EE25" s="15"/>
      <c r="EF25" s="10" t="str">
        <f t="shared" si="51"/>
        <v/>
      </c>
      <c r="EG25" s="10" t="str">
        <f t="shared" si="52"/>
        <v/>
      </c>
      <c r="EH25" s="10" t="str">
        <f t="shared" si="53"/>
        <v/>
      </c>
      <c r="EI25" s="10" t="str">
        <f t="shared" si="54"/>
        <v/>
      </c>
      <c r="EJ25" s="10" t="str">
        <f t="shared" si="55"/>
        <v/>
      </c>
      <c r="EK25" s="10" t="str">
        <f t="shared" si="56"/>
        <v/>
      </c>
      <c r="EL25" s="10" t="str">
        <f t="shared" si="57"/>
        <v/>
      </c>
      <c r="EM25" s="10" t="str">
        <f t="shared" si="58"/>
        <v/>
      </c>
      <c r="EN25" s="10" t="str">
        <f t="shared" si="59"/>
        <v/>
      </c>
      <c r="EO25" s="10" t="str">
        <f t="shared" si="60"/>
        <v/>
      </c>
      <c r="EP25" s="10" t="str">
        <f t="shared" si="61"/>
        <v/>
      </c>
      <c r="EQ25" s="10" t="str">
        <f t="shared" si="62"/>
        <v/>
      </c>
      <c r="ER25" s="10" t="str">
        <f t="shared" si="63"/>
        <v/>
      </c>
      <c r="ES25" s="10" t="str">
        <f t="shared" si="64"/>
        <v/>
      </c>
      <c r="ET25" s="10" t="str">
        <f t="shared" si="65"/>
        <v/>
      </c>
    </row>
    <row r="26" spans="1:150" x14ac:dyDescent="0.2">
      <c r="A26" s="3" t="str" cm="1">
        <f t="array" ref="A26">IF(AND(H26&lt;&gt;"",H26&lt;&gt;"No DD",I26&lt;&gt;"P"),SUMPRODUCT((H$4:H$35&lt;&gt;"")*(H$4:H$35&lt;&gt;"No DD")*(I$4:I$35&lt;&gt;"P")*(E$4:E$35&gt;E26))+1,IF(H26="No DD",SUMPRODUCT((H$4:H$35="No DD")*(I$4:I$35&lt;&gt;"P")*(E$4:E$35&gt;E26))+1+SUMPRODUCT((H$4:H$35&lt;&gt;"")*(I$4:I$35&lt;&gt;"P")*(H$4:H$35&lt;&gt;"No DD")),""))</f>
        <v/>
      </c>
      <c r="B26" s="4" t="s">
        <v>71</v>
      </c>
      <c r="C26" s="3" t="s">
        <v>5</v>
      </c>
      <c r="D26" s="3">
        <v>2008</v>
      </c>
      <c r="E26" s="8">
        <f t="shared" si="0"/>
        <v>50.700005070005076</v>
      </c>
      <c r="F26" s="2" t="str">
        <f>IF(OR(AND(AO26&lt;&gt;"",AO26&gt;=AV$40,AN26&gt;=AV$37),AND(AU26&lt;&gt;"",AU26&gt;=AV$40,AT26&gt;=AV$37),AND(BS26&lt;&gt;"",BS26&gt;=BZ$40,BR26&gt;=BZ$37),AND(BY26&lt;&gt;"",BY26&gt;=BZ$40,BX26&gt;=BZ$37),AND(DB26&lt;&gt;"",DB26&gt;=DK$40,DA26&gt;=DK$37),AND(DJ26&lt;&gt;"",DJ26&gt;=DK$40,DI26&gt;=DK$37),AND(EK26&lt;&gt;"",EK26&gt;=ET$40,EJ26&gt;=ET$37),AND(ES26&lt;&gt;"",ES26&gt;=ET$40,ER26&gt;=ET$37)),"P","")</f>
        <v/>
      </c>
      <c r="G26" s="2" t="str">
        <f>IF(OR(AND(AO26&lt;&gt;"",AO26&gt;=AV$40),AND(AU26&lt;&gt;"",AU26&gt;=AV$40),AND(BS26&lt;&gt;"",BS26&gt;=BZ$40),AND(BY26&lt;&gt;"",BY26&gt;=BZ$40),AND(DB26&lt;&gt;"",DB26&gt;=DK$40),AND(DJ26&lt;&gt;"",DJ26&gt;=DK$40),AND(EK26&lt;&gt;"",EK26&gt;=ET$40),AND(ES26&lt;&gt;"",ES26&gt;=ET$40)),"P","")</f>
        <v/>
      </c>
      <c r="H26" s="26" t="str">
        <f>IF(AND(G26="P",F26=""),"No DD",IF(OR(AND(AK26&lt;&gt;"",AK26&gt;=AV$42,AJ26&gt;=AV$39),AND(AM26&lt;&gt;"",AM26&gt;=AV$42,AL26&gt;=AV$39),AND(AQ26&lt;&gt;"",AQ26&gt;=AV$42,AP26&gt;=AV$39),AND(AS26&lt;&gt;"",AS26&gt;=AV$42,AR26&gt;=AV$39),AND(BO26&lt;&gt;"",BO26&gt;=BZ$42,BN26&gt;=BZ$39),AND(BQ26&lt;&gt;"",BQ26&gt;=BZ$42,BP26&gt;=BZ$39),AND(BV26&lt;&gt;"",BV26&gt;=BZ$42,BU26&gt;=BZ$39),AND(BX26&lt;&gt;"",BX26&gt;=BZ$42,BW26&gt;=BZ$39),AND(CX26&lt;&gt;"",CX26&gt;=DK$42,CW26&gt;=DK$39),AND(CZ26&lt;&gt;"",CZ26&gt;=DK$42,CY26&gt;=DK$39),AND(DD26&lt;&gt;"",DD26&gt;=DK$42,DC26&gt;=DK$39),AND(DF26&lt;&gt;"",DF26&gt;=DK$42,DE26&gt;=DK$39),AND(DH26&lt;&gt;"",DH26&gt;=DK$42,DG26&gt;=DK$39),AND(EG26&lt;&gt;"",EG26&gt;=ET$42,EF26&gt;=ET$39),AND(EI26&lt;&gt;"",EI26&gt;=ET$42,EH26&gt;=ET$39),AND(EM26&lt;&gt;"",EM26&gt;=ET$42,EL26&gt;=ET$39),AND(EO26&lt;&gt;"",EO26&gt;=ET$42,EN26&gt;=ET$39),AND(EQ26&lt;&gt;"",EQ26&gt;=ET$42,EP26&gt;=ET$39)),"Performance",IF(I26="P","National Team",IF(F26="P","National Team",""))))</f>
        <v/>
      </c>
      <c r="I26" s="2" t="str">
        <f>IF(COUNTIFS('Senior-M'!B:B,B26,'Senior-M'!A:A,"&lt;9",'Senior-M'!H:H,"&lt;&gt;"&amp;"No DD"),"P","")</f>
        <v/>
      </c>
      <c r="J26" s="7">
        <f t="shared" si="1"/>
        <v>50.7</v>
      </c>
      <c r="K26" s="7" t="str">
        <f t="shared" si="2"/>
        <v>2026 Elite Canada</v>
      </c>
      <c r="L26" s="7">
        <f>IF(J26=AO26,IF(COUNT(AQ26,AS26,BO26,BQ26,BU26,BW26)&gt;1,LARGE((AQ26,AS26,BO26,BQ26,BU26,BW26),1),0),IF(COUNT(AK26,AM26,AQ26,AS26,BU26,BW26)&gt;1,LARGE((AK26,AM26,AQ26,AS26,BU26,BW26),1),0))</f>
        <v>0</v>
      </c>
      <c r="M26" s="7" t="str">
        <f t="shared" si="3"/>
        <v/>
      </c>
      <c r="N26" s="7">
        <f>IF(J26=AO26,IF(COUNT(AQ26,AS26,BO26,BQ26,BU26,BW26)&gt;1,LARGE((AQ26,AS26,BO26,BQ26,BU26,BW26),2),0),IF(COUNT(AK26,AM26,AQ26,AS26,BU26,BW26)&gt;1,LARGE((AK26,AM26,AQ26,AS26,BU26,BW26),2),0))</f>
        <v>0</v>
      </c>
      <c r="O26" s="7" t="str">
        <f t="shared" si="4"/>
        <v/>
      </c>
      <c r="P26" s="7" t="str">
        <f t="shared" si="5"/>
        <v/>
      </c>
      <c r="Q26" s="10" t="str">
        <f t="shared" si="6"/>
        <v/>
      </c>
      <c r="R26" s="7" t="str">
        <f t="shared" si="7"/>
        <v/>
      </c>
      <c r="S26" s="38">
        <v>18.5</v>
      </c>
      <c r="T26" s="38">
        <v>7.2</v>
      </c>
      <c r="U26" s="38">
        <v>0.6</v>
      </c>
      <c r="V26" s="38">
        <v>0</v>
      </c>
      <c r="W26" s="38">
        <v>18.100000000000001</v>
      </c>
      <c r="X26" s="38">
        <v>7.7</v>
      </c>
      <c r="Y26" s="38">
        <v>0.2</v>
      </c>
      <c r="Z26" s="38">
        <v>0</v>
      </c>
      <c r="AA26" s="38" t="s">
        <v>175</v>
      </c>
      <c r="AB26" s="38" t="s">
        <v>175</v>
      </c>
      <c r="AC26" s="38" t="s">
        <v>175</v>
      </c>
      <c r="AD26" s="38" t="s">
        <v>175</v>
      </c>
      <c r="AE26" s="38" t="s">
        <v>175</v>
      </c>
      <c r="AF26" s="38" t="s">
        <v>175</v>
      </c>
      <c r="AG26" s="38" t="s">
        <v>175</v>
      </c>
      <c r="AH26" s="38" t="s">
        <v>175</v>
      </c>
      <c r="AI26" s="19"/>
      <c r="AJ26" s="41">
        <f t="shared" si="8"/>
        <v>7.2</v>
      </c>
      <c r="AK26" s="41">
        <f t="shared" si="9"/>
        <v>25.099999999999998</v>
      </c>
      <c r="AL26" s="41">
        <f t="shared" si="10"/>
        <v>7.7</v>
      </c>
      <c r="AM26" s="41">
        <f t="shared" si="11"/>
        <v>25.6</v>
      </c>
      <c r="AN26" s="27">
        <f t="shared" si="12"/>
        <v>14.9</v>
      </c>
      <c r="AO26" s="27">
        <f t="shared" si="13"/>
        <v>50.7</v>
      </c>
      <c r="AP26" s="27" t="str">
        <f t="shared" si="14"/>
        <v/>
      </c>
      <c r="AQ26" s="27" t="str">
        <f t="shared" si="15"/>
        <v/>
      </c>
      <c r="AR26" s="27" t="str">
        <f t="shared" si="16"/>
        <v/>
      </c>
      <c r="AS26" s="27" t="str">
        <f t="shared" si="17"/>
        <v/>
      </c>
      <c r="AT26" s="27" t="str">
        <f t="shared" si="18"/>
        <v/>
      </c>
      <c r="AU26" s="27" t="str">
        <f t="shared" si="19"/>
        <v/>
      </c>
      <c r="AV26" s="27">
        <f t="shared" si="20"/>
        <v>50.7</v>
      </c>
      <c r="AW26" s="15"/>
      <c r="AX26" s="15"/>
      <c r="AY26" s="15"/>
      <c r="AZ26" s="15"/>
      <c r="BA26" s="15"/>
      <c r="BB26" s="15"/>
      <c r="BC26" s="15"/>
      <c r="BD26" s="15"/>
      <c r="BE26" s="15"/>
      <c r="BF26" s="15"/>
      <c r="BG26" s="15"/>
      <c r="BH26" s="15"/>
      <c r="BI26" s="15"/>
      <c r="BJ26" s="15"/>
      <c r="BK26" s="15"/>
      <c r="BL26" s="15"/>
      <c r="BM26" s="20"/>
      <c r="BN26" s="42" t="str">
        <f t="shared" si="21"/>
        <v/>
      </c>
      <c r="BO26" s="42" t="str">
        <f t="shared" si="22"/>
        <v/>
      </c>
      <c r="BP26" s="42" t="str">
        <f t="shared" si="23"/>
        <v/>
      </c>
      <c r="BQ26" s="42" t="str">
        <f t="shared" si="24"/>
        <v/>
      </c>
      <c r="BR26" s="10" t="str">
        <f t="shared" si="25"/>
        <v/>
      </c>
      <c r="BS26" s="10" t="str">
        <f t="shared" si="26"/>
        <v/>
      </c>
      <c r="BT26" s="10" t="str">
        <f t="shared" si="27"/>
        <v/>
      </c>
      <c r="BU26" s="10" t="str">
        <f t="shared" si="28"/>
        <v/>
      </c>
      <c r="BV26" s="10" t="str">
        <f t="shared" si="29"/>
        <v/>
      </c>
      <c r="BW26" s="10" t="str">
        <f t="shared" si="30"/>
        <v/>
      </c>
      <c r="BX26" s="10" t="str">
        <f t="shared" si="31"/>
        <v/>
      </c>
      <c r="BY26" s="10" t="str">
        <f t="shared" si="32"/>
        <v/>
      </c>
      <c r="BZ26" s="10" t="str">
        <f t="shared" si="33"/>
        <v/>
      </c>
      <c r="CA26" s="34" t="str">
        <f t="shared" si="34"/>
        <v/>
      </c>
      <c r="CB26" s="34" t="str">
        <f t="shared" si="35"/>
        <v/>
      </c>
      <c r="CC26" s="14"/>
      <c r="CD26" s="14"/>
      <c r="CE26" s="14"/>
      <c r="CF26" s="14"/>
      <c r="CG26" s="14"/>
      <c r="CH26" s="14"/>
      <c r="CI26" s="14"/>
      <c r="CJ26" s="14"/>
      <c r="CK26" s="14"/>
      <c r="CL26" s="14"/>
      <c r="CM26" s="14"/>
      <c r="CN26" s="14"/>
      <c r="CO26" s="14"/>
      <c r="CP26" s="14"/>
      <c r="CQ26" s="14"/>
      <c r="CR26" s="14"/>
      <c r="CS26" s="14"/>
      <c r="CT26" s="14"/>
      <c r="CU26" s="14"/>
      <c r="CV26" s="14"/>
      <c r="CW26" s="27" t="str">
        <f t="shared" si="36"/>
        <v/>
      </c>
      <c r="CX26" s="27" t="str">
        <f t="shared" si="37"/>
        <v/>
      </c>
      <c r="CY26" s="27" t="str">
        <f t="shared" si="38"/>
        <v/>
      </c>
      <c r="CZ26" s="27" t="str">
        <f t="shared" si="39"/>
        <v/>
      </c>
      <c r="DA26" s="27" t="str">
        <f t="shared" si="40"/>
        <v/>
      </c>
      <c r="DB26" s="27" t="str">
        <f t="shared" si="41"/>
        <v/>
      </c>
      <c r="DC26" s="27" t="str">
        <f t="shared" si="42"/>
        <v/>
      </c>
      <c r="DD26" s="27" t="str">
        <f t="shared" si="43"/>
        <v/>
      </c>
      <c r="DE26" s="27" t="str">
        <f t="shared" si="44"/>
        <v/>
      </c>
      <c r="DF26" s="27" t="str">
        <f t="shared" si="45"/>
        <v/>
      </c>
      <c r="DG26" s="27" t="str">
        <f t="shared" si="46"/>
        <v/>
      </c>
      <c r="DH26" s="27" t="str">
        <f t="shared" si="47"/>
        <v/>
      </c>
      <c r="DI26" s="27" t="str">
        <f t="shared" si="48"/>
        <v/>
      </c>
      <c r="DJ26" s="27" t="str">
        <f t="shared" si="49"/>
        <v/>
      </c>
      <c r="DK26" s="27" t="str">
        <f t="shared" si="50"/>
        <v/>
      </c>
      <c r="DL26" s="15"/>
      <c r="DM26" s="15"/>
      <c r="DN26" s="15"/>
      <c r="DO26" s="15"/>
      <c r="DP26" s="15"/>
      <c r="DQ26" s="15"/>
      <c r="DR26" s="15"/>
      <c r="DS26" s="15"/>
      <c r="DT26" s="15"/>
      <c r="DU26" s="15"/>
      <c r="DV26" s="15"/>
      <c r="DW26" s="15"/>
      <c r="DX26" s="15"/>
      <c r="DY26" s="15"/>
      <c r="DZ26" s="15"/>
      <c r="EA26" s="15"/>
      <c r="EB26" s="15"/>
      <c r="EC26" s="15"/>
      <c r="ED26" s="15"/>
      <c r="EE26" s="15"/>
      <c r="EF26" s="10" t="str">
        <f t="shared" si="51"/>
        <v/>
      </c>
      <c r="EG26" s="10" t="str">
        <f t="shared" si="52"/>
        <v/>
      </c>
      <c r="EH26" s="10" t="str">
        <f t="shared" si="53"/>
        <v/>
      </c>
      <c r="EI26" s="10" t="str">
        <f t="shared" si="54"/>
        <v/>
      </c>
      <c r="EJ26" s="10" t="str">
        <f t="shared" si="55"/>
        <v/>
      </c>
      <c r="EK26" s="10" t="str">
        <f t="shared" si="56"/>
        <v/>
      </c>
      <c r="EL26" s="10" t="str">
        <f t="shared" si="57"/>
        <v/>
      </c>
      <c r="EM26" s="10" t="str">
        <f t="shared" si="58"/>
        <v/>
      </c>
      <c r="EN26" s="10" t="str">
        <f t="shared" si="59"/>
        <v/>
      </c>
      <c r="EO26" s="10" t="str">
        <f t="shared" si="60"/>
        <v/>
      </c>
      <c r="EP26" s="10" t="str">
        <f t="shared" si="61"/>
        <v/>
      </c>
      <c r="EQ26" s="10" t="str">
        <f t="shared" si="62"/>
        <v/>
      </c>
      <c r="ER26" s="10" t="str">
        <f t="shared" si="63"/>
        <v/>
      </c>
      <c r="ES26" s="10" t="str">
        <f t="shared" si="64"/>
        <v/>
      </c>
      <c r="ET26" s="10" t="str">
        <f t="shared" si="65"/>
        <v/>
      </c>
    </row>
    <row r="27" spans="1:150" x14ac:dyDescent="0.2">
      <c r="A27" s="3" t="str" cm="1">
        <f t="array" ref="A27">IF(AND(H27&lt;&gt;"",H27&lt;&gt;"No DD",I27&lt;&gt;"P"),SUMPRODUCT((H$4:H$35&lt;&gt;"")*(H$4:H$35&lt;&gt;"No DD")*(I$4:I$35&lt;&gt;"P")*(E$4:E$35&gt;E27))+1,IF(H27="No DD",SUMPRODUCT((H$4:H$35="No DD")*(I$4:I$35&lt;&gt;"P")*(E$4:E$35&gt;E27))+1+SUMPRODUCT((H$4:H$35&lt;&gt;"")*(I$4:I$35&lt;&gt;"P")*(H$4:H$35&lt;&gt;"No DD")),""))</f>
        <v/>
      </c>
      <c r="B27" s="4" t="s">
        <v>125</v>
      </c>
      <c r="C27" s="3" t="s">
        <v>3</v>
      </c>
      <c r="D27" s="3">
        <v>2006</v>
      </c>
      <c r="E27" s="8">
        <f t="shared" si="0"/>
        <v>46.300004630004629</v>
      </c>
      <c r="F27" s="2" t="str">
        <f>IF(OR(AND(AO27&lt;&gt;"",AO27&gt;=AV$40,AN27&gt;=AV$37),AND(AU27&lt;&gt;"",AU27&gt;=AV$40,AT27&gt;=AV$37),AND(BS27&lt;&gt;"",BS27&gt;=BZ$40,BR27&gt;=BZ$37),AND(BY27&lt;&gt;"",BY27&gt;=BZ$40,BX27&gt;=BZ$37),AND(DB27&lt;&gt;"",DB27&gt;=DK$40,DA27&gt;=DK$37),AND(DJ27&lt;&gt;"",DJ27&gt;=DK$40,DI27&gt;=DK$37),AND(EK27&lt;&gt;"",EK27&gt;=ET$40,EJ27&gt;=ET$37),AND(ES27&lt;&gt;"",ES27&gt;=ET$40,ER27&gt;=ET$37)),"P","")</f>
        <v/>
      </c>
      <c r="G27" s="2" t="str">
        <f>IF(OR(AND(AO27&lt;&gt;"",AO27&gt;=AV$40),AND(AU27&lt;&gt;"",AU27&gt;=AV$40),AND(BS27&lt;&gt;"",BS27&gt;=BZ$40),AND(BY27&lt;&gt;"",BY27&gt;=BZ$40),AND(DB27&lt;&gt;"",DB27&gt;=DK$40),AND(DJ27&lt;&gt;"",DJ27&gt;=DK$40),AND(EK27&lt;&gt;"",EK27&gt;=ET$40),AND(ES27&lt;&gt;"",ES27&gt;=ET$40)),"P","")</f>
        <v/>
      </c>
      <c r="H27" s="26" t="str">
        <f>IF(AND(G27="P",F27=""),"No DD",IF(OR(AND(AK27&lt;&gt;"",AK27&gt;=AV$42,AJ27&gt;=AV$39),AND(AM27&lt;&gt;"",AM27&gt;=AV$42,AL27&gt;=AV$39),AND(AQ27&lt;&gt;"",AQ27&gt;=AV$42,AP27&gt;=AV$39),AND(AS27&lt;&gt;"",AS27&gt;=AV$42,AR27&gt;=AV$39),AND(BO27&lt;&gt;"",BO27&gt;=BZ$42,BN27&gt;=BZ$39),AND(BQ27&lt;&gt;"",BQ27&gt;=BZ$42,BP27&gt;=BZ$39),AND(BV27&lt;&gt;"",BV27&gt;=BZ$42,BU27&gt;=BZ$39),AND(BX27&lt;&gt;"",BX27&gt;=BZ$42,BW27&gt;=BZ$39),AND(CX27&lt;&gt;"",CX27&gt;=DK$42,CW27&gt;=DK$39),AND(CZ27&lt;&gt;"",CZ27&gt;=DK$42,CY27&gt;=DK$39),AND(DD27&lt;&gt;"",DD27&gt;=DK$42,DC27&gt;=DK$39),AND(DF27&lt;&gt;"",DF27&gt;=DK$42,DE27&gt;=DK$39),AND(DH27&lt;&gt;"",DH27&gt;=DK$42,DG27&gt;=DK$39),AND(EG27&lt;&gt;"",EG27&gt;=ET$42,EF27&gt;=ET$39),AND(EI27&lt;&gt;"",EI27&gt;=ET$42,EH27&gt;=ET$39),AND(EM27&lt;&gt;"",EM27&gt;=ET$42,EL27&gt;=ET$39),AND(EO27&lt;&gt;"",EO27&gt;=ET$42,EN27&gt;=ET$39),AND(EQ27&lt;&gt;"",EQ27&gt;=ET$42,EP27&gt;=ET$39)),"Performance",IF(I27="P","National Team",IF(F27="P","National Team",""))))</f>
        <v/>
      </c>
      <c r="I27" s="2" t="str">
        <f>IF(COUNTIFS('Senior-M'!B:B,B27,'Senior-M'!A:A,"&lt;9",'Senior-M'!H:H,"&lt;&gt;"&amp;"No DD"),"P","")</f>
        <v/>
      </c>
      <c r="J27" s="7">
        <f t="shared" si="1"/>
        <v>46.3</v>
      </c>
      <c r="K27" s="7" t="str">
        <f t="shared" si="2"/>
        <v>2026 Elite Canada</v>
      </c>
      <c r="L27" s="7">
        <f>IF(J27=AO27,IF(COUNT(AQ27,AS27,BO27,BQ27,BU27,BW27)&gt;1,LARGE((AQ27,AS27,BO27,BQ27,BU27,BW27),1),0),IF(COUNT(AK27,AM27,AQ27,AS27,BU27,BW27)&gt;1,LARGE((AK27,AM27,AQ27,AS27,BU27,BW27),1),0))</f>
        <v>0</v>
      </c>
      <c r="M27" s="7" t="str">
        <f t="shared" si="3"/>
        <v/>
      </c>
      <c r="N27" s="7">
        <f>IF(J27=AO27,IF(COUNT(AQ27,AS27,BO27,BQ27,BU27,BW27)&gt;1,LARGE((AQ27,AS27,BO27,BQ27,BU27,BW27),2),0),IF(COUNT(AK27,AM27,AQ27,AS27,BU27,BW27)&gt;1,LARGE((AK27,AM27,AQ27,AS27,BU27,BW27),2),0))</f>
        <v>0</v>
      </c>
      <c r="O27" s="7" t="str">
        <f t="shared" si="4"/>
        <v/>
      </c>
      <c r="P27" s="7" t="str">
        <f t="shared" si="5"/>
        <v/>
      </c>
      <c r="Q27" s="10" t="str">
        <f t="shared" si="6"/>
        <v/>
      </c>
      <c r="R27" s="7" t="str">
        <f t="shared" si="7"/>
        <v/>
      </c>
      <c r="S27" s="38">
        <v>18</v>
      </c>
      <c r="T27" s="38">
        <v>5.2</v>
      </c>
      <c r="U27" s="38">
        <v>0.8</v>
      </c>
      <c r="V27" s="38">
        <v>0</v>
      </c>
      <c r="W27" s="38">
        <v>18.899999999999999</v>
      </c>
      <c r="X27" s="38">
        <v>5.6</v>
      </c>
      <c r="Y27" s="38">
        <v>0.6</v>
      </c>
      <c r="Z27" s="38">
        <v>0</v>
      </c>
      <c r="AA27" s="38" t="s">
        <v>175</v>
      </c>
      <c r="AB27" s="38" t="s">
        <v>175</v>
      </c>
      <c r="AC27" s="38" t="s">
        <v>175</v>
      </c>
      <c r="AD27" s="38" t="s">
        <v>175</v>
      </c>
      <c r="AE27" s="38" t="s">
        <v>175</v>
      </c>
      <c r="AF27" s="38" t="s">
        <v>175</v>
      </c>
      <c r="AG27" s="38" t="s">
        <v>175</v>
      </c>
      <c r="AH27" s="38" t="s">
        <v>175</v>
      </c>
      <c r="AI27" s="19"/>
      <c r="AJ27" s="41">
        <f t="shared" si="8"/>
        <v>5.2</v>
      </c>
      <c r="AK27" s="41">
        <f t="shared" si="9"/>
        <v>22.4</v>
      </c>
      <c r="AL27" s="41">
        <f t="shared" si="10"/>
        <v>5.6</v>
      </c>
      <c r="AM27" s="41">
        <f t="shared" si="11"/>
        <v>23.9</v>
      </c>
      <c r="AN27" s="27">
        <f t="shared" si="12"/>
        <v>10.8</v>
      </c>
      <c r="AO27" s="27">
        <f t="shared" si="13"/>
        <v>46.3</v>
      </c>
      <c r="AP27" s="27" t="str">
        <f t="shared" si="14"/>
        <v/>
      </c>
      <c r="AQ27" s="27" t="str">
        <f t="shared" si="15"/>
        <v/>
      </c>
      <c r="AR27" s="27" t="str">
        <f t="shared" si="16"/>
        <v/>
      </c>
      <c r="AS27" s="27" t="str">
        <f t="shared" si="17"/>
        <v/>
      </c>
      <c r="AT27" s="27" t="str">
        <f t="shared" si="18"/>
        <v/>
      </c>
      <c r="AU27" s="27" t="str">
        <f t="shared" si="19"/>
        <v/>
      </c>
      <c r="AV27" s="27">
        <f t="shared" si="20"/>
        <v>46.3</v>
      </c>
      <c r="AW27" s="15"/>
      <c r="AX27" s="15"/>
      <c r="AY27" s="15"/>
      <c r="AZ27" s="15"/>
      <c r="BA27" s="15"/>
      <c r="BB27" s="15"/>
      <c r="BC27" s="15"/>
      <c r="BD27" s="15"/>
      <c r="BE27" s="15"/>
      <c r="BF27" s="15"/>
      <c r="BG27" s="15"/>
      <c r="BH27" s="15"/>
      <c r="BI27" s="15"/>
      <c r="BJ27" s="15"/>
      <c r="BK27" s="15"/>
      <c r="BL27" s="15"/>
      <c r="BM27" s="20"/>
      <c r="BN27" s="42" t="str">
        <f t="shared" si="21"/>
        <v/>
      </c>
      <c r="BO27" s="42" t="str">
        <f t="shared" si="22"/>
        <v/>
      </c>
      <c r="BP27" s="42" t="str">
        <f t="shared" si="23"/>
        <v/>
      </c>
      <c r="BQ27" s="42" t="str">
        <f t="shared" si="24"/>
        <v/>
      </c>
      <c r="BR27" s="10" t="str">
        <f t="shared" si="25"/>
        <v/>
      </c>
      <c r="BS27" s="10" t="str">
        <f t="shared" si="26"/>
        <v/>
      </c>
      <c r="BT27" s="10" t="str">
        <f t="shared" si="27"/>
        <v/>
      </c>
      <c r="BU27" s="10" t="str">
        <f t="shared" si="28"/>
        <v/>
      </c>
      <c r="BV27" s="10" t="str">
        <f t="shared" si="29"/>
        <v/>
      </c>
      <c r="BW27" s="10" t="str">
        <f t="shared" si="30"/>
        <v/>
      </c>
      <c r="BX27" s="10" t="str">
        <f t="shared" si="31"/>
        <v/>
      </c>
      <c r="BY27" s="10" t="str">
        <f t="shared" si="32"/>
        <v/>
      </c>
      <c r="BZ27" s="10" t="str">
        <f t="shared" si="33"/>
        <v/>
      </c>
      <c r="CA27" s="34" t="str">
        <f t="shared" si="34"/>
        <v/>
      </c>
      <c r="CB27" s="34" t="str">
        <f t="shared" si="35"/>
        <v/>
      </c>
      <c r="CC27" s="14"/>
      <c r="CD27" s="14"/>
      <c r="CE27" s="14"/>
      <c r="CF27" s="14"/>
      <c r="CG27" s="14"/>
      <c r="CH27" s="14"/>
      <c r="CI27" s="14"/>
      <c r="CJ27" s="14"/>
      <c r="CK27" s="14"/>
      <c r="CL27" s="14"/>
      <c r="CM27" s="14"/>
      <c r="CN27" s="14"/>
      <c r="CO27" s="14"/>
      <c r="CP27" s="14"/>
      <c r="CQ27" s="14"/>
      <c r="CR27" s="14"/>
      <c r="CS27" s="14"/>
      <c r="CT27" s="14"/>
      <c r="CU27" s="14"/>
      <c r="CV27" s="14"/>
      <c r="CW27" s="27" t="str">
        <f t="shared" si="36"/>
        <v/>
      </c>
      <c r="CX27" s="27" t="str">
        <f t="shared" si="37"/>
        <v/>
      </c>
      <c r="CY27" s="27" t="str">
        <f t="shared" si="38"/>
        <v/>
      </c>
      <c r="CZ27" s="27" t="str">
        <f t="shared" si="39"/>
        <v/>
      </c>
      <c r="DA27" s="27" t="str">
        <f t="shared" si="40"/>
        <v/>
      </c>
      <c r="DB27" s="27" t="str">
        <f t="shared" si="41"/>
        <v/>
      </c>
      <c r="DC27" s="27" t="str">
        <f t="shared" si="42"/>
        <v/>
      </c>
      <c r="DD27" s="27" t="str">
        <f t="shared" si="43"/>
        <v/>
      </c>
      <c r="DE27" s="27" t="str">
        <f t="shared" si="44"/>
        <v/>
      </c>
      <c r="DF27" s="27" t="str">
        <f t="shared" si="45"/>
        <v/>
      </c>
      <c r="DG27" s="27" t="str">
        <f t="shared" si="46"/>
        <v/>
      </c>
      <c r="DH27" s="27" t="str">
        <f t="shared" si="47"/>
        <v/>
      </c>
      <c r="DI27" s="27" t="str">
        <f t="shared" si="48"/>
        <v/>
      </c>
      <c r="DJ27" s="27" t="str">
        <f t="shared" si="49"/>
        <v/>
      </c>
      <c r="DK27" s="27" t="str">
        <f t="shared" si="50"/>
        <v/>
      </c>
      <c r="DL27" s="15"/>
      <c r="DM27" s="15"/>
      <c r="DN27" s="15"/>
      <c r="DO27" s="15"/>
      <c r="DP27" s="15"/>
      <c r="DQ27" s="15"/>
      <c r="DR27" s="15"/>
      <c r="DS27" s="15"/>
      <c r="DT27" s="15"/>
      <c r="DU27" s="15"/>
      <c r="DV27" s="15"/>
      <c r="DW27" s="15"/>
      <c r="DX27" s="15"/>
      <c r="DY27" s="15"/>
      <c r="DZ27" s="15"/>
      <c r="EA27" s="15"/>
      <c r="EB27" s="15"/>
      <c r="EC27" s="15"/>
      <c r="ED27" s="15"/>
      <c r="EE27" s="15"/>
      <c r="EF27" s="10" t="str">
        <f t="shared" si="51"/>
        <v/>
      </c>
      <c r="EG27" s="10" t="str">
        <f t="shared" si="52"/>
        <v/>
      </c>
      <c r="EH27" s="10" t="str">
        <f t="shared" si="53"/>
        <v/>
      </c>
      <c r="EI27" s="10" t="str">
        <f t="shared" si="54"/>
        <v/>
      </c>
      <c r="EJ27" s="10" t="str">
        <f t="shared" si="55"/>
        <v/>
      </c>
      <c r="EK27" s="10" t="str">
        <f t="shared" si="56"/>
        <v/>
      </c>
      <c r="EL27" s="10" t="str">
        <f t="shared" si="57"/>
        <v/>
      </c>
      <c r="EM27" s="10" t="str">
        <f t="shared" si="58"/>
        <v/>
      </c>
      <c r="EN27" s="10" t="str">
        <f t="shared" si="59"/>
        <v/>
      </c>
      <c r="EO27" s="10" t="str">
        <f t="shared" si="60"/>
        <v/>
      </c>
      <c r="EP27" s="10" t="str">
        <f t="shared" si="61"/>
        <v/>
      </c>
      <c r="EQ27" s="10" t="str">
        <f t="shared" si="62"/>
        <v/>
      </c>
      <c r="ER27" s="10" t="str">
        <f t="shared" si="63"/>
        <v/>
      </c>
      <c r="ES27" s="10" t="str">
        <f t="shared" si="64"/>
        <v/>
      </c>
      <c r="ET27" s="10" t="str">
        <f t="shared" si="65"/>
        <v/>
      </c>
    </row>
    <row r="28" spans="1:150" x14ac:dyDescent="0.2">
      <c r="A28" s="3" t="str" cm="1">
        <f t="array" ref="A28">IF(AND(H28&lt;&gt;"",H28&lt;&gt;"No DD",I28&lt;&gt;"P"),SUMPRODUCT((H$4:H$35&lt;&gt;"")*(H$4:H$35&lt;&gt;"No DD")*(I$4:I$35&lt;&gt;"P")*(E$4:E$35&gt;E28))+1,IF(H28="No DD",SUMPRODUCT((H$4:H$35="No DD")*(I$4:I$35&lt;&gt;"P")*(E$4:E$35&gt;E28))+1+SUMPRODUCT((H$4:H$35&lt;&gt;"")*(I$4:I$35&lt;&gt;"P")*(H$4:H$35&lt;&gt;"No DD")),""))</f>
        <v/>
      </c>
      <c r="B28" s="4" t="s">
        <v>44</v>
      </c>
      <c r="C28" s="3" t="s">
        <v>4</v>
      </c>
      <c r="D28" s="3">
        <v>2007</v>
      </c>
      <c r="E28" s="8">
        <f t="shared" si="0"/>
        <v>46.000004600004594</v>
      </c>
      <c r="F28" s="2" t="str">
        <f>IF(OR(AND(AO28&lt;&gt;"",AO28&gt;=AV$40,AN28&gt;=AV$37),AND(AU28&lt;&gt;"",AU28&gt;=AV$40,AT28&gt;=AV$37),AND(BS28&lt;&gt;"",BS28&gt;=BZ$40,BR28&gt;=BZ$37),AND(BY28&lt;&gt;"",BY28&gt;=BZ$40,BX28&gt;=BZ$37),AND(DB28&lt;&gt;"",DB28&gt;=DK$40,DA28&gt;=DK$37),AND(DJ28&lt;&gt;"",DJ28&gt;=DK$40,DI28&gt;=DK$37),AND(EK28&lt;&gt;"",EK28&gt;=ET$40,EJ28&gt;=ET$37),AND(ES28&lt;&gt;"",ES28&gt;=ET$40,ER28&gt;=ET$37)),"P","")</f>
        <v/>
      </c>
      <c r="G28" s="2" t="str">
        <f>IF(OR(AND(AO28&lt;&gt;"",AO28&gt;=AV$40),AND(AU28&lt;&gt;"",AU28&gt;=AV$40),AND(BS28&lt;&gt;"",BS28&gt;=BZ$40),AND(BY28&lt;&gt;"",BY28&gt;=BZ$40),AND(DB28&lt;&gt;"",DB28&gt;=DK$40),AND(DJ28&lt;&gt;"",DJ28&gt;=DK$40),AND(EK28&lt;&gt;"",EK28&gt;=ET$40),AND(ES28&lt;&gt;"",ES28&gt;=ET$40)),"P","")</f>
        <v/>
      </c>
      <c r="H28" s="26" t="str">
        <f>IF(AND(G28="P",F28=""),"No DD",IF(OR(AND(AK28&lt;&gt;"",AK28&gt;=AV$42,AJ28&gt;=AV$39),AND(AM28&lt;&gt;"",AM28&gt;=AV$42,AL28&gt;=AV$39),AND(AQ28&lt;&gt;"",AQ28&gt;=AV$42,AP28&gt;=AV$39),AND(AS28&lt;&gt;"",AS28&gt;=AV$42,AR28&gt;=AV$39),AND(BO28&lt;&gt;"",BO28&gt;=BZ$42,BN28&gt;=BZ$39),AND(BQ28&lt;&gt;"",BQ28&gt;=BZ$42,BP28&gt;=BZ$39),AND(BV28&lt;&gt;"",BV28&gt;=BZ$42,BU28&gt;=BZ$39),AND(BX28&lt;&gt;"",BX28&gt;=BZ$42,BW28&gt;=BZ$39),AND(CX28&lt;&gt;"",CX28&gt;=DK$42,CW28&gt;=DK$39),AND(CZ28&lt;&gt;"",CZ28&gt;=DK$42,CY28&gt;=DK$39),AND(DD28&lt;&gt;"",DD28&gt;=DK$42,DC28&gt;=DK$39),AND(DF28&lt;&gt;"",DF28&gt;=DK$42,DE28&gt;=DK$39),AND(DH28&lt;&gt;"",DH28&gt;=DK$42,DG28&gt;=DK$39),AND(EG28&lt;&gt;"",EG28&gt;=ET$42,EF28&gt;=ET$39),AND(EI28&lt;&gt;"",EI28&gt;=ET$42,EH28&gt;=ET$39),AND(EM28&lt;&gt;"",EM28&gt;=ET$42,EL28&gt;=ET$39),AND(EO28&lt;&gt;"",EO28&gt;=ET$42,EN28&gt;=ET$39),AND(EQ28&lt;&gt;"",EQ28&gt;=ET$42,EP28&gt;=ET$39)),"Performance",IF(I28="P","National Team",IF(F28="P","National Team",""))))</f>
        <v/>
      </c>
      <c r="I28" s="2" t="str">
        <f>IF(COUNTIFS('Senior-M'!B:B,B28,'Senior-M'!A:A,"&lt;9",'Senior-M'!H:H,"&lt;&gt;"&amp;"No DD"),"P","")</f>
        <v/>
      </c>
      <c r="J28" s="7">
        <f t="shared" si="1"/>
        <v>46</v>
      </c>
      <c r="K28" s="7" t="str">
        <f t="shared" si="2"/>
        <v>2026 Elite Canada</v>
      </c>
      <c r="L28" s="7">
        <f>IF(J28=AO28,IF(COUNT(AQ28,AS28,BO28,BQ28,BU28,BW28)&gt;1,LARGE((AQ28,AS28,BO28,BQ28,BU28,BW28),1),0),IF(COUNT(AK28,AM28,AQ28,AS28,BU28,BW28)&gt;1,LARGE((AK28,AM28,AQ28,AS28,BU28,BW28),1),0))</f>
        <v>0</v>
      </c>
      <c r="M28" s="7" t="str">
        <f t="shared" si="3"/>
        <v/>
      </c>
      <c r="N28" s="7">
        <f>IF(J28=AO28,IF(COUNT(AQ28,AS28,BO28,BQ28,BU28,BW28)&gt;1,LARGE((AQ28,AS28,BO28,BQ28,BU28,BW28),2),0),IF(COUNT(AK28,AM28,AQ28,AS28,BU28,BW28)&gt;1,LARGE((AK28,AM28,AQ28,AS28,BU28,BW28),2),0))</f>
        <v>0</v>
      </c>
      <c r="O28" s="7" t="str">
        <f t="shared" si="4"/>
        <v/>
      </c>
      <c r="P28" s="7" t="str">
        <f t="shared" si="5"/>
        <v/>
      </c>
      <c r="Q28" s="10" t="str">
        <f t="shared" si="6"/>
        <v/>
      </c>
      <c r="R28" s="7" t="str">
        <f t="shared" si="7"/>
        <v/>
      </c>
      <c r="S28" s="38">
        <v>18.399999999999999</v>
      </c>
      <c r="T28" s="38">
        <v>6.8</v>
      </c>
      <c r="U28" s="38">
        <v>0.6</v>
      </c>
      <c r="V28" s="38">
        <v>0</v>
      </c>
      <c r="W28" s="38">
        <v>18.899999999999999</v>
      </c>
      <c r="X28" s="38">
        <v>4.0999999999999996</v>
      </c>
      <c r="Y28" s="38">
        <v>1.6</v>
      </c>
      <c r="Z28" s="38">
        <v>0</v>
      </c>
      <c r="AA28" s="38" t="s">
        <v>175</v>
      </c>
      <c r="AB28" s="38" t="s">
        <v>175</v>
      </c>
      <c r="AC28" s="38" t="s">
        <v>175</v>
      </c>
      <c r="AD28" s="38" t="s">
        <v>175</v>
      </c>
      <c r="AE28" s="38" t="s">
        <v>175</v>
      </c>
      <c r="AF28" s="38" t="s">
        <v>175</v>
      </c>
      <c r="AG28" s="38" t="s">
        <v>175</v>
      </c>
      <c r="AH28" s="38" t="s">
        <v>175</v>
      </c>
      <c r="AI28" s="19"/>
      <c r="AJ28" s="41">
        <f t="shared" si="8"/>
        <v>6.8</v>
      </c>
      <c r="AK28" s="41">
        <f t="shared" si="9"/>
        <v>24.599999999999998</v>
      </c>
      <c r="AL28" s="41">
        <f t="shared" si="10"/>
        <v>4.0999999999999996</v>
      </c>
      <c r="AM28" s="41">
        <f t="shared" si="11"/>
        <v>21.4</v>
      </c>
      <c r="AN28" s="27">
        <f t="shared" si="12"/>
        <v>10.899999999999999</v>
      </c>
      <c r="AO28" s="27">
        <f t="shared" si="13"/>
        <v>46</v>
      </c>
      <c r="AP28" s="27" t="str">
        <f t="shared" si="14"/>
        <v/>
      </c>
      <c r="AQ28" s="27" t="str">
        <f t="shared" si="15"/>
        <v/>
      </c>
      <c r="AR28" s="27" t="str">
        <f t="shared" si="16"/>
        <v/>
      </c>
      <c r="AS28" s="27" t="str">
        <f t="shared" si="17"/>
        <v/>
      </c>
      <c r="AT28" s="27" t="str">
        <f t="shared" si="18"/>
        <v/>
      </c>
      <c r="AU28" s="27" t="str">
        <f t="shared" si="19"/>
        <v/>
      </c>
      <c r="AV28" s="27">
        <f t="shared" si="20"/>
        <v>46</v>
      </c>
      <c r="AW28" s="15"/>
      <c r="AX28" s="15"/>
      <c r="AY28" s="15"/>
      <c r="AZ28" s="15"/>
      <c r="BA28" s="15"/>
      <c r="BB28" s="15"/>
      <c r="BC28" s="15"/>
      <c r="BD28" s="15"/>
      <c r="BE28" s="15"/>
      <c r="BF28" s="15"/>
      <c r="BG28" s="15"/>
      <c r="BH28" s="15"/>
      <c r="BI28" s="15"/>
      <c r="BJ28" s="15"/>
      <c r="BK28" s="15"/>
      <c r="BL28" s="15"/>
      <c r="BM28" s="20"/>
      <c r="BN28" s="42" t="str">
        <f t="shared" si="21"/>
        <v/>
      </c>
      <c r="BO28" s="42" t="str">
        <f t="shared" si="22"/>
        <v/>
      </c>
      <c r="BP28" s="42" t="str">
        <f t="shared" si="23"/>
        <v/>
      </c>
      <c r="BQ28" s="42" t="str">
        <f t="shared" si="24"/>
        <v/>
      </c>
      <c r="BR28" s="10" t="str">
        <f t="shared" si="25"/>
        <v/>
      </c>
      <c r="BS28" s="10" t="str">
        <f t="shared" si="26"/>
        <v/>
      </c>
      <c r="BT28" s="10" t="str">
        <f t="shared" si="27"/>
        <v/>
      </c>
      <c r="BU28" s="10" t="str">
        <f t="shared" si="28"/>
        <v/>
      </c>
      <c r="BV28" s="10" t="str">
        <f t="shared" si="29"/>
        <v/>
      </c>
      <c r="BW28" s="10" t="str">
        <f t="shared" si="30"/>
        <v/>
      </c>
      <c r="BX28" s="10" t="str">
        <f t="shared" si="31"/>
        <v/>
      </c>
      <c r="BY28" s="10" t="str">
        <f t="shared" si="32"/>
        <v/>
      </c>
      <c r="BZ28" s="10" t="str">
        <f t="shared" si="33"/>
        <v/>
      </c>
      <c r="CA28" s="34" t="str">
        <f t="shared" si="34"/>
        <v/>
      </c>
      <c r="CB28" s="34" t="str">
        <f t="shared" si="35"/>
        <v/>
      </c>
      <c r="CC28" s="14"/>
      <c r="CD28" s="14"/>
      <c r="CE28" s="14"/>
      <c r="CF28" s="14"/>
      <c r="CG28" s="14"/>
      <c r="CH28" s="14"/>
      <c r="CI28" s="14"/>
      <c r="CJ28" s="14"/>
      <c r="CK28" s="14"/>
      <c r="CL28" s="14"/>
      <c r="CM28" s="14"/>
      <c r="CN28" s="14"/>
      <c r="CO28" s="14"/>
      <c r="CP28" s="14"/>
      <c r="CQ28" s="14"/>
      <c r="CR28" s="14"/>
      <c r="CS28" s="14"/>
      <c r="CT28" s="14"/>
      <c r="CU28" s="14"/>
      <c r="CV28" s="14"/>
      <c r="CW28" s="27" t="str">
        <f t="shared" si="36"/>
        <v/>
      </c>
      <c r="CX28" s="27" t="str">
        <f t="shared" si="37"/>
        <v/>
      </c>
      <c r="CY28" s="27" t="str">
        <f t="shared" si="38"/>
        <v/>
      </c>
      <c r="CZ28" s="27" t="str">
        <f t="shared" si="39"/>
        <v/>
      </c>
      <c r="DA28" s="27" t="str">
        <f t="shared" si="40"/>
        <v/>
      </c>
      <c r="DB28" s="27" t="str">
        <f t="shared" si="41"/>
        <v/>
      </c>
      <c r="DC28" s="27" t="str">
        <f t="shared" si="42"/>
        <v/>
      </c>
      <c r="DD28" s="27" t="str">
        <f t="shared" si="43"/>
        <v/>
      </c>
      <c r="DE28" s="27" t="str">
        <f t="shared" si="44"/>
        <v/>
      </c>
      <c r="DF28" s="27" t="str">
        <f t="shared" si="45"/>
        <v/>
      </c>
      <c r="DG28" s="27" t="str">
        <f t="shared" si="46"/>
        <v/>
      </c>
      <c r="DH28" s="27" t="str">
        <f t="shared" si="47"/>
        <v/>
      </c>
      <c r="DI28" s="27" t="str">
        <f t="shared" si="48"/>
        <v/>
      </c>
      <c r="DJ28" s="27" t="str">
        <f t="shared" si="49"/>
        <v/>
      </c>
      <c r="DK28" s="27" t="str">
        <f t="shared" si="50"/>
        <v/>
      </c>
      <c r="DL28" s="15"/>
      <c r="DM28" s="15"/>
      <c r="DN28" s="15"/>
      <c r="DO28" s="15"/>
      <c r="DP28" s="15"/>
      <c r="DQ28" s="15"/>
      <c r="DR28" s="15"/>
      <c r="DS28" s="15"/>
      <c r="DT28" s="15"/>
      <c r="DU28" s="15"/>
      <c r="DV28" s="15"/>
      <c r="DW28" s="15"/>
      <c r="DX28" s="15"/>
      <c r="DY28" s="15"/>
      <c r="DZ28" s="15"/>
      <c r="EA28" s="15"/>
      <c r="EB28" s="15"/>
      <c r="EC28" s="15"/>
      <c r="ED28" s="15"/>
      <c r="EE28" s="15"/>
      <c r="EF28" s="10" t="str">
        <f t="shared" si="51"/>
        <v/>
      </c>
      <c r="EG28" s="10" t="str">
        <f t="shared" si="52"/>
        <v/>
      </c>
      <c r="EH28" s="10" t="str">
        <f t="shared" si="53"/>
        <v/>
      </c>
      <c r="EI28" s="10" t="str">
        <f t="shared" si="54"/>
        <v/>
      </c>
      <c r="EJ28" s="10" t="str">
        <f t="shared" si="55"/>
        <v/>
      </c>
      <c r="EK28" s="10" t="str">
        <f t="shared" si="56"/>
        <v/>
      </c>
      <c r="EL28" s="10" t="str">
        <f t="shared" si="57"/>
        <v/>
      </c>
      <c r="EM28" s="10" t="str">
        <f t="shared" si="58"/>
        <v/>
      </c>
      <c r="EN28" s="10" t="str">
        <f t="shared" si="59"/>
        <v/>
      </c>
      <c r="EO28" s="10" t="str">
        <f t="shared" si="60"/>
        <v/>
      </c>
      <c r="EP28" s="10" t="str">
        <f t="shared" si="61"/>
        <v/>
      </c>
      <c r="EQ28" s="10" t="str">
        <f t="shared" si="62"/>
        <v/>
      </c>
      <c r="ER28" s="10" t="str">
        <f t="shared" si="63"/>
        <v/>
      </c>
      <c r="ES28" s="10" t="str">
        <f t="shared" si="64"/>
        <v/>
      </c>
      <c r="ET28" s="10" t="str">
        <f t="shared" si="65"/>
        <v/>
      </c>
    </row>
    <row r="29" spans="1:150" x14ac:dyDescent="0.2">
      <c r="A29" s="3" t="str" cm="1">
        <f t="array" ref="A29">IF(AND(H29&lt;&gt;"",H29&lt;&gt;"No DD",I29&lt;&gt;"P"),SUMPRODUCT((H$4:H$35&lt;&gt;"")*(H$4:H$35&lt;&gt;"No DD")*(I$4:I$35&lt;&gt;"P")*(E$4:E$35&gt;E29))+1,IF(H29="No DD",SUMPRODUCT((H$4:H$35="No DD")*(I$4:I$35&lt;&gt;"P")*(E$4:E$35&gt;E29))+1+SUMPRODUCT((H$4:H$35&lt;&gt;"")*(I$4:I$35&lt;&gt;"P")*(H$4:H$35&lt;&gt;"No DD")),""))</f>
        <v/>
      </c>
      <c r="B29" s="4" t="s">
        <v>123</v>
      </c>
      <c r="C29" s="3" t="s">
        <v>6</v>
      </c>
      <c r="D29" s="3">
        <v>2006</v>
      </c>
      <c r="E29" s="8">
        <f t="shared" si="0"/>
        <v>45.900004590004592</v>
      </c>
      <c r="F29" s="2" t="str">
        <f>IF(OR(AND(AO29&lt;&gt;"",AO29&gt;=AV$40,AN29&gt;=AV$37),AND(AU29&lt;&gt;"",AU29&gt;=AV$40,AT29&gt;=AV$37),AND(BS29&lt;&gt;"",BS29&gt;=BZ$40,BR29&gt;=BZ$37),AND(BY29&lt;&gt;"",BY29&gt;=BZ$40,BX29&gt;=BZ$37),AND(DB29&lt;&gt;"",DB29&gt;=DK$40,DA29&gt;=DK$37),AND(DJ29&lt;&gt;"",DJ29&gt;=DK$40,DI29&gt;=DK$37),AND(EK29&lt;&gt;"",EK29&gt;=ET$40,EJ29&gt;=ET$37),AND(ES29&lt;&gt;"",ES29&gt;=ET$40,ER29&gt;=ET$37)),"P","")</f>
        <v/>
      </c>
      <c r="G29" s="2" t="str">
        <f>IF(OR(AND(AO29&lt;&gt;"",AO29&gt;=AV$40),AND(AU29&lt;&gt;"",AU29&gt;=AV$40),AND(BS29&lt;&gt;"",BS29&gt;=BZ$40),AND(BY29&lt;&gt;"",BY29&gt;=BZ$40),AND(DB29&lt;&gt;"",DB29&gt;=DK$40),AND(DJ29&lt;&gt;"",DJ29&gt;=DK$40),AND(EK29&lt;&gt;"",EK29&gt;=ET$40),AND(ES29&lt;&gt;"",ES29&gt;=ET$40)),"P","")</f>
        <v/>
      </c>
      <c r="H29" s="26" t="str">
        <f>IF(AND(G29="P",F29=""),"No DD",IF(OR(AND(AK29&lt;&gt;"",AK29&gt;=AV$42,AJ29&gt;=AV$39),AND(AM29&lt;&gt;"",AM29&gt;=AV$42,AL29&gt;=AV$39),AND(AQ29&lt;&gt;"",AQ29&gt;=AV$42,AP29&gt;=AV$39),AND(AS29&lt;&gt;"",AS29&gt;=AV$42,AR29&gt;=AV$39),AND(BO29&lt;&gt;"",BO29&gt;=BZ$42,BN29&gt;=BZ$39),AND(BQ29&lt;&gt;"",BQ29&gt;=BZ$42,BP29&gt;=BZ$39),AND(BV29&lt;&gt;"",BV29&gt;=BZ$42,BU29&gt;=BZ$39),AND(BX29&lt;&gt;"",BX29&gt;=BZ$42,BW29&gt;=BZ$39),AND(CX29&lt;&gt;"",CX29&gt;=DK$42,CW29&gt;=DK$39),AND(CZ29&lt;&gt;"",CZ29&gt;=DK$42,CY29&gt;=DK$39),AND(DD29&lt;&gt;"",DD29&gt;=DK$42,DC29&gt;=DK$39),AND(DF29&lt;&gt;"",DF29&gt;=DK$42,DE29&gt;=DK$39),AND(DH29&lt;&gt;"",DH29&gt;=DK$42,DG29&gt;=DK$39),AND(EG29&lt;&gt;"",EG29&gt;=ET$42,EF29&gt;=ET$39),AND(EI29&lt;&gt;"",EI29&gt;=ET$42,EH29&gt;=ET$39),AND(EM29&lt;&gt;"",EM29&gt;=ET$42,EL29&gt;=ET$39),AND(EO29&lt;&gt;"",EO29&gt;=ET$42,EN29&gt;=ET$39),AND(EQ29&lt;&gt;"",EQ29&gt;=ET$42,EP29&gt;=ET$39)),"Performance",IF(I29="P","National Team",IF(F29="P","National Team",""))))</f>
        <v/>
      </c>
      <c r="I29" s="2" t="str">
        <f>IF(COUNTIFS('Senior-M'!B:B,B29,'Senior-M'!A:A,"&lt;9",'Senior-M'!H:H,"&lt;&gt;"&amp;"No DD"),"P","")</f>
        <v/>
      </c>
      <c r="J29" s="7">
        <f t="shared" si="1"/>
        <v>45.9</v>
      </c>
      <c r="K29" s="7" t="str">
        <f t="shared" si="2"/>
        <v>2026 Elite Canada</v>
      </c>
      <c r="L29" s="7">
        <f>IF(J29=AO29,IF(COUNT(AQ29,AS29,BO29,BQ29,BU29,BW29)&gt;1,LARGE((AQ29,AS29,BO29,BQ29,BU29,BW29),1),0),IF(COUNT(AK29,AM29,AQ29,AS29,BU29,BW29)&gt;1,LARGE((AK29,AM29,AQ29,AS29,BU29,BW29),1),0))</f>
        <v>0</v>
      </c>
      <c r="M29" s="7" t="str">
        <f t="shared" si="3"/>
        <v/>
      </c>
      <c r="N29" s="7">
        <f>IF(J29=AO29,IF(COUNT(AQ29,AS29,BO29,BQ29,BU29,BW29)&gt;1,LARGE((AQ29,AS29,BO29,BQ29,BU29,BW29),2),0),IF(COUNT(AK29,AM29,AQ29,AS29,BU29,BW29)&gt;1,LARGE((AK29,AM29,AQ29,AS29,BU29,BW29),2),0))</f>
        <v>0</v>
      </c>
      <c r="O29" s="7" t="str">
        <f t="shared" si="4"/>
        <v/>
      </c>
      <c r="P29" s="7" t="str">
        <f t="shared" si="5"/>
        <v/>
      </c>
      <c r="Q29" s="10" t="str">
        <f t="shared" si="6"/>
        <v/>
      </c>
      <c r="R29" s="7" t="str">
        <f t="shared" si="7"/>
        <v/>
      </c>
      <c r="S29" s="38">
        <v>18.100000000000001</v>
      </c>
      <c r="T29" s="38">
        <v>4.4000000000000004</v>
      </c>
      <c r="U29" s="38">
        <v>0.6</v>
      </c>
      <c r="V29" s="38">
        <v>0</v>
      </c>
      <c r="W29" s="38">
        <v>18.399999999999999</v>
      </c>
      <c r="X29" s="38">
        <v>5.6</v>
      </c>
      <c r="Y29" s="38">
        <v>0</v>
      </c>
      <c r="Z29" s="38">
        <v>0</v>
      </c>
      <c r="AA29" s="38" t="s">
        <v>175</v>
      </c>
      <c r="AB29" s="38" t="s">
        <v>175</v>
      </c>
      <c r="AC29" s="38" t="s">
        <v>175</v>
      </c>
      <c r="AD29" s="38" t="s">
        <v>175</v>
      </c>
      <c r="AE29" s="38" t="s">
        <v>175</v>
      </c>
      <c r="AF29" s="38" t="s">
        <v>175</v>
      </c>
      <c r="AG29" s="38" t="s">
        <v>175</v>
      </c>
      <c r="AH29" s="38" t="s">
        <v>175</v>
      </c>
      <c r="AI29" s="19"/>
      <c r="AJ29" s="41">
        <f t="shared" si="8"/>
        <v>4.4000000000000004</v>
      </c>
      <c r="AK29" s="41">
        <f t="shared" si="9"/>
        <v>21.9</v>
      </c>
      <c r="AL29" s="41">
        <f t="shared" si="10"/>
        <v>5.6</v>
      </c>
      <c r="AM29" s="41">
        <f t="shared" si="11"/>
        <v>24</v>
      </c>
      <c r="AN29" s="27">
        <f t="shared" si="12"/>
        <v>10</v>
      </c>
      <c r="AO29" s="27">
        <f t="shared" si="13"/>
        <v>45.9</v>
      </c>
      <c r="AP29" s="27" t="str">
        <f t="shared" si="14"/>
        <v/>
      </c>
      <c r="AQ29" s="27" t="str">
        <f t="shared" si="15"/>
        <v/>
      </c>
      <c r="AR29" s="27" t="str">
        <f t="shared" si="16"/>
        <v/>
      </c>
      <c r="AS29" s="27" t="str">
        <f t="shared" si="17"/>
        <v/>
      </c>
      <c r="AT29" s="27" t="str">
        <f t="shared" si="18"/>
        <v/>
      </c>
      <c r="AU29" s="27" t="str">
        <f t="shared" si="19"/>
        <v/>
      </c>
      <c r="AV29" s="27">
        <f t="shared" si="20"/>
        <v>45.9</v>
      </c>
      <c r="AW29" s="15"/>
      <c r="AX29" s="15"/>
      <c r="AY29" s="15"/>
      <c r="AZ29" s="15"/>
      <c r="BA29" s="15"/>
      <c r="BB29" s="15"/>
      <c r="BC29" s="15"/>
      <c r="BD29" s="15"/>
      <c r="BE29" s="15"/>
      <c r="BF29" s="15"/>
      <c r="BG29" s="15"/>
      <c r="BH29" s="15"/>
      <c r="BI29" s="15"/>
      <c r="BJ29" s="15"/>
      <c r="BK29" s="15"/>
      <c r="BL29" s="15"/>
      <c r="BM29" s="20"/>
      <c r="BN29" s="42" t="str">
        <f t="shared" si="21"/>
        <v/>
      </c>
      <c r="BO29" s="42" t="str">
        <f t="shared" si="22"/>
        <v/>
      </c>
      <c r="BP29" s="42" t="str">
        <f t="shared" si="23"/>
        <v/>
      </c>
      <c r="BQ29" s="42" t="str">
        <f t="shared" si="24"/>
        <v/>
      </c>
      <c r="BR29" s="10" t="str">
        <f t="shared" si="25"/>
        <v/>
      </c>
      <c r="BS29" s="10" t="str">
        <f t="shared" si="26"/>
        <v/>
      </c>
      <c r="BT29" s="10" t="str">
        <f t="shared" si="27"/>
        <v/>
      </c>
      <c r="BU29" s="10" t="str">
        <f t="shared" si="28"/>
        <v/>
      </c>
      <c r="BV29" s="10" t="str">
        <f t="shared" si="29"/>
        <v/>
      </c>
      <c r="BW29" s="10" t="str">
        <f t="shared" si="30"/>
        <v/>
      </c>
      <c r="BX29" s="10" t="str">
        <f t="shared" si="31"/>
        <v/>
      </c>
      <c r="BY29" s="10" t="str">
        <f t="shared" si="32"/>
        <v/>
      </c>
      <c r="BZ29" s="10" t="str">
        <f t="shared" si="33"/>
        <v/>
      </c>
      <c r="CA29" s="34" t="str">
        <f t="shared" si="34"/>
        <v/>
      </c>
      <c r="CB29" s="34" t="str">
        <f t="shared" si="35"/>
        <v/>
      </c>
      <c r="CC29" s="14"/>
      <c r="CD29" s="14"/>
      <c r="CE29" s="14"/>
      <c r="CF29" s="14"/>
      <c r="CG29" s="14"/>
      <c r="CH29" s="14"/>
      <c r="CI29" s="14"/>
      <c r="CJ29" s="14"/>
      <c r="CK29" s="14"/>
      <c r="CL29" s="14"/>
      <c r="CM29" s="14"/>
      <c r="CN29" s="14"/>
      <c r="CO29" s="14"/>
      <c r="CP29" s="14"/>
      <c r="CQ29" s="14"/>
      <c r="CR29" s="14"/>
      <c r="CS29" s="14"/>
      <c r="CT29" s="14"/>
      <c r="CU29" s="14"/>
      <c r="CV29" s="14"/>
      <c r="CW29" s="27" t="str">
        <f t="shared" si="36"/>
        <v/>
      </c>
      <c r="CX29" s="27" t="str">
        <f t="shared" si="37"/>
        <v/>
      </c>
      <c r="CY29" s="27" t="str">
        <f t="shared" si="38"/>
        <v/>
      </c>
      <c r="CZ29" s="27" t="str">
        <f t="shared" si="39"/>
        <v/>
      </c>
      <c r="DA29" s="27" t="str">
        <f t="shared" si="40"/>
        <v/>
      </c>
      <c r="DB29" s="27" t="str">
        <f t="shared" si="41"/>
        <v/>
      </c>
      <c r="DC29" s="27" t="str">
        <f t="shared" si="42"/>
        <v/>
      </c>
      <c r="DD29" s="27" t="str">
        <f t="shared" si="43"/>
        <v/>
      </c>
      <c r="DE29" s="27" t="str">
        <f t="shared" si="44"/>
        <v/>
      </c>
      <c r="DF29" s="27" t="str">
        <f t="shared" si="45"/>
        <v/>
      </c>
      <c r="DG29" s="27" t="str">
        <f t="shared" si="46"/>
        <v/>
      </c>
      <c r="DH29" s="27" t="str">
        <f t="shared" si="47"/>
        <v/>
      </c>
      <c r="DI29" s="27" t="str">
        <f t="shared" si="48"/>
        <v/>
      </c>
      <c r="DJ29" s="27" t="str">
        <f t="shared" si="49"/>
        <v/>
      </c>
      <c r="DK29" s="27" t="str">
        <f t="shared" si="50"/>
        <v/>
      </c>
      <c r="DL29" s="15"/>
      <c r="DM29" s="15"/>
      <c r="DN29" s="15"/>
      <c r="DO29" s="15"/>
      <c r="DP29" s="15"/>
      <c r="DQ29" s="15"/>
      <c r="DR29" s="15"/>
      <c r="DS29" s="15"/>
      <c r="DT29" s="15"/>
      <c r="DU29" s="15"/>
      <c r="DV29" s="15"/>
      <c r="DW29" s="15"/>
      <c r="DX29" s="15"/>
      <c r="DY29" s="15"/>
      <c r="DZ29" s="15"/>
      <c r="EA29" s="15"/>
      <c r="EB29" s="15"/>
      <c r="EC29" s="15"/>
      <c r="ED29" s="15"/>
      <c r="EE29" s="15"/>
      <c r="EF29" s="10" t="str">
        <f t="shared" si="51"/>
        <v/>
      </c>
      <c r="EG29" s="10" t="str">
        <f t="shared" si="52"/>
        <v/>
      </c>
      <c r="EH29" s="10" t="str">
        <f t="shared" si="53"/>
        <v/>
      </c>
      <c r="EI29" s="10" t="str">
        <f t="shared" si="54"/>
        <v/>
      </c>
      <c r="EJ29" s="10" t="str">
        <f t="shared" si="55"/>
        <v/>
      </c>
      <c r="EK29" s="10" t="str">
        <f t="shared" si="56"/>
        <v/>
      </c>
      <c r="EL29" s="10" t="str">
        <f t="shared" si="57"/>
        <v/>
      </c>
      <c r="EM29" s="10" t="str">
        <f t="shared" si="58"/>
        <v/>
      </c>
      <c r="EN29" s="10" t="str">
        <f t="shared" si="59"/>
        <v/>
      </c>
      <c r="EO29" s="10" t="str">
        <f t="shared" si="60"/>
        <v/>
      </c>
      <c r="EP29" s="10" t="str">
        <f t="shared" si="61"/>
        <v/>
      </c>
      <c r="EQ29" s="10" t="str">
        <f t="shared" si="62"/>
        <v/>
      </c>
      <c r="ER29" s="10" t="str">
        <f t="shared" si="63"/>
        <v/>
      </c>
      <c r="ES29" s="10" t="str">
        <f t="shared" si="64"/>
        <v/>
      </c>
      <c r="ET29" s="10" t="str">
        <f t="shared" si="65"/>
        <v/>
      </c>
    </row>
    <row r="30" spans="1:150" x14ac:dyDescent="0.2">
      <c r="A30" s="3" t="str" cm="1">
        <f t="array" ref="A30">IF(AND(H30&lt;&gt;"",H30&lt;&gt;"No DD",I30&lt;&gt;"P"),SUMPRODUCT((H$4:H$35&lt;&gt;"")*(H$4:H$35&lt;&gt;"No DD")*(I$4:I$35&lt;&gt;"P")*(E$4:E$35&gt;E30))+1,IF(H30="No DD",SUMPRODUCT((H$4:H$35="No DD")*(I$4:I$35&lt;&gt;"P")*(E$4:E$35&gt;E30))+1+SUMPRODUCT((H$4:H$35&lt;&gt;"")*(I$4:I$35&lt;&gt;"P")*(H$4:H$35&lt;&gt;"No DD")),""))</f>
        <v/>
      </c>
      <c r="B30" s="4" t="s">
        <v>156</v>
      </c>
      <c r="C30" s="3" t="s">
        <v>6</v>
      </c>
      <c r="D30" s="3">
        <v>2007</v>
      </c>
      <c r="E30" s="8">
        <f t="shared" si="0"/>
        <v>44.900004490004491</v>
      </c>
      <c r="F30" s="2" t="str">
        <f>IF(OR(AND(AO30&lt;&gt;"",AO30&gt;=AV$40,AN30&gt;=AV$37),AND(AU30&lt;&gt;"",AU30&gt;=AV$40,AT30&gt;=AV$37),AND(BS30&lt;&gt;"",BS30&gt;=BZ$40,BR30&gt;=BZ$37),AND(BY30&lt;&gt;"",BY30&gt;=BZ$40,BX30&gt;=BZ$37),AND(DB30&lt;&gt;"",DB30&gt;=DK$40,DA30&gt;=DK$37),AND(DJ30&lt;&gt;"",DJ30&gt;=DK$40,DI30&gt;=DK$37),AND(EK30&lt;&gt;"",EK30&gt;=ET$40,EJ30&gt;=ET$37),AND(ES30&lt;&gt;"",ES30&gt;=ET$40,ER30&gt;=ET$37)),"P","")</f>
        <v/>
      </c>
      <c r="G30" s="2" t="str">
        <f>IF(OR(AND(AO30&lt;&gt;"",AO30&gt;=AV$40),AND(AU30&lt;&gt;"",AU30&gt;=AV$40),AND(BS30&lt;&gt;"",BS30&gt;=BZ$40),AND(BY30&lt;&gt;"",BY30&gt;=BZ$40),AND(DB30&lt;&gt;"",DB30&gt;=DK$40),AND(DJ30&lt;&gt;"",DJ30&gt;=DK$40),AND(EK30&lt;&gt;"",EK30&gt;=ET$40),AND(ES30&lt;&gt;"",ES30&gt;=ET$40)),"P","")</f>
        <v/>
      </c>
      <c r="H30" s="26" t="str">
        <f>IF(AND(G30="P",F30=""),"No DD",IF(OR(AND(AK30&lt;&gt;"",AK30&gt;=AV$42,AJ30&gt;=AV$39),AND(AM30&lt;&gt;"",AM30&gt;=AV$42,AL30&gt;=AV$39),AND(AQ30&lt;&gt;"",AQ30&gt;=AV$42,AP30&gt;=AV$39),AND(AS30&lt;&gt;"",AS30&gt;=AV$42,AR30&gt;=AV$39),AND(BO30&lt;&gt;"",BO30&gt;=BZ$42,BN30&gt;=BZ$39),AND(BQ30&lt;&gt;"",BQ30&gt;=BZ$42,BP30&gt;=BZ$39),AND(BV30&lt;&gt;"",BV30&gt;=BZ$42,BU30&gt;=BZ$39),AND(BX30&lt;&gt;"",BX30&gt;=BZ$42,BW30&gt;=BZ$39),AND(CX30&lt;&gt;"",CX30&gt;=DK$42,CW30&gt;=DK$39),AND(CZ30&lt;&gt;"",CZ30&gt;=DK$42,CY30&gt;=DK$39),AND(DD30&lt;&gt;"",DD30&gt;=DK$42,DC30&gt;=DK$39),AND(DF30&lt;&gt;"",DF30&gt;=DK$42,DE30&gt;=DK$39),AND(DH30&lt;&gt;"",DH30&gt;=DK$42,DG30&gt;=DK$39),AND(EG30&lt;&gt;"",EG30&gt;=ET$42,EF30&gt;=ET$39),AND(EI30&lt;&gt;"",EI30&gt;=ET$42,EH30&gt;=ET$39),AND(EM30&lt;&gt;"",EM30&gt;=ET$42,EL30&gt;=ET$39),AND(EO30&lt;&gt;"",EO30&gt;=ET$42,EN30&gt;=ET$39),AND(EQ30&lt;&gt;"",EQ30&gt;=ET$42,EP30&gt;=ET$39)),"Performance",IF(I30="P","National Team",IF(F30="P","National Team",""))))</f>
        <v/>
      </c>
      <c r="I30" s="2" t="str">
        <f>IF(COUNTIFS('Senior-M'!B:B,B30,'Senior-M'!A:A,"&lt;9",'Senior-M'!H:H,"&lt;&gt;"&amp;"No DD"),"P","")</f>
        <v/>
      </c>
      <c r="J30" s="7">
        <f t="shared" si="1"/>
        <v>44.9</v>
      </c>
      <c r="K30" s="7" t="str">
        <f t="shared" si="2"/>
        <v>2026 Elite Canada</v>
      </c>
      <c r="L30" s="7">
        <f>IF(J30=AO30,IF(COUNT(AQ30,AS30,BO30,BQ30,BU30,BW30)&gt;1,LARGE((AQ30,AS30,BO30,BQ30,BU30,BW30),1),0),IF(COUNT(AK30,AM30,AQ30,AS30,BU30,BW30)&gt;1,LARGE((AK30,AM30,AQ30,AS30,BU30,BW30),1),0))</f>
        <v>0</v>
      </c>
      <c r="M30" s="7" t="str">
        <f t="shared" si="3"/>
        <v/>
      </c>
      <c r="N30" s="7">
        <f>IF(J30=AO30,IF(COUNT(AQ30,AS30,BO30,BQ30,BU30,BW30)&gt;1,LARGE((AQ30,AS30,BO30,BQ30,BU30,BW30),2),0),IF(COUNT(AK30,AM30,AQ30,AS30,BU30,BW30)&gt;1,LARGE((AK30,AM30,AQ30,AS30,BU30,BW30),2),0))</f>
        <v>0</v>
      </c>
      <c r="O30" s="7" t="str">
        <f t="shared" si="4"/>
        <v/>
      </c>
      <c r="P30" s="7" t="str">
        <f t="shared" si="5"/>
        <v/>
      </c>
      <c r="Q30" s="10" t="str">
        <f t="shared" si="6"/>
        <v/>
      </c>
      <c r="R30" s="7" t="str">
        <f t="shared" si="7"/>
        <v/>
      </c>
      <c r="S30" s="38">
        <v>18.3</v>
      </c>
      <c r="T30" s="38">
        <v>4.8</v>
      </c>
      <c r="U30" s="38">
        <v>0.8</v>
      </c>
      <c r="V30" s="38">
        <v>0</v>
      </c>
      <c r="W30" s="38">
        <v>18.399999999999999</v>
      </c>
      <c r="X30" s="38">
        <v>4.8</v>
      </c>
      <c r="Y30" s="38">
        <v>0.6</v>
      </c>
      <c r="Z30" s="38">
        <v>0</v>
      </c>
      <c r="AA30" s="38" t="s">
        <v>175</v>
      </c>
      <c r="AB30" s="38" t="s">
        <v>175</v>
      </c>
      <c r="AC30" s="38" t="s">
        <v>175</v>
      </c>
      <c r="AD30" s="38" t="s">
        <v>175</v>
      </c>
      <c r="AE30" s="38" t="s">
        <v>175</v>
      </c>
      <c r="AF30" s="38" t="s">
        <v>175</v>
      </c>
      <c r="AG30" s="38" t="s">
        <v>175</v>
      </c>
      <c r="AH30" s="38" t="s">
        <v>175</v>
      </c>
      <c r="AI30" s="19"/>
      <c r="AJ30" s="41">
        <f t="shared" si="8"/>
        <v>4.8</v>
      </c>
      <c r="AK30" s="41">
        <f t="shared" si="9"/>
        <v>22.3</v>
      </c>
      <c r="AL30" s="41">
        <f t="shared" si="10"/>
        <v>4.8</v>
      </c>
      <c r="AM30" s="41">
        <f t="shared" si="11"/>
        <v>22.599999999999998</v>
      </c>
      <c r="AN30" s="27">
        <f t="shared" si="12"/>
        <v>9.6</v>
      </c>
      <c r="AO30" s="27">
        <f t="shared" si="13"/>
        <v>44.9</v>
      </c>
      <c r="AP30" s="27" t="str">
        <f t="shared" si="14"/>
        <v/>
      </c>
      <c r="AQ30" s="27" t="str">
        <f t="shared" si="15"/>
        <v/>
      </c>
      <c r="AR30" s="27" t="str">
        <f t="shared" si="16"/>
        <v/>
      </c>
      <c r="AS30" s="27" t="str">
        <f t="shared" si="17"/>
        <v/>
      </c>
      <c r="AT30" s="27" t="str">
        <f t="shared" si="18"/>
        <v/>
      </c>
      <c r="AU30" s="27" t="str">
        <f t="shared" si="19"/>
        <v/>
      </c>
      <c r="AV30" s="27">
        <f t="shared" si="20"/>
        <v>44.9</v>
      </c>
      <c r="AW30" s="15"/>
      <c r="AX30" s="15"/>
      <c r="AY30" s="15"/>
      <c r="AZ30" s="15"/>
      <c r="BA30" s="15"/>
      <c r="BB30" s="15"/>
      <c r="BC30" s="15"/>
      <c r="BD30" s="15"/>
      <c r="BE30" s="15"/>
      <c r="BF30" s="15"/>
      <c r="BG30" s="15"/>
      <c r="BH30" s="15"/>
      <c r="BI30" s="15"/>
      <c r="BJ30" s="15"/>
      <c r="BK30" s="15"/>
      <c r="BL30" s="15"/>
      <c r="BM30" s="20"/>
      <c r="BN30" s="42" t="str">
        <f t="shared" si="21"/>
        <v/>
      </c>
      <c r="BO30" s="42" t="str">
        <f t="shared" si="22"/>
        <v/>
      </c>
      <c r="BP30" s="42" t="str">
        <f t="shared" si="23"/>
        <v/>
      </c>
      <c r="BQ30" s="42" t="str">
        <f t="shared" si="24"/>
        <v/>
      </c>
      <c r="BR30" s="10" t="str">
        <f t="shared" si="25"/>
        <v/>
      </c>
      <c r="BS30" s="10" t="str">
        <f t="shared" si="26"/>
        <v/>
      </c>
      <c r="BT30" s="10" t="str">
        <f t="shared" si="27"/>
        <v/>
      </c>
      <c r="BU30" s="10" t="str">
        <f t="shared" si="28"/>
        <v/>
      </c>
      <c r="BV30" s="10" t="str">
        <f t="shared" si="29"/>
        <v/>
      </c>
      <c r="BW30" s="10" t="str">
        <f t="shared" si="30"/>
        <v/>
      </c>
      <c r="BX30" s="10" t="str">
        <f t="shared" si="31"/>
        <v/>
      </c>
      <c r="BY30" s="10" t="str">
        <f t="shared" si="32"/>
        <v/>
      </c>
      <c r="BZ30" s="10" t="str">
        <f t="shared" si="33"/>
        <v/>
      </c>
      <c r="CA30" s="34" t="str">
        <f t="shared" si="34"/>
        <v/>
      </c>
      <c r="CB30" s="34" t="str">
        <f t="shared" si="35"/>
        <v/>
      </c>
      <c r="CC30" s="14"/>
      <c r="CD30" s="14"/>
      <c r="CE30" s="14"/>
      <c r="CF30" s="14"/>
      <c r="CG30" s="14"/>
      <c r="CH30" s="14"/>
      <c r="CI30" s="14"/>
      <c r="CJ30" s="14"/>
      <c r="CK30" s="14"/>
      <c r="CL30" s="14"/>
      <c r="CM30" s="14"/>
      <c r="CN30" s="14"/>
      <c r="CO30" s="14"/>
      <c r="CP30" s="14"/>
      <c r="CQ30" s="14"/>
      <c r="CR30" s="14"/>
      <c r="CS30" s="14"/>
      <c r="CT30" s="14"/>
      <c r="CU30" s="14"/>
      <c r="CV30" s="14"/>
      <c r="CW30" s="27" t="str">
        <f t="shared" si="36"/>
        <v/>
      </c>
      <c r="CX30" s="27" t="str">
        <f t="shared" si="37"/>
        <v/>
      </c>
      <c r="CY30" s="27" t="str">
        <f t="shared" si="38"/>
        <v/>
      </c>
      <c r="CZ30" s="27" t="str">
        <f t="shared" si="39"/>
        <v/>
      </c>
      <c r="DA30" s="27" t="str">
        <f t="shared" si="40"/>
        <v/>
      </c>
      <c r="DB30" s="27" t="str">
        <f t="shared" si="41"/>
        <v/>
      </c>
      <c r="DC30" s="27" t="str">
        <f t="shared" si="42"/>
        <v/>
      </c>
      <c r="DD30" s="27" t="str">
        <f t="shared" si="43"/>
        <v/>
      </c>
      <c r="DE30" s="27" t="str">
        <f t="shared" si="44"/>
        <v/>
      </c>
      <c r="DF30" s="27" t="str">
        <f t="shared" si="45"/>
        <v/>
      </c>
      <c r="DG30" s="27" t="str">
        <f t="shared" si="46"/>
        <v/>
      </c>
      <c r="DH30" s="27" t="str">
        <f t="shared" si="47"/>
        <v/>
      </c>
      <c r="DI30" s="27" t="str">
        <f t="shared" si="48"/>
        <v/>
      </c>
      <c r="DJ30" s="27" t="str">
        <f t="shared" si="49"/>
        <v/>
      </c>
      <c r="DK30" s="27" t="str">
        <f t="shared" si="50"/>
        <v/>
      </c>
      <c r="DL30" s="15"/>
      <c r="DM30" s="15"/>
      <c r="DN30" s="15"/>
      <c r="DO30" s="15"/>
      <c r="DP30" s="15"/>
      <c r="DQ30" s="15"/>
      <c r="DR30" s="15"/>
      <c r="DS30" s="15"/>
      <c r="DT30" s="15"/>
      <c r="DU30" s="15"/>
      <c r="DV30" s="15"/>
      <c r="DW30" s="15"/>
      <c r="DX30" s="15"/>
      <c r="DY30" s="15"/>
      <c r="DZ30" s="15"/>
      <c r="EA30" s="15"/>
      <c r="EB30" s="15"/>
      <c r="EC30" s="15"/>
      <c r="ED30" s="15"/>
      <c r="EE30" s="15"/>
      <c r="EF30" s="10" t="str">
        <f t="shared" si="51"/>
        <v/>
      </c>
      <c r="EG30" s="10" t="str">
        <f t="shared" si="52"/>
        <v/>
      </c>
      <c r="EH30" s="10" t="str">
        <f t="shared" si="53"/>
        <v/>
      </c>
      <c r="EI30" s="10" t="str">
        <f t="shared" si="54"/>
        <v/>
      </c>
      <c r="EJ30" s="10" t="str">
        <f t="shared" si="55"/>
        <v/>
      </c>
      <c r="EK30" s="10" t="str">
        <f t="shared" si="56"/>
        <v/>
      </c>
      <c r="EL30" s="10" t="str">
        <f t="shared" si="57"/>
        <v/>
      </c>
      <c r="EM30" s="10" t="str">
        <f t="shared" si="58"/>
        <v/>
      </c>
      <c r="EN30" s="10" t="str">
        <f t="shared" si="59"/>
        <v/>
      </c>
      <c r="EO30" s="10" t="str">
        <f t="shared" si="60"/>
        <v/>
      </c>
      <c r="EP30" s="10" t="str">
        <f t="shared" si="61"/>
        <v/>
      </c>
      <c r="EQ30" s="10" t="str">
        <f t="shared" si="62"/>
        <v/>
      </c>
      <c r="ER30" s="10" t="str">
        <f t="shared" si="63"/>
        <v/>
      </c>
      <c r="ES30" s="10" t="str">
        <f t="shared" si="64"/>
        <v/>
      </c>
      <c r="ET30" s="10" t="str">
        <f t="shared" si="65"/>
        <v/>
      </c>
    </row>
    <row r="31" spans="1:150" x14ac:dyDescent="0.2">
      <c r="A31" s="3" t="str" cm="1">
        <f t="array" ref="A31">IF(AND(H31&lt;&gt;"",H31&lt;&gt;"No DD",I31&lt;&gt;"P"),SUMPRODUCT((H$4:H$35&lt;&gt;"")*(H$4:H$35&lt;&gt;"No DD")*(I$4:I$35&lt;&gt;"P")*(E$4:E$35&gt;E31))+1,IF(H31="No DD",SUMPRODUCT((H$4:H$35="No DD")*(I$4:I$35&lt;&gt;"P")*(E$4:E$35&gt;E31))+1+SUMPRODUCT((H$4:H$35&lt;&gt;"")*(I$4:I$35&lt;&gt;"P")*(H$4:H$35&lt;&gt;"No DD")),""))</f>
        <v/>
      </c>
      <c r="B31" s="4" t="s">
        <v>157</v>
      </c>
      <c r="C31" s="3" t="s">
        <v>5</v>
      </c>
      <c r="D31" s="3">
        <v>2009</v>
      </c>
      <c r="E31" s="8">
        <f t="shared" si="0"/>
        <v>44.500004450004447</v>
      </c>
      <c r="F31" s="2" t="str">
        <f>IF(OR(AND(AO31&lt;&gt;"",AO31&gt;=AV$40,AN31&gt;=AV$37),AND(AU31&lt;&gt;"",AU31&gt;=AV$40,AT31&gt;=AV$37),AND(BS31&lt;&gt;"",BS31&gt;=BZ$40,BR31&gt;=BZ$37),AND(BY31&lt;&gt;"",BY31&gt;=BZ$40,BX31&gt;=BZ$37),AND(DB31&lt;&gt;"",DB31&gt;=DK$40,DA31&gt;=DK$37),AND(DJ31&lt;&gt;"",DJ31&gt;=DK$40,DI31&gt;=DK$37),AND(EK31&lt;&gt;"",EK31&gt;=ET$40,EJ31&gt;=ET$37),AND(ES31&lt;&gt;"",ES31&gt;=ET$40,ER31&gt;=ET$37)),"P","")</f>
        <v/>
      </c>
      <c r="G31" s="2" t="str">
        <f>IF(OR(AND(AO31&lt;&gt;"",AO31&gt;=AV$40),AND(AU31&lt;&gt;"",AU31&gt;=AV$40),AND(BS31&lt;&gt;"",BS31&gt;=BZ$40),AND(BY31&lt;&gt;"",BY31&gt;=BZ$40),AND(DB31&lt;&gt;"",DB31&gt;=DK$40),AND(DJ31&lt;&gt;"",DJ31&gt;=DK$40),AND(EK31&lt;&gt;"",EK31&gt;=ET$40),AND(ES31&lt;&gt;"",ES31&gt;=ET$40)),"P","")</f>
        <v/>
      </c>
      <c r="H31" s="26" t="str">
        <f>IF(AND(G31="P",F31=""),"No DD",IF(OR(AND(AK31&lt;&gt;"",AK31&gt;=AV$42,AJ31&gt;=AV$39),AND(AM31&lt;&gt;"",AM31&gt;=AV$42,AL31&gt;=AV$39),AND(AQ31&lt;&gt;"",AQ31&gt;=AV$42,AP31&gt;=AV$39),AND(AS31&lt;&gt;"",AS31&gt;=AV$42,AR31&gt;=AV$39),AND(BO31&lt;&gt;"",BO31&gt;=BZ$42,BN31&gt;=BZ$39),AND(BQ31&lt;&gt;"",BQ31&gt;=BZ$42,BP31&gt;=BZ$39),AND(BV31&lt;&gt;"",BV31&gt;=BZ$42,BU31&gt;=BZ$39),AND(BX31&lt;&gt;"",BX31&gt;=BZ$42,BW31&gt;=BZ$39),AND(CX31&lt;&gt;"",CX31&gt;=DK$42,CW31&gt;=DK$39),AND(CZ31&lt;&gt;"",CZ31&gt;=DK$42,CY31&gt;=DK$39),AND(DD31&lt;&gt;"",DD31&gt;=DK$42,DC31&gt;=DK$39),AND(DF31&lt;&gt;"",DF31&gt;=DK$42,DE31&gt;=DK$39),AND(DH31&lt;&gt;"",DH31&gt;=DK$42,DG31&gt;=DK$39),AND(EG31&lt;&gt;"",EG31&gt;=ET$42,EF31&gt;=ET$39),AND(EI31&lt;&gt;"",EI31&gt;=ET$42,EH31&gt;=ET$39),AND(EM31&lt;&gt;"",EM31&gt;=ET$42,EL31&gt;=ET$39),AND(EO31&lt;&gt;"",EO31&gt;=ET$42,EN31&gt;=ET$39),AND(EQ31&lt;&gt;"",EQ31&gt;=ET$42,EP31&gt;=ET$39)),"Performance",IF(I31="P","National Team",IF(F31="P","National Team",""))))</f>
        <v/>
      </c>
      <c r="I31" s="2" t="str">
        <f>IF(COUNTIFS('Senior-M'!B:B,B31,'Senior-M'!A:A,"&lt;9",'Senior-M'!H:H,"&lt;&gt;"&amp;"No DD"),"P","")</f>
        <v/>
      </c>
      <c r="J31" s="7">
        <f t="shared" si="1"/>
        <v>44.5</v>
      </c>
      <c r="K31" s="7" t="str">
        <f t="shared" si="2"/>
        <v>2026 Elite Canada</v>
      </c>
      <c r="L31" s="7">
        <f>IF(J31=AO31,IF(COUNT(AQ31,AS31,BO31,BQ31,BU31,BW31)&gt;1,LARGE((AQ31,AS31,BO31,BQ31,BU31,BW31),1),0),IF(COUNT(AK31,AM31,AQ31,AS31,BU31,BW31)&gt;1,LARGE((AK31,AM31,AQ31,AS31,BU31,BW31),1),0))</f>
        <v>0</v>
      </c>
      <c r="M31" s="7" t="str">
        <f t="shared" si="3"/>
        <v/>
      </c>
      <c r="N31" s="7">
        <f>IF(J31=AO31,IF(COUNT(AQ31,AS31,BO31,BQ31,BU31,BW31)&gt;1,LARGE((AQ31,AS31,BO31,BQ31,BU31,BW31),2),0),IF(COUNT(AK31,AM31,AQ31,AS31,BU31,BW31)&gt;1,LARGE((AK31,AM31,AQ31,AS31,BU31,BW31),2),0))</f>
        <v>0</v>
      </c>
      <c r="O31" s="7" t="str">
        <f t="shared" si="4"/>
        <v/>
      </c>
      <c r="P31" s="7" t="str">
        <f t="shared" si="5"/>
        <v/>
      </c>
      <c r="Q31" s="10" t="str">
        <f t="shared" si="6"/>
        <v/>
      </c>
      <c r="R31" s="7" t="str">
        <f t="shared" si="7"/>
        <v/>
      </c>
      <c r="S31" s="38">
        <v>17.899999999999999</v>
      </c>
      <c r="T31" s="38">
        <v>5.6</v>
      </c>
      <c r="U31" s="38">
        <v>0.2</v>
      </c>
      <c r="V31" s="38">
        <v>0</v>
      </c>
      <c r="W31" s="38">
        <v>17.600000000000001</v>
      </c>
      <c r="X31" s="38">
        <v>4.4000000000000004</v>
      </c>
      <c r="Y31" s="38">
        <v>0.8</v>
      </c>
      <c r="Z31" s="38">
        <v>0</v>
      </c>
      <c r="AA31" s="38" t="s">
        <v>175</v>
      </c>
      <c r="AB31" s="38" t="s">
        <v>175</v>
      </c>
      <c r="AC31" s="38" t="s">
        <v>175</v>
      </c>
      <c r="AD31" s="38" t="s">
        <v>175</v>
      </c>
      <c r="AE31" s="38" t="s">
        <v>175</v>
      </c>
      <c r="AF31" s="38" t="s">
        <v>175</v>
      </c>
      <c r="AG31" s="38" t="s">
        <v>175</v>
      </c>
      <c r="AH31" s="38" t="s">
        <v>175</v>
      </c>
      <c r="AI31" s="19"/>
      <c r="AJ31" s="41">
        <f t="shared" si="8"/>
        <v>5.6</v>
      </c>
      <c r="AK31" s="41">
        <f t="shared" si="9"/>
        <v>23.3</v>
      </c>
      <c r="AL31" s="41">
        <f t="shared" si="10"/>
        <v>4.4000000000000004</v>
      </c>
      <c r="AM31" s="41">
        <f t="shared" si="11"/>
        <v>21.2</v>
      </c>
      <c r="AN31" s="27">
        <f t="shared" si="12"/>
        <v>10</v>
      </c>
      <c r="AO31" s="27">
        <f t="shared" si="13"/>
        <v>44.5</v>
      </c>
      <c r="AP31" s="27" t="str">
        <f t="shared" si="14"/>
        <v/>
      </c>
      <c r="AQ31" s="27" t="str">
        <f t="shared" si="15"/>
        <v/>
      </c>
      <c r="AR31" s="27" t="str">
        <f t="shared" si="16"/>
        <v/>
      </c>
      <c r="AS31" s="27" t="str">
        <f t="shared" si="17"/>
        <v/>
      </c>
      <c r="AT31" s="27" t="str">
        <f t="shared" si="18"/>
        <v/>
      </c>
      <c r="AU31" s="27" t="str">
        <f t="shared" si="19"/>
        <v/>
      </c>
      <c r="AV31" s="27">
        <f t="shared" si="20"/>
        <v>44.5</v>
      </c>
      <c r="AW31" s="15"/>
      <c r="AX31" s="15"/>
      <c r="AY31" s="15"/>
      <c r="AZ31" s="15"/>
      <c r="BA31" s="15"/>
      <c r="BB31" s="15"/>
      <c r="BC31" s="15"/>
      <c r="BD31" s="15"/>
      <c r="BE31" s="15"/>
      <c r="BF31" s="15"/>
      <c r="BG31" s="15"/>
      <c r="BH31" s="15"/>
      <c r="BI31" s="15"/>
      <c r="BJ31" s="15"/>
      <c r="BK31" s="15"/>
      <c r="BL31" s="15"/>
      <c r="BM31" s="20"/>
      <c r="BN31" s="42" t="str">
        <f t="shared" si="21"/>
        <v/>
      </c>
      <c r="BO31" s="42" t="str">
        <f t="shared" si="22"/>
        <v/>
      </c>
      <c r="BP31" s="42" t="str">
        <f t="shared" si="23"/>
        <v/>
      </c>
      <c r="BQ31" s="42" t="str">
        <f t="shared" si="24"/>
        <v/>
      </c>
      <c r="BR31" s="10" t="str">
        <f t="shared" si="25"/>
        <v/>
      </c>
      <c r="BS31" s="10" t="str">
        <f t="shared" si="26"/>
        <v/>
      </c>
      <c r="BT31" s="10" t="str">
        <f t="shared" si="27"/>
        <v/>
      </c>
      <c r="BU31" s="10" t="str">
        <f t="shared" si="28"/>
        <v/>
      </c>
      <c r="BV31" s="10" t="str">
        <f t="shared" si="29"/>
        <v/>
      </c>
      <c r="BW31" s="10" t="str">
        <f t="shared" si="30"/>
        <v/>
      </c>
      <c r="BX31" s="10" t="str">
        <f t="shared" si="31"/>
        <v/>
      </c>
      <c r="BY31" s="10" t="str">
        <f t="shared" si="32"/>
        <v/>
      </c>
      <c r="BZ31" s="10" t="str">
        <f t="shared" si="33"/>
        <v/>
      </c>
      <c r="CA31" s="34" t="str">
        <f t="shared" si="34"/>
        <v/>
      </c>
      <c r="CB31" s="34" t="str">
        <f t="shared" si="35"/>
        <v/>
      </c>
      <c r="CC31" s="14"/>
      <c r="CD31" s="14"/>
      <c r="CE31" s="14"/>
      <c r="CF31" s="14"/>
      <c r="CG31" s="14"/>
      <c r="CH31" s="14"/>
      <c r="CI31" s="14"/>
      <c r="CJ31" s="14"/>
      <c r="CK31" s="14"/>
      <c r="CL31" s="14"/>
      <c r="CM31" s="14"/>
      <c r="CN31" s="14"/>
      <c r="CO31" s="14"/>
      <c r="CP31" s="14"/>
      <c r="CQ31" s="14"/>
      <c r="CR31" s="14"/>
      <c r="CS31" s="14"/>
      <c r="CT31" s="14"/>
      <c r="CU31" s="14"/>
      <c r="CV31" s="14"/>
      <c r="CW31" s="27" t="str">
        <f t="shared" si="36"/>
        <v/>
      </c>
      <c r="CX31" s="27" t="str">
        <f t="shared" si="37"/>
        <v/>
      </c>
      <c r="CY31" s="27" t="str">
        <f t="shared" si="38"/>
        <v/>
      </c>
      <c r="CZ31" s="27" t="str">
        <f t="shared" si="39"/>
        <v/>
      </c>
      <c r="DA31" s="27" t="str">
        <f t="shared" si="40"/>
        <v/>
      </c>
      <c r="DB31" s="27" t="str">
        <f t="shared" si="41"/>
        <v/>
      </c>
      <c r="DC31" s="27" t="str">
        <f t="shared" si="42"/>
        <v/>
      </c>
      <c r="DD31" s="27" t="str">
        <f t="shared" si="43"/>
        <v/>
      </c>
      <c r="DE31" s="27" t="str">
        <f t="shared" si="44"/>
        <v/>
      </c>
      <c r="DF31" s="27" t="str">
        <f t="shared" si="45"/>
        <v/>
      </c>
      <c r="DG31" s="27" t="str">
        <f t="shared" si="46"/>
        <v/>
      </c>
      <c r="DH31" s="27" t="str">
        <f t="shared" si="47"/>
        <v/>
      </c>
      <c r="DI31" s="27" t="str">
        <f t="shared" si="48"/>
        <v/>
      </c>
      <c r="DJ31" s="27" t="str">
        <f t="shared" si="49"/>
        <v/>
      </c>
      <c r="DK31" s="27" t="str">
        <f t="shared" si="50"/>
        <v/>
      </c>
      <c r="DL31" s="15"/>
      <c r="DM31" s="15"/>
      <c r="DN31" s="15"/>
      <c r="DO31" s="15"/>
      <c r="DP31" s="15"/>
      <c r="DQ31" s="15"/>
      <c r="DR31" s="15"/>
      <c r="DS31" s="15"/>
      <c r="DT31" s="15"/>
      <c r="DU31" s="15"/>
      <c r="DV31" s="15"/>
      <c r="DW31" s="15"/>
      <c r="DX31" s="15"/>
      <c r="DY31" s="15"/>
      <c r="DZ31" s="15"/>
      <c r="EA31" s="15"/>
      <c r="EB31" s="15"/>
      <c r="EC31" s="15"/>
      <c r="ED31" s="15"/>
      <c r="EE31" s="15"/>
      <c r="EF31" s="10" t="str">
        <f t="shared" si="51"/>
        <v/>
      </c>
      <c r="EG31" s="10" t="str">
        <f t="shared" si="52"/>
        <v/>
      </c>
      <c r="EH31" s="10" t="str">
        <f t="shared" si="53"/>
        <v/>
      </c>
      <c r="EI31" s="10" t="str">
        <f t="shared" si="54"/>
        <v/>
      </c>
      <c r="EJ31" s="10" t="str">
        <f t="shared" si="55"/>
        <v/>
      </c>
      <c r="EK31" s="10" t="str">
        <f t="shared" si="56"/>
        <v/>
      </c>
      <c r="EL31" s="10" t="str">
        <f t="shared" si="57"/>
        <v/>
      </c>
      <c r="EM31" s="10" t="str">
        <f t="shared" si="58"/>
        <v/>
      </c>
      <c r="EN31" s="10" t="str">
        <f t="shared" si="59"/>
        <v/>
      </c>
      <c r="EO31" s="10" t="str">
        <f t="shared" si="60"/>
        <v/>
      </c>
      <c r="EP31" s="10" t="str">
        <f t="shared" si="61"/>
        <v/>
      </c>
      <c r="EQ31" s="10" t="str">
        <f t="shared" si="62"/>
        <v/>
      </c>
      <c r="ER31" s="10" t="str">
        <f t="shared" si="63"/>
        <v/>
      </c>
      <c r="ES31" s="10" t="str">
        <f t="shared" si="64"/>
        <v/>
      </c>
      <c r="ET31" s="10" t="str">
        <f t="shared" si="65"/>
        <v/>
      </c>
    </row>
    <row r="32" spans="1:150" x14ac:dyDescent="0.2">
      <c r="A32" s="3" t="str" cm="1">
        <f t="array" ref="A32">IF(AND(H32&lt;&gt;"",H32&lt;&gt;"No DD",I32&lt;&gt;"P"),SUMPRODUCT((H$4:H$35&lt;&gt;"")*(H$4:H$35&lt;&gt;"No DD")*(I$4:I$35&lt;&gt;"P")*(E$4:E$35&gt;E32))+1,IF(H32="No DD",SUMPRODUCT((H$4:H$35="No DD")*(I$4:I$35&lt;&gt;"P")*(E$4:E$35&gt;E32))+1+SUMPRODUCT((H$4:H$35&lt;&gt;"")*(I$4:I$35&lt;&gt;"P")*(H$4:H$35&lt;&gt;"No DD")),""))</f>
        <v/>
      </c>
      <c r="B32" s="4" t="s">
        <v>68</v>
      </c>
      <c r="C32" s="3" t="s">
        <v>69</v>
      </c>
      <c r="D32" s="3">
        <v>2007</v>
      </c>
      <c r="E32" s="8">
        <f t="shared" si="0"/>
        <v>44.100004410004409</v>
      </c>
      <c r="F32" s="2" t="str">
        <f>IF(OR(AND(AO32&lt;&gt;"",AO32&gt;=AV$40,AN32&gt;=AV$37),AND(AU32&lt;&gt;"",AU32&gt;=AV$40,AT32&gt;=AV$37),AND(BS32&lt;&gt;"",BS32&gt;=BZ$40,BR32&gt;=BZ$37),AND(BY32&lt;&gt;"",BY32&gt;=BZ$40,BX32&gt;=BZ$37),AND(DB32&lt;&gt;"",DB32&gt;=DK$40,DA32&gt;=DK$37),AND(DJ32&lt;&gt;"",DJ32&gt;=DK$40,DI32&gt;=DK$37),AND(EK32&lt;&gt;"",EK32&gt;=ET$40,EJ32&gt;=ET$37),AND(ES32&lt;&gt;"",ES32&gt;=ET$40,ER32&gt;=ET$37)),"P","")</f>
        <v/>
      </c>
      <c r="G32" s="2" t="str">
        <f>IF(OR(AND(AO32&lt;&gt;"",AO32&gt;=AV$40),AND(AU32&lt;&gt;"",AU32&gt;=AV$40),AND(BS32&lt;&gt;"",BS32&gt;=BZ$40),AND(BY32&lt;&gt;"",BY32&gt;=BZ$40),AND(DB32&lt;&gt;"",DB32&gt;=DK$40),AND(DJ32&lt;&gt;"",DJ32&gt;=DK$40),AND(EK32&lt;&gt;"",EK32&gt;=ET$40),AND(ES32&lt;&gt;"",ES32&gt;=ET$40)),"P","")</f>
        <v/>
      </c>
      <c r="H32" s="26" t="str">
        <f>IF(AND(G32="P",F32=""),"No DD",IF(OR(AND(AK32&lt;&gt;"",AK32&gt;=AV$42,AJ32&gt;=AV$39),AND(AM32&lt;&gt;"",AM32&gt;=AV$42,AL32&gt;=AV$39),AND(AQ32&lt;&gt;"",AQ32&gt;=AV$42,AP32&gt;=AV$39),AND(AS32&lt;&gt;"",AS32&gt;=AV$42,AR32&gt;=AV$39),AND(BO32&lt;&gt;"",BO32&gt;=BZ$42,BN32&gt;=BZ$39),AND(BQ32&lt;&gt;"",BQ32&gt;=BZ$42,BP32&gt;=BZ$39),AND(BV32&lt;&gt;"",BV32&gt;=BZ$42,BU32&gt;=BZ$39),AND(BX32&lt;&gt;"",BX32&gt;=BZ$42,BW32&gt;=BZ$39),AND(CX32&lt;&gt;"",CX32&gt;=DK$42,CW32&gt;=DK$39),AND(CZ32&lt;&gt;"",CZ32&gt;=DK$42,CY32&gt;=DK$39),AND(DD32&lt;&gt;"",DD32&gt;=DK$42,DC32&gt;=DK$39),AND(DF32&lt;&gt;"",DF32&gt;=DK$42,DE32&gt;=DK$39),AND(DH32&lt;&gt;"",DH32&gt;=DK$42,DG32&gt;=DK$39),AND(EG32&lt;&gt;"",EG32&gt;=ET$42,EF32&gt;=ET$39),AND(EI32&lt;&gt;"",EI32&gt;=ET$42,EH32&gt;=ET$39),AND(EM32&lt;&gt;"",EM32&gt;=ET$42,EL32&gt;=ET$39),AND(EO32&lt;&gt;"",EO32&gt;=ET$42,EN32&gt;=ET$39),AND(EQ32&lt;&gt;"",EQ32&gt;=ET$42,EP32&gt;=ET$39)),"Performance",IF(I32="P","National Team",IF(F32="P","National Team",""))))</f>
        <v/>
      </c>
      <c r="I32" s="2" t="str">
        <f>IF(COUNTIFS('Senior-M'!B:B,B32,'Senior-M'!A:A,"&lt;9",'Senior-M'!H:H,"&lt;&gt;"&amp;"No DD"),"P","")</f>
        <v/>
      </c>
      <c r="J32" s="7">
        <f t="shared" si="1"/>
        <v>44.099999999999994</v>
      </c>
      <c r="K32" s="7" t="str">
        <f t="shared" si="2"/>
        <v>2026 Elite Canada</v>
      </c>
      <c r="L32" s="7">
        <f>IF(J32=AO32,IF(COUNT(AQ32,AS32,BO32,BQ32,BU32,BW32)&gt;1,LARGE((AQ32,AS32,BO32,BQ32,BU32,BW32),1),0),IF(COUNT(AK32,AM32,AQ32,AS32,BU32,BW32)&gt;1,LARGE((AK32,AM32,AQ32,AS32,BU32,BW32),1),0))</f>
        <v>0</v>
      </c>
      <c r="M32" s="7" t="str">
        <f t="shared" si="3"/>
        <v/>
      </c>
      <c r="N32" s="7">
        <f>IF(J32=AO32,IF(COUNT(AQ32,AS32,BO32,BQ32,BU32,BW32)&gt;1,LARGE((AQ32,AS32,BO32,BQ32,BU32,BW32),2),0),IF(COUNT(AK32,AM32,AQ32,AS32,BU32,BW32)&gt;1,LARGE((AK32,AM32,AQ32,AS32,BU32,BW32),2),0))</f>
        <v>0</v>
      </c>
      <c r="O32" s="7" t="str">
        <f t="shared" si="4"/>
        <v/>
      </c>
      <c r="P32" s="7" t="str">
        <f t="shared" si="5"/>
        <v/>
      </c>
      <c r="Q32" s="10" t="str">
        <f t="shared" si="6"/>
        <v/>
      </c>
      <c r="R32" s="7" t="str">
        <f t="shared" si="7"/>
        <v/>
      </c>
      <c r="S32" s="38">
        <v>15.3</v>
      </c>
      <c r="T32" s="38">
        <v>3.2</v>
      </c>
      <c r="U32" s="38">
        <v>0</v>
      </c>
      <c r="V32" s="38">
        <v>0</v>
      </c>
      <c r="W32" s="38">
        <v>18.399999999999999</v>
      </c>
      <c r="X32" s="38">
        <v>7.2</v>
      </c>
      <c r="Y32" s="38">
        <v>0</v>
      </c>
      <c r="Z32" s="38">
        <v>0</v>
      </c>
      <c r="AA32" s="38" t="s">
        <v>175</v>
      </c>
      <c r="AB32" s="38" t="s">
        <v>175</v>
      </c>
      <c r="AC32" s="38" t="s">
        <v>175</v>
      </c>
      <c r="AD32" s="38" t="s">
        <v>175</v>
      </c>
      <c r="AE32" s="38" t="s">
        <v>175</v>
      </c>
      <c r="AF32" s="38" t="s">
        <v>175</v>
      </c>
      <c r="AG32" s="38" t="s">
        <v>175</v>
      </c>
      <c r="AH32" s="38" t="s">
        <v>175</v>
      </c>
      <c r="AI32" s="19"/>
      <c r="AJ32" s="41">
        <f t="shared" si="8"/>
        <v>3.2</v>
      </c>
      <c r="AK32" s="41">
        <f t="shared" si="9"/>
        <v>18.5</v>
      </c>
      <c r="AL32" s="41">
        <f t="shared" si="10"/>
        <v>7.2</v>
      </c>
      <c r="AM32" s="41">
        <f t="shared" si="11"/>
        <v>25.599999999999998</v>
      </c>
      <c r="AN32" s="27">
        <f t="shared" si="12"/>
        <v>10.4</v>
      </c>
      <c r="AO32" s="27">
        <f t="shared" si="13"/>
        <v>44.099999999999994</v>
      </c>
      <c r="AP32" s="27" t="str">
        <f t="shared" si="14"/>
        <v/>
      </c>
      <c r="AQ32" s="27" t="str">
        <f t="shared" si="15"/>
        <v/>
      </c>
      <c r="AR32" s="27" t="str">
        <f t="shared" si="16"/>
        <v/>
      </c>
      <c r="AS32" s="27" t="str">
        <f t="shared" si="17"/>
        <v/>
      </c>
      <c r="AT32" s="27" t="str">
        <f t="shared" si="18"/>
        <v/>
      </c>
      <c r="AU32" s="27" t="str">
        <f t="shared" si="19"/>
        <v/>
      </c>
      <c r="AV32" s="27">
        <f t="shared" si="20"/>
        <v>44.099999999999994</v>
      </c>
      <c r="AW32" s="15"/>
      <c r="AX32" s="15"/>
      <c r="AY32" s="15"/>
      <c r="AZ32" s="15"/>
      <c r="BA32" s="15"/>
      <c r="BB32" s="15"/>
      <c r="BC32" s="15"/>
      <c r="BD32" s="15"/>
      <c r="BE32" s="15"/>
      <c r="BF32" s="15"/>
      <c r="BG32" s="15"/>
      <c r="BH32" s="15"/>
      <c r="BI32" s="15"/>
      <c r="BJ32" s="15"/>
      <c r="BK32" s="15"/>
      <c r="BL32" s="15"/>
      <c r="BM32" s="20"/>
      <c r="BN32" s="42" t="str">
        <f t="shared" si="21"/>
        <v/>
      </c>
      <c r="BO32" s="42" t="str">
        <f t="shared" si="22"/>
        <v/>
      </c>
      <c r="BP32" s="42" t="str">
        <f t="shared" si="23"/>
        <v/>
      </c>
      <c r="BQ32" s="42" t="str">
        <f t="shared" si="24"/>
        <v/>
      </c>
      <c r="BR32" s="10" t="str">
        <f t="shared" si="25"/>
        <v/>
      </c>
      <c r="BS32" s="10" t="str">
        <f t="shared" si="26"/>
        <v/>
      </c>
      <c r="BT32" s="10" t="str">
        <f t="shared" si="27"/>
        <v/>
      </c>
      <c r="BU32" s="10" t="str">
        <f t="shared" si="28"/>
        <v/>
      </c>
      <c r="BV32" s="10" t="str">
        <f t="shared" si="29"/>
        <v/>
      </c>
      <c r="BW32" s="10" t="str">
        <f t="shared" si="30"/>
        <v/>
      </c>
      <c r="BX32" s="10" t="str">
        <f t="shared" si="31"/>
        <v/>
      </c>
      <c r="BY32" s="10" t="str">
        <f t="shared" si="32"/>
        <v/>
      </c>
      <c r="BZ32" s="10" t="str">
        <f t="shared" si="33"/>
        <v/>
      </c>
      <c r="CA32" s="34" t="str">
        <f t="shared" si="34"/>
        <v/>
      </c>
      <c r="CB32" s="34" t="str">
        <f t="shared" si="35"/>
        <v/>
      </c>
      <c r="CC32" s="14"/>
      <c r="CD32" s="14"/>
      <c r="CE32" s="14"/>
      <c r="CF32" s="14"/>
      <c r="CG32" s="14"/>
      <c r="CH32" s="14"/>
      <c r="CI32" s="14"/>
      <c r="CJ32" s="14"/>
      <c r="CK32" s="14"/>
      <c r="CL32" s="14"/>
      <c r="CM32" s="14"/>
      <c r="CN32" s="14"/>
      <c r="CO32" s="14"/>
      <c r="CP32" s="14"/>
      <c r="CQ32" s="14"/>
      <c r="CR32" s="14"/>
      <c r="CS32" s="14"/>
      <c r="CT32" s="14"/>
      <c r="CU32" s="14"/>
      <c r="CV32" s="14"/>
      <c r="CW32" s="27" t="str">
        <f t="shared" si="36"/>
        <v/>
      </c>
      <c r="CX32" s="27" t="str">
        <f t="shared" si="37"/>
        <v/>
      </c>
      <c r="CY32" s="27" t="str">
        <f t="shared" si="38"/>
        <v/>
      </c>
      <c r="CZ32" s="27" t="str">
        <f t="shared" si="39"/>
        <v/>
      </c>
      <c r="DA32" s="27" t="str">
        <f t="shared" si="40"/>
        <v/>
      </c>
      <c r="DB32" s="27" t="str">
        <f t="shared" si="41"/>
        <v/>
      </c>
      <c r="DC32" s="27" t="str">
        <f t="shared" si="42"/>
        <v/>
      </c>
      <c r="DD32" s="27" t="str">
        <f t="shared" si="43"/>
        <v/>
      </c>
      <c r="DE32" s="27" t="str">
        <f t="shared" si="44"/>
        <v/>
      </c>
      <c r="DF32" s="27" t="str">
        <f t="shared" si="45"/>
        <v/>
      </c>
      <c r="DG32" s="27" t="str">
        <f t="shared" si="46"/>
        <v/>
      </c>
      <c r="DH32" s="27" t="str">
        <f t="shared" si="47"/>
        <v/>
      </c>
      <c r="DI32" s="27" t="str">
        <f t="shared" si="48"/>
        <v/>
      </c>
      <c r="DJ32" s="27" t="str">
        <f t="shared" si="49"/>
        <v/>
      </c>
      <c r="DK32" s="27" t="str">
        <f t="shared" si="50"/>
        <v/>
      </c>
      <c r="DL32" s="15"/>
      <c r="DM32" s="15"/>
      <c r="DN32" s="15"/>
      <c r="DO32" s="15"/>
      <c r="DP32" s="15"/>
      <c r="DQ32" s="15"/>
      <c r="DR32" s="15"/>
      <c r="DS32" s="15"/>
      <c r="DT32" s="15"/>
      <c r="DU32" s="15"/>
      <c r="DV32" s="15"/>
      <c r="DW32" s="15"/>
      <c r="DX32" s="15"/>
      <c r="DY32" s="15"/>
      <c r="DZ32" s="15"/>
      <c r="EA32" s="15"/>
      <c r="EB32" s="15"/>
      <c r="EC32" s="15"/>
      <c r="ED32" s="15"/>
      <c r="EE32" s="15"/>
      <c r="EF32" s="10" t="str">
        <f t="shared" si="51"/>
        <v/>
      </c>
      <c r="EG32" s="10" t="str">
        <f t="shared" si="52"/>
        <v/>
      </c>
      <c r="EH32" s="10" t="str">
        <f t="shared" si="53"/>
        <v/>
      </c>
      <c r="EI32" s="10" t="str">
        <f t="shared" si="54"/>
        <v/>
      </c>
      <c r="EJ32" s="10" t="str">
        <f t="shared" si="55"/>
        <v/>
      </c>
      <c r="EK32" s="10" t="str">
        <f t="shared" si="56"/>
        <v/>
      </c>
      <c r="EL32" s="10" t="str">
        <f t="shared" si="57"/>
        <v/>
      </c>
      <c r="EM32" s="10" t="str">
        <f t="shared" si="58"/>
        <v/>
      </c>
      <c r="EN32" s="10" t="str">
        <f t="shared" si="59"/>
        <v/>
      </c>
      <c r="EO32" s="10" t="str">
        <f t="shared" si="60"/>
        <v/>
      </c>
      <c r="EP32" s="10" t="str">
        <f t="shared" si="61"/>
        <v/>
      </c>
      <c r="EQ32" s="10" t="str">
        <f t="shared" si="62"/>
        <v/>
      </c>
      <c r="ER32" s="10" t="str">
        <f t="shared" si="63"/>
        <v/>
      </c>
      <c r="ES32" s="10" t="str">
        <f t="shared" si="64"/>
        <v/>
      </c>
      <c r="ET32" s="10" t="str">
        <f t="shared" si="65"/>
        <v/>
      </c>
    </row>
    <row r="33" spans="1:150" x14ac:dyDescent="0.2">
      <c r="A33" s="3" t="str" cm="1">
        <f t="array" ref="A33">IF(AND(H33&lt;&gt;"",H33&lt;&gt;"No DD",I33&lt;&gt;"P"),SUMPRODUCT((H$4:H$35&lt;&gt;"")*(H$4:H$35&lt;&gt;"No DD")*(I$4:I$35&lt;&gt;"P")*(E$4:E$35&gt;E33))+1,IF(H33="No DD",SUMPRODUCT((H$4:H$35="No DD")*(I$4:I$35&lt;&gt;"P")*(E$4:E$35&gt;E33))+1+SUMPRODUCT((H$4:H$35&lt;&gt;"")*(I$4:I$35&lt;&gt;"P")*(H$4:H$35&lt;&gt;"No DD")),""))</f>
        <v/>
      </c>
      <c r="B33" s="4" t="s">
        <v>158</v>
      </c>
      <c r="C33" s="3" t="s">
        <v>5</v>
      </c>
      <c r="D33" s="3">
        <v>2009</v>
      </c>
      <c r="E33" s="8">
        <f t="shared" si="0"/>
        <v>44.0000044000044</v>
      </c>
      <c r="F33" s="2" t="str">
        <f>IF(OR(AND(AO33&lt;&gt;"",AO33&gt;=AV$40,AN33&gt;=AV$37),AND(AU33&lt;&gt;"",AU33&gt;=AV$40,AT33&gt;=AV$37),AND(BS33&lt;&gt;"",BS33&gt;=BZ$40,BR33&gt;=BZ$37),AND(BY33&lt;&gt;"",BY33&gt;=BZ$40,BX33&gt;=BZ$37),AND(DB33&lt;&gt;"",DB33&gt;=DK$40,DA33&gt;=DK$37),AND(DJ33&lt;&gt;"",DJ33&gt;=DK$40,DI33&gt;=DK$37),AND(EK33&lt;&gt;"",EK33&gt;=ET$40,EJ33&gt;=ET$37),AND(ES33&lt;&gt;"",ES33&gt;=ET$40,ER33&gt;=ET$37)),"P","")</f>
        <v/>
      </c>
      <c r="G33" s="2" t="str">
        <f>IF(OR(AND(AO33&lt;&gt;"",AO33&gt;=AV$40),AND(AU33&lt;&gt;"",AU33&gt;=AV$40),AND(BS33&lt;&gt;"",BS33&gt;=BZ$40),AND(BY33&lt;&gt;"",BY33&gt;=BZ$40),AND(DB33&lt;&gt;"",DB33&gt;=DK$40),AND(DJ33&lt;&gt;"",DJ33&gt;=DK$40),AND(EK33&lt;&gt;"",EK33&gt;=ET$40),AND(ES33&lt;&gt;"",ES33&gt;=ET$40)),"P","")</f>
        <v/>
      </c>
      <c r="H33" s="26" t="str">
        <f>IF(AND(G33="P",F33=""),"No DD",IF(OR(AND(AK33&lt;&gt;"",AK33&gt;=AV$42,AJ33&gt;=AV$39),AND(AM33&lt;&gt;"",AM33&gt;=AV$42,AL33&gt;=AV$39),AND(AQ33&lt;&gt;"",AQ33&gt;=AV$42,AP33&gt;=AV$39),AND(AS33&lt;&gt;"",AS33&gt;=AV$42,AR33&gt;=AV$39),AND(BO33&lt;&gt;"",BO33&gt;=BZ$42,BN33&gt;=BZ$39),AND(BQ33&lt;&gt;"",BQ33&gt;=BZ$42,BP33&gt;=BZ$39),AND(BV33&lt;&gt;"",BV33&gt;=BZ$42,BU33&gt;=BZ$39),AND(BX33&lt;&gt;"",BX33&gt;=BZ$42,BW33&gt;=BZ$39),AND(CX33&lt;&gt;"",CX33&gt;=DK$42,CW33&gt;=DK$39),AND(CZ33&lt;&gt;"",CZ33&gt;=DK$42,CY33&gt;=DK$39),AND(DD33&lt;&gt;"",DD33&gt;=DK$42,DC33&gt;=DK$39),AND(DF33&lt;&gt;"",DF33&gt;=DK$42,DE33&gt;=DK$39),AND(DH33&lt;&gt;"",DH33&gt;=DK$42,DG33&gt;=DK$39),AND(EG33&lt;&gt;"",EG33&gt;=ET$42,EF33&gt;=ET$39),AND(EI33&lt;&gt;"",EI33&gt;=ET$42,EH33&gt;=ET$39),AND(EM33&lt;&gt;"",EM33&gt;=ET$42,EL33&gt;=ET$39),AND(EO33&lt;&gt;"",EO33&gt;=ET$42,EN33&gt;=ET$39),AND(EQ33&lt;&gt;"",EQ33&gt;=ET$42,EP33&gt;=ET$39)),"Performance",IF(I33="P","National Team",IF(F33="P","National Team",""))))</f>
        <v/>
      </c>
      <c r="I33" s="2" t="str">
        <f>IF(COUNTIFS('Senior-M'!B:B,B33,'Senior-M'!A:A,"&lt;9",'Senior-M'!H:H,"&lt;&gt;"&amp;"No DD"),"P","")</f>
        <v/>
      </c>
      <c r="J33" s="7">
        <f t="shared" si="1"/>
        <v>44</v>
      </c>
      <c r="K33" s="7" t="str">
        <f t="shared" si="2"/>
        <v>2026 Elite Canada</v>
      </c>
      <c r="L33" s="7">
        <f>IF(J33=AO33,IF(COUNT(AQ33,AS33,BO33,BQ33,BU33,BW33)&gt;1,LARGE((AQ33,AS33,BO33,BQ33,BU33,BW33),1),0),IF(COUNT(AK33,AM33,AQ33,AS33,BU33,BW33)&gt;1,LARGE((AK33,AM33,AQ33,AS33,BU33,BW33),1),0))</f>
        <v>0</v>
      </c>
      <c r="M33" s="7" t="str">
        <f t="shared" si="3"/>
        <v/>
      </c>
      <c r="N33" s="7">
        <f>IF(J33=AO33,IF(COUNT(AQ33,AS33,BO33,BQ33,BU33,BW33)&gt;1,LARGE((AQ33,AS33,BO33,BQ33,BU33,BW33),2),0),IF(COUNT(AK33,AM33,AQ33,AS33,BU33,BW33)&gt;1,LARGE((AK33,AM33,AQ33,AS33,BU33,BW33),2),0))</f>
        <v>0</v>
      </c>
      <c r="O33" s="7" t="str">
        <f t="shared" si="4"/>
        <v/>
      </c>
      <c r="P33" s="7" t="str">
        <f t="shared" si="5"/>
        <v/>
      </c>
      <c r="Q33" s="10" t="str">
        <f t="shared" si="6"/>
        <v/>
      </c>
      <c r="R33" s="7" t="str">
        <f t="shared" si="7"/>
        <v/>
      </c>
      <c r="S33" s="38">
        <v>18.600000000000001</v>
      </c>
      <c r="T33" s="38">
        <v>7.6</v>
      </c>
      <c r="U33" s="38">
        <v>0.6</v>
      </c>
      <c r="V33" s="38">
        <v>0</v>
      </c>
      <c r="W33" s="38">
        <v>15.6</v>
      </c>
      <c r="X33" s="38">
        <v>2.8</v>
      </c>
      <c r="Y33" s="38">
        <v>0</v>
      </c>
      <c r="Z33" s="38">
        <v>0</v>
      </c>
      <c r="AA33" s="38" t="s">
        <v>175</v>
      </c>
      <c r="AB33" s="38" t="s">
        <v>175</v>
      </c>
      <c r="AC33" s="38" t="s">
        <v>175</v>
      </c>
      <c r="AD33" s="38" t="s">
        <v>175</v>
      </c>
      <c r="AE33" s="38" t="s">
        <v>175</v>
      </c>
      <c r="AF33" s="38" t="s">
        <v>175</v>
      </c>
      <c r="AG33" s="38" t="s">
        <v>175</v>
      </c>
      <c r="AH33" s="38" t="s">
        <v>175</v>
      </c>
      <c r="AI33" s="19"/>
      <c r="AJ33" s="41">
        <f t="shared" si="8"/>
        <v>7.6</v>
      </c>
      <c r="AK33" s="41">
        <f t="shared" si="9"/>
        <v>25.6</v>
      </c>
      <c r="AL33" s="41">
        <f t="shared" si="10"/>
        <v>2.8</v>
      </c>
      <c r="AM33" s="41">
        <f t="shared" si="11"/>
        <v>18.399999999999999</v>
      </c>
      <c r="AN33" s="27">
        <f t="shared" si="12"/>
        <v>10.399999999999999</v>
      </c>
      <c r="AO33" s="27">
        <f t="shared" si="13"/>
        <v>44</v>
      </c>
      <c r="AP33" s="27" t="str">
        <f t="shared" si="14"/>
        <v/>
      </c>
      <c r="AQ33" s="27" t="str">
        <f t="shared" si="15"/>
        <v/>
      </c>
      <c r="AR33" s="27" t="str">
        <f t="shared" si="16"/>
        <v/>
      </c>
      <c r="AS33" s="27" t="str">
        <f t="shared" si="17"/>
        <v/>
      </c>
      <c r="AT33" s="27" t="str">
        <f t="shared" si="18"/>
        <v/>
      </c>
      <c r="AU33" s="27" t="str">
        <f t="shared" si="19"/>
        <v/>
      </c>
      <c r="AV33" s="27">
        <f t="shared" si="20"/>
        <v>44</v>
      </c>
      <c r="AW33" s="15"/>
      <c r="AX33" s="15"/>
      <c r="AY33" s="15"/>
      <c r="AZ33" s="15"/>
      <c r="BA33" s="15"/>
      <c r="BB33" s="15"/>
      <c r="BC33" s="15"/>
      <c r="BD33" s="15"/>
      <c r="BE33" s="15"/>
      <c r="BF33" s="15"/>
      <c r="BG33" s="15"/>
      <c r="BH33" s="15"/>
      <c r="BI33" s="15"/>
      <c r="BJ33" s="15"/>
      <c r="BK33" s="15"/>
      <c r="BL33" s="15"/>
      <c r="BM33" s="20"/>
      <c r="BN33" s="42" t="str">
        <f t="shared" si="21"/>
        <v/>
      </c>
      <c r="BO33" s="42" t="str">
        <f t="shared" si="22"/>
        <v/>
      </c>
      <c r="BP33" s="42" t="str">
        <f t="shared" si="23"/>
        <v/>
      </c>
      <c r="BQ33" s="42" t="str">
        <f t="shared" si="24"/>
        <v/>
      </c>
      <c r="BR33" s="10" t="str">
        <f t="shared" si="25"/>
        <v/>
      </c>
      <c r="BS33" s="10" t="str">
        <f t="shared" si="26"/>
        <v/>
      </c>
      <c r="BT33" s="10" t="str">
        <f t="shared" si="27"/>
        <v/>
      </c>
      <c r="BU33" s="10" t="str">
        <f t="shared" si="28"/>
        <v/>
      </c>
      <c r="BV33" s="10" t="str">
        <f t="shared" si="29"/>
        <v/>
      </c>
      <c r="BW33" s="10" t="str">
        <f t="shared" si="30"/>
        <v/>
      </c>
      <c r="BX33" s="10" t="str">
        <f t="shared" si="31"/>
        <v/>
      </c>
      <c r="BY33" s="10" t="str">
        <f t="shared" si="32"/>
        <v/>
      </c>
      <c r="BZ33" s="10" t="str">
        <f t="shared" si="33"/>
        <v/>
      </c>
      <c r="CA33" s="34" t="str">
        <f t="shared" si="34"/>
        <v/>
      </c>
      <c r="CB33" s="34" t="str">
        <f t="shared" si="35"/>
        <v/>
      </c>
      <c r="CC33" s="14"/>
      <c r="CD33" s="14"/>
      <c r="CE33" s="14"/>
      <c r="CF33" s="14"/>
      <c r="CG33" s="14"/>
      <c r="CH33" s="14"/>
      <c r="CI33" s="14"/>
      <c r="CJ33" s="14"/>
      <c r="CK33" s="14"/>
      <c r="CL33" s="14"/>
      <c r="CM33" s="14"/>
      <c r="CN33" s="14"/>
      <c r="CO33" s="14"/>
      <c r="CP33" s="14"/>
      <c r="CQ33" s="14"/>
      <c r="CR33" s="14"/>
      <c r="CS33" s="14"/>
      <c r="CT33" s="14"/>
      <c r="CU33" s="14"/>
      <c r="CV33" s="14"/>
      <c r="CW33" s="27" t="str">
        <f t="shared" si="36"/>
        <v/>
      </c>
      <c r="CX33" s="27" t="str">
        <f t="shared" si="37"/>
        <v/>
      </c>
      <c r="CY33" s="27" t="str">
        <f t="shared" si="38"/>
        <v/>
      </c>
      <c r="CZ33" s="27" t="str">
        <f t="shared" si="39"/>
        <v/>
      </c>
      <c r="DA33" s="27" t="str">
        <f t="shared" si="40"/>
        <v/>
      </c>
      <c r="DB33" s="27" t="str">
        <f t="shared" si="41"/>
        <v/>
      </c>
      <c r="DC33" s="27" t="str">
        <f t="shared" si="42"/>
        <v/>
      </c>
      <c r="DD33" s="27" t="str">
        <f t="shared" si="43"/>
        <v/>
      </c>
      <c r="DE33" s="27" t="str">
        <f t="shared" si="44"/>
        <v/>
      </c>
      <c r="DF33" s="27" t="str">
        <f t="shared" si="45"/>
        <v/>
      </c>
      <c r="DG33" s="27" t="str">
        <f t="shared" si="46"/>
        <v/>
      </c>
      <c r="DH33" s="27" t="str">
        <f t="shared" si="47"/>
        <v/>
      </c>
      <c r="DI33" s="27" t="str">
        <f t="shared" si="48"/>
        <v/>
      </c>
      <c r="DJ33" s="27" t="str">
        <f t="shared" si="49"/>
        <v/>
      </c>
      <c r="DK33" s="27" t="str">
        <f t="shared" si="50"/>
        <v/>
      </c>
      <c r="DL33" s="15"/>
      <c r="DM33" s="15"/>
      <c r="DN33" s="15"/>
      <c r="DO33" s="15"/>
      <c r="DP33" s="15"/>
      <c r="DQ33" s="15"/>
      <c r="DR33" s="15"/>
      <c r="DS33" s="15"/>
      <c r="DT33" s="15"/>
      <c r="DU33" s="15"/>
      <c r="DV33" s="15"/>
      <c r="DW33" s="15"/>
      <c r="DX33" s="15"/>
      <c r="DY33" s="15"/>
      <c r="DZ33" s="15"/>
      <c r="EA33" s="15"/>
      <c r="EB33" s="15"/>
      <c r="EC33" s="15"/>
      <c r="ED33" s="15"/>
      <c r="EE33" s="15"/>
      <c r="EF33" s="10" t="str">
        <f t="shared" si="51"/>
        <v/>
      </c>
      <c r="EG33" s="10" t="str">
        <f t="shared" si="52"/>
        <v/>
      </c>
      <c r="EH33" s="10" t="str">
        <f t="shared" si="53"/>
        <v/>
      </c>
      <c r="EI33" s="10" t="str">
        <f t="shared" si="54"/>
        <v/>
      </c>
      <c r="EJ33" s="10" t="str">
        <f t="shared" si="55"/>
        <v/>
      </c>
      <c r="EK33" s="10" t="str">
        <f t="shared" si="56"/>
        <v/>
      </c>
      <c r="EL33" s="10" t="str">
        <f t="shared" si="57"/>
        <v/>
      </c>
      <c r="EM33" s="10" t="str">
        <f t="shared" si="58"/>
        <v/>
      </c>
      <c r="EN33" s="10" t="str">
        <f t="shared" si="59"/>
        <v/>
      </c>
      <c r="EO33" s="10" t="str">
        <f t="shared" si="60"/>
        <v/>
      </c>
      <c r="EP33" s="10" t="str">
        <f t="shared" si="61"/>
        <v/>
      </c>
      <c r="EQ33" s="10" t="str">
        <f t="shared" si="62"/>
        <v/>
      </c>
      <c r="ER33" s="10" t="str">
        <f t="shared" si="63"/>
        <v/>
      </c>
      <c r="ES33" s="10" t="str">
        <f t="shared" si="64"/>
        <v/>
      </c>
      <c r="ET33" s="10" t="str">
        <f t="shared" si="65"/>
        <v/>
      </c>
    </row>
    <row r="34" spans="1:150" x14ac:dyDescent="0.2">
      <c r="A34" s="3" t="str" cm="1">
        <f t="array" ref="A34">IF(AND(H34&lt;&gt;"",H34&lt;&gt;"No DD",I34&lt;&gt;"P"),SUMPRODUCT((H$4:H$35&lt;&gt;"")*(H$4:H$35&lt;&gt;"No DD")*(I$4:I$35&lt;&gt;"P")*(E$4:E$35&gt;E34))+1,IF(H34="No DD",SUMPRODUCT((H$4:H$35="No DD")*(I$4:I$35&lt;&gt;"P")*(E$4:E$35&gt;E34))+1+SUMPRODUCT((H$4:H$35&lt;&gt;"")*(I$4:I$35&lt;&gt;"P")*(H$4:H$35&lt;&gt;"No DD")),""))</f>
        <v/>
      </c>
      <c r="B34" s="4" t="s">
        <v>120</v>
      </c>
      <c r="C34" s="3" t="s">
        <v>3</v>
      </c>
      <c r="D34" s="3">
        <v>2009</v>
      </c>
      <c r="E34" s="8">
        <f t="shared" si="0"/>
        <v>24.80000248000248</v>
      </c>
      <c r="F34" s="2" t="str">
        <f>IF(OR(AND(AO34&lt;&gt;"",AO34&gt;=AV$40,AN34&gt;=AV$37),AND(AU34&lt;&gt;"",AU34&gt;=AV$40,AT34&gt;=AV$37),AND(BS34&lt;&gt;"",BS34&gt;=BZ$40,BR34&gt;=BZ$37),AND(BY34&lt;&gt;"",BY34&gt;=BZ$40,BX34&gt;=BZ$37),AND(DB34&lt;&gt;"",DB34&gt;=DK$40,DA34&gt;=DK$37),AND(DJ34&lt;&gt;"",DJ34&gt;=DK$40,DI34&gt;=DK$37),AND(EK34&lt;&gt;"",EK34&gt;=ET$40,EJ34&gt;=ET$37),AND(ES34&lt;&gt;"",ES34&gt;=ET$40,ER34&gt;=ET$37)),"P","")</f>
        <v/>
      </c>
      <c r="G34" s="2" t="str">
        <f>IF(OR(AND(AO34&lt;&gt;"",AO34&gt;=AV$40),AND(AU34&lt;&gt;"",AU34&gt;=AV$40),AND(BS34&lt;&gt;"",BS34&gt;=BZ$40),AND(BY34&lt;&gt;"",BY34&gt;=BZ$40),AND(DB34&lt;&gt;"",DB34&gt;=DK$40),AND(DJ34&lt;&gt;"",DJ34&gt;=DK$40),AND(EK34&lt;&gt;"",EK34&gt;=ET$40),AND(ES34&lt;&gt;"",ES34&gt;=ET$40)),"P","")</f>
        <v/>
      </c>
      <c r="H34" s="26" t="str">
        <f>IF(AND(G34="P",F34=""),"No DD",IF(OR(AND(AK34&lt;&gt;"",AK34&gt;=AV$42,AJ34&gt;=AV$39),AND(AM34&lt;&gt;"",AM34&gt;=AV$42,AL34&gt;=AV$39),AND(AQ34&lt;&gt;"",AQ34&gt;=AV$42,AP34&gt;=AV$39),AND(AS34&lt;&gt;"",AS34&gt;=AV$42,AR34&gt;=AV$39),AND(BO34&lt;&gt;"",BO34&gt;=BZ$42,BN34&gt;=BZ$39),AND(BQ34&lt;&gt;"",BQ34&gt;=BZ$42,BP34&gt;=BZ$39),AND(BV34&lt;&gt;"",BV34&gt;=BZ$42,BU34&gt;=BZ$39),AND(BX34&lt;&gt;"",BX34&gt;=BZ$42,BW34&gt;=BZ$39),AND(CX34&lt;&gt;"",CX34&gt;=DK$42,CW34&gt;=DK$39),AND(CZ34&lt;&gt;"",CZ34&gt;=DK$42,CY34&gt;=DK$39),AND(DD34&lt;&gt;"",DD34&gt;=DK$42,DC34&gt;=DK$39),AND(DF34&lt;&gt;"",DF34&gt;=DK$42,DE34&gt;=DK$39),AND(DH34&lt;&gt;"",DH34&gt;=DK$42,DG34&gt;=DK$39),AND(EG34&lt;&gt;"",EG34&gt;=ET$42,EF34&gt;=ET$39),AND(EI34&lt;&gt;"",EI34&gt;=ET$42,EH34&gt;=ET$39),AND(EM34&lt;&gt;"",EM34&gt;=ET$42,EL34&gt;=ET$39),AND(EO34&lt;&gt;"",EO34&gt;=ET$42,EN34&gt;=ET$39),AND(EQ34&lt;&gt;"",EQ34&gt;=ET$42,EP34&gt;=ET$39)),"Performance",IF(I34="P","National Team",IF(F34="P","National Team",""))))</f>
        <v/>
      </c>
      <c r="I34" s="2" t="str">
        <f>IF(COUNTIFS('Senior-M'!B:B,B34,'Senior-M'!A:A,"&lt;9",'Senior-M'!H:H,"&lt;&gt;"&amp;"No DD"),"P","")</f>
        <v/>
      </c>
      <c r="J34" s="7">
        <f t="shared" si="1"/>
        <v>24.8</v>
      </c>
      <c r="K34" s="7" t="str">
        <f t="shared" si="2"/>
        <v>2026 Elite Canada</v>
      </c>
      <c r="L34" s="7">
        <f>IF(J34=AO34,IF(COUNT(AQ34,AS34,BO34,BQ34,BU34,BW34)&gt;1,LARGE((AQ34,AS34,BO34,BQ34,BU34,BW34),1),0),IF(COUNT(AK34,AM34,AQ34,AS34,BU34,BW34)&gt;1,LARGE((AK34,AM34,AQ34,AS34,BU34,BW34),1),0))</f>
        <v>0</v>
      </c>
      <c r="M34" s="7" t="str">
        <f t="shared" si="3"/>
        <v/>
      </c>
      <c r="N34" s="7">
        <f>IF(J34=AO34,IF(COUNT(AQ34,AS34,BO34,BQ34,BU34,BW34)&gt;1,LARGE((AQ34,AS34,BO34,BQ34,BU34,BW34),2),0),IF(COUNT(AK34,AM34,AQ34,AS34,BU34,BW34)&gt;1,LARGE((AK34,AM34,AQ34,AS34,BU34,BW34),2),0))</f>
        <v>0</v>
      </c>
      <c r="O34" s="7" t="str">
        <f t="shared" si="4"/>
        <v/>
      </c>
      <c r="P34" s="7" t="str">
        <f t="shared" si="5"/>
        <v/>
      </c>
      <c r="Q34" s="10" t="str">
        <f t="shared" si="6"/>
        <v/>
      </c>
      <c r="R34" s="7" t="str">
        <f t="shared" si="7"/>
        <v/>
      </c>
      <c r="S34" s="38">
        <v>18.2</v>
      </c>
      <c r="T34" s="38">
        <v>6.8</v>
      </c>
      <c r="U34" s="38">
        <v>0.2</v>
      </c>
      <c r="V34" s="38">
        <v>0</v>
      </c>
      <c r="W34" s="38">
        <v>0</v>
      </c>
      <c r="X34" s="38">
        <v>0</v>
      </c>
      <c r="Y34" s="38">
        <v>0</v>
      </c>
      <c r="Z34" s="38">
        <v>0</v>
      </c>
      <c r="AA34" s="38" t="s">
        <v>175</v>
      </c>
      <c r="AB34" s="38" t="s">
        <v>175</v>
      </c>
      <c r="AC34" s="38" t="s">
        <v>175</v>
      </c>
      <c r="AD34" s="38" t="s">
        <v>175</v>
      </c>
      <c r="AE34" s="38" t="s">
        <v>175</v>
      </c>
      <c r="AF34" s="38" t="s">
        <v>175</v>
      </c>
      <c r="AG34" s="38" t="s">
        <v>175</v>
      </c>
      <c r="AH34" s="38" t="s">
        <v>175</v>
      </c>
      <c r="AI34" s="19"/>
      <c r="AJ34" s="41">
        <f t="shared" si="8"/>
        <v>6.8</v>
      </c>
      <c r="AK34" s="41">
        <f t="shared" si="9"/>
        <v>24.8</v>
      </c>
      <c r="AL34" s="41">
        <f t="shared" si="10"/>
        <v>0</v>
      </c>
      <c r="AM34" s="41">
        <f t="shared" si="11"/>
        <v>0</v>
      </c>
      <c r="AN34" s="27">
        <f t="shared" si="12"/>
        <v>6.8</v>
      </c>
      <c r="AO34" s="27">
        <f t="shared" si="13"/>
        <v>24.8</v>
      </c>
      <c r="AP34" s="27" t="str">
        <f t="shared" si="14"/>
        <v/>
      </c>
      <c r="AQ34" s="27" t="str">
        <f t="shared" si="15"/>
        <v/>
      </c>
      <c r="AR34" s="27" t="str">
        <f t="shared" si="16"/>
        <v/>
      </c>
      <c r="AS34" s="27" t="str">
        <f t="shared" si="17"/>
        <v/>
      </c>
      <c r="AT34" s="27" t="str">
        <f t="shared" si="18"/>
        <v/>
      </c>
      <c r="AU34" s="27" t="str">
        <f t="shared" si="19"/>
        <v/>
      </c>
      <c r="AV34" s="27">
        <f t="shared" si="20"/>
        <v>24.8</v>
      </c>
      <c r="AW34" s="15"/>
      <c r="AX34" s="15"/>
      <c r="AY34" s="15"/>
      <c r="AZ34" s="15"/>
      <c r="BA34" s="15"/>
      <c r="BB34" s="15"/>
      <c r="BC34" s="15"/>
      <c r="BD34" s="15"/>
      <c r="BE34" s="15"/>
      <c r="BF34" s="15"/>
      <c r="BG34" s="15"/>
      <c r="BH34" s="15"/>
      <c r="BI34" s="15"/>
      <c r="BJ34" s="15"/>
      <c r="BK34" s="15"/>
      <c r="BL34" s="15"/>
      <c r="BM34" s="20"/>
      <c r="BN34" s="42" t="str">
        <f t="shared" si="21"/>
        <v/>
      </c>
      <c r="BO34" s="42" t="str">
        <f t="shared" si="22"/>
        <v/>
      </c>
      <c r="BP34" s="42" t="str">
        <f t="shared" si="23"/>
        <v/>
      </c>
      <c r="BQ34" s="42" t="str">
        <f t="shared" si="24"/>
        <v/>
      </c>
      <c r="BR34" s="10" t="str">
        <f t="shared" si="25"/>
        <v/>
      </c>
      <c r="BS34" s="10" t="str">
        <f t="shared" si="26"/>
        <v/>
      </c>
      <c r="BT34" s="10" t="str">
        <f t="shared" si="27"/>
        <v/>
      </c>
      <c r="BU34" s="10" t="str">
        <f t="shared" si="28"/>
        <v/>
      </c>
      <c r="BV34" s="10" t="str">
        <f t="shared" si="29"/>
        <v/>
      </c>
      <c r="BW34" s="10" t="str">
        <f t="shared" si="30"/>
        <v/>
      </c>
      <c r="BX34" s="10" t="str">
        <f t="shared" si="31"/>
        <v/>
      </c>
      <c r="BY34" s="10" t="str">
        <f t="shared" si="32"/>
        <v/>
      </c>
      <c r="BZ34" s="10" t="str">
        <f t="shared" si="33"/>
        <v/>
      </c>
      <c r="CA34" s="34" t="str">
        <f t="shared" si="34"/>
        <v/>
      </c>
      <c r="CB34" s="34" t="str">
        <f t="shared" si="35"/>
        <v/>
      </c>
      <c r="CC34" s="14"/>
      <c r="CD34" s="14"/>
      <c r="CE34" s="14"/>
      <c r="CF34" s="14"/>
      <c r="CG34" s="14"/>
      <c r="CH34" s="14"/>
      <c r="CI34" s="14"/>
      <c r="CJ34" s="14"/>
      <c r="CK34" s="14"/>
      <c r="CL34" s="14"/>
      <c r="CM34" s="14"/>
      <c r="CN34" s="14"/>
      <c r="CO34" s="14"/>
      <c r="CP34" s="14"/>
      <c r="CQ34" s="14"/>
      <c r="CR34" s="14"/>
      <c r="CS34" s="14"/>
      <c r="CT34" s="14"/>
      <c r="CU34" s="14"/>
      <c r="CV34" s="14"/>
      <c r="CW34" s="27" t="str">
        <f t="shared" si="36"/>
        <v/>
      </c>
      <c r="CX34" s="27" t="str">
        <f t="shared" si="37"/>
        <v/>
      </c>
      <c r="CY34" s="27" t="str">
        <f t="shared" si="38"/>
        <v/>
      </c>
      <c r="CZ34" s="27" t="str">
        <f t="shared" si="39"/>
        <v/>
      </c>
      <c r="DA34" s="27" t="str">
        <f t="shared" si="40"/>
        <v/>
      </c>
      <c r="DB34" s="27" t="str">
        <f t="shared" si="41"/>
        <v/>
      </c>
      <c r="DC34" s="27" t="str">
        <f t="shared" si="42"/>
        <v/>
      </c>
      <c r="DD34" s="27" t="str">
        <f t="shared" si="43"/>
        <v/>
      </c>
      <c r="DE34" s="27" t="str">
        <f t="shared" si="44"/>
        <v/>
      </c>
      <c r="DF34" s="27" t="str">
        <f t="shared" si="45"/>
        <v/>
      </c>
      <c r="DG34" s="27" t="str">
        <f t="shared" si="46"/>
        <v/>
      </c>
      <c r="DH34" s="27" t="str">
        <f t="shared" si="47"/>
        <v/>
      </c>
      <c r="DI34" s="27" t="str">
        <f t="shared" si="48"/>
        <v/>
      </c>
      <c r="DJ34" s="27" t="str">
        <f t="shared" si="49"/>
        <v/>
      </c>
      <c r="DK34" s="27" t="str">
        <f t="shared" si="50"/>
        <v/>
      </c>
      <c r="DL34" s="15"/>
      <c r="DM34" s="15"/>
      <c r="DN34" s="15"/>
      <c r="DO34" s="15"/>
      <c r="DP34" s="15"/>
      <c r="DQ34" s="15"/>
      <c r="DR34" s="15"/>
      <c r="DS34" s="15"/>
      <c r="DT34" s="15"/>
      <c r="DU34" s="15"/>
      <c r="DV34" s="15"/>
      <c r="DW34" s="15"/>
      <c r="DX34" s="15"/>
      <c r="DY34" s="15"/>
      <c r="DZ34" s="15"/>
      <c r="EA34" s="15"/>
      <c r="EB34" s="15"/>
      <c r="EC34" s="15"/>
      <c r="ED34" s="15"/>
      <c r="EE34" s="15"/>
      <c r="EF34" s="10" t="str">
        <f t="shared" si="51"/>
        <v/>
      </c>
      <c r="EG34" s="10" t="str">
        <f t="shared" si="52"/>
        <v/>
      </c>
      <c r="EH34" s="10" t="str">
        <f t="shared" si="53"/>
        <v/>
      </c>
      <c r="EI34" s="10" t="str">
        <f t="shared" si="54"/>
        <v/>
      </c>
      <c r="EJ34" s="10" t="str">
        <f t="shared" si="55"/>
        <v/>
      </c>
      <c r="EK34" s="10" t="str">
        <f t="shared" si="56"/>
        <v/>
      </c>
      <c r="EL34" s="10" t="str">
        <f t="shared" si="57"/>
        <v/>
      </c>
      <c r="EM34" s="10" t="str">
        <f t="shared" si="58"/>
        <v/>
      </c>
      <c r="EN34" s="10" t="str">
        <f t="shared" si="59"/>
        <v/>
      </c>
      <c r="EO34" s="10" t="str">
        <f t="shared" si="60"/>
        <v/>
      </c>
      <c r="EP34" s="10" t="str">
        <f t="shared" si="61"/>
        <v/>
      </c>
      <c r="EQ34" s="10" t="str">
        <f t="shared" si="62"/>
        <v/>
      </c>
      <c r="ER34" s="10" t="str">
        <f t="shared" si="63"/>
        <v/>
      </c>
      <c r="ES34" s="10" t="str">
        <f t="shared" si="64"/>
        <v/>
      </c>
      <c r="ET34" s="10" t="str">
        <f t="shared" si="65"/>
        <v/>
      </c>
    </row>
    <row r="35" spans="1:150" ht="17" x14ac:dyDescent="0.2">
      <c r="P35" s="9"/>
      <c r="Q35" s="9"/>
      <c r="R35" s="9"/>
    </row>
    <row r="36" spans="1:150" ht="17" x14ac:dyDescent="0.2">
      <c r="P36" s="9"/>
      <c r="Q36" s="9"/>
      <c r="R36" s="9"/>
    </row>
    <row r="37" spans="1:150" ht="17" x14ac:dyDescent="0.2">
      <c r="B37" s="17" t="s">
        <v>27</v>
      </c>
      <c r="P37" s="9"/>
      <c r="Q37" s="9"/>
      <c r="R37" s="9"/>
      <c r="AV37" s="28">
        <v>14.8</v>
      </c>
      <c r="BZ37" s="28">
        <v>14.8</v>
      </c>
      <c r="CW37" s="3"/>
      <c r="CX37" s="3"/>
      <c r="CY37" s="3"/>
      <c r="CZ37" s="3"/>
      <c r="DA37" s="3"/>
      <c r="DK37" s="28">
        <v>14.8</v>
      </c>
      <c r="EF37" s="3"/>
      <c r="EG37" s="3"/>
      <c r="EH37" s="3"/>
      <c r="EI37" s="3"/>
      <c r="EJ37" s="3"/>
      <c r="EK37" s="3"/>
      <c r="EL37" s="3"/>
      <c r="ET37" s="28">
        <v>14.8</v>
      </c>
    </row>
    <row r="38" spans="1:150" ht="17" hidden="1" x14ac:dyDescent="0.2">
      <c r="B38" s="22" t="s">
        <v>26</v>
      </c>
      <c r="P38" s="9"/>
      <c r="Q38" s="9"/>
      <c r="R38" s="9"/>
      <c r="AV38" s="39">
        <v>1000</v>
      </c>
      <c r="BZ38" s="39">
        <v>1000</v>
      </c>
      <c r="CW38" s="3"/>
      <c r="CX38" s="3"/>
      <c r="CY38" s="3"/>
      <c r="CZ38" s="3"/>
      <c r="DA38" s="3"/>
      <c r="DK38" s="39">
        <v>1000</v>
      </c>
      <c r="EF38" s="3"/>
      <c r="EG38" s="3"/>
      <c r="EH38" s="3"/>
      <c r="EI38" s="3"/>
      <c r="EJ38" s="3"/>
      <c r="EK38" s="3"/>
      <c r="EL38" s="3"/>
      <c r="ET38" s="39">
        <v>1000</v>
      </c>
    </row>
    <row r="39" spans="1:150" ht="17" hidden="1" x14ac:dyDescent="0.2">
      <c r="A39" s="4"/>
      <c r="B39" s="23" t="s">
        <v>104</v>
      </c>
      <c r="C39" s="16"/>
      <c r="P39" s="9"/>
      <c r="Q39" s="9"/>
      <c r="R39" s="9"/>
      <c r="AV39" s="29">
        <v>1000</v>
      </c>
      <c r="BZ39" s="29">
        <v>1000</v>
      </c>
      <c r="CW39" s="3"/>
      <c r="CX39" s="3"/>
      <c r="CY39" s="3"/>
      <c r="CZ39" s="3"/>
      <c r="DA39" s="3"/>
      <c r="DK39" s="29">
        <v>1000</v>
      </c>
      <c r="EF39" s="3"/>
      <c r="EG39" s="3"/>
      <c r="EH39" s="3"/>
      <c r="EI39" s="3"/>
      <c r="EJ39" s="3"/>
      <c r="EK39" s="3"/>
      <c r="EL39" s="3"/>
      <c r="ET39" s="29">
        <v>1000</v>
      </c>
    </row>
    <row r="40" spans="1:150" ht="17" x14ac:dyDescent="0.2">
      <c r="A40" s="4"/>
      <c r="B40" s="25" t="s">
        <v>24</v>
      </c>
      <c r="C40" s="16"/>
      <c r="P40" s="9"/>
      <c r="Q40" s="9"/>
      <c r="R40" s="9"/>
      <c r="AV40" s="30">
        <v>51.6</v>
      </c>
      <c r="BZ40" s="30">
        <v>51.6</v>
      </c>
      <c r="CW40" s="3"/>
      <c r="CX40" s="3"/>
      <c r="CY40" s="3"/>
      <c r="CZ40" s="3"/>
      <c r="DA40" s="3"/>
      <c r="DK40" s="30">
        <v>51.6</v>
      </c>
      <c r="EF40" s="3"/>
      <c r="EG40" s="3"/>
      <c r="EH40" s="3"/>
      <c r="EI40" s="3"/>
      <c r="EJ40" s="3"/>
      <c r="EK40" s="3"/>
      <c r="EL40" s="3"/>
      <c r="ET40" s="30">
        <v>51.6</v>
      </c>
    </row>
    <row r="41" spans="1:150" ht="17" hidden="1" x14ac:dyDescent="0.2">
      <c r="A41" s="4"/>
      <c r="B41" s="18" t="s">
        <v>25</v>
      </c>
      <c r="C41" s="16"/>
      <c r="P41" s="9"/>
      <c r="Q41" s="9"/>
      <c r="R41" s="9"/>
      <c r="AV41" s="31">
        <v>1000</v>
      </c>
      <c r="BZ41" s="31">
        <v>1000</v>
      </c>
      <c r="CW41" s="3"/>
      <c r="CX41" s="3"/>
      <c r="CY41" s="3"/>
      <c r="CZ41" s="3"/>
      <c r="DA41" s="3"/>
      <c r="DK41" s="31">
        <v>1000</v>
      </c>
      <c r="EF41" s="3"/>
      <c r="EG41" s="3"/>
      <c r="EH41" s="3"/>
      <c r="EI41" s="3"/>
      <c r="EJ41" s="3"/>
      <c r="EK41" s="3"/>
      <c r="EL41" s="3"/>
      <c r="ET41" s="31">
        <v>1000</v>
      </c>
    </row>
    <row r="42" spans="1:150" ht="17" hidden="1" x14ac:dyDescent="0.2">
      <c r="A42" s="4"/>
      <c r="B42" s="24" t="s">
        <v>103</v>
      </c>
      <c r="C42" s="16"/>
      <c r="P42" s="9"/>
      <c r="Q42" s="9"/>
      <c r="R42" s="9"/>
      <c r="AV42" s="32">
        <v>1000</v>
      </c>
      <c r="BZ42" s="32">
        <v>1000</v>
      </c>
      <c r="CW42" s="3"/>
      <c r="CX42" s="3"/>
      <c r="CY42" s="3"/>
      <c r="CZ42" s="3"/>
      <c r="DA42" s="3"/>
      <c r="DK42" s="32">
        <v>1000</v>
      </c>
      <c r="EF42" s="3"/>
      <c r="EG42" s="3"/>
      <c r="EH42" s="3"/>
      <c r="EI42" s="3"/>
      <c r="EJ42" s="3"/>
      <c r="EK42" s="3"/>
      <c r="EL42" s="3"/>
      <c r="ET42" s="32">
        <v>1000</v>
      </c>
    </row>
    <row r="43" spans="1:150" x14ac:dyDescent="0.2">
      <c r="B43" s="21" t="s">
        <v>29</v>
      </c>
      <c r="C43" s="1"/>
    </row>
    <row r="44" spans="1:150" x14ac:dyDescent="0.2">
      <c r="A44" s="4"/>
      <c r="B44" s="4"/>
      <c r="C44" s="16"/>
    </row>
    <row r="45" spans="1:150" x14ac:dyDescent="0.2">
      <c r="A45" s="4"/>
      <c r="B45" s="4"/>
      <c r="C45" s="16"/>
    </row>
    <row r="46" spans="1:150" x14ac:dyDescent="0.2">
      <c r="A46" s="4"/>
      <c r="B46" s="4"/>
      <c r="C46" s="16"/>
    </row>
    <row r="47" spans="1:150" x14ac:dyDescent="0.2">
      <c r="A47" s="4"/>
      <c r="B47" s="4"/>
      <c r="C47" s="4"/>
    </row>
    <row r="50" spans="2:2" x14ac:dyDescent="0.2">
      <c r="B50" s="40"/>
    </row>
  </sheetData>
  <sheetProtection sheet="1" formatCells="0" formatColumns="0" formatRows="0"/>
  <autoFilter ref="A1:ET1" xr:uid="{562C6DCA-CC42-3044-B5F7-4065DAFFC028}"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hiddenButton="1" showButton="0"/>
    <filterColumn colId="36" hiddenButton="1" showButton="0"/>
    <filterColumn colId="37" hiddenButton="1" showButton="0"/>
    <filterColumn colId="38" hiddenButton="1" showButton="0"/>
    <filterColumn colId="39" showButton="0"/>
    <filterColumn colId="40" showButton="0"/>
    <filterColumn colId="41" hiddenButton="1" showButton="0"/>
    <filterColumn colId="42" hiddenButton="1" showButton="0"/>
    <filterColumn colId="43" hiddenButton="1" showButton="0"/>
    <filterColumn colId="44" hiddenButton="1" showButton="0"/>
    <filterColumn colId="45" showButton="0"/>
    <filterColumn colId="46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hiddenButton="1" showButton="0"/>
    <filterColumn colId="66" hiddenButton="1" showButton="0"/>
    <filterColumn colId="67" hiddenButton="1" showButton="0"/>
    <filterColumn colId="68" hiddenButton="1" showButton="0"/>
    <filterColumn colId="69" showButton="0"/>
    <filterColumn colId="70" showButton="0"/>
    <filterColumn colId="71" hiddenButton="1" showButton="0"/>
    <filterColumn colId="72" hiddenButton="1" showButton="0"/>
    <filterColumn colId="73" hiddenButton="1" showButton="0"/>
    <filterColumn colId="74" hiddenButton="1" showButton="0"/>
    <filterColumn colId="75" showButton="0"/>
    <filterColumn colId="76" showButton="0"/>
    <filterColumn colId="78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hiddenButton="1" showButton="0"/>
    <filterColumn colId="102" hiddenButton="1" showButton="0"/>
    <filterColumn colId="103" hiddenButton="1" showButton="0"/>
    <filterColumn colId="104" hiddenButton="1" showButton="0"/>
    <filterColumn colId="105" showButton="0"/>
    <filterColumn colId="106" showButton="0"/>
    <filterColumn colId="107" showButton="0"/>
    <filterColumn colId="108" hiddenButton="1" showButton="0"/>
    <filterColumn colId="109" hiddenButton="1" showButton="0"/>
    <filterColumn colId="110" showButton="0"/>
    <filterColumn colId="111" showButton="0"/>
    <filterColumn colId="112" hiddenButton="1" showButton="0"/>
    <filterColumn colId="113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hiddenButton="1" showButton="0"/>
    <filterColumn colId="137" hiddenButton="1" showButton="0"/>
    <filterColumn colId="138" hiddenButton="1" showButton="0"/>
    <filterColumn colId="139" hiddenButton="1" showButton="0"/>
    <filterColumn colId="140" hiddenButton="1" showButton="0"/>
    <filterColumn colId="141" hiddenButton="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hiddenButton="1" showButton="0"/>
    <filterColumn colId="148" showButton="0"/>
    <sortState xmlns:xlrd2="http://schemas.microsoft.com/office/spreadsheetml/2017/richdata2" ref="A6:ET45">
      <sortCondition descending="1" ref="F1:F46"/>
    </sortState>
  </autoFilter>
  <mergeCells count="41">
    <mergeCell ref="L1:L3"/>
    <mergeCell ref="A1:A3"/>
    <mergeCell ref="B1:B3"/>
    <mergeCell ref="C1:C3"/>
    <mergeCell ref="D1:D3"/>
    <mergeCell ref="E1:E3"/>
    <mergeCell ref="F1:F3"/>
    <mergeCell ref="G1:G3"/>
    <mergeCell ref="H1:H3"/>
    <mergeCell ref="I1:I3"/>
    <mergeCell ref="J1:J3"/>
    <mergeCell ref="K1:K3"/>
    <mergeCell ref="DL1:ET1"/>
    <mergeCell ref="CO2:CR2"/>
    <mergeCell ref="S2:V2"/>
    <mergeCell ref="W2:Z2"/>
    <mergeCell ref="AA2:AD2"/>
    <mergeCell ref="R1:R3"/>
    <mergeCell ref="S1:AV1"/>
    <mergeCell ref="AW1:BZ1"/>
    <mergeCell ref="CA1:CB1"/>
    <mergeCell ref="CC1:DK1"/>
    <mergeCell ref="M1:M3"/>
    <mergeCell ref="N1:N3"/>
    <mergeCell ref="O1:O3"/>
    <mergeCell ref="P1:P3"/>
    <mergeCell ref="Q1:Q3"/>
    <mergeCell ref="EB2:EE2"/>
    <mergeCell ref="CC2:CF2"/>
    <mergeCell ref="CG2:CJ2"/>
    <mergeCell ref="CK2:CN2"/>
    <mergeCell ref="AE2:AH2"/>
    <mergeCell ref="AW2:AZ2"/>
    <mergeCell ref="BA2:BD2"/>
    <mergeCell ref="BE2:BH2"/>
    <mergeCell ref="BI2:BL2"/>
    <mergeCell ref="CS2:CV2"/>
    <mergeCell ref="DL2:DO2"/>
    <mergeCell ref="DP2:DS2"/>
    <mergeCell ref="DT2:DW2"/>
    <mergeCell ref="DX2:EA2"/>
  </mergeCells>
  <conditionalFormatting sqref="A4:A1048576">
    <cfRule type="expression" dxfId="171" priority="44">
      <formula>IF(A4&gt;6,1,0)</formula>
    </cfRule>
    <cfRule type="expression" dxfId="170" priority="45" stopIfTrue="1">
      <formula>AND(G4="P",F4="")</formula>
    </cfRule>
  </conditionalFormatting>
  <conditionalFormatting sqref="H1:H1048576">
    <cfRule type="containsText" dxfId="169" priority="40" stopIfTrue="1" operator="containsText" text="National Team">
      <formula>NOT(ISERROR(SEARCH("National Team",H1)))</formula>
    </cfRule>
    <cfRule type="containsText" dxfId="168" priority="41" stopIfTrue="1" operator="containsText" text="Worlds Team">
      <formula>NOT(ISERROR(SEARCH("Worlds Team",H1)))</formula>
    </cfRule>
    <cfRule type="containsText" dxfId="167" priority="42" operator="containsText" text="Performance">
      <formula>NOT(ISERROR(SEARCH("Performance",H1)))</formula>
    </cfRule>
    <cfRule type="containsText" dxfId="166" priority="43" stopIfTrue="1" operator="containsText" text="No DD">
      <formula>NOT(ISERROR(SEARCH("No DD",H1)))</formula>
    </cfRule>
  </conditionalFormatting>
  <conditionalFormatting sqref="S4:AV34">
    <cfRule type="expression" dxfId="165" priority="39" stopIfTrue="1">
      <formula>IF($AI4&lt;&gt;"",1,0)</formula>
    </cfRule>
  </conditionalFormatting>
  <conditionalFormatting sqref="AW4:BZ34">
    <cfRule type="expression" dxfId="164" priority="38" stopIfTrue="1">
      <formula>IF($BM4&lt;&gt;"",1,0)</formula>
    </cfRule>
  </conditionalFormatting>
  <conditionalFormatting sqref="M1:M1048576 O1:O1048576 K1:K1048576">
    <cfRule type="expression" dxfId="163" priority="36" stopIfTrue="1">
      <formula>IF(K1=$AW$1,1,0)</formula>
    </cfRule>
    <cfRule type="expression" dxfId="162" priority="37" stopIfTrue="1">
      <formula>IF(K1=$S$1,1,0)</formula>
    </cfRule>
  </conditionalFormatting>
  <conditionalFormatting sqref="AJ1:AJ1048576 BN1:BN1048576 EH1:EH1048576 CY1:CY1048576">
    <cfRule type="cellIs" dxfId="161" priority="184181" stopIfTrue="1" operator="between">
      <formula>AV$39-0.00001</formula>
      <formula>1000</formula>
    </cfRule>
  </conditionalFormatting>
  <conditionalFormatting sqref="AN1:AN1048576 BR1:BR1048576">
    <cfRule type="cellIs" dxfId="160" priority="184193" operator="between">
      <formula>AV$37-0.00001</formula>
      <formula>AV$38-0.00001</formula>
    </cfRule>
    <cfRule type="cellIs" dxfId="159" priority="184194" operator="between">
      <formula>AV$38-0.00001</formula>
      <formula>1000</formula>
    </cfRule>
  </conditionalFormatting>
  <conditionalFormatting sqref="AT1:AT1048576 BX1:BX1048576">
    <cfRule type="cellIs" dxfId="158" priority="184205" operator="between">
      <formula>AV$38-0.00001</formula>
      <formula>1000</formula>
    </cfRule>
    <cfRule type="cellIs" dxfId="157" priority="184206" stopIfTrue="1" operator="between">
      <formula>AV$37-0.00001</formula>
      <formula>AV$38-0.00001</formula>
    </cfRule>
  </conditionalFormatting>
  <conditionalFormatting sqref="AL1:AL1048576 BP1:BP1048576">
    <cfRule type="cellIs" dxfId="156" priority="184217" operator="between">
      <formula>AV$39-0.00001</formula>
      <formula>1000</formula>
    </cfRule>
  </conditionalFormatting>
  <conditionalFormatting sqref="AP1:AP1048576 BT1:BT1048576 EN1:EN1048576 DE1:DE1048576">
    <cfRule type="cellIs" dxfId="155" priority="184223" operator="between">
      <formula>AV$39-0.00001</formula>
      <formula>1000</formula>
    </cfRule>
  </conditionalFormatting>
  <conditionalFormatting sqref="AR1:AR1048576 BV1:BV1048576">
    <cfRule type="cellIs" dxfId="154" priority="184235" operator="between">
      <formula>AV$39-0.00001</formula>
      <formula>1000</formula>
    </cfRule>
  </conditionalFormatting>
  <conditionalFormatting sqref="AK1:AK1048576 BO1:BO1048576">
    <cfRule type="cellIs" dxfId="153" priority="184241" operator="between">
      <formula>AV$42-0.00001</formula>
      <formula>1000</formula>
    </cfRule>
  </conditionalFormatting>
  <conditionalFormatting sqref="AO1:AO1048576 BS1:BS1048576">
    <cfRule type="cellIs" dxfId="152" priority="184247" operator="between">
      <formula>AV$40-0.00001</formula>
      <formula>AV$41-0.00001</formula>
    </cfRule>
    <cfRule type="cellIs" dxfId="151" priority="184248" operator="between">
      <formula>AV$41-0.00001</formula>
      <formula>1000</formula>
    </cfRule>
  </conditionalFormatting>
  <conditionalFormatting sqref="AU1:AU1048576 BY1:BY1048576">
    <cfRule type="cellIs" dxfId="150" priority="184259" stopIfTrue="1" operator="between">
      <formula>AV$41-0.00001</formula>
      <formula>1000</formula>
    </cfRule>
    <cfRule type="cellIs" dxfId="149" priority="184260" operator="between">
      <formula>AV$40-0.00001</formula>
      <formula>AV$41-0.00001</formula>
    </cfRule>
  </conditionalFormatting>
  <conditionalFormatting sqref="AM1:AM1048576 BQ1:BQ1048576">
    <cfRule type="cellIs" dxfId="148" priority="184271" stopIfTrue="1" operator="between">
      <formula>AV$42-0.00001</formula>
      <formula>1000</formula>
    </cfRule>
    <cfRule type="cellIs" dxfId="147" priority="184272" operator="between">
      <formula>AT$42-0.00001</formula>
      <formula>#REF!-0.00001</formula>
    </cfRule>
  </conditionalFormatting>
  <conditionalFormatting sqref="AQ1:AQ1048576 BU1:BU1048576">
    <cfRule type="cellIs" dxfId="146" priority="184283" stopIfTrue="1" operator="between">
      <formula>AV$42-0.00001</formula>
      <formula>1000</formula>
    </cfRule>
  </conditionalFormatting>
  <conditionalFormatting sqref="AS1:AS1048576 BW1:BW1048576">
    <cfRule type="cellIs" dxfId="145" priority="184289" stopIfTrue="1" operator="between">
      <formula>AV$42-0.00001</formula>
      <formula>1000</formula>
    </cfRule>
  </conditionalFormatting>
  <conditionalFormatting sqref="CW1:CW1048576 EF1:EF1048576">
    <cfRule type="cellIs" dxfId="144" priority="184295" operator="between">
      <formula>DK$39-0.00001</formula>
      <formula>1000</formula>
    </cfRule>
  </conditionalFormatting>
  <conditionalFormatting sqref="CX1:CX1048576 EG1:EG1048576">
    <cfRule type="cellIs" dxfId="143" priority="184301" operator="between">
      <formula>DK$42-0.00001</formula>
      <formula>1000</formula>
    </cfRule>
  </conditionalFormatting>
  <conditionalFormatting sqref="DA1:DA1048576 EJ1:EJ1048576">
    <cfRule type="cellIs" dxfId="142" priority="184307" stopIfTrue="1" operator="between">
      <formula>DK$37-0.00001</formula>
      <formula>DK$38-0.00001</formula>
    </cfRule>
    <cfRule type="cellIs" dxfId="141" priority="184308" operator="between">
      <formula>DK$38-0.00001</formula>
      <formula>1000</formula>
    </cfRule>
  </conditionalFormatting>
  <conditionalFormatting sqref="DB1:DB1048576 EK1:EK1048576">
    <cfRule type="cellIs" dxfId="140" priority="184319" operator="between">
      <formula>DK$40-0.00001</formula>
      <formula>DK$41-0.00001</formula>
    </cfRule>
    <cfRule type="cellIs" dxfId="139" priority="184320" stopIfTrue="1" operator="between">
      <formula>DK$41-0.00001</formula>
      <formula>1000</formula>
    </cfRule>
  </conditionalFormatting>
  <conditionalFormatting sqref="DC1:DC1048576 EL1:EL1048576">
    <cfRule type="cellIs" dxfId="138" priority="184331" operator="between">
      <formula>DK$39-0.00001</formula>
      <formula>1000</formula>
    </cfRule>
  </conditionalFormatting>
  <conditionalFormatting sqref="DG1:DG1048576 EP1:EP1048576">
    <cfRule type="cellIs" dxfId="137" priority="184337" stopIfTrue="1" operator="between">
      <formula>DK$39-0.00001</formula>
      <formula>1000</formula>
    </cfRule>
  </conditionalFormatting>
  <conditionalFormatting sqref="CZ1:CZ1048576 EI1:EI1048576">
    <cfRule type="cellIs" dxfId="136" priority="184343" stopIfTrue="1" operator="between">
      <formula>DK$42-0.00001</formula>
      <formula>1000</formula>
    </cfRule>
  </conditionalFormatting>
  <conditionalFormatting sqref="DD1:DD1048576 EM1:EM1048576">
    <cfRule type="cellIs" dxfId="135" priority="184349" operator="between">
      <formula>DK$42-0.00001</formula>
      <formula>1000</formula>
    </cfRule>
  </conditionalFormatting>
  <conditionalFormatting sqref="DF1:DF1048576 EO1:EO1048576">
    <cfRule type="cellIs" dxfId="134" priority="184355" operator="between">
      <formula>DK$42-0.00001</formula>
      <formula>1000</formula>
    </cfRule>
  </conditionalFormatting>
  <conditionalFormatting sqref="DH1:DH1048576 EQ1:EQ1048576">
    <cfRule type="cellIs" dxfId="133" priority="184361" operator="between">
      <formula>DK$42-0.00001</formula>
      <formula>1000</formula>
    </cfRule>
  </conditionalFormatting>
  <conditionalFormatting sqref="DI1:DI1048576 ER1:ER1048576">
    <cfRule type="cellIs" dxfId="132" priority="184367" operator="between">
      <formula>DK$38-0.00001</formula>
      <formula>1000</formula>
    </cfRule>
    <cfRule type="cellIs" dxfId="131" priority="184368" operator="between">
      <formula>DK$37-0.00001</formula>
      <formula>DK$38-0.00001</formula>
    </cfRule>
  </conditionalFormatting>
  <conditionalFormatting sqref="DJ1:DJ1048576 ES1:ES1048576">
    <cfRule type="cellIs" dxfId="130" priority="184379" operator="between">
      <formula>DK$40-0.00001</formula>
      <formula>DK$41-0.00001</formula>
    </cfRule>
    <cfRule type="cellIs" dxfId="129" priority="184380" operator="between">
      <formula>DK$41-0.00001</formula>
      <formula>1000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BC66B4-D18D-3E4D-B48E-36123D811D13}">
  <sheetPr codeName="Sheet22"/>
  <dimension ref="A1:ET45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2.8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26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83203125" customWidth="1"/>
    <col min="15" max="15" width="27.5" customWidth="1"/>
    <col min="16" max="16" width="24.6640625" customWidth="1"/>
    <col min="17" max="17" width="13" customWidth="1"/>
    <col min="18" max="18" width="31.5" customWidth="1"/>
    <col min="19" max="35" width="10.83203125" hidden="1" customWidth="1"/>
    <col min="36" max="39" width="10.83203125" customWidth="1"/>
    <col min="40" max="48" width="10.83203125" style="26" customWidth="1"/>
    <col min="49" max="65" width="10.83203125" hidden="1" customWidth="1"/>
    <col min="66" max="69" width="10.83203125" customWidth="1"/>
    <col min="70" max="80" width="10.83203125" style="26" customWidth="1"/>
    <col min="81" max="100" width="10.83203125" hidden="1" customWidth="1"/>
    <col min="101" max="115" width="10.83203125" style="26" customWidth="1"/>
    <col min="116" max="135" width="10.83203125" hidden="1" customWidth="1"/>
    <col min="136" max="150" width="10.83203125" style="26" customWidth="1"/>
    <col min="151" max="152" width="10.83203125" customWidth="1"/>
  </cols>
  <sheetData>
    <row r="1" spans="1:150" ht="16" customHeight="1" x14ac:dyDescent="0.2">
      <c r="A1" s="55" t="s">
        <v>1</v>
      </c>
      <c r="B1" s="55" t="s">
        <v>14</v>
      </c>
      <c r="C1" s="55" t="s">
        <v>0</v>
      </c>
      <c r="D1" s="55" t="s">
        <v>30</v>
      </c>
      <c r="E1" s="55" t="s">
        <v>2</v>
      </c>
      <c r="F1" s="56" t="s">
        <v>75</v>
      </c>
      <c r="G1" s="56" t="s">
        <v>8</v>
      </c>
      <c r="H1" s="55" t="s">
        <v>9</v>
      </c>
      <c r="I1" s="56" t="s">
        <v>55</v>
      </c>
      <c r="J1" s="53" t="s">
        <v>76</v>
      </c>
      <c r="K1" s="52" t="s">
        <v>16</v>
      </c>
      <c r="L1" s="53" t="s">
        <v>89</v>
      </c>
      <c r="M1" s="52" t="s">
        <v>16</v>
      </c>
      <c r="N1" s="53" t="s">
        <v>90</v>
      </c>
      <c r="O1" s="52" t="s">
        <v>16</v>
      </c>
      <c r="P1" s="54" t="s">
        <v>10</v>
      </c>
      <c r="Q1" s="52" t="s">
        <v>17</v>
      </c>
      <c r="R1" s="52" t="s">
        <v>16</v>
      </c>
      <c r="S1" s="48" t="s">
        <v>147</v>
      </c>
      <c r="T1" s="48"/>
      <c r="U1" s="48"/>
      <c r="V1" s="48"/>
      <c r="W1" s="48"/>
      <c r="X1" s="48"/>
      <c r="Y1" s="48"/>
      <c r="Z1" s="48"/>
      <c r="AA1" s="48"/>
      <c r="AB1" s="48"/>
      <c r="AC1" s="48"/>
      <c r="AD1" s="48"/>
      <c r="AE1" s="48"/>
      <c r="AF1" s="48"/>
      <c r="AG1" s="48"/>
      <c r="AH1" s="48"/>
      <c r="AI1" s="48"/>
      <c r="AJ1" s="48"/>
      <c r="AK1" s="48"/>
      <c r="AL1" s="48"/>
      <c r="AM1" s="48"/>
      <c r="AN1" s="48"/>
      <c r="AO1" s="48"/>
      <c r="AP1" s="48"/>
      <c r="AQ1" s="48"/>
      <c r="AR1" s="48"/>
      <c r="AS1" s="48"/>
      <c r="AT1" s="48"/>
      <c r="AU1" s="48"/>
      <c r="AV1" s="48"/>
      <c r="AW1" s="49" t="s">
        <v>148</v>
      </c>
      <c r="AX1" s="49"/>
      <c r="AY1" s="49"/>
      <c r="AZ1" s="49"/>
      <c r="BA1" s="49"/>
      <c r="BB1" s="49"/>
      <c r="BC1" s="49"/>
      <c r="BD1" s="49"/>
      <c r="BE1" s="49"/>
      <c r="BF1" s="49"/>
      <c r="BG1" s="49"/>
      <c r="BH1" s="49"/>
      <c r="BI1" s="49"/>
      <c r="BJ1" s="49"/>
      <c r="BK1" s="49"/>
      <c r="BL1" s="49"/>
      <c r="BM1" s="49"/>
      <c r="BN1" s="49"/>
      <c r="BO1" s="49"/>
      <c r="BP1" s="49"/>
      <c r="BQ1" s="49"/>
      <c r="BR1" s="49"/>
      <c r="BS1" s="49"/>
      <c r="BT1" s="49"/>
      <c r="BU1" s="49"/>
      <c r="BV1" s="49"/>
      <c r="BW1" s="49"/>
      <c r="BX1" s="49"/>
      <c r="BY1" s="49"/>
      <c r="BZ1" s="49"/>
      <c r="CA1" s="50" t="s">
        <v>77</v>
      </c>
      <c r="CB1" s="50"/>
      <c r="CC1" s="48" t="s">
        <v>45</v>
      </c>
      <c r="CD1" s="48"/>
      <c r="CE1" s="48"/>
      <c r="CF1" s="48"/>
      <c r="CG1" s="48"/>
      <c r="CH1" s="48"/>
      <c r="CI1" s="48"/>
      <c r="CJ1" s="48"/>
      <c r="CK1" s="48"/>
      <c r="CL1" s="48"/>
      <c r="CM1" s="48"/>
      <c r="CN1" s="48"/>
      <c r="CO1" s="48"/>
      <c r="CP1" s="48"/>
      <c r="CQ1" s="48"/>
      <c r="CR1" s="48"/>
      <c r="CS1" s="48"/>
      <c r="CT1" s="48"/>
      <c r="CU1" s="48"/>
      <c r="CV1" s="48"/>
      <c r="CW1" s="48"/>
      <c r="CX1" s="48"/>
      <c r="CY1" s="48"/>
      <c r="CZ1" s="48"/>
      <c r="DA1" s="48"/>
      <c r="DB1" s="48"/>
      <c r="DC1" s="48"/>
      <c r="DD1" s="48"/>
      <c r="DE1" s="48"/>
      <c r="DF1" s="48"/>
      <c r="DG1" s="48"/>
      <c r="DH1" s="48"/>
      <c r="DI1" s="48"/>
      <c r="DJ1" s="48"/>
      <c r="DK1" s="48"/>
      <c r="DL1" s="49" t="s">
        <v>46</v>
      </c>
      <c r="DM1" s="49"/>
      <c r="DN1" s="49"/>
      <c r="DO1" s="49"/>
      <c r="DP1" s="49"/>
      <c r="DQ1" s="49"/>
      <c r="DR1" s="49"/>
      <c r="DS1" s="49"/>
      <c r="DT1" s="49"/>
      <c r="DU1" s="49"/>
      <c r="DV1" s="49"/>
      <c r="DW1" s="49"/>
      <c r="DX1" s="49"/>
      <c r="DY1" s="49"/>
      <c r="DZ1" s="49"/>
      <c r="EA1" s="49"/>
      <c r="EB1" s="49"/>
      <c r="EC1" s="49"/>
      <c r="ED1" s="49"/>
      <c r="EE1" s="49"/>
      <c r="EF1" s="49"/>
      <c r="EG1" s="49"/>
      <c r="EH1" s="49"/>
      <c r="EI1" s="49"/>
      <c r="EJ1" s="49"/>
      <c r="EK1" s="49"/>
      <c r="EL1" s="49"/>
      <c r="EM1" s="49"/>
      <c r="EN1" s="49"/>
      <c r="EO1" s="49"/>
      <c r="EP1" s="49"/>
      <c r="EQ1" s="49"/>
      <c r="ER1" s="49"/>
      <c r="ES1" s="49"/>
      <c r="ET1" s="49"/>
    </row>
    <row r="2" spans="1:150" x14ac:dyDescent="0.2">
      <c r="A2" s="55"/>
      <c r="B2" s="55"/>
      <c r="C2" s="55"/>
      <c r="D2" s="55"/>
      <c r="E2" s="55"/>
      <c r="F2" s="56"/>
      <c r="G2" s="56"/>
      <c r="H2" s="55"/>
      <c r="I2" s="56"/>
      <c r="J2" s="53"/>
      <c r="K2" s="52"/>
      <c r="L2" s="53"/>
      <c r="M2" s="52"/>
      <c r="N2" s="52"/>
      <c r="O2" s="52"/>
      <c r="P2" s="54"/>
      <c r="Q2" s="52"/>
      <c r="R2" s="52"/>
      <c r="S2" s="46" t="s">
        <v>78</v>
      </c>
      <c r="T2" s="46"/>
      <c r="U2" s="46"/>
      <c r="V2" s="46"/>
      <c r="W2" s="46" t="s">
        <v>79</v>
      </c>
      <c r="X2" s="46"/>
      <c r="Y2" s="46"/>
      <c r="Z2" s="46"/>
      <c r="AA2" s="46" t="s">
        <v>80</v>
      </c>
      <c r="AB2" s="46"/>
      <c r="AC2" s="46"/>
      <c r="AD2" s="46"/>
      <c r="AE2" s="47" t="s">
        <v>81</v>
      </c>
      <c r="AF2" s="47"/>
      <c r="AG2" s="47"/>
      <c r="AH2" s="47"/>
      <c r="AI2" s="13"/>
      <c r="AJ2" s="13" t="s">
        <v>95</v>
      </c>
      <c r="AK2" s="13" t="s">
        <v>91</v>
      </c>
      <c r="AL2" s="13" t="s">
        <v>96</v>
      </c>
      <c r="AM2" s="13" t="s">
        <v>92</v>
      </c>
      <c r="AN2" s="13" t="s">
        <v>82</v>
      </c>
      <c r="AO2" s="13" t="s">
        <v>13</v>
      </c>
      <c r="AP2" s="13" t="s">
        <v>97</v>
      </c>
      <c r="AQ2" s="13" t="s">
        <v>93</v>
      </c>
      <c r="AR2" s="13" t="s">
        <v>98</v>
      </c>
      <c r="AS2" s="13" t="s">
        <v>94</v>
      </c>
      <c r="AT2" s="13" t="s">
        <v>83</v>
      </c>
      <c r="AU2" s="13" t="s">
        <v>84</v>
      </c>
      <c r="AV2" s="13" t="s">
        <v>12</v>
      </c>
      <c r="AW2" s="44" t="s">
        <v>78</v>
      </c>
      <c r="AX2" s="44"/>
      <c r="AY2" s="44"/>
      <c r="AZ2" s="44"/>
      <c r="BA2" s="44" t="s">
        <v>79</v>
      </c>
      <c r="BB2" s="44"/>
      <c r="BC2" s="44"/>
      <c r="BD2" s="44"/>
      <c r="BE2" s="44" t="s">
        <v>80</v>
      </c>
      <c r="BF2" s="44"/>
      <c r="BG2" s="44"/>
      <c r="BH2" s="44"/>
      <c r="BI2" s="45" t="s">
        <v>81</v>
      </c>
      <c r="BJ2" s="45"/>
      <c r="BK2" s="45"/>
      <c r="BL2" s="45"/>
      <c r="BM2" s="12"/>
      <c r="BN2" s="12" t="s">
        <v>95</v>
      </c>
      <c r="BO2" s="12" t="s">
        <v>91</v>
      </c>
      <c r="BP2" s="12" t="s">
        <v>96</v>
      </c>
      <c r="BQ2" s="12" t="s">
        <v>92</v>
      </c>
      <c r="BR2" s="12" t="s">
        <v>82</v>
      </c>
      <c r="BS2" s="12" t="s">
        <v>13</v>
      </c>
      <c r="BT2" s="12" t="s">
        <v>97</v>
      </c>
      <c r="BU2" s="12" t="s">
        <v>93</v>
      </c>
      <c r="BV2" s="12" t="s">
        <v>98</v>
      </c>
      <c r="BW2" s="12" t="s">
        <v>94</v>
      </c>
      <c r="BX2" s="12" t="s">
        <v>83</v>
      </c>
      <c r="BY2" s="12" t="s">
        <v>84</v>
      </c>
      <c r="BZ2" s="12" t="s">
        <v>12</v>
      </c>
      <c r="CA2" s="33" t="s">
        <v>85</v>
      </c>
      <c r="CB2" s="33" t="s">
        <v>99</v>
      </c>
      <c r="CC2" s="46" t="s">
        <v>78</v>
      </c>
      <c r="CD2" s="46"/>
      <c r="CE2" s="46"/>
      <c r="CF2" s="46"/>
      <c r="CG2" s="46" t="s">
        <v>79</v>
      </c>
      <c r="CH2" s="46"/>
      <c r="CI2" s="46"/>
      <c r="CJ2" s="46"/>
      <c r="CK2" s="46" t="s">
        <v>86</v>
      </c>
      <c r="CL2" s="46"/>
      <c r="CM2" s="46"/>
      <c r="CN2" s="46"/>
      <c r="CO2" s="46" t="s">
        <v>80</v>
      </c>
      <c r="CP2" s="46"/>
      <c r="CQ2" s="46"/>
      <c r="CR2" s="46"/>
      <c r="CS2" s="51" t="s">
        <v>81</v>
      </c>
      <c r="CT2" s="51"/>
      <c r="CU2" s="51"/>
      <c r="CV2" s="51"/>
      <c r="CW2" s="13" t="s">
        <v>95</v>
      </c>
      <c r="CX2" s="13" t="s">
        <v>91</v>
      </c>
      <c r="CY2" s="13" t="s">
        <v>96</v>
      </c>
      <c r="CZ2" s="13" t="s">
        <v>92</v>
      </c>
      <c r="DA2" s="13" t="s">
        <v>87</v>
      </c>
      <c r="DB2" s="13" t="s">
        <v>85</v>
      </c>
      <c r="DC2" s="13" t="s">
        <v>100</v>
      </c>
      <c r="DD2" s="13" t="s">
        <v>86</v>
      </c>
      <c r="DE2" s="13" t="s">
        <v>101</v>
      </c>
      <c r="DF2" s="13" t="s">
        <v>80</v>
      </c>
      <c r="DG2" s="13" t="s">
        <v>102</v>
      </c>
      <c r="DH2" s="13" t="s">
        <v>81</v>
      </c>
      <c r="DI2" s="13" t="s">
        <v>83</v>
      </c>
      <c r="DJ2" s="13" t="s">
        <v>84</v>
      </c>
      <c r="DK2" s="13" t="s">
        <v>12</v>
      </c>
      <c r="DL2" s="44" t="s">
        <v>78</v>
      </c>
      <c r="DM2" s="44"/>
      <c r="DN2" s="44"/>
      <c r="DO2" s="44"/>
      <c r="DP2" s="44" t="s">
        <v>79</v>
      </c>
      <c r="DQ2" s="44"/>
      <c r="DR2" s="44"/>
      <c r="DS2" s="44"/>
      <c r="DT2" s="44" t="s">
        <v>86</v>
      </c>
      <c r="DU2" s="44"/>
      <c r="DV2" s="44"/>
      <c r="DW2" s="44"/>
      <c r="DX2" s="44" t="s">
        <v>80</v>
      </c>
      <c r="DY2" s="44"/>
      <c r="DZ2" s="44"/>
      <c r="EA2" s="44"/>
      <c r="EB2" s="45" t="s">
        <v>81</v>
      </c>
      <c r="EC2" s="45"/>
      <c r="ED2" s="45"/>
      <c r="EE2" s="45"/>
      <c r="EF2" s="12" t="s">
        <v>95</v>
      </c>
      <c r="EG2" s="12" t="s">
        <v>91</v>
      </c>
      <c r="EH2" s="12" t="s">
        <v>96</v>
      </c>
      <c r="EI2" s="12" t="s">
        <v>92</v>
      </c>
      <c r="EJ2" s="12" t="s">
        <v>87</v>
      </c>
      <c r="EK2" s="12" t="s">
        <v>85</v>
      </c>
      <c r="EL2" s="12" t="s">
        <v>100</v>
      </c>
      <c r="EM2" s="12" t="s">
        <v>86</v>
      </c>
      <c r="EN2" s="12" t="s">
        <v>101</v>
      </c>
      <c r="EO2" s="12" t="s">
        <v>80</v>
      </c>
      <c r="EP2" s="12" t="s">
        <v>102</v>
      </c>
      <c r="EQ2" s="12" t="s">
        <v>81</v>
      </c>
      <c r="ER2" s="12" t="s">
        <v>83</v>
      </c>
      <c r="ES2" s="12" t="s">
        <v>84</v>
      </c>
      <c r="ET2" s="12" t="s">
        <v>12</v>
      </c>
    </row>
    <row r="3" spans="1:150" x14ac:dyDescent="0.2">
      <c r="A3" s="55"/>
      <c r="B3" s="55"/>
      <c r="C3" s="55"/>
      <c r="D3" s="55"/>
      <c r="E3" s="55"/>
      <c r="F3" s="56"/>
      <c r="G3" s="56"/>
      <c r="H3" s="55"/>
      <c r="I3" s="56"/>
      <c r="J3" s="53"/>
      <c r="K3" s="52"/>
      <c r="L3" s="53"/>
      <c r="M3" s="52"/>
      <c r="N3" s="52"/>
      <c r="O3" s="52"/>
      <c r="P3" s="54"/>
      <c r="Q3" s="52"/>
      <c r="R3" s="52"/>
      <c r="S3" s="13" t="s">
        <v>11</v>
      </c>
      <c r="T3" s="13" t="s">
        <v>7</v>
      </c>
      <c r="U3" s="13" t="s">
        <v>15</v>
      </c>
      <c r="V3" s="13" t="s">
        <v>88</v>
      </c>
      <c r="W3" s="13" t="s">
        <v>11</v>
      </c>
      <c r="X3" s="13" t="s">
        <v>7</v>
      </c>
      <c r="Y3" s="13" t="s">
        <v>15</v>
      </c>
      <c r="Z3" s="13" t="s">
        <v>88</v>
      </c>
      <c r="AA3" s="13" t="s">
        <v>11</v>
      </c>
      <c r="AB3" s="13" t="s">
        <v>7</v>
      </c>
      <c r="AC3" s="13" t="s">
        <v>15</v>
      </c>
      <c r="AD3" s="13" t="s">
        <v>88</v>
      </c>
      <c r="AE3" s="35" t="s">
        <v>11</v>
      </c>
      <c r="AF3" s="35" t="s">
        <v>7</v>
      </c>
      <c r="AG3" s="35" t="s">
        <v>15</v>
      </c>
      <c r="AH3" s="35" t="s">
        <v>88</v>
      </c>
      <c r="AI3" s="13" t="s">
        <v>28</v>
      </c>
      <c r="AJ3" s="13"/>
      <c r="AK3" s="13"/>
      <c r="AL3" s="13"/>
      <c r="AM3" s="13"/>
      <c r="AN3" s="13"/>
      <c r="AO3" s="13"/>
      <c r="AP3" s="13"/>
      <c r="AQ3" s="13"/>
      <c r="AR3" s="13"/>
      <c r="AS3" s="13"/>
      <c r="AT3" s="13"/>
      <c r="AU3" s="13"/>
      <c r="AV3" s="13"/>
      <c r="AW3" s="12" t="s">
        <v>11</v>
      </c>
      <c r="AX3" s="12" t="s">
        <v>7</v>
      </c>
      <c r="AY3" s="12" t="s">
        <v>15</v>
      </c>
      <c r="AZ3" s="12" t="s">
        <v>88</v>
      </c>
      <c r="BA3" s="12" t="s">
        <v>11</v>
      </c>
      <c r="BB3" s="12" t="s">
        <v>7</v>
      </c>
      <c r="BC3" s="12" t="s">
        <v>15</v>
      </c>
      <c r="BD3" s="12" t="s">
        <v>88</v>
      </c>
      <c r="BE3" s="12" t="s">
        <v>11</v>
      </c>
      <c r="BF3" s="12" t="s">
        <v>7</v>
      </c>
      <c r="BG3" s="12" t="s">
        <v>15</v>
      </c>
      <c r="BH3" s="12" t="s">
        <v>88</v>
      </c>
      <c r="BI3" s="36" t="s">
        <v>11</v>
      </c>
      <c r="BJ3" s="36" t="s">
        <v>7</v>
      </c>
      <c r="BK3" s="36" t="s">
        <v>15</v>
      </c>
      <c r="BL3" s="36" t="s">
        <v>88</v>
      </c>
      <c r="BM3" s="12" t="s">
        <v>28</v>
      </c>
      <c r="BN3" s="12"/>
      <c r="BO3" s="12"/>
      <c r="BP3" s="12"/>
      <c r="BQ3" s="12"/>
      <c r="BR3" s="12"/>
      <c r="BS3" s="12"/>
      <c r="BT3" s="12"/>
      <c r="BU3" s="12"/>
      <c r="BV3" s="12"/>
      <c r="BW3" s="12"/>
      <c r="BX3" s="12"/>
      <c r="BY3" s="12"/>
      <c r="BZ3" s="12"/>
      <c r="CA3" s="33"/>
      <c r="CB3" s="33"/>
      <c r="CC3" s="13" t="s">
        <v>11</v>
      </c>
      <c r="CD3" s="13" t="s">
        <v>7</v>
      </c>
      <c r="CE3" s="13" t="s">
        <v>15</v>
      </c>
      <c r="CF3" s="13" t="s">
        <v>88</v>
      </c>
      <c r="CG3" s="13" t="s">
        <v>11</v>
      </c>
      <c r="CH3" s="13" t="s">
        <v>7</v>
      </c>
      <c r="CI3" s="13" t="s">
        <v>15</v>
      </c>
      <c r="CJ3" s="13" t="s">
        <v>88</v>
      </c>
      <c r="CK3" s="13" t="s">
        <v>11</v>
      </c>
      <c r="CL3" s="13" t="s">
        <v>7</v>
      </c>
      <c r="CM3" s="13" t="s">
        <v>15</v>
      </c>
      <c r="CN3" s="13" t="s">
        <v>88</v>
      </c>
      <c r="CO3" s="13" t="s">
        <v>11</v>
      </c>
      <c r="CP3" s="13" t="s">
        <v>7</v>
      </c>
      <c r="CQ3" s="13" t="s">
        <v>15</v>
      </c>
      <c r="CR3" s="13" t="s">
        <v>88</v>
      </c>
      <c r="CS3" s="37" t="s">
        <v>11</v>
      </c>
      <c r="CT3" s="37" t="s">
        <v>7</v>
      </c>
      <c r="CU3" s="37" t="s">
        <v>15</v>
      </c>
      <c r="CV3" s="37" t="s">
        <v>88</v>
      </c>
      <c r="CW3" s="13"/>
      <c r="CX3" s="13"/>
      <c r="CY3" s="13"/>
      <c r="CZ3" s="13"/>
      <c r="DA3" s="13"/>
      <c r="DB3" s="13"/>
      <c r="DC3" s="13"/>
      <c r="DD3" s="13"/>
      <c r="DE3" s="13"/>
      <c r="DF3" s="13"/>
      <c r="DG3" s="13"/>
      <c r="DH3" s="13"/>
      <c r="DI3" s="13"/>
      <c r="DJ3" s="13"/>
      <c r="DK3" s="13"/>
      <c r="DL3" s="12" t="s">
        <v>11</v>
      </c>
      <c r="DM3" s="12" t="s">
        <v>7</v>
      </c>
      <c r="DN3" s="12" t="s">
        <v>15</v>
      </c>
      <c r="DO3" s="12" t="s">
        <v>88</v>
      </c>
      <c r="DP3" s="12" t="s">
        <v>11</v>
      </c>
      <c r="DQ3" s="12" t="s">
        <v>7</v>
      </c>
      <c r="DR3" s="12" t="s">
        <v>15</v>
      </c>
      <c r="DS3" s="12" t="s">
        <v>88</v>
      </c>
      <c r="DT3" s="12" t="s">
        <v>11</v>
      </c>
      <c r="DU3" s="12" t="s">
        <v>7</v>
      </c>
      <c r="DV3" s="12" t="s">
        <v>15</v>
      </c>
      <c r="DW3" s="12" t="s">
        <v>88</v>
      </c>
      <c r="DX3" s="12" t="s">
        <v>11</v>
      </c>
      <c r="DY3" s="12" t="s">
        <v>7</v>
      </c>
      <c r="DZ3" s="12" t="s">
        <v>15</v>
      </c>
      <c r="EA3" s="12" t="s">
        <v>88</v>
      </c>
      <c r="EB3" s="36" t="s">
        <v>11</v>
      </c>
      <c r="EC3" s="36" t="s">
        <v>7</v>
      </c>
      <c r="ED3" s="36" t="s">
        <v>15</v>
      </c>
      <c r="EE3" s="36" t="s">
        <v>88</v>
      </c>
      <c r="EF3" s="12"/>
      <c r="EG3" s="12"/>
      <c r="EH3" s="12"/>
      <c r="EI3" s="12"/>
      <c r="EJ3" s="12"/>
      <c r="EK3" s="12"/>
      <c r="EL3" s="12"/>
      <c r="EM3" s="12"/>
      <c r="EN3" s="12"/>
      <c r="EO3" s="12"/>
      <c r="EP3" s="12"/>
      <c r="EQ3" s="12"/>
      <c r="ER3" s="12"/>
      <c r="ES3" s="12"/>
      <c r="ET3" s="12"/>
    </row>
    <row r="4" spans="1:150" x14ac:dyDescent="0.2">
      <c r="A4" s="3" t="str" cm="1">
        <f t="array" ref="A4">IF(AND(H4&lt;&gt;"",H4&lt;&gt;"No DD",I4&lt;&gt;"P"),SUMPRODUCT((H$4:H$30&lt;&gt;"")*(H$4:H$30&lt;&gt;"No DD")*(I$4:I$30&lt;&gt;"P")*(E$4:E$30&gt;E4))+1,IF(H4="No DD",SUMPRODUCT((H$4:H$30="No DD")*(I$4:I$30&lt;&gt;"P")*(E$4:E$30&gt;E4))+1+SUMPRODUCT((H$4:H$30&lt;&gt;"")*(I$4:I$30&lt;&gt;"P")*(H$4:H$30&lt;&gt;"No DD")),""))</f>
        <v/>
      </c>
      <c r="B4" s="4" t="s">
        <v>126</v>
      </c>
      <c r="C4" s="3" t="s">
        <v>5</v>
      </c>
      <c r="D4" s="3">
        <v>2009</v>
      </c>
      <c r="E4" s="8">
        <f t="shared" ref="E4:E29" si="0">SUM(J4:P4)+SUM(J4:M4)*0.0000001+SUM(J4)*0.0000000000001</f>
        <v>103.40000770000502</v>
      </c>
      <c r="F4" s="2" t="str">
        <f>IF(OR(AND(AO4&lt;&gt;"",AO4&gt;=AV$35,AN4&gt;=AV$32),AND(AU4&lt;&gt;"",AU4&gt;=AV$35,AT4&gt;=AV$32),AND(BS4&lt;&gt;"",BS4&gt;=BZ$35,BR4&gt;=BZ$32),AND(BY4&lt;&gt;"",BY4&gt;=BZ$35,BX4&gt;=BZ$32),AND(DB4&lt;&gt;"",DB4&gt;=DK$35,DA4&gt;=DK$32),AND(DJ4&lt;&gt;"",DJ4&gt;=DK$35,DI4&gt;=DK$32),AND(EK4&lt;&gt;"",EK4&gt;=ET$35,EJ4&gt;=ET$32),AND(ES4&lt;&gt;"",ES4&gt;=ET$35,ER4&gt;=ET$32)),"P","")</f>
        <v>P</v>
      </c>
      <c r="G4" s="2" t="str">
        <f>IF(OR(AND(AO4&lt;&gt;"",AO4&gt;=AV$35),AND(AU4&lt;&gt;"",AU4&gt;=AV$35),AND(BS4&lt;&gt;"",BS4&gt;=BZ$35),AND(BY4&lt;&gt;"",BY4&gt;=BZ$35),AND(DB4&lt;&gt;"",DB4&gt;=DK$35),AND(DJ4&lt;&gt;"",DJ4&gt;=DK$35),AND(EK4&lt;&gt;"",EK4&gt;=ET$35),AND(ES4&lt;&gt;"",ES4&gt;=ET$35)),"P","")</f>
        <v>P</v>
      </c>
      <c r="H4" s="26" t="str">
        <f>IF(AND(G4="P",F4=""),"No DD",IF(OR(AND(AK4&lt;&gt;"",AK4&gt;=AV$37,AJ4&gt;=AV$34),AND(AM4&lt;&gt;"",AM4&gt;=AV$37,AL4&gt;=AV$34),AND(AQ4&lt;&gt;"",AQ4&gt;=AV$37,AP4&gt;=AV$34),AND(AS4&lt;&gt;"",AS4&gt;=AV$37,AR4&gt;=AV$34),AND(BO4&lt;&gt;"",BO4&gt;=BZ$37,BN4&gt;=BZ$34),AND(BQ4&lt;&gt;"",BQ4&gt;=BZ$37,BP4&gt;=BZ$34),AND(BV4&lt;&gt;"",BV4&gt;=BZ$37,BU4&gt;=BZ$34),AND(BX4&lt;&gt;"",BX4&gt;=BZ$37,BW4&gt;=BZ$34),AND(CX4&lt;&gt;"",CX4&gt;=DK$37,CW4&gt;=DK$34),AND(CZ4&lt;&gt;"",CZ4&gt;=DK$37,CY4&gt;=DK$34),AND(DD4&lt;&gt;"",DD4&gt;=DK$37,DC4&gt;=DK$34),AND(DF4&lt;&gt;"",DF4&gt;=DK$37,DE4&gt;=DK$34),AND(DH4&lt;&gt;"",DH4&gt;=DK$37,DG4&gt;=DK$34),AND(EG4&lt;&gt;"",EG4&gt;=ET$37,EF4&gt;=ET$34),AND(EI4&lt;&gt;"",EI4&gt;=ET$37,EH4&gt;=ET$34),AND(EM4&lt;&gt;"",EM4&gt;=ET$37,EL4&gt;=ET$34),AND(EO4&lt;&gt;"",EO4&gt;=ET$37,EN4&gt;=ET$34),AND(EQ4&lt;&gt;"",EQ4&gt;=ET$37,EP4&gt;=ET$34)),"Performance",IF(I4="P","National Team",IF(F4="P","National Team",""))))</f>
        <v>National Team</v>
      </c>
      <c r="I4" s="2" t="str">
        <f>IF(COUNTIFS('Senior-W'!B:B,B4,'Senior-W'!A:A,"&lt;9",'Senior-W'!H:H,"&lt;&gt;"&amp;"No DD"),"P","")</f>
        <v>P</v>
      </c>
      <c r="J4" s="7">
        <f t="shared" ref="J4:J29" si="1">IF(COUNT(AO4,BS4)&gt;0,MAX(AO4,BS4),0)</f>
        <v>50.099999999999994</v>
      </c>
      <c r="K4" s="7" t="str">
        <f t="shared" ref="K4:K29" si="2">IF(J4=0,"",IF(J4=BS4,$AW$1,IF(J4=AO4,$S$1,"")))</f>
        <v>2026 Elite Canada</v>
      </c>
      <c r="L4" s="7">
        <f>IF(J4=AO4,IF(COUNT(AQ4,AS4,BO4,BQ4,BU4,BW4)&gt;1,LARGE((AQ4,AS4,BO4,BQ4,BU4,BW4),1),0),IF(COUNT(AK4,AM4,AQ4,AS4,BU4,BW4)&gt;1,LARGE((AK4,AM4,AQ4,AS4,BU4,BW4),1),0))</f>
        <v>26.900000000000002</v>
      </c>
      <c r="M4" s="7" t="str">
        <f t="shared" ref="M4:M29" si="3">IF(L4=0,"",IF(OR(L4=BO4,L4=BQ4,L4=BU4,L4=BW4),$AW$1,IF(OR(L4=AK4,L4=AM4,L4=AQ4,L4=AS4),$S$1,"")))</f>
        <v>2026 Elite Canada</v>
      </c>
      <c r="N4" s="7">
        <f>IF(J4=AO4,IF(COUNT(AQ4,AS4,BO4,BQ4,BU4,BW4)&gt;1,LARGE((AQ4,AS4,BO4,BQ4,BU4,BW4),2),0),IF(COUNT(AK4,AM4,AQ4,AS4,BU4,BW4)&gt;1,LARGE((AK4,AM4,AQ4,AS4,BU4,BW4),2),0))</f>
        <v>25.200000000000003</v>
      </c>
      <c r="O4" s="7" t="str">
        <f t="shared" ref="O4:O29" si="4">IF(N4=0,"",IF(OR(N4=BO4,N4=BQ4,N4=BU4,N4=BW4),$AW$1,IF(OR(N4=AK4,N4=AM4,N4=AQ4,N4=AS4),$S$1,"")))</f>
        <v>2026 Elite Canada</v>
      </c>
      <c r="P4" s="7">
        <f t="shared" ref="P4:P29" si="5">IF(MAX(CA4:CB4)&gt;0,MAX(CA4:CB4),"")</f>
        <v>1.2000000000000028</v>
      </c>
      <c r="Q4" s="10" t="str">
        <f t="shared" ref="Q4:Q29" si="6">IF(P4="","",IF(P4=CA4,"("&amp;CA$2&amp;")",IF(P4=CB4,"("&amp;CB$2&amp;")")))</f>
        <v>(Q1)</v>
      </c>
      <c r="R4" s="7" t="str">
        <f t="shared" ref="R4:R29" si="7">IF(P4="","",IF(P4=CA4,IF(P4+MAX(J4,0)=EK4,$DL$1,IF(P4+MAX(J4,0)=DB4,$CC$1)),IF(P4=CB4,IF(P4+MAX(N4,0)=MAX(EG4,EI4,EM4,EO4,EQ4),$DL$1,IF(P4+MAX(N4,0)=MAX(CX4,CZ4,DD4,DF4,DH4),$CC$1)))))</f>
        <v>2025 WAGC (Nov 16)</v>
      </c>
      <c r="S4" s="38">
        <v>18.3</v>
      </c>
      <c r="T4" s="38">
        <v>5.6</v>
      </c>
      <c r="U4" s="38">
        <v>0</v>
      </c>
      <c r="V4" s="38">
        <v>0</v>
      </c>
      <c r="W4" s="38">
        <v>18.899999999999999</v>
      </c>
      <c r="X4" s="38">
        <v>6.8</v>
      </c>
      <c r="Y4" s="38">
        <v>0</v>
      </c>
      <c r="Z4" s="38">
        <v>0.50000000000000089</v>
      </c>
      <c r="AA4" s="38">
        <v>18.8</v>
      </c>
      <c r="AB4" s="38">
        <v>6.4</v>
      </c>
      <c r="AC4" s="38">
        <v>0</v>
      </c>
      <c r="AD4" s="38">
        <v>0</v>
      </c>
      <c r="AE4" s="38">
        <v>18.5</v>
      </c>
      <c r="AF4" s="38">
        <v>7.6</v>
      </c>
      <c r="AG4" s="38">
        <v>0.2</v>
      </c>
      <c r="AH4" s="38">
        <v>0.99999999999999889</v>
      </c>
      <c r="AI4" s="19"/>
      <c r="AJ4" s="41">
        <f t="shared" ref="AJ4:AJ29" si="8">IF(T4="","",T4)</f>
        <v>5.6</v>
      </c>
      <c r="AK4" s="41">
        <f t="shared" ref="AK4:AK29" si="9">IF(S4="","",S4+T4+V4-U4)</f>
        <v>23.9</v>
      </c>
      <c r="AL4" s="41">
        <f t="shared" ref="AL4:AL29" si="10">IF(X4="","",X4)</f>
        <v>6.8</v>
      </c>
      <c r="AM4" s="41">
        <f t="shared" ref="AM4:AM29" si="11">IF(W4="","",W4+X4+Z4-Y4)</f>
        <v>26.2</v>
      </c>
      <c r="AN4" s="27">
        <f t="shared" ref="AN4:AN29" si="12">IF(SUM(T4,X4)&gt;0,SUM(T4,X4),"")</f>
        <v>12.399999999999999</v>
      </c>
      <c r="AO4" s="27">
        <f t="shared" ref="AO4:AO29" si="13">IF(SUM(AK4,AM4)&gt;0,SUM(AK4,AM4),"")</f>
        <v>50.099999999999994</v>
      </c>
      <c r="AP4" s="27">
        <f t="shared" ref="AP4:AP29" si="14">IF(AB4="","",AB4)</f>
        <v>6.4</v>
      </c>
      <c r="AQ4" s="27">
        <f t="shared" ref="AQ4:AQ29" si="15">IF(AA4="","",AA4+AB4+AD4-AC4)</f>
        <v>25.200000000000003</v>
      </c>
      <c r="AR4" s="27">
        <f t="shared" ref="AR4:AR29" si="16">IF(AF4="","",AF4)</f>
        <v>7.6</v>
      </c>
      <c r="AS4" s="27">
        <f t="shared" ref="AS4:AS29" si="17">IF(AE4="","",AE4+AF4+AH4-AG4)</f>
        <v>26.900000000000002</v>
      </c>
      <c r="AT4" s="27">
        <f t="shared" ref="AT4:AT29" si="18">IF(SUM(AB4,AF4)&gt;0,SUM(AB4,AF4),"")</f>
        <v>14</v>
      </c>
      <c r="AU4" s="27">
        <f t="shared" ref="AU4:AU29" si="19">IF(SUM(AQ4,AS4)&gt;0,SUM(AQ4,AS4),"")</f>
        <v>52.100000000000009</v>
      </c>
      <c r="AV4" s="27">
        <f t="shared" ref="AV4:AV29" si="20">IF(SUM(AO4,AU4)&gt;0,SUM(AO4,AU4),"")</f>
        <v>102.2</v>
      </c>
      <c r="AW4" s="15"/>
      <c r="AX4" s="15"/>
      <c r="AY4" s="15"/>
      <c r="AZ4" s="15"/>
      <c r="BA4" s="15"/>
      <c r="BB4" s="15"/>
      <c r="BC4" s="15"/>
      <c r="BD4" s="15"/>
      <c r="BE4" s="15"/>
      <c r="BF4" s="15"/>
      <c r="BG4" s="15"/>
      <c r="BH4" s="15"/>
      <c r="BI4" s="15"/>
      <c r="BJ4" s="15"/>
      <c r="BK4" s="15"/>
      <c r="BL4" s="15"/>
      <c r="BM4" s="20"/>
      <c r="BN4" s="42" t="str">
        <f t="shared" ref="BN4:BN29" si="21">IF(AX4="","",AX4)</f>
        <v/>
      </c>
      <c r="BO4" s="42" t="str">
        <f t="shared" ref="BO4:BO29" si="22">IF(AW4="","",AW4+AX4+AZ4-AY4)</f>
        <v/>
      </c>
      <c r="BP4" s="42" t="str">
        <f t="shared" ref="BP4:BP29" si="23">IF(BB4="","",BB4)</f>
        <v/>
      </c>
      <c r="BQ4" s="42" t="str">
        <f t="shared" ref="BQ4:BQ29" si="24">IF(BA4="","",BA4+BB4+BD4-BC4)</f>
        <v/>
      </c>
      <c r="BR4" s="10" t="str">
        <f t="shared" ref="BR4:BR29" si="25">IF(SUM(AX4,BB4)&gt;0,SUM(AX4,BB4),"")</f>
        <v/>
      </c>
      <c r="BS4" s="10" t="str">
        <f t="shared" ref="BS4:BS29" si="26">IF(SUM(BO4,BQ4)&gt;0,SUM(BO4,BQ4),"")</f>
        <v/>
      </c>
      <c r="BT4" s="10" t="str">
        <f t="shared" ref="BT4:BT29" si="27">IF(BF4="","",BF4)</f>
        <v/>
      </c>
      <c r="BU4" s="10" t="str">
        <f t="shared" ref="BU4:BU29" si="28">IF(BE4="","",BE4+BF4+BH4-BG4)</f>
        <v/>
      </c>
      <c r="BV4" s="10" t="str">
        <f t="shared" ref="BV4:BV29" si="29">IF(BJ4="","",BJ4)</f>
        <v/>
      </c>
      <c r="BW4" s="10" t="str">
        <f t="shared" ref="BW4:BW29" si="30">IF(BI4="","",BI4+BJ4+BL4-BK4)</f>
        <v/>
      </c>
      <c r="BX4" s="10" t="str">
        <f t="shared" ref="BX4:BX29" si="31">IF(SUM(BF4,BJ4)&gt;0,SUM(BF4,BJ4),"")</f>
        <v/>
      </c>
      <c r="BY4" s="10" t="str">
        <f t="shared" ref="BY4:BY29" si="32">IF(SUM(BU4,BW4)&gt;0,SUM(BU4,BW4),"")</f>
        <v/>
      </c>
      <c r="BZ4" s="10" t="str">
        <f t="shared" ref="BZ4:BZ29" si="33">IF(SUM(BS4,BY4)&gt;0,SUM(BS4,BY4),"")</f>
        <v/>
      </c>
      <c r="CA4" s="34">
        <f t="shared" ref="CA4:CA29" si="34">IF(MAX(DB4,EK4)-IF(J4="",0,J4)&gt;0.001,MAX(DB4,EK4)-IF(J4="",0,J4),"")</f>
        <v>1.2000000000000028</v>
      </c>
      <c r="CB4" s="34">
        <f t="shared" ref="CB4:CB29" si="35">IF(MAX(CX4,CZ4,DD4,DF4,DH4,EG4,EI4,EM4,EO4)-IF(N4="",0,N4)&gt;0.001,MAX(CX4,CZ4,DD4,DF4,DH4,EG4,EI4,EM4,EO4)-IF(N4="",0,N4),"")</f>
        <v>0.79999999999999716</v>
      </c>
      <c r="CC4" s="14"/>
      <c r="CD4" s="14"/>
      <c r="CE4" s="14"/>
      <c r="CF4" s="14"/>
      <c r="CG4" s="14"/>
      <c r="CH4" s="14"/>
      <c r="CI4" s="14"/>
      <c r="CJ4" s="14"/>
      <c r="CK4" s="14"/>
      <c r="CL4" s="14"/>
      <c r="CM4" s="14"/>
      <c r="CN4" s="14"/>
      <c r="CO4" s="14"/>
      <c r="CP4" s="14"/>
      <c r="CQ4" s="14"/>
      <c r="CR4" s="14"/>
      <c r="CS4" s="14"/>
      <c r="CT4" s="14"/>
      <c r="CU4" s="14"/>
      <c r="CV4" s="14"/>
      <c r="CW4" s="27" t="str">
        <f t="shared" ref="CW4:CW29" si="36">IF(CD4="","",CD4)</f>
        <v/>
      </c>
      <c r="CX4" s="27" t="str">
        <f t="shared" ref="CX4:CX29" si="37">IF(CC4="","",CC4+CD4+CF4-CE4)</f>
        <v/>
      </c>
      <c r="CY4" s="27" t="str">
        <f t="shared" ref="CY4:CY29" si="38">IF(CH4="","",CH4)</f>
        <v/>
      </c>
      <c r="CZ4" s="27" t="str">
        <f t="shared" ref="CZ4:CZ29" si="39">IF(CG4="","",CG4+CH4+CJ4-CI4)</f>
        <v/>
      </c>
      <c r="DA4" s="27" t="str">
        <f t="shared" ref="DA4:DA29" si="40">IF(CW4="","",SUM(CW4,CY4))</f>
        <v/>
      </c>
      <c r="DB4" s="27" t="str">
        <f t="shared" ref="DB4:DB29" si="41">IF(CX4="","",SUM(CX4,CZ4))</f>
        <v/>
      </c>
      <c r="DC4" s="27" t="str">
        <f t="shared" ref="DC4:DC29" si="42">IF(CL4="","",CL4)</f>
        <v/>
      </c>
      <c r="DD4" s="27" t="str">
        <f t="shared" ref="DD4:DD29" si="43">IF(CK4="","",CK4+CL4+CN4-CM4)</f>
        <v/>
      </c>
      <c r="DE4" s="27" t="str">
        <f t="shared" ref="DE4:DE29" si="44">IF(CP4="","",CP4)</f>
        <v/>
      </c>
      <c r="DF4" s="27" t="str">
        <f t="shared" ref="DF4:DF29" si="45">IF(CO4="","",CO4+CP4+CR4-CQ4)</f>
        <v/>
      </c>
      <c r="DG4" s="27" t="str">
        <f t="shared" ref="DG4:DG29" si="46">IF(CT4="","",CT4)</f>
        <v/>
      </c>
      <c r="DH4" s="27" t="str">
        <f t="shared" ref="DH4:DH29" si="47">IF(CS4="","",CS4+CT4+CV4-CU4)</f>
        <v/>
      </c>
      <c r="DI4" s="27" t="str">
        <f t="shared" ref="DI4:DI29" si="48">IF(DE4="","",SUM(DE4,DG4))</f>
        <v/>
      </c>
      <c r="DJ4" s="27" t="str">
        <f t="shared" ref="DJ4:DJ29" si="49">IF(DF4="","",SUM(DF4,DH4))</f>
        <v/>
      </c>
      <c r="DK4" s="27" t="str">
        <f t="shared" ref="DK4:DK29" si="50">IF(DB4="","",SUM(DB4,DD4,DH4))</f>
        <v/>
      </c>
      <c r="DL4" s="15">
        <v>18.899999999999999</v>
      </c>
      <c r="DM4" s="15">
        <v>6.4</v>
      </c>
      <c r="DN4" s="15">
        <v>0</v>
      </c>
      <c r="DO4" s="15">
        <v>0</v>
      </c>
      <c r="DP4" s="15">
        <v>19.2</v>
      </c>
      <c r="DQ4" s="15">
        <v>6.8</v>
      </c>
      <c r="DR4" s="15">
        <v>0</v>
      </c>
      <c r="DS4" s="15">
        <v>0</v>
      </c>
      <c r="DT4" s="15">
        <v>18.600000000000001</v>
      </c>
      <c r="DU4" s="15">
        <v>6.8</v>
      </c>
      <c r="DV4" s="15">
        <v>0</v>
      </c>
      <c r="DW4" s="15">
        <v>0</v>
      </c>
      <c r="DX4" s="15">
        <v>18.8</v>
      </c>
      <c r="DY4" s="15">
        <v>6.4</v>
      </c>
      <c r="DZ4" s="15">
        <v>0.6</v>
      </c>
      <c r="EA4" s="15">
        <v>0</v>
      </c>
      <c r="EB4" s="15"/>
      <c r="EC4" s="15"/>
      <c r="ED4" s="15"/>
      <c r="EE4" s="15"/>
      <c r="EF4" s="10">
        <f t="shared" ref="EF4:EF29" si="51">IF(DM4="","",DM4)</f>
        <v>6.4</v>
      </c>
      <c r="EG4" s="10">
        <f t="shared" ref="EG4:EG29" si="52">IF(DL4="","",DL4+DM4+DO4-DN4)</f>
        <v>25.299999999999997</v>
      </c>
      <c r="EH4" s="10">
        <f t="shared" ref="EH4:EH29" si="53">IF(DQ4="","",DQ4)</f>
        <v>6.8</v>
      </c>
      <c r="EI4" s="10">
        <f t="shared" ref="EI4:EI29" si="54">IF(DP4="","",DP4+DQ4+DS4-DR4)</f>
        <v>26</v>
      </c>
      <c r="EJ4" s="10">
        <f t="shared" ref="EJ4:EJ29" si="55">IF(EF4="","",SUM(EF4,EH4))</f>
        <v>13.2</v>
      </c>
      <c r="EK4" s="10">
        <f t="shared" ref="EK4:EK29" si="56">IF(EG4="","",SUM(EG4,EI4))</f>
        <v>51.3</v>
      </c>
      <c r="EL4" s="10">
        <f t="shared" ref="EL4:EL29" si="57">IF(DU4="","",DU4)</f>
        <v>6.8</v>
      </c>
      <c r="EM4" s="10">
        <f t="shared" ref="EM4:EM29" si="58">IF(DT4="","",DT4+DU4+DW4-DV4)</f>
        <v>25.400000000000002</v>
      </c>
      <c r="EN4" s="10">
        <f t="shared" ref="EN4:EN29" si="59">IF(DY4="","",DY4)</f>
        <v>6.4</v>
      </c>
      <c r="EO4" s="10">
        <f t="shared" ref="EO4:EO29" si="60">IF(DX4="","",DX4+DY4+EA4-DZ4)</f>
        <v>24.6</v>
      </c>
      <c r="EP4" s="10" t="str">
        <f t="shared" ref="EP4:EP29" si="61">IF(EC4="","",EC4)</f>
        <v/>
      </c>
      <c r="EQ4" s="10" t="str">
        <f t="shared" ref="EQ4:EQ29" si="62">IF(EB4="","",EB4+EC4+EE4-ED4)</f>
        <v/>
      </c>
      <c r="ER4" s="10">
        <f t="shared" ref="ER4:ER29" si="63">IF(EN4="","",SUM(EN4,EP4))</f>
        <v>6.4</v>
      </c>
      <c r="ES4" s="10">
        <f t="shared" ref="ES4:ES29" si="64">IF(EO4="","",SUM(EO4,EQ4))</f>
        <v>24.6</v>
      </c>
      <c r="ET4" s="10">
        <f t="shared" ref="ET4:ET29" si="65">IF(EK4="","",SUM(EK4,EM4,EQ4))</f>
        <v>76.7</v>
      </c>
    </row>
    <row r="5" spans="1:150" x14ac:dyDescent="0.2">
      <c r="A5" s="3" t="str" cm="1">
        <f t="array" ref="A5">IF(AND(H5&lt;&gt;"",H5&lt;&gt;"No DD",I5&lt;&gt;"P"),SUMPRODUCT((H$4:H$30&lt;&gt;"")*(H$4:H$30&lt;&gt;"No DD")*(I$4:I$30&lt;&gt;"P")*(E$4:E$30&gt;E5))+1,IF(H5="No DD",SUMPRODUCT((H$4:H$30="No DD")*(I$4:I$30&lt;&gt;"P")*(E$4:E$30&gt;E5))+1+SUMPRODUCT((H$4:H$30&lt;&gt;"")*(I$4:I$30&lt;&gt;"P")*(H$4:H$30&lt;&gt;"No DD")),""))</f>
        <v/>
      </c>
      <c r="B5" s="4" t="s">
        <v>111</v>
      </c>
      <c r="C5" s="3" t="s">
        <v>5</v>
      </c>
      <c r="D5" s="3">
        <v>2008</v>
      </c>
      <c r="E5" s="8">
        <f t="shared" si="0"/>
        <v>95.600007110004796</v>
      </c>
      <c r="F5" s="2" t="str">
        <f>IF(OR(AND(AO5&lt;&gt;"",AO5&gt;=AV$35,AN5&gt;=AV$32),AND(AU5&lt;&gt;"",AU5&gt;=AV$35,AT5&gt;=AV$32),AND(BS5&lt;&gt;"",BS5&gt;=BZ$35,BR5&gt;=BZ$32),AND(BY5&lt;&gt;"",BY5&gt;=BZ$35,BX5&gt;=BZ$32),AND(DB5&lt;&gt;"",DB5&gt;=DK$35,DA5&gt;=DK$32),AND(DJ5&lt;&gt;"",DJ5&gt;=DK$35,DI5&gt;=DK$32),AND(EK5&lt;&gt;"",EK5&gt;=ET$35,EJ5&gt;=ET$32),AND(ES5&lt;&gt;"",ES5&gt;=ET$35,ER5&gt;=ET$32)),"P","")</f>
        <v>P</v>
      </c>
      <c r="G5" s="2" t="str">
        <f>IF(OR(AND(AO5&lt;&gt;"",AO5&gt;=AV$35),AND(AU5&lt;&gt;"",AU5&gt;=AV$35),AND(BS5&lt;&gt;"",BS5&gt;=BZ$35),AND(BY5&lt;&gt;"",BY5&gt;=BZ$35),AND(DB5&lt;&gt;"",DB5&gt;=DK$35),AND(DJ5&lt;&gt;"",DJ5&gt;=DK$35),AND(EK5&lt;&gt;"",EK5&gt;=ET$35),AND(ES5&lt;&gt;"",ES5&gt;=ET$35)),"P","")</f>
        <v>P</v>
      </c>
      <c r="H5" s="26" t="str">
        <f>IF(AND(G5="P",F5=""),"No DD",IF(OR(AND(AK5&lt;&gt;"",AK5&gt;=AV$37,AJ5&gt;=AV$34),AND(AM5&lt;&gt;"",AM5&gt;=AV$37,AL5&gt;=AV$34),AND(AQ5&lt;&gt;"",AQ5&gt;=AV$37,AP5&gt;=AV$34),AND(AS5&lt;&gt;"",AS5&gt;=AV$37,AR5&gt;=AV$34),AND(BO5&lt;&gt;"",BO5&gt;=BZ$37,BN5&gt;=BZ$34),AND(BQ5&lt;&gt;"",BQ5&gt;=BZ$37,BP5&gt;=BZ$34),AND(BV5&lt;&gt;"",BV5&gt;=BZ$37,BU5&gt;=BZ$34),AND(BX5&lt;&gt;"",BX5&gt;=BZ$37,BW5&gt;=BZ$34),AND(CX5&lt;&gt;"",CX5&gt;=DK$37,CW5&gt;=DK$34),AND(CZ5&lt;&gt;"",CZ5&gt;=DK$37,CY5&gt;=DK$34),AND(DD5&lt;&gt;"",DD5&gt;=DK$37,DC5&gt;=DK$34),AND(DF5&lt;&gt;"",DF5&gt;=DK$37,DE5&gt;=DK$34),AND(DH5&lt;&gt;"",DH5&gt;=DK$37,DG5&gt;=DK$34),AND(EG5&lt;&gt;"",EG5&gt;=ET$37,EF5&gt;=ET$34),AND(EI5&lt;&gt;"",EI5&gt;=ET$37,EH5&gt;=ET$34),AND(EM5&lt;&gt;"",EM5&gt;=ET$37,EL5&gt;=ET$34),AND(EO5&lt;&gt;"",EO5&gt;=ET$37,EN5&gt;=ET$34),AND(EQ5&lt;&gt;"",EQ5&gt;=ET$37,EP5&gt;=ET$34)),"Performance",IF(I5="P","National Team",IF(F5="P","National Team",""))))</f>
        <v>National Team</v>
      </c>
      <c r="I5" s="2" t="str">
        <f>IF(COUNTIFS('Senior-W'!B:B,B5,'Senior-W'!A:A,"&lt;9",'Senior-W'!H:H,"&lt;&gt;"&amp;"No DD"),"P","")</f>
        <v>P</v>
      </c>
      <c r="J5" s="7">
        <f t="shared" si="1"/>
        <v>48.1</v>
      </c>
      <c r="K5" s="7" t="str">
        <f t="shared" si="2"/>
        <v>2026 Elite Canada</v>
      </c>
      <c r="L5" s="7">
        <f>IF(J5=AO5,IF(COUNT(AQ5,AS5,BO5,BQ5,BU5,BW5)&gt;1,LARGE((AQ5,AS5,BO5,BQ5,BU5,BW5),1),0),IF(COUNT(AK5,AM5,AQ5,AS5,BU5,BW5)&gt;1,LARGE((AK5,AM5,AQ5,AS5,BU5,BW5),1),0))</f>
        <v>23</v>
      </c>
      <c r="M5" s="7" t="str">
        <f t="shared" si="3"/>
        <v>2026 Elite Canada</v>
      </c>
      <c r="N5" s="7">
        <f>IF(J5=AO5,IF(COUNT(AQ5,AS5,BO5,BQ5,BU5,BW5)&gt;1,LARGE((AQ5,AS5,BO5,BQ5,BU5,BW5),2),0),IF(COUNT(AK5,AM5,AQ5,AS5,BU5,BW5)&gt;1,LARGE((AK5,AM5,AQ5,AS5,BU5,BW5),2),0))</f>
        <v>17.599999999999998</v>
      </c>
      <c r="O5" s="7" t="str">
        <f t="shared" si="4"/>
        <v>2026 Elite Canada</v>
      </c>
      <c r="P5" s="7">
        <f t="shared" si="5"/>
        <v>6.9000000000000021</v>
      </c>
      <c r="Q5" s="10" t="str">
        <f t="shared" si="6"/>
        <v>(Pass)</v>
      </c>
      <c r="R5" s="7" t="str">
        <f t="shared" si="7"/>
        <v>2025 WAGC (Nov 16)</v>
      </c>
      <c r="S5" s="38">
        <v>18.399999999999999</v>
      </c>
      <c r="T5" s="38">
        <v>5.6</v>
      </c>
      <c r="U5" s="38">
        <v>0</v>
      </c>
      <c r="V5" s="38">
        <v>0</v>
      </c>
      <c r="W5" s="38">
        <v>18.3</v>
      </c>
      <c r="X5" s="38">
        <v>6</v>
      </c>
      <c r="Y5" s="38">
        <v>0.2</v>
      </c>
      <c r="Z5" s="38">
        <v>0</v>
      </c>
      <c r="AA5" s="38">
        <v>18.2</v>
      </c>
      <c r="AB5" s="38">
        <v>4.8</v>
      </c>
      <c r="AC5" s="38">
        <v>0</v>
      </c>
      <c r="AD5" s="38">
        <v>0</v>
      </c>
      <c r="AE5" s="38">
        <v>15.2</v>
      </c>
      <c r="AF5" s="38">
        <v>2.4</v>
      </c>
      <c r="AG5" s="38">
        <v>0</v>
      </c>
      <c r="AH5" s="38">
        <v>0</v>
      </c>
      <c r="AI5" s="19"/>
      <c r="AJ5" s="41">
        <f t="shared" si="8"/>
        <v>5.6</v>
      </c>
      <c r="AK5" s="41">
        <f t="shared" si="9"/>
        <v>24</v>
      </c>
      <c r="AL5" s="41">
        <f t="shared" si="10"/>
        <v>6</v>
      </c>
      <c r="AM5" s="41">
        <f t="shared" si="11"/>
        <v>24.1</v>
      </c>
      <c r="AN5" s="27">
        <f t="shared" si="12"/>
        <v>11.6</v>
      </c>
      <c r="AO5" s="27">
        <f t="shared" si="13"/>
        <v>48.1</v>
      </c>
      <c r="AP5" s="27">
        <f t="shared" si="14"/>
        <v>4.8</v>
      </c>
      <c r="AQ5" s="27">
        <f t="shared" si="15"/>
        <v>23</v>
      </c>
      <c r="AR5" s="27">
        <f t="shared" si="16"/>
        <v>2.4</v>
      </c>
      <c r="AS5" s="27">
        <f t="shared" si="17"/>
        <v>17.599999999999998</v>
      </c>
      <c r="AT5" s="27">
        <f t="shared" si="18"/>
        <v>7.1999999999999993</v>
      </c>
      <c r="AU5" s="27">
        <f t="shared" si="19"/>
        <v>40.599999999999994</v>
      </c>
      <c r="AV5" s="27">
        <f t="shared" si="20"/>
        <v>88.699999999999989</v>
      </c>
      <c r="AW5" s="15"/>
      <c r="AX5" s="15"/>
      <c r="AY5" s="15"/>
      <c r="AZ5" s="15"/>
      <c r="BA5" s="15"/>
      <c r="BB5" s="15"/>
      <c r="BC5" s="15"/>
      <c r="BD5" s="15"/>
      <c r="BE5" s="15"/>
      <c r="BF5" s="15"/>
      <c r="BG5" s="15"/>
      <c r="BH5" s="15"/>
      <c r="BI5" s="15"/>
      <c r="BJ5" s="15"/>
      <c r="BK5" s="15"/>
      <c r="BL5" s="15"/>
      <c r="BM5" s="20"/>
      <c r="BN5" s="42" t="str">
        <f t="shared" si="21"/>
        <v/>
      </c>
      <c r="BO5" s="42" t="str">
        <f t="shared" si="22"/>
        <v/>
      </c>
      <c r="BP5" s="42" t="str">
        <f t="shared" si="23"/>
        <v/>
      </c>
      <c r="BQ5" s="42" t="str">
        <f t="shared" si="24"/>
        <v/>
      </c>
      <c r="BR5" s="10" t="str">
        <f t="shared" si="25"/>
        <v/>
      </c>
      <c r="BS5" s="10" t="str">
        <f t="shared" si="26"/>
        <v/>
      </c>
      <c r="BT5" s="10" t="str">
        <f t="shared" si="27"/>
        <v/>
      </c>
      <c r="BU5" s="10" t="str">
        <f t="shared" si="28"/>
        <v/>
      </c>
      <c r="BV5" s="10" t="str">
        <f t="shared" si="29"/>
        <v/>
      </c>
      <c r="BW5" s="10" t="str">
        <f t="shared" si="30"/>
        <v/>
      </c>
      <c r="BX5" s="10" t="str">
        <f t="shared" si="31"/>
        <v/>
      </c>
      <c r="BY5" s="10" t="str">
        <f t="shared" si="32"/>
        <v/>
      </c>
      <c r="BZ5" s="10" t="str">
        <f t="shared" si="33"/>
        <v/>
      </c>
      <c r="CA5" s="34">
        <f t="shared" si="34"/>
        <v>0.79999999999999716</v>
      </c>
      <c r="CB5" s="34">
        <f t="shared" si="35"/>
        <v>6.9000000000000021</v>
      </c>
      <c r="CC5" s="14"/>
      <c r="CD5" s="14"/>
      <c r="CE5" s="14"/>
      <c r="CF5" s="14"/>
      <c r="CG5" s="14"/>
      <c r="CH5" s="14"/>
      <c r="CI5" s="14"/>
      <c r="CJ5" s="14"/>
      <c r="CK5" s="14"/>
      <c r="CL5" s="14"/>
      <c r="CM5" s="14"/>
      <c r="CN5" s="14"/>
      <c r="CO5" s="14"/>
      <c r="CP5" s="14"/>
      <c r="CQ5" s="14"/>
      <c r="CR5" s="14"/>
      <c r="CS5" s="14"/>
      <c r="CT5" s="14"/>
      <c r="CU5" s="14"/>
      <c r="CV5" s="14"/>
      <c r="CW5" s="27" t="str">
        <f t="shared" si="36"/>
        <v/>
      </c>
      <c r="CX5" s="27" t="str">
        <f t="shared" si="37"/>
        <v/>
      </c>
      <c r="CY5" s="27" t="str">
        <f t="shared" si="38"/>
        <v/>
      </c>
      <c r="CZ5" s="27" t="str">
        <f t="shared" si="39"/>
        <v/>
      </c>
      <c r="DA5" s="27" t="str">
        <f t="shared" si="40"/>
        <v/>
      </c>
      <c r="DB5" s="27" t="str">
        <f t="shared" si="41"/>
        <v/>
      </c>
      <c r="DC5" s="27" t="str">
        <f t="shared" si="42"/>
        <v/>
      </c>
      <c r="DD5" s="27" t="str">
        <f t="shared" si="43"/>
        <v/>
      </c>
      <c r="DE5" s="27" t="str">
        <f t="shared" si="44"/>
        <v/>
      </c>
      <c r="DF5" s="27" t="str">
        <f t="shared" si="45"/>
        <v/>
      </c>
      <c r="DG5" s="27" t="str">
        <f t="shared" si="46"/>
        <v/>
      </c>
      <c r="DH5" s="27" t="str">
        <f t="shared" si="47"/>
        <v/>
      </c>
      <c r="DI5" s="27" t="str">
        <f t="shared" si="48"/>
        <v/>
      </c>
      <c r="DJ5" s="27" t="str">
        <f t="shared" si="49"/>
        <v/>
      </c>
      <c r="DK5" s="27" t="str">
        <f t="shared" si="50"/>
        <v/>
      </c>
      <c r="DL5" s="15">
        <v>18.8</v>
      </c>
      <c r="DM5" s="15">
        <v>5.6</v>
      </c>
      <c r="DN5" s="15">
        <v>0</v>
      </c>
      <c r="DO5" s="15">
        <v>0</v>
      </c>
      <c r="DP5" s="15">
        <v>18.5</v>
      </c>
      <c r="DQ5" s="15">
        <v>6</v>
      </c>
      <c r="DR5" s="15">
        <v>0</v>
      </c>
      <c r="DS5" s="15">
        <v>0</v>
      </c>
      <c r="DT5" s="15"/>
      <c r="DU5" s="15"/>
      <c r="DV5" s="15"/>
      <c r="DW5" s="15"/>
      <c r="DX5" s="15">
        <v>18.3</v>
      </c>
      <c r="DY5" s="15">
        <v>6</v>
      </c>
      <c r="DZ5" s="15">
        <v>0.2</v>
      </c>
      <c r="EA5" s="15">
        <v>0</v>
      </c>
      <c r="EB5" s="15"/>
      <c r="EC5" s="15"/>
      <c r="ED5" s="15"/>
      <c r="EE5" s="15"/>
      <c r="EF5" s="10">
        <f t="shared" si="51"/>
        <v>5.6</v>
      </c>
      <c r="EG5" s="10">
        <f t="shared" si="52"/>
        <v>24.4</v>
      </c>
      <c r="EH5" s="10">
        <f t="shared" si="53"/>
        <v>6</v>
      </c>
      <c r="EI5" s="10">
        <f t="shared" si="54"/>
        <v>24.5</v>
      </c>
      <c r="EJ5" s="10">
        <f t="shared" si="55"/>
        <v>11.6</v>
      </c>
      <c r="EK5" s="10">
        <f t="shared" si="56"/>
        <v>48.9</v>
      </c>
      <c r="EL5" s="10" t="str">
        <f t="shared" si="57"/>
        <v/>
      </c>
      <c r="EM5" s="10" t="str">
        <f t="shared" si="58"/>
        <v/>
      </c>
      <c r="EN5" s="10">
        <f t="shared" si="59"/>
        <v>6</v>
      </c>
      <c r="EO5" s="10">
        <f t="shared" si="60"/>
        <v>24.1</v>
      </c>
      <c r="EP5" s="10" t="str">
        <f t="shared" si="61"/>
        <v/>
      </c>
      <c r="EQ5" s="10" t="str">
        <f t="shared" si="62"/>
        <v/>
      </c>
      <c r="ER5" s="10">
        <f t="shared" si="63"/>
        <v>6</v>
      </c>
      <c r="ES5" s="10">
        <f t="shared" si="64"/>
        <v>24.1</v>
      </c>
      <c r="ET5" s="10">
        <f t="shared" si="65"/>
        <v>48.9</v>
      </c>
    </row>
    <row r="6" spans="1:150" x14ac:dyDescent="0.2">
      <c r="A6" s="3" cm="1">
        <f t="array" ref="A6">IF(AND(H6&lt;&gt;"",H6&lt;&gt;"No DD",I6&lt;&gt;"P"),SUMPRODUCT((H$4:H$30&lt;&gt;"")*(H$4:H$30&lt;&gt;"No DD")*(I$4:I$30&lt;&gt;"P")*(E$4:E$30&gt;E6))+1,IF(H6="No DD",SUMPRODUCT((H$4:H$30="No DD")*(I$4:I$30&lt;&gt;"P")*(E$4:E$30&gt;E6))+1+SUMPRODUCT((H$4:H$30&lt;&gt;"")*(I$4:I$30&lt;&gt;"P")*(H$4:H$30&lt;&gt;"No DD")),""))</f>
        <v>1</v>
      </c>
      <c r="B6" s="4" t="s">
        <v>127</v>
      </c>
      <c r="C6" s="3" t="s">
        <v>4</v>
      </c>
      <c r="D6" s="3">
        <v>2006</v>
      </c>
      <c r="E6" s="8">
        <f t="shared" si="0"/>
        <v>95.300007150004703</v>
      </c>
      <c r="F6" s="2" t="str">
        <f>IF(OR(AND(AO6&lt;&gt;"",AO6&gt;=AV$35,AN6&gt;=AV$32),AND(AU6&lt;&gt;"",AU6&gt;=AV$35,AT6&gt;=AV$32),AND(BS6&lt;&gt;"",BS6&gt;=BZ$35,BR6&gt;=BZ$32),AND(BY6&lt;&gt;"",BY6&gt;=BZ$35,BX6&gt;=BZ$32),AND(DB6&lt;&gt;"",DB6&gt;=DK$35,DA6&gt;=DK$32),AND(DJ6&lt;&gt;"",DJ6&gt;=DK$35,DI6&gt;=DK$32),AND(EK6&lt;&gt;"",EK6&gt;=ET$35,EJ6&gt;=ET$32),AND(ES6&lt;&gt;"",ES6&gt;=ET$35,ER6&gt;=ET$32)),"P","")</f>
        <v>P</v>
      </c>
      <c r="G6" s="2" t="str">
        <f>IF(OR(AND(AO6&lt;&gt;"",AO6&gt;=AV$35),AND(AU6&lt;&gt;"",AU6&gt;=AV$35),AND(BS6&lt;&gt;"",BS6&gt;=BZ$35),AND(BY6&lt;&gt;"",BY6&gt;=BZ$35),AND(DB6&lt;&gt;"",DB6&gt;=DK$35),AND(DJ6&lt;&gt;"",DJ6&gt;=DK$35),AND(EK6&lt;&gt;"",EK6&gt;=ET$35),AND(ES6&lt;&gt;"",ES6&gt;=ET$35)),"P","")</f>
        <v>P</v>
      </c>
      <c r="H6" s="26" t="str">
        <f>IF(AND(G6="P",F6=""),"No DD",IF(OR(AND(AK6&lt;&gt;"",AK6&gt;=AV$37,AJ6&gt;=AV$34),AND(AM6&lt;&gt;"",AM6&gt;=AV$37,AL6&gt;=AV$34),AND(AQ6&lt;&gt;"",AQ6&gt;=AV$37,AP6&gt;=AV$34),AND(AS6&lt;&gt;"",AS6&gt;=AV$37,AR6&gt;=AV$34),AND(BO6&lt;&gt;"",BO6&gt;=BZ$37,BN6&gt;=BZ$34),AND(BQ6&lt;&gt;"",BQ6&gt;=BZ$37,BP6&gt;=BZ$34),AND(BV6&lt;&gt;"",BV6&gt;=BZ$37,BU6&gt;=BZ$34),AND(BX6&lt;&gt;"",BX6&gt;=BZ$37,BW6&gt;=BZ$34),AND(CX6&lt;&gt;"",CX6&gt;=DK$37,CW6&gt;=DK$34),AND(CZ6&lt;&gt;"",CZ6&gt;=DK$37,CY6&gt;=DK$34),AND(DD6&lt;&gt;"",DD6&gt;=DK$37,DC6&gt;=DK$34),AND(DF6&lt;&gt;"",DF6&gt;=DK$37,DE6&gt;=DK$34),AND(DH6&lt;&gt;"",DH6&gt;=DK$37,DG6&gt;=DK$34),AND(EG6&lt;&gt;"",EG6&gt;=ET$37,EF6&gt;=ET$34),AND(EI6&lt;&gt;"",EI6&gt;=ET$37,EH6&gt;=ET$34),AND(EM6&lt;&gt;"",EM6&gt;=ET$37,EL6&gt;=ET$34),AND(EO6&lt;&gt;"",EO6&gt;=ET$37,EN6&gt;=ET$34),AND(EQ6&lt;&gt;"",EQ6&gt;=ET$37,EP6&gt;=ET$34)),"Performance",IF(I6="P","National Team",IF(F6="P","National Team",""))))</f>
        <v>National Team</v>
      </c>
      <c r="I6" s="2" t="str">
        <f>IF(COUNTIFS('Senior-W'!B:B,B6,'Senior-W'!A:A,"&lt;9",'Senior-W'!H:H,"&lt;&gt;"&amp;"No DD"),"P","")</f>
        <v/>
      </c>
      <c r="J6" s="7">
        <f t="shared" si="1"/>
        <v>47.099999999999994</v>
      </c>
      <c r="K6" s="7" t="str">
        <f t="shared" si="2"/>
        <v>2026 Elite Canada</v>
      </c>
      <c r="L6" s="7">
        <f>IF(J6=AO6,IF(COUNT(AQ6,AS6,BO6,BQ6,BU6,BW6)&gt;1,LARGE((AQ6,AS6,BO6,BQ6,BU6,BW6),1),0),IF(COUNT(AK6,AM6,AQ6,AS6,BU6,BW6)&gt;1,LARGE((AK6,AM6,AQ6,AS6,BU6,BW6),1),0))</f>
        <v>24.4</v>
      </c>
      <c r="M6" s="7" t="str">
        <f t="shared" si="3"/>
        <v>2026 Elite Canada</v>
      </c>
      <c r="N6" s="7">
        <f>IF(J6=AO6,IF(COUNT(AQ6,AS6,BO6,BQ6,BU6,BW6)&gt;1,LARGE((AQ6,AS6,BO6,BQ6,BU6,BW6),2),0),IF(COUNT(AK6,AM6,AQ6,AS6,BU6,BW6)&gt;1,LARGE((AK6,AM6,AQ6,AS6,BU6,BW6),2),0))</f>
        <v>23.8</v>
      </c>
      <c r="O6" s="7" t="str">
        <f t="shared" si="4"/>
        <v>2026 Elite Canada</v>
      </c>
      <c r="P6" s="7" t="str">
        <f t="shared" si="5"/>
        <v/>
      </c>
      <c r="Q6" s="10" t="str">
        <f t="shared" si="6"/>
        <v/>
      </c>
      <c r="R6" s="7" t="str">
        <f t="shared" si="7"/>
        <v/>
      </c>
      <c r="S6" s="38">
        <v>18.2</v>
      </c>
      <c r="T6" s="38">
        <v>5.2</v>
      </c>
      <c r="U6" s="38">
        <v>0.2</v>
      </c>
      <c r="V6" s="38">
        <v>0</v>
      </c>
      <c r="W6" s="38">
        <v>18.2</v>
      </c>
      <c r="X6" s="38">
        <v>5.2</v>
      </c>
      <c r="Y6" s="38">
        <v>0</v>
      </c>
      <c r="Z6" s="38">
        <v>0.49999999999999911</v>
      </c>
      <c r="AA6" s="38">
        <v>18.600000000000001</v>
      </c>
      <c r="AB6" s="38">
        <v>5.2</v>
      </c>
      <c r="AC6" s="38">
        <v>0</v>
      </c>
      <c r="AD6" s="38">
        <v>0</v>
      </c>
      <c r="AE6" s="38">
        <v>18.7</v>
      </c>
      <c r="AF6" s="38">
        <v>5.2</v>
      </c>
      <c r="AG6" s="38">
        <v>0</v>
      </c>
      <c r="AH6" s="38">
        <v>0.49999999999999911</v>
      </c>
      <c r="AI6" s="19"/>
      <c r="AJ6" s="41">
        <f t="shared" si="8"/>
        <v>5.2</v>
      </c>
      <c r="AK6" s="41">
        <f t="shared" si="9"/>
        <v>23.2</v>
      </c>
      <c r="AL6" s="41">
        <f t="shared" si="10"/>
        <v>5.2</v>
      </c>
      <c r="AM6" s="41">
        <f t="shared" si="11"/>
        <v>23.9</v>
      </c>
      <c r="AN6" s="27">
        <f t="shared" si="12"/>
        <v>10.4</v>
      </c>
      <c r="AO6" s="27">
        <f t="shared" si="13"/>
        <v>47.099999999999994</v>
      </c>
      <c r="AP6" s="27">
        <f t="shared" si="14"/>
        <v>5.2</v>
      </c>
      <c r="AQ6" s="27">
        <f t="shared" si="15"/>
        <v>23.8</v>
      </c>
      <c r="AR6" s="27">
        <f t="shared" si="16"/>
        <v>5.2</v>
      </c>
      <c r="AS6" s="27">
        <f t="shared" si="17"/>
        <v>24.4</v>
      </c>
      <c r="AT6" s="27">
        <f t="shared" si="18"/>
        <v>10.4</v>
      </c>
      <c r="AU6" s="27">
        <f t="shared" si="19"/>
        <v>48.2</v>
      </c>
      <c r="AV6" s="27">
        <f t="shared" si="20"/>
        <v>95.3</v>
      </c>
      <c r="AW6" s="15"/>
      <c r="AX6" s="15"/>
      <c r="AY6" s="15"/>
      <c r="AZ6" s="15"/>
      <c r="BA6" s="15"/>
      <c r="BB6" s="15"/>
      <c r="BC6" s="15"/>
      <c r="BD6" s="15"/>
      <c r="BE6" s="15"/>
      <c r="BF6" s="15"/>
      <c r="BG6" s="15"/>
      <c r="BH6" s="15"/>
      <c r="BI6" s="15"/>
      <c r="BJ6" s="15"/>
      <c r="BK6" s="15"/>
      <c r="BL6" s="15"/>
      <c r="BM6" s="20"/>
      <c r="BN6" s="42" t="str">
        <f t="shared" si="21"/>
        <v/>
      </c>
      <c r="BO6" s="42" t="str">
        <f t="shared" si="22"/>
        <v/>
      </c>
      <c r="BP6" s="42" t="str">
        <f t="shared" si="23"/>
        <v/>
      </c>
      <c r="BQ6" s="42" t="str">
        <f t="shared" si="24"/>
        <v/>
      </c>
      <c r="BR6" s="10" t="str">
        <f t="shared" si="25"/>
        <v/>
      </c>
      <c r="BS6" s="10" t="str">
        <f t="shared" si="26"/>
        <v/>
      </c>
      <c r="BT6" s="10" t="str">
        <f t="shared" si="27"/>
        <v/>
      </c>
      <c r="BU6" s="10" t="str">
        <f t="shared" si="28"/>
        <v/>
      </c>
      <c r="BV6" s="10" t="str">
        <f t="shared" si="29"/>
        <v/>
      </c>
      <c r="BW6" s="10" t="str">
        <f t="shared" si="30"/>
        <v/>
      </c>
      <c r="BX6" s="10" t="str">
        <f t="shared" si="31"/>
        <v/>
      </c>
      <c r="BY6" s="10" t="str">
        <f t="shared" si="32"/>
        <v/>
      </c>
      <c r="BZ6" s="10" t="str">
        <f t="shared" si="33"/>
        <v/>
      </c>
      <c r="CA6" s="34" t="str">
        <f t="shared" si="34"/>
        <v/>
      </c>
      <c r="CB6" s="34" t="str">
        <f t="shared" si="35"/>
        <v/>
      </c>
      <c r="CC6" s="14"/>
      <c r="CD6" s="14"/>
      <c r="CE6" s="14"/>
      <c r="CF6" s="14"/>
      <c r="CG6" s="14"/>
      <c r="CH6" s="14"/>
      <c r="CI6" s="14"/>
      <c r="CJ6" s="14"/>
      <c r="CK6" s="14"/>
      <c r="CL6" s="14"/>
      <c r="CM6" s="14"/>
      <c r="CN6" s="14"/>
      <c r="CO6" s="14"/>
      <c r="CP6" s="14"/>
      <c r="CQ6" s="14"/>
      <c r="CR6" s="14"/>
      <c r="CS6" s="14"/>
      <c r="CT6" s="14"/>
      <c r="CU6" s="14"/>
      <c r="CV6" s="14"/>
      <c r="CW6" s="27" t="str">
        <f t="shared" si="36"/>
        <v/>
      </c>
      <c r="CX6" s="27" t="str">
        <f t="shared" si="37"/>
        <v/>
      </c>
      <c r="CY6" s="27" t="str">
        <f t="shared" si="38"/>
        <v/>
      </c>
      <c r="CZ6" s="27" t="str">
        <f t="shared" si="39"/>
        <v/>
      </c>
      <c r="DA6" s="27" t="str">
        <f t="shared" si="40"/>
        <v/>
      </c>
      <c r="DB6" s="27" t="str">
        <f t="shared" si="41"/>
        <v/>
      </c>
      <c r="DC6" s="27" t="str">
        <f t="shared" si="42"/>
        <v/>
      </c>
      <c r="DD6" s="27" t="str">
        <f t="shared" si="43"/>
        <v/>
      </c>
      <c r="DE6" s="27" t="str">
        <f t="shared" si="44"/>
        <v/>
      </c>
      <c r="DF6" s="27" t="str">
        <f t="shared" si="45"/>
        <v/>
      </c>
      <c r="DG6" s="27" t="str">
        <f t="shared" si="46"/>
        <v/>
      </c>
      <c r="DH6" s="27" t="str">
        <f t="shared" si="47"/>
        <v/>
      </c>
      <c r="DI6" s="27" t="str">
        <f t="shared" si="48"/>
        <v/>
      </c>
      <c r="DJ6" s="27" t="str">
        <f t="shared" si="49"/>
        <v/>
      </c>
      <c r="DK6" s="27" t="str">
        <f t="shared" si="50"/>
        <v/>
      </c>
      <c r="DL6" s="15"/>
      <c r="DM6" s="15"/>
      <c r="DN6" s="15"/>
      <c r="DO6" s="15"/>
      <c r="DP6" s="15"/>
      <c r="DQ6" s="15"/>
      <c r="DR6" s="15"/>
      <c r="DS6" s="15"/>
      <c r="DT6" s="15"/>
      <c r="DU6" s="15"/>
      <c r="DV6" s="15"/>
      <c r="DW6" s="15"/>
      <c r="DX6" s="15"/>
      <c r="DY6" s="15"/>
      <c r="DZ6" s="15"/>
      <c r="EA6" s="15"/>
      <c r="EB6" s="15"/>
      <c r="EC6" s="15"/>
      <c r="ED6" s="15"/>
      <c r="EE6" s="15"/>
      <c r="EF6" s="10" t="str">
        <f t="shared" si="51"/>
        <v/>
      </c>
      <c r="EG6" s="10" t="str">
        <f t="shared" si="52"/>
        <v/>
      </c>
      <c r="EH6" s="10" t="str">
        <f t="shared" si="53"/>
        <v/>
      </c>
      <c r="EI6" s="10" t="str">
        <f t="shared" si="54"/>
        <v/>
      </c>
      <c r="EJ6" s="10" t="str">
        <f t="shared" si="55"/>
        <v/>
      </c>
      <c r="EK6" s="10" t="str">
        <f t="shared" si="56"/>
        <v/>
      </c>
      <c r="EL6" s="10" t="str">
        <f t="shared" si="57"/>
        <v/>
      </c>
      <c r="EM6" s="10" t="str">
        <f t="shared" si="58"/>
        <v/>
      </c>
      <c r="EN6" s="10" t="str">
        <f t="shared" si="59"/>
        <v/>
      </c>
      <c r="EO6" s="10" t="str">
        <f t="shared" si="60"/>
        <v/>
      </c>
      <c r="EP6" s="10" t="str">
        <f t="shared" si="61"/>
        <v/>
      </c>
      <c r="EQ6" s="10" t="str">
        <f t="shared" si="62"/>
        <v/>
      </c>
      <c r="ER6" s="10" t="str">
        <f t="shared" si="63"/>
        <v/>
      </c>
      <c r="ES6" s="10" t="str">
        <f t="shared" si="64"/>
        <v/>
      </c>
      <c r="ET6" s="10" t="str">
        <f t="shared" si="65"/>
        <v/>
      </c>
    </row>
    <row r="7" spans="1:150" x14ac:dyDescent="0.2">
      <c r="A7" s="3" cm="1">
        <f t="array" ref="A7">IF(AND(H7&lt;&gt;"",H7&lt;&gt;"No DD",I7&lt;&gt;"P"),SUMPRODUCT((H$4:H$30&lt;&gt;"")*(H$4:H$30&lt;&gt;"No DD")*(I$4:I$30&lt;&gt;"P")*(E$4:E$30&gt;E7))+1,IF(H7="No DD",SUMPRODUCT((H$4:H$30="No DD")*(I$4:I$30&lt;&gt;"P")*(E$4:E$30&gt;E7))+1+SUMPRODUCT((H$4:H$30&lt;&gt;"")*(I$4:I$30&lt;&gt;"P")*(H$4:H$30&lt;&gt;"No DD")),""))</f>
        <v>2</v>
      </c>
      <c r="B7" s="4" t="s">
        <v>113</v>
      </c>
      <c r="C7" s="3" t="s">
        <v>69</v>
      </c>
      <c r="D7" s="3">
        <v>2005</v>
      </c>
      <c r="E7" s="8">
        <f t="shared" si="0"/>
        <v>95.200007140004644</v>
      </c>
      <c r="F7" s="2" t="str">
        <f>IF(OR(AND(AO7&lt;&gt;"",AO7&gt;=AV$35,AN7&gt;=AV$32),AND(AU7&lt;&gt;"",AU7&gt;=AV$35,AT7&gt;=AV$32),AND(BS7&lt;&gt;"",BS7&gt;=BZ$35,BR7&gt;=BZ$32),AND(BY7&lt;&gt;"",BY7&gt;=BZ$35,BX7&gt;=BZ$32),AND(DB7&lt;&gt;"",DB7&gt;=DK$35,DA7&gt;=DK$32),AND(DJ7&lt;&gt;"",DJ7&gt;=DK$35,DI7&gt;=DK$32),AND(EK7&lt;&gt;"",EK7&gt;=ET$35,EJ7&gt;=ET$32),AND(ES7&lt;&gt;"",ES7&gt;=ET$35,ER7&gt;=ET$32)),"P","")</f>
        <v>P</v>
      </c>
      <c r="G7" s="2" t="str">
        <f>IF(OR(AND(AO7&lt;&gt;"",AO7&gt;=AV$35),AND(AU7&lt;&gt;"",AU7&gt;=AV$35),AND(BS7&lt;&gt;"",BS7&gt;=BZ$35),AND(BY7&lt;&gt;"",BY7&gt;=BZ$35),AND(DB7&lt;&gt;"",DB7&gt;=DK$35),AND(DJ7&lt;&gt;"",DJ7&gt;=DK$35),AND(EK7&lt;&gt;"",EK7&gt;=ET$35),AND(ES7&lt;&gt;"",ES7&gt;=ET$35)),"P","")</f>
        <v>P</v>
      </c>
      <c r="H7" s="26" t="str">
        <f>IF(AND(G7="P",F7=""),"No DD",IF(OR(AND(AK7&lt;&gt;"",AK7&gt;=AV$37,AJ7&gt;=AV$34),AND(AM7&lt;&gt;"",AM7&gt;=AV$37,AL7&gt;=AV$34),AND(AQ7&lt;&gt;"",AQ7&gt;=AV$37,AP7&gt;=AV$34),AND(AS7&lt;&gt;"",AS7&gt;=AV$37,AR7&gt;=AV$34),AND(BO7&lt;&gt;"",BO7&gt;=BZ$37,BN7&gt;=BZ$34),AND(BQ7&lt;&gt;"",BQ7&gt;=BZ$37,BP7&gt;=BZ$34),AND(BV7&lt;&gt;"",BV7&gt;=BZ$37,BU7&gt;=BZ$34),AND(BX7&lt;&gt;"",BX7&gt;=BZ$37,BW7&gt;=BZ$34),AND(CX7&lt;&gt;"",CX7&gt;=DK$37,CW7&gt;=DK$34),AND(CZ7&lt;&gt;"",CZ7&gt;=DK$37,CY7&gt;=DK$34),AND(DD7&lt;&gt;"",DD7&gt;=DK$37,DC7&gt;=DK$34),AND(DF7&lt;&gt;"",DF7&gt;=DK$37,DE7&gt;=DK$34),AND(DH7&lt;&gt;"",DH7&gt;=DK$37,DG7&gt;=DK$34),AND(EG7&lt;&gt;"",EG7&gt;=ET$37,EF7&gt;=ET$34),AND(EI7&lt;&gt;"",EI7&gt;=ET$37,EH7&gt;=ET$34),AND(EM7&lt;&gt;"",EM7&gt;=ET$37,EL7&gt;=ET$34),AND(EO7&lt;&gt;"",EO7&gt;=ET$37,EN7&gt;=ET$34),AND(EQ7&lt;&gt;"",EQ7&gt;=ET$37,EP7&gt;=ET$34)),"Performance",IF(I7="P","National Team",IF(F7="P","National Team",""))))</f>
        <v>National Team</v>
      </c>
      <c r="I7" s="2" t="str">
        <f>IF(COUNTIFS('Senior-W'!B:B,B7,'Senior-W'!A:A,"&lt;9",'Senior-W'!H:H,"&lt;&gt;"&amp;"No DD"),"P","")</f>
        <v/>
      </c>
      <c r="J7" s="7">
        <f t="shared" si="1"/>
        <v>46.5</v>
      </c>
      <c r="K7" s="7" t="str">
        <f t="shared" si="2"/>
        <v>2026 Elite Canada</v>
      </c>
      <c r="L7" s="7">
        <f>IF(J7=AO7,IF(COUNT(AQ7,AS7,BO7,BQ7,BU7,BW7)&gt;1,LARGE((AQ7,AS7,BO7,BQ7,BU7,BW7),1),0),IF(COUNT(AK7,AM7,AQ7,AS7,BU7,BW7)&gt;1,LARGE((AK7,AM7,AQ7,AS7,BU7,BW7),1),0))</f>
        <v>24.9</v>
      </c>
      <c r="M7" s="7" t="str">
        <f t="shared" si="3"/>
        <v>2026 Elite Canada</v>
      </c>
      <c r="N7" s="7">
        <f>IF(J7=AO7,IF(COUNT(AQ7,AS7,BO7,BQ7,BU7,BW7)&gt;1,LARGE((AQ7,AS7,BO7,BQ7,BU7,BW7),2),0),IF(COUNT(AK7,AM7,AQ7,AS7,BU7,BW7)&gt;1,LARGE((AK7,AM7,AQ7,AS7,BU7,BW7),2),0))</f>
        <v>22.3</v>
      </c>
      <c r="O7" s="7" t="str">
        <f t="shared" si="4"/>
        <v>2026 Elite Canada</v>
      </c>
      <c r="P7" s="7">
        <f t="shared" si="5"/>
        <v>1.4999999999999964</v>
      </c>
      <c r="Q7" s="10" t="str">
        <f t="shared" si="6"/>
        <v>(Pass)</v>
      </c>
      <c r="R7" s="7" t="str">
        <f t="shared" si="7"/>
        <v>2025 WAGC (Nov 16)</v>
      </c>
      <c r="S7" s="38">
        <v>17.8</v>
      </c>
      <c r="T7" s="38">
        <v>6.4</v>
      </c>
      <c r="U7" s="38">
        <v>0.6</v>
      </c>
      <c r="V7" s="38">
        <v>0</v>
      </c>
      <c r="W7" s="38">
        <v>18.5</v>
      </c>
      <c r="X7" s="38">
        <v>5.2</v>
      </c>
      <c r="Y7" s="38">
        <v>0.8</v>
      </c>
      <c r="Z7" s="38">
        <v>0</v>
      </c>
      <c r="AA7" s="38">
        <v>18.5</v>
      </c>
      <c r="AB7" s="38">
        <v>6.4</v>
      </c>
      <c r="AC7" s="38">
        <v>0</v>
      </c>
      <c r="AD7" s="38">
        <v>0</v>
      </c>
      <c r="AE7" s="38">
        <v>18.100000000000001</v>
      </c>
      <c r="AF7" s="38">
        <v>5.2</v>
      </c>
      <c r="AG7" s="38">
        <v>1</v>
      </c>
      <c r="AH7" s="38">
        <v>0</v>
      </c>
      <c r="AI7" s="19"/>
      <c r="AJ7" s="41">
        <f t="shared" si="8"/>
        <v>6.4</v>
      </c>
      <c r="AK7" s="41">
        <f t="shared" si="9"/>
        <v>23.6</v>
      </c>
      <c r="AL7" s="41">
        <f t="shared" si="10"/>
        <v>5.2</v>
      </c>
      <c r="AM7" s="41">
        <f t="shared" si="11"/>
        <v>22.9</v>
      </c>
      <c r="AN7" s="27">
        <f t="shared" si="12"/>
        <v>11.600000000000001</v>
      </c>
      <c r="AO7" s="27">
        <f t="shared" si="13"/>
        <v>46.5</v>
      </c>
      <c r="AP7" s="27">
        <f t="shared" si="14"/>
        <v>6.4</v>
      </c>
      <c r="AQ7" s="27">
        <f t="shared" si="15"/>
        <v>24.9</v>
      </c>
      <c r="AR7" s="27">
        <f t="shared" si="16"/>
        <v>5.2</v>
      </c>
      <c r="AS7" s="27">
        <f t="shared" si="17"/>
        <v>22.3</v>
      </c>
      <c r="AT7" s="27">
        <f t="shared" si="18"/>
        <v>11.600000000000001</v>
      </c>
      <c r="AU7" s="27">
        <f t="shared" si="19"/>
        <v>47.2</v>
      </c>
      <c r="AV7" s="27">
        <f t="shared" si="20"/>
        <v>93.7</v>
      </c>
      <c r="AW7" s="15"/>
      <c r="AX7" s="15"/>
      <c r="AY7" s="15"/>
      <c r="AZ7" s="15"/>
      <c r="BA7" s="15"/>
      <c r="BB7" s="15"/>
      <c r="BC7" s="15"/>
      <c r="BD7" s="15"/>
      <c r="BE7" s="15"/>
      <c r="BF7" s="15"/>
      <c r="BG7" s="15"/>
      <c r="BH7" s="15"/>
      <c r="BI7" s="15"/>
      <c r="BJ7" s="15"/>
      <c r="BK7" s="15"/>
      <c r="BL7" s="15"/>
      <c r="BM7" s="20"/>
      <c r="BN7" s="42" t="str">
        <f t="shared" si="21"/>
        <v/>
      </c>
      <c r="BO7" s="42" t="str">
        <f t="shared" si="22"/>
        <v/>
      </c>
      <c r="BP7" s="42" t="str">
        <f t="shared" si="23"/>
        <v/>
      </c>
      <c r="BQ7" s="42" t="str">
        <f t="shared" si="24"/>
        <v/>
      </c>
      <c r="BR7" s="10" t="str">
        <f t="shared" si="25"/>
        <v/>
      </c>
      <c r="BS7" s="10" t="str">
        <f t="shared" si="26"/>
        <v/>
      </c>
      <c r="BT7" s="10" t="str">
        <f t="shared" si="27"/>
        <v/>
      </c>
      <c r="BU7" s="10" t="str">
        <f t="shared" si="28"/>
        <v/>
      </c>
      <c r="BV7" s="10" t="str">
        <f t="shared" si="29"/>
        <v/>
      </c>
      <c r="BW7" s="10" t="str">
        <f t="shared" si="30"/>
        <v/>
      </c>
      <c r="BX7" s="10" t="str">
        <f t="shared" si="31"/>
        <v/>
      </c>
      <c r="BY7" s="10" t="str">
        <f t="shared" si="32"/>
        <v/>
      </c>
      <c r="BZ7" s="10" t="str">
        <f t="shared" si="33"/>
        <v/>
      </c>
      <c r="CA7" s="34">
        <f t="shared" si="34"/>
        <v>9.9999999999994316E-2</v>
      </c>
      <c r="CB7" s="34">
        <f t="shared" si="35"/>
        <v>1.4999999999999964</v>
      </c>
      <c r="CC7" s="14"/>
      <c r="CD7" s="14"/>
      <c r="CE7" s="14"/>
      <c r="CF7" s="14"/>
      <c r="CG7" s="14"/>
      <c r="CH7" s="14"/>
      <c r="CI7" s="14"/>
      <c r="CJ7" s="14"/>
      <c r="CK7" s="14"/>
      <c r="CL7" s="14"/>
      <c r="CM7" s="14"/>
      <c r="CN7" s="14"/>
      <c r="CO7" s="14"/>
      <c r="CP7" s="14"/>
      <c r="CQ7" s="14"/>
      <c r="CR7" s="14"/>
      <c r="CS7" s="14"/>
      <c r="CT7" s="14"/>
      <c r="CU7" s="14"/>
      <c r="CV7" s="14"/>
      <c r="CW7" s="27" t="str">
        <f t="shared" si="36"/>
        <v/>
      </c>
      <c r="CX7" s="27" t="str">
        <f t="shared" si="37"/>
        <v/>
      </c>
      <c r="CY7" s="27" t="str">
        <f t="shared" si="38"/>
        <v/>
      </c>
      <c r="CZ7" s="27" t="str">
        <f t="shared" si="39"/>
        <v/>
      </c>
      <c r="DA7" s="27" t="str">
        <f t="shared" si="40"/>
        <v/>
      </c>
      <c r="DB7" s="27" t="str">
        <f t="shared" si="41"/>
        <v/>
      </c>
      <c r="DC7" s="27" t="str">
        <f t="shared" si="42"/>
        <v/>
      </c>
      <c r="DD7" s="27" t="str">
        <f t="shared" si="43"/>
        <v/>
      </c>
      <c r="DE7" s="27" t="str">
        <f t="shared" si="44"/>
        <v/>
      </c>
      <c r="DF7" s="27" t="str">
        <f t="shared" si="45"/>
        <v/>
      </c>
      <c r="DG7" s="27" t="str">
        <f t="shared" si="46"/>
        <v/>
      </c>
      <c r="DH7" s="27" t="str">
        <f t="shared" si="47"/>
        <v/>
      </c>
      <c r="DI7" s="27" t="str">
        <f t="shared" si="48"/>
        <v/>
      </c>
      <c r="DJ7" s="27" t="str">
        <f t="shared" si="49"/>
        <v/>
      </c>
      <c r="DK7" s="27" t="str">
        <f t="shared" si="50"/>
        <v/>
      </c>
      <c r="DL7" s="15">
        <v>18.2</v>
      </c>
      <c r="DM7" s="15">
        <v>5.6</v>
      </c>
      <c r="DN7" s="15">
        <v>1</v>
      </c>
      <c r="DO7" s="15">
        <v>0</v>
      </c>
      <c r="DP7" s="15">
        <v>18.399999999999999</v>
      </c>
      <c r="DQ7" s="15">
        <v>6</v>
      </c>
      <c r="DR7" s="15">
        <v>0.6</v>
      </c>
      <c r="DS7" s="15">
        <v>0</v>
      </c>
      <c r="DT7" s="15"/>
      <c r="DU7" s="15"/>
      <c r="DV7" s="15"/>
      <c r="DW7" s="15"/>
      <c r="DX7" s="15"/>
      <c r="DY7" s="15"/>
      <c r="DZ7" s="15"/>
      <c r="EA7" s="15"/>
      <c r="EB7" s="15"/>
      <c r="EC7" s="15"/>
      <c r="ED7" s="15"/>
      <c r="EE7" s="15"/>
      <c r="EF7" s="10">
        <f t="shared" si="51"/>
        <v>5.6</v>
      </c>
      <c r="EG7" s="10">
        <f t="shared" si="52"/>
        <v>22.799999999999997</v>
      </c>
      <c r="EH7" s="10">
        <f t="shared" si="53"/>
        <v>6</v>
      </c>
      <c r="EI7" s="10">
        <f t="shared" si="54"/>
        <v>23.799999999999997</v>
      </c>
      <c r="EJ7" s="10">
        <f t="shared" si="55"/>
        <v>11.6</v>
      </c>
      <c r="EK7" s="10">
        <f t="shared" si="56"/>
        <v>46.599999999999994</v>
      </c>
      <c r="EL7" s="10" t="str">
        <f t="shared" si="57"/>
        <v/>
      </c>
      <c r="EM7" s="10" t="str">
        <f t="shared" si="58"/>
        <v/>
      </c>
      <c r="EN7" s="10" t="str">
        <f t="shared" si="59"/>
        <v/>
      </c>
      <c r="EO7" s="10" t="str">
        <f t="shared" si="60"/>
        <v/>
      </c>
      <c r="EP7" s="10" t="str">
        <f t="shared" si="61"/>
        <v/>
      </c>
      <c r="EQ7" s="10" t="str">
        <f t="shared" si="62"/>
        <v/>
      </c>
      <c r="ER7" s="10" t="str">
        <f t="shared" si="63"/>
        <v/>
      </c>
      <c r="ES7" s="10" t="str">
        <f t="shared" si="64"/>
        <v/>
      </c>
      <c r="ET7" s="10">
        <f t="shared" si="65"/>
        <v>46.599999999999994</v>
      </c>
    </row>
    <row r="8" spans="1:150" x14ac:dyDescent="0.2">
      <c r="A8" s="3" t="str" cm="1">
        <f t="array" ref="A8">IF(AND(H8&lt;&gt;"",H8&lt;&gt;"No DD",I8&lt;&gt;"P"),SUMPRODUCT((H$4:H$30&lt;&gt;"")*(H$4:H$30&lt;&gt;"No DD")*(I$4:I$30&lt;&gt;"P")*(E$4:E$30&gt;E8))+1,IF(H8="No DD",SUMPRODUCT((H$4:H$30="No DD")*(I$4:I$30&lt;&gt;"P")*(E$4:E$30&gt;E8))+1+SUMPRODUCT((H$4:H$30&lt;&gt;"")*(I$4:I$30&lt;&gt;"P")*(H$4:H$30&lt;&gt;"No DD")),""))</f>
        <v/>
      </c>
      <c r="B8" s="4" t="s">
        <v>60</v>
      </c>
      <c r="C8" s="3" t="s">
        <v>5</v>
      </c>
      <c r="D8" s="3">
        <v>2009</v>
      </c>
      <c r="E8" s="8">
        <f t="shared" si="0"/>
        <v>67.700004250004255</v>
      </c>
      <c r="F8" s="2" t="str">
        <f>IF(OR(AND(AO8&lt;&gt;"",AO8&gt;=AV$35,AN8&gt;=AV$32),AND(AU8&lt;&gt;"",AU8&gt;=AV$35,AT8&gt;=AV$32),AND(BS8&lt;&gt;"",BS8&gt;=BZ$35,BR8&gt;=BZ$32),AND(BY8&lt;&gt;"",BY8&gt;=BZ$35,BX8&gt;=BZ$32),AND(DB8&lt;&gt;"",DB8&gt;=DK$35,DA8&gt;=DK$32),AND(DJ8&lt;&gt;"",DJ8&gt;=DK$35,DI8&gt;=DK$32),AND(EK8&lt;&gt;"",EK8&gt;=ET$35,EJ8&gt;=ET$32),AND(ES8&lt;&gt;"",ES8&gt;=ET$35,ER8&gt;=ET$32)),"P","")</f>
        <v>P</v>
      </c>
      <c r="G8" s="2" t="str">
        <f>IF(OR(AND(AO8&lt;&gt;"",AO8&gt;=AV$35),AND(AU8&lt;&gt;"",AU8&gt;=AV$35),AND(BS8&lt;&gt;"",BS8&gt;=BZ$35),AND(BY8&lt;&gt;"",BY8&gt;=BZ$35),AND(DB8&lt;&gt;"",DB8&gt;=DK$35),AND(DJ8&lt;&gt;"",DJ8&gt;=DK$35),AND(EK8&lt;&gt;"",EK8&gt;=ET$35),AND(ES8&lt;&gt;"",ES8&gt;=ET$35)),"P","")</f>
        <v>P</v>
      </c>
      <c r="H8" s="26" t="str">
        <f>IF(AND(G8="P",F8=""),"No DD",IF(OR(AND(AK8&lt;&gt;"",AK8&gt;=AV$37,AJ8&gt;=AV$34),AND(AM8&lt;&gt;"",AM8&gt;=AV$37,AL8&gt;=AV$34),AND(AQ8&lt;&gt;"",AQ8&gt;=AV$37,AP8&gt;=AV$34),AND(AS8&lt;&gt;"",AS8&gt;=AV$37,AR8&gt;=AV$34),AND(BO8&lt;&gt;"",BO8&gt;=BZ$37,BN8&gt;=BZ$34),AND(BQ8&lt;&gt;"",BQ8&gt;=BZ$37,BP8&gt;=BZ$34),AND(BV8&lt;&gt;"",BV8&gt;=BZ$37,BU8&gt;=BZ$34),AND(BX8&lt;&gt;"",BX8&gt;=BZ$37,BW8&gt;=BZ$34),AND(CX8&lt;&gt;"",CX8&gt;=DK$37,CW8&gt;=DK$34),AND(CZ8&lt;&gt;"",CZ8&gt;=DK$37,CY8&gt;=DK$34),AND(DD8&lt;&gt;"",DD8&gt;=DK$37,DC8&gt;=DK$34),AND(DF8&lt;&gt;"",DF8&gt;=DK$37,DE8&gt;=DK$34),AND(DH8&lt;&gt;"",DH8&gt;=DK$37,DG8&gt;=DK$34),AND(EG8&lt;&gt;"",EG8&gt;=ET$37,EF8&gt;=ET$34),AND(EI8&lt;&gt;"",EI8&gt;=ET$37,EH8&gt;=ET$34),AND(EM8&lt;&gt;"",EM8&gt;=ET$37,EL8&gt;=ET$34),AND(EO8&lt;&gt;"",EO8&gt;=ET$37,EN8&gt;=ET$34),AND(EQ8&lt;&gt;"",EQ8&gt;=ET$37,EP8&gt;=ET$34)),"Performance",IF(I8="P","National Team",IF(F8="P","National Team",""))))</f>
        <v>National Team</v>
      </c>
      <c r="I8" s="2" t="str">
        <f>IF(COUNTIFS('Senior-W'!B:B,B8,'Senior-W'!A:A,"&lt;9",'Senior-W'!H:H,"&lt;&gt;"&amp;"No DD"),"P","")</f>
        <v>P</v>
      </c>
      <c r="J8" s="7">
        <f t="shared" si="1"/>
        <v>42.5</v>
      </c>
      <c r="K8" s="7" t="str">
        <f t="shared" si="2"/>
        <v>2026 Elite Canada</v>
      </c>
      <c r="L8" s="7">
        <f>IF(J8=AO8,IF(COUNT(AQ8,AS8,BO8,BQ8,BU8,BW8)&gt;1,LARGE((AQ8,AS8,BO8,BQ8,BU8,BW8),1),0),IF(COUNT(AK8,AM8,AQ8,AS8,BU8,BW8)&gt;1,LARGE((AK8,AM8,AQ8,AS8,BU8,BW8),1),0))</f>
        <v>0</v>
      </c>
      <c r="M8" s="7" t="str">
        <f t="shared" si="3"/>
        <v/>
      </c>
      <c r="N8" s="7">
        <f>IF(J8=AO8,IF(COUNT(AQ8,AS8,BO8,BQ8,BU8,BW8)&gt;1,LARGE((AQ8,AS8,BO8,BQ8,BU8,BW8),2),0),IF(COUNT(AK8,AM8,AQ8,AS8,BU8,BW8)&gt;1,LARGE((AK8,AM8,AQ8,AS8,BU8,BW8),2),0))</f>
        <v>0</v>
      </c>
      <c r="O8" s="7" t="str">
        <f t="shared" si="4"/>
        <v/>
      </c>
      <c r="P8" s="7">
        <f t="shared" si="5"/>
        <v>25.200000000000003</v>
      </c>
      <c r="Q8" s="10" t="str">
        <f t="shared" si="6"/>
        <v>(Pass)</v>
      </c>
      <c r="R8" s="7" t="str">
        <f t="shared" si="7"/>
        <v>2025 WAGC (Nov 16)</v>
      </c>
      <c r="S8" s="38">
        <v>18.5</v>
      </c>
      <c r="T8" s="38">
        <v>6.4</v>
      </c>
      <c r="U8" s="38">
        <v>0</v>
      </c>
      <c r="V8" s="38">
        <v>0</v>
      </c>
      <c r="W8" s="38">
        <v>15.2</v>
      </c>
      <c r="X8" s="38">
        <v>2.4</v>
      </c>
      <c r="Y8" s="38">
        <v>0</v>
      </c>
      <c r="Z8" s="38">
        <v>0</v>
      </c>
      <c r="AA8" s="38" t="s">
        <v>175</v>
      </c>
      <c r="AB8" s="38" t="s">
        <v>175</v>
      </c>
      <c r="AC8" s="38" t="s">
        <v>175</v>
      </c>
      <c r="AD8" s="38" t="s">
        <v>175</v>
      </c>
      <c r="AE8" s="38" t="s">
        <v>175</v>
      </c>
      <c r="AF8" s="38" t="s">
        <v>175</v>
      </c>
      <c r="AG8" s="38" t="s">
        <v>175</v>
      </c>
      <c r="AH8" s="38" t="s">
        <v>175</v>
      </c>
      <c r="AI8" s="19"/>
      <c r="AJ8" s="41">
        <f t="shared" si="8"/>
        <v>6.4</v>
      </c>
      <c r="AK8" s="41">
        <f t="shared" si="9"/>
        <v>24.9</v>
      </c>
      <c r="AL8" s="41">
        <f t="shared" si="10"/>
        <v>2.4</v>
      </c>
      <c r="AM8" s="41">
        <f t="shared" si="11"/>
        <v>17.599999999999998</v>
      </c>
      <c r="AN8" s="27">
        <f t="shared" si="12"/>
        <v>8.8000000000000007</v>
      </c>
      <c r="AO8" s="27">
        <f t="shared" si="13"/>
        <v>42.5</v>
      </c>
      <c r="AP8" s="27" t="str">
        <f t="shared" si="14"/>
        <v/>
      </c>
      <c r="AQ8" s="27" t="str">
        <f t="shared" si="15"/>
        <v/>
      </c>
      <c r="AR8" s="27" t="str">
        <f t="shared" si="16"/>
        <v/>
      </c>
      <c r="AS8" s="27" t="str">
        <f t="shared" si="17"/>
        <v/>
      </c>
      <c r="AT8" s="27" t="str">
        <f t="shared" si="18"/>
        <v/>
      </c>
      <c r="AU8" s="27" t="str">
        <f t="shared" si="19"/>
        <v/>
      </c>
      <c r="AV8" s="27">
        <f t="shared" si="20"/>
        <v>42.5</v>
      </c>
      <c r="AW8" s="15"/>
      <c r="AX8" s="15"/>
      <c r="AY8" s="15"/>
      <c r="AZ8" s="15"/>
      <c r="BA8" s="15"/>
      <c r="BB8" s="15"/>
      <c r="BC8" s="15"/>
      <c r="BD8" s="15"/>
      <c r="BE8" s="15"/>
      <c r="BF8" s="15"/>
      <c r="BG8" s="15"/>
      <c r="BH8" s="15"/>
      <c r="BI8" s="15"/>
      <c r="BJ8" s="15"/>
      <c r="BK8" s="15"/>
      <c r="BL8" s="15"/>
      <c r="BM8" s="20"/>
      <c r="BN8" s="42" t="str">
        <f t="shared" si="21"/>
        <v/>
      </c>
      <c r="BO8" s="42" t="str">
        <f t="shared" si="22"/>
        <v/>
      </c>
      <c r="BP8" s="42" t="str">
        <f t="shared" si="23"/>
        <v/>
      </c>
      <c r="BQ8" s="42" t="str">
        <f t="shared" si="24"/>
        <v/>
      </c>
      <c r="BR8" s="10" t="str">
        <f t="shared" si="25"/>
        <v/>
      </c>
      <c r="BS8" s="10" t="str">
        <f t="shared" si="26"/>
        <v/>
      </c>
      <c r="BT8" s="10" t="str">
        <f t="shared" si="27"/>
        <v/>
      </c>
      <c r="BU8" s="10" t="str">
        <f t="shared" si="28"/>
        <v/>
      </c>
      <c r="BV8" s="10" t="str">
        <f t="shared" si="29"/>
        <v/>
      </c>
      <c r="BW8" s="10" t="str">
        <f t="shared" si="30"/>
        <v/>
      </c>
      <c r="BX8" s="10" t="str">
        <f t="shared" si="31"/>
        <v/>
      </c>
      <c r="BY8" s="10" t="str">
        <f t="shared" si="32"/>
        <v/>
      </c>
      <c r="BZ8" s="10" t="str">
        <f t="shared" si="33"/>
        <v/>
      </c>
      <c r="CA8" s="34">
        <f t="shared" si="34"/>
        <v>7.2000000000000028</v>
      </c>
      <c r="CB8" s="34">
        <f t="shared" si="35"/>
        <v>25.200000000000003</v>
      </c>
      <c r="CC8" s="14"/>
      <c r="CD8" s="14"/>
      <c r="CE8" s="14"/>
      <c r="CF8" s="14"/>
      <c r="CG8" s="14"/>
      <c r="CH8" s="14"/>
      <c r="CI8" s="14"/>
      <c r="CJ8" s="14"/>
      <c r="CK8" s="14"/>
      <c r="CL8" s="14"/>
      <c r="CM8" s="14"/>
      <c r="CN8" s="14"/>
      <c r="CO8" s="14"/>
      <c r="CP8" s="14"/>
      <c r="CQ8" s="14"/>
      <c r="CR8" s="14"/>
      <c r="CS8" s="14"/>
      <c r="CT8" s="14"/>
      <c r="CU8" s="14"/>
      <c r="CV8" s="14"/>
      <c r="CW8" s="27" t="str">
        <f t="shared" si="36"/>
        <v/>
      </c>
      <c r="CX8" s="27" t="str">
        <f t="shared" si="37"/>
        <v/>
      </c>
      <c r="CY8" s="27" t="str">
        <f t="shared" si="38"/>
        <v/>
      </c>
      <c r="CZ8" s="27" t="str">
        <f t="shared" si="39"/>
        <v/>
      </c>
      <c r="DA8" s="27" t="str">
        <f t="shared" si="40"/>
        <v/>
      </c>
      <c r="DB8" s="27" t="str">
        <f t="shared" si="41"/>
        <v/>
      </c>
      <c r="DC8" s="27" t="str">
        <f t="shared" si="42"/>
        <v/>
      </c>
      <c r="DD8" s="27" t="str">
        <f t="shared" si="43"/>
        <v/>
      </c>
      <c r="DE8" s="27" t="str">
        <f t="shared" si="44"/>
        <v/>
      </c>
      <c r="DF8" s="27" t="str">
        <f t="shared" si="45"/>
        <v/>
      </c>
      <c r="DG8" s="27" t="str">
        <f t="shared" si="46"/>
        <v/>
      </c>
      <c r="DH8" s="27" t="str">
        <f t="shared" si="47"/>
        <v/>
      </c>
      <c r="DI8" s="27" t="str">
        <f t="shared" si="48"/>
        <v/>
      </c>
      <c r="DJ8" s="27" t="str">
        <f t="shared" si="49"/>
        <v/>
      </c>
      <c r="DK8" s="27" t="str">
        <f t="shared" si="50"/>
        <v/>
      </c>
      <c r="DL8" s="15">
        <v>18.5</v>
      </c>
      <c r="DM8" s="15">
        <v>6.4</v>
      </c>
      <c r="DN8" s="15">
        <v>0</v>
      </c>
      <c r="DO8" s="15">
        <v>0</v>
      </c>
      <c r="DP8" s="15">
        <v>18.2</v>
      </c>
      <c r="DQ8" s="15">
        <v>6.8</v>
      </c>
      <c r="DR8" s="15">
        <v>0.2</v>
      </c>
      <c r="DS8" s="15">
        <v>0</v>
      </c>
      <c r="DT8" s="15">
        <v>18.600000000000001</v>
      </c>
      <c r="DU8" s="15">
        <v>6.8</v>
      </c>
      <c r="DV8" s="15">
        <v>0.2</v>
      </c>
      <c r="DW8" s="15">
        <v>0</v>
      </c>
      <c r="DX8" s="15">
        <v>18.399999999999999</v>
      </c>
      <c r="DY8" s="15">
        <v>6.8</v>
      </c>
      <c r="DZ8" s="15">
        <v>0</v>
      </c>
      <c r="EA8" s="15">
        <v>0</v>
      </c>
      <c r="EB8" s="15">
        <v>18.600000000000001</v>
      </c>
      <c r="EC8" s="15">
        <v>6.4</v>
      </c>
      <c r="ED8" s="15">
        <v>0.6</v>
      </c>
      <c r="EE8" s="15">
        <v>0</v>
      </c>
      <c r="EF8" s="10">
        <f t="shared" si="51"/>
        <v>6.4</v>
      </c>
      <c r="EG8" s="10">
        <f t="shared" si="52"/>
        <v>24.9</v>
      </c>
      <c r="EH8" s="10">
        <f t="shared" si="53"/>
        <v>6.8</v>
      </c>
      <c r="EI8" s="10">
        <f t="shared" si="54"/>
        <v>24.8</v>
      </c>
      <c r="EJ8" s="10">
        <f t="shared" si="55"/>
        <v>13.2</v>
      </c>
      <c r="EK8" s="10">
        <f t="shared" si="56"/>
        <v>49.7</v>
      </c>
      <c r="EL8" s="10">
        <f t="shared" si="57"/>
        <v>6.8</v>
      </c>
      <c r="EM8" s="10">
        <f t="shared" si="58"/>
        <v>25.200000000000003</v>
      </c>
      <c r="EN8" s="10">
        <f t="shared" si="59"/>
        <v>6.8</v>
      </c>
      <c r="EO8" s="10">
        <f t="shared" si="60"/>
        <v>25.2</v>
      </c>
      <c r="EP8" s="10">
        <f t="shared" si="61"/>
        <v>6.4</v>
      </c>
      <c r="EQ8" s="10">
        <f t="shared" si="62"/>
        <v>24.4</v>
      </c>
      <c r="ER8" s="10">
        <f t="shared" si="63"/>
        <v>13.2</v>
      </c>
      <c r="ES8" s="10">
        <f t="shared" si="64"/>
        <v>49.599999999999994</v>
      </c>
      <c r="ET8" s="10">
        <f t="shared" si="65"/>
        <v>99.300000000000011</v>
      </c>
    </row>
    <row r="9" spans="1:150" x14ac:dyDescent="0.2">
      <c r="A9" s="3" cm="1">
        <f t="array" ref="A9">IF(AND(H9&lt;&gt;"",H9&lt;&gt;"No DD",I9&lt;&gt;"P"),SUMPRODUCT((H$4:H$30&lt;&gt;"")*(H$4:H$30&lt;&gt;"No DD")*(I$4:I$30&lt;&gt;"P")*(E$4:E$30&gt;E9))+1,IF(H9="No DD",SUMPRODUCT((H$4:H$30="No DD")*(I$4:I$30&lt;&gt;"P")*(E$4:E$30&gt;E9))+1+SUMPRODUCT((H$4:H$30&lt;&gt;"")*(I$4:I$30&lt;&gt;"P")*(H$4:H$30&lt;&gt;"No DD")),""))</f>
        <v>3</v>
      </c>
      <c r="B9" s="4" t="s">
        <v>58</v>
      </c>
      <c r="C9" s="3" t="s">
        <v>5</v>
      </c>
      <c r="D9" s="3">
        <v>2007</v>
      </c>
      <c r="E9" s="8">
        <f t="shared" si="0"/>
        <v>51.00000258000258</v>
      </c>
      <c r="F9" s="2" t="str">
        <f>IF(OR(AND(AO9&lt;&gt;"",AO9&gt;=AV$35,AN9&gt;=AV$32),AND(AU9&lt;&gt;"",AU9&gt;=AV$35,AT9&gt;=AV$32),AND(BS9&lt;&gt;"",BS9&gt;=BZ$35,BR9&gt;=BZ$32),AND(BY9&lt;&gt;"",BY9&gt;=BZ$35,BX9&gt;=BZ$32),AND(DB9&lt;&gt;"",DB9&gt;=DK$35,DA9&gt;=DK$32),AND(DJ9&lt;&gt;"",DJ9&gt;=DK$35,DI9&gt;=DK$32),AND(EK9&lt;&gt;"",EK9&gt;=ET$35,EJ9&gt;=ET$32),AND(ES9&lt;&gt;"",ES9&gt;=ET$35,ER9&gt;=ET$32)),"P","")</f>
        <v>P</v>
      </c>
      <c r="G9" s="2" t="str">
        <f>IF(OR(AND(AO9&lt;&gt;"",AO9&gt;=AV$35),AND(AU9&lt;&gt;"",AU9&gt;=AV$35),AND(BS9&lt;&gt;"",BS9&gt;=BZ$35),AND(BY9&lt;&gt;"",BY9&gt;=BZ$35),AND(DB9&lt;&gt;"",DB9&gt;=DK$35),AND(DJ9&lt;&gt;"",DJ9&gt;=DK$35),AND(EK9&lt;&gt;"",EK9&gt;=ET$35),AND(ES9&lt;&gt;"",ES9&gt;=ET$35)),"P","")</f>
        <v>P</v>
      </c>
      <c r="H9" s="26" t="str">
        <f>IF(AND(G9="P",F9=""),"No DD",IF(OR(AND(AK9&lt;&gt;"",AK9&gt;=AV$37,AJ9&gt;=AV$34),AND(AM9&lt;&gt;"",AM9&gt;=AV$37,AL9&gt;=AV$34),AND(AQ9&lt;&gt;"",AQ9&gt;=AV$37,AP9&gt;=AV$34),AND(AS9&lt;&gt;"",AS9&gt;=AV$37,AR9&gt;=AV$34),AND(BO9&lt;&gt;"",BO9&gt;=BZ$37,BN9&gt;=BZ$34),AND(BQ9&lt;&gt;"",BQ9&gt;=BZ$37,BP9&gt;=BZ$34),AND(BV9&lt;&gt;"",BV9&gt;=BZ$37,BU9&gt;=BZ$34),AND(BX9&lt;&gt;"",BX9&gt;=BZ$37,BW9&gt;=BZ$34),AND(CX9&lt;&gt;"",CX9&gt;=DK$37,CW9&gt;=DK$34),AND(CZ9&lt;&gt;"",CZ9&gt;=DK$37,CY9&gt;=DK$34),AND(DD9&lt;&gt;"",DD9&gt;=DK$37,DC9&gt;=DK$34),AND(DF9&lt;&gt;"",DF9&gt;=DK$37,DE9&gt;=DK$34),AND(DH9&lt;&gt;"",DH9&gt;=DK$37,DG9&gt;=DK$34),AND(EG9&lt;&gt;"",EG9&gt;=ET$37,EF9&gt;=ET$34),AND(EI9&lt;&gt;"",EI9&gt;=ET$37,EH9&gt;=ET$34),AND(EM9&lt;&gt;"",EM9&gt;=ET$37,EL9&gt;=ET$34),AND(EO9&lt;&gt;"",EO9&gt;=ET$37,EN9&gt;=ET$34),AND(EQ9&lt;&gt;"",EQ9&gt;=ET$37,EP9&gt;=ET$34)),"Performance",IF(I9="P","National Team",IF(F9="P","National Team",""))))</f>
        <v>National Team</v>
      </c>
      <c r="I9" s="2" t="str">
        <f>IF(COUNTIFS('Senior-W'!B:B,B9,'Senior-W'!A:A,"&lt;9",'Senior-W'!H:H,"&lt;&gt;"&amp;"No DD"),"P","")</f>
        <v/>
      </c>
      <c r="J9" s="7">
        <f t="shared" si="1"/>
        <v>25.799999999999997</v>
      </c>
      <c r="K9" s="7" t="str">
        <f t="shared" si="2"/>
        <v>2026 Elite Canada</v>
      </c>
      <c r="L9" s="7">
        <f>IF(J9=AO9,IF(COUNT(AQ9,AS9,BO9,BQ9,BU9,BW9)&gt;1,LARGE((AQ9,AS9,BO9,BQ9,BU9,BW9),1),0),IF(COUNT(AK9,AM9,AQ9,AS9,BU9,BW9)&gt;1,LARGE((AK9,AM9,AQ9,AS9,BU9,BW9),1),0))</f>
        <v>0</v>
      </c>
      <c r="M9" s="7" t="str">
        <f t="shared" si="3"/>
        <v/>
      </c>
      <c r="N9" s="7">
        <f>IF(J9=AO9,IF(COUNT(AQ9,AS9,BO9,BQ9,BU9,BW9)&gt;1,LARGE((AQ9,AS9,BO9,BQ9,BU9,BW9),2),0),IF(COUNT(AK9,AM9,AQ9,AS9,BU9,BW9)&gt;1,LARGE((AK9,AM9,AQ9,AS9,BU9,BW9),2),0))</f>
        <v>0</v>
      </c>
      <c r="O9" s="7" t="str">
        <f t="shared" si="4"/>
        <v/>
      </c>
      <c r="P9" s="7">
        <f t="shared" si="5"/>
        <v>25.200000000000003</v>
      </c>
      <c r="Q9" s="10" t="str">
        <f t="shared" si="6"/>
        <v>(Pass)</v>
      </c>
      <c r="R9" s="7" t="str">
        <f t="shared" si="7"/>
        <v>2025 Worlds (Nov 9)</v>
      </c>
      <c r="S9" s="38">
        <v>0</v>
      </c>
      <c r="T9" s="38">
        <v>0</v>
      </c>
      <c r="U9" s="38">
        <v>0</v>
      </c>
      <c r="V9" s="38">
        <v>0</v>
      </c>
      <c r="W9" s="38">
        <v>18.7</v>
      </c>
      <c r="X9" s="38">
        <v>7.2</v>
      </c>
      <c r="Y9" s="38">
        <v>0.6</v>
      </c>
      <c r="Z9" s="38">
        <v>0.50000000000000122</v>
      </c>
      <c r="AA9" s="38" t="s">
        <v>175</v>
      </c>
      <c r="AB9" s="38" t="s">
        <v>175</v>
      </c>
      <c r="AC9" s="38" t="s">
        <v>175</v>
      </c>
      <c r="AD9" s="38" t="s">
        <v>175</v>
      </c>
      <c r="AE9" s="38" t="s">
        <v>175</v>
      </c>
      <c r="AF9" s="38" t="s">
        <v>175</v>
      </c>
      <c r="AG9" s="38" t="s">
        <v>175</v>
      </c>
      <c r="AH9" s="38" t="s">
        <v>175</v>
      </c>
      <c r="AI9" s="19"/>
      <c r="AJ9" s="41">
        <f t="shared" si="8"/>
        <v>0</v>
      </c>
      <c r="AK9" s="41">
        <f t="shared" si="9"/>
        <v>0</v>
      </c>
      <c r="AL9" s="41">
        <f t="shared" si="10"/>
        <v>7.2</v>
      </c>
      <c r="AM9" s="41">
        <f t="shared" si="11"/>
        <v>25.799999999999997</v>
      </c>
      <c r="AN9" s="27">
        <f t="shared" si="12"/>
        <v>7.2</v>
      </c>
      <c r="AO9" s="27">
        <f t="shared" si="13"/>
        <v>25.799999999999997</v>
      </c>
      <c r="AP9" s="27" t="str">
        <f t="shared" si="14"/>
        <v/>
      </c>
      <c r="AQ9" s="27" t="str">
        <f t="shared" si="15"/>
        <v/>
      </c>
      <c r="AR9" s="27" t="str">
        <f t="shared" si="16"/>
        <v/>
      </c>
      <c r="AS9" s="27" t="str">
        <f t="shared" si="17"/>
        <v/>
      </c>
      <c r="AT9" s="27" t="str">
        <f t="shared" si="18"/>
        <v/>
      </c>
      <c r="AU9" s="27" t="str">
        <f t="shared" si="19"/>
        <v/>
      </c>
      <c r="AV9" s="27">
        <f t="shared" si="20"/>
        <v>25.799999999999997</v>
      </c>
      <c r="AW9" s="15"/>
      <c r="AX9" s="15"/>
      <c r="AY9" s="15"/>
      <c r="AZ9" s="15"/>
      <c r="BA9" s="15"/>
      <c r="BB9" s="15"/>
      <c r="BC9" s="15"/>
      <c r="BD9" s="15"/>
      <c r="BE9" s="15"/>
      <c r="BF9" s="15"/>
      <c r="BG9" s="15"/>
      <c r="BH9" s="15"/>
      <c r="BI9" s="15"/>
      <c r="BJ9" s="15"/>
      <c r="BK9" s="15"/>
      <c r="BL9" s="15"/>
      <c r="BM9" s="20"/>
      <c r="BN9" s="42" t="str">
        <f t="shared" si="21"/>
        <v/>
      </c>
      <c r="BO9" s="42" t="str">
        <f t="shared" si="22"/>
        <v/>
      </c>
      <c r="BP9" s="42" t="str">
        <f t="shared" si="23"/>
        <v/>
      </c>
      <c r="BQ9" s="42" t="str">
        <f t="shared" si="24"/>
        <v/>
      </c>
      <c r="BR9" s="10" t="str">
        <f t="shared" si="25"/>
        <v/>
      </c>
      <c r="BS9" s="10" t="str">
        <f t="shared" si="26"/>
        <v/>
      </c>
      <c r="BT9" s="10" t="str">
        <f t="shared" si="27"/>
        <v/>
      </c>
      <c r="BU9" s="10" t="str">
        <f t="shared" si="28"/>
        <v/>
      </c>
      <c r="BV9" s="10" t="str">
        <f t="shared" si="29"/>
        <v/>
      </c>
      <c r="BW9" s="10" t="str">
        <f t="shared" si="30"/>
        <v/>
      </c>
      <c r="BX9" s="10" t="str">
        <f t="shared" si="31"/>
        <v/>
      </c>
      <c r="BY9" s="10" t="str">
        <f t="shared" si="32"/>
        <v/>
      </c>
      <c r="BZ9" s="10" t="str">
        <f t="shared" si="33"/>
        <v/>
      </c>
      <c r="CA9" s="34">
        <f t="shared" si="34"/>
        <v>23.600000000000009</v>
      </c>
      <c r="CB9" s="34">
        <f t="shared" si="35"/>
        <v>25.200000000000003</v>
      </c>
      <c r="CC9" s="14">
        <v>18.600000000000001</v>
      </c>
      <c r="CD9" s="14">
        <v>5.6</v>
      </c>
      <c r="CE9" s="14">
        <v>0</v>
      </c>
      <c r="CF9" s="14">
        <v>0</v>
      </c>
      <c r="CG9" s="14">
        <v>18.600000000000001</v>
      </c>
      <c r="CH9" s="14">
        <v>6.8</v>
      </c>
      <c r="CI9" s="14">
        <v>0.2</v>
      </c>
      <c r="CJ9" s="14">
        <v>0</v>
      </c>
      <c r="CK9" s="14"/>
      <c r="CL9" s="14"/>
      <c r="CM9" s="14"/>
      <c r="CN9" s="14"/>
      <c r="CO9" s="14"/>
      <c r="CP9" s="14"/>
      <c r="CQ9" s="14"/>
      <c r="CR9" s="14"/>
      <c r="CS9" s="14"/>
      <c r="CT9" s="14"/>
      <c r="CU9" s="14"/>
      <c r="CV9" s="14"/>
      <c r="CW9" s="27">
        <f t="shared" si="36"/>
        <v>5.6</v>
      </c>
      <c r="CX9" s="27">
        <f t="shared" si="37"/>
        <v>24.200000000000003</v>
      </c>
      <c r="CY9" s="27">
        <f t="shared" si="38"/>
        <v>6.8</v>
      </c>
      <c r="CZ9" s="27">
        <f t="shared" si="39"/>
        <v>25.200000000000003</v>
      </c>
      <c r="DA9" s="27">
        <f t="shared" si="40"/>
        <v>12.399999999999999</v>
      </c>
      <c r="DB9" s="27">
        <f t="shared" si="41"/>
        <v>49.400000000000006</v>
      </c>
      <c r="DC9" s="27" t="str">
        <f t="shared" si="42"/>
        <v/>
      </c>
      <c r="DD9" s="27" t="str">
        <f t="shared" si="43"/>
        <v/>
      </c>
      <c r="DE9" s="27" t="str">
        <f t="shared" si="44"/>
        <v/>
      </c>
      <c r="DF9" s="27" t="str">
        <f t="shared" si="45"/>
        <v/>
      </c>
      <c r="DG9" s="27" t="str">
        <f t="shared" si="46"/>
        <v/>
      </c>
      <c r="DH9" s="27" t="str">
        <f t="shared" si="47"/>
        <v/>
      </c>
      <c r="DI9" s="27" t="str">
        <f t="shared" si="48"/>
        <v/>
      </c>
      <c r="DJ9" s="27" t="str">
        <f t="shared" si="49"/>
        <v/>
      </c>
      <c r="DK9" s="27">
        <f t="shared" si="50"/>
        <v>49.400000000000006</v>
      </c>
      <c r="DL9" s="15"/>
      <c r="DM9" s="15"/>
      <c r="DN9" s="15"/>
      <c r="DO9" s="15"/>
      <c r="DP9" s="15"/>
      <c r="DQ9" s="15"/>
      <c r="DR9" s="15"/>
      <c r="DS9" s="15"/>
      <c r="DT9" s="15"/>
      <c r="DU9" s="15"/>
      <c r="DV9" s="15"/>
      <c r="DW9" s="15"/>
      <c r="DX9" s="15"/>
      <c r="DY9" s="15"/>
      <c r="DZ9" s="15"/>
      <c r="EA9" s="15"/>
      <c r="EB9" s="15"/>
      <c r="EC9" s="15"/>
      <c r="ED9" s="15"/>
      <c r="EE9" s="15"/>
      <c r="EF9" s="10" t="str">
        <f t="shared" si="51"/>
        <v/>
      </c>
      <c r="EG9" s="10" t="str">
        <f t="shared" si="52"/>
        <v/>
      </c>
      <c r="EH9" s="10" t="str">
        <f t="shared" si="53"/>
        <v/>
      </c>
      <c r="EI9" s="10" t="str">
        <f t="shared" si="54"/>
        <v/>
      </c>
      <c r="EJ9" s="10" t="str">
        <f t="shared" si="55"/>
        <v/>
      </c>
      <c r="EK9" s="10" t="str">
        <f t="shared" si="56"/>
        <v/>
      </c>
      <c r="EL9" s="10" t="str">
        <f t="shared" si="57"/>
        <v/>
      </c>
      <c r="EM9" s="10" t="str">
        <f t="shared" si="58"/>
        <v/>
      </c>
      <c r="EN9" s="10" t="str">
        <f t="shared" si="59"/>
        <v/>
      </c>
      <c r="EO9" s="10" t="str">
        <f t="shared" si="60"/>
        <v/>
      </c>
      <c r="EP9" s="10" t="str">
        <f t="shared" si="61"/>
        <v/>
      </c>
      <c r="EQ9" s="10" t="str">
        <f t="shared" si="62"/>
        <v/>
      </c>
      <c r="ER9" s="10" t="str">
        <f t="shared" si="63"/>
        <v/>
      </c>
      <c r="ES9" s="10" t="str">
        <f t="shared" si="64"/>
        <v/>
      </c>
      <c r="ET9" s="10" t="str">
        <f t="shared" si="65"/>
        <v/>
      </c>
    </row>
    <row r="10" spans="1:150" x14ac:dyDescent="0.2">
      <c r="A10" s="3" t="str" cm="1">
        <f t="array" ref="A10">IF(AND(H10&lt;&gt;"",H10&lt;&gt;"No DD",I10&lt;&gt;"P"),SUMPRODUCT((H$4:H$30&lt;&gt;"")*(H$4:H$30&lt;&gt;"No DD")*(I$4:I$30&lt;&gt;"P")*(E$4:E$30&gt;E10))+1,IF(H10="No DD",SUMPRODUCT((H$4:H$30="No DD")*(I$4:I$30&lt;&gt;"P")*(E$4:E$30&gt;E10))+1+SUMPRODUCT((H$4:H$30&lt;&gt;"")*(I$4:I$30&lt;&gt;"P")*(H$4:H$30&lt;&gt;"No DD")),""))</f>
        <v/>
      </c>
      <c r="B10" s="4" t="s">
        <v>115</v>
      </c>
      <c r="C10" s="3" t="s">
        <v>69</v>
      </c>
      <c r="D10" s="3">
        <v>2007</v>
      </c>
      <c r="E10" s="8">
        <f t="shared" si="0"/>
        <v>93.000007000004643</v>
      </c>
      <c r="F10" s="2" t="str">
        <f>IF(OR(AND(AO10&lt;&gt;"",AO10&gt;=AV$35,AN10&gt;=AV$32),AND(AU10&lt;&gt;"",AU10&gt;=AV$35,AT10&gt;=AV$32),AND(BS10&lt;&gt;"",BS10&gt;=BZ$35,BR10&gt;=BZ$32),AND(BY10&lt;&gt;"",BY10&gt;=BZ$35,BX10&gt;=BZ$32),AND(DB10&lt;&gt;"",DB10&gt;=DK$35,DA10&gt;=DK$32),AND(DJ10&lt;&gt;"",DJ10&gt;=DK$35,DI10&gt;=DK$32),AND(EK10&lt;&gt;"",EK10&gt;=ET$35,EJ10&gt;=ET$32),AND(ES10&lt;&gt;"",ES10&gt;=ET$35,ER10&gt;=ET$32)),"P","")</f>
        <v/>
      </c>
      <c r="G10" s="2" t="str">
        <f>IF(OR(AND(AO10&lt;&gt;"",AO10&gt;=AV$35),AND(AU10&lt;&gt;"",AU10&gt;=AV$35),AND(BS10&lt;&gt;"",BS10&gt;=BZ$35),AND(BY10&lt;&gt;"",BY10&gt;=BZ$35),AND(DB10&lt;&gt;"",DB10&gt;=DK$35),AND(DJ10&lt;&gt;"",DJ10&gt;=DK$35),AND(EK10&lt;&gt;"",EK10&gt;=ET$35),AND(ES10&lt;&gt;"",ES10&gt;=ET$35)),"P","")</f>
        <v/>
      </c>
      <c r="H10" s="26" t="str">
        <f>IF(AND(G10="P",F10=""),"No DD",IF(OR(AND(AK10&lt;&gt;"",AK10&gt;=AV$37,AJ10&gt;=AV$34),AND(AM10&lt;&gt;"",AM10&gt;=AV$37,AL10&gt;=AV$34),AND(AQ10&lt;&gt;"",AQ10&gt;=AV$37,AP10&gt;=AV$34),AND(AS10&lt;&gt;"",AS10&gt;=AV$37,AR10&gt;=AV$34),AND(BO10&lt;&gt;"",BO10&gt;=BZ$37,BN10&gt;=BZ$34),AND(BQ10&lt;&gt;"",BQ10&gt;=BZ$37,BP10&gt;=BZ$34),AND(BV10&lt;&gt;"",BV10&gt;=BZ$37,BU10&gt;=BZ$34),AND(BX10&lt;&gt;"",BX10&gt;=BZ$37,BW10&gt;=BZ$34),AND(CX10&lt;&gt;"",CX10&gt;=DK$37,CW10&gt;=DK$34),AND(CZ10&lt;&gt;"",CZ10&gt;=DK$37,CY10&gt;=DK$34),AND(DD10&lt;&gt;"",DD10&gt;=DK$37,DC10&gt;=DK$34),AND(DF10&lt;&gt;"",DF10&gt;=DK$37,DE10&gt;=DK$34),AND(DH10&lt;&gt;"",DH10&gt;=DK$37,DG10&gt;=DK$34),AND(EG10&lt;&gt;"",EG10&gt;=ET$37,EF10&gt;=ET$34),AND(EI10&lt;&gt;"",EI10&gt;=ET$37,EH10&gt;=ET$34),AND(EM10&lt;&gt;"",EM10&gt;=ET$37,EL10&gt;=ET$34),AND(EO10&lt;&gt;"",EO10&gt;=ET$37,EN10&gt;=ET$34),AND(EQ10&lt;&gt;"",EQ10&gt;=ET$37,EP10&gt;=ET$34)),"Performance",IF(I10="P","National Team",IF(F10="P","National Team",""))))</f>
        <v/>
      </c>
      <c r="I10" s="2" t="str">
        <f>IF(COUNTIFS('Senior-W'!B:B,B10,'Senior-W'!A:A,"&lt;9",'Senior-W'!H:H,"&lt;&gt;"&amp;"No DD"),"P","")</f>
        <v/>
      </c>
      <c r="J10" s="7">
        <f t="shared" si="1"/>
        <v>46.5</v>
      </c>
      <c r="K10" s="7" t="str">
        <f t="shared" si="2"/>
        <v>2026 Elite Canada</v>
      </c>
      <c r="L10" s="7">
        <f>IF(J10=AO10,IF(COUNT(AQ10,AS10,BO10,BQ10,BU10,BW10)&gt;1,LARGE((AQ10,AS10,BO10,BQ10,BU10,BW10),1),0),IF(COUNT(AK10,AM10,AQ10,AS10,BU10,BW10)&gt;1,LARGE((AK10,AM10,AQ10,AS10,BU10,BW10),1),0))</f>
        <v>23.5</v>
      </c>
      <c r="M10" s="7" t="str">
        <f t="shared" si="3"/>
        <v>2026 Elite Canada</v>
      </c>
      <c r="N10" s="7">
        <f>IF(J10=AO10,IF(COUNT(AQ10,AS10,BO10,BQ10,BU10,BW10)&gt;1,LARGE((AQ10,AS10,BO10,BQ10,BU10,BW10),2),0),IF(COUNT(AK10,AM10,AQ10,AS10,BU10,BW10)&gt;1,LARGE((AK10,AM10,AQ10,AS10,BU10,BW10),2),0))</f>
        <v>22.999999999999996</v>
      </c>
      <c r="O10" s="7" t="str">
        <f t="shared" si="4"/>
        <v>2026 Elite Canada</v>
      </c>
      <c r="P10" s="7" t="str">
        <f t="shared" si="5"/>
        <v/>
      </c>
      <c r="Q10" s="10" t="str">
        <f t="shared" si="6"/>
        <v/>
      </c>
      <c r="R10" s="7" t="str">
        <f t="shared" si="7"/>
        <v/>
      </c>
      <c r="S10" s="38">
        <v>18.3</v>
      </c>
      <c r="T10" s="38">
        <v>5.6</v>
      </c>
      <c r="U10" s="38">
        <v>0.6</v>
      </c>
      <c r="V10" s="38">
        <v>0</v>
      </c>
      <c r="W10" s="38">
        <v>18</v>
      </c>
      <c r="X10" s="38">
        <v>5.2</v>
      </c>
      <c r="Y10" s="38">
        <v>0</v>
      </c>
      <c r="Z10" s="38">
        <v>0</v>
      </c>
      <c r="AA10" s="38">
        <v>18.2</v>
      </c>
      <c r="AB10" s="38">
        <v>5.6</v>
      </c>
      <c r="AC10" s="38">
        <v>0.8</v>
      </c>
      <c r="AD10" s="38">
        <v>0</v>
      </c>
      <c r="AE10" s="38">
        <v>18.5</v>
      </c>
      <c r="AF10" s="38">
        <v>5.2</v>
      </c>
      <c r="AG10" s="38">
        <v>0.2</v>
      </c>
      <c r="AH10" s="38">
        <v>0</v>
      </c>
      <c r="AI10" s="19"/>
      <c r="AJ10" s="41">
        <f t="shared" si="8"/>
        <v>5.6</v>
      </c>
      <c r="AK10" s="41">
        <f t="shared" si="9"/>
        <v>23.299999999999997</v>
      </c>
      <c r="AL10" s="41">
        <f t="shared" si="10"/>
        <v>5.2</v>
      </c>
      <c r="AM10" s="41">
        <f t="shared" si="11"/>
        <v>23.2</v>
      </c>
      <c r="AN10" s="27">
        <f t="shared" si="12"/>
        <v>10.8</v>
      </c>
      <c r="AO10" s="27">
        <f t="shared" si="13"/>
        <v>46.5</v>
      </c>
      <c r="AP10" s="27">
        <f t="shared" si="14"/>
        <v>5.6</v>
      </c>
      <c r="AQ10" s="27">
        <f t="shared" si="15"/>
        <v>22.999999999999996</v>
      </c>
      <c r="AR10" s="27">
        <f t="shared" si="16"/>
        <v>5.2</v>
      </c>
      <c r="AS10" s="27">
        <f t="shared" si="17"/>
        <v>23.5</v>
      </c>
      <c r="AT10" s="27">
        <f t="shared" si="18"/>
        <v>10.8</v>
      </c>
      <c r="AU10" s="27">
        <f t="shared" si="19"/>
        <v>46.5</v>
      </c>
      <c r="AV10" s="27">
        <f t="shared" si="20"/>
        <v>93</v>
      </c>
      <c r="AW10" s="15"/>
      <c r="AX10" s="15"/>
      <c r="AY10" s="15"/>
      <c r="AZ10" s="15"/>
      <c r="BA10" s="15"/>
      <c r="BB10" s="15"/>
      <c r="BC10" s="15"/>
      <c r="BD10" s="15"/>
      <c r="BE10" s="15"/>
      <c r="BF10" s="15"/>
      <c r="BG10" s="15"/>
      <c r="BH10" s="15"/>
      <c r="BI10" s="15"/>
      <c r="BJ10" s="15"/>
      <c r="BK10" s="15"/>
      <c r="BL10" s="15"/>
      <c r="BM10" s="20"/>
      <c r="BN10" s="42" t="str">
        <f t="shared" si="21"/>
        <v/>
      </c>
      <c r="BO10" s="42" t="str">
        <f t="shared" si="22"/>
        <v/>
      </c>
      <c r="BP10" s="42" t="str">
        <f t="shared" si="23"/>
        <v/>
      </c>
      <c r="BQ10" s="42" t="str">
        <f t="shared" si="24"/>
        <v/>
      </c>
      <c r="BR10" s="10" t="str">
        <f t="shared" si="25"/>
        <v/>
      </c>
      <c r="BS10" s="10" t="str">
        <f t="shared" si="26"/>
        <v/>
      </c>
      <c r="BT10" s="10" t="str">
        <f t="shared" si="27"/>
        <v/>
      </c>
      <c r="BU10" s="10" t="str">
        <f t="shared" si="28"/>
        <v/>
      </c>
      <c r="BV10" s="10" t="str">
        <f t="shared" si="29"/>
        <v/>
      </c>
      <c r="BW10" s="10" t="str">
        <f t="shared" si="30"/>
        <v/>
      </c>
      <c r="BX10" s="10" t="str">
        <f t="shared" si="31"/>
        <v/>
      </c>
      <c r="BY10" s="10" t="str">
        <f t="shared" si="32"/>
        <v/>
      </c>
      <c r="BZ10" s="10" t="str">
        <f t="shared" si="33"/>
        <v/>
      </c>
      <c r="CA10" s="34" t="str">
        <f t="shared" si="34"/>
        <v/>
      </c>
      <c r="CB10" s="34" t="str">
        <f t="shared" si="35"/>
        <v/>
      </c>
      <c r="CC10" s="14"/>
      <c r="CD10" s="14"/>
      <c r="CE10" s="14"/>
      <c r="CF10" s="14"/>
      <c r="CG10" s="14"/>
      <c r="CH10" s="14"/>
      <c r="CI10" s="14"/>
      <c r="CJ10" s="14"/>
      <c r="CK10" s="14"/>
      <c r="CL10" s="14"/>
      <c r="CM10" s="14"/>
      <c r="CN10" s="14"/>
      <c r="CO10" s="14"/>
      <c r="CP10" s="14"/>
      <c r="CQ10" s="14"/>
      <c r="CR10" s="14"/>
      <c r="CS10" s="14"/>
      <c r="CT10" s="14"/>
      <c r="CU10" s="14"/>
      <c r="CV10" s="14"/>
      <c r="CW10" s="27" t="str">
        <f t="shared" si="36"/>
        <v/>
      </c>
      <c r="CX10" s="27" t="str">
        <f t="shared" si="37"/>
        <v/>
      </c>
      <c r="CY10" s="27" t="str">
        <f t="shared" si="38"/>
        <v/>
      </c>
      <c r="CZ10" s="27" t="str">
        <f t="shared" si="39"/>
        <v/>
      </c>
      <c r="DA10" s="27" t="str">
        <f t="shared" si="40"/>
        <v/>
      </c>
      <c r="DB10" s="27" t="str">
        <f t="shared" si="41"/>
        <v/>
      </c>
      <c r="DC10" s="27" t="str">
        <f t="shared" si="42"/>
        <v/>
      </c>
      <c r="DD10" s="27" t="str">
        <f t="shared" si="43"/>
        <v/>
      </c>
      <c r="DE10" s="27" t="str">
        <f t="shared" si="44"/>
        <v/>
      </c>
      <c r="DF10" s="27" t="str">
        <f t="shared" si="45"/>
        <v/>
      </c>
      <c r="DG10" s="27" t="str">
        <f t="shared" si="46"/>
        <v/>
      </c>
      <c r="DH10" s="27" t="str">
        <f t="shared" si="47"/>
        <v/>
      </c>
      <c r="DI10" s="27" t="str">
        <f t="shared" si="48"/>
        <v/>
      </c>
      <c r="DJ10" s="27" t="str">
        <f t="shared" si="49"/>
        <v/>
      </c>
      <c r="DK10" s="27" t="str">
        <f t="shared" si="50"/>
        <v/>
      </c>
      <c r="DL10" s="15"/>
      <c r="DM10" s="15"/>
      <c r="DN10" s="15"/>
      <c r="DO10" s="15"/>
      <c r="DP10" s="15"/>
      <c r="DQ10" s="15"/>
      <c r="DR10" s="15"/>
      <c r="DS10" s="15"/>
      <c r="DT10" s="15"/>
      <c r="DU10" s="15"/>
      <c r="DV10" s="15"/>
      <c r="DW10" s="15"/>
      <c r="DX10" s="15"/>
      <c r="DY10" s="15"/>
      <c r="DZ10" s="15"/>
      <c r="EA10" s="15"/>
      <c r="EB10" s="15"/>
      <c r="EC10" s="15"/>
      <c r="ED10" s="15"/>
      <c r="EE10" s="15"/>
      <c r="EF10" s="10" t="str">
        <f t="shared" si="51"/>
        <v/>
      </c>
      <c r="EG10" s="10" t="str">
        <f t="shared" si="52"/>
        <v/>
      </c>
      <c r="EH10" s="10" t="str">
        <f t="shared" si="53"/>
        <v/>
      </c>
      <c r="EI10" s="10" t="str">
        <f t="shared" si="54"/>
        <v/>
      </c>
      <c r="EJ10" s="10" t="str">
        <f t="shared" si="55"/>
        <v/>
      </c>
      <c r="EK10" s="10" t="str">
        <f t="shared" si="56"/>
        <v/>
      </c>
      <c r="EL10" s="10" t="str">
        <f t="shared" si="57"/>
        <v/>
      </c>
      <c r="EM10" s="10" t="str">
        <f t="shared" si="58"/>
        <v/>
      </c>
      <c r="EN10" s="10" t="str">
        <f t="shared" si="59"/>
        <v/>
      </c>
      <c r="EO10" s="10" t="str">
        <f t="shared" si="60"/>
        <v/>
      </c>
      <c r="EP10" s="10" t="str">
        <f t="shared" si="61"/>
        <v/>
      </c>
      <c r="EQ10" s="10" t="str">
        <f t="shared" si="62"/>
        <v/>
      </c>
      <c r="ER10" s="10" t="str">
        <f t="shared" si="63"/>
        <v/>
      </c>
      <c r="ES10" s="10" t="str">
        <f t="shared" si="64"/>
        <v/>
      </c>
      <c r="ET10" s="10" t="str">
        <f t="shared" si="65"/>
        <v/>
      </c>
    </row>
    <row r="11" spans="1:150" x14ac:dyDescent="0.2">
      <c r="A11" s="3" cm="1">
        <f t="array" ref="A11">IF(AND(H11&lt;&gt;"",H11&lt;&gt;"No DD",I11&lt;&gt;"P"),SUMPRODUCT((H$4:H$30&lt;&gt;"")*(H$4:H$30&lt;&gt;"No DD")*(I$4:I$30&lt;&gt;"P")*(E$4:E$30&gt;E11))+1,IF(H11="No DD",SUMPRODUCT((H$4:H$30="No DD")*(I$4:I$30&lt;&gt;"P")*(E$4:E$30&gt;E11))+1+SUMPRODUCT((H$4:H$30&lt;&gt;"")*(I$4:I$30&lt;&gt;"P")*(H$4:H$30&lt;&gt;"No DD")),""))</f>
        <v>4</v>
      </c>
      <c r="B11" s="4" t="s">
        <v>134</v>
      </c>
      <c r="C11" s="3" t="s">
        <v>4</v>
      </c>
      <c r="D11" s="3">
        <v>2005</v>
      </c>
      <c r="E11" s="8">
        <f t="shared" si="0"/>
        <v>92.000007020004745</v>
      </c>
      <c r="F11" s="2" t="str">
        <f>IF(OR(AND(AO11&lt;&gt;"",AO11&gt;=AV$35,AN11&gt;=AV$32),AND(AU11&lt;&gt;"",AU11&gt;=AV$35,AT11&gt;=AV$32),AND(BS11&lt;&gt;"",BS11&gt;=BZ$35,BR11&gt;=BZ$32),AND(BY11&lt;&gt;"",BY11&gt;=BZ$35,BX11&gt;=BZ$32),AND(DB11&lt;&gt;"",DB11&gt;=DK$35,DA11&gt;=DK$32),AND(DJ11&lt;&gt;"",DJ11&gt;=DK$35,DI11&gt;=DK$32),AND(EK11&lt;&gt;"",EK11&gt;=ET$35,EJ11&gt;=ET$32),AND(ES11&lt;&gt;"",ES11&gt;=ET$35,ER11&gt;=ET$32)),"P","")</f>
        <v/>
      </c>
      <c r="G11" s="2" t="str">
        <f>IF(OR(AND(AO11&lt;&gt;"",AO11&gt;=AV$35),AND(AU11&lt;&gt;"",AU11&gt;=AV$35),AND(BS11&lt;&gt;"",BS11&gt;=BZ$35),AND(BY11&lt;&gt;"",BY11&gt;=BZ$35),AND(DB11&lt;&gt;"",DB11&gt;=DK$35),AND(DJ11&lt;&gt;"",DJ11&gt;=DK$35),AND(EK11&lt;&gt;"",EK11&gt;=ET$35),AND(ES11&lt;&gt;"",ES11&gt;=ET$35)),"P","")</f>
        <v>P</v>
      </c>
      <c r="H11" s="26" t="str">
        <f>IF(AND(G11="P",F11=""),"No DD",IF(OR(AND(AK11&lt;&gt;"",AK11&gt;=AV$37,AJ11&gt;=AV$34),AND(AM11&lt;&gt;"",AM11&gt;=AV$37,AL11&gt;=AV$34),AND(AQ11&lt;&gt;"",AQ11&gt;=AV$37,AP11&gt;=AV$34),AND(AS11&lt;&gt;"",AS11&gt;=AV$37,AR11&gt;=AV$34),AND(BO11&lt;&gt;"",BO11&gt;=BZ$37,BN11&gt;=BZ$34),AND(BQ11&lt;&gt;"",BQ11&gt;=BZ$37,BP11&gt;=BZ$34),AND(BV11&lt;&gt;"",BV11&gt;=BZ$37,BU11&gt;=BZ$34),AND(BX11&lt;&gt;"",BX11&gt;=BZ$37,BW11&gt;=BZ$34),AND(CX11&lt;&gt;"",CX11&gt;=DK$37,CW11&gt;=DK$34),AND(CZ11&lt;&gt;"",CZ11&gt;=DK$37,CY11&gt;=DK$34),AND(DD11&lt;&gt;"",DD11&gt;=DK$37,DC11&gt;=DK$34),AND(DF11&lt;&gt;"",DF11&gt;=DK$37,DE11&gt;=DK$34),AND(DH11&lt;&gt;"",DH11&gt;=DK$37,DG11&gt;=DK$34),AND(EG11&lt;&gt;"",EG11&gt;=ET$37,EF11&gt;=ET$34),AND(EI11&lt;&gt;"",EI11&gt;=ET$37,EH11&gt;=ET$34),AND(EM11&lt;&gt;"",EM11&gt;=ET$37,EL11&gt;=ET$34),AND(EO11&lt;&gt;"",EO11&gt;=ET$37,EN11&gt;=ET$34),AND(EQ11&lt;&gt;"",EQ11&gt;=ET$37,EP11&gt;=ET$34)),"Performance",IF(I11="P","National Team",IF(F11="P","National Team",""))))</f>
        <v>No DD</v>
      </c>
      <c r="I11" s="2" t="str">
        <f>IF(COUNTIFS('Senior-W'!B:B,B11,'Senior-W'!A:A,"&lt;9",'Senior-W'!H:H,"&lt;&gt;"&amp;"No DD"),"P","")</f>
        <v/>
      </c>
      <c r="J11" s="7">
        <f t="shared" si="1"/>
        <v>47.400000000000006</v>
      </c>
      <c r="K11" s="7" t="str">
        <f t="shared" si="2"/>
        <v>2026 Elite Canada</v>
      </c>
      <c r="L11" s="7">
        <f>IF(J11=AO11,IF(COUNT(AQ11,AS11,BO11,BQ11,BU11,BW11)&gt;1,LARGE((AQ11,AS11,BO11,BQ11,BU11,BW11),1),0),IF(COUNT(AK11,AM11,AQ11,AS11,BU11,BW11)&gt;1,LARGE((AK11,AM11,AQ11,AS11,BU11,BW11),1),0))</f>
        <v>22.799999999999997</v>
      </c>
      <c r="M11" s="7" t="str">
        <f t="shared" si="3"/>
        <v>2026 Elite Canada</v>
      </c>
      <c r="N11" s="7">
        <f>IF(J11=AO11,IF(COUNT(AQ11,AS11,BO11,BQ11,BU11,BW11)&gt;1,LARGE((AQ11,AS11,BO11,BQ11,BU11,BW11),2),0),IF(COUNT(AK11,AM11,AQ11,AS11,BU11,BW11)&gt;1,LARGE((AK11,AM11,AQ11,AS11,BU11,BW11),2),0))</f>
        <v>21.799999999999997</v>
      </c>
      <c r="O11" s="7" t="str">
        <f t="shared" si="4"/>
        <v>2026 Elite Canada</v>
      </c>
      <c r="P11" s="7" t="str">
        <f t="shared" si="5"/>
        <v/>
      </c>
      <c r="Q11" s="10" t="str">
        <f t="shared" si="6"/>
        <v/>
      </c>
      <c r="R11" s="7" t="str">
        <f t="shared" si="7"/>
        <v/>
      </c>
      <c r="S11" s="38">
        <v>18.600000000000001</v>
      </c>
      <c r="T11" s="38">
        <v>5.2</v>
      </c>
      <c r="U11" s="38">
        <v>0</v>
      </c>
      <c r="V11" s="38">
        <v>0</v>
      </c>
      <c r="W11" s="38">
        <v>18.3</v>
      </c>
      <c r="X11" s="38">
        <v>4.8</v>
      </c>
      <c r="Y11" s="38">
        <v>0</v>
      </c>
      <c r="Z11" s="38">
        <v>0.50000000000000089</v>
      </c>
      <c r="AA11" s="38">
        <v>18</v>
      </c>
      <c r="AB11" s="38">
        <v>4.4000000000000004</v>
      </c>
      <c r="AC11" s="38">
        <v>0.6</v>
      </c>
      <c r="AD11" s="38">
        <v>0</v>
      </c>
      <c r="AE11" s="38">
        <v>19</v>
      </c>
      <c r="AF11" s="38">
        <v>3.4</v>
      </c>
      <c r="AG11" s="38">
        <v>0.1</v>
      </c>
      <c r="AH11" s="38">
        <v>0.50000000000000078</v>
      </c>
      <c r="AI11" s="19"/>
      <c r="AJ11" s="41">
        <f t="shared" si="8"/>
        <v>5.2</v>
      </c>
      <c r="AK11" s="41">
        <f t="shared" si="9"/>
        <v>23.8</v>
      </c>
      <c r="AL11" s="41">
        <f t="shared" si="10"/>
        <v>4.8</v>
      </c>
      <c r="AM11" s="41">
        <f t="shared" si="11"/>
        <v>23.6</v>
      </c>
      <c r="AN11" s="27">
        <f t="shared" si="12"/>
        <v>10</v>
      </c>
      <c r="AO11" s="27">
        <f t="shared" si="13"/>
        <v>47.400000000000006</v>
      </c>
      <c r="AP11" s="27">
        <f t="shared" si="14"/>
        <v>4.4000000000000004</v>
      </c>
      <c r="AQ11" s="27">
        <f t="shared" si="15"/>
        <v>21.799999999999997</v>
      </c>
      <c r="AR11" s="27">
        <f t="shared" si="16"/>
        <v>3.4</v>
      </c>
      <c r="AS11" s="27">
        <f t="shared" si="17"/>
        <v>22.799999999999997</v>
      </c>
      <c r="AT11" s="27">
        <f t="shared" si="18"/>
        <v>7.8000000000000007</v>
      </c>
      <c r="AU11" s="27">
        <f t="shared" si="19"/>
        <v>44.599999999999994</v>
      </c>
      <c r="AV11" s="27">
        <f t="shared" si="20"/>
        <v>92</v>
      </c>
      <c r="AW11" s="15"/>
      <c r="AX11" s="15"/>
      <c r="AY11" s="15"/>
      <c r="AZ11" s="15"/>
      <c r="BA11" s="15"/>
      <c r="BB11" s="15"/>
      <c r="BC11" s="15"/>
      <c r="BD11" s="15"/>
      <c r="BE11" s="15"/>
      <c r="BF11" s="15"/>
      <c r="BG11" s="15"/>
      <c r="BH11" s="15"/>
      <c r="BI11" s="15"/>
      <c r="BJ11" s="15"/>
      <c r="BK11" s="15"/>
      <c r="BL11" s="15"/>
      <c r="BM11" s="20"/>
      <c r="BN11" s="42" t="str">
        <f t="shared" si="21"/>
        <v/>
      </c>
      <c r="BO11" s="42" t="str">
        <f t="shared" si="22"/>
        <v/>
      </c>
      <c r="BP11" s="42" t="str">
        <f t="shared" si="23"/>
        <v/>
      </c>
      <c r="BQ11" s="42" t="str">
        <f t="shared" si="24"/>
        <v/>
      </c>
      <c r="BR11" s="10" t="str">
        <f t="shared" si="25"/>
        <v/>
      </c>
      <c r="BS11" s="10" t="str">
        <f t="shared" si="26"/>
        <v/>
      </c>
      <c r="BT11" s="10" t="str">
        <f t="shared" si="27"/>
        <v/>
      </c>
      <c r="BU11" s="10" t="str">
        <f t="shared" si="28"/>
        <v/>
      </c>
      <c r="BV11" s="10" t="str">
        <f t="shared" si="29"/>
        <v/>
      </c>
      <c r="BW11" s="10" t="str">
        <f t="shared" si="30"/>
        <v/>
      </c>
      <c r="BX11" s="10" t="str">
        <f t="shared" si="31"/>
        <v/>
      </c>
      <c r="BY11" s="10" t="str">
        <f t="shared" si="32"/>
        <v/>
      </c>
      <c r="BZ11" s="10" t="str">
        <f t="shared" si="33"/>
        <v/>
      </c>
      <c r="CA11" s="34" t="str">
        <f t="shared" si="34"/>
        <v/>
      </c>
      <c r="CB11" s="34" t="str">
        <f t="shared" si="35"/>
        <v/>
      </c>
      <c r="CC11" s="14"/>
      <c r="CD11" s="14"/>
      <c r="CE11" s="14"/>
      <c r="CF11" s="14"/>
      <c r="CG11" s="14"/>
      <c r="CH11" s="14"/>
      <c r="CI11" s="14"/>
      <c r="CJ11" s="14"/>
      <c r="CK11" s="14"/>
      <c r="CL11" s="14"/>
      <c r="CM11" s="14"/>
      <c r="CN11" s="14"/>
      <c r="CO11" s="14"/>
      <c r="CP11" s="14"/>
      <c r="CQ11" s="14"/>
      <c r="CR11" s="14"/>
      <c r="CS11" s="14"/>
      <c r="CT11" s="14"/>
      <c r="CU11" s="14"/>
      <c r="CV11" s="14"/>
      <c r="CW11" s="27" t="str">
        <f t="shared" si="36"/>
        <v/>
      </c>
      <c r="CX11" s="27" t="str">
        <f t="shared" si="37"/>
        <v/>
      </c>
      <c r="CY11" s="27" t="str">
        <f t="shared" si="38"/>
        <v/>
      </c>
      <c r="CZ11" s="27" t="str">
        <f t="shared" si="39"/>
        <v/>
      </c>
      <c r="DA11" s="27" t="str">
        <f t="shared" si="40"/>
        <v/>
      </c>
      <c r="DB11" s="27" t="str">
        <f t="shared" si="41"/>
        <v/>
      </c>
      <c r="DC11" s="27" t="str">
        <f t="shared" si="42"/>
        <v/>
      </c>
      <c r="DD11" s="27" t="str">
        <f t="shared" si="43"/>
        <v/>
      </c>
      <c r="DE11" s="27" t="str">
        <f t="shared" si="44"/>
        <v/>
      </c>
      <c r="DF11" s="27" t="str">
        <f t="shared" si="45"/>
        <v/>
      </c>
      <c r="DG11" s="27" t="str">
        <f t="shared" si="46"/>
        <v/>
      </c>
      <c r="DH11" s="27" t="str">
        <f t="shared" si="47"/>
        <v/>
      </c>
      <c r="DI11" s="27" t="str">
        <f t="shared" si="48"/>
        <v/>
      </c>
      <c r="DJ11" s="27" t="str">
        <f t="shared" si="49"/>
        <v/>
      </c>
      <c r="DK11" s="27" t="str">
        <f t="shared" si="50"/>
        <v/>
      </c>
      <c r="DL11" s="15"/>
      <c r="DM11" s="15"/>
      <c r="DN11" s="15"/>
      <c r="DO11" s="15"/>
      <c r="DP11" s="15"/>
      <c r="DQ11" s="15"/>
      <c r="DR11" s="15"/>
      <c r="DS11" s="15"/>
      <c r="DT11" s="15"/>
      <c r="DU11" s="15"/>
      <c r="DV11" s="15"/>
      <c r="DW11" s="15"/>
      <c r="DX11" s="15"/>
      <c r="DY11" s="15"/>
      <c r="DZ11" s="15"/>
      <c r="EA11" s="15"/>
      <c r="EB11" s="15"/>
      <c r="EC11" s="15"/>
      <c r="ED11" s="15"/>
      <c r="EE11" s="15"/>
      <c r="EF11" s="10" t="str">
        <f t="shared" si="51"/>
        <v/>
      </c>
      <c r="EG11" s="10" t="str">
        <f t="shared" si="52"/>
        <v/>
      </c>
      <c r="EH11" s="10" t="str">
        <f t="shared" si="53"/>
        <v/>
      </c>
      <c r="EI11" s="10" t="str">
        <f t="shared" si="54"/>
        <v/>
      </c>
      <c r="EJ11" s="10" t="str">
        <f t="shared" si="55"/>
        <v/>
      </c>
      <c r="EK11" s="10" t="str">
        <f t="shared" si="56"/>
        <v/>
      </c>
      <c r="EL11" s="10" t="str">
        <f t="shared" si="57"/>
        <v/>
      </c>
      <c r="EM11" s="10" t="str">
        <f t="shared" si="58"/>
        <v/>
      </c>
      <c r="EN11" s="10" t="str">
        <f t="shared" si="59"/>
        <v/>
      </c>
      <c r="EO11" s="10" t="str">
        <f t="shared" si="60"/>
        <v/>
      </c>
      <c r="EP11" s="10" t="str">
        <f t="shared" si="61"/>
        <v/>
      </c>
      <c r="EQ11" s="10" t="str">
        <f t="shared" si="62"/>
        <v/>
      </c>
      <c r="ER11" s="10" t="str">
        <f t="shared" si="63"/>
        <v/>
      </c>
      <c r="ES11" s="10" t="str">
        <f t="shared" si="64"/>
        <v/>
      </c>
      <c r="ET11" s="10" t="str">
        <f t="shared" si="65"/>
        <v/>
      </c>
    </row>
    <row r="12" spans="1:150" x14ac:dyDescent="0.2">
      <c r="A12" s="3" t="str" cm="1">
        <f t="array" ref="A12">IF(AND(H12&lt;&gt;"",H12&lt;&gt;"No DD",I12&lt;&gt;"P"),SUMPRODUCT((H$4:H$30&lt;&gt;"")*(H$4:H$30&lt;&gt;"No DD")*(I$4:I$30&lt;&gt;"P")*(E$4:E$30&gt;E12))+1,IF(H12="No DD",SUMPRODUCT((H$4:H$30="No DD")*(I$4:I$30&lt;&gt;"P")*(E$4:E$30&gt;E12))+1+SUMPRODUCT((H$4:H$30&lt;&gt;"")*(I$4:I$30&lt;&gt;"P")*(H$4:H$30&lt;&gt;"No DD")),""))</f>
        <v/>
      </c>
      <c r="B12" s="4" t="s">
        <v>159</v>
      </c>
      <c r="C12" s="3" t="s">
        <v>6</v>
      </c>
      <c r="D12" s="3">
        <v>2008</v>
      </c>
      <c r="E12" s="8">
        <f t="shared" si="0"/>
        <v>91.100006800004451</v>
      </c>
      <c r="F12" s="2" t="str">
        <f>IF(OR(AND(AO12&lt;&gt;"",AO12&gt;=AV$35,AN12&gt;=AV$32),AND(AU12&lt;&gt;"",AU12&gt;=AV$35,AT12&gt;=AV$32),AND(BS12&lt;&gt;"",BS12&gt;=BZ$35,BR12&gt;=BZ$32),AND(BY12&lt;&gt;"",BY12&gt;=BZ$35,BX12&gt;=BZ$32),AND(DB12&lt;&gt;"",DB12&gt;=DK$35,DA12&gt;=DK$32),AND(DJ12&lt;&gt;"",DJ12&gt;=DK$35,DI12&gt;=DK$32),AND(EK12&lt;&gt;"",EK12&gt;=ET$35,EJ12&gt;=ET$32),AND(ES12&lt;&gt;"",ES12&gt;=ET$35,ER12&gt;=ET$32)),"P","")</f>
        <v/>
      </c>
      <c r="G12" s="2" t="str">
        <f>IF(OR(AND(AO12&lt;&gt;"",AO12&gt;=AV$35),AND(AU12&lt;&gt;"",AU12&gt;=AV$35),AND(BS12&lt;&gt;"",BS12&gt;=BZ$35),AND(BY12&lt;&gt;"",BY12&gt;=BZ$35),AND(DB12&lt;&gt;"",DB12&gt;=DK$35),AND(DJ12&lt;&gt;"",DJ12&gt;=DK$35),AND(EK12&lt;&gt;"",EK12&gt;=ET$35),AND(ES12&lt;&gt;"",ES12&gt;=ET$35)),"P","")</f>
        <v/>
      </c>
      <c r="H12" s="26" t="str">
        <f>IF(AND(G12="P",F12=""),"No DD",IF(OR(AND(AK12&lt;&gt;"",AK12&gt;=AV$37,AJ12&gt;=AV$34),AND(AM12&lt;&gt;"",AM12&gt;=AV$37,AL12&gt;=AV$34),AND(AQ12&lt;&gt;"",AQ12&gt;=AV$37,AP12&gt;=AV$34),AND(AS12&lt;&gt;"",AS12&gt;=AV$37,AR12&gt;=AV$34),AND(BO12&lt;&gt;"",BO12&gt;=BZ$37,BN12&gt;=BZ$34),AND(BQ12&lt;&gt;"",BQ12&gt;=BZ$37,BP12&gt;=BZ$34),AND(BV12&lt;&gt;"",BV12&gt;=BZ$37,BU12&gt;=BZ$34),AND(BX12&lt;&gt;"",BX12&gt;=BZ$37,BW12&gt;=BZ$34),AND(CX12&lt;&gt;"",CX12&gt;=DK$37,CW12&gt;=DK$34),AND(CZ12&lt;&gt;"",CZ12&gt;=DK$37,CY12&gt;=DK$34),AND(DD12&lt;&gt;"",DD12&gt;=DK$37,DC12&gt;=DK$34),AND(DF12&lt;&gt;"",DF12&gt;=DK$37,DE12&gt;=DK$34),AND(DH12&lt;&gt;"",DH12&gt;=DK$37,DG12&gt;=DK$34),AND(EG12&lt;&gt;"",EG12&gt;=ET$37,EF12&gt;=ET$34),AND(EI12&lt;&gt;"",EI12&gt;=ET$37,EH12&gt;=ET$34),AND(EM12&lt;&gt;"",EM12&gt;=ET$37,EL12&gt;=ET$34),AND(EO12&lt;&gt;"",EO12&gt;=ET$37,EN12&gt;=ET$34),AND(EQ12&lt;&gt;"",EQ12&gt;=ET$37,EP12&gt;=ET$34)),"Performance",IF(I12="P","National Team",IF(F12="P","National Team",""))))</f>
        <v/>
      </c>
      <c r="I12" s="2" t="str">
        <f>IF(COUNTIFS('Senior-W'!B:B,B12,'Senior-W'!A:A,"&lt;9",'Senior-W'!H:H,"&lt;&gt;"&amp;"No DD"),"P","")</f>
        <v/>
      </c>
      <c r="J12" s="7">
        <f t="shared" si="1"/>
        <v>44.599999999999994</v>
      </c>
      <c r="K12" s="7" t="str">
        <f t="shared" si="2"/>
        <v>2026 Elite Canada</v>
      </c>
      <c r="L12" s="7">
        <f>IF(J12=AO12,IF(COUNT(AQ12,AS12,BO12,BQ12,BU12,BW12)&gt;1,LARGE((AQ12,AS12,BO12,BQ12,BU12,BW12),1),0),IF(COUNT(AK12,AM12,AQ12,AS12,BU12,BW12)&gt;1,LARGE((AK12,AM12,AQ12,AS12,BU12,BW12),1),0))</f>
        <v>23.4</v>
      </c>
      <c r="M12" s="7" t="str">
        <f t="shared" si="3"/>
        <v>2026 Elite Canada</v>
      </c>
      <c r="N12" s="7">
        <f>IF(J12=AO12,IF(COUNT(AQ12,AS12,BO12,BQ12,BU12,BW12)&gt;1,LARGE((AQ12,AS12,BO12,BQ12,BU12,BW12),2),0),IF(COUNT(AK12,AM12,AQ12,AS12,BU12,BW12)&gt;1,LARGE((AK12,AM12,AQ12,AS12,BU12,BW12),2),0))</f>
        <v>23.1</v>
      </c>
      <c r="O12" s="7" t="str">
        <f t="shared" si="4"/>
        <v>2026 Elite Canada</v>
      </c>
      <c r="P12" s="7" t="str">
        <f t="shared" si="5"/>
        <v/>
      </c>
      <c r="Q12" s="10" t="str">
        <f t="shared" si="6"/>
        <v/>
      </c>
      <c r="R12" s="7" t="str">
        <f t="shared" si="7"/>
        <v/>
      </c>
      <c r="S12" s="38">
        <v>18.100000000000001</v>
      </c>
      <c r="T12" s="38">
        <v>4.4000000000000004</v>
      </c>
      <c r="U12" s="38">
        <v>0.6</v>
      </c>
      <c r="V12" s="38">
        <v>0</v>
      </c>
      <c r="W12" s="38">
        <v>19.2</v>
      </c>
      <c r="X12" s="38">
        <v>3.5</v>
      </c>
      <c r="Y12" s="38">
        <v>0</v>
      </c>
      <c r="Z12" s="38">
        <v>0</v>
      </c>
      <c r="AA12" s="38">
        <v>18</v>
      </c>
      <c r="AB12" s="38">
        <v>4.8</v>
      </c>
      <c r="AC12" s="38">
        <v>0.2</v>
      </c>
      <c r="AD12" s="38">
        <v>0.50000000000000155</v>
      </c>
      <c r="AE12" s="38">
        <v>18.2</v>
      </c>
      <c r="AF12" s="38">
        <v>5.2</v>
      </c>
      <c r="AG12" s="38">
        <v>0</v>
      </c>
      <c r="AH12" s="38">
        <v>0</v>
      </c>
      <c r="AI12" s="19"/>
      <c r="AJ12" s="41">
        <f t="shared" si="8"/>
        <v>4.4000000000000004</v>
      </c>
      <c r="AK12" s="41">
        <f t="shared" si="9"/>
        <v>21.9</v>
      </c>
      <c r="AL12" s="41">
        <f t="shared" si="10"/>
        <v>3.5</v>
      </c>
      <c r="AM12" s="41">
        <f t="shared" si="11"/>
        <v>22.7</v>
      </c>
      <c r="AN12" s="27">
        <f t="shared" si="12"/>
        <v>7.9</v>
      </c>
      <c r="AO12" s="27">
        <f t="shared" si="13"/>
        <v>44.599999999999994</v>
      </c>
      <c r="AP12" s="27">
        <f t="shared" si="14"/>
        <v>4.8</v>
      </c>
      <c r="AQ12" s="27">
        <f t="shared" si="15"/>
        <v>23.1</v>
      </c>
      <c r="AR12" s="27">
        <f t="shared" si="16"/>
        <v>5.2</v>
      </c>
      <c r="AS12" s="27">
        <f t="shared" si="17"/>
        <v>23.4</v>
      </c>
      <c r="AT12" s="27">
        <f t="shared" si="18"/>
        <v>10</v>
      </c>
      <c r="AU12" s="27">
        <f t="shared" si="19"/>
        <v>46.5</v>
      </c>
      <c r="AV12" s="27">
        <f t="shared" si="20"/>
        <v>91.1</v>
      </c>
      <c r="AW12" s="15"/>
      <c r="AX12" s="15"/>
      <c r="AY12" s="15"/>
      <c r="AZ12" s="15"/>
      <c r="BA12" s="15"/>
      <c r="BB12" s="15"/>
      <c r="BC12" s="15"/>
      <c r="BD12" s="15"/>
      <c r="BE12" s="15"/>
      <c r="BF12" s="15"/>
      <c r="BG12" s="15"/>
      <c r="BH12" s="15"/>
      <c r="BI12" s="15"/>
      <c r="BJ12" s="15"/>
      <c r="BK12" s="15"/>
      <c r="BL12" s="15"/>
      <c r="BM12" s="20"/>
      <c r="BN12" s="42" t="str">
        <f t="shared" si="21"/>
        <v/>
      </c>
      <c r="BO12" s="42" t="str">
        <f t="shared" si="22"/>
        <v/>
      </c>
      <c r="BP12" s="42" t="str">
        <f t="shared" si="23"/>
        <v/>
      </c>
      <c r="BQ12" s="42" t="str">
        <f t="shared" si="24"/>
        <v/>
      </c>
      <c r="BR12" s="10" t="str">
        <f t="shared" si="25"/>
        <v/>
      </c>
      <c r="BS12" s="10" t="str">
        <f t="shared" si="26"/>
        <v/>
      </c>
      <c r="BT12" s="10" t="str">
        <f t="shared" si="27"/>
        <v/>
      </c>
      <c r="BU12" s="10" t="str">
        <f t="shared" si="28"/>
        <v/>
      </c>
      <c r="BV12" s="10" t="str">
        <f t="shared" si="29"/>
        <v/>
      </c>
      <c r="BW12" s="10" t="str">
        <f t="shared" si="30"/>
        <v/>
      </c>
      <c r="BX12" s="10" t="str">
        <f t="shared" si="31"/>
        <v/>
      </c>
      <c r="BY12" s="10" t="str">
        <f t="shared" si="32"/>
        <v/>
      </c>
      <c r="BZ12" s="10" t="str">
        <f t="shared" si="33"/>
        <v/>
      </c>
      <c r="CA12" s="34" t="str">
        <f t="shared" si="34"/>
        <v/>
      </c>
      <c r="CB12" s="34" t="str">
        <f t="shared" si="35"/>
        <v/>
      </c>
      <c r="CC12" s="14"/>
      <c r="CD12" s="14"/>
      <c r="CE12" s="14"/>
      <c r="CF12" s="14"/>
      <c r="CG12" s="14"/>
      <c r="CH12" s="14"/>
      <c r="CI12" s="14"/>
      <c r="CJ12" s="14"/>
      <c r="CK12" s="14"/>
      <c r="CL12" s="14"/>
      <c r="CM12" s="14"/>
      <c r="CN12" s="14"/>
      <c r="CO12" s="14"/>
      <c r="CP12" s="14"/>
      <c r="CQ12" s="14"/>
      <c r="CR12" s="14"/>
      <c r="CS12" s="14"/>
      <c r="CT12" s="14"/>
      <c r="CU12" s="14"/>
      <c r="CV12" s="14"/>
      <c r="CW12" s="27" t="str">
        <f t="shared" si="36"/>
        <v/>
      </c>
      <c r="CX12" s="27" t="str">
        <f t="shared" si="37"/>
        <v/>
      </c>
      <c r="CY12" s="27" t="str">
        <f t="shared" si="38"/>
        <v/>
      </c>
      <c r="CZ12" s="27" t="str">
        <f t="shared" si="39"/>
        <v/>
      </c>
      <c r="DA12" s="27" t="str">
        <f t="shared" si="40"/>
        <v/>
      </c>
      <c r="DB12" s="27" t="str">
        <f t="shared" si="41"/>
        <v/>
      </c>
      <c r="DC12" s="27" t="str">
        <f t="shared" si="42"/>
        <v/>
      </c>
      <c r="DD12" s="27" t="str">
        <f t="shared" si="43"/>
        <v/>
      </c>
      <c r="DE12" s="27" t="str">
        <f t="shared" si="44"/>
        <v/>
      </c>
      <c r="DF12" s="27" t="str">
        <f t="shared" si="45"/>
        <v/>
      </c>
      <c r="DG12" s="27" t="str">
        <f t="shared" si="46"/>
        <v/>
      </c>
      <c r="DH12" s="27" t="str">
        <f t="shared" si="47"/>
        <v/>
      </c>
      <c r="DI12" s="27" t="str">
        <f t="shared" si="48"/>
        <v/>
      </c>
      <c r="DJ12" s="27" t="str">
        <f t="shared" si="49"/>
        <v/>
      </c>
      <c r="DK12" s="27" t="str">
        <f t="shared" si="50"/>
        <v/>
      </c>
      <c r="DL12" s="15"/>
      <c r="DM12" s="15"/>
      <c r="DN12" s="15"/>
      <c r="DO12" s="15"/>
      <c r="DP12" s="15"/>
      <c r="DQ12" s="15"/>
      <c r="DR12" s="15"/>
      <c r="DS12" s="15"/>
      <c r="DT12" s="15"/>
      <c r="DU12" s="15"/>
      <c r="DV12" s="15"/>
      <c r="DW12" s="15"/>
      <c r="DX12" s="15"/>
      <c r="DY12" s="15"/>
      <c r="DZ12" s="15"/>
      <c r="EA12" s="15"/>
      <c r="EB12" s="15"/>
      <c r="EC12" s="15"/>
      <c r="ED12" s="15"/>
      <c r="EE12" s="15"/>
      <c r="EF12" s="10" t="str">
        <f t="shared" si="51"/>
        <v/>
      </c>
      <c r="EG12" s="10" t="str">
        <f t="shared" si="52"/>
        <v/>
      </c>
      <c r="EH12" s="10" t="str">
        <f t="shared" si="53"/>
        <v/>
      </c>
      <c r="EI12" s="10" t="str">
        <f t="shared" si="54"/>
        <v/>
      </c>
      <c r="EJ12" s="10" t="str">
        <f t="shared" si="55"/>
        <v/>
      </c>
      <c r="EK12" s="10" t="str">
        <f t="shared" si="56"/>
        <v/>
      </c>
      <c r="EL12" s="10" t="str">
        <f t="shared" si="57"/>
        <v/>
      </c>
      <c r="EM12" s="10" t="str">
        <f t="shared" si="58"/>
        <v/>
      </c>
      <c r="EN12" s="10" t="str">
        <f t="shared" si="59"/>
        <v/>
      </c>
      <c r="EO12" s="10" t="str">
        <f t="shared" si="60"/>
        <v/>
      </c>
      <c r="EP12" s="10" t="str">
        <f t="shared" si="61"/>
        <v/>
      </c>
      <c r="EQ12" s="10" t="str">
        <f t="shared" si="62"/>
        <v/>
      </c>
      <c r="ER12" s="10" t="str">
        <f t="shared" si="63"/>
        <v/>
      </c>
      <c r="ES12" s="10" t="str">
        <f t="shared" si="64"/>
        <v/>
      </c>
      <c r="ET12" s="10" t="str">
        <f t="shared" si="65"/>
        <v/>
      </c>
    </row>
    <row r="13" spans="1:150" x14ac:dyDescent="0.2">
      <c r="A13" s="3" t="str" cm="1">
        <f t="array" ref="A13">IF(AND(H13&lt;&gt;"",H13&lt;&gt;"No DD",I13&lt;&gt;"P"),SUMPRODUCT((H$4:H$30&lt;&gt;"")*(H$4:H$30&lt;&gt;"No DD")*(I$4:I$30&lt;&gt;"P")*(E$4:E$30&gt;E13))+1,IF(H13="No DD",SUMPRODUCT((H$4:H$30="No DD")*(I$4:I$30&lt;&gt;"P")*(E$4:E$30&gt;E13))+1+SUMPRODUCT((H$4:H$30&lt;&gt;"")*(I$4:I$30&lt;&gt;"P")*(H$4:H$30&lt;&gt;"No DD")),""))</f>
        <v/>
      </c>
      <c r="B13" s="4" t="s">
        <v>128</v>
      </c>
      <c r="C13" s="3" t="s">
        <v>69</v>
      </c>
      <c r="D13" s="3">
        <v>2005</v>
      </c>
      <c r="E13" s="8">
        <f t="shared" si="0"/>
        <v>90.800007030004679</v>
      </c>
      <c r="F13" s="2" t="str">
        <f>IF(OR(AND(AO13&lt;&gt;"",AO13&gt;=AV$35,AN13&gt;=AV$32),AND(AU13&lt;&gt;"",AU13&gt;=AV$35,AT13&gt;=AV$32),AND(BS13&lt;&gt;"",BS13&gt;=BZ$35,BR13&gt;=BZ$32),AND(BY13&lt;&gt;"",BY13&gt;=BZ$35,BX13&gt;=BZ$32),AND(DB13&lt;&gt;"",DB13&gt;=DK$35,DA13&gt;=DK$32),AND(DJ13&lt;&gt;"",DJ13&gt;=DK$35,DI13&gt;=DK$32),AND(EK13&lt;&gt;"",EK13&gt;=ET$35,EJ13&gt;=ET$32),AND(ES13&lt;&gt;"",ES13&gt;=ET$35,ER13&gt;=ET$32)),"P","")</f>
        <v/>
      </c>
      <c r="G13" s="2" t="str">
        <f>IF(OR(AND(AO13&lt;&gt;"",AO13&gt;=AV$35),AND(AU13&lt;&gt;"",AU13&gt;=AV$35),AND(BS13&lt;&gt;"",BS13&gt;=BZ$35),AND(BY13&lt;&gt;"",BY13&gt;=BZ$35),AND(DB13&lt;&gt;"",DB13&gt;=DK$35),AND(DJ13&lt;&gt;"",DJ13&gt;=DK$35),AND(EK13&lt;&gt;"",EK13&gt;=ET$35),AND(ES13&lt;&gt;"",ES13&gt;=ET$35)),"P","")</f>
        <v/>
      </c>
      <c r="H13" s="26" t="str">
        <f>IF(AND(G13="P",F13=""),"No DD",IF(OR(AND(AK13&lt;&gt;"",AK13&gt;=AV$37,AJ13&gt;=AV$34),AND(AM13&lt;&gt;"",AM13&gt;=AV$37,AL13&gt;=AV$34),AND(AQ13&lt;&gt;"",AQ13&gt;=AV$37,AP13&gt;=AV$34),AND(AS13&lt;&gt;"",AS13&gt;=AV$37,AR13&gt;=AV$34),AND(BO13&lt;&gt;"",BO13&gt;=BZ$37,BN13&gt;=BZ$34),AND(BQ13&lt;&gt;"",BQ13&gt;=BZ$37,BP13&gt;=BZ$34),AND(BV13&lt;&gt;"",BV13&gt;=BZ$37,BU13&gt;=BZ$34),AND(BX13&lt;&gt;"",BX13&gt;=BZ$37,BW13&gt;=BZ$34),AND(CX13&lt;&gt;"",CX13&gt;=DK$37,CW13&gt;=DK$34),AND(CZ13&lt;&gt;"",CZ13&gt;=DK$37,CY13&gt;=DK$34),AND(DD13&lt;&gt;"",DD13&gt;=DK$37,DC13&gt;=DK$34),AND(DF13&lt;&gt;"",DF13&gt;=DK$37,DE13&gt;=DK$34),AND(DH13&lt;&gt;"",DH13&gt;=DK$37,DG13&gt;=DK$34),AND(EG13&lt;&gt;"",EG13&gt;=ET$37,EF13&gt;=ET$34),AND(EI13&lt;&gt;"",EI13&gt;=ET$37,EH13&gt;=ET$34),AND(EM13&lt;&gt;"",EM13&gt;=ET$37,EL13&gt;=ET$34),AND(EO13&lt;&gt;"",EO13&gt;=ET$37,EN13&gt;=ET$34),AND(EQ13&lt;&gt;"",EQ13&gt;=ET$37,EP13&gt;=ET$34)),"Performance",IF(I13="P","National Team",IF(F13="P","National Team",""))))</f>
        <v/>
      </c>
      <c r="I13" s="2" t="str">
        <f>IF(COUNTIFS('Senior-W'!B:B,B13,'Senior-W'!A:A,"&lt;9",'Senior-W'!H:H,"&lt;&gt;"&amp;"No DD"),"P","")</f>
        <v/>
      </c>
      <c r="J13" s="7">
        <f t="shared" si="1"/>
        <v>46.7</v>
      </c>
      <c r="K13" s="7" t="str">
        <f t="shared" si="2"/>
        <v>2026 Elite Canada</v>
      </c>
      <c r="L13" s="7">
        <f>IF(J13=AO13,IF(COUNT(AQ13,AS13,BO13,BQ13,BU13,BW13)&gt;1,LARGE((AQ13,AS13,BO13,BQ13,BU13,BW13),1),0),IF(COUNT(AK13,AM13,AQ13,AS13,BU13,BW13)&gt;1,LARGE((AK13,AM13,AQ13,AS13,BU13,BW13),1),0))</f>
        <v>23.599999999999998</v>
      </c>
      <c r="M13" s="7" t="str">
        <f t="shared" si="3"/>
        <v>2026 Elite Canada</v>
      </c>
      <c r="N13" s="7">
        <f>IF(J13=AO13,IF(COUNT(AQ13,AS13,BO13,BQ13,BU13,BW13)&gt;1,LARGE((AQ13,AS13,BO13,BQ13,BU13,BW13),2),0),IF(COUNT(AK13,AM13,AQ13,AS13,BU13,BW13)&gt;1,LARGE((AK13,AM13,AQ13,AS13,BU13,BW13),2),0))</f>
        <v>20.5</v>
      </c>
      <c r="O13" s="7" t="str">
        <f t="shared" si="4"/>
        <v>2026 Elite Canada</v>
      </c>
      <c r="P13" s="7" t="str">
        <f t="shared" si="5"/>
        <v/>
      </c>
      <c r="Q13" s="10" t="str">
        <f t="shared" si="6"/>
        <v/>
      </c>
      <c r="R13" s="7" t="str">
        <f t="shared" si="7"/>
        <v/>
      </c>
      <c r="S13" s="38">
        <v>18.2</v>
      </c>
      <c r="T13" s="38">
        <v>5.2</v>
      </c>
      <c r="U13" s="38">
        <v>0.8</v>
      </c>
      <c r="V13" s="38">
        <v>0.500000000000002</v>
      </c>
      <c r="W13" s="38">
        <v>18.2</v>
      </c>
      <c r="X13" s="38">
        <v>5.6</v>
      </c>
      <c r="Y13" s="38">
        <v>0.2</v>
      </c>
      <c r="Z13" s="38">
        <v>0</v>
      </c>
      <c r="AA13" s="38">
        <v>16.2</v>
      </c>
      <c r="AB13" s="38">
        <v>4.8</v>
      </c>
      <c r="AC13" s="38">
        <v>1</v>
      </c>
      <c r="AD13" s="38">
        <v>0.50000000000000089</v>
      </c>
      <c r="AE13" s="38">
        <v>18.2</v>
      </c>
      <c r="AF13" s="38">
        <v>5.6</v>
      </c>
      <c r="AG13" s="38">
        <v>0.2</v>
      </c>
      <c r="AH13" s="38">
        <v>0</v>
      </c>
      <c r="AI13" s="19"/>
      <c r="AJ13" s="41">
        <f t="shared" si="8"/>
        <v>5.2</v>
      </c>
      <c r="AK13" s="41">
        <f t="shared" si="9"/>
        <v>23.1</v>
      </c>
      <c r="AL13" s="41">
        <f t="shared" si="10"/>
        <v>5.6</v>
      </c>
      <c r="AM13" s="41">
        <f t="shared" si="11"/>
        <v>23.599999999999998</v>
      </c>
      <c r="AN13" s="27">
        <f t="shared" si="12"/>
        <v>10.8</v>
      </c>
      <c r="AO13" s="27">
        <f t="shared" si="13"/>
        <v>46.7</v>
      </c>
      <c r="AP13" s="27">
        <f t="shared" si="14"/>
        <v>4.8</v>
      </c>
      <c r="AQ13" s="27">
        <f t="shared" si="15"/>
        <v>20.5</v>
      </c>
      <c r="AR13" s="27">
        <f t="shared" si="16"/>
        <v>5.6</v>
      </c>
      <c r="AS13" s="27">
        <f t="shared" si="17"/>
        <v>23.599999999999998</v>
      </c>
      <c r="AT13" s="27">
        <f t="shared" si="18"/>
        <v>10.399999999999999</v>
      </c>
      <c r="AU13" s="27">
        <f t="shared" si="19"/>
        <v>44.099999999999994</v>
      </c>
      <c r="AV13" s="27">
        <f t="shared" si="20"/>
        <v>90.8</v>
      </c>
      <c r="AW13" s="15"/>
      <c r="AX13" s="15"/>
      <c r="AY13" s="15"/>
      <c r="AZ13" s="15"/>
      <c r="BA13" s="15"/>
      <c r="BB13" s="15"/>
      <c r="BC13" s="15"/>
      <c r="BD13" s="15"/>
      <c r="BE13" s="15"/>
      <c r="BF13" s="15"/>
      <c r="BG13" s="15"/>
      <c r="BH13" s="15"/>
      <c r="BI13" s="15"/>
      <c r="BJ13" s="15"/>
      <c r="BK13" s="15"/>
      <c r="BL13" s="15"/>
      <c r="BM13" s="20"/>
      <c r="BN13" s="42" t="str">
        <f t="shared" si="21"/>
        <v/>
      </c>
      <c r="BO13" s="42" t="str">
        <f t="shared" si="22"/>
        <v/>
      </c>
      <c r="BP13" s="42" t="str">
        <f t="shared" si="23"/>
        <v/>
      </c>
      <c r="BQ13" s="42" t="str">
        <f t="shared" si="24"/>
        <v/>
      </c>
      <c r="BR13" s="10" t="str">
        <f t="shared" si="25"/>
        <v/>
      </c>
      <c r="BS13" s="10" t="str">
        <f t="shared" si="26"/>
        <v/>
      </c>
      <c r="BT13" s="10" t="str">
        <f t="shared" si="27"/>
        <v/>
      </c>
      <c r="BU13" s="10" t="str">
        <f t="shared" si="28"/>
        <v/>
      </c>
      <c r="BV13" s="10" t="str">
        <f t="shared" si="29"/>
        <v/>
      </c>
      <c r="BW13" s="10" t="str">
        <f t="shared" si="30"/>
        <v/>
      </c>
      <c r="BX13" s="10" t="str">
        <f t="shared" si="31"/>
        <v/>
      </c>
      <c r="BY13" s="10" t="str">
        <f t="shared" si="32"/>
        <v/>
      </c>
      <c r="BZ13" s="10" t="str">
        <f t="shared" si="33"/>
        <v/>
      </c>
      <c r="CA13" s="34" t="str">
        <f t="shared" si="34"/>
        <v/>
      </c>
      <c r="CB13" s="34" t="str">
        <f t="shared" si="35"/>
        <v/>
      </c>
      <c r="CC13" s="14"/>
      <c r="CD13" s="14"/>
      <c r="CE13" s="14"/>
      <c r="CF13" s="14"/>
      <c r="CG13" s="14"/>
      <c r="CH13" s="14"/>
      <c r="CI13" s="14"/>
      <c r="CJ13" s="14"/>
      <c r="CK13" s="14"/>
      <c r="CL13" s="14"/>
      <c r="CM13" s="14"/>
      <c r="CN13" s="14"/>
      <c r="CO13" s="14"/>
      <c r="CP13" s="14"/>
      <c r="CQ13" s="14"/>
      <c r="CR13" s="14"/>
      <c r="CS13" s="14"/>
      <c r="CT13" s="14"/>
      <c r="CU13" s="14"/>
      <c r="CV13" s="14"/>
      <c r="CW13" s="27" t="str">
        <f t="shared" si="36"/>
        <v/>
      </c>
      <c r="CX13" s="27" t="str">
        <f t="shared" si="37"/>
        <v/>
      </c>
      <c r="CY13" s="27" t="str">
        <f t="shared" si="38"/>
        <v/>
      </c>
      <c r="CZ13" s="27" t="str">
        <f t="shared" si="39"/>
        <v/>
      </c>
      <c r="DA13" s="27" t="str">
        <f t="shared" si="40"/>
        <v/>
      </c>
      <c r="DB13" s="27" t="str">
        <f t="shared" si="41"/>
        <v/>
      </c>
      <c r="DC13" s="27" t="str">
        <f t="shared" si="42"/>
        <v/>
      </c>
      <c r="DD13" s="27" t="str">
        <f t="shared" si="43"/>
        <v/>
      </c>
      <c r="DE13" s="27" t="str">
        <f t="shared" si="44"/>
        <v/>
      </c>
      <c r="DF13" s="27" t="str">
        <f t="shared" si="45"/>
        <v/>
      </c>
      <c r="DG13" s="27" t="str">
        <f t="shared" si="46"/>
        <v/>
      </c>
      <c r="DH13" s="27" t="str">
        <f t="shared" si="47"/>
        <v/>
      </c>
      <c r="DI13" s="27" t="str">
        <f t="shared" si="48"/>
        <v/>
      </c>
      <c r="DJ13" s="27" t="str">
        <f t="shared" si="49"/>
        <v/>
      </c>
      <c r="DK13" s="27" t="str">
        <f t="shared" si="50"/>
        <v/>
      </c>
      <c r="DL13" s="15"/>
      <c r="DM13" s="15"/>
      <c r="DN13" s="15"/>
      <c r="DO13" s="15"/>
      <c r="DP13" s="15"/>
      <c r="DQ13" s="15"/>
      <c r="DR13" s="15"/>
      <c r="DS13" s="15"/>
      <c r="DT13" s="15"/>
      <c r="DU13" s="15"/>
      <c r="DV13" s="15"/>
      <c r="DW13" s="15"/>
      <c r="DX13" s="15"/>
      <c r="DY13" s="15"/>
      <c r="DZ13" s="15"/>
      <c r="EA13" s="15"/>
      <c r="EB13" s="15"/>
      <c r="EC13" s="15"/>
      <c r="ED13" s="15"/>
      <c r="EE13" s="15"/>
      <c r="EF13" s="10" t="str">
        <f t="shared" si="51"/>
        <v/>
      </c>
      <c r="EG13" s="10" t="str">
        <f t="shared" si="52"/>
        <v/>
      </c>
      <c r="EH13" s="10" t="str">
        <f t="shared" si="53"/>
        <v/>
      </c>
      <c r="EI13" s="10" t="str">
        <f t="shared" si="54"/>
        <v/>
      </c>
      <c r="EJ13" s="10" t="str">
        <f t="shared" si="55"/>
        <v/>
      </c>
      <c r="EK13" s="10" t="str">
        <f t="shared" si="56"/>
        <v/>
      </c>
      <c r="EL13" s="10" t="str">
        <f t="shared" si="57"/>
        <v/>
      </c>
      <c r="EM13" s="10" t="str">
        <f t="shared" si="58"/>
        <v/>
      </c>
      <c r="EN13" s="10" t="str">
        <f t="shared" si="59"/>
        <v/>
      </c>
      <c r="EO13" s="10" t="str">
        <f t="shared" si="60"/>
        <v/>
      </c>
      <c r="EP13" s="10" t="str">
        <f t="shared" si="61"/>
        <v/>
      </c>
      <c r="EQ13" s="10" t="str">
        <f t="shared" si="62"/>
        <v/>
      </c>
      <c r="ER13" s="10" t="str">
        <f t="shared" si="63"/>
        <v/>
      </c>
      <c r="ES13" s="10" t="str">
        <f t="shared" si="64"/>
        <v/>
      </c>
      <c r="ET13" s="10" t="str">
        <f t="shared" si="65"/>
        <v/>
      </c>
    </row>
    <row r="14" spans="1:150" x14ac:dyDescent="0.2">
      <c r="A14" s="3" t="str" cm="1">
        <f t="array" ref="A14">IF(AND(H14&lt;&gt;"",H14&lt;&gt;"No DD",I14&lt;&gt;"P"),SUMPRODUCT((H$4:H$30&lt;&gt;"")*(H$4:H$30&lt;&gt;"No DD")*(I$4:I$30&lt;&gt;"P")*(E$4:E$30&gt;E14))+1,IF(H14="No DD",SUMPRODUCT((H$4:H$30="No DD")*(I$4:I$30&lt;&gt;"P")*(E$4:E$30&gt;E14))+1+SUMPRODUCT((H$4:H$30&lt;&gt;"")*(I$4:I$30&lt;&gt;"P")*(H$4:H$30&lt;&gt;"No DD")),""))</f>
        <v/>
      </c>
      <c r="B14" s="4" t="s">
        <v>129</v>
      </c>
      <c r="C14" s="3" t="s">
        <v>5</v>
      </c>
      <c r="D14" s="3">
        <v>2009</v>
      </c>
      <c r="E14" s="8">
        <f t="shared" si="0"/>
        <v>90.500006890004542</v>
      </c>
      <c r="F14" s="2" t="str">
        <f>IF(OR(AND(AO14&lt;&gt;"",AO14&gt;=AV$35,AN14&gt;=AV$32),AND(AU14&lt;&gt;"",AU14&gt;=AV$35,AT14&gt;=AV$32),AND(BS14&lt;&gt;"",BS14&gt;=BZ$35,BR14&gt;=BZ$32),AND(BY14&lt;&gt;"",BY14&gt;=BZ$35,BX14&gt;=BZ$32),AND(DB14&lt;&gt;"",DB14&gt;=DK$35,DA14&gt;=DK$32),AND(DJ14&lt;&gt;"",DJ14&gt;=DK$35,DI14&gt;=DK$32),AND(EK14&lt;&gt;"",EK14&gt;=ET$35,EJ14&gt;=ET$32),AND(ES14&lt;&gt;"",ES14&gt;=ET$35,ER14&gt;=ET$32)),"P","")</f>
        <v/>
      </c>
      <c r="G14" s="2" t="str">
        <f>IF(OR(AND(AO14&lt;&gt;"",AO14&gt;=AV$35),AND(AU14&lt;&gt;"",AU14&gt;=AV$35),AND(BS14&lt;&gt;"",BS14&gt;=BZ$35),AND(BY14&lt;&gt;"",BY14&gt;=BZ$35),AND(DB14&lt;&gt;"",DB14&gt;=DK$35),AND(DJ14&lt;&gt;"",DJ14&gt;=DK$35),AND(EK14&lt;&gt;"",EK14&gt;=ET$35),AND(ES14&lt;&gt;"",ES14&gt;=ET$35)),"P","")</f>
        <v/>
      </c>
      <c r="H14" s="26" t="str">
        <f>IF(AND(G14="P",F14=""),"No DD",IF(OR(AND(AK14&lt;&gt;"",AK14&gt;=AV$37,AJ14&gt;=AV$34),AND(AM14&lt;&gt;"",AM14&gt;=AV$37,AL14&gt;=AV$34),AND(AQ14&lt;&gt;"",AQ14&gt;=AV$37,AP14&gt;=AV$34),AND(AS14&lt;&gt;"",AS14&gt;=AV$37,AR14&gt;=AV$34),AND(BO14&lt;&gt;"",BO14&gt;=BZ$37,BN14&gt;=BZ$34),AND(BQ14&lt;&gt;"",BQ14&gt;=BZ$37,BP14&gt;=BZ$34),AND(BV14&lt;&gt;"",BV14&gt;=BZ$37,BU14&gt;=BZ$34),AND(BX14&lt;&gt;"",BX14&gt;=BZ$37,BW14&gt;=BZ$34),AND(CX14&lt;&gt;"",CX14&gt;=DK$37,CW14&gt;=DK$34),AND(CZ14&lt;&gt;"",CZ14&gt;=DK$37,CY14&gt;=DK$34),AND(DD14&lt;&gt;"",DD14&gt;=DK$37,DC14&gt;=DK$34),AND(DF14&lt;&gt;"",DF14&gt;=DK$37,DE14&gt;=DK$34),AND(DH14&lt;&gt;"",DH14&gt;=DK$37,DG14&gt;=DK$34),AND(EG14&lt;&gt;"",EG14&gt;=ET$37,EF14&gt;=ET$34),AND(EI14&lt;&gt;"",EI14&gt;=ET$37,EH14&gt;=ET$34),AND(EM14&lt;&gt;"",EM14&gt;=ET$37,EL14&gt;=ET$34),AND(EO14&lt;&gt;"",EO14&gt;=ET$37,EN14&gt;=ET$34),AND(EQ14&lt;&gt;"",EQ14&gt;=ET$37,EP14&gt;=ET$34)),"Performance",IF(I14="P","National Team",IF(F14="P","National Team",""))))</f>
        <v/>
      </c>
      <c r="I14" s="2" t="str">
        <f>IF(COUNTIFS('Senior-W'!B:B,B14,'Senior-W'!A:A,"&lt;9",'Senior-W'!H:H,"&lt;&gt;"&amp;"No DD"),"P","")</f>
        <v/>
      </c>
      <c r="J14" s="7">
        <f t="shared" si="1"/>
        <v>45.5</v>
      </c>
      <c r="K14" s="7" t="str">
        <f t="shared" si="2"/>
        <v>2026 Elite Canada</v>
      </c>
      <c r="L14" s="7">
        <f>IF(J14=AO14,IF(COUNT(AQ14,AS14,BO14,BQ14,BU14,BW14)&gt;1,LARGE((AQ14,AS14,BO14,BQ14,BU14,BW14),1),0),IF(COUNT(AK14,AM14,AQ14,AS14,BU14,BW14)&gt;1,LARGE((AK14,AM14,AQ14,AS14,BU14,BW14),1),0))</f>
        <v>23.4</v>
      </c>
      <c r="M14" s="7" t="str">
        <f t="shared" si="3"/>
        <v>2026 Elite Canada</v>
      </c>
      <c r="N14" s="7">
        <f>IF(J14=AO14,IF(COUNT(AQ14,AS14,BO14,BQ14,BU14,BW14)&gt;1,LARGE((AQ14,AS14,BO14,BQ14,BU14,BW14),2),0),IF(COUNT(AK14,AM14,AQ14,AS14,BU14,BW14)&gt;1,LARGE((AK14,AM14,AQ14,AS14,BU14,BW14),2),0))</f>
        <v>21</v>
      </c>
      <c r="O14" s="7" t="str">
        <f t="shared" si="4"/>
        <v>2026 Elite Canada</v>
      </c>
      <c r="P14" s="7">
        <f t="shared" si="5"/>
        <v>0.60000000000000142</v>
      </c>
      <c r="Q14" s="10" t="str">
        <f t="shared" si="6"/>
        <v>(Pass)</v>
      </c>
      <c r="R14" s="7" t="str">
        <f t="shared" si="7"/>
        <v>2025 WAGC (Nov 16)</v>
      </c>
      <c r="S14" s="38">
        <v>18</v>
      </c>
      <c r="T14" s="38">
        <v>4.4000000000000004</v>
      </c>
      <c r="U14" s="38">
        <v>0</v>
      </c>
      <c r="V14" s="38">
        <v>0</v>
      </c>
      <c r="W14" s="38">
        <v>18.2</v>
      </c>
      <c r="X14" s="38">
        <v>5.2</v>
      </c>
      <c r="Y14" s="38">
        <v>0.8</v>
      </c>
      <c r="Z14" s="38">
        <v>0.500000000000002</v>
      </c>
      <c r="AA14" s="38">
        <v>16.600000000000001</v>
      </c>
      <c r="AB14" s="38">
        <v>5.2</v>
      </c>
      <c r="AC14" s="38">
        <v>0.8</v>
      </c>
      <c r="AD14" s="38">
        <v>0</v>
      </c>
      <c r="AE14" s="38">
        <v>17.899999999999999</v>
      </c>
      <c r="AF14" s="38">
        <v>5.2</v>
      </c>
      <c r="AG14" s="38">
        <v>0.2</v>
      </c>
      <c r="AH14" s="38">
        <v>0.49999999999999983</v>
      </c>
      <c r="AI14" s="19"/>
      <c r="AJ14" s="41">
        <f t="shared" si="8"/>
        <v>4.4000000000000004</v>
      </c>
      <c r="AK14" s="41">
        <f t="shared" si="9"/>
        <v>22.4</v>
      </c>
      <c r="AL14" s="41">
        <f t="shared" si="10"/>
        <v>5.2</v>
      </c>
      <c r="AM14" s="41">
        <f t="shared" si="11"/>
        <v>23.1</v>
      </c>
      <c r="AN14" s="27">
        <f t="shared" si="12"/>
        <v>9.6000000000000014</v>
      </c>
      <c r="AO14" s="27">
        <f t="shared" si="13"/>
        <v>45.5</v>
      </c>
      <c r="AP14" s="27">
        <f t="shared" si="14"/>
        <v>5.2</v>
      </c>
      <c r="AQ14" s="27">
        <f t="shared" si="15"/>
        <v>21</v>
      </c>
      <c r="AR14" s="27">
        <f t="shared" si="16"/>
        <v>5.2</v>
      </c>
      <c r="AS14" s="27">
        <f t="shared" si="17"/>
        <v>23.4</v>
      </c>
      <c r="AT14" s="27">
        <f t="shared" si="18"/>
        <v>10.4</v>
      </c>
      <c r="AU14" s="27">
        <f t="shared" si="19"/>
        <v>44.4</v>
      </c>
      <c r="AV14" s="27">
        <f t="shared" si="20"/>
        <v>89.9</v>
      </c>
      <c r="AW14" s="15"/>
      <c r="AX14" s="15"/>
      <c r="AY14" s="15"/>
      <c r="AZ14" s="15"/>
      <c r="BA14" s="15"/>
      <c r="BB14" s="15"/>
      <c r="BC14" s="15"/>
      <c r="BD14" s="15"/>
      <c r="BE14" s="15"/>
      <c r="BF14" s="15"/>
      <c r="BG14" s="15"/>
      <c r="BH14" s="15"/>
      <c r="BI14" s="15"/>
      <c r="BJ14" s="15"/>
      <c r="BK14" s="15"/>
      <c r="BL14" s="15"/>
      <c r="BM14" s="20"/>
      <c r="BN14" s="42" t="str">
        <f t="shared" si="21"/>
        <v/>
      </c>
      <c r="BO14" s="42" t="str">
        <f t="shared" si="22"/>
        <v/>
      </c>
      <c r="BP14" s="42" t="str">
        <f t="shared" si="23"/>
        <v/>
      </c>
      <c r="BQ14" s="42" t="str">
        <f t="shared" si="24"/>
        <v/>
      </c>
      <c r="BR14" s="10" t="str">
        <f t="shared" si="25"/>
        <v/>
      </c>
      <c r="BS14" s="10" t="str">
        <f t="shared" si="26"/>
        <v/>
      </c>
      <c r="BT14" s="10" t="str">
        <f t="shared" si="27"/>
        <v/>
      </c>
      <c r="BU14" s="10" t="str">
        <f t="shared" si="28"/>
        <v/>
      </c>
      <c r="BV14" s="10" t="str">
        <f t="shared" si="29"/>
        <v/>
      </c>
      <c r="BW14" s="10" t="str">
        <f t="shared" si="30"/>
        <v/>
      </c>
      <c r="BX14" s="10" t="str">
        <f t="shared" si="31"/>
        <v/>
      </c>
      <c r="BY14" s="10" t="str">
        <f t="shared" si="32"/>
        <v/>
      </c>
      <c r="BZ14" s="10" t="str">
        <f t="shared" si="33"/>
        <v/>
      </c>
      <c r="CA14" s="34" t="str">
        <f t="shared" si="34"/>
        <v/>
      </c>
      <c r="CB14" s="34">
        <f t="shared" si="35"/>
        <v>0.60000000000000142</v>
      </c>
      <c r="CC14" s="14"/>
      <c r="CD14" s="14"/>
      <c r="CE14" s="14"/>
      <c r="CF14" s="14"/>
      <c r="CG14" s="14"/>
      <c r="CH14" s="14"/>
      <c r="CI14" s="14"/>
      <c r="CJ14" s="14"/>
      <c r="CK14" s="14"/>
      <c r="CL14" s="14"/>
      <c r="CM14" s="14"/>
      <c r="CN14" s="14"/>
      <c r="CO14" s="14"/>
      <c r="CP14" s="14"/>
      <c r="CQ14" s="14"/>
      <c r="CR14" s="14"/>
      <c r="CS14" s="14"/>
      <c r="CT14" s="14"/>
      <c r="CU14" s="14"/>
      <c r="CV14" s="14"/>
      <c r="CW14" s="27" t="str">
        <f t="shared" si="36"/>
        <v/>
      </c>
      <c r="CX14" s="27" t="str">
        <f t="shared" si="37"/>
        <v/>
      </c>
      <c r="CY14" s="27" t="str">
        <f t="shared" si="38"/>
        <v/>
      </c>
      <c r="CZ14" s="27" t="str">
        <f t="shared" si="39"/>
        <v/>
      </c>
      <c r="DA14" s="27" t="str">
        <f t="shared" si="40"/>
        <v/>
      </c>
      <c r="DB14" s="27" t="str">
        <f t="shared" si="41"/>
        <v/>
      </c>
      <c r="DC14" s="27" t="str">
        <f t="shared" si="42"/>
        <v/>
      </c>
      <c r="DD14" s="27" t="str">
        <f t="shared" si="43"/>
        <v/>
      </c>
      <c r="DE14" s="27" t="str">
        <f t="shared" si="44"/>
        <v/>
      </c>
      <c r="DF14" s="27" t="str">
        <f t="shared" si="45"/>
        <v/>
      </c>
      <c r="DG14" s="27" t="str">
        <f t="shared" si="46"/>
        <v/>
      </c>
      <c r="DH14" s="27" t="str">
        <f t="shared" si="47"/>
        <v/>
      </c>
      <c r="DI14" s="27" t="str">
        <f t="shared" si="48"/>
        <v/>
      </c>
      <c r="DJ14" s="27" t="str">
        <f t="shared" si="49"/>
        <v/>
      </c>
      <c r="DK14" s="27" t="str">
        <f t="shared" si="50"/>
        <v/>
      </c>
      <c r="DL14" s="15">
        <v>15.2</v>
      </c>
      <c r="DM14" s="15">
        <v>2.4</v>
      </c>
      <c r="DN14" s="15">
        <v>0</v>
      </c>
      <c r="DO14" s="15">
        <v>0</v>
      </c>
      <c r="DP14" s="15">
        <v>17.8</v>
      </c>
      <c r="DQ14" s="15">
        <v>4.8</v>
      </c>
      <c r="DR14" s="15">
        <v>1</v>
      </c>
      <c r="DS14" s="15">
        <v>0</v>
      </c>
      <c r="DT14" s="15"/>
      <c r="DU14" s="15"/>
      <c r="DV14" s="15"/>
      <c r="DW14" s="15"/>
      <c r="DX14" s="15"/>
      <c r="DY14" s="15"/>
      <c r="DZ14" s="15"/>
      <c r="EA14" s="15"/>
      <c r="EB14" s="15"/>
      <c r="EC14" s="15"/>
      <c r="ED14" s="15"/>
      <c r="EE14" s="15"/>
      <c r="EF14" s="10">
        <f t="shared" si="51"/>
        <v>2.4</v>
      </c>
      <c r="EG14" s="10">
        <f t="shared" si="52"/>
        <v>17.599999999999998</v>
      </c>
      <c r="EH14" s="10">
        <f t="shared" si="53"/>
        <v>4.8</v>
      </c>
      <c r="EI14" s="10">
        <f t="shared" si="54"/>
        <v>21.6</v>
      </c>
      <c r="EJ14" s="10">
        <f t="shared" si="55"/>
        <v>7.1999999999999993</v>
      </c>
      <c r="EK14" s="10">
        <f t="shared" si="56"/>
        <v>39.200000000000003</v>
      </c>
      <c r="EL14" s="10" t="str">
        <f t="shared" si="57"/>
        <v/>
      </c>
      <c r="EM14" s="10" t="str">
        <f t="shared" si="58"/>
        <v/>
      </c>
      <c r="EN14" s="10" t="str">
        <f t="shared" si="59"/>
        <v/>
      </c>
      <c r="EO14" s="10" t="str">
        <f t="shared" si="60"/>
        <v/>
      </c>
      <c r="EP14" s="10" t="str">
        <f t="shared" si="61"/>
        <v/>
      </c>
      <c r="EQ14" s="10" t="str">
        <f t="shared" si="62"/>
        <v/>
      </c>
      <c r="ER14" s="10" t="str">
        <f t="shared" si="63"/>
        <v/>
      </c>
      <c r="ES14" s="10" t="str">
        <f t="shared" si="64"/>
        <v/>
      </c>
      <c r="ET14" s="10">
        <f t="shared" si="65"/>
        <v>39.200000000000003</v>
      </c>
    </row>
    <row r="15" spans="1:150" x14ac:dyDescent="0.2">
      <c r="A15" s="3" t="str" cm="1">
        <f t="array" ref="A15">IF(AND(H15&lt;&gt;"",H15&lt;&gt;"No DD",I15&lt;&gt;"P"),SUMPRODUCT((H$4:H$30&lt;&gt;"")*(H$4:H$30&lt;&gt;"No DD")*(I$4:I$30&lt;&gt;"P")*(E$4:E$30&gt;E15))+1,IF(H15="No DD",SUMPRODUCT((H$4:H$30="No DD")*(I$4:I$30&lt;&gt;"P")*(E$4:E$30&gt;E15))+1+SUMPRODUCT((H$4:H$30&lt;&gt;"")*(I$4:I$30&lt;&gt;"P")*(H$4:H$30&lt;&gt;"No DD")),""))</f>
        <v/>
      </c>
      <c r="B15" s="4" t="s">
        <v>114</v>
      </c>
      <c r="C15" s="3" t="s">
        <v>5</v>
      </c>
      <c r="D15" s="3">
        <v>2005</v>
      </c>
      <c r="E15" s="8">
        <f t="shared" si="0"/>
        <v>88.300007060004688</v>
      </c>
      <c r="F15" s="2" t="str">
        <f>IF(OR(AND(AO15&lt;&gt;"",AO15&gt;=AV$35,AN15&gt;=AV$32),AND(AU15&lt;&gt;"",AU15&gt;=AV$35,AT15&gt;=AV$32),AND(BS15&lt;&gt;"",BS15&gt;=BZ$35,BR15&gt;=BZ$32),AND(BY15&lt;&gt;"",BY15&gt;=BZ$35,BX15&gt;=BZ$32),AND(DB15&lt;&gt;"",DB15&gt;=DK$35,DA15&gt;=DK$32),AND(DJ15&lt;&gt;"",DJ15&gt;=DK$35,DI15&gt;=DK$32),AND(EK15&lt;&gt;"",EK15&gt;=ET$35,EJ15&gt;=ET$32),AND(ES15&lt;&gt;"",ES15&gt;=ET$35,ER15&gt;=ET$32)),"P","")</f>
        <v/>
      </c>
      <c r="G15" s="2" t="str">
        <f>IF(OR(AND(AO15&lt;&gt;"",AO15&gt;=AV$35),AND(AU15&lt;&gt;"",AU15&gt;=AV$35),AND(BS15&lt;&gt;"",BS15&gt;=BZ$35),AND(BY15&lt;&gt;"",BY15&gt;=BZ$35),AND(DB15&lt;&gt;"",DB15&gt;=DK$35),AND(DJ15&lt;&gt;"",DJ15&gt;=DK$35),AND(EK15&lt;&gt;"",EK15&gt;=ET$35),AND(ES15&lt;&gt;"",ES15&gt;=ET$35)),"P","")</f>
        <v/>
      </c>
      <c r="H15" s="26" t="str">
        <f>IF(AND(G15="P",F15=""),"No DD",IF(OR(AND(AK15&lt;&gt;"",AK15&gt;=AV$37,AJ15&gt;=AV$34),AND(AM15&lt;&gt;"",AM15&gt;=AV$37,AL15&gt;=AV$34),AND(AQ15&lt;&gt;"",AQ15&gt;=AV$37,AP15&gt;=AV$34),AND(AS15&lt;&gt;"",AS15&gt;=AV$37,AR15&gt;=AV$34),AND(BO15&lt;&gt;"",BO15&gt;=BZ$37,BN15&gt;=BZ$34),AND(BQ15&lt;&gt;"",BQ15&gt;=BZ$37,BP15&gt;=BZ$34),AND(BV15&lt;&gt;"",BV15&gt;=BZ$37,BU15&gt;=BZ$34),AND(BX15&lt;&gt;"",BX15&gt;=BZ$37,BW15&gt;=BZ$34),AND(CX15&lt;&gt;"",CX15&gt;=DK$37,CW15&gt;=DK$34),AND(CZ15&lt;&gt;"",CZ15&gt;=DK$37,CY15&gt;=DK$34),AND(DD15&lt;&gt;"",DD15&gt;=DK$37,DC15&gt;=DK$34),AND(DF15&lt;&gt;"",DF15&gt;=DK$37,DE15&gt;=DK$34),AND(DH15&lt;&gt;"",DH15&gt;=DK$37,DG15&gt;=DK$34),AND(EG15&lt;&gt;"",EG15&gt;=ET$37,EF15&gt;=ET$34),AND(EI15&lt;&gt;"",EI15&gt;=ET$37,EH15&gt;=ET$34),AND(EM15&lt;&gt;"",EM15&gt;=ET$37,EL15&gt;=ET$34),AND(EO15&lt;&gt;"",EO15&gt;=ET$37,EN15&gt;=ET$34),AND(EQ15&lt;&gt;"",EQ15&gt;=ET$37,EP15&gt;=ET$34)),"Performance",IF(I15="P","National Team",IF(F15="P","National Team",""))))</f>
        <v/>
      </c>
      <c r="I15" s="2" t="str">
        <f>IF(COUNTIFS('Senior-W'!B:B,B15,'Senior-W'!A:A,"&lt;9",'Senior-W'!H:H,"&lt;&gt;"&amp;"No DD"),"P","")</f>
        <v/>
      </c>
      <c r="J15" s="7">
        <f t="shared" si="1"/>
        <v>46.9</v>
      </c>
      <c r="K15" s="7" t="str">
        <f t="shared" si="2"/>
        <v>2026 Elite Canada</v>
      </c>
      <c r="L15" s="7">
        <f>IF(J15=AO15,IF(COUNT(AQ15,AS15,BO15,BQ15,BU15,BW15)&gt;1,LARGE((AQ15,AS15,BO15,BQ15,BU15,BW15),1),0),IF(COUNT(AK15,AM15,AQ15,AS15,BU15,BW15)&gt;1,LARGE((AK15,AM15,AQ15,AS15,BU15,BW15),1),0))</f>
        <v>23.7</v>
      </c>
      <c r="M15" s="7" t="str">
        <f t="shared" si="3"/>
        <v>2026 Elite Canada</v>
      </c>
      <c r="N15" s="7">
        <f>IF(J15=AO15,IF(COUNT(AQ15,AS15,BO15,BQ15,BU15,BW15)&gt;1,LARGE((AQ15,AS15,BO15,BQ15,BU15,BW15),2),0),IF(COUNT(AK15,AM15,AQ15,AS15,BU15,BW15)&gt;1,LARGE((AK15,AM15,AQ15,AS15,BU15,BW15),2),0))</f>
        <v>17.7</v>
      </c>
      <c r="O15" s="7" t="str">
        <f t="shared" si="4"/>
        <v>2026 Elite Canada</v>
      </c>
      <c r="P15" s="7" t="str">
        <f t="shared" si="5"/>
        <v/>
      </c>
      <c r="Q15" s="10" t="str">
        <f t="shared" si="6"/>
        <v/>
      </c>
      <c r="R15" s="7" t="str">
        <f t="shared" si="7"/>
        <v/>
      </c>
      <c r="S15" s="38">
        <v>18.2</v>
      </c>
      <c r="T15" s="38">
        <v>5.2</v>
      </c>
      <c r="U15" s="38">
        <v>0</v>
      </c>
      <c r="V15" s="38">
        <v>0</v>
      </c>
      <c r="W15" s="38">
        <v>18.3</v>
      </c>
      <c r="X15" s="38">
        <v>5.2</v>
      </c>
      <c r="Y15" s="38">
        <v>0</v>
      </c>
      <c r="Z15" s="38">
        <v>0</v>
      </c>
      <c r="AA15" s="38">
        <v>18.5</v>
      </c>
      <c r="AB15" s="38">
        <v>5.2</v>
      </c>
      <c r="AC15" s="38">
        <v>0</v>
      </c>
      <c r="AD15" s="38">
        <v>0</v>
      </c>
      <c r="AE15" s="38">
        <v>15.1</v>
      </c>
      <c r="AF15" s="38">
        <v>2.8</v>
      </c>
      <c r="AG15" s="38">
        <v>0.2</v>
      </c>
      <c r="AH15" s="38">
        <v>0</v>
      </c>
      <c r="AI15" s="19"/>
      <c r="AJ15" s="41">
        <f t="shared" si="8"/>
        <v>5.2</v>
      </c>
      <c r="AK15" s="41">
        <f t="shared" si="9"/>
        <v>23.4</v>
      </c>
      <c r="AL15" s="41">
        <f t="shared" si="10"/>
        <v>5.2</v>
      </c>
      <c r="AM15" s="41">
        <f t="shared" si="11"/>
        <v>23.5</v>
      </c>
      <c r="AN15" s="27">
        <f t="shared" si="12"/>
        <v>10.4</v>
      </c>
      <c r="AO15" s="27">
        <f t="shared" si="13"/>
        <v>46.9</v>
      </c>
      <c r="AP15" s="27">
        <f t="shared" si="14"/>
        <v>5.2</v>
      </c>
      <c r="AQ15" s="27">
        <f t="shared" si="15"/>
        <v>23.7</v>
      </c>
      <c r="AR15" s="27">
        <f t="shared" si="16"/>
        <v>2.8</v>
      </c>
      <c r="AS15" s="27">
        <f t="shared" si="17"/>
        <v>17.7</v>
      </c>
      <c r="AT15" s="27">
        <f t="shared" si="18"/>
        <v>8</v>
      </c>
      <c r="AU15" s="27">
        <f t="shared" si="19"/>
        <v>41.4</v>
      </c>
      <c r="AV15" s="27">
        <f t="shared" si="20"/>
        <v>88.3</v>
      </c>
      <c r="AW15" s="15"/>
      <c r="AX15" s="15"/>
      <c r="AY15" s="15"/>
      <c r="AZ15" s="15"/>
      <c r="BA15" s="15"/>
      <c r="BB15" s="15"/>
      <c r="BC15" s="15"/>
      <c r="BD15" s="15"/>
      <c r="BE15" s="15"/>
      <c r="BF15" s="15"/>
      <c r="BG15" s="15"/>
      <c r="BH15" s="15"/>
      <c r="BI15" s="15"/>
      <c r="BJ15" s="15"/>
      <c r="BK15" s="15"/>
      <c r="BL15" s="15"/>
      <c r="BM15" s="20"/>
      <c r="BN15" s="42" t="str">
        <f t="shared" si="21"/>
        <v/>
      </c>
      <c r="BO15" s="42" t="str">
        <f t="shared" si="22"/>
        <v/>
      </c>
      <c r="BP15" s="42" t="str">
        <f t="shared" si="23"/>
        <v/>
      </c>
      <c r="BQ15" s="42" t="str">
        <f t="shared" si="24"/>
        <v/>
      </c>
      <c r="BR15" s="10" t="str">
        <f t="shared" si="25"/>
        <v/>
      </c>
      <c r="BS15" s="10" t="str">
        <f t="shared" si="26"/>
        <v/>
      </c>
      <c r="BT15" s="10" t="str">
        <f t="shared" si="27"/>
        <v/>
      </c>
      <c r="BU15" s="10" t="str">
        <f t="shared" si="28"/>
        <v/>
      </c>
      <c r="BV15" s="10" t="str">
        <f t="shared" si="29"/>
        <v/>
      </c>
      <c r="BW15" s="10" t="str">
        <f t="shared" si="30"/>
        <v/>
      </c>
      <c r="BX15" s="10" t="str">
        <f t="shared" si="31"/>
        <v/>
      </c>
      <c r="BY15" s="10" t="str">
        <f t="shared" si="32"/>
        <v/>
      </c>
      <c r="BZ15" s="10" t="str">
        <f t="shared" si="33"/>
        <v/>
      </c>
      <c r="CA15" s="34" t="str">
        <f t="shared" si="34"/>
        <v/>
      </c>
      <c r="CB15" s="34" t="str">
        <f t="shared" si="35"/>
        <v/>
      </c>
      <c r="CC15" s="14"/>
      <c r="CD15" s="14"/>
      <c r="CE15" s="14"/>
      <c r="CF15" s="14"/>
      <c r="CG15" s="14"/>
      <c r="CH15" s="14"/>
      <c r="CI15" s="14"/>
      <c r="CJ15" s="14"/>
      <c r="CK15" s="14"/>
      <c r="CL15" s="14"/>
      <c r="CM15" s="14"/>
      <c r="CN15" s="14"/>
      <c r="CO15" s="14"/>
      <c r="CP15" s="14"/>
      <c r="CQ15" s="14"/>
      <c r="CR15" s="14"/>
      <c r="CS15" s="14"/>
      <c r="CT15" s="14"/>
      <c r="CU15" s="14"/>
      <c r="CV15" s="14"/>
      <c r="CW15" s="27" t="str">
        <f t="shared" si="36"/>
        <v/>
      </c>
      <c r="CX15" s="27" t="str">
        <f t="shared" si="37"/>
        <v/>
      </c>
      <c r="CY15" s="27" t="str">
        <f t="shared" si="38"/>
        <v/>
      </c>
      <c r="CZ15" s="27" t="str">
        <f t="shared" si="39"/>
        <v/>
      </c>
      <c r="DA15" s="27" t="str">
        <f t="shared" si="40"/>
        <v/>
      </c>
      <c r="DB15" s="27" t="str">
        <f t="shared" si="41"/>
        <v/>
      </c>
      <c r="DC15" s="27" t="str">
        <f t="shared" si="42"/>
        <v/>
      </c>
      <c r="DD15" s="27" t="str">
        <f t="shared" si="43"/>
        <v/>
      </c>
      <c r="DE15" s="27" t="str">
        <f t="shared" si="44"/>
        <v/>
      </c>
      <c r="DF15" s="27" t="str">
        <f t="shared" si="45"/>
        <v/>
      </c>
      <c r="DG15" s="27" t="str">
        <f t="shared" si="46"/>
        <v/>
      </c>
      <c r="DH15" s="27" t="str">
        <f t="shared" si="47"/>
        <v/>
      </c>
      <c r="DI15" s="27" t="str">
        <f t="shared" si="48"/>
        <v/>
      </c>
      <c r="DJ15" s="27" t="str">
        <f t="shared" si="49"/>
        <v/>
      </c>
      <c r="DK15" s="27" t="str">
        <f t="shared" si="50"/>
        <v/>
      </c>
      <c r="DL15" s="15"/>
      <c r="DM15" s="15"/>
      <c r="DN15" s="15"/>
      <c r="DO15" s="15"/>
      <c r="DP15" s="15"/>
      <c r="DQ15" s="15"/>
      <c r="DR15" s="15"/>
      <c r="DS15" s="15"/>
      <c r="DT15" s="15"/>
      <c r="DU15" s="15"/>
      <c r="DV15" s="15"/>
      <c r="DW15" s="15"/>
      <c r="DX15" s="15"/>
      <c r="DY15" s="15"/>
      <c r="DZ15" s="15"/>
      <c r="EA15" s="15"/>
      <c r="EB15" s="15"/>
      <c r="EC15" s="15"/>
      <c r="ED15" s="15"/>
      <c r="EE15" s="15"/>
      <c r="EF15" s="10" t="str">
        <f t="shared" si="51"/>
        <v/>
      </c>
      <c r="EG15" s="10" t="str">
        <f t="shared" si="52"/>
        <v/>
      </c>
      <c r="EH15" s="10" t="str">
        <f t="shared" si="53"/>
        <v/>
      </c>
      <c r="EI15" s="10" t="str">
        <f t="shared" si="54"/>
        <v/>
      </c>
      <c r="EJ15" s="10" t="str">
        <f t="shared" si="55"/>
        <v/>
      </c>
      <c r="EK15" s="10" t="str">
        <f t="shared" si="56"/>
        <v/>
      </c>
      <c r="EL15" s="10" t="str">
        <f t="shared" si="57"/>
        <v/>
      </c>
      <c r="EM15" s="10" t="str">
        <f t="shared" si="58"/>
        <v/>
      </c>
      <c r="EN15" s="10" t="str">
        <f t="shared" si="59"/>
        <v/>
      </c>
      <c r="EO15" s="10" t="str">
        <f t="shared" si="60"/>
        <v/>
      </c>
      <c r="EP15" s="10" t="str">
        <f t="shared" si="61"/>
        <v/>
      </c>
      <c r="EQ15" s="10" t="str">
        <f t="shared" si="62"/>
        <v/>
      </c>
      <c r="ER15" s="10" t="str">
        <f t="shared" si="63"/>
        <v/>
      </c>
      <c r="ES15" s="10" t="str">
        <f t="shared" si="64"/>
        <v/>
      </c>
      <c r="ET15" s="10" t="str">
        <f t="shared" si="65"/>
        <v/>
      </c>
    </row>
    <row r="16" spans="1:150" x14ac:dyDescent="0.2">
      <c r="A16" s="3" t="str" cm="1">
        <f t="array" ref="A16">IF(AND(H16&lt;&gt;"",H16&lt;&gt;"No DD",I16&lt;&gt;"P"),SUMPRODUCT((H$4:H$30&lt;&gt;"")*(H$4:H$30&lt;&gt;"No DD")*(I$4:I$30&lt;&gt;"P")*(E$4:E$30&gt;E16))+1,IF(H16="No DD",SUMPRODUCT((H$4:H$30="No DD")*(I$4:I$30&lt;&gt;"P")*(E$4:E$30&gt;E16))+1+SUMPRODUCT((H$4:H$30&lt;&gt;"")*(I$4:I$30&lt;&gt;"P")*(H$4:H$30&lt;&gt;"No DD")),""))</f>
        <v/>
      </c>
      <c r="B16" s="4" t="s">
        <v>132</v>
      </c>
      <c r="C16" s="3" t="s">
        <v>5</v>
      </c>
      <c r="D16" s="3">
        <v>2009</v>
      </c>
      <c r="E16" s="8">
        <f t="shared" si="0"/>
        <v>87.400006560004357</v>
      </c>
      <c r="F16" s="2" t="str">
        <f>IF(OR(AND(AO16&lt;&gt;"",AO16&gt;=AV$35,AN16&gt;=AV$32),AND(AU16&lt;&gt;"",AU16&gt;=AV$35,AT16&gt;=AV$32),AND(BS16&lt;&gt;"",BS16&gt;=BZ$35,BR16&gt;=BZ$32),AND(BY16&lt;&gt;"",BY16&gt;=BZ$35,BX16&gt;=BZ$32),AND(DB16&lt;&gt;"",DB16&gt;=DK$35,DA16&gt;=DK$32),AND(DJ16&lt;&gt;"",DJ16&gt;=DK$35,DI16&gt;=DK$32),AND(EK16&lt;&gt;"",EK16&gt;=ET$35,EJ16&gt;=ET$32),AND(ES16&lt;&gt;"",ES16&gt;=ET$35,ER16&gt;=ET$32)),"P","")</f>
        <v/>
      </c>
      <c r="G16" s="2" t="str">
        <f>IF(OR(AND(AO16&lt;&gt;"",AO16&gt;=AV$35),AND(AU16&lt;&gt;"",AU16&gt;=AV$35),AND(BS16&lt;&gt;"",BS16&gt;=BZ$35),AND(BY16&lt;&gt;"",BY16&gt;=BZ$35),AND(DB16&lt;&gt;"",DB16&gt;=DK$35),AND(DJ16&lt;&gt;"",DJ16&gt;=DK$35),AND(EK16&lt;&gt;"",EK16&gt;=ET$35),AND(ES16&lt;&gt;"",ES16&gt;=ET$35)),"P","")</f>
        <v/>
      </c>
      <c r="H16" s="26" t="str">
        <f>IF(AND(G16="P",F16=""),"No DD",IF(OR(AND(AK16&lt;&gt;"",AK16&gt;=AV$37,AJ16&gt;=AV$34),AND(AM16&lt;&gt;"",AM16&gt;=AV$37,AL16&gt;=AV$34),AND(AQ16&lt;&gt;"",AQ16&gt;=AV$37,AP16&gt;=AV$34),AND(AS16&lt;&gt;"",AS16&gt;=AV$37,AR16&gt;=AV$34),AND(BO16&lt;&gt;"",BO16&gt;=BZ$37,BN16&gt;=BZ$34),AND(BQ16&lt;&gt;"",BQ16&gt;=BZ$37,BP16&gt;=BZ$34),AND(BV16&lt;&gt;"",BV16&gt;=BZ$37,BU16&gt;=BZ$34),AND(BX16&lt;&gt;"",BX16&gt;=BZ$37,BW16&gt;=BZ$34),AND(CX16&lt;&gt;"",CX16&gt;=DK$37,CW16&gt;=DK$34),AND(CZ16&lt;&gt;"",CZ16&gt;=DK$37,CY16&gt;=DK$34),AND(DD16&lt;&gt;"",DD16&gt;=DK$37,DC16&gt;=DK$34),AND(DF16&lt;&gt;"",DF16&gt;=DK$37,DE16&gt;=DK$34),AND(DH16&lt;&gt;"",DH16&gt;=DK$37,DG16&gt;=DK$34),AND(EG16&lt;&gt;"",EG16&gt;=ET$37,EF16&gt;=ET$34),AND(EI16&lt;&gt;"",EI16&gt;=ET$37,EH16&gt;=ET$34),AND(EM16&lt;&gt;"",EM16&gt;=ET$37,EL16&gt;=ET$34),AND(EO16&lt;&gt;"",EO16&gt;=ET$37,EN16&gt;=ET$34),AND(EQ16&lt;&gt;"",EQ16&gt;=ET$37,EP16&gt;=ET$34)),"Performance",IF(I16="P","National Team",IF(F16="P","National Team",""))))</f>
        <v/>
      </c>
      <c r="I16" s="2" t="str">
        <f>IF(COUNTIFS('Senior-W'!B:B,B16,'Senior-W'!A:A,"&lt;9",'Senior-W'!H:H,"&lt;&gt;"&amp;"No DD"),"P","")</f>
        <v/>
      </c>
      <c r="J16" s="7">
        <f t="shared" si="1"/>
        <v>43.6</v>
      </c>
      <c r="K16" s="7" t="str">
        <f t="shared" si="2"/>
        <v>2026 Elite Canada</v>
      </c>
      <c r="L16" s="7">
        <f>IF(J16=AO16,IF(COUNT(AQ16,AS16,BO16,BQ16,BU16,BW16)&gt;1,LARGE((AQ16,AS16,BO16,BQ16,BU16,BW16),1),0),IF(COUNT(AK16,AM16,AQ16,AS16,BU16,BW16)&gt;1,LARGE((AK16,AM16,AQ16,AS16,BU16,BW16),1),0))</f>
        <v>22</v>
      </c>
      <c r="M16" s="7" t="str">
        <f t="shared" si="3"/>
        <v>2026 Elite Canada</v>
      </c>
      <c r="N16" s="7">
        <f>IF(J16=AO16,IF(COUNT(AQ16,AS16,BO16,BQ16,BU16,BW16)&gt;1,LARGE((AQ16,AS16,BO16,BQ16,BU16,BW16),2),0),IF(COUNT(AK16,AM16,AQ16,AS16,BU16,BW16)&gt;1,LARGE((AK16,AM16,AQ16,AS16,BU16,BW16),2),0))</f>
        <v>21.799999999999997</v>
      </c>
      <c r="O16" s="7" t="str">
        <f t="shared" si="4"/>
        <v>2026 Elite Canada</v>
      </c>
      <c r="P16" s="7" t="str">
        <f t="shared" si="5"/>
        <v/>
      </c>
      <c r="Q16" s="10" t="str">
        <f t="shared" si="6"/>
        <v/>
      </c>
      <c r="R16" s="7" t="str">
        <f t="shared" si="7"/>
        <v/>
      </c>
      <c r="S16" s="38">
        <v>18.3</v>
      </c>
      <c r="T16" s="38">
        <v>3.5</v>
      </c>
      <c r="U16" s="38">
        <v>0.2</v>
      </c>
      <c r="V16" s="38">
        <v>0</v>
      </c>
      <c r="W16" s="38">
        <v>17.600000000000001</v>
      </c>
      <c r="X16" s="38">
        <v>4.4000000000000004</v>
      </c>
      <c r="Y16" s="38">
        <v>0</v>
      </c>
      <c r="Z16" s="38">
        <v>0</v>
      </c>
      <c r="AA16" s="38">
        <v>18.7</v>
      </c>
      <c r="AB16" s="38">
        <v>3.5</v>
      </c>
      <c r="AC16" s="38">
        <v>0.2</v>
      </c>
      <c r="AD16" s="38">
        <v>0</v>
      </c>
      <c r="AE16" s="38">
        <v>18</v>
      </c>
      <c r="AF16" s="38">
        <v>4.4000000000000004</v>
      </c>
      <c r="AG16" s="38">
        <v>0.6</v>
      </c>
      <c r="AH16" s="38">
        <v>0</v>
      </c>
      <c r="AI16" s="19"/>
      <c r="AJ16" s="41">
        <f t="shared" si="8"/>
        <v>3.5</v>
      </c>
      <c r="AK16" s="41">
        <f t="shared" si="9"/>
        <v>21.6</v>
      </c>
      <c r="AL16" s="41">
        <f t="shared" si="10"/>
        <v>4.4000000000000004</v>
      </c>
      <c r="AM16" s="41">
        <f t="shared" si="11"/>
        <v>22</v>
      </c>
      <c r="AN16" s="27">
        <f t="shared" si="12"/>
        <v>7.9</v>
      </c>
      <c r="AO16" s="27">
        <f t="shared" si="13"/>
        <v>43.6</v>
      </c>
      <c r="AP16" s="27">
        <f t="shared" si="14"/>
        <v>3.5</v>
      </c>
      <c r="AQ16" s="27">
        <f t="shared" si="15"/>
        <v>22</v>
      </c>
      <c r="AR16" s="27">
        <f t="shared" si="16"/>
        <v>4.4000000000000004</v>
      </c>
      <c r="AS16" s="27">
        <f t="shared" si="17"/>
        <v>21.799999999999997</v>
      </c>
      <c r="AT16" s="27">
        <f t="shared" si="18"/>
        <v>7.9</v>
      </c>
      <c r="AU16" s="27">
        <f t="shared" si="19"/>
        <v>43.8</v>
      </c>
      <c r="AV16" s="27">
        <f t="shared" si="20"/>
        <v>87.4</v>
      </c>
      <c r="AW16" s="15"/>
      <c r="AX16" s="15"/>
      <c r="AY16" s="15"/>
      <c r="AZ16" s="15"/>
      <c r="BA16" s="15"/>
      <c r="BB16" s="15"/>
      <c r="BC16" s="15"/>
      <c r="BD16" s="15"/>
      <c r="BE16" s="15"/>
      <c r="BF16" s="15"/>
      <c r="BG16" s="15"/>
      <c r="BH16" s="15"/>
      <c r="BI16" s="15"/>
      <c r="BJ16" s="15"/>
      <c r="BK16" s="15"/>
      <c r="BL16" s="15"/>
      <c r="BM16" s="20"/>
      <c r="BN16" s="42" t="str">
        <f t="shared" si="21"/>
        <v/>
      </c>
      <c r="BO16" s="42" t="str">
        <f t="shared" si="22"/>
        <v/>
      </c>
      <c r="BP16" s="42" t="str">
        <f t="shared" si="23"/>
        <v/>
      </c>
      <c r="BQ16" s="42" t="str">
        <f t="shared" si="24"/>
        <v/>
      </c>
      <c r="BR16" s="10" t="str">
        <f t="shared" si="25"/>
        <v/>
      </c>
      <c r="BS16" s="10" t="str">
        <f t="shared" si="26"/>
        <v/>
      </c>
      <c r="BT16" s="10" t="str">
        <f t="shared" si="27"/>
        <v/>
      </c>
      <c r="BU16" s="10" t="str">
        <f t="shared" si="28"/>
        <v/>
      </c>
      <c r="BV16" s="10" t="str">
        <f t="shared" si="29"/>
        <v/>
      </c>
      <c r="BW16" s="10" t="str">
        <f t="shared" si="30"/>
        <v/>
      </c>
      <c r="BX16" s="10" t="str">
        <f t="shared" si="31"/>
        <v/>
      </c>
      <c r="BY16" s="10" t="str">
        <f t="shared" si="32"/>
        <v/>
      </c>
      <c r="BZ16" s="10" t="str">
        <f t="shared" si="33"/>
        <v/>
      </c>
      <c r="CA16" s="34" t="str">
        <f t="shared" si="34"/>
        <v/>
      </c>
      <c r="CB16" s="34" t="str">
        <f t="shared" si="35"/>
        <v/>
      </c>
      <c r="CC16" s="14"/>
      <c r="CD16" s="14"/>
      <c r="CE16" s="14"/>
      <c r="CF16" s="14"/>
      <c r="CG16" s="14"/>
      <c r="CH16" s="14"/>
      <c r="CI16" s="14"/>
      <c r="CJ16" s="14"/>
      <c r="CK16" s="14"/>
      <c r="CL16" s="14"/>
      <c r="CM16" s="14"/>
      <c r="CN16" s="14"/>
      <c r="CO16" s="14"/>
      <c r="CP16" s="14"/>
      <c r="CQ16" s="14"/>
      <c r="CR16" s="14"/>
      <c r="CS16" s="14"/>
      <c r="CT16" s="14"/>
      <c r="CU16" s="14"/>
      <c r="CV16" s="14"/>
      <c r="CW16" s="27" t="str">
        <f t="shared" si="36"/>
        <v/>
      </c>
      <c r="CX16" s="27" t="str">
        <f t="shared" si="37"/>
        <v/>
      </c>
      <c r="CY16" s="27" t="str">
        <f t="shared" si="38"/>
        <v/>
      </c>
      <c r="CZ16" s="27" t="str">
        <f t="shared" si="39"/>
        <v/>
      </c>
      <c r="DA16" s="27" t="str">
        <f t="shared" si="40"/>
        <v/>
      </c>
      <c r="DB16" s="27" t="str">
        <f t="shared" si="41"/>
        <v/>
      </c>
      <c r="DC16" s="27" t="str">
        <f t="shared" si="42"/>
        <v/>
      </c>
      <c r="DD16" s="27" t="str">
        <f t="shared" si="43"/>
        <v/>
      </c>
      <c r="DE16" s="27" t="str">
        <f t="shared" si="44"/>
        <v/>
      </c>
      <c r="DF16" s="27" t="str">
        <f t="shared" si="45"/>
        <v/>
      </c>
      <c r="DG16" s="27" t="str">
        <f t="shared" si="46"/>
        <v/>
      </c>
      <c r="DH16" s="27" t="str">
        <f t="shared" si="47"/>
        <v/>
      </c>
      <c r="DI16" s="27" t="str">
        <f t="shared" si="48"/>
        <v/>
      </c>
      <c r="DJ16" s="27" t="str">
        <f t="shared" si="49"/>
        <v/>
      </c>
      <c r="DK16" s="27" t="str">
        <f t="shared" si="50"/>
        <v/>
      </c>
      <c r="DL16" s="15"/>
      <c r="DM16" s="15"/>
      <c r="DN16" s="15"/>
      <c r="DO16" s="15"/>
      <c r="DP16" s="15"/>
      <c r="DQ16" s="15"/>
      <c r="DR16" s="15"/>
      <c r="DS16" s="15"/>
      <c r="DT16" s="15"/>
      <c r="DU16" s="15"/>
      <c r="DV16" s="15"/>
      <c r="DW16" s="15"/>
      <c r="DX16" s="15"/>
      <c r="DY16" s="15"/>
      <c r="DZ16" s="15"/>
      <c r="EA16" s="15"/>
      <c r="EB16" s="15"/>
      <c r="EC16" s="15"/>
      <c r="ED16" s="15"/>
      <c r="EE16" s="15"/>
      <c r="EF16" s="10" t="str">
        <f t="shared" si="51"/>
        <v/>
      </c>
      <c r="EG16" s="10" t="str">
        <f t="shared" si="52"/>
        <v/>
      </c>
      <c r="EH16" s="10" t="str">
        <f t="shared" si="53"/>
        <v/>
      </c>
      <c r="EI16" s="10" t="str">
        <f t="shared" si="54"/>
        <v/>
      </c>
      <c r="EJ16" s="10" t="str">
        <f t="shared" si="55"/>
        <v/>
      </c>
      <c r="EK16" s="10" t="str">
        <f t="shared" si="56"/>
        <v/>
      </c>
      <c r="EL16" s="10" t="str">
        <f t="shared" si="57"/>
        <v/>
      </c>
      <c r="EM16" s="10" t="str">
        <f t="shared" si="58"/>
        <v/>
      </c>
      <c r="EN16" s="10" t="str">
        <f t="shared" si="59"/>
        <v/>
      </c>
      <c r="EO16" s="10" t="str">
        <f t="shared" si="60"/>
        <v/>
      </c>
      <c r="EP16" s="10" t="str">
        <f t="shared" si="61"/>
        <v/>
      </c>
      <c r="EQ16" s="10" t="str">
        <f t="shared" si="62"/>
        <v/>
      </c>
      <c r="ER16" s="10" t="str">
        <f t="shared" si="63"/>
        <v/>
      </c>
      <c r="ES16" s="10" t="str">
        <f t="shared" si="64"/>
        <v/>
      </c>
      <c r="ET16" s="10" t="str">
        <f t="shared" si="65"/>
        <v/>
      </c>
    </row>
    <row r="17" spans="1:150" x14ac:dyDescent="0.2">
      <c r="A17" s="3" t="str" cm="1">
        <f t="array" ref="A17">IF(AND(H17&lt;&gt;"",H17&lt;&gt;"No DD",I17&lt;&gt;"P"),SUMPRODUCT((H$4:H$30&lt;&gt;"")*(H$4:H$30&lt;&gt;"No DD")*(I$4:I$30&lt;&gt;"P")*(E$4:E$30&gt;E17))+1,IF(H17="No DD",SUMPRODUCT((H$4:H$30="No DD")*(I$4:I$30&lt;&gt;"P")*(E$4:E$30&gt;E17))+1+SUMPRODUCT((H$4:H$30&lt;&gt;"")*(I$4:I$30&lt;&gt;"P")*(H$4:H$30&lt;&gt;"No DD")),""))</f>
        <v/>
      </c>
      <c r="B17" s="4" t="s">
        <v>138</v>
      </c>
      <c r="C17" s="3" t="s">
        <v>4</v>
      </c>
      <c r="D17" s="3">
        <v>2006</v>
      </c>
      <c r="E17" s="8">
        <f t="shared" si="0"/>
        <v>86.200006580004498</v>
      </c>
      <c r="F17" s="2" t="str">
        <f>IF(OR(AND(AO17&lt;&gt;"",AO17&gt;=AV$35,AN17&gt;=AV$32),AND(AU17&lt;&gt;"",AU17&gt;=AV$35,AT17&gt;=AV$32),AND(BS17&lt;&gt;"",BS17&gt;=BZ$35,BR17&gt;=BZ$32),AND(BY17&lt;&gt;"",BY17&gt;=BZ$35,BX17&gt;=BZ$32),AND(DB17&lt;&gt;"",DB17&gt;=DK$35,DA17&gt;=DK$32),AND(DJ17&lt;&gt;"",DJ17&gt;=DK$35,DI17&gt;=DK$32),AND(EK17&lt;&gt;"",EK17&gt;=ET$35,EJ17&gt;=ET$32),AND(ES17&lt;&gt;"",ES17&gt;=ET$35,ER17&gt;=ET$32)),"P","")</f>
        <v/>
      </c>
      <c r="G17" s="2" t="str">
        <f>IF(OR(AND(AO17&lt;&gt;"",AO17&gt;=AV$35),AND(AU17&lt;&gt;"",AU17&gt;=AV$35),AND(BS17&lt;&gt;"",BS17&gt;=BZ$35),AND(BY17&lt;&gt;"",BY17&gt;=BZ$35),AND(DB17&lt;&gt;"",DB17&gt;=DK$35),AND(DJ17&lt;&gt;"",DJ17&gt;=DK$35),AND(EK17&lt;&gt;"",EK17&gt;=ET$35),AND(ES17&lt;&gt;"",ES17&gt;=ET$35)),"P","")</f>
        <v/>
      </c>
      <c r="H17" s="26" t="str">
        <f>IF(AND(G17="P",F17=""),"No DD",IF(OR(AND(AK17&lt;&gt;"",AK17&gt;=AV$37,AJ17&gt;=AV$34),AND(AM17&lt;&gt;"",AM17&gt;=AV$37,AL17&gt;=AV$34),AND(AQ17&lt;&gt;"",AQ17&gt;=AV$37,AP17&gt;=AV$34),AND(AS17&lt;&gt;"",AS17&gt;=AV$37,AR17&gt;=AV$34),AND(BO17&lt;&gt;"",BO17&gt;=BZ$37,BN17&gt;=BZ$34),AND(BQ17&lt;&gt;"",BQ17&gt;=BZ$37,BP17&gt;=BZ$34),AND(BV17&lt;&gt;"",BV17&gt;=BZ$37,BU17&gt;=BZ$34),AND(BX17&lt;&gt;"",BX17&gt;=BZ$37,BW17&gt;=BZ$34),AND(CX17&lt;&gt;"",CX17&gt;=DK$37,CW17&gt;=DK$34),AND(CZ17&lt;&gt;"",CZ17&gt;=DK$37,CY17&gt;=DK$34),AND(DD17&lt;&gt;"",DD17&gt;=DK$37,DC17&gt;=DK$34),AND(DF17&lt;&gt;"",DF17&gt;=DK$37,DE17&gt;=DK$34),AND(DH17&lt;&gt;"",DH17&gt;=DK$37,DG17&gt;=DK$34),AND(EG17&lt;&gt;"",EG17&gt;=ET$37,EF17&gt;=ET$34),AND(EI17&lt;&gt;"",EI17&gt;=ET$37,EH17&gt;=ET$34),AND(EM17&lt;&gt;"",EM17&gt;=ET$37,EL17&gt;=ET$34),AND(EO17&lt;&gt;"",EO17&gt;=ET$37,EN17&gt;=ET$34),AND(EQ17&lt;&gt;"",EQ17&gt;=ET$37,EP17&gt;=ET$34)),"Performance",IF(I17="P","National Team",IF(F17="P","National Team",""))))</f>
        <v/>
      </c>
      <c r="I17" s="2" t="str">
        <f>IF(COUNTIFS('Senior-W'!B:B,B17,'Senior-W'!A:A,"&lt;9",'Senior-W'!H:H,"&lt;&gt;"&amp;"No DD"),"P","")</f>
        <v/>
      </c>
      <c r="J17" s="7">
        <f t="shared" si="1"/>
        <v>44.7</v>
      </c>
      <c r="K17" s="7" t="str">
        <f t="shared" si="2"/>
        <v>2026 Elite Canada</v>
      </c>
      <c r="L17" s="7">
        <f>IF(J17=AO17,IF(COUNT(AQ17,AS17,BO17,BQ17,BU17,BW17)&gt;1,LARGE((AQ17,AS17,BO17,BQ17,BU17,BW17),1),0),IF(COUNT(AK17,AM17,AQ17,AS17,BU17,BW17)&gt;1,LARGE((AK17,AM17,AQ17,AS17,BU17,BW17),1),0))</f>
        <v>21.1</v>
      </c>
      <c r="M17" s="7" t="str">
        <f t="shared" si="3"/>
        <v>2026 Elite Canada</v>
      </c>
      <c r="N17" s="7">
        <f>IF(J17=AO17,IF(COUNT(AQ17,AS17,BO17,BQ17,BU17,BW17)&gt;1,LARGE((AQ17,AS17,BO17,BQ17,BU17,BW17),2),0),IF(COUNT(AK17,AM17,AQ17,AS17,BU17,BW17)&gt;1,LARGE((AK17,AM17,AQ17,AS17,BU17,BW17),2),0))</f>
        <v>20.400000000000002</v>
      </c>
      <c r="O17" s="7" t="str">
        <f t="shared" si="4"/>
        <v>2026 Elite Canada</v>
      </c>
      <c r="P17" s="7" t="str">
        <f t="shared" si="5"/>
        <v/>
      </c>
      <c r="Q17" s="10" t="str">
        <f t="shared" si="6"/>
        <v/>
      </c>
      <c r="R17" s="7" t="str">
        <f t="shared" si="7"/>
        <v/>
      </c>
      <c r="S17" s="38">
        <v>19.100000000000001</v>
      </c>
      <c r="T17" s="38">
        <v>3.5</v>
      </c>
      <c r="U17" s="38">
        <v>0</v>
      </c>
      <c r="V17" s="38">
        <v>0</v>
      </c>
      <c r="W17" s="38">
        <v>18.3</v>
      </c>
      <c r="X17" s="38">
        <v>4.4000000000000004</v>
      </c>
      <c r="Y17" s="38">
        <v>0.6</v>
      </c>
      <c r="Z17" s="38">
        <v>0</v>
      </c>
      <c r="AA17" s="38">
        <v>18.600000000000001</v>
      </c>
      <c r="AB17" s="38">
        <v>3.5</v>
      </c>
      <c r="AC17" s="38">
        <v>1</v>
      </c>
      <c r="AD17" s="38">
        <v>0</v>
      </c>
      <c r="AE17" s="38">
        <v>16.8</v>
      </c>
      <c r="AF17" s="38">
        <v>4.8</v>
      </c>
      <c r="AG17" s="38">
        <v>1.2</v>
      </c>
      <c r="AH17" s="38">
        <v>0</v>
      </c>
      <c r="AI17" s="19"/>
      <c r="AJ17" s="41">
        <f t="shared" si="8"/>
        <v>3.5</v>
      </c>
      <c r="AK17" s="41">
        <f t="shared" si="9"/>
        <v>22.6</v>
      </c>
      <c r="AL17" s="41">
        <f t="shared" si="10"/>
        <v>4.4000000000000004</v>
      </c>
      <c r="AM17" s="41">
        <f t="shared" si="11"/>
        <v>22.1</v>
      </c>
      <c r="AN17" s="27">
        <f t="shared" si="12"/>
        <v>7.9</v>
      </c>
      <c r="AO17" s="27">
        <f t="shared" si="13"/>
        <v>44.7</v>
      </c>
      <c r="AP17" s="27">
        <f t="shared" si="14"/>
        <v>3.5</v>
      </c>
      <c r="AQ17" s="27">
        <f t="shared" si="15"/>
        <v>21.1</v>
      </c>
      <c r="AR17" s="27">
        <f t="shared" si="16"/>
        <v>4.8</v>
      </c>
      <c r="AS17" s="27">
        <f t="shared" si="17"/>
        <v>20.400000000000002</v>
      </c>
      <c r="AT17" s="27">
        <f t="shared" si="18"/>
        <v>8.3000000000000007</v>
      </c>
      <c r="AU17" s="27">
        <f t="shared" si="19"/>
        <v>41.5</v>
      </c>
      <c r="AV17" s="27">
        <f t="shared" si="20"/>
        <v>86.2</v>
      </c>
      <c r="AW17" s="15"/>
      <c r="AX17" s="15"/>
      <c r="AY17" s="15"/>
      <c r="AZ17" s="15"/>
      <c r="BA17" s="15"/>
      <c r="BB17" s="15"/>
      <c r="BC17" s="15"/>
      <c r="BD17" s="15"/>
      <c r="BE17" s="15"/>
      <c r="BF17" s="15"/>
      <c r="BG17" s="15"/>
      <c r="BH17" s="15"/>
      <c r="BI17" s="15"/>
      <c r="BJ17" s="15"/>
      <c r="BK17" s="15"/>
      <c r="BL17" s="15"/>
      <c r="BM17" s="20"/>
      <c r="BN17" s="42" t="str">
        <f t="shared" si="21"/>
        <v/>
      </c>
      <c r="BO17" s="42" t="str">
        <f t="shared" si="22"/>
        <v/>
      </c>
      <c r="BP17" s="42" t="str">
        <f t="shared" si="23"/>
        <v/>
      </c>
      <c r="BQ17" s="42" t="str">
        <f t="shared" si="24"/>
        <v/>
      </c>
      <c r="BR17" s="10" t="str">
        <f t="shared" si="25"/>
        <v/>
      </c>
      <c r="BS17" s="10" t="str">
        <f t="shared" si="26"/>
        <v/>
      </c>
      <c r="BT17" s="10" t="str">
        <f t="shared" si="27"/>
        <v/>
      </c>
      <c r="BU17" s="10" t="str">
        <f t="shared" si="28"/>
        <v/>
      </c>
      <c r="BV17" s="10" t="str">
        <f t="shared" si="29"/>
        <v/>
      </c>
      <c r="BW17" s="10" t="str">
        <f t="shared" si="30"/>
        <v/>
      </c>
      <c r="BX17" s="10" t="str">
        <f t="shared" si="31"/>
        <v/>
      </c>
      <c r="BY17" s="10" t="str">
        <f t="shared" si="32"/>
        <v/>
      </c>
      <c r="BZ17" s="10" t="str">
        <f t="shared" si="33"/>
        <v/>
      </c>
      <c r="CA17" s="34" t="str">
        <f t="shared" si="34"/>
        <v/>
      </c>
      <c r="CB17" s="34" t="str">
        <f t="shared" si="35"/>
        <v/>
      </c>
      <c r="CC17" s="14"/>
      <c r="CD17" s="14"/>
      <c r="CE17" s="14"/>
      <c r="CF17" s="14"/>
      <c r="CG17" s="14"/>
      <c r="CH17" s="14"/>
      <c r="CI17" s="14"/>
      <c r="CJ17" s="14"/>
      <c r="CK17" s="14"/>
      <c r="CL17" s="14"/>
      <c r="CM17" s="14"/>
      <c r="CN17" s="14"/>
      <c r="CO17" s="14"/>
      <c r="CP17" s="14"/>
      <c r="CQ17" s="14"/>
      <c r="CR17" s="14"/>
      <c r="CS17" s="14"/>
      <c r="CT17" s="14"/>
      <c r="CU17" s="14"/>
      <c r="CV17" s="14"/>
      <c r="CW17" s="27" t="str">
        <f t="shared" si="36"/>
        <v/>
      </c>
      <c r="CX17" s="27" t="str">
        <f t="shared" si="37"/>
        <v/>
      </c>
      <c r="CY17" s="27" t="str">
        <f t="shared" si="38"/>
        <v/>
      </c>
      <c r="CZ17" s="27" t="str">
        <f t="shared" si="39"/>
        <v/>
      </c>
      <c r="DA17" s="27" t="str">
        <f t="shared" si="40"/>
        <v/>
      </c>
      <c r="DB17" s="27" t="str">
        <f t="shared" si="41"/>
        <v/>
      </c>
      <c r="DC17" s="27" t="str">
        <f t="shared" si="42"/>
        <v/>
      </c>
      <c r="DD17" s="27" t="str">
        <f t="shared" si="43"/>
        <v/>
      </c>
      <c r="DE17" s="27" t="str">
        <f t="shared" si="44"/>
        <v/>
      </c>
      <c r="DF17" s="27" t="str">
        <f t="shared" si="45"/>
        <v/>
      </c>
      <c r="DG17" s="27" t="str">
        <f t="shared" si="46"/>
        <v/>
      </c>
      <c r="DH17" s="27" t="str">
        <f t="shared" si="47"/>
        <v/>
      </c>
      <c r="DI17" s="27" t="str">
        <f t="shared" si="48"/>
        <v/>
      </c>
      <c r="DJ17" s="27" t="str">
        <f t="shared" si="49"/>
        <v/>
      </c>
      <c r="DK17" s="27" t="str">
        <f t="shared" si="50"/>
        <v/>
      </c>
      <c r="DL17" s="15"/>
      <c r="DM17" s="15"/>
      <c r="DN17" s="15"/>
      <c r="DO17" s="15"/>
      <c r="DP17" s="15"/>
      <c r="DQ17" s="15"/>
      <c r="DR17" s="15"/>
      <c r="DS17" s="15"/>
      <c r="DT17" s="15"/>
      <c r="DU17" s="15"/>
      <c r="DV17" s="15"/>
      <c r="DW17" s="15"/>
      <c r="DX17" s="15"/>
      <c r="DY17" s="15"/>
      <c r="DZ17" s="15"/>
      <c r="EA17" s="15"/>
      <c r="EB17" s="15"/>
      <c r="EC17" s="15"/>
      <c r="ED17" s="15"/>
      <c r="EE17" s="15"/>
      <c r="EF17" s="10" t="str">
        <f t="shared" si="51"/>
        <v/>
      </c>
      <c r="EG17" s="10" t="str">
        <f t="shared" si="52"/>
        <v/>
      </c>
      <c r="EH17" s="10" t="str">
        <f t="shared" si="53"/>
        <v/>
      </c>
      <c r="EI17" s="10" t="str">
        <f t="shared" si="54"/>
        <v/>
      </c>
      <c r="EJ17" s="10" t="str">
        <f t="shared" si="55"/>
        <v/>
      </c>
      <c r="EK17" s="10" t="str">
        <f t="shared" si="56"/>
        <v/>
      </c>
      <c r="EL17" s="10" t="str">
        <f t="shared" si="57"/>
        <v/>
      </c>
      <c r="EM17" s="10" t="str">
        <f t="shared" si="58"/>
        <v/>
      </c>
      <c r="EN17" s="10" t="str">
        <f t="shared" si="59"/>
        <v/>
      </c>
      <c r="EO17" s="10" t="str">
        <f t="shared" si="60"/>
        <v/>
      </c>
      <c r="EP17" s="10" t="str">
        <f t="shared" si="61"/>
        <v/>
      </c>
      <c r="EQ17" s="10" t="str">
        <f t="shared" si="62"/>
        <v/>
      </c>
      <c r="ER17" s="10" t="str">
        <f t="shared" si="63"/>
        <v/>
      </c>
      <c r="ES17" s="10" t="str">
        <f t="shared" si="64"/>
        <v/>
      </c>
      <c r="ET17" s="10" t="str">
        <f t="shared" si="65"/>
        <v/>
      </c>
    </row>
    <row r="18" spans="1:150" x14ac:dyDescent="0.2">
      <c r="A18" s="3" t="str" cm="1">
        <f t="array" ref="A18">IF(AND(H18&lt;&gt;"",H18&lt;&gt;"No DD",I18&lt;&gt;"P"),SUMPRODUCT((H$4:H$30&lt;&gt;"")*(H$4:H$30&lt;&gt;"No DD")*(I$4:I$30&lt;&gt;"P")*(E$4:E$30&gt;E18))+1,IF(H18="No DD",SUMPRODUCT((H$4:H$30="No DD")*(I$4:I$30&lt;&gt;"P")*(E$4:E$30&gt;E18))+1+SUMPRODUCT((H$4:H$30&lt;&gt;"")*(I$4:I$30&lt;&gt;"P")*(H$4:H$30&lt;&gt;"No DD")),""))</f>
        <v/>
      </c>
      <c r="B18" s="4" t="s">
        <v>135</v>
      </c>
      <c r="C18" s="3" t="s">
        <v>5</v>
      </c>
      <c r="D18" s="3">
        <v>2007</v>
      </c>
      <c r="E18" s="8">
        <f t="shared" si="0"/>
        <v>82.700006640004375</v>
      </c>
      <c r="F18" s="2" t="str">
        <f>IF(OR(AND(AO18&lt;&gt;"",AO18&gt;=AV$35,AN18&gt;=AV$32),AND(AU18&lt;&gt;"",AU18&gt;=AV$35,AT18&gt;=AV$32),AND(BS18&lt;&gt;"",BS18&gt;=BZ$35,BR18&gt;=BZ$32),AND(BY18&lt;&gt;"",BY18&gt;=BZ$35,BX18&gt;=BZ$32),AND(DB18&lt;&gt;"",DB18&gt;=DK$35,DA18&gt;=DK$32),AND(DJ18&lt;&gt;"",DJ18&gt;=DK$35,DI18&gt;=DK$32),AND(EK18&lt;&gt;"",EK18&gt;=ET$35,EJ18&gt;=ET$32),AND(ES18&lt;&gt;"",ES18&gt;=ET$35,ER18&gt;=ET$32)),"P","")</f>
        <v/>
      </c>
      <c r="G18" s="2" t="str">
        <f>IF(OR(AND(AO18&lt;&gt;"",AO18&gt;=AV$35),AND(AU18&lt;&gt;"",AU18&gt;=AV$35),AND(BS18&lt;&gt;"",BS18&gt;=BZ$35),AND(BY18&lt;&gt;"",BY18&gt;=BZ$35),AND(DB18&lt;&gt;"",DB18&gt;=DK$35),AND(DJ18&lt;&gt;"",DJ18&gt;=DK$35),AND(EK18&lt;&gt;"",EK18&gt;=ET$35),AND(ES18&lt;&gt;"",ES18&gt;=ET$35)),"P","")</f>
        <v/>
      </c>
      <c r="H18" s="26" t="str">
        <f>IF(AND(G18="P",F18=""),"No DD",IF(OR(AND(AK18&lt;&gt;"",AK18&gt;=AV$37,AJ18&gt;=AV$34),AND(AM18&lt;&gt;"",AM18&gt;=AV$37,AL18&gt;=AV$34),AND(AQ18&lt;&gt;"",AQ18&gt;=AV$37,AP18&gt;=AV$34),AND(AS18&lt;&gt;"",AS18&gt;=AV$37,AR18&gt;=AV$34),AND(BO18&lt;&gt;"",BO18&gt;=BZ$37,BN18&gt;=BZ$34),AND(BQ18&lt;&gt;"",BQ18&gt;=BZ$37,BP18&gt;=BZ$34),AND(BV18&lt;&gt;"",BV18&gt;=BZ$37,BU18&gt;=BZ$34),AND(BX18&lt;&gt;"",BX18&gt;=BZ$37,BW18&gt;=BZ$34),AND(CX18&lt;&gt;"",CX18&gt;=DK$37,CW18&gt;=DK$34),AND(CZ18&lt;&gt;"",CZ18&gt;=DK$37,CY18&gt;=DK$34),AND(DD18&lt;&gt;"",DD18&gt;=DK$37,DC18&gt;=DK$34),AND(DF18&lt;&gt;"",DF18&gt;=DK$37,DE18&gt;=DK$34),AND(DH18&lt;&gt;"",DH18&gt;=DK$37,DG18&gt;=DK$34),AND(EG18&lt;&gt;"",EG18&gt;=ET$37,EF18&gt;=ET$34),AND(EI18&lt;&gt;"",EI18&gt;=ET$37,EH18&gt;=ET$34),AND(EM18&lt;&gt;"",EM18&gt;=ET$37,EL18&gt;=ET$34),AND(EO18&lt;&gt;"",EO18&gt;=ET$37,EN18&gt;=ET$34),AND(EQ18&lt;&gt;"",EQ18&gt;=ET$37,EP18&gt;=ET$34)),"Performance",IF(I18="P","National Team",IF(F18="P","National Team",""))))</f>
        <v/>
      </c>
      <c r="I18" s="2" t="str">
        <f>IF(COUNTIFS('Senior-W'!B:B,B18,'Senior-W'!A:A,"&lt;9",'Senior-W'!H:H,"&lt;&gt;"&amp;"No DD"),"P","")</f>
        <v/>
      </c>
      <c r="J18" s="7">
        <f t="shared" si="1"/>
        <v>43.699999999999996</v>
      </c>
      <c r="K18" s="7" t="str">
        <f t="shared" si="2"/>
        <v>2026 Elite Canada</v>
      </c>
      <c r="L18" s="7">
        <f>IF(J18=AO18,IF(COUNT(AQ18,AS18,BO18,BQ18,BU18,BW18)&gt;1,LARGE((AQ18,AS18,BO18,BQ18,BU18,BW18),1),0),IF(COUNT(AK18,AM18,AQ18,AS18,BU18,BW18)&gt;1,LARGE((AK18,AM18,AQ18,AS18,BU18,BW18),1),0))</f>
        <v>22.700000000000003</v>
      </c>
      <c r="M18" s="7" t="str">
        <f t="shared" si="3"/>
        <v>2026 Elite Canada</v>
      </c>
      <c r="N18" s="7">
        <f>IF(J18=AO18,IF(COUNT(AQ18,AS18,BO18,BQ18,BU18,BW18)&gt;1,LARGE((AQ18,AS18,BO18,BQ18,BU18,BW18),2),0),IF(COUNT(AK18,AM18,AQ18,AS18,BU18,BW18)&gt;1,LARGE((AK18,AM18,AQ18,AS18,BU18,BW18),2),0))</f>
        <v>16.3</v>
      </c>
      <c r="O18" s="7" t="str">
        <f t="shared" si="4"/>
        <v>2026 Elite Canada</v>
      </c>
      <c r="P18" s="7" t="str">
        <f t="shared" si="5"/>
        <v/>
      </c>
      <c r="Q18" s="10" t="str">
        <f t="shared" si="6"/>
        <v/>
      </c>
      <c r="R18" s="7" t="str">
        <f t="shared" si="7"/>
        <v/>
      </c>
      <c r="S18" s="38">
        <v>19</v>
      </c>
      <c r="T18" s="38">
        <v>3.5</v>
      </c>
      <c r="U18" s="38">
        <v>0.6</v>
      </c>
      <c r="V18" s="38">
        <v>0</v>
      </c>
      <c r="W18" s="38">
        <v>18</v>
      </c>
      <c r="X18" s="38">
        <v>4.4000000000000004</v>
      </c>
      <c r="Y18" s="38">
        <v>0.6</v>
      </c>
      <c r="Z18" s="38">
        <v>0</v>
      </c>
      <c r="AA18" s="38">
        <v>15.6</v>
      </c>
      <c r="AB18" s="38">
        <v>0.7</v>
      </c>
      <c r="AC18" s="38">
        <v>0</v>
      </c>
      <c r="AD18" s="38">
        <v>0</v>
      </c>
      <c r="AE18" s="38">
        <v>18.3</v>
      </c>
      <c r="AF18" s="38">
        <v>4.4000000000000004</v>
      </c>
      <c r="AG18" s="38">
        <v>0</v>
      </c>
      <c r="AH18" s="38">
        <v>0</v>
      </c>
      <c r="AI18" s="19"/>
      <c r="AJ18" s="41">
        <f t="shared" si="8"/>
        <v>3.5</v>
      </c>
      <c r="AK18" s="41">
        <f t="shared" si="9"/>
        <v>21.9</v>
      </c>
      <c r="AL18" s="41">
        <f t="shared" si="10"/>
        <v>4.4000000000000004</v>
      </c>
      <c r="AM18" s="41">
        <f t="shared" si="11"/>
        <v>21.799999999999997</v>
      </c>
      <c r="AN18" s="27">
        <f t="shared" si="12"/>
        <v>7.9</v>
      </c>
      <c r="AO18" s="27">
        <f t="shared" si="13"/>
        <v>43.699999999999996</v>
      </c>
      <c r="AP18" s="27">
        <f t="shared" si="14"/>
        <v>0.7</v>
      </c>
      <c r="AQ18" s="27">
        <f t="shared" si="15"/>
        <v>16.3</v>
      </c>
      <c r="AR18" s="27">
        <f t="shared" si="16"/>
        <v>4.4000000000000004</v>
      </c>
      <c r="AS18" s="27">
        <f t="shared" si="17"/>
        <v>22.700000000000003</v>
      </c>
      <c r="AT18" s="27">
        <f t="shared" si="18"/>
        <v>5.1000000000000005</v>
      </c>
      <c r="AU18" s="27">
        <f t="shared" si="19"/>
        <v>39</v>
      </c>
      <c r="AV18" s="27">
        <f t="shared" si="20"/>
        <v>82.699999999999989</v>
      </c>
      <c r="AW18" s="15"/>
      <c r="AX18" s="15"/>
      <c r="AY18" s="15"/>
      <c r="AZ18" s="15"/>
      <c r="BA18" s="15"/>
      <c r="BB18" s="15"/>
      <c r="BC18" s="15"/>
      <c r="BD18" s="15"/>
      <c r="BE18" s="15"/>
      <c r="BF18" s="15"/>
      <c r="BG18" s="15"/>
      <c r="BH18" s="15"/>
      <c r="BI18" s="15"/>
      <c r="BJ18" s="15"/>
      <c r="BK18" s="15"/>
      <c r="BL18" s="15"/>
      <c r="BM18" s="20"/>
      <c r="BN18" s="42" t="str">
        <f t="shared" si="21"/>
        <v/>
      </c>
      <c r="BO18" s="42" t="str">
        <f t="shared" si="22"/>
        <v/>
      </c>
      <c r="BP18" s="42" t="str">
        <f t="shared" si="23"/>
        <v/>
      </c>
      <c r="BQ18" s="42" t="str">
        <f t="shared" si="24"/>
        <v/>
      </c>
      <c r="BR18" s="10" t="str">
        <f t="shared" si="25"/>
        <v/>
      </c>
      <c r="BS18" s="10" t="str">
        <f t="shared" si="26"/>
        <v/>
      </c>
      <c r="BT18" s="10" t="str">
        <f t="shared" si="27"/>
        <v/>
      </c>
      <c r="BU18" s="10" t="str">
        <f t="shared" si="28"/>
        <v/>
      </c>
      <c r="BV18" s="10" t="str">
        <f t="shared" si="29"/>
        <v/>
      </c>
      <c r="BW18" s="10" t="str">
        <f t="shared" si="30"/>
        <v/>
      </c>
      <c r="BX18" s="10" t="str">
        <f t="shared" si="31"/>
        <v/>
      </c>
      <c r="BY18" s="10" t="str">
        <f t="shared" si="32"/>
        <v/>
      </c>
      <c r="BZ18" s="10" t="str">
        <f t="shared" si="33"/>
        <v/>
      </c>
      <c r="CA18" s="34" t="str">
        <f t="shared" si="34"/>
        <v/>
      </c>
      <c r="CB18" s="34" t="str">
        <f t="shared" si="35"/>
        <v/>
      </c>
      <c r="CC18" s="14"/>
      <c r="CD18" s="14"/>
      <c r="CE18" s="14"/>
      <c r="CF18" s="14"/>
      <c r="CG18" s="14"/>
      <c r="CH18" s="14"/>
      <c r="CI18" s="14"/>
      <c r="CJ18" s="14"/>
      <c r="CK18" s="14"/>
      <c r="CL18" s="14"/>
      <c r="CM18" s="14"/>
      <c r="CN18" s="14"/>
      <c r="CO18" s="14"/>
      <c r="CP18" s="14"/>
      <c r="CQ18" s="14"/>
      <c r="CR18" s="14"/>
      <c r="CS18" s="14"/>
      <c r="CT18" s="14"/>
      <c r="CU18" s="14"/>
      <c r="CV18" s="14"/>
      <c r="CW18" s="27" t="str">
        <f t="shared" si="36"/>
        <v/>
      </c>
      <c r="CX18" s="27" t="str">
        <f t="shared" si="37"/>
        <v/>
      </c>
      <c r="CY18" s="27" t="str">
        <f t="shared" si="38"/>
        <v/>
      </c>
      <c r="CZ18" s="27" t="str">
        <f t="shared" si="39"/>
        <v/>
      </c>
      <c r="DA18" s="27" t="str">
        <f t="shared" si="40"/>
        <v/>
      </c>
      <c r="DB18" s="27" t="str">
        <f t="shared" si="41"/>
        <v/>
      </c>
      <c r="DC18" s="27" t="str">
        <f t="shared" si="42"/>
        <v/>
      </c>
      <c r="DD18" s="27" t="str">
        <f t="shared" si="43"/>
        <v/>
      </c>
      <c r="DE18" s="27" t="str">
        <f t="shared" si="44"/>
        <v/>
      </c>
      <c r="DF18" s="27" t="str">
        <f t="shared" si="45"/>
        <v/>
      </c>
      <c r="DG18" s="27" t="str">
        <f t="shared" si="46"/>
        <v/>
      </c>
      <c r="DH18" s="27" t="str">
        <f t="shared" si="47"/>
        <v/>
      </c>
      <c r="DI18" s="27" t="str">
        <f t="shared" si="48"/>
        <v/>
      </c>
      <c r="DJ18" s="27" t="str">
        <f t="shared" si="49"/>
        <v/>
      </c>
      <c r="DK18" s="27" t="str">
        <f t="shared" si="50"/>
        <v/>
      </c>
      <c r="DL18" s="15"/>
      <c r="DM18" s="15"/>
      <c r="DN18" s="15"/>
      <c r="DO18" s="15"/>
      <c r="DP18" s="15"/>
      <c r="DQ18" s="15"/>
      <c r="DR18" s="15"/>
      <c r="DS18" s="15"/>
      <c r="DT18" s="15"/>
      <c r="DU18" s="15"/>
      <c r="DV18" s="15"/>
      <c r="DW18" s="15"/>
      <c r="DX18" s="15"/>
      <c r="DY18" s="15"/>
      <c r="DZ18" s="15"/>
      <c r="EA18" s="15"/>
      <c r="EB18" s="15"/>
      <c r="EC18" s="15"/>
      <c r="ED18" s="15"/>
      <c r="EE18" s="15"/>
      <c r="EF18" s="10" t="str">
        <f t="shared" si="51"/>
        <v/>
      </c>
      <c r="EG18" s="10" t="str">
        <f t="shared" si="52"/>
        <v/>
      </c>
      <c r="EH18" s="10" t="str">
        <f t="shared" si="53"/>
        <v/>
      </c>
      <c r="EI18" s="10" t="str">
        <f t="shared" si="54"/>
        <v/>
      </c>
      <c r="EJ18" s="10" t="str">
        <f t="shared" si="55"/>
        <v/>
      </c>
      <c r="EK18" s="10" t="str">
        <f t="shared" si="56"/>
        <v/>
      </c>
      <c r="EL18" s="10" t="str">
        <f t="shared" si="57"/>
        <v/>
      </c>
      <c r="EM18" s="10" t="str">
        <f t="shared" si="58"/>
        <v/>
      </c>
      <c r="EN18" s="10" t="str">
        <f t="shared" si="59"/>
        <v/>
      </c>
      <c r="EO18" s="10" t="str">
        <f t="shared" si="60"/>
        <v/>
      </c>
      <c r="EP18" s="10" t="str">
        <f t="shared" si="61"/>
        <v/>
      </c>
      <c r="EQ18" s="10" t="str">
        <f t="shared" si="62"/>
        <v/>
      </c>
      <c r="ER18" s="10" t="str">
        <f t="shared" si="63"/>
        <v/>
      </c>
      <c r="ES18" s="10" t="str">
        <f t="shared" si="64"/>
        <v/>
      </c>
      <c r="ET18" s="10" t="str">
        <f t="shared" si="65"/>
        <v/>
      </c>
    </row>
    <row r="19" spans="1:150" x14ac:dyDescent="0.2">
      <c r="A19" s="3" t="str" cm="1">
        <f t="array" ref="A19">IF(AND(H19&lt;&gt;"",H19&lt;&gt;"No DD",I19&lt;&gt;"P"),SUMPRODUCT((H$4:H$30&lt;&gt;"")*(H$4:H$30&lt;&gt;"No DD")*(I$4:I$30&lt;&gt;"P")*(E$4:E$30&gt;E19))+1,IF(H19="No DD",SUMPRODUCT((H$4:H$30="No DD")*(I$4:I$30&lt;&gt;"P")*(E$4:E$30&gt;E19))+1+SUMPRODUCT((H$4:H$30&lt;&gt;"")*(I$4:I$30&lt;&gt;"P")*(H$4:H$30&lt;&gt;"No DD")),""))</f>
        <v/>
      </c>
      <c r="B19" s="4" t="s">
        <v>160</v>
      </c>
      <c r="C19" s="3" t="s">
        <v>4</v>
      </c>
      <c r="D19" s="3">
        <v>2006</v>
      </c>
      <c r="E19" s="8">
        <f t="shared" si="0"/>
        <v>82.300006570004385</v>
      </c>
      <c r="F19" s="2" t="str">
        <f>IF(OR(AND(AO19&lt;&gt;"",AO19&gt;=AV$35,AN19&gt;=AV$32),AND(AU19&lt;&gt;"",AU19&gt;=AV$35,AT19&gt;=AV$32),AND(BS19&lt;&gt;"",BS19&gt;=BZ$35,BR19&gt;=BZ$32),AND(BY19&lt;&gt;"",BY19&gt;=BZ$35,BX19&gt;=BZ$32),AND(DB19&lt;&gt;"",DB19&gt;=DK$35,DA19&gt;=DK$32),AND(DJ19&lt;&gt;"",DJ19&gt;=DK$35,DI19&gt;=DK$32),AND(EK19&lt;&gt;"",EK19&gt;=ET$35,EJ19&gt;=ET$32),AND(ES19&lt;&gt;"",ES19&gt;=ET$35,ER19&gt;=ET$32)),"P","")</f>
        <v/>
      </c>
      <c r="G19" s="2" t="str">
        <f>IF(OR(AND(AO19&lt;&gt;"",AO19&gt;=AV$35),AND(AU19&lt;&gt;"",AU19&gt;=AV$35),AND(BS19&lt;&gt;"",BS19&gt;=BZ$35),AND(BY19&lt;&gt;"",BY19&gt;=BZ$35),AND(DB19&lt;&gt;"",DB19&gt;=DK$35),AND(DJ19&lt;&gt;"",DJ19&gt;=DK$35),AND(EK19&lt;&gt;"",EK19&gt;=ET$35),AND(ES19&lt;&gt;"",ES19&gt;=ET$35)),"P","")</f>
        <v/>
      </c>
      <c r="H19" s="26" t="str">
        <f>IF(AND(G19="P",F19=""),"No DD",IF(OR(AND(AK19&lt;&gt;"",AK19&gt;=AV$37,AJ19&gt;=AV$34),AND(AM19&lt;&gt;"",AM19&gt;=AV$37,AL19&gt;=AV$34),AND(AQ19&lt;&gt;"",AQ19&gt;=AV$37,AP19&gt;=AV$34),AND(AS19&lt;&gt;"",AS19&gt;=AV$37,AR19&gt;=AV$34),AND(BO19&lt;&gt;"",BO19&gt;=BZ$37,BN19&gt;=BZ$34),AND(BQ19&lt;&gt;"",BQ19&gt;=BZ$37,BP19&gt;=BZ$34),AND(BV19&lt;&gt;"",BV19&gt;=BZ$37,BU19&gt;=BZ$34),AND(BX19&lt;&gt;"",BX19&gt;=BZ$37,BW19&gt;=BZ$34),AND(CX19&lt;&gt;"",CX19&gt;=DK$37,CW19&gt;=DK$34),AND(CZ19&lt;&gt;"",CZ19&gt;=DK$37,CY19&gt;=DK$34),AND(DD19&lt;&gt;"",DD19&gt;=DK$37,DC19&gt;=DK$34),AND(DF19&lt;&gt;"",DF19&gt;=DK$37,DE19&gt;=DK$34),AND(DH19&lt;&gt;"",DH19&gt;=DK$37,DG19&gt;=DK$34),AND(EG19&lt;&gt;"",EG19&gt;=ET$37,EF19&gt;=ET$34),AND(EI19&lt;&gt;"",EI19&gt;=ET$37,EH19&gt;=ET$34),AND(EM19&lt;&gt;"",EM19&gt;=ET$37,EL19&gt;=ET$34),AND(EO19&lt;&gt;"",EO19&gt;=ET$37,EN19&gt;=ET$34),AND(EQ19&lt;&gt;"",EQ19&gt;=ET$37,EP19&gt;=ET$34)),"Performance",IF(I19="P","National Team",IF(F19="P","National Team",""))))</f>
        <v/>
      </c>
      <c r="I19" s="2" t="str">
        <f>IF(COUNTIFS('Senior-W'!B:B,B19,'Senior-W'!A:A,"&lt;9",'Senior-W'!H:H,"&lt;&gt;"&amp;"No DD"),"P","")</f>
        <v/>
      </c>
      <c r="J19" s="7">
        <f t="shared" si="1"/>
        <v>43.7</v>
      </c>
      <c r="K19" s="7" t="str">
        <f t="shared" si="2"/>
        <v>2026 Elite Canada</v>
      </c>
      <c r="L19" s="7">
        <f>IF(J19=AO19,IF(COUNT(AQ19,AS19,BO19,BQ19,BU19,BW19)&gt;1,LARGE((AQ19,AS19,BO19,BQ19,BU19,BW19),1),0),IF(COUNT(AK19,AM19,AQ19,AS19,BU19,BW19)&gt;1,LARGE((AK19,AM19,AQ19,AS19,BU19,BW19),1),0))</f>
        <v>22</v>
      </c>
      <c r="M19" s="7" t="str">
        <f t="shared" si="3"/>
        <v>2026 Elite Canada</v>
      </c>
      <c r="N19" s="7">
        <f>IF(J19=AO19,IF(COUNT(AQ19,AS19,BO19,BQ19,BU19,BW19)&gt;1,LARGE((AQ19,AS19,BO19,BQ19,BU19,BW19),2),0),IF(COUNT(AK19,AM19,AQ19,AS19,BU19,BW19)&gt;1,LARGE((AK19,AM19,AQ19,AS19,BU19,BW19),2),0))</f>
        <v>16.600000000000001</v>
      </c>
      <c r="O19" s="7" t="str">
        <f t="shared" si="4"/>
        <v>2026 Elite Canada</v>
      </c>
      <c r="P19" s="7" t="str">
        <f t="shared" si="5"/>
        <v/>
      </c>
      <c r="Q19" s="10" t="str">
        <f t="shared" si="6"/>
        <v/>
      </c>
      <c r="R19" s="7" t="str">
        <f t="shared" si="7"/>
        <v/>
      </c>
      <c r="S19" s="38">
        <v>18.600000000000001</v>
      </c>
      <c r="T19" s="38">
        <v>3.6</v>
      </c>
      <c r="U19" s="38">
        <v>0.2</v>
      </c>
      <c r="V19" s="38">
        <v>0</v>
      </c>
      <c r="W19" s="38">
        <v>18.2</v>
      </c>
      <c r="X19" s="38">
        <v>3.5</v>
      </c>
      <c r="Y19" s="38">
        <v>0</v>
      </c>
      <c r="Z19" s="38">
        <v>0</v>
      </c>
      <c r="AA19" s="38">
        <v>15.4</v>
      </c>
      <c r="AB19" s="38">
        <v>1.2</v>
      </c>
      <c r="AC19" s="38">
        <v>0</v>
      </c>
      <c r="AD19" s="38">
        <v>0</v>
      </c>
      <c r="AE19" s="38">
        <v>18.7</v>
      </c>
      <c r="AF19" s="38">
        <v>3.5</v>
      </c>
      <c r="AG19" s="38">
        <v>0.2</v>
      </c>
      <c r="AH19" s="38">
        <v>0</v>
      </c>
      <c r="AI19" s="19"/>
      <c r="AJ19" s="41">
        <f t="shared" si="8"/>
        <v>3.6</v>
      </c>
      <c r="AK19" s="41">
        <f t="shared" si="9"/>
        <v>22.000000000000004</v>
      </c>
      <c r="AL19" s="41">
        <f t="shared" si="10"/>
        <v>3.5</v>
      </c>
      <c r="AM19" s="41">
        <f t="shared" si="11"/>
        <v>21.7</v>
      </c>
      <c r="AN19" s="27">
        <f t="shared" si="12"/>
        <v>7.1</v>
      </c>
      <c r="AO19" s="27">
        <f t="shared" si="13"/>
        <v>43.7</v>
      </c>
      <c r="AP19" s="27">
        <f t="shared" si="14"/>
        <v>1.2</v>
      </c>
      <c r="AQ19" s="27">
        <f t="shared" si="15"/>
        <v>16.600000000000001</v>
      </c>
      <c r="AR19" s="27">
        <f t="shared" si="16"/>
        <v>3.5</v>
      </c>
      <c r="AS19" s="27">
        <f t="shared" si="17"/>
        <v>22</v>
      </c>
      <c r="AT19" s="27">
        <f t="shared" si="18"/>
        <v>4.7</v>
      </c>
      <c r="AU19" s="27">
        <f t="shared" si="19"/>
        <v>38.6</v>
      </c>
      <c r="AV19" s="27">
        <f t="shared" si="20"/>
        <v>82.300000000000011</v>
      </c>
      <c r="AW19" s="15"/>
      <c r="AX19" s="15"/>
      <c r="AY19" s="15"/>
      <c r="AZ19" s="15"/>
      <c r="BA19" s="15"/>
      <c r="BB19" s="15"/>
      <c r="BC19" s="15"/>
      <c r="BD19" s="15"/>
      <c r="BE19" s="15"/>
      <c r="BF19" s="15"/>
      <c r="BG19" s="15"/>
      <c r="BH19" s="15"/>
      <c r="BI19" s="15"/>
      <c r="BJ19" s="15"/>
      <c r="BK19" s="15"/>
      <c r="BL19" s="15"/>
      <c r="BM19" s="20"/>
      <c r="BN19" s="42" t="str">
        <f t="shared" si="21"/>
        <v/>
      </c>
      <c r="BO19" s="42" t="str">
        <f t="shared" si="22"/>
        <v/>
      </c>
      <c r="BP19" s="42" t="str">
        <f t="shared" si="23"/>
        <v/>
      </c>
      <c r="BQ19" s="42" t="str">
        <f t="shared" si="24"/>
        <v/>
      </c>
      <c r="BR19" s="10" t="str">
        <f t="shared" si="25"/>
        <v/>
      </c>
      <c r="BS19" s="10" t="str">
        <f t="shared" si="26"/>
        <v/>
      </c>
      <c r="BT19" s="10" t="str">
        <f t="shared" si="27"/>
        <v/>
      </c>
      <c r="BU19" s="10" t="str">
        <f t="shared" si="28"/>
        <v/>
      </c>
      <c r="BV19" s="10" t="str">
        <f t="shared" si="29"/>
        <v/>
      </c>
      <c r="BW19" s="10" t="str">
        <f t="shared" si="30"/>
        <v/>
      </c>
      <c r="BX19" s="10" t="str">
        <f t="shared" si="31"/>
        <v/>
      </c>
      <c r="BY19" s="10" t="str">
        <f t="shared" si="32"/>
        <v/>
      </c>
      <c r="BZ19" s="10" t="str">
        <f t="shared" si="33"/>
        <v/>
      </c>
      <c r="CA19" s="34" t="str">
        <f t="shared" si="34"/>
        <v/>
      </c>
      <c r="CB19" s="34" t="str">
        <f t="shared" si="35"/>
        <v/>
      </c>
      <c r="CC19" s="14"/>
      <c r="CD19" s="14"/>
      <c r="CE19" s="14"/>
      <c r="CF19" s="14"/>
      <c r="CG19" s="14"/>
      <c r="CH19" s="14"/>
      <c r="CI19" s="14"/>
      <c r="CJ19" s="14"/>
      <c r="CK19" s="14"/>
      <c r="CL19" s="14"/>
      <c r="CM19" s="14"/>
      <c r="CN19" s="14"/>
      <c r="CO19" s="14"/>
      <c r="CP19" s="14"/>
      <c r="CQ19" s="14"/>
      <c r="CR19" s="14"/>
      <c r="CS19" s="14"/>
      <c r="CT19" s="14"/>
      <c r="CU19" s="14"/>
      <c r="CV19" s="14"/>
      <c r="CW19" s="27" t="str">
        <f t="shared" si="36"/>
        <v/>
      </c>
      <c r="CX19" s="27" t="str">
        <f t="shared" si="37"/>
        <v/>
      </c>
      <c r="CY19" s="27" t="str">
        <f t="shared" si="38"/>
        <v/>
      </c>
      <c r="CZ19" s="27" t="str">
        <f t="shared" si="39"/>
        <v/>
      </c>
      <c r="DA19" s="27" t="str">
        <f t="shared" si="40"/>
        <v/>
      </c>
      <c r="DB19" s="27" t="str">
        <f t="shared" si="41"/>
        <v/>
      </c>
      <c r="DC19" s="27" t="str">
        <f t="shared" si="42"/>
        <v/>
      </c>
      <c r="DD19" s="27" t="str">
        <f t="shared" si="43"/>
        <v/>
      </c>
      <c r="DE19" s="27" t="str">
        <f t="shared" si="44"/>
        <v/>
      </c>
      <c r="DF19" s="27" t="str">
        <f t="shared" si="45"/>
        <v/>
      </c>
      <c r="DG19" s="27" t="str">
        <f t="shared" si="46"/>
        <v/>
      </c>
      <c r="DH19" s="27" t="str">
        <f t="shared" si="47"/>
        <v/>
      </c>
      <c r="DI19" s="27" t="str">
        <f t="shared" si="48"/>
        <v/>
      </c>
      <c r="DJ19" s="27" t="str">
        <f t="shared" si="49"/>
        <v/>
      </c>
      <c r="DK19" s="27" t="str">
        <f t="shared" si="50"/>
        <v/>
      </c>
      <c r="DL19" s="15"/>
      <c r="DM19" s="15"/>
      <c r="DN19" s="15"/>
      <c r="DO19" s="15"/>
      <c r="DP19" s="15"/>
      <c r="DQ19" s="15"/>
      <c r="DR19" s="15"/>
      <c r="DS19" s="15"/>
      <c r="DT19" s="15"/>
      <c r="DU19" s="15"/>
      <c r="DV19" s="15"/>
      <c r="DW19" s="15"/>
      <c r="DX19" s="15"/>
      <c r="DY19" s="15"/>
      <c r="DZ19" s="15"/>
      <c r="EA19" s="15"/>
      <c r="EB19" s="15"/>
      <c r="EC19" s="15"/>
      <c r="ED19" s="15"/>
      <c r="EE19" s="15"/>
      <c r="EF19" s="10" t="str">
        <f t="shared" si="51"/>
        <v/>
      </c>
      <c r="EG19" s="10" t="str">
        <f t="shared" si="52"/>
        <v/>
      </c>
      <c r="EH19" s="10" t="str">
        <f t="shared" si="53"/>
        <v/>
      </c>
      <c r="EI19" s="10" t="str">
        <f t="shared" si="54"/>
        <v/>
      </c>
      <c r="EJ19" s="10" t="str">
        <f t="shared" si="55"/>
        <v/>
      </c>
      <c r="EK19" s="10" t="str">
        <f t="shared" si="56"/>
        <v/>
      </c>
      <c r="EL19" s="10" t="str">
        <f t="shared" si="57"/>
        <v/>
      </c>
      <c r="EM19" s="10" t="str">
        <f t="shared" si="58"/>
        <v/>
      </c>
      <c r="EN19" s="10" t="str">
        <f t="shared" si="59"/>
        <v/>
      </c>
      <c r="EO19" s="10" t="str">
        <f t="shared" si="60"/>
        <v/>
      </c>
      <c r="EP19" s="10" t="str">
        <f t="shared" si="61"/>
        <v/>
      </c>
      <c r="EQ19" s="10" t="str">
        <f t="shared" si="62"/>
        <v/>
      </c>
      <c r="ER19" s="10" t="str">
        <f t="shared" si="63"/>
        <v/>
      </c>
      <c r="ES19" s="10" t="str">
        <f t="shared" si="64"/>
        <v/>
      </c>
      <c r="ET19" s="10" t="str">
        <f t="shared" si="65"/>
        <v/>
      </c>
    </row>
    <row r="20" spans="1:150" x14ac:dyDescent="0.2">
      <c r="A20" s="3" t="str" cm="1">
        <f t="array" ref="A20">IF(AND(H20&lt;&gt;"",H20&lt;&gt;"No DD",I20&lt;&gt;"P"),SUMPRODUCT((H$4:H$30&lt;&gt;"")*(H$4:H$30&lt;&gt;"No DD")*(I$4:I$30&lt;&gt;"P")*(E$4:E$30&gt;E20))+1,IF(H20="No DD",SUMPRODUCT((H$4:H$30="No DD")*(I$4:I$30&lt;&gt;"P")*(E$4:E$30&gt;E20))+1+SUMPRODUCT((H$4:H$30&lt;&gt;"")*(I$4:I$30&lt;&gt;"P")*(H$4:H$30&lt;&gt;"No DD")),""))</f>
        <v/>
      </c>
      <c r="B20" s="4" t="s">
        <v>59</v>
      </c>
      <c r="C20" s="3" t="s">
        <v>6</v>
      </c>
      <c r="D20" s="3">
        <v>2009</v>
      </c>
      <c r="E20" s="8">
        <f t="shared" si="0"/>
        <v>68.100004470004464</v>
      </c>
      <c r="F20" s="2" t="str">
        <f>IF(OR(AND(AO20&lt;&gt;"",AO20&gt;=AV$35,AN20&gt;=AV$32),AND(AU20&lt;&gt;"",AU20&gt;=AV$35,AT20&gt;=AV$32),AND(BS20&lt;&gt;"",BS20&gt;=BZ$35,BR20&gt;=BZ$32),AND(BY20&lt;&gt;"",BY20&gt;=BZ$35,BX20&gt;=BZ$32),AND(DB20&lt;&gt;"",DB20&gt;=DK$35,DA20&gt;=DK$32),AND(DJ20&lt;&gt;"",DJ20&gt;=DK$35,DI20&gt;=DK$32),AND(EK20&lt;&gt;"",EK20&gt;=ET$35,EJ20&gt;=ET$32),AND(ES20&lt;&gt;"",ES20&gt;=ET$35,ER20&gt;=ET$32)),"P","")</f>
        <v/>
      </c>
      <c r="G20" s="2" t="str">
        <f>IF(OR(AND(AO20&lt;&gt;"",AO20&gt;=AV$35),AND(AU20&lt;&gt;"",AU20&gt;=AV$35),AND(BS20&lt;&gt;"",BS20&gt;=BZ$35),AND(BY20&lt;&gt;"",BY20&gt;=BZ$35),AND(DB20&lt;&gt;"",DB20&gt;=DK$35),AND(DJ20&lt;&gt;"",DJ20&gt;=DK$35),AND(EK20&lt;&gt;"",EK20&gt;=ET$35),AND(ES20&lt;&gt;"",ES20&gt;=ET$35)),"P","")</f>
        <v/>
      </c>
      <c r="H20" s="26" t="str">
        <f>IF(AND(G20="P",F20=""),"No DD",IF(OR(AND(AK20&lt;&gt;"",AK20&gt;=AV$37,AJ20&gt;=AV$34),AND(AM20&lt;&gt;"",AM20&gt;=AV$37,AL20&gt;=AV$34),AND(AQ20&lt;&gt;"",AQ20&gt;=AV$37,AP20&gt;=AV$34),AND(AS20&lt;&gt;"",AS20&gt;=AV$37,AR20&gt;=AV$34),AND(BO20&lt;&gt;"",BO20&gt;=BZ$37,BN20&gt;=BZ$34),AND(BQ20&lt;&gt;"",BQ20&gt;=BZ$37,BP20&gt;=BZ$34),AND(BV20&lt;&gt;"",BV20&gt;=BZ$37,BU20&gt;=BZ$34),AND(BX20&lt;&gt;"",BX20&gt;=BZ$37,BW20&gt;=BZ$34),AND(CX20&lt;&gt;"",CX20&gt;=DK$37,CW20&gt;=DK$34),AND(CZ20&lt;&gt;"",CZ20&gt;=DK$37,CY20&gt;=DK$34),AND(DD20&lt;&gt;"",DD20&gt;=DK$37,DC20&gt;=DK$34),AND(DF20&lt;&gt;"",DF20&gt;=DK$37,DE20&gt;=DK$34),AND(DH20&lt;&gt;"",DH20&gt;=DK$37,DG20&gt;=DK$34),AND(EG20&lt;&gt;"",EG20&gt;=ET$37,EF20&gt;=ET$34),AND(EI20&lt;&gt;"",EI20&gt;=ET$37,EH20&gt;=ET$34),AND(EM20&lt;&gt;"",EM20&gt;=ET$37,EL20&gt;=ET$34),AND(EO20&lt;&gt;"",EO20&gt;=ET$37,EN20&gt;=ET$34),AND(EQ20&lt;&gt;"",EQ20&gt;=ET$37,EP20&gt;=ET$34)),"Performance",IF(I20="P","National Team",IF(F20="P","National Team",""))))</f>
        <v/>
      </c>
      <c r="I20" s="2" t="str">
        <f>IF(COUNTIFS('Senior-W'!B:B,B20,'Senior-W'!A:A,"&lt;9",'Senior-W'!H:H,"&lt;&gt;"&amp;"No DD"),"P","")</f>
        <v/>
      </c>
      <c r="J20" s="7">
        <f t="shared" si="1"/>
        <v>44.7</v>
      </c>
      <c r="K20" s="7" t="str">
        <f t="shared" si="2"/>
        <v>2026 Elite Canada</v>
      </c>
      <c r="L20" s="7">
        <f>IF(J20=AO20,IF(COUNT(AQ20,AS20,BO20,BQ20,BU20,BW20)&gt;1,LARGE((AQ20,AS20,BO20,BQ20,BU20,BW20),1),0),IF(COUNT(AK20,AM20,AQ20,AS20,BU20,BW20)&gt;1,LARGE((AK20,AM20,AQ20,AS20,BU20,BW20),1),0))</f>
        <v>0</v>
      </c>
      <c r="M20" s="7" t="str">
        <f t="shared" si="3"/>
        <v/>
      </c>
      <c r="N20" s="7">
        <f>IF(J20=AO20,IF(COUNT(AQ20,AS20,BO20,BQ20,BU20,BW20)&gt;1,LARGE((AQ20,AS20,BO20,BQ20,BU20,BW20),2),0),IF(COUNT(AK20,AM20,AQ20,AS20,BU20,BW20)&gt;1,LARGE((AK20,AM20,AQ20,AS20,BU20,BW20),2),0))</f>
        <v>0</v>
      </c>
      <c r="O20" s="7" t="str">
        <f t="shared" si="4"/>
        <v/>
      </c>
      <c r="P20" s="7">
        <f t="shared" si="5"/>
        <v>23.4</v>
      </c>
      <c r="Q20" s="10" t="str">
        <f t="shared" si="6"/>
        <v>(Pass)</v>
      </c>
      <c r="R20" s="7" t="str">
        <f t="shared" si="7"/>
        <v>2025 WAGC (Nov 16)</v>
      </c>
      <c r="S20" s="38">
        <v>18</v>
      </c>
      <c r="T20" s="38">
        <v>5.6</v>
      </c>
      <c r="U20" s="38">
        <v>0.2</v>
      </c>
      <c r="V20" s="38">
        <v>0</v>
      </c>
      <c r="W20" s="38">
        <v>17.7</v>
      </c>
      <c r="X20" s="38">
        <v>4.4000000000000004</v>
      </c>
      <c r="Y20" s="38">
        <v>0.8</v>
      </c>
      <c r="Z20" s="38">
        <v>0</v>
      </c>
      <c r="AA20" s="38" t="s">
        <v>175</v>
      </c>
      <c r="AB20" s="38" t="s">
        <v>175</v>
      </c>
      <c r="AC20" s="38" t="s">
        <v>175</v>
      </c>
      <c r="AD20" s="38" t="s">
        <v>175</v>
      </c>
      <c r="AE20" s="38" t="s">
        <v>175</v>
      </c>
      <c r="AF20" s="38" t="s">
        <v>175</v>
      </c>
      <c r="AG20" s="38" t="s">
        <v>175</v>
      </c>
      <c r="AH20" s="38" t="s">
        <v>175</v>
      </c>
      <c r="AI20" s="19"/>
      <c r="AJ20" s="41">
        <f t="shared" si="8"/>
        <v>5.6</v>
      </c>
      <c r="AK20" s="41">
        <f t="shared" si="9"/>
        <v>23.400000000000002</v>
      </c>
      <c r="AL20" s="41">
        <f t="shared" si="10"/>
        <v>4.4000000000000004</v>
      </c>
      <c r="AM20" s="41">
        <f t="shared" si="11"/>
        <v>21.3</v>
      </c>
      <c r="AN20" s="27">
        <f t="shared" si="12"/>
        <v>10</v>
      </c>
      <c r="AO20" s="27">
        <f t="shared" si="13"/>
        <v>44.7</v>
      </c>
      <c r="AP20" s="27" t="str">
        <f t="shared" si="14"/>
        <v/>
      </c>
      <c r="AQ20" s="27" t="str">
        <f t="shared" si="15"/>
        <v/>
      </c>
      <c r="AR20" s="27" t="str">
        <f t="shared" si="16"/>
        <v/>
      </c>
      <c r="AS20" s="27" t="str">
        <f t="shared" si="17"/>
        <v/>
      </c>
      <c r="AT20" s="27" t="str">
        <f t="shared" si="18"/>
        <v/>
      </c>
      <c r="AU20" s="27" t="str">
        <f t="shared" si="19"/>
        <v/>
      </c>
      <c r="AV20" s="27">
        <f t="shared" si="20"/>
        <v>44.7</v>
      </c>
      <c r="AW20" s="15"/>
      <c r="AX20" s="15"/>
      <c r="AY20" s="15"/>
      <c r="AZ20" s="15"/>
      <c r="BA20" s="15"/>
      <c r="BB20" s="15"/>
      <c r="BC20" s="15"/>
      <c r="BD20" s="15"/>
      <c r="BE20" s="15"/>
      <c r="BF20" s="15"/>
      <c r="BG20" s="15"/>
      <c r="BH20" s="15"/>
      <c r="BI20" s="15"/>
      <c r="BJ20" s="15"/>
      <c r="BK20" s="15"/>
      <c r="BL20" s="15"/>
      <c r="BM20" s="20"/>
      <c r="BN20" s="42" t="str">
        <f t="shared" si="21"/>
        <v/>
      </c>
      <c r="BO20" s="42" t="str">
        <f t="shared" si="22"/>
        <v/>
      </c>
      <c r="BP20" s="42" t="str">
        <f t="shared" si="23"/>
        <v/>
      </c>
      <c r="BQ20" s="42" t="str">
        <f t="shared" si="24"/>
        <v/>
      </c>
      <c r="BR20" s="10" t="str">
        <f t="shared" si="25"/>
        <v/>
      </c>
      <c r="BS20" s="10" t="str">
        <f t="shared" si="26"/>
        <v/>
      </c>
      <c r="BT20" s="10" t="str">
        <f t="shared" si="27"/>
        <v/>
      </c>
      <c r="BU20" s="10" t="str">
        <f t="shared" si="28"/>
        <v/>
      </c>
      <c r="BV20" s="10" t="str">
        <f t="shared" si="29"/>
        <v/>
      </c>
      <c r="BW20" s="10" t="str">
        <f t="shared" si="30"/>
        <v/>
      </c>
      <c r="BX20" s="10" t="str">
        <f t="shared" si="31"/>
        <v/>
      </c>
      <c r="BY20" s="10" t="str">
        <f t="shared" si="32"/>
        <v/>
      </c>
      <c r="BZ20" s="10" t="str">
        <f t="shared" si="33"/>
        <v/>
      </c>
      <c r="CA20" s="34">
        <f t="shared" si="34"/>
        <v>0.5</v>
      </c>
      <c r="CB20" s="34">
        <f t="shared" si="35"/>
        <v>23.4</v>
      </c>
      <c r="CC20" s="14"/>
      <c r="CD20" s="14"/>
      <c r="CE20" s="14"/>
      <c r="CF20" s="14"/>
      <c r="CG20" s="14"/>
      <c r="CH20" s="14"/>
      <c r="CI20" s="14"/>
      <c r="CJ20" s="14"/>
      <c r="CK20" s="14"/>
      <c r="CL20" s="14"/>
      <c r="CM20" s="14"/>
      <c r="CN20" s="14"/>
      <c r="CO20" s="14"/>
      <c r="CP20" s="14"/>
      <c r="CQ20" s="14"/>
      <c r="CR20" s="14"/>
      <c r="CS20" s="14"/>
      <c r="CT20" s="14"/>
      <c r="CU20" s="14"/>
      <c r="CV20" s="14"/>
      <c r="CW20" s="27" t="str">
        <f t="shared" si="36"/>
        <v/>
      </c>
      <c r="CX20" s="27" t="str">
        <f t="shared" si="37"/>
        <v/>
      </c>
      <c r="CY20" s="27" t="str">
        <f t="shared" si="38"/>
        <v/>
      </c>
      <c r="CZ20" s="27" t="str">
        <f t="shared" si="39"/>
        <v/>
      </c>
      <c r="DA20" s="27" t="str">
        <f t="shared" si="40"/>
        <v/>
      </c>
      <c r="DB20" s="27" t="str">
        <f t="shared" si="41"/>
        <v/>
      </c>
      <c r="DC20" s="27" t="str">
        <f t="shared" si="42"/>
        <v/>
      </c>
      <c r="DD20" s="27" t="str">
        <f t="shared" si="43"/>
        <v/>
      </c>
      <c r="DE20" s="27" t="str">
        <f t="shared" si="44"/>
        <v/>
      </c>
      <c r="DF20" s="27" t="str">
        <f t="shared" si="45"/>
        <v/>
      </c>
      <c r="DG20" s="27" t="str">
        <f t="shared" si="46"/>
        <v/>
      </c>
      <c r="DH20" s="27" t="str">
        <f t="shared" si="47"/>
        <v/>
      </c>
      <c r="DI20" s="27" t="str">
        <f t="shared" si="48"/>
        <v/>
      </c>
      <c r="DJ20" s="27" t="str">
        <f t="shared" si="49"/>
        <v/>
      </c>
      <c r="DK20" s="27" t="str">
        <f t="shared" si="50"/>
        <v/>
      </c>
      <c r="DL20" s="15">
        <v>18.399999999999999</v>
      </c>
      <c r="DM20" s="15">
        <v>5.2</v>
      </c>
      <c r="DN20" s="15">
        <v>0.2</v>
      </c>
      <c r="DO20" s="15">
        <v>0</v>
      </c>
      <c r="DP20" s="15">
        <v>18.399999999999999</v>
      </c>
      <c r="DQ20" s="15">
        <v>3.6</v>
      </c>
      <c r="DR20" s="15">
        <v>0.2</v>
      </c>
      <c r="DS20" s="15">
        <v>0</v>
      </c>
      <c r="DT20" s="15"/>
      <c r="DU20" s="15"/>
      <c r="DV20" s="15"/>
      <c r="DW20" s="15"/>
      <c r="DX20" s="15"/>
      <c r="DY20" s="15"/>
      <c r="DZ20" s="15"/>
      <c r="EA20" s="15"/>
      <c r="EB20" s="15"/>
      <c r="EC20" s="15"/>
      <c r="ED20" s="15"/>
      <c r="EE20" s="15"/>
      <c r="EF20" s="10">
        <f t="shared" si="51"/>
        <v>5.2</v>
      </c>
      <c r="EG20" s="10">
        <f t="shared" si="52"/>
        <v>23.4</v>
      </c>
      <c r="EH20" s="10">
        <f t="shared" si="53"/>
        <v>3.6</v>
      </c>
      <c r="EI20" s="10">
        <f t="shared" si="54"/>
        <v>21.8</v>
      </c>
      <c r="EJ20" s="10">
        <f t="shared" si="55"/>
        <v>8.8000000000000007</v>
      </c>
      <c r="EK20" s="10">
        <f t="shared" si="56"/>
        <v>45.2</v>
      </c>
      <c r="EL20" s="10" t="str">
        <f t="shared" si="57"/>
        <v/>
      </c>
      <c r="EM20" s="10" t="str">
        <f t="shared" si="58"/>
        <v/>
      </c>
      <c r="EN20" s="10" t="str">
        <f t="shared" si="59"/>
        <v/>
      </c>
      <c r="EO20" s="10" t="str">
        <f t="shared" si="60"/>
        <v/>
      </c>
      <c r="EP20" s="10" t="str">
        <f t="shared" si="61"/>
        <v/>
      </c>
      <c r="EQ20" s="10" t="str">
        <f t="shared" si="62"/>
        <v/>
      </c>
      <c r="ER20" s="10" t="str">
        <f t="shared" si="63"/>
        <v/>
      </c>
      <c r="ES20" s="10" t="str">
        <f t="shared" si="64"/>
        <v/>
      </c>
      <c r="ET20" s="10">
        <f t="shared" si="65"/>
        <v>45.2</v>
      </c>
    </row>
    <row r="21" spans="1:150" x14ac:dyDescent="0.2">
      <c r="A21" s="3" t="str" cm="1">
        <f t="array" ref="A21">IF(AND(H21&lt;&gt;"",H21&lt;&gt;"No DD",I21&lt;&gt;"P"),SUMPRODUCT((H$4:H$30&lt;&gt;"")*(H$4:H$30&lt;&gt;"No DD")*(I$4:I$30&lt;&gt;"P")*(E$4:E$30&gt;E21))+1,IF(H21="No DD",SUMPRODUCT((H$4:H$30="No DD")*(I$4:I$30&lt;&gt;"P")*(E$4:E$30&gt;E21))+1+SUMPRODUCT((H$4:H$30&lt;&gt;"")*(I$4:I$30&lt;&gt;"P")*(H$4:H$30&lt;&gt;"No DD")),""))</f>
        <v/>
      </c>
      <c r="B21" s="4" t="s">
        <v>106</v>
      </c>
      <c r="C21" s="3" t="s">
        <v>4</v>
      </c>
      <c r="D21" s="3">
        <v>2005</v>
      </c>
      <c r="E21" s="8">
        <f t="shared" si="0"/>
        <v>46.8</v>
      </c>
      <c r="F21" s="2" t="str">
        <f>IF(OR(AND(AO21&lt;&gt;"",AO21&gt;=AV$35,AN21&gt;=AV$32),AND(AU21&lt;&gt;"",AU21&gt;=AV$35,AT21&gt;=AV$32),AND(BS21&lt;&gt;"",BS21&gt;=BZ$35,BR21&gt;=BZ$32),AND(BY21&lt;&gt;"",BY21&gt;=BZ$35,BX21&gt;=BZ$32),AND(DB21&lt;&gt;"",DB21&gt;=DK$35,DA21&gt;=DK$32),AND(DJ21&lt;&gt;"",DJ21&gt;=DK$35,DI21&gt;=DK$32),AND(EK21&lt;&gt;"",EK21&gt;=ET$35,EJ21&gt;=ET$32),AND(ES21&lt;&gt;"",ES21&gt;=ET$35,ER21&gt;=ET$32)),"P","")</f>
        <v/>
      </c>
      <c r="G21" s="2" t="str">
        <f>IF(OR(AND(AO21&lt;&gt;"",AO21&gt;=AV$35),AND(AU21&lt;&gt;"",AU21&gt;=AV$35),AND(BS21&lt;&gt;"",BS21&gt;=BZ$35),AND(BY21&lt;&gt;"",BY21&gt;=BZ$35),AND(DB21&lt;&gt;"",DB21&gt;=DK$35),AND(DJ21&lt;&gt;"",DJ21&gt;=DK$35),AND(EK21&lt;&gt;"",EK21&gt;=ET$35),AND(ES21&lt;&gt;"",ES21&gt;=ET$35)),"P","")</f>
        <v/>
      </c>
      <c r="H21" s="26" t="str">
        <f>IF(AND(G21="P",F21=""),"No DD",IF(OR(AND(AK21&lt;&gt;"",AK21&gt;=AV$37,AJ21&gt;=AV$34),AND(AM21&lt;&gt;"",AM21&gt;=AV$37,AL21&gt;=AV$34),AND(AQ21&lt;&gt;"",AQ21&gt;=AV$37,AP21&gt;=AV$34),AND(AS21&lt;&gt;"",AS21&gt;=AV$37,AR21&gt;=AV$34),AND(BO21&lt;&gt;"",BO21&gt;=BZ$37,BN21&gt;=BZ$34),AND(BQ21&lt;&gt;"",BQ21&gt;=BZ$37,BP21&gt;=BZ$34),AND(BV21&lt;&gt;"",BV21&gt;=BZ$37,BU21&gt;=BZ$34),AND(BX21&lt;&gt;"",BX21&gt;=BZ$37,BW21&gt;=BZ$34),AND(CX21&lt;&gt;"",CX21&gt;=DK$37,CW21&gt;=DK$34),AND(CZ21&lt;&gt;"",CZ21&gt;=DK$37,CY21&gt;=DK$34),AND(DD21&lt;&gt;"",DD21&gt;=DK$37,DC21&gt;=DK$34),AND(DF21&lt;&gt;"",DF21&gt;=DK$37,DE21&gt;=DK$34),AND(DH21&lt;&gt;"",DH21&gt;=DK$37,DG21&gt;=DK$34),AND(EG21&lt;&gt;"",EG21&gt;=ET$37,EF21&gt;=ET$34),AND(EI21&lt;&gt;"",EI21&gt;=ET$37,EH21&gt;=ET$34),AND(EM21&lt;&gt;"",EM21&gt;=ET$37,EL21&gt;=ET$34),AND(EO21&lt;&gt;"",EO21&gt;=ET$37,EN21&gt;=ET$34),AND(EQ21&lt;&gt;"",EQ21&gt;=ET$37,EP21&gt;=ET$34)),"Performance",IF(I21="P","National Team",IF(F21="P","National Team",""))))</f>
        <v/>
      </c>
      <c r="I21" s="2" t="str">
        <f>IF(COUNTIFS('Senior-W'!B:B,B21,'Senior-W'!A:A,"&lt;9",'Senior-W'!H:H,"&lt;&gt;"&amp;"No DD"),"P","")</f>
        <v/>
      </c>
      <c r="J21" s="7">
        <f t="shared" si="1"/>
        <v>0</v>
      </c>
      <c r="K21" s="7" t="str">
        <f t="shared" si="2"/>
        <v/>
      </c>
      <c r="L21" s="7">
        <f>IF(J21=AO21,IF(COUNT(AQ21,AS21,BO21,BQ21,BU21,BW21)&gt;1,LARGE((AQ21,AS21,BO21,BQ21,BU21,BW21),1),0),IF(COUNT(AK21,AM21,AQ21,AS21,BU21,BW21)&gt;1,LARGE((AK21,AM21,AQ21,AS21,BU21,BW21),1),0))</f>
        <v>0</v>
      </c>
      <c r="M21" s="7" t="str">
        <f t="shared" si="3"/>
        <v/>
      </c>
      <c r="N21" s="7">
        <f>IF(J21=AO21,IF(COUNT(AQ21,AS21,BO21,BQ21,BU21,BW21)&gt;1,LARGE((AQ21,AS21,BO21,BQ21,BU21,BW21),2),0),IF(COUNT(AK21,AM21,AQ21,AS21,BU21,BW21)&gt;1,LARGE((AK21,AM21,AQ21,AS21,BU21,BW21),2),0))</f>
        <v>0</v>
      </c>
      <c r="O21" s="7" t="str">
        <f t="shared" si="4"/>
        <v/>
      </c>
      <c r="P21" s="7">
        <f t="shared" si="5"/>
        <v>46.8</v>
      </c>
      <c r="Q21" s="10" t="str">
        <f t="shared" si="6"/>
        <v>(Q1)</v>
      </c>
      <c r="R21" s="7" t="str">
        <f t="shared" si="7"/>
        <v>2025 WAGC (Nov 16)</v>
      </c>
      <c r="S21" s="38">
        <v>0</v>
      </c>
      <c r="T21" s="38">
        <v>0</v>
      </c>
      <c r="U21" s="38">
        <v>0</v>
      </c>
      <c r="V21" s="38">
        <v>0</v>
      </c>
      <c r="W21" s="38">
        <v>0</v>
      </c>
      <c r="X21" s="38">
        <v>0</v>
      </c>
      <c r="Y21" s="38">
        <v>0</v>
      </c>
      <c r="Z21" s="38">
        <v>0</v>
      </c>
      <c r="AA21" s="38" t="s">
        <v>175</v>
      </c>
      <c r="AB21" s="38" t="s">
        <v>175</v>
      </c>
      <c r="AC21" s="38" t="s">
        <v>175</v>
      </c>
      <c r="AD21" s="38" t="s">
        <v>175</v>
      </c>
      <c r="AE21" s="38" t="s">
        <v>175</v>
      </c>
      <c r="AF21" s="38" t="s">
        <v>175</v>
      </c>
      <c r="AG21" s="38" t="s">
        <v>175</v>
      </c>
      <c r="AH21" s="38" t="s">
        <v>175</v>
      </c>
      <c r="AI21" s="19"/>
      <c r="AJ21" s="41">
        <f t="shared" si="8"/>
        <v>0</v>
      </c>
      <c r="AK21" s="41">
        <f t="shared" si="9"/>
        <v>0</v>
      </c>
      <c r="AL21" s="41">
        <f t="shared" si="10"/>
        <v>0</v>
      </c>
      <c r="AM21" s="41">
        <f t="shared" si="11"/>
        <v>0</v>
      </c>
      <c r="AN21" s="27" t="str">
        <f t="shared" si="12"/>
        <v/>
      </c>
      <c r="AO21" s="27" t="str">
        <f t="shared" si="13"/>
        <v/>
      </c>
      <c r="AP21" s="27" t="str">
        <f t="shared" si="14"/>
        <v/>
      </c>
      <c r="AQ21" s="27" t="str">
        <f t="shared" si="15"/>
        <v/>
      </c>
      <c r="AR21" s="27" t="str">
        <f t="shared" si="16"/>
        <v/>
      </c>
      <c r="AS21" s="27" t="str">
        <f t="shared" si="17"/>
        <v/>
      </c>
      <c r="AT21" s="27" t="str">
        <f t="shared" si="18"/>
        <v/>
      </c>
      <c r="AU21" s="27" t="str">
        <f t="shared" si="19"/>
        <v/>
      </c>
      <c r="AV21" s="27" t="str">
        <f t="shared" si="20"/>
        <v/>
      </c>
      <c r="AW21" s="15"/>
      <c r="AX21" s="15"/>
      <c r="AY21" s="15"/>
      <c r="AZ21" s="15"/>
      <c r="BA21" s="15"/>
      <c r="BB21" s="15"/>
      <c r="BC21" s="15"/>
      <c r="BD21" s="15"/>
      <c r="BE21" s="15"/>
      <c r="BF21" s="15"/>
      <c r="BG21" s="15"/>
      <c r="BH21" s="15"/>
      <c r="BI21" s="15"/>
      <c r="BJ21" s="15"/>
      <c r="BK21" s="15"/>
      <c r="BL21" s="15"/>
      <c r="BM21" s="20"/>
      <c r="BN21" s="42" t="str">
        <f t="shared" si="21"/>
        <v/>
      </c>
      <c r="BO21" s="42" t="str">
        <f t="shared" si="22"/>
        <v/>
      </c>
      <c r="BP21" s="42" t="str">
        <f t="shared" si="23"/>
        <v/>
      </c>
      <c r="BQ21" s="42" t="str">
        <f t="shared" si="24"/>
        <v/>
      </c>
      <c r="BR21" s="10" t="str">
        <f t="shared" si="25"/>
        <v/>
      </c>
      <c r="BS21" s="10" t="str">
        <f t="shared" si="26"/>
        <v/>
      </c>
      <c r="BT21" s="10" t="str">
        <f t="shared" si="27"/>
        <v/>
      </c>
      <c r="BU21" s="10" t="str">
        <f t="shared" si="28"/>
        <v/>
      </c>
      <c r="BV21" s="10" t="str">
        <f t="shared" si="29"/>
        <v/>
      </c>
      <c r="BW21" s="10" t="str">
        <f t="shared" si="30"/>
        <v/>
      </c>
      <c r="BX21" s="10" t="str">
        <f t="shared" si="31"/>
        <v/>
      </c>
      <c r="BY21" s="10" t="str">
        <f t="shared" si="32"/>
        <v/>
      </c>
      <c r="BZ21" s="10" t="str">
        <f t="shared" si="33"/>
        <v/>
      </c>
      <c r="CA21" s="34">
        <f t="shared" si="34"/>
        <v>46.8</v>
      </c>
      <c r="CB21" s="34">
        <f t="shared" si="35"/>
        <v>24.2</v>
      </c>
      <c r="CC21" s="14"/>
      <c r="CD21" s="14"/>
      <c r="CE21" s="14"/>
      <c r="CF21" s="14"/>
      <c r="CG21" s="14"/>
      <c r="CH21" s="14"/>
      <c r="CI21" s="14"/>
      <c r="CJ21" s="14"/>
      <c r="CK21" s="14"/>
      <c r="CL21" s="14"/>
      <c r="CM21" s="14"/>
      <c r="CN21" s="14"/>
      <c r="CO21" s="14"/>
      <c r="CP21" s="14"/>
      <c r="CQ21" s="14"/>
      <c r="CR21" s="14"/>
      <c r="CS21" s="14"/>
      <c r="CT21" s="14"/>
      <c r="CU21" s="14"/>
      <c r="CV21" s="14"/>
      <c r="CW21" s="27" t="str">
        <f t="shared" si="36"/>
        <v/>
      </c>
      <c r="CX21" s="27" t="str">
        <f t="shared" si="37"/>
        <v/>
      </c>
      <c r="CY21" s="27" t="str">
        <f t="shared" si="38"/>
        <v/>
      </c>
      <c r="CZ21" s="27" t="str">
        <f t="shared" si="39"/>
        <v/>
      </c>
      <c r="DA21" s="27" t="str">
        <f t="shared" si="40"/>
        <v/>
      </c>
      <c r="DB21" s="27" t="str">
        <f t="shared" si="41"/>
        <v/>
      </c>
      <c r="DC21" s="27" t="str">
        <f t="shared" si="42"/>
        <v/>
      </c>
      <c r="DD21" s="27" t="str">
        <f t="shared" si="43"/>
        <v/>
      </c>
      <c r="DE21" s="27" t="str">
        <f t="shared" si="44"/>
        <v/>
      </c>
      <c r="DF21" s="27" t="str">
        <f t="shared" si="45"/>
        <v/>
      </c>
      <c r="DG21" s="27" t="str">
        <f t="shared" si="46"/>
        <v/>
      </c>
      <c r="DH21" s="27" t="str">
        <f t="shared" si="47"/>
        <v/>
      </c>
      <c r="DI21" s="27" t="str">
        <f t="shared" si="48"/>
        <v/>
      </c>
      <c r="DJ21" s="27" t="str">
        <f t="shared" si="49"/>
        <v/>
      </c>
      <c r="DK21" s="27" t="str">
        <f t="shared" si="50"/>
        <v/>
      </c>
      <c r="DL21" s="15">
        <v>18</v>
      </c>
      <c r="DM21" s="15">
        <v>6.4</v>
      </c>
      <c r="DN21" s="15">
        <v>0.2</v>
      </c>
      <c r="DO21" s="15">
        <v>0</v>
      </c>
      <c r="DP21" s="15">
        <v>18.399999999999999</v>
      </c>
      <c r="DQ21" s="15">
        <v>5.2</v>
      </c>
      <c r="DR21" s="15">
        <v>1</v>
      </c>
      <c r="DS21" s="15">
        <v>0</v>
      </c>
      <c r="DT21" s="15"/>
      <c r="DU21" s="15"/>
      <c r="DV21" s="15"/>
      <c r="DW21" s="15"/>
      <c r="DX21" s="15"/>
      <c r="DY21" s="15"/>
      <c r="DZ21" s="15"/>
      <c r="EA21" s="15"/>
      <c r="EB21" s="15"/>
      <c r="EC21" s="15"/>
      <c r="ED21" s="15"/>
      <c r="EE21" s="15"/>
      <c r="EF21" s="10">
        <f t="shared" si="51"/>
        <v>6.4</v>
      </c>
      <c r="EG21" s="10">
        <f t="shared" si="52"/>
        <v>24.2</v>
      </c>
      <c r="EH21" s="10">
        <f t="shared" si="53"/>
        <v>5.2</v>
      </c>
      <c r="EI21" s="10">
        <f t="shared" si="54"/>
        <v>22.599999999999998</v>
      </c>
      <c r="EJ21" s="10">
        <f t="shared" si="55"/>
        <v>11.600000000000001</v>
      </c>
      <c r="EK21" s="10">
        <f t="shared" si="56"/>
        <v>46.8</v>
      </c>
      <c r="EL21" s="10" t="str">
        <f t="shared" si="57"/>
        <v/>
      </c>
      <c r="EM21" s="10" t="str">
        <f t="shared" si="58"/>
        <v/>
      </c>
      <c r="EN21" s="10" t="str">
        <f t="shared" si="59"/>
        <v/>
      </c>
      <c r="EO21" s="10" t="str">
        <f t="shared" si="60"/>
        <v/>
      </c>
      <c r="EP21" s="10" t="str">
        <f t="shared" si="61"/>
        <v/>
      </c>
      <c r="EQ21" s="10" t="str">
        <f t="shared" si="62"/>
        <v/>
      </c>
      <c r="ER21" s="10" t="str">
        <f t="shared" si="63"/>
        <v/>
      </c>
      <c r="ES21" s="10" t="str">
        <f t="shared" si="64"/>
        <v/>
      </c>
      <c r="ET21" s="10">
        <f t="shared" si="65"/>
        <v>46.8</v>
      </c>
    </row>
    <row r="22" spans="1:150" x14ac:dyDescent="0.2">
      <c r="A22" s="3" t="str" cm="1">
        <f t="array" ref="A22">IF(AND(H22&lt;&gt;"",H22&lt;&gt;"No DD",I22&lt;&gt;"P"),SUMPRODUCT((H$4:H$30&lt;&gt;"")*(H$4:H$30&lt;&gt;"No DD")*(I$4:I$30&lt;&gt;"P")*(E$4:E$30&gt;E22))+1,IF(H22="No DD",SUMPRODUCT((H$4:H$30="No DD")*(I$4:I$30&lt;&gt;"P")*(E$4:E$30&gt;E22))+1+SUMPRODUCT((H$4:H$30&lt;&gt;"")*(I$4:I$30&lt;&gt;"P")*(H$4:H$30&lt;&gt;"No DD")),""))</f>
        <v/>
      </c>
      <c r="B22" s="4" t="s">
        <v>112</v>
      </c>
      <c r="C22" s="3" t="s">
        <v>4</v>
      </c>
      <c r="D22" s="3">
        <v>2008</v>
      </c>
      <c r="E22" s="8">
        <f t="shared" si="0"/>
        <v>45.099999999999994</v>
      </c>
      <c r="F22" s="2" t="str">
        <f>IF(OR(AND(AO22&lt;&gt;"",AO22&gt;=AV$35,AN22&gt;=AV$32),AND(AU22&lt;&gt;"",AU22&gt;=AV$35,AT22&gt;=AV$32),AND(BS22&lt;&gt;"",BS22&gt;=BZ$35,BR22&gt;=BZ$32),AND(BY22&lt;&gt;"",BY22&gt;=BZ$35,BX22&gt;=BZ$32),AND(DB22&lt;&gt;"",DB22&gt;=DK$35,DA22&gt;=DK$32),AND(DJ22&lt;&gt;"",DJ22&gt;=DK$35,DI22&gt;=DK$32),AND(EK22&lt;&gt;"",EK22&gt;=ET$35,EJ22&gt;=ET$32),AND(ES22&lt;&gt;"",ES22&gt;=ET$35,ER22&gt;=ET$32)),"P","")</f>
        <v/>
      </c>
      <c r="G22" s="2" t="str">
        <f>IF(OR(AND(AO22&lt;&gt;"",AO22&gt;=AV$35),AND(AU22&lt;&gt;"",AU22&gt;=AV$35),AND(BS22&lt;&gt;"",BS22&gt;=BZ$35),AND(BY22&lt;&gt;"",BY22&gt;=BZ$35),AND(DB22&lt;&gt;"",DB22&gt;=DK$35),AND(DJ22&lt;&gt;"",DJ22&gt;=DK$35),AND(EK22&lt;&gt;"",EK22&gt;=ET$35),AND(ES22&lt;&gt;"",ES22&gt;=ET$35)),"P","")</f>
        <v/>
      </c>
      <c r="H22" s="26" t="str">
        <f>IF(AND(G22="P",F22=""),"No DD",IF(OR(AND(AK22&lt;&gt;"",AK22&gt;=AV$37,AJ22&gt;=AV$34),AND(AM22&lt;&gt;"",AM22&gt;=AV$37,AL22&gt;=AV$34),AND(AQ22&lt;&gt;"",AQ22&gt;=AV$37,AP22&gt;=AV$34),AND(AS22&lt;&gt;"",AS22&gt;=AV$37,AR22&gt;=AV$34),AND(BO22&lt;&gt;"",BO22&gt;=BZ$37,BN22&gt;=BZ$34),AND(BQ22&lt;&gt;"",BQ22&gt;=BZ$37,BP22&gt;=BZ$34),AND(BV22&lt;&gt;"",BV22&gt;=BZ$37,BU22&gt;=BZ$34),AND(BX22&lt;&gt;"",BX22&gt;=BZ$37,BW22&gt;=BZ$34),AND(CX22&lt;&gt;"",CX22&gt;=DK$37,CW22&gt;=DK$34),AND(CZ22&lt;&gt;"",CZ22&gt;=DK$37,CY22&gt;=DK$34),AND(DD22&lt;&gt;"",DD22&gt;=DK$37,DC22&gt;=DK$34),AND(DF22&lt;&gt;"",DF22&gt;=DK$37,DE22&gt;=DK$34),AND(DH22&lt;&gt;"",DH22&gt;=DK$37,DG22&gt;=DK$34),AND(EG22&lt;&gt;"",EG22&gt;=ET$37,EF22&gt;=ET$34),AND(EI22&lt;&gt;"",EI22&gt;=ET$37,EH22&gt;=ET$34),AND(EM22&lt;&gt;"",EM22&gt;=ET$37,EL22&gt;=ET$34),AND(EO22&lt;&gt;"",EO22&gt;=ET$37,EN22&gt;=ET$34),AND(EQ22&lt;&gt;"",EQ22&gt;=ET$37,EP22&gt;=ET$34)),"Performance",IF(I22="P","National Team",IF(F22="P","National Team",""))))</f>
        <v/>
      </c>
      <c r="I22" s="2" t="str">
        <f>IF(COUNTIFS('Senior-W'!B:B,B22,'Senior-W'!A:A,"&lt;9",'Senior-W'!H:H,"&lt;&gt;"&amp;"No DD"),"P","")</f>
        <v/>
      </c>
      <c r="J22" s="7">
        <f t="shared" si="1"/>
        <v>0</v>
      </c>
      <c r="K22" s="7" t="str">
        <f t="shared" si="2"/>
        <v/>
      </c>
      <c r="L22" s="7">
        <f>IF(J22=AO22,IF(COUNT(AQ22,AS22,BO22,BQ22,BU22,BW22)&gt;1,LARGE((AQ22,AS22,BO22,BQ22,BU22,BW22),1),0),IF(COUNT(AK22,AM22,AQ22,AS22,BU22,BW22)&gt;1,LARGE((AK22,AM22,AQ22,AS22,BU22,BW22),1),0))</f>
        <v>0</v>
      </c>
      <c r="M22" s="7" t="str">
        <f t="shared" si="3"/>
        <v/>
      </c>
      <c r="N22" s="7">
        <f>IF(J22=AO22,IF(COUNT(AQ22,AS22,BO22,BQ22,BU22,BW22)&gt;1,LARGE((AQ22,AS22,BO22,BQ22,BU22,BW22),2),0),IF(COUNT(AK22,AM22,AQ22,AS22,BU22,BW22)&gt;1,LARGE((AK22,AM22,AQ22,AS22,BU22,BW22),2),0))</f>
        <v>0</v>
      </c>
      <c r="O22" s="7" t="str">
        <f t="shared" si="4"/>
        <v/>
      </c>
      <c r="P22" s="7">
        <f t="shared" si="5"/>
        <v>45.099999999999994</v>
      </c>
      <c r="Q22" s="10" t="str">
        <f t="shared" si="6"/>
        <v>(Q1)</v>
      </c>
      <c r="R22" s="7" t="str">
        <f t="shared" si="7"/>
        <v>2025 WAGC (Nov 16)</v>
      </c>
      <c r="S22" s="38" t="s">
        <v>175</v>
      </c>
      <c r="T22" s="38" t="s">
        <v>175</v>
      </c>
      <c r="U22" s="38" t="s">
        <v>175</v>
      </c>
      <c r="V22" s="38" t="s">
        <v>175</v>
      </c>
      <c r="W22" s="38" t="s">
        <v>175</v>
      </c>
      <c r="X22" s="38" t="s">
        <v>175</v>
      </c>
      <c r="Y22" s="38" t="s">
        <v>175</v>
      </c>
      <c r="Z22" s="38" t="s">
        <v>175</v>
      </c>
      <c r="AA22" s="38" t="s">
        <v>175</v>
      </c>
      <c r="AB22" s="38" t="s">
        <v>175</v>
      </c>
      <c r="AC22" s="38" t="s">
        <v>175</v>
      </c>
      <c r="AD22" s="38" t="s">
        <v>175</v>
      </c>
      <c r="AE22" s="38" t="s">
        <v>175</v>
      </c>
      <c r="AF22" s="38" t="s">
        <v>175</v>
      </c>
      <c r="AG22" s="38" t="s">
        <v>175</v>
      </c>
      <c r="AH22" s="38" t="s">
        <v>175</v>
      </c>
      <c r="AI22" s="19"/>
      <c r="AJ22" s="41" t="str">
        <f t="shared" si="8"/>
        <v/>
      </c>
      <c r="AK22" s="41" t="str">
        <f t="shared" si="9"/>
        <v/>
      </c>
      <c r="AL22" s="41" t="str">
        <f t="shared" si="10"/>
        <v/>
      </c>
      <c r="AM22" s="41" t="str">
        <f t="shared" si="11"/>
        <v/>
      </c>
      <c r="AN22" s="27" t="str">
        <f t="shared" si="12"/>
        <v/>
      </c>
      <c r="AO22" s="27" t="str">
        <f t="shared" si="13"/>
        <v/>
      </c>
      <c r="AP22" s="27" t="str">
        <f t="shared" si="14"/>
        <v/>
      </c>
      <c r="AQ22" s="27" t="str">
        <f t="shared" si="15"/>
        <v/>
      </c>
      <c r="AR22" s="27" t="str">
        <f t="shared" si="16"/>
        <v/>
      </c>
      <c r="AS22" s="27" t="str">
        <f t="shared" si="17"/>
        <v/>
      </c>
      <c r="AT22" s="27" t="str">
        <f t="shared" si="18"/>
        <v/>
      </c>
      <c r="AU22" s="27" t="str">
        <f t="shared" si="19"/>
        <v/>
      </c>
      <c r="AV22" s="27" t="str">
        <f t="shared" si="20"/>
        <v/>
      </c>
      <c r="AW22" s="15"/>
      <c r="AX22" s="15"/>
      <c r="AY22" s="15"/>
      <c r="AZ22" s="15"/>
      <c r="BA22" s="15"/>
      <c r="BB22" s="15"/>
      <c r="BC22" s="15"/>
      <c r="BD22" s="15"/>
      <c r="BE22" s="15"/>
      <c r="BF22" s="15"/>
      <c r="BG22" s="15"/>
      <c r="BH22" s="15"/>
      <c r="BI22" s="15"/>
      <c r="BJ22" s="15"/>
      <c r="BK22" s="15"/>
      <c r="BL22" s="15"/>
      <c r="BM22" s="20"/>
      <c r="BN22" s="42" t="str">
        <f t="shared" si="21"/>
        <v/>
      </c>
      <c r="BO22" s="42" t="str">
        <f t="shared" si="22"/>
        <v/>
      </c>
      <c r="BP22" s="42" t="str">
        <f t="shared" si="23"/>
        <v/>
      </c>
      <c r="BQ22" s="42" t="str">
        <f t="shared" si="24"/>
        <v/>
      </c>
      <c r="BR22" s="10" t="str">
        <f t="shared" si="25"/>
        <v/>
      </c>
      <c r="BS22" s="10" t="str">
        <f t="shared" si="26"/>
        <v/>
      </c>
      <c r="BT22" s="10" t="str">
        <f t="shared" si="27"/>
        <v/>
      </c>
      <c r="BU22" s="10" t="str">
        <f t="shared" si="28"/>
        <v/>
      </c>
      <c r="BV22" s="10" t="str">
        <f t="shared" si="29"/>
        <v/>
      </c>
      <c r="BW22" s="10" t="str">
        <f t="shared" si="30"/>
        <v/>
      </c>
      <c r="BX22" s="10" t="str">
        <f t="shared" si="31"/>
        <v/>
      </c>
      <c r="BY22" s="10" t="str">
        <f t="shared" si="32"/>
        <v/>
      </c>
      <c r="BZ22" s="10" t="str">
        <f t="shared" si="33"/>
        <v/>
      </c>
      <c r="CA22" s="34">
        <f t="shared" si="34"/>
        <v>45.099999999999994</v>
      </c>
      <c r="CB22" s="34">
        <f t="shared" si="35"/>
        <v>22.9</v>
      </c>
      <c r="CC22" s="14"/>
      <c r="CD22" s="14"/>
      <c r="CE22" s="14"/>
      <c r="CF22" s="14"/>
      <c r="CG22" s="14"/>
      <c r="CH22" s="14"/>
      <c r="CI22" s="14"/>
      <c r="CJ22" s="14"/>
      <c r="CK22" s="14"/>
      <c r="CL22" s="14"/>
      <c r="CM22" s="14"/>
      <c r="CN22" s="14"/>
      <c r="CO22" s="14"/>
      <c r="CP22" s="14"/>
      <c r="CQ22" s="14"/>
      <c r="CR22" s="14"/>
      <c r="CS22" s="14"/>
      <c r="CT22" s="14"/>
      <c r="CU22" s="14"/>
      <c r="CV22" s="14"/>
      <c r="CW22" s="27" t="str">
        <f t="shared" si="36"/>
        <v/>
      </c>
      <c r="CX22" s="27" t="str">
        <f t="shared" si="37"/>
        <v/>
      </c>
      <c r="CY22" s="27" t="str">
        <f t="shared" si="38"/>
        <v/>
      </c>
      <c r="CZ22" s="27" t="str">
        <f t="shared" si="39"/>
        <v/>
      </c>
      <c r="DA22" s="27" t="str">
        <f t="shared" si="40"/>
        <v/>
      </c>
      <c r="DB22" s="27" t="str">
        <f t="shared" si="41"/>
        <v/>
      </c>
      <c r="DC22" s="27" t="str">
        <f t="shared" si="42"/>
        <v/>
      </c>
      <c r="DD22" s="27" t="str">
        <f t="shared" si="43"/>
        <v/>
      </c>
      <c r="DE22" s="27" t="str">
        <f t="shared" si="44"/>
        <v/>
      </c>
      <c r="DF22" s="27" t="str">
        <f t="shared" si="45"/>
        <v/>
      </c>
      <c r="DG22" s="27" t="str">
        <f t="shared" si="46"/>
        <v/>
      </c>
      <c r="DH22" s="27" t="str">
        <f t="shared" si="47"/>
        <v/>
      </c>
      <c r="DI22" s="27" t="str">
        <f t="shared" si="48"/>
        <v/>
      </c>
      <c r="DJ22" s="27" t="str">
        <f t="shared" si="49"/>
        <v/>
      </c>
      <c r="DK22" s="27" t="str">
        <f t="shared" si="50"/>
        <v/>
      </c>
      <c r="DL22" s="15">
        <v>18</v>
      </c>
      <c r="DM22" s="15">
        <v>4.8</v>
      </c>
      <c r="DN22" s="15">
        <v>0.6</v>
      </c>
      <c r="DO22" s="15">
        <v>0</v>
      </c>
      <c r="DP22" s="15">
        <v>17.899999999999999</v>
      </c>
      <c r="DQ22" s="15">
        <v>5.2</v>
      </c>
      <c r="DR22" s="15">
        <v>0.2</v>
      </c>
      <c r="DS22" s="15">
        <v>0</v>
      </c>
      <c r="DT22" s="15"/>
      <c r="DU22" s="15"/>
      <c r="DV22" s="15"/>
      <c r="DW22" s="15"/>
      <c r="DX22" s="15"/>
      <c r="DY22" s="15"/>
      <c r="DZ22" s="15"/>
      <c r="EA22" s="15"/>
      <c r="EB22" s="15"/>
      <c r="EC22" s="15"/>
      <c r="ED22" s="15"/>
      <c r="EE22" s="15"/>
      <c r="EF22" s="10">
        <f t="shared" si="51"/>
        <v>4.8</v>
      </c>
      <c r="EG22" s="10">
        <f t="shared" si="52"/>
        <v>22.2</v>
      </c>
      <c r="EH22" s="10">
        <f t="shared" si="53"/>
        <v>5.2</v>
      </c>
      <c r="EI22" s="10">
        <f t="shared" si="54"/>
        <v>22.9</v>
      </c>
      <c r="EJ22" s="10">
        <f t="shared" si="55"/>
        <v>10</v>
      </c>
      <c r="EK22" s="10">
        <f t="shared" si="56"/>
        <v>45.099999999999994</v>
      </c>
      <c r="EL22" s="10" t="str">
        <f t="shared" si="57"/>
        <v/>
      </c>
      <c r="EM22" s="10" t="str">
        <f t="shared" si="58"/>
        <v/>
      </c>
      <c r="EN22" s="10" t="str">
        <f t="shared" si="59"/>
        <v/>
      </c>
      <c r="EO22" s="10" t="str">
        <f t="shared" si="60"/>
        <v/>
      </c>
      <c r="EP22" s="10" t="str">
        <f t="shared" si="61"/>
        <v/>
      </c>
      <c r="EQ22" s="10" t="str">
        <f t="shared" si="62"/>
        <v/>
      </c>
      <c r="ER22" s="10" t="str">
        <f t="shared" si="63"/>
        <v/>
      </c>
      <c r="ES22" s="10" t="str">
        <f t="shared" si="64"/>
        <v/>
      </c>
      <c r="ET22" s="10">
        <f t="shared" si="65"/>
        <v>45.099999999999994</v>
      </c>
    </row>
    <row r="23" spans="1:150" x14ac:dyDescent="0.2">
      <c r="A23" s="3" t="str" cm="1">
        <f t="array" ref="A23">IF(AND(H23&lt;&gt;"",H23&lt;&gt;"No DD",I23&lt;&gt;"P"),SUMPRODUCT((H$4:H$30&lt;&gt;"")*(H$4:H$30&lt;&gt;"No DD")*(I$4:I$30&lt;&gt;"P")*(E$4:E$30&gt;E23))+1,IF(H23="No DD",SUMPRODUCT((H$4:H$30="No DD")*(I$4:I$30&lt;&gt;"P")*(E$4:E$30&gt;E23))+1+SUMPRODUCT((H$4:H$30&lt;&gt;"")*(I$4:I$30&lt;&gt;"P")*(H$4:H$30&lt;&gt;"No DD")),""))</f>
        <v/>
      </c>
      <c r="B23" s="4" t="s">
        <v>137</v>
      </c>
      <c r="C23" s="3" t="s">
        <v>4</v>
      </c>
      <c r="D23" s="3">
        <v>2006</v>
      </c>
      <c r="E23" s="8">
        <f t="shared" si="0"/>
        <v>39.400003940003941</v>
      </c>
      <c r="F23" s="2" t="str">
        <f>IF(OR(AND(AO23&lt;&gt;"",AO23&gt;=AV$35,AN23&gt;=AV$32),AND(AU23&lt;&gt;"",AU23&gt;=AV$35,AT23&gt;=AV$32),AND(BS23&lt;&gt;"",BS23&gt;=BZ$35,BR23&gt;=BZ$32),AND(BY23&lt;&gt;"",BY23&gt;=BZ$35,BX23&gt;=BZ$32),AND(DB23&lt;&gt;"",DB23&gt;=DK$35,DA23&gt;=DK$32),AND(DJ23&lt;&gt;"",DJ23&gt;=DK$35,DI23&gt;=DK$32),AND(EK23&lt;&gt;"",EK23&gt;=ET$35,EJ23&gt;=ET$32),AND(ES23&lt;&gt;"",ES23&gt;=ET$35,ER23&gt;=ET$32)),"P","")</f>
        <v/>
      </c>
      <c r="G23" s="2" t="str">
        <f>IF(OR(AND(AO23&lt;&gt;"",AO23&gt;=AV$35),AND(AU23&lt;&gt;"",AU23&gt;=AV$35),AND(BS23&lt;&gt;"",BS23&gt;=BZ$35),AND(BY23&lt;&gt;"",BY23&gt;=BZ$35),AND(DB23&lt;&gt;"",DB23&gt;=DK$35),AND(DJ23&lt;&gt;"",DJ23&gt;=DK$35),AND(EK23&lt;&gt;"",EK23&gt;=ET$35),AND(ES23&lt;&gt;"",ES23&gt;=ET$35)),"P","")</f>
        <v/>
      </c>
      <c r="H23" s="26" t="str">
        <f>IF(AND(G23="P",F23=""),"No DD",IF(OR(AND(AK23&lt;&gt;"",AK23&gt;=AV$37,AJ23&gt;=AV$34),AND(AM23&lt;&gt;"",AM23&gt;=AV$37,AL23&gt;=AV$34),AND(AQ23&lt;&gt;"",AQ23&gt;=AV$37,AP23&gt;=AV$34),AND(AS23&lt;&gt;"",AS23&gt;=AV$37,AR23&gt;=AV$34),AND(BO23&lt;&gt;"",BO23&gt;=BZ$37,BN23&gt;=BZ$34),AND(BQ23&lt;&gt;"",BQ23&gt;=BZ$37,BP23&gt;=BZ$34),AND(BV23&lt;&gt;"",BV23&gt;=BZ$37,BU23&gt;=BZ$34),AND(BX23&lt;&gt;"",BX23&gt;=BZ$37,BW23&gt;=BZ$34),AND(CX23&lt;&gt;"",CX23&gt;=DK$37,CW23&gt;=DK$34),AND(CZ23&lt;&gt;"",CZ23&gt;=DK$37,CY23&gt;=DK$34),AND(DD23&lt;&gt;"",DD23&gt;=DK$37,DC23&gt;=DK$34),AND(DF23&lt;&gt;"",DF23&gt;=DK$37,DE23&gt;=DK$34),AND(DH23&lt;&gt;"",DH23&gt;=DK$37,DG23&gt;=DK$34),AND(EG23&lt;&gt;"",EG23&gt;=ET$37,EF23&gt;=ET$34),AND(EI23&lt;&gt;"",EI23&gt;=ET$37,EH23&gt;=ET$34),AND(EM23&lt;&gt;"",EM23&gt;=ET$37,EL23&gt;=ET$34),AND(EO23&lt;&gt;"",EO23&gt;=ET$37,EN23&gt;=ET$34),AND(EQ23&lt;&gt;"",EQ23&gt;=ET$37,EP23&gt;=ET$34)),"Performance",IF(I23="P","National Team",IF(F23="P","National Team",""))))</f>
        <v/>
      </c>
      <c r="I23" s="2" t="str">
        <f>IF(COUNTIFS('Senior-W'!B:B,B23,'Senior-W'!A:A,"&lt;9",'Senior-W'!H:H,"&lt;&gt;"&amp;"No DD"),"P","")</f>
        <v/>
      </c>
      <c r="J23" s="7">
        <f t="shared" si="1"/>
        <v>39.4</v>
      </c>
      <c r="K23" s="7" t="str">
        <f t="shared" si="2"/>
        <v>2026 Elite Canada</v>
      </c>
      <c r="L23" s="7">
        <f>IF(J23=AO23,IF(COUNT(AQ23,AS23,BO23,BQ23,BU23,BW23)&gt;1,LARGE((AQ23,AS23,BO23,BQ23,BU23,BW23),1),0),IF(COUNT(AK23,AM23,AQ23,AS23,BU23,BW23)&gt;1,LARGE((AK23,AM23,AQ23,AS23,BU23,BW23),1),0))</f>
        <v>0</v>
      </c>
      <c r="M23" s="7" t="str">
        <f t="shared" si="3"/>
        <v/>
      </c>
      <c r="N23" s="7">
        <f>IF(J23=AO23,IF(COUNT(AQ23,AS23,BO23,BQ23,BU23,BW23)&gt;1,LARGE((AQ23,AS23,BO23,BQ23,BU23,BW23),2),0),IF(COUNT(AK23,AM23,AQ23,AS23,BU23,BW23)&gt;1,LARGE((AK23,AM23,AQ23,AS23,BU23,BW23),2),0))</f>
        <v>0</v>
      </c>
      <c r="O23" s="7" t="str">
        <f t="shared" si="4"/>
        <v/>
      </c>
      <c r="P23" s="7" t="str">
        <f t="shared" si="5"/>
        <v/>
      </c>
      <c r="Q23" s="10" t="str">
        <f t="shared" si="6"/>
        <v/>
      </c>
      <c r="R23" s="7" t="str">
        <f t="shared" si="7"/>
        <v/>
      </c>
      <c r="S23" s="38">
        <v>15.6</v>
      </c>
      <c r="T23" s="38">
        <v>1.2</v>
      </c>
      <c r="U23" s="38">
        <v>0</v>
      </c>
      <c r="V23" s="38">
        <v>0</v>
      </c>
      <c r="W23" s="38">
        <v>18.399999999999999</v>
      </c>
      <c r="X23" s="38">
        <v>4.4000000000000004</v>
      </c>
      <c r="Y23" s="38">
        <v>0.2</v>
      </c>
      <c r="Z23" s="38">
        <v>0</v>
      </c>
      <c r="AA23" s="38" t="s">
        <v>175</v>
      </c>
      <c r="AB23" s="38" t="s">
        <v>175</v>
      </c>
      <c r="AC23" s="38" t="s">
        <v>175</v>
      </c>
      <c r="AD23" s="38" t="s">
        <v>175</v>
      </c>
      <c r="AE23" s="38" t="s">
        <v>175</v>
      </c>
      <c r="AF23" s="38" t="s">
        <v>175</v>
      </c>
      <c r="AG23" s="38" t="s">
        <v>175</v>
      </c>
      <c r="AH23" s="38" t="s">
        <v>175</v>
      </c>
      <c r="AI23" s="19"/>
      <c r="AJ23" s="41">
        <f t="shared" si="8"/>
        <v>1.2</v>
      </c>
      <c r="AK23" s="41">
        <f t="shared" si="9"/>
        <v>16.8</v>
      </c>
      <c r="AL23" s="41">
        <f t="shared" si="10"/>
        <v>4.4000000000000004</v>
      </c>
      <c r="AM23" s="41">
        <f t="shared" si="11"/>
        <v>22.599999999999998</v>
      </c>
      <c r="AN23" s="27">
        <f t="shared" si="12"/>
        <v>5.6000000000000005</v>
      </c>
      <c r="AO23" s="27">
        <f t="shared" si="13"/>
        <v>39.4</v>
      </c>
      <c r="AP23" s="27" t="str">
        <f t="shared" si="14"/>
        <v/>
      </c>
      <c r="AQ23" s="27" t="str">
        <f t="shared" si="15"/>
        <v/>
      </c>
      <c r="AR23" s="27" t="str">
        <f t="shared" si="16"/>
        <v/>
      </c>
      <c r="AS23" s="27" t="str">
        <f t="shared" si="17"/>
        <v/>
      </c>
      <c r="AT23" s="27" t="str">
        <f t="shared" si="18"/>
        <v/>
      </c>
      <c r="AU23" s="27" t="str">
        <f t="shared" si="19"/>
        <v/>
      </c>
      <c r="AV23" s="27">
        <f t="shared" si="20"/>
        <v>39.4</v>
      </c>
      <c r="AW23" s="15"/>
      <c r="AX23" s="15"/>
      <c r="AY23" s="15"/>
      <c r="AZ23" s="15"/>
      <c r="BA23" s="15"/>
      <c r="BB23" s="15"/>
      <c r="BC23" s="15"/>
      <c r="BD23" s="15"/>
      <c r="BE23" s="15"/>
      <c r="BF23" s="15"/>
      <c r="BG23" s="15"/>
      <c r="BH23" s="15"/>
      <c r="BI23" s="15"/>
      <c r="BJ23" s="15"/>
      <c r="BK23" s="15"/>
      <c r="BL23" s="15"/>
      <c r="BM23" s="20"/>
      <c r="BN23" s="42" t="str">
        <f t="shared" si="21"/>
        <v/>
      </c>
      <c r="BO23" s="42" t="str">
        <f t="shared" si="22"/>
        <v/>
      </c>
      <c r="BP23" s="42" t="str">
        <f t="shared" si="23"/>
        <v/>
      </c>
      <c r="BQ23" s="42" t="str">
        <f t="shared" si="24"/>
        <v/>
      </c>
      <c r="BR23" s="10" t="str">
        <f t="shared" si="25"/>
        <v/>
      </c>
      <c r="BS23" s="10" t="str">
        <f t="shared" si="26"/>
        <v/>
      </c>
      <c r="BT23" s="10" t="str">
        <f t="shared" si="27"/>
        <v/>
      </c>
      <c r="BU23" s="10" t="str">
        <f t="shared" si="28"/>
        <v/>
      </c>
      <c r="BV23" s="10" t="str">
        <f t="shared" si="29"/>
        <v/>
      </c>
      <c r="BW23" s="10" t="str">
        <f t="shared" si="30"/>
        <v/>
      </c>
      <c r="BX23" s="10" t="str">
        <f t="shared" si="31"/>
        <v/>
      </c>
      <c r="BY23" s="10" t="str">
        <f t="shared" si="32"/>
        <v/>
      </c>
      <c r="BZ23" s="10" t="str">
        <f t="shared" si="33"/>
        <v/>
      </c>
      <c r="CA23" s="34" t="str">
        <f t="shared" si="34"/>
        <v/>
      </c>
      <c r="CB23" s="34" t="str">
        <f t="shared" si="35"/>
        <v/>
      </c>
      <c r="CC23" s="14"/>
      <c r="CD23" s="14"/>
      <c r="CE23" s="14"/>
      <c r="CF23" s="14"/>
      <c r="CG23" s="14"/>
      <c r="CH23" s="14"/>
      <c r="CI23" s="14"/>
      <c r="CJ23" s="14"/>
      <c r="CK23" s="14"/>
      <c r="CL23" s="14"/>
      <c r="CM23" s="14"/>
      <c r="CN23" s="14"/>
      <c r="CO23" s="14"/>
      <c r="CP23" s="14"/>
      <c r="CQ23" s="14"/>
      <c r="CR23" s="14"/>
      <c r="CS23" s="14"/>
      <c r="CT23" s="14"/>
      <c r="CU23" s="14"/>
      <c r="CV23" s="14"/>
      <c r="CW23" s="27" t="str">
        <f t="shared" si="36"/>
        <v/>
      </c>
      <c r="CX23" s="27" t="str">
        <f t="shared" si="37"/>
        <v/>
      </c>
      <c r="CY23" s="27" t="str">
        <f t="shared" si="38"/>
        <v/>
      </c>
      <c r="CZ23" s="27" t="str">
        <f t="shared" si="39"/>
        <v/>
      </c>
      <c r="DA23" s="27" t="str">
        <f t="shared" si="40"/>
        <v/>
      </c>
      <c r="DB23" s="27" t="str">
        <f t="shared" si="41"/>
        <v/>
      </c>
      <c r="DC23" s="27" t="str">
        <f t="shared" si="42"/>
        <v/>
      </c>
      <c r="DD23" s="27" t="str">
        <f t="shared" si="43"/>
        <v/>
      </c>
      <c r="DE23" s="27" t="str">
        <f t="shared" si="44"/>
        <v/>
      </c>
      <c r="DF23" s="27" t="str">
        <f t="shared" si="45"/>
        <v/>
      </c>
      <c r="DG23" s="27" t="str">
        <f t="shared" si="46"/>
        <v/>
      </c>
      <c r="DH23" s="27" t="str">
        <f t="shared" si="47"/>
        <v/>
      </c>
      <c r="DI23" s="27" t="str">
        <f t="shared" si="48"/>
        <v/>
      </c>
      <c r="DJ23" s="27" t="str">
        <f t="shared" si="49"/>
        <v/>
      </c>
      <c r="DK23" s="27" t="str">
        <f t="shared" si="50"/>
        <v/>
      </c>
      <c r="DL23" s="15"/>
      <c r="DM23" s="15"/>
      <c r="DN23" s="15"/>
      <c r="DO23" s="15"/>
      <c r="DP23" s="15"/>
      <c r="DQ23" s="15"/>
      <c r="DR23" s="15"/>
      <c r="DS23" s="15"/>
      <c r="DT23" s="15"/>
      <c r="DU23" s="15"/>
      <c r="DV23" s="15"/>
      <c r="DW23" s="15"/>
      <c r="DX23" s="15"/>
      <c r="DY23" s="15"/>
      <c r="DZ23" s="15"/>
      <c r="EA23" s="15"/>
      <c r="EB23" s="15"/>
      <c r="EC23" s="15"/>
      <c r="ED23" s="15"/>
      <c r="EE23" s="15"/>
      <c r="EF23" s="10" t="str">
        <f t="shared" si="51"/>
        <v/>
      </c>
      <c r="EG23" s="10" t="str">
        <f t="shared" si="52"/>
        <v/>
      </c>
      <c r="EH23" s="10" t="str">
        <f t="shared" si="53"/>
        <v/>
      </c>
      <c r="EI23" s="10" t="str">
        <f t="shared" si="54"/>
        <v/>
      </c>
      <c r="EJ23" s="10" t="str">
        <f t="shared" si="55"/>
        <v/>
      </c>
      <c r="EK23" s="10" t="str">
        <f t="shared" si="56"/>
        <v/>
      </c>
      <c r="EL23" s="10" t="str">
        <f t="shared" si="57"/>
        <v/>
      </c>
      <c r="EM23" s="10" t="str">
        <f t="shared" si="58"/>
        <v/>
      </c>
      <c r="EN23" s="10" t="str">
        <f t="shared" si="59"/>
        <v/>
      </c>
      <c r="EO23" s="10" t="str">
        <f t="shared" si="60"/>
        <v/>
      </c>
      <c r="EP23" s="10" t="str">
        <f t="shared" si="61"/>
        <v/>
      </c>
      <c r="EQ23" s="10" t="str">
        <f t="shared" si="62"/>
        <v/>
      </c>
      <c r="ER23" s="10" t="str">
        <f t="shared" si="63"/>
        <v/>
      </c>
      <c r="ES23" s="10" t="str">
        <f t="shared" si="64"/>
        <v/>
      </c>
      <c r="ET23" s="10" t="str">
        <f t="shared" si="65"/>
        <v/>
      </c>
    </row>
    <row r="24" spans="1:150" x14ac:dyDescent="0.2">
      <c r="A24" s="3" t="str" cm="1">
        <f t="array" ref="A24">IF(AND(H24&lt;&gt;"",H24&lt;&gt;"No DD",I24&lt;&gt;"P"),SUMPRODUCT((H$4:H$30&lt;&gt;"")*(H$4:H$30&lt;&gt;"No DD")*(I$4:I$30&lt;&gt;"P")*(E$4:E$30&gt;E24))+1,IF(H24="No DD",SUMPRODUCT((H$4:H$30="No DD")*(I$4:I$30&lt;&gt;"P")*(E$4:E$30&gt;E24))+1+SUMPRODUCT((H$4:H$30&lt;&gt;"")*(I$4:I$30&lt;&gt;"P")*(H$4:H$30&lt;&gt;"No DD")),""))</f>
        <v/>
      </c>
      <c r="B24" s="4" t="s">
        <v>131</v>
      </c>
      <c r="C24" s="3" t="s">
        <v>4</v>
      </c>
      <c r="D24" s="3">
        <v>2005</v>
      </c>
      <c r="E24" s="8">
        <f t="shared" si="0"/>
        <v>39.100003910003906</v>
      </c>
      <c r="F24" s="2" t="str">
        <f>IF(OR(AND(AO24&lt;&gt;"",AO24&gt;=AV$35,AN24&gt;=AV$32),AND(AU24&lt;&gt;"",AU24&gt;=AV$35,AT24&gt;=AV$32),AND(BS24&lt;&gt;"",BS24&gt;=BZ$35,BR24&gt;=BZ$32),AND(BY24&lt;&gt;"",BY24&gt;=BZ$35,BX24&gt;=BZ$32),AND(DB24&lt;&gt;"",DB24&gt;=DK$35,DA24&gt;=DK$32),AND(DJ24&lt;&gt;"",DJ24&gt;=DK$35,DI24&gt;=DK$32),AND(EK24&lt;&gt;"",EK24&gt;=ET$35,EJ24&gt;=ET$32),AND(ES24&lt;&gt;"",ES24&gt;=ET$35,ER24&gt;=ET$32)),"P","")</f>
        <v/>
      </c>
      <c r="G24" s="2" t="str">
        <f>IF(OR(AND(AO24&lt;&gt;"",AO24&gt;=AV$35),AND(AU24&lt;&gt;"",AU24&gt;=AV$35),AND(BS24&lt;&gt;"",BS24&gt;=BZ$35),AND(BY24&lt;&gt;"",BY24&gt;=BZ$35),AND(DB24&lt;&gt;"",DB24&gt;=DK$35),AND(DJ24&lt;&gt;"",DJ24&gt;=DK$35),AND(EK24&lt;&gt;"",EK24&gt;=ET$35),AND(ES24&lt;&gt;"",ES24&gt;=ET$35)),"P","")</f>
        <v/>
      </c>
      <c r="H24" s="26" t="str">
        <f>IF(AND(G24="P",F24=""),"No DD",IF(OR(AND(AK24&lt;&gt;"",AK24&gt;=AV$37,AJ24&gt;=AV$34),AND(AM24&lt;&gt;"",AM24&gt;=AV$37,AL24&gt;=AV$34),AND(AQ24&lt;&gt;"",AQ24&gt;=AV$37,AP24&gt;=AV$34),AND(AS24&lt;&gt;"",AS24&gt;=AV$37,AR24&gt;=AV$34),AND(BO24&lt;&gt;"",BO24&gt;=BZ$37,BN24&gt;=BZ$34),AND(BQ24&lt;&gt;"",BQ24&gt;=BZ$37,BP24&gt;=BZ$34),AND(BV24&lt;&gt;"",BV24&gt;=BZ$37,BU24&gt;=BZ$34),AND(BX24&lt;&gt;"",BX24&gt;=BZ$37,BW24&gt;=BZ$34),AND(CX24&lt;&gt;"",CX24&gt;=DK$37,CW24&gt;=DK$34),AND(CZ24&lt;&gt;"",CZ24&gt;=DK$37,CY24&gt;=DK$34),AND(DD24&lt;&gt;"",DD24&gt;=DK$37,DC24&gt;=DK$34),AND(DF24&lt;&gt;"",DF24&gt;=DK$37,DE24&gt;=DK$34),AND(DH24&lt;&gt;"",DH24&gt;=DK$37,DG24&gt;=DK$34),AND(EG24&lt;&gt;"",EG24&gt;=ET$37,EF24&gt;=ET$34),AND(EI24&lt;&gt;"",EI24&gt;=ET$37,EH24&gt;=ET$34),AND(EM24&lt;&gt;"",EM24&gt;=ET$37,EL24&gt;=ET$34),AND(EO24&lt;&gt;"",EO24&gt;=ET$37,EN24&gt;=ET$34),AND(EQ24&lt;&gt;"",EQ24&gt;=ET$37,EP24&gt;=ET$34)),"Performance",IF(I24="P","National Team",IF(F24="P","National Team",""))))</f>
        <v/>
      </c>
      <c r="I24" s="2" t="str">
        <f>IF(COUNTIFS('Senior-W'!B:B,B24,'Senior-W'!A:A,"&lt;9",'Senior-W'!H:H,"&lt;&gt;"&amp;"No DD"),"P","")</f>
        <v/>
      </c>
      <c r="J24" s="7">
        <f t="shared" si="1"/>
        <v>39.1</v>
      </c>
      <c r="K24" s="7" t="str">
        <f t="shared" si="2"/>
        <v>2026 Elite Canada</v>
      </c>
      <c r="L24" s="7">
        <f>IF(J24=AO24,IF(COUNT(AQ24,AS24,BO24,BQ24,BU24,BW24)&gt;1,LARGE((AQ24,AS24,BO24,BQ24,BU24,BW24),1),0),IF(COUNT(AK24,AM24,AQ24,AS24,BU24,BW24)&gt;1,LARGE((AK24,AM24,AQ24,AS24,BU24,BW24),1),0))</f>
        <v>0</v>
      </c>
      <c r="M24" s="7" t="str">
        <f t="shared" si="3"/>
        <v/>
      </c>
      <c r="N24" s="7">
        <f>IF(J24=AO24,IF(COUNT(AQ24,AS24,BO24,BQ24,BU24,BW24)&gt;1,LARGE((AQ24,AS24,BO24,BQ24,BU24,BW24),2),0),IF(COUNT(AK24,AM24,AQ24,AS24,BU24,BW24)&gt;1,LARGE((AK24,AM24,AQ24,AS24,BU24,BW24),2),0))</f>
        <v>0</v>
      </c>
      <c r="O24" s="7" t="str">
        <f t="shared" si="4"/>
        <v/>
      </c>
      <c r="P24" s="7" t="str">
        <f t="shared" si="5"/>
        <v/>
      </c>
      <c r="Q24" s="10" t="str">
        <f t="shared" si="6"/>
        <v/>
      </c>
      <c r="R24" s="7" t="str">
        <f t="shared" si="7"/>
        <v/>
      </c>
      <c r="S24" s="38">
        <v>18.7</v>
      </c>
      <c r="T24" s="38">
        <v>1.6</v>
      </c>
      <c r="U24" s="38">
        <v>1</v>
      </c>
      <c r="V24" s="38">
        <v>0</v>
      </c>
      <c r="W24" s="38">
        <v>19.5</v>
      </c>
      <c r="X24" s="38">
        <v>1.3</v>
      </c>
      <c r="Y24" s="38">
        <v>1</v>
      </c>
      <c r="Z24" s="38">
        <v>0</v>
      </c>
      <c r="AA24" s="38" t="s">
        <v>175</v>
      </c>
      <c r="AB24" s="38" t="s">
        <v>175</v>
      </c>
      <c r="AC24" s="38" t="s">
        <v>175</v>
      </c>
      <c r="AD24" s="38" t="s">
        <v>175</v>
      </c>
      <c r="AE24" s="38" t="s">
        <v>175</v>
      </c>
      <c r="AF24" s="38" t="s">
        <v>175</v>
      </c>
      <c r="AG24" s="38" t="s">
        <v>175</v>
      </c>
      <c r="AH24" s="38" t="s">
        <v>175</v>
      </c>
      <c r="AI24" s="19"/>
      <c r="AJ24" s="41">
        <f t="shared" si="8"/>
        <v>1.6</v>
      </c>
      <c r="AK24" s="41">
        <f t="shared" si="9"/>
        <v>19.3</v>
      </c>
      <c r="AL24" s="41">
        <f t="shared" si="10"/>
        <v>1.3</v>
      </c>
      <c r="AM24" s="41">
        <f t="shared" si="11"/>
        <v>19.8</v>
      </c>
      <c r="AN24" s="27">
        <f t="shared" si="12"/>
        <v>2.9000000000000004</v>
      </c>
      <c r="AO24" s="27">
        <f t="shared" si="13"/>
        <v>39.1</v>
      </c>
      <c r="AP24" s="27" t="str">
        <f t="shared" si="14"/>
        <v/>
      </c>
      <c r="AQ24" s="27" t="str">
        <f t="shared" si="15"/>
        <v/>
      </c>
      <c r="AR24" s="27" t="str">
        <f t="shared" si="16"/>
        <v/>
      </c>
      <c r="AS24" s="27" t="str">
        <f t="shared" si="17"/>
        <v/>
      </c>
      <c r="AT24" s="27" t="str">
        <f t="shared" si="18"/>
        <v/>
      </c>
      <c r="AU24" s="27" t="str">
        <f t="shared" si="19"/>
        <v/>
      </c>
      <c r="AV24" s="27">
        <f t="shared" si="20"/>
        <v>39.1</v>
      </c>
      <c r="AW24" s="15"/>
      <c r="AX24" s="15"/>
      <c r="AY24" s="15"/>
      <c r="AZ24" s="15"/>
      <c r="BA24" s="15"/>
      <c r="BB24" s="15"/>
      <c r="BC24" s="15"/>
      <c r="BD24" s="15"/>
      <c r="BE24" s="15"/>
      <c r="BF24" s="15"/>
      <c r="BG24" s="15"/>
      <c r="BH24" s="15"/>
      <c r="BI24" s="15"/>
      <c r="BJ24" s="15"/>
      <c r="BK24" s="15"/>
      <c r="BL24" s="15"/>
      <c r="BM24" s="20"/>
      <c r="BN24" s="42" t="str">
        <f t="shared" si="21"/>
        <v/>
      </c>
      <c r="BO24" s="42" t="str">
        <f t="shared" si="22"/>
        <v/>
      </c>
      <c r="BP24" s="42" t="str">
        <f t="shared" si="23"/>
        <v/>
      </c>
      <c r="BQ24" s="42" t="str">
        <f t="shared" si="24"/>
        <v/>
      </c>
      <c r="BR24" s="10" t="str">
        <f t="shared" si="25"/>
        <v/>
      </c>
      <c r="BS24" s="10" t="str">
        <f t="shared" si="26"/>
        <v/>
      </c>
      <c r="BT24" s="10" t="str">
        <f t="shared" si="27"/>
        <v/>
      </c>
      <c r="BU24" s="10" t="str">
        <f t="shared" si="28"/>
        <v/>
      </c>
      <c r="BV24" s="10" t="str">
        <f t="shared" si="29"/>
        <v/>
      </c>
      <c r="BW24" s="10" t="str">
        <f t="shared" si="30"/>
        <v/>
      </c>
      <c r="BX24" s="10" t="str">
        <f t="shared" si="31"/>
        <v/>
      </c>
      <c r="BY24" s="10" t="str">
        <f t="shared" si="32"/>
        <v/>
      </c>
      <c r="BZ24" s="10" t="str">
        <f t="shared" si="33"/>
        <v/>
      </c>
      <c r="CA24" s="34" t="str">
        <f t="shared" si="34"/>
        <v/>
      </c>
      <c r="CB24" s="34" t="str">
        <f t="shared" si="35"/>
        <v/>
      </c>
      <c r="CC24" s="14"/>
      <c r="CD24" s="14"/>
      <c r="CE24" s="14"/>
      <c r="CF24" s="14"/>
      <c r="CG24" s="14"/>
      <c r="CH24" s="14"/>
      <c r="CI24" s="14"/>
      <c r="CJ24" s="14"/>
      <c r="CK24" s="14"/>
      <c r="CL24" s="14"/>
      <c r="CM24" s="14"/>
      <c r="CN24" s="14"/>
      <c r="CO24" s="14"/>
      <c r="CP24" s="14"/>
      <c r="CQ24" s="14"/>
      <c r="CR24" s="14"/>
      <c r="CS24" s="14"/>
      <c r="CT24" s="14"/>
      <c r="CU24" s="14"/>
      <c r="CV24" s="14"/>
      <c r="CW24" s="27" t="str">
        <f t="shared" si="36"/>
        <v/>
      </c>
      <c r="CX24" s="27" t="str">
        <f t="shared" si="37"/>
        <v/>
      </c>
      <c r="CY24" s="27" t="str">
        <f t="shared" si="38"/>
        <v/>
      </c>
      <c r="CZ24" s="27" t="str">
        <f t="shared" si="39"/>
        <v/>
      </c>
      <c r="DA24" s="27" t="str">
        <f t="shared" si="40"/>
        <v/>
      </c>
      <c r="DB24" s="27" t="str">
        <f t="shared" si="41"/>
        <v/>
      </c>
      <c r="DC24" s="27" t="str">
        <f t="shared" si="42"/>
        <v/>
      </c>
      <c r="DD24" s="27" t="str">
        <f t="shared" si="43"/>
        <v/>
      </c>
      <c r="DE24" s="27" t="str">
        <f t="shared" si="44"/>
        <v/>
      </c>
      <c r="DF24" s="27" t="str">
        <f t="shared" si="45"/>
        <v/>
      </c>
      <c r="DG24" s="27" t="str">
        <f t="shared" si="46"/>
        <v/>
      </c>
      <c r="DH24" s="27" t="str">
        <f t="shared" si="47"/>
        <v/>
      </c>
      <c r="DI24" s="27" t="str">
        <f t="shared" si="48"/>
        <v/>
      </c>
      <c r="DJ24" s="27" t="str">
        <f t="shared" si="49"/>
        <v/>
      </c>
      <c r="DK24" s="27" t="str">
        <f t="shared" si="50"/>
        <v/>
      </c>
      <c r="DL24" s="15"/>
      <c r="DM24" s="15"/>
      <c r="DN24" s="15"/>
      <c r="DO24" s="15"/>
      <c r="DP24" s="15"/>
      <c r="DQ24" s="15"/>
      <c r="DR24" s="15"/>
      <c r="DS24" s="15"/>
      <c r="DT24" s="15"/>
      <c r="DU24" s="15"/>
      <c r="DV24" s="15"/>
      <c r="DW24" s="15"/>
      <c r="DX24" s="15"/>
      <c r="DY24" s="15"/>
      <c r="DZ24" s="15"/>
      <c r="EA24" s="15"/>
      <c r="EB24" s="15"/>
      <c r="EC24" s="15"/>
      <c r="ED24" s="15"/>
      <c r="EE24" s="15"/>
      <c r="EF24" s="10" t="str">
        <f t="shared" si="51"/>
        <v/>
      </c>
      <c r="EG24" s="10" t="str">
        <f t="shared" si="52"/>
        <v/>
      </c>
      <c r="EH24" s="10" t="str">
        <f t="shared" si="53"/>
        <v/>
      </c>
      <c r="EI24" s="10" t="str">
        <f t="shared" si="54"/>
        <v/>
      </c>
      <c r="EJ24" s="10" t="str">
        <f t="shared" si="55"/>
        <v/>
      </c>
      <c r="EK24" s="10" t="str">
        <f t="shared" si="56"/>
        <v/>
      </c>
      <c r="EL24" s="10" t="str">
        <f t="shared" si="57"/>
        <v/>
      </c>
      <c r="EM24" s="10" t="str">
        <f t="shared" si="58"/>
        <v/>
      </c>
      <c r="EN24" s="10" t="str">
        <f t="shared" si="59"/>
        <v/>
      </c>
      <c r="EO24" s="10" t="str">
        <f t="shared" si="60"/>
        <v/>
      </c>
      <c r="EP24" s="10" t="str">
        <f t="shared" si="61"/>
        <v/>
      </c>
      <c r="EQ24" s="10" t="str">
        <f t="shared" si="62"/>
        <v/>
      </c>
      <c r="ER24" s="10" t="str">
        <f t="shared" si="63"/>
        <v/>
      </c>
      <c r="ES24" s="10" t="str">
        <f t="shared" si="64"/>
        <v/>
      </c>
      <c r="ET24" s="10" t="str">
        <f t="shared" si="65"/>
        <v/>
      </c>
    </row>
    <row r="25" spans="1:150" x14ac:dyDescent="0.2">
      <c r="A25" s="3" t="str" cm="1">
        <f t="array" ref="A25">IF(AND(H25&lt;&gt;"",H25&lt;&gt;"No DD",I25&lt;&gt;"P"),SUMPRODUCT((H$4:H$30&lt;&gt;"")*(H$4:H$30&lt;&gt;"No DD")*(I$4:I$30&lt;&gt;"P")*(E$4:E$30&gt;E25))+1,IF(H25="No DD",SUMPRODUCT((H$4:H$30="No DD")*(I$4:I$30&lt;&gt;"P")*(E$4:E$30&gt;E25))+1+SUMPRODUCT((H$4:H$30&lt;&gt;"")*(I$4:I$30&lt;&gt;"P")*(H$4:H$30&lt;&gt;"No DD")),""))</f>
        <v/>
      </c>
      <c r="B25" s="4" t="s">
        <v>136</v>
      </c>
      <c r="C25" s="3" t="s">
        <v>69</v>
      </c>
      <c r="D25" s="3">
        <v>2006</v>
      </c>
      <c r="E25" s="8">
        <f t="shared" si="0"/>
        <v>38.100003810003813</v>
      </c>
      <c r="F25" s="2" t="str">
        <f>IF(OR(AND(AO25&lt;&gt;"",AO25&gt;=AV$35,AN25&gt;=AV$32),AND(AU25&lt;&gt;"",AU25&gt;=AV$35,AT25&gt;=AV$32),AND(BS25&lt;&gt;"",BS25&gt;=BZ$35,BR25&gt;=BZ$32),AND(BY25&lt;&gt;"",BY25&gt;=BZ$35,BX25&gt;=BZ$32),AND(DB25&lt;&gt;"",DB25&gt;=DK$35,DA25&gt;=DK$32),AND(DJ25&lt;&gt;"",DJ25&gt;=DK$35,DI25&gt;=DK$32),AND(EK25&lt;&gt;"",EK25&gt;=ET$35,EJ25&gt;=ET$32),AND(ES25&lt;&gt;"",ES25&gt;=ET$35,ER25&gt;=ET$32)),"P","")</f>
        <v/>
      </c>
      <c r="G25" s="2" t="str">
        <f>IF(OR(AND(AO25&lt;&gt;"",AO25&gt;=AV$35),AND(AU25&lt;&gt;"",AU25&gt;=AV$35),AND(BS25&lt;&gt;"",BS25&gt;=BZ$35),AND(BY25&lt;&gt;"",BY25&gt;=BZ$35),AND(DB25&lt;&gt;"",DB25&gt;=DK$35),AND(DJ25&lt;&gt;"",DJ25&gt;=DK$35),AND(EK25&lt;&gt;"",EK25&gt;=ET$35),AND(ES25&lt;&gt;"",ES25&gt;=ET$35)),"P","")</f>
        <v/>
      </c>
      <c r="H25" s="26" t="str">
        <f>IF(AND(G25="P",F25=""),"No DD",IF(OR(AND(AK25&lt;&gt;"",AK25&gt;=AV$37,AJ25&gt;=AV$34),AND(AM25&lt;&gt;"",AM25&gt;=AV$37,AL25&gt;=AV$34),AND(AQ25&lt;&gt;"",AQ25&gt;=AV$37,AP25&gt;=AV$34),AND(AS25&lt;&gt;"",AS25&gt;=AV$37,AR25&gt;=AV$34),AND(BO25&lt;&gt;"",BO25&gt;=BZ$37,BN25&gt;=BZ$34),AND(BQ25&lt;&gt;"",BQ25&gt;=BZ$37,BP25&gt;=BZ$34),AND(BV25&lt;&gt;"",BV25&gt;=BZ$37,BU25&gt;=BZ$34),AND(BX25&lt;&gt;"",BX25&gt;=BZ$37,BW25&gt;=BZ$34),AND(CX25&lt;&gt;"",CX25&gt;=DK$37,CW25&gt;=DK$34),AND(CZ25&lt;&gt;"",CZ25&gt;=DK$37,CY25&gt;=DK$34),AND(DD25&lt;&gt;"",DD25&gt;=DK$37,DC25&gt;=DK$34),AND(DF25&lt;&gt;"",DF25&gt;=DK$37,DE25&gt;=DK$34),AND(DH25&lt;&gt;"",DH25&gt;=DK$37,DG25&gt;=DK$34),AND(EG25&lt;&gt;"",EG25&gt;=ET$37,EF25&gt;=ET$34),AND(EI25&lt;&gt;"",EI25&gt;=ET$37,EH25&gt;=ET$34),AND(EM25&lt;&gt;"",EM25&gt;=ET$37,EL25&gt;=ET$34),AND(EO25&lt;&gt;"",EO25&gt;=ET$37,EN25&gt;=ET$34),AND(EQ25&lt;&gt;"",EQ25&gt;=ET$37,EP25&gt;=ET$34)),"Performance",IF(I25="P","National Team",IF(F25="P","National Team",""))))</f>
        <v/>
      </c>
      <c r="I25" s="2" t="str">
        <f>IF(COUNTIFS('Senior-W'!B:B,B25,'Senior-W'!A:A,"&lt;9",'Senior-W'!H:H,"&lt;&gt;"&amp;"No DD"),"P","")</f>
        <v/>
      </c>
      <c r="J25" s="7">
        <f t="shared" si="1"/>
        <v>38.1</v>
      </c>
      <c r="K25" s="7" t="str">
        <f t="shared" si="2"/>
        <v>2026 Elite Canada</v>
      </c>
      <c r="L25" s="7">
        <f>IF(J25=AO25,IF(COUNT(AQ25,AS25,BO25,BQ25,BU25,BW25)&gt;1,LARGE((AQ25,AS25,BO25,BQ25,BU25,BW25),1),0),IF(COUNT(AK25,AM25,AQ25,AS25,BU25,BW25)&gt;1,LARGE((AK25,AM25,AQ25,AS25,BU25,BW25),1),0))</f>
        <v>0</v>
      </c>
      <c r="M25" s="7" t="str">
        <f t="shared" si="3"/>
        <v/>
      </c>
      <c r="N25" s="7">
        <f>IF(J25=AO25,IF(COUNT(AQ25,AS25,BO25,BQ25,BU25,BW25)&gt;1,LARGE((AQ25,AS25,BO25,BQ25,BU25,BW25),2),0),IF(COUNT(AK25,AM25,AQ25,AS25,BU25,BW25)&gt;1,LARGE((AK25,AM25,AQ25,AS25,BU25,BW25),2),0))</f>
        <v>0</v>
      </c>
      <c r="O25" s="7" t="str">
        <f t="shared" si="4"/>
        <v/>
      </c>
      <c r="P25" s="7" t="str">
        <f t="shared" si="5"/>
        <v/>
      </c>
      <c r="Q25" s="10" t="str">
        <f t="shared" si="6"/>
        <v/>
      </c>
      <c r="R25" s="7" t="str">
        <f t="shared" si="7"/>
        <v/>
      </c>
      <c r="S25" s="38">
        <v>18.399999999999999</v>
      </c>
      <c r="T25" s="38">
        <v>3.6</v>
      </c>
      <c r="U25" s="38">
        <v>0</v>
      </c>
      <c r="V25" s="38">
        <v>0</v>
      </c>
      <c r="W25" s="38">
        <v>15.4</v>
      </c>
      <c r="X25" s="38">
        <v>0.7</v>
      </c>
      <c r="Y25" s="38">
        <v>0</v>
      </c>
      <c r="Z25" s="38">
        <v>0</v>
      </c>
      <c r="AA25" s="38" t="s">
        <v>175</v>
      </c>
      <c r="AB25" s="38" t="s">
        <v>175</v>
      </c>
      <c r="AC25" s="38" t="s">
        <v>175</v>
      </c>
      <c r="AD25" s="38" t="s">
        <v>175</v>
      </c>
      <c r="AE25" s="38" t="s">
        <v>175</v>
      </c>
      <c r="AF25" s="38" t="s">
        <v>175</v>
      </c>
      <c r="AG25" s="38" t="s">
        <v>175</v>
      </c>
      <c r="AH25" s="38" t="s">
        <v>175</v>
      </c>
      <c r="AI25" s="19"/>
      <c r="AJ25" s="41">
        <f t="shared" si="8"/>
        <v>3.6</v>
      </c>
      <c r="AK25" s="41">
        <f t="shared" si="9"/>
        <v>22</v>
      </c>
      <c r="AL25" s="41">
        <f t="shared" si="10"/>
        <v>0.7</v>
      </c>
      <c r="AM25" s="41">
        <f t="shared" si="11"/>
        <v>16.100000000000001</v>
      </c>
      <c r="AN25" s="27">
        <f t="shared" si="12"/>
        <v>4.3</v>
      </c>
      <c r="AO25" s="27">
        <f t="shared" si="13"/>
        <v>38.1</v>
      </c>
      <c r="AP25" s="27" t="str">
        <f t="shared" si="14"/>
        <v/>
      </c>
      <c r="AQ25" s="27" t="str">
        <f t="shared" si="15"/>
        <v/>
      </c>
      <c r="AR25" s="27" t="str">
        <f t="shared" si="16"/>
        <v/>
      </c>
      <c r="AS25" s="27" t="str">
        <f t="shared" si="17"/>
        <v/>
      </c>
      <c r="AT25" s="27" t="str">
        <f t="shared" si="18"/>
        <v/>
      </c>
      <c r="AU25" s="27" t="str">
        <f t="shared" si="19"/>
        <v/>
      </c>
      <c r="AV25" s="27">
        <f t="shared" si="20"/>
        <v>38.1</v>
      </c>
      <c r="AW25" s="15"/>
      <c r="AX25" s="15"/>
      <c r="AY25" s="15"/>
      <c r="AZ25" s="15"/>
      <c r="BA25" s="15"/>
      <c r="BB25" s="15"/>
      <c r="BC25" s="15"/>
      <c r="BD25" s="15"/>
      <c r="BE25" s="15"/>
      <c r="BF25" s="15"/>
      <c r="BG25" s="15"/>
      <c r="BH25" s="15"/>
      <c r="BI25" s="15"/>
      <c r="BJ25" s="15"/>
      <c r="BK25" s="15"/>
      <c r="BL25" s="15"/>
      <c r="BM25" s="20"/>
      <c r="BN25" s="42" t="str">
        <f t="shared" si="21"/>
        <v/>
      </c>
      <c r="BO25" s="42" t="str">
        <f t="shared" si="22"/>
        <v/>
      </c>
      <c r="BP25" s="42" t="str">
        <f t="shared" si="23"/>
        <v/>
      </c>
      <c r="BQ25" s="42" t="str">
        <f t="shared" si="24"/>
        <v/>
      </c>
      <c r="BR25" s="10" t="str">
        <f t="shared" si="25"/>
        <v/>
      </c>
      <c r="BS25" s="10" t="str">
        <f t="shared" si="26"/>
        <v/>
      </c>
      <c r="BT25" s="10" t="str">
        <f t="shared" si="27"/>
        <v/>
      </c>
      <c r="BU25" s="10" t="str">
        <f t="shared" si="28"/>
        <v/>
      </c>
      <c r="BV25" s="10" t="str">
        <f t="shared" si="29"/>
        <v/>
      </c>
      <c r="BW25" s="10" t="str">
        <f t="shared" si="30"/>
        <v/>
      </c>
      <c r="BX25" s="10" t="str">
        <f t="shared" si="31"/>
        <v/>
      </c>
      <c r="BY25" s="10" t="str">
        <f t="shared" si="32"/>
        <v/>
      </c>
      <c r="BZ25" s="10" t="str">
        <f t="shared" si="33"/>
        <v/>
      </c>
      <c r="CA25" s="34" t="str">
        <f t="shared" si="34"/>
        <v/>
      </c>
      <c r="CB25" s="34" t="str">
        <f t="shared" si="35"/>
        <v/>
      </c>
      <c r="CC25" s="14"/>
      <c r="CD25" s="14"/>
      <c r="CE25" s="14"/>
      <c r="CF25" s="14"/>
      <c r="CG25" s="14"/>
      <c r="CH25" s="14"/>
      <c r="CI25" s="14"/>
      <c r="CJ25" s="14"/>
      <c r="CK25" s="14"/>
      <c r="CL25" s="14"/>
      <c r="CM25" s="14"/>
      <c r="CN25" s="14"/>
      <c r="CO25" s="14"/>
      <c r="CP25" s="14"/>
      <c r="CQ25" s="14"/>
      <c r="CR25" s="14"/>
      <c r="CS25" s="14"/>
      <c r="CT25" s="14"/>
      <c r="CU25" s="14"/>
      <c r="CV25" s="14"/>
      <c r="CW25" s="27" t="str">
        <f t="shared" si="36"/>
        <v/>
      </c>
      <c r="CX25" s="27" t="str">
        <f t="shared" si="37"/>
        <v/>
      </c>
      <c r="CY25" s="27" t="str">
        <f t="shared" si="38"/>
        <v/>
      </c>
      <c r="CZ25" s="27" t="str">
        <f t="shared" si="39"/>
        <v/>
      </c>
      <c r="DA25" s="27" t="str">
        <f t="shared" si="40"/>
        <v/>
      </c>
      <c r="DB25" s="27" t="str">
        <f t="shared" si="41"/>
        <v/>
      </c>
      <c r="DC25" s="27" t="str">
        <f t="shared" si="42"/>
        <v/>
      </c>
      <c r="DD25" s="27" t="str">
        <f t="shared" si="43"/>
        <v/>
      </c>
      <c r="DE25" s="27" t="str">
        <f t="shared" si="44"/>
        <v/>
      </c>
      <c r="DF25" s="27" t="str">
        <f t="shared" si="45"/>
        <v/>
      </c>
      <c r="DG25" s="27" t="str">
        <f t="shared" si="46"/>
        <v/>
      </c>
      <c r="DH25" s="27" t="str">
        <f t="shared" si="47"/>
        <v/>
      </c>
      <c r="DI25" s="27" t="str">
        <f t="shared" si="48"/>
        <v/>
      </c>
      <c r="DJ25" s="27" t="str">
        <f t="shared" si="49"/>
        <v/>
      </c>
      <c r="DK25" s="27" t="str">
        <f t="shared" si="50"/>
        <v/>
      </c>
      <c r="DL25" s="15"/>
      <c r="DM25" s="15"/>
      <c r="DN25" s="15"/>
      <c r="DO25" s="15"/>
      <c r="DP25" s="15"/>
      <c r="DQ25" s="15"/>
      <c r="DR25" s="15"/>
      <c r="DS25" s="15"/>
      <c r="DT25" s="15"/>
      <c r="DU25" s="15"/>
      <c r="DV25" s="15"/>
      <c r="DW25" s="15"/>
      <c r="DX25" s="15"/>
      <c r="DY25" s="15"/>
      <c r="DZ25" s="15"/>
      <c r="EA25" s="15"/>
      <c r="EB25" s="15"/>
      <c r="EC25" s="15"/>
      <c r="ED25" s="15"/>
      <c r="EE25" s="15"/>
      <c r="EF25" s="10" t="str">
        <f t="shared" si="51"/>
        <v/>
      </c>
      <c r="EG25" s="10" t="str">
        <f t="shared" si="52"/>
        <v/>
      </c>
      <c r="EH25" s="10" t="str">
        <f t="shared" si="53"/>
        <v/>
      </c>
      <c r="EI25" s="10" t="str">
        <f t="shared" si="54"/>
        <v/>
      </c>
      <c r="EJ25" s="10" t="str">
        <f t="shared" si="55"/>
        <v/>
      </c>
      <c r="EK25" s="10" t="str">
        <f t="shared" si="56"/>
        <v/>
      </c>
      <c r="EL25" s="10" t="str">
        <f t="shared" si="57"/>
        <v/>
      </c>
      <c r="EM25" s="10" t="str">
        <f t="shared" si="58"/>
        <v/>
      </c>
      <c r="EN25" s="10" t="str">
        <f t="shared" si="59"/>
        <v/>
      </c>
      <c r="EO25" s="10" t="str">
        <f t="shared" si="60"/>
        <v/>
      </c>
      <c r="EP25" s="10" t="str">
        <f t="shared" si="61"/>
        <v/>
      </c>
      <c r="EQ25" s="10" t="str">
        <f t="shared" si="62"/>
        <v/>
      </c>
      <c r="ER25" s="10" t="str">
        <f t="shared" si="63"/>
        <v/>
      </c>
      <c r="ES25" s="10" t="str">
        <f t="shared" si="64"/>
        <v/>
      </c>
      <c r="ET25" s="10" t="str">
        <f t="shared" si="65"/>
        <v/>
      </c>
    </row>
    <row r="26" spans="1:150" x14ac:dyDescent="0.2">
      <c r="A26" s="3" t="str" cm="1">
        <f t="array" ref="A26">IF(AND(H26&lt;&gt;"",H26&lt;&gt;"No DD",I26&lt;&gt;"P"),SUMPRODUCT((H$4:H$30&lt;&gt;"")*(H$4:H$30&lt;&gt;"No DD")*(I$4:I$30&lt;&gt;"P")*(E$4:E$30&gt;E26))+1,IF(H26="No DD",SUMPRODUCT((H$4:H$30="No DD")*(I$4:I$30&lt;&gt;"P")*(E$4:E$30&gt;E26))+1+SUMPRODUCT((H$4:H$30&lt;&gt;"")*(I$4:I$30&lt;&gt;"P")*(H$4:H$30&lt;&gt;"No DD")),""))</f>
        <v/>
      </c>
      <c r="B26" s="4" t="s">
        <v>139</v>
      </c>
      <c r="C26" s="3" t="s">
        <v>4</v>
      </c>
      <c r="D26" s="3">
        <v>2007</v>
      </c>
      <c r="E26" s="8">
        <f t="shared" si="0"/>
        <v>37.800003780003777</v>
      </c>
      <c r="F26" s="2" t="str">
        <f>IF(OR(AND(AO26&lt;&gt;"",AO26&gt;=AV$35,AN26&gt;=AV$32),AND(AU26&lt;&gt;"",AU26&gt;=AV$35,AT26&gt;=AV$32),AND(BS26&lt;&gt;"",BS26&gt;=BZ$35,BR26&gt;=BZ$32),AND(BY26&lt;&gt;"",BY26&gt;=BZ$35,BX26&gt;=BZ$32),AND(DB26&lt;&gt;"",DB26&gt;=DK$35,DA26&gt;=DK$32),AND(DJ26&lt;&gt;"",DJ26&gt;=DK$35,DI26&gt;=DK$32),AND(EK26&lt;&gt;"",EK26&gt;=ET$35,EJ26&gt;=ET$32),AND(ES26&lt;&gt;"",ES26&gt;=ET$35,ER26&gt;=ET$32)),"P","")</f>
        <v/>
      </c>
      <c r="G26" s="2" t="str">
        <f>IF(OR(AND(AO26&lt;&gt;"",AO26&gt;=AV$35),AND(AU26&lt;&gt;"",AU26&gt;=AV$35),AND(BS26&lt;&gt;"",BS26&gt;=BZ$35),AND(BY26&lt;&gt;"",BY26&gt;=BZ$35),AND(DB26&lt;&gt;"",DB26&gt;=DK$35),AND(DJ26&lt;&gt;"",DJ26&gt;=DK$35),AND(EK26&lt;&gt;"",EK26&gt;=ET$35),AND(ES26&lt;&gt;"",ES26&gt;=ET$35)),"P","")</f>
        <v/>
      </c>
      <c r="H26" s="26" t="str">
        <f>IF(AND(G26="P",F26=""),"No DD",IF(OR(AND(AK26&lt;&gt;"",AK26&gt;=AV$37,AJ26&gt;=AV$34),AND(AM26&lt;&gt;"",AM26&gt;=AV$37,AL26&gt;=AV$34),AND(AQ26&lt;&gt;"",AQ26&gt;=AV$37,AP26&gt;=AV$34),AND(AS26&lt;&gt;"",AS26&gt;=AV$37,AR26&gt;=AV$34),AND(BO26&lt;&gt;"",BO26&gt;=BZ$37,BN26&gt;=BZ$34),AND(BQ26&lt;&gt;"",BQ26&gt;=BZ$37,BP26&gt;=BZ$34),AND(BV26&lt;&gt;"",BV26&gt;=BZ$37,BU26&gt;=BZ$34),AND(BX26&lt;&gt;"",BX26&gt;=BZ$37,BW26&gt;=BZ$34),AND(CX26&lt;&gt;"",CX26&gt;=DK$37,CW26&gt;=DK$34),AND(CZ26&lt;&gt;"",CZ26&gt;=DK$37,CY26&gt;=DK$34),AND(DD26&lt;&gt;"",DD26&gt;=DK$37,DC26&gt;=DK$34),AND(DF26&lt;&gt;"",DF26&gt;=DK$37,DE26&gt;=DK$34),AND(DH26&lt;&gt;"",DH26&gt;=DK$37,DG26&gt;=DK$34),AND(EG26&lt;&gt;"",EG26&gt;=ET$37,EF26&gt;=ET$34),AND(EI26&lt;&gt;"",EI26&gt;=ET$37,EH26&gt;=ET$34),AND(EM26&lt;&gt;"",EM26&gt;=ET$37,EL26&gt;=ET$34),AND(EO26&lt;&gt;"",EO26&gt;=ET$37,EN26&gt;=ET$34),AND(EQ26&lt;&gt;"",EQ26&gt;=ET$37,EP26&gt;=ET$34)),"Performance",IF(I26="P","National Team",IF(F26="P","National Team",""))))</f>
        <v/>
      </c>
      <c r="I26" s="2" t="str">
        <f>IF(COUNTIFS('Senior-W'!B:B,B26,'Senior-W'!A:A,"&lt;9",'Senior-W'!H:H,"&lt;&gt;"&amp;"No DD"),"P","")</f>
        <v/>
      </c>
      <c r="J26" s="7">
        <f t="shared" si="1"/>
        <v>37.799999999999997</v>
      </c>
      <c r="K26" s="7" t="str">
        <f t="shared" si="2"/>
        <v>2026 Elite Canada</v>
      </c>
      <c r="L26" s="7">
        <f>IF(J26=AO26,IF(COUNT(AQ26,AS26,BO26,BQ26,BU26,BW26)&gt;1,LARGE((AQ26,AS26,BO26,BQ26,BU26,BW26),1),0),IF(COUNT(AK26,AM26,AQ26,AS26,BU26,BW26)&gt;1,LARGE((AK26,AM26,AQ26,AS26,BU26,BW26),1),0))</f>
        <v>0</v>
      </c>
      <c r="M26" s="7" t="str">
        <f t="shared" si="3"/>
        <v/>
      </c>
      <c r="N26" s="7">
        <f>IF(J26=AO26,IF(COUNT(AQ26,AS26,BO26,BQ26,BU26,BW26)&gt;1,LARGE((AQ26,AS26,BO26,BQ26,BU26,BW26),2),0),IF(COUNT(AK26,AM26,AQ26,AS26,BU26,BW26)&gt;1,LARGE((AK26,AM26,AQ26,AS26,BU26,BW26),2),0))</f>
        <v>0</v>
      </c>
      <c r="O26" s="7" t="str">
        <f t="shared" si="4"/>
        <v/>
      </c>
      <c r="P26" s="7" t="str">
        <f t="shared" si="5"/>
        <v/>
      </c>
      <c r="Q26" s="10" t="str">
        <f t="shared" si="6"/>
        <v/>
      </c>
      <c r="R26" s="7" t="str">
        <f t="shared" si="7"/>
        <v/>
      </c>
      <c r="S26" s="38">
        <v>17.899999999999999</v>
      </c>
      <c r="T26" s="38">
        <v>4.4000000000000004</v>
      </c>
      <c r="U26" s="38">
        <v>1</v>
      </c>
      <c r="V26" s="38">
        <v>0</v>
      </c>
      <c r="W26" s="38">
        <v>15.8</v>
      </c>
      <c r="X26" s="38">
        <v>0.7</v>
      </c>
      <c r="Y26" s="38">
        <v>0</v>
      </c>
      <c r="Z26" s="38">
        <v>0</v>
      </c>
      <c r="AA26" s="38" t="s">
        <v>175</v>
      </c>
      <c r="AB26" s="38" t="s">
        <v>175</v>
      </c>
      <c r="AC26" s="38" t="s">
        <v>175</v>
      </c>
      <c r="AD26" s="38" t="s">
        <v>175</v>
      </c>
      <c r="AE26" s="38" t="s">
        <v>175</v>
      </c>
      <c r="AF26" s="38" t="s">
        <v>175</v>
      </c>
      <c r="AG26" s="38" t="s">
        <v>175</v>
      </c>
      <c r="AH26" s="38" t="s">
        <v>175</v>
      </c>
      <c r="AI26" s="19"/>
      <c r="AJ26" s="41">
        <f t="shared" si="8"/>
        <v>4.4000000000000004</v>
      </c>
      <c r="AK26" s="41">
        <f t="shared" si="9"/>
        <v>21.299999999999997</v>
      </c>
      <c r="AL26" s="41">
        <f t="shared" si="10"/>
        <v>0.7</v>
      </c>
      <c r="AM26" s="41">
        <f t="shared" si="11"/>
        <v>16.5</v>
      </c>
      <c r="AN26" s="27">
        <f t="shared" si="12"/>
        <v>5.1000000000000005</v>
      </c>
      <c r="AO26" s="27">
        <f t="shared" si="13"/>
        <v>37.799999999999997</v>
      </c>
      <c r="AP26" s="27" t="str">
        <f t="shared" si="14"/>
        <v/>
      </c>
      <c r="AQ26" s="27" t="str">
        <f t="shared" si="15"/>
        <v/>
      </c>
      <c r="AR26" s="27" t="str">
        <f t="shared" si="16"/>
        <v/>
      </c>
      <c r="AS26" s="27" t="str">
        <f t="shared" si="17"/>
        <v/>
      </c>
      <c r="AT26" s="27" t="str">
        <f t="shared" si="18"/>
        <v/>
      </c>
      <c r="AU26" s="27" t="str">
        <f t="shared" si="19"/>
        <v/>
      </c>
      <c r="AV26" s="27">
        <f t="shared" si="20"/>
        <v>37.799999999999997</v>
      </c>
      <c r="AW26" s="15"/>
      <c r="AX26" s="15"/>
      <c r="AY26" s="15"/>
      <c r="AZ26" s="15"/>
      <c r="BA26" s="15"/>
      <c r="BB26" s="15"/>
      <c r="BC26" s="15"/>
      <c r="BD26" s="15"/>
      <c r="BE26" s="15"/>
      <c r="BF26" s="15"/>
      <c r="BG26" s="15"/>
      <c r="BH26" s="15"/>
      <c r="BI26" s="15"/>
      <c r="BJ26" s="15"/>
      <c r="BK26" s="15"/>
      <c r="BL26" s="15"/>
      <c r="BM26" s="20"/>
      <c r="BN26" s="42" t="str">
        <f t="shared" si="21"/>
        <v/>
      </c>
      <c r="BO26" s="42" t="str">
        <f t="shared" si="22"/>
        <v/>
      </c>
      <c r="BP26" s="42" t="str">
        <f t="shared" si="23"/>
        <v/>
      </c>
      <c r="BQ26" s="42" t="str">
        <f t="shared" si="24"/>
        <v/>
      </c>
      <c r="BR26" s="10" t="str">
        <f t="shared" si="25"/>
        <v/>
      </c>
      <c r="BS26" s="10" t="str">
        <f t="shared" si="26"/>
        <v/>
      </c>
      <c r="BT26" s="10" t="str">
        <f t="shared" si="27"/>
        <v/>
      </c>
      <c r="BU26" s="10" t="str">
        <f t="shared" si="28"/>
        <v/>
      </c>
      <c r="BV26" s="10" t="str">
        <f t="shared" si="29"/>
        <v/>
      </c>
      <c r="BW26" s="10" t="str">
        <f t="shared" si="30"/>
        <v/>
      </c>
      <c r="BX26" s="10" t="str">
        <f t="shared" si="31"/>
        <v/>
      </c>
      <c r="BY26" s="10" t="str">
        <f t="shared" si="32"/>
        <v/>
      </c>
      <c r="BZ26" s="10" t="str">
        <f t="shared" si="33"/>
        <v/>
      </c>
      <c r="CA26" s="34" t="str">
        <f t="shared" si="34"/>
        <v/>
      </c>
      <c r="CB26" s="34" t="str">
        <f t="shared" si="35"/>
        <v/>
      </c>
      <c r="CC26" s="14"/>
      <c r="CD26" s="14"/>
      <c r="CE26" s="14"/>
      <c r="CF26" s="14"/>
      <c r="CG26" s="14"/>
      <c r="CH26" s="14"/>
      <c r="CI26" s="14"/>
      <c r="CJ26" s="14"/>
      <c r="CK26" s="14"/>
      <c r="CL26" s="14"/>
      <c r="CM26" s="14"/>
      <c r="CN26" s="14"/>
      <c r="CO26" s="14"/>
      <c r="CP26" s="14"/>
      <c r="CQ26" s="14"/>
      <c r="CR26" s="14"/>
      <c r="CS26" s="14"/>
      <c r="CT26" s="14"/>
      <c r="CU26" s="14"/>
      <c r="CV26" s="14"/>
      <c r="CW26" s="27" t="str">
        <f t="shared" si="36"/>
        <v/>
      </c>
      <c r="CX26" s="27" t="str">
        <f t="shared" si="37"/>
        <v/>
      </c>
      <c r="CY26" s="27" t="str">
        <f t="shared" si="38"/>
        <v/>
      </c>
      <c r="CZ26" s="27" t="str">
        <f t="shared" si="39"/>
        <v/>
      </c>
      <c r="DA26" s="27" t="str">
        <f t="shared" si="40"/>
        <v/>
      </c>
      <c r="DB26" s="27" t="str">
        <f t="shared" si="41"/>
        <v/>
      </c>
      <c r="DC26" s="27" t="str">
        <f t="shared" si="42"/>
        <v/>
      </c>
      <c r="DD26" s="27" t="str">
        <f t="shared" si="43"/>
        <v/>
      </c>
      <c r="DE26" s="27" t="str">
        <f t="shared" si="44"/>
        <v/>
      </c>
      <c r="DF26" s="27" t="str">
        <f t="shared" si="45"/>
        <v/>
      </c>
      <c r="DG26" s="27" t="str">
        <f t="shared" si="46"/>
        <v/>
      </c>
      <c r="DH26" s="27" t="str">
        <f t="shared" si="47"/>
        <v/>
      </c>
      <c r="DI26" s="27" t="str">
        <f t="shared" si="48"/>
        <v/>
      </c>
      <c r="DJ26" s="27" t="str">
        <f t="shared" si="49"/>
        <v/>
      </c>
      <c r="DK26" s="27" t="str">
        <f t="shared" si="50"/>
        <v/>
      </c>
      <c r="DL26" s="15"/>
      <c r="DM26" s="15"/>
      <c r="DN26" s="15"/>
      <c r="DO26" s="15"/>
      <c r="DP26" s="15"/>
      <c r="DQ26" s="15"/>
      <c r="DR26" s="15"/>
      <c r="DS26" s="15"/>
      <c r="DT26" s="15"/>
      <c r="DU26" s="15"/>
      <c r="DV26" s="15"/>
      <c r="DW26" s="15"/>
      <c r="DX26" s="15"/>
      <c r="DY26" s="15"/>
      <c r="DZ26" s="15"/>
      <c r="EA26" s="15"/>
      <c r="EB26" s="15"/>
      <c r="EC26" s="15"/>
      <c r="ED26" s="15"/>
      <c r="EE26" s="15"/>
      <c r="EF26" s="10" t="str">
        <f t="shared" si="51"/>
        <v/>
      </c>
      <c r="EG26" s="10" t="str">
        <f t="shared" si="52"/>
        <v/>
      </c>
      <c r="EH26" s="10" t="str">
        <f t="shared" si="53"/>
        <v/>
      </c>
      <c r="EI26" s="10" t="str">
        <f t="shared" si="54"/>
        <v/>
      </c>
      <c r="EJ26" s="10" t="str">
        <f t="shared" si="55"/>
        <v/>
      </c>
      <c r="EK26" s="10" t="str">
        <f t="shared" si="56"/>
        <v/>
      </c>
      <c r="EL26" s="10" t="str">
        <f t="shared" si="57"/>
        <v/>
      </c>
      <c r="EM26" s="10" t="str">
        <f t="shared" si="58"/>
        <v/>
      </c>
      <c r="EN26" s="10" t="str">
        <f t="shared" si="59"/>
        <v/>
      </c>
      <c r="EO26" s="10" t="str">
        <f t="shared" si="60"/>
        <v/>
      </c>
      <c r="EP26" s="10" t="str">
        <f t="shared" si="61"/>
        <v/>
      </c>
      <c r="EQ26" s="10" t="str">
        <f t="shared" si="62"/>
        <v/>
      </c>
      <c r="ER26" s="10" t="str">
        <f t="shared" si="63"/>
        <v/>
      </c>
      <c r="ES26" s="10" t="str">
        <f t="shared" si="64"/>
        <v/>
      </c>
      <c r="ET26" s="10" t="str">
        <f t="shared" si="65"/>
        <v/>
      </c>
    </row>
    <row r="27" spans="1:150" x14ac:dyDescent="0.2">
      <c r="A27" s="3" t="str" cm="1">
        <f t="array" ref="A27">IF(AND(H27&lt;&gt;"",H27&lt;&gt;"No DD",I27&lt;&gt;"P"),SUMPRODUCT((H$4:H$30&lt;&gt;"")*(H$4:H$30&lt;&gt;"No DD")*(I$4:I$30&lt;&gt;"P")*(E$4:E$30&gt;E27))+1,IF(H27="No DD",SUMPRODUCT((H$4:H$30="No DD")*(I$4:I$30&lt;&gt;"P")*(E$4:E$30&gt;E27))+1+SUMPRODUCT((H$4:H$30&lt;&gt;"")*(I$4:I$30&lt;&gt;"P")*(H$4:H$30&lt;&gt;"No DD")),""))</f>
        <v/>
      </c>
      <c r="B27" s="4" t="s">
        <v>130</v>
      </c>
      <c r="C27" s="3" t="s">
        <v>5</v>
      </c>
      <c r="D27" s="3">
        <v>2006</v>
      </c>
      <c r="E27" s="8">
        <f t="shared" si="0"/>
        <v>36.400003640003639</v>
      </c>
      <c r="F27" s="2" t="str">
        <f>IF(OR(AND(AO27&lt;&gt;"",AO27&gt;=AV$35,AN27&gt;=AV$32),AND(AU27&lt;&gt;"",AU27&gt;=AV$35,AT27&gt;=AV$32),AND(BS27&lt;&gt;"",BS27&gt;=BZ$35,BR27&gt;=BZ$32),AND(BY27&lt;&gt;"",BY27&gt;=BZ$35,BX27&gt;=BZ$32),AND(DB27&lt;&gt;"",DB27&gt;=DK$35,DA27&gt;=DK$32),AND(DJ27&lt;&gt;"",DJ27&gt;=DK$35,DI27&gt;=DK$32),AND(EK27&lt;&gt;"",EK27&gt;=ET$35,EJ27&gt;=ET$32),AND(ES27&lt;&gt;"",ES27&gt;=ET$35,ER27&gt;=ET$32)),"P","")</f>
        <v/>
      </c>
      <c r="G27" s="2" t="str">
        <f>IF(OR(AND(AO27&lt;&gt;"",AO27&gt;=AV$35),AND(AU27&lt;&gt;"",AU27&gt;=AV$35),AND(BS27&lt;&gt;"",BS27&gt;=BZ$35),AND(BY27&lt;&gt;"",BY27&gt;=BZ$35),AND(DB27&lt;&gt;"",DB27&gt;=DK$35),AND(DJ27&lt;&gt;"",DJ27&gt;=DK$35),AND(EK27&lt;&gt;"",EK27&gt;=ET$35),AND(ES27&lt;&gt;"",ES27&gt;=ET$35)),"P","")</f>
        <v/>
      </c>
      <c r="H27" s="26" t="str">
        <f>IF(AND(G27="P",F27=""),"No DD",IF(OR(AND(AK27&lt;&gt;"",AK27&gt;=AV$37,AJ27&gt;=AV$34),AND(AM27&lt;&gt;"",AM27&gt;=AV$37,AL27&gt;=AV$34),AND(AQ27&lt;&gt;"",AQ27&gt;=AV$37,AP27&gt;=AV$34),AND(AS27&lt;&gt;"",AS27&gt;=AV$37,AR27&gt;=AV$34),AND(BO27&lt;&gt;"",BO27&gt;=BZ$37,BN27&gt;=BZ$34),AND(BQ27&lt;&gt;"",BQ27&gt;=BZ$37,BP27&gt;=BZ$34),AND(BV27&lt;&gt;"",BV27&gt;=BZ$37,BU27&gt;=BZ$34),AND(BX27&lt;&gt;"",BX27&gt;=BZ$37,BW27&gt;=BZ$34),AND(CX27&lt;&gt;"",CX27&gt;=DK$37,CW27&gt;=DK$34),AND(CZ27&lt;&gt;"",CZ27&gt;=DK$37,CY27&gt;=DK$34),AND(DD27&lt;&gt;"",DD27&gt;=DK$37,DC27&gt;=DK$34),AND(DF27&lt;&gt;"",DF27&gt;=DK$37,DE27&gt;=DK$34),AND(DH27&lt;&gt;"",DH27&gt;=DK$37,DG27&gt;=DK$34),AND(EG27&lt;&gt;"",EG27&gt;=ET$37,EF27&gt;=ET$34),AND(EI27&lt;&gt;"",EI27&gt;=ET$37,EH27&gt;=ET$34),AND(EM27&lt;&gt;"",EM27&gt;=ET$37,EL27&gt;=ET$34),AND(EO27&lt;&gt;"",EO27&gt;=ET$37,EN27&gt;=ET$34),AND(EQ27&lt;&gt;"",EQ27&gt;=ET$37,EP27&gt;=ET$34)),"Performance",IF(I27="P","National Team",IF(F27="P","National Team",""))))</f>
        <v/>
      </c>
      <c r="I27" s="2" t="str">
        <f>IF(COUNTIFS('Senior-W'!B:B,B27,'Senior-W'!A:A,"&lt;9",'Senior-W'!H:H,"&lt;&gt;"&amp;"No DD"),"P","")</f>
        <v/>
      </c>
      <c r="J27" s="7">
        <f t="shared" si="1"/>
        <v>36.4</v>
      </c>
      <c r="K27" s="7" t="str">
        <f t="shared" si="2"/>
        <v>2026 Elite Canada</v>
      </c>
      <c r="L27" s="7">
        <f>IF(J27=AO27,IF(COUNT(AQ27,AS27,BO27,BQ27,BU27,BW27)&gt;1,LARGE((AQ27,AS27,BO27,BQ27,BU27,BW27),1),0),IF(COUNT(AK27,AM27,AQ27,AS27,BU27,BW27)&gt;1,LARGE((AK27,AM27,AQ27,AS27,BU27,BW27),1),0))</f>
        <v>0</v>
      </c>
      <c r="M27" s="7" t="str">
        <f t="shared" si="3"/>
        <v/>
      </c>
      <c r="N27" s="7">
        <f>IF(J27=AO27,IF(COUNT(AQ27,AS27,BO27,BQ27,BU27,BW27)&gt;1,LARGE((AQ27,AS27,BO27,BQ27,BU27,BW27),2),0),IF(COUNT(AK27,AM27,AQ27,AS27,BU27,BW27)&gt;1,LARGE((AK27,AM27,AQ27,AS27,BU27,BW27),2),0))</f>
        <v>0</v>
      </c>
      <c r="O27" s="7" t="str">
        <f t="shared" si="4"/>
        <v/>
      </c>
      <c r="P27" s="7" t="str">
        <f t="shared" si="5"/>
        <v/>
      </c>
      <c r="Q27" s="10" t="str">
        <f t="shared" si="6"/>
        <v/>
      </c>
      <c r="R27" s="7" t="str">
        <f t="shared" si="7"/>
        <v/>
      </c>
      <c r="S27" s="38">
        <v>18.399999999999999</v>
      </c>
      <c r="T27" s="38">
        <v>2.7</v>
      </c>
      <c r="U27" s="38">
        <v>0.8</v>
      </c>
      <c r="V27" s="38">
        <v>0</v>
      </c>
      <c r="W27" s="38">
        <v>15.6</v>
      </c>
      <c r="X27" s="38">
        <v>0.7</v>
      </c>
      <c r="Y27" s="38">
        <v>0.2</v>
      </c>
      <c r="Z27" s="38">
        <v>0</v>
      </c>
      <c r="AA27" s="38" t="s">
        <v>175</v>
      </c>
      <c r="AB27" s="38" t="s">
        <v>175</v>
      </c>
      <c r="AC27" s="38" t="s">
        <v>175</v>
      </c>
      <c r="AD27" s="38" t="s">
        <v>175</v>
      </c>
      <c r="AE27" s="38" t="s">
        <v>175</v>
      </c>
      <c r="AF27" s="38" t="s">
        <v>175</v>
      </c>
      <c r="AG27" s="38" t="s">
        <v>175</v>
      </c>
      <c r="AH27" s="38" t="s">
        <v>175</v>
      </c>
      <c r="AI27" s="19"/>
      <c r="AJ27" s="41">
        <f t="shared" si="8"/>
        <v>2.7</v>
      </c>
      <c r="AK27" s="41">
        <f t="shared" si="9"/>
        <v>20.299999999999997</v>
      </c>
      <c r="AL27" s="41">
        <f t="shared" si="10"/>
        <v>0.7</v>
      </c>
      <c r="AM27" s="41">
        <f t="shared" si="11"/>
        <v>16.100000000000001</v>
      </c>
      <c r="AN27" s="27">
        <f t="shared" si="12"/>
        <v>3.4000000000000004</v>
      </c>
      <c r="AO27" s="27">
        <f t="shared" si="13"/>
        <v>36.4</v>
      </c>
      <c r="AP27" s="27" t="str">
        <f t="shared" si="14"/>
        <v/>
      </c>
      <c r="AQ27" s="27" t="str">
        <f t="shared" si="15"/>
        <v/>
      </c>
      <c r="AR27" s="27" t="str">
        <f t="shared" si="16"/>
        <v/>
      </c>
      <c r="AS27" s="27" t="str">
        <f t="shared" si="17"/>
        <v/>
      </c>
      <c r="AT27" s="27" t="str">
        <f t="shared" si="18"/>
        <v/>
      </c>
      <c r="AU27" s="27" t="str">
        <f t="shared" si="19"/>
        <v/>
      </c>
      <c r="AV27" s="27">
        <f t="shared" si="20"/>
        <v>36.4</v>
      </c>
      <c r="AW27" s="15"/>
      <c r="AX27" s="15"/>
      <c r="AY27" s="15"/>
      <c r="AZ27" s="15"/>
      <c r="BA27" s="15"/>
      <c r="BB27" s="15"/>
      <c r="BC27" s="15"/>
      <c r="BD27" s="15"/>
      <c r="BE27" s="15"/>
      <c r="BF27" s="15"/>
      <c r="BG27" s="15"/>
      <c r="BH27" s="15"/>
      <c r="BI27" s="15"/>
      <c r="BJ27" s="15"/>
      <c r="BK27" s="15"/>
      <c r="BL27" s="15"/>
      <c r="BM27" s="20"/>
      <c r="BN27" s="42" t="str">
        <f t="shared" si="21"/>
        <v/>
      </c>
      <c r="BO27" s="42" t="str">
        <f t="shared" si="22"/>
        <v/>
      </c>
      <c r="BP27" s="42" t="str">
        <f t="shared" si="23"/>
        <v/>
      </c>
      <c r="BQ27" s="42" t="str">
        <f t="shared" si="24"/>
        <v/>
      </c>
      <c r="BR27" s="10" t="str">
        <f t="shared" si="25"/>
        <v/>
      </c>
      <c r="BS27" s="10" t="str">
        <f t="shared" si="26"/>
        <v/>
      </c>
      <c r="BT27" s="10" t="str">
        <f t="shared" si="27"/>
        <v/>
      </c>
      <c r="BU27" s="10" t="str">
        <f t="shared" si="28"/>
        <v/>
      </c>
      <c r="BV27" s="10" t="str">
        <f t="shared" si="29"/>
        <v/>
      </c>
      <c r="BW27" s="10" t="str">
        <f t="shared" si="30"/>
        <v/>
      </c>
      <c r="BX27" s="10" t="str">
        <f t="shared" si="31"/>
        <v/>
      </c>
      <c r="BY27" s="10" t="str">
        <f t="shared" si="32"/>
        <v/>
      </c>
      <c r="BZ27" s="10" t="str">
        <f t="shared" si="33"/>
        <v/>
      </c>
      <c r="CA27" s="34" t="str">
        <f t="shared" si="34"/>
        <v/>
      </c>
      <c r="CB27" s="34" t="str">
        <f t="shared" si="35"/>
        <v/>
      </c>
      <c r="CC27" s="14"/>
      <c r="CD27" s="14"/>
      <c r="CE27" s="14"/>
      <c r="CF27" s="14"/>
      <c r="CG27" s="14"/>
      <c r="CH27" s="14"/>
      <c r="CI27" s="14"/>
      <c r="CJ27" s="14"/>
      <c r="CK27" s="14"/>
      <c r="CL27" s="14"/>
      <c r="CM27" s="14"/>
      <c r="CN27" s="14"/>
      <c r="CO27" s="14"/>
      <c r="CP27" s="14"/>
      <c r="CQ27" s="14"/>
      <c r="CR27" s="14"/>
      <c r="CS27" s="14"/>
      <c r="CT27" s="14"/>
      <c r="CU27" s="14"/>
      <c r="CV27" s="14"/>
      <c r="CW27" s="27" t="str">
        <f t="shared" si="36"/>
        <v/>
      </c>
      <c r="CX27" s="27" t="str">
        <f t="shared" si="37"/>
        <v/>
      </c>
      <c r="CY27" s="27" t="str">
        <f t="shared" si="38"/>
        <v/>
      </c>
      <c r="CZ27" s="27" t="str">
        <f t="shared" si="39"/>
        <v/>
      </c>
      <c r="DA27" s="27" t="str">
        <f t="shared" si="40"/>
        <v/>
      </c>
      <c r="DB27" s="27" t="str">
        <f t="shared" si="41"/>
        <v/>
      </c>
      <c r="DC27" s="27" t="str">
        <f t="shared" si="42"/>
        <v/>
      </c>
      <c r="DD27" s="27" t="str">
        <f t="shared" si="43"/>
        <v/>
      </c>
      <c r="DE27" s="27" t="str">
        <f t="shared" si="44"/>
        <v/>
      </c>
      <c r="DF27" s="27" t="str">
        <f t="shared" si="45"/>
        <v/>
      </c>
      <c r="DG27" s="27" t="str">
        <f t="shared" si="46"/>
        <v/>
      </c>
      <c r="DH27" s="27" t="str">
        <f t="shared" si="47"/>
        <v/>
      </c>
      <c r="DI27" s="27" t="str">
        <f t="shared" si="48"/>
        <v/>
      </c>
      <c r="DJ27" s="27" t="str">
        <f t="shared" si="49"/>
        <v/>
      </c>
      <c r="DK27" s="27" t="str">
        <f t="shared" si="50"/>
        <v/>
      </c>
      <c r="DL27" s="15"/>
      <c r="DM27" s="15"/>
      <c r="DN27" s="15"/>
      <c r="DO27" s="15"/>
      <c r="DP27" s="15"/>
      <c r="DQ27" s="15"/>
      <c r="DR27" s="15"/>
      <c r="DS27" s="15"/>
      <c r="DT27" s="15"/>
      <c r="DU27" s="15"/>
      <c r="DV27" s="15"/>
      <c r="DW27" s="15"/>
      <c r="DX27" s="15"/>
      <c r="DY27" s="15"/>
      <c r="DZ27" s="15"/>
      <c r="EA27" s="15"/>
      <c r="EB27" s="15"/>
      <c r="EC27" s="15"/>
      <c r="ED27" s="15"/>
      <c r="EE27" s="15"/>
      <c r="EF27" s="10" t="str">
        <f t="shared" si="51"/>
        <v/>
      </c>
      <c r="EG27" s="10" t="str">
        <f t="shared" si="52"/>
        <v/>
      </c>
      <c r="EH27" s="10" t="str">
        <f t="shared" si="53"/>
        <v/>
      </c>
      <c r="EI27" s="10" t="str">
        <f t="shared" si="54"/>
        <v/>
      </c>
      <c r="EJ27" s="10" t="str">
        <f t="shared" si="55"/>
        <v/>
      </c>
      <c r="EK27" s="10" t="str">
        <f t="shared" si="56"/>
        <v/>
      </c>
      <c r="EL27" s="10" t="str">
        <f t="shared" si="57"/>
        <v/>
      </c>
      <c r="EM27" s="10" t="str">
        <f t="shared" si="58"/>
        <v/>
      </c>
      <c r="EN27" s="10" t="str">
        <f t="shared" si="59"/>
        <v/>
      </c>
      <c r="EO27" s="10" t="str">
        <f t="shared" si="60"/>
        <v/>
      </c>
      <c r="EP27" s="10" t="str">
        <f t="shared" si="61"/>
        <v/>
      </c>
      <c r="EQ27" s="10" t="str">
        <f t="shared" si="62"/>
        <v/>
      </c>
      <c r="ER27" s="10" t="str">
        <f t="shared" si="63"/>
        <v/>
      </c>
      <c r="ES27" s="10" t="str">
        <f t="shared" si="64"/>
        <v/>
      </c>
      <c r="ET27" s="10" t="str">
        <f t="shared" si="65"/>
        <v/>
      </c>
    </row>
    <row r="28" spans="1:150" x14ac:dyDescent="0.2">
      <c r="A28" s="3" t="str" cm="1">
        <f t="array" ref="A28">IF(AND(H28&lt;&gt;"",H28&lt;&gt;"No DD",I28&lt;&gt;"P"),SUMPRODUCT((H$4:H$30&lt;&gt;"")*(H$4:H$30&lt;&gt;"No DD")*(I$4:I$30&lt;&gt;"P")*(E$4:E$30&gt;E28))+1,IF(H28="No DD",SUMPRODUCT((H$4:H$30="No DD")*(I$4:I$30&lt;&gt;"P")*(E$4:E$30&gt;E28))+1+SUMPRODUCT((H$4:H$30&lt;&gt;"")*(I$4:I$30&lt;&gt;"P")*(H$4:H$30&lt;&gt;"No DD")),""))</f>
        <v/>
      </c>
      <c r="B28" s="4" t="s">
        <v>161</v>
      </c>
      <c r="C28" s="3" t="s">
        <v>5</v>
      </c>
      <c r="D28" s="3">
        <v>2006</v>
      </c>
      <c r="E28" s="8">
        <f t="shared" si="0"/>
        <v>35.800003580003576</v>
      </c>
      <c r="F28" s="2" t="str">
        <f>IF(OR(AND(AO28&lt;&gt;"",AO28&gt;=AV$35,AN28&gt;=AV$32),AND(AU28&lt;&gt;"",AU28&gt;=AV$35,AT28&gt;=AV$32),AND(BS28&lt;&gt;"",BS28&gt;=BZ$35,BR28&gt;=BZ$32),AND(BY28&lt;&gt;"",BY28&gt;=BZ$35,BX28&gt;=BZ$32),AND(DB28&lt;&gt;"",DB28&gt;=DK$35,DA28&gt;=DK$32),AND(DJ28&lt;&gt;"",DJ28&gt;=DK$35,DI28&gt;=DK$32),AND(EK28&lt;&gt;"",EK28&gt;=ET$35,EJ28&gt;=ET$32),AND(ES28&lt;&gt;"",ES28&gt;=ET$35,ER28&gt;=ET$32)),"P","")</f>
        <v/>
      </c>
      <c r="G28" s="2" t="str">
        <f>IF(OR(AND(AO28&lt;&gt;"",AO28&gt;=AV$35),AND(AU28&lt;&gt;"",AU28&gt;=AV$35),AND(BS28&lt;&gt;"",BS28&gt;=BZ$35),AND(BY28&lt;&gt;"",BY28&gt;=BZ$35),AND(DB28&lt;&gt;"",DB28&gt;=DK$35),AND(DJ28&lt;&gt;"",DJ28&gt;=DK$35),AND(EK28&lt;&gt;"",EK28&gt;=ET$35),AND(ES28&lt;&gt;"",ES28&gt;=ET$35)),"P","")</f>
        <v/>
      </c>
      <c r="H28" s="26" t="str">
        <f>IF(AND(G28="P",F28=""),"No DD",IF(OR(AND(AK28&lt;&gt;"",AK28&gt;=AV$37,AJ28&gt;=AV$34),AND(AM28&lt;&gt;"",AM28&gt;=AV$37,AL28&gt;=AV$34),AND(AQ28&lt;&gt;"",AQ28&gt;=AV$37,AP28&gt;=AV$34),AND(AS28&lt;&gt;"",AS28&gt;=AV$37,AR28&gt;=AV$34),AND(BO28&lt;&gt;"",BO28&gt;=BZ$37,BN28&gt;=BZ$34),AND(BQ28&lt;&gt;"",BQ28&gt;=BZ$37,BP28&gt;=BZ$34),AND(BV28&lt;&gt;"",BV28&gt;=BZ$37,BU28&gt;=BZ$34),AND(BX28&lt;&gt;"",BX28&gt;=BZ$37,BW28&gt;=BZ$34),AND(CX28&lt;&gt;"",CX28&gt;=DK$37,CW28&gt;=DK$34),AND(CZ28&lt;&gt;"",CZ28&gt;=DK$37,CY28&gt;=DK$34),AND(DD28&lt;&gt;"",DD28&gt;=DK$37,DC28&gt;=DK$34),AND(DF28&lt;&gt;"",DF28&gt;=DK$37,DE28&gt;=DK$34),AND(DH28&lt;&gt;"",DH28&gt;=DK$37,DG28&gt;=DK$34),AND(EG28&lt;&gt;"",EG28&gt;=ET$37,EF28&gt;=ET$34),AND(EI28&lt;&gt;"",EI28&gt;=ET$37,EH28&gt;=ET$34),AND(EM28&lt;&gt;"",EM28&gt;=ET$37,EL28&gt;=ET$34),AND(EO28&lt;&gt;"",EO28&gt;=ET$37,EN28&gt;=ET$34),AND(EQ28&lt;&gt;"",EQ28&gt;=ET$37,EP28&gt;=ET$34)),"Performance",IF(I28="P","National Team",IF(F28="P","National Team",""))))</f>
        <v/>
      </c>
      <c r="I28" s="2" t="str">
        <f>IF(COUNTIFS('Senior-W'!B:B,B28,'Senior-W'!A:A,"&lt;9",'Senior-W'!H:H,"&lt;&gt;"&amp;"No DD"),"P","")</f>
        <v/>
      </c>
      <c r="J28" s="7">
        <f t="shared" si="1"/>
        <v>35.799999999999997</v>
      </c>
      <c r="K28" s="7" t="str">
        <f t="shared" si="2"/>
        <v>2026 Elite Canada</v>
      </c>
      <c r="L28" s="7">
        <f>IF(J28=AO28,IF(COUNT(AQ28,AS28,BO28,BQ28,BU28,BW28)&gt;1,LARGE((AQ28,AS28,BO28,BQ28,BU28,BW28),1),0),IF(COUNT(AK28,AM28,AQ28,AS28,BU28,BW28)&gt;1,LARGE((AK28,AM28,AQ28,AS28,BU28,BW28),1),0))</f>
        <v>0</v>
      </c>
      <c r="M28" s="7" t="str">
        <f t="shared" si="3"/>
        <v/>
      </c>
      <c r="N28" s="7">
        <f>IF(J28=AO28,IF(COUNT(AQ28,AS28,BO28,BQ28,BU28,BW28)&gt;1,LARGE((AQ28,AS28,BO28,BQ28,BU28,BW28),2),0),IF(COUNT(AK28,AM28,AQ28,AS28,BU28,BW28)&gt;1,LARGE((AK28,AM28,AQ28,AS28,BU28,BW28),2),0))</f>
        <v>0</v>
      </c>
      <c r="O28" s="7" t="str">
        <f t="shared" si="4"/>
        <v/>
      </c>
      <c r="P28" s="7" t="str">
        <f t="shared" si="5"/>
        <v/>
      </c>
      <c r="Q28" s="10" t="str">
        <f t="shared" si="6"/>
        <v/>
      </c>
      <c r="R28" s="7" t="str">
        <f t="shared" si="7"/>
        <v/>
      </c>
      <c r="S28" s="38">
        <v>18.100000000000001</v>
      </c>
      <c r="T28" s="38">
        <v>2.7</v>
      </c>
      <c r="U28" s="38">
        <v>1.6</v>
      </c>
      <c r="V28" s="38">
        <v>0</v>
      </c>
      <c r="W28" s="38">
        <v>15.4</v>
      </c>
      <c r="X28" s="38">
        <v>1.2</v>
      </c>
      <c r="Y28" s="38">
        <v>0</v>
      </c>
      <c r="Z28" s="38">
        <v>0</v>
      </c>
      <c r="AA28" s="38" t="s">
        <v>175</v>
      </c>
      <c r="AB28" s="38" t="s">
        <v>175</v>
      </c>
      <c r="AC28" s="38" t="s">
        <v>175</v>
      </c>
      <c r="AD28" s="38" t="s">
        <v>175</v>
      </c>
      <c r="AE28" s="38" t="s">
        <v>175</v>
      </c>
      <c r="AF28" s="38" t="s">
        <v>175</v>
      </c>
      <c r="AG28" s="38" t="s">
        <v>175</v>
      </c>
      <c r="AH28" s="38" t="s">
        <v>175</v>
      </c>
      <c r="AI28" s="19"/>
      <c r="AJ28" s="41">
        <f t="shared" si="8"/>
        <v>2.7</v>
      </c>
      <c r="AK28" s="41">
        <f t="shared" si="9"/>
        <v>19.2</v>
      </c>
      <c r="AL28" s="41">
        <f t="shared" si="10"/>
        <v>1.2</v>
      </c>
      <c r="AM28" s="41">
        <f t="shared" si="11"/>
        <v>16.600000000000001</v>
      </c>
      <c r="AN28" s="27">
        <f t="shared" si="12"/>
        <v>3.9000000000000004</v>
      </c>
      <c r="AO28" s="27">
        <f t="shared" si="13"/>
        <v>35.799999999999997</v>
      </c>
      <c r="AP28" s="27" t="str">
        <f t="shared" si="14"/>
        <v/>
      </c>
      <c r="AQ28" s="27" t="str">
        <f t="shared" si="15"/>
        <v/>
      </c>
      <c r="AR28" s="27" t="str">
        <f t="shared" si="16"/>
        <v/>
      </c>
      <c r="AS28" s="27" t="str">
        <f t="shared" si="17"/>
        <v/>
      </c>
      <c r="AT28" s="27" t="str">
        <f t="shared" si="18"/>
        <v/>
      </c>
      <c r="AU28" s="27" t="str">
        <f t="shared" si="19"/>
        <v/>
      </c>
      <c r="AV28" s="27">
        <f t="shared" si="20"/>
        <v>35.799999999999997</v>
      </c>
      <c r="AW28" s="15"/>
      <c r="AX28" s="15"/>
      <c r="AY28" s="15"/>
      <c r="AZ28" s="15"/>
      <c r="BA28" s="15"/>
      <c r="BB28" s="15"/>
      <c r="BC28" s="15"/>
      <c r="BD28" s="15"/>
      <c r="BE28" s="15"/>
      <c r="BF28" s="15"/>
      <c r="BG28" s="15"/>
      <c r="BH28" s="15"/>
      <c r="BI28" s="15"/>
      <c r="BJ28" s="15"/>
      <c r="BK28" s="15"/>
      <c r="BL28" s="15"/>
      <c r="BM28" s="20"/>
      <c r="BN28" s="42" t="str">
        <f t="shared" si="21"/>
        <v/>
      </c>
      <c r="BO28" s="42" t="str">
        <f t="shared" si="22"/>
        <v/>
      </c>
      <c r="BP28" s="42" t="str">
        <f t="shared" si="23"/>
        <v/>
      </c>
      <c r="BQ28" s="42" t="str">
        <f t="shared" si="24"/>
        <v/>
      </c>
      <c r="BR28" s="10" t="str">
        <f t="shared" si="25"/>
        <v/>
      </c>
      <c r="BS28" s="10" t="str">
        <f t="shared" si="26"/>
        <v/>
      </c>
      <c r="BT28" s="10" t="str">
        <f t="shared" si="27"/>
        <v/>
      </c>
      <c r="BU28" s="10" t="str">
        <f t="shared" si="28"/>
        <v/>
      </c>
      <c r="BV28" s="10" t="str">
        <f t="shared" si="29"/>
        <v/>
      </c>
      <c r="BW28" s="10" t="str">
        <f t="shared" si="30"/>
        <v/>
      </c>
      <c r="BX28" s="10" t="str">
        <f t="shared" si="31"/>
        <v/>
      </c>
      <c r="BY28" s="10" t="str">
        <f t="shared" si="32"/>
        <v/>
      </c>
      <c r="BZ28" s="10" t="str">
        <f t="shared" si="33"/>
        <v/>
      </c>
      <c r="CA28" s="34" t="str">
        <f t="shared" si="34"/>
        <v/>
      </c>
      <c r="CB28" s="34" t="str">
        <f t="shared" si="35"/>
        <v/>
      </c>
      <c r="CC28" s="14"/>
      <c r="CD28" s="14"/>
      <c r="CE28" s="14"/>
      <c r="CF28" s="14"/>
      <c r="CG28" s="14"/>
      <c r="CH28" s="14"/>
      <c r="CI28" s="14"/>
      <c r="CJ28" s="14"/>
      <c r="CK28" s="14"/>
      <c r="CL28" s="14"/>
      <c r="CM28" s="14"/>
      <c r="CN28" s="14"/>
      <c r="CO28" s="14"/>
      <c r="CP28" s="14"/>
      <c r="CQ28" s="14"/>
      <c r="CR28" s="14"/>
      <c r="CS28" s="14"/>
      <c r="CT28" s="14"/>
      <c r="CU28" s="14"/>
      <c r="CV28" s="14"/>
      <c r="CW28" s="27" t="str">
        <f t="shared" si="36"/>
        <v/>
      </c>
      <c r="CX28" s="27" t="str">
        <f t="shared" si="37"/>
        <v/>
      </c>
      <c r="CY28" s="27" t="str">
        <f t="shared" si="38"/>
        <v/>
      </c>
      <c r="CZ28" s="27" t="str">
        <f t="shared" si="39"/>
        <v/>
      </c>
      <c r="DA28" s="27" t="str">
        <f t="shared" si="40"/>
        <v/>
      </c>
      <c r="DB28" s="27" t="str">
        <f t="shared" si="41"/>
        <v/>
      </c>
      <c r="DC28" s="27" t="str">
        <f t="shared" si="42"/>
        <v/>
      </c>
      <c r="DD28" s="27" t="str">
        <f t="shared" si="43"/>
        <v/>
      </c>
      <c r="DE28" s="27" t="str">
        <f t="shared" si="44"/>
        <v/>
      </c>
      <c r="DF28" s="27" t="str">
        <f t="shared" si="45"/>
        <v/>
      </c>
      <c r="DG28" s="27" t="str">
        <f t="shared" si="46"/>
        <v/>
      </c>
      <c r="DH28" s="27" t="str">
        <f t="shared" si="47"/>
        <v/>
      </c>
      <c r="DI28" s="27" t="str">
        <f t="shared" si="48"/>
        <v/>
      </c>
      <c r="DJ28" s="27" t="str">
        <f t="shared" si="49"/>
        <v/>
      </c>
      <c r="DK28" s="27" t="str">
        <f t="shared" si="50"/>
        <v/>
      </c>
      <c r="DL28" s="15"/>
      <c r="DM28" s="15"/>
      <c r="DN28" s="15"/>
      <c r="DO28" s="15"/>
      <c r="DP28" s="15"/>
      <c r="DQ28" s="15"/>
      <c r="DR28" s="15"/>
      <c r="DS28" s="15"/>
      <c r="DT28" s="15"/>
      <c r="DU28" s="15"/>
      <c r="DV28" s="15"/>
      <c r="DW28" s="15"/>
      <c r="DX28" s="15"/>
      <c r="DY28" s="15"/>
      <c r="DZ28" s="15"/>
      <c r="EA28" s="15"/>
      <c r="EB28" s="15"/>
      <c r="EC28" s="15"/>
      <c r="ED28" s="15"/>
      <c r="EE28" s="15"/>
      <c r="EF28" s="10" t="str">
        <f t="shared" si="51"/>
        <v/>
      </c>
      <c r="EG28" s="10" t="str">
        <f t="shared" si="52"/>
        <v/>
      </c>
      <c r="EH28" s="10" t="str">
        <f t="shared" si="53"/>
        <v/>
      </c>
      <c r="EI28" s="10" t="str">
        <f t="shared" si="54"/>
        <v/>
      </c>
      <c r="EJ28" s="10" t="str">
        <f t="shared" si="55"/>
        <v/>
      </c>
      <c r="EK28" s="10" t="str">
        <f t="shared" si="56"/>
        <v/>
      </c>
      <c r="EL28" s="10" t="str">
        <f t="shared" si="57"/>
        <v/>
      </c>
      <c r="EM28" s="10" t="str">
        <f t="shared" si="58"/>
        <v/>
      </c>
      <c r="EN28" s="10" t="str">
        <f t="shared" si="59"/>
        <v/>
      </c>
      <c r="EO28" s="10" t="str">
        <f t="shared" si="60"/>
        <v/>
      </c>
      <c r="EP28" s="10" t="str">
        <f t="shared" si="61"/>
        <v/>
      </c>
      <c r="EQ28" s="10" t="str">
        <f t="shared" si="62"/>
        <v/>
      </c>
      <c r="ER28" s="10" t="str">
        <f t="shared" si="63"/>
        <v/>
      </c>
      <c r="ES28" s="10" t="str">
        <f t="shared" si="64"/>
        <v/>
      </c>
      <c r="ET28" s="10" t="str">
        <f t="shared" si="65"/>
        <v/>
      </c>
    </row>
    <row r="29" spans="1:150" x14ac:dyDescent="0.2">
      <c r="A29" s="3" t="str" cm="1">
        <f t="array" ref="A29">IF(AND(H29&lt;&gt;"",H29&lt;&gt;"No DD",I29&lt;&gt;"P"),SUMPRODUCT((H$4:H$30&lt;&gt;"")*(H$4:H$30&lt;&gt;"No DD")*(I$4:I$30&lt;&gt;"P")*(E$4:E$30&gt;E29))+1,IF(H29="No DD",SUMPRODUCT((H$4:H$30="No DD")*(I$4:I$30&lt;&gt;"P")*(E$4:E$30&gt;E29))+1+SUMPRODUCT((H$4:H$30&lt;&gt;"")*(I$4:I$30&lt;&gt;"P")*(H$4:H$30&lt;&gt;"No DD")),""))</f>
        <v/>
      </c>
      <c r="B29" s="4" t="s">
        <v>133</v>
      </c>
      <c r="C29" s="3" t="s">
        <v>3</v>
      </c>
      <c r="D29" s="3">
        <v>2008</v>
      </c>
      <c r="E29" s="8">
        <f t="shared" si="0"/>
        <v>22.900002290002291</v>
      </c>
      <c r="F29" s="2" t="str">
        <f>IF(OR(AND(AO29&lt;&gt;"",AO29&gt;=AV$35,AN29&gt;=AV$32),AND(AU29&lt;&gt;"",AU29&gt;=AV$35,AT29&gt;=AV$32),AND(BS29&lt;&gt;"",BS29&gt;=BZ$35,BR29&gt;=BZ$32),AND(BY29&lt;&gt;"",BY29&gt;=BZ$35,BX29&gt;=BZ$32),AND(DB29&lt;&gt;"",DB29&gt;=DK$35,DA29&gt;=DK$32),AND(DJ29&lt;&gt;"",DJ29&gt;=DK$35,DI29&gt;=DK$32),AND(EK29&lt;&gt;"",EK29&gt;=ET$35,EJ29&gt;=ET$32),AND(ES29&lt;&gt;"",ES29&gt;=ET$35,ER29&gt;=ET$32)),"P","")</f>
        <v/>
      </c>
      <c r="G29" s="2" t="str">
        <f>IF(OR(AND(AO29&lt;&gt;"",AO29&gt;=AV$35),AND(AU29&lt;&gt;"",AU29&gt;=AV$35),AND(BS29&lt;&gt;"",BS29&gt;=BZ$35),AND(BY29&lt;&gt;"",BY29&gt;=BZ$35),AND(DB29&lt;&gt;"",DB29&gt;=DK$35),AND(DJ29&lt;&gt;"",DJ29&gt;=DK$35),AND(EK29&lt;&gt;"",EK29&gt;=ET$35),AND(ES29&lt;&gt;"",ES29&gt;=ET$35)),"P","")</f>
        <v/>
      </c>
      <c r="H29" s="26" t="str">
        <f>IF(AND(G29="P",F29=""),"No DD",IF(OR(AND(AK29&lt;&gt;"",AK29&gt;=AV$37,AJ29&gt;=AV$34),AND(AM29&lt;&gt;"",AM29&gt;=AV$37,AL29&gt;=AV$34),AND(AQ29&lt;&gt;"",AQ29&gt;=AV$37,AP29&gt;=AV$34),AND(AS29&lt;&gt;"",AS29&gt;=AV$37,AR29&gt;=AV$34),AND(BO29&lt;&gt;"",BO29&gt;=BZ$37,BN29&gt;=BZ$34),AND(BQ29&lt;&gt;"",BQ29&gt;=BZ$37,BP29&gt;=BZ$34),AND(BV29&lt;&gt;"",BV29&gt;=BZ$37,BU29&gt;=BZ$34),AND(BX29&lt;&gt;"",BX29&gt;=BZ$37,BW29&gt;=BZ$34),AND(CX29&lt;&gt;"",CX29&gt;=DK$37,CW29&gt;=DK$34),AND(CZ29&lt;&gt;"",CZ29&gt;=DK$37,CY29&gt;=DK$34),AND(DD29&lt;&gt;"",DD29&gt;=DK$37,DC29&gt;=DK$34),AND(DF29&lt;&gt;"",DF29&gt;=DK$37,DE29&gt;=DK$34),AND(DH29&lt;&gt;"",DH29&gt;=DK$37,DG29&gt;=DK$34),AND(EG29&lt;&gt;"",EG29&gt;=ET$37,EF29&gt;=ET$34),AND(EI29&lt;&gt;"",EI29&gt;=ET$37,EH29&gt;=ET$34),AND(EM29&lt;&gt;"",EM29&gt;=ET$37,EL29&gt;=ET$34),AND(EO29&lt;&gt;"",EO29&gt;=ET$37,EN29&gt;=ET$34),AND(EQ29&lt;&gt;"",EQ29&gt;=ET$37,EP29&gt;=ET$34)),"Performance",IF(I29="P","National Team",IF(F29="P","National Team",""))))</f>
        <v/>
      </c>
      <c r="I29" s="2" t="str">
        <f>IF(COUNTIFS('Senior-W'!B:B,B29,'Senior-W'!A:A,"&lt;9",'Senior-W'!H:H,"&lt;&gt;"&amp;"No DD"),"P","")</f>
        <v/>
      </c>
      <c r="J29" s="7">
        <f t="shared" si="1"/>
        <v>22.9</v>
      </c>
      <c r="K29" s="7" t="str">
        <f t="shared" si="2"/>
        <v>2026 Elite Canada</v>
      </c>
      <c r="L29" s="7">
        <f>IF(J29=AO29,IF(COUNT(AQ29,AS29,BO29,BQ29,BU29,BW29)&gt;1,LARGE((AQ29,AS29,BO29,BQ29,BU29,BW29),1),0),IF(COUNT(AK29,AM29,AQ29,AS29,BU29,BW29)&gt;1,LARGE((AK29,AM29,AQ29,AS29,BU29,BW29),1),0))</f>
        <v>0</v>
      </c>
      <c r="M29" s="7" t="str">
        <f t="shared" si="3"/>
        <v/>
      </c>
      <c r="N29" s="7">
        <f>IF(J29=AO29,IF(COUNT(AQ29,AS29,BO29,BQ29,BU29,BW29)&gt;1,LARGE((AQ29,AS29,BO29,BQ29,BU29,BW29),2),0),IF(COUNT(AK29,AM29,AQ29,AS29,BU29,BW29)&gt;1,LARGE((AK29,AM29,AQ29,AS29,BU29,BW29),2),0))</f>
        <v>0</v>
      </c>
      <c r="O29" s="7" t="str">
        <f t="shared" si="4"/>
        <v/>
      </c>
      <c r="P29" s="7" t="str">
        <f t="shared" si="5"/>
        <v/>
      </c>
      <c r="Q29" s="10" t="str">
        <f t="shared" si="6"/>
        <v/>
      </c>
      <c r="R29" s="7" t="str">
        <f t="shared" si="7"/>
        <v/>
      </c>
      <c r="S29" s="38">
        <v>0</v>
      </c>
      <c r="T29" s="38">
        <v>0</v>
      </c>
      <c r="U29" s="38">
        <v>0</v>
      </c>
      <c r="V29" s="38">
        <v>0</v>
      </c>
      <c r="W29" s="38">
        <v>18.5</v>
      </c>
      <c r="X29" s="38">
        <v>5.2</v>
      </c>
      <c r="Y29" s="38">
        <v>0.8</v>
      </c>
      <c r="Z29" s="38">
        <v>0</v>
      </c>
      <c r="AA29" s="38" t="s">
        <v>175</v>
      </c>
      <c r="AB29" s="38" t="s">
        <v>175</v>
      </c>
      <c r="AC29" s="38" t="s">
        <v>175</v>
      </c>
      <c r="AD29" s="38" t="s">
        <v>175</v>
      </c>
      <c r="AE29" s="38" t="s">
        <v>175</v>
      </c>
      <c r="AF29" s="38" t="s">
        <v>175</v>
      </c>
      <c r="AG29" s="38" t="s">
        <v>175</v>
      </c>
      <c r="AH29" s="38" t="s">
        <v>175</v>
      </c>
      <c r="AI29" s="19"/>
      <c r="AJ29" s="41">
        <f t="shared" si="8"/>
        <v>0</v>
      </c>
      <c r="AK29" s="41">
        <f t="shared" si="9"/>
        <v>0</v>
      </c>
      <c r="AL29" s="41">
        <f t="shared" si="10"/>
        <v>5.2</v>
      </c>
      <c r="AM29" s="41">
        <f t="shared" si="11"/>
        <v>22.9</v>
      </c>
      <c r="AN29" s="27">
        <f t="shared" si="12"/>
        <v>5.2</v>
      </c>
      <c r="AO29" s="27">
        <f t="shared" si="13"/>
        <v>22.9</v>
      </c>
      <c r="AP29" s="27" t="str">
        <f t="shared" si="14"/>
        <v/>
      </c>
      <c r="AQ29" s="27" t="str">
        <f t="shared" si="15"/>
        <v/>
      </c>
      <c r="AR29" s="27" t="str">
        <f t="shared" si="16"/>
        <v/>
      </c>
      <c r="AS29" s="27" t="str">
        <f t="shared" si="17"/>
        <v/>
      </c>
      <c r="AT29" s="27" t="str">
        <f t="shared" si="18"/>
        <v/>
      </c>
      <c r="AU29" s="27" t="str">
        <f t="shared" si="19"/>
        <v/>
      </c>
      <c r="AV29" s="27">
        <f t="shared" si="20"/>
        <v>22.9</v>
      </c>
      <c r="AW29" s="15"/>
      <c r="AX29" s="15"/>
      <c r="AY29" s="15"/>
      <c r="AZ29" s="15"/>
      <c r="BA29" s="15"/>
      <c r="BB29" s="15"/>
      <c r="BC29" s="15"/>
      <c r="BD29" s="15"/>
      <c r="BE29" s="15"/>
      <c r="BF29" s="15"/>
      <c r="BG29" s="15"/>
      <c r="BH29" s="15"/>
      <c r="BI29" s="15"/>
      <c r="BJ29" s="15"/>
      <c r="BK29" s="15"/>
      <c r="BL29" s="15"/>
      <c r="BM29" s="20"/>
      <c r="BN29" s="42" t="str">
        <f t="shared" si="21"/>
        <v/>
      </c>
      <c r="BO29" s="42" t="str">
        <f t="shared" si="22"/>
        <v/>
      </c>
      <c r="BP29" s="42" t="str">
        <f t="shared" si="23"/>
        <v/>
      </c>
      <c r="BQ29" s="42" t="str">
        <f t="shared" si="24"/>
        <v/>
      </c>
      <c r="BR29" s="10" t="str">
        <f t="shared" si="25"/>
        <v/>
      </c>
      <c r="BS29" s="10" t="str">
        <f t="shared" si="26"/>
        <v/>
      </c>
      <c r="BT29" s="10" t="str">
        <f t="shared" si="27"/>
        <v/>
      </c>
      <c r="BU29" s="10" t="str">
        <f t="shared" si="28"/>
        <v/>
      </c>
      <c r="BV29" s="10" t="str">
        <f t="shared" si="29"/>
        <v/>
      </c>
      <c r="BW29" s="10" t="str">
        <f t="shared" si="30"/>
        <v/>
      </c>
      <c r="BX29" s="10" t="str">
        <f t="shared" si="31"/>
        <v/>
      </c>
      <c r="BY29" s="10" t="str">
        <f t="shared" si="32"/>
        <v/>
      </c>
      <c r="BZ29" s="10" t="str">
        <f t="shared" si="33"/>
        <v/>
      </c>
      <c r="CA29" s="34" t="str">
        <f t="shared" si="34"/>
        <v/>
      </c>
      <c r="CB29" s="34" t="str">
        <f t="shared" si="35"/>
        <v/>
      </c>
      <c r="CC29" s="14"/>
      <c r="CD29" s="14"/>
      <c r="CE29" s="14"/>
      <c r="CF29" s="14"/>
      <c r="CG29" s="14"/>
      <c r="CH29" s="14"/>
      <c r="CI29" s="14"/>
      <c r="CJ29" s="14"/>
      <c r="CK29" s="14"/>
      <c r="CL29" s="14"/>
      <c r="CM29" s="14"/>
      <c r="CN29" s="14"/>
      <c r="CO29" s="14"/>
      <c r="CP29" s="14"/>
      <c r="CQ29" s="14"/>
      <c r="CR29" s="14"/>
      <c r="CS29" s="14"/>
      <c r="CT29" s="14"/>
      <c r="CU29" s="14"/>
      <c r="CV29" s="14"/>
      <c r="CW29" s="27" t="str">
        <f t="shared" si="36"/>
        <v/>
      </c>
      <c r="CX29" s="27" t="str">
        <f t="shared" si="37"/>
        <v/>
      </c>
      <c r="CY29" s="27" t="str">
        <f t="shared" si="38"/>
        <v/>
      </c>
      <c r="CZ29" s="27" t="str">
        <f t="shared" si="39"/>
        <v/>
      </c>
      <c r="DA29" s="27" t="str">
        <f t="shared" si="40"/>
        <v/>
      </c>
      <c r="DB29" s="27" t="str">
        <f t="shared" si="41"/>
        <v/>
      </c>
      <c r="DC29" s="27" t="str">
        <f t="shared" si="42"/>
        <v/>
      </c>
      <c r="DD29" s="27" t="str">
        <f t="shared" si="43"/>
        <v/>
      </c>
      <c r="DE29" s="27" t="str">
        <f t="shared" si="44"/>
        <v/>
      </c>
      <c r="DF29" s="27" t="str">
        <f t="shared" si="45"/>
        <v/>
      </c>
      <c r="DG29" s="27" t="str">
        <f t="shared" si="46"/>
        <v/>
      </c>
      <c r="DH29" s="27" t="str">
        <f t="shared" si="47"/>
        <v/>
      </c>
      <c r="DI29" s="27" t="str">
        <f t="shared" si="48"/>
        <v/>
      </c>
      <c r="DJ29" s="27" t="str">
        <f t="shared" si="49"/>
        <v/>
      </c>
      <c r="DK29" s="27" t="str">
        <f t="shared" si="50"/>
        <v/>
      </c>
      <c r="DL29" s="15"/>
      <c r="DM29" s="15"/>
      <c r="DN29" s="15"/>
      <c r="DO29" s="15"/>
      <c r="DP29" s="15"/>
      <c r="DQ29" s="15"/>
      <c r="DR29" s="15"/>
      <c r="DS29" s="15"/>
      <c r="DT29" s="15"/>
      <c r="DU29" s="15"/>
      <c r="DV29" s="15"/>
      <c r="DW29" s="15"/>
      <c r="DX29" s="15"/>
      <c r="DY29" s="15"/>
      <c r="DZ29" s="15"/>
      <c r="EA29" s="15"/>
      <c r="EB29" s="15"/>
      <c r="EC29" s="15"/>
      <c r="ED29" s="15"/>
      <c r="EE29" s="15"/>
      <c r="EF29" s="10" t="str">
        <f t="shared" si="51"/>
        <v/>
      </c>
      <c r="EG29" s="10" t="str">
        <f t="shared" si="52"/>
        <v/>
      </c>
      <c r="EH29" s="10" t="str">
        <f t="shared" si="53"/>
        <v/>
      </c>
      <c r="EI29" s="10" t="str">
        <f t="shared" si="54"/>
        <v/>
      </c>
      <c r="EJ29" s="10" t="str">
        <f t="shared" si="55"/>
        <v/>
      </c>
      <c r="EK29" s="10" t="str">
        <f t="shared" si="56"/>
        <v/>
      </c>
      <c r="EL29" s="10" t="str">
        <f t="shared" si="57"/>
        <v/>
      </c>
      <c r="EM29" s="10" t="str">
        <f t="shared" si="58"/>
        <v/>
      </c>
      <c r="EN29" s="10" t="str">
        <f t="shared" si="59"/>
        <v/>
      </c>
      <c r="EO29" s="10" t="str">
        <f t="shared" si="60"/>
        <v/>
      </c>
      <c r="EP29" s="10" t="str">
        <f t="shared" si="61"/>
        <v/>
      </c>
      <c r="EQ29" s="10" t="str">
        <f t="shared" si="62"/>
        <v/>
      </c>
      <c r="ER29" s="10" t="str">
        <f t="shared" si="63"/>
        <v/>
      </c>
      <c r="ES29" s="10" t="str">
        <f t="shared" si="64"/>
        <v/>
      </c>
      <c r="ET29" s="10" t="str">
        <f t="shared" si="65"/>
        <v/>
      </c>
    </row>
    <row r="30" spans="1:150" ht="17" x14ac:dyDescent="0.2">
      <c r="P30" s="9"/>
      <c r="Q30" s="9"/>
      <c r="R30" s="9"/>
    </row>
    <row r="31" spans="1:150" ht="17" x14ac:dyDescent="0.2">
      <c r="P31" s="9"/>
      <c r="Q31" s="9"/>
      <c r="R31" s="9"/>
    </row>
    <row r="32" spans="1:150" ht="17" x14ac:dyDescent="0.2">
      <c r="B32" s="17" t="s">
        <v>27</v>
      </c>
      <c r="P32" s="9"/>
      <c r="Q32" s="9"/>
      <c r="R32" s="9"/>
      <c r="AV32" s="28">
        <v>10.4</v>
      </c>
      <c r="BZ32" s="28">
        <v>10.4</v>
      </c>
      <c r="CW32" s="3"/>
      <c r="CX32" s="3"/>
      <c r="CY32" s="3"/>
      <c r="CZ32" s="3"/>
      <c r="DA32" s="3"/>
      <c r="DK32" s="28">
        <v>10.4</v>
      </c>
      <c r="EF32" s="3"/>
      <c r="EG32" s="3"/>
      <c r="EH32" s="3"/>
      <c r="EI32" s="3"/>
      <c r="EJ32" s="3"/>
      <c r="EK32" s="3"/>
      <c r="EL32" s="3"/>
      <c r="ET32" s="28">
        <v>10.4</v>
      </c>
    </row>
    <row r="33" spans="1:150" ht="17" hidden="1" x14ac:dyDescent="0.2">
      <c r="B33" s="22" t="s">
        <v>26</v>
      </c>
      <c r="P33" s="9"/>
      <c r="Q33" s="9"/>
      <c r="R33" s="9"/>
      <c r="AV33" s="39">
        <v>1000</v>
      </c>
      <c r="BZ33" s="39">
        <v>1000</v>
      </c>
      <c r="CW33" s="3"/>
      <c r="CX33" s="3"/>
      <c r="CY33" s="3"/>
      <c r="CZ33" s="3"/>
      <c r="DA33" s="3"/>
      <c r="DK33" s="39">
        <v>1000</v>
      </c>
      <c r="EF33" s="3"/>
      <c r="EG33" s="3"/>
      <c r="EH33" s="3"/>
      <c r="EI33" s="3"/>
      <c r="EJ33" s="3"/>
      <c r="EK33" s="3"/>
      <c r="EL33" s="3"/>
      <c r="ET33" s="39">
        <v>1000</v>
      </c>
    </row>
    <row r="34" spans="1:150" ht="17" hidden="1" x14ac:dyDescent="0.2">
      <c r="A34" s="4"/>
      <c r="B34" s="23" t="s">
        <v>104</v>
      </c>
      <c r="C34" s="16"/>
      <c r="P34" s="9"/>
      <c r="Q34" s="9"/>
      <c r="R34" s="9"/>
      <c r="AV34" s="29">
        <v>1000</v>
      </c>
      <c r="BZ34" s="29">
        <v>1000</v>
      </c>
      <c r="CW34" s="3"/>
      <c r="CX34" s="3"/>
      <c r="CY34" s="3"/>
      <c r="CZ34" s="3"/>
      <c r="DA34" s="3"/>
      <c r="DK34" s="29">
        <v>1000</v>
      </c>
      <c r="EF34" s="3"/>
      <c r="EG34" s="3"/>
      <c r="EH34" s="3"/>
      <c r="EI34" s="3"/>
      <c r="EJ34" s="3"/>
      <c r="EK34" s="3"/>
      <c r="EL34" s="3"/>
      <c r="ET34" s="29">
        <v>1000</v>
      </c>
    </row>
    <row r="35" spans="1:150" ht="17" x14ac:dyDescent="0.2">
      <c r="A35" s="4"/>
      <c r="B35" s="25" t="s">
        <v>24</v>
      </c>
      <c r="C35" s="16"/>
      <c r="P35" s="9"/>
      <c r="Q35" s="9"/>
      <c r="R35" s="9"/>
      <c r="AV35" s="30">
        <v>47.2</v>
      </c>
      <c r="BZ35" s="30">
        <v>47.2</v>
      </c>
      <c r="CW35" s="3"/>
      <c r="CX35" s="3"/>
      <c r="CY35" s="3"/>
      <c r="CZ35" s="3"/>
      <c r="DA35" s="3"/>
      <c r="DK35" s="30">
        <v>47.2</v>
      </c>
      <c r="EF35" s="3"/>
      <c r="EG35" s="3"/>
      <c r="EH35" s="3"/>
      <c r="EI35" s="3"/>
      <c r="EJ35" s="3"/>
      <c r="EK35" s="3"/>
      <c r="EL35" s="3"/>
      <c r="ET35" s="30">
        <v>47.2</v>
      </c>
    </row>
    <row r="36" spans="1:150" ht="17" hidden="1" x14ac:dyDescent="0.2">
      <c r="A36" s="4"/>
      <c r="B36" s="18" t="s">
        <v>25</v>
      </c>
      <c r="C36" s="16"/>
      <c r="P36" s="9"/>
      <c r="Q36" s="9"/>
      <c r="R36" s="9"/>
      <c r="AV36" s="31">
        <v>1000</v>
      </c>
      <c r="BZ36" s="31">
        <v>1000</v>
      </c>
      <c r="CW36" s="3"/>
      <c r="CX36" s="3"/>
      <c r="CY36" s="3"/>
      <c r="CZ36" s="3"/>
      <c r="DA36" s="3"/>
      <c r="DK36" s="31">
        <v>1000</v>
      </c>
      <c r="EF36" s="3"/>
      <c r="EG36" s="3"/>
      <c r="EH36" s="3"/>
      <c r="EI36" s="3"/>
      <c r="EJ36" s="3"/>
      <c r="EK36" s="3"/>
      <c r="EL36" s="3"/>
      <c r="ET36" s="31">
        <v>1000</v>
      </c>
    </row>
    <row r="37" spans="1:150" ht="17" hidden="1" x14ac:dyDescent="0.2">
      <c r="A37" s="4"/>
      <c r="B37" s="24" t="s">
        <v>103</v>
      </c>
      <c r="C37" s="16"/>
      <c r="P37" s="9"/>
      <c r="Q37" s="9"/>
      <c r="R37" s="9"/>
      <c r="AV37" s="32">
        <v>1000</v>
      </c>
      <c r="BZ37" s="32">
        <v>1000</v>
      </c>
      <c r="CW37" s="3"/>
      <c r="CX37" s="3"/>
      <c r="CY37" s="3"/>
      <c r="CZ37" s="3"/>
      <c r="DA37" s="3"/>
      <c r="DK37" s="32">
        <v>1000</v>
      </c>
      <c r="EF37" s="3"/>
      <c r="EG37" s="3"/>
      <c r="EH37" s="3"/>
      <c r="EI37" s="3"/>
      <c r="EJ37" s="3"/>
      <c r="EK37" s="3"/>
      <c r="EL37" s="3"/>
      <c r="ET37" s="32">
        <v>1000</v>
      </c>
    </row>
    <row r="38" spans="1:150" x14ac:dyDescent="0.2">
      <c r="B38" s="21" t="s">
        <v>29</v>
      </c>
      <c r="C38" s="1"/>
    </row>
    <row r="39" spans="1:150" x14ac:dyDescent="0.2">
      <c r="A39" s="4"/>
      <c r="B39" s="4"/>
      <c r="C39" s="16"/>
    </row>
    <row r="40" spans="1:150" x14ac:dyDescent="0.2">
      <c r="A40" s="4"/>
      <c r="B40" s="4"/>
      <c r="C40" s="16"/>
    </row>
    <row r="41" spans="1:150" x14ac:dyDescent="0.2">
      <c r="A41" s="4"/>
      <c r="B41" s="4"/>
      <c r="C41" s="16"/>
    </row>
    <row r="42" spans="1:150" x14ac:dyDescent="0.2">
      <c r="A42" s="4"/>
      <c r="B42" s="4"/>
      <c r="C42" s="4"/>
    </row>
    <row r="45" spans="1:150" x14ac:dyDescent="0.2">
      <c r="B45" s="40"/>
    </row>
  </sheetData>
  <sheetProtection sheet="1" formatCells="0" formatColumns="0" formatRows="0"/>
  <autoFilter ref="A1:ET1" xr:uid="{562C6DCA-CC42-3044-B5F7-4065DAFFC028}"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hiddenButton="1" showButton="0"/>
    <filterColumn colId="36" hiddenButton="1" showButton="0"/>
    <filterColumn colId="37" hiddenButton="1" showButton="0"/>
    <filterColumn colId="38" hiddenButton="1" showButton="0"/>
    <filterColumn colId="39" showButton="0"/>
    <filterColumn colId="40" showButton="0"/>
    <filterColumn colId="41" hiddenButton="1" showButton="0"/>
    <filterColumn colId="42" hiddenButton="1" showButton="0"/>
    <filterColumn colId="43" hiddenButton="1" showButton="0"/>
    <filterColumn colId="44" hiddenButton="1" showButton="0"/>
    <filterColumn colId="45" showButton="0"/>
    <filterColumn colId="46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hiddenButton="1" showButton="0"/>
    <filterColumn colId="66" hiddenButton="1" showButton="0"/>
    <filterColumn colId="67" hiddenButton="1" showButton="0"/>
    <filterColumn colId="68" hiddenButton="1" showButton="0"/>
    <filterColumn colId="69" showButton="0"/>
    <filterColumn colId="70" showButton="0"/>
    <filterColumn colId="71" hiddenButton="1" showButton="0"/>
    <filterColumn colId="72" hiddenButton="1" showButton="0"/>
    <filterColumn colId="73" hiddenButton="1" showButton="0"/>
    <filterColumn colId="74" hiddenButton="1" showButton="0"/>
    <filterColumn colId="75" showButton="0"/>
    <filterColumn colId="76" showButton="0"/>
    <filterColumn colId="78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hiddenButton="1" showButton="0"/>
    <filterColumn colId="102" hiddenButton="1" showButton="0"/>
    <filterColumn colId="103" hiddenButton="1" showButton="0"/>
    <filterColumn colId="104" hiddenButton="1" showButton="0"/>
    <filterColumn colId="105" showButton="0"/>
    <filterColumn colId="106" showButton="0"/>
    <filterColumn colId="107" showButton="0"/>
    <filterColumn colId="108" hiddenButton="1" showButton="0"/>
    <filterColumn colId="109" hiddenButton="1" showButton="0"/>
    <filterColumn colId="110" showButton="0"/>
    <filterColumn colId="111" showButton="0"/>
    <filterColumn colId="112" hiddenButton="1" showButton="0"/>
    <filterColumn colId="113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hiddenButton="1" showButton="0"/>
    <filterColumn colId="137" hiddenButton="1" showButton="0"/>
    <filterColumn colId="138" hiddenButton="1" showButton="0"/>
    <filterColumn colId="139" hiddenButton="1" showButton="0"/>
    <filterColumn colId="140" hiddenButton="1" showButton="0"/>
    <filterColumn colId="141" hiddenButton="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hiddenButton="1" showButton="0"/>
    <filterColumn colId="148" showButton="0"/>
    <sortState xmlns:xlrd2="http://schemas.microsoft.com/office/spreadsheetml/2017/richdata2" ref="A6:ET43">
      <sortCondition descending="1" ref="F1:F44"/>
    </sortState>
  </autoFilter>
  <mergeCells count="41">
    <mergeCell ref="L1:L3"/>
    <mergeCell ref="A1:A3"/>
    <mergeCell ref="B1:B3"/>
    <mergeCell ref="C1:C3"/>
    <mergeCell ref="D1:D3"/>
    <mergeCell ref="E1:E3"/>
    <mergeCell ref="F1:F3"/>
    <mergeCell ref="G1:G3"/>
    <mergeCell ref="H1:H3"/>
    <mergeCell ref="I1:I3"/>
    <mergeCell ref="J1:J3"/>
    <mergeCell ref="K1:K3"/>
    <mergeCell ref="DL1:ET1"/>
    <mergeCell ref="CO2:CR2"/>
    <mergeCell ref="S2:V2"/>
    <mergeCell ref="W2:Z2"/>
    <mergeCell ref="AA2:AD2"/>
    <mergeCell ref="R1:R3"/>
    <mergeCell ref="S1:AV1"/>
    <mergeCell ref="AW1:BZ1"/>
    <mergeCell ref="CA1:CB1"/>
    <mergeCell ref="CC1:DK1"/>
    <mergeCell ref="M1:M3"/>
    <mergeCell ref="N1:N3"/>
    <mergeCell ref="O1:O3"/>
    <mergeCell ref="P1:P3"/>
    <mergeCell ref="Q1:Q3"/>
    <mergeCell ref="EB2:EE2"/>
    <mergeCell ref="CC2:CF2"/>
    <mergeCell ref="CG2:CJ2"/>
    <mergeCell ref="CK2:CN2"/>
    <mergeCell ref="AE2:AH2"/>
    <mergeCell ref="AW2:AZ2"/>
    <mergeCell ref="BA2:BD2"/>
    <mergeCell ref="BE2:BH2"/>
    <mergeCell ref="BI2:BL2"/>
    <mergeCell ref="CS2:CV2"/>
    <mergeCell ref="DL2:DO2"/>
    <mergeCell ref="DP2:DS2"/>
    <mergeCell ref="DT2:DW2"/>
    <mergeCell ref="DX2:EA2"/>
  </mergeCells>
  <conditionalFormatting sqref="A4:A1048576">
    <cfRule type="expression" dxfId="128" priority="44">
      <formula>IF(A4&gt;6,1,0)</formula>
    </cfRule>
    <cfRule type="expression" dxfId="127" priority="45" stopIfTrue="1">
      <formula>AND(G4="P",F4="")</formula>
    </cfRule>
  </conditionalFormatting>
  <conditionalFormatting sqref="H1:H1048576">
    <cfRule type="containsText" dxfId="126" priority="40" stopIfTrue="1" operator="containsText" text="National Team">
      <formula>NOT(ISERROR(SEARCH("National Team",H1)))</formula>
    </cfRule>
    <cfRule type="containsText" dxfId="125" priority="41" stopIfTrue="1" operator="containsText" text="Worlds Team">
      <formula>NOT(ISERROR(SEARCH("Worlds Team",H1)))</formula>
    </cfRule>
    <cfRule type="containsText" dxfId="124" priority="42" operator="containsText" text="Performance">
      <formula>NOT(ISERROR(SEARCH("Performance",H1)))</formula>
    </cfRule>
    <cfRule type="containsText" dxfId="123" priority="43" stopIfTrue="1" operator="containsText" text="No DD">
      <formula>NOT(ISERROR(SEARCH("No DD",H1)))</formula>
    </cfRule>
  </conditionalFormatting>
  <conditionalFormatting sqref="S4:AV29">
    <cfRule type="expression" dxfId="122" priority="39" stopIfTrue="1">
      <formula>IF($AI4&lt;&gt;"",1,0)</formula>
    </cfRule>
  </conditionalFormatting>
  <conditionalFormatting sqref="AW4:BZ29">
    <cfRule type="expression" dxfId="121" priority="38" stopIfTrue="1">
      <formula>IF($BM4&lt;&gt;"",1,0)</formula>
    </cfRule>
  </conditionalFormatting>
  <conditionalFormatting sqref="M1:M1048576 O1:O1048576 K1:K1048576">
    <cfRule type="expression" dxfId="120" priority="36" stopIfTrue="1">
      <formula>IF(K1=$AW$1,1,0)</formula>
    </cfRule>
    <cfRule type="expression" dxfId="119" priority="37" stopIfTrue="1">
      <formula>IF(K1=$S$1,1,0)</formula>
    </cfRule>
  </conditionalFormatting>
  <conditionalFormatting sqref="AJ1:AJ1048576 BN1:BN1048576 EH1:EH1048576 CY1:CY1048576">
    <cfRule type="cellIs" dxfId="118" priority="187513" stopIfTrue="1" operator="between">
      <formula>AV$34-0.00001</formula>
      <formula>1000</formula>
    </cfRule>
  </conditionalFormatting>
  <conditionalFormatting sqref="AN1:AN1048576 BR1:BR1048576">
    <cfRule type="cellIs" dxfId="117" priority="187525" operator="between">
      <formula>AV$32-0.00001</formula>
      <formula>AV$33-0.00001</formula>
    </cfRule>
    <cfRule type="cellIs" dxfId="116" priority="187526" operator="between">
      <formula>AV$33-0.00001</formula>
      <formula>1000</formula>
    </cfRule>
  </conditionalFormatting>
  <conditionalFormatting sqref="AT1:AT1048576 BX1:BX1048576">
    <cfRule type="cellIs" dxfId="115" priority="187537" operator="between">
      <formula>AV$33-0.00001</formula>
      <formula>1000</formula>
    </cfRule>
    <cfRule type="cellIs" dxfId="114" priority="187538" stopIfTrue="1" operator="between">
      <formula>AV$32-0.00001</formula>
      <formula>AV$33-0.00001</formula>
    </cfRule>
  </conditionalFormatting>
  <conditionalFormatting sqref="AL1:AL1048576 BP1:BP1048576">
    <cfRule type="cellIs" dxfId="113" priority="187549" operator="between">
      <formula>AV$34-0.00001</formula>
      <formula>1000</formula>
    </cfRule>
  </conditionalFormatting>
  <conditionalFormatting sqref="AP1:AP1048576 BT1:BT1048576 EN1:EN1048576 DE1:DE1048576">
    <cfRule type="cellIs" dxfId="112" priority="187555" operator="between">
      <formula>AV$34-0.00001</formula>
      <formula>1000</formula>
    </cfRule>
  </conditionalFormatting>
  <conditionalFormatting sqref="AR1:AR1048576 BV1:BV1048576">
    <cfRule type="cellIs" dxfId="111" priority="187567" operator="between">
      <formula>AV$34-0.00001</formula>
      <formula>1000</formula>
    </cfRule>
  </conditionalFormatting>
  <conditionalFormatting sqref="AK1:AK1048576 BO1:BO1048576">
    <cfRule type="cellIs" dxfId="110" priority="187573" operator="between">
      <formula>AV$37-0.00001</formula>
      <formula>1000</formula>
    </cfRule>
  </conditionalFormatting>
  <conditionalFormatting sqref="AO1:AO1048576 BS1:BS1048576">
    <cfRule type="cellIs" dxfId="109" priority="187579" operator="between">
      <formula>AV$35-0.00001</formula>
      <formula>AV$36-0.00001</formula>
    </cfRule>
    <cfRule type="cellIs" dxfId="108" priority="187580" operator="between">
      <formula>AV$36-0.00001</formula>
      <formula>1000</formula>
    </cfRule>
  </conditionalFormatting>
  <conditionalFormatting sqref="AU1:AU1048576 BY1:BY1048576">
    <cfRule type="cellIs" dxfId="107" priority="187591" stopIfTrue="1" operator="between">
      <formula>AV$36-0.00001</formula>
      <formula>1000</formula>
    </cfRule>
    <cfRule type="cellIs" dxfId="106" priority="187592" operator="between">
      <formula>AV$35-0.00001</formula>
      <formula>AV$36-0.00001</formula>
    </cfRule>
  </conditionalFormatting>
  <conditionalFormatting sqref="AM1:AM1048576 BQ1:BQ1048576">
    <cfRule type="cellIs" dxfId="105" priority="187603" stopIfTrue="1" operator="between">
      <formula>AV$37-0.00001</formula>
      <formula>1000</formula>
    </cfRule>
    <cfRule type="cellIs" dxfId="104" priority="187604" operator="between">
      <formula>AT$37-0.00001</formula>
      <formula>#REF!-0.00001</formula>
    </cfRule>
  </conditionalFormatting>
  <conditionalFormatting sqref="AQ1:AQ1048576 BU1:BU1048576">
    <cfRule type="cellIs" dxfId="103" priority="187615" stopIfTrue="1" operator="between">
      <formula>AV$37-0.00001</formula>
      <formula>1000</formula>
    </cfRule>
  </conditionalFormatting>
  <conditionalFormatting sqref="AS1:AS1048576 BW1:BW1048576">
    <cfRule type="cellIs" dxfId="102" priority="187621" stopIfTrue="1" operator="between">
      <formula>AV$37-0.00001</formula>
      <formula>1000</formula>
    </cfRule>
  </conditionalFormatting>
  <conditionalFormatting sqref="CW1:CW1048576 EF1:EF1048576">
    <cfRule type="cellIs" dxfId="101" priority="187627" operator="between">
      <formula>DK$34-0.00001</formula>
      <formula>1000</formula>
    </cfRule>
  </conditionalFormatting>
  <conditionalFormatting sqref="CX1:CX1048576 EG1:EG1048576">
    <cfRule type="cellIs" dxfId="100" priority="187633" operator="between">
      <formula>DK$37-0.00001</formula>
      <formula>1000</formula>
    </cfRule>
  </conditionalFormatting>
  <conditionalFormatting sqref="DA1:DA1048576 EJ1:EJ1048576">
    <cfRule type="cellIs" dxfId="99" priority="187639" stopIfTrue="1" operator="between">
      <formula>DK$32-0.00001</formula>
      <formula>DK$33-0.00001</formula>
    </cfRule>
    <cfRule type="cellIs" dxfId="98" priority="187640" operator="between">
      <formula>DK$33-0.00001</formula>
      <formula>1000</formula>
    </cfRule>
  </conditionalFormatting>
  <conditionalFormatting sqref="DB1:DB1048576 EK1:EK1048576">
    <cfRule type="cellIs" dxfId="97" priority="187651" operator="between">
      <formula>DK$35-0.00001</formula>
      <formula>DK$36-0.00001</formula>
    </cfRule>
    <cfRule type="cellIs" dxfId="96" priority="187652" stopIfTrue="1" operator="between">
      <formula>DK$36-0.00001</formula>
      <formula>1000</formula>
    </cfRule>
  </conditionalFormatting>
  <conditionalFormatting sqref="DC1:DC1048576 EL1:EL1048576">
    <cfRule type="cellIs" dxfId="95" priority="187663" operator="between">
      <formula>DK$34-0.00001</formula>
      <formula>1000</formula>
    </cfRule>
  </conditionalFormatting>
  <conditionalFormatting sqref="DG1:DG1048576 EP1:EP1048576">
    <cfRule type="cellIs" dxfId="94" priority="187669" stopIfTrue="1" operator="between">
      <formula>DK$34-0.00001</formula>
      <formula>1000</formula>
    </cfRule>
  </conditionalFormatting>
  <conditionalFormatting sqref="CZ1:CZ1048576 EI1:EI1048576">
    <cfRule type="cellIs" dxfId="93" priority="187675" stopIfTrue="1" operator="between">
      <formula>DK$37-0.00001</formula>
      <formula>1000</formula>
    </cfRule>
  </conditionalFormatting>
  <conditionalFormatting sqref="DD1:DD1048576 EM1:EM1048576">
    <cfRule type="cellIs" dxfId="92" priority="187681" operator="between">
      <formula>DK$37-0.00001</formula>
      <formula>1000</formula>
    </cfRule>
  </conditionalFormatting>
  <conditionalFormatting sqref="DF1:DF1048576 EO1:EO1048576">
    <cfRule type="cellIs" dxfId="91" priority="187687" operator="between">
      <formula>DK$37-0.00001</formula>
      <formula>1000</formula>
    </cfRule>
  </conditionalFormatting>
  <conditionalFormatting sqref="DH1:DH1048576 EQ1:EQ1048576">
    <cfRule type="cellIs" dxfId="90" priority="187693" operator="between">
      <formula>DK$37-0.00001</formula>
      <formula>1000</formula>
    </cfRule>
  </conditionalFormatting>
  <conditionalFormatting sqref="DI1:DI1048576 ER1:ER1048576">
    <cfRule type="cellIs" dxfId="89" priority="187699" operator="between">
      <formula>DK$33-0.00001</formula>
      <formula>1000</formula>
    </cfRule>
    <cfRule type="cellIs" dxfId="88" priority="187700" operator="between">
      <formula>DK$32-0.00001</formula>
      <formula>DK$33-0.00001</formula>
    </cfRule>
  </conditionalFormatting>
  <conditionalFormatting sqref="DJ1:DJ1048576 ES1:ES1048576">
    <cfRule type="cellIs" dxfId="87" priority="187711" operator="between">
      <formula>DK$35-0.00001</formula>
      <formula>DK$36-0.00001</formula>
    </cfRule>
    <cfRule type="cellIs" dxfId="86" priority="187712" operator="between">
      <formula>DK$36-0.00001</formula>
      <formula>1000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90A22F-6653-954C-A0CD-D0FA164BD66C}">
  <sheetPr codeName="Sheet23"/>
  <dimension ref="A1:ET30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26" bestFit="1" customWidth="1"/>
    <col min="9" max="9" width="15.33203125" hidden="1" customWidth="1"/>
    <col min="11" max="11" width="27.5" bestFit="1" customWidth="1"/>
    <col min="12" max="12" width="10.5" customWidth="1"/>
    <col min="13" max="13" width="27.5" bestFit="1" customWidth="1"/>
    <col min="14" max="14" width="10.83203125" customWidth="1"/>
    <col min="15" max="15" width="27.5" customWidth="1"/>
    <col min="16" max="16" width="24.6640625" customWidth="1"/>
    <col min="17" max="17" width="13" customWidth="1"/>
    <col min="18" max="18" width="31.5" customWidth="1"/>
    <col min="19" max="35" width="10.83203125" hidden="1" customWidth="1"/>
    <col min="36" max="39" width="10.83203125" customWidth="1"/>
    <col min="40" max="48" width="10.83203125" style="26" customWidth="1"/>
    <col min="49" max="65" width="10.83203125" hidden="1" customWidth="1"/>
    <col min="66" max="69" width="10.83203125" customWidth="1"/>
    <col min="70" max="80" width="10.83203125" style="26" customWidth="1"/>
    <col min="81" max="100" width="10.83203125" hidden="1" customWidth="1"/>
    <col min="101" max="115" width="10.83203125" style="26" customWidth="1"/>
    <col min="116" max="135" width="10.83203125" hidden="1" customWidth="1"/>
    <col min="136" max="150" width="10.83203125" style="26" hidden="1" customWidth="1"/>
    <col min="151" max="152" width="10.83203125" customWidth="1"/>
  </cols>
  <sheetData>
    <row r="1" spans="1:150" ht="16" customHeight="1" x14ac:dyDescent="0.2">
      <c r="A1" s="55" t="s">
        <v>1</v>
      </c>
      <c r="B1" s="55" t="s">
        <v>14</v>
      </c>
      <c r="C1" s="55" t="s">
        <v>0</v>
      </c>
      <c r="D1" s="55" t="s">
        <v>30</v>
      </c>
      <c r="E1" s="55" t="s">
        <v>2</v>
      </c>
      <c r="F1" s="56" t="s">
        <v>75</v>
      </c>
      <c r="G1" s="56" t="s">
        <v>8</v>
      </c>
      <c r="H1" s="55" t="s">
        <v>9</v>
      </c>
      <c r="I1" s="56" t="s">
        <v>38</v>
      </c>
      <c r="J1" s="53" t="s">
        <v>76</v>
      </c>
      <c r="K1" s="52" t="s">
        <v>16</v>
      </c>
      <c r="L1" s="53" t="s">
        <v>89</v>
      </c>
      <c r="M1" s="52" t="s">
        <v>16</v>
      </c>
      <c r="N1" s="53" t="s">
        <v>90</v>
      </c>
      <c r="O1" s="52" t="s">
        <v>16</v>
      </c>
      <c r="P1" s="54" t="s">
        <v>10</v>
      </c>
      <c r="Q1" s="52" t="s">
        <v>17</v>
      </c>
      <c r="R1" s="52" t="s">
        <v>16</v>
      </c>
      <c r="S1" s="48" t="s">
        <v>147</v>
      </c>
      <c r="T1" s="48"/>
      <c r="U1" s="48"/>
      <c r="V1" s="48"/>
      <c r="W1" s="48"/>
      <c r="X1" s="48"/>
      <c r="Y1" s="48"/>
      <c r="Z1" s="48"/>
      <c r="AA1" s="48"/>
      <c r="AB1" s="48"/>
      <c r="AC1" s="48"/>
      <c r="AD1" s="48"/>
      <c r="AE1" s="48"/>
      <c r="AF1" s="48"/>
      <c r="AG1" s="48"/>
      <c r="AH1" s="48"/>
      <c r="AI1" s="48"/>
      <c r="AJ1" s="48"/>
      <c r="AK1" s="48"/>
      <c r="AL1" s="48"/>
      <c r="AM1" s="48"/>
      <c r="AN1" s="48"/>
      <c r="AO1" s="48"/>
      <c r="AP1" s="48"/>
      <c r="AQ1" s="48"/>
      <c r="AR1" s="48"/>
      <c r="AS1" s="48"/>
      <c r="AT1" s="48"/>
      <c r="AU1" s="48"/>
      <c r="AV1" s="48"/>
      <c r="AW1" s="49" t="s">
        <v>148</v>
      </c>
      <c r="AX1" s="49"/>
      <c r="AY1" s="49"/>
      <c r="AZ1" s="49"/>
      <c r="BA1" s="49"/>
      <c r="BB1" s="49"/>
      <c r="BC1" s="49"/>
      <c r="BD1" s="49"/>
      <c r="BE1" s="49"/>
      <c r="BF1" s="49"/>
      <c r="BG1" s="49"/>
      <c r="BH1" s="49"/>
      <c r="BI1" s="49"/>
      <c r="BJ1" s="49"/>
      <c r="BK1" s="49"/>
      <c r="BL1" s="49"/>
      <c r="BM1" s="49"/>
      <c r="BN1" s="49"/>
      <c r="BO1" s="49"/>
      <c r="BP1" s="49"/>
      <c r="BQ1" s="49"/>
      <c r="BR1" s="49"/>
      <c r="BS1" s="49"/>
      <c r="BT1" s="49"/>
      <c r="BU1" s="49"/>
      <c r="BV1" s="49"/>
      <c r="BW1" s="49"/>
      <c r="BX1" s="49"/>
      <c r="BY1" s="49"/>
      <c r="BZ1" s="49"/>
      <c r="CA1" s="50" t="s">
        <v>77</v>
      </c>
      <c r="CB1" s="50"/>
      <c r="CC1" s="48" t="s">
        <v>46</v>
      </c>
      <c r="CD1" s="48"/>
      <c r="CE1" s="48"/>
      <c r="CF1" s="48"/>
      <c r="CG1" s="48"/>
      <c r="CH1" s="48"/>
      <c r="CI1" s="48"/>
      <c r="CJ1" s="48"/>
      <c r="CK1" s="48"/>
      <c r="CL1" s="48"/>
      <c r="CM1" s="48"/>
      <c r="CN1" s="48"/>
      <c r="CO1" s="48"/>
      <c r="CP1" s="48"/>
      <c r="CQ1" s="48"/>
      <c r="CR1" s="48"/>
      <c r="CS1" s="48"/>
      <c r="CT1" s="48"/>
      <c r="CU1" s="48"/>
      <c r="CV1" s="48"/>
      <c r="CW1" s="48"/>
      <c r="CX1" s="48"/>
      <c r="CY1" s="48"/>
      <c r="CZ1" s="48"/>
      <c r="DA1" s="48"/>
      <c r="DB1" s="48"/>
      <c r="DC1" s="48"/>
      <c r="DD1" s="48"/>
      <c r="DE1" s="48"/>
      <c r="DF1" s="48"/>
      <c r="DG1" s="48"/>
      <c r="DH1" s="48"/>
      <c r="DI1" s="48"/>
      <c r="DJ1" s="48"/>
      <c r="DK1" s="48"/>
      <c r="DL1" s="49"/>
      <c r="DM1" s="49"/>
      <c r="DN1" s="49"/>
      <c r="DO1" s="49"/>
      <c r="DP1" s="49"/>
      <c r="DQ1" s="49"/>
      <c r="DR1" s="49"/>
      <c r="DS1" s="49"/>
      <c r="DT1" s="49"/>
      <c r="DU1" s="49"/>
      <c r="DV1" s="49"/>
      <c r="DW1" s="49"/>
      <c r="DX1" s="49"/>
      <c r="DY1" s="49"/>
      <c r="DZ1" s="49"/>
      <c r="EA1" s="49"/>
      <c r="EB1" s="49"/>
      <c r="EC1" s="49"/>
      <c r="ED1" s="49"/>
      <c r="EE1" s="49"/>
      <c r="EF1" s="49"/>
      <c r="EG1" s="49"/>
      <c r="EH1" s="49"/>
      <c r="EI1" s="49"/>
      <c r="EJ1" s="49"/>
      <c r="EK1" s="49"/>
      <c r="EL1" s="49"/>
      <c r="EM1" s="49"/>
      <c r="EN1" s="49"/>
      <c r="EO1" s="49"/>
      <c r="EP1" s="49"/>
      <c r="EQ1" s="49"/>
      <c r="ER1" s="49"/>
      <c r="ES1" s="49"/>
      <c r="ET1" s="49"/>
    </row>
    <row r="2" spans="1:150" x14ac:dyDescent="0.2">
      <c r="A2" s="55"/>
      <c r="B2" s="55"/>
      <c r="C2" s="55"/>
      <c r="D2" s="55"/>
      <c r="E2" s="55"/>
      <c r="F2" s="56"/>
      <c r="G2" s="56"/>
      <c r="H2" s="55"/>
      <c r="I2" s="56"/>
      <c r="J2" s="53"/>
      <c r="K2" s="52"/>
      <c r="L2" s="53"/>
      <c r="M2" s="52"/>
      <c r="N2" s="52"/>
      <c r="O2" s="52"/>
      <c r="P2" s="54"/>
      <c r="Q2" s="52"/>
      <c r="R2" s="52"/>
      <c r="S2" s="46" t="s">
        <v>78</v>
      </c>
      <c r="T2" s="46"/>
      <c r="U2" s="46"/>
      <c r="V2" s="46"/>
      <c r="W2" s="46" t="s">
        <v>79</v>
      </c>
      <c r="X2" s="46"/>
      <c r="Y2" s="46"/>
      <c r="Z2" s="46"/>
      <c r="AA2" s="46" t="s">
        <v>80</v>
      </c>
      <c r="AB2" s="46"/>
      <c r="AC2" s="46"/>
      <c r="AD2" s="46"/>
      <c r="AE2" s="47" t="s">
        <v>81</v>
      </c>
      <c r="AF2" s="47"/>
      <c r="AG2" s="47"/>
      <c r="AH2" s="47"/>
      <c r="AI2" s="13"/>
      <c r="AJ2" s="13" t="s">
        <v>95</v>
      </c>
      <c r="AK2" s="13" t="s">
        <v>91</v>
      </c>
      <c r="AL2" s="13" t="s">
        <v>96</v>
      </c>
      <c r="AM2" s="13" t="s">
        <v>92</v>
      </c>
      <c r="AN2" s="13" t="s">
        <v>82</v>
      </c>
      <c r="AO2" s="13" t="s">
        <v>13</v>
      </c>
      <c r="AP2" s="13" t="s">
        <v>97</v>
      </c>
      <c r="AQ2" s="13" t="s">
        <v>93</v>
      </c>
      <c r="AR2" s="13" t="s">
        <v>98</v>
      </c>
      <c r="AS2" s="13" t="s">
        <v>94</v>
      </c>
      <c r="AT2" s="13" t="s">
        <v>83</v>
      </c>
      <c r="AU2" s="13" t="s">
        <v>84</v>
      </c>
      <c r="AV2" s="13" t="s">
        <v>12</v>
      </c>
      <c r="AW2" s="44" t="s">
        <v>78</v>
      </c>
      <c r="AX2" s="44"/>
      <c r="AY2" s="44"/>
      <c r="AZ2" s="44"/>
      <c r="BA2" s="44" t="s">
        <v>79</v>
      </c>
      <c r="BB2" s="44"/>
      <c r="BC2" s="44"/>
      <c r="BD2" s="44"/>
      <c r="BE2" s="44" t="s">
        <v>80</v>
      </c>
      <c r="BF2" s="44"/>
      <c r="BG2" s="44"/>
      <c r="BH2" s="44"/>
      <c r="BI2" s="45" t="s">
        <v>81</v>
      </c>
      <c r="BJ2" s="45"/>
      <c r="BK2" s="45"/>
      <c r="BL2" s="45"/>
      <c r="BM2" s="12"/>
      <c r="BN2" s="12" t="s">
        <v>95</v>
      </c>
      <c r="BO2" s="12" t="s">
        <v>91</v>
      </c>
      <c r="BP2" s="12" t="s">
        <v>96</v>
      </c>
      <c r="BQ2" s="12" t="s">
        <v>92</v>
      </c>
      <c r="BR2" s="12" t="s">
        <v>82</v>
      </c>
      <c r="BS2" s="12" t="s">
        <v>13</v>
      </c>
      <c r="BT2" s="12" t="s">
        <v>97</v>
      </c>
      <c r="BU2" s="12" t="s">
        <v>93</v>
      </c>
      <c r="BV2" s="12" t="s">
        <v>98</v>
      </c>
      <c r="BW2" s="12" t="s">
        <v>94</v>
      </c>
      <c r="BX2" s="12" t="s">
        <v>83</v>
      </c>
      <c r="BY2" s="12" t="s">
        <v>84</v>
      </c>
      <c r="BZ2" s="12" t="s">
        <v>12</v>
      </c>
      <c r="CA2" s="33" t="s">
        <v>85</v>
      </c>
      <c r="CB2" s="33" t="s">
        <v>99</v>
      </c>
      <c r="CC2" s="46" t="s">
        <v>78</v>
      </c>
      <c r="CD2" s="46"/>
      <c r="CE2" s="46"/>
      <c r="CF2" s="46"/>
      <c r="CG2" s="46" t="s">
        <v>79</v>
      </c>
      <c r="CH2" s="46"/>
      <c r="CI2" s="46"/>
      <c r="CJ2" s="46"/>
      <c r="CK2" s="46" t="s">
        <v>86</v>
      </c>
      <c r="CL2" s="46"/>
      <c r="CM2" s="46"/>
      <c r="CN2" s="46"/>
      <c r="CO2" s="46" t="s">
        <v>80</v>
      </c>
      <c r="CP2" s="46"/>
      <c r="CQ2" s="46"/>
      <c r="CR2" s="46"/>
      <c r="CS2" s="51" t="s">
        <v>81</v>
      </c>
      <c r="CT2" s="51"/>
      <c r="CU2" s="51"/>
      <c r="CV2" s="51"/>
      <c r="CW2" s="13" t="s">
        <v>95</v>
      </c>
      <c r="CX2" s="13" t="s">
        <v>91</v>
      </c>
      <c r="CY2" s="13" t="s">
        <v>96</v>
      </c>
      <c r="CZ2" s="13" t="s">
        <v>92</v>
      </c>
      <c r="DA2" s="13" t="s">
        <v>87</v>
      </c>
      <c r="DB2" s="13" t="s">
        <v>85</v>
      </c>
      <c r="DC2" s="13" t="s">
        <v>100</v>
      </c>
      <c r="DD2" s="13" t="s">
        <v>86</v>
      </c>
      <c r="DE2" s="13" t="s">
        <v>101</v>
      </c>
      <c r="DF2" s="13" t="s">
        <v>80</v>
      </c>
      <c r="DG2" s="13" t="s">
        <v>102</v>
      </c>
      <c r="DH2" s="13" t="s">
        <v>81</v>
      </c>
      <c r="DI2" s="13" t="s">
        <v>83</v>
      </c>
      <c r="DJ2" s="13" t="s">
        <v>84</v>
      </c>
      <c r="DK2" s="13" t="s">
        <v>12</v>
      </c>
      <c r="DL2" s="44" t="s">
        <v>78</v>
      </c>
      <c r="DM2" s="44"/>
      <c r="DN2" s="44"/>
      <c r="DO2" s="44"/>
      <c r="DP2" s="44" t="s">
        <v>79</v>
      </c>
      <c r="DQ2" s="44"/>
      <c r="DR2" s="44"/>
      <c r="DS2" s="44"/>
      <c r="DT2" s="44" t="s">
        <v>86</v>
      </c>
      <c r="DU2" s="44"/>
      <c r="DV2" s="44"/>
      <c r="DW2" s="44"/>
      <c r="DX2" s="44" t="s">
        <v>80</v>
      </c>
      <c r="DY2" s="44"/>
      <c r="DZ2" s="44"/>
      <c r="EA2" s="44"/>
      <c r="EB2" s="45" t="s">
        <v>81</v>
      </c>
      <c r="EC2" s="45"/>
      <c r="ED2" s="45"/>
      <c r="EE2" s="45"/>
      <c r="EF2" s="12" t="s">
        <v>95</v>
      </c>
      <c r="EG2" s="12" t="s">
        <v>91</v>
      </c>
      <c r="EH2" s="12" t="s">
        <v>96</v>
      </c>
      <c r="EI2" s="12" t="s">
        <v>92</v>
      </c>
      <c r="EJ2" s="12" t="s">
        <v>87</v>
      </c>
      <c r="EK2" s="12" t="s">
        <v>85</v>
      </c>
      <c r="EL2" s="12" t="s">
        <v>100</v>
      </c>
      <c r="EM2" s="12" t="s">
        <v>86</v>
      </c>
      <c r="EN2" s="12" t="s">
        <v>101</v>
      </c>
      <c r="EO2" s="12" t="s">
        <v>80</v>
      </c>
      <c r="EP2" s="12" t="s">
        <v>102</v>
      </c>
      <c r="EQ2" s="12" t="s">
        <v>81</v>
      </c>
      <c r="ER2" s="12" t="s">
        <v>83</v>
      </c>
      <c r="ES2" s="12" t="s">
        <v>84</v>
      </c>
      <c r="ET2" s="12" t="s">
        <v>12</v>
      </c>
    </row>
    <row r="3" spans="1:150" x14ac:dyDescent="0.2">
      <c r="A3" s="55"/>
      <c r="B3" s="55"/>
      <c r="C3" s="55"/>
      <c r="D3" s="55"/>
      <c r="E3" s="55"/>
      <c r="F3" s="56"/>
      <c r="G3" s="56"/>
      <c r="H3" s="55"/>
      <c r="I3" s="56"/>
      <c r="J3" s="53"/>
      <c r="K3" s="52"/>
      <c r="L3" s="53"/>
      <c r="M3" s="52"/>
      <c r="N3" s="52"/>
      <c r="O3" s="52"/>
      <c r="P3" s="54"/>
      <c r="Q3" s="52"/>
      <c r="R3" s="52"/>
      <c r="S3" s="13" t="s">
        <v>11</v>
      </c>
      <c r="T3" s="13" t="s">
        <v>7</v>
      </c>
      <c r="U3" s="13" t="s">
        <v>15</v>
      </c>
      <c r="V3" s="13" t="s">
        <v>88</v>
      </c>
      <c r="W3" s="13" t="s">
        <v>11</v>
      </c>
      <c r="X3" s="13" t="s">
        <v>7</v>
      </c>
      <c r="Y3" s="13" t="s">
        <v>15</v>
      </c>
      <c r="Z3" s="13" t="s">
        <v>88</v>
      </c>
      <c r="AA3" s="13" t="s">
        <v>11</v>
      </c>
      <c r="AB3" s="13" t="s">
        <v>7</v>
      </c>
      <c r="AC3" s="13" t="s">
        <v>15</v>
      </c>
      <c r="AD3" s="13" t="s">
        <v>88</v>
      </c>
      <c r="AE3" s="35" t="s">
        <v>11</v>
      </c>
      <c r="AF3" s="35" t="s">
        <v>7</v>
      </c>
      <c r="AG3" s="35" t="s">
        <v>15</v>
      </c>
      <c r="AH3" s="35" t="s">
        <v>88</v>
      </c>
      <c r="AI3" s="13" t="s">
        <v>28</v>
      </c>
      <c r="AJ3" s="13"/>
      <c r="AK3" s="13"/>
      <c r="AL3" s="13"/>
      <c r="AM3" s="13"/>
      <c r="AN3" s="13"/>
      <c r="AO3" s="13"/>
      <c r="AP3" s="13"/>
      <c r="AQ3" s="13"/>
      <c r="AR3" s="13"/>
      <c r="AS3" s="13"/>
      <c r="AT3" s="13"/>
      <c r="AU3" s="13"/>
      <c r="AV3" s="13"/>
      <c r="AW3" s="12" t="s">
        <v>11</v>
      </c>
      <c r="AX3" s="12" t="s">
        <v>7</v>
      </c>
      <c r="AY3" s="12" t="s">
        <v>15</v>
      </c>
      <c r="AZ3" s="12" t="s">
        <v>88</v>
      </c>
      <c r="BA3" s="12" t="s">
        <v>11</v>
      </c>
      <c r="BB3" s="12" t="s">
        <v>7</v>
      </c>
      <c r="BC3" s="12" t="s">
        <v>15</v>
      </c>
      <c r="BD3" s="12" t="s">
        <v>88</v>
      </c>
      <c r="BE3" s="12" t="s">
        <v>11</v>
      </c>
      <c r="BF3" s="12" t="s">
        <v>7</v>
      </c>
      <c r="BG3" s="12" t="s">
        <v>15</v>
      </c>
      <c r="BH3" s="12" t="s">
        <v>88</v>
      </c>
      <c r="BI3" s="36" t="s">
        <v>11</v>
      </c>
      <c r="BJ3" s="36" t="s">
        <v>7</v>
      </c>
      <c r="BK3" s="36" t="s">
        <v>15</v>
      </c>
      <c r="BL3" s="36" t="s">
        <v>88</v>
      </c>
      <c r="BM3" s="12" t="s">
        <v>28</v>
      </c>
      <c r="BN3" s="12"/>
      <c r="BO3" s="12"/>
      <c r="BP3" s="12"/>
      <c r="BQ3" s="12"/>
      <c r="BR3" s="12"/>
      <c r="BS3" s="12"/>
      <c r="BT3" s="12"/>
      <c r="BU3" s="12"/>
      <c r="BV3" s="12"/>
      <c r="BW3" s="12"/>
      <c r="BX3" s="12"/>
      <c r="BY3" s="12"/>
      <c r="BZ3" s="12"/>
      <c r="CA3" s="33"/>
      <c r="CB3" s="33"/>
      <c r="CC3" s="13" t="s">
        <v>11</v>
      </c>
      <c r="CD3" s="13" t="s">
        <v>7</v>
      </c>
      <c r="CE3" s="13" t="s">
        <v>15</v>
      </c>
      <c r="CF3" s="13" t="s">
        <v>88</v>
      </c>
      <c r="CG3" s="13" t="s">
        <v>11</v>
      </c>
      <c r="CH3" s="13" t="s">
        <v>7</v>
      </c>
      <c r="CI3" s="13" t="s">
        <v>15</v>
      </c>
      <c r="CJ3" s="13" t="s">
        <v>88</v>
      </c>
      <c r="CK3" s="13" t="s">
        <v>11</v>
      </c>
      <c r="CL3" s="13" t="s">
        <v>7</v>
      </c>
      <c r="CM3" s="13" t="s">
        <v>15</v>
      </c>
      <c r="CN3" s="13" t="s">
        <v>88</v>
      </c>
      <c r="CO3" s="13" t="s">
        <v>11</v>
      </c>
      <c r="CP3" s="13" t="s">
        <v>7</v>
      </c>
      <c r="CQ3" s="13" t="s">
        <v>15</v>
      </c>
      <c r="CR3" s="13" t="s">
        <v>88</v>
      </c>
      <c r="CS3" s="37" t="s">
        <v>11</v>
      </c>
      <c r="CT3" s="37" t="s">
        <v>7</v>
      </c>
      <c r="CU3" s="37" t="s">
        <v>15</v>
      </c>
      <c r="CV3" s="37" t="s">
        <v>88</v>
      </c>
      <c r="CW3" s="13"/>
      <c r="CX3" s="13"/>
      <c r="CY3" s="13"/>
      <c r="CZ3" s="13"/>
      <c r="DA3" s="13"/>
      <c r="DB3" s="13"/>
      <c r="DC3" s="13"/>
      <c r="DD3" s="13"/>
      <c r="DE3" s="13"/>
      <c r="DF3" s="13"/>
      <c r="DG3" s="13"/>
      <c r="DH3" s="13"/>
      <c r="DI3" s="13"/>
      <c r="DJ3" s="13"/>
      <c r="DK3" s="13"/>
      <c r="DL3" s="12" t="s">
        <v>11</v>
      </c>
      <c r="DM3" s="12" t="s">
        <v>7</v>
      </c>
      <c r="DN3" s="12" t="s">
        <v>15</v>
      </c>
      <c r="DO3" s="12" t="s">
        <v>88</v>
      </c>
      <c r="DP3" s="12" t="s">
        <v>11</v>
      </c>
      <c r="DQ3" s="12" t="s">
        <v>7</v>
      </c>
      <c r="DR3" s="12" t="s">
        <v>15</v>
      </c>
      <c r="DS3" s="12" t="s">
        <v>88</v>
      </c>
      <c r="DT3" s="12" t="s">
        <v>11</v>
      </c>
      <c r="DU3" s="12" t="s">
        <v>7</v>
      </c>
      <c r="DV3" s="12" t="s">
        <v>15</v>
      </c>
      <c r="DW3" s="12" t="s">
        <v>88</v>
      </c>
      <c r="DX3" s="12" t="s">
        <v>11</v>
      </c>
      <c r="DY3" s="12" t="s">
        <v>7</v>
      </c>
      <c r="DZ3" s="12" t="s">
        <v>15</v>
      </c>
      <c r="EA3" s="12" t="s">
        <v>88</v>
      </c>
      <c r="EB3" s="36" t="s">
        <v>11</v>
      </c>
      <c r="EC3" s="36" t="s">
        <v>7</v>
      </c>
      <c r="ED3" s="36" t="s">
        <v>15</v>
      </c>
      <c r="EE3" s="36" t="s">
        <v>88</v>
      </c>
      <c r="EF3" s="12"/>
      <c r="EG3" s="12"/>
      <c r="EH3" s="12"/>
      <c r="EI3" s="12"/>
      <c r="EJ3" s="12"/>
      <c r="EK3" s="12"/>
      <c r="EL3" s="12"/>
      <c r="EM3" s="12"/>
      <c r="EN3" s="12"/>
      <c r="EO3" s="12"/>
      <c r="EP3" s="12"/>
      <c r="EQ3" s="12"/>
      <c r="ER3" s="12"/>
      <c r="ES3" s="12"/>
      <c r="ET3" s="12"/>
    </row>
    <row r="4" spans="1:150" x14ac:dyDescent="0.2">
      <c r="A4" s="3" cm="1">
        <f t="array" ref="A4">IF(AND(H4&lt;&gt;"",H4&lt;&gt;"No DD"),SUMPRODUCT((H$4:H$15&lt;&gt;"")*(H$4:H$15&lt;&gt;"No DD")*(E$4:E$15&gt;E4))+1,IF(H4="No DD",SUMPRODUCT((H$4:H$15="No DD")*(E$4:E$15&gt;E4))+1+SUMPRODUCT((H$4:H$15&lt;&gt;"")*(H$4:H$15&lt;&gt;"No DD")),""))</f>
        <v>1</v>
      </c>
      <c r="B4" s="4" t="s">
        <v>63</v>
      </c>
      <c r="C4" s="3" t="s">
        <v>5</v>
      </c>
      <c r="D4" s="3">
        <v>2012</v>
      </c>
      <c r="E4" s="8">
        <f t="shared" ref="E4:E14" si="0">SUM(J4:P4)+SUM(J4:M4)*0.0000001+SUM(J4)*0.0000000000001</f>
        <v>100.30000751000495</v>
      </c>
      <c r="F4" s="2" t="str">
        <f>IF(OR(AND(AO4&lt;&gt;"",AO4&gt;=AV$20,AN4&gt;=AV$17),AND(AU4&lt;&gt;"",AU4&gt;=AV$20,AT4&gt;=AV$17),AND(BS4&lt;&gt;"",BS4&gt;=BZ$20,BR4&gt;=BZ$17),AND(BY4&lt;&gt;"",BY4&gt;=BZ$20,BX4&gt;=BZ$17),AND(DB4&lt;&gt;"",DB4&gt;=DK$20,DA4&gt;=DK$17),AND(DJ4&lt;&gt;"",DJ4&gt;=DK$20,DI4&gt;=DK$17),AND(EK4&lt;&gt;"",EK4&gt;=ET$20,EJ4&gt;=ET$17),AND(ES4&lt;&gt;"",ES4&gt;=ET$20,ER4&gt;=ET$17)),"P","")</f>
        <v>P</v>
      </c>
      <c r="G4" s="2" t="str">
        <f>IF(OR(AND(AO4&lt;&gt;"",AO4&gt;=AV$20),AND(AU4&lt;&gt;"",AU4&gt;=AV$20),AND(BS4&lt;&gt;"",BS4&gt;=BZ$20),AND(BY4&lt;&gt;"",BY4&gt;=BZ$20),AND(DB4&lt;&gt;"",DB4&gt;=DK$20),AND(DJ4&lt;&gt;"",DJ4&gt;=DK$20),AND(EK4&lt;&gt;"",EK4&gt;=ET$20),AND(ES4&lt;&gt;"",ES4&gt;=ET$20)),"P","")</f>
        <v>P</v>
      </c>
      <c r="H4" s="26" t="str">
        <f>IF(AND(G4="P",F4=""),"No DD",IF(OR(AND(AK4&lt;&gt;"",AK4&gt;=AV$22,AJ4&gt;=AV$19),AND(AM4&lt;&gt;"",AM4&gt;=AV$22,AL4&gt;=AV$19),AND(AQ4&lt;&gt;"",AQ4&gt;=AV$22,AP4&gt;=AV$19),AND(AS4&lt;&gt;"",AS4&gt;=AV$22,AR4&gt;=AV$19),AND(BO4&lt;&gt;"",BO4&gt;=BZ$22,BN4&gt;=BZ$19),AND(BQ4&lt;&gt;"",BQ4&gt;=BZ$22,BP4&gt;=BZ$19),AND(BV4&lt;&gt;"",BV4&gt;=BZ$22,BU4&gt;=BZ$19),AND(BX4&lt;&gt;"",BX4&gt;=BZ$22,BW4&gt;=BZ$19),AND(CX4&lt;&gt;"",CX4&gt;=DK$22,CW4&gt;=DK$19),AND(CZ4&lt;&gt;"",CZ4&gt;=DK$22,CY4&gt;=DK$19),AND(DD4&lt;&gt;"",DD4&gt;=DK$22,DC4&gt;=DK$19),AND(DF4&lt;&gt;"",DF4&gt;=DK$22,DE4&gt;=DK$19),AND(DH4&lt;&gt;"",DH4&gt;=DK$22,DG4&gt;=DK$19),AND(EG4&lt;&gt;"",EG4&gt;=ET$22,EF4&gt;=ET$19),AND(EI4&lt;&gt;"",EI4&gt;=ET$22,EH4&gt;=ET$19),AND(EM4&lt;&gt;"",EM4&gt;=ET$22,EL4&gt;=ET$19),AND(EO4&lt;&gt;"",EO4&gt;=ET$22,EN4&gt;=ET$19),AND(EQ4&lt;&gt;"",EQ4&gt;=ET$22,EP4&gt;=ET$19)),"Performance",IF(I4="P","Worlds Team",IF(F4="P","National Team",""))))</f>
        <v>National Team</v>
      </c>
      <c r="I4" s="2" t="str">
        <f>IF(OR(AND(AO4&lt;&gt;"",AO4&gt;=AV$21,AN4&gt;=AV$18),AND(AU4&lt;&gt;"",AU4&gt;=AV$21,AT4&gt;=AV$18),AND(BS4&lt;&gt;"",BS4&gt;=BZ$21,BR4&gt;=BZ$18),AND(BY4&lt;&gt;"",BY4&gt;=BZ$21,BX4&gt;=BZ$18),AND(DB4&lt;&gt;"",DB4&gt;=DK$21,DA4&gt;=DK$18),AND(DJ4&lt;&gt;"",DJ4&gt;=DK$21,DI4&gt;=DK$18),AND(EK4&lt;&gt;"",EK4&gt;=ET$21,EJ4&gt;=ET$18),AND(ES4&lt;&gt;"",ES4&gt;=ET$21,ER4&gt;=ET$18)),"P","")</f>
        <v/>
      </c>
      <c r="J4" s="7">
        <f t="shared" ref="J4:J14" si="1">IF(COUNT(AO4,BS4)&gt;0,MAX(AO4,BS4),0)</f>
        <v>49.5</v>
      </c>
      <c r="K4" s="7" t="str">
        <f t="shared" ref="K4:K14" si="2">IF(J4=0,"",IF(J4=BS4,$AW$1,IF(J4=AO4,$S$1,"")))</f>
        <v>2026 Elite Canada</v>
      </c>
      <c r="L4" s="7">
        <f>IF(J4=AO4,IF(COUNT(AQ4,AS4,BO4,BQ4,BU4,BW4)&gt;1,LARGE((AQ4,AS4,BO4,BQ4,BU4,BW4),1),0),IF(COUNT(AK4,AM4,AQ4,AS4,BU4,BW4)&gt;1,LARGE((AK4,AM4,AQ4,AS4,BU4,BW4),1),0))</f>
        <v>25.6</v>
      </c>
      <c r="M4" s="7" t="str">
        <f t="shared" ref="M4:M14" si="3">IF(L4=0,"",IF(OR(L4=BO4,L4=BQ4,L4=BU4,L4=BW4),$AW$1,IF(OR(L4=AK4,L4=AM4,L4=AQ4,L4=AS4),$S$1,"")))</f>
        <v>2026 Elite Canada</v>
      </c>
      <c r="N4" s="7">
        <f>IF(J4=AO4,IF(COUNT(AQ4,AS4,BO4,BQ4,BU4,BW4)&gt;1,LARGE((AQ4,AS4,BO4,BQ4,BU4,BW4),2),0),IF(COUNT(AK4,AM4,AQ4,AS4,BU4,BW4)&gt;1,LARGE((AK4,AM4,AQ4,AS4,BU4,BW4),2),0))</f>
        <v>25.200000000000003</v>
      </c>
      <c r="O4" s="7" t="str">
        <f t="shared" ref="O4:O14" si="4">IF(N4=0,"",IF(OR(N4=BO4,N4=BQ4,N4=BU4,N4=BW4),$AW$1,IF(OR(N4=AK4,N4=AM4,N4=AQ4,N4=AS4),$S$1,"")))</f>
        <v>2026 Elite Canada</v>
      </c>
      <c r="P4" s="7" t="str">
        <f t="shared" ref="P4:P14" si="5">IF(MAX(CA4:CB4)&gt;0,MAX(CA4:CB4),"")</f>
        <v/>
      </c>
      <c r="Q4" s="10" t="str">
        <f t="shared" ref="Q4:Q14" si="6">IF(P4="","",IF(P4=CA4,"("&amp;CA$2&amp;")",IF(P4=CB4,"("&amp;CB$2&amp;")")))</f>
        <v/>
      </c>
      <c r="R4" s="7" t="str">
        <f t="shared" ref="R4:R14" si="7">IF(P4="","",IF(P4=CA4,IF(P4+MAX(J4,0)=EK4,$DL$1,IF(P4+MAX(J4,0)=DB4,$CC$1)),IF(P4=CB4,IF(P4+MAX(N4,0)=MAX(EG4,EI4,EM4,EO4,EQ4),$DL$1,IF(P4+MAX(N4,0)=MAX(CX4,CZ4,DD4,DF4,DH4),$CC$1)))))</f>
        <v/>
      </c>
      <c r="S4" s="38">
        <v>18.5</v>
      </c>
      <c r="T4" s="38">
        <v>6.4</v>
      </c>
      <c r="U4" s="38">
        <v>0.2</v>
      </c>
      <c r="V4" s="38">
        <v>0</v>
      </c>
      <c r="W4" s="38">
        <v>18.8</v>
      </c>
      <c r="X4" s="38">
        <v>6.8</v>
      </c>
      <c r="Y4" s="38">
        <v>0.8</v>
      </c>
      <c r="Z4" s="38">
        <v>0</v>
      </c>
      <c r="AA4" s="38">
        <v>18.8</v>
      </c>
      <c r="AB4" s="38">
        <v>6.4</v>
      </c>
      <c r="AC4" s="38">
        <v>0</v>
      </c>
      <c r="AD4" s="38">
        <v>0</v>
      </c>
      <c r="AE4" s="38">
        <v>18.8</v>
      </c>
      <c r="AF4" s="38">
        <v>6.8</v>
      </c>
      <c r="AG4" s="38">
        <v>0</v>
      </c>
      <c r="AH4" s="38">
        <v>0</v>
      </c>
      <c r="AI4" s="19"/>
      <c r="AJ4" s="41">
        <f t="shared" ref="AJ4:AJ14" si="8">IF(T4="","",T4)</f>
        <v>6.4</v>
      </c>
      <c r="AK4" s="41">
        <f t="shared" ref="AK4:AK14" si="9">IF(S4="","",S4+T4+V4-U4)</f>
        <v>24.7</v>
      </c>
      <c r="AL4" s="41">
        <f t="shared" ref="AL4:AL14" si="10">IF(X4="","",X4)</f>
        <v>6.8</v>
      </c>
      <c r="AM4" s="41">
        <f t="shared" ref="AM4:AM14" si="11">IF(W4="","",W4+X4+Z4-Y4)</f>
        <v>24.8</v>
      </c>
      <c r="AN4" s="27">
        <f t="shared" ref="AN4:AN14" si="12">IF(SUM(T4,X4)&gt;0,SUM(T4,X4),"")</f>
        <v>13.2</v>
      </c>
      <c r="AO4" s="27">
        <f t="shared" ref="AO4:AO14" si="13">IF(SUM(AK4,AM4)&gt;0,SUM(AK4,AM4),"")</f>
        <v>49.5</v>
      </c>
      <c r="AP4" s="27">
        <f t="shared" ref="AP4:AP14" si="14">IF(AB4="","",AB4)</f>
        <v>6.4</v>
      </c>
      <c r="AQ4" s="27">
        <f t="shared" ref="AQ4:AQ14" si="15">IF(AA4="","",AA4+AB4+AD4-AC4)</f>
        <v>25.200000000000003</v>
      </c>
      <c r="AR4" s="27">
        <f t="shared" ref="AR4:AR14" si="16">IF(AF4="","",AF4)</f>
        <v>6.8</v>
      </c>
      <c r="AS4" s="27">
        <f t="shared" ref="AS4:AS14" si="17">IF(AE4="","",AE4+AF4+AH4-AG4)</f>
        <v>25.6</v>
      </c>
      <c r="AT4" s="27">
        <f t="shared" ref="AT4:AT14" si="18">IF(SUM(AB4,AF4)&gt;0,SUM(AB4,AF4),"")</f>
        <v>13.2</v>
      </c>
      <c r="AU4" s="27">
        <f t="shared" ref="AU4:AU14" si="19">IF(SUM(AQ4,AS4)&gt;0,SUM(AQ4,AS4),"")</f>
        <v>50.800000000000004</v>
      </c>
      <c r="AV4" s="27">
        <f t="shared" ref="AV4:AV14" si="20">IF(SUM(AO4,AU4)&gt;0,SUM(AO4,AU4),"")</f>
        <v>100.30000000000001</v>
      </c>
      <c r="AW4" s="15"/>
      <c r="AX4" s="15"/>
      <c r="AY4" s="15"/>
      <c r="AZ4" s="15"/>
      <c r="BA4" s="15"/>
      <c r="BB4" s="15"/>
      <c r="BC4" s="15"/>
      <c r="BD4" s="15"/>
      <c r="BE4" s="15"/>
      <c r="BF4" s="15"/>
      <c r="BG4" s="15"/>
      <c r="BH4" s="15"/>
      <c r="BI4" s="15"/>
      <c r="BJ4" s="15"/>
      <c r="BK4" s="15"/>
      <c r="BL4" s="15"/>
      <c r="BM4" s="20"/>
      <c r="BN4" s="42" t="str">
        <f t="shared" ref="BN4:BN14" si="21">IF(AX4="","",AX4)</f>
        <v/>
      </c>
      <c r="BO4" s="42" t="str">
        <f t="shared" ref="BO4:BO14" si="22">IF(AW4="","",AW4+AX4+AZ4-AY4)</f>
        <v/>
      </c>
      <c r="BP4" s="42" t="str">
        <f t="shared" ref="BP4:BP14" si="23">IF(BB4="","",BB4)</f>
        <v/>
      </c>
      <c r="BQ4" s="42" t="str">
        <f t="shared" ref="BQ4:BQ14" si="24">IF(BA4="","",BA4+BB4+BD4-BC4)</f>
        <v/>
      </c>
      <c r="BR4" s="10" t="str">
        <f t="shared" ref="BR4:BR14" si="25">IF(SUM(AX4,BB4)&gt;0,SUM(AX4,BB4),"")</f>
        <v/>
      </c>
      <c r="BS4" s="10" t="str">
        <f t="shared" ref="BS4:BS14" si="26">IF(SUM(BO4,BQ4)&gt;0,SUM(BO4,BQ4),"")</f>
        <v/>
      </c>
      <c r="BT4" s="10" t="str">
        <f t="shared" ref="BT4:BT14" si="27">IF(BF4="","",BF4)</f>
        <v/>
      </c>
      <c r="BU4" s="10" t="str">
        <f t="shared" ref="BU4:BU14" si="28">IF(BE4="","",BE4+BF4+BH4-BG4)</f>
        <v/>
      </c>
      <c r="BV4" s="10" t="str">
        <f t="shared" ref="BV4:BV14" si="29">IF(BJ4="","",BJ4)</f>
        <v/>
      </c>
      <c r="BW4" s="10" t="str">
        <f t="shared" ref="BW4:BW14" si="30">IF(BI4="","",BI4+BJ4+BL4-BK4)</f>
        <v/>
      </c>
      <c r="BX4" s="10" t="str">
        <f t="shared" ref="BX4:BX14" si="31">IF(SUM(BF4,BJ4)&gt;0,SUM(BF4,BJ4),"")</f>
        <v/>
      </c>
      <c r="BY4" s="10" t="str">
        <f t="shared" ref="BY4:BY14" si="32">IF(SUM(BU4,BW4)&gt;0,SUM(BU4,BW4),"")</f>
        <v/>
      </c>
      <c r="BZ4" s="10" t="str">
        <f t="shared" ref="BZ4:BZ14" si="33">IF(SUM(BS4,BY4)&gt;0,SUM(BS4,BY4),"")</f>
        <v/>
      </c>
      <c r="CA4" s="34" t="str">
        <f t="shared" ref="CA4:CA14" si="34">IF(MAX(DB4,EK4)-IF(J4="",0,J4)&gt;0.001,MAX(DB4,EK4)-IF(J4="",0,J4),"")</f>
        <v/>
      </c>
      <c r="CB4" s="34" t="str">
        <f t="shared" ref="CB4:CB14" si="35">IF(MAX(CX4,CZ4,DD4,DF4,DH4,EG4,EI4,EM4,EO4)-IF(N4="",0,N4)&gt;0.001,MAX(CX4,CZ4,DD4,DF4,DH4,EG4,EI4,EM4,EO4)-IF(N4="",0,N4),"")</f>
        <v/>
      </c>
      <c r="CC4" s="14">
        <v>18.8</v>
      </c>
      <c r="CD4" s="14">
        <v>6</v>
      </c>
      <c r="CE4" s="14">
        <v>0.6</v>
      </c>
      <c r="CF4" s="14">
        <v>0</v>
      </c>
      <c r="CG4" s="14">
        <v>19.2</v>
      </c>
      <c r="CH4" s="14">
        <v>5.6</v>
      </c>
      <c r="CI4" s="14">
        <v>0</v>
      </c>
      <c r="CJ4" s="14">
        <v>0</v>
      </c>
      <c r="CK4" s="14"/>
      <c r="CL4" s="14"/>
      <c r="CM4" s="14"/>
      <c r="CN4" s="14"/>
      <c r="CO4" s="14"/>
      <c r="CP4" s="14"/>
      <c r="CQ4" s="14"/>
      <c r="CR4" s="14"/>
      <c r="CS4" s="14"/>
      <c r="CT4" s="14"/>
      <c r="CU4" s="14"/>
      <c r="CV4" s="14"/>
      <c r="CW4" s="27">
        <f t="shared" ref="CW4:CW14" si="36">IF(CD4="","",CD4)</f>
        <v>6</v>
      </c>
      <c r="CX4" s="27">
        <f t="shared" ref="CX4:CX14" si="37">IF(CC4="","",CC4+CD4+CF4-CE4)</f>
        <v>24.2</v>
      </c>
      <c r="CY4" s="27">
        <f t="shared" ref="CY4:CY14" si="38">IF(CH4="","",CH4)</f>
        <v>5.6</v>
      </c>
      <c r="CZ4" s="27">
        <f t="shared" ref="CZ4:CZ14" si="39">IF(CG4="","",CG4+CH4+CJ4-CI4)</f>
        <v>24.799999999999997</v>
      </c>
      <c r="DA4" s="27">
        <f t="shared" ref="DA4:DA14" si="40">IF(CW4="","",SUM(CW4,CY4))</f>
        <v>11.6</v>
      </c>
      <c r="DB4" s="27">
        <f t="shared" ref="DB4:DB14" si="41">IF(CX4="","",SUM(CX4,CZ4))</f>
        <v>49</v>
      </c>
      <c r="DC4" s="27" t="str">
        <f t="shared" ref="DC4:DC14" si="42">IF(CL4="","",CL4)</f>
        <v/>
      </c>
      <c r="DD4" s="27" t="str">
        <f t="shared" ref="DD4:DD14" si="43">IF(CK4="","",CK4+CL4+CN4-CM4)</f>
        <v/>
      </c>
      <c r="DE4" s="27" t="str">
        <f t="shared" ref="DE4:DE14" si="44">IF(CP4="","",CP4)</f>
        <v/>
      </c>
      <c r="DF4" s="27" t="str">
        <f t="shared" ref="DF4:DF14" si="45">IF(CO4="","",CO4+CP4+CR4-CQ4)</f>
        <v/>
      </c>
      <c r="DG4" s="27" t="str">
        <f t="shared" ref="DG4:DG14" si="46">IF(CT4="","",CT4)</f>
        <v/>
      </c>
      <c r="DH4" s="27" t="str">
        <f t="shared" ref="DH4:DH14" si="47">IF(CS4="","",CS4+CT4+CV4-CU4)</f>
        <v/>
      </c>
      <c r="DI4" s="27" t="str">
        <f t="shared" ref="DI4:DI14" si="48">IF(DE4="","",SUM(DE4,DG4))</f>
        <v/>
      </c>
      <c r="DJ4" s="27" t="str">
        <f t="shared" ref="DJ4:DJ14" si="49">IF(DF4="","",SUM(DF4,DH4))</f>
        <v/>
      </c>
      <c r="DK4" s="27">
        <f t="shared" ref="DK4:DK14" si="50">IF(DB4="","",SUM(DB4,DD4,DH4))</f>
        <v>49</v>
      </c>
      <c r="DL4" s="15"/>
      <c r="DM4" s="15"/>
      <c r="DN4" s="15"/>
      <c r="DO4" s="15"/>
      <c r="DP4" s="15"/>
      <c r="DQ4" s="15"/>
      <c r="DR4" s="15"/>
      <c r="DS4" s="15"/>
      <c r="DT4" s="15"/>
      <c r="DU4" s="15"/>
      <c r="DV4" s="15"/>
      <c r="DW4" s="15"/>
      <c r="DX4" s="15"/>
      <c r="DY4" s="15"/>
      <c r="DZ4" s="15"/>
      <c r="EA4" s="15"/>
      <c r="EB4" s="15"/>
      <c r="EC4" s="15"/>
      <c r="ED4" s="15"/>
      <c r="EE4" s="15"/>
      <c r="EF4" s="10" t="str">
        <f t="shared" ref="EF4:EF14" si="51">IF(DM4="","",DM4)</f>
        <v/>
      </c>
      <c r="EG4" s="10" t="str">
        <f t="shared" ref="EG4:EG14" si="52">IF(DL4="","",DL4+DM4+DO4-DN4)</f>
        <v/>
      </c>
      <c r="EH4" s="10" t="str">
        <f t="shared" ref="EH4:EH14" si="53">IF(DQ4="","",DQ4)</f>
        <v/>
      </c>
      <c r="EI4" s="10" t="str">
        <f t="shared" ref="EI4:EI14" si="54">IF(DP4="","",DP4+DQ4+DS4-DR4)</f>
        <v/>
      </c>
      <c r="EJ4" s="10" t="str">
        <f t="shared" ref="EJ4:EJ14" si="55">IF(EF4="","",SUM(EF4,EH4))</f>
        <v/>
      </c>
      <c r="EK4" s="10" t="str">
        <f t="shared" ref="EK4:EK14" si="56">IF(EG4="","",SUM(EG4,EI4))</f>
        <v/>
      </c>
      <c r="EL4" s="10" t="str">
        <f t="shared" ref="EL4:EL14" si="57">IF(DU4="","",DU4)</f>
        <v/>
      </c>
      <c r="EM4" s="10" t="str">
        <f t="shared" ref="EM4:EM14" si="58">IF(DT4="","",DT4+DU4+DW4-DV4)</f>
        <v/>
      </c>
      <c r="EN4" s="10" t="str">
        <f t="shared" ref="EN4:EN14" si="59">IF(DY4="","",DY4)</f>
        <v/>
      </c>
      <c r="EO4" s="10" t="str">
        <f t="shared" ref="EO4:EO14" si="60">IF(DX4="","",DX4+DY4+EA4-DZ4)</f>
        <v/>
      </c>
      <c r="EP4" s="10" t="str">
        <f t="shared" ref="EP4:EP14" si="61">IF(EC4="","",EC4)</f>
        <v/>
      </c>
      <c r="EQ4" s="10" t="str">
        <f t="shared" ref="EQ4:EQ14" si="62">IF(EB4="","",EB4+EC4+EE4-ED4)</f>
        <v/>
      </c>
      <c r="ER4" s="10" t="str">
        <f t="shared" ref="ER4:ER14" si="63">IF(EN4="","",SUM(EN4,EP4))</f>
        <v/>
      </c>
      <c r="ES4" s="10" t="str">
        <f t="shared" ref="ES4:ES14" si="64">IF(EO4="","",SUM(EO4,EQ4))</f>
        <v/>
      </c>
      <c r="ET4" s="10" t="str">
        <f t="shared" ref="ET4:ET14" si="65">IF(EK4="","",SUM(EK4,EM4,EQ4))</f>
        <v/>
      </c>
    </row>
    <row r="5" spans="1:150" x14ac:dyDescent="0.2">
      <c r="A5" s="3" cm="1">
        <f t="array" ref="A5">IF(AND(H5&lt;&gt;"",H5&lt;&gt;"No DD"),SUMPRODUCT((H$4:H$15&lt;&gt;"")*(H$4:H$15&lt;&gt;"No DD")*(E$4:E$15&gt;E5))+1,IF(H5="No DD",SUMPRODUCT((H$4:H$15="No DD")*(E$4:E$15&gt;E5))+1+SUMPRODUCT((H$4:H$15&lt;&gt;"")*(H$4:H$15&lt;&gt;"No DD")),""))</f>
        <v>2</v>
      </c>
      <c r="B5" s="4" t="s">
        <v>162</v>
      </c>
      <c r="C5" s="3" t="s">
        <v>5</v>
      </c>
      <c r="D5" s="3">
        <v>2012</v>
      </c>
      <c r="E5" s="8">
        <f t="shared" si="0"/>
        <v>100.00000753000498</v>
      </c>
      <c r="F5" s="2" t="str">
        <f>IF(OR(AND(AO5&lt;&gt;"",AO5&gt;=AV$20,AN5&gt;=AV$17),AND(AU5&lt;&gt;"",AU5&gt;=AV$20,AT5&gt;=AV$17),AND(BS5&lt;&gt;"",BS5&gt;=BZ$20,BR5&gt;=BZ$17),AND(BY5&lt;&gt;"",BY5&gt;=BZ$20,BX5&gt;=BZ$17),AND(DB5&lt;&gt;"",DB5&gt;=DK$20,DA5&gt;=DK$17),AND(DJ5&lt;&gt;"",DJ5&gt;=DK$20,DI5&gt;=DK$17),AND(EK5&lt;&gt;"",EK5&gt;=ET$20,EJ5&gt;=ET$17),AND(ES5&lt;&gt;"",ES5&gt;=ET$20,ER5&gt;=ET$17)),"P","")</f>
        <v>P</v>
      </c>
      <c r="G5" s="2" t="str">
        <f>IF(OR(AND(AO5&lt;&gt;"",AO5&gt;=AV$20),AND(AU5&lt;&gt;"",AU5&gt;=AV$20),AND(BS5&lt;&gt;"",BS5&gt;=BZ$20),AND(BY5&lt;&gt;"",BY5&gt;=BZ$20),AND(DB5&lt;&gt;"",DB5&gt;=DK$20),AND(DJ5&lt;&gt;"",DJ5&gt;=DK$20),AND(EK5&lt;&gt;"",EK5&gt;=ET$20),AND(ES5&lt;&gt;"",ES5&gt;=ET$20)),"P","")</f>
        <v>P</v>
      </c>
      <c r="H5" s="26" t="str">
        <f>IF(AND(G5="P",F5=""),"No DD",IF(OR(AND(AK5&lt;&gt;"",AK5&gt;=AV$22,AJ5&gt;=AV$19),AND(AM5&lt;&gt;"",AM5&gt;=AV$22,AL5&gt;=AV$19),AND(AQ5&lt;&gt;"",AQ5&gt;=AV$22,AP5&gt;=AV$19),AND(AS5&lt;&gt;"",AS5&gt;=AV$22,AR5&gt;=AV$19),AND(BO5&lt;&gt;"",BO5&gt;=BZ$22,BN5&gt;=BZ$19),AND(BQ5&lt;&gt;"",BQ5&gt;=BZ$22,BP5&gt;=BZ$19),AND(BV5&lt;&gt;"",BV5&gt;=BZ$22,BU5&gt;=BZ$19),AND(BX5&lt;&gt;"",BX5&gt;=BZ$22,BW5&gt;=BZ$19),AND(CX5&lt;&gt;"",CX5&gt;=DK$22,CW5&gt;=DK$19),AND(CZ5&lt;&gt;"",CZ5&gt;=DK$22,CY5&gt;=DK$19),AND(DD5&lt;&gt;"",DD5&gt;=DK$22,DC5&gt;=DK$19),AND(DF5&lt;&gt;"",DF5&gt;=DK$22,DE5&gt;=DK$19),AND(DH5&lt;&gt;"",DH5&gt;=DK$22,DG5&gt;=DK$19),AND(EG5&lt;&gt;"",EG5&gt;=ET$22,EF5&gt;=ET$19),AND(EI5&lt;&gt;"",EI5&gt;=ET$22,EH5&gt;=ET$19),AND(EM5&lt;&gt;"",EM5&gt;=ET$22,EL5&gt;=ET$19),AND(EO5&lt;&gt;"",EO5&gt;=ET$22,EN5&gt;=ET$19),AND(EQ5&lt;&gt;"",EQ5&gt;=ET$22,EP5&gt;=ET$19)),"Performance",IF(I5="P","Worlds Team",IF(F5="P","National Team",""))))</f>
        <v>National Team</v>
      </c>
      <c r="I5" s="2" t="str">
        <f>IF(OR(AND(AO5&lt;&gt;"",AO5&gt;=AV$21,AN5&gt;=AV$18),AND(AU5&lt;&gt;"",AU5&gt;=AV$21,AT5&gt;=AV$18),AND(BS5&lt;&gt;"",BS5&gt;=BZ$21,BR5&gt;=BZ$18),AND(BY5&lt;&gt;"",BY5&gt;=BZ$21,BX5&gt;=BZ$18),AND(DB5&lt;&gt;"",DB5&gt;=DK$21,DA5&gt;=DK$18),AND(DJ5&lt;&gt;"",DJ5&gt;=DK$21,DI5&gt;=DK$18),AND(EK5&lt;&gt;"",EK5&gt;=ET$21,EJ5&gt;=ET$18),AND(ES5&lt;&gt;"",ES5&gt;=ET$21,ER5&gt;=ET$18)),"P","")</f>
        <v/>
      </c>
      <c r="J5" s="7">
        <f t="shared" si="1"/>
        <v>49.8</v>
      </c>
      <c r="K5" s="7" t="str">
        <f t="shared" si="2"/>
        <v>2026 Elite Canada</v>
      </c>
      <c r="L5" s="7">
        <f>IF(J5=AO5,IF(COUNT(AQ5,AS5,BO5,BQ5,BU5,BW5)&gt;1,LARGE((AQ5,AS5,BO5,BQ5,BU5,BW5),1),0),IF(COUNT(AK5,AM5,AQ5,AS5,BU5,BW5)&gt;1,LARGE((AK5,AM5,AQ5,AS5,BU5,BW5),1),0))</f>
        <v>25.5</v>
      </c>
      <c r="M5" s="7" t="str">
        <f t="shared" si="3"/>
        <v>2026 Elite Canada</v>
      </c>
      <c r="N5" s="7">
        <f>IF(J5=AO5,IF(COUNT(AQ5,AS5,BO5,BQ5,BU5,BW5)&gt;1,LARGE((AQ5,AS5,BO5,BQ5,BU5,BW5),2),0),IF(COUNT(AK5,AM5,AQ5,AS5,BU5,BW5)&gt;1,LARGE((AK5,AM5,AQ5,AS5,BU5,BW5),2),0))</f>
        <v>24.699999999999996</v>
      </c>
      <c r="O5" s="7" t="str">
        <f t="shared" si="4"/>
        <v>2026 Elite Canada</v>
      </c>
      <c r="P5" s="7" t="str">
        <f t="shared" si="5"/>
        <v/>
      </c>
      <c r="Q5" s="10" t="str">
        <f t="shared" si="6"/>
        <v/>
      </c>
      <c r="R5" s="7" t="str">
        <f t="shared" si="7"/>
        <v/>
      </c>
      <c r="S5" s="38">
        <v>18.899999999999999</v>
      </c>
      <c r="T5" s="38">
        <v>6.4</v>
      </c>
      <c r="U5" s="38">
        <v>0</v>
      </c>
      <c r="V5" s="38">
        <v>0</v>
      </c>
      <c r="W5" s="38">
        <v>18.5</v>
      </c>
      <c r="X5" s="38">
        <v>6</v>
      </c>
      <c r="Y5" s="38">
        <v>0</v>
      </c>
      <c r="Z5" s="38">
        <v>0</v>
      </c>
      <c r="AA5" s="38">
        <v>18.899999999999999</v>
      </c>
      <c r="AB5" s="38">
        <v>6.4</v>
      </c>
      <c r="AC5" s="38">
        <v>0.6</v>
      </c>
      <c r="AD5" s="38">
        <v>0</v>
      </c>
      <c r="AE5" s="38">
        <v>18.7</v>
      </c>
      <c r="AF5" s="38">
        <v>6.8</v>
      </c>
      <c r="AG5" s="38">
        <v>0</v>
      </c>
      <c r="AH5" s="38">
        <v>0</v>
      </c>
      <c r="AI5" s="19"/>
      <c r="AJ5" s="41">
        <f t="shared" si="8"/>
        <v>6.4</v>
      </c>
      <c r="AK5" s="41">
        <f t="shared" si="9"/>
        <v>25.299999999999997</v>
      </c>
      <c r="AL5" s="41">
        <f t="shared" si="10"/>
        <v>6</v>
      </c>
      <c r="AM5" s="41">
        <f t="shared" si="11"/>
        <v>24.5</v>
      </c>
      <c r="AN5" s="27">
        <f t="shared" si="12"/>
        <v>12.4</v>
      </c>
      <c r="AO5" s="27">
        <f t="shared" si="13"/>
        <v>49.8</v>
      </c>
      <c r="AP5" s="27">
        <f t="shared" si="14"/>
        <v>6.4</v>
      </c>
      <c r="AQ5" s="27">
        <f t="shared" si="15"/>
        <v>24.699999999999996</v>
      </c>
      <c r="AR5" s="27">
        <f t="shared" si="16"/>
        <v>6.8</v>
      </c>
      <c r="AS5" s="27">
        <f t="shared" si="17"/>
        <v>25.5</v>
      </c>
      <c r="AT5" s="27">
        <f t="shared" si="18"/>
        <v>13.2</v>
      </c>
      <c r="AU5" s="27">
        <f t="shared" si="19"/>
        <v>50.199999999999996</v>
      </c>
      <c r="AV5" s="27">
        <f t="shared" si="20"/>
        <v>100</v>
      </c>
      <c r="AW5" s="15"/>
      <c r="AX5" s="15"/>
      <c r="AY5" s="15"/>
      <c r="AZ5" s="15"/>
      <c r="BA5" s="15"/>
      <c r="BB5" s="15"/>
      <c r="BC5" s="15"/>
      <c r="BD5" s="15"/>
      <c r="BE5" s="15"/>
      <c r="BF5" s="15"/>
      <c r="BG5" s="15"/>
      <c r="BH5" s="15"/>
      <c r="BI5" s="15"/>
      <c r="BJ5" s="15"/>
      <c r="BK5" s="15"/>
      <c r="BL5" s="15"/>
      <c r="BM5" s="20"/>
      <c r="BN5" s="42" t="str">
        <f t="shared" si="21"/>
        <v/>
      </c>
      <c r="BO5" s="42" t="str">
        <f t="shared" si="22"/>
        <v/>
      </c>
      <c r="BP5" s="42" t="str">
        <f t="shared" si="23"/>
        <v/>
      </c>
      <c r="BQ5" s="42" t="str">
        <f t="shared" si="24"/>
        <v/>
      </c>
      <c r="BR5" s="10" t="str">
        <f t="shared" si="25"/>
        <v/>
      </c>
      <c r="BS5" s="10" t="str">
        <f t="shared" si="26"/>
        <v/>
      </c>
      <c r="BT5" s="10" t="str">
        <f t="shared" si="27"/>
        <v/>
      </c>
      <c r="BU5" s="10" t="str">
        <f t="shared" si="28"/>
        <v/>
      </c>
      <c r="BV5" s="10" t="str">
        <f t="shared" si="29"/>
        <v/>
      </c>
      <c r="BW5" s="10" t="str">
        <f t="shared" si="30"/>
        <v/>
      </c>
      <c r="BX5" s="10" t="str">
        <f t="shared" si="31"/>
        <v/>
      </c>
      <c r="BY5" s="10" t="str">
        <f t="shared" si="32"/>
        <v/>
      </c>
      <c r="BZ5" s="10" t="str">
        <f t="shared" si="33"/>
        <v/>
      </c>
      <c r="CA5" s="34" t="str">
        <f t="shared" si="34"/>
        <v/>
      </c>
      <c r="CB5" s="34" t="str">
        <f t="shared" si="35"/>
        <v/>
      </c>
      <c r="CC5" s="14"/>
      <c r="CD5" s="14"/>
      <c r="CE5" s="14"/>
      <c r="CF5" s="14"/>
      <c r="CG5" s="14"/>
      <c r="CH5" s="14"/>
      <c r="CI5" s="14"/>
      <c r="CJ5" s="14"/>
      <c r="CK5" s="14"/>
      <c r="CL5" s="14"/>
      <c r="CM5" s="14"/>
      <c r="CN5" s="14"/>
      <c r="CO5" s="14"/>
      <c r="CP5" s="14"/>
      <c r="CQ5" s="14"/>
      <c r="CR5" s="14"/>
      <c r="CS5" s="14"/>
      <c r="CT5" s="14"/>
      <c r="CU5" s="14"/>
      <c r="CV5" s="14"/>
      <c r="CW5" s="27" t="str">
        <f t="shared" si="36"/>
        <v/>
      </c>
      <c r="CX5" s="27" t="str">
        <f t="shared" si="37"/>
        <v/>
      </c>
      <c r="CY5" s="27" t="str">
        <f t="shared" si="38"/>
        <v/>
      </c>
      <c r="CZ5" s="27" t="str">
        <f t="shared" si="39"/>
        <v/>
      </c>
      <c r="DA5" s="27" t="str">
        <f t="shared" si="40"/>
        <v/>
      </c>
      <c r="DB5" s="27" t="str">
        <f t="shared" si="41"/>
        <v/>
      </c>
      <c r="DC5" s="27" t="str">
        <f t="shared" si="42"/>
        <v/>
      </c>
      <c r="DD5" s="27" t="str">
        <f t="shared" si="43"/>
        <v/>
      </c>
      <c r="DE5" s="27" t="str">
        <f t="shared" si="44"/>
        <v/>
      </c>
      <c r="DF5" s="27" t="str">
        <f t="shared" si="45"/>
        <v/>
      </c>
      <c r="DG5" s="27" t="str">
        <f t="shared" si="46"/>
        <v/>
      </c>
      <c r="DH5" s="27" t="str">
        <f t="shared" si="47"/>
        <v/>
      </c>
      <c r="DI5" s="27" t="str">
        <f t="shared" si="48"/>
        <v/>
      </c>
      <c r="DJ5" s="27" t="str">
        <f t="shared" si="49"/>
        <v/>
      </c>
      <c r="DK5" s="27" t="str">
        <f t="shared" si="50"/>
        <v/>
      </c>
      <c r="DL5" s="15"/>
      <c r="DM5" s="15"/>
      <c r="DN5" s="15"/>
      <c r="DO5" s="15"/>
      <c r="DP5" s="15"/>
      <c r="DQ5" s="15"/>
      <c r="DR5" s="15"/>
      <c r="DS5" s="15"/>
      <c r="DT5" s="15"/>
      <c r="DU5" s="15"/>
      <c r="DV5" s="15"/>
      <c r="DW5" s="15"/>
      <c r="DX5" s="15"/>
      <c r="DY5" s="15"/>
      <c r="DZ5" s="15"/>
      <c r="EA5" s="15"/>
      <c r="EB5" s="15"/>
      <c r="EC5" s="15"/>
      <c r="ED5" s="15"/>
      <c r="EE5" s="15"/>
      <c r="EF5" s="10" t="str">
        <f t="shared" si="51"/>
        <v/>
      </c>
      <c r="EG5" s="10" t="str">
        <f t="shared" si="52"/>
        <v/>
      </c>
      <c r="EH5" s="10" t="str">
        <f t="shared" si="53"/>
        <v/>
      </c>
      <c r="EI5" s="10" t="str">
        <f t="shared" si="54"/>
        <v/>
      </c>
      <c r="EJ5" s="10" t="str">
        <f t="shared" si="55"/>
        <v/>
      </c>
      <c r="EK5" s="10" t="str">
        <f t="shared" si="56"/>
        <v/>
      </c>
      <c r="EL5" s="10" t="str">
        <f t="shared" si="57"/>
        <v/>
      </c>
      <c r="EM5" s="10" t="str">
        <f t="shared" si="58"/>
        <v/>
      </c>
      <c r="EN5" s="10" t="str">
        <f t="shared" si="59"/>
        <v/>
      </c>
      <c r="EO5" s="10" t="str">
        <f t="shared" si="60"/>
        <v/>
      </c>
      <c r="EP5" s="10" t="str">
        <f t="shared" si="61"/>
        <v/>
      </c>
      <c r="EQ5" s="10" t="str">
        <f t="shared" si="62"/>
        <v/>
      </c>
      <c r="ER5" s="10" t="str">
        <f t="shared" si="63"/>
        <v/>
      </c>
      <c r="ES5" s="10" t="str">
        <f t="shared" si="64"/>
        <v/>
      </c>
      <c r="ET5" s="10" t="str">
        <f t="shared" si="65"/>
        <v/>
      </c>
    </row>
    <row r="6" spans="1:150" x14ac:dyDescent="0.2">
      <c r="A6" s="3" cm="1">
        <f t="array" ref="A6">IF(AND(H6&lt;&gt;"",H6&lt;&gt;"No DD"),SUMPRODUCT((H$4:H$15&lt;&gt;"")*(H$4:H$15&lt;&gt;"No DD")*(E$4:E$15&gt;E6))+1,IF(H6="No DD",SUMPRODUCT((H$4:H$15="No DD")*(E$4:E$15&gt;E6))+1+SUMPRODUCT((H$4:H$15&lt;&gt;"")*(H$4:H$15&lt;&gt;"No DD")),""))</f>
        <v>3</v>
      </c>
      <c r="B6" s="4" t="s">
        <v>167</v>
      </c>
      <c r="C6" s="3" t="s">
        <v>3</v>
      </c>
      <c r="D6" s="3">
        <v>2011</v>
      </c>
      <c r="E6" s="8">
        <f t="shared" si="0"/>
        <v>98.800007260004691</v>
      </c>
      <c r="F6" s="2" t="str">
        <f>IF(OR(AND(AO6&lt;&gt;"",AO6&gt;=AV$20,AN6&gt;=AV$17),AND(AU6&lt;&gt;"",AU6&gt;=AV$20,AT6&gt;=AV$17),AND(BS6&lt;&gt;"",BS6&gt;=BZ$20,BR6&gt;=BZ$17),AND(BY6&lt;&gt;"",BY6&gt;=BZ$20,BX6&gt;=BZ$17),AND(DB6&lt;&gt;"",DB6&gt;=DK$20,DA6&gt;=DK$17),AND(DJ6&lt;&gt;"",DJ6&gt;=DK$20,DI6&gt;=DK$17),AND(EK6&lt;&gt;"",EK6&gt;=ET$20,EJ6&gt;=ET$17),AND(ES6&lt;&gt;"",ES6&gt;=ET$20,ER6&gt;=ET$17)),"P","")</f>
        <v>P</v>
      </c>
      <c r="G6" s="2" t="str">
        <f>IF(OR(AND(AO6&lt;&gt;"",AO6&gt;=AV$20),AND(AU6&lt;&gt;"",AU6&gt;=AV$20),AND(BS6&lt;&gt;"",BS6&gt;=BZ$20),AND(BY6&lt;&gt;"",BY6&gt;=BZ$20),AND(DB6&lt;&gt;"",DB6&gt;=DK$20),AND(DJ6&lt;&gt;"",DJ6&gt;=DK$20),AND(EK6&lt;&gt;"",EK6&gt;=ET$20),AND(ES6&lt;&gt;"",ES6&gt;=ET$20)),"P","")</f>
        <v>P</v>
      </c>
      <c r="H6" s="26" t="str">
        <f>IF(AND(G6="P",F6=""),"No DD",IF(OR(AND(AK6&lt;&gt;"",AK6&gt;=AV$22,AJ6&gt;=AV$19),AND(AM6&lt;&gt;"",AM6&gt;=AV$22,AL6&gt;=AV$19),AND(AQ6&lt;&gt;"",AQ6&gt;=AV$22,AP6&gt;=AV$19),AND(AS6&lt;&gt;"",AS6&gt;=AV$22,AR6&gt;=AV$19),AND(BO6&lt;&gt;"",BO6&gt;=BZ$22,BN6&gt;=BZ$19),AND(BQ6&lt;&gt;"",BQ6&gt;=BZ$22,BP6&gt;=BZ$19),AND(BV6&lt;&gt;"",BV6&gt;=BZ$22,BU6&gt;=BZ$19),AND(BX6&lt;&gt;"",BX6&gt;=BZ$22,BW6&gt;=BZ$19),AND(CX6&lt;&gt;"",CX6&gt;=DK$22,CW6&gt;=DK$19),AND(CZ6&lt;&gt;"",CZ6&gt;=DK$22,CY6&gt;=DK$19),AND(DD6&lt;&gt;"",DD6&gt;=DK$22,DC6&gt;=DK$19),AND(DF6&lt;&gt;"",DF6&gt;=DK$22,DE6&gt;=DK$19),AND(DH6&lt;&gt;"",DH6&gt;=DK$22,DG6&gt;=DK$19),AND(EG6&lt;&gt;"",EG6&gt;=ET$22,EF6&gt;=ET$19),AND(EI6&lt;&gt;"",EI6&gt;=ET$22,EH6&gt;=ET$19),AND(EM6&lt;&gt;"",EM6&gt;=ET$22,EL6&gt;=ET$19),AND(EO6&lt;&gt;"",EO6&gt;=ET$22,EN6&gt;=ET$19),AND(EQ6&lt;&gt;"",EQ6&gt;=ET$22,EP6&gt;=ET$19)),"Performance",IF(I6="P","Worlds Team",IF(F6="P","National Team",""))))</f>
        <v>National Team</v>
      </c>
      <c r="I6" s="2" t="str">
        <f>IF(OR(AND(AO6&lt;&gt;"",AO6&gt;=AV$21,AN6&gt;=AV$18),AND(AU6&lt;&gt;"",AU6&gt;=AV$21,AT6&gt;=AV$18),AND(BS6&lt;&gt;"",BS6&gt;=BZ$21,BR6&gt;=BZ$18),AND(BY6&lt;&gt;"",BY6&gt;=BZ$21,BX6&gt;=BZ$18),AND(DB6&lt;&gt;"",DB6&gt;=DK$21,DA6&gt;=DK$18),AND(DJ6&lt;&gt;"",DJ6&gt;=DK$21,DI6&gt;=DK$18),AND(EK6&lt;&gt;"",EK6&gt;=ET$21,EJ6&gt;=ET$18),AND(ES6&lt;&gt;"",ES6&gt;=ET$21,ER6&gt;=ET$18)),"P","")</f>
        <v/>
      </c>
      <c r="J6" s="7">
        <f t="shared" si="1"/>
        <v>46.8</v>
      </c>
      <c r="K6" s="7" t="str">
        <f t="shared" si="2"/>
        <v>2026 Elite Canada</v>
      </c>
      <c r="L6" s="7">
        <f>IF(J6=AO6,IF(COUNT(AQ6,AS6,BO6,BQ6,BU6,BW6)&gt;1,LARGE((AQ6,AS6,BO6,BQ6,BU6,BW6),1),0),IF(COUNT(AK6,AM6,AQ6,AS6,BU6,BW6)&gt;1,LARGE((AK6,AM6,AQ6,AS6,BU6,BW6),1),0))</f>
        <v>25.8</v>
      </c>
      <c r="M6" s="7" t="str">
        <f t="shared" si="3"/>
        <v>2026 Elite Canada</v>
      </c>
      <c r="N6" s="7">
        <f>IF(J6=AO6,IF(COUNT(AQ6,AS6,BO6,BQ6,BU6,BW6)&gt;1,LARGE((AQ6,AS6,BO6,BQ6,BU6,BW6),2),0),IF(COUNT(AK6,AM6,AQ6,AS6,BU6,BW6)&gt;1,LARGE((AK6,AM6,AQ6,AS6,BU6,BW6),2),0))</f>
        <v>25.2</v>
      </c>
      <c r="O6" s="7" t="str">
        <f t="shared" si="4"/>
        <v>2026 Elite Canada</v>
      </c>
      <c r="P6" s="7">
        <f t="shared" si="5"/>
        <v>1.0000000000000071</v>
      </c>
      <c r="Q6" s="10" t="str">
        <f t="shared" si="6"/>
        <v>(Q1)</v>
      </c>
      <c r="R6" s="7" t="str">
        <f t="shared" si="7"/>
        <v>2025 WAGC (Nov 16)</v>
      </c>
      <c r="S6" s="38">
        <v>18.399999999999999</v>
      </c>
      <c r="T6" s="38">
        <v>5.6</v>
      </c>
      <c r="U6" s="38">
        <v>1</v>
      </c>
      <c r="V6" s="38">
        <v>0</v>
      </c>
      <c r="W6" s="38">
        <v>18.600000000000001</v>
      </c>
      <c r="X6" s="38">
        <v>6</v>
      </c>
      <c r="Y6" s="38">
        <v>0.8</v>
      </c>
      <c r="Z6" s="38">
        <v>0</v>
      </c>
      <c r="AA6" s="38">
        <v>19</v>
      </c>
      <c r="AB6" s="38">
        <v>6.4</v>
      </c>
      <c r="AC6" s="38">
        <v>0.2</v>
      </c>
      <c r="AD6" s="38">
        <v>0</v>
      </c>
      <c r="AE6" s="38">
        <v>19</v>
      </c>
      <c r="AF6" s="38">
        <v>6.8</v>
      </c>
      <c r="AG6" s="38">
        <v>0</v>
      </c>
      <c r="AH6" s="38">
        <v>0</v>
      </c>
      <c r="AI6" s="19"/>
      <c r="AJ6" s="41">
        <f t="shared" si="8"/>
        <v>5.6</v>
      </c>
      <c r="AK6" s="41">
        <f t="shared" si="9"/>
        <v>23</v>
      </c>
      <c r="AL6" s="41">
        <f t="shared" si="10"/>
        <v>6</v>
      </c>
      <c r="AM6" s="41">
        <f t="shared" si="11"/>
        <v>23.8</v>
      </c>
      <c r="AN6" s="27">
        <f t="shared" si="12"/>
        <v>11.6</v>
      </c>
      <c r="AO6" s="27">
        <f t="shared" si="13"/>
        <v>46.8</v>
      </c>
      <c r="AP6" s="27">
        <f t="shared" si="14"/>
        <v>6.4</v>
      </c>
      <c r="AQ6" s="27">
        <f t="shared" si="15"/>
        <v>25.2</v>
      </c>
      <c r="AR6" s="27">
        <f t="shared" si="16"/>
        <v>6.8</v>
      </c>
      <c r="AS6" s="27">
        <f t="shared" si="17"/>
        <v>25.8</v>
      </c>
      <c r="AT6" s="27">
        <f t="shared" si="18"/>
        <v>13.2</v>
      </c>
      <c r="AU6" s="27">
        <f t="shared" si="19"/>
        <v>51</v>
      </c>
      <c r="AV6" s="27">
        <f t="shared" si="20"/>
        <v>97.8</v>
      </c>
      <c r="AW6" s="15"/>
      <c r="AX6" s="15"/>
      <c r="AY6" s="15"/>
      <c r="AZ6" s="15"/>
      <c r="BA6" s="15"/>
      <c r="BB6" s="15"/>
      <c r="BC6" s="15"/>
      <c r="BD6" s="15"/>
      <c r="BE6" s="15"/>
      <c r="BF6" s="15"/>
      <c r="BG6" s="15"/>
      <c r="BH6" s="15"/>
      <c r="BI6" s="15"/>
      <c r="BJ6" s="15"/>
      <c r="BK6" s="15"/>
      <c r="BL6" s="15"/>
      <c r="BM6" s="20"/>
      <c r="BN6" s="42" t="str">
        <f t="shared" si="21"/>
        <v/>
      </c>
      <c r="BO6" s="42" t="str">
        <f t="shared" si="22"/>
        <v/>
      </c>
      <c r="BP6" s="42" t="str">
        <f t="shared" si="23"/>
        <v/>
      </c>
      <c r="BQ6" s="42" t="str">
        <f t="shared" si="24"/>
        <v/>
      </c>
      <c r="BR6" s="10" t="str">
        <f t="shared" si="25"/>
        <v/>
      </c>
      <c r="BS6" s="10" t="str">
        <f t="shared" si="26"/>
        <v/>
      </c>
      <c r="BT6" s="10" t="str">
        <f t="shared" si="27"/>
        <v/>
      </c>
      <c r="BU6" s="10" t="str">
        <f t="shared" si="28"/>
        <v/>
      </c>
      <c r="BV6" s="10" t="str">
        <f t="shared" si="29"/>
        <v/>
      </c>
      <c r="BW6" s="10" t="str">
        <f t="shared" si="30"/>
        <v/>
      </c>
      <c r="BX6" s="10" t="str">
        <f t="shared" si="31"/>
        <v/>
      </c>
      <c r="BY6" s="10" t="str">
        <f t="shared" si="32"/>
        <v/>
      </c>
      <c r="BZ6" s="10" t="str">
        <f t="shared" si="33"/>
        <v/>
      </c>
      <c r="CA6" s="34">
        <f t="shared" si="34"/>
        <v>1.0000000000000071</v>
      </c>
      <c r="CB6" s="34" t="str">
        <f t="shared" si="35"/>
        <v/>
      </c>
      <c r="CC6" s="14">
        <v>18.600000000000001</v>
      </c>
      <c r="CD6" s="14">
        <v>5.6</v>
      </c>
      <c r="CE6" s="14">
        <v>0.8</v>
      </c>
      <c r="CF6" s="14">
        <v>0</v>
      </c>
      <c r="CG6" s="14">
        <v>18.600000000000001</v>
      </c>
      <c r="CH6" s="14">
        <v>6</v>
      </c>
      <c r="CI6" s="14">
        <v>0.2</v>
      </c>
      <c r="CJ6" s="14">
        <v>0</v>
      </c>
      <c r="CK6" s="14"/>
      <c r="CL6" s="14"/>
      <c r="CM6" s="14"/>
      <c r="CN6" s="14"/>
      <c r="CO6" s="14"/>
      <c r="CP6" s="14"/>
      <c r="CQ6" s="14"/>
      <c r="CR6" s="14"/>
      <c r="CS6" s="14"/>
      <c r="CT6" s="14"/>
      <c r="CU6" s="14"/>
      <c r="CV6" s="14"/>
      <c r="CW6" s="27">
        <f t="shared" si="36"/>
        <v>5.6</v>
      </c>
      <c r="CX6" s="27">
        <f t="shared" si="37"/>
        <v>23.400000000000002</v>
      </c>
      <c r="CY6" s="27">
        <f t="shared" si="38"/>
        <v>6</v>
      </c>
      <c r="CZ6" s="27">
        <f t="shared" si="39"/>
        <v>24.400000000000002</v>
      </c>
      <c r="DA6" s="27">
        <f t="shared" si="40"/>
        <v>11.6</v>
      </c>
      <c r="DB6" s="27">
        <f t="shared" si="41"/>
        <v>47.800000000000004</v>
      </c>
      <c r="DC6" s="27" t="str">
        <f t="shared" si="42"/>
        <v/>
      </c>
      <c r="DD6" s="27" t="str">
        <f t="shared" si="43"/>
        <v/>
      </c>
      <c r="DE6" s="27" t="str">
        <f t="shared" si="44"/>
        <v/>
      </c>
      <c r="DF6" s="27" t="str">
        <f t="shared" si="45"/>
        <v/>
      </c>
      <c r="DG6" s="27" t="str">
        <f t="shared" si="46"/>
        <v/>
      </c>
      <c r="DH6" s="27" t="str">
        <f t="shared" si="47"/>
        <v/>
      </c>
      <c r="DI6" s="27" t="str">
        <f t="shared" si="48"/>
        <v/>
      </c>
      <c r="DJ6" s="27" t="str">
        <f t="shared" si="49"/>
        <v/>
      </c>
      <c r="DK6" s="27">
        <f t="shared" si="50"/>
        <v>47.800000000000004</v>
      </c>
      <c r="DL6" s="15"/>
      <c r="DM6" s="15"/>
      <c r="DN6" s="15"/>
      <c r="DO6" s="15"/>
      <c r="DP6" s="15"/>
      <c r="DQ6" s="15"/>
      <c r="DR6" s="15"/>
      <c r="DS6" s="15"/>
      <c r="DT6" s="15"/>
      <c r="DU6" s="15"/>
      <c r="DV6" s="15"/>
      <c r="DW6" s="15"/>
      <c r="DX6" s="15"/>
      <c r="DY6" s="15"/>
      <c r="DZ6" s="15"/>
      <c r="EA6" s="15"/>
      <c r="EB6" s="15"/>
      <c r="EC6" s="15"/>
      <c r="ED6" s="15"/>
      <c r="EE6" s="15"/>
      <c r="EF6" s="10" t="str">
        <f t="shared" si="51"/>
        <v/>
      </c>
      <c r="EG6" s="10" t="str">
        <f t="shared" si="52"/>
        <v/>
      </c>
      <c r="EH6" s="10" t="str">
        <f t="shared" si="53"/>
        <v/>
      </c>
      <c r="EI6" s="10" t="str">
        <f t="shared" si="54"/>
        <v/>
      </c>
      <c r="EJ6" s="10" t="str">
        <f t="shared" si="55"/>
        <v/>
      </c>
      <c r="EK6" s="10" t="str">
        <f t="shared" si="56"/>
        <v/>
      </c>
      <c r="EL6" s="10" t="str">
        <f t="shared" si="57"/>
        <v/>
      </c>
      <c r="EM6" s="10" t="str">
        <f t="shared" si="58"/>
        <v/>
      </c>
      <c r="EN6" s="10" t="str">
        <f t="shared" si="59"/>
        <v/>
      </c>
      <c r="EO6" s="10" t="str">
        <f t="shared" si="60"/>
        <v/>
      </c>
      <c r="EP6" s="10" t="str">
        <f t="shared" si="61"/>
        <v/>
      </c>
      <c r="EQ6" s="10" t="str">
        <f t="shared" si="62"/>
        <v/>
      </c>
      <c r="ER6" s="10" t="str">
        <f t="shared" si="63"/>
        <v/>
      </c>
      <c r="ES6" s="10" t="str">
        <f t="shared" si="64"/>
        <v/>
      </c>
      <c r="ET6" s="10" t="str">
        <f t="shared" si="65"/>
        <v/>
      </c>
    </row>
    <row r="7" spans="1:150" x14ac:dyDescent="0.2">
      <c r="A7" s="3" t="str" cm="1">
        <f t="array" ref="A7">IF(AND(H7&lt;&gt;"",H7&lt;&gt;"No DD"),SUMPRODUCT((H$4:H$15&lt;&gt;"")*(H$4:H$15&lt;&gt;"No DD")*(E$4:E$15&gt;E7))+1,IF(H7="No DD",SUMPRODUCT((H$4:H$15="No DD")*(E$4:E$15&gt;E7))+1+SUMPRODUCT((H$4:H$15&lt;&gt;"")*(H$4:H$15&lt;&gt;"No DD")),""))</f>
        <v/>
      </c>
      <c r="B7" s="4" t="s">
        <v>140</v>
      </c>
      <c r="C7" s="3" t="s">
        <v>5</v>
      </c>
      <c r="D7" s="3">
        <v>2012</v>
      </c>
      <c r="E7" s="8">
        <f t="shared" si="0"/>
        <v>97.200007320004786</v>
      </c>
      <c r="F7" s="2" t="str">
        <f>IF(OR(AND(AO7&lt;&gt;"",AO7&gt;=AV$20,AN7&gt;=AV$17),AND(AU7&lt;&gt;"",AU7&gt;=AV$20,AT7&gt;=AV$17),AND(BS7&lt;&gt;"",BS7&gt;=BZ$20,BR7&gt;=BZ$17),AND(BY7&lt;&gt;"",BY7&gt;=BZ$20,BX7&gt;=BZ$17),AND(DB7&lt;&gt;"",DB7&gt;=DK$20,DA7&gt;=DK$17),AND(DJ7&lt;&gt;"",DJ7&gt;=DK$20,DI7&gt;=DK$17),AND(EK7&lt;&gt;"",EK7&gt;=ET$20,EJ7&gt;=ET$17),AND(ES7&lt;&gt;"",ES7&gt;=ET$20,ER7&gt;=ET$17)),"P","")</f>
        <v/>
      </c>
      <c r="G7" s="2" t="str">
        <f>IF(OR(AND(AO7&lt;&gt;"",AO7&gt;=AV$20),AND(AU7&lt;&gt;"",AU7&gt;=AV$20),AND(BS7&lt;&gt;"",BS7&gt;=BZ$20),AND(BY7&lt;&gt;"",BY7&gt;=BZ$20),AND(DB7&lt;&gt;"",DB7&gt;=DK$20),AND(DJ7&lt;&gt;"",DJ7&gt;=DK$20),AND(EK7&lt;&gt;"",EK7&gt;=ET$20),AND(ES7&lt;&gt;"",ES7&gt;=ET$20)),"P","")</f>
        <v/>
      </c>
      <c r="H7" s="26" t="str">
        <f>IF(AND(G7="P",F7=""),"No DD",IF(OR(AND(AK7&lt;&gt;"",AK7&gt;=AV$22,AJ7&gt;=AV$19),AND(AM7&lt;&gt;"",AM7&gt;=AV$22,AL7&gt;=AV$19),AND(AQ7&lt;&gt;"",AQ7&gt;=AV$22,AP7&gt;=AV$19),AND(AS7&lt;&gt;"",AS7&gt;=AV$22,AR7&gt;=AV$19),AND(BO7&lt;&gt;"",BO7&gt;=BZ$22,BN7&gt;=BZ$19),AND(BQ7&lt;&gt;"",BQ7&gt;=BZ$22,BP7&gt;=BZ$19),AND(BV7&lt;&gt;"",BV7&gt;=BZ$22,BU7&gt;=BZ$19),AND(BX7&lt;&gt;"",BX7&gt;=BZ$22,BW7&gt;=BZ$19),AND(CX7&lt;&gt;"",CX7&gt;=DK$22,CW7&gt;=DK$19),AND(CZ7&lt;&gt;"",CZ7&gt;=DK$22,CY7&gt;=DK$19),AND(DD7&lt;&gt;"",DD7&gt;=DK$22,DC7&gt;=DK$19),AND(DF7&lt;&gt;"",DF7&gt;=DK$22,DE7&gt;=DK$19),AND(DH7&lt;&gt;"",DH7&gt;=DK$22,DG7&gt;=DK$19),AND(EG7&lt;&gt;"",EG7&gt;=ET$22,EF7&gt;=ET$19),AND(EI7&lt;&gt;"",EI7&gt;=ET$22,EH7&gt;=ET$19),AND(EM7&lt;&gt;"",EM7&gt;=ET$22,EL7&gt;=ET$19),AND(EO7&lt;&gt;"",EO7&gt;=ET$22,EN7&gt;=ET$19),AND(EQ7&lt;&gt;"",EQ7&gt;=ET$22,EP7&gt;=ET$19)),"Performance",IF(I7="P","Worlds Team",IF(F7="P","National Team",""))))</f>
        <v/>
      </c>
      <c r="I7" s="2" t="str">
        <f>IF(OR(AND(AO7&lt;&gt;"",AO7&gt;=AV$21,AN7&gt;=AV$18),AND(AU7&lt;&gt;"",AU7&gt;=AV$21,AT7&gt;=AV$18),AND(BS7&lt;&gt;"",BS7&gt;=BZ$21,BR7&gt;=BZ$18),AND(BY7&lt;&gt;"",BY7&gt;=BZ$21,BX7&gt;=BZ$18),AND(DB7&lt;&gt;"",DB7&gt;=DK$21,DA7&gt;=DK$18),AND(DJ7&lt;&gt;"",DJ7&gt;=DK$21,DI7&gt;=DK$18),AND(EK7&lt;&gt;"",EK7&gt;=ET$21,EJ7&gt;=ET$18),AND(ES7&lt;&gt;"",ES7&gt;=ET$21,ER7&gt;=ET$18)),"P","")</f>
        <v/>
      </c>
      <c r="J7" s="7">
        <f t="shared" si="1"/>
        <v>47.999999999999993</v>
      </c>
      <c r="K7" s="7" t="str">
        <f t="shared" si="2"/>
        <v>2026 Elite Canada</v>
      </c>
      <c r="L7" s="7">
        <f>IF(J7=AO7,IF(COUNT(AQ7,AS7,BO7,BQ7,BU7,BW7)&gt;1,LARGE((AQ7,AS7,BO7,BQ7,BU7,BW7),1),0),IF(COUNT(AK7,AM7,AQ7,AS7,BU7,BW7)&gt;1,LARGE((AK7,AM7,AQ7,AS7,BU7,BW7),1),0))</f>
        <v>25.2</v>
      </c>
      <c r="M7" s="7" t="str">
        <f t="shared" si="3"/>
        <v>2026 Elite Canada</v>
      </c>
      <c r="N7" s="7">
        <f>IF(J7=AO7,IF(COUNT(AQ7,AS7,BO7,BQ7,BU7,BW7)&gt;1,LARGE((AQ7,AS7,BO7,BQ7,BU7,BW7),2),0),IF(COUNT(AK7,AM7,AQ7,AS7,BU7,BW7)&gt;1,LARGE((AK7,AM7,AQ7,AS7,BU7,BW7),2),0))</f>
        <v>24</v>
      </c>
      <c r="O7" s="7" t="str">
        <f t="shared" si="4"/>
        <v>2026 Elite Canada</v>
      </c>
      <c r="P7" s="7" t="str">
        <f t="shared" si="5"/>
        <v/>
      </c>
      <c r="Q7" s="10" t="str">
        <f t="shared" si="6"/>
        <v/>
      </c>
      <c r="R7" s="7" t="str">
        <f t="shared" si="7"/>
        <v/>
      </c>
      <c r="S7" s="38">
        <v>18.7</v>
      </c>
      <c r="T7" s="38">
        <v>5.6</v>
      </c>
      <c r="U7" s="38">
        <v>0.6</v>
      </c>
      <c r="V7" s="38">
        <v>0</v>
      </c>
      <c r="W7" s="38">
        <v>18.899999999999999</v>
      </c>
      <c r="X7" s="38">
        <v>6</v>
      </c>
      <c r="Y7" s="38">
        <v>0.6</v>
      </c>
      <c r="Z7" s="38">
        <v>0</v>
      </c>
      <c r="AA7" s="38">
        <v>18.399999999999999</v>
      </c>
      <c r="AB7" s="38">
        <v>5.6</v>
      </c>
      <c r="AC7" s="38">
        <v>0</v>
      </c>
      <c r="AD7" s="38">
        <v>0</v>
      </c>
      <c r="AE7" s="38">
        <v>19.2</v>
      </c>
      <c r="AF7" s="38">
        <v>6</v>
      </c>
      <c r="AG7" s="38">
        <v>0</v>
      </c>
      <c r="AH7" s="38">
        <v>0</v>
      </c>
      <c r="AI7" s="19"/>
      <c r="AJ7" s="41">
        <f t="shared" si="8"/>
        <v>5.6</v>
      </c>
      <c r="AK7" s="41">
        <f t="shared" si="9"/>
        <v>23.699999999999996</v>
      </c>
      <c r="AL7" s="41">
        <f t="shared" si="10"/>
        <v>6</v>
      </c>
      <c r="AM7" s="41">
        <f t="shared" si="11"/>
        <v>24.299999999999997</v>
      </c>
      <c r="AN7" s="27">
        <f t="shared" si="12"/>
        <v>11.6</v>
      </c>
      <c r="AO7" s="27">
        <f t="shared" si="13"/>
        <v>47.999999999999993</v>
      </c>
      <c r="AP7" s="27">
        <f t="shared" si="14"/>
        <v>5.6</v>
      </c>
      <c r="AQ7" s="27">
        <f t="shared" si="15"/>
        <v>24</v>
      </c>
      <c r="AR7" s="27">
        <f t="shared" si="16"/>
        <v>6</v>
      </c>
      <c r="AS7" s="27">
        <f t="shared" si="17"/>
        <v>25.2</v>
      </c>
      <c r="AT7" s="27">
        <f t="shared" si="18"/>
        <v>11.6</v>
      </c>
      <c r="AU7" s="27">
        <f t="shared" si="19"/>
        <v>49.2</v>
      </c>
      <c r="AV7" s="27">
        <f t="shared" si="20"/>
        <v>97.199999999999989</v>
      </c>
      <c r="AW7" s="15"/>
      <c r="AX7" s="15"/>
      <c r="AY7" s="15"/>
      <c r="AZ7" s="15"/>
      <c r="BA7" s="15"/>
      <c r="BB7" s="15"/>
      <c r="BC7" s="15"/>
      <c r="BD7" s="15"/>
      <c r="BE7" s="15"/>
      <c r="BF7" s="15"/>
      <c r="BG7" s="15"/>
      <c r="BH7" s="15"/>
      <c r="BI7" s="15"/>
      <c r="BJ7" s="15"/>
      <c r="BK7" s="15"/>
      <c r="BL7" s="15"/>
      <c r="BM7" s="20"/>
      <c r="BN7" s="42" t="str">
        <f t="shared" si="21"/>
        <v/>
      </c>
      <c r="BO7" s="42" t="str">
        <f t="shared" si="22"/>
        <v/>
      </c>
      <c r="BP7" s="42" t="str">
        <f t="shared" si="23"/>
        <v/>
      </c>
      <c r="BQ7" s="42" t="str">
        <f t="shared" si="24"/>
        <v/>
      </c>
      <c r="BR7" s="10" t="str">
        <f t="shared" si="25"/>
        <v/>
      </c>
      <c r="BS7" s="10" t="str">
        <f t="shared" si="26"/>
        <v/>
      </c>
      <c r="BT7" s="10" t="str">
        <f t="shared" si="27"/>
        <v/>
      </c>
      <c r="BU7" s="10" t="str">
        <f t="shared" si="28"/>
        <v/>
      </c>
      <c r="BV7" s="10" t="str">
        <f t="shared" si="29"/>
        <v/>
      </c>
      <c r="BW7" s="10" t="str">
        <f t="shared" si="30"/>
        <v/>
      </c>
      <c r="BX7" s="10" t="str">
        <f t="shared" si="31"/>
        <v/>
      </c>
      <c r="BY7" s="10" t="str">
        <f t="shared" si="32"/>
        <v/>
      </c>
      <c r="BZ7" s="10" t="str">
        <f t="shared" si="33"/>
        <v/>
      </c>
      <c r="CA7" s="34" t="str">
        <f t="shared" si="34"/>
        <v/>
      </c>
      <c r="CB7" s="34" t="str">
        <f t="shared" si="35"/>
        <v/>
      </c>
      <c r="CC7" s="14">
        <v>18.600000000000001</v>
      </c>
      <c r="CD7" s="14">
        <v>4.3</v>
      </c>
      <c r="CE7" s="14">
        <v>0</v>
      </c>
      <c r="CF7" s="14">
        <v>0</v>
      </c>
      <c r="CG7" s="14">
        <v>18</v>
      </c>
      <c r="CH7" s="14">
        <v>5.2</v>
      </c>
      <c r="CI7" s="14">
        <v>0.6</v>
      </c>
      <c r="CJ7" s="14">
        <v>0</v>
      </c>
      <c r="CK7" s="14"/>
      <c r="CL7" s="14"/>
      <c r="CM7" s="14"/>
      <c r="CN7" s="14"/>
      <c r="CO7" s="14"/>
      <c r="CP7" s="14"/>
      <c r="CQ7" s="14"/>
      <c r="CR7" s="14"/>
      <c r="CS7" s="14"/>
      <c r="CT7" s="14"/>
      <c r="CU7" s="14"/>
      <c r="CV7" s="14"/>
      <c r="CW7" s="27">
        <f t="shared" si="36"/>
        <v>4.3</v>
      </c>
      <c r="CX7" s="27">
        <f t="shared" si="37"/>
        <v>22.900000000000002</v>
      </c>
      <c r="CY7" s="27">
        <f t="shared" si="38"/>
        <v>5.2</v>
      </c>
      <c r="CZ7" s="27">
        <f t="shared" si="39"/>
        <v>22.599999999999998</v>
      </c>
      <c r="DA7" s="27">
        <f t="shared" si="40"/>
        <v>9.5</v>
      </c>
      <c r="DB7" s="27">
        <f t="shared" si="41"/>
        <v>45.5</v>
      </c>
      <c r="DC7" s="27" t="str">
        <f t="shared" si="42"/>
        <v/>
      </c>
      <c r="DD7" s="27" t="str">
        <f t="shared" si="43"/>
        <v/>
      </c>
      <c r="DE7" s="27" t="str">
        <f t="shared" si="44"/>
        <v/>
      </c>
      <c r="DF7" s="27" t="str">
        <f t="shared" si="45"/>
        <v/>
      </c>
      <c r="DG7" s="27" t="str">
        <f t="shared" si="46"/>
        <v/>
      </c>
      <c r="DH7" s="27" t="str">
        <f t="shared" si="47"/>
        <v/>
      </c>
      <c r="DI7" s="27" t="str">
        <f t="shared" si="48"/>
        <v/>
      </c>
      <c r="DJ7" s="27" t="str">
        <f t="shared" si="49"/>
        <v/>
      </c>
      <c r="DK7" s="27">
        <f t="shared" si="50"/>
        <v>45.5</v>
      </c>
      <c r="DL7" s="15"/>
      <c r="DM7" s="15"/>
      <c r="DN7" s="15"/>
      <c r="DO7" s="15"/>
      <c r="DP7" s="15"/>
      <c r="DQ7" s="15"/>
      <c r="DR7" s="15"/>
      <c r="DS7" s="15"/>
      <c r="DT7" s="15"/>
      <c r="DU7" s="15"/>
      <c r="DV7" s="15"/>
      <c r="DW7" s="15"/>
      <c r="DX7" s="15"/>
      <c r="DY7" s="15"/>
      <c r="DZ7" s="15"/>
      <c r="EA7" s="15"/>
      <c r="EB7" s="15"/>
      <c r="EC7" s="15"/>
      <c r="ED7" s="15"/>
      <c r="EE7" s="15"/>
      <c r="EF7" s="10" t="str">
        <f t="shared" si="51"/>
        <v/>
      </c>
      <c r="EG7" s="10" t="str">
        <f t="shared" si="52"/>
        <v/>
      </c>
      <c r="EH7" s="10" t="str">
        <f t="shared" si="53"/>
        <v/>
      </c>
      <c r="EI7" s="10" t="str">
        <f t="shared" si="54"/>
        <v/>
      </c>
      <c r="EJ7" s="10" t="str">
        <f t="shared" si="55"/>
        <v/>
      </c>
      <c r="EK7" s="10" t="str">
        <f t="shared" si="56"/>
        <v/>
      </c>
      <c r="EL7" s="10" t="str">
        <f t="shared" si="57"/>
        <v/>
      </c>
      <c r="EM7" s="10" t="str">
        <f t="shared" si="58"/>
        <v/>
      </c>
      <c r="EN7" s="10" t="str">
        <f t="shared" si="59"/>
        <v/>
      </c>
      <c r="EO7" s="10" t="str">
        <f t="shared" si="60"/>
        <v/>
      </c>
      <c r="EP7" s="10" t="str">
        <f t="shared" si="61"/>
        <v/>
      </c>
      <c r="EQ7" s="10" t="str">
        <f t="shared" si="62"/>
        <v/>
      </c>
      <c r="ER7" s="10" t="str">
        <f t="shared" si="63"/>
        <v/>
      </c>
      <c r="ES7" s="10" t="str">
        <f t="shared" si="64"/>
        <v/>
      </c>
      <c r="ET7" s="10" t="str">
        <f t="shared" si="65"/>
        <v/>
      </c>
    </row>
    <row r="8" spans="1:150" x14ac:dyDescent="0.2">
      <c r="A8" s="3" t="str" cm="1">
        <f t="array" ref="A8">IF(AND(H8&lt;&gt;"",H8&lt;&gt;"No DD"),SUMPRODUCT((H$4:H$15&lt;&gt;"")*(H$4:H$15&lt;&gt;"No DD")*(E$4:E$15&gt;E8))+1,IF(H8="No DD",SUMPRODUCT((H$4:H$15="No DD")*(E$4:E$15&gt;E8))+1+SUMPRODUCT((H$4:H$15&lt;&gt;"")*(H$4:H$15&lt;&gt;"No DD")),""))</f>
        <v/>
      </c>
      <c r="B8" s="4" t="s">
        <v>143</v>
      </c>
      <c r="C8" s="3" t="s">
        <v>5</v>
      </c>
      <c r="D8" s="3">
        <v>2011</v>
      </c>
      <c r="E8" s="8">
        <f t="shared" si="0"/>
        <v>96.500007200004703</v>
      </c>
      <c r="F8" s="2" t="str">
        <f>IF(OR(AND(AO8&lt;&gt;"",AO8&gt;=AV$20,AN8&gt;=AV$17),AND(AU8&lt;&gt;"",AU8&gt;=AV$20,AT8&gt;=AV$17),AND(BS8&lt;&gt;"",BS8&gt;=BZ$20,BR8&gt;=BZ$17),AND(BY8&lt;&gt;"",BY8&gt;=BZ$20,BX8&gt;=BZ$17),AND(DB8&lt;&gt;"",DB8&gt;=DK$20,DA8&gt;=DK$17),AND(DJ8&lt;&gt;"",DJ8&gt;=DK$20,DI8&gt;=DK$17),AND(EK8&lt;&gt;"",EK8&gt;=ET$20,EJ8&gt;=ET$17),AND(ES8&lt;&gt;"",ES8&gt;=ET$20,ER8&gt;=ET$17)),"P","")</f>
        <v/>
      </c>
      <c r="G8" s="2" t="str">
        <f>IF(OR(AND(AO8&lt;&gt;"",AO8&gt;=AV$20),AND(AU8&lt;&gt;"",AU8&gt;=AV$20),AND(BS8&lt;&gt;"",BS8&gt;=BZ$20),AND(BY8&lt;&gt;"",BY8&gt;=BZ$20),AND(DB8&lt;&gt;"",DB8&gt;=DK$20),AND(DJ8&lt;&gt;"",DJ8&gt;=DK$20),AND(EK8&lt;&gt;"",EK8&gt;=ET$20),AND(ES8&lt;&gt;"",ES8&gt;=ET$20)),"P","")</f>
        <v/>
      </c>
      <c r="H8" s="26" t="str">
        <f>IF(AND(G8="P",F8=""),"No DD",IF(OR(AND(AK8&lt;&gt;"",AK8&gt;=AV$22,AJ8&gt;=AV$19),AND(AM8&lt;&gt;"",AM8&gt;=AV$22,AL8&gt;=AV$19),AND(AQ8&lt;&gt;"",AQ8&gt;=AV$22,AP8&gt;=AV$19),AND(AS8&lt;&gt;"",AS8&gt;=AV$22,AR8&gt;=AV$19),AND(BO8&lt;&gt;"",BO8&gt;=BZ$22,BN8&gt;=BZ$19),AND(BQ8&lt;&gt;"",BQ8&gt;=BZ$22,BP8&gt;=BZ$19),AND(BV8&lt;&gt;"",BV8&gt;=BZ$22,BU8&gt;=BZ$19),AND(BX8&lt;&gt;"",BX8&gt;=BZ$22,BW8&gt;=BZ$19),AND(CX8&lt;&gt;"",CX8&gt;=DK$22,CW8&gt;=DK$19),AND(CZ8&lt;&gt;"",CZ8&gt;=DK$22,CY8&gt;=DK$19),AND(DD8&lt;&gt;"",DD8&gt;=DK$22,DC8&gt;=DK$19),AND(DF8&lt;&gt;"",DF8&gt;=DK$22,DE8&gt;=DK$19),AND(DH8&lt;&gt;"",DH8&gt;=DK$22,DG8&gt;=DK$19),AND(EG8&lt;&gt;"",EG8&gt;=ET$22,EF8&gt;=ET$19),AND(EI8&lt;&gt;"",EI8&gt;=ET$22,EH8&gt;=ET$19),AND(EM8&lt;&gt;"",EM8&gt;=ET$22,EL8&gt;=ET$19),AND(EO8&lt;&gt;"",EO8&gt;=ET$22,EN8&gt;=ET$19),AND(EQ8&lt;&gt;"",EQ8&gt;=ET$22,EP8&gt;=ET$19)),"Performance",IF(I8="P","Worlds Team",IF(F8="P","National Team",""))))</f>
        <v/>
      </c>
      <c r="I8" s="2" t="str">
        <f>IF(OR(AND(AO8&lt;&gt;"",AO8&gt;=AV$21,AN8&gt;=AV$18),AND(AU8&lt;&gt;"",AU8&gt;=AV$21,AT8&gt;=AV$18),AND(BS8&lt;&gt;"",BS8&gt;=BZ$21,BR8&gt;=BZ$18),AND(BY8&lt;&gt;"",BY8&gt;=BZ$21,BX8&gt;=BZ$18),AND(DB8&lt;&gt;"",DB8&gt;=DK$21,DA8&gt;=DK$18),AND(DJ8&lt;&gt;"",DJ8&gt;=DK$21,DI8&gt;=DK$18),AND(EK8&lt;&gt;"",EK8&gt;=ET$21,EJ8&gt;=ET$18),AND(ES8&lt;&gt;"",ES8&gt;=ET$21,ER8&gt;=ET$18)),"P","")</f>
        <v/>
      </c>
      <c r="J8" s="7">
        <f t="shared" si="1"/>
        <v>47.1</v>
      </c>
      <c r="K8" s="7" t="str">
        <f t="shared" si="2"/>
        <v>2026 Elite Canada</v>
      </c>
      <c r="L8" s="7">
        <f>IF(J8=AO8,IF(COUNT(AQ8,AS8,BO8,BQ8,BU8,BW8)&gt;1,LARGE((AQ8,AS8,BO8,BQ8,BU8,BW8),1),0),IF(COUNT(AK8,AM8,AQ8,AS8,BU8,BW8)&gt;1,LARGE((AK8,AM8,AQ8,AS8,BU8,BW8),1),0))</f>
        <v>24.9</v>
      </c>
      <c r="M8" s="7" t="str">
        <f t="shared" si="3"/>
        <v>2026 Elite Canada</v>
      </c>
      <c r="N8" s="7">
        <f>IF(J8=AO8,IF(COUNT(AQ8,AS8,BO8,BQ8,BU8,BW8)&gt;1,LARGE((AQ8,AS8,BO8,BQ8,BU8,BW8),2),0),IF(COUNT(AK8,AM8,AQ8,AS8,BU8,BW8)&gt;1,LARGE((AK8,AM8,AQ8,AS8,BU8,BW8),2),0))</f>
        <v>24.5</v>
      </c>
      <c r="O8" s="7" t="str">
        <f t="shared" si="4"/>
        <v>2026 Elite Canada</v>
      </c>
      <c r="P8" s="7" t="str">
        <f t="shared" si="5"/>
        <v/>
      </c>
      <c r="Q8" s="10" t="str">
        <f t="shared" si="6"/>
        <v/>
      </c>
      <c r="R8" s="7" t="str">
        <f t="shared" si="7"/>
        <v/>
      </c>
      <c r="S8" s="38">
        <v>18.5</v>
      </c>
      <c r="T8" s="38">
        <v>5.2</v>
      </c>
      <c r="U8" s="38">
        <v>0.6</v>
      </c>
      <c r="V8" s="38">
        <v>0</v>
      </c>
      <c r="W8" s="38">
        <v>18.600000000000001</v>
      </c>
      <c r="X8" s="38">
        <v>5.6</v>
      </c>
      <c r="Y8" s="38">
        <v>0.2</v>
      </c>
      <c r="Z8" s="38">
        <v>0</v>
      </c>
      <c r="AA8" s="38">
        <v>18.5</v>
      </c>
      <c r="AB8" s="38">
        <v>6.4</v>
      </c>
      <c r="AC8" s="38">
        <v>0</v>
      </c>
      <c r="AD8" s="38">
        <v>0</v>
      </c>
      <c r="AE8" s="38">
        <v>17.899999999999999</v>
      </c>
      <c r="AF8" s="38">
        <v>6.8</v>
      </c>
      <c r="AG8" s="38">
        <v>0.2</v>
      </c>
      <c r="AH8" s="38">
        <v>0</v>
      </c>
      <c r="AI8" s="19"/>
      <c r="AJ8" s="41">
        <f t="shared" si="8"/>
        <v>5.2</v>
      </c>
      <c r="AK8" s="41">
        <f t="shared" si="9"/>
        <v>23.099999999999998</v>
      </c>
      <c r="AL8" s="41">
        <f t="shared" si="10"/>
        <v>5.6</v>
      </c>
      <c r="AM8" s="41">
        <f t="shared" si="11"/>
        <v>24.000000000000004</v>
      </c>
      <c r="AN8" s="27">
        <f t="shared" si="12"/>
        <v>10.8</v>
      </c>
      <c r="AO8" s="27">
        <f t="shared" si="13"/>
        <v>47.1</v>
      </c>
      <c r="AP8" s="27">
        <f t="shared" si="14"/>
        <v>6.4</v>
      </c>
      <c r="AQ8" s="27">
        <f t="shared" si="15"/>
        <v>24.9</v>
      </c>
      <c r="AR8" s="27">
        <f t="shared" si="16"/>
        <v>6.8</v>
      </c>
      <c r="AS8" s="27">
        <f t="shared" si="17"/>
        <v>24.5</v>
      </c>
      <c r="AT8" s="27">
        <f t="shared" si="18"/>
        <v>13.2</v>
      </c>
      <c r="AU8" s="27">
        <f t="shared" si="19"/>
        <v>49.4</v>
      </c>
      <c r="AV8" s="27">
        <f t="shared" si="20"/>
        <v>96.5</v>
      </c>
      <c r="AW8" s="15"/>
      <c r="AX8" s="15"/>
      <c r="AY8" s="15"/>
      <c r="AZ8" s="15"/>
      <c r="BA8" s="15"/>
      <c r="BB8" s="15"/>
      <c r="BC8" s="15"/>
      <c r="BD8" s="15"/>
      <c r="BE8" s="15"/>
      <c r="BF8" s="15"/>
      <c r="BG8" s="15"/>
      <c r="BH8" s="15"/>
      <c r="BI8" s="15"/>
      <c r="BJ8" s="15"/>
      <c r="BK8" s="15"/>
      <c r="BL8" s="15"/>
      <c r="BM8" s="20"/>
      <c r="BN8" s="42" t="str">
        <f t="shared" si="21"/>
        <v/>
      </c>
      <c r="BO8" s="42" t="str">
        <f t="shared" si="22"/>
        <v/>
      </c>
      <c r="BP8" s="42" t="str">
        <f t="shared" si="23"/>
        <v/>
      </c>
      <c r="BQ8" s="42" t="str">
        <f t="shared" si="24"/>
        <v/>
      </c>
      <c r="BR8" s="10" t="str">
        <f t="shared" si="25"/>
        <v/>
      </c>
      <c r="BS8" s="10" t="str">
        <f t="shared" si="26"/>
        <v/>
      </c>
      <c r="BT8" s="10" t="str">
        <f t="shared" si="27"/>
        <v/>
      </c>
      <c r="BU8" s="10" t="str">
        <f t="shared" si="28"/>
        <v/>
      </c>
      <c r="BV8" s="10" t="str">
        <f t="shared" si="29"/>
        <v/>
      </c>
      <c r="BW8" s="10" t="str">
        <f t="shared" si="30"/>
        <v/>
      </c>
      <c r="BX8" s="10" t="str">
        <f t="shared" si="31"/>
        <v/>
      </c>
      <c r="BY8" s="10" t="str">
        <f t="shared" si="32"/>
        <v/>
      </c>
      <c r="BZ8" s="10" t="str">
        <f t="shared" si="33"/>
        <v/>
      </c>
      <c r="CA8" s="34" t="str">
        <f t="shared" si="34"/>
        <v/>
      </c>
      <c r="CB8" s="34" t="str">
        <f t="shared" si="35"/>
        <v/>
      </c>
      <c r="CC8" s="14"/>
      <c r="CD8" s="14"/>
      <c r="CE8" s="14"/>
      <c r="CF8" s="14"/>
      <c r="CG8" s="14"/>
      <c r="CH8" s="14"/>
      <c r="CI8" s="14"/>
      <c r="CJ8" s="14"/>
      <c r="CK8" s="14"/>
      <c r="CL8" s="14"/>
      <c r="CM8" s="14"/>
      <c r="CN8" s="14"/>
      <c r="CO8" s="14"/>
      <c r="CP8" s="14"/>
      <c r="CQ8" s="14"/>
      <c r="CR8" s="14"/>
      <c r="CS8" s="14"/>
      <c r="CT8" s="14"/>
      <c r="CU8" s="14"/>
      <c r="CV8" s="14"/>
      <c r="CW8" s="27" t="str">
        <f t="shared" si="36"/>
        <v/>
      </c>
      <c r="CX8" s="27" t="str">
        <f t="shared" si="37"/>
        <v/>
      </c>
      <c r="CY8" s="27" t="str">
        <f t="shared" si="38"/>
        <v/>
      </c>
      <c r="CZ8" s="27" t="str">
        <f t="shared" si="39"/>
        <v/>
      </c>
      <c r="DA8" s="27" t="str">
        <f t="shared" si="40"/>
        <v/>
      </c>
      <c r="DB8" s="27" t="str">
        <f t="shared" si="41"/>
        <v/>
      </c>
      <c r="DC8" s="27" t="str">
        <f t="shared" si="42"/>
        <v/>
      </c>
      <c r="DD8" s="27" t="str">
        <f t="shared" si="43"/>
        <v/>
      </c>
      <c r="DE8" s="27" t="str">
        <f t="shared" si="44"/>
        <v/>
      </c>
      <c r="DF8" s="27" t="str">
        <f t="shared" si="45"/>
        <v/>
      </c>
      <c r="DG8" s="27" t="str">
        <f t="shared" si="46"/>
        <v/>
      </c>
      <c r="DH8" s="27" t="str">
        <f t="shared" si="47"/>
        <v/>
      </c>
      <c r="DI8" s="27" t="str">
        <f t="shared" si="48"/>
        <v/>
      </c>
      <c r="DJ8" s="27" t="str">
        <f t="shared" si="49"/>
        <v/>
      </c>
      <c r="DK8" s="27" t="str">
        <f t="shared" si="50"/>
        <v/>
      </c>
      <c r="DL8" s="15"/>
      <c r="DM8" s="15"/>
      <c r="DN8" s="15"/>
      <c r="DO8" s="15"/>
      <c r="DP8" s="15"/>
      <c r="DQ8" s="15"/>
      <c r="DR8" s="15"/>
      <c r="DS8" s="15"/>
      <c r="DT8" s="15"/>
      <c r="DU8" s="15"/>
      <c r="DV8" s="15"/>
      <c r="DW8" s="15"/>
      <c r="DX8" s="15"/>
      <c r="DY8" s="15"/>
      <c r="DZ8" s="15"/>
      <c r="EA8" s="15"/>
      <c r="EB8" s="15"/>
      <c r="EC8" s="15"/>
      <c r="ED8" s="15"/>
      <c r="EE8" s="15"/>
      <c r="EF8" s="10" t="str">
        <f t="shared" si="51"/>
        <v/>
      </c>
      <c r="EG8" s="10" t="str">
        <f t="shared" si="52"/>
        <v/>
      </c>
      <c r="EH8" s="10" t="str">
        <f t="shared" si="53"/>
        <v/>
      </c>
      <c r="EI8" s="10" t="str">
        <f t="shared" si="54"/>
        <v/>
      </c>
      <c r="EJ8" s="10" t="str">
        <f t="shared" si="55"/>
        <v/>
      </c>
      <c r="EK8" s="10" t="str">
        <f t="shared" si="56"/>
        <v/>
      </c>
      <c r="EL8" s="10" t="str">
        <f t="shared" si="57"/>
        <v/>
      </c>
      <c r="EM8" s="10" t="str">
        <f t="shared" si="58"/>
        <v/>
      </c>
      <c r="EN8" s="10" t="str">
        <f t="shared" si="59"/>
        <v/>
      </c>
      <c r="EO8" s="10" t="str">
        <f t="shared" si="60"/>
        <v/>
      </c>
      <c r="EP8" s="10" t="str">
        <f t="shared" si="61"/>
        <v/>
      </c>
      <c r="EQ8" s="10" t="str">
        <f t="shared" si="62"/>
        <v/>
      </c>
      <c r="ER8" s="10" t="str">
        <f t="shared" si="63"/>
        <v/>
      </c>
      <c r="ES8" s="10" t="str">
        <f t="shared" si="64"/>
        <v/>
      </c>
      <c r="ET8" s="10" t="str">
        <f t="shared" si="65"/>
        <v/>
      </c>
    </row>
    <row r="9" spans="1:150" x14ac:dyDescent="0.2">
      <c r="A9" s="3" t="str" cm="1">
        <f t="array" ref="A9">IF(AND(H9&lt;&gt;"",H9&lt;&gt;"No DD"),SUMPRODUCT((H$4:H$15&lt;&gt;"")*(H$4:H$15&lt;&gt;"No DD")*(E$4:E$15&gt;E9))+1,IF(H9="No DD",SUMPRODUCT((H$4:H$15="No DD")*(E$4:E$15&gt;E9))+1+SUMPRODUCT((H$4:H$15&lt;&gt;"")*(H$4:H$15&lt;&gt;"No DD")),""))</f>
        <v/>
      </c>
      <c r="B9" s="4" t="s">
        <v>164</v>
      </c>
      <c r="C9" s="3" t="s">
        <v>6</v>
      </c>
      <c r="D9" s="3">
        <v>2010</v>
      </c>
      <c r="E9" s="8">
        <f t="shared" si="0"/>
        <v>95.500007150004734</v>
      </c>
      <c r="F9" s="2" t="str">
        <f>IF(OR(AND(AO9&lt;&gt;"",AO9&gt;=AV$20,AN9&gt;=AV$17),AND(AU9&lt;&gt;"",AU9&gt;=AV$20,AT9&gt;=AV$17),AND(BS9&lt;&gt;"",BS9&gt;=BZ$20,BR9&gt;=BZ$17),AND(BY9&lt;&gt;"",BY9&gt;=BZ$20,BX9&gt;=BZ$17),AND(DB9&lt;&gt;"",DB9&gt;=DK$20,DA9&gt;=DK$17),AND(DJ9&lt;&gt;"",DJ9&gt;=DK$20,DI9&gt;=DK$17),AND(EK9&lt;&gt;"",EK9&gt;=ET$20,EJ9&gt;=ET$17),AND(ES9&lt;&gt;"",ES9&gt;=ET$20,ER9&gt;=ET$17)),"P","")</f>
        <v/>
      </c>
      <c r="G9" s="2" t="str">
        <f>IF(OR(AND(AO9&lt;&gt;"",AO9&gt;=AV$20),AND(AU9&lt;&gt;"",AU9&gt;=AV$20),AND(BS9&lt;&gt;"",BS9&gt;=BZ$20),AND(BY9&lt;&gt;"",BY9&gt;=BZ$20),AND(DB9&lt;&gt;"",DB9&gt;=DK$20),AND(DJ9&lt;&gt;"",DJ9&gt;=DK$20),AND(EK9&lt;&gt;"",EK9&gt;=ET$20),AND(ES9&lt;&gt;"",ES9&gt;=ET$20)),"P","")</f>
        <v/>
      </c>
      <c r="H9" s="26" t="str">
        <f>IF(AND(G9="P",F9=""),"No DD",IF(OR(AND(AK9&lt;&gt;"",AK9&gt;=AV$22,AJ9&gt;=AV$19),AND(AM9&lt;&gt;"",AM9&gt;=AV$22,AL9&gt;=AV$19),AND(AQ9&lt;&gt;"",AQ9&gt;=AV$22,AP9&gt;=AV$19),AND(AS9&lt;&gt;"",AS9&gt;=AV$22,AR9&gt;=AV$19),AND(BO9&lt;&gt;"",BO9&gt;=BZ$22,BN9&gt;=BZ$19),AND(BQ9&lt;&gt;"",BQ9&gt;=BZ$22,BP9&gt;=BZ$19),AND(BV9&lt;&gt;"",BV9&gt;=BZ$22,BU9&gt;=BZ$19),AND(BX9&lt;&gt;"",BX9&gt;=BZ$22,BW9&gt;=BZ$19),AND(CX9&lt;&gt;"",CX9&gt;=DK$22,CW9&gt;=DK$19),AND(CZ9&lt;&gt;"",CZ9&gt;=DK$22,CY9&gt;=DK$19),AND(DD9&lt;&gt;"",DD9&gt;=DK$22,DC9&gt;=DK$19),AND(DF9&lt;&gt;"",DF9&gt;=DK$22,DE9&gt;=DK$19),AND(DH9&lt;&gt;"",DH9&gt;=DK$22,DG9&gt;=DK$19),AND(EG9&lt;&gt;"",EG9&gt;=ET$22,EF9&gt;=ET$19),AND(EI9&lt;&gt;"",EI9&gt;=ET$22,EH9&gt;=ET$19),AND(EM9&lt;&gt;"",EM9&gt;=ET$22,EL9&gt;=ET$19),AND(EO9&lt;&gt;"",EO9&gt;=ET$22,EN9&gt;=ET$19),AND(EQ9&lt;&gt;"",EQ9&gt;=ET$22,EP9&gt;=ET$19)),"Performance",IF(I9="P","Worlds Team",IF(F9="P","National Team",""))))</f>
        <v/>
      </c>
      <c r="I9" s="2" t="str">
        <f>IF(OR(AND(AO9&lt;&gt;"",AO9&gt;=AV$21,AN9&gt;=AV$18),AND(AU9&lt;&gt;"",AU9&gt;=AV$21,AT9&gt;=AV$18),AND(BS9&lt;&gt;"",BS9&gt;=BZ$21,BR9&gt;=BZ$18),AND(BY9&lt;&gt;"",BY9&gt;=BZ$21,BX9&gt;=BZ$18),AND(DB9&lt;&gt;"",DB9&gt;=DK$21,DA9&gt;=DK$18),AND(DJ9&lt;&gt;"",DJ9&gt;=DK$21,DI9&gt;=DK$18),AND(EK9&lt;&gt;"",EK9&gt;=ET$21,EJ9&gt;=ET$18),AND(ES9&lt;&gt;"",ES9&gt;=ET$21,ER9&gt;=ET$18)),"P","")</f>
        <v/>
      </c>
      <c r="J9" s="7">
        <f t="shared" si="1"/>
        <v>47.3</v>
      </c>
      <c r="K9" s="7" t="str">
        <f t="shared" si="2"/>
        <v>2026 Elite Canada</v>
      </c>
      <c r="L9" s="7">
        <f>IF(J9=AO9,IF(COUNT(AQ9,AS9,BO9,BQ9,BU9,BW9)&gt;1,LARGE((AQ9,AS9,BO9,BQ9,BU9,BW9),1),0),IF(COUNT(AK9,AM9,AQ9,AS9,BU9,BW9)&gt;1,LARGE((AK9,AM9,AQ9,AS9,BU9,BW9),1),0))</f>
        <v>24.2</v>
      </c>
      <c r="M9" s="7" t="str">
        <f t="shared" si="3"/>
        <v>2026 Elite Canada</v>
      </c>
      <c r="N9" s="7">
        <f>IF(J9=AO9,IF(COUNT(AQ9,AS9,BO9,BQ9,BU9,BW9)&gt;1,LARGE((AQ9,AS9,BO9,BQ9,BU9,BW9),2),0),IF(COUNT(AK9,AM9,AQ9,AS9,BU9,BW9)&gt;1,LARGE((AK9,AM9,AQ9,AS9,BU9,BW9),2),0))</f>
        <v>24</v>
      </c>
      <c r="O9" s="7" t="str">
        <f t="shared" si="4"/>
        <v>2026 Elite Canada</v>
      </c>
      <c r="P9" s="7" t="str">
        <f t="shared" si="5"/>
        <v/>
      </c>
      <c r="Q9" s="10" t="str">
        <f t="shared" si="6"/>
        <v/>
      </c>
      <c r="R9" s="7" t="str">
        <f t="shared" si="7"/>
        <v/>
      </c>
      <c r="S9" s="38">
        <v>18.3</v>
      </c>
      <c r="T9" s="38">
        <v>5.6</v>
      </c>
      <c r="U9" s="38">
        <v>0.8</v>
      </c>
      <c r="V9" s="38">
        <v>0</v>
      </c>
      <c r="W9" s="38">
        <v>18.8</v>
      </c>
      <c r="X9" s="38">
        <v>5.6</v>
      </c>
      <c r="Y9" s="38">
        <v>0.2</v>
      </c>
      <c r="Z9" s="38">
        <v>0</v>
      </c>
      <c r="AA9" s="38">
        <v>18.8</v>
      </c>
      <c r="AB9" s="38">
        <v>5.2</v>
      </c>
      <c r="AC9" s="38">
        <v>0</v>
      </c>
      <c r="AD9" s="38">
        <v>0</v>
      </c>
      <c r="AE9" s="38">
        <v>18.2</v>
      </c>
      <c r="AF9" s="38">
        <v>6</v>
      </c>
      <c r="AG9" s="38">
        <v>0</v>
      </c>
      <c r="AH9" s="38">
        <v>0</v>
      </c>
      <c r="AI9" s="19"/>
      <c r="AJ9" s="41">
        <f t="shared" si="8"/>
        <v>5.6</v>
      </c>
      <c r="AK9" s="41">
        <f t="shared" si="9"/>
        <v>23.099999999999998</v>
      </c>
      <c r="AL9" s="41">
        <f t="shared" si="10"/>
        <v>5.6</v>
      </c>
      <c r="AM9" s="41">
        <f t="shared" si="11"/>
        <v>24.2</v>
      </c>
      <c r="AN9" s="27">
        <f t="shared" si="12"/>
        <v>11.2</v>
      </c>
      <c r="AO9" s="27">
        <f t="shared" si="13"/>
        <v>47.3</v>
      </c>
      <c r="AP9" s="27">
        <f t="shared" si="14"/>
        <v>5.2</v>
      </c>
      <c r="AQ9" s="27">
        <f t="shared" si="15"/>
        <v>24</v>
      </c>
      <c r="AR9" s="27">
        <f t="shared" si="16"/>
        <v>6</v>
      </c>
      <c r="AS9" s="27">
        <f t="shared" si="17"/>
        <v>24.2</v>
      </c>
      <c r="AT9" s="27">
        <f t="shared" si="18"/>
        <v>11.2</v>
      </c>
      <c r="AU9" s="27">
        <f t="shared" si="19"/>
        <v>48.2</v>
      </c>
      <c r="AV9" s="27">
        <f t="shared" si="20"/>
        <v>95.5</v>
      </c>
      <c r="AW9" s="15"/>
      <c r="AX9" s="15"/>
      <c r="AY9" s="15"/>
      <c r="AZ9" s="15"/>
      <c r="BA9" s="15"/>
      <c r="BB9" s="15"/>
      <c r="BC9" s="15"/>
      <c r="BD9" s="15"/>
      <c r="BE9" s="15"/>
      <c r="BF9" s="15"/>
      <c r="BG9" s="15"/>
      <c r="BH9" s="15"/>
      <c r="BI9" s="15"/>
      <c r="BJ9" s="15"/>
      <c r="BK9" s="15"/>
      <c r="BL9" s="15"/>
      <c r="BM9" s="20"/>
      <c r="BN9" s="42" t="str">
        <f t="shared" si="21"/>
        <v/>
      </c>
      <c r="BO9" s="42" t="str">
        <f t="shared" si="22"/>
        <v/>
      </c>
      <c r="BP9" s="42" t="str">
        <f t="shared" si="23"/>
        <v/>
      </c>
      <c r="BQ9" s="42" t="str">
        <f t="shared" si="24"/>
        <v/>
      </c>
      <c r="BR9" s="10" t="str">
        <f t="shared" si="25"/>
        <v/>
      </c>
      <c r="BS9" s="10" t="str">
        <f t="shared" si="26"/>
        <v/>
      </c>
      <c r="BT9" s="10" t="str">
        <f t="shared" si="27"/>
        <v/>
      </c>
      <c r="BU9" s="10" t="str">
        <f t="shared" si="28"/>
        <v/>
      </c>
      <c r="BV9" s="10" t="str">
        <f t="shared" si="29"/>
        <v/>
      </c>
      <c r="BW9" s="10" t="str">
        <f t="shared" si="30"/>
        <v/>
      </c>
      <c r="BX9" s="10" t="str">
        <f t="shared" si="31"/>
        <v/>
      </c>
      <c r="BY9" s="10" t="str">
        <f t="shared" si="32"/>
        <v/>
      </c>
      <c r="BZ9" s="10" t="str">
        <f t="shared" si="33"/>
        <v/>
      </c>
      <c r="CA9" s="34" t="str">
        <f t="shared" si="34"/>
        <v/>
      </c>
      <c r="CB9" s="34" t="str">
        <f t="shared" si="35"/>
        <v/>
      </c>
      <c r="CC9" s="14"/>
      <c r="CD9" s="14"/>
      <c r="CE9" s="14"/>
      <c r="CF9" s="14"/>
      <c r="CG9" s="14"/>
      <c r="CH9" s="14"/>
      <c r="CI9" s="14"/>
      <c r="CJ9" s="14"/>
      <c r="CK9" s="14"/>
      <c r="CL9" s="14"/>
      <c r="CM9" s="14"/>
      <c r="CN9" s="14"/>
      <c r="CO9" s="14"/>
      <c r="CP9" s="14"/>
      <c r="CQ9" s="14"/>
      <c r="CR9" s="14"/>
      <c r="CS9" s="14"/>
      <c r="CT9" s="14"/>
      <c r="CU9" s="14"/>
      <c r="CV9" s="14"/>
      <c r="CW9" s="27" t="str">
        <f t="shared" si="36"/>
        <v/>
      </c>
      <c r="CX9" s="27" t="str">
        <f t="shared" si="37"/>
        <v/>
      </c>
      <c r="CY9" s="27" t="str">
        <f t="shared" si="38"/>
        <v/>
      </c>
      <c r="CZ9" s="27" t="str">
        <f t="shared" si="39"/>
        <v/>
      </c>
      <c r="DA9" s="27" t="str">
        <f t="shared" si="40"/>
        <v/>
      </c>
      <c r="DB9" s="27" t="str">
        <f t="shared" si="41"/>
        <v/>
      </c>
      <c r="DC9" s="27" t="str">
        <f t="shared" si="42"/>
        <v/>
      </c>
      <c r="DD9" s="27" t="str">
        <f t="shared" si="43"/>
        <v/>
      </c>
      <c r="DE9" s="27" t="str">
        <f t="shared" si="44"/>
        <v/>
      </c>
      <c r="DF9" s="27" t="str">
        <f t="shared" si="45"/>
        <v/>
      </c>
      <c r="DG9" s="27" t="str">
        <f t="shared" si="46"/>
        <v/>
      </c>
      <c r="DH9" s="27" t="str">
        <f t="shared" si="47"/>
        <v/>
      </c>
      <c r="DI9" s="27" t="str">
        <f t="shared" si="48"/>
        <v/>
      </c>
      <c r="DJ9" s="27" t="str">
        <f t="shared" si="49"/>
        <v/>
      </c>
      <c r="DK9" s="27" t="str">
        <f t="shared" si="50"/>
        <v/>
      </c>
      <c r="DL9" s="15"/>
      <c r="DM9" s="15"/>
      <c r="DN9" s="15"/>
      <c r="DO9" s="15"/>
      <c r="DP9" s="15"/>
      <c r="DQ9" s="15"/>
      <c r="DR9" s="15"/>
      <c r="DS9" s="15"/>
      <c r="DT9" s="15"/>
      <c r="DU9" s="15"/>
      <c r="DV9" s="15"/>
      <c r="DW9" s="15"/>
      <c r="DX9" s="15"/>
      <c r="DY9" s="15"/>
      <c r="DZ9" s="15"/>
      <c r="EA9" s="15"/>
      <c r="EB9" s="15"/>
      <c r="EC9" s="15"/>
      <c r="ED9" s="15"/>
      <c r="EE9" s="15"/>
      <c r="EF9" s="10" t="str">
        <f t="shared" si="51"/>
        <v/>
      </c>
      <c r="EG9" s="10" t="str">
        <f t="shared" si="52"/>
        <v/>
      </c>
      <c r="EH9" s="10" t="str">
        <f t="shared" si="53"/>
        <v/>
      </c>
      <c r="EI9" s="10" t="str">
        <f t="shared" si="54"/>
        <v/>
      </c>
      <c r="EJ9" s="10" t="str">
        <f t="shared" si="55"/>
        <v/>
      </c>
      <c r="EK9" s="10" t="str">
        <f t="shared" si="56"/>
        <v/>
      </c>
      <c r="EL9" s="10" t="str">
        <f t="shared" si="57"/>
        <v/>
      </c>
      <c r="EM9" s="10" t="str">
        <f t="shared" si="58"/>
        <v/>
      </c>
      <c r="EN9" s="10" t="str">
        <f t="shared" si="59"/>
        <v/>
      </c>
      <c r="EO9" s="10" t="str">
        <f t="shared" si="60"/>
        <v/>
      </c>
      <c r="EP9" s="10" t="str">
        <f t="shared" si="61"/>
        <v/>
      </c>
      <c r="EQ9" s="10" t="str">
        <f t="shared" si="62"/>
        <v/>
      </c>
      <c r="ER9" s="10" t="str">
        <f t="shared" si="63"/>
        <v/>
      </c>
      <c r="ES9" s="10" t="str">
        <f t="shared" si="64"/>
        <v/>
      </c>
      <c r="ET9" s="10" t="str">
        <f t="shared" si="65"/>
        <v/>
      </c>
    </row>
    <row r="10" spans="1:150" x14ac:dyDescent="0.2">
      <c r="A10" s="3" t="str" cm="1">
        <f t="array" ref="A10">IF(AND(H10&lt;&gt;"",H10&lt;&gt;"No DD"),SUMPRODUCT((H$4:H$15&lt;&gt;"")*(H$4:H$15&lt;&gt;"No DD")*(E$4:E$15&gt;E10))+1,IF(H10="No DD",SUMPRODUCT((H$4:H$15="No DD")*(E$4:E$15&gt;E10))+1+SUMPRODUCT((H$4:H$15&lt;&gt;"")*(H$4:H$15&lt;&gt;"No DD")),""))</f>
        <v/>
      </c>
      <c r="B10" s="4" t="s">
        <v>142</v>
      </c>
      <c r="C10" s="3" t="s">
        <v>3</v>
      </c>
      <c r="D10" s="3">
        <v>2010</v>
      </c>
      <c r="E10" s="8">
        <f t="shared" si="0"/>
        <v>95.200007130004735</v>
      </c>
      <c r="F10" s="2" t="str">
        <f>IF(OR(AND(AO10&lt;&gt;"",AO10&gt;=AV$20,AN10&gt;=AV$17),AND(AU10&lt;&gt;"",AU10&gt;=AV$20,AT10&gt;=AV$17),AND(BS10&lt;&gt;"",BS10&gt;=BZ$20,BR10&gt;=BZ$17),AND(BY10&lt;&gt;"",BY10&gt;=BZ$20,BX10&gt;=BZ$17),AND(DB10&lt;&gt;"",DB10&gt;=DK$20,DA10&gt;=DK$17),AND(DJ10&lt;&gt;"",DJ10&gt;=DK$20,DI10&gt;=DK$17),AND(EK10&lt;&gt;"",EK10&gt;=ET$20,EJ10&gt;=ET$17),AND(ES10&lt;&gt;"",ES10&gt;=ET$20,ER10&gt;=ET$17)),"P","")</f>
        <v/>
      </c>
      <c r="G10" s="2" t="str">
        <f>IF(OR(AND(AO10&lt;&gt;"",AO10&gt;=AV$20),AND(AU10&lt;&gt;"",AU10&gt;=AV$20),AND(BS10&lt;&gt;"",BS10&gt;=BZ$20),AND(BY10&lt;&gt;"",BY10&gt;=BZ$20),AND(DB10&lt;&gt;"",DB10&gt;=DK$20),AND(DJ10&lt;&gt;"",DJ10&gt;=DK$20),AND(EK10&lt;&gt;"",EK10&gt;=ET$20),AND(ES10&lt;&gt;"",ES10&gt;=ET$20)),"P","")</f>
        <v/>
      </c>
      <c r="H10" s="26" t="str">
        <f>IF(AND(G10="P",F10=""),"No DD",IF(OR(AND(AK10&lt;&gt;"",AK10&gt;=AV$22,AJ10&gt;=AV$19),AND(AM10&lt;&gt;"",AM10&gt;=AV$22,AL10&gt;=AV$19),AND(AQ10&lt;&gt;"",AQ10&gt;=AV$22,AP10&gt;=AV$19),AND(AS10&lt;&gt;"",AS10&gt;=AV$22,AR10&gt;=AV$19),AND(BO10&lt;&gt;"",BO10&gt;=BZ$22,BN10&gt;=BZ$19),AND(BQ10&lt;&gt;"",BQ10&gt;=BZ$22,BP10&gt;=BZ$19),AND(BV10&lt;&gt;"",BV10&gt;=BZ$22,BU10&gt;=BZ$19),AND(BX10&lt;&gt;"",BX10&gt;=BZ$22,BW10&gt;=BZ$19),AND(CX10&lt;&gt;"",CX10&gt;=DK$22,CW10&gt;=DK$19),AND(CZ10&lt;&gt;"",CZ10&gt;=DK$22,CY10&gt;=DK$19),AND(DD10&lt;&gt;"",DD10&gt;=DK$22,DC10&gt;=DK$19),AND(DF10&lt;&gt;"",DF10&gt;=DK$22,DE10&gt;=DK$19),AND(DH10&lt;&gt;"",DH10&gt;=DK$22,DG10&gt;=DK$19),AND(EG10&lt;&gt;"",EG10&gt;=ET$22,EF10&gt;=ET$19),AND(EI10&lt;&gt;"",EI10&gt;=ET$22,EH10&gt;=ET$19),AND(EM10&lt;&gt;"",EM10&gt;=ET$22,EL10&gt;=ET$19),AND(EO10&lt;&gt;"",EO10&gt;=ET$22,EN10&gt;=ET$19),AND(EQ10&lt;&gt;"",EQ10&gt;=ET$22,EP10&gt;=ET$19)),"Performance",IF(I10="P","Worlds Team",IF(F10="P","National Team",""))))</f>
        <v/>
      </c>
      <c r="I10" s="2" t="str">
        <f>IF(OR(AND(AO10&lt;&gt;"",AO10&gt;=AV$21,AN10&gt;=AV$18),AND(AU10&lt;&gt;"",AU10&gt;=AV$21,AT10&gt;=AV$18),AND(BS10&lt;&gt;"",BS10&gt;=BZ$21,BR10&gt;=BZ$18),AND(BY10&lt;&gt;"",BY10&gt;=BZ$21,BX10&gt;=BZ$18),AND(DB10&lt;&gt;"",DB10&gt;=DK$21,DA10&gt;=DK$18),AND(DJ10&lt;&gt;"",DJ10&gt;=DK$21,DI10&gt;=DK$18),AND(EK10&lt;&gt;"",EK10&gt;=ET$21,EJ10&gt;=ET$18),AND(ES10&lt;&gt;"",ES10&gt;=ET$21,ER10&gt;=ET$18)),"P","")</f>
        <v/>
      </c>
      <c r="J10" s="7">
        <f t="shared" si="1"/>
        <v>47.4</v>
      </c>
      <c r="K10" s="7" t="str">
        <f t="shared" si="2"/>
        <v>2026 Elite Canada</v>
      </c>
      <c r="L10" s="7">
        <f>IF(J10=AO10,IF(COUNT(AQ10,AS10,BO10,BQ10,BU10,BW10)&gt;1,LARGE((AQ10,AS10,BO10,BQ10,BU10,BW10),1),0),IF(COUNT(AK10,AM10,AQ10,AS10,BU10,BW10)&gt;1,LARGE((AK10,AM10,AQ10,AS10,BU10,BW10),1),0))</f>
        <v>23.9</v>
      </c>
      <c r="M10" s="7" t="str">
        <f t="shared" si="3"/>
        <v>2026 Elite Canada</v>
      </c>
      <c r="N10" s="7">
        <f>IF(J10=AO10,IF(COUNT(AQ10,AS10,BO10,BQ10,BU10,BW10)&gt;1,LARGE((AQ10,AS10,BO10,BQ10,BU10,BW10),2),0),IF(COUNT(AK10,AM10,AQ10,AS10,BU10,BW10)&gt;1,LARGE((AK10,AM10,AQ10,AS10,BU10,BW10),2),0))</f>
        <v>23.9</v>
      </c>
      <c r="O10" s="7" t="str">
        <f t="shared" si="4"/>
        <v>2026 Elite Canada</v>
      </c>
      <c r="P10" s="7" t="str">
        <f t="shared" si="5"/>
        <v/>
      </c>
      <c r="Q10" s="10" t="str">
        <f t="shared" si="6"/>
        <v/>
      </c>
      <c r="R10" s="7" t="str">
        <f t="shared" si="7"/>
        <v/>
      </c>
      <c r="S10" s="38">
        <v>18.600000000000001</v>
      </c>
      <c r="T10" s="38">
        <v>5.2</v>
      </c>
      <c r="U10" s="38">
        <v>0.6</v>
      </c>
      <c r="V10" s="38">
        <v>0</v>
      </c>
      <c r="W10" s="38">
        <v>19</v>
      </c>
      <c r="X10" s="38">
        <v>5.2</v>
      </c>
      <c r="Y10" s="38">
        <v>0</v>
      </c>
      <c r="Z10" s="38">
        <v>0</v>
      </c>
      <c r="AA10" s="38">
        <v>18.7</v>
      </c>
      <c r="AB10" s="38">
        <v>5.2</v>
      </c>
      <c r="AC10" s="38">
        <v>0</v>
      </c>
      <c r="AD10" s="38">
        <v>0</v>
      </c>
      <c r="AE10" s="38">
        <v>18.7</v>
      </c>
      <c r="AF10" s="38">
        <v>6</v>
      </c>
      <c r="AG10" s="38">
        <v>0.8</v>
      </c>
      <c r="AH10" s="38">
        <v>0</v>
      </c>
      <c r="AI10" s="19"/>
      <c r="AJ10" s="41">
        <f t="shared" si="8"/>
        <v>5.2</v>
      </c>
      <c r="AK10" s="41">
        <f t="shared" si="9"/>
        <v>23.2</v>
      </c>
      <c r="AL10" s="41">
        <f t="shared" si="10"/>
        <v>5.2</v>
      </c>
      <c r="AM10" s="41">
        <f t="shared" si="11"/>
        <v>24.2</v>
      </c>
      <c r="AN10" s="27">
        <f t="shared" si="12"/>
        <v>10.4</v>
      </c>
      <c r="AO10" s="27">
        <f t="shared" si="13"/>
        <v>47.4</v>
      </c>
      <c r="AP10" s="27">
        <f t="shared" si="14"/>
        <v>5.2</v>
      </c>
      <c r="AQ10" s="27">
        <f t="shared" si="15"/>
        <v>23.9</v>
      </c>
      <c r="AR10" s="27">
        <f t="shared" si="16"/>
        <v>6</v>
      </c>
      <c r="AS10" s="27">
        <f t="shared" si="17"/>
        <v>23.9</v>
      </c>
      <c r="AT10" s="27">
        <f t="shared" si="18"/>
        <v>11.2</v>
      </c>
      <c r="AU10" s="27">
        <f t="shared" si="19"/>
        <v>47.8</v>
      </c>
      <c r="AV10" s="27">
        <f t="shared" si="20"/>
        <v>95.199999999999989</v>
      </c>
      <c r="AW10" s="15"/>
      <c r="AX10" s="15"/>
      <c r="AY10" s="15"/>
      <c r="AZ10" s="15"/>
      <c r="BA10" s="15"/>
      <c r="BB10" s="15"/>
      <c r="BC10" s="15"/>
      <c r="BD10" s="15"/>
      <c r="BE10" s="15"/>
      <c r="BF10" s="15"/>
      <c r="BG10" s="15"/>
      <c r="BH10" s="15"/>
      <c r="BI10" s="15"/>
      <c r="BJ10" s="15"/>
      <c r="BK10" s="15"/>
      <c r="BL10" s="15"/>
      <c r="BM10" s="20"/>
      <c r="BN10" s="42" t="str">
        <f t="shared" si="21"/>
        <v/>
      </c>
      <c r="BO10" s="42" t="str">
        <f t="shared" si="22"/>
        <v/>
      </c>
      <c r="BP10" s="42" t="str">
        <f t="shared" si="23"/>
        <v/>
      </c>
      <c r="BQ10" s="42" t="str">
        <f t="shared" si="24"/>
        <v/>
      </c>
      <c r="BR10" s="10" t="str">
        <f t="shared" si="25"/>
        <v/>
      </c>
      <c r="BS10" s="10" t="str">
        <f t="shared" si="26"/>
        <v/>
      </c>
      <c r="BT10" s="10" t="str">
        <f t="shared" si="27"/>
        <v/>
      </c>
      <c r="BU10" s="10" t="str">
        <f t="shared" si="28"/>
        <v/>
      </c>
      <c r="BV10" s="10" t="str">
        <f t="shared" si="29"/>
        <v/>
      </c>
      <c r="BW10" s="10" t="str">
        <f t="shared" si="30"/>
        <v/>
      </c>
      <c r="BX10" s="10" t="str">
        <f t="shared" si="31"/>
        <v/>
      </c>
      <c r="BY10" s="10" t="str">
        <f t="shared" si="32"/>
        <v/>
      </c>
      <c r="BZ10" s="10" t="str">
        <f t="shared" si="33"/>
        <v/>
      </c>
      <c r="CA10" s="34" t="str">
        <f t="shared" si="34"/>
        <v/>
      </c>
      <c r="CB10" s="34" t="str">
        <f t="shared" si="35"/>
        <v/>
      </c>
      <c r="CC10" s="14"/>
      <c r="CD10" s="14"/>
      <c r="CE10" s="14"/>
      <c r="CF10" s="14"/>
      <c r="CG10" s="14"/>
      <c r="CH10" s="14"/>
      <c r="CI10" s="14"/>
      <c r="CJ10" s="14"/>
      <c r="CK10" s="14"/>
      <c r="CL10" s="14"/>
      <c r="CM10" s="14"/>
      <c r="CN10" s="14"/>
      <c r="CO10" s="14"/>
      <c r="CP10" s="14"/>
      <c r="CQ10" s="14"/>
      <c r="CR10" s="14"/>
      <c r="CS10" s="14"/>
      <c r="CT10" s="14"/>
      <c r="CU10" s="14"/>
      <c r="CV10" s="14"/>
      <c r="CW10" s="27" t="str">
        <f t="shared" si="36"/>
        <v/>
      </c>
      <c r="CX10" s="27" t="str">
        <f t="shared" si="37"/>
        <v/>
      </c>
      <c r="CY10" s="27" t="str">
        <f t="shared" si="38"/>
        <v/>
      </c>
      <c r="CZ10" s="27" t="str">
        <f t="shared" si="39"/>
        <v/>
      </c>
      <c r="DA10" s="27" t="str">
        <f t="shared" si="40"/>
        <v/>
      </c>
      <c r="DB10" s="27" t="str">
        <f t="shared" si="41"/>
        <v/>
      </c>
      <c r="DC10" s="27" t="str">
        <f t="shared" si="42"/>
        <v/>
      </c>
      <c r="DD10" s="27" t="str">
        <f t="shared" si="43"/>
        <v/>
      </c>
      <c r="DE10" s="27" t="str">
        <f t="shared" si="44"/>
        <v/>
      </c>
      <c r="DF10" s="27" t="str">
        <f t="shared" si="45"/>
        <v/>
      </c>
      <c r="DG10" s="27" t="str">
        <f t="shared" si="46"/>
        <v/>
      </c>
      <c r="DH10" s="27" t="str">
        <f t="shared" si="47"/>
        <v/>
      </c>
      <c r="DI10" s="27" t="str">
        <f t="shared" si="48"/>
        <v/>
      </c>
      <c r="DJ10" s="27" t="str">
        <f t="shared" si="49"/>
        <v/>
      </c>
      <c r="DK10" s="27" t="str">
        <f t="shared" si="50"/>
        <v/>
      </c>
      <c r="DL10" s="15"/>
      <c r="DM10" s="15"/>
      <c r="DN10" s="15"/>
      <c r="DO10" s="15"/>
      <c r="DP10" s="15"/>
      <c r="DQ10" s="15"/>
      <c r="DR10" s="15"/>
      <c r="DS10" s="15"/>
      <c r="DT10" s="15"/>
      <c r="DU10" s="15"/>
      <c r="DV10" s="15"/>
      <c r="DW10" s="15"/>
      <c r="DX10" s="15"/>
      <c r="DY10" s="15"/>
      <c r="DZ10" s="15"/>
      <c r="EA10" s="15"/>
      <c r="EB10" s="15"/>
      <c r="EC10" s="15"/>
      <c r="ED10" s="15"/>
      <c r="EE10" s="15"/>
      <c r="EF10" s="10" t="str">
        <f t="shared" si="51"/>
        <v/>
      </c>
      <c r="EG10" s="10" t="str">
        <f t="shared" si="52"/>
        <v/>
      </c>
      <c r="EH10" s="10" t="str">
        <f t="shared" si="53"/>
        <v/>
      </c>
      <c r="EI10" s="10" t="str">
        <f t="shared" si="54"/>
        <v/>
      </c>
      <c r="EJ10" s="10" t="str">
        <f t="shared" si="55"/>
        <v/>
      </c>
      <c r="EK10" s="10" t="str">
        <f t="shared" si="56"/>
        <v/>
      </c>
      <c r="EL10" s="10" t="str">
        <f t="shared" si="57"/>
        <v/>
      </c>
      <c r="EM10" s="10" t="str">
        <f t="shared" si="58"/>
        <v/>
      </c>
      <c r="EN10" s="10" t="str">
        <f t="shared" si="59"/>
        <v/>
      </c>
      <c r="EO10" s="10" t="str">
        <f t="shared" si="60"/>
        <v/>
      </c>
      <c r="EP10" s="10" t="str">
        <f t="shared" si="61"/>
        <v/>
      </c>
      <c r="EQ10" s="10" t="str">
        <f t="shared" si="62"/>
        <v/>
      </c>
      <c r="ER10" s="10" t="str">
        <f t="shared" si="63"/>
        <v/>
      </c>
      <c r="ES10" s="10" t="str">
        <f t="shared" si="64"/>
        <v/>
      </c>
      <c r="ET10" s="10" t="str">
        <f t="shared" si="65"/>
        <v/>
      </c>
    </row>
    <row r="11" spans="1:150" x14ac:dyDescent="0.2">
      <c r="A11" s="3" t="str" cm="1">
        <f t="array" ref="A11">IF(AND(H11&lt;&gt;"",H11&lt;&gt;"No DD"),SUMPRODUCT((H$4:H$15&lt;&gt;"")*(H$4:H$15&lt;&gt;"No DD")*(E$4:E$15&gt;E11))+1,IF(H11="No DD",SUMPRODUCT((H$4:H$15="No DD")*(E$4:E$15&gt;E11))+1+SUMPRODUCT((H$4:H$15&lt;&gt;"")*(H$4:H$15&lt;&gt;"No DD")),""))</f>
        <v/>
      </c>
      <c r="B11" s="4" t="s">
        <v>166</v>
      </c>
      <c r="C11" s="3" t="s">
        <v>5</v>
      </c>
      <c r="D11" s="3">
        <v>2013</v>
      </c>
      <c r="E11" s="8">
        <f t="shared" si="0"/>
        <v>94.200007120004699</v>
      </c>
      <c r="F11" s="2" t="str">
        <f>IF(OR(AND(AO11&lt;&gt;"",AO11&gt;=AV$20,AN11&gt;=AV$17),AND(AU11&lt;&gt;"",AU11&gt;=AV$20,AT11&gt;=AV$17),AND(BS11&lt;&gt;"",BS11&gt;=BZ$20,BR11&gt;=BZ$17),AND(BY11&lt;&gt;"",BY11&gt;=BZ$20,BX11&gt;=BZ$17),AND(DB11&lt;&gt;"",DB11&gt;=DK$20,DA11&gt;=DK$17),AND(DJ11&lt;&gt;"",DJ11&gt;=DK$20,DI11&gt;=DK$17),AND(EK11&lt;&gt;"",EK11&gt;=ET$20,EJ11&gt;=ET$17),AND(ES11&lt;&gt;"",ES11&gt;=ET$20,ER11&gt;=ET$17)),"P","")</f>
        <v/>
      </c>
      <c r="G11" s="2" t="str">
        <f>IF(OR(AND(AO11&lt;&gt;"",AO11&gt;=AV$20),AND(AU11&lt;&gt;"",AU11&gt;=AV$20),AND(BS11&lt;&gt;"",BS11&gt;=BZ$20),AND(BY11&lt;&gt;"",BY11&gt;=BZ$20),AND(DB11&lt;&gt;"",DB11&gt;=DK$20),AND(DJ11&lt;&gt;"",DJ11&gt;=DK$20),AND(EK11&lt;&gt;"",EK11&gt;=ET$20),AND(ES11&lt;&gt;"",ES11&gt;=ET$20)),"P","")</f>
        <v/>
      </c>
      <c r="H11" s="26" t="str">
        <f>IF(AND(G11="P",F11=""),"No DD",IF(OR(AND(AK11&lt;&gt;"",AK11&gt;=AV$22,AJ11&gt;=AV$19),AND(AM11&lt;&gt;"",AM11&gt;=AV$22,AL11&gt;=AV$19),AND(AQ11&lt;&gt;"",AQ11&gt;=AV$22,AP11&gt;=AV$19),AND(AS11&lt;&gt;"",AS11&gt;=AV$22,AR11&gt;=AV$19),AND(BO11&lt;&gt;"",BO11&gt;=BZ$22,BN11&gt;=BZ$19),AND(BQ11&lt;&gt;"",BQ11&gt;=BZ$22,BP11&gt;=BZ$19),AND(BV11&lt;&gt;"",BV11&gt;=BZ$22,BU11&gt;=BZ$19),AND(BX11&lt;&gt;"",BX11&gt;=BZ$22,BW11&gt;=BZ$19),AND(CX11&lt;&gt;"",CX11&gt;=DK$22,CW11&gt;=DK$19),AND(CZ11&lt;&gt;"",CZ11&gt;=DK$22,CY11&gt;=DK$19),AND(DD11&lt;&gt;"",DD11&gt;=DK$22,DC11&gt;=DK$19),AND(DF11&lt;&gt;"",DF11&gt;=DK$22,DE11&gt;=DK$19),AND(DH11&lt;&gt;"",DH11&gt;=DK$22,DG11&gt;=DK$19),AND(EG11&lt;&gt;"",EG11&gt;=ET$22,EF11&gt;=ET$19),AND(EI11&lt;&gt;"",EI11&gt;=ET$22,EH11&gt;=ET$19),AND(EM11&lt;&gt;"",EM11&gt;=ET$22,EL11&gt;=ET$19),AND(EO11&lt;&gt;"",EO11&gt;=ET$22,EN11&gt;=ET$19),AND(EQ11&lt;&gt;"",EQ11&gt;=ET$22,EP11&gt;=ET$19)),"Performance",IF(I11="P","Worlds Team",IF(F11="P","National Team",""))))</f>
        <v/>
      </c>
      <c r="I11" s="2" t="str">
        <f>IF(OR(AND(AO11&lt;&gt;"",AO11&gt;=AV$21,AN11&gt;=AV$18),AND(AU11&lt;&gt;"",AU11&gt;=AV$21,AT11&gt;=AV$18),AND(BS11&lt;&gt;"",BS11&gt;=BZ$21,BR11&gt;=BZ$18),AND(BY11&lt;&gt;"",BY11&gt;=BZ$21,BX11&gt;=BZ$18),AND(DB11&lt;&gt;"",DB11&gt;=DK$21,DA11&gt;=DK$18),AND(DJ11&lt;&gt;"",DJ11&gt;=DK$21,DI11&gt;=DK$18),AND(EK11&lt;&gt;"",EK11&gt;=ET$21,EJ11&gt;=ET$18),AND(ES11&lt;&gt;"",ES11&gt;=ET$21,ER11&gt;=ET$18)),"P","")</f>
        <v/>
      </c>
      <c r="J11" s="7">
        <f t="shared" si="1"/>
        <v>46.900000000000006</v>
      </c>
      <c r="K11" s="7" t="str">
        <f t="shared" si="2"/>
        <v>2026 Elite Canada</v>
      </c>
      <c r="L11" s="7">
        <f>IF(J11=AO11,IF(COUNT(AQ11,AS11,BO11,BQ11,BU11,BW11)&gt;1,LARGE((AQ11,AS11,BO11,BQ11,BU11,BW11),1),0),IF(COUNT(AK11,AM11,AQ11,AS11,BU11,BW11)&gt;1,LARGE((AK11,AM11,AQ11,AS11,BU11,BW11),1),0))</f>
        <v>24.3</v>
      </c>
      <c r="M11" s="7" t="str">
        <f t="shared" si="3"/>
        <v>2026 Elite Canada</v>
      </c>
      <c r="N11" s="7">
        <f>IF(J11=AO11,IF(COUNT(AQ11,AS11,BO11,BQ11,BU11,BW11)&gt;1,LARGE((AQ11,AS11,BO11,BQ11,BU11,BW11),2),0),IF(COUNT(AK11,AM11,AQ11,AS11,BU11,BW11)&gt;1,LARGE((AK11,AM11,AQ11,AS11,BU11,BW11),2),0))</f>
        <v>23</v>
      </c>
      <c r="O11" s="7" t="str">
        <f t="shared" si="4"/>
        <v>2026 Elite Canada</v>
      </c>
      <c r="P11" s="7" t="str">
        <f t="shared" si="5"/>
        <v/>
      </c>
      <c r="Q11" s="10" t="str">
        <f t="shared" si="6"/>
        <v/>
      </c>
      <c r="R11" s="7" t="str">
        <f t="shared" si="7"/>
        <v/>
      </c>
      <c r="S11" s="38">
        <v>18</v>
      </c>
      <c r="T11" s="38">
        <v>5.6</v>
      </c>
      <c r="U11" s="38">
        <v>0.2</v>
      </c>
      <c r="V11" s="38">
        <v>0</v>
      </c>
      <c r="W11" s="38">
        <v>17.5</v>
      </c>
      <c r="X11" s="38">
        <v>6</v>
      </c>
      <c r="Y11" s="38">
        <v>0</v>
      </c>
      <c r="Z11" s="38">
        <v>0</v>
      </c>
      <c r="AA11" s="38">
        <v>17.600000000000001</v>
      </c>
      <c r="AB11" s="38">
        <v>6</v>
      </c>
      <c r="AC11" s="38">
        <v>0.6</v>
      </c>
      <c r="AD11" s="38">
        <v>0</v>
      </c>
      <c r="AE11" s="38">
        <v>18.3</v>
      </c>
      <c r="AF11" s="38">
        <v>6</v>
      </c>
      <c r="AG11" s="38">
        <v>0</v>
      </c>
      <c r="AH11" s="38">
        <v>0</v>
      </c>
      <c r="AI11" s="19"/>
      <c r="AJ11" s="41">
        <f t="shared" si="8"/>
        <v>5.6</v>
      </c>
      <c r="AK11" s="41">
        <f t="shared" si="9"/>
        <v>23.400000000000002</v>
      </c>
      <c r="AL11" s="41">
        <f t="shared" si="10"/>
        <v>6</v>
      </c>
      <c r="AM11" s="41">
        <f t="shared" si="11"/>
        <v>23.5</v>
      </c>
      <c r="AN11" s="27">
        <f t="shared" si="12"/>
        <v>11.6</v>
      </c>
      <c r="AO11" s="27">
        <f t="shared" si="13"/>
        <v>46.900000000000006</v>
      </c>
      <c r="AP11" s="27">
        <f t="shared" si="14"/>
        <v>6</v>
      </c>
      <c r="AQ11" s="27">
        <f t="shared" si="15"/>
        <v>23</v>
      </c>
      <c r="AR11" s="27">
        <f t="shared" si="16"/>
        <v>6</v>
      </c>
      <c r="AS11" s="27">
        <f t="shared" si="17"/>
        <v>24.3</v>
      </c>
      <c r="AT11" s="27">
        <f t="shared" si="18"/>
        <v>12</v>
      </c>
      <c r="AU11" s="27">
        <f t="shared" si="19"/>
        <v>47.3</v>
      </c>
      <c r="AV11" s="27">
        <f t="shared" si="20"/>
        <v>94.2</v>
      </c>
      <c r="AW11" s="15"/>
      <c r="AX11" s="15"/>
      <c r="AY11" s="15"/>
      <c r="AZ11" s="15"/>
      <c r="BA11" s="15"/>
      <c r="BB11" s="15"/>
      <c r="BC11" s="15"/>
      <c r="BD11" s="15"/>
      <c r="BE11" s="15"/>
      <c r="BF11" s="15"/>
      <c r="BG11" s="15"/>
      <c r="BH11" s="15"/>
      <c r="BI11" s="15"/>
      <c r="BJ11" s="15"/>
      <c r="BK11" s="15"/>
      <c r="BL11" s="15"/>
      <c r="BM11" s="20"/>
      <c r="BN11" s="42" t="str">
        <f t="shared" si="21"/>
        <v/>
      </c>
      <c r="BO11" s="42" t="str">
        <f t="shared" si="22"/>
        <v/>
      </c>
      <c r="BP11" s="42" t="str">
        <f t="shared" si="23"/>
        <v/>
      </c>
      <c r="BQ11" s="42" t="str">
        <f t="shared" si="24"/>
        <v/>
      </c>
      <c r="BR11" s="10" t="str">
        <f t="shared" si="25"/>
        <v/>
      </c>
      <c r="BS11" s="10" t="str">
        <f t="shared" si="26"/>
        <v/>
      </c>
      <c r="BT11" s="10" t="str">
        <f t="shared" si="27"/>
        <v/>
      </c>
      <c r="BU11" s="10" t="str">
        <f t="shared" si="28"/>
        <v/>
      </c>
      <c r="BV11" s="10" t="str">
        <f t="shared" si="29"/>
        <v/>
      </c>
      <c r="BW11" s="10" t="str">
        <f t="shared" si="30"/>
        <v/>
      </c>
      <c r="BX11" s="10" t="str">
        <f t="shared" si="31"/>
        <v/>
      </c>
      <c r="BY11" s="10" t="str">
        <f t="shared" si="32"/>
        <v/>
      </c>
      <c r="BZ11" s="10" t="str">
        <f t="shared" si="33"/>
        <v/>
      </c>
      <c r="CA11" s="34" t="str">
        <f t="shared" si="34"/>
        <v/>
      </c>
      <c r="CB11" s="34" t="str">
        <f t="shared" si="35"/>
        <v/>
      </c>
      <c r="CC11" s="14"/>
      <c r="CD11" s="14"/>
      <c r="CE11" s="14"/>
      <c r="CF11" s="14"/>
      <c r="CG11" s="14"/>
      <c r="CH11" s="14"/>
      <c r="CI11" s="14"/>
      <c r="CJ11" s="14"/>
      <c r="CK11" s="14"/>
      <c r="CL11" s="14"/>
      <c r="CM11" s="14"/>
      <c r="CN11" s="14"/>
      <c r="CO11" s="14"/>
      <c r="CP11" s="14"/>
      <c r="CQ11" s="14"/>
      <c r="CR11" s="14"/>
      <c r="CS11" s="14"/>
      <c r="CT11" s="14"/>
      <c r="CU11" s="14"/>
      <c r="CV11" s="14"/>
      <c r="CW11" s="27" t="str">
        <f t="shared" si="36"/>
        <v/>
      </c>
      <c r="CX11" s="27" t="str">
        <f t="shared" si="37"/>
        <v/>
      </c>
      <c r="CY11" s="27" t="str">
        <f t="shared" si="38"/>
        <v/>
      </c>
      <c r="CZ11" s="27" t="str">
        <f t="shared" si="39"/>
        <v/>
      </c>
      <c r="DA11" s="27" t="str">
        <f t="shared" si="40"/>
        <v/>
      </c>
      <c r="DB11" s="27" t="str">
        <f t="shared" si="41"/>
        <v/>
      </c>
      <c r="DC11" s="27" t="str">
        <f t="shared" si="42"/>
        <v/>
      </c>
      <c r="DD11" s="27" t="str">
        <f t="shared" si="43"/>
        <v/>
      </c>
      <c r="DE11" s="27" t="str">
        <f t="shared" si="44"/>
        <v/>
      </c>
      <c r="DF11" s="27" t="str">
        <f t="shared" si="45"/>
        <v/>
      </c>
      <c r="DG11" s="27" t="str">
        <f t="shared" si="46"/>
        <v/>
      </c>
      <c r="DH11" s="27" t="str">
        <f t="shared" si="47"/>
        <v/>
      </c>
      <c r="DI11" s="27" t="str">
        <f t="shared" si="48"/>
        <v/>
      </c>
      <c r="DJ11" s="27" t="str">
        <f t="shared" si="49"/>
        <v/>
      </c>
      <c r="DK11" s="27" t="str">
        <f t="shared" si="50"/>
        <v/>
      </c>
      <c r="DL11" s="15"/>
      <c r="DM11" s="15"/>
      <c r="DN11" s="15"/>
      <c r="DO11" s="15"/>
      <c r="DP11" s="15"/>
      <c r="DQ11" s="15"/>
      <c r="DR11" s="15"/>
      <c r="DS11" s="15"/>
      <c r="DT11" s="15"/>
      <c r="DU11" s="15"/>
      <c r="DV11" s="15"/>
      <c r="DW11" s="15"/>
      <c r="DX11" s="15"/>
      <c r="DY11" s="15"/>
      <c r="DZ11" s="15"/>
      <c r="EA11" s="15"/>
      <c r="EB11" s="15"/>
      <c r="EC11" s="15"/>
      <c r="ED11" s="15"/>
      <c r="EE11" s="15"/>
      <c r="EF11" s="10" t="str">
        <f t="shared" si="51"/>
        <v/>
      </c>
      <c r="EG11" s="10" t="str">
        <f t="shared" si="52"/>
        <v/>
      </c>
      <c r="EH11" s="10" t="str">
        <f t="shared" si="53"/>
        <v/>
      </c>
      <c r="EI11" s="10" t="str">
        <f t="shared" si="54"/>
        <v/>
      </c>
      <c r="EJ11" s="10" t="str">
        <f t="shared" si="55"/>
        <v/>
      </c>
      <c r="EK11" s="10" t="str">
        <f t="shared" si="56"/>
        <v/>
      </c>
      <c r="EL11" s="10" t="str">
        <f t="shared" si="57"/>
        <v/>
      </c>
      <c r="EM11" s="10" t="str">
        <f t="shared" si="58"/>
        <v/>
      </c>
      <c r="EN11" s="10" t="str">
        <f t="shared" si="59"/>
        <v/>
      </c>
      <c r="EO11" s="10" t="str">
        <f t="shared" si="60"/>
        <v/>
      </c>
      <c r="EP11" s="10" t="str">
        <f t="shared" si="61"/>
        <v/>
      </c>
      <c r="EQ11" s="10" t="str">
        <f t="shared" si="62"/>
        <v/>
      </c>
      <c r="ER11" s="10" t="str">
        <f t="shared" si="63"/>
        <v/>
      </c>
      <c r="ES11" s="10" t="str">
        <f t="shared" si="64"/>
        <v/>
      </c>
      <c r="ET11" s="10" t="str">
        <f t="shared" si="65"/>
        <v/>
      </c>
    </row>
    <row r="12" spans="1:150" x14ac:dyDescent="0.2">
      <c r="A12" s="3" t="str" cm="1">
        <f t="array" ref="A12">IF(AND(H12&lt;&gt;"",H12&lt;&gt;"No DD"),SUMPRODUCT((H$4:H$15&lt;&gt;"")*(H$4:H$15&lt;&gt;"No DD")*(E$4:E$15&gt;E12))+1,IF(H12="No DD",SUMPRODUCT((H$4:H$15="No DD")*(E$4:E$15&gt;E12))+1+SUMPRODUCT((H$4:H$15&lt;&gt;"")*(H$4:H$15&lt;&gt;"No DD")),""))</f>
        <v/>
      </c>
      <c r="B12" s="4" t="s">
        <v>165</v>
      </c>
      <c r="C12" s="3" t="s">
        <v>5</v>
      </c>
      <c r="D12" s="3">
        <v>2010</v>
      </c>
      <c r="E12" s="8">
        <f t="shared" si="0"/>
        <v>93.900007160004705</v>
      </c>
      <c r="F12" s="2" t="str">
        <f>IF(OR(AND(AO12&lt;&gt;"",AO12&gt;=AV$20,AN12&gt;=AV$17),AND(AU12&lt;&gt;"",AU12&gt;=AV$20,AT12&gt;=AV$17),AND(BS12&lt;&gt;"",BS12&gt;=BZ$20,BR12&gt;=BZ$17),AND(BY12&lt;&gt;"",BY12&gt;=BZ$20,BX12&gt;=BZ$17),AND(DB12&lt;&gt;"",DB12&gt;=DK$20,DA12&gt;=DK$17),AND(DJ12&lt;&gt;"",DJ12&gt;=DK$20,DI12&gt;=DK$17),AND(EK12&lt;&gt;"",EK12&gt;=ET$20,EJ12&gt;=ET$17),AND(ES12&lt;&gt;"",ES12&gt;=ET$20,ER12&gt;=ET$17)),"P","")</f>
        <v/>
      </c>
      <c r="G12" s="2" t="str">
        <f>IF(OR(AND(AO12&lt;&gt;"",AO12&gt;=AV$20),AND(AU12&lt;&gt;"",AU12&gt;=AV$20),AND(BS12&lt;&gt;"",BS12&gt;=BZ$20),AND(BY12&lt;&gt;"",BY12&gt;=BZ$20),AND(DB12&lt;&gt;"",DB12&gt;=DK$20),AND(DJ12&lt;&gt;"",DJ12&gt;=DK$20),AND(EK12&lt;&gt;"",EK12&gt;=ET$20),AND(ES12&lt;&gt;"",ES12&gt;=ET$20)),"P","")</f>
        <v/>
      </c>
      <c r="H12" s="26" t="str">
        <f>IF(AND(G12="P",F12=""),"No DD",IF(OR(AND(AK12&lt;&gt;"",AK12&gt;=AV$22,AJ12&gt;=AV$19),AND(AM12&lt;&gt;"",AM12&gt;=AV$22,AL12&gt;=AV$19),AND(AQ12&lt;&gt;"",AQ12&gt;=AV$22,AP12&gt;=AV$19),AND(AS12&lt;&gt;"",AS12&gt;=AV$22,AR12&gt;=AV$19),AND(BO12&lt;&gt;"",BO12&gt;=BZ$22,BN12&gt;=BZ$19),AND(BQ12&lt;&gt;"",BQ12&gt;=BZ$22,BP12&gt;=BZ$19),AND(BV12&lt;&gt;"",BV12&gt;=BZ$22,BU12&gt;=BZ$19),AND(BX12&lt;&gt;"",BX12&gt;=BZ$22,BW12&gt;=BZ$19),AND(CX12&lt;&gt;"",CX12&gt;=DK$22,CW12&gt;=DK$19),AND(CZ12&lt;&gt;"",CZ12&gt;=DK$22,CY12&gt;=DK$19),AND(DD12&lt;&gt;"",DD12&gt;=DK$22,DC12&gt;=DK$19),AND(DF12&lt;&gt;"",DF12&gt;=DK$22,DE12&gt;=DK$19),AND(DH12&lt;&gt;"",DH12&gt;=DK$22,DG12&gt;=DK$19),AND(EG12&lt;&gt;"",EG12&gt;=ET$22,EF12&gt;=ET$19),AND(EI12&lt;&gt;"",EI12&gt;=ET$22,EH12&gt;=ET$19),AND(EM12&lt;&gt;"",EM12&gt;=ET$22,EL12&gt;=ET$19),AND(EO12&lt;&gt;"",EO12&gt;=ET$22,EN12&gt;=ET$19),AND(EQ12&lt;&gt;"",EQ12&gt;=ET$22,EP12&gt;=ET$19)),"Performance",IF(I12="P","Worlds Team",IF(F12="P","National Team",""))))</f>
        <v/>
      </c>
      <c r="I12" s="2" t="str">
        <f>IF(OR(AND(AO12&lt;&gt;"",AO12&gt;=AV$21,AN12&gt;=AV$18),AND(AU12&lt;&gt;"",AU12&gt;=AV$21,AT12&gt;=AV$18),AND(BS12&lt;&gt;"",BS12&gt;=BZ$21,BR12&gt;=BZ$18),AND(BY12&lt;&gt;"",BY12&gt;=BZ$21,BX12&gt;=BZ$18),AND(DB12&lt;&gt;"",DB12&gt;=DK$21,DA12&gt;=DK$18),AND(DJ12&lt;&gt;"",DJ12&gt;=DK$21,DI12&gt;=DK$18),AND(EK12&lt;&gt;"",EK12&gt;=ET$21,EJ12&gt;=ET$18),AND(ES12&lt;&gt;"",ES12&gt;=ET$21,ER12&gt;=ET$18)),"P","")</f>
        <v/>
      </c>
      <c r="J12" s="7">
        <f t="shared" si="1"/>
        <v>47.199999999999996</v>
      </c>
      <c r="K12" s="7" t="str">
        <f t="shared" si="2"/>
        <v>2026 Elite Canada</v>
      </c>
      <c r="L12" s="7">
        <f>IF(J12=AO12,IF(COUNT(AQ12,AS12,BO12,BQ12,BU12,BW12)&gt;1,LARGE((AQ12,AS12,BO12,BQ12,BU12,BW12),1),0),IF(COUNT(AK12,AM12,AQ12,AS12,BU12,BW12)&gt;1,LARGE((AK12,AM12,AQ12,AS12,BU12,BW12),1),0))</f>
        <v>24.400000000000002</v>
      </c>
      <c r="M12" s="7" t="str">
        <f t="shared" si="3"/>
        <v>2026 Elite Canada</v>
      </c>
      <c r="N12" s="7">
        <f>IF(J12=AO12,IF(COUNT(AQ12,AS12,BO12,BQ12,BU12,BW12)&gt;1,LARGE((AQ12,AS12,BO12,BQ12,BU12,BW12),2),0),IF(COUNT(AK12,AM12,AQ12,AS12,BU12,BW12)&gt;1,LARGE((AK12,AM12,AQ12,AS12,BU12,BW12),2),0))</f>
        <v>22.299999999999997</v>
      </c>
      <c r="O12" s="7" t="str">
        <f t="shared" si="4"/>
        <v>2026 Elite Canada</v>
      </c>
      <c r="P12" s="7" t="str">
        <f t="shared" si="5"/>
        <v/>
      </c>
      <c r="Q12" s="10" t="str">
        <f t="shared" si="6"/>
        <v/>
      </c>
      <c r="R12" s="7" t="str">
        <f t="shared" si="7"/>
        <v/>
      </c>
      <c r="S12" s="38">
        <v>18.5</v>
      </c>
      <c r="T12" s="38">
        <v>6</v>
      </c>
      <c r="U12" s="38">
        <v>0.6</v>
      </c>
      <c r="V12" s="38">
        <v>0</v>
      </c>
      <c r="W12" s="38">
        <v>17.899999999999999</v>
      </c>
      <c r="X12" s="38">
        <v>6</v>
      </c>
      <c r="Y12" s="38">
        <v>0.6</v>
      </c>
      <c r="Z12" s="38">
        <v>0</v>
      </c>
      <c r="AA12" s="38">
        <v>17.899999999999999</v>
      </c>
      <c r="AB12" s="38">
        <v>5.2</v>
      </c>
      <c r="AC12" s="38">
        <v>0.8</v>
      </c>
      <c r="AD12" s="38">
        <v>0</v>
      </c>
      <c r="AE12" s="38">
        <v>18.600000000000001</v>
      </c>
      <c r="AF12" s="38">
        <v>6</v>
      </c>
      <c r="AG12" s="38">
        <v>0.2</v>
      </c>
      <c r="AH12" s="38">
        <v>0</v>
      </c>
      <c r="AI12" s="19"/>
      <c r="AJ12" s="41">
        <f t="shared" si="8"/>
        <v>6</v>
      </c>
      <c r="AK12" s="41">
        <f t="shared" si="9"/>
        <v>23.9</v>
      </c>
      <c r="AL12" s="41">
        <f t="shared" si="10"/>
        <v>6</v>
      </c>
      <c r="AM12" s="41">
        <f t="shared" si="11"/>
        <v>23.299999999999997</v>
      </c>
      <c r="AN12" s="27">
        <f t="shared" si="12"/>
        <v>12</v>
      </c>
      <c r="AO12" s="27">
        <f t="shared" si="13"/>
        <v>47.199999999999996</v>
      </c>
      <c r="AP12" s="27">
        <f t="shared" si="14"/>
        <v>5.2</v>
      </c>
      <c r="AQ12" s="27">
        <f t="shared" si="15"/>
        <v>22.299999999999997</v>
      </c>
      <c r="AR12" s="27">
        <f t="shared" si="16"/>
        <v>6</v>
      </c>
      <c r="AS12" s="27">
        <f t="shared" si="17"/>
        <v>24.400000000000002</v>
      </c>
      <c r="AT12" s="27">
        <f t="shared" si="18"/>
        <v>11.2</v>
      </c>
      <c r="AU12" s="27">
        <f t="shared" si="19"/>
        <v>46.7</v>
      </c>
      <c r="AV12" s="27">
        <f t="shared" si="20"/>
        <v>93.9</v>
      </c>
      <c r="AW12" s="15"/>
      <c r="AX12" s="15"/>
      <c r="AY12" s="15"/>
      <c r="AZ12" s="15"/>
      <c r="BA12" s="15"/>
      <c r="BB12" s="15"/>
      <c r="BC12" s="15"/>
      <c r="BD12" s="15"/>
      <c r="BE12" s="15"/>
      <c r="BF12" s="15"/>
      <c r="BG12" s="15"/>
      <c r="BH12" s="15"/>
      <c r="BI12" s="15"/>
      <c r="BJ12" s="15"/>
      <c r="BK12" s="15"/>
      <c r="BL12" s="15"/>
      <c r="BM12" s="20"/>
      <c r="BN12" s="42" t="str">
        <f t="shared" si="21"/>
        <v/>
      </c>
      <c r="BO12" s="42" t="str">
        <f t="shared" si="22"/>
        <v/>
      </c>
      <c r="BP12" s="42" t="str">
        <f t="shared" si="23"/>
        <v/>
      </c>
      <c r="BQ12" s="42" t="str">
        <f t="shared" si="24"/>
        <v/>
      </c>
      <c r="BR12" s="10" t="str">
        <f t="shared" si="25"/>
        <v/>
      </c>
      <c r="BS12" s="10" t="str">
        <f t="shared" si="26"/>
        <v/>
      </c>
      <c r="BT12" s="10" t="str">
        <f t="shared" si="27"/>
        <v/>
      </c>
      <c r="BU12" s="10" t="str">
        <f t="shared" si="28"/>
        <v/>
      </c>
      <c r="BV12" s="10" t="str">
        <f t="shared" si="29"/>
        <v/>
      </c>
      <c r="BW12" s="10" t="str">
        <f t="shared" si="30"/>
        <v/>
      </c>
      <c r="BX12" s="10" t="str">
        <f t="shared" si="31"/>
        <v/>
      </c>
      <c r="BY12" s="10" t="str">
        <f t="shared" si="32"/>
        <v/>
      </c>
      <c r="BZ12" s="10" t="str">
        <f t="shared" si="33"/>
        <v/>
      </c>
      <c r="CA12" s="34" t="str">
        <f t="shared" si="34"/>
        <v/>
      </c>
      <c r="CB12" s="34" t="str">
        <f t="shared" si="35"/>
        <v/>
      </c>
      <c r="CC12" s="14"/>
      <c r="CD12" s="14"/>
      <c r="CE12" s="14"/>
      <c r="CF12" s="14"/>
      <c r="CG12" s="14"/>
      <c r="CH12" s="14"/>
      <c r="CI12" s="14"/>
      <c r="CJ12" s="14"/>
      <c r="CK12" s="14"/>
      <c r="CL12" s="14"/>
      <c r="CM12" s="14"/>
      <c r="CN12" s="14"/>
      <c r="CO12" s="14"/>
      <c r="CP12" s="14"/>
      <c r="CQ12" s="14"/>
      <c r="CR12" s="14"/>
      <c r="CS12" s="14"/>
      <c r="CT12" s="14"/>
      <c r="CU12" s="14"/>
      <c r="CV12" s="14"/>
      <c r="CW12" s="27" t="str">
        <f t="shared" si="36"/>
        <v/>
      </c>
      <c r="CX12" s="27" t="str">
        <f t="shared" si="37"/>
        <v/>
      </c>
      <c r="CY12" s="27" t="str">
        <f t="shared" si="38"/>
        <v/>
      </c>
      <c r="CZ12" s="27" t="str">
        <f t="shared" si="39"/>
        <v/>
      </c>
      <c r="DA12" s="27" t="str">
        <f t="shared" si="40"/>
        <v/>
      </c>
      <c r="DB12" s="27" t="str">
        <f t="shared" si="41"/>
        <v/>
      </c>
      <c r="DC12" s="27" t="str">
        <f t="shared" si="42"/>
        <v/>
      </c>
      <c r="DD12" s="27" t="str">
        <f t="shared" si="43"/>
        <v/>
      </c>
      <c r="DE12" s="27" t="str">
        <f t="shared" si="44"/>
        <v/>
      </c>
      <c r="DF12" s="27" t="str">
        <f t="shared" si="45"/>
        <v/>
      </c>
      <c r="DG12" s="27" t="str">
        <f t="shared" si="46"/>
        <v/>
      </c>
      <c r="DH12" s="27" t="str">
        <f t="shared" si="47"/>
        <v/>
      </c>
      <c r="DI12" s="27" t="str">
        <f t="shared" si="48"/>
        <v/>
      </c>
      <c r="DJ12" s="27" t="str">
        <f t="shared" si="49"/>
        <v/>
      </c>
      <c r="DK12" s="27" t="str">
        <f t="shared" si="50"/>
        <v/>
      </c>
      <c r="DL12" s="15"/>
      <c r="DM12" s="15"/>
      <c r="DN12" s="15"/>
      <c r="DO12" s="15"/>
      <c r="DP12" s="15"/>
      <c r="DQ12" s="15"/>
      <c r="DR12" s="15"/>
      <c r="DS12" s="15"/>
      <c r="DT12" s="15"/>
      <c r="DU12" s="15"/>
      <c r="DV12" s="15"/>
      <c r="DW12" s="15"/>
      <c r="DX12" s="15"/>
      <c r="DY12" s="15"/>
      <c r="DZ12" s="15"/>
      <c r="EA12" s="15"/>
      <c r="EB12" s="15"/>
      <c r="EC12" s="15"/>
      <c r="ED12" s="15"/>
      <c r="EE12" s="15"/>
      <c r="EF12" s="10" t="str">
        <f t="shared" si="51"/>
        <v/>
      </c>
      <c r="EG12" s="10" t="str">
        <f t="shared" si="52"/>
        <v/>
      </c>
      <c r="EH12" s="10" t="str">
        <f t="shared" si="53"/>
        <v/>
      </c>
      <c r="EI12" s="10" t="str">
        <f t="shared" si="54"/>
        <v/>
      </c>
      <c r="EJ12" s="10" t="str">
        <f t="shared" si="55"/>
        <v/>
      </c>
      <c r="EK12" s="10" t="str">
        <f t="shared" si="56"/>
        <v/>
      </c>
      <c r="EL12" s="10" t="str">
        <f t="shared" si="57"/>
        <v/>
      </c>
      <c r="EM12" s="10" t="str">
        <f t="shared" si="58"/>
        <v/>
      </c>
      <c r="EN12" s="10" t="str">
        <f t="shared" si="59"/>
        <v/>
      </c>
      <c r="EO12" s="10" t="str">
        <f t="shared" si="60"/>
        <v/>
      </c>
      <c r="EP12" s="10" t="str">
        <f t="shared" si="61"/>
        <v/>
      </c>
      <c r="EQ12" s="10" t="str">
        <f t="shared" si="62"/>
        <v/>
      </c>
      <c r="ER12" s="10" t="str">
        <f t="shared" si="63"/>
        <v/>
      </c>
      <c r="ES12" s="10" t="str">
        <f t="shared" si="64"/>
        <v/>
      </c>
      <c r="ET12" s="10" t="str">
        <f t="shared" si="65"/>
        <v/>
      </c>
    </row>
    <row r="13" spans="1:150" x14ac:dyDescent="0.2">
      <c r="A13" s="3" t="str" cm="1">
        <f t="array" ref="A13">IF(AND(H13&lt;&gt;"",H13&lt;&gt;"No DD"),SUMPRODUCT((H$4:H$15&lt;&gt;"")*(H$4:H$15&lt;&gt;"No DD")*(E$4:E$15&gt;E13))+1,IF(H13="No DD",SUMPRODUCT((H$4:H$15="No DD")*(E$4:E$15&gt;E13))+1+SUMPRODUCT((H$4:H$15&lt;&gt;"")*(H$4:H$15&lt;&gt;"No DD")),""))</f>
        <v/>
      </c>
      <c r="B13" s="4" t="s">
        <v>141</v>
      </c>
      <c r="C13" s="3" t="s">
        <v>5</v>
      </c>
      <c r="D13" s="3">
        <v>2012</v>
      </c>
      <c r="E13" s="8">
        <f t="shared" si="0"/>
        <v>72.700004790004797</v>
      </c>
      <c r="F13" s="2" t="str">
        <f>IF(OR(AND(AO13&lt;&gt;"",AO13&gt;=AV$20,AN13&gt;=AV$17),AND(AU13&lt;&gt;"",AU13&gt;=AV$20,AT13&gt;=AV$17),AND(BS13&lt;&gt;"",BS13&gt;=BZ$20,BR13&gt;=BZ$17),AND(BY13&lt;&gt;"",BY13&gt;=BZ$20,BX13&gt;=BZ$17),AND(DB13&lt;&gt;"",DB13&gt;=DK$20,DA13&gt;=DK$17),AND(DJ13&lt;&gt;"",DJ13&gt;=DK$20,DI13&gt;=DK$17),AND(EK13&lt;&gt;"",EK13&gt;=ET$20,EJ13&gt;=ET$17),AND(ES13&lt;&gt;"",ES13&gt;=ET$20,ER13&gt;=ET$17)),"P","")</f>
        <v/>
      </c>
      <c r="G13" s="2" t="str">
        <f>IF(OR(AND(AO13&lt;&gt;"",AO13&gt;=AV$20),AND(AU13&lt;&gt;"",AU13&gt;=AV$20),AND(BS13&lt;&gt;"",BS13&gt;=BZ$20),AND(BY13&lt;&gt;"",BY13&gt;=BZ$20),AND(DB13&lt;&gt;"",DB13&gt;=DK$20),AND(DJ13&lt;&gt;"",DJ13&gt;=DK$20),AND(EK13&lt;&gt;"",EK13&gt;=ET$20),AND(ES13&lt;&gt;"",ES13&gt;=ET$20)),"P","")</f>
        <v/>
      </c>
      <c r="H13" s="26" t="str">
        <f>IF(AND(G13="P",F13=""),"No DD",IF(OR(AND(AK13&lt;&gt;"",AK13&gt;=AV$22,AJ13&gt;=AV$19),AND(AM13&lt;&gt;"",AM13&gt;=AV$22,AL13&gt;=AV$19),AND(AQ13&lt;&gt;"",AQ13&gt;=AV$22,AP13&gt;=AV$19),AND(AS13&lt;&gt;"",AS13&gt;=AV$22,AR13&gt;=AV$19),AND(BO13&lt;&gt;"",BO13&gt;=BZ$22,BN13&gt;=BZ$19),AND(BQ13&lt;&gt;"",BQ13&gt;=BZ$22,BP13&gt;=BZ$19),AND(BV13&lt;&gt;"",BV13&gt;=BZ$22,BU13&gt;=BZ$19),AND(BX13&lt;&gt;"",BX13&gt;=BZ$22,BW13&gt;=BZ$19),AND(CX13&lt;&gt;"",CX13&gt;=DK$22,CW13&gt;=DK$19),AND(CZ13&lt;&gt;"",CZ13&gt;=DK$22,CY13&gt;=DK$19),AND(DD13&lt;&gt;"",DD13&gt;=DK$22,DC13&gt;=DK$19),AND(DF13&lt;&gt;"",DF13&gt;=DK$22,DE13&gt;=DK$19),AND(DH13&lt;&gt;"",DH13&gt;=DK$22,DG13&gt;=DK$19),AND(EG13&lt;&gt;"",EG13&gt;=ET$22,EF13&gt;=ET$19),AND(EI13&lt;&gt;"",EI13&gt;=ET$22,EH13&gt;=ET$19),AND(EM13&lt;&gt;"",EM13&gt;=ET$22,EL13&gt;=ET$19),AND(EO13&lt;&gt;"",EO13&gt;=ET$22,EN13&gt;=ET$19),AND(EQ13&lt;&gt;"",EQ13&gt;=ET$22,EP13&gt;=ET$19)),"Performance",IF(I13="P","Worlds Team",IF(F13="P","National Team",""))))</f>
        <v/>
      </c>
      <c r="I13" s="2" t="str">
        <f>IF(OR(AND(AO13&lt;&gt;"",AO13&gt;=AV$21,AN13&gt;=AV$18),AND(AU13&lt;&gt;"",AU13&gt;=AV$21,AT13&gt;=AV$18),AND(BS13&lt;&gt;"",BS13&gt;=BZ$21,BR13&gt;=BZ$18),AND(BY13&lt;&gt;"",BY13&gt;=BZ$21,BX13&gt;=BZ$18),AND(DB13&lt;&gt;"",DB13&gt;=DK$21,DA13&gt;=DK$18),AND(DJ13&lt;&gt;"",DJ13&gt;=DK$21,DI13&gt;=DK$18),AND(EK13&lt;&gt;"",EK13&gt;=ET$21,EJ13&gt;=ET$18),AND(ES13&lt;&gt;"",ES13&gt;=ET$21,ER13&gt;=ET$18)),"P","")</f>
        <v/>
      </c>
      <c r="J13" s="7">
        <f t="shared" si="1"/>
        <v>47.900000000000006</v>
      </c>
      <c r="K13" s="7" t="str">
        <f t="shared" si="2"/>
        <v>2026 Elite Canada</v>
      </c>
      <c r="L13" s="7">
        <f>IF(J13=AO13,IF(COUNT(AQ13,AS13,BO13,BQ13,BU13,BW13)&gt;1,LARGE((AQ13,AS13,BO13,BQ13,BU13,BW13),1),0),IF(COUNT(AK13,AM13,AQ13,AS13,BU13,BW13)&gt;1,LARGE((AK13,AM13,AQ13,AS13,BU13,BW13),1),0))</f>
        <v>0</v>
      </c>
      <c r="M13" s="7" t="str">
        <f t="shared" si="3"/>
        <v/>
      </c>
      <c r="N13" s="7">
        <f>IF(J13=AO13,IF(COUNT(AQ13,AS13,BO13,BQ13,BU13,BW13)&gt;1,LARGE((AQ13,AS13,BO13,BQ13,BU13,BW13),2),0),IF(COUNT(AK13,AM13,AQ13,AS13,BU13,BW13)&gt;1,LARGE((AK13,AM13,AQ13,AS13,BU13,BW13),2),0))</f>
        <v>0</v>
      </c>
      <c r="O13" s="7" t="str">
        <f t="shared" si="4"/>
        <v/>
      </c>
      <c r="P13" s="7">
        <f t="shared" si="5"/>
        <v>24.8</v>
      </c>
      <c r="Q13" s="10" t="str">
        <f t="shared" si="6"/>
        <v>(Pass)</v>
      </c>
      <c r="R13" s="7" t="str">
        <f t="shared" si="7"/>
        <v>2025 WAGC (Nov 16)</v>
      </c>
      <c r="S13" s="38">
        <v>18.2</v>
      </c>
      <c r="T13" s="38">
        <v>6.4</v>
      </c>
      <c r="U13" s="38">
        <v>0.8</v>
      </c>
      <c r="V13" s="38">
        <v>0</v>
      </c>
      <c r="W13" s="38">
        <v>18.100000000000001</v>
      </c>
      <c r="X13" s="38">
        <v>6.8</v>
      </c>
      <c r="Y13" s="38">
        <v>0.8</v>
      </c>
      <c r="Z13" s="38">
        <v>0</v>
      </c>
      <c r="AA13" s="38">
        <v>0</v>
      </c>
      <c r="AB13" s="38">
        <v>0</v>
      </c>
      <c r="AC13" s="38">
        <v>0</v>
      </c>
      <c r="AD13" s="38">
        <v>0</v>
      </c>
      <c r="AE13" s="38">
        <v>0</v>
      </c>
      <c r="AF13" s="38">
        <v>0</v>
      </c>
      <c r="AG13" s="38">
        <v>0</v>
      </c>
      <c r="AH13" s="38">
        <v>0</v>
      </c>
      <c r="AI13" s="19"/>
      <c r="AJ13" s="41">
        <f t="shared" si="8"/>
        <v>6.4</v>
      </c>
      <c r="AK13" s="41">
        <f t="shared" si="9"/>
        <v>23.8</v>
      </c>
      <c r="AL13" s="41">
        <f t="shared" si="10"/>
        <v>6.8</v>
      </c>
      <c r="AM13" s="41">
        <f t="shared" si="11"/>
        <v>24.1</v>
      </c>
      <c r="AN13" s="27">
        <f t="shared" si="12"/>
        <v>13.2</v>
      </c>
      <c r="AO13" s="27">
        <f t="shared" si="13"/>
        <v>47.900000000000006</v>
      </c>
      <c r="AP13" s="27">
        <f t="shared" si="14"/>
        <v>0</v>
      </c>
      <c r="AQ13" s="27">
        <f t="shared" si="15"/>
        <v>0</v>
      </c>
      <c r="AR13" s="27">
        <f t="shared" si="16"/>
        <v>0</v>
      </c>
      <c r="AS13" s="27">
        <f t="shared" si="17"/>
        <v>0</v>
      </c>
      <c r="AT13" s="27" t="str">
        <f t="shared" si="18"/>
        <v/>
      </c>
      <c r="AU13" s="27" t="str">
        <f t="shared" si="19"/>
        <v/>
      </c>
      <c r="AV13" s="27">
        <f t="shared" si="20"/>
        <v>47.900000000000006</v>
      </c>
      <c r="AW13" s="15"/>
      <c r="AX13" s="15"/>
      <c r="AY13" s="15"/>
      <c r="AZ13" s="15"/>
      <c r="BA13" s="15"/>
      <c r="BB13" s="15"/>
      <c r="BC13" s="15"/>
      <c r="BD13" s="15"/>
      <c r="BE13" s="15"/>
      <c r="BF13" s="15"/>
      <c r="BG13" s="15"/>
      <c r="BH13" s="15"/>
      <c r="BI13" s="15"/>
      <c r="BJ13" s="15"/>
      <c r="BK13" s="15"/>
      <c r="BL13" s="15"/>
      <c r="BM13" s="20"/>
      <c r="BN13" s="42" t="str">
        <f t="shared" si="21"/>
        <v/>
      </c>
      <c r="BO13" s="42" t="str">
        <f t="shared" si="22"/>
        <v/>
      </c>
      <c r="BP13" s="42" t="str">
        <f t="shared" si="23"/>
        <v/>
      </c>
      <c r="BQ13" s="42" t="str">
        <f t="shared" si="24"/>
        <v/>
      </c>
      <c r="BR13" s="10" t="str">
        <f t="shared" si="25"/>
        <v/>
      </c>
      <c r="BS13" s="10" t="str">
        <f t="shared" si="26"/>
        <v/>
      </c>
      <c r="BT13" s="10" t="str">
        <f t="shared" si="27"/>
        <v/>
      </c>
      <c r="BU13" s="10" t="str">
        <f t="shared" si="28"/>
        <v/>
      </c>
      <c r="BV13" s="10" t="str">
        <f t="shared" si="29"/>
        <v/>
      </c>
      <c r="BW13" s="10" t="str">
        <f t="shared" si="30"/>
        <v/>
      </c>
      <c r="BX13" s="10" t="str">
        <f t="shared" si="31"/>
        <v/>
      </c>
      <c r="BY13" s="10" t="str">
        <f t="shared" si="32"/>
        <v/>
      </c>
      <c r="BZ13" s="10" t="str">
        <f t="shared" si="33"/>
        <v/>
      </c>
      <c r="CA13" s="34">
        <f t="shared" si="34"/>
        <v>1.0999999999999943</v>
      </c>
      <c r="CB13" s="34">
        <f t="shared" si="35"/>
        <v>24.8</v>
      </c>
      <c r="CC13" s="14">
        <v>18.600000000000001</v>
      </c>
      <c r="CD13" s="14">
        <v>5.6</v>
      </c>
      <c r="CE13" s="14">
        <v>0</v>
      </c>
      <c r="CF13" s="14">
        <v>0</v>
      </c>
      <c r="CG13" s="14">
        <v>18.8</v>
      </c>
      <c r="CH13" s="14">
        <v>6</v>
      </c>
      <c r="CI13" s="14">
        <v>0</v>
      </c>
      <c r="CJ13" s="14">
        <v>0</v>
      </c>
      <c r="CK13" s="14"/>
      <c r="CL13" s="14"/>
      <c r="CM13" s="14"/>
      <c r="CN13" s="14"/>
      <c r="CO13" s="14"/>
      <c r="CP13" s="14"/>
      <c r="CQ13" s="14"/>
      <c r="CR13" s="14"/>
      <c r="CS13" s="14"/>
      <c r="CT13" s="14"/>
      <c r="CU13" s="14"/>
      <c r="CV13" s="14"/>
      <c r="CW13" s="27">
        <f t="shared" si="36"/>
        <v>5.6</v>
      </c>
      <c r="CX13" s="27">
        <f t="shared" si="37"/>
        <v>24.200000000000003</v>
      </c>
      <c r="CY13" s="27">
        <f t="shared" si="38"/>
        <v>6</v>
      </c>
      <c r="CZ13" s="27">
        <f t="shared" si="39"/>
        <v>24.8</v>
      </c>
      <c r="DA13" s="27">
        <f t="shared" si="40"/>
        <v>11.6</v>
      </c>
      <c r="DB13" s="27">
        <f t="shared" si="41"/>
        <v>49</v>
      </c>
      <c r="DC13" s="27" t="str">
        <f t="shared" si="42"/>
        <v/>
      </c>
      <c r="DD13" s="27" t="str">
        <f t="shared" si="43"/>
        <v/>
      </c>
      <c r="DE13" s="27" t="str">
        <f t="shared" si="44"/>
        <v/>
      </c>
      <c r="DF13" s="27" t="str">
        <f t="shared" si="45"/>
        <v/>
      </c>
      <c r="DG13" s="27" t="str">
        <f t="shared" si="46"/>
        <v/>
      </c>
      <c r="DH13" s="27" t="str">
        <f t="shared" si="47"/>
        <v/>
      </c>
      <c r="DI13" s="27" t="str">
        <f t="shared" si="48"/>
        <v/>
      </c>
      <c r="DJ13" s="27" t="str">
        <f t="shared" si="49"/>
        <v/>
      </c>
      <c r="DK13" s="27">
        <f t="shared" si="50"/>
        <v>49</v>
      </c>
      <c r="DL13" s="15"/>
      <c r="DM13" s="15"/>
      <c r="DN13" s="15"/>
      <c r="DO13" s="15"/>
      <c r="DP13" s="15"/>
      <c r="DQ13" s="15"/>
      <c r="DR13" s="15"/>
      <c r="DS13" s="15"/>
      <c r="DT13" s="15"/>
      <c r="DU13" s="15"/>
      <c r="DV13" s="15"/>
      <c r="DW13" s="15"/>
      <c r="DX13" s="15"/>
      <c r="DY13" s="15"/>
      <c r="DZ13" s="15"/>
      <c r="EA13" s="15"/>
      <c r="EB13" s="15"/>
      <c r="EC13" s="15"/>
      <c r="ED13" s="15"/>
      <c r="EE13" s="15"/>
      <c r="EF13" s="10" t="str">
        <f t="shared" si="51"/>
        <v/>
      </c>
      <c r="EG13" s="10" t="str">
        <f t="shared" si="52"/>
        <v/>
      </c>
      <c r="EH13" s="10" t="str">
        <f t="shared" si="53"/>
        <v/>
      </c>
      <c r="EI13" s="10" t="str">
        <f t="shared" si="54"/>
        <v/>
      </c>
      <c r="EJ13" s="10" t="str">
        <f t="shared" si="55"/>
        <v/>
      </c>
      <c r="EK13" s="10" t="str">
        <f t="shared" si="56"/>
        <v/>
      </c>
      <c r="EL13" s="10" t="str">
        <f t="shared" si="57"/>
        <v/>
      </c>
      <c r="EM13" s="10" t="str">
        <f t="shared" si="58"/>
        <v/>
      </c>
      <c r="EN13" s="10" t="str">
        <f t="shared" si="59"/>
        <v/>
      </c>
      <c r="EO13" s="10" t="str">
        <f t="shared" si="60"/>
        <v/>
      </c>
      <c r="EP13" s="10" t="str">
        <f t="shared" si="61"/>
        <v/>
      </c>
      <c r="EQ13" s="10" t="str">
        <f t="shared" si="62"/>
        <v/>
      </c>
      <c r="ER13" s="10" t="str">
        <f t="shared" si="63"/>
        <v/>
      </c>
      <c r="ES13" s="10" t="str">
        <f t="shared" si="64"/>
        <v/>
      </c>
      <c r="ET13" s="10" t="str">
        <f t="shared" si="65"/>
        <v/>
      </c>
    </row>
    <row r="14" spans="1:150" x14ac:dyDescent="0.2">
      <c r="A14" s="3" t="str" cm="1">
        <f t="array" ref="A14">IF(AND(H14&lt;&gt;"",H14&lt;&gt;"No DD"),SUMPRODUCT((H$4:H$15&lt;&gt;"")*(H$4:H$15&lt;&gt;"No DD")*(E$4:E$15&gt;E14))+1,IF(H14="No DD",SUMPRODUCT((H$4:H$15="No DD")*(E$4:E$15&gt;E14))+1+SUMPRODUCT((H$4:H$15&lt;&gt;"")*(H$4:H$15&lt;&gt;"No DD")),""))</f>
        <v/>
      </c>
      <c r="B14" s="4" t="s">
        <v>163</v>
      </c>
      <c r="C14" s="3" t="s">
        <v>6</v>
      </c>
      <c r="D14" s="3">
        <v>2010</v>
      </c>
      <c r="E14" s="8">
        <f t="shared" si="0"/>
        <v>49.600004960004959</v>
      </c>
      <c r="F14" s="2" t="str">
        <f>IF(OR(AND(AO14&lt;&gt;"",AO14&gt;=AV$20,AN14&gt;=AV$17),AND(AU14&lt;&gt;"",AU14&gt;=AV$20,AT14&gt;=AV$17),AND(BS14&lt;&gt;"",BS14&gt;=BZ$20,BR14&gt;=BZ$17),AND(BY14&lt;&gt;"",BY14&gt;=BZ$20,BX14&gt;=BZ$17),AND(DB14&lt;&gt;"",DB14&gt;=DK$20,DA14&gt;=DK$17),AND(DJ14&lt;&gt;"",DJ14&gt;=DK$20,DI14&gt;=DK$17),AND(EK14&lt;&gt;"",EK14&gt;=ET$20,EJ14&gt;=ET$17),AND(ES14&lt;&gt;"",ES14&gt;=ET$20,ER14&gt;=ET$17)),"P","")</f>
        <v/>
      </c>
      <c r="G14" s="2" t="str">
        <f>IF(OR(AND(AO14&lt;&gt;"",AO14&gt;=AV$20),AND(AU14&lt;&gt;"",AU14&gt;=AV$20),AND(BS14&lt;&gt;"",BS14&gt;=BZ$20),AND(BY14&lt;&gt;"",BY14&gt;=BZ$20),AND(DB14&lt;&gt;"",DB14&gt;=DK$20),AND(DJ14&lt;&gt;"",DJ14&gt;=DK$20),AND(EK14&lt;&gt;"",EK14&gt;=ET$20),AND(ES14&lt;&gt;"",ES14&gt;=ET$20)),"P","")</f>
        <v/>
      </c>
      <c r="H14" s="26" t="str">
        <f>IF(AND(G14="P",F14=""),"No DD",IF(OR(AND(AK14&lt;&gt;"",AK14&gt;=AV$22,AJ14&gt;=AV$19),AND(AM14&lt;&gt;"",AM14&gt;=AV$22,AL14&gt;=AV$19),AND(AQ14&lt;&gt;"",AQ14&gt;=AV$22,AP14&gt;=AV$19),AND(AS14&lt;&gt;"",AS14&gt;=AV$22,AR14&gt;=AV$19),AND(BO14&lt;&gt;"",BO14&gt;=BZ$22,BN14&gt;=BZ$19),AND(BQ14&lt;&gt;"",BQ14&gt;=BZ$22,BP14&gt;=BZ$19),AND(BV14&lt;&gt;"",BV14&gt;=BZ$22,BU14&gt;=BZ$19),AND(BX14&lt;&gt;"",BX14&gt;=BZ$22,BW14&gt;=BZ$19),AND(CX14&lt;&gt;"",CX14&gt;=DK$22,CW14&gt;=DK$19),AND(CZ14&lt;&gt;"",CZ14&gt;=DK$22,CY14&gt;=DK$19),AND(DD14&lt;&gt;"",DD14&gt;=DK$22,DC14&gt;=DK$19),AND(DF14&lt;&gt;"",DF14&gt;=DK$22,DE14&gt;=DK$19),AND(DH14&lt;&gt;"",DH14&gt;=DK$22,DG14&gt;=DK$19),AND(EG14&lt;&gt;"",EG14&gt;=ET$22,EF14&gt;=ET$19),AND(EI14&lt;&gt;"",EI14&gt;=ET$22,EH14&gt;=ET$19),AND(EM14&lt;&gt;"",EM14&gt;=ET$22,EL14&gt;=ET$19),AND(EO14&lt;&gt;"",EO14&gt;=ET$22,EN14&gt;=ET$19),AND(EQ14&lt;&gt;"",EQ14&gt;=ET$22,EP14&gt;=ET$19)),"Performance",IF(I14="P","Worlds Team",IF(F14="P","National Team",""))))</f>
        <v/>
      </c>
      <c r="I14" s="2" t="str">
        <f>IF(OR(AND(AO14&lt;&gt;"",AO14&gt;=AV$21,AN14&gt;=AV$18),AND(AU14&lt;&gt;"",AU14&gt;=AV$21,AT14&gt;=AV$18),AND(BS14&lt;&gt;"",BS14&gt;=BZ$21,BR14&gt;=BZ$18),AND(BY14&lt;&gt;"",BY14&gt;=BZ$21,BX14&gt;=BZ$18),AND(DB14&lt;&gt;"",DB14&gt;=DK$21,DA14&gt;=DK$18),AND(DJ14&lt;&gt;"",DJ14&gt;=DK$21,DI14&gt;=DK$18),AND(EK14&lt;&gt;"",EK14&gt;=ET$21,EJ14&gt;=ET$18),AND(ES14&lt;&gt;"",ES14&gt;=ET$21,ER14&gt;=ET$18)),"P","")</f>
        <v/>
      </c>
      <c r="J14" s="7">
        <f t="shared" si="1"/>
        <v>49.6</v>
      </c>
      <c r="K14" s="7" t="str">
        <f t="shared" si="2"/>
        <v>2026 Elite Canada</v>
      </c>
      <c r="L14" s="7">
        <f>IF(J14=AO14,IF(COUNT(AQ14,AS14,BO14,BQ14,BU14,BW14)&gt;1,LARGE((AQ14,AS14,BO14,BQ14,BU14,BW14),1),0),IF(COUNT(AK14,AM14,AQ14,AS14,BU14,BW14)&gt;1,LARGE((AK14,AM14,AQ14,AS14,BU14,BW14),1),0))</f>
        <v>0</v>
      </c>
      <c r="M14" s="7" t="str">
        <f t="shared" si="3"/>
        <v/>
      </c>
      <c r="N14" s="7">
        <f>IF(J14=AO14,IF(COUNT(AQ14,AS14,BO14,BQ14,BU14,BW14)&gt;1,LARGE((AQ14,AS14,BO14,BQ14,BU14,BW14),2),0),IF(COUNT(AK14,AM14,AQ14,AS14,BU14,BW14)&gt;1,LARGE((AK14,AM14,AQ14,AS14,BU14,BW14),2),0))</f>
        <v>0</v>
      </c>
      <c r="O14" s="7" t="str">
        <f t="shared" si="4"/>
        <v/>
      </c>
      <c r="P14" s="7" t="str">
        <f t="shared" si="5"/>
        <v/>
      </c>
      <c r="Q14" s="10" t="str">
        <f t="shared" si="6"/>
        <v/>
      </c>
      <c r="R14" s="7" t="str">
        <f t="shared" si="7"/>
        <v/>
      </c>
      <c r="S14" s="38">
        <v>18.399999999999999</v>
      </c>
      <c r="T14" s="38">
        <v>6.8</v>
      </c>
      <c r="U14" s="38">
        <v>0.2</v>
      </c>
      <c r="V14" s="38">
        <v>0</v>
      </c>
      <c r="W14" s="38">
        <v>18.8</v>
      </c>
      <c r="X14" s="38">
        <v>6.4</v>
      </c>
      <c r="Y14" s="38">
        <v>0.6</v>
      </c>
      <c r="Z14" s="38">
        <v>0</v>
      </c>
      <c r="AA14" s="38" t="s">
        <v>175</v>
      </c>
      <c r="AB14" s="38" t="s">
        <v>175</v>
      </c>
      <c r="AC14" s="38" t="s">
        <v>175</v>
      </c>
      <c r="AD14" s="38" t="s">
        <v>175</v>
      </c>
      <c r="AE14" s="38" t="s">
        <v>175</v>
      </c>
      <c r="AF14" s="38" t="s">
        <v>175</v>
      </c>
      <c r="AG14" s="38" t="s">
        <v>175</v>
      </c>
      <c r="AH14" s="38" t="s">
        <v>175</v>
      </c>
      <c r="AI14" s="19"/>
      <c r="AJ14" s="41">
        <f t="shared" si="8"/>
        <v>6.8</v>
      </c>
      <c r="AK14" s="41">
        <f t="shared" si="9"/>
        <v>25</v>
      </c>
      <c r="AL14" s="41">
        <f t="shared" si="10"/>
        <v>6.4</v>
      </c>
      <c r="AM14" s="41">
        <f t="shared" si="11"/>
        <v>24.6</v>
      </c>
      <c r="AN14" s="27">
        <f t="shared" si="12"/>
        <v>13.2</v>
      </c>
      <c r="AO14" s="27">
        <f t="shared" si="13"/>
        <v>49.6</v>
      </c>
      <c r="AP14" s="27" t="str">
        <f t="shared" si="14"/>
        <v/>
      </c>
      <c r="AQ14" s="27" t="str">
        <f t="shared" si="15"/>
        <v/>
      </c>
      <c r="AR14" s="27" t="str">
        <f t="shared" si="16"/>
        <v/>
      </c>
      <c r="AS14" s="27" t="str">
        <f t="shared" si="17"/>
        <v/>
      </c>
      <c r="AT14" s="27" t="str">
        <f t="shared" si="18"/>
        <v/>
      </c>
      <c r="AU14" s="27" t="str">
        <f t="shared" si="19"/>
        <v/>
      </c>
      <c r="AV14" s="27">
        <f t="shared" si="20"/>
        <v>49.6</v>
      </c>
      <c r="AW14" s="15"/>
      <c r="AX14" s="15"/>
      <c r="AY14" s="15"/>
      <c r="AZ14" s="15"/>
      <c r="BA14" s="15"/>
      <c r="BB14" s="15"/>
      <c r="BC14" s="15"/>
      <c r="BD14" s="15"/>
      <c r="BE14" s="15"/>
      <c r="BF14" s="15"/>
      <c r="BG14" s="15"/>
      <c r="BH14" s="15"/>
      <c r="BI14" s="15"/>
      <c r="BJ14" s="15"/>
      <c r="BK14" s="15"/>
      <c r="BL14" s="15"/>
      <c r="BM14" s="20"/>
      <c r="BN14" s="42" t="str">
        <f t="shared" si="21"/>
        <v/>
      </c>
      <c r="BO14" s="42" t="str">
        <f t="shared" si="22"/>
        <v/>
      </c>
      <c r="BP14" s="42" t="str">
        <f t="shared" si="23"/>
        <v/>
      </c>
      <c r="BQ14" s="42" t="str">
        <f t="shared" si="24"/>
        <v/>
      </c>
      <c r="BR14" s="10" t="str">
        <f t="shared" si="25"/>
        <v/>
      </c>
      <c r="BS14" s="10" t="str">
        <f t="shared" si="26"/>
        <v/>
      </c>
      <c r="BT14" s="10" t="str">
        <f t="shared" si="27"/>
        <v/>
      </c>
      <c r="BU14" s="10" t="str">
        <f t="shared" si="28"/>
        <v/>
      </c>
      <c r="BV14" s="10" t="str">
        <f t="shared" si="29"/>
        <v/>
      </c>
      <c r="BW14" s="10" t="str">
        <f t="shared" si="30"/>
        <v/>
      </c>
      <c r="BX14" s="10" t="str">
        <f t="shared" si="31"/>
        <v/>
      </c>
      <c r="BY14" s="10" t="str">
        <f t="shared" si="32"/>
        <v/>
      </c>
      <c r="BZ14" s="10" t="str">
        <f t="shared" si="33"/>
        <v/>
      </c>
      <c r="CA14" s="34" t="str">
        <f t="shared" si="34"/>
        <v/>
      </c>
      <c r="CB14" s="34" t="str">
        <f t="shared" si="35"/>
        <v/>
      </c>
      <c r="CC14" s="14"/>
      <c r="CD14" s="14"/>
      <c r="CE14" s="14"/>
      <c r="CF14" s="14"/>
      <c r="CG14" s="14"/>
      <c r="CH14" s="14"/>
      <c r="CI14" s="14"/>
      <c r="CJ14" s="14"/>
      <c r="CK14" s="14"/>
      <c r="CL14" s="14"/>
      <c r="CM14" s="14"/>
      <c r="CN14" s="14"/>
      <c r="CO14" s="14"/>
      <c r="CP14" s="14"/>
      <c r="CQ14" s="14"/>
      <c r="CR14" s="14"/>
      <c r="CS14" s="14"/>
      <c r="CT14" s="14"/>
      <c r="CU14" s="14"/>
      <c r="CV14" s="14"/>
      <c r="CW14" s="27" t="str">
        <f t="shared" si="36"/>
        <v/>
      </c>
      <c r="CX14" s="27" t="str">
        <f t="shared" si="37"/>
        <v/>
      </c>
      <c r="CY14" s="27" t="str">
        <f t="shared" si="38"/>
        <v/>
      </c>
      <c r="CZ14" s="27" t="str">
        <f t="shared" si="39"/>
        <v/>
      </c>
      <c r="DA14" s="27" t="str">
        <f t="shared" si="40"/>
        <v/>
      </c>
      <c r="DB14" s="27" t="str">
        <f t="shared" si="41"/>
        <v/>
      </c>
      <c r="DC14" s="27" t="str">
        <f t="shared" si="42"/>
        <v/>
      </c>
      <c r="DD14" s="27" t="str">
        <f t="shared" si="43"/>
        <v/>
      </c>
      <c r="DE14" s="27" t="str">
        <f t="shared" si="44"/>
        <v/>
      </c>
      <c r="DF14" s="27" t="str">
        <f t="shared" si="45"/>
        <v/>
      </c>
      <c r="DG14" s="27" t="str">
        <f t="shared" si="46"/>
        <v/>
      </c>
      <c r="DH14" s="27" t="str">
        <f t="shared" si="47"/>
        <v/>
      </c>
      <c r="DI14" s="27" t="str">
        <f t="shared" si="48"/>
        <v/>
      </c>
      <c r="DJ14" s="27" t="str">
        <f t="shared" si="49"/>
        <v/>
      </c>
      <c r="DK14" s="27" t="str">
        <f t="shared" si="50"/>
        <v/>
      </c>
      <c r="DL14" s="15"/>
      <c r="DM14" s="15"/>
      <c r="DN14" s="15"/>
      <c r="DO14" s="15"/>
      <c r="DP14" s="15"/>
      <c r="DQ14" s="15"/>
      <c r="DR14" s="15"/>
      <c r="DS14" s="15"/>
      <c r="DT14" s="15"/>
      <c r="DU14" s="15"/>
      <c r="DV14" s="15"/>
      <c r="DW14" s="15"/>
      <c r="DX14" s="15"/>
      <c r="DY14" s="15"/>
      <c r="DZ14" s="15"/>
      <c r="EA14" s="15"/>
      <c r="EB14" s="15"/>
      <c r="EC14" s="15"/>
      <c r="ED14" s="15"/>
      <c r="EE14" s="15"/>
      <c r="EF14" s="10" t="str">
        <f t="shared" si="51"/>
        <v/>
      </c>
      <c r="EG14" s="10" t="str">
        <f t="shared" si="52"/>
        <v/>
      </c>
      <c r="EH14" s="10" t="str">
        <f t="shared" si="53"/>
        <v/>
      </c>
      <c r="EI14" s="10" t="str">
        <f t="shared" si="54"/>
        <v/>
      </c>
      <c r="EJ14" s="10" t="str">
        <f t="shared" si="55"/>
        <v/>
      </c>
      <c r="EK14" s="10" t="str">
        <f t="shared" si="56"/>
        <v/>
      </c>
      <c r="EL14" s="10" t="str">
        <f t="shared" si="57"/>
        <v/>
      </c>
      <c r="EM14" s="10" t="str">
        <f t="shared" si="58"/>
        <v/>
      </c>
      <c r="EN14" s="10" t="str">
        <f t="shared" si="59"/>
        <v/>
      </c>
      <c r="EO14" s="10" t="str">
        <f t="shared" si="60"/>
        <v/>
      </c>
      <c r="EP14" s="10" t="str">
        <f t="shared" si="61"/>
        <v/>
      </c>
      <c r="EQ14" s="10" t="str">
        <f t="shared" si="62"/>
        <v/>
      </c>
      <c r="ER14" s="10" t="str">
        <f t="shared" si="63"/>
        <v/>
      </c>
      <c r="ES14" s="10" t="str">
        <f t="shared" si="64"/>
        <v/>
      </c>
      <c r="ET14" s="10" t="str">
        <f t="shared" si="65"/>
        <v/>
      </c>
    </row>
    <row r="15" spans="1:150" ht="17" x14ac:dyDescent="0.2">
      <c r="P15" s="9"/>
      <c r="Q15" s="9"/>
      <c r="R15" s="9"/>
    </row>
    <row r="16" spans="1:150" ht="17" x14ac:dyDescent="0.2">
      <c r="P16" s="9"/>
      <c r="Q16" s="9"/>
      <c r="R16" s="9"/>
    </row>
    <row r="17" spans="1:150" ht="17" x14ac:dyDescent="0.2">
      <c r="B17" s="17" t="s">
        <v>27</v>
      </c>
      <c r="P17" s="9"/>
      <c r="Q17" s="9"/>
      <c r="R17" s="9"/>
      <c r="AV17" s="28">
        <v>13.2</v>
      </c>
      <c r="BZ17" s="28">
        <v>13.2</v>
      </c>
      <c r="CW17" s="3"/>
      <c r="CX17" s="3"/>
      <c r="CY17" s="3"/>
      <c r="CZ17" s="3"/>
      <c r="DA17" s="3"/>
      <c r="DK17" s="28">
        <v>13.2</v>
      </c>
      <c r="EF17" s="3"/>
      <c r="EG17" s="3"/>
      <c r="EH17" s="3"/>
      <c r="EI17" s="3"/>
      <c r="EJ17" s="3"/>
      <c r="EK17" s="3"/>
      <c r="EL17" s="3"/>
      <c r="ET17" s="28">
        <v>13.2</v>
      </c>
    </row>
    <row r="18" spans="1:150" ht="17" hidden="1" x14ac:dyDescent="0.2">
      <c r="B18" s="22" t="s">
        <v>26</v>
      </c>
      <c r="P18" s="9"/>
      <c r="Q18" s="9"/>
      <c r="R18" s="9"/>
      <c r="AV18" s="39">
        <v>1000</v>
      </c>
      <c r="BZ18" s="39">
        <v>1000</v>
      </c>
      <c r="CW18" s="3"/>
      <c r="CX18" s="3"/>
      <c r="CY18" s="3"/>
      <c r="CZ18" s="3"/>
      <c r="DA18" s="3"/>
      <c r="DK18" s="39">
        <v>1000</v>
      </c>
      <c r="EF18" s="3"/>
      <c r="EG18" s="3"/>
      <c r="EH18" s="3"/>
      <c r="EI18" s="3"/>
      <c r="EJ18" s="3"/>
      <c r="EK18" s="3"/>
      <c r="EL18" s="3"/>
      <c r="ET18" s="39">
        <v>1000</v>
      </c>
    </row>
    <row r="19" spans="1:150" ht="17" hidden="1" x14ac:dyDescent="0.2">
      <c r="A19" s="4"/>
      <c r="B19" s="23" t="s">
        <v>104</v>
      </c>
      <c r="C19" s="16"/>
      <c r="P19" s="9"/>
      <c r="Q19" s="9"/>
      <c r="R19" s="9"/>
      <c r="AV19" s="29">
        <v>1000</v>
      </c>
      <c r="BZ19" s="29">
        <v>1000</v>
      </c>
      <c r="CW19" s="3"/>
      <c r="CX19" s="3"/>
      <c r="CY19" s="3"/>
      <c r="CZ19" s="3"/>
      <c r="DA19" s="3"/>
      <c r="DK19" s="29">
        <v>1000</v>
      </c>
      <c r="EF19" s="3"/>
      <c r="EG19" s="3"/>
      <c r="EH19" s="3"/>
      <c r="EI19" s="3"/>
      <c r="EJ19" s="3"/>
      <c r="EK19" s="3"/>
      <c r="EL19" s="3"/>
      <c r="ET19" s="29">
        <v>1000</v>
      </c>
    </row>
    <row r="20" spans="1:150" ht="17" x14ac:dyDescent="0.2">
      <c r="A20" s="4"/>
      <c r="B20" s="25" t="s">
        <v>24</v>
      </c>
      <c r="C20" s="16"/>
      <c r="P20" s="9"/>
      <c r="Q20" s="9"/>
      <c r="R20" s="9"/>
      <c r="AV20" s="30">
        <v>50</v>
      </c>
      <c r="BZ20" s="30">
        <v>50</v>
      </c>
      <c r="CW20" s="3"/>
      <c r="CX20" s="3"/>
      <c r="CY20" s="3"/>
      <c r="CZ20" s="3"/>
      <c r="DA20" s="3"/>
      <c r="DK20" s="30">
        <v>50</v>
      </c>
      <c r="EF20" s="3"/>
      <c r="EG20" s="3"/>
      <c r="EH20" s="3"/>
      <c r="EI20" s="3"/>
      <c r="EJ20" s="3"/>
      <c r="EK20" s="3"/>
      <c r="EL20" s="3"/>
      <c r="ET20" s="30">
        <v>50</v>
      </c>
    </row>
    <row r="21" spans="1:150" ht="17" hidden="1" x14ac:dyDescent="0.2">
      <c r="A21" s="4"/>
      <c r="B21" s="18" t="s">
        <v>25</v>
      </c>
      <c r="C21" s="16"/>
      <c r="P21" s="9"/>
      <c r="Q21" s="9"/>
      <c r="R21" s="9"/>
      <c r="AV21" s="31">
        <v>1000</v>
      </c>
      <c r="BZ21" s="31">
        <v>1000</v>
      </c>
      <c r="CW21" s="3"/>
      <c r="CX21" s="3"/>
      <c r="CY21" s="3"/>
      <c r="CZ21" s="3"/>
      <c r="DA21" s="3"/>
      <c r="DK21" s="31">
        <v>1000</v>
      </c>
      <c r="EF21" s="3"/>
      <c r="EG21" s="3"/>
      <c r="EH21" s="3"/>
      <c r="EI21" s="3"/>
      <c r="EJ21" s="3"/>
      <c r="EK21" s="3"/>
      <c r="EL21" s="3"/>
      <c r="ET21" s="31">
        <v>1000</v>
      </c>
    </row>
    <row r="22" spans="1:150" ht="17" hidden="1" x14ac:dyDescent="0.2">
      <c r="A22" s="4"/>
      <c r="B22" s="24" t="s">
        <v>103</v>
      </c>
      <c r="C22" s="16"/>
      <c r="P22" s="9"/>
      <c r="Q22" s="9"/>
      <c r="R22" s="9"/>
      <c r="AV22" s="32">
        <v>1000</v>
      </c>
      <c r="BZ22" s="32">
        <v>1000</v>
      </c>
      <c r="CW22" s="3"/>
      <c r="CX22" s="3"/>
      <c r="CY22" s="3"/>
      <c r="CZ22" s="3"/>
      <c r="DA22" s="3"/>
      <c r="DK22" s="32">
        <v>1000</v>
      </c>
      <c r="EF22" s="3"/>
      <c r="EG22" s="3"/>
      <c r="EH22" s="3"/>
      <c r="EI22" s="3"/>
      <c r="EJ22" s="3"/>
      <c r="EK22" s="3"/>
      <c r="EL22" s="3"/>
      <c r="ET22" s="32">
        <v>1000</v>
      </c>
    </row>
    <row r="23" spans="1:150" x14ac:dyDescent="0.2">
      <c r="B23" s="21" t="s">
        <v>29</v>
      </c>
      <c r="C23" s="1"/>
    </row>
    <row r="24" spans="1:150" x14ac:dyDescent="0.2">
      <c r="A24" s="4"/>
      <c r="B24" s="4"/>
      <c r="C24" s="16"/>
    </row>
    <row r="25" spans="1:150" x14ac:dyDescent="0.2">
      <c r="A25" s="4"/>
      <c r="B25" s="4"/>
      <c r="C25" s="16"/>
    </row>
    <row r="26" spans="1:150" x14ac:dyDescent="0.2">
      <c r="A26" s="4"/>
      <c r="B26" s="4"/>
      <c r="C26" s="16"/>
    </row>
    <row r="27" spans="1:150" x14ac:dyDescent="0.2">
      <c r="A27" s="4"/>
      <c r="B27" s="4"/>
      <c r="C27" s="4"/>
    </row>
    <row r="30" spans="1:150" x14ac:dyDescent="0.2">
      <c r="B30" s="40"/>
    </row>
  </sheetData>
  <sheetProtection sheet="1" formatCells="0" formatColumns="0" formatRows="0"/>
  <autoFilter ref="A1:ET1" xr:uid="{562C6DCA-CC42-3044-B5F7-4065DAFFC028}"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hiddenButton="1" showButton="0"/>
    <filterColumn colId="36" hiddenButton="1" showButton="0"/>
    <filterColumn colId="37" hiddenButton="1" showButton="0"/>
    <filterColumn colId="38" hiddenButton="1" showButton="0"/>
    <filterColumn colId="39" showButton="0"/>
    <filterColumn colId="40" showButton="0"/>
    <filterColumn colId="41" hiddenButton="1" showButton="0"/>
    <filterColumn colId="42" hiddenButton="1" showButton="0"/>
    <filterColumn colId="43" hiddenButton="1" showButton="0"/>
    <filterColumn colId="44" hiddenButton="1" showButton="0"/>
    <filterColumn colId="45" showButton="0"/>
    <filterColumn colId="46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hiddenButton="1" showButton="0"/>
    <filterColumn colId="66" hiddenButton="1" showButton="0"/>
    <filterColumn colId="67" hiddenButton="1" showButton="0"/>
    <filterColumn colId="68" hiddenButton="1" showButton="0"/>
    <filterColumn colId="69" showButton="0"/>
    <filterColumn colId="70" showButton="0"/>
    <filterColumn colId="71" hiddenButton="1" showButton="0"/>
    <filterColumn colId="72" hiddenButton="1" showButton="0"/>
    <filterColumn colId="73" hiddenButton="1" showButton="0"/>
    <filterColumn colId="74" hiddenButton="1" showButton="0"/>
    <filterColumn colId="75" showButton="0"/>
    <filterColumn colId="76" showButton="0"/>
    <filterColumn colId="78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hiddenButton="1" showButton="0"/>
    <filterColumn colId="102" hiddenButton="1" showButton="0"/>
    <filterColumn colId="103" hiddenButton="1" showButton="0"/>
    <filterColumn colId="104" hiddenButton="1" showButton="0"/>
    <filterColumn colId="105" showButton="0"/>
    <filterColumn colId="106" showButton="0"/>
    <filterColumn colId="107" showButton="0"/>
    <filterColumn colId="108" hiddenButton="1" showButton="0"/>
    <filterColumn colId="109" hiddenButton="1" showButton="0"/>
    <filterColumn colId="110" showButton="0"/>
    <filterColumn colId="111" showButton="0"/>
    <filterColumn colId="112" hiddenButton="1" showButton="0"/>
    <filterColumn colId="113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hiddenButton="1" showButton="0"/>
    <filterColumn colId="137" hiddenButton="1" showButton="0"/>
    <filterColumn colId="138" hiddenButton="1" showButton="0"/>
    <filterColumn colId="139" hiddenButton="1" showButton="0"/>
    <filterColumn colId="140" hiddenButton="1" showButton="0"/>
    <filterColumn colId="141" hiddenButton="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hiddenButton="1" showButton="0"/>
    <filterColumn colId="148" showButton="0"/>
    <sortState xmlns:xlrd2="http://schemas.microsoft.com/office/spreadsheetml/2017/richdata2" ref="A6:ET15">
      <sortCondition descending="1" ref="F1:F16"/>
    </sortState>
  </autoFilter>
  <mergeCells count="41">
    <mergeCell ref="L1:L3"/>
    <mergeCell ref="A1:A3"/>
    <mergeCell ref="B1:B3"/>
    <mergeCell ref="C1:C3"/>
    <mergeCell ref="D1:D3"/>
    <mergeCell ref="E1:E3"/>
    <mergeCell ref="F1:F3"/>
    <mergeCell ref="G1:G3"/>
    <mergeCell ref="H1:H3"/>
    <mergeCell ref="I1:I3"/>
    <mergeCell ref="J1:J3"/>
    <mergeCell ref="K1:K3"/>
    <mergeCell ref="DL1:ET1"/>
    <mergeCell ref="CO2:CR2"/>
    <mergeCell ref="S2:V2"/>
    <mergeCell ref="W2:Z2"/>
    <mergeCell ref="AA2:AD2"/>
    <mergeCell ref="R1:R3"/>
    <mergeCell ref="S1:AV1"/>
    <mergeCell ref="AW1:BZ1"/>
    <mergeCell ref="CA1:CB1"/>
    <mergeCell ref="CC1:DK1"/>
    <mergeCell ref="M1:M3"/>
    <mergeCell ref="N1:N3"/>
    <mergeCell ref="O1:O3"/>
    <mergeCell ref="P1:P3"/>
    <mergeCell ref="Q1:Q3"/>
    <mergeCell ref="EB2:EE2"/>
    <mergeCell ref="CC2:CF2"/>
    <mergeCell ref="CG2:CJ2"/>
    <mergeCell ref="CK2:CN2"/>
    <mergeCell ref="AE2:AH2"/>
    <mergeCell ref="AW2:AZ2"/>
    <mergeCell ref="BA2:BD2"/>
    <mergeCell ref="BE2:BH2"/>
    <mergeCell ref="BI2:BL2"/>
    <mergeCell ref="CS2:CV2"/>
    <mergeCell ref="DL2:DO2"/>
    <mergeCell ref="DP2:DS2"/>
    <mergeCell ref="DT2:DW2"/>
    <mergeCell ref="DX2:EA2"/>
  </mergeCells>
  <conditionalFormatting sqref="A4:A1048576">
    <cfRule type="expression" dxfId="85" priority="44">
      <formula>IF(A4&gt;4,1,0)</formula>
    </cfRule>
    <cfRule type="expression" dxfId="84" priority="45" stopIfTrue="1">
      <formula>AND(G4="P",F4="")</formula>
    </cfRule>
  </conditionalFormatting>
  <conditionalFormatting sqref="H1:H1048576">
    <cfRule type="containsText" dxfId="83" priority="40" stopIfTrue="1" operator="containsText" text="National Team">
      <formula>NOT(ISERROR(SEARCH("National Team",H1)))</formula>
    </cfRule>
    <cfRule type="containsText" dxfId="82" priority="41" stopIfTrue="1" operator="containsText" text="Worlds Team">
      <formula>NOT(ISERROR(SEARCH("Worlds Team",H1)))</formula>
    </cfRule>
    <cfRule type="containsText" dxfId="81" priority="42" operator="containsText" text="Performance">
      <formula>NOT(ISERROR(SEARCH("Performance",H1)))</formula>
    </cfRule>
    <cfRule type="containsText" dxfId="80" priority="43" stopIfTrue="1" operator="containsText" text="No DD">
      <formula>NOT(ISERROR(SEARCH("No DD",H1)))</formula>
    </cfRule>
  </conditionalFormatting>
  <conditionalFormatting sqref="S4:AV14">
    <cfRule type="expression" dxfId="79" priority="39" stopIfTrue="1">
      <formula>IF($AI4&lt;&gt;"",1,0)</formula>
    </cfRule>
  </conditionalFormatting>
  <conditionalFormatting sqref="AW4:BZ14">
    <cfRule type="expression" dxfId="78" priority="38" stopIfTrue="1">
      <formula>IF($BM4&lt;&gt;"",1,0)</formula>
    </cfRule>
  </conditionalFormatting>
  <conditionalFormatting sqref="M1:M1048576 O1:O1048576 K1:K1048576">
    <cfRule type="expression" dxfId="77" priority="36" stopIfTrue="1">
      <formula>IF(K1=$AW$1,1,0)</formula>
    </cfRule>
    <cfRule type="expression" dxfId="76" priority="37" stopIfTrue="1">
      <formula>IF(K1=$S$1,1,0)</formula>
    </cfRule>
  </conditionalFormatting>
  <conditionalFormatting sqref="AJ1:AJ1048576 BN1:BN1048576 CY1:CY1048576 EH1:EH1048576">
    <cfRule type="cellIs" dxfId="75" priority="187751" stopIfTrue="1" operator="between">
      <formula>AV$19-0.00001</formula>
      <formula>1000</formula>
    </cfRule>
  </conditionalFormatting>
  <conditionalFormatting sqref="AN1:AN1048576 BR1:BR1048576">
    <cfRule type="cellIs" dxfId="74" priority="187763" operator="between">
      <formula>AV$17-0.00001</formula>
      <formula>AV$18-0.00001</formula>
    </cfRule>
    <cfRule type="cellIs" dxfId="73" priority="187764" operator="between">
      <formula>AV$18-0.00001</formula>
      <formula>1000</formula>
    </cfRule>
  </conditionalFormatting>
  <conditionalFormatting sqref="AT1:AT1048576 BX1:BX1048576">
    <cfRule type="cellIs" dxfId="72" priority="187775" operator="between">
      <formula>AV$18-0.00001</formula>
      <formula>1000</formula>
    </cfRule>
    <cfRule type="cellIs" dxfId="71" priority="187776" stopIfTrue="1" operator="between">
      <formula>AV$17-0.00001</formula>
      <formula>AV$18-0.00001</formula>
    </cfRule>
  </conditionalFormatting>
  <conditionalFormatting sqref="AL1:AL1048576 BP1:BP1048576">
    <cfRule type="cellIs" dxfId="70" priority="187787" operator="between">
      <formula>AV$19-0.00001</formula>
      <formula>1000</formula>
    </cfRule>
  </conditionalFormatting>
  <conditionalFormatting sqref="AP1:AP1048576 BT1:BT1048576 DE1:DE1048576 EN1:EN1048576">
    <cfRule type="cellIs" dxfId="69" priority="187793" operator="between">
      <formula>AV$19-0.00001</formula>
      <formula>1000</formula>
    </cfRule>
  </conditionalFormatting>
  <conditionalFormatting sqref="AR1:AR1048576 BV1:BV1048576">
    <cfRule type="cellIs" dxfId="68" priority="187805" operator="between">
      <formula>AV$19-0.00001</formula>
      <formula>1000</formula>
    </cfRule>
  </conditionalFormatting>
  <conditionalFormatting sqref="AK1:AK1048576 BO1:BO1048576">
    <cfRule type="cellIs" dxfId="67" priority="187811" operator="between">
      <formula>AV$22-0.00001</formula>
      <formula>1000</formula>
    </cfRule>
  </conditionalFormatting>
  <conditionalFormatting sqref="AO1:AO1048576 BS1:BS1048576">
    <cfRule type="cellIs" dxfId="66" priority="187817" operator="between">
      <formula>AV$20-0.00001</formula>
      <formula>AV$21-0.00001</formula>
    </cfRule>
    <cfRule type="cellIs" dxfId="65" priority="187818" operator="between">
      <formula>AV$21-0.00001</formula>
      <formula>1000</formula>
    </cfRule>
  </conditionalFormatting>
  <conditionalFormatting sqref="AU1:AU1048576 BY1:BY1048576">
    <cfRule type="cellIs" dxfId="64" priority="187829" stopIfTrue="1" operator="between">
      <formula>AV$21-0.00001</formula>
      <formula>1000</formula>
    </cfRule>
    <cfRule type="cellIs" dxfId="63" priority="187830" operator="between">
      <formula>AV$20-0.00001</formula>
      <formula>AV$21-0.00001</formula>
    </cfRule>
  </conditionalFormatting>
  <conditionalFormatting sqref="AM1:AM1048576 BQ1:BQ1048576">
    <cfRule type="cellIs" dxfId="62" priority="187841" stopIfTrue="1" operator="between">
      <formula>AV$22-0.00001</formula>
      <formula>1000</formula>
    </cfRule>
    <cfRule type="cellIs" dxfId="61" priority="187842" operator="between">
      <formula>AT$22-0.00001</formula>
      <formula>#REF!-0.00001</formula>
    </cfRule>
  </conditionalFormatting>
  <conditionalFormatting sqref="AQ1:AQ1048576 BU1:BU1048576">
    <cfRule type="cellIs" dxfId="60" priority="187853" stopIfTrue="1" operator="between">
      <formula>AV$22-0.00001</formula>
      <formula>1000</formula>
    </cfRule>
  </conditionalFormatting>
  <conditionalFormatting sqref="AS1:AS1048576 BW1:BW1048576">
    <cfRule type="cellIs" dxfId="59" priority="187859" stopIfTrue="1" operator="between">
      <formula>AV$22-0.00001</formula>
      <formula>1000</formula>
    </cfRule>
  </conditionalFormatting>
  <conditionalFormatting sqref="CW1:CW1048576 EF1:EF1048576">
    <cfRule type="cellIs" dxfId="58" priority="187865" operator="between">
      <formula>DK$19-0.00001</formula>
      <formula>1000</formula>
    </cfRule>
  </conditionalFormatting>
  <conditionalFormatting sqref="CX1:CX1048576 EG1:EG1048576">
    <cfRule type="cellIs" dxfId="57" priority="187871" operator="between">
      <formula>DK$22-0.00001</formula>
      <formula>1000</formula>
    </cfRule>
  </conditionalFormatting>
  <conditionalFormatting sqref="DA1:DA1048576 EJ1:EJ1048576">
    <cfRule type="cellIs" dxfId="56" priority="187877" stopIfTrue="1" operator="between">
      <formula>DK$17-0.00001</formula>
      <formula>DK$18-0.00001</formula>
    </cfRule>
    <cfRule type="cellIs" dxfId="55" priority="187878" operator="between">
      <formula>DK$18-0.00001</formula>
      <formula>1000</formula>
    </cfRule>
  </conditionalFormatting>
  <conditionalFormatting sqref="DB1:DB1048576 EK1:EK1048576">
    <cfRule type="cellIs" dxfId="54" priority="187889" operator="between">
      <formula>DK$20-0.00001</formula>
      <formula>DK$21-0.00001</formula>
    </cfRule>
    <cfRule type="cellIs" dxfId="53" priority="187890" stopIfTrue="1" operator="between">
      <formula>DK$21-0.00001</formula>
      <formula>1000</formula>
    </cfRule>
  </conditionalFormatting>
  <conditionalFormatting sqref="DC1:DC1048576 EL1:EL1048576">
    <cfRule type="cellIs" dxfId="52" priority="187901" operator="between">
      <formula>DK$19-0.00001</formula>
      <formula>1000</formula>
    </cfRule>
  </conditionalFormatting>
  <conditionalFormatting sqref="DG1:DG1048576 EP1:EP1048576">
    <cfRule type="cellIs" dxfId="51" priority="187907" stopIfTrue="1" operator="between">
      <formula>DK$19-0.00001</formula>
      <formula>1000</formula>
    </cfRule>
  </conditionalFormatting>
  <conditionalFormatting sqref="CZ1:CZ1048576 EI1:EI1048576">
    <cfRule type="cellIs" dxfId="50" priority="187913" stopIfTrue="1" operator="between">
      <formula>DK$22-0.00001</formula>
      <formula>1000</formula>
    </cfRule>
  </conditionalFormatting>
  <conditionalFormatting sqref="DD1:DD1048576 EM1:EM1048576">
    <cfRule type="cellIs" dxfId="49" priority="187919" operator="between">
      <formula>DK$22-0.00001</formula>
      <formula>1000</formula>
    </cfRule>
  </conditionalFormatting>
  <conditionalFormatting sqref="DF1:DF1048576 EO1:EO1048576">
    <cfRule type="cellIs" dxfId="48" priority="187925" operator="between">
      <formula>DK$22-0.00001</formula>
      <formula>1000</formula>
    </cfRule>
  </conditionalFormatting>
  <conditionalFormatting sqref="DH1:DH1048576 EQ1:EQ1048576">
    <cfRule type="cellIs" dxfId="47" priority="187931" operator="between">
      <formula>DK$22-0.00001</formula>
      <formula>1000</formula>
    </cfRule>
  </conditionalFormatting>
  <conditionalFormatting sqref="DI1:DI1048576 ER1:ER1048576">
    <cfRule type="cellIs" dxfId="46" priority="187937" operator="between">
      <formula>DK$18-0.00001</formula>
      <formula>1000</formula>
    </cfRule>
    <cfRule type="cellIs" dxfId="45" priority="187938" operator="between">
      <formula>DK$17-0.00001</formula>
      <formula>DK$18-0.00001</formula>
    </cfRule>
  </conditionalFormatting>
  <conditionalFormatting sqref="DJ1:DJ1048576 ES1:ES1048576">
    <cfRule type="cellIs" dxfId="44" priority="187949" operator="between">
      <formula>DK$20-0.00001</formula>
      <formula>DK$21-0.00001</formula>
    </cfRule>
    <cfRule type="cellIs" dxfId="43" priority="187950" operator="between">
      <formula>DK$21-0.00001</formula>
      <formula>1000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3C56D5-C416-3A46-A67D-701D3D54EDA4}">
  <sheetPr codeName="Sheet24"/>
  <dimension ref="A1:ET28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26" bestFit="1" customWidth="1"/>
    <col min="9" max="9" width="15.33203125" hidden="1" customWidth="1"/>
    <col min="11" max="11" width="27.5" bestFit="1" customWidth="1"/>
    <col min="12" max="12" width="10.5" customWidth="1"/>
    <col min="13" max="13" width="27.5" bestFit="1" customWidth="1"/>
    <col min="14" max="14" width="10.83203125" customWidth="1"/>
    <col min="15" max="15" width="27.5" customWidth="1"/>
    <col min="16" max="16" width="24.6640625" customWidth="1"/>
    <col min="17" max="17" width="13" customWidth="1"/>
    <col min="18" max="18" width="31.5" customWidth="1"/>
    <col min="19" max="35" width="10.83203125" hidden="1" customWidth="1"/>
    <col min="36" max="39" width="10.83203125" customWidth="1"/>
    <col min="40" max="48" width="10.83203125" style="26" customWidth="1"/>
    <col min="49" max="65" width="10.83203125" hidden="1" customWidth="1"/>
    <col min="66" max="69" width="10.83203125" customWidth="1"/>
    <col min="70" max="80" width="10.83203125" style="26" customWidth="1"/>
    <col min="81" max="100" width="10.83203125" hidden="1" customWidth="1"/>
    <col min="101" max="115" width="10.83203125" style="26" customWidth="1"/>
    <col min="116" max="135" width="10.83203125" hidden="1" customWidth="1"/>
    <col min="136" max="150" width="10.83203125" style="26" hidden="1" customWidth="1"/>
    <col min="151" max="152" width="10.83203125" customWidth="1"/>
  </cols>
  <sheetData>
    <row r="1" spans="1:150" ht="16" customHeight="1" x14ac:dyDescent="0.2">
      <c r="A1" s="55" t="s">
        <v>1</v>
      </c>
      <c r="B1" s="55" t="s">
        <v>14</v>
      </c>
      <c r="C1" s="55" t="s">
        <v>0</v>
      </c>
      <c r="D1" s="55" t="s">
        <v>30</v>
      </c>
      <c r="E1" s="55" t="s">
        <v>2</v>
      </c>
      <c r="F1" s="56" t="s">
        <v>75</v>
      </c>
      <c r="G1" s="56" t="s">
        <v>8</v>
      </c>
      <c r="H1" s="55" t="s">
        <v>9</v>
      </c>
      <c r="I1" s="56" t="s">
        <v>38</v>
      </c>
      <c r="J1" s="53" t="s">
        <v>76</v>
      </c>
      <c r="K1" s="52" t="s">
        <v>16</v>
      </c>
      <c r="L1" s="53" t="s">
        <v>89</v>
      </c>
      <c r="M1" s="52" t="s">
        <v>16</v>
      </c>
      <c r="N1" s="53" t="s">
        <v>90</v>
      </c>
      <c r="O1" s="52" t="s">
        <v>16</v>
      </c>
      <c r="P1" s="54" t="s">
        <v>10</v>
      </c>
      <c r="Q1" s="52" t="s">
        <v>17</v>
      </c>
      <c r="R1" s="52" t="s">
        <v>16</v>
      </c>
      <c r="S1" s="48" t="s">
        <v>147</v>
      </c>
      <c r="T1" s="48"/>
      <c r="U1" s="48"/>
      <c r="V1" s="48"/>
      <c r="W1" s="48"/>
      <c r="X1" s="48"/>
      <c r="Y1" s="48"/>
      <c r="Z1" s="48"/>
      <c r="AA1" s="48"/>
      <c r="AB1" s="48"/>
      <c r="AC1" s="48"/>
      <c r="AD1" s="48"/>
      <c r="AE1" s="48"/>
      <c r="AF1" s="48"/>
      <c r="AG1" s="48"/>
      <c r="AH1" s="48"/>
      <c r="AI1" s="48"/>
      <c r="AJ1" s="48"/>
      <c r="AK1" s="48"/>
      <c r="AL1" s="48"/>
      <c r="AM1" s="48"/>
      <c r="AN1" s="48"/>
      <c r="AO1" s="48"/>
      <c r="AP1" s="48"/>
      <c r="AQ1" s="48"/>
      <c r="AR1" s="48"/>
      <c r="AS1" s="48"/>
      <c r="AT1" s="48"/>
      <c r="AU1" s="48"/>
      <c r="AV1" s="48"/>
      <c r="AW1" s="49" t="s">
        <v>148</v>
      </c>
      <c r="AX1" s="49"/>
      <c r="AY1" s="49"/>
      <c r="AZ1" s="49"/>
      <c r="BA1" s="49"/>
      <c r="BB1" s="49"/>
      <c r="BC1" s="49"/>
      <c r="BD1" s="49"/>
      <c r="BE1" s="49"/>
      <c r="BF1" s="49"/>
      <c r="BG1" s="49"/>
      <c r="BH1" s="49"/>
      <c r="BI1" s="49"/>
      <c r="BJ1" s="49"/>
      <c r="BK1" s="49"/>
      <c r="BL1" s="49"/>
      <c r="BM1" s="49"/>
      <c r="BN1" s="49"/>
      <c r="BO1" s="49"/>
      <c r="BP1" s="49"/>
      <c r="BQ1" s="49"/>
      <c r="BR1" s="49"/>
      <c r="BS1" s="49"/>
      <c r="BT1" s="49"/>
      <c r="BU1" s="49"/>
      <c r="BV1" s="49"/>
      <c r="BW1" s="49"/>
      <c r="BX1" s="49"/>
      <c r="BY1" s="49"/>
      <c r="BZ1" s="49"/>
      <c r="CA1" s="50" t="s">
        <v>77</v>
      </c>
      <c r="CB1" s="50"/>
      <c r="CC1" s="48" t="s">
        <v>46</v>
      </c>
      <c r="CD1" s="48"/>
      <c r="CE1" s="48"/>
      <c r="CF1" s="48"/>
      <c r="CG1" s="48"/>
      <c r="CH1" s="48"/>
      <c r="CI1" s="48"/>
      <c r="CJ1" s="48"/>
      <c r="CK1" s="48"/>
      <c r="CL1" s="48"/>
      <c r="CM1" s="48"/>
      <c r="CN1" s="48"/>
      <c r="CO1" s="48"/>
      <c r="CP1" s="48"/>
      <c r="CQ1" s="48"/>
      <c r="CR1" s="48"/>
      <c r="CS1" s="48"/>
      <c r="CT1" s="48"/>
      <c r="CU1" s="48"/>
      <c r="CV1" s="48"/>
      <c r="CW1" s="48"/>
      <c r="CX1" s="48"/>
      <c r="CY1" s="48"/>
      <c r="CZ1" s="48"/>
      <c r="DA1" s="48"/>
      <c r="DB1" s="48"/>
      <c r="DC1" s="48"/>
      <c r="DD1" s="48"/>
      <c r="DE1" s="48"/>
      <c r="DF1" s="48"/>
      <c r="DG1" s="48"/>
      <c r="DH1" s="48"/>
      <c r="DI1" s="48"/>
      <c r="DJ1" s="48"/>
      <c r="DK1" s="48"/>
      <c r="DL1" s="49"/>
      <c r="DM1" s="49"/>
      <c r="DN1" s="49"/>
      <c r="DO1" s="49"/>
      <c r="DP1" s="49"/>
      <c r="DQ1" s="49"/>
      <c r="DR1" s="49"/>
      <c r="DS1" s="49"/>
      <c r="DT1" s="49"/>
      <c r="DU1" s="49"/>
      <c r="DV1" s="49"/>
      <c r="DW1" s="49"/>
      <c r="DX1" s="49"/>
      <c r="DY1" s="49"/>
      <c r="DZ1" s="49"/>
      <c r="EA1" s="49"/>
      <c r="EB1" s="49"/>
      <c r="EC1" s="49"/>
      <c r="ED1" s="49"/>
      <c r="EE1" s="49"/>
      <c r="EF1" s="49"/>
      <c r="EG1" s="49"/>
      <c r="EH1" s="49"/>
      <c r="EI1" s="49"/>
      <c r="EJ1" s="49"/>
      <c r="EK1" s="49"/>
      <c r="EL1" s="49"/>
      <c r="EM1" s="49"/>
      <c r="EN1" s="49"/>
      <c r="EO1" s="49"/>
      <c r="EP1" s="49"/>
      <c r="EQ1" s="49"/>
      <c r="ER1" s="49"/>
      <c r="ES1" s="49"/>
      <c r="ET1" s="49"/>
    </row>
    <row r="2" spans="1:150" x14ac:dyDescent="0.2">
      <c r="A2" s="55"/>
      <c r="B2" s="55"/>
      <c r="C2" s="55"/>
      <c r="D2" s="55"/>
      <c r="E2" s="55"/>
      <c r="F2" s="56"/>
      <c r="G2" s="56"/>
      <c r="H2" s="55"/>
      <c r="I2" s="56"/>
      <c r="J2" s="53"/>
      <c r="K2" s="52"/>
      <c r="L2" s="53"/>
      <c r="M2" s="52"/>
      <c r="N2" s="52"/>
      <c r="O2" s="52"/>
      <c r="P2" s="54"/>
      <c r="Q2" s="52"/>
      <c r="R2" s="52"/>
      <c r="S2" s="46" t="s">
        <v>78</v>
      </c>
      <c r="T2" s="46"/>
      <c r="U2" s="46"/>
      <c r="V2" s="46"/>
      <c r="W2" s="46" t="s">
        <v>79</v>
      </c>
      <c r="X2" s="46"/>
      <c r="Y2" s="46"/>
      <c r="Z2" s="46"/>
      <c r="AA2" s="46" t="s">
        <v>80</v>
      </c>
      <c r="AB2" s="46"/>
      <c r="AC2" s="46"/>
      <c r="AD2" s="46"/>
      <c r="AE2" s="47" t="s">
        <v>81</v>
      </c>
      <c r="AF2" s="47"/>
      <c r="AG2" s="47"/>
      <c r="AH2" s="47"/>
      <c r="AI2" s="13"/>
      <c r="AJ2" s="13" t="s">
        <v>95</v>
      </c>
      <c r="AK2" s="13" t="s">
        <v>91</v>
      </c>
      <c r="AL2" s="13" t="s">
        <v>96</v>
      </c>
      <c r="AM2" s="13" t="s">
        <v>92</v>
      </c>
      <c r="AN2" s="13" t="s">
        <v>82</v>
      </c>
      <c r="AO2" s="13" t="s">
        <v>13</v>
      </c>
      <c r="AP2" s="13" t="s">
        <v>97</v>
      </c>
      <c r="AQ2" s="13" t="s">
        <v>93</v>
      </c>
      <c r="AR2" s="13" t="s">
        <v>98</v>
      </c>
      <c r="AS2" s="13" t="s">
        <v>94</v>
      </c>
      <c r="AT2" s="13" t="s">
        <v>83</v>
      </c>
      <c r="AU2" s="13" t="s">
        <v>84</v>
      </c>
      <c r="AV2" s="13" t="s">
        <v>12</v>
      </c>
      <c r="AW2" s="44" t="s">
        <v>78</v>
      </c>
      <c r="AX2" s="44"/>
      <c r="AY2" s="44"/>
      <c r="AZ2" s="44"/>
      <c r="BA2" s="44" t="s">
        <v>79</v>
      </c>
      <c r="BB2" s="44"/>
      <c r="BC2" s="44"/>
      <c r="BD2" s="44"/>
      <c r="BE2" s="44" t="s">
        <v>80</v>
      </c>
      <c r="BF2" s="44"/>
      <c r="BG2" s="44"/>
      <c r="BH2" s="44"/>
      <c r="BI2" s="45" t="s">
        <v>81</v>
      </c>
      <c r="BJ2" s="45"/>
      <c r="BK2" s="45"/>
      <c r="BL2" s="45"/>
      <c r="BM2" s="12"/>
      <c r="BN2" s="12" t="s">
        <v>95</v>
      </c>
      <c r="BO2" s="12" t="s">
        <v>91</v>
      </c>
      <c r="BP2" s="12" t="s">
        <v>96</v>
      </c>
      <c r="BQ2" s="12" t="s">
        <v>92</v>
      </c>
      <c r="BR2" s="12" t="s">
        <v>82</v>
      </c>
      <c r="BS2" s="12" t="s">
        <v>13</v>
      </c>
      <c r="BT2" s="12" t="s">
        <v>97</v>
      </c>
      <c r="BU2" s="12" t="s">
        <v>93</v>
      </c>
      <c r="BV2" s="12" t="s">
        <v>98</v>
      </c>
      <c r="BW2" s="12" t="s">
        <v>94</v>
      </c>
      <c r="BX2" s="12" t="s">
        <v>83</v>
      </c>
      <c r="BY2" s="12" t="s">
        <v>84</v>
      </c>
      <c r="BZ2" s="12" t="s">
        <v>12</v>
      </c>
      <c r="CA2" s="33" t="s">
        <v>85</v>
      </c>
      <c r="CB2" s="33" t="s">
        <v>99</v>
      </c>
      <c r="CC2" s="46" t="s">
        <v>78</v>
      </c>
      <c r="CD2" s="46"/>
      <c r="CE2" s="46"/>
      <c r="CF2" s="46"/>
      <c r="CG2" s="46" t="s">
        <v>79</v>
      </c>
      <c r="CH2" s="46"/>
      <c r="CI2" s="46"/>
      <c r="CJ2" s="46"/>
      <c r="CK2" s="46" t="s">
        <v>86</v>
      </c>
      <c r="CL2" s="46"/>
      <c r="CM2" s="46"/>
      <c r="CN2" s="46"/>
      <c r="CO2" s="46" t="s">
        <v>80</v>
      </c>
      <c r="CP2" s="46"/>
      <c r="CQ2" s="46"/>
      <c r="CR2" s="46"/>
      <c r="CS2" s="51" t="s">
        <v>81</v>
      </c>
      <c r="CT2" s="51"/>
      <c r="CU2" s="51"/>
      <c r="CV2" s="51"/>
      <c r="CW2" s="13" t="s">
        <v>95</v>
      </c>
      <c r="CX2" s="13" t="s">
        <v>91</v>
      </c>
      <c r="CY2" s="13" t="s">
        <v>96</v>
      </c>
      <c r="CZ2" s="13" t="s">
        <v>92</v>
      </c>
      <c r="DA2" s="13" t="s">
        <v>87</v>
      </c>
      <c r="DB2" s="13" t="s">
        <v>85</v>
      </c>
      <c r="DC2" s="13" t="s">
        <v>100</v>
      </c>
      <c r="DD2" s="13" t="s">
        <v>86</v>
      </c>
      <c r="DE2" s="13" t="s">
        <v>101</v>
      </c>
      <c r="DF2" s="13" t="s">
        <v>80</v>
      </c>
      <c r="DG2" s="13" t="s">
        <v>102</v>
      </c>
      <c r="DH2" s="13" t="s">
        <v>81</v>
      </c>
      <c r="DI2" s="13" t="s">
        <v>83</v>
      </c>
      <c r="DJ2" s="13" t="s">
        <v>84</v>
      </c>
      <c r="DK2" s="13" t="s">
        <v>12</v>
      </c>
      <c r="DL2" s="44" t="s">
        <v>78</v>
      </c>
      <c r="DM2" s="44"/>
      <c r="DN2" s="44"/>
      <c r="DO2" s="44"/>
      <c r="DP2" s="44" t="s">
        <v>79</v>
      </c>
      <c r="DQ2" s="44"/>
      <c r="DR2" s="44"/>
      <c r="DS2" s="44"/>
      <c r="DT2" s="44" t="s">
        <v>86</v>
      </c>
      <c r="DU2" s="44"/>
      <c r="DV2" s="44"/>
      <c r="DW2" s="44"/>
      <c r="DX2" s="44" t="s">
        <v>80</v>
      </c>
      <c r="DY2" s="44"/>
      <c r="DZ2" s="44"/>
      <c r="EA2" s="44"/>
      <c r="EB2" s="45" t="s">
        <v>81</v>
      </c>
      <c r="EC2" s="45"/>
      <c r="ED2" s="45"/>
      <c r="EE2" s="45"/>
      <c r="EF2" s="12" t="s">
        <v>95</v>
      </c>
      <c r="EG2" s="12" t="s">
        <v>91</v>
      </c>
      <c r="EH2" s="12" t="s">
        <v>96</v>
      </c>
      <c r="EI2" s="12" t="s">
        <v>92</v>
      </c>
      <c r="EJ2" s="12" t="s">
        <v>87</v>
      </c>
      <c r="EK2" s="12" t="s">
        <v>85</v>
      </c>
      <c r="EL2" s="12" t="s">
        <v>100</v>
      </c>
      <c r="EM2" s="12" t="s">
        <v>86</v>
      </c>
      <c r="EN2" s="12" t="s">
        <v>101</v>
      </c>
      <c r="EO2" s="12" t="s">
        <v>80</v>
      </c>
      <c r="EP2" s="12" t="s">
        <v>102</v>
      </c>
      <c r="EQ2" s="12" t="s">
        <v>81</v>
      </c>
      <c r="ER2" s="12" t="s">
        <v>83</v>
      </c>
      <c r="ES2" s="12" t="s">
        <v>84</v>
      </c>
      <c r="ET2" s="12" t="s">
        <v>12</v>
      </c>
    </row>
    <row r="3" spans="1:150" x14ac:dyDescent="0.2">
      <c r="A3" s="55"/>
      <c r="B3" s="55"/>
      <c r="C3" s="55"/>
      <c r="D3" s="55"/>
      <c r="E3" s="55"/>
      <c r="F3" s="56"/>
      <c r="G3" s="56"/>
      <c r="H3" s="55"/>
      <c r="I3" s="56"/>
      <c r="J3" s="53"/>
      <c r="K3" s="52"/>
      <c r="L3" s="53"/>
      <c r="M3" s="52"/>
      <c r="N3" s="52"/>
      <c r="O3" s="52"/>
      <c r="P3" s="54"/>
      <c r="Q3" s="52"/>
      <c r="R3" s="52"/>
      <c r="S3" s="13" t="s">
        <v>11</v>
      </c>
      <c r="T3" s="13" t="s">
        <v>7</v>
      </c>
      <c r="U3" s="13" t="s">
        <v>15</v>
      </c>
      <c r="V3" s="13" t="s">
        <v>88</v>
      </c>
      <c r="W3" s="13" t="s">
        <v>11</v>
      </c>
      <c r="X3" s="13" t="s">
        <v>7</v>
      </c>
      <c r="Y3" s="13" t="s">
        <v>15</v>
      </c>
      <c r="Z3" s="13" t="s">
        <v>88</v>
      </c>
      <c r="AA3" s="13" t="s">
        <v>11</v>
      </c>
      <c r="AB3" s="13" t="s">
        <v>7</v>
      </c>
      <c r="AC3" s="13" t="s">
        <v>15</v>
      </c>
      <c r="AD3" s="13" t="s">
        <v>88</v>
      </c>
      <c r="AE3" s="35" t="s">
        <v>11</v>
      </c>
      <c r="AF3" s="35" t="s">
        <v>7</v>
      </c>
      <c r="AG3" s="35" t="s">
        <v>15</v>
      </c>
      <c r="AH3" s="35" t="s">
        <v>88</v>
      </c>
      <c r="AI3" s="13" t="s">
        <v>28</v>
      </c>
      <c r="AJ3" s="13"/>
      <c r="AK3" s="13"/>
      <c r="AL3" s="13"/>
      <c r="AM3" s="13"/>
      <c r="AN3" s="13"/>
      <c r="AO3" s="13"/>
      <c r="AP3" s="13"/>
      <c r="AQ3" s="13"/>
      <c r="AR3" s="13"/>
      <c r="AS3" s="13"/>
      <c r="AT3" s="13"/>
      <c r="AU3" s="13"/>
      <c r="AV3" s="13"/>
      <c r="AW3" s="12" t="s">
        <v>11</v>
      </c>
      <c r="AX3" s="12" t="s">
        <v>7</v>
      </c>
      <c r="AY3" s="12" t="s">
        <v>15</v>
      </c>
      <c r="AZ3" s="12" t="s">
        <v>88</v>
      </c>
      <c r="BA3" s="12" t="s">
        <v>11</v>
      </c>
      <c r="BB3" s="12" t="s">
        <v>7</v>
      </c>
      <c r="BC3" s="12" t="s">
        <v>15</v>
      </c>
      <c r="BD3" s="12" t="s">
        <v>88</v>
      </c>
      <c r="BE3" s="12" t="s">
        <v>11</v>
      </c>
      <c r="BF3" s="12" t="s">
        <v>7</v>
      </c>
      <c r="BG3" s="12" t="s">
        <v>15</v>
      </c>
      <c r="BH3" s="12" t="s">
        <v>88</v>
      </c>
      <c r="BI3" s="36" t="s">
        <v>11</v>
      </c>
      <c r="BJ3" s="36" t="s">
        <v>7</v>
      </c>
      <c r="BK3" s="36" t="s">
        <v>15</v>
      </c>
      <c r="BL3" s="36" t="s">
        <v>88</v>
      </c>
      <c r="BM3" s="12" t="s">
        <v>28</v>
      </c>
      <c r="BN3" s="12"/>
      <c r="BO3" s="12"/>
      <c r="BP3" s="12"/>
      <c r="BQ3" s="12"/>
      <c r="BR3" s="12"/>
      <c r="BS3" s="12"/>
      <c r="BT3" s="12"/>
      <c r="BU3" s="12"/>
      <c r="BV3" s="12"/>
      <c r="BW3" s="12"/>
      <c r="BX3" s="12"/>
      <c r="BY3" s="12"/>
      <c r="BZ3" s="12"/>
      <c r="CA3" s="33"/>
      <c r="CB3" s="33"/>
      <c r="CC3" s="13" t="s">
        <v>11</v>
      </c>
      <c r="CD3" s="13" t="s">
        <v>7</v>
      </c>
      <c r="CE3" s="13" t="s">
        <v>15</v>
      </c>
      <c r="CF3" s="13" t="s">
        <v>88</v>
      </c>
      <c r="CG3" s="13" t="s">
        <v>11</v>
      </c>
      <c r="CH3" s="13" t="s">
        <v>7</v>
      </c>
      <c r="CI3" s="13" t="s">
        <v>15</v>
      </c>
      <c r="CJ3" s="13" t="s">
        <v>88</v>
      </c>
      <c r="CK3" s="13" t="s">
        <v>11</v>
      </c>
      <c r="CL3" s="13" t="s">
        <v>7</v>
      </c>
      <c r="CM3" s="13" t="s">
        <v>15</v>
      </c>
      <c r="CN3" s="13" t="s">
        <v>88</v>
      </c>
      <c r="CO3" s="13" t="s">
        <v>11</v>
      </c>
      <c r="CP3" s="13" t="s">
        <v>7</v>
      </c>
      <c r="CQ3" s="13" t="s">
        <v>15</v>
      </c>
      <c r="CR3" s="13" t="s">
        <v>88</v>
      </c>
      <c r="CS3" s="37" t="s">
        <v>11</v>
      </c>
      <c r="CT3" s="37" t="s">
        <v>7</v>
      </c>
      <c r="CU3" s="37" t="s">
        <v>15</v>
      </c>
      <c r="CV3" s="37" t="s">
        <v>88</v>
      </c>
      <c r="CW3" s="13"/>
      <c r="CX3" s="13"/>
      <c r="CY3" s="13"/>
      <c r="CZ3" s="13"/>
      <c r="DA3" s="13"/>
      <c r="DB3" s="13"/>
      <c r="DC3" s="13"/>
      <c r="DD3" s="13"/>
      <c r="DE3" s="13"/>
      <c r="DF3" s="13"/>
      <c r="DG3" s="13"/>
      <c r="DH3" s="13"/>
      <c r="DI3" s="13"/>
      <c r="DJ3" s="13"/>
      <c r="DK3" s="13"/>
      <c r="DL3" s="12" t="s">
        <v>11</v>
      </c>
      <c r="DM3" s="12" t="s">
        <v>7</v>
      </c>
      <c r="DN3" s="12" t="s">
        <v>15</v>
      </c>
      <c r="DO3" s="12" t="s">
        <v>88</v>
      </c>
      <c r="DP3" s="12" t="s">
        <v>11</v>
      </c>
      <c r="DQ3" s="12" t="s">
        <v>7</v>
      </c>
      <c r="DR3" s="12" t="s">
        <v>15</v>
      </c>
      <c r="DS3" s="12" t="s">
        <v>88</v>
      </c>
      <c r="DT3" s="12" t="s">
        <v>11</v>
      </c>
      <c r="DU3" s="12" t="s">
        <v>7</v>
      </c>
      <c r="DV3" s="12" t="s">
        <v>15</v>
      </c>
      <c r="DW3" s="12" t="s">
        <v>88</v>
      </c>
      <c r="DX3" s="12" t="s">
        <v>11</v>
      </c>
      <c r="DY3" s="12" t="s">
        <v>7</v>
      </c>
      <c r="DZ3" s="12" t="s">
        <v>15</v>
      </c>
      <c r="EA3" s="12" t="s">
        <v>88</v>
      </c>
      <c r="EB3" s="36" t="s">
        <v>11</v>
      </c>
      <c r="EC3" s="36" t="s">
        <v>7</v>
      </c>
      <c r="ED3" s="36" t="s">
        <v>15</v>
      </c>
      <c r="EE3" s="36" t="s">
        <v>88</v>
      </c>
      <c r="EF3" s="12"/>
      <c r="EG3" s="12"/>
      <c r="EH3" s="12"/>
      <c r="EI3" s="12"/>
      <c r="EJ3" s="12"/>
      <c r="EK3" s="12"/>
      <c r="EL3" s="12"/>
      <c r="EM3" s="12"/>
      <c r="EN3" s="12"/>
      <c r="EO3" s="12"/>
      <c r="EP3" s="12"/>
      <c r="EQ3" s="12"/>
      <c r="ER3" s="12"/>
      <c r="ES3" s="12"/>
      <c r="ET3" s="12"/>
    </row>
    <row r="4" spans="1:150" x14ac:dyDescent="0.2">
      <c r="A4" s="3" cm="1">
        <f t="array" ref="A4">IF(AND(H4&lt;&gt;"",H4&lt;&gt;"No DD"),SUMPRODUCT((H$4:H$13&lt;&gt;"")*(H$4:H$13&lt;&gt;"No DD")*(E$4:E$13&gt;E4))+1,IF(H4="No DD",SUMPRODUCT((H$4:H$13="No DD")*(E$4:E$13&gt;E4))+1+SUMPRODUCT((H$4:H$13&lt;&gt;"")*(H$4:H$13&lt;&gt;"No DD")),""))</f>
        <v>1</v>
      </c>
      <c r="B4" s="4" t="s">
        <v>169</v>
      </c>
      <c r="C4" s="3" t="s">
        <v>3</v>
      </c>
      <c r="D4" s="3">
        <v>2010</v>
      </c>
      <c r="E4" s="8">
        <f t="shared" ref="E4:E12" si="0">SUM(J4:P4)+SUM(J4:M4)*0.0000001+SUM(J4)*0.0000000000001</f>
        <v>93.200006940004528</v>
      </c>
      <c r="F4" s="2" t="str">
        <f>IF(OR(AND(AO4&lt;&gt;"",AO4&gt;=AV$18,AN4&gt;=AV$15),AND(AU4&lt;&gt;"",AU4&gt;=AV$18,AT4&gt;=AV$15),AND(BS4&lt;&gt;"",BS4&gt;=BZ$18,BR4&gt;=BZ$15),AND(BY4&lt;&gt;"",BY4&gt;=BZ$18,BX4&gt;=BZ$15),AND(DB4&lt;&gt;"",DB4&gt;=DK$18,DA4&gt;=DK$15),AND(DJ4&lt;&gt;"",DJ4&gt;=DK$18,DI4&gt;=DK$15),AND(EK4&lt;&gt;"",EK4&gt;=ET$18,EJ4&gt;=ET$15),AND(ES4&lt;&gt;"",ES4&gt;=ET$18,ER4&gt;=ET$15)),"P","")</f>
        <v>P</v>
      </c>
      <c r="G4" s="2" t="str">
        <f>IF(OR(AND(AO4&lt;&gt;"",AO4&gt;=AV$18),AND(AU4&lt;&gt;"",AU4&gt;=AV$18),AND(BS4&lt;&gt;"",BS4&gt;=BZ$18),AND(BY4&lt;&gt;"",BY4&gt;=BZ$18),AND(DB4&lt;&gt;"",DB4&gt;=DK$18),AND(DJ4&lt;&gt;"",DJ4&gt;=DK$18),AND(EK4&lt;&gt;"",EK4&gt;=ET$18),AND(ES4&lt;&gt;"",ES4&gt;=ET$18)),"P","")</f>
        <v>P</v>
      </c>
      <c r="H4" s="26" t="str">
        <f>IF(AND(G4="P",F4=""),"No DD",IF(OR(AND(AK4&lt;&gt;"",AK4&gt;=AV$20,AJ4&gt;=AV$17),AND(AM4&lt;&gt;"",AM4&gt;=AV$20,AL4&gt;=AV$17),AND(AQ4&lt;&gt;"",AQ4&gt;=AV$20,AP4&gt;=AV$17),AND(AS4&lt;&gt;"",AS4&gt;=AV$20,AR4&gt;=AV$17),AND(BO4&lt;&gt;"",BO4&gt;=BZ$20,BN4&gt;=BZ$17),AND(BQ4&lt;&gt;"",BQ4&gt;=BZ$20,BP4&gt;=BZ$17),AND(BV4&lt;&gt;"",BV4&gt;=BZ$20,BU4&gt;=BZ$17),AND(BX4&lt;&gt;"",BX4&gt;=BZ$20,BW4&gt;=BZ$17),AND(CX4&lt;&gt;"",CX4&gt;=DK$20,CW4&gt;=DK$17),AND(CZ4&lt;&gt;"",CZ4&gt;=DK$20,CY4&gt;=DK$17),AND(DD4&lt;&gt;"",DD4&gt;=DK$20,DC4&gt;=DK$17),AND(DF4&lt;&gt;"",DF4&gt;=DK$20,DE4&gt;=DK$17),AND(DH4&lt;&gt;"",DH4&gt;=DK$20,DG4&gt;=DK$17),AND(EG4&lt;&gt;"",EG4&gt;=ET$20,EF4&gt;=ET$17),AND(EI4&lt;&gt;"",EI4&gt;=ET$20,EH4&gt;=ET$17),AND(EM4&lt;&gt;"",EM4&gt;=ET$20,EL4&gt;=ET$17),AND(EO4&lt;&gt;"",EO4&gt;=ET$20,EN4&gt;=ET$17),AND(EQ4&lt;&gt;"",EQ4&gt;=ET$20,EP4&gt;=ET$17)),"Performance",IF(I4="P","Worlds Team",IF(F4="P","National Team",""))))</f>
        <v>National Team</v>
      </c>
      <c r="I4" s="2" t="str">
        <f>IF(OR(AND(AO4&lt;&gt;"",AO4&gt;=AV$19,AN4&gt;=AV$16),AND(AU4&lt;&gt;"",AU4&gt;=AV$19,AT4&gt;=AV$16),AND(BS4&lt;&gt;"",BS4&gt;=BZ$19,BR4&gt;=BZ$16),AND(BY4&lt;&gt;"",BY4&gt;=BZ$19,BX4&gt;=BZ$16),AND(DB4&lt;&gt;"",DB4&gt;=DK$19,DA4&gt;=DK$16),AND(DJ4&lt;&gt;"",DJ4&gt;=DK$19,DI4&gt;=DK$16),AND(EK4&lt;&gt;"",EK4&gt;=ET$19,EJ4&gt;=ET$16),AND(ES4&lt;&gt;"",ES4&gt;=ET$19,ER4&gt;=ET$16)),"P","")</f>
        <v/>
      </c>
      <c r="J4" s="7">
        <f t="shared" ref="J4:J12" si="1">IF(COUNT(AO4,BS4)&gt;0,MAX(AO4,BS4),0)</f>
        <v>45.399999999999991</v>
      </c>
      <c r="K4" s="7" t="str">
        <f t="shared" ref="K4:K12" si="2">IF(J4=0,"",IF(J4=BS4,$AW$1,IF(J4=AO4,$S$1,"")))</f>
        <v>2026 Elite Canada</v>
      </c>
      <c r="L4" s="7">
        <f>IF(J4=AO4,IF(COUNT(AQ4,AS4,BO4,BQ4,BU4,BW4)&gt;1,LARGE((AQ4,AS4,BO4,BQ4,BU4,BW4),1),0),IF(COUNT(AK4,AM4,AQ4,AS4,BU4,BW4)&gt;1,LARGE((AK4,AM4,AQ4,AS4,BU4,BW4),1),0))</f>
        <v>24</v>
      </c>
      <c r="M4" s="7" t="str">
        <f t="shared" ref="M4:M12" si="3">IF(L4=0,"",IF(OR(L4=BO4,L4=BQ4,L4=BU4,L4=BW4),$AW$1,IF(OR(L4=AK4,L4=AM4,L4=AQ4,L4=AS4),$S$1,"")))</f>
        <v>2026 Elite Canada</v>
      </c>
      <c r="N4" s="7">
        <f>IF(J4=AO4,IF(COUNT(AQ4,AS4,BO4,BQ4,BU4,BW4)&gt;1,LARGE((AQ4,AS4,BO4,BQ4,BU4,BW4),2),0),IF(COUNT(AK4,AM4,AQ4,AS4,BU4,BW4)&gt;1,LARGE((AK4,AM4,AQ4,AS4,BU4,BW4),2),0))</f>
        <v>23.8</v>
      </c>
      <c r="O4" s="7" t="str">
        <f t="shared" ref="O4:O12" si="4">IF(N4=0,"",IF(OR(N4=BO4,N4=BQ4,N4=BU4,N4=BW4),$AW$1,IF(OR(N4=AK4,N4=AM4,N4=AQ4,N4=AS4),$S$1,"")))</f>
        <v>2026 Elite Canada</v>
      </c>
      <c r="P4" s="7" t="str">
        <f t="shared" ref="P4:P12" si="5">IF(MAX(CA4:CB4)&gt;0,MAX(CA4:CB4),"")</f>
        <v/>
      </c>
      <c r="Q4" s="10" t="str">
        <f t="shared" ref="Q4:Q12" si="6">IF(P4="","",IF(P4=CA4,"("&amp;CA$2&amp;")",IF(P4=CB4,"("&amp;CB$2&amp;")")))</f>
        <v/>
      </c>
      <c r="R4" s="7" t="str">
        <f t="shared" ref="R4:R12" si="7">IF(P4="","",IF(P4=CA4,IF(P4+MAX(J4,0)=EK4,$DL$1,IF(P4+MAX(J4,0)=DB4,$CC$1)),IF(P4=CB4,IF(P4+MAX(N4,0)=MAX(EG4,EI4,EM4,EO4,EQ4),$DL$1,IF(P4+MAX(N4,0)=MAX(CX4,CZ4,DD4,DF4,DH4),$CC$1)))))</f>
        <v/>
      </c>
      <c r="S4" s="38">
        <v>18.2</v>
      </c>
      <c r="T4" s="38">
        <v>6</v>
      </c>
      <c r="U4" s="38">
        <v>0.8</v>
      </c>
      <c r="V4" s="38">
        <v>0</v>
      </c>
      <c r="W4" s="38">
        <v>16.7</v>
      </c>
      <c r="X4" s="38">
        <v>5.6</v>
      </c>
      <c r="Y4" s="38">
        <v>0.8</v>
      </c>
      <c r="Z4" s="38">
        <v>0.50000000000000111</v>
      </c>
      <c r="AA4" s="38">
        <v>18.2</v>
      </c>
      <c r="AB4" s="38">
        <v>6</v>
      </c>
      <c r="AC4" s="38">
        <v>0.2</v>
      </c>
      <c r="AD4" s="38">
        <v>0</v>
      </c>
      <c r="AE4" s="38">
        <v>18.5</v>
      </c>
      <c r="AF4" s="38">
        <v>5.6</v>
      </c>
      <c r="AG4" s="38">
        <v>0.8</v>
      </c>
      <c r="AH4" s="38">
        <v>0.50000000000000111</v>
      </c>
      <c r="AI4" s="19"/>
      <c r="AJ4" s="41">
        <f t="shared" ref="AJ4:AJ12" si="8">IF(T4="","",T4)</f>
        <v>6</v>
      </c>
      <c r="AK4" s="41">
        <f t="shared" ref="AK4:AK12" si="9">IF(S4="","",S4+T4+V4-U4)</f>
        <v>23.4</v>
      </c>
      <c r="AL4" s="41">
        <f t="shared" ref="AL4:AL12" si="10">IF(X4="","",X4)</f>
        <v>5.6</v>
      </c>
      <c r="AM4" s="41">
        <f t="shared" ref="AM4:AM12" si="11">IF(W4="","",W4+X4+Z4-Y4)</f>
        <v>21.999999999999996</v>
      </c>
      <c r="AN4" s="27">
        <f t="shared" ref="AN4:AN12" si="12">IF(SUM(T4,X4)&gt;0,SUM(T4,X4),"")</f>
        <v>11.6</v>
      </c>
      <c r="AO4" s="27">
        <f t="shared" ref="AO4:AO12" si="13">IF(SUM(AK4,AM4)&gt;0,SUM(AK4,AM4),"")</f>
        <v>45.399999999999991</v>
      </c>
      <c r="AP4" s="27">
        <f t="shared" ref="AP4:AP12" si="14">IF(AB4="","",AB4)</f>
        <v>6</v>
      </c>
      <c r="AQ4" s="27">
        <f t="shared" ref="AQ4:AQ12" si="15">IF(AA4="","",AA4+AB4+AD4-AC4)</f>
        <v>24</v>
      </c>
      <c r="AR4" s="27">
        <f t="shared" ref="AR4:AR12" si="16">IF(AF4="","",AF4)</f>
        <v>5.6</v>
      </c>
      <c r="AS4" s="27">
        <f t="shared" ref="AS4:AS12" si="17">IF(AE4="","",AE4+AF4+AH4-AG4)</f>
        <v>23.8</v>
      </c>
      <c r="AT4" s="27">
        <f t="shared" ref="AT4:AT12" si="18">IF(SUM(AB4,AF4)&gt;0,SUM(AB4,AF4),"")</f>
        <v>11.6</v>
      </c>
      <c r="AU4" s="27">
        <f t="shared" ref="AU4:AU12" si="19">IF(SUM(AQ4,AS4)&gt;0,SUM(AQ4,AS4),"")</f>
        <v>47.8</v>
      </c>
      <c r="AV4" s="27">
        <f t="shared" ref="AV4:AV12" si="20">IF(SUM(AO4,AU4)&gt;0,SUM(AO4,AU4),"")</f>
        <v>93.199999999999989</v>
      </c>
      <c r="AW4" s="15"/>
      <c r="AX4" s="15"/>
      <c r="AY4" s="15"/>
      <c r="AZ4" s="15"/>
      <c r="BA4" s="15"/>
      <c r="BB4" s="15"/>
      <c r="BC4" s="15"/>
      <c r="BD4" s="15"/>
      <c r="BE4" s="15"/>
      <c r="BF4" s="15"/>
      <c r="BG4" s="15"/>
      <c r="BH4" s="15"/>
      <c r="BI4" s="15"/>
      <c r="BJ4" s="15"/>
      <c r="BK4" s="15"/>
      <c r="BL4" s="15"/>
      <c r="BM4" s="20"/>
      <c r="BN4" s="42" t="str">
        <f t="shared" ref="BN4:BN12" si="21">IF(AX4="","",AX4)</f>
        <v/>
      </c>
      <c r="BO4" s="42" t="str">
        <f t="shared" ref="BO4:BO12" si="22">IF(AW4="","",AW4+AX4+AZ4-AY4)</f>
        <v/>
      </c>
      <c r="BP4" s="42" t="str">
        <f t="shared" ref="BP4:BP12" si="23">IF(BB4="","",BB4)</f>
        <v/>
      </c>
      <c r="BQ4" s="42" t="str">
        <f t="shared" ref="BQ4:BQ12" si="24">IF(BA4="","",BA4+BB4+BD4-BC4)</f>
        <v/>
      </c>
      <c r="BR4" s="10" t="str">
        <f t="shared" ref="BR4:BR12" si="25">IF(SUM(AX4,BB4)&gt;0,SUM(AX4,BB4),"")</f>
        <v/>
      </c>
      <c r="BS4" s="10" t="str">
        <f t="shared" ref="BS4:BS12" si="26">IF(SUM(BO4,BQ4)&gt;0,SUM(BO4,BQ4),"")</f>
        <v/>
      </c>
      <c r="BT4" s="10" t="str">
        <f t="shared" ref="BT4:BT12" si="27">IF(BF4="","",BF4)</f>
        <v/>
      </c>
      <c r="BU4" s="10" t="str">
        <f t="shared" ref="BU4:BU12" si="28">IF(BE4="","",BE4+BF4+BH4-BG4)</f>
        <v/>
      </c>
      <c r="BV4" s="10" t="str">
        <f t="shared" ref="BV4:BV12" si="29">IF(BJ4="","",BJ4)</f>
        <v/>
      </c>
      <c r="BW4" s="10" t="str">
        <f t="shared" ref="BW4:BW12" si="30">IF(BI4="","",BI4+BJ4+BL4-BK4)</f>
        <v/>
      </c>
      <c r="BX4" s="10" t="str">
        <f t="shared" ref="BX4:BX12" si="31">IF(SUM(BF4,BJ4)&gt;0,SUM(BF4,BJ4),"")</f>
        <v/>
      </c>
      <c r="BY4" s="10" t="str">
        <f t="shared" ref="BY4:BY12" si="32">IF(SUM(BU4,BW4)&gt;0,SUM(BU4,BW4),"")</f>
        <v/>
      </c>
      <c r="BZ4" s="10" t="str">
        <f t="shared" ref="BZ4:BZ12" si="33">IF(SUM(BS4,BY4)&gt;0,SUM(BS4,BY4),"")</f>
        <v/>
      </c>
      <c r="CA4" s="34" t="str">
        <f t="shared" ref="CA4:CA12" si="34">IF(MAX(DB4,EK4)-IF(J4="",0,J4)&gt;0.001,MAX(DB4,EK4)-IF(J4="",0,J4),"")</f>
        <v/>
      </c>
      <c r="CB4" s="34" t="str">
        <f t="shared" ref="CB4:CB12" si="35">IF(MAX(CX4,CZ4,DD4,DF4,DH4,EG4,EI4,EM4,EO4)-IF(N4="",0,N4)&gt;0.001,MAX(CX4,CZ4,DD4,DF4,DH4,EG4,EI4,EM4,EO4)-IF(N4="",0,N4),"")</f>
        <v/>
      </c>
      <c r="CC4" s="14"/>
      <c r="CD4" s="14"/>
      <c r="CE4" s="14"/>
      <c r="CF4" s="14"/>
      <c r="CG4" s="14"/>
      <c r="CH4" s="14"/>
      <c r="CI4" s="14"/>
      <c r="CJ4" s="14"/>
      <c r="CK4" s="14"/>
      <c r="CL4" s="14"/>
      <c r="CM4" s="14"/>
      <c r="CN4" s="14"/>
      <c r="CO4" s="14"/>
      <c r="CP4" s="14"/>
      <c r="CQ4" s="14"/>
      <c r="CR4" s="14"/>
      <c r="CS4" s="14"/>
      <c r="CT4" s="14"/>
      <c r="CU4" s="14"/>
      <c r="CV4" s="14"/>
      <c r="CW4" s="27" t="str">
        <f t="shared" ref="CW4:CW12" si="36">IF(CD4="","",CD4)</f>
        <v/>
      </c>
      <c r="CX4" s="27" t="str">
        <f t="shared" ref="CX4:CX12" si="37">IF(CC4="","",CC4+CD4+CF4-CE4)</f>
        <v/>
      </c>
      <c r="CY4" s="27" t="str">
        <f t="shared" ref="CY4:CY12" si="38">IF(CH4="","",CH4)</f>
        <v/>
      </c>
      <c r="CZ4" s="27" t="str">
        <f t="shared" ref="CZ4:CZ12" si="39">IF(CG4="","",CG4+CH4+CJ4-CI4)</f>
        <v/>
      </c>
      <c r="DA4" s="27" t="str">
        <f t="shared" ref="DA4:DA12" si="40">IF(CW4="","",SUM(CW4,CY4))</f>
        <v/>
      </c>
      <c r="DB4" s="27" t="str">
        <f t="shared" ref="DB4:DB12" si="41">IF(CX4="","",SUM(CX4,CZ4))</f>
        <v/>
      </c>
      <c r="DC4" s="27" t="str">
        <f t="shared" ref="DC4:DC12" si="42">IF(CL4="","",CL4)</f>
        <v/>
      </c>
      <c r="DD4" s="27" t="str">
        <f t="shared" ref="DD4:DD12" si="43">IF(CK4="","",CK4+CL4+CN4-CM4)</f>
        <v/>
      </c>
      <c r="DE4" s="27" t="str">
        <f t="shared" ref="DE4:DE12" si="44">IF(CP4="","",CP4)</f>
        <v/>
      </c>
      <c r="DF4" s="27" t="str">
        <f t="shared" ref="DF4:DF12" si="45">IF(CO4="","",CO4+CP4+CR4-CQ4)</f>
        <v/>
      </c>
      <c r="DG4" s="27" t="str">
        <f t="shared" ref="DG4:DG12" si="46">IF(CT4="","",CT4)</f>
        <v/>
      </c>
      <c r="DH4" s="27" t="str">
        <f t="shared" ref="DH4:DH12" si="47">IF(CS4="","",CS4+CT4+CV4-CU4)</f>
        <v/>
      </c>
      <c r="DI4" s="27" t="str">
        <f t="shared" ref="DI4:DI12" si="48">IF(DE4="","",SUM(DE4,DG4))</f>
        <v/>
      </c>
      <c r="DJ4" s="27" t="str">
        <f t="shared" ref="DJ4:DJ12" si="49">IF(DF4="","",SUM(DF4,DH4))</f>
        <v/>
      </c>
      <c r="DK4" s="27" t="str">
        <f t="shared" ref="DK4:DK12" si="50">IF(DB4="","",SUM(DB4,DD4,DH4))</f>
        <v/>
      </c>
      <c r="DL4" s="15"/>
      <c r="DM4" s="15"/>
      <c r="DN4" s="15"/>
      <c r="DO4" s="15"/>
      <c r="DP4" s="15"/>
      <c r="DQ4" s="15"/>
      <c r="DR4" s="15"/>
      <c r="DS4" s="15"/>
      <c r="DT4" s="15"/>
      <c r="DU4" s="15"/>
      <c r="DV4" s="15"/>
      <c r="DW4" s="15"/>
      <c r="DX4" s="15"/>
      <c r="DY4" s="15"/>
      <c r="DZ4" s="15"/>
      <c r="EA4" s="15"/>
      <c r="EB4" s="15"/>
      <c r="EC4" s="15"/>
      <c r="ED4" s="15"/>
      <c r="EE4" s="15"/>
      <c r="EF4" s="10" t="str">
        <f t="shared" ref="EF4:EF12" si="51">IF(DM4="","",DM4)</f>
        <v/>
      </c>
      <c r="EG4" s="10" t="str">
        <f t="shared" ref="EG4:EG12" si="52">IF(DL4="","",DL4+DM4+DO4-DN4)</f>
        <v/>
      </c>
      <c r="EH4" s="10" t="str">
        <f t="shared" ref="EH4:EH12" si="53">IF(DQ4="","",DQ4)</f>
        <v/>
      </c>
      <c r="EI4" s="10" t="str">
        <f t="shared" ref="EI4:EI12" si="54">IF(DP4="","",DP4+DQ4+DS4-DR4)</f>
        <v/>
      </c>
      <c r="EJ4" s="10" t="str">
        <f t="shared" ref="EJ4:EJ12" si="55">IF(EF4="","",SUM(EF4,EH4))</f>
        <v/>
      </c>
      <c r="EK4" s="10" t="str">
        <f t="shared" ref="EK4:EK12" si="56">IF(EG4="","",SUM(EG4,EI4))</f>
        <v/>
      </c>
      <c r="EL4" s="10" t="str">
        <f t="shared" ref="EL4:EL12" si="57">IF(DU4="","",DU4)</f>
        <v/>
      </c>
      <c r="EM4" s="10" t="str">
        <f t="shared" ref="EM4:EM12" si="58">IF(DT4="","",DT4+DU4+DW4-DV4)</f>
        <v/>
      </c>
      <c r="EN4" s="10" t="str">
        <f t="shared" ref="EN4:EN12" si="59">IF(DY4="","",DY4)</f>
        <v/>
      </c>
      <c r="EO4" s="10" t="str">
        <f t="shared" ref="EO4:EO12" si="60">IF(DX4="","",DX4+DY4+EA4-DZ4)</f>
        <v/>
      </c>
      <c r="EP4" s="10" t="str">
        <f t="shared" ref="EP4:EP12" si="61">IF(EC4="","",EC4)</f>
        <v/>
      </c>
      <c r="EQ4" s="10" t="str">
        <f t="shared" ref="EQ4:EQ12" si="62">IF(EB4="","",EB4+EC4+EE4-ED4)</f>
        <v/>
      </c>
      <c r="ER4" s="10" t="str">
        <f t="shared" ref="ER4:ER12" si="63">IF(EN4="","",SUM(EN4,EP4))</f>
        <v/>
      </c>
      <c r="ES4" s="10" t="str">
        <f t="shared" ref="ES4:ES12" si="64">IF(EO4="","",SUM(EO4,EQ4))</f>
        <v/>
      </c>
      <c r="ET4" s="10" t="str">
        <f t="shared" ref="ET4:ET12" si="65">IF(EK4="","",SUM(EK4,EM4,EQ4))</f>
        <v/>
      </c>
    </row>
    <row r="5" spans="1:150" x14ac:dyDescent="0.2">
      <c r="A5" s="3" t="str" cm="1">
        <f t="array" ref="A5">IF(AND(H5&lt;&gt;"",H5&lt;&gt;"No DD"),SUMPRODUCT((H$4:H$13&lt;&gt;"")*(H$4:H$13&lt;&gt;"No DD")*(E$4:E$13&gt;E5))+1,IF(H5="No DD",SUMPRODUCT((H$4:H$13="No DD")*(E$4:E$13&gt;E5))+1+SUMPRODUCT((H$4:H$13&lt;&gt;"")*(H$4:H$13&lt;&gt;"No DD")),""))</f>
        <v/>
      </c>
      <c r="B5" s="4" t="s">
        <v>168</v>
      </c>
      <c r="C5" s="3" t="s">
        <v>3</v>
      </c>
      <c r="D5" s="3">
        <v>2011</v>
      </c>
      <c r="E5" s="8">
        <f t="shared" si="0"/>
        <v>92.500006960004612</v>
      </c>
      <c r="F5" s="2" t="str">
        <f>IF(OR(AND(AO5&lt;&gt;"",AO5&gt;=AV$18,AN5&gt;=AV$15),AND(AU5&lt;&gt;"",AU5&gt;=AV$18,AT5&gt;=AV$15),AND(BS5&lt;&gt;"",BS5&gt;=BZ$18,BR5&gt;=BZ$15),AND(BY5&lt;&gt;"",BY5&gt;=BZ$18,BX5&gt;=BZ$15),AND(DB5&lt;&gt;"",DB5&gt;=DK$18,DA5&gt;=DK$15),AND(DJ5&lt;&gt;"",DJ5&gt;=DK$18,DI5&gt;=DK$15),AND(EK5&lt;&gt;"",EK5&gt;=ET$18,EJ5&gt;=ET$15),AND(ES5&lt;&gt;"",ES5&gt;=ET$18,ER5&gt;=ET$15)),"P","")</f>
        <v/>
      </c>
      <c r="G5" s="2" t="str">
        <f>IF(OR(AND(AO5&lt;&gt;"",AO5&gt;=AV$18),AND(AU5&lt;&gt;"",AU5&gt;=AV$18),AND(BS5&lt;&gt;"",BS5&gt;=BZ$18),AND(BY5&lt;&gt;"",BY5&gt;=BZ$18),AND(DB5&lt;&gt;"",DB5&gt;=DK$18),AND(DJ5&lt;&gt;"",DJ5&gt;=DK$18),AND(EK5&lt;&gt;"",EK5&gt;=ET$18),AND(ES5&lt;&gt;"",ES5&gt;=ET$18)),"P","")</f>
        <v/>
      </c>
      <c r="H5" s="26" t="str">
        <f>IF(AND(G5="P",F5=""),"No DD",IF(OR(AND(AK5&lt;&gt;"",AK5&gt;=AV$20,AJ5&gt;=AV$17),AND(AM5&lt;&gt;"",AM5&gt;=AV$20,AL5&gt;=AV$17),AND(AQ5&lt;&gt;"",AQ5&gt;=AV$20,AP5&gt;=AV$17),AND(AS5&lt;&gt;"",AS5&gt;=AV$20,AR5&gt;=AV$17),AND(BO5&lt;&gt;"",BO5&gt;=BZ$20,BN5&gt;=BZ$17),AND(BQ5&lt;&gt;"",BQ5&gt;=BZ$20,BP5&gt;=BZ$17),AND(BV5&lt;&gt;"",BV5&gt;=BZ$20,BU5&gt;=BZ$17),AND(BX5&lt;&gt;"",BX5&gt;=BZ$20,BW5&gt;=BZ$17),AND(CX5&lt;&gt;"",CX5&gt;=DK$20,CW5&gt;=DK$17),AND(CZ5&lt;&gt;"",CZ5&gt;=DK$20,CY5&gt;=DK$17),AND(DD5&lt;&gt;"",DD5&gt;=DK$20,DC5&gt;=DK$17),AND(DF5&lt;&gt;"",DF5&gt;=DK$20,DE5&gt;=DK$17),AND(DH5&lt;&gt;"",DH5&gt;=DK$20,DG5&gt;=DK$17),AND(EG5&lt;&gt;"",EG5&gt;=ET$20,EF5&gt;=ET$17),AND(EI5&lt;&gt;"",EI5&gt;=ET$20,EH5&gt;=ET$17),AND(EM5&lt;&gt;"",EM5&gt;=ET$20,EL5&gt;=ET$17),AND(EO5&lt;&gt;"",EO5&gt;=ET$20,EN5&gt;=ET$17),AND(EQ5&lt;&gt;"",EQ5&gt;=ET$20,EP5&gt;=ET$17)),"Performance",IF(I5="P","Worlds Team",IF(F5="P","National Team",""))))</f>
        <v/>
      </c>
      <c r="I5" s="2" t="str">
        <f>IF(OR(AND(AO5&lt;&gt;"",AO5&gt;=AV$19,AN5&gt;=AV$16),AND(AU5&lt;&gt;"",AU5&gt;=AV$19,AT5&gt;=AV$16),AND(BS5&lt;&gt;"",BS5&gt;=BZ$19,BR5&gt;=BZ$16),AND(BY5&lt;&gt;"",BY5&gt;=BZ$19,BX5&gt;=BZ$16),AND(DB5&lt;&gt;"",DB5&gt;=DK$19,DA5&gt;=DK$16),AND(DJ5&lt;&gt;"",DJ5&gt;=DK$19,DI5&gt;=DK$16),AND(EK5&lt;&gt;"",EK5&gt;=ET$19,EJ5&gt;=ET$16),AND(ES5&lt;&gt;"",ES5&gt;=ET$19,ER5&gt;=ET$16)),"P","")</f>
        <v/>
      </c>
      <c r="J5" s="7">
        <f t="shared" si="1"/>
        <v>46.3</v>
      </c>
      <c r="K5" s="7" t="str">
        <f t="shared" si="2"/>
        <v>2026 Elite Canada</v>
      </c>
      <c r="L5" s="7">
        <f>IF(J5=AO5,IF(COUNT(AQ5,AS5,BO5,BQ5,BU5,BW5)&gt;1,LARGE((AQ5,AS5,BO5,BQ5,BU5,BW5),1),0),IF(COUNT(AK5,AM5,AQ5,AS5,BU5,BW5)&gt;1,LARGE((AK5,AM5,AQ5,AS5,BU5,BW5),1),0))</f>
        <v>23.3</v>
      </c>
      <c r="M5" s="7" t="str">
        <f t="shared" si="3"/>
        <v>2026 Elite Canada</v>
      </c>
      <c r="N5" s="7">
        <f>IF(J5=AO5,IF(COUNT(AQ5,AS5,BO5,BQ5,BU5,BW5)&gt;1,LARGE((AQ5,AS5,BO5,BQ5,BU5,BW5),2),0),IF(COUNT(AK5,AM5,AQ5,AS5,BU5,BW5)&gt;1,LARGE((AK5,AM5,AQ5,AS5,BU5,BW5),2),0))</f>
        <v>22.8</v>
      </c>
      <c r="O5" s="7" t="str">
        <f t="shared" si="4"/>
        <v>2026 Elite Canada</v>
      </c>
      <c r="P5" s="7">
        <f t="shared" si="5"/>
        <v>9.9999999999997868E-2</v>
      </c>
      <c r="Q5" s="10" t="str">
        <f t="shared" si="6"/>
        <v>(Pass)</v>
      </c>
      <c r="R5" s="7" t="str">
        <f t="shared" si="7"/>
        <v>2025 WAGC (Nov 16)</v>
      </c>
      <c r="S5" s="38">
        <v>18.2</v>
      </c>
      <c r="T5" s="38">
        <v>4.8</v>
      </c>
      <c r="U5" s="38">
        <v>0.2</v>
      </c>
      <c r="V5" s="38">
        <v>0.50000000000000155</v>
      </c>
      <c r="W5" s="38">
        <v>18.399999999999999</v>
      </c>
      <c r="X5" s="38">
        <v>4.8</v>
      </c>
      <c r="Y5" s="38">
        <v>0.2</v>
      </c>
      <c r="Z5" s="38">
        <v>0</v>
      </c>
      <c r="AA5" s="38">
        <v>18.100000000000001</v>
      </c>
      <c r="AB5" s="38">
        <v>4.8</v>
      </c>
      <c r="AC5" s="38">
        <v>0.6</v>
      </c>
      <c r="AD5" s="38">
        <v>0.49999999999999944</v>
      </c>
      <c r="AE5" s="38">
        <v>18.5</v>
      </c>
      <c r="AF5" s="38">
        <v>4.8</v>
      </c>
      <c r="AG5" s="38">
        <v>0</v>
      </c>
      <c r="AH5" s="38">
        <v>0</v>
      </c>
      <c r="AI5" s="19"/>
      <c r="AJ5" s="41">
        <f t="shared" si="8"/>
        <v>4.8</v>
      </c>
      <c r="AK5" s="41">
        <f t="shared" si="9"/>
        <v>23.3</v>
      </c>
      <c r="AL5" s="41">
        <f t="shared" si="10"/>
        <v>4.8</v>
      </c>
      <c r="AM5" s="41">
        <f t="shared" si="11"/>
        <v>23</v>
      </c>
      <c r="AN5" s="27">
        <f t="shared" si="12"/>
        <v>9.6</v>
      </c>
      <c r="AO5" s="27">
        <f t="shared" si="13"/>
        <v>46.3</v>
      </c>
      <c r="AP5" s="27">
        <f t="shared" si="14"/>
        <v>4.8</v>
      </c>
      <c r="AQ5" s="27">
        <f t="shared" si="15"/>
        <v>22.8</v>
      </c>
      <c r="AR5" s="27">
        <f t="shared" si="16"/>
        <v>4.8</v>
      </c>
      <c r="AS5" s="27">
        <f t="shared" si="17"/>
        <v>23.3</v>
      </c>
      <c r="AT5" s="27">
        <f t="shared" si="18"/>
        <v>9.6</v>
      </c>
      <c r="AU5" s="27">
        <f t="shared" si="19"/>
        <v>46.1</v>
      </c>
      <c r="AV5" s="27">
        <f t="shared" si="20"/>
        <v>92.4</v>
      </c>
      <c r="AW5" s="15"/>
      <c r="AX5" s="15"/>
      <c r="AY5" s="15"/>
      <c r="AZ5" s="15"/>
      <c r="BA5" s="15"/>
      <c r="BB5" s="15"/>
      <c r="BC5" s="15"/>
      <c r="BD5" s="15"/>
      <c r="BE5" s="15"/>
      <c r="BF5" s="15"/>
      <c r="BG5" s="15"/>
      <c r="BH5" s="15"/>
      <c r="BI5" s="15"/>
      <c r="BJ5" s="15"/>
      <c r="BK5" s="15"/>
      <c r="BL5" s="15"/>
      <c r="BM5" s="20"/>
      <c r="BN5" s="42" t="str">
        <f t="shared" si="21"/>
        <v/>
      </c>
      <c r="BO5" s="42" t="str">
        <f t="shared" si="22"/>
        <v/>
      </c>
      <c r="BP5" s="42" t="str">
        <f t="shared" si="23"/>
        <v/>
      </c>
      <c r="BQ5" s="42" t="str">
        <f t="shared" si="24"/>
        <v/>
      </c>
      <c r="BR5" s="10" t="str">
        <f t="shared" si="25"/>
        <v/>
      </c>
      <c r="BS5" s="10" t="str">
        <f t="shared" si="26"/>
        <v/>
      </c>
      <c r="BT5" s="10" t="str">
        <f t="shared" si="27"/>
        <v/>
      </c>
      <c r="BU5" s="10" t="str">
        <f t="shared" si="28"/>
        <v/>
      </c>
      <c r="BV5" s="10" t="str">
        <f t="shared" si="29"/>
        <v/>
      </c>
      <c r="BW5" s="10" t="str">
        <f t="shared" si="30"/>
        <v/>
      </c>
      <c r="BX5" s="10" t="str">
        <f t="shared" si="31"/>
        <v/>
      </c>
      <c r="BY5" s="10" t="str">
        <f t="shared" si="32"/>
        <v/>
      </c>
      <c r="BZ5" s="10" t="str">
        <f t="shared" si="33"/>
        <v/>
      </c>
      <c r="CA5" s="34" t="str">
        <f t="shared" si="34"/>
        <v/>
      </c>
      <c r="CB5" s="34">
        <f t="shared" si="35"/>
        <v>9.9999999999997868E-2</v>
      </c>
      <c r="CC5" s="14">
        <v>18.5</v>
      </c>
      <c r="CD5" s="14">
        <v>3.6</v>
      </c>
      <c r="CE5" s="14">
        <v>0.2</v>
      </c>
      <c r="CF5" s="14">
        <v>0</v>
      </c>
      <c r="CG5" s="14">
        <v>18.5</v>
      </c>
      <c r="CH5" s="14">
        <v>4.4000000000000004</v>
      </c>
      <c r="CI5" s="14">
        <v>0</v>
      </c>
      <c r="CJ5" s="14">
        <v>0</v>
      </c>
      <c r="CK5" s="14"/>
      <c r="CL5" s="14"/>
      <c r="CM5" s="14"/>
      <c r="CN5" s="14"/>
      <c r="CO5" s="14"/>
      <c r="CP5" s="14"/>
      <c r="CQ5" s="14"/>
      <c r="CR5" s="14"/>
      <c r="CS5" s="14"/>
      <c r="CT5" s="14"/>
      <c r="CU5" s="14"/>
      <c r="CV5" s="14"/>
      <c r="CW5" s="27">
        <f t="shared" si="36"/>
        <v>3.6</v>
      </c>
      <c r="CX5" s="27">
        <f t="shared" si="37"/>
        <v>21.900000000000002</v>
      </c>
      <c r="CY5" s="27">
        <f t="shared" si="38"/>
        <v>4.4000000000000004</v>
      </c>
      <c r="CZ5" s="27">
        <f t="shared" si="39"/>
        <v>22.9</v>
      </c>
      <c r="DA5" s="27">
        <f t="shared" si="40"/>
        <v>8</v>
      </c>
      <c r="DB5" s="27">
        <f t="shared" si="41"/>
        <v>44.8</v>
      </c>
      <c r="DC5" s="27" t="str">
        <f t="shared" si="42"/>
        <v/>
      </c>
      <c r="DD5" s="27" t="str">
        <f t="shared" si="43"/>
        <v/>
      </c>
      <c r="DE5" s="27" t="str">
        <f t="shared" si="44"/>
        <v/>
      </c>
      <c r="DF5" s="27" t="str">
        <f t="shared" si="45"/>
        <v/>
      </c>
      <c r="DG5" s="27" t="str">
        <f t="shared" si="46"/>
        <v/>
      </c>
      <c r="DH5" s="27" t="str">
        <f t="shared" si="47"/>
        <v/>
      </c>
      <c r="DI5" s="27" t="str">
        <f t="shared" si="48"/>
        <v/>
      </c>
      <c r="DJ5" s="27" t="str">
        <f t="shared" si="49"/>
        <v/>
      </c>
      <c r="DK5" s="27">
        <f t="shared" si="50"/>
        <v>44.8</v>
      </c>
      <c r="DL5" s="15"/>
      <c r="DM5" s="15"/>
      <c r="DN5" s="15"/>
      <c r="DO5" s="15"/>
      <c r="DP5" s="15"/>
      <c r="DQ5" s="15"/>
      <c r="DR5" s="15"/>
      <c r="DS5" s="15"/>
      <c r="DT5" s="15"/>
      <c r="DU5" s="15"/>
      <c r="DV5" s="15"/>
      <c r="DW5" s="15"/>
      <c r="DX5" s="15"/>
      <c r="DY5" s="15"/>
      <c r="DZ5" s="15"/>
      <c r="EA5" s="15"/>
      <c r="EB5" s="15"/>
      <c r="EC5" s="15"/>
      <c r="ED5" s="15"/>
      <c r="EE5" s="15"/>
      <c r="EF5" s="10" t="str">
        <f t="shared" si="51"/>
        <v/>
      </c>
      <c r="EG5" s="10" t="str">
        <f t="shared" si="52"/>
        <v/>
      </c>
      <c r="EH5" s="10" t="str">
        <f t="shared" si="53"/>
        <v/>
      </c>
      <c r="EI5" s="10" t="str">
        <f t="shared" si="54"/>
        <v/>
      </c>
      <c r="EJ5" s="10" t="str">
        <f t="shared" si="55"/>
        <v/>
      </c>
      <c r="EK5" s="10" t="str">
        <f t="shared" si="56"/>
        <v/>
      </c>
      <c r="EL5" s="10" t="str">
        <f t="shared" si="57"/>
        <v/>
      </c>
      <c r="EM5" s="10" t="str">
        <f t="shared" si="58"/>
        <v/>
      </c>
      <c r="EN5" s="10" t="str">
        <f t="shared" si="59"/>
        <v/>
      </c>
      <c r="EO5" s="10" t="str">
        <f t="shared" si="60"/>
        <v/>
      </c>
      <c r="EP5" s="10" t="str">
        <f t="shared" si="61"/>
        <v/>
      </c>
      <c r="EQ5" s="10" t="str">
        <f t="shared" si="62"/>
        <v/>
      </c>
      <c r="ER5" s="10" t="str">
        <f t="shared" si="63"/>
        <v/>
      </c>
      <c r="ES5" s="10" t="str">
        <f t="shared" si="64"/>
        <v/>
      </c>
      <c r="ET5" s="10" t="str">
        <f t="shared" si="65"/>
        <v/>
      </c>
    </row>
    <row r="6" spans="1:150" x14ac:dyDescent="0.2">
      <c r="A6" s="3" t="str" cm="1">
        <f t="array" ref="A6">IF(AND(H6&lt;&gt;"",H6&lt;&gt;"No DD"),SUMPRODUCT((H$4:H$13&lt;&gt;"")*(H$4:H$13&lt;&gt;"No DD")*(E$4:E$13&gt;E6))+1,IF(H6="No DD",SUMPRODUCT((H$4:H$13="No DD")*(E$4:E$13&gt;E6))+1+SUMPRODUCT((H$4:H$13&lt;&gt;"")*(H$4:H$13&lt;&gt;"No DD")),""))</f>
        <v/>
      </c>
      <c r="B6" s="4" t="s">
        <v>170</v>
      </c>
      <c r="C6" s="3" t="s">
        <v>5</v>
      </c>
      <c r="D6" s="3">
        <v>2011</v>
      </c>
      <c r="E6" s="8">
        <f t="shared" si="0"/>
        <v>88.400006670004473</v>
      </c>
      <c r="F6" s="2" t="str">
        <f>IF(OR(AND(AO6&lt;&gt;"",AO6&gt;=AV$18,AN6&gt;=AV$15),AND(AU6&lt;&gt;"",AU6&gt;=AV$18,AT6&gt;=AV$15),AND(BS6&lt;&gt;"",BS6&gt;=BZ$18,BR6&gt;=BZ$15),AND(BY6&lt;&gt;"",BY6&gt;=BZ$18,BX6&gt;=BZ$15),AND(DB6&lt;&gt;"",DB6&gt;=DK$18,DA6&gt;=DK$15),AND(DJ6&lt;&gt;"",DJ6&gt;=DK$18,DI6&gt;=DK$15),AND(EK6&lt;&gt;"",EK6&gt;=ET$18,EJ6&gt;=ET$15),AND(ES6&lt;&gt;"",ES6&gt;=ET$18,ER6&gt;=ET$15)),"P","")</f>
        <v/>
      </c>
      <c r="G6" s="2" t="str">
        <f>IF(OR(AND(AO6&lt;&gt;"",AO6&gt;=AV$18),AND(AU6&lt;&gt;"",AU6&gt;=AV$18),AND(BS6&lt;&gt;"",BS6&gt;=BZ$18),AND(BY6&lt;&gt;"",BY6&gt;=BZ$18),AND(DB6&lt;&gt;"",DB6&gt;=DK$18),AND(DJ6&lt;&gt;"",DJ6&gt;=DK$18),AND(EK6&lt;&gt;"",EK6&gt;=ET$18),AND(ES6&lt;&gt;"",ES6&gt;=ET$18)),"P","")</f>
        <v/>
      </c>
      <c r="H6" s="26" t="str">
        <f>IF(AND(G6="P",F6=""),"No DD",IF(OR(AND(AK6&lt;&gt;"",AK6&gt;=AV$20,AJ6&gt;=AV$17),AND(AM6&lt;&gt;"",AM6&gt;=AV$20,AL6&gt;=AV$17),AND(AQ6&lt;&gt;"",AQ6&gt;=AV$20,AP6&gt;=AV$17),AND(AS6&lt;&gt;"",AS6&gt;=AV$20,AR6&gt;=AV$17),AND(BO6&lt;&gt;"",BO6&gt;=BZ$20,BN6&gt;=BZ$17),AND(BQ6&lt;&gt;"",BQ6&gt;=BZ$20,BP6&gt;=BZ$17),AND(BV6&lt;&gt;"",BV6&gt;=BZ$20,BU6&gt;=BZ$17),AND(BX6&lt;&gt;"",BX6&gt;=BZ$20,BW6&gt;=BZ$17),AND(CX6&lt;&gt;"",CX6&gt;=DK$20,CW6&gt;=DK$17),AND(CZ6&lt;&gt;"",CZ6&gt;=DK$20,CY6&gt;=DK$17),AND(DD6&lt;&gt;"",DD6&gt;=DK$20,DC6&gt;=DK$17),AND(DF6&lt;&gt;"",DF6&gt;=DK$20,DE6&gt;=DK$17),AND(DH6&lt;&gt;"",DH6&gt;=DK$20,DG6&gt;=DK$17),AND(EG6&lt;&gt;"",EG6&gt;=ET$20,EF6&gt;=ET$17),AND(EI6&lt;&gt;"",EI6&gt;=ET$20,EH6&gt;=ET$17),AND(EM6&lt;&gt;"",EM6&gt;=ET$20,EL6&gt;=ET$17),AND(EO6&lt;&gt;"",EO6&gt;=ET$20,EN6&gt;=ET$17),AND(EQ6&lt;&gt;"",EQ6&gt;=ET$20,EP6&gt;=ET$17)),"Performance",IF(I6="P","Worlds Team",IF(F6="P","National Team",""))))</f>
        <v/>
      </c>
      <c r="I6" s="2" t="str">
        <f>IF(OR(AND(AO6&lt;&gt;"",AO6&gt;=AV$19,AN6&gt;=AV$16),AND(AU6&lt;&gt;"",AU6&gt;=AV$19,AT6&gt;=AV$16),AND(BS6&lt;&gt;"",BS6&gt;=BZ$19,BR6&gt;=BZ$16),AND(BY6&lt;&gt;"",BY6&gt;=BZ$19,BX6&gt;=BZ$16),AND(DB6&lt;&gt;"",DB6&gt;=DK$19,DA6&gt;=DK$16),AND(DJ6&lt;&gt;"",DJ6&gt;=DK$19,DI6&gt;=DK$16),AND(EK6&lt;&gt;"",EK6&gt;=ET$19,EJ6&gt;=ET$16),AND(ES6&lt;&gt;"",ES6&gt;=ET$19,ER6&gt;=ET$16)),"P","")</f>
        <v/>
      </c>
      <c r="J6" s="7">
        <f t="shared" si="1"/>
        <v>44.6</v>
      </c>
      <c r="K6" s="7" t="str">
        <f t="shared" si="2"/>
        <v>2026 Elite Canada</v>
      </c>
      <c r="L6" s="7">
        <f>IF(J6=AO6,IF(COUNT(AQ6,AS6,BO6,BQ6,BU6,BW6)&gt;1,LARGE((AQ6,AS6,BO6,BQ6,BU6,BW6),1),0),IF(COUNT(AK6,AM6,AQ6,AS6,BU6,BW6)&gt;1,LARGE((AK6,AM6,AQ6,AS6,BU6,BW6),1),0))</f>
        <v>22.1</v>
      </c>
      <c r="M6" s="7" t="str">
        <f t="shared" si="3"/>
        <v>2026 Elite Canada</v>
      </c>
      <c r="N6" s="7">
        <f>IF(J6=AO6,IF(COUNT(AQ6,AS6,BO6,BQ6,BU6,BW6)&gt;1,LARGE((AQ6,AS6,BO6,BQ6,BU6,BW6),2),0),IF(COUNT(AK6,AM6,AQ6,AS6,BU6,BW6)&gt;1,LARGE((AK6,AM6,AQ6,AS6,BU6,BW6),2),0))</f>
        <v>21.7</v>
      </c>
      <c r="O6" s="7" t="str">
        <f t="shared" si="4"/>
        <v>2026 Elite Canada</v>
      </c>
      <c r="P6" s="7" t="str">
        <f t="shared" si="5"/>
        <v/>
      </c>
      <c r="Q6" s="10" t="str">
        <f t="shared" si="6"/>
        <v/>
      </c>
      <c r="R6" s="7" t="str">
        <f t="shared" si="7"/>
        <v/>
      </c>
      <c r="S6" s="38">
        <v>19</v>
      </c>
      <c r="T6" s="38">
        <v>3.5</v>
      </c>
      <c r="U6" s="38">
        <v>0</v>
      </c>
      <c r="V6" s="38">
        <v>0</v>
      </c>
      <c r="W6" s="38">
        <v>18.5</v>
      </c>
      <c r="X6" s="38">
        <v>3.6</v>
      </c>
      <c r="Y6" s="38">
        <v>0</v>
      </c>
      <c r="Z6" s="38">
        <v>0</v>
      </c>
      <c r="AA6" s="38">
        <v>18.2</v>
      </c>
      <c r="AB6" s="38">
        <v>3.5</v>
      </c>
      <c r="AC6" s="38">
        <v>0</v>
      </c>
      <c r="AD6" s="38">
        <v>0</v>
      </c>
      <c r="AE6" s="38">
        <v>18.5</v>
      </c>
      <c r="AF6" s="38">
        <v>3.6</v>
      </c>
      <c r="AG6" s="38">
        <v>0</v>
      </c>
      <c r="AH6" s="38">
        <v>0</v>
      </c>
      <c r="AI6" s="19"/>
      <c r="AJ6" s="41">
        <f t="shared" si="8"/>
        <v>3.5</v>
      </c>
      <c r="AK6" s="41">
        <f t="shared" si="9"/>
        <v>22.5</v>
      </c>
      <c r="AL6" s="41">
        <f t="shared" si="10"/>
        <v>3.6</v>
      </c>
      <c r="AM6" s="41">
        <f t="shared" si="11"/>
        <v>22.1</v>
      </c>
      <c r="AN6" s="27">
        <f t="shared" si="12"/>
        <v>7.1</v>
      </c>
      <c r="AO6" s="27">
        <f t="shared" si="13"/>
        <v>44.6</v>
      </c>
      <c r="AP6" s="27">
        <f t="shared" si="14"/>
        <v>3.5</v>
      </c>
      <c r="AQ6" s="27">
        <f t="shared" si="15"/>
        <v>21.7</v>
      </c>
      <c r="AR6" s="27">
        <f t="shared" si="16"/>
        <v>3.6</v>
      </c>
      <c r="AS6" s="27">
        <f t="shared" si="17"/>
        <v>22.1</v>
      </c>
      <c r="AT6" s="27">
        <f t="shared" si="18"/>
        <v>7.1</v>
      </c>
      <c r="AU6" s="27">
        <f t="shared" si="19"/>
        <v>43.8</v>
      </c>
      <c r="AV6" s="27">
        <f t="shared" si="20"/>
        <v>88.4</v>
      </c>
      <c r="AW6" s="15"/>
      <c r="AX6" s="15"/>
      <c r="AY6" s="15"/>
      <c r="AZ6" s="15"/>
      <c r="BA6" s="15"/>
      <c r="BB6" s="15"/>
      <c r="BC6" s="15"/>
      <c r="BD6" s="15"/>
      <c r="BE6" s="15"/>
      <c r="BF6" s="15"/>
      <c r="BG6" s="15"/>
      <c r="BH6" s="15"/>
      <c r="BI6" s="15"/>
      <c r="BJ6" s="15"/>
      <c r="BK6" s="15"/>
      <c r="BL6" s="15"/>
      <c r="BM6" s="20"/>
      <c r="BN6" s="42" t="str">
        <f t="shared" si="21"/>
        <v/>
      </c>
      <c r="BO6" s="42" t="str">
        <f t="shared" si="22"/>
        <v/>
      </c>
      <c r="BP6" s="42" t="str">
        <f t="shared" si="23"/>
        <v/>
      </c>
      <c r="BQ6" s="42" t="str">
        <f t="shared" si="24"/>
        <v/>
      </c>
      <c r="BR6" s="10" t="str">
        <f t="shared" si="25"/>
        <v/>
      </c>
      <c r="BS6" s="10" t="str">
        <f t="shared" si="26"/>
        <v/>
      </c>
      <c r="BT6" s="10" t="str">
        <f t="shared" si="27"/>
        <v/>
      </c>
      <c r="BU6" s="10" t="str">
        <f t="shared" si="28"/>
        <v/>
      </c>
      <c r="BV6" s="10" t="str">
        <f t="shared" si="29"/>
        <v/>
      </c>
      <c r="BW6" s="10" t="str">
        <f t="shared" si="30"/>
        <v/>
      </c>
      <c r="BX6" s="10" t="str">
        <f t="shared" si="31"/>
        <v/>
      </c>
      <c r="BY6" s="10" t="str">
        <f t="shared" si="32"/>
        <v/>
      </c>
      <c r="BZ6" s="10" t="str">
        <f t="shared" si="33"/>
        <v/>
      </c>
      <c r="CA6" s="34" t="str">
        <f t="shared" si="34"/>
        <v/>
      </c>
      <c r="CB6" s="34" t="str">
        <f t="shared" si="35"/>
        <v/>
      </c>
      <c r="CC6" s="14"/>
      <c r="CD6" s="14"/>
      <c r="CE6" s="14"/>
      <c r="CF6" s="14"/>
      <c r="CG6" s="14"/>
      <c r="CH6" s="14"/>
      <c r="CI6" s="14"/>
      <c r="CJ6" s="14"/>
      <c r="CK6" s="14"/>
      <c r="CL6" s="14"/>
      <c r="CM6" s="14"/>
      <c r="CN6" s="14"/>
      <c r="CO6" s="14"/>
      <c r="CP6" s="14"/>
      <c r="CQ6" s="14"/>
      <c r="CR6" s="14"/>
      <c r="CS6" s="14"/>
      <c r="CT6" s="14"/>
      <c r="CU6" s="14"/>
      <c r="CV6" s="14"/>
      <c r="CW6" s="27" t="str">
        <f t="shared" si="36"/>
        <v/>
      </c>
      <c r="CX6" s="27" t="str">
        <f t="shared" si="37"/>
        <v/>
      </c>
      <c r="CY6" s="27" t="str">
        <f t="shared" si="38"/>
        <v/>
      </c>
      <c r="CZ6" s="27" t="str">
        <f t="shared" si="39"/>
        <v/>
      </c>
      <c r="DA6" s="27" t="str">
        <f t="shared" si="40"/>
        <v/>
      </c>
      <c r="DB6" s="27" t="str">
        <f t="shared" si="41"/>
        <v/>
      </c>
      <c r="DC6" s="27" t="str">
        <f t="shared" si="42"/>
        <v/>
      </c>
      <c r="DD6" s="27" t="str">
        <f t="shared" si="43"/>
        <v/>
      </c>
      <c r="DE6" s="27" t="str">
        <f t="shared" si="44"/>
        <v/>
      </c>
      <c r="DF6" s="27" t="str">
        <f t="shared" si="45"/>
        <v/>
      </c>
      <c r="DG6" s="27" t="str">
        <f t="shared" si="46"/>
        <v/>
      </c>
      <c r="DH6" s="27" t="str">
        <f t="shared" si="47"/>
        <v/>
      </c>
      <c r="DI6" s="27" t="str">
        <f t="shared" si="48"/>
        <v/>
      </c>
      <c r="DJ6" s="27" t="str">
        <f t="shared" si="49"/>
        <v/>
      </c>
      <c r="DK6" s="27" t="str">
        <f t="shared" si="50"/>
        <v/>
      </c>
      <c r="DL6" s="15"/>
      <c r="DM6" s="15"/>
      <c r="DN6" s="15"/>
      <c r="DO6" s="15"/>
      <c r="DP6" s="15"/>
      <c r="DQ6" s="15"/>
      <c r="DR6" s="15"/>
      <c r="DS6" s="15"/>
      <c r="DT6" s="15"/>
      <c r="DU6" s="15"/>
      <c r="DV6" s="15"/>
      <c r="DW6" s="15"/>
      <c r="DX6" s="15"/>
      <c r="DY6" s="15"/>
      <c r="DZ6" s="15"/>
      <c r="EA6" s="15"/>
      <c r="EB6" s="15"/>
      <c r="EC6" s="15"/>
      <c r="ED6" s="15"/>
      <c r="EE6" s="15"/>
      <c r="EF6" s="10" t="str">
        <f t="shared" si="51"/>
        <v/>
      </c>
      <c r="EG6" s="10" t="str">
        <f t="shared" si="52"/>
        <v/>
      </c>
      <c r="EH6" s="10" t="str">
        <f t="shared" si="53"/>
        <v/>
      </c>
      <c r="EI6" s="10" t="str">
        <f t="shared" si="54"/>
        <v/>
      </c>
      <c r="EJ6" s="10" t="str">
        <f t="shared" si="55"/>
        <v/>
      </c>
      <c r="EK6" s="10" t="str">
        <f t="shared" si="56"/>
        <v/>
      </c>
      <c r="EL6" s="10" t="str">
        <f t="shared" si="57"/>
        <v/>
      </c>
      <c r="EM6" s="10" t="str">
        <f t="shared" si="58"/>
        <v/>
      </c>
      <c r="EN6" s="10" t="str">
        <f t="shared" si="59"/>
        <v/>
      </c>
      <c r="EO6" s="10" t="str">
        <f t="shared" si="60"/>
        <v/>
      </c>
      <c r="EP6" s="10" t="str">
        <f t="shared" si="61"/>
        <v/>
      </c>
      <c r="EQ6" s="10" t="str">
        <f t="shared" si="62"/>
        <v/>
      </c>
      <c r="ER6" s="10" t="str">
        <f t="shared" si="63"/>
        <v/>
      </c>
      <c r="ES6" s="10" t="str">
        <f t="shared" si="64"/>
        <v/>
      </c>
      <c r="ET6" s="10" t="str">
        <f t="shared" si="65"/>
        <v/>
      </c>
    </row>
    <row r="7" spans="1:150" x14ac:dyDescent="0.2">
      <c r="A7" s="3" t="str" cm="1">
        <f t="array" ref="A7">IF(AND(H7&lt;&gt;"",H7&lt;&gt;"No DD"),SUMPRODUCT((H$4:H$13&lt;&gt;"")*(H$4:H$13&lt;&gt;"No DD")*(E$4:E$13&gt;E7))+1,IF(H7="No DD",SUMPRODUCT((H$4:H$13="No DD")*(E$4:E$13&gt;E7))+1+SUMPRODUCT((H$4:H$13&lt;&gt;"")*(H$4:H$13&lt;&gt;"No DD")),""))</f>
        <v/>
      </c>
      <c r="B7" s="4" t="s">
        <v>171</v>
      </c>
      <c r="C7" s="3" t="s">
        <v>4</v>
      </c>
      <c r="D7" s="3">
        <v>2012</v>
      </c>
      <c r="E7" s="8">
        <f t="shared" si="0"/>
        <v>87.400006480004251</v>
      </c>
      <c r="F7" s="2" t="str">
        <f>IF(OR(AND(AO7&lt;&gt;"",AO7&gt;=AV$18,AN7&gt;=AV$15),AND(AU7&lt;&gt;"",AU7&gt;=AV$18,AT7&gt;=AV$15),AND(BS7&lt;&gt;"",BS7&gt;=BZ$18,BR7&gt;=BZ$15),AND(BY7&lt;&gt;"",BY7&gt;=BZ$18,BX7&gt;=BZ$15),AND(DB7&lt;&gt;"",DB7&gt;=DK$18,DA7&gt;=DK$15),AND(DJ7&lt;&gt;"",DJ7&gt;=DK$18,DI7&gt;=DK$15),AND(EK7&lt;&gt;"",EK7&gt;=ET$18,EJ7&gt;=ET$15),AND(ES7&lt;&gt;"",ES7&gt;=ET$18,ER7&gt;=ET$15)),"P","")</f>
        <v/>
      </c>
      <c r="G7" s="2" t="str">
        <f>IF(OR(AND(AO7&lt;&gt;"",AO7&gt;=AV$18),AND(AU7&lt;&gt;"",AU7&gt;=AV$18),AND(BS7&lt;&gt;"",BS7&gt;=BZ$18),AND(BY7&lt;&gt;"",BY7&gt;=BZ$18),AND(DB7&lt;&gt;"",DB7&gt;=DK$18),AND(DJ7&lt;&gt;"",DJ7&gt;=DK$18),AND(EK7&lt;&gt;"",EK7&gt;=ET$18),AND(ES7&lt;&gt;"",ES7&gt;=ET$18)),"P","")</f>
        <v/>
      </c>
      <c r="H7" s="26" t="str">
        <f>IF(AND(G7="P",F7=""),"No DD",IF(OR(AND(AK7&lt;&gt;"",AK7&gt;=AV$20,AJ7&gt;=AV$17),AND(AM7&lt;&gt;"",AM7&gt;=AV$20,AL7&gt;=AV$17),AND(AQ7&lt;&gt;"",AQ7&gt;=AV$20,AP7&gt;=AV$17),AND(AS7&lt;&gt;"",AS7&gt;=AV$20,AR7&gt;=AV$17),AND(BO7&lt;&gt;"",BO7&gt;=BZ$20,BN7&gt;=BZ$17),AND(BQ7&lt;&gt;"",BQ7&gt;=BZ$20,BP7&gt;=BZ$17),AND(BV7&lt;&gt;"",BV7&gt;=BZ$20,BU7&gt;=BZ$17),AND(BX7&lt;&gt;"",BX7&gt;=BZ$20,BW7&gt;=BZ$17),AND(CX7&lt;&gt;"",CX7&gt;=DK$20,CW7&gt;=DK$17),AND(CZ7&lt;&gt;"",CZ7&gt;=DK$20,CY7&gt;=DK$17),AND(DD7&lt;&gt;"",DD7&gt;=DK$20,DC7&gt;=DK$17),AND(DF7&lt;&gt;"",DF7&gt;=DK$20,DE7&gt;=DK$17),AND(DH7&lt;&gt;"",DH7&gt;=DK$20,DG7&gt;=DK$17),AND(EG7&lt;&gt;"",EG7&gt;=ET$20,EF7&gt;=ET$17),AND(EI7&lt;&gt;"",EI7&gt;=ET$20,EH7&gt;=ET$17),AND(EM7&lt;&gt;"",EM7&gt;=ET$20,EL7&gt;=ET$17),AND(EO7&lt;&gt;"",EO7&gt;=ET$20,EN7&gt;=ET$17),AND(EQ7&lt;&gt;"",EQ7&gt;=ET$20,EP7&gt;=ET$17)),"Performance",IF(I7="P","Worlds Team",IF(F7="P","National Team",""))))</f>
        <v/>
      </c>
      <c r="I7" s="2" t="str">
        <f>IF(OR(AND(AO7&lt;&gt;"",AO7&gt;=AV$19,AN7&gt;=AV$16),AND(AU7&lt;&gt;"",AU7&gt;=AV$19,AT7&gt;=AV$16),AND(BS7&lt;&gt;"",BS7&gt;=BZ$19,BR7&gt;=BZ$16),AND(BY7&lt;&gt;"",BY7&gt;=BZ$19,BX7&gt;=BZ$16),AND(DB7&lt;&gt;"",DB7&gt;=DK$19,DA7&gt;=DK$16),AND(DJ7&lt;&gt;"",DJ7&gt;=DK$19,DI7&gt;=DK$16),AND(EK7&lt;&gt;"",EK7&gt;=ET$19,EJ7&gt;=ET$16),AND(ES7&lt;&gt;"",ES7&gt;=ET$19,ER7&gt;=ET$16)),"P","")</f>
        <v/>
      </c>
      <c r="J7" s="7">
        <f t="shared" si="1"/>
        <v>42.7</v>
      </c>
      <c r="K7" s="7" t="str">
        <f t="shared" si="2"/>
        <v>2026 Elite Canada</v>
      </c>
      <c r="L7" s="7">
        <f>IF(J7=AO7,IF(COUNT(AQ7,AS7,BO7,BQ7,BU7,BW7)&gt;1,LARGE((AQ7,AS7,BO7,BQ7,BU7,BW7),1),0),IF(COUNT(AK7,AM7,AQ7,AS7,BU7,BW7)&gt;1,LARGE((AK7,AM7,AQ7,AS7,BU7,BW7),1),0))</f>
        <v>22.099999999999998</v>
      </c>
      <c r="M7" s="7" t="str">
        <f t="shared" si="3"/>
        <v>2026 Elite Canada</v>
      </c>
      <c r="N7" s="7">
        <f>IF(J7=AO7,IF(COUNT(AQ7,AS7,BO7,BQ7,BU7,BW7)&gt;1,LARGE((AQ7,AS7,BO7,BQ7,BU7,BW7),2),0),IF(COUNT(AK7,AM7,AQ7,AS7,BU7,BW7)&gt;1,LARGE((AK7,AM7,AQ7,AS7,BU7,BW7),2),0))</f>
        <v>22</v>
      </c>
      <c r="O7" s="7" t="str">
        <f t="shared" si="4"/>
        <v>2026 Elite Canada</v>
      </c>
      <c r="P7" s="7">
        <f t="shared" si="5"/>
        <v>0.59999999999999432</v>
      </c>
      <c r="Q7" s="10" t="str">
        <f t="shared" si="6"/>
        <v>(Q1)</v>
      </c>
      <c r="R7" s="7" t="str">
        <f t="shared" si="7"/>
        <v>2025 WAGC (Nov 16)</v>
      </c>
      <c r="S7" s="38">
        <v>18</v>
      </c>
      <c r="T7" s="38">
        <v>4</v>
      </c>
      <c r="U7" s="38">
        <v>0.8</v>
      </c>
      <c r="V7" s="38">
        <v>0</v>
      </c>
      <c r="W7" s="38">
        <v>17.7</v>
      </c>
      <c r="X7" s="38">
        <v>4.4000000000000004</v>
      </c>
      <c r="Y7" s="38">
        <v>0.6</v>
      </c>
      <c r="Z7" s="38">
        <v>0</v>
      </c>
      <c r="AA7" s="38">
        <v>18.399999999999999</v>
      </c>
      <c r="AB7" s="38">
        <v>3.7</v>
      </c>
      <c r="AC7" s="38">
        <v>0</v>
      </c>
      <c r="AD7" s="38">
        <v>0</v>
      </c>
      <c r="AE7" s="38">
        <v>17.600000000000001</v>
      </c>
      <c r="AF7" s="38">
        <v>5.2</v>
      </c>
      <c r="AG7" s="38">
        <v>0.8</v>
      </c>
      <c r="AH7" s="38">
        <v>0</v>
      </c>
      <c r="AI7" s="19"/>
      <c r="AJ7" s="41">
        <f t="shared" si="8"/>
        <v>4</v>
      </c>
      <c r="AK7" s="41">
        <f t="shared" si="9"/>
        <v>21.2</v>
      </c>
      <c r="AL7" s="41">
        <f t="shared" si="10"/>
        <v>4.4000000000000004</v>
      </c>
      <c r="AM7" s="41">
        <f t="shared" si="11"/>
        <v>21.5</v>
      </c>
      <c r="AN7" s="27">
        <f t="shared" si="12"/>
        <v>8.4</v>
      </c>
      <c r="AO7" s="27">
        <f t="shared" si="13"/>
        <v>42.7</v>
      </c>
      <c r="AP7" s="27">
        <f t="shared" si="14"/>
        <v>3.7</v>
      </c>
      <c r="AQ7" s="27">
        <f t="shared" si="15"/>
        <v>22.099999999999998</v>
      </c>
      <c r="AR7" s="27">
        <f t="shared" si="16"/>
        <v>5.2</v>
      </c>
      <c r="AS7" s="27">
        <f t="shared" si="17"/>
        <v>22</v>
      </c>
      <c r="AT7" s="27">
        <f t="shared" si="18"/>
        <v>8.9</v>
      </c>
      <c r="AU7" s="27">
        <f t="shared" si="19"/>
        <v>44.099999999999994</v>
      </c>
      <c r="AV7" s="27">
        <f t="shared" si="20"/>
        <v>86.8</v>
      </c>
      <c r="AW7" s="15"/>
      <c r="AX7" s="15"/>
      <c r="AY7" s="15"/>
      <c r="AZ7" s="15"/>
      <c r="BA7" s="15"/>
      <c r="BB7" s="15"/>
      <c r="BC7" s="15"/>
      <c r="BD7" s="15"/>
      <c r="BE7" s="15"/>
      <c r="BF7" s="15"/>
      <c r="BG7" s="15"/>
      <c r="BH7" s="15"/>
      <c r="BI7" s="15"/>
      <c r="BJ7" s="15"/>
      <c r="BK7" s="15"/>
      <c r="BL7" s="15"/>
      <c r="BM7" s="20"/>
      <c r="BN7" s="42" t="str">
        <f t="shared" si="21"/>
        <v/>
      </c>
      <c r="BO7" s="42" t="str">
        <f t="shared" si="22"/>
        <v/>
      </c>
      <c r="BP7" s="42" t="str">
        <f t="shared" si="23"/>
        <v/>
      </c>
      <c r="BQ7" s="42" t="str">
        <f t="shared" si="24"/>
        <v/>
      </c>
      <c r="BR7" s="10" t="str">
        <f t="shared" si="25"/>
        <v/>
      </c>
      <c r="BS7" s="10" t="str">
        <f t="shared" si="26"/>
        <v/>
      </c>
      <c r="BT7" s="10" t="str">
        <f t="shared" si="27"/>
        <v/>
      </c>
      <c r="BU7" s="10" t="str">
        <f t="shared" si="28"/>
        <v/>
      </c>
      <c r="BV7" s="10" t="str">
        <f t="shared" si="29"/>
        <v/>
      </c>
      <c r="BW7" s="10" t="str">
        <f t="shared" si="30"/>
        <v/>
      </c>
      <c r="BX7" s="10" t="str">
        <f t="shared" si="31"/>
        <v/>
      </c>
      <c r="BY7" s="10" t="str">
        <f t="shared" si="32"/>
        <v/>
      </c>
      <c r="BZ7" s="10" t="str">
        <f t="shared" si="33"/>
        <v/>
      </c>
      <c r="CA7" s="34">
        <f t="shared" si="34"/>
        <v>0.59999999999999432</v>
      </c>
      <c r="CB7" s="34">
        <f t="shared" si="35"/>
        <v>0.19999999999999929</v>
      </c>
      <c r="CC7" s="14">
        <v>18.600000000000001</v>
      </c>
      <c r="CD7" s="14">
        <v>3.5</v>
      </c>
      <c r="CE7" s="14">
        <v>1</v>
      </c>
      <c r="CF7" s="14">
        <v>0</v>
      </c>
      <c r="CG7" s="14">
        <v>18</v>
      </c>
      <c r="CH7" s="14">
        <v>4.4000000000000004</v>
      </c>
      <c r="CI7" s="14">
        <v>0.2</v>
      </c>
      <c r="CJ7" s="14">
        <v>0</v>
      </c>
      <c r="CK7" s="14"/>
      <c r="CL7" s="14"/>
      <c r="CM7" s="14"/>
      <c r="CN7" s="14"/>
      <c r="CO7" s="14"/>
      <c r="CP7" s="14"/>
      <c r="CQ7" s="14"/>
      <c r="CR7" s="14"/>
      <c r="CS7" s="14"/>
      <c r="CT7" s="14"/>
      <c r="CU7" s="14"/>
      <c r="CV7" s="14"/>
      <c r="CW7" s="27">
        <f t="shared" si="36"/>
        <v>3.5</v>
      </c>
      <c r="CX7" s="27">
        <f t="shared" si="37"/>
        <v>21.1</v>
      </c>
      <c r="CY7" s="27">
        <f t="shared" si="38"/>
        <v>4.4000000000000004</v>
      </c>
      <c r="CZ7" s="27">
        <f t="shared" si="39"/>
        <v>22.2</v>
      </c>
      <c r="DA7" s="27">
        <f t="shared" si="40"/>
        <v>7.9</v>
      </c>
      <c r="DB7" s="27">
        <f t="shared" si="41"/>
        <v>43.3</v>
      </c>
      <c r="DC7" s="27" t="str">
        <f t="shared" si="42"/>
        <v/>
      </c>
      <c r="DD7" s="27" t="str">
        <f t="shared" si="43"/>
        <v/>
      </c>
      <c r="DE7" s="27" t="str">
        <f t="shared" si="44"/>
        <v/>
      </c>
      <c r="DF7" s="27" t="str">
        <f t="shared" si="45"/>
        <v/>
      </c>
      <c r="DG7" s="27" t="str">
        <f t="shared" si="46"/>
        <v/>
      </c>
      <c r="DH7" s="27" t="str">
        <f t="shared" si="47"/>
        <v/>
      </c>
      <c r="DI7" s="27" t="str">
        <f t="shared" si="48"/>
        <v/>
      </c>
      <c r="DJ7" s="27" t="str">
        <f t="shared" si="49"/>
        <v/>
      </c>
      <c r="DK7" s="27">
        <f t="shared" si="50"/>
        <v>43.3</v>
      </c>
      <c r="DL7" s="15"/>
      <c r="DM7" s="15"/>
      <c r="DN7" s="15"/>
      <c r="DO7" s="15"/>
      <c r="DP7" s="15"/>
      <c r="DQ7" s="15"/>
      <c r="DR7" s="15"/>
      <c r="DS7" s="15"/>
      <c r="DT7" s="15"/>
      <c r="DU7" s="15"/>
      <c r="DV7" s="15"/>
      <c r="DW7" s="15"/>
      <c r="DX7" s="15"/>
      <c r="DY7" s="15"/>
      <c r="DZ7" s="15"/>
      <c r="EA7" s="15"/>
      <c r="EB7" s="15"/>
      <c r="EC7" s="15"/>
      <c r="ED7" s="15"/>
      <c r="EE7" s="15"/>
      <c r="EF7" s="10" t="str">
        <f t="shared" si="51"/>
        <v/>
      </c>
      <c r="EG7" s="10" t="str">
        <f t="shared" si="52"/>
        <v/>
      </c>
      <c r="EH7" s="10" t="str">
        <f t="shared" si="53"/>
        <v/>
      </c>
      <c r="EI7" s="10" t="str">
        <f t="shared" si="54"/>
        <v/>
      </c>
      <c r="EJ7" s="10" t="str">
        <f t="shared" si="55"/>
        <v/>
      </c>
      <c r="EK7" s="10" t="str">
        <f t="shared" si="56"/>
        <v/>
      </c>
      <c r="EL7" s="10" t="str">
        <f t="shared" si="57"/>
        <v/>
      </c>
      <c r="EM7" s="10" t="str">
        <f t="shared" si="58"/>
        <v/>
      </c>
      <c r="EN7" s="10" t="str">
        <f t="shared" si="59"/>
        <v/>
      </c>
      <c r="EO7" s="10" t="str">
        <f t="shared" si="60"/>
        <v/>
      </c>
      <c r="EP7" s="10" t="str">
        <f t="shared" si="61"/>
        <v/>
      </c>
      <c r="EQ7" s="10" t="str">
        <f t="shared" si="62"/>
        <v/>
      </c>
      <c r="ER7" s="10" t="str">
        <f t="shared" si="63"/>
        <v/>
      </c>
      <c r="ES7" s="10" t="str">
        <f t="shared" si="64"/>
        <v/>
      </c>
      <c r="ET7" s="10" t="str">
        <f t="shared" si="65"/>
        <v/>
      </c>
    </row>
    <row r="8" spans="1:150" x14ac:dyDescent="0.2">
      <c r="A8" s="3" t="str" cm="1">
        <f t="array" ref="A8">IF(AND(H8&lt;&gt;"",H8&lt;&gt;"No DD"),SUMPRODUCT((H$4:H$13&lt;&gt;"")*(H$4:H$13&lt;&gt;"No DD")*(E$4:E$13&gt;E8))+1,IF(H8="No DD",SUMPRODUCT((H$4:H$13="No DD")*(E$4:E$13&gt;E8))+1+SUMPRODUCT((H$4:H$13&lt;&gt;"")*(H$4:H$13&lt;&gt;"No DD")),""))</f>
        <v/>
      </c>
      <c r="B8" s="4" t="s">
        <v>144</v>
      </c>
      <c r="C8" s="3" t="s">
        <v>5</v>
      </c>
      <c r="D8" s="3">
        <v>2010</v>
      </c>
      <c r="E8" s="8">
        <f t="shared" si="0"/>
        <v>83.300006350004168</v>
      </c>
      <c r="F8" s="2" t="str">
        <f>IF(OR(AND(AO8&lt;&gt;"",AO8&gt;=AV$18,AN8&gt;=AV$15),AND(AU8&lt;&gt;"",AU8&gt;=AV$18,AT8&gt;=AV$15),AND(BS8&lt;&gt;"",BS8&gt;=BZ$18,BR8&gt;=BZ$15),AND(BY8&lt;&gt;"",BY8&gt;=BZ$18,BX8&gt;=BZ$15),AND(DB8&lt;&gt;"",DB8&gt;=DK$18,DA8&gt;=DK$15),AND(DJ8&lt;&gt;"",DJ8&gt;=DK$18,DI8&gt;=DK$15),AND(EK8&lt;&gt;"",EK8&gt;=ET$18,EJ8&gt;=ET$15),AND(ES8&lt;&gt;"",ES8&gt;=ET$18,ER8&gt;=ET$15)),"P","")</f>
        <v/>
      </c>
      <c r="G8" s="2" t="str">
        <f>IF(OR(AND(AO8&lt;&gt;"",AO8&gt;=AV$18),AND(AU8&lt;&gt;"",AU8&gt;=AV$18),AND(BS8&lt;&gt;"",BS8&gt;=BZ$18),AND(BY8&lt;&gt;"",BY8&gt;=BZ$18),AND(DB8&lt;&gt;"",DB8&gt;=DK$18),AND(DJ8&lt;&gt;"",DJ8&gt;=DK$18),AND(EK8&lt;&gt;"",EK8&gt;=ET$18),AND(ES8&lt;&gt;"",ES8&gt;=ET$18)),"P","")</f>
        <v/>
      </c>
      <c r="H8" s="26" t="str">
        <f>IF(AND(G8="P",F8=""),"No DD",IF(OR(AND(AK8&lt;&gt;"",AK8&gt;=AV$20,AJ8&gt;=AV$17),AND(AM8&lt;&gt;"",AM8&gt;=AV$20,AL8&gt;=AV$17),AND(AQ8&lt;&gt;"",AQ8&gt;=AV$20,AP8&gt;=AV$17),AND(AS8&lt;&gt;"",AS8&gt;=AV$20,AR8&gt;=AV$17),AND(BO8&lt;&gt;"",BO8&gt;=BZ$20,BN8&gt;=BZ$17),AND(BQ8&lt;&gt;"",BQ8&gt;=BZ$20,BP8&gt;=BZ$17),AND(BV8&lt;&gt;"",BV8&gt;=BZ$20,BU8&gt;=BZ$17),AND(BX8&lt;&gt;"",BX8&gt;=BZ$20,BW8&gt;=BZ$17),AND(CX8&lt;&gt;"",CX8&gt;=DK$20,CW8&gt;=DK$17),AND(CZ8&lt;&gt;"",CZ8&gt;=DK$20,CY8&gt;=DK$17),AND(DD8&lt;&gt;"",DD8&gt;=DK$20,DC8&gt;=DK$17),AND(DF8&lt;&gt;"",DF8&gt;=DK$20,DE8&gt;=DK$17),AND(DH8&lt;&gt;"",DH8&gt;=DK$20,DG8&gt;=DK$17),AND(EG8&lt;&gt;"",EG8&gt;=ET$20,EF8&gt;=ET$17),AND(EI8&lt;&gt;"",EI8&gt;=ET$20,EH8&gt;=ET$17),AND(EM8&lt;&gt;"",EM8&gt;=ET$20,EL8&gt;=ET$17),AND(EO8&lt;&gt;"",EO8&gt;=ET$20,EN8&gt;=ET$17),AND(EQ8&lt;&gt;"",EQ8&gt;=ET$20,EP8&gt;=ET$17)),"Performance",IF(I8="P","Worlds Team",IF(F8="P","National Team",""))))</f>
        <v/>
      </c>
      <c r="I8" s="2" t="str">
        <f>IF(OR(AND(AO8&lt;&gt;"",AO8&gt;=AV$19,AN8&gt;=AV$16),AND(AU8&lt;&gt;"",AU8&gt;=AV$19,AT8&gt;=AV$16),AND(BS8&lt;&gt;"",BS8&gt;=BZ$19,BR8&gt;=BZ$16),AND(BY8&lt;&gt;"",BY8&gt;=BZ$19,BX8&gt;=BZ$16),AND(DB8&lt;&gt;"",DB8&gt;=DK$19,DA8&gt;=DK$16),AND(DJ8&lt;&gt;"",DJ8&gt;=DK$19,DI8&gt;=DK$16),AND(EK8&lt;&gt;"",EK8&gt;=ET$19,EJ8&gt;=ET$16),AND(ES8&lt;&gt;"",ES8&gt;=ET$19,ER8&gt;=ET$16)),"P","")</f>
        <v/>
      </c>
      <c r="J8" s="7">
        <f t="shared" si="1"/>
        <v>41.6</v>
      </c>
      <c r="K8" s="7" t="str">
        <f t="shared" si="2"/>
        <v>2026 Elite Canada</v>
      </c>
      <c r="L8" s="7">
        <f>IF(J8=AO8,IF(COUNT(AQ8,AS8,BO8,BQ8,BU8,BW8)&gt;1,LARGE((AQ8,AS8,BO8,BQ8,BU8,BW8),1),0),IF(COUNT(AK8,AM8,AQ8,AS8,BU8,BW8)&gt;1,LARGE((AK8,AM8,AQ8,AS8,BU8,BW8),1),0))</f>
        <v>21.900000000000002</v>
      </c>
      <c r="M8" s="7" t="str">
        <f t="shared" si="3"/>
        <v>2026 Elite Canada</v>
      </c>
      <c r="N8" s="7">
        <f>IF(J8=AO8,IF(COUNT(AQ8,AS8,BO8,BQ8,BU8,BW8)&gt;1,LARGE((AQ8,AS8,BO8,BQ8,BU8,BW8),2),0),IF(COUNT(AK8,AM8,AQ8,AS8,BU8,BW8)&gt;1,LARGE((AK8,AM8,AQ8,AS8,BU8,BW8),2),0))</f>
        <v>19.8</v>
      </c>
      <c r="O8" s="7" t="str">
        <f t="shared" si="4"/>
        <v>2026 Elite Canada</v>
      </c>
      <c r="P8" s="7" t="str">
        <f t="shared" si="5"/>
        <v/>
      </c>
      <c r="Q8" s="10" t="str">
        <f t="shared" si="6"/>
        <v/>
      </c>
      <c r="R8" s="7" t="str">
        <f t="shared" si="7"/>
        <v/>
      </c>
      <c r="S8" s="38">
        <v>18.8</v>
      </c>
      <c r="T8" s="38">
        <v>3.1</v>
      </c>
      <c r="U8" s="38">
        <v>0.4</v>
      </c>
      <c r="V8" s="38">
        <v>0</v>
      </c>
      <c r="W8" s="38">
        <v>17.8</v>
      </c>
      <c r="X8" s="38">
        <v>2.9</v>
      </c>
      <c r="Y8" s="38">
        <v>0.6</v>
      </c>
      <c r="Z8" s="38">
        <v>0</v>
      </c>
      <c r="AA8" s="38">
        <v>16.2</v>
      </c>
      <c r="AB8" s="38">
        <v>4.4000000000000004</v>
      </c>
      <c r="AC8" s="38">
        <v>0.8</v>
      </c>
      <c r="AD8" s="38">
        <v>0</v>
      </c>
      <c r="AE8" s="38">
        <v>18.3</v>
      </c>
      <c r="AF8" s="38">
        <v>3.6</v>
      </c>
      <c r="AG8" s="38">
        <v>0</v>
      </c>
      <c r="AH8" s="38">
        <v>0</v>
      </c>
      <c r="AI8" s="19"/>
      <c r="AJ8" s="41">
        <f t="shared" si="8"/>
        <v>3.1</v>
      </c>
      <c r="AK8" s="41">
        <f t="shared" si="9"/>
        <v>21.500000000000004</v>
      </c>
      <c r="AL8" s="41">
        <f t="shared" si="10"/>
        <v>2.9</v>
      </c>
      <c r="AM8" s="41">
        <f t="shared" si="11"/>
        <v>20.099999999999998</v>
      </c>
      <c r="AN8" s="27">
        <f t="shared" si="12"/>
        <v>6</v>
      </c>
      <c r="AO8" s="27">
        <f t="shared" si="13"/>
        <v>41.6</v>
      </c>
      <c r="AP8" s="27">
        <f t="shared" si="14"/>
        <v>4.4000000000000004</v>
      </c>
      <c r="AQ8" s="27">
        <f t="shared" si="15"/>
        <v>19.8</v>
      </c>
      <c r="AR8" s="27">
        <f t="shared" si="16"/>
        <v>3.6</v>
      </c>
      <c r="AS8" s="27">
        <f t="shared" si="17"/>
        <v>21.900000000000002</v>
      </c>
      <c r="AT8" s="27">
        <f t="shared" si="18"/>
        <v>8</v>
      </c>
      <c r="AU8" s="27">
        <f t="shared" si="19"/>
        <v>41.7</v>
      </c>
      <c r="AV8" s="27">
        <f t="shared" si="20"/>
        <v>83.300000000000011</v>
      </c>
      <c r="AW8" s="15"/>
      <c r="AX8" s="15"/>
      <c r="AY8" s="15"/>
      <c r="AZ8" s="15"/>
      <c r="BA8" s="15"/>
      <c r="BB8" s="15"/>
      <c r="BC8" s="15"/>
      <c r="BD8" s="15"/>
      <c r="BE8" s="15"/>
      <c r="BF8" s="15"/>
      <c r="BG8" s="15"/>
      <c r="BH8" s="15"/>
      <c r="BI8" s="15"/>
      <c r="BJ8" s="15"/>
      <c r="BK8" s="15"/>
      <c r="BL8" s="15"/>
      <c r="BM8" s="20"/>
      <c r="BN8" s="42" t="str">
        <f t="shared" si="21"/>
        <v/>
      </c>
      <c r="BO8" s="42" t="str">
        <f t="shared" si="22"/>
        <v/>
      </c>
      <c r="BP8" s="42" t="str">
        <f t="shared" si="23"/>
        <v/>
      </c>
      <c r="BQ8" s="42" t="str">
        <f t="shared" si="24"/>
        <v/>
      </c>
      <c r="BR8" s="10" t="str">
        <f t="shared" si="25"/>
        <v/>
      </c>
      <c r="BS8" s="10" t="str">
        <f t="shared" si="26"/>
        <v/>
      </c>
      <c r="BT8" s="10" t="str">
        <f t="shared" si="27"/>
        <v/>
      </c>
      <c r="BU8" s="10" t="str">
        <f t="shared" si="28"/>
        <v/>
      </c>
      <c r="BV8" s="10" t="str">
        <f t="shared" si="29"/>
        <v/>
      </c>
      <c r="BW8" s="10" t="str">
        <f t="shared" si="30"/>
        <v/>
      </c>
      <c r="BX8" s="10" t="str">
        <f t="shared" si="31"/>
        <v/>
      </c>
      <c r="BY8" s="10" t="str">
        <f t="shared" si="32"/>
        <v/>
      </c>
      <c r="BZ8" s="10" t="str">
        <f t="shared" si="33"/>
        <v/>
      </c>
      <c r="CA8" s="34" t="str">
        <f t="shared" si="34"/>
        <v/>
      </c>
      <c r="CB8" s="34" t="str">
        <f t="shared" si="35"/>
        <v/>
      </c>
      <c r="CC8" s="14"/>
      <c r="CD8" s="14"/>
      <c r="CE8" s="14"/>
      <c r="CF8" s="14"/>
      <c r="CG8" s="14"/>
      <c r="CH8" s="14"/>
      <c r="CI8" s="14"/>
      <c r="CJ8" s="14"/>
      <c r="CK8" s="14"/>
      <c r="CL8" s="14"/>
      <c r="CM8" s="14"/>
      <c r="CN8" s="14"/>
      <c r="CO8" s="14"/>
      <c r="CP8" s="14"/>
      <c r="CQ8" s="14"/>
      <c r="CR8" s="14"/>
      <c r="CS8" s="14"/>
      <c r="CT8" s="14"/>
      <c r="CU8" s="14"/>
      <c r="CV8" s="14"/>
      <c r="CW8" s="27" t="str">
        <f t="shared" si="36"/>
        <v/>
      </c>
      <c r="CX8" s="27" t="str">
        <f t="shared" si="37"/>
        <v/>
      </c>
      <c r="CY8" s="27" t="str">
        <f t="shared" si="38"/>
        <v/>
      </c>
      <c r="CZ8" s="27" t="str">
        <f t="shared" si="39"/>
        <v/>
      </c>
      <c r="DA8" s="27" t="str">
        <f t="shared" si="40"/>
        <v/>
      </c>
      <c r="DB8" s="27" t="str">
        <f t="shared" si="41"/>
        <v/>
      </c>
      <c r="DC8" s="27" t="str">
        <f t="shared" si="42"/>
        <v/>
      </c>
      <c r="DD8" s="27" t="str">
        <f t="shared" si="43"/>
        <v/>
      </c>
      <c r="DE8" s="27" t="str">
        <f t="shared" si="44"/>
        <v/>
      </c>
      <c r="DF8" s="27" t="str">
        <f t="shared" si="45"/>
        <v/>
      </c>
      <c r="DG8" s="27" t="str">
        <f t="shared" si="46"/>
        <v/>
      </c>
      <c r="DH8" s="27" t="str">
        <f t="shared" si="47"/>
        <v/>
      </c>
      <c r="DI8" s="27" t="str">
        <f t="shared" si="48"/>
        <v/>
      </c>
      <c r="DJ8" s="27" t="str">
        <f t="shared" si="49"/>
        <v/>
      </c>
      <c r="DK8" s="27" t="str">
        <f t="shared" si="50"/>
        <v/>
      </c>
      <c r="DL8" s="15"/>
      <c r="DM8" s="15"/>
      <c r="DN8" s="15"/>
      <c r="DO8" s="15"/>
      <c r="DP8" s="15"/>
      <c r="DQ8" s="15"/>
      <c r="DR8" s="15"/>
      <c r="DS8" s="15"/>
      <c r="DT8" s="15"/>
      <c r="DU8" s="15"/>
      <c r="DV8" s="15"/>
      <c r="DW8" s="15"/>
      <c r="DX8" s="15"/>
      <c r="DY8" s="15"/>
      <c r="DZ8" s="15"/>
      <c r="EA8" s="15"/>
      <c r="EB8" s="15"/>
      <c r="EC8" s="15"/>
      <c r="ED8" s="15"/>
      <c r="EE8" s="15"/>
      <c r="EF8" s="10" t="str">
        <f t="shared" si="51"/>
        <v/>
      </c>
      <c r="EG8" s="10" t="str">
        <f t="shared" si="52"/>
        <v/>
      </c>
      <c r="EH8" s="10" t="str">
        <f t="shared" si="53"/>
        <v/>
      </c>
      <c r="EI8" s="10" t="str">
        <f t="shared" si="54"/>
        <v/>
      </c>
      <c r="EJ8" s="10" t="str">
        <f t="shared" si="55"/>
        <v/>
      </c>
      <c r="EK8" s="10" t="str">
        <f t="shared" si="56"/>
        <v/>
      </c>
      <c r="EL8" s="10" t="str">
        <f t="shared" si="57"/>
        <v/>
      </c>
      <c r="EM8" s="10" t="str">
        <f t="shared" si="58"/>
        <v/>
      </c>
      <c r="EN8" s="10" t="str">
        <f t="shared" si="59"/>
        <v/>
      </c>
      <c r="EO8" s="10" t="str">
        <f t="shared" si="60"/>
        <v/>
      </c>
      <c r="EP8" s="10" t="str">
        <f t="shared" si="61"/>
        <v/>
      </c>
      <c r="EQ8" s="10" t="str">
        <f t="shared" si="62"/>
        <v/>
      </c>
      <c r="ER8" s="10" t="str">
        <f t="shared" si="63"/>
        <v/>
      </c>
      <c r="ES8" s="10" t="str">
        <f t="shared" si="64"/>
        <v/>
      </c>
      <c r="ET8" s="10" t="str">
        <f t="shared" si="65"/>
        <v/>
      </c>
    </row>
    <row r="9" spans="1:150" x14ac:dyDescent="0.2">
      <c r="A9" s="3" t="str" cm="1">
        <f t="array" ref="A9">IF(AND(H9&lt;&gt;"",H9&lt;&gt;"No DD"),SUMPRODUCT((H$4:H$13&lt;&gt;"")*(H$4:H$13&lt;&gt;"No DD")*(E$4:E$13&gt;E9))+1,IF(H9="No DD",SUMPRODUCT((H$4:H$13="No DD")*(E$4:E$13&gt;E9))+1+SUMPRODUCT((H$4:H$13&lt;&gt;"")*(H$4:H$13&lt;&gt;"No DD")),""))</f>
        <v/>
      </c>
      <c r="B9" s="4" t="s">
        <v>172</v>
      </c>
      <c r="C9" s="3" t="s">
        <v>4</v>
      </c>
      <c r="D9" s="3">
        <v>2011</v>
      </c>
      <c r="E9" s="8">
        <f t="shared" si="0"/>
        <v>37.800003780003777</v>
      </c>
      <c r="F9" s="2" t="str">
        <f>IF(OR(AND(AO9&lt;&gt;"",AO9&gt;=AV$18,AN9&gt;=AV$15),AND(AU9&lt;&gt;"",AU9&gt;=AV$18,AT9&gt;=AV$15),AND(BS9&lt;&gt;"",BS9&gt;=BZ$18,BR9&gt;=BZ$15),AND(BY9&lt;&gt;"",BY9&gt;=BZ$18,BX9&gt;=BZ$15),AND(DB9&lt;&gt;"",DB9&gt;=DK$18,DA9&gt;=DK$15),AND(DJ9&lt;&gt;"",DJ9&gt;=DK$18,DI9&gt;=DK$15),AND(EK9&lt;&gt;"",EK9&gt;=ET$18,EJ9&gt;=ET$15),AND(ES9&lt;&gt;"",ES9&gt;=ET$18,ER9&gt;=ET$15)),"P","")</f>
        <v/>
      </c>
      <c r="G9" s="2" t="str">
        <f>IF(OR(AND(AO9&lt;&gt;"",AO9&gt;=AV$18),AND(AU9&lt;&gt;"",AU9&gt;=AV$18),AND(BS9&lt;&gt;"",BS9&gt;=BZ$18),AND(BY9&lt;&gt;"",BY9&gt;=BZ$18),AND(DB9&lt;&gt;"",DB9&gt;=DK$18),AND(DJ9&lt;&gt;"",DJ9&gt;=DK$18),AND(EK9&lt;&gt;"",EK9&gt;=ET$18),AND(ES9&lt;&gt;"",ES9&gt;=ET$18)),"P","")</f>
        <v/>
      </c>
      <c r="H9" s="26" t="str">
        <f>IF(AND(G9="P",F9=""),"No DD",IF(OR(AND(AK9&lt;&gt;"",AK9&gt;=AV$20,AJ9&gt;=AV$17),AND(AM9&lt;&gt;"",AM9&gt;=AV$20,AL9&gt;=AV$17),AND(AQ9&lt;&gt;"",AQ9&gt;=AV$20,AP9&gt;=AV$17),AND(AS9&lt;&gt;"",AS9&gt;=AV$20,AR9&gt;=AV$17),AND(BO9&lt;&gt;"",BO9&gt;=BZ$20,BN9&gt;=BZ$17),AND(BQ9&lt;&gt;"",BQ9&gt;=BZ$20,BP9&gt;=BZ$17),AND(BV9&lt;&gt;"",BV9&gt;=BZ$20,BU9&gt;=BZ$17),AND(BX9&lt;&gt;"",BX9&gt;=BZ$20,BW9&gt;=BZ$17),AND(CX9&lt;&gt;"",CX9&gt;=DK$20,CW9&gt;=DK$17),AND(CZ9&lt;&gt;"",CZ9&gt;=DK$20,CY9&gt;=DK$17),AND(DD9&lt;&gt;"",DD9&gt;=DK$20,DC9&gt;=DK$17),AND(DF9&lt;&gt;"",DF9&gt;=DK$20,DE9&gt;=DK$17),AND(DH9&lt;&gt;"",DH9&gt;=DK$20,DG9&gt;=DK$17),AND(EG9&lt;&gt;"",EG9&gt;=ET$20,EF9&gt;=ET$17),AND(EI9&lt;&gt;"",EI9&gt;=ET$20,EH9&gt;=ET$17),AND(EM9&lt;&gt;"",EM9&gt;=ET$20,EL9&gt;=ET$17),AND(EO9&lt;&gt;"",EO9&gt;=ET$20,EN9&gt;=ET$17),AND(EQ9&lt;&gt;"",EQ9&gt;=ET$20,EP9&gt;=ET$17)),"Performance",IF(I9="P","Worlds Team",IF(F9="P","National Team",""))))</f>
        <v/>
      </c>
      <c r="I9" s="2" t="str">
        <f>IF(OR(AND(AO9&lt;&gt;"",AO9&gt;=AV$19,AN9&gt;=AV$16),AND(AU9&lt;&gt;"",AU9&gt;=AV$19,AT9&gt;=AV$16),AND(BS9&lt;&gt;"",BS9&gt;=BZ$19,BR9&gt;=BZ$16),AND(BY9&lt;&gt;"",BY9&gt;=BZ$19,BX9&gt;=BZ$16),AND(DB9&lt;&gt;"",DB9&gt;=DK$19,DA9&gt;=DK$16),AND(DJ9&lt;&gt;"",DJ9&gt;=DK$19,DI9&gt;=DK$16),AND(EK9&lt;&gt;"",EK9&gt;=ET$19,EJ9&gt;=ET$16),AND(ES9&lt;&gt;"",ES9&gt;=ET$19,ER9&gt;=ET$16)),"P","")</f>
        <v/>
      </c>
      <c r="J9" s="7">
        <f t="shared" si="1"/>
        <v>37.799999999999997</v>
      </c>
      <c r="K9" s="7" t="str">
        <f t="shared" si="2"/>
        <v>2026 Elite Canada</v>
      </c>
      <c r="L9" s="7">
        <f>IF(J9=AO9,IF(COUNT(AQ9,AS9,BO9,BQ9,BU9,BW9)&gt;1,LARGE((AQ9,AS9,BO9,BQ9,BU9,BW9),1),0),IF(COUNT(AK9,AM9,AQ9,AS9,BU9,BW9)&gt;1,LARGE((AK9,AM9,AQ9,AS9,BU9,BW9),1),0))</f>
        <v>0</v>
      </c>
      <c r="M9" s="7" t="str">
        <f t="shared" si="3"/>
        <v/>
      </c>
      <c r="N9" s="7">
        <f>IF(J9=AO9,IF(COUNT(AQ9,AS9,BO9,BQ9,BU9,BW9)&gt;1,LARGE((AQ9,AS9,BO9,BQ9,BU9,BW9),2),0),IF(COUNT(AK9,AM9,AQ9,AS9,BU9,BW9)&gt;1,LARGE((AK9,AM9,AQ9,AS9,BU9,BW9),2),0))</f>
        <v>0</v>
      </c>
      <c r="O9" s="7" t="str">
        <f t="shared" si="4"/>
        <v/>
      </c>
      <c r="P9" s="7" t="str">
        <f t="shared" si="5"/>
        <v/>
      </c>
      <c r="Q9" s="10" t="str">
        <f t="shared" si="6"/>
        <v/>
      </c>
      <c r="R9" s="7" t="str">
        <f t="shared" si="7"/>
        <v/>
      </c>
      <c r="S9" s="38">
        <v>15.5</v>
      </c>
      <c r="T9" s="38">
        <v>1.2</v>
      </c>
      <c r="U9" s="38">
        <v>0</v>
      </c>
      <c r="V9" s="38">
        <v>0</v>
      </c>
      <c r="W9" s="38">
        <v>18</v>
      </c>
      <c r="X9" s="38">
        <v>3.3</v>
      </c>
      <c r="Y9" s="38">
        <v>0.2</v>
      </c>
      <c r="Z9" s="38">
        <v>0</v>
      </c>
      <c r="AA9" s="38" t="s">
        <v>175</v>
      </c>
      <c r="AB9" s="38" t="s">
        <v>175</v>
      </c>
      <c r="AC9" s="38" t="s">
        <v>175</v>
      </c>
      <c r="AD9" s="38" t="s">
        <v>175</v>
      </c>
      <c r="AE9" s="38" t="s">
        <v>175</v>
      </c>
      <c r="AF9" s="38" t="s">
        <v>175</v>
      </c>
      <c r="AG9" s="38" t="s">
        <v>175</v>
      </c>
      <c r="AH9" s="38" t="s">
        <v>175</v>
      </c>
      <c r="AI9" s="19"/>
      <c r="AJ9" s="41">
        <f t="shared" si="8"/>
        <v>1.2</v>
      </c>
      <c r="AK9" s="41">
        <f t="shared" si="9"/>
        <v>16.7</v>
      </c>
      <c r="AL9" s="41">
        <f t="shared" si="10"/>
        <v>3.3</v>
      </c>
      <c r="AM9" s="41">
        <f t="shared" si="11"/>
        <v>21.1</v>
      </c>
      <c r="AN9" s="27">
        <f t="shared" si="12"/>
        <v>4.5</v>
      </c>
      <c r="AO9" s="27">
        <f t="shared" si="13"/>
        <v>37.799999999999997</v>
      </c>
      <c r="AP9" s="27" t="str">
        <f t="shared" si="14"/>
        <v/>
      </c>
      <c r="AQ9" s="27" t="str">
        <f t="shared" si="15"/>
        <v/>
      </c>
      <c r="AR9" s="27" t="str">
        <f t="shared" si="16"/>
        <v/>
      </c>
      <c r="AS9" s="27" t="str">
        <f t="shared" si="17"/>
        <v/>
      </c>
      <c r="AT9" s="27" t="str">
        <f t="shared" si="18"/>
        <v/>
      </c>
      <c r="AU9" s="27" t="str">
        <f t="shared" si="19"/>
        <v/>
      </c>
      <c r="AV9" s="27">
        <f t="shared" si="20"/>
        <v>37.799999999999997</v>
      </c>
      <c r="AW9" s="15"/>
      <c r="AX9" s="15"/>
      <c r="AY9" s="15"/>
      <c r="AZ9" s="15"/>
      <c r="BA9" s="15"/>
      <c r="BB9" s="15"/>
      <c r="BC9" s="15"/>
      <c r="BD9" s="15"/>
      <c r="BE9" s="15"/>
      <c r="BF9" s="15"/>
      <c r="BG9" s="15"/>
      <c r="BH9" s="15"/>
      <c r="BI9" s="15"/>
      <c r="BJ9" s="15"/>
      <c r="BK9" s="15"/>
      <c r="BL9" s="15"/>
      <c r="BM9" s="20"/>
      <c r="BN9" s="42" t="str">
        <f t="shared" si="21"/>
        <v/>
      </c>
      <c r="BO9" s="42" t="str">
        <f t="shared" si="22"/>
        <v/>
      </c>
      <c r="BP9" s="42" t="str">
        <f t="shared" si="23"/>
        <v/>
      </c>
      <c r="BQ9" s="42" t="str">
        <f t="shared" si="24"/>
        <v/>
      </c>
      <c r="BR9" s="10" t="str">
        <f t="shared" si="25"/>
        <v/>
      </c>
      <c r="BS9" s="10" t="str">
        <f t="shared" si="26"/>
        <v/>
      </c>
      <c r="BT9" s="10" t="str">
        <f t="shared" si="27"/>
        <v/>
      </c>
      <c r="BU9" s="10" t="str">
        <f t="shared" si="28"/>
        <v/>
      </c>
      <c r="BV9" s="10" t="str">
        <f t="shared" si="29"/>
        <v/>
      </c>
      <c r="BW9" s="10" t="str">
        <f t="shared" si="30"/>
        <v/>
      </c>
      <c r="BX9" s="10" t="str">
        <f t="shared" si="31"/>
        <v/>
      </c>
      <c r="BY9" s="10" t="str">
        <f t="shared" si="32"/>
        <v/>
      </c>
      <c r="BZ9" s="10" t="str">
        <f t="shared" si="33"/>
        <v/>
      </c>
      <c r="CA9" s="34" t="str">
        <f t="shared" si="34"/>
        <v/>
      </c>
      <c r="CB9" s="34" t="str">
        <f t="shared" si="35"/>
        <v/>
      </c>
      <c r="CC9" s="14"/>
      <c r="CD9" s="14"/>
      <c r="CE9" s="14"/>
      <c r="CF9" s="14"/>
      <c r="CG9" s="14"/>
      <c r="CH9" s="14"/>
      <c r="CI9" s="14"/>
      <c r="CJ9" s="14"/>
      <c r="CK9" s="14"/>
      <c r="CL9" s="14"/>
      <c r="CM9" s="14"/>
      <c r="CN9" s="14"/>
      <c r="CO9" s="14"/>
      <c r="CP9" s="14"/>
      <c r="CQ9" s="14"/>
      <c r="CR9" s="14"/>
      <c r="CS9" s="14"/>
      <c r="CT9" s="14"/>
      <c r="CU9" s="14"/>
      <c r="CV9" s="14"/>
      <c r="CW9" s="27" t="str">
        <f t="shared" si="36"/>
        <v/>
      </c>
      <c r="CX9" s="27" t="str">
        <f t="shared" si="37"/>
        <v/>
      </c>
      <c r="CY9" s="27" t="str">
        <f t="shared" si="38"/>
        <v/>
      </c>
      <c r="CZ9" s="27" t="str">
        <f t="shared" si="39"/>
        <v/>
      </c>
      <c r="DA9" s="27" t="str">
        <f t="shared" si="40"/>
        <v/>
      </c>
      <c r="DB9" s="27" t="str">
        <f t="shared" si="41"/>
        <v/>
      </c>
      <c r="DC9" s="27" t="str">
        <f t="shared" si="42"/>
        <v/>
      </c>
      <c r="DD9" s="27" t="str">
        <f t="shared" si="43"/>
        <v/>
      </c>
      <c r="DE9" s="27" t="str">
        <f t="shared" si="44"/>
        <v/>
      </c>
      <c r="DF9" s="27" t="str">
        <f t="shared" si="45"/>
        <v/>
      </c>
      <c r="DG9" s="27" t="str">
        <f t="shared" si="46"/>
        <v/>
      </c>
      <c r="DH9" s="27" t="str">
        <f t="shared" si="47"/>
        <v/>
      </c>
      <c r="DI9" s="27" t="str">
        <f t="shared" si="48"/>
        <v/>
      </c>
      <c r="DJ9" s="27" t="str">
        <f t="shared" si="49"/>
        <v/>
      </c>
      <c r="DK9" s="27" t="str">
        <f t="shared" si="50"/>
        <v/>
      </c>
      <c r="DL9" s="15"/>
      <c r="DM9" s="15"/>
      <c r="DN9" s="15"/>
      <c r="DO9" s="15"/>
      <c r="DP9" s="15"/>
      <c r="DQ9" s="15"/>
      <c r="DR9" s="15"/>
      <c r="DS9" s="15"/>
      <c r="DT9" s="15"/>
      <c r="DU9" s="15"/>
      <c r="DV9" s="15"/>
      <c r="DW9" s="15"/>
      <c r="DX9" s="15"/>
      <c r="DY9" s="15"/>
      <c r="DZ9" s="15"/>
      <c r="EA9" s="15"/>
      <c r="EB9" s="15"/>
      <c r="EC9" s="15"/>
      <c r="ED9" s="15"/>
      <c r="EE9" s="15"/>
      <c r="EF9" s="10" t="str">
        <f t="shared" si="51"/>
        <v/>
      </c>
      <c r="EG9" s="10" t="str">
        <f t="shared" si="52"/>
        <v/>
      </c>
      <c r="EH9" s="10" t="str">
        <f t="shared" si="53"/>
        <v/>
      </c>
      <c r="EI9" s="10" t="str">
        <f t="shared" si="54"/>
        <v/>
      </c>
      <c r="EJ9" s="10" t="str">
        <f t="shared" si="55"/>
        <v/>
      </c>
      <c r="EK9" s="10" t="str">
        <f t="shared" si="56"/>
        <v/>
      </c>
      <c r="EL9" s="10" t="str">
        <f t="shared" si="57"/>
        <v/>
      </c>
      <c r="EM9" s="10" t="str">
        <f t="shared" si="58"/>
        <v/>
      </c>
      <c r="EN9" s="10" t="str">
        <f t="shared" si="59"/>
        <v/>
      </c>
      <c r="EO9" s="10" t="str">
        <f t="shared" si="60"/>
        <v/>
      </c>
      <c r="EP9" s="10" t="str">
        <f t="shared" si="61"/>
        <v/>
      </c>
      <c r="EQ9" s="10" t="str">
        <f t="shared" si="62"/>
        <v/>
      </c>
      <c r="ER9" s="10" t="str">
        <f t="shared" si="63"/>
        <v/>
      </c>
      <c r="ES9" s="10" t="str">
        <f t="shared" si="64"/>
        <v/>
      </c>
      <c r="ET9" s="10" t="str">
        <f t="shared" si="65"/>
        <v/>
      </c>
    </row>
    <row r="10" spans="1:150" x14ac:dyDescent="0.2">
      <c r="A10" s="3" t="str" cm="1">
        <f t="array" ref="A10">IF(AND(H10&lt;&gt;"",H10&lt;&gt;"No DD"),SUMPRODUCT((H$4:H$13&lt;&gt;"")*(H$4:H$13&lt;&gt;"No DD")*(E$4:E$13&gt;E10))+1,IF(H10="No DD",SUMPRODUCT((H$4:H$13="No DD")*(E$4:E$13&gt;E10))+1+SUMPRODUCT((H$4:H$13&lt;&gt;"")*(H$4:H$13&lt;&gt;"No DD")),""))</f>
        <v/>
      </c>
      <c r="B10" s="4" t="s">
        <v>173</v>
      </c>
      <c r="C10" s="3" t="s">
        <v>4</v>
      </c>
      <c r="D10" s="3">
        <v>2011</v>
      </c>
      <c r="E10" s="8">
        <f t="shared" si="0"/>
        <v>36.400003640003639</v>
      </c>
      <c r="F10" s="2" t="str">
        <f>IF(OR(AND(AO10&lt;&gt;"",AO10&gt;=AV$18,AN10&gt;=AV$15),AND(AU10&lt;&gt;"",AU10&gt;=AV$18,AT10&gt;=AV$15),AND(BS10&lt;&gt;"",BS10&gt;=BZ$18,BR10&gt;=BZ$15),AND(BY10&lt;&gt;"",BY10&gt;=BZ$18,BX10&gt;=BZ$15),AND(DB10&lt;&gt;"",DB10&gt;=DK$18,DA10&gt;=DK$15),AND(DJ10&lt;&gt;"",DJ10&gt;=DK$18,DI10&gt;=DK$15),AND(EK10&lt;&gt;"",EK10&gt;=ET$18,EJ10&gt;=ET$15),AND(ES10&lt;&gt;"",ES10&gt;=ET$18,ER10&gt;=ET$15)),"P","")</f>
        <v/>
      </c>
      <c r="G10" s="2" t="str">
        <f>IF(OR(AND(AO10&lt;&gt;"",AO10&gt;=AV$18),AND(AU10&lt;&gt;"",AU10&gt;=AV$18),AND(BS10&lt;&gt;"",BS10&gt;=BZ$18),AND(BY10&lt;&gt;"",BY10&gt;=BZ$18),AND(DB10&lt;&gt;"",DB10&gt;=DK$18),AND(DJ10&lt;&gt;"",DJ10&gt;=DK$18),AND(EK10&lt;&gt;"",EK10&gt;=ET$18),AND(ES10&lt;&gt;"",ES10&gt;=ET$18)),"P","")</f>
        <v/>
      </c>
      <c r="H10" s="26" t="str">
        <f>IF(AND(G10="P",F10=""),"No DD",IF(OR(AND(AK10&lt;&gt;"",AK10&gt;=AV$20,AJ10&gt;=AV$17),AND(AM10&lt;&gt;"",AM10&gt;=AV$20,AL10&gt;=AV$17),AND(AQ10&lt;&gt;"",AQ10&gt;=AV$20,AP10&gt;=AV$17),AND(AS10&lt;&gt;"",AS10&gt;=AV$20,AR10&gt;=AV$17),AND(BO10&lt;&gt;"",BO10&gt;=BZ$20,BN10&gt;=BZ$17),AND(BQ10&lt;&gt;"",BQ10&gt;=BZ$20,BP10&gt;=BZ$17),AND(BV10&lt;&gt;"",BV10&gt;=BZ$20,BU10&gt;=BZ$17),AND(BX10&lt;&gt;"",BX10&gt;=BZ$20,BW10&gt;=BZ$17),AND(CX10&lt;&gt;"",CX10&gt;=DK$20,CW10&gt;=DK$17),AND(CZ10&lt;&gt;"",CZ10&gt;=DK$20,CY10&gt;=DK$17),AND(DD10&lt;&gt;"",DD10&gt;=DK$20,DC10&gt;=DK$17),AND(DF10&lt;&gt;"",DF10&gt;=DK$20,DE10&gt;=DK$17),AND(DH10&lt;&gt;"",DH10&gt;=DK$20,DG10&gt;=DK$17),AND(EG10&lt;&gt;"",EG10&gt;=ET$20,EF10&gt;=ET$17),AND(EI10&lt;&gt;"",EI10&gt;=ET$20,EH10&gt;=ET$17),AND(EM10&lt;&gt;"",EM10&gt;=ET$20,EL10&gt;=ET$17),AND(EO10&lt;&gt;"",EO10&gt;=ET$20,EN10&gt;=ET$17),AND(EQ10&lt;&gt;"",EQ10&gt;=ET$20,EP10&gt;=ET$17)),"Performance",IF(I10="P","Worlds Team",IF(F10="P","National Team",""))))</f>
        <v/>
      </c>
      <c r="I10" s="2" t="str">
        <f>IF(OR(AND(AO10&lt;&gt;"",AO10&gt;=AV$19,AN10&gt;=AV$16),AND(AU10&lt;&gt;"",AU10&gt;=AV$19,AT10&gt;=AV$16),AND(BS10&lt;&gt;"",BS10&gt;=BZ$19,BR10&gt;=BZ$16),AND(BY10&lt;&gt;"",BY10&gt;=BZ$19,BX10&gt;=BZ$16),AND(DB10&lt;&gt;"",DB10&gt;=DK$19,DA10&gt;=DK$16),AND(DJ10&lt;&gt;"",DJ10&gt;=DK$19,DI10&gt;=DK$16),AND(EK10&lt;&gt;"",EK10&gt;=ET$19,EJ10&gt;=ET$16),AND(ES10&lt;&gt;"",ES10&gt;=ET$19,ER10&gt;=ET$16)),"P","")</f>
        <v/>
      </c>
      <c r="J10" s="7">
        <f t="shared" si="1"/>
        <v>36.4</v>
      </c>
      <c r="K10" s="7" t="str">
        <f t="shared" si="2"/>
        <v>2026 Elite Canada</v>
      </c>
      <c r="L10" s="7">
        <f>IF(J10=AO10,IF(COUNT(AQ10,AS10,BO10,BQ10,BU10,BW10)&gt;1,LARGE((AQ10,AS10,BO10,BQ10,BU10,BW10),1),0),IF(COUNT(AK10,AM10,AQ10,AS10,BU10,BW10)&gt;1,LARGE((AK10,AM10,AQ10,AS10,BU10,BW10),1),0))</f>
        <v>0</v>
      </c>
      <c r="M10" s="7" t="str">
        <f t="shared" si="3"/>
        <v/>
      </c>
      <c r="N10" s="7">
        <f>IF(J10=AO10,IF(COUNT(AQ10,AS10,BO10,BQ10,BU10,BW10)&gt;1,LARGE((AQ10,AS10,BO10,BQ10,BU10,BW10),2),0),IF(COUNT(AK10,AM10,AQ10,AS10,BU10,BW10)&gt;1,LARGE((AK10,AM10,AQ10,AS10,BU10,BW10),2),0))</f>
        <v>0</v>
      </c>
      <c r="O10" s="7" t="str">
        <f t="shared" si="4"/>
        <v/>
      </c>
      <c r="P10" s="7" t="str">
        <f t="shared" si="5"/>
        <v/>
      </c>
      <c r="Q10" s="10" t="str">
        <f t="shared" si="6"/>
        <v/>
      </c>
      <c r="R10" s="7" t="str">
        <f t="shared" si="7"/>
        <v/>
      </c>
      <c r="S10" s="38">
        <v>15.4</v>
      </c>
      <c r="T10" s="38">
        <v>0.7</v>
      </c>
      <c r="U10" s="38">
        <v>0</v>
      </c>
      <c r="V10" s="38">
        <v>0</v>
      </c>
      <c r="W10" s="38">
        <v>18</v>
      </c>
      <c r="X10" s="38">
        <v>2.9</v>
      </c>
      <c r="Y10" s="38">
        <v>0.6</v>
      </c>
      <c r="Z10" s="38">
        <v>0</v>
      </c>
      <c r="AA10" s="38" t="s">
        <v>175</v>
      </c>
      <c r="AB10" s="38" t="s">
        <v>175</v>
      </c>
      <c r="AC10" s="38" t="s">
        <v>175</v>
      </c>
      <c r="AD10" s="38" t="s">
        <v>175</v>
      </c>
      <c r="AE10" s="38" t="s">
        <v>175</v>
      </c>
      <c r="AF10" s="38" t="s">
        <v>175</v>
      </c>
      <c r="AG10" s="38" t="s">
        <v>175</v>
      </c>
      <c r="AH10" s="38" t="s">
        <v>175</v>
      </c>
      <c r="AI10" s="19"/>
      <c r="AJ10" s="41">
        <f t="shared" si="8"/>
        <v>0.7</v>
      </c>
      <c r="AK10" s="41">
        <f t="shared" si="9"/>
        <v>16.100000000000001</v>
      </c>
      <c r="AL10" s="41">
        <f t="shared" si="10"/>
        <v>2.9</v>
      </c>
      <c r="AM10" s="41">
        <f t="shared" si="11"/>
        <v>20.299999999999997</v>
      </c>
      <c r="AN10" s="27">
        <f t="shared" si="12"/>
        <v>3.5999999999999996</v>
      </c>
      <c r="AO10" s="27">
        <f t="shared" si="13"/>
        <v>36.4</v>
      </c>
      <c r="AP10" s="27" t="str">
        <f t="shared" si="14"/>
        <v/>
      </c>
      <c r="AQ10" s="27" t="str">
        <f t="shared" si="15"/>
        <v/>
      </c>
      <c r="AR10" s="27" t="str">
        <f t="shared" si="16"/>
        <v/>
      </c>
      <c r="AS10" s="27" t="str">
        <f t="shared" si="17"/>
        <v/>
      </c>
      <c r="AT10" s="27" t="str">
        <f t="shared" si="18"/>
        <v/>
      </c>
      <c r="AU10" s="27" t="str">
        <f t="shared" si="19"/>
        <v/>
      </c>
      <c r="AV10" s="27">
        <f t="shared" si="20"/>
        <v>36.4</v>
      </c>
      <c r="AW10" s="15"/>
      <c r="AX10" s="15"/>
      <c r="AY10" s="15"/>
      <c r="AZ10" s="15"/>
      <c r="BA10" s="15"/>
      <c r="BB10" s="15"/>
      <c r="BC10" s="15"/>
      <c r="BD10" s="15"/>
      <c r="BE10" s="15"/>
      <c r="BF10" s="15"/>
      <c r="BG10" s="15"/>
      <c r="BH10" s="15"/>
      <c r="BI10" s="15"/>
      <c r="BJ10" s="15"/>
      <c r="BK10" s="15"/>
      <c r="BL10" s="15"/>
      <c r="BM10" s="20"/>
      <c r="BN10" s="42" t="str">
        <f t="shared" si="21"/>
        <v/>
      </c>
      <c r="BO10" s="42" t="str">
        <f t="shared" si="22"/>
        <v/>
      </c>
      <c r="BP10" s="42" t="str">
        <f t="shared" si="23"/>
        <v/>
      </c>
      <c r="BQ10" s="42" t="str">
        <f t="shared" si="24"/>
        <v/>
      </c>
      <c r="BR10" s="10" t="str">
        <f t="shared" si="25"/>
        <v/>
      </c>
      <c r="BS10" s="10" t="str">
        <f t="shared" si="26"/>
        <v/>
      </c>
      <c r="BT10" s="10" t="str">
        <f t="shared" si="27"/>
        <v/>
      </c>
      <c r="BU10" s="10" t="str">
        <f t="shared" si="28"/>
        <v/>
      </c>
      <c r="BV10" s="10" t="str">
        <f t="shared" si="29"/>
        <v/>
      </c>
      <c r="BW10" s="10" t="str">
        <f t="shared" si="30"/>
        <v/>
      </c>
      <c r="BX10" s="10" t="str">
        <f t="shared" si="31"/>
        <v/>
      </c>
      <c r="BY10" s="10" t="str">
        <f t="shared" si="32"/>
        <v/>
      </c>
      <c r="BZ10" s="10" t="str">
        <f t="shared" si="33"/>
        <v/>
      </c>
      <c r="CA10" s="34" t="str">
        <f t="shared" si="34"/>
        <v/>
      </c>
      <c r="CB10" s="34" t="str">
        <f t="shared" si="35"/>
        <v/>
      </c>
      <c r="CC10" s="14"/>
      <c r="CD10" s="14"/>
      <c r="CE10" s="14"/>
      <c r="CF10" s="14"/>
      <c r="CG10" s="14"/>
      <c r="CH10" s="14"/>
      <c r="CI10" s="14"/>
      <c r="CJ10" s="14"/>
      <c r="CK10" s="14"/>
      <c r="CL10" s="14"/>
      <c r="CM10" s="14"/>
      <c r="CN10" s="14"/>
      <c r="CO10" s="14"/>
      <c r="CP10" s="14"/>
      <c r="CQ10" s="14"/>
      <c r="CR10" s="14"/>
      <c r="CS10" s="14"/>
      <c r="CT10" s="14"/>
      <c r="CU10" s="14"/>
      <c r="CV10" s="14"/>
      <c r="CW10" s="27" t="str">
        <f t="shared" si="36"/>
        <v/>
      </c>
      <c r="CX10" s="27" t="str">
        <f t="shared" si="37"/>
        <v/>
      </c>
      <c r="CY10" s="27" t="str">
        <f t="shared" si="38"/>
        <v/>
      </c>
      <c r="CZ10" s="27" t="str">
        <f t="shared" si="39"/>
        <v/>
      </c>
      <c r="DA10" s="27" t="str">
        <f t="shared" si="40"/>
        <v/>
      </c>
      <c r="DB10" s="27" t="str">
        <f t="shared" si="41"/>
        <v/>
      </c>
      <c r="DC10" s="27" t="str">
        <f t="shared" si="42"/>
        <v/>
      </c>
      <c r="DD10" s="27" t="str">
        <f t="shared" si="43"/>
        <v/>
      </c>
      <c r="DE10" s="27" t="str">
        <f t="shared" si="44"/>
        <v/>
      </c>
      <c r="DF10" s="27" t="str">
        <f t="shared" si="45"/>
        <v/>
      </c>
      <c r="DG10" s="27" t="str">
        <f t="shared" si="46"/>
        <v/>
      </c>
      <c r="DH10" s="27" t="str">
        <f t="shared" si="47"/>
        <v/>
      </c>
      <c r="DI10" s="27" t="str">
        <f t="shared" si="48"/>
        <v/>
      </c>
      <c r="DJ10" s="27" t="str">
        <f t="shared" si="49"/>
        <v/>
      </c>
      <c r="DK10" s="27" t="str">
        <f t="shared" si="50"/>
        <v/>
      </c>
      <c r="DL10" s="15"/>
      <c r="DM10" s="15"/>
      <c r="DN10" s="15"/>
      <c r="DO10" s="15"/>
      <c r="DP10" s="15"/>
      <c r="DQ10" s="15"/>
      <c r="DR10" s="15"/>
      <c r="DS10" s="15"/>
      <c r="DT10" s="15"/>
      <c r="DU10" s="15"/>
      <c r="DV10" s="15"/>
      <c r="DW10" s="15"/>
      <c r="DX10" s="15"/>
      <c r="DY10" s="15"/>
      <c r="DZ10" s="15"/>
      <c r="EA10" s="15"/>
      <c r="EB10" s="15"/>
      <c r="EC10" s="15"/>
      <c r="ED10" s="15"/>
      <c r="EE10" s="15"/>
      <c r="EF10" s="10" t="str">
        <f t="shared" si="51"/>
        <v/>
      </c>
      <c r="EG10" s="10" t="str">
        <f t="shared" si="52"/>
        <v/>
      </c>
      <c r="EH10" s="10" t="str">
        <f t="shared" si="53"/>
        <v/>
      </c>
      <c r="EI10" s="10" t="str">
        <f t="shared" si="54"/>
        <v/>
      </c>
      <c r="EJ10" s="10" t="str">
        <f t="shared" si="55"/>
        <v/>
      </c>
      <c r="EK10" s="10" t="str">
        <f t="shared" si="56"/>
        <v/>
      </c>
      <c r="EL10" s="10" t="str">
        <f t="shared" si="57"/>
        <v/>
      </c>
      <c r="EM10" s="10" t="str">
        <f t="shared" si="58"/>
        <v/>
      </c>
      <c r="EN10" s="10" t="str">
        <f t="shared" si="59"/>
        <v/>
      </c>
      <c r="EO10" s="10" t="str">
        <f t="shared" si="60"/>
        <v/>
      </c>
      <c r="EP10" s="10" t="str">
        <f t="shared" si="61"/>
        <v/>
      </c>
      <c r="EQ10" s="10" t="str">
        <f t="shared" si="62"/>
        <v/>
      </c>
      <c r="ER10" s="10" t="str">
        <f t="shared" si="63"/>
        <v/>
      </c>
      <c r="ES10" s="10" t="str">
        <f t="shared" si="64"/>
        <v/>
      </c>
      <c r="ET10" s="10" t="str">
        <f t="shared" si="65"/>
        <v/>
      </c>
    </row>
    <row r="11" spans="1:150" x14ac:dyDescent="0.2">
      <c r="A11" s="3" t="str" cm="1">
        <f t="array" ref="A11">IF(AND(H11&lt;&gt;"",H11&lt;&gt;"No DD"),SUMPRODUCT((H$4:H$13&lt;&gt;"")*(H$4:H$13&lt;&gt;"No DD")*(E$4:E$13&gt;E11))+1,IF(H11="No DD",SUMPRODUCT((H$4:H$13="No DD")*(E$4:E$13&gt;E11))+1+SUMPRODUCT((H$4:H$13&lt;&gt;"")*(H$4:H$13&lt;&gt;"No DD")),""))</f>
        <v/>
      </c>
      <c r="B11" s="4" t="s">
        <v>174</v>
      </c>
      <c r="C11" s="3" t="s">
        <v>4</v>
      </c>
      <c r="D11" s="3">
        <v>2010</v>
      </c>
      <c r="E11" s="8">
        <f t="shared" si="0"/>
        <v>23.10000231000231</v>
      </c>
      <c r="F11" s="2" t="str">
        <f>IF(OR(AND(AO11&lt;&gt;"",AO11&gt;=AV$18,AN11&gt;=AV$15),AND(AU11&lt;&gt;"",AU11&gt;=AV$18,AT11&gt;=AV$15),AND(BS11&lt;&gt;"",BS11&gt;=BZ$18,BR11&gt;=BZ$15),AND(BY11&lt;&gt;"",BY11&gt;=BZ$18,BX11&gt;=BZ$15),AND(DB11&lt;&gt;"",DB11&gt;=DK$18,DA11&gt;=DK$15),AND(DJ11&lt;&gt;"",DJ11&gt;=DK$18,DI11&gt;=DK$15),AND(EK11&lt;&gt;"",EK11&gt;=ET$18,EJ11&gt;=ET$15),AND(ES11&lt;&gt;"",ES11&gt;=ET$18,ER11&gt;=ET$15)),"P","")</f>
        <v/>
      </c>
      <c r="G11" s="2" t="str">
        <f>IF(OR(AND(AO11&lt;&gt;"",AO11&gt;=AV$18),AND(AU11&lt;&gt;"",AU11&gt;=AV$18),AND(BS11&lt;&gt;"",BS11&gt;=BZ$18),AND(BY11&lt;&gt;"",BY11&gt;=BZ$18),AND(DB11&lt;&gt;"",DB11&gt;=DK$18),AND(DJ11&lt;&gt;"",DJ11&gt;=DK$18),AND(EK11&lt;&gt;"",EK11&gt;=ET$18),AND(ES11&lt;&gt;"",ES11&gt;=ET$18)),"P","")</f>
        <v/>
      </c>
      <c r="H11" s="26" t="str">
        <f>IF(AND(G11="P",F11=""),"No DD",IF(OR(AND(AK11&lt;&gt;"",AK11&gt;=AV$20,AJ11&gt;=AV$17),AND(AM11&lt;&gt;"",AM11&gt;=AV$20,AL11&gt;=AV$17),AND(AQ11&lt;&gt;"",AQ11&gt;=AV$20,AP11&gt;=AV$17),AND(AS11&lt;&gt;"",AS11&gt;=AV$20,AR11&gt;=AV$17),AND(BO11&lt;&gt;"",BO11&gt;=BZ$20,BN11&gt;=BZ$17),AND(BQ11&lt;&gt;"",BQ11&gt;=BZ$20,BP11&gt;=BZ$17),AND(BV11&lt;&gt;"",BV11&gt;=BZ$20,BU11&gt;=BZ$17),AND(BX11&lt;&gt;"",BX11&gt;=BZ$20,BW11&gt;=BZ$17),AND(CX11&lt;&gt;"",CX11&gt;=DK$20,CW11&gt;=DK$17),AND(CZ11&lt;&gt;"",CZ11&gt;=DK$20,CY11&gt;=DK$17),AND(DD11&lt;&gt;"",DD11&gt;=DK$20,DC11&gt;=DK$17),AND(DF11&lt;&gt;"",DF11&gt;=DK$20,DE11&gt;=DK$17),AND(DH11&lt;&gt;"",DH11&gt;=DK$20,DG11&gt;=DK$17),AND(EG11&lt;&gt;"",EG11&gt;=ET$20,EF11&gt;=ET$17),AND(EI11&lt;&gt;"",EI11&gt;=ET$20,EH11&gt;=ET$17),AND(EM11&lt;&gt;"",EM11&gt;=ET$20,EL11&gt;=ET$17),AND(EO11&lt;&gt;"",EO11&gt;=ET$20,EN11&gt;=ET$17),AND(EQ11&lt;&gt;"",EQ11&gt;=ET$20,EP11&gt;=ET$17)),"Performance",IF(I11="P","Worlds Team",IF(F11="P","National Team",""))))</f>
        <v/>
      </c>
      <c r="I11" s="2" t="str">
        <f>IF(OR(AND(AO11&lt;&gt;"",AO11&gt;=AV$19,AN11&gt;=AV$16),AND(AU11&lt;&gt;"",AU11&gt;=AV$19,AT11&gt;=AV$16),AND(BS11&lt;&gt;"",BS11&gt;=BZ$19,BR11&gt;=BZ$16),AND(BY11&lt;&gt;"",BY11&gt;=BZ$19,BX11&gt;=BZ$16),AND(DB11&lt;&gt;"",DB11&gt;=DK$19,DA11&gt;=DK$16),AND(DJ11&lt;&gt;"",DJ11&gt;=DK$19,DI11&gt;=DK$16),AND(EK11&lt;&gt;"",EK11&gt;=ET$19,EJ11&gt;=ET$16),AND(ES11&lt;&gt;"",ES11&gt;=ET$19,ER11&gt;=ET$16)),"P","")</f>
        <v/>
      </c>
      <c r="J11" s="7">
        <f t="shared" si="1"/>
        <v>23.1</v>
      </c>
      <c r="K11" s="7" t="str">
        <f t="shared" si="2"/>
        <v>2026 Elite Canada</v>
      </c>
      <c r="L11" s="7">
        <f>IF(J11=AO11,IF(COUNT(AQ11,AS11,BO11,BQ11,BU11,BW11)&gt;1,LARGE((AQ11,AS11,BO11,BQ11,BU11,BW11),1),0),IF(COUNT(AK11,AM11,AQ11,AS11,BU11,BW11)&gt;1,LARGE((AK11,AM11,AQ11,AS11,BU11,BW11),1),0))</f>
        <v>0</v>
      </c>
      <c r="M11" s="7" t="str">
        <f t="shared" si="3"/>
        <v/>
      </c>
      <c r="N11" s="7">
        <f>IF(J11=AO11,IF(COUNT(AQ11,AS11,BO11,BQ11,BU11,BW11)&gt;1,LARGE((AQ11,AS11,BO11,BQ11,BU11,BW11),2),0),IF(COUNT(AK11,AM11,AQ11,AS11,BU11,BW11)&gt;1,LARGE((AK11,AM11,AQ11,AS11,BU11,BW11),2),0))</f>
        <v>0</v>
      </c>
      <c r="O11" s="7" t="str">
        <f t="shared" si="4"/>
        <v/>
      </c>
      <c r="P11" s="7" t="str">
        <f t="shared" si="5"/>
        <v/>
      </c>
      <c r="Q11" s="10" t="str">
        <f t="shared" si="6"/>
        <v/>
      </c>
      <c r="R11" s="7" t="str">
        <f t="shared" si="7"/>
        <v/>
      </c>
      <c r="S11" s="38">
        <v>18.8</v>
      </c>
      <c r="T11" s="38">
        <v>4.3</v>
      </c>
      <c r="U11" s="38">
        <v>0</v>
      </c>
      <c r="V11" s="38">
        <v>0</v>
      </c>
      <c r="W11" s="38">
        <v>0</v>
      </c>
      <c r="X11" s="38">
        <v>0</v>
      </c>
      <c r="Y11" s="38">
        <v>0</v>
      </c>
      <c r="Z11" s="38">
        <v>0</v>
      </c>
      <c r="AA11" s="38" t="s">
        <v>175</v>
      </c>
      <c r="AB11" s="38" t="s">
        <v>175</v>
      </c>
      <c r="AC11" s="38" t="s">
        <v>175</v>
      </c>
      <c r="AD11" s="38" t="s">
        <v>175</v>
      </c>
      <c r="AE11" s="38" t="s">
        <v>175</v>
      </c>
      <c r="AF11" s="38" t="s">
        <v>175</v>
      </c>
      <c r="AG11" s="38" t="s">
        <v>175</v>
      </c>
      <c r="AH11" s="38" t="s">
        <v>175</v>
      </c>
      <c r="AI11" s="19"/>
      <c r="AJ11" s="41">
        <f t="shared" si="8"/>
        <v>4.3</v>
      </c>
      <c r="AK11" s="41">
        <f t="shared" si="9"/>
        <v>23.1</v>
      </c>
      <c r="AL11" s="41">
        <f t="shared" si="10"/>
        <v>0</v>
      </c>
      <c r="AM11" s="41">
        <f t="shared" si="11"/>
        <v>0</v>
      </c>
      <c r="AN11" s="27">
        <f t="shared" si="12"/>
        <v>4.3</v>
      </c>
      <c r="AO11" s="27">
        <f t="shared" si="13"/>
        <v>23.1</v>
      </c>
      <c r="AP11" s="27" t="str">
        <f t="shared" si="14"/>
        <v/>
      </c>
      <c r="AQ11" s="27" t="str">
        <f t="shared" si="15"/>
        <v/>
      </c>
      <c r="AR11" s="27" t="str">
        <f t="shared" si="16"/>
        <v/>
      </c>
      <c r="AS11" s="27" t="str">
        <f t="shared" si="17"/>
        <v/>
      </c>
      <c r="AT11" s="27" t="str">
        <f t="shared" si="18"/>
        <v/>
      </c>
      <c r="AU11" s="27" t="str">
        <f t="shared" si="19"/>
        <v/>
      </c>
      <c r="AV11" s="27">
        <f t="shared" si="20"/>
        <v>23.1</v>
      </c>
      <c r="AW11" s="15"/>
      <c r="AX11" s="15"/>
      <c r="AY11" s="15"/>
      <c r="AZ11" s="15"/>
      <c r="BA11" s="15"/>
      <c r="BB11" s="15"/>
      <c r="BC11" s="15"/>
      <c r="BD11" s="15"/>
      <c r="BE11" s="15"/>
      <c r="BF11" s="15"/>
      <c r="BG11" s="15"/>
      <c r="BH11" s="15"/>
      <c r="BI11" s="15"/>
      <c r="BJ11" s="15"/>
      <c r="BK11" s="15"/>
      <c r="BL11" s="15"/>
      <c r="BM11" s="20"/>
      <c r="BN11" s="42" t="str">
        <f t="shared" si="21"/>
        <v/>
      </c>
      <c r="BO11" s="42" t="str">
        <f t="shared" si="22"/>
        <v/>
      </c>
      <c r="BP11" s="42" t="str">
        <f t="shared" si="23"/>
        <v/>
      </c>
      <c r="BQ11" s="42" t="str">
        <f t="shared" si="24"/>
        <v/>
      </c>
      <c r="BR11" s="10" t="str">
        <f t="shared" si="25"/>
        <v/>
      </c>
      <c r="BS11" s="10" t="str">
        <f t="shared" si="26"/>
        <v/>
      </c>
      <c r="BT11" s="10" t="str">
        <f t="shared" si="27"/>
        <v/>
      </c>
      <c r="BU11" s="10" t="str">
        <f t="shared" si="28"/>
        <v/>
      </c>
      <c r="BV11" s="10" t="str">
        <f t="shared" si="29"/>
        <v/>
      </c>
      <c r="BW11" s="10" t="str">
        <f t="shared" si="30"/>
        <v/>
      </c>
      <c r="BX11" s="10" t="str">
        <f t="shared" si="31"/>
        <v/>
      </c>
      <c r="BY11" s="10" t="str">
        <f t="shared" si="32"/>
        <v/>
      </c>
      <c r="BZ11" s="10" t="str">
        <f t="shared" si="33"/>
        <v/>
      </c>
      <c r="CA11" s="34" t="str">
        <f t="shared" si="34"/>
        <v/>
      </c>
      <c r="CB11" s="34" t="str">
        <f t="shared" si="35"/>
        <v/>
      </c>
      <c r="CC11" s="14"/>
      <c r="CD11" s="14"/>
      <c r="CE11" s="14"/>
      <c r="CF11" s="14"/>
      <c r="CG11" s="14"/>
      <c r="CH11" s="14"/>
      <c r="CI11" s="14"/>
      <c r="CJ11" s="14"/>
      <c r="CK11" s="14"/>
      <c r="CL11" s="14"/>
      <c r="CM11" s="14"/>
      <c r="CN11" s="14"/>
      <c r="CO11" s="14"/>
      <c r="CP11" s="14"/>
      <c r="CQ11" s="14"/>
      <c r="CR11" s="14"/>
      <c r="CS11" s="14"/>
      <c r="CT11" s="14"/>
      <c r="CU11" s="14"/>
      <c r="CV11" s="14"/>
      <c r="CW11" s="27" t="str">
        <f t="shared" si="36"/>
        <v/>
      </c>
      <c r="CX11" s="27" t="str">
        <f t="shared" si="37"/>
        <v/>
      </c>
      <c r="CY11" s="27" t="str">
        <f t="shared" si="38"/>
        <v/>
      </c>
      <c r="CZ11" s="27" t="str">
        <f t="shared" si="39"/>
        <v/>
      </c>
      <c r="DA11" s="27" t="str">
        <f t="shared" si="40"/>
        <v/>
      </c>
      <c r="DB11" s="27" t="str">
        <f t="shared" si="41"/>
        <v/>
      </c>
      <c r="DC11" s="27" t="str">
        <f t="shared" si="42"/>
        <v/>
      </c>
      <c r="DD11" s="27" t="str">
        <f t="shared" si="43"/>
        <v/>
      </c>
      <c r="DE11" s="27" t="str">
        <f t="shared" si="44"/>
        <v/>
      </c>
      <c r="DF11" s="27" t="str">
        <f t="shared" si="45"/>
        <v/>
      </c>
      <c r="DG11" s="27" t="str">
        <f t="shared" si="46"/>
        <v/>
      </c>
      <c r="DH11" s="27" t="str">
        <f t="shared" si="47"/>
        <v/>
      </c>
      <c r="DI11" s="27" t="str">
        <f t="shared" si="48"/>
        <v/>
      </c>
      <c r="DJ11" s="27" t="str">
        <f t="shared" si="49"/>
        <v/>
      </c>
      <c r="DK11" s="27" t="str">
        <f t="shared" si="50"/>
        <v/>
      </c>
      <c r="DL11" s="15"/>
      <c r="DM11" s="15"/>
      <c r="DN11" s="15"/>
      <c r="DO11" s="15"/>
      <c r="DP11" s="15"/>
      <c r="DQ11" s="15"/>
      <c r="DR11" s="15"/>
      <c r="DS11" s="15"/>
      <c r="DT11" s="15"/>
      <c r="DU11" s="15"/>
      <c r="DV11" s="15"/>
      <c r="DW11" s="15"/>
      <c r="DX11" s="15"/>
      <c r="DY11" s="15"/>
      <c r="DZ11" s="15"/>
      <c r="EA11" s="15"/>
      <c r="EB11" s="15"/>
      <c r="EC11" s="15"/>
      <c r="ED11" s="15"/>
      <c r="EE11" s="15"/>
      <c r="EF11" s="10" t="str">
        <f t="shared" si="51"/>
        <v/>
      </c>
      <c r="EG11" s="10" t="str">
        <f t="shared" si="52"/>
        <v/>
      </c>
      <c r="EH11" s="10" t="str">
        <f t="shared" si="53"/>
        <v/>
      </c>
      <c r="EI11" s="10" t="str">
        <f t="shared" si="54"/>
        <v/>
      </c>
      <c r="EJ11" s="10" t="str">
        <f t="shared" si="55"/>
        <v/>
      </c>
      <c r="EK11" s="10" t="str">
        <f t="shared" si="56"/>
        <v/>
      </c>
      <c r="EL11" s="10" t="str">
        <f t="shared" si="57"/>
        <v/>
      </c>
      <c r="EM11" s="10" t="str">
        <f t="shared" si="58"/>
        <v/>
      </c>
      <c r="EN11" s="10" t="str">
        <f t="shared" si="59"/>
        <v/>
      </c>
      <c r="EO11" s="10" t="str">
        <f t="shared" si="60"/>
        <v/>
      </c>
      <c r="EP11" s="10" t="str">
        <f t="shared" si="61"/>
        <v/>
      </c>
      <c r="EQ11" s="10" t="str">
        <f t="shared" si="62"/>
        <v/>
      </c>
      <c r="ER11" s="10" t="str">
        <f t="shared" si="63"/>
        <v/>
      </c>
      <c r="ES11" s="10" t="str">
        <f t="shared" si="64"/>
        <v/>
      </c>
      <c r="ET11" s="10" t="str">
        <f t="shared" si="65"/>
        <v/>
      </c>
    </row>
    <row r="12" spans="1:150" x14ac:dyDescent="0.2">
      <c r="A12" s="3" t="str" cm="1">
        <f t="array" ref="A12">IF(AND(H12&lt;&gt;"",H12&lt;&gt;"No DD"),SUMPRODUCT((H$4:H$13&lt;&gt;"")*(H$4:H$13&lt;&gt;"No DD")*(E$4:E$13&gt;E12))+1,IF(H12="No DD",SUMPRODUCT((H$4:H$13="No DD")*(E$4:E$13&gt;E12))+1+SUMPRODUCT((H$4:H$13&lt;&gt;"")*(H$4:H$13&lt;&gt;"No DD")),""))</f>
        <v/>
      </c>
      <c r="B12" s="4" t="s">
        <v>145</v>
      </c>
      <c r="C12" s="3" t="s">
        <v>5</v>
      </c>
      <c r="D12" s="3">
        <v>2010</v>
      </c>
      <c r="E12" s="8">
        <f t="shared" si="0"/>
        <v>17.600001760001756</v>
      </c>
      <c r="F12" s="2" t="str">
        <f>IF(OR(AND(AO12&lt;&gt;"",AO12&gt;=AV$18,AN12&gt;=AV$15),AND(AU12&lt;&gt;"",AU12&gt;=AV$18,AT12&gt;=AV$15),AND(BS12&lt;&gt;"",BS12&gt;=BZ$18,BR12&gt;=BZ$15),AND(BY12&lt;&gt;"",BY12&gt;=BZ$18,BX12&gt;=BZ$15),AND(DB12&lt;&gt;"",DB12&gt;=DK$18,DA12&gt;=DK$15),AND(DJ12&lt;&gt;"",DJ12&gt;=DK$18,DI12&gt;=DK$15),AND(EK12&lt;&gt;"",EK12&gt;=ET$18,EJ12&gt;=ET$15),AND(ES12&lt;&gt;"",ES12&gt;=ET$18,ER12&gt;=ET$15)),"P","")</f>
        <v/>
      </c>
      <c r="G12" s="2" t="str">
        <f>IF(OR(AND(AO12&lt;&gt;"",AO12&gt;=AV$18),AND(AU12&lt;&gt;"",AU12&gt;=AV$18),AND(BS12&lt;&gt;"",BS12&gt;=BZ$18),AND(BY12&lt;&gt;"",BY12&gt;=BZ$18),AND(DB12&lt;&gt;"",DB12&gt;=DK$18),AND(DJ12&lt;&gt;"",DJ12&gt;=DK$18),AND(EK12&lt;&gt;"",EK12&gt;=ET$18),AND(ES12&lt;&gt;"",ES12&gt;=ET$18)),"P","")</f>
        <v/>
      </c>
      <c r="H12" s="26" t="str">
        <f>IF(AND(G12="P",F12=""),"No DD",IF(OR(AND(AK12&lt;&gt;"",AK12&gt;=AV$20,AJ12&gt;=AV$17),AND(AM12&lt;&gt;"",AM12&gt;=AV$20,AL12&gt;=AV$17),AND(AQ12&lt;&gt;"",AQ12&gt;=AV$20,AP12&gt;=AV$17),AND(AS12&lt;&gt;"",AS12&gt;=AV$20,AR12&gt;=AV$17),AND(BO12&lt;&gt;"",BO12&gt;=BZ$20,BN12&gt;=BZ$17),AND(BQ12&lt;&gt;"",BQ12&gt;=BZ$20,BP12&gt;=BZ$17),AND(BV12&lt;&gt;"",BV12&gt;=BZ$20,BU12&gt;=BZ$17),AND(BX12&lt;&gt;"",BX12&gt;=BZ$20,BW12&gt;=BZ$17),AND(CX12&lt;&gt;"",CX12&gt;=DK$20,CW12&gt;=DK$17),AND(CZ12&lt;&gt;"",CZ12&gt;=DK$20,CY12&gt;=DK$17),AND(DD12&lt;&gt;"",DD12&gt;=DK$20,DC12&gt;=DK$17),AND(DF12&lt;&gt;"",DF12&gt;=DK$20,DE12&gt;=DK$17),AND(DH12&lt;&gt;"",DH12&gt;=DK$20,DG12&gt;=DK$17),AND(EG12&lt;&gt;"",EG12&gt;=ET$20,EF12&gt;=ET$17),AND(EI12&lt;&gt;"",EI12&gt;=ET$20,EH12&gt;=ET$17),AND(EM12&lt;&gt;"",EM12&gt;=ET$20,EL12&gt;=ET$17),AND(EO12&lt;&gt;"",EO12&gt;=ET$20,EN12&gt;=ET$17),AND(EQ12&lt;&gt;"",EQ12&gt;=ET$20,EP12&gt;=ET$17)),"Performance",IF(I12="P","Worlds Team",IF(F12="P","National Team",""))))</f>
        <v/>
      </c>
      <c r="I12" s="2" t="str">
        <f>IF(OR(AND(AO12&lt;&gt;"",AO12&gt;=AV$19,AN12&gt;=AV$16),AND(AU12&lt;&gt;"",AU12&gt;=AV$19,AT12&gt;=AV$16),AND(BS12&lt;&gt;"",BS12&gt;=BZ$19,BR12&gt;=BZ$16),AND(BY12&lt;&gt;"",BY12&gt;=BZ$19,BX12&gt;=BZ$16),AND(DB12&lt;&gt;"",DB12&gt;=DK$19,DA12&gt;=DK$16),AND(DJ12&lt;&gt;"",DJ12&gt;=DK$19,DI12&gt;=DK$16),AND(EK12&lt;&gt;"",EK12&gt;=ET$19,EJ12&gt;=ET$16),AND(ES12&lt;&gt;"",ES12&gt;=ET$19,ER12&gt;=ET$16)),"P","")</f>
        <v/>
      </c>
      <c r="J12" s="7">
        <f t="shared" si="1"/>
        <v>17.599999999999998</v>
      </c>
      <c r="K12" s="7" t="str">
        <f t="shared" si="2"/>
        <v>2026 Elite Canada</v>
      </c>
      <c r="L12" s="7">
        <f>IF(J12=AO12,IF(COUNT(AQ12,AS12,BO12,BQ12,BU12,BW12)&gt;1,LARGE((AQ12,AS12,BO12,BQ12,BU12,BW12),1),0),IF(COUNT(AK12,AM12,AQ12,AS12,BU12,BW12)&gt;1,LARGE((AK12,AM12,AQ12,AS12,BU12,BW12),1),0))</f>
        <v>0</v>
      </c>
      <c r="M12" s="7" t="str">
        <f t="shared" si="3"/>
        <v/>
      </c>
      <c r="N12" s="7">
        <f>IF(J12=AO12,IF(COUNT(AQ12,AS12,BO12,BQ12,BU12,BW12)&gt;1,LARGE((AQ12,AS12,BO12,BQ12,BU12,BW12),2),0),IF(COUNT(AK12,AM12,AQ12,AS12,BU12,BW12)&gt;1,LARGE((AK12,AM12,AQ12,AS12,BU12,BW12),2),0))</f>
        <v>0</v>
      </c>
      <c r="O12" s="7" t="str">
        <f t="shared" si="4"/>
        <v/>
      </c>
      <c r="P12" s="7" t="str">
        <f t="shared" si="5"/>
        <v/>
      </c>
      <c r="Q12" s="10" t="str">
        <f t="shared" si="6"/>
        <v/>
      </c>
      <c r="R12" s="7" t="str">
        <f t="shared" si="7"/>
        <v/>
      </c>
      <c r="S12" s="38">
        <v>0</v>
      </c>
      <c r="T12" s="38">
        <v>0</v>
      </c>
      <c r="U12" s="38">
        <v>0</v>
      </c>
      <c r="V12" s="38">
        <v>0</v>
      </c>
      <c r="W12" s="38">
        <v>15.2</v>
      </c>
      <c r="X12" s="38">
        <v>2.4</v>
      </c>
      <c r="Y12" s="38">
        <v>0</v>
      </c>
      <c r="Z12" s="38">
        <v>0</v>
      </c>
      <c r="AA12" s="38" t="s">
        <v>175</v>
      </c>
      <c r="AB12" s="38" t="s">
        <v>175</v>
      </c>
      <c r="AC12" s="38" t="s">
        <v>175</v>
      </c>
      <c r="AD12" s="38" t="s">
        <v>175</v>
      </c>
      <c r="AE12" s="38" t="s">
        <v>175</v>
      </c>
      <c r="AF12" s="38" t="s">
        <v>175</v>
      </c>
      <c r="AG12" s="38" t="s">
        <v>175</v>
      </c>
      <c r="AH12" s="38" t="s">
        <v>175</v>
      </c>
      <c r="AI12" s="19"/>
      <c r="AJ12" s="41">
        <f t="shared" si="8"/>
        <v>0</v>
      </c>
      <c r="AK12" s="41">
        <f t="shared" si="9"/>
        <v>0</v>
      </c>
      <c r="AL12" s="41">
        <f t="shared" si="10"/>
        <v>2.4</v>
      </c>
      <c r="AM12" s="41">
        <f t="shared" si="11"/>
        <v>17.599999999999998</v>
      </c>
      <c r="AN12" s="27">
        <f t="shared" si="12"/>
        <v>2.4</v>
      </c>
      <c r="AO12" s="27">
        <f t="shared" si="13"/>
        <v>17.599999999999998</v>
      </c>
      <c r="AP12" s="27" t="str">
        <f t="shared" si="14"/>
        <v/>
      </c>
      <c r="AQ12" s="27" t="str">
        <f t="shared" si="15"/>
        <v/>
      </c>
      <c r="AR12" s="27" t="str">
        <f t="shared" si="16"/>
        <v/>
      </c>
      <c r="AS12" s="27" t="str">
        <f t="shared" si="17"/>
        <v/>
      </c>
      <c r="AT12" s="27" t="str">
        <f t="shared" si="18"/>
        <v/>
      </c>
      <c r="AU12" s="27" t="str">
        <f t="shared" si="19"/>
        <v/>
      </c>
      <c r="AV12" s="27">
        <f t="shared" si="20"/>
        <v>17.599999999999998</v>
      </c>
      <c r="AW12" s="15"/>
      <c r="AX12" s="15"/>
      <c r="AY12" s="15"/>
      <c r="AZ12" s="15"/>
      <c r="BA12" s="15"/>
      <c r="BB12" s="15"/>
      <c r="BC12" s="15"/>
      <c r="BD12" s="15"/>
      <c r="BE12" s="15"/>
      <c r="BF12" s="15"/>
      <c r="BG12" s="15"/>
      <c r="BH12" s="15"/>
      <c r="BI12" s="15"/>
      <c r="BJ12" s="15"/>
      <c r="BK12" s="15"/>
      <c r="BL12" s="15"/>
      <c r="BM12" s="20"/>
      <c r="BN12" s="42" t="str">
        <f t="shared" si="21"/>
        <v/>
      </c>
      <c r="BO12" s="42" t="str">
        <f t="shared" si="22"/>
        <v/>
      </c>
      <c r="BP12" s="42" t="str">
        <f t="shared" si="23"/>
        <v/>
      </c>
      <c r="BQ12" s="42" t="str">
        <f t="shared" si="24"/>
        <v/>
      </c>
      <c r="BR12" s="10" t="str">
        <f t="shared" si="25"/>
        <v/>
      </c>
      <c r="BS12" s="10" t="str">
        <f t="shared" si="26"/>
        <v/>
      </c>
      <c r="BT12" s="10" t="str">
        <f t="shared" si="27"/>
        <v/>
      </c>
      <c r="BU12" s="10" t="str">
        <f t="shared" si="28"/>
        <v/>
      </c>
      <c r="BV12" s="10" t="str">
        <f t="shared" si="29"/>
        <v/>
      </c>
      <c r="BW12" s="10" t="str">
        <f t="shared" si="30"/>
        <v/>
      </c>
      <c r="BX12" s="10" t="str">
        <f t="shared" si="31"/>
        <v/>
      </c>
      <c r="BY12" s="10" t="str">
        <f t="shared" si="32"/>
        <v/>
      </c>
      <c r="BZ12" s="10" t="str">
        <f t="shared" si="33"/>
        <v/>
      </c>
      <c r="CA12" s="34" t="str">
        <f t="shared" si="34"/>
        <v/>
      </c>
      <c r="CB12" s="34" t="str">
        <f t="shared" si="35"/>
        <v/>
      </c>
      <c r="CC12" s="14"/>
      <c r="CD12" s="14"/>
      <c r="CE12" s="14"/>
      <c r="CF12" s="14"/>
      <c r="CG12" s="14"/>
      <c r="CH12" s="14"/>
      <c r="CI12" s="14"/>
      <c r="CJ12" s="14"/>
      <c r="CK12" s="14"/>
      <c r="CL12" s="14"/>
      <c r="CM12" s="14"/>
      <c r="CN12" s="14"/>
      <c r="CO12" s="14"/>
      <c r="CP12" s="14"/>
      <c r="CQ12" s="14"/>
      <c r="CR12" s="14"/>
      <c r="CS12" s="14"/>
      <c r="CT12" s="14"/>
      <c r="CU12" s="14"/>
      <c r="CV12" s="14"/>
      <c r="CW12" s="27" t="str">
        <f t="shared" si="36"/>
        <v/>
      </c>
      <c r="CX12" s="27" t="str">
        <f t="shared" si="37"/>
        <v/>
      </c>
      <c r="CY12" s="27" t="str">
        <f t="shared" si="38"/>
        <v/>
      </c>
      <c r="CZ12" s="27" t="str">
        <f t="shared" si="39"/>
        <v/>
      </c>
      <c r="DA12" s="27" t="str">
        <f t="shared" si="40"/>
        <v/>
      </c>
      <c r="DB12" s="27" t="str">
        <f t="shared" si="41"/>
        <v/>
      </c>
      <c r="DC12" s="27" t="str">
        <f t="shared" si="42"/>
        <v/>
      </c>
      <c r="DD12" s="27" t="str">
        <f t="shared" si="43"/>
        <v/>
      </c>
      <c r="DE12" s="27" t="str">
        <f t="shared" si="44"/>
        <v/>
      </c>
      <c r="DF12" s="27" t="str">
        <f t="shared" si="45"/>
        <v/>
      </c>
      <c r="DG12" s="27" t="str">
        <f t="shared" si="46"/>
        <v/>
      </c>
      <c r="DH12" s="27" t="str">
        <f t="shared" si="47"/>
        <v/>
      </c>
      <c r="DI12" s="27" t="str">
        <f t="shared" si="48"/>
        <v/>
      </c>
      <c r="DJ12" s="27" t="str">
        <f t="shared" si="49"/>
        <v/>
      </c>
      <c r="DK12" s="27" t="str">
        <f t="shared" si="50"/>
        <v/>
      </c>
      <c r="DL12" s="15"/>
      <c r="DM12" s="15"/>
      <c r="DN12" s="15"/>
      <c r="DO12" s="15"/>
      <c r="DP12" s="15"/>
      <c r="DQ12" s="15"/>
      <c r="DR12" s="15"/>
      <c r="DS12" s="15"/>
      <c r="DT12" s="15"/>
      <c r="DU12" s="15"/>
      <c r="DV12" s="15"/>
      <c r="DW12" s="15"/>
      <c r="DX12" s="15"/>
      <c r="DY12" s="15"/>
      <c r="DZ12" s="15"/>
      <c r="EA12" s="15"/>
      <c r="EB12" s="15"/>
      <c r="EC12" s="15"/>
      <c r="ED12" s="15"/>
      <c r="EE12" s="15"/>
      <c r="EF12" s="10" t="str">
        <f t="shared" si="51"/>
        <v/>
      </c>
      <c r="EG12" s="10" t="str">
        <f t="shared" si="52"/>
        <v/>
      </c>
      <c r="EH12" s="10" t="str">
        <f t="shared" si="53"/>
        <v/>
      </c>
      <c r="EI12" s="10" t="str">
        <f t="shared" si="54"/>
        <v/>
      </c>
      <c r="EJ12" s="10" t="str">
        <f t="shared" si="55"/>
        <v/>
      </c>
      <c r="EK12" s="10" t="str">
        <f t="shared" si="56"/>
        <v/>
      </c>
      <c r="EL12" s="10" t="str">
        <f t="shared" si="57"/>
        <v/>
      </c>
      <c r="EM12" s="10" t="str">
        <f t="shared" si="58"/>
        <v/>
      </c>
      <c r="EN12" s="10" t="str">
        <f t="shared" si="59"/>
        <v/>
      </c>
      <c r="EO12" s="10" t="str">
        <f t="shared" si="60"/>
        <v/>
      </c>
      <c r="EP12" s="10" t="str">
        <f t="shared" si="61"/>
        <v/>
      </c>
      <c r="EQ12" s="10" t="str">
        <f t="shared" si="62"/>
        <v/>
      </c>
      <c r="ER12" s="10" t="str">
        <f t="shared" si="63"/>
        <v/>
      </c>
      <c r="ES12" s="10" t="str">
        <f t="shared" si="64"/>
        <v/>
      </c>
      <c r="ET12" s="10" t="str">
        <f t="shared" si="65"/>
        <v/>
      </c>
    </row>
    <row r="13" spans="1:150" ht="17" x14ac:dyDescent="0.2">
      <c r="P13" s="9"/>
      <c r="Q13" s="9"/>
      <c r="R13" s="9"/>
    </row>
    <row r="14" spans="1:150" ht="17" x14ac:dyDescent="0.2">
      <c r="P14" s="9"/>
      <c r="Q14" s="9"/>
      <c r="R14" s="9"/>
    </row>
    <row r="15" spans="1:150" ht="17" x14ac:dyDescent="0.2">
      <c r="B15" s="17" t="s">
        <v>27</v>
      </c>
      <c r="P15" s="9"/>
      <c r="Q15" s="9"/>
      <c r="R15" s="9"/>
      <c r="AV15" s="28">
        <v>9.6</v>
      </c>
      <c r="BZ15" s="28">
        <v>9.6</v>
      </c>
      <c r="CW15" s="3"/>
      <c r="CX15" s="3"/>
      <c r="CY15" s="3"/>
      <c r="CZ15" s="3"/>
      <c r="DA15" s="3"/>
      <c r="DK15" s="28">
        <v>9.6</v>
      </c>
      <c r="EF15" s="3"/>
      <c r="EG15" s="3"/>
      <c r="EH15" s="3"/>
      <c r="EI15" s="3"/>
      <c r="EJ15" s="3"/>
      <c r="EK15" s="3"/>
      <c r="EL15" s="3"/>
      <c r="ET15" s="28">
        <v>9.6</v>
      </c>
    </row>
    <row r="16" spans="1:150" ht="17" hidden="1" x14ac:dyDescent="0.2">
      <c r="B16" s="22" t="s">
        <v>26</v>
      </c>
      <c r="P16" s="9"/>
      <c r="Q16" s="9"/>
      <c r="R16" s="9"/>
      <c r="AV16" s="39">
        <v>1000</v>
      </c>
      <c r="BZ16" s="39">
        <v>1000</v>
      </c>
      <c r="CW16" s="3"/>
      <c r="CX16" s="3"/>
      <c r="CY16" s="3"/>
      <c r="CZ16" s="3"/>
      <c r="DA16" s="3"/>
      <c r="DK16" s="39">
        <v>1000</v>
      </c>
      <c r="EF16" s="3"/>
      <c r="EG16" s="3"/>
      <c r="EH16" s="3"/>
      <c r="EI16" s="3"/>
      <c r="EJ16" s="3"/>
      <c r="EK16" s="3"/>
      <c r="EL16" s="3"/>
      <c r="ET16" s="39">
        <v>1000</v>
      </c>
    </row>
    <row r="17" spans="1:150" ht="17" hidden="1" x14ac:dyDescent="0.2">
      <c r="A17" s="4"/>
      <c r="B17" s="23" t="s">
        <v>104</v>
      </c>
      <c r="C17" s="16"/>
      <c r="P17" s="9"/>
      <c r="Q17" s="9"/>
      <c r="R17" s="9"/>
      <c r="AV17" s="29">
        <v>1000</v>
      </c>
      <c r="BZ17" s="29">
        <v>1000</v>
      </c>
      <c r="CW17" s="3"/>
      <c r="CX17" s="3"/>
      <c r="CY17" s="3"/>
      <c r="CZ17" s="3"/>
      <c r="DA17" s="3"/>
      <c r="DK17" s="29">
        <v>1000</v>
      </c>
      <c r="EF17" s="3"/>
      <c r="EG17" s="3"/>
      <c r="EH17" s="3"/>
      <c r="EI17" s="3"/>
      <c r="EJ17" s="3"/>
      <c r="EK17" s="3"/>
      <c r="EL17" s="3"/>
      <c r="ET17" s="29">
        <v>1000</v>
      </c>
    </row>
    <row r="18" spans="1:150" ht="17" x14ac:dyDescent="0.2">
      <c r="A18" s="4"/>
      <c r="B18" s="25" t="s">
        <v>24</v>
      </c>
      <c r="C18" s="16"/>
      <c r="P18" s="9"/>
      <c r="Q18" s="9"/>
      <c r="R18" s="9"/>
      <c r="AV18" s="30">
        <v>46.9</v>
      </c>
      <c r="BZ18" s="30">
        <v>46.9</v>
      </c>
      <c r="CW18" s="3"/>
      <c r="CX18" s="3"/>
      <c r="CY18" s="3"/>
      <c r="CZ18" s="3"/>
      <c r="DA18" s="3"/>
      <c r="DK18" s="30">
        <v>46.9</v>
      </c>
      <c r="EF18" s="3"/>
      <c r="EG18" s="3"/>
      <c r="EH18" s="3"/>
      <c r="EI18" s="3"/>
      <c r="EJ18" s="3"/>
      <c r="EK18" s="3"/>
      <c r="EL18" s="3"/>
      <c r="ET18" s="30">
        <v>46.9</v>
      </c>
    </row>
    <row r="19" spans="1:150" ht="17" hidden="1" x14ac:dyDescent="0.2">
      <c r="A19" s="4"/>
      <c r="B19" s="18" t="s">
        <v>25</v>
      </c>
      <c r="C19" s="16"/>
      <c r="P19" s="9"/>
      <c r="Q19" s="9"/>
      <c r="R19" s="9"/>
      <c r="AV19" s="31">
        <v>1000</v>
      </c>
      <c r="BZ19" s="31">
        <v>1000</v>
      </c>
      <c r="CW19" s="3"/>
      <c r="CX19" s="3"/>
      <c r="CY19" s="3"/>
      <c r="CZ19" s="3"/>
      <c r="DA19" s="3"/>
      <c r="DK19" s="31">
        <v>1000</v>
      </c>
      <c r="EF19" s="3"/>
      <c r="EG19" s="3"/>
      <c r="EH19" s="3"/>
      <c r="EI19" s="3"/>
      <c r="EJ19" s="3"/>
      <c r="EK19" s="3"/>
      <c r="EL19" s="3"/>
      <c r="ET19" s="31">
        <v>1000</v>
      </c>
    </row>
    <row r="20" spans="1:150" ht="17" hidden="1" x14ac:dyDescent="0.2">
      <c r="A20" s="4"/>
      <c r="B20" s="24" t="s">
        <v>103</v>
      </c>
      <c r="C20" s="16"/>
      <c r="P20" s="9"/>
      <c r="Q20" s="9"/>
      <c r="R20" s="9"/>
      <c r="AV20" s="32">
        <v>1000</v>
      </c>
      <c r="BZ20" s="32">
        <v>1000</v>
      </c>
      <c r="CW20" s="3"/>
      <c r="CX20" s="3"/>
      <c r="CY20" s="3"/>
      <c r="CZ20" s="3"/>
      <c r="DA20" s="3"/>
      <c r="DK20" s="32">
        <v>1000</v>
      </c>
      <c r="EF20" s="3"/>
      <c r="EG20" s="3"/>
      <c r="EH20" s="3"/>
      <c r="EI20" s="3"/>
      <c r="EJ20" s="3"/>
      <c r="EK20" s="3"/>
      <c r="EL20" s="3"/>
      <c r="ET20" s="32">
        <v>1000</v>
      </c>
    </row>
    <row r="21" spans="1:150" x14ac:dyDescent="0.2">
      <c r="B21" s="21" t="s">
        <v>29</v>
      </c>
      <c r="C21" s="1"/>
    </row>
    <row r="22" spans="1:150" x14ac:dyDescent="0.2">
      <c r="A22" s="4"/>
      <c r="B22" s="4"/>
      <c r="C22" s="16"/>
    </row>
    <row r="23" spans="1:150" x14ac:dyDescent="0.2">
      <c r="A23" s="4"/>
      <c r="B23" s="4"/>
      <c r="C23" s="16"/>
    </row>
    <row r="24" spans="1:150" x14ac:dyDescent="0.2">
      <c r="A24" s="4"/>
      <c r="B24" s="4"/>
      <c r="C24" s="16"/>
    </row>
    <row r="25" spans="1:150" x14ac:dyDescent="0.2">
      <c r="A25" s="4"/>
      <c r="B25" s="4"/>
      <c r="C25" s="4"/>
    </row>
    <row r="28" spans="1:150" x14ac:dyDescent="0.2">
      <c r="B28" s="40"/>
    </row>
  </sheetData>
  <sheetProtection sheet="1" formatCells="0" formatColumns="0" formatRows="0"/>
  <autoFilter ref="A1:ET1" xr:uid="{562C6DCA-CC42-3044-B5F7-4065DAFFC028}"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hiddenButton="1" showButton="0"/>
    <filterColumn colId="36" hiddenButton="1" showButton="0"/>
    <filterColumn colId="37" hiddenButton="1" showButton="0"/>
    <filterColumn colId="38" hiddenButton="1" showButton="0"/>
    <filterColumn colId="39" showButton="0"/>
    <filterColumn colId="40" showButton="0"/>
    <filterColumn colId="41" hiddenButton="1" showButton="0"/>
    <filterColumn colId="42" hiddenButton="1" showButton="0"/>
    <filterColumn colId="43" hiddenButton="1" showButton="0"/>
    <filterColumn colId="44" hiddenButton="1" showButton="0"/>
    <filterColumn colId="45" showButton="0"/>
    <filterColumn colId="46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hiddenButton="1" showButton="0"/>
    <filterColumn colId="66" hiddenButton="1" showButton="0"/>
    <filterColumn colId="67" hiddenButton="1" showButton="0"/>
    <filterColumn colId="68" hiddenButton="1" showButton="0"/>
    <filterColumn colId="69" showButton="0"/>
    <filterColumn colId="70" showButton="0"/>
    <filterColumn colId="71" hiddenButton="1" showButton="0"/>
    <filterColumn colId="72" hiddenButton="1" showButton="0"/>
    <filterColumn colId="73" hiddenButton="1" showButton="0"/>
    <filterColumn colId="74" hiddenButton="1" showButton="0"/>
    <filterColumn colId="75" showButton="0"/>
    <filterColumn colId="76" showButton="0"/>
    <filterColumn colId="78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hiddenButton="1" showButton="0"/>
    <filterColumn colId="102" hiddenButton="1" showButton="0"/>
    <filterColumn colId="103" hiddenButton="1" showButton="0"/>
    <filterColumn colId="104" hiddenButton="1" showButton="0"/>
    <filterColumn colId="105" showButton="0"/>
    <filterColumn colId="106" showButton="0"/>
    <filterColumn colId="107" showButton="0"/>
    <filterColumn colId="108" hiddenButton="1" showButton="0"/>
    <filterColumn colId="109" hiddenButton="1" showButton="0"/>
    <filterColumn colId="110" showButton="0"/>
    <filterColumn colId="111" showButton="0"/>
    <filterColumn colId="112" hiddenButton="1" showButton="0"/>
    <filterColumn colId="113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hiddenButton="1" showButton="0"/>
    <filterColumn colId="137" hiddenButton="1" showButton="0"/>
    <filterColumn colId="138" hiddenButton="1" showButton="0"/>
    <filterColumn colId="139" hiddenButton="1" showButton="0"/>
    <filterColumn colId="140" hiddenButton="1" showButton="0"/>
    <filterColumn colId="141" hiddenButton="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hiddenButton="1" showButton="0"/>
    <filterColumn colId="148" showButton="0"/>
    <sortState xmlns:xlrd2="http://schemas.microsoft.com/office/spreadsheetml/2017/richdata2" ref="A6:ET14">
      <sortCondition descending="1" ref="F1:F15"/>
    </sortState>
  </autoFilter>
  <mergeCells count="41">
    <mergeCell ref="L1:L3"/>
    <mergeCell ref="A1:A3"/>
    <mergeCell ref="B1:B3"/>
    <mergeCell ref="C1:C3"/>
    <mergeCell ref="D1:D3"/>
    <mergeCell ref="E1:E3"/>
    <mergeCell ref="F1:F3"/>
    <mergeCell ref="G1:G3"/>
    <mergeCell ref="H1:H3"/>
    <mergeCell ref="I1:I3"/>
    <mergeCell ref="J1:J3"/>
    <mergeCell ref="K1:K3"/>
    <mergeCell ref="DL1:ET1"/>
    <mergeCell ref="CO2:CR2"/>
    <mergeCell ref="S2:V2"/>
    <mergeCell ref="W2:Z2"/>
    <mergeCell ref="AA2:AD2"/>
    <mergeCell ref="R1:R3"/>
    <mergeCell ref="S1:AV1"/>
    <mergeCell ref="AW1:BZ1"/>
    <mergeCell ref="CA1:CB1"/>
    <mergeCell ref="CC1:DK1"/>
    <mergeCell ref="M1:M3"/>
    <mergeCell ref="N1:N3"/>
    <mergeCell ref="O1:O3"/>
    <mergeCell ref="P1:P3"/>
    <mergeCell ref="Q1:Q3"/>
    <mergeCell ref="EB2:EE2"/>
    <mergeCell ref="CC2:CF2"/>
    <mergeCell ref="CG2:CJ2"/>
    <mergeCell ref="CK2:CN2"/>
    <mergeCell ref="AE2:AH2"/>
    <mergeCell ref="AW2:AZ2"/>
    <mergeCell ref="BA2:BD2"/>
    <mergeCell ref="BE2:BH2"/>
    <mergeCell ref="BI2:BL2"/>
    <mergeCell ref="CS2:CV2"/>
    <mergeCell ref="DL2:DO2"/>
    <mergeCell ref="DP2:DS2"/>
    <mergeCell ref="DT2:DW2"/>
    <mergeCell ref="DX2:EA2"/>
  </mergeCells>
  <conditionalFormatting sqref="A4:A1048576">
    <cfRule type="expression" dxfId="42" priority="44">
      <formula>IF(A4&gt;4,1,0)</formula>
    </cfRule>
    <cfRule type="expression" dxfId="41" priority="45" stopIfTrue="1">
      <formula>AND(G4="P",F4="")</formula>
    </cfRule>
  </conditionalFormatting>
  <conditionalFormatting sqref="H1:H1048576">
    <cfRule type="containsText" dxfId="40" priority="40" stopIfTrue="1" operator="containsText" text="National Team">
      <formula>NOT(ISERROR(SEARCH("National Team",H1)))</formula>
    </cfRule>
    <cfRule type="containsText" dxfId="39" priority="41" stopIfTrue="1" operator="containsText" text="Worlds Team">
      <formula>NOT(ISERROR(SEARCH("Worlds Team",H1)))</formula>
    </cfRule>
    <cfRule type="containsText" dxfId="38" priority="42" operator="containsText" text="Performance">
      <formula>NOT(ISERROR(SEARCH("Performance",H1)))</formula>
    </cfRule>
    <cfRule type="containsText" dxfId="37" priority="43" stopIfTrue="1" operator="containsText" text="No DD">
      <formula>NOT(ISERROR(SEARCH("No DD",H1)))</formula>
    </cfRule>
  </conditionalFormatting>
  <conditionalFormatting sqref="S4:AV12">
    <cfRule type="expression" dxfId="36" priority="39" stopIfTrue="1">
      <formula>IF($AI4&lt;&gt;"",1,0)</formula>
    </cfRule>
  </conditionalFormatting>
  <conditionalFormatting sqref="AW4:BZ12">
    <cfRule type="expression" dxfId="35" priority="38" stopIfTrue="1">
      <formula>IF($BM4&lt;&gt;"",1,0)</formula>
    </cfRule>
  </conditionalFormatting>
  <conditionalFormatting sqref="M1:M1048576 O1:O1048576 K1:K1048576">
    <cfRule type="expression" dxfId="34" priority="36" stopIfTrue="1">
      <formula>IF(K1=$AW$1,1,0)</formula>
    </cfRule>
    <cfRule type="expression" dxfId="33" priority="37" stopIfTrue="1">
      <formula>IF(K1=$S$1,1,0)</formula>
    </cfRule>
  </conditionalFormatting>
  <conditionalFormatting sqref="AJ1:AJ1048576 BN1:BN1048576 CY1:CY1048576 EH1:EH1048576">
    <cfRule type="cellIs" dxfId="32" priority="188227" stopIfTrue="1" operator="between">
      <formula>AV$17-0.00001</formula>
      <formula>1000</formula>
    </cfRule>
  </conditionalFormatting>
  <conditionalFormatting sqref="AN1:AN1048576 BR1:BR1048576">
    <cfRule type="cellIs" dxfId="31" priority="188239" operator="between">
      <formula>AV$15-0.00001</formula>
      <formula>AV$16-0.00001</formula>
    </cfRule>
    <cfRule type="cellIs" dxfId="30" priority="188240" operator="between">
      <formula>AV$16-0.00001</formula>
      <formula>1000</formula>
    </cfRule>
  </conditionalFormatting>
  <conditionalFormatting sqref="AT1:AT1048576 BX1:BX1048576">
    <cfRule type="cellIs" dxfId="29" priority="188251" operator="between">
      <formula>AV$16-0.00001</formula>
      <formula>1000</formula>
    </cfRule>
    <cfRule type="cellIs" dxfId="28" priority="188252" stopIfTrue="1" operator="between">
      <formula>AV$15-0.00001</formula>
      <formula>AV$16-0.00001</formula>
    </cfRule>
  </conditionalFormatting>
  <conditionalFormatting sqref="AL1:AL1048576 BP1:BP1048576">
    <cfRule type="cellIs" dxfId="27" priority="188263" operator="between">
      <formula>AV$17-0.00001</formula>
      <formula>1000</formula>
    </cfRule>
  </conditionalFormatting>
  <conditionalFormatting sqref="AP1:AP1048576 BT1:BT1048576 DE1:DE1048576 EN1:EN1048576">
    <cfRule type="cellIs" dxfId="26" priority="188269" operator="between">
      <formula>AV$17-0.00001</formula>
      <formula>1000</formula>
    </cfRule>
  </conditionalFormatting>
  <conditionalFormatting sqref="AR1:AR1048576 BV1:BV1048576">
    <cfRule type="cellIs" dxfId="25" priority="188281" operator="between">
      <formula>AV$17-0.00001</formula>
      <formula>1000</formula>
    </cfRule>
  </conditionalFormatting>
  <conditionalFormatting sqref="AK1:AK1048576 BO1:BO1048576">
    <cfRule type="cellIs" dxfId="24" priority="188287" operator="between">
      <formula>AV$20-0.00001</formula>
      <formula>1000</formula>
    </cfRule>
  </conditionalFormatting>
  <conditionalFormatting sqref="AO1:AO1048576 BS1:BS1048576">
    <cfRule type="cellIs" dxfId="23" priority="188293" operator="between">
      <formula>AV$18-0.00001</formula>
      <formula>AV$19-0.00001</formula>
    </cfRule>
    <cfRule type="cellIs" dxfId="22" priority="188294" operator="between">
      <formula>AV$19-0.00001</formula>
      <formula>1000</formula>
    </cfRule>
  </conditionalFormatting>
  <conditionalFormatting sqref="AU1:AU1048576 BY1:BY1048576">
    <cfRule type="cellIs" dxfId="21" priority="188305" stopIfTrue="1" operator="between">
      <formula>AV$19-0.00001</formula>
      <formula>1000</formula>
    </cfRule>
    <cfRule type="cellIs" dxfId="20" priority="188306" operator="between">
      <formula>AV$18-0.00001</formula>
      <formula>AV$19-0.00001</formula>
    </cfRule>
  </conditionalFormatting>
  <conditionalFormatting sqref="AM1:AM1048576 BQ1:BQ1048576">
    <cfRule type="cellIs" dxfId="19" priority="188317" stopIfTrue="1" operator="between">
      <formula>AV$20-0.00001</formula>
      <formula>1000</formula>
    </cfRule>
    <cfRule type="cellIs" dxfId="18" priority="188318" operator="between">
      <formula>AT$20-0.00001</formula>
      <formula>#REF!-0.00001</formula>
    </cfRule>
  </conditionalFormatting>
  <conditionalFormatting sqref="AQ1:AQ1048576 BU1:BU1048576">
    <cfRule type="cellIs" dxfId="17" priority="188329" stopIfTrue="1" operator="between">
      <formula>AV$20-0.00001</formula>
      <formula>1000</formula>
    </cfRule>
  </conditionalFormatting>
  <conditionalFormatting sqref="AS1:AS1048576 BW1:BW1048576">
    <cfRule type="cellIs" dxfId="16" priority="188335" stopIfTrue="1" operator="between">
      <formula>AV$20-0.00001</formula>
      <formula>1000</formula>
    </cfRule>
  </conditionalFormatting>
  <conditionalFormatting sqref="CW1:CW1048576 EF1:EF1048576">
    <cfRule type="cellIs" dxfId="15" priority="188341" operator="between">
      <formula>DK$17-0.00001</formula>
      <formula>1000</formula>
    </cfRule>
  </conditionalFormatting>
  <conditionalFormatting sqref="CX1:CX1048576 EG1:EG1048576">
    <cfRule type="cellIs" dxfId="14" priority="188347" operator="between">
      <formula>DK$20-0.00001</formula>
      <formula>1000</formula>
    </cfRule>
  </conditionalFormatting>
  <conditionalFormatting sqref="DA1:DA1048576 EJ1:EJ1048576">
    <cfRule type="cellIs" dxfId="13" priority="188353" stopIfTrue="1" operator="between">
      <formula>DK$15-0.00001</formula>
      <formula>DK$16-0.00001</formula>
    </cfRule>
    <cfRule type="cellIs" dxfId="12" priority="188354" operator="between">
      <formula>DK$16-0.00001</formula>
      <formula>1000</formula>
    </cfRule>
  </conditionalFormatting>
  <conditionalFormatting sqref="DB1:DB1048576 EK1:EK1048576">
    <cfRule type="cellIs" dxfId="11" priority="188365" operator="between">
      <formula>DK$18-0.00001</formula>
      <formula>DK$19-0.00001</formula>
    </cfRule>
    <cfRule type="cellIs" dxfId="10" priority="188366" stopIfTrue="1" operator="between">
      <formula>DK$19-0.00001</formula>
      <formula>1000</formula>
    </cfRule>
  </conditionalFormatting>
  <conditionalFormatting sqref="DC1:DC1048576 EL1:EL1048576">
    <cfRule type="cellIs" dxfId="9" priority="188377" operator="between">
      <formula>DK$17-0.00001</formula>
      <formula>1000</formula>
    </cfRule>
  </conditionalFormatting>
  <conditionalFormatting sqref="DG1:DG1048576 EP1:EP1048576">
    <cfRule type="cellIs" dxfId="8" priority="188383" stopIfTrue="1" operator="between">
      <formula>DK$17-0.00001</formula>
      <formula>1000</formula>
    </cfRule>
  </conditionalFormatting>
  <conditionalFormatting sqref="CZ1:CZ1048576 EI1:EI1048576">
    <cfRule type="cellIs" dxfId="7" priority="188389" stopIfTrue="1" operator="between">
      <formula>DK$20-0.00001</formula>
      <formula>1000</formula>
    </cfRule>
  </conditionalFormatting>
  <conditionalFormatting sqref="DD1:DD1048576 EM1:EM1048576">
    <cfRule type="cellIs" dxfId="6" priority="188395" operator="between">
      <formula>DK$20-0.00001</formula>
      <formula>1000</formula>
    </cfRule>
  </conditionalFormatting>
  <conditionalFormatting sqref="DF1:DF1048576 EO1:EO1048576">
    <cfRule type="cellIs" dxfId="5" priority="188401" operator="between">
      <formula>DK$20-0.00001</formula>
      <formula>1000</formula>
    </cfRule>
  </conditionalFormatting>
  <conditionalFormatting sqref="DH1:DH1048576 EQ1:EQ1048576">
    <cfRule type="cellIs" dxfId="4" priority="188407" operator="between">
      <formula>DK$20-0.00001</formula>
      <formula>1000</formula>
    </cfRule>
  </conditionalFormatting>
  <conditionalFormatting sqref="DI1:DI1048576 ER1:ER1048576">
    <cfRule type="cellIs" dxfId="3" priority="188413" operator="between">
      <formula>DK$16-0.00001</formula>
      <formula>1000</formula>
    </cfRule>
    <cfRule type="cellIs" dxfId="2" priority="188414" operator="between">
      <formula>DK$15-0.00001</formula>
      <formula>DK$16-0.00001</formula>
    </cfRule>
  </conditionalFormatting>
  <conditionalFormatting sqref="DJ1:DJ1048576 ES1:ES1048576">
    <cfRule type="cellIs" dxfId="1" priority="188425" operator="between">
      <formula>DK$18-0.00001</formula>
      <formula>DK$19-0.00001</formula>
    </cfRule>
    <cfRule type="cellIs" dxfId="0" priority="188426" operator="between">
      <formula>DK$19-0.00001</formula>
      <formula>1000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Info</vt:lpstr>
      <vt:lpstr>Senior-M</vt:lpstr>
      <vt:lpstr>Senior-W</vt:lpstr>
      <vt:lpstr>Development-M</vt:lpstr>
      <vt:lpstr>Development-W</vt:lpstr>
      <vt:lpstr>Junior-M</vt:lpstr>
      <vt:lpstr>Junior-W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 Stirling</dc:creator>
  <cp:lastModifiedBy>Trevor Stirling</cp:lastModifiedBy>
  <dcterms:created xsi:type="dcterms:W3CDTF">2017-07-14T23:42:10Z</dcterms:created>
  <dcterms:modified xsi:type="dcterms:W3CDTF">2026-03-18T01:16:52Z</dcterms:modified>
</cp:coreProperties>
</file>